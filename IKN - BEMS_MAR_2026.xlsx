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drawings/drawing3.xml" ContentType="application/vnd.openxmlformats-officedocument.drawing+xml"/>
  <Override PartName="/xl/printerSettings/printerSettings3.bin" ContentType="application/vnd.openxmlformats-officedocument.spreadsheetml.printerSettings"/>
  <Override PartName="/xl/drawings/drawing4.xml" ContentType="application/vnd.openxmlformats-officedocument.drawing+xml"/>
  <Override PartName="/xl/printerSettings/printerSettings4.bin" ContentType="application/vnd.openxmlformats-officedocument.spreadsheetml.printerSettings"/>
  <Override PartName="/xl/drawings/drawing5.xml" ContentType="application/vnd.openxmlformats-officedocument.drawing+xml"/>
  <Override PartName="/xl/printerSettings/printerSettings5.bin" ContentType="application/vnd.openxmlformats-officedocument.spreadsheetml.printerSettings"/>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D:\Desktop\Document\mapping\LETTER\2026\"/>
    </mc:Choice>
  </mc:AlternateContent>
  <xr:revisionPtr revIDLastSave="0" documentId="13_ncr:1_{EBDDE8DD-8FCD-4EBE-A211-01C547D59E7F}" xr6:coauthVersionLast="47" xr6:coauthVersionMax="47" xr10:uidLastSave="{00000000-0000-0000-0000-000000000000}"/>
  <bookViews>
    <workbookView xWindow="-110" yWindow="-110" windowWidth="19420" windowHeight="10300" tabRatio="599" firstSheet="2" activeTab="2" xr2:uid="{00000000-000D-0000-FFFF-FFFF00000000}"/>
  </bookViews>
  <sheets>
    <sheet name="KDI" sheetId="1" r:id="rId1"/>
    <sheet name="Public Holiday" sheetId="7" r:id="rId2"/>
    <sheet name="BEMSdar" sheetId="19" r:id="rId3"/>
    <sheet name="B1&amp;B2 UNSCHEDULED" sheetId="58" r:id="rId4"/>
    <sheet name="B3-SCHEDULED" sheetId="61" r:id="rId5"/>
    <sheet name="B4-UPTIME" sheetId="62" r:id="rId6"/>
    <sheet name="B5-T&amp;C" sheetId="53" r:id="rId7"/>
    <sheet name="Sheet1" sheetId="9" state="hidden"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05_04_2009" localSheetId="4">#REF!</definedName>
    <definedName name="_05_04_2009" localSheetId="5">#REF!</definedName>
    <definedName name="_05_04_2009" localSheetId="6">#REF!</definedName>
    <definedName name="_05_04_2009" localSheetId="1">#REF!</definedName>
    <definedName name="_05_04_2009">#REF!</definedName>
    <definedName name="_xlnm._FilterDatabase" localSheetId="3" hidden="1">'B1&amp;B2 UNSCHEDULED'!$A$22:$W$129</definedName>
    <definedName name="_xlnm._FilterDatabase" localSheetId="4" hidden="1">'B3-SCHEDULED'!$A$19:$M$264</definedName>
    <definedName name="_xlnm._FilterDatabase" localSheetId="5" hidden="1">'B4-UPTIME'!$18:$124</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1">'[1]Term Outstanding Payment'!#REF!</definedName>
    <definedName name="a">'[1]Term Outstanding Payment'!#REF!</definedName>
    <definedName name="AA" localSheetId="4">#REF!</definedName>
    <definedName name="AA" localSheetId="5">#REF!</definedName>
    <definedName name="AA" localSheetId="6">#REF!</definedName>
    <definedName name="AA" localSheetId="1">#REF!</definedName>
    <definedName name="AA">#REF!</definedName>
    <definedName name="aaa" localSheetId="4">#REF!</definedName>
    <definedName name="aaa" localSheetId="5">#REF!</definedName>
    <definedName name="aaa" localSheetId="6">#REF!</definedName>
    <definedName name="aaa" localSheetId="1">#REF!</definedName>
    <definedName name="aaa">#REF!</definedName>
    <definedName name="aaaaa" localSheetId="4">#REF!</definedName>
    <definedName name="aaaaa" localSheetId="5">#REF!</definedName>
    <definedName name="aaaaa" localSheetId="6">#REF!</definedName>
    <definedName name="aaaaa" localSheetId="1">#REF!</definedName>
    <definedName name="aaaaa">#REF!</definedName>
    <definedName name="aaaaaaaaaa" localSheetId="4">#REF!</definedName>
    <definedName name="aaaaaaaaaa" localSheetId="6">#REF!</definedName>
    <definedName name="aaaaaaaaaa" localSheetId="1">#REF!</definedName>
    <definedName name="aaaaaaaaaa">#REF!</definedName>
    <definedName name="AAAAAAAAAAAAA" localSheetId="4">#REF!</definedName>
    <definedName name="AAAAAAAAAAAAA" localSheetId="6">#REF!</definedName>
    <definedName name="AAAAAAAAAAAAA" localSheetId="1">#REF!</definedName>
    <definedName name="AAAAAAAAAAAAA">#REF!</definedName>
    <definedName name="AAAAAAAAAAAAAAAAAA" localSheetId="4">#REF!</definedName>
    <definedName name="AAAAAAAAAAAAAAAAAA" localSheetId="6">#REF!</definedName>
    <definedName name="AAAAAAAAAAAAAAAAAA" localSheetId="1">#REF!</definedName>
    <definedName name="AAAAAAAAAAAAAAAAAA">#REF!</definedName>
    <definedName name="AAAAAAAAAAAAAAAAAAAAA" localSheetId="4">#REF!</definedName>
    <definedName name="AAAAAAAAAAAAAAAAAAAAA" localSheetId="6">#REF!</definedName>
    <definedName name="AAAAAAAAAAAAAAAAAAAAA" localSheetId="1">#REF!</definedName>
    <definedName name="AAAAAAAAAAAAAAAAAAAAA">#REF!</definedName>
    <definedName name="AAAAAAAAAAAAAAAAAAAAAAAAAAA" localSheetId="4">#REF!</definedName>
    <definedName name="AAAAAAAAAAAAAAAAAAAAAAAAAAA" localSheetId="6">#REF!</definedName>
    <definedName name="AAAAAAAAAAAAAAAAAAAAAAAAAAA" localSheetId="1">#REF!</definedName>
    <definedName name="AAAAAAAAAAAAAAAAAAAAAAAAAAA">#REF!</definedName>
    <definedName name="AAAAAAAAAAAAAAAAAAAAAAAAAAAA" localSheetId="4">#REF!</definedName>
    <definedName name="AAAAAAAAAAAAAAAAAAAAAAAAAAAA" localSheetId="6">#REF!</definedName>
    <definedName name="AAAAAAAAAAAAAAAAAAAAAAAAAAAA" localSheetId="1">#REF!</definedName>
    <definedName name="AAAAAAAAAAAAAAAAAAAAAAAAAAAA">#REF!</definedName>
    <definedName name="AAAAAAAAAAAAAAAAAAAAAAAAAAAAAA" localSheetId="4">#REF!</definedName>
    <definedName name="AAAAAAAAAAAAAAAAAAAAAAAAAAAAAA" localSheetId="6">#REF!</definedName>
    <definedName name="AAAAAAAAAAAAAAAAAAAAAAAAAAAAAA" localSheetId="1">#REF!</definedName>
    <definedName name="AAAAAAAAAAAAAAAAAAAAAAAAAAAAAA">#REF!</definedName>
    <definedName name="AAAAAAAAAAAAAAAAAAAAAAAAAAAAAAA" localSheetId="4">#REF!</definedName>
    <definedName name="AAAAAAAAAAAAAAAAAAAAAAAAAAAAAAA" localSheetId="6">#REF!</definedName>
    <definedName name="AAAAAAAAAAAAAAAAAAAAAAAAAAAAAAA" localSheetId="1">#REF!</definedName>
    <definedName name="AAAAAAAAAAAAAAAAAAAAAAAAAAAAAAA">#REF!</definedName>
    <definedName name="AAAAAAAAAAAAAAAAAAAAAAAAAAAAAAAAA" localSheetId="4">#REF!</definedName>
    <definedName name="AAAAAAAAAAAAAAAAAAAAAAAAAAAAAAAAA" localSheetId="6">#REF!</definedName>
    <definedName name="AAAAAAAAAAAAAAAAAAAAAAAAAAAAAAAAA" localSheetId="1">#REF!</definedName>
    <definedName name="AAAAAAAAAAAAAAAAAAAAAAAAAAAAAAAAA">#REF!</definedName>
    <definedName name="AAAAAAAAAAAAAAAAAAAAAAAAAAAAAAAAAA" localSheetId="4">#REF!</definedName>
    <definedName name="AAAAAAAAAAAAAAAAAAAAAAAAAAAAAAAAAA" localSheetId="6">#REF!</definedName>
    <definedName name="AAAAAAAAAAAAAAAAAAAAAAAAAAAAAAAAAA" localSheetId="1">#REF!</definedName>
    <definedName name="AAAAAAAAAAAAAAAAAAAAAAAAAAAAAAAAAA">#REF!</definedName>
    <definedName name="ab" localSheetId="4">'[2]Table A.1'!#REF!</definedName>
    <definedName name="ab" localSheetId="6">'[2]Table A.1'!#REF!</definedName>
    <definedName name="ab" localSheetId="1">'[2]Table A.1'!#REF!</definedName>
    <definedName name="ab">'[2]Table A.1'!#REF!</definedName>
    <definedName name="ac" localSheetId="4">'[2]Table A.1'!#REF!</definedName>
    <definedName name="ac" localSheetId="6">'[2]Table A.1'!#REF!</definedName>
    <definedName name="ac" localSheetId="1">'[2]Table A.1'!#REF!</definedName>
    <definedName name="ac">'[2]Table A.1'!#REF!</definedName>
    <definedName name="ACHGYJF" localSheetId="4">#REF!</definedName>
    <definedName name="ACHGYJF" localSheetId="5">#REF!</definedName>
    <definedName name="ACHGYJF" localSheetId="6">#REF!</definedName>
    <definedName name="ACHGYJF" localSheetId="1">#REF!</definedName>
    <definedName name="ACHGYJF">#REF!</definedName>
    <definedName name="ad" localSheetId="4">'[2]Table A.1'!#REF!</definedName>
    <definedName name="ad" localSheetId="5">'[2]Table A.1'!#REF!</definedName>
    <definedName name="ad" localSheetId="6">'[2]Table A.1'!#REF!</definedName>
    <definedName name="ad" localSheetId="1">'[2]Table A.1'!#REF!</definedName>
    <definedName name="ad">'[2]Table A.1'!#REF!</definedName>
    <definedName name="ae" localSheetId="4">'[2]Table A.1'!#REF!</definedName>
    <definedName name="ae" localSheetId="5">'[2]Table A.1'!#REF!</definedName>
    <definedName name="ae" localSheetId="6">'[2]Table A.1'!#REF!</definedName>
    <definedName name="ae" localSheetId="1">'[2]Table A.1'!#REF!</definedName>
    <definedName name="ae">'[2]Table A.1'!#REF!</definedName>
    <definedName name="af" localSheetId="4">'[2]Table A.1'!#REF!</definedName>
    <definedName name="af" localSheetId="6">'[2]Table A.1'!#REF!</definedName>
    <definedName name="af" localSheetId="1">'[2]Table A.1'!#REF!</definedName>
    <definedName name="af">'[2]Table A.1'!#REF!</definedName>
    <definedName name="AKHIR" localSheetId="3">'B1&amp;B2 UNSCHEDULED'!$M$8</definedName>
    <definedName name="AKHIR" localSheetId="4">#REF!</definedName>
    <definedName name="AKHIR" localSheetId="5">'[3]B1&amp; B2 UNSCHEDULED'!$L$8</definedName>
    <definedName name="AKHIR">#REF!</definedName>
    <definedName name="all" localSheetId="4">#REF!</definedName>
    <definedName name="all" localSheetId="5">#REF!</definedName>
    <definedName name="all" localSheetId="6">#REF!</definedName>
    <definedName name="all" localSheetId="1">#REF!</definedName>
    <definedName name="all">#REF!</definedName>
    <definedName name="AV" localSheetId="4">#REF!</definedName>
    <definedName name="AV" localSheetId="5">#REF!</definedName>
    <definedName name="AV" localSheetId="6">#REF!</definedName>
    <definedName name="AV" localSheetId="1">#REF!</definedName>
    <definedName name="AV">#REF!</definedName>
    <definedName name="AWAL" localSheetId="3">'B1&amp;B2 UNSCHEDULED'!$M$6</definedName>
    <definedName name="AWAL" localSheetId="4">#REF!</definedName>
    <definedName name="AWAL" localSheetId="5">#REF!</definedName>
    <definedName name="AWAL">#REF!</definedName>
    <definedName name="BBBBBBBBBBBB" localSheetId="4">#REF!</definedName>
    <definedName name="BBBBBBBBBBBB" localSheetId="6">#REF!</definedName>
    <definedName name="BBBBBBBBBBBB" localSheetId="1">#REF!</definedName>
    <definedName name="BBBBBBBBBBBB">#REF!</definedName>
    <definedName name="BBBBBBBBBBBBB" localSheetId="4">#REF!</definedName>
    <definedName name="BBBBBBBBBBBBB" localSheetId="6">#REF!</definedName>
    <definedName name="BBBBBBBBBBBBB" localSheetId="1">#REF!</definedName>
    <definedName name="BBBBBBBBBBBBB">#REF!</definedName>
    <definedName name="BBBBBBBBBBBBBB" localSheetId="4">#REF!</definedName>
    <definedName name="BBBBBBBBBBBBBB" localSheetId="6">#REF!</definedName>
    <definedName name="BBBBBBBBBBBBBB" localSheetId="1">#REF!</definedName>
    <definedName name="BBBBBBBBBBBBBB">#REF!</definedName>
    <definedName name="CAAAE" localSheetId="4">#REF!</definedName>
    <definedName name="CAAAE" localSheetId="6">#REF!</definedName>
    <definedName name="CAAAE" localSheetId="1">#REF!</definedName>
    <definedName name="CAAAE">#REF!</definedName>
    <definedName name="Ce" localSheetId="4">#REF!</definedName>
    <definedName name="Ce" localSheetId="6">#REF!</definedName>
    <definedName name="Ce" localSheetId="1">#REF!</definedName>
    <definedName name="Ce">#REF!</definedName>
    <definedName name="CFDSSSSS" localSheetId="4">#REF!</definedName>
    <definedName name="CFDSSSSS" localSheetId="6">#REF!</definedName>
    <definedName name="CFDSSSSS" localSheetId="1">#REF!</definedName>
    <definedName name="CFDSSSSS">#REF!</definedName>
    <definedName name="CFE" localSheetId="4">#REF!</definedName>
    <definedName name="CFE" localSheetId="6">#REF!</definedName>
    <definedName name="CFE" localSheetId="1">#REF!</definedName>
    <definedName name="CFE">#REF!</definedName>
    <definedName name="CFFFFFDS" localSheetId="4">'[4]Term Outstanding Payment'!#REF!</definedName>
    <definedName name="CFFFFFDS" localSheetId="6">'[4]Term Outstanding Payment'!#REF!</definedName>
    <definedName name="CFFFFFDS" localSheetId="1">'[4]Term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1">#REF!</definedName>
    <definedName name="CRSFD">#REF!</definedName>
    <definedName name="CTRGSFD" localSheetId="4">#REF!</definedName>
    <definedName name="CTRGSFD" localSheetId="5">#REF!</definedName>
    <definedName name="CTRGSFD" localSheetId="6">#REF!</definedName>
    <definedName name="CTRGSFD" localSheetId="1">#REF!</definedName>
    <definedName name="CTRGSFD">#REF!</definedName>
    <definedName name="cuti">'Public Holiday'!$A$2:$A$47</definedName>
    <definedName name="DASDSAC" localSheetId="4">#REF!</definedName>
    <definedName name="DASDSAC" localSheetId="5">#REF!</definedName>
    <definedName name="DASDSAC" localSheetId="6">#REF!</definedName>
    <definedName name="DASDSAC" localSheetId="1">#REF!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1">#REF!</definedName>
    <definedName name="dcfd">#REF!</definedName>
    <definedName name="DDDDDDDDDDD" localSheetId="4">#REF!</definedName>
    <definedName name="DDDDDDDDDDD" localSheetId="5">#REF!</definedName>
    <definedName name="DDDDDDDDDDD" localSheetId="6">#REF!</definedName>
    <definedName name="DDDDDDDDDDD" localSheetId="1">#REF!</definedName>
    <definedName name="DDDDDDDDDDD">#REF!</definedName>
    <definedName name="DDDDDDDDDDDDD" localSheetId="4">#REF!</definedName>
    <definedName name="DDDDDDDDDDDDD" localSheetId="5">#REF!</definedName>
    <definedName name="DDDDDDDDDDDDD" localSheetId="6">#REF!</definedName>
    <definedName name="DDDDDDDDDDDDD" localSheetId="1">#REF!</definedName>
    <definedName name="DDDDDDDDDDDDD">#REF!</definedName>
    <definedName name="DFBNG" localSheetId="4">#REF!</definedName>
    <definedName name="DFBNG" localSheetId="6">#REF!</definedName>
    <definedName name="DFBNG" localSheetId="1">#REF!</definedName>
    <definedName name="DFBNG">#REF!</definedName>
    <definedName name="dfd" localSheetId="4">#REF!</definedName>
    <definedName name="dfd" localSheetId="6">#REF!</definedName>
    <definedName name="dfd" localSheetId="1">#REF!</definedName>
    <definedName name="dfd">#REF!</definedName>
    <definedName name="dfhbcv" localSheetId="4">#REF!</definedName>
    <definedName name="dfhbcv" localSheetId="6">#REF!</definedName>
    <definedName name="dfhbcv" localSheetId="1">#REF!</definedName>
    <definedName name="dfhbcv">#REF!</definedName>
    <definedName name="DFHGB" localSheetId="4">#REF!</definedName>
    <definedName name="DFHGB" localSheetId="6">#REF!</definedName>
    <definedName name="DFHGB" localSheetId="1">#REF!</definedName>
    <definedName name="DFHGB">#REF!</definedName>
    <definedName name="dfssa" localSheetId="4">#REF!</definedName>
    <definedName name="dfssa" localSheetId="6">#REF!</definedName>
    <definedName name="dfssa" localSheetId="1">#REF!</definedName>
    <definedName name="dfssa">#REF!</definedName>
    <definedName name="dggggggggggggg" localSheetId="4">#REF!</definedName>
    <definedName name="dggggggggggggg" localSheetId="6">#REF!</definedName>
    <definedName name="dggggggggggggg" localSheetId="1">#REF!</definedName>
    <definedName name="dggggggggggggg">#REF!</definedName>
    <definedName name="dsgsf" localSheetId="4">#REF!</definedName>
    <definedName name="dsgsf" localSheetId="6">#REF!</definedName>
    <definedName name="dsgsf" localSheetId="1">#REF!</definedName>
    <definedName name="dsgsf">#REF!</definedName>
    <definedName name="DSSSSSSSSSSSSSSSSSF" localSheetId="4">#REF!</definedName>
    <definedName name="DSSSSSSSSSSSSSSSSSF" localSheetId="6">#REF!</definedName>
    <definedName name="DSSSSSSSSSSSSSSSSSF" localSheetId="1">#REF!</definedName>
    <definedName name="DSSSSSSSSSSSSSSSSSF">#REF!</definedName>
    <definedName name="EACFE" localSheetId="4">#REF!</definedName>
    <definedName name="EACFE" localSheetId="6">#REF!</definedName>
    <definedName name="EACFE" localSheetId="1">#REF!</definedName>
    <definedName name="EACFE">#REF!</definedName>
    <definedName name="eec" localSheetId="4">#REF!</definedName>
    <definedName name="eec" localSheetId="6">#REF!</definedName>
    <definedName name="eec" localSheetId="1">#REF!</definedName>
    <definedName name="eec">#REF!</definedName>
    <definedName name="EERC" localSheetId="4">#REF!</definedName>
    <definedName name="EERC" localSheetId="6">#REF!</definedName>
    <definedName name="EERC" localSheetId="1">#REF!</definedName>
    <definedName name="EERC">#REF!</definedName>
    <definedName name="EWA" localSheetId="4">#REF!</definedName>
    <definedName name="EWA" localSheetId="6">#REF!</definedName>
    <definedName name="EWA" localSheetId="1">#REF!</definedName>
    <definedName name="EWA">#REF!</definedName>
    <definedName name="EWEC" localSheetId="4">#REF!</definedName>
    <definedName name="EWEC" localSheetId="6">#REF!</definedName>
    <definedName name="EWEC" localSheetId="1">#REF!</definedName>
    <definedName name="EWEC">#REF!</definedName>
    <definedName name="ewtwet" localSheetId="4">[6]Hidden!#REF!</definedName>
    <definedName name="ewtwet" localSheetId="6">[6]Hidden!#REF!</definedName>
    <definedName name="ewtwet" localSheetId="1">[6]Hidden!#REF!</definedName>
    <definedName name="ewtwet">[6]Hidden!#REF!</definedName>
    <definedName name="excel" localSheetId="4">#REF!</definedName>
    <definedName name="excel" localSheetId="5">#REF!</definedName>
    <definedName name="excel" localSheetId="6">#REF!</definedName>
    <definedName name="excel" localSheetId="1">#REF!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1">#REF!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1">#REF!</definedName>
    <definedName name="Excel_BuiltIn__FilterDatabase_4">#REF!</definedName>
    <definedName name="Excel_BuiltIn__FilterDatabase_5" localSheetId="4">#REF!</definedName>
    <definedName name="Excel_BuiltIn__FilterDatabase_5" localSheetId="6">#REF!</definedName>
    <definedName name="Excel_BuiltIn__FilterDatabase_5" localSheetId="1">#REF!</definedName>
    <definedName name="Excel_BuiltIn__FilterDatabase_5">#REF!</definedName>
    <definedName name="Excel_BuiltIn__FilterDatabase_8" localSheetId="4">#REF!</definedName>
    <definedName name="Excel_BuiltIn__FilterDatabase_8" localSheetId="6">#REF!</definedName>
    <definedName name="Excel_BuiltIn__FilterDatabase_8" localSheetId="1">#REF!</definedName>
    <definedName name="Excel_BuiltIn__FilterDatabase_8">#REF!</definedName>
    <definedName name="Excel_BuiltIn_Print_Area_1" localSheetId="4">#REF!</definedName>
    <definedName name="Excel_BuiltIn_Print_Area_1" localSheetId="6">#REF!</definedName>
    <definedName name="Excel_BuiltIn_Print_Area_1" localSheetId="1">#REF!</definedName>
    <definedName name="Excel_BuiltIn_Print_Area_1">#REF!</definedName>
    <definedName name="Excel_BuiltIn_Print_Area_1_1" localSheetId="4">#REF!</definedName>
    <definedName name="Excel_BuiltIn_Print_Area_1_1" localSheetId="6">#REF!</definedName>
    <definedName name="Excel_BuiltIn_Print_Area_1_1" localSheetId="1">#REF!</definedName>
    <definedName name="Excel_BuiltIn_Print_Area_1_1">#REF!</definedName>
    <definedName name="Excel_BuiltIn_Print_Area_10_1" localSheetId="4">#REF!</definedName>
    <definedName name="Excel_BuiltIn_Print_Area_10_1" localSheetId="6">#REF!</definedName>
    <definedName name="Excel_BuiltIn_Print_Area_10_1" localSheetId="1">#REF!</definedName>
    <definedName name="Excel_BuiltIn_Print_Area_10_1">#REF!</definedName>
    <definedName name="Excel_BuiltIn_Print_Area_3_1" localSheetId="4">#REF!</definedName>
    <definedName name="Excel_BuiltIn_Print_Area_3_1" localSheetId="6">#REF!</definedName>
    <definedName name="Excel_BuiltIn_Print_Area_3_1" localSheetId="1">#REF!</definedName>
    <definedName name="Excel_BuiltIn_Print_Area_3_1">#REF!</definedName>
    <definedName name="Excel_BuiltIn_Print_Area_3_1_1" localSheetId="4">#REF!</definedName>
    <definedName name="Excel_BuiltIn_Print_Area_3_1_1" localSheetId="6">#REF!</definedName>
    <definedName name="Excel_BuiltIn_Print_Area_3_1_1" localSheetId="1">#REF!</definedName>
    <definedName name="Excel_BuiltIn_Print_Area_3_1_1">#REF!</definedName>
    <definedName name="Excel_BuiltIn_Print_Area_3_1_1_1" localSheetId="4">#REF!</definedName>
    <definedName name="Excel_BuiltIn_Print_Area_3_1_1_1" localSheetId="6">#REF!</definedName>
    <definedName name="Excel_BuiltIn_Print_Area_3_1_1_1" localSheetId="1">#REF!</definedName>
    <definedName name="Excel_BuiltIn_Print_Area_3_1_1_1">#REF!</definedName>
    <definedName name="Excel_BuiltIn_Print_Area_6" localSheetId="4">'[4]Term Outstanding Payment'!#REF!</definedName>
    <definedName name="Excel_BuiltIn_Print_Area_6" localSheetId="6">'[4]Term Outstanding Payment'!#REF!</definedName>
    <definedName name="Excel_BuiltIn_Print_Area_6" localSheetId="1">'[4]Term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1">#REF!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1">#REF!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1">#REF!</definedName>
    <definedName name="Excel_BuiltIn_Print_Area_9_1_1">#REF!</definedName>
    <definedName name="Excel_BuiltIn_Print_JMN_25_9_13" localSheetId="4">#REF!</definedName>
    <definedName name="Excel_BuiltIn_Print_JMN_25_9_13" localSheetId="6">#REF!</definedName>
    <definedName name="Excel_BuiltIn_Print_JMN_25_9_13" localSheetId="1">#REF!</definedName>
    <definedName name="Excel_BuiltIn_Print_JMN_25_9_13">#REF!</definedName>
    <definedName name="Excel_BuiltIn_Print_Titles_1_1" localSheetId="4">#REF!</definedName>
    <definedName name="Excel_BuiltIn_Print_Titles_1_1" localSheetId="6">#REF!</definedName>
    <definedName name="Excel_BuiltIn_Print_Titles_1_1" localSheetId="1">#REF!</definedName>
    <definedName name="Excel_BuiltIn_Print_Titles_1_1">#REF!</definedName>
    <definedName name="Excel_BuiltIn_Print_Titles_8" localSheetId="4">#REF!</definedName>
    <definedName name="Excel_BuiltIn_Print_Titles_8" localSheetId="6">#REF!</definedName>
    <definedName name="Excel_BuiltIn_Print_Titles_8" localSheetId="1">#REF!</definedName>
    <definedName name="Excel_BuiltIn_Print_Titles_8">#REF!</definedName>
    <definedName name="Excel_BuiltIn_Print_Titles_9" localSheetId="4">#REF!</definedName>
    <definedName name="Excel_BuiltIn_Print_Titles_9" localSheetId="6">#REF!</definedName>
    <definedName name="Excel_BuiltIn_Print_Titles_9" localSheetId="1">#REF!</definedName>
    <definedName name="Excel_BuiltIn_Print_Titles_9">#REF!</definedName>
    <definedName name="fasdfasfasfsaf" localSheetId="4">#REF!</definedName>
    <definedName name="fasdfasfasfsaf" localSheetId="6">#REF!</definedName>
    <definedName name="fasdfasfasfsaf" localSheetId="1">#REF!</definedName>
    <definedName name="fasdfasfasfsaf">#REF!</definedName>
    <definedName name="FCXXF" localSheetId="4">#REF!</definedName>
    <definedName name="FCXXF" localSheetId="6">#REF!</definedName>
    <definedName name="FCXXF" localSheetId="1">#REF!</definedName>
    <definedName name="FCXXF">#REF!</definedName>
    <definedName name="fdgfdgdfgdg" localSheetId="4">#REF!</definedName>
    <definedName name="fdgfdgdfgdg" localSheetId="6">#REF!</definedName>
    <definedName name="fdgfdgdfgdg" localSheetId="1">#REF!</definedName>
    <definedName name="fdgfdgdfgdg">#REF!</definedName>
    <definedName name="FFFFFFFFFFFFFFFFF" localSheetId="4">#REF!</definedName>
    <definedName name="FFFFFFFFFFFFFFFFF" localSheetId="6">#REF!</definedName>
    <definedName name="FFFFFFFFFFFFFFFFF" localSheetId="1">#REF!</definedName>
    <definedName name="FFFFFFFFFFFFFFFFF">#REF!</definedName>
    <definedName name="ffgdsdfg" localSheetId="4">#REF!</definedName>
    <definedName name="ffgdsdfg" localSheetId="6">#REF!</definedName>
    <definedName name="ffgdsdfg" localSheetId="1">#REF!</definedName>
    <definedName name="ffgdsdfg">#REF!</definedName>
    <definedName name="GAAAAAAAFC" localSheetId="4">#REF!</definedName>
    <definedName name="GAAAAAAAFC" localSheetId="6">#REF!</definedName>
    <definedName name="GAAAAAAAFC" localSheetId="1">#REF!</definedName>
    <definedName name="GAAAAAAAFC">#REF!</definedName>
    <definedName name="GDRGT" localSheetId="4">#REF!</definedName>
    <definedName name="GDRGT" localSheetId="6">#REF!</definedName>
    <definedName name="GDRGT" localSheetId="1">#REF!</definedName>
    <definedName name="GDRGT">#REF!</definedName>
    <definedName name="GDSF" localSheetId="4">#REF!</definedName>
    <definedName name="GDSF" localSheetId="6">#REF!</definedName>
    <definedName name="GDSF" localSheetId="1">#REF!</definedName>
    <definedName name="GDSF">#REF!</definedName>
    <definedName name="GFHDNHZ" localSheetId="4">#REF!</definedName>
    <definedName name="GFHDNHZ" localSheetId="6">#REF!</definedName>
    <definedName name="GFHDNHZ" localSheetId="1">#REF!</definedName>
    <definedName name="GFHDNHZ">#REF!</definedName>
    <definedName name="GFNBC" localSheetId="4">#REF!</definedName>
    <definedName name="GFNBC" localSheetId="6">#REF!</definedName>
    <definedName name="GFNBC" localSheetId="1">#REF!</definedName>
    <definedName name="GFNBC">#REF!</definedName>
    <definedName name="gfre" localSheetId="4">#REF!</definedName>
    <definedName name="gfre" localSheetId="6">#REF!</definedName>
    <definedName name="gfre" localSheetId="1">#REF!</definedName>
    <definedName name="gfre">#REF!</definedName>
    <definedName name="ggggg" localSheetId="4">#REF!</definedName>
    <definedName name="ggggg" localSheetId="6">#REF!</definedName>
    <definedName name="ggggg" localSheetId="1">#REF!</definedName>
    <definedName name="ggggg">#REF!</definedName>
    <definedName name="gggggggggggggggggg" localSheetId="4">#REF!</definedName>
    <definedName name="gggggggggggggggggg" localSheetId="6">#REF!</definedName>
    <definedName name="gggggggggggggggggg" localSheetId="1">#REF!</definedName>
    <definedName name="gggggggggggggggggg">#REF!</definedName>
    <definedName name="GGGGGGGGGGGGGGGGGGGGG" localSheetId="4">#REF!</definedName>
    <definedName name="GGGGGGGGGGGGGGGGGGGGG" localSheetId="6">#REF!</definedName>
    <definedName name="GGGGGGGGGGGGGGGGGGGGG" localSheetId="1">#REF!</definedName>
    <definedName name="GGGGGGGGGGGGGGGGGGGGG">#REF!</definedName>
    <definedName name="GGGZDG" localSheetId="4">#REF!</definedName>
    <definedName name="GGGZDG" localSheetId="6">#REF!</definedName>
    <definedName name="GGGZDG" localSheetId="1">#REF!</definedName>
    <definedName name="GGGZDG">#REF!</definedName>
    <definedName name="GHNVGC" localSheetId="4">#REF!</definedName>
    <definedName name="GHNVGC" localSheetId="6">#REF!</definedName>
    <definedName name="GHNVGC" localSheetId="1">#REF!</definedName>
    <definedName name="GHNVGC">#REF!</definedName>
    <definedName name="GRFCEZSX" localSheetId="4">#REF!</definedName>
    <definedName name="GRFCEZSX" localSheetId="6">#REF!</definedName>
    <definedName name="GRFCEZSX" localSheetId="1">#REF!</definedName>
    <definedName name="GRFCEZSX">#REF!</definedName>
    <definedName name="gsdfgsdgsds" localSheetId="4">#REF!</definedName>
    <definedName name="gsdfgsdgsds" localSheetId="6">#REF!</definedName>
    <definedName name="gsdfgsdgsds" localSheetId="1">#REF!</definedName>
    <definedName name="gsdfgsdgsds">#REF!</definedName>
    <definedName name="GZDFA" localSheetId="4">#REF!</definedName>
    <definedName name="GZDFA" localSheetId="6">#REF!</definedName>
    <definedName name="GZDFA" localSheetId="1">#REF!</definedName>
    <definedName name="GZDFA">#REF!</definedName>
    <definedName name="hdfhdfhdfhf" localSheetId="4">[6]Hidden!#REF!</definedName>
    <definedName name="hdfhdfhdfhf" localSheetId="6">[6]Hidden!#REF!</definedName>
    <definedName name="hdfhdfhdfhf" localSheetId="1">[6]Hidden!#REF!</definedName>
    <definedName name="hdfhdfhdfhf">[6]Hidden!#REF!</definedName>
    <definedName name="HSA" localSheetId="4">#REF!</definedName>
    <definedName name="HSA" localSheetId="5">#REF!</definedName>
    <definedName name="HSA" localSheetId="6">#REF!</definedName>
    <definedName name="HSA" localSheetId="1">#REF!</definedName>
    <definedName name="HSA">#REF!</definedName>
    <definedName name="hujung" localSheetId="3">'B1&amp;B2 UNSCHEDULED'!$P$8</definedName>
    <definedName name="hujung" localSheetId="4">#REF!</definedName>
    <definedName name="hujung" localSheetId="5">#REF!</definedName>
    <definedName name="hujung">#REF!</definedName>
    <definedName name="I" localSheetId="4">#REF!</definedName>
    <definedName name="I" localSheetId="5">#REF!</definedName>
    <definedName name="I" localSheetId="6">#REF!</definedName>
    <definedName name="I" localSheetId="1">#REF!</definedName>
    <definedName name="I">#REF!</definedName>
    <definedName name="ILA" localSheetId="4">#REF!</definedName>
    <definedName name="ILA" localSheetId="6">#REF!</definedName>
    <definedName name="ILA" localSheetId="1">#REF!</definedName>
    <definedName name="ILA">#REF!</definedName>
    <definedName name="kkk" localSheetId="4">#REF!</definedName>
    <definedName name="kkk" localSheetId="6">#REF!</definedName>
    <definedName name="kkk" localSheetId="1">#REF!</definedName>
    <definedName name="kkk">#REF!</definedName>
    <definedName name="kkkkk" localSheetId="4">#REF!</definedName>
    <definedName name="kkkkk" localSheetId="6">#REF!</definedName>
    <definedName name="kkkkk" localSheetId="1">#REF!</definedName>
    <definedName name="kkkkk">#REF!</definedName>
    <definedName name="LA" localSheetId="4">#REF!</definedName>
    <definedName name="LA" localSheetId="6">#REF!</definedName>
    <definedName name="LA" localSheetId="1">#REF!</definedName>
    <definedName name="LA">#REF!</definedName>
    <definedName name="LALA" localSheetId="4">#REF!</definedName>
    <definedName name="LALA" localSheetId="6">#REF!</definedName>
    <definedName name="LALA" localSheetId="1">#REF!</definedName>
    <definedName name="LALA">#REF!</definedName>
    <definedName name="list" localSheetId="4">#REF!</definedName>
    <definedName name="list" localSheetId="6">#REF!</definedName>
    <definedName name="list" localSheetId="1">#REF!</definedName>
    <definedName name="list">#REF!</definedName>
    <definedName name="ll" localSheetId="4">#REF!</definedName>
    <definedName name="ll" localSheetId="6">#REF!</definedName>
    <definedName name="ll" localSheetId="1">#REF!</definedName>
    <definedName name="ll">#REF!</definedName>
    <definedName name="LLLLL" localSheetId="4">#REF!</definedName>
    <definedName name="LLLLL" localSheetId="6">#REF!</definedName>
    <definedName name="LLLLL" localSheetId="1">#REF!</definedName>
    <definedName name="LLLLL">#REF!</definedName>
    <definedName name="mappingMay" localSheetId="4">#REF!</definedName>
    <definedName name="mappingMay" localSheetId="6">#REF!</definedName>
    <definedName name="mappingMay" localSheetId="1">#REF!</definedName>
    <definedName name="mappingMay">#REF!</definedName>
    <definedName name="mmm" localSheetId="4">[6]Hidden!#REF!</definedName>
    <definedName name="mmm" localSheetId="6">[6]Hidden!#REF!</definedName>
    <definedName name="mmm" localSheetId="1">[6]Hidden!#REF!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1">#REF!</definedName>
    <definedName name="MMMMMMMMMMMMMM">#REF!</definedName>
    <definedName name="my_name" localSheetId="4">#REF!</definedName>
    <definedName name="my_name" localSheetId="5">#REF!</definedName>
    <definedName name="my_name" localSheetId="6">#REF!</definedName>
    <definedName name="my_name" localSheetId="1">#REF!</definedName>
    <definedName name="my_name">#REF!</definedName>
    <definedName name="my_name_Ila" localSheetId="4">#REF!</definedName>
    <definedName name="my_name_Ila" localSheetId="5">#REF!</definedName>
    <definedName name="my_name_Ila" localSheetId="6">#REF!</definedName>
    <definedName name="my_name_Ila" localSheetId="1">#REF!</definedName>
    <definedName name="my_name_Ila">#REF!</definedName>
    <definedName name="nnn" localSheetId="4">#REF!</definedName>
    <definedName name="nnn" localSheetId="6">#REF!</definedName>
    <definedName name="nnn" localSheetId="1">#REF!</definedName>
    <definedName name="nnn">#REF!</definedName>
    <definedName name="NNNN" localSheetId="4">#REF!</definedName>
    <definedName name="NNNN" localSheetId="6">#REF!</definedName>
    <definedName name="NNNN" localSheetId="1">#REF!</definedName>
    <definedName name="NNNN">#REF!</definedName>
    <definedName name="NNNNNNNNNNNNNNNN" localSheetId="4">#REF!</definedName>
    <definedName name="NNNNNNNNNNNNNNNN" localSheetId="6">#REF!</definedName>
    <definedName name="NNNNNNNNNNNNNNNN" localSheetId="1">#REF!</definedName>
    <definedName name="NNNNNNNNNNNNNNNN">#REF!</definedName>
    <definedName name="NNNNNNNNNNNNNNNNNNNNNNNNNNNNNNN" localSheetId="4">#REF!</definedName>
    <definedName name="NNNNNNNNNNNNNNNNNNNNNNNNNNNNNNN" localSheetId="6">#REF!</definedName>
    <definedName name="NNNNNNNNNNNNNNNNNNNNNNNNNNNNNNN" localSheetId="1">#REF!</definedName>
    <definedName name="NNNNNNNNNNNNNNNNNNNNNNNNNNNNNNN">#REF!</definedName>
    <definedName name="NNNNNNNNNNNNNNNNNNNNNNNNNNNNNNNNNN" localSheetId="4">#REF!</definedName>
    <definedName name="NNNNNNNNNNNNNNNNNNNNNNNNNNNNNNNNNN" localSheetId="6">#REF!</definedName>
    <definedName name="NNNNNNNNNNNNNNNNNNNNNNNNNNNNNNNNNN" localSheetId="1">#REF!</definedName>
    <definedName name="NNNNNNNNNNNNNNNNNNNNNNNNNNNNNNNNNN">#REF!</definedName>
    <definedName name="NO" localSheetId="4">#REF!</definedName>
    <definedName name="NO" localSheetId="6">#REF!</definedName>
    <definedName name="NO" localSheetId="1">#REF!</definedName>
    <definedName name="NO">#REF!</definedName>
    <definedName name="OLE_LINK2" localSheetId="7">Sheet1!$G$61</definedName>
    <definedName name="OOO" localSheetId="4">#REF!</definedName>
    <definedName name="OOO" localSheetId="6">#REF!</definedName>
    <definedName name="OOO" localSheetId="1">#REF!</definedName>
    <definedName name="OOO">#REF!</definedName>
    <definedName name="OOOOOOOOO" localSheetId="4">#REF!</definedName>
    <definedName name="OOOOOOOOO" localSheetId="6">#REF!</definedName>
    <definedName name="OOOOOOOOO" localSheetId="1">#REF!</definedName>
    <definedName name="OOOOOOOOO">#REF!</definedName>
    <definedName name="PP" localSheetId="4">#REF!</definedName>
    <definedName name="PP" localSheetId="6">#REF!</definedName>
    <definedName name="PP" localSheetId="1">#REF!</definedName>
    <definedName name="PP">#REF!</definedName>
    <definedName name="ppmmay13" localSheetId="4">[6]Hidden!#REF!</definedName>
    <definedName name="ppmmay13" localSheetId="6">[6]Hidden!#REF!</definedName>
    <definedName name="ppmmay13" localSheetId="1">[6]Hidden!#REF!</definedName>
    <definedName name="ppmmay13">[6]Hidden!#REF!</definedName>
    <definedName name="PPP" localSheetId="4">#REF!</definedName>
    <definedName name="PPP" localSheetId="5">#REF!</definedName>
    <definedName name="PPP" localSheetId="6">#REF!</definedName>
    <definedName name="PPP" localSheetId="1">#REF!</definedName>
    <definedName name="PPP">#REF!</definedName>
    <definedName name="PPPPPPP" localSheetId="4">#REF!</definedName>
    <definedName name="PPPPPPP" localSheetId="5">#REF!</definedName>
    <definedName name="PPPPPPP" localSheetId="6">#REF!</definedName>
    <definedName name="PPPPPPP" localSheetId="1">#REF!</definedName>
    <definedName name="PPPPPPP">#REF!</definedName>
    <definedName name="_xlnm.Print_Area" localSheetId="3">'B1&amp;B2 UNSCHEDULED'!$A$1:$V$103</definedName>
    <definedName name="_xlnm.Print_Area" localSheetId="4">'B3-SCHEDULED'!$A$1:$M$264</definedName>
    <definedName name="_xlnm.Print_Area" localSheetId="5">'B4-UPTIME'!$A$1:$AB$45</definedName>
    <definedName name="_xlnm.Print_Area" localSheetId="6">'B5-T&amp;C'!$A$1:$P$21</definedName>
    <definedName name="_xlnm.Print_Area" localSheetId="2">BEMSdar!$A$1:$O$34</definedName>
    <definedName name="_xlnm.Print_Area" localSheetId="0">KDI!$A$1:$I$11</definedName>
    <definedName name="_xlnm.Print_Titles" localSheetId="3">'B1&amp;B2 UNSCHEDULED'!$21:$22</definedName>
    <definedName name="_xlnm.Print_Titles" localSheetId="4">'B3-SCHEDULED'!$19:$20</definedName>
    <definedName name="_xlnm.Print_Titles" localSheetId="5">'B4-UPTIME'!$17:$18</definedName>
    <definedName name="_xlnm.Print_Titles" localSheetId="6">'B5-T&amp;C'!$18:$18</definedName>
    <definedName name="QQQ" localSheetId="4">#REF!</definedName>
    <definedName name="QQQ" localSheetId="5">#REF!</definedName>
    <definedName name="QQQ" localSheetId="6">#REF!</definedName>
    <definedName name="QQQ" localSheetId="1">#REF!</definedName>
    <definedName name="QQQ">#REF!</definedName>
    <definedName name="REEEEEEEW" localSheetId="4">#REF!</definedName>
    <definedName name="REEEEEEEW" localSheetId="6">#REF!</definedName>
    <definedName name="REEEEEEEW" localSheetId="1">#REF!</definedName>
    <definedName name="REEEEEEEW">#REF!</definedName>
    <definedName name="REST" localSheetId="4">#REF!</definedName>
    <definedName name="REST" localSheetId="6">#REF!</definedName>
    <definedName name="REST" localSheetId="1">#REF!</definedName>
    <definedName name="REST">#REF!</definedName>
    <definedName name="rewc" localSheetId="4">#REF!</definedName>
    <definedName name="rewc" localSheetId="6">#REF!</definedName>
    <definedName name="rewc" localSheetId="1">#REF!</definedName>
    <definedName name="rewc">#REF!</definedName>
    <definedName name="rewwrwer" localSheetId="4">[6]Hidden!#REF!</definedName>
    <definedName name="rewwrwer" localSheetId="6">[6]Hidden!#REF!</definedName>
    <definedName name="rewwrwer" localSheetId="1">[6]Hidden!#REF!</definedName>
    <definedName name="rewwrwer">[6]Hidden!#REF!</definedName>
    <definedName name="rfc" localSheetId="4">#REF!</definedName>
    <definedName name="rfc" localSheetId="5">#REF!</definedName>
    <definedName name="rfc" localSheetId="6">#REF!</definedName>
    <definedName name="rfc" localSheetId="1">#REF!</definedName>
    <definedName name="rfc">#REF!</definedName>
    <definedName name="rfdfsd" localSheetId="4">#REF!</definedName>
    <definedName name="rfdfsd" localSheetId="5">#REF!</definedName>
    <definedName name="rfdfsd" localSheetId="6">#REF!</definedName>
    <definedName name="rfdfsd" localSheetId="1">#REF!</definedName>
    <definedName name="rfdfsd">#REF!</definedName>
    <definedName name="RGCCCCCCSX" localSheetId="4">#REF!</definedName>
    <definedName name="RGCCCCCCSX" localSheetId="5">#REF!</definedName>
    <definedName name="RGCCCCCCSX" localSheetId="6">#REF!</definedName>
    <definedName name="RGCCCCCCSX" localSheetId="1">#REF!</definedName>
    <definedName name="RGCCCCCCSX">#REF!</definedName>
    <definedName name="rgfd" localSheetId="4">#REF!</definedName>
    <definedName name="rgfd" localSheetId="6">#REF!</definedName>
    <definedName name="rgfd" localSheetId="1">#REF!</definedName>
    <definedName name="rgfd">#REF!</definedName>
    <definedName name="rrhrdhdr" localSheetId="4">#REF!</definedName>
    <definedName name="rrhrdhdr" localSheetId="6">#REF!</definedName>
    <definedName name="rrhrdhdr" localSheetId="1">#REF!</definedName>
    <definedName name="rrhrdhdr">#REF!</definedName>
    <definedName name="RRRRRRRRRRRRRRRRRRR" localSheetId="4">#REF!</definedName>
    <definedName name="RRRRRRRRRRRRRRRRRRR" localSheetId="6">#REF!</definedName>
    <definedName name="RRRRRRRRRRRRRRRRRRR" localSheetId="1">#REF!</definedName>
    <definedName name="RRRRRRRRRRRRRRRRRRR">#REF!</definedName>
    <definedName name="rtr" localSheetId="4">#REF!</definedName>
    <definedName name="rtr" localSheetId="6">#REF!</definedName>
    <definedName name="rtr" localSheetId="1">#REF!</definedName>
    <definedName name="rtr">#REF!</definedName>
    <definedName name="rtwertert" localSheetId="4">#REF!</definedName>
    <definedName name="rtwertert" localSheetId="6">#REF!</definedName>
    <definedName name="rtwertert" localSheetId="1">#REF!</definedName>
    <definedName name="rtwertert">#REF!</definedName>
    <definedName name="sdssfsf" localSheetId="4">#REF!</definedName>
    <definedName name="sdssfsf" localSheetId="6">#REF!</definedName>
    <definedName name="sdssfsf" localSheetId="1">#REF!</definedName>
    <definedName name="sdssfsf">#REF!</definedName>
    <definedName name="SiterSheet4" localSheetId="4">[6]Hidden!#REF!</definedName>
    <definedName name="SiterSheet4" localSheetId="6">[6]Hidden!#REF!</definedName>
    <definedName name="SiterSheet4" localSheetId="1">[6]Hidden!#REF!</definedName>
    <definedName name="SiterSheet4">[6]Hidden!#REF!</definedName>
    <definedName name="SiteSheet" localSheetId="4">[6]Hidden!#REF!</definedName>
    <definedName name="SiteSheet" localSheetId="6">[6]Hidden!#REF!</definedName>
    <definedName name="SiteSheet" localSheetId="1">[6]Hidden!#REF!</definedName>
    <definedName name="SiteSheet">[6]Hidden!#REF!</definedName>
    <definedName name="ss" localSheetId="4">[7]Hidden!#REF!</definedName>
    <definedName name="ss" localSheetId="6">[7]Hidden!#REF!</definedName>
    <definedName name="ss" localSheetId="1">[7]Hidden!#REF!</definedName>
    <definedName name="ss">[7]Hidden!#REF!</definedName>
    <definedName name="SSSS" localSheetId="4">#REF!</definedName>
    <definedName name="SSSS" localSheetId="5">#REF!</definedName>
    <definedName name="SSSS" localSheetId="6">#REF!</definedName>
    <definedName name="SSSS" localSheetId="1">#REF!</definedName>
    <definedName name="SSSS">#REF!</definedName>
    <definedName name="SSSSSSSSSSS" localSheetId="4">#REF!</definedName>
    <definedName name="SSSSSSSSSSS" localSheetId="5">#REF!</definedName>
    <definedName name="SSSSSSSSSSS" localSheetId="6">#REF!</definedName>
    <definedName name="SSSSSSSSSSS" localSheetId="1">#REF!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1">'[4]Term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1">#REF!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1">#REF!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1">#REF!</definedName>
    <definedName name="SSSSSSSSSSSSSSSSSSSSSSSSSS">#REF!</definedName>
    <definedName name="SSSSSSSSSSSSSSSSSSSSSSSSSSSSSSS" localSheetId="4">#REF!</definedName>
    <definedName name="SSSSSSSSSSSSSSSSSSSSSSSSSSSSSSS" localSheetId="6">#REF!</definedName>
    <definedName name="SSSSSSSSSSSSSSSSSSSSSSSSSSSSSSS" localSheetId="1">#REF!</definedName>
    <definedName name="SSSSSSSSSSSSSSSSSSSSSSSSSSSSSSS">#REF!</definedName>
    <definedName name="SUM" localSheetId="4">#REF!</definedName>
    <definedName name="SUM" localSheetId="6">#REF!</definedName>
    <definedName name="SUM" localSheetId="1">#REF!</definedName>
    <definedName name="SUM">#REF!</definedName>
    <definedName name="tarikhcuti" localSheetId="3">'[8]Public Holiday'!$A$3:$A$50</definedName>
    <definedName name="tarikhcuti" localSheetId="4">'[9]Public Holiday'!$A$4:$A$45</definedName>
    <definedName name="tarikhcuti" localSheetId="5">'[10]Public Holiday'!$A$4:$A$45</definedName>
    <definedName name="tarikhcuti" localSheetId="6">'[11]Public Holiday'!$A$4:$A$43</definedName>
    <definedName name="tarikhcuti">'Public Holiday'!$A$4:$A$47</definedName>
    <definedName name="tertertyertert" localSheetId="4">#REF!</definedName>
    <definedName name="tertertyertert" localSheetId="5">#REF!</definedName>
    <definedName name="tertertyertert" localSheetId="6">#REF!</definedName>
    <definedName name="tertertyertert" localSheetId="1">#REF!</definedName>
    <definedName name="tertertyertert">#REF!</definedName>
    <definedName name="TickCell" localSheetId="4">#REF!</definedName>
    <definedName name="TickCell" localSheetId="5">#REF!</definedName>
    <definedName name="TickCell" localSheetId="6">#REF!</definedName>
    <definedName name="TickCell" localSheetId="1">#REF!</definedName>
    <definedName name="TickCell">#REF!</definedName>
    <definedName name="try" localSheetId="4">#REF!</definedName>
    <definedName name="try" localSheetId="5">#REF!</definedName>
    <definedName name="try" localSheetId="6">#REF!</definedName>
    <definedName name="try" localSheetId="1">#REF!</definedName>
    <definedName name="try">#REF!</definedName>
    <definedName name="tryrtyyu" localSheetId="4">[6]Hidden!#REF!</definedName>
    <definedName name="tryrtyyu" localSheetId="5">[6]Hidden!#REF!</definedName>
    <definedName name="tryrtyyu" localSheetId="6">[6]Hidden!#REF!</definedName>
    <definedName name="tryrtyyu" localSheetId="1">[6]Hidden!#REF!</definedName>
    <definedName name="tryrtyyu">[6]Hidden!#REF!</definedName>
    <definedName name="twewtweewt" localSheetId="4">#REF!</definedName>
    <definedName name="twewtweewt" localSheetId="5">#REF!</definedName>
    <definedName name="twewtweewt" localSheetId="6">#REF!</definedName>
    <definedName name="twewtweewt" localSheetId="1">#REF!</definedName>
    <definedName name="twewtweewt">#REF!</definedName>
    <definedName name="ukjj" localSheetId="4">#REF!</definedName>
    <definedName name="ukjj" localSheetId="5">#REF!</definedName>
    <definedName name="ukjj" localSheetId="6">#REF!</definedName>
    <definedName name="ukjj" localSheetId="1">#REF!</definedName>
    <definedName name="ukjj">#REF!</definedName>
    <definedName name="value">'[12]HWMS 1'!$D$2</definedName>
    <definedName name="VEEEEEEEEE" localSheetId="4">#REF!</definedName>
    <definedName name="VEEEEEEEEE" localSheetId="5">#REF!</definedName>
    <definedName name="VEEEEEEEEE" localSheetId="6">#REF!</definedName>
    <definedName name="VEEEEEEEEE" localSheetId="1">#REF!</definedName>
    <definedName name="VEEEEEEEEE">#REF!</definedName>
    <definedName name="vtecax" localSheetId="4">#REF!</definedName>
    <definedName name="vtecax" localSheetId="5">#REF!</definedName>
    <definedName name="vtecax" localSheetId="6">#REF!</definedName>
    <definedName name="vtecax" localSheetId="1">#REF!</definedName>
    <definedName name="vtecax">#REF!</definedName>
    <definedName name="WAE" localSheetId="4">#REF!</definedName>
    <definedName name="WAE" localSheetId="5">#REF!</definedName>
    <definedName name="WAE" localSheetId="6">#REF!</definedName>
    <definedName name="WAE" localSheetId="1">#REF!</definedName>
    <definedName name="WAE">#REF!</definedName>
    <definedName name="WEA" localSheetId="4">#REF!</definedName>
    <definedName name="WEA" localSheetId="6">#REF!</definedName>
    <definedName name="WEA" localSheetId="1">#REF!</definedName>
    <definedName name="WEA">#REF!</definedName>
    <definedName name="Yes" localSheetId="4">#REF!</definedName>
    <definedName name="Yes" localSheetId="6">#REF!</definedName>
    <definedName name="Yes" localSheetId="1">#REF!</definedName>
    <definedName name="Yes">#REF!</definedName>
    <definedName name="yttyrty" localSheetId="4">#REF!</definedName>
    <definedName name="yttyrty" localSheetId="6">#REF!</definedName>
    <definedName name="yttyrty" localSheetId="1">#REF!</definedName>
    <definedName name="yttyrty">#REF!</definedName>
    <definedName name="zhGFFFDX" localSheetId="4">#REF!</definedName>
    <definedName name="zhGFFFDX" localSheetId="6">#REF!</definedName>
    <definedName name="zhGFFFDX" localSheetId="1">#REF!</definedName>
    <definedName name="zhGFFFDX">#REF!</definedName>
    <definedName name="ZZ" localSheetId="4">[7]Hidden!#REF!</definedName>
    <definedName name="ZZ" localSheetId="6">[7]Hidden!#REF!</definedName>
    <definedName name="ZZ" localSheetId="1">[7]Hidden!#REF!</definedName>
    <definedName name="ZZ">[7]Hidden!#REF!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4" i="61" l="1"/>
  <c r="D95" i="61" l="1"/>
  <c r="U89" i="58" l="1"/>
  <c r="T42" i="62" l="1"/>
  <c r="U67" i="58" l="1"/>
  <c r="R101" i="58"/>
  <c r="V104" i="58"/>
  <c r="S93" i="58"/>
  <c r="S89" i="58"/>
  <c r="S88" i="58"/>
  <c r="S90" i="58"/>
  <c r="L216" i="61"/>
  <c r="D216" i="61"/>
  <c r="K216" i="61" s="1"/>
  <c r="U74" i="58"/>
  <c r="S74" i="58"/>
  <c r="R74" i="58"/>
  <c r="O74" i="58"/>
  <c r="M74" i="58"/>
  <c r="Z43" i="62" l="1"/>
  <c r="Y43" i="62"/>
  <c r="T43" i="62"/>
  <c r="AA43" i="62" l="1"/>
  <c r="U42" i="58"/>
  <c r="S42" i="58"/>
  <c r="O42" i="58"/>
  <c r="M42" i="58"/>
  <c r="Z44" i="62"/>
  <c r="Y44" i="62"/>
  <c r="AA44" i="62" s="1"/>
  <c r="T44" i="62"/>
  <c r="T38" i="62"/>
  <c r="T39" i="62"/>
  <c r="T40" i="62"/>
  <c r="T41" i="62"/>
  <c r="R95" i="58"/>
  <c r="Z38" i="62"/>
  <c r="Z39" i="62"/>
  <c r="Z40" i="62"/>
  <c r="Z41" i="62"/>
  <c r="Y38" i="62"/>
  <c r="Y39" i="62"/>
  <c r="Y40" i="62"/>
  <c r="Y41" i="62"/>
  <c r="AA41" i="62" l="1"/>
  <c r="AA39" i="62"/>
  <c r="AA40" i="62"/>
  <c r="AA38" i="62"/>
  <c r="L227" i="61" l="1"/>
  <c r="L228" i="61"/>
  <c r="L229" i="61"/>
  <c r="L230" i="61"/>
  <c r="L231" i="61"/>
  <c r="L232" i="61"/>
  <c r="L233" i="61"/>
  <c r="L236" i="61"/>
  <c r="L237" i="61"/>
  <c r="L238" i="61"/>
  <c r="L240" i="61"/>
  <c r="L241" i="61"/>
  <c r="D227" i="61"/>
  <c r="K227" i="61" s="1"/>
  <c r="D228" i="61"/>
  <c r="K228" i="61" s="1"/>
  <c r="D229" i="61"/>
  <c r="K229" i="61" s="1"/>
  <c r="D230" i="61"/>
  <c r="K230" i="61" s="1"/>
  <c r="D231" i="61"/>
  <c r="K231" i="61" s="1"/>
  <c r="D232" i="61"/>
  <c r="K232" i="61" s="1"/>
  <c r="D233" i="61"/>
  <c r="K233" i="61" s="1"/>
  <c r="D234" i="61"/>
  <c r="K234" i="61" s="1"/>
  <c r="L234" i="61" s="1"/>
  <c r="D236" i="61"/>
  <c r="K236" i="61" s="1"/>
  <c r="D237" i="61"/>
  <c r="K237" i="61" s="1"/>
  <c r="D238" i="61"/>
  <c r="K238" i="61" s="1"/>
  <c r="D240" i="61"/>
  <c r="K240" i="61" s="1"/>
  <c r="D241" i="61"/>
  <c r="L242" i="61"/>
  <c r="D242" i="61"/>
  <c r="K242" i="61" s="1"/>
  <c r="L239" i="61"/>
  <c r="D239" i="61"/>
  <c r="K239" i="61" s="1"/>
  <c r="L235" i="61"/>
  <c r="D235" i="61"/>
  <c r="K235" i="61" s="1"/>
  <c r="L136" i="61"/>
  <c r="D136" i="61"/>
  <c r="K136" i="61" s="1"/>
  <c r="D137" i="61"/>
  <c r="K137" i="61" s="1"/>
  <c r="D138" i="61"/>
  <c r="K138" i="61" s="1"/>
  <c r="D139" i="61"/>
  <c r="K139" i="61" s="1"/>
  <c r="D140" i="61"/>
  <c r="K140" i="61" s="1"/>
  <c r="D141" i="61"/>
  <c r="K141" i="61" s="1"/>
  <c r="L131" i="61"/>
  <c r="L132" i="61"/>
  <c r="L133" i="61"/>
  <c r="L134" i="61"/>
  <c r="L135" i="61"/>
  <c r="L137" i="61"/>
  <c r="L138" i="61"/>
  <c r="L139" i="61"/>
  <c r="L140" i="61"/>
  <c r="L141" i="61"/>
  <c r="L142" i="61"/>
  <c r="L143" i="61"/>
  <c r="L144" i="61"/>
  <c r="L145" i="61"/>
  <c r="L146" i="61"/>
  <c r="L147" i="61"/>
  <c r="L148" i="61"/>
  <c r="L149" i="61"/>
  <c r="L150" i="61"/>
  <c r="L151" i="61"/>
  <c r="L152" i="61"/>
  <c r="L153" i="61"/>
  <c r="L154" i="61"/>
  <c r="L155" i="61"/>
  <c r="L156" i="61"/>
  <c r="L157" i="61"/>
  <c r="L158" i="61"/>
  <c r="L159" i="61"/>
  <c r="L160" i="61"/>
  <c r="L161" i="61"/>
  <c r="L162" i="61"/>
  <c r="L163" i="61"/>
  <c r="L164" i="61"/>
  <c r="L165" i="61"/>
  <c r="L166" i="61"/>
  <c r="L167" i="61"/>
  <c r="L168" i="61"/>
  <c r="L169" i="61"/>
  <c r="L170" i="61"/>
  <c r="L171" i="61"/>
  <c r="L172" i="61"/>
  <c r="L173" i="61"/>
  <c r="L174" i="61"/>
  <c r="L175" i="61"/>
  <c r="L176" i="61"/>
  <c r="L177" i="61"/>
  <c r="L178" i="61"/>
  <c r="L179" i="61"/>
  <c r="L180" i="61"/>
  <c r="L181" i="61"/>
  <c r="L182" i="61"/>
  <c r="L183" i="61"/>
  <c r="L184" i="61"/>
  <c r="L185" i="61"/>
  <c r="L186" i="61"/>
  <c r="L187" i="61"/>
  <c r="L188" i="61"/>
  <c r="L189" i="61"/>
  <c r="L190" i="61"/>
  <c r="L191" i="61"/>
  <c r="L192" i="61"/>
  <c r="L193" i="61"/>
  <c r="L194" i="61"/>
  <c r="L195" i="61"/>
  <c r="L196" i="61"/>
  <c r="L197" i="61"/>
  <c r="L198" i="61"/>
  <c r="L199" i="61"/>
  <c r="L200" i="61"/>
  <c r="L201" i="61"/>
  <c r="L202" i="61"/>
  <c r="L203" i="61"/>
  <c r="L204" i="61"/>
  <c r="L205" i="61"/>
  <c r="L206" i="61"/>
  <c r="L207" i="61"/>
  <c r="L208" i="61"/>
  <c r="L209" i="61"/>
  <c r="L210" i="61"/>
  <c r="L211" i="61"/>
  <c r="L212" i="61"/>
  <c r="L213" i="61"/>
  <c r="L214" i="61"/>
  <c r="L215" i="61"/>
  <c r="L217" i="61"/>
  <c r="L218" i="61"/>
  <c r="L219" i="61"/>
  <c r="L220" i="61"/>
  <c r="D131" i="61"/>
  <c r="K131" i="61" s="1"/>
  <c r="D132" i="61"/>
  <c r="K132" i="61" s="1"/>
  <c r="D133" i="61"/>
  <c r="K133" i="61" s="1"/>
  <c r="D134" i="61"/>
  <c r="K134" i="61" s="1"/>
  <c r="D135" i="61"/>
  <c r="K135" i="61" s="1"/>
  <c r="D142" i="61"/>
  <c r="K142" i="61" s="1"/>
  <c r="D143" i="61"/>
  <c r="K143" i="61" s="1"/>
  <c r="D144" i="61"/>
  <c r="K144" i="61" s="1"/>
  <c r="D145" i="61"/>
  <c r="K145" i="61" s="1"/>
  <c r="D146" i="61"/>
  <c r="K146" i="61" s="1"/>
  <c r="D147" i="61"/>
  <c r="K147" i="61" s="1"/>
  <c r="D148" i="61"/>
  <c r="K148" i="61" s="1"/>
  <c r="D149" i="61"/>
  <c r="K149" i="61" s="1"/>
  <c r="D150" i="61"/>
  <c r="K150" i="61" s="1"/>
  <c r="D151" i="61"/>
  <c r="K151" i="61" s="1"/>
  <c r="D152" i="61"/>
  <c r="K152" i="61" s="1"/>
  <c r="D153" i="61"/>
  <c r="K153" i="61" s="1"/>
  <c r="D154" i="61"/>
  <c r="K154" i="61" s="1"/>
  <c r="D155" i="61"/>
  <c r="K155" i="61" s="1"/>
  <c r="D156" i="61"/>
  <c r="K156" i="61" s="1"/>
  <c r="D157" i="61"/>
  <c r="K157" i="61" s="1"/>
  <c r="D158" i="61"/>
  <c r="K158" i="61" s="1"/>
  <c r="D159" i="61"/>
  <c r="K159" i="61" s="1"/>
  <c r="D160" i="61"/>
  <c r="K160" i="61" s="1"/>
  <c r="D161" i="61"/>
  <c r="K161" i="61" s="1"/>
  <c r="D162" i="61"/>
  <c r="K162" i="61" s="1"/>
  <c r="D163" i="61"/>
  <c r="K163" i="61" s="1"/>
  <c r="D164" i="61"/>
  <c r="K164" i="61" s="1"/>
  <c r="D165" i="61"/>
  <c r="K165" i="61" s="1"/>
  <c r="D166" i="61"/>
  <c r="K166" i="61" s="1"/>
  <c r="D167" i="61"/>
  <c r="K167" i="61" s="1"/>
  <c r="D168" i="61"/>
  <c r="K168" i="61" s="1"/>
  <c r="D169" i="61"/>
  <c r="K169" i="61" s="1"/>
  <c r="D170" i="61"/>
  <c r="K170" i="61" s="1"/>
  <c r="D171" i="61"/>
  <c r="K171" i="61" s="1"/>
  <c r="D172" i="61"/>
  <c r="K172" i="61" s="1"/>
  <c r="D173" i="61"/>
  <c r="K173" i="61" s="1"/>
  <c r="D174" i="61"/>
  <c r="K174" i="61" s="1"/>
  <c r="D175" i="61"/>
  <c r="K175" i="61" s="1"/>
  <c r="D176" i="61"/>
  <c r="K176" i="61" s="1"/>
  <c r="D177" i="61"/>
  <c r="K177" i="61" s="1"/>
  <c r="D178" i="61"/>
  <c r="K178" i="61" s="1"/>
  <c r="D179" i="61"/>
  <c r="K179" i="61" s="1"/>
  <c r="D180" i="61"/>
  <c r="K180" i="61" s="1"/>
  <c r="D181" i="61"/>
  <c r="K181" i="61" s="1"/>
  <c r="D182" i="61"/>
  <c r="K182" i="61" s="1"/>
  <c r="D183" i="61"/>
  <c r="K183" i="61" s="1"/>
  <c r="D184" i="61"/>
  <c r="K184" i="61" s="1"/>
  <c r="D185" i="61"/>
  <c r="K185" i="61" s="1"/>
  <c r="D186" i="61"/>
  <c r="K186" i="61" s="1"/>
  <c r="D187" i="61"/>
  <c r="K187" i="61" s="1"/>
  <c r="D188" i="61"/>
  <c r="K188" i="61" s="1"/>
  <c r="D189" i="61"/>
  <c r="K189" i="61" s="1"/>
  <c r="D190" i="61"/>
  <c r="K190" i="61" s="1"/>
  <c r="D191" i="61"/>
  <c r="K191" i="61" s="1"/>
  <c r="D192" i="61"/>
  <c r="K192" i="61" s="1"/>
  <c r="D193" i="61"/>
  <c r="K193" i="61" s="1"/>
  <c r="D194" i="61"/>
  <c r="K194" i="61" s="1"/>
  <c r="D195" i="61"/>
  <c r="K195" i="61" s="1"/>
  <c r="D196" i="61"/>
  <c r="K196" i="61" s="1"/>
  <c r="D197" i="61"/>
  <c r="K197" i="61" s="1"/>
  <c r="D198" i="61"/>
  <c r="K198" i="61" s="1"/>
  <c r="D199" i="61"/>
  <c r="K199" i="61" s="1"/>
  <c r="D200" i="61"/>
  <c r="K200" i="61" s="1"/>
  <c r="D201" i="61"/>
  <c r="K201" i="61" s="1"/>
  <c r="D202" i="61"/>
  <c r="K202" i="61" s="1"/>
  <c r="D203" i="61"/>
  <c r="K203" i="61" s="1"/>
  <c r="D204" i="61"/>
  <c r="K204" i="61" s="1"/>
  <c r="D205" i="61"/>
  <c r="K205" i="61" s="1"/>
  <c r="D206" i="61"/>
  <c r="K206" i="61" s="1"/>
  <c r="D207" i="61"/>
  <c r="K207" i="61" s="1"/>
  <c r="D208" i="61"/>
  <c r="K208" i="61" s="1"/>
  <c r="D209" i="61"/>
  <c r="K209" i="61" s="1"/>
  <c r="D210" i="61"/>
  <c r="K210" i="61" s="1"/>
  <c r="D211" i="61"/>
  <c r="K211" i="61" s="1"/>
  <c r="D212" i="61"/>
  <c r="K212" i="61" s="1"/>
  <c r="D213" i="61"/>
  <c r="K213" i="61" s="1"/>
  <c r="D214" i="61"/>
  <c r="K214" i="61" s="1"/>
  <c r="D215" i="61"/>
  <c r="K215" i="61" s="1"/>
  <c r="D217" i="61"/>
  <c r="K217" i="61" s="1"/>
  <c r="D218" i="61"/>
  <c r="K218" i="61" s="1"/>
  <c r="D219" i="61"/>
  <c r="K219" i="61" s="1"/>
  <c r="D220" i="61"/>
  <c r="K220" i="61" s="1"/>
  <c r="R76" i="58"/>
  <c r="U91" i="58" l="1"/>
  <c r="U35" i="58"/>
  <c r="U90" i="58"/>
  <c r="R88" i="58"/>
  <c r="R89" i="58"/>
  <c r="R90" i="58"/>
  <c r="O88" i="58"/>
  <c r="O67" i="58"/>
  <c r="O89" i="58"/>
  <c r="O90" i="58"/>
  <c r="D88" i="58"/>
  <c r="M88" i="58" s="1"/>
  <c r="U88" i="58" s="1"/>
  <c r="D67" i="58"/>
  <c r="M67" i="58" s="1"/>
  <c r="D89" i="58"/>
  <c r="M89" i="58" s="1"/>
  <c r="D90" i="58"/>
  <c r="M90" i="58" s="1"/>
  <c r="C88" i="58"/>
  <c r="C67" i="58"/>
  <c r="C89" i="58"/>
  <c r="C90" i="58"/>
  <c r="S102" i="58"/>
  <c r="R102" i="58"/>
  <c r="O102" i="58"/>
  <c r="D102" i="58"/>
  <c r="M102" i="58" s="1"/>
  <c r="U102" i="58" s="1"/>
  <c r="C102" i="58"/>
  <c r="S101" i="58"/>
  <c r="O101" i="58"/>
  <c r="D101" i="58"/>
  <c r="M101" i="58" s="1"/>
  <c r="U101" i="58" s="1"/>
  <c r="C101" i="58"/>
  <c r="S96" i="58"/>
  <c r="R96" i="58"/>
  <c r="O96" i="58"/>
  <c r="D96" i="58"/>
  <c r="M96" i="58" s="1"/>
  <c r="C96" i="58"/>
  <c r="L263" i="61"/>
  <c r="D263" i="61"/>
  <c r="K263" i="61" s="1"/>
  <c r="L262" i="61"/>
  <c r="D262" i="61"/>
  <c r="K262" i="61" s="1"/>
  <c r="L261" i="61"/>
  <c r="D261" i="61"/>
  <c r="K261" i="61" s="1"/>
  <c r="L260" i="61"/>
  <c r="D260" i="61"/>
  <c r="K260" i="61" s="1"/>
  <c r="L259" i="61"/>
  <c r="D259" i="61"/>
  <c r="K259" i="61" s="1"/>
  <c r="L258" i="61"/>
  <c r="D258" i="61"/>
  <c r="K258" i="61" s="1"/>
  <c r="Z37" i="62" l="1"/>
  <c r="Y37" i="62"/>
  <c r="T37" i="62"/>
  <c r="Z36" i="62"/>
  <c r="Y36" i="62"/>
  <c r="T36" i="62"/>
  <c r="Z35" i="62"/>
  <c r="Y35" i="62"/>
  <c r="T35" i="62"/>
  <c r="WZX102" i="62"/>
  <c r="WZV102" i="62"/>
  <c r="WZT102" i="62"/>
  <c r="WZR102" i="62"/>
  <c r="WZP102" i="62"/>
  <c r="WZN102" i="62"/>
  <c r="WZL102" i="62"/>
  <c r="WZJ102" i="62"/>
  <c r="WZH102" i="62"/>
  <c r="WZF102" i="62"/>
  <c r="WZD102" i="62"/>
  <c r="WZB102" i="62"/>
  <c r="WYZ102" i="62"/>
  <c r="WYX102" i="62"/>
  <c r="WYV102" i="62"/>
  <c r="WYT102" i="62"/>
  <c r="WYR102" i="62"/>
  <c r="WYP102" i="62"/>
  <c r="WYN102" i="62"/>
  <c r="WYL102" i="62"/>
  <c r="WYJ102" i="62"/>
  <c r="WYH102" i="62"/>
  <c r="WYF102" i="62"/>
  <c r="WYD102" i="62"/>
  <c r="WYB102" i="62"/>
  <c r="WXZ102" i="62"/>
  <c r="WXX102" i="62"/>
  <c r="WXV102" i="62"/>
  <c r="WXT102" i="62"/>
  <c r="WXR102" i="62"/>
  <c r="WXP102" i="62"/>
  <c r="WXN102" i="62"/>
  <c r="WXL102" i="62"/>
  <c r="WXJ102" i="62"/>
  <c r="WXH102" i="62"/>
  <c r="WXF102" i="62"/>
  <c r="WXD102" i="62"/>
  <c r="WXB102" i="62"/>
  <c r="WWZ102" i="62"/>
  <c r="WWX102" i="62"/>
  <c r="WWV102" i="62"/>
  <c r="WWT102" i="62"/>
  <c r="WWR102" i="62"/>
  <c r="WWP102" i="62"/>
  <c r="WWN102" i="62"/>
  <c r="WWL102" i="62"/>
  <c r="WWJ102" i="62"/>
  <c r="WWH102" i="62"/>
  <c r="WWF102" i="62"/>
  <c r="WWD102" i="62"/>
  <c r="WWB102" i="62"/>
  <c r="WVZ102" i="62"/>
  <c r="WVX102" i="62"/>
  <c r="WVV102" i="62"/>
  <c r="WVT102" i="62"/>
  <c r="WVR102" i="62"/>
  <c r="WVP102" i="62"/>
  <c r="WVN102" i="62"/>
  <c r="WVL102" i="62"/>
  <c r="WVJ102" i="62"/>
  <c r="WVH102" i="62"/>
  <c r="WVF102" i="62"/>
  <c r="WVD102" i="62"/>
  <c r="WVB102" i="62"/>
  <c r="WUZ102" i="62"/>
  <c r="WUX102" i="62"/>
  <c r="WUV102" i="62"/>
  <c r="WUT102" i="62"/>
  <c r="WUR102" i="62"/>
  <c r="WUP102" i="62"/>
  <c r="WUN102" i="62"/>
  <c r="WUL102" i="62"/>
  <c r="WUJ102" i="62"/>
  <c r="WUH102" i="62"/>
  <c r="WUF102" i="62"/>
  <c r="WUD102" i="62"/>
  <c r="WUB102" i="62"/>
  <c r="WTZ102" i="62"/>
  <c r="WTX102" i="62"/>
  <c r="WTV102" i="62"/>
  <c r="WTT102" i="62"/>
  <c r="WTR102" i="62"/>
  <c r="WTP102" i="62"/>
  <c r="WTN102" i="62"/>
  <c r="WTL102" i="62"/>
  <c r="WTJ102" i="62"/>
  <c r="WTH102" i="62"/>
  <c r="WTF102" i="62"/>
  <c r="WTD102" i="62"/>
  <c r="WTB102" i="62"/>
  <c r="WSZ102" i="62"/>
  <c r="WSX102" i="62"/>
  <c r="WSV102" i="62"/>
  <c r="WST102" i="62"/>
  <c r="WSR102" i="62"/>
  <c r="WSP102" i="62"/>
  <c r="WSN102" i="62"/>
  <c r="WSL102" i="62"/>
  <c r="WSJ102" i="62"/>
  <c r="WSH102" i="62"/>
  <c r="WSF102" i="62"/>
  <c r="WSD102" i="62"/>
  <c r="WSB102" i="62"/>
  <c r="WRZ102" i="62"/>
  <c r="WRX102" i="62"/>
  <c r="WRV102" i="62"/>
  <c r="WRT102" i="62"/>
  <c r="WRR102" i="62"/>
  <c r="WRP102" i="62"/>
  <c r="WRN102" i="62"/>
  <c r="WRL102" i="62"/>
  <c r="WRJ102" i="62"/>
  <c r="WRH102" i="62"/>
  <c r="WRF102" i="62"/>
  <c r="WRD102" i="62"/>
  <c r="WRB102" i="62"/>
  <c r="WQZ102" i="62"/>
  <c r="WQX102" i="62"/>
  <c r="WQV102" i="62"/>
  <c r="WQT102" i="62"/>
  <c r="WQR102" i="62"/>
  <c r="WQP102" i="62"/>
  <c r="WQN102" i="62"/>
  <c r="WQL102" i="62"/>
  <c r="WQJ102" i="62"/>
  <c r="WQH102" i="62"/>
  <c r="WQF102" i="62"/>
  <c r="WQD102" i="62"/>
  <c r="WQB102" i="62"/>
  <c r="WPZ102" i="62"/>
  <c r="WPX102" i="62"/>
  <c r="WPV102" i="62"/>
  <c r="WPT102" i="62"/>
  <c r="WPR102" i="62"/>
  <c r="WPP102" i="62"/>
  <c r="WPN102" i="62"/>
  <c r="WPL102" i="62"/>
  <c r="WPJ102" i="62"/>
  <c r="WPH102" i="62"/>
  <c r="WPF102" i="62"/>
  <c r="WPD102" i="62"/>
  <c r="WPB102" i="62"/>
  <c r="WOZ102" i="62"/>
  <c r="WOX102" i="62"/>
  <c r="WOV102" i="62"/>
  <c r="WOT102" i="62"/>
  <c r="WOR102" i="62"/>
  <c r="WOP102" i="62"/>
  <c r="WON102" i="62"/>
  <c r="WOL102" i="62"/>
  <c r="WOJ102" i="62"/>
  <c r="WOH102" i="62"/>
  <c r="WOF102" i="62"/>
  <c r="WOD102" i="62"/>
  <c r="WOB102" i="62"/>
  <c r="WNZ102" i="62"/>
  <c r="WNX102" i="62"/>
  <c r="WNV102" i="62"/>
  <c r="WNT102" i="62"/>
  <c r="WNR102" i="62"/>
  <c r="WNP102" i="62"/>
  <c r="WNN102" i="62"/>
  <c r="WNL102" i="62"/>
  <c r="WNJ102" i="62"/>
  <c r="WNH102" i="62"/>
  <c r="WNF102" i="62"/>
  <c r="WND102" i="62"/>
  <c r="WNB102" i="62"/>
  <c r="WMZ102" i="62"/>
  <c r="WMX102" i="62"/>
  <c r="WMV102" i="62"/>
  <c r="WMT102" i="62"/>
  <c r="WMR102" i="62"/>
  <c r="WMP102" i="62"/>
  <c r="WMN102" i="62"/>
  <c r="WML102" i="62"/>
  <c r="WMJ102" i="62"/>
  <c r="WMH102" i="62"/>
  <c r="WMF102" i="62"/>
  <c r="WMD102" i="62"/>
  <c r="WMB102" i="62"/>
  <c r="WLZ102" i="62"/>
  <c r="WLX102" i="62"/>
  <c r="WLV102" i="62"/>
  <c r="WLT102" i="62"/>
  <c r="WLR102" i="62"/>
  <c r="WLP102" i="62"/>
  <c r="WLN102" i="62"/>
  <c r="WLL102" i="62"/>
  <c r="WLJ102" i="62"/>
  <c r="WLH102" i="62"/>
  <c r="WLF102" i="62"/>
  <c r="WLD102" i="62"/>
  <c r="WLB102" i="62"/>
  <c r="WKZ102" i="62"/>
  <c r="WKX102" i="62"/>
  <c r="WKV102" i="62"/>
  <c r="WKT102" i="62"/>
  <c r="WKR102" i="62"/>
  <c r="WKP102" i="62"/>
  <c r="WKN102" i="62"/>
  <c r="WKL102" i="62"/>
  <c r="WKJ102" i="62"/>
  <c r="WKH102" i="62"/>
  <c r="WKF102" i="62"/>
  <c r="WKD102" i="62"/>
  <c r="WKB102" i="62"/>
  <c r="WJZ102" i="62"/>
  <c r="WJX102" i="62"/>
  <c r="WJV102" i="62"/>
  <c r="WJT102" i="62"/>
  <c r="WJR102" i="62"/>
  <c r="WJP102" i="62"/>
  <c r="WJN102" i="62"/>
  <c r="WJL102" i="62"/>
  <c r="WJJ102" i="62"/>
  <c r="WJH102" i="62"/>
  <c r="WJF102" i="62"/>
  <c r="WJD102" i="62"/>
  <c r="WJB102" i="62"/>
  <c r="WIZ102" i="62"/>
  <c r="WIX102" i="62"/>
  <c r="WIV102" i="62"/>
  <c r="WIT102" i="62"/>
  <c r="WIR102" i="62"/>
  <c r="WIP102" i="62"/>
  <c r="WIN102" i="62"/>
  <c r="WIL102" i="62"/>
  <c r="WIJ102" i="62"/>
  <c r="WIH102" i="62"/>
  <c r="WIF102" i="62"/>
  <c r="WID102" i="62"/>
  <c r="WIB102" i="62"/>
  <c r="WHZ102" i="62"/>
  <c r="WHX102" i="62"/>
  <c r="WHV102" i="62"/>
  <c r="WHT102" i="62"/>
  <c r="WHR102" i="62"/>
  <c r="WHP102" i="62"/>
  <c r="WHN102" i="62"/>
  <c r="WHL102" i="62"/>
  <c r="WHJ102" i="62"/>
  <c r="WHH102" i="62"/>
  <c r="WHF102" i="62"/>
  <c r="WHD102" i="62"/>
  <c r="WHB102" i="62"/>
  <c r="WGZ102" i="62"/>
  <c r="WGX102" i="62"/>
  <c r="WGV102" i="62"/>
  <c r="WGT102" i="62"/>
  <c r="WGR102" i="62"/>
  <c r="WGP102" i="62"/>
  <c r="WGN102" i="62"/>
  <c r="WGL102" i="62"/>
  <c r="WGJ102" i="62"/>
  <c r="WGH102" i="62"/>
  <c r="WGF102" i="62"/>
  <c r="WGD102" i="62"/>
  <c r="WGB102" i="62"/>
  <c r="WFZ102" i="62"/>
  <c r="WFX102" i="62"/>
  <c r="WFV102" i="62"/>
  <c r="WFT102" i="62"/>
  <c r="WFR102" i="62"/>
  <c r="WFP102" i="62"/>
  <c r="WFN102" i="62"/>
  <c r="WFL102" i="62"/>
  <c r="WFJ102" i="62"/>
  <c r="WFH102" i="62"/>
  <c r="WFF102" i="62"/>
  <c r="WFD102" i="62"/>
  <c r="WFB102" i="62"/>
  <c r="WEZ102" i="62"/>
  <c r="WEX102" i="62"/>
  <c r="WEV102" i="62"/>
  <c r="WET102" i="62"/>
  <c r="WER102" i="62"/>
  <c r="WEP102" i="62"/>
  <c r="WEN102" i="62"/>
  <c r="WEL102" i="62"/>
  <c r="WEJ102" i="62"/>
  <c r="WEH102" i="62"/>
  <c r="WEF102" i="62"/>
  <c r="WED102" i="62"/>
  <c r="WEB102" i="62"/>
  <c r="WDZ102" i="62"/>
  <c r="WDX102" i="62"/>
  <c r="WDV102" i="62"/>
  <c r="WDT102" i="62"/>
  <c r="WDR102" i="62"/>
  <c r="WDP102" i="62"/>
  <c r="WDN102" i="62"/>
  <c r="WDL102" i="62"/>
  <c r="WDJ102" i="62"/>
  <c r="WDH102" i="62"/>
  <c r="WDF102" i="62"/>
  <c r="WDD102" i="62"/>
  <c r="WDB102" i="62"/>
  <c r="WCZ102" i="62"/>
  <c r="WCX102" i="62"/>
  <c r="WCV102" i="62"/>
  <c r="WCT102" i="62"/>
  <c r="WCR102" i="62"/>
  <c r="WCP102" i="62"/>
  <c r="WCN102" i="62"/>
  <c r="WCL102" i="62"/>
  <c r="WCJ102" i="62"/>
  <c r="WCH102" i="62"/>
  <c r="WCF102" i="62"/>
  <c r="WCD102" i="62"/>
  <c r="WCB102" i="62"/>
  <c r="WBZ102" i="62"/>
  <c r="WBX102" i="62"/>
  <c r="WBV102" i="62"/>
  <c r="WBT102" i="62"/>
  <c r="WBR102" i="62"/>
  <c r="WBP102" i="62"/>
  <c r="WBN102" i="62"/>
  <c r="WBL102" i="62"/>
  <c r="WBJ102" i="62"/>
  <c r="WBH102" i="62"/>
  <c r="WBF102" i="62"/>
  <c r="WBD102" i="62"/>
  <c r="WBB102" i="62"/>
  <c r="WAZ102" i="62"/>
  <c r="WAX102" i="62"/>
  <c r="WAV102" i="62"/>
  <c r="WAT102" i="62"/>
  <c r="WAR102" i="62"/>
  <c r="WAP102" i="62"/>
  <c r="WAN102" i="62"/>
  <c r="WAL102" i="62"/>
  <c r="WAJ102" i="62"/>
  <c r="WAH102" i="62"/>
  <c r="WAF102" i="62"/>
  <c r="WAD102" i="62"/>
  <c r="WAB102" i="62"/>
  <c r="VZZ102" i="62"/>
  <c r="VZX102" i="62"/>
  <c r="VZV102" i="62"/>
  <c r="VZT102" i="62"/>
  <c r="VZR102" i="62"/>
  <c r="VZP102" i="62"/>
  <c r="VZN102" i="62"/>
  <c r="VZL102" i="62"/>
  <c r="VZJ102" i="62"/>
  <c r="VZH102" i="62"/>
  <c r="VZF102" i="62"/>
  <c r="VZD102" i="62"/>
  <c r="VZB102" i="62"/>
  <c r="VYZ102" i="62"/>
  <c r="VYX102" i="62"/>
  <c r="VYV102" i="62"/>
  <c r="VYT102" i="62"/>
  <c r="VYR102" i="62"/>
  <c r="VYP102" i="62"/>
  <c r="VYN102" i="62"/>
  <c r="VYL102" i="62"/>
  <c r="VYJ102" i="62"/>
  <c r="VYH102" i="62"/>
  <c r="VYF102" i="62"/>
  <c r="VYD102" i="62"/>
  <c r="VYB102" i="62"/>
  <c r="VXZ102" i="62"/>
  <c r="VXX102" i="62"/>
  <c r="VXV102" i="62"/>
  <c r="VXT102" i="62"/>
  <c r="VXR102" i="62"/>
  <c r="VXP102" i="62"/>
  <c r="VXN102" i="62"/>
  <c r="VXL102" i="62"/>
  <c r="VXJ102" i="62"/>
  <c r="VXH102" i="62"/>
  <c r="VXF102" i="62"/>
  <c r="VXD102" i="62"/>
  <c r="VXB102" i="62"/>
  <c r="VWZ102" i="62"/>
  <c r="VWX102" i="62"/>
  <c r="VWV102" i="62"/>
  <c r="VWT102" i="62"/>
  <c r="VWR102" i="62"/>
  <c r="VWP102" i="62"/>
  <c r="VWN102" i="62"/>
  <c r="VWL102" i="62"/>
  <c r="VWJ102" i="62"/>
  <c r="VWH102" i="62"/>
  <c r="VWF102" i="62"/>
  <c r="VWD102" i="62"/>
  <c r="VWB102" i="62"/>
  <c r="VVZ102" i="62"/>
  <c r="VVX102" i="62"/>
  <c r="VVV102" i="62"/>
  <c r="VVT102" i="62"/>
  <c r="VVR102" i="62"/>
  <c r="VVP102" i="62"/>
  <c r="VVN102" i="62"/>
  <c r="VVL102" i="62"/>
  <c r="VVJ102" i="62"/>
  <c r="VVH102" i="62"/>
  <c r="VVF102" i="62"/>
  <c r="VVD102" i="62"/>
  <c r="VVB102" i="62"/>
  <c r="VUZ102" i="62"/>
  <c r="VUX102" i="62"/>
  <c r="VUV102" i="62"/>
  <c r="VUT102" i="62"/>
  <c r="VUR102" i="62"/>
  <c r="VUP102" i="62"/>
  <c r="VUN102" i="62"/>
  <c r="VUL102" i="62"/>
  <c r="VUJ102" i="62"/>
  <c r="VUH102" i="62"/>
  <c r="VUF102" i="62"/>
  <c r="VUD102" i="62"/>
  <c r="VUB102" i="62"/>
  <c r="VTZ102" i="62"/>
  <c r="VTX102" i="62"/>
  <c r="VTV102" i="62"/>
  <c r="VTT102" i="62"/>
  <c r="VTR102" i="62"/>
  <c r="VTP102" i="62"/>
  <c r="VTN102" i="62"/>
  <c r="VTL102" i="62"/>
  <c r="VTJ102" i="62"/>
  <c r="VTH102" i="62"/>
  <c r="VTF102" i="62"/>
  <c r="VTD102" i="62"/>
  <c r="VTB102" i="62"/>
  <c r="VSZ102" i="62"/>
  <c r="VSX102" i="62"/>
  <c r="VSV102" i="62"/>
  <c r="VST102" i="62"/>
  <c r="VSR102" i="62"/>
  <c r="VSP102" i="62"/>
  <c r="VSN102" i="62"/>
  <c r="VSL102" i="62"/>
  <c r="VSJ102" i="62"/>
  <c r="VSH102" i="62"/>
  <c r="VSF102" i="62"/>
  <c r="VSD102" i="62"/>
  <c r="VSB102" i="62"/>
  <c r="VRZ102" i="62"/>
  <c r="VRX102" i="62"/>
  <c r="VRV102" i="62"/>
  <c r="VRT102" i="62"/>
  <c r="VRR102" i="62"/>
  <c r="VRP102" i="62"/>
  <c r="VRN102" i="62"/>
  <c r="VRL102" i="62"/>
  <c r="VRJ102" i="62"/>
  <c r="VRH102" i="62"/>
  <c r="VRF102" i="62"/>
  <c r="VRD102" i="62"/>
  <c r="VRB102" i="62"/>
  <c r="VQZ102" i="62"/>
  <c r="VQX102" i="62"/>
  <c r="VQV102" i="62"/>
  <c r="VQT102" i="62"/>
  <c r="VQR102" i="62"/>
  <c r="VQP102" i="62"/>
  <c r="VQN102" i="62"/>
  <c r="VQL102" i="62"/>
  <c r="VQJ102" i="62"/>
  <c r="VQH102" i="62"/>
  <c r="VQF102" i="62"/>
  <c r="VQD102" i="62"/>
  <c r="VQB102" i="62"/>
  <c r="VPZ102" i="62"/>
  <c r="VPX102" i="62"/>
  <c r="VPV102" i="62"/>
  <c r="VPT102" i="62"/>
  <c r="VPR102" i="62"/>
  <c r="VPP102" i="62"/>
  <c r="VPN102" i="62"/>
  <c r="VPL102" i="62"/>
  <c r="VPJ102" i="62"/>
  <c r="VPH102" i="62"/>
  <c r="VPF102" i="62"/>
  <c r="VPD102" i="62"/>
  <c r="VPB102" i="62"/>
  <c r="VOZ102" i="62"/>
  <c r="VOX102" i="62"/>
  <c r="VOV102" i="62"/>
  <c r="VOT102" i="62"/>
  <c r="VOR102" i="62"/>
  <c r="VOP102" i="62"/>
  <c r="VON102" i="62"/>
  <c r="VOL102" i="62"/>
  <c r="VOJ102" i="62"/>
  <c r="VOH102" i="62"/>
  <c r="VOF102" i="62"/>
  <c r="VOD102" i="62"/>
  <c r="VOB102" i="62"/>
  <c r="VNZ102" i="62"/>
  <c r="VNX102" i="62"/>
  <c r="VNV102" i="62"/>
  <c r="VNT102" i="62"/>
  <c r="VNR102" i="62"/>
  <c r="VNP102" i="62"/>
  <c r="VNN102" i="62"/>
  <c r="VNL102" i="62"/>
  <c r="VNJ102" i="62"/>
  <c r="VNH102" i="62"/>
  <c r="VNF102" i="62"/>
  <c r="VND102" i="62"/>
  <c r="VNB102" i="62"/>
  <c r="VMZ102" i="62"/>
  <c r="VMX102" i="62"/>
  <c r="VMV102" i="62"/>
  <c r="VMT102" i="62"/>
  <c r="VMR102" i="62"/>
  <c r="VMP102" i="62"/>
  <c r="VMN102" i="62"/>
  <c r="VML102" i="62"/>
  <c r="VMJ102" i="62"/>
  <c r="VMH102" i="62"/>
  <c r="VMF102" i="62"/>
  <c r="VMD102" i="62"/>
  <c r="VMB102" i="62"/>
  <c r="VLZ102" i="62"/>
  <c r="VLX102" i="62"/>
  <c r="VLV102" i="62"/>
  <c r="VLT102" i="62"/>
  <c r="VLR102" i="62"/>
  <c r="VLP102" i="62"/>
  <c r="VLN102" i="62"/>
  <c r="VLL102" i="62"/>
  <c r="VLJ102" i="62"/>
  <c r="VLH102" i="62"/>
  <c r="VLF102" i="62"/>
  <c r="VLD102" i="62"/>
  <c r="VLB102" i="62"/>
  <c r="VKZ102" i="62"/>
  <c r="VKX102" i="62"/>
  <c r="VKV102" i="62"/>
  <c r="VKT102" i="62"/>
  <c r="VKR102" i="62"/>
  <c r="VKP102" i="62"/>
  <c r="VKN102" i="62"/>
  <c r="VKL102" i="62"/>
  <c r="VKJ102" i="62"/>
  <c r="VKH102" i="62"/>
  <c r="VKF102" i="62"/>
  <c r="VKD102" i="62"/>
  <c r="VKB102" i="62"/>
  <c r="VJZ102" i="62"/>
  <c r="VJX102" i="62"/>
  <c r="VJV102" i="62"/>
  <c r="VJT102" i="62"/>
  <c r="VJR102" i="62"/>
  <c r="VJP102" i="62"/>
  <c r="VJN102" i="62"/>
  <c r="VJL102" i="62"/>
  <c r="VJJ102" i="62"/>
  <c r="VJH102" i="62"/>
  <c r="VJF102" i="62"/>
  <c r="VJD102" i="62"/>
  <c r="VJB102" i="62"/>
  <c r="VIZ102" i="62"/>
  <c r="VIX102" i="62"/>
  <c r="VIV102" i="62"/>
  <c r="VIT102" i="62"/>
  <c r="VIR102" i="62"/>
  <c r="VIP102" i="62"/>
  <c r="VIN102" i="62"/>
  <c r="VIL102" i="62"/>
  <c r="VIJ102" i="62"/>
  <c r="VIH102" i="62"/>
  <c r="VIF102" i="62"/>
  <c r="VID102" i="62"/>
  <c r="VIB102" i="62"/>
  <c r="VHZ102" i="62"/>
  <c r="VHX102" i="62"/>
  <c r="VHV102" i="62"/>
  <c r="VHT102" i="62"/>
  <c r="VHR102" i="62"/>
  <c r="VHP102" i="62"/>
  <c r="VHN102" i="62"/>
  <c r="VHL102" i="62"/>
  <c r="VHJ102" i="62"/>
  <c r="VHH102" i="62"/>
  <c r="VHF102" i="62"/>
  <c r="VHD102" i="62"/>
  <c r="VHB102" i="62"/>
  <c r="VGZ102" i="62"/>
  <c r="VGX102" i="62"/>
  <c r="VGV102" i="62"/>
  <c r="VGT102" i="62"/>
  <c r="VGR102" i="62"/>
  <c r="VGP102" i="62"/>
  <c r="VGN102" i="62"/>
  <c r="VGL102" i="62"/>
  <c r="VGJ102" i="62"/>
  <c r="VGH102" i="62"/>
  <c r="VGF102" i="62"/>
  <c r="VGD102" i="62"/>
  <c r="VGB102" i="62"/>
  <c r="VFZ102" i="62"/>
  <c r="VFX102" i="62"/>
  <c r="VFV102" i="62"/>
  <c r="VFT102" i="62"/>
  <c r="VFR102" i="62"/>
  <c r="VFP102" i="62"/>
  <c r="VFN102" i="62"/>
  <c r="VFL102" i="62"/>
  <c r="VFJ102" i="62"/>
  <c r="VFH102" i="62"/>
  <c r="VFF102" i="62"/>
  <c r="VFD102" i="62"/>
  <c r="VFB102" i="62"/>
  <c r="VEZ102" i="62"/>
  <c r="VEX102" i="62"/>
  <c r="VEV102" i="62"/>
  <c r="VET102" i="62"/>
  <c r="VER102" i="62"/>
  <c r="VEP102" i="62"/>
  <c r="VEN102" i="62"/>
  <c r="VEL102" i="62"/>
  <c r="VEJ102" i="62"/>
  <c r="VEH102" i="62"/>
  <c r="VEF102" i="62"/>
  <c r="VED102" i="62"/>
  <c r="VEB102" i="62"/>
  <c r="VDZ102" i="62"/>
  <c r="VDX102" i="62"/>
  <c r="VDV102" i="62"/>
  <c r="VDT102" i="62"/>
  <c r="VDR102" i="62"/>
  <c r="VDP102" i="62"/>
  <c r="VDN102" i="62"/>
  <c r="VDL102" i="62"/>
  <c r="VDJ102" i="62"/>
  <c r="VDH102" i="62"/>
  <c r="VDF102" i="62"/>
  <c r="VDD102" i="62"/>
  <c r="VDB102" i="62"/>
  <c r="VCZ102" i="62"/>
  <c r="VCX102" i="62"/>
  <c r="VCV102" i="62"/>
  <c r="VCT102" i="62"/>
  <c r="VCR102" i="62"/>
  <c r="VCP102" i="62"/>
  <c r="VCN102" i="62"/>
  <c r="VCL102" i="62"/>
  <c r="VCJ102" i="62"/>
  <c r="VCH102" i="62"/>
  <c r="VCF102" i="62"/>
  <c r="VCD102" i="62"/>
  <c r="VCB102" i="62"/>
  <c r="VBZ102" i="62"/>
  <c r="VBX102" i="62"/>
  <c r="VBV102" i="62"/>
  <c r="VBT102" i="62"/>
  <c r="VBR102" i="62"/>
  <c r="VBP102" i="62"/>
  <c r="VBN102" i="62"/>
  <c r="VBL102" i="62"/>
  <c r="VBJ102" i="62"/>
  <c r="VBH102" i="62"/>
  <c r="VBF102" i="62"/>
  <c r="VBD102" i="62"/>
  <c r="VBB102" i="62"/>
  <c r="VAZ102" i="62"/>
  <c r="VAX102" i="62"/>
  <c r="VAV102" i="62"/>
  <c r="VAT102" i="62"/>
  <c r="VAR102" i="62"/>
  <c r="VAP102" i="62"/>
  <c r="VAN102" i="62"/>
  <c r="VAL102" i="62"/>
  <c r="VAJ102" i="62"/>
  <c r="VAH102" i="62"/>
  <c r="VAF102" i="62"/>
  <c r="VAD102" i="62"/>
  <c r="VAB102" i="62"/>
  <c r="UZZ102" i="62"/>
  <c r="UZX102" i="62"/>
  <c r="UZV102" i="62"/>
  <c r="UZT102" i="62"/>
  <c r="UZR102" i="62"/>
  <c r="UZP102" i="62"/>
  <c r="UZN102" i="62"/>
  <c r="UZL102" i="62"/>
  <c r="UZJ102" i="62"/>
  <c r="UZH102" i="62"/>
  <c r="UZF102" i="62"/>
  <c r="UZD102" i="62"/>
  <c r="UZB102" i="62"/>
  <c r="UYZ102" i="62"/>
  <c r="UYX102" i="62"/>
  <c r="UYV102" i="62"/>
  <c r="UYT102" i="62"/>
  <c r="UYR102" i="62"/>
  <c r="UYP102" i="62"/>
  <c r="UYN102" i="62"/>
  <c r="UYL102" i="62"/>
  <c r="UYJ102" i="62"/>
  <c r="UYH102" i="62"/>
  <c r="UYF102" i="62"/>
  <c r="UYD102" i="62"/>
  <c r="UYB102" i="62"/>
  <c r="UXZ102" i="62"/>
  <c r="UXX102" i="62"/>
  <c r="UXV102" i="62"/>
  <c r="UXT102" i="62"/>
  <c r="UXR102" i="62"/>
  <c r="UXP102" i="62"/>
  <c r="UXN102" i="62"/>
  <c r="UXL102" i="62"/>
  <c r="UXJ102" i="62"/>
  <c r="UXH102" i="62"/>
  <c r="UXF102" i="62"/>
  <c r="UXD102" i="62"/>
  <c r="UXB102" i="62"/>
  <c r="UWZ102" i="62"/>
  <c r="UWX102" i="62"/>
  <c r="UWV102" i="62"/>
  <c r="UWT102" i="62"/>
  <c r="UWR102" i="62"/>
  <c r="UWP102" i="62"/>
  <c r="UWN102" i="62"/>
  <c r="UWL102" i="62"/>
  <c r="UWJ102" i="62"/>
  <c r="UWH102" i="62"/>
  <c r="UWF102" i="62"/>
  <c r="UWD102" i="62"/>
  <c r="UWB102" i="62"/>
  <c r="UVZ102" i="62"/>
  <c r="UVX102" i="62"/>
  <c r="UVV102" i="62"/>
  <c r="UVT102" i="62"/>
  <c r="UVR102" i="62"/>
  <c r="UVP102" i="62"/>
  <c r="UVN102" i="62"/>
  <c r="UVL102" i="62"/>
  <c r="UVJ102" i="62"/>
  <c r="UVH102" i="62"/>
  <c r="UVF102" i="62"/>
  <c r="UVD102" i="62"/>
  <c r="UVB102" i="62"/>
  <c r="UUZ102" i="62"/>
  <c r="UUX102" i="62"/>
  <c r="UUV102" i="62"/>
  <c r="UUT102" i="62"/>
  <c r="UUR102" i="62"/>
  <c r="UUP102" i="62"/>
  <c r="UUN102" i="62"/>
  <c r="UUL102" i="62"/>
  <c r="UUJ102" i="62"/>
  <c r="UUH102" i="62"/>
  <c r="UUF102" i="62"/>
  <c r="UUD102" i="62"/>
  <c r="UUB102" i="62"/>
  <c r="UTZ102" i="62"/>
  <c r="UTX102" i="62"/>
  <c r="UTV102" i="62"/>
  <c r="UTT102" i="62"/>
  <c r="UTR102" i="62"/>
  <c r="UTP102" i="62"/>
  <c r="UTN102" i="62"/>
  <c r="UTL102" i="62"/>
  <c r="UTJ102" i="62"/>
  <c r="UTH102" i="62"/>
  <c r="UTF102" i="62"/>
  <c r="UTD102" i="62"/>
  <c r="UTB102" i="62"/>
  <c r="USZ102" i="62"/>
  <c r="USX102" i="62"/>
  <c r="USV102" i="62"/>
  <c r="UST102" i="62"/>
  <c r="USR102" i="62"/>
  <c r="USP102" i="62"/>
  <c r="USN102" i="62"/>
  <c r="USL102" i="62"/>
  <c r="USJ102" i="62"/>
  <c r="USH102" i="62"/>
  <c r="USF102" i="62"/>
  <c r="USD102" i="62"/>
  <c r="USB102" i="62"/>
  <c r="URZ102" i="62"/>
  <c r="URX102" i="62"/>
  <c r="URV102" i="62"/>
  <c r="URT102" i="62"/>
  <c r="URR102" i="62"/>
  <c r="URP102" i="62"/>
  <c r="URN102" i="62"/>
  <c r="URL102" i="62"/>
  <c r="URJ102" i="62"/>
  <c r="URH102" i="62"/>
  <c r="URF102" i="62"/>
  <c r="URD102" i="62"/>
  <c r="URB102" i="62"/>
  <c r="UQZ102" i="62"/>
  <c r="UQX102" i="62"/>
  <c r="UQV102" i="62"/>
  <c r="UQT102" i="62"/>
  <c r="UQR102" i="62"/>
  <c r="UQP102" i="62"/>
  <c r="UQN102" i="62"/>
  <c r="UQL102" i="62"/>
  <c r="UQJ102" i="62"/>
  <c r="UQH102" i="62"/>
  <c r="UQF102" i="62"/>
  <c r="UQD102" i="62"/>
  <c r="UQB102" i="62"/>
  <c r="UPZ102" i="62"/>
  <c r="UPX102" i="62"/>
  <c r="UPV102" i="62"/>
  <c r="UPT102" i="62"/>
  <c r="UPR102" i="62"/>
  <c r="UPP102" i="62"/>
  <c r="UPN102" i="62"/>
  <c r="UPL102" i="62"/>
  <c r="UPJ102" i="62"/>
  <c r="UPH102" i="62"/>
  <c r="UPF102" i="62"/>
  <c r="UPD102" i="62"/>
  <c r="UPB102" i="62"/>
  <c r="UOZ102" i="62"/>
  <c r="UOX102" i="62"/>
  <c r="UOV102" i="62"/>
  <c r="UOT102" i="62"/>
  <c r="UOR102" i="62"/>
  <c r="UOP102" i="62"/>
  <c r="UON102" i="62"/>
  <c r="UOL102" i="62"/>
  <c r="UOJ102" i="62"/>
  <c r="UOH102" i="62"/>
  <c r="UOF102" i="62"/>
  <c r="UOD102" i="62"/>
  <c r="UOB102" i="62"/>
  <c r="UNZ102" i="62"/>
  <c r="UNX102" i="62"/>
  <c r="UNV102" i="62"/>
  <c r="UNT102" i="62"/>
  <c r="UNR102" i="62"/>
  <c r="UNP102" i="62"/>
  <c r="UNN102" i="62"/>
  <c r="UNL102" i="62"/>
  <c r="UNJ102" i="62"/>
  <c r="UNH102" i="62"/>
  <c r="UNF102" i="62"/>
  <c r="UND102" i="62"/>
  <c r="UNB102" i="62"/>
  <c r="UMZ102" i="62"/>
  <c r="UMX102" i="62"/>
  <c r="UMV102" i="62"/>
  <c r="UMT102" i="62"/>
  <c r="UMR102" i="62"/>
  <c r="UMP102" i="62"/>
  <c r="UMN102" i="62"/>
  <c r="UML102" i="62"/>
  <c r="UMJ102" i="62"/>
  <c r="UMH102" i="62"/>
  <c r="UMF102" i="62"/>
  <c r="UMD102" i="62"/>
  <c r="UMB102" i="62"/>
  <c r="ULZ102" i="62"/>
  <c r="ULX102" i="62"/>
  <c r="ULV102" i="62"/>
  <c r="ULT102" i="62"/>
  <c r="ULR102" i="62"/>
  <c r="ULP102" i="62"/>
  <c r="ULN102" i="62"/>
  <c r="ULL102" i="62"/>
  <c r="ULJ102" i="62"/>
  <c r="ULH102" i="62"/>
  <c r="ULF102" i="62"/>
  <c r="ULD102" i="62"/>
  <c r="ULB102" i="62"/>
  <c r="UKZ102" i="62"/>
  <c r="UKX102" i="62"/>
  <c r="UKV102" i="62"/>
  <c r="UKT102" i="62"/>
  <c r="UKR102" i="62"/>
  <c r="UKP102" i="62"/>
  <c r="UKN102" i="62"/>
  <c r="UKL102" i="62"/>
  <c r="UKJ102" i="62"/>
  <c r="UKH102" i="62"/>
  <c r="UKF102" i="62"/>
  <c r="UKD102" i="62"/>
  <c r="UKB102" i="62"/>
  <c r="UJZ102" i="62"/>
  <c r="UJX102" i="62"/>
  <c r="UJV102" i="62"/>
  <c r="UJT102" i="62"/>
  <c r="UJR102" i="62"/>
  <c r="UJP102" i="62"/>
  <c r="UJN102" i="62"/>
  <c r="UJL102" i="62"/>
  <c r="UJJ102" i="62"/>
  <c r="UJH102" i="62"/>
  <c r="UJF102" i="62"/>
  <c r="UJD102" i="62"/>
  <c r="UJB102" i="62"/>
  <c r="UIZ102" i="62"/>
  <c r="UIX102" i="62"/>
  <c r="UIV102" i="62"/>
  <c r="UIT102" i="62"/>
  <c r="UIR102" i="62"/>
  <c r="UIP102" i="62"/>
  <c r="UIN102" i="62"/>
  <c r="UIL102" i="62"/>
  <c r="UIJ102" i="62"/>
  <c r="UIH102" i="62"/>
  <c r="UIF102" i="62"/>
  <c r="UID102" i="62"/>
  <c r="UIB102" i="62"/>
  <c r="UHZ102" i="62"/>
  <c r="UHX102" i="62"/>
  <c r="UHV102" i="62"/>
  <c r="UHT102" i="62"/>
  <c r="UHR102" i="62"/>
  <c r="UHP102" i="62"/>
  <c r="UHN102" i="62"/>
  <c r="UHL102" i="62"/>
  <c r="UHJ102" i="62"/>
  <c r="UHH102" i="62"/>
  <c r="UHF102" i="62"/>
  <c r="UHD102" i="62"/>
  <c r="UHB102" i="62"/>
  <c r="UGZ102" i="62"/>
  <c r="UGX102" i="62"/>
  <c r="UGV102" i="62"/>
  <c r="UGT102" i="62"/>
  <c r="UGR102" i="62"/>
  <c r="UGP102" i="62"/>
  <c r="UGN102" i="62"/>
  <c r="UGL102" i="62"/>
  <c r="UGJ102" i="62"/>
  <c r="UGH102" i="62"/>
  <c r="UGF102" i="62"/>
  <c r="UGD102" i="62"/>
  <c r="UGB102" i="62"/>
  <c r="UFZ102" i="62"/>
  <c r="UFX102" i="62"/>
  <c r="UFV102" i="62"/>
  <c r="UFT102" i="62"/>
  <c r="UFR102" i="62"/>
  <c r="UFP102" i="62"/>
  <c r="UFN102" i="62"/>
  <c r="UFL102" i="62"/>
  <c r="UFJ102" i="62"/>
  <c r="UFH102" i="62"/>
  <c r="UFF102" i="62"/>
  <c r="UFD102" i="62"/>
  <c r="UFB102" i="62"/>
  <c r="UEZ102" i="62"/>
  <c r="UEX102" i="62"/>
  <c r="UEV102" i="62"/>
  <c r="UET102" i="62"/>
  <c r="UER102" i="62"/>
  <c r="UEP102" i="62"/>
  <c r="UEN102" i="62"/>
  <c r="UEL102" i="62"/>
  <c r="UEJ102" i="62"/>
  <c r="UEH102" i="62"/>
  <c r="UEF102" i="62"/>
  <c r="UED102" i="62"/>
  <c r="UEB102" i="62"/>
  <c r="UDZ102" i="62"/>
  <c r="UDX102" i="62"/>
  <c r="UDV102" i="62"/>
  <c r="UDT102" i="62"/>
  <c r="UDR102" i="62"/>
  <c r="UDP102" i="62"/>
  <c r="UDN102" i="62"/>
  <c r="UDL102" i="62"/>
  <c r="UDJ102" i="62"/>
  <c r="UDH102" i="62"/>
  <c r="UDF102" i="62"/>
  <c r="UDD102" i="62"/>
  <c r="UDB102" i="62"/>
  <c r="UCZ102" i="62"/>
  <c r="UCX102" i="62"/>
  <c r="UCV102" i="62"/>
  <c r="UCT102" i="62"/>
  <c r="UCR102" i="62"/>
  <c r="UCP102" i="62"/>
  <c r="UCN102" i="62"/>
  <c r="UCL102" i="62"/>
  <c r="UCJ102" i="62"/>
  <c r="UCH102" i="62"/>
  <c r="UCF102" i="62"/>
  <c r="UCD102" i="62"/>
  <c r="UCB102" i="62"/>
  <c r="UBZ102" i="62"/>
  <c r="UBX102" i="62"/>
  <c r="UBV102" i="62"/>
  <c r="UBT102" i="62"/>
  <c r="UBR102" i="62"/>
  <c r="UBP102" i="62"/>
  <c r="UBN102" i="62"/>
  <c r="UBL102" i="62"/>
  <c r="UBJ102" i="62"/>
  <c r="UBH102" i="62"/>
  <c r="UBF102" i="62"/>
  <c r="UBD102" i="62"/>
  <c r="UBB102" i="62"/>
  <c r="UAZ102" i="62"/>
  <c r="UAX102" i="62"/>
  <c r="UAV102" i="62"/>
  <c r="UAT102" i="62"/>
  <c r="UAR102" i="62"/>
  <c r="UAP102" i="62"/>
  <c r="UAN102" i="62"/>
  <c r="UAL102" i="62"/>
  <c r="UAJ102" i="62"/>
  <c r="UAH102" i="62"/>
  <c r="UAF102" i="62"/>
  <c r="UAD102" i="62"/>
  <c r="UAB102" i="62"/>
  <c r="TZZ102" i="62"/>
  <c r="TZX102" i="62"/>
  <c r="TZV102" i="62"/>
  <c r="TZT102" i="62"/>
  <c r="TZR102" i="62"/>
  <c r="TZP102" i="62"/>
  <c r="TZN102" i="62"/>
  <c r="TZL102" i="62"/>
  <c r="TZJ102" i="62"/>
  <c r="TZH102" i="62"/>
  <c r="TZF102" i="62"/>
  <c r="TZD102" i="62"/>
  <c r="TZB102" i="62"/>
  <c r="TYZ102" i="62"/>
  <c r="TYX102" i="62"/>
  <c r="TYV102" i="62"/>
  <c r="TYT102" i="62"/>
  <c r="TYR102" i="62"/>
  <c r="TYP102" i="62"/>
  <c r="TYN102" i="62"/>
  <c r="TYL102" i="62"/>
  <c r="TYJ102" i="62"/>
  <c r="TYH102" i="62"/>
  <c r="TYF102" i="62"/>
  <c r="TYD102" i="62"/>
  <c r="TYB102" i="62"/>
  <c r="TXZ102" i="62"/>
  <c r="TXX102" i="62"/>
  <c r="TXV102" i="62"/>
  <c r="TXT102" i="62"/>
  <c r="TXR102" i="62"/>
  <c r="TXP102" i="62"/>
  <c r="TXN102" i="62"/>
  <c r="TXL102" i="62"/>
  <c r="TXJ102" i="62"/>
  <c r="TXH102" i="62"/>
  <c r="TXF102" i="62"/>
  <c r="TXD102" i="62"/>
  <c r="TXB102" i="62"/>
  <c r="TWZ102" i="62"/>
  <c r="TWX102" i="62"/>
  <c r="TWV102" i="62"/>
  <c r="TWT102" i="62"/>
  <c r="TWR102" i="62"/>
  <c r="TWP102" i="62"/>
  <c r="TWN102" i="62"/>
  <c r="TWL102" i="62"/>
  <c r="TWJ102" i="62"/>
  <c r="TWH102" i="62"/>
  <c r="TWF102" i="62"/>
  <c r="TWD102" i="62"/>
  <c r="TWB102" i="62"/>
  <c r="TVZ102" i="62"/>
  <c r="TVX102" i="62"/>
  <c r="TVV102" i="62"/>
  <c r="TVT102" i="62"/>
  <c r="TVR102" i="62"/>
  <c r="TVP102" i="62"/>
  <c r="TVN102" i="62"/>
  <c r="TVL102" i="62"/>
  <c r="TVJ102" i="62"/>
  <c r="TVH102" i="62"/>
  <c r="TVF102" i="62"/>
  <c r="TVD102" i="62"/>
  <c r="TVB102" i="62"/>
  <c r="TUZ102" i="62"/>
  <c r="TUX102" i="62"/>
  <c r="TUV102" i="62"/>
  <c r="TUT102" i="62"/>
  <c r="TUR102" i="62"/>
  <c r="TUP102" i="62"/>
  <c r="TUN102" i="62"/>
  <c r="TUL102" i="62"/>
  <c r="TUJ102" i="62"/>
  <c r="TUH102" i="62"/>
  <c r="TUF102" i="62"/>
  <c r="TUD102" i="62"/>
  <c r="TUB102" i="62"/>
  <c r="TTZ102" i="62"/>
  <c r="TTX102" i="62"/>
  <c r="TTV102" i="62"/>
  <c r="TTT102" i="62"/>
  <c r="TTR102" i="62"/>
  <c r="TTP102" i="62"/>
  <c r="TTN102" i="62"/>
  <c r="TTL102" i="62"/>
  <c r="TTJ102" i="62"/>
  <c r="TTH102" i="62"/>
  <c r="TTF102" i="62"/>
  <c r="TTD102" i="62"/>
  <c r="TTB102" i="62"/>
  <c r="TSZ102" i="62"/>
  <c r="TSX102" i="62"/>
  <c r="TSV102" i="62"/>
  <c r="TST102" i="62"/>
  <c r="TSR102" i="62"/>
  <c r="TSP102" i="62"/>
  <c r="TSN102" i="62"/>
  <c r="TSL102" i="62"/>
  <c r="TSJ102" i="62"/>
  <c r="TSH102" i="62"/>
  <c r="TSF102" i="62"/>
  <c r="TSD102" i="62"/>
  <c r="TSB102" i="62"/>
  <c r="TRZ102" i="62"/>
  <c r="TRX102" i="62"/>
  <c r="TRV102" i="62"/>
  <c r="TRT102" i="62"/>
  <c r="TRR102" i="62"/>
  <c r="TRP102" i="62"/>
  <c r="TRN102" i="62"/>
  <c r="TRL102" i="62"/>
  <c r="TRJ102" i="62"/>
  <c r="TRH102" i="62"/>
  <c r="TRF102" i="62"/>
  <c r="TRD102" i="62"/>
  <c r="TRB102" i="62"/>
  <c r="TQZ102" i="62"/>
  <c r="TQX102" i="62"/>
  <c r="TQV102" i="62"/>
  <c r="TQT102" i="62"/>
  <c r="TQR102" i="62"/>
  <c r="TQP102" i="62"/>
  <c r="TQN102" i="62"/>
  <c r="TQL102" i="62"/>
  <c r="TQJ102" i="62"/>
  <c r="TQH102" i="62"/>
  <c r="TQF102" i="62"/>
  <c r="TQD102" i="62"/>
  <c r="TQB102" i="62"/>
  <c r="TPZ102" i="62"/>
  <c r="TPX102" i="62"/>
  <c r="TPV102" i="62"/>
  <c r="TPT102" i="62"/>
  <c r="TPR102" i="62"/>
  <c r="TPP102" i="62"/>
  <c r="TPN102" i="62"/>
  <c r="TPL102" i="62"/>
  <c r="TPJ102" i="62"/>
  <c r="TPH102" i="62"/>
  <c r="TPF102" i="62"/>
  <c r="TPD102" i="62"/>
  <c r="TPB102" i="62"/>
  <c r="TOZ102" i="62"/>
  <c r="TOX102" i="62"/>
  <c r="TOV102" i="62"/>
  <c r="TOT102" i="62"/>
  <c r="TOR102" i="62"/>
  <c r="TOP102" i="62"/>
  <c r="TON102" i="62"/>
  <c r="TOL102" i="62"/>
  <c r="TOJ102" i="62"/>
  <c r="TOH102" i="62"/>
  <c r="TOF102" i="62"/>
  <c r="TOD102" i="62"/>
  <c r="TOB102" i="62"/>
  <c r="TNZ102" i="62"/>
  <c r="TNX102" i="62"/>
  <c r="TNV102" i="62"/>
  <c r="TNT102" i="62"/>
  <c r="TNR102" i="62"/>
  <c r="TNP102" i="62"/>
  <c r="TNN102" i="62"/>
  <c r="TNL102" i="62"/>
  <c r="TNJ102" i="62"/>
  <c r="TNH102" i="62"/>
  <c r="TNF102" i="62"/>
  <c r="TND102" i="62"/>
  <c r="TNB102" i="62"/>
  <c r="TMZ102" i="62"/>
  <c r="TMX102" i="62"/>
  <c r="TMV102" i="62"/>
  <c r="TMT102" i="62"/>
  <c r="TMR102" i="62"/>
  <c r="TMP102" i="62"/>
  <c r="TMN102" i="62"/>
  <c r="TML102" i="62"/>
  <c r="TMJ102" i="62"/>
  <c r="TMH102" i="62"/>
  <c r="TMF102" i="62"/>
  <c r="TMD102" i="62"/>
  <c r="TMB102" i="62"/>
  <c r="TLZ102" i="62"/>
  <c r="TLX102" i="62"/>
  <c r="TLV102" i="62"/>
  <c r="TLT102" i="62"/>
  <c r="TLR102" i="62"/>
  <c r="TLP102" i="62"/>
  <c r="TLN102" i="62"/>
  <c r="TLL102" i="62"/>
  <c r="TLJ102" i="62"/>
  <c r="TLH102" i="62"/>
  <c r="TLF102" i="62"/>
  <c r="TLD102" i="62"/>
  <c r="TLB102" i="62"/>
  <c r="TKZ102" i="62"/>
  <c r="TKX102" i="62"/>
  <c r="TKV102" i="62"/>
  <c r="TKT102" i="62"/>
  <c r="TKR102" i="62"/>
  <c r="TKP102" i="62"/>
  <c r="TKN102" i="62"/>
  <c r="TKL102" i="62"/>
  <c r="TKJ102" i="62"/>
  <c r="TKH102" i="62"/>
  <c r="TKF102" i="62"/>
  <c r="TKD102" i="62"/>
  <c r="TKB102" i="62"/>
  <c r="TJZ102" i="62"/>
  <c r="TJX102" i="62"/>
  <c r="TJV102" i="62"/>
  <c r="TJT102" i="62"/>
  <c r="TJR102" i="62"/>
  <c r="TJP102" i="62"/>
  <c r="TJN102" i="62"/>
  <c r="TJL102" i="62"/>
  <c r="TJJ102" i="62"/>
  <c r="TJH102" i="62"/>
  <c r="TJF102" i="62"/>
  <c r="TJD102" i="62"/>
  <c r="TJB102" i="62"/>
  <c r="TIZ102" i="62"/>
  <c r="TIX102" i="62"/>
  <c r="TIV102" i="62"/>
  <c r="TIT102" i="62"/>
  <c r="TIR102" i="62"/>
  <c r="TIP102" i="62"/>
  <c r="TIN102" i="62"/>
  <c r="TIL102" i="62"/>
  <c r="TIJ102" i="62"/>
  <c r="TIH102" i="62"/>
  <c r="TIF102" i="62"/>
  <c r="TID102" i="62"/>
  <c r="TIB102" i="62"/>
  <c r="THZ102" i="62"/>
  <c r="THX102" i="62"/>
  <c r="THV102" i="62"/>
  <c r="THT102" i="62"/>
  <c r="THR102" i="62"/>
  <c r="THP102" i="62"/>
  <c r="THN102" i="62"/>
  <c r="THL102" i="62"/>
  <c r="THJ102" i="62"/>
  <c r="THH102" i="62"/>
  <c r="THF102" i="62"/>
  <c r="THD102" i="62"/>
  <c r="THB102" i="62"/>
  <c r="TGZ102" i="62"/>
  <c r="TGX102" i="62"/>
  <c r="TGV102" i="62"/>
  <c r="TGT102" i="62"/>
  <c r="TGR102" i="62"/>
  <c r="TGP102" i="62"/>
  <c r="TGN102" i="62"/>
  <c r="TGL102" i="62"/>
  <c r="TGJ102" i="62"/>
  <c r="TGH102" i="62"/>
  <c r="TGF102" i="62"/>
  <c r="TGD102" i="62"/>
  <c r="TGB102" i="62"/>
  <c r="TFZ102" i="62"/>
  <c r="TFX102" i="62"/>
  <c r="TFV102" i="62"/>
  <c r="TFT102" i="62"/>
  <c r="TFR102" i="62"/>
  <c r="TFP102" i="62"/>
  <c r="TFN102" i="62"/>
  <c r="TFL102" i="62"/>
  <c r="TFJ102" i="62"/>
  <c r="TFH102" i="62"/>
  <c r="TFF102" i="62"/>
  <c r="TFD102" i="62"/>
  <c r="TFB102" i="62"/>
  <c r="TEZ102" i="62"/>
  <c r="TEX102" i="62"/>
  <c r="TEV102" i="62"/>
  <c r="TET102" i="62"/>
  <c r="TER102" i="62"/>
  <c r="TEP102" i="62"/>
  <c r="TEN102" i="62"/>
  <c r="TEL102" i="62"/>
  <c r="TEJ102" i="62"/>
  <c r="TEH102" i="62"/>
  <c r="TEF102" i="62"/>
  <c r="TED102" i="62"/>
  <c r="TEB102" i="62"/>
  <c r="TDZ102" i="62"/>
  <c r="TDX102" i="62"/>
  <c r="TDV102" i="62"/>
  <c r="TDT102" i="62"/>
  <c r="TDR102" i="62"/>
  <c r="TDP102" i="62"/>
  <c r="TDN102" i="62"/>
  <c r="TDL102" i="62"/>
  <c r="TDJ102" i="62"/>
  <c r="TDH102" i="62"/>
  <c r="TDF102" i="62"/>
  <c r="TDD102" i="62"/>
  <c r="TDB102" i="62"/>
  <c r="TCZ102" i="62"/>
  <c r="TCX102" i="62"/>
  <c r="TCV102" i="62"/>
  <c r="TCT102" i="62"/>
  <c r="TCR102" i="62"/>
  <c r="TCP102" i="62"/>
  <c r="TCN102" i="62"/>
  <c r="TCL102" i="62"/>
  <c r="TCJ102" i="62"/>
  <c r="TCH102" i="62"/>
  <c r="TCF102" i="62"/>
  <c r="TCD102" i="62"/>
  <c r="TCB102" i="62"/>
  <c r="TBZ102" i="62"/>
  <c r="TBX102" i="62"/>
  <c r="TBV102" i="62"/>
  <c r="TBT102" i="62"/>
  <c r="TBR102" i="62"/>
  <c r="TBP102" i="62"/>
  <c r="TBN102" i="62"/>
  <c r="TBL102" i="62"/>
  <c r="TBJ102" i="62"/>
  <c r="TBH102" i="62"/>
  <c r="TBF102" i="62"/>
  <c r="TBD102" i="62"/>
  <c r="TBB102" i="62"/>
  <c r="TAZ102" i="62"/>
  <c r="TAX102" i="62"/>
  <c r="TAV102" i="62"/>
  <c r="TAT102" i="62"/>
  <c r="TAR102" i="62"/>
  <c r="TAP102" i="62"/>
  <c r="TAN102" i="62"/>
  <c r="TAL102" i="62"/>
  <c r="TAJ102" i="62"/>
  <c r="TAH102" i="62"/>
  <c r="TAF102" i="62"/>
  <c r="TAD102" i="62"/>
  <c r="TAB102" i="62"/>
  <c r="SZZ102" i="62"/>
  <c r="SZX102" i="62"/>
  <c r="SZV102" i="62"/>
  <c r="SZT102" i="62"/>
  <c r="SZR102" i="62"/>
  <c r="SZP102" i="62"/>
  <c r="SZN102" i="62"/>
  <c r="SZL102" i="62"/>
  <c r="SZJ102" i="62"/>
  <c r="SZH102" i="62"/>
  <c r="SZF102" i="62"/>
  <c r="SZD102" i="62"/>
  <c r="SZB102" i="62"/>
  <c r="SYZ102" i="62"/>
  <c r="SYX102" i="62"/>
  <c r="SYV102" i="62"/>
  <c r="SYT102" i="62"/>
  <c r="SYR102" i="62"/>
  <c r="SYP102" i="62"/>
  <c r="SYN102" i="62"/>
  <c r="SYL102" i="62"/>
  <c r="SYJ102" i="62"/>
  <c r="SYH102" i="62"/>
  <c r="SYF102" i="62"/>
  <c r="SYD102" i="62"/>
  <c r="SYB102" i="62"/>
  <c r="SXZ102" i="62"/>
  <c r="SXX102" i="62"/>
  <c r="SXV102" i="62"/>
  <c r="SXT102" i="62"/>
  <c r="SXR102" i="62"/>
  <c r="SXP102" i="62"/>
  <c r="SXN102" i="62"/>
  <c r="SXL102" i="62"/>
  <c r="SXJ102" i="62"/>
  <c r="SXH102" i="62"/>
  <c r="SXF102" i="62"/>
  <c r="SXD102" i="62"/>
  <c r="SXB102" i="62"/>
  <c r="SWZ102" i="62"/>
  <c r="SWX102" i="62"/>
  <c r="SWV102" i="62"/>
  <c r="SWT102" i="62"/>
  <c r="SWR102" i="62"/>
  <c r="SWP102" i="62"/>
  <c r="SWN102" i="62"/>
  <c r="SWL102" i="62"/>
  <c r="SWJ102" i="62"/>
  <c r="SWH102" i="62"/>
  <c r="SWF102" i="62"/>
  <c r="SWD102" i="62"/>
  <c r="SWB102" i="62"/>
  <c r="SVZ102" i="62"/>
  <c r="SVX102" i="62"/>
  <c r="SVV102" i="62"/>
  <c r="SVT102" i="62"/>
  <c r="SVR102" i="62"/>
  <c r="SVP102" i="62"/>
  <c r="SVN102" i="62"/>
  <c r="SVL102" i="62"/>
  <c r="SVJ102" i="62"/>
  <c r="SVH102" i="62"/>
  <c r="SVF102" i="62"/>
  <c r="SVD102" i="62"/>
  <c r="SVB102" i="62"/>
  <c r="SUZ102" i="62"/>
  <c r="SUX102" i="62"/>
  <c r="SUV102" i="62"/>
  <c r="SUT102" i="62"/>
  <c r="SUR102" i="62"/>
  <c r="SUP102" i="62"/>
  <c r="SUN102" i="62"/>
  <c r="SUL102" i="62"/>
  <c r="SUJ102" i="62"/>
  <c r="SUH102" i="62"/>
  <c r="SUF102" i="62"/>
  <c r="SUD102" i="62"/>
  <c r="SUB102" i="62"/>
  <c r="STZ102" i="62"/>
  <c r="STX102" i="62"/>
  <c r="STV102" i="62"/>
  <c r="STT102" i="62"/>
  <c r="STR102" i="62"/>
  <c r="STP102" i="62"/>
  <c r="STN102" i="62"/>
  <c r="STL102" i="62"/>
  <c r="STJ102" i="62"/>
  <c r="STH102" i="62"/>
  <c r="STF102" i="62"/>
  <c r="STD102" i="62"/>
  <c r="STB102" i="62"/>
  <c r="SSZ102" i="62"/>
  <c r="SSX102" i="62"/>
  <c r="SSV102" i="62"/>
  <c r="SST102" i="62"/>
  <c r="SSR102" i="62"/>
  <c r="SSP102" i="62"/>
  <c r="SSN102" i="62"/>
  <c r="SSL102" i="62"/>
  <c r="SSJ102" i="62"/>
  <c r="SSH102" i="62"/>
  <c r="SSF102" i="62"/>
  <c r="SSD102" i="62"/>
  <c r="SSB102" i="62"/>
  <c r="SRZ102" i="62"/>
  <c r="SRX102" i="62"/>
  <c r="SRV102" i="62"/>
  <c r="SRT102" i="62"/>
  <c r="SRR102" i="62"/>
  <c r="SRP102" i="62"/>
  <c r="SRN102" i="62"/>
  <c r="SRL102" i="62"/>
  <c r="SRJ102" i="62"/>
  <c r="SRH102" i="62"/>
  <c r="SRF102" i="62"/>
  <c r="SRD102" i="62"/>
  <c r="SRB102" i="62"/>
  <c r="SQZ102" i="62"/>
  <c r="SQX102" i="62"/>
  <c r="SQV102" i="62"/>
  <c r="SQT102" i="62"/>
  <c r="SQR102" i="62"/>
  <c r="SQP102" i="62"/>
  <c r="SQN102" i="62"/>
  <c r="SQL102" i="62"/>
  <c r="SQJ102" i="62"/>
  <c r="SQH102" i="62"/>
  <c r="SQF102" i="62"/>
  <c r="SQD102" i="62"/>
  <c r="SQB102" i="62"/>
  <c r="SPZ102" i="62"/>
  <c r="SPX102" i="62"/>
  <c r="SPV102" i="62"/>
  <c r="SPT102" i="62"/>
  <c r="SPR102" i="62"/>
  <c r="SPP102" i="62"/>
  <c r="SPN102" i="62"/>
  <c r="SPL102" i="62"/>
  <c r="SPJ102" i="62"/>
  <c r="SPH102" i="62"/>
  <c r="SPF102" i="62"/>
  <c r="SPD102" i="62"/>
  <c r="SPB102" i="62"/>
  <c r="SOZ102" i="62"/>
  <c r="SOX102" i="62"/>
  <c r="SOV102" i="62"/>
  <c r="SOT102" i="62"/>
  <c r="SOR102" i="62"/>
  <c r="SOP102" i="62"/>
  <c r="SON102" i="62"/>
  <c r="SOL102" i="62"/>
  <c r="SOJ102" i="62"/>
  <c r="SOH102" i="62"/>
  <c r="SOF102" i="62"/>
  <c r="SOD102" i="62"/>
  <c r="SOB102" i="62"/>
  <c r="SNZ102" i="62"/>
  <c r="SNX102" i="62"/>
  <c r="SNV102" i="62"/>
  <c r="SNT102" i="62"/>
  <c r="SNR102" i="62"/>
  <c r="SNP102" i="62"/>
  <c r="SNN102" i="62"/>
  <c r="SNL102" i="62"/>
  <c r="SNJ102" i="62"/>
  <c r="SNH102" i="62"/>
  <c r="SNF102" i="62"/>
  <c r="SND102" i="62"/>
  <c r="SNB102" i="62"/>
  <c r="SMZ102" i="62"/>
  <c r="SMX102" i="62"/>
  <c r="SMV102" i="62"/>
  <c r="SMT102" i="62"/>
  <c r="SMR102" i="62"/>
  <c r="SMP102" i="62"/>
  <c r="SMN102" i="62"/>
  <c r="SML102" i="62"/>
  <c r="SMJ102" i="62"/>
  <c r="SMH102" i="62"/>
  <c r="SMF102" i="62"/>
  <c r="SMD102" i="62"/>
  <c r="SMB102" i="62"/>
  <c r="SLZ102" i="62"/>
  <c r="SLX102" i="62"/>
  <c r="SLV102" i="62"/>
  <c r="SLT102" i="62"/>
  <c r="SLR102" i="62"/>
  <c r="SLP102" i="62"/>
  <c r="SLN102" i="62"/>
  <c r="SLL102" i="62"/>
  <c r="SLJ102" i="62"/>
  <c r="SLH102" i="62"/>
  <c r="SLF102" i="62"/>
  <c r="SLD102" i="62"/>
  <c r="SLB102" i="62"/>
  <c r="SKZ102" i="62"/>
  <c r="SKX102" i="62"/>
  <c r="SKV102" i="62"/>
  <c r="SKT102" i="62"/>
  <c r="SKR102" i="62"/>
  <c r="SKP102" i="62"/>
  <c r="SKN102" i="62"/>
  <c r="SKL102" i="62"/>
  <c r="SKJ102" i="62"/>
  <c r="SKH102" i="62"/>
  <c r="SKF102" i="62"/>
  <c r="SKD102" i="62"/>
  <c r="SKB102" i="62"/>
  <c r="SJZ102" i="62"/>
  <c r="SJX102" i="62"/>
  <c r="SJV102" i="62"/>
  <c r="SJT102" i="62"/>
  <c r="SJR102" i="62"/>
  <c r="SJP102" i="62"/>
  <c r="SJN102" i="62"/>
  <c r="SJL102" i="62"/>
  <c r="SJJ102" i="62"/>
  <c r="SJH102" i="62"/>
  <c r="SJF102" i="62"/>
  <c r="SJD102" i="62"/>
  <c r="SJB102" i="62"/>
  <c r="SIZ102" i="62"/>
  <c r="SIX102" i="62"/>
  <c r="SIV102" i="62"/>
  <c r="SIT102" i="62"/>
  <c r="SIR102" i="62"/>
  <c r="SIP102" i="62"/>
  <c r="SIN102" i="62"/>
  <c r="SIL102" i="62"/>
  <c r="SIJ102" i="62"/>
  <c r="SIH102" i="62"/>
  <c r="SIF102" i="62"/>
  <c r="SID102" i="62"/>
  <c r="SIB102" i="62"/>
  <c r="SHZ102" i="62"/>
  <c r="SHX102" i="62"/>
  <c r="SHV102" i="62"/>
  <c r="SHT102" i="62"/>
  <c r="SHR102" i="62"/>
  <c r="SHP102" i="62"/>
  <c r="SHN102" i="62"/>
  <c r="SHL102" i="62"/>
  <c r="SHJ102" i="62"/>
  <c r="SHH102" i="62"/>
  <c r="SHF102" i="62"/>
  <c r="SHD102" i="62"/>
  <c r="SHB102" i="62"/>
  <c r="SGZ102" i="62"/>
  <c r="SGX102" i="62"/>
  <c r="SGV102" i="62"/>
  <c r="SGT102" i="62"/>
  <c r="SGR102" i="62"/>
  <c r="SGP102" i="62"/>
  <c r="SGN102" i="62"/>
  <c r="SGL102" i="62"/>
  <c r="SGJ102" i="62"/>
  <c r="SGH102" i="62"/>
  <c r="SGF102" i="62"/>
  <c r="SGD102" i="62"/>
  <c r="SGB102" i="62"/>
  <c r="SFZ102" i="62"/>
  <c r="SFX102" i="62"/>
  <c r="SFV102" i="62"/>
  <c r="SFT102" i="62"/>
  <c r="SFR102" i="62"/>
  <c r="SFP102" i="62"/>
  <c r="SFN102" i="62"/>
  <c r="SFL102" i="62"/>
  <c r="SFJ102" i="62"/>
  <c r="SFH102" i="62"/>
  <c r="SFF102" i="62"/>
  <c r="SFD102" i="62"/>
  <c r="SFB102" i="62"/>
  <c r="SEZ102" i="62"/>
  <c r="SEX102" i="62"/>
  <c r="SEV102" i="62"/>
  <c r="SET102" i="62"/>
  <c r="SER102" i="62"/>
  <c r="SEP102" i="62"/>
  <c r="SEN102" i="62"/>
  <c r="SEL102" i="62"/>
  <c r="SEJ102" i="62"/>
  <c r="SEH102" i="62"/>
  <c r="SEF102" i="62"/>
  <c r="SED102" i="62"/>
  <c r="SEB102" i="62"/>
  <c r="SDZ102" i="62"/>
  <c r="SDX102" i="62"/>
  <c r="SDV102" i="62"/>
  <c r="SDT102" i="62"/>
  <c r="SDR102" i="62"/>
  <c r="SDP102" i="62"/>
  <c r="SDN102" i="62"/>
  <c r="SDL102" i="62"/>
  <c r="SDJ102" i="62"/>
  <c r="SDH102" i="62"/>
  <c r="SDF102" i="62"/>
  <c r="SDD102" i="62"/>
  <c r="SDB102" i="62"/>
  <c r="SCZ102" i="62"/>
  <c r="SCX102" i="62"/>
  <c r="SCV102" i="62"/>
  <c r="SCT102" i="62"/>
  <c r="SCR102" i="62"/>
  <c r="SCP102" i="62"/>
  <c r="SCN102" i="62"/>
  <c r="SCL102" i="62"/>
  <c r="SCJ102" i="62"/>
  <c r="SCH102" i="62"/>
  <c r="SCF102" i="62"/>
  <c r="SCD102" i="62"/>
  <c r="SCB102" i="62"/>
  <c r="SBZ102" i="62"/>
  <c r="SBX102" i="62"/>
  <c r="SBV102" i="62"/>
  <c r="SBT102" i="62"/>
  <c r="SBR102" i="62"/>
  <c r="SBP102" i="62"/>
  <c r="SBN102" i="62"/>
  <c r="SBL102" i="62"/>
  <c r="SBJ102" i="62"/>
  <c r="SBH102" i="62"/>
  <c r="SBF102" i="62"/>
  <c r="SBD102" i="62"/>
  <c r="SBB102" i="62"/>
  <c r="SAZ102" i="62"/>
  <c r="SAX102" i="62"/>
  <c r="SAV102" i="62"/>
  <c r="SAT102" i="62"/>
  <c r="SAR102" i="62"/>
  <c r="SAP102" i="62"/>
  <c r="SAN102" i="62"/>
  <c r="SAL102" i="62"/>
  <c r="SAJ102" i="62"/>
  <c r="SAH102" i="62"/>
  <c r="SAF102" i="62"/>
  <c r="SAD102" i="62"/>
  <c r="SAB102" i="62"/>
  <c r="RZZ102" i="62"/>
  <c r="RZX102" i="62"/>
  <c r="RZV102" i="62"/>
  <c r="RZT102" i="62"/>
  <c r="RZR102" i="62"/>
  <c r="RZP102" i="62"/>
  <c r="RZN102" i="62"/>
  <c r="RZL102" i="62"/>
  <c r="RZJ102" i="62"/>
  <c r="RZH102" i="62"/>
  <c r="RZF102" i="62"/>
  <c r="RZD102" i="62"/>
  <c r="RZB102" i="62"/>
  <c r="RYZ102" i="62"/>
  <c r="RYX102" i="62"/>
  <c r="RYV102" i="62"/>
  <c r="RYT102" i="62"/>
  <c r="RYR102" i="62"/>
  <c r="RYP102" i="62"/>
  <c r="RYN102" i="62"/>
  <c r="RYL102" i="62"/>
  <c r="RYJ102" i="62"/>
  <c r="RYH102" i="62"/>
  <c r="RYF102" i="62"/>
  <c r="RYD102" i="62"/>
  <c r="RYB102" i="62"/>
  <c r="RXZ102" i="62"/>
  <c r="RXX102" i="62"/>
  <c r="RXV102" i="62"/>
  <c r="RXT102" i="62"/>
  <c r="RXR102" i="62"/>
  <c r="RXP102" i="62"/>
  <c r="RXN102" i="62"/>
  <c r="RXL102" i="62"/>
  <c r="RXJ102" i="62"/>
  <c r="RXH102" i="62"/>
  <c r="RXF102" i="62"/>
  <c r="RXD102" i="62"/>
  <c r="RXB102" i="62"/>
  <c r="RWZ102" i="62"/>
  <c r="RWX102" i="62"/>
  <c r="RWV102" i="62"/>
  <c r="RWT102" i="62"/>
  <c r="RWR102" i="62"/>
  <c r="RWP102" i="62"/>
  <c r="RWN102" i="62"/>
  <c r="RWL102" i="62"/>
  <c r="RWJ102" i="62"/>
  <c r="RWH102" i="62"/>
  <c r="RWF102" i="62"/>
  <c r="RWD102" i="62"/>
  <c r="RWB102" i="62"/>
  <c r="RVZ102" i="62"/>
  <c r="RVX102" i="62"/>
  <c r="RVV102" i="62"/>
  <c r="RVT102" i="62"/>
  <c r="RVR102" i="62"/>
  <c r="RVP102" i="62"/>
  <c r="RVN102" i="62"/>
  <c r="RVL102" i="62"/>
  <c r="RVJ102" i="62"/>
  <c r="RVH102" i="62"/>
  <c r="RVF102" i="62"/>
  <c r="RVD102" i="62"/>
  <c r="RVB102" i="62"/>
  <c r="RUZ102" i="62"/>
  <c r="RUX102" i="62"/>
  <c r="RUV102" i="62"/>
  <c r="RUT102" i="62"/>
  <c r="RUR102" i="62"/>
  <c r="RUP102" i="62"/>
  <c r="RUN102" i="62"/>
  <c r="RUL102" i="62"/>
  <c r="RUJ102" i="62"/>
  <c r="RUH102" i="62"/>
  <c r="RUF102" i="62"/>
  <c r="RUD102" i="62"/>
  <c r="RUB102" i="62"/>
  <c r="RTZ102" i="62"/>
  <c r="RTX102" i="62"/>
  <c r="RTV102" i="62"/>
  <c r="RTT102" i="62"/>
  <c r="RTR102" i="62"/>
  <c r="RTP102" i="62"/>
  <c r="RTN102" i="62"/>
  <c r="RTL102" i="62"/>
  <c r="RTJ102" i="62"/>
  <c r="RTH102" i="62"/>
  <c r="RTF102" i="62"/>
  <c r="RTD102" i="62"/>
  <c r="RTB102" i="62"/>
  <c r="RSZ102" i="62"/>
  <c r="RSX102" i="62"/>
  <c r="RSV102" i="62"/>
  <c r="RST102" i="62"/>
  <c r="RSR102" i="62"/>
  <c r="RSP102" i="62"/>
  <c r="RSN102" i="62"/>
  <c r="RSL102" i="62"/>
  <c r="RSJ102" i="62"/>
  <c r="RSH102" i="62"/>
  <c r="RSF102" i="62"/>
  <c r="RSD102" i="62"/>
  <c r="RSB102" i="62"/>
  <c r="RRZ102" i="62"/>
  <c r="RRX102" i="62"/>
  <c r="RRV102" i="62"/>
  <c r="RRT102" i="62"/>
  <c r="RRR102" i="62"/>
  <c r="RRP102" i="62"/>
  <c r="RRN102" i="62"/>
  <c r="RRL102" i="62"/>
  <c r="RRJ102" i="62"/>
  <c r="RRH102" i="62"/>
  <c r="RRF102" i="62"/>
  <c r="RRD102" i="62"/>
  <c r="RRB102" i="62"/>
  <c r="RQZ102" i="62"/>
  <c r="RQX102" i="62"/>
  <c r="RQV102" i="62"/>
  <c r="RQT102" i="62"/>
  <c r="RQR102" i="62"/>
  <c r="RQP102" i="62"/>
  <c r="RQN102" i="62"/>
  <c r="RQL102" i="62"/>
  <c r="RQJ102" i="62"/>
  <c r="RQH102" i="62"/>
  <c r="RQF102" i="62"/>
  <c r="RQD102" i="62"/>
  <c r="RQB102" i="62"/>
  <c r="RPZ102" i="62"/>
  <c r="RPX102" i="62"/>
  <c r="RPV102" i="62"/>
  <c r="RPT102" i="62"/>
  <c r="RPR102" i="62"/>
  <c r="RPP102" i="62"/>
  <c r="RPN102" i="62"/>
  <c r="RPL102" i="62"/>
  <c r="RPJ102" i="62"/>
  <c r="RPH102" i="62"/>
  <c r="RPF102" i="62"/>
  <c r="RPD102" i="62"/>
  <c r="RPB102" i="62"/>
  <c r="ROZ102" i="62"/>
  <c r="ROX102" i="62"/>
  <c r="ROV102" i="62"/>
  <c r="ROT102" i="62"/>
  <c r="ROR102" i="62"/>
  <c r="ROP102" i="62"/>
  <c r="RON102" i="62"/>
  <c r="ROL102" i="62"/>
  <c r="ROJ102" i="62"/>
  <c r="ROH102" i="62"/>
  <c r="ROF102" i="62"/>
  <c r="ROD102" i="62"/>
  <c r="ROB102" i="62"/>
  <c r="RNZ102" i="62"/>
  <c r="RNX102" i="62"/>
  <c r="RNV102" i="62"/>
  <c r="RNT102" i="62"/>
  <c r="RNR102" i="62"/>
  <c r="RNP102" i="62"/>
  <c r="RNN102" i="62"/>
  <c r="RNL102" i="62"/>
  <c r="RNJ102" i="62"/>
  <c r="RNH102" i="62"/>
  <c r="RNF102" i="62"/>
  <c r="RND102" i="62"/>
  <c r="RNB102" i="62"/>
  <c r="RMZ102" i="62"/>
  <c r="RMX102" i="62"/>
  <c r="RMV102" i="62"/>
  <c r="RMT102" i="62"/>
  <c r="RMR102" i="62"/>
  <c r="RMP102" i="62"/>
  <c r="RMN102" i="62"/>
  <c r="RML102" i="62"/>
  <c r="RMJ102" i="62"/>
  <c r="RMH102" i="62"/>
  <c r="RMF102" i="62"/>
  <c r="RMD102" i="62"/>
  <c r="RMB102" i="62"/>
  <c r="RLZ102" i="62"/>
  <c r="RLX102" i="62"/>
  <c r="RLV102" i="62"/>
  <c r="RLT102" i="62"/>
  <c r="RLR102" i="62"/>
  <c r="RLP102" i="62"/>
  <c r="RLN102" i="62"/>
  <c r="RLL102" i="62"/>
  <c r="RLJ102" i="62"/>
  <c r="RLH102" i="62"/>
  <c r="RLF102" i="62"/>
  <c r="RLD102" i="62"/>
  <c r="RLB102" i="62"/>
  <c r="RKZ102" i="62"/>
  <c r="RKX102" i="62"/>
  <c r="RKV102" i="62"/>
  <c r="RKT102" i="62"/>
  <c r="RKR102" i="62"/>
  <c r="RKP102" i="62"/>
  <c r="RKN102" i="62"/>
  <c r="RKL102" i="62"/>
  <c r="RKJ102" i="62"/>
  <c r="RKH102" i="62"/>
  <c r="RKF102" i="62"/>
  <c r="RKD102" i="62"/>
  <c r="RKB102" i="62"/>
  <c r="RJZ102" i="62"/>
  <c r="RJX102" i="62"/>
  <c r="RJV102" i="62"/>
  <c r="RJT102" i="62"/>
  <c r="RJR102" i="62"/>
  <c r="RJP102" i="62"/>
  <c r="RJN102" i="62"/>
  <c r="RJL102" i="62"/>
  <c r="RJJ102" i="62"/>
  <c r="RJH102" i="62"/>
  <c r="RJF102" i="62"/>
  <c r="RJD102" i="62"/>
  <c r="RJB102" i="62"/>
  <c r="RIZ102" i="62"/>
  <c r="RIX102" i="62"/>
  <c r="RIV102" i="62"/>
  <c r="RIT102" i="62"/>
  <c r="RIR102" i="62"/>
  <c r="RIP102" i="62"/>
  <c r="RIN102" i="62"/>
  <c r="RIL102" i="62"/>
  <c r="RIJ102" i="62"/>
  <c r="RIH102" i="62"/>
  <c r="RIF102" i="62"/>
  <c r="RID102" i="62"/>
  <c r="RIB102" i="62"/>
  <c r="RHZ102" i="62"/>
  <c r="RHX102" i="62"/>
  <c r="RHV102" i="62"/>
  <c r="RHT102" i="62"/>
  <c r="RHR102" i="62"/>
  <c r="RHP102" i="62"/>
  <c r="RHN102" i="62"/>
  <c r="RHL102" i="62"/>
  <c r="RHJ102" i="62"/>
  <c r="RHH102" i="62"/>
  <c r="RHF102" i="62"/>
  <c r="RHD102" i="62"/>
  <c r="RHB102" i="62"/>
  <c r="RGZ102" i="62"/>
  <c r="RGX102" i="62"/>
  <c r="RGV102" i="62"/>
  <c r="RGT102" i="62"/>
  <c r="RGR102" i="62"/>
  <c r="RGP102" i="62"/>
  <c r="RGN102" i="62"/>
  <c r="RGL102" i="62"/>
  <c r="RGJ102" i="62"/>
  <c r="RGH102" i="62"/>
  <c r="RGF102" i="62"/>
  <c r="RGD102" i="62"/>
  <c r="RGB102" i="62"/>
  <c r="RFZ102" i="62"/>
  <c r="RFX102" i="62"/>
  <c r="RFV102" i="62"/>
  <c r="RFT102" i="62"/>
  <c r="RFR102" i="62"/>
  <c r="RFP102" i="62"/>
  <c r="RFN102" i="62"/>
  <c r="RFL102" i="62"/>
  <c r="RFJ102" i="62"/>
  <c r="RFH102" i="62"/>
  <c r="RFF102" i="62"/>
  <c r="RFD102" i="62"/>
  <c r="RFB102" i="62"/>
  <c r="REZ102" i="62"/>
  <c r="REX102" i="62"/>
  <c r="REV102" i="62"/>
  <c r="RET102" i="62"/>
  <c r="RER102" i="62"/>
  <c r="REP102" i="62"/>
  <c r="REN102" i="62"/>
  <c r="REL102" i="62"/>
  <c r="REJ102" i="62"/>
  <c r="REH102" i="62"/>
  <c r="REF102" i="62"/>
  <c r="RED102" i="62"/>
  <c r="REB102" i="62"/>
  <c r="RDZ102" i="62"/>
  <c r="RDX102" i="62"/>
  <c r="RDV102" i="62"/>
  <c r="RDT102" i="62"/>
  <c r="RDR102" i="62"/>
  <c r="RDP102" i="62"/>
  <c r="RDN102" i="62"/>
  <c r="RDL102" i="62"/>
  <c r="RDJ102" i="62"/>
  <c r="RDH102" i="62"/>
  <c r="RDF102" i="62"/>
  <c r="RDD102" i="62"/>
  <c r="RDB102" i="62"/>
  <c r="RCZ102" i="62"/>
  <c r="RCX102" i="62"/>
  <c r="RCV102" i="62"/>
  <c r="RCT102" i="62"/>
  <c r="RCR102" i="62"/>
  <c r="RCP102" i="62"/>
  <c r="RCN102" i="62"/>
  <c r="RCL102" i="62"/>
  <c r="RCJ102" i="62"/>
  <c r="RCH102" i="62"/>
  <c r="RCF102" i="62"/>
  <c r="RCD102" i="62"/>
  <c r="RCB102" i="62"/>
  <c r="RBZ102" i="62"/>
  <c r="RBX102" i="62"/>
  <c r="RBV102" i="62"/>
  <c r="RBT102" i="62"/>
  <c r="RBR102" i="62"/>
  <c r="RBP102" i="62"/>
  <c r="RBN102" i="62"/>
  <c r="RBL102" i="62"/>
  <c r="RBJ102" i="62"/>
  <c r="RBH102" i="62"/>
  <c r="RBF102" i="62"/>
  <c r="RBD102" i="62"/>
  <c r="RBB102" i="62"/>
  <c r="RAZ102" i="62"/>
  <c r="RAX102" i="62"/>
  <c r="RAV102" i="62"/>
  <c r="RAT102" i="62"/>
  <c r="RAR102" i="62"/>
  <c r="RAP102" i="62"/>
  <c r="RAN102" i="62"/>
  <c r="RAL102" i="62"/>
  <c r="RAJ102" i="62"/>
  <c r="RAH102" i="62"/>
  <c r="RAF102" i="62"/>
  <c r="RAD102" i="62"/>
  <c r="RAB102" i="62"/>
  <c r="QZZ102" i="62"/>
  <c r="QZX102" i="62"/>
  <c r="QZV102" i="62"/>
  <c r="QZT102" i="62"/>
  <c r="QZR102" i="62"/>
  <c r="QZP102" i="62"/>
  <c r="QZN102" i="62"/>
  <c r="QZL102" i="62"/>
  <c r="QZJ102" i="62"/>
  <c r="QZH102" i="62"/>
  <c r="QZF102" i="62"/>
  <c r="QZD102" i="62"/>
  <c r="QZB102" i="62"/>
  <c r="QYZ102" i="62"/>
  <c r="QYX102" i="62"/>
  <c r="QYV102" i="62"/>
  <c r="QYT102" i="62"/>
  <c r="QYR102" i="62"/>
  <c r="QYP102" i="62"/>
  <c r="QYN102" i="62"/>
  <c r="QYL102" i="62"/>
  <c r="QYJ102" i="62"/>
  <c r="QYH102" i="62"/>
  <c r="QYF102" i="62"/>
  <c r="QYD102" i="62"/>
  <c r="QYB102" i="62"/>
  <c r="QXZ102" i="62"/>
  <c r="QXX102" i="62"/>
  <c r="QXV102" i="62"/>
  <c r="QXT102" i="62"/>
  <c r="QXR102" i="62"/>
  <c r="QXP102" i="62"/>
  <c r="QXN102" i="62"/>
  <c r="QXL102" i="62"/>
  <c r="QXJ102" i="62"/>
  <c r="QXH102" i="62"/>
  <c r="QXF102" i="62"/>
  <c r="QXD102" i="62"/>
  <c r="QXB102" i="62"/>
  <c r="QWZ102" i="62"/>
  <c r="QWX102" i="62"/>
  <c r="QWV102" i="62"/>
  <c r="QWT102" i="62"/>
  <c r="QWR102" i="62"/>
  <c r="QWP102" i="62"/>
  <c r="QWN102" i="62"/>
  <c r="QWL102" i="62"/>
  <c r="QWJ102" i="62"/>
  <c r="QWH102" i="62"/>
  <c r="QWF102" i="62"/>
  <c r="QWD102" i="62"/>
  <c r="QWB102" i="62"/>
  <c r="QVZ102" i="62"/>
  <c r="QVX102" i="62"/>
  <c r="QVV102" i="62"/>
  <c r="QVT102" i="62"/>
  <c r="QVR102" i="62"/>
  <c r="QVP102" i="62"/>
  <c r="QVN102" i="62"/>
  <c r="QVL102" i="62"/>
  <c r="QVJ102" i="62"/>
  <c r="QVH102" i="62"/>
  <c r="QVF102" i="62"/>
  <c r="QVD102" i="62"/>
  <c r="QVB102" i="62"/>
  <c r="QUZ102" i="62"/>
  <c r="QUX102" i="62"/>
  <c r="QUV102" i="62"/>
  <c r="QUT102" i="62"/>
  <c r="QUR102" i="62"/>
  <c r="QUP102" i="62"/>
  <c r="QUN102" i="62"/>
  <c r="QUL102" i="62"/>
  <c r="QUJ102" i="62"/>
  <c r="QUH102" i="62"/>
  <c r="QUF102" i="62"/>
  <c r="QUD102" i="62"/>
  <c r="QUB102" i="62"/>
  <c r="QTZ102" i="62"/>
  <c r="QTX102" i="62"/>
  <c r="QTV102" i="62"/>
  <c r="QTT102" i="62"/>
  <c r="QTR102" i="62"/>
  <c r="QTP102" i="62"/>
  <c r="QTN102" i="62"/>
  <c r="QTL102" i="62"/>
  <c r="QTJ102" i="62"/>
  <c r="QTH102" i="62"/>
  <c r="QTF102" i="62"/>
  <c r="QTD102" i="62"/>
  <c r="QTB102" i="62"/>
  <c r="QSZ102" i="62"/>
  <c r="QSX102" i="62"/>
  <c r="QSV102" i="62"/>
  <c r="QST102" i="62"/>
  <c r="QSR102" i="62"/>
  <c r="QSP102" i="62"/>
  <c r="QSN102" i="62"/>
  <c r="QSL102" i="62"/>
  <c r="QSJ102" i="62"/>
  <c r="QSH102" i="62"/>
  <c r="QSF102" i="62"/>
  <c r="QSD102" i="62"/>
  <c r="QSB102" i="62"/>
  <c r="QRZ102" i="62"/>
  <c r="QRX102" i="62"/>
  <c r="QRV102" i="62"/>
  <c r="QRT102" i="62"/>
  <c r="QRR102" i="62"/>
  <c r="QRP102" i="62"/>
  <c r="QRN102" i="62"/>
  <c r="QRL102" i="62"/>
  <c r="QRJ102" i="62"/>
  <c r="QRH102" i="62"/>
  <c r="QRF102" i="62"/>
  <c r="QRD102" i="62"/>
  <c r="QRB102" i="62"/>
  <c r="QQZ102" i="62"/>
  <c r="QQX102" i="62"/>
  <c r="QQV102" i="62"/>
  <c r="QQT102" i="62"/>
  <c r="QQR102" i="62"/>
  <c r="QQP102" i="62"/>
  <c r="QQN102" i="62"/>
  <c r="QQL102" i="62"/>
  <c r="QQJ102" i="62"/>
  <c r="QQH102" i="62"/>
  <c r="QQF102" i="62"/>
  <c r="QQD102" i="62"/>
  <c r="QQB102" i="62"/>
  <c r="QPZ102" i="62"/>
  <c r="QPX102" i="62"/>
  <c r="QPV102" i="62"/>
  <c r="QPT102" i="62"/>
  <c r="QPR102" i="62"/>
  <c r="QPP102" i="62"/>
  <c r="QPN102" i="62"/>
  <c r="QPL102" i="62"/>
  <c r="QPJ102" i="62"/>
  <c r="QPH102" i="62"/>
  <c r="QPF102" i="62"/>
  <c r="QPD102" i="62"/>
  <c r="QPB102" i="62"/>
  <c r="QOZ102" i="62"/>
  <c r="QOX102" i="62"/>
  <c r="QOV102" i="62"/>
  <c r="QOT102" i="62"/>
  <c r="QOR102" i="62"/>
  <c r="QOP102" i="62"/>
  <c r="QON102" i="62"/>
  <c r="QOL102" i="62"/>
  <c r="QOJ102" i="62"/>
  <c r="QOH102" i="62"/>
  <c r="QOF102" i="62"/>
  <c r="QOD102" i="62"/>
  <c r="QOB102" i="62"/>
  <c r="QNZ102" i="62"/>
  <c r="QNX102" i="62"/>
  <c r="QNV102" i="62"/>
  <c r="QNT102" i="62"/>
  <c r="QNR102" i="62"/>
  <c r="QNP102" i="62"/>
  <c r="QNN102" i="62"/>
  <c r="QNL102" i="62"/>
  <c r="QNJ102" i="62"/>
  <c r="QNH102" i="62"/>
  <c r="QNF102" i="62"/>
  <c r="QND102" i="62"/>
  <c r="QNB102" i="62"/>
  <c r="QMZ102" i="62"/>
  <c r="QMX102" i="62"/>
  <c r="QMV102" i="62"/>
  <c r="QMT102" i="62"/>
  <c r="QMR102" i="62"/>
  <c r="QMP102" i="62"/>
  <c r="QMN102" i="62"/>
  <c r="QML102" i="62"/>
  <c r="QMJ102" i="62"/>
  <c r="QMH102" i="62"/>
  <c r="QMF102" i="62"/>
  <c r="QMD102" i="62"/>
  <c r="QMB102" i="62"/>
  <c r="QLZ102" i="62"/>
  <c r="QLX102" i="62"/>
  <c r="QLV102" i="62"/>
  <c r="QLT102" i="62"/>
  <c r="QLR102" i="62"/>
  <c r="QLP102" i="62"/>
  <c r="QLN102" i="62"/>
  <c r="QLL102" i="62"/>
  <c r="QLJ102" i="62"/>
  <c r="QLH102" i="62"/>
  <c r="QLF102" i="62"/>
  <c r="QLD102" i="62"/>
  <c r="QLB102" i="62"/>
  <c r="QKZ102" i="62"/>
  <c r="QKX102" i="62"/>
  <c r="QKV102" i="62"/>
  <c r="QKT102" i="62"/>
  <c r="QKR102" i="62"/>
  <c r="QKP102" i="62"/>
  <c r="QKN102" i="62"/>
  <c r="QKL102" i="62"/>
  <c r="QKJ102" i="62"/>
  <c r="QKH102" i="62"/>
  <c r="QKF102" i="62"/>
  <c r="QKD102" i="62"/>
  <c r="QKB102" i="62"/>
  <c r="QJZ102" i="62"/>
  <c r="QJX102" i="62"/>
  <c r="QJV102" i="62"/>
  <c r="QJT102" i="62"/>
  <c r="QJR102" i="62"/>
  <c r="QJP102" i="62"/>
  <c r="QJN102" i="62"/>
  <c r="QJL102" i="62"/>
  <c r="QJJ102" i="62"/>
  <c r="QJH102" i="62"/>
  <c r="QJF102" i="62"/>
  <c r="QJD102" i="62"/>
  <c r="QJB102" i="62"/>
  <c r="QIZ102" i="62"/>
  <c r="QIX102" i="62"/>
  <c r="QIV102" i="62"/>
  <c r="QIT102" i="62"/>
  <c r="QIR102" i="62"/>
  <c r="QIP102" i="62"/>
  <c r="QIN102" i="62"/>
  <c r="QIL102" i="62"/>
  <c r="QIJ102" i="62"/>
  <c r="QIH102" i="62"/>
  <c r="QIF102" i="62"/>
  <c r="QID102" i="62"/>
  <c r="QIB102" i="62"/>
  <c r="QHZ102" i="62"/>
  <c r="QHX102" i="62"/>
  <c r="QHV102" i="62"/>
  <c r="QHT102" i="62"/>
  <c r="QHR102" i="62"/>
  <c r="QHP102" i="62"/>
  <c r="QHN102" i="62"/>
  <c r="QHL102" i="62"/>
  <c r="QHJ102" i="62"/>
  <c r="QHH102" i="62"/>
  <c r="QHF102" i="62"/>
  <c r="QHD102" i="62"/>
  <c r="QHB102" i="62"/>
  <c r="QGZ102" i="62"/>
  <c r="QGX102" i="62"/>
  <c r="QGV102" i="62"/>
  <c r="QGT102" i="62"/>
  <c r="QGR102" i="62"/>
  <c r="QGP102" i="62"/>
  <c r="QGN102" i="62"/>
  <c r="QGL102" i="62"/>
  <c r="QGJ102" i="62"/>
  <c r="QGH102" i="62"/>
  <c r="QGF102" i="62"/>
  <c r="QGD102" i="62"/>
  <c r="QGB102" i="62"/>
  <c r="QFZ102" i="62"/>
  <c r="QFX102" i="62"/>
  <c r="QFV102" i="62"/>
  <c r="QFT102" i="62"/>
  <c r="QFR102" i="62"/>
  <c r="QFP102" i="62"/>
  <c r="QFN102" i="62"/>
  <c r="QFL102" i="62"/>
  <c r="QFJ102" i="62"/>
  <c r="QFH102" i="62"/>
  <c r="QFF102" i="62"/>
  <c r="QFD102" i="62"/>
  <c r="QFB102" i="62"/>
  <c r="QEZ102" i="62"/>
  <c r="QEX102" i="62"/>
  <c r="QEV102" i="62"/>
  <c r="QET102" i="62"/>
  <c r="QER102" i="62"/>
  <c r="QEP102" i="62"/>
  <c r="QEN102" i="62"/>
  <c r="QEL102" i="62"/>
  <c r="QEJ102" i="62"/>
  <c r="QEH102" i="62"/>
  <c r="QEF102" i="62"/>
  <c r="QED102" i="62"/>
  <c r="QEB102" i="62"/>
  <c r="QDZ102" i="62"/>
  <c r="QDX102" i="62"/>
  <c r="QDV102" i="62"/>
  <c r="QDT102" i="62"/>
  <c r="QDR102" i="62"/>
  <c r="QDP102" i="62"/>
  <c r="QDN102" i="62"/>
  <c r="QDL102" i="62"/>
  <c r="QDJ102" i="62"/>
  <c r="QDH102" i="62"/>
  <c r="QDF102" i="62"/>
  <c r="QDD102" i="62"/>
  <c r="QDB102" i="62"/>
  <c r="QCZ102" i="62"/>
  <c r="QCX102" i="62"/>
  <c r="QCV102" i="62"/>
  <c r="QCT102" i="62"/>
  <c r="QCR102" i="62"/>
  <c r="QCP102" i="62"/>
  <c r="QCN102" i="62"/>
  <c r="QCL102" i="62"/>
  <c r="QCJ102" i="62"/>
  <c r="QCH102" i="62"/>
  <c r="QCF102" i="62"/>
  <c r="QCD102" i="62"/>
  <c r="QCB102" i="62"/>
  <c r="QBZ102" i="62"/>
  <c r="QBX102" i="62"/>
  <c r="QBV102" i="62"/>
  <c r="QBT102" i="62"/>
  <c r="QBR102" i="62"/>
  <c r="QBP102" i="62"/>
  <c r="QBN102" i="62"/>
  <c r="QBL102" i="62"/>
  <c r="QBJ102" i="62"/>
  <c r="QBH102" i="62"/>
  <c r="QBF102" i="62"/>
  <c r="QBD102" i="62"/>
  <c r="QBB102" i="62"/>
  <c r="QAZ102" i="62"/>
  <c r="QAX102" i="62"/>
  <c r="QAV102" i="62"/>
  <c r="QAT102" i="62"/>
  <c r="QAR102" i="62"/>
  <c r="QAP102" i="62"/>
  <c r="QAN102" i="62"/>
  <c r="QAL102" i="62"/>
  <c r="QAJ102" i="62"/>
  <c r="QAH102" i="62"/>
  <c r="QAF102" i="62"/>
  <c r="QAD102" i="62"/>
  <c r="QAB102" i="62"/>
  <c r="PZZ102" i="62"/>
  <c r="PZX102" i="62"/>
  <c r="PZV102" i="62"/>
  <c r="PZT102" i="62"/>
  <c r="PZR102" i="62"/>
  <c r="PZP102" i="62"/>
  <c r="PZN102" i="62"/>
  <c r="PZL102" i="62"/>
  <c r="PZJ102" i="62"/>
  <c r="PZH102" i="62"/>
  <c r="PZF102" i="62"/>
  <c r="PZD102" i="62"/>
  <c r="PZB102" i="62"/>
  <c r="PYZ102" i="62"/>
  <c r="PYX102" i="62"/>
  <c r="PYV102" i="62"/>
  <c r="PYT102" i="62"/>
  <c r="PYR102" i="62"/>
  <c r="PYP102" i="62"/>
  <c r="PYN102" i="62"/>
  <c r="PYL102" i="62"/>
  <c r="PYJ102" i="62"/>
  <c r="PYH102" i="62"/>
  <c r="PYF102" i="62"/>
  <c r="PYD102" i="62"/>
  <c r="PYB102" i="62"/>
  <c r="PXZ102" i="62"/>
  <c r="PXX102" i="62"/>
  <c r="PXV102" i="62"/>
  <c r="PXT102" i="62"/>
  <c r="PXR102" i="62"/>
  <c r="PXP102" i="62"/>
  <c r="PXN102" i="62"/>
  <c r="PXL102" i="62"/>
  <c r="PXJ102" i="62"/>
  <c r="PXH102" i="62"/>
  <c r="PXF102" i="62"/>
  <c r="PXD102" i="62"/>
  <c r="PXB102" i="62"/>
  <c r="PWZ102" i="62"/>
  <c r="PWX102" i="62"/>
  <c r="PWV102" i="62"/>
  <c r="PWT102" i="62"/>
  <c r="PWR102" i="62"/>
  <c r="PWP102" i="62"/>
  <c r="PWN102" i="62"/>
  <c r="PWL102" i="62"/>
  <c r="PWJ102" i="62"/>
  <c r="PWH102" i="62"/>
  <c r="PWF102" i="62"/>
  <c r="PWD102" i="62"/>
  <c r="PWB102" i="62"/>
  <c r="PVZ102" i="62"/>
  <c r="PVX102" i="62"/>
  <c r="PVV102" i="62"/>
  <c r="PVT102" i="62"/>
  <c r="PVR102" i="62"/>
  <c r="PVP102" i="62"/>
  <c r="PVN102" i="62"/>
  <c r="PVL102" i="62"/>
  <c r="PVJ102" i="62"/>
  <c r="PVH102" i="62"/>
  <c r="PVF102" i="62"/>
  <c r="PVD102" i="62"/>
  <c r="PVB102" i="62"/>
  <c r="PUZ102" i="62"/>
  <c r="PUX102" i="62"/>
  <c r="PUV102" i="62"/>
  <c r="PUT102" i="62"/>
  <c r="PUR102" i="62"/>
  <c r="PUP102" i="62"/>
  <c r="PUN102" i="62"/>
  <c r="PUL102" i="62"/>
  <c r="PUJ102" i="62"/>
  <c r="PUH102" i="62"/>
  <c r="PUF102" i="62"/>
  <c r="PUD102" i="62"/>
  <c r="PUB102" i="62"/>
  <c r="PTZ102" i="62"/>
  <c r="PTX102" i="62"/>
  <c r="PTV102" i="62"/>
  <c r="PTT102" i="62"/>
  <c r="PTR102" i="62"/>
  <c r="PTP102" i="62"/>
  <c r="PTN102" i="62"/>
  <c r="PTL102" i="62"/>
  <c r="PTJ102" i="62"/>
  <c r="PTH102" i="62"/>
  <c r="PTF102" i="62"/>
  <c r="PTD102" i="62"/>
  <c r="PTB102" i="62"/>
  <c r="PSZ102" i="62"/>
  <c r="PSX102" i="62"/>
  <c r="PSV102" i="62"/>
  <c r="PST102" i="62"/>
  <c r="PSR102" i="62"/>
  <c r="PSP102" i="62"/>
  <c r="PSN102" i="62"/>
  <c r="PSL102" i="62"/>
  <c r="PSJ102" i="62"/>
  <c r="PSH102" i="62"/>
  <c r="PSF102" i="62"/>
  <c r="PSD102" i="62"/>
  <c r="PSB102" i="62"/>
  <c r="PRZ102" i="62"/>
  <c r="PRX102" i="62"/>
  <c r="PRV102" i="62"/>
  <c r="PRT102" i="62"/>
  <c r="PRR102" i="62"/>
  <c r="PRP102" i="62"/>
  <c r="PRN102" i="62"/>
  <c r="PRL102" i="62"/>
  <c r="PRJ102" i="62"/>
  <c r="PRH102" i="62"/>
  <c r="PRF102" i="62"/>
  <c r="PRD102" i="62"/>
  <c r="PRB102" i="62"/>
  <c r="PQZ102" i="62"/>
  <c r="PQX102" i="62"/>
  <c r="PQV102" i="62"/>
  <c r="PQT102" i="62"/>
  <c r="PQR102" i="62"/>
  <c r="PQP102" i="62"/>
  <c r="PQN102" i="62"/>
  <c r="PQL102" i="62"/>
  <c r="PQJ102" i="62"/>
  <c r="PQH102" i="62"/>
  <c r="PQF102" i="62"/>
  <c r="PQD102" i="62"/>
  <c r="PQB102" i="62"/>
  <c r="PPZ102" i="62"/>
  <c r="PPX102" i="62"/>
  <c r="PPV102" i="62"/>
  <c r="PPT102" i="62"/>
  <c r="PPR102" i="62"/>
  <c r="PPP102" i="62"/>
  <c r="PPN102" i="62"/>
  <c r="PPL102" i="62"/>
  <c r="PPJ102" i="62"/>
  <c r="PPH102" i="62"/>
  <c r="PPF102" i="62"/>
  <c r="PPD102" i="62"/>
  <c r="PPB102" i="62"/>
  <c r="POZ102" i="62"/>
  <c r="POX102" i="62"/>
  <c r="POV102" i="62"/>
  <c r="POT102" i="62"/>
  <c r="POR102" i="62"/>
  <c r="POP102" i="62"/>
  <c r="PON102" i="62"/>
  <c r="POL102" i="62"/>
  <c r="POJ102" i="62"/>
  <c r="POH102" i="62"/>
  <c r="POF102" i="62"/>
  <c r="POD102" i="62"/>
  <c r="POB102" i="62"/>
  <c r="PNZ102" i="62"/>
  <c r="PNX102" i="62"/>
  <c r="PNV102" i="62"/>
  <c r="PNT102" i="62"/>
  <c r="PNR102" i="62"/>
  <c r="PNP102" i="62"/>
  <c r="PNN102" i="62"/>
  <c r="PNL102" i="62"/>
  <c r="PNJ102" i="62"/>
  <c r="PNH102" i="62"/>
  <c r="PNF102" i="62"/>
  <c r="PND102" i="62"/>
  <c r="PNB102" i="62"/>
  <c r="PMZ102" i="62"/>
  <c r="PMX102" i="62"/>
  <c r="PMV102" i="62"/>
  <c r="PMT102" i="62"/>
  <c r="PMR102" i="62"/>
  <c r="PMP102" i="62"/>
  <c r="PMN102" i="62"/>
  <c r="PML102" i="62"/>
  <c r="PMJ102" i="62"/>
  <c r="PMH102" i="62"/>
  <c r="PMF102" i="62"/>
  <c r="PMD102" i="62"/>
  <c r="PMB102" i="62"/>
  <c r="PLZ102" i="62"/>
  <c r="PLX102" i="62"/>
  <c r="PLV102" i="62"/>
  <c r="PLT102" i="62"/>
  <c r="PLR102" i="62"/>
  <c r="PLP102" i="62"/>
  <c r="PLN102" i="62"/>
  <c r="PLL102" i="62"/>
  <c r="PLJ102" i="62"/>
  <c r="PLH102" i="62"/>
  <c r="PLF102" i="62"/>
  <c r="PLD102" i="62"/>
  <c r="PLB102" i="62"/>
  <c r="PKZ102" i="62"/>
  <c r="PKX102" i="62"/>
  <c r="PKV102" i="62"/>
  <c r="PKT102" i="62"/>
  <c r="PKR102" i="62"/>
  <c r="PKP102" i="62"/>
  <c r="PKN102" i="62"/>
  <c r="PKL102" i="62"/>
  <c r="PKJ102" i="62"/>
  <c r="PKH102" i="62"/>
  <c r="PKF102" i="62"/>
  <c r="PKD102" i="62"/>
  <c r="PKB102" i="62"/>
  <c r="PJZ102" i="62"/>
  <c r="PJX102" i="62"/>
  <c r="PJV102" i="62"/>
  <c r="PJT102" i="62"/>
  <c r="PJR102" i="62"/>
  <c r="PJP102" i="62"/>
  <c r="PJN102" i="62"/>
  <c r="PJL102" i="62"/>
  <c r="PJJ102" i="62"/>
  <c r="PJH102" i="62"/>
  <c r="PJF102" i="62"/>
  <c r="PJD102" i="62"/>
  <c r="PJB102" i="62"/>
  <c r="PIZ102" i="62"/>
  <c r="PIX102" i="62"/>
  <c r="PIV102" i="62"/>
  <c r="PIT102" i="62"/>
  <c r="PIR102" i="62"/>
  <c r="PIP102" i="62"/>
  <c r="PIN102" i="62"/>
  <c r="PIL102" i="62"/>
  <c r="PIJ102" i="62"/>
  <c r="PIH102" i="62"/>
  <c r="PIF102" i="62"/>
  <c r="PID102" i="62"/>
  <c r="PIB102" i="62"/>
  <c r="PHZ102" i="62"/>
  <c r="PHX102" i="62"/>
  <c r="PHV102" i="62"/>
  <c r="PHT102" i="62"/>
  <c r="PHR102" i="62"/>
  <c r="PHP102" i="62"/>
  <c r="PHN102" i="62"/>
  <c r="PHL102" i="62"/>
  <c r="PHJ102" i="62"/>
  <c r="PHH102" i="62"/>
  <c r="PHF102" i="62"/>
  <c r="PHD102" i="62"/>
  <c r="PHB102" i="62"/>
  <c r="PGZ102" i="62"/>
  <c r="PGX102" i="62"/>
  <c r="PGV102" i="62"/>
  <c r="PGT102" i="62"/>
  <c r="PGR102" i="62"/>
  <c r="PGP102" i="62"/>
  <c r="PGN102" i="62"/>
  <c r="PGL102" i="62"/>
  <c r="PGJ102" i="62"/>
  <c r="PGH102" i="62"/>
  <c r="PGF102" i="62"/>
  <c r="PGD102" i="62"/>
  <c r="PGB102" i="62"/>
  <c r="PFZ102" i="62"/>
  <c r="PFX102" i="62"/>
  <c r="PFV102" i="62"/>
  <c r="PFT102" i="62"/>
  <c r="PFR102" i="62"/>
  <c r="PFP102" i="62"/>
  <c r="PFN102" i="62"/>
  <c r="PFL102" i="62"/>
  <c r="PFJ102" i="62"/>
  <c r="PFH102" i="62"/>
  <c r="PFF102" i="62"/>
  <c r="PFD102" i="62"/>
  <c r="PFB102" i="62"/>
  <c r="PEZ102" i="62"/>
  <c r="PEX102" i="62"/>
  <c r="PEV102" i="62"/>
  <c r="PET102" i="62"/>
  <c r="PER102" i="62"/>
  <c r="PEP102" i="62"/>
  <c r="PEN102" i="62"/>
  <c r="PEL102" i="62"/>
  <c r="PEJ102" i="62"/>
  <c r="PEH102" i="62"/>
  <c r="PEF102" i="62"/>
  <c r="PED102" i="62"/>
  <c r="PEB102" i="62"/>
  <c r="PDZ102" i="62"/>
  <c r="PDX102" i="62"/>
  <c r="PDV102" i="62"/>
  <c r="PDT102" i="62"/>
  <c r="PDR102" i="62"/>
  <c r="PDP102" i="62"/>
  <c r="PDN102" i="62"/>
  <c r="PDL102" i="62"/>
  <c r="PDJ102" i="62"/>
  <c r="PDH102" i="62"/>
  <c r="PDF102" i="62"/>
  <c r="PDD102" i="62"/>
  <c r="PDB102" i="62"/>
  <c r="PCZ102" i="62"/>
  <c r="PCX102" i="62"/>
  <c r="PCV102" i="62"/>
  <c r="PCT102" i="62"/>
  <c r="PCR102" i="62"/>
  <c r="PCP102" i="62"/>
  <c r="PCN102" i="62"/>
  <c r="PCL102" i="62"/>
  <c r="PCJ102" i="62"/>
  <c r="PCH102" i="62"/>
  <c r="PCF102" i="62"/>
  <c r="PCD102" i="62"/>
  <c r="PCB102" i="62"/>
  <c r="PBZ102" i="62"/>
  <c r="PBX102" i="62"/>
  <c r="PBV102" i="62"/>
  <c r="PBT102" i="62"/>
  <c r="PBR102" i="62"/>
  <c r="PBP102" i="62"/>
  <c r="PBN102" i="62"/>
  <c r="PBL102" i="62"/>
  <c r="PBJ102" i="62"/>
  <c r="PBH102" i="62"/>
  <c r="PBF102" i="62"/>
  <c r="PBD102" i="62"/>
  <c r="PBB102" i="62"/>
  <c r="PAZ102" i="62"/>
  <c r="PAX102" i="62"/>
  <c r="PAV102" i="62"/>
  <c r="PAT102" i="62"/>
  <c r="PAR102" i="62"/>
  <c r="PAP102" i="62"/>
  <c r="PAN102" i="62"/>
  <c r="PAL102" i="62"/>
  <c r="PAJ102" i="62"/>
  <c r="PAH102" i="62"/>
  <c r="PAF102" i="62"/>
  <c r="PAD102" i="62"/>
  <c r="PAB102" i="62"/>
  <c r="OZZ102" i="62"/>
  <c r="OZX102" i="62"/>
  <c r="OZV102" i="62"/>
  <c r="OZT102" i="62"/>
  <c r="OZR102" i="62"/>
  <c r="OZP102" i="62"/>
  <c r="OZN102" i="62"/>
  <c r="OZL102" i="62"/>
  <c r="OZJ102" i="62"/>
  <c r="OZH102" i="62"/>
  <c r="OZF102" i="62"/>
  <c r="OZD102" i="62"/>
  <c r="OZB102" i="62"/>
  <c r="OYZ102" i="62"/>
  <c r="OYX102" i="62"/>
  <c r="OYV102" i="62"/>
  <c r="OYT102" i="62"/>
  <c r="OYR102" i="62"/>
  <c r="OYP102" i="62"/>
  <c r="OYN102" i="62"/>
  <c r="OYL102" i="62"/>
  <c r="OYJ102" i="62"/>
  <c r="OYH102" i="62"/>
  <c r="OYF102" i="62"/>
  <c r="OYD102" i="62"/>
  <c r="OYB102" i="62"/>
  <c r="OXZ102" i="62"/>
  <c r="OXX102" i="62"/>
  <c r="OXV102" i="62"/>
  <c r="OXT102" i="62"/>
  <c r="OXR102" i="62"/>
  <c r="OXP102" i="62"/>
  <c r="OXN102" i="62"/>
  <c r="OXL102" i="62"/>
  <c r="OXJ102" i="62"/>
  <c r="OXH102" i="62"/>
  <c r="OXF102" i="62"/>
  <c r="OXD102" i="62"/>
  <c r="OXB102" i="62"/>
  <c r="OWZ102" i="62"/>
  <c r="OWX102" i="62"/>
  <c r="OWV102" i="62"/>
  <c r="OWT102" i="62"/>
  <c r="OWR102" i="62"/>
  <c r="OWP102" i="62"/>
  <c r="OWN102" i="62"/>
  <c r="OWL102" i="62"/>
  <c r="OWJ102" i="62"/>
  <c r="OWH102" i="62"/>
  <c r="OWF102" i="62"/>
  <c r="OWD102" i="62"/>
  <c r="OWB102" i="62"/>
  <c r="OVZ102" i="62"/>
  <c r="OVX102" i="62"/>
  <c r="OVV102" i="62"/>
  <c r="OVT102" i="62"/>
  <c r="OVR102" i="62"/>
  <c r="OVP102" i="62"/>
  <c r="OVN102" i="62"/>
  <c r="OVL102" i="62"/>
  <c r="OVJ102" i="62"/>
  <c r="OVH102" i="62"/>
  <c r="OVF102" i="62"/>
  <c r="OVD102" i="62"/>
  <c r="OVB102" i="62"/>
  <c r="OUZ102" i="62"/>
  <c r="OUX102" i="62"/>
  <c r="OUV102" i="62"/>
  <c r="OUT102" i="62"/>
  <c r="OUR102" i="62"/>
  <c r="OUP102" i="62"/>
  <c r="OUN102" i="62"/>
  <c r="OUL102" i="62"/>
  <c r="OUJ102" i="62"/>
  <c r="OUH102" i="62"/>
  <c r="OUF102" i="62"/>
  <c r="OUD102" i="62"/>
  <c r="OUB102" i="62"/>
  <c r="OTZ102" i="62"/>
  <c r="OTX102" i="62"/>
  <c r="OTV102" i="62"/>
  <c r="OTT102" i="62"/>
  <c r="OTR102" i="62"/>
  <c r="OTP102" i="62"/>
  <c r="OTN102" i="62"/>
  <c r="OTL102" i="62"/>
  <c r="OTJ102" i="62"/>
  <c r="OTH102" i="62"/>
  <c r="OTF102" i="62"/>
  <c r="OTD102" i="62"/>
  <c r="OTB102" i="62"/>
  <c r="OSZ102" i="62"/>
  <c r="OSX102" i="62"/>
  <c r="OSV102" i="62"/>
  <c r="OST102" i="62"/>
  <c r="OSR102" i="62"/>
  <c r="OSP102" i="62"/>
  <c r="OSN102" i="62"/>
  <c r="OSL102" i="62"/>
  <c r="OSJ102" i="62"/>
  <c r="OSH102" i="62"/>
  <c r="OSF102" i="62"/>
  <c r="OSD102" i="62"/>
  <c r="OSB102" i="62"/>
  <c r="ORZ102" i="62"/>
  <c r="ORX102" i="62"/>
  <c r="ORV102" i="62"/>
  <c r="ORT102" i="62"/>
  <c r="ORR102" i="62"/>
  <c r="ORP102" i="62"/>
  <c r="ORN102" i="62"/>
  <c r="ORL102" i="62"/>
  <c r="ORJ102" i="62"/>
  <c r="ORH102" i="62"/>
  <c r="ORF102" i="62"/>
  <c r="ORD102" i="62"/>
  <c r="ORB102" i="62"/>
  <c r="OQZ102" i="62"/>
  <c r="OQX102" i="62"/>
  <c r="OQV102" i="62"/>
  <c r="OQT102" i="62"/>
  <c r="OQR102" i="62"/>
  <c r="OQP102" i="62"/>
  <c r="OQN102" i="62"/>
  <c r="OQL102" i="62"/>
  <c r="OQJ102" i="62"/>
  <c r="OQH102" i="62"/>
  <c r="OQF102" i="62"/>
  <c r="OQD102" i="62"/>
  <c r="OQB102" i="62"/>
  <c r="OPZ102" i="62"/>
  <c r="OPX102" i="62"/>
  <c r="OPV102" i="62"/>
  <c r="OPT102" i="62"/>
  <c r="OPR102" i="62"/>
  <c r="OPP102" i="62"/>
  <c r="OPN102" i="62"/>
  <c r="OPL102" i="62"/>
  <c r="OPJ102" i="62"/>
  <c r="OPH102" i="62"/>
  <c r="OPF102" i="62"/>
  <c r="OPD102" i="62"/>
  <c r="OPB102" i="62"/>
  <c r="OOZ102" i="62"/>
  <c r="OOX102" i="62"/>
  <c r="OOV102" i="62"/>
  <c r="OOT102" i="62"/>
  <c r="OOR102" i="62"/>
  <c r="OOP102" i="62"/>
  <c r="OON102" i="62"/>
  <c r="OOL102" i="62"/>
  <c r="OOJ102" i="62"/>
  <c r="OOH102" i="62"/>
  <c r="OOF102" i="62"/>
  <c r="OOD102" i="62"/>
  <c r="OOB102" i="62"/>
  <c r="ONZ102" i="62"/>
  <c r="ONX102" i="62"/>
  <c r="ONV102" i="62"/>
  <c r="ONT102" i="62"/>
  <c r="ONR102" i="62"/>
  <c r="ONP102" i="62"/>
  <c r="ONN102" i="62"/>
  <c r="ONL102" i="62"/>
  <c r="ONJ102" i="62"/>
  <c r="ONH102" i="62"/>
  <c r="ONF102" i="62"/>
  <c r="OND102" i="62"/>
  <c r="ONB102" i="62"/>
  <c r="OMZ102" i="62"/>
  <c r="OMX102" i="62"/>
  <c r="OMV102" i="62"/>
  <c r="OMT102" i="62"/>
  <c r="OMR102" i="62"/>
  <c r="OMP102" i="62"/>
  <c r="OMN102" i="62"/>
  <c r="OML102" i="62"/>
  <c r="OMJ102" i="62"/>
  <c r="OMH102" i="62"/>
  <c r="OMF102" i="62"/>
  <c r="OMD102" i="62"/>
  <c r="OMB102" i="62"/>
  <c r="OLZ102" i="62"/>
  <c r="OLX102" i="62"/>
  <c r="OLV102" i="62"/>
  <c r="OLT102" i="62"/>
  <c r="OLR102" i="62"/>
  <c r="OLP102" i="62"/>
  <c r="OLN102" i="62"/>
  <c r="OLL102" i="62"/>
  <c r="OLJ102" i="62"/>
  <c r="OLH102" i="62"/>
  <c r="OLF102" i="62"/>
  <c r="OLD102" i="62"/>
  <c r="OLB102" i="62"/>
  <c r="OKZ102" i="62"/>
  <c r="OKX102" i="62"/>
  <c r="OKV102" i="62"/>
  <c r="OKT102" i="62"/>
  <c r="OKR102" i="62"/>
  <c r="OKP102" i="62"/>
  <c r="OKN102" i="62"/>
  <c r="OKL102" i="62"/>
  <c r="OKJ102" i="62"/>
  <c r="OKH102" i="62"/>
  <c r="OKF102" i="62"/>
  <c r="OKD102" i="62"/>
  <c r="OKB102" i="62"/>
  <c r="OJZ102" i="62"/>
  <c r="OJX102" i="62"/>
  <c r="OJV102" i="62"/>
  <c r="OJT102" i="62"/>
  <c r="OJR102" i="62"/>
  <c r="OJP102" i="62"/>
  <c r="OJN102" i="62"/>
  <c r="OJL102" i="62"/>
  <c r="OJJ102" i="62"/>
  <c r="OJH102" i="62"/>
  <c r="OJF102" i="62"/>
  <c r="OJD102" i="62"/>
  <c r="OJB102" i="62"/>
  <c r="OIZ102" i="62"/>
  <c r="OIX102" i="62"/>
  <c r="OIV102" i="62"/>
  <c r="OIT102" i="62"/>
  <c r="OIR102" i="62"/>
  <c r="OIP102" i="62"/>
  <c r="OIN102" i="62"/>
  <c r="OIL102" i="62"/>
  <c r="OIJ102" i="62"/>
  <c r="OIH102" i="62"/>
  <c r="OIF102" i="62"/>
  <c r="OID102" i="62"/>
  <c r="OIB102" i="62"/>
  <c r="OHZ102" i="62"/>
  <c r="OHX102" i="62"/>
  <c r="OHV102" i="62"/>
  <c r="OHT102" i="62"/>
  <c r="OHR102" i="62"/>
  <c r="OHP102" i="62"/>
  <c r="OHN102" i="62"/>
  <c r="OHL102" i="62"/>
  <c r="OHJ102" i="62"/>
  <c r="OHH102" i="62"/>
  <c r="OHF102" i="62"/>
  <c r="OHD102" i="62"/>
  <c r="OHB102" i="62"/>
  <c r="OGZ102" i="62"/>
  <c r="OGX102" i="62"/>
  <c r="OGV102" i="62"/>
  <c r="OGT102" i="62"/>
  <c r="OGR102" i="62"/>
  <c r="OGP102" i="62"/>
  <c r="OGN102" i="62"/>
  <c r="OGL102" i="62"/>
  <c r="OGJ102" i="62"/>
  <c r="OGH102" i="62"/>
  <c r="OGF102" i="62"/>
  <c r="OGD102" i="62"/>
  <c r="OGB102" i="62"/>
  <c r="OFZ102" i="62"/>
  <c r="OFX102" i="62"/>
  <c r="OFV102" i="62"/>
  <c r="OFT102" i="62"/>
  <c r="OFR102" i="62"/>
  <c r="OFP102" i="62"/>
  <c r="OFN102" i="62"/>
  <c r="OFL102" i="62"/>
  <c r="OFJ102" i="62"/>
  <c r="OFH102" i="62"/>
  <c r="OFF102" i="62"/>
  <c r="OFD102" i="62"/>
  <c r="OFB102" i="62"/>
  <c r="OEZ102" i="62"/>
  <c r="OEX102" i="62"/>
  <c r="OEV102" i="62"/>
  <c r="OET102" i="62"/>
  <c r="OER102" i="62"/>
  <c r="OEP102" i="62"/>
  <c r="OEN102" i="62"/>
  <c r="OEL102" i="62"/>
  <c r="OEJ102" i="62"/>
  <c r="OEH102" i="62"/>
  <c r="OEF102" i="62"/>
  <c r="OED102" i="62"/>
  <c r="OEB102" i="62"/>
  <c r="ODZ102" i="62"/>
  <c r="ODX102" i="62"/>
  <c r="ODV102" i="62"/>
  <c r="ODT102" i="62"/>
  <c r="ODR102" i="62"/>
  <c r="ODP102" i="62"/>
  <c r="ODN102" i="62"/>
  <c r="ODL102" i="62"/>
  <c r="ODJ102" i="62"/>
  <c r="ODH102" i="62"/>
  <c r="ODF102" i="62"/>
  <c r="ODD102" i="62"/>
  <c r="ODB102" i="62"/>
  <c r="OCZ102" i="62"/>
  <c r="OCX102" i="62"/>
  <c r="OCV102" i="62"/>
  <c r="OCT102" i="62"/>
  <c r="OCR102" i="62"/>
  <c r="OCP102" i="62"/>
  <c r="OCN102" i="62"/>
  <c r="OCL102" i="62"/>
  <c r="OCJ102" i="62"/>
  <c r="OCH102" i="62"/>
  <c r="OCF102" i="62"/>
  <c r="OCD102" i="62"/>
  <c r="OCB102" i="62"/>
  <c r="OBZ102" i="62"/>
  <c r="OBX102" i="62"/>
  <c r="OBV102" i="62"/>
  <c r="OBT102" i="62"/>
  <c r="OBR102" i="62"/>
  <c r="OBP102" i="62"/>
  <c r="OBN102" i="62"/>
  <c r="OBL102" i="62"/>
  <c r="OBJ102" i="62"/>
  <c r="OBH102" i="62"/>
  <c r="OBF102" i="62"/>
  <c r="OBD102" i="62"/>
  <c r="OBB102" i="62"/>
  <c r="OAZ102" i="62"/>
  <c r="OAX102" i="62"/>
  <c r="OAV102" i="62"/>
  <c r="OAT102" i="62"/>
  <c r="OAR102" i="62"/>
  <c r="OAP102" i="62"/>
  <c r="OAN102" i="62"/>
  <c r="OAL102" i="62"/>
  <c r="OAJ102" i="62"/>
  <c r="OAH102" i="62"/>
  <c r="OAF102" i="62"/>
  <c r="OAD102" i="62"/>
  <c r="OAB102" i="62"/>
  <c r="NZZ102" i="62"/>
  <c r="NZX102" i="62"/>
  <c r="NZV102" i="62"/>
  <c r="NZT102" i="62"/>
  <c r="NZR102" i="62"/>
  <c r="NZP102" i="62"/>
  <c r="NZN102" i="62"/>
  <c r="NZL102" i="62"/>
  <c r="NZJ102" i="62"/>
  <c r="NZH102" i="62"/>
  <c r="NZF102" i="62"/>
  <c r="NZD102" i="62"/>
  <c r="NZB102" i="62"/>
  <c r="NYZ102" i="62"/>
  <c r="NYX102" i="62"/>
  <c r="NYV102" i="62"/>
  <c r="NYT102" i="62"/>
  <c r="NYR102" i="62"/>
  <c r="NYP102" i="62"/>
  <c r="NYN102" i="62"/>
  <c r="NYL102" i="62"/>
  <c r="NYJ102" i="62"/>
  <c r="NYH102" i="62"/>
  <c r="NYF102" i="62"/>
  <c r="NYD102" i="62"/>
  <c r="NYB102" i="62"/>
  <c r="NXZ102" i="62"/>
  <c r="NXX102" i="62"/>
  <c r="NXV102" i="62"/>
  <c r="NXT102" i="62"/>
  <c r="NXR102" i="62"/>
  <c r="NXP102" i="62"/>
  <c r="NXN102" i="62"/>
  <c r="NXL102" i="62"/>
  <c r="NXJ102" i="62"/>
  <c r="NXH102" i="62"/>
  <c r="NXF102" i="62"/>
  <c r="NXD102" i="62"/>
  <c r="NXB102" i="62"/>
  <c r="NWZ102" i="62"/>
  <c r="NWX102" i="62"/>
  <c r="NWV102" i="62"/>
  <c r="NWT102" i="62"/>
  <c r="NWR102" i="62"/>
  <c r="NWP102" i="62"/>
  <c r="NWN102" i="62"/>
  <c r="NWL102" i="62"/>
  <c r="NWJ102" i="62"/>
  <c r="NWH102" i="62"/>
  <c r="NWF102" i="62"/>
  <c r="NWD102" i="62"/>
  <c r="NWB102" i="62"/>
  <c r="NVZ102" i="62"/>
  <c r="NVX102" i="62"/>
  <c r="NVV102" i="62"/>
  <c r="NVT102" i="62"/>
  <c r="NVR102" i="62"/>
  <c r="NVP102" i="62"/>
  <c r="NVN102" i="62"/>
  <c r="NVL102" i="62"/>
  <c r="NVJ102" i="62"/>
  <c r="NVH102" i="62"/>
  <c r="NVF102" i="62"/>
  <c r="NVD102" i="62"/>
  <c r="NVB102" i="62"/>
  <c r="NUZ102" i="62"/>
  <c r="NUX102" i="62"/>
  <c r="NUV102" i="62"/>
  <c r="NUT102" i="62"/>
  <c r="NUR102" i="62"/>
  <c r="NUP102" i="62"/>
  <c r="NUN102" i="62"/>
  <c r="NUL102" i="62"/>
  <c r="NUJ102" i="62"/>
  <c r="NUH102" i="62"/>
  <c r="NUF102" i="62"/>
  <c r="NUD102" i="62"/>
  <c r="NUB102" i="62"/>
  <c r="NTZ102" i="62"/>
  <c r="NTX102" i="62"/>
  <c r="NTV102" i="62"/>
  <c r="NTT102" i="62"/>
  <c r="NTR102" i="62"/>
  <c r="NTP102" i="62"/>
  <c r="NTN102" i="62"/>
  <c r="NTL102" i="62"/>
  <c r="NTJ102" i="62"/>
  <c r="NTH102" i="62"/>
  <c r="NTF102" i="62"/>
  <c r="NTD102" i="62"/>
  <c r="NTB102" i="62"/>
  <c r="NSZ102" i="62"/>
  <c r="NSX102" i="62"/>
  <c r="NSV102" i="62"/>
  <c r="NST102" i="62"/>
  <c r="NSR102" i="62"/>
  <c r="NSP102" i="62"/>
  <c r="NSN102" i="62"/>
  <c r="NSL102" i="62"/>
  <c r="NSJ102" i="62"/>
  <c r="NSH102" i="62"/>
  <c r="NSF102" i="62"/>
  <c r="NSD102" i="62"/>
  <c r="NSB102" i="62"/>
  <c r="NRZ102" i="62"/>
  <c r="NRX102" i="62"/>
  <c r="NRV102" i="62"/>
  <c r="NRT102" i="62"/>
  <c r="NRR102" i="62"/>
  <c r="NRP102" i="62"/>
  <c r="NRN102" i="62"/>
  <c r="NRL102" i="62"/>
  <c r="NRJ102" i="62"/>
  <c r="NRH102" i="62"/>
  <c r="NRF102" i="62"/>
  <c r="NRD102" i="62"/>
  <c r="NRB102" i="62"/>
  <c r="NQZ102" i="62"/>
  <c r="NQX102" i="62"/>
  <c r="NQV102" i="62"/>
  <c r="NQT102" i="62"/>
  <c r="NQR102" i="62"/>
  <c r="NQP102" i="62"/>
  <c r="NQN102" i="62"/>
  <c r="NQL102" i="62"/>
  <c r="NQJ102" i="62"/>
  <c r="NQH102" i="62"/>
  <c r="NQF102" i="62"/>
  <c r="NQD102" i="62"/>
  <c r="NQB102" i="62"/>
  <c r="NPZ102" i="62"/>
  <c r="NPX102" i="62"/>
  <c r="NPV102" i="62"/>
  <c r="NPT102" i="62"/>
  <c r="NPR102" i="62"/>
  <c r="NPP102" i="62"/>
  <c r="NPN102" i="62"/>
  <c r="NPL102" i="62"/>
  <c r="NPJ102" i="62"/>
  <c r="NPH102" i="62"/>
  <c r="NPF102" i="62"/>
  <c r="NPD102" i="62"/>
  <c r="NPB102" i="62"/>
  <c r="NOZ102" i="62"/>
  <c r="NOX102" i="62"/>
  <c r="NOV102" i="62"/>
  <c r="NOT102" i="62"/>
  <c r="NOR102" i="62"/>
  <c r="NOP102" i="62"/>
  <c r="NON102" i="62"/>
  <c r="NOL102" i="62"/>
  <c r="NOJ102" i="62"/>
  <c r="NOH102" i="62"/>
  <c r="NOF102" i="62"/>
  <c r="NOD102" i="62"/>
  <c r="NOB102" i="62"/>
  <c r="NNZ102" i="62"/>
  <c r="NNX102" i="62"/>
  <c r="NNV102" i="62"/>
  <c r="NNT102" i="62"/>
  <c r="NNR102" i="62"/>
  <c r="NNP102" i="62"/>
  <c r="NNN102" i="62"/>
  <c r="NNL102" i="62"/>
  <c r="NNJ102" i="62"/>
  <c r="NNH102" i="62"/>
  <c r="NNF102" i="62"/>
  <c r="NND102" i="62"/>
  <c r="NNB102" i="62"/>
  <c r="NMZ102" i="62"/>
  <c r="NMX102" i="62"/>
  <c r="NMV102" i="62"/>
  <c r="NMT102" i="62"/>
  <c r="NMR102" i="62"/>
  <c r="NMP102" i="62"/>
  <c r="NMN102" i="62"/>
  <c r="NML102" i="62"/>
  <c r="NMJ102" i="62"/>
  <c r="NMH102" i="62"/>
  <c r="NMF102" i="62"/>
  <c r="NMD102" i="62"/>
  <c r="NMB102" i="62"/>
  <c r="NLZ102" i="62"/>
  <c r="NLX102" i="62"/>
  <c r="NLV102" i="62"/>
  <c r="NLT102" i="62"/>
  <c r="NLR102" i="62"/>
  <c r="NLP102" i="62"/>
  <c r="NLN102" i="62"/>
  <c r="NLL102" i="62"/>
  <c r="NLJ102" i="62"/>
  <c r="NLH102" i="62"/>
  <c r="NLF102" i="62"/>
  <c r="NLD102" i="62"/>
  <c r="NLB102" i="62"/>
  <c r="NKZ102" i="62"/>
  <c r="NKX102" i="62"/>
  <c r="NKV102" i="62"/>
  <c r="NKT102" i="62"/>
  <c r="NKR102" i="62"/>
  <c r="NKP102" i="62"/>
  <c r="NKN102" i="62"/>
  <c r="NKL102" i="62"/>
  <c r="NKJ102" i="62"/>
  <c r="NKH102" i="62"/>
  <c r="NKF102" i="62"/>
  <c r="NKD102" i="62"/>
  <c r="NKB102" i="62"/>
  <c r="NJZ102" i="62"/>
  <c r="NJX102" i="62"/>
  <c r="NJV102" i="62"/>
  <c r="NJT102" i="62"/>
  <c r="NJR102" i="62"/>
  <c r="NJP102" i="62"/>
  <c r="NJN102" i="62"/>
  <c r="NJL102" i="62"/>
  <c r="NJJ102" i="62"/>
  <c r="NJH102" i="62"/>
  <c r="NJF102" i="62"/>
  <c r="NJD102" i="62"/>
  <c r="NJB102" i="62"/>
  <c r="NIZ102" i="62"/>
  <c r="NIX102" i="62"/>
  <c r="NIV102" i="62"/>
  <c r="NIT102" i="62"/>
  <c r="NIR102" i="62"/>
  <c r="NIP102" i="62"/>
  <c r="NIN102" i="62"/>
  <c r="NIL102" i="62"/>
  <c r="NIJ102" i="62"/>
  <c r="NIH102" i="62"/>
  <c r="NIF102" i="62"/>
  <c r="NID102" i="62"/>
  <c r="NIB102" i="62"/>
  <c r="NHZ102" i="62"/>
  <c r="NHX102" i="62"/>
  <c r="NHV102" i="62"/>
  <c r="NHT102" i="62"/>
  <c r="NHR102" i="62"/>
  <c r="NHP102" i="62"/>
  <c r="NHN102" i="62"/>
  <c r="NHL102" i="62"/>
  <c r="NHJ102" i="62"/>
  <c r="NHH102" i="62"/>
  <c r="NHF102" i="62"/>
  <c r="NHD102" i="62"/>
  <c r="NHB102" i="62"/>
  <c r="NGZ102" i="62"/>
  <c r="NGX102" i="62"/>
  <c r="NGV102" i="62"/>
  <c r="NGT102" i="62"/>
  <c r="NGR102" i="62"/>
  <c r="NGP102" i="62"/>
  <c r="NGN102" i="62"/>
  <c r="NGL102" i="62"/>
  <c r="NGJ102" i="62"/>
  <c r="NGH102" i="62"/>
  <c r="NGF102" i="62"/>
  <c r="NGD102" i="62"/>
  <c r="NGB102" i="62"/>
  <c r="NFZ102" i="62"/>
  <c r="NFX102" i="62"/>
  <c r="NFV102" i="62"/>
  <c r="NFT102" i="62"/>
  <c r="NFR102" i="62"/>
  <c r="NFP102" i="62"/>
  <c r="NFN102" i="62"/>
  <c r="NFL102" i="62"/>
  <c r="NFJ102" i="62"/>
  <c r="NFH102" i="62"/>
  <c r="NFF102" i="62"/>
  <c r="NFD102" i="62"/>
  <c r="NFB102" i="62"/>
  <c r="NEZ102" i="62"/>
  <c r="NEX102" i="62"/>
  <c r="NEV102" i="62"/>
  <c r="NET102" i="62"/>
  <c r="NER102" i="62"/>
  <c r="NEP102" i="62"/>
  <c r="NEN102" i="62"/>
  <c r="NEL102" i="62"/>
  <c r="NEJ102" i="62"/>
  <c r="NEH102" i="62"/>
  <c r="NEF102" i="62"/>
  <c r="NED102" i="62"/>
  <c r="NEB102" i="62"/>
  <c r="NDZ102" i="62"/>
  <c r="NDX102" i="62"/>
  <c r="NDV102" i="62"/>
  <c r="NDT102" i="62"/>
  <c r="NDR102" i="62"/>
  <c r="NDP102" i="62"/>
  <c r="NDN102" i="62"/>
  <c r="NDL102" i="62"/>
  <c r="NDJ102" i="62"/>
  <c r="NDH102" i="62"/>
  <c r="NDF102" i="62"/>
  <c r="NDD102" i="62"/>
  <c r="NDB102" i="62"/>
  <c r="NCZ102" i="62"/>
  <c r="NCX102" i="62"/>
  <c r="NCV102" i="62"/>
  <c r="NCT102" i="62"/>
  <c r="NCR102" i="62"/>
  <c r="NCP102" i="62"/>
  <c r="NCN102" i="62"/>
  <c r="NCL102" i="62"/>
  <c r="NCJ102" i="62"/>
  <c r="NCH102" i="62"/>
  <c r="NCF102" i="62"/>
  <c r="NCD102" i="62"/>
  <c r="NCB102" i="62"/>
  <c r="NBZ102" i="62"/>
  <c r="NBX102" i="62"/>
  <c r="NBV102" i="62"/>
  <c r="NBT102" i="62"/>
  <c r="NBR102" i="62"/>
  <c r="NBP102" i="62"/>
  <c r="NBN102" i="62"/>
  <c r="NBL102" i="62"/>
  <c r="NBJ102" i="62"/>
  <c r="NBH102" i="62"/>
  <c r="NBF102" i="62"/>
  <c r="NBD102" i="62"/>
  <c r="NBB102" i="62"/>
  <c r="NAZ102" i="62"/>
  <c r="NAX102" i="62"/>
  <c r="NAV102" i="62"/>
  <c r="NAT102" i="62"/>
  <c r="NAR102" i="62"/>
  <c r="NAP102" i="62"/>
  <c r="NAN102" i="62"/>
  <c r="NAL102" i="62"/>
  <c r="NAJ102" i="62"/>
  <c r="NAH102" i="62"/>
  <c r="NAF102" i="62"/>
  <c r="NAD102" i="62"/>
  <c r="NAB102" i="62"/>
  <c r="MZZ102" i="62"/>
  <c r="MZX102" i="62"/>
  <c r="MZV102" i="62"/>
  <c r="MZT102" i="62"/>
  <c r="MZR102" i="62"/>
  <c r="MZP102" i="62"/>
  <c r="MZN102" i="62"/>
  <c r="MZL102" i="62"/>
  <c r="MZJ102" i="62"/>
  <c r="MZH102" i="62"/>
  <c r="MZF102" i="62"/>
  <c r="MZD102" i="62"/>
  <c r="MZB102" i="62"/>
  <c r="MYZ102" i="62"/>
  <c r="MYX102" i="62"/>
  <c r="MYV102" i="62"/>
  <c r="MYT102" i="62"/>
  <c r="MYR102" i="62"/>
  <c r="MYP102" i="62"/>
  <c r="MYN102" i="62"/>
  <c r="MYL102" i="62"/>
  <c r="MYJ102" i="62"/>
  <c r="MYH102" i="62"/>
  <c r="MYF102" i="62"/>
  <c r="MYD102" i="62"/>
  <c r="MYB102" i="62"/>
  <c r="MXZ102" i="62"/>
  <c r="MXX102" i="62"/>
  <c r="MXV102" i="62"/>
  <c r="MXT102" i="62"/>
  <c r="MXR102" i="62"/>
  <c r="MXP102" i="62"/>
  <c r="MXN102" i="62"/>
  <c r="MXL102" i="62"/>
  <c r="MXJ102" i="62"/>
  <c r="MXH102" i="62"/>
  <c r="MXF102" i="62"/>
  <c r="MXD102" i="62"/>
  <c r="MXB102" i="62"/>
  <c r="MWZ102" i="62"/>
  <c r="MWX102" i="62"/>
  <c r="MWV102" i="62"/>
  <c r="MWT102" i="62"/>
  <c r="MWR102" i="62"/>
  <c r="MWP102" i="62"/>
  <c r="MWN102" i="62"/>
  <c r="MWL102" i="62"/>
  <c r="MWJ102" i="62"/>
  <c r="MWH102" i="62"/>
  <c r="MWF102" i="62"/>
  <c r="MWD102" i="62"/>
  <c r="MWB102" i="62"/>
  <c r="MVZ102" i="62"/>
  <c r="MVX102" i="62"/>
  <c r="MVV102" i="62"/>
  <c r="MVT102" i="62"/>
  <c r="MVR102" i="62"/>
  <c r="MVP102" i="62"/>
  <c r="MVN102" i="62"/>
  <c r="MVL102" i="62"/>
  <c r="MVJ102" i="62"/>
  <c r="MVH102" i="62"/>
  <c r="MVF102" i="62"/>
  <c r="MVD102" i="62"/>
  <c r="MVB102" i="62"/>
  <c r="MUZ102" i="62"/>
  <c r="MUX102" i="62"/>
  <c r="MUV102" i="62"/>
  <c r="MUT102" i="62"/>
  <c r="MUR102" i="62"/>
  <c r="MUP102" i="62"/>
  <c r="MUN102" i="62"/>
  <c r="MUL102" i="62"/>
  <c r="MUJ102" i="62"/>
  <c r="MUH102" i="62"/>
  <c r="MUF102" i="62"/>
  <c r="MUD102" i="62"/>
  <c r="MUB102" i="62"/>
  <c r="MTZ102" i="62"/>
  <c r="MTX102" i="62"/>
  <c r="MTV102" i="62"/>
  <c r="MTT102" i="62"/>
  <c r="MTR102" i="62"/>
  <c r="MTP102" i="62"/>
  <c r="MTN102" i="62"/>
  <c r="MTL102" i="62"/>
  <c r="MTJ102" i="62"/>
  <c r="MTH102" i="62"/>
  <c r="MTF102" i="62"/>
  <c r="MTD102" i="62"/>
  <c r="MTB102" i="62"/>
  <c r="MSZ102" i="62"/>
  <c r="MSX102" i="62"/>
  <c r="MSV102" i="62"/>
  <c r="MST102" i="62"/>
  <c r="MSR102" i="62"/>
  <c r="MSP102" i="62"/>
  <c r="MSN102" i="62"/>
  <c r="MSL102" i="62"/>
  <c r="MSJ102" i="62"/>
  <c r="MSH102" i="62"/>
  <c r="MSF102" i="62"/>
  <c r="MSD102" i="62"/>
  <c r="MSB102" i="62"/>
  <c r="MRZ102" i="62"/>
  <c r="MRX102" i="62"/>
  <c r="MRV102" i="62"/>
  <c r="MRT102" i="62"/>
  <c r="MRR102" i="62"/>
  <c r="MRP102" i="62"/>
  <c r="MRN102" i="62"/>
  <c r="MRL102" i="62"/>
  <c r="MRJ102" i="62"/>
  <c r="MRH102" i="62"/>
  <c r="MRF102" i="62"/>
  <c r="MRD102" i="62"/>
  <c r="MRB102" i="62"/>
  <c r="MQZ102" i="62"/>
  <c r="MQX102" i="62"/>
  <c r="MQV102" i="62"/>
  <c r="MQT102" i="62"/>
  <c r="MQR102" i="62"/>
  <c r="MQP102" i="62"/>
  <c r="MQN102" i="62"/>
  <c r="MQL102" i="62"/>
  <c r="MQJ102" i="62"/>
  <c r="MQH102" i="62"/>
  <c r="MQF102" i="62"/>
  <c r="MQD102" i="62"/>
  <c r="MQB102" i="62"/>
  <c r="MPZ102" i="62"/>
  <c r="MPX102" i="62"/>
  <c r="MPV102" i="62"/>
  <c r="MPT102" i="62"/>
  <c r="MPR102" i="62"/>
  <c r="MPP102" i="62"/>
  <c r="MPN102" i="62"/>
  <c r="MPL102" i="62"/>
  <c r="MPJ102" i="62"/>
  <c r="MPH102" i="62"/>
  <c r="MPF102" i="62"/>
  <c r="MPD102" i="62"/>
  <c r="MPB102" i="62"/>
  <c r="MOZ102" i="62"/>
  <c r="MOX102" i="62"/>
  <c r="MOV102" i="62"/>
  <c r="MOT102" i="62"/>
  <c r="MOR102" i="62"/>
  <c r="MOP102" i="62"/>
  <c r="MON102" i="62"/>
  <c r="MOL102" i="62"/>
  <c r="MOJ102" i="62"/>
  <c r="MOH102" i="62"/>
  <c r="MOF102" i="62"/>
  <c r="MOD102" i="62"/>
  <c r="MOB102" i="62"/>
  <c r="MNZ102" i="62"/>
  <c r="MNX102" i="62"/>
  <c r="MNV102" i="62"/>
  <c r="MNT102" i="62"/>
  <c r="MNR102" i="62"/>
  <c r="MNP102" i="62"/>
  <c r="MNN102" i="62"/>
  <c r="MNL102" i="62"/>
  <c r="MNJ102" i="62"/>
  <c r="MNH102" i="62"/>
  <c r="MNF102" i="62"/>
  <c r="MND102" i="62"/>
  <c r="MNB102" i="62"/>
  <c r="MMZ102" i="62"/>
  <c r="MMX102" i="62"/>
  <c r="MMV102" i="62"/>
  <c r="MMT102" i="62"/>
  <c r="MMR102" i="62"/>
  <c r="MMP102" i="62"/>
  <c r="MMN102" i="62"/>
  <c r="MML102" i="62"/>
  <c r="MMJ102" i="62"/>
  <c r="MMH102" i="62"/>
  <c r="MMF102" i="62"/>
  <c r="MMD102" i="62"/>
  <c r="MMB102" i="62"/>
  <c r="MLZ102" i="62"/>
  <c r="MLX102" i="62"/>
  <c r="MLV102" i="62"/>
  <c r="MLT102" i="62"/>
  <c r="MLR102" i="62"/>
  <c r="MLP102" i="62"/>
  <c r="MLN102" i="62"/>
  <c r="MLL102" i="62"/>
  <c r="MLJ102" i="62"/>
  <c r="MLH102" i="62"/>
  <c r="MLF102" i="62"/>
  <c r="MLD102" i="62"/>
  <c r="MLB102" i="62"/>
  <c r="MKZ102" i="62"/>
  <c r="MKX102" i="62"/>
  <c r="MKV102" i="62"/>
  <c r="MKT102" i="62"/>
  <c r="MKR102" i="62"/>
  <c r="MKP102" i="62"/>
  <c r="MKN102" i="62"/>
  <c r="MKL102" i="62"/>
  <c r="MKJ102" i="62"/>
  <c r="MKH102" i="62"/>
  <c r="MKF102" i="62"/>
  <c r="MKD102" i="62"/>
  <c r="MKB102" i="62"/>
  <c r="MJZ102" i="62"/>
  <c r="MJX102" i="62"/>
  <c r="MJV102" i="62"/>
  <c r="MJT102" i="62"/>
  <c r="MJR102" i="62"/>
  <c r="MJP102" i="62"/>
  <c r="MJN102" i="62"/>
  <c r="MJL102" i="62"/>
  <c r="MJJ102" i="62"/>
  <c r="MJH102" i="62"/>
  <c r="MJF102" i="62"/>
  <c r="MJD102" i="62"/>
  <c r="MJB102" i="62"/>
  <c r="MIZ102" i="62"/>
  <c r="MIX102" i="62"/>
  <c r="MIV102" i="62"/>
  <c r="MIT102" i="62"/>
  <c r="MIR102" i="62"/>
  <c r="MIP102" i="62"/>
  <c r="MIN102" i="62"/>
  <c r="MIL102" i="62"/>
  <c r="MIJ102" i="62"/>
  <c r="MIH102" i="62"/>
  <c r="MIF102" i="62"/>
  <c r="MID102" i="62"/>
  <c r="MIB102" i="62"/>
  <c r="MHZ102" i="62"/>
  <c r="MHX102" i="62"/>
  <c r="MHV102" i="62"/>
  <c r="MHT102" i="62"/>
  <c r="MHR102" i="62"/>
  <c r="MHP102" i="62"/>
  <c r="MHN102" i="62"/>
  <c r="MHL102" i="62"/>
  <c r="MHJ102" i="62"/>
  <c r="MHH102" i="62"/>
  <c r="MHF102" i="62"/>
  <c r="MHD102" i="62"/>
  <c r="MHB102" i="62"/>
  <c r="MGZ102" i="62"/>
  <c r="MGX102" i="62"/>
  <c r="MGV102" i="62"/>
  <c r="MGT102" i="62"/>
  <c r="MGR102" i="62"/>
  <c r="MGP102" i="62"/>
  <c r="MGN102" i="62"/>
  <c r="MGL102" i="62"/>
  <c r="MGJ102" i="62"/>
  <c r="MGH102" i="62"/>
  <c r="MGF102" i="62"/>
  <c r="MGD102" i="62"/>
  <c r="MGB102" i="62"/>
  <c r="MFZ102" i="62"/>
  <c r="MFX102" i="62"/>
  <c r="MFV102" i="62"/>
  <c r="MFT102" i="62"/>
  <c r="MFR102" i="62"/>
  <c r="MFP102" i="62"/>
  <c r="MFN102" i="62"/>
  <c r="MFL102" i="62"/>
  <c r="MFJ102" i="62"/>
  <c r="MFH102" i="62"/>
  <c r="MFF102" i="62"/>
  <c r="MFD102" i="62"/>
  <c r="MFB102" i="62"/>
  <c r="MEZ102" i="62"/>
  <c r="MEX102" i="62"/>
  <c r="MEV102" i="62"/>
  <c r="MET102" i="62"/>
  <c r="MER102" i="62"/>
  <c r="MEP102" i="62"/>
  <c r="MEN102" i="62"/>
  <c r="MEL102" i="62"/>
  <c r="MEJ102" i="62"/>
  <c r="MEH102" i="62"/>
  <c r="MEF102" i="62"/>
  <c r="MED102" i="62"/>
  <c r="MEB102" i="62"/>
  <c r="MDZ102" i="62"/>
  <c r="MDX102" i="62"/>
  <c r="MDV102" i="62"/>
  <c r="MDT102" i="62"/>
  <c r="MDR102" i="62"/>
  <c r="MDP102" i="62"/>
  <c r="MDN102" i="62"/>
  <c r="MDL102" i="62"/>
  <c r="MDJ102" i="62"/>
  <c r="MDH102" i="62"/>
  <c r="MDF102" i="62"/>
  <c r="MDD102" i="62"/>
  <c r="MDB102" i="62"/>
  <c r="MCZ102" i="62"/>
  <c r="MCX102" i="62"/>
  <c r="MCV102" i="62"/>
  <c r="MCT102" i="62"/>
  <c r="MCR102" i="62"/>
  <c r="MCP102" i="62"/>
  <c r="MCN102" i="62"/>
  <c r="MCL102" i="62"/>
  <c r="MCJ102" i="62"/>
  <c r="MCH102" i="62"/>
  <c r="MCF102" i="62"/>
  <c r="MCD102" i="62"/>
  <c r="MCB102" i="62"/>
  <c r="MBZ102" i="62"/>
  <c r="MBX102" i="62"/>
  <c r="MBV102" i="62"/>
  <c r="MBT102" i="62"/>
  <c r="MBR102" i="62"/>
  <c r="MBP102" i="62"/>
  <c r="MBN102" i="62"/>
  <c r="MBL102" i="62"/>
  <c r="MBJ102" i="62"/>
  <c r="MBH102" i="62"/>
  <c r="MBF102" i="62"/>
  <c r="MBD102" i="62"/>
  <c r="MBB102" i="62"/>
  <c r="MAZ102" i="62"/>
  <c r="MAX102" i="62"/>
  <c r="MAV102" i="62"/>
  <c r="MAT102" i="62"/>
  <c r="MAR102" i="62"/>
  <c r="MAP102" i="62"/>
  <c r="MAN102" i="62"/>
  <c r="MAL102" i="62"/>
  <c r="MAJ102" i="62"/>
  <c r="MAH102" i="62"/>
  <c r="MAF102" i="62"/>
  <c r="MAD102" i="62"/>
  <c r="MAB102" i="62"/>
  <c r="LZZ102" i="62"/>
  <c r="LZX102" i="62"/>
  <c r="LZV102" i="62"/>
  <c r="LZT102" i="62"/>
  <c r="LZR102" i="62"/>
  <c r="LZP102" i="62"/>
  <c r="LZN102" i="62"/>
  <c r="LZL102" i="62"/>
  <c r="LZJ102" i="62"/>
  <c r="LZH102" i="62"/>
  <c r="LZF102" i="62"/>
  <c r="LZD102" i="62"/>
  <c r="LZB102" i="62"/>
  <c r="LYZ102" i="62"/>
  <c r="LYX102" i="62"/>
  <c r="LYV102" i="62"/>
  <c r="LYT102" i="62"/>
  <c r="LYR102" i="62"/>
  <c r="LYP102" i="62"/>
  <c r="LYN102" i="62"/>
  <c r="LYL102" i="62"/>
  <c r="LYJ102" i="62"/>
  <c r="LYH102" i="62"/>
  <c r="LYF102" i="62"/>
  <c r="LYD102" i="62"/>
  <c r="LYB102" i="62"/>
  <c r="LXZ102" i="62"/>
  <c r="LXX102" i="62"/>
  <c r="LXV102" i="62"/>
  <c r="LXT102" i="62"/>
  <c r="LXR102" i="62"/>
  <c r="LXP102" i="62"/>
  <c r="LXN102" i="62"/>
  <c r="LXL102" i="62"/>
  <c r="LXJ102" i="62"/>
  <c r="LXH102" i="62"/>
  <c r="LXF102" i="62"/>
  <c r="LXD102" i="62"/>
  <c r="LXB102" i="62"/>
  <c r="LWZ102" i="62"/>
  <c r="LWX102" i="62"/>
  <c r="LWV102" i="62"/>
  <c r="LWT102" i="62"/>
  <c r="LWR102" i="62"/>
  <c r="LWP102" i="62"/>
  <c r="LWN102" i="62"/>
  <c r="LWL102" i="62"/>
  <c r="LWJ102" i="62"/>
  <c r="LWH102" i="62"/>
  <c r="LWF102" i="62"/>
  <c r="LWD102" i="62"/>
  <c r="LWB102" i="62"/>
  <c r="LVZ102" i="62"/>
  <c r="LVX102" i="62"/>
  <c r="LVV102" i="62"/>
  <c r="LVT102" i="62"/>
  <c r="LVR102" i="62"/>
  <c r="LVP102" i="62"/>
  <c r="LVN102" i="62"/>
  <c r="LVL102" i="62"/>
  <c r="LVJ102" i="62"/>
  <c r="LVH102" i="62"/>
  <c r="LVF102" i="62"/>
  <c r="LVD102" i="62"/>
  <c r="LVB102" i="62"/>
  <c r="LUZ102" i="62"/>
  <c r="LUX102" i="62"/>
  <c r="LUV102" i="62"/>
  <c r="LUT102" i="62"/>
  <c r="LUR102" i="62"/>
  <c r="LUP102" i="62"/>
  <c r="LUN102" i="62"/>
  <c r="LUL102" i="62"/>
  <c r="LUJ102" i="62"/>
  <c r="LUH102" i="62"/>
  <c r="LUF102" i="62"/>
  <c r="LUD102" i="62"/>
  <c r="LUB102" i="62"/>
  <c r="LTZ102" i="62"/>
  <c r="LTX102" i="62"/>
  <c r="LTV102" i="62"/>
  <c r="LTT102" i="62"/>
  <c r="LTR102" i="62"/>
  <c r="LTP102" i="62"/>
  <c r="LTN102" i="62"/>
  <c r="LTL102" i="62"/>
  <c r="LTJ102" i="62"/>
  <c r="LTH102" i="62"/>
  <c r="LTF102" i="62"/>
  <c r="LTD102" i="62"/>
  <c r="LTB102" i="62"/>
  <c r="LSZ102" i="62"/>
  <c r="LSX102" i="62"/>
  <c r="LSV102" i="62"/>
  <c r="LST102" i="62"/>
  <c r="LSR102" i="62"/>
  <c r="LSP102" i="62"/>
  <c r="LSN102" i="62"/>
  <c r="LSL102" i="62"/>
  <c r="LSJ102" i="62"/>
  <c r="LSH102" i="62"/>
  <c r="LSF102" i="62"/>
  <c r="LSD102" i="62"/>
  <c r="LSB102" i="62"/>
  <c r="LRZ102" i="62"/>
  <c r="LRX102" i="62"/>
  <c r="LRV102" i="62"/>
  <c r="LRT102" i="62"/>
  <c r="LRR102" i="62"/>
  <c r="LRP102" i="62"/>
  <c r="LRN102" i="62"/>
  <c r="LRL102" i="62"/>
  <c r="LRJ102" i="62"/>
  <c r="LRH102" i="62"/>
  <c r="LRF102" i="62"/>
  <c r="LRD102" i="62"/>
  <c r="LRB102" i="62"/>
  <c r="LQZ102" i="62"/>
  <c r="LQX102" i="62"/>
  <c r="LQV102" i="62"/>
  <c r="LQT102" i="62"/>
  <c r="LQR102" i="62"/>
  <c r="LQP102" i="62"/>
  <c r="LQN102" i="62"/>
  <c r="LQL102" i="62"/>
  <c r="LQJ102" i="62"/>
  <c r="LQH102" i="62"/>
  <c r="LQF102" i="62"/>
  <c r="LQD102" i="62"/>
  <c r="LQB102" i="62"/>
  <c r="LPZ102" i="62"/>
  <c r="LPX102" i="62"/>
  <c r="LPV102" i="62"/>
  <c r="LPT102" i="62"/>
  <c r="LPR102" i="62"/>
  <c r="LPP102" i="62"/>
  <c r="LPN102" i="62"/>
  <c r="LPL102" i="62"/>
  <c r="LPJ102" i="62"/>
  <c r="LPH102" i="62"/>
  <c r="LPF102" i="62"/>
  <c r="LPD102" i="62"/>
  <c r="LPB102" i="62"/>
  <c r="LOZ102" i="62"/>
  <c r="LOX102" i="62"/>
  <c r="LOV102" i="62"/>
  <c r="LOT102" i="62"/>
  <c r="LOR102" i="62"/>
  <c r="LOP102" i="62"/>
  <c r="LON102" i="62"/>
  <c r="LOL102" i="62"/>
  <c r="LOJ102" i="62"/>
  <c r="LOH102" i="62"/>
  <c r="LOF102" i="62"/>
  <c r="LOD102" i="62"/>
  <c r="LOB102" i="62"/>
  <c r="LNZ102" i="62"/>
  <c r="LNX102" i="62"/>
  <c r="LNV102" i="62"/>
  <c r="LNT102" i="62"/>
  <c r="LNR102" i="62"/>
  <c r="LNP102" i="62"/>
  <c r="LNN102" i="62"/>
  <c r="LNL102" i="62"/>
  <c r="LNJ102" i="62"/>
  <c r="LNH102" i="62"/>
  <c r="LNF102" i="62"/>
  <c r="LND102" i="62"/>
  <c r="LNB102" i="62"/>
  <c r="LMZ102" i="62"/>
  <c r="LMX102" i="62"/>
  <c r="LMV102" i="62"/>
  <c r="LMT102" i="62"/>
  <c r="LMR102" i="62"/>
  <c r="LMP102" i="62"/>
  <c r="LMN102" i="62"/>
  <c r="LML102" i="62"/>
  <c r="LMJ102" i="62"/>
  <c r="LMH102" i="62"/>
  <c r="LMF102" i="62"/>
  <c r="LMD102" i="62"/>
  <c r="LMB102" i="62"/>
  <c r="LLZ102" i="62"/>
  <c r="LLX102" i="62"/>
  <c r="LLV102" i="62"/>
  <c r="LLT102" i="62"/>
  <c r="LLR102" i="62"/>
  <c r="LLP102" i="62"/>
  <c r="LLN102" i="62"/>
  <c r="LLL102" i="62"/>
  <c r="LLJ102" i="62"/>
  <c r="LLH102" i="62"/>
  <c r="LLF102" i="62"/>
  <c r="LLD102" i="62"/>
  <c r="LLB102" i="62"/>
  <c r="LKZ102" i="62"/>
  <c r="LKX102" i="62"/>
  <c r="LKV102" i="62"/>
  <c r="LKT102" i="62"/>
  <c r="LKR102" i="62"/>
  <c r="LKP102" i="62"/>
  <c r="LKN102" i="62"/>
  <c r="LKL102" i="62"/>
  <c r="LKJ102" i="62"/>
  <c r="LKH102" i="62"/>
  <c r="LKF102" i="62"/>
  <c r="LKD102" i="62"/>
  <c r="LKB102" i="62"/>
  <c r="LJZ102" i="62"/>
  <c r="LJX102" i="62"/>
  <c r="LJV102" i="62"/>
  <c r="LJT102" i="62"/>
  <c r="LJR102" i="62"/>
  <c r="LJP102" i="62"/>
  <c r="LJN102" i="62"/>
  <c r="LJL102" i="62"/>
  <c r="LJJ102" i="62"/>
  <c r="LJH102" i="62"/>
  <c r="LJF102" i="62"/>
  <c r="LJD102" i="62"/>
  <c r="LJB102" i="62"/>
  <c r="LIZ102" i="62"/>
  <c r="LIX102" i="62"/>
  <c r="LIV102" i="62"/>
  <c r="LIT102" i="62"/>
  <c r="LIR102" i="62"/>
  <c r="LIP102" i="62"/>
  <c r="LIN102" i="62"/>
  <c r="LIL102" i="62"/>
  <c r="LIJ102" i="62"/>
  <c r="LIH102" i="62"/>
  <c r="LIF102" i="62"/>
  <c r="LID102" i="62"/>
  <c r="LIB102" i="62"/>
  <c r="LHZ102" i="62"/>
  <c r="LHX102" i="62"/>
  <c r="LHV102" i="62"/>
  <c r="LHT102" i="62"/>
  <c r="LHR102" i="62"/>
  <c r="LHP102" i="62"/>
  <c r="LHN102" i="62"/>
  <c r="LHL102" i="62"/>
  <c r="LHJ102" i="62"/>
  <c r="LHH102" i="62"/>
  <c r="LHF102" i="62"/>
  <c r="LHD102" i="62"/>
  <c r="LHB102" i="62"/>
  <c r="LGZ102" i="62"/>
  <c r="LGX102" i="62"/>
  <c r="LGV102" i="62"/>
  <c r="LGT102" i="62"/>
  <c r="LGR102" i="62"/>
  <c r="LGP102" i="62"/>
  <c r="LGN102" i="62"/>
  <c r="LGL102" i="62"/>
  <c r="LGJ102" i="62"/>
  <c r="LGH102" i="62"/>
  <c r="LGF102" i="62"/>
  <c r="LGD102" i="62"/>
  <c r="LGB102" i="62"/>
  <c r="LFZ102" i="62"/>
  <c r="LFX102" i="62"/>
  <c r="LFV102" i="62"/>
  <c r="LFT102" i="62"/>
  <c r="LFR102" i="62"/>
  <c r="LFP102" i="62"/>
  <c r="LFN102" i="62"/>
  <c r="LFL102" i="62"/>
  <c r="LFJ102" i="62"/>
  <c r="LFH102" i="62"/>
  <c r="LFF102" i="62"/>
  <c r="LFD102" i="62"/>
  <c r="LFB102" i="62"/>
  <c r="LEZ102" i="62"/>
  <c r="LEX102" i="62"/>
  <c r="LEV102" i="62"/>
  <c r="LET102" i="62"/>
  <c r="LER102" i="62"/>
  <c r="LEP102" i="62"/>
  <c r="LEN102" i="62"/>
  <c r="LEL102" i="62"/>
  <c r="LEJ102" i="62"/>
  <c r="LEH102" i="62"/>
  <c r="LEF102" i="62"/>
  <c r="LED102" i="62"/>
  <c r="LEB102" i="62"/>
  <c r="LDZ102" i="62"/>
  <c r="LDX102" i="62"/>
  <c r="LDV102" i="62"/>
  <c r="LDT102" i="62"/>
  <c r="LDR102" i="62"/>
  <c r="LDP102" i="62"/>
  <c r="LDN102" i="62"/>
  <c r="LDL102" i="62"/>
  <c r="LDJ102" i="62"/>
  <c r="LDH102" i="62"/>
  <c r="LDF102" i="62"/>
  <c r="LDD102" i="62"/>
  <c r="LDB102" i="62"/>
  <c r="LCZ102" i="62"/>
  <c r="LCX102" i="62"/>
  <c r="LCV102" i="62"/>
  <c r="LCT102" i="62"/>
  <c r="LCR102" i="62"/>
  <c r="LCP102" i="62"/>
  <c r="LCN102" i="62"/>
  <c r="LCL102" i="62"/>
  <c r="LCJ102" i="62"/>
  <c r="LCH102" i="62"/>
  <c r="LCF102" i="62"/>
  <c r="LCD102" i="62"/>
  <c r="LCB102" i="62"/>
  <c r="LBZ102" i="62"/>
  <c r="LBX102" i="62"/>
  <c r="LBV102" i="62"/>
  <c r="LBT102" i="62"/>
  <c r="LBR102" i="62"/>
  <c r="LBP102" i="62"/>
  <c r="LBN102" i="62"/>
  <c r="LBL102" i="62"/>
  <c r="LBJ102" i="62"/>
  <c r="LBH102" i="62"/>
  <c r="LBF102" i="62"/>
  <c r="LBD102" i="62"/>
  <c r="LBB102" i="62"/>
  <c r="LAZ102" i="62"/>
  <c r="LAX102" i="62"/>
  <c r="LAV102" i="62"/>
  <c r="LAT102" i="62"/>
  <c r="LAR102" i="62"/>
  <c r="LAP102" i="62"/>
  <c r="LAN102" i="62"/>
  <c r="LAL102" i="62"/>
  <c r="LAJ102" i="62"/>
  <c r="LAH102" i="62"/>
  <c r="LAF102" i="62"/>
  <c r="LAD102" i="62"/>
  <c r="LAB102" i="62"/>
  <c r="KZZ102" i="62"/>
  <c r="KZX102" i="62"/>
  <c r="KZV102" i="62"/>
  <c r="KZT102" i="62"/>
  <c r="KZR102" i="62"/>
  <c r="KZP102" i="62"/>
  <c r="KZN102" i="62"/>
  <c r="KZL102" i="62"/>
  <c r="KZJ102" i="62"/>
  <c r="KZH102" i="62"/>
  <c r="KZF102" i="62"/>
  <c r="KZD102" i="62"/>
  <c r="KZB102" i="62"/>
  <c r="KYZ102" i="62"/>
  <c r="KYX102" i="62"/>
  <c r="KYV102" i="62"/>
  <c r="KYT102" i="62"/>
  <c r="KYR102" i="62"/>
  <c r="KYP102" i="62"/>
  <c r="KYN102" i="62"/>
  <c r="KYL102" i="62"/>
  <c r="KYJ102" i="62"/>
  <c r="KYH102" i="62"/>
  <c r="KYF102" i="62"/>
  <c r="KYD102" i="62"/>
  <c r="KYB102" i="62"/>
  <c r="KXZ102" i="62"/>
  <c r="KXX102" i="62"/>
  <c r="KXV102" i="62"/>
  <c r="KXT102" i="62"/>
  <c r="KXR102" i="62"/>
  <c r="KXP102" i="62"/>
  <c r="KXN102" i="62"/>
  <c r="KXL102" i="62"/>
  <c r="KXJ102" i="62"/>
  <c r="KXH102" i="62"/>
  <c r="KXF102" i="62"/>
  <c r="KXD102" i="62"/>
  <c r="KXB102" i="62"/>
  <c r="KWZ102" i="62"/>
  <c r="KWX102" i="62"/>
  <c r="KWV102" i="62"/>
  <c r="KWT102" i="62"/>
  <c r="KWR102" i="62"/>
  <c r="KWP102" i="62"/>
  <c r="KWN102" i="62"/>
  <c r="KWL102" i="62"/>
  <c r="KWJ102" i="62"/>
  <c r="KWH102" i="62"/>
  <c r="KWF102" i="62"/>
  <c r="KWD102" i="62"/>
  <c r="KWB102" i="62"/>
  <c r="KVZ102" i="62"/>
  <c r="KVX102" i="62"/>
  <c r="KVV102" i="62"/>
  <c r="KVT102" i="62"/>
  <c r="KVR102" i="62"/>
  <c r="KVP102" i="62"/>
  <c r="KVN102" i="62"/>
  <c r="KVL102" i="62"/>
  <c r="KVJ102" i="62"/>
  <c r="KVH102" i="62"/>
  <c r="KVF102" i="62"/>
  <c r="KVD102" i="62"/>
  <c r="KVB102" i="62"/>
  <c r="KUZ102" i="62"/>
  <c r="KUX102" i="62"/>
  <c r="KUV102" i="62"/>
  <c r="KUT102" i="62"/>
  <c r="KUR102" i="62"/>
  <c r="KUP102" i="62"/>
  <c r="KUN102" i="62"/>
  <c r="KUL102" i="62"/>
  <c r="KUJ102" i="62"/>
  <c r="KUH102" i="62"/>
  <c r="KUF102" i="62"/>
  <c r="KUD102" i="62"/>
  <c r="KUB102" i="62"/>
  <c r="KTZ102" i="62"/>
  <c r="KTX102" i="62"/>
  <c r="KTV102" i="62"/>
  <c r="KTT102" i="62"/>
  <c r="KTR102" i="62"/>
  <c r="KTP102" i="62"/>
  <c r="KTN102" i="62"/>
  <c r="KTL102" i="62"/>
  <c r="KTJ102" i="62"/>
  <c r="KTH102" i="62"/>
  <c r="KTF102" i="62"/>
  <c r="KTD102" i="62"/>
  <c r="KTB102" i="62"/>
  <c r="KSZ102" i="62"/>
  <c r="KSX102" i="62"/>
  <c r="KSV102" i="62"/>
  <c r="KST102" i="62"/>
  <c r="KSR102" i="62"/>
  <c r="KSP102" i="62"/>
  <c r="KSN102" i="62"/>
  <c r="KSL102" i="62"/>
  <c r="KSJ102" i="62"/>
  <c r="KSH102" i="62"/>
  <c r="KSF102" i="62"/>
  <c r="KSD102" i="62"/>
  <c r="KSB102" i="62"/>
  <c r="KRZ102" i="62"/>
  <c r="KRX102" i="62"/>
  <c r="KRV102" i="62"/>
  <c r="KRT102" i="62"/>
  <c r="KRR102" i="62"/>
  <c r="KRP102" i="62"/>
  <c r="KRN102" i="62"/>
  <c r="KRL102" i="62"/>
  <c r="KRJ102" i="62"/>
  <c r="KRH102" i="62"/>
  <c r="KRF102" i="62"/>
  <c r="KRD102" i="62"/>
  <c r="KRB102" i="62"/>
  <c r="KQZ102" i="62"/>
  <c r="KQX102" i="62"/>
  <c r="KQV102" i="62"/>
  <c r="KQT102" i="62"/>
  <c r="KQR102" i="62"/>
  <c r="KQP102" i="62"/>
  <c r="KQN102" i="62"/>
  <c r="KQL102" i="62"/>
  <c r="KQJ102" i="62"/>
  <c r="KQH102" i="62"/>
  <c r="KQF102" i="62"/>
  <c r="KQD102" i="62"/>
  <c r="KQB102" i="62"/>
  <c r="KPZ102" i="62"/>
  <c r="KPX102" i="62"/>
  <c r="KPV102" i="62"/>
  <c r="KPT102" i="62"/>
  <c r="KPR102" i="62"/>
  <c r="KPP102" i="62"/>
  <c r="KPN102" i="62"/>
  <c r="KPL102" i="62"/>
  <c r="KPJ102" i="62"/>
  <c r="KPH102" i="62"/>
  <c r="KPF102" i="62"/>
  <c r="KPD102" i="62"/>
  <c r="KPB102" i="62"/>
  <c r="KOZ102" i="62"/>
  <c r="KOX102" i="62"/>
  <c r="KOV102" i="62"/>
  <c r="KOT102" i="62"/>
  <c r="KOR102" i="62"/>
  <c r="KOP102" i="62"/>
  <c r="KON102" i="62"/>
  <c r="KOL102" i="62"/>
  <c r="KOJ102" i="62"/>
  <c r="KOH102" i="62"/>
  <c r="KOF102" i="62"/>
  <c r="KOD102" i="62"/>
  <c r="KOB102" i="62"/>
  <c r="KNZ102" i="62"/>
  <c r="KNX102" i="62"/>
  <c r="KNV102" i="62"/>
  <c r="KNT102" i="62"/>
  <c r="KNR102" i="62"/>
  <c r="KNP102" i="62"/>
  <c r="KNN102" i="62"/>
  <c r="KNL102" i="62"/>
  <c r="KNJ102" i="62"/>
  <c r="KNH102" i="62"/>
  <c r="KNF102" i="62"/>
  <c r="KND102" i="62"/>
  <c r="KNB102" i="62"/>
  <c r="KMZ102" i="62"/>
  <c r="KMX102" i="62"/>
  <c r="KMV102" i="62"/>
  <c r="KMT102" i="62"/>
  <c r="KMR102" i="62"/>
  <c r="KMP102" i="62"/>
  <c r="KMN102" i="62"/>
  <c r="KML102" i="62"/>
  <c r="KMJ102" i="62"/>
  <c r="KMH102" i="62"/>
  <c r="KMF102" i="62"/>
  <c r="KMD102" i="62"/>
  <c r="KMB102" i="62"/>
  <c r="KLZ102" i="62"/>
  <c r="KLX102" i="62"/>
  <c r="KLV102" i="62"/>
  <c r="KLT102" i="62"/>
  <c r="KLR102" i="62"/>
  <c r="KLP102" i="62"/>
  <c r="KLN102" i="62"/>
  <c r="KLL102" i="62"/>
  <c r="KLJ102" i="62"/>
  <c r="KLH102" i="62"/>
  <c r="KLF102" i="62"/>
  <c r="KLD102" i="62"/>
  <c r="KLB102" i="62"/>
  <c r="KKZ102" i="62"/>
  <c r="KKX102" i="62"/>
  <c r="KKV102" i="62"/>
  <c r="KKT102" i="62"/>
  <c r="KKR102" i="62"/>
  <c r="KKP102" i="62"/>
  <c r="KKN102" i="62"/>
  <c r="KKL102" i="62"/>
  <c r="KKJ102" i="62"/>
  <c r="KKH102" i="62"/>
  <c r="KKF102" i="62"/>
  <c r="KKD102" i="62"/>
  <c r="KKB102" i="62"/>
  <c r="KJZ102" i="62"/>
  <c r="KJX102" i="62"/>
  <c r="KJV102" i="62"/>
  <c r="KJT102" i="62"/>
  <c r="KJR102" i="62"/>
  <c r="KJP102" i="62"/>
  <c r="KJN102" i="62"/>
  <c r="KJL102" i="62"/>
  <c r="KJJ102" i="62"/>
  <c r="KJH102" i="62"/>
  <c r="KJF102" i="62"/>
  <c r="KJD102" i="62"/>
  <c r="KJB102" i="62"/>
  <c r="KIZ102" i="62"/>
  <c r="KIX102" i="62"/>
  <c r="KIV102" i="62"/>
  <c r="KIT102" i="62"/>
  <c r="KIR102" i="62"/>
  <c r="KIP102" i="62"/>
  <c r="KIN102" i="62"/>
  <c r="KIL102" i="62"/>
  <c r="KIJ102" i="62"/>
  <c r="KIH102" i="62"/>
  <c r="KIF102" i="62"/>
  <c r="KID102" i="62"/>
  <c r="KIB102" i="62"/>
  <c r="KHZ102" i="62"/>
  <c r="KHX102" i="62"/>
  <c r="KHV102" i="62"/>
  <c r="KHT102" i="62"/>
  <c r="KHR102" i="62"/>
  <c r="KHP102" i="62"/>
  <c r="KHN102" i="62"/>
  <c r="KHL102" i="62"/>
  <c r="KHJ102" i="62"/>
  <c r="KHH102" i="62"/>
  <c r="KHF102" i="62"/>
  <c r="KHD102" i="62"/>
  <c r="KHB102" i="62"/>
  <c r="KGZ102" i="62"/>
  <c r="KGX102" i="62"/>
  <c r="KGV102" i="62"/>
  <c r="KGT102" i="62"/>
  <c r="KGR102" i="62"/>
  <c r="KGP102" i="62"/>
  <c r="KGN102" i="62"/>
  <c r="KGL102" i="62"/>
  <c r="KGJ102" i="62"/>
  <c r="KGH102" i="62"/>
  <c r="KGF102" i="62"/>
  <c r="KGD102" i="62"/>
  <c r="KGB102" i="62"/>
  <c r="KFZ102" i="62"/>
  <c r="KFX102" i="62"/>
  <c r="KFV102" i="62"/>
  <c r="KFT102" i="62"/>
  <c r="KFR102" i="62"/>
  <c r="KFP102" i="62"/>
  <c r="KFN102" i="62"/>
  <c r="KFL102" i="62"/>
  <c r="KFJ102" i="62"/>
  <c r="KFH102" i="62"/>
  <c r="KFF102" i="62"/>
  <c r="KFD102" i="62"/>
  <c r="KFB102" i="62"/>
  <c r="KEZ102" i="62"/>
  <c r="KEX102" i="62"/>
  <c r="KEV102" i="62"/>
  <c r="KET102" i="62"/>
  <c r="KER102" i="62"/>
  <c r="KEP102" i="62"/>
  <c r="KEN102" i="62"/>
  <c r="KEL102" i="62"/>
  <c r="KEJ102" i="62"/>
  <c r="KEH102" i="62"/>
  <c r="KEF102" i="62"/>
  <c r="KED102" i="62"/>
  <c r="KEB102" i="62"/>
  <c r="KDZ102" i="62"/>
  <c r="KDX102" i="62"/>
  <c r="KDV102" i="62"/>
  <c r="KDT102" i="62"/>
  <c r="KDR102" i="62"/>
  <c r="KDP102" i="62"/>
  <c r="KDN102" i="62"/>
  <c r="KDL102" i="62"/>
  <c r="KDJ102" i="62"/>
  <c r="KDH102" i="62"/>
  <c r="KDF102" i="62"/>
  <c r="KDD102" i="62"/>
  <c r="KDB102" i="62"/>
  <c r="KCZ102" i="62"/>
  <c r="KCX102" i="62"/>
  <c r="KCV102" i="62"/>
  <c r="KCT102" i="62"/>
  <c r="KCR102" i="62"/>
  <c r="KCP102" i="62"/>
  <c r="KCN102" i="62"/>
  <c r="KCL102" i="62"/>
  <c r="KCJ102" i="62"/>
  <c r="KCH102" i="62"/>
  <c r="KCF102" i="62"/>
  <c r="KCD102" i="62"/>
  <c r="KCB102" i="62"/>
  <c r="KBZ102" i="62"/>
  <c r="KBX102" i="62"/>
  <c r="KBV102" i="62"/>
  <c r="KBT102" i="62"/>
  <c r="KBR102" i="62"/>
  <c r="KBP102" i="62"/>
  <c r="KBN102" i="62"/>
  <c r="KBL102" i="62"/>
  <c r="KBJ102" i="62"/>
  <c r="KBH102" i="62"/>
  <c r="KBF102" i="62"/>
  <c r="KBD102" i="62"/>
  <c r="KBB102" i="62"/>
  <c r="KAZ102" i="62"/>
  <c r="KAX102" i="62"/>
  <c r="KAV102" i="62"/>
  <c r="KAT102" i="62"/>
  <c r="KAR102" i="62"/>
  <c r="KAP102" i="62"/>
  <c r="KAN102" i="62"/>
  <c r="KAL102" i="62"/>
  <c r="KAJ102" i="62"/>
  <c r="KAH102" i="62"/>
  <c r="KAF102" i="62"/>
  <c r="KAD102" i="62"/>
  <c r="KAB102" i="62"/>
  <c r="JZZ102" i="62"/>
  <c r="JZX102" i="62"/>
  <c r="JZV102" i="62"/>
  <c r="JZT102" i="62"/>
  <c r="JZR102" i="62"/>
  <c r="JZP102" i="62"/>
  <c r="JZN102" i="62"/>
  <c r="JZL102" i="62"/>
  <c r="JZJ102" i="62"/>
  <c r="JZH102" i="62"/>
  <c r="JZF102" i="62"/>
  <c r="JZD102" i="62"/>
  <c r="JZB102" i="62"/>
  <c r="JYZ102" i="62"/>
  <c r="JYX102" i="62"/>
  <c r="JYV102" i="62"/>
  <c r="JYT102" i="62"/>
  <c r="JYR102" i="62"/>
  <c r="JYP102" i="62"/>
  <c r="JYN102" i="62"/>
  <c r="JYL102" i="62"/>
  <c r="JYJ102" i="62"/>
  <c r="JYH102" i="62"/>
  <c r="JYF102" i="62"/>
  <c r="JYD102" i="62"/>
  <c r="JYB102" i="62"/>
  <c r="JXZ102" i="62"/>
  <c r="JXX102" i="62"/>
  <c r="JXV102" i="62"/>
  <c r="JXT102" i="62"/>
  <c r="JXR102" i="62"/>
  <c r="JXP102" i="62"/>
  <c r="JXN102" i="62"/>
  <c r="JXL102" i="62"/>
  <c r="JXJ102" i="62"/>
  <c r="JXH102" i="62"/>
  <c r="JXF102" i="62"/>
  <c r="JXD102" i="62"/>
  <c r="JXB102" i="62"/>
  <c r="JWZ102" i="62"/>
  <c r="JWX102" i="62"/>
  <c r="JWV102" i="62"/>
  <c r="JWT102" i="62"/>
  <c r="JWR102" i="62"/>
  <c r="JWP102" i="62"/>
  <c r="JWN102" i="62"/>
  <c r="JWL102" i="62"/>
  <c r="JWJ102" i="62"/>
  <c r="JWH102" i="62"/>
  <c r="JWF102" i="62"/>
  <c r="JWD102" i="62"/>
  <c r="JWB102" i="62"/>
  <c r="JVZ102" i="62"/>
  <c r="JVX102" i="62"/>
  <c r="JVV102" i="62"/>
  <c r="JVT102" i="62"/>
  <c r="JVR102" i="62"/>
  <c r="JVP102" i="62"/>
  <c r="JVN102" i="62"/>
  <c r="JVL102" i="62"/>
  <c r="JVJ102" i="62"/>
  <c r="JVH102" i="62"/>
  <c r="JVF102" i="62"/>
  <c r="JVD102" i="62"/>
  <c r="JVB102" i="62"/>
  <c r="JUZ102" i="62"/>
  <c r="JUX102" i="62"/>
  <c r="JUV102" i="62"/>
  <c r="JUT102" i="62"/>
  <c r="JUR102" i="62"/>
  <c r="JUP102" i="62"/>
  <c r="JUN102" i="62"/>
  <c r="JUL102" i="62"/>
  <c r="JUJ102" i="62"/>
  <c r="JUH102" i="62"/>
  <c r="JUF102" i="62"/>
  <c r="JUD102" i="62"/>
  <c r="JUB102" i="62"/>
  <c r="JTZ102" i="62"/>
  <c r="JTX102" i="62"/>
  <c r="JTV102" i="62"/>
  <c r="JTT102" i="62"/>
  <c r="JTR102" i="62"/>
  <c r="JTP102" i="62"/>
  <c r="JTN102" i="62"/>
  <c r="JTL102" i="62"/>
  <c r="JTJ102" i="62"/>
  <c r="JTH102" i="62"/>
  <c r="JTF102" i="62"/>
  <c r="JTD102" i="62"/>
  <c r="JTB102" i="62"/>
  <c r="JSZ102" i="62"/>
  <c r="JSX102" i="62"/>
  <c r="JSV102" i="62"/>
  <c r="JST102" i="62"/>
  <c r="JSR102" i="62"/>
  <c r="JSP102" i="62"/>
  <c r="JSN102" i="62"/>
  <c r="JSL102" i="62"/>
  <c r="JSJ102" i="62"/>
  <c r="JSH102" i="62"/>
  <c r="JSF102" i="62"/>
  <c r="JSD102" i="62"/>
  <c r="JSB102" i="62"/>
  <c r="JRZ102" i="62"/>
  <c r="JRX102" i="62"/>
  <c r="JRV102" i="62"/>
  <c r="JRT102" i="62"/>
  <c r="JRR102" i="62"/>
  <c r="JRP102" i="62"/>
  <c r="JRN102" i="62"/>
  <c r="JRL102" i="62"/>
  <c r="JRJ102" i="62"/>
  <c r="JRH102" i="62"/>
  <c r="JRF102" i="62"/>
  <c r="JRD102" i="62"/>
  <c r="JRB102" i="62"/>
  <c r="JQZ102" i="62"/>
  <c r="JQX102" i="62"/>
  <c r="JQV102" i="62"/>
  <c r="JQT102" i="62"/>
  <c r="JQR102" i="62"/>
  <c r="JQP102" i="62"/>
  <c r="JQN102" i="62"/>
  <c r="JQL102" i="62"/>
  <c r="JQJ102" i="62"/>
  <c r="JQH102" i="62"/>
  <c r="JQF102" i="62"/>
  <c r="JQD102" i="62"/>
  <c r="JQB102" i="62"/>
  <c r="JPZ102" i="62"/>
  <c r="JPX102" i="62"/>
  <c r="JPV102" i="62"/>
  <c r="JPT102" i="62"/>
  <c r="JPR102" i="62"/>
  <c r="JPP102" i="62"/>
  <c r="JPN102" i="62"/>
  <c r="JPL102" i="62"/>
  <c r="JPJ102" i="62"/>
  <c r="JPH102" i="62"/>
  <c r="JPF102" i="62"/>
  <c r="JPD102" i="62"/>
  <c r="JPB102" i="62"/>
  <c r="JOZ102" i="62"/>
  <c r="JOX102" i="62"/>
  <c r="JOV102" i="62"/>
  <c r="JOT102" i="62"/>
  <c r="JOR102" i="62"/>
  <c r="JOP102" i="62"/>
  <c r="JON102" i="62"/>
  <c r="JOL102" i="62"/>
  <c r="JOJ102" i="62"/>
  <c r="JOH102" i="62"/>
  <c r="JOF102" i="62"/>
  <c r="JOD102" i="62"/>
  <c r="JOB102" i="62"/>
  <c r="JNZ102" i="62"/>
  <c r="JNX102" i="62"/>
  <c r="JNV102" i="62"/>
  <c r="JNT102" i="62"/>
  <c r="JNR102" i="62"/>
  <c r="JNP102" i="62"/>
  <c r="JNN102" i="62"/>
  <c r="JNL102" i="62"/>
  <c r="JNJ102" i="62"/>
  <c r="JNH102" i="62"/>
  <c r="JNF102" i="62"/>
  <c r="JND102" i="62"/>
  <c r="JNB102" i="62"/>
  <c r="JMZ102" i="62"/>
  <c r="JMX102" i="62"/>
  <c r="JMV102" i="62"/>
  <c r="JMT102" i="62"/>
  <c r="JMR102" i="62"/>
  <c r="JMP102" i="62"/>
  <c r="JMN102" i="62"/>
  <c r="JML102" i="62"/>
  <c r="JMJ102" i="62"/>
  <c r="JMH102" i="62"/>
  <c r="JMF102" i="62"/>
  <c r="JMD102" i="62"/>
  <c r="JMB102" i="62"/>
  <c r="JLZ102" i="62"/>
  <c r="JLX102" i="62"/>
  <c r="JLV102" i="62"/>
  <c r="JLT102" i="62"/>
  <c r="JLR102" i="62"/>
  <c r="JLP102" i="62"/>
  <c r="JLN102" i="62"/>
  <c r="JLL102" i="62"/>
  <c r="JLJ102" i="62"/>
  <c r="JLH102" i="62"/>
  <c r="JLF102" i="62"/>
  <c r="JLD102" i="62"/>
  <c r="JLB102" i="62"/>
  <c r="JKZ102" i="62"/>
  <c r="JKX102" i="62"/>
  <c r="JKV102" i="62"/>
  <c r="JKT102" i="62"/>
  <c r="JKR102" i="62"/>
  <c r="JKP102" i="62"/>
  <c r="JKN102" i="62"/>
  <c r="JKL102" i="62"/>
  <c r="JKJ102" i="62"/>
  <c r="JKH102" i="62"/>
  <c r="JKF102" i="62"/>
  <c r="JKD102" i="62"/>
  <c r="JKB102" i="62"/>
  <c r="JJZ102" i="62"/>
  <c r="JJX102" i="62"/>
  <c r="JJV102" i="62"/>
  <c r="JJT102" i="62"/>
  <c r="JJR102" i="62"/>
  <c r="JJP102" i="62"/>
  <c r="JJN102" i="62"/>
  <c r="JJL102" i="62"/>
  <c r="JJJ102" i="62"/>
  <c r="JJH102" i="62"/>
  <c r="JJF102" i="62"/>
  <c r="JJD102" i="62"/>
  <c r="JJB102" i="62"/>
  <c r="JIZ102" i="62"/>
  <c r="JIX102" i="62"/>
  <c r="JIV102" i="62"/>
  <c r="JIT102" i="62"/>
  <c r="JIR102" i="62"/>
  <c r="JIP102" i="62"/>
  <c r="JIN102" i="62"/>
  <c r="JIL102" i="62"/>
  <c r="JIJ102" i="62"/>
  <c r="JIH102" i="62"/>
  <c r="JIF102" i="62"/>
  <c r="JID102" i="62"/>
  <c r="JIB102" i="62"/>
  <c r="JHZ102" i="62"/>
  <c r="JHX102" i="62"/>
  <c r="JHV102" i="62"/>
  <c r="JHT102" i="62"/>
  <c r="JHR102" i="62"/>
  <c r="JHP102" i="62"/>
  <c r="JHN102" i="62"/>
  <c r="JHL102" i="62"/>
  <c r="JHJ102" i="62"/>
  <c r="JHH102" i="62"/>
  <c r="JHF102" i="62"/>
  <c r="JHD102" i="62"/>
  <c r="JHB102" i="62"/>
  <c r="JGZ102" i="62"/>
  <c r="JGX102" i="62"/>
  <c r="JGV102" i="62"/>
  <c r="JGT102" i="62"/>
  <c r="JGR102" i="62"/>
  <c r="JGP102" i="62"/>
  <c r="JGN102" i="62"/>
  <c r="JGL102" i="62"/>
  <c r="JGJ102" i="62"/>
  <c r="JGH102" i="62"/>
  <c r="JGF102" i="62"/>
  <c r="JGD102" i="62"/>
  <c r="JGB102" i="62"/>
  <c r="JFZ102" i="62"/>
  <c r="JFX102" i="62"/>
  <c r="JFV102" i="62"/>
  <c r="JFT102" i="62"/>
  <c r="JFR102" i="62"/>
  <c r="JFP102" i="62"/>
  <c r="JFN102" i="62"/>
  <c r="JFL102" i="62"/>
  <c r="JFJ102" i="62"/>
  <c r="JFH102" i="62"/>
  <c r="JFF102" i="62"/>
  <c r="JFD102" i="62"/>
  <c r="JFB102" i="62"/>
  <c r="JEZ102" i="62"/>
  <c r="JEX102" i="62"/>
  <c r="JEV102" i="62"/>
  <c r="JET102" i="62"/>
  <c r="JER102" i="62"/>
  <c r="JEP102" i="62"/>
  <c r="JEN102" i="62"/>
  <c r="JEL102" i="62"/>
  <c r="JEJ102" i="62"/>
  <c r="JEH102" i="62"/>
  <c r="JEF102" i="62"/>
  <c r="JED102" i="62"/>
  <c r="JEB102" i="62"/>
  <c r="JDZ102" i="62"/>
  <c r="JDX102" i="62"/>
  <c r="JDV102" i="62"/>
  <c r="JDT102" i="62"/>
  <c r="JDR102" i="62"/>
  <c r="JDP102" i="62"/>
  <c r="JDN102" i="62"/>
  <c r="JDL102" i="62"/>
  <c r="JDJ102" i="62"/>
  <c r="JDH102" i="62"/>
  <c r="JDF102" i="62"/>
  <c r="JDD102" i="62"/>
  <c r="JDB102" i="62"/>
  <c r="JCZ102" i="62"/>
  <c r="JCX102" i="62"/>
  <c r="JCV102" i="62"/>
  <c r="JCT102" i="62"/>
  <c r="JCR102" i="62"/>
  <c r="JCP102" i="62"/>
  <c r="JCN102" i="62"/>
  <c r="JCL102" i="62"/>
  <c r="JCJ102" i="62"/>
  <c r="JCH102" i="62"/>
  <c r="JCF102" i="62"/>
  <c r="JCD102" i="62"/>
  <c r="JCB102" i="62"/>
  <c r="JBZ102" i="62"/>
  <c r="JBX102" i="62"/>
  <c r="JBV102" i="62"/>
  <c r="JBT102" i="62"/>
  <c r="JBR102" i="62"/>
  <c r="JBP102" i="62"/>
  <c r="JBN102" i="62"/>
  <c r="JBL102" i="62"/>
  <c r="JBJ102" i="62"/>
  <c r="JBH102" i="62"/>
  <c r="JBF102" i="62"/>
  <c r="JBD102" i="62"/>
  <c r="JBB102" i="62"/>
  <c r="JAZ102" i="62"/>
  <c r="JAX102" i="62"/>
  <c r="JAV102" i="62"/>
  <c r="JAT102" i="62"/>
  <c r="JAR102" i="62"/>
  <c r="JAP102" i="62"/>
  <c r="JAN102" i="62"/>
  <c r="JAL102" i="62"/>
  <c r="JAJ102" i="62"/>
  <c r="JAH102" i="62"/>
  <c r="JAF102" i="62"/>
  <c r="JAD102" i="62"/>
  <c r="JAB102" i="62"/>
  <c r="IZZ102" i="62"/>
  <c r="IZX102" i="62"/>
  <c r="IZV102" i="62"/>
  <c r="IZT102" i="62"/>
  <c r="IZR102" i="62"/>
  <c r="IZP102" i="62"/>
  <c r="IZN102" i="62"/>
  <c r="IZL102" i="62"/>
  <c r="IZJ102" i="62"/>
  <c r="IZH102" i="62"/>
  <c r="IZF102" i="62"/>
  <c r="IZD102" i="62"/>
  <c r="IZB102" i="62"/>
  <c r="IYZ102" i="62"/>
  <c r="IYX102" i="62"/>
  <c r="IYV102" i="62"/>
  <c r="IYT102" i="62"/>
  <c r="IYR102" i="62"/>
  <c r="IYP102" i="62"/>
  <c r="IYN102" i="62"/>
  <c r="IYL102" i="62"/>
  <c r="IYJ102" i="62"/>
  <c r="IYH102" i="62"/>
  <c r="IYF102" i="62"/>
  <c r="IYD102" i="62"/>
  <c r="IYB102" i="62"/>
  <c r="IXZ102" i="62"/>
  <c r="IXX102" i="62"/>
  <c r="IXV102" i="62"/>
  <c r="IXT102" i="62"/>
  <c r="IXR102" i="62"/>
  <c r="IXP102" i="62"/>
  <c r="IXN102" i="62"/>
  <c r="IXL102" i="62"/>
  <c r="IXJ102" i="62"/>
  <c r="IXH102" i="62"/>
  <c r="IXF102" i="62"/>
  <c r="IXD102" i="62"/>
  <c r="IXB102" i="62"/>
  <c r="IWZ102" i="62"/>
  <c r="IWX102" i="62"/>
  <c r="IWV102" i="62"/>
  <c r="IWT102" i="62"/>
  <c r="IWR102" i="62"/>
  <c r="IWP102" i="62"/>
  <c r="IWN102" i="62"/>
  <c r="IWL102" i="62"/>
  <c r="IWJ102" i="62"/>
  <c r="IWH102" i="62"/>
  <c r="IWF102" i="62"/>
  <c r="IWD102" i="62"/>
  <c r="IWB102" i="62"/>
  <c r="IVZ102" i="62"/>
  <c r="IVX102" i="62"/>
  <c r="IVV102" i="62"/>
  <c r="IVT102" i="62"/>
  <c r="IVR102" i="62"/>
  <c r="IVP102" i="62"/>
  <c r="IVN102" i="62"/>
  <c r="IVL102" i="62"/>
  <c r="IVJ102" i="62"/>
  <c r="IVH102" i="62"/>
  <c r="IVF102" i="62"/>
  <c r="IVD102" i="62"/>
  <c r="IVB102" i="62"/>
  <c r="IUZ102" i="62"/>
  <c r="IUX102" i="62"/>
  <c r="IUV102" i="62"/>
  <c r="IUT102" i="62"/>
  <c r="IUR102" i="62"/>
  <c r="IUP102" i="62"/>
  <c r="IUN102" i="62"/>
  <c r="IUL102" i="62"/>
  <c r="IUJ102" i="62"/>
  <c r="IUH102" i="62"/>
  <c r="IUF102" i="62"/>
  <c r="IUD102" i="62"/>
  <c r="IUB102" i="62"/>
  <c r="ITZ102" i="62"/>
  <c r="ITX102" i="62"/>
  <c r="ITV102" i="62"/>
  <c r="ITT102" i="62"/>
  <c r="ITR102" i="62"/>
  <c r="ITP102" i="62"/>
  <c r="ITN102" i="62"/>
  <c r="ITL102" i="62"/>
  <c r="ITJ102" i="62"/>
  <c r="ITH102" i="62"/>
  <c r="ITF102" i="62"/>
  <c r="ITD102" i="62"/>
  <c r="ITB102" i="62"/>
  <c r="ISZ102" i="62"/>
  <c r="ISX102" i="62"/>
  <c r="ISV102" i="62"/>
  <c r="IST102" i="62"/>
  <c r="ISR102" i="62"/>
  <c r="ISP102" i="62"/>
  <c r="ISN102" i="62"/>
  <c r="ISL102" i="62"/>
  <c r="ISJ102" i="62"/>
  <c r="ISH102" i="62"/>
  <c r="ISF102" i="62"/>
  <c r="ISD102" i="62"/>
  <c r="ISB102" i="62"/>
  <c r="IRZ102" i="62"/>
  <c r="IRX102" i="62"/>
  <c r="IRV102" i="62"/>
  <c r="IRT102" i="62"/>
  <c r="IRR102" i="62"/>
  <c r="IRP102" i="62"/>
  <c r="IRN102" i="62"/>
  <c r="IRL102" i="62"/>
  <c r="IRJ102" i="62"/>
  <c r="IRH102" i="62"/>
  <c r="IRF102" i="62"/>
  <c r="IRD102" i="62"/>
  <c r="IRB102" i="62"/>
  <c r="IQZ102" i="62"/>
  <c r="IQX102" i="62"/>
  <c r="IQV102" i="62"/>
  <c r="IQT102" i="62"/>
  <c r="IQR102" i="62"/>
  <c r="IQP102" i="62"/>
  <c r="IQN102" i="62"/>
  <c r="IQL102" i="62"/>
  <c r="IQJ102" i="62"/>
  <c r="IQH102" i="62"/>
  <c r="IQF102" i="62"/>
  <c r="IQD102" i="62"/>
  <c r="IQB102" i="62"/>
  <c r="IPZ102" i="62"/>
  <c r="IPX102" i="62"/>
  <c r="IPV102" i="62"/>
  <c r="IPT102" i="62"/>
  <c r="IPR102" i="62"/>
  <c r="IPP102" i="62"/>
  <c r="IPN102" i="62"/>
  <c r="IPL102" i="62"/>
  <c r="IPJ102" i="62"/>
  <c r="IPH102" i="62"/>
  <c r="IPF102" i="62"/>
  <c r="IPD102" i="62"/>
  <c r="IPB102" i="62"/>
  <c r="IOZ102" i="62"/>
  <c r="IOX102" i="62"/>
  <c r="IOV102" i="62"/>
  <c r="IOT102" i="62"/>
  <c r="IOR102" i="62"/>
  <c r="IOP102" i="62"/>
  <c r="ION102" i="62"/>
  <c r="IOL102" i="62"/>
  <c r="IOJ102" i="62"/>
  <c r="IOH102" i="62"/>
  <c r="IOF102" i="62"/>
  <c r="IOD102" i="62"/>
  <c r="IOB102" i="62"/>
  <c r="INZ102" i="62"/>
  <c r="INX102" i="62"/>
  <c r="INV102" i="62"/>
  <c r="INT102" i="62"/>
  <c r="INR102" i="62"/>
  <c r="INP102" i="62"/>
  <c r="INN102" i="62"/>
  <c r="INL102" i="62"/>
  <c r="INJ102" i="62"/>
  <c r="INH102" i="62"/>
  <c r="INF102" i="62"/>
  <c r="IND102" i="62"/>
  <c r="INB102" i="62"/>
  <c r="IMZ102" i="62"/>
  <c r="IMX102" i="62"/>
  <c r="IMV102" i="62"/>
  <c r="IMT102" i="62"/>
  <c r="IMR102" i="62"/>
  <c r="IMP102" i="62"/>
  <c r="IMN102" i="62"/>
  <c r="IML102" i="62"/>
  <c r="IMJ102" i="62"/>
  <c r="IMH102" i="62"/>
  <c r="IMF102" i="62"/>
  <c r="IMD102" i="62"/>
  <c r="IMB102" i="62"/>
  <c r="ILZ102" i="62"/>
  <c r="ILX102" i="62"/>
  <c r="ILV102" i="62"/>
  <c r="ILT102" i="62"/>
  <c r="ILR102" i="62"/>
  <c r="ILP102" i="62"/>
  <c r="ILN102" i="62"/>
  <c r="ILL102" i="62"/>
  <c r="ILJ102" i="62"/>
  <c r="ILH102" i="62"/>
  <c r="ILF102" i="62"/>
  <c r="ILD102" i="62"/>
  <c r="ILB102" i="62"/>
  <c r="IKZ102" i="62"/>
  <c r="IKX102" i="62"/>
  <c r="IKV102" i="62"/>
  <c r="IKT102" i="62"/>
  <c r="IKR102" i="62"/>
  <c r="IKP102" i="62"/>
  <c r="IKN102" i="62"/>
  <c r="IKL102" i="62"/>
  <c r="IKJ102" i="62"/>
  <c r="IKH102" i="62"/>
  <c r="IKF102" i="62"/>
  <c r="IKD102" i="62"/>
  <c r="IKB102" i="62"/>
  <c r="IJZ102" i="62"/>
  <c r="IJX102" i="62"/>
  <c r="IJV102" i="62"/>
  <c r="IJT102" i="62"/>
  <c r="IJR102" i="62"/>
  <c r="IJP102" i="62"/>
  <c r="IJN102" i="62"/>
  <c r="IJL102" i="62"/>
  <c r="IJJ102" i="62"/>
  <c r="IJH102" i="62"/>
  <c r="IJF102" i="62"/>
  <c r="IJD102" i="62"/>
  <c r="IJB102" i="62"/>
  <c r="IIZ102" i="62"/>
  <c r="IIX102" i="62"/>
  <c r="IIV102" i="62"/>
  <c r="IIT102" i="62"/>
  <c r="IIR102" i="62"/>
  <c r="IIP102" i="62"/>
  <c r="IIN102" i="62"/>
  <c r="IIL102" i="62"/>
  <c r="IIJ102" i="62"/>
  <c r="IIH102" i="62"/>
  <c r="IIF102" i="62"/>
  <c r="IID102" i="62"/>
  <c r="IIB102" i="62"/>
  <c r="IHZ102" i="62"/>
  <c r="IHX102" i="62"/>
  <c r="IHV102" i="62"/>
  <c r="IHT102" i="62"/>
  <c r="IHR102" i="62"/>
  <c r="IHP102" i="62"/>
  <c r="IHN102" i="62"/>
  <c r="IHL102" i="62"/>
  <c r="IHJ102" i="62"/>
  <c r="IHH102" i="62"/>
  <c r="IHF102" i="62"/>
  <c r="IHD102" i="62"/>
  <c r="IHB102" i="62"/>
  <c r="IGZ102" i="62"/>
  <c r="IGX102" i="62"/>
  <c r="IGV102" i="62"/>
  <c r="IGT102" i="62"/>
  <c r="IGR102" i="62"/>
  <c r="IGP102" i="62"/>
  <c r="IGN102" i="62"/>
  <c r="IGL102" i="62"/>
  <c r="IGJ102" i="62"/>
  <c r="IGH102" i="62"/>
  <c r="IGF102" i="62"/>
  <c r="IGD102" i="62"/>
  <c r="IGB102" i="62"/>
  <c r="IFZ102" i="62"/>
  <c r="IFX102" i="62"/>
  <c r="IFV102" i="62"/>
  <c r="IFT102" i="62"/>
  <c r="IFR102" i="62"/>
  <c r="IFP102" i="62"/>
  <c r="IFN102" i="62"/>
  <c r="IFL102" i="62"/>
  <c r="IFJ102" i="62"/>
  <c r="IFH102" i="62"/>
  <c r="IFF102" i="62"/>
  <c r="IFD102" i="62"/>
  <c r="IFB102" i="62"/>
  <c r="IEZ102" i="62"/>
  <c r="IEX102" i="62"/>
  <c r="IEV102" i="62"/>
  <c r="IET102" i="62"/>
  <c r="IER102" i="62"/>
  <c r="IEP102" i="62"/>
  <c r="IEN102" i="62"/>
  <c r="IEL102" i="62"/>
  <c r="IEJ102" i="62"/>
  <c r="IEH102" i="62"/>
  <c r="IEF102" i="62"/>
  <c r="IED102" i="62"/>
  <c r="IEB102" i="62"/>
  <c r="IDZ102" i="62"/>
  <c r="IDX102" i="62"/>
  <c r="IDV102" i="62"/>
  <c r="IDT102" i="62"/>
  <c r="IDR102" i="62"/>
  <c r="IDP102" i="62"/>
  <c r="IDN102" i="62"/>
  <c r="IDL102" i="62"/>
  <c r="IDJ102" i="62"/>
  <c r="IDH102" i="62"/>
  <c r="IDF102" i="62"/>
  <c r="IDD102" i="62"/>
  <c r="IDB102" i="62"/>
  <c r="ICZ102" i="62"/>
  <c r="ICX102" i="62"/>
  <c r="ICV102" i="62"/>
  <c r="ICT102" i="62"/>
  <c r="ICR102" i="62"/>
  <c r="ICP102" i="62"/>
  <c r="ICN102" i="62"/>
  <c r="ICL102" i="62"/>
  <c r="ICJ102" i="62"/>
  <c r="ICH102" i="62"/>
  <c r="ICF102" i="62"/>
  <c r="ICD102" i="62"/>
  <c r="ICB102" i="62"/>
  <c r="IBZ102" i="62"/>
  <c r="IBX102" i="62"/>
  <c r="IBV102" i="62"/>
  <c r="IBT102" i="62"/>
  <c r="IBR102" i="62"/>
  <c r="IBP102" i="62"/>
  <c r="IBN102" i="62"/>
  <c r="IBL102" i="62"/>
  <c r="IBJ102" i="62"/>
  <c r="IBH102" i="62"/>
  <c r="IBF102" i="62"/>
  <c r="IBD102" i="62"/>
  <c r="IBB102" i="62"/>
  <c r="IAZ102" i="62"/>
  <c r="IAX102" i="62"/>
  <c r="IAV102" i="62"/>
  <c r="IAT102" i="62"/>
  <c r="IAR102" i="62"/>
  <c r="IAP102" i="62"/>
  <c r="IAN102" i="62"/>
  <c r="IAL102" i="62"/>
  <c r="IAJ102" i="62"/>
  <c r="IAH102" i="62"/>
  <c r="IAF102" i="62"/>
  <c r="IAD102" i="62"/>
  <c r="IAB102" i="62"/>
  <c r="HZZ102" i="62"/>
  <c r="HZX102" i="62"/>
  <c r="HZV102" i="62"/>
  <c r="HZT102" i="62"/>
  <c r="HZR102" i="62"/>
  <c r="HZP102" i="62"/>
  <c r="HZN102" i="62"/>
  <c r="HZL102" i="62"/>
  <c r="HZJ102" i="62"/>
  <c r="HZH102" i="62"/>
  <c r="HZF102" i="62"/>
  <c r="HZD102" i="62"/>
  <c r="HZB102" i="62"/>
  <c r="HYZ102" i="62"/>
  <c r="HYX102" i="62"/>
  <c r="HYV102" i="62"/>
  <c r="HYT102" i="62"/>
  <c r="HYR102" i="62"/>
  <c r="HYP102" i="62"/>
  <c r="HYN102" i="62"/>
  <c r="HYL102" i="62"/>
  <c r="HYJ102" i="62"/>
  <c r="HYH102" i="62"/>
  <c r="HYF102" i="62"/>
  <c r="HYD102" i="62"/>
  <c r="HYB102" i="62"/>
  <c r="HXZ102" i="62"/>
  <c r="HXX102" i="62"/>
  <c r="HXV102" i="62"/>
  <c r="HXT102" i="62"/>
  <c r="HXR102" i="62"/>
  <c r="HXP102" i="62"/>
  <c r="HXN102" i="62"/>
  <c r="HXL102" i="62"/>
  <c r="HXJ102" i="62"/>
  <c r="HXH102" i="62"/>
  <c r="HXF102" i="62"/>
  <c r="HXD102" i="62"/>
  <c r="HXB102" i="62"/>
  <c r="HWZ102" i="62"/>
  <c r="HWX102" i="62"/>
  <c r="HWV102" i="62"/>
  <c r="HWT102" i="62"/>
  <c r="HWR102" i="62"/>
  <c r="HWP102" i="62"/>
  <c r="HWN102" i="62"/>
  <c r="HWL102" i="62"/>
  <c r="HWJ102" i="62"/>
  <c r="HWH102" i="62"/>
  <c r="HWF102" i="62"/>
  <c r="HWD102" i="62"/>
  <c r="HWB102" i="62"/>
  <c r="HVZ102" i="62"/>
  <c r="HVX102" i="62"/>
  <c r="HVV102" i="62"/>
  <c r="HVT102" i="62"/>
  <c r="HVR102" i="62"/>
  <c r="HVP102" i="62"/>
  <c r="HVN102" i="62"/>
  <c r="HVL102" i="62"/>
  <c r="HVJ102" i="62"/>
  <c r="HVH102" i="62"/>
  <c r="HVF102" i="62"/>
  <c r="HVD102" i="62"/>
  <c r="HVB102" i="62"/>
  <c r="HUZ102" i="62"/>
  <c r="HUX102" i="62"/>
  <c r="HUV102" i="62"/>
  <c r="HUT102" i="62"/>
  <c r="HUR102" i="62"/>
  <c r="HUP102" i="62"/>
  <c r="HUN102" i="62"/>
  <c r="HUL102" i="62"/>
  <c r="HUJ102" i="62"/>
  <c r="HUH102" i="62"/>
  <c r="HUF102" i="62"/>
  <c r="HUD102" i="62"/>
  <c r="HUB102" i="62"/>
  <c r="HTZ102" i="62"/>
  <c r="HTX102" i="62"/>
  <c r="HTV102" i="62"/>
  <c r="HTT102" i="62"/>
  <c r="HTR102" i="62"/>
  <c r="HTP102" i="62"/>
  <c r="HTN102" i="62"/>
  <c r="HTL102" i="62"/>
  <c r="HTJ102" i="62"/>
  <c r="HTH102" i="62"/>
  <c r="HTF102" i="62"/>
  <c r="HTD102" i="62"/>
  <c r="HTB102" i="62"/>
  <c r="HSZ102" i="62"/>
  <c r="HSX102" i="62"/>
  <c r="HSV102" i="62"/>
  <c r="HST102" i="62"/>
  <c r="HSR102" i="62"/>
  <c r="HSP102" i="62"/>
  <c r="HSN102" i="62"/>
  <c r="HSL102" i="62"/>
  <c r="HSJ102" i="62"/>
  <c r="HSH102" i="62"/>
  <c r="HSF102" i="62"/>
  <c r="HSD102" i="62"/>
  <c r="HSB102" i="62"/>
  <c r="HRZ102" i="62"/>
  <c r="HRX102" i="62"/>
  <c r="HRV102" i="62"/>
  <c r="HRT102" i="62"/>
  <c r="HRR102" i="62"/>
  <c r="HRP102" i="62"/>
  <c r="HRN102" i="62"/>
  <c r="HRL102" i="62"/>
  <c r="HRJ102" i="62"/>
  <c r="HRH102" i="62"/>
  <c r="HRF102" i="62"/>
  <c r="HRD102" i="62"/>
  <c r="HRB102" i="62"/>
  <c r="HQZ102" i="62"/>
  <c r="HQX102" i="62"/>
  <c r="HQV102" i="62"/>
  <c r="HQT102" i="62"/>
  <c r="HQR102" i="62"/>
  <c r="HQP102" i="62"/>
  <c r="HQN102" i="62"/>
  <c r="HQL102" i="62"/>
  <c r="HQJ102" i="62"/>
  <c r="HQH102" i="62"/>
  <c r="HQF102" i="62"/>
  <c r="HQD102" i="62"/>
  <c r="HQB102" i="62"/>
  <c r="HPZ102" i="62"/>
  <c r="HPX102" i="62"/>
  <c r="HPV102" i="62"/>
  <c r="HPT102" i="62"/>
  <c r="HPR102" i="62"/>
  <c r="HPP102" i="62"/>
  <c r="HPN102" i="62"/>
  <c r="HPL102" i="62"/>
  <c r="HPJ102" i="62"/>
  <c r="HPH102" i="62"/>
  <c r="HPF102" i="62"/>
  <c r="HPD102" i="62"/>
  <c r="HPB102" i="62"/>
  <c r="HOZ102" i="62"/>
  <c r="HOX102" i="62"/>
  <c r="HOV102" i="62"/>
  <c r="HOT102" i="62"/>
  <c r="HOR102" i="62"/>
  <c r="HOP102" i="62"/>
  <c r="HON102" i="62"/>
  <c r="HOL102" i="62"/>
  <c r="HOJ102" i="62"/>
  <c r="HOH102" i="62"/>
  <c r="HOF102" i="62"/>
  <c r="HOD102" i="62"/>
  <c r="HOB102" i="62"/>
  <c r="HNZ102" i="62"/>
  <c r="HNX102" i="62"/>
  <c r="HNV102" i="62"/>
  <c r="HNT102" i="62"/>
  <c r="HNR102" i="62"/>
  <c r="HNP102" i="62"/>
  <c r="HNN102" i="62"/>
  <c r="HNL102" i="62"/>
  <c r="HNJ102" i="62"/>
  <c r="HNH102" i="62"/>
  <c r="HNF102" i="62"/>
  <c r="HND102" i="62"/>
  <c r="HNB102" i="62"/>
  <c r="HMZ102" i="62"/>
  <c r="HMX102" i="62"/>
  <c r="HMV102" i="62"/>
  <c r="HMT102" i="62"/>
  <c r="HMR102" i="62"/>
  <c r="HMP102" i="62"/>
  <c r="HMN102" i="62"/>
  <c r="HML102" i="62"/>
  <c r="HMJ102" i="62"/>
  <c r="HMH102" i="62"/>
  <c r="HMF102" i="62"/>
  <c r="HMD102" i="62"/>
  <c r="HMB102" i="62"/>
  <c r="HLZ102" i="62"/>
  <c r="HLX102" i="62"/>
  <c r="HLV102" i="62"/>
  <c r="HLT102" i="62"/>
  <c r="HLR102" i="62"/>
  <c r="HLP102" i="62"/>
  <c r="HLN102" i="62"/>
  <c r="HLL102" i="62"/>
  <c r="HLJ102" i="62"/>
  <c r="HLH102" i="62"/>
  <c r="HLF102" i="62"/>
  <c r="HLD102" i="62"/>
  <c r="HLB102" i="62"/>
  <c r="HKZ102" i="62"/>
  <c r="HKX102" i="62"/>
  <c r="HKV102" i="62"/>
  <c r="HKT102" i="62"/>
  <c r="HKR102" i="62"/>
  <c r="HKP102" i="62"/>
  <c r="HKN102" i="62"/>
  <c r="HKL102" i="62"/>
  <c r="HKJ102" i="62"/>
  <c r="HKH102" i="62"/>
  <c r="HKF102" i="62"/>
  <c r="HKD102" i="62"/>
  <c r="HKB102" i="62"/>
  <c r="HJZ102" i="62"/>
  <c r="HJX102" i="62"/>
  <c r="HJV102" i="62"/>
  <c r="HJT102" i="62"/>
  <c r="HJR102" i="62"/>
  <c r="HJP102" i="62"/>
  <c r="HJN102" i="62"/>
  <c r="HJL102" i="62"/>
  <c r="HJJ102" i="62"/>
  <c r="HJH102" i="62"/>
  <c r="HJF102" i="62"/>
  <c r="HJD102" i="62"/>
  <c r="HJB102" i="62"/>
  <c r="HIZ102" i="62"/>
  <c r="HIX102" i="62"/>
  <c r="HIV102" i="62"/>
  <c r="HIT102" i="62"/>
  <c r="HIR102" i="62"/>
  <c r="HIP102" i="62"/>
  <c r="HIN102" i="62"/>
  <c r="HIL102" i="62"/>
  <c r="HIJ102" i="62"/>
  <c r="HIH102" i="62"/>
  <c r="HIF102" i="62"/>
  <c r="HID102" i="62"/>
  <c r="HIB102" i="62"/>
  <c r="HHZ102" i="62"/>
  <c r="HHX102" i="62"/>
  <c r="HHV102" i="62"/>
  <c r="HHT102" i="62"/>
  <c r="HHR102" i="62"/>
  <c r="HHP102" i="62"/>
  <c r="HHN102" i="62"/>
  <c r="HHL102" i="62"/>
  <c r="HHJ102" i="62"/>
  <c r="HHH102" i="62"/>
  <c r="HHF102" i="62"/>
  <c r="HHD102" i="62"/>
  <c r="HHB102" i="62"/>
  <c r="HGZ102" i="62"/>
  <c r="HGX102" i="62"/>
  <c r="HGV102" i="62"/>
  <c r="HGT102" i="62"/>
  <c r="HGR102" i="62"/>
  <c r="HGP102" i="62"/>
  <c r="HGN102" i="62"/>
  <c r="HGL102" i="62"/>
  <c r="HGJ102" i="62"/>
  <c r="HGH102" i="62"/>
  <c r="HGF102" i="62"/>
  <c r="HGD102" i="62"/>
  <c r="HGB102" i="62"/>
  <c r="HFZ102" i="62"/>
  <c r="HFX102" i="62"/>
  <c r="HFV102" i="62"/>
  <c r="HFT102" i="62"/>
  <c r="HFR102" i="62"/>
  <c r="HFP102" i="62"/>
  <c r="HFN102" i="62"/>
  <c r="HFL102" i="62"/>
  <c r="HFJ102" i="62"/>
  <c r="HFH102" i="62"/>
  <c r="HFF102" i="62"/>
  <c r="HFD102" i="62"/>
  <c r="HFB102" i="62"/>
  <c r="HEZ102" i="62"/>
  <c r="HEX102" i="62"/>
  <c r="HEV102" i="62"/>
  <c r="HET102" i="62"/>
  <c r="HER102" i="62"/>
  <c r="HEP102" i="62"/>
  <c r="HEN102" i="62"/>
  <c r="HEL102" i="62"/>
  <c r="HEJ102" i="62"/>
  <c r="HEH102" i="62"/>
  <c r="HEF102" i="62"/>
  <c r="HED102" i="62"/>
  <c r="HEB102" i="62"/>
  <c r="HDZ102" i="62"/>
  <c r="HDX102" i="62"/>
  <c r="HDV102" i="62"/>
  <c r="HDT102" i="62"/>
  <c r="HDR102" i="62"/>
  <c r="HDP102" i="62"/>
  <c r="HDN102" i="62"/>
  <c r="HDL102" i="62"/>
  <c r="HDJ102" i="62"/>
  <c r="HDH102" i="62"/>
  <c r="HDF102" i="62"/>
  <c r="HDD102" i="62"/>
  <c r="HDB102" i="62"/>
  <c r="HCZ102" i="62"/>
  <c r="HCX102" i="62"/>
  <c r="HCV102" i="62"/>
  <c r="HCT102" i="62"/>
  <c r="HCR102" i="62"/>
  <c r="HCP102" i="62"/>
  <c r="HCN102" i="62"/>
  <c r="HCL102" i="62"/>
  <c r="HCJ102" i="62"/>
  <c r="HCH102" i="62"/>
  <c r="HCF102" i="62"/>
  <c r="HCD102" i="62"/>
  <c r="HCB102" i="62"/>
  <c r="HBZ102" i="62"/>
  <c r="HBX102" i="62"/>
  <c r="HBV102" i="62"/>
  <c r="HBT102" i="62"/>
  <c r="HBR102" i="62"/>
  <c r="HBP102" i="62"/>
  <c r="HBN102" i="62"/>
  <c r="HBL102" i="62"/>
  <c r="HBJ102" i="62"/>
  <c r="HBH102" i="62"/>
  <c r="HBF102" i="62"/>
  <c r="HBD102" i="62"/>
  <c r="HBB102" i="62"/>
  <c r="HAZ102" i="62"/>
  <c r="HAX102" i="62"/>
  <c r="HAV102" i="62"/>
  <c r="HAT102" i="62"/>
  <c r="HAR102" i="62"/>
  <c r="HAP102" i="62"/>
  <c r="HAN102" i="62"/>
  <c r="HAL102" i="62"/>
  <c r="HAJ102" i="62"/>
  <c r="HAH102" i="62"/>
  <c r="HAF102" i="62"/>
  <c r="HAD102" i="62"/>
  <c r="HAB102" i="62"/>
  <c r="GZZ102" i="62"/>
  <c r="GZX102" i="62"/>
  <c r="GZV102" i="62"/>
  <c r="GZT102" i="62"/>
  <c r="GZR102" i="62"/>
  <c r="GZP102" i="62"/>
  <c r="GZN102" i="62"/>
  <c r="GZL102" i="62"/>
  <c r="GZJ102" i="62"/>
  <c r="GZH102" i="62"/>
  <c r="GZF102" i="62"/>
  <c r="GZD102" i="62"/>
  <c r="GZB102" i="62"/>
  <c r="GYZ102" i="62"/>
  <c r="GYX102" i="62"/>
  <c r="GYV102" i="62"/>
  <c r="GYT102" i="62"/>
  <c r="GYR102" i="62"/>
  <c r="GYP102" i="62"/>
  <c r="GYN102" i="62"/>
  <c r="GYL102" i="62"/>
  <c r="GYJ102" i="62"/>
  <c r="GYH102" i="62"/>
  <c r="GYF102" i="62"/>
  <c r="GYD102" i="62"/>
  <c r="GYB102" i="62"/>
  <c r="GXZ102" i="62"/>
  <c r="GXX102" i="62"/>
  <c r="GXV102" i="62"/>
  <c r="GXT102" i="62"/>
  <c r="GXR102" i="62"/>
  <c r="GXP102" i="62"/>
  <c r="GXN102" i="62"/>
  <c r="GXL102" i="62"/>
  <c r="GXJ102" i="62"/>
  <c r="GXH102" i="62"/>
  <c r="GXF102" i="62"/>
  <c r="GXD102" i="62"/>
  <c r="GXB102" i="62"/>
  <c r="GWZ102" i="62"/>
  <c r="GWX102" i="62"/>
  <c r="GWV102" i="62"/>
  <c r="GWT102" i="62"/>
  <c r="GWR102" i="62"/>
  <c r="GWP102" i="62"/>
  <c r="GWN102" i="62"/>
  <c r="GWL102" i="62"/>
  <c r="GWJ102" i="62"/>
  <c r="GWH102" i="62"/>
  <c r="GWF102" i="62"/>
  <c r="GWD102" i="62"/>
  <c r="GWB102" i="62"/>
  <c r="GVZ102" i="62"/>
  <c r="GVX102" i="62"/>
  <c r="GVV102" i="62"/>
  <c r="GVT102" i="62"/>
  <c r="GVR102" i="62"/>
  <c r="GVP102" i="62"/>
  <c r="GVN102" i="62"/>
  <c r="GVL102" i="62"/>
  <c r="GVJ102" i="62"/>
  <c r="GVH102" i="62"/>
  <c r="GVF102" i="62"/>
  <c r="GVD102" i="62"/>
  <c r="GVB102" i="62"/>
  <c r="GUZ102" i="62"/>
  <c r="GUX102" i="62"/>
  <c r="GUV102" i="62"/>
  <c r="GUT102" i="62"/>
  <c r="GUR102" i="62"/>
  <c r="GUP102" i="62"/>
  <c r="GUN102" i="62"/>
  <c r="GUL102" i="62"/>
  <c r="GUJ102" i="62"/>
  <c r="GUH102" i="62"/>
  <c r="GUF102" i="62"/>
  <c r="GUD102" i="62"/>
  <c r="GUB102" i="62"/>
  <c r="GTZ102" i="62"/>
  <c r="GTX102" i="62"/>
  <c r="GTV102" i="62"/>
  <c r="GTT102" i="62"/>
  <c r="GTR102" i="62"/>
  <c r="GTP102" i="62"/>
  <c r="GTN102" i="62"/>
  <c r="GTL102" i="62"/>
  <c r="GTJ102" i="62"/>
  <c r="GTH102" i="62"/>
  <c r="GTF102" i="62"/>
  <c r="GTD102" i="62"/>
  <c r="GTB102" i="62"/>
  <c r="GSZ102" i="62"/>
  <c r="GSX102" i="62"/>
  <c r="GSV102" i="62"/>
  <c r="GST102" i="62"/>
  <c r="GSR102" i="62"/>
  <c r="GSP102" i="62"/>
  <c r="GSN102" i="62"/>
  <c r="GSL102" i="62"/>
  <c r="GSJ102" i="62"/>
  <c r="GSH102" i="62"/>
  <c r="GSF102" i="62"/>
  <c r="GSD102" i="62"/>
  <c r="GSB102" i="62"/>
  <c r="GRZ102" i="62"/>
  <c r="GRX102" i="62"/>
  <c r="GRV102" i="62"/>
  <c r="GRT102" i="62"/>
  <c r="GRR102" i="62"/>
  <c r="GRP102" i="62"/>
  <c r="GRN102" i="62"/>
  <c r="GRL102" i="62"/>
  <c r="GRJ102" i="62"/>
  <c r="GRH102" i="62"/>
  <c r="GRF102" i="62"/>
  <c r="GRD102" i="62"/>
  <c r="GRB102" i="62"/>
  <c r="GQZ102" i="62"/>
  <c r="GQX102" i="62"/>
  <c r="GQV102" i="62"/>
  <c r="GQT102" i="62"/>
  <c r="GQR102" i="62"/>
  <c r="GQP102" i="62"/>
  <c r="GQN102" i="62"/>
  <c r="GQL102" i="62"/>
  <c r="GQJ102" i="62"/>
  <c r="GQH102" i="62"/>
  <c r="GQF102" i="62"/>
  <c r="GQD102" i="62"/>
  <c r="GQB102" i="62"/>
  <c r="GPZ102" i="62"/>
  <c r="GPX102" i="62"/>
  <c r="GPV102" i="62"/>
  <c r="GPT102" i="62"/>
  <c r="GPR102" i="62"/>
  <c r="GPP102" i="62"/>
  <c r="GPN102" i="62"/>
  <c r="GPL102" i="62"/>
  <c r="GPJ102" i="62"/>
  <c r="GPH102" i="62"/>
  <c r="GPF102" i="62"/>
  <c r="GPD102" i="62"/>
  <c r="GPB102" i="62"/>
  <c r="GOZ102" i="62"/>
  <c r="GOX102" i="62"/>
  <c r="GOV102" i="62"/>
  <c r="GOT102" i="62"/>
  <c r="GOR102" i="62"/>
  <c r="GOP102" i="62"/>
  <c r="GON102" i="62"/>
  <c r="GOL102" i="62"/>
  <c r="GOJ102" i="62"/>
  <c r="GOH102" i="62"/>
  <c r="GOF102" i="62"/>
  <c r="GOD102" i="62"/>
  <c r="GOB102" i="62"/>
  <c r="GNZ102" i="62"/>
  <c r="GNX102" i="62"/>
  <c r="GNV102" i="62"/>
  <c r="GNT102" i="62"/>
  <c r="GNR102" i="62"/>
  <c r="GNP102" i="62"/>
  <c r="GNN102" i="62"/>
  <c r="GNL102" i="62"/>
  <c r="GNJ102" i="62"/>
  <c r="GNH102" i="62"/>
  <c r="GNF102" i="62"/>
  <c r="GND102" i="62"/>
  <c r="GNB102" i="62"/>
  <c r="GMZ102" i="62"/>
  <c r="GMX102" i="62"/>
  <c r="GMV102" i="62"/>
  <c r="GMT102" i="62"/>
  <c r="GMR102" i="62"/>
  <c r="GMP102" i="62"/>
  <c r="GMN102" i="62"/>
  <c r="GML102" i="62"/>
  <c r="GMJ102" i="62"/>
  <c r="GMH102" i="62"/>
  <c r="GMF102" i="62"/>
  <c r="GMD102" i="62"/>
  <c r="GMB102" i="62"/>
  <c r="GLZ102" i="62"/>
  <c r="GLX102" i="62"/>
  <c r="GLV102" i="62"/>
  <c r="GLT102" i="62"/>
  <c r="GLR102" i="62"/>
  <c r="GLP102" i="62"/>
  <c r="GLN102" i="62"/>
  <c r="GLL102" i="62"/>
  <c r="GLJ102" i="62"/>
  <c r="GLH102" i="62"/>
  <c r="GLF102" i="62"/>
  <c r="GLD102" i="62"/>
  <c r="GLB102" i="62"/>
  <c r="GKZ102" i="62"/>
  <c r="GKX102" i="62"/>
  <c r="GKV102" i="62"/>
  <c r="GKT102" i="62"/>
  <c r="GKR102" i="62"/>
  <c r="GKP102" i="62"/>
  <c r="GKN102" i="62"/>
  <c r="GKL102" i="62"/>
  <c r="GKJ102" i="62"/>
  <c r="GKH102" i="62"/>
  <c r="GKF102" i="62"/>
  <c r="GKD102" i="62"/>
  <c r="GKB102" i="62"/>
  <c r="GJZ102" i="62"/>
  <c r="GJX102" i="62"/>
  <c r="GJV102" i="62"/>
  <c r="GJT102" i="62"/>
  <c r="GJR102" i="62"/>
  <c r="GJP102" i="62"/>
  <c r="GJN102" i="62"/>
  <c r="GJL102" i="62"/>
  <c r="GJJ102" i="62"/>
  <c r="GJH102" i="62"/>
  <c r="GJF102" i="62"/>
  <c r="GJD102" i="62"/>
  <c r="GJB102" i="62"/>
  <c r="GIZ102" i="62"/>
  <c r="GIX102" i="62"/>
  <c r="GIV102" i="62"/>
  <c r="GIT102" i="62"/>
  <c r="GIR102" i="62"/>
  <c r="GIP102" i="62"/>
  <c r="GIN102" i="62"/>
  <c r="GIL102" i="62"/>
  <c r="GIJ102" i="62"/>
  <c r="GIH102" i="62"/>
  <c r="GIF102" i="62"/>
  <c r="GID102" i="62"/>
  <c r="GIB102" i="62"/>
  <c r="GHZ102" i="62"/>
  <c r="GHX102" i="62"/>
  <c r="GHV102" i="62"/>
  <c r="GHT102" i="62"/>
  <c r="GHR102" i="62"/>
  <c r="GHP102" i="62"/>
  <c r="GHN102" i="62"/>
  <c r="GHL102" i="62"/>
  <c r="GHJ102" i="62"/>
  <c r="GHH102" i="62"/>
  <c r="GHF102" i="62"/>
  <c r="GHD102" i="62"/>
  <c r="GHB102" i="62"/>
  <c r="GGZ102" i="62"/>
  <c r="GGX102" i="62"/>
  <c r="GGV102" i="62"/>
  <c r="GGT102" i="62"/>
  <c r="GGR102" i="62"/>
  <c r="GGP102" i="62"/>
  <c r="GGN102" i="62"/>
  <c r="GGL102" i="62"/>
  <c r="GGJ102" i="62"/>
  <c r="GGH102" i="62"/>
  <c r="GGF102" i="62"/>
  <c r="GGD102" i="62"/>
  <c r="GGB102" i="62"/>
  <c r="GFZ102" i="62"/>
  <c r="GFX102" i="62"/>
  <c r="GFV102" i="62"/>
  <c r="GFT102" i="62"/>
  <c r="GFR102" i="62"/>
  <c r="GFP102" i="62"/>
  <c r="GFN102" i="62"/>
  <c r="GFL102" i="62"/>
  <c r="GFJ102" i="62"/>
  <c r="GFH102" i="62"/>
  <c r="GFF102" i="62"/>
  <c r="GFD102" i="62"/>
  <c r="GFB102" i="62"/>
  <c r="GEZ102" i="62"/>
  <c r="GEX102" i="62"/>
  <c r="GEV102" i="62"/>
  <c r="GET102" i="62"/>
  <c r="GER102" i="62"/>
  <c r="GEP102" i="62"/>
  <c r="GEN102" i="62"/>
  <c r="GEL102" i="62"/>
  <c r="GEJ102" i="62"/>
  <c r="GEH102" i="62"/>
  <c r="GEF102" i="62"/>
  <c r="GED102" i="62"/>
  <c r="GEB102" i="62"/>
  <c r="GDZ102" i="62"/>
  <c r="GDX102" i="62"/>
  <c r="GDV102" i="62"/>
  <c r="GDT102" i="62"/>
  <c r="GDR102" i="62"/>
  <c r="GDP102" i="62"/>
  <c r="GDN102" i="62"/>
  <c r="GDL102" i="62"/>
  <c r="GDJ102" i="62"/>
  <c r="GDH102" i="62"/>
  <c r="GDF102" i="62"/>
  <c r="GDD102" i="62"/>
  <c r="GDB102" i="62"/>
  <c r="GCZ102" i="62"/>
  <c r="GCX102" i="62"/>
  <c r="GCV102" i="62"/>
  <c r="GCT102" i="62"/>
  <c r="GCR102" i="62"/>
  <c r="GCP102" i="62"/>
  <c r="GCN102" i="62"/>
  <c r="GCL102" i="62"/>
  <c r="GCJ102" i="62"/>
  <c r="GCH102" i="62"/>
  <c r="GCF102" i="62"/>
  <c r="GCD102" i="62"/>
  <c r="GCB102" i="62"/>
  <c r="GBZ102" i="62"/>
  <c r="GBX102" i="62"/>
  <c r="GBV102" i="62"/>
  <c r="GBT102" i="62"/>
  <c r="GBR102" i="62"/>
  <c r="GBP102" i="62"/>
  <c r="GBN102" i="62"/>
  <c r="GBL102" i="62"/>
  <c r="GBJ102" i="62"/>
  <c r="GBH102" i="62"/>
  <c r="GBF102" i="62"/>
  <c r="GBD102" i="62"/>
  <c r="GBB102" i="62"/>
  <c r="GAZ102" i="62"/>
  <c r="GAX102" i="62"/>
  <c r="GAV102" i="62"/>
  <c r="GAT102" i="62"/>
  <c r="GAR102" i="62"/>
  <c r="GAP102" i="62"/>
  <c r="GAN102" i="62"/>
  <c r="GAL102" i="62"/>
  <c r="GAJ102" i="62"/>
  <c r="GAH102" i="62"/>
  <c r="GAF102" i="62"/>
  <c r="GAD102" i="62"/>
  <c r="GAB102" i="62"/>
  <c r="FZZ102" i="62"/>
  <c r="FZX102" i="62"/>
  <c r="FZV102" i="62"/>
  <c r="FZT102" i="62"/>
  <c r="FZR102" i="62"/>
  <c r="FZP102" i="62"/>
  <c r="FZN102" i="62"/>
  <c r="FZL102" i="62"/>
  <c r="FZJ102" i="62"/>
  <c r="FZH102" i="62"/>
  <c r="FZF102" i="62"/>
  <c r="FZD102" i="62"/>
  <c r="FZB102" i="62"/>
  <c r="FYZ102" i="62"/>
  <c r="FYX102" i="62"/>
  <c r="FYV102" i="62"/>
  <c r="FYT102" i="62"/>
  <c r="FYR102" i="62"/>
  <c r="FYP102" i="62"/>
  <c r="FYN102" i="62"/>
  <c r="FYL102" i="62"/>
  <c r="FYJ102" i="62"/>
  <c r="FYH102" i="62"/>
  <c r="FYF102" i="62"/>
  <c r="FYD102" i="62"/>
  <c r="FYB102" i="62"/>
  <c r="FXZ102" i="62"/>
  <c r="FXX102" i="62"/>
  <c r="FXV102" i="62"/>
  <c r="FXT102" i="62"/>
  <c r="FXR102" i="62"/>
  <c r="FXP102" i="62"/>
  <c r="FXN102" i="62"/>
  <c r="FXL102" i="62"/>
  <c r="FXJ102" i="62"/>
  <c r="FXH102" i="62"/>
  <c r="FXF102" i="62"/>
  <c r="FXD102" i="62"/>
  <c r="FXB102" i="62"/>
  <c r="FWZ102" i="62"/>
  <c r="FWX102" i="62"/>
  <c r="FWV102" i="62"/>
  <c r="FWT102" i="62"/>
  <c r="FWR102" i="62"/>
  <c r="FWP102" i="62"/>
  <c r="FWN102" i="62"/>
  <c r="FWL102" i="62"/>
  <c r="FWJ102" i="62"/>
  <c r="FWH102" i="62"/>
  <c r="FWF102" i="62"/>
  <c r="FWD102" i="62"/>
  <c r="FWB102" i="62"/>
  <c r="FVZ102" i="62"/>
  <c r="FVX102" i="62"/>
  <c r="FVV102" i="62"/>
  <c r="FVT102" i="62"/>
  <c r="FVR102" i="62"/>
  <c r="FVP102" i="62"/>
  <c r="FVN102" i="62"/>
  <c r="FVL102" i="62"/>
  <c r="FVJ102" i="62"/>
  <c r="FVH102" i="62"/>
  <c r="FVF102" i="62"/>
  <c r="FVD102" i="62"/>
  <c r="FVB102" i="62"/>
  <c r="FUZ102" i="62"/>
  <c r="FUX102" i="62"/>
  <c r="FUV102" i="62"/>
  <c r="FUT102" i="62"/>
  <c r="FUR102" i="62"/>
  <c r="FUP102" i="62"/>
  <c r="FUN102" i="62"/>
  <c r="FUL102" i="62"/>
  <c r="FUJ102" i="62"/>
  <c r="FUH102" i="62"/>
  <c r="FUF102" i="62"/>
  <c r="FUD102" i="62"/>
  <c r="FUB102" i="62"/>
  <c r="FTZ102" i="62"/>
  <c r="FTX102" i="62"/>
  <c r="FTV102" i="62"/>
  <c r="FTT102" i="62"/>
  <c r="FTR102" i="62"/>
  <c r="FTP102" i="62"/>
  <c r="FTN102" i="62"/>
  <c r="FTL102" i="62"/>
  <c r="FTJ102" i="62"/>
  <c r="FTH102" i="62"/>
  <c r="FTF102" i="62"/>
  <c r="FTD102" i="62"/>
  <c r="FTB102" i="62"/>
  <c r="FSZ102" i="62"/>
  <c r="FSX102" i="62"/>
  <c r="FSV102" i="62"/>
  <c r="FST102" i="62"/>
  <c r="FSR102" i="62"/>
  <c r="FSP102" i="62"/>
  <c r="FSN102" i="62"/>
  <c r="FSL102" i="62"/>
  <c r="FSJ102" i="62"/>
  <c r="FSH102" i="62"/>
  <c r="FSF102" i="62"/>
  <c r="FSD102" i="62"/>
  <c r="FSB102" i="62"/>
  <c r="FRZ102" i="62"/>
  <c r="FRX102" i="62"/>
  <c r="FRV102" i="62"/>
  <c r="FRT102" i="62"/>
  <c r="FRR102" i="62"/>
  <c r="FRP102" i="62"/>
  <c r="FRN102" i="62"/>
  <c r="FRL102" i="62"/>
  <c r="FRJ102" i="62"/>
  <c r="FRH102" i="62"/>
  <c r="FRF102" i="62"/>
  <c r="FRD102" i="62"/>
  <c r="FRB102" i="62"/>
  <c r="FQZ102" i="62"/>
  <c r="FQX102" i="62"/>
  <c r="FQV102" i="62"/>
  <c r="FQT102" i="62"/>
  <c r="FQR102" i="62"/>
  <c r="FQP102" i="62"/>
  <c r="FQN102" i="62"/>
  <c r="FQL102" i="62"/>
  <c r="FQJ102" i="62"/>
  <c r="FQH102" i="62"/>
  <c r="FQF102" i="62"/>
  <c r="FQD102" i="62"/>
  <c r="FQB102" i="62"/>
  <c r="FPZ102" i="62"/>
  <c r="FPX102" i="62"/>
  <c r="FPV102" i="62"/>
  <c r="FPT102" i="62"/>
  <c r="FPR102" i="62"/>
  <c r="FPP102" i="62"/>
  <c r="FPN102" i="62"/>
  <c r="FPL102" i="62"/>
  <c r="FPJ102" i="62"/>
  <c r="FPH102" i="62"/>
  <c r="FPF102" i="62"/>
  <c r="FPD102" i="62"/>
  <c r="FPB102" i="62"/>
  <c r="FOZ102" i="62"/>
  <c r="FOX102" i="62"/>
  <c r="FOV102" i="62"/>
  <c r="FOT102" i="62"/>
  <c r="FOR102" i="62"/>
  <c r="FOP102" i="62"/>
  <c r="FON102" i="62"/>
  <c r="FOL102" i="62"/>
  <c r="FOJ102" i="62"/>
  <c r="FOH102" i="62"/>
  <c r="FOF102" i="62"/>
  <c r="FOD102" i="62"/>
  <c r="FOB102" i="62"/>
  <c r="FNZ102" i="62"/>
  <c r="FNX102" i="62"/>
  <c r="FNV102" i="62"/>
  <c r="FNT102" i="62"/>
  <c r="FNR102" i="62"/>
  <c r="FNP102" i="62"/>
  <c r="FNN102" i="62"/>
  <c r="FNL102" i="62"/>
  <c r="FNJ102" i="62"/>
  <c r="FNH102" i="62"/>
  <c r="FNF102" i="62"/>
  <c r="FND102" i="62"/>
  <c r="FNB102" i="62"/>
  <c r="FMZ102" i="62"/>
  <c r="FMX102" i="62"/>
  <c r="FMV102" i="62"/>
  <c r="FMT102" i="62"/>
  <c r="FMR102" i="62"/>
  <c r="FMP102" i="62"/>
  <c r="FMN102" i="62"/>
  <c r="FML102" i="62"/>
  <c r="FMJ102" i="62"/>
  <c r="FMH102" i="62"/>
  <c r="FMF102" i="62"/>
  <c r="FMD102" i="62"/>
  <c r="FMB102" i="62"/>
  <c r="FLZ102" i="62"/>
  <c r="FLX102" i="62"/>
  <c r="FLV102" i="62"/>
  <c r="FLT102" i="62"/>
  <c r="FLR102" i="62"/>
  <c r="FLP102" i="62"/>
  <c r="FLN102" i="62"/>
  <c r="FLL102" i="62"/>
  <c r="FLJ102" i="62"/>
  <c r="FLH102" i="62"/>
  <c r="FLF102" i="62"/>
  <c r="FLD102" i="62"/>
  <c r="FLB102" i="62"/>
  <c r="FKZ102" i="62"/>
  <c r="FKX102" i="62"/>
  <c r="FKV102" i="62"/>
  <c r="FKT102" i="62"/>
  <c r="FKR102" i="62"/>
  <c r="FKP102" i="62"/>
  <c r="FKN102" i="62"/>
  <c r="FKL102" i="62"/>
  <c r="FKJ102" i="62"/>
  <c r="FKH102" i="62"/>
  <c r="FKF102" i="62"/>
  <c r="FKD102" i="62"/>
  <c r="FKB102" i="62"/>
  <c r="FJZ102" i="62"/>
  <c r="FJX102" i="62"/>
  <c r="FJV102" i="62"/>
  <c r="FJT102" i="62"/>
  <c r="FJR102" i="62"/>
  <c r="FJP102" i="62"/>
  <c r="FJN102" i="62"/>
  <c r="FJL102" i="62"/>
  <c r="FJJ102" i="62"/>
  <c r="FJH102" i="62"/>
  <c r="FJF102" i="62"/>
  <c r="FJD102" i="62"/>
  <c r="FJB102" i="62"/>
  <c r="FIZ102" i="62"/>
  <c r="FIX102" i="62"/>
  <c r="FIV102" i="62"/>
  <c r="FIT102" i="62"/>
  <c r="FIR102" i="62"/>
  <c r="FIP102" i="62"/>
  <c r="FIN102" i="62"/>
  <c r="FIL102" i="62"/>
  <c r="FIJ102" i="62"/>
  <c r="FIH102" i="62"/>
  <c r="FIF102" i="62"/>
  <c r="FID102" i="62"/>
  <c r="FIB102" i="62"/>
  <c r="FHZ102" i="62"/>
  <c r="FHX102" i="62"/>
  <c r="FHV102" i="62"/>
  <c r="FHT102" i="62"/>
  <c r="FHR102" i="62"/>
  <c r="FHP102" i="62"/>
  <c r="FHN102" i="62"/>
  <c r="FHL102" i="62"/>
  <c r="FHJ102" i="62"/>
  <c r="FHH102" i="62"/>
  <c r="FHF102" i="62"/>
  <c r="FHD102" i="62"/>
  <c r="FHB102" i="62"/>
  <c r="FGZ102" i="62"/>
  <c r="FGX102" i="62"/>
  <c r="FGV102" i="62"/>
  <c r="FGT102" i="62"/>
  <c r="FGR102" i="62"/>
  <c r="FGP102" i="62"/>
  <c r="FGN102" i="62"/>
  <c r="FGL102" i="62"/>
  <c r="FGJ102" i="62"/>
  <c r="FGH102" i="62"/>
  <c r="FGF102" i="62"/>
  <c r="FGD102" i="62"/>
  <c r="FGB102" i="62"/>
  <c r="FFZ102" i="62"/>
  <c r="FFX102" i="62"/>
  <c r="FFV102" i="62"/>
  <c r="FFT102" i="62"/>
  <c r="FFR102" i="62"/>
  <c r="FFP102" i="62"/>
  <c r="FFN102" i="62"/>
  <c r="FFL102" i="62"/>
  <c r="FFJ102" i="62"/>
  <c r="FFH102" i="62"/>
  <c r="FFF102" i="62"/>
  <c r="FFD102" i="62"/>
  <c r="FFB102" i="62"/>
  <c r="FEZ102" i="62"/>
  <c r="FEX102" i="62"/>
  <c r="FEV102" i="62"/>
  <c r="FET102" i="62"/>
  <c r="FER102" i="62"/>
  <c r="FEP102" i="62"/>
  <c r="FEN102" i="62"/>
  <c r="FEL102" i="62"/>
  <c r="FEJ102" i="62"/>
  <c r="FEH102" i="62"/>
  <c r="FEF102" i="62"/>
  <c r="FED102" i="62"/>
  <c r="FEB102" i="62"/>
  <c r="FDZ102" i="62"/>
  <c r="FDX102" i="62"/>
  <c r="FDV102" i="62"/>
  <c r="FDT102" i="62"/>
  <c r="FDR102" i="62"/>
  <c r="FDP102" i="62"/>
  <c r="FDN102" i="62"/>
  <c r="FDL102" i="62"/>
  <c r="FDJ102" i="62"/>
  <c r="FDH102" i="62"/>
  <c r="FDF102" i="62"/>
  <c r="FDD102" i="62"/>
  <c r="FDB102" i="62"/>
  <c r="FCZ102" i="62"/>
  <c r="FCX102" i="62"/>
  <c r="FCV102" i="62"/>
  <c r="FCT102" i="62"/>
  <c r="FCR102" i="62"/>
  <c r="FCP102" i="62"/>
  <c r="FCN102" i="62"/>
  <c r="FCL102" i="62"/>
  <c r="FCJ102" i="62"/>
  <c r="FCH102" i="62"/>
  <c r="FCF102" i="62"/>
  <c r="FCD102" i="62"/>
  <c r="FCB102" i="62"/>
  <c r="FBZ102" i="62"/>
  <c r="FBX102" i="62"/>
  <c r="FBV102" i="62"/>
  <c r="FBT102" i="62"/>
  <c r="FBR102" i="62"/>
  <c r="FBP102" i="62"/>
  <c r="FBN102" i="62"/>
  <c r="FBL102" i="62"/>
  <c r="FBJ102" i="62"/>
  <c r="FBH102" i="62"/>
  <c r="FBF102" i="62"/>
  <c r="FBD102" i="62"/>
  <c r="FBB102" i="62"/>
  <c r="FAZ102" i="62"/>
  <c r="FAX102" i="62"/>
  <c r="FAV102" i="62"/>
  <c r="FAT102" i="62"/>
  <c r="FAR102" i="62"/>
  <c r="FAP102" i="62"/>
  <c r="FAN102" i="62"/>
  <c r="FAL102" i="62"/>
  <c r="FAJ102" i="62"/>
  <c r="FAH102" i="62"/>
  <c r="FAF102" i="62"/>
  <c r="FAD102" i="62"/>
  <c r="FAB102" i="62"/>
  <c r="EZZ102" i="62"/>
  <c r="EZX102" i="62"/>
  <c r="EZV102" i="62"/>
  <c r="EZT102" i="62"/>
  <c r="EZR102" i="62"/>
  <c r="EZP102" i="62"/>
  <c r="EZN102" i="62"/>
  <c r="EZL102" i="62"/>
  <c r="EZJ102" i="62"/>
  <c r="EZH102" i="62"/>
  <c r="EZF102" i="62"/>
  <c r="EZD102" i="62"/>
  <c r="EZB102" i="62"/>
  <c r="EYZ102" i="62"/>
  <c r="EYX102" i="62"/>
  <c r="EYV102" i="62"/>
  <c r="EYT102" i="62"/>
  <c r="EYR102" i="62"/>
  <c r="EYP102" i="62"/>
  <c r="EYN102" i="62"/>
  <c r="EYL102" i="62"/>
  <c r="EYJ102" i="62"/>
  <c r="EYH102" i="62"/>
  <c r="EYF102" i="62"/>
  <c r="EYD102" i="62"/>
  <c r="EYB102" i="62"/>
  <c r="EXZ102" i="62"/>
  <c r="EXX102" i="62"/>
  <c r="EXV102" i="62"/>
  <c r="EXT102" i="62"/>
  <c r="EXR102" i="62"/>
  <c r="EXP102" i="62"/>
  <c r="EXN102" i="62"/>
  <c r="EXL102" i="62"/>
  <c r="EXJ102" i="62"/>
  <c r="EXH102" i="62"/>
  <c r="EXF102" i="62"/>
  <c r="EXD102" i="62"/>
  <c r="EXB102" i="62"/>
  <c r="EWZ102" i="62"/>
  <c r="EWX102" i="62"/>
  <c r="EWV102" i="62"/>
  <c r="EWT102" i="62"/>
  <c r="EWR102" i="62"/>
  <c r="EWP102" i="62"/>
  <c r="EWN102" i="62"/>
  <c r="EWL102" i="62"/>
  <c r="EWJ102" i="62"/>
  <c r="EWH102" i="62"/>
  <c r="EWF102" i="62"/>
  <c r="EWD102" i="62"/>
  <c r="EWB102" i="62"/>
  <c r="EVZ102" i="62"/>
  <c r="EVX102" i="62"/>
  <c r="EVV102" i="62"/>
  <c r="EVT102" i="62"/>
  <c r="EVR102" i="62"/>
  <c r="EVP102" i="62"/>
  <c r="EVN102" i="62"/>
  <c r="EVL102" i="62"/>
  <c r="EVJ102" i="62"/>
  <c r="EVH102" i="62"/>
  <c r="EVF102" i="62"/>
  <c r="EVD102" i="62"/>
  <c r="EVB102" i="62"/>
  <c r="EUZ102" i="62"/>
  <c r="EUX102" i="62"/>
  <c r="EUV102" i="62"/>
  <c r="EUT102" i="62"/>
  <c r="EUR102" i="62"/>
  <c r="EUP102" i="62"/>
  <c r="EUN102" i="62"/>
  <c r="EUL102" i="62"/>
  <c r="EUJ102" i="62"/>
  <c r="EUH102" i="62"/>
  <c r="EUF102" i="62"/>
  <c r="EUD102" i="62"/>
  <c r="EUB102" i="62"/>
  <c r="ETZ102" i="62"/>
  <c r="ETX102" i="62"/>
  <c r="ETV102" i="62"/>
  <c r="ETT102" i="62"/>
  <c r="ETR102" i="62"/>
  <c r="ETP102" i="62"/>
  <c r="ETN102" i="62"/>
  <c r="ETL102" i="62"/>
  <c r="ETJ102" i="62"/>
  <c r="ETH102" i="62"/>
  <c r="ETF102" i="62"/>
  <c r="ETD102" i="62"/>
  <c r="ETB102" i="62"/>
  <c r="ESZ102" i="62"/>
  <c r="ESX102" i="62"/>
  <c r="ESV102" i="62"/>
  <c r="EST102" i="62"/>
  <c r="ESR102" i="62"/>
  <c r="ESP102" i="62"/>
  <c r="ESN102" i="62"/>
  <c r="ESL102" i="62"/>
  <c r="ESJ102" i="62"/>
  <c r="ESH102" i="62"/>
  <c r="ESF102" i="62"/>
  <c r="ESD102" i="62"/>
  <c r="ESB102" i="62"/>
  <c r="ERZ102" i="62"/>
  <c r="ERX102" i="62"/>
  <c r="ERV102" i="62"/>
  <c r="ERT102" i="62"/>
  <c r="ERR102" i="62"/>
  <c r="ERP102" i="62"/>
  <c r="ERN102" i="62"/>
  <c r="ERL102" i="62"/>
  <c r="ERJ102" i="62"/>
  <c r="ERH102" i="62"/>
  <c r="ERF102" i="62"/>
  <c r="ERD102" i="62"/>
  <c r="ERB102" i="62"/>
  <c r="EQZ102" i="62"/>
  <c r="EQX102" i="62"/>
  <c r="EQV102" i="62"/>
  <c r="EQT102" i="62"/>
  <c r="EQR102" i="62"/>
  <c r="EQP102" i="62"/>
  <c r="EQN102" i="62"/>
  <c r="EQL102" i="62"/>
  <c r="EQJ102" i="62"/>
  <c r="EQH102" i="62"/>
  <c r="EQF102" i="62"/>
  <c r="EQD102" i="62"/>
  <c r="EQB102" i="62"/>
  <c r="EPZ102" i="62"/>
  <c r="EPX102" i="62"/>
  <c r="EPV102" i="62"/>
  <c r="EPT102" i="62"/>
  <c r="EPR102" i="62"/>
  <c r="EPP102" i="62"/>
  <c r="EPN102" i="62"/>
  <c r="EPL102" i="62"/>
  <c r="EPJ102" i="62"/>
  <c r="EPH102" i="62"/>
  <c r="EPF102" i="62"/>
  <c r="EPD102" i="62"/>
  <c r="EPB102" i="62"/>
  <c r="EOZ102" i="62"/>
  <c r="EOX102" i="62"/>
  <c r="EOV102" i="62"/>
  <c r="EOT102" i="62"/>
  <c r="EOR102" i="62"/>
  <c r="EOP102" i="62"/>
  <c r="EON102" i="62"/>
  <c r="EOL102" i="62"/>
  <c r="EOJ102" i="62"/>
  <c r="EOH102" i="62"/>
  <c r="EOF102" i="62"/>
  <c r="EOD102" i="62"/>
  <c r="EOB102" i="62"/>
  <c r="ENZ102" i="62"/>
  <c r="ENX102" i="62"/>
  <c r="ENV102" i="62"/>
  <c r="ENT102" i="62"/>
  <c r="ENR102" i="62"/>
  <c r="ENP102" i="62"/>
  <c r="ENN102" i="62"/>
  <c r="ENL102" i="62"/>
  <c r="ENJ102" i="62"/>
  <c r="ENH102" i="62"/>
  <c r="ENF102" i="62"/>
  <c r="END102" i="62"/>
  <c r="ENB102" i="62"/>
  <c r="EMZ102" i="62"/>
  <c r="EMX102" i="62"/>
  <c r="EMV102" i="62"/>
  <c r="EMT102" i="62"/>
  <c r="EMR102" i="62"/>
  <c r="EMP102" i="62"/>
  <c r="EMN102" i="62"/>
  <c r="EML102" i="62"/>
  <c r="EMJ102" i="62"/>
  <c r="EMH102" i="62"/>
  <c r="EMF102" i="62"/>
  <c r="EMD102" i="62"/>
  <c r="EMB102" i="62"/>
  <c r="ELZ102" i="62"/>
  <c r="ELX102" i="62"/>
  <c r="ELV102" i="62"/>
  <c r="ELT102" i="62"/>
  <c r="ELR102" i="62"/>
  <c r="ELP102" i="62"/>
  <c r="ELN102" i="62"/>
  <c r="ELL102" i="62"/>
  <c r="ELJ102" i="62"/>
  <c r="ELH102" i="62"/>
  <c r="ELF102" i="62"/>
  <c r="ELD102" i="62"/>
  <c r="ELB102" i="62"/>
  <c r="EKZ102" i="62"/>
  <c r="EKX102" i="62"/>
  <c r="EKV102" i="62"/>
  <c r="EKT102" i="62"/>
  <c r="EKR102" i="62"/>
  <c r="EKP102" i="62"/>
  <c r="EKN102" i="62"/>
  <c r="EKL102" i="62"/>
  <c r="EKJ102" i="62"/>
  <c r="EKH102" i="62"/>
  <c r="EKF102" i="62"/>
  <c r="EKD102" i="62"/>
  <c r="EKB102" i="62"/>
  <c r="EJZ102" i="62"/>
  <c r="EJX102" i="62"/>
  <c r="EJV102" i="62"/>
  <c r="EJT102" i="62"/>
  <c r="EJR102" i="62"/>
  <c r="EJP102" i="62"/>
  <c r="EJN102" i="62"/>
  <c r="EJL102" i="62"/>
  <c r="EJJ102" i="62"/>
  <c r="EJH102" i="62"/>
  <c r="EJF102" i="62"/>
  <c r="EJD102" i="62"/>
  <c r="EJB102" i="62"/>
  <c r="EIZ102" i="62"/>
  <c r="EIX102" i="62"/>
  <c r="EIV102" i="62"/>
  <c r="EIT102" i="62"/>
  <c r="EIR102" i="62"/>
  <c r="EIP102" i="62"/>
  <c r="EIN102" i="62"/>
  <c r="EIL102" i="62"/>
  <c r="EIJ102" i="62"/>
  <c r="EIH102" i="62"/>
  <c r="EIF102" i="62"/>
  <c r="EID102" i="62"/>
  <c r="EIB102" i="62"/>
  <c r="EHZ102" i="62"/>
  <c r="EHX102" i="62"/>
  <c r="EHV102" i="62"/>
  <c r="EHT102" i="62"/>
  <c r="EHR102" i="62"/>
  <c r="EHP102" i="62"/>
  <c r="EHN102" i="62"/>
  <c r="EHL102" i="62"/>
  <c r="EHJ102" i="62"/>
  <c r="EHH102" i="62"/>
  <c r="EHF102" i="62"/>
  <c r="EHD102" i="62"/>
  <c r="EHB102" i="62"/>
  <c r="EGZ102" i="62"/>
  <c r="EGX102" i="62"/>
  <c r="EGV102" i="62"/>
  <c r="EGT102" i="62"/>
  <c r="EGR102" i="62"/>
  <c r="EGP102" i="62"/>
  <c r="EGN102" i="62"/>
  <c r="EGL102" i="62"/>
  <c r="EGJ102" i="62"/>
  <c r="EGH102" i="62"/>
  <c r="EGF102" i="62"/>
  <c r="EGD102" i="62"/>
  <c r="EGB102" i="62"/>
  <c r="EFZ102" i="62"/>
  <c r="EFX102" i="62"/>
  <c r="EFV102" i="62"/>
  <c r="EFT102" i="62"/>
  <c r="EFR102" i="62"/>
  <c r="EFP102" i="62"/>
  <c r="EFN102" i="62"/>
  <c r="EFL102" i="62"/>
  <c r="EFJ102" i="62"/>
  <c r="EFH102" i="62"/>
  <c r="EFF102" i="62"/>
  <c r="EFD102" i="62"/>
  <c r="EFB102" i="62"/>
  <c r="EEZ102" i="62"/>
  <c r="EEX102" i="62"/>
  <c r="EEV102" i="62"/>
  <c r="EET102" i="62"/>
  <c r="EER102" i="62"/>
  <c r="EEP102" i="62"/>
  <c r="EEN102" i="62"/>
  <c r="EEL102" i="62"/>
  <c r="EEJ102" i="62"/>
  <c r="EEH102" i="62"/>
  <c r="EEF102" i="62"/>
  <c r="EED102" i="62"/>
  <c r="EEB102" i="62"/>
  <c r="EDZ102" i="62"/>
  <c r="EDX102" i="62"/>
  <c r="EDV102" i="62"/>
  <c r="EDT102" i="62"/>
  <c r="EDR102" i="62"/>
  <c r="EDP102" i="62"/>
  <c r="EDN102" i="62"/>
  <c r="EDL102" i="62"/>
  <c r="EDJ102" i="62"/>
  <c r="EDH102" i="62"/>
  <c r="EDF102" i="62"/>
  <c r="EDD102" i="62"/>
  <c r="EDB102" i="62"/>
  <c r="ECZ102" i="62"/>
  <c r="ECX102" i="62"/>
  <c r="ECV102" i="62"/>
  <c r="ECT102" i="62"/>
  <c r="ECR102" i="62"/>
  <c r="ECP102" i="62"/>
  <c r="ECN102" i="62"/>
  <c r="ECL102" i="62"/>
  <c r="ECJ102" i="62"/>
  <c r="ECH102" i="62"/>
  <c r="ECF102" i="62"/>
  <c r="ECD102" i="62"/>
  <c r="ECB102" i="62"/>
  <c r="EBZ102" i="62"/>
  <c r="EBX102" i="62"/>
  <c r="EBV102" i="62"/>
  <c r="EBT102" i="62"/>
  <c r="EBR102" i="62"/>
  <c r="EBP102" i="62"/>
  <c r="EBN102" i="62"/>
  <c r="EBL102" i="62"/>
  <c r="EBJ102" i="62"/>
  <c r="EBH102" i="62"/>
  <c r="EBF102" i="62"/>
  <c r="EBD102" i="62"/>
  <c r="EBB102" i="62"/>
  <c r="EAZ102" i="62"/>
  <c r="EAX102" i="62"/>
  <c r="EAV102" i="62"/>
  <c r="EAT102" i="62"/>
  <c r="EAR102" i="62"/>
  <c r="EAP102" i="62"/>
  <c r="EAN102" i="62"/>
  <c r="EAL102" i="62"/>
  <c r="EAJ102" i="62"/>
  <c r="EAH102" i="62"/>
  <c r="EAF102" i="62"/>
  <c r="EAD102" i="62"/>
  <c r="EAB102" i="62"/>
  <c r="DZZ102" i="62"/>
  <c r="DZX102" i="62"/>
  <c r="DZV102" i="62"/>
  <c r="DZT102" i="62"/>
  <c r="DZR102" i="62"/>
  <c r="DZP102" i="62"/>
  <c r="DZN102" i="62"/>
  <c r="DZL102" i="62"/>
  <c r="DZJ102" i="62"/>
  <c r="DZH102" i="62"/>
  <c r="DZF102" i="62"/>
  <c r="DZD102" i="62"/>
  <c r="DZB102" i="62"/>
  <c r="DYZ102" i="62"/>
  <c r="DYX102" i="62"/>
  <c r="DYV102" i="62"/>
  <c r="DYT102" i="62"/>
  <c r="DYR102" i="62"/>
  <c r="DYP102" i="62"/>
  <c r="DYN102" i="62"/>
  <c r="DYL102" i="62"/>
  <c r="DYJ102" i="62"/>
  <c r="DYH102" i="62"/>
  <c r="DYF102" i="62"/>
  <c r="DYD102" i="62"/>
  <c r="DYB102" i="62"/>
  <c r="DXZ102" i="62"/>
  <c r="DXX102" i="62"/>
  <c r="DXV102" i="62"/>
  <c r="DXT102" i="62"/>
  <c r="DXR102" i="62"/>
  <c r="DXP102" i="62"/>
  <c r="DXN102" i="62"/>
  <c r="DXL102" i="62"/>
  <c r="DXJ102" i="62"/>
  <c r="DXH102" i="62"/>
  <c r="DXF102" i="62"/>
  <c r="DXD102" i="62"/>
  <c r="DXB102" i="62"/>
  <c r="DWZ102" i="62"/>
  <c r="DWX102" i="62"/>
  <c r="DWV102" i="62"/>
  <c r="DWT102" i="62"/>
  <c r="DWR102" i="62"/>
  <c r="DWP102" i="62"/>
  <c r="DWN102" i="62"/>
  <c r="DWL102" i="62"/>
  <c r="DWJ102" i="62"/>
  <c r="DWH102" i="62"/>
  <c r="DWF102" i="62"/>
  <c r="DWD102" i="62"/>
  <c r="DWB102" i="62"/>
  <c r="DVZ102" i="62"/>
  <c r="DVX102" i="62"/>
  <c r="DVV102" i="62"/>
  <c r="DVT102" i="62"/>
  <c r="DVR102" i="62"/>
  <c r="DVP102" i="62"/>
  <c r="DVN102" i="62"/>
  <c r="DVL102" i="62"/>
  <c r="DVJ102" i="62"/>
  <c r="DVH102" i="62"/>
  <c r="DVF102" i="62"/>
  <c r="DVD102" i="62"/>
  <c r="DVB102" i="62"/>
  <c r="DUZ102" i="62"/>
  <c r="DUX102" i="62"/>
  <c r="DUV102" i="62"/>
  <c r="DUT102" i="62"/>
  <c r="DUR102" i="62"/>
  <c r="DUP102" i="62"/>
  <c r="DUN102" i="62"/>
  <c r="DUL102" i="62"/>
  <c r="DUJ102" i="62"/>
  <c r="DUH102" i="62"/>
  <c r="DUF102" i="62"/>
  <c r="DUD102" i="62"/>
  <c r="DUB102" i="62"/>
  <c r="DTZ102" i="62"/>
  <c r="DTX102" i="62"/>
  <c r="DTV102" i="62"/>
  <c r="DTT102" i="62"/>
  <c r="DTR102" i="62"/>
  <c r="DTP102" i="62"/>
  <c r="DTN102" i="62"/>
  <c r="DTL102" i="62"/>
  <c r="DTJ102" i="62"/>
  <c r="DTH102" i="62"/>
  <c r="DTF102" i="62"/>
  <c r="DTD102" i="62"/>
  <c r="DTB102" i="62"/>
  <c r="DSZ102" i="62"/>
  <c r="DSX102" i="62"/>
  <c r="DSV102" i="62"/>
  <c r="DST102" i="62"/>
  <c r="DSR102" i="62"/>
  <c r="DSP102" i="62"/>
  <c r="DSN102" i="62"/>
  <c r="DSL102" i="62"/>
  <c r="DSJ102" i="62"/>
  <c r="DSH102" i="62"/>
  <c r="DSF102" i="62"/>
  <c r="DSD102" i="62"/>
  <c r="DSB102" i="62"/>
  <c r="DRZ102" i="62"/>
  <c r="DRX102" i="62"/>
  <c r="DRV102" i="62"/>
  <c r="DRT102" i="62"/>
  <c r="DRR102" i="62"/>
  <c r="DRP102" i="62"/>
  <c r="DRN102" i="62"/>
  <c r="DRL102" i="62"/>
  <c r="DRJ102" i="62"/>
  <c r="DRH102" i="62"/>
  <c r="DRF102" i="62"/>
  <c r="DRD102" i="62"/>
  <c r="DRB102" i="62"/>
  <c r="DQZ102" i="62"/>
  <c r="DQX102" i="62"/>
  <c r="DQV102" i="62"/>
  <c r="DQT102" i="62"/>
  <c r="DQR102" i="62"/>
  <c r="DQP102" i="62"/>
  <c r="DQN102" i="62"/>
  <c r="DQL102" i="62"/>
  <c r="DQJ102" i="62"/>
  <c r="DQH102" i="62"/>
  <c r="DQF102" i="62"/>
  <c r="DQD102" i="62"/>
  <c r="DQB102" i="62"/>
  <c r="DPZ102" i="62"/>
  <c r="DPX102" i="62"/>
  <c r="DPV102" i="62"/>
  <c r="DPT102" i="62"/>
  <c r="DPR102" i="62"/>
  <c r="DPP102" i="62"/>
  <c r="DPN102" i="62"/>
  <c r="DPL102" i="62"/>
  <c r="DPJ102" i="62"/>
  <c r="DPH102" i="62"/>
  <c r="DPF102" i="62"/>
  <c r="DPD102" i="62"/>
  <c r="DPB102" i="62"/>
  <c r="DOZ102" i="62"/>
  <c r="DOX102" i="62"/>
  <c r="DOV102" i="62"/>
  <c r="DOT102" i="62"/>
  <c r="DOR102" i="62"/>
  <c r="DOP102" i="62"/>
  <c r="DON102" i="62"/>
  <c r="DOL102" i="62"/>
  <c r="DOJ102" i="62"/>
  <c r="DOH102" i="62"/>
  <c r="DOF102" i="62"/>
  <c r="DOD102" i="62"/>
  <c r="DOB102" i="62"/>
  <c r="DNZ102" i="62"/>
  <c r="DNX102" i="62"/>
  <c r="DNV102" i="62"/>
  <c r="DNT102" i="62"/>
  <c r="DNR102" i="62"/>
  <c r="DNP102" i="62"/>
  <c r="DNN102" i="62"/>
  <c r="DNL102" i="62"/>
  <c r="DNJ102" i="62"/>
  <c r="DNH102" i="62"/>
  <c r="DNF102" i="62"/>
  <c r="DND102" i="62"/>
  <c r="DNB102" i="62"/>
  <c r="DMZ102" i="62"/>
  <c r="DMX102" i="62"/>
  <c r="DMV102" i="62"/>
  <c r="DMT102" i="62"/>
  <c r="DMR102" i="62"/>
  <c r="DMP102" i="62"/>
  <c r="DMN102" i="62"/>
  <c r="DML102" i="62"/>
  <c r="DMJ102" i="62"/>
  <c r="DMH102" i="62"/>
  <c r="DMF102" i="62"/>
  <c r="DMD102" i="62"/>
  <c r="DMB102" i="62"/>
  <c r="DLZ102" i="62"/>
  <c r="DLX102" i="62"/>
  <c r="DLV102" i="62"/>
  <c r="DLT102" i="62"/>
  <c r="DLR102" i="62"/>
  <c r="DLP102" i="62"/>
  <c r="DLN102" i="62"/>
  <c r="DLL102" i="62"/>
  <c r="DLJ102" i="62"/>
  <c r="DLH102" i="62"/>
  <c r="DLF102" i="62"/>
  <c r="DLD102" i="62"/>
  <c r="DLB102" i="62"/>
  <c r="DKZ102" i="62"/>
  <c r="DKX102" i="62"/>
  <c r="DKV102" i="62"/>
  <c r="DKT102" i="62"/>
  <c r="DKR102" i="62"/>
  <c r="DKP102" i="62"/>
  <c r="DKN102" i="62"/>
  <c r="DKL102" i="62"/>
  <c r="DKJ102" i="62"/>
  <c r="DKH102" i="62"/>
  <c r="DKF102" i="62"/>
  <c r="DKD102" i="62"/>
  <c r="DKB102" i="62"/>
  <c r="DJZ102" i="62"/>
  <c r="DJX102" i="62"/>
  <c r="DJV102" i="62"/>
  <c r="DJT102" i="62"/>
  <c r="DJR102" i="62"/>
  <c r="DJP102" i="62"/>
  <c r="DJN102" i="62"/>
  <c r="DJL102" i="62"/>
  <c r="DJJ102" i="62"/>
  <c r="DJH102" i="62"/>
  <c r="DJF102" i="62"/>
  <c r="DJD102" i="62"/>
  <c r="DJB102" i="62"/>
  <c r="DIZ102" i="62"/>
  <c r="DIX102" i="62"/>
  <c r="DIV102" i="62"/>
  <c r="DIT102" i="62"/>
  <c r="DIR102" i="62"/>
  <c r="DIP102" i="62"/>
  <c r="DIN102" i="62"/>
  <c r="DIL102" i="62"/>
  <c r="DIJ102" i="62"/>
  <c r="DIH102" i="62"/>
  <c r="DIF102" i="62"/>
  <c r="DID102" i="62"/>
  <c r="DIB102" i="62"/>
  <c r="DHZ102" i="62"/>
  <c r="DHX102" i="62"/>
  <c r="DHV102" i="62"/>
  <c r="DHT102" i="62"/>
  <c r="DHR102" i="62"/>
  <c r="DHP102" i="62"/>
  <c r="DHN102" i="62"/>
  <c r="DHL102" i="62"/>
  <c r="DHJ102" i="62"/>
  <c r="DHH102" i="62"/>
  <c r="DHF102" i="62"/>
  <c r="DHD102" i="62"/>
  <c r="DHB102" i="62"/>
  <c r="DGZ102" i="62"/>
  <c r="DGX102" i="62"/>
  <c r="DGV102" i="62"/>
  <c r="DGT102" i="62"/>
  <c r="DGR102" i="62"/>
  <c r="DGP102" i="62"/>
  <c r="DGN102" i="62"/>
  <c r="DGL102" i="62"/>
  <c r="DGJ102" i="62"/>
  <c r="DGH102" i="62"/>
  <c r="DGF102" i="62"/>
  <c r="DGD102" i="62"/>
  <c r="DGB102" i="62"/>
  <c r="DFZ102" i="62"/>
  <c r="DFX102" i="62"/>
  <c r="DFV102" i="62"/>
  <c r="DFT102" i="62"/>
  <c r="DFR102" i="62"/>
  <c r="DFP102" i="62"/>
  <c r="DFN102" i="62"/>
  <c r="DFL102" i="62"/>
  <c r="DFJ102" i="62"/>
  <c r="DFH102" i="62"/>
  <c r="DFF102" i="62"/>
  <c r="DFD102" i="62"/>
  <c r="DFB102" i="62"/>
  <c r="DEZ102" i="62"/>
  <c r="DEX102" i="62"/>
  <c r="DEV102" i="62"/>
  <c r="DET102" i="62"/>
  <c r="DER102" i="62"/>
  <c r="DEP102" i="62"/>
  <c r="DEN102" i="62"/>
  <c r="DEL102" i="62"/>
  <c r="DEJ102" i="62"/>
  <c r="DEH102" i="62"/>
  <c r="DEF102" i="62"/>
  <c r="DED102" i="62"/>
  <c r="DEB102" i="62"/>
  <c r="DDZ102" i="62"/>
  <c r="DDX102" i="62"/>
  <c r="DDV102" i="62"/>
  <c r="DDT102" i="62"/>
  <c r="DDR102" i="62"/>
  <c r="DDP102" i="62"/>
  <c r="DDN102" i="62"/>
  <c r="DDL102" i="62"/>
  <c r="DDJ102" i="62"/>
  <c r="DDH102" i="62"/>
  <c r="DDF102" i="62"/>
  <c r="DDD102" i="62"/>
  <c r="DDB102" i="62"/>
  <c r="DCZ102" i="62"/>
  <c r="DCX102" i="62"/>
  <c r="DCV102" i="62"/>
  <c r="DCT102" i="62"/>
  <c r="DCR102" i="62"/>
  <c r="DCP102" i="62"/>
  <c r="DCN102" i="62"/>
  <c r="DCL102" i="62"/>
  <c r="DCJ102" i="62"/>
  <c r="DCH102" i="62"/>
  <c r="DCF102" i="62"/>
  <c r="DCD102" i="62"/>
  <c r="DCB102" i="62"/>
  <c r="DBZ102" i="62"/>
  <c r="DBX102" i="62"/>
  <c r="DBV102" i="62"/>
  <c r="DBT102" i="62"/>
  <c r="DBR102" i="62"/>
  <c r="DBP102" i="62"/>
  <c r="DBN102" i="62"/>
  <c r="DBL102" i="62"/>
  <c r="DBJ102" i="62"/>
  <c r="DBH102" i="62"/>
  <c r="DBF102" i="62"/>
  <c r="DBD102" i="62"/>
  <c r="DBB102" i="62"/>
  <c r="DAZ102" i="62"/>
  <c r="DAX102" i="62"/>
  <c r="DAV102" i="62"/>
  <c r="DAT102" i="62"/>
  <c r="DAR102" i="62"/>
  <c r="DAP102" i="62"/>
  <c r="DAN102" i="62"/>
  <c r="DAL102" i="62"/>
  <c r="DAJ102" i="62"/>
  <c r="DAH102" i="62"/>
  <c r="DAF102" i="62"/>
  <c r="DAD102" i="62"/>
  <c r="DAB102" i="62"/>
  <c r="CZZ102" i="62"/>
  <c r="CZX102" i="62"/>
  <c r="CZV102" i="62"/>
  <c r="CZT102" i="62"/>
  <c r="CZR102" i="62"/>
  <c r="CZP102" i="62"/>
  <c r="CZN102" i="62"/>
  <c r="CZL102" i="62"/>
  <c r="CZJ102" i="62"/>
  <c r="CZH102" i="62"/>
  <c r="CZF102" i="62"/>
  <c r="CZD102" i="62"/>
  <c r="CZB102" i="62"/>
  <c r="CYZ102" i="62"/>
  <c r="CYX102" i="62"/>
  <c r="CYV102" i="62"/>
  <c r="CYT102" i="62"/>
  <c r="CYR102" i="62"/>
  <c r="CYP102" i="62"/>
  <c r="CYN102" i="62"/>
  <c r="CYL102" i="62"/>
  <c r="CYJ102" i="62"/>
  <c r="CYH102" i="62"/>
  <c r="CYF102" i="62"/>
  <c r="CYD102" i="62"/>
  <c r="CYB102" i="62"/>
  <c r="CXZ102" i="62"/>
  <c r="CXX102" i="62"/>
  <c r="CXV102" i="62"/>
  <c r="CXT102" i="62"/>
  <c r="CXR102" i="62"/>
  <c r="CXP102" i="62"/>
  <c r="CXN102" i="62"/>
  <c r="CXL102" i="62"/>
  <c r="CXJ102" i="62"/>
  <c r="CXH102" i="62"/>
  <c r="CXF102" i="62"/>
  <c r="CXD102" i="62"/>
  <c r="CXB102" i="62"/>
  <c r="CWZ102" i="62"/>
  <c r="CWX102" i="62"/>
  <c r="CWV102" i="62"/>
  <c r="CWT102" i="62"/>
  <c r="CWR102" i="62"/>
  <c r="CWP102" i="62"/>
  <c r="CWN102" i="62"/>
  <c r="CWL102" i="62"/>
  <c r="CWJ102" i="62"/>
  <c r="CWH102" i="62"/>
  <c r="CWF102" i="62"/>
  <c r="CWD102" i="62"/>
  <c r="CWB102" i="62"/>
  <c r="CVZ102" i="62"/>
  <c r="CVX102" i="62"/>
  <c r="CVV102" i="62"/>
  <c r="CVT102" i="62"/>
  <c r="CVR102" i="62"/>
  <c r="CVP102" i="62"/>
  <c r="CVN102" i="62"/>
  <c r="CVL102" i="62"/>
  <c r="CVJ102" i="62"/>
  <c r="CVH102" i="62"/>
  <c r="CVF102" i="62"/>
  <c r="CVD102" i="62"/>
  <c r="CVB102" i="62"/>
  <c r="CUZ102" i="62"/>
  <c r="CUX102" i="62"/>
  <c r="CUV102" i="62"/>
  <c r="CUT102" i="62"/>
  <c r="CUR102" i="62"/>
  <c r="CUP102" i="62"/>
  <c r="CUN102" i="62"/>
  <c r="CUL102" i="62"/>
  <c r="CUJ102" i="62"/>
  <c r="CUH102" i="62"/>
  <c r="CUF102" i="62"/>
  <c r="CUD102" i="62"/>
  <c r="CUB102" i="62"/>
  <c r="CTZ102" i="62"/>
  <c r="CTX102" i="62"/>
  <c r="CTV102" i="62"/>
  <c r="CTT102" i="62"/>
  <c r="CTR102" i="62"/>
  <c r="CTP102" i="62"/>
  <c r="CTN102" i="62"/>
  <c r="CTL102" i="62"/>
  <c r="CTJ102" i="62"/>
  <c r="CTH102" i="62"/>
  <c r="CTF102" i="62"/>
  <c r="CTD102" i="62"/>
  <c r="CTB102" i="62"/>
  <c r="CSZ102" i="62"/>
  <c r="CSX102" i="62"/>
  <c r="CSV102" i="62"/>
  <c r="CST102" i="62"/>
  <c r="CSR102" i="62"/>
  <c r="CSP102" i="62"/>
  <c r="CSN102" i="62"/>
  <c r="CSL102" i="62"/>
  <c r="CSJ102" i="62"/>
  <c r="CSH102" i="62"/>
  <c r="CSF102" i="62"/>
  <c r="CSD102" i="62"/>
  <c r="CSB102" i="62"/>
  <c r="CRZ102" i="62"/>
  <c r="CRX102" i="62"/>
  <c r="CRV102" i="62"/>
  <c r="CRT102" i="62"/>
  <c r="CRR102" i="62"/>
  <c r="CRP102" i="62"/>
  <c r="CRN102" i="62"/>
  <c r="CRL102" i="62"/>
  <c r="CRJ102" i="62"/>
  <c r="CRH102" i="62"/>
  <c r="CRF102" i="62"/>
  <c r="CRD102" i="62"/>
  <c r="CRB102" i="62"/>
  <c r="CQZ102" i="62"/>
  <c r="CQX102" i="62"/>
  <c r="CQV102" i="62"/>
  <c r="CQT102" i="62"/>
  <c r="CQR102" i="62"/>
  <c r="CQP102" i="62"/>
  <c r="CQN102" i="62"/>
  <c r="CQL102" i="62"/>
  <c r="CQJ102" i="62"/>
  <c r="CQH102" i="62"/>
  <c r="CQF102" i="62"/>
  <c r="CQD102" i="62"/>
  <c r="CQB102" i="62"/>
  <c r="CPZ102" i="62"/>
  <c r="CPX102" i="62"/>
  <c r="CPV102" i="62"/>
  <c r="CPT102" i="62"/>
  <c r="CPR102" i="62"/>
  <c r="CPP102" i="62"/>
  <c r="CPN102" i="62"/>
  <c r="CPL102" i="62"/>
  <c r="CPJ102" i="62"/>
  <c r="CPH102" i="62"/>
  <c r="CPF102" i="62"/>
  <c r="CPD102" i="62"/>
  <c r="CPB102" i="62"/>
  <c r="COZ102" i="62"/>
  <c r="COX102" i="62"/>
  <c r="COV102" i="62"/>
  <c r="COT102" i="62"/>
  <c r="COR102" i="62"/>
  <c r="COP102" i="62"/>
  <c r="CON102" i="62"/>
  <c r="COL102" i="62"/>
  <c r="COJ102" i="62"/>
  <c r="COH102" i="62"/>
  <c r="COF102" i="62"/>
  <c r="COD102" i="62"/>
  <c r="COB102" i="62"/>
  <c r="CNZ102" i="62"/>
  <c r="CNX102" i="62"/>
  <c r="CNV102" i="62"/>
  <c r="CNT102" i="62"/>
  <c r="CNR102" i="62"/>
  <c r="CNP102" i="62"/>
  <c r="CNN102" i="62"/>
  <c r="CNL102" i="62"/>
  <c r="CNJ102" i="62"/>
  <c r="CNH102" i="62"/>
  <c r="CNF102" i="62"/>
  <c r="CND102" i="62"/>
  <c r="CNB102" i="62"/>
  <c r="CMZ102" i="62"/>
  <c r="CMX102" i="62"/>
  <c r="CMV102" i="62"/>
  <c r="CMT102" i="62"/>
  <c r="CMR102" i="62"/>
  <c r="CMP102" i="62"/>
  <c r="CMN102" i="62"/>
  <c r="CML102" i="62"/>
  <c r="CMJ102" i="62"/>
  <c r="CMH102" i="62"/>
  <c r="CMF102" i="62"/>
  <c r="CMD102" i="62"/>
  <c r="CMB102" i="62"/>
  <c r="CLZ102" i="62"/>
  <c r="CLX102" i="62"/>
  <c r="CLV102" i="62"/>
  <c r="CLT102" i="62"/>
  <c r="CLR102" i="62"/>
  <c r="CLP102" i="62"/>
  <c r="CLN102" i="62"/>
  <c r="CLL102" i="62"/>
  <c r="CLJ102" i="62"/>
  <c r="CLH102" i="62"/>
  <c r="CLF102" i="62"/>
  <c r="CLD102" i="62"/>
  <c r="CLB102" i="62"/>
  <c r="CKZ102" i="62"/>
  <c r="CKX102" i="62"/>
  <c r="CKV102" i="62"/>
  <c r="CKT102" i="62"/>
  <c r="CKR102" i="62"/>
  <c r="CKP102" i="62"/>
  <c r="CKN102" i="62"/>
  <c r="CKL102" i="62"/>
  <c r="CKJ102" i="62"/>
  <c r="CKH102" i="62"/>
  <c r="CKF102" i="62"/>
  <c r="CKD102" i="62"/>
  <c r="CKB102" i="62"/>
  <c r="CJZ102" i="62"/>
  <c r="CJX102" i="62"/>
  <c r="CJV102" i="62"/>
  <c r="CJT102" i="62"/>
  <c r="CJR102" i="62"/>
  <c r="CJP102" i="62"/>
  <c r="CJN102" i="62"/>
  <c r="CJL102" i="62"/>
  <c r="CJJ102" i="62"/>
  <c r="CJH102" i="62"/>
  <c r="CJF102" i="62"/>
  <c r="CJD102" i="62"/>
  <c r="CJB102" i="62"/>
  <c r="CIZ102" i="62"/>
  <c r="CIX102" i="62"/>
  <c r="CIV102" i="62"/>
  <c r="CIT102" i="62"/>
  <c r="CIR102" i="62"/>
  <c r="CIP102" i="62"/>
  <c r="CIN102" i="62"/>
  <c r="CIL102" i="62"/>
  <c r="CIJ102" i="62"/>
  <c r="CIH102" i="62"/>
  <c r="CIF102" i="62"/>
  <c r="CID102" i="62"/>
  <c r="CIB102" i="62"/>
  <c r="CHZ102" i="62"/>
  <c r="CHX102" i="62"/>
  <c r="CHV102" i="62"/>
  <c r="CHT102" i="62"/>
  <c r="CHR102" i="62"/>
  <c r="CHP102" i="62"/>
  <c r="CHN102" i="62"/>
  <c r="CHL102" i="62"/>
  <c r="CHJ102" i="62"/>
  <c r="CHH102" i="62"/>
  <c r="CHF102" i="62"/>
  <c r="CHD102" i="62"/>
  <c r="CHB102" i="62"/>
  <c r="CGZ102" i="62"/>
  <c r="CGX102" i="62"/>
  <c r="CGV102" i="62"/>
  <c r="CGT102" i="62"/>
  <c r="CGR102" i="62"/>
  <c r="CGP102" i="62"/>
  <c r="CGN102" i="62"/>
  <c r="CGL102" i="62"/>
  <c r="CGJ102" i="62"/>
  <c r="CGH102" i="62"/>
  <c r="CGF102" i="62"/>
  <c r="CGD102" i="62"/>
  <c r="CGB102" i="62"/>
  <c r="CFZ102" i="62"/>
  <c r="CFX102" i="62"/>
  <c r="CFV102" i="62"/>
  <c r="CFT102" i="62"/>
  <c r="CFR102" i="62"/>
  <c r="CFP102" i="62"/>
  <c r="CFN102" i="62"/>
  <c r="CFL102" i="62"/>
  <c r="CFJ102" i="62"/>
  <c r="CFH102" i="62"/>
  <c r="CFF102" i="62"/>
  <c r="CFD102" i="62"/>
  <c r="CFB102" i="62"/>
  <c r="CEZ102" i="62"/>
  <c r="CEX102" i="62"/>
  <c r="CEV102" i="62"/>
  <c r="CET102" i="62"/>
  <c r="CER102" i="62"/>
  <c r="CEP102" i="62"/>
  <c r="CEN102" i="62"/>
  <c r="CEL102" i="62"/>
  <c r="CEJ102" i="62"/>
  <c r="CEH102" i="62"/>
  <c r="CEF102" i="62"/>
  <c r="CED102" i="62"/>
  <c r="CEB102" i="62"/>
  <c r="CDZ102" i="62"/>
  <c r="CDX102" i="62"/>
  <c r="CDV102" i="62"/>
  <c r="CDT102" i="62"/>
  <c r="CDR102" i="62"/>
  <c r="CDP102" i="62"/>
  <c r="CDN102" i="62"/>
  <c r="CDL102" i="62"/>
  <c r="CDJ102" i="62"/>
  <c r="CDH102" i="62"/>
  <c r="CDF102" i="62"/>
  <c r="CDD102" i="62"/>
  <c r="CDB102" i="62"/>
  <c r="CCZ102" i="62"/>
  <c r="CCX102" i="62"/>
  <c r="CCV102" i="62"/>
  <c r="CCT102" i="62"/>
  <c r="CCR102" i="62"/>
  <c r="CCP102" i="62"/>
  <c r="CCN102" i="62"/>
  <c r="CCL102" i="62"/>
  <c r="CCJ102" i="62"/>
  <c r="CCH102" i="62"/>
  <c r="CCF102" i="62"/>
  <c r="CCD102" i="62"/>
  <c r="CCB102" i="62"/>
  <c r="CBZ102" i="62"/>
  <c r="CBX102" i="62"/>
  <c r="CBV102" i="62"/>
  <c r="CBT102" i="62"/>
  <c r="CBR102" i="62"/>
  <c r="CBP102" i="62"/>
  <c r="CBN102" i="62"/>
  <c r="CBL102" i="62"/>
  <c r="CBJ102" i="62"/>
  <c r="CBH102" i="62"/>
  <c r="CBF102" i="62"/>
  <c r="CBD102" i="62"/>
  <c r="CBB102" i="62"/>
  <c r="CAZ102" i="62"/>
  <c r="CAX102" i="62"/>
  <c r="CAV102" i="62"/>
  <c r="CAT102" i="62"/>
  <c r="CAR102" i="62"/>
  <c r="CAP102" i="62"/>
  <c r="CAN102" i="62"/>
  <c r="CAL102" i="62"/>
  <c r="CAJ102" i="62"/>
  <c r="CAH102" i="62"/>
  <c r="CAF102" i="62"/>
  <c r="CAD102" i="62"/>
  <c r="CAB102" i="62"/>
  <c r="BZZ102" i="62"/>
  <c r="BZX102" i="62"/>
  <c r="BZV102" i="62"/>
  <c r="BZT102" i="62"/>
  <c r="BZR102" i="62"/>
  <c r="BZP102" i="62"/>
  <c r="BZN102" i="62"/>
  <c r="BZL102" i="62"/>
  <c r="BZJ102" i="62"/>
  <c r="BZH102" i="62"/>
  <c r="BZF102" i="62"/>
  <c r="BZD102" i="62"/>
  <c r="BZB102" i="62"/>
  <c r="BYZ102" i="62"/>
  <c r="BYX102" i="62"/>
  <c r="BYV102" i="62"/>
  <c r="BYT102" i="62"/>
  <c r="BYR102" i="62"/>
  <c r="BYP102" i="62"/>
  <c r="BYN102" i="62"/>
  <c r="BYL102" i="62"/>
  <c r="BYJ102" i="62"/>
  <c r="BYH102" i="62"/>
  <c r="BYF102" i="62"/>
  <c r="BYD102" i="62"/>
  <c r="BYB102" i="62"/>
  <c r="BXZ102" i="62"/>
  <c r="BXX102" i="62"/>
  <c r="BXV102" i="62"/>
  <c r="BXT102" i="62"/>
  <c r="BXR102" i="62"/>
  <c r="BXP102" i="62"/>
  <c r="BXN102" i="62"/>
  <c r="BXL102" i="62"/>
  <c r="BXJ102" i="62"/>
  <c r="BXH102" i="62"/>
  <c r="BXF102" i="62"/>
  <c r="BXD102" i="62"/>
  <c r="BXB102" i="62"/>
  <c r="BWZ102" i="62"/>
  <c r="BWX102" i="62"/>
  <c r="BWV102" i="62"/>
  <c r="BWT102" i="62"/>
  <c r="BWR102" i="62"/>
  <c r="BWP102" i="62"/>
  <c r="BWN102" i="62"/>
  <c r="BWL102" i="62"/>
  <c r="BWJ102" i="62"/>
  <c r="BWH102" i="62"/>
  <c r="BWF102" i="62"/>
  <c r="BWD102" i="62"/>
  <c r="BWB102" i="62"/>
  <c r="BVZ102" i="62"/>
  <c r="BVX102" i="62"/>
  <c r="BVV102" i="62"/>
  <c r="BVT102" i="62"/>
  <c r="BVR102" i="62"/>
  <c r="BVP102" i="62"/>
  <c r="BVN102" i="62"/>
  <c r="BVL102" i="62"/>
  <c r="BVJ102" i="62"/>
  <c r="BVH102" i="62"/>
  <c r="BVF102" i="62"/>
  <c r="BVD102" i="62"/>
  <c r="BVB102" i="62"/>
  <c r="BUZ102" i="62"/>
  <c r="BUX102" i="62"/>
  <c r="BUV102" i="62"/>
  <c r="BUT102" i="62"/>
  <c r="BUR102" i="62"/>
  <c r="BUP102" i="62"/>
  <c r="BUN102" i="62"/>
  <c r="BUL102" i="62"/>
  <c r="BUJ102" i="62"/>
  <c r="BUH102" i="62"/>
  <c r="BUF102" i="62"/>
  <c r="BUD102" i="62"/>
  <c r="BUB102" i="62"/>
  <c r="BTZ102" i="62"/>
  <c r="BTX102" i="62"/>
  <c r="BTV102" i="62"/>
  <c r="BTT102" i="62"/>
  <c r="BTR102" i="62"/>
  <c r="BTP102" i="62"/>
  <c r="BTN102" i="62"/>
  <c r="BTL102" i="62"/>
  <c r="BTJ102" i="62"/>
  <c r="BTH102" i="62"/>
  <c r="BTF102" i="62"/>
  <c r="BTD102" i="62"/>
  <c r="BTB102" i="62"/>
  <c r="BSZ102" i="62"/>
  <c r="BSX102" i="62"/>
  <c r="BSV102" i="62"/>
  <c r="BST102" i="62"/>
  <c r="BSR102" i="62"/>
  <c r="BSP102" i="62"/>
  <c r="BSN102" i="62"/>
  <c r="BSL102" i="62"/>
  <c r="BSJ102" i="62"/>
  <c r="BSH102" i="62"/>
  <c r="BSF102" i="62"/>
  <c r="BSD102" i="62"/>
  <c r="BSB102" i="62"/>
  <c r="BRZ102" i="62"/>
  <c r="BRX102" i="62"/>
  <c r="BRV102" i="62"/>
  <c r="BRT102" i="62"/>
  <c r="BRR102" i="62"/>
  <c r="BRP102" i="62"/>
  <c r="BRN102" i="62"/>
  <c r="BRL102" i="62"/>
  <c r="BRJ102" i="62"/>
  <c r="BRH102" i="62"/>
  <c r="BRF102" i="62"/>
  <c r="BRD102" i="62"/>
  <c r="BRB102" i="62"/>
  <c r="BQZ102" i="62"/>
  <c r="BQX102" i="62"/>
  <c r="BQV102" i="62"/>
  <c r="BQT102" i="62"/>
  <c r="BQR102" i="62"/>
  <c r="BQP102" i="62"/>
  <c r="BQN102" i="62"/>
  <c r="BQL102" i="62"/>
  <c r="BQJ102" i="62"/>
  <c r="BQH102" i="62"/>
  <c r="BQF102" i="62"/>
  <c r="BQD102" i="62"/>
  <c r="BQB102" i="62"/>
  <c r="BPZ102" i="62"/>
  <c r="BPX102" i="62"/>
  <c r="BPV102" i="62"/>
  <c r="BPT102" i="62"/>
  <c r="BPR102" i="62"/>
  <c r="BPP102" i="62"/>
  <c r="BPN102" i="62"/>
  <c r="BPL102" i="62"/>
  <c r="BPJ102" i="62"/>
  <c r="BPH102" i="62"/>
  <c r="BPF102" i="62"/>
  <c r="BPD102" i="62"/>
  <c r="BPB102" i="62"/>
  <c r="BOZ102" i="62"/>
  <c r="BOX102" i="62"/>
  <c r="BOV102" i="62"/>
  <c r="BOT102" i="62"/>
  <c r="BOR102" i="62"/>
  <c r="BOP102" i="62"/>
  <c r="BON102" i="62"/>
  <c r="BOL102" i="62"/>
  <c r="BOJ102" i="62"/>
  <c r="BOH102" i="62"/>
  <c r="BOF102" i="62"/>
  <c r="BOD102" i="62"/>
  <c r="BOB102" i="62"/>
  <c r="BNZ102" i="62"/>
  <c r="BNX102" i="62"/>
  <c r="BNV102" i="62"/>
  <c r="BNT102" i="62"/>
  <c r="BNR102" i="62"/>
  <c r="BNP102" i="62"/>
  <c r="BNN102" i="62"/>
  <c r="BNL102" i="62"/>
  <c r="BNJ102" i="62"/>
  <c r="BNH102" i="62"/>
  <c r="BNF102" i="62"/>
  <c r="BND102" i="62"/>
  <c r="BNB102" i="62"/>
  <c r="BMZ102" i="62"/>
  <c r="BMX102" i="62"/>
  <c r="BMV102" i="62"/>
  <c r="BMT102" i="62"/>
  <c r="BMR102" i="62"/>
  <c r="BMP102" i="62"/>
  <c r="BMN102" i="62"/>
  <c r="BML102" i="62"/>
  <c r="BMJ102" i="62"/>
  <c r="BMH102" i="62"/>
  <c r="BMF102" i="62"/>
  <c r="BMD102" i="62"/>
  <c r="BMB102" i="62"/>
  <c r="BLZ102" i="62"/>
  <c r="BLX102" i="62"/>
  <c r="BLV102" i="62"/>
  <c r="BLT102" i="62"/>
  <c r="BLR102" i="62"/>
  <c r="BLP102" i="62"/>
  <c r="BLN102" i="62"/>
  <c r="BLL102" i="62"/>
  <c r="BLJ102" i="62"/>
  <c r="BLH102" i="62"/>
  <c r="BLF102" i="62"/>
  <c r="BLD102" i="62"/>
  <c r="BLB102" i="62"/>
  <c r="BKZ102" i="62"/>
  <c r="BKX102" i="62"/>
  <c r="BKV102" i="62"/>
  <c r="BKT102" i="62"/>
  <c r="BKR102" i="62"/>
  <c r="BKP102" i="62"/>
  <c r="BKN102" i="62"/>
  <c r="BKL102" i="62"/>
  <c r="BKJ102" i="62"/>
  <c r="BKH102" i="62"/>
  <c r="BKF102" i="62"/>
  <c r="BKD102" i="62"/>
  <c r="BKB102" i="62"/>
  <c r="BJZ102" i="62"/>
  <c r="BJX102" i="62"/>
  <c r="BJV102" i="62"/>
  <c r="BJT102" i="62"/>
  <c r="BJR102" i="62"/>
  <c r="BJP102" i="62"/>
  <c r="BJN102" i="62"/>
  <c r="BJL102" i="62"/>
  <c r="BJJ102" i="62"/>
  <c r="BJH102" i="62"/>
  <c r="BJF102" i="62"/>
  <c r="BJD102" i="62"/>
  <c r="BJB102" i="62"/>
  <c r="BIZ102" i="62"/>
  <c r="BIX102" i="62"/>
  <c r="BIV102" i="62"/>
  <c r="BIT102" i="62"/>
  <c r="BIR102" i="62"/>
  <c r="BIP102" i="62"/>
  <c r="BIN102" i="62"/>
  <c r="BIL102" i="62"/>
  <c r="BIJ102" i="62"/>
  <c r="BIH102" i="62"/>
  <c r="BIF102" i="62"/>
  <c r="BID102" i="62"/>
  <c r="BIB102" i="62"/>
  <c r="BHZ102" i="62"/>
  <c r="BHX102" i="62"/>
  <c r="BHV102" i="62"/>
  <c r="BHT102" i="62"/>
  <c r="BHR102" i="62"/>
  <c r="BHP102" i="62"/>
  <c r="BHN102" i="62"/>
  <c r="BHL102" i="62"/>
  <c r="BHJ102" i="62"/>
  <c r="BHH102" i="62"/>
  <c r="BHF102" i="62"/>
  <c r="BHD102" i="62"/>
  <c r="BHB102" i="62"/>
  <c r="BGZ102" i="62"/>
  <c r="BGX102" i="62"/>
  <c r="BGV102" i="62"/>
  <c r="BGT102" i="62"/>
  <c r="BGR102" i="62"/>
  <c r="BGP102" i="62"/>
  <c r="BGN102" i="62"/>
  <c r="BGL102" i="62"/>
  <c r="BGJ102" i="62"/>
  <c r="BGH102" i="62"/>
  <c r="BGF102" i="62"/>
  <c r="BGD102" i="62"/>
  <c r="BGB102" i="62"/>
  <c r="BFZ102" i="62"/>
  <c r="BFX102" i="62"/>
  <c r="BFV102" i="62"/>
  <c r="BFT102" i="62"/>
  <c r="BFR102" i="62"/>
  <c r="BFP102" i="62"/>
  <c r="BFN102" i="62"/>
  <c r="BFL102" i="62"/>
  <c r="BFJ102" i="62"/>
  <c r="BFH102" i="62"/>
  <c r="BFF102" i="62"/>
  <c r="BFD102" i="62"/>
  <c r="BFB102" i="62"/>
  <c r="BEZ102" i="62"/>
  <c r="BEX102" i="62"/>
  <c r="BEV102" i="62"/>
  <c r="BET102" i="62"/>
  <c r="BER102" i="62"/>
  <c r="BEP102" i="62"/>
  <c r="BEN102" i="62"/>
  <c r="BEL102" i="62"/>
  <c r="BEJ102" i="62"/>
  <c r="BEH102" i="62"/>
  <c r="BEF102" i="62"/>
  <c r="BED102" i="62"/>
  <c r="BEB102" i="62"/>
  <c r="BDZ102" i="62"/>
  <c r="BDX102" i="62"/>
  <c r="BDV102" i="62"/>
  <c r="BDT102" i="62"/>
  <c r="BDR102" i="62"/>
  <c r="BDP102" i="62"/>
  <c r="BDN102" i="62"/>
  <c r="BDL102" i="62"/>
  <c r="BDJ102" i="62"/>
  <c r="BDH102" i="62"/>
  <c r="BDF102" i="62"/>
  <c r="BDD102" i="62"/>
  <c r="BDB102" i="62"/>
  <c r="BCZ102" i="62"/>
  <c r="BCX102" i="62"/>
  <c r="BCV102" i="62"/>
  <c r="BCT102" i="62"/>
  <c r="BCR102" i="62"/>
  <c r="BCP102" i="62"/>
  <c r="BCN102" i="62"/>
  <c r="BCL102" i="62"/>
  <c r="BCJ102" i="62"/>
  <c r="BCH102" i="62"/>
  <c r="BCF102" i="62"/>
  <c r="BCD102" i="62"/>
  <c r="BCB102" i="62"/>
  <c r="BBZ102" i="62"/>
  <c r="BBX102" i="62"/>
  <c r="BBV102" i="62"/>
  <c r="BBT102" i="62"/>
  <c r="BBR102" i="62"/>
  <c r="BBP102" i="62"/>
  <c r="BBN102" i="62"/>
  <c r="BBL102" i="62"/>
  <c r="BBJ102" i="62"/>
  <c r="BBH102" i="62"/>
  <c r="BBF102" i="62"/>
  <c r="BBD102" i="62"/>
  <c r="BBB102" i="62"/>
  <c r="BAZ102" i="62"/>
  <c r="BAX102" i="62"/>
  <c r="BAV102" i="62"/>
  <c r="BAT102" i="62"/>
  <c r="BAR102" i="62"/>
  <c r="BAP102" i="62"/>
  <c r="BAN102" i="62"/>
  <c r="BAL102" i="62"/>
  <c r="BAJ102" i="62"/>
  <c r="BAH102" i="62"/>
  <c r="BAF102" i="62"/>
  <c r="BAD102" i="62"/>
  <c r="BAB102" i="62"/>
  <c r="AZZ102" i="62"/>
  <c r="AZX102" i="62"/>
  <c r="AZV102" i="62"/>
  <c r="AZT102" i="62"/>
  <c r="AZR102" i="62"/>
  <c r="AZP102" i="62"/>
  <c r="AZN102" i="62"/>
  <c r="AZL102" i="62"/>
  <c r="AZJ102" i="62"/>
  <c r="AZH102" i="62"/>
  <c r="AZF102" i="62"/>
  <c r="AZD102" i="62"/>
  <c r="AZB102" i="62"/>
  <c r="AYZ102" i="62"/>
  <c r="AYX102" i="62"/>
  <c r="AYV102" i="62"/>
  <c r="AYT102" i="62"/>
  <c r="AYR102" i="62"/>
  <c r="AYP102" i="62"/>
  <c r="AYN102" i="62"/>
  <c r="AYL102" i="62"/>
  <c r="AYJ102" i="62"/>
  <c r="AYH102" i="62"/>
  <c r="AYF102" i="62"/>
  <c r="AYD102" i="62"/>
  <c r="AYB102" i="62"/>
  <c r="AXZ102" i="62"/>
  <c r="AXX102" i="62"/>
  <c r="AXV102" i="62"/>
  <c r="AXT102" i="62"/>
  <c r="AXR102" i="62"/>
  <c r="AXP102" i="62"/>
  <c r="AXN102" i="62"/>
  <c r="AXL102" i="62"/>
  <c r="AXJ102" i="62"/>
  <c r="AXH102" i="62"/>
  <c r="AXF102" i="62"/>
  <c r="AXD102" i="62"/>
  <c r="AXB102" i="62"/>
  <c r="AWZ102" i="62"/>
  <c r="AWX102" i="62"/>
  <c r="AWV102" i="62"/>
  <c r="AWT102" i="62"/>
  <c r="AWR102" i="62"/>
  <c r="AWP102" i="62"/>
  <c r="AWN102" i="62"/>
  <c r="AWL102" i="62"/>
  <c r="AWJ102" i="62"/>
  <c r="AWH102" i="62"/>
  <c r="AWF102" i="62"/>
  <c r="AWD102" i="62"/>
  <c r="AWB102" i="62"/>
  <c r="AVZ102" i="62"/>
  <c r="AVX102" i="62"/>
  <c r="AVV102" i="62"/>
  <c r="AVT102" i="62"/>
  <c r="AVR102" i="62"/>
  <c r="AVP102" i="62"/>
  <c r="AVN102" i="62"/>
  <c r="AVL102" i="62"/>
  <c r="AVJ102" i="62"/>
  <c r="AVH102" i="62"/>
  <c r="AVF102" i="62"/>
  <c r="AVD102" i="62"/>
  <c r="AVB102" i="62"/>
  <c r="AUZ102" i="62"/>
  <c r="AUX102" i="62"/>
  <c r="AUV102" i="62"/>
  <c r="AUT102" i="62"/>
  <c r="AUR102" i="62"/>
  <c r="AUP102" i="62"/>
  <c r="AUN102" i="62"/>
  <c r="AUL102" i="62"/>
  <c r="AUJ102" i="62"/>
  <c r="AUH102" i="62"/>
  <c r="AUF102" i="62"/>
  <c r="AUD102" i="62"/>
  <c r="AUB102" i="62"/>
  <c r="ATZ102" i="62"/>
  <c r="ATX102" i="62"/>
  <c r="ATV102" i="62"/>
  <c r="ATT102" i="62"/>
  <c r="ATR102" i="62"/>
  <c r="ATP102" i="62"/>
  <c r="ATN102" i="62"/>
  <c r="ATL102" i="62"/>
  <c r="ATJ102" i="62"/>
  <c r="ATH102" i="62"/>
  <c r="ATF102" i="62"/>
  <c r="ATD102" i="62"/>
  <c r="ATB102" i="62"/>
  <c r="ASZ102" i="62"/>
  <c r="ASX102" i="62"/>
  <c r="ASV102" i="62"/>
  <c r="AST102" i="62"/>
  <c r="ASR102" i="62"/>
  <c r="ASP102" i="62"/>
  <c r="ASN102" i="62"/>
  <c r="ASL102" i="62"/>
  <c r="ASJ102" i="62"/>
  <c r="ASH102" i="62"/>
  <c r="ASF102" i="62"/>
  <c r="ASD102" i="62"/>
  <c r="ASB102" i="62"/>
  <c r="ARZ102" i="62"/>
  <c r="ARX102" i="62"/>
  <c r="ARV102" i="62"/>
  <c r="ART102" i="62"/>
  <c r="ARR102" i="62"/>
  <c r="ARP102" i="62"/>
  <c r="ARN102" i="62"/>
  <c r="ARL102" i="62"/>
  <c r="ARJ102" i="62"/>
  <c r="ARH102" i="62"/>
  <c r="ARF102" i="62"/>
  <c r="ARD102" i="62"/>
  <c r="ARB102" i="62"/>
  <c r="AQZ102" i="62"/>
  <c r="AQX102" i="62"/>
  <c r="AQV102" i="62"/>
  <c r="AQT102" i="62"/>
  <c r="AQR102" i="62"/>
  <c r="AQP102" i="62"/>
  <c r="AQN102" i="62"/>
  <c r="AQL102" i="62"/>
  <c r="AQJ102" i="62"/>
  <c r="AQH102" i="62"/>
  <c r="AQF102" i="62"/>
  <c r="AQD102" i="62"/>
  <c r="AQB102" i="62"/>
  <c r="APZ102" i="62"/>
  <c r="APX102" i="62"/>
  <c r="APV102" i="62"/>
  <c r="APT102" i="62"/>
  <c r="APR102" i="62"/>
  <c r="APP102" i="62"/>
  <c r="APN102" i="62"/>
  <c r="APL102" i="62"/>
  <c r="APJ102" i="62"/>
  <c r="APH102" i="62"/>
  <c r="APF102" i="62"/>
  <c r="APD102" i="62"/>
  <c r="APB102" i="62"/>
  <c r="AOZ102" i="62"/>
  <c r="AOX102" i="62"/>
  <c r="AOV102" i="62"/>
  <c r="AOT102" i="62"/>
  <c r="AOR102" i="62"/>
  <c r="AOP102" i="62"/>
  <c r="AON102" i="62"/>
  <c r="AOL102" i="62"/>
  <c r="AOJ102" i="62"/>
  <c r="AOH102" i="62"/>
  <c r="AOF102" i="62"/>
  <c r="AOD102" i="62"/>
  <c r="AOB102" i="62"/>
  <c r="ANZ102" i="62"/>
  <c r="ANX102" i="62"/>
  <c r="ANV102" i="62"/>
  <c r="ANT102" i="62"/>
  <c r="ANR102" i="62"/>
  <c r="ANP102" i="62"/>
  <c r="ANN102" i="62"/>
  <c r="ANL102" i="62"/>
  <c r="ANJ102" i="62"/>
  <c r="ANH102" i="62"/>
  <c r="ANF102" i="62"/>
  <c r="AND102" i="62"/>
  <c r="ANB102" i="62"/>
  <c r="AMZ102" i="62"/>
  <c r="AMX102" i="62"/>
  <c r="AMV102" i="62"/>
  <c r="AMT102" i="62"/>
  <c r="AMR102" i="62"/>
  <c r="AMP102" i="62"/>
  <c r="AMN102" i="62"/>
  <c r="AML102" i="62"/>
  <c r="AMJ102" i="62"/>
  <c r="AMH102" i="62"/>
  <c r="AMF102" i="62"/>
  <c r="AMD102" i="62"/>
  <c r="AMB102" i="62"/>
  <c r="ALZ102" i="62"/>
  <c r="ALX102" i="62"/>
  <c r="ALV102" i="62"/>
  <c r="ALT102" i="62"/>
  <c r="ALR102" i="62"/>
  <c r="ALP102" i="62"/>
  <c r="ALN102" i="62"/>
  <c r="ALL102" i="62"/>
  <c r="ALJ102" i="62"/>
  <c r="ALH102" i="62"/>
  <c r="ALF102" i="62"/>
  <c r="ALD102" i="62"/>
  <c r="ALB102" i="62"/>
  <c r="AKZ102" i="62"/>
  <c r="AKX102" i="62"/>
  <c r="AKV102" i="62"/>
  <c r="AKT102" i="62"/>
  <c r="AKR102" i="62"/>
  <c r="AKP102" i="62"/>
  <c r="AKN102" i="62"/>
  <c r="AKL102" i="62"/>
  <c r="AKJ102" i="62"/>
  <c r="AKH102" i="62"/>
  <c r="AKF102" i="62"/>
  <c r="AKD102" i="62"/>
  <c r="AKB102" i="62"/>
  <c r="AJZ102" i="62"/>
  <c r="AJX102" i="62"/>
  <c r="AJV102" i="62"/>
  <c r="AJT102" i="62"/>
  <c r="AJR102" i="62"/>
  <c r="AJP102" i="62"/>
  <c r="AJN102" i="62"/>
  <c r="AJL102" i="62"/>
  <c r="AJJ102" i="62"/>
  <c r="AJH102" i="62"/>
  <c r="AJF102" i="62"/>
  <c r="AJD102" i="62"/>
  <c r="AJB102" i="62"/>
  <c r="AIZ102" i="62"/>
  <c r="AIX102" i="62"/>
  <c r="AIV102" i="62"/>
  <c r="AIT102" i="62"/>
  <c r="AIR102" i="62"/>
  <c r="AIP102" i="62"/>
  <c r="AIN102" i="62"/>
  <c r="AIL102" i="62"/>
  <c r="AIJ102" i="62"/>
  <c r="AIH102" i="62"/>
  <c r="AIF102" i="62"/>
  <c r="AID102" i="62"/>
  <c r="AIB102" i="62"/>
  <c r="AHZ102" i="62"/>
  <c r="AHX102" i="62"/>
  <c r="AHV102" i="62"/>
  <c r="AHT102" i="62"/>
  <c r="AHR102" i="62"/>
  <c r="AHP102" i="62"/>
  <c r="AHN102" i="62"/>
  <c r="AHL102" i="62"/>
  <c r="AHJ102" i="62"/>
  <c r="AHH102" i="62"/>
  <c r="AHF102" i="62"/>
  <c r="AHD102" i="62"/>
  <c r="AHB102" i="62"/>
  <c r="AGZ102" i="62"/>
  <c r="AGX102" i="62"/>
  <c r="AGV102" i="62"/>
  <c r="AGT102" i="62"/>
  <c r="AGR102" i="62"/>
  <c r="AGP102" i="62"/>
  <c r="AGN102" i="62"/>
  <c r="AGL102" i="62"/>
  <c r="AGJ102" i="62"/>
  <c r="AGH102" i="62"/>
  <c r="AGF102" i="62"/>
  <c r="AGD102" i="62"/>
  <c r="AGB102" i="62"/>
  <c r="AFZ102" i="62"/>
  <c r="AFX102" i="62"/>
  <c r="AFV102" i="62"/>
  <c r="AFT102" i="62"/>
  <c r="AFR102" i="62"/>
  <c r="AFP102" i="62"/>
  <c r="AFN102" i="62"/>
  <c r="AFL102" i="62"/>
  <c r="AFJ102" i="62"/>
  <c r="AFH102" i="62"/>
  <c r="AFF102" i="62"/>
  <c r="AFD102" i="62"/>
  <c r="AFB102" i="62"/>
  <c r="AEZ102" i="62"/>
  <c r="AEX102" i="62"/>
  <c r="AEV102" i="62"/>
  <c r="AET102" i="62"/>
  <c r="AER102" i="62"/>
  <c r="AEP102" i="62"/>
  <c r="AEN102" i="62"/>
  <c r="AEL102" i="62"/>
  <c r="AEJ102" i="62"/>
  <c r="AEH102" i="62"/>
  <c r="AEF102" i="62"/>
  <c r="AED102" i="62"/>
  <c r="AEB102" i="62"/>
  <c r="ADZ102" i="62"/>
  <c r="ADX102" i="62"/>
  <c r="ADV102" i="62"/>
  <c r="ADT102" i="62"/>
  <c r="ADR102" i="62"/>
  <c r="ADP102" i="62"/>
  <c r="ADN102" i="62"/>
  <c r="ADL102" i="62"/>
  <c r="ADJ102" i="62"/>
  <c r="ADH102" i="62"/>
  <c r="ADF102" i="62"/>
  <c r="ADD102" i="62"/>
  <c r="ADB102" i="62"/>
  <c r="ACZ102" i="62"/>
  <c r="ACX102" i="62"/>
  <c r="ACV102" i="62"/>
  <c r="ACT102" i="62"/>
  <c r="ACR102" i="62"/>
  <c r="ACP102" i="62"/>
  <c r="ACN102" i="62"/>
  <c r="ACL102" i="62"/>
  <c r="ACJ102" i="62"/>
  <c r="ACH102" i="62"/>
  <c r="ACF102" i="62"/>
  <c r="ACD102" i="62"/>
  <c r="ACB102" i="62"/>
  <c r="ABZ102" i="62"/>
  <c r="ABX102" i="62"/>
  <c r="ABV102" i="62"/>
  <c r="ABT102" i="62"/>
  <c r="ABR102" i="62"/>
  <c r="ABP102" i="62"/>
  <c r="ABN102" i="62"/>
  <c r="ABL102" i="62"/>
  <c r="ABJ102" i="62"/>
  <c r="ABH102" i="62"/>
  <c r="ABF102" i="62"/>
  <c r="ABD102" i="62"/>
  <c r="ABB102" i="62"/>
  <c r="AAZ102" i="62"/>
  <c r="AAX102" i="62"/>
  <c r="AAV102" i="62"/>
  <c r="AAT102" i="62"/>
  <c r="AAR102" i="62"/>
  <c r="AAP102" i="62"/>
  <c r="AAN102" i="62"/>
  <c r="AAL102" i="62"/>
  <c r="AAJ102" i="62"/>
  <c r="AAH102" i="62"/>
  <c r="AAF102" i="62"/>
  <c r="AAD102" i="62"/>
  <c r="AAB102" i="62"/>
  <c r="ZZ102" i="62"/>
  <c r="ZX102" i="62"/>
  <c r="ZV102" i="62"/>
  <c r="ZT102" i="62"/>
  <c r="ZR102" i="62"/>
  <c r="ZP102" i="62"/>
  <c r="ZN102" i="62"/>
  <c r="ZL102" i="62"/>
  <c r="ZJ102" i="62"/>
  <c r="ZH102" i="62"/>
  <c r="ZF102" i="62"/>
  <c r="ZD102" i="62"/>
  <c r="ZB102" i="62"/>
  <c r="YZ102" i="62"/>
  <c r="YX102" i="62"/>
  <c r="YV102" i="62"/>
  <c r="YT102" i="62"/>
  <c r="YR102" i="62"/>
  <c r="YP102" i="62"/>
  <c r="YN102" i="62"/>
  <c r="YL102" i="62"/>
  <c r="YJ102" i="62"/>
  <c r="YH102" i="62"/>
  <c r="YF102" i="62"/>
  <c r="YD102" i="62"/>
  <c r="YB102" i="62"/>
  <c r="XZ102" i="62"/>
  <c r="XX102" i="62"/>
  <c r="XV102" i="62"/>
  <c r="XT102" i="62"/>
  <c r="XR102" i="62"/>
  <c r="XP102" i="62"/>
  <c r="XN102" i="62"/>
  <c r="XL102" i="62"/>
  <c r="XJ102" i="62"/>
  <c r="XH102" i="62"/>
  <c r="XF102" i="62"/>
  <c r="XD102" i="62"/>
  <c r="XB102" i="62"/>
  <c r="WZ102" i="62"/>
  <c r="WX102" i="62"/>
  <c r="WV102" i="62"/>
  <c r="WT102" i="62"/>
  <c r="WR102" i="62"/>
  <c r="WP102" i="62"/>
  <c r="WN102" i="62"/>
  <c r="WL102" i="62"/>
  <c r="WJ102" i="62"/>
  <c r="WH102" i="62"/>
  <c r="WF102" i="62"/>
  <c r="WD102" i="62"/>
  <c r="WB102" i="62"/>
  <c r="VZ102" i="62"/>
  <c r="VX102" i="62"/>
  <c r="VV102" i="62"/>
  <c r="VT102" i="62"/>
  <c r="VR102" i="62"/>
  <c r="VP102" i="62"/>
  <c r="VN102" i="62"/>
  <c r="VL102" i="62"/>
  <c r="VJ102" i="62"/>
  <c r="VH102" i="62"/>
  <c r="VF102" i="62"/>
  <c r="VD102" i="62"/>
  <c r="VB102" i="62"/>
  <c r="UZ102" i="62"/>
  <c r="UX102" i="62"/>
  <c r="UV102" i="62"/>
  <c r="UT102" i="62"/>
  <c r="UR102" i="62"/>
  <c r="UP102" i="62"/>
  <c r="UN102" i="62"/>
  <c r="UL102" i="62"/>
  <c r="UJ102" i="62"/>
  <c r="UH102" i="62"/>
  <c r="UF102" i="62"/>
  <c r="UD102" i="62"/>
  <c r="UB102" i="62"/>
  <c r="TZ102" i="62"/>
  <c r="TX102" i="62"/>
  <c r="TV102" i="62"/>
  <c r="TT102" i="62"/>
  <c r="TR102" i="62"/>
  <c r="TP102" i="62"/>
  <c r="TN102" i="62"/>
  <c r="TL102" i="62"/>
  <c r="TJ102" i="62"/>
  <c r="TH102" i="62"/>
  <c r="TF102" i="62"/>
  <c r="TD102" i="62"/>
  <c r="TB102" i="62"/>
  <c r="SZ102" i="62"/>
  <c r="SX102" i="62"/>
  <c r="SV102" i="62"/>
  <c r="ST102" i="62"/>
  <c r="SR102" i="62"/>
  <c r="SP102" i="62"/>
  <c r="SN102" i="62"/>
  <c r="SL102" i="62"/>
  <c r="SJ102" i="62"/>
  <c r="SH102" i="62"/>
  <c r="SF102" i="62"/>
  <c r="SD102" i="62"/>
  <c r="SB102" i="62"/>
  <c r="RZ102" i="62"/>
  <c r="RX102" i="62"/>
  <c r="RV102" i="62"/>
  <c r="RT102" i="62"/>
  <c r="RR102" i="62"/>
  <c r="RP102" i="62"/>
  <c r="RN102" i="62"/>
  <c r="RL102" i="62"/>
  <c r="RJ102" i="62"/>
  <c r="RH102" i="62"/>
  <c r="RF102" i="62"/>
  <c r="RD102" i="62"/>
  <c r="RB102" i="62"/>
  <c r="QZ102" i="62"/>
  <c r="QX102" i="62"/>
  <c r="QV102" i="62"/>
  <c r="QT102" i="62"/>
  <c r="QR102" i="62"/>
  <c r="QP102" i="62"/>
  <c r="QN102" i="62"/>
  <c r="QL102" i="62"/>
  <c r="QJ102" i="62"/>
  <c r="QH102" i="62"/>
  <c r="QF102" i="62"/>
  <c r="QD102" i="62"/>
  <c r="QB102" i="62"/>
  <c r="PZ102" i="62"/>
  <c r="PX102" i="62"/>
  <c r="PV102" i="62"/>
  <c r="PT102" i="62"/>
  <c r="PR102" i="62"/>
  <c r="PP102" i="62"/>
  <c r="PN102" i="62"/>
  <c r="PL102" i="62"/>
  <c r="PJ102" i="62"/>
  <c r="PH102" i="62"/>
  <c r="PF102" i="62"/>
  <c r="PD102" i="62"/>
  <c r="PB102" i="62"/>
  <c r="OZ102" i="62"/>
  <c r="OX102" i="62"/>
  <c r="OV102" i="62"/>
  <c r="OT102" i="62"/>
  <c r="OR102" i="62"/>
  <c r="OP102" i="62"/>
  <c r="ON102" i="62"/>
  <c r="OL102" i="62"/>
  <c r="OJ102" i="62"/>
  <c r="OH102" i="62"/>
  <c r="OF102" i="62"/>
  <c r="OD102" i="62"/>
  <c r="OB102" i="62"/>
  <c r="NZ102" i="62"/>
  <c r="NX102" i="62"/>
  <c r="NV102" i="62"/>
  <c r="NT102" i="62"/>
  <c r="NR102" i="62"/>
  <c r="NP102" i="62"/>
  <c r="NN102" i="62"/>
  <c r="NL102" i="62"/>
  <c r="NJ102" i="62"/>
  <c r="NH102" i="62"/>
  <c r="NF102" i="62"/>
  <c r="ND102" i="62"/>
  <c r="NB102" i="62"/>
  <c r="MZ102" i="62"/>
  <c r="MX102" i="62"/>
  <c r="MV102" i="62"/>
  <c r="MT102" i="62"/>
  <c r="MR102" i="62"/>
  <c r="MP102" i="62"/>
  <c r="MN102" i="62"/>
  <c r="ML102" i="62"/>
  <c r="MJ102" i="62"/>
  <c r="MH102" i="62"/>
  <c r="MF102" i="62"/>
  <c r="MD102" i="62"/>
  <c r="MB102" i="62"/>
  <c r="LZ102" i="62"/>
  <c r="LX102" i="62"/>
  <c r="LV102" i="62"/>
  <c r="LT102" i="62"/>
  <c r="LR102" i="62"/>
  <c r="LP102" i="62"/>
  <c r="LN102" i="62"/>
  <c r="LL102" i="62"/>
  <c r="LJ102" i="62"/>
  <c r="LH102" i="62"/>
  <c r="LF102" i="62"/>
  <c r="LD102" i="62"/>
  <c r="LB102" i="62"/>
  <c r="KZ102" i="62"/>
  <c r="KX102" i="62"/>
  <c r="KV102" i="62"/>
  <c r="KT102" i="62"/>
  <c r="KR102" i="62"/>
  <c r="KP102" i="62"/>
  <c r="KN102" i="62"/>
  <c r="KL102" i="62"/>
  <c r="KJ102" i="62"/>
  <c r="KH102" i="62"/>
  <c r="KF102" i="62"/>
  <c r="KD102" i="62"/>
  <c r="KB102" i="62"/>
  <c r="JZ102" i="62"/>
  <c r="JX102" i="62"/>
  <c r="JV102" i="62"/>
  <c r="JT102" i="62"/>
  <c r="JR102" i="62"/>
  <c r="JP102" i="62"/>
  <c r="JN102" i="62"/>
  <c r="JL102" i="62"/>
  <c r="JJ102" i="62"/>
  <c r="JH102" i="62"/>
  <c r="JF102" i="62"/>
  <c r="JD102" i="62"/>
  <c r="JB102" i="62"/>
  <c r="IZ102" i="62"/>
  <c r="IX102" i="62"/>
  <c r="IV102" i="62"/>
  <c r="IT102" i="62"/>
  <c r="IR102" i="62"/>
  <c r="IP102" i="62"/>
  <c r="IN102" i="62"/>
  <c r="IL102" i="62"/>
  <c r="IJ102" i="62"/>
  <c r="IH102" i="62"/>
  <c r="IF102" i="62"/>
  <c r="ID102" i="62"/>
  <c r="IB102" i="62"/>
  <c r="HZ102" i="62"/>
  <c r="HX102" i="62"/>
  <c r="HV102" i="62"/>
  <c r="HT102" i="62"/>
  <c r="HR102" i="62"/>
  <c r="HP102" i="62"/>
  <c r="HN102" i="62"/>
  <c r="HL102" i="62"/>
  <c r="HJ102" i="62"/>
  <c r="HH102" i="62"/>
  <c r="HF102" i="62"/>
  <c r="HD102" i="62"/>
  <c r="HB102" i="62"/>
  <c r="GZ102" i="62"/>
  <c r="GX102" i="62"/>
  <c r="GV102" i="62"/>
  <c r="GT102" i="62"/>
  <c r="GR102" i="62"/>
  <c r="GP102" i="62"/>
  <c r="GN102" i="62"/>
  <c r="GL102" i="62"/>
  <c r="GJ102" i="62"/>
  <c r="GH102" i="62"/>
  <c r="GF102" i="62"/>
  <c r="GD102" i="62"/>
  <c r="GB102" i="62"/>
  <c r="FZ102" i="62"/>
  <c r="FX102" i="62"/>
  <c r="FV102" i="62"/>
  <c r="FT102" i="62"/>
  <c r="FR102" i="62"/>
  <c r="FP102" i="62"/>
  <c r="FN102" i="62"/>
  <c r="FL102" i="62"/>
  <c r="FJ102" i="62"/>
  <c r="FH102" i="62"/>
  <c r="FF102" i="62"/>
  <c r="FD102" i="62"/>
  <c r="FB102" i="62"/>
  <c r="EZ102" i="62"/>
  <c r="EX102" i="62"/>
  <c r="EV102" i="62"/>
  <c r="ET102" i="62"/>
  <c r="ER102" i="62"/>
  <c r="EP102" i="62"/>
  <c r="EN102" i="62"/>
  <c r="EL102" i="62"/>
  <c r="EJ102" i="62"/>
  <c r="EH102" i="62"/>
  <c r="EF102" i="62"/>
  <c r="ED102" i="62"/>
  <c r="EB102" i="62"/>
  <c r="DZ102" i="62"/>
  <c r="DX102" i="62"/>
  <c r="DV102" i="62"/>
  <c r="DT102" i="62"/>
  <c r="DR102" i="62"/>
  <c r="DP102" i="62"/>
  <c r="DN102" i="62"/>
  <c r="DL102" i="62"/>
  <c r="DJ102" i="62"/>
  <c r="DH102" i="62"/>
  <c r="DF102" i="62"/>
  <c r="DD102" i="62"/>
  <c r="DB102" i="62"/>
  <c r="CZ102" i="62"/>
  <c r="CX102" i="62"/>
  <c r="CV102" i="62"/>
  <c r="CT102" i="62"/>
  <c r="CR102" i="62"/>
  <c r="CP102" i="62"/>
  <c r="CN102" i="62"/>
  <c r="CL102" i="62"/>
  <c r="CJ102" i="62"/>
  <c r="CH102" i="62"/>
  <c r="CF102" i="62"/>
  <c r="CD102" i="62"/>
  <c r="CB102" i="62"/>
  <c r="BZ102" i="62"/>
  <c r="BX102" i="62"/>
  <c r="BV102" i="62"/>
  <c r="BT102" i="62"/>
  <c r="BR102" i="62"/>
  <c r="BP102" i="62"/>
  <c r="BN102" i="62"/>
  <c r="BL102" i="62"/>
  <c r="BJ102" i="62"/>
  <c r="BH102" i="62"/>
  <c r="BF102" i="62"/>
  <c r="BD102" i="62"/>
  <c r="BB102" i="62"/>
  <c r="AZ102" i="62"/>
  <c r="AX102" i="62"/>
  <c r="AV102" i="62"/>
  <c r="AT102" i="62"/>
  <c r="AR102" i="62"/>
  <c r="AP102" i="62"/>
  <c r="AN102" i="62"/>
  <c r="AL102" i="62"/>
  <c r="AJ102" i="62"/>
  <c r="AH102" i="62"/>
  <c r="Z34" i="62"/>
  <c r="Y34" i="62"/>
  <c r="T34" i="62"/>
  <c r="Z33" i="62"/>
  <c r="Y33" i="62"/>
  <c r="T33" i="62"/>
  <c r="Z32" i="62"/>
  <c r="Y32" i="62"/>
  <c r="T32" i="62"/>
  <c r="Z31" i="62"/>
  <c r="Y31" i="62"/>
  <c r="T31" i="62"/>
  <c r="Z30" i="62"/>
  <c r="Y30" i="62"/>
  <c r="T30" i="62"/>
  <c r="Z29" i="62"/>
  <c r="Y29" i="62"/>
  <c r="T29" i="62"/>
  <c r="Z28" i="62"/>
  <c r="Y28" i="62"/>
  <c r="T28" i="62"/>
  <c r="Z27" i="62"/>
  <c r="Y27" i="62"/>
  <c r="T27" i="62"/>
  <c r="Z26" i="62"/>
  <c r="Y26" i="62"/>
  <c r="T26" i="62"/>
  <c r="Z25" i="62"/>
  <c r="Y25" i="62"/>
  <c r="T25" i="62"/>
  <c r="Z24" i="62"/>
  <c r="Y24" i="62"/>
  <c r="T24" i="62"/>
  <c r="Z23" i="62"/>
  <c r="Y23" i="62"/>
  <c r="T23" i="62"/>
  <c r="Z22" i="62"/>
  <c r="Y22" i="62"/>
  <c r="T22" i="62"/>
  <c r="Z21" i="62"/>
  <c r="Y21" i="62"/>
  <c r="T21" i="62"/>
  <c r="Z20" i="62"/>
  <c r="Y20" i="62"/>
  <c r="T20" i="62"/>
  <c r="Z19" i="62"/>
  <c r="Y19" i="62"/>
  <c r="T19" i="62"/>
  <c r="U9" i="62"/>
  <c r="U7" i="62"/>
  <c r="AA36" i="62" l="1"/>
  <c r="AA35" i="62"/>
  <c r="AA37" i="62"/>
  <c r="AA27" i="62"/>
  <c r="AA20" i="62"/>
  <c r="AA22" i="62"/>
  <c r="AA26" i="62"/>
  <c r="AA34" i="62"/>
  <c r="AA19" i="62"/>
  <c r="AA23" i="62"/>
  <c r="AA24" i="62"/>
  <c r="AA32" i="62"/>
  <c r="AA21" i="62"/>
  <c r="AA29" i="62"/>
  <c r="AA30" i="62"/>
  <c r="AA31" i="62"/>
  <c r="AA28" i="62"/>
  <c r="AA25" i="62"/>
  <c r="AA33" i="62"/>
  <c r="AA45" i="62" l="1"/>
  <c r="J11" i="61" l="1"/>
  <c r="J9" i="61"/>
  <c r="L222" i="61"/>
  <c r="D222" i="61"/>
  <c r="K222" i="61" s="1"/>
  <c r="D257" i="61"/>
  <c r="K257" i="61" s="1"/>
  <c r="L257" i="61"/>
  <c r="L91" i="61" l="1"/>
  <c r="L92" i="61"/>
  <c r="L93" i="61"/>
  <c r="L94" i="61"/>
  <c r="L95" i="61"/>
  <c r="L96" i="61"/>
  <c r="L97" i="61"/>
  <c r="L98" i="61"/>
  <c r="L99" i="61"/>
  <c r="L100" i="61"/>
  <c r="L101" i="61"/>
  <c r="L102" i="61"/>
  <c r="L103" i="61"/>
  <c r="L104" i="61"/>
  <c r="L105" i="61"/>
  <c r="L106" i="61"/>
  <c r="L107" i="61"/>
  <c r="L108" i="61"/>
  <c r="L109" i="61"/>
  <c r="L110" i="61"/>
  <c r="L111" i="61"/>
  <c r="L112" i="61"/>
  <c r="L113" i="61"/>
  <c r="L225" i="61"/>
  <c r="L114" i="61"/>
  <c r="L115" i="61"/>
  <c r="L116" i="61"/>
  <c r="L117" i="61"/>
  <c r="L118" i="61"/>
  <c r="L119" i="61"/>
  <c r="L120" i="61"/>
  <c r="L226" i="61"/>
  <c r="L121" i="61"/>
  <c r="L122" i="61"/>
  <c r="L123" i="61"/>
  <c r="L124" i="61"/>
  <c r="L125" i="61"/>
  <c r="L126" i="61"/>
  <c r="L127" i="61"/>
  <c r="L128" i="61"/>
  <c r="L129" i="61"/>
  <c r="L130" i="61"/>
  <c r="D91" i="61"/>
  <c r="K91" i="61" s="1"/>
  <c r="D92" i="61"/>
  <c r="K92" i="61" s="1"/>
  <c r="D93" i="61"/>
  <c r="K93" i="61" s="1"/>
  <c r="D94" i="61"/>
  <c r="K94" i="61" s="1"/>
  <c r="K95" i="61"/>
  <c r="D96" i="61"/>
  <c r="K96" i="61" s="1"/>
  <c r="D97" i="61"/>
  <c r="K97" i="61" s="1"/>
  <c r="D98" i="61"/>
  <c r="K98" i="61" s="1"/>
  <c r="D99" i="61"/>
  <c r="K99" i="61" s="1"/>
  <c r="D100" i="61"/>
  <c r="K100" i="61" s="1"/>
  <c r="D101" i="61"/>
  <c r="K101" i="61" s="1"/>
  <c r="D102" i="61"/>
  <c r="K102" i="61" s="1"/>
  <c r="D103" i="61"/>
  <c r="K103" i="61" s="1"/>
  <c r="D104" i="61"/>
  <c r="K104" i="61" s="1"/>
  <c r="D105" i="61"/>
  <c r="K105" i="61" s="1"/>
  <c r="D106" i="61"/>
  <c r="K106" i="61" s="1"/>
  <c r="D107" i="61"/>
  <c r="K107" i="61" s="1"/>
  <c r="D108" i="61"/>
  <c r="K108" i="61" s="1"/>
  <c r="D109" i="61"/>
  <c r="K109" i="61" s="1"/>
  <c r="D110" i="61"/>
  <c r="K110" i="61" s="1"/>
  <c r="D111" i="61"/>
  <c r="K111" i="61" s="1"/>
  <c r="D112" i="61"/>
  <c r="K112" i="61" s="1"/>
  <c r="D113" i="61"/>
  <c r="K113" i="61" s="1"/>
  <c r="D225" i="61"/>
  <c r="K225" i="61" s="1"/>
  <c r="D114" i="61"/>
  <c r="K114" i="61" s="1"/>
  <c r="D115" i="61"/>
  <c r="K115" i="61" s="1"/>
  <c r="D116" i="61"/>
  <c r="K116" i="61" s="1"/>
  <c r="D117" i="61"/>
  <c r="K117" i="61" s="1"/>
  <c r="D118" i="61"/>
  <c r="K118" i="61" s="1"/>
  <c r="D119" i="61"/>
  <c r="K119" i="61" s="1"/>
  <c r="D120" i="61"/>
  <c r="K120" i="61" s="1"/>
  <c r="D226" i="61"/>
  <c r="K226" i="61" s="1"/>
  <c r="K241" i="61"/>
  <c r="D121" i="61"/>
  <c r="K121" i="61" s="1"/>
  <c r="D122" i="61"/>
  <c r="K122" i="61" s="1"/>
  <c r="D123" i="61"/>
  <c r="K123" i="61" s="1"/>
  <c r="D124" i="61"/>
  <c r="K124" i="61" s="1"/>
  <c r="D125" i="61"/>
  <c r="K125" i="61" s="1"/>
  <c r="D126" i="61"/>
  <c r="K126" i="61" s="1"/>
  <c r="D127" i="61"/>
  <c r="K127" i="61" s="1"/>
  <c r="D128" i="61"/>
  <c r="K128" i="61" s="1"/>
  <c r="D129" i="61"/>
  <c r="K129" i="61" s="1"/>
  <c r="D130" i="61"/>
  <c r="K130" i="61" s="1"/>
  <c r="U57" i="58"/>
  <c r="S57" i="58"/>
  <c r="R57" i="58"/>
  <c r="O57" i="58"/>
  <c r="D57" i="58"/>
  <c r="M57" i="58" s="1"/>
  <c r="C57" i="58"/>
  <c r="R39" i="58"/>
  <c r="U25" i="58"/>
  <c r="U26" i="58"/>
  <c r="U27" i="58"/>
  <c r="U28" i="58"/>
  <c r="U29" i="58"/>
  <c r="U30" i="58"/>
  <c r="U31" i="58"/>
  <c r="U32" i="58"/>
  <c r="U33" i="58"/>
  <c r="U34" i="58"/>
  <c r="U36" i="58"/>
  <c r="U37" i="58"/>
  <c r="U38" i="58"/>
  <c r="U39" i="58"/>
  <c r="U40" i="58"/>
  <c r="U41" i="58"/>
  <c r="U43" i="58"/>
  <c r="U44" i="58"/>
  <c r="U45" i="58"/>
  <c r="U46" i="58"/>
  <c r="U47" i="58"/>
  <c r="U48" i="58"/>
  <c r="U49" i="58"/>
  <c r="U50" i="58"/>
  <c r="U51" i="58"/>
  <c r="U52" i="58"/>
  <c r="U53" i="58"/>
  <c r="U54" i="58"/>
  <c r="U55" i="58"/>
  <c r="U56" i="58"/>
  <c r="U58" i="58"/>
  <c r="U59" i="58"/>
  <c r="U60" i="58"/>
  <c r="U61" i="58"/>
  <c r="U62" i="58"/>
  <c r="U63" i="58"/>
  <c r="U64" i="58"/>
  <c r="U65" i="58"/>
  <c r="U66" i="58"/>
  <c r="U68" i="58"/>
  <c r="U69" i="58"/>
  <c r="U70" i="58"/>
  <c r="U71" i="58"/>
  <c r="U72" i="58"/>
  <c r="U73" i="58"/>
  <c r="U75" i="58"/>
  <c r="U76" i="58"/>
  <c r="U77" i="58"/>
  <c r="U78" i="58"/>
  <c r="U79" i="58"/>
  <c r="U80" i="58"/>
  <c r="U81" i="58"/>
  <c r="U92" i="58"/>
  <c r="U82" i="58"/>
  <c r="U93" i="58"/>
  <c r="U83" i="58"/>
  <c r="U84" i="58"/>
  <c r="U85" i="58"/>
  <c r="S25" i="58"/>
  <c r="S26" i="58"/>
  <c r="S27" i="58"/>
  <c r="S28" i="58"/>
  <c r="S29" i="58"/>
  <c r="S30" i="58"/>
  <c r="S31" i="58"/>
  <c r="S32" i="58"/>
  <c r="S33" i="58"/>
  <c r="S34" i="58"/>
  <c r="S36" i="58"/>
  <c r="S37" i="58"/>
  <c r="S38" i="58"/>
  <c r="S87" i="58"/>
  <c r="S39" i="58"/>
  <c r="S40" i="58"/>
  <c r="S41" i="58"/>
  <c r="S43" i="58"/>
  <c r="S35" i="58"/>
  <c r="S44" i="58"/>
  <c r="S45" i="58"/>
  <c r="S46" i="58"/>
  <c r="S47" i="58"/>
  <c r="S48" i="58"/>
  <c r="S49" i="58"/>
  <c r="S50" i="58"/>
  <c r="S51" i="58"/>
  <c r="S52" i="58"/>
  <c r="S53" i="58"/>
  <c r="S54" i="58"/>
  <c r="S55" i="58"/>
  <c r="S56" i="58"/>
  <c r="S58" i="58"/>
  <c r="S59" i="58"/>
  <c r="S60" i="58"/>
  <c r="S61" i="58"/>
  <c r="S62" i="58"/>
  <c r="S63" i="58"/>
  <c r="S64" i="58"/>
  <c r="S65" i="58"/>
  <c r="S66" i="58"/>
  <c r="S68" i="58"/>
  <c r="S69" i="58"/>
  <c r="S70" i="58"/>
  <c r="S71" i="58"/>
  <c r="S72" i="58"/>
  <c r="S73" i="58"/>
  <c r="S75" i="58"/>
  <c r="S76" i="58"/>
  <c r="S77" i="58"/>
  <c r="S78" i="58"/>
  <c r="S79" i="58"/>
  <c r="S80" i="58"/>
  <c r="S81" i="58"/>
  <c r="S82" i="58"/>
  <c r="S83" i="58"/>
  <c r="S84" i="58"/>
  <c r="S85" i="58"/>
  <c r="D90" i="61"/>
  <c r="D85" i="58"/>
  <c r="C85" i="58"/>
  <c r="D46" i="58"/>
  <c r="C46" i="58"/>
  <c r="C60" i="58"/>
  <c r="D72" i="58"/>
  <c r="C72" i="58"/>
  <c r="C24" i="58"/>
  <c r="L245" i="61" l="1"/>
  <c r="D245" i="61"/>
  <c r="K245" i="61" s="1"/>
  <c r="L256" i="61"/>
  <c r="D256" i="61"/>
  <c r="K256" i="61" s="1"/>
  <c r="L255" i="61"/>
  <c r="D255" i="61"/>
  <c r="K255" i="61" s="1"/>
  <c r="L254" i="61"/>
  <c r="D254" i="61"/>
  <c r="K254" i="61" s="1"/>
  <c r="L253" i="61"/>
  <c r="D253" i="61"/>
  <c r="K253" i="61" s="1"/>
  <c r="L252" i="61"/>
  <c r="D252" i="61"/>
  <c r="K252" i="61" s="1"/>
  <c r="L251" i="61"/>
  <c r="D251" i="61"/>
  <c r="K251" i="61" s="1"/>
  <c r="L250" i="61"/>
  <c r="D250" i="61"/>
  <c r="K250" i="61" s="1"/>
  <c r="L249" i="61"/>
  <c r="D249" i="61"/>
  <c r="K249" i="61" s="1"/>
  <c r="L244" i="61"/>
  <c r="D244" i="61"/>
  <c r="K244" i="61" s="1"/>
  <c r="L248" i="61"/>
  <c r="D248" i="61"/>
  <c r="K248" i="61" s="1"/>
  <c r="L247" i="61"/>
  <c r="D247" i="61"/>
  <c r="K247" i="61" s="1"/>
  <c r="L90" i="61"/>
  <c r="K90" i="61"/>
  <c r="L89" i="61"/>
  <c r="D89" i="61"/>
  <c r="K89" i="61" s="1"/>
  <c r="L88" i="61"/>
  <c r="D88" i="61"/>
  <c r="K88" i="61" s="1"/>
  <c r="L87" i="61"/>
  <c r="D87" i="61"/>
  <c r="K87" i="61" s="1"/>
  <c r="L86" i="61"/>
  <c r="D86" i="61"/>
  <c r="K86" i="61" s="1"/>
  <c r="L85" i="61"/>
  <c r="D85" i="61"/>
  <c r="K85" i="61" s="1"/>
  <c r="L84" i="61"/>
  <c r="D84" i="61"/>
  <c r="K84" i="61" s="1"/>
  <c r="L83" i="61"/>
  <c r="D83" i="61"/>
  <c r="K83" i="61" s="1"/>
  <c r="L82" i="61"/>
  <c r="D82" i="61"/>
  <c r="K82" i="61" s="1"/>
  <c r="L81" i="61"/>
  <c r="D81" i="61"/>
  <c r="K81" i="61" s="1"/>
  <c r="L80" i="61"/>
  <c r="D80" i="61"/>
  <c r="K80" i="61" s="1"/>
  <c r="L79" i="61"/>
  <c r="D79" i="61"/>
  <c r="K79" i="61" s="1"/>
  <c r="L78" i="61"/>
  <c r="D78" i="61"/>
  <c r="K78" i="61" s="1"/>
  <c r="L77" i="61"/>
  <c r="D77" i="61"/>
  <c r="K77" i="61" s="1"/>
  <c r="L224" i="61"/>
  <c r="D224" i="61"/>
  <c r="K224" i="61" s="1"/>
  <c r="L76" i="61"/>
  <c r="D76" i="61"/>
  <c r="K76" i="61" s="1"/>
  <c r="L75" i="61"/>
  <c r="D75" i="61"/>
  <c r="K75" i="61" s="1"/>
  <c r="L74" i="61"/>
  <c r="D74" i="61"/>
  <c r="K74" i="61" s="1"/>
  <c r="L73" i="61"/>
  <c r="D73" i="61"/>
  <c r="K73" i="61" s="1"/>
  <c r="L72" i="61"/>
  <c r="D72" i="61"/>
  <c r="K72" i="61" s="1"/>
  <c r="L71" i="61"/>
  <c r="D71" i="61"/>
  <c r="K71" i="61" s="1"/>
  <c r="L70" i="61"/>
  <c r="D70" i="61"/>
  <c r="K70" i="61" s="1"/>
  <c r="L69" i="61"/>
  <c r="D69" i="61"/>
  <c r="K69" i="61" s="1"/>
  <c r="L68" i="61"/>
  <c r="D68" i="61"/>
  <c r="K68" i="61" s="1"/>
  <c r="L67" i="61"/>
  <c r="D67" i="61"/>
  <c r="K67" i="61" s="1"/>
  <c r="L66" i="61"/>
  <c r="D66" i="61"/>
  <c r="K66" i="61" s="1"/>
  <c r="L223" i="61"/>
  <c r="D223" i="61"/>
  <c r="K223" i="61" s="1"/>
  <c r="L65" i="61"/>
  <c r="D65" i="61"/>
  <c r="K65" i="61" s="1"/>
  <c r="L64" i="61"/>
  <c r="D64" i="61"/>
  <c r="K64" i="61" s="1"/>
  <c r="L63" i="61"/>
  <c r="D63" i="61"/>
  <c r="K63" i="61" s="1"/>
  <c r="L62" i="61"/>
  <c r="D62" i="61"/>
  <c r="K62" i="61" s="1"/>
  <c r="L61" i="61"/>
  <c r="D61" i="61"/>
  <c r="K61" i="61" s="1"/>
  <c r="L60" i="61"/>
  <c r="D60" i="61"/>
  <c r="K60" i="61" s="1"/>
  <c r="L59" i="61"/>
  <c r="D59" i="61"/>
  <c r="K59" i="61" s="1"/>
  <c r="L58" i="61"/>
  <c r="D58" i="61"/>
  <c r="K58" i="61" s="1"/>
  <c r="L57" i="61"/>
  <c r="D57" i="61"/>
  <c r="K57" i="61" s="1"/>
  <c r="L56" i="61"/>
  <c r="D56" i="61"/>
  <c r="K56" i="61" s="1"/>
  <c r="L55" i="61"/>
  <c r="D55" i="61"/>
  <c r="K55" i="61" s="1"/>
  <c r="L54" i="61"/>
  <c r="D54" i="61"/>
  <c r="K54" i="61" s="1"/>
  <c r="L53" i="61"/>
  <c r="D53" i="61"/>
  <c r="K53" i="61" s="1"/>
  <c r="L52" i="61"/>
  <c r="D52" i="61"/>
  <c r="K52" i="61" s="1"/>
  <c r="L51" i="61"/>
  <c r="D51" i="61"/>
  <c r="K51" i="61" s="1"/>
  <c r="L50" i="61"/>
  <c r="D50" i="61"/>
  <c r="K50" i="61" s="1"/>
  <c r="L49" i="61"/>
  <c r="D49" i="61"/>
  <c r="K49" i="61" s="1"/>
  <c r="L48" i="61"/>
  <c r="D48" i="61"/>
  <c r="K48" i="61" s="1"/>
  <c r="L47" i="61"/>
  <c r="D47" i="61"/>
  <c r="K47" i="61" s="1"/>
  <c r="L46" i="61"/>
  <c r="D46" i="61"/>
  <c r="K46" i="61" s="1"/>
  <c r="L45" i="61"/>
  <c r="D45" i="61"/>
  <c r="K45" i="61" s="1"/>
  <c r="L44" i="61"/>
  <c r="D44" i="61"/>
  <c r="K44" i="61" s="1"/>
  <c r="L43" i="61"/>
  <c r="D43" i="61"/>
  <c r="K43" i="61" s="1"/>
  <c r="L42" i="61"/>
  <c r="D42" i="61"/>
  <c r="K42" i="61" s="1"/>
  <c r="L41" i="61"/>
  <c r="D41" i="61"/>
  <c r="K41" i="61" s="1"/>
  <c r="L40" i="61"/>
  <c r="D40" i="61"/>
  <c r="K40" i="61" s="1"/>
  <c r="L39" i="61"/>
  <c r="D39" i="61"/>
  <c r="K39" i="61" s="1"/>
  <c r="L38" i="61"/>
  <c r="D38" i="61"/>
  <c r="K38" i="61" s="1"/>
  <c r="L37" i="61"/>
  <c r="D37" i="61"/>
  <c r="K37" i="61" s="1"/>
  <c r="L36" i="61"/>
  <c r="D36" i="61"/>
  <c r="K36" i="61" s="1"/>
  <c r="L35" i="61"/>
  <c r="D35" i="61"/>
  <c r="K35" i="61" s="1"/>
  <c r="L34" i="61"/>
  <c r="D34" i="61"/>
  <c r="K34" i="61" s="1"/>
  <c r="L33" i="61"/>
  <c r="D33" i="61"/>
  <c r="K33" i="61" s="1"/>
  <c r="L32" i="61"/>
  <c r="D32" i="61"/>
  <c r="K32" i="61" s="1"/>
  <c r="L31" i="61"/>
  <c r="D31" i="61"/>
  <c r="K31" i="61" s="1"/>
  <c r="L30" i="61"/>
  <c r="D30" i="61"/>
  <c r="K30" i="61" s="1"/>
  <c r="L29" i="61"/>
  <c r="D29" i="61"/>
  <c r="K29" i="61" s="1"/>
  <c r="L28" i="61"/>
  <c r="D28" i="61"/>
  <c r="K28" i="61" s="1"/>
  <c r="L27" i="61"/>
  <c r="D27" i="61"/>
  <c r="K27" i="61" s="1"/>
  <c r="L26" i="61"/>
  <c r="D26" i="61"/>
  <c r="K26" i="61" s="1"/>
  <c r="L25" i="61"/>
  <c r="D25" i="61"/>
  <c r="K25" i="61" s="1"/>
  <c r="L24" i="61"/>
  <c r="D24" i="61"/>
  <c r="K24" i="61" s="1"/>
  <c r="L23" i="61"/>
  <c r="D23" i="61"/>
  <c r="K23" i="61" s="1"/>
  <c r="L22" i="61"/>
  <c r="D22" i="61"/>
  <c r="K22" i="61" s="1"/>
  <c r="R73" i="58"/>
  <c r="S24" i="58"/>
  <c r="L21" i="19" l="1"/>
  <c r="AC16" i="10"/>
  <c r="AB16" i="10"/>
  <c r="Z16" i="10"/>
  <c r="X16" i="10"/>
  <c r="U16" i="10"/>
  <c r="T16" i="10"/>
  <c r="R16" i="10"/>
  <c r="O16" i="10"/>
  <c r="M16" i="10"/>
  <c r="A16" i="10"/>
  <c r="AC15" i="10"/>
  <c r="AB15" i="10"/>
  <c r="Z15" i="10"/>
  <c r="X15" i="10"/>
  <c r="U15" i="10"/>
  <c r="T15" i="10"/>
  <c r="R15" i="10"/>
  <c r="O15" i="10"/>
  <c r="M15" i="10"/>
  <c r="A15" i="10"/>
  <c r="AC14" i="10"/>
  <c r="AB14" i="10"/>
  <c r="Z14" i="10"/>
  <c r="X14" i="10"/>
  <c r="U14" i="10"/>
  <c r="T14" i="10"/>
  <c r="R14" i="10"/>
  <c r="O14" i="10"/>
  <c r="M14" i="10"/>
  <c r="A14" i="10"/>
  <c r="AC13" i="10"/>
  <c r="AB13" i="10"/>
  <c r="Z13" i="10"/>
  <c r="X13" i="10"/>
  <c r="U13" i="10"/>
  <c r="T13" i="10"/>
  <c r="R13" i="10"/>
  <c r="O13" i="10"/>
  <c r="M13" i="10"/>
  <c r="A13" i="10"/>
  <c r="AC12" i="10"/>
  <c r="AB12" i="10"/>
  <c r="Z12" i="10"/>
  <c r="X12" i="10"/>
  <c r="U12" i="10"/>
  <c r="T12" i="10"/>
  <c r="R12" i="10"/>
  <c r="O12" i="10"/>
  <c r="M12" i="10"/>
  <c r="A12" i="10"/>
  <c r="AC11" i="10"/>
  <c r="AB11" i="10"/>
  <c r="Z11" i="10"/>
  <c r="X11" i="10"/>
  <c r="U11" i="10"/>
  <c r="T11" i="10"/>
  <c r="R11" i="10"/>
  <c r="O11" i="10"/>
  <c r="M11" i="10"/>
  <c r="A11" i="10"/>
  <c r="AC10" i="10"/>
  <c r="AB10" i="10"/>
  <c r="Z10" i="10"/>
  <c r="X10" i="10"/>
  <c r="U10" i="10"/>
  <c r="T10" i="10"/>
  <c r="R10" i="10"/>
  <c r="O10" i="10"/>
  <c r="M10" i="10"/>
  <c r="A10" i="10"/>
  <c r="AC9" i="10"/>
  <c r="AB9" i="10"/>
  <c r="Z9" i="10"/>
  <c r="X9" i="10"/>
  <c r="U9" i="10"/>
  <c r="T9" i="10"/>
  <c r="R9" i="10"/>
  <c r="O9" i="10"/>
  <c r="M9" i="10"/>
  <c r="A9" i="10"/>
  <c r="AC8" i="10"/>
  <c r="AB8" i="10"/>
  <c r="Z8" i="10"/>
  <c r="X8" i="10"/>
  <c r="U8" i="10"/>
  <c r="T8" i="10"/>
  <c r="R8" i="10"/>
  <c r="O8" i="10"/>
  <c r="M8" i="10"/>
  <c r="A8" i="10"/>
  <c r="AC7" i="10"/>
  <c r="AB7" i="10"/>
  <c r="Z7" i="10"/>
  <c r="X7" i="10"/>
  <c r="S7" i="10"/>
  <c r="T7" i="10" s="1"/>
  <c r="U7" i="10" s="1"/>
  <c r="R7" i="10"/>
  <c r="O7" i="10"/>
  <c r="M7" i="10"/>
  <c r="AC6" i="10"/>
  <c r="AB6" i="10"/>
  <c r="Z6" i="10"/>
  <c r="X6" i="10"/>
  <c r="S6" i="10"/>
  <c r="T6" i="10" s="1"/>
  <c r="U6" i="10" s="1"/>
  <c r="R6" i="10"/>
  <c r="O6" i="10"/>
  <c r="M6" i="10"/>
  <c r="O21" i="53"/>
  <c r="L23" i="19" s="1"/>
  <c r="U100" i="58"/>
  <c r="R100" i="58"/>
  <c r="O100" i="58"/>
  <c r="M100" i="58"/>
  <c r="R99" i="58"/>
  <c r="O99" i="58"/>
  <c r="M99" i="58"/>
  <c r="S98" i="58"/>
  <c r="R98" i="58"/>
  <c r="O98" i="58"/>
  <c r="D98" i="58"/>
  <c r="M98" i="58" s="1"/>
  <c r="C98" i="58"/>
  <c r="S95" i="58"/>
  <c r="O95" i="58"/>
  <c r="D95" i="58"/>
  <c r="M95" i="58" s="1"/>
  <c r="C95" i="58"/>
  <c r="R85" i="58"/>
  <c r="O85" i="58"/>
  <c r="M85" i="58"/>
  <c r="R84" i="58"/>
  <c r="O84" i="58"/>
  <c r="M84" i="58"/>
  <c r="R83" i="58"/>
  <c r="O83" i="58"/>
  <c r="D83" i="58"/>
  <c r="M83" i="58" s="1"/>
  <c r="C83" i="58"/>
  <c r="O91" i="58"/>
  <c r="D91" i="58"/>
  <c r="M91" i="58" s="1"/>
  <c r="C91" i="58"/>
  <c r="O93" i="58"/>
  <c r="D93" i="58"/>
  <c r="M93" i="58" s="1"/>
  <c r="C93" i="58"/>
  <c r="R82" i="58"/>
  <c r="O82" i="58"/>
  <c r="D82" i="58"/>
  <c r="M82" i="58" s="1"/>
  <c r="C82" i="58"/>
  <c r="O92" i="58"/>
  <c r="D92" i="58"/>
  <c r="M92" i="58" s="1"/>
  <c r="C92" i="58"/>
  <c r="R81" i="58"/>
  <c r="O81" i="58"/>
  <c r="D81" i="58"/>
  <c r="M81" i="58" s="1"/>
  <c r="C81" i="58"/>
  <c r="R80" i="58"/>
  <c r="O80" i="58"/>
  <c r="M80" i="58"/>
  <c r="R79" i="58"/>
  <c r="O79" i="58"/>
  <c r="D79" i="58"/>
  <c r="M79" i="58" s="1"/>
  <c r="C79" i="58"/>
  <c r="R78" i="58"/>
  <c r="O78" i="58"/>
  <c r="D78" i="58"/>
  <c r="M78" i="58" s="1"/>
  <c r="C78" i="58"/>
  <c r="R77" i="58"/>
  <c r="O77" i="58"/>
  <c r="D77" i="58"/>
  <c r="M77" i="58" s="1"/>
  <c r="C77" i="58"/>
  <c r="O76" i="58"/>
  <c r="D76" i="58"/>
  <c r="M76" i="58" s="1"/>
  <c r="C76" i="58"/>
  <c r="R75" i="58"/>
  <c r="O75" i="58"/>
  <c r="D75" i="58"/>
  <c r="M75" i="58" s="1"/>
  <c r="C75" i="58"/>
  <c r="O73" i="58"/>
  <c r="M73" i="58"/>
  <c r="R72" i="58"/>
  <c r="O72" i="58"/>
  <c r="M72" i="58"/>
  <c r="R71" i="58"/>
  <c r="O71" i="58"/>
  <c r="D71" i="58"/>
  <c r="M71" i="58" s="1"/>
  <c r="C71" i="58"/>
  <c r="R70" i="58"/>
  <c r="O70" i="58"/>
  <c r="D70" i="58"/>
  <c r="M70" i="58" s="1"/>
  <c r="C70" i="58"/>
  <c r="R69" i="58"/>
  <c r="O69" i="58"/>
  <c r="D69" i="58"/>
  <c r="M69" i="58" s="1"/>
  <c r="C69" i="58"/>
  <c r="R68" i="58"/>
  <c r="O68" i="58"/>
  <c r="D68" i="58"/>
  <c r="M68" i="58" s="1"/>
  <c r="C68" i="58"/>
  <c r="R66" i="58"/>
  <c r="O66" i="58"/>
  <c r="D66" i="58"/>
  <c r="M66" i="58" s="1"/>
  <c r="C66" i="58"/>
  <c r="R65" i="58"/>
  <c r="O65" i="58"/>
  <c r="D65" i="58"/>
  <c r="M65" i="58" s="1"/>
  <c r="C65" i="58"/>
  <c r="R64" i="58"/>
  <c r="O64" i="58"/>
  <c r="D64" i="58"/>
  <c r="M64" i="58" s="1"/>
  <c r="C64" i="58"/>
  <c r="R63" i="58"/>
  <c r="O63" i="58"/>
  <c r="D63" i="58"/>
  <c r="M63" i="58" s="1"/>
  <c r="C63" i="58"/>
  <c r="R62" i="58"/>
  <c r="O62" i="58"/>
  <c r="M62" i="58"/>
  <c r="R61" i="58"/>
  <c r="O61" i="58"/>
  <c r="D61" i="58"/>
  <c r="M61" i="58" s="1"/>
  <c r="C61" i="58"/>
  <c r="R60" i="58"/>
  <c r="O60" i="58"/>
  <c r="D60" i="58"/>
  <c r="M60" i="58" s="1"/>
  <c r="O59" i="58"/>
  <c r="D59" i="58"/>
  <c r="M59" i="58" s="1"/>
  <c r="C59" i="58"/>
  <c r="R58" i="58"/>
  <c r="O58" i="58"/>
  <c r="D58" i="58"/>
  <c r="M58" i="58" s="1"/>
  <c r="C58" i="58"/>
  <c r="R56" i="58"/>
  <c r="O56" i="58"/>
  <c r="D56" i="58"/>
  <c r="M56" i="58" s="1"/>
  <c r="C56" i="58"/>
  <c r="R55" i="58"/>
  <c r="O55" i="58"/>
  <c r="D55" i="58"/>
  <c r="M55" i="58" s="1"/>
  <c r="C55" i="58"/>
  <c r="R54" i="58"/>
  <c r="O54" i="58"/>
  <c r="D54" i="58"/>
  <c r="M54" i="58" s="1"/>
  <c r="C54" i="58"/>
  <c r="R53" i="58"/>
  <c r="O53" i="58"/>
  <c r="D53" i="58"/>
  <c r="M53" i="58" s="1"/>
  <c r="C53" i="58"/>
  <c r="R52" i="58"/>
  <c r="O52" i="58"/>
  <c r="D52" i="58"/>
  <c r="M52" i="58" s="1"/>
  <c r="C52" i="58"/>
  <c r="R51" i="58"/>
  <c r="O51" i="58"/>
  <c r="D51" i="58"/>
  <c r="M51" i="58" s="1"/>
  <c r="C51" i="58"/>
  <c r="R50" i="58"/>
  <c r="O50" i="58"/>
  <c r="D50" i="58"/>
  <c r="M50" i="58" s="1"/>
  <c r="C50" i="58"/>
  <c r="R49" i="58"/>
  <c r="O49" i="58"/>
  <c r="D49" i="58"/>
  <c r="M49" i="58" s="1"/>
  <c r="C49" i="58"/>
  <c r="R48" i="58"/>
  <c r="O48" i="58"/>
  <c r="D48" i="58"/>
  <c r="M48" i="58" s="1"/>
  <c r="C48" i="58"/>
  <c r="R47" i="58"/>
  <c r="O47" i="58"/>
  <c r="D47" i="58"/>
  <c r="M47" i="58" s="1"/>
  <c r="C47" i="58"/>
  <c r="R46" i="58"/>
  <c r="O46" i="58"/>
  <c r="M46" i="58"/>
  <c r="R45" i="58"/>
  <c r="O45" i="58"/>
  <c r="D45" i="58"/>
  <c r="M45" i="58" s="1"/>
  <c r="C45" i="58"/>
  <c r="O44" i="58"/>
  <c r="D44" i="58"/>
  <c r="M44" i="58" s="1"/>
  <c r="C44" i="58"/>
  <c r="O35" i="58"/>
  <c r="D35" i="58"/>
  <c r="M35" i="58" s="1"/>
  <c r="C35" i="58"/>
  <c r="O43" i="58"/>
  <c r="D43" i="58"/>
  <c r="M43" i="58" s="1"/>
  <c r="C43" i="58"/>
  <c r="O41" i="58"/>
  <c r="D41" i="58"/>
  <c r="M41" i="58" s="1"/>
  <c r="C41" i="58"/>
  <c r="O40" i="58"/>
  <c r="D40" i="58"/>
  <c r="M40" i="58" s="1"/>
  <c r="C40" i="58"/>
  <c r="O39" i="58"/>
  <c r="D39" i="58"/>
  <c r="M39" i="58" s="1"/>
  <c r="C39" i="58"/>
  <c r="R87" i="58"/>
  <c r="O87" i="58"/>
  <c r="D87" i="58"/>
  <c r="M87" i="58" s="1"/>
  <c r="C87" i="58"/>
  <c r="R38" i="58"/>
  <c r="O38" i="58"/>
  <c r="D38" i="58"/>
  <c r="M38" i="58" s="1"/>
  <c r="C38" i="58"/>
  <c r="R37" i="58"/>
  <c r="O37" i="58"/>
  <c r="D37" i="58"/>
  <c r="M37" i="58" s="1"/>
  <c r="C37" i="58"/>
  <c r="R36" i="58"/>
  <c r="O36" i="58"/>
  <c r="D36" i="58"/>
  <c r="M36" i="58" s="1"/>
  <c r="C36" i="58"/>
  <c r="R34" i="58"/>
  <c r="O34" i="58"/>
  <c r="D34" i="58"/>
  <c r="M34" i="58" s="1"/>
  <c r="C34" i="58"/>
  <c r="R33" i="58"/>
  <c r="O33" i="58"/>
  <c r="D33" i="58"/>
  <c r="M33" i="58" s="1"/>
  <c r="C33" i="58"/>
  <c r="O32" i="58"/>
  <c r="D32" i="58"/>
  <c r="M32" i="58" s="1"/>
  <c r="C32" i="58"/>
  <c r="R31" i="58"/>
  <c r="O31" i="58"/>
  <c r="D31" i="58"/>
  <c r="M31" i="58" s="1"/>
  <c r="C31" i="58"/>
  <c r="R30" i="58"/>
  <c r="O30" i="58"/>
  <c r="D30" i="58"/>
  <c r="M30" i="58" s="1"/>
  <c r="C30" i="58"/>
  <c r="R29" i="58"/>
  <c r="O29" i="58"/>
  <c r="D29" i="58"/>
  <c r="M29" i="58" s="1"/>
  <c r="C29" i="58"/>
  <c r="R28" i="58"/>
  <c r="O28" i="58"/>
  <c r="D28" i="58"/>
  <c r="M28" i="58" s="1"/>
  <c r="C28" i="58"/>
  <c r="R27" i="58"/>
  <c r="O27" i="58"/>
  <c r="D27" i="58"/>
  <c r="M27" i="58" s="1"/>
  <c r="C27" i="58"/>
  <c r="R26" i="58"/>
  <c r="O26" i="58"/>
  <c r="R25" i="58"/>
  <c r="O25" i="58"/>
  <c r="D25" i="58"/>
  <c r="M25" i="58" s="1"/>
  <c r="C25" i="58"/>
  <c r="U24" i="58"/>
  <c r="R24" i="58"/>
  <c r="O24" i="58"/>
  <c r="D24" i="58"/>
  <c r="M24" i="58" s="1"/>
  <c r="O19" i="19"/>
  <c r="E13" i="19"/>
  <c r="K9" i="53" s="1"/>
  <c r="E11" i="19"/>
  <c r="K7" i="53" s="1"/>
  <c r="U103" i="58" l="1"/>
  <c r="L20" i="19" s="1"/>
  <c r="M10" i="58"/>
  <c r="N23" i="19"/>
  <c r="O23" i="19" s="1"/>
  <c r="M12" i="58"/>
  <c r="N21" i="19"/>
  <c r="O21" i="19" s="1"/>
  <c r="U17" i="10"/>
  <c r="N22" i="19" l="1"/>
  <c r="O22" i="19" s="1"/>
  <c r="N20" i="19"/>
  <c r="O20" i="19" s="1"/>
  <c r="L24" i="19" l="1"/>
  <c r="N24" i="19"/>
  <c r="O24" i="19" s="1"/>
</calcChain>
</file>

<file path=xl/sharedStrings.xml><?xml version="1.0" encoding="utf-8"?>
<sst xmlns="http://schemas.openxmlformats.org/spreadsheetml/2006/main" count="11926" uniqueCount="1757">
  <si>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</si>
  <si>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</si>
  <si>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</si>
  <si>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</si>
  <si>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</si>
  <si>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</si>
  <si>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</si>
  <si>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</si>
  <si>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</si>
  <si>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</si>
  <si>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</si>
  <si>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</si>
  <si>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</si>
  <si>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</si>
  <si>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</si>
  <si>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</si>
  <si>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</si>
  <si>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</si>
  <si>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</si>
  <si>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</si>
  <si>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</si>
  <si>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</si>
  <si>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</si>
  <si>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</si>
  <si>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</si>
  <si>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indexed="8"/>
        <rFont val="Tahoma"/>
        <family val="2"/>
      </rPr>
      <t>st</t>
    </r>
    <r>
      <rPr>
        <sz val="11"/>
        <color indexed="8"/>
        <rFont val="Tahoma"/>
        <family val="2"/>
      </rPr>
      <t xml:space="preserve"> level of Uptime Target (TRKPI)</t>
    </r>
  </si>
  <si>
    <r>
      <rPr>
        <sz val="11"/>
        <color theme="1"/>
        <rFont val="Tahoma"/>
        <family val="2"/>
      </rP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</si>
  <si>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</si>
  <si>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</si>
  <si>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</si>
  <si>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</si>
  <si>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t>
  </si>
  <si>
    <t>Tarikh</t>
  </si>
  <si>
    <t>Hari</t>
  </si>
  <si>
    <t>Cuti</t>
  </si>
  <si>
    <t>Negeri Berkenaan</t>
  </si>
  <si>
    <t>Rabu</t>
  </si>
  <si>
    <t>Tahun Baru</t>
  </si>
  <si>
    <t>Putrajaya</t>
  </si>
  <si>
    <t>Tahun Baru Cina</t>
  </si>
  <si>
    <t>Khamis</t>
  </si>
  <si>
    <t>Tahun Baru Cina Hari Kedua</t>
  </si>
  <si>
    <t>Sabtu</t>
  </si>
  <si>
    <t>Hari Wilayah Persekutuan</t>
  </si>
  <si>
    <t>Selasa</t>
  </si>
  <si>
    <t>Hari Thaipusam</t>
  </si>
  <si>
    <t>Hari Nuzul Al-Quran</t>
  </si>
  <si>
    <t>Hari Raya Aidilfitri</t>
  </si>
  <si>
    <t>Hari Raya Aidilfitri Hari Kedua</t>
  </si>
  <si>
    <t>Hari Pekerja</t>
  </si>
  <si>
    <t>Isnin</t>
  </si>
  <si>
    <t>Hari Wesak</t>
  </si>
  <si>
    <t>Hari Keputeraan YDP Agong</t>
  </si>
  <si>
    <t>Hari Raya Haji</t>
  </si>
  <si>
    <t>Ahad</t>
  </si>
  <si>
    <t>Hari Raya Haji Kedua</t>
  </si>
  <si>
    <t>Jumaat</t>
  </si>
  <si>
    <t>Awal Muharram</t>
  </si>
  <si>
    <t>Hari Kebangsaan</t>
  </si>
  <si>
    <t>Maulidur Rasul</t>
  </si>
  <si>
    <t>Hari Malaysia</t>
  </si>
  <si>
    <t>Hari Deepavali</t>
  </si>
  <si>
    <t>Hari Krismas</t>
  </si>
  <si>
    <t>* Subject to change (Tertakluk kepada perubahan), TBC - To be confirmed</t>
  </si>
  <si>
    <t>MINISTRY OF HEALTH</t>
  </si>
  <si>
    <r>
      <rPr>
        <b/>
        <sz val="14"/>
        <rFont val="Arial"/>
        <family val="2"/>
      </rPr>
      <t>Deduction Mapping Report</t>
    </r>
    <r>
      <rPr>
        <sz val="8"/>
        <color theme="1"/>
        <rFont val="Calibri"/>
        <family val="2"/>
        <scheme val="minor"/>
      </rPr>
      <t xml:space="preserve">
</t>
    </r>
    <r>
      <rPr>
        <sz val="12"/>
        <color theme="1"/>
        <rFont val="Calibri"/>
        <family val="2"/>
        <scheme val="minor"/>
      </rPr>
      <t>Biomedical Engineering Maintenance Services (BEMS)</t>
    </r>
  </si>
  <si>
    <t>HOSPITAL NAME :</t>
  </si>
  <si>
    <t>Institut Kanser Negara</t>
  </si>
  <si>
    <t xml:space="preserve">STATE: </t>
  </si>
  <si>
    <t>W.P. Putrajaya</t>
  </si>
  <si>
    <t>MONTH/YEAR :</t>
  </si>
  <si>
    <t xml:space="preserve">COMPANY: </t>
  </si>
  <si>
    <t>Ambang Wira Sdn Bhd</t>
  </si>
  <si>
    <t/>
  </si>
  <si>
    <t>MONTHLY SERVICE FEE (RM) :</t>
  </si>
  <si>
    <t>BEMS MONTHLY FEE (RM) @ 97.5%   :</t>
  </si>
  <si>
    <t>FMS MONTHLY FEE (RM) @ 2.5%   :</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</si>
  <si>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</si>
  <si>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</si>
  <si>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</si>
  <si>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</si>
  <si>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</si>
  <si>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</si>
  <si>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</si>
  <si>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</si>
  <si>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</si>
  <si>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</si>
  <si>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</si>
  <si>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</si>
  <si>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</si>
  <si>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</si>
  <si>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Siti Norsaliana Binti Abu Khalid</t>
  </si>
  <si>
    <t>Mohd Shahrulnizam bin Tarmizi</t>
  </si>
  <si>
    <t>Head of BEMS</t>
  </si>
  <si>
    <t>Facility Manager</t>
  </si>
  <si>
    <t>Ambang Wira Sdn Bhd- Institut Kanser Negara</t>
  </si>
  <si>
    <t xml:space="preserve">Date: </t>
  </si>
  <si>
    <r>
      <rPr>
        <b/>
        <sz val="28"/>
        <rFont val="Arial"/>
        <family val="2"/>
      </rPr>
      <t xml:space="preserve">Deduction Mapping Report
</t>
    </r>
    <r>
      <rPr>
        <sz val="28"/>
        <rFont val="Calibri"/>
        <family val="2"/>
        <scheme val="minor"/>
      </rPr>
      <t>Biomedical Engineering Maintenance Services (BEMS)</t>
    </r>
  </si>
  <si>
    <t>INDICATOR B.1  RESPONSE TIME &amp; B.2 REPAIR TIME</t>
  </si>
  <si>
    <t>HOSPITAL NAME:</t>
  </si>
  <si>
    <t>INSTITUT KANSER NEGARA</t>
  </si>
  <si>
    <t>FIRST DATE OF THE MONTH :</t>
  </si>
  <si>
    <t>(For Calculation)</t>
  </si>
  <si>
    <t>STATE:</t>
  </si>
  <si>
    <t>WILAYAH PERSEKUTUAN  PUTRAJAYA</t>
  </si>
  <si>
    <t>LAST DATE OF THE MONTH :</t>
  </si>
  <si>
    <t>COMPANY:</t>
  </si>
  <si>
    <t>AMBANG WIRA SDN BHD</t>
  </si>
  <si>
    <t>BEMS MONTHLY FEE (RM)
@ 97.5%   :</t>
  </si>
  <si>
    <t>MONTH/YEAR:</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</si>
  <si>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</si>
  <si>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</si>
  <si>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</si>
  <si>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</si>
  <si>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</si>
  <si>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</si>
  <si>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</si>
  <si>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Asset No</t>
  </si>
  <si>
    <t>Asset Description</t>
  </si>
  <si>
    <t>Asset Purchase Price (RM)</t>
  </si>
  <si>
    <t>Work Order No.</t>
  </si>
  <si>
    <t>User Location</t>
  </si>
  <si>
    <t>Work Order/ Complaint Details</t>
  </si>
  <si>
    <t>Response Category
(Emergency/ Normal)</t>
  </si>
  <si>
    <t>Total Response Time
(minutes)</t>
  </si>
  <si>
    <t>Work Request  Date</t>
  </si>
  <si>
    <t>Response Time (Minutes)</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</si>
  <si>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</si>
  <si>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</si>
  <si>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</si>
  <si>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</si>
  <si>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</si>
  <si>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</si>
  <si>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</si>
  <si>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</si>
  <si>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</si>
  <si>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</si>
  <si>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Current Month (Work Order Completed)</t>
  </si>
  <si>
    <t>Normal</t>
  </si>
  <si>
    <t>N</t>
  </si>
  <si>
    <t>NA</t>
  </si>
  <si>
    <t>0 days, 0 hrs, 30 mins</t>
  </si>
  <si>
    <t>0 days, 0 hrs, 10 mins</t>
  </si>
  <si>
    <t>IKN400967</t>
  </si>
  <si>
    <t>0 days, 0 hrs, 20 mins</t>
  </si>
  <si>
    <t>0 days, 0 hrs, 12 mins</t>
  </si>
  <si>
    <t>0 days, 0 hrs, 15 mins</t>
  </si>
  <si>
    <t>06WC113</t>
  </si>
  <si>
    <t>Linear Accelerators</t>
  </si>
  <si>
    <t>07WE113</t>
  </si>
  <si>
    <t>0 days, 0 hrs, 22 mins</t>
  </si>
  <si>
    <t>04DO111</t>
  </si>
  <si>
    <t>Current Month (Work Order Open)</t>
  </si>
  <si>
    <t>IKN400440</t>
  </si>
  <si>
    <t>IKN400645</t>
  </si>
  <si>
    <t>IKN401714</t>
  </si>
  <si>
    <t>Previous Month (Work Order Closed)</t>
  </si>
  <si>
    <t>NORMAL</t>
  </si>
  <si>
    <t>Y</t>
  </si>
  <si>
    <t>05OT159</t>
  </si>
  <si>
    <t>IKN400567</t>
  </si>
  <si>
    <t>03MC108</t>
  </si>
  <si>
    <t>Infusion Pumps, General-Purpose</t>
  </si>
  <si>
    <t>Previous Month (Work Order Open)</t>
  </si>
  <si>
    <t>IKN400446</t>
  </si>
  <si>
    <t>IKNWIBE25020556</t>
  </si>
  <si>
    <t>DOOR INFUSSION PUMP CANNOT CLOSE - WAD 6A</t>
  </si>
  <si>
    <t>0 days, 0 hrs, 38 mins</t>
  </si>
  <si>
    <t>09-Nov-2025 20:02:00</t>
  </si>
  <si>
    <t>IKN400366</t>
  </si>
  <si>
    <t>IKNWIBE25020728</t>
  </si>
  <si>
    <t>INFUSION PUMP  CANNOT OPEN - WAD 7A</t>
  </si>
  <si>
    <t>11-Nov-2025 20:30:00</t>
  </si>
  <si>
    <t>IKN402165</t>
  </si>
  <si>
    <t>0 days, 0 hrs, 3 mins</t>
  </si>
  <si>
    <t>IKN400565</t>
  </si>
  <si>
    <t>IKN400439</t>
  </si>
  <si>
    <t>IKN401076</t>
  </si>
  <si>
    <t>IKN402147</t>
  </si>
  <si>
    <t>01RT131</t>
  </si>
  <si>
    <t>IKN401071</t>
  </si>
  <si>
    <t>Video Image Processors, Endoscopic</t>
  </si>
  <si>
    <t>IKN402081</t>
  </si>
  <si>
    <t>IKNWIBE25023258</t>
  </si>
  <si>
    <t>INFUSION PUMP NOT FUNCTION -DAYCARE</t>
  </si>
  <si>
    <t>18-Dec-2025 17:30:00</t>
  </si>
  <si>
    <t>IKN401353</t>
  </si>
  <si>
    <t>Radiographic/Fluoroscopic Units, Mobile</t>
  </si>
  <si>
    <t>IKN400422</t>
  </si>
  <si>
    <t>IKNWIBE25023728</t>
  </si>
  <si>
    <t>06WD153</t>
  </si>
  <si>
    <t>INFUSION PUMP SCREEN TAK KELUAR TULISAN - WAD 6B</t>
  </si>
  <si>
    <t>0 days, 0 hrs, 54 mins</t>
  </si>
  <si>
    <t>27-Dec-2025 13:56:00</t>
  </si>
  <si>
    <t>27-Dec-2025 14:50:00</t>
  </si>
  <si>
    <t>IKN400482</t>
  </si>
  <si>
    <t>IKN400782</t>
  </si>
  <si>
    <t>Laser Imagers</t>
  </si>
  <si>
    <t>-</t>
  </si>
  <si>
    <t>TOTAL DEDUCTION FOR IND. B.2:</t>
  </si>
  <si>
    <t xml:space="preserve">                                                                                                                                                                                                                                                                                                                                                                                                                                                                                                                                                                                                                                                                                                                                                                                                                                                                                                                                                                                                                                                                                                                                                                                                                                                                                                                                                                                                                                                                                                                                                                                                                                                                                                                                                                                                                                                                                                                                                                                                                                                                                                                                                                                                                                                                                                         </t>
  </si>
  <si>
    <r>
      <rPr>
        <b/>
        <sz val="16"/>
        <rFont val="Arial"/>
        <family val="2"/>
      </rPr>
      <t xml:space="preserve">Deduction Mapping Report
</t>
    </r>
    <r>
      <rPr>
        <sz val="16"/>
        <rFont val="Arial"/>
        <family val="2"/>
      </rPr>
      <t>Biomedical Engineering Maintenance Services (BEMS)</t>
    </r>
  </si>
  <si>
    <t>INDICATOR B.3 SCHEDULED MAINTENANCE</t>
  </si>
  <si>
    <t>STATE :</t>
  </si>
  <si>
    <t>COMPANY :</t>
  </si>
  <si>
    <t>2) Deduction Value for Indicator B.3 is Deduction Ringgit Equivalent (per event)</t>
  </si>
  <si>
    <t>3) Rescheduled Date is the final rescheduled date if there are multiple rescheduling</t>
  </si>
  <si>
    <t>4) Display only asset affected by deduction</t>
  </si>
  <si>
    <t>Scheduled Start Date</t>
  </si>
  <si>
    <t>Maintenance Date</t>
  </si>
  <si>
    <t>Rescheduled Date</t>
  </si>
  <si>
    <t>Indicator B.3</t>
  </si>
  <si>
    <t>Current Month (Closed)</t>
  </si>
  <si>
    <t>IKN401075</t>
  </si>
  <si>
    <t>Cardiac Output Units</t>
  </si>
  <si>
    <t>IKN400973</t>
  </si>
  <si>
    <t>Scanning Systems, Computed Tomography</t>
  </si>
  <si>
    <t>IKN400978</t>
  </si>
  <si>
    <t>03ID169</t>
  </si>
  <si>
    <t>Aspirators</t>
  </si>
  <si>
    <t>Current Month (Open)</t>
  </si>
  <si>
    <t>03ID164</t>
  </si>
  <si>
    <t>Previous Month (Closed)</t>
  </si>
  <si>
    <t>Previous Month (Open)</t>
  </si>
  <si>
    <t>01RT213</t>
  </si>
  <si>
    <t>Testers</t>
  </si>
  <si>
    <t>IKNWOBE25018200</t>
  </si>
  <si>
    <t>IKN401277</t>
  </si>
  <si>
    <t>IKNWOBE25002671</t>
  </si>
  <si>
    <t>IKN401692</t>
  </si>
  <si>
    <t>IKNWOBE25009298</t>
  </si>
  <si>
    <t>IKN401274</t>
  </si>
  <si>
    <t>IKNWOBE25015424</t>
  </si>
  <si>
    <t>IKN401279</t>
  </si>
  <si>
    <t>IKNWOBE25015425</t>
  </si>
  <si>
    <t>IKN401282</t>
  </si>
  <si>
    <t>IKNWOBE25015426</t>
  </si>
  <si>
    <t>IKN401278</t>
  </si>
  <si>
    <t>IKNWOBE24018322</t>
  </si>
  <si>
    <t>IKN401366</t>
  </si>
  <si>
    <t>IKNWOBE25016423</t>
  </si>
  <si>
    <t>IKN401708</t>
  </si>
  <si>
    <t>IKNWOBE25016424</t>
  </si>
  <si>
    <t>IKN401213</t>
  </si>
  <si>
    <t>IKNWOBE25016421</t>
  </si>
  <si>
    <t>IKN401364</t>
  </si>
  <si>
    <t>IKNWOBE25016422</t>
  </si>
  <si>
    <t>03NM166</t>
  </si>
  <si>
    <t>IKN401200</t>
  </si>
  <si>
    <t>IKNWOBE25021543</t>
  </si>
  <si>
    <t>IKNWOBE25022587</t>
  </si>
  <si>
    <t>TOTAL DEDUCTION FOR IND. B.3:</t>
  </si>
  <si>
    <r>
      <rPr>
        <b/>
        <sz val="16"/>
        <rFont val="Arial"/>
        <family val="2"/>
      </rPr>
      <t>Deduction Mapping Report</t>
    </r>
    <r>
      <rPr>
        <sz val="16"/>
        <color theme="1"/>
        <rFont val="Arial"/>
        <family val="2"/>
      </rPr>
      <t xml:space="preserve">
Biomedical Engineering Maintenance Services (BEMS)</t>
    </r>
  </si>
  <si>
    <t>INDICATOR B.4 UPTIME GUARANTEE</t>
  </si>
  <si>
    <t>MONTH/YEAR  :</t>
  </si>
  <si>
    <t>BEMS MONTHLY FEE (RM)@ 97.5%  :</t>
  </si>
  <si>
    <t>FMS MONTHLY FEE (RM) @ 2.5%  :</t>
  </si>
  <si>
    <t>2) Deduction Value for 1st cut off is Deduction Ringgit Equivalent (per event)</t>
  </si>
  <si>
    <t>3) Deduction Value for 2nd cut off is Deduction Ringgit Equivalent (per event) multiply by 2</t>
  </si>
  <si>
    <t>No.</t>
  </si>
  <si>
    <t>Type Code</t>
  </si>
  <si>
    <t>Type Description</t>
  </si>
  <si>
    <t>Asset Purchase cost (RM)</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</si>
  <si>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</si>
  <si>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</si>
  <si>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</si>
  <si>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</si>
  <si>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</si>
  <si>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</si>
  <si>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</si>
  <si>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</si>
  <si>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</si>
  <si>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</si>
  <si>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</si>
  <si>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</si>
  <si>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</si>
  <si>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</si>
  <si>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</si>
  <si>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</si>
  <si>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</si>
  <si>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</si>
  <si>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</si>
  <si>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</si>
  <si>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</si>
  <si>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Sphygmomanometers, Electronic, Automatic</t>
  </si>
  <si>
    <t>TOTAL DEDUCTION FOR IND. B.4:</t>
  </si>
  <si>
    <r>
      <rPr>
        <b/>
        <sz val="14"/>
        <rFont val="Arial"/>
        <family val="2"/>
      </rPr>
      <t xml:space="preserve">Deduction Mapping Report
</t>
    </r>
    <r>
      <rPr>
        <sz val="14"/>
        <rFont val="Arial"/>
        <family val="2"/>
      </rPr>
      <t>Biomedical Engineering Maintenance Services (BEMS)</t>
    </r>
  </si>
  <si>
    <t>INDICATOR B.5 TESTING &amp; COMMISSIONING AND WARRANTY MANAGEMENT</t>
  </si>
  <si>
    <t>BEMS MONTHLY FEE (RM) @ 97.5%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</si>
  <si>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</si>
  <si>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</si>
  <si>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</si>
  <si>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</si>
  <si>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</si>
  <si>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</si>
  <si>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</si>
  <si>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</si>
  <si>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</si>
  <si>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</si>
  <si>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</si>
  <si>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</si>
  <si>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</si>
  <si>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t>
  </si>
  <si>
    <t>TOTAL DEDUCTION FOR IND. B.5:</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</si>
  <si>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</si>
  <si>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</si>
  <si>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</si>
  <si>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</si>
  <si>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</si>
  <si>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</si>
  <si>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</si>
  <si>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</si>
  <si>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</si>
  <si>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</si>
  <si>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</si>
  <si>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</si>
  <si>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</si>
  <si>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</si>
  <si>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</si>
  <si>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</si>
  <si>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</si>
  <si>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</si>
  <si>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</si>
  <si>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</si>
  <si>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</si>
  <si>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</si>
  <si>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</si>
  <si>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</si>
  <si>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</si>
  <si>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</si>
  <si>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</si>
  <si>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</si>
  <si>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</si>
  <si>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</si>
  <si>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</si>
  <si>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</si>
  <si>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</si>
  <si>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</si>
  <si>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</si>
  <si>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</si>
  <si>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</si>
  <si>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</si>
  <si>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</si>
  <si>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</si>
  <si>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</si>
  <si>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</si>
  <si>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</si>
  <si>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</si>
  <si>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</si>
  <si>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</si>
  <si>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</si>
  <si>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</si>
  <si>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</si>
  <si>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</si>
  <si>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</si>
  <si>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</si>
  <si>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</si>
  <si>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</si>
  <si>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</si>
  <si>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</si>
  <si>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</si>
  <si>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</si>
  <si>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</si>
  <si>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</si>
  <si>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color theme="1"/>
        <rFont val="Arial"/>
        <family val="2"/>
      </rP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</si>
  <si>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</si>
  <si>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</si>
  <si>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</si>
  <si>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</si>
  <si>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</si>
  <si>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</si>
  <si>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</si>
  <si>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</si>
  <si>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</si>
  <si>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</si>
  <si>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</si>
  <si>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</si>
  <si>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</si>
  <si>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</si>
  <si>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</si>
  <si>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</si>
  <si>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</si>
  <si>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</si>
  <si>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</si>
  <si>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</si>
  <si>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</si>
  <si>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</si>
  <si>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</si>
  <si>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</si>
  <si>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</si>
  <si>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</si>
  <si>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</si>
  <si>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</si>
  <si>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 xml:space="preserve">No
</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</si>
  <si>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</si>
  <si>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</si>
  <si>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</si>
  <si>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</si>
  <si>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</si>
  <si>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</si>
  <si>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</si>
  <si>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</si>
  <si>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</si>
  <si>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</si>
  <si>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</si>
  <si>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</si>
  <si>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</si>
  <si>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</si>
  <si>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</si>
  <si>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</si>
  <si>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WAD 8A</t>
  </si>
  <si>
    <t>Infucient Pump-Mesin Problem</t>
  </si>
  <si>
    <t>Yes</t>
  </si>
  <si>
    <t>RT</t>
  </si>
  <si>
    <t>sendingg image from vsim to mosaiq</t>
  </si>
  <si>
    <t>IKN400151</t>
  </si>
  <si>
    <t>Mattress Systems, Alternating-Pressure</t>
  </si>
  <si>
    <t>WAD 7A</t>
  </si>
  <si>
    <t>Motor ripple mattress rosak</t>
  </si>
  <si>
    <t>Table verticle movement problem</t>
  </si>
  <si>
    <t>NB 355296</t>
  </si>
  <si>
    <t>WAD 7B</t>
  </si>
  <si>
    <t>Ripple Mattress tidak boleh pump</t>
  </si>
  <si>
    <t>IKN400350</t>
  </si>
  <si>
    <t xml:space="preserve">BP Set warna putih rosak. </t>
  </si>
  <si>
    <t>IKN400775</t>
  </si>
  <si>
    <t>Scanning Systems, Ultrasonic, General-Purpose</t>
  </si>
  <si>
    <t>ID</t>
  </si>
  <si>
    <t>Ultrasound tidak keluar gambar</t>
  </si>
  <si>
    <t>Cameras, Gamma</t>
  </si>
  <si>
    <t>NM</t>
  </si>
  <si>
    <t>MEGP detector one collision</t>
  </si>
  <si>
    <t>IKN400786</t>
  </si>
  <si>
    <t>Radiographic/Fluoroscopic Systems, Angiographic/Intervention</t>
  </si>
  <si>
    <t>Request for user training at Radiology Department (Angio) on 23/10/2019.</t>
  </si>
  <si>
    <t>Cuti Hari Deepavali</t>
  </si>
  <si>
    <t>IKN400653</t>
  </si>
  <si>
    <t>IKN400171</t>
  </si>
  <si>
    <t>IKN400168</t>
  </si>
  <si>
    <t>05-Feb-2026 20:08:00</t>
  </si>
  <si>
    <t>09-Feb-2026 09:00:00</t>
  </si>
  <si>
    <t>20-Feb-2026 10:00:00</t>
  </si>
  <si>
    <t>01RT118</t>
  </si>
  <si>
    <t>03NM154</t>
  </si>
  <si>
    <t>04DO131</t>
  </si>
  <si>
    <t>05IC131</t>
  </si>
  <si>
    <t>05IC115</t>
  </si>
  <si>
    <t>01RT116</t>
  </si>
  <si>
    <t>0 days, 0 hrs, 28 mins</t>
  </si>
  <si>
    <t>0 days, 0 hrs, 17 mins</t>
  </si>
  <si>
    <t>0 days, 0 hrs, 8 mins</t>
  </si>
  <si>
    <t>0 days, 0 hrs, 16 mins</t>
  </si>
  <si>
    <t>0 days, 0 hrs, 21 mins</t>
  </si>
  <si>
    <t>0 days, 0 hrs, 9 mins</t>
  </si>
  <si>
    <t>0 days, 0 hrs, 6 mins</t>
  </si>
  <si>
    <t>0 days, 0 hrs, 33 mins</t>
  </si>
  <si>
    <t>IKNWIBE26002388</t>
  </si>
  <si>
    <t>IKNWIBE26002579</t>
  </si>
  <si>
    <t>IKNWIBE26003259</t>
  </si>
  <si>
    <t>0 days, 0 hrs, 7 mins</t>
  </si>
  <si>
    <t>Scales, Patient, Floor</t>
  </si>
  <si>
    <t>0 days, 0 hrs, 11 mins</t>
  </si>
  <si>
    <t>CUFF BP SET TIDAK BERFUNGSI</t>
  </si>
  <si>
    <t>0 days, 0 hrs, 13 mins</t>
  </si>
  <si>
    <t>0 days, 0 hrs, 14 mins</t>
  </si>
  <si>
    <t>RM20,550.421.50</t>
  </si>
  <si>
    <t>LCD BLANK - ICU ARAS 5</t>
  </si>
  <si>
    <t xml:space="preserve">DEVICE FAILURE </t>
  </si>
  <si>
    <t>IKN400975</t>
  </si>
  <si>
    <t>IKN400980</t>
  </si>
  <si>
    <t>IKN401690</t>
  </si>
  <si>
    <t>IKN401281</t>
  </si>
  <si>
    <t>Ventilators, Intensive Care</t>
  </si>
  <si>
    <t>Physiologic Monitoring Systems, Acute Care</t>
  </si>
  <si>
    <t>Warming Units, Patient, Forced-Air</t>
  </si>
  <si>
    <t>Electrosurgical Units, Monopolar/Bipolar</t>
  </si>
  <si>
    <t>Warming Units, Patient, Radiant, Adult</t>
  </si>
  <si>
    <t>Cameras, Video, Endoscope</t>
  </si>
  <si>
    <t>Light Sources, Fiberoptic, Flexible Endoscopic</t>
  </si>
  <si>
    <t>Injectors, Contrast Media</t>
  </si>
  <si>
    <t>Warming Units, Blood/Solution</t>
  </si>
  <si>
    <t>Electrocardiographs, Multichannel, Interpretative</t>
  </si>
  <si>
    <t>Oximeters, Pulse</t>
  </si>
  <si>
    <t>Infusion Pumps, Syringe</t>
  </si>
  <si>
    <t>Anesthesia Units</t>
  </si>
  <si>
    <t>IKNWOBE26001675</t>
  </si>
  <si>
    <t>IKNWOBE26001687</t>
  </si>
  <si>
    <t>IKNWOBE26001870</t>
  </si>
  <si>
    <t>IKNWOBE26001880</t>
  </si>
  <si>
    <t>IKNWOBE26001881</t>
  </si>
  <si>
    <t>21-Feb-2026 00:00:00</t>
  </si>
  <si>
    <t>24-Feb-2026 00:00:00</t>
  </si>
  <si>
    <t>26-Feb-2026 00:00:00</t>
  </si>
  <si>
    <t>IKN401196</t>
  </si>
  <si>
    <t>Radiation Survey meters, ionization Chamber</t>
  </si>
  <si>
    <t>IKNWOBE26001674</t>
  </si>
  <si>
    <t>EQUIPMENT IN USE</t>
  </si>
  <si>
    <t>16-173</t>
  </si>
  <si>
    <t>17-429</t>
  </si>
  <si>
    <t>13-215</t>
  </si>
  <si>
    <t>Testing and Commissioning (T&amp;C)</t>
  </si>
  <si>
    <t>03MC107</t>
  </si>
  <si>
    <t>0 days, 0 hrs, 18 mins</t>
  </si>
  <si>
    <t>Asset Age</t>
  </si>
  <si>
    <t>12-649</t>
  </si>
  <si>
    <t>Physiologic Monitoring Systems, Stress Exercise</t>
  </si>
  <si>
    <t>12-306</t>
  </si>
  <si>
    <t>Lavage Units, Surgical</t>
  </si>
  <si>
    <t>15-605</t>
  </si>
  <si>
    <t>Testers (Ion Chamber Set)</t>
  </si>
  <si>
    <t>18-034</t>
  </si>
  <si>
    <t>11-758</t>
  </si>
  <si>
    <t>17-679</t>
  </si>
  <si>
    <t>Tentatively PPM by vendor on 13/3/2026</t>
  </si>
  <si>
    <t>Sent for calibration DN: 5/12/2025  DUE:12/12/25   PO: 10126725 (7/10/2025). Return from VNA Engineering. Need to provide new PO from Agensi Nuklear. Quot received 6/3/26</t>
  </si>
  <si>
    <t>Quotation received : 9/02/26
PO Date : 17/2/26
Waiting Parts (from German)
ETA : Middle April 2026</t>
  </si>
  <si>
    <t>Quotation received : 25-26/02/26
PO Date : 26/2/26
Waiting Parts (Display board)
ETA : Middle April 2026</t>
  </si>
  <si>
    <t>Pipetters</t>
  </si>
  <si>
    <t xml:space="preserve">PPM COMPLETED BY VENDOR .UNIT FUNTIONING OKAY </t>
  </si>
  <si>
    <t>Sent for calibration.
DN:27/11/2025.  Unit return to IKN on 5/3/2026
PPM HAS BEEN COMPLETED AS PER HEPPM CHECKLIST</t>
  </si>
  <si>
    <t>IKN400762</t>
  </si>
  <si>
    <t>IKN400353</t>
  </si>
  <si>
    <t>IKN400787</t>
  </si>
  <si>
    <t>IKN400049</t>
  </si>
  <si>
    <t>IKN402166</t>
  </si>
  <si>
    <t>IKN400386</t>
  </si>
  <si>
    <t>IKN400387</t>
  </si>
  <si>
    <t>IKN401027</t>
  </si>
  <si>
    <t>IKN400454</t>
  </si>
  <si>
    <t>IKN400757</t>
  </si>
  <si>
    <t>IKN402179</t>
  </si>
  <si>
    <t>IKN400799</t>
  </si>
  <si>
    <t>IKN400956</t>
  </si>
  <si>
    <t>IKN402157</t>
  </si>
  <si>
    <t>IKN400690</t>
  </si>
  <si>
    <t>IKN400082</t>
  </si>
  <si>
    <t>IKN400293</t>
  </si>
  <si>
    <t>IKN400263</t>
  </si>
  <si>
    <t>IKN401048</t>
  </si>
  <si>
    <t>IKN400167</t>
  </si>
  <si>
    <t>IKN401024</t>
  </si>
  <si>
    <t>IKN400761</t>
  </si>
  <si>
    <t>IKN400140</t>
  </si>
  <si>
    <t>IKN400917</t>
  </si>
  <si>
    <t>IKN400407</t>
  </si>
  <si>
    <t>IKN400495</t>
  </si>
  <si>
    <t>IKN400798</t>
  </si>
  <si>
    <t>IKN402025</t>
  </si>
  <si>
    <t>IKN400310</t>
  </si>
  <si>
    <t>IKN402210</t>
  </si>
  <si>
    <t>IKN400465</t>
  </si>
  <si>
    <t>IKN400486</t>
  </si>
  <si>
    <t>IKN401525</t>
  </si>
  <si>
    <t>IKN401246</t>
  </si>
  <si>
    <t>IKN400774</t>
  </si>
  <si>
    <t>IKN400029</t>
  </si>
  <si>
    <t>IKN400365</t>
  </si>
  <si>
    <t>IKN400722</t>
  </si>
  <si>
    <t>IKN400064</t>
  </si>
  <si>
    <t>IKN400262</t>
  </si>
  <si>
    <t>IKNWIBE26003941</t>
  </si>
  <si>
    <t>IKNWIBE26003944</t>
  </si>
  <si>
    <t>IKNWIBE26003945</t>
  </si>
  <si>
    <t>IKNWIBE26004000</t>
  </si>
  <si>
    <t>IKNWIBE26004021</t>
  </si>
  <si>
    <t>IKNWIBE26004154</t>
  </si>
  <si>
    <t>IKNWIBE26004156</t>
  </si>
  <si>
    <t>IKNWIBE26004223</t>
  </si>
  <si>
    <t>IKNWIBE26004224</t>
  </si>
  <si>
    <t>IKNWIBE26004225</t>
  </si>
  <si>
    <t>IKNWIBE26004226</t>
  </si>
  <si>
    <t>IKNWIBE26004317</t>
  </si>
  <si>
    <t>IKNWIBE26004321</t>
  </si>
  <si>
    <t>IKNWIBE26004404</t>
  </si>
  <si>
    <t>IKNWIBE26004417</t>
  </si>
  <si>
    <t>IKNWIBE26004418</t>
  </si>
  <si>
    <t>IKNWIBE26004420</t>
  </si>
  <si>
    <t>IKNWIBE26004424</t>
  </si>
  <si>
    <t>IKNWIBE26004436</t>
  </si>
  <si>
    <t>IKNWIBE26004437</t>
  </si>
  <si>
    <t>IKNWIBE26004514</t>
  </si>
  <si>
    <t>IKNWIBE26004627</t>
  </si>
  <si>
    <t>IKNWIBE26004633</t>
  </si>
  <si>
    <t>IKNWIBE26004638</t>
  </si>
  <si>
    <t>IKNWIBE26004644</t>
  </si>
  <si>
    <t>IKNWIBE26004645</t>
  </si>
  <si>
    <t>IKNWIBE26004655</t>
  </si>
  <si>
    <t>IKNWIBE26004710</t>
  </si>
  <si>
    <t>IKNWIBE26004715</t>
  </si>
  <si>
    <t>IKNWIBE26004732</t>
  </si>
  <si>
    <t>IKNWIBE26004733</t>
  </si>
  <si>
    <t>IKNWIBE26004734</t>
  </si>
  <si>
    <t>IKNWIBE26004792</t>
  </si>
  <si>
    <t>IKNWIBE26004814</t>
  </si>
  <si>
    <t>IKNWIBE26004881</t>
  </si>
  <si>
    <t>IKNWIBE26004885</t>
  </si>
  <si>
    <t>IKNWIBE26004969</t>
  </si>
  <si>
    <t>IKNWIBE26004972</t>
  </si>
  <si>
    <t>IKNWIBE26004982</t>
  </si>
  <si>
    <t>IKNWIBE26005006</t>
  </si>
  <si>
    <t>IKNWIBE26005159</t>
  </si>
  <si>
    <t>IKNWIBE26005299</t>
  </si>
  <si>
    <t>IKNWIBE26005351</t>
  </si>
  <si>
    <t>IKNWIBE26005383</t>
  </si>
  <si>
    <t>IKNWIBE26005384</t>
  </si>
  <si>
    <t>IKNWIBE26005385</t>
  </si>
  <si>
    <t>IKNWIBE26005425</t>
  </si>
  <si>
    <t>IKNWIBE26005426</t>
  </si>
  <si>
    <t>IKNWIBE26005487</t>
  </si>
  <si>
    <t>IKNWIBE26005565</t>
  </si>
  <si>
    <t>IKNWIBE26005634</t>
  </si>
  <si>
    <t>IKNWIBE26005636</t>
  </si>
  <si>
    <t>IKNWIBE26005803</t>
  </si>
  <si>
    <t>IKNWIBE26005894</t>
  </si>
  <si>
    <t>IKNWIBE26005895</t>
  </si>
  <si>
    <t>IKNWIBE26005898</t>
  </si>
  <si>
    <t>IKNWIBE26005926</t>
  </si>
  <si>
    <t>IKNWIBE26005982</t>
  </si>
  <si>
    <t>IKNWIBE26005990</t>
  </si>
  <si>
    <t>IKNWIBE26006059</t>
  </si>
  <si>
    <t>IKNWIBE26006061</t>
  </si>
  <si>
    <t>04LA133</t>
  </si>
  <si>
    <t>07WF133</t>
  </si>
  <si>
    <t>09WJ237</t>
  </si>
  <si>
    <t>03ID106</t>
  </si>
  <si>
    <t>05WB149</t>
  </si>
  <si>
    <t>07WE143</t>
  </si>
  <si>
    <t>05OT120</t>
  </si>
  <si>
    <t>04LA131</t>
  </si>
  <si>
    <t>03NM161</t>
  </si>
  <si>
    <t>03ID186</t>
  </si>
  <si>
    <t>01RT164</t>
  </si>
  <si>
    <t>05OT129</t>
  </si>
  <si>
    <t>01RT172</t>
  </si>
  <si>
    <t>08WH107</t>
  </si>
  <si>
    <t>05IC113</t>
  </si>
  <si>
    <t>05IC114</t>
  </si>
  <si>
    <t>01RT165</t>
  </si>
  <si>
    <t>08WH121</t>
  </si>
  <si>
    <t>07WF143</t>
  </si>
  <si>
    <t>08WG113</t>
  </si>
  <si>
    <t>03OC135</t>
  </si>
  <si>
    <t>05WB143</t>
  </si>
  <si>
    <t>03ID181</t>
  </si>
  <si>
    <t>03ID157</t>
  </si>
  <si>
    <t>08WH143</t>
  </si>
  <si>
    <t>03ID111</t>
  </si>
  <si>
    <t>05WB107</t>
  </si>
  <si>
    <t>05WB113</t>
  </si>
  <si>
    <t>01RT156</t>
  </si>
  <si>
    <t>03ID156</t>
  </si>
  <si>
    <t>05IC140</t>
  </si>
  <si>
    <t>04LA141</t>
  </si>
  <si>
    <t>05IC108</t>
  </si>
  <si>
    <t>MACHINE ARCHITECT'WASTE TANK'-PATHOLOGY ARAS 4</t>
  </si>
  <si>
    <t>CUFF BP SET TERKOYAK 7B</t>
  </si>
  <si>
    <t>SPRING LOCK ANGIN RIPPLE MATTRESS ROSAK(NO SIRI:NB355553)-9A</t>
  </si>
  <si>
    <t>MESIN ARCHITECT INTERNAL WASTE TANK FULL - PATTHOLOGI ARAS 4</t>
  </si>
  <si>
    <t>MESIN TIDAK BOLEH HANTAR GAMBAR MELALUI WIFI - RADIOLOGI ARAS 3</t>
  </si>
  <si>
    <t>MONITOR BLANK - ICU ARAS 5</t>
  </si>
  <si>
    <t>RIPPLE MATTRESS BERBUNYI - WAD 5A</t>
  </si>
  <si>
    <t>BP CUFF TIDAK BOLEH GUNA - WAD 7A</t>
  </si>
  <si>
    <t>BP CUFF BATERI TIDAK BERFUNGSI- 7A</t>
  </si>
  <si>
    <t>TABLE OPERATING CANNOT FUCTION AND CANNOT USE- GOT ARAS 5</t>
  </si>
  <si>
    <t>HOSE RIPPLE MATTRESS LOOSE - WAD 6A</t>
  </si>
  <si>
    <t>USER TRAINING HEMATOLOGY ANALYZER - IKN400757</t>
  </si>
  <si>
    <t>REQ- CHECK XELERIS</t>
  </si>
  <si>
    <t>HANDLE GRID MACHINE XRAY TERCABUT - BILIK XRAY ARAS 3</t>
  </si>
  <si>
    <t>PC DAN MONITOR IMAGE REVIEW DI LINAC 2 TERPADAM - RADIOTERAPI ARAS 1 (KKN/IKN/H/13/5032)</t>
  </si>
  <si>
    <t>POWER TRIP - ERROR FLOW PUMP KFIL - RADIOTERAPI</t>
  </si>
  <si>
    <t>MESIN INFUSION KELUAR "ERR 205" - 8B</t>
  </si>
  <si>
    <t>KANGAROO PUMP TIDAK BERFUNGSI - ICU</t>
  </si>
  <si>
    <t>PENUTUP BIRU KANGAROO PUMP TIADA - ICU ARAS 5</t>
  </si>
  <si>
    <t>MLC STUCK (LINAC 2) - RADIOTERAPI ARAS 1</t>
  </si>
  <si>
    <t>MACHINE LINAC 2 ERROR FAULT (5)</t>
  </si>
  <si>
    <t>MACHINE SPO2 BATTERY FAULT- 8B</t>
  </si>
  <si>
    <t>MACHINE LINAC 2- WATER PRESSURE LOW (5.0)</t>
  </si>
  <si>
    <t>USER TRAINING SYRING PUMP-SAFE HANDLING AND OPERATION</t>
  </si>
  <si>
    <t>PORTABLE SPO2 NOT FUNCTION  (KKM/IKN/H/13/2551) -8A</t>
  </si>
  <si>
    <t>BP SET BATTERY FAULT-7A</t>
  </si>
  <si>
    <t>RADIANT WARMER TIDAK PANAS-GOT ARAS 5</t>
  </si>
  <si>
    <t>VENTILATOR OXYGEN PROBLEM-ICU ARAS 5</t>
  </si>
  <si>
    <t>HANGER SYRINGE PUMP LOOSE-GOT ARAS 5</t>
  </si>
  <si>
    <t>LINAC 3 -KFIL PUMP FLOW</t>
  </si>
  <si>
    <t>MACHINE COBAS ERROR -PATHOLOGY ARAS 4</t>
  </si>
  <si>
    <t>VOLUMETRIC CHARGING TIDAK MASUK - ICU</t>
  </si>
  <si>
    <t>ECG TIDAK BOLEH EXPORT KE MOSAIQ - KLINIK ONKOLOGI</t>
  </si>
  <si>
    <t>WAYAR SAMBUNGAN RIPPLE MATTRESS ROSAK (KAUNTER) - 6B</t>
  </si>
  <si>
    <t>WATER TEMPERATURE NAIK (LINAC 2) - RADIOTERAPI</t>
  </si>
  <si>
    <t>BP CUFF BOCOR - 5A</t>
  </si>
  <si>
    <t>MESIN SP10 PRESSURE ERROR - PATOLOGI</t>
  </si>
  <si>
    <t>CONNECTION ERROR DARI PC SEQUENCER KE 4D TREATMENT CONSOLE - RADIOTERAPI (P- WO UNDER IT , ENG IMRAN)</t>
  </si>
  <si>
    <t>MEJA XRAY MESIN TRUCK - RADIOLOGI  ARAS 3</t>
  </si>
  <si>
    <t>MESIN TIDAK HIDUP</t>
  </si>
  <si>
    <t>MESIN CRED &amp; NOVALIS 4DITC TIDAK CONNECT - RADIOTERAPI</t>
  </si>
  <si>
    <t>MESIN CT SIM 1 AUTO OFF - RADDIOTERAPI ARAS 1</t>
  </si>
  <si>
    <t>CT SIM 2 SENTINEL UNABLE TO CONNECT TO SERVER - RADIOTERAPI ARAS 1</t>
  </si>
  <si>
    <t>MACHINE NOT CHARGING</t>
  </si>
  <si>
    <t>CLIP BP CUFF PATAH - 8B</t>
  </si>
  <si>
    <t>CM - MAGNIFI CALIBRATION (MRI)</t>
  </si>
  <si>
    <t>TROLI ECG PENYANGKUT WAYAR LOGGAR- WAD 5A</t>
  </si>
  <si>
    <t>KEPALA PLUG RIPPLE MATTRESS BENGKOK- 5A</t>
  </si>
  <si>
    <t>LINAC 2 PROBLEM 'SAIZ MONITORING MENGECIL DAN SISTEM IVIEW GP TIDAK BOLEH BUKA'</t>
  </si>
  <si>
    <t>LINAC 2 'VACCUM TARGET DROP'</t>
  </si>
  <si>
    <t>CHAIR DENTAL LEAKING- MDC ARAS 3</t>
  </si>
  <si>
    <t>CM-MONOCO MONTLY CHECKING</t>
  </si>
  <si>
    <t>CM-MYRIAN MONTHLY CHECKING</t>
  </si>
  <si>
    <t>NO LAN CONNECTION</t>
  </si>
  <si>
    <t>PLUMGER SYRINGE TIDAK BOLEH TUTUP - 7A</t>
  </si>
  <si>
    <t>PLATELET AGITATOR LOW BATTERY &amp; HIGH TEMPERATURE - PATOLOGI ARAS 4</t>
  </si>
  <si>
    <t>PCA BUTTON TIDAK BERFUNGSI - ICU ARAS 5</t>
  </si>
  <si>
    <t>2 UNIT SPO2 PORTABLE TIDAK DETECT (IKN400263 &amp; IKN400262) - WAD ONKOLOGI ARAS 8 (8A)</t>
  </si>
  <si>
    <t>2 UNIT SPO2 PORTABLE TIDAK DETECT - WAD ONKOLOGI ARAS 8 (8A)</t>
  </si>
  <si>
    <t>User Training</t>
  </si>
  <si>
    <t>Corrective Maintenance (CM)</t>
  </si>
  <si>
    <t>IKN402184</t>
  </si>
  <si>
    <t>IKN400937</t>
  </si>
  <si>
    <t>IKN401007</t>
  </si>
  <si>
    <t>IKNWIBE26004149</t>
  </si>
  <si>
    <t>IKNWIBE26004236</t>
  </si>
  <si>
    <t>IKNWIBE26005007</t>
  </si>
  <si>
    <t>IKNWIBE26005349</t>
  </si>
  <si>
    <t>IKNWIBE26005651</t>
  </si>
  <si>
    <t>IKNWIBE26005707</t>
  </si>
  <si>
    <t>IKNWIBE26005774</t>
  </si>
  <si>
    <t>03MC127</t>
  </si>
  <si>
    <t>03MC111</t>
  </si>
  <si>
    <t>USER REQ- CHECKING ECG</t>
  </si>
  <si>
    <t>PIPETEER MOVEMEMENT LLESTRIK AT MIDDLE REAGENT STEP NUMBER  - PATOLOGI ARAS</t>
  </si>
  <si>
    <t>CM - TUBE HEAD NOT FULLY LOCK</t>
  </si>
  <si>
    <t>CHARGER INFUSION PUMP PUTUS- 8A</t>
  </si>
  <si>
    <t>BP Set Screen Blinking - MBC Aras 3</t>
  </si>
  <si>
    <t>MESIN REPROCESSING KELUAR ERROR E61</t>
  </si>
  <si>
    <t>03-Mar-2026 15:00:00</t>
  </si>
  <si>
    <t>04-Mar-2026 12:54:00</t>
  </si>
  <si>
    <t>16-Mar-2026 14:00:00</t>
  </si>
  <si>
    <t>18-Mar-2026 06:28:00</t>
  </si>
  <si>
    <t>24-Mar-2026 16:04:00</t>
  </si>
  <si>
    <t>25-Mar-2026 11:58:00</t>
  </si>
  <si>
    <t>26-Mar-2026 08:08:00</t>
  </si>
  <si>
    <t>0 days, 0 hrs, 42 mins</t>
  </si>
  <si>
    <t>0 days, 0 hrs, 04 mins</t>
  </si>
  <si>
    <t xml:space="preserve">   </t>
  </si>
  <si>
    <t>01-Mar-2026 08:18:00</t>
  </si>
  <si>
    <t>01-Mar-2026 11:39:00</t>
  </si>
  <si>
    <t>01-Mar-2026 16:27:00</t>
  </si>
  <si>
    <t>02-Mar-2026 09:29:00</t>
  </si>
  <si>
    <t>02-Mar-2026 15:28:00</t>
  </si>
  <si>
    <t>03-Mar-2026 17:57:00</t>
  </si>
  <si>
    <t>03-Mar-2026 18:35:00</t>
  </si>
  <si>
    <t>04-Mar-2026 09:40:00</t>
  </si>
  <si>
    <t>04-Mar-2026 09:42:00</t>
  </si>
  <si>
    <t>04-Mar-2026 09:51:00</t>
  </si>
  <si>
    <t>04-Mar-2026 10:34:00</t>
  </si>
  <si>
    <t>05-Mar-2026 09:51:00</t>
  </si>
  <si>
    <t>05-Mar-2026 08:30:00</t>
  </si>
  <si>
    <t>06-Mar-2026 11:09:00</t>
  </si>
  <si>
    <t>06-Mar-2026 10:00:00</t>
  </si>
  <si>
    <t>06-Mar-2026 12:02:00</t>
  </si>
  <si>
    <t>06-Mar-2026 16:23:00</t>
  </si>
  <si>
    <t>07-Mar-2026 13:14:00</t>
  </si>
  <si>
    <t>07-Mar-2026 13:15:00</t>
  </si>
  <si>
    <t>09-Mar-2026 08:30:00</t>
  </si>
  <si>
    <t>10-Mar-2026 07:42:00</t>
  </si>
  <si>
    <t>10-Mar-2026 09:23:00</t>
  </si>
  <si>
    <t>10-Mar-2026 10:50:00</t>
  </si>
  <si>
    <t>10-Mar-2026 10:00:00</t>
  </si>
  <si>
    <t>10-Mar-2026 12:00:00</t>
  </si>
  <si>
    <t>10-Mar-2026 17:03:00</t>
  </si>
  <si>
    <t>11-Mar-2026 08:22:00</t>
  </si>
  <si>
    <t>11-Mar-2026 09:07:00</t>
  </si>
  <si>
    <t>11-Mar-2026 14:34:00</t>
  </si>
  <si>
    <t>11-Mar-2026 14:39:00</t>
  </si>
  <si>
    <t>11-Mar-2026 14:46:00</t>
  </si>
  <si>
    <t>12-Mar-2026 08:27:00</t>
  </si>
  <si>
    <t>12-Mar-2026 16:55:00</t>
  </si>
  <si>
    <t>13-Mar-2026 09:07:00</t>
  </si>
  <si>
    <t>13-Mar-2026 10:45:00</t>
  </si>
  <si>
    <t>16-Mar-2026 07:34:00</t>
  </si>
  <si>
    <t>16-Mar-2026 08:17:00</t>
  </si>
  <si>
    <t>16-Mar-2026 09:50:00</t>
  </si>
  <si>
    <t>16-Mar-2026 16:23:00</t>
  </si>
  <si>
    <t>17-Mar-2026 14:07:00</t>
  </si>
  <si>
    <t>17-Mar-2026 13:45:00</t>
  </si>
  <si>
    <t>18-Mar-2026 07:51:00</t>
  </si>
  <si>
    <t>18-Mar-2026 09:01:00</t>
  </si>
  <si>
    <t>18-Mar-2026 09:03:00</t>
  </si>
  <si>
    <t>18-Mar-2026 08:30:00</t>
  </si>
  <si>
    <t>18-Mar-2026 14:32:00</t>
  </si>
  <si>
    <t>18-Mar-2026 14:00:00</t>
  </si>
  <si>
    <t>19-Mar-2026 20:55:00</t>
  </si>
  <si>
    <t>22-Mar-2026 21:59:00</t>
  </si>
  <si>
    <t>24-Mar-2026 07:18:00</t>
  </si>
  <si>
    <t>24-Mar-2026 08:19:00</t>
  </si>
  <si>
    <t>26-Mar-2026 14:37:00</t>
  </si>
  <si>
    <t>27-Mar-2026 10:00:00</t>
  </si>
  <si>
    <t>27-Mar-2026 08:00:00</t>
  </si>
  <si>
    <t>29-Mar-2026 16:17:00</t>
  </si>
  <si>
    <t>30-Mar-2026 09:55:00</t>
  </si>
  <si>
    <t>30-Mar-2026 12:55:00</t>
  </si>
  <si>
    <t>31-Mar-2026 08:12:00</t>
  </si>
  <si>
    <t>31-Mar-2026 08:22:00</t>
  </si>
  <si>
    <t>01-Mar-2026 09:00:00</t>
  </si>
  <si>
    <t>01-Mar-2026 12:00:00</t>
  </si>
  <si>
    <t>01-Mar-2026 17:00:00</t>
  </si>
  <si>
    <t>02-Mar-2026 09:40:00</t>
  </si>
  <si>
    <t>02-Mar-2026 15:40:00</t>
  </si>
  <si>
    <t>03-Mar-2026 18:10:00</t>
  </si>
  <si>
    <t>04-Mar-2026 10:45:00</t>
  </si>
  <si>
    <t>04-Mar-2026 10:00:00</t>
  </si>
  <si>
    <t>04-Mar-2026 11:00:00</t>
  </si>
  <si>
    <t>05-Mar-2026 08:40:00</t>
  </si>
  <si>
    <t>06-Mar-2026 09:15:00</t>
  </si>
  <si>
    <t>06-Mar-2026 11:15:00</t>
  </si>
  <si>
    <t>06-Mar-2026 12:30:00</t>
  </si>
  <si>
    <t>07-Mar-2026 13:30:00</t>
  </si>
  <si>
    <t>09-Mar-2026 08:45:00</t>
  </si>
  <si>
    <t>10-Mar-2026 08:00:00</t>
  </si>
  <si>
    <t>10-Mar-2026 11:00:00</t>
  </si>
  <si>
    <t>11-Mar-2026 08:30:00</t>
  </si>
  <si>
    <t>11-Mar-2026 15:21:00</t>
  </si>
  <si>
    <t>12-Mar-2026 08:47:00</t>
  </si>
  <si>
    <t>12-Mar-2026 18:00:00</t>
  </si>
  <si>
    <t>13-Mar-2026 09:50:00</t>
  </si>
  <si>
    <t>13-Mar-2026 11:30:00</t>
  </si>
  <si>
    <t>16-Mar-2026 08:00:00</t>
  </si>
  <si>
    <t>16-Mar-2026 08:30:00</t>
  </si>
  <si>
    <t>16-Mar-2026 10:00:00</t>
  </si>
  <si>
    <t>16-Mar-2026 16:30:00</t>
  </si>
  <si>
    <t>17-Mar-2026 14:20:00</t>
  </si>
  <si>
    <t>17-Mar-2026 13:55:00</t>
  </si>
  <si>
    <t>18-Mar-2026 08:00:00</t>
  </si>
  <si>
    <t>18-Mar-2026 09:15:00</t>
  </si>
  <si>
    <t>18-Mar-2026 09:20:00</t>
  </si>
  <si>
    <t>18-Mar-2026 15:30:00</t>
  </si>
  <si>
    <t>18-Mar-2026 14:15:00</t>
  </si>
  <si>
    <t>19-Mar-2026 21:15:00</t>
  </si>
  <si>
    <t>24-Mar-2026 08:00:00</t>
  </si>
  <si>
    <t>24-Mar-2026 08:25:00</t>
  </si>
  <si>
    <t>26-Mar-2026 14:40:00</t>
  </si>
  <si>
    <t>27-Mar-2026 10:10:00</t>
  </si>
  <si>
    <t>29-Mar-2026 16:20:00</t>
  </si>
  <si>
    <t>30-Mar-2026 13:15:00</t>
  </si>
  <si>
    <t>0 days, 1 hrs, 5 mins</t>
  </si>
  <si>
    <t>0 days, 0 hrs, 26 mins</t>
  </si>
  <si>
    <t>0 days, 0 hrs, 35 mins</t>
  </si>
  <si>
    <t>0 days, 0 hrs, 43 mins</t>
  </si>
  <si>
    <t>0 days, 0 hrs, 45 mins</t>
  </si>
  <si>
    <t>0 days, 0 hrs, 50 mins</t>
  </si>
  <si>
    <t>0 days, 0 hrs, 58 mins</t>
  </si>
  <si>
    <t>01-Mar-2026 10:30:00</t>
  </si>
  <si>
    <t>01-Mar-2026 18:00:00</t>
  </si>
  <si>
    <t>02-Mar-2026 21:30:00</t>
  </si>
  <si>
    <t>02-Mar-2026 23:00:00</t>
  </si>
  <si>
    <t>02-Mar-2026 16:00:00</t>
  </si>
  <si>
    <t>03-Mar-2026 21:40:00</t>
  </si>
  <si>
    <t>05-Mar-2026 10:00:00</t>
  </si>
  <si>
    <t>04-Mar-2026 11:15:00</t>
  </si>
  <si>
    <t>10-Mar-2026 15:00:00</t>
  </si>
  <si>
    <t>04-Mar-2026 12:00:00</t>
  </si>
  <si>
    <t>05-Mar-2026 11:00:00</t>
  </si>
  <si>
    <t>05-Mar-2026 09:00:00</t>
  </si>
  <si>
    <t>06-Mar-2026 13:00:00</t>
  </si>
  <si>
    <t>11-Mar-2026 15:00:00</t>
  </si>
  <si>
    <t>09-Mar-2026 19:15:00</t>
  </si>
  <si>
    <t>13-Mar-2026 14:30:00</t>
  </si>
  <si>
    <t>11-Mar-2026 16:00:00</t>
  </si>
  <si>
    <t>09-Mar-2026 12:00:00</t>
  </si>
  <si>
    <t>10-Mar-2026 12:30:00</t>
  </si>
  <si>
    <t>10-Mar-2026 14:00:00</t>
  </si>
  <si>
    <t>10-Mar-2026 17:40:00</t>
  </si>
  <si>
    <t>11-Mar-2026 09:30:00</t>
  </si>
  <si>
    <t>11-Mar-2026 15:30:00</t>
  </si>
  <si>
    <t>11-Mar-2026 14:45:00</t>
  </si>
  <si>
    <t>12-Mar-2026 09:47:00</t>
  </si>
  <si>
    <t>12-Mar-2026 21:00:00</t>
  </si>
  <si>
    <t>17-Mar-2026 16:00:00</t>
  </si>
  <si>
    <t>13-Mar-2026 12:30:00</t>
  </si>
  <si>
    <t>16-Mar-2026 09:12:00</t>
  </si>
  <si>
    <t>16-Mar-2026 09:00:00</t>
  </si>
  <si>
    <t>16-Mar-2026 15:00:00</t>
  </si>
  <si>
    <t>16-Mar-2026 18:30:00</t>
  </si>
  <si>
    <t>17-Mar-2026 15:50:00</t>
  </si>
  <si>
    <t>18-Mar-2026 09:17:00</t>
  </si>
  <si>
    <t>18-Mar-2026 09:45:00</t>
  </si>
  <si>
    <t>18-Mar-2026 10:20:00</t>
  </si>
  <si>
    <t>18-Mar-2026 18:30:00</t>
  </si>
  <si>
    <t>18-Mar-2026 18:00:00</t>
  </si>
  <si>
    <t>19-Mar-2026 22:00:00</t>
  </si>
  <si>
    <t>22-Mar-2026 23:00:00</t>
  </si>
  <si>
    <t>24-Mar-2026 08:30:00</t>
  </si>
  <si>
    <t>24-Mar-2026 09:30:00</t>
  </si>
  <si>
    <t>26-Mar-2026 15:15:00</t>
  </si>
  <si>
    <t>27-Mar-2026 14:00:00</t>
  </si>
  <si>
    <t>29-Mar-2026 18:30:00</t>
  </si>
  <si>
    <t>30-Mar-2026 14:30:00</t>
  </si>
  <si>
    <t xml:space="preserve">P - RESTART THE UNIT , RUN SAMPLE NO ERROR </t>
  </si>
  <si>
    <t xml:space="preserve">CLEAN UP THE TUBING , DO DAILY MAINTENANCE ,CHECKED ,TESTED OKAY AND FIT TO USE </t>
  </si>
  <si>
    <t>REPLACE NEW CONNECTOR HOSE,REPLACE THE CUFF.TESTED OKAY ,INFLATE WELL</t>
  </si>
  <si>
    <t xml:space="preserve">FOUND IN LOCKING PIN MISSING.REPLACED NEW LOCKING PIN.TESTED OKAY AND FIT TO USE </t>
  </si>
  <si>
    <t>CLEAN LOW CONTRATION WASTE TANK,TUBING</t>
  </si>
  <si>
    <t xml:space="preserve">RECONECT WIFI AND TESTED OKAY. </t>
  </si>
  <si>
    <t>FOUND SWITH FOR MODERN NOT TURN ON.TURN ON AND TESTED FUNCTIONING OKAY</t>
  </si>
  <si>
    <t xml:space="preserve">REPLACE NEW CELL.CHECKED AND TESTED OKAY.FUNCTIONING .NO MORE  ALARM </t>
  </si>
  <si>
    <t>RESEAT MODULE AND NIBP CABLE.TESTED ,CUFF CAN INFLATE</t>
  </si>
  <si>
    <t>UNDER MONITORING. V2,REPLACE NEW BATTERY AND NEED FURTHER MONITORING WHETHER THE BATTERY CAN SUSTAIN WITHOUT CHARGE OR NOT. V3, MACHINE FUNCTIONING AND BATTERY CAN SUSTAIN LONGER.FEEDBACK FROM USER CHECKED AND TESTED</t>
  </si>
  <si>
    <t xml:space="preserve">REPLACED NEW POWER SUPPLY CABLE, UNIT TEST AND FUNCTIONING IN GOOD CONDITION </t>
  </si>
  <si>
    <t xml:space="preserve">CHANGE NEW CLIP HOSE,MAKE SURE IT TIGHT ,TEST HOSE OK.UNIT FIT TO USE </t>
  </si>
  <si>
    <t xml:space="preserve"> USER TRAINING DONE </t>
  </si>
  <si>
    <t>VENDOR RUN LFW RESTRORE THE BACKUP CONFIGURATION. RE-CONFIGURE THE DICOM PARAMETER. QUERY AND RETRIEVED PASSED</t>
  </si>
  <si>
    <t xml:space="preserve">REPLACED BATTERIES FOR REMOTED CONTROL , TESTED FUNCTIONING OKAY </t>
  </si>
  <si>
    <t xml:space="preserve">RESET ALL CABLE AND CONECTORS. TESTED OKAY , AND UNIT LEFT IN FULLY FUNCTIONALITY. </t>
  </si>
  <si>
    <t xml:space="preserve">RUN BACKUP CHILLER FOR TEMPORARY. REPLACED WITH NEW WATER PUMP AND TEST OK. UNIT LEFT IN FULLY FUNCTIONING. </t>
  </si>
  <si>
    <t xml:space="preserve">TROUBLESHOOT BY CHECKING / BATTERY IN RANGE , CONDUCTED FUNCTIONAL TEST AND INFUSION SIMULATION TEST FOR 2 HOURS. NO ERROR AT ALL. UNIT READY FOR USE. </t>
  </si>
  <si>
    <t>REPLACE NEW CHARGER FOR FEEDING PUMP.UNIT TEST AND FUNCTIONING IN GOOD CONDITION</t>
  </si>
  <si>
    <t xml:space="preserve">FOUND SIDE COVER AT DEPARTMENT , ATTACHED BACK SIDE COVER TO MAIN UNIT </t>
  </si>
  <si>
    <t>REPLACED WITH NEW LEAF MOTOR AND TESTED OK. UNIT LEFT IN FULL FUNCTIONALITY</t>
  </si>
  <si>
    <t>REBOOT AND RESTART XV GENERATOR. SYSTEM BACK TO NORMAL CONDITION AND UNIT LEFT IN FULL FUNCTIONALITY</t>
  </si>
  <si>
    <t xml:space="preserve">REPLACE NEW BATTERY , TEST OK. </t>
  </si>
  <si>
    <t xml:space="preserve">REFILL WITH DISTILED WATER PRESSURE INTO THE CHAMBER UNTILL REACH THE TARGET PRESSURE. UNIT LEFT IN FULL FUNCTIONALITY </t>
  </si>
  <si>
    <t xml:space="preserve">TRAINING AND PROPER OPERATION TO ALL SATFF NURSE, PRORIDING GUIDANCE ON THE SAFE HANDLING AND PROPER OPERATION OF THE SYRINGE PUMP MACHINE </t>
  </si>
  <si>
    <t xml:space="preserve">TRAINING DELIVERED TO ALL STAFF NURSE,PRIORIDING GUIDANCE ON THE SAFE HANDLING AND PROPER OPERATION OF THE SRYING PUMP MACHINE </t>
  </si>
  <si>
    <t xml:space="preserve">REPLACE NEW BATTERY , TEST UNIT OK. </t>
  </si>
  <si>
    <t xml:space="preserve">REPLACE NEW CHARGER ADAPTER , TESTED AND CHECKED. UNIT ABLE TO CHARGE. </t>
  </si>
  <si>
    <t xml:space="preserve">ADJUSTR THE SETTING OF WARMER UNIT TO HIGH , UNIT TEST AND FUNCTIONING IN GOOD CONDITION </t>
  </si>
  <si>
    <t xml:space="preserve">REPLACE OXYGEN SENSOR , DEVICE CHECK PASSED. UNIT FUNCTIONING IN GOOD CONDITION </t>
  </si>
  <si>
    <t>REPLACE NEW HANGER</t>
  </si>
  <si>
    <t xml:space="preserve">FLUSHING TO REMOVE AIR CLOGS AND BUBBLES. PRESSURE BACK TO NORMAL AND UNIT RUNNING IN NORMAL CONDITIONS. </t>
  </si>
  <si>
    <t xml:space="preserve">NSPECT MACHINE FOUND CABLE DISPLAY HAS FLUID, CLEAN CABLE DISPLAY. INSPECT BOARD OK, TIGHTEN CONNECTION CABLE TO BOARD MACHINE FUNCTIONING WELL , UNIT READY TO USE </t>
  </si>
  <si>
    <t xml:space="preserve">RECONFIGURE THE MACHINE AND IT CHECKED THE ISSUE. UNIT TESTED OKAY UNDER MONITORING </t>
  </si>
  <si>
    <t>DO PHYSICAL INSPECTION OK , CHECK FUSE OK. TEST PASSED</t>
  </si>
  <si>
    <t xml:space="preserve">FLUSHING THE AIR THRU CHILLER SYSTEM AND WATER BACK TO NORMAL PRESSURE. UNIT LEFT IN GOOD WORKING CONDITIONS. </t>
  </si>
  <si>
    <t xml:space="preserve">REPLACE NEW CUFF.TESTED OKAY AND FUNCTIONING </t>
  </si>
  <si>
    <t xml:space="preserve"> ADJUST REGULATOR TO SETTING THE PRESSURE 0.05MP </t>
  </si>
  <si>
    <t xml:space="preserve">RESIT ALL CABLE AND CONNECTOR AND COMMUNICATION RETURNS TO NORMAL. </t>
  </si>
  <si>
    <t xml:space="preserve">TESTED OKAY, RESET TABLE AND MACHINE FUNCTIONING OKAY. </t>
  </si>
  <si>
    <t>REPORT TO FEMS , CHECKED SUPPLY OKAY. TEST MACHINE FUNCTIONING OKAY.</t>
  </si>
  <si>
    <t xml:space="preserve">FOUND THAT THE SWITCH FOR NETWORK HAVE CONFLICT, PLUG THE CONNECTION TO THE WALL PORT AND SYSTEM BACK TO NORMAL. UNIT LEFT IN WORKING PROPERLY. </t>
  </si>
  <si>
    <t xml:space="preserve">REBOOT AND RESTART WHOLE SYSTEM. UNIT BACK TO NORMAL CONDITION AND TESTED OK. UNIT LEFT IN GOOD / FULLY FUNCTIONALITY </t>
  </si>
  <si>
    <t xml:space="preserve">FOUND THIS ISSUES RELATED WITH C-RAD AT LINAC 3 / NOVALIS. MOVED TO WALL PORT AND SYSTEM BACK TO NORMAL. UNIT LEFT IN GOOD WORKING CONDITION </t>
  </si>
  <si>
    <t>REPLACED POWER CARD. TESTED OKAY.</t>
  </si>
  <si>
    <t xml:space="preserve">REPLACE NEW CONNECTOR AND CUFF , MAKE SURE FIT TO USE </t>
  </si>
  <si>
    <t xml:space="preserve">YEARLY MAGNIFI CALIBRATION DONE BY VENDOR. TESTED , PASSED. </t>
  </si>
  <si>
    <t xml:space="preserve">TIGHTHEN THE MODULE HANGER/ HOLDER SCREW ACCORDING.ADD WASHER FOR MORE FIRM AND TIGHT </t>
  </si>
  <si>
    <t xml:space="preserve">REPLACED WITH NEW 5A PLUGTOP AND TESTED,PASS. UNIT LEFT IN FULL FUNCTIONALITY </t>
  </si>
  <si>
    <t>TIGHTEN AND RESIT ALL CABLE CONNECTORS DISPLAY / SCREEN BACK AS USUAL. REPLACED WITH OTHER BACKUP UPS FOR XVI AND IVIEW ABLE TO TURN ON</t>
  </si>
  <si>
    <t xml:space="preserve"> ADD WATER PRESSURE TO THE DESIRED VALUE (0.8 BAR) AND VACUUM TARGET BACK TO NORMAL CONDITION. UNIT LEFT IN GOOD WORKING CONDITION </t>
  </si>
  <si>
    <t xml:space="preserve">RETIGHTHEN THE CONNECTOR, TESTED THE FUNCTIONING OF BLOWER AND WATER.NO LEAKING OCCUR,UNIT IN GOOD CONDITION </t>
  </si>
  <si>
    <t xml:space="preserve">MYRIAN MONTHLY CHECKING COMPLETED BY VENDOR. FUNCTIONING OKAY. </t>
  </si>
  <si>
    <t xml:space="preserve">OPEN PLUNGER BOARD,RESEAT CABLE. POP UP ALARM BATTERY EMPTY BUT THE BATTERY INDICATOR ALREADY FULL. V2, TRIED SWAP NEW BATTERY,PLUNGER CAN CLOSE AND WORKING IN GOOD CONDITION.TESTED OKAY </t>
  </si>
  <si>
    <t xml:space="preserve">REPLACE NEW PCA BUTTON, UNIT TEST AND FUNCTIONING IN GOOD CONDITION </t>
  </si>
  <si>
    <t>0 days, 0 hrs, 09 mins</t>
  </si>
  <si>
    <t>IKN402265</t>
  </si>
  <si>
    <t xml:space="preserve">TNC - T&amp;C LIGHT SOURCE </t>
  </si>
  <si>
    <t>LIGHT SOURCE, FIBEROPTIC</t>
  </si>
  <si>
    <t>1 YEAR WARRANTY
UMMI SURGICAL SDN BHD</t>
  </si>
  <si>
    <t>0 days, 0 hrs, 37 mins</t>
  </si>
  <si>
    <t>IKN400442</t>
  </si>
  <si>
    <t>IKN400443</t>
  </si>
  <si>
    <t>Scanning Systems, Magnetic Resonance imaging, full-body</t>
  </si>
  <si>
    <t>IKN400173</t>
  </si>
  <si>
    <t>IKN400210</t>
  </si>
  <si>
    <t>IKN400223</t>
  </si>
  <si>
    <t>IKN400732</t>
  </si>
  <si>
    <t>IKN401017</t>
  </si>
  <si>
    <t>IKN400349</t>
  </si>
  <si>
    <t>IKN400813</t>
  </si>
  <si>
    <t>IKN400814</t>
  </si>
  <si>
    <t>IKN400815</t>
  </si>
  <si>
    <t>IKN400849</t>
  </si>
  <si>
    <t>IKN400968</t>
  </si>
  <si>
    <t>IKN400977</t>
  </si>
  <si>
    <t>IKN400013</t>
  </si>
  <si>
    <t>IKN400336</t>
  </si>
  <si>
    <t>IKN400389</t>
  </si>
  <si>
    <t>IKN400636</t>
  </si>
  <si>
    <t>IKN400637</t>
  </si>
  <si>
    <t>IKN400638</t>
  </si>
  <si>
    <t>IKN400639</t>
  </si>
  <si>
    <t>IKN400641</t>
  </si>
  <si>
    <t>IKN400816</t>
  </si>
  <si>
    <t>IKN400204</t>
  </si>
  <si>
    <t>IKN400334</t>
  </si>
  <si>
    <t>IKN400364</t>
  </si>
  <si>
    <t>IKN400450</t>
  </si>
  <si>
    <t>IKN400451</t>
  </si>
  <si>
    <t>IKN400452</t>
  </si>
  <si>
    <t>IKN400453</t>
  </si>
  <si>
    <t>IKN400455</t>
  </si>
  <si>
    <t>IKN400469</t>
  </si>
  <si>
    <t>IKN400470</t>
  </si>
  <si>
    <t>IKN400780</t>
  </si>
  <si>
    <t>IKN400781</t>
  </si>
  <si>
    <t>IKN401101</t>
  </si>
  <si>
    <t>IKN400185</t>
  </si>
  <si>
    <t>IKN400642</t>
  </si>
  <si>
    <t>IKN400643</t>
  </si>
  <si>
    <t>IKN401035</t>
  </si>
  <si>
    <t>IKN400919</t>
  </si>
  <si>
    <t>IKN401000</t>
  </si>
  <si>
    <t>IKN400778</t>
  </si>
  <si>
    <t>IKN400789</t>
  </si>
  <si>
    <t>IKN400779</t>
  </si>
  <si>
    <t>IKN400766</t>
  </si>
  <si>
    <t>IKN400182</t>
  </si>
  <si>
    <t>IKN400184</t>
  </si>
  <si>
    <t>IKN400187</t>
  </si>
  <si>
    <t>IKN400327</t>
  </si>
  <si>
    <t>IKN400644</t>
  </si>
  <si>
    <t>IKN400650</t>
  </si>
  <si>
    <t>IKN401041</t>
  </si>
  <si>
    <t>IKN401042</t>
  </si>
  <si>
    <t>IKN401047</t>
  </si>
  <si>
    <t>IKN401250</t>
  </si>
  <si>
    <t>IKN401251</t>
  </si>
  <si>
    <t>IKN400768</t>
  </si>
  <si>
    <t>IKN400769</t>
  </si>
  <si>
    <t>IKN400800</t>
  </si>
  <si>
    <t>IKN400788</t>
  </si>
  <si>
    <t>IKN401019</t>
  </si>
  <si>
    <t>IKN401031</t>
  </si>
  <si>
    <t>IKN401033</t>
  </si>
  <si>
    <t>IKN400770</t>
  </si>
  <si>
    <t>IKN400411</t>
  </si>
  <si>
    <t>IKN400412</t>
  </si>
  <si>
    <t>IKN400771</t>
  </si>
  <si>
    <t>IKN400834</t>
  </si>
  <si>
    <t>IKN402218</t>
  </si>
  <si>
    <t>IKN400294</t>
  </si>
  <si>
    <t>IKN400534</t>
  </si>
  <si>
    <t>IKN400538</t>
  </si>
  <si>
    <t>IKN400539</t>
  </si>
  <si>
    <t>IKN400585</t>
  </si>
  <si>
    <t>IKN400646</t>
  </si>
  <si>
    <t>IKN400940</t>
  </si>
  <si>
    <t>IKN400370</t>
  </si>
  <si>
    <t>IKN400456</t>
  </si>
  <si>
    <t>IKN400457</t>
  </si>
  <si>
    <t>IKN400409</t>
  </si>
  <si>
    <t>IKN400647</t>
  </si>
  <si>
    <t>IKN400657</t>
  </si>
  <si>
    <t>IKN400658</t>
  </si>
  <si>
    <t>IKN400659</t>
  </si>
  <si>
    <t>IKN400660</t>
  </si>
  <si>
    <t>IKN400934</t>
  </si>
  <si>
    <t>IKN400935</t>
  </si>
  <si>
    <t>IKN402095</t>
  </si>
  <si>
    <t>IKN402096</t>
  </si>
  <si>
    <t>IKN402097</t>
  </si>
  <si>
    <t>IKN402099</t>
  </si>
  <si>
    <t>IKN402100</t>
  </si>
  <si>
    <t>IKN402101</t>
  </si>
  <si>
    <t>IKN402102</t>
  </si>
  <si>
    <t>IKN402106</t>
  </si>
  <si>
    <t>IKN402110</t>
  </si>
  <si>
    <t>IKN400403</t>
  </si>
  <si>
    <t>IKN400404</t>
  </si>
  <si>
    <t>IKN400413</t>
  </si>
  <si>
    <t>IKN400415</t>
  </si>
  <si>
    <t>IKN400458</t>
  </si>
  <si>
    <t>IKN400460</t>
  </si>
  <si>
    <t>IKN401043</t>
  </si>
  <si>
    <t>IKN401049</t>
  </si>
  <si>
    <t>IKN402103</t>
  </si>
  <si>
    <t>IKN402105</t>
  </si>
  <si>
    <t>IKN402111</t>
  </si>
  <si>
    <t>IKN402212</t>
  </si>
  <si>
    <t>IKN402220</t>
  </si>
  <si>
    <t>IKN402221</t>
  </si>
  <si>
    <t>IKN402222</t>
  </si>
  <si>
    <t>IKN402224</t>
  </si>
  <si>
    <t>IKN400326</t>
  </si>
  <si>
    <t>IKN400656</t>
  </si>
  <si>
    <t>IKN401045</t>
  </si>
  <si>
    <t>IKN401050</t>
  </si>
  <si>
    <t>IKN401059</t>
  </si>
  <si>
    <t>IKN401060</t>
  </si>
  <si>
    <t>IKN402091</t>
  </si>
  <si>
    <t>IKN402092</t>
  </si>
  <si>
    <t>IKN402093</t>
  </si>
  <si>
    <t>IKN402107</t>
  </si>
  <si>
    <t>IKN402108</t>
  </si>
  <si>
    <t>IKN402109</t>
  </si>
  <si>
    <t>IKN401089</t>
  </si>
  <si>
    <t>IKN400041</t>
  </si>
  <si>
    <t>IKN400355</t>
  </si>
  <si>
    <t>IKN400382</t>
  </si>
  <si>
    <t>IKN400405</t>
  </si>
  <si>
    <t>IKN400406</t>
  </si>
  <si>
    <t>IKN400772</t>
  </si>
  <si>
    <t>IKN400315</t>
  </si>
  <si>
    <t>IKN400344</t>
  </si>
  <si>
    <t>IKN400640</t>
  </si>
  <si>
    <t>IKN400936</t>
  </si>
  <si>
    <t>IKN400938</t>
  </si>
  <si>
    <t>IKN401098</t>
  </si>
  <si>
    <t>IKN401099</t>
  </si>
  <si>
    <t>IKN401111</t>
  </si>
  <si>
    <t>IKN401112</t>
  </si>
  <si>
    <t>IKN401113</t>
  </si>
  <si>
    <t>IKN401311</t>
  </si>
  <si>
    <t>IKN402037</t>
  </si>
  <si>
    <t>IKN402038</t>
  </si>
  <si>
    <t>IKN402040</t>
  </si>
  <si>
    <t>IKN402041</t>
  </si>
  <si>
    <t>IKN402043</t>
  </si>
  <si>
    <t>IKN402044</t>
  </si>
  <si>
    <t>IKN402045</t>
  </si>
  <si>
    <t>IKN402046</t>
  </si>
  <si>
    <t>IKN402104</t>
  </si>
  <si>
    <t>IKN400773</t>
  </si>
  <si>
    <t>IKN400474</t>
  </si>
  <si>
    <t>IKN401038</t>
  </si>
  <si>
    <t>IKN401039</t>
  </si>
  <si>
    <t>IKN400371</t>
  </si>
  <si>
    <t>IKN400375</t>
  </si>
  <si>
    <t>IKN400564</t>
  </si>
  <si>
    <t>IKN400590</t>
  </si>
  <si>
    <t>IKN400705</t>
  </si>
  <si>
    <t>IKN400706</t>
  </si>
  <si>
    <t>IKN400707</t>
  </si>
  <si>
    <t>IKN400784</t>
  </si>
  <si>
    <t>IKN400785</t>
  </si>
  <si>
    <t>IKN400976</t>
  </si>
  <si>
    <t>IKN401096</t>
  </si>
  <si>
    <t>IKN401100</t>
  </si>
  <si>
    <t>IKN400172</t>
  </si>
  <si>
    <t>IKN400193</t>
  </si>
  <si>
    <t>IKN400194</t>
  </si>
  <si>
    <t>IKN400267</t>
  </si>
  <si>
    <t>IKN400268</t>
  </si>
  <si>
    <t>IKN400616</t>
  </si>
  <si>
    <t>IKN400625</t>
  </si>
  <si>
    <t>IKN401010</t>
  </si>
  <si>
    <t>IKN401077</t>
  </si>
  <si>
    <t>IKN400408</t>
  </si>
  <si>
    <t>IKN400410</t>
  </si>
  <si>
    <t>IKN400414</t>
  </si>
  <si>
    <t>IKN400444</t>
  </si>
  <si>
    <t>IKN400550</t>
  </si>
  <si>
    <t>IKN400552</t>
  </si>
  <si>
    <t>IKN400189</t>
  </si>
  <si>
    <t>IKN400372</t>
  </si>
  <si>
    <t>Ventilators, Transport</t>
  </si>
  <si>
    <t>Lights, Surgical</t>
  </si>
  <si>
    <t>Radiographic Units, Mobile</t>
  </si>
  <si>
    <t>Warming Units, Blanket</t>
  </si>
  <si>
    <t>Metal Detectors</t>
  </si>
  <si>
    <t>Monitors, Physiologic, Vital Signs</t>
  </si>
  <si>
    <t>Sphygmomanometers, Aneroid</t>
  </si>
  <si>
    <t>Colposcopes</t>
  </si>
  <si>
    <t>Television Monitors</t>
  </si>
  <si>
    <t>Recorders, Tape, Video</t>
  </si>
  <si>
    <t>Infusion/ Monitoring Line Organizer System</t>
  </si>
  <si>
    <t>Gastroscopes, Flexible, Video</t>
  </si>
  <si>
    <t>Hemofiltration Units</t>
  </si>
  <si>
    <t>Dental Handpiece Maintenance Unit</t>
  </si>
  <si>
    <t>Micromotor, Dental</t>
  </si>
  <si>
    <t>CIRCULATORY ASSIST UNITS, VENOUS RETURN</t>
  </si>
  <si>
    <t>Stirrers</t>
  </si>
  <si>
    <t>Centrifuges, Tabletop</t>
  </si>
  <si>
    <t>IKNWOBE26003369</t>
  </si>
  <si>
    <t>IKNWOBE26003370</t>
  </si>
  <si>
    <t>IKNWOBE26003371</t>
  </si>
  <si>
    <t>IKNWOBE26003372</t>
  </si>
  <si>
    <t>IKNWOBE26003373</t>
  </si>
  <si>
    <t>IKNWOBE26003374</t>
  </si>
  <si>
    <t>IKNWOBE26003375</t>
  </si>
  <si>
    <t>IKNWOBE26003376</t>
  </si>
  <si>
    <t>IKNWOBE26003377</t>
  </si>
  <si>
    <t>IKNWOBE26003378</t>
  </si>
  <si>
    <t>IKNWOBE26003379</t>
  </si>
  <si>
    <t>IKNWOBE26003380</t>
  </si>
  <si>
    <t>IKNWOBE26003381</t>
  </si>
  <si>
    <t>IKNWOBE26003382</t>
  </si>
  <si>
    <t>IKNWOBE26003383</t>
  </si>
  <si>
    <t>IKNWOBE26003384</t>
  </si>
  <si>
    <t>IKNWOBE26003385</t>
  </si>
  <si>
    <t>IKNWOBE26003386</t>
  </si>
  <si>
    <t>IKNWOBE26003387</t>
  </si>
  <si>
    <t>IKNWOBE26003388</t>
  </si>
  <si>
    <t>IKNWOBE26003389</t>
  </si>
  <si>
    <t>IKNWOBE26003390</t>
  </si>
  <si>
    <t>IKNWOBE26003391</t>
  </si>
  <si>
    <t>IKNWOBE26003392</t>
  </si>
  <si>
    <t>IKNWOBE26003393</t>
  </si>
  <si>
    <t>IKNWOBE26003394</t>
  </si>
  <si>
    <t>IKNWOBE26003395</t>
  </si>
  <si>
    <t>IKNWOBE26003396</t>
  </si>
  <si>
    <t>IKNWOBE26003397</t>
  </si>
  <si>
    <t>IKNWOBE26003398</t>
  </si>
  <si>
    <t>IKNWOBE26003399</t>
  </si>
  <si>
    <t>IKNWOBE26003400</t>
  </si>
  <si>
    <t>IKNWOBE26003401</t>
  </si>
  <si>
    <t>IKNWOBE26003402</t>
  </si>
  <si>
    <t>IKNWOBE26003403</t>
  </si>
  <si>
    <t>IKNWOBE26003404</t>
  </si>
  <si>
    <t>IKNWOBE26003406</t>
  </si>
  <si>
    <t>IKNWOBE26003407</t>
  </si>
  <si>
    <t>IKNWOBE26003408</t>
  </si>
  <si>
    <t>IKNWOBE26003409</t>
  </si>
  <si>
    <t>IKNWOBE26003410</t>
  </si>
  <si>
    <t>IKNWOBE26003411</t>
  </si>
  <si>
    <t>IKNWOBE26003412</t>
  </si>
  <si>
    <t>IKNWOBE26003413</t>
  </si>
  <si>
    <t>IKNWOBE26003414</t>
  </si>
  <si>
    <t>IKNWOBE26003415</t>
  </si>
  <si>
    <t>IKNWOBE26003416</t>
  </si>
  <si>
    <t>IKNWOBE26003417</t>
  </si>
  <si>
    <t>IKNWOBE26003418</t>
  </si>
  <si>
    <t>IKNWOBE26003419</t>
  </si>
  <si>
    <t>IKNWOBE26003420</t>
  </si>
  <si>
    <t>IKNWOBE26003421</t>
  </si>
  <si>
    <t>IKNWOBE26003422</t>
  </si>
  <si>
    <t>IKNWOBE26003423</t>
  </si>
  <si>
    <t>IKNWOBE26003424</t>
  </si>
  <si>
    <t>IKNWOBE26003425</t>
  </si>
  <si>
    <t>IKNWOBE26003426</t>
  </si>
  <si>
    <t>IKNWOBE26003427</t>
  </si>
  <si>
    <t>IKNWOBE26003428</t>
  </si>
  <si>
    <t>IKNWOBE26003429</t>
  </si>
  <si>
    <t>IKNWOBE26003430</t>
  </si>
  <si>
    <t>IKNWOBE26003431</t>
  </si>
  <si>
    <t>IKNWOBE26003432</t>
  </si>
  <si>
    <t>IKNWOBE26003433</t>
  </si>
  <si>
    <t>IKNWOBE26003434</t>
  </si>
  <si>
    <t>IKNWOBE26003435</t>
  </si>
  <si>
    <t>IKNWOBE26003436</t>
  </si>
  <si>
    <t>IKNWOBE26003437</t>
  </si>
  <si>
    <t>IKNWOBE26003438</t>
  </si>
  <si>
    <t>IKNWOBE26003439</t>
  </si>
  <si>
    <t>IKNWOBE26003440</t>
  </si>
  <si>
    <t>IKNWOBE26003441</t>
  </si>
  <si>
    <t>IKNWOBE26003442</t>
  </si>
  <si>
    <t>IKNWOBE26003454</t>
  </si>
  <si>
    <t>IKNWOBE26003455</t>
  </si>
  <si>
    <t>IKNWOBE26003456</t>
  </si>
  <si>
    <t>IKNWOBE26003457</t>
  </si>
  <si>
    <t>IKNWOBE26003458</t>
  </si>
  <si>
    <t>IKNWOBE26003459</t>
  </si>
  <si>
    <t>IKNWOBE26003460</t>
  </si>
  <si>
    <t>IKNWOBE26003461</t>
  </si>
  <si>
    <t>IKNWOBE26003462</t>
  </si>
  <si>
    <t>IKNWOBE26003463</t>
  </si>
  <si>
    <t>IKNWOBE26003464</t>
  </si>
  <si>
    <t>IKNWOBE26003465</t>
  </si>
  <si>
    <t>IKNWOBE26003466</t>
  </si>
  <si>
    <t>IKNWOBE26003467</t>
  </si>
  <si>
    <t>IKNWOBE26003468</t>
  </si>
  <si>
    <t>IKNWOBE26003469</t>
  </si>
  <si>
    <t>IKNWOBE26003470</t>
  </si>
  <si>
    <t>IKNWOBE26003471</t>
  </si>
  <si>
    <t>IKNWOBE26003473</t>
  </si>
  <si>
    <t>IKNWOBE26003474</t>
  </si>
  <si>
    <t>IKNWOBE26003475</t>
  </si>
  <si>
    <t>IKNWOBE26003476</t>
  </si>
  <si>
    <t>IKNWOBE26003477</t>
  </si>
  <si>
    <t>IKNWOBE26003478</t>
  </si>
  <si>
    <t>IKNWOBE26003479</t>
  </si>
  <si>
    <t>IKNWOBE26003480</t>
  </si>
  <si>
    <t>IKNWOBE26003481</t>
  </si>
  <si>
    <t>IKNWOBE26003482</t>
  </si>
  <si>
    <t>IKNWOBE26003483</t>
  </si>
  <si>
    <t>IKNWOBE26003485</t>
  </si>
  <si>
    <t>IKNWOBE26003486</t>
  </si>
  <si>
    <t>IKNWOBE26003487</t>
  </si>
  <si>
    <t>IKNWOBE26003488</t>
  </si>
  <si>
    <t>IKNWOBE26003489</t>
  </si>
  <si>
    <t>IKNWOBE26003490</t>
  </si>
  <si>
    <t>IKNWOBE26003491</t>
  </si>
  <si>
    <t>IKNWOBE26003492</t>
  </si>
  <si>
    <t>IKNWOBE26003493</t>
  </si>
  <si>
    <t>IKNWOBE26003494</t>
  </si>
  <si>
    <t>IKNWOBE26003495</t>
  </si>
  <si>
    <t>IKNWOBE26003496</t>
  </si>
  <si>
    <t>IKNWOBE26003498</t>
  </si>
  <si>
    <t>IKNWOBE26003499</t>
  </si>
  <si>
    <t>IKNWOBE26003500</t>
  </si>
  <si>
    <t>IKNWOBE26003501</t>
  </si>
  <si>
    <t>IKNWOBE26003502</t>
  </si>
  <si>
    <t>IKNWOBE26003503</t>
  </si>
  <si>
    <t>IKNWOBE26003505</t>
  </si>
  <si>
    <t>IKNWOBE26003506</t>
  </si>
  <si>
    <t>IKNWOBE26003507</t>
  </si>
  <si>
    <t>IKNWOBE26003508</t>
  </si>
  <si>
    <t>IKNWOBE26003509</t>
  </si>
  <si>
    <t>IKNWOBE26003510</t>
  </si>
  <si>
    <t>IKNWOBE26003511</t>
  </si>
  <si>
    <t>IKNWOBE26003512</t>
  </si>
  <si>
    <t>IKNWOBE26003513</t>
  </si>
  <si>
    <t>IKNWOBE26003514</t>
  </si>
  <si>
    <t>IKNWOBE26003515</t>
  </si>
  <si>
    <t>IKNWOBE26003517</t>
  </si>
  <si>
    <t>IKNWOBE26003520</t>
  </si>
  <si>
    <t>IKNWOBE26003521</t>
  </si>
  <si>
    <t>IKNWOBE26003522</t>
  </si>
  <si>
    <t>IKNWOBE26003523</t>
  </si>
  <si>
    <t>IKNWOBE26003524</t>
  </si>
  <si>
    <t>IKNWOBE26003525</t>
  </si>
  <si>
    <t>IKNWOBE26003526</t>
  </si>
  <si>
    <t>IKNWOBE26003527</t>
  </si>
  <si>
    <t>IKNWOBE26003528</t>
  </si>
  <si>
    <t>IKNWOBE26003529</t>
  </si>
  <si>
    <t>IKNWOBE26003530</t>
  </si>
  <si>
    <t>IKNWOBE26003532</t>
  </si>
  <si>
    <t>IKNWOBE26003533</t>
  </si>
  <si>
    <t>IKNWOBE26003534</t>
  </si>
  <si>
    <t>IKNWOBE26003535</t>
  </si>
  <si>
    <t>IKNWOBE26003537</t>
  </si>
  <si>
    <t>IKNWOBE26003538</t>
  </si>
  <si>
    <t>IKNWOBE26003539</t>
  </si>
  <si>
    <t>IKNWOBE26003540</t>
  </si>
  <si>
    <t>IKNWOBE26003541</t>
  </si>
  <si>
    <t>IKNWOBE26003542</t>
  </si>
  <si>
    <t>IKNWOBE26003543</t>
  </si>
  <si>
    <t>IKNWOBE26003544</t>
  </si>
  <si>
    <t>IKNWOBE26003545</t>
  </si>
  <si>
    <t>IKNWOBE26003546</t>
  </si>
  <si>
    <t>IKNWOBE26003547</t>
  </si>
  <si>
    <t>IKNWOBE26003548</t>
  </si>
  <si>
    <t>IKNWOBE26003549</t>
  </si>
  <si>
    <t>IKNWOBE26003550</t>
  </si>
  <si>
    <t>IKNWOBE26003551</t>
  </si>
  <si>
    <t>IKNWOBE26003552</t>
  </si>
  <si>
    <t>IKNWOBE26003553</t>
  </si>
  <si>
    <t>IKNWOBE26003557</t>
  </si>
  <si>
    <t>IKNWOBE26003558</t>
  </si>
  <si>
    <t>IKNWOBE26003559</t>
  </si>
  <si>
    <t>IKNWOBE26003560</t>
  </si>
  <si>
    <t>IKNWOBE26003561</t>
  </si>
  <si>
    <t>IKNWOBE26003562</t>
  </si>
  <si>
    <t>IKNWOBE26003563</t>
  </si>
  <si>
    <t>IKNWOBE26003564</t>
  </si>
  <si>
    <t>IKNWOBE26003565</t>
  </si>
  <si>
    <t>IKNWOBE26003566</t>
  </si>
  <si>
    <t>IKNWOBE26003567</t>
  </si>
  <si>
    <t>IKNWOBE26003568</t>
  </si>
  <si>
    <t>IKNWOBE26003569</t>
  </si>
  <si>
    <t>IKNWOBE26003570</t>
  </si>
  <si>
    <t>IKNWOBE26003571</t>
  </si>
  <si>
    <t>IKNWOBE26003572</t>
  </si>
  <si>
    <t>IKNWOBE26003574</t>
  </si>
  <si>
    <t>IKNWOBE26003575</t>
  </si>
  <si>
    <t>IKNWOBE26003576</t>
  </si>
  <si>
    <t>IKNWOBE26003577</t>
  </si>
  <si>
    <t>IKNWOBE26003578</t>
  </si>
  <si>
    <t>IKNWOBE26003579</t>
  </si>
  <si>
    <t>IKNWOBE26003580</t>
  </si>
  <si>
    <t>IKNWOBE26003581</t>
  </si>
  <si>
    <t>IKNWOBE26003582</t>
  </si>
  <si>
    <t>IKNWOBE26003583</t>
  </si>
  <si>
    <t>IKNWOBE26003584</t>
  </si>
  <si>
    <t>IKNWOBE26003585</t>
  </si>
  <si>
    <t>IKNWOBE26003586</t>
  </si>
  <si>
    <t>IKNWOBE26003589</t>
  </si>
  <si>
    <t>IKNWOBE26003590</t>
  </si>
  <si>
    <t>IKNWOBE26004707</t>
  </si>
  <si>
    <t>IKNWOBE26004709</t>
  </si>
  <si>
    <t>05IC106</t>
  </si>
  <si>
    <t>09WJ130</t>
  </si>
  <si>
    <t>09WJ222</t>
  </si>
  <si>
    <t>04LA127</t>
  </si>
  <si>
    <t>01RT238</t>
  </si>
  <si>
    <t>01RT278</t>
  </si>
  <si>
    <t>01AE119</t>
  </si>
  <si>
    <t>07WF121</t>
  </si>
  <si>
    <t>04DO121</t>
  </si>
  <si>
    <t>09WJ126</t>
  </si>
  <si>
    <t>03ID167</t>
  </si>
  <si>
    <t>05OT123</t>
  </si>
  <si>
    <t>05IC129</t>
  </si>
  <si>
    <t>04DO124</t>
  </si>
  <si>
    <t>03NM138</t>
  </si>
  <si>
    <t>03ID108</t>
  </si>
  <si>
    <t>03ID178</t>
  </si>
  <si>
    <t>06WD124</t>
  </si>
  <si>
    <t>01RT275</t>
  </si>
  <si>
    <t>03WA116</t>
  </si>
  <si>
    <t>03WA117</t>
  </si>
  <si>
    <t>03NM189</t>
  </si>
  <si>
    <t>06WC107</t>
  </si>
  <si>
    <t>04DO138</t>
  </si>
  <si>
    <t>03MC119</t>
  </si>
  <si>
    <t>04DO119</t>
  </si>
  <si>
    <t>06WD146</t>
  </si>
  <si>
    <t>05OT128</t>
  </si>
  <si>
    <t>01AE108</t>
  </si>
  <si>
    <t>07WE107</t>
  </si>
  <si>
    <t>06WC143</t>
  </si>
  <si>
    <t>03ID109</t>
  </si>
  <si>
    <t>07WF107</t>
  </si>
  <si>
    <t>03MC121</t>
  </si>
  <si>
    <t>03MC128</t>
  </si>
  <si>
    <t>05IC116</t>
  </si>
  <si>
    <t>05IC111</t>
  </si>
  <si>
    <t>05OT158</t>
  </si>
  <si>
    <t>03NM155</t>
  </si>
  <si>
    <t>04LA137</t>
  </si>
  <si>
    <t>01AE118</t>
  </si>
  <si>
    <t>01RT117</t>
  </si>
  <si>
    <t>05IC112</t>
  </si>
  <si>
    <t>08WG143</t>
  </si>
  <si>
    <t>04DO118</t>
  </si>
  <si>
    <t>03NM109</t>
  </si>
  <si>
    <t>02-Mar-2026 00:00:00</t>
  </si>
  <si>
    <t>03-Mar-2026 00:00:00</t>
  </si>
  <si>
    <t>04-Mar-2026 00:00:00</t>
  </si>
  <si>
    <t>11-Mar-2026 00:00:00</t>
  </si>
  <si>
    <t>05-Mar-2026 00:00:00</t>
  </si>
  <si>
    <t>12-Mar-2026 00:00:00</t>
  </si>
  <si>
    <t>06-Mar-2026 00:00:00</t>
  </si>
  <si>
    <t>16-Mar-2026 00:00:00</t>
  </si>
  <si>
    <t>09-Mar-2026 00:00:00</t>
  </si>
  <si>
    <t>17-Mar-2026 00:00:00</t>
  </si>
  <si>
    <t>10-Mar-2026 00:00:00</t>
  </si>
  <si>
    <t>13-Mar-2026 00:00:00</t>
  </si>
  <si>
    <t>18-Mar-2026 00:00:00</t>
  </si>
  <si>
    <t>19-Mar-2026 00:00:00</t>
  </si>
  <si>
    <t>20-Mar-2026 00:00:00</t>
  </si>
  <si>
    <t>23-Mar-2026 00:00:00</t>
  </si>
  <si>
    <t>31-Mar-2026 00:00:00</t>
  </si>
  <si>
    <t>24-Mar-2026 00:00:00</t>
  </si>
  <si>
    <t>25-Mar-2026 00:00:00</t>
  </si>
  <si>
    <t>27-Mar-2026 00:00:00</t>
  </si>
  <si>
    <t>30-Mar-2026 00:00:00</t>
  </si>
  <si>
    <t>02-Mar-2026 08:30:00</t>
  </si>
  <si>
    <t>02-Mar-2026 10:30:00</t>
  </si>
  <si>
    <t>02-Mar-2026 11:50:00</t>
  </si>
  <si>
    <t>02-Mar-2026 15:00:00</t>
  </si>
  <si>
    <t>02-Mar-2026 14:00:00</t>
  </si>
  <si>
    <t>03-Mar-2026 14:00:00</t>
  </si>
  <si>
    <t>03-Mar-2026 13:00:00</t>
  </si>
  <si>
    <t>03-Mar-2026 08:00:00</t>
  </si>
  <si>
    <t>03-Mar-2026 09:00:00</t>
  </si>
  <si>
    <t>03-Mar-2026 10:00:00</t>
  </si>
  <si>
    <t>03-Mar-2026 12:00:00</t>
  </si>
  <si>
    <t>04-Mar-2026 09:30:00</t>
  </si>
  <si>
    <t>04-Mar-2026 11:50:00</t>
  </si>
  <si>
    <t>09-Mar-2026 09:00:00</t>
  </si>
  <si>
    <t>04-Mar-2026 15:00:00</t>
  </si>
  <si>
    <t>04-Mar-2026 14:00:00</t>
  </si>
  <si>
    <t>05-Mar-2026 15:15:00</t>
  </si>
  <si>
    <t>09-Mar-2026 14:00:00</t>
  </si>
  <si>
    <t>05-Mar-2026 14:00:00</t>
  </si>
  <si>
    <t>05-Mar-2026 12:00:00</t>
  </si>
  <si>
    <t>05-Mar-2026 13:00:00</t>
  </si>
  <si>
    <t>05-Mar-2026 08:00:00</t>
  </si>
  <si>
    <t>06-Mar-2026 08:00:00</t>
  </si>
  <si>
    <t>06-Mar-2026 15:00:00</t>
  </si>
  <si>
    <t>06-Mar-2026 09:00:00</t>
  </si>
  <si>
    <t>06-Mar-2026 11:00:00</t>
  </si>
  <si>
    <t>09-Mar-2026 15:00:00</t>
  </si>
  <si>
    <t>09-Mar-2026 16:00:00</t>
  </si>
  <si>
    <t>16-Mar-2026 11:00:00</t>
  </si>
  <si>
    <t>10-Mar-2026 08:30:00</t>
  </si>
  <si>
    <t>10-Mar-2026 09:30:00</t>
  </si>
  <si>
    <t>10-Mar-2026 10:30:00</t>
  </si>
  <si>
    <t>10-Mar-2026 09:00:00</t>
  </si>
  <si>
    <t>10-Mar-2026 13:30:00</t>
  </si>
  <si>
    <t>10-Mar-2026 11:30:00</t>
  </si>
  <si>
    <t>10-Mar-2026 15:50:00</t>
  </si>
  <si>
    <t>10-Mar-2026 17:30:00</t>
  </si>
  <si>
    <t>10-Mar-2026 17:00:00</t>
  </si>
  <si>
    <t>10-Mar-2026 17:15:00</t>
  </si>
  <si>
    <t>11-Mar-2026 07:30:00</t>
  </si>
  <si>
    <t>11-Mar-2026 11:00:00</t>
  </si>
  <si>
    <t>11-Mar-2026 10:30:00</t>
  </si>
  <si>
    <t>11-Mar-2026 09:00:00</t>
  </si>
  <si>
    <t>12-Mar-2026 08:00:00</t>
  </si>
  <si>
    <t>12-Mar-2026 10:40:00</t>
  </si>
  <si>
    <t>12-Mar-2026 09:30:00</t>
  </si>
  <si>
    <t>12-Mar-2026 10:00:00</t>
  </si>
  <si>
    <t>12-Mar-2026 13:00:00</t>
  </si>
  <si>
    <t>12-Mar-2026 07:00:00</t>
  </si>
  <si>
    <t>13-Mar-2026 13:00:00</t>
  </si>
  <si>
    <t>13-Mar-2026 16:00:00</t>
  </si>
  <si>
    <t>13-Mar-2026 13:30:00</t>
  </si>
  <si>
    <t>13-Mar-2026 20:00:00</t>
  </si>
  <si>
    <t>13-Mar-2026 15:00:00</t>
  </si>
  <si>
    <t>16-Mar-2026 12:00:00</t>
  </si>
  <si>
    <t>16-Mar-2026 12:55:00</t>
  </si>
  <si>
    <t>17-Mar-2026 14:00:00</t>
  </si>
  <si>
    <t>17-Mar-2026 09:00:00</t>
  </si>
  <si>
    <t>17-Mar-2026 15:00:00</t>
  </si>
  <si>
    <t>17-Mar-2026 10:00:00</t>
  </si>
  <si>
    <t>17-Mar-2026 11:00:00</t>
  </si>
  <si>
    <t>17-Mar-2026 13:00:00</t>
  </si>
  <si>
    <t>17-Mar-2026 12:00:00</t>
  </si>
  <si>
    <t>17-Mar-2026 09:30:00</t>
  </si>
  <si>
    <t>17-Mar-2026 10:30:00</t>
  </si>
  <si>
    <t>18-Mar-2026 11:00:00</t>
  </si>
  <si>
    <t>18-Mar-2026 21:00:00</t>
  </si>
  <si>
    <t>18-Mar-2026 15:00:00</t>
  </si>
  <si>
    <t>18-Mar-2026 20:00:00</t>
  </si>
  <si>
    <t>18-Mar-2026 13:00:00</t>
  </si>
  <si>
    <t>18-Mar-2026 09:00:00</t>
  </si>
  <si>
    <t>18-Mar-2026 16:00:00</t>
  </si>
  <si>
    <t>26-Feb-2026 10:00:00</t>
  </si>
  <si>
    <t>19-Mar-2026 08:30:00</t>
  </si>
  <si>
    <t>19-Mar-2026 14:00:00</t>
  </si>
  <si>
    <t>19-Mar-2026 09:00:00</t>
  </si>
  <si>
    <t>19-Mar-2026 08:00:00</t>
  </si>
  <si>
    <t>19-Mar-2026 11:00:00</t>
  </si>
  <si>
    <t>19-Mar-2026 10:00:00</t>
  </si>
  <si>
    <t>19-Mar-2026 15:00:00</t>
  </si>
  <si>
    <t>20-Mar-2026 10:45:00</t>
  </si>
  <si>
    <t>23-Mar-2026 09:00:00</t>
  </si>
  <si>
    <t>23-Mar-2026 15:00:00</t>
  </si>
  <si>
    <t>23-Mar-2026 14:00:00</t>
  </si>
  <si>
    <t>23-Mar-2026 08:00:00</t>
  </si>
  <si>
    <t>23-Mar-2026 10:00:00</t>
  </si>
  <si>
    <t>23-Mar-2026 13:00:00</t>
  </si>
  <si>
    <t>23-Mar-2026 12:00:00</t>
  </si>
  <si>
    <t>30-Mar-2026 14:00:00</t>
  </si>
  <si>
    <t>24-Mar-2026 16:00:00</t>
  </si>
  <si>
    <t>24-Mar-2026 18:00:00</t>
  </si>
  <si>
    <t>24-Mar-2026 12:00:00</t>
  </si>
  <si>
    <t>24-Mar-2026 11:00:00</t>
  </si>
  <si>
    <t>24-Mar-2026 09:00:00</t>
  </si>
  <si>
    <t>24-Mar-2026 13:30:00</t>
  </si>
  <si>
    <t>24-Mar-2026 12:30:00</t>
  </si>
  <si>
    <t>24-Mar-2026 11:30:00</t>
  </si>
  <si>
    <t>24-Mar-2026 10:30:00</t>
  </si>
  <si>
    <t>24-Mar-2026 19:00:00</t>
  </si>
  <si>
    <t>24-Mar-2026 15:00:00</t>
  </si>
  <si>
    <t>24-Mar-2026 14:00:00</t>
  </si>
  <si>
    <t>24-Mar-2026 10:00:00</t>
  </si>
  <si>
    <t>24-Mar-2026 18:30:00</t>
  </si>
  <si>
    <t>24-Mar-2026 19:30:00</t>
  </si>
  <si>
    <t>24-Mar-2026 17:30:00</t>
  </si>
  <si>
    <t>25-Mar-2026 11:00:00</t>
  </si>
  <si>
    <t>25-Mar-2026 09:00:00</t>
  </si>
  <si>
    <t>25-Mar-2026 08:00:00</t>
  </si>
  <si>
    <t>27-Mar-2026 15:00:00</t>
  </si>
  <si>
    <t>27-Mar-2026 11:00:00</t>
  </si>
  <si>
    <t>27-Mar-2026 10:30:00</t>
  </si>
  <si>
    <t>27-Mar-2026 09:30:00</t>
  </si>
  <si>
    <t>27-Mar-2026 08:30:00</t>
  </si>
  <si>
    <t>30-Mar-2026 17:30:00</t>
  </si>
  <si>
    <t>30-Mar-2026 12:00:00</t>
  </si>
  <si>
    <t>30-Mar-2026 09:00:00</t>
  </si>
  <si>
    <t>30-Mar-2026 08:00:00</t>
  </si>
  <si>
    <t>30-Mar-2026 16:00:00</t>
  </si>
  <si>
    <t>30-Mar-2026 18:00:00</t>
  </si>
  <si>
    <t>31-Mar-2026 16:00:00</t>
  </si>
  <si>
    <t>31-Mar-2026 17:40:00</t>
  </si>
  <si>
    <t>31-Mar-2026 11:00:00</t>
  </si>
  <si>
    <t>31-Mar-2026 13:00:00</t>
  </si>
  <si>
    <t>31-Mar-2026 12:00:00</t>
  </si>
  <si>
    <t>11-Mar-2026 11:30:00</t>
  </si>
  <si>
    <t xml:space="preserve">P- QE:16, MAINTENANCE DONE ACCORDING TO HEPPM CHECKLIST ATTACHED </t>
  </si>
  <si>
    <t xml:space="preserve">M,QE:16-PPMDONE AS  CHECKLIST ATTACHED </t>
  </si>
  <si>
    <t xml:space="preserve">M,QE:16-PPM DONE AS PERCHECKLIST  ATTACHED </t>
  </si>
  <si>
    <t xml:space="preserve">M,QE:16-PPM DONE AS PER HEPPM CHECKLIST ATTACHED </t>
  </si>
  <si>
    <t xml:space="preserve">P - QE:16, MAINTENANCE DONE AD PER HEPPM CHECKLIST ATTACHED </t>
  </si>
  <si>
    <t xml:space="preserve">L, QE:16-PPM HAS BEEN COMPLETE AS PER HEPPM CHECKLIST </t>
  </si>
  <si>
    <t xml:space="preserve">L, QE:16-PPM HAS BEEN COMPLETE AS PER HEPPM CHECKLIST 
</t>
  </si>
  <si>
    <t xml:space="preserve">MAINTENANCE DONE ACCORDING TO HEPPM CHECKLIST ATTACHED </t>
  </si>
  <si>
    <t xml:space="preserve">P - QE:16, MAINTENANCE DONE ACCORDING TO HEPPM CHECKLIST ATTACHED </t>
  </si>
  <si>
    <t xml:space="preserve">P-QE:16, MAINTENANCE DONE ACCORDING TO HEPPM CHECKLLIST ATTACHED </t>
  </si>
  <si>
    <t xml:space="preserve">P - QE:16, MAINTENANCE DONE AS PER HEPPM CHECKLIST ATTACHED </t>
  </si>
  <si>
    <t>M,QE:16-MAINTENANCE DONE AS PERCHECKLIST ATTACHED AND UNIT RETURNED IN FULL FUNCTINALITY</t>
  </si>
  <si>
    <t xml:space="preserve">P - PPM HAS BEEN COMPLETED AS PER HEPPM CHECKLIST </t>
  </si>
  <si>
    <t>L, QE:16-PPM HAS BEEN COMPLETE AS PER HEPPM CHECKLIST</t>
  </si>
  <si>
    <t xml:space="preserve">M,QE:16- PPM DONE AS PER HEPPM CHECKLIST ATTACHED </t>
  </si>
  <si>
    <t>M,QE:16-PPM DONE AS PER HEPPM CHECKLIST ATTACHED</t>
  </si>
  <si>
    <t xml:space="preserve">M,QE:16-PPM DONE AS PERCHECKLIST </t>
  </si>
  <si>
    <t xml:space="preserve">M,QE:16-PPM DONE AS PER CHECKLIST </t>
  </si>
  <si>
    <t>M,QE:16-PPM DONE AS PER CHECKLIST</t>
  </si>
  <si>
    <t>P - PPM HAS BEEN COMPLETED AS PER HEPPM CHECKLIST</t>
  </si>
  <si>
    <t xml:space="preserve">M, QE:16- PPM COMPLETED AS PER CHECKLIST.UNIT TESTED OKAY </t>
  </si>
  <si>
    <t xml:space="preserve">M,QE:16-PPM COMPLETED AS PER CHECKLIST.UNIT TESTED OKAY </t>
  </si>
  <si>
    <t xml:space="preserve">M,QE:16-MAINTENANCE DONE AS PER HEPPM CHECKLIST ATTACHED </t>
  </si>
  <si>
    <t xml:space="preserve">L, QE:16- PPM HAS BEEN COMPLETE AS PER HEPPM CHECKLIST </t>
  </si>
  <si>
    <t>P - MAINTENANCE DONE AS PER HEPPM CHECKLIST ATTACHED</t>
  </si>
  <si>
    <t>M,QE:16-PPM COMPLETED AS PER CHECKLIST.UNIT TESTED OKAY</t>
  </si>
  <si>
    <t xml:space="preserve">M,QE:16-PPM COMPLETED AS PER CHECKLIST.UNIT TESTED OKAY
</t>
  </si>
  <si>
    <t>M,QE:16-PPM DONE AS PERCHECKIST</t>
  </si>
  <si>
    <t xml:space="preserve">M,QE:16-PPM HAS BEEN COMPLETED AS PER HEPPM CHECKLIST 
</t>
  </si>
  <si>
    <t xml:space="preserve">M,QE:16-PPM DONE AS PERCHECKLIST,CLEAN THE STICKER RESIDUE </t>
  </si>
  <si>
    <t xml:space="preserve">M,QE:16-PPM DONE AS PERCHECKLIST, CLEAN UNIT DUE TO DUSTY </t>
  </si>
  <si>
    <t xml:space="preserve">M,QE:16-PPM DONE AS PERCHECKLIST 
</t>
  </si>
  <si>
    <t xml:space="preserve">M,QE:16-PPM DONE AS PER HEPPM CHECKLIST ATTACHED
</t>
  </si>
  <si>
    <t xml:space="preserve">M,QE:16-PPM DONE AS PER HEPPM CHECKLIST ATTACHED 
</t>
  </si>
  <si>
    <t xml:space="preserve">M,QE:16-MAINTENANCE DONE ACCORDING TO HEPPM CHECKLIST ATTACHED </t>
  </si>
  <si>
    <t>M,QE:16-MAINTENANCE DONE  AS PER HEPPM CHECKLIST ATTACHED.UNIT FUNCTIONING IN GOOD CONDITION</t>
  </si>
  <si>
    <t>M,QE:16-ROUTINE INSPECTION DONE AS PER CHECKLIST ATTACHED</t>
  </si>
  <si>
    <t xml:space="preserve">M,QE:16-ROUTINE INSPECTION DONE AS PER CHECKLIST ATTACHED 
</t>
  </si>
  <si>
    <t xml:space="preserve">M,QE:16-ROUTINE INSPECTION DONE AS PER CHECKLIST ATTACHED </t>
  </si>
  <si>
    <t xml:space="preserve">M,QE:16-PPM DONE AS PERCHEKLIST </t>
  </si>
  <si>
    <t>M,QE:16-PPM DONE AS PERCHECKLIST</t>
  </si>
  <si>
    <t xml:space="preserve">M,QE:16-MAINTENANCE DONE AS PER HEPPM CHECKLIST ATTACHED 
</t>
  </si>
  <si>
    <t>M,QE:16-PPM DONE AS PERCHEKLIST</t>
  </si>
  <si>
    <t xml:space="preserve">P - PPM HAS BEEN COMPLETED AS PER HEPPM CHECKLIST
</t>
  </si>
  <si>
    <t>M,QE:16-MAINTENANCE DONE AS PER HEPPM CHECKLIST ATTACHED</t>
  </si>
  <si>
    <t xml:space="preserve">M,QE:16-PPM HAS BEEN COMPLETED AS PER HEPPM CHECKLIST </t>
  </si>
  <si>
    <t xml:space="preserve">M,QE:16-PPM MAINTENANCE NOT DONE DUE TO UIT ASSET INACTIVE </t>
  </si>
  <si>
    <t xml:space="preserve">M,QE:16-MAINTENANCE DONE BY VENDOR AS PER MANUFACTURER HEPPM CHECKLIST ATTACHED </t>
  </si>
  <si>
    <t xml:space="preserve">M,QE:16-MAINTENANCE DONE  AS PER HEPPM CHECKLIST ATTACHED.UNIT FUNCTIONING IN GOOD CONDITION </t>
  </si>
  <si>
    <t xml:space="preserve">M,QE:16-MAINTENANCE DONE  AS PER HEPPM CHECKLIST ATTACHED.UNIT FUNCTIONING IN GOOD CONDITION 
</t>
  </si>
  <si>
    <t xml:space="preserve">P - QE:16, PPM COMPLETED AS PER CHECKLIST. UNIT TESTED OKAY. </t>
  </si>
  <si>
    <t>M,QE:16-MAINTENANCE DONE  AS PER HEPPM CHECKLIST ATTACHED</t>
  </si>
  <si>
    <t xml:space="preserve">P - PPM COMPLETED AS PER CHECKLIST. UNIT TESTED OKAY </t>
  </si>
  <si>
    <t>M,QE:16-PPM DONE AS PER HEPPM CHECKLIST</t>
  </si>
  <si>
    <t xml:space="preserve">M,QE:16-PPM DONE AS PER HEPPM CHECKLIST 
</t>
  </si>
  <si>
    <t>M,QE:16-MAINTENANNCE DONE AS PER CHEKLIST ATTACHED</t>
  </si>
  <si>
    <t xml:space="preserve">M,QE:16-MAINTENANCE DONE AS PER CHECKLIST ATTACHED </t>
  </si>
  <si>
    <t xml:space="preserve">M,QE:16-MAINTENANCE DONE AS PER HEPPM CHECKLIST ATTACHED.UNIT LEFT IN FULL FUNCTIONALITY </t>
  </si>
  <si>
    <t xml:space="preserve">M,QE:16-MAINTENANCE AS PER HEPPM CHECKLIST ATTACHED.UNIT FUNCTIONING IN GOOD CONDITION </t>
  </si>
  <si>
    <t xml:space="preserve">M,QE:16-MAINTENANCE DONE AS PER HEPPM CHECKLIST ATTACHED.UNIT FUNCTIONING IN GOOD CONDITION </t>
  </si>
  <si>
    <t xml:space="preserve">P - PPM HAS BEEN COMPLETED AS PER HEPPM CHECKLIST. </t>
  </si>
  <si>
    <t>P - PPM COMPLETED AS PER CHECKLIST. UNIT TESTED OKAY</t>
  </si>
  <si>
    <t>P- QE:16,  MAINTENANCE DONE AS PER HEPPM CHECKLIST ATTACHED</t>
  </si>
  <si>
    <t>IKN402112</t>
  </si>
  <si>
    <t>IKNWOBE26003497</t>
  </si>
  <si>
    <t>26-Mar-2026 19:00:00</t>
  </si>
  <si>
    <t>IKN400373</t>
  </si>
  <si>
    <t>IKN400373-Infusion Pumps, General-Purpose</t>
  </si>
  <si>
    <t>IKNWOBE26003504</t>
  </si>
  <si>
    <t>01-Apr-2026 09:00:00</t>
  </si>
  <si>
    <t>IKN400337</t>
  </si>
  <si>
    <t>IKNWOBE26003531</t>
  </si>
  <si>
    <t>01-Apr-2026 10:00:00</t>
  </si>
  <si>
    <t>IKN400369</t>
  </si>
  <si>
    <t>IKNWOBE26004708</t>
  </si>
  <si>
    <t>01-Apr-2026 15:00:00</t>
  </si>
  <si>
    <t>IKN400797</t>
  </si>
  <si>
    <t>IKN402056</t>
  </si>
  <si>
    <t>IKN402057</t>
  </si>
  <si>
    <t>IKN402058</t>
  </si>
  <si>
    <t>IKN402059</t>
  </si>
  <si>
    <t>IKN402060</t>
  </si>
  <si>
    <t>IKN402061</t>
  </si>
  <si>
    <t>IKN402062</t>
  </si>
  <si>
    <t>IKN402063</t>
  </si>
  <si>
    <t>IKN402064</t>
  </si>
  <si>
    <t>IKN402065</t>
  </si>
  <si>
    <t>IKN402070</t>
  </si>
  <si>
    <t>IKN400755</t>
  </si>
  <si>
    <t>IKN400756</t>
  </si>
  <si>
    <t>IKN401228</t>
  </si>
  <si>
    <t>IKN401230</t>
  </si>
  <si>
    <t>IKN402141</t>
  </si>
  <si>
    <t>Analyzers, Laboratory, Hematology, Coagulation, Automated</t>
  </si>
  <si>
    <t>Calibrators, Radioisotope</t>
  </si>
  <si>
    <t>IKNWOBE26003405</t>
  </si>
  <si>
    <t>IKNWOBE26003443</t>
  </si>
  <si>
    <t>IKNWOBE26003444</t>
  </si>
  <si>
    <t>IKNWOBE26003445</t>
  </si>
  <si>
    <t>IKNWOBE26003446</t>
  </si>
  <si>
    <t>IKNWOBE26003447</t>
  </si>
  <si>
    <t>IKNWOBE26003448</t>
  </si>
  <si>
    <t>IKNWOBE26003449</t>
  </si>
  <si>
    <t>IKNWOBE26003450</t>
  </si>
  <si>
    <t>IKNWOBE26003451</t>
  </si>
  <si>
    <t>IKNWOBE26003452</t>
  </si>
  <si>
    <t>IKNWOBE26003453</t>
  </si>
  <si>
    <t>IKNWOBE26003472</t>
  </si>
  <si>
    <t>IKNWOBE26003516</t>
  </si>
  <si>
    <t>IKNWOBE26003518</t>
  </si>
  <si>
    <t>IKNWOBE26003519</t>
  </si>
  <si>
    <t>IKNWOBE26003536</t>
  </si>
  <si>
    <t>IKNWOBE26003573</t>
  </si>
  <si>
    <t>04LA130</t>
  </si>
  <si>
    <t>04LA114</t>
  </si>
  <si>
    <t>04LA132</t>
  </si>
  <si>
    <t>03WA125</t>
  </si>
  <si>
    <t>03NM153</t>
  </si>
  <si>
    <t>REAGENT PROBE ERROR. REALLIGMENT REAGENT PROBE, RUN CAL, QC AND OK</t>
  </si>
  <si>
    <t>26-Mar-2026 08:30:00</t>
  </si>
  <si>
    <t>01-Apr-2026 13:00:00</t>
  </si>
  <si>
    <t>31-Mar-2026 09:30:00</t>
  </si>
  <si>
    <t>0 days, 1 hrs, 18 mins</t>
  </si>
  <si>
    <t>31-Mar-2026 10:30:00</t>
  </si>
  <si>
    <t>M-REPLACE NEW BATTERY ,TEST UNIT FUNCTIONING WELL.UNIT PROPOSED ANDATED TECHNOLOGY</t>
  </si>
  <si>
    <t>0 days, 1 hrs, 8 mins</t>
  </si>
  <si>
    <t>31-Mar-2026 10:00:00</t>
  </si>
  <si>
    <t>M-REPLACE NEW BATTERY ,UNIT TEST FUNCTIONING WELL. UNIT PROPOSE TO BER DUE TO AUDATED TECHNOLOGY</t>
  </si>
  <si>
    <t xml:space="preserve">
PO : 
ETA : </t>
  </si>
  <si>
    <t xml:space="preserve">LCD BOARD FAULTY
WAITING PARTS FROM VENDOR 
PO : 
ETA : </t>
  </si>
  <si>
    <t xml:space="preserve">CHARGER FAULTY
WAITING PARTS FROM VENDOR (B BROUN)
PO : 
ETA : </t>
  </si>
  <si>
    <t>02-Apr-2026 16:00:00</t>
  </si>
  <si>
    <t>Washers, Flexible Endoscope</t>
  </si>
  <si>
    <t>13-272</t>
  </si>
  <si>
    <t xml:space="preserve"> </t>
  </si>
  <si>
    <t>15-999</t>
  </si>
  <si>
    <t>12-647</t>
  </si>
  <si>
    <t xml:space="preserve">UPSTREAM / DOWN STREAM SENSOR FAULTY 
SENT TO Bbraun DN:19/11/25 PO12152725 4/12/25
UNIT SENT OUT TO BRAUN FOR REPAIR WORK. ALL DEFECTIVE PARTS WERE CHANGE BY B BRAUN. </t>
  </si>
  <si>
    <t>Analyzers, Laboratory, Hematology, Platelet Aggregation</t>
  </si>
  <si>
    <t>15-104</t>
  </si>
  <si>
    <t>IKNWIBE26005483</t>
  </si>
  <si>
    <t>POWER TRIP (MACHINE NOVALIS) - RADIOTERAPI</t>
  </si>
  <si>
    <t>19-Mar-2026 13:40:00</t>
  </si>
  <si>
    <t>19-Mar-2026 13:32:00</t>
  </si>
  <si>
    <t>19-Mar-2026 14:20:00</t>
  </si>
  <si>
    <t>M-RESET BREAKER AND POWER SUPPLY BACK TO NORMAL CONDITIONS.UNIT LEST IN FULL FUNCTIONALITY</t>
  </si>
  <si>
    <t>06-Mar-2026 17:00:00</t>
  </si>
  <si>
    <t>06-Mar-2026 17:20:00</t>
  </si>
  <si>
    <t>08-Mar-2026 16:30:00</t>
  </si>
  <si>
    <t>01RT183</t>
  </si>
  <si>
    <t>IKNWIBE26004425</t>
  </si>
  <si>
    <t>M-REPLACED ION CHAMBER SECONDARY RESOLVER BY VENDOR AND UNIT WERE BACK TO NORMAL CONDITION.UNIT LEFT IN FULL FUNCTIONALITY (ASSET NEW, DW)</t>
  </si>
  <si>
    <t>0 days, 0 hrs, 25 mins</t>
  </si>
  <si>
    <t>MONTLY CHECKING AS PER VENDOR ATTACHMENT</t>
  </si>
  <si>
    <t>0 days, 1 hrs, 00 mins</t>
  </si>
  <si>
    <t>0 days, 0 hrs, 32 mins</t>
  </si>
  <si>
    <t xml:space="preserve">MESIN LINAC 5 KELUAR BGM - RADIOTERAPI (KKM/IKN/H/25/152) </t>
  </si>
  <si>
    <t>M,QE:16-(VENDOR NOT AVAILABLE)
PPM COMPLETED BY VENDOR.UNIT TESTED OKAY.</t>
  </si>
  <si>
    <t xml:space="preserve">P - (ASSET IN USE)
PPM HAS BEEN COMPLETED AS PER HEPPM CHECKLIST </t>
  </si>
  <si>
    <t>P - (ASSET IN USE)
PPM HAS BEEN COMPLETED AS PER HEPPM CHECKLIST</t>
  </si>
  <si>
    <t xml:space="preserve">M,QE:16- (ASSET IN USE) QC COMPLETED  BY VENDOR </t>
  </si>
  <si>
    <t xml:space="preserve">M,QE:16-(ASSET IN USE) QC COMPLETED BY VENDOR </t>
  </si>
  <si>
    <t>M,QE:16-(VENDOR AVAILABLE)
PPM COMPLETED AS PER CHECKLIST.UNIT TESTED OKAY</t>
  </si>
  <si>
    <t xml:space="preserve">M,QE:(ASSET IN USE)
16-PPM HAS BEEN COMPLETED AS PER HEPPM CHECKLIST </t>
  </si>
  <si>
    <t>P - QE:16 , (VENDOR AVAILABLE) MAINTENANCE DONE AS PER CHECKLIST ATTACHED AND UNIT TESTED OKAY.</t>
  </si>
  <si>
    <t>P - QE:16 ,  (VENDOR AVAILABLE)
PPM COMPLETED BY VENDOR AND UNIT TESTED OKAY.</t>
  </si>
  <si>
    <t xml:space="preserve">P - QE:16 , (VENDOR AVAILABLE)
PPM COMPLETED BY VENDOR. UNIT FUNCTIONING OKAY. </t>
  </si>
  <si>
    <t>M,QE:(ASSET IN USE)
16-PPM HAS BEEN COMPLETED AS PER HEPPM CHECKLIST</t>
  </si>
  <si>
    <t>M,QE:16-(ASSET IN USE)PPM HAS BEEN COMPLETED AS PER HEPPM CHECKLIST</t>
  </si>
  <si>
    <t xml:space="preserve">M,QE:16-(ASSET NOT FOUND)PPM COMPLETED AS PERCHECKLIST </t>
  </si>
  <si>
    <t>IKN400459</t>
  </si>
  <si>
    <t>IKNWOBE26003587</t>
  </si>
  <si>
    <t>31-Mar-2026 13:30:00</t>
  </si>
  <si>
    <t xml:space="preserve">M,QE:16-
(ASSET IN USE)
PPM HAS BEEN COMPLETED AS PER HEPPM CHECKLIST </t>
  </si>
  <si>
    <t>ASSET NOT FOUND</t>
  </si>
  <si>
    <t>WAITING VENDOR FOR DO THE PPM
PO : 71836 (17/3/2026)
ETA : 7/4/2026</t>
  </si>
  <si>
    <t>ASSET IN USE</t>
  </si>
  <si>
    <t>SEND FOR CALIBRATION. WAITING ITEM
PO : 71857 (17/3/2026)
ETA : 9/4/2026</t>
  </si>
  <si>
    <t xml:space="preserve">ASSET IN USE </t>
  </si>
  <si>
    <t>VENDOR NOT AVAILABLE
ETA : 10/4/2026
(MEDI-DIAGNOSTIC)</t>
  </si>
  <si>
    <t>TUBE HEAD NOT FULLY LOCK
WAITING PARTS FROM VENDOR (CARESTREAM) &amp; UPDATE THE ETA.</t>
  </si>
  <si>
    <t>TA done on 20/2/26.Quotation send to IKN done. Request repair under RIW</t>
  </si>
  <si>
    <t>M-REPLACE NEW BATTERY .PROPOSE UNIT TO BER DUE TO AUDATED TECHNOLOGY. Closed on 1/4/2026</t>
  </si>
  <si>
    <t>Quotation received : 9/02/26
PO Date :PO :011001026  ; 5/1/26
Waiting Parts from Insan Damai
ETA : Middle April 2026</t>
  </si>
  <si>
    <t>NO CONNECTION, LAN CABLE . CREATE IP ADDRESS AND ADJUST THE CONNECTOR OF INTERNET BOX.</t>
  </si>
  <si>
    <t>17-148</t>
  </si>
  <si>
    <t>VENDOR DONE TROUBLESHOOT ON 26/3/2026 &amp; 6/3/2026 (OLYMPUS) &amp; WAITING THE QUOTATION. SUSPECT THE SENSOR FAULTY.</t>
  </si>
  <si>
    <t>CHARGER FAULTY
WAITING PARTS FROM VENDOR (B BROUN). DONE REPLACED NEW CHARGER FOR BP AND TESTED OK.</t>
  </si>
  <si>
    <t>LCD BOARD FAULTY
WAITING PARTS FROM VENDOR (Welch Allyn)
Quotation:30/3/2026                                 PO: 31/3/2026                                         ETA : End of April</t>
  </si>
  <si>
    <t>Rescheduled under 
breakdown (IKNWIBE25013055). Sent for calibration DN:31/12/2025 (Nagase). ETA 10/4/2026. Refer email</t>
  </si>
  <si>
    <t>Sent for calibration       
DN:31/12/2025 (Nagase).ETA 10/4/2026. Refer email</t>
  </si>
  <si>
    <t xml:space="preserve">Sent for calibration       
DN:31/12/2025 (Nagase).ETA 10/4/2026. Refer email    </t>
  </si>
  <si>
    <t>DN:31/12/2025 (Nagase).ETA 10/4/2026. Refer email</t>
  </si>
  <si>
    <t>RIPPLE MATTRESS</t>
  </si>
  <si>
    <t>TEMPERATURE HIGH FROM MACHINE, TOUP GAS AND CHECK NO LEAKING.</t>
  </si>
  <si>
    <t>Sent to Bbraun 
DN:19/11/25 
PO : 12153225 ; 5/12/25                              ETA : Middle April 2026</t>
  </si>
  <si>
    <t>LCD BOARD FAULTY
WAITING PARTS FROM VENDOR        (Welch Allyn)
Quotation:30/3/2026                                   PO:  71520, 31/3/2026                                         ETA : End of April</t>
  </si>
  <si>
    <t xml:space="preserve">M,QE:16-PPM COMPLETED AS PERCHECKLIST.UNIT TESTED OKAY  </t>
  </si>
  <si>
    <t>Quotation received : 18/02/26
PO Date : 19/2/26
Waiting Parts (housing)
ETA : End of Mac 2026
M-REPLACE NEW KEYPAD BOARD HOUSING. TESTED OKAY AND FUNCTIONING IN GOOD CONDITION</t>
  </si>
  <si>
    <t>ECG CABLE FAULTY.
WAITING PARTS FROM VENDOR(WELCH ALLYN)
QUO : 6/3/2026 Po done 11/3/26</t>
  </si>
  <si>
    <t>hutang service report best contact</t>
  </si>
  <si>
    <t xml:space="preserve">Po </t>
  </si>
  <si>
    <t>Po</t>
  </si>
  <si>
    <t>Close wo</t>
  </si>
  <si>
    <t>y</t>
  </si>
  <si>
    <t>12/3/2026 Asset in use 17/3/2026 send calibration 10/4 PPM done</t>
  </si>
  <si>
    <t>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</si>
</sst>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3" formatCode="_-* #,##0.00_-;\-* #,##0.00_-;_-* &quot;-&quot;??_-;_-@_-"/>
    <numFmt numFmtId="164" formatCode="[$-409]d\-mmm\-yy;@"/>
    <numFmt numFmtId="165" formatCode="[$-14809]d/m/yyyy;@"/>
    <numFmt numFmtId="166" formatCode="[$-14409]d/m/yyyy;@"/>
    <numFmt numFmtId="167" formatCode="0.00_ "/>
    <numFmt numFmtId="168" formatCode="mmm\-yyyy"/>
    <numFmt numFmtId="169" formatCode="0.000"/>
    <numFmt numFmtId="170" formatCode="#,##0.00_);[Red]\(#,##0.00\)"/>
    <numFmt numFmtId="171" formatCode="[$-C09]dd\-mmm\-yy;@"/>
    <numFmt numFmtId="172" formatCode="&quot;RM&quot;#,##0.00"/>
    <numFmt numFmtId="173" formatCode="dd\-mmm\-yyyy\ hh:mm:ss"/>
    <numFmt numFmtId="174" formatCode="d\ &quot;days&quot;\,\ h\ &quot;hrs&quot;\,\ mm\ &quot;mins&quot;"/>
    <numFmt numFmtId="175" formatCode="[$-409]d\-mmm\-yyyy;@"/>
    <numFmt numFmtId="176" formatCode="m/d;@"/>
    <numFmt numFmtId="177" formatCode="h:mm;@"/>
    <numFmt numFmtId="178" formatCode="dd\-mmm\-yyyy"/>
    <numFmt numFmtId="179" formatCode="dd\-mm\-yyyy"/>
    <numFmt numFmtId="180" formatCode="#,##0.00;[Red]#,##0.00"/>
    <numFmt numFmtId="181" formatCode="d\-mmm\-yyyy"/>
  </numFmts>
  <fonts count="1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Arial"/>
      <family val="2"/>
    </font>
    <font>
      <b/>
      <sz val="10"/>
      <color theme="1"/>
      <name val="Arial"/>
      <family val="2"/>
    </font>
    <font>
      <sz val="10"/>
      <name val="Arial"/>
      <family val="2"/>
    </font>
    <font>
      <sz val="10"/>
      <color theme="1"/>
      <name val="Calibri"/>
      <family val="2"/>
      <scheme val="minor"/>
    </font>
    <font>
      <sz val="9"/>
      <color theme="1"/>
      <name val="Arial"/>
      <family val="2"/>
    </font>
    <font>
      <sz val="10"/>
      <color theme="1"/>
      <name val="Arial"/>
      <family val="2"/>
    </font>
    <font>
      <b/>
      <sz val="10"/>
      <name val="Arial"/>
      <family val="2"/>
    </font>
    <font>
      <sz val="8"/>
      <color theme="1"/>
      <name val="Arial"/>
      <family val="2"/>
    </font>
    <font>
      <sz val="11"/>
      <color theme="1"/>
      <name val="Arial"/>
      <family val="2"/>
    </font>
    <font>
      <sz val="12"/>
      <color theme="1"/>
      <name val="Arial"/>
      <family val="2"/>
    </font>
    <font>
      <sz val="12"/>
      <name val="Arial"/>
      <family val="2"/>
    </font>
    <font>
      <sz val="14"/>
      <color theme="1"/>
      <name val="Arial"/>
      <family val="2"/>
    </font>
    <font>
      <b/>
      <sz val="14"/>
      <name val="Arial"/>
      <family val="2"/>
    </font>
    <font>
      <b/>
      <sz val="12"/>
      <name val="Arial"/>
      <family val="2"/>
    </font>
    <font>
      <b/>
      <sz val="12"/>
      <color theme="1"/>
      <name val="Arial"/>
      <family val="2"/>
    </font>
    <font>
      <b/>
      <sz val="14"/>
      <color theme="1"/>
      <name val="Arial"/>
      <family val="2"/>
    </font>
    <font>
      <i/>
      <sz val="12"/>
      <name val="Arial"/>
      <family val="2"/>
    </font>
    <font>
      <b/>
      <i/>
      <sz val="12"/>
      <color rgb="FF0070C0"/>
      <name val="Arial"/>
      <family val="2"/>
    </font>
    <font>
      <sz val="12"/>
      <color theme="0"/>
      <name val="Arial"/>
      <family val="2"/>
    </font>
    <font>
      <sz val="14"/>
      <name val="Arial"/>
      <family val="2"/>
    </font>
    <font>
      <sz val="16"/>
      <name val="Calibri"/>
      <family val="2"/>
    </font>
    <font>
      <sz val="16"/>
      <color theme="1"/>
      <name val="Calibri"/>
      <family val="2"/>
    </font>
    <font>
      <b/>
      <sz val="16"/>
      <name val="Arial"/>
      <family val="2"/>
    </font>
    <font>
      <b/>
      <sz val="16"/>
      <color theme="1"/>
      <name val="Arial"/>
      <family val="2"/>
    </font>
    <font>
      <i/>
      <sz val="14"/>
      <name val="Arial"/>
      <family val="2"/>
    </font>
    <font>
      <sz val="16"/>
      <color rgb="FF000000"/>
      <name val="Calibri"/>
      <family val="2"/>
    </font>
    <font>
      <b/>
      <i/>
      <sz val="14"/>
      <color rgb="FF0070C0"/>
      <name val="Arial"/>
      <family val="2"/>
    </font>
    <font>
      <sz val="14"/>
      <color theme="0"/>
      <name val="Arial"/>
      <family val="2"/>
    </font>
    <font>
      <sz val="16"/>
      <name val="Arial"/>
      <family val="2"/>
    </font>
    <font>
      <sz val="33"/>
      <name val="Arial"/>
      <family val="2"/>
    </font>
    <font>
      <sz val="16"/>
      <name val="Tahoma"/>
      <family val="2"/>
    </font>
    <font>
      <sz val="16"/>
      <name val="Calibri"/>
      <family val="2"/>
      <scheme val="minor"/>
    </font>
    <font>
      <b/>
      <sz val="20"/>
      <name val="Arial"/>
      <family val="2"/>
    </font>
    <font>
      <sz val="20"/>
      <name val="Arial"/>
      <family val="2"/>
    </font>
    <font>
      <sz val="24"/>
      <name val="Arial"/>
      <family val="2"/>
    </font>
    <font>
      <sz val="24"/>
      <color theme="1"/>
      <name val="Arial"/>
      <family val="2"/>
    </font>
    <font>
      <sz val="11"/>
      <name val="Calibri"/>
      <family val="2"/>
      <scheme val="minor"/>
    </font>
    <font>
      <sz val="20"/>
      <name val="Calibri"/>
      <family val="2"/>
      <scheme val="minor"/>
    </font>
    <font>
      <b/>
      <sz val="20"/>
      <name val="Calibri"/>
      <family val="2"/>
      <scheme val="minor"/>
    </font>
    <font>
      <sz val="18"/>
      <name val="Calibri"/>
      <family val="2"/>
      <scheme val="minor"/>
    </font>
    <font>
      <sz val="28"/>
      <name val="Calibri"/>
      <family val="2"/>
      <scheme val="minor"/>
    </font>
    <font>
      <sz val="28"/>
      <color theme="1"/>
      <name val="Calibri"/>
      <family val="2"/>
      <scheme val="minor"/>
    </font>
    <font>
      <i/>
      <sz val="20"/>
      <name val="Tahoma"/>
      <family val="2"/>
    </font>
    <font>
      <b/>
      <sz val="20"/>
      <name val="Tahoma"/>
      <family val="2"/>
    </font>
    <font>
      <b/>
      <sz val="16"/>
      <name val="Calibri"/>
      <family val="2"/>
      <scheme val="minor"/>
    </font>
    <font>
      <b/>
      <sz val="18"/>
      <name val="Calibri"/>
      <family val="2"/>
      <scheme val="minor"/>
    </font>
    <font>
      <b/>
      <i/>
      <sz val="20"/>
      <name val="Tahoma"/>
      <family val="2"/>
    </font>
    <font>
      <sz val="20"/>
      <name val="Tahoma"/>
      <family val="2"/>
    </font>
    <font>
      <sz val="24"/>
      <name val="Calibri"/>
      <family val="2"/>
      <scheme val="minor"/>
    </font>
    <font>
      <sz val="24"/>
      <color theme="1"/>
      <name val="Calibri"/>
      <family val="2"/>
      <scheme val="minor"/>
    </font>
    <font>
      <b/>
      <sz val="24"/>
      <name val="Calibri"/>
      <family val="2"/>
      <scheme val="minor"/>
    </font>
    <font>
      <sz val="24"/>
      <color rgb="FFFF0000"/>
      <name val="Calibri"/>
      <family val="2"/>
      <scheme val="minor"/>
    </font>
    <font>
      <b/>
      <sz val="28"/>
      <name val="Arial"/>
      <family val="2"/>
    </font>
    <font>
      <b/>
      <sz val="36"/>
      <color theme="1"/>
      <name val="Arial"/>
      <family val="2"/>
    </font>
    <font>
      <b/>
      <sz val="28"/>
      <color theme="1"/>
      <name val="Arial"/>
      <family val="2"/>
    </font>
    <font>
      <b/>
      <sz val="36"/>
      <color rgb="FF00B050"/>
      <name val="Arial"/>
      <family val="2"/>
    </font>
    <font>
      <b/>
      <sz val="36"/>
      <color rgb="FF0070C0"/>
      <name val="Arial"/>
      <family val="2"/>
    </font>
    <font>
      <b/>
      <sz val="36"/>
      <name val="Arial"/>
      <family val="2"/>
    </font>
    <font>
      <b/>
      <sz val="36"/>
      <color rgb="FFFF0000"/>
      <name val="Arial"/>
      <family val="2"/>
    </font>
    <font>
      <sz val="28"/>
      <name val="Arial"/>
      <family val="2"/>
    </font>
    <font>
      <b/>
      <sz val="28"/>
      <name val="Calibri"/>
      <family val="2"/>
      <scheme val="minor"/>
    </font>
    <font>
      <sz val="42"/>
      <name val="Arial"/>
      <family val="2"/>
    </font>
    <font>
      <b/>
      <sz val="42"/>
      <name val="Arial"/>
      <family val="2"/>
    </font>
    <font>
      <sz val="42"/>
      <color theme="1"/>
      <name val="Arial"/>
      <family val="2"/>
    </font>
    <font>
      <b/>
      <sz val="28"/>
      <name val="Tahoma"/>
      <family val="2"/>
    </font>
    <font>
      <b/>
      <sz val="42"/>
      <color theme="1"/>
      <name val="Arial"/>
      <family val="2"/>
    </font>
    <font>
      <i/>
      <sz val="28"/>
      <name val="Calibri"/>
      <family val="2"/>
      <scheme val="minor"/>
    </font>
    <font>
      <b/>
      <sz val="42"/>
      <color rgb="FFFF0000"/>
      <name val="Arial"/>
      <family val="2"/>
    </font>
    <font>
      <sz val="42"/>
      <color rgb="FFFF0000"/>
      <name val="Arial"/>
      <family val="2"/>
    </font>
    <font>
      <sz val="42"/>
      <name val="Calibri"/>
      <family val="2"/>
      <scheme val="minor"/>
    </font>
    <font>
      <sz val="9"/>
      <color theme="1"/>
      <name val="Calibri"/>
      <family val="2"/>
      <scheme val="minor"/>
    </font>
    <font>
      <sz val="9"/>
      <name val="Arial"/>
      <family val="2"/>
    </font>
    <font>
      <sz val="8"/>
      <name val="Arial"/>
      <family val="2"/>
    </font>
    <font>
      <b/>
      <sz val="9"/>
      <name val="Arial"/>
      <family val="2"/>
    </font>
    <font>
      <sz val="9"/>
      <color rgb="FF000000"/>
      <name val="Arial"/>
      <family val="2"/>
    </font>
    <font>
      <i/>
      <sz val="9"/>
      <color theme="1"/>
      <name val="Arial"/>
      <family val="2"/>
    </font>
    <font>
      <b/>
      <sz val="9"/>
      <color theme="1"/>
      <name val="Calibri"/>
      <family val="2"/>
      <scheme val="minor"/>
    </font>
    <font>
      <sz val="11"/>
      <name val="Tahoma"/>
      <family val="2"/>
    </font>
    <font>
      <sz val="11"/>
      <color theme="1"/>
      <name val="Tahoma"/>
      <family val="2"/>
    </font>
    <font>
      <b/>
      <sz val="11"/>
      <name val="Tahoma"/>
      <family val="2"/>
    </font>
    <font>
      <sz val="11"/>
      <color rgb="FF000000"/>
      <name val="Tahoma"/>
      <family val="2"/>
    </font>
    <font>
      <sz val="11"/>
      <color indexed="8"/>
      <name val="Calibri"/>
      <family val="2"/>
    </font>
    <font>
      <sz val="11"/>
      <color indexed="9"/>
      <name val="Calibri"/>
      <family val="2"/>
    </font>
    <font>
      <sz val="11"/>
      <color theme="0"/>
      <name val="Calibri"/>
      <family val="2"/>
      <scheme val="minor"/>
    </font>
    <font>
      <sz val="11"/>
      <color indexed="14"/>
      <name val="Calibri"/>
      <family val="2"/>
    </font>
    <font>
      <b/>
      <sz val="11"/>
      <color indexed="1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3"/>
      <name val="Calibri"/>
      <family val="2"/>
    </font>
    <font>
      <sz val="11"/>
      <color indexed="60"/>
      <name val="Calibri"/>
      <family val="2"/>
    </font>
    <font>
      <sz val="11"/>
      <color rgb="FF9C6500"/>
      <name val="Calibri"/>
      <family val="2"/>
      <scheme val="minor"/>
    </font>
    <font>
      <sz val="10"/>
      <color indexed="8"/>
      <name val="Arial"/>
      <family val="2"/>
    </font>
    <font>
      <sz val="10"/>
      <name val="Arial Narrow"/>
      <family val="2"/>
    </font>
    <font>
      <sz val="11"/>
      <name val="Calibri"/>
      <family val="2"/>
    </font>
    <font>
      <sz val="10"/>
      <color theme="1"/>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vertAlign val="superscript"/>
      <sz val="8"/>
      <color theme="1"/>
      <name val="Arial"/>
      <family val="2"/>
    </font>
    <font>
      <vertAlign val="superscript"/>
      <sz val="11"/>
      <color indexed="8"/>
      <name val="Tahoma"/>
      <family val="2"/>
    </font>
    <font>
      <sz val="11"/>
      <color indexed="8"/>
      <name val="Tahoma"/>
      <family val="2"/>
    </font>
    <font>
      <sz val="8"/>
      <color theme="1"/>
      <name val="Calibri"/>
      <family val="2"/>
      <scheme val="minor"/>
    </font>
    <font>
      <sz val="12"/>
      <color theme="1"/>
      <name val="Calibri"/>
      <family val="2"/>
      <scheme val="minor"/>
    </font>
    <font>
      <sz val="16"/>
      <color theme="1"/>
      <name val="Arial"/>
      <family val="2"/>
    </font>
    <font>
      <sz val="11"/>
      <color theme="1"/>
      <name val="Calibri"/>
      <family val="2"/>
      <scheme val="minor"/>
    </font>
    <font>
      <sz val="8"/>
      <name val="Calibri"/>
      <family val="2"/>
      <scheme val="minor"/>
    </font>
    <font>
      <sz val="42"/>
      <name val="Arial"/>
      <family val="2"/>
    </font>
    <font>
      <sz val="11"/>
      <color theme="1"/>
      <name val="Calibri"/>
      <family val="2"/>
      <scheme val="minor"/>
    </font>
    <font>
      <sz val="36"/>
      <color theme="1"/>
      <name val="Arial"/>
      <family val="2"/>
    </font>
    <font>
      <sz val="14"/>
      <name val="Calibri"/>
      <family val="2"/>
      <scheme val="minor"/>
    </font>
    <font>
      <sz val="36"/>
      <name val="Arial"/>
      <family val="2"/>
    </font>
    <font>
      <sz val="42"/>
      <color theme="0"/>
      <name val="Arial"/>
      <family val="2"/>
    </font>
    <font>
      <sz val="24"/>
      <color rgb="FFFF0000"/>
      <name val="Arial"/>
      <family val="2"/>
    </font>
  </fonts>
  <fills count="42">
    <fill>
      <patternFill patternType="none"/>
    </fill>
    <fill>
      <patternFill patternType="gray125"/>
    </fill>
    <fill>
      <patternFill patternType="solid">
        <fgColor theme="4" tint="0.39991454817346722"/>
        <bgColor indexed="64"/>
      </patternFill>
    </fill>
    <fill>
      <patternFill patternType="solid">
        <fgColor theme="0"/>
        <bgColor indexed="64"/>
      </patternFill>
    </fill>
    <fill>
      <patternFill patternType="solid">
        <fgColor rgb="FF00FFFF"/>
        <bgColor indexed="64"/>
      </patternFill>
    </fill>
    <fill>
      <patternFill patternType="solid">
        <fgColor rgb="FFFF9999"/>
        <bgColor indexed="64"/>
      </patternFill>
    </fill>
    <fill>
      <patternFill patternType="solid">
        <fgColor rgb="FFFFCC9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9D9D9"/>
        <bgColor indexed="64"/>
      </patternFill>
    </fill>
    <fill>
      <patternFill patternType="solid">
        <fgColor theme="5" tint="0.59999389629810485"/>
        <bgColor indexed="64"/>
      </patternFill>
    </fill>
    <fill>
      <patternFill patternType="solid">
        <fgColor theme="0"/>
        <bgColor theme="0"/>
      </patternFill>
    </fill>
    <fill>
      <patternFill patternType="solid">
        <fgColor theme="4" tint="0.59999389629810485"/>
        <bgColor indexed="64"/>
      </patternFill>
    </fill>
    <fill>
      <patternFill patternType="solid">
        <fgColor rgb="FF89E0FF"/>
        <bgColor indexed="64"/>
      </patternFill>
    </fill>
    <fill>
      <patternFill patternType="solid">
        <fgColor rgb="FF76E3FF"/>
        <bgColor indexed="64"/>
      </patternFill>
    </fill>
    <fill>
      <patternFill patternType="solid">
        <fgColor rgb="FF33CCFF"/>
        <bgColor indexed="64"/>
      </patternFill>
    </fill>
    <fill>
      <patternFill patternType="solid">
        <fgColor rgb="FFFFE699"/>
        <bgColor indexed="64"/>
      </patternFill>
    </fill>
    <fill>
      <patternFill patternType="solid">
        <fgColor rgb="FF33CCFF"/>
        <bgColor theme="4"/>
      </patternFill>
    </fill>
    <fill>
      <patternFill patternType="solid">
        <fgColor theme="0"/>
        <bgColor theme="4" tint="0.79992065187536243"/>
      </patternFill>
    </fill>
    <fill>
      <patternFill patternType="solid">
        <fgColor rgb="FFCCCC00"/>
        <bgColor indexed="64"/>
      </patternFill>
    </fill>
    <fill>
      <patternFill patternType="solid">
        <fgColor rgb="FFFFEB9C"/>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theme="5" tint="0.39991454817346722"/>
        <bgColor indexed="64"/>
      </patternFill>
    </fill>
    <fill>
      <patternFill patternType="solid">
        <fgColor indexed="51"/>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9" tint="0.39991454817346722"/>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theme="4" tint="0.39991454817346722"/>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s>
  <cellStyleXfs count="114">
    <xf numFmtId="0" fontId="0" fillId="0" borderId="0"/>
    <xf numFmtId="43" fontId="115" fillId="0" borderId="0" applyFont="0" applyFill="0" applyBorder="0" applyAlignment="0" applyProtection="0"/>
    <xf numFmtId="9" fontId="115" fillId="0" borderId="0" applyFont="0" applyFill="0" applyBorder="0" applyAlignment="0" applyProtection="0"/>
    <xf numFmtId="0" fontId="86" fillId="21" borderId="0" applyNumberFormat="0" applyBorder="0" applyAlignment="0" applyProtection="0"/>
    <xf numFmtId="0" fontId="86" fillId="22" borderId="0" applyNumberFormat="0" applyBorder="0" applyAlignment="0" applyProtection="0"/>
    <xf numFmtId="0" fontId="86" fillId="23" borderId="0" applyNumberFormat="0" applyBorder="0" applyAlignment="0" applyProtection="0"/>
    <xf numFmtId="0" fontId="86" fillId="24" borderId="0" applyNumberFormat="0" applyBorder="0" applyAlignment="0" applyProtection="0"/>
    <xf numFmtId="0" fontId="86" fillId="25" borderId="0" applyNumberFormat="0" applyBorder="0" applyAlignment="0" applyProtection="0"/>
    <xf numFmtId="0" fontId="86" fillId="23" borderId="0" applyNumberFormat="0" applyBorder="0" applyAlignment="0" applyProtection="0"/>
    <xf numFmtId="0" fontId="86" fillId="25" borderId="0" applyNumberFormat="0" applyBorder="0" applyAlignment="0" applyProtection="0"/>
    <xf numFmtId="0" fontId="86" fillId="22" borderId="0" applyNumberFormat="0" applyBorder="0" applyAlignment="0" applyProtection="0"/>
    <xf numFmtId="0" fontId="86" fillId="26" borderId="0" applyNumberFormat="0" applyBorder="0" applyAlignment="0" applyProtection="0"/>
    <xf numFmtId="0" fontId="86" fillId="27" borderId="0" applyNumberFormat="0" applyBorder="0" applyAlignment="0" applyProtection="0"/>
    <xf numFmtId="0" fontId="86" fillId="25" borderId="0" applyNumberFormat="0" applyBorder="0" applyAlignment="0" applyProtection="0"/>
    <xf numFmtId="0" fontId="86" fillId="23" borderId="0" applyNumberFormat="0" applyBorder="0" applyAlignment="0" applyProtection="0"/>
    <xf numFmtId="0" fontId="87" fillId="25" borderId="0" applyNumberFormat="0" applyBorder="0" applyAlignment="0" applyProtection="0"/>
    <xf numFmtId="0" fontId="88" fillId="2" borderId="0" applyNumberFormat="0" applyBorder="0" applyAlignment="0" applyProtection="0"/>
    <xf numFmtId="0" fontId="87" fillId="28" borderId="0" applyNumberFormat="0" applyBorder="0" applyAlignment="0" applyProtection="0"/>
    <xf numFmtId="0" fontId="88" fillId="29" borderId="0" applyNumberFormat="0" applyBorder="0" applyAlignment="0" applyProtection="0"/>
    <xf numFmtId="0" fontId="87" fillId="30" borderId="0" applyNumberFormat="0" applyBorder="0" applyAlignment="0" applyProtection="0"/>
    <xf numFmtId="0" fontId="88" fillId="31" borderId="0" applyNumberFormat="0" applyBorder="0" applyAlignment="0" applyProtection="0"/>
    <xf numFmtId="0" fontId="87" fillId="27" borderId="0" applyNumberFormat="0" applyBorder="0" applyAlignment="0" applyProtection="0"/>
    <xf numFmtId="0" fontId="88" fillId="32" borderId="0" applyNumberFormat="0" applyBorder="0" applyAlignment="0" applyProtection="0"/>
    <xf numFmtId="0" fontId="87" fillId="25" borderId="0" applyNumberFormat="0" applyBorder="0" applyAlignment="0" applyProtection="0"/>
    <xf numFmtId="0" fontId="88" fillId="33" borderId="0" applyNumberFormat="0" applyBorder="0" applyAlignment="0" applyProtection="0"/>
    <xf numFmtId="0" fontId="87" fillId="22" borderId="0" applyNumberFormat="0" applyBorder="0" applyAlignment="0" applyProtection="0"/>
    <xf numFmtId="0" fontId="88" fillId="34" borderId="0" applyNumberFormat="0" applyBorder="0" applyAlignment="0" applyProtection="0"/>
    <xf numFmtId="0" fontId="87" fillId="35" borderId="0" applyNumberFormat="0" applyBorder="0" applyAlignment="0" applyProtection="0"/>
    <xf numFmtId="0" fontId="87" fillId="28" borderId="0" applyNumberFormat="0" applyBorder="0" applyAlignment="0" applyProtection="0"/>
    <xf numFmtId="0" fontId="87" fillId="30" borderId="0" applyNumberFormat="0" applyBorder="0" applyAlignment="0" applyProtection="0"/>
    <xf numFmtId="0" fontId="87" fillId="36" borderId="0" applyNumberFormat="0" applyBorder="0" applyAlignment="0" applyProtection="0"/>
    <xf numFmtId="0" fontId="87" fillId="37" borderId="0" applyNumberFormat="0" applyBorder="0" applyAlignment="0" applyProtection="0"/>
    <xf numFmtId="0" fontId="87" fillId="38" borderId="0" applyNumberFormat="0" applyBorder="0" applyAlignment="0" applyProtection="0"/>
    <xf numFmtId="0" fontId="89" fillId="39" borderId="0" applyNumberFormat="0" applyBorder="0" applyAlignment="0" applyProtection="0"/>
    <xf numFmtId="0" fontId="90" fillId="40" borderId="41" applyNumberFormat="0" applyAlignment="0" applyProtection="0"/>
    <xf numFmtId="0" fontId="91" fillId="41" borderId="42" applyNumberFormat="0" applyAlignment="0" applyProtection="0"/>
    <xf numFmtId="41" fontId="115" fillId="0" borderId="0" applyFont="0" applyFill="0" applyBorder="0" applyAlignment="0" applyProtection="0"/>
    <xf numFmtId="43" fontId="1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2" fillId="0" borderId="0" applyNumberFormat="0" applyFill="0" applyBorder="0" applyAlignment="0" applyProtection="0"/>
    <xf numFmtId="0" fontId="93" fillId="25" borderId="0" applyNumberFormat="0" applyBorder="0" applyAlignment="0" applyProtection="0"/>
    <xf numFmtId="0" fontId="94" fillId="0" borderId="43" applyNumberFormat="0" applyFill="0" applyAlignment="0" applyProtection="0"/>
    <xf numFmtId="0" fontId="95" fillId="0" borderId="44" applyNumberFormat="0" applyFill="0" applyAlignment="0" applyProtection="0"/>
    <xf numFmtId="0" fontId="96" fillId="0" borderId="45" applyNumberFormat="0" applyFill="0" applyAlignment="0" applyProtection="0"/>
    <xf numFmtId="0" fontId="96" fillId="0" borderId="0" applyNumberFormat="0" applyFill="0" applyBorder="0" applyAlignment="0" applyProtection="0"/>
    <xf numFmtId="0" fontId="97" fillId="26" borderId="41" applyNumberFormat="0" applyAlignment="0" applyProtection="0"/>
    <xf numFmtId="0" fontId="98" fillId="0" borderId="46" applyNumberFormat="0" applyFill="0" applyAlignment="0" applyProtection="0"/>
    <xf numFmtId="0" fontId="99" fillId="26" borderId="0" applyNumberFormat="0" applyBorder="0" applyAlignment="0" applyProtection="0"/>
    <xf numFmtId="0" fontId="100" fillId="20" borderId="0" applyNumberFormat="0" applyBorder="0" applyAlignment="0" applyProtection="0"/>
    <xf numFmtId="0" fontId="7" fillId="0" borderId="0"/>
    <xf numFmtId="0" fontId="7" fillId="0" borderId="0"/>
    <xf numFmtId="0" fontId="86" fillId="0" borderId="0" applyFill="0" applyProtection="0"/>
    <xf numFmtId="0" fontId="86" fillId="0" borderId="0" applyFill="0" applyProtection="0"/>
    <xf numFmtId="0" fontId="7" fillId="0" borderId="0"/>
    <xf numFmtId="0" fontId="115" fillId="0" borderId="0"/>
    <xf numFmtId="0" fontId="7" fillId="0" borderId="0"/>
    <xf numFmtId="0" fontId="7" fillId="0" borderId="0"/>
    <xf numFmtId="0" fontId="86" fillId="0" borderId="0" applyFill="0" applyProtection="0"/>
    <xf numFmtId="0" fontId="86" fillId="0" borderId="0" applyFill="0" applyProtection="0"/>
    <xf numFmtId="0" fontId="7" fillId="0" borderId="0"/>
    <xf numFmtId="0" fontId="101" fillId="0" borderId="0"/>
    <xf numFmtId="0" fontId="101" fillId="0" borderId="0"/>
    <xf numFmtId="0" fontId="101" fillId="0" borderId="0"/>
    <xf numFmtId="0" fontId="102" fillId="0" borderId="0">
      <alignment vertical="top" wrapText="1"/>
    </xf>
    <xf numFmtId="0" fontId="115" fillId="0" borderId="0"/>
    <xf numFmtId="0" fontId="10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4" fillId="0" borderId="0"/>
    <xf numFmtId="0" fontId="86" fillId="0" borderId="0" applyFill="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2" fillId="0" borderId="0">
      <alignment vertical="top" wrapText="1"/>
    </xf>
    <xf numFmtId="0" fontId="86" fillId="0" borderId="0" applyFill="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6" fillId="0" borderId="0" applyFill="0" applyProtection="0"/>
    <xf numFmtId="0" fontId="7" fillId="0" borderId="0"/>
    <xf numFmtId="0" fontId="7" fillId="0" borderId="0"/>
    <xf numFmtId="0" fontId="7" fillId="0" borderId="0"/>
    <xf numFmtId="0" fontId="7" fillId="0" borderId="0"/>
    <xf numFmtId="0" fontId="101" fillId="23" borderId="47" applyNumberFormat="0" applyFont="0" applyAlignment="0" applyProtection="0"/>
    <xf numFmtId="0" fontId="105" fillId="40" borderId="48" applyNumberFormat="0" applyAlignment="0" applyProtection="0"/>
    <xf numFmtId="0" fontId="106" fillId="0" borderId="0" applyNumberFormat="0" applyFill="0" applyBorder="0" applyAlignment="0" applyProtection="0"/>
    <xf numFmtId="0" fontId="107" fillId="0" borderId="49" applyNumberFormat="0" applyFill="0" applyAlignment="0" applyProtection="0"/>
    <xf numFmtId="0" fontId="108" fillId="0" borderId="0" applyNumberFormat="0" applyFill="0" applyBorder="0" applyAlignment="0" applyProtection="0"/>
    <xf numFmtId="0" fontId="4" fillId="0" borderId="0"/>
    <xf numFmtId="43" fontId="4" fillId="0" borderId="0" applyFont="0" applyFill="0" applyBorder="0" applyAlignment="0" applyProtection="0"/>
    <xf numFmtId="0" fontId="118" fillId="0" borderId="0"/>
    <xf numFmtId="0" fontId="2" fillId="0" borderId="0"/>
    <xf numFmtId="43" fontId="2" fillId="0" borderId="0" applyFont="0" applyFill="0" applyBorder="0" applyAlignment="0" applyProtection="0"/>
    <xf numFmtId="0" fontId="2" fillId="0" borderId="0"/>
  </cellStyleXfs>
  <cellXfs count="836">
    <xf numFmtId="0" fontId="0" fillId="0" borderId="0" xfId="0"/>
    <xf numFmtId="0" fontId="5" fillId="2" borderId="0" xfId="61" applyFont="1" applyFill="1" applyAlignment="1">
      <alignment horizontal="center" vertical="center" wrapText="1"/>
    </xf>
    <xf numFmtId="0" fontId="6" fillId="0" borderId="0" xfId="61" applyFont="1" applyAlignment="1">
      <alignment horizontal="left" vertical="center" wrapText="1"/>
    </xf>
    <xf numFmtId="0" fontId="7" fillId="0" borderId="0" xfId="61" applyAlignment="1">
      <alignment vertical="center" wrapText="1"/>
    </xf>
    <xf numFmtId="0" fontId="8" fillId="0" borderId="0" xfId="0" applyFont="1"/>
    <xf numFmtId="0" fontId="8" fillId="0" borderId="0" xfId="0" applyFon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0" fontId="9" fillId="2" borderId="1" xfId="61" applyFont="1" applyFill="1" applyBorder="1" applyAlignment="1">
      <alignment horizontal="center" vertical="center" wrapText="1"/>
    </xf>
    <xf numFmtId="49" fontId="9" fillId="2" borderId="1" xfId="61" applyNumberFormat="1" applyFont="1" applyFill="1" applyBorder="1" applyAlignment="1">
      <alignment horizontal="center" vertical="center" wrapText="1"/>
    </xf>
    <xf numFmtId="0" fontId="10" fillId="0" borderId="1" xfId="61" applyFont="1" applyBorder="1" applyAlignment="1">
      <alignment horizontal="center" vertical="center" wrapText="1"/>
    </xf>
    <xf numFmtId="0" fontId="7" fillId="3" borderId="1" xfId="0" applyFont="1" applyFill="1" applyBorder="1" applyAlignment="1">
      <alignment horizontal="left" vertical="center"/>
    </xf>
    <xf numFmtId="0" fontId="10" fillId="0" borderId="4" xfId="0" applyFont="1" applyBorder="1" applyAlignment="1">
      <alignment horizontal="left" vertical="center" wrapText="1"/>
    </xf>
    <xf numFmtId="43" fontId="7" fillId="0" borderId="1" xfId="1" applyFont="1" applyFill="1" applyBorder="1" applyAlignment="1">
      <alignment horizontal="left" vertical="center" wrapText="1"/>
    </xf>
    <xf numFmtId="0" fontId="7" fillId="0" borderId="1" xfId="6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0" fillId="0" borderId="1" xfId="0" applyFont="1" applyBorder="1" applyAlignment="1">
      <alignment horizontal="left" vertical="center" wrapText="1"/>
    </xf>
    <xf numFmtId="43" fontId="10" fillId="0" borderId="1" xfId="1" applyFont="1" applyBorder="1" applyAlignment="1">
      <alignment horizontal="left" vertical="center" wrapText="1"/>
    </xf>
    <xf numFmtId="49" fontId="7" fillId="4" borderId="1" xfId="0" applyNumberFormat="1" applyFont="1" applyFill="1" applyBorder="1" applyAlignment="1">
      <alignment horizontal="center" vertical="center"/>
    </xf>
    <xf numFmtId="0" fontId="10" fillId="0" borderId="5" xfId="0" applyFont="1" applyBorder="1" applyAlignment="1">
      <alignment vertical="center" wrapText="1"/>
    </xf>
    <xf numFmtId="0" fontId="7" fillId="3" borderId="1" xfId="0" applyFont="1" applyFill="1" applyBorder="1" applyAlignment="1">
      <alignment horizontal="left" vertical="center" wrapText="1"/>
    </xf>
    <xf numFmtId="1" fontId="7" fillId="5" borderId="1"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0" applyFont="1" applyBorder="1" applyAlignment="1">
      <alignment vertical="center" wrapText="1"/>
    </xf>
    <xf numFmtId="14" fontId="10" fillId="0" borderId="1" xfId="0" applyNumberFormat="1" applyFont="1" applyBorder="1" applyAlignment="1">
      <alignment vertical="center" wrapText="1"/>
    </xf>
    <xf numFmtId="20" fontId="10" fillId="6" borderId="1" xfId="0" applyNumberFormat="1" applyFont="1" applyFill="1" applyBorder="1" applyAlignment="1">
      <alignment horizontal="center" vertical="center" wrapText="1"/>
    </xf>
    <xf numFmtId="165" fontId="10" fillId="0" borderId="1" xfId="0" applyNumberFormat="1" applyFont="1" applyBorder="1" applyAlignment="1">
      <alignment horizontal="center" vertical="center" wrapText="1"/>
    </xf>
    <xf numFmtId="20" fontId="7" fillId="6"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20" fontId="10" fillId="7" borderId="1" xfId="0" applyNumberFormat="1" applyFont="1" applyFill="1" applyBorder="1" applyAlignment="1">
      <alignment horizontal="center" vertical="center" wrapText="1"/>
    </xf>
    <xf numFmtId="1" fontId="9" fillId="2" borderId="1" xfId="61" applyNumberFormat="1" applyFont="1" applyFill="1" applyBorder="1" applyAlignment="1">
      <alignment horizontal="center" vertical="center" wrapText="1"/>
    </xf>
    <xf numFmtId="0" fontId="9" fillId="2" borderId="1" xfId="61" applyFont="1" applyFill="1" applyBorder="1" applyAlignment="1">
      <alignment vertical="center" wrapText="1"/>
    </xf>
    <xf numFmtId="43" fontId="7" fillId="0" borderId="1" xfId="1" applyFont="1" applyFill="1" applyBorder="1" applyAlignment="1">
      <alignment horizontal="center" vertical="center" wrapText="1"/>
    </xf>
    <xf numFmtId="43" fontId="11" fillId="0" borderId="1" xfId="61" applyNumberFormat="1" applyFont="1" applyBorder="1" applyAlignment="1">
      <alignment horizontal="left" vertical="center" wrapText="1"/>
    </xf>
    <xf numFmtId="43" fontId="11" fillId="0" borderId="1" xfId="61" applyNumberFormat="1" applyFont="1" applyBorder="1" applyAlignment="1">
      <alignment vertical="center" wrapText="1"/>
    </xf>
    <xf numFmtId="166" fontId="9" fillId="2" borderId="1" xfId="61" applyNumberFormat="1" applyFont="1" applyFill="1" applyBorder="1" applyAlignment="1">
      <alignment horizontal="center" vertical="center" wrapText="1"/>
    </xf>
    <xf numFmtId="1" fontId="7" fillId="0" borderId="1" xfId="0" applyNumberFormat="1" applyFont="1" applyBorder="1" applyAlignment="1">
      <alignment horizontal="center" vertical="center" wrapText="1" shrinkToFit="1"/>
    </xf>
    <xf numFmtId="166" fontId="7" fillId="0" borderId="1" xfId="0" applyNumberFormat="1" applyFont="1" applyBorder="1" applyAlignment="1">
      <alignment horizontal="left" vertical="center" wrapText="1" shrinkToFit="1"/>
    </xf>
    <xf numFmtId="166" fontId="7" fillId="0" borderId="1" xfId="0" applyNumberFormat="1" applyFont="1" applyBorder="1" applyAlignment="1">
      <alignment horizontal="center" vertical="center" wrapText="1" shrinkToFit="1"/>
    </xf>
    <xf numFmtId="0" fontId="5" fillId="8" borderId="0" xfId="61" applyFont="1" applyFill="1" applyAlignment="1">
      <alignment horizontal="center" vertical="center" wrapText="1"/>
    </xf>
    <xf numFmtId="0" fontId="9" fillId="2" borderId="5" xfId="61" applyFont="1" applyFill="1" applyBorder="1" applyAlignment="1">
      <alignment horizontal="left" vertical="center" wrapText="1"/>
    </xf>
    <xf numFmtId="0" fontId="9" fillId="8" borderId="1" xfId="61" applyFont="1" applyFill="1" applyBorder="1" applyAlignment="1">
      <alignment horizontal="center" vertical="center" wrapText="1"/>
    </xf>
    <xf numFmtId="43" fontId="7" fillId="0" borderId="1" xfId="61" applyNumberFormat="1" applyBorder="1" applyAlignment="1">
      <alignment horizontal="center" vertical="center" wrapText="1"/>
    </xf>
    <xf numFmtId="0" fontId="10" fillId="0" borderId="5" xfId="61" applyFont="1" applyBorder="1" applyAlignment="1">
      <alignment horizontal="left" vertical="center" wrapText="1"/>
    </xf>
    <xf numFmtId="0" fontId="10" fillId="0" borderId="1" xfId="61" applyFont="1" applyBorder="1" applyAlignment="1">
      <alignment horizontal="left" vertical="center" wrapText="1"/>
    </xf>
    <xf numFmtId="0" fontId="7" fillId="0" borderId="5" xfId="61" applyBorder="1" applyAlignment="1">
      <alignment horizontal="left" vertical="center" wrapText="1"/>
    </xf>
    <xf numFmtId="0" fontId="7" fillId="0" borderId="1" xfId="61" applyBorder="1" applyAlignment="1">
      <alignment horizontal="left" vertical="center" wrapText="1"/>
    </xf>
    <xf numFmtId="43" fontId="8" fillId="0" borderId="0" xfId="0" applyNumberFormat="1" applyFont="1"/>
    <xf numFmtId="0" fontId="6" fillId="0" borderId="0" xfId="61" applyFont="1" applyAlignment="1">
      <alignment horizontal="center" vertical="center" wrapText="1"/>
    </xf>
    <xf numFmtId="0" fontId="7" fillId="0" borderId="0" xfId="61" applyAlignment="1">
      <alignment horizontal="center" vertical="center" wrapText="1"/>
    </xf>
    <xf numFmtId="10" fontId="5" fillId="8" borderId="0" xfId="61" applyNumberFormat="1" applyFont="1" applyFill="1" applyAlignment="1">
      <alignment horizontal="center" vertical="center" wrapText="1"/>
    </xf>
    <xf numFmtId="9" fontId="5" fillId="8" borderId="0" xfId="61" applyNumberFormat="1" applyFont="1" applyFill="1" applyAlignment="1">
      <alignment horizontal="center" vertical="center" wrapText="1"/>
    </xf>
    <xf numFmtId="10" fontId="6" fillId="0" borderId="0" xfId="61" applyNumberFormat="1" applyFont="1" applyAlignment="1">
      <alignment horizontal="center" vertical="center" wrapText="1"/>
    </xf>
    <xf numFmtId="9" fontId="6" fillId="8" borderId="0" xfId="61" applyNumberFormat="1" applyFont="1" applyFill="1" applyAlignment="1">
      <alignment horizontal="center" vertical="center" wrapText="1"/>
    </xf>
    <xf numFmtId="0" fontId="0" fillId="0" borderId="0" xfId="0" applyAlignment="1">
      <alignment horizontal="left"/>
    </xf>
    <xf numFmtId="0" fontId="12" fillId="0" borderId="9"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9" fontId="12" fillId="0" borderId="12" xfId="0" applyNumberFormat="1" applyFont="1" applyBorder="1" applyAlignment="1">
      <alignment horizontal="center" vertical="center"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61" applyFont="1" applyAlignment="1">
      <alignment horizontal="center" vertical="center" wrapText="1"/>
    </xf>
    <xf numFmtId="0" fontId="16" fillId="0" borderId="0" xfId="61"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67" fontId="17" fillId="3" borderId="0" xfId="61" applyNumberFormat="1" applyFont="1" applyFill="1" applyAlignment="1">
      <alignment horizontal="center" vertical="center" wrapText="1"/>
    </xf>
    <xf numFmtId="0" fontId="15" fillId="3" borderId="0" xfId="61" applyFont="1" applyFill="1" applyAlignment="1">
      <alignment wrapText="1"/>
    </xf>
    <xf numFmtId="167" fontId="18" fillId="3" borderId="0" xfId="61" applyNumberFormat="1" applyFont="1" applyFill="1" applyAlignment="1">
      <alignment horizontal="center" vertical="center" wrapText="1"/>
    </xf>
    <xf numFmtId="0" fontId="14" fillId="3" borderId="0" xfId="0" applyFont="1" applyFill="1" applyAlignment="1">
      <alignment vertical="center"/>
    </xf>
    <xf numFmtId="0" fontId="14" fillId="3" borderId="0" xfId="0" applyFont="1" applyFill="1" applyAlignment="1">
      <alignment horizontal="right" vertical="center"/>
    </xf>
    <xf numFmtId="0" fontId="19" fillId="3" borderId="0" xfId="0" applyFont="1" applyFill="1" applyAlignment="1">
      <alignment horizontal="center" vertical="center"/>
    </xf>
    <xf numFmtId="0" fontId="19" fillId="3" borderId="0" xfId="0" applyFont="1" applyFill="1" applyAlignment="1">
      <alignment horizontal="left" vertical="center"/>
    </xf>
    <xf numFmtId="0" fontId="15" fillId="3" borderId="0" xfId="0" applyFont="1" applyFill="1" applyAlignment="1">
      <alignment vertical="center"/>
    </xf>
    <xf numFmtId="0" fontId="18" fillId="3" borderId="15" xfId="0" applyFont="1" applyFill="1" applyBorder="1" applyAlignment="1">
      <alignment horizontal="center" vertical="center" wrapText="1"/>
    </xf>
    <xf numFmtId="4" fontId="18" fillId="3" borderId="0" xfId="1" applyNumberFormat="1" applyFont="1" applyFill="1" applyAlignment="1">
      <alignment horizontal="left" vertical="center"/>
    </xf>
    <xf numFmtId="0" fontId="14" fillId="3" borderId="0" xfId="0" applyFont="1" applyFill="1" applyAlignment="1">
      <alignment horizontal="center" vertical="center"/>
    </xf>
    <xf numFmtId="0" fontId="14" fillId="2" borderId="1" xfId="61" applyFont="1" applyFill="1" applyBorder="1" applyAlignment="1">
      <alignment horizontal="center" vertical="center"/>
    </xf>
    <xf numFmtId="0" fontId="14" fillId="2" borderId="1" xfId="61" applyFont="1" applyFill="1" applyBorder="1" applyAlignment="1">
      <alignment horizontal="center" vertical="center" wrapText="1"/>
    </xf>
    <xf numFmtId="164" fontId="14" fillId="2" borderId="1" xfId="61" applyNumberFormat="1" applyFont="1" applyFill="1" applyBorder="1" applyAlignment="1">
      <alignment horizontal="center" vertical="center" wrapText="1"/>
    </xf>
    <xf numFmtId="49" fontId="14" fillId="2" borderId="1" xfId="61" applyNumberFormat="1" applyFont="1" applyFill="1" applyBorder="1" applyAlignment="1">
      <alignment horizontal="center" vertical="center" wrapText="1"/>
    </xf>
    <xf numFmtId="167" fontId="18" fillId="3" borderId="0" xfId="61" applyNumberFormat="1" applyFont="1" applyFill="1" applyAlignment="1">
      <alignment horizontal="left" vertical="center" wrapText="1"/>
    </xf>
    <xf numFmtId="0" fontId="14" fillId="3" borderId="0" xfId="0" applyFont="1" applyFill="1" applyAlignment="1">
      <alignment vertical="center" wrapText="1"/>
    </xf>
    <xf numFmtId="0" fontId="14" fillId="3" borderId="0" xfId="0" applyFont="1" applyFill="1" applyAlignment="1">
      <alignment horizontal="left" vertical="center"/>
    </xf>
    <xf numFmtId="0" fontId="14" fillId="3" borderId="0" xfId="0" applyFont="1" applyFill="1" applyAlignment="1">
      <alignment horizontal="center" vertical="center" wrapText="1"/>
    </xf>
    <xf numFmtId="0" fontId="21" fillId="3" borderId="0" xfId="0" applyFont="1" applyFill="1" applyAlignment="1">
      <alignment horizontal="left" vertical="center"/>
    </xf>
    <xf numFmtId="15" fontId="14" fillId="2" borderId="1" xfId="61" applyNumberFormat="1" applyFont="1" applyFill="1" applyBorder="1" applyAlignment="1">
      <alignment horizontal="center" vertical="center" wrapText="1"/>
    </xf>
    <xf numFmtId="4" fontId="22" fillId="3" borderId="0" xfId="0" applyNumberFormat="1" applyFont="1" applyFill="1" applyAlignment="1">
      <alignment horizontal="left" vertical="center"/>
    </xf>
    <xf numFmtId="4" fontId="23" fillId="3" borderId="0" xfId="1" applyNumberFormat="1" applyFont="1" applyFill="1" applyAlignment="1">
      <alignment vertical="center"/>
    </xf>
    <xf numFmtId="0" fontId="23" fillId="3" borderId="0" xfId="0" applyFont="1" applyFill="1" applyAlignment="1">
      <alignment vertical="center"/>
    </xf>
    <xf numFmtId="1" fontId="14" fillId="2" borderId="1" xfId="61" applyNumberFormat="1" applyFont="1" applyFill="1" applyBorder="1" applyAlignment="1">
      <alignment horizontal="center" vertical="center" wrapText="1"/>
    </xf>
    <xf numFmtId="0" fontId="16" fillId="0" borderId="1" xfId="61" applyFont="1" applyBorder="1" applyAlignment="1">
      <alignment horizontal="center" vertical="center" wrapText="1"/>
    </xf>
    <xf numFmtId="167" fontId="17" fillId="0" borderId="0" xfId="61" applyNumberFormat="1" applyFont="1" applyAlignment="1">
      <alignment vertical="center" wrapText="1"/>
    </xf>
    <xf numFmtId="167" fontId="17" fillId="0" borderId="0" xfId="61" applyNumberFormat="1" applyFont="1" applyAlignment="1">
      <alignment vertical="top" wrapText="1"/>
    </xf>
    <xf numFmtId="0" fontId="25" fillId="0" borderId="0" xfId="0" applyFont="1" applyAlignment="1">
      <alignment vertical="center"/>
    </xf>
    <xf numFmtId="167" fontId="27" fillId="3" borderId="0" xfId="61" applyNumberFormat="1" applyFont="1" applyFill="1" applyAlignment="1">
      <alignment horizontal="center" vertical="center" wrapText="1"/>
    </xf>
    <xf numFmtId="0" fontId="13" fillId="3" borderId="0" xfId="0" applyFont="1" applyFill="1" applyAlignment="1">
      <alignment vertical="center"/>
    </xf>
    <xf numFmtId="0" fontId="7" fillId="3" borderId="0" xfId="61" applyFill="1" applyAlignment="1">
      <alignment wrapText="1"/>
    </xf>
    <xf numFmtId="0" fontId="26" fillId="0" borderId="1" xfId="0" applyFont="1" applyBorder="1" applyAlignment="1">
      <alignment horizontal="center" vertical="center"/>
    </xf>
    <xf numFmtId="170" fontId="26" fillId="0" borderId="1" xfId="1" applyNumberFormat="1" applyFont="1" applyBorder="1" applyAlignment="1">
      <alignment horizontal="center" vertical="center"/>
    </xf>
    <xf numFmtId="0" fontId="26" fillId="0" borderId="6" xfId="0" applyFont="1" applyBorder="1" applyAlignment="1">
      <alignment horizontal="center" vertical="center"/>
    </xf>
    <xf numFmtId="43" fontId="26" fillId="0" borderId="1" xfId="0" applyNumberFormat="1" applyFont="1" applyBorder="1" applyAlignment="1">
      <alignment vertical="center"/>
    </xf>
    <xf numFmtId="169" fontId="17" fillId="3" borderId="0" xfId="61" applyNumberFormat="1" applyFont="1" applyFill="1" applyAlignment="1">
      <alignment horizontal="center" vertical="center" wrapText="1"/>
    </xf>
    <xf numFmtId="0" fontId="25" fillId="0" borderId="1" xfId="0" applyFont="1" applyBorder="1" applyAlignment="1">
      <alignment vertical="center"/>
    </xf>
    <xf numFmtId="4" fontId="25" fillId="7" borderId="1" xfId="1" applyNumberFormat="1" applyFont="1" applyFill="1" applyBorder="1" applyAlignment="1">
      <alignment horizontal="center" vertical="center"/>
    </xf>
    <xf numFmtId="3" fontId="25" fillId="0" borderId="1" xfId="1" applyNumberFormat="1" applyFont="1" applyBorder="1" applyAlignment="1">
      <alignment horizontal="center" vertical="center"/>
    </xf>
    <xf numFmtId="0" fontId="25" fillId="0" borderId="1" xfId="1" applyNumberFormat="1" applyFont="1" applyBorder="1" applyAlignment="1">
      <alignment horizontal="center" vertical="center"/>
    </xf>
    <xf numFmtId="43" fontId="25" fillId="0" borderId="1" xfId="1" applyFont="1" applyBorder="1" applyAlignment="1">
      <alignment horizontal="center" vertical="center"/>
    </xf>
    <xf numFmtId="43" fontId="25" fillId="7" borderId="1" xfId="1" applyFont="1" applyFill="1" applyBorder="1" applyAlignment="1">
      <alignment horizontal="center" vertical="center"/>
    </xf>
    <xf numFmtId="0" fontId="25" fillId="0" borderId="1" xfId="0" applyFont="1" applyBorder="1" applyAlignment="1">
      <alignment vertical="center" wrapText="1"/>
    </xf>
    <xf numFmtId="0" fontId="25" fillId="3" borderId="1" xfId="0" applyFont="1" applyFill="1" applyBorder="1" applyAlignment="1">
      <alignment vertical="center" wrapText="1"/>
    </xf>
    <xf numFmtId="0" fontId="37" fillId="0" borderId="0" xfId="61" applyFont="1" applyAlignment="1">
      <alignment horizontal="center" vertical="center" wrapText="1"/>
    </xf>
    <xf numFmtId="0" fontId="38" fillId="0" borderId="0" xfId="61" applyFont="1" applyAlignment="1">
      <alignment horizontal="left" vertical="center" wrapText="1"/>
    </xf>
    <xf numFmtId="0" fontId="39" fillId="0" borderId="0" xfId="61" applyFont="1" applyAlignment="1">
      <alignment horizontal="left" vertical="center" wrapText="1"/>
    </xf>
    <xf numFmtId="0" fontId="40" fillId="0" borderId="0" xfId="61" applyFont="1" applyAlignment="1">
      <alignment horizontal="left" vertical="center" wrapText="1"/>
    </xf>
    <xf numFmtId="0" fontId="39" fillId="0" borderId="1" xfId="61" applyFont="1" applyBorder="1" applyAlignment="1">
      <alignment horizontal="left" vertical="center" wrapText="1"/>
    </xf>
    <xf numFmtId="0" fontId="38" fillId="8" borderId="0" xfId="61" applyFont="1" applyFill="1" applyAlignment="1">
      <alignment horizontal="left" vertical="center" wrapText="1"/>
    </xf>
    <xf numFmtId="167" fontId="27" fillId="3" borderId="0" xfId="61" applyNumberFormat="1" applyFont="1" applyFill="1" applyAlignment="1">
      <alignment vertical="center" wrapText="1"/>
    </xf>
    <xf numFmtId="0" fontId="33" fillId="3" borderId="0" xfId="61" applyFont="1" applyFill="1" applyAlignment="1">
      <alignment vertical="center" wrapText="1"/>
    </xf>
    <xf numFmtId="167" fontId="37" fillId="3" borderId="0" xfId="61" applyNumberFormat="1" applyFont="1" applyFill="1" applyAlignment="1">
      <alignment horizontal="left" vertical="center" wrapText="1"/>
    </xf>
    <xf numFmtId="167" fontId="37" fillId="0" borderId="0" xfId="61" applyNumberFormat="1" applyFont="1" applyAlignment="1">
      <alignment horizontal="center" vertical="center" wrapText="1"/>
    </xf>
    <xf numFmtId="0" fontId="43" fillId="12" borderId="1" xfId="61" applyFont="1" applyFill="1" applyBorder="1" applyAlignment="1">
      <alignment horizontal="center" vertical="center" wrapText="1"/>
    </xf>
    <xf numFmtId="172" fontId="45" fillId="0" borderId="1" xfId="61" applyNumberFormat="1" applyFont="1" applyBorder="1" applyAlignment="1">
      <alignment horizontal="center" vertical="center" wrapText="1"/>
    </xf>
    <xf numFmtId="172" fontId="45" fillId="3" borderId="1" xfId="61" applyNumberFormat="1" applyFont="1" applyFill="1" applyBorder="1" applyAlignment="1">
      <alignment horizontal="center" vertical="center" wrapText="1"/>
    </xf>
    <xf numFmtId="172" fontId="46" fillId="0" borderId="1" xfId="61" applyNumberFormat="1" applyFont="1" applyBorder="1" applyAlignment="1">
      <alignment horizontal="center" vertical="center" wrapText="1"/>
    </xf>
    <xf numFmtId="167" fontId="37" fillId="3" borderId="0" xfId="61" applyNumberFormat="1" applyFont="1" applyFill="1" applyAlignment="1">
      <alignment horizontal="center" vertical="center" wrapText="1"/>
    </xf>
    <xf numFmtId="15" fontId="37" fillId="3" borderId="0" xfId="61" applyNumberFormat="1" applyFont="1" applyFill="1" applyAlignment="1">
      <alignment horizontal="center" vertical="center" wrapText="1"/>
    </xf>
    <xf numFmtId="171" fontId="37" fillId="3" borderId="0" xfId="61" applyNumberFormat="1" applyFont="1" applyFill="1" applyAlignment="1">
      <alignment horizontal="center" vertical="center" wrapText="1"/>
    </xf>
    <xf numFmtId="0" fontId="37" fillId="3" borderId="0" xfId="61" applyFont="1" applyFill="1" applyAlignment="1">
      <alignment horizontal="center" vertical="center" wrapText="1"/>
    </xf>
    <xf numFmtId="0" fontId="43" fillId="13" borderId="15" xfId="61" applyFont="1" applyFill="1" applyBorder="1" applyAlignment="1">
      <alignment horizontal="center" vertical="center" wrapText="1"/>
    </xf>
    <xf numFmtId="15" fontId="43" fillId="13" borderId="15" xfId="61" applyNumberFormat="1" applyFont="1" applyFill="1" applyBorder="1" applyAlignment="1">
      <alignment horizontal="center" vertical="center" wrapText="1"/>
    </xf>
    <xf numFmtId="167" fontId="49" fillId="3" borderId="0" xfId="61" applyNumberFormat="1" applyFont="1" applyFill="1" applyAlignment="1">
      <alignment horizontal="center" vertical="center" wrapText="1"/>
    </xf>
    <xf numFmtId="171" fontId="42" fillId="13" borderId="15" xfId="61" applyNumberFormat="1" applyFont="1" applyFill="1" applyBorder="1" applyAlignment="1">
      <alignment horizontal="center" vertical="center" wrapText="1"/>
    </xf>
    <xf numFmtId="0" fontId="42" fillId="13" borderId="15" xfId="61" applyFont="1" applyFill="1" applyBorder="1" applyAlignment="1">
      <alignment horizontal="center" vertical="center" wrapText="1"/>
    </xf>
    <xf numFmtId="0" fontId="45" fillId="0" borderId="1" xfId="61" applyFont="1" applyBorder="1" applyAlignment="1">
      <alignment horizontal="center" vertical="center" wrapText="1"/>
    </xf>
    <xf numFmtId="0" fontId="46" fillId="0" borderId="1" xfId="61" applyFont="1" applyBorder="1" applyAlignment="1">
      <alignment horizontal="center" vertical="center" wrapText="1"/>
    </xf>
    <xf numFmtId="167" fontId="27" fillId="3" borderId="0" xfId="61" applyNumberFormat="1" applyFont="1" applyFill="1" applyAlignment="1">
      <alignment horizontal="left" vertical="center" wrapText="1"/>
    </xf>
    <xf numFmtId="0" fontId="43" fillId="0" borderId="0" xfId="61" applyFont="1" applyAlignment="1">
      <alignment horizontal="center" vertical="center" wrapText="1"/>
    </xf>
    <xf numFmtId="0" fontId="42" fillId="0" borderId="0" xfId="61" applyFont="1" applyAlignment="1">
      <alignment horizontal="left" vertical="center" wrapText="1"/>
    </xf>
    <xf numFmtId="0" fontId="53" fillId="0" borderId="0" xfId="61" applyFont="1" applyAlignment="1">
      <alignment horizontal="left" vertical="center" wrapText="1"/>
    </xf>
    <xf numFmtId="0" fontId="54" fillId="0" borderId="0" xfId="61" applyFont="1" applyAlignment="1">
      <alignment horizontal="left" vertical="center" wrapText="1"/>
    </xf>
    <xf numFmtId="15" fontId="55" fillId="13" borderId="6" xfId="61" applyNumberFormat="1" applyFont="1" applyFill="1" applyBorder="1" applyAlignment="1">
      <alignment horizontal="center" vertical="center" wrapText="1"/>
    </xf>
    <xf numFmtId="172" fontId="45" fillId="0" borderId="2" xfId="61" applyNumberFormat="1" applyFont="1" applyBorder="1" applyAlignment="1">
      <alignment horizontal="center" vertical="center" wrapText="1"/>
    </xf>
    <xf numFmtId="172" fontId="53" fillId="0" borderId="0" xfId="61" applyNumberFormat="1" applyFont="1" applyAlignment="1">
      <alignment horizontal="center" vertical="center" wrapText="1"/>
    </xf>
    <xf numFmtId="171" fontId="55" fillId="13" borderId="6" xfId="61" applyNumberFormat="1" applyFont="1" applyFill="1" applyBorder="1" applyAlignment="1">
      <alignment horizontal="center" vertical="center" wrapText="1"/>
    </xf>
    <xf numFmtId="171" fontId="45" fillId="0" borderId="1" xfId="61" applyNumberFormat="1" applyFont="1" applyBorder="1" applyAlignment="1">
      <alignment horizontal="center" vertical="center" wrapText="1"/>
    </xf>
    <xf numFmtId="0" fontId="55" fillId="13" borderId="0" xfId="61" applyFont="1" applyFill="1" applyAlignment="1">
      <alignment horizontal="center" vertical="center" wrapText="1"/>
    </xf>
    <xf numFmtId="15" fontId="55" fillId="13" borderId="0" xfId="61" applyNumberFormat="1" applyFont="1" applyFill="1" applyAlignment="1">
      <alignment horizontal="center" vertical="center" wrapText="1"/>
    </xf>
    <xf numFmtId="171" fontId="55" fillId="13" borderId="0" xfId="61" applyNumberFormat="1" applyFont="1" applyFill="1" applyAlignment="1">
      <alignment horizontal="center" vertical="center" wrapText="1"/>
    </xf>
    <xf numFmtId="0" fontId="45" fillId="3" borderId="1" xfId="61" applyFont="1" applyFill="1" applyBorder="1" applyAlignment="1">
      <alignment horizontal="center" vertical="center" wrapText="1"/>
    </xf>
    <xf numFmtId="0" fontId="45" fillId="0" borderId="15" xfId="61" applyFont="1" applyBorder="1" applyAlignment="1">
      <alignment horizontal="center" vertical="center" wrapText="1"/>
    </xf>
    <xf numFmtId="0" fontId="55" fillId="13" borderId="17" xfId="61" applyFont="1" applyFill="1" applyBorder="1" applyAlignment="1">
      <alignment horizontal="left" vertical="center" wrapText="1"/>
    </xf>
    <xf numFmtId="0" fontId="56" fillId="0" borderId="0" xfId="61" applyFont="1" applyAlignment="1">
      <alignment horizontal="left" vertical="center" wrapText="1"/>
    </xf>
    <xf numFmtId="171" fontId="37" fillId="13" borderId="0" xfId="61" applyNumberFormat="1" applyFont="1" applyFill="1" applyAlignment="1">
      <alignment horizontal="center" vertical="center" wrapText="1"/>
    </xf>
    <xf numFmtId="0" fontId="45" fillId="3" borderId="0" xfId="0" applyFont="1" applyFill="1" applyAlignment="1">
      <alignment vertical="center"/>
    </xf>
    <xf numFmtId="0" fontId="45" fillId="0" borderId="0" xfId="0" applyFont="1" applyAlignment="1">
      <alignment horizontal="left" vertical="center"/>
    </xf>
    <xf numFmtId="0" fontId="57" fillId="2" borderId="0" xfId="61" applyFont="1" applyFill="1" applyAlignment="1">
      <alignment horizontal="center" vertical="center" wrapText="1"/>
    </xf>
    <xf numFmtId="0" fontId="58" fillId="2" borderId="0" xfId="61" applyFont="1" applyFill="1" applyAlignment="1">
      <alignment horizontal="center" vertical="center" wrapText="1"/>
    </xf>
    <xf numFmtId="0" fontId="59" fillId="0" borderId="0" xfId="61" applyFont="1" applyAlignment="1">
      <alignment horizontal="center" vertical="center" wrapText="1"/>
    </xf>
    <xf numFmtId="0" fontId="60" fillId="0" borderId="0" xfId="61" applyFont="1" applyAlignment="1">
      <alignment horizontal="center" vertical="center" wrapText="1"/>
    </xf>
    <xf numFmtId="0" fontId="61" fillId="0" borderId="0" xfId="61" applyFont="1" applyAlignment="1">
      <alignment horizontal="center" vertical="center" wrapText="1"/>
    </xf>
    <xf numFmtId="0" fontId="62" fillId="0" borderId="0" xfId="61" applyFont="1" applyAlignment="1">
      <alignment horizontal="center" vertical="center" wrapText="1"/>
    </xf>
    <xf numFmtId="0" fontId="58" fillId="0" borderId="0" xfId="61" applyFont="1" applyAlignment="1">
      <alignment horizontal="center" vertical="center" wrapText="1"/>
    </xf>
    <xf numFmtId="0" fontId="63" fillId="0" borderId="0" xfId="61" applyFont="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0" borderId="0" xfId="0" applyFont="1" applyAlignment="1">
      <alignment horizontal="right" vertical="center" wrapText="1"/>
    </xf>
    <xf numFmtId="174" fontId="64" fillId="0" borderId="0" xfId="0" applyNumberFormat="1" applyFont="1" applyAlignment="1">
      <alignment horizontal="center" vertical="center" wrapText="1"/>
    </xf>
    <xf numFmtId="22" fontId="64" fillId="0" borderId="0" xfId="0" applyNumberFormat="1" applyFont="1" applyAlignment="1">
      <alignment horizontal="center" vertical="center" wrapText="1"/>
    </xf>
    <xf numFmtId="173" fontId="64" fillId="0" borderId="0" xfId="0" applyNumberFormat="1" applyFont="1" applyAlignment="1">
      <alignment horizontal="center" vertical="center" wrapText="1"/>
    </xf>
    <xf numFmtId="173" fontId="45" fillId="0" borderId="0" xfId="0" applyNumberFormat="1" applyFont="1" applyAlignment="1">
      <alignment horizontal="center" vertical="center" wrapText="1"/>
    </xf>
    <xf numFmtId="0" fontId="45" fillId="0" borderId="0" xfId="0" applyFont="1" applyAlignment="1">
      <alignment horizontal="right" vertical="center"/>
    </xf>
    <xf numFmtId="164" fontId="45" fillId="0" borderId="0" xfId="0" applyNumberFormat="1" applyFont="1" applyAlignment="1">
      <alignment horizontal="center" vertical="center"/>
    </xf>
    <xf numFmtId="1" fontId="45" fillId="0" borderId="0" xfId="0" applyNumberFormat="1" applyFont="1" applyAlignment="1">
      <alignment horizontal="center" vertical="center"/>
    </xf>
    <xf numFmtId="0" fontId="64" fillId="0" borderId="0" xfId="0" applyFont="1" applyAlignment="1">
      <alignment vertical="center" wrapText="1"/>
    </xf>
    <xf numFmtId="0" fontId="45" fillId="0" borderId="0" xfId="0" applyFont="1" applyAlignment="1">
      <alignment vertical="center"/>
    </xf>
    <xf numFmtId="0" fontId="45" fillId="3" borderId="0" xfId="0" applyFont="1" applyFill="1" applyAlignment="1">
      <alignment horizontal="center" vertical="center"/>
    </xf>
    <xf numFmtId="167" fontId="57" fillId="3" borderId="0" xfId="61" applyNumberFormat="1" applyFont="1" applyFill="1" applyAlignment="1">
      <alignment horizontal="center" vertical="center" wrapText="1"/>
    </xf>
    <xf numFmtId="0" fontId="64" fillId="3" borderId="0" xfId="61" applyFont="1" applyFill="1" applyAlignment="1">
      <alignment horizontal="center" vertical="center" wrapText="1"/>
    </xf>
    <xf numFmtId="167" fontId="57" fillId="3" borderId="0" xfId="61" applyNumberFormat="1" applyFont="1" applyFill="1" applyAlignment="1">
      <alignment horizontal="left" vertical="center" wrapText="1"/>
    </xf>
    <xf numFmtId="167" fontId="57" fillId="3" borderId="0" xfId="61" applyNumberFormat="1" applyFont="1" applyFill="1" applyAlignment="1">
      <alignment horizontal="right" vertical="center" wrapText="1"/>
    </xf>
    <xf numFmtId="0" fontId="45" fillId="3" borderId="0" xfId="0" applyFont="1" applyFill="1" applyAlignment="1">
      <alignment horizontal="right" vertical="center" wrapText="1"/>
    </xf>
    <xf numFmtId="0" fontId="45" fillId="3" borderId="0" xfId="0" applyFont="1" applyFill="1" applyAlignment="1">
      <alignment horizontal="center" vertical="center" wrapText="1"/>
    </xf>
    <xf numFmtId="0" fontId="45" fillId="3" borderId="0" xfId="0" applyFont="1" applyFill="1" applyAlignment="1">
      <alignment horizontal="left" vertical="center" wrapText="1"/>
    </xf>
    <xf numFmtId="0" fontId="45" fillId="3" borderId="0" xfId="0" applyFont="1" applyFill="1" applyAlignment="1">
      <alignment horizontal="left" vertical="center"/>
    </xf>
    <xf numFmtId="0" fontId="66" fillId="2" borderId="1" xfId="61" applyFont="1" applyFill="1" applyBorder="1" applyAlignment="1">
      <alignment horizontal="center" vertical="center" wrapText="1"/>
    </xf>
    <xf numFmtId="0" fontId="67" fillId="15" borderId="5" xfId="61" applyFont="1" applyFill="1" applyBorder="1" applyAlignment="1">
      <alignment horizontal="left" vertical="center"/>
    </xf>
    <xf numFmtId="0" fontId="67" fillId="15" borderId="6" xfId="61" applyFont="1" applyFill="1" applyBorder="1" applyAlignment="1">
      <alignment horizontal="center" vertical="center"/>
    </xf>
    <xf numFmtId="0" fontId="67" fillId="15" borderId="6" xfId="61" applyFont="1" applyFill="1" applyBorder="1" applyAlignment="1">
      <alignment horizontal="left" vertical="center"/>
    </xf>
    <xf numFmtId="0" fontId="67" fillId="15" borderId="6" xfId="61" applyFont="1" applyFill="1" applyBorder="1" applyAlignment="1">
      <alignment horizontal="right" vertical="center"/>
    </xf>
    <xf numFmtId="0" fontId="66" fillId="0" borderId="1" xfId="61" applyFont="1" applyBorder="1" applyAlignment="1">
      <alignment horizontal="center" vertical="center" wrapText="1"/>
    </xf>
    <xf numFmtId="0" fontId="66" fillId="11" borderId="1" xfId="0" applyFont="1" applyFill="1" applyBorder="1" applyAlignment="1">
      <alignment horizontal="center" vertical="center"/>
    </xf>
    <xf numFmtId="0" fontId="66" fillId="0" borderId="1" xfId="0" applyFont="1" applyBorder="1" applyAlignment="1">
      <alignment horizontal="left" vertical="center" wrapText="1"/>
    </xf>
    <xf numFmtId="0" fontId="68" fillId="0" borderId="1" xfId="0" applyFont="1" applyBorder="1" applyAlignment="1">
      <alignment horizontal="left" vertical="center" wrapText="1"/>
    </xf>
    <xf numFmtId="0" fontId="45" fillId="3" borderId="20" xfId="0" applyFont="1" applyFill="1" applyBorder="1" applyAlignment="1">
      <alignment horizontal="center" vertical="center" wrapText="1"/>
    </xf>
    <xf numFmtId="164" fontId="69" fillId="3" borderId="0" xfId="0" applyNumberFormat="1" applyFont="1" applyFill="1" applyAlignment="1">
      <alignment horizontal="center" vertical="center" wrapText="1"/>
    </xf>
    <xf numFmtId="0" fontId="57" fillId="3" borderId="0" xfId="61" applyFont="1" applyFill="1" applyAlignment="1">
      <alignment horizontal="center" vertical="center" wrapText="1"/>
    </xf>
    <xf numFmtId="0" fontId="57" fillId="3" borderId="0" xfId="61" applyFont="1" applyFill="1" applyAlignment="1">
      <alignment horizontal="left" vertical="center" wrapText="1"/>
    </xf>
    <xf numFmtId="0" fontId="69" fillId="3" borderId="0" xfId="0" applyFont="1" applyFill="1" applyAlignment="1">
      <alignment horizontal="center" vertical="center"/>
    </xf>
    <xf numFmtId="164" fontId="66" fillId="2" borderId="1" xfId="61" applyNumberFormat="1" applyFont="1" applyFill="1" applyBorder="1" applyAlignment="1">
      <alignment horizontal="center" vertical="center" wrapText="1"/>
    </xf>
    <xf numFmtId="0" fontId="67" fillId="15" borderId="6" xfId="61" applyFont="1" applyFill="1" applyBorder="1" applyAlignment="1">
      <alignment horizontal="center" vertical="center" wrapText="1"/>
    </xf>
    <xf numFmtId="0" fontId="66" fillId="11" borderId="1" xfId="0" applyFont="1" applyFill="1" applyBorder="1" applyAlignment="1">
      <alignment horizontal="left" vertical="center" wrapText="1"/>
    </xf>
    <xf numFmtId="0" fontId="66" fillId="0" borderId="5" xfId="0" applyFont="1" applyBorder="1" applyAlignment="1">
      <alignment horizontal="center" vertical="center"/>
    </xf>
    <xf numFmtId="174" fontId="57" fillId="3" borderId="0" xfId="61" applyNumberFormat="1" applyFont="1" applyFill="1" applyAlignment="1">
      <alignment horizontal="center" vertical="center" wrapText="1"/>
    </xf>
    <xf numFmtId="22" fontId="57" fillId="3" borderId="0" xfId="61" applyNumberFormat="1" applyFont="1" applyFill="1" applyAlignment="1">
      <alignment horizontal="center" vertical="center" wrapText="1"/>
    </xf>
    <xf numFmtId="173" fontId="57" fillId="3" borderId="0" xfId="61" applyNumberFormat="1" applyFont="1" applyFill="1" applyAlignment="1">
      <alignment horizontal="center" vertical="center" wrapText="1"/>
    </xf>
    <xf numFmtId="174" fontId="64" fillId="3" borderId="0" xfId="0" applyNumberFormat="1" applyFont="1" applyFill="1" applyAlignment="1">
      <alignment horizontal="center" vertical="center" wrapText="1"/>
    </xf>
    <xf numFmtId="22" fontId="64" fillId="3" borderId="0" xfId="0" applyNumberFormat="1" applyFont="1" applyFill="1" applyAlignment="1">
      <alignment horizontal="center" vertical="center" wrapText="1"/>
    </xf>
    <xf numFmtId="173" fontId="64" fillId="3" borderId="0" xfId="0" applyNumberFormat="1" applyFont="1" applyFill="1" applyAlignment="1">
      <alignment horizontal="center" vertical="center" wrapText="1"/>
    </xf>
    <xf numFmtId="173" fontId="45" fillId="3" borderId="0" xfId="0" applyNumberFormat="1" applyFont="1" applyFill="1" applyAlignment="1">
      <alignment horizontal="center" vertical="center" wrapText="1"/>
    </xf>
    <xf numFmtId="174" fontId="57" fillId="3" borderId="0" xfId="0" applyNumberFormat="1" applyFont="1" applyFill="1" applyAlignment="1">
      <alignment horizontal="center" vertical="center" wrapText="1"/>
    </xf>
    <xf numFmtId="22" fontId="57" fillId="3" borderId="0" xfId="0" applyNumberFormat="1" applyFont="1" applyFill="1" applyAlignment="1">
      <alignment horizontal="center" vertical="center" wrapText="1"/>
    </xf>
    <xf numFmtId="173" fontId="57" fillId="3" borderId="0" xfId="0" applyNumberFormat="1" applyFont="1" applyFill="1" applyAlignment="1">
      <alignment horizontal="center" vertical="center" wrapText="1"/>
    </xf>
    <xf numFmtId="174" fontId="67" fillId="15" borderId="6" xfId="61" applyNumberFormat="1" applyFont="1" applyFill="1" applyBorder="1" applyAlignment="1">
      <alignment horizontal="center" vertical="center" wrapText="1"/>
    </xf>
    <xf numFmtId="22" fontId="67" fillId="15" borderId="6" xfId="61" applyNumberFormat="1" applyFont="1" applyFill="1" applyBorder="1" applyAlignment="1">
      <alignment horizontal="center" vertical="center" wrapText="1"/>
    </xf>
    <xf numFmtId="173" fontId="67" fillId="15" borderId="6" xfId="61" applyNumberFormat="1" applyFont="1" applyFill="1" applyBorder="1" applyAlignment="1">
      <alignment horizontal="center" vertical="center" wrapText="1"/>
    </xf>
    <xf numFmtId="0" fontId="66" fillId="16" borderId="1" xfId="0" applyFont="1" applyFill="1" applyBorder="1" applyAlignment="1">
      <alignment horizontal="center" vertical="center" wrapText="1"/>
    </xf>
    <xf numFmtId="22" fontId="66" fillId="11" borderId="1" xfId="0" applyNumberFormat="1" applyFont="1" applyFill="1" applyBorder="1" applyAlignment="1">
      <alignment horizontal="center" vertical="center" wrapText="1"/>
    </xf>
    <xf numFmtId="167" fontId="57" fillId="0" borderId="0" xfId="61" applyNumberFormat="1" applyFont="1" applyAlignment="1">
      <alignment horizontal="right" vertical="center" wrapText="1"/>
    </xf>
    <xf numFmtId="167" fontId="57" fillId="0" borderId="0" xfId="61" applyNumberFormat="1" applyFont="1" applyAlignment="1">
      <alignment horizontal="center" vertical="center" wrapText="1"/>
    </xf>
    <xf numFmtId="175" fontId="65" fillId="0" borderId="6" xfId="0" applyNumberFormat="1" applyFont="1" applyBorder="1" applyAlignment="1">
      <alignment horizontal="center" vertical="center"/>
    </xf>
    <xf numFmtId="175" fontId="65" fillId="0" borderId="0" xfId="0" applyNumberFormat="1" applyFont="1" applyAlignment="1">
      <alignment horizontal="right" vertical="center"/>
    </xf>
    <xf numFmtId="175" fontId="65" fillId="0" borderId="0" xfId="0" applyNumberFormat="1" applyFont="1" applyAlignment="1">
      <alignment horizontal="center" vertical="center"/>
    </xf>
    <xf numFmtId="176" fontId="65" fillId="0" borderId="6" xfId="0" applyNumberFormat="1" applyFont="1" applyBorder="1" applyAlignment="1">
      <alignment horizontal="center" vertical="center"/>
    </xf>
    <xf numFmtId="4" fontId="65" fillId="0" borderId="0" xfId="0" applyNumberFormat="1" applyFont="1" applyAlignment="1">
      <alignment horizontal="right" vertical="center"/>
    </xf>
    <xf numFmtId="4" fontId="65" fillId="0" borderId="0" xfId="0" applyNumberFormat="1" applyFont="1" applyAlignment="1">
      <alignment horizontal="center" vertical="center"/>
    </xf>
    <xf numFmtId="4" fontId="65" fillId="0" borderId="6" xfId="0" applyNumberFormat="1" applyFont="1" applyBorder="1" applyAlignment="1">
      <alignment horizontal="center" vertical="center"/>
    </xf>
    <xf numFmtId="1" fontId="66" fillId="2" borderId="1" xfId="61" applyNumberFormat="1" applyFont="1" applyFill="1" applyBorder="1" applyAlignment="1">
      <alignment horizontal="center" vertical="center" wrapText="1"/>
    </xf>
    <xf numFmtId="0" fontId="66" fillId="2" borderId="5" xfId="61" applyFont="1" applyFill="1" applyBorder="1" applyAlignment="1">
      <alignment horizontal="center" vertical="center" wrapText="1"/>
    </xf>
    <xf numFmtId="43" fontId="66" fillId="7" borderId="1" xfId="1" applyFont="1" applyFill="1" applyBorder="1" applyAlignment="1">
      <alignment horizontal="right" vertical="center" wrapText="1"/>
    </xf>
    <xf numFmtId="0" fontId="66" fillId="3" borderId="1" xfId="61" applyFont="1" applyFill="1" applyBorder="1" applyAlignment="1">
      <alignment horizontal="center" vertical="center" wrapText="1"/>
    </xf>
    <xf numFmtId="43" fontId="67" fillId="7" borderId="1" xfId="61" applyNumberFormat="1" applyFont="1" applyFill="1" applyBorder="1" applyAlignment="1">
      <alignment horizontal="center" vertical="center" wrapText="1"/>
    </xf>
    <xf numFmtId="43" fontId="68" fillId="7" borderId="1" xfId="1" applyFont="1" applyFill="1" applyBorder="1" applyAlignment="1">
      <alignment horizontal="right" vertical="center" wrapText="1"/>
    </xf>
    <xf numFmtId="0" fontId="68" fillId="3" borderId="1" xfId="61" applyFont="1" applyFill="1" applyBorder="1" applyAlignment="1">
      <alignment horizontal="center" vertical="center" wrapText="1"/>
    </xf>
    <xf numFmtId="43" fontId="70" fillId="7" borderId="1" xfId="61" applyNumberFormat="1" applyFont="1" applyFill="1" applyBorder="1" applyAlignment="1">
      <alignment horizontal="center" vertical="center" wrapText="1"/>
    </xf>
    <xf numFmtId="0" fontId="68" fillId="0" borderId="1" xfId="61" applyFont="1" applyBorder="1" applyAlignment="1">
      <alignment horizontal="center" vertical="center" wrapText="1"/>
    </xf>
    <xf numFmtId="164" fontId="57" fillId="0" borderId="0" xfId="61" applyNumberFormat="1" applyFont="1" applyAlignment="1">
      <alignment horizontal="center" vertical="center" wrapText="1"/>
    </xf>
    <xf numFmtId="1" fontId="57" fillId="0" borderId="0" xfId="61" applyNumberFormat="1" applyFont="1" applyAlignment="1">
      <alignment horizontal="center" vertical="center" wrapText="1"/>
    </xf>
    <xf numFmtId="4" fontId="71" fillId="0" borderId="0" xfId="0" applyNumberFormat="1" applyFont="1" applyAlignment="1">
      <alignment horizontal="center" vertical="center"/>
    </xf>
    <xf numFmtId="4" fontId="65" fillId="0" borderId="7" xfId="0" applyNumberFormat="1" applyFont="1" applyBorder="1" applyAlignment="1">
      <alignment horizontal="center" vertical="center"/>
    </xf>
    <xf numFmtId="164" fontId="67" fillId="15" borderId="6" xfId="61" applyNumberFormat="1" applyFont="1" applyFill="1" applyBorder="1" applyAlignment="1">
      <alignment horizontal="center" vertical="center"/>
    </xf>
    <xf numFmtId="1" fontId="66" fillId="7" borderId="1" xfId="0" applyNumberFormat="1" applyFont="1" applyFill="1" applyBorder="1" applyAlignment="1">
      <alignment horizontal="center" vertical="center" wrapText="1" shrinkToFit="1"/>
    </xf>
    <xf numFmtId="164" fontId="66" fillId="7" borderId="1" xfId="0" applyNumberFormat="1" applyFont="1" applyFill="1" applyBorder="1" applyAlignment="1">
      <alignment horizontal="center" vertical="center" wrapText="1" shrinkToFit="1"/>
    </xf>
    <xf numFmtId="1" fontId="68" fillId="7" borderId="1" xfId="0" applyNumberFormat="1" applyFont="1" applyFill="1" applyBorder="1" applyAlignment="1">
      <alignment horizontal="center" vertical="center" wrapText="1" shrinkToFit="1"/>
    </xf>
    <xf numFmtId="167" fontId="57" fillId="0" borderId="0" xfId="61" applyNumberFormat="1" applyFont="1" applyAlignment="1">
      <alignment vertical="center" wrapText="1"/>
    </xf>
    <xf numFmtId="0" fontId="67" fillId="2" borderId="0" xfId="61" applyFont="1" applyFill="1" applyAlignment="1">
      <alignment horizontal="center" vertical="center" wrapText="1"/>
    </xf>
    <xf numFmtId="0" fontId="66" fillId="2" borderId="1" xfId="61" applyFont="1" applyFill="1" applyBorder="1" applyAlignment="1">
      <alignment vertical="center" wrapText="1"/>
    </xf>
    <xf numFmtId="0" fontId="67" fillId="15" borderId="7" xfId="61" applyFont="1" applyFill="1" applyBorder="1" applyAlignment="1">
      <alignment vertical="center"/>
    </xf>
    <xf numFmtId="0" fontId="67" fillId="0" borderId="0" xfId="61" applyFont="1" applyAlignment="1">
      <alignment horizontal="center" vertical="center" wrapText="1"/>
    </xf>
    <xf numFmtId="0" fontId="66" fillId="0" borderId="1" xfId="0" applyFont="1" applyBorder="1" applyAlignment="1">
      <alignment horizontal="center" vertical="center"/>
    </xf>
    <xf numFmtId="0" fontId="66" fillId="0" borderId="1" xfId="0" applyFont="1" applyBorder="1" applyAlignment="1">
      <alignment vertical="center" wrapText="1"/>
    </xf>
    <xf numFmtId="0" fontId="70" fillId="0" borderId="0" xfId="61" applyFont="1" applyAlignment="1">
      <alignment horizontal="center" vertical="center" wrapText="1"/>
    </xf>
    <xf numFmtId="0" fontId="68" fillId="3" borderId="1" xfId="0" applyFont="1" applyFill="1" applyBorder="1" applyAlignment="1">
      <alignment horizontal="left" vertical="center" wrapText="1"/>
    </xf>
    <xf numFmtId="0" fontId="66" fillId="3" borderId="1" xfId="0" applyFont="1" applyFill="1" applyBorder="1" applyAlignment="1">
      <alignment horizontal="center" vertical="center"/>
    </xf>
    <xf numFmtId="0" fontId="66" fillId="3" borderId="1" xfId="0" applyFont="1" applyFill="1" applyBorder="1" applyAlignment="1">
      <alignment horizontal="left" vertical="center" wrapText="1"/>
    </xf>
    <xf numFmtId="0" fontId="67" fillId="15" borderId="16" xfId="61" applyFont="1" applyFill="1" applyBorder="1" applyAlignment="1">
      <alignment horizontal="left" vertical="center"/>
    </xf>
    <xf numFmtId="0" fontId="67" fillId="17" borderId="21" xfId="0" applyFont="1" applyFill="1" applyBorder="1" applyAlignment="1">
      <alignment horizontal="center" vertical="center"/>
    </xf>
    <xf numFmtId="0" fontId="66" fillId="18" borderId="1" xfId="0" applyFont="1" applyFill="1" applyBorder="1" applyAlignment="1">
      <alignment horizontal="center" vertical="center"/>
    </xf>
    <xf numFmtId="0" fontId="67" fillId="0" borderId="0" xfId="0" applyFont="1" applyAlignment="1">
      <alignment horizontal="center" vertical="center" wrapText="1"/>
    </xf>
    <xf numFmtId="0" fontId="67" fillId="0" borderId="0" xfId="0" applyFont="1" applyAlignment="1">
      <alignment horizontal="right" vertical="center" wrapText="1"/>
    </xf>
    <xf numFmtId="0" fontId="66" fillId="0" borderId="0" xfId="0" applyFont="1" applyAlignment="1">
      <alignment horizontal="center" vertical="center"/>
    </xf>
    <xf numFmtId="0" fontId="66" fillId="15" borderId="0" xfId="0" applyFont="1" applyFill="1" applyAlignment="1">
      <alignment horizontal="center" vertical="center" wrapText="1"/>
    </xf>
    <xf numFmtId="0" fontId="66" fillId="18" borderId="1" xfId="0" applyFont="1" applyFill="1" applyBorder="1" applyAlignment="1">
      <alignment horizontal="left" vertical="center" wrapText="1"/>
    </xf>
    <xf numFmtId="173" fontId="66" fillId="0" borderId="1" xfId="0" applyNumberFormat="1" applyFont="1" applyBorder="1" applyAlignment="1">
      <alignment horizontal="center" vertical="center" wrapText="1"/>
    </xf>
    <xf numFmtId="173" fontId="66" fillId="18" borderId="1" xfId="0" applyNumberFormat="1" applyFont="1" applyFill="1" applyBorder="1" applyAlignment="1">
      <alignment horizontal="center" vertical="center" wrapText="1"/>
    </xf>
    <xf numFmtId="22" fontId="66" fillId="18" borderId="1" xfId="0" applyNumberFormat="1" applyFont="1" applyFill="1" applyBorder="1" applyAlignment="1">
      <alignment horizontal="center" vertical="center" wrapText="1"/>
    </xf>
    <xf numFmtId="22" fontId="66" fillId="0" borderId="1" xfId="0" applyNumberFormat="1" applyFont="1" applyBorder="1" applyAlignment="1">
      <alignment horizontal="center" vertical="center" wrapText="1"/>
    </xf>
    <xf numFmtId="177" fontId="66" fillId="16" borderId="1" xfId="0" applyNumberFormat="1" applyFont="1" applyFill="1" applyBorder="1" applyAlignment="1">
      <alignment horizontal="center" vertical="center" wrapText="1"/>
    </xf>
    <xf numFmtId="173" fontId="66" fillId="0" borderId="1" xfId="0" applyNumberFormat="1" applyFont="1" applyBorder="1" applyAlignment="1">
      <alignment horizontal="left" vertical="center" wrapText="1"/>
    </xf>
    <xf numFmtId="177" fontId="66" fillId="0" borderId="0" xfId="0" applyNumberFormat="1" applyFont="1" applyAlignment="1">
      <alignment horizontal="center" vertical="center" wrapText="1"/>
    </xf>
    <xf numFmtId="22" fontId="67" fillId="0" borderId="0" xfId="0" applyNumberFormat="1" applyFont="1" applyAlignment="1">
      <alignment vertical="center" wrapText="1"/>
    </xf>
    <xf numFmtId="173" fontId="66" fillId="11" borderId="0" xfId="0" applyNumberFormat="1" applyFont="1" applyFill="1" applyAlignment="1">
      <alignment horizontal="center" vertical="center" wrapText="1"/>
    </xf>
    <xf numFmtId="1" fontId="66" fillId="3" borderId="3" xfId="0" applyNumberFormat="1" applyFont="1" applyFill="1" applyBorder="1" applyAlignment="1">
      <alignment horizontal="center" vertical="center" wrapText="1" shrinkToFit="1"/>
    </xf>
    <xf numFmtId="164" fontId="66" fillId="16" borderId="1" xfId="0" applyNumberFormat="1" applyFont="1" applyFill="1" applyBorder="1" applyAlignment="1">
      <alignment horizontal="center" vertical="center" wrapText="1" shrinkToFit="1"/>
    </xf>
    <xf numFmtId="0" fontId="72" fillId="0" borderId="0" xfId="61" applyFont="1" applyAlignment="1">
      <alignment horizontal="center" vertical="center" wrapText="1"/>
    </xf>
    <xf numFmtId="173" fontId="73" fillId="18" borderId="0" xfId="0" applyNumberFormat="1" applyFont="1" applyFill="1" applyAlignment="1">
      <alignment horizontal="center" vertical="center" wrapText="1"/>
    </xf>
    <xf numFmtId="173" fontId="66" fillId="3" borderId="0" xfId="0" applyNumberFormat="1" applyFont="1" applyFill="1" applyAlignment="1">
      <alignment horizontal="center" vertical="center" wrapText="1"/>
    </xf>
    <xf numFmtId="173" fontId="66" fillId="0" borderId="0" xfId="0" applyNumberFormat="1" applyFont="1" applyAlignment="1">
      <alignment horizontal="center" vertical="center" wrapText="1"/>
    </xf>
    <xf numFmtId="173" fontId="66" fillId="18" borderId="0" xfId="0" applyNumberFormat="1" applyFont="1" applyFill="1" applyAlignment="1">
      <alignment horizontal="center" vertical="center" wrapText="1"/>
    </xf>
    <xf numFmtId="173" fontId="67" fillId="3" borderId="0" xfId="61" applyNumberFormat="1" applyFont="1" applyFill="1" applyAlignment="1">
      <alignment horizontal="center" vertical="center" wrapText="1"/>
    </xf>
    <xf numFmtId="0" fontId="70" fillId="3" borderId="0" xfId="61" applyFont="1" applyFill="1" applyAlignment="1">
      <alignment horizontal="center" vertical="center" wrapText="1"/>
    </xf>
    <xf numFmtId="0" fontId="74" fillId="0" borderId="0" xfId="0" applyFont="1" applyAlignment="1">
      <alignment vertical="center"/>
    </xf>
    <xf numFmtId="173" fontId="67" fillId="0" borderId="0" xfId="0" applyNumberFormat="1" applyFont="1" applyAlignment="1">
      <alignment horizontal="right" vertical="center" wrapText="1"/>
    </xf>
    <xf numFmtId="0" fontId="0" fillId="3" borderId="0" xfId="0" applyFill="1" applyAlignment="1">
      <alignment vertical="center"/>
    </xf>
    <xf numFmtId="0" fontId="9" fillId="3" borderId="0" xfId="0" applyFont="1" applyFill="1" applyAlignment="1">
      <alignment vertical="center"/>
    </xf>
    <xf numFmtId="0" fontId="75" fillId="3" borderId="0" xfId="0" applyFont="1" applyFill="1" applyAlignment="1">
      <alignment vertical="center"/>
    </xf>
    <xf numFmtId="0" fontId="76" fillId="3" borderId="0" xfId="61" applyFont="1" applyFill="1"/>
    <xf numFmtId="0" fontId="7" fillId="3" borderId="0" xfId="61" applyFill="1"/>
    <xf numFmtId="0" fontId="9" fillId="3" borderId="0" xfId="0" applyFont="1" applyFill="1" applyAlignment="1">
      <alignment horizontal="right" vertical="center"/>
    </xf>
    <xf numFmtId="0" fontId="9" fillId="3" borderId="0" xfId="0" applyFont="1" applyFill="1" applyAlignment="1">
      <alignment horizontal="right" vertical="center" wrapText="1"/>
    </xf>
    <xf numFmtId="17" fontId="5" fillId="3" borderId="0" xfId="0" applyNumberFormat="1" applyFont="1" applyFill="1" applyAlignment="1">
      <alignment horizontal="center" vertical="center"/>
    </xf>
    <xf numFmtId="0" fontId="75" fillId="3" borderId="0" xfId="0" applyFont="1" applyFill="1" applyAlignment="1">
      <alignment horizontal="right" vertical="center"/>
    </xf>
    <xf numFmtId="167" fontId="77" fillId="3" borderId="0" xfId="61" applyNumberFormat="1" applyFont="1" applyFill="1" applyAlignment="1">
      <alignment horizontal="left" vertical="center" wrapText="1"/>
    </xf>
    <xf numFmtId="3" fontId="78" fillId="3" borderId="1" xfId="61" applyNumberFormat="1" applyFont="1" applyFill="1" applyBorder="1" applyAlignment="1">
      <alignment horizontal="center" vertical="center" wrapText="1"/>
    </xf>
    <xf numFmtId="3" fontId="78" fillId="3" borderId="1" xfId="61" applyNumberFormat="1" applyFont="1" applyFill="1" applyBorder="1" applyAlignment="1">
      <alignment horizontal="center" vertical="center"/>
    </xf>
    <xf numFmtId="0" fontId="76" fillId="3" borderId="23" xfId="61" applyFont="1" applyFill="1" applyBorder="1"/>
    <xf numFmtId="0" fontId="78" fillId="3" borderId="0" xfId="61" applyFont="1" applyFill="1"/>
    <xf numFmtId="167" fontId="17" fillId="3" borderId="0" xfId="61" applyNumberFormat="1" applyFont="1" applyFill="1" applyAlignment="1">
      <alignment horizontal="right" vertical="center" wrapText="1"/>
    </xf>
    <xf numFmtId="0" fontId="5" fillId="3" borderId="20" xfId="0" applyFont="1" applyFill="1" applyBorder="1" applyAlignment="1">
      <alignment vertical="center"/>
    </xf>
    <xf numFmtId="0" fontId="9" fillId="3" borderId="0" xfId="0" applyFont="1" applyFill="1" applyAlignment="1">
      <alignment horizontal="left" vertical="center"/>
    </xf>
    <xf numFmtId="0" fontId="76" fillId="3" borderId="0" xfId="0" applyFont="1" applyFill="1" applyAlignment="1">
      <alignment horizontal="right" vertical="center"/>
    </xf>
    <xf numFmtId="17" fontId="5" fillId="3" borderId="20" xfId="0" applyNumberFormat="1" applyFont="1" applyFill="1" applyBorder="1" applyAlignment="1">
      <alignment vertical="center"/>
    </xf>
    <xf numFmtId="17" fontId="78" fillId="3" borderId="15" xfId="0" applyNumberFormat="1" applyFont="1" applyFill="1" applyBorder="1" applyAlignment="1">
      <alignment horizontal="right" vertical="center"/>
    </xf>
    <xf numFmtId="17" fontId="5" fillId="3" borderId="0" xfId="0" applyNumberFormat="1" applyFont="1" applyFill="1" applyAlignment="1">
      <alignment vertical="center"/>
    </xf>
    <xf numFmtId="0" fontId="75" fillId="3" borderId="0" xfId="0" applyFont="1" applyFill="1" applyAlignment="1">
      <alignment horizontal="left" vertical="center"/>
    </xf>
    <xf numFmtId="4" fontId="77" fillId="3" borderId="0" xfId="61" applyNumberFormat="1" applyFont="1" applyFill="1" applyAlignment="1">
      <alignment horizontal="center" vertical="center" wrapText="1"/>
    </xf>
    <xf numFmtId="4" fontId="77" fillId="3" borderId="0" xfId="61" applyNumberFormat="1" applyFont="1" applyFill="1" applyAlignment="1">
      <alignment horizontal="right" vertical="center" wrapText="1"/>
    </xf>
    <xf numFmtId="0" fontId="7" fillId="3" borderId="0" xfId="61" applyFill="1" applyAlignment="1">
      <alignment vertical="center" wrapText="1"/>
    </xf>
    <xf numFmtId="0" fontId="5" fillId="3" borderId="0" xfId="0" applyFont="1" applyFill="1" applyAlignment="1">
      <alignment vertical="center"/>
    </xf>
    <xf numFmtId="4" fontId="5" fillId="3" borderId="0" xfId="0" applyNumberFormat="1" applyFont="1" applyFill="1" applyAlignment="1">
      <alignment horizontal="center" vertical="center"/>
    </xf>
    <xf numFmtId="167" fontId="77" fillId="3" borderId="0" xfId="61" applyNumberFormat="1" applyFont="1" applyFill="1" applyAlignment="1">
      <alignment horizontal="center" vertical="center" wrapText="1"/>
    </xf>
    <xf numFmtId="167" fontId="17" fillId="3" borderId="0" xfId="61" applyNumberFormat="1" applyFont="1" applyFill="1" applyAlignment="1">
      <alignment vertical="center" wrapText="1"/>
    </xf>
    <xf numFmtId="167" fontId="17" fillId="3" borderId="0" xfId="61" applyNumberFormat="1" applyFont="1" applyFill="1" applyAlignment="1">
      <alignment vertical="top" wrapText="1"/>
    </xf>
    <xf numFmtId="17" fontId="80" fillId="3" borderId="0" xfId="0" applyNumberFormat="1" applyFont="1" applyFill="1" applyAlignment="1">
      <alignment horizontal="right" vertical="center"/>
    </xf>
    <xf numFmtId="4" fontId="5" fillId="3" borderId="0" xfId="0" applyNumberFormat="1" applyFont="1" applyFill="1" applyAlignment="1">
      <alignment horizontal="left" vertical="center"/>
    </xf>
    <xf numFmtId="4" fontId="80" fillId="3" borderId="0" xfId="0" applyNumberFormat="1" applyFont="1" applyFill="1" applyAlignment="1">
      <alignment horizontal="right" vertical="center"/>
    </xf>
    <xf numFmtId="164" fontId="5" fillId="3" borderId="0" xfId="0" applyNumberFormat="1" applyFont="1" applyFill="1" applyAlignment="1">
      <alignment vertical="center"/>
    </xf>
    <xf numFmtId="4" fontId="5" fillId="3" borderId="0" xfId="0" applyNumberFormat="1" applyFont="1" applyFill="1" applyAlignment="1">
      <alignment horizontal="right" vertical="center"/>
    </xf>
    <xf numFmtId="4" fontId="81" fillId="3" borderId="0" xfId="0" applyNumberFormat="1" applyFont="1" applyFill="1" applyAlignment="1">
      <alignment horizontal="right" vertical="center"/>
    </xf>
    <xf numFmtId="2" fontId="78" fillId="3" borderId="1" xfId="61" applyNumberFormat="1" applyFont="1" applyFill="1" applyBorder="1" applyAlignment="1">
      <alignment horizontal="center" vertical="center"/>
    </xf>
    <xf numFmtId="2" fontId="7" fillId="3" borderId="0" xfId="61" applyNumberFormat="1" applyFill="1"/>
    <xf numFmtId="0" fontId="9" fillId="3" borderId="0" xfId="0" applyFont="1" applyFill="1" applyAlignment="1">
      <alignment vertical="center" wrapText="1"/>
    </xf>
    <xf numFmtId="0" fontId="75" fillId="3" borderId="0" xfId="0" applyFont="1" applyFill="1" applyAlignment="1">
      <alignment vertical="center" wrapText="1"/>
    </xf>
    <xf numFmtId="0" fontId="7" fillId="0" borderId="0" xfId="61" applyAlignment="1">
      <alignment horizontal="center"/>
    </xf>
    <xf numFmtId="0" fontId="7" fillId="0" borderId="0" xfId="61"/>
    <xf numFmtId="164" fontId="7" fillId="0" borderId="1" xfId="61" applyNumberFormat="1" applyBorder="1" applyAlignment="1">
      <alignment horizontal="center" wrapText="1"/>
    </xf>
    <xf numFmtId="0" fontId="7" fillId="0" borderId="1" xfId="61" applyBorder="1" applyAlignment="1">
      <alignment horizontal="left" wrapText="1"/>
    </xf>
    <xf numFmtId="0" fontId="7" fillId="0" borderId="0" xfId="61" applyAlignment="1">
      <alignment horizontal="left"/>
    </xf>
    <xf numFmtId="0" fontId="82" fillId="0" borderId="0" xfId="0" applyFont="1" applyAlignment="1">
      <alignment horizontal="center" vertical="center"/>
    </xf>
    <xf numFmtId="0" fontId="83" fillId="0" borderId="0" xfId="0" applyFont="1"/>
    <xf numFmtId="0" fontId="83" fillId="0" borderId="33" xfId="0" applyFont="1" applyBorder="1" applyAlignment="1">
      <alignment horizontal="center" vertical="center"/>
    </xf>
    <xf numFmtId="0" fontId="83" fillId="0" borderId="36" xfId="0" applyFont="1" applyBorder="1" applyAlignment="1">
      <alignment horizontal="center" vertical="center"/>
    </xf>
    <xf numFmtId="0" fontId="84" fillId="19" borderId="2" xfId="0" applyFont="1" applyFill="1" applyBorder="1" applyAlignment="1">
      <alignment horizontal="center" vertical="center" wrapText="1"/>
    </xf>
    <xf numFmtId="0" fontId="83" fillId="0" borderId="38" xfId="0" applyFont="1" applyBorder="1" applyAlignment="1">
      <alignment horizontal="center" vertical="center" wrapText="1"/>
    </xf>
    <xf numFmtId="0" fontId="83" fillId="0" borderId="19" xfId="0" applyFont="1" applyBorder="1" applyAlignment="1">
      <alignment horizontal="center" vertical="center" wrapText="1"/>
    </xf>
    <xf numFmtId="0" fontId="83" fillId="0" borderId="20" xfId="0" applyFont="1" applyBorder="1" applyAlignment="1">
      <alignment horizontal="center" vertical="center" wrapText="1"/>
    </xf>
    <xf numFmtId="0" fontId="83" fillId="0" borderId="37"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5" xfId="0" applyFont="1" applyBorder="1" applyAlignment="1">
      <alignment horizontal="center" vertical="center" wrapText="1"/>
    </xf>
    <xf numFmtId="0" fontId="85" fillId="0" borderId="39" xfId="0" applyFont="1" applyBorder="1" applyAlignment="1">
      <alignment horizontal="center" vertical="center" wrapText="1" readingOrder="1"/>
    </xf>
    <xf numFmtId="0" fontId="83" fillId="0" borderId="17"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40" xfId="0" applyFont="1" applyBorder="1" applyAlignment="1">
      <alignment horizontal="center" vertical="center" wrapText="1" readingOrder="1"/>
    </xf>
    <xf numFmtId="0" fontId="83" fillId="0" borderId="0" xfId="0" applyFont="1" applyAlignment="1">
      <alignment vertical="center"/>
    </xf>
    <xf numFmtId="9" fontId="83" fillId="0" borderId="0" xfId="2" applyFont="1" applyAlignment="1">
      <alignment vertical="center"/>
    </xf>
    <xf numFmtId="0" fontId="9" fillId="3" borderId="0" xfId="0" quotePrefix="1" applyFont="1" applyFill="1" applyAlignment="1">
      <alignment horizontal="right" vertical="center"/>
    </xf>
    <xf numFmtId="0" fontId="15" fillId="11" borderId="1" xfId="0" quotePrefix="1" applyFont="1" applyFill="1" applyBorder="1" applyAlignment="1">
      <alignment horizontal="center" vertical="center"/>
    </xf>
    <xf numFmtId="43" fontId="20" fillId="0" borderId="1" xfId="0" quotePrefix="1" applyNumberFormat="1" applyFont="1" applyBorder="1" applyAlignment="1">
      <alignment horizontal="right" vertical="center"/>
    </xf>
    <xf numFmtId="0" fontId="117" fillId="3" borderId="1" xfId="61" applyFont="1" applyFill="1" applyBorder="1" applyAlignment="1">
      <alignment horizontal="center" vertical="center" wrapText="1"/>
    </xf>
    <xf numFmtId="0" fontId="36" fillId="0" borderId="0" xfId="108" applyFont="1" applyAlignment="1">
      <alignment vertical="center" wrapText="1"/>
    </xf>
    <xf numFmtId="0" fontId="42" fillId="3" borderId="0" xfId="108" applyFont="1" applyFill="1" applyAlignment="1">
      <alignment horizontal="right" vertical="center" wrapText="1"/>
    </xf>
    <xf numFmtId="0" fontId="49" fillId="3" borderId="6" xfId="108" applyFont="1" applyFill="1" applyBorder="1" applyAlignment="1">
      <alignment horizontal="center" vertical="center" wrapText="1"/>
    </xf>
    <xf numFmtId="0" fontId="49" fillId="3" borderId="7" xfId="108" applyFont="1" applyFill="1" applyBorder="1" applyAlignment="1">
      <alignment horizontal="left" vertical="center" wrapText="1"/>
    </xf>
    <xf numFmtId="0" fontId="44" fillId="3" borderId="0" xfId="108" applyFont="1" applyFill="1" applyAlignment="1">
      <alignment horizontal="right" vertical="center" wrapText="1"/>
    </xf>
    <xf numFmtId="0" fontId="42" fillId="3" borderId="0" xfId="108" applyFont="1" applyFill="1" applyAlignment="1">
      <alignment horizontal="left" vertical="center" wrapText="1"/>
    </xf>
    <xf numFmtId="0" fontId="43" fillId="3" borderId="0" xfId="108" applyFont="1" applyFill="1" applyAlignment="1">
      <alignment horizontal="left" vertical="center" wrapText="1"/>
    </xf>
    <xf numFmtId="0" fontId="43" fillId="0" borderId="0" xfId="108" applyFont="1" applyAlignment="1">
      <alignment horizontal="center" vertical="center" wrapText="1"/>
    </xf>
    <xf numFmtId="0" fontId="43" fillId="3" borderId="0" xfId="108" applyFont="1" applyFill="1" applyAlignment="1">
      <alignment horizontal="center" vertical="center" wrapText="1"/>
    </xf>
    <xf numFmtId="15" fontId="43" fillId="3" borderId="0" xfId="108" applyNumberFormat="1" applyFont="1" applyFill="1" applyAlignment="1">
      <alignment horizontal="center" vertical="center" wrapText="1"/>
    </xf>
    <xf numFmtId="171" fontId="42" fillId="3" borderId="0" xfId="108" applyNumberFormat="1" applyFont="1" applyFill="1" applyAlignment="1">
      <alignment horizontal="center" vertical="center" wrapText="1"/>
    </xf>
    <xf numFmtId="171" fontId="43" fillId="3" borderId="0" xfId="108" applyNumberFormat="1" applyFont="1" applyFill="1" applyAlignment="1">
      <alignment horizontal="center" vertical="center" wrapText="1"/>
    </xf>
    <xf numFmtId="0" fontId="50" fillId="3" borderId="0" xfId="108" applyFont="1" applyFill="1" applyAlignment="1">
      <alignment horizontal="left" vertical="center" wrapText="1"/>
    </xf>
    <xf numFmtId="0" fontId="49" fillId="3" borderId="0" xfId="108" applyFont="1" applyFill="1" applyAlignment="1">
      <alignment horizontal="center" vertical="center" wrapText="1"/>
    </xf>
    <xf numFmtId="0" fontId="49" fillId="3" borderId="0" xfId="108" applyFont="1" applyFill="1" applyAlignment="1">
      <alignment horizontal="left" vertical="center" wrapText="1"/>
    </xf>
    <xf numFmtId="43" fontId="49" fillId="3" borderId="6" xfId="109" applyFont="1" applyFill="1" applyBorder="1" applyAlignment="1">
      <alignment horizontal="center" vertical="center" wrapText="1"/>
    </xf>
    <xf numFmtId="43" fontId="49" fillId="3" borderId="7" xfId="109" applyFont="1" applyFill="1" applyBorder="1" applyAlignment="1">
      <alignment horizontal="left" vertical="center" wrapText="1"/>
    </xf>
    <xf numFmtId="0" fontId="35" fillId="3" borderId="0" xfId="108" applyFont="1" applyFill="1" applyAlignment="1">
      <alignment vertical="center" wrapText="1"/>
    </xf>
    <xf numFmtId="0" fontId="38" fillId="3" borderId="0" xfId="108" applyFont="1" applyFill="1" applyAlignment="1">
      <alignment horizontal="left" vertical="center" wrapText="1"/>
    </xf>
    <xf numFmtId="171" fontId="47" fillId="3" borderId="0" xfId="108" applyNumberFormat="1" applyFont="1" applyFill="1" applyAlignment="1">
      <alignment horizontal="center" vertical="center" wrapText="1"/>
    </xf>
    <xf numFmtId="171" fontId="51" fillId="3" borderId="0" xfId="108" applyNumberFormat="1" applyFont="1" applyFill="1" applyAlignment="1">
      <alignment horizontal="center" vertical="center" wrapText="1"/>
    </xf>
    <xf numFmtId="171" fontId="52" fillId="3" borderId="0" xfId="108" applyNumberFormat="1" applyFont="1" applyFill="1" applyAlignment="1">
      <alignment horizontal="center" vertical="center" wrapText="1"/>
    </xf>
    <xf numFmtId="0" fontId="36" fillId="3" borderId="0" xfId="108" applyFont="1" applyFill="1" applyAlignment="1">
      <alignment horizontal="center" vertical="center" wrapText="1"/>
    </xf>
    <xf numFmtId="0" fontId="35" fillId="3" borderId="0" xfId="108" applyFont="1" applyFill="1" applyAlignment="1">
      <alignment horizontal="center" vertical="center" wrapText="1"/>
    </xf>
    <xf numFmtId="0" fontId="35" fillId="3" borderId="0" xfId="108" applyFont="1" applyFill="1" applyAlignment="1">
      <alignment horizontal="left" vertical="center" wrapText="1"/>
    </xf>
    <xf numFmtId="0" fontId="35" fillId="0" borderId="0" xfId="108" applyFont="1" applyAlignment="1">
      <alignment vertical="center" wrapText="1"/>
    </xf>
    <xf numFmtId="0" fontId="36" fillId="3" borderId="0" xfId="108" applyFont="1" applyFill="1" applyAlignment="1">
      <alignment vertical="center"/>
    </xf>
    <xf numFmtId="0" fontId="42" fillId="3" borderId="0" xfId="108" applyFont="1" applyFill="1" applyAlignment="1">
      <alignment horizontal="center" vertical="center" wrapText="1"/>
    </xf>
    <xf numFmtId="15" fontId="42" fillId="3" borderId="0" xfId="108" applyNumberFormat="1" applyFont="1" applyFill="1" applyAlignment="1">
      <alignment horizontal="center" vertical="center" wrapText="1"/>
    </xf>
    <xf numFmtId="0" fontId="36" fillId="3" borderId="0" xfId="108" applyFont="1" applyFill="1" applyAlignment="1">
      <alignment horizontal="center" vertical="center"/>
    </xf>
    <xf numFmtId="0" fontId="36" fillId="3" borderId="0" xfId="108" applyFont="1" applyFill="1" applyAlignment="1">
      <alignment horizontal="left" vertical="center" wrapText="1"/>
    </xf>
    <xf numFmtId="0" fontId="36" fillId="0" borderId="0" xfId="108" applyFont="1" applyAlignment="1">
      <alignment vertical="center"/>
    </xf>
    <xf numFmtId="0" fontId="36" fillId="3" borderId="0" xfId="108" applyFont="1" applyFill="1" applyAlignment="1">
      <alignment vertical="center" wrapText="1"/>
    </xf>
    <xf numFmtId="0" fontId="42" fillId="0" borderId="0" xfId="108" applyFont="1" applyAlignment="1">
      <alignment horizontal="center" vertical="center" wrapText="1"/>
    </xf>
    <xf numFmtId="164" fontId="48" fillId="3" borderId="0" xfId="108" applyNumberFormat="1" applyFont="1" applyFill="1" applyAlignment="1">
      <alignment horizontal="center" vertical="center" wrapText="1"/>
    </xf>
    <xf numFmtId="15" fontId="48" fillId="3" borderId="0" xfId="108" applyNumberFormat="1" applyFont="1" applyFill="1" applyAlignment="1">
      <alignment horizontal="center" vertical="center" wrapText="1"/>
    </xf>
    <xf numFmtId="171" fontId="48" fillId="3" borderId="0" xfId="108" applyNumberFormat="1" applyFont="1" applyFill="1" applyAlignment="1">
      <alignment horizontal="center" vertical="center" wrapText="1"/>
    </xf>
    <xf numFmtId="171" fontId="42" fillId="13" borderId="0" xfId="108" applyNumberFormat="1" applyFont="1" applyFill="1" applyAlignment="1">
      <alignment horizontal="center" vertical="center" wrapText="1"/>
    </xf>
    <xf numFmtId="0" fontId="42" fillId="13" borderId="2" xfId="108" applyFont="1" applyFill="1" applyBorder="1" applyAlignment="1">
      <alignment horizontal="center" vertical="center"/>
    </xf>
    <xf numFmtId="0" fontId="45" fillId="0" borderId="1" xfId="108" applyFont="1" applyBorder="1" applyAlignment="1">
      <alignment horizontal="center" vertical="center" wrapText="1"/>
    </xf>
    <xf numFmtId="0" fontId="45" fillId="0" borderId="1" xfId="108" applyFont="1" applyBorder="1" applyAlignment="1">
      <alignment horizontal="left" vertical="center" wrapText="1"/>
    </xf>
    <xf numFmtId="15" fontId="45" fillId="0" borderId="1" xfId="108" applyNumberFormat="1" applyFont="1" applyBorder="1" applyAlignment="1">
      <alignment horizontal="center" vertical="center" wrapText="1"/>
    </xf>
    <xf numFmtId="171" fontId="45" fillId="0" borderId="1" xfId="108" applyNumberFormat="1" applyFont="1" applyBorder="1" applyAlignment="1">
      <alignment horizontal="center" vertical="center" wrapText="1"/>
    </xf>
    <xf numFmtId="43" fontId="45" fillId="3" borderId="1" xfId="109" applyFont="1" applyFill="1" applyBorder="1" applyAlignment="1">
      <alignment horizontal="center" vertical="center" wrapText="1"/>
    </xf>
    <xf numFmtId="43" fontId="45" fillId="7" borderId="1" xfId="108" applyNumberFormat="1" applyFont="1" applyFill="1" applyBorder="1" applyAlignment="1">
      <alignment horizontal="center" vertical="center" wrapText="1"/>
    </xf>
    <xf numFmtId="0" fontId="4" fillId="0" borderId="0" xfId="108"/>
    <xf numFmtId="0" fontId="45" fillId="0" borderId="1" xfId="108" applyFont="1" applyBorder="1" applyAlignment="1">
      <alignment vertical="center" wrapText="1"/>
    </xf>
    <xf numFmtId="0" fontId="46" fillId="0" borderId="1" xfId="108" applyFont="1" applyBorder="1" applyAlignment="1">
      <alignment horizontal="left" vertical="center" wrapText="1"/>
    </xf>
    <xf numFmtId="171" fontId="46" fillId="0" borderId="1" xfId="108" applyNumberFormat="1" applyFont="1" applyBorder="1" applyAlignment="1">
      <alignment horizontal="center" vertical="center" wrapText="1"/>
    </xf>
    <xf numFmtId="43" fontId="46" fillId="3" borderId="1" xfId="109" applyFont="1" applyFill="1" applyBorder="1" applyAlignment="1">
      <alignment horizontal="center" vertical="center" wrapText="1"/>
    </xf>
    <xf numFmtId="43" fontId="46" fillId="7" borderId="1" xfId="108" applyNumberFormat="1" applyFont="1" applyFill="1" applyBorder="1" applyAlignment="1">
      <alignment horizontal="center" vertical="center" wrapText="1"/>
    </xf>
    <xf numFmtId="0" fontId="41" fillId="0" borderId="0" xfId="108" applyFont="1"/>
    <xf numFmtId="0" fontId="53" fillId="13" borderId="0" xfId="108" applyFont="1" applyFill="1" applyAlignment="1">
      <alignment horizontal="center" vertical="center" wrapText="1"/>
    </xf>
    <xf numFmtId="15" fontId="53" fillId="13" borderId="0" xfId="108" applyNumberFormat="1" applyFont="1" applyFill="1" applyAlignment="1">
      <alignment horizontal="center" vertical="center" wrapText="1"/>
    </xf>
    <xf numFmtId="171" fontId="53" fillId="13" borderId="0" xfId="108" applyNumberFormat="1" applyFont="1" applyFill="1" applyAlignment="1">
      <alignment horizontal="center" vertical="center" wrapText="1"/>
    </xf>
    <xf numFmtId="171" fontId="53" fillId="14" borderId="0" xfId="108" applyNumberFormat="1" applyFont="1" applyFill="1" applyAlignment="1">
      <alignment horizontal="center" vertical="center" wrapText="1"/>
    </xf>
    <xf numFmtId="0" fontId="45" fillId="3" borderId="1" xfId="108" applyFont="1" applyFill="1" applyBorder="1" applyAlignment="1">
      <alignment vertical="center" wrapText="1"/>
    </xf>
    <xf numFmtId="0" fontId="45" fillId="3" borderId="1" xfId="108" applyFont="1" applyFill="1" applyBorder="1" applyAlignment="1">
      <alignment horizontal="center" vertical="center"/>
    </xf>
    <xf numFmtId="0" fontId="45" fillId="0" borderId="1" xfId="108" applyFont="1" applyBorder="1" applyAlignment="1">
      <alignment horizontal="center" vertical="center"/>
    </xf>
    <xf numFmtId="171" fontId="45" fillId="0" borderId="2" xfId="108" applyNumberFormat="1" applyFont="1" applyBorder="1" applyAlignment="1">
      <alignment horizontal="center" vertical="center" wrapText="1"/>
    </xf>
    <xf numFmtId="0" fontId="53" fillId="0" borderId="0" xfId="108" applyFont="1" applyAlignment="1">
      <alignment horizontal="center" vertical="center" wrapText="1"/>
    </xf>
    <xf numFmtId="0" fontId="53" fillId="0" borderId="0" xfId="108" applyFont="1" applyAlignment="1">
      <alignment horizontal="left" vertical="center" wrapText="1"/>
    </xf>
    <xf numFmtId="43" fontId="53" fillId="7" borderId="3" xfId="108" applyNumberFormat="1" applyFont="1" applyFill="1" applyBorder="1" applyAlignment="1">
      <alignment horizontal="center" vertical="center" wrapText="1"/>
    </xf>
    <xf numFmtId="0" fontId="38" fillId="0" borderId="0" xfId="108" applyFont="1" applyAlignment="1">
      <alignment horizontal="left" vertical="center" wrapText="1"/>
    </xf>
    <xf numFmtId="0" fontId="42" fillId="0" borderId="0" xfId="108" applyFont="1" applyAlignment="1">
      <alignment horizontal="left" vertical="center" wrapText="1"/>
    </xf>
    <xf numFmtId="15" fontId="42" fillId="0" borderId="0" xfId="108" applyNumberFormat="1" applyFont="1" applyAlignment="1">
      <alignment horizontal="center" vertical="center" wrapText="1"/>
    </xf>
    <xf numFmtId="171" fontId="42" fillId="0" borderId="0" xfId="108" applyNumberFormat="1" applyFont="1" applyAlignment="1">
      <alignment horizontal="center" vertical="center" wrapText="1"/>
    </xf>
    <xf numFmtId="0" fontId="36" fillId="0" borderId="0" xfId="108" applyFont="1" applyAlignment="1">
      <alignment horizontal="center" vertical="center" wrapText="1"/>
    </xf>
    <xf numFmtId="0" fontId="36" fillId="0" borderId="0" xfId="108" applyFont="1" applyAlignment="1">
      <alignment horizontal="left" vertical="center" wrapText="1"/>
    </xf>
    <xf numFmtId="0" fontId="33" fillId="0" borderId="0" xfId="108" applyFont="1" applyAlignment="1">
      <alignment vertical="center" wrapText="1"/>
    </xf>
    <xf numFmtId="164" fontId="36" fillId="0" borderId="0" xfId="108" applyNumberFormat="1" applyFont="1" applyAlignment="1">
      <alignment horizontal="center" vertical="center" wrapText="1"/>
    </xf>
    <xf numFmtId="171" fontId="38" fillId="0" borderId="0" xfId="108" applyNumberFormat="1" applyFont="1" applyAlignment="1">
      <alignment horizontal="center" vertical="center" wrapText="1"/>
    </xf>
    <xf numFmtId="171" fontId="38" fillId="3" borderId="0" xfId="108" applyNumberFormat="1" applyFont="1" applyFill="1" applyAlignment="1">
      <alignment horizontal="center" vertical="center" wrapText="1"/>
    </xf>
    <xf numFmtId="171" fontId="37" fillId="0" borderId="0" xfId="108" applyNumberFormat="1" applyFont="1" applyAlignment="1">
      <alignment horizontal="center" vertical="center" wrapText="1"/>
    </xf>
    <xf numFmtId="172" fontId="66" fillId="0" borderId="1" xfId="1" applyNumberFormat="1" applyFont="1" applyFill="1" applyBorder="1" applyAlignment="1">
      <alignment horizontal="center" vertical="center" wrapText="1"/>
    </xf>
    <xf numFmtId="172" fontId="68" fillId="0" borderId="1" xfId="1" applyNumberFormat="1" applyFont="1" applyFill="1" applyBorder="1" applyAlignment="1">
      <alignment horizontal="center" vertical="center" wrapText="1"/>
    </xf>
    <xf numFmtId="172" fontId="68" fillId="3" borderId="1" xfId="1" applyNumberFormat="1" applyFont="1" applyFill="1" applyBorder="1" applyAlignment="1">
      <alignment horizontal="center" vertical="center" wrapText="1"/>
    </xf>
    <xf numFmtId="172" fontId="66" fillId="3" borderId="1" xfId="1" applyNumberFormat="1" applyFont="1" applyFill="1" applyBorder="1" applyAlignment="1">
      <alignment horizontal="center" vertical="center" wrapText="1"/>
    </xf>
    <xf numFmtId="173" fontId="66" fillId="11" borderId="1" xfId="0" applyNumberFormat="1" applyFont="1" applyFill="1" applyBorder="1" applyAlignment="1">
      <alignment horizontal="center" vertical="center" wrapText="1"/>
    </xf>
    <xf numFmtId="0" fontId="68" fillId="11" borderId="1" xfId="0" applyFont="1" applyFill="1" applyBorder="1" applyAlignment="1">
      <alignment horizontal="center" vertical="center"/>
    </xf>
    <xf numFmtId="0" fontId="68" fillId="11" borderId="1" xfId="0" applyFont="1" applyFill="1" applyBorder="1" applyAlignment="1">
      <alignment horizontal="left" vertical="center" wrapText="1"/>
    </xf>
    <xf numFmtId="0" fontId="68" fillId="0" borderId="5" xfId="0" applyFont="1" applyBorder="1" applyAlignment="1">
      <alignment horizontal="center" vertical="center"/>
    </xf>
    <xf numFmtId="22" fontId="68" fillId="11" borderId="1" xfId="0" applyNumberFormat="1" applyFont="1" applyFill="1" applyBorder="1" applyAlignment="1">
      <alignment horizontal="center" vertical="center" wrapText="1"/>
    </xf>
    <xf numFmtId="164" fontId="68" fillId="7" borderId="1" xfId="0" applyNumberFormat="1" applyFont="1" applyFill="1" applyBorder="1" applyAlignment="1">
      <alignment horizontal="center" vertical="center" wrapText="1" shrinkToFit="1"/>
    </xf>
    <xf numFmtId="0" fontId="68" fillId="0" borderId="1" xfId="0" applyFont="1" applyBorder="1" applyAlignment="1">
      <alignment vertical="center" wrapText="1"/>
    </xf>
    <xf numFmtId="173" fontId="68" fillId="11" borderId="1" xfId="0" applyNumberFormat="1" applyFont="1" applyFill="1" applyBorder="1" applyAlignment="1">
      <alignment horizontal="center" vertical="center" wrapText="1"/>
    </xf>
    <xf numFmtId="43" fontId="66" fillId="7" borderId="3" xfId="61" applyNumberFormat="1" applyFont="1" applyFill="1" applyBorder="1" applyAlignment="1">
      <alignment horizontal="center" vertical="center" wrapText="1"/>
    </xf>
    <xf numFmtId="0" fontId="66" fillId="0" borderId="3" xfId="0" applyFont="1" applyBorder="1" applyAlignment="1">
      <alignment vertical="center"/>
    </xf>
    <xf numFmtId="173" fontId="67" fillId="15" borderId="15" xfId="61" applyNumberFormat="1" applyFont="1" applyFill="1" applyBorder="1" applyAlignment="1">
      <alignment horizontal="center" vertical="center" wrapText="1"/>
    </xf>
    <xf numFmtId="173" fontId="67" fillId="15" borderId="18" xfId="61" applyNumberFormat="1" applyFont="1" applyFill="1" applyBorder="1" applyAlignment="1">
      <alignment horizontal="center" vertical="center" wrapText="1"/>
    </xf>
    <xf numFmtId="43" fontId="68" fillId="7" borderId="1" xfId="61" applyNumberFormat="1" applyFont="1" applyFill="1" applyBorder="1" applyAlignment="1">
      <alignment horizontal="center" vertical="center" wrapText="1"/>
    </xf>
    <xf numFmtId="0" fontId="68" fillId="0" borderId="0" xfId="61" applyFont="1" applyAlignment="1">
      <alignment horizontal="center" vertical="center" wrapText="1"/>
    </xf>
    <xf numFmtId="0" fontId="119" fillId="0" borderId="0" xfId="61" applyFont="1" applyAlignment="1">
      <alignment horizontal="center" vertical="center" wrapText="1"/>
    </xf>
    <xf numFmtId="0" fontId="67" fillId="15" borderId="20" xfId="61" applyFont="1" applyFill="1" applyBorder="1" applyAlignment="1">
      <alignment horizontal="left" vertical="center"/>
    </xf>
    <xf numFmtId="0" fontId="67" fillId="15" borderId="0" xfId="61" applyFont="1" applyFill="1" applyAlignment="1">
      <alignment horizontal="center" vertical="center"/>
    </xf>
    <xf numFmtId="0" fontId="67" fillId="15" borderId="0" xfId="61" applyFont="1" applyFill="1" applyAlignment="1">
      <alignment horizontal="left" vertical="center"/>
    </xf>
    <xf numFmtId="22" fontId="67" fillId="15" borderId="0" xfId="61" applyNumberFormat="1" applyFont="1" applyFill="1" applyAlignment="1">
      <alignment horizontal="left" vertical="center"/>
    </xf>
    <xf numFmtId="173" fontId="67" fillId="15" borderId="0" xfId="61" applyNumberFormat="1" applyFont="1" applyFill="1" applyAlignment="1">
      <alignment horizontal="left" vertical="center"/>
    </xf>
    <xf numFmtId="171" fontId="67" fillId="15" borderId="17" xfId="61" applyNumberFormat="1" applyFont="1" applyFill="1" applyBorder="1" applyAlignment="1">
      <alignment horizontal="center" vertical="center" wrapText="1"/>
    </xf>
    <xf numFmtId="173" fontId="45" fillId="0" borderId="1" xfId="108" applyNumberFormat="1" applyFont="1" applyBorder="1" applyAlignment="1">
      <alignment horizontal="center" vertical="center" wrapText="1"/>
    </xf>
    <xf numFmtId="0" fontId="66" fillId="7" borderId="1" xfId="0" applyFont="1" applyFill="1" applyBorder="1" applyAlignment="1">
      <alignment horizontal="center" vertical="center"/>
    </xf>
    <xf numFmtId="0" fontId="68" fillId="7" borderId="1" xfId="0" applyFont="1" applyFill="1" applyBorder="1" applyAlignment="1">
      <alignment horizontal="center" vertical="center"/>
    </xf>
    <xf numFmtId="43" fontId="67" fillId="7" borderId="24" xfId="61" applyNumberFormat="1" applyFont="1" applyFill="1" applyBorder="1" applyAlignment="1">
      <alignment horizontal="center" vertical="center" wrapText="1"/>
    </xf>
    <xf numFmtId="173" fontId="45" fillId="0" borderId="1" xfId="61" applyNumberFormat="1" applyFont="1" applyBorder="1" applyAlignment="1">
      <alignment horizontal="center" vertical="center" wrapText="1"/>
    </xf>
    <xf numFmtId="15" fontId="45" fillId="0" borderId="1" xfId="108" quotePrefix="1" applyNumberFormat="1" applyFont="1" applyBorder="1" applyAlignment="1">
      <alignment horizontal="center" vertical="center" wrapText="1"/>
    </xf>
    <xf numFmtId="178" fontId="45" fillId="0" borderId="1" xfId="108" applyNumberFormat="1" applyFont="1" applyBorder="1" applyAlignment="1">
      <alignment horizontal="center" vertical="center" wrapText="1"/>
    </xf>
    <xf numFmtId="0" fontId="46" fillId="0" borderId="1" xfId="108" applyFont="1" applyBorder="1" applyAlignment="1">
      <alignment horizontal="center" vertical="center" wrapText="1"/>
    </xf>
    <xf numFmtId="0" fontId="3" fillId="0" borderId="0" xfId="108" applyFont="1"/>
    <xf numFmtId="1" fontId="30" fillId="3" borderId="1" xfId="56" applyNumberFormat="1" applyFont="1" applyFill="1" applyBorder="1" applyAlignment="1">
      <alignment horizontal="center" vertical="center" wrapText="1"/>
    </xf>
    <xf numFmtId="43" fontId="26" fillId="0" borderId="1" xfId="0" applyNumberFormat="1" applyFont="1" applyBorder="1" applyAlignment="1">
      <alignment horizontal="center" vertical="center"/>
    </xf>
    <xf numFmtId="0" fontId="16" fillId="0" borderId="1" xfId="61" applyFont="1" applyBorder="1" applyAlignment="1">
      <alignment vertical="center" wrapText="1"/>
    </xf>
    <xf numFmtId="0" fontId="15" fillId="11" borderId="1" xfId="0" quotePrefix="1" applyFont="1" applyFill="1" applyBorder="1" applyAlignment="1">
      <alignment horizontal="center" vertical="center" wrapText="1"/>
    </xf>
    <xf numFmtId="171" fontId="15" fillId="11" borderId="1" xfId="0" quotePrefix="1" applyNumberFormat="1" applyFont="1" applyFill="1" applyBorder="1" applyAlignment="1">
      <alignment horizontal="center" vertical="center"/>
    </xf>
    <xf numFmtId="4" fontId="15" fillId="11" borderId="1" xfId="0" quotePrefix="1" applyNumberFormat="1" applyFont="1" applyFill="1" applyBorder="1" applyAlignment="1">
      <alignment horizontal="center" vertical="center"/>
    </xf>
    <xf numFmtId="0" fontId="13" fillId="0" borderId="0" xfId="111" applyFont="1" applyAlignment="1">
      <alignment vertical="center"/>
    </xf>
    <xf numFmtId="0" fontId="13" fillId="3" borderId="0" xfId="111" applyFont="1" applyFill="1" applyAlignment="1">
      <alignment vertical="center"/>
    </xf>
    <xf numFmtId="0" fontId="13" fillId="3" borderId="0" xfId="111" applyFont="1" applyFill="1" applyAlignment="1">
      <alignment horizontal="center" vertical="center"/>
    </xf>
    <xf numFmtId="0" fontId="16" fillId="3" borderId="0" xfId="111" applyFont="1" applyFill="1" applyAlignment="1">
      <alignment vertical="center"/>
    </xf>
    <xf numFmtId="0" fontId="16" fillId="3" borderId="0" xfId="111" applyFont="1" applyFill="1" applyAlignment="1">
      <alignment horizontal="right" vertical="center"/>
    </xf>
    <xf numFmtId="169" fontId="16" fillId="3" borderId="0" xfId="111" applyNumberFormat="1" applyFont="1" applyFill="1" applyAlignment="1">
      <alignment horizontal="center" vertical="center"/>
    </xf>
    <xf numFmtId="0" fontId="16" fillId="0" borderId="0" xfId="111" applyFont="1" applyAlignment="1">
      <alignment vertical="center"/>
    </xf>
    <xf numFmtId="0" fontId="20" fillId="3" borderId="0" xfId="111" applyFont="1" applyFill="1" applyAlignment="1">
      <alignment horizontal="left" vertical="center"/>
    </xf>
    <xf numFmtId="0" fontId="20" fillId="3" borderId="0" xfId="111" applyFont="1" applyFill="1" applyAlignment="1">
      <alignment horizontal="center" vertical="center"/>
    </xf>
    <xf numFmtId="0" fontId="16" fillId="3" borderId="0" xfId="111" applyFont="1" applyFill="1" applyAlignment="1">
      <alignment horizontal="center" vertical="center"/>
    </xf>
    <xf numFmtId="4" fontId="16" fillId="3" borderId="0" xfId="111" applyNumberFormat="1" applyFont="1" applyFill="1" applyAlignment="1">
      <alignment horizontal="right" vertical="center"/>
    </xf>
    <xf numFmtId="0" fontId="24" fillId="3" borderId="0" xfId="111" applyFont="1" applyFill="1" applyAlignment="1">
      <alignment vertical="center"/>
    </xf>
    <xf numFmtId="0" fontId="17" fillId="3" borderId="0" xfId="111" applyFont="1" applyFill="1" applyAlignment="1">
      <alignment horizontal="left" vertical="center" wrapText="1"/>
    </xf>
    <xf numFmtId="4" fontId="17" fillId="3" borderId="0" xfId="112" applyNumberFormat="1" applyFont="1" applyFill="1" applyAlignment="1">
      <alignment horizontal="center" vertical="center"/>
    </xf>
    <xf numFmtId="0" fontId="29" fillId="3" borderId="0" xfId="111" applyFont="1" applyFill="1" applyAlignment="1">
      <alignment horizontal="left" vertical="center"/>
    </xf>
    <xf numFmtId="0" fontId="24" fillId="3" borderId="0" xfId="111" applyFont="1" applyFill="1" applyAlignment="1">
      <alignment horizontal="center" vertical="center"/>
    </xf>
    <xf numFmtId="169" fontId="29" fillId="3" borderId="0" xfId="111" applyNumberFormat="1" applyFont="1" applyFill="1" applyAlignment="1">
      <alignment horizontal="center" vertical="center"/>
    </xf>
    <xf numFmtId="169" fontId="31" fillId="3" borderId="0" xfId="111" applyNumberFormat="1" applyFont="1" applyFill="1" applyAlignment="1">
      <alignment horizontal="center" vertical="center"/>
    </xf>
    <xf numFmtId="4" fontId="32" fillId="3" borderId="0" xfId="112" applyNumberFormat="1" applyFont="1" applyFill="1" applyAlignment="1">
      <alignment horizontal="center" vertical="center"/>
    </xf>
    <xf numFmtId="0" fontId="32" fillId="3" borderId="0" xfId="111" applyFont="1" applyFill="1" applyAlignment="1">
      <alignment horizontal="center" vertical="center"/>
    </xf>
    <xf numFmtId="0" fontId="24" fillId="0" borderId="0" xfId="111" applyFont="1" applyAlignment="1">
      <alignment vertical="center"/>
    </xf>
    <xf numFmtId="0" fontId="16" fillId="3" borderId="0" xfId="111" applyFont="1" applyFill="1" applyAlignment="1">
      <alignment horizontal="center" vertical="center" wrapText="1"/>
    </xf>
    <xf numFmtId="0" fontId="16" fillId="3" borderId="0" xfId="111" applyFont="1" applyFill="1"/>
    <xf numFmtId="0" fontId="16" fillId="0" borderId="0" xfId="111" applyFont="1"/>
    <xf numFmtId="0" fontId="16" fillId="3" borderId="0" xfId="111" applyFont="1" applyFill="1" applyAlignment="1">
      <alignment horizontal="center"/>
    </xf>
    <xf numFmtId="169" fontId="16" fillId="3" borderId="0" xfId="111" applyNumberFormat="1" applyFont="1" applyFill="1" applyAlignment="1">
      <alignment horizontal="center"/>
    </xf>
    <xf numFmtId="43" fontId="16" fillId="3" borderId="0" xfId="112" applyFont="1" applyFill="1" applyAlignment="1">
      <alignment horizontal="center"/>
    </xf>
    <xf numFmtId="0" fontId="20" fillId="12" borderId="1" xfId="111" applyFont="1" applyFill="1" applyBorder="1" applyAlignment="1">
      <alignment horizontal="center" vertical="center" wrapText="1"/>
    </xf>
    <xf numFmtId="4" fontId="20" fillId="12" borderId="1" xfId="111" applyNumberFormat="1" applyFont="1" applyFill="1" applyBorder="1" applyAlignment="1">
      <alignment horizontal="center" vertical="center" wrapText="1"/>
    </xf>
    <xf numFmtId="43" fontId="20" fillId="12" borderId="1" xfId="112" applyFont="1" applyFill="1" applyBorder="1" applyAlignment="1">
      <alignment horizontal="center" vertical="center" wrapText="1"/>
    </xf>
    <xf numFmtId="169" fontId="20" fillId="12" borderId="1" xfId="111" applyNumberFormat="1" applyFont="1" applyFill="1" applyBorder="1" applyAlignment="1">
      <alignment horizontal="center" vertical="center" wrapText="1"/>
    </xf>
    <xf numFmtId="0" fontId="16" fillId="0" borderId="0" xfId="111" applyFont="1" applyAlignment="1">
      <alignment horizontal="center" wrapText="1"/>
    </xf>
    <xf numFmtId="0" fontId="25" fillId="0" borderId="1" xfId="111" applyFont="1" applyBorder="1" applyAlignment="1">
      <alignment horizontal="center" vertical="center"/>
    </xf>
    <xf numFmtId="0" fontId="26" fillId="0" borderId="1" xfId="111" applyFont="1" applyBorder="1" applyAlignment="1">
      <alignment horizontal="center" vertical="center"/>
    </xf>
    <xf numFmtId="0" fontId="25" fillId="0" borderId="1" xfId="67" applyFont="1" applyBorder="1" applyAlignment="1">
      <alignment horizontal="left" vertical="center" wrapText="1"/>
    </xf>
    <xf numFmtId="0" fontId="26" fillId="0" borderId="6" xfId="111" applyFont="1" applyBorder="1" applyAlignment="1">
      <alignment horizontal="center" vertical="center"/>
    </xf>
    <xf numFmtId="43" fontId="26" fillId="0" borderId="1" xfId="111" applyNumberFormat="1" applyFont="1" applyBorder="1" applyAlignment="1">
      <alignment vertical="center"/>
    </xf>
    <xf numFmtId="0" fontId="25" fillId="0" borderId="1" xfId="111" applyFont="1" applyBorder="1" applyAlignment="1">
      <alignment vertical="center"/>
    </xf>
    <xf numFmtId="4" fontId="25" fillId="7" borderId="1" xfId="112" applyNumberFormat="1" applyFont="1" applyFill="1" applyBorder="1" applyAlignment="1">
      <alignment horizontal="center" vertical="center"/>
    </xf>
    <xf numFmtId="3" fontId="25" fillId="0" borderId="1" xfId="112" applyNumberFormat="1" applyFont="1" applyBorder="1" applyAlignment="1">
      <alignment horizontal="center" vertical="center"/>
    </xf>
    <xf numFmtId="43" fontId="25" fillId="7" borderId="1" xfId="112" applyFont="1" applyFill="1" applyBorder="1" applyAlignment="1">
      <alignment horizontal="center" vertical="center"/>
    </xf>
    <xf numFmtId="0" fontId="25" fillId="0" borderId="1" xfId="111" applyFont="1" applyBorder="1" applyAlignment="1">
      <alignment vertical="center" wrapText="1"/>
    </xf>
    <xf numFmtId="0" fontId="25" fillId="0" borderId="0" xfId="111" applyFont="1" applyAlignment="1">
      <alignment vertical="center"/>
    </xf>
    <xf numFmtId="170" fontId="25" fillId="0" borderId="1" xfId="67" applyNumberFormat="1" applyFont="1" applyBorder="1" applyAlignment="1">
      <alignment horizontal="center" vertical="center"/>
    </xf>
    <xf numFmtId="0" fontId="25" fillId="0" borderId="1" xfId="112" applyNumberFormat="1" applyFont="1" applyBorder="1" applyAlignment="1">
      <alignment horizontal="center" vertical="center"/>
    </xf>
    <xf numFmtId="43" fontId="25" fillId="0" borderId="1" xfId="112" applyFont="1" applyBorder="1" applyAlignment="1">
      <alignment horizontal="center" vertical="center"/>
    </xf>
    <xf numFmtId="0" fontId="25" fillId="3" borderId="1" xfId="111" applyFont="1" applyFill="1" applyBorder="1" applyAlignment="1">
      <alignment vertical="center" wrapText="1"/>
    </xf>
    <xf numFmtId="0" fontId="25" fillId="0" borderId="1" xfId="67" applyFont="1" applyBorder="1" applyAlignment="1">
      <alignment vertical="center" wrapText="1"/>
    </xf>
    <xf numFmtId="0" fontId="25" fillId="0" borderId="1" xfId="112" applyNumberFormat="1" applyFont="1" applyFill="1" applyBorder="1" applyAlignment="1">
      <alignment horizontal="center" vertical="center"/>
    </xf>
    <xf numFmtId="3" fontId="25" fillId="0" borderId="1" xfId="112" applyNumberFormat="1" applyFont="1" applyFill="1" applyBorder="1" applyAlignment="1">
      <alignment horizontal="center" vertical="center"/>
    </xf>
    <xf numFmtId="43" fontId="25" fillId="0" borderId="1" xfId="112" applyFont="1" applyFill="1" applyBorder="1" applyAlignment="1">
      <alignment horizontal="center" vertical="center"/>
    </xf>
    <xf numFmtId="0" fontId="26" fillId="0" borderId="0" xfId="111" applyFont="1" applyAlignment="1">
      <alignment vertical="center"/>
    </xf>
    <xf numFmtId="43" fontId="28" fillId="7" borderId="7" xfId="112" applyFont="1" applyFill="1" applyBorder="1" applyAlignment="1">
      <alignment horizontal="center" vertical="center"/>
    </xf>
    <xf numFmtId="0" fontId="33" fillId="0" borderId="1" xfId="111" applyFont="1" applyBorder="1" applyAlignment="1">
      <alignment vertical="center" wrapText="1"/>
    </xf>
    <xf numFmtId="0" fontId="2" fillId="0" borderId="0" xfId="111"/>
    <xf numFmtId="0" fontId="2" fillId="0" borderId="0" xfId="111" applyAlignment="1">
      <alignment horizontal="center"/>
    </xf>
    <xf numFmtId="169" fontId="2" fillId="0" borderId="0" xfId="111" applyNumberFormat="1" applyAlignment="1">
      <alignment horizontal="center"/>
    </xf>
    <xf numFmtId="43" fontId="0" fillId="0" borderId="0" xfId="112" applyFont="1" applyAlignment="1">
      <alignment horizontal="center"/>
    </xf>
    <xf numFmtId="0" fontId="26" fillId="3" borderId="0" xfId="111" applyFont="1" applyFill="1" applyAlignment="1">
      <alignment vertical="center"/>
    </xf>
    <xf numFmtId="0" fontId="34" fillId="11" borderId="4" xfId="111" applyFont="1" applyFill="1" applyBorder="1" applyAlignment="1">
      <alignment horizontal="center" vertical="center"/>
    </xf>
    <xf numFmtId="0" fontId="34" fillId="0" borderId="1" xfId="111" applyFont="1" applyBorder="1" applyAlignment="1">
      <alignment horizontal="left" vertical="center" wrapText="1"/>
    </xf>
    <xf numFmtId="0" fontId="34" fillId="11" borderId="0" xfId="111" applyFont="1" applyFill="1" applyAlignment="1">
      <alignment horizontal="center" vertical="center"/>
    </xf>
    <xf numFmtId="0" fontId="34" fillId="0" borderId="0" xfId="111" applyFont="1" applyAlignment="1">
      <alignment horizontal="left" vertical="center" wrapText="1"/>
    </xf>
    <xf numFmtId="0" fontId="26" fillId="0" borderId="0" xfId="111" applyFont="1" applyAlignment="1">
      <alignment horizontal="center" vertical="center"/>
    </xf>
    <xf numFmtId="1" fontId="30" fillId="3" borderId="1" xfId="113" applyNumberFormat="1" applyFont="1" applyFill="1" applyBorder="1" applyAlignment="1">
      <alignment horizontal="center" vertical="center" wrapText="1"/>
    </xf>
    <xf numFmtId="170" fontId="25" fillId="0" borderId="1" xfId="112" applyNumberFormat="1" applyFont="1" applyBorder="1" applyAlignment="1">
      <alignment horizontal="center" vertical="center"/>
    </xf>
    <xf numFmtId="0" fontId="25" fillId="0" borderId="6" xfId="111" applyFont="1" applyBorder="1" applyAlignment="1">
      <alignment horizontal="center" vertical="center"/>
    </xf>
    <xf numFmtId="1" fontId="25" fillId="3" borderId="1" xfId="113" applyNumberFormat="1" applyFont="1" applyFill="1" applyBorder="1" applyAlignment="1">
      <alignment horizontal="center" vertical="center" wrapText="1"/>
    </xf>
    <xf numFmtId="43" fontId="25" fillId="0" borderId="1" xfId="111" applyNumberFormat="1" applyFont="1" applyBorder="1" applyAlignment="1">
      <alignment vertical="center"/>
    </xf>
    <xf numFmtId="1" fontId="25" fillId="0" borderId="1" xfId="113" applyNumberFormat="1" applyFont="1" applyBorder="1" applyAlignment="1">
      <alignment horizontal="center" vertical="center" wrapText="1"/>
    </xf>
    <xf numFmtId="0" fontId="45" fillId="0" borderId="50" xfId="108" applyFont="1" applyBorder="1" applyAlignment="1">
      <alignment horizontal="left" vertical="center" wrapText="1"/>
    </xf>
    <xf numFmtId="173" fontId="45" fillId="0" borderId="50" xfId="108" applyNumberFormat="1" applyFont="1" applyBorder="1" applyAlignment="1">
      <alignment horizontal="center" vertical="center" wrapText="1"/>
    </xf>
    <xf numFmtId="0" fontId="45" fillId="3" borderId="1" xfId="108" applyFont="1" applyFill="1" applyBorder="1" applyAlignment="1">
      <alignment horizontal="left" vertical="center" wrapText="1"/>
    </xf>
    <xf numFmtId="0" fontId="120" fillId="0" borderId="0" xfId="108" applyFont="1"/>
    <xf numFmtId="173" fontId="67" fillId="15" borderId="7" xfId="61" applyNumberFormat="1" applyFont="1" applyFill="1" applyBorder="1" applyAlignment="1">
      <alignment horizontal="center" vertical="center" wrapText="1"/>
    </xf>
    <xf numFmtId="0" fontId="68" fillId="0" borderId="50" xfId="61" applyFont="1" applyBorder="1" applyAlignment="1">
      <alignment horizontal="center" vertical="center" wrapText="1"/>
    </xf>
    <xf numFmtId="0" fontId="66" fillId="16" borderId="50" xfId="0" applyFont="1" applyFill="1" applyBorder="1" applyAlignment="1">
      <alignment horizontal="center" vertical="center" wrapText="1"/>
    </xf>
    <xf numFmtId="0" fontId="66" fillId="0" borderId="50" xfId="61" applyFont="1" applyBorder="1" applyAlignment="1">
      <alignment horizontal="center" vertical="center" wrapText="1"/>
    </xf>
    <xf numFmtId="0" fontId="68" fillId="11" borderId="50" xfId="0" applyFont="1" applyFill="1" applyBorder="1" applyAlignment="1">
      <alignment horizontal="center" vertical="center"/>
    </xf>
    <xf numFmtId="0" fontId="68" fillId="11" borderId="50" xfId="0" applyFont="1" applyFill="1" applyBorder="1" applyAlignment="1">
      <alignment horizontal="left" vertical="center" wrapText="1"/>
    </xf>
    <xf numFmtId="22" fontId="68" fillId="11" borderId="50" xfId="0" applyNumberFormat="1" applyFont="1" applyFill="1" applyBorder="1" applyAlignment="1">
      <alignment horizontal="center" vertical="center" wrapText="1"/>
    </xf>
    <xf numFmtId="22" fontId="66" fillId="11" borderId="50" xfId="0" applyNumberFormat="1" applyFont="1" applyFill="1" applyBorder="1" applyAlignment="1">
      <alignment horizontal="center" vertical="center" wrapText="1"/>
    </xf>
    <xf numFmtId="173" fontId="68" fillId="11" borderId="50" xfId="0" applyNumberFormat="1" applyFont="1" applyFill="1" applyBorder="1" applyAlignment="1">
      <alignment horizontal="center" vertical="center" wrapText="1"/>
    </xf>
    <xf numFmtId="179" fontId="15" fillId="11" borderId="1" xfId="0" quotePrefix="1" applyNumberFormat="1" applyFont="1" applyFill="1" applyBorder="1" applyAlignment="1">
      <alignment horizontal="center" vertical="center"/>
    </xf>
    <xf numFmtId="14" fontId="15" fillId="11" borderId="1" xfId="0" quotePrefix="1" applyNumberFormat="1" applyFont="1" applyFill="1" applyBorder="1" applyAlignment="1">
      <alignment horizontal="center" vertical="center"/>
    </xf>
    <xf numFmtId="0" fontId="45" fillId="0" borderId="50" xfId="108" applyFont="1" applyBorder="1" applyAlignment="1">
      <alignment horizontal="center" vertical="center" wrapText="1"/>
    </xf>
    <xf numFmtId="15" fontId="45" fillId="0" borderId="50" xfId="108" applyNumberFormat="1" applyFont="1" applyBorder="1" applyAlignment="1">
      <alignment horizontal="center" vertical="center" wrapText="1"/>
    </xf>
    <xf numFmtId="173" fontId="46" fillId="0" borderId="1" xfId="108" applyNumberFormat="1" applyFont="1" applyBorder="1" applyAlignment="1">
      <alignment horizontal="center" vertical="center" wrapText="1"/>
    </xf>
    <xf numFmtId="178" fontId="46" fillId="0" borderId="1" xfId="108" applyNumberFormat="1" applyFont="1" applyBorder="1" applyAlignment="1">
      <alignment horizontal="center" vertical="center" wrapText="1"/>
    </xf>
    <xf numFmtId="178" fontId="45" fillId="3" borderId="1" xfId="108" applyNumberFormat="1" applyFont="1" applyFill="1" applyBorder="1" applyAlignment="1">
      <alignment horizontal="center" vertical="center" wrapText="1"/>
    </xf>
    <xf numFmtId="0" fontId="2" fillId="0" borderId="0" xfId="111" applyAlignment="1">
      <alignment horizontal="center" wrapText="1"/>
    </xf>
    <xf numFmtId="180" fontId="26" fillId="0" borderId="1" xfId="1" applyNumberFormat="1" applyFont="1" applyBorder="1" applyAlignment="1">
      <alignment horizontal="center" vertical="center"/>
    </xf>
    <xf numFmtId="43" fontId="26" fillId="0" borderId="1" xfId="0" quotePrefix="1" applyNumberFormat="1" applyFont="1" applyBorder="1" applyAlignment="1">
      <alignment horizontal="center" vertical="center"/>
    </xf>
    <xf numFmtId="43" fontId="25" fillId="0" borderId="1" xfId="111" quotePrefix="1" applyNumberFormat="1" applyFont="1" applyBorder="1" applyAlignment="1">
      <alignment horizontal="center" vertical="center"/>
    </xf>
    <xf numFmtId="43" fontId="26" fillId="0" borderId="1" xfId="111" quotePrefix="1" applyNumberFormat="1" applyFont="1" applyBorder="1" applyAlignment="1">
      <alignment horizontal="center" vertical="center"/>
    </xf>
    <xf numFmtId="43" fontId="66" fillId="7" borderId="1" xfId="61" applyNumberFormat="1" applyFont="1" applyFill="1" applyBorder="1" applyAlignment="1">
      <alignment horizontal="center" vertical="center" wrapText="1"/>
    </xf>
    <xf numFmtId="0" fontId="66" fillId="0" borderId="0" xfId="61" applyFont="1" applyAlignment="1">
      <alignment horizontal="center" vertical="center" wrapText="1"/>
    </xf>
    <xf numFmtId="0" fontId="121" fillId="0" borderId="0" xfId="61" applyFont="1" applyAlignment="1">
      <alignment horizontal="center" vertical="center" wrapText="1"/>
    </xf>
    <xf numFmtId="0" fontId="66" fillId="11" borderId="50" xfId="0" applyFont="1" applyFill="1" applyBorder="1" applyAlignment="1">
      <alignment horizontal="center" vertical="center"/>
    </xf>
    <xf numFmtId="0" fontId="66" fillId="3" borderId="50" xfId="0" applyFont="1" applyFill="1" applyBorder="1" applyAlignment="1">
      <alignment horizontal="left" vertical="center" wrapText="1"/>
    </xf>
    <xf numFmtId="172" fontId="66" fillId="3" borderId="50" xfId="1" applyNumberFormat="1" applyFont="1" applyFill="1" applyBorder="1" applyAlignment="1">
      <alignment horizontal="center" vertical="center" wrapText="1"/>
    </xf>
    <xf numFmtId="0" fontId="66" fillId="11" borderId="50" xfId="0" applyFont="1" applyFill="1" applyBorder="1" applyAlignment="1">
      <alignment horizontal="left" vertical="center" wrapText="1"/>
    </xf>
    <xf numFmtId="0" fontId="66" fillId="0" borderId="50" xfId="0" applyFont="1" applyBorder="1" applyAlignment="1">
      <alignment vertical="center" wrapText="1"/>
    </xf>
    <xf numFmtId="173" fontId="66" fillId="11" borderId="50" xfId="0" applyNumberFormat="1" applyFont="1" applyFill="1" applyBorder="1" applyAlignment="1">
      <alignment horizontal="center" vertical="center" wrapText="1"/>
    </xf>
    <xf numFmtId="0" fontId="68" fillId="0" borderId="50" xfId="0" applyFont="1" applyBorder="1" applyAlignment="1">
      <alignment vertical="center" wrapText="1"/>
    </xf>
    <xf numFmtId="0" fontId="25" fillId="3" borderId="50" xfId="0" applyFont="1" applyFill="1" applyBorder="1" applyAlignment="1">
      <alignment vertical="center" wrapText="1"/>
    </xf>
    <xf numFmtId="0" fontId="26" fillId="0" borderId="50" xfId="0" applyFont="1" applyBorder="1" applyAlignment="1">
      <alignment horizontal="center" vertical="center"/>
    </xf>
    <xf numFmtId="0" fontId="25" fillId="0" borderId="50" xfId="67" applyFont="1" applyBorder="1" applyAlignment="1">
      <alignment horizontal="left" vertical="center" wrapText="1"/>
    </xf>
    <xf numFmtId="170" fontId="26" fillId="0" borderId="50" xfId="1" applyNumberFormat="1" applyFont="1" applyBorder="1" applyAlignment="1">
      <alignment horizontal="center" vertical="center"/>
    </xf>
    <xf numFmtId="1" fontId="30" fillId="3" borderId="50" xfId="56" applyNumberFormat="1" applyFont="1" applyFill="1" applyBorder="1" applyAlignment="1">
      <alignment horizontal="center" vertical="center" wrapText="1"/>
    </xf>
    <xf numFmtId="43" fontId="26" fillId="0" borderId="50" xfId="0" applyNumberFormat="1" applyFont="1" applyBorder="1" applyAlignment="1">
      <alignment vertical="center"/>
    </xf>
    <xf numFmtId="0" fontId="25" fillId="0" borderId="50" xfId="0" applyFont="1" applyBorder="1" applyAlignment="1">
      <alignment vertical="center"/>
    </xf>
    <xf numFmtId="0" fontId="68" fillId="16" borderId="1" xfId="0" applyFont="1" applyFill="1" applyBorder="1" applyAlignment="1">
      <alignment horizontal="center" vertical="center" wrapText="1"/>
    </xf>
    <xf numFmtId="173" fontId="68" fillId="18" borderId="1" xfId="0" applyNumberFormat="1" applyFont="1" applyFill="1" applyBorder="1" applyAlignment="1">
      <alignment horizontal="center" vertical="center" wrapText="1"/>
    </xf>
    <xf numFmtId="0" fontId="46" fillId="3" borderId="1" xfId="108" applyFont="1" applyFill="1" applyBorder="1" applyAlignment="1">
      <alignment vertical="center" wrapText="1"/>
    </xf>
    <xf numFmtId="0" fontId="46" fillId="3" borderId="1" xfId="108" applyFont="1" applyFill="1" applyBorder="1" applyAlignment="1">
      <alignment horizontal="center" vertical="center"/>
    </xf>
    <xf numFmtId="171" fontId="46" fillId="0" borderId="1" xfId="61" applyNumberFormat="1" applyFont="1" applyBorder="1" applyAlignment="1">
      <alignment horizontal="center" vertical="center" wrapText="1"/>
    </xf>
    <xf numFmtId="0" fontId="46" fillId="3" borderId="1" xfId="61" applyFont="1" applyFill="1" applyBorder="1" applyAlignment="1">
      <alignment horizontal="center" vertical="center" wrapText="1"/>
    </xf>
    <xf numFmtId="173" fontId="45" fillId="3" borderId="1" xfId="108" applyNumberFormat="1" applyFont="1" applyFill="1" applyBorder="1" applyAlignment="1">
      <alignment horizontal="center" vertical="center" wrapText="1"/>
    </xf>
    <xf numFmtId="15" fontId="45" fillId="3" borderId="1" xfId="108" applyNumberFormat="1" applyFont="1" applyFill="1" applyBorder="1" applyAlignment="1">
      <alignment horizontal="center" vertical="center" wrapText="1"/>
    </xf>
    <xf numFmtId="181" fontId="45" fillId="3" borderId="1" xfId="108" applyNumberFormat="1" applyFont="1" applyFill="1" applyBorder="1" applyAlignment="1">
      <alignment horizontal="center" vertical="center" wrapText="1"/>
    </xf>
    <xf numFmtId="173" fontId="46" fillId="3" borderId="1" xfId="108" applyNumberFormat="1" applyFont="1" applyFill="1" applyBorder="1" applyAlignment="1">
      <alignment horizontal="center" vertical="center" wrapText="1"/>
    </xf>
    <xf numFmtId="15" fontId="46" fillId="3" borderId="1" xfId="108" applyNumberFormat="1" applyFont="1" applyFill="1" applyBorder="1" applyAlignment="1">
      <alignment horizontal="center" vertical="center" wrapText="1"/>
    </xf>
    <xf numFmtId="181" fontId="46" fillId="3" borderId="1" xfId="108" applyNumberFormat="1" applyFont="1" applyFill="1" applyBorder="1" applyAlignment="1">
      <alignment horizontal="center" vertical="center" wrapText="1"/>
    </xf>
    <xf numFmtId="173" fontId="45" fillId="3" borderId="50" xfId="108" applyNumberFormat="1" applyFont="1" applyFill="1" applyBorder="1" applyAlignment="1">
      <alignment horizontal="center" vertical="center" wrapText="1"/>
    </xf>
    <xf numFmtId="15" fontId="45" fillId="3" borderId="50" xfId="108" applyNumberFormat="1" applyFont="1" applyFill="1" applyBorder="1" applyAlignment="1">
      <alignment horizontal="center" vertical="center" wrapText="1"/>
    </xf>
    <xf numFmtId="181" fontId="45" fillId="3" borderId="50" xfId="108" applyNumberFormat="1" applyFont="1" applyFill="1" applyBorder="1" applyAlignment="1">
      <alignment horizontal="center" vertical="center" wrapText="1"/>
    </xf>
    <xf numFmtId="0" fontId="66" fillId="3" borderId="50" xfId="0" applyFont="1" applyFill="1" applyBorder="1" applyAlignment="1">
      <alignment vertical="center" wrapText="1"/>
    </xf>
    <xf numFmtId="164" fontId="7" fillId="0" borderId="50" xfId="61" applyNumberFormat="1" applyBorder="1" applyAlignment="1">
      <alignment horizontal="center" wrapText="1"/>
    </xf>
    <xf numFmtId="0" fontId="7" fillId="0" borderId="50" xfId="61" applyBorder="1" applyAlignment="1">
      <alignment horizontal="left" wrapText="1"/>
    </xf>
    <xf numFmtId="173" fontId="122" fillId="18" borderId="1" xfId="0" applyNumberFormat="1" applyFont="1" applyFill="1" applyBorder="1" applyAlignment="1">
      <alignment horizontal="center" vertical="center" wrapText="1"/>
    </xf>
    <xf numFmtId="0" fontId="25" fillId="0" borderId="50" xfId="1" applyNumberFormat="1" applyFont="1" applyBorder="1" applyAlignment="1">
      <alignment horizontal="center" vertical="center"/>
    </xf>
    <xf numFmtId="43" fontId="25" fillId="7" borderId="50" xfId="1" applyFont="1" applyFill="1" applyBorder="1" applyAlignment="1">
      <alignment horizontal="center" vertical="center"/>
    </xf>
    <xf numFmtId="0" fontId="1" fillId="0" borderId="0" xfId="111" applyFont="1" applyAlignment="1">
      <alignment horizontal="center"/>
    </xf>
    <xf numFmtId="0" fontId="68" fillId="0" borderId="18" xfId="0" applyFont="1" applyBorder="1" applyAlignment="1">
      <alignment vertical="center" wrapText="1"/>
    </xf>
    <xf numFmtId="0" fontId="46" fillId="0" borderId="50" xfId="108" applyFont="1" applyBorder="1" applyAlignment="1">
      <alignment horizontal="center" vertical="center" wrapText="1"/>
    </xf>
    <xf numFmtId="0" fontId="123" fillId="0" borderId="0" xfId="61" applyFont="1" applyAlignment="1">
      <alignment horizontal="left" vertical="center" wrapText="1"/>
    </xf>
    <xf numFmtId="0" fontId="46" fillId="0" borderId="50" xfId="108" applyFont="1" applyBorder="1" applyAlignment="1">
      <alignment horizontal="left" vertical="center" wrapText="1"/>
    </xf>
    <xf numFmtId="173" fontId="46" fillId="3" borderId="50" xfId="108" applyNumberFormat="1" applyFont="1" applyFill="1" applyBorder="1" applyAlignment="1">
      <alignment horizontal="center" vertical="center" wrapText="1"/>
    </xf>
    <xf numFmtId="15" fontId="46" fillId="3" borderId="50" xfId="108" applyNumberFormat="1" applyFont="1" applyFill="1" applyBorder="1" applyAlignment="1">
      <alignment horizontal="center" vertical="center" wrapText="1"/>
    </xf>
    <xf numFmtId="0" fontId="1" fillId="0" borderId="0" xfId="108" applyFont="1"/>
    <xf numFmtId="181" fontId="46" fillId="3" borderId="50" xfId="108" applyNumberFormat="1" applyFont="1" applyFill="1" applyBorder="1" applyAlignment="1">
      <alignment horizontal="center" vertical="center" wrapText="1"/>
    </xf>
    <xf numFmtId="172" fontId="46" fillId="0" borderId="2" xfId="61" applyNumberFormat="1" applyFont="1" applyBorder="1" applyAlignment="1">
      <alignment horizontal="center" vertical="center" wrapText="1"/>
    </xf>
    <xf numFmtId="4" fontId="20" fillId="12" borderId="1" xfId="111" applyNumberFormat="1" applyFont="1" applyFill="1" applyBorder="1" applyAlignment="1">
      <alignment horizontal="center" vertical="center" wrapText="1"/>
    </xf>
    <xf numFmtId="43" fontId="20" fillId="12" borderId="1" xfId="112" applyFont="1" applyFill="1" applyBorder="1" applyAlignment="1">
      <alignment horizontal="center" vertical="center" wrapText="1"/>
    </xf>
    <xf numFmtId="0" fontId="20" fillId="12" borderId="1" xfId="61" applyFont="1" applyFill="1" applyBorder="1" applyAlignment="1">
      <alignment horizontal="center" vertical="center" wrapText="1"/>
    </xf>
    <xf numFmtId="0" fontId="28" fillId="0" borderId="5" xfId="111" applyFont="1" applyBorder="1" applyAlignment="1">
      <alignment horizontal="right" vertical="center"/>
    </xf>
    <xf numFmtId="0" fontId="28" fillId="0" borderId="6" xfId="111" applyFont="1" applyBorder="1" applyAlignment="1">
      <alignment horizontal="right" vertical="center"/>
    </xf>
    <xf numFmtId="0" fontId="28" fillId="0" borderId="6" xfId="111" applyFont="1" applyBorder="1" applyAlignment="1">
      <alignment horizontal="center" vertical="center"/>
    </xf>
    <xf numFmtId="0" fontId="28" fillId="0" borderId="7" xfId="111" applyFont="1" applyBorder="1" applyAlignment="1">
      <alignment horizontal="right" vertical="center"/>
    </xf>
    <xf numFmtId="4" fontId="20" fillId="12" borderId="2" xfId="111" applyNumberFormat="1" applyFont="1" applyFill="1" applyBorder="1" applyAlignment="1">
      <alignment horizontal="center" vertical="center" wrapText="1"/>
    </xf>
    <xf numFmtId="4" fontId="20" fillId="12" borderId="19" xfId="111" applyNumberFormat="1" applyFont="1" applyFill="1" applyBorder="1" applyAlignment="1">
      <alignment horizontal="center" vertical="center" wrapText="1"/>
    </xf>
    <xf numFmtId="4" fontId="20" fillId="12" borderId="1" xfId="111" applyNumberFormat="1" applyFont="1" applyFill="1" applyBorder="1" applyAlignment="1">
      <alignment horizontal="center" vertical="center"/>
    </xf>
    <xf numFmtId="0" fontId="20" fillId="12" borderId="1" xfId="111" applyFont="1" applyFill="1" applyBorder="1" applyAlignment="1">
      <alignment horizontal="center" vertical="center" wrapText="1"/>
    </xf>
    <xf numFmtId="49" fontId="20" fillId="12" borderId="2" xfId="111" applyNumberFormat="1" applyFont="1" applyFill="1" applyBorder="1" applyAlignment="1">
      <alignment horizontal="center" vertical="center" wrapText="1"/>
    </xf>
    <xf numFmtId="49" fontId="20" fillId="12" borderId="19" xfId="111" applyNumberFormat="1" applyFont="1" applyFill="1" applyBorder="1" applyAlignment="1">
      <alignment horizontal="center" vertical="center" wrapText="1"/>
    </xf>
    <xf numFmtId="43" fontId="20" fillId="12" borderId="2" xfId="112" applyFont="1" applyFill="1" applyBorder="1" applyAlignment="1">
      <alignment horizontal="center" vertical="center" wrapText="1"/>
    </xf>
    <xf numFmtId="43" fontId="20" fillId="12" borderId="19" xfId="112" applyFont="1" applyFill="1" applyBorder="1" applyAlignment="1">
      <alignment horizontal="center" vertical="center" wrapText="1"/>
    </xf>
    <xf numFmtId="0" fontId="16" fillId="3" borderId="0" xfId="111" applyFont="1" applyFill="1" applyAlignment="1">
      <alignment horizontal="left" vertical="center"/>
    </xf>
    <xf numFmtId="0" fontId="16" fillId="3" borderId="0" xfId="111" applyFont="1" applyFill="1" applyAlignment="1">
      <alignment horizontal="center" vertical="center"/>
    </xf>
    <xf numFmtId="0" fontId="20" fillId="3" borderId="5" xfId="111" applyFont="1" applyFill="1" applyBorder="1" applyAlignment="1">
      <alignment horizontal="left" vertical="center"/>
    </xf>
    <xf numFmtId="0" fontId="20" fillId="3" borderId="6" xfId="111" applyFont="1" applyFill="1" applyBorder="1" applyAlignment="1">
      <alignment horizontal="left" vertical="center"/>
    </xf>
    <xf numFmtId="0" fontId="20" fillId="3" borderId="6" xfId="111" applyFont="1" applyFill="1" applyBorder="1" applyAlignment="1">
      <alignment horizontal="center" vertical="center"/>
    </xf>
    <xf numFmtId="0" fontId="20" fillId="3" borderId="7" xfId="111" applyFont="1" applyFill="1" applyBorder="1" applyAlignment="1">
      <alignment horizontal="left" vertical="center"/>
    </xf>
    <xf numFmtId="0" fontId="16" fillId="3" borderId="0" xfId="111" applyFont="1" applyFill="1" applyAlignment="1">
      <alignment horizontal="right" vertical="center" wrapText="1"/>
    </xf>
    <xf numFmtId="4" fontId="16" fillId="3" borderId="0" xfId="111" applyNumberFormat="1" applyFont="1" applyFill="1" applyAlignment="1">
      <alignment horizontal="right" vertical="center"/>
    </xf>
    <xf numFmtId="4" fontId="20" fillId="3" borderId="5" xfId="111" applyNumberFormat="1" applyFont="1" applyFill="1" applyBorder="1" applyAlignment="1">
      <alignment horizontal="right" vertical="center"/>
    </xf>
    <xf numFmtId="4" fontId="20" fillId="3" borderId="6" xfId="111" applyNumberFormat="1" applyFont="1" applyFill="1" applyBorder="1" applyAlignment="1">
      <alignment horizontal="right" vertical="center"/>
    </xf>
    <xf numFmtId="4" fontId="20" fillId="3" borderId="7" xfId="111" applyNumberFormat="1" applyFont="1" applyFill="1" applyBorder="1" applyAlignment="1">
      <alignment horizontal="right" vertical="center"/>
    </xf>
    <xf numFmtId="4" fontId="20" fillId="3" borderId="1" xfId="111" applyNumberFormat="1" applyFont="1" applyFill="1" applyBorder="1" applyAlignment="1">
      <alignment horizontal="right" vertical="center"/>
    </xf>
    <xf numFmtId="167" fontId="27" fillId="3" borderId="0" xfId="61" applyNumberFormat="1" applyFont="1" applyFill="1" applyAlignment="1">
      <alignment horizontal="center" wrapText="1"/>
    </xf>
    <xf numFmtId="167" fontId="27" fillId="3" borderId="0" xfId="61" applyNumberFormat="1" applyFont="1" applyFill="1" applyAlignment="1">
      <alignment horizontal="center" vertical="center" wrapText="1"/>
    </xf>
    <xf numFmtId="0" fontId="16" fillId="3" borderId="0" xfId="111" applyFont="1" applyFill="1" applyAlignment="1">
      <alignment horizontal="right" vertical="center"/>
    </xf>
    <xf numFmtId="17" fontId="16" fillId="3" borderId="0" xfId="111" quotePrefix="1" applyNumberFormat="1" applyFont="1" applyFill="1" applyAlignment="1">
      <alignment horizontal="right" vertical="center"/>
    </xf>
    <xf numFmtId="17" fontId="16" fillId="3" borderId="0" xfId="111" applyNumberFormat="1" applyFont="1" applyFill="1" applyAlignment="1">
      <alignment horizontal="right" vertical="center"/>
    </xf>
    <xf numFmtId="168" fontId="20" fillId="3" borderId="1" xfId="111" applyNumberFormat="1" applyFont="1" applyFill="1" applyBorder="1" applyAlignment="1">
      <alignment horizontal="right" vertical="center"/>
    </xf>
    <xf numFmtId="0" fontId="84" fillId="19" borderId="37" xfId="0" applyFont="1" applyFill="1" applyBorder="1" applyAlignment="1">
      <alignment horizontal="center" vertical="center" wrapText="1"/>
    </xf>
    <xf numFmtId="0" fontId="84" fillId="19" borderId="2" xfId="0" applyFont="1" applyFill="1" applyBorder="1" applyAlignment="1">
      <alignment horizontal="center" vertical="center" wrapText="1"/>
    </xf>
    <xf numFmtId="0" fontId="83" fillId="0" borderId="37" xfId="0" applyFont="1" applyBorder="1" applyAlignment="1">
      <alignment horizontal="center" vertical="center" wrapText="1"/>
    </xf>
    <xf numFmtId="0" fontId="83" fillId="0" borderId="2" xfId="0" applyFont="1" applyBorder="1" applyAlignment="1">
      <alignment horizontal="center" vertical="center" wrapText="1"/>
    </xf>
    <xf numFmtId="0" fontId="83" fillId="0" borderId="1" xfId="0" applyFont="1" applyBorder="1" applyAlignment="1">
      <alignment horizontal="center" vertical="center" wrapText="1"/>
    </xf>
    <xf numFmtId="0" fontId="83" fillId="0" borderId="3" xfId="0" applyFont="1" applyBorder="1" applyAlignment="1">
      <alignment horizontal="center" vertical="center" wrapText="1"/>
    </xf>
    <xf numFmtId="0" fontId="84" fillId="19" borderId="26" xfId="0" applyFont="1" applyFill="1" applyBorder="1" applyAlignment="1">
      <alignment horizontal="center" vertical="center" wrapText="1"/>
    </xf>
    <xf numFmtId="0" fontId="84" fillId="19" borderId="27" xfId="0" applyFont="1" applyFill="1" applyBorder="1" applyAlignment="1">
      <alignment horizontal="center" vertical="center" wrapText="1"/>
    </xf>
    <xf numFmtId="0" fontId="84" fillId="19" borderId="28" xfId="0" applyFont="1" applyFill="1" applyBorder="1" applyAlignment="1">
      <alignment horizontal="center" vertical="center" wrapText="1"/>
    </xf>
    <xf numFmtId="0" fontId="84" fillId="19" borderId="30" xfId="0" applyFont="1" applyFill="1" applyBorder="1" applyAlignment="1">
      <alignment horizontal="center" vertical="center" wrapText="1"/>
    </xf>
    <xf numFmtId="0" fontId="84" fillId="19" borderId="31" xfId="0" applyFont="1" applyFill="1" applyBorder="1" applyAlignment="1">
      <alignment horizontal="center" vertical="center" wrapText="1"/>
    </xf>
    <xf numFmtId="0" fontId="84" fillId="19" borderId="32" xfId="0" applyFont="1" applyFill="1" applyBorder="1" applyAlignment="1">
      <alignment horizontal="center" vertical="center" wrapText="1"/>
    </xf>
    <xf numFmtId="0" fontId="84" fillId="19" borderId="20" xfId="0" applyFont="1" applyFill="1" applyBorder="1" applyAlignment="1">
      <alignment horizontal="center" vertical="center" wrapText="1"/>
    </xf>
    <xf numFmtId="0" fontId="84" fillId="19" borderId="17" xfId="0" applyFont="1" applyFill="1" applyBorder="1" applyAlignment="1">
      <alignment horizontal="center" vertical="center" wrapText="1"/>
    </xf>
    <xf numFmtId="0" fontId="83" fillId="0" borderId="26" xfId="0" applyFont="1" applyBorder="1" applyAlignment="1">
      <alignment horizontal="left" vertical="center" wrapText="1"/>
    </xf>
    <xf numFmtId="0" fontId="83" fillId="0" borderId="27" xfId="0" applyFont="1" applyBorder="1" applyAlignment="1">
      <alignment horizontal="left" vertical="center" wrapText="1"/>
    </xf>
    <xf numFmtId="0" fontId="83" fillId="0" borderId="28" xfId="0" applyFont="1" applyBorder="1" applyAlignment="1">
      <alignment horizontal="left" vertical="center" wrapText="1"/>
    </xf>
    <xf numFmtId="0" fontId="83" fillId="0" borderId="20" xfId="0" applyFont="1" applyBorder="1" applyAlignment="1">
      <alignment horizontal="left" vertical="center" wrapText="1"/>
    </xf>
    <xf numFmtId="0" fontId="83" fillId="0" borderId="0" xfId="0" applyFont="1" applyAlignment="1">
      <alignment horizontal="left" vertical="center" wrapText="1"/>
    </xf>
    <xf numFmtId="0" fontId="83" fillId="0" borderId="17" xfId="0" applyFont="1" applyBorder="1" applyAlignment="1">
      <alignment horizontal="left" vertical="center" wrapText="1"/>
    </xf>
    <xf numFmtId="0" fontId="83" fillId="0" borderId="16" xfId="0" applyFont="1" applyBorder="1" applyAlignment="1">
      <alignment horizontal="left" vertical="center" wrapText="1"/>
    </xf>
    <xf numFmtId="0" fontId="83" fillId="0" borderId="15" xfId="0" applyFont="1" applyBorder="1" applyAlignment="1">
      <alignment horizontal="left" vertical="center" wrapText="1"/>
    </xf>
    <xf numFmtId="0" fontId="83" fillId="0" borderId="18" xfId="0" applyFont="1" applyBorder="1" applyAlignment="1">
      <alignment horizontal="left" vertical="center" wrapText="1"/>
    </xf>
    <xf numFmtId="0" fontId="83" fillId="0" borderId="22" xfId="0" applyFont="1" applyBorder="1" applyAlignment="1">
      <alignment horizontal="left" vertical="center" wrapText="1"/>
    </xf>
    <xf numFmtId="0" fontId="83" fillId="0" borderId="23" xfId="0" applyFont="1" applyBorder="1" applyAlignment="1">
      <alignment horizontal="left" vertical="center" wrapText="1"/>
    </xf>
    <xf numFmtId="0" fontId="83" fillId="0" borderId="24" xfId="0" applyFont="1" applyBorder="1" applyAlignment="1">
      <alignment horizontal="left" vertical="center" wrapText="1"/>
    </xf>
    <xf numFmtId="0" fontId="83" fillId="0" borderId="5" xfId="0" applyFont="1" applyBorder="1" applyAlignment="1">
      <alignment horizontal="center" vertical="center" wrapText="1"/>
    </xf>
    <xf numFmtId="0" fontId="83" fillId="0" borderId="6" xfId="0" applyFont="1" applyBorder="1" applyAlignment="1">
      <alignment horizontal="center" vertical="center" wrapText="1"/>
    </xf>
    <xf numFmtId="0" fontId="83" fillId="0" borderId="7"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34" xfId="0" applyFont="1" applyBorder="1" applyAlignment="1">
      <alignment horizontal="center" vertical="center" wrapText="1"/>
    </xf>
    <xf numFmtId="0" fontId="83" fillId="0" borderId="35" xfId="0" applyFont="1" applyBorder="1" applyAlignment="1">
      <alignment horizontal="center" vertical="center" wrapText="1"/>
    </xf>
    <xf numFmtId="0" fontId="83" fillId="0" borderId="20" xfId="0" applyFont="1" applyBorder="1" applyAlignment="1">
      <alignment horizontal="center" vertical="center" wrapText="1"/>
    </xf>
    <xf numFmtId="0" fontId="83" fillId="0" borderId="17" xfId="0" applyFont="1" applyBorder="1" applyAlignment="1">
      <alignment horizontal="center" vertical="center" wrapText="1"/>
    </xf>
    <xf numFmtId="0" fontId="84" fillId="19" borderId="25" xfId="0" applyFont="1" applyFill="1" applyBorder="1" applyAlignment="1">
      <alignment horizontal="center" vertical="center" wrapText="1"/>
    </xf>
    <xf numFmtId="0" fontId="84" fillId="19" borderId="29" xfId="0" applyFont="1" applyFill="1" applyBorder="1" applyAlignment="1">
      <alignment horizontal="center" vertical="center" wrapText="1"/>
    </xf>
    <xf numFmtId="0" fontId="83" fillId="0" borderId="25" xfId="0" applyFont="1" applyBorder="1" applyAlignment="1">
      <alignment horizontal="center" vertical="center"/>
    </xf>
    <xf numFmtId="0" fontId="83" fillId="0" borderId="29" xfId="0" applyFont="1" applyBorder="1" applyAlignment="1">
      <alignment horizontal="center" vertical="center"/>
    </xf>
    <xf numFmtId="0" fontId="83" fillId="0" borderId="2" xfId="0" applyFont="1" applyBorder="1" applyAlignment="1">
      <alignment horizontal="center" vertical="center"/>
    </xf>
    <xf numFmtId="0" fontId="83" fillId="0" borderId="19" xfId="0" applyFont="1" applyBorder="1" applyAlignment="1">
      <alignment horizontal="center" vertical="center"/>
    </xf>
    <xf numFmtId="0" fontId="83" fillId="0" borderId="3" xfId="0" applyFont="1" applyBorder="1" applyAlignment="1">
      <alignment horizontal="center" vertical="center"/>
    </xf>
    <xf numFmtId="0" fontId="83" fillId="0" borderId="1" xfId="0" applyFont="1" applyBorder="1" applyAlignment="1">
      <alignment horizontal="center" vertical="center"/>
    </xf>
    <xf numFmtId="0" fontId="83" fillId="0" borderId="34" xfId="0" applyFont="1" applyBorder="1" applyAlignment="1">
      <alignment horizontal="left" vertical="center" wrapText="1"/>
    </xf>
    <xf numFmtId="0" fontId="83" fillId="0" borderId="11" xfId="0" applyFont="1" applyBorder="1" applyAlignment="1">
      <alignment horizontal="left" vertical="center" wrapText="1"/>
    </xf>
    <xf numFmtId="0" fontId="83" fillId="0" borderId="35" xfId="0" applyFont="1" applyBorder="1" applyAlignment="1">
      <alignment horizontal="left" vertical="center" wrapText="1"/>
    </xf>
    <xf numFmtId="167" fontId="78" fillId="3" borderId="1" xfId="61" applyNumberFormat="1" applyFont="1" applyFill="1" applyBorder="1" applyAlignment="1">
      <alignment horizontal="center" vertical="center" wrapText="1"/>
    </xf>
    <xf numFmtId="4" fontId="78" fillId="3" borderId="1" xfId="61" applyNumberFormat="1" applyFont="1" applyFill="1" applyBorder="1" applyAlignment="1">
      <alignment horizontal="center" vertical="center"/>
    </xf>
    <xf numFmtId="0" fontId="76" fillId="3" borderId="1" xfId="61" applyFont="1" applyFill="1" applyBorder="1" applyAlignment="1">
      <alignment horizontal="center" vertical="center"/>
    </xf>
    <xf numFmtId="0" fontId="76" fillId="3" borderId="1" xfId="61" applyFont="1" applyFill="1" applyBorder="1" applyAlignment="1">
      <alignment vertical="center" wrapText="1"/>
    </xf>
    <xf numFmtId="0" fontId="78" fillId="3" borderId="1" xfId="61" applyFont="1" applyFill="1" applyBorder="1" applyAlignment="1">
      <alignment horizontal="center" vertical="center" wrapText="1"/>
    </xf>
    <xf numFmtId="0" fontId="79" fillId="3" borderId="1" xfId="61" applyFont="1" applyFill="1" applyBorder="1" applyAlignment="1">
      <alignment horizontal="left" vertical="center" wrapText="1"/>
    </xf>
    <xf numFmtId="0" fontId="79" fillId="3" borderId="1" xfId="61" applyFont="1" applyFill="1" applyBorder="1" applyAlignment="1">
      <alignment horizontal="center" vertical="center" wrapText="1"/>
    </xf>
    <xf numFmtId="4" fontId="78" fillId="3" borderId="1" xfId="61" applyNumberFormat="1" applyFont="1" applyFill="1" applyBorder="1" applyAlignment="1">
      <alignment horizontal="center" vertical="center" wrapText="1"/>
    </xf>
    <xf numFmtId="4" fontId="78" fillId="3" borderId="5" xfId="61" applyNumberFormat="1" applyFont="1" applyFill="1" applyBorder="1" applyAlignment="1">
      <alignment horizontal="center" vertical="center" wrapText="1"/>
    </xf>
    <xf numFmtId="4" fontId="78" fillId="3" borderId="7" xfId="61" applyNumberFormat="1" applyFont="1" applyFill="1" applyBorder="1" applyAlignment="1">
      <alignment horizontal="center" vertical="center" wrapText="1"/>
    </xf>
    <xf numFmtId="0" fontId="9" fillId="3" borderId="0" xfId="0" applyFont="1" applyFill="1" applyAlignment="1">
      <alignment horizontal="right" vertical="center" wrapText="1"/>
    </xf>
    <xf numFmtId="0" fontId="9" fillId="3" borderId="0" xfId="0" applyFont="1" applyFill="1" applyAlignment="1">
      <alignment horizontal="right" vertical="center"/>
    </xf>
    <xf numFmtId="0" fontId="9" fillId="3" borderId="17" xfId="0" applyFont="1" applyFill="1" applyBorder="1" applyAlignment="1">
      <alignment horizontal="right" vertical="center"/>
    </xf>
    <xf numFmtId="4" fontId="5" fillId="3" borderId="5" xfId="1" applyNumberFormat="1" applyFont="1" applyFill="1" applyBorder="1" applyAlignment="1">
      <alignment horizontal="right" vertical="center"/>
    </xf>
    <xf numFmtId="4" fontId="5" fillId="3" borderId="7" xfId="1" applyNumberFormat="1" applyFont="1" applyFill="1" applyBorder="1" applyAlignment="1">
      <alignment horizontal="right" vertical="center"/>
    </xf>
    <xf numFmtId="0" fontId="76" fillId="3" borderId="1" xfId="61" applyFont="1" applyFill="1" applyBorder="1" applyAlignment="1">
      <alignment horizontal="left" vertical="center" wrapText="1"/>
    </xf>
    <xf numFmtId="168" fontId="5" fillId="3" borderId="5" xfId="0" applyNumberFormat="1" applyFont="1" applyFill="1" applyBorder="1" applyAlignment="1">
      <alignment horizontal="right" vertical="center"/>
    </xf>
    <xf numFmtId="168" fontId="5" fillId="3" borderId="7" xfId="0" applyNumberFormat="1" applyFont="1" applyFill="1" applyBorder="1" applyAlignment="1">
      <alignment horizontal="right" vertical="center"/>
    </xf>
    <xf numFmtId="0" fontId="5" fillId="3" borderId="5" xfId="0" applyFont="1" applyFill="1" applyBorder="1" applyAlignment="1">
      <alignment horizontal="right" vertical="center"/>
    </xf>
    <xf numFmtId="0" fontId="5" fillId="3" borderId="6" xfId="0" applyFont="1" applyFill="1" applyBorder="1" applyAlignment="1">
      <alignment horizontal="right" vertical="center"/>
    </xf>
    <xf numFmtId="0" fontId="5" fillId="3" borderId="7" xfId="0" applyFont="1" applyFill="1" applyBorder="1" applyAlignment="1">
      <alignment horizontal="right" vertical="center"/>
    </xf>
    <xf numFmtId="4" fontId="78" fillId="3" borderId="5" xfId="1" applyNumberFormat="1" applyFont="1" applyFill="1" applyBorder="1" applyAlignment="1">
      <alignment horizontal="right" vertical="center"/>
    </xf>
    <xf numFmtId="4" fontId="78" fillId="3" borderId="7" xfId="1" applyNumberFormat="1" applyFont="1" applyFill="1" applyBorder="1" applyAlignment="1">
      <alignment horizontal="right" vertical="center"/>
    </xf>
    <xf numFmtId="0" fontId="9" fillId="3" borderId="17" xfId="0" applyFont="1" applyFill="1" applyBorder="1" applyAlignment="1">
      <alignment horizontal="right" vertical="center" wrapText="1"/>
    </xf>
    <xf numFmtId="167" fontId="17" fillId="3" borderId="0" xfId="61" applyNumberFormat="1" applyFont="1" applyFill="1" applyAlignment="1">
      <alignment horizontal="center" wrapText="1"/>
    </xf>
    <xf numFmtId="167" fontId="17" fillId="3" borderId="0" xfId="61" applyNumberFormat="1" applyFont="1" applyFill="1" applyAlignment="1">
      <alignment horizontal="center" vertical="top" wrapText="1"/>
    </xf>
    <xf numFmtId="167" fontId="17" fillId="3" borderId="0" xfId="61" applyNumberFormat="1" applyFont="1" applyFill="1" applyAlignment="1">
      <alignment horizontal="center" vertical="center" wrapText="1"/>
    </xf>
    <xf numFmtId="0" fontId="5" fillId="3" borderId="1" xfId="0" applyFont="1" applyFill="1" applyBorder="1" applyAlignment="1">
      <alignment horizontal="right" vertical="center"/>
    </xf>
    <xf numFmtId="0" fontId="66" fillId="2" borderId="1" xfId="61" applyFont="1" applyFill="1" applyBorder="1" applyAlignment="1">
      <alignment horizontal="center" vertical="center" wrapText="1"/>
    </xf>
    <xf numFmtId="49" fontId="66" fillId="2" borderId="1" xfId="61" applyNumberFormat="1" applyFont="1" applyFill="1" applyBorder="1" applyAlignment="1">
      <alignment horizontal="center" vertical="center" wrapText="1"/>
    </xf>
    <xf numFmtId="0" fontId="66" fillId="2" borderId="2" xfId="61" applyFont="1" applyFill="1" applyBorder="1" applyAlignment="1">
      <alignment horizontal="left" vertical="center" wrapText="1"/>
    </xf>
    <xf numFmtId="0" fontId="66" fillId="2" borderId="3" xfId="61" applyFont="1" applyFill="1" applyBorder="1" applyAlignment="1">
      <alignment horizontal="left" vertical="center" wrapText="1"/>
    </xf>
    <xf numFmtId="0" fontId="66" fillId="2" borderId="2" xfId="61" applyFont="1" applyFill="1" applyBorder="1" applyAlignment="1">
      <alignment horizontal="right" vertical="center" wrapText="1"/>
    </xf>
    <xf numFmtId="0" fontId="66" fillId="2" borderId="3" xfId="61" applyFont="1" applyFill="1" applyBorder="1" applyAlignment="1">
      <alignment horizontal="right" vertical="center" wrapText="1"/>
    </xf>
    <xf numFmtId="0" fontId="66" fillId="2" borderId="5" xfId="61" applyFont="1" applyFill="1" applyBorder="1" applyAlignment="1">
      <alignment horizontal="center" vertical="center" wrapText="1"/>
    </xf>
    <xf numFmtId="0" fontId="66" fillId="2" borderId="6" xfId="61" applyFont="1" applyFill="1" applyBorder="1" applyAlignment="1">
      <alignment horizontal="center" vertical="center" wrapText="1"/>
    </xf>
    <xf numFmtId="0" fontId="66" fillId="2" borderId="7" xfId="61" applyFont="1" applyFill="1" applyBorder="1" applyAlignment="1">
      <alignment horizontal="center" vertical="center" wrapText="1"/>
    </xf>
    <xf numFmtId="164" fontId="66" fillId="2" borderId="6" xfId="61" applyNumberFormat="1" applyFont="1" applyFill="1" applyBorder="1" applyAlignment="1">
      <alignment horizontal="center" vertical="center" wrapText="1"/>
    </xf>
    <xf numFmtId="0" fontId="66" fillId="2" borderId="7" xfId="61" applyFont="1" applyFill="1" applyBorder="1" applyAlignment="1">
      <alignment horizontal="left" vertical="center" wrapText="1"/>
    </xf>
    <xf numFmtId="22" fontId="66" fillId="15" borderId="15" xfId="0" applyNumberFormat="1" applyFont="1" applyFill="1" applyBorder="1" applyAlignment="1">
      <alignment horizontal="center" vertical="center" wrapText="1"/>
    </xf>
    <xf numFmtId="0" fontId="67" fillId="15" borderId="6" xfId="61" applyFont="1" applyFill="1" applyBorder="1" applyAlignment="1">
      <alignment horizontal="center" vertical="center"/>
    </xf>
    <xf numFmtId="0" fontId="67" fillId="0" borderId="0" xfId="0" applyFont="1" applyAlignment="1">
      <alignment horizontal="right" vertical="center" wrapText="1"/>
    </xf>
    <xf numFmtId="0" fontId="67" fillId="0" borderId="3" xfId="0" applyFont="1" applyBorder="1" applyAlignment="1">
      <alignment horizontal="right" vertical="center" wrapText="1"/>
    </xf>
    <xf numFmtId="0" fontId="67" fillId="0" borderId="3" xfId="0" applyFont="1" applyBorder="1" applyAlignment="1">
      <alignment horizontal="center" vertical="center" wrapText="1"/>
    </xf>
    <xf numFmtId="164" fontId="67" fillId="0" borderId="3" xfId="0" applyNumberFormat="1" applyFont="1" applyBorder="1" applyAlignment="1">
      <alignment horizontal="center" vertical="center" wrapText="1"/>
    </xf>
    <xf numFmtId="0" fontId="66" fillId="2" borderId="1" xfId="61" applyFont="1" applyFill="1" applyBorder="1" applyAlignment="1">
      <alignment horizontal="left" vertical="center" wrapText="1"/>
    </xf>
    <xf numFmtId="164" fontId="66" fillId="2" borderId="1" xfId="61" applyNumberFormat="1" applyFont="1" applyFill="1" applyBorder="1" applyAlignment="1">
      <alignment horizontal="center" vertical="center" wrapText="1"/>
    </xf>
    <xf numFmtId="174" fontId="66" fillId="2" borderId="1" xfId="61" applyNumberFormat="1" applyFont="1" applyFill="1" applyBorder="1" applyAlignment="1">
      <alignment horizontal="center" vertical="center" wrapText="1"/>
    </xf>
    <xf numFmtId="22" fontId="66" fillId="2" borderId="6" xfId="61" applyNumberFormat="1" applyFont="1" applyFill="1" applyBorder="1" applyAlignment="1">
      <alignment horizontal="center" vertical="center" wrapText="1"/>
    </xf>
    <xf numFmtId="173" fontId="66" fillId="2" borderId="1" xfId="61" applyNumberFormat="1" applyFont="1" applyFill="1" applyBorder="1" applyAlignment="1">
      <alignment horizontal="center" vertical="center" wrapText="1"/>
    </xf>
    <xf numFmtId="173" fontId="66" fillId="2" borderId="7" xfId="61" applyNumberFormat="1" applyFont="1" applyFill="1" applyBorder="1" applyAlignment="1">
      <alignment horizontal="center" vertical="center" wrapText="1"/>
    </xf>
    <xf numFmtId="1" fontId="66" fillId="2" borderId="1" xfId="61" applyNumberFormat="1" applyFont="1" applyFill="1" applyBorder="1" applyAlignment="1">
      <alignment horizontal="center" vertical="center" wrapText="1"/>
    </xf>
    <xf numFmtId="0" fontId="45" fillId="3" borderId="0" xfId="0" applyFont="1" applyFill="1" applyAlignment="1">
      <alignment horizontal="right" vertical="center" wrapText="1"/>
    </xf>
    <xf numFmtId="0" fontId="45" fillId="3" borderId="17" xfId="0" applyFont="1" applyFill="1" applyBorder="1" applyAlignment="1">
      <alignment horizontal="right" vertical="center" wrapText="1"/>
    </xf>
    <xf numFmtId="0" fontId="65" fillId="3" borderId="5" xfId="0" applyFont="1" applyFill="1" applyBorder="1" applyAlignment="1">
      <alignment vertical="center"/>
    </xf>
    <xf numFmtId="0" fontId="65" fillId="3" borderId="6" xfId="0" applyFont="1" applyFill="1" applyBorder="1" applyAlignment="1">
      <alignment vertical="center"/>
    </xf>
    <xf numFmtId="0" fontId="65" fillId="3" borderId="7" xfId="0" applyFont="1" applyFill="1" applyBorder="1" applyAlignment="1">
      <alignment vertical="center" wrapText="1"/>
    </xf>
    <xf numFmtId="164" fontId="45" fillId="3" borderId="0" xfId="0" applyNumberFormat="1" applyFont="1" applyFill="1" applyAlignment="1">
      <alignment horizontal="right" wrapText="1"/>
    </xf>
    <xf numFmtId="164" fontId="45" fillId="3" borderId="17" xfId="0" applyNumberFormat="1" applyFont="1" applyFill="1" applyBorder="1" applyAlignment="1">
      <alignment horizontal="right" wrapText="1"/>
    </xf>
    <xf numFmtId="4" fontId="65" fillId="0" borderId="5" xfId="0" applyNumberFormat="1" applyFont="1" applyBorder="1" applyAlignment="1">
      <alignment horizontal="left" vertical="center"/>
    </xf>
    <xf numFmtId="4" fontId="65" fillId="0" borderId="6" xfId="0" applyNumberFormat="1" applyFont="1" applyBorder="1" applyAlignment="1">
      <alignment horizontal="left" vertical="center"/>
    </xf>
    <xf numFmtId="168" fontId="65" fillId="3" borderId="5" xfId="0" applyNumberFormat="1" applyFont="1" applyFill="1" applyBorder="1" applyAlignment="1">
      <alignment horizontal="left" vertical="center"/>
    </xf>
    <xf numFmtId="168" fontId="65" fillId="3" borderId="6" xfId="0" applyNumberFormat="1" applyFont="1" applyFill="1" applyBorder="1" applyAlignment="1">
      <alignment horizontal="left" vertical="center"/>
    </xf>
    <xf numFmtId="168" fontId="65" fillId="3" borderId="7" xfId="0" applyNumberFormat="1" applyFont="1" applyFill="1" applyBorder="1" applyAlignment="1">
      <alignment horizontal="left" vertical="center" wrapText="1"/>
    </xf>
    <xf numFmtId="165" fontId="45" fillId="3" borderId="0" xfId="0" applyNumberFormat="1" applyFont="1" applyFill="1" applyAlignment="1">
      <alignment horizontal="right" vertical="center"/>
    </xf>
    <xf numFmtId="164" fontId="45" fillId="3" borderId="17" xfId="0" applyNumberFormat="1" applyFont="1" applyFill="1" applyBorder="1" applyAlignment="1">
      <alignment horizontal="right" vertical="center"/>
    </xf>
    <xf numFmtId="14" fontId="65" fillId="0" borderId="5" xfId="0" applyNumberFormat="1" applyFont="1" applyBorder="1" applyAlignment="1">
      <alignment horizontal="left" vertical="center"/>
    </xf>
    <xf numFmtId="0" fontId="65" fillId="0" borderId="6" xfId="0" applyFont="1" applyBorder="1" applyAlignment="1">
      <alignment horizontal="left" vertical="center"/>
    </xf>
    <xf numFmtId="17" fontId="71" fillId="0" borderId="6" xfId="0" applyNumberFormat="1" applyFont="1" applyBorder="1" applyAlignment="1">
      <alignment horizontal="center" vertical="center"/>
    </xf>
    <xf numFmtId="164" fontId="71" fillId="0" borderId="7" xfId="0" applyNumberFormat="1" applyFont="1" applyBorder="1" applyAlignment="1">
      <alignment horizontal="center" vertical="center"/>
    </xf>
    <xf numFmtId="0" fontId="45" fillId="3" borderId="0" xfId="0" applyFont="1" applyFill="1" applyAlignment="1">
      <alignment horizontal="center" vertical="center"/>
    </xf>
    <xf numFmtId="0" fontId="45" fillId="3" borderId="0" xfId="0" applyFont="1" applyFill="1" applyAlignment="1">
      <alignment horizontal="left" vertical="center"/>
    </xf>
    <xf numFmtId="167" fontId="57" fillId="3" borderId="0" xfId="61" applyNumberFormat="1" applyFont="1" applyFill="1" applyAlignment="1">
      <alignment horizontal="center" vertical="center" wrapText="1"/>
    </xf>
    <xf numFmtId="0" fontId="43" fillId="13" borderId="16" xfId="61" applyFont="1" applyFill="1" applyBorder="1" applyAlignment="1">
      <alignment horizontal="left" vertical="center" wrapText="1"/>
    </xf>
    <xf numFmtId="0" fontId="43" fillId="13" borderId="15" xfId="61" applyFont="1" applyFill="1" applyBorder="1" applyAlignment="1">
      <alignment horizontal="left" vertical="center" wrapText="1"/>
    </xf>
    <xf numFmtId="0" fontId="55" fillId="13" borderId="6" xfId="61" applyFont="1" applyFill="1" applyBorder="1" applyAlignment="1">
      <alignment horizontal="left" vertical="center" wrapText="1"/>
    </xf>
    <xf numFmtId="0" fontId="55" fillId="13" borderId="20" xfId="61" applyFont="1" applyFill="1" applyBorder="1" applyAlignment="1">
      <alignment horizontal="left" vertical="center" wrapText="1"/>
    </xf>
    <xf numFmtId="0" fontId="55" fillId="13" borderId="0" xfId="61" applyFont="1" applyFill="1" applyAlignment="1">
      <alignment horizontal="left" vertical="center" wrapText="1"/>
    </xf>
    <xf numFmtId="0" fontId="55" fillId="0" borderId="0" xfId="108" applyFont="1" applyAlignment="1">
      <alignment horizontal="right" vertical="center" wrapText="1"/>
    </xf>
    <xf numFmtId="0" fontId="55" fillId="0" borderId="17" xfId="108" applyFont="1" applyBorder="1" applyAlignment="1">
      <alignment horizontal="right" vertical="center" wrapText="1"/>
    </xf>
    <xf numFmtId="0" fontId="43" fillId="12" borderId="1" xfId="61" applyFont="1" applyFill="1" applyBorder="1" applyAlignment="1">
      <alignment horizontal="center" vertical="center" wrapText="1"/>
    </xf>
    <xf numFmtId="49" fontId="43" fillId="12" borderId="1" xfId="61" applyNumberFormat="1" applyFont="1" applyFill="1" applyBorder="1" applyAlignment="1">
      <alignment horizontal="left" vertical="center" wrapText="1"/>
    </xf>
    <xf numFmtId="0" fontId="43" fillId="12" borderId="1" xfId="61" applyFont="1" applyFill="1" applyBorder="1" applyAlignment="1">
      <alignment horizontal="left" vertical="center" wrapText="1"/>
    </xf>
    <xf numFmtId="0" fontId="43" fillId="12" borderId="2" xfId="61" applyFont="1" applyFill="1" applyBorder="1" applyAlignment="1">
      <alignment horizontal="center" vertical="center" wrapText="1"/>
    </xf>
    <xf numFmtId="0" fontId="43" fillId="12" borderId="3" xfId="61" applyFont="1" applyFill="1" applyBorder="1" applyAlignment="1">
      <alignment horizontal="center" vertical="center" wrapText="1"/>
    </xf>
    <xf numFmtId="49" fontId="43" fillId="12" borderId="1" xfId="61" applyNumberFormat="1" applyFont="1" applyFill="1" applyBorder="1" applyAlignment="1">
      <alignment horizontal="center" vertical="center" wrapText="1"/>
    </xf>
    <xf numFmtId="15" fontId="43" fillId="12" borderId="1" xfId="61" applyNumberFormat="1" applyFont="1" applyFill="1" applyBorder="1" applyAlignment="1">
      <alignment horizontal="center" vertical="center" wrapText="1"/>
    </xf>
    <xf numFmtId="171" fontId="43" fillId="12" borderId="1" xfId="61" applyNumberFormat="1" applyFont="1" applyFill="1" applyBorder="1" applyAlignment="1">
      <alignment horizontal="center" vertical="center" wrapText="1"/>
    </xf>
    <xf numFmtId="171" fontId="43" fillId="12" borderId="7" xfId="61" applyNumberFormat="1" applyFont="1" applyFill="1" applyBorder="1" applyAlignment="1">
      <alignment horizontal="center" vertical="center" wrapText="1"/>
    </xf>
    <xf numFmtId="1" fontId="43" fillId="12" borderId="1" xfId="61" applyNumberFormat="1" applyFont="1" applyFill="1" applyBorder="1" applyAlignment="1">
      <alignment horizontal="center" vertical="center" wrapText="1"/>
    </xf>
    <xf numFmtId="0" fontId="43" fillId="3" borderId="5" xfId="108" applyFont="1" applyFill="1" applyBorder="1" applyAlignment="1">
      <alignment horizontal="left" vertical="center" wrapText="1"/>
    </xf>
    <xf numFmtId="0" fontId="43" fillId="3" borderId="6" xfId="108" applyFont="1" applyFill="1" applyBorder="1" applyAlignment="1">
      <alignment horizontal="left" vertical="center" wrapText="1"/>
    </xf>
    <xf numFmtId="0" fontId="43" fillId="3" borderId="7" xfId="108" applyFont="1" applyFill="1" applyBorder="1" applyAlignment="1">
      <alignment horizontal="left" vertical="center" wrapText="1"/>
    </xf>
    <xf numFmtId="171" fontId="42" fillId="3" borderId="0" xfId="108" applyNumberFormat="1" applyFont="1" applyFill="1" applyAlignment="1">
      <alignment horizontal="right" vertical="center" wrapText="1"/>
    </xf>
    <xf numFmtId="171" fontId="42" fillId="3" borderId="17" xfId="108" applyNumberFormat="1" applyFont="1" applyFill="1" applyBorder="1" applyAlignment="1">
      <alignment horizontal="right" vertical="center" wrapText="1"/>
    </xf>
    <xf numFmtId="4" fontId="50" fillId="3" borderId="5" xfId="108" applyNumberFormat="1" applyFont="1" applyFill="1" applyBorder="1" applyAlignment="1">
      <alignment horizontal="left" vertical="center" wrapText="1"/>
    </xf>
    <xf numFmtId="4" fontId="50" fillId="3" borderId="6" xfId="108" applyNumberFormat="1" applyFont="1" applyFill="1" applyBorder="1" applyAlignment="1">
      <alignment horizontal="left" vertical="center" wrapText="1"/>
    </xf>
    <xf numFmtId="0" fontId="42" fillId="3" borderId="0" xfId="108" applyFont="1" applyFill="1" applyAlignment="1">
      <alignment horizontal="right" vertical="center" wrapText="1"/>
    </xf>
    <xf numFmtId="0" fontId="42" fillId="3" borderId="17" xfId="108" applyFont="1" applyFill="1" applyBorder="1" applyAlignment="1">
      <alignment horizontal="right" vertical="center" wrapText="1"/>
    </xf>
    <xf numFmtId="168" fontId="50" fillId="3" borderId="5" xfId="108" applyNumberFormat="1" applyFont="1" applyFill="1" applyBorder="1" applyAlignment="1">
      <alignment horizontal="left" vertical="center" wrapText="1"/>
    </xf>
    <xf numFmtId="168" fontId="50" fillId="3" borderId="6" xfId="108" applyNumberFormat="1" applyFont="1" applyFill="1" applyBorder="1" applyAlignment="1">
      <alignment horizontal="left" vertical="center" wrapText="1"/>
    </xf>
    <xf numFmtId="167" fontId="27" fillId="3" borderId="0" xfId="61" applyNumberFormat="1" applyFont="1" applyFill="1" applyAlignment="1">
      <alignment vertical="center" wrapText="1"/>
    </xf>
    <xf numFmtId="167" fontId="27" fillId="3" borderId="0" xfId="61" applyNumberFormat="1" applyFont="1" applyFill="1" applyAlignment="1">
      <alignment wrapText="1"/>
    </xf>
    <xf numFmtId="0" fontId="19" fillId="10" borderId="16" xfId="61" applyFont="1" applyFill="1" applyBorder="1" applyAlignment="1">
      <alignment horizontal="left" vertical="center"/>
    </xf>
    <xf numFmtId="0" fontId="19" fillId="10" borderId="15" xfId="61" applyFont="1" applyFill="1" applyBorder="1" applyAlignment="1">
      <alignment horizontal="left" vertical="center"/>
    </xf>
    <xf numFmtId="0" fontId="19" fillId="10" borderId="18" xfId="61" applyFont="1" applyFill="1" applyBorder="1" applyAlignment="1">
      <alignment horizontal="left" vertical="center"/>
    </xf>
    <xf numFmtId="0" fontId="20" fillId="0" borderId="5" xfId="0" applyFont="1" applyBorder="1" applyAlignment="1">
      <alignment horizontal="right" vertical="center"/>
    </xf>
    <xf numFmtId="0" fontId="20" fillId="0" borderId="6" xfId="0" applyFont="1" applyBorder="1" applyAlignment="1">
      <alignment horizontal="right" vertical="center"/>
    </xf>
    <xf numFmtId="0" fontId="20" fillId="0" borderId="7" xfId="0" applyFont="1" applyBorder="1" applyAlignment="1">
      <alignment horizontal="right" vertical="center"/>
    </xf>
    <xf numFmtId="0" fontId="19" fillId="3" borderId="1" xfId="0" applyFont="1" applyFill="1" applyBorder="1" applyAlignment="1">
      <alignment horizontal="left" vertical="center"/>
    </xf>
    <xf numFmtId="43" fontId="14" fillId="3" borderId="0" xfId="1" applyFont="1" applyFill="1" applyBorder="1" applyAlignment="1">
      <alignment horizontal="right" vertical="center" wrapText="1"/>
    </xf>
    <xf numFmtId="43" fontId="14" fillId="3" borderId="17" xfId="1" applyFont="1" applyFill="1" applyBorder="1" applyAlignment="1">
      <alignment horizontal="right" vertical="center" wrapText="1"/>
    </xf>
    <xf numFmtId="43" fontId="19" fillId="3" borderId="5" xfId="1" applyFont="1" applyFill="1" applyBorder="1" applyAlignment="1">
      <alignment horizontal="left" vertical="center"/>
    </xf>
    <xf numFmtId="43" fontId="19" fillId="3" borderId="6" xfId="1" applyFont="1" applyFill="1" applyBorder="1" applyAlignment="1">
      <alignment horizontal="left" vertical="center"/>
    </xf>
    <xf numFmtId="43" fontId="19" fillId="3" borderId="7" xfId="1" applyFont="1" applyFill="1" applyBorder="1" applyAlignment="1">
      <alignment horizontal="left" vertical="center"/>
    </xf>
    <xf numFmtId="43" fontId="19" fillId="3" borderId="5" xfId="1" applyFont="1" applyFill="1" applyBorder="1" applyAlignment="1">
      <alignment horizontal="center" vertical="center"/>
    </xf>
    <xf numFmtId="43" fontId="19" fillId="3" borderId="6" xfId="1" applyFont="1" applyFill="1" applyBorder="1" applyAlignment="1">
      <alignment horizontal="center" vertical="center"/>
    </xf>
    <xf numFmtId="43" fontId="19" fillId="3" borderId="7" xfId="1" applyFont="1" applyFill="1" applyBorder="1" applyAlignment="1">
      <alignment horizontal="center" vertical="center"/>
    </xf>
    <xf numFmtId="0" fontId="14" fillId="3" borderId="0" xfId="0" applyFont="1" applyFill="1" applyAlignment="1">
      <alignment horizontal="right" vertical="center"/>
    </xf>
    <xf numFmtId="0" fontId="14" fillId="3" borderId="17" xfId="0" applyFont="1" applyFill="1" applyBorder="1" applyAlignment="1">
      <alignment horizontal="right" vertical="center"/>
    </xf>
    <xf numFmtId="168" fontId="19" fillId="3" borderId="5" xfId="0" applyNumberFormat="1" applyFont="1" applyFill="1" applyBorder="1" applyAlignment="1">
      <alignment horizontal="right" vertical="center"/>
    </xf>
    <xf numFmtId="168" fontId="19" fillId="3" borderId="6" xfId="0" applyNumberFormat="1" applyFont="1" applyFill="1" applyBorder="1" applyAlignment="1">
      <alignment horizontal="right" vertical="center"/>
    </xf>
    <xf numFmtId="168" fontId="19" fillId="3" borderId="7" xfId="0" applyNumberFormat="1" applyFont="1" applyFill="1" applyBorder="1" applyAlignment="1">
      <alignment horizontal="right" vertical="center"/>
    </xf>
    <xf numFmtId="0" fontId="12" fillId="9" borderId="10" xfId="0" applyFont="1" applyFill="1" applyBorder="1" applyAlignment="1">
      <alignment vertical="center" wrapText="1"/>
    </xf>
    <xf numFmtId="0" fontId="12" fillId="9" borderId="11" xfId="0" applyFont="1" applyFill="1" applyBorder="1" applyAlignment="1">
      <alignment vertical="center" wrapText="1"/>
    </xf>
    <xf numFmtId="0" fontId="12" fillId="9" borderId="14" xfId="0" applyFont="1" applyFill="1" applyBorder="1" applyAlignment="1">
      <alignmen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5" fillId="2" borderId="2" xfId="61" applyFont="1" applyFill="1" applyBorder="1" applyAlignment="1">
      <alignment horizontal="left" vertical="center" wrapText="1"/>
    </xf>
    <xf numFmtId="0" fontId="5" fillId="2" borderId="3" xfId="61" applyFont="1" applyFill="1" applyBorder="1" applyAlignment="1">
      <alignment horizontal="left" vertical="center" wrapText="1"/>
    </xf>
    <xf numFmtId="0" fontId="9" fillId="2" borderId="5" xfId="61" applyFont="1" applyFill="1" applyBorder="1" applyAlignment="1">
      <alignment horizontal="center" vertical="center" wrapText="1"/>
    </xf>
    <xf numFmtId="0" fontId="9" fillId="2" borderId="6" xfId="61" applyFont="1" applyFill="1" applyBorder="1" applyAlignment="1">
      <alignment vertical="center" wrapText="1"/>
    </xf>
    <xf numFmtId="0" fontId="9" fillId="2" borderId="7" xfId="61" applyFont="1" applyFill="1" applyBorder="1" applyAlignment="1">
      <alignment horizontal="center" vertical="center" wrapText="1"/>
    </xf>
    <xf numFmtId="0" fontId="9" fillId="2" borderId="6" xfId="61" applyFont="1" applyFill="1" applyBorder="1" applyAlignment="1">
      <alignment horizontal="center" vertical="center" wrapText="1"/>
    </xf>
    <xf numFmtId="0" fontId="9" fillId="2" borderId="6" xfId="61" applyFont="1" applyFill="1" applyBorder="1" applyAlignment="1">
      <alignment horizontal="left" vertical="center" wrapText="1"/>
    </xf>
    <xf numFmtId="0" fontId="9" fillId="2" borderId="1" xfId="61" applyFont="1" applyFill="1" applyBorder="1" applyAlignment="1">
      <alignment horizontal="center" vertical="center" wrapText="1"/>
    </xf>
    <xf numFmtId="49" fontId="9" fillId="2" borderId="1" xfId="61" applyNumberFormat="1" applyFont="1" applyFill="1" applyBorder="1" applyAlignment="1">
      <alignment horizontal="center" vertical="center" wrapText="1"/>
    </xf>
    <xf numFmtId="0" fontId="9" fillId="2" borderId="2" xfId="61" applyFont="1" applyFill="1" applyBorder="1" applyAlignment="1">
      <alignment horizontal="center" vertical="center" wrapText="1"/>
    </xf>
    <xf numFmtId="0" fontId="9" fillId="2" borderId="3" xfId="61" applyFont="1" applyFill="1" applyBorder="1" applyAlignment="1">
      <alignment horizontal="center" vertical="center" wrapText="1"/>
    </xf>
    <xf numFmtId="164" fontId="9" fillId="2" borderId="1" xfId="61" applyNumberFormat="1" applyFont="1" applyFill="1" applyBorder="1" applyAlignment="1">
      <alignment horizontal="center" vertical="center" wrapText="1"/>
    </xf>
    <xf numFmtId="20" fontId="9" fillId="2" borderId="1" xfId="61" applyNumberFormat="1" applyFont="1" applyFill="1" applyBorder="1" applyAlignment="1">
      <alignment horizontal="center" vertical="center" wrapText="1"/>
    </xf>
    <xf numFmtId="165" fontId="9" fillId="2" borderId="1" xfId="61" applyNumberFormat="1" applyFont="1" applyFill="1" applyBorder="1" applyAlignment="1">
      <alignment horizontal="center" vertical="center" wrapText="1"/>
    </xf>
    <xf numFmtId="1" fontId="9" fillId="2" borderId="1" xfId="61" applyNumberFormat="1" applyFont="1" applyFill="1" applyBorder="1" applyAlignment="1">
      <alignment horizontal="center" vertical="center" wrapText="1"/>
    </xf>
  </cellXfs>
  <cellStyles count="114">
    <cellStyle name="20% - Accent1 2" xfId="3" xr:uid="{00000000-0005-0000-0000-000031000000}"/>
    <cellStyle name="20% - Accent2 2" xfId="4" xr:uid="{00000000-0005-0000-0000-000032000000}"/>
    <cellStyle name="20% - Accent3 2" xfId="5" xr:uid="{00000000-0005-0000-0000-000033000000}"/>
    <cellStyle name="20% - Accent4 2" xfId="6" xr:uid="{00000000-0005-0000-0000-000034000000}"/>
    <cellStyle name="20% - Accent5 2" xfId="7" xr:uid="{00000000-0005-0000-0000-000035000000}"/>
    <cellStyle name="20% - Accent6 2" xfId="8" xr:uid="{00000000-0005-0000-0000-000036000000}"/>
    <cellStyle name="40% - Accent1 2" xfId="9" xr:uid="{00000000-0005-0000-0000-000037000000}"/>
    <cellStyle name="40% - Accent2 2" xfId="10" xr:uid="{00000000-0005-0000-0000-000038000000}"/>
    <cellStyle name="40% - Accent3 2" xfId="11" xr:uid="{00000000-0005-0000-0000-000039000000}"/>
    <cellStyle name="40% - Accent4 2" xfId="12" xr:uid="{00000000-0005-0000-0000-00003A000000}"/>
    <cellStyle name="40% - Accent5 2" xfId="13" xr:uid="{00000000-0005-0000-0000-00003B000000}"/>
    <cellStyle name="40% - Accent6 2" xfId="14" xr:uid="{00000000-0005-0000-0000-00003C000000}"/>
    <cellStyle name="60% - Accent1 2" xfId="15" xr:uid="{00000000-0005-0000-0000-00003D000000}"/>
    <cellStyle name="60% - Accent1 3" xfId="16" xr:uid="{00000000-0005-0000-0000-00003E000000}"/>
    <cellStyle name="60% - Accent2 2" xfId="17" xr:uid="{00000000-0005-0000-0000-00003F000000}"/>
    <cellStyle name="60% - Accent2 3" xfId="18" xr:uid="{00000000-0005-0000-0000-000040000000}"/>
    <cellStyle name="60% - Accent3 2" xfId="19" xr:uid="{00000000-0005-0000-0000-000041000000}"/>
    <cellStyle name="60% - Accent3 3" xfId="20" xr:uid="{00000000-0005-0000-0000-000042000000}"/>
    <cellStyle name="60% - Accent4 2" xfId="21" xr:uid="{00000000-0005-0000-0000-000043000000}"/>
    <cellStyle name="60% - Accent4 3" xfId="22" xr:uid="{00000000-0005-0000-0000-000044000000}"/>
    <cellStyle name="60% - Accent5 2" xfId="23" xr:uid="{00000000-0005-0000-0000-000045000000}"/>
    <cellStyle name="60% - Accent5 3" xfId="24" xr:uid="{00000000-0005-0000-0000-000046000000}"/>
    <cellStyle name="60% - Accent6 2" xfId="25" xr:uid="{00000000-0005-0000-0000-000047000000}"/>
    <cellStyle name="60% - Accent6 3" xfId="26" xr:uid="{00000000-0005-0000-0000-000048000000}"/>
    <cellStyle name="Accent1 2" xfId="27" xr:uid="{00000000-0005-0000-0000-000049000000}"/>
    <cellStyle name="Accent2 2" xfId="28" xr:uid="{00000000-0005-0000-0000-00004A000000}"/>
    <cellStyle name="Accent3 2" xfId="29" xr:uid="{00000000-0005-0000-0000-00004B000000}"/>
    <cellStyle name="Accent4 2" xfId="30" xr:uid="{00000000-0005-0000-0000-00004C000000}"/>
    <cellStyle name="Accent5 2" xfId="31" xr:uid="{00000000-0005-0000-0000-00004D000000}"/>
    <cellStyle name="Accent6 2" xfId="32" xr:uid="{00000000-0005-0000-0000-00004E000000}"/>
    <cellStyle name="Bad 2" xfId="33" xr:uid="{00000000-0005-0000-0000-00004F000000}"/>
    <cellStyle name="Calculation 2" xfId="34" xr:uid="{00000000-0005-0000-0000-000050000000}"/>
    <cellStyle name="Check Cell 2" xfId="35" xr:uid="{00000000-0005-0000-0000-000051000000}"/>
    <cellStyle name="Comma" xfId="1" builtinId="3"/>
    <cellStyle name="Comma [0] 2" xfId="36" xr:uid="{00000000-0005-0000-0000-000052000000}"/>
    <cellStyle name="Comma 2" xfId="37" xr:uid="{00000000-0005-0000-0000-000053000000}"/>
    <cellStyle name="Comma 3" xfId="109" xr:uid="{21E7F2E3-EA8B-4E75-8973-E49E67DD55D2}"/>
    <cellStyle name="Comma 36" xfId="38" xr:uid="{00000000-0005-0000-0000-000054000000}"/>
    <cellStyle name="Comma 4" xfId="112" xr:uid="{4874219A-39FE-4837-8E83-E81B6A4DEFD2}"/>
    <cellStyle name="Comma 42" xfId="39" xr:uid="{00000000-0005-0000-0000-000055000000}"/>
    <cellStyle name="Comma 43" xfId="40" xr:uid="{00000000-0005-0000-0000-000056000000}"/>
    <cellStyle name="Explanatory Text 2" xfId="41" xr:uid="{00000000-0005-0000-0000-000057000000}"/>
    <cellStyle name="Good 2" xfId="42" xr:uid="{00000000-0005-0000-0000-000058000000}"/>
    <cellStyle name="Heading 1 2" xfId="43" xr:uid="{00000000-0005-0000-0000-000059000000}"/>
    <cellStyle name="Heading 2 2" xfId="44" xr:uid="{00000000-0005-0000-0000-00005A000000}"/>
    <cellStyle name="Heading 3 2" xfId="45" xr:uid="{00000000-0005-0000-0000-00005B000000}"/>
    <cellStyle name="Heading 4 2" xfId="46" xr:uid="{00000000-0005-0000-0000-00005C000000}"/>
    <cellStyle name="Input 2" xfId="47" xr:uid="{00000000-0005-0000-0000-00005D000000}"/>
    <cellStyle name="Linked Cell 2" xfId="48" xr:uid="{00000000-0005-0000-0000-00005E000000}"/>
    <cellStyle name="Neutral 2" xfId="49" xr:uid="{00000000-0005-0000-0000-00005F000000}"/>
    <cellStyle name="Neutral 3" xfId="50" xr:uid="{00000000-0005-0000-0000-000060000000}"/>
    <cellStyle name="Normal" xfId="0" builtinId="0"/>
    <cellStyle name="Normal 10" xfId="51" xr:uid="{00000000-0005-0000-0000-000061000000}"/>
    <cellStyle name="Normal 11" xfId="52" xr:uid="{00000000-0005-0000-0000-000062000000}"/>
    <cellStyle name="Normal 12" xfId="53" xr:uid="{00000000-0005-0000-0000-000063000000}"/>
    <cellStyle name="Normal 13" xfId="54" xr:uid="{00000000-0005-0000-0000-000064000000}"/>
    <cellStyle name="Normal 14" xfId="108" xr:uid="{7084F2BF-6E55-4B8D-B62F-5279A3336C7E}"/>
    <cellStyle name="Normal 15" xfId="111" xr:uid="{1694E356-48CE-4E64-AB25-A6BBC46700A6}"/>
    <cellStyle name="Normal 16" xfId="55" xr:uid="{00000000-0005-0000-0000-000065000000}"/>
    <cellStyle name="Normal 17 2 3" xfId="56" xr:uid="{00000000-0005-0000-0000-000066000000}"/>
    <cellStyle name="Normal 17 2 3 2" xfId="113" xr:uid="{7927E926-D050-4ABB-A15A-E6A1479FB39F}"/>
    <cellStyle name="Normal 18" xfId="57" xr:uid="{00000000-0005-0000-0000-000067000000}"/>
    <cellStyle name="Normal 19" xfId="58" xr:uid="{00000000-0005-0000-0000-000068000000}"/>
    <cellStyle name="Normal 2" xfId="59" xr:uid="{00000000-0005-0000-0000-000069000000}"/>
    <cellStyle name="Normal 2 2" xfId="60" xr:uid="{00000000-0005-0000-0000-00006A000000}"/>
    <cellStyle name="Normal 2 2 2" xfId="61" xr:uid="{00000000-0005-0000-0000-00006B000000}"/>
    <cellStyle name="Normal 2 2 3" xfId="62" xr:uid="{00000000-0005-0000-0000-00006C000000}"/>
    <cellStyle name="Normal 2 3" xfId="63" xr:uid="{00000000-0005-0000-0000-00006D000000}"/>
    <cellStyle name="Normal 2 4" xfId="64" xr:uid="{00000000-0005-0000-0000-00006E000000}"/>
    <cellStyle name="Normal 2 5" xfId="65" xr:uid="{00000000-0005-0000-0000-00006F000000}"/>
    <cellStyle name="Normal 2 6" xfId="66" xr:uid="{00000000-0005-0000-0000-000070000000}"/>
    <cellStyle name="Normal 2 7" xfId="67" xr:uid="{00000000-0005-0000-0000-000071000000}"/>
    <cellStyle name="Normal 2 8" xfId="110" xr:uid="{9D04C36A-5B42-4330-A7A6-B539F8F26EA3}"/>
    <cellStyle name="Normal 20" xfId="68" xr:uid="{00000000-0005-0000-0000-000072000000}"/>
    <cellStyle name="Normal 21" xfId="69" xr:uid="{00000000-0005-0000-0000-000073000000}"/>
    <cellStyle name="Normal 22" xfId="70" xr:uid="{00000000-0005-0000-0000-000074000000}"/>
    <cellStyle name="Normal 23" xfId="71" xr:uid="{00000000-0005-0000-0000-000075000000}"/>
    <cellStyle name="Normal 24" xfId="72" xr:uid="{00000000-0005-0000-0000-000076000000}"/>
    <cellStyle name="Normal 25" xfId="73" xr:uid="{00000000-0005-0000-0000-000077000000}"/>
    <cellStyle name="Normal 26" xfId="74" xr:uid="{00000000-0005-0000-0000-000078000000}"/>
    <cellStyle name="Normal 27" xfId="75" xr:uid="{00000000-0005-0000-0000-000079000000}"/>
    <cellStyle name="Normal 28" xfId="76" xr:uid="{00000000-0005-0000-0000-00007A000000}"/>
    <cellStyle name="Normal 29" xfId="77" xr:uid="{00000000-0005-0000-0000-00007B000000}"/>
    <cellStyle name="Normal 3" xfId="78" xr:uid="{00000000-0005-0000-0000-00007C000000}"/>
    <cellStyle name="Normal 3 2" xfId="79" xr:uid="{00000000-0005-0000-0000-00007D000000}"/>
    <cellStyle name="Normal 30" xfId="80" xr:uid="{00000000-0005-0000-0000-00007E000000}"/>
    <cellStyle name="Normal 31" xfId="81" xr:uid="{00000000-0005-0000-0000-00007F000000}"/>
    <cellStyle name="Normal 32" xfId="82" xr:uid="{00000000-0005-0000-0000-000080000000}"/>
    <cellStyle name="Normal 33" xfId="83" xr:uid="{00000000-0005-0000-0000-000081000000}"/>
    <cellStyle name="Normal 35" xfId="84" xr:uid="{00000000-0005-0000-0000-000082000000}"/>
    <cellStyle name="Normal 36" xfId="85" xr:uid="{00000000-0005-0000-0000-000083000000}"/>
    <cellStyle name="Normal 37" xfId="86" xr:uid="{00000000-0005-0000-0000-000084000000}"/>
    <cellStyle name="Normal 38" xfId="87" xr:uid="{00000000-0005-0000-0000-000085000000}"/>
    <cellStyle name="Normal 39" xfId="88" xr:uid="{00000000-0005-0000-0000-000086000000}"/>
    <cellStyle name="Normal 4" xfId="89" xr:uid="{00000000-0005-0000-0000-000087000000}"/>
    <cellStyle name="Normal 4 2" xfId="90" xr:uid="{00000000-0005-0000-0000-000088000000}"/>
    <cellStyle name="Normal 40" xfId="91" xr:uid="{00000000-0005-0000-0000-000089000000}"/>
    <cellStyle name="Normal 41" xfId="92" xr:uid="{00000000-0005-0000-0000-00008A000000}"/>
    <cellStyle name="Normal 42" xfId="93" xr:uid="{00000000-0005-0000-0000-00008B000000}"/>
    <cellStyle name="Normal 43" xfId="94" xr:uid="{00000000-0005-0000-0000-00008C000000}"/>
    <cellStyle name="Normal 44" xfId="95" xr:uid="{00000000-0005-0000-0000-00008D000000}"/>
    <cellStyle name="Normal 45" xfId="96" xr:uid="{00000000-0005-0000-0000-00008E000000}"/>
    <cellStyle name="Normal 5" xfId="97" xr:uid="{00000000-0005-0000-0000-00008F000000}"/>
    <cellStyle name="Normal 5 2" xfId="98" xr:uid="{00000000-0005-0000-0000-000090000000}"/>
    <cellStyle name="Normal 6" xfId="99" xr:uid="{00000000-0005-0000-0000-000091000000}"/>
    <cellStyle name="Normal 7" xfId="100" xr:uid="{00000000-0005-0000-0000-000092000000}"/>
    <cellStyle name="Normal 8" xfId="101" xr:uid="{00000000-0005-0000-0000-000093000000}"/>
    <cellStyle name="Normal 9" xfId="102" xr:uid="{00000000-0005-0000-0000-000094000000}"/>
    <cellStyle name="Note 2" xfId="103" xr:uid="{00000000-0005-0000-0000-000095000000}"/>
    <cellStyle name="Output 2" xfId="104" xr:uid="{00000000-0005-0000-0000-000096000000}"/>
    <cellStyle name="Percent" xfId="2" builtinId="5"/>
    <cellStyle name="Title 2" xfId="105" xr:uid="{00000000-0005-0000-0000-000097000000}"/>
    <cellStyle name="Total 2" xfId="106" xr:uid="{00000000-0005-0000-0000-000098000000}"/>
    <cellStyle name="Warning Text 2" xfId="107" xr:uid="{00000000-0005-0000-0000-000099000000}"/>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99CC"/>
      <color rgb="FFFF00FF"/>
      <color rgb="FF33CCFF"/>
      <color rgb="FF00FFFF"/>
      <color rgb="FFFFFF99"/>
      <color rgb="FF89E0FF"/>
      <color rgb="FFFF7C80"/>
      <color rgb="FF00CCFF"/>
      <color rgb="FFFFCC99"/>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haredStrings" Target="sharedStrings.xml"/><Relationship Id="rId30" Type="http://www.wps.cn/officeDocument/2021/sharedlinks" Target="NUL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31750</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0</xdr:rowOff>
    </xdr:from>
    <xdr:to>
      <xdr:col>7</xdr:col>
      <xdr:colOff>107156</xdr:colOff>
      <xdr:row>0</xdr:row>
      <xdr:rowOff>626207</xdr:rowOff>
    </xdr:to>
    <xdr:pic>
      <xdr:nvPicPr>
        <xdr:cNvPr id="2" name="Picture 7"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656580" y="0"/>
          <a:ext cx="925195" cy="626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428344</xdr:colOff>
      <xdr:row>0</xdr:row>
      <xdr:rowOff>0</xdr:rowOff>
    </xdr:from>
    <xdr:to>
      <xdr:col>9</xdr:col>
      <xdr:colOff>2400019</xdr:colOff>
      <xdr:row>1</xdr:row>
      <xdr:rowOff>95250</xdr:rowOff>
    </xdr:to>
    <xdr:pic>
      <xdr:nvPicPr>
        <xdr:cNvPr id="2" name="Picture 7"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5195844" y="0"/>
          <a:ext cx="1971675" cy="127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1987823</xdr:colOff>
      <xdr:row>0</xdr:row>
      <xdr:rowOff>339725</xdr:rowOff>
    </xdr:from>
    <xdr:to>
      <xdr:col>6</xdr:col>
      <xdr:colOff>3486148</xdr:colOff>
      <xdr:row>2</xdr:row>
      <xdr:rowOff>19051</xdr:rowOff>
    </xdr:to>
    <xdr:pic>
      <xdr:nvPicPr>
        <xdr:cNvPr id="2" name="Picture 7" descr="logo">
          <a:extLst>
            <a:ext uri="{FF2B5EF4-FFF2-40B4-BE49-F238E27FC236}">
              <a16:creationId xmlns:a16="http://schemas.microsoft.com/office/drawing/2014/main" id="{4A754920-C71D-4EF5-BD76-0C9F44726F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7259573" y="339725"/>
          <a:ext cx="1498325" cy="901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242426</xdr:colOff>
      <xdr:row>0</xdr:row>
      <xdr:rowOff>190022</xdr:rowOff>
    </xdr:from>
    <xdr:to>
      <xdr:col>15</xdr:col>
      <xdr:colOff>489812</xdr:colOff>
      <xdr:row>0</xdr:row>
      <xdr:rowOff>992843</xdr:rowOff>
    </xdr:to>
    <xdr:pic>
      <xdr:nvPicPr>
        <xdr:cNvPr id="2" name="Picture 7" descr="logo">
          <a:extLst>
            <a:ext uri="{FF2B5EF4-FFF2-40B4-BE49-F238E27FC236}">
              <a16:creationId xmlns:a16="http://schemas.microsoft.com/office/drawing/2014/main" id="{B843686F-F8D1-4DAD-90AF-B209C8E95D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21726" y="190022"/>
          <a:ext cx="1771386"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107342</xdr:colOff>
      <xdr:row>0</xdr:row>
      <xdr:rowOff>403678</xdr:rowOff>
    </xdr:from>
    <xdr:to>
      <xdr:col>7</xdr:col>
      <xdr:colOff>1878543</xdr:colOff>
      <xdr:row>0</xdr:row>
      <xdr:rowOff>1179285</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841990" y="403225"/>
          <a:ext cx="1771015" cy="775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tablet\Download\C:\tablet\Download\PC1\Users\Salasiah\Desktop\EO%202\SEPTEMBER\BPA\EO\Deduction\NONIE%20BAGI\SK%20Pendrive\nana\PERFORMANCE%20REPORT\BPA\2011\repot%20team%202010\DATABASE%20MASTER\dak%20man\OUTSTANDING%20PAYMENT\TOTAL%20OUTSTANDING%20PAYMENT%20(Ogos08).xls?5D3F9A08" TargetMode="External"/><Relationship Id="rId1" Type="http://schemas.openxmlformats.org/officeDocument/2006/relationships/externalLinkPath" Target="file:///\\5D3F9A08\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ablet\Download\C:\tablet\Download\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MAY%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ablet\Download\C:\tablet\Download\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ablet\Download\C:\tablet\Download\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ablet\Download\C:\tablet\Download\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ablet\Download\C:\tablet\Download\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P1J7AALU\MAPPING%20BEMS_IKN%20DEC%2020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S9UTTOG3\MAPPING%20MAY%202024%20B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FEB%20202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ablet\Download\C:\tablet\Download\C:\Users\User\Desktop\MAPPING%20PREVCM\MAPPING%20BEMS%20MAY%20202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ablet\Download\C:\tablet\Download\PC1\Users\CC%20copy's\Simulation%20on%20Taiping\DAR_HWMS%20sample.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D:\Desktop\Document\mapping\LETTER\2026\MAPPING_BEMS_JAN_2026.xlsx" TargetMode="External"/><Relationship Id="rId1" Type="http://schemas.openxmlformats.org/officeDocument/2006/relationships/externalLinkPath" Target="MAPPING_BEMS_JAN_202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ablet\Download\C:\tablet\Download\C:\Users\User\Desktop\DAILY%20LOG%20IKN\ASSET%20MASTERLIST%20NCI\Asset%20Masterlist%20NCI%20update%202911202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ablet\Download\C:\tablet\Download\C:\Users\User\Downloads\MAPPING_BEMS_AUG_2025%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
      <sheetName val="B4-UPTIME updated"/>
      <sheetName val="B5-T&amp;C"/>
      <sheetName val="Sheet1 "/>
      <sheetName val="Sheet1"/>
      <sheetName val="Sheet2"/>
      <sheetName val="BEM1/25Sdar"/>
    </sheetNames>
    <sheetDataSet>
      <sheetData sheetId="0"/>
      <sheetData sheetId="1"/>
      <sheetData sheetId="2"/>
      <sheetData sheetId="3">
        <row r="8">
          <cell r="L8">
            <v>45443</v>
          </cell>
        </row>
      </sheetData>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3-SCHEDULED (2)"/>
      <sheetName val="KDI"/>
      <sheetName val="Public Holiday"/>
      <sheetName val="BEMSdar"/>
      <sheetName val="B1&amp; B2 UNSCHEDULED"/>
      <sheetName val="B3-SCHEDULED "/>
      <sheetName val="B4-UPTIME "/>
      <sheetName val="B5-T&amp;C"/>
      <sheetName val="Sheet1"/>
      <sheetName val="Sheet2"/>
      <sheetName val="B3-SCHEDULED"/>
      <sheetName val="B4-UPTIME"/>
      <sheetName val="B5-T&amp;C (UPDATE)"/>
    </sheetNames>
    <sheetDataSet>
      <sheetData sheetId="0"/>
      <sheetData sheetId="1" refreshError="1"/>
      <sheetData sheetId="2">
        <row r="3">
          <cell r="A3">
            <v>44927</v>
          </cell>
        </row>
        <row r="4">
          <cell r="A4">
            <v>45292</v>
          </cell>
        </row>
        <row r="5">
          <cell r="A5">
            <v>44928</v>
          </cell>
        </row>
        <row r="6">
          <cell r="A6">
            <v>45316</v>
          </cell>
        </row>
        <row r="7">
          <cell r="A7">
            <v>44948</v>
          </cell>
        </row>
        <row r="8">
          <cell r="A8">
            <v>45323</v>
          </cell>
        </row>
        <row r="9">
          <cell r="A9">
            <v>44584</v>
          </cell>
        </row>
        <row r="10">
          <cell r="A10">
            <v>45332</v>
          </cell>
        </row>
        <row r="11">
          <cell r="A11">
            <v>44585</v>
          </cell>
        </row>
        <row r="12">
          <cell r="A12">
            <v>45333</v>
          </cell>
        </row>
        <row r="13">
          <cell r="A13">
            <v>44958</v>
          </cell>
        </row>
        <row r="14">
          <cell r="A14">
            <v>45334</v>
          </cell>
        </row>
        <row r="15">
          <cell r="A15">
            <v>44962</v>
          </cell>
        </row>
        <row r="16">
          <cell r="A16">
            <v>45379</v>
          </cell>
        </row>
        <row r="17">
          <cell r="A17">
            <v>44963</v>
          </cell>
        </row>
        <row r="18">
          <cell r="A18">
            <v>45392</v>
          </cell>
        </row>
        <row r="19">
          <cell r="A19">
            <v>45024</v>
          </cell>
        </row>
        <row r="20">
          <cell r="A20">
            <v>45393</v>
          </cell>
        </row>
        <row r="21">
          <cell r="A21">
            <v>45037</v>
          </cell>
        </row>
        <row r="22">
          <cell r="A22">
            <v>45413</v>
          </cell>
        </row>
        <row r="23">
          <cell r="A23">
            <v>45038</v>
          </cell>
        </row>
        <row r="24">
          <cell r="A24">
            <v>45434</v>
          </cell>
        </row>
        <row r="25">
          <cell r="A25">
            <v>45039</v>
          </cell>
        </row>
        <row r="26">
          <cell r="A26">
            <v>45446</v>
          </cell>
        </row>
        <row r="27">
          <cell r="A27">
            <v>45040</v>
          </cell>
        </row>
        <row r="28">
          <cell r="A28">
            <v>45460</v>
          </cell>
        </row>
        <row r="29">
          <cell r="A29">
            <v>45047</v>
          </cell>
        </row>
        <row r="30">
          <cell r="A30">
            <v>45480</v>
          </cell>
        </row>
        <row r="31">
          <cell r="A31">
            <v>45050</v>
          </cell>
        </row>
        <row r="32">
          <cell r="A32">
            <v>45481</v>
          </cell>
        </row>
        <row r="33">
          <cell r="A33">
            <v>45082</v>
          </cell>
        </row>
        <row r="34">
          <cell r="A34">
            <v>45535</v>
          </cell>
        </row>
        <row r="35">
          <cell r="A35">
            <v>45106</v>
          </cell>
        </row>
        <row r="36">
          <cell r="A36">
            <v>45551</v>
          </cell>
        </row>
        <row r="37">
          <cell r="A37">
            <v>45126</v>
          </cell>
        </row>
        <row r="38">
          <cell r="A38">
            <v>45551</v>
          </cell>
        </row>
        <row r="39">
          <cell r="A39">
            <v>45169</v>
          </cell>
        </row>
        <row r="40">
          <cell r="A40">
            <v>45552</v>
          </cell>
        </row>
        <row r="41">
          <cell r="A41">
            <v>45185</v>
          </cell>
        </row>
        <row r="42">
          <cell r="A42">
            <v>45596</v>
          </cell>
        </row>
        <row r="43">
          <cell r="A43">
            <v>45197</v>
          </cell>
        </row>
        <row r="44">
          <cell r="A44">
            <v>45651</v>
          </cell>
        </row>
        <row r="45">
          <cell r="A45">
            <v>45242</v>
          </cell>
        </row>
        <row r="47">
          <cell r="A47">
            <v>45243</v>
          </cell>
        </row>
        <row r="49">
          <cell r="A49">
            <v>45285</v>
          </cell>
        </row>
      </sheetData>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hantar"/>
      <sheetName val="B3-SCHEDULED (2)"/>
      <sheetName val="B3-SCHEDULED"/>
      <sheetName val="B5-T&amp;C"/>
      <sheetName val="B4-UPTIME"/>
      <sheetName val="Sheet1"/>
      <sheetName val="Sheet2"/>
    </sheetNames>
    <sheetDataSet>
      <sheetData sheetId="0" refreshError="1"/>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sheetName val="B4-UPTIME updated"/>
      <sheetName val="B5-T&amp;C"/>
      <sheetName val="Sheet1"/>
      <sheetName val="Sheet2"/>
    </sheetNames>
    <sheetDataSet>
      <sheetData sheetId="0"/>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MAY)"/>
      <sheetName val="B4-UPTIME"/>
      <sheetName val="B5-T&amp;C"/>
      <sheetName val="Sheet1"/>
      <sheetName val="Sheet2"/>
    </sheetNames>
    <sheetDataSet>
      <sheetData sheetId="0" refreshError="1"/>
      <sheetData sheetId="1">
        <row r="4">
          <cell r="A4">
            <v>45658</v>
          </cell>
        </row>
        <row r="6">
          <cell r="A6">
            <v>45686</v>
          </cell>
        </row>
        <row r="8">
          <cell r="A8">
            <v>45687</v>
          </cell>
        </row>
        <row r="10">
          <cell r="A10">
            <v>45689</v>
          </cell>
        </row>
        <row r="12">
          <cell r="A12">
            <v>45699</v>
          </cell>
        </row>
        <row r="14">
          <cell r="A14">
            <v>45734</v>
          </cell>
        </row>
        <row r="16">
          <cell r="A16">
            <v>45748</v>
          </cell>
        </row>
        <row r="18">
          <cell r="A18">
            <v>45749</v>
          </cell>
        </row>
        <row r="20">
          <cell r="A20">
            <v>45778</v>
          </cell>
        </row>
        <row r="22">
          <cell r="A22">
            <v>45789</v>
          </cell>
        </row>
        <row r="24">
          <cell r="A24">
            <v>45810</v>
          </cell>
        </row>
        <row r="26">
          <cell r="A26">
            <v>45815</v>
          </cell>
        </row>
        <row r="28">
          <cell r="A28">
            <v>45816</v>
          </cell>
        </row>
        <row r="30">
          <cell r="A30">
            <v>45835</v>
          </cell>
        </row>
        <row r="32">
          <cell r="A32">
            <v>45900</v>
          </cell>
        </row>
        <row r="34">
          <cell r="A34">
            <v>45901</v>
          </cell>
        </row>
        <row r="36">
          <cell r="A36">
            <v>45905</v>
          </cell>
        </row>
        <row r="38">
          <cell r="A38">
            <v>45916</v>
          </cell>
        </row>
        <row r="40">
          <cell r="A40">
            <v>45950</v>
          </cell>
        </row>
        <row r="42">
          <cell r="A42">
            <v>46016</v>
          </cell>
        </row>
      </sheetData>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DI"/>
      <sheetName val="Public Holiday"/>
      <sheetName val="BEMSdar"/>
      <sheetName val="B1&amp;B2 UNSCHEDULED"/>
      <sheetName val="B3-SCHEDULED"/>
      <sheetName val="B4-UPTIME (jan) "/>
      <sheetName val="B5-T&amp;C"/>
      <sheetName val="Sheet1"/>
      <sheetName val="Sheet2"/>
    </sheetNames>
    <sheetDataSet>
      <sheetData sheetId="0"/>
      <sheetData sheetId="1"/>
      <sheetData sheetId="2">
        <row r="11">
          <cell r="E11">
            <v>1437864.7725</v>
          </cell>
        </row>
        <row r="13">
          <cell r="E13">
            <v>36868.327499999999</v>
          </cell>
        </row>
      </sheetData>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Details_UEM"/>
      <sheetName val="NW"/>
      <sheetName val="AUDIT"/>
    </sheetNames>
    <sheetDataSet>
      <sheetData sheetId="0" refreshError="1">
        <row r="3">
          <cell r="A3" t="str">
            <v>IKN400557</v>
          </cell>
          <cell r="B3">
            <v>557</v>
          </cell>
          <cell r="C3" t="str">
            <v>Institut Kanser Negara</v>
          </cell>
          <cell r="D3" t="str">
            <v>KKM/IKN/H/17/9</v>
          </cell>
          <cell r="E3" t="str">
            <v>10-208</v>
          </cell>
          <cell r="F3" t="str">
            <v>Aspirators</v>
          </cell>
          <cell r="G3" t="str">
            <v>MC</v>
          </cell>
          <cell r="H3" t="str">
            <v>MULTI-DISCIPLINE CLINIC</v>
          </cell>
          <cell r="I3" t="str">
            <v>03MC107</v>
          </cell>
          <cell r="J3" t="str">
            <v>TREATMENT 1</v>
          </cell>
          <cell r="K3" t="str">
            <v>BMED</v>
          </cell>
          <cell r="L3" t="str">
            <v>Critical</v>
          </cell>
          <cell r="M3" t="str">
            <v>Italy</v>
          </cell>
          <cell r="N3" t="str">
            <v>Hospivac</v>
          </cell>
          <cell r="O3" t="str">
            <v>Hospivac 350</v>
          </cell>
          <cell r="P3" t="str">
            <v>140701786</v>
          </cell>
          <cell r="Q3" t="str">
            <v>Not Applicable</v>
          </cell>
          <cell r="R3" t="str">
            <v>Ca-Mi Snc</v>
          </cell>
          <cell r="S3" t="str">
            <v>ONE DENTAL SUPPLY AND MARKETING SDN BHD</v>
          </cell>
          <cell r="T3" t="str">
            <v>Functioning</v>
          </cell>
          <cell r="U3" t="str">
            <v>Asset</v>
          </cell>
          <cell r="V3">
            <v>4280</v>
          </cell>
          <cell r="W3" t="str">
            <v>KEW</v>
          </cell>
          <cell r="X3" t="str">
            <v>27/09/2017</v>
          </cell>
          <cell r="Y3" t="str">
            <v>KEW</v>
          </cell>
          <cell r="Z3" t="str">
            <v>13/11/2017</v>
          </cell>
          <cell r="AA3" t="str">
            <v>13/11/2018</v>
          </cell>
          <cell r="AB3" t="str">
            <v>No</v>
          </cell>
          <cell r="AC3" t="str">
            <v>13/11/2017</v>
          </cell>
          <cell r="AD3" t="str">
            <v>Good</v>
          </cell>
          <cell r="AE3" t="str">
            <v>V3 - Added Installed Facilities (New)</v>
          </cell>
          <cell r="AF3">
            <v>43404</v>
          </cell>
          <cell r="AG3">
            <v>2.17</v>
          </cell>
          <cell r="AH3" t="str">
            <v>PPM</v>
          </cell>
          <cell r="AI3" t="str">
            <v>Strands</v>
          </cell>
          <cell r="AJ3" t="str">
            <v>Strands PW</v>
          </cell>
          <cell r="AK3" t="str">
            <v>SNF received. 1st batch of V3 asset (December 2020)</v>
          </cell>
        </row>
        <row r="4">
          <cell r="A4" t="str">
            <v>IKN400558</v>
          </cell>
          <cell r="B4">
            <v>558</v>
          </cell>
          <cell r="C4" t="str">
            <v>Institut Kanser Negara</v>
          </cell>
          <cell r="D4" t="str">
            <v>KKM/IKN/H/17/12</v>
          </cell>
          <cell r="E4" t="str">
            <v>15-161</v>
          </cell>
          <cell r="F4" t="str">
            <v>Mixers, Clinical Laboratory</v>
          </cell>
          <cell r="G4" t="str">
            <v>MC</v>
          </cell>
          <cell r="H4" t="str">
            <v>MULTI-DISCIPLINE CLINIC</v>
          </cell>
          <cell r="I4" t="str">
            <v>03MC107</v>
          </cell>
          <cell r="J4" t="str">
            <v>TREATMENT 1</v>
          </cell>
          <cell r="K4" t="str">
            <v>BMED</v>
          </cell>
          <cell r="L4" t="str">
            <v>Normal</v>
          </cell>
          <cell r="M4" t="str">
            <v>USA</v>
          </cell>
          <cell r="N4" t="str">
            <v>Dentamerica</v>
          </cell>
          <cell r="O4" t="str">
            <v>Blendex</v>
          </cell>
          <cell r="P4" t="str">
            <v>G00097</v>
          </cell>
          <cell r="Q4" t="str">
            <v>Not Applicable</v>
          </cell>
          <cell r="R4" t="str">
            <v>Dentamerica</v>
          </cell>
          <cell r="S4" t="str">
            <v>One Dental Supply &amp; Marketing Sdn. Bhd.</v>
          </cell>
          <cell r="T4" t="str">
            <v>Functioning</v>
          </cell>
          <cell r="U4" t="str">
            <v>Asset</v>
          </cell>
          <cell r="V4">
            <v>3120</v>
          </cell>
          <cell r="W4" t="str">
            <v>KEW</v>
          </cell>
          <cell r="X4" t="str">
            <v>27/09/2017</v>
          </cell>
          <cell r="Y4" t="str">
            <v>KEW</v>
          </cell>
          <cell r="Z4" t="str">
            <v>28/11/2017</v>
          </cell>
          <cell r="AA4" t="str">
            <v>28/11/2018</v>
          </cell>
          <cell r="AB4" t="str">
            <v>No</v>
          </cell>
          <cell r="AC4" t="str">
            <v>28/11/2017</v>
          </cell>
          <cell r="AD4" t="str">
            <v>Good</v>
          </cell>
          <cell r="AE4" t="str">
            <v>V3 - Added Installed Facilities (New)</v>
          </cell>
          <cell r="AF4">
            <v>43404</v>
          </cell>
          <cell r="AG4">
            <v>2.17</v>
          </cell>
          <cell r="AH4" t="str">
            <v>PPM</v>
          </cell>
          <cell r="AI4" t="str">
            <v>Strands</v>
          </cell>
          <cell r="AJ4" t="str">
            <v>Strands PW</v>
          </cell>
          <cell r="AK4" t="str">
            <v>SNF received. 1st batch of V3 asset (December 2020)</v>
          </cell>
        </row>
        <row r="5">
          <cell r="A5" t="str">
            <v>IKN400559</v>
          </cell>
          <cell r="B5">
            <v>559</v>
          </cell>
          <cell r="C5" t="str">
            <v>Institut Kanser Negara</v>
          </cell>
          <cell r="D5" t="str">
            <v>KKM/IKN/H/17/7</v>
          </cell>
          <cell r="E5" t="str">
            <v>18-231</v>
          </cell>
          <cell r="F5" t="str">
            <v>Electrosurgical Units, Monopolar/Bipolar</v>
          </cell>
          <cell r="G5" t="str">
            <v>MC</v>
          </cell>
          <cell r="H5" t="str">
            <v>MULTI-DISCIPLINE CLINIC</v>
          </cell>
          <cell r="I5" t="str">
            <v>03MC107</v>
          </cell>
          <cell r="J5" t="str">
            <v>TREATMENT 1</v>
          </cell>
          <cell r="K5" t="str">
            <v>BMED</v>
          </cell>
          <cell r="L5" t="str">
            <v>Critical</v>
          </cell>
          <cell r="M5" t="str">
            <v>UK</v>
          </cell>
          <cell r="N5" t="str">
            <v>Eschmann</v>
          </cell>
          <cell r="O5" t="str">
            <v>Eschmann E30</v>
          </cell>
          <cell r="P5" t="str">
            <v>12103003</v>
          </cell>
          <cell r="Q5" t="str">
            <v>Not Applicable</v>
          </cell>
          <cell r="R5" t="str">
            <v>Eschmann Bros &amp; Walsh Ltd</v>
          </cell>
          <cell r="S5" t="str">
            <v>Uni Dex (Malaysia) Sdn. Bhd.</v>
          </cell>
          <cell r="T5" t="str">
            <v>Functioning</v>
          </cell>
          <cell r="U5" t="str">
            <v>Asset</v>
          </cell>
          <cell r="V5">
            <v>32478</v>
          </cell>
          <cell r="W5" t="str">
            <v>KEW</v>
          </cell>
          <cell r="X5" t="str">
            <v>28/09/2017</v>
          </cell>
          <cell r="Y5" t="str">
            <v>KEW</v>
          </cell>
          <cell r="Z5" t="str">
            <v>15/11/2017</v>
          </cell>
          <cell r="AA5" t="str">
            <v>15/11/2018</v>
          </cell>
          <cell r="AB5" t="str">
            <v>No</v>
          </cell>
          <cell r="AC5" t="str">
            <v>15/11/2017</v>
          </cell>
          <cell r="AD5" t="str">
            <v>Good</v>
          </cell>
          <cell r="AE5" t="str">
            <v>V3 - Added Installed Facilities (New)</v>
          </cell>
          <cell r="AF5">
            <v>43404</v>
          </cell>
          <cell r="AG5">
            <v>2.17</v>
          </cell>
          <cell r="AH5" t="str">
            <v>PPM</v>
          </cell>
          <cell r="AI5" t="str">
            <v>Strands</v>
          </cell>
          <cell r="AJ5" t="str">
            <v>Strands PW</v>
          </cell>
          <cell r="AK5" t="str">
            <v>SNF received. 1st batch of V3 asset (December 2020)</v>
          </cell>
        </row>
        <row r="6">
          <cell r="A6" t="str">
            <v>IKN400858</v>
          </cell>
          <cell r="B6">
            <v>858</v>
          </cell>
          <cell r="C6" t="str">
            <v>Institut Kanser Negara</v>
          </cell>
          <cell r="E6" t="str">
            <v>17-508</v>
          </cell>
          <cell r="F6" t="str">
            <v>Printers, Video</v>
          </cell>
          <cell r="G6" t="str">
            <v>RT</v>
          </cell>
          <cell r="H6" t="str">
            <v>RADIATION TREATMENT UNIT</v>
          </cell>
          <cell r="I6" t="str">
            <v>01RT127</v>
          </cell>
          <cell r="J6" t="str">
            <v>BRACHY OT 2</v>
          </cell>
          <cell r="K6" t="str">
            <v>BMED</v>
          </cell>
          <cell r="L6" t="str">
            <v>Normal</v>
          </cell>
          <cell r="M6" t="str">
            <v>Japan</v>
          </cell>
          <cell r="N6" t="str">
            <v>Sony</v>
          </cell>
          <cell r="O6" t="str">
            <v>Sony UP-25MD</v>
          </cell>
          <cell r="P6" t="str">
            <v>705115</v>
          </cell>
          <cell r="Q6" t="str">
            <v>Not Applicable</v>
          </cell>
          <cell r="R6" t="str">
            <v>Sony Corp</v>
          </cell>
          <cell r="S6" t="str">
            <v>V Medical Services</v>
          </cell>
          <cell r="T6" t="str">
            <v>Functioning</v>
          </cell>
          <cell r="U6" t="str">
            <v>Asset</v>
          </cell>
          <cell r="V6">
            <v>5000</v>
          </cell>
          <cell r="W6" t="str">
            <v>Estimate</v>
          </cell>
          <cell r="X6" t="str">
            <v>01/09/2010</v>
          </cell>
          <cell r="Y6" t="str">
            <v>KEW</v>
          </cell>
          <cell r="Z6" t="str">
            <v>16/08/2013</v>
          </cell>
          <cell r="AA6" t="str">
            <v>15/08/2015</v>
          </cell>
          <cell r="AB6" t="str">
            <v>No</v>
          </cell>
          <cell r="AC6" t="str">
            <v>31/08/2013</v>
          </cell>
          <cell r="AD6" t="str">
            <v>Good</v>
          </cell>
          <cell r="AE6" t="str">
            <v>V1 - Existing / No Claim</v>
          </cell>
          <cell r="AF6">
            <v>42720</v>
          </cell>
          <cell r="AG6">
            <v>9.17</v>
          </cell>
          <cell r="AH6" t="str">
            <v>RI</v>
          </cell>
          <cell r="AI6" t="str">
            <v>package</v>
          </cell>
          <cell r="AJ6" t="str">
            <v>Strands PW</v>
          </cell>
          <cell r="AK6" t="str">
            <v>located BOT</v>
          </cell>
        </row>
        <row r="7">
          <cell r="A7" t="str">
            <v>IKN400859</v>
          </cell>
          <cell r="B7">
            <v>859</v>
          </cell>
          <cell r="C7" t="str">
            <v>Institut Kanser Negara</v>
          </cell>
          <cell r="D7" t="e">
            <v>#N/A</v>
          </cell>
          <cell r="E7" t="str">
            <v>12-093</v>
          </cell>
          <cell r="F7" t="str">
            <v>Immobilizers</v>
          </cell>
          <cell r="G7" t="str">
            <v>PY</v>
          </cell>
          <cell r="H7" t="str">
            <v>PHYSIOTHERAPY</v>
          </cell>
          <cell r="I7" t="str">
            <v>04PY115</v>
          </cell>
          <cell r="J7" t="str">
            <v>GYMNASIUM</v>
          </cell>
          <cell r="K7" t="str">
            <v>BMED</v>
          </cell>
          <cell r="L7" t="str">
            <v>Normal</v>
          </cell>
          <cell r="M7" t="str">
            <v>TAIWAN</v>
          </cell>
          <cell r="N7" t="str">
            <v>PUMA</v>
          </cell>
          <cell r="O7" t="str">
            <v>DLD-20-10V</v>
          </cell>
          <cell r="P7" t="str">
            <v>VA070021</v>
          </cell>
          <cell r="Q7" t="str">
            <v>Not Applicable</v>
          </cell>
          <cell r="R7" t="str">
            <v>MY POWER TOOLS</v>
          </cell>
          <cell r="S7" t="str">
            <v>MY POWER TOOLS</v>
          </cell>
          <cell r="T7" t="str">
            <v>Functioning</v>
          </cell>
          <cell r="U7" t="str">
            <v>Asset</v>
          </cell>
          <cell r="V7">
            <v>1</v>
          </cell>
          <cell r="W7" t="str">
            <v>KEW</v>
          </cell>
          <cell r="X7" t="str">
            <v>01/09/2010</v>
          </cell>
          <cell r="Y7" t="str">
            <v>KEW</v>
          </cell>
          <cell r="Z7" t="str">
            <v>16/08/2013</v>
          </cell>
          <cell r="AA7" t="str">
            <v>15/08/2015</v>
          </cell>
          <cell r="AB7" t="str">
            <v>No</v>
          </cell>
          <cell r="AC7" t="str">
            <v>16/08/2013</v>
          </cell>
          <cell r="AD7" t="str">
            <v>Good</v>
          </cell>
          <cell r="AE7" t="str">
            <v>V10 - Asset in initial fee submission(new/replacement hosp)</v>
          </cell>
          <cell r="AF7">
            <v>43699</v>
          </cell>
          <cell r="AG7">
            <v>9.17</v>
          </cell>
          <cell r="AH7" t="str">
            <v>PPM</v>
          </cell>
          <cell r="AI7" t="str">
            <v>package</v>
          </cell>
          <cell r="AJ7" t="str">
            <v>Strands PW F</v>
          </cell>
        </row>
        <row r="8">
          <cell r="A8" t="str">
            <v>IKN400860</v>
          </cell>
          <cell r="B8">
            <v>860</v>
          </cell>
          <cell r="C8" t="str">
            <v>Institut Kanser Negara</v>
          </cell>
          <cell r="E8" t="str">
            <v>12-282</v>
          </cell>
          <cell r="F8" t="str">
            <v>Lights, Surgical</v>
          </cell>
          <cell r="G8" t="str">
            <v>MC</v>
          </cell>
          <cell r="H8" t="str">
            <v>MULTI-DISCIPLINE CLINIC</v>
          </cell>
          <cell r="I8" t="str">
            <v>03MC107</v>
          </cell>
          <cell r="J8" t="str">
            <v>TREATMENT 1</v>
          </cell>
          <cell r="K8" t="str">
            <v>BMED</v>
          </cell>
          <cell r="L8" t="str">
            <v>Normal</v>
          </cell>
          <cell r="M8" t="str">
            <v>USA</v>
          </cell>
          <cell r="N8" t="str">
            <v>Welch Allyn</v>
          </cell>
          <cell r="O8" t="str">
            <v>Welch Allyn GS900</v>
          </cell>
          <cell r="P8" t="str">
            <v>10032911105639</v>
          </cell>
          <cell r="Q8" t="str">
            <v>Not Applicable</v>
          </cell>
          <cell r="R8" t="str">
            <v>Welch Allyn Inc</v>
          </cell>
          <cell r="S8" t="str">
            <v>Welch Allyn Malaysia Sdn Bhd</v>
          </cell>
          <cell r="T8" t="str">
            <v>Functioning</v>
          </cell>
          <cell r="U8" t="str">
            <v>Asset</v>
          </cell>
          <cell r="V8">
            <v>10585</v>
          </cell>
          <cell r="W8" t="str">
            <v>KEW</v>
          </cell>
          <cell r="X8" t="str">
            <v>01/09/2010</v>
          </cell>
          <cell r="Y8" t="str">
            <v>KEW</v>
          </cell>
          <cell r="Z8" t="str">
            <v>16/08/2013</v>
          </cell>
          <cell r="AA8" t="str">
            <v>15/08/2015</v>
          </cell>
          <cell r="AB8" t="str">
            <v>No</v>
          </cell>
          <cell r="AC8" t="str">
            <v>31/08/2013</v>
          </cell>
          <cell r="AD8" t="str">
            <v>Good</v>
          </cell>
          <cell r="AE8" t="str">
            <v>V1 - Existing / No Claim</v>
          </cell>
          <cell r="AF8">
            <v>42235</v>
          </cell>
          <cell r="AG8">
            <v>9.17</v>
          </cell>
          <cell r="AH8" t="str">
            <v>PPM</v>
          </cell>
          <cell r="AI8" t="str">
            <v>Not in contract</v>
          </cell>
          <cell r="AJ8" t="str">
            <v>Strands PW</v>
          </cell>
        </row>
        <row r="9">
          <cell r="A9" t="str">
            <v>IKN400918</v>
          </cell>
          <cell r="B9">
            <v>917</v>
          </cell>
          <cell r="C9" t="str">
            <v>Institut Kanser Negara</v>
          </cell>
          <cell r="D9" t="str">
            <v>KKM/IKN/H/13/565</v>
          </cell>
          <cell r="E9" t="str">
            <v>16-241</v>
          </cell>
          <cell r="F9" t="str">
            <v>Scanning Systems, Ultrasonic, Abdominal</v>
          </cell>
          <cell r="G9" t="str">
            <v>MC</v>
          </cell>
          <cell r="H9" t="str">
            <v>MULTI-DISCIPLINE CLINIC</v>
          </cell>
          <cell r="I9" t="str">
            <v>03MC107</v>
          </cell>
          <cell r="J9" t="str">
            <v>TREATMENT 1</v>
          </cell>
          <cell r="K9" t="str">
            <v>BMED</v>
          </cell>
          <cell r="L9" t="str">
            <v>Normal</v>
          </cell>
          <cell r="M9" t="str">
            <v>UK</v>
          </cell>
          <cell r="N9" t="str">
            <v>Portascan</v>
          </cell>
          <cell r="O9" t="str">
            <v>Portascan+</v>
          </cell>
          <cell r="P9" t="str">
            <v>01025</v>
          </cell>
          <cell r="Q9" t="str">
            <v>Not Applicable</v>
          </cell>
          <cell r="R9" t="str">
            <v>Mediwatch Ltd</v>
          </cell>
          <cell r="S9" t="str">
            <v>MKS Medic Sdn Bhd</v>
          </cell>
          <cell r="T9" t="str">
            <v>Functioning</v>
          </cell>
          <cell r="U9" t="str">
            <v>Asset</v>
          </cell>
          <cell r="V9">
            <v>107510</v>
          </cell>
          <cell r="W9" t="str">
            <v>KEW</v>
          </cell>
          <cell r="X9" t="str">
            <v>01/09/2010</v>
          </cell>
          <cell r="Y9" t="str">
            <v>KEW</v>
          </cell>
          <cell r="Z9" t="str">
            <v>16/08/2013</v>
          </cell>
          <cell r="AA9" t="str">
            <v>15/08/2015</v>
          </cell>
          <cell r="AB9" t="str">
            <v>No</v>
          </cell>
          <cell r="AC9" t="str">
            <v>31/08/2013</v>
          </cell>
          <cell r="AD9" t="str">
            <v>Good</v>
          </cell>
          <cell r="AE9" t="str">
            <v>V1 - Existing / No Claim</v>
          </cell>
          <cell r="AF9">
            <v>42235</v>
          </cell>
          <cell r="AG9">
            <v>9.17</v>
          </cell>
          <cell r="AH9" t="str">
            <v>PPM</v>
          </cell>
          <cell r="AI9" t="str">
            <v>Strands</v>
          </cell>
          <cell r="AJ9" t="str">
            <v>Strands PW</v>
          </cell>
        </row>
        <row r="10">
          <cell r="A10" t="str">
            <v>IKN400919</v>
          </cell>
          <cell r="B10">
            <v>918</v>
          </cell>
          <cell r="C10" t="str">
            <v>Institut Kanser Negara</v>
          </cell>
          <cell r="E10" t="str">
            <v>16-173</v>
          </cell>
          <cell r="F10" t="str">
            <v>Sphygmomanometers, Electronic, Automatic</v>
          </cell>
          <cell r="G10" t="str">
            <v>MC</v>
          </cell>
          <cell r="H10" t="str">
            <v>MULTI-DISCIPLINE CLINIC</v>
          </cell>
          <cell r="I10" t="str">
            <v>03MC108</v>
          </cell>
          <cell r="J10" t="str">
            <v>TREATMENT/PROCEDURE</v>
          </cell>
          <cell r="K10" t="str">
            <v>BMED</v>
          </cell>
          <cell r="L10" t="str">
            <v>Normal</v>
          </cell>
          <cell r="M10" t="str">
            <v>USA</v>
          </cell>
          <cell r="N10" t="str">
            <v>Connex</v>
          </cell>
          <cell r="O10" t="str">
            <v>Connex ProBP 3400</v>
          </cell>
          <cell r="P10" t="str">
            <v>100001600613</v>
          </cell>
          <cell r="Q10" t="str">
            <v>Not Applicable</v>
          </cell>
          <cell r="R10" t="str">
            <v>Welch Allyn Inc</v>
          </cell>
          <cell r="S10" t="str">
            <v>Welch Allyn Malaysia Sdn Bhd</v>
          </cell>
          <cell r="T10" t="str">
            <v>Functioning</v>
          </cell>
          <cell r="U10" t="str">
            <v>Asset</v>
          </cell>
          <cell r="V10">
            <v>4510</v>
          </cell>
          <cell r="W10" t="str">
            <v>KEW</v>
          </cell>
          <cell r="X10" t="str">
            <v>01/09/2010</v>
          </cell>
          <cell r="Y10" t="str">
            <v>KEW</v>
          </cell>
          <cell r="Z10" t="str">
            <v>16/08/2013</v>
          </cell>
          <cell r="AA10" t="str">
            <v>15/08/2015</v>
          </cell>
          <cell r="AB10" t="str">
            <v>No</v>
          </cell>
          <cell r="AC10" t="str">
            <v>31/08/2013</v>
          </cell>
          <cell r="AD10" t="str">
            <v>Good</v>
          </cell>
          <cell r="AE10" t="str">
            <v>V1 - Existing / No Claim</v>
          </cell>
          <cell r="AF10">
            <v>42235</v>
          </cell>
          <cell r="AG10">
            <v>9.17</v>
          </cell>
          <cell r="AH10" t="str">
            <v>PPM</v>
          </cell>
          <cell r="AI10" t="str">
            <v>strands</v>
          </cell>
          <cell r="AJ10" t="str">
            <v>Strands PW</v>
          </cell>
        </row>
        <row r="11">
          <cell r="A11" t="str">
            <v>IKN400920</v>
          </cell>
          <cell r="B11">
            <v>919</v>
          </cell>
          <cell r="C11" t="str">
            <v>Institut Kanser Negara</v>
          </cell>
          <cell r="E11" t="str">
            <v>11-134</v>
          </cell>
          <cell r="F11" t="str">
            <v>Defibrillators, External, Manual</v>
          </cell>
          <cell r="G11" t="str">
            <v>MC</v>
          </cell>
          <cell r="H11" t="str">
            <v>MULTI-DISCIPLINE CLINIC</v>
          </cell>
          <cell r="I11" t="str">
            <v>03MC124</v>
          </cell>
          <cell r="J11" t="str">
            <v>RESUS EQ. BAY</v>
          </cell>
          <cell r="K11" t="str">
            <v>BMED</v>
          </cell>
          <cell r="L11" t="str">
            <v>Critical</v>
          </cell>
          <cell r="M11" t="str">
            <v>USA</v>
          </cell>
          <cell r="N11" t="str">
            <v>Responder</v>
          </cell>
          <cell r="O11" t="str">
            <v>Responder 2000</v>
          </cell>
          <cell r="P11" t="str">
            <v>3206725</v>
          </cell>
          <cell r="Q11" t="str">
            <v>Not Applicable</v>
          </cell>
          <cell r="R11" t="str">
            <v>GE Medical Systems</v>
          </cell>
          <cell r="S11" t="str">
            <v>Antah Sir Radin Sdn. Bhd.</v>
          </cell>
          <cell r="T11" t="str">
            <v>Functioning</v>
          </cell>
          <cell r="U11" t="str">
            <v>Asset</v>
          </cell>
          <cell r="V11">
            <v>45000</v>
          </cell>
          <cell r="W11" t="str">
            <v>Estimate</v>
          </cell>
          <cell r="X11" t="str">
            <v>01/09/2010</v>
          </cell>
          <cell r="Y11" t="str">
            <v>KEW</v>
          </cell>
          <cell r="Z11" t="str">
            <v>16/08/2013</v>
          </cell>
          <cell r="AA11" t="str">
            <v>15/08/2015</v>
          </cell>
          <cell r="AB11" t="str">
            <v>No</v>
          </cell>
          <cell r="AC11" t="str">
            <v>31/08/2013</v>
          </cell>
          <cell r="AD11" t="str">
            <v>Good</v>
          </cell>
          <cell r="AE11" t="str">
            <v>V1 - Existing / No Claim</v>
          </cell>
          <cell r="AF11">
            <v>42605</v>
          </cell>
          <cell r="AG11">
            <v>9.17</v>
          </cell>
          <cell r="AH11" t="str">
            <v>PPM</v>
          </cell>
          <cell r="AI11" t="str">
            <v>Strands</v>
          </cell>
          <cell r="AJ11" t="str">
            <v>Strands PW</v>
          </cell>
          <cell r="AK11" t="str">
            <v>Crash Trolley (FEMS)</v>
          </cell>
        </row>
        <row r="12">
          <cell r="A12" t="str">
            <v>IKN400925</v>
          </cell>
          <cell r="B12">
            <v>924</v>
          </cell>
          <cell r="C12" t="str">
            <v>Institut Kanser Negara</v>
          </cell>
          <cell r="D12" t="str">
            <v>KKM/IKN/H/13/557</v>
          </cell>
          <cell r="E12" t="str">
            <v>16-231</v>
          </cell>
          <cell r="F12" t="str">
            <v>Electrocardiographs, Multichannel, Interpretative</v>
          </cell>
          <cell r="G12" t="str">
            <v>MC</v>
          </cell>
          <cell r="H12" t="str">
            <v>MULTI-DISCIPLINE CLINIC</v>
          </cell>
          <cell r="I12" t="str">
            <v>03MC107</v>
          </cell>
          <cell r="J12" t="str">
            <v>TREATMENT 1</v>
          </cell>
          <cell r="K12" t="str">
            <v>BMED</v>
          </cell>
          <cell r="L12" t="str">
            <v>Normal</v>
          </cell>
          <cell r="M12" t="str">
            <v>China</v>
          </cell>
          <cell r="N12" t="str">
            <v>Mac</v>
          </cell>
          <cell r="O12" t="str">
            <v>MAC 800</v>
          </cell>
          <cell r="P12" t="str">
            <v>SJ412450340 WA</v>
          </cell>
          <cell r="Q12" t="str">
            <v>Not Applicable</v>
          </cell>
          <cell r="R12" t="str">
            <v>GE Healthcare Systems</v>
          </cell>
          <cell r="S12" t="str">
            <v>GE Healthcare Technologies</v>
          </cell>
          <cell r="T12" t="str">
            <v>Functioning</v>
          </cell>
          <cell r="U12" t="str">
            <v>Asset</v>
          </cell>
          <cell r="V12">
            <v>25260</v>
          </cell>
          <cell r="W12" t="str">
            <v>KEW</v>
          </cell>
          <cell r="X12" t="str">
            <v>01/09/2010</v>
          </cell>
          <cell r="Y12" t="str">
            <v>KEW</v>
          </cell>
          <cell r="Z12" t="str">
            <v>16/08/2013</v>
          </cell>
          <cell r="AA12" t="str">
            <v>15/08/2015</v>
          </cell>
          <cell r="AB12" t="str">
            <v>No</v>
          </cell>
          <cell r="AC12" t="str">
            <v>31/08/2013</v>
          </cell>
          <cell r="AD12" t="str">
            <v>Good</v>
          </cell>
          <cell r="AE12" t="str">
            <v>V1 - Existing / No Claim</v>
          </cell>
          <cell r="AF12">
            <v>42235</v>
          </cell>
          <cell r="AG12">
            <v>9.17</v>
          </cell>
          <cell r="AH12" t="str">
            <v>PPM</v>
          </cell>
          <cell r="AI12" t="str">
            <v>Strands</v>
          </cell>
          <cell r="AJ12" t="str">
            <v>Strands PW</v>
          </cell>
        </row>
        <row r="13">
          <cell r="A13" t="str">
            <v>IKN400926</v>
          </cell>
          <cell r="B13">
            <v>925</v>
          </cell>
          <cell r="C13" t="str">
            <v>Institut Kanser Negara</v>
          </cell>
          <cell r="D13" t="str">
            <v>KKM/IKN/H/13/532</v>
          </cell>
          <cell r="E13" t="str">
            <v>12-282</v>
          </cell>
          <cell r="F13" t="str">
            <v>Lights, Surgical</v>
          </cell>
          <cell r="G13" t="str">
            <v>MC</v>
          </cell>
          <cell r="H13" t="str">
            <v>MULTI-DISCIPLINE CLINIC</v>
          </cell>
          <cell r="I13" t="str">
            <v>03MC118</v>
          </cell>
          <cell r="J13" t="str">
            <v>C/E 5</v>
          </cell>
          <cell r="K13" t="str">
            <v>BMED</v>
          </cell>
          <cell r="L13" t="str">
            <v>Critical</v>
          </cell>
          <cell r="M13" t="str">
            <v>USA</v>
          </cell>
          <cell r="N13" t="str">
            <v>Welch Allyn</v>
          </cell>
          <cell r="O13" t="str">
            <v>Welch Allyn GS600</v>
          </cell>
          <cell r="P13" t="str">
            <v>GS-600-06</v>
          </cell>
          <cell r="Q13" t="str">
            <v>Not Applicable</v>
          </cell>
          <cell r="R13" t="str">
            <v>Welch Allyn Inc</v>
          </cell>
          <cell r="S13" t="str">
            <v>Welch Allyn Malaysia Sdn Bhd</v>
          </cell>
          <cell r="T13" t="str">
            <v>Functioning</v>
          </cell>
          <cell r="U13" t="str">
            <v>Asset</v>
          </cell>
          <cell r="V13">
            <v>5050</v>
          </cell>
          <cell r="W13" t="str">
            <v>KEW</v>
          </cell>
          <cell r="X13" t="str">
            <v>01/09/2010</v>
          </cell>
          <cell r="Y13" t="str">
            <v>KEW</v>
          </cell>
          <cell r="Z13" t="str">
            <v>16/08/2013</v>
          </cell>
          <cell r="AA13" t="str">
            <v>15/08/2015</v>
          </cell>
          <cell r="AB13" t="str">
            <v>No</v>
          </cell>
          <cell r="AC13" t="str">
            <v>31/08/2013</v>
          </cell>
          <cell r="AD13" t="str">
            <v>Good</v>
          </cell>
          <cell r="AE13" t="str">
            <v>V1 - Existing / No Claim</v>
          </cell>
          <cell r="AF13">
            <v>42800</v>
          </cell>
          <cell r="AG13">
            <v>9.17</v>
          </cell>
          <cell r="AH13" t="str">
            <v>PPM</v>
          </cell>
          <cell r="AI13" t="str">
            <v>Strands</v>
          </cell>
          <cell r="AJ13" t="str">
            <v>Strands PW</v>
          </cell>
        </row>
        <row r="14">
          <cell r="A14" t="str">
            <v>IKN400927</v>
          </cell>
          <cell r="B14">
            <v>926</v>
          </cell>
          <cell r="C14" t="str">
            <v>Institut Kanser Negara</v>
          </cell>
          <cell r="D14" t="str">
            <v>KKM/IKN/H/13/534</v>
          </cell>
          <cell r="E14" t="str">
            <v>12-282</v>
          </cell>
          <cell r="F14" t="str">
            <v>Lights, Surgical</v>
          </cell>
          <cell r="G14" t="str">
            <v>MC</v>
          </cell>
          <cell r="H14" t="str">
            <v>MULTI-DISCIPLINE CLINIC</v>
          </cell>
          <cell r="I14" t="str">
            <v>04MC142</v>
          </cell>
          <cell r="K14" t="str">
            <v>BMED</v>
          </cell>
          <cell r="L14" t="str">
            <v>Critical</v>
          </cell>
          <cell r="M14" t="str">
            <v>USA</v>
          </cell>
          <cell r="N14" t="str">
            <v>Welch Allyn</v>
          </cell>
          <cell r="O14" t="str">
            <v>Welch Allyn GS600</v>
          </cell>
          <cell r="P14" t="str">
            <v>GS-600-07</v>
          </cell>
          <cell r="Q14" t="str">
            <v>Not Applicable</v>
          </cell>
          <cell r="R14" t="str">
            <v>Welch Allyn Inc</v>
          </cell>
          <cell r="S14" t="str">
            <v>Welch Allyn Malaysia Sdn Bhd</v>
          </cell>
          <cell r="T14" t="str">
            <v>Functioning</v>
          </cell>
          <cell r="U14" t="str">
            <v>Asset</v>
          </cell>
          <cell r="V14">
            <v>5050</v>
          </cell>
          <cell r="W14" t="str">
            <v>KEW</v>
          </cell>
          <cell r="X14" t="str">
            <v>01/09/2010</v>
          </cell>
          <cell r="Y14" t="str">
            <v>KEW</v>
          </cell>
          <cell r="Z14" t="str">
            <v>16/08/2013</v>
          </cell>
          <cell r="AA14" t="str">
            <v>15/08/2015</v>
          </cell>
          <cell r="AB14" t="str">
            <v>No</v>
          </cell>
          <cell r="AC14" t="str">
            <v>31/08/2013</v>
          </cell>
          <cell r="AD14" t="str">
            <v>Good</v>
          </cell>
          <cell r="AE14" t="str">
            <v>V1 - Existing / No Claim</v>
          </cell>
          <cell r="AF14">
            <v>42800</v>
          </cell>
          <cell r="AG14">
            <v>9.17</v>
          </cell>
          <cell r="AH14" t="str">
            <v>PPM</v>
          </cell>
          <cell r="AI14" t="str">
            <v>Strands</v>
          </cell>
          <cell r="AJ14" t="str">
            <v>Strands PW</v>
          </cell>
          <cell r="AK14" t="str">
            <v>[29/7/2024, Indira]: Change Location.</v>
          </cell>
        </row>
        <row r="15">
          <cell r="A15" t="str">
            <v>IKN400928</v>
          </cell>
          <cell r="B15">
            <v>927</v>
          </cell>
          <cell r="C15" t="str">
            <v>Institut Kanser Negara</v>
          </cell>
          <cell r="D15" t="str">
            <v>KKM/IKN/H/13/536</v>
          </cell>
          <cell r="E15" t="str">
            <v>12-282</v>
          </cell>
          <cell r="F15" t="str">
            <v>Lights, Surgical</v>
          </cell>
          <cell r="G15" t="str">
            <v>MC</v>
          </cell>
          <cell r="H15" t="str">
            <v>MULTI-DISCIPLINE CLINIC</v>
          </cell>
          <cell r="I15" t="str">
            <v>03MC121</v>
          </cell>
          <cell r="J15" t="str">
            <v>C/E 3</v>
          </cell>
          <cell r="K15" t="str">
            <v>BMED</v>
          </cell>
          <cell r="L15" t="str">
            <v>Critical</v>
          </cell>
          <cell r="M15" t="str">
            <v>USA</v>
          </cell>
          <cell r="N15" t="str">
            <v>Welch Allyn</v>
          </cell>
          <cell r="O15" t="str">
            <v>Welch Allyn GS600</v>
          </cell>
          <cell r="P15" t="str">
            <v>GS-600-08</v>
          </cell>
          <cell r="Q15" t="str">
            <v>Not Applicable</v>
          </cell>
          <cell r="R15" t="str">
            <v>Welch Allyn Inc</v>
          </cell>
          <cell r="S15" t="str">
            <v>Welch Allyn Malaysia Sdn Bhd</v>
          </cell>
          <cell r="T15" t="str">
            <v>Functioning</v>
          </cell>
          <cell r="U15" t="str">
            <v>Asset</v>
          </cell>
          <cell r="V15">
            <v>5050</v>
          </cell>
          <cell r="W15" t="str">
            <v>KEW</v>
          </cell>
          <cell r="X15" t="str">
            <v>01/09/2010</v>
          </cell>
          <cell r="Y15" t="str">
            <v>KEW</v>
          </cell>
          <cell r="Z15" t="str">
            <v>16/08/2013</v>
          </cell>
          <cell r="AA15" t="str">
            <v>15/08/2015</v>
          </cell>
          <cell r="AB15" t="str">
            <v>No</v>
          </cell>
          <cell r="AC15" t="str">
            <v>31/08/2013</v>
          </cell>
          <cell r="AD15" t="str">
            <v>Good</v>
          </cell>
          <cell r="AE15" t="str">
            <v>V1 - Existing / No Claim</v>
          </cell>
          <cell r="AF15">
            <v>42800</v>
          </cell>
          <cell r="AG15">
            <v>9.17</v>
          </cell>
          <cell r="AH15" t="str">
            <v>PPM</v>
          </cell>
          <cell r="AI15" t="str">
            <v>Strands</v>
          </cell>
          <cell r="AJ15" t="str">
            <v>Strands PW</v>
          </cell>
        </row>
        <row r="16">
          <cell r="A16" t="str">
            <v>IKN400929</v>
          </cell>
          <cell r="B16">
            <v>928</v>
          </cell>
          <cell r="C16" t="str">
            <v>Institut Kanser Negara</v>
          </cell>
          <cell r="D16" t="str">
            <v>KKM/IKN/H/13/537</v>
          </cell>
          <cell r="E16" t="str">
            <v>12-282</v>
          </cell>
          <cell r="F16" t="str">
            <v>Lights, Surgical</v>
          </cell>
          <cell r="G16" t="str">
            <v>MC</v>
          </cell>
          <cell r="H16" t="str">
            <v>MULTI-DISCIPLINE CLINIC</v>
          </cell>
          <cell r="I16" t="str">
            <v>03MC127</v>
          </cell>
          <cell r="J16" t="str">
            <v>C/E 1 (ENT)</v>
          </cell>
          <cell r="K16" t="str">
            <v>BMED</v>
          </cell>
          <cell r="L16" t="str">
            <v>Critical</v>
          </cell>
          <cell r="M16" t="str">
            <v>USA</v>
          </cell>
          <cell r="N16" t="str">
            <v>Welch Allyn</v>
          </cell>
          <cell r="O16" t="str">
            <v>Welch Allyn GS600</v>
          </cell>
          <cell r="P16" t="str">
            <v>GS-600-09</v>
          </cell>
          <cell r="Q16" t="str">
            <v>Not Applicable</v>
          </cell>
          <cell r="R16" t="str">
            <v>Welch Allyn Inc</v>
          </cell>
          <cell r="S16" t="str">
            <v>Welch Allyn Malaysia Sdn Bhd</v>
          </cell>
          <cell r="T16" t="str">
            <v>Functioning</v>
          </cell>
          <cell r="U16" t="str">
            <v>Asset</v>
          </cell>
          <cell r="V16">
            <v>5050</v>
          </cell>
          <cell r="W16" t="str">
            <v>KEW</v>
          </cell>
          <cell r="X16" t="str">
            <v>01/09/2010</v>
          </cell>
          <cell r="Y16" t="str">
            <v>KEW</v>
          </cell>
          <cell r="Z16" t="str">
            <v>16/08/2013</v>
          </cell>
          <cell r="AA16" t="str">
            <v>15/08/2015</v>
          </cell>
          <cell r="AB16" t="str">
            <v>No</v>
          </cell>
          <cell r="AC16" t="str">
            <v>31/08/2013</v>
          </cell>
          <cell r="AD16" t="str">
            <v>Good</v>
          </cell>
          <cell r="AE16" t="str">
            <v>V1 - Existing / No Claim</v>
          </cell>
          <cell r="AF16">
            <v>42800</v>
          </cell>
          <cell r="AG16">
            <v>9.17</v>
          </cell>
          <cell r="AH16" t="str">
            <v>PPM</v>
          </cell>
          <cell r="AI16" t="str">
            <v>Strands</v>
          </cell>
          <cell r="AJ16" t="str">
            <v>Strands PW</v>
          </cell>
        </row>
        <row r="17">
          <cell r="A17" t="str">
            <v>IKN400930</v>
          </cell>
          <cell r="B17">
            <v>929</v>
          </cell>
          <cell r="C17" t="str">
            <v>Institut Kanser Negara</v>
          </cell>
          <cell r="D17" t="str">
            <v>KKM/IKN/H/13/538</v>
          </cell>
          <cell r="E17" t="str">
            <v>12-282</v>
          </cell>
          <cell r="F17" t="str">
            <v>Lights, Surgical</v>
          </cell>
          <cell r="G17" t="str">
            <v>MC</v>
          </cell>
          <cell r="H17" t="str">
            <v>MULTI-DISCIPLINE CLINIC</v>
          </cell>
          <cell r="I17" t="str">
            <v>03MC128</v>
          </cell>
          <cell r="J17" t="str">
            <v>C/E 2</v>
          </cell>
          <cell r="K17" t="str">
            <v>BMED</v>
          </cell>
          <cell r="L17" t="str">
            <v>Critical</v>
          </cell>
          <cell r="M17" t="str">
            <v>USA</v>
          </cell>
          <cell r="N17" t="str">
            <v>Welch Allyn</v>
          </cell>
          <cell r="O17" t="str">
            <v>Welch Allyn GS600</v>
          </cell>
          <cell r="P17" t="str">
            <v>GS-600-10</v>
          </cell>
          <cell r="Q17" t="str">
            <v>Not Applicable</v>
          </cell>
          <cell r="R17" t="str">
            <v>Welch Allyn Inc</v>
          </cell>
          <cell r="S17" t="str">
            <v>Welch Allyn Malaysia Sdn Bhd</v>
          </cell>
          <cell r="T17" t="str">
            <v>Functioning</v>
          </cell>
          <cell r="U17" t="str">
            <v>Asset</v>
          </cell>
          <cell r="V17">
            <v>5050</v>
          </cell>
          <cell r="W17" t="str">
            <v>KEW</v>
          </cell>
          <cell r="X17" t="str">
            <v>01/09/2010</v>
          </cell>
          <cell r="Y17" t="str">
            <v>KEW</v>
          </cell>
          <cell r="Z17" t="str">
            <v>16/08/2013</v>
          </cell>
          <cell r="AA17" t="str">
            <v>15/08/2015</v>
          </cell>
          <cell r="AB17" t="str">
            <v>No</v>
          </cell>
          <cell r="AC17" t="str">
            <v>31/08/2013</v>
          </cell>
          <cell r="AD17" t="str">
            <v>Good</v>
          </cell>
          <cell r="AE17" t="str">
            <v>V1 - Existing / No Claim</v>
          </cell>
          <cell r="AF17">
            <v>42800</v>
          </cell>
          <cell r="AG17">
            <v>9.17</v>
          </cell>
          <cell r="AH17" t="str">
            <v>PPM</v>
          </cell>
          <cell r="AI17" t="str">
            <v>Strands</v>
          </cell>
          <cell r="AJ17" t="str">
            <v>Strands PW</v>
          </cell>
        </row>
        <row r="18">
          <cell r="A18" t="str">
            <v>IKN400931</v>
          </cell>
          <cell r="B18">
            <v>930</v>
          </cell>
          <cell r="C18" t="str">
            <v>Institut Kanser Negara</v>
          </cell>
          <cell r="D18" t="str">
            <v>KKM/IKN/H/13/574</v>
          </cell>
          <cell r="E18" t="str">
            <v>15-045</v>
          </cell>
          <cell r="F18" t="str">
            <v>Nebulizers, Nonheated</v>
          </cell>
          <cell r="G18" t="str">
            <v>MC</v>
          </cell>
          <cell r="H18" t="str">
            <v>MULTI-DISCIPLINE CLINIC</v>
          </cell>
          <cell r="I18" t="str">
            <v>03MC107</v>
          </cell>
          <cell r="J18" t="str">
            <v>TREATMENT 1</v>
          </cell>
          <cell r="K18" t="str">
            <v>BMED</v>
          </cell>
          <cell r="L18" t="str">
            <v>Normal</v>
          </cell>
          <cell r="M18" t="str">
            <v>Germany</v>
          </cell>
          <cell r="N18" t="str">
            <v>Pari Boy</v>
          </cell>
          <cell r="O18" t="str">
            <v>Pari Boy SX 085</v>
          </cell>
          <cell r="P18" t="str">
            <v>2W12F13800</v>
          </cell>
          <cell r="Q18" t="str">
            <v>Not Applicable</v>
          </cell>
          <cell r="R18" t="str">
            <v>Pari GmbH</v>
          </cell>
          <cell r="S18" t="str">
            <v>Welch Allyn Malaysia Sdn Bhd</v>
          </cell>
          <cell r="T18" t="str">
            <v>Functioning</v>
          </cell>
          <cell r="U18" t="str">
            <v>Asset</v>
          </cell>
          <cell r="V18">
            <v>1140</v>
          </cell>
          <cell r="W18" t="str">
            <v>KEW</v>
          </cell>
          <cell r="X18" t="str">
            <v>01/09/2010</v>
          </cell>
          <cell r="Y18" t="str">
            <v>KEW</v>
          </cell>
          <cell r="Z18" t="str">
            <v>16/08/2013</v>
          </cell>
          <cell r="AA18" t="str">
            <v>15/08/2015</v>
          </cell>
          <cell r="AB18" t="str">
            <v>No</v>
          </cell>
          <cell r="AC18" t="str">
            <v>31/08/2013</v>
          </cell>
          <cell r="AD18" t="str">
            <v>Good</v>
          </cell>
          <cell r="AE18" t="str">
            <v>V1 - Existing / No Claim</v>
          </cell>
          <cell r="AF18">
            <v>42235</v>
          </cell>
          <cell r="AG18">
            <v>9.17</v>
          </cell>
          <cell r="AH18" t="str">
            <v>PPM</v>
          </cell>
          <cell r="AI18" t="str">
            <v>Strands</v>
          </cell>
          <cell r="AJ18" t="str">
            <v>Strands PW</v>
          </cell>
        </row>
        <row r="19">
          <cell r="A19" t="str">
            <v>IKN400932</v>
          </cell>
          <cell r="B19">
            <v>931</v>
          </cell>
          <cell r="C19" t="str">
            <v>Institut Kanser Negara</v>
          </cell>
          <cell r="D19" t="str">
            <v>KKM/IKN/H/13/575</v>
          </cell>
          <cell r="E19" t="str">
            <v>15-045</v>
          </cell>
          <cell r="F19" t="str">
            <v>Nebulizers, Nonheated</v>
          </cell>
          <cell r="G19" t="str">
            <v>MC</v>
          </cell>
          <cell r="H19" t="str">
            <v>MULTI-DISCIPLINE CLINIC</v>
          </cell>
          <cell r="I19" t="str">
            <v>03MC107</v>
          </cell>
          <cell r="J19" t="str">
            <v>TREATMENT 1</v>
          </cell>
          <cell r="K19" t="str">
            <v>BMED</v>
          </cell>
          <cell r="L19" t="str">
            <v>Normal</v>
          </cell>
          <cell r="M19" t="str">
            <v>Germany</v>
          </cell>
          <cell r="N19" t="str">
            <v>Pari Boy</v>
          </cell>
          <cell r="O19" t="str">
            <v>Pari Boy SX 085</v>
          </cell>
          <cell r="P19" t="str">
            <v>2W12F13721</v>
          </cell>
          <cell r="Q19" t="str">
            <v>Not Applicable</v>
          </cell>
          <cell r="R19" t="str">
            <v>Pari GmbH</v>
          </cell>
          <cell r="S19" t="str">
            <v>Welch Allyn Malaysia Sdn Bhd</v>
          </cell>
          <cell r="T19" t="str">
            <v>Functioning</v>
          </cell>
          <cell r="U19" t="str">
            <v>Asset</v>
          </cell>
          <cell r="V19">
            <v>1140</v>
          </cell>
          <cell r="W19" t="str">
            <v>KEW</v>
          </cell>
          <cell r="X19" t="str">
            <v>01/09/2010</v>
          </cell>
          <cell r="Y19" t="str">
            <v>KEW</v>
          </cell>
          <cell r="Z19" t="str">
            <v>16/08/2013</v>
          </cell>
          <cell r="AA19" t="str">
            <v>15/08/2015</v>
          </cell>
          <cell r="AB19" t="str">
            <v>No</v>
          </cell>
          <cell r="AC19" t="str">
            <v>31/08/2013</v>
          </cell>
          <cell r="AD19" t="str">
            <v>Good</v>
          </cell>
          <cell r="AE19" t="str">
            <v>V1 - Existing / No Claim</v>
          </cell>
          <cell r="AF19">
            <v>42235</v>
          </cell>
          <cell r="AG19">
            <v>9.17</v>
          </cell>
          <cell r="AH19" t="str">
            <v>PPM</v>
          </cell>
          <cell r="AI19" t="str">
            <v>Strands</v>
          </cell>
          <cell r="AJ19" t="str">
            <v>Strands PW</v>
          </cell>
        </row>
        <row r="20">
          <cell r="A20" t="str">
            <v>IKN400934</v>
          </cell>
          <cell r="B20">
            <v>933</v>
          </cell>
          <cell r="C20" t="str">
            <v>Institut Kanser Negara</v>
          </cell>
          <cell r="D20" t="str">
            <v>KKM/IKN/I/13/5684</v>
          </cell>
          <cell r="E20" t="str">
            <v>16-173</v>
          </cell>
          <cell r="F20" t="str">
            <v>Sphygmomanometers, Electronic, Automatic</v>
          </cell>
          <cell r="G20" t="str">
            <v>MC</v>
          </cell>
          <cell r="H20" t="str">
            <v>MULTI-DISCIPLINE CLINIC</v>
          </cell>
          <cell r="I20" t="str">
            <v>03MC107</v>
          </cell>
          <cell r="J20" t="str">
            <v>TREATMENT 1</v>
          </cell>
          <cell r="K20" t="str">
            <v>BMED</v>
          </cell>
          <cell r="L20" t="str">
            <v>Critical</v>
          </cell>
          <cell r="M20" t="str">
            <v>USA</v>
          </cell>
          <cell r="N20" t="str">
            <v>Connex</v>
          </cell>
          <cell r="O20" t="str">
            <v>Connex ProBP 3400</v>
          </cell>
          <cell r="P20" t="str">
            <v>100000860413</v>
          </cell>
          <cell r="Q20" t="str">
            <v>Not Applicable</v>
          </cell>
          <cell r="R20" t="str">
            <v>Welch Allyn Inc</v>
          </cell>
          <cell r="S20" t="str">
            <v>Welch Allyn Malaysia Sdn Bhd</v>
          </cell>
          <cell r="T20" t="str">
            <v>Functioning</v>
          </cell>
          <cell r="U20" t="str">
            <v>Asset</v>
          </cell>
          <cell r="V20">
            <v>336</v>
          </cell>
          <cell r="W20" t="str">
            <v>KEW</v>
          </cell>
          <cell r="X20" t="str">
            <v>01/09/2010</v>
          </cell>
          <cell r="Y20" t="str">
            <v>KEW</v>
          </cell>
          <cell r="Z20" t="str">
            <v>16/08/2013</v>
          </cell>
          <cell r="AA20" t="str">
            <v>15/08/2015</v>
          </cell>
          <cell r="AB20" t="str">
            <v>No</v>
          </cell>
          <cell r="AC20" t="str">
            <v>31/08/2013</v>
          </cell>
          <cell r="AD20" t="str">
            <v>Good</v>
          </cell>
          <cell r="AE20" t="str">
            <v>V1 - Existing / No Claim</v>
          </cell>
          <cell r="AF20">
            <v>42799</v>
          </cell>
          <cell r="AG20">
            <v>9.17</v>
          </cell>
          <cell r="AH20" t="str">
            <v>PPM</v>
          </cell>
          <cell r="AI20" t="str">
            <v>Strands</v>
          </cell>
          <cell r="AJ20" t="str">
            <v>Strands PW</v>
          </cell>
        </row>
        <row r="21">
          <cell r="A21" t="str">
            <v>IKN400935</v>
          </cell>
          <cell r="B21">
            <v>934</v>
          </cell>
          <cell r="C21" t="str">
            <v>Institut Kanser Negara</v>
          </cell>
          <cell r="D21" t="str">
            <v>KKM/IKN/I/13/5683</v>
          </cell>
          <cell r="E21" t="str">
            <v>16-173</v>
          </cell>
          <cell r="F21" t="str">
            <v>Sphygmomanometers, Electronic, Automatic</v>
          </cell>
          <cell r="G21" t="str">
            <v>MC</v>
          </cell>
          <cell r="H21" t="str">
            <v>MULTI-DISCIPLINE CLINIC</v>
          </cell>
          <cell r="I21" t="str">
            <v>03MC119</v>
          </cell>
          <cell r="J21" t="str">
            <v>C/E 4</v>
          </cell>
          <cell r="K21" t="str">
            <v>BMED</v>
          </cell>
          <cell r="L21" t="str">
            <v>Critical</v>
          </cell>
          <cell r="M21" t="str">
            <v>USA</v>
          </cell>
          <cell r="N21" t="str">
            <v>Connex</v>
          </cell>
          <cell r="O21" t="str">
            <v>Connex ProBP 3400</v>
          </cell>
          <cell r="P21" t="str">
            <v>100000660313</v>
          </cell>
          <cell r="Q21" t="str">
            <v>Not Applicable</v>
          </cell>
          <cell r="R21" t="str">
            <v>Welch Allyn Inc</v>
          </cell>
          <cell r="S21" t="str">
            <v>Welch Allyn Malaysia Sdn Bhd</v>
          </cell>
          <cell r="T21" t="str">
            <v>Functioning</v>
          </cell>
          <cell r="U21" t="str">
            <v>Asset</v>
          </cell>
          <cell r="V21">
            <v>336</v>
          </cell>
          <cell r="W21" t="str">
            <v>KEW</v>
          </cell>
          <cell r="X21" t="str">
            <v>01/09/2010</v>
          </cell>
          <cell r="Y21" t="str">
            <v>KEW</v>
          </cell>
          <cell r="Z21" t="str">
            <v>16/08/2013</v>
          </cell>
          <cell r="AA21" t="str">
            <v>15/08/2015</v>
          </cell>
          <cell r="AB21" t="str">
            <v>No</v>
          </cell>
          <cell r="AC21" t="str">
            <v>31/08/2013</v>
          </cell>
          <cell r="AD21" t="str">
            <v>Good</v>
          </cell>
          <cell r="AE21" t="str">
            <v>V1 - Existing / No Claim</v>
          </cell>
          <cell r="AF21">
            <v>42800</v>
          </cell>
          <cell r="AG21">
            <v>9.17</v>
          </cell>
          <cell r="AH21" t="str">
            <v>PPM</v>
          </cell>
          <cell r="AI21" t="str">
            <v>Strands</v>
          </cell>
          <cell r="AJ21" t="str">
            <v>Strands PW</v>
          </cell>
        </row>
        <row r="22">
          <cell r="A22" t="str">
            <v>IKN400936</v>
          </cell>
          <cell r="B22">
            <v>935</v>
          </cell>
          <cell r="C22" t="str">
            <v>Institut Kanser Negara</v>
          </cell>
          <cell r="D22" t="str">
            <v>KKM/IKN/I/13/5681</v>
          </cell>
          <cell r="E22" t="str">
            <v>16-173</v>
          </cell>
          <cell r="F22" t="str">
            <v>Sphygmomanometers, Electronic, Automatic</v>
          </cell>
          <cell r="G22" t="str">
            <v>MC</v>
          </cell>
          <cell r="H22" t="str">
            <v>MULTI-DISCIPLINE CLINIC</v>
          </cell>
          <cell r="I22" t="str">
            <v>03MC121</v>
          </cell>
          <cell r="J22" t="str">
            <v>C/E 3</v>
          </cell>
          <cell r="K22" t="str">
            <v>BMED</v>
          </cell>
          <cell r="L22" t="str">
            <v>Critical</v>
          </cell>
          <cell r="M22" t="str">
            <v>USA</v>
          </cell>
          <cell r="N22" t="str">
            <v>Connex</v>
          </cell>
          <cell r="O22" t="str">
            <v>Connex ProBP 3400</v>
          </cell>
          <cell r="P22" t="str">
            <v>100003020413</v>
          </cell>
          <cell r="Q22" t="str">
            <v>Not Applicable</v>
          </cell>
          <cell r="R22" t="str">
            <v>Welch Allyn Inc</v>
          </cell>
          <cell r="S22" t="str">
            <v>Welch Allyn Malaysia Sdn Bhd</v>
          </cell>
          <cell r="T22" t="str">
            <v>Functioning</v>
          </cell>
          <cell r="U22" t="str">
            <v>Asset</v>
          </cell>
          <cell r="V22">
            <v>336</v>
          </cell>
          <cell r="W22" t="str">
            <v>KEW</v>
          </cell>
          <cell r="X22" t="str">
            <v>01/09/2010</v>
          </cell>
          <cell r="Y22" t="str">
            <v>KEW</v>
          </cell>
          <cell r="Z22" t="str">
            <v>16/08/2013</v>
          </cell>
          <cell r="AA22" t="str">
            <v>15/08/2015</v>
          </cell>
          <cell r="AB22" t="str">
            <v>No</v>
          </cell>
          <cell r="AC22" t="str">
            <v>31/08/2013</v>
          </cell>
          <cell r="AD22" t="str">
            <v>Good</v>
          </cell>
          <cell r="AE22" t="str">
            <v>V1 - Existing / No Claim</v>
          </cell>
          <cell r="AF22">
            <v>42800</v>
          </cell>
          <cell r="AG22">
            <v>9.17</v>
          </cell>
          <cell r="AH22" t="str">
            <v>PPM</v>
          </cell>
          <cell r="AI22" t="str">
            <v>Strands</v>
          </cell>
          <cell r="AJ22" t="str">
            <v>Strands PW</v>
          </cell>
        </row>
        <row r="23">
          <cell r="A23" t="str">
            <v>IKN400937</v>
          </cell>
          <cell r="B23">
            <v>936</v>
          </cell>
          <cell r="C23" t="str">
            <v>Institut Kanser Negara</v>
          </cell>
          <cell r="D23" t="str">
            <v>KKM/IKN/I/13/5682</v>
          </cell>
          <cell r="E23" t="str">
            <v>16-173</v>
          </cell>
          <cell r="F23" t="str">
            <v>Sphygmomanometers, Electronic, Automatic</v>
          </cell>
          <cell r="G23" t="str">
            <v>MC</v>
          </cell>
          <cell r="H23" t="str">
            <v>MULTI-DISCIPLINE CLINIC</v>
          </cell>
          <cell r="I23" t="str">
            <v>03MC127</v>
          </cell>
          <cell r="J23" t="str">
            <v>C/E 1 (ENT)</v>
          </cell>
          <cell r="K23" t="str">
            <v>BMED</v>
          </cell>
          <cell r="L23" t="str">
            <v>Critical</v>
          </cell>
          <cell r="M23" t="str">
            <v>USA</v>
          </cell>
          <cell r="N23" t="str">
            <v>Connex</v>
          </cell>
          <cell r="O23" t="str">
            <v>Connex ProBP 3400</v>
          </cell>
          <cell r="P23" t="str">
            <v>100001980413</v>
          </cell>
          <cell r="Q23" t="str">
            <v>Not Applicable</v>
          </cell>
          <cell r="R23" t="str">
            <v>Welch Allyn Inc</v>
          </cell>
          <cell r="S23" t="str">
            <v>Welch Allyn Malaysia Sdn Bhd</v>
          </cell>
          <cell r="T23" t="str">
            <v>Functioning</v>
          </cell>
          <cell r="U23" t="str">
            <v>Asset</v>
          </cell>
          <cell r="V23">
            <v>336</v>
          </cell>
          <cell r="W23" t="str">
            <v>KEW</v>
          </cell>
          <cell r="X23" t="str">
            <v>01/09/2010</v>
          </cell>
          <cell r="Y23" t="str">
            <v>KEW</v>
          </cell>
          <cell r="Z23" t="str">
            <v>16/08/2013</v>
          </cell>
          <cell r="AA23" t="str">
            <v>15/08/2015</v>
          </cell>
          <cell r="AB23" t="str">
            <v>No</v>
          </cell>
          <cell r="AC23" t="str">
            <v>31/08/2013</v>
          </cell>
          <cell r="AD23" t="str">
            <v>Good</v>
          </cell>
          <cell r="AE23" t="str">
            <v>V1 - Existing / No Claim</v>
          </cell>
          <cell r="AF23">
            <v>42800</v>
          </cell>
          <cell r="AG23">
            <v>9.17</v>
          </cell>
          <cell r="AH23" t="str">
            <v>PPM</v>
          </cell>
          <cell r="AI23" t="str">
            <v>Strands</v>
          </cell>
          <cell r="AJ23" t="str">
            <v>Strands PW</v>
          </cell>
        </row>
        <row r="24">
          <cell r="A24" t="str">
            <v>IKN400938</v>
          </cell>
          <cell r="B24">
            <v>937</v>
          </cell>
          <cell r="C24" t="str">
            <v>Institut Kanser Negara</v>
          </cell>
          <cell r="D24" t="str">
            <v>KKM/IKN/I/13/5680</v>
          </cell>
          <cell r="E24" t="str">
            <v>16-173</v>
          </cell>
          <cell r="F24" t="str">
            <v>Sphygmomanometers, Electronic, Automatic</v>
          </cell>
          <cell r="G24" t="str">
            <v>MC</v>
          </cell>
          <cell r="H24" t="str">
            <v>MULTI-DISCIPLINE CLINIC</v>
          </cell>
          <cell r="I24" t="str">
            <v>03MC128</v>
          </cell>
          <cell r="J24" t="str">
            <v>C/E 2</v>
          </cell>
          <cell r="K24" t="str">
            <v>BMED</v>
          </cell>
          <cell r="L24" t="str">
            <v>Critical</v>
          </cell>
          <cell r="M24" t="str">
            <v>USA</v>
          </cell>
          <cell r="N24" t="str">
            <v>Connex</v>
          </cell>
          <cell r="O24" t="str">
            <v>Connex ProBP 3400</v>
          </cell>
          <cell r="P24" t="str">
            <v>100000880313</v>
          </cell>
          <cell r="Q24" t="str">
            <v>Not Applicable</v>
          </cell>
          <cell r="R24" t="str">
            <v>Welch Allyn Inc</v>
          </cell>
          <cell r="S24" t="str">
            <v>Welch Allyn Malaysia Sdn Bhd</v>
          </cell>
          <cell r="T24" t="str">
            <v>Functioning</v>
          </cell>
          <cell r="U24" t="str">
            <v>Asset</v>
          </cell>
          <cell r="V24">
            <v>336</v>
          </cell>
          <cell r="W24" t="str">
            <v>KEW</v>
          </cell>
          <cell r="X24" t="str">
            <v>01/09/2010</v>
          </cell>
          <cell r="Y24" t="str">
            <v>KEW</v>
          </cell>
          <cell r="Z24" t="str">
            <v>16/08/2013</v>
          </cell>
          <cell r="AA24" t="str">
            <v>15/08/2015</v>
          </cell>
          <cell r="AB24" t="str">
            <v>No</v>
          </cell>
          <cell r="AC24" t="str">
            <v>31/08/2013</v>
          </cell>
          <cell r="AD24" t="str">
            <v>Good</v>
          </cell>
          <cell r="AE24" t="str">
            <v>V1 - Existing / No Claim</v>
          </cell>
          <cell r="AF24">
            <v>42800</v>
          </cell>
          <cell r="AG24">
            <v>9.17</v>
          </cell>
          <cell r="AH24" t="str">
            <v>PPM</v>
          </cell>
          <cell r="AI24" t="str">
            <v>Strands</v>
          </cell>
          <cell r="AJ24" t="str">
            <v>Strands PW</v>
          </cell>
        </row>
        <row r="25">
          <cell r="A25" t="str">
            <v>IKN400940</v>
          </cell>
          <cell r="B25">
            <v>939</v>
          </cell>
          <cell r="C25" t="str">
            <v>Institut Kanser Negara</v>
          </cell>
          <cell r="E25" t="str">
            <v>16-156</v>
          </cell>
          <cell r="F25" t="str">
            <v>Sphygmomanometers, Aneroid</v>
          </cell>
          <cell r="G25" t="str">
            <v>MC</v>
          </cell>
          <cell r="H25" t="str">
            <v>MULTI-DISCIPLINE CLINIC</v>
          </cell>
          <cell r="I25" t="str">
            <v>03MC127</v>
          </cell>
          <cell r="J25" t="str">
            <v>C/E 1 (ENT)</v>
          </cell>
          <cell r="K25" t="str">
            <v>BMED</v>
          </cell>
          <cell r="L25" t="str">
            <v>Normal</v>
          </cell>
          <cell r="M25" t="str">
            <v>Germany</v>
          </cell>
          <cell r="N25" t="str">
            <v>Erka</v>
          </cell>
          <cell r="O25" t="str">
            <v>D-83646</v>
          </cell>
          <cell r="P25" t="str">
            <v>13400144</v>
          </cell>
          <cell r="Q25" t="str">
            <v>Not Applicable</v>
          </cell>
          <cell r="R25" t="str">
            <v>Erka GmbH &amp; Co</v>
          </cell>
          <cell r="S25" t="str">
            <v>Acucare Systems (M) Sdn bhd</v>
          </cell>
          <cell r="T25" t="str">
            <v>Functioning</v>
          </cell>
          <cell r="U25" t="str">
            <v>Asset</v>
          </cell>
          <cell r="V25">
            <v>505</v>
          </cell>
          <cell r="W25" t="str">
            <v>KEW</v>
          </cell>
          <cell r="X25" t="str">
            <v>01/09/2010</v>
          </cell>
          <cell r="Y25" t="str">
            <v>KEW</v>
          </cell>
          <cell r="Z25" t="str">
            <v>16/08/2013</v>
          </cell>
          <cell r="AA25" t="str">
            <v>15/08/2015</v>
          </cell>
          <cell r="AB25" t="str">
            <v>No</v>
          </cell>
          <cell r="AC25" t="str">
            <v>31/08/2013</v>
          </cell>
          <cell r="AD25" t="str">
            <v>Good</v>
          </cell>
          <cell r="AE25" t="str">
            <v>V1 - Existing / No Claim</v>
          </cell>
          <cell r="AF25">
            <v>42832</v>
          </cell>
          <cell r="AG25">
            <v>9.17</v>
          </cell>
          <cell r="AH25" t="str">
            <v>PPM</v>
          </cell>
          <cell r="AI25" t="str">
            <v>Not in contract</v>
          </cell>
          <cell r="AJ25" t="str">
            <v>Strands PW</v>
          </cell>
        </row>
        <row r="26">
          <cell r="A26" t="str">
            <v>IKN400941</v>
          </cell>
          <cell r="B26">
            <v>940</v>
          </cell>
          <cell r="C26" t="str">
            <v>Institut Kanser Negara</v>
          </cell>
          <cell r="D26" t="str">
            <v>KKM/IKN/H/13/2486</v>
          </cell>
          <cell r="E26" t="str">
            <v>11-585</v>
          </cell>
          <cell r="F26" t="str">
            <v>Ear/Nose/Throat Treatment Units</v>
          </cell>
          <cell r="G26" t="str">
            <v>MC</v>
          </cell>
          <cell r="H26" t="str">
            <v>MULTI-DISCIPLINE CLINIC</v>
          </cell>
          <cell r="I26" t="str">
            <v>03MC127</v>
          </cell>
          <cell r="J26" t="str">
            <v>C/E 1 (ENT)</v>
          </cell>
          <cell r="K26" t="str">
            <v>BMED</v>
          </cell>
          <cell r="L26" t="str">
            <v>Normal</v>
          </cell>
          <cell r="M26" t="str">
            <v>Germany</v>
          </cell>
          <cell r="N26" t="str">
            <v>Atmos</v>
          </cell>
          <cell r="O26" t="str">
            <v>Atmos C31</v>
          </cell>
          <cell r="P26" t="str">
            <v>030044554-101360-2012-12</v>
          </cell>
          <cell r="Q26" t="str">
            <v>Not Applicable</v>
          </cell>
          <cell r="R26" t="str">
            <v>Atmos Medizintechnik GmbH &amp; Co KG</v>
          </cell>
          <cell r="S26" t="str">
            <v>Atmos Medizintechnik (M) Sdn Bhd</v>
          </cell>
          <cell r="T26" t="str">
            <v>Functioning</v>
          </cell>
          <cell r="U26" t="str">
            <v>Asset</v>
          </cell>
          <cell r="W26" t="str">
            <v>Estimate</v>
          </cell>
          <cell r="X26" t="str">
            <v>01/09/2010</v>
          </cell>
          <cell r="Y26" t="str">
            <v>KEW</v>
          </cell>
          <cell r="Z26" t="str">
            <v>16/08/2013</v>
          </cell>
          <cell r="AA26" t="str">
            <v>15/08/2015</v>
          </cell>
          <cell r="AB26" t="str">
            <v>No</v>
          </cell>
          <cell r="AC26" t="str">
            <v>31/08/2013</v>
          </cell>
          <cell r="AD26" t="str">
            <v>Good</v>
          </cell>
          <cell r="AE26" t="str">
            <v>V1 - Existing / No Claim</v>
          </cell>
          <cell r="AF26">
            <v>42800</v>
          </cell>
          <cell r="AG26">
            <v>9.17</v>
          </cell>
          <cell r="AH26" t="str">
            <v>PPM</v>
          </cell>
          <cell r="AI26" t="str">
            <v>Strands</v>
          </cell>
          <cell r="AJ26" t="str">
            <v>Strands Package</v>
          </cell>
          <cell r="AK26" t="str">
            <v>Pecah Kewpa. Complement with IKN402031. Package Code ZE0001. [28/12/2023, HIDAYAH]: CURRENT LOC NM.</v>
          </cell>
        </row>
        <row r="27">
          <cell r="A27" t="str">
            <v>IKN400942</v>
          </cell>
          <cell r="B27">
            <v>941</v>
          </cell>
          <cell r="C27" t="str">
            <v>Institut Kanser Negara</v>
          </cell>
          <cell r="D27" t="str">
            <v>KKM/IKN/H/13/320</v>
          </cell>
          <cell r="E27" t="str">
            <v>10-960</v>
          </cell>
          <cell r="F27" t="str">
            <v>Colposcopes</v>
          </cell>
          <cell r="G27" t="str">
            <v>MC</v>
          </cell>
          <cell r="H27" t="str">
            <v>MULTI-DISCIPLINE CLINIC</v>
          </cell>
          <cell r="I27" t="str">
            <v>03MC127</v>
          </cell>
          <cell r="J27" t="str">
            <v>C/E 1 (ENT)</v>
          </cell>
          <cell r="K27" t="str">
            <v>BMED</v>
          </cell>
          <cell r="L27" t="str">
            <v>Normal</v>
          </cell>
          <cell r="M27" t="str">
            <v>Japan</v>
          </cell>
          <cell r="N27" t="str">
            <v>Olympus</v>
          </cell>
          <cell r="O27" t="str">
            <v>Olympus OCS-500</v>
          </cell>
          <cell r="P27" t="str">
            <v>110342</v>
          </cell>
          <cell r="Q27" t="str">
            <v>Not Applicable</v>
          </cell>
          <cell r="R27" t="str">
            <v>Olympus Optical Co Ltd</v>
          </cell>
          <cell r="S27" t="str">
            <v>Endodynamics</v>
          </cell>
          <cell r="T27" t="str">
            <v>Functioning</v>
          </cell>
          <cell r="U27" t="str">
            <v>Asset</v>
          </cell>
          <cell r="V27">
            <v>155820</v>
          </cell>
          <cell r="W27" t="str">
            <v>KEW</v>
          </cell>
          <cell r="X27" t="str">
            <v>01/09/2010</v>
          </cell>
          <cell r="Y27" t="str">
            <v>KEW</v>
          </cell>
          <cell r="Z27" t="str">
            <v>16/08/2013</v>
          </cell>
          <cell r="AA27" t="str">
            <v>15/08/2015</v>
          </cell>
          <cell r="AB27" t="str">
            <v>No</v>
          </cell>
          <cell r="AC27" t="str">
            <v>31/08/2013</v>
          </cell>
          <cell r="AD27" t="str">
            <v>Good</v>
          </cell>
          <cell r="AE27" t="str">
            <v>V1 - Existing / No Claim</v>
          </cell>
          <cell r="AF27">
            <v>42235</v>
          </cell>
          <cell r="AG27">
            <v>9.17</v>
          </cell>
          <cell r="AH27" t="str">
            <v>PPM</v>
          </cell>
          <cell r="AI27" t="str">
            <v>Strands</v>
          </cell>
          <cell r="AJ27" t="str">
            <v>Strands Package</v>
          </cell>
          <cell r="AK27" t="str">
            <v>Package Code EN0028</v>
          </cell>
        </row>
        <row r="28">
          <cell r="A28" t="str">
            <v>IKN400943</v>
          </cell>
          <cell r="B28">
            <v>942</v>
          </cell>
          <cell r="C28" t="str">
            <v>Institut Kanser Negara</v>
          </cell>
          <cell r="E28" t="str">
            <v>12-343</v>
          </cell>
          <cell r="F28" t="str">
            <v>Light Sources, Fiberoptic, Flexible Endoscopic</v>
          </cell>
          <cell r="G28" t="str">
            <v>MC</v>
          </cell>
          <cell r="H28" t="str">
            <v>MULTI-DISCIPLINE CLINIC</v>
          </cell>
          <cell r="I28" t="str">
            <v>03MC127</v>
          </cell>
          <cell r="J28" t="str">
            <v>C/E 1 (ENT)</v>
          </cell>
          <cell r="K28" t="str">
            <v>BMED</v>
          </cell>
          <cell r="L28" t="str">
            <v>Normal</v>
          </cell>
          <cell r="M28" t="str">
            <v>Japan</v>
          </cell>
          <cell r="N28" t="str">
            <v>Olympus</v>
          </cell>
          <cell r="O28" t="str">
            <v>Olympus CLH-250</v>
          </cell>
          <cell r="P28" t="str">
            <v>7232991</v>
          </cell>
          <cell r="Q28" t="str">
            <v>Not Applicable</v>
          </cell>
          <cell r="R28" t="str">
            <v>Olympus Optical Co Ltd</v>
          </cell>
          <cell r="S28" t="str">
            <v>Endodynamics</v>
          </cell>
          <cell r="T28" t="str">
            <v>Functioning</v>
          </cell>
          <cell r="U28" t="str">
            <v>Asset</v>
          </cell>
          <cell r="V28">
            <v>38575</v>
          </cell>
          <cell r="W28" t="str">
            <v>KEW</v>
          </cell>
          <cell r="X28" t="str">
            <v>01/09/2010</v>
          </cell>
          <cell r="Y28" t="str">
            <v>KEW</v>
          </cell>
          <cell r="Z28" t="str">
            <v>16/08/2013</v>
          </cell>
          <cell r="AA28" t="str">
            <v>15/08/2015</v>
          </cell>
          <cell r="AB28" t="str">
            <v>No</v>
          </cell>
          <cell r="AC28" t="str">
            <v>31/08/2013</v>
          </cell>
          <cell r="AD28" t="str">
            <v>Good</v>
          </cell>
          <cell r="AE28" t="str">
            <v>V1 - Existing / No Claim</v>
          </cell>
          <cell r="AF28">
            <v>42800</v>
          </cell>
          <cell r="AG28">
            <v>9.17</v>
          </cell>
          <cell r="AH28" t="str">
            <v>PPM</v>
          </cell>
          <cell r="AI28" t="str">
            <v>Strands</v>
          </cell>
          <cell r="AJ28" t="str">
            <v>Strands Package</v>
          </cell>
          <cell r="AK28" t="str">
            <v>Package Code EN0028</v>
          </cell>
        </row>
        <row r="29">
          <cell r="A29" t="str">
            <v>IKN400944</v>
          </cell>
          <cell r="B29">
            <v>943</v>
          </cell>
          <cell r="C29" t="str">
            <v>Institut Kanser Negara</v>
          </cell>
          <cell r="E29" t="str">
            <v>15-967</v>
          </cell>
          <cell r="F29" t="str">
            <v>Television Systems, Endoscope</v>
          </cell>
          <cell r="G29" t="str">
            <v>MC</v>
          </cell>
          <cell r="H29" t="str">
            <v>MULTI-DISCIPLINE CLINIC</v>
          </cell>
          <cell r="I29" t="str">
            <v>03MC127</v>
          </cell>
          <cell r="J29" t="str">
            <v>C/E 1 (ENT)</v>
          </cell>
          <cell r="K29" t="str">
            <v>BMED</v>
          </cell>
          <cell r="L29" t="str">
            <v>Normal</v>
          </cell>
          <cell r="M29" t="str">
            <v>JAPAN</v>
          </cell>
          <cell r="N29" t="str">
            <v>Olympus</v>
          </cell>
          <cell r="O29" t="str">
            <v>Olympus OEV261H</v>
          </cell>
          <cell r="P29" t="str">
            <v>7245440</v>
          </cell>
          <cell r="Q29" t="str">
            <v>Not Applicable</v>
          </cell>
          <cell r="R29" t="str">
            <v>Olympus Medical Systems Corp</v>
          </cell>
          <cell r="S29" t="str">
            <v>Endodynamics</v>
          </cell>
          <cell r="T29" t="str">
            <v>Functioning</v>
          </cell>
          <cell r="U29" t="str">
            <v>Asset</v>
          </cell>
          <cell r="V29">
            <v>20000</v>
          </cell>
          <cell r="W29" t="str">
            <v>Estimate</v>
          </cell>
          <cell r="X29" t="str">
            <v>01/09/2010</v>
          </cell>
          <cell r="Y29" t="str">
            <v>KEW</v>
          </cell>
          <cell r="Z29" t="str">
            <v>16/08/2013</v>
          </cell>
          <cell r="AA29" t="str">
            <v>15/08/2015</v>
          </cell>
          <cell r="AB29" t="str">
            <v>No</v>
          </cell>
          <cell r="AC29" t="str">
            <v>31/08/2013</v>
          </cell>
          <cell r="AD29" t="str">
            <v>Good</v>
          </cell>
          <cell r="AE29" t="str">
            <v>V1 - Existing / No Claim</v>
          </cell>
          <cell r="AF29">
            <v>42605</v>
          </cell>
          <cell r="AG29">
            <v>9.17</v>
          </cell>
          <cell r="AH29" t="str">
            <v>RI</v>
          </cell>
          <cell r="AI29" t="str">
            <v>package</v>
          </cell>
          <cell r="AJ29" t="str">
            <v>Strands Package</v>
          </cell>
          <cell r="AK29" t="str">
            <v>IKNB03MC127</v>
          </cell>
        </row>
        <row r="30">
          <cell r="A30" t="str">
            <v>IKN400945</v>
          </cell>
          <cell r="B30">
            <v>944</v>
          </cell>
          <cell r="C30" t="str">
            <v>Institut Kanser Negara</v>
          </cell>
          <cell r="E30" t="str">
            <v>13-274</v>
          </cell>
          <cell r="F30" t="str">
            <v>Recorders, Tape, Video</v>
          </cell>
          <cell r="G30" t="str">
            <v>MC</v>
          </cell>
          <cell r="H30" t="str">
            <v>MULTI-DISCIPLINE CLINIC</v>
          </cell>
          <cell r="I30" t="str">
            <v>03MC127</v>
          </cell>
          <cell r="J30" t="str">
            <v>C/E 1 (ENT)</v>
          </cell>
          <cell r="K30" t="str">
            <v>BMED</v>
          </cell>
          <cell r="L30" t="str">
            <v>Normal</v>
          </cell>
          <cell r="M30" t="str">
            <v>China</v>
          </cell>
          <cell r="N30" t="str">
            <v>Sony</v>
          </cell>
          <cell r="O30" t="str">
            <v>Sony DVD-1000MD</v>
          </cell>
          <cell r="P30" t="str">
            <v>35240</v>
          </cell>
          <cell r="Q30" t="str">
            <v>Not Applicable</v>
          </cell>
          <cell r="R30" t="str">
            <v>Sony Corp</v>
          </cell>
          <cell r="S30" t="str">
            <v>Endodynamics</v>
          </cell>
          <cell r="T30" t="str">
            <v>Functioning</v>
          </cell>
          <cell r="U30" t="str">
            <v>Asset</v>
          </cell>
          <cell r="V30">
            <v>4000</v>
          </cell>
          <cell r="W30" t="str">
            <v>Estimate</v>
          </cell>
          <cell r="X30" t="str">
            <v>01/09/2010</v>
          </cell>
          <cell r="Y30" t="str">
            <v>KEW</v>
          </cell>
          <cell r="Z30" t="str">
            <v>16/08/2013</v>
          </cell>
          <cell r="AA30" t="str">
            <v>15/08/2015</v>
          </cell>
          <cell r="AB30" t="str">
            <v>No</v>
          </cell>
          <cell r="AC30" t="str">
            <v>31/08/2013</v>
          </cell>
          <cell r="AD30" t="str">
            <v>Good</v>
          </cell>
          <cell r="AE30" t="str">
            <v>V1 - Existing / No Claim</v>
          </cell>
          <cell r="AF30">
            <v>42643</v>
          </cell>
          <cell r="AG30">
            <v>9.17</v>
          </cell>
          <cell r="AH30" t="str">
            <v>RI</v>
          </cell>
          <cell r="AI30" t="str">
            <v>package</v>
          </cell>
          <cell r="AJ30" t="str">
            <v>Strands Package</v>
          </cell>
          <cell r="AK30" t="str">
            <v>IKNB03MC127</v>
          </cell>
        </row>
        <row r="31">
          <cell r="A31" t="str">
            <v>IKN400946</v>
          </cell>
          <cell r="B31">
            <v>945</v>
          </cell>
          <cell r="C31" t="str">
            <v>Institut Kanser Negara</v>
          </cell>
          <cell r="E31" t="str">
            <v>18-034</v>
          </cell>
          <cell r="F31" t="str">
            <v>Video Image Processors, Endoscopic</v>
          </cell>
          <cell r="G31" t="str">
            <v>MC</v>
          </cell>
          <cell r="H31" t="str">
            <v>MULTI-DISCIPLINE CLINIC</v>
          </cell>
          <cell r="I31" t="str">
            <v>03MC127</v>
          </cell>
          <cell r="J31" t="str">
            <v>C/E 1 (ENT)</v>
          </cell>
          <cell r="K31" t="str">
            <v>BMED</v>
          </cell>
          <cell r="L31" t="str">
            <v>Normal</v>
          </cell>
          <cell r="M31" t="str">
            <v>JAPAN</v>
          </cell>
          <cell r="N31" t="str">
            <v>Evis Exera III</v>
          </cell>
          <cell r="O31" t="str">
            <v>Evis Exera III CV-190</v>
          </cell>
          <cell r="P31" t="str">
            <v>713165</v>
          </cell>
          <cell r="Q31" t="str">
            <v>Not Applicable</v>
          </cell>
          <cell r="R31" t="str">
            <v>Olympus Medical Systems Corp</v>
          </cell>
          <cell r="S31" t="str">
            <v>Endodynamics</v>
          </cell>
          <cell r="T31" t="str">
            <v>Functioning</v>
          </cell>
          <cell r="U31" t="str">
            <v>Asset</v>
          </cell>
          <cell r="V31">
            <v>80000</v>
          </cell>
          <cell r="W31" t="str">
            <v>Estimate</v>
          </cell>
          <cell r="X31" t="str">
            <v>01/09/2010</v>
          </cell>
          <cell r="Y31" t="str">
            <v>KEW</v>
          </cell>
          <cell r="Z31" t="str">
            <v>16/08/2013</v>
          </cell>
          <cell r="AA31" t="str">
            <v>15/08/2015</v>
          </cell>
          <cell r="AB31" t="str">
            <v>No</v>
          </cell>
          <cell r="AC31" t="str">
            <v>31/08/2013</v>
          </cell>
          <cell r="AD31" t="str">
            <v>Good</v>
          </cell>
          <cell r="AE31" t="str">
            <v>V1 - Existing / No Claim</v>
          </cell>
          <cell r="AF31">
            <v>42605</v>
          </cell>
          <cell r="AG31">
            <v>9.17</v>
          </cell>
          <cell r="AH31" t="str">
            <v>PPM</v>
          </cell>
          <cell r="AI31" t="str">
            <v>package</v>
          </cell>
          <cell r="AJ31" t="str">
            <v>Strands PW</v>
          </cell>
        </row>
        <row r="32">
          <cell r="A32" t="str">
            <v>IKN400947</v>
          </cell>
          <cell r="B32">
            <v>946</v>
          </cell>
          <cell r="C32" t="str">
            <v>Institut Kanser Negara</v>
          </cell>
          <cell r="E32" t="str">
            <v>13-274</v>
          </cell>
          <cell r="F32" t="str">
            <v>Recorders, Tape, Video</v>
          </cell>
          <cell r="G32" t="str">
            <v>MC</v>
          </cell>
          <cell r="H32" t="str">
            <v>MULTI-DISCIPLINE CLINIC</v>
          </cell>
          <cell r="I32" t="str">
            <v>03MC127</v>
          </cell>
          <cell r="J32" t="str">
            <v>C/E 1 (ENT)</v>
          </cell>
          <cell r="K32" t="str">
            <v>BMED</v>
          </cell>
          <cell r="L32" t="str">
            <v>Normal</v>
          </cell>
          <cell r="M32" t="str">
            <v>USA</v>
          </cell>
          <cell r="N32" t="str">
            <v>Medicapture</v>
          </cell>
          <cell r="O32" t="str">
            <v>Medicapture</v>
          </cell>
          <cell r="P32" t="str">
            <v>803731</v>
          </cell>
          <cell r="Q32" t="str">
            <v>Not Applicable</v>
          </cell>
          <cell r="R32" t="str">
            <v>Medicapture Inc</v>
          </cell>
          <cell r="S32" t="str">
            <v>Endodynamics</v>
          </cell>
          <cell r="T32" t="str">
            <v>Functioning</v>
          </cell>
          <cell r="U32" t="str">
            <v>Asset</v>
          </cell>
          <cell r="V32">
            <v>8000</v>
          </cell>
          <cell r="W32" t="str">
            <v>Estimate</v>
          </cell>
          <cell r="X32" t="str">
            <v>01/09/2010</v>
          </cell>
          <cell r="Y32" t="str">
            <v>KEW</v>
          </cell>
          <cell r="Z32" t="str">
            <v>16/08/2013</v>
          </cell>
          <cell r="AA32" t="str">
            <v>15/08/2015</v>
          </cell>
          <cell r="AB32" t="str">
            <v>No</v>
          </cell>
          <cell r="AC32" t="str">
            <v>31/08/2013</v>
          </cell>
          <cell r="AD32" t="str">
            <v>Good</v>
          </cell>
          <cell r="AE32" t="str">
            <v>V1 - Existing / No Claim</v>
          </cell>
          <cell r="AF32">
            <v>42605</v>
          </cell>
          <cell r="AG32">
            <v>9.17</v>
          </cell>
          <cell r="AH32" t="str">
            <v>RI</v>
          </cell>
          <cell r="AI32" t="str">
            <v>package</v>
          </cell>
          <cell r="AJ32" t="str">
            <v>Strands Package</v>
          </cell>
          <cell r="AK32" t="str">
            <v>IKNB03MC127</v>
          </cell>
        </row>
        <row r="33">
          <cell r="A33" t="str">
            <v>IKN400948</v>
          </cell>
          <cell r="B33">
            <v>947</v>
          </cell>
          <cell r="C33" t="str">
            <v>Institut Kanser Negara</v>
          </cell>
          <cell r="E33" t="str">
            <v>17-002</v>
          </cell>
          <cell r="F33" t="str">
            <v>Cameras, Video, Endoscope</v>
          </cell>
          <cell r="G33" t="str">
            <v>MC</v>
          </cell>
          <cell r="H33" t="str">
            <v>MULTI-DISCIPLINE CLINIC</v>
          </cell>
          <cell r="I33" t="str">
            <v>03MC127</v>
          </cell>
          <cell r="J33" t="str">
            <v>C/E 1 (ENT)</v>
          </cell>
          <cell r="K33" t="str">
            <v>BMED</v>
          </cell>
          <cell r="L33" t="str">
            <v>Normal</v>
          </cell>
          <cell r="M33" t="str">
            <v>JAPAN</v>
          </cell>
          <cell r="N33" t="str">
            <v>Olympus</v>
          </cell>
          <cell r="O33" t="str">
            <v>Olympus OTV-S7</v>
          </cell>
          <cell r="P33" t="str">
            <v>7291748</v>
          </cell>
          <cell r="Q33" t="str">
            <v>Not Applicable</v>
          </cell>
          <cell r="R33" t="str">
            <v>Olympus Optical Co Ltd</v>
          </cell>
          <cell r="S33" t="str">
            <v>Endodynamics</v>
          </cell>
          <cell r="T33" t="str">
            <v>Functioning</v>
          </cell>
          <cell r="U33" t="str">
            <v>Asset</v>
          </cell>
          <cell r="V33">
            <v>5000</v>
          </cell>
          <cell r="W33" t="str">
            <v>Estimate</v>
          </cell>
          <cell r="X33" t="str">
            <v>01/09/2010</v>
          </cell>
          <cell r="Y33" t="str">
            <v>KEW</v>
          </cell>
          <cell r="Z33" t="str">
            <v>16/08/2013</v>
          </cell>
          <cell r="AA33" t="str">
            <v>15/08/2015</v>
          </cell>
          <cell r="AB33" t="str">
            <v>No</v>
          </cell>
          <cell r="AC33" t="str">
            <v>31/08/2013</v>
          </cell>
          <cell r="AD33" t="str">
            <v>Good</v>
          </cell>
          <cell r="AE33" t="str">
            <v>V1 - Existing / No Claim</v>
          </cell>
          <cell r="AF33">
            <v>42605</v>
          </cell>
          <cell r="AG33">
            <v>9.17</v>
          </cell>
          <cell r="AH33" t="str">
            <v>PPM</v>
          </cell>
          <cell r="AI33" t="str">
            <v>package</v>
          </cell>
          <cell r="AJ33" t="str">
            <v>Strands PW</v>
          </cell>
        </row>
        <row r="34">
          <cell r="A34" t="str">
            <v>IKN400949</v>
          </cell>
          <cell r="B34">
            <v>948</v>
          </cell>
          <cell r="C34" t="str">
            <v>Institut Kanser Negara</v>
          </cell>
          <cell r="E34" t="str">
            <v>12-343</v>
          </cell>
          <cell r="F34" t="str">
            <v>Light Sources, Fiberoptic, Flexible Endoscopic</v>
          </cell>
          <cell r="G34" t="str">
            <v>MC</v>
          </cell>
          <cell r="H34" t="str">
            <v>MULTI-DISCIPLINE CLINIC</v>
          </cell>
          <cell r="I34" t="str">
            <v>03MC127</v>
          </cell>
          <cell r="J34" t="str">
            <v>C/E 1 (ENT)</v>
          </cell>
          <cell r="K34" t="str">
            <v>BMED</v>
          </cell>
          <cell r="L34" t="str">
            <v>Normal</v>
          </cell>
          <cell r="M34" t="str">
            <v>JAPAN</v>
          </cell>
          <cell r="N34" t="str">
            <v>Olympus</v>
          </cell>
          <cell r="O34" t="str">
            <v>Olympus CLV-S45</v>
          </cell>
          <cell r="P34" t="str">
            <v>7311822</v>
          </cell>
          <cell r="Q34" t="str">
            <v>Not Applicable</v>
          </cell>
          <cell r="R34" t="str">
            <v>Olympus Optical Co Ltd</v>
          </cell>
          <cell r="S34" t="str">
            <v>Endodynamics</v>
          </cell>
          <cell r="T34" t="str">
            <v>Functioning</v>
          </cell>
          <cell r="U34" t="str">
            <v>Asset</v>
          </cell>
          <cell r="V34">
            <v>15000</v>
          </cell>
          <cell r="W34" t="str">
            <v>Estimate</v>
          </cell>
          <cell r="X34" t="str">
            <v>01/09/2010</v>
          </cell>
          <cell r="Y34" t="str">
            <v>KEW</v>
          </cell>
          <cell r="Z34" t="str">
            <v>16/08/2013</v>
          </cell>
          <cell r="AA34" t="str">
            <v>15/08/2015</v>
          </cell>
          <cell r="AB34" t="str">
            <v>No</v>
          </cell>
          <cell r="AC34" t="str">
            <v>31/08/2013</v>
          </cell>
          <cell r="AD34" t="str">
            <v>Good</v>
          </cell>
          <cell r="AE34" t="str">
            <v>V1 - Existing / No Claim</v>
          </cell>
          <cell r="AF34">
            <v>42800</v>
          </cell>
          <cell r="AG34">
            <v>9.17</v>
          </cell>
          <cell r="AH34" t="str">
            <v>PPM</v>
          </cell>
          <cell r="AI34" t="str">
            <v>package</v>
          </cell>
          <cell r="AJ34" t="str">
            <v>Strands PW</v>
          </cell>
        </row>
        <row r="35">
          <cell r="A35" t="str">
            <v>IKN400950</v>
          </cell>
          <cell r="B35">
            <v>949</v>
          </cell>
          <cell r="C35" t="str">
            <v>Institut Kanser Negara</v>
          </cell>
          <cell r="D35" t="str">
            <v>KKM/IKN/H/13/3542</v>
          </cell>
          <cell r="E35" t="str">
            <v>25-209</v>
          </cell>
          <cell r="F35" t="str">
            <v>Monitors, Physiologic, Vital Signs</v>
          </cell>
          <cell r="G35" t="str">
            <v>MC</v>
          </cell>
          <cell r="H35" t="str">
            <v>MULTI-DISCIPLINE CLINIC</v>
          </cell>
          <cell r="I35" t="str">
            <v>03MC107</v>
          </cell>
          <cell r="J35" t="str">
            <v>TREATMENT 1</v>
          </cell>
          <cell r="K35" t="str">
            <v>BMED</v>
          </cell>
          <cell r="L35" t="str">
            <v>Critical</v>
          </cell>
          <cell r="M35" t="str">
            <v>Mexico</v>
          </cell>
          <cell r="N35" t="str">
            <v>Carespace</v>
          </cell>
          <cell r="O35" t="str">
            <v>Carescape V100</v>
          </cell>
          <cell r="P35" t="str">
            <v>SH612450579SA</v>
          </cell>
          <cell r="Q35" t="str">
            <v>Not Applicable</v>
          </cell>
          <cell r="R35" t="str">
            <v>GE Healthcare Systems</v>
          </cell>
          <cell r="S35" t="str">
            <v>GE Healthcare Technologies</v>
          </cell>
          <cell r="T35" t="str">
            <v>Functioning</v>
          </cell>
          <cell r="U35" t="str">
            <v>Asset</v>
          </cell>
          <cell r="V35">
            <v>18765</v>
          </cell>
          <cell r="W35" t="str">
            <v>KEW</v>
          </cell>
          <cell r="X35" t="str">
            <v>01/09/2010</v>
          </cell>
          <cell r="Y35" t="str">
            <v>KEW</v>
          </cell>
          <cell r="Z35" t="str">
            <v>16/08/2013</v>
          </cell>
          <cell r="AA35" t="str">
            <v>15/08/2015</v>
          </cell>
          <cell r="AB35" t="str">
            <v>No</v>
          </cell>
          <cell r="AC35" t="str">
            <v>31/08/2013</v>
          </cell>
          <cell r="AD35" t="str">
            <v>Good</v>
          </cell>
          <cell r="AE35" t="str">
            <v>V1 - Existing / No Claim</v>
          </cell>
          <cell r="AF35">
            <v>42799</v>
          </cell>
          <cell r="AG35">
            <v>9.17</v>
          </cell>
          <cell r="AH35" t="str">
            <v>PPM</v>
          </cell>
          <cell r="AI35" t="str">
            <v>Strands</v>
          </cell>
          <cell r="AJ35" t="str">
            <v>Strands PW</v>
          </cell>
        </row>
        <row r="36">
          <cell r="A36" t="str">
            <v>IKN400960</v>
          </cell>
          <cell r="B36">
            <v>959</v>
          </cell>
          <cell r="C36" t="str">
            <v>Institut Kanser Negara</v>
          </cell>
          <cell r="D36" t="str">
            <v>KKM/IKN/H/13/4943</v>
          </cell>
          <cell r="E36" t="str">
            <v>12-647</v>
          </cell>
          <cell r="F36" t="str">
            <v>Physiologic Monitoring Systems, Acute Care</v>
          </cell>
          <cell r="G36" t="str">
            <v>MC</v>
          </cell>
          <cell r="H36" t="str">
            <v>MULTI-DISCIPLINE CLINIC</v>
          </cell>
          <cell r="I36" t="str">
            <v>03MC108</v>
          </cell>
          <cell r="J36" t="str">
            <v>TREATMENT/PROCEDURE</v>
          </cell>
          <cell r="K36" t="str">
            <v>BMED</v>
          </cell>
          <cell r="L36" t="str">
            <v>Critical</v>
          </cell>
          <cell r="M36" t="str">
            <v>Finland</v>
          </cell>
          <cell r="N36" t="str">
            <v>CareScape</v>
          </cell>
          <cell r="O36" t="str">
            <v>CareScape B650</v>
          </cell>
          <cell r="P36" t="str">
            <v>SEW12357360HA</v>
          </cell>
          <cell r="Q36" t="str">
            <v>Not Applicable</v>
          </cell>
          <cell r="R36" t="str">
            <v>GE Medical Systems</v>
          </cell>
          <cell r="S36" t="str">
            <v>GE Healthcare Technologies</v>
          </cell>
          <cell r="T36" t="str">
            <v>Functioning</v>
          </cell>
          <cell r="U36" t="str">
            <v>Asset</v>
          </cell>
          <cell r="V36">
            <v>87400</v>
          </cell>
          <cell r="W36" t="str">
            <v>KEW</v>
          </cell>
          <cell r="X36" t="str">
            <v>01/09/2010</v>
          </cell>
          <cell r="Y36" t="str">
            <v>KEW</v>
          </cell>
          <cell r="Z36" t="str">
            <v>16/08/2013</v>
          </cell>
          <cell r="AA36" t="str">
            <v>15/08/2015</v>
          </cell>
          <cell r="AB36" t="str">
            <v>No</v>
          </cell>
          <cell r="AC36" t="str">
            <v>31/08/2013</v>
          </cell>
          <cell r="AD36" t="str">
            <v>Good</v>
          </cell>
          <cell r="AE36" t="str">
            <v>V1 - Existing / No Claim</v>
          </cell>
          <cell r="AF36">
            <v>42799</v>
          </cell>
          <cell r="AG36">
            <v>9.17</v>
          </cell>
          <cell r="AH36" t="str">
            <v>PPM</v>
          </cell>
          <cell r="AI36" t="str">
            <v>Strands</v>
          </cell>
          <cell r="AJ36" t="str">
            <v>Strands PW</v>
          </cell>
        </row>
        <row r="37">
          <cell r="A37" t="str">
            <v>IKN401000</v>
          </cell>
          <cell r="B37">
            <v>998</v>
          </cell>
          <cell r="C37" t="str">
            <v>Institut Kanser Negara</v>
          </cell>
          <cell r="D37" t="str">
            <v>KKM/IKN/H/13/5432</v>
          </cell>
          <cell r="E37" t="str">
            <v>17-679</v>
          </cell>
          <cell r="F37" t="str">
            <v>Laser Imagers</v>
          </cell>
          <cell r="G37" t="str">
            <v>NM</v>
          </cell>
          <cell r="H37" t="str">
            <v>NUCLEAR MED (DIAGNOSTIC)</v>
          </cell>
          <cell r="I37" t="str">
            <v>03NM166</v>
          </cell>
          <cell r="J37" t="str">
            <v>REPORTING</v>
          </cell>
          <cell r="K37" t="str">
            <v>BMED</v>
          </cell>
          <cell r="L37" t="str">
            <v>Normal</v>
          </cell>
          <cell r="M37" t="str">
            <v>USA</v>
          </cell>
          <cell r="N37" t="str">
            <v>DryPix</v>
          </cell>
          <cell r="O37" t="str">
            <v>DryPix Plus</v>
          </cell>
          <cell r="P37" t="str">
            <v>26510102</v>
          </cell>
          <cell r="Q37" t="str">
            <v>Not Applicable</v>
          </cell>
          <cell r="R37" t="str">
            <v>FujiFilm Corp</v>
          </cell>
          <cell r="S37" t="str">
            <v>Advance Altimas Sdn Bhd</v>
          </cell>
          <cell r="T37" t="str">
            <v>Functioning</v>
          </cell>
          <cell r="U37" t="str">
            <v>Asset</v>
          </cell>
          <cell r="V37">
            <v>80000</v>
          </cell>
          <cell r="W37" t="str">
            <v>Estimate</v>
          </cell>
          <cell r="X37" t="str">
            <v>01/09/2010</v>
          </cell>
          <cell r="Y37" t="str">
            <v>KEW</v>
          </cell>
          <cell r="Z37" t="str">
            <v>16/08/2013</v>
          </cell>
          <cell r="AA37" t="str">
            <v>15/08/2015</v>
          </cell>
          <cell r="AB37" t="str">
            <v>No</v>
          </cell>
          <cell r="AC37" t="str">
            <v>31/08/2013</v>
          </cell>
          <cell r="AD37" t="str">
            <v>Good</v>
          </cell>
          <cell r="AE37" t="str">
            <v>V1 - Existing / No Claim</v>
          </cell>
          <cell r="AF37">
            <v>42605</v>
          </cell>
          <cell r="AG37">
            <v>9.17</v>
          </cell>
          <cell r="AH37" t="str">
            <v>PPM</v>
          </cell>
          <cell r="AI37" t="str">
            <v>Strands</v>
          </cell>
          <cell r="AJ37" t="str">
            <v>Strands Package. Proposed for V4 P2.23</v>
          </cell>
          <cell r="AK37" t="str">
            <v>Package Code XK0001B</v>
          </cell>
        </row>
        <row r="38">
          <cell r="A38" t="str">
            <v>IKN401002</v>
          </cell>
          <cell r="B38">
            <v>1000</v>
          </cell>
          <cell r="C38" t="str">
            <v>Institut Kanser Negara</v>
          </cell>
          <cell r="D38" t="str">
            <v>KKM/IKN/H/13/731</v>
          </cell>
          <cell r="E38" t="str">
            <v>10-208</v>
          </cell>
          <cell r="F38" t="str">
            <v>Aspirators</v>
          </cell>
          <cell r="G38" t="str">
            <v>MC</v>
          </cell>
          <cell r="H38" t="str">
            <v>MULTI-DISCIPLINE CLINIC</v>
          </cell>
          <cell r="I38" t="str">
            <v>03MC108</v>
          </cell>
          <cell r="J38" t="str">
            <v>TREATMENT/PROCEDURE</v>
          </cell>
          <cell r="K38" t="str">
            <v>BMED</v>
          </cell>
          <cell r="L38" t="str">
            <v>Critical</v>
          </cell>
          <cell r="M38" t="str">
            <v>Switzerland</v>
          </cell>
          <cell r="N38" t="str">
            <v>Senator</v>
          </cell>
          <cell r="O38" t="str">
            <v>Senator</v>
          </cell>
          <cell r="P38" t="str">
            <v>1220749</v>
          </cell>
          <cell r="Q38" t="str">
            <v>Not Applicable</v>
          </cell>
          <cell r="R38" t="str">
            <v>Ardo Medical AG</v>
          </cell>
          <cell r="S38" t="str">
            <v>Histopoint</v>
          </cell>
          <cell r="T38" t="str">
            <v>Functioning</v>
          </cell>
          <cell r="U38" t="str">
            <v>Asset</v>
          </cell>
          <cell r="V38">
            <v>7580</v>
          </cell>
          <cell r="W38" t="str">
            <v>KEW</v>
          </cell>
          <cell r="X38" t="str">
            <v>01/09/2010</v>
          </cell>
          <cell r="Y38" t="str">
            <v>KEW</v>
          </cell>
          <cell r="Z38" t="str">
            <v>16/08/2013</v>
          </cell>
          <cell r="AA38" t="str">
            <v>15/08/2015</v>
          </cell>
          <cell r="AB38" t="str">
            <v>No</v>
          </cell>
          <cell r="AC38" t="str">
            <v>31/08/2013</v>
          </cell>
          <cell r="AD38" t="str">
            <v>Good</v>
          </cell>
          <cell r="AE38" t="str">
            <v>V1 - Existing / No Claim</v>
          </cell>
          <cell r="AF38">
            <v>42800</v>
          </cell>
          <cell r="AG38">
            <v>9.17</v>
          </cell>
          <cell r="AH38" t="str">
            <v>PPM</v>
          </cell>
          <cell r="AI38" t="str">
            <v>Strands</v>
          </cell>
          <cell r="AJ38" t="str">
            <v>Strands PW</v>
          </cell>
        </row>
        <row r="39">
          <cell r="A39" t="str">
            <v>IKN401007</v>
          </cell>
          <cell r="B39">
            <v>1005</v>
          </cell>
          <cell r="C39" t="str">
            <v>Institut Kanser Negara</v>
          </cell>
          <cell r="D39" t="str">
            <v>KKM/IKN/H/13/3887</v>
          </cell>
          <cell r="E39" t="str">
            <v>15-999</v>
          </cell>
          <cell r="F39" t="str">
            <v>Washers, Flexible Endoscope</v>
          </cell>
          <cell r="G39" t="str">
            <v>MC</v>
          </cell>
          <cell r="H39" t="str">
            <v>MULTI-DISCIPLINE CLINIC</v>
          </cell>
          <cell r="I39" t="str">
            <v>03MC111</v>
          </cell>
          <cell r="J39" t="str">
            <v>SCOPE WASH</v>
          </cell>
          <cell r="K39" t="str">
            <v>BMED</v>
          </cell>
          <cell r="L39" t="str">
            <v>Normal</v>
          </cell>
          <cell r="M39" t="str">
            <v>Japan</v>
          </cell>
          <cell r="N39" t="str">
            <v>Olympus</v>
          </cell>
          <cell r="O39" t="str">
            <v>Olympus OER-AW</v>
          </cell>
          <cell r="P39" t="str">
            <v>2220744</v>
          </cell>
          <cell r="Q39" t="str">
            <v>Not Applicable</v>
          </cell>
          <cell r="R39" t="str">
            <v>Olympus Medical Systems Corp</v>
          </cell>
          <cell r="S39" t="str">
            <v>Endodynamics</v>
          </cell>
          <cell r="T39" t="str">
            <v>Functioning</v>
          </cell>
          <cell r="U39" t="str">
            <v>Asset</v>
          </cell>
          <cell r="V39">
            <v>126300</v>
          </cell>
          <cell r="W39" t="str">
            <v>KEW</v>
          </cell>
          <cell r="X39" t="str">
            <v>01/09/2010</v>
          </cell>
          <cell r="Y39" t="str">
            <v>KEW</v>
          </cell>
          <cell r="Z39" t="str">
            <v>16/08/2013</v>
          </cell>
          <cell r="AA39" t="str">
            <v>15/08/2015</v>
          </cell>
          <cell r="AB39" t="str">
            <v>No</v>
          </cell>
          <cell r="AC39" t="str">
            <v>31/08/2013</v>
          </cell>
          <cell r="AD39" t="str">
            <v>Good</v>
          </cell>
          <cell r="AE39" t="str">
            <v>V1 - Existing / No Claim</v>
          </cell>
          <cell r="AF39">
            <v>43063</v>
          </cell>
          <cell r="AG39">
            <v>9.17</v>
          </cell>
          <cell r="AH39" t="str">
            <v>PPM</v>
          </cell>
          <cell r="AI39" t="str">
            <v>Strands</v>
          </cell>
          <cell r="AJ39" t="str">
            <v>Strands PW</v>
          </cell>
        </row>
        <row r="40">
          <cell r="A40" t="str">
            <v>IKN401008</v>
          </cell>
          <cell r="B40">
            <v>1006</v>
          </cell>
          <cell r="C40" t="str">
            <v>Institut Kanser Negara</v>
          </cell>
          <cell r="D40" t="str">
            <v>KKM/IKN/H/13/3937</v>
          </cell>
          <cell r="E40" t="str">
            <v>15-605</v>
          </cell>
          <cell r="F40" t="str">
            <v>Testers</v>
          </cell>
          <cell r="G40" t="str">
            <v>MC</v>
          </cell>
          <cell r="H40" t="str">
            <v>MULTI-DISCIPLINE CLINIC</v>
          </cell>
          <cell r="I40" t="str">
            <v>03MC111</v>
          </cell>
          <cell r="J40" t="str">
            <v>SCOPE WASH</v>
          </cell>
          <cell r="K40" t="str">
            <v>BMED</v>
          </cell>
          <cell r="L40" t="str">
            <v>Normal</v>
          </cell>
          <cell r="M40" t="str">
            <v>Japan</v>
          </cell>
          <cell r="N40" t="str">
            <v>Olympus Jap</v>
          </cell>
          <cell r="O40" t="str">
            <v>Mu-1/ Mb-155</v>
          </cell>
          <cell r="P40" t="str">
            <v>7249963</v>
          </cell>
          <cell r="Q40" t="str">
            <v>Not Applicable</v>
          </cell>
          <cell r="R40" t="str">
            <v>Olympus Jap</v>
          </cell>
          <cell r="S40" t="str">
            <v>Endodynamics</v>
          </cell>
          <cell r="T40" t="str">
            <v>Functioning</v>
          </cell>
          <cell r="U40" t="str">
            <v>Asset</v>
          </cell>
          <cell r="V40">
            <v>2700</v>
          </cell>
          <cell r="W40" t="str">
            <v>KEW</v>
          </cell>
          <cell r="X40" t="str">
            <v>01/09/2010</v>
          </cell>
          <cell r="Y40" t="str">
            <v>KEW</v>
          </cell>
          <cell r="Z40" t="str">
            <v>16/08/2013</v>
          </cell>
          <cell r="AA40" t="str">
            <v>15/08/2015</v>
          </cell>
          <cell r="AB40" t="str">
            <v>No</v>
          </cell>
          <cell r="AC40" t="str">
            <v>31/08/2013</v>
          </cell>
          <cell r="AD40" t="str">
            <v>Good</v>
          </cell>
          <cell r="AE40" t="str">
            <v>V1 - Existing / No Claim</v>
          </cell>
          <cell r="AF40">
            <v>42542</v>
          </cell>
          <cell r="AG40">
            <v>9.17</v>
          </cell>
          <cell r="AH40" t="str">
            <v>PPM</v>
          </cell>
          <cell r="AI40" t="str">
            <v>Strands</v>
          </cell>
          <cell r="AJ40" t="str">
            <v>Strands PW</v>
          </cell>
        </row>
        <row r="41">
          <cell r="A41" t="str">
            <v>IKN401009</v>
          </cell>
          <cell r="B41">
            <v>1007</v>
          </cell>
          <cell r="C41" t="str">
            <v>Institut Kanser Negara</v>
          </cell>
          <cell r="D41" t="str">
            <v>KKM/IKN/H/13/173</v>
          </cell>
          <cell r="E41" t="str">
            <v>17-665</v>
          </cell>
          <cell r="F41" t="str">
            <v>Colonoscopes, Video</v>
          </cell>
          <cell r="G41" t="str">
            <v>MC</v>
          </cell>
          <cell r="H41" t="str">
            <v>MULTI-DISCIPLINE CLINIC</v>
          </cell>
          <cell r="I41" t="str">
            <v>03MC108</v>
          </cell>
          <cell r="J41" t="str">
            <v>TREATMENT/PROCEDURE</v>
          </cell>
          <cell r="K41" t="str">
            <v>BMED</v>
          </cell>
          <cell r="L41" t="str">
            <v>Normal</v>
          </cell>
          <cell r="M41" t="str">
            <v>Japan</v>
          </cell>
          <cell r="N41" t="str">
            <v>Olympus</v>
          </cell>
          <cell r="O41" t="str">
            <v>Olympus PCF-H190L</v>
          </cell>
          <cell r="P41" t="str">
            <v>2200270</v>
          </cell>
          <cell r="Q41" t="str">
            <v>Not Applicable</v>
          </cell>
          <cell r="R41" t="str">
            <v>Olympus Medical Systems Corp</v>
          </cell>
          <cell r="S41" t="str">
            <v>Endodynamics</v>
          </cell>
          <cell r="T41" t="str">
            <v>Functioning</v>
          </cell>
          <cell r="U41" t="str">
            <v>Asset</v>
          </cell>
          <cell r="V41">
            <v>143382</v>
          </cell>
          <cell r="W41" t="str">
            <v>KEW</v>
          </cell>
          <cell r="X41" t="str">
            <v>01/09/2010</v>
          </cell>
          <cell r="Y41" t="str">
            <v>KEW</v>
          </cell>
          <cell r="Z41" t="str">
            <v>16/08/2013</v>
          </cell>
          <cell r="AA41" t="str">
            <v>15/08/2015</v>
          </cell>
          <cell r="AB41" t="str">
            <v>No</v>
          </cell>
          <cell r="AC41" t="str">
            <v>31/08/2013</v>
          </cell>
          <cell r="AD41" t="str">
            <v>Good</v>
          </cell>
          <cell r="AE41" t="str">
            <v>V1 - Existing / No Claim</v>
          </cell>
          <cell r="AF41">
            <v>42514</v>
          </cell>
          <cell r="AG41">
            <v>9.17</v>
          </cell>
          <cell r="AH41" t="str">
            <v>PPM</v>
          </cell>
          <cell r="AI41" t="str">
            <v>Strands</v>
          </cell>
          <cell r="AJ41" t="str">
            <v>Strands PW</v>
          </cell>
        </row>
        <row r="42">
          <cell r="A42" t="str">
            <v>IKN401010</v>
          </cell>
          <cell r="B42">
            <v>1008</v>
          </cell>
          <cell r="C42" t="str">
            <v>Institut Kanser Negara</v>
          </cell>
          <cell r="D42" t="str">
            <v>KKM/IKN/H/13/175</v>
          </cell>
          <cell r="E42" t="str">
            <v>17-663</v>
          </cell>
          <cell r="F42" t="str">
            <v>Gastroscopes, Flexible, Video</v>
          </cell>
          <cell r="G42" t="str">
            <v>MC</v>
          </cell>
          <cell r="H42" t="str">
            <v>MULTI-DISCIPLINE CLINIC</v>
          </cell>
          <cell r="I42" t="str">
            <v>03MC108</v>
          </cell>
          <cell r="J42" t="str">
            <v>TREATMENT/PROCEDURE</v>
          </cell>
          <cell r="K42" t="str">
            <v>BMED</v>
          </cell>
          <cell r="L42" t="str">
            <v>Normal</v>
          </cell>
          <cell r="M42" t="str">
            <v>Japan</v>
          </cell>
          <cell r="N42" t="str">
            <v>Olympus</v>
          </cell>
          <cell r="O42" t="str">
            <v>Olympus GIF-XTQ160</v>
          </cell>
          <cell r="P42" t="str">
            <v>2200808</v>
          </cell>
          <cell r="Q42" t="str">
            <v>Not Applicable</v>
          </cell>
          <cell r="R42" t="str">
            <v>Olympus Optical Co Ltd</v>
          </cell>
          <cell r="S42" t="str">
            <v>Endodynamics</v>
          </cell>
          <cell r="T42" t="str">
            <v>Functioning</v>
          </cell>
          <cell r="U42" t="str">
            <v>Asset</v>
          </cell>
          <cell r="V42">
            <v>118230</v>
          </cell>
          <cell r="W42" t="str">
            <v>KEW</v>
          </cell>
          <cell r="X42" t="str">
            <v>01/09/2010</v>
          </cell>
          <cell r="Y42" t="str">
            <v>KEW</v>
          </cell>
          <cell r="Z42" t="str">
            <v>16/08/2013</v>
          </cell>
          <cell r="AA42" t="str">
            <v>15/08/2015</v>
          </cell>
          <cell r="AB42" t="str">
            <v>No</v>
          </cell>
          <cell r="AC42" t="str">
            <v>31/08/2013</v>
          </cell>
          <cell r="AD42" t="str">
            <v>Good</v>
          </cell>
          <cell r="AE42" t="str">
            <v>V1 - Existing / No Claim</v>
          </cell>
          <cell r="AF42">
            <v>42514</v>
          </cell>
          <cell r="AG42">
            <v>9.17</v>
          </cell>
          <cell r="AH42" t="str">
            <v>PPM</v>
          </cell>
          <cell r="AI42" t="str">
            <v>Strands</v>
          </cell>
          <cell r="AJ42" t="str">
            <v>Strands PW</v>
          </cell>
        </row>
        <row r="43">
          <cell r="A43" t="str">
            <v>IKN401012</v>
          </cell>
          <cell r="B43">
            <v>1010</v>
          </cell>
          <cell r="C43" t="str">
            <v>Institut Kanser Negara</v>
          </cell>
          <cell r="E43" t="str">
            <v>12-343</v>
          </cell>
          <cell r="F43" t="str">
            <v>Light Sources, Fiberoptic, Flexible Endoscopic</v>
          </cell>
          <cell r="G43" t="str">
            <v>MC</v>
          </cell>
          <cell r="H43" t="str">
            <v>MULTI-DISCIPLINE CLINIC</v>
          </cell>
          <cell r="I43" t="str">
            <v>03MC108</v>
          </cell>
          <cell r="J43" t="str">
            <v>TREATMENT/PROCEDURE</v>
          </cell>
          <cell r="K43" t="str">
            <v>BMED</v>
          </cell>
          <cell r="L43" t="str">
            <v>Normal</v>
          </cell>
          <cell r="M43" t="str">
            <v>JAPAN</v>
          </cell>
          <cell r="N43" t="str">
            <v>Olympus</v>
          </cell>
          <cell r="O43" t="str">
            <v>Olympus CLV-S45</v>
          </cell>
          <cell r="P43" t="str">
            <v>7211418</v>
          </cell>
          <cell r="Q43" t="str">
            <v>Not Applicable</v>
          </cell>
          <cell r="R43" t="str">
            <v>Karl Storz GmbH</v>
          </cell>
          <cell r="S43" t="str">
            <v>Endodynamics</v>
          </cell>
          <cell r="T43" t="str">
            <v>Functioning</v>
          </cell>
          <cell r="U43" t="str">
            <v>Asset</v>
          </cell>
          <cell r="V43">
            <v>35000</v>
          </cell>
          <cell r="W43" t="str">
            <v>Estimate</v>
          </cell>
          <cell r="X43" t="str">
            <v>01/09/2010</v>
          </cell>
          <cell r="Y43" t="str">
            <v>KEW</v>
          </cell>
          <cell r="Z43" t="str">
            <v>16/08/2013</v>
          </cell>
          <cell r="AA43" t="str">
            <v>15/08/2015</v>
          </cell>
          <cell r="AB43" t="str">
            <v>No</v>
          </cell>
          <cell r="AC43" t="str">
            <v>31/08/2013</v>
          </cell>
          <cell r="AD43" t="str">
            <v>Good</v>
          </cell>
          <cell r="AE43" t="str">
            <v>V1 - Existing / No Claim</v>
          </cell>
          <cell r="AF43">
            <v>43543</v>
          </cell>
          <cell r="AG43">
            <v>9.17</v>
          </cell>
          <cell r="AH43" t="str">
            <v>PPM</v>
          </cell>
          <cell r="AI43" t="str">
            <v>package</v>
          </cell>
          <cell r="AJ43" t="str">
            <v>Strands PW</v>
          </cell>
        </row>
        <row r="44">
          <cell r="A44" t="str">
            <v>IKN401070</v>
          </cell>
          <cell r="B44">
            <v>1068</v>
          </cell>
          <cell r="C44" t="str">
            <v>Institut Kanser Negara</v>
          </cell>
          <cell r="D44" t="str">
            <v>KKM/IKN/H/13/3935-03</v>
          </cell>
          <cell r="E44" t="str">
            <v>12-343</v>
          </cell>
          <cell r="F44" t="str">
            <v>Light Sources, Fiberoptic, Flexible Endoscopic</v>
          </cell>
          <cell r="G44" t="str">
            <v>MC</v>
          </cell>
          <cell r="H44" t="str">
            <v>MULTI-DISCIPLINE CLINIC</v>
          </cell>
          <cell r="I44" t="str">
            <v>03MC108</v>
          </cell>
          <cell r="J44" t="str">
            <v>TREATMENT/PROCEDURE</v>
          </cell>
          <cell r="K44" t="str">
            <v>BMED</v>
          </cell>
          <cell r="L44" t="str">
            <v>Normal</v>
          </cell>
          <cell r="M44" t="str">
            <v>Japan</v>
          </cell>
          <cell r="N44" t="str">
            <v>Evis Exera III</v>
          </cell>
          <cell r="O44" t="str">
            <v>Evis Exera III CLV-190</v>
          </cell>
          <cell r="P44" t="str">
            <v>7222936</v>
          </cell>
          <cell r="Q44" t="str">
            <v>Not Applicable</v>
          </cell>
          <cell r="R44" t="str">
            <v>Olympus Medical Systems Corp</v>
          </cell>
          <cell r="S44" t="str">
            <v>Endodynamics</v>
          </cell>
          <cell r="T44" t="str">
            <v>Functioning</v>
          </cell>
          <cell r="U44" t="str">
            <v>Asset</v>
          </cell>
          <cell r="V44">
            <v>52460</v>
          </cell>
          <cell r="W44" t="str">
            <v>Estimate</v>
          </cell>
          <cell r="X44" t="str">
            <v>01/09/2010</v>
          </cell>
          <cell r="Y44" t="str">
            <v>KEW</v>
          </cell>
          <cell r="Z44" t="str">
            <v>16/08/2013</v>
          </cell>
          <cell r="AA44" t="str">
            <v>15/08/2015</v>
          </cell>
          <cell r="AB44" t="str">
            <v>No</v>
          </cell>
          <cell r="AC44" t="str">
            <v>31/08/2013</v>
          </cell>
          <cell r="AD44" t="str">
            <v>Good</v>
          </cell>
          <cell r="AE44" t="str">
            <v>V1 - Existing / No Claim</v>
          </cell>
          <cell r="AF44">
            <v>42605</v>
          </cell>
          <cell r="AG44">
            <v>9.17</v>
          </cell>
          <cell r="AH44" t="str">
            <v>PPM</v>
          </cell>
          <cell r="AI44" t="str">
            <v>Strands</v>
          </cell>
          <cell r="AJ44" t="str">
            <v>Strands Package</v>
          </cell>
          <cell r="AK44" t="str">
            <v>Package Code EP0110</v>
          </cell>
        </row>
        <row r="45">
          <cell r="A45" t="str">
            <v>IKN401071</v>
          </cell>
          <cell r="B45">
            <v>1069</v>
          </cell>
          <cell r="C45" t="str">
            <v>Institut Kanser Negara</v>
          </cell>
          <cell r="D45" t="str">
            <v>KKM/IKN/H/13/3935</v>
          </cell>
          <cell r="E45" t="str">
            <v>18-034</v>
          </cell>
          <cell r="F45" t="str">
            <v>Video Image Processors, Endoscopic</v>
          </cell>
          <cell r="G45" t="str">
            <v>MC</v>
          </cell>
          <cell r="H45" t="str">
            <v>MULTI-DISCIPLINE CLINIC</v>
          </cell>
          <cell r="I45" t="str">
            <v>03MC108</v>
          </cell>
          <cell r="J45" t="str">
            <v>TREATMENT/PROCEDURE</v>
          </cell>
          <cell r="K45" t="str">
            <v>BMED</v>
          </cell>
          <cell r="L45" t="str">
            <v>Normal</v>
          </cell>
          <cell r="M45" t="str">
            <v>JAPAN</v>
          </cell>
          <cell r="N45" t="str">
            <v>Evis Exera III</v>
          </cell>
          <cell r="O45" t="str">
            <v>Evis Exera III CV-190</v>
          </cell>
          <cell r="P45" t="str">
            <v>7211777</v>
          </cell>
          <cell r="Q45" t="str">
            <v>Not Applicable</v>
          </cell>
          <cell r="R45" t="str">
            <v>Olympus Medical Systems Corp</v>
          </cell>
          <cell r="S45" t="str">
            <v>Endodynamics</v>
          </cell>
          <cell r="T45" t="str">
            <v>Functioning</v>
          </cell>
          <cell r="U45" t="str">
            <v>Asset</v>
          </cell>
          <cell r="V45">
            <v>80000</v>
          </cell>
          <cell r="W45" t="str">
            <v>Estimate</v>
          </cell>
          <cell r="X45" t="str">
            <v>01/09/2010</v>
          </cell>
          <cell r="Y45" t="str">
            <v>KEW</v>
          </cell>
          <cell r="Z45" t="str">
            <v>16/08/2013</v>
          </cell>
          <cell r="AA45" t="str">
            <v>15/08/2015</v>
          </cell>
          <cell r="AB45" t="str">
            <v>No</v>
          </cell>
          <cell r="AC45" t="str">
            <v>31/08/2013</v>
          </cell>
          <cell r="AD45" t="str">
            <v>Good</v>
          </cell>
          <cell r="AE45" t="str">
            <v>V1 - Existing / No Claim</v>
          </cell>
          <cell r="AF45">
            <v>42605</v>
          </cell>
          <cell r="AG45">
            <v>9.17</v>
          </cell>
          <cell r="AH45" t="str">
            <v>PPM</v>
          </cell>
          <cell r="AI45" t="str">
            <v>Strands</v>
          </cell>
          <cell r="AJ45" t="str">
            <v>Strands Package</v>
          </cell>
          <cell r="AK45" t="str">
            <v>Package Code EP0110</v>
          </cell>
        </row>
        <row r="46">
          <cell r="A46" t="str">
            <v>IKN401072</v>
          </cell>
          <cell r="B46">
            <v>1070</v>
          </cell>
          <cell r="C46" t="str">
            <v>Institut Kanser Negara</v>
          </cell>
          <cell r="D46" t="str">
            <v>KKM/IKN/H/13/3935-02</v>
          </cell>
          <cell r="E46" t="str">
            <v>15-967</v>
          </cell>
          <cell r="F46" t="str">
            <v>Television Systems, Endoscope</v>
          </cell>
          <cell r="G46" t="str">
            <v>MC</v>
          </cell>
          <cell r="H46" t="str">
            <v>MULTI-DISCIPLINE CLINIC</v>
          </cell>
          <cell r="I46" t="str">
            <v>03MC108</v>
          </cell>
          <cell r="J46" t="str">
            <v>TREATMENT/PROCEDURE</v>
          </cell>
          <cell r="K46" t="str">
            <v>BMED</v>
          </cell>
          <cell r="L46" t="str">
            <v>Normal</v>
          </cell>
          <cell r="M46" t="str">
            <v>JAPAN</v>
          </cell>
          <cell r="N46" t="str">
            <v>Olympus</v>
          </cell>
          <cell r="O46" t="str">
            <v>Olympus OEV261H</v>
          </cell>
          <cell r="P46" t="str">
            <v>7246184</v>
          </cell>
          <cell r="Q46" t="str">
            <v>Not Applicable</v>
          </cell>
          <cell r="R46" t="str">
            <v>Olympus Medical Systems Corp</v>
          </cell>
          <cell r="S46" t="str">
            <v>Endodynamics</v>
          </cell>
          <cell r="T46" t="str">
            <v>Functioning</v>
          </cell>
          <cell r="U46" t="str">
            <v>Asset</v>
          </cell>
          <cell r="V46">
            <v>30000</v>
          </cell>
          <cell r="W46" t="str">
            <v>Estimate</v>
          </cell>
          <cell r="X46" t="str">
            <v>01/09/2010</v>
          </cell>
          <cell r="Y46" t="str">
            <v>KEW</v>
          </cell>
          <cell r="Z46" t="str">
            <v>16/08/2013</v>
          </cell>
          <cell r="AA46" t="str">
            <v>15/08/2015</v>
          </cell>
          <cell r="AB46" t="str">
            <v>No</v>
          </cell>
          <cell r="AC46" t="str">
            <v>31/08/2013</v>
          </cell>
          <cell r="AD46" t="str">
            <v>Good</v>
          </cell>
          <cell r="AE46" t="str">
            <v>V1 - Existing / No Claim</v>
          </cell>
          <cell r="AF46">
            <v>42605</v>
          </cell>
          <cell r="AG46">
            <v>9.17</v>
          </cell>
          <cell r="AH46" t="str">
            <v>RI</v>
          </cell>
          <cell r="AI46" t="str">
            <v>Strands</v>
          </cell>
          <cell r="AJ46" t="str">
            <v>Strands Package</v>
          </cell>
          <cell r="AK46" t="str">
            <v>Package Code EP0110</v>
          </cell>
        </row>
        <row r="47">
          <cell r="A47" t="str">
            <v>IKN401073</v>
          </cell>
          <cell r="B47">
            <v>1071</v>
          </cell>
          <cell r="C47" t="str">
            <v>Institut Kanser Negara</v>
          </cell>
          <cell r="D47" t="str">
            <v>KKM/IKN/H/13/3935-04</v>
          </cell>
          <cell r="E47" t="str">
            <v>13-274</v>
          </cell>
          <cell r="F47" t="str">
            <v>Recorders, Tape, Video</v>
          </cell>
          <cell r="G47" t="str">
            <v>MC</v>
          </cell>
          <cell r="H47" t="str">
            <v>MULTI-DISCIPLINE CLINIC</v>
          </cell>
          <cell r="I47" t="str">
            <v>03MC108</v>
          </cell>
          <cell r="J47" t="str">
            <v>TREATMENT/PROCEDURE</v>
          </cell>
          <cell r="K47" t="str">
            <v>BMED</v>
          </cell>
          <cell r="L47" t="str">
            <v>Normal</v>
          </cell>
          <cell r="M47" t="str">
            <v>China</v>
          </cell>
          <cell r="N47" t="str">
            <v>Sony</v>
          </cell>
          <cell r="O47" t="str">
            <v>Sony DVD-1000MD</v>
          </cell>
          <cell r="P47" t="str">
            <v>35243</v>
          </cell>
          <cell r="Q47" t="str">
            <v>Not Applicable</v>
          </cell>
          <cell r="R47" t="str">
            <v>Sony Corp</v>
          </cell>
          <cell r="S47" t="str">
            <v>Endodynamics</v>
          </cell>
          <cell r="T47" t="str">
            <v>Functioning</v>
          </cell>
          <cell r="U47" t="str">
            <v>Asset</v>
          </cell>
          <cell r="V47">
            <v>4000</v>
          </cell>
          <cell r="W47" t="str">
            <v>Estimate</v>
          </cell>
          <cell r="X47" t="str">
            <v>01/09/2010</v>
          </cell>
          <cell r="Y47" t="str">
            <v>KEW</v>
          </cell>
          <cell r="Z47" t="str">
            <v>16/08/2013</v>
          </cell>
          <cell r="AA47" t="str">
            <v>15/08/2015</v>
          </cell>
          <cell r="AB47" t="str">
            <v>No</v>
          </cell>
          <cell r="AC47" t="str">
            <v>31/08/2013</v>
          </cell>
          <cell r="AD47" t="str">
            <v>Good</v>
          </cell>
          <cell r="AE47" t="str">
            <v>V1 - Existing / No Claim</v>
          </cell>
          <cell r="AF47">
            <v>42605</v>
          </cell>
          <cell r="AG47">
            <v>9.17</v>
          </cell>
          <cell r="AH47" t="str">
            <v>RI</v>
          </cell>
          <cell r="AI47" t="str">
            <v>Strands</v>
          </cell>
          <cell r="AJ47" t="str">
            <v>Strands Package</v>
          </cell>
          <cell r="AK47" t="str">
            <v>Package Code EP0110</v>
          </cell>
        </row>
        <row r="48">
          <cell r="A48" t="str">
            <v>IKN401074</v>
          </cell>
          <cell r="B48">
            <v>1072</v>
          </cell>
          <cell r="C48" t="str">
            <v>Institut Kanser Negara</v>
          </cell>
          <cell r="D48" t="str">
            <v>KKM/IKN/H/13/3935-08</v>
          </cell>
          <cell r="E48" t="str">
            <v>17-508</v>
          </cell>
          <cell r="F48" t="str">
            <v>Printers, Video</v>
          </cell>
          <cell r="G48" t="str">
            <v>MC</v>
          </cell>
          <cell r="H48" t="str">
            <v>MULTI-DISCIPLINE CLINIC</v>
          </cell>
          <cell r="I48" t="str">
            <v>03MC108</v>
          </cell>
          <cell r="J48" t="str">
            <v>TREATMENT/PROCEDURE</v>
          </cell>
          <cell r="K48" t="str">
            <v>BMED</v>
          </cell>
          <cell r="L48" t="str">
            <v>Normal</v>
          </cell>
          <cell r="M48" t="str">
            <v>Japan</v>
          </cell>
          <cell r="N48" t="str">
            <v>Sony</v>
          </cell>
          <cell r="O48" t="str">
            <v>Sony UP-25MD</v>
          </cell>
          <cell r="P48" t="str">
            <v>713164</v>
          </cell>
          <cell r="Q48" t="str">
            <v>Not Applicable</v>
          </cell>
          <cell r="R48" t="str">
            <v>Sony Corp</v>
          </cell>
          <cell r="S48" t="str">
            <v>V Medical Services</v>
          </cell>
          <cell r="T48" t="str">
            <v>Functioning</v>
          </cell>
          <cell r="U48" t="str">
            <v>Asset</v>
          </cell>
          <cell r="V48">
            <v>4000</v>
          </cell>
          <cell r="W48" t="str">
            <v>Estimate</v>
          </cell>
          <cell r="X48" t="str">
            <v>01/09/2010</v>
          </cell>
          <cell r="Y48" t="str">
            <v>KEW</v>
          </cell>
          <cell r="Z48" t="str">
            <v>16/08/2013</v>
          </cell>
          <cell r="AA48" t="str">
            <v>15/08/2015</v>
          </cell>
          <cell r="AB48" t="str">
            <v>No</v>
          </cell>
          <cell r="AC48" t="str">
            <v>31/08/2013</v>
          </cell>
          <cell r="AD48" t="str">
            <v>Good</v>
          </cell>
          <cell r="AE48" t="str">
            <v>V1 - Existing / No Claim</v>
          </cell>
          <cell r="AF48">
            <v>42605</v>
          </cell>
          <cell r="AG48">
            <v>9.17</v>
          </cell>
          <cell r="AH48" t="str">
            <v>RI</v>
          </cell>
          <cell r="AI48" t="str">
            <v>Strands</v>
          </cell>
          <cell r="AJ48" t="str">
            <v>Strands Package</v>
          </cell>
          <cell r="AK48" t="str">
            <v>Package Code EP0110</v>
          </cell>
        </row>
        <row r="49">
          <cell r="A49" t="str">
            <v>IKN401075</v>
          </cell>
          <cell r="B49">
            <v>1073</v>
          </cell>
          <cell r="C49" t="str">
            <v>Institut Kanser Negara</v>
          </cell>
          <cell r="D49" t="str">
            <v>KKM/IKN/H/13/3935-05</v>
          </cell>
          <cell r="E49" t="str">
            <v>18-231</v>
          </cell>
          <cell r="F49" t="str">
            <v>Electrosurgical Units, Monopolar/Bipolar</v>
          </cell>
          <cell r="G49" t="str">
            <v>MC</v>
          </cell>
          <cell r="H49" t="str">
            <v>MULTI-DISCIPLINE CLINIC</v>
          </cell>
          <cell r="I49" t="str">
            <v>03MC108</v>
          </cell>
          <cell r="J49" t="str">
            <v>TREATMENT/PROCEDURE</v>
          </cell>
          <cell r="K49" t="str">
            <v>BMED</v>
          </cell>
          <cell r="L49" t="str">
            <v>Critical</v>
          </cell>
          <cell r="M49" t="str">
            <v>Japan</v>
          </cell>
          <cell r="N49" t="str">
            <v>Olympus</v>
          </cell>
          <cell r="O49" t="str">
            <v>Olympus PSD-30</v>
          </cell>
          <cell r="P49" t="str">
            <v>7274818</v>
          </cell>
          <cell r="Q49" t="str">
            <v>Not Applicable</v>
          </cell>
          <cell r="R49" t="str">
            <v>Olympus Medical Systems Corp</v>
          </cell>
          <cell r="S49" t="str">
            <v>Endodynamics</v>
          </cell>
          <cell r="T49" t="str">
            <v>Functioning</v>
          </cell>
          <cell r="U49" t="str">
            <v>Asset</v>
          </cell>
          <cell r="V49">
            <v>20000</v>
          </cell>
          <cell r="W49" t="str">
            <v>Estimate</v>
          </cell>
          <cell r="X49" t="str">
            <v>01/09/2010</v>
          </cell>
          <cell r="Y49" t="str">
            <v>KEW</v>
          </cell>
          <cell r="Z49" t="str">
            <v>16/08/2013</v>
          </cell>
          <cell r="AA49" t="str">
            <v>15/08/2015</v>
          </cell>
          <cell r="AB49" t="str">
            <v>No</v>
          </cell>
          <cell r="AC49" t="str">
            <v>31/08/2013</v>
          </cell>
          <cell r="AD49" t="str">
            <v>Good</v>
          </cell>
          <cell r="AE49" t="str">
            <v>V1 - Existing / No Claim</v>
          </cell>
          <cell r="AF49">
            <v>43430</v>
          </cell>
          <cell r="AG49">
            <v>9.17</v>
          </cell>
          <cell r="AH49" t="str">
            <v>PPM</v>
          </cell>
          <cell r="AI49" t="str">
            <v>Strands</v>
          </cell>
          <cell r="AJ49" t="str">
            <v>Strands Package</v>
          </cell>
          <cell r="AK49" t="str">
            <v>Package Code EP0110</v>
          </cell>
        </row>
        <row r="50">
          <cell r="A50" t="str">
            <v>IKN401076</v>
          </cell>
          <cell r="B50">
            <v>1074</v>
          </cell>
          <cell r="C50" t="str">
            <v>Institut Kanser Negara</v>
          </cell>
          <cell r="D50" t="str">
            <v>KKM/IKN/H/13/3935-06</v>
          </cell>
          <cell r="E50" t="str">
            <v>12-306</v>
          </cell>
          <cell r="F50" t="str">
            <v>Lavage Units, Surgical</v>
          </cell>
          <cell r="G50" t="str">
            <v>MC</v>
          </cell>
          <cell r="H50" t="str">
            <v>MULTI-DISCIPLINE CLINIC</v>
          </cell>
          <cell r="I50" t="str">
            <v>03MC108</v>
          </cell>
          <cell r="J50" t="str">
            <v>TREATMENT/PROCEDURE</v>
          </cell>
          <cell r="K50" t="str">
            <v>BMED</v>
          </cell>
          <cell r="L50" t="str">
            <v>Critical</v>
          </cell>
          <cell r="M50" t="str">
            <v>JAPAN</v>
          </cell>
          <cell r="N50" t="str">
            <v>Olympus</v>
          </cell>
          <cell r="O50" t="str">
            <v>Olympus OFP-2</v>
          </cell>
          <cell r="P50" t="str">
            <v>21214324</v>
          </cell>
          <cell r="Q50" t="str">
            <v>Not Applicable</v>
          </cell>
          <cell r="R50" t="str">
            <v>Olympus Optical Co Ltd</v>
          </cell>
          <cell r="S50" t="str">
            <v>Endodynamics</v>
          </cell>
          <cell r="T50" t="str">
            <v>Functioning</v>
          </cell>
          <cell r="U50" t="str">
            <v>Asset</v>
          </cell>
          <cell r="V50">
            <v>5000</v>
          </cell>
          <cell r="W50" t="str">
            <v>Estimate</v>
          </cell>
          <cell r="X50" t="str">
            <v>01/09/2010</v>
          </cell>
          <cell r="Y50" t="str">
            <v>KEW</v>
          </cell>
          <cell r="Z50" t="str">
            <v>16/08/2013</v>
          </cell>
          <cell r="AA50" t="str">
            <v>15/08/2015</v>
          </cell>
          <cell r="AB50" t="str">
            <v>No</v>
          </cell>
          <cell r="AC50" t="str">
            <v>31/08/2013</v>
          </cell>
          <cell r="AD50" t="str">
            <v>Good</v>
          </cell>
          <cell r="AE50" t="str">
            <v>V1 - Existing / No Claim</v>
          </cell>
          <cell r="AF50">
            <v>42605</v>
          </cell>
          <cell r="AG50">
            <v>9.17</v>
          </cell>
          <cell r="AH50" t="str">
            <v>PPM</v>
          </cell>
          <cell r="AI50" t="str">
            <v>Strands</v>
          </cell>
          <cell r="AJ50" t="str">
            <v>Strands Package</v>
          </cell>
          <cell r="AK50" t="str">
            <v>Package Code EP0110</v>
          </cell>
        </row>
        <row r="51">
          <cell r="A51" t="str">
            <v>IKN401077</v>
          </cell>
          <cell r="B51">
            <v>1075</v>
          </cell>
          <cell r="C51" t="str">
            <v>Institut Kanser Negara</v>
          </cell>
          <cell r="D51" t="str">
            <v>KKM/IKN/H/13/3935-07</v>
          </cell>
          <cell r="E51" t="str">
            <v>10-208</v>
          </cell>
          <cell r="F51" t="str">
            <v>Aspirators</v>
          </cell>
          <cell r="G51" t="str">
            <v>MC</v>
          </cell>
          <cell r="H51" t="str">
            <v>MULTI-DISCIPLINE CLINIC</v>
          </cell>
          <cell r="I51" t="str">
            <v>03MC108</v>
          </cell>
          <cell r="J51" t="str">
            <v>TREATMENT/PROCEDURE</v>
          </cell>
          <cell r="K51" t="str">
            <v>BMED</v>
          </cell>
          <cell r="L51" t="str">
            <v>Critical</v>
          </cell>
          <cell r="M51" t="str">
            <v>Japan</v>
          </cell>
          <cell r="N51" t="str">
            <v>Olympus</v>
          </cell>
          <cell r="O51" t="str">
            <v>Olympus SSU-2</v>
          </cell>
          <cell r="P51" t="str">
            <v>21214442</v>
          </cell>
          <cell r="Q51" t="str">
            <v>Not Applicable</v>
          </cell>
          <cell r="R51" t="str">
            <v>Olympus Optical Co Ltd</v>
          </cell>
          <cell r="S51" t="str">
            <v>Endodynamics</v>
          </cell>
          <cell r="T51" t="str">
            <v>Functioning</v>
          </cell>
          <cell r="U51" t="str">
            <v>Asset</v>
          </cell>
          <cell r="V51">
            <v>4000</v>
          </cell>
          <cell r="W51" t="str">
            <v>Estimate</v>
          </cell>
          <cell r="X51" t="str">
            <v>01/09/2010</v>
          </cell>
          <cell r="Y51" t="str">
            <v>KEW</v>
          </cell>
          <cell r="Z51" t="str">
            <v>16/08/2013</v>
          </cell>
          <cell r="AA51" t="str">
            <v>15/08/2015</v>
          </cell>
          <cell r="AB51" t="str">
            <v>No</v>
          </cell>
          <cell r="AC51" t="str">
            <v>31/08/2013</v>
          </cell>
          <cell r="AD51" t="str">
            <v>Good</v>
          </cell>
          <cell r="AE51" t="str">
            <v>V1 - Existing / No Claim</v>
          </cell>
          <cell r="AF51">
            <v>42605</v>
          </cell>
          <cell r="AG51">
            <v>9.17</v>
          </cell>
          <cell r="AH51" t="str">
            <v>PPM</v>
          </cell>
          <cell r="AI51" t="str">
            <v>Strands</v>
          </cell>
          <cell r="AJ51" t="str">
            <v>Strands Package</v>
          </cell>
          <cell r="AK51" t="str">
            <v>Package Code EP0110</v>
          </cell>
        </row>
        <row r="52">
          <cell r="A52" t="str">
            <v>IKN401090</v>
          </cell>
          <cell r="B52">
            <v>1088</v>
          </cell>
          <cell r="C52" t="str">
            <v>Institut Kanser Negara</v>
          </cell>
          <cell r="E52" t="str">
            <v>12-282</v>
          </cell>
          <cell r="F52" t="str">
            <v>Lights, Surgical</v>
          </cell>
          <cell r="G52" t="str">
            <v>MC</v>
          </cell>
          <cell r="H52" t="str">
            <v>MULTI-DISCIPLINE CLINIC</v>
          </cell>
          <cell r="I52" t="str">
            <v>03MC108</v>
          </cell>
          <cell r="J52" t="str">
            <v>TREATMENT/PROCEDURE</v>
          </cell>
          <cell r="K52" t="str">
            <v>BMED</v>
          </cell>
          <cell r="L52" t="str">
            <v>Normal</v>
          </cell>
          <cell r="M52" t="str">
            <v>USA</v>
          </cell>
          <cell r="N52" t="str">
            <v>Welch Allyn</v>
          </cell>
          <cell r="O52" t="str">
            <v>Welch Allyn GS900</v>
          </cell>
          <cell r="P52" t="str">
            <v>10033711107108</v>
          </cell>
          <cell r="Q52" t="str">
            <v>Not Applicable</v>
          </cell>
          <cell r="R52" t="str">
            <v>Welch Allyn Inc</v>
          </cell>
          <cell r="S52" t="str">
            <v>Welch Allyn Malaysia Sdn Bhd</v>
          </cell>
          <cell r="T52" t="str">
            <v>Functioning</v>
          </cell>
          <cell r="U52" t="str">
            <v>Asset</v>
          </cell>
          <cell r="V52">
            <v>10585</v>
          </cell>
          <cell r="W52" t="str">
            <v>KEW</v>
          </cell>
          <cell r="X52" t="str">
            <v>01/09/2010</v>
          </cell>
          <cell r="Y52" t="str">
            <v>KEW</v>
          </cell>
          <cell r="Z52" t="str">
            <v>16/08/2013</v>
          </cell>
          <cell r="AA52" t="str">
            <v>15/08/2015</v>
          </cell>
          <cell r="AB52" t="str">
            <v>No</v>
          </cell>
          <cell r="AC52" t="str">
            <v>31/08/2013</v>
          </cell>
          <cell r="AD52" t="str">
            <v>Good</v>
          </cell>
          <cell r="AE52" t="str">
            <v>V1 - Existing / No Claim</v>
          </cell>
          <cell r="AF52">
            <v>42235</v>
          </cell>
          <cell r="AG52">
            <v>9.17</v>
          </cell>
          <cell r="AH52" t="str">
            <v>PPM</v>
          </cell>
          <cell r="AI52" t="str">
            <v>Not in contract- FEMS -ambulan</v>
          </cell>
          <cell r="AJ52" t="str">
            <v>Strands PW</v>
          </cell>
        </row>
        <row r="53">
          <cell r="A53" t="str">
            <v>IKN401311</v>
          </cell>
          <cell r="B53">
            <v>1307</v>
          </cell>
          <cell r="C53" t="str">
            <v>Institut Kanser Negara</v>
          </cell>
          <cell r="D53" t="str">
            <v>KKM/IKN/H/16/11</v>
          </cell>
          <cell r="E53" t="str">
            <v>18-231</v>
          </cell>
          <cell r="F53" t="str">
            <v>Electrosurgical Units, Monopolar/Bipolar</v>
          </cell>
          <cell r="G53" t="str">
            <v>MC</v>
          </cell>
          <cell r="H53" t="str">
            <v>MULTI-DISCIPLINE CLINIC</v>
          </cell>
          <cell r="I53" t="str">
            <v>03MC107</v>
          </cell>
          <cell r="J53" t="str">
            <v>TREATMENT 1</v>
          </cell>
          <cell r="K53" t="str">
            <v>BMED</v>
          </cell>
          <cell r="L53" t="str">
            <v>Critical</v>
          </cell>
          <cell r="M53" t="str">
            <v>USA</v>
          </cell>
          <cell r="N53" t="str">
            <v>Covidien</v>
          </cell>
          <cell r="O53" t="str">
            <v>Force FX-8CS</v>
          </cell>
          <cell r="P53" t="str">
            <v>F5L75006AX</v>
          </cell>
          <cell r="Q53" t="str">
            <v>Not Applicable</v>
          </cell>
          <cell r="R53" t="str">
            <v>Covidien Co</v>
          </cell>
          <cell r="S53" t="str">
            <v>Medtronic</v>
          </cell>
          <cell r="T53" t="str">
            <v>Functioning</v>
          </cell>
          <cell r="U53" t="str">
            <v>Asset</v>
          </cell>
          <cell r="V53">
            <v>36000</v>
          </cell>
          <cell r="W53" t="str">
            <v>KEW</v>
          </cell>
          <cell r="X53" t="str">
            <v>12/08/2016</v>
          </cell>
          <cell r="Y53" t="str">
            <v>KEW</v>
          </cell>
          <cell r="Z53" t="str">
            <v>07/10/2016</v>
          </cell>
          <cell r="AA53" t="str">
            <v>08/10/2018</v>
          </cell>
          <cell r="AB53" t="str">
            <v>No</v>
          </cell>
          <cell r="AC53" t="str">
            <v>07/10/2016</v>
          </cell>
          <cell r="AD53" t="str">
            <v>Good</v>
          </cell>
          <cell r="AE53" t="str">
            <v>V3 - Added Installed Facilities (New)</v>
          </cell>
          <cell r="AF53">
            <v>42799</v>
          </cell>
          <cell r="AG53">
            <v>3.25</v>
          </cell>
          <cell r="AH53" t="str">
            <v>PPM</v>
          </cell>
          <cell r="AI53" t="str">
            <v>Strands</v>
          </cell>
          <cell r="AJ53" t="str">
            <v>Strands PW</v>
          </cell>
          <cell r="AK53" t="str">
            <v>SNF received on 25.2.2020</v>
          </cell>
        </row>
        <row r="54">
          <cell r="A54" t="str">
            <v>IKN401338</v>
          </cell>
          <cell r="B54">
            <v>1332</v>
          </cell>
          <cell r="C54" t="str">
            <v>Institut Kanser Negara</v>
          </cell>
          <cell r="D54" t="str">
            <v>KKM/IKN/H/16/37</v>
          </cell>
          <cell r="E54" t="str">
            <v>18-231</v>
          </cell>
          <cell r="F54" t="str">
            <v>Electrosurgical Units, Monopolar/Bipolar</v>
          </cell>
          <cell r="G54" t="str">
            <v>MC</v>
          </cell>
          <cell r="H54" t="str">
            <v>MULTI-DISCIPLINE CLINIC</v>
          </cell>
          <cell r="I54" t="str">
            <v>03MC107</v>
          </cell>
          <cell r="J54" t="str">
            <v>TREATMENT 1</v>
          </cell>
          <cell r="K54" t="str">
            <v>BMED</v>
          </cell>
          <cell r="L54" t="str">
            <v>Critical</v>
          </cell>
          <cell r="M54" t="str">
            <v>France</v>
          </cell>
          <cell r="N54" t="str">
            <v>Servotome</v>
          </cell>
          <cell r="O54" t="str">
            <v>Servotome</v>
          </cell>
          <cell r="P54" t="str">
            <v>871532005</v>
          </cell>
          <cell r="Q54" t="str">
            <v>Not Applicable</v>
          </cell>
          <cell r="R54" t="str">
            <v>Satelec</v>
          </cell>
          <cell r="S54" t="str">
            <v>RAF SYNERGY SDN BHD</v>
          </cell>
          <cell r="T54" t="str">
            <v>Functioning</v>
          </cell>
          <cell r="U54" t="str">
            <v>Asset</v>
          </cell>
          <cell r="V54">
            <v>16000</v>
          </cell>
          <cell r="W54" t="str">
            <v>KEW</v>
          </cell>
          <cell r="X54" t="str">
            <v>27/10/2016</v>
          </cell>
          <cell r="Y54" t="str">
            <v>KEW</v>
          </cell>
          <cell r="Z54" t="str">
            <v>06/12/2016</v>
          </cell>
          <cell r="AA54" t="str">
            <v>06/12/2018</v>
          </cell>
          <cell r="AB54" t="str">
            <v>No</v>
          </cell>
          <cell r="AC54" t="str">
            <v>06/12/2016</v>
          </cell>
          <cell r="AD54" t="str">
            <v>Good</v>
          </cell>
          <cell r="AE54" t="str">
            <v>V3 - Added Installed Facilities (New)</v>
          </cell>
          <cell r="AF54">
            <v>42951</v>
          </cell>
          <cell r="AG54">
            <v>3.08</v>
          </cell>
          <cell r="AH54" t="str">
            <v>PPM</v>
          </cell>
          <cell r="AI54" t="str">
            <v>Strands</v>
          </cell>
          <cell r="AJ54" t="str">
            <v>Strands PW</v>
          </cell>
          <cell r="AK54" t="str">
            <v>SNF received on 25.2.2020</v>
          </cell>
        </row>
        <row r="55">
          <cell r="A55" t="str">
            <v>IKN401444</v>
          </cell>
          <cell r="B55">
            <v>1419</v>
          </cell>
          <cell r="C55" t="str">
            <v>Institut Kanser Negara</v>
          </cell>
          <cell r="D55" t="str">
            <v>KKM/IKN/H/13/2432</v>
          </cell>
          <cell r="E55" t="str">
            <v>13-461</v>
          </cell>
          <cell r="F55" t="str">
            <v>Scales, Patient, Floor</v>
          </cell>
          <cell r="G55" t="str">
            <v>DO</v>
          </cell>
          <cell r="H55" t="str">
            <v>DAY ONCOLOGY UNIT</v>
          </cell>
          <cell r="I55" t="str">
            <v>04DO105</v>
          </cell>
          <cell r="J55" t="str">
            <v>C/E</v>
          </cell>
          <cell r="K55" t="str">
            <v>BMED</v>
          </cell>
          <cell r="L55" t="str">
            <v>Normal</v>
          </cell>
          <cell r="M55" t="str">
            <v>USA</v>
          </cell>
          <cell r="N55" t="str">
            <v>Detecto</v>
          </cell>
          <cell r="O55" t="str">
            <v>758 C</v>
          </cell>
          <cell r="P55" t="str">
            <v>E34812-0038</v>
          </cell>
          <cell r="Q55" t="str">
            <v>Not Applicable</v>
          </cell>
          <cell r="R55" t="str">
            <v>DETECTO</v>
          </cell>
          <cell r="S55" t="str">
            <v>ACUCARE SYSTEM SDN BHD</v>
          </cell>
          <cell r="T55" t="str">
            <v>Functioning</v>
          </cell>
          <cell r="U55" t="str">
            <v>Asset</v>
          </cell>
          <cell r="V55">
            <v>9380</v>
          </cell>
          <cell r="W55" t="str">
            <v>KEW</v>
          </cell>
          <cell r="X55" t="str">
            <v>01/09/2010</v>
          </cell>
          <cell r="Y55" t="str">
            <v>Estimate</v>
          </cell>
          <cell r="Z55" t="str">
            <v>16/08/2013</v>
          </cell>
          <cell r="AA55" t="str">
            <v>15/08/2015</v>
          </cell>
          <cell r="AB55" t="str">
            <v>No</v>
          </cell>
          <cell r="AC55" t="str">
            <v>31/08/2013</v>
          </cell>
          <cell r="AD55" t="str">
            <v>Good</v>
          </cell>
          <cell r="AE55" t="str">
            <v>V1 - Existing / No Claim</v>
          </cell>
          <cell r="AF55">
            <v>43430</v>
          </cell>
          <cell r="AG55">
            <v>9.17</v>
          </cell>
          <cell r="AH55" t="str">
            <v>PPM</v>
          </cell>
          <cell r="AI55" t="str">
            <v>Strands</v>
          </cell>
          <cell r="AJ55" t="str">
            <v>Strands PW. Proposed for V4 P2.23</v>
          </cell>
        </row>
        <row r="56">
          <cell r="A56" t="str">
            <v>IKN401525</v>
          </cell>
          <cell r="B56">
            <v>1465</v>
          </cell>
          <cell r="C56" t="str">
            <v>Institut Kanser Negara</v>
          </cell>
          <cell r="D56" t="str">
            <v>KKM/IKN/H/16/35 &amp; KKM/IKN/H21/82 (Accessory)</v>
          </cell>
          <cell r="E56" t="str">
            <v>10-792</v>
          </cell>
          <cell r="F56" t="str">
            <v>Chairs, Examination/Treatment, Dentistry</v>
          </cell>
          <cell r="G56" t="str">
            <v>MC</v>
          </cell>
          <cell r="H56" t="str">
            <v>MULTI-DISCIPLINE CLINIC</v>
          </cell>
          <cell r="I56" t="str">
            <v>03MC107</v>
          </cell>
          <cell r="J56" t="str">
            <v>TREATMENT 1</v>
          </cell>
          <cell r="K56" t="str">
            <v>BMED</v>
          </cell>
          <cell r="L56" t="str">
            <v>Normal</v>
          </cell>
          <cell r="M56" t="str">
            <v>Germany</v>
          </cell>
          <cell r="N56" t="str">
            <v>KAVO</v>
          </cell>
          <cell r="O56" t="str">
            <v>RAF 1058 LIFE</v>
          </cell>
          <cell r="P56" t="str">
            <v>2016-08-1000650</v>
          </cell>
          <cell r="Q56" t="str">
            <v>Not Applicable</v>
          </cell>
          <cell r="R56" t="str">
            <v>KALTENBACH &amp; VOIGT GMBH</v>
          </cell>
          <cell r="S56" t="str">
            <v>RAF SYNERGY SDN BHD</v>
          </cell>
          <cell r="T56" t="str">
            <v>Functioning</v>
          </cell>
          <cell r="U56" t="str">
            <v>Asset</v>
          </cell>
          <cell r="V56">
            <v>72000</v>
          </cell>
          <cell r="W56" t="str">
            <v>KEW</v>
          </cell>
          <cell r="X56" t="str">
            <v>27/10/2016</v>
          </cell>
          <cell r="Y56" t="str">
            <v>KEW</v>
          </cell>
          <cell r="Z56" t="str">
            <v>06/12/2016</v>
          </cell>
          <cell r="AA56" t="str">
            <v>06/12/2018</v>
          </cell>
          <cell r="AB56" t="str">
            <v>No</v>
          </cell>
          <cell r="AC56" t="str">
            <v>06/12/2016</v>
          </cell>
          <cell r="AD56" t="str">
            <v>Good</v>
          </cell>
          <cell r="AE56" t="str">
            <v>V3 - Added Installed Facilities (New)</v>
          </cell>
          <cell r="AF56">
            <v>43019</v>
          </cell>
          <cell r="AG56">
            <v>3.08</v>
          </cell>
          <cell r="AH56" t="str">
            <v>PPM</v>
          </cell>
          <cell r="AI56" t="str">
            <v>Strands</v>
          </cell>
          <cell r="AJ56" t="str">
            <v>Strands PW</v>
          </cell>
          <cell r="AK56" t="str">
            <v>SNF received on 25.2.2020. [17/5/2024, SHARIFAH]: Add KEWPA Accessory SN: KAV-1.007.5540</v>
          </cell>
        </row>
        <row r="57">
          <cell r="A57" t="str">
            <v>IKN401532</v>
          </cell>
          <cell r="B57">
            <v>1472</v>
          </cell>
          <cell r="C57" t="str">
            <v>Institut Kanser Negara</v>
          </cell>
          <cell r="E57" t="str">
            <v>17-848</v>
          </cell>
          <cell r="F57" t="str">
            <v>Biopsy Guns</v>
          </cell>
          <cell r="G57" t="str">
            <v>MC</v>
          </cell>
          <cell r="H57" t="str">
            <v>MULTI-DISCIPLINE CLINIC</v>
          </cell>
          <cell r="I57" t="str">
            <v>03MC108</v>
          </cell>
          <cell r="J57" t="str">
            <v>TREATMENT/PROCEDURE</v>
          </cell>
          <cell r="K57" t="str">
            <v>BMED</v>
          </cell>
          <cell r="L57" t="str">
            <v>Critical</v>
          </cell>
          <cell r="M57" t="str">
            <v>USA</v>
          </cell>
          <cell r="N57" t="str">
            <v>Magnum</v>
          </cell>
          <cell r="O57" t="str">
            <v>Magnum MG1522</v>
          </cell>
          <cell r="P57" t="str">
            <v>51DY0001</v>
          </cell>
          <cell r="Q57" t="str">
            <v>Not Applicable</v>
          </cell>
          <cell r="R57" t="str">
            <v>Bard Peripheral Vascular Inc</v>
          </cell>
          <cell r="S57" t="str">
            <v>SAPPHIRE MEDTECH INDUSTRIES</v>
          </cell>
          <cell r="T57" t="str">
            <v>Functioning</v>
          </cell>
          <cell r="U57" t="str">
            <v>Asset</v>
          </cell>
          <cell r="V57">
            <v>7750</v>
          </cell>
          <cell r="W57" t="str">
            <v>KEW</v>
          </cell>
          <cell r="X57" t="str">
            <v>25/09/2014</v>
          </cell>
          <cell r="Y57" t="str">
            <v>KEW</v>
          </cell>
          <cell r="Z57" t="str">
            <v>09/10/2014</v>
          </cell>
          <cell r="AA57" t="str">
            <v>09/10/2015</v>
          </cell>
          <cell r="AB57" t="str">
            <v>No</v>
          </cell>
          <cell r="AC57" t="str">
            <v>09/10/2014</v>
          </cell>
          <cell r="AD57" t="str">
            <v>Good</v>
          </cell>
          <cell r="AE57" t="str">
            <v>V3 - Added Installed Facilities (New)</v>
          </cell>
          <cell r="AF57">
            <v>42899</v>
          </cell>
          <cell r="AG57">
            <v>5.17</v>
          </cell>
          <cell r="AH57" t="str">
            <v>PPM</v>
          </cell>
          <cell r="AI57" t="str">
            <v>Not in contract</v>
          </cell>
          <cell r="AJ57" t="str">
            <v>Strands PW</v>
          </cell>
          <cell r="AK57" t="str">
            <v>Unit not found. So will be under V4 later</v>
          </cell>
        </row>
        <row r="58">
          <cell r="A58" t="str">
            <v>IKN401617</v>
          </cell>
          <cell r="B58">
            <v>1551</v>
          </cell>
          <cell r="C58" t="str">
            <v>Institut Kanser Negara</v>
          </cell>
          <cell r="D58" t="str">
            <v>KKM/IKN/H/16/36</v>
          </cell>
          <cell r="E58" t="str">
            <v>10-208</v>
          </cell>
          <cell r="F58" t="str">
            <v>Aspirators</v>
          </cell>
          <cell r="G58" t="str">
            <v>MC</v>
          </cell>
          <cell r="H58" t="str">
            <v>MULTI-DISCIPLINE CLINIC</v>
          </cell>
          <cell r="I58" t="str">
            <v>03MC107</v>
          </cell>
          <cell r="J58" t="str">
            <v>TREATMENT 1</v>
          </cell>
          <cell r="K58" t="str">
            <v>BMED</v>
          </cell>
          <cell r="L58" t="str">
            <v>Critical</v>
          </cell>
          <cell r="M58" t="str">
            <v>Korea</v>
          </cell>
          <cell r="N58" t="str">
            <v>Omega</v>
          </cell>
          <cell r="O58" t="str">
            <v>S101C</v>
          </cell>
          <cell r="P58" t="str">
            <v>SIC 16380034</v>
          </cell>
          <cell r="Q58" t="str">
            <v>Not Applicable</v>
          </cell>
          <cell r="R58" t="str">
            <v>OMEGA</v>
          </cell>
          <cell r="S58" t="str">
            <v>RAF SYNERGY SDN BHD</v>
          </cell>
          <cell r="T58" t="str">
            <v>Functioning</v>
          </cell>
          <cell r="U58" t="str">
            <v>Asset</v>
          </cell>
          <cell r="V58">
            <v>4900</v>
          </cell>
          <cell r="W58" t="str">
            <v>KEW</v>
          </cell>
          <cell r="X58" t="str">
            <v>27/10/2016</v>
          </cell>
          <cell r="Y58" t="str">
            <v>KEW</v>
          </cell>
          <cell r="Z58" t="str">
            <v>06/12/2016</v>
          </cell>
          <cell r="AA58" t="str">
            <v>06/12/2018</v>
          </cell>
          <cell r="AB58" t="str">
            <v>No</v>
          </cell>
          <cell r="AC58" t="str">
            <v>06/12/2016</v>
          </cell>
          <cell r="AD58" t="str">
            <v>Good</v>
          </cell>
          <cell r="AE58" t="str">
            <v>V3 - Added Installed Facilities (New)</v>
          </cell>
          <cell r="AF58">
            <v>42951</v>
          </cell>
          <cell r="AG58">
            <v>3.08</v>
          </cell>
          <cell r="AH58" t="str">
            <v>PPM</v>
          </cell>
          <cell r="AI58" t="str">
            <v>Strands</v>
          </cell>
          <cell r="AJ58" t="str">
            <v>Strands PW</v>
          </cell>
          <cell r="AK58" t="str">
            <v>SNF received. 1st batch of V3 asset (December 2020)</v>
          </cell>
        </row>
        <row r="59">
          <cell r="A59" t="str">
            <v>IKN401618</v>
          </cell>
          <cell r="B59">
            <v>1552</v>
          </cell>
          <cell r="C59" t="str">
            <v>Institut Kanser Negara</v>
          </cell>
          <cell r="D59" t="str">
            <v>KKM/IKN/H/16/39</v>
          </cell>
          <cell r="E59" t="str">
            <v>10-972</v>
          </cell>
          <cell r="F59" t="str">
            <v>Compressors, Medical-Air</v>
          </cell>
          <cell r="G59" t="str">
            <v>MC</v>
          </cell>
          <cell r="H59" t="str">
            <v>MULTI-DISCIPLINE CLINIC</v>
          </cell>
          <cell r="I59" t="str">
            <v>03MC107</v>
          </cell>
          <cell r="J59" t="str">
            <v>TREATMENT 1</v>
          </cell>
          <cell r="K59" t="str">
            <v>BMED</v>
          </cell>
          <cell r="L59" t="str">
            <v>Normal</v>
          </cell>
          <cell r="M59" t="str">
            <v>Germany</v>
          </cell>
          <cell r="N59" t="str">
            <v>Tornado</v>
          </cell>
          <cell r="O59" t="str">
            <v>Tornado 1</v>
          </cell>
          <cell r="P59" t="str">
            <v>H 103304706</v>
          </cell>
          <cell r="Q59" t="str">
            <v>Not Applicable</v>
          </cell>
          <cell r="R59" t="str">
            <v>Durr Dental Ag</v>
          </cell>
          <cell r="S59" t="str">
            <v>RAF SYNERGY SDN BHD</v>
          </cell>
          <cell r="T59" t="str">
            <v>Functioning</v>
          </cell>
          <cell r="U59" t="str">
            <v>Asset</v>
          </cell>
          <cell r="V59">
            <v>7000</v>
          </cell>
          <cell r="W59" t="str">
            <v>KEW</v>
          </cell>
          <cell r="X59" t="str">
            <v>27/10/2016</v>
          </cell>
          <cell r="Y59" t="str">
            <v>KEW</v>
          </cell>
          <cell r="Z59" t="str">
            <v>06/12/2016</v>
          </cell>
          <cell r="AA59" t="str">
            <v>06/12/2018</v>
          </cell>
          <cell r="AB59" t="str">
            <v>No</v>
          </cell>
          <cell r="AC59" t="str">
            <v>06/12/2016</v>
          </cell>
          <cell r="AD59" t="str">
            <v>Good</v>
          </cell>
          <cell r="AE59" t="str">
            <v>V3 - Added Installed Facilities (New)</v>
          </cell>
          <cell r="AF59">
            <v>42951</v>
          </cell>
          <cell r="AG59">
            <v>3.08</v>
          </cell>
          <cell r="AH59" t="str">
            <v>PPM</v>
          </cell>
          <cell r="AI59" t="str">
            <v>Strands</v>
          </cell>
          <cell r="AJ59" t="str">
            <v>Strands PW</v>
          </cell>
          <cell r="AK59" t="str">
            <v>SNF received. 1st batch of V3 asset (December 2020)</v>
          </cell>
        </row>
        <row r="60">
          <cell r="A60" t="str">
            <v>IKN401619</v>
          </cell>
          <cell r="B60">
            <v>1553</v>
          </cell>
          <cell r="C60" t="str">
            <v>Institut Kanser Negara</v>
          </cell>
          <cell r="D60" t="str">
            <v>KKM/IKN/H/16/38</v>
          </cell>
          <cell r="E60" t="str">
            <v>88-026</v>
          </cell>
          <cell r="F60" t="str">
            <v>Cameras, Video, Dental, Intraoral/Extraoral</v>
          </cell>
          <cell r="G60" t="str">
            <v>MC</v>
          </cell>
          <cell r="H60" t="str">
            <v>MULTI-DISCIPLINE CLINIC</v>
          </cell>
          <cell r="I60" t="str">
            <v>03MC107</v>
          </cell>
          <cell r="J60" t="str">
            <v>TREATMENT 1</v>
          </cell>
          <cell r="K60" t="str">
            <v>BMED</v>
          </cell>
          <cell r="L60" t="str">
            <v>Critical</v>
          </cell>
          <cell r="M60" t="str">
            <v>France</v>
          </cell>
          <cell r="N60" t="str">
            <v>Satelec</v>
          </cell>
          <cell r="O60" t="str">
            <v>Durr Vista Cam-1x</v>
          </cell>
          <cell r="P60" t="str">
            <v>H006083</v>
          </cell>
          <cell r="Q60" t="str">
            <v>Not Applicable</v>
          </cell>
          <cell r="R60" t="str">
            <v>DURR DENTAL AG</v>
          </cell>
          <cell r="S60" t="str">
            <v>RAF SYNERGY SDN BHD</v>
          </cell>
          <cell r="T60" t="str">
            <v>Functioning</v>
          </cell>
          <cell r="U60" t="str">
            <v>Asset</v>
          </cell>
          <cell r="V60">
            <v>20000</v>
          </cell>
          <cell r="W60" t="str">
            <v>KEW</v>
          </cell>
          <cell r="X60" t="str">
            <v>27/10/2016</v>
          </cell>
          <cell r="Y60" t="str">
            <v>KEW</v>
          </cell>
          <cell r="Z60" t="str">
            <v>06/12/2016</v>
          </cell>
          <cell r="AA60" t="str">
            <v>06/12/2018</v>
          </cell>
          <cell r="AB60" t="str">
            <v>No</v>
          </cell>
          <cell r="AC60" t="str">
            <v>06/12/2016</v>
          </cell>
          <cell r="AD60" t="str">
            <v>Good</v>
          </cell>
          <cell r="AE60" t="str">
            <v>V3 - Added Installed Facilities (New)</v>
          </cell>
          <cell r="AF60">
            <v>42951</v>
          </cell>
          <cell r="AG60">
            <v>3.08</v>
          </cell>
          <cell r="AH60" t="str">
            <v>PPM</v>
          </cell>
          <cell r="AI60" t="str">
            <v>Strands</v>
          </cell>
          <cell r="AJ60" t="str">
            <v>Strands PW</v>
          </cell>
          <cell r="AK60" t="str">
            <v>SNF received. 1st batch of V3 asset (December 2020)</v>
          </cell>
        </row>
        <row r="61">
          <cell r="A61" t="str">
            <v>IKN402001</v>
          </cell>
          <cell r="B61">
            <v>1656</v>
          </cell>
          <cell r="C61" t="str">
            <v>Institut Kanser Negara</v>
          </cell>
          <cell r="D61" t="str">
            <v>KKM/IKN/H/19/5</v>
          </cell>
          <cell r="E61" t="str">
            <v>16-666</v>
          </cell>
          <cell r="F61" t="str">
            <v>Dental Hand Instruments, Surgical</v>
          </cell>
          <cell r="G61" t="str">
            <v>MC</v>
          </cell>
          <cell r="H61" t="str">
            <v>MULTI-DISCIPLINE CLINIC</v>
          </cell>
          <cell r="I61" t="str">
            <v>03MC107</v>
          </cell>
          <cell r="J61" t="str">
            <v>TREATMENT 1</v>
          </cell>
          <cell r="K61" t="str">
            <v>BMED</v>
          </cell>
          <cell r="L61" t="str">
            <v>Normal</v>
          </cell>
          <cell r="M61" t="str">
            <v>Switzerland</v>
          </cell>
          <cell r="N61" t="str">
            <v>DEPUY SYNTHES</v>
          </cell>
          <cell r="O61" t="str">
            <v>01.001.560</v>
          </cell>
          <cell r="P61" t="str">
            <v>(21)3699</v>
          </cell>
          <cell r="Q61" t="str">
            <v>Not Applicable</v>
          </cell>
          <cell r="R61" t="str">
            <v>DEPUY SYNTHES</v>
          </cell>
          <cell r="S61" t="str">
            <v>JOHNSON &amp; JOHNSON SDN BHD</v>
          </cell>
          <cell r="T61" t="str">
            <v>Functioning</v>
          </cell>
          <cell r="U61" t="str">
            <v>Asset</v>
          </cell>
          <cell r="V61">
            <v>89980</v>
          </cell>
          <cell r="W61" t="str">
            <v>KEW</v>
          </cell>
          <cell r="X61">
            <v>43677</v>
          </cell>
          <cell r="Y61" t="str">
            <v>KEW</v>
          </cell>
          <cell r="Z61">
            <v>43725</v>
          </cell>
          <cell r="AA61">
            <v>44091</v>
          </cell>
          <cell r="AB61" t="str">
            <v>No</v>
          </cell>
          <cell r="AC61">
            <v>43725</v>
          </cell>
          <cell r="AD61" t="str">
            <v>Good</v>
          </cell>
          <cell r="AE61" t="str">
            <v>V3 - Added Installed Facilities (New)</v>
          </cell>
          <cell r="AG61">
            <v>9.17</v>
          </cell>
          <cell r="AH61" t="str">
            <v>PPM</v>
          </cell>
          <cell r="AI61" t="str">
            <v>strands</v>
          </cell>
          <cell r="AJ61" t="str">
            <v>Strands PW</v>
          </cell>
        </row>
        <row r="62">
          <cell r="A62" t="str">
            <v>IKN402002</v>
          </cell>
          <cell r="B62">
            <v>1657</v>
          </cell>
          <cell r="C62" t="str">
            <v>Institut Kanser Negara</v>
          </cell>
          <cell r="D62" t="str">
            <v>KKM/IKN/H/19/19</v>
          </cell>
          <cell r="E62" t="str">
            <v>15-976</v>
          </cell>
          <cell r="F62" t="str">
            <v>Scanning Systems, Ultrasonic, General-Purpose</v>
          </cell>
          <cell r="G62" t="str">
            <v>MC</v>
          </cell>
          <cell r="H62" t="str">
            <v>MULTI-DISCIPLINE CLINIC</v>
          </cell>
          <cell r="I62" t="str">
            <v>03MC128</v>
          </cell>
          <cell r="J62" t="str">
            <v>C/E 2</v>
          </cell>
          <cell r="K62" t="str">
            <v>BMED</v>
          </cell>
          <cell r="L62" t="str">
            <v>Normal</v>
          </cell>
          <cell r="M62" t="str">
            <v>CHINA</v>
          </cell>
          <cell r="N62" t="str">
            <v>MINDRAY</v>
          </cell>
          <cell r="O62" t="str">
            <v>DC-70X</v>
          </cell>
          <cell r="P62" t="str">
            <v>CJ1-99001151</v>
          </cell>
          <cell r="Q62" t="str">
            <v>Not Applicable</v>
          </cell>
          <cell r="R62" t="str">
            <v>MINDRAY</v>
          </cell>
          <cell r="S62" t="str">
            <v>INFINITY MEDICAL SDN BHD</v>
          </cell>
          <cell r="T62" t="str">
            <v>Functioning</v>
          </cell>
          <cell r="U62" t="str">
            <v>Asset</v>
          </cell>
          <cell r="V62">
            <v>142800</v>
          </cell>
          <cell r="W62" t="str">
            <v>KEW</v>
          </cell>
          <cell r="X62">
            <v>43788</v>
          </cell>
          <cell r="Y62" t="str">
            <v>KEW</v>
          </cell>
          <cell r="Z62">
            <v>43791</v>
          </cell>
          <cell r="AA62">
            <v>44887</v>
          </cell>
          <cell r="AB62" t="str">
            <v>No</v>
          </cell>
          <cell r="AC62">
            <v>43791</v>
          </cell>
          <cell r="AD62" t="str">
            <v>Good</v>
          </cell>
          <cell r="AE62" t="str">
            <v>V3 - Added Installed Facilities (New)</v>
          </cell>
          <cell r="AG62">
            <v>9.17</v>
          </cell>
          <cell r="AH62" t="str">
            <v>PPM</v>
          </cell>
          <cell r="AI62" t="str">
            <v>strands</v>
          </cell>
          <cell r="AJ62" t="str">
            <v>Strands DW</v>
          </cell>
        </row>
        <row r="63">
          <cell r="A63" t="str">
            <v>IKN402021</v>
          </cell>
          <cell r="B63">
            <v>1676</v>
          </cell>
          <cell r="C63" t="str">
            <v>Institut Kanser Negara</v>
          </cell>
          <cell r="D63" t="str">
            <v>KKM/IKN/H/20/9</v>
          </cell>
          <cell r="E63" t="str">
            <v>10-429</v>
          </cell>
          <cell r="F63" t="str">
            <v>Blood-Flow Detectors, Ultrasonic</v>
          </cell>
          <cell r="G63" t="str">
            <v>MC</v>
          </cell>
          <cell r="H63" t="str">
            <v>MULTI-DISCIPLINE CLINIC</v>
          </cell>
          <cell r="I63" t="str">
            <v>03MC107</v>
          </cell>
          <cell r="J63" t="str">
            <v>TREATMENT 1</v>
          </cell>
          <cell r="K63" t="str">
            <v>BMED</v>
          </cell>
          <cell r="L63" t="str">
            <v>Normal</v>
          </cell>
          <cell r="M63" t="str">
            <v>United Kingdom</v>
          </cell>
          <cell r="N63" t="str">
            <v>Huntleigh</v>
          </cell>
          <cell r="O63" t="str">
            <v>DMX-R</v>
          </cell>
          <cell r="P63" t="str">
            <v>(21)772A200785119</v>
          </cell>
          <cell r="Q63" t="str">
            <v>Not Applicable</v>
          </cell>
          <cell r="R63" t="str">
            <v>Huntleigh</v>
          </cell>
          <cell r="S63" t="str">
            <v>J &amp; J MURNI SDN BHD</v>
          </cell>
          <cell r="T63" t="str">
            <v>Functioning</v>
          </cell>
          <cell r="U63" t="str">
            <v>Asset</v>
          </cell>
          <cell r="V63">
            <v>15000</v>
          </cell>
          <cell r="W63" t="str">
            <v>KEW</v>
          </cell>
          <cell r="X63">
            <v>43907</v>
          </cell>
          <cell r="Y63" t="str">
            <v>KEW</v>
          </cell>
          <cell r="Z63">
            <v>43949</v>
          </cell>
          <cell r="AA63">
            <v>44314</v>
          </cell>
          <cell r="AB63" t="str">
            <v>No</v>
          </cell>
          <cell r="AC63">
            <v>43949</v>
          </cell>
          <cell r="AD63" t="str">
            <v>Good</v>
          </cell>
          <cell r="AE63" t="str">
            <v>V3 - Added Installed Facilities (New)</v>
          </cell>
          <cell r="AG63">
            <v>9.17</v>
          </cell>
          <cell r="AH63" t="str">
            <v>PPM</v>
          </cell>
          <cell r="AI63" t="str">
            <v>Strands</v>
          </cell>
          <cell r="AJ63" t="str">
            <v>Strands PW</v>
          </cell>
          <cell r="AK63" t="str">
            <v>SNF received on 19.5.2020</v>
          </cell>
        </row>
        <row r="64">
          <cell r="A64" t="str">
            <v>IKN402022</v>
          </cell>
          <cell r="B64">
            <v>1677</v>
          </cell>
          <cell r="C64" t="str">
            <v>Institut Kanser Negara</v>
          </cell>
          <cell r="D64" t="str">
            <v>KKM/IKN/H/20/8</v>
          </cell>
          <cell r="E64" t="str">
            <v>14-074</v>
          </cell>
          <cell r="F64" t="str">
            <v>Tourniquets, Pneumatic</v>
          </cell>
          <cell r="G64" t="str">
            <v>MC</v>
          </cell>
          <cell r="H64" t="str">
            <v>MULTI-DISCIPLINE CLINIC</v>
          </cell>
          <cell r="I64" t="str">
            <v>OT</v>
          </cell>
          <cell r="J64" t="str">
            <v>OPERATION THEATRE</v>
          </cell>
          <cell r="K64" t="str">
            <v>BMED</v>
          </cell>
          <cell r="L64" t="str">
            <v>Normal</v>
          </cell>
          <cell r="M64" t="str">
            <v>USA</v>
          </cell>
          <cell r="N64" t="str">
            <v>Zimmer</v>
          </cell>
          <cell r="O64" t="str">
            <v>ATS 4000</v>
          </cell>
          <cell r="P64" t="str">
            <v>40190814-007</v>
          </cell>
          <cell r="Q64" t="str">
            <v>Not Applicable</v>
          </cell>
          <cell r="R64" t="str">
            <v>Zimmer</v>
          </cell>
          <cell r="S64" t="str">
            <v>Metro Jendela Sdn Bhd</v>
          </cell>
          <cell r="T64" t="str">
            <v>Functioning</v>
          </cell>
          <cell r="U64" t="str">
            <v>Asset</v>
          </cell>
          <cell r="V64">
            <v>43000</v>
          </cell>
          <cell r="W64" t="str">
            <v>KEW</v>
          </cell>
          <cell r="X64">
            <v>43907</v>
          </cell>
          <cell r="Y64" t="str">
            <v>KEW</v>
          </cell>
          <cell r="Z64">
            <v>43950</v>
          </cell>
          <cell r="AA64">
            <v>44680</v>
          </cell>
          <cell r="AB64" t="str">
            <v>No</v>
          </cell>
          <cell r="AC64">
            <v>43950</v>
          </cell>
          <cell r="AD64" t="str">
            <v>Good</v>
          </cell>
          <cell r="AE64" t="str">
            <v>V3 - Added Installed Facilities (New)</v>
          </cell>
          <cell r="AG64">
            <v>9.17</v>
          </cell>
          <cell r="AH64" t="str">
            <v>PPM</v>
          </cell>
          <cell r="AI64" t="str">
            <v>Strands</v>
          </cell>
          <cell r="AJ64" t="str">
            <v>Strands PW</v>
          </cell>
          <cell r="AK64" t="str">
            <v>SNF received on 19.5.2020. [28/12/2023, INDIRA]: CURRENT LOC: OT.</v>
          </cell>
        </row>
        <row r="65">
          <cell r="A65" t="str">
            <v>IKN402031</v>
          </cell>
          <cell r="B65">
            <v>1686</v>
          </cell>
          <cell r="C65" t="str">
            <v>Institut Kanser Negara</v>
          </cell>
          <cell r="D65" t="str">
            <v>KKM/IKN/H/13/24</v>
          </cell>
          <cell r="E65" t="str">
            <v>12-539</v>
          </cell>
          <cell r="F65" t="str">
            <v>Microscopes, Light, Operating</v>
          </cell>
          <cell r="G65" t="str">
            <v>MC</v>
          </cell>
          <cell r="H65" t="str">
            <v>MULTI-DISCIPLINE CLINIC</v>
          </cell>
          <cell r="I65" t="str">
            <v>03MC127</v>
          </cell>
          <cell r="J65" t="str">
            <v>C/E 1 (ENT)</v>
          </cell>
          <cell r="K65" t="str">
            <v>BMED</v>
          </cell>
          <cell r="L65" t="str">
            <v>Normal</v>
          </cell>
          <cell r="M65" t="str">
            <v>Germany</v>
          </cell>
          <cell r="N65" t="str">
            <v>CARL ZEISS</v>
          </cell>
          <cell r="O65" t="str">
            <v>OPMI PICO</v>
          </cell>
          <cell r="P65">
            <v>6898101023</v>
          </cell>
          <cell r="Q65" t="str">
            <v>Not Applicable</v>
          </cell>
          <cell r="R65" t="str">
            <v>CARL ZEISS</v>
          </cell>
          <cell r="S65" t="str">
            <v>Atmos Medizintechnik (M) Sdn Bhd</v>
          </cell>
          <cell r="T65" t="str">
            <v>Functioning</v>
          </cell>
          <cell r="U65" t="str">
            <v>Asset</v>
          </cell>
          <cell r="V65">
            <v>70601</v>
          </cell>
          <cell r="W65" t="str">
            <v>KEW</v>
          </cell>
          <cell r="X65">
            <v>41516</v>
          </cell>
          <cell r="Y65" t="str">
            <v>KEW</v>
          </cell>
          <cell r="Z65">
            <v>41516</v>
          </cell>
          <cell r="AA65">
            <v>41881</v>
          </cell>
          <cell r="AB65" t="str">
            <v>NO</v>
          </cell>
          <cell r="AC65">
            <v>41516</v>
          </cell>
          <cell r="AD65" t="str">
            <v>Good</v>
          </cell>
          <cell r="AE65" t="str">
            <v>V1 - Existing / No Claim</v>
          </cell>
          <cell r="AG65">
            <v>9.17</v>
          </cell>
          <cell r="AH65" t="str">
            <v>PPM</v>
          </cell>
          <cell r="AI65" t="str">
            <v>Strands</v>
          </cell>
          <cell r="AJ65" t="str">
            <v>Strands Package</v>
          </cell>
          <cell r="AK65" t="str">
            <v>Pecah Kewpa. Complement with IKN400941 but different Model/Brand. Package Code ZE0001. [28/12/2023, HIDAYAH]: CURRENT LOC NM.</v>
          </cell>
        </row>
        <row r="66">
          <cell r="A66" t="str">
            <v>IKN402037</v>
          </cell>
          <cell r="B66">
            <v>1692</v>
          </cell>
          <cell r="C66" t="str">
            <v>Institut Kanser Negara</v>
          </cell>
          <cell r="D66" t="str">
            <v>KKM/IKN/H/20/34</v>
          </cell>
          <cell r="E66" t="str">
            <v>88-027</v>
          </cell>
          <cell r="F66" t="str">
            <v>Dental Handpiece Maintenance Unit</v>
          </cell>
          <cell r="G66" t="str">
            <v>MC</v>
          </cell>
          <cell r="H66" t="str">
            <v>MULTI-DISCIPLINE CLINIC</v>
          </cell>
          <cell r="I66" t="str">
            <v>03MC107</v>
          </cell>
          <cell r="J66" t="str">
            <v>TREATMENT 1</v>
          </cell>
          <cell r="K66" t="str">
            <v>BMED</v>
          </cell>
          <cell r="L66" t="str">
            <v>Normal</v>
          </cell>
          <cell r="M66" t="str">
            <v>CHINA</v>
          </cell>
          <cell r="N66" t="str">
            <v>META SYSTEMS</v>
          </cell>
          <cell r="O66" t="str">
            <v>EQ-V FULL GP</v>
          </cell>
          <cell r="P66" t="str">
            <v>EQV0262001406</v>
          </cell>
          <cell r="Q66" t="str">
            <v>Not Applicable</v>
          </cell>
          <cell r="R66" t="str">
            <v>META SYSTEMS CO. LTD</v>
          </cell>
          <cell r="S66" t="str">
            <v>One Dental Supply &amp; Marketing Sdn Bhd</v>
          </cell>
          <cell r="T66" t="str">
            <v>Functioning</v>
          </cell>
          <cell r="U66" t="str">
            <v>Asset</v>
          </cell>
          <cell r="V66">
            <v>4500</v>
          </cell>
          <cell r="W66" t="str">
            <v>KEW</v>
          </cell>
          <cell r="X66">
            <v>43907</v>
          </cell>
          <cell r="Y66" t="str">
            <v>KEW</v>
          </cell>
          <cell r="Z66">
            <v>44050</v>
          </cell>
          <cell r="AA66">
            <v>44415</v>
          </cell>
          <cell r="AB66" t="str">
            <v>No</v>
          </cell>
          <cell r="AC66">
            <v>44050</v>
          </cell>
          <cell r="AD66" t="str">
            <v>Good</v>
          </cell>
          <cell r="AE66" t="str">
            <v>V3 - Added Installed Facilities (New)</v>
          </cell>
          <cell r="AG66">
            <v>9.17</v>
          </cell>
          <cell r="AH66" t="str">
            <v>PPM</v>
          </cell>
          <cell r="AI66" t="str">
            <v>Strands</v>
          </cell>
          <cell r="AJ66" t="str">
            <v>Strands PW</v>
          </cell>
          <cell r="AK66" t="str">
            <v>SNF received on 18/12/2020</v>
          </cell>
        </row>
        <row r="67">
          <cell r="A67" t="str">
            <v>IKN402038</v>
          </cell>
          <cell r="B67">
            <v>1693</v>
          </cell>
          <cell r="C67" t="str">
            <v>Institut Kanser Negara</v>
          </cell>
          <cell r="D67" t="str">
            <v>KKM/IKN/H/20/35</v>
          </cell>
          <cell r="E67" t="str">
            <v>88-013</v>
          </cell>
          <cell r="F67" t="str">
            <v>Micromotor, Dental</v>
          </cell>
          <cell r="G67" t="str">
            <v>MC</v>
          </cell>
          <cell r="H67" t="str">
            <v>MULTI-DISCIPLINE CLINIC</v>
          </cell>
          <cell r="I67" t="str">
            <v>03MC107</v>
          </cell>
          <cell r="J67" t="str">
            <v>TREATMENT 1</v>
          </cell>
          <cell r="K67" t="str">
            <v>BMED</v>
          </cell>
          <cell r="L67" t="str">
            <v>Normal</v>
          </cell>
          <cell r="M67" t="str">
            <v>CHINA</v>
          </cell>
          <cell r="N67" t="str">
            <v>Woodpeeker Medical</v>
          </cell>
          <cell r="O67" t="str">
            <v>Endo Rader Plus</v>
          </cell>
          <cell r="P67" t="str">
            <v>E2@10222WS</v>
          </cell>
          <cell r="Q67" t="str">
            <v>Not Applicable</v>
          </cell>
          <cell r="R67" t="str">
            <v>Woodpeeker Medical Instrument</v>
          </cell>
          <cell r="S67" t="str">
            <v>One Dental Supply &amp; Marketing Sdn Bhd</v>
          </cell>
          <cell r="T67" t="str">
            <v>Functioning</v>
          </cell>
          <cell r="U67" t="str">
            <v>Asset</v>
          </cell>
          <cell r="V67">
            <v>7500</v>
          </cell>
          <cell r="W67" t="str">
            <v>KEW</v>
          </cell>
          <cell r="X67">
            <v>43907</v>
          </cell>
          <cell r="Y67" t="str">
            <v>KEW</v>
          </cell>
          <cell r="Z67">
            <v>44050</v>
          </cell>
          <cell r="AA67">
            <v>44415</v>
          </cell>
          <cell r="AB67" t="str">
            <v>No</v>
          </cell>
          <cell r="AC67">
            <v>44050</v>
          </cell>
          <cell r="AD67" t="str">
            <v>Good</v>
          </cell>
          <cell r="AE67" t="str">
            <v>V3 - Added Installed Facilities (New)</v>
          </cell>
          <cell r="AG67">
            <v>9.17</v>
          </cell>
          <cell r="AH67" t="str">
            <v>PPM</v>
          </cell>
          <cell r="AI67" t="str">
            <v>Strands</v>
          </cell>
          <cell r="AJ67" t="str">
            <v>Strands PW</v>
          </cell>
          <cell r="AK67" t="str">
            <v>SNF received on 18/12/2020</v>
          </cell>
        </row>
        <row r="68">
          <cell r="A68" t="str">
            <v>IKN402039</v>
          </cell>
          <cell r="B68">
            <v>1694</v>
          </cell>
          <cell r="C68" t="str">
            <v>Institut Kanser Negara</v>
          </cell>
          <cell r="D68" t="str">
            <v>KKM/IKN/H/20/63</v>
          </cell>
          <cell r="E68" t="str">
            <v>10-208</v>
          </cell>
          <cell r="F68" t="str">
            <v>Aspirators</v>
          </cell>
          <cell r="G68" t="str">
            <v>MC</v>
          </cell>
          <cell r="H68" t="str">
            <v>MULTI-DISCIPLINE CLINIC</v>
          </cell>
          <cell r="I68" t="str">
            <v>03MC107</v>
          </cell>
          <cell r="J68" t="str">
            <v>TREATMENT 1</v>
          </cell>
          <cell r="K68" t="str">
            <v>BMED</v>
          </cell>
          <cell r="L68" t="str">
            <v>Normal</v>
          </cell>
          <cell r="M68" t="str">
            <v>CHINA</v>
          </cell>
          <cell r="N68" t="str">
            <v>DYNAMIC</v>
          </cell>
          <cell r="O68" t="str">
            <v>DS 1000</v>
          </cell>
          <cell r="P68">
            <v>19643</v>
          </cell>
          <cell r="Q68" t="str">
            <v>Not Applicable</v>
          </cell>
          <cell r="R68" t="str">
            <v>Jiangsu Dynamic Medical Technology Co.,Ltd</v>
          </cell>
          <cell r="S68" t="str">
            <v>One Dental Supply &amp; Marketing Sdn Bhd</v>
          </cell>
          <cell r="T68" t="str">
            <v>Functioning</v>
          </cell>
          <cell r="U68" t="str">
            <v>Asset</v>
          </cell>
          <cell r="V68">
            <v>6000</v>
          </cell>
          <cell r="W68" t="str">
            <v>KEW</v>
          </cell>
          <cell r="X68">
            <v>44130</v>
          </cell>
          <cell r="Y68" t="str">
            <v>KEW</v>
          </cell>
          <cell r="Z68">
            <v>44154</v>
          </cell>
          <cell r="AA68">
            <v>44884</v>
          </cell>
          <cell r="AB68" t="str">
            <v>No</v>
          </cell>
          <cell r="AC68">
            <v>44154</v>
          </cell>
          <cell r="AD68" t="str">
            <v>Good</v>
          </cell>
          <cell r="AE68" t="str">
            <v>V3 - Added Installed Facilities (New)</v>
          </cell>
          <cell r="AF68" t="str">
            <v>NA</v>
          </cell>
          <cell r="AG68">
            <v>5.17</v>
          </cell>
          <cell r="AH68" t="str">
            <v>PPM</v>
          </cell>
          <cell r="AI68" t="str">
            <v>Not in contract</v>
          </cell>
          <cell r="AJ68" t="str">
            <v>Strands PW</v>
          </cell>
        </row>
        <row r="69">
          <cell r="A69" t="str">
            <v>IKN402040</v>
          </cell>
          <cell r="B69">
            <v>1695</v>
          </cell>
          <cell r="C69" t="str">
            <v>Institut Kanser Negara</v>
          </cell>
          <cell r="D69" t="str">
            <v>KKM/IKN/H/20/67</v>
          </cell>
          <cell r="E69" t="str">
            <v>17-663</v>
          </cell>
          <cell r="F69" t="str">
            <v>Gastroscopes, Flexible, Video</v>
          </cell>
          <cell r="G69" t="str">
            <v>MC</v>
          </cell>
          <cell r="H69" t="str">
            <v>MULTI-DISCIPLINE CLINIC</v>
          </cell>
          <cell r="I69" t="str">
            <v>03MC108</v>
          </cell>
          <cell r="J69" t="str">
            <v>TREATMENT/PROCEDURE</v>
          </cell>
          <cell r="K69" t="str">
            <v>BMED</v>
          </cell>
          <cell r="L69" t="str">
            <v>Normal</v>
          </cell>
          <cell r="M69" t="str">
            <v>Japan</v>
          </cell>
          <cell r="N69" t="str">
            <v>Olympus</v>
          </cell>
          <cell r="O69" t="str">
            <v>Olympus GIF-H170</v>
          </cell>
          <cell r="P69">
            <v>2032729</v>
          </cell>
          <cell r="Q69" t="str">
            <v>Not Applicable</v>
          </cell>
          <cell r="R69" t="str">
            <v>Olympus Optical Co Ltd</v>
          </cell>
          <cell r="S69" t="str">
            <v>J &amp; J MURNI SDN BHD</v>
          </cell>
          <cell r="T69" t="str">
            <v>Functioning</v>
          </cell>
          <cell r="U69" t="str">
            <v>Asset</v>
          </cell>
          <cell r="V69">
            <v>125900</v>
          </cell>
          <cell r="W69" t="str">
            <v>KEW</v>
          </cell>
          <cell r="X69">
            <v>44154</v>
          </cell>
          <cell r="Y69" t="str">
            <v>KEW</v>
          </cell>
          <cell r="Z69">
            <v>44160</v>
          </cell>
          <cell r="AA69">
            <v>44524</v>
          </cell>
          <cell r="AB69" t="str">
            <v>No</v>
          </cell>
          <cell r="AC69">
            <v>44160</v>
          </cell>
          <cell r="AD69" t="str">
            <v>Good</v>
          </cell>
          <cell r="AE69" t="str">
            <v>V3 - Added Installed Facilities (New)</v>
          </cell>
          <cell r="AG69">
            <v>9.17</v>
          </cell>
          <cell r="AH69" t="str">
            <v>PPM</v>
          </cell>
          <cell r="AI69" t="str">
            <v>Not in contract</v>
          </cell>
          <cell r="AJ69" t="str">
            <v>Proposed for V3 P2.23</v>
          </cell>
          <cell r="AK69" t="str">
            <v>SNF received on 11/10/2023.</v>
          </cell>
        </row>
        <row r="70">
          <cell r="A70" t="str">
            <v>IKN402041</v>
          </cell>
          <cell r="B70">
            <v>1696</v>
          </cell>
          <cell r="C70" t="str">
            <v>Institut Kanser Negara</v>
          </cell>
          <cell r="D70" t="str">
            <v>KKM/IKN/H/20/68</v>
          </cell>
          <cell r="E70" t="str">
            <v>17-663</v>
          </cell>
          <cell r="F70" t="str">
            <v>Gastroscopes, Flexible, Video</v>
          </cell>
          <cell r="G70" t="str">
            <v>MC</v>
          </cell>
          <cell r="H70" t="str">
            <v>MULTI-DISCIPLINE CLINIC</v>
          </cell>
          <cell r="I70" t="str">
            <v>03MC108</v>
          </cell>
          <cell r="J70" t="str">
            <v>TREATMENT/PROCEDURE</v>
          </cell>
          <cell r="K70" t="str">
            <v>BMED</v>
          </cell>
          <cell r="L70" t="str">
            <v>Normal</v>
          </cell>
          <cell r="M70" t="str">
            <v>Japan</v>
          </cell>
          <cell r="N70" t="str">
            <v>Olympus</v>
          </cell>
          <cell r="O70" t="str">
            <v>Olympus GIF-H170</v>
          </cell>
          <cell r="P70">
            <v>2032940</v>
          </cell>
          <cell r="Q70" t="str">
            <v>Not Applicable</v>
          </cell>
          <cell r="R70" t="str">
            <v>Olympus Optical Co Ltd</v>
          </cell>
          <cell r="S70" t="str">
            <v>J &amp; J MURNI SDN BHD</v>
          </cell>
          <cell r="T70" t="str">
            <v>Functioning</v>
          </cell>
          <cell r="U70" t="str">
            <v>Asset</v>
          </cell>
          <cell r="V70">
            <v>125900</v>
          </cell>
          <cell r="W70" t="str">
            <v>KEW</v>
          </cell>
          <cell r="X70">
            <v>44154</v>
          </cell>
          <cell r="Y70" t="str">
            <v>KEW</v>
          </cell>
          <cell r="Z70">
            <v>44160</v>
          </cell>
          <cell r="AA70">
            <v>44524</v>
          </cell>
          <cell r="AB70" t="str">
            <v>No</v>
          </cell>
          <cell r="AC70">
            <v>44160</v>
          </cell>
          <cell r="AD70" t="str">
            <v>Good</v>
          </cell>
          <cell r="AE70" t="str">
            <v>V3 - Added Installed Facilities (New)</v>
          </cell>
          <cell r="AG70">
            <v>9.17</v>
          </cell>
          <cell r="AH70" t="str">
            <v>PPM</v>
          </cell>
          <cell r="AI70" t="str">
            <v>Not in contract</v>
          </cell>
          <cell r="AJ70" t="str">
            <v>Proposed for V3 P2.23</v>
          </cell>
          <cell r="AK70" t="str">
            <v>SNF received on 11/10/2023.</v>
          </cell>
        </row>
        <row r="71">
          <cell r="A71" t="str">
            <v>IKN402042</v>
          </cell>
          <cell r="B71">
            <v>1697</v>
          </cell>
          <cell r="C71" t="str">
            <v>Institut Kanser Negara</v>
          </cell>
          <cell r="D71" t="str">
            <v>KKM/IKN/H/20/69</v>
          </cell>
          <cell r="E71" t="str">
            <v>17-665</v>
          </cell>
          <cell r="F71" t="str">
            <v>Gastroscopes,Video</v>
          </cell>
          <cell r="G71" t="str">
            <v>MC</v>
          </cell>
          <cell r="H71" t="str">
            <v>MULTI-DISCIPLINE CLINIC</v>
          </cell>
          <cell r="I71" t="str">
            <v>03MC108</v>
          </cell>
          <cell r="J71" t="str">
            <v>TREATMENT/PROCEDURE</v>
          </cell>
          <cell r="K71" t="str">
            <v>BMED</v>
          </cell>
          <cell r="L71" t="str">
            <v>Normal</v>
          </cell>
          <cell r="M71" t="str">
            <v>Japan</v>
          </cell>
          <cell r="N71" t="str">
            <v>Olympus</v>
          </cell>
          <cell r="O71" t="str">
            <v>Olympus CF-H170L</v>
          </cell>
          <cell r="P71">
            <v>2026002</v>
          </cell>
          <cell r="Q71" t="str">
            <v>Not Applicable</v>
          </cell>
          <cell r="R71" t="str">
            <v>Olympus Optical Co Ltd</v>
          </cell>
          <cell r="S71" t="str">
            <v>J &amp; J MURNI SDN BHD</v>
          </cell>
          <cell r="T71" t="str">
            <v>Functioning</v>
          </cell>
          <cell r="U71" t="str">
            <v>Asset</v>
          </cell>
          <cell r="V71">
            <v>77350</v>
          </cell>
          <cell r="W71" t="str">
            <v>KEW</v>
          </cell>
          <cell r="X71">
            <v>44154</v>
          </cell>
          <cell r="Y71" t="str">
            <v>KEW</v>
          </cell>
          <cell r="Z71">
            <v>44160</v>
          </cell>
          <cell r="AA71">
            <v>44524</v>
          </cell>
          <cell r="AB71" t="str">
            <v>No</v>
          </cell>
          <cell r="AC71">
            <v>44160</v>
          </cell>
          <cell r="AD71" t="str">
            <v>Good</v>
          </cell>
          <cell r="AE71" t="str">
            <v>V3 - Added Installed Facilities (New)</v>
          </cell>
          <cell r="AF71" t="str">
            <v>NA</v>
          </cell>
          <cell r="AG71">
            <v>5.17</v>
          </cell>
          <cell r="AH71" t="str">
            <v>PPM</v>
          </cell>
          <cell r="AI71" t="str">
            <v>Not in contract</v>
          </cell>
          <cell r="AJ71" t="str">
            <v>Strands PW</v>
          </cell>
        </row>
        <row r="72">
          <cell r="A72" t="str">
            <v>IKN402049</v>
          </cell>
          <cell r="B72">
            <v>1704</v>
          </cell>
          <cell r="C72" t="str">
            <v>Institut Kanser Negara</v>
          </cell>
          <cell r="E72" t="str">
            <v>10-960</v>
          </cell>
          <cell r="F72" t="str">
            <v>Colposcopes</v>
          </cell>
          <cell r="G72" t="str">
            <v>MC</v>
          </cell>
          <cell r="H72" t="str">
            <v>MULTI-DISCIPLINE CLINIC</v>
          </cell>
          <cell r="I72" t="str">
            <v>03MC108</v>
          </cell>
          <cell r="J72" t="str">
            <v>TREATMENT/PROCEDURE</v>
          </cell>
          <cell r="K72" t="str">
            <v>BMED</v>
          </cell>
          <cell r="L72" t="str">
            <v>Normal</v>
          </cell>
          <cell r="M72" t="str">
            <v>Japan</v>
          </cell>
          <cell r="N72" t="str">
            <v>ATMOS</v>
          </cell>
          <cell r="O72" t="str">
            <v>ATMOS iView 31 Colposcope</v>
          </cell>
          <cell r="P72">
            <v>1036002</v>
          </cell>
          <cell r="Q72" t="str">
            <v>Not Applicable</v>
          </cell>
          <cell r="R72" t="str">
            <v>Atmos Medizintechnik GmbH &amp; Co KG</v>
          </cell>
          <cell r="S72" t="str">
            <v>UMMI Surgical Sdn Bhd</v>
          </cell>
          <cell r="T72" t="str">
            <v>Functioning</v>
          </cell>
          <cell r="U72" t="str">
            <v>Asset</v>
          </cell>
          <cell r="V72">
            <v>107490</v>
          </cell>
          <cell r="W72" t="str">
            <v>KEW</v>
          </cell>
          <cell r="X72">
            <v>44111</v>
          </cell>
          <cell r="Y72" t="str">
            <v>KEW</v>
          </cell>
          <cell r="Z72">
            <v>44188</v>
          </cell>
          <cell r="AA72">
            <v>44553</v>
          </cell>
          <cell r="AB72" t="str">
            <v>No</v>
          </cell>
          <cell r="AC72">
            <v>44188</v>
          </cell>
          <cell r="AD72" t="str">
            <v>Good</v>
          </cell>
          <cell r="AE72" t="str">
            <v>V3 - Added Installed Facilities (New)</v>
          </cell>
          <cell r="AF72" t="str">
            <v>NA</v>
          </cell>
          <cell r="AG72">
            <v>5.17</v>
          </cell>
          <cell r="AH72" t="str">
            <v>PPM</v>
          </cell>
          <cell r="AI72" t="str">
            <v>Not in contract</v>
          </cell>
          <cell r="AJ72" t="str">
            <v>Strands PW</v>
          </cell>
        </row>
        <row r="73">
          <cell r="A73" t="str">
            <v>IKN402053</v>
          </cell>
          <cell r="B73">
            <v>1708</v>
          </cell>
          <cell r="C73" t="str">
            <v>Institut Kanser Negara</v>
          </cell>
          <cell r="D73" t="str">
            <v>KKM/IKN/H/19/2</v>
          </cell>
          <cell r="E73" t="str">
            <v>18-426</v>
          </cell>
          <cell r="F73" t="str">
            <v>Radiographic Units, dental intraoral</v>
          </cell>
          <cell r="G73" t="str">
            <v>MC</v>
          </cell>
          <cell r="H73" t="str">
            <v>MULTI-DISCIPLINE CLINIC</v>
          </cell>
          <cell r="I73" t="str">
            <v>03ID109</v>
          </cell>
          <cell r="J73" t="str">
            <v>INDUCTION</v>
          </cell>
          <cell r="K73" t="str">
            <v>BMED</v>
          </cell>
          <cell r="L73" t="str">
            <v>Normal</v>
          </cell>
          <cell r="M73" t="str">
            <v>Finland</v>
          </cell>
          <cell r="N73" t="str">
            <v>Planmeca</v>
          </cell>
          <cell r="O73" t="str">
            <v>Pro X</v>
          </cell>
          <cell r="P73" t="str">
            <v>IPX031651</v>
          </cell>
          <cell r="Q73" t="str">
            <v>Not Applicable</v>
          </cell>
          <cell r="R73" t="str">
            <v>Planmeca</v>
          </cell>
          <cell r="S73" t="str">
            <v>Medik Link Sales &amp; Services Sdn Bhd</v>
          </cell>
          <cell r="T73" t="str">
            <v>Functioning</v>
          </cell>
          <cell r="U73" t="str">
            <v>Asset</v>
          </cell>
          <cell r="V73">
            <v>50000</v>
          </cell>
          <cell r="W73" t="str">
            <v>KEW</v>
          </cell>
          <cell r="X73">
            <v>43637</v>
          </cell>
          <cell r="Y73" t="str">
            <v>KEW</v>
          </cell>
          <cell r="Z73">
            <v>43650</v>
          </cell>
          <cell r="AA73">
            <v>44016</v>
          </cell>
          <cell r="AB73" t="str">
            <v>No</v>
          </cell>
          <cell r="AC73">
            <v>43650</v>
          </cell>
          <cell r="AD73" t="str">
            <v>Good</v>
          </cell>
          <cell r="AE73" t="str">
            <v>V3 - Added Installed Facilities (New)</v>
          </cell>
          <cell r="AF73">
            <v>43650</v>
          </cell>
          <cell r="AG73">
            <v>9.17</v>
          </cell>
          <cell r="AH73" t="str">
            <v>PPM</v>
          </cell>
          <cell r="AI73" t="str">
            <v>Strands</v>
          </cell>
          <cell r="AJ73" t="str">
            <v>Proposed for V3 P2.23</v>
          </cell>
          <cell r="AK73" t="str">
            <v>Unit under MDC, located at ID.</v>
          </cell>
        </row>
        <row r="74">
          <cell r="A74" t="str">
            <v>IKN402054</v>
          </cell>
          <cell r="B74">
            <v>1709</v>
          </cell>
          <cell r="C74" t="str">
            <v>Institut Kanser Negara</v>
          </cell>
          <cell r="D74" t="str">
            <v>KKM/IKN/H/13/3438</v>
          </cell>
          <cell r="E74" t="str">
            <v>13-396</v>
          </cell>
          <cell r="F74" t="str">
            <v>Rhinoscopes</v>
          </cell>
          <cell r="G74" t="str">
            <v>MC</v>
          </cell>
          <cell r="H74" t="str">
            <v>MULTI-DISCIPLINE CLINIC</v>
          </cell>
          <cell r="I74" t="str">
            <v>03MC111</v>
          </cell>
          <cell r="J74" t="str">
            <v>SCOPE WASH</v>
          </cell>
          <cell r="K74" t="str">
            <v>BMED</v>
          </cell>
          <cell r="L74" t="str">
            <v>Normal</v>
          </cell>
          <cell r="M74" t="str">
            <v>Japan</v>
          </cell>
          <cell r="N74" t="str">
            <v>Olympus</v>
          </cell>
          <cell r="O74" t="str">
            <v>Olympus ENF-T3</v>
          </cell>
          <cell r="P74">
            <v>2325042</v>
          </cell>
          <cell r="Q74" t="str">
            <v>Not Applicable</v>
          </cell>
          <cell r="R74" t="str">
            <v>Olympus Optical Co Ltd</v>
          </cell>
          <cell r="S74" t="str">
            <v>Endodynamics</v>
          </cell>
          <cell r="T74" t="str">
            <v>Functioning</v>
          </cell>
          <cell r="U74" t="str">
            <v>Asset</v>
          </cell>
          <cell r="V74">
            <v>59362</v>
          </cell>
          <cell r="W74" t="str">
            <v>KEW</v>
          </cell>
          <cell r="X74">
            <v>41516</v>
          </cell>
          <cell r="Y74" t="str">
            <v>KEW</v>
          </cell>
          <cell r="Z74">
            <v>41516</v>
          </cell>
          <cell r="AA74">
            <v>42246</v>
          </cell>
          <cell r="AB74" t="str">
            <v>No</v>
          </cell>
          <cell r="AC74">
            <v>41516</v>
          </cell>
          <cell r="AD74" t="str">
            <v>Good</v>
          </cell>
          <cell r="AE74" t="str">
            <v>V1 - Existing / No Claim</v>
          </cell>
          <cell r="AG74">
            <v>9.17</v>
          </cell>
          <cell r="AH74" t="str">
            <v>PPM</v>
          </cell>
          <cell r="AI74" t="str">
            <v>Strands</v>
          </cell>
          <cell r="AJ74" t="str">
            <v>Strands PW</v>
          </cell>
          <cell r="AK74" t="str">
            <v>Only have KKM no in contract. Register with new IKN no</v>
          </cell>
        </row>
        <row r="75">
          <cell r="A75" t="str">
            <v>IKN402073</v>
          </cell>
          <cell r="B75">
            <v>1728</v>
          </cell>
          <cell r="C75" t="str">
            <v>Institut Kanser Negara</v>
          </cell>
          <cell r="D75" t="str">
            <v>KKM/IKN/H/21/63</v>
          </cell>
          <cell r="E75" t="str">
            <v>10-082</v>
          </cell>
          <cell r="F75" t="str">
            <v>Amalgamators</v>
          </cell>
          <cell r="G75" t="str">
            <v>MC</v>
          </cell>
          <cell r="H75" t="str">
            <v>MULTI-DISCIPLINE CLINIC</v>
          </cell>
          <cell r="I75" t="str">
            <v>03MC107</v>
          </cell>
          <cell r="J75" t="str">
            <v>TREATMENT 1</v>
          </cell>
          <cell r="K75" t="str">
            <v>BMED</v>
          </cell>
          <cell r="L75" t="str">
            <v>Normal</v>
          </cell>
          <cell r="M75" t="str">
            <v>TAIWAN</v>
          </cell>
          <cell r="N75" t="str">
            <v>MONITEX</v>
          </cell>
          <cell r="O75" t="str">
            <v>AM-1</v>
          </cell>
          <cell r="P75" t="str">
            <v>20K1319</v>
          </cell>
          <cell r="Q75" t="str">
            <v>Not Applicable</v>
          </cell>
          <cell r="R75" t="str">
            <v>MONITEX INDUSTRIAL CO LTD</v>
          </cell>
          <cell r="S75" t="str">
            <v>N.K LUCK SDN BHD</v>
          </cell>
          <cell r="T75" t="str">
            <v>Functioning</v>
          </cell>
          <cell r="U75" t="str">
            <v>Asset</v>
          </cell>
          <cell r="V75">
            <v>2000</v>
          </cell>
          <cell r="W75" t="str">
            <v>KEW</v>
          </cell>
          <cell r="X75">
            <v>44454</v>
          </cell>
          <cell r="Y75" t="str">
            <v>KEW</v>
          </cell>
          <cell r="Z75">
            <v>44469</v>
          </cell>
          <cell r="AA75">
            <v>44834</v>
          </cell>
          <cell r="AB75" t="str">
            <v>No</v>
          </cell>
          <cell r="AC75">
            <v>44517</v>
          </cell>
          <cell r="AD75" t="str">
            <v>Good</v>
          </cell>
          <cell r="AE75" t="str">
            <v>V3 - Added Installed Facilities (New)</v>
          </cell>
          <cell r="AF75">
            <v>44517</v>
          </cell>
          <cell r="AG75">
            <v>9.17</v>
          </cell>
          <cell r="AH75" t="str">
            <v>PPM</v>
          </cell>
          <cell r="AJ75" t="str">
            <v>Strands DW</v>
          </cell>
        </row>
        <row r="76">
          <cell r="A76" t="str">
            <v>IKN402075</v>
          </cell>
          <cell r="B76">
            <v>1730</v>
          </cell>
          <cell r="C76" t="str">
            <v>Institut Kanser Negara</v>
          </cell>
          <cell r="D76" t="str">
            <v>KKM/IKN/H/20/80</v>
          </cell>
          <cell r="E76" t="str">
            <v>13-108</v>
          </cell>
          <cell r="F76" t="str">
            <v>Pressure Measuring Units, Esophageal</v>
          </cell>
          <cell r="G76" t="str">
            <v>MC</v>
          </cell>
          <cell r="H76" t="str">
            <v>MULTI-DISCIPLINE CLINIC</v>
          </cell>
          <cell r="I76" t="str">
            <v>03MC108</v>
          </cell>
          <cell r="J76" t="str">
            <v>TREATMENT/PROCEDURE</v>
          </cell>
          <cell r="K76" t="str">
            <v>BMED</v>
          </cell>
          <cell r="L76" t="str">
            <v>Normal</v>
          </cell>
          <cell r="N76" t="str">
            <v>Insight Ultima HRiM</v>
          </cell>
          <cell r="O76" t="str">
            <v>Insight Ultima HRiM</v>
          </cell>
          <cell r="P76" t="str">
            <v>084-005180/K14C009B</v>
          </cell>
          <cell r="Q76" t="str">
            <v>Not Applicable</v>
          </cell>
          <cell r="R76" t="str">
            <v>Sandhill Scientific</v>
          </cell>
          <cell r="T76" t="str">
            <v>Functioning</v>
          </cell>
          <cell r="V76">
            <v>279000</v>
          </cell>
          <cell r="W76" t="str">
            <v>KEW</v>
          </cell>
          <cell r="X76">
            <v>41988</v>
          </cell>
          <cell r="Y76" t="str">
            <v>KEW</v>
          </cell>
          <cell r="Z76" t="str">
            <v>N/A</v>
          </cell>
          <cell r="AA76" t="str">
            <v>N/A</v>
          </cell>
          <cell r="AB76" t="str">
            <v>NO</v>
          </cell>
          <cell r="AC76">
            <v>44151</v>
          </cell>
          <cell r="AD76" t="str">
            <v>Good</v>
          </cell>
          <cell r="AE76" t="str">
            <v>V3 - Added Installed Facilities (New)</v>
          </cell>
          <cell r="AF76">
            <v>44151</v>
          </cell>
          <cell r="AG76">
            <v>9.17</v>
          </cell>
          <cell r="AH76" t="str">
            <v>PPM</v>
          </cell>
          <cell r="AJ76" t="str">
            <v>Strands PW SET F</v>
          </cell>
          <cell r="AK76" t="str">
            <v>HRiM Catherer (scopes)=US-38-2504 (SN), (REF)=K123245-E-1047-D. Unit received from Hospital Sg.Buloh</v>
          </cell>
        </row>
        <row r="77">
          <cell r="A77" t="str">
            <v>IKN402076</v>
          </cell>
          <cell r="B77">
            <v>1731</v>
          </cell>
          <cell r="C77" t="str">
            <v>Institut Kanser Negara</v>
          </cell>
          <cell r="D77" t="str">
            <v>KKM/IKN/H/20/80</v>
          </cell>
          <cell r="E77" t="str">
            <v>15-164</v>
          </cell>
          <cell r="F77" t="str">
            <v>pH Meters</v>
          </cell>
          <cell r="G77" t="str">
            <v>MC</v>
          </cell>
          <cell r="H77" t="str">
            <v>MULTI-DISCIPLINE CLINIC</v>
          </cell>
          <cell r="I77" t="str">
            <v>03MC108</v>
          </cell>
          <cell r="J77" t="str">
            <v>TREATMENT/PROCEDURE</v>
          </cell>
          <cell r="K77" t="str">
            <v>BMED</v>
          </cell>
          <cell r="L77" t="str">
            <v>Normal</v>
          </cell>
          <cell r="N77" t="str">
            <v>ZepHr</v>
          </cell>
          <cell r="O77" t="str">
            <v>Sleuth ZepHr</v>
          </cell>
          <cell r="P77" t="str">
            <v>J149005C</v>
          </cell>
          <cell r="Q77" t="str">
            <v>Not Applicable</v>
          </cell>
          <cell r="R77" t="str">
            <v>Sandhill Scientific</v>
          </cell>
          <cell r="T77" t="str">
            <v>Functioning</v>
          </cell>
          <cell r="V77">
            <v>35000</v>
          </cell>
          <cell r="W77" t="str">
            <v>KEW</v>
          </cell>
          <cell r="X77">
            <v>41988</v>
          </cell>
          <cell r="Y77" t="str">
            <v>KEW</v>
          </cell>
          <cell r="Z77" t="str">
            <v>N/A</v>
          </cell>
          <cell r="AA77" t="str">
            <v>N/A</v>
          </cell>
          <cell r="AB77" t="str">
            <v>No</v>
          </cell>
          <cell r="AC77">
            <v>44151</v>
          </cell>
          <cell r="AD77" t="str">
            <v>Good</v>
          </cell>
          <cell r="AE77" t="str">
            <v>V3 - Added Installed Facilities (New)</v>
          </cell>
          <cell r="AF77">
            <v>44151</v>
          </cell>
          <cell r="AG77">
            <v>9.17</v>
          </cell>
          <cell r="AH77" t="str">
            <v>PPM</v>
          </cell>
          <cell r="AJ77" t="str">
            <v>Strands PW SET F</v>
          </cell>
          <cell r="AK77" t="str">
            <v>Share KEWPA IKN402075.</v>
          </cell>
        </row>
        <row r="78">
          <cell r="A78" t="str">
            <v>IKN402090</v>
          </cell>
          <cell r="B78">
            <v>1745</v>
          </cell>
          <cell r="C78" t="str">
            <v>Institut Kanser Negara</v>
          </cell>
          <cell r="D78" t="str">
            <v>KKM/IKN/H/20/78</v>
          </cell>
          <cell r="E78" t="str">
            <v>15-164</v>
          </cell>
          <cell r="F78" t="str">
            <v>pH Meters</v>
          </cell>
          <cell r="G78" t="str">
            <v>MC</v>
          </cell>
          <cell r="H78" t="str">
            <v>MULTI-DISCIPLINE CLINIC</v>
          </cell>
          <cell r="I78" t="str">
            <v>03MC108</v>
          </cell>
          <cell r="J78" t="str">
            <v>TREATMENT/PROCEDURE</v>
          </cell>
          <cell r="K78" t="str">
            <v>BMED</v>
          </cell>
          <cell r="L78" t="str">
            <v>Normal</v>
          </cell>
          <cell r="N78" t="str">
            <v>ZepHr</v>
          </cell>
          <cell r="O78" t="str">
            <v>ZepHR PH Monitoring System</v>
          </cell>
          <cell r="P78" t="str">
            <v>J0099028C</v>
          </cell>
          <cell r="Q78" t="str">
            <v>Not Applicable</v>
          </cell>
          <cell r="R78" t="str">
            <v>Sandhill Scientific</v>
          </cell>
          <cell r="T78" t="str">
            <v>Functioning</v>
          </cell>
          <cell r="V78">
            <v>35000</v>
          </cell>
          <cell r="W78" t="str">
            <v>KEW</v>
          </cell>
          <cell r="X78">
            <v>40396</v>
          </cell>
          <cell r="Y78" t="str">
            <v>KEW</v>
          </cell>
          <cell r="Z78" t="str">
            <v>N/A</v>
          </cell>
          <cell r="AA78" t="str">
            <v>N/A</v>
          </cell>
          <cell r="AB78" t="str">
            <v>No</v>
          </cell>
          <cell r="AC78">
            <v>44151</v>
          </cell>
          <cell r="AD78" t="str">
            <v>Good</v>
          </cell>
          <cell r="AE78" t="str">
            <v>V3 - Added Installed Facilities (New)</v>
          </cell>
          <cell r="AF78">
            <v>44151</v>
          </cell>
          <cell r="AG78">
            <v>9.17</v>
          </cell>
          <cell r="AH78" t="str">
            <v>PPM</v>
          </cell>
          <cell r="AJ78" t="str">
            <v>Strands PW</v>
          </cell>
          <cell r="AK78" t="str">
            <v>PACKAGE IKN402075, IKN402076,IKN402090</v>
          </cell>
        </row>
        <row r="79">
          <cell r="A79" t="str">
            <v>IKN402091</v>
          </cell>
          <cell r="B79">
            <v>1746</v>
          </cell>
          <cell r="C79" t="str">
            <v>Institut Kanser Negara</v>
          </cell>
          <cell r="D79" t="str">
            <v>KKM/IKN/H/20/79</v>
          </cell>
          <cell r="E79" t="str">
            <v>17-663-037</v>
          </cell>
          <cell r="F79" t="str">
            <v>Gastroscopes, Flexible, Video</v>
          </cell>
          <cell r="G79" t="str">
            <v>MC</v>
          </cell>
          <cell r="H79" t="str">
            <v>MULTI-DISCIPLINE CLINIC</v>
          </cell>
          <cell r="I79" t="str">
            <v>03MC108</v>
          </cell>
          <cell r="J79" t="str">
            <v>TREATMENT/PROCEDURE</v>
          </cell>
          <cell r="K79" t="str">
            <v>BMED</v>
          </cell>
          <cell r="L79" t="str">
            <v>Normal</v>
          </cell>
          <cell r="M79" t="str">
            <v>Japan</v>
          </cell>
          <cell r="N79" t="str">
            <v>Olympus</v>
          </cell>
          <cell r="O79" t="str">
            <v>Olympus GIF-XP150N</v>
          </cell>
          <cell r="P79" t="str">
            <v>2612536</v>
          </cell>
          <cell r="Q79" t="str">
            <v>Not Applicable</v>
          </cell>
          <cell r="R79" t="str">
            <v>Olympus Optical Co Ltd</v>
          </cell>
          <cell r="S79" t="str">
            <v>Olympus Optical Co Ltd</v>
          </cell>
          <cell r="T79" t="str">
            <v>Functioning</v>
          </cell>
          <cell r="U79" t="str">
            <v>Asset</v>
          </cell>
          <cell r="V79">
            <v>66000</v>
          </cell>
          <cell r="W79" t="str">
            <v>KEW</v>
          </cell>
          <cell r="X79">
            <v>42699</v>
          </cell>
          <cell r="Y79" t="str">
            <v>KEW</v>
          </cell>
          <cell r="Z79">
            <v>42709</v>
          </cell>
          <cell r="AA79">
            <v>43074</v>
          </cell>
          <cell r="AB79" t="str">
            <v>No</v>
          </cell>
          <cell r="AC79">
            <v>44470</v>
          </cell>
          <cell r="AD79" t="str">
            <v>Good</v>
          </cell>
          <cell r="AE79" t="str">
            <v>V3 - Added Installed Facilities (New)</v>
          </cell>
          <cell r="AF79">
            <v>44470</v>
          </cell>
          <cell r="AG79">
            <v>9.17</v>
          </cell>
          <cell r="AH79" t="str">
            <v>PPM</v>
          </cell>
          <cell r="AJ79" t="str">
            <v>Strands PW</v>
          </cell>
        </row>
        <row r="80">
          <cell r="A80" t="str">
            <v>IKN402094</v>
          </cell>
          <cell r="B80">
            <v>1749</v>
          </cell>
          <cell r="C80" t="str">
            <v>Institut Kanser Negara</v>
          </cell>
          <cell r="D80" t="str">
            <v>KKM/IKN/H/21/73</v>
          </cell>
          <cell r="E80" t="str">
            <v>16-353</v>
          </cell>
          <cell r="F80" t="str">
            <v>VERTEX ECOLIGHT BOX UV</v>
          </cell>
          <cell r="G80" t="str">
            <v>MC</v>
          </cell>
          <cell r="H80" t="str">
            <v>MULTI-DISCIPLINE CLINIC</v>
          </cell>
          <cell r="I80" t="str">
            <v>03MC108</v>
          </cell>
          <cell r="J80" t="str">
            <v>TREATMENT 1</v>
          </cell>
          <cell r="K80" t="str">
            <v>BMED</v>
          </cell>
          <cell r="L80" t="str">
            <v>Normal</v>
          </cell>
          <cell r="M80" t="str">
            <v>NETHERLANDS</v>
          </cell>
          <cell r="N80" t="str">
            <v>VERTEX</v>
          </cell>
          <cell r="O80" t="str">
            <v>ECO LIGHT BOX</v>
          </cell>
          <cell r="P80" t="str">
            <v>201901-1827</v>
          </cell>
          <cell r="Q80" t="str">
            <v>Not Applicable</v>
          </cell>
          <cell r="R80" t="str">
            <v>NETHERLANDS</v>
          </cell>
          <cell r="S80" t="str">
            <v>QS DENTAL SUPPLY SDN BHD</v>
          </cell>
          <cell r="T80" t="str">
            <v>Functioning</v>
          </cell>
          <cell r="U80" t="str">
            <v>Asset</v>
          </cell>
          <cell r="V80">
            <v>2300</v>
          </cell>
          <cell r="W80" t="str">
            <v>KEW</v>
          </cell>
          <cell r="X80">
            <v>44476</v>
          </cell>
          <cell r="Y80" t="str">
            <v>KEW</v>
          </cell>
          <cell r="Z80">
            <v>44517</v>
          </cell>
          <cell r="AA80">
            <v>44882</v>
          </cell>
          <cell r="AB80" t="str">
            <v>NO</v>
          </cell>
          <cell r="AC80">
            <v>44517</v>
          </cell>
          <cell r="AD80" t="str">
            <v>Good</v>
          </cell>
          <cell r="AE80" t="str">
            <v>V3 - Added Installed Facilities (New)</v>
          </cell>
          <cell r="AF80">
            <v>44517</v>
          </cell>
          <cell r="AG80">
            <v>9.17</v>
          </cell>
          <cell r="AH80" t="str">
            <v>PPM</v>
          </cell>
          <cell r="AI80" t="str">
            <v>Not in Contract</v>
          </cell>
          <cell r="AJ80" t="str">
            <v>Proposed for V3 P2.23</v>
          </cell>
          <cell r="AK80" t="str">
            <v>KKM follow P2.23 list.</v>
          </cell>
        </row>
        <row r="81">
          <cell r="A81" t="str">
            <v>IKN402118</v>
          </cell>
          <cell r="B81">
            <v>1773</v>
          </cell>
          <cell r="C81" t="str">
            <v>Institut Kanser Negara</v>
          </cell>
          <cell r="D81" t="str">
            <v>Shahira/Accuvein</v>
          </cell>
          <cell r="E81" t="str">
            <v>NA</v>
          </cell>
          <cell r="F81" t="str">
            <v>ACCUVEIN VEIN VIEWER</v>
          </cell>
          <cell r="G81" t="str">
            <v>DO</v>
          </cell>
          <cell r="H81" t="str">
            <v>DAY ONCOLOGY UNIT</v>
          </cell>
          <cell r="I81" t="str">
            <v>04DO124</v>
          </cell>
          <cell r="J81" t="str">
            <v>TREATMENT ROOM</v>
          </cell>
          <cell r="K81" t="str">
            <v>BMED</v>
          </cell>
          <cell r="L81" t="str">
            <v>Normal</v>
          </cell>
          <cell r="M81" t="str">
            <v>USA</v>
          </cell>
          <cell r="N81" t="str">
            <v>ACCUVEIN</v>
          </cell>
          <cell r="O81" t="str">
            <v>AV500</v>
          </cell>
          <cell r="P81" t="str">
            <v>C212 HF57021090110</v>
          </cell>
          <cell r="Q81" t="str">
            <v>Not Applicable</v>
          </cell>
          <cell r="R81" t="str">
            <v>ACCUVEIN INC</v>
          </cell>
          <cell r="S81" t="str">
            <v>UTAS MAJU SDN BHD</v>
          </cell>
          <cell r="T81" t="str">
            <v>Functioning</v>
          </cell>
          <cell r="U81" t="str">
            <v>Asset</v>
          </cell>
          <cell r="V81">
            <v>200000</v>
          </cell>
          <cell r="W81" t="str">
            <v>KEW</v>
          </cell>
          <cell r="X81" t="str">
            <v>NA</v>
          </cell>
          <cell r="Y81" t="str">
            <v>NA</v>
          </cell>
          <cell r="Z81">
            <v>44692</v>
          </cell>
          <cell r="AA81">
            <v>45423</v>
          </cell>
          <cell r="AB81" t="str">
            <v>YES</v>
          </cell>
          <cell r="AC81">
            <v>44692</v>
          </cell>
          <cell r="AD81" t="str">
            <v>Good</v>
          </cell>
          <cell r="AE81" t="str">
            <v>V3 - Added Installed Facilities (New)</v>
          </cell>
          <cell r="AF81">
            <v>44692</v>
          </cell>
          <cell r="AG81" t="str">
            <v>NA</v>
          </cell>
          <cell r="AH81" t="str">
            <v>PPM</v>
          </cell>
          <cell r="AI81" t="str">
            <v>Not in Contract</v>
          </cell>
          <cell r="AJ81" t="str">
            <v>Proposed for V3 P2.24</v>
          </cell>
          <cell r="AK81" t="str">
            <v>(PIC: SHAHIRA: ASSET SUMBANGAN)</v>
          </cell>
        </row>
        <row r="82">
          <cell r="A82" t="str">
            <v>IKN402139</v>
          </cell>
          <cell r="B82">
            <v>1794</v>
          </cell>
          <cell r="C82" t="str">
            <v>Institut Kanser Negara</v>
          </cell>
          <cell r="D82" t="str">
            <v>KKM/IKN/H/22/70</v>
          </cell>
          <cell r="E82" t="str">
            <v>15-073</v>
          </cell>
          <cell r="F82" t="str">
            <v>Bronchoscopes, Flexible</v>
          </cell>
          <cell r="G82" t="str">
            <v>IC</v>
          </cell>
          <cell r="H82" t="str">
            <v>INTENSIVE CARE UNIT</v>
          </cell>
          <cell r="I82" t="str">
            <v>IC</v>
          </cell>
          <cell r="J82" t="str">
            <v>INTENSIVE CARE UNIT</v>
          </cell>
          <cell r="K82" t="str">
            <v>BMED</v>
          </cell>
          <cell r="L82" t="str">
            <v>Normal</v>
          </cell>
          <cell r="M82" t="str">
            <v>CHINA</v>
          </cell>
          <cell r="N82" t="str">
            <v>INSIGHTERS</v>
          </cell>
          <cell r="O82" t="str">
            <v>I5-PF1</v>
          </cell>
          <cell r="P82" t="str">
            <v>C201226004</v>
          </cell>
          <cell r="Q82" t="str">
            <v>Not Applicable</v>
          </cell>
          <cell r="R82" t="str">
            <v>SHENZEN INSIGHTERS MEDICAL TECHNOLOGY</v>
          </cell>
          <cell r="S82" t="str">
            <v>Perniagaan Bekalan Abadi Sdn.Bhd.</v>
          </cell>
          <cell r="T82" t="str">
            <v>Functioning</v>
          </cell>
          <cell r="U82" t="str">
            <v>ASSET</v>
          </cell>
          <cell r="V82">
            <v>58000</v>
          </cell>
          <cell r="W82" t="str">
            <v>KEW</v>
          </cell>
          <cell r="X82">
            <v>44855</v>
          </cell>
          <cell r="Y82" t="str">
            <v>KEW</v>
          </cell>
          <cell r="Z82">
            <v>44855</v>
          </cell>
          <cell r="AA82">
            <v>45585</v>
          </cell>
          <cell r="AB82" t="str">
            <v>YES</v>
          </cell>
          <cell r="AC82">
            <v>44855</v>
          </cell>
          <cell r="AD82" t="str">
            <v>GOOD</v>
          </cell>
          <cell r="AE82" t="str">
            <v>V3 - Added Installed Facilities (New)</v>
          </cell>
          <cell r="AF82">
            <v>45008</v>
          </cell>
          <cell r="AG82" t="str">
            <v>NA</v>
          </cell>
          <cell r="AH82" t="str">
            <v>PPM</v>
          </cell>
          <cell r="AI82" t="str">
            <v>Not in contract</v>
          </cell>
          <cell r="AJ82" t="str">
            <v>Strands V3 P1.23</v>
          </cell>
          <cell r="AK82" t="str">
            <v>(PIC: IMRAN) [23/8/2023, Sharifah]: V3 P1.23, add KKM No.</v>
          </cell>
        </row>
        <row r="83">
          <cell r="A83" t="str">
            <v>IKN402150</v>
          </cell>
          <cell r="B83">
            <v>1805</v>
          </cell>
          <cell r="C83" t="str">
            <v>Institut Kanser Negara</v>
          </cell>
          <cell r="D83" t="str">
            <v>KKM/IKN/H/23/30</v>
          </cell>
          <cell r="E83" t="str">
            <v>13-217</v>
          </cell>
          <cell r="F83" t="str">
            <v>Syringe Pump/Total Anesthesia Intravenous Pump</v>
          </cell>
          <cell r="G83" t="str">
            <v>IC</v>
          </cell>
          <cell r="H83" t="str">
            <v>INTENSIVE CARE UNIT</v>
          </cell>
          <cell r="I83" t="str">
            <v>05IC115</v>
          </cell>
          <cell r="J83" t="str">
            <v>ICU RM 4</v>
          </cell>
          <cell r="K83" t="str">
            <v>BMED</v>
          </cell>
          <cell r="L83" t="str">
            <v>Normal</v>
          </cell>
          <cell r="N83" t="str">
            <v>BENEFUSION NSP</v>
          </cell>
          <cell r="O83" t="str">
            <v>TCI&amp;TIVA</v>
          </cell>
          <cell r="P83" t="str">
            <v>SG1-39016070</v>
          </cell>
          <cell r="R83" t="str">
            <v>SHENZEN MINDRAY SCIENTIFIC CO. LTD</v>
          </cell>
          <cell r="S83" t="str">
            <v>SCHMIDT BIOMEDTECH SDN BHD</v>
          </cell>
          <cell r="T83" t="str">
            <v>Functioning</v>
          </cell>
          <cell r="U83" t="str">
            <v>Asset</v>
          </cell>
          <cell r="V83">
            <v>12000</v>
          </cell>
          <cell r="W83" t="str">
            <v>KEW</v>
          </cell>
          <cell r="X83">
            <v>45236</v>
          </cell>
          <cell r="Y83" t="str">
            <v>KEW</v>
          </cell>
          <cell r="Z83">
            <v>45236</v>
          </cell>
          <cell r="AA83">
            <v>45966</v>
          </cell>
          <cell r="AB83" t="str">
            <v>YES</v>
          </cell>
          <cell r="AC83">
            <v>45236</v>
          </cell>
          <cell r="AD83" t="str">
            <v>GOOD</v>
          </cell>
          <cell r="AE83" t="str">
            <v>V3 - Added Installed Facilities (New)</v>
          </cell>
          <cell r="AF83">
            <v>45251</v>
          </cell>
          <cell r="AG83" t="str">
            <v>NA</v>
          </cell>
          <cell r="AH83" t="str">
            <v>PPM</v>
          </cell>
          <cell r="AI83" t="str">
            <v>Strands</v>
          </cell>
          <cell r="AJ83" t="str">
            <v>Proposed for V3 P2.23</v>
          </cell>
          <cell r="AK83" t="str">
            <v>SNF received on November 2023.</v>
          </cell>
        </row>
        <row r="84">
          <cell r="A84" t="str">
            <v>IKN402151</v>
          </cell>
          <cell r="B84">
            <v>1806</v>
          </cell>
          <cell r="C84" t="str">
            <v>Institut Kanser Negara</v>
          </cell>
          <cell r="D84" t="str">
            <v>KKM/IKN/H/22/109</v>
          </cell>
          <cell r="E84" t="str">
            <v>15-709</v>
          </cell>
          <cell r="F84" t="str">
            <v>Analyzers, Laboratory, Blood Gas/pH</v>
          </cell>
          <cell r="G84" t="str">
            <v>IC</v>
          </cell>
          <cell r="H84" t="str">
            <v>INTENSIVE CARE UNIT</v>
          </cell>
          <cell r="I84" t="str">
            <v>05IC122</v>
          </cell>
          <cell r="J84" t="str">
            <v>STAT LAB</v>
          </cell>
          <cell r="K84" t="str">
            <v>BMED</v>
          </cell>
          <cell r="L84" t="str">
            <v>Normal</v>
          </cell>
          <cell r="M84" t="str">
            <v>Denmark</v>
          </cell>
          <cell r="N84" t="str">
            <v>Radiometer</v>
          </cell>
          <cell r="O84" t="str">
            <v>ABL 90</v>
          </cell>
          <cell r="P84" t="str">
            <v>092R029440010</v>
          </cell>
          <cell r="Q84" t="str">
            <v>Not Applicable</v>
          </cell>
          <cell r="R84" t="str">
            <v>Radiometer Medical ApS</v>
          </cell>
          <cell r="S84" t="str">
            <v>Anugerah Saintifik Sdn Bhd</v>
          </cell>
          <cell r="T84" t="str">
            <v>Functioning</v>
          </cell>
          <cell r="U84" t="str">
            <v>Asset</v>
          </cell>
          <cell r="V84">
            <v>49000</v>
          </cell>
          <cell r="W84" t="str">
            <v>KEW</v>
          </cell>
          <cell r="X84">
            <v>44980</v>
          </cell>
          <cell r="Y84" t="str">
            <v>KEW</v>
          </cell>
          <cell r="Z84">
            <v>44874</v>
          </cell>
          <cell r="AA84">
            <v>45239</v>
          </cell>
          <cell r="AB84" t="str">
            <v>No</v>
          </cell>
          <cell r="AC84">
            <v>44980</v>
          </cell>
          <cell r="AD84" t="str">
            <v>Good</v>
          </cell>
          <cell r="AE84" t="str">
            <v>V6</v>
          </cell>
          <cell r="AF84">
            <v>45008</v>
          </cell>
          <cell r="AG84" t="str">
            <v>NA</v>
          </cell>
          <cell r="AH84" t="str">
            <v>PPM</v>
          </cell>
          <cell r="AI84" t="str">
            <v>NA</v>
          </cell>
          <cell r="AJ84" t="str">
            <v>Strands V3 P1.23</v>
          </cell>
          <cell r="AK84" t="str">
            <v>[8/12/2023, Imran]: New IKN No., V3 P1.23.</v>
          </cell>
        </row>
        <row r="85">
          <cell r="A85" t="str">
            <v>IKN402185</v>
          </cell>
          <cell r="B85">
            <v>1831</v>
          </cell>
          <cell r="C85" t="str">
            <v>Institut Kanser Negara</v>
          </cell>
          <cell r="D85" t="str">
            <v>KKM/IKN/H/24/18</v>
          </cell>
          <cell r="E85" t="str">
            <v>16-231</v>
          </cell>
          <cell r="F85" t="str">
            <v>ECG</v>
          </cell>
          <cell r="G85" t="str">
            <v>DO</v>
          </cell>
          <cell r="H85" t="str">
            <v>DAYCARE ONCOLOGY CLINIC</v>
          </cell>
          <cell r="I85" t="str">
            <v>04DO125</v>
          </cell>
          <cell r="J85" t="str">
            <v>PROCEDURE ROOM</v>
          </cell>
          <cell r="K85" t="str">
            <v>BMED</v>
          </cell>
          <cell r="L85" t="str">
            <v>Normal</v>
          </cell>
          <cell r="M85" t="str">
            <v>USA, Assamble in China</v>
          </cell>
          <cell r="N85" t="str">
            <v>GE MAC 5</v>
          </cell>
          <cell r="O85" t="str">
            <v>MAC 5 A4</v>
          </cell>
          <cell r="P85" t="str">
            <v>SUE2420034WA</v>
          </cell>
          <cell r="R85" t="str">
            <v>GE Medical Systems Information Technologies, Inc</v>
          </cell>
          <cell r="S85" t="str">
            <v>Insan Damai Sdn Bhd</v>
          </cell>
          <cell r="T85" t="str">
            <v>Functioning</v>
          </cell>
          <cell r="U85" t="str">
            <v>Asset</v>
          </cell>
          <cell r="V85" t="str">
            <v>RM</v>
          </cell>
          <cell r="W85" t="str">
            <v>KEW</v>
          </cell>
          <cell r="X85">
            <v>45467</v>
          </cell>
          <cell r="Y85" t="str">
            <v>KEW</v>
          </cell>
          <cell r="Z85">
            <v>45474</v>
          </cell>
          <cell r="AA85">
            <v>45839</v>
          </cell>
          <cell r="AB85" t="str">
            <v>Yes</v>
          </cell>
          <cell r="AC85">
            <v>45474</v>
          </cell>
          <cell r="AD85" t="str">
            <v>Good</v>
          </cell>
          <cell r="AE85" t="str">
            <v>V3 - Added Installed Facilities (New)</v>
          </cell>
          <cell r="AF85">
            <v>45492</v>
          </cell>
          <cell r="AG85" t="str">
            <v>NA</v>
          </cell>
          <cell r="AH85" t="str">
            <v>PPM</v>
          </cell>
          <cell r="AI85" t="str">
            <v>Not in Contract</v>
          </cell>
          <cell r="AJ85" t="str">
            <v>Proposed for V3 P2.24</v>
          </cell>
          <cell r="AK85" t="str">
            <v>Accessories: 10 Lead AHA Patient Cable MAC 5 A4, Patient Interface Cable MAC 5 A4, Power Adapter 24Vdc 2.5A, Rechargeable battery MAC 5 A4, Local Made Cart Trolley MAC 5 A4</v>
          </cell>
        </row>
        <row r="86">
          <cell r="A86" t="str">
            <v>IKN402186</v>
          </cell>
          <cell r="B86">
            <v>1832</v>
          </cell>
          <cell r="C86" t="str">
            <v>Institut Kanser Negara</v>
          </cell>
          <cell r="D86" t="str">
            <v>KKM/IKN/H/24/26</v>
          </cell>
          <cell r="F86" t="str">
            <v>Defibrillator</v>
          </cell>
          <cell r="G86" t="str">
            <v>DO</v>
          </cell>
          <cell r="AC86">
            <v>45484</v>
          </cell>
          <cell r="AF86">
            <v>45512</v>
          </cell>
          <cell r="AI86" t="str">
            <v>Not in Contract</v>
          </cell>
          <cell r="AJ86" t="str">
            <v>Proposed for V3 P2.24</v>
          </cell>
          <cell r="AK86" t="str">
            <v>SNF 8/8/2024</v>
          </cell>
        </row>
        <row r="87">
          <cell r="A87" t="str">
            <v>IKN402187</v>
          </cell>
          <cell r="B87">
            <v>1833</v>
          </cell>
          <cell r="C87" t="str">
            <v>Institut Kanser Negara</v>
          </cell>
          <cell r="D87" t="str">
            <v>KKM/IKN/H/24/34</v>
          </cell>
          <cell r="F87" t="str">
            <v>Ultrasound</v>
          </cell>
          <cell r="G87" t="str">
            <v>ID</v>
          </cell>
          <cell r="H87" t="str">
            <v>IMAGING DEPARTMENT</v>
          </cell>
          <cell r="J87" t="str">
            <v>RADIOGRAPHER</v>
          </cell>
          <cell r="AB87" t="str">
            <v>No</v>
          </cell>
          <cell r="AD87" t="str">
            <v>Good</v>
          </cell>
          <cell r="AE87" t="str">
            <v>V3 - Added Installed Facilities (New)</v>
          </cell>
          <cell r="AF87">
            <v>45508</v>
          </cell>
          <cell r="AG87" t="str">
            <v>NA</v>
          </cell>
          <cell r="AH87" t="str">
            <v>PPM</v>
          </cell>
          <cell r="AI87" t="str">
            <v>NA</v>
          </cell>
          <cell r="AJ87" t="str">
            <v>TnC Anis Ultrasound 25/6/2024</v>
          </cell>
          <cell r="AK87" t="str">
            <v>SNF 2/8/2024</v>
          </cell>
        </row>
        <row r="88">
          <cell r="A88" t="str">
            <v>IKN400003</v>
          </cell>
          <cell r="B88">
            <v>3</v>
          </cell>
          <cell r="C88" t="str">
            <v>Institut Kanser Negara</v>
          </cell>
          <cell r="D88" t="str">
            <v>KKM/IKN/H/13/4932</v>
          </cell>
          <cell r="E88" t="str">
            <v>18-595</v>
          </cell>
          <cell r="F88" t="str">
            <v>Ophthalmoscopes/Otoscopes</v>
          </cell>
          <cell r="G88" t="str">
            <v>AE</v>
          </cell>
          <cell r="H88" t="str">
            <v>EMERGENCY UNIT</v>
          </cell>
          <cell r="I88" t="str">
            <v>01AE106</v>
          </cell>
          <cell r="J88" t="str">
            <v>C/E ROOM</v>
          </cell>
          <cell r="K88" t="str">
            <v>BMED</v>
          </cell>
          <cell r="L88" t="str">
            <v>Normal</v>
          </cell>
          <cell r="M88" t="str">
            <v>USA</v>
          </cell>
          <cell r="N88" t="str">
            <v>Welch Allyn</v>
          </cell>
          <cell r="O88" t="str">
            <v>Welch Allyn 71904</v>
          </cell>
          <cell r="P88" t="str">
            <v>GD0019-9</v>
          </cell>
          <cell r="Q88" t="str">
            <v>Not Applicable</v>
          </cell>
          <cell r="R88" t="str">
            <v>Welch Allyn Inc</v>
          </cell>
          <cell r="S88" t="str">
            <v>Welch Allyn Malaysia Sdn Bhd</v>
          </cell>
          <cell r="T88" t="str">
            <v>Functioning</v>
          </cell>
          <cell r="U88" t="str">
            <v>Asset</v>
          </cell>
          <cell r="V88">
            <v>4690</v>
          </cell>
          <cell r="W88" t="str">
            <v>KEW</v>
          </cell>
          <cell r="X88" t="str">
            <v>01/09/2010</v>
          </cell>
          <cell r="Y88" t="str">
            <v>KEW</v>
          </cell>
          <cell r="Z88" t="str">
            <v>16/08/2013</v>
          </cell>
          <cell r="AA88" t="str">
            <v>15/08/2015</v>
          </cell>
          <cell r="AB88" t="str">
            <v>No</v>
          </cell>
          <cell r="AC88" t="str">
            <v>31/08/2013</v>
          </cell>
          <cell r="AD88" t="str">
            <v>Good</v>
          </cell>
          <cell r="AE88" t="str">
            <v>V1 - Existing / No Claim</v>
          </cell>
          <cell r="AF88">
            <v>42800</v>
          </cell>
          <cell r="AG88">
            <v>9.17</v>
          </cell>
          <cell r="AH88" t="str">
            <v>RI</v>
          </cell>
          <cell r="AI88" t="str">
            <v>Strands</v>
          </cell>
          <cell r="AJ88" t="str">
            <v>Not under maintenance</v>
          </cell>
        </row>
        <row r="89">
          <cell r="A89" t="str">
            <v>IKN400026</v>
          </cell>
          <cell r="B89">
            <v>26</v>
          </cell>
          <cell r="C89" t="str">
            <v>Institut Kanser Negara</v>
          </cell>
          <cell r="D89" t="e">
            <v>#N/A</v>
          </cell>
          <cell r="E89" t="str">
            <v>18-595</v>
          </cell>
          <cell r="F89" t="str">
            <v>Ophthalmoscopes/Otoscopes</v>
          </cell>
          <cell r="G89" t="str">
            <v>IC</v>
          </cell>
          <cell r="H89" t="str">
            <v>INTENSIVE CARE UNIT</v>
          </cell>
          <cell r="I89" t="str">
            <v>05IC106</v>
          </cell>
          <cell r="J89" t="str">
            <v>EQ. ROOM</v>
          </cell>
          <cell r="K89" t="str">
            <v>BMED</v>
          </cell>
          <cell r="L89" t="str">
            <v>Normal</v>
          </cell>
          <cell r="M89" t="str">
            <v>USA</v>
          </cell>
          <cell r="N89" t="str">
            <v>Welch Allyn</v>
          </cell>
          <cell r="O89" t="str">
            <v>Welch Allyn 97150-BIM</v>
          </cell>
          <cell r="P89" t="str">
            <v>GD0019-30</v>
          </cell>
          <cell r="Q89" t="str">
            <v>Not Applicable</v>
          </cell>
          <cell r="R89" t="str">
            <v>Welch Allyn Inc</v>
          </cell>
          <cell r="S89" t="str">
            <v>Welch Allyn Malaysia Sdn Bhd</v>
          </cell>
          <cell r="T89" t="str">
            <v>Functioning</v>
          </cell>
          <cell r="U89" t="str">
            <v>Asset</v>
          </cell>
          <cell r="V89">
            <v>4690</v>
          </cell>
          <cell r="W89" t="str">
            <v>KEW</v>
          </cell>
          <cell r="X89" t="str">
            <v>01/09/2010</v>
          </cell>
          <cell r="Y89" t="str">
            <v>KEW</v>
          </cell>
          <cell r="Z89" t="str">
            <v>16/08/2013</v>
          </cell>
          <cell r="AA89" t="str">
            <v>15/08/2015</v>
          </cell>
          <cell r="AB89" t="str">
            <v>No</v>
          </cell>
          <cell r="AC89" t="str">
            <v>31/08/2013</v>
          </cell>
          <cell r="AD89" t="str">
            <v>Good</v>
          </cell>
          <cell r="AE89" t="str">
            <v>V1 - Existing / No Claim</v>
          </cell>
          <cell r="AF89">
            <v>42235</v>
          </cell>
          <cell r="AG89">
            <v>9.17</v>
          </cell>
          <cell r="AH89" t="str">
            <v>RI</v>
          </cell>
          <cell r="AI89" t="str">
            <v>Not in contract</v>
          </cell>
          <cell r="AJ89" t="str">
            <v>Not under maintenance</v>
          </cell>
          <cell r="AK89" t="str">
            <v>Will be under V4. Taken out of contract as agreed by IKN</v>
          </cell>
        </row>
        <row r="90">
          <cell r="A90" t="str">
            <v>IKN400027</v>
          </cell>
          <cell r="B90">
            <v>27</v>
          </cell>
          <cell r="C90" t="str">
            <v>Institut Kanser Negara</v>
          </cell>
          <cell r="D90" t="e">
            <v>#N/A</v>
          </cell>
          <cell r="E90" t="str">
            <v>18-595</v>
          </cell>
          <cell r="F90" t="str">
            <v>Ophthalmoscopes/Otoscopes</v>
          </cell>
          <cell r="G90" t="str">
            <v>IC</v>
          </cell>
          <cell r="H90" t="str">
            <v>INTENSIVE CARE UNIT</v>
          </cell>
          <cell r="I90" t="str">
            <v>05IC106</v>
          </cell>
          <cell r="J90" t="str">
            <v>EQ. ROOM</v>
          </cell>
          <cell r="K90" t="str">
            <v>BMED</v>
          </cell>
          <cell r="L90" t="str">
            <v>Normal</v>
          </cell>
          <cell r="M90" t="str">
            <v>USA</v>
          </cell>
          <cell r="N90" t="str">
            <v>Welch Allyn</v>
          </cell>
          <cell r="O90" t="str">
            <v>Welch Allyn 97150-BIM</v>
          </cell>
          <cell r="P90" t="str">
            <v>GD0019-21</v>
          </cell>
          <cell r="Q90" t="str">
            <v>Not Applicable</v>
          </cell>
          <cell r="R90" t="str">
            <v>Welch Allyn Inc</v>
          </cell>
          <cell r="S90" t="str">
            <v>Welch Allyn Malaysia Sdn Bhd</v>
          </cell>
          <cell r="T90" t="str">
            <v>Functioning</v>
          </cell>
          <cell r="U90" t="str">
            <v>Asset</v>
          </cell>
          <cell r="V90">
            <v>4690</v>
          </cell>
          <cell r="W90" t="str">
            <v>KEW</v>
          </cell>
          <cell r="X90" t="str">
            <v>01/09/2010</v>
          </cell>
          <cell r="Y90" t="str">
            <v>KEW</v>
          </cell>
          <cell r="Z90" t="str">
            <v>16/08/2013</v>
          </cell>
          <cell r="AA90" t="str">
            <v>15/08/2015</v>
          </cell>
          <cell r="AB90" t="str">
            <v>No</v>
          </cell>
          <cell r="AC90" t="str">
            <v>31/08/2013</v>
          </cell>
          <cell r="AD90" t="str">
            <v>Good</v>
          </cell>
          <cell r="AE90" t="str">
            <v>V1 - Existing / No Claim</v>
          </cell>
          <cell r="AF90">
            <v>42235</v>
          </cell>
          <cell r="AG90">
            <v>9.17</v>
          </cell>
          <cell r="AH90" t="str">
            <v>RI</v>
          </cell>
          <cell r="AI90" t="str">
            <v>Not in contract</v>
          </cell>
          <cell r="AJ90" t="str">
            <v>Not under maintenance</v>
          </cell>
          <cell r="AK90" t="str">
            <v>Will be under V4. Taken out of contract as agreed by IKN</v>
          </cell>
        </row>
        <row r="91">
          <cell r="A91" t="str">
            <v>IKN400028</v>
          </cell>
          <cell r="B91">
            <v>28</v>
          </cell>
          <cell r="C91" t="str">
            <v>Institut Kanser Negara</v>
          </cell>
          <cell r="D91" t="e">
            <v>#N/A</v>
          </cell>
          <cell r="E91" t="str">
            <v>18-595</v>
          </cell>
          <cell r="F91" t="str">
            <v>Ophthalmoscopes/Otoscopes</v>
          </cell>
          <cell r="G91" t="str">
            <v>IC</v>
          </cell>
          <cell r="H91" t="str">
            <v>INTENSIVE CARE UNIT</v>
          </cell>
          <cell r="I91" t="str">
            <v>05IC106</v>
          </cell>
          <cell r="J91" t="str">
            <v>EQ. ROOM</v>
          </cell>
          <cell r="K91" t="str">
            <v>BMED</v>
          </cell>
          <cell r="L91" t="str">
            <v>Normal</v>
          </cell>
          <cell r="M91" t="str">
            <v>USA</v>
          </cell>
          <cell r="N91" t="str">
            <v>Welch Allyn</v>
          </cell>
          <cell r="O91" t="str">
            <v>Welch Allyn 97150-BIM</v>
          </cell>
          <cell r="P91" t="str">
            <v>GD0019-44</v>
          </cell>
          <cell r="Q91" t="str">
            <v>Not Applicable</v>
          </cell>
          <cell r="R91" t="str">
            <v>Welch Allyn Inc</v>
          </cell>
          <cell r="S91" t="str">
            <v>Welch Allyn Malaysia Sdn Bhd</v>
          </cell>
          <cell r="T91" t="str">
            <v>Functioning</v>
          </cell>
          <cell r="U91" t="str">
            <v>Asset</v>
          </cell>
          <cell r="V91">
            <v>4690</v>
          </cell>
          <cell r="W91" t="str">
            <v>KEW</v>
          </cell>
          <cell r="X91" t="str">
            <v>01/09/2010</v>
          </cell>
          <cell r="Y91" t="str">
            <v>KEW</v>
          </cell>
          <cell r="Z91" t="str">
            <v>16/08/2013</v>
          </cell>
          <cell r="AA91" t="str">
            <v>15/08/2015</v>
          </cell>
          <cell r="AB91" t="str">
            <v>No</v>
          </cell>
          <cell r="AC91" t="str">
            <v>31/08/2013</v>
          </cell>
          <cell r="AD91" t="str">
            <v>Good</v>
          </cell>
          <cell r="AE91" t="str">
            <v>V1 - Existing / No Claim</v>
          </cell>
          <cell r="AF91">
            <v>42235</v>
          </cell>
          <cell r="AG91">
            <v>9.17</v>
          </cell>
          <cell r="AH91" t="str">
            <v>RI</v>
          </cell>
          <cell r="AI91" t="str">
            <v>Not in contract</v>
          </cell>
          <cell r="AJ91" t="str">
            <v>Not under maintenance</v>
          </cell>
          <cell r="AK91" t="str">
            <v>Will be under V4. Taken out of contract as agreed by IKN</v>
          </cell>
        </row>
        <row r="92">
          <cell r="A92" t="str">
            <v>IKN400081</v>
          </cell>
          <cell r="B92">
            <v>81</v>
          </cell>
          <cell r="C92" t="str">
            <v>Institut Kanser Negara</v>
          </cell>
          <cell r="D92" t="str">
            <v>KKM/IKN/H/13/1624</v>
          </cell>
          <cell r="E92" t="str">
            <v>18-595</v>
          </cell>
          <cell r="F92" t="str">
            <v>Ophthalmoscopes/Otoscopes</v>
          </cell>
          <cell r="G92" t="str">
            <v>IC</v>
          </cell>
          <cell r="H92" t="str">
            <v>INTENSIVE CARE UNIT</v>
          </cell>
          <cell r="I92" t="str">
            <v>05IC106</v>
          </cell>
          <cell r="J92" t="str">
            <v>EQ. ROOM</v>
          </cell>
          <cell r="K92" t="str">
            <v>BMED</v>
          </cell>
          <cell r="L92" t="str">
            <v>Normal</v>
          </cell>
          <cell r="M92" t="str">
            <v>USA</v>
          </cell>
          <cell r="N92" t="str">
            <v>Welch Allyn</v>
          </cell>
          <cell r="O92" t="str">
            <v>Welch Allyn 97150-BIM</v>
          </cell>
          <cell r="P92" t="str">
            <v>GD0019-23</v>
          </cell>
          <cell r="Q92" t="str">
            <v>Not Applicable</v>
          </cell>
          <cell r="R92" t="str">
            <v>Welch Allyn Inc</v>
          </cell>
          <cell r="S92" t="str">
            <v>Welch Allyn Malaysia Sdn Bhd</v>
          </cell>
          <cell r="T92" t="str">
            <v>Functioning</v>
          </cell>
          <cell r="U92" t="str">
            <v>Asset</v>
          </cell>
          <cell r="V92">
            <v>4690</v>
          </cell>
          <cell r="W92" t="str">
            <v>KEW</v>
          </cell>
          <cell r="X92" t="str">
            <v>01/09/2010</v>
          </cell>
          <cell r="Y92" t="str">
            <v>KEW</v>
          </cell>
          <cell r="Z92" t="str">
            <v>16/08/2013</v>
          </cell>
          <cell r="AA92" t="str">
            <v>15/08/2015</v>
          </cell>
          <cell r="AB92" t="str">
            <v>No</v>
          </cell>
          <cell r="AC92" t="str">
            <v>31/08/2013</v>
          </cell>
          <cell r="AD92" t="str">
            <v>Good</v>
          </cell>
          <cell r="AE92" t="str">
            <v>V1 - Existing / No Claim</v>
          </cell>
          <cell r="AF92">
            <v>42235</v>
          </cell>
          <cell r="AG92">
            <v>9.17</v>
          </cell>
          <cell r="AH92" t="str">
            <v>RI</v>
          </cell>
          <cell r="AI92" t="str">
            <v>Strands</v>
          </cell>
          <cell r="AJ92" t="str">
            <v>Not under maintenance</v>
          </cell>
        </row>
        <row r="93">
          <cell r="A93" t="str">
            <v>IKN400166</v>
          </cell>
          <cell r="B93">
            <v>166</v>
          </cell>
          <cell r="C93" t="str">
            <v>Institut Kanser Negara</v>
          </cell>
          <cell r="D93" t="e">
            <v>#N/A</v>
          </cell>
          <cell r="E93" t="str">
            <v>18-595</v>
          </cell>
          <cell r="F93" t="str">
            <v>Ophthalmoscopes/Otoscopes</v>
          </cell>
          <cell r="G93" t="str">
            <v>IC</v>
          </cell>
          <cell r="H93" t="str">
            <v>INTENSIVE CARE UNIT</v>
          </cell>
          <cell r="I93" t="str">
            <v>05IC106</v>
          </cell>
          <cell r="J93" t="str">
            <v>EQ. ROOM</v>
          </cell>
          <cell r="K93" t="str">
            <v>BMED</v>
          </cell>
          <cell r="L93" t="str">
            <v>Normal</v>
          </cell>
          <cell r="M93" t="str">
            <v>USA</v>
          </cell>
          <cell r="N93" t="str">
            <v>Welch Allyn</v>
          </cell>
          <cell r="O93" t="str">
            <v>Welch Allyn 97150-BIM</v>
          </cell>
          <cell r="P93" t="str">
            <v>GD0019-31</v>
          </cell>
          <cell r="Q93" t="str">
            <v>Not Applicable</v>
          </cell>
          <cell r="R93" t="str">
            <v>Welch Allyn Inc</v>
          </cell>
          <cell r="S93" t="str">
            <v>Welch Allyn Malaysia Sdn Bhd</v>
          </cell>
          <cell r="T93" t="str">
            <v>Functioning</v>
          </cell>
          <cell r="U93" t="str">
            <v>Asset</v>
          </cell>
          <cell r="V93">
            <v>4690</v>
          </cell>
          <cell r="W93" t="str">
            <v>KEW</v>
          </cell>
          <cell r="X93" t="str">
            <v>01/09/2010</v>
          </cell>
          <cell r="Y93" t="str">
            <v>KEW</v>
          </cell>
          <cell r="Z93" t="str">
            <v>16/08/2013</v>
          </cell>
          <cell r="AA93" t="str">
            <v>15/08/2015</v>
          </cell>
          <cell r="AB93" t="str">
            <v>No</v>
          </cell>
          <cell r="AC93" t="str">
            <v>31/08/2013</v>
          </cell>
          <cell r="AD93" t="str">
            <v>Good</v>
          </cell>
          <cell r="AE93" t="str">
            <v>V1 - Existing / No Claim</v>
          </cell>
          <cell r="AF93">
            <v>42235</v>
          </cell>
          <cell r="AG93">
            <v>9.17</v>
          </cell>
          <cell r="AH93" t="str">
            <v>RI</v>
          </cell>
          <cell r="AI93" t="str">
            <v>Not in contract</v>
          </cell>
          <cell r="AJ93" t="str">
            <v>Not under maintenance</v>
          </cell>
          <cell r="AK93" t="str">
            <v>Will be under V4. Taken out of contract as agreed by IKN</v>
          </cell>
        </row>
        <row r="94">
          <cell r="A94" t="str">
            <v>IKN400207</v>
          </cell>
          <cell r="B94">
            <v>207</v>
          </cell>
          <cell r="C94" t="str">
            <v>Institut Kanser Negara</v>
          </cell>
          <cell r="D94" t="e">
            <v>#N/A</v>
          </cell>
          <cell r="E94" t="str">
            <v>16-158</v>
          </cell>
          <cell r="F94" t="str">
            <v>Sphygmomanometers, Mercury</v>
          </cell>
          <cell r="G94" t="str">
            <v>WJ</v>
          </cell>
          <cell r="H94" t="str">
            <v>MULTIDISCIPLINE WARD 1</v>
          </cell>
          <cell r="I94" t="str">
            <v>09WJ130</v>
          </cell>
          <cell r="J94" t="str">
            <v>TREATMENT/ PROCEDURE</v>
          </cell>
          <cell r="K94" t="str">
            <v>BMED</v>
          </cell>
          <cell r="L94" t="str">
            <v>Normal</v>
          </cell>
          <cell r="M94" t="str">
            <v>Germany</v>
          </cell>
          <cell r="N94" t="str">
            <v>Erka</v>
          </cell>
          <cell r="O94" t="str">
            <v>Erkameter 3000</v>
          </cell>
          <cell r="P94" t="str">
            <v>13500746</v>
          </cell>
          <cell r="Q94" t="str">
            <v>Not Applicable</v>
          </cell>
          <cell r="R94" t="str">
            <v>Erka GmbH &amp; Co</v>
          </cell>
          <cell r="S94" t="str">
            <v>Acucare Systems (M) Sdn bhd</v>
          </cell>
          <cell r="T94" t="str">
            <v>Functioning</v>
          </cell>
          <cell r="U94" t="str">
            <v>Asset</v>
          </cell>
          <cell r="V94">
            <v>505</v>
          </cell>
          <cell r="W94" t="str">
            <v>KEW</v>
          </cell>
          <cell r="X94" t="str">
            <v>01/09/2010</v>
          </cell>
          <cell r="Y94" t="str">
            <v>KEW</v>
          </cell>
          <cell r="Z94" t="str">
            <v>16/08/2013</v>
          </cell>
          <cell r="AA94" t="str">
            <v>15/08/2015</v>
          </cell>
          <cell r="AB94" t="str">
            <v>No</v>
          </cell>
          <cell r="AC94" t="str">
            <v>31/08/2013</v>
          </cell>
          <cell r="AD94" t="str">
            <v>Good</v>
          </cell>
          <cell r="AE94" t="str">
            <v>V4 - Decommissioned Installed Facility</v>
          </cell>
          <cell r="AF94">
            <v>42235</v>
          </cell>
          <cell r="AG94">
            <v>9.17</v>
          </cell>
          <cell r="AH94" t="str">
            <v>PPM</v>
          </cell>
          <cell r="AI94" t="str">
            <v>Not in contract</v>
          </cell>
          <cell r="AJ94" t="str">
            <v>Not under maintenance</v>
          </cell>
          <cell r="AK94" t="e">
            <v>#N/A</v>
          </cell>
        </row>
        <row r="95">
          <cell r="A95" t="str">
            <v>IKN400219</v>
          </cell>
          <cell r="B95">
            <v>219</v>
          </cell>
          <cell r="C95" t="str">
            <v>Institut Kanser Negara</v>
          </cell>
          <cell r="D95" t="e">
            <v>#N/A</v>
          </cell>
          <cell r="E95" t="str">
            <v>16-158</v>
          </cell>
          <cell r="F95" t="str">
            <v>Sphygmomanometers, Mercury</v>
          </cell>
          <cell r="G95" t="str">
            <v>WJ</v>
          </cell>
          <cell r="H95" t="str">
            <v>MULTIDISCIPLINE WARD 1</v>
          </cell>
          <cell r="I95" t="str">
            <v>09WJ222</v>
          </cell>
          <cell r="J95" t="str">
            <v>TREATMENT</v>
          </cell>
          <cell r="K95" t="str">
            <v>BMED</v>
          </cell>
          <cell r="L95" t="str">
            <v>Normal</v>
          </cell>
          <cell r="M95" t="str">
            <v>Germany</v>
          </cell>
          <cell r="N95" t="str">
            <v>Erka</v>
          </cell>
          <cell r="O95" t="str">
            <v>Erkameter 3000</v>
          </cell>
          <cell r="P95" t="str">
            <v>13500749</v>
          </cell>
          <cell r="Q95" t="str">
            <v>Not Applicable</v>
          </cell>
          <cell r="R95" t="str">
            <v>Erka GmbH &amp; Co</v>
          </cell>
          <cell r="S95" t="str">
            <v>Acucare Systems (M) Sdn bhd</v>
          </cell>
          <cell r="T95" t="str">
            <v>Functioning</v>
          </cell>
          <cell r="U95" t="str">
            <v>Asset</v>
          </cell>
          <cell r="V95">
            <v>505</v>
          </cell>
          <cell r="W95" t="str">
            <v>KEW</v>
          </cell>
          <cell r="X95" t="str">
            <v>01/09/2010</v>
          </cell>
          <cell r="Y95" t="str">
            <v>KEW</v>
          </cell>
          <cell r="Z95" t="str">
            <v>16/08/2013</v>
          </cell>
          <cell r="AA95" t="str">
            <v>15/08/2015</v>
          </cell>
          <cell r="AB95" t="str">
            <v>No</v>
          </cell>
          <cell r="AC95" t="str">
            <v>31/08/2013</v>
          </cell>
          <cell r="AD95" t="str">
            <v>Good</v>
          </cell>
          <cell r="AE95" t="str">
            <v>V4 - Decommissioned Installed Facility</v>
          </cell>
          <cell r="AF95">
            <v>42235</v>
          </cell>
          <cell r="AG95">
            <v>9.17</v>
          </cell>
          <cell r="AH95" t="str">
            <v>PPM</v>
          </cell>
          <cell r="AI95" t="str">
            <v>Not in contract</v>
          </cell>
          <cell r="AJ95" t="str">
            <v>Not under maintenance</v>
          </cell>
          <cell r="AK95" t="e">
            <v>#N/A</v>
          </cell>
        </row>
        <row r="96">
          <cell r="A96" t="str">
            <v>IKN400220</v>
          </cell>
          <cell r="B96">
            <v>220</v>
          </cell>
          <cell r="C96" t="str">
            <v>Institut Kanser Negara</v>
          </cell>
          <cell r="D96" t="e">
            <v>#N/A</v>
          </cell>
          <cell r="E96" t="str">
            <v>18-595</v>
          </cell>
          <cell r="F96" t="str">
            <v>Ophthalmoscopes/Otoscopes</v>
          </cell>
          <cell r="G96" t="str">
            <v>WJ</v>
          </cell>
          <cell r="H96" t="str">
            <v>MULTIDISCIPLINE WARD 1</v>
          </cell>
          <cell r="I96" t="str">
            <v>09WJ222</v>
          </cell>
          <cell r="J96" t="str">
            <v>TREATMENT</v>
          </cell>
          <cell r="K96" t="str">
            <v>BMED</v>
          </cell>
          <cell r="L96" t="str">
            <v>Normal</v>
          </cell>
          <cell r="M96" t="str">
            <v>USA</v>
          </cell>
          <cell r="N96" t="str">
            <v>Welch Allyn</v>
          </cell>
          <cell r="O96" t="str">
            <v>Welch Allyn 71904</v>
          </cell>
          <cell r="P96" t="str">
            <v>GD0019-19</v>
          </cell>
          <cell r="Q96" t="str">
            <v>Not Applicable</v>
          </cell>
          <cell r="R96" t="str">
            <v>Welch Allyn Inc</v>
          </cell>
          <cell r="S96" t="str">
            <v>Welch Allyn Malaysia Sdn Bhd</v>
          </cell>
          <cell r="T96" t="str">
            <v>Functioning</v>
          </cell>
          <cell r="U96" t="str">
            <v>Asset</v>
          </cell>
          <cell r="V96">
            <v>4690</v>
          </cell>
          <cell r="W96" t="str">
            <v>KEW</v>
          </cell>
          <cell r="X96" t="str">
            <v>01/09/2010</v>
          </cell>
          <cell r="Y96" t="str">
            <v>KEW</v>
          </cell>
          <cell r="Z96" t="str">
            <v>16/08/2013</v>
          </cell>
          <cell r="AA96" t="str">
            <v>15/08/2015</v>
          </cell>
          <cell r="AB96" t="str">
            <v>No</v>
          </cell>
          <cell r="AC96" t="str">
            <v>31/08/2013</v>
          </cell>
          <cell r="AD96" t="str">
            <v>Good</v>
          </cell>
          <cell r="AE96" t="str">
            <v>V1 - Existing / No Claim</v>
          </cell>
          <cell r="AF96">
            <v>42944</v>
          </cell>
          <cell r="AG96">
            <v>9.17</v>
          </cell>
          <cell r="AH96" t="str">
            <v>RI</v>
          </cell>
          <cell r="AI96" t="str">
            <v>Not in contract</v>
          </cell>
          <cell r="AJ96" t="str">
            <v>Not under maintenance</v>
          </cell>
          <cell r="AK96" t="str">
            <v>Will be under V4. Taken out of contract as agreed by IKN</v>
          </cell>
        </row>
        <row r="97">
          <cell r="A97" t="str">
            <v>IKN400272</v>
          </cell>
          <cell r="B97">
            <v>272</v>
          </cell>
          <cell r="C97" t="str">
            <v>Institut Kanser Negara</v>
          </cell>
          <cell r="D97" t="str">
            <v>KKM/IKN/H/13/2561</v>
          </cell>
          <cell r="E97" t="str">
            <v>18-595</v>
          </cell>
          <cell r="F97" t="str">
            <v>Ophthalmoscopes/Otoscopes</v>
          </cell>
          <cell r="G97" t="str">
            <v>WG</v>
          </cell>
          <cell r="H97" t="str">
            <v>RT/ONCO WARD 1 (M)</v>
          </cell>
          <cell r="I97" t="str">
            <v>08WG107</v>
          </cell>
          <cell r="J97" t="str">
            <v>TREATMENT / PROCEDURE</v>
          </cell>
          <cell r="K97" t="str">
            <v>BMED</v>
          </cell>
          <cell r="L97" t="str">
            <v>Normal</v>
          </cell>
          <cell r="M97" t="str">
            <v>USA</v>
          </cell>
          <cell r="N97" t="str">
            <v>Welch Allyn</v>
          </cell>
          <cell r="O97" t="str">
            <v>Welch Allyn 71904</v>
          </cell>
          <cell r="P97" t="str">
            <v>GD0019-17</v>
          </cell>
          <cell r="Q97" t="str">
            <v>Not Applicable</v>
          </cell>
          <cell r="R97" t="str">
            <v>Welch Allyn Inc</v>
          </cell>
          <cell r="S97" t="str">
            <v>Welch Allyn Malaysia Sdn Bhd</v>
          </cell>
          <cell r="T97" t="str">
            <v>Functioning</v>
          </cell>
          <cell r="U97" t="str">
            <v>Asset</v>
          </cell>
          <cell r="V97">
            <v>4690</v>
          </cell>
          <cell r="W97" t="str">
            <v>KEW</v>
          </cell>
          <cell r="X97" t="str">
            <v>01/09/2010</v>
          </cell>
          <cell r="Y97" t="str">
            <v>KEW</v>
          </cell>
          <cell r="Z97" t="str">
            <v>16/08/2013</v>
          </cell>
          <cell r="AA97" t="str">
            <v>15/08/2015</v>
          </cell>
          <cell r="AB97" t="str">
            <v>No</v>
          </cell>
          <cell r="AC97" t="str">
            <v>31/08/2013</v>
          </cell>
          <cell r="AD97" t="str">
            <v>Good</v>
          </cell>
          <cell r="AE97" t="str">
            <v>V1 - Existing / No Claim</v>
          </cell>
          <cell r="AF97">
            <v>42235</v>
          </cell>
          <cell r="AG97">
            <v>9.17</v>
          </cell>
          <cell r="AH97" t="str">
            <v>RI</v>
          </cell>
          <cell r="AI97" t="str">
            <v>Strands</v>
          </cell>
          <cell r="AJ97" t="str">
            <v>Not under maintenance</v>
          </cell>
        </row>
        <row r="98">
          <cell r="A98" t="str">
            <v>IKN400273</v>
          </cell>
          <cell r="B98">
            <v>273</v>
          </cell>
          <cell r="C98" t="str">
            <v>Institut Kanser Negara</v>
          </cell>
          <cell r="D98" t="e">
            <v>#N/A</v>
          </cell>
          <cell r="E98" t="str">
            <v>16-158</v>
          </cell>
          <cell r="F98" t="str">
            <v>Sphygmomanometers, Mercury</v>
          </cell>
          <cell r="G98" t="str">
            <v>WJ</v>
          </cell>
          <cell r="H98" t="str">
            <v>MULTIDISCIPLINE WARD 1</v>
          </cell>
          <cell r="I98" t="str">
            <v>09WJ126</v>
          </cell>
          <cell r="J98" t="str">
            <v>EQUIPT. ROOM</v>
          </cell>
          <cell r="K98" t="str">
            <v>BMED</v>
          </cell>
          <cell r="L98" t="str">
            <v>Normal</v>
          </cell>
          <cell r="M98" t="str">
            <v>Germany</v>
          </cell>
          <cell r="N98" t="str">
            <v>Erka</v>
          </cell>
          <cell r="O98" t="str">
            <v>Erkameter 3000</v>
          </cell>
          <cell r="P98" t="str">
            <v>12508913</v>
          </cell>
          <cell r="Q98" t="str">
            <v>Not Applicable</v>
          </cell>
          <cell r="R98" t="str">
            <v>Erka GmbH &amp; Co</v>
          </cell>
          <cell r="S98" t="str">
            <v>Acucare Systems (M) Sdn bhd</v>
          </cell>
          <cell r="T98" t="str">
            <v>Functioning</v>
          </cell>
          <cell r="U98" t="str">
            <v>Asset</v>
          </cell>
          <cell r="V98">
            <v>505</v>
          </cell>
          <cell r="W98" t="str">
            <v>KEW</v>
          </cell>
          <cell r="X98" t="str">
            <v>01/09/2010</v>
          </cell>
          <cell r="Y98" t="str">
            <v>KEW</v>
          </cell>
          <cell r="Z98" t="str">
            <v>16/08/2013</v>
          </cell>
          <cell r="AA98" t="str">
            <v>15/08/2015</v>
          </cell>
          <cell r="AB98" t="str">
            <v>No</v>
          </cell>
          <cell r="AC98" t="str">
            <v>31/08/2013</v>
          </cell>
          <cell r="AD98" t="str">
            <v>Good</v>
          </cell>
          <cell r="AE98" t="str">
            <v>V4 - Decommissioned Installed Facility</v>
          </cell>
          <cell r="AF98">
            <v>42235</v>
          </cell>
          <cell r="AG98">
            <v>9.17</v>
          </cell>
          <cell r="AH98" t="str">
            <v>PPM</v>
          </cell>
          <cell r="AI98" t="str">
            <v>Not in contract</v>
          </cell>
          <cell r="AJ98" t="str">
            <v>Not under maintenance</v>
          </cell>
          <cell r="AK98" t="e">
            <v>#N/A</v>
          </cell>
        </row>
        <row r="99">
          <cell r="A99" t="str">
            <v>IKN400274</v>
          </cell>
          <cell r="B99">
            <v>274</v>
          </cell>
          <cell r="C99" t="str">
            <v>Institut Kanser Negara</v>
          </cell>
          <cell r="D99" t="e">
            <v>#N/A</v>
          </cell>
          <cell r="E99" t="str">
            <v>16-158</v>
          </cell>
          <cell r="F99" t="str">
            <v>Sphygmomanometers, Mercury</v>
          </cell>
          <cell r="G99" t="str">
            <v>WJ</v>
          </cell>
          <cell r="H99" t="str">
            <v>MULTIDISCIPLINE WARD 1</v>
          </cell>
          <cell r="I99" t="str">
            <v>09WJ126</v>
          </cell>
          <cell r="J99" t="str">
            <v>EQUIPT. ROOM</v>
          </cell>
          <cell r="K99" t="str">
            <v>BMED</v>
          </cell>
          <cell r="L99" t="str">
            <v>Normal</v>
          </cell>
          <cell r="M99" t="str">
            <v>Germany</v>
          </cell>
          <cell r="N99" t="str">
            <v>Erka</v>
          </cell>
          <cell r="O99" t="str">
            <v>Erkameter 3000</v>
          </cell>
          <cell r="P99" t="str">
            <v>12508925</v>
          </cell>
          <cell r="Q99" t="str">
            <v>Not Applicable</v>
          </cell>
          <cell r="R99" t="str">
            <v>Erka GmbH &amp; Co</v>
          </cell>
          <cell r="S99" t="str">
            <v>Acucare Systems (M) Sdn bhd</v>
          </cell>
          <cell r="T99" t="str">
            <v>Functioning</v>
          </cell>
          <cell r="U99" t="str">
            <v>Asset</v>
          </cell>
          <cell r="V99">
            <v>505</v>
          </cell>
          <cell r="W99" t="str">
            <v>KEW</v>
          </cell>
          <cell r="X99" t="str">
            <v>01/09/2010</v>
          </cell>
          <cell r="Y99" t="str">
            <v>KEW</v>
          </cell>
          <cell r="Z99" t="str">
            <v>16/08/2013</v>
          </cell>
          <cell r="AA99" t="str">
            <v>15/08/2015</v>
          </cell>
          <cell r="AB99" t="str">
            <v>No</v>
          </cell>
          <cell r="AC99" t="str">
            <v>31/08/2013</v>
          </cell>
          <cell r="AD99" t="str">
            <v>Good</v>
          </cell>
          <cell r="AE99" t="str">
            <v>V4 - Decommissioned Installed Facility</v>
          </cell>
          <cell r="AF99">
            <v>42235</v>
          </cell>
          <cell r="AG99">
            <v>9.17</v>
          </cell>
          <cell r="AH99" t="str">
            <v>PPM</v>
          </cell>
          <cell r="AI99" t="str">
            <v>Not in contract</v>
          </cell>
          <cell r="AJ99" t="str">
            <v>Not under maintenance</v>
          </cell>
          <cell r="AK99" t="e">
            <v>#N/A</v>
          </cell>
        </row>
        <row r="100">
          <cell r="A100" t="str">
            <v>IKN400275</v>
          </cell>
          <cell r="B100">
            <v>275</v>
          </cell>
          <cell r="C100" t="str">
            <v>Institut Kanser Negara</v>
          </cell>
          <cell r="D100" t="str">
            <v>KKM/IKN/H/13/3167</v>
          </cell>
          <cell r="E100" t="str">
            <v>18-595</v>
          </cell>
          <cell r="F100" t="str">
            <v>Ophthalmoscopes/Otoscopes</v>
          </cell>
          <cell r="G100" t="str">
            <v>WH</v>
          </cell>
          <cell r="H100" t="str">
            <v>RT/ONCO WARD 2 (M)</v>
          </cell>
          <cell r="I100" t="str">
            <v>08WH107</v>
          </cell>
          <cell r="J100" t="str">
            <v>TREATMENT / PROCEDURE</v>
          </cell>
          <cell r="K100" t="str">
            <v>BMED</v>
          </cell>
          <cell r="L100" t="str">
            <v>Normal</v>
          </cell>
          <cell r="M100" t="str">
            <v>USA</v>
          </cell>
          <cell r="N100" t="str">
            <v>Welch Allyn</v>
          </cell>
          <cell r="O100" t="str">
            <v>Welch Allyn 71904</v>
          </cell>
          <cell r="P100" t="str">
            <v>GD0019-18</v>
          </cell>
          <cell r="Q100" t="str">
            <v>Not Applicable</v>
          </cell>
          <cell r="R100" t="str">
            <v>Welch Allyn Inc</v>
          </cell>
          <cell r="S100" t="str">
            <v>Welch Allyn Malaysia Sdn Bhd</v>
          </cell>
          <cell r="T100" t="str">
            <v>Functioning</v>
          </cell>
          <cell r="U100" t="str">
            <v>Asset</v>
          </cell>
          <cell r="V100">
            <v>4690</v>
          </cell>
          <cell r="W100" t="str">
            <v>KEW</v>
          </cell>
          <cell r="X100" t="str">
            <v>01/09/2010</v>
          </cell>
          <cell r="Y100" t="str">
            <v>KEW</v>
          </cell>
          <cell r="Z100" t="str">
            <v>16/08/2013</v>
          </cell>
          <cell r="AA100" t="str">
            <v>15/08/2015</v>
          </cell>
          <cell r="AB100" t="str">
            <v>No</v>
          </cell>
          <cell r="AC100" t="str">
            <v>31/08/2013</v>
          </cell>
          <cell r="AD100" t="str">
            <v>Good</v>
          </cell>
          <cell r="AE100" t="str">
            <v>V1 - Existing / No Claim</v>
          </cell>
          <cell r="AF100">
            <v>43033</v>
          </cell>
          <cell r="AG100">
            <v>9.17</v>
          </cell>
          <cell r="AH100" t="str">
            <v>RI</v>
          </cell>
          <cell r="AI100" t="str">
            <v>Strands</v>
          </cell>
          <cell r="AJ100" t="str">
            <v>Not under maintenance</v>
          </cell>
        </row>
        <row r="101">
          <cell r="A101" t="str">
            <v>IKN400314</v>
          </cell>
          <cell r="B101">
            <v>314</v>
          </cell>
          <cell r="C101" t="str">
            <v>Institut Kanser Negara</v>
          </cell>
          <cell r="D101" t="str">
            <v>KKM/IKN/H/13/2460</v>
          </cell>
          <cell r="E101" t="str">
            <v>18-595</v>
          </cell>
          <cell r="F101" t="str">
            <v>Ophthalmoscopes/Otoscopes</v>
          </cell>
          <cell r="G101" t="str">
            <v>WF</v>
          </cell>
          <cell r="H101" t="str">
            <v>RT/ONCO WARD 2 (F)</v>
          </cell>
          <cell r="I101" t="str">
            <v>07WF107</v>
          </cell>
          <cell r="J101" t="str">
            <v>TREATMENT / PROCEDDURE</v>
          </cell>
          <cell r="K101" t="str">
            <v>BMED</v>
          </cell>
          <cell r="L101" t="str">
            <v>Normal</v>
          </cell>
          <cell r="M101" t="str">
            <v>USA</v>
          </cell>
          <cell r="N101" t="str">
            <v>Welch Allyn</v>
          </cell>
          <cell r="O101" t="str">
            <v>Welch Allyn 71904</v>
          </cell>
          <cell r="P101" t="str">
            <v>GD0019-16</v>
          </cell>
          <cell r="Q101" t="str">
            <v>Not Applicable</v>
          </cell>
          <cell r="R101" t="str">
            <v>Welch Allyn Inc</v>
          </cell>
          <cell r="S101" t="str">
            <v>Welch Allyn Malaysia Sdn Bhd</v>
          </cell>
          <cell r="T101" t="str">
            <v>Functioning</v>
          </cell>
          <cell r="U101" t="str">
            <v>Asset</v>
          </cell>
          <cell r="V101">
            <v>4690</v>
          </cell>
          <cell r="W101" t="str">
            <v>KEW</v>
          </cell>
          <cell r="X101" t="str">
            <v>01/09/2010</v>
          </cell>
          <cell r="Y101" t="str">
            <v>KEW</v>
          </cell>
          <cell r="Z101" t="str">
            <v>16/08/2013</v>
          </cell>
          <cell r="AA101" t="str">
            <v>15/08/2015</v>
          </cell>
          <cell r="AB101" t="str">
            <v>No</v>
          </cell>
          <cell r="AC101" t="str">
            <v>31/08/2013</v>
          </cell>
          <cell r="AD101" t="str">
            <v>Good</v>
          </cell>
          <cell r="AE101" t="str">
            <v>V1 - Existing / No Claim</v>
          </cell>
          <cell r="AF101">
            <v>42235</v>
          </cell>
          <cell r="AG101">
            <v>9.17</v>
          </cell>
          <cell r="AH101" t="str">
            <v>RI</v>
          </cell>
          <cell r="AI101" t="str">
            <v>Strands</v>
          </cell>
          <cell r="AJ101" t="str">
            <v>Not under maintenance</v>
          </cell>
        </row>
        <row r="102">
          <cell r="A102" t="str">
            <v>IKN400317</v>
          </cell>
          <cell r="B102">
            <v>317</v>
          </cell>
          <cell r="C102" t="str">
            <v>Institut Kanser Negara</v>
          </cell>
          <cell r="D102" t="str">
            <v>KKM/IKN/H/13/3177</v>
          </cell>
          <cell r="E102" t="str">
            <v>18-595</v>
          </cell>
          <cell r="F102" t="str">
            <v>Ophthalmoscopes/Otoscopes</v>
          </cell>
          <cell r="G102" t="str">
            <v>WF</v>
          </cell>
          <cell r="H102" t="str">
            <v>RT/ONCO WARD 2 (F)</v>
          </cell>
          <cell r="I102" t="str">
            <v>07WF107</v>
          </cell>
          <cell r="J102" t="str">
            <v>TREATMENT / PROCEDDURE</v>
          </cell>
          <cell r="K102" t="str">
            <v>BMED</v>
          </cell>
          <cell r="L102" t="str">
            <v>Normal</v>
          </cell>
          <cell r="M102" t="str">
            <v>USA</v>
          </cell>
          <cell r="N102" t="str">
            <v>Welch Allyn</v>
          </cell>
          <cell r="O102" t="str">
            <v>Welch Allyn 97150-BIM</v>
          </cell>
          <cell r="P102" t="str">
            <v>GD0019-40</v>
          </cell>
          <cell r="Q102" t="str">
            <v>Not Applicable</v>
          </cell>
          <cell r="R102" t="str">
            <v>Welch Allyn Inc</v>
          </cell>
          <cell r="S102" t="str">
            <v>Welch Allyn Malaysia Sdn Bhd</v>
          </cell>
          <cell r="T102" t="str">
            <v>Functioning</v>
          </cell>
          <cell r="U102" t="str">
            <v>Asset</v>
          </cell>
          <cell r="V102">
            <v>4690</v>
          </cell>
          <cell r="W102" t="str">
            <v>KEW</v>
          </cell>
          <cell r="X102" t="str">
            <v>01/09/2010</v>
          </cell>
          <cell r="Y102" t="str">
            <v>KEW</v>
          </cell>
          <cell r="Z102" t="str">
            <v>16/08/2013</v>
          </cell>
          <cell r="AA102" t="str">
            <v>15/08/2015</v>
          </cell>
          <cell r="AB102" t="str">
            <v>No</v>
          </cell>
          <cell r="AC102" t="str">
            <v>31/08/2013</v>
          </cell>
          <cell r="AD102" t="str">
            <v>Good</v>
          </cell>
          <cell r="AE102" t="str">
            <v>V1 - Existing / No Claim</v>
          </cell>
          <cell r="AF102">
            <v>42235</v>
          </cell>
          <cell r="AG102">
            <v>9.17</v>
          </cell>
          <cell r="AH102" t="str">
            <v>RI</v>
          </cell>
          <cell r="AI102" t="str">
            <v>Strands</v>
          </cell>
          <cell r="AJ102" t="str">
            <v>Not under maintenance</v>
          </cell>
        </row>
        <row r="103">
          <cell r="A103" t="str">
            <v>IKN400318</v>
          </cell>
          <cell r="B103">
            <v>318</v>
          </cell>
          <cell r="C103" t="str">
            <v>Institut Kanser Negara</v>
          </cell>
          <cell r="D103" t="e">
            <v>#N/A</v>
          </cell>
          <cell r="E103" t="str">
            <v>16-158</v>
          </cell>
          <cell r="F103" t="str">
            <v>Sphygmomanometers, Mercury</v>
          </cell>
          <cell r="G103" t="str">
            <v>WF</v>
          </cell>
          <cell r="H103" t="str">
            <v>RT/ONCO WARD 2 (F)</v>
          </cell>
          <cell r="I103" t="str">
            <v>07WF107</v>
          </cell>
          <cell r="J103" t="str">
            <v>TREATMENT / PROCEDDURE</v>
          </cell>
          <cell r="K103" t="str">
            <v>BMED</v>
          </cell>
          <cell r="L103" t="str">
            <v>Normal</v>
          </cell>
          <cell r="M103" t="str">
            <v>Germany</v>
          </cell>
          <cell r="N103" t="str">
            <v>Erka</v>
          </cell>
          <cell r="O103" t="str">
            <v>Erkameter 3000</v>
          </cell>
          <cell r="P103" t="str">
            <v>13500747</v>
          </cell>
          <cell r="Q103" t="str">
            <v>Not Applicable</v>
          </cell>
          <cell r="R103" t="str">
            <v>Erka GmbH &amp; Co</v>
          </cell>
          <cell r="S103" t="str">
            <v>Acucare Systems (M) Sdn bhd</v>
          </cell>
          <cell r="T103" t="str">
            <v>Functioning</v>
          </cell>
          <cell r="U103" t="str">
            <v>Asset</v>
          </cell>
          <cell r="V103">
            <v>505</v>
          </cell>
          <cell r="W103" t="str">
            <v>KEW</v>
          </cell>
          <cell r="X103" t="str">
            <v>01/09/2010</v>
          </cell>
          <cell r="Y103" t="str">
            <v>KEW</v>
          </cell>
          <cell r="Z103" t="str">
            <v>16/08/2013</v>
          </cell>
          <cell r="AA103" t="str">
            <v>15/08/2015</v>
          </cell>
          <cell r="AB103" t="str">
            <v>No</v>
          </cell>
          <cell r="AC103" t="str">
            <v>31/08/2013</v>
          </cell>
          <cell r="AD103" t="str">
            <v>Good</v>
          </cell>
          <cell r="AE103" t="str">
            <v>V4 - Decommissioned Installed Facility</v>
          </cell>
          <cell r="AF103">
            <v>42235</v>
          </cell>
          <cell r="AG103">
            <v>9.17</v>
          </cell>
          <cell r="AH103" t="str">
            <v>PPM</v>
          </cell>
          <cell r="AI103" t="str">
            <v>Not in contract</v>
          </cell>
          <cell r="AJ103" t="str">
            <v>Not under maintenance</v>
          </cell>
          <cell r="AK103" t="e">
            <v>#N/A</v>
          </cell>
        </row>
        <row r="104">
          <cell r="A104" t="str">
            <v>IKN400351</v>
          </cell>
          <cell r="B104">
            <v>351</v>
          </cell>
          <cell r="C104" t="str">
            <v>Institut Kanser Negara</v>
          </cell>
          <cell r="D104" t="e">
            <v>#N/A</v>
          </cell>
          <cell r="E104" t="str">
            <v>18-595</v>
          </cell>
          <cell r="F104" t="str">
            <v>Ophthalmoscopes/Otoscopes</v>
          </cell>
          <cell r="G104" t="str">
            <v>WF</v>
          </cell>
          <cell r="H104" t="str">
            <v>RT/ONCO WARD 2 (F)</v>
          </cell>
          <cell r="I104" t="str">
            <v>07WF143</v>
          </cell>
          <cell r="J104" t="str">
            <v>NURSE STATION</v>
          </cell>
          <cell r="K104" t="str">
            <v>BMED</v>
          </cell>
          <cell r="L104" t="str">
            <v>Normal</v>
          </cell>
          <cell r="M104" t="str">
            <v>USA</v>
          </cell>
          <cell r="N104" t="str">
            <v>Welch Allyn</v>
          </cell>
          <cell r="O104" t="str">
            <v>Welch Allyn 97150-BIM</v>
          </cell>
          <cell r="P104" t="str">
            <v>GD0019-41</v>
          </cell>
          <cell r="Q104" t="str">
            <v>Not Applicable</v>
          </cell>
          <cell r="R104" t="str">
            <v>Welch Allyn Inc</v>
          </cell>
          <cell r="S104" t="str">
            <v>Welch Allyn Malaysia Sdn Bhd</v>
          </cell>
          <cell r="T104" t="str">
            <v>Functioning</v>
          </cell>
          <cell r="U104" t="str">
            <v>Asset</v>
          </cell>
          <cell r="V104">
            <v>4690</v>
          </cell>
          <cell r="W104" t="str">
            <v>KEW</v>
          </cell>
          <cell r="X104" t="str">
            <v>01/09/2010</v>
          </cell>
          <cell r="Y104" t="str">
            <v>KEW</v>
          </cell>
          <cell r="Z104" t="str">
            <v>16/08/2013</v>
          </cell>
          <cell r="AA104" t="str">
            <v>15/08/2015</v>
          </cell>
          <cell r="AB104" t="str">
            <v>No</v>
          </cell>
          <cell r="AC104" t="str">
            <v>31/08/2013</v>
          </cell>
          <cell r="AD104" t="str">
            <v>Good</v>
          </cell>
          <cell r="AE104" t="str">
            <v>V1 - Existing / No Claim</v>
          </cell>
          <cell r="AF104">
            <v>42235</v>
          </cell>
          <cell r="AG104">
            <v>9.17</v>
          </cell>
          <cell r="AH104" t="str">
            <v>RI</v>
          </cell>
          <cell r="AI104" t="str">
            <v>Not in contract</v>
          </cell>
          <cell r="AJ104" t="str">
            <v>Not under maintenance</v>
          </cell>
          <cell r="AK104" t="str">
            <v>Will be under V4. Taken out of contract as agreed by IKN</v>
          </cell>
        </row>
        <row r="105">
          <cell r="A105" t="str">
            <v>IKN400354</v>
          </cell>
          <cell r="B105">
            <v>354</v>
          </cell>
          <cell r="C105" t="str">
            <v>Institut Kanser Negara</v>
          </cell>
          <cell r="D105" t="str">
            <v>KKM/IKN/H/13/2240</v>
          </cell>
          <cell r="E105" t="str">
            <v>18-595</v>
          </cell>
          <cell r="F105" t="str">
            <v>Ophthalmoscopes/Otoscopes</v>
          </cell>
          <cell r="G105" t="str">
            <v>WE</v>
          </cell>
          <cell r="H105" t="str">
            <v>RT/ONCO WARD 1 (F)</v>
          </cell>
          <cell r="I105" t="str">
            <v>07WE107</v>
          </cell>
          <cell r="J105" t="str">
            <v>TREATMENT / PROCESURE</v>
          </cell>
          <cell r="K105" t="str">
            <v>BMED</v>
          </cell>
          <cell r="L105" t="str">
            <v>Normal</v>
          </cell>
          <cell r="M105" t="str">
            <v>USA</v>
          </cell>
          <cell r="N105" t="str">
            <v>Welch Allyn</v>
          </cell>
          <cell r="O105" t="str">
            <v>Welch Allyn 71904</v>
          </cell>
          <cell r="P105" t="str">
            <v>GD0019-5</v>
          </cell>
          <cell r="Q105" t="str">
            <v>Not Applicable</v>
          </cell>
          <cell r="R105" t="str">
            <v>Welch Allyn Inc</v>
          </cell>
          <cell r="S105" t="str">
            <v>Welch Allyn Malaysia Sdn Bhd</v>
          </cell>
          <cell r="T105" t="str">
            <v>Functioning</v>
          </cell>
          <cell r="U105" t="str">
            <v>Asset</v>
          </cell>
          <cell r="V105">
            <v>4690</v>
          </cell>
          <cell r="W105" t="str">
            <v>KEW</v>
          </cell>
          <cell r="X105" t="str">
            <v>01/09/2010</v>
          </cell>
          <cell r="Y105" t="str">
            <v>KEW</v>
          </cell>
          <cell r="Z105" t="str">
            <v>16/08/2013</v>
          </cell>
          <cell r="AA105" t="str">
            <v>15/08/2015</v>
          </cell>
          <cell r="AB105" t="str">
            <v>No</v>
          </cell>
          <cell r="AC105" t="str">
            <v>31/08/2013</v>
          </cell>
          <cell r="AD105" t="str">
            <v>Good</v>
          </cell>
          <cell r="AE105" t="str">
            <v>V1 - Existing / No Claim</v>
          </cell>
          <cell r="AF105">
            <v>42235</v>
          </cell>
          <cell r="AG105">
            <v>9.17</v>
          </cell>
          <cell r="AH105" t="str">
            <v>RI</v>
          </cell>
          <cell r="AI105" t="str">
            <v>Strands</v>
          </cell>
          <cell r="AJ105" t="str">
            <v>Not under maintenance</v>
          </cell>
        </row>
        <row r="106">
          <cell r="A106" t="str">
            <v>IKN400388</v>
          </cell>
          <cell r="B106">
            <v>388</v>
          </cell>
          <cell r="C106" t="str">
            <v>Institut Kanser Negara</v>
          </cell>
          <cell r="D106" t="e">
            <v>#N/A</v>
          </cell>
          <cell r="E106" t="str">
            <v>16-158</v>
          </cell>
          <cell r="F106" t="str">
            <v>Sphygmomanometers, Mercury</v>
          </cell>
          <cell r="G106" t="str">
            <v>WE</v>
          </cell>
          <cell r="H106" t="str">
            <v>RT/ONCO WARD 1 (F)</v>
          </cell>
          <cell r="I106" t="str">
            <v>07WE143</v>
          </cell>
          <cell r="J106" t="str">
            <v>NURSE STATION</v>
          </cell>
          <cell r="K106" t="str">
            <v>BMED</v>
          </cell>
          <cell r="L106" t="str">
            <v>Normal</v>
          </cell>
          <cell r="M106" t="str">
            <v>Germany</v>
          </cell>
          <cell r="N106" t="str">
            <v>Erka</v>
          </cell>
          <cell r="O106" t="str">
            <v>Erkameter 3000</v>
          </cell>
          <cell r="P106" t="str">
            <v>13500763</v>
          </cell>
          <cell r="Q106" t="str">
            <v>Not Applicable</v>
          </cell>
          <cell r="R106" t="str">
            <v>Erka GmbH &amp; Co</v>
          </cell>
          <cell r="S106" t="str">
            <v>Acucare Systems (M) Sdn bhd</v>
          </cell>
          <cell r="T106" t="str">
            <v>Functioning</v>
          </cell>
          <cell r="U106" t="str">
            <v>Asset</v>
          </cell>
          <cell r="V106">
            <v>505</v>
          </cell>
          <cell r="W106" t="str">
            <v>KEW</v>
          </cell>
          <cell r="X106" t="str">
            <v>01/09/2010</v>
          </cell>
          <cell r="Y106" t="str">
            <v>KEW</v>
          </cell>
          <cell r="Z106" t="str">
            <v>16/08/2013</v>
          </cell>
          <cell r="AA106" t="str">
            <v>15/08/2015</v>
          </cell>
          <cell r="AB106" t="str">
            <v>No</v>
          </cell>
          <cell r="AC106" t="str">
            <v>31/08/2013</v>
          </cell>
          <cell r="AD106" t="str">
            <v>Good</v>
          </cell>
          <cell r="AE106" t="str">
            <v>V4 - Decommissioned Installed Facility</v>
          </cell>
          <cell r="AF106">
            <v>42235</v>
          </cell>
          <cell r="AG106">
            <v>9.17</v>
          </cell>
          <cell r="AH106" t="str">
            <v>PPM</v>
          </cell>
          <cell r="AI106" t="str">
            <v>Not in contract</v>
          </cell>
          <cell r="AJ106" t="str">
            <v>Not under maintenance</v>
          </cell>
          <cell r="AK106" t="e">
            <v>#N/A</v>
          </cell>
        </row>
        <row r="107">
          <cell r="A107" t="str">
            <v>IKN400391</v>
          </cell>
          <cell r="B107">
            <v>391</v>
          </cell>
          <cell r="C107" t="str">
            <v>Institut Kanser Negara</v>
          </cell>
          <cell r="D107" t="str">
            <v>KKM/IKN/H/13/2326</v>
          </cell>
          <cell r="E107" t="str">
            <v>18-595</v>
          </cell>
          <cell r="F107" t="str">
            <v>Ophthalmoscopes/Otoscopes</v>
          </cell>
          <cell r="G107" t="str">
            <v>WE</v>
          </cell>
          <cell r="H107" t="str">
            <v>RT/ONCO WARD 1 (F)</v>
          </cell>
          <cell r="I107" t="str">
            <v>07WE143</v>
          </cell>
          <cell r="J107" t="str">
            <v>NURSE STATION</v>
          </cell>
          <cell r="K107" t="str">
            <v>BMED</v>
          </cell>
          <cell r="L107" t="str">
            <v>Normal</v>
          </cell>
          <cell r="M107" t="str">
            <v>USA</v>
          </cell>
          <cell r="N107" t="str">
            <v>Welch Allyn</v>
          </cell>
          <cell r="O107" t="str">
            <v>Welch Allyn 97150-BIM</v>
          </cell>
          <cell r="P107" t="str">
            <v>GD0019-38</v>
          </cell>
          <cell r="Q107" t="str">
            <v>Not Applicable</v>
          </cell>
          <cell r="R107" t="str">
            <v>Welch Allyn Inc</v>
          </cell>
          <cell r="S107" t="str">
            <v>Welch Allyn Malaysia Sdn Bhd</v>
          </cell>
          <cell r="T107" t="str">
            <v>Functioning</v>
          </cell>
          <cell r="U107" t="str">
            <v>Asset</v>
          </cell>
          <cell r="V107">
            <v>4690</v>
          </cell>
          <cell r="W107" t="str">
            <v>KEW</v>
          </cell>
          <cell r="X107" t="str">
            <v>01/09/2010</v>
          </cell>
          <cell r="Y107" t="str">
            <v>KEW</v>
          </cell>
          <cell r="Z107" t="str">
            <v>16/08/2013</v>
          </cell>
          <cell r="AA107" t="str">
            <v>15/08/2015</v>
          </cell>
          <cell r="AB107" t="str">
            <v>No</v>
          </cell>
          <cell r="AC107" t="str">
            <v>31/08/2013</v>
          </cell>
          <cell r="AD107" t="str">
            <v>Good</v>
          </cell>
          <cell r="AE107" t="str">
            <v>V1 - Existing / No Claim</v>
          </cell>
          <cell r="AF107">
            <v>42235</v>
          </cell>
          <cell r="AG107">
            <v>9.17</v>
          </cell>
          <cell r="AH107" t="str">
            <v>RI</v>
          </cell>
          <cell r="AI107" t="str">
            <v>Strands</v>
          </cell>
          <cell r="AJ107" t="str">
            <v>Not under maintenance</v>
          </cell>
        </row>
        <row r="108">
          <cell r="A108" t="str">
            <v>IKN400396</v>
          </cell>
          <cell r="B108">
            <v>396</v>
          </cell>
          <cell r="C108" t="str">
            <v>Institut Kanser Negara</v>
          </cell>
          <cell r="D108" t="str">
            <v>KKM/IKN/H/13/1467</v>
          </cell>
          <cell r="E108" t="str">
            <v>18-595</v>
          </cell>
          <cell r="F108" t="str">
            <v>Ophthalmoscopes/Otoscopes</v>
          </cell>
          <cell r="G108" t="str">
            <v>WD</v>
          </cell>
          <cell r="H108" t="str">
            <v>RT/ONCO PAED/ADOLESCENT WARD</v>
          </cell>
          <cell r="I108" t="str">
            <v>06WD124</v>
          </cell>
          <cell r="J108" t="str">
            <v>TREATMENT / PROCEDURE</v>
          </cell>
          <cell r="K108" t="str">
            <v>BMED</v>
          </cell>
          <cell r="L108" t="str">
            <v>Normal</v>
          </cell>
          <cell r="M108" t="str">
            <v>USA</v>
          </cell>
          <cell r="N108" t="str">
            <v>Welch Allyn</v>
          </cell>
          <cell r="O108" t="str">
            <v>Welch Allyn 71904</v>
          </cell>
          <cell r="P108" t="str">
            <v>GD0019-4</v>
          </cell>
          <cell r="Q108" t="str">
            <v>Not Applicable</v>
          </cell>
          <cell r="R108" t="str">
            <v>Welch Allyn Inc</v>
          </cell>
          <cell r="S108" t="str">
            <v>Welch Allyn Malaysia Sdn Bhd</v>
          </cell>
          <cell r="T108" t="str">
            <v>Functioning</v>
          </cell>
          <cell r="U108" t="str">
            <v>Asset</v>
          </cell>
          <cell r="V108">
            <v>4690</v>
          </cell>
          <cell r="W108" t="str">
            <v>KEW</v>
          </cell>
          <cell r="X108" t="str">
            <v>01/09/2010</v>
          </cell>
          <cell r="Y108" t="str">
            <v>KEW</v>
          </cell>
          <cell r="Z108" t="str">
            <v>16/08/2013</v>
          </cell>
          <cell r="AA108" t="str">
            <v>15/08/2015</v>
          </cell>
          <cell r="AB108" t="str">
            <v>No</v>
          </cell>
          <cell r="AC108" t="str">
            <v>31/08/2013</v>
          </cell>
          <cell r="AD108" t="str">
            <v>Good</v>
          </cell>
          <cell r="AE108" t="str">
            <v>V1 - Existing / No Claim</v>
          </cell>
          <cell r="AF108">
            <v>42235</v>
          </cell>
          <cell r="AG108">
            <v>9.17</v>
          </cell>
          <cell r="AH108" t="str">
            <v>RI</v>
          </cell>
          <cell r="AI108" t="str">
            <v>Strands</v>
          </cell>
          <cell r="AJ108" t="str">
            <v>Not under maintenance</v>
          </cell>
        </row>
        <row r="109">
          <cell r="A109" t="str">
            <v>IKN400544</v>
          </cell>
          <cell r="B109">
            <v>544</v>
          </cell>
          <cell r="C109" t="str">
            <v>Institut Kanser Negara</v>
          </cell>
          <cell r="D109" t="e">
            <v>#N/A</v>
          </cell>
          <cell r="E109" t="str">
            <v>16-158</v>
          </cell>
          <cell r="F109" t="str">
            <v>Sphygmomanometers, Mercury</v>
          </cell>
          <cell r="G109" t="str">
            <v>NM</v>
          </cell>
          <cell r="H109" t="str">
            <v>NUCLEAR MED (DIAGNOSTIC)</v>
          </cell>
          <cell r="I109" t="str">
            <v>03NM109</v>
          </cell>
          <cell r="J109" t="str">
            <v>TREATMENT 2 (RAS) (-VE)</v>
          </cell>
          <cell r="K109" t="str">
            <v>BMED</v>
          </cell>
          <cell r="L109" t="str">
            <v>Normal</v>
          </cell>
          <cell r="M109" t="str">
            <v>Germany</v>
          </cell>
          <cell r="N109" t="str">
            <v>Erka</v>
          </cell>
          <cell r="O109" t="str">
            <v>Erkameter 3000</v>
          </cell>
          <cell r="P109" t="str">
            <v>13500751</v>
          </cell>
          <cell r="Q109" t="str">
            <v>Not Applicable</v>
          </cell>
          <cell r="R109" t="str">
            <v>Erka GmbH &amp; Co</v>
          </cell>
          <cell r="S109" t="str">
            <v>Acucare Systems (M) Sdn bhd</v>
          </cell>
          <cell r="T109" t="str">
            <v>Functioning</v>
          </cell>
          <cell r="U109" t="str">
            <v>Asset</v>
          </cell>
          <cell r="V109">
            <v>505</v>
          </cell>
          <cell r="W109" t="str">
            <v>KEW</v>
          </cell>
          <cell r="X109" t="str">
            <v>01/09/2010</v>
          </cell>
          <cell r="Y109" t="str">
            <v>KEW</v>
          </cell>
          <cell r="Z109" t="str">
            <v>16/08/2013</v>
          </cell>
          <cell r="AA109" t="str">
            <v>15/08/2015</v>
          </cell>
          <cell r="AB109" t="str">
            <v>No</v>
          </cell>
          <cell r="AC109" t="str">
            <v>31/08/2013</v>
          </cell>
          <cell r="AD109" t="str">
            <v>Good</v>
          </cell>
          <cell r="AE109" t="str">
            <v>V4 - Decommissioned Installed Facility</v>
          </cell>
          <cell r="AF109">
            <v>42235</v>
          </cell>
          <cell r="AG109">
            <v>9.17</v>
          </cell>
          <cell r="AH109" t="str">
            <v>PPM</v>
          </cell>
          <cell r="AI109" t="str">
            <v>Not in contract</v>
          </cell>
          <cell r="AJ109" t="str">
            <v>Not under maintenance</v>
          </cell>
          <cell r="AK109" t="e">
            <v>#N/A</v>
          </cell>
        </row>
        <row r="110">
          <cell r="A110" t="str">
            <v>IKN400551</v>
          </cell>
          <cell r="B110">
            <v>551</v>
          </cell>
          <cell r="C110" t="str">
            <v>Institut Kanser Negara</v>
          </cell>
          <cell r="D110" t="str">
            <v>KKM/IKN/H/13/3026</v>
          </cell>
          <cell r="E110" t="str">
            <v>12-815</v>
          </cell>
          <cell r="F110" t="str">
            <v>Ophthalmoscopes</v>
          </cell>
          <cell r="G110" t="str">
            <v>NM</v>
          </cell>
          <cell r="H110" t="str">
            <v>NUCLEAR MED (DIAGNOSTIC)</v>
          </cell>
          <cell r="I110" t="str">
            <v>03NM109</v>
          </cell>
          <cell r="J110" t="str">
            <v>TREATMENT 2 (RAS) (-VE)</v>
          </cell>
          <cell r="K110" t="str">
            <v>BMED</v>
          </cell>
          <cell r="L110" t="str">
            <v>Normal</v>
          </cell>
          <cell r="M110" t="str">
            <v>USA</v>
          </cell>
          <cell r="N110" t="str">
            <v>Welch Allyn</v>
          </cell>
          <cell r="O110" t="str">
            <v>Welch Allyn 767</v>
          </cell>
          <cell r="P110" t="str">
            <v>767-06</v>
          </cell>
          <cell r="Q110" t="str">
            <v>Not Applicable</v>
          </cell>
          <cell r="R110" t="str">
            <v>Welch Allyn Inc</v>
          </cell>
          <cell r="S110" t="str">
            <v>Welch Allyn Malaysia Sdn Bhd</v>
          </cell>
          <cell r="T110" t="str">
            <v>Functioning</v>
          </cell>
          <cell r="U110" t="str">
            <v>Asset</v>
          </cell>
          <cell r="V110">
            <v>5773</v>
          </cell>
          <cell r="W110" t="str">
            <v>KEW</v>
          </cell>
          <cell r="X110" t="str">
            <v>01/09/2010</v>
          </cell>
          <cell r="Y110" t="str">
            <v>KEW</v>
          </cell>
          <cell r="Z110" t="str">
            <v>16/08/2013</v>
          </cell>
          <cell r="AA110" t="str">
            <v>15/08/2015</v>
          </cell>
          <cell r="AB110" t="str">
            <v>No</v>
          </cell>
          <cell r="AC110" t="str">
            <v>31/08/2013</v>
          </cell>
          <cell r="AD110" t="str">
            <v>Good</v>
          </cell>
          <cell r="AE110" t="str">
            <v>V4 - Decommissioned Installed Facility</v>
          </cell>
          <cell r="AF110">
            <v>42235</v>
          </cell>
          <cell r="AG110">
            <v>9.17</v>
          </cell>
          <cell r="AH110" t="str">
            <v>RI</v>
          </cell>
          <cell r="AI110" t="str">
            <v>Strands</v>
          </cell>
          <cell r="AJ110" t="str">
            <v>Strands PW. Proposed for V4 P2.23</v>
          </cell>
        </row>
        <row r="111">
          <cell r="A111" t="str">
            <v>IKN400569</v>
          </cell>
          <cell r="B111">
            <v>569</v>
          </cell>
          <cell r="C111" t="str">
            <v>Institut Kanser Negara</v>
          </cell>
          <cell r="D111" t="str">
            <v>KKM/IKN/H/13/3027</v>
          </cell>
          <cell r="E111" t="str">
            <v>12-815</v>
          </cell>
          <cell r="F111" t="str">
            <v>Ophthalmoscopes</v>
          </cell>
          <cell r="G111" t="str">
            <v>NM</v>
          </cell>
          <cell r="H111" t="str">
            <v>NUCLEAR MED (DIAGNOSTIC)</v>
          </cell>
          <cell r="I111" t="str">
            <v>03NM182</v>
          </cell>
          <cell r="J111" t="str">
            <v>C/E 5 (VE)</v>
          </cell>
          <cell r="K111" t="str">
            <v>BMED</v>
          </cell>
          <cell r="L111" t="str">
            <v>Normal</v>
          </cell>
          <cell r="M111" t="str">
            <v>USA</v>
          </cell>
          <cell r="N111" t="str">
            <v>Welch Allyn</v>
          </cell>
          <cell r="O111" t="str">
            <v>Welch Allyn 767</v>
          </cell>
          <cell r="P111" t="str">
            <v>767-07</v>
          </cell>
          <cell r="Q111" t="str">
            <v>Not Applicable</v>
          </cell>
          <cell r="R111" t="str">
            <v>Welch Allyn Inc</v>
          </cell>
          <cell r="S111" t="str">
            <v>Welch Allyn Malaysia Sdn Bhd</v>
          </cell>
          <cell r="T111" t="str">
            <v>Functioning</v>
          </cell>
          <cell r="U111" t="str">
            <v>Asset</v>
          </cell>
          <cell r="V111">
            <v>5773</v>
          </cell>
          <cell r="W111" t="str">
            <v>KEW</v>
          </cell>
          <cell r="X111" t="str">
            <v>01/09/2010</v>
          </cell>
          <cell r="Y111" t="str">
            <v>KEW</v>
          </cell>
          <cell r="Z111" t="str">
            <v>16/08/2013</v>
          </cell>
          <cell r="AA111" t="str">
            <v>15/08/2015</v>
          </cell>
          <cell r="AB111" t="str">
            <v>No</v>
          </cell>
          <cell r="AC111" t="str">
            <v>31/08/2013</v>
          </cell>
          <cell r="AD111" t="str">
            <v>Good</v>
          </cell>
          <cell r="AE111" t="str">
            <v>V4 - Decommissioned Installed Facility</v>
          </cell>
          <cell r="AF111">
            <v>42235</v>
          </cell>
          <cell r="AG111">
            <v>9.17</v>
          </cell>
          <cell r="AH111" t="str">
            <v>RI</v>
          </cell>
          <cell r="AI111" t="str">
            <v>Strands</v>
          </cell>
          <cell r="AJ111" t="str">
            <v>Strands PW. Proposed for V4 P2.23</v>
          </cell>
        </row>
        <row r="112">
          <cell r="A112" t="str">
            <v>IKN400572</v>
          </cell>
          <cell r="B112">
            <v>572</v>
          </cell>
          <cell r="C112" t="str">
            <v>Institut Kanser Negara</v>
          </cell>
          <cell r="D112" t="str">
            <v>KKM/IKN/H/13/3028</v>
          </cell>
          <cell r="E112" t="str">
            <v>12-815</v>
          </cell>
          <cell r="F112" t="str">
            <v>Ophthalmoscopes</v>
          </cell>
          <cell r="G112" t="str">
            <v>NM</v>
          </cell>
          <cell r="H112" t="str">
            <v>NUCLEAR MED (DIAGNOSTIC)</v>
          </cell>
          <cell r="I112" t="str">
            <v>03NM183</v>
          </cell>
          <cell r="J112" t="str">
            <v>C/E 4 (VE)</v>
          </cell>
          <cell r="K112" t="str">
            <v>BMED</v>
          </cell>
          <cell r="L112" t="str">
            <v>Normal</v>
          </cell>
          <cell r="M112" t="str">
            <v>USA</v>
          </cell>
          <cell r="N112" t="str">
            <v>Welch Allyn</v>
          </cell>
          <cell r="O112" t="str">
            <v>Welch Allyn 767</v>
          </cell>
          <cell r="P112" t="str">
            <v>767-08</v>
          </cell>
          <cell r="Q112" t="str">
            <v>Not Applicable</v>
          </cell>
          <cell r="R112" t="str">
            <v>Welch Allyn Inc</v>
          </cell>
          <cell r="S112" t="str">
            <v>Welch Allyn Malaysia Sdn Bhd</v>
          </cell>
          <cell r="T112" t="str">
            <v>Functioning</v>
          </cell>
          <cell r="U112" t="str">
            <v>Asset</v>
          </cell>
          <cell r="V112">
            <v>5773</v>
          </cell>
          <cell r="W112" t="str">
            <v>KEW</v>
          </cell>
          <cell r="X112" t="str">
            <v>01/09/2010</v>
          </cell>
          <cell r="Y112" t="str">
            <v>KEW</v>
          </cell>
          <cell r="Z112" t="str">
            <v>16/08/2013</v>
          </cell>
          <cell r="AA112" t="str">
            <v>15/08/2015</v>
          </cell>
          <cell r="AB112" t="str">
            <v>No</v>
          </cell>
          <cell r="AC112" t="str">
            <v>31/08/2013</v>
          </cell>
          <cell r="AD112" t="str">
            <v>Good</v>
          </cell>
          <cell r="AE112" t="str">
            <v>V4 - Decommissioned Installed Facility</v>
          </cell>
          <cell r="AF112">
            <v>42235</v>
          </cell>
          <cell r="AG112">
            <v>9.17</v>
          </cell>
          <cell r="AH112" t="str">
            <v>RI</v>
          </cell>
          <cell r="AI112" t="str">
            <v>Strands</v>
          </cell>
          <cell r="AJ112" t="str">
            <v>Strands PW. Proposed for V4 P2.23</v>
          </cell>
        </row>
        <row r="113">
          <cell r="A113" t="str">
            <v>IKN400574</v>
          </cell>
          <cell r="B113">
            <v>574</v>
          </cell>
          <cell r="C113" t="str">
            <v>Institut Kanser Negara</v>
          </cell>
          <cell r="D113" t="str">
            <v>KKM/IKN/H/13/3029</v>
          </cell>
          <cell r="E113" t="str">
            <v>12-815</v>
          </cell>
          <cell r="F113" t="str">
            <v>Ophthalmoscopes</v>
          </cell>
          <cell r="G113" t="str">
            <v>NM</v>
          </cell>
          <cell r="H113" t="str">
            <v>NUCLEAR MED (DIAGNOSTIC)</v>
          </cell>
          <cell r="I113" t="str">
            <v>03NM184</v>
          </cell>
          <cell r="J113" t="str">
            <v>C/E 3 (VE)</v>
          </cell>
          <cell r="K113" t="str">
            <v>BMED</v>
          </cell>
          <cell r="L113" t="str">
            <v>Normal</v>
          </cell>
          <cell r="M113" t="str">
            <v>USA</v>
          </cell>
          <cell r="N113" t="str">
            <v>Welch Allyn</v>
          </cell>
          <cell r="O113" t="str">
            <v>Welch Allyn 767</v>
          </cell>
          <cell r="P113" t="str">
            <v>767-09</v>
          </cell>
          <cell r="Q113" t="str">
            <v>Not Applicable</v>
          </cell>
          <cell r="R113" t="str">
            <v>Welch Allyn Inc</v>
          </cell>
          <cell r="S113" t="str">
            <v>Welch Allyn Malaysia Sdn Bhd</v>
          </cell>
          <cell r="T113" t="str">
            <v>Functioning</v>
          </cell>
          <cell r="U113" t="str">
            <v>Asset</v>
          </cell>
          <cell r="V113">
            <v>5773</v>
          </cell>
          <cell r="W113" t="str">
            <v>KEW</v>
          </cell>
          <cell r="X113" t="str">
            <v>01/09/2010</v>
          </cell>
          <cell r="Y113" t="str">
            <v>KEW</v>
          </cell>
          <cell r="Z113" t="str">
            <v>16/08/2013</v>
          </cell>
          <cell r="AA113" t="str">
            <v>15/08/2015</v>
          </cell>
          <cell r="AB113" t="str">
            <v>No</v>
          </cell>
          <cell r="AC113" t="str">
            <v>31/08/2013</v>
          </cell>
          <cell r="AD113" t="str">
            <v>Good</v>
          </cell>
          <cell r="AE113" t="str">
            <v>V4 - Decommissioned Installed Facility</v>
          </cell>
          <cell r="AF113">
            <v>42235</v>
          </cell>
          <cell r="AG113">
            <v>9.17</v>
          </cell>
          <cell r="AH113" t="str">
            <v>RI</v>
          </cell>
          <cell r="AI113" t="str">
            <v>Strands</v>
          </cell>
          <cell r="AJ113" t="str">
            <v>Strands PW. Proposed for V4 P2.23</v>
          </cell>
        </row>
        <row r="114">
          <cell r="A114" t="str">
            <v>IKN400576</v>
          </cell>
          <cell r="B114">
            <v>576</v>
          </cell>
          <cell r="C114" t="str">
            <v>Institut Kanser Negara</v>
          </cell>
          <cell r="D114" t="str">
            <v>KKM/IKN/H/13/3030</v>
          </cell>
          <cell r="E114" t="str">
            <v>12-815</v>
          </cell>
          <cell r="F114" t="str">
            <v>Ophthalmoscopes</v>
          </cell>
          <cell r="G114" t="str">
            <v>NM</v>
          </cell>
          <cell r="H114" t="str">
            <v>NUCLEAR MED (DIAGNOSTIC)</v>
          </cell>
          <cell r="I114" t="str">
            <v>03NM185</v>
          </cell>
          <cell r="J114" t="str">
            <v>C/E 2 (VE)</v>
          </cell>
          <cell r="K114" t="str">
            <v>BMED</v>
          </cell>
          <cell r="L114" t="str">
            <v>Normal</v>
          </cell>
          <cell r="M114" t="str">
            <v>USA</v>
          </cell>
          <cell r="N114" t="str">
            <v>Welch Allyn</v>
          </cell>
          <cell r="O114" t="str">
            <v>Welch Allyn 767</v>
          </cell>
          <cell r="P114" t="str">
            <v>767-10</v>
          </cell>
          <cell r="Q114" t="str">
            <v>Not Applicable</v>
          </cell>
          <cell r="R114" t="str">
            <v>Welch Allyn Inc</v>
          </cell>
          <cell r="S114" t="str">
            <v>Welch Allyn Malaysia Sdn Bhd</v>
          </cell>
          <cell r="T114" t="str">
            <v>Functioning</v>
          </cell>
          <cell r="U114" t="str">
            <v>Asset</v>
          </cell>
          <cell r="V114">
            <v>5773</v>
          </cell>
          <cell r="W114" t="str">
            <v>KEW</v>
          </cell>
          <cell r="X114" t="str">
            <v>01/09/2010</v>
          </cell>
          <cell r="Y114" t="str">
            <v>KEW</v>
          </cell>
          <cell r="Z114" t="str">
            <v>16/08/2013</v>
          </cell>
          <cell r="AA114" t="str">
            <v>15/08/2015</v>
          </cell>
          <cell r="AB114" t="str">
            <v>No</v>
          </cell>
          <cell r="AC114" t="str">
            <v>31/08/2013</v>
          </cell>
          <cell r="AD114" t="str">
            <v>Good</v>
          </cell>
          <cell r="AE114" t="str">
            <v>V4 - Decommissioned Installed Facility</v>
          </cell>
          <cell r="AF114">
            <v>42235</v>
          </cell>
          <cell r="AG114">
            <v>9.17</v>
          </cell>
          <cell r="AH114" t="str">
            <v>RI</v>
          </cell>
          <cell r="AI114" t="str">
            <v>Strands</v>
          </cell>
          <cell r="AJ114" t="str">
            <v>Strands PW. Proposed for V4 P2.23</v>
          </cell>
        </row>
        <row r="115">
          <cell r="A115" t="str">
            <v>IKN400578</v>
          </cell>
          <cell r="B115">
            <v>578</v>
          </cell>
          <cell r="C115" t="str">
            <v>Institut Kanser Negara</v>
          </cell>
          <cell r="D115" t="str">
            <v>KKM/IKN/H/13/3031</v>
          </cell>
          <cell r="E115" t="str">
            <v>12-815</v>
          </cell>
          <cell r="F115" t="str">
            <v>Ophthalmoscopes</v>
          </cell>
          <cell r="G115" t="str">
            <v>NM</v>
          </cell>
          <cell r="H115" t="str">
            <v>NUCLEAR MED (DIAGNOSTIC)</v>
          </cell>
          <cell r="I115" t="str">
            <v>03NM186</v>
          </cell>
          <cell r="J115" t="str">
            <v>C/E 1 (VE)</v>
          </cell>
          <cell r="K115" t="str">
            <v>BMED</v>
          </cell>
          <cell r="L115" t="str">
            <v>Normal</v>
          </cell>
          <cell r="M115" t="str">
            <v>USA</v>
          </cell>
          <cell r="N115" t="str">
            <v>Welch Allyn</v>
          </cell>
          <cell r="O115" t="str">
            <v>Welch Allyn 767</v>
          </cell>
          <cell r="P115" t="str">
            <v>767-11</v>
          </cell>
          <cell r="Q115" t="str">
            <v>Not Applicable</v>
          </cell>
          <cell r="R115" t="str">
            <v>Welch Allyn Inc</v>
          </cell>
          <cell r="S115" t="str">
            <v>Welch Allyn Malaysia Sdn Bhd</v>
          </cell>
          <cell r="T115" t="str">
            <v>Functioning</v>
          </cell>
          <cell r="U115" t="str">
            <v>Asset</v>
          </cell>
          <cell r="V115">
            <v>5773</v>
          </cell>
          <cell r="W115" t="str">
            <v>KEW</v>
          </cell>
          <cell r="X115" t="str">
            <v>01/09/2010</v>
          </cell>
          <cell r="Y115" t="str">
            <v>KEW</v>
          </cell>
          <cell r="Z115" t="str">
            <v>16/08/2013</v>
          </cell>
          <cell r="AA115" t="str">
            <v>15/08/2015</v>
          </cell>
          <cell r="AB115" t="str">
            <v>No</v>
          </cell>
          <cell r="AC115" t="str">
            <v>31/08/2013</v>
          </cell>
          <cell r="AD115" t="str">
            <v>Good</v>
          </cell>
          <cell r="AE115" t="str">
            <v>V4 - Decommissioned Installed Facility</v>
          </cell>
          <cell r="AF115">
            <v>42235</v>
          </cell>
          <cell r="AG115">
            <v>9.17</v>
          </cell>
          <cell r="AH115" t="str">
            <v>RI</v>
          </cell>
          <cell r="AI115" t="str">
            <v>Strands</v>
          </cell>
          <cell r="AJ115" t="str">
            <v>Strands PW. Proposed for V4 P2.23</v>
          </cell>
        </row>
        <row r="116">
          <cell r="A116" t="str">
            <v>IKN400584</v>
          </cell>
          <cell r="B116">
            <v>584</v>
          </cell>
          <cell r="C116" t="str">
            <v>Institut Kanser Negara</v>
          </cell>
          <cell r="D116" t="str">
            <v>KKM/IKN/H/13/3024</v>
          </cell>
          <cell r="E116" t="str">
            <v>12-815</v>
          </cell>
          <cell r="F116" t="str">
            <v>Ophthalmoscopes</v>
          </cell>
          <cell r="G116" t="str">
            <v>NM</v>
          </cell>
          <cell r="H116" t="str">
            <v>NUCLEAR MED (DIAGNOSTIC)</v>
          </cell>
          <cell r="I116" t="str">
            <v>03NM108</v>
          </cell>
          <cell r="J116" t="str">
            <v>TREATMENT 1 (RAI)(VE)</v>
          </cell>
          <cell r="K116" t="str">
            <v>BMED</v>
          </cell>
          <cell r="L116" t="str">
            <v>Normal</v>
          </cell>
          <cell r="M116" t="str">
            <v>USA</v>
          </cell>
          <cell r="N116" t="str">
            <v>Welch Allyn</v>
          </cell>
          <cell r="O116" t="str">
            <v>Welch Allyn 767</v>
          </cell>
          <cell r="P116" t="str">
            <v>767-05</v>
          </cell>
          <cell r="Q116" t="str">
            <v>Not Applicable</v>
          </cell>
          <cell r="R116" t="str">
            <v>Welch Allyn Inc</v>
          </cell>
          <cell r="S116" t="str">
            <v>Welch Allyn Malaysia Sdn Bhd</v>
          </cell>
          <cell r="T116" t="str">
            <v>Functioning</v>
          </cell>
          <cell r="U116" t="str">
            <v>Asset</v>
          </cell>
          <cell r="V116">
            <v>5773</v>
          </cell>
          <cell r="W116" t="str">
            <v>KEW</v>
          </cell>
          <cell r="X116" t="str">
            <v>01/09/2010</v>
          </cell>
          <cell r="Y116" t="str">
            <v>KEW</v>
          </cell>
          <cell r="Z116" t="str">
            <v>16/08/2013</v>
          </cell>
          <cell r="AA116" t="str">
            <v>15/08/2015</v>
          </cell>
          <cell r="AB116" t="str">
            <v>No</v>
          </cell>
          <cell r="AC116" t="str">
            <v>31/08/2013</v>
          </cell>
          <cell r="AD116" t="str">
            <v>Good</v>
          </cell>
          <cell r="AE116" t="str">
            <v>V4 - Decommissioned Installed Facility</v>
          </cell>
          <cell r="AF116">
            <v>42235</v>
          </cell>
          <cell r="AG116">
            <v>9.17</v>
          </cell>
          <cell r="AH116" t="str">
            <v>RI</v>
          </cell>
          <cell r="AI116" t="str">
            <v>Strands</v>
          </cell>
          <cell r="AJ116" t="str">
            <v>Strands PW. Proposed for V4 P2.23</v>
          </cell>
        </row>
        <row r="117">
          <cell r="A117" t="str">
            <v>IKN400662</v>
          </cell>
          <cell r="B117">
            <v>662</v>
          </cell>
          <cell r="C117" t="str">
            <v>Institut Kanser Negara</v>
          </cell>
          <cell r="D117" t="e">
            <v>#N/A</v>
          </cell>
          <cell r="E117" t="str">
            <v>16-158</v>
          </cell>
          <cell r="F117" t="str">
            <v>Sphygmomanometers, Mercury</v>
          </cell>
          <cell r="G117" t="str">
            <v>DO</v>
          </cell>
          <cell r="H117" t="str">
            <v>DAY ONCOLOGY UNIT</v>
          </cell>
          <cell r="I117" t="str">
            <v>04DO138</v>
          </cell>
          <cell r="J117" t="str">
            <v>CHEMOTHERAPY BAY (4 BEDS)</v>
          </cell>
          <cell r="K117" t="str">
            <v>BMED</v>
          </cell>
          <cell r="L117" t="str">
            <v>Normal</v>
          </cell>
          <cell r="M117" t="str">
            <v>Germany</v>
          </cell>
          <cell r="N117" t="str">
            <v>Erka</v>
          </cell>
          <cell r="O117" t="str">
            <v>Erkameter 3000</v>
          </cell>
          <cell r="P117" t="str">
            <v>13500748</v>
          </cell>
          <cell r="Q117" t="str">
            <v>Not Applicable</v>
          </cell>
          <cell r="R117" t="str">
            <v>Erka GmbH &amp; Co</v>
          </cell>
          <cell r="S117" t="str">
            <v>Acucare Systems (M) Sdn bhd</v>
          </cell>
          <cell r="T117" t="str">
            <v>Functioning</v>
          </cell>
          <cell r="U117" t="str">
            <v>Asset</v>
          </cell>
          <cell r="V117">
            <v>505</v>
          </cell>
          <cell r="W117" t="str">
            <v>KEW</v>
          </cell>
          <cell r="X117" t="str">
            <v>01/09/2010</v>
          </cell>
          <cell r="Y117" t="str">
            <v>KEW</v>
          </cell>
          <cell r="Z117" t="str">
            <v>16/08/2013</v>
          </cell>
          <cell r="AA117" t="str">
            <v>15/08/2015</v>
          </cell>
          <cell r="AB117" t="str">
            <v>No</v>
          </cell>
          <cell r="AC117" t="str">
            <v>31/08/2013</v>
          </cell>
          <cell r="AD117" t="str">
            <v>Good</v>
          </cell>
          <cell r="AE117" t="str">
            <v>V4 - Decommissioned Installed Facility</v>
          </cell>
          <cell r="AF117">
            <v>42235</v>
          </cell>
          <cell r="AG117">
            <v>9.17</v>
          </cell>
          <cell r="AH117" t="str">
            <v>PPM</v>
          </cell>
          <cell r="AI117" t="str">
            <v>Not in contract</v>
          </cell>
          <cell r="AJ117" t="str">
            <v>Not under maintenance</v>
          </cell>
          <cell r="AK117" t="e">
            <v>#N/A</v>
          </cell>
        </row>
        <row r="118">
          <cell r="A118" t="str">
            <v>IKN400668</v>
          </cell>
          <cell r="B118">
            <v>668</v>
          </cell>
          <cell r="C118" t="str">
            <v>Institut Kanser Negara</v>
          </cell>
          <cell r="D118" t="str">
            <v>KKM/IKN/H/13/1200</v>
          </cell>
          <cell r="E118" t="str">
            <v>18-595</v>
          </cell>
          <cell r="F118" t="str">
            <v>Ophthalmoscopes/Otoscopes</v>
          </cell>
          <cell r="G118" t="str">
            <v>TC</v>
          </cell>
          <cell r="H118" t="str">
            <v>TRADITIONAL COMPLEMENTARY MEDICINE</v>
          </cell>
          <cell r="I118" t="str">
            <v>04TC125</v>
          </cell>
          <cell r="J118" t="str">
            <v>ASSESSMENT</v>
          </cell>
          <cell r="K118" t="str">
            <v>BMED</v>
          </cell>
          <cell r="L118" t="str">
            <v>Normal</v>
          </cell>
          <cell r="M118" t="str">
            <v>USA</v>
          </cell>
          <cell r="N118" t="str">
            <v>Welch Allyn</v>
          </cell>
          <cell r="O118" t="str">
            <v>Welch Allyn 71904</v>
          </cell>
          <cell r="P118" t="str">
            <v>GD0019-3</v>
          </cell>
          <cell r="Q118" t="str">
            <v>Not Applicable</v>
          </cell>
          <cell r="R118" t="str">
            <v>Welch Allyn Inc</v>
          </cell>
          <cell r="S118" t="str">
            <v>Welch Allyn Malaysia Sdn Bhd</v>
          </cell>
          <cell r="T118" t="str">
            <v>Functioning</v>
          </cell>
          <cell r="U118" t="str">
            <v>Asset</v>
          </cell>
          <cell r="V118">
            <v>4690</v>
          </cell>
          <cell r="W118" t="str">
            <v>KEW</v>
          </cell>
          <cell r="X118" t="str">
            <v>01/09/2010</v>
          </cell>
          <cell r="Y118" t="str">
            <v>KEW</v>
          </cell>
          <cell r="Z118" t="str">
            <v>16/08/2013</v>
          </cell>
          <cell r="AA118" t="str">
            <v>15/08/2015</v>
          </cell>
          <cell r="AB118" t="str">
            <v>No</v>
          </cell>
          <cell r="AC118" t="str">
            <v>31/08/2013</v>
          </cell>
          <cell r="AD118" t="str">
            <v>Good</v>
          </cell>
          <cell r="AE118" t="str">
            <v>V1 - Existing / No Claim</v>
          </cell>
          <cell r="AF118">
            <v>42235</v>
          </cell>
          <cell r="AG118">
            <v>9.17</v>
          </cell>
          <cell r="AH118" t="str">
            <v>RI</v>
          </cell>
          <cell r="AI118" t="str">
            <v>Strands</v>
          </cell>
          <cell r="AJ118" t="str">
            <v>Not under maintenance</v>
          </cell>
          <cell r="AK118" t="str">
            <v>V4 ON 22 FEB 2021.</v>
          </cell>
        </row>
        <row r="119">
          <cell r="A119" t="str">
            <v>IKN400682</v>
          </cell>
          <cell r="B119">
            <v>682</v>
          </cell>
          <cell r="C119" t="str">
            <v>Institut Kanser Negara</v>
          </cell>
          <cell r="D119" t="str">
            <v>KKM/IKN/H/13/1243</v>
          </cell>
          <cell r="E119" t="str">
            <v>12-815</v>
          </cell>
          <cell r="F119" t="str">
            <v>Ophthalmoscopes</v>
          </cell>
          <cell r="G119" t="str">
            <v>TC</v>
          </cell>
          <cell r="H119" t="str">
            <v>TRADITIONAL COMPLEMENTARY MEDICINE</v>
          </cell>
          <cell r="I119" t="str">
            <v>04TC127</v>
          </cell>
          <cell r="J119" t="str">
            <v>C/E</v>
          </cell>
          <cell r="K119" t="str">
            <v>BMED</v>
          </cell>
          <cell r="L119" t="str">
            <v>Normal</v>
          </cell>
          <cell r="M119" t="str">
            <v>USA</v>
          </cell>
          <cell r="N119" t="str">
            <v>Welch Allyn</v>
          </cell>
          <cell r="O119" t="str">
            <v>Welch Allyn 767</v>
          </cell>
          <cell r="P119" t="str">
            <v>716-1</v>
          </cell>
          <cell r="Q119" t="str">
            <v>Not Applicable</v>
          </cell>
          <cell r="R119" t="str">
            <v>Welch Allyn Inc</v>
          </cell>
          <cell r="S119" t="str">
            <v>Welch Allyn Malaysia Sdn Bhd</v>
          </cell>
          <cell r="T119" t="str">
            <v>Functioning</v>
          </cell>
          <cell r="U119" t="str">
            <v>Asset</v>
          </cell>
          <cell r="V119">
            <v>5773</v>
          </cell>
          <cell r="W119" t="str">
            <v>KEW</v>
          </cell>
          <cell r="X119" t="str">
            <v>01/09/2010</v>
          </cell>
          <cell r="Y119" t="str">
            <v>KEW</v>
          </cell>
          <cell r="Z119" t="str">
            <v>16/08/2013</v>
          </cell>
          <cell r="AA119" t="str">
            <v>15/08/2015</v>
          </cell>
          <cell r="AB119" t="str">
            <v>No</v>
          </cell>
          <cell r="AC119" t="str">
            <v>31/08/2013</v>
          </cell>
          <cell r="AD119" t="str">
            <v>Good</v>
          </cell>
          <cell r="AE119" t="str">
            <v>V4 - Decommissioned Installed Facility</v>
          </cell>
          <cell r="AF119">
            <v>42235</v>
          </cell>
          <cell r="AG119">
            <v>9.17</v>
          </cell>
          <cell r="AH119" t="str">
            <v>RI</v>
          </cell>
          <cell r="AI119" t="str">
            <v>Strands</v>
          </cell>
          <cell r="AJ119" t="str">
            <v>Strands PW. Proposed for V4 P2.23</v>
          </cell>
        </row>
        <row r="120">
          <cell r="A120" t="str">
            <v>IKN400811</v>
          </cell>
          <cell r="B120">
            <v>811</v>
          </cell>
          <cell r="C120" t="str">
            <v>Institut Kanser Negara</v>
          </cell>
          <cell r="E120" t="str">
            <v>16-158</v>
          </cell>
          <cell r="F120" t="str">
            <v>Sphygmomanometers, Mercury</v>
          </cell>
          <cell r="G120" t="str">
            <v>RT</v>
          </cell>
          <cell r="H120" t="str">
            <v>RADIATION TREATMENT UNIT</v>
          </cell>
          <cell r="I120" t="str">
            <v>01RT233</v>
          </cell>
          <cell r="J120" t="str">
            <v>EQ ROOM</v>
          </cell>
          <cell r="K120" t="str">
            <v>BMED</v>
          </cell>
          <cell r="L120" t="str">
            <v>Normal</v>
          </cell>
          <cell r="M120" t="str">
            <v>Germany</v>
          </cell>
          <cell r="N120" t="str">
            <v>Erka</v>
          </cell>
          <cell r="O120" t="str">
            <v>Erkameter 3000</v>
          </cell>
          <cell r="P120" t="str">
            <v>13500755</v>
          </cell>
          <cell r="Q120" t="str">
            <v>Not Applicable</v>
          </cell>
          <cell r="R120" t="str">
            <v>Erka GmbH &amp; Co</v>
          </cell>
          <cell r="S120" t="str">
            <v>Acucare Systems (M) Sdn bhd</v>
          </cell>
          <cell r="T120" t="str">
            <v>Functioning</v>
          </cell>
          <cell r="U120" t="str">
            <v>Asset</v>
          </cell>
          <cell r="V120">
            <v>505</v>
          </cell>
          <cell r="W120" t="str">
            <v>KEW</v>
          </cell>
          <cell r="X120" t="str">
            <v>01/09/2010</v>
          </cell>
          <cell r="Y120" t="str">
            <v>KEW</v>
          </cell>
          <cell r="Z120" t="str">
            <v>16/08/2013</v>
          </cell>
          <cell r="AA120" t="str">
            <v>15/08/2015</v>
          </cell>
          <cell r="AB120" t="str">
            <v>No</v>
          </cell>
          <cell r="AC120" t="str">
            <v>31/08/2013</v>
          </cell>
          <cell r="AD120" t="str">
            <v>Good</v>
          </cell>
          <cell r="AE120" t="str">
            <v>V4 - Decommissioned Installed Facility</v>
          </cell>
          <cell r="AF120">
            <v>42235</v>
          </cell>
          <cell r="AG120">
            <v>9.17</v>
          </cell>
          <cell r="AH120" t="str">
            <v>PPM</v>
          </cell>
          <cell r="AI120" t="str">
            <v>Not in contract</v>
          </cell>
          <cell r="AJ120" t="str">
            <v>Not under maintenance</v>
          </cell>
        </row>
        <row r="121">
          <cell r="A121" t="str">
            <v>IKN400837</v>
          </cell>
          <cell r="B121">
            <v>837</v>
          </cell>
          <cell r="C121" t="str">
            <v>Institut Kanser Negara</v>
          </cell>
          <cell r="D121" t="str">
            <v>KKM/IKN/H/13/2603</v>
          </cell>
          <cell r="E121" t="str">
            <v>18-595</v>
          </cell>
          <cell r="F121" t="str">
            <v>Ophthalmoscopes/Otoscopes</v>
          </cell>
          <cell r="G121" t="str">
            <v>RT</v>
          </cell>
          <cell r="H121" t="str">
            <v>RADIATION TREATMENT UNIT</v>
          </cell>
          <cell r="I121" t="str">
            <v>01RT237</v>
          </cell>
          <cell r="J121" t="str">
            <v>N/S</v>
          </cell>
          <cell r="K121" t="str">
            <v>BMED</v>
          </cell>
          <cell r="L121" t="str">
            <v>Normal</v>
          </cell>
          <cell r="M121" t="str">
            <v>USA</v>
          </cell>
          <cell r="N121" t="str">
            <v>Welch Allyn</v>
          </cell>
          <cell r="O121" t="str">
            <v>Welch Allyn 71904</v>
          </cell>
          <cell r="P121" t="str">
            <v>GD0019-8</v>
          </cell>
          <cell r="Q121" t="str">
            <v>Not Applicable</v>
          </cell>
          <cell r="R121" t="str">
            <v>Welch Allyn Inc</v>
          </cell>
          <cell r="S121" t="str">
            <v>Welch Allyn Malaysia Sdn Bhd</v>
          </cell>
          <cell r="T121" t="str">
            <v>Functioning</v>
          </cell>
          <cell r="U121" t="str">
            <v>Asset</v>
          </cell>
          <cell r="V121">
            <v>4690</v>
          </cell>
          <cell r="W121" t="str">
            <v>KEW</v>
          </cell>
          <cell r="X121" t="str">
            <v>01/09/2010</v>
          </cell>
          <cell r="Y121" t="str">
            <v>KEW</v>
          </cell>
          <cell r="Z121" t="str">
            <v>16/08/2013</v>
          </cell>
          <cell r="AA121" t="str">
            <v>15/08/2015</v>
          </cell>
          <cell r="AB121" t="str">
            <v>No</v>
          </cell>
          <cell r="AC121" t="str">
            <v>31/08/2013</v>
          </cell>
          <cell r="AD121" t="str">
            <v>Good</v>
          </cell>
          <cell r="AE121" t="str">
            <v>V1 - Existing / No Claim</v>
          </cell>
          <cell r="AF121">
            <v>42235</v>
          </cell>
          <cell r="AG121">
            <v>9.17</v>
          </cell>
          <cell r="AH121" t="str">
            <v>RI</v>
          </cell>
          <cell r="AI121" t="str">
            <v>Strands</v>
          </cell>
          <cell r="AJ121" t="str">
            <v>Not under maintenance</v>
          </cell>
        </row>
        <row r="122">
          <cell r="A122" t="str">
            <v>IKN400884</v>
          </cell>
          <cell r="B122">
            <v>883</v>
          </cell>
          <cell r="C122" t="str">
            <v>Institut Kanser Negara</v>
          </cell>
          <cell r="D122" t="str">
            <v>KKM/IKN/H/13/1618</v>
          </cell>
          <cell r="E122" t="str">
            <v>18-595</v>
          </cell>
          <cell r="F122" t="str">
            <v>Ophthalmoscopes/Otoscopes</v>
          </cell>
          <cell r="G122" t="str">
            <v>OC</v>
          </cell>
          <cell r="H122" t="str">
            <v>ONCOLOGY CLINIC</v>
          </cell>
          <cell r="I122" t="str">
            <v>03OC109</v>
          </cell>
          <cell r="J122" t="str">
            <v>C/E 1 (VIP)</v>
          </cell>
          <cell r="K122" t="str">
            <v>BMED</v>
          </cell>
          <cell r="L122" t="str">
            <v>Normal</v>
          </cell>
          <cell r="M122" t="str">
            <v>USA</v>
          </cell>
          <cell r="N122" t="str">
            <v>Welch Allyn</v>
          </cell>
          <cell r="O122" t="str">
            <v>Welch Allyn 71904</v>
          </cell>
          <cell r="P122" t="str">
            <v>GD0019-10</v>
          </cell>
          <cell r="Q122" t="str">
            <v>Not Applicable</v>
          </cell>
          <cell r="R122" t="str">
            <v>Welch Allyn Inc</v>
          </cell>
          <cell r="S122" t="str">
            <v>Welch Allyn Malaysia Sdn Bhd</v>
          </cell>
          <cell r="T122" t="str">
            <v>Functioning</v>
          </cell>
          <cell r="U122" t="str">
            <v>Asset</v>
          </cell>
          <cell r="V122">
            <v>4690</v>
          </cell>
          <cell r="W122" t="str">
            <v>KEW</v>
          </cell>
          <cell r="X122" t="str">
            <v>01/09/2010</v>
          </cell>
          <cell r="Y122" t="str">
            <v>KEW</v>
          </cell>
          <cell r="Z122" t="str">
            <v>16/08/2013</v>
          </cell>
          <cell r="AA122" t="str">
            <v>15/08/2015</v>
          </cell>
          <cell r="AB122" t="str">
            <v>No</v>
          </cell>
          <cell r="AC122" t="str">
            <v>31/08/2013</v>
          </cell>
          <cell r="AD122" t="str">
            <v>Good</v>
          </cell>
          <cell r="AE122" t="str">
            <v>V1 - Existing / No Claim</v>
          </cell>
          <cell r="AF122">
            <v>42235</v>
          </cell>
          <cell r="AG122">
            <v>9.17</v>
          </cell>
          <cell r="AH122" t="str">
            <v>RI</v>
          </cell>
          <cell r="AI122" t="str">
            <v>Strands</v>
          </cell>
          <cell r="AJ122" t="str">
            <v>Not under maintenance</v>
          </cell>
        </row>
        <row r="123">
          <cell r="A123" t="str">
            <v>IKN400885</v>
          </cell>
          <cell r="B123">
            <v>884</v>
          </cell>
          <cell r="C123" t="str">
            <v>Institut Kanser Negara</v>
          </cell>
          <cell r="D123" t="str">
            <v>KKM/IKN/H/13/1619</v>
          </cell>
          <cell r="E123" t="str">
            <v>18-595</v>
          </cell>
          <cell r="F123" t="str">
            <v>Ophthalmoscopes/Otoscopes</v>
          </cell>
          <cell r="G123" t="str">
            <v>OC</v>
          </cell>
          <cell r="H123" t="str">
            <v>ONCOLOGY CLINIC</v>
          </cell>
          <cell r="I123" t="str">
            <v>03OC117</v>
          </cell>
          <cell r="J123" t="str">
            <v>C/E 6</v>
          </cell>
          <cell r="K123" t="str">
            <v>BMED</v>
          </cell>
          <cell r="L123" t="str">
            <v>Normal</v>
          </cell>
          <cell r="M123" t="str">
            <v>USA</v>
          </cell>
          <cell r="N123" t="str">
            <v>Welch Allyn</v>
          </cell>
          <cell r="O123" t="str">
            <v>Welch Allyn 71904</v>
          </cell>
          <cell r="P123" t="str">
            <v>GD0019-11</v>
          </cell>
          <cell r="Q123" t="str">
            <v>Not Applicable</v>
          </cell>
          <cell r="R123" t="str">
            <v>Welch Allyn Inc</v>
          </cell>
          <cell r="S123" t="str">
            <v>Welch Allyn Malaysia Sdn Bhd</v>
          </cell>
          <cell r="T123" t="str">
            <v>Functioning</v>
          </cell>
          <cell r="U123" t="str">
            <v>Asset</v>
          </cell>
          <cell r="V123">
            <v>4690</v>
          </cell>
          <cell r="W123" t="str">
            <v>KEW</v>
          </cell>
          <cell r="X123" t="str">
            <v>01/09/2010</v>
          </cell>
          <cell r="Y123" t="str">
            <v>KEW</v>
          </cell>
          <cell r="Z123" t="str">
            <v>16/08/2013</v>
          </cell>
          <cell r="AA123" t="str">
            <v>15/08/2015</v>
          </cell>
          <cell r="AB123" t="str">
            <v>No</v>
          </cell>
          <cell r="AC123" t="str">
            <v>31/08/2013</v>
          </cell>
          <cell r="AD123" t="str">
            <v>Good</v>
          </cell>
          <cell r="AE123" t="str">
            <v>V1 - Existing / No Claim</v>
          </cell>
          <cell r="AF123">
            <v>42802</v>
          </cell>
          <cell r="AG123">
            <v>9.17</v>
          </cell>
          <cell r="AH123" t="str">
            <v>RI</v>
          </cell>
          <cell r="AI123" t="str">
            <v>Strands</v>
          </cell>
          <cell r="AJ123" t="str">
            <v>Not under maintenance</v>
          </cell>
        </row>
        <row r="124">
          <cell r="A124" t="str">
            <v>IKN400886</v>
          </cell>
          <cell r="B124">
            <v>885</v>
          </cell>
          <cell r="C124" t="str">
            <v>Institut Kanser Negara</v>
          </cell>
          <cell r="D124" t="str">
            <v>KKM/IKN/H/13/1620</v>
          </cell>
          <cell r="E124" t="str">
            <v>18-595</v>
          </cell>
          <cell r="F124" t="str">
            <v>Ophthalmoscopes/Otoscopes</v>
          </cell>
          <cell r="G124" t="str">
            <v>OC</v>
          </cell>
          <cell r="H124" t="str">
            <v>ONCOLOGY CLINIC</v>
          </cell>
          <cell r="I124" t="str">
            <v>03OC118</v>
          </cell>
          <cell r="J124" t="str">
            <v>C/E 5</v>
          </cell>
          <cell r="K124" t="str">
            <v>BMED</v>
          </cell>
          <cell r="L124" t="str">
            <v>Normal</v>
          </cell>
          <cell r="M124" t="str">
            <v>USA</v>
          </cell>
          <cell r="N124" t="str">
            <v>Welch Allyn</v>
          </cell>
          <cell r="O124" t="str">
            <v>Welch Allyn 71904</v>
          </cell>
          <cell r="P124" t="str">
            <v>GD0019-12</v>
          </cell>
          <cell r="Q124" t="str">
            <v>Not Applicable</v>
          </cell>
          <cell r="R124" t="str">
            <v>Welch Allyn Inc</v>
          </cell>
          <cell r="S124" t="str">
            <v>Welch Allyn Malaysia Sdn Bhd</v>
          </cell>
          <cell r="T124" t="str">
            <v>Functioning</v>
          </cell>
          <cell r="U124" t="str">
            <v>Asset</v>
          </cell>
          <cell r="V124">
            <v>4690</v>
          </cell>
          <cell r="W124" t="str">
            <v>KEW</v>
          </cell>
          <cell r="X124" t="str">
            <v>01/09/2010</v>
          </cell>
          <cell r="Y124" t="str">
            <v>KEW</v>
          </cell>
          <cell r="Z124" t="str">
            <v>16/08/2013</v>
          </cell>
          <cell r="AA124" t="str">
            <v>15/08/2015</v>
          </cell>
          <cell r="AB124" t="str">
            <v>No</v>
          </cell>
          <cell r="AC124" t="str">
            <v>31/08/2013</v>
          </cell>
          <cell r="AD124" t="str">
            <v>Good</v>
          </cell>
          <cell r="AE124" t="str">
            <v>V1 - Existing / No Claim</v>
          </cell>
          <cell r="AF124">
            <v>42802</v>
          </cell>
          <cell r="AG124">
            <v>9.17</v>
          </cell>
          <cell r="AH124" t="str">
            <v>RI</v>
          </cell>
          <cell r="AI124" t="str">
            <v>Strands</v>
          </cell>
          <cell r="AJ124" t="str">
            <v>Not under maintenance</v>
          </cell>
        </row>
        <row r="125">
          <cell r="A125" t="str">
            <v>IKN400887</v>
          </cell>
          <cell r="B125">
            <v>886</v>
          </cell>
          <cell r="C125" t="str">
            <v>Institut Kanser Negara</v>
          </cell>
          <cell r="D125" t="str">
            <v>KKM/IKN/H/13/1621</v>
          </cell>
          <cell r="E125" t="str">
            <v>18-595</v>
          </cell>
          <cell r="F125" t="str">
            <v>Ophthalmoscopes/Otoscopes</v>
          </cell>
          <cell r="G125" t="str">
            <v>OC</v>
          </cell>
          <cell r="H125" t="str">
            <v>ONCOLOGY CLINIC</v>
          </cell>
          <cell r="I125" t="str">
            <v>03OC119</v>
          </cell>
          <cell r="J125" t="str">
            <v>C/E 4</v>
          </cell>
          <cell r="K125" t="str">
            <v>BMED</v>
          </cell>
          <cell r="L125" t="str">
            <v>Normal</v>
          </cell>
          <cell r="M125" t="str">
            <v>USA</v>
          </cell>
          <cell r="N125" t="str">
            <v>Welch Allyn</v>
          </cell>
          <cell r="O125" t="str">
            <v>Welch Allyn 71904</v>
          </cell>
          <cell r="P125" t="str">
            <v>GD0019-13</v>
          </cell>
          <cell r="Q125" t="str">
            <v>Not Applicable</v>
          </cell>
          <cell r="R125" t="str">
            <v>Welch Allyn Inc</v>
          </cell>
          <cell r="S125" t="str">
            <v>Welch Allyn Malaysia Sdn Bhd</v>
          </cell>
          <cell r="T125" t="str">
            <v>Functioning</v>
          </cell>
          <cell r="U125" t="str">
            <v>Asset</v>
          </cell>
          <cell r="V125">
            <v>4690</v>
          </cell>
          <cell r="W125" t="str">
            <v>KEW</v>
          </cell>
          <cell r="X125" t="str">
            <v>01/09/2010</v>
          </cell>
          <cell r="Y125" t="str">
            <v>KEW</v>
          </cell>
          <cell r="Z125" t="str">
            <v>16/08/2013</v>
          </cell>
          <cell r="AA125" t="str">
            <v>15/08/2015</v>
          </cell>
          <cell r="AB125" t="str">
            <v>No</v>
          </cell>
          <cell r="AC125" t="str">
            <v>31/08/2013</v>
          </cell>
          <cell r="AD125" t="str">
            <v>Good</v>
          </cell>
          <cell r="AE125" t="str">
            <v>V1 - Existing / No Claim</v>
          </cell>
          <cell r="AF125">
            <v>42235</v>
          </cell>
          <cell r="AG125">
            <v>9.17</v>
          </cell>
          <cell r="AH125" t="str">
            <v>RI</v>
          </cell>
          <cell r="AI125" t="str">
            <v>Strands</v>
          </cell>
          <cell r="AJ125" t="str">
            <v>Not under maintenance</v>
          </cell>
        </row>
        <row r="126">
          <cell r="A126" t="str">
            <v>IKN400888</v>
          </cell>
          <cell r="B126">
            <v>887</v>
          </cell>
          <cell r="C126" t="str">
            <v>Institut Kanser Negara</v>
          </cell>
          <cell r="D126" t="str">
            <v>KKM/IKN/H/13/1622</v>
          </cell>
          <cell r="E126" t="str">
            <v>18-595</v>
          </cell>
          <cell r="F126" t="str">
            <v>Ophthalmoscopes/Otoscopes</v>
          </cell>
          <cell r="G126" t="str">
            <v>OC</v>
          </cell>
          <cell r="H126" t="str">
            <v>ONCOLOGY CLINIC</v>
          </cell>
          <cell r="I126" t="str">
            <v>03OC120</v>
          </cell>
          <cell r="J126" t="str">
            <v>C/E 3</v>
          </cell>
          <cell r="K126" t="str">
            <v>BMED</v>
          </cell>
          <cell r="L126" t="str">
            <v>Normal</v>
          </cell>
          <cell r="M126" t="str">
            <v>USA</v>
          </cell>
          <cell r="N126" t="str">
            <v>Welch Allyn</v>
          </cell>
          <cell r="O126" t="str">
            <v>Welch Allyn 71904</v>
          </cell>
          <cell r="P126" t="str">
            <v>GD0019-14</v>
          </cell>
          <cell r="Q126" t="str">
            <v>Not Applicable</v>
          </cell>
          <cell r="R126" t="str">
            <v>Welch Allyn Inc</v>
          </cell>
          <cell r="S126" t="str">
            <v>Welch Allyn Malaysia Sdn Bhd</v>
          </cell>
          <cell r="T126" t="str">
            <v>Functioning</v>
          </cell>
          <cell r="U126" t="str">
            <v>Asset</v>
          </cell>
          <cell r="V126">
            <v>4690</v>
          </cell>
          <cell r="W126" t="str">
            <v>KEW</v>
          </cell>
          <cell r="X126" t="str">
            <v>01/09/2010</v>
          </cell>
          <cell r="Y126" t="str">
            <v>KEW</v>
          </cell>
          <cell r="Z126" t="str">
            <v>16/08/2013</v>
          </cell>
          <cell r="AA126" t="str">
            <v>15/08/2015</v>
          </cell>
          <cell r="AB126" t="str">
            <v>No</v>
          </cell>
          <cell r="AC126" t="str">
            <v>31/08/2013</v>
          </cell>
          <cell r="AD126" t="str">
            <v>Good</v>
          </cell>
          <cell r="AE126" t="str">
            <v>V1 - Existing / No Claim</v>
          </cell>
          <cell r="AF126">
            <v>42802</v>
          </cell>
          <cell r="AG126">
            <v>9.17</v>
          </cell>
          <cell r="AH126" t="str">
            <v>RI</v>
          </cell>
          <cell r="AI126" t="str">
            <v>Strands</v>
          </cell>
          <cell r="AJ126" t="str">
            <v>Not under maintenance</v>
          </cell>
        </row>
        <row r="127">
          <cell r="A127" t="str">
            <v>IKN400889</v>
          </cell>
          <cell r="B127">
            <v>888</v>
          </cell>
          <cell r="C127" t="str">
            <v>Institut Kanser Negara</v>
          </cell>
          <cell r="D127" t="str">
            <v>KKM/IKN/H/13/1623</v>
          </cell>
          <cell r="E127" t="str">
            <v>18-595</v>
          </cell>
          <cell r="F127" t="str">
            <v>Ophthalmoscopes/Otoscopes</v>
          </cell>
          <cell r="G127" t="str">
            <v>OC</v>
          </cell>
          <cell r="H127" t="str">
            <v>ONCOLOGY CLINIC</v>
          </cell>
          <cell r="I127" t="str">
            <v>03OC121</v>
          </cell>
          <cell r="J127" t="str">
            <v>C/E2</v>
          </cell>
          <cell r="K127" t="str">
            <v>BMED</v>
          </cell>
          <cell r="L127" t="str">
            <v>Normal</v>
          </cell>
          <cell r="M127" t="str">
            <v>USA</v>
          </cell>
          <cell r="N127" t="str">
            <v>Welch Allyn</v>
          </cell>
          <cell r="O127" t="str">
            <v>Welch Allyn 71904</v>
          </cell>
          <cell r="P127" t="str">
            <v>GD0019-15</v>
          </cell>
          <cell r="Q127" t="str">
            <v>Not Applicable</v>
          </cell>
          <cell r="R127" t="str">
            <v>Welch Allyn Inc</v>
          </cell>
          <cell r="S127" t="str">
            <v>Welch Allyn Malaysia Sdn Bhd</v>
          </cell>
          <cell r="T127" t="str">
            <v>Functioning</v>
          </cell>
          <cell r="U127" t="str">
            <v>Asset</v>
          </cell>
          <cell r="V127">
            <v>4690</v>
          </cell>
          <cell r="W127" t="str">
            <v>KEW</v>
          </cell>
          <cell r="X127" t="str">
            <v>01/09/2010</v>
          </cell>
          <cell r="Y127" t="str">
            <v>KEW</v>
          </cell>
          <cell r="Z127" t="str">
            <v>16/08/2013</v>
          </cell>
          <cell r="AA127" t="str">
            <v>15/08/2015</v>
          </cell>
          <cell r="AB127" t="str">
            <v>No</v>
          </cell>
          <cell r="AC127" t="str">
            <v>31/08/2013</v>
          </cell>
          <cell r="AD127" t="str">
            <v>Good</v>
          </cell>
          <cell r="AE127" t="str">
            <v>V1 - Existing / No Claim</v>
          </cell>
          <cell r="AF127">
            <v>42802</v>
          </cell>
          <cell r="AG127">
            <v>9.17</v>
          </cell>
          <cell r="AH127" t="str">
            <v>RI</v>
          </cell>
          <cell r="AI127" t="str">
            <v>Strands</v>
          </cell>
          <cell r="AJ127" t="str">
            <v>Not under maintenance</v>
          </cell>
        </row>
        <row r="128">
          <cell r="A128" t="str">
            <v>IKN400911</v>
          </cell>
          <cell r="B128">
            <v>910</v>
          </cell>
          <cell r="C128" t="str">
            <v>Institut Kanser Negara</v>
          </cell>
          <cell r="D128" t="e">
            <v>#N/A</v>
          </cell>
          <cell r="E128" t="str">
            <v>16-158</v>
          </cell>
          <cell r="F128" t="str">
            <v>Sphygmomanometers, Mercury</v>
          </cell>
          <cell r="G128" t="str">
            <v>OC</v>
          </cell>
          <cell r="H128" t="str">
            <v>ONCOLOGY CLINIC</v>
          </cell>
          <cell r="I128" t="str">
            <v>03OC104</v>
          </cell>
          <cell r="J128" t="str">
            <v>C/E 7</v>
          </cell>
          <cell r="K128" t="str">
            <v>BMED</v>
          </cell>
          <cell r="L128" t="str">
            <v>Normal</v>
          </cell>
          <cell r="M128" t="str">
            <v>Germany</v>
          </cell>
          <cell r="N128" t="str">
            <v>Erka</v>
          </cell>
          <cell r="O128" t="str">
            <v>Erkameter 3000</v>
          </cell>
          <cell r="P128" t="str">
            <v>12508922</v>
          </cell>
          <cell r="Q128" t="str">
            <v>Not Applicable</v>
          </cell>
          <cell r="R128" t="str">
            <v>Erka GmbH &amp; Co</v>
          </cell>
          <cell r="S128" t="str">
            <v>Acucare Systems (M) Sdn bhd</v>
          </cell>
          <cell r="T128" t="str">
            <v>Functioning</v>
          </cell>
          <cell r="U128" t="str">
            <v>Asset</v>
          </cell>
          <cell r="V128">
            <v>505</v>
          </cell>
          <cell r="W128" t="str">
            <v>KEW</v>
          </cell>
          <cell r="X128" t="str">
            <v>01/09/2010</v>
          </cell>
          <cell r="Y128" t="str">
            <v>KEW</v>
          </cell>
          <cell r="Z128" t="str">
            <v>16/08/2013</v>
          </cell>
          <cell r="AA128" t="str">
            <v>15/08/2015</v>
          </cell>
          <cell r="AB128" t="str">
            <v>No</v>
          </cell>
          <cell r="AC128" t="str">
            <v>31/08/2013</v>
          </cell>
          <cell r="AD128" t="str">
            <v>Good</v>
          </cell>
          <cell r="AE128" t="str">
            <v>V4 - Decommissioned Installed Facility</v>
          </cell>
          <cell r="AF128">
            <v>42235</v>
          </cell>
          <cell r="AG128">
            <v>9.17</v>
          </cell>
          <cell r="AH128" t="str">
            <v>PPM</v>
          </cell>
          <cell r="AI128" t="str">
            <v>Not in contract</v>
          </cell>
          <cell r="AJ128" t="str">
            <v>Not under maintenance</v>
          </cell>
          <cell r="AK128" t="e">
            <v>#N/A</v>
          </cell>
        </row>
        <row r="129">
          <cell r="A129" t="str">
            <v>IKN400912</v>
          </cell>
          <cell r="B129">
            <v>911</v>
          </cell>
          <cell r="C129" t="str">
            <v>Institut Kanser Negara</v>
          </cell>
          <cell r="D129" t="e">
            <v>#N/A</v>
          </cell>
          <cell r="E129" t="str">
            <v>16-158</v>
          </cell>
          <cell r="F129" t="str">
            <v>Sphygmomanometers, Mercury</v>
          </cell>
          <cell r="G129" t="str">
            <v>OC</v>
          </cell>
          <cell r="H129" t="str">
            <v>ONCOLOGY CLINIC</v>
          </cell>
          <cell r="I129" t="str">
            <v>03OC105</v>
          </cell>
          <cell r="J129" t="str">
            <v>C/E 8</v>
          </cell>
          <cell r="K129" t="str">
            <v>BMED</v>
          </cell>
          <cell r="L129" t="str">
            <v>Normal</v>
          </cell>
          <cell r="M129" t="str">
            <v>Germany</v>
          </cell>
          <cell r="N129" t="str">
            <v>Erka</v>
          </cell>
          <cell r="O129" t="str">
            <v>Erkameter 3000</v>
          </cell>
          <cell r="P129" t="str">
            <v>12508923</v>
          </cell>
          <cell r="Q129" t="str">
            <v>Not Applicable</v>
          </cell>
          <cell r="R129" t="str">
            <v>Erka GmbH &amp; Co</v>
          </cell>
          <cell r="S129" t="str">
            <v>Acucare Systems (M) Sdn bhd</v>
          </cell>
          <cell r="T129" t="str">
            <v>Functioning</v>
          </cell>
          <cell r="U129" t="str">
            <v>Asset</v>
          </cell>
          <cell r="V129">
            <v>505</v>
          </cell>
          <cell r="W129" t="str">
            <v>KEW</v>
          </cell>
          <cell r="X129" t="str">
            <v>01/09/2010</v>
          </cell>
          <cell r="Y129" t="str">
            <v>KEW</v>
          </cell>
          <cell r="Z129" t="str">
            <v>16/08/2013</v>
          </cell>
          <cell r="AA129" t="str">
            <v>15/08/2015</v>
          </cell>
          <cell r="AB129" t="str">
            <v>No</v>
          </cell>
          <cell r="AC129" t="str">
            <v>31/08/2013</v>
          </cell>
          <cell r="AD129" t="str">
            <v>Good</v>
          </cell>
          <cell r="AE129" t="str">
            <v>V4 - Decommissioned Installed Facility</v>
          </cell>
          <cell r="AF129">
            <v>42235</v>
          </cell>
          <cell r="AG129">
            <v>9.17</v>
          </cell>
          <cell r="AH129" t="str">
            <v>PPM</v>
          </cell>
          <cell r="AI129" t="str">
            <v>Not in contract</v>
          </cell>
          <cell r="AJ129" t="str">
            <v>Not under maintenance</v>
          </cell>
          <cell r="AK129" t="e">
            <v>#N/A</v>
          </cell>
        </row>
        <row r="130">
          <cell r="A130" t="str">
            <v>IKN400913</v>
          </cell>
          <cell r="B130">
            <v>912</v>
          </cell>
          <cell r="C130" t="str">
            <v>Institut Kanser Negara</v>
          </cell>
          <cell r="D130" t="e">
            <v>#N/A</v>
          </cell>
          <cell r="E130" t="str">
            <v>16-158</v>
          </cell>
          <cell r="F130" t="str">
            <v>Sphygmomanometers, Mercury</v>
          </cell>
          <cell r="G130" t="str">
            <v>OC</v>
          </cell>
          <cell r="H130" t="str">
            <v>ONCOLOGY CLINIC</v>
          </cell>
          <cell r="I130" t="str">
            <v>03OC133</v>
          </cell>
          <cell r="J130" t="str">
            <v>ASSESSMENT</v>
          </cell>
          <cell r="K130" t="str">
            <v>BMED</v>
          </cell>
          <cell r="L130" t="str">
            <v>Normal</v>
          </cell>
          <cell r="M130" t="str">
            <v>Germany</v>
          </cell>
          <cell r="N130" t="str">
            <v>Erka</v>
          </cell>
          <cell r="O130" t="str">
            <v>Erkameter 3000</v>
          </cell>
          <cell r="P130" t="str">
            <v>13500752</v>
          </cell>
          <cell r="Q130" t="str">
            <v>Not Applicable</v>
          </cell>
          <cell r="R130" t="str">
            <v>Erka GmbH &amp; Co</v>
          </cell>
          <cell r="S130" t="str">
            <v>Acucare Systems (M) Sdn bhd</v>
          </cell>
          <cell r="T130" t="str">
            <v>Functioning</v>
          </cell>
          <cell r="U130" t="str">
            <v>Asset</v>
          </cell>
          <cell r="V130">
            <v>505</v>
          </cell>
          <cell r="W130" t="str">
            <v>KEW</v>
          </cell>
          <cell r="X130" t="str">
            <v>01/09/2010</v>
          </cell>
          <cell r="Y130" t="str">
            <v>KEW</v>
          </cell>
          <cell r="Z130" t="str">
            <v>16/08/2013</v>
          </cell>
          <cell r="AA130" t="str">
            <v>15/08/2015</v>
          </cell>
          <cell r="AB130" t="str">
            <v>No</v>
          </cell>
          <cell r="AC130" t="str">
            <v>31/08/2013</v>
          </cell>
          <cell r="AD130" t="str">
            <v>Good</v>
          </cell>
          <cell r="AE130" t="str">
            <v>V4 - Decommissioned Installed Facility</v>
          </cell>
          <cell r="AF130">
            <v>42235</v>
          </cell>
          <cell r="AG130">
            <v>9.17</v>
          </cell>
          <cell r="AH130" t="str">
            <v>PPM</v>
          </cell>
          <cell r="AI130" t="str">
            <v>Not in contract</v>
          </cell>
          <cell r="AJ130" t="str">
            <v>Not under maintenance</v>
          </cell>
          <cell r="AK130" t="e">
            <v>#N/A</v>
          </cell>
        </row>
        <row r="131">
          <cell r="A131" t="str">
            <v>IKN400970</v>
          </cell>
          <cell r="B131">
            <v>968</v>
          </cell>
          <cell r="C131" t="str">
            <v>Institut Kanser Negara</v>
          </cell>
          <cell r="D131" t="e">
            <v>#N/A</v>
          </cell>
          <cell r="E131" t="str">
            <v>16-158</v>
          </cell>
          <cell r="F131" t="str">
            <v>Sphygmomanometers, Mercury</v>
          </cell>
          <cell r="G131" t="str">
            <v>RT</v>
          </cell>
          <cell r="H131" t="str">
            <v>RADIATION TREATMENT UNIT</v>
          </cell>
          <cell r="I131" t="str">
            <v>01RT109</v>
          </cell>
          <cell r="J131" t="str">
            <v>C/L 1</v>
          </cell>
          <cell r="K131" t="str">
            <v>BMED</v>
          </cell>
          <cell r="L131" t="str">
            <v>Normal</v>
          </cell>
          <cell r="M131" t="str">
            <v>Germany</v>
          </cell>
          <cell r="N131" t="str">
            <v>Erka</v>
          </cell>
          <cell r="O131" t="str">
            <v>Erkameter 3000</v>
          </cell>
          <cell r="P131" t="str">
            <v>13500759</v>
          </cell>
          <cell r="Q131" t="str">
            <v>Not Applicable</v>
          </cell>
          <cell r="R131" t="str">
            <v>Erka GmbH &amp; Co</v>
          </cell>
          <cell r="S131" t="str">
            <v>Acucare Systems (M) Sdn bhd</v>
          </cell>
          <cell r="T131" t="str">
            <v>Functioning</v>
          </cell>
          <cell r="U131" t="str">
            <v>Asset</v>
          </cell>
          <cell r="V131">
            <v>505</v>
          </cell>
          <cell r="W131" t="str">
            <v>KEW</v>
          </cell>
          <cell r="X131" t="str">
            <v>01/09/2010</v>
          </cell>
          <cell r="Y131" t="str">
            <v>KEW</v>
          </cell>
          <cell r="Z131" t="str">
            <v>16/08/2013</v>
          </cell>
          <cell r="AA131" t="str">
            <v>15/08/2015</v>
          </cell>
          <cell r="AB131" t="str">
            <v>No</v>
          </cell>
          <cell r="AC131" t="str">
            <v>31/08/2013</v>
          </cell>
          <cell r="AD131" t="str">
            <v>Good</v>
          </cell>
          <cell r="AE131" t="str">
            <v>V4 - Decommissioned Installed Facility</v>
          </cell>
          <cell r="AF131">
            <v>42235</v>
          </cell>
          <cell r="AG131">
            <v>9.17</v>
          </cell>
          <cell r="AH131" t="str">
            <v>PPM</v>
          </cell>
          <cell r="AI131" t="str">
            <v>Not in contract</v>
          </cell>
          <cell r="AJ131" t="str">
            <v>Not under maintenance</v>
          </cell>
          <cell r="AK131" t="e">
            <v>#N/A</v>
          </cell>
        </row>
        <row r="132">
          <cell r="A132" t="str">
            <v>IKN400971</v>
          </cell>
          <cell r="B132">
            <v>969</v>
          </cell>
          <cell r="C132" t="str">
            <v>Institut Kanser Negara</v>
          </cell>
          <cell r="D132" t="e">
            <v>#N/A</v>
          </cell>
          <cell r="E132" t="str">
            <v>16-158</v>
          </cell>
          <cell r="F132" t="str">
            <v>Sphygmomanometers, Mercury</v>
          </cell>
          <cell r="G132" t="str">
            <v>RT</v>
          </cell>
          <cell r="H132" t="str">
            <v>RADIATION TREATMENT UNIT</v>
          </cell>
          <cell r="I132" t="str">
            <v>01RT110</v>
          </cell>
          <cell r="J132" t="str">
            <v>C/E 2</v>
          </cell>
          <cell r="K132" t="str">
            <v>BMED</v>
          </cell>
          <cell r="L132" t="str">
            <v>Normal</v>
          </cell>
          <cell r="M132" t="str">
            <v>Germany</v>
          </cell>
          <cell r="N132" t="str">
            <v>Erka</v>
          </cell>
          <cell r="O132" t="str">
            <v>Erkameter 3000</v>
          </cell>
          <cell r="P132" t="str">
            <v>12508915</v>
          </cell>
          <cell r="Q132" t="str">
            <v>Not Applicable</v>
          </cell>
          <cell r="R132" t="str">
            <v>Erka GmbH &amp; Co</v>
          </cell>
          <cell r="S132" t="str">
            <v>Acucare Systems (M) Sdn bhd</v>
          </cell>
          <cell r="T132" t="str">
            <v>Functioning</v>
          </cell>
          <cell r="U132" t="str">
            <v>Asset</v>
          </cell>
          <cell r="V132">
            <v>505</v>
          </cell>
          <cell r="W132" t="str">
            <v>KEW</v>
          </cell>
          <cell r="X132" t="str">
            <v>01/09/2010</v>
          </cell>
          <cell r="Y132" t="str">
            <v>KEW</v>
          </cell>
          <cell r="Z132" t="str">
            <v>16/08/2013</v>
          </cell>
          <cell r="AA132" t="str">
            <v>15/08/2015</v>
          </cell>
          <cell r="AB132" t="str">
            <v>No</v>
          </cell>
          <cell r="AC132" t="str">
            <v>31/08/2013</v>
          </cell>
          <cell r="AD132" t="str">
            <v>Good</v>
          </cell>
          <cell r="AE132" t="str">
            <v>V4 - Decommissioned Installed Facility</v>
          </cell>
          <cell r="AF132">
            <v>42235</v>
          </cell>
          <cell r="AG132">
            <v>9.17</v>
          </cell>
          <cell r="AH132" t="str">
            <v>PPM</v>
          </cell>
          <cell r="AI132" t="str">
            <v>Not in contract</v>
          </cell>
          <cell r="AJ132" t="str">
            <v>Not under maintenance</v>
          </cell>
          <cell r="AK132" t="e">
            <v>#N/A</v>
          </cell>
        </row>
        <row r="133">
          <cell r="A133" t="str">
            <v>IKN401062</v>
          </cell>
          <cell r="B133">
            <v>1060</v>
          </cell>
          <cell r="C133" t="str">
            <v>Institut Kanser Negara</v>
          </cell>
          <cell r="D133" t="e">
            <v>#N/A</v>
          </cell>
          <cell r="E133" t="str">
            <v>16-158</v>
          </cell>
          <cell r="F133" t="str">
            <v>Sphygmomanometers, Mercury</v>
          </cell>
          <cell r="G133" t="str">
            <v>OT</v>
          </cell>
          <cell r="H133" t="str">
            <v>OPERATING THEATRE</v>
          </cell>
          <cell r="I133" t="str">
            <v>05OT169</v>
          </cell>
          <cell r="J133" t="str">
            <v>EQ. ROOM</v>
          </cell>
          <cell r="K133" t="str">
            <v>BMED</v>
          </cell>
          <cell r="L133" t="str">
            <v>Normal</v>
          </cell>
          <cell r="M133" t="str">
            <v>Germany</v>
          </cell>
          <cell r="N133" t="str">
            <v>Erka</v>
          </cell>
          <cell r="O133" t="str">
            <v>Erkameter 3000</v>
          </cell>
          <cell r="P133" t="str">
            <v>13500820</v>
          </cell>
          <cell r="Q133" t="str">
            <v>Not Applicable</v>
          </cell>
          <cell r="R133" t="str">
            <v>Erka GmbH &amp; Co</v>
          </cell>
          <cell r="S133" t="str">
            <v>Acucare Systems (M) Sdn bhd</v>
          </cell>
          <cell r="T133" t="str">
            <v>Functioning</v>
          </cell>
          <cell r="U133" t="str">
            <v>Asset</v>
          </cell>
          <cell r="V133">
            <v>505</v>
          </cell>
          <cell r="W133" t="str">
            <v>KEW</v>
          </cell>
          <cell r="X133" t="str">
            <v>01/09/2010</v>
          </cell>
          <cell r="Y133" t="str">
            <v>KEW</v>
          </cell>
          <cell r="Z133" t="str">
            <v>16/08/2013</v>
          </cell>
          <cell r="AA133" t="str">
            <v>15/08/2015</v>
          </cell>
          <cell r="AB133" t="str">
            <v>No</v>
          </cell>
          <cell r="AC133" t="str">
            <v>31/08/2013</v>
          </cell>
          <cell r="AD133" t="str">
            <v>Good</v>
          </cell>
          <cell r="AE133" t="str">
            <v>V4 - Decommissioned Installed Facility</v>
          </cell>
          <cell r="AF133">
            <v>42235</v>
          </cell>
          <cell r="AG133">
            <v>9.17</v>
          </cell>
          <cell r="AH133" t="str">
            <v>PPM</v>
          </cell>
          <cell r="AI133" t="str">
            <v>Not in contract</v>
          </cell>
          <cell r="AJ133" t="str">
            <v>Not under maintenance</v>
          </cell>
          <cell r="AK133" t="e">
            <v>#N/A</v>
          </cell>
        </row>
        <row r="134">
          <cell r="A134" t="str">
            <v>IKN401063</v>
          </cell>
          <cell r="B134">
            <v>1061</v>
          </cell>
          <cell r="C134" t="str">
            <v>Institut Kanser Negara</v>
          </cell>
          <cell r="D134" t="e">
            <v>#N/A</v>
          </cell>
          <cell r="E134" t="str">
            <v>16-158</v>
          </cell>
          <cell r="F134" t="str">
            <v>Sphygmomanometers, Mercury</v>
          </cell>
          <cell r="G134" t="str">
            <v>OT</v>
          </cell>
          <cell r="H134" t="str">
            <v>OPERATING THEATRE</v>
          </cell>
          <cell r="I134" t="str">
            <v>05OT169</v>
          </cell>
          <cell r="J134" t="str">
            <v>EQ. ROOM</v>
          </cell>
          <cell r="K134" t="str">
            <v>BMED</v>
          </cell>
          <cell r="L134" t="str">
            <v>Critical</v>
          </cell>
          <cell r="M134" t="str">
            <v>Germany</v>
          </cell>
          <cell r="N134" t="str">
            <v>Erka</v>
          </cell>
          <cell r="O134" t="str">
            <v>Erkameter 3000</v>
          </cell>
          <cell r="P134" t="str">
            <v>13500750</v>
          </cell>
          <cell r="Q134" t="str">
            <v>Not Applicable</v>
          </cell>
          <cell r="R134" t="str">
            <v>Erka GmbH &amp; Co</v>
          </cell>
          <cell r="S134" t="str">
            <v>Acucare Systems (M) Sdn bhd</v>
          </cell>
          <cell r="T134" t="str">
            <v>Functioning</v>
          </cell>
          <cell r="U134" t="str">
            <v>Asset</v>
          </cell>
          <cell r="V134">
            <v>336</v>
          </cell>
          <cell r="W134" t="str">
            <v>KEW</v>
          </cell>
          <cell r="X134" t="str">
            <v>01/09/2010</v>
          </cell>
          <cell r="Y134" t="str">
            <v>KEW</v>
          </cell>
          <cell r="Z134" t="str">
            <v>16/08/2013</v>
          </cell>
          <cell r="AA134" t="str">
            <v>15/08/2015</v>
          </cell>
          <cell r="AB134" t="str">
            <v>No</v>
          </cell>
          <cell r="AC134" t="str">
            <v>31/08/2013</v>
          </cell>
          <cell r="AD134" t="str">
            <v>Good</v>
          </cell>
          <cell r="AE134" t="str">
            <v>V4 - Decommissioned Installed Facility</v>
          </cell>
          <cell r="AF134">
            <v>42803</v>
          </cell>
          <cell r="AG134">
            <v>9.17</v>
          </cell>
          <cell r="AH134" t="str">
            <v>PPM</v>
          </cell>
          <cell r="AI134" t="str">
            <v>Not in contract</v>
          </cell>
          <cell r="AJ134" t="str">
            <v>Not under maintenance</v>
          </cell>
          <cell r="AK134" t="e">
            <v>#N/A</v>
          </cell>
        </row>
        <row r="135">
          <cell r="A135" t="str">
            <v>IKN401064</v>
          </cell>
          <cell r="B135">
            <v>1062</v>
          </cell>
          <cell r="C135" t="str">
            <v>Institut Kanser Negara</v>
          </cell>
          <cell r="D135" t="str">
            <v>KKM/IKN/H/13/177</v>
          </cell>
          <cell r="E135" t="str">
            <v>18-595</v>
          </cell>
          <cell r="F135" t="str">
            <v>Ophthalmoscopes/Otoscopes</v>
          </cell>
          <cell r="G135" t="str">
            <v>OT</v>
          </cell>
          <cell r="H135" t="str">
            <v>OPERATING THEATRE</v>
          </cell>
          <cell r="I135" t="str">
            <v>05OT158</v>
          </cell>
          <cell r="J135" t="str">
            <v>NURSE STATION</v>
          </cell>
          <cell r="K135" t="str">
            <v>BMED</v>
          </cell>
          <cell r="L135" t="str">
            <v>Normal</v>
          </cell>
          <cell r="M135" t="str">
            <v>USA</v>
          </cell>
          <cell r="N135" t="str">
            <v>Welch Allyn</v>
          </cell>
          <cell r="O135" t="str">
            <v>Welch Allyn 97150-BIM</v>
          </cell>
          <cell r="P135" t="str">
            <v>GD0019-33</v>
          </cell>
          <cell r="Q135" t="str">
            <v>Not Applicable</v>
          </cell>
          <cell r="R135" t="str">
            <v>Welch Allyn Inc</v>
          </cell>
          <cell r="S135" t="str">
            <v>Welch Allyn Malaysia Sdn Bhd</v>
          </cell>
          <cell r="T135" t="str">
            <v>Functioning</v>
          </cell>
          <cell r="U135" t="str">
            <v>Asset</v>
          </cell>
          <cell r="V135">
            <v>4690</v>
          </cell>
          <cell r="W135" t="str">
            <v>KEW</v>
          </cell>
          <cell r="X135" t="str">
            <v>01/09/2010</v>
          </cell>
          <cell r="Y135" t="str">
            <v>KEW</v>
          </cell>
          <cell r="Z135" t="str">
            <v>16/08/2013</v>
          </cell>
          <cell r="AA135" t="str">
            <v>15/08/2015</v>
          </cell>
          <cell r="AB135" t="str">
            <v>No</v>
          </cell>
          <cell r="AC135" t="str">
            <v>31/08/2013</v>
          </cell>
          <cell r="AD135" t="str">
            <v>Good</v>
          </cell>
          <cell r="AE135" t="str">
            <v>V1 - Existing / No Claim</v>
          </cell>
          <cell r="AF135">
            <v>42803</v>
          </cell>
          <cell r="AG135">
            <v>9.17</v>
          </cell>
          <cell r="AH135" t="str">
            <v>RI</v>
          </cell>
          <cell r="AI135" t="str">
            <v>Strands</v>
          </cell>
          <cell r="AJ135" t="str">
            <v>Not under maintenance</v>
          </cell>
        </row>
        <row r="136">
          <cell r="A136" t="str">
            <v>IKN401065</v>
          </cell>
          <cell r="B136">
            <v>1063</v>
          </cell>
          <cell r="C136" t="str">
            <v>Institut Kanser Negara</v>
          </cell>
          <cell r="D136" t="str">
            <v>KKM/IKN/H/13/176</v>
          </cell>
          <cell r="E136" t="str">
            <v>18-595</v>
          </cell>
          <cell r="F136" t="str">
            <v>Ophthalmoscopes/Otoscopes</v>
          </cell>
          <cell r="G136" t="str">
            <v>OT</v>
          </cell>
          <cell r="H136" t="str">
            <v>OPERATING THEATRE</v>
          </cell>
          <cell r="I136" t="str">
            <v>05OT150</v>
          </cell>
          <cell r="J136" t="str">
            <v>RECEPTION STAFF BASE</v>
          </cell>
          <cell r="K136" t="str">
            <v>BMED</v>
          </cell>
          <cell r="L136" t="str">
            <v>Normal</v>
          </cell>
          <cell r="M136" t="str">
            <v>USA</v>
          </cell>
          <cell r="N136" t="str">
            <v>Welch Allyn</v>
          </cell>
          <cell r="O136" t="str">
            <v>Welch Allyn 97150-BIM</v>
          </cell>
          <cell r="P136" t="str">
            <v>GD0019-32</v>
          </cell>
          <cell r="Q136" t="str">
            <v>Not Applicable</v>
          </cell>
          <cell r="R136" t="str">
            <v>Welch Allyn Inc</v>
          </cell>
          <cell r="S136" t="str">
            <v>Welch Allyn Malaysia Sdn Bhd</v>
          </cell>
          <cell r="T136" t="str">
            <v>Functioning</v>
          </cell>
          <cell r="U136" t="str">
            <v>Asset</v>
          </cell>
          <cell r="V136">
            <v>4690</v>
          </cell>
          <cell r="W136" t="str">
            <v>KEW</v>
          </cell>
          <cell r="X136" t="str">
            <v>01/09/2010</v>
          </cell>
          <cell r="Y136" t="str">
            <v>KEW</v>
          </cell>
          <cell r="Z136" t="str">
            <v>16/08/2013</v>
          </cell>
          <cell r="AA136" t="str">
            <v>15/08/2015</v>
          </cell>
          <cell r="AB136" t="str">
            <v>No</v>
          </cell>
          <cell r="AC136" t="str">
            <v>31/08/2013</v>
          </cell>
          <cell r="AD136" t="str">
            <v>Good</v>
          </cell>
          <cell r="AE136" t="str">
            <v>V1 - Existing / No Claim</v>
          </cell>
          <cell r="AF136">
            <v>42803</v>
          </cell>
          <cell r="AG136">
            <v>9.17</v>
          </cell>
          <cell r="AH136" t="str">
            <v>RI</v>
          </cell>
          <cell r="AI136" t="str">
            <v>Strands</v>
          </cell>
          <cell r="AJ136" t="str">
            <v>Not under maintenance</v>
          </cell>
        </row>
        <row r="137">
          <cell r="A137" t="str">
            <v>IKN401066</v>
          </cell>
          <cell r="B137">
            <v>1064</v>
          </cell>
          <cell r="C137" t="str">
            <v>Institut Kanser Negara</v>
          </cell>
          <cell r="D137" t="e">
            <v>#N/A</v>
          </cell>
          <cell r="E137" t="str">
            <v>18-595</v>
          </cell>
          <cell r="F137" t="str">
            <v>Ophthalmoscopes/Otoscopes</v>
          </cell>
          <cell r="G137" t="str">
            <v>OT</v>
          </cell>
          <cell r="H137" t="str">
            <v>OPERATING THEATRE</v>
          </cell>
          <cell r="I137" t="str">
            <v>05OT169</v>
          </cell>
          <cell r="J137" t="str">
            <v>EQ. ROOM</v>
          </cell>
          <cell r="K137" t="str">
            <v>BMED</v>
          </cell>
          <cell r="L137" t="str">
            <v>Normal</v>
          </cell>
          <cell r="M137" t="str">
            <v>USA</v>
          </cell>
          <cell r="N137" t="str">
            <v>Welch Allyn</v>
          </cell>
          <cell r="O137" t="str">
            <v>Welch Allyn 97150-BIM</v>
          </cell>
          <cell r="P137" t="str">
            <v>N/A</v>
          </cell>
          <cell r="Q137" t="str">
            <v>Not Applicable</v>
          </cell>
          <cell r="R137" t="str">
            <v>Welch Allyn Inc</v>
          </cell>
          <cell r="S137" t="str">
            <v>Welch Allyn Malaysia Sdn Bhd</v>
          </cell>
          <cell r="T137" t="str">
            <v>Functioning</v>
          </cell>
          <cell r="U137" t="str">
            <v>Asset</v>
          </cell>
          <cell r="V137">
            <v>4690</v>
          </cell>
          <cell r="W137" t="str">
            <v>KEW</v>
          </cell>
          <cell r="X137" t="str">
            <v>01/09/2010</v>
          </cell>
          <cell r="Y137" t="str">
            <v>KEW</v>
          </cell>
          <cell r="Z137" t="str">
            <v>16/08/2013</v>
          </cell>
          <cell r="AA137" t="str">
            <v>15/08/2015</v>
          </cell>
          <cell r="AB137" t="str">
            <v>No</v>
          </cell>
          <cell r="AC137" t="str">
            <v>31/08/2013</v>
          </cell>
          <cell r="AD137" t="str">
            <v>Good</v>
          </cell>
          <cell r="AE137" t="str">
            <v>V1 - Existing / No Claim</v>
          </cell>
          <cell r="AF137">
            <v>42235</v>
          </cell>
          <cell r="AG137">
            <v>9.17</v>
          </cell>
          <cell r="AH137" t="str">
            <v>RI</v>
          </cell>
          <cell r="AI137" t="str">
            <v>Not in contract</v>
          </cell>
          <cell r="AJ137" t="str">
            <v>Not under maintenance</v>
          </cell>
          <cell r="AK137" t="str">
            <v>Will be under V4. Taken out of contract as agreed by IKN</v>
          </cell>
        </row>
        <row r="138">
          <cell r="A138" t="str">
            <v>IKN401067</v>
          </cell>
          <cell r="B138">
            <v>1065</v>
          </cell>
          <cell r="C138" t="str">
            <v>Institut Kanser Negara</v>
          </cell>
          <cell r="D138" t="e">
            <v>#N/A</v>
          </cell>
          <cell r="E138" t="str">
            <v>18-595</v>
          </cell>
          <cell r="F138" t="str">
            <v>Ophthalmoscopes/Otoscopes</v>
          </cell>
          <cell r="G138" t="str">
            <v>OT</v>
          </cell>
          <cell r="H138" t="str">
            <v>OPERATING THEATRE</v>
          </cell>
          <cell r="I138" t="str">
            <v>05OT169</v>
          </cell>
          <cell r="J138" t="str">
            <v>EQ. ROOM</v>
          </cell>
          <cell r="K138" t="str">
            <v>BMED</v>
          </cell>
          <cell r="L138" t="str">
            <v>Normal</v>
          </cell>
          <cell r="M138" t="str">
            <v>USA</v>
          </cell>
          <cell r="N138" t="str">
            <v>Welch Allyn</v>
          </cell>
          <cell r="O138" t="str">
            <v>Welch Allyn 97150-BIM</v>
          </cell>
          <cell r="P138" t="str">
            <v>N/A</v>
          </cell>
          <cell r="Q138" t="str">
            <v>Not Applicable</v>
          </cell>
          <cell r="R138" t="str">
            <v>Welch Allyn Inc</v>
          </cell>
          <cell r="S138" t="str">
            <v>Welch Allyn Malaysia Sdn Bhd</v>
          </cell>
          <cell r="T138" t="str">
            <v>Functioning</v>
          </cell>
          <cell r="U138" t="str">
            <v>Asset</v>
          </cell>
          <cell r="V138">
            <v>4690</v>
          </cell>
          <cell r="W138" t="str">
            <v>KEW</v>
          </cell>
          <cell r="X138" t="str">
            <v>01/09/2010</v>
          </cell>
          <cell r="Y138" t="str">
            <v>KEW</v>
          </cell>
          <cell r="Z138" t="str">
            <v>16/08/2013</v>
          </cell>
          <cell r="AA138" t="str">
            <v>15/08/2015</v>
          </cell>
          <cell r="AB138" t="str">
            <v>No</v>
          </cell>
          <cell r="AC138" t="str">
            <v>31/08/2013</v>
          </cell>
          <cell r="AD138" t="str">
            <v>Good</v>
          </cell>
          <cell r="AE138" t="str">
            <v>V1 - Existing / No Claim</v>
          </cell>
          <cell r="AF138">
            <v>42235</v>
          </cell>
          <cell r="AG138">
            <v>9.17</v>
          </cell>
          <cell r="AH138" t="str">
            <v>RI</v>
          </cell>
          <cell r="AI138" t="str">
            <v>Not in contract</v>
          </cell>
          <cell r="AJ138" t="str">
            <v>Not under maintenance</v>
          </cell>
          <cell r="AK138" t="str">
            <v>Will be under V4. Taken out of contract as agreed by IKN</v>
          </cell>
        </row>
        <row r="139">
          <cell r="A139" t="str">
            <v>IKN401114</v>
          </cell>
          <cell r="B139">
            <v>1112</v>
          </cell>
          <cell r="C139" t="str">
            <v>Institut Kanser Negara</v>
          </cell>
          <cell r="D139" t="e">
            <v>#N/A</v>
          </cell>
          <cell r="E139" t="str">
            <v>16-158</v>
          </cell>
          <cell r="F139" t="str">
            <v>Sphygmomanometers, Mercury</v>
          </cell>
          <cell r="G139" t="str">
            <v>AE</v>
          </cell>
          <cell r="H139" t="str">
            <v>EMERGENCY UNIT</v>
          </cell>
          <cell r="I139" t="str">
            <v>01AE118</v>
          </cell>
          <cell r="J139" t="str">
            <v>RESUSCITATION TREATMENT 1</v>
          </cell>
          <cell r="K139" t="str">
            <v>BMED</v>
          </cell>
          <cell r="L139" t="str">
            <v>Normal</v>
          </cell>
          <cell r="M139" t="str">
            <v>Germany</v>
          </cell>
          <cell r="N139" t="str">
            <v>Erka</v>
          </cell>
          <cell r="O139" t="str">
            <v>Erkameter 3000</v>
          </cell>
          <cell r="P139" t="str">
            <v>13500745</v>
          </cell>
          <cell r="Q139" t="str">
            <v>Not Applicable</v>
          </cell>
          <cell r="R139" t="str">
            <v>Erka GmbH &amp; Co</v>
          </cell>
          <cell r="S139" t="str">
            <v>Acucare Systems (M) Sdn bhd</v>
          </cell>
          <cell r="T139" t="str">
            <v>Functioning</v>
          </cell>
          <cell r="U139" t="str">
            <v>Asset</v>
          </cell>
          <cell r="V139">
            <v>505</v>
          </cell>
          <cell r="W139" t="str">
            <v>KEW</v>
          </cell>
          <cell r="X139" t="str">
            <v>01/09/2010</v>
          </cell>
          <cell r="Y139" t="str">
            <v>KEW</v>
          </cell>
          <cell r="Z139" t="str">
            <v>16/08/2013</v>
          </cell>
          <cell r="AA139" t="str">
            <v>15/08/2015</v>
          </cell>
          <cell r="AB139" t="str">
            <v>No</v>
          </cell>
          <cell r="AC139" t="str">
            <v>31/08/2013</v>
          </cell>
          <cell r="AD139" t="str">
            <v>Good</v>
          </cell>
          <cell r="AE139" t="str">
            <v>V4 - Decommissioned Installed Facility</v>
          </cell>
          <cell r="AF139">
            <v>42235</v>
          </cell>
          <cell r="AG139">
            <v>9.17</v>
          </cell>
          <cell r="AH139" t="str">
            <v>PPM</v>
          </cell>
          <cell r="AI139" t="str">
            <v>Not in contract</v>
          </cell>
          <cell r="AJ139" t="str">
            <v>Not under maintenance</v>
          </cell>
          <cell r="AK139" t="e">
            <v>#N/A</v>
          </cell>
        </row>
        <row r="140">
          <cell r="A140" t="str">
            <v>IKN401115</v>
          </cell>
          <cell r="B140">
            <v>1113</v>
          </cell>
          <cell r="C140" t="str">
            <v>Institut Kanser Negara</v>
          </cell>
          <cell r="D140" t="e">
            <v>#N/A</v>
          </cell>
          <cell r="E140" t="str">
            <v>16-158</v>
          </cell>
          <cell r="F140" t="str">
            <v>Sphygmomanometers, Mercury</v>
          </cell>
          <cell r="G140" t="str">
            <v>AE</v>
          </cell>
          <cell r="H140" t="str">
            <v>EMERGENCY UNIT</v>
          </cell>
          <cell r="I140" t="str">
            <v>01AE119</v>
          </cell>
          <cell r="J140" t="str">
            <v>RESUSCITATION/TREATMENT</v>
          </cell>
          <cell r="K140" t="str">
            <v>BMED</v>
          </cell>
          <cell r="L140" t="str">
            <v>Normal</v>
          </cell>
          <cell r="M140" t="str">
            <v>Germany</v>
          </cell>
          <cell r="N140" t="str">
            <v>Erka</v>
          </cell>
          <cell r="O140" t="str">
            <v>Erkameter 3000</v>
          </cell>
          <cell r="P140" t="str">
            <v>13500762</v>
          </cell>
          <cell r="Q140" t="str">
            <v>Not Applicable</v>
          </cell>
          <cell r="R140" t="str">
            <v>Erka GmbH &amp; Co</v>
          </cell>
          <cell r="S140" t="str">
            <v>Acucare Systems (M) Sdn bhd</v>
          </cell>
          <cell r="T140" t="str">
            <v>Functioning</v>
          </cell>
          <cell r="U140" t="str">
            <v>Asset</v>
          </cell>
          <cell r="V140">
            <v>505</v>
          </cell>
          <cell r="W140" t="str">
            <v>KEW</v>
          </cell>
          <cell r="X140" t="str">
            <v>01/09/2010</v>
          </cell>
          <cell r="Y140" t="str">
            <v>KEW</v>
          </cell>
          <cell r="Z140" t="str">
            <v>16/08/2013</v>
          </cell>
          <cell r="AA140" t="str">
            <v>15/08/2015</v>
          </cell>
          <cell r="AB140" t="str">
            <v>No</v>
          </cell>
          <cell r="AC140" t="str">
            <v>31/08/2013</v>
          </cell>
          <cell r="AD140" t="str">
            <v>Good</v>
          </cell>
          <cell r="AE140" t="str">
            <v>V4 - Decommissioned Installed Facility</v>
          </cell>
          <cell r="AF140">
            <v>42235</v>
          </cell>
          <cell r="AG140">
            <v>9.17</v>
          </cell>
          <cell r="AH140" t="str">
            <v>PPM</v>
          </cell>
          <cell r="AI140" t="str">
            <v>Not in contract</v>
          </cell>
          <cell r="AJ140" t="str">
            <v>Not under maintenance</v>
          </cell>
          <cell r="AK140" t="e">
            <v>#N/A</v>
          </cell>
        </row>
        <row r="141">
          <cell r="A141" t="str">
            <v>IKN401132</v>
          </cell>
          <cell r="B141">
            <v>1130</v>
          </cell>
          <cell r="C141" t="str">
            <v>Institut Kanser Negara</v>
          </cell>
          <cell r="D141" t="e">
            <v>#N/A</v>
          </cell>
          <cell r="E141" t="str">
            <v>18-595</v>
          </cell>
          <cell r="F141" t="str">
            <v>Ophthalmoscopes/Otoscopes</v>
          </cell>
          <cell r="G141" t="str">
            <v>AE</v>
          </cell>
          <cell r="H141" t="str">
            <v>EMERGENCY UNIT</v>
          </cell>
          <cell r="I141" t="str">
            <v>01AE106</v>
          </cell>
          <cell r="J141" t="str">
            <v>C/E ROOM</v>
          </cell>
          <cell r="K141" t="str">
            <v>BMED</v>
          </cell>
          <cell r="L141" t="str">
            <v>Normal</v>
          </cell>
          <cell r="M141" t="str">
            <v>USA</v>
          </cell>
          <cell r="N141" t="str">
            <v>Welch Allyn</v>
          </cell>
          <cell r="O141" t="str">
            <v>Welch Allyn 71904</v>
          </cell>
          <cell r="P141" t="str">
            <v>N/A</v>
          </cell>
          <cell r="Q141" t="str">
            <v>Not Applicable</v>
          </cell>
          <cell r="R141" t="str">
            <v>Welch Allyn Inc</v>
          </cell>
          <cell r="S141" t="str">
            <v>Welch Allyn Malaysia Sdn Bhd</v>
          </cell>
          <cell r="T141" t="str">
            <v>Functioning</v>
          </cell>
          <cell r="U141" t="str">
            <v>Asset</v>
          </cell>
          <cell r="V141">
            <v>4690</v>
          </cell>
          <cell r="W141" t="str">
            <v>KEW</v>
          </cell>
          <cell r="X141" t="str">
            <v>01/09/2010</v>
          </cell>
          <cell r="Y141" t="str">
            <v>KEW</v>
          </cell>
          <cell r="Z141" t="str">
            <v>16/08/2013</v>
          </cell>
          <cell r="AA141" t="str">
            <v>15/08/2015</v>
          </cell>
          <cell r="AB141" t="str">
            <v>No</v>
          </cell>
          <cell r="AC141" t="str">
            <v>31/08/2013</v>
          </cell>
          <cell r="AD141" t="str">
            <v>Good</v>
          </cell>
          <cell r="AE141" t="str">
            <v>V1 - Existing / No Claim</v>
          </cell>
          <cell r="AF141">
            <v>42235</v>
          </cell>
          <cell r="AG141">
            <v>9.17</v>
          </cell>
          <cell r="AH141" t="str">
            <v>RI</v>
          </cell>
          <cell r="AI141" t="str">
            <v>Not in contract</v>
          </cell>
          <cell r="AJ141" t="str">
            <v>Not under maintenance</v>
          </cell>
          <cell r="AK141" t="str">
            <v>Will be under V4. Taken out of contract as agreed by IKN</v>
          </cell>
        </row>
        <row r="142">
          <cell r="A142" t="str">
            <v>IKN401153</v>
          </cell>
          <cell r="B142">
            <v>1151</v>
          </cell>
          <cell r="C142" t="str">
            <v>Institut Kanser Negara</v>
          </cell>
          <cell r="D142" t="e">
            <v>#N/A</v>
          </cell>
          <cell r="E142" t="str">
            <v>18-595</v>
          </cell>
          <cell r="F142" t="str">
            <v>Ophthalmoscopes/Otoscopes</v>
          </cell>
          <cell r="G142" t="str">
            <v>OC</v>
          </cell>
          <cell r="H142" t="str">
            <v>ONCOLOGY CLINIC</v>
          </cell>
          <cell r="I142" t="str">
            <v>03OC104</v>
          </cell>
          <cell r="J142" t="str">
            <v>C/E 7</v>
          </cell>
          <cell r="K142" t="str">
            <v>BMED</v>
          </cell>
          <cell r="L142" t="str">
            <v>Normal</v>
          </cell>
          <cell r="M142" t="str">
            <v>USA</v>
          </cell>
          <cell r="N142" t="str">
            <v>Welch Allyn</v>
          </cell>
          <cell r="O142" t="str">
            <v>Welch Allyn 71904</v>
          </cell>
          <cell r="P142" t="str">
            <v>GD0019-39</v>
          </cell>
          <cell r="Q142" t="str">
            <v>Not Applicable</v>
          </cell>
          <cell r="R142" t="str">
            <v>Welch Allyn Inc</v>
          </cell>
          <cell r="S142" t="str">
            <v>Welch Allyn Malaysia Sdn Bhd</v>
          </cell>
          <cell r="T142" t="str">
            <v>Functioning</v>
          </cell>
          <cell r="U142" t="str">
            <v>Asset</v>
          </cell>
          <cell r="V142">
            <v>4690</v>
          </cell>
          <cell r="W142" t="str">
            <v>KEW</v>
          </cell>
          <cell r="X142" t="str">
            <v>01/09/2010</v>
          </cell>
          <cell r="Y142" t="str">
            <v>KEW</v>
          </cell>
          <cell r="Z142" t="str">
            <v>16/08/2013</v>
          </cell>
          <cell r="AA142" t="str">
            <v>15/08/2015</v>
          </cell>
          <cell r="AB142" t="str">
            <v>No</v>
          </cell>
          <cell r="AC142" t="str">
            <v>31/08/2013</v>
          </cell>
          <cell r="AD142" t="str">
            <v>Good</v>
          </cell>
          <cell r="AE142" t="str">
            <v>V1 - Existing / No Claim</v>
          </cell>
          <cell r="AF142">
            <v>42797</v>
          </cell>
          <cell r="AG142">
            <v>9.17</v>
          </cell>
          <cell r="AH142" t="str">
            <v>RI</v>
          </cell>
          <cell r="AI142" t="str">
            <v>Not in contract</v>
          </cell>
          <cell r="AJ142" t="str">
            <v>Not under maintenance</v>
          </cell>
          <cell r="AK142" t="str">
            <v>Will be under V4. Taken out of contract as agreed by IKN</v>
          </cell>
        </row>
        <row r="143">
          <cell r="A143" t="str">
            <v>IKN401154</v>
          </cell>
          <cell r="B143">
            <v>1152</v>
          </cell>
          <cell r="C143" t="str">
            <v>Institut Kanser Negara</v>
          </cell>
          <cell r="D143" t="str">
            <v>KKM/IKN/H/13/1625</v>
          </cell>
          <cell r="E143" t="str">
            <v>18-595</v>
          </cell>
          <cell r="F143" t="str">
            <v>Ophthalmoscopes/Otoscopes</v>
          </cell>
          <cell r="G143" t="str">
            <v>OC</v>
          </cell>
          <cell r="H143" t="str">
            <v>ONCOLOGY CLINIC</v>
          </cell>
          <cell r="I143" t="str">
            <v>03OC105</v>
          </cell>
          <cell r="J143" t="str">
            <v>C/E 8</v>
          </cell>
          <cell r="K143" t="str">
            <v>BMED</v>
          </cell>
          <cell r="L143" t="str">
            <v>Normal</v>
          </cell>
          <cell r="M143" t="str">
            <v>USA</v>
          </cell>
          <cell r="N143" t="str">
            <v>Welch Allyn</v>
          </cell>
          <cell r="O143" t="str">
            <v>Welch Allyn 71904</v>
          </cell>
          <cell r="P143" t="str">
            <v>GD0019-24</v>
          </cell>
          <cell r="Q143" t="str">
            <v>Not Applicable</v>
          </cell>
          <cell r="R143" t="str">
            <v>Welch Allyn Inc</v>
          </cell>
          <cell r="S143" t="str">
            <v>Welch Allyn Malaysia Sdn Bhd</v>
          </cell>
          <cell r="T143" t="str">
            <v>Functioning</v>
          </cell>
          <cell r="U143" t="str">
            <v>Asset</v>
          </cell>
          <cell r="V143">
            <v>4690</v>
          </cell>
          <cell r="W143" t="str">
            <v>KEW</v>
          </cell>
          <cell r="X143" t="str">
            <v>01/09/2010</v>
          </cell>
          <cell r="Y143" t="str">
            <v>KEW</v>
          </cell>
          <cell r="Z143" t="str">
            <v>16/08/2013</v>
          </cell>
          <cell r="AA143" t="str">
            <v>15/08/2015</v>
          </cell>
          <cell r="AB143" t="str">
            <v>No</v>
          </cell>
          <cell r="AC143" t="str">
            <v>31/08/2013</v>
          </cell>
          <cell r="AD143" t="str">
            <v>Good</v>
          </cell>
          <cell r="AE143" t="str">
            <v>V1 - Existing / No Claim</v>
          </cell>
          <cell r="AF143">
            <v>42802</v>
          </cell>
          <cell r="AG143">
            <v>9.17</v>
          </cell>
          <cell r="AH143" t="str">
            <v>RI</v>
          </cell>
          <cell r="AI143" t="str">
            <v>Strands</v>
          </cell>
          <cell r="AJ143" t="str">
            <v>Not under maintenance</v>
          </cell>
        </row>
        <row r="144">
          <cell r="A144" t="str">
            <v>IKN401155</v>
          </cell>
          <cell r="B144">
            <v>1153</v>
          </cell>
          <cell r="C144" t="str">
            <v>Institut Kanser Negara</v>
          </cell>
          <cell r="D144" t="e">
            <v>#N/A</v>
          </cell>
          <cell r="E144" t="str">
            <v>18-595</v>
          </cell>
          <cell r="F144" t="str">
            <v>Ophthalmoscopes/Otoscopes</v>
          </cell>
          <cell r="G144" t="str">
            <v>OC</v>
          </cell>
          <cell r="H144" t="str">
            <v>ONCOLOGY CLINIC</v>
          </cell>
          <cell r="I144" t="str">
            <v>03OC106</v>
          </cell>
          <cell r="J144" t="str">
            <v>C/E 9</v>
          </cell>
          <cell r="K144" t="str">
            <v>BMED</v>
          </cell>
          <cell r="L144" t="str">
            <v>Normal</v>
          </cell>
          <cell r="M144" t="str">
            <v>USA</v>
          </cell>
          <cell r="N144" t="str">
            <v>Welch Allyn</v>
          </cell>
          <cell r="O144" t="str">
            <v>Welch Allyn 71904</v>
          </cell>
          <cell r="P144" t="str">
            <v>GD0019-25</v>
          </cell>
          <cell r="Q144" t="str">
            <v>Not Applicable</v>
          </cell>
          <cell r="R144" t="str">
            <v>Welch Allyn Inc</v>
          </cell>
          <cell r="S144" t="str">
            <v>Welch Allyn Malaysia Sdn Bhd</v>
          </cell>
          <cell r="T144" t="str">
            <v>Functioning</v>
          </cell>
          <cell r="U144" t="str">
            <v>Asset</v>
          </cell>
          <cell r="V144">
            <v>4690</v>
          </cell>
          <cell r="W144" t="str">
            <v>KEW</v>
          </cell>
          <cell r="X144" t="str">
            <v>01/09/2010</v>
          </cell>
          <cell r="Y144" t="str">
            <v>KEW</v>
          </cell>
          <cell r="Z144" t="str">
            <v>16/08/2013</v>
          </cell>
          <cell r="AA144" t="str">
            <v>15/08/2015</v>
          </cell>
          <cell r="AB144" t="str">
            <v>No</v>
          </cell>
          <cell r="AC144" t="str">
            <v>31/08/2013</v>
          </cell>
          <cell r="AD144" t="str">
            <v>Good</v>
          </cell>
          <cell r="AE144" t="str">
            <v>V1 - Existing / No Claim</v>
          </cell>
          <cell r="AF144">
            <v>42802</v>
          </cell>
          <cell r="AG144">
            <v>9.17</v>
          </cell>
          <cell r="AH144" t="str">
            <v>RI</v>
          </cell>
          <cell r="AI144" t="str">
            <v>Not in contract</v>
          </cell>
          <cell r="AJ144" t="str">
            <v>Not under maintenance</v>
          </cell>
          <cell r="AK144" t="str">
            <v>Will be under V4. Taken out of contract as agreed by IKN</v>
          </cell>
        </row>
        <row r="145">
          <cell r="A145" t="str">
            <v>IKN401156</v>
          </cell>
          <cell r="B145">
            <v>1154</v>
          </cell>
          <cell r="C145" t="str">
            <v>Institut Kanser Negara</v>
          </cell>
          <cell r="D145" t="str">
            <v>KKM/IKN/H/13/1627</v>
          </cell>
          <cell r="E145" t="str">
            <v>18-595</v>
          </cell>
          <cell r="F145" t="str">
            <v>Ophthalmoscopes/Otoscopes</v>
          </cell>
          <cell r="G145" t="str">
            <v>OC</v>
          </cell>
          <cell r="H145" t="str">
            <v>ONCOLOGY CLINIC</v>
          </cell>
          <cell r="I145" t="str">
            <v>03OC107</v>
          </cell>
          <cell r="J145" t="str">
            <v>C/E 10</v>
          </cell>
          <cell r="K145" t="str">
            <v>BMED</v>
          </cell>
          <cell r="L145" t="str">
            <v>Normal</v>
          </cell>
          <cell r="M145" t="str">
            <v>USA</v>
          </cell>
          <cell r="N145" t="str">
            <v>Welch Allyn</v>
          </cell>
          <cell r="O145" t="str">
            <v>Welch Allyn 71904</v>
          </cell>
          <cell r="P145" t="str">
            <v>GD0019-26</v>
          </cell>
          <cell r="Q145" t="str">
            <v>Not Applicable</v>
          </cell>
          <cell r="R145" t="str">
            <v>Welch Allyn Inc</v>
          </cell>
          <cell r="S145" t="str">
            <v>Welch Allyn Malaysia Sdn Bhd</v>
          </cell>
          <cell r="T145" t="str">
            <v>Functioning</v>
          </cell>
          <cell r="U145" t="str">
            <v>Asset</v>
          </cell>
          <cell r="V145">
            <v>4690</v>
          </cell>
          <cell r="W145" t="str">
            <v>KEW</v>
          </cell>
          <cell r="X145" t="str">
            <v>01/09/2010</v>
          </cell>
          <cell r="Y145" t="str">
            <v>KEW</v>
          </cell>
          <cell r="Z145" t="str">
            <v>16/08/2013</v>
          </cell>
          <cell r="AA145" t="str">
            <v>15/08/2015</v>
          </cell>
          <cell r="AB145" t="str">
            <v>No</v>
          </cell>
          <cell r="AC145" t="str">
            <v>31/08/2013</v>
          </cell>
          <cell r="AD145" t="str">
            <v>Good</v>
          </cell>
          <cell r="AE145" t="str">
            <v>V1 - Existing / No Claim</v>
          </cell>
          <cell r="AF145">
            <v>42802</v>
          </cell>
          <cell r="AG145">
            <v>9.17</v>
          </cell>
          <cell r="AH145" t="str">
            <v>RI</v>
          </cell>
          <cell r="AI145" t="str">
            <v>Strands</v>
          </cell>
          <cell r="AJ145" t="str">
            <v>Not under maintenance</v>
          </cell>
        </row>
        <row r="146">
          <cell r="A146" t="str">
            <v>IKN401157</v>
          </cell>
          <cell r="B146">
            <v>1155</v>
          </cell>
          <cell r="C146" t="str">
            <v>Institut Kanser Negara</v>
          </cell>
          <cell r="D146" t="str">
            <v>KKM/IKN/H/13/1617</v>
          </cell>
          <cell r="E146" t="str">
            <v>18-595</v>
          </cell>
          <cell r="F146" t="str">
            <v>Ophthalmoscopes/Otoscopes</v>
          </cell>
          <cell r="G146" t="str">
            <v>OC</v>
          </cell>
          <cell r="H146" t="str">
            <v>ONCOLOGY CLINIC</v>
          </cell>
          <cell r="I146" t="str">
            <v>03OC108</v>
          </cell>
          <cell r="J146" t="str">
            <v>C/E 11</v>
          </cell>
          <cell r="K146" t="str">
            <v>BMED</v>
          </cell>
          <cell r="L146" t="str">
            <v>Normal</v>
          </cell>
          <cell r="M146" t="str">
            <v>USA</v>
          </cell>
          <cell r="N146" t="str">
            <v>Welch Allyn</v>
          </cell>
          <cell r="O146" t="str">
            <v>Welch Allyn 71904</v>
          </cell>
          <cell r="P146" t="str">
            <v>GD0019-27</v>
          </cell>
          <cell r="Q146" t="str">
            <v>Not Applicable</v>
          </cell>
          <cell r="R146" t="str">
            <v>Welch Allyn Inc</v>
          </cell>
          <cell r="S146" t="str">
            <v>Welch Allyn Malaysia Sdn Bhd</v>
          </cell>
          <cell r="T146" t="str">
            <v>Functioning</v>
          </cell>
          <cell r="U146" t="str">
            <v>Asset</v>
          </cell>
          <cell r="V146">
            <v>4690</v>
          </cell>
          <cell r="W146" t="str">
            <v>KEW</v>
          </cell>
          <cell r="X146" t="str">
            <v>01/09/2010</v>
          </cell>
          <cell r="Y146" t="str">
            <v>KEW</v>
          </cell>
          <cell r="Z146" t="str">
            <v>16/08/2013</v>
          </cell>
          <cell r="AA146" t="str">
            <v>15/08/2015</v>
          </cell>
          <cell r="AB146" t="str">
            <v>No</v>
          </cell>
          <cell r="AC146" t="str">
            <v>31/08/2013</v>
          </cell>
          <cell r="AD146" t="str">
            <v>Good</v>
          </cell>
          <cell r="AE146" t="str">
            <v>V1 - Existing / No Claim</v>
          </cell>
          <cell r="AF146">
            <v>42802</v>
          </cell>
          <cell r="AG146">
            <v>9.17</v>
          </cell>
          <cell r="AH146" t="str">
            <v>RI</v>
          </cell>
          <cell r="AI146" t="str">
            <v>Strands</v>
          </cell>
          <cell r="AJ146" t="str">
            <v>Not under maintenance</v>
          </cell>
        </row>
        <row r="147">
          <cell r="A147" t="str">
            <v>IKN401158</v>
          </cell>
          <cell r="B147">
            <v>1156</v>
          </cell>
          <cell r="C147" t="str">
            <v>Institut Kanser Negara</v>
          </cell>
          <cell r="D147" t="e">
            <v>#N/A</v>
          </cell>
          <cell r="E147" t="str">
            <v>18-595</v>
          </cell>
          <cell r="F147" t="str">
            <v>Ophthalmoscopes/Otoscopes</v>
          </cell>
          <cell r="G147" t="str">
            <v>OC</v>
          </cell>
          <cell r="H147" t="str">
            <v>ONCOLOGY CLINIC</v>
          </cell>
          <cell r="I147" t="str">
            <v>03OC109</v>
          </cell>
          <cell r="J147" t="str">
            <v>C/E 1 (VIP)</v>
          </cell>
          <cell r="K147" t="str">
            <v>BMED</v>
          </cell>
          <cell r="L147" t="str">
            <v>Normal</v>
          </cell>
          <cell r="M147" t="str">
            <v>USA</v>
          </cell>
          <cell r="N147" t="str">
            <v>Welch Allyn</v>
          </cell>
          <cell r="O147" t="str">
            <v>Welch Allyn 71904</v>
          </cell>
          <cell r="P147" t="str">
            <v>GD0019-11</v>
          </cell>
          <cell r="Q147" t="str">
            <v>Not Applicable</v>
          </cell>
          <cell r="R147" t="str">
            <v>Welch Allyn Inc</v>
          </cell>
          <cell r="S147" t="str">
            <v>Welch Allyn Malaysia Sdn Bhd</v>
          </cell>
          <cell r="T147" t="str">
            <v>Functioning</v>
          </cell>
          <cell r="U147" t="str">
            <v>Asset</v>
          </cell>
          <cell r="V147">
            <v>4690</v>
          </cell>
          <cell r="W147" t="str">
            <v>KEW</v>
          </cell>
          <cell r="X147" t="str">
            <v>01/09/2010</v>
          </cell>
          <cell r="Y147" t="str">
            <v>KEW</v>
          </cell>
          <cell r="Z147" t="str">
            <v>16/08/2013</v>
          </cell>
          <cell r="AA147" t="str">
            <v>15/08/2015</v>
          </cell>
          <cell r="AB147" t="str">
            <v>No</v>
          </cell>
          <cell r="AC147" t="str">
            <v>31/08/2013</v>
          </cell>
          <cell r="AD147" t="str">
            <v>Good</v>
          </cell>
          <cell r="AE147" t="str">
            <v>V1 - Existing / No Claim</v>
          </cell>
          <cell r="AF147">
            <v>42802</v>
          </cell>
          <cell r="AG147">
            <v>9.17</v>
          </cell>
          <cell r="AH147" t="str">
            <v>RI</v>
          </cell>
          <cell r="AI147" t="str">
            <v>Not in contract</v>
          </cell>
          <cell r="AJ147" t="str">
            <v>Not under maintenance</v>
          </cell>
          <cell r="AK147" t="str">
            <v>Will be under V4. Taken out of contract as agreed by IKN</v>
          </cell>
        </row>
        <row r="148">
          <cell r="A148" t="str">
            <v>IKN401201</v>
          </cell>
          <cell r="B148">
            <v>1199</v>
          </cell>
          <cell r="C148" t="str">
            <v>Institut Kanser Negara</v>
          </cell>
          <cell r="D148" t="e">
            <v>#N/A</v>
          </cell>
          <cell r="E148" t="str">
            <v>15-076</v>
          </cell>
          <cell r="F148" t="str">
            <v>Laryngoscopes, Rigid</v>
          </cell>
          <cell r="G148" t="str">
            <v>WJ</v>
          </cell>
          <cell r="H148" t="str">
            <v>MULTIDISCIPLINE WARD 1</v>
          </cell>
          <cell r="I148" t="str">
            <v>09WJ126</v>
          </cell>
          <cell r="J148" t="str">
            <v>EQUIPT. ROOM</v>
          </cell>
          <cell r="K148" t="str">
            <v>BMED</v>
          </cell>
          <cell r="L148" t="str">
            <v>Normal</v>
          </cell>
          <cell r="M148" t="str">
            <v>Not Available</v>
          </cell>
          <cell r="N148" t="str">
            <v>Not Available</v>
          </cell>
          <cell r="O148" t="str">
            <v>Not Available</v>
          </cell>
          <cell r="P148" t="str">
            <v>Not Available</v>
          </cell>
          <cell r="Q148" t="str">
            <v>Not Available</v>
          </cell>
          <cell r="R148" t="str">
            <v>Not Available</v>
          </cell>
          <cell r="S148" t="str">
            <v>ANTAH SRI RADIN SDN BHD</v>
          </cell>
          <cell r="T148" t="str">
            <v>Functioning</v>
          </cell>
          <cell r="U148" t="str">
            <v>Asset</v>
          </cell>
          <cell r="V148">
            <v>4000</v>
          </cell>
          <cell r="W148" t="str">
            <v>Estimate</v>
          </cell>
          <cell r="X148" t="str">
            <v>01/09/2010</v>
          </cell>
          <cell r="Y148" t="str">
            <v>Estimate</v>
          </cell>
          <cell r="Z148" t="str">
            <v>16/08/2013</v>
          </cell>
          <cell r="AA148" t="str">
            <v>15/08/2015</v>
          </cell>
          <cell r="AB148" t="str">
            <v>No</v>
          </cell>
          <cell r="AC148" t="str">
            <v>31/08/2013</v>
          </cell>
          <cell r="AD148" t="str">
            <v>Good</v>
          </cell>
          <cell r="AE148" t="str">
            <v>V4 - Decommissioned Installed Facility</v>
          </cell>
          <cell r="AF148">
            <v>42387</v>
          </cell>
          <cell r="AG148">
            <v>9.17</v>
          </cell>
          <cell r="AH148" t="str">
            <v>RI</v>
          </cell>
          <cell r="AI148" t="str">
            <v>Not in contract</v>
          </cell>
          <cell r="AJ148" t="str">
            <v>Not under maintenance</v>
          </cell>
          <cell r="AK148" t="str">
            <v>Will be under V4. Taken out of contract as agreed by IKN</v>
          </cell>
        </row>
        <row r="149">
          <cell r="A149" t="str">
            <v>IKN401202</v>
          </cell>
          <cell r="B149">
            <v>1200</v>
          </cell>
          <cell r="C149" t="str">
            <v>Institut Kanser Negara</v>
          </cell>
          <cell r="D149" t="e">
            <v>#N/A</v>
          </cell>
          <cell r="E149" t="str">
            <v>15-076</v>
          </cell>
          <cell r="F149" t="str">
            <v>Laryngoscopes, Rigid</v>
          </cell>
          <cell r="G149" t="str">
            <v>WJ</v>
          </cell>
          <cell r="H149" t="str">
            <v>MULTIDISCIPLINE WARD 1</v>
          </cell>
          <cell r="I149" t="str">
            <v>09WJ126</v>
          </cell>
          <cell r="J149" t="str">
            <v>EQUIPT. ROOM</v>
          </cell>
          <cell r="K149" t="str">
            <v>BMED</v>
          </cell>
          <cell r="L149" t="str">
            <v>Normal</v>
          </cell>
          <cell r="M149" t="str">
            <v>Not Available</v>
          </cell>
          <cell r="N149" t="str">
            <v>Not Available</v>
          </cell>
          <cell r="O149" t="str">
            <v>Not Available</v>
          </cell>
          <cell r="P149" t="str">
            <v>Not Available</v>
          </cell>
          <cell r="Q149" t="str">
            <v>Not Available</v>
          </cell>
          <cell r="R149" t="str">
            <v>Not Available</v>
          </cell>
          <cell r="S149" t="str">
            <v>ANTAH SRI RADIN SDN BHD</v>
          </cell>
          <cell r="T149" t="str">
            <v>Functioning</v>
          </cell>
          <cell r="U149" t="str">
            <v>Asset</v>
          </cell>
          <cell r="V149">
            <v>4000</v>
          </cell>
          <cell r="W149" t="str">
            <v>Estimate</v>
          </cell>
          <cell r="X149" t="str">
            <v>01/09/2010</v>
          </cell>
          <cell r="Y149" t="str">
            <v>Estimate</v>
          </cell>
          <cell r="Z149" t="str">
            <v>16/08/2013</v>
          </cell>
          <cell r="AA149" t="str">
            <v>15/08/2015</v>
          </cell>
          <cell r="AB149" t="str">
            <v>No</v>
          </cell>
          <cell r="AC149" t="str">
            <v>31/08/2013</v>
          </cell>
          <cell r="AD149" t="str">
            <v>Good</v>
          </cell>
          <cell r="AE149" t="str">
            <v>V4 - Decommissioned Installed Facility</v>
          </cell>
          <cell r="AF149">
            <v>42387</v>
          </cell>
          <cell r="AG149">
            <v>9.17</v>
          </cell>
          <cell r="AH149" t="str">
            <v>RI</v>
          </cell>
          <cell r="AI149" t="str">
            <v>Not in contract</v>
          </cell>
          <cell r="AJ149" t="str">
            <v>Not under maintenance</v>
          </cell>
          <cell r="AK149" t="str">
            <v>Will be under V4. Taken out of contract as agreed by IKN</v>
          </cell>
        </row>
        <row r="150">
          <cell r="A150" t="str">
            <v>IKN401203</v>
          </cell>
          <cell r="B150">
            <v>1201</v>
          </cell>
          <cell r="C150" t="str">
            <v>Institut Kanser Negara</v>
          </cell>
          <cell r="D150" t="e">
            <v>#N/A</v>
          </cell>
          <cell r="E150" t="str">
            <v>18-595</v>
          </cell>
          <cell r="F150" t="str">
            <v>Ophthalmoscopes/Otoscopes</v>
          </cell>
          <cell r="G150" t="str">
            <v>WJ</v>
          </cell>
          <cell r="H150" t="str">
            <v>MULTIDISCIPLINE WARD 1</v>
          </cell>
          <cell r="I150" t="str">
            <v>09WJ126</v>
          </cell>
          <cell r="J150" t="str">
            <v>EQUIPT. ROOM</v>
          </cell>
          <cell r="K150" t="str">
            <v>BMED</v>
          </cell>
          <cell r="L150" t="str">
            <v>Normal</v>
          </cell>
          <cell r="M150" t="str">
            <v>USA</v>
          </cell>
          <cell r="N150" t="str">
            <v>Welch Allyn</v>
          </cell>
          <cell r="O150" t="str">
            <v>Welch Allyn 97150-BIM</v>
          </cell>
          <cell r="P150" t="str">
            <v>N/A</v>
          </cell>
          <cell r="Q150" t="str">
            <v>Not Applicable</v>
          </cell>
          <cell r="R150" t="str">
            <v>Welch Allyn Inc</v>
          </cell>
          <cell r="S150" t="str">
            <v>Welch Allyn Malaysia Sdn Bhd</v>
          </cell>
          <cell r="T150" t="str">
            <v>Functioning</v>
          </cell>
          <cell r="U150" t="str">
            <v>Asset</v>
          </cell>
          <cell r="V150">
            <v>4690</v>
          </cell>
          <cell r="W150" t="str">
            <v>KEW</v>
          </cell>
          <cell r="X150" t="str">
            <v>01/09/2010</v>
          </cell>
          <cell r="Y150" t="str">
            <v>KEW</v>
          </cell>
          <cell r="Z150" t="str">
            <v>16/08/2013</v>
          </cell>
          <cell r="AA150" t="str">
            <v>15/08/2015</v>
          </cell>
          <cell r="AB150" t="str">
            <v>No</v>
          </cell>
          <cell r="AC150" t="str">
            <v>31/08/2013</v>
          </cell>
          <cell r="AD150" t="str">
            <v>Good</v>
          </cell>
          <cell r="AE150" t="str">
            <v>V1 - Existing / No Claim</v>
          </cell>
          <cell r="AF150">
            <v>42235</v>
          </cell>
          <cell r="AG150">
            <v>9.17</v>
          </cell>
          <cell r="AH150" t="str">
            <v>RI</v>
          </cell>
          <cell r="AI150" t="str">
            <v>not in contract</v>
          </cell>
          <cell r="AJ150" t="str">
            <v>Not under maintenance</v>
          </cell>
          <cell r="AK150" t="str">
            <v>Will be under V4. Taken out of contract as agreed by IKN</v>
          </cell>
        </row>
        <row r="151">
          <cell r="A151" t="str">
            <v>IKN401204</v>
          </cell>
          <cell r="B151">
            <v>1202</v>
          </cell>
          <cell r="C151" t="str">
            <v>Institut Kanser Negara</v>
          </cell>
          <cell r="D151" t="e">
            <v>#N/A</v>
          </cell>
          <cell r="E151" t="str">
            <v>15-076</v>
          </cell>
          <cell r="F151" t="str">
            <v>Laryngoscopes, Rigid</v>
          </cell>
          <cell r="G151" t="str">
            <v>WJ</v>
          </cell>
          <cell r="H151" t="str">
            <v>MULTIDISCIPLINE WARD 1</v>
          </cell>
          <cell r="I151" t="str">
            <v>09WJ126</v>
          </cell>
          <cell r="J151" t="str">
            <v>EQUIPT. ROOM</v>
          </cell>
          <cell r="K151" t="str">
            <v>BMED</v>
          </cell>
          <cell r="L151" t="str">
            <v>Normal</v>
          </cell>
          <cell r="M151" t="str">
            <v>Not Available</v>
          </cell>
          <cell r="N151" t="str">
            <v>Not Available</v>
          </cell>
          <cell r="O151" t="str">
            <v>Not Available</v>
          </cell>
          <cell r="P151" t="str">
            <v>Not Available</v>
          </cell>
          <cell r="Q151" t="str">
            <v>Not Available</v>
          </cell>
          <cell r="R151" t="str">
            <v>Not Available</v>
          </cell>
          <cell r="S151" t="str">
            <v>ANTAH SRI RADIN SDN BHD</v>
          </cell>
          <cell r="T151" t="str">
            <v>Functioning</v>
          </cell>
          <cell r="U151" t="str">
            <v>Asset</v>
          </cell>
          <cell r="V151">
            <v>4000</v>
          </cell>
          <cell r="W151" t="str">
            <v>Estimate</v>
          </cell>
          <cell r="X151" t="str">
            <v>01/09/2010</v>
          </cell>
          <cell r="Y151" t="str">
            <v>Estimate</v>
          </cell>
          <cell r="Z151" t="str">
            <v>16/08/2013</v>
          </cell>
          <cell r="AA151" t="str">
            <v>15/08/2015</v>
          </cell>
          <cell r="AB151" t="str">
            <v>No</v>
          </cell>
          <cell r="AC151" t="str">
            <v>31/08/2013</v>
          </cell>
          <cell r="AD151" t="str">
            <v>Good</v>
          </cell>
          <cell r="AE151" t="str">
            <v>V4 - Decommissioned Installed Facility</v>
          </cell>
          <cell r="AF151">
            <v>42387</v>
          </cell>
          <cell r="AG151">
            <v>9.17</v>
          </cell>
          <cell r="AH151" t="str">
            <v>RI</v>
          </cell>
          <cell r="AI151" t="str">
            <v>Not in contract</v>
          </cell>
          <cell r="AJ151" t="str">
            <v>Not under maintenance</v>
          </cell>
          <cell r="AK151" t="str">
            <v>Will be under V4. Taken out of contract as agreed by IKN</v>
          </cell>
        </row>
        <row r="152">
          <cell r="A152" t="str">
            <v>IKN401205</v>
          </cell>
          <cell r="B152">
            <v>1203</v>
          </cell>
          <cell r="C152" t="str">
            <v>Institut Kanser Negara</v>
          </cell>
          <cell r="D152" t="e">
            <v>#N/A</v>
          </cell>
          <cell r="E152" t="str">
            <v>15-076</v>
          </cell>
          <cell r="F152" t="str">
            <v>Laryngoscopes, Rigid</v>
          </cell>
          <cell r="G152" t="str">
            <v>WJ</v>
          </cell>
          <cell r="H152" t="str">
            <v>MULTIDISCIPLINE WARD 1</v>
          </cell>
          <cell r="I152" t="str">
            <v>09WJ126</v>
          </cell>
          <cell r="J152" t="str">
            <v>EQUIPT. ROOM</v>
          </cell>
          <cell r="K152" t="str">
            <v>BMED</v>
          </cell>
          <cell r="L152" t="str">
            <v>Normal</v>
          </cell>
          <cell r="M152" t="str">
            <v>Not Available</v>
          </cell>
          <cell r="N152" t="str">
            <v>Not Available</v>
          </cell>
          <cell r="O152" t="str">
            <v>Not Available</v>
          </cell>
          <cell r="P152" t="str">
            <v>Not Available</v>
          </cell>
          <cell r="Q152" t="str">
            <v>Not Available</v>
          </cell>
          <cell r="R152" t="str">
            <v>Not Available</v>
          </cell>
          <cell r="S152" t="str">
            <v>ANTAH SRI RADIN SDN BHD</v>
          </cell>
          <cell r="T152" t="str">
            <v>Functioning</v>
          </cell>
          <cell r="U152" t="str">
            <v>Asset</v>
          </cell>
          <cell r="V152">
            <v>4000</v>
          </cell>
          <cell r="W152" t="str">
            <v>Estimate</v>
          </cell>
          <cell r="X152" t="str">
            <v>01/09/2010</v>
          </cell>
          <cell r="Y152" t="str">
            <v>Estimate</v>
          </cell>
          <cell r="Z152" t="str">
            <v>16/08/2013</v>
          </cell>
          <cell r="AA152" t="str">
            <v>15/08/2015</v>
          </cell>
          <cell r="AB152" t="str">
            <v>No</v>
          </cell>
          <cell r="AC152" t="str">
            <v>31/08/2013</v>
          </cell>
          <cell r="AD152" t="str">
            <v>Good</v>
          </cell>
          <cell r="AE152" t="str">
            <v>V4 - Decommissioned Installed Facility</v>
          </cell>
          <cell r="AF152">
            <v>42387</v>
          </cell>
          <cell r="AG152">
            <v>9.17</v>
          </cell>
          <cell r="AH152" t="str">
            <v>RI</v>
          </cell>
          <cell r="AI152" t="str">
            <v>Not in contract</v>
          </cell>
          <cell r="AJ152" t="str">
            <v>Not under maintenance</v>
          </cell>
          <cell r="AK152" t="str">
            <v>Will be under V4. Taken out of contract as agreed by IKN</v>
          </cell>
        </row>
        <row r="153">
          <cell r="A153" t="str">
            <v>IKN401206</v>
          </cell>
          <cell r="B153">
            <v>1204</v>
          </cell>
          <cell r="C153" t="str">
            <v>Institut Kanser Negara</v>
          </cell>
          <cell r="D153" t="e">
            <v>#N/A</v>
          </cell>
          <cell r="E153" t="str">
            <v>18-595</v>
          </cell>
          <cell r="F153" t="str">
            <v>Ophthalmoscopes/Otoscopes</v>
          </cell>
          <cell r="G153" t="str">
            <v>WJ</v>
          </cell>
          <cell r="H153" t="str">
            <v>MULTIDISCIPLINE WARD 1</v>
          </cell>
          <cell r="I153" t="str">
            <v>09WJ126</v>
          </cell>
          <cell r="J153" t="str">
            <v>EQUIPT. ROOM</v>
          </cell>
          <cell r="K153" t="str">
            <v>BMED</v>
          </cell>
          <cell r="L153" t="str">
            <v>Normal</v>
          </cell>
          <cell r="M153" t="str">
            <v>USA</v>
          </cell>
          <cell r="N153" t="str">
            <v>Welch Allyn</v>
          </cell>
          <cell r="O153" t="str">
            <v>Welch Allyn 97150-BIM</v>
          </cell>
          <cell r="P153" t="str">
            <v>N/A</v>
          </cell>
          <cell r="Q153" t="str">
            <v>Not Applicable</v>
          </cell>
          <cell r="R153" t="str">
            <v>Welch Allyn Inc</v>
          </cell>
          <cell r="S153" t="str">
            <v>Welch Allyn Malaysia Sdn Bhd</v>
          </cell>
          <cell r="T153" t="str">
            <v>Functioning</v>
          </cell>
          <cell r="U153" t="str">
            <v>Asset</v>
          </cell>
          <cell r="V153">
            <v>4690</v>
          </cell>
          <cell r="W153" t="str">
            <v>KEW</v>
          </cell>
          <cell r="X153" t="str">
            <v>01/09/2010</v>
          </cell>
          <cell r="Y153" t="str">
            <v>KEW</v>
          </cell>
          <cell r="Z153" t="str">
            <v>16/08/2013</v>
          </cell>
          <cell r="AA153" t="str">
            <v>15/08/2015</v>
          </cell>
          <cell r="AB153" t="str">
            <v>No</v>
          </cell>
          <cell r="AC153" t="str">
            <v>31/08/2013</v>
          </cell>
          <cell r="AD153" t="str">
            <v>Good</v>
          </cell>
          <cell r="AE153" t="str">
            <v>V1 - Existing / No Claim</v>
          </cell>
          <cell r="AF153">
            <v>42235</v>
          </cell>
          <cell r="AG153">
            <v>9.17</v>
          </cell>
          <cell r="AH153" t="str">
            <v>RI</v>
          </cell>
          <cell r="AI153" t="str">
            <v>Not in contract</v>
          </cell>
          <cell r="AJ153" t="str">
            <v>Not under maintenance</v>
          </cell>
          <cell r="AK153" t="str">
            <v>Will be under V4. Taken out of contract as agreed by IKN</v>
          </cell>
        </row>
        <row r="154">
          <cell r="A154" t="str">
            <v>IKN401207</v>
          </cell>
          <cell r="B154">
            <v>1205</v>
          </cell>
          <cell r="C154" t="str">
            <v>Institut Kanser Negara</v>
          </cell>
          <cell r="D154" t="e">
            <v>#N/A</v>
          </cell>
          <cell r="E154" t="str">
            <v>18-595</v>
          </cell>
          <cell r="F154" t="str">
            <v>Ophthalmoscopes/Otoscopes</v>
          </cell>
          <cell r="G154" t="str">
            <v>WG</v>
          </cell>
          <cell r="H154" t="str">
            <v>RT/ONCO WARD 1 (M)</v>
          </cell>
          <cell r="I154" t="str">
            <v>08WG107</v>
          </cell>
          <cell r="J154" t="str">
            <v>TREATMENT / PROCEDURE</v>
          </cell>
          <cell r="K154" t="str">
            <v>BMED</v>
          </cell>
          <cell r="L154" t="str">
            <v>Normal</v>
          </cell>
          <cell r="M154" t="str">
            <v>USA</v>
          </cell>
          <cell r="N154" t="str">
            <v>Welch Allyn</v>
          </cell>
          <cell r="O154" t="str">
            <v>Welch Allyn 97150-BIM</v>
          </cell>
          <cell r="P154" t="str">
            <v>N/A</v>
          </cell>
          <cell r="Q154" t="str">
            <v>Not Applicable</v>
          </cell>
          <cell r="R154" t="str">
            <v>Welch Allyn Inc</v>
          </cell>
          <cell r="S154" t="str">
            <v>Welch Allyn Malaysia Sdn Bhd</v>
          </cell>
          <cell r="T154" t="str">
            <v>Functioning</v>
          </cell>
          <cell r="U154" t="str">
            <v>Asset</v>
          </cell>
          <cell r="V154">
            <v>4690</v>
          </cell>
          <cell r="W154" t="str">
            <v>KEW</v>
          </cell>
          <cell r="X154" t="str">
            <v>01/09/2010</v>
          </cell>
          <cell r="Y154" t="str">
            <v>KEW</v>
          </cell>
          <cell r="Z154" t="str">
            <v>16/08/2013</v>
          </cell>
          <cell r="AA154" t="str">
            <v>15/08/2015</v>
          </cell>
          <cell r="AB154" t="str">
            <v>No</v>
          </cell>
          <cell r="AC154" t="str">
            <v>31/08/2013</v>
          </cell>
          <cell r="AD154" t="str">
            <v>Good</v>
          </cell>
          <cell r="AE154" t="str">
            <v>V1 - Existing / No Claim</v>
          </cell>
          <cell r="AF154">
            <v>42235</v>
          </cell>
          <cell r="AG154">
            <v>9.17</v>
          </cell>
          <cell r="AH154" t="str">
            <v>RI</v>
          </cell>
          <cell r="AI154" t="str">
            <v>Not in contract</v>
          </cell>
          <cell r="AJ154" t="str">
            <v>Not under maintenance</v>
          </cell>
          <cell r="AK154" t="str">
            <v>Will be under V4. Taken out of contract as agreed by IKN</v>
          </cell>
        </row>
        <row r="155">
          <cell r="A155" t="str">
            <v>IKN401208</v>
          </cell>
          <cell r="B155">
            <v>1206</v>
          </cell>
          <cell r="C155" t="str">
            <v>Institut Kanser Negara</v>
          </cell>
          <cell r="D155" t="e">
            <v>#N/A</v>
          </cell>
          <cell r="E155" t="str">
            <v>18-595</v>
          </cell>
          <cell r="F155" t="str">
            <v>Ophthalmoscopes/Otoscopes</v>
          </cell>
          <cell r="G155" t="str">
            <v>WE</v>
          </cell>
          <cell r="H155" t="str">
            <v>RT/ONCO WARD 1 (F)</v>
          </cell>
          <cell r="I155" t="str">
            <v>07WE143</v>
          </cell>
          <cell r="J155" t="str">
            <v>NURSE STATION</v>
          </cell>
          <cell r="K155" t="str">
            <v>BMED</v>
          </cell>
          <cell r="L155" t="str">
            <v>Normal</v>
          </cell>
          <cell r="M155" t="str">
            <v>USA</v>
          </cell>
          <cell r="N155" t="str">
            <v>Welch Allyn</v>
          </cell>
          <cell r="O155" t="str">
            <v>Welch Allyn 97150-BIM</v>
          </cell>
          <cell r="P155" t="str">
            <v>0</v>
          </cell>
          <cell r="Q155" t="str">
            <v>Not Applicable</v>
          </cell>
          <cell r="R155" t="str">
            <v>Welch Allyn Inc</v>
          </cell>
          <cell r="S155" t="str">
            <v>Welch Allyn Malaysia Sdn Bhd</v>
          </cell>
          <cell r="T155" t="str">
            <v>Functioning</v>
          </cell>
          <cell r="U155" t="str">
            <v>Asset</v>
          </cell>
          <cell r="V155">
            <v>4690</v>
          </cell>
          <cell r="W155" t="str">
            <v>KEW</v>
          </cell>
          <cell r="X155" t="str">
            <v>01/09/2010</v>
          </cell>
          <cell r="Y155" t="str">
            <v>KEW</v>
          </cell>
          <cell r="Z155" t="str">
            <v>16/08/2013</v>
          </cell>
          <cell r="AA155" t="str">
            <v>15/08/2015</v>
          </cell>
          <cell r="AB155" t="str">
            <v>No</v>
          </cell>
          <cell r="AC155" t="str">
            <v>31/08/2013</v>
          </cell>
          <cell r="AD155" t="str">
            <v>Good</v>
          </cell>
          <cell r="AE155" t="str">
            <v>V1 - Existing / No Claim</v>
          </cell>
          <cell r="AF155">
            <v>42235</v>
          </cell>
          <cell r="AG155">
            <v>9.17</v>
          </cell>
          <cell r="AH155" t="str">
            <v>RI</v>
          </cell>
          <cell r="AI155" t="str">
            <v>Not in contract</v>
          </cell>
          <cell r="AJ155" t="str">
            <v>Not under maintenance</v>
          </cell>
          <cell r="AK155" t="str">
            <v>Will be under V4. Taken out of contract as agreed by IKN</v>
          </cell>
        </row>
        <row r="156">
          <cell r="A156" t="str">
            <v>IKN401209</v>
          </cell>
          <cell r="B156">
            <v>1207</v>
          </cell>
          <cell r="C156" t="str">
            <v>Institut Kanser Negara</v>
          </cell>
          <cell r="D156" t="e">
            <v>#N/A</v>
          </cell>
          <cell r="E156" t="str">
            <v>15-076</v>
          </cell>
          <cell r="F156" t="str">
            <v>Laryngoscopes, Rigid</v>
          </cell>
          <cell r="G156" t="str">
            <v>WF</v>
          </cell>
          <cell r="H156" t="str">
            <v>RT/ONCO WARD 2 (F)</v>
          </cell>
          <cell r="I156" t="str">
            <v>07WF143</v>
          </cell>
          <cell r="J156" t="str">
            <v>NURSE STATION</v>
          </cell>
          <cell r="K156" t="str">
            <v>BMED</v>
          </cell>
          <cell r="L156" t="str">
            <v>Normal</v>
          </cell>
          <cell r="M156" t="str">
            <v>Not Available</v>
          </cell>
          <cell r="N156" t="str">
            <v>Not Available</v>
          </cell>
          <cell r="O156" t="str">
            <v>Not Available</v>
          </cell>
          <cell r="P156" t="str">
            <v>Not Available</v>
          </cell>
          <cell r="Q156" t="str">
            <v>Not Available</v>
          </cell>
          <cell r="R156" t="str">
            <v>Not Available</v>
          </cell>
          <cell r="S156" t="str">
            <v>ANTAH SRI RADIN SDN BHD</v>
          </cell>
          <cell r="T156" t="str">
            <v>Functioning</v>
          </cell>
          <cell r="U156" t="str">
            <v>Asset</v>
          </cell>
          <cell r="V156">
            <v>4000</v>
          </cell>
          <cell r="W156" t="str">
            <v>Estimate</v>
          </cell>
          <cell r="X156" t="str">
            <v>01/09/2010</v>
          </cell>
          <cell r="Y156" t="str">
            <v>Estimate</v>
          </cell>
          <cell r="Z156" t="str">
            <v>16/08/2013</v>
          </cell>
          <cell r="AA156" t="str">
            <v>15/08/2015</v>
          </cell>
          <cell r="AB156" t="str">
            <v>No</v>
          </cell>
          <cell r="AC156" t="str">
            <v>31/08/2013</v>
          </cell>
          <cell r="AD156" t="str">
            <v>Good</v>
          </cell>
          <cell r="AE156" t="str">
            <v>V4 - Decommissioned Installed Facility</v>
          </cell>
          <cell r="AF156">
            <v>42661</v>
          </cell>
          <cell r="AG156">
            <v>9.17</v>
          </cell>
          <cell r="AH156" t="str">
            <v>RI</v>
          </cell>
          <cell r="AI156" t="str">
            <v>Not in contract</v>
          </cell>
          <cell r="AJ156" t="str">
            <v>Not under maintenance</v>
          </cell>
          <cell r="AK156" t="str">
            <v>Will be under V4. Taken out of contract as agreed by IKN</v>
          </cell>
        </row>
        <row r="157">
          <cell r="A157" t="str">
            <v>IKN401210</v>
          </cell>
          <cell r="B157">
            <v>1208</v>
          </cell>
          <cell r="C157" t="str">
            <v>Institut Kanser Negara</v>
          </cell>
          <cell r="D157" t="e">
            <v>#N/A</v>
          </cell>
          <cell r="E157" t="str">
            <v>15-076</v>
          </cell>
          <cell r="F157" t="str">
            <v>Laryngoscopes, Rigid</v>
          </cell>
          <cell r="G157" t="str">
            <v>WF</v>
          </cell>
          <cell r="H157" t="str">
            <v>RT/ONCO WARD 2 (F)</v>
          </cell>
          <cell r="I157" t="str">
            <v>07WF107</v>
          </cell>
          <cell r="J157" t="str">
            <v>TREATMENT / PROCEDDURE</v>
          </cell>
          <cell r="K157" t="str">
            <v>BMED</v>
          </cell>
          <cell r="L157" t="str">
            <v>Normal</v>
          </cell>
          <cell r="M157" t="str">
            <v>Not Available</v>
          </cell>
          <cell r="N157" t="str">
            <v>Not Available</v>
          </cell>
          <cell r="O157" t="str">
            <v>Not Available</v>
          </cell>
          <cell r="P157" t="str">
            <v>Not Available</v>
          </cell>
          <cell r="Q157" t="str">
            <v>Not Available</v>
          </cell>
          <cell r="R157" t="str">
            <v>Not Available</v>
          </cell>
          <cell r="S157" t="str">
            <v>ANTAH SRI RADIN SDN BHD</v>
          </cell>
          <cell r="T157" t="str">
            <v>Functioning</v>
          </cell>
          <cell r="U157" t="str">
            <v>Asset</v>
          </cell>
          <cell r="V157">
            <v>4000</v>
          </cell>
          <cell r="W157" t="str">
            <v>Estimate</v>
          </cell>
          <cell r="X157" t="str">
            <v>01/09/2010</v>
          </cell>
          <cell r="Y157" t="str">
            <v>Estimate</v>
          </cell>
          <cell r="Z157" t="str">
            <v>16/08/2013</v>
          </cell>
          <cell r="AA157" t="str">
            <v>15/08/2015</v>
          </cell>
          <cell r="AB157" t="str">
            <v>No</v>
          </cell>
          <cell r="AC157" t="str">
            <v>31/08/2013</v>
          </cell>
          <cell r="AD157" t="str">
            <v>Good</v>
          </cell>
          <cell r="AE157" t="str">
            <v>V4 - Decommissioned Installed Facility</v>
          </cell>
          <cell r="AF157">
            <v>42397</v>
          </cell>
          <cell r="AG157">
            <v>9.17</v>
          </cell>
          <cell r="AH157" t="str">
            <v>RI</v>
          </cell>
          <cell r="AI157" t="str">
            <v>Not in contract</v>
          </cell>
          <cell r="AJ157" t="str">
            <v>Not under maintenance</v>
          </cell>
          <cell r="AK157" t="str">
            <v>Will be under V4. Taken out of contract as agreed by IKN</v>
          </cell>
        </row>
        <row r="158">
          <cell r="A158" t="str">
            <v>IKN401211</v>
          </cell>
          <cell r="B158">
            <v>1209</v>
          </cell>
          <cell r="C158" t="str">
            <v>Institut Kanser Negara</v>
          </cell>
          <cell r="D158" t="e">
            <v>#N/A</v>
          </cell>
          <cell r="E158" t="str">
            <v>15-076</v>
          </cell>
          <cell r="F158" t="str">
            <v>Laryngoscopes, Rigid</v>
          </cell>
          <cell r="G158" t="str">
            <v>WG</v>
          </cell>
          <cell r="H158" t="str">
            <v>RT/ONCO WARD 1 (M)</v>
          </cell>
          <cell r="I158" t="str">
            <v>08WG113</v>
          </cell>
          <cell r="J158" t="str">
            <v>EQUIPMENT ROOM</v>
          </cell>
          <cell r="K158" t="str">
            <v>BMED</v>
          </cell>
          <cell r="L158" t="str">
            <v>Normal</v>
          </cell>
          <cell r="M158" t="str">
            <v>Not Available</v>
          </cell>
          <cell r="N158" t="str">
            <v>Not Available</v>
          </cell>
          <cell r="O158" t="str">
            <v>Not Available</v>
          </cell>
          <cell r="P158" t="str">
            <v>NOT AVAILABE</v>
          </cell>
          <cell r="Q158" t="str">
            <v>NOT AVAILABLE</v>
          </cell>
          <cell r="R158" t="str">
            <v>Not Available</v>
          </cell>
          <cell r="S158" t="str">
            <v>ANTAH SRI RADIN SDN BHD</v>
          </cell>
          <cell r="T158" t="str">
            <v>Functioning</v>
          </cell>
          <cell r="U158" t="str">
            <v>Asset</v>
          </cell>
          <cell r="V158">
            <v>4000</v>
          </cell>
          <cell r="W158" t="str">
            <v>Estimate</v>
          </cell>
          <cell r="X158" t="str">
            <v>01/09/2010</v>
          </cell>
          <cell r="Y158" t="str">
            <v>Estimate</v>
          </cell>
          <cell r="Z158" t="str">
            <v>16/08/2013</v>
          </cell>
          <cell r="AA158" t="str">
            <v>15/08/2015</v>
          </cell>
          <cell r="AB158" t="str">
            <v>No</v>
          </cell>
          <cell r="AC158" t="str">
            <v>31/08/2013</v>
          </cell>
          <cell r="AD158" t="str">
            <v>Good</v>
          </cell>
          <cell r="AE158" t="str">
            <v>V4 - Decommissioned Installed Facility</v>
          </cell>
          <cell r="AF158">
            <v>42387</v>
          </cell>
          <cell r="AG158">
            <v>9.17</v>
          </cell>
          <cell r="AH158" t="str">
            <v>RI</v>
          </cell>
          <cell r="AI158" t="str">
            <v>Not in contract</v>
          </cell>
          <cell r="AJ158" t="str">
            <v>Not under maintenance</v>
          </cell>
          <cell r="AK158" t="str">
            <v>Will be under V4. Taken out of contract as agreed by IKN</v>
          </cell>
        </row>
        <row r="159">
          <cell r="A159" t="str">
            <v>IKN401212</v>
          </cell>
          <cell r="B159">
            <v>1210</v>
          </cell>
          <cell r="C159" t="str">
            <v>Institut Kanser Negara</v>
          </cell>
          <cell r="D159" t="e">
            <v>#N/A</v>
          </cell>
          <cell r="E159" t="str">
            <v>15-076</v>
          </cell>
          <cell r="F159" t="str">
            <v>Laryngoscopes, Rigid</v>
          </cell>
          <cell r="G159" t="str">
            <v>WG</v>
          </cell>
          <cell r="H159" t="str">
            <v>RT/ONCO WARD 1 (M)</v>
          </cell>
          <cell r="I159" t="str">
            <v>08WG107</v>
          </cell>
          <cell r="J159" t="str">
            <v>TREATMENT / PROCEDURE</v>
          </cell>
          <cell r="K159" t="str">
            <v>BMED</v>
          </cell>
          <cell r="L159" t="str">
            <v>Normal</v>
          </cell>
          <cell r="M159" t="str">
            <v>Not Available</v>
          </cell>
          <cell r="N159" t="str">
            <v>Not Available</v>
          </cell>
          <cell r="O159" t="str">
            <v>Not Available</v>
          </cell>
          <cell r="P159" t="str">
            <v>Not Available</v>
          </cell>
          <cell r="Q159" t="str">
            <v>Not Available</v>
          </cell>
          <cell r="R159" t="str">
            <v>Not Available</v>
          </cell>
          <cell r="S159" t="str">
            <v>ANTAH SRI RADIN SDN BHD</v>
          </cell>
          <cell r="T159" t="str">
            <v>Functioning</v>
          </cell>
          <cell r="U159" t="str">
            <v>Asset</v>
          </cell>
          <cell r="V159">
            <v>4000</v>
          </cell>
          <cell r="W159" t="str">
            <v>Estimate</v>
          </cell>
          <cell r="X159" t="str">
            <v>01/09/2010</v>
          </cell>
          <cell r="Y159" t="str">
            <v>Estimate</v>
          </cell>
          <cell r="Z159" t="str">
            <v>16/08/2013</v>
          </cell>
          <cell r="AA159" t="str">
            <v>15/08/2015</v>
          </cell>
          <cell r="AB159" t="str">
            <v>No</v>
          </cell>
          <cell r="AC159" t="str">
            <v>31/08/2013</v>
          </cell>
          <cell r="AD159" t="str">
            <v>Good</v>
          </cell>
          <cell r="AE159" t="str">
            <v>V4 - Decommissioned Installed Facility</v>
          </cell>
          <cell r="AF159">
            <v>42397</v>
          </cell>
          <cell r="AG159">
            <v>9.17</v>
          </cell>
          <cell r="AH159" t="str">
            <v>RI</v>
          </cell>
          <cell r="AI159" t="str">
            <v>Not in contract</v>
          </cell>
          <cell r="AJ159" t="str">
            <v>Not under maintenance</v>
          </cell>
          <cell r="AK159" t="str">
            <v>Will be under V4. Taken out of contract as agreed by IKN</v>
          </cell>
        </row>
        <row r="160">
          <cell r="A160" t="str">
            <v>IKN401218</v>
          </cell>
          <cell r="B160">
            <v>1216</v>
          </cell>
          <cell r="C160" t="str">
            <v>Institut Kanser Negara</v>
          </cell>
          <cell r="D160" t="str">
            <v>KKM/IKN/H/13/3025</v>
          </cell>
          <cell r="E160" t="str">
            <v>18-595</v>
          </cell>
          <cell r="F160" t="str">
            <v>Ophthalmoscopes/Otoscopes</v>
          </cell>
          <cell r="G160" t="str">
            <v>NM</v>
          </cell>
          <cell r="H160" t="str">
            <v>NUCLEAR MED (DIAGNOSTIC)</v>
          </cell>
          <cell r="I160" t="str">
            <v>03NM152</v>
          </cell>
          <cell r="J160" t="str">
            <v>NURSE STATION</v>
          </cell>
          <cell r="K160" t="str">
            <v>BMED</v>
          </cell>
          <cell r="L160" t="str">
            <v>Normal</v>
          </cell>
          <cell r="M160" t="str">
            <v>USA</v>
          </cell>
          <cell r="N160" t="str">
            <v>Welch Allyn</v>
          </cell>
          <cell r="O160" t="str">
            <v>Welch Allyn 97150-BIM</v>
          </cell>
          <cell r="P160" t="str">
            <v>N/A</v>
          </cell>
          <cell r="Q160" t="str">
            <v>Not Applicable</v>
          </cell>
          <cell r="R160" t="str">
            <v>Welch Allyn Inc</v>
          </cell>
          <cell r="S160" t="str">
            <v>Welch Allyn Malaysia Sdn Bhd</v>
          </cell>
          <cell r="T160" t="str">
            <v>Functioning</v>
          </cell>
          <cell r="U160" t="str">
            <v>Asset</v>
          </cell>
          <cell r="V160">
            <v>4690</v>
          </cell>
          <cell r="W160" t="str">
            <v>KEW</v>
          </cell>
          <cell r="X160" t="str">
            <v>01/09/2010</v>
          </cell>
          <cell r="Y160" t="str">
            <v>KEW</v>
          </cell>
          <cell r="Z160" t="str">
            <v>16/08/2013</v>
          </cell>
          <cell r="AA160" t="str">
            <v>15/08/2015</v>
          </cell>
          <cell r="AB160" t="str">
            <v>No</v>
          </cell>
          <cell r="AC160" t="str">
            <v>31/08/2013</v>
          </cell>
          <cell r="AD160" t="str">
            <v>Good</v>
          </cell>
          <cell r="AE160" t="str">
            <v>V1 - Existing / No Claim</v>
          </cell>
          <cell r="AF160">
            <v>42235</v>
          </cell>
          <cell r="AG160">
            <v>9.17</v>
          </cell>
          <cell r="AH160" t="str">
            <v>RI</v>
          </cell>
          <cell r="AI160" t="str">
            <v>Strands</v>
          </cell>
          <cell r="AJ160" t="str">
            <v>Not under maintenance</v>
          </cell>
        </row>
        <row r="161">
          <cell r="A161" t="str">
            <v>IKN401243</v>
          </cell>
          <cell r="B161">
            <v>1241</v>
          </cell>
          <cell r="C161" t="str">
            <v>Institut Kanser Negara</v>
          </cell>
          <cell r="D161" t="e">
            <v>#N/A</v>
          </cell>
          <cell r="E161" t="str">
            <v>18-595</v>
          </cell>
          <cell r="F161" t="str">
            <v>Ophthalmoscopes/Otoscopes</v>
          </cell>
          <cell r="G161" t="str">
            <v>WG</v>
          </cell>
          <cell r="H161" t="str">
            <v>RT/ONCO WARD 1 (M)</v>
          </cell>
          <cell r="I161" t="str">
            <v>08WG107</v>
          </cell>
          <cell r="J161" t="str">
            <v>TREATMENT / PROCEDURE</v>
          </cell>
          <cell r="K161" t="str">
            <v>BMED</v>
          </cell>
          <cell r="L161" t="str">
            <v>Normal</v>
          </cell>
          <cell r="M161" t="str">
            <v>USA</v>
          </cell>
          <cell r="N161" t="str">
            <v>Welch Allyn</v>
          </cell>
          <cell r="O161" t="str">
            <v>Welch Allyn 97150-BIM</v>
          </cell>
          <cell r="P161" t="str">
            <v>N/A</v>
          </cell>
          <cell r="Q161" t="str">
            <v>Not Applicable</v>
          </cell>
          <cell r="R161" t="str">
            <v>Welch Allyn Inc</v>
          </cell>
          <cell r="S161" t="str">
            <v>Welch Allyn Malaysia Sdn Bhd</v>
          </cell>
          <cell r="T161" t="str">
            <v>Functioning</v>
          </cell>
          <cell r="U161" t="str">
            <v>Asset</v>
          </cell>
          <cell r="V161">
            <v>4690</v>
          </cell>
          <cell r="W161" t="str">
            <v>KEW</v>
          </cell>
          <cell r="X161" t="str">
            <v>01/09/2010</v>
          </cell>
          <cell r="Y161" t="str">
            <v>KEW</v>
          </cell>
          <cell r="Z161" t="str">
            <v>16/08/2013</v>
          </cell>
          <cell r="AA161" t="str">
            <v>15/08/2015</v>
          </cell>
          <cell r="AB161" t="str">
            <v>No</v>
          </cell>
          <cell r="AC161" t="str">
            <v>31/08/2013</v>
          </cell>
          <cell r="AD161" t="str">
            <v>Good</v>
          </cell>
          <cell r="AE161" t="str">
            <v>V1 - Existing / No Claim</v>
          </cell>
          <cell r="AF161">
            <v>42235</v>
          </cell>
          <cell r="AG161">
            <v>9.17</v>
          </cell>
          <cell r="AH161" t="str">
            <v>RI</v>
          </cell>
          <cell r="AI161" t="str">
            <v>Not in contract</v>
          </cell>
          <cell r="AJ161" t="str">
            <v>Not under maintenance</v>
          </cell>
          <cell r="AK161" t="str">
            <v>Will be under V4. Taken out of contract as agreed by IKN</v>
          </cell>
        </row>
        <row r="162">
          <cell r="A162" t="str">
            <v>IKN401245</v>
          </cell>
          <cell r="B162">
            <v>1243</v>
          </cell>
          <cell r="C162" t="str">
            <v>Institut Kanser Negara</v>
          </cell>
          <cell r="D162" t="e">
            <v>#N/A</v>
          </cell>
          <cell r="E162" t="str">
            <v>16-158</v>
          </cell>
          <cell r="F162" t="str">
            <v>Sphygmomanometers, Mercury</v>
          </cell>
          <cell r="G162" t="str">
            <v>NM</v>
          </cell>
          <cell r="H162" t="str">
            <v>NUCLEAR MED (DIAGNOSTIC)</v>
          </cell>
          <cell r="I162" t="str">
            <v>03NM109</v>
          </cell>
          <cell r="J162" t="str">
            <v>TREATMENT 2 (RAS) (-VE)</v>
          </cell>
          <cell r="K162" t="str">
            <v>BMED</v>
          </cell>
          <cell r="L162" t="str">
            <v>Normal</v>
          </cell>
          <cell r="M162" t="str">
            <v>Germany</v>
          </cell>
          <cell r="N162" t="str">
            <v>Erka</v>
          </cell>
          <cell r="O162" t="str">
            <v>Erkameter 3000</v>
          </cell>
          <cell r="P162" t="str">
            <v>12508899</v>
          </cell>
          <cell r="Q162" t="str">
            <v>Not Applicable</v>
          </cell>
          <cell r="R162" t="str">
            <v>Erka GmbH &amp; Co</v>
          </cell>
          <cell r="S162" t="str">
            <v>Acucare Systems (M) Sdn bhd</v>
          </cell>
          <cell r="T162" t="str">
            <v>Functioning</v>
          </cell>
          <cell r="U162" t="str">
            <v>Asset</v>
          </cell>
          <cell r="V162">
            <v>505</v>
          </cell>
          <cell r="W162" t="str">
            <v>KEW</v>
          </cell>
          <cell r="X162" t="str">
            <v>01/09/2010</v>
          </cell>
          <cell r="Y162" t="str">
            <v>KEW</v>
          </cell>
          <cell r="Z162" t="str">
            <v>16/08/2013</v>
          </cell>
          <cell r="AA162" t="str">
            <v>15/08/2015</v>
          </cell>
          <cell r="AB162" t="str">
            <v>No</v>
          </cell>
          <cell r="AC162" t="str">
            <v>31/08/2013</v>
          </cell>
          <cell r="AD162" t="str">
            <v>Good</v>
          </cell>
          <cell r="AE162" t="str">
            <v>V4 - Decommissioned Installed Facility</v>
          </cell>
          <cell r="AF162">
            <v>42235</v>
          </cell>
          <cell r="AG162">
            <v>9.17</v>
          </cell>
          <cell r="AH162" t="str">
            <v>PPM</v>
          </cell>
          <cell r="AI162" t="str">
            <v>Not in contract</v>
          </cell>
          <cell r="AJ162" t="str">
            <v>Not under maintenance</v>
          </cell>
          <cell r="AK162" t="e">
            <v>#N/A</v>
          </cell>
        </row>
        <row r="163">
          <cell r="A163" t="str">
            <v>IKN401267</v>
          </cell>
          <cell r="B163">
            <v>1263</v>
          </cell>
          <cell r="C163" t="str">
            <v>Institut Kanser Negara</v>
          </cell>
          <cell r="D163" t="e">
            <v>#N/A</v>
          </cell>
          <cell r="E163" t="str">
            <v>15-076</v>
          </cell>
          <cell r="F163" t="str">
            <v>Laryngoscopes, Rigid</v>
          </cell>
          <cell r="G163" t="str">
            <v>RT</v>
          </cell>
          <cell r="H163" t="str">
            <v>RADIATION TREATMENT UNIT</v>
          </cell>
          <cell r="I163" t="str">
            <v>01RT243</v>
          </cell>
          <cell r="J163" t="str">
            <v>NURSE STATION</v>
          </cell>
          <cell r="K163" t="str">
            <v>BMED</v>
          </cell>
          <cell r="L163" t="str">
            <v>Normal</v>
          </cell>
          <cell r="M163" t="str">
            <v>Not Available</v>
          </cell>
          <cell r="N163" t="str">
            <v>Not Available</v>
          </cell>
          <cell r="O163" t="str">
            <v>Not Available</v>
          </cell>
          <cell r="P163" t="str">
            <v>Not Available</v>
          </cell>
          <cell r="Q163" t="str">
            <v>Not Available</v>
          </cell>
          <cell r="R163" t="str">
            <v>Not Available</v>
          </cell>
          <cell r="S163" t="str">
            <v>Antah Sir Radin Sdn. Bhd.</v>
          </cell>
          <cell r="T163" t="str">
            <v>Functioning</v>
          </cell>
          <cell r="U163" t="str">
            <v>Asset</v>
          </cell>
          <cell r="V163">
            <v>4000</v>
          </cell>
          <cell r="W163" t="str">
            <v>KEW</v>
          </cell>
          <cell r="X163" t="str">
            <v>01/09/2010</v>
          </cell>
          <cell r="Y163" t="str">
            <v>KEW</v>
          </cell>
          <cell r="Z163" t="str">
            <v>16/08/2013</v>
          </cell>
          <cell r="AA163" t="str">
            <v>15/08/2015</v>
          </cell>
          <cell r="AB163" t="str">
            <v>No</v>
          </cell>
          <cell r="AC163" t="str">
            <v>16/08/2013</v>
          </cell>
          <cell r="AD163" t="str">
            <v>Good</v>
          </cell>
          <cell r="AE163" t="str">
            <v>V4 - Decommissioned Installed Facility</v>
          </cell>
          <cell r="AF163">
            <v>42681</v>
          </cell>
          <cell r="AG163">
            <v>9.17</v>
          </cell>
          <cell r="AH163" t="str">
            <v>RI</v>
          </cell>
          <cell r="AI163" t="str">
            <v>Not in contract</v>
          </cell>
          <cell r="AJ163" t="str">
            <v>Not under maintenance</v>
          </cell>
          <cell r="AK163" t="str">
            <v>Will be under V4. Taken out of contract as agreed by IKN</v>
          </cell>
        </row>
        <row r="164">
          <cell r="A164" t="str">
            <v>IKN401268</v>
          </cell>
          <cell r="B164">
            <v>1264</v>
          </cell>
          <cell r="C164" t="str">
            <v>Institut Kanser Negara</v>
          </cell>
          <cell r="D164" t="e">
            <v>#N/A</v>
          </cell>
          <cell r="E164" t="str">
            <v>15-076</v>
          </cell>
          <cell r="F164" t="str">
            <v>Laryngoscopes, Rigid</v>
          </cell>
          <cell r="G164" t="str">
            <v>RT</v>
          </cell>
          <cell r="H164" t="str">
            <v>RADIATION TREATMENT UNIT</v>
          </cell>
          <cell r="I164" t="str">
            <v>01RT243</v>
          </cell>
          <cell r="J164" t="str">
            <v>NURSE STATION</v>
          </cell>
          <cell r="K164" t="str">
            <v>BMED</v>
          </cell>
          <cell r="L164" t="str">
            <v>Normal</v>
          </cell>
          <cell r="M164" t="str">
            <v>Not Available</v>
          </cell>
          <cell r="N164" t="str">
            <v>Not Available</v>
          </cell>
          <cell r="O164" t="str">
            <v>Not Available</v>
          </cell>
          <cell r="P164" t="str">
            <v>Not Available</v>
          </cell>
          <cell r="Q164" t="str">
            <v>Not Available</v>
          </cell>
          <cell r="R164" t="str">
            <v>Not Available</v>
          </cell>
          <cell r="S164" t="str">
            <v>Antah Sir Radin Sdn. Bhd.</v>
          </cell>
          <cell r="T164" t="str">
            <v>Functioning</v>
          </cell>
          <cell r="U164" t="str">
            <v>Asset</v>
          </cell>
          <cell r="V164">
            <v>4000</v>
          </cell>
          <cell r="W164" t="str">
            <v>KEW</v>
          </cell>
          <cell r="X164" t="str">
            <v>01/09/2010</v>
          </cell>
          <cell r="Y164" t="str">
            <v>KEW</v>
          </cell>
          <cell r="Z164" t="str">
            <v>16/08/2013</v>
          </cell>
          <cell r="AA164" t="str">
            <v>15/08/2015</v>
          </cell>
          <cell r="AB164" t="str">
            <v>No</v>
          </cell>
          <cell r="AC164" t="str">
            <v>16/08/2013</v>
          </cell>
          <cell r="AD164" t="str">
            <v>Good</v>
          </cell>
          <cell r="AE164" t="str">
            <v>V4 - Decommissioned Installed Facility</v>
          </cell>
          <cell r="AF164">
            <v>42681</v>
          </cell>
          <cell r="AG164">
            <v>9.17</v>
          </cell>
          <cell r="AH164" t="str">
            <v>RI</v>
          </cell>
          <cell r="AI164" t="str">
            <v>Not in contract</v>
          </cell>
          <cell r="AJ164" t="str">
            <v>Not under maintenance</v>
          </cell>
          <cell r="AK164" t="str">
            <v>Will be under V4. Taken out of contract as agreed by IKN</v>
          </cell>
        </row>
        <row r="165">
          <cell r="A165" t="str">
            <v>IKN401269</v>
          </cell>
          <cell r="B165">
            <v>1265</v>
          </cell>
          <cell r="C165" t="str">
            <v>Institut Kanser Negara</v>
          </cell>
          <cell r="D165" t="e">
            <v>#N/A</v>
          </cell>
          <cell r="E165" t="str">
            <v>15-076</v>
          </cell>
          <cell r="F165" t="str">
            <v>Laryngoscopes, Rigid</v>
          </cell>
          <cell r="G165" t="str">
            <v>AE</v>
          </cell>
          <cell r="H165" t="str">
            <v>EMERGENCY UNIT</v>
          </cell>
          <cell r="I165" t="str">
            <v>01AE112</v>
          </cell>
          <cell r="J165" t="str">
            <v>EMERGENCY TROLLEY BAY</v>
          </cell>
          <cell r="K165" t="str">
            <v>BMED</v>
          </cell>
          <cell r="L165" t="str">
            <v>Normal</v>
          </cell>
          <cell r="M165" t="str">
            <v>Not Available</v>
          </cell>
          <cell r="N165" t="str">
            <v>Not Available</v>
          </cell>
          <cell r="O165" t="str">
            <v>Not Available</v>
          </cell>
          <cell r="P165" t="str">
            <v>Not Available</v>
          </cell>
          <cell r="Q165" t="str">
            <v>Not Available</v>
          </cell>
          <cell r="R165" t="str">
            <v>Not Available</v>
          </cell>
          <cell r="S165" t="str">
            <v>Antah Sir Radin Sdn. Bhd.</v>
          </cell>
          <cell r="T165" t="str">
            <v>Functioning</v>
          </cell>
          <cell r="U165" t="str">
            <v>Asset</v>
          </cell>
          <cell r="V165">
            <v>4000</v>
          </cell>
          <cell r="W165" t="str">
            <v>KEW</v>
          </cell>
          <cell r="X165" t="str">
            <v>01/09/2010</v>
          </cell>
          <cell r="Y165" t="str">
            <v>KEW</v>
          </cell>
          <cell r="Z165" t="str">
            <v>16/08/2013</v>
          </cell>
          <cell r="AA165" t="str">
            <v>15/08/2015</v>
          </cell>
          <cell r="AB165" t="str">
            <v>No</v>
          </cell>
          <cell r="AC165" t="str">
            <v>16/08/2013</v>
          </cell>
          <cell r="AD165" t="str">
            <v>Good</v>
          </cell>
          <cell r="AE165" t="str">
            <v>V4 - Decommissioned Installed Facility</v>
          </cell>
          <cell r="AF165">
            <v>43543</v>
          </cell>
          <cell r="AG165">
            <v>9.17</v>
          </cell>
          <cell r="AH165" t="str">
            <v>RI</v>
          </cell>
          <cell r="AI165" t="str">
            <v>Not in contract</v>
          </cell>
          <cell r="AJ165" t="str">
            <v>Not under maintenance</v>
          </cell>
          <cell r="AK165" t="str">
            <v>Will be under V4. Taken out of contract as agreed by IKN</v>
          </cell>
        </row>
        <row r="166">
          <cell r="A166" t="str">
            <v>IKN401270</v>
          </cell>
          <cell r="B166">
            <v>1266</v>
          </cell>
          <cell r="C166" t="str">
            <v>Institut Kanser Negara</v>
          </cell>
          <cell r="D166" t="e">
            <v>#N/A</v>
          </cell>
          <cell r="E166" t="str">
            <v>15-076</v>
          </cell>
          <cell r="F166" t="str">
            <v>Laryngoscopes, Rigid</v>
          </cell>
          <cell r="G166" t="str">
            <v>AE</v>
          </cell>
          <cell r="H166" t="str">
            <v>EMERGENCY UNIT</v>
          </cell>
          <cell r="I166" t="str">
            <v>01AE112</v>
          </cell>
          <cell r="J166" t="str">
            <v>EMERGENCY TROLLEY BAY</v>
          </cell>
          <cell r="K166" t="str">
            <v>BMED</v>
          </cell>
          <cell r="L166" t="str">
            <v>Normal</v>
          </cell>
          <cell r="M166" t="str">
            <v>Not Available</v>
          </cell>
          <cell r="N166" t="str">
            <v>Not Available</v>
          </cell>
          <cell r="O166" t="str">
            <v>Not Available</v>
          </cell>
          <cell r="P166" t="str">
            <v>Not Available</v>
          </cell>
          <cell r="Q166" t="str">
            <v>Not Available</v>
          </cell>
          <cell r="R166" t="str">
            <v>Not Available</v>
          </cell>
          <cell r="S166" t="str">
            <v>Not Available</v>
          </cell>
          <cell r="T166" t="str">
            <v>Functioning</v>
          </cell>
          <cell r="U166" t="str">
            <v>Asset</v>
          </cell>
          <cell r="V166">
            <v>4000</v>
          </cell>
          <cell r="W166" t="str">
            <v>KEW</v>
          </cell>
          <cell r="X166" t="str">
            <v>01/09/2010</v>
          </cell>
          <cell r="Y166" t="str">
            <v>KEW</v>
          </cell>
          <cell r="Z166" t="str">
            <v>16/08/2013</v>
          </cell>
          <cell r="AA166" t="str">
            <v>15/08/2015</v>
          </cell>
          <cell r="AB166" t="str">
            <v>No</v>
          </cell>
          <cell r="AC166" t="str">
            <v>16/08/2013</v>
          </cell>
          <cell r="AD166" t="str">
            <v>Good</v>
          </cell>
          <cell r="AE166" t="str">
            <v>V4 - Decommissioned Installed Facility</v>
          </cell>
          <cell r="AF166">
            <v>42681</v>
          </cell>
          <cell r="AG166">
            <v>9.17</v>
          </cell>
          <cell r="AH166" t="str">
            <v>RI</v>
          </cell>
          <cell r="AI166" t="str">
            <v>Not in contract</v>
          </cell>
          <cell r="AJ166" t="str">
            <v>Not under maintenance</v>
          </cell>
          <cell r="AK166" t="str">
            <v>Will be under V4. Taken out of contract as agreed by IKN</v>
          </cell>
        </row>
        <row r="167">
          <cell r="A167" t="str">
            <v>IKN401271</v>
          </cell>
          <cell r="B167">
            <v>1267</v>
          </cell>
          <cell r="C167" t="str">
            <v>Institut Kanser Negara</v>
          </cell>
          <cell r="D167" t="e">
            <v>#N/A</v>
          </cell>
          <cell r="E167" t="str">
            <v>15-076</v>
          </cell>
          <cell r="F167" t="str">
            <v>Laryngoscopes, Rigid</v>
          </cell>
          <cell r="G167" t="str">
            <v>AE</v>
          </cell>
          <cell r="H167" t="str">
            <v>EMERGENCY UNIT</v>
          </cell>
          <cell r="I167" t="str">
            <v>01AE119</v>
          </cell>
          <cell r="J167" t="str">
            <v>RESUSCITATION/TREATMENT</v>
          </cell>
          <cell r="K167" t="str">
            <v>BMED</v>
          </cell>
          <cell r="L167" t="str">
            <v>Normal</v>
          </cell>
          <cell r="M167" t="str">
            <v>Not Available</v>
          </cell>
          <cell r="N167" t="str">
            <v>Not Available</v>
          </cell>
          <cell r="O167" t="str">
            <v>Not Available</v>
          </cell>
          <cell r="P167" t="str">
            <v>Not Available</v>
          </cell>
          <cell r="Q167" t="str">
            <v>Not Available</v>
          </cell>
          <cell r="R167" t="str">
            <v>Not Available</v>
          </cell>
          <cell r="S167" t="str">
            <v>Antah Sir Radin Sdn. Bhd.</v>
          </cell>
          <cell r="T167" t="str">
            <v>Functioning</v>
          </cell>
          <cell r="U167" t="str">
            <v>Asset</v>
          </cell>
          <cell r="V167">
            <v>4000</v>
          </cell>
          <cell r="W167" t="str">
            <v>KEW</v>
          </cell>
          <cell r="X167" t="str">
            <v>01/09/2010</v>
          </cell>
          <cell r="Y167" t="str">
            <v>KEW</v>
          </cell>
          <cell r="Z167" t="str">
            <v>16/08/2013</v>
          </cell>
          <cell r="AA167" t="str">
            <v>15/08/2015</v>
          </cell>
          <cell r="AB167" t="str">
            <v>No</v>
          </cell>
          <cell r="AC167" t="str">
            <v>16/08/2013</v>
          </cell>
          <cell r="AD167" t="str">
            <v>Good</v>
          </cell>
          <cell r="AE167" t="str">
            <v>V4 - Decommissioned Installed Facility</v>
          </cell>
          <cell r="AF167">
            <v>42681</v>
          </cell>
          <cell r="AG167">
            <v>9.17</v>
          </cell>
          <cell r="AH167" t="str">
            <v>RI</v>
          </cell>
          <cell r="AI167" t="str">
            <v>Not in contract</v>
          </cell>
          <cell r="AJ167" t="str">
            <v>Not under maintenance</v>
          </cell>
          <cell r="AK167" t="str">
            <v>Will be under V4. Taken out of contract as agreed by IKN</v>
          </cell>
        </row>
        <row r="168">
          <cell r="A168" t="str">
            <v>IKN401272</v>
          </cell>
          <cell r="B168">
            <v>1268</v>
          </cell>
          <cell r="C168" t="str">
            <v>Institut Kanser Negara</v>
          </cell>
          <cell r="D168" t="e">
            <v>#N/A</v>
          </cell>
          <cell r="E168" t="str">
            <v>15-076</v>
          </cell>
          <cell r="F168" t="str">
            <v>Laryngoscopes, Rigid</v>
          </cell>
          <cell r="G168" t="str">
            <v>AE</v>
          </cell>
          <cell r="H168" t="str">
            <v>EMERGENCY UNIT</v>
          </cell>
          <cell r="I168" t="str">
            <v>01AE119</v>
          </cell>
          <cell r="J168" t="str">
            <v>RESUSCITATION/TREATMENT</v>
          </cell>
          <cell r="K168" t="str">
            <v>BMED</v>
          </cell>
          <cell r="L168" t="str">
            <v>Normal</v>
          </cell>
          <cell r="M168" t="str">
            <v>Not Available</v>
          </cell>
          <cell r="N168" t="str">
            <v>Not Available</v>
          </cell>
          <cell r="O168" t="str">
            <v>Not Available</v>
          </cell>
          <cell r="P168" t="str">
            <v>Not Available</v>
          </cell>
          <cell r="Q168" t="str">
            <v>Not Available</v>
          </cell>
          <cell r="R168" t="str">
            <v>Not Available</v>
          </cell>
          <cell r="S168" t="str">
            <v>Antah Sir Radin Sdn. Bhd.</v>
          </cell>
          <cell r="T168" t="str">
            <v>Functioning</v>
          </cell>
          <cell r="U168" t="str">
            <v>Asset</v>
          </cell>
          <cell r="V168">
            <v>4000</v>
          </cell>
          <cell r="W168" t="str">
            <v>KEW</v>
          </cell>
          <cell r="X168" t="str">
            <v>01/09/2010</v>
          </cell>
          <cell r="Y168" t="str">
            <v>KEW</v>
          </cell>
          <cell r="Z168" t="str">
            <v>16/08/2013</v>
          </cell>
          <cell r="AA168" t="str">
            <v>15/08/2015</v>
          </cell>
          <cell r="AB168" t="str">
            <v>No</v>
          </cell>
          <cell r="AC168" t="str">
            <v>16/08/2013</v>
          </cell>
          <cell r="AD168" t="str">
            <v>Good</v>
          </cell>
          <cell r="AE168" t="str">
            <v>V4 - Decommissioned Installed Facility</v>
          </cell>
          <cell r="AF168">
            <v>42681</v>
          </cell>
          <cell r="AG168">
            <v>9.17</v>
          </cell>
          <cell r="AH168" t="str">
            <v>RI</v>
          </cell>
          <cell r="AI168" t="str">
            <v>Not in contract</v>
          </cell>
          <cell r="AJ168" t="str">
            <v>Not under maintenance</v>
          </cell>
          <cell r="AK168" t="str">
            <v>Will be under V4. Taken out of contract as agreed by IKN</v>
          </cell>
        </row>
        <row r="169">
          <cell r="A169" t="str">
            <v>IKN401283</v>
          </cell>
          <cell r="B169">
            <v>1279</v>
          </cell>
          <cell r="C169" t="str">
            <v>Institut Kanser Negara</v>
          </cell>
          <cell r="D169" t="e">
            <v>#N/A</v>
          </cell>
          <cell r="E169" t="str">
            <v>15-076</v>
          </cell>
          <cell r="F169" t="str">
            <v>Laryngoscopes, Rigid</v>
          </cell>
          <cell r="G169" t="str">
            <v>RT</v>
          </cell>
          <cell r="H169" t="str">
            <v>RADIATION TREATMENT UNIT</v>
          </cell>
          <cell r="I169" t="str">
            <v>01RT116</v>
          </cell>
          <cell r="J169" t="str">
            <v>CT SIMULATOR 1</v>
          </cell>
          <cell r="K169" t="str">
            <v>BMED</v>
          </cell>
          <cell r="L169" t="str">
            <v>Normal</v>
          </cell>
          <cell r="M169" t="str">
            <v>Not Available</v>
          </cell>
          <cell r="N169" t="str">
            <v>Not Available</v>
          </cell>
          <cell r="O169" t="str">
            <v>Not Available</v>
          </cell>
          <cell r="P169" t="str">
            <v>Not Available</v>
          </cell>
          <cell r="Q169" t="str">
            <v>Not Available</v>
          </cell>
          <cell r="R169" t="str">
            <v>Not Available</v>
          </cell>
          <cell r="S169" t="str">
            <v>Not Available</v>
          </cell>
          <cell r="T169" t="str">
            <v>Functioning</v>
          </cell>
          <cell r="U169" t="str">
            <v>Asset</v>
          </cell>
          <cell r="V169">
            <v>4000</v>
          </cell>
          <cell r="W169" t="str">
            <v>KEW</v>
          </cell>
          <cell r="X169" t="str">
            <v>01/09/2010</v>
          </cell>
          <cell r="Y169" t="str">
            <v>KEW</v>
          </cell>
          <cell r="Z169" t="str">
            <v>16/08/2013</v>
          </cell>
          <cell r="AA169" t="str">
            <v>15/08/2015</v>
          </cell>
          <cell r="AB169" t="str">
            <v>No</v>
          </cell>
          <cell r="AC169" t="str">
            <v>16/08/2013</v>
          </cell>
          <cell r="AD169" t="str">
            <v>Good</v>
          </cell>
          <cell r="AE169" t="str">
            <v>V4 - Decommissioned Installed Facility</v>
          </cell>
          <cell r="AF169">
            <v>42681</v>
          </cell>
          <cell r="AG169">
            <v>9.17</v>
          </cell>
          <cell r="AH169" t="str">
            <v>RI</v>
          </cell>
          <cell r="AI169" t="str">
            <v>Not in contract</v>
          </cell>
          <cell r="AJ169" t="str">
            <v>Not under maintenance</v>
          </cell>
          <cell r="AK169" t="str">
            <v>Will be under V4. Taken out of contract as agreed by IKN</v>
          </cell>
        </row>
        <row r="170">
          <cell r="A170" t="str">
            <v>IKN401284</v>
          </cell>
          <cell r="B170">
            <v>1280</v>
          </cell>
          <cell r="C170" t="str">
            <v>Institut Kanser Negara</v>
          </cell>
          <cell r="D170" t="e">
            <v>#N/A</v>
          </cell>
          <cell r="E170" t="str">
            <v>15-076</v>
          </cell>
          <cell r="F170" t="str">
            <v>Laryngoscopes, Rigid</v>
          </cell>
          <cell r="G170" t="str">
            <v>RT</v>
          </cell>
          <cell r="H170" t="str">
            <v>RADIATION TREATMENT UNIT</v>
          </cell>
          <cell r="I170" t="str">
            <v>01RT116</v>
          </cell>
          <cell r="J170" t="str">
            <v>CT SIMULATOR 1</v>
          </cell>
          <cell r="K170" t="str">
            <v>BMED</v>
          </cell>
          <cell r="L170" t="str">
            <v>Normal</v>
          </cell>
          <cell r="M170" t="str">
            <v>Not Available</v>
          </cell>
          <cell r="N170" t="str">
            <v>Not Available</v>
          </cell>
          <cell r="O170" t="str">
            <v>Not Available</v>
          </cell>
          <cell r="P170" t="str">
            <v>Not Available</v>
          </cell>
          <cell r="Q170" t="str">
            <v>Not Available</v>
          </cell>
          <cell r="R170" t="str">
            <v>Not Available</v>
          </cell>
          <cell r="S170" t="str">
            <v>Not Available</v>
          </cell>
          <cell r="T170" t="str">
            <v>Functioning</v>
          </cell>
          <cell r="U170" t="str">
            <v>Asset</v>
          </cell>
          <cell r="V170">
            <v>4000</v>
          </cell>
          <cell r="W170" t="str">
            <v>KEW</v>
          </cell>
          <cell r="X170" t="str">
            <v>01/09/2010</v>
          </cell>
          <cell r="Y170" t="str">
            <v>KEW</v>
          </cell>
          <cell r="Z170" t="str">
            <v>16/08/2013</v>
          </cell>
          <cell r="AA170" t="str">
            <v>15/08/2015</v>
          </cell>
          <cell r="AB170" t="str">
            <v>No</v>
          </cell>
          <cell r="AC170" t="str">
            <v>16/08/2013</v>
          </cell>
          <cell r="AD170" t="str">
            <v>Good</v>
          </cell>
          <cell r="AE170" t="str">
            <v>V4 - Decommissioned Installed Facility</v>
          </cell>
          <cell r="AF170">
            <v>42681</v>
          </cell>
          <cell r="AG170">
            <v>9.17</v>
          </cell>
          <cell r="AH170" t="str">
            <v>RI</v>
          </cell>
          <cell r="AI170" t="str">
            <v>Not in contract</v>
          </cell>
          <cell r="AJ170" t="str">
            <v>Not under maintenance</v>
          </cell>
          <cell r="AK170" t="str">
            <v>Will be under V4. Taken out of contract as agreed by IKN</v>
          </cell>
        </row>
        <row r="171">
          <cell r="A171" t="str">
            <v>IKN401285</v>
          </cell>
          <cell r="B171">
            <v>1281</v>
          </cell>
          <cell r="C171" t="str">
            <v>Institut Kanser Negara</v>
          </cell>
          <cell r="D171" t="e">
            <v>#N/A</v>
          </cell>
          <cell r="E171" t="str">
            <v>15-076</v>
          </cell>
          <cell r="F171" t="str">
            <v>Laryngoscopes, Rigid</v>
          </cell>
          <cell r="G171" t="str">
            <v>RT</v>
          </cell>
          <cell r="H171" t="str">
            <v>RADIATION TREATMENT UNIT</v>
          </cell>
          <cell r="I171" t="str">
            <v>01RT237</v>
          </cell>
          <cell r="J171" t="str">
            <v>N/S</v>
          </cell>
          <cell r="K171" t="str">
            <v>BMED</v>
          </cell>
          <cell r="L171" t="str">
            <v>Normal</v>
          </cell>
          <cell r="M171" t="str">
            <v>Not Available</v>
          </cell>
          <cell r="N171" t="str">
            <v>Not Available</v>
          </cell>
          <cell r="O171" t="str">
            <v>Not Available</v>
          </cell>
          <cell r="P171" t="str">
            <v>Not Available</v>
          </cell>
          <cell r="Q171" t="str">
            <v>Not Available</v>
          </cell>
          <cell r="R171" t="str">
            <v>Not Available</v>
          </cell>
          <cell r="S171" t="str">
            <v>Antah Sir Radin Sdn. Bhd.</v>
          </cell>
          <cell r="T171" t="str">
            <v>Functioning</v>
          </cell>
          <cell r="U171" t="str">
            <v>Asset</v>
          </cell>
          <cell r="V171">
            <v>4000</v>
          </cell>
          <cell r="W171" t="str">
            <v>KEW</v>
          </cell>
          <cell r="X171" t="str">
            <v>01/09/2010</v>
          </cell>
          <cell r="Y171" t="str">
            <v>KEW</v>
          </cell>
          <cell r="Z171" t="str">
            <v>16/08/2013</v>
          </cell>
          <cell r="AA171" t="str">
            <v>15/08/2015</v>
          </cell>
          <cell r="AB171" t="str">
            <v>No</v>
          </cell>
          <cell r="AC171" t="str">
            <v>16/08/2013</v>
          </cell>
          <cell r="AD171" t="str">
            <v>Good</v>
          </cell>
          <cell r="AE171" t="str">
            <v>V4 - Decommissioned Installed Facility</v>
          </cell>
          <cell r="AF171">
            <v>42681</v>
          </cell>
          <cell r="AG171">
            <v>9.17</v>
          </cell>
          <cell r="AH171" t="str">
            <v>RI</v>
          </cell>
          <cell r="AI171" t="str">
            <v>Not in contract</v>
          </cell>
          <cell r="AJ171" t="str">
            <v>Not under maintenance</v>
          </cell>
          <cell r="AK171" t="str">
            <v>Will be under V4. Taken out of contract as agreed by IKN</v>
          </cell>
        </row>
        <row r="172">
          <cell r="A172" t="str">
            <v>IKN401286</v>
          </cell>
          <cell r="B172">
            <v>1282</v>
          </cell>
          <cell r="C172" t="str">
            <v>Institut Kanser Negara</v>
          </cell>
          <cell r="D172" t="e">
            <v>#N/A</v>
          </cell>
          <cell r="E172" t="str">
            <v>15-076</v>
          </cell>
          <cell r="F172" t="str">
            <v>Laryngoscopes, Rigid</v>
          </cell>
          <cell r="G172" t="str">
            <v>RT</v>
          </cell>
          <cell r="H172" t="str">
            <v>RADIATION TREATMENT UNIT</v>
          </cell>
          <cell r="I172" t="str">
            <v>01RT237</v>
          </cell>
          <cell r="J172" t="str">
            <v>N/S</v>
          </cell>
          <cell r="K172" t="str">
            <v>BMED</v>
          </cell>
          <cell r="L172" t="str">
            <v>Normal</v>
          </cell>
          <cell r="M172" t="str">
            <v>Not Available</v>
          </cell>
          <cell r="N172" t="str">
            <v>Not Available</v>
          </cell>
          <cell r="O172" t="str">
            <v>Not Available</v>
          </cell>
          <cell r="P172" t="str">
            <v>Not Available</v>
          </cell>
          <cell r="Q172" t="str">
            <v>Not Available</v>
          </cell>
          <cell r="R172" t="str">
            <v>Not Available</v>
          </cell>
          <cell r="S172" t="str">
            <v>Antah Sir Radin Sdn. Bhd.</v>
          </cell>
          <cell r="T172" t="str">
            <v>Functioning</v>
          </cell>
          <cell r="U172" t="str">
            <v>Asset</v>
          </cell>
          <cell r="V172">
            <v>4000</v>
          </cell>
          <cell r="W172" t="str">
            <v>KEW</v>
          </cell>
          <cell r="X172" t="str">
            <v>01/09/2010</v>
          </cell>
          <cell r="Y172" t="str">
            <v>KEW</v>
          </cell>
          <cell r="Z172" t="str">
            <v>16/08/2013</v>
          </cell>
          <cell r="AA172" t="str">
            <v>15/08/2015</v>
          </cell>
          <cell r="AB172" t="str">
            <v>No</v>
          </cell>
          <cell r="AC172" t="str">
            <v>16/08/2013</v>
          </cell>
          <cell r="AD172" t="str">
            <v>Good</v>
          </cell>
          <cell r="AE172" t="str">
            <v>V4 - Decommissioned Installed Facility</v>
          </cell>
          <cell r="AF172">
            <v>42681</v>
          </cell>
          <cell r="AG172">
            <v>9.17</v>
          </cell>
          <cell r="AH172" t="str">
            <v>RI</v>
          </cell>
          <cell r="AI172" t="str">
            <v>Not in contract</v>
          </cell>
          <cell r="AJ172" t="str">
            <v>Not under maintenance</v>
          </cell>
          <cell r="AK172" t="str">
            <v>Will be under V4. Taken out of contract as agreed by IKN</v>
          </cell>
        </row>
        <row r="173">
          <cell r="A173" t="str">
            <v>IKN401293</v>
          </cell>
          <cell r="B173">
            <v>1289</v>
          </cell>
          <cell r="C173" t="str">
            <v>Institut Kanser Negara</v>
          </cell>
          <cell r="D173" t="e">
            <v>#N/A</v>
          </cell>
          <cell r="E173" t="str">
            <v>16-158</v>
          </cell>
          <cell r="F173" t="str">
            <v>Sphygmomanometers, Mercury</v>
          </cell>
          <cell r="G173" t="str">
            <v>IC</v>
          </cell>
          <cell r="H173" t="str">
            <v>INTENSIVE CARE UNIT</v>
          </cell>
          <cell r="I173" t="str">
            <v>05IC121</v>
          </cell>
          <cell r="J173" t="str">
            <v>MEDICATION PREPARATION</v>
          </cell>
          <cell r="K173" t="str">
            <v>BMED</v>
          </cell>
          <cell r="L173" t="str">
            <v>Critical</v>
          </cell>
          <cell r="M173" t="str">
            <v>Germany</v>
          </cell>
          <cell r="N173" t="str">
            <v>Erka</v>
          </cell>
          <cell r="O173" t="str">
            <v>Erkameter 3000</v>
          </cell>
          <cell r="P173" t="str">
            <v>13500753</v>
          </cell>
          <cell r="Q173" t="str">
            <v>Not Available</v>
          </cell>
          <cell r="R173" t="str">
            <v>Erka GmbH &amp; Co</v>
          </cell>
          <cell r="S173" t="str">
            <v>Acucare Sdn. Bhd</v>
          </cell>
          <cell r="T173" t="str">
            <v>Functioning</v>
          </cell>
          <cell r="U173" t="str">
            <v>Asset</v>
          </cell>
          <cell r="V173">
            <v>505</v>
          </cell>
          <cell r="W173" t="str">
            <v>KEW</v>
          </cell>
          <cell r="X173" t="str">
            <v>01/09/2010</v>
          </cell>
          <cell r="Y173" t="str">
            <v>KEW</v>
          </cell>
          <cell r="Z173" t="str">
            <v>16/08/2013</v>
          </cell>
          <cell r="AA173" t="str">
            <v>15/08/2015</v>
          </cell>
          <cell r="AB173" t="str">
            <v>No</v>
          </cell>
          <cell r="AC173" t="str">
            <v>31/08/2013</v>
          </cell>
          <cell r="AD173" t="str">
            <v>Good</v>
          </cell>
          <cell r="AE173" t="str">
            <v>V4 - Decommissioned Installed Facility</v>
          </cell>
          <cell r="AF173">
            <v>42590</v>
          </cell>
          <cell r="AG173">
            <v>9.17</v>
          </cell>
          <cell r="AH173" t="str">
            <v>PPM</v>
          </cell>
          <cell r="AI173" t="str">
            <v>Not in contract</v>
          </cell>
          <cell r="AJ173" t="str">
            <v>Not under maintenance</v>
          </cell>
          <cell r="AK173" t="e">
            <v>#N/A</v>
          </cell>
        </row>
        <row r="174">
          <cell r="A174" t="str">
            <v>IKN401294</v>
          </cell>
          <cell r="B174">
            <v>1290</v>
          </cell>
          <cell r="C174" t="str">
            <v>Institut Kanser Negara</v>
          </cell>
          <cell r="D174" t="e">
            <v>#N/A</v>
          </cell>
          <cell r="E174" t="str">
            <v>18-595</v>
          </cell>
          <cell r="F174" t="str">
            <v>Ophthalmoscopes/Otoscopes</v>
          </cell>
          <cell r="G174" t="str">
            <v>WB</v>
          </cell>
          <cell r="H174" t="str">
            <v>SURGICAL ONCO MALE WARD</v>
          </cell>
          <cell r="I174" t="str">
            <v>05WB107</v>
          </cell>
          <cell r="J174" t="str">
            <v>TREATMENT / PROCEDURE</v>
          </cell>
          <cell r="K174" t="str">
            <v>BMED</v>
          </cell>
          <cell r="L174" t="str">
            <v>Normal</v>
          </cell>
          <cell r="M174" t="str">
            <v>USA</v>
          </cell>
          <cell r="N174" t="str">
            <v>Welch Allyn</v>
          </cell>
          <cell r="O174" t="str">
            <v>Welch Allyn 97150-BIM</v>
          </cell>
          <cell r="P174" t="str">
            <v>Not Available</v>
          </cell>
          <cell r="Q174" t="str">
            <v>Not Available</v>
          </cell>
          <cell r="R174" t="str">
            <v>Welch Allyn Inc</v>
          </cell>
          <cell r="S174" t="str">
            <v>Welch Allyn</v>
          </cell>
          <cell r="T174" t="str">
            <v>Functioning</v>
          </cell>
          <cell r="U174" t="str">
            <v>Asset</v>
          </cell>
          <cell r="V174">
            <v>4690</v>
          </cell>
          <cell r="W174" t="str">
            <v>KEW</v>
          </cell>
          <cell r="X174" t="str">
            <v>01/09/2010</v>
          </cell>
          <cell r="Y174" t="str">
            <v>KEW</v>
          </cell>
          <cell r="Z174" t="str">
            <v>16/08/2013</v>
          </cell>
          <cell r="AA174" t="str">
            <v>15/08/2015</v>
          </cell>
          <cell r="AB174" t="str">
            <v>No</v>
          </cell>
          <cell r="AC174" t="str">
            <v>31/08/2013</v>
          </cell>
          <cell r="AD174" t="str">
            <v>Good</v>
          </cell>
          <cell r="AE174" t="str">
            <v>V1 - Existing / No Claim</v>
          </cell>
          <cell r="AF174">
            <v>42590</v>
          </cell>
          <cell r="AG174">
            <v>9.17</v>
          </cell>
          <cell r="AH174" t="str">
            <v>RI</v>
          </cell>
          <cell r="AI174" t="str">
            <v>Not in contract</v>
          </cell>
          <cell r="AJ174" t="str">
            <v>Not under maintenance</v>
          </cell>
          <cell r="AK174" t="str">
            <v>Will be under V4. Taken out of contract as agreed by IKN</v>
          </cell>
        </row>
        <row r="175">
          <cell r="A175" t="str">
            <v>IKN401295</v>
          </cell>
          <cell r="B175">
            <v>1291</v>
          </cell>
          <cell r="C175" t="str">
            <v>Institut Kanser Negara</v>
          </cell>
          <cell r="D175" t="e">
            <v>#N/A</v>
          </cell>
          <cell r="E175" t="str">
            <v>15-076</v>
          </cell>
          <cell r="F175" t="str">
            <v>Laryngoscopes, Rigid</v>
          </cell>
          <cell r="G175" t="str">
            <v>WB</v>
          </cell>
          <cell r="H175" t="str">
            <v>SURGICAL ONCO MALE WARD</v>
          </cell>
          <cell r="I175" t="str">
            <v>05WB107</v>
          </cell>
          <cell r="J175" t="str">
            <v>TREATMENT / PROCEDURE</v>
          </cell>
          <cell r="K175" t="str">
            <v>BMED</v>
          </cell>
          <cell r="L175" t="str">
            <v>Normal</v>
          </cell>
          <cell r="M175" t="str">
            <v>Not Available</v>
          </cell>
          <cell r="N175" t="str">
            <v>Not Available</v>
          </cell>
          <cell r="O175" t="str">
            <v>Not Available</v>
          </cell>
          <cell r="P175" t="str">
            <v>Not Available</v>
          </cell>
          <cell r="Q175" t="str">
            <v>Not Available</v>
          </cell>
          <cell r="R175" t="str">
            <v>Not Available</v>
          </cell>
          <cell r="S175" t="str">
            <v>Antah Sri Radin</v>
          </cell>
          <cell r="T175" t="str">
            <v>Functioning</v>
          </cell>
          <cell r="U175" t="str">
            <v>Asset</v>
          </cell>
          <cell r="V175">
            <v>4000</v>
          </cell>
          <cell r="W175" t="str">
            <v>KEW</v>
          </cell>
          <cell r="X175" t="str">
            <v>01/09/2010</v>
          </cell>
          <cell r="Y175" t="str">
            <v>KEW</v>
          </cell>
          <cell r="Z175" t="str">
            <v>16/08/2013</v>
          </cell>
          <cell r="AA175" t="str">
            <v>15/08/2015</v>
          </cell>
          <cell r="AB175" t="str">
            <v>No</v>
          </cell>
          <cell r="AC175" t="str">
            <v>31/08/2013</v>
          </cell>
          <cell r="AD175" t="str">
            <v>Good</v>
          </cell>
          <cell r="AE175" t="str">
            <v>V4 - Decommissioned Installed Facility</v>
          </cell>
          <cell r="AF175">
            <v>42590</v>
          </cell>
          <cell r="AG175">
            <v>9.17</v>
          </cell>
          <cell r="AH175" t="str">
            <v>RI</v>
          </cell>
          <cell r="AI175" t="str">
            <v>Not in contract</v>
          </cell>
          <cell r="AJ175" t="str">
            <v>Not under maintenance</v>
          </cell>
          <cell r="AK175" t="str">
            <v>Will be under V4. Taken out of contract as agreed by IKN</v>
          </cell>
        </row>
        <row r="176">
          <cell r="A176" t="str">
            <v>IKN401296</v>
          </cell>
          <cell r="B176">
            <v>1292</v>
          </cell>
          <cell r="C176" t="str">
            <v>Institut Kanser Negara</v>
          </cell>
          <cell r="D176" t="e">
            <v>#N/A</v>
          </cell>
          <cell r="E176" t="str">
            <v>15-076</v>
          </cell>
          <cell r="F176" t="str">
            <v>Laryngoscopes, Rigid</v>
          </cell>
          <cell r="G176" t="str">
            <v>WB</v>
          </cell>
          <cell r="H176" t="str">
            <v>SURGICAL ONCO MALE WARD</v>
          </cell>
          <cell r="I176" t="str">
            <v>05WB107</v>
          </cell>
          <cell r="J176" t="str">
            <v>TREATMENT / PROCEDURE</v>
          </cell>
          <cell r="K176" t="str">
            <v>BMED</v>
          </cell>
          <cell r="L176" t="str">
            <v>Normal</v>
          </cell>
          <cell r="M176" t="str">
            <v>Not Available</v>
          </cell>
          <cell r="N176" t="str">
            <v>Not Available</v>
          </cell>
          <cell r="O176" t="str">
            <v>Not Available</v>
          </cell>
          <cell r="P176" t="str">
            <v>Not Available</v>
          </cell>
          <cell r="Q176" t="str">
            <v>Not Available</v>
          </cell>
          <cell r="R176" t="str">
            <v>Not Available</v>
          </cell>
          <cell r="S176" t="str">
            <v>Antah Sri Radin</v>
          </cell>
          <cell r="T176" t="str">
            <v>Functioning</v>
          </cell>
          <cell r="U176" t="str">
            <v>Asset</v>
          </cell>
          <cell r="V176">
            <v>505</v>
          </cell>
          <cell r="W176" t="str">
            <v>KEW</v>
          </cell>
          <cell r="X176" t="str">
            <v>01/09/2010</v>
          </cell>
          <cell r="Y176" t="str">
            <v>KEW</v>
          </cell>
          <cell r="Z176" t="str">
            <v>16/08/2013</v>
          </cell>
          <cell r="AA176" t="str">
            <v>15/08/2015</v>
          </cell>
          <cell r="AB176" t="str">
            <v>No</v>
          </cell>
          <cell r="AC176" t="str">
            <v>31/08/2013</v>
          </cell>
          <cell r="AD176" t="str">
            <v>Good</v>
          </cell>
          <cell r="AE176" t="str">
            <v>V4 - Decommissioned Installed Facility</v>
          </cell>
          <cell r="AF176">
            <v>42590</v>
          </cell>
          <cell r="AG176">
            <v>9.17</v>
          </cell>
          <cell r="AH176" t="str">
            <v>RI</v>
          </cell>
          <cell r="AI176" t="str">
            <v>Not in contract</v>
          </cell>
          <cell r="AJ176" t="str">
            <v>Not under maintenance</v>
          </cell>
          <cell r="AK176" t="str">
            <v>Will be under V4. Taken out of contract as agreed by IKN</v>
          </cell>
        </row>
        <row r="177">
          <cell r="A177" t="str">
            <v>IKN401297</v>
          </cell>
          <cell r="B177">
            <v>1293</v>
          </cell>
          <cell r="C177" t="str">
            <v>Institut Kanser Negara</v>
          </cell>
          <cell r="D177" t="e">
            <v>#N/A</v>
          </cell>
          <cell r="E177" t="str">
            <v>16-158</v>
          </cell>
          <cell r="F177" t="str">
            <v>Sphygmomanometers, Mercury</v>
          </cell>
          <cell r="G177" t="str">
            <v>WB</v>
          </cell>
          <cell r="H177" t="str">
            <v>SURGICAL ONCO MALE WARD</v>
          </cell>
          <cell r="I177" t="str">
            <v>05WB107</v>
          </cell>
          <cell r="J177" t="str">
            <v>TREATMENT / PROCEDURE</v>
          </cell>
          <cell r="K177" t="str">
            <v>BMED</v>
          </cell>
          <cell r="L177" t="str">
            <v>Critical</v>
          </cell>
          <cell r="M177" t="str">
            <v>Germany</v>
          </cell>
          <cell r="N177" t="str">
            <v>Erka</v>
          </cell>
          <cell r="O177" t="str">
            <v>Erkameter 3000</v>
          </cell>
          <cell r="P177" t="str">
            <v>13500744</v>
          </cell>
          <cell r="Q177" t="str">
            <v>Not Available</v>
          </cell>
          <cell r="R177" t="str">
            <v>Erka GmbH &amp; Co</v>
          </cell>
          <cell r="S177" t="str">
            <v>Acucare Sdn. Bhd</v>
          </cell>
          <cell r="T177" t="str">
            <v>Functioning</v>
          </cell>
          <cell r="U177" t="str">
            <v>Asset</v>
          </cell>
          <cell r="V177">
            <v>505</v>
          </cell>
          <cell r="W177" t="str">
            <v>KEW</v>
          </cell>
          <cell r="X177" t="str">
            <v>01/09/2010</v>
          </cell>
          <cell r="Y177" t="str">
            <v>KEW</v>
          </cell>
          <cell r="Z177" t="str">
            <v>16/08/2013</v>
          </cell>
          <cell r="AA177" t="str">
            <v>15/08/2015</v>
          </cell>
          <cell r="AB177" t="str">
            <v>No</v>
          </cell>
          <cell r="AC177" t="str">
            <v>31/08/2013</v>
          </cell>
          <cell r="AD177" t="str">
            <v>Good</v>
          </cell>
          <cell r="AE177" t="str">
            <v>V4 - Decommissioned Installed Facility</v>
          </cell>
          <cell r="AF177">
            <v>42590</v>
          </cell>
          <cell r="AG177">
            <v>9.17</v>
          </cell>
          <cell r="AH177" t="str">
            <v>PPM</v>
          </cell>
          <cell r="AI177" t="str">
            <v>Not in contract</v>
          </cell>
          <cell r="AJ177" t="str">
            <v>Not under maintenance</v>
          </cell>
          <cell r="AK177" t="e">
            <v>#N/A</v>
          </cell>
        </row>
        <row r="178">
          <cell r="A178" t="str">
            <v>IKN401298</v>
          </cell>
          <cell r="B178">
            <v>1294</v>
          </cell>
          <cell r="C178" t="str">
            <v>Institut Kanser Negara</v>
          </cell>
          <cell r="D178" t="e">
            <v>#N/A</v>
          </cell>
          <cell r="E178" t="str">
            <v>15-076</v>
          </cell>
          <cell r="F178" t="str">
            <v>Laryngoscopes, Rigid</v>
          </cell>
          <cell r="G178" t="str">
            <v>IC</v>
          </cell>
          <cell r="H178" t="str">
            <v>INTENSIVE CARE UNIT</v>
          </cell>
          <cell r="I178" t="str">
            <v>05IC121</v>
          </cell>
          <cell r="J178" t="str">
            <v>MEDICATION PREPARATION</v>
          </cell>
          <cell r="K178" t="str">
            <v>BMED</v>
          </cell>
          <cell r="L178" t="str">
            <v>Normal</v>
          </cell>
          <cell r="M178" t="str">
            <v>Not Available</v>
          </cell>
          <cell r="N178" t="str">
            <v>Not Available</v>
          </cell>
          <cell r="O178" t="str">
            <v>Not Available</v>
          </cell>
          <cell r="P178" t="str">
            <v>Not Available</v>
          </cell>
          <cell r="Q178" t="str">
            <v>Not Available</v>
          </cell>
          <cell r="R178" t="str">
            <v>Not Available</v>
          </cell>
          <cell r="S178" t="str">
            <v>Antah Sri Radin</v>
          </cell>
          <cell r="T178" t="str">
            <v>Functioning</v>
          </cell>
          <cell r="U178" t="str">
            <v>Asset</v>
          </cell>
          <cell r="V178">
            <v>4000</v>
          </cell>
          <cell r="W178" t="str">
            <v>KEW</v>
          </cell>
          <cell r="X178" t="str">
            <v>01/09/2010</v>
          </cell>
          <cell r="Y178" t="str">
            <v>KEW</v>
          </cell>
          <cell r="Z178" t="str">
            <v>16/08/2013</v>
          </cell>
          <cell r="AA178" t="str">
            <v>15/08/2015</v>
          </cell>
          <cell r="AB178" t="str">
            <v>No</v>
          </cell>
          <cell r="AC178" t="str">
            <v>31/08/2013</v>
          </cell>
          <cell r="AD178" t="str">
            <v>Good</v>
          </cell>
          <cell r="AE178" t="str">
            <v>V4 - Decommissioned Installed Facility</v>
          </cell>
          <cell r="AF178">
            <v>42590</v>
          </cell>
          <cell r="AG178">
            <v>9.17</v>
          </cell>
          <cell r="AH178" t="str">
            <v>RI</v>
          </cell>
          <cell r="AI178" t="str">
            <v>Not in contract</v>
          </cell>
          <cell r="AJ178" t="str">
            <v>Not under maintenance</v>
          </cell>
          <cell r="AK178" t="str">
            <v>Will be under V4. Taken out of contract as agreed by IKN</v>
          </cell>
        </row>
        <row r="179">
          <cell r="A179" t="str">
            <v>IKN401299</v>
          </cell>
          <cell r="B179">
            <v>1295</v>
          </cell>
          <cell r="C179" t="str">
            <v>Institut Kanser Negara</v>
          </cell>
          <cell r="D179" t="e">
            <v>#N/A</v>
          </cell>
          <cell r="E179" t="str">
            <v>15-076</v>
          </cell>
          <cell r="F179" t="str">
            <v>Laryngoscopes, Rigid</v>
          </cell>
          <cell r="G179" t="str">
            <v>IC</v>
          </cell>
          <cell r="H179" t="str">
            <v>INTENSIVE CARE UNIT</v>
          </cell>
          <cell r="I179" t="str">
            <v>05IC121</v>
          </cell>
          <cell r="J179" t="str">
            <v>MEDICATION PREPARATION</v>
          </cell>
          <cell r="K179" t="str">
            <v>BMED</v>
          </cell>
          <cell r="L179" t="str">
            <v>Normal</v>
          </cell>
          <cell r="M179" t="str">
            <v>Not Available</v>
          </cell>
          <cell r="N179" t="str">
            <v>Not Available</v>
          </cell>
          <cell r="O179" t="str">
            <v>Not Available</v>
          </cell>
          <cell r="P179" t="str">
            <v>Not Available</v>
          </cell>
          <cell r="Q179" t="str">
            <v>Not Available</v>
          </cell>
          <cell r="R179" t="str">
            <v>Not Available</v>
          </cell>
          <cell r="S179" t="str">
            <v>Antah Sri Radin</v>
          </cell>
          <cell r="T179" t="str">
            <v>Functioning</v>
          </cell>
          <cell r="U179" t="str">
            <v>Asset</v>
          </cell>
          <cell r="V179">
            <v>4000</v>
          </cell>
          <cell r="W179" t="str">
            <v>KEW</v>
          </cell>
          <cell r="X179" t="str">
            <v>01/09/2010</v>
          </cell>
          <cell r="Y179" t="str">
            <v>KEW</v>
          </cell>
          <cell r="Z179" t="str">
            <v>16/08/2013</v>
          </cell>
          <cell r="AA179" t="str">
            <v>15/08/2015</v>
          </cell>
          <cell r="AB179" t="str">
            <v>No</v>
          </cell>
          <cell r="AC179" t="str">
            <v>31/08/2013</v>
          </cell>
          <cell r="AD179" t="str">
            <v>Good</v>
          </cell>
          <cell r="AE179" t="str">
            <v>V4 - Decommissioned Installed Facility</v>
          </cell>
          <cell r="AF179">
            <v>42590</v>
          </cell>
          <cell r="AG179">
            <v>9.17</v>
          </cell>
          <cell r="AH179" t="str">
            <v>RI</v>
          </cell>
          <cell r="AI179" t="str">
            <v>Not in contract</v>
          </cell>
          <cell r="AJ179" t="str">
            <v>Not under maintenance</v>
          </cell>
          <cell r="AK179" t="str">
            <v>Will be under V4. Taken out of contract as agreed by IKN</v>
          </cell>
        </row>
        <row r="180">
          <cell r="A180" t="str">
            <v>IKN401300</v>
          </cell>
          <cell r="B180">
            <v>1296</v>
          </cell>
          <cell r="C180" t="str">
            <v>Institut Kanser Negara</v>
          </cell>
          <cell r="D180" t="e">
            <v>#N/A</v>
          </cell>
          <cell r="E180" t="str">
            <v>16-158</v>
          </cell>
          <cell r="F180" t="str">
            <v>Sphygmomanometers, Mercury</v>
          </cell>
          <cell r="G180" t="str">
            <v>WC</v>
          </cell>
          <cell r="H180" t="str">
            <v>SURGICAL ONCO FEMALE WARD</v>
          </cell>
          <cell r="I180" t="str">
            <v>06WC107</v>
          </cell>
          <cell r="J180" t="str">
            <v>TREATMENT / PROCEDURE</v>
          </cell>
          <cell r="K180" t="str">
            <v>BMED</v>
          </cell>
          <cell r="L180" t="str">
            <v>Critical</v>
          </cell>
          <cell r="M180" t="str">
            <v>Germany</v>
          </cell>
          <cell r="N180" t="str">
            <v>Erka</v>
          </cell>
          <cell r="O180" t="str">
            <v>Erkameter 3000</v>
          </cell>
          <cell r="P180" t="str">
            <v>13500819</v>
          </cell>
          <cell r="Q180" t="str">
            <v>Not Available</v>
          </cell>
          <cell r="R180" t="str">
            <v>Erka GmbH &amp; Co</v>
          </cell>
          <cell r="S180" t="str">
            <v>Acucare Sdn. Bhd</v>
          </cell>
          <cell r="T180" t="str">
            <v>Functioning</v>
          </cell>
          <cell r="U180" t="str">
            <v>Asset</v>
          </cell>
          <cell r="V180">
            <v>505</v>
          </cell>
          <cell r="W180" t="str">
            <v>KEW</v>
          </cell>
          <cell r="X180" t="str">
            <v>01/09/2010</v>
          </cell>
          <cell r="Y180" t="str">
            <v>KEW</v>
          </cell>
          <cell r="Z180" t="str">
            <v>15/08/2013</v>
          </cell>
          <cell r="AA180" t="str">
            <v>15/08/2015</v>
          </cell>
          <cell r="AB180" t="str">
            <v>No</v>
          </cell>
          <cell r="AC180" t="str">
            <v>31/08/2013</v>
          </cell>
          <cell r="AD180" t="str">
            <v>Good</v>
          </cell>
          <cell r="AE180" t="str">
            <v>V4 - Decommissioned Installed Facility</v>
          </cell>
          <cell r="AF180">
            <v>42590</v>
          </cell>
          <cell r="AG180">
            <v>9.17</v>
          </cell>
          <cell r="AH180" t="str">
            <v>PPM</v>
          </cell>
          <cell r="AI180" t="str">
            <v>Not in contract</v>
          </cell>
          <cell r="AJ180" t="str">
            <v>Not under maintenance</v>
          </cell>
          <cell r="AK180" t="e">
            <v>#N/A</v>
          </cell>
        </row>
        <row r="181">
          <cell r="A181" t="str">
            <v>IKN401301</v>
          </cell>
          <cell r="B181">
            <v>1297</v>
          </cell>
          <cell r="C181" t="str">
            <v>Institut Kanser Negara</v>
          </cell>
          <cell r="D181" t="e">
            <v>#N/A</v>
          </cell>
          <cell r="E181" t="str">
            <v>15-076</v>
          </cell>
          <cell r="F181" t="str">
            <v>Laryngoscopes, Rigid</v>
          </cell>
          <cell r="G181" t="str">
            <v>WC</v>
          </cell>
          <cell r="H181" t="str">
            <v>SURGICAL ONCO FEMALE WARD</v>
          </cell>
          <cell r="I181" t="str">
            <v>06WC107</v>
          </cell>
          <cell r="J181" t="str">
            <v>TREATMENT / PROCEDURE</v>
          </cell>
          <cell r="K181" t="str">
            <v>BMED</v>
          </cell>
          <cell r="L181" t="str">
            <v>Normal</v>
          </cell>
          <cell r="M181" t="str">
            <v>Not Available</v>
          </cell>
          <cell r="N181" t="str">
            <v>Not Available</v>
          </cell>
          <cell r="O181" t="str">
            <v>Not Available</v>
          </cell>
          <cell r="P181" t="str">
            <v>Not Available</v>
          </cell>
          <cell r="Q181" t="str">
            <v>Not Available</v>
          </cell>
          <cell r="R181" t="str">
            <v>Not Available</v>
          </cell>
          <cell r="S181" t="str">
            <v>Antah Sri Radin</v>
          </cell>
          <cell r="T181" t="str">
            <v>Functioning</v>
          </cell>
          <cell r="U181" t="str">
            <v>Asset</v>
          </cell>
          <cell r="V181">
            <v>4000</v>
          </cell>
          <cell r="W181" t="str">
            <v>KEW</v>
          </cell>
          <cell r="X181" t="str">
            <v>01/09/2010</v>
          </cell>
          <cell r="Y181" t="str">
            <v>KEW</v>
          </cell>
          <cell r="Z181" t="str">
            <v>16/08/2013</v>
          </cell>
          <cell r="AA181" t="str">
            <v>15/08/2015</v>
          </cell>
          <cell r="AB181" t="str">
            <v>No</v>
          </cell>
          <cell r="AC181" t="str">
            <v>31/08/2013</v>
          </cell>
          <cell r="AD181" t="str">
            <v>Good</v>
          </cell>
          <cell r="AE181" t="str">
            <v>V4 - Decommissioned Installed Facility</v>
          </cell>
          <cell r="AF181">
            <v>42590</v>
          </cell>
          <cell r="AG181">
            <v>9.17</v>
          </cell>
          <cell r="AH181" t="str">
            <v>RI</v>
          </cell>
          <cell r="AI181" t="str">
            <v>Not in contract</v>
          </cell>
          <cell r="AJ181" t="str">
            <v>Not under maintenance</v>
          </cell>
          <cell r="AK181" t="str">
            <v>Will be under V4. Taken out of contract as agreed by IKN</v>
          </cell>
        </row>
        <row r="182">
          <cell r="A182" t="str">
            <v>IKN401302</v>
          </cell>
          <cell r="B182">
            <v>1298</v>
          </cell>
          <cell r="C182" t="str">
            <v>Institut Kanser Negara</v>
          </cell>
          <cell r="D182" t="e">
            <v>#N/A</v>
          </cell>
          <cell r="E182" t="str">
            <v>15-076</v>
          </cell>
          <cell r="F182" t="str">
            <v>Laryngoscopes, Rigid</v>
          </cell>
          <cell r="G182" t="str">
            <v>WC</v>
          </cell>
          <cell r="H182" t="str">
            <v>SURGICAL ONCO FEMALE WARD</v>
          </cell>
          <cell r="I182" t="str">
            <v>06WC107</v>
          </cell>
          <cell r="J182" t="str">
            <v>TREATMENT / PROCEDURE</v>
          </cell>
          <cell r="K182" t="str">
            <v>BMED</v>
          </cell>
          <cell r="L182" t="str">
            <v>Normal</v>
          </cell>
          <cell r="M182" t="str">
            <v>Not Available</v>
          </cell>
          <cell r="N182" t="str">
            <v>Not Available</v>
          </cell>
          <cell r="O182" t="str">
            <v>Not Available</v>
          </cell>
          <cell r="P182" t="str">
            <v>Not Available</v>
          </cell>
          <cell r="Q182" t="str">
            <v>Not Available</v>
          </cell>
          <cell r="R182" t="str">
            <v>Not Available</v>
          </cell>
          <cell r="S182" t="str">
            <v>ANTAH SRI RADIN</v>
          </cell>
          <cell r="T182" t="str">
            <v>Functioning</v>
          </cell>
          <cell r="U182" t="str">
            <v>Asset</v>
          </cell>
          <cell r="V182">
            <v>4000</v>
          </cell>
          <cell r="W182" t="str">
            <v>KEW</v>
          </cell>
          <cell r="X182" t="str">
            <v>01/09/2010</v>
          </cell>
          <cell r="Y182" t="str">
            <v>KEW</v>
          </cell>
          <cell r="Z182" t="str">
            <v>15/08/2013</v>
          </cell>
          <cell r="AA182" t="str">
            <v>15/08/2015</v>
          </cell>
          <cell r="AB182" t="str">
            <v>No</v>
          </cell>
          <cell r="AC182" t="str">
            <v>31/08/2013</v>
          </cell>
          <cell r="AD182" t="str">
            <v>Good</v>
          </cell>
          <cell r="AE182" t="str">
            <v>V4 - Decommissioned Installed Facility</v>
          </cell>
          <cell r="AF182">
            <v>42585</v>
          </cell>
          <cell r="AG182">
            <v>9.17</v>
          </cell>
          <cell r="AH182" t="str">
            <v>RI</v>
          </cell>
          <cell r="AI182" t="str">
            <v>Not in contract</v>
          </cell>
          <cell r="AJ182" t="str">
            <v>Not under maintenance</v>
          </cell>
          <cell r="AK182" t="str">
            <v>Will be under V4. Taken out of contract as agreed by IKN</v>
          </cell>
        </row>
        <row r="183">
          <cell r="A183" t="str">
            <v>IKN401303</v>
          </cell>
          <cell r="B183">
            <v>1299</v>
          </cell>
          <cell r="C183" t="str">
            <v>Institut Kanser Negara</v>
          </cell>
          <cell r="D183" t="str">
            <v>KKM/IKN/H/13/1354</v>
          </cell>
          <cell r="E183" t="str">
            <v>18-595</v>
          </cell>
          <cell r="F183" t="str">
            <v>Ophthalmoscopes/Otoscopes</v>
          </cell>
          <cell r="G183" t="str">
            <v>WC</v>
          </cell>
          <cell r="H183" t="str">
            <v>SURGICAL ONCO FEMALE WARD</v>
          </cell>
          <cell r="I183" t="str">
            <v>06WC107</v>
          </cell>
          <cell r="J183" t="str">
            <v>TREATMENT / PROCEDURE</v>
          </cell>
          <cell r="K183" t="str">
            <v>BMED</v>
          </cell>
          <cell r="L183" t="str">
            <v>Normal</v>
          </cell>
          <cell r="M183" t="str">
            <v>USA</v>
          </cell>
          <cell r="N183" t="str">
            <v>Welch Allyn</v>
          </cell>
          <cell r="O183" t="str">
            <v>Welch Allyn 97150-BIM</v>
          </cell>
          <cell r="P183" t="str">
            <v>Not Available</v>
          </cell>
          <cell r="Q183" t="str">
            <v>Not Available</v>
          </cell>
          <cell r="R183" t="str">
            <v>Welch Allyn Inc</v>
          </cell>
          <cell r="S183" t="str">
            <v>Welch Allyn</v>
          </cell>
          <cell r="T183" t="str">
            <v>Functioning</v>
          </cell>
          <cell r="U183" t="str">
            <v>Asset</v>
          </cell>
          <cell r="V183">
            <v>4690</v>
          </cell>
          <cell r="W183" t="str">
            <v>KEW</v>
          </cell>
          <cell r="X183" t="str">
            <v>01/09/2010</v>
          </cell>
          <cell r="Y183" t="str">
            <v>KEW</v>
          </cell>
          <cell r="Z183" t="str">
            <v>16/08/2013</v>
          </cell>
          <cell r="AA183" t="str">
            <v>15/08/2015</v>
          </cell>
          <cell r="AB183" t="str">
            <v>No</v>
          </cell>
          <cell r="AC183" t="str">
            <v>31/08/2013</v>
          </cell>
          <cell r="AD183" t="str">
            <v>Good</v>
          </cell>
          <cell r="AE183" t="str">
            <v>V1 - Existing / No Claim</v>
          </cell>
          <cell r="AF183">
            <v>42590</v>
          </cell>
          <cell r="AG183">
            <v>9.17</v>
          </cell>
          <cell r="AH183" t="str">
            <v>RI</v>
          </cell>
          <cell r="AI183" t="str">
            <v>Strands</v>
          </cell>
          <cell r="AJ183" t="str">
            <v>Not under maintenance</v>
          </cell>
        </row>
        <row r="184">
          <cell r="A184" t="str">
            <v>IKN401304</v>
          </cell>
          <cell r="B184">
            <v>1300</v>
          </cell>
          <cell r="C184" t="str">
            <v>Institut Kanser Negara</v>
          </cell>
          <cell r="D184" t="str">
            <v>KKM/IKN/H/13/1355</v>
          </cell>
          <cell r="E184" t="str">
            <v>18-595</v>
          </cell>
          <cell r="F184" t="str">
            <v>Ophthalmoscopes/Otoscopes</v>
          </cell>
          <cell r="G184" t="str">
            <v>WC</v>
          </cell>
          <cell r="H184" t="str">
            <v>SURGICAL ONCO FEMALE WARD</v>
          </cell>
          <cell r="I184" t="str">
            <v>06WC107</v>
          </cell>
          <cell r="J184" t="str">
            <v>TREATMENT / PROCEDURE</v>
          </cell>
          <cell r="K184" t="str">
            <v>BMED</v>
          </cell>
          <cell r="L184" t="str">
            <v>Normal</v>
          </cell>
          <cell r="M184" t="str">
            <v>USA</v>
          </cell>
          <cell r="N184" t="str">
            <v>Welch Allyn</v>
          </cell>
          <cell r="O184" t="str">
            <v>Welch Allyn 97150-BIM</v>
          </cell>
          <cell r="P184" t="str">
            <v>Not Available</v>
          </cell>
          <cell r="Q184" t="str">
            <v>Not Available</v>
          </cell>
          <cell r="R184" t="str">
            <v>Welch Allyn Inc</v>
          </cell>
          <cell r="S184" t="str">
            <v>Welch Allyn</v>
          </cell>
          <cell r="T184" t="str">
            <v>Functioning</v>
          </cell>
          <cell r="U184" t="str">
            <v>Asset</v>
          </cell>
          <cell r="V184">
            <v>4690</v>
          </cell>
          <cell r="W184" t="str">
            <v>KEW</v>
          </cell>
          <cell r="X184" t="str">
            <v>01/09/2010</v>
          </cell>
          <cell r="Y184" t="str">
            <v>KEW</v>
          </cell>
          <cell r="Z184" t="str">
            <v>16/08/2013</v>
          </cell>
          <cell r="AA184" t="str">
            <v>15/08/2015</v>
          </cell>
          <cell r="AB184" t="str">
            <v>No</v>
          </cell>
          <cell r="AC184" t="str">
            <v>31/08/2013</v>
          </cell>
          <cell r="AD184" t="str">
            <v>Good</v>
          </cell>
          <cell r="AE184" t="str">
            <v>V1 - Existing / No Claim</v>
          </cell>
          <cell r="AF184">
            <v>42590</v>
          </cell>
          <cell r="AG184">
            <v>9.17</v>
          </cell>
          <cell r="AH184" t="str">
            <v>RI</v>
          </cell>
          <cell r="AI184" t="str">
            <v>Strands</v>
          </cell>
          <cell r="AJ184" t="str">
            <v>Not under maintenance</v>
          </cell>
        </row>
        <row r="185">
          <cell r="A185" t="str">
            <v>IKN401305</v>
          </cell>
          <cell r="B185">
            <v>1301</v>
          </cell>
          <cell r="C185" t="str">
            <v>Institut Kanser Negara</v>
          </cell>
          <cell r="D185" t="e">
            <v>#N/A</v>
          </cell>
          <cell r="E185" t="str">
            <v>16-158</v>
          </cell>
          <cell r="F185" t="str">
            <v>Sphygmomanometers, Mercury</v>
          </cell>
          <cell r="G185" t="str">
            <v>WD</v>
          </cell>
          <cell r="H185" t="str">
            <v>RT/ONCO PAED/ADOLESCENT WARD</v>
          </cell>
          <cell r="I185" t="str">
            <v>06WD154</v>
          </cell>
          <cell r="J185" t="str">
            <v>CLEAN UTILITY</v>
          </cell>
          <cell r="K185" t="str">
            <v>BMED</v>
          </cell>
          <cell r="L185" t="str">
            <v>Critical</v>
          </cell>
          <cell r="M185" t="str">
            <v>Germany</v>
          </cell>
          <cell r="N185" t="str">
            <v>Erka</v>
          </cell>
          <cell r="O185" t="str">
            <v>Erkameter 3000</v>
          </cell>
          <cell r="P185" t="str">
            <v>13500822</v>
          </cell>
          <cell r="Q185" t="str">
            <v>Not Available</v>
          </cell>
          <cell r="R185" t="str">
            <v>Erka GmbH &amp; Co</v>
          </cell>
          <cell r="S185" t="str">
            <v>Acucare Sdn. Bhd</v>
          </cell>
          <cell r="T185" t="str">
            <v>Functioning</v>
          </cell>
          <cell r="U185" t="str">
            <v>Asset</v>
          </cell>
          <cell r="V185">
            <v>505</v>
          </cell>
          <cell r="W185" t="str">
            <v>KEW</v>
          </cell>
          <cell r="X185" t="str">
            <v>01/09/2010</v>
          </cell>
          <cell r="Y185" t="str">
            <v>KEW</v>
          </cell>
          <cell r="Z185" t="str">
            <v>16/08/2013</v>
          </cell>
          <cell r="AA185" t="str">
            <v>15/08/2015</v>
          </cell>
          <cell r="AB185" t="str">
            <v>No</v>
          </cell>
          <cell r="AC185" t="str">
            <v>31/08/2013</v>
          </cell>
          <cell r="AD185" t="str">
            <v>Good</v>
          </cell>
          <cell r="AE185" t="str">
            <v>V4 - Decommissioned Installed Facility</v>
          </cell>
          <cell r="AF185">
            <v>42590</v>
          </cell>
          <cell r="AG185">
            <v>9.17</v>
          </cell>
          <cell r="AH185" t="str">
            <v>PPM</v>
          </cell>
          <cell r="AI185" t="str">
            <v>Not in contract</v>
          </cell>
          <cell r="AJ185" t="str">
            <v>Not under maintenance</v>
          </cell>
          <cell r="AK185" t="e">
            <v>#N/A</v>
          </cell>
        </row>
        <row r="186">
          <cell r="A186" t="str">
            <v>IKN401306</v>
          </cell>
          <cell r="B186">
            <v>1302</v>
          </cell>
          <cell r="C186" t="str">
            <v>Institut Kanser Negara</v>
          </cell>
          <cell r="D186" t="e">
            <v>#N/A</v>
          </cell>
          <cell r="E186" t="str">
            <v>15-076</v>
          </cell>
          <cell r="F186" t="str">
            <v>Laryngoscopes, Rigid</v>
          </cell>
          <cell r="G186" t="str">
            <v>WD</v>
          </cell>
          <cell r="H186" t="str">
            <v>RT/ONCO PAED/ADOLESCENT WARD</v>
          </cell>
          <cell r="I186" t="str">
            <v>06WD154</v>
          </cell>
          <cell r="J186" t="str">
            <v>CLEAN UTILITY</v>
          </cell>
          <cell r="K186" t="str">
            <v>BMED</v>
          </cell>
          <cell r="L186" t="str">
            <v>Normal</v>
          </cell>
          <cell r="M186" t="str">
            <v>Not Available</v>
          </cell>
          <cell r="N186" t="str">
            <v>Not Available</v>
          </cell>
          <cell r="O186" t="str">
            <v>Not Available</v>
          </cell>
          <cell r="P186" t="str">
            <v>Not Available</v>
          </cell>
          <cell r="Q186" t="str">
            <v>Not Available</v>
          </cell>
          <cell r="R186" t="str">
            <v>Not Available</v>
          </cell>
          <cell r="S186" t="str">
            <v>Antah Sri Radin</v>
          </cell>
          <cell r="T186" t="str">
            <v>Functioning</v>
          </cell>
          <cell r="U186" t="str">
            <v>Asset</v>
          </cell>
          <cell r="V186">
            <v>4000</v>
          </cell>
          <cell r="W186" t="str">
            <v>KEW</v>
          </cell>
          <cell r="X186" t="str">
            <v>01/09/2010</v>
          </cell>
          <cell r="Y186" t="str">
            <v>KEW</v>
          </cell>
          <cell r="Z186" t="str">
            <v>16/08/2013</v>
          </cell>
          <cell r="AA186" t="str">
            <v>15/08/2015</v>
          </cell>
          <cell r="AB186" t="str">
            <v>No</v>
          </cell>
          <cell r="AC186" t="str">
            <v>31/08/2013</v>
          </cell>
          <cell r="AD186" t="str">
            <v>Good</v>
          </cell>
          <cell r="AE186" t="str">
            <v>V4 - Decommissioned Installed Facility</v>
          </cell>
          <cell r="AF186">
            <v>42590</v>
          </cell>
          <cell r="AG186">
            <v>9.17</v>
          </cell>
          <cell r="AH186" t="str">
            <v>RI</v>
          </cell>
          <cell r="AI186" t="str">
            <v>Not in contract</v>
          </cell>
          <cell r="AJ186" t="str">
            <v>Not under maintenance</v>
          </cell>
          <cell r="AK186" t="str">
            <v>Will be under V4. Taken out of contract as agreed by IKN</v>
          </cell>
        </row>
        <row r="187">
          <cell r="A187" t="str">
            <v>IKN401307</v>
          </cell>
          <cell r="B187">
            <v>1303</v>
          </cell>
          <cell r="C187" t="str">
            <v>Institut Kanser Negara</v>
          </cell>
          <cell r="D187" t="e">
            <v>#N/A</v>
          </cell>
          <cell r="E187" t="str">
            <v>15-076</v>
          </cell>
          <cell r="F187" t="str">
            <v>Laryngoscopes, Rigid</v>
          </cell>
          <cell r="G187" t="str">
            <v>WD</v>
          </cell>
          <cell r="H187" t="str">
            <v>RT/ONCO PAED/ADOLESCENT WARD</v>
          </cell>
          <cell r="I187" t="str">
            <v>06WD154</v>
          </cell>
          <cell r="J187" t="str">
            <v>CLEAN UTILITY</v>
          </cell>
          <cell r="K187" t="str">
            <v>BMED</v>
          </cell>
          <cell r="L187" t="str">
            <v>Normal</v>
          </cell>
          <cell r="M187" t="str">
            <v>Not Available</v>
          </cell>
          <cell r="N187" t="str">
            <v>Not Available</v>
          </cell>
          <cell r="O187" t="str">
            <v>Not Available</v>
          </cell>
          <cell r="P187" t="str">
            <v>Not Available</v>
          </cell>
          <cell r="Q187" t="str">
            <v>Not Available</v>
          </cell>
          <cell r="R187" t="str">
            <v>Not Available</v>
          </cell>
          <cell r="S187" t="str">
            <v>Antah Sri Radin</v>
          </cell>
          <cell r="T187" t="str">
            <v>Functioning</v>
          </cell>
          <cell r="U187" t="str">
            <v>Asset</v>
          </cell>
          <cell r="V187">
            <v>4000</v>
          </cell>
          <cell r="W187" t="str">
            <v>KEW</v>
          </cell>
          <cell r="X187" t="str">
            <v>01/09/2010</v>
          </cell>
          <cell r="Y187" t="str">
            <v>KEW</v>
          </cell>
          <cell r="Z187" t="str">
            <v>16/08/2013</v>
          </cell>
          <cell r="AA187" t="str">
            <v>15/08/2015</v>
          </cell>
          <cell r="AB187" t="str">
            <v>No</v>
          </cell>
          <cell r="AC187" t="str">
            <v>31/08/2013</v>
          </cell>
          <cell r="AD187" t="str">
            <v>Good</v>
          </cell>
          <cell r="AE187" t="str">
            <v>V4 - Decommissioned Installed Facility</v>
          </cell>
          <cell r="AF187">
            <v>42590</v>
          </cell>
          <cell r="AG187">
            <v>9.17</v>
          </cell>
          <cell r="AH187" t="str">
            <v>RI</v>
          </cell>
          <cell r="AI187" t="str">
            <v>Not in contract</v>
          </cell>
          <cell r="AJ187" t="str">
            <v>Not under maintenance</v>
          </cell>
          <cell r="AK187" t="str">
            <v>Will be under V4. Taken out of contract as agreed by IKN</v>
          </cell>
        </row>
        <row r="188">
          <cell r="A188" t="str">
            <v>IKN401308</v>
          </cell>
          <cell r="B188">
            <v>1304</v>
          </cell>
          <cell r="C188" t="str">
            <v>Institut Kanser Negara</v>
          </cell>
          <cell r="D188" t="str">
            <v>KKM/IKN/H/13/1469</v>
          </cell>
          <cell r="E188" t="str">
            <v>18-595</v>
          </cell>
          <cell r="F188" t="str">
            <v>Ophthalmoscopes/Otoscopes</v>
          </cell>
          <cell r="G188" t="str">
            <v>WD</v>
          </cell>
          <cell r="H188" t="str">
            <v>RT/ONCO PAED/ADOLESCENT WARD</v>
          </cell>
          <cell r="I188" t="str">
            <v>06WD154</v>
          </cell>
          <cell r="J188" t="str">
            <v>CLEAN UTILITY</v>
          </cell>
          <cell r="K188" t="str">
            <v>BMED</v>
          </cell>
          <cell r="L188" t="str">
            <v>Normal</v>
          </cell>
          <cell r="M188" t="str">
            <v>USA</v>
          </cell>
          <cell r="N188" t="str">
            <v>Welch Allyn</v>
          </cell>
          <cell r="O188" t="str">
            <v>Welch Allyn 97150-BIM</v>
          </cell>
          <cell r="P188" t="str">
            <v>Not Available</v>
          </cell>
          <cell r="Q188" t="str">
            <v>Not Available</v>
          </cell>
          <cell r="R188" t="str">
            <v>Welch Allyn Inc</v>
          </cell>
          <cell r="S188" t="str">
            <v>Welch Allyn</v>
          </cell>
          <cell r="T188" t="str">
            <v>Functioning</v>
          </cell>
          <cell r="U188" t="str">
            <v>Asset</v>
          </cell>
          <cell r="V188">
            <v>4690</v>
          </cell>
          <cell r="W188" t="str">
            <v>KEW</v>
          </cell>
          <cell r="X188" t="str">
            <v>01/09/2010</v>
          </cell>
          <cell r="Y188" t="str">
            <v>KEW</v>
          </cell>
          <cell r="Z188" t="str">
            <v>16/08/2013</v>
          </cell>
          <cell r="AA188" t="str">
            <v>15/08/2015</v>
          </cell>
          <cell r="AB188" t="str">
            <v>No</v>
          </cell>
          <cell r="AC188" t="str">
            <v>31/08/2013</v>
          </cell>
          <cell r="AD188" t="str">
            <v>Good</v>
          </cell>
          <cell r="AE188" t="str">
            <v>V1 - Existing / No Claim</v>
          </cell>
          <cell r="AF188">
            <v>42590</v>
          </cell>
          <cell r="AG188">
            <v>9.17</v>
          </cell>
          <cell r="AH188" t="str">
            <v>RI</v>
          </cell>
          <cell r="AI188" t="str">
            <v>Strands</v>
          </cell>
          <cell r="AJ188" t="str">
            <v>Not under maintenance</v>
          </cell>
        </row>
        <row r="189">
          <cell r="A189" t="str">
            <v>IKN401309</v>
          </cell>
          <cell r="B189">
            <v>1305</v>
          </cell>
          <cell r="C189" t="str">
            <v>Institut Kanser Negara</v>
          </cell>
          <cell r="D189" t="e">
            <v>#N/A</v>
          </cell>
          <cell r="E189" t="str">
            <v>15-076</v>
          </cell>
          <cell r="F189" t="str">
            <v>Laryngoscopes, Rigid</v>
          </cell>
          <cell r="G189" t="str">
            <v>WE</v>
          </cell>
          <cell r="H189" t="str">
            <v>RT/ONCO WARD 1 (F)</v>
          </cell>
          <cell r="I189" t="str">
            <v>07WE107</v>
          </cell>
          <cell r="J189" t="str">
            <v>TREATMENT / PROCESURE</v>
          </cell>
          <cell r="K189" t="str">
            <v>BMED</v>
          </cell>
          <cell r="L189" t="str">
            <v>Normal</v>
          </cell>
          <cell r="M189" t="str">
            <v>Not Available</v>
          </cell>
          <cell r="N189" t="str">
            <v>Not Available</v>
          </cell>
          <cell r="O189" t="str">
            <v>Not Available</v>
          </cell>
          <cell r="P189" t="str">
            <v>Not Available</v>
          </cell>
          <cell r="Q189" t="str">
            <v>Not Available</v>
          </cell>
          <cell r="R189" t="str">
            <v>Not Available</v>
          </cell>
          <cell r="S189" t="str">
            <v>Antah Sri Radin</v>
          </cell>
          <cell r="T189" t="str">
            <v>Functioning</v>
          </cell>
          <cell r="U189" t="str">
            <v>Asset</v>
          </cell>
          <cell r="V189">
            <v>4000</v>
          </cell>
          <cell r="W189" t="str">
            <v>KEW</v>
          </cell>
          <cell r="X189" t="str">
            <v>01/09/2010</v>
          </cell>
          <cell r="Y189" t="str">
            <v>KEW</v>
          </cell>
          <cell r="Z189" t="str">
            <v>16/08/2013</v>
          </cell>
          <cell r="AA189" t="str">
            <v>15/08/2015</v>
          </cell>
          <cell r="AB189" t="str">
            <v>No</v>
          </cell>
          <cell r="AC189" t="str">
            <v>31/08/2013</v>
          </cell>
          <cell r="AD189" t="str">
            <v>Good</v>
          </cell>
          <cell r="AE189" t="str">
            <v>V4 - Decommissioned Installed Facility</v>
          </cell>
          <cell r="AF189">
            <v>42590</v>
          </cell>
          <cell r="AG189">
            <v>9.17</v>
          </cell>
          <cell r="AH189" t="str">
            <v>RI</v>
          </cell>
          <cell r="AI189" t="str">
            <v>Not in contract</v>
          </cell>
          <cell r="AJ189" t="str">
            <v>Not under maintenance</v>
          </cell>
          <cell r="AK189" t="str">
            <v>Will be under V4. Taken out of contract as agreed by IKN</v>
          </cell>
        </row>
        <row r="190">
          <cell r="A190" t="str">
            <v>IKN401310</v>
          </cell>
          <cell r="B190">
            <v>1306</v>
          </cell>
          <cell r="C190" t="str">
            <v>Institut Kanser Negara</v>
          </cell>
          <cell r="D190" t="e">
            <v>#N/A</v>
          </cell>
          <cell r="E190" t="str">
            <v>15-076</v>
          </cell>
          <cell r="F190" t="str">
            <v>Laryngoscopes, Rigid</v>
          </cell>
          <cell r="G190" t="str">
            <v>WE</v>
          </cell>
          <cell r="H190" t="str">
            <v>RT/ONCO WARD 1 (F)</v>
          </cell>
          <cell r="I190" t="str">
            <v>07WE107</v>
          </cell>
          <cell r="J190" t="str">
            <v>TREATMENT / PROCESURE</v>
          </cell>
          <cell r="K190" t="str">
            <v>BMED</v>
          </cell>
          <cell r="L190" t="str">
            <v>Normal</v>
          </cell>
          <cell r="M190" t="str">
            <v>Not Available</v>
          </cell>
          <cell r="N190" t="str">
            <v>Not Available</v>
          </cell>
          <cell r="O190" t="str">
            <v>Not Available</v>
          </cell>
          <cell r="P190" t="str">
            <v>Not Available</v>
          </cell>
          <cell r="Q190" t="str">
            <v>Not Available</v>
          </cell>
          <cell r="R190" t="str">
            <v>Not Available</v>
          </cell>
          <cell r="S190" t="str">
            <v>Antah Sri Radin</v>
          </cell>
          <cell r="T190" t="str">
            <v>Functioning</v>
          </cell>
          <cell r="U190" t="str">
            <v>Asset</v>
          </cell>
          <cell r="V190">
            <v>4000</v>
          </cell>
          <cell r="W190" t="str">
            <v>KEW</v>
          </cell>
          <cell r="X190" t="str">
            <v>01/09/2010</v>
          </cell>
          <cell r="Y190" t="str">
            <v>KEW</v>
          </cell>
          <cell r="Z190" t="str">
            <v>16/08/2013</v>
          </cell>
          <cell r="AA190" t="str">
            <v>15/08/2015</v>
          </cell>
          <cell r="AB190" t="str">
            <v>No</v>
          </cell>
          <cell r="AC190" t="str">
            <v>31/08/2013</v>
          </cell>
          <cell r="AD190" t="str">
            <v>Good</v>
          </cell>
          <cell r="AE190" t="str">
            <v>V4 - Decommissioned Installed Facility</v>
          </cell>
          <cell r="AF190">
            <v>42590</v>
          </cell>
          <cell r="AG190">
            <v>9.17</v>
          </cell>
          <cell r="AH190" t="str">
            <v>RI</v>
          </cell>
          <cell r="AI190" t="str">
            <v>Not in contract</v>
          </cell>
          <cell r="AJ190" t="str">
            <v>Not under maintenance</v>
          </cell>
          <cell r="AK190" t="str">
            <v>Will be under V4. Taken out of contract as agreed by IKN</v>
          </cell>
        </row>
        <row r="191">
          <cell r="A191" t="str">
            <v>IKN401319</v>
          </cell>
          <cell r="B191">
            <v>1313</v>
          </cell>
          <cell r="C191" t="str">
            <v>Institut Kanser Negara</v>
          </cell>
          <cell r="D191" t="e">
            <v>#N/A</v>
          </cell>
          <cell r="E191" t="str">
            <v>15-076</v>
          </cell>
          <cell r="F191" t="str">
            <v>Laryngoscopes, Rigid</v>
          </cell>
          <cell r="G191" t="str">
            <v>OC</v>
          </cell>
          <cell r="H191" t="str">
            <v>ONCOLOGY CLINIC</v>
          </cell>
          <cell r="I191" t="str">
            <v>03OC133</v>
          </cell>
          <cell r="J191" t="str">
            <v>ASSESSMENT</v>
          </cell>
          <cell r="K191" t="str">
            <v>BMED</v>
          </cell>
          <cell r="L191" t="str">
            <v>Normal</v>
          </cell>
          <cell r="M191" t="str">
            <v>Not Available</v>
          </cell>
          <cell r="N191" t="str">
            <v>Not Available</v>
          </cell>
          <cell r="O191" t="str">
            <v>Not Available</v>
          </cell>
          <cell r="P191" t="str">
            <v>Not Available</v>
          </cell>
          <cell r="Q191" t="str">
            <v>Not Available</v>
          </cell>
          <cell r="R191" t="str">
            <v>Not Available</v>
          </cell>
          <cell r="S191" t="str">
            <v>Antah Sir Radin Sdn. Bhd.</v>
          </cell>
          <cell r="T191" t="str">
            <v>Functioning</v>
          </cell>
          <cell r="U191" t="str">
            <v>Asset</v>
          </cell>
          <cell r="V191">
            <v>4000</v>
          </cell>
          <cell r="W191" t="str">
            <v>KEW</v>
          </cell>
          <cell r="X191" t="str">
            <v>01/09/2010</v>
          </cell>
          <cell r="Y191" t="str">
            <v>KEW</v>
          </cell>
          <cell r="Z191" t="str">
            <v>31/08/2013</v>
          </cell>
          <cell r="AA191" t="str">
            <v>15/08/2015</v>
          </cell>
          <cell r="AB191" t="str">
            <v>No</v>
          </cell>
          <cell r="AC191" t="str">
            <v>31/08/2013</v>
          </cell>
          <cell r="AD191" t="str">
            <v>Good</v>
          </cell>
          <cell r="AE191" t="str">
            <v>V4 - Decommissioned Installed Facility</v>
          </cell>
          <cell r="AF191">
            <v>42630</v>
          </cell>
          <cell r="AG191">
            <v>9.17</v>
          </cell>
          <cell r="AH191" t="str">
            <v>RI</v>
          </cell>
          <cell r="AI191" t="str">
            <v>Not in contract</v>
          </cell>
          <cell r="AJ191" t="str">
            <v>Not under maintenance</v>
          </cell>
          <cell r="AK191" t="str">
            <v>Will be under V4. Taken out of contract as agreed by IKN</v>
          </cell>
        </row>
        <row r="192">
          <cell r="A192" t="str">
            <v>IKN401320</v>
          </cell>
          <cell r="B192">
            <v>1314</v>
          </cell>
          <cell r="C192" t="str">
            <v>Institut Kanser Negara</v>
          </cell>
          <cell r="D192" t="e">
            <v>#N/A</v>
          </cell>
          <cell r="E192" t="str">
            <v>15-076</v>
          </cell>
          <cell r="F192" t="str">
            <v>Laryngoscopes, Rigid</v>
          </cell>
          <cell r="G192" t="str">
            <v>OC</v>
          </cell>
          <cell r="H192" t="str">
            <v>ONCOLOGY CLINIC</v>
          </cell>
          <cell r="I192" t="str">
            <v>03OC133</v>
          </cell>
          <cell r="J192" t="str">
            <v>ASSESSMENT</v>
          </cell>
          <cell r="K192" t="str">
            <v>BMED</v>
          </cell>
          <cell r="L192" t="str">
            <v>Normal</v>
          </cell>
          <cell r="M192" t="str">
            <v>Not Available</v>
          </cell>
          <cell r="N192" t="str">
            <v>Not Available</v>
          </cell>
          <cell r="O192" t="str">
            <v>Not Available</v>
          </cell>
          <cell r="P192" t="str">
            <v>Not Available</v>
          </cell>
          <cell r="Q192" t="str">
            <v>Not Available</v>
          </cell>
          <cell r="R192" t="str">
            <v>Not Available</v>
          </cell>
          <cell r="S192" t="str">
            <v>Antah Sir Radin Sdn. Bhd.</v>
          </cell>
          <cell r="T192" t="str">
            <v>Functioning</v>
          </cell>
          <cell r="U192" t="str">
            <v>Asset</v>
          </cell>
          <cell r="V192">
            <v>4000</v>
          </cell>
          <cell r="W192" t="str">
            <v>KEW</v>
          </cell>
          <cell r="X192" t="str">
            <v>01/09/2010</v>
          </cell>
          <cell r="Y192" t="str">
            <v>KEW</v>
          </cell>
          <cell r="Z192" t="str">
            <v>31/08/2013</v>
          </cell>
          <cell r="AA192" t="str">
            <v>15/08/2015</v>
          </cell>
          <cell r="AB192" t="str">
            <v>No</v>
          </cell>
          <cell r="AC192" t="str">
            <v>31/08/2013</v>
          </cell>
          <cell r="AD192" t="str">
            <v>Good</v>
          </cell>
          <cell r="AE192" t="str">
            <v>V4 - Decommissioned Installed Facility</v>
          </cell>
          <cell r="AF192">
            <v>42630</v>
          </cell>
          <cell r="AG192">
            <v>9.17</v>
          </cell>
          <cell r="AH192" t="str">
            <v>RI</v>
          </cell>
          <cell r="AI192" t="str">
            <v>Not in contract</v>
          </cell>
          <cell r="AJ192" t="str">
            <v>Not under maintenance</v>
          </cell>
          <cell r="AK192" t="str">
            <v>Will be under V4. Taken out of contract as agreed by IKN</v>
          </cell>
        </row>
        <row r="193">
          <cell r="A193" t="str">
            <v>IKN401323</v>
          </cell>
          <cell r="B193">
            <v>1317</v>
          </cell>
          <cell r="C193" t="str">
            <v>Institut Kanser Negara</v>
          </cell>
          <cell r="D193" t="str">
            <v>KKM/IKN/H/13/5071</v>
          </cell>
          <cell r="E193" t="str">
            <v>15-076</v>
          </cell>
          <cell r="F193" t="str">
            <v>Laryngoscopes, Rigid</v>
          </cell>
          <cell r="G193" t="str">
            <v>WH</v>
          </cell>
          <cell r="H193" t="str">
            <v>RT/ONCO WARD 2 (M)</v>
          </cell>
          <cell r="I193" t="str">
            <v>08WH135</v>
          </cell>
          <cell r="J193" t="str">
            <v>4 BED BAY 2</v>
          </cell>
          <cell r="K193" t="str">
            <v>BMED</v>
          </cell>
          <cell r="L193" t="str">
            <v>Normal</v>
          </cell>
          <cell r="M193" t="str">
            <v>Not Available</v>
          </cell>
          <cell r="N193" t="str">
            <v>Not Available</v>
          </cell>
          <cell r="O193" t="str">
            <v>Not Available</v>
          </cell>
          <cell r="P193" t="str">
            <v>Not Available</v>
          </cell>
          <cell r="Q193" t="str">
            <v>Not Available</v>
          </cell>
          <cell r="R193" t="str">
            <v>Not Available</v>
          </cell>
          <cell r="S193" t="str">
            <v>Antah Sir Radin Sdn. Bhd.</v>
          </cell>
          <cell r="T193" t="str">
            <v>Functioning</v>
          </cell>
          <cell r="U193" t="str">
            <v>Asset</v>
          </cell>
          <cell r="V193">
            <v>4000</v>
          </cell>
          <cell r="W193" t="str">
            <v>KEW</v>
          </cell>
          <cell r="X193" t="str">
            <v>01/09/2010</v>
          </cell>
          <cell r="Y193" t="str">
            <v>KEW</v>
          </cell>
          <cell r="Z193" t="str">
            <v>31/08/2013</v>
          </cell>
          <cell r="AA193" t="str">
            <v>15/08/2015</v>
          </cell>
          <cell r="AB193" t="str">
            <v>No</v>
          </cell>
          <cell r="AC193" t="str">
            <v>31/08/2013</v>
          </cell>
          <cell r="AD193" t="str">
            <v>Good</v>
          </cell>
          <cell r="AE193" t="str">
            <v>V4 - Decommissioned Installed Facility</v>
          </cell>
          <cell r="AF193">
            <v>42630</v>
          </cell>
          <cell r="AG193">
            <v>9.17</v>
          </cell>
          <cell r="AH193" t="str">
            <v>RI</v>
          </cell>
          <cell r="AI193" t="str">
            <v>Strands</v>
          </cell>
          <cell r="AJ193" t="str">
            <v>Not under maintenance</v>
          </cell>
        </row>
        <row r="194">
          <cell r="A194" t="str">
            <v>IKN401324</v>
          </cell>
          <cell r="B194">
            <v>1318</v>
          </cell>
          <cell r="C194" t="str">
            <v>Institut Kanser Negara</v>
          </cell>
          <cell r="D194" t="str">
            <v>KKM/IKN/H/13/5072</v>
          </cell>
          <cell r="E194" t="str">
            <v>15-076</v>
          </cell>
          <cell r="F194" t="str">
            <v>Laryngoscopes, Rigid</v>
          </cell>
          <cell r="G194" t="str">
            <v>WH</v>
          </cell>
          <cell r="H194" t="str">
            <v>RT/ONCO WARD 2 (M)</v>
          </cell>
          <cell r="I194" t="str">
            <v>08WH117</v>
          </cell>
          <cell r="J194" t="str">
            <v>SISTER</v>
          </cell>
          <cell r="K194" t="str">
            <v>BMED</v>
          </cell>
          <cell r="L194" t="str">
            <v>Normal</v>
          </cell>
          <cell r="M194" t="str">
            <v>Not Available</v>
          </cell>
          <cell r="N194" t="str">
            <v>Not Available</v>
          </cell>
          <cell r="O194" t="str">
            <v>Not Available</v>
          </cell>
          <cell r="P194" t="str">
            <v>Not Available</v>
          </cell>
          <cell r="Q194" t="str">
            <v>Not Available</v>
          </cell>
          <cell r="R194" t="str">
            <v>Not Available</v>
          </cell>
          <cell r="S194" t="str">
            <v>Antah Sir Radin Sdn. Bhd.</v>
          </cell>
          <cell r="T194" t="str">
            <v>Functioning</v>
          </cell>
          <cell r="U194" t="str">
            <v>Asset</v>
          </cell>
          <cell r="V194">
            <v>4000</v>
          </cell>
          <cell r="W194" t="str">
            <v>KEW</v>
          </cell>
          <cell r="X194" t="str">
            <v>01/09/2010</v>
          </cell>
          <cell r="Y194" t="str">
            <v>KEW</v>
          </cell>
          <cell r="Z194" t="str">
            <v>31/08/2013</v>
          </cell>
          <cell r="AA194" t="str">
            <v>15/08/2015</v>
          </cell>
          <cell r="AB194" t="str">
            <v>No</v>
          </cell>
          <cell r="AC194" t="str">
            <v>31/08/2013</v>
          </cell>
          <cell r="AD194" t="str">
            <v>Good</v>
          </cell>
          <cell r="AE194" t="str">
            <v>V4 - Decommissioned Installed Facility</v>
          </cell>
          <cell r="AF194">
            <v>42630</v>
          </cell>
          <cell r="AG194">
            <v>9.17</v>
          </cell>
          <cell r="AH194" t="str">
            <v>RI</v>
          </cell>
          <cell r="AI194" t="str">
            <v>Strands</v>
          </cell>
          <cell r="AJ194" t="str">
            <v>Not under maintenance</v>
          </cell>
        </row>
        <row r="195">
          <cell r="A195" t="str">
            <v>IKN401325</v>
          </cell>
          <cell r="B195">
            <v>1319</v>
          </cell>
          <cell r="C195" t="str">
            <v>Institut Kanser Negara</v>
          </cell>
          <cell r="D195" t="str">
            <v>KKM/IKN/H/13/5073</v>
          </cell>
          <cell r="E195" t="str">
            <v>18-595</v>
          </cell>
          <cell r="F195" t="str">
            <v>Ophthalmoscopes/Otoscopes</v>
          </cell>
          <cell r="G195" t="str">
            <v>WH</v>
          </cell>
          <cell r="H195" t="str">
            <v>RT/ONCO WARD 2 (M)</v>
          </cell>
          <cell r="I195" t="str">
            <v>08WH135</v>
          </cell>
          <cell r="J195" t="str">
            <v>4 BED BAY 2</v>
          </cell>
          <cell r="K195" t="str">
            <v>BMED</v>
          </cell>
          <cell r="L195" t="str">
            <v>Normal</v>
          </cell>
          <cell r="M195" t="str">
            <v>USA</v>
          </cell>
          <cell r="N195" t="str">
            <v>Welch Allyn</v>
          </cell>
          <cell r="O195" t="str">
            <v>Welch Allyn 97150-BIM</v>
          </cell>
          <cell r="P195" t="str">
            <v>GD0019-36</v>
          </cell>
          <cell r="Q195" t="str">
            <v>Not Available</v>
          </cell>
          <cell r="R195" t="str">
            <v>Welch Allyn Inc</v>
          </cell>
          <cell r="S195" t="str">
            <v>Welch Allyn</v>
          </cell>
          <cell r="T195" t="str">
            <v>Functioning</v>
          </cell>
          <cell r="U195" t="str">
            <v>Asset</v>
          </cell>
          <cell r="V195">
            <v>4690</v>
          </cell>
          <cell r="W195" t="str">
            <v>KEW</v>
          </cell>
          <cell r="X195" t="str">
            <v>01/09/2010</v>
          </cell>
          <cell r="Y195" t="str">
            <v>KEW</v>
          </cell>
          <cell r="Z195" t="str">
            <v>31/08/2013</v>
          </cell>
          <cell r="AA195" t="str">
            <v>15/08/2015</v>
          </cell>
          <cell r="AB195" t="str">
            <v>No</v>
          </cell>
          <cell r="AC195" t="str">
            <v>31/08/2013</v>
          </cell>
          <cell r="AD195" t="str">
            <v>Good</v>
          </cell>
          <cell r="AE195" t="str">
            <v>V1 - Existing / No Claim</v>
          </cell>
          <cell r="AF195">
            <v>42622</v>
          </cell>
          <cell r="AG195">
            <v>9.17</v>
          </cell>
          <cell r="AH195" t="str">
            <v>RI</v>
          </cell>
          <cell r="AI195" t="str">
            <v>Strands</v>
          </cell>
          <cell r="AJ195" t="str">
            <v>Not under maintenance</v>
          </cell>
        </row>
        <row r="196">
          <cell r="A196" t="str">
            <v>IKN401326</v>
          </cell>
          <cell r="B196">
            <v>1320</v>
          </cell>
          <cell r="C196" t="str">
            <v>Institut Kanser Negara</v>
          </cell>
          <cell r="D196" t="e">
            <v>#N/A</v>
          </cell>
          <cell r="E196" t="str">
            <v>18-595</v>
          </cell>
          <cell r="F196" t="str">
            <v>Ophthalmoscopes/Otoscopes</v>
          </cell>
          <cell r="G196" t="str">
            <v>WH</v>
          </cell>
          <cell r="H196" t="str">
            <v>RT/ONCO WARD 2 (M)</v>
          </cell>
          <cell r="I196" t="str">
            <v>08WH117</v>
          </cell>
          <cell r="J196" t="str">
            <v>SISTER</v>
          </cell>
          <cell r="K196" t="str">
            <v>BMED</v>
          </cell>
          <cell r="L196" t="str">
            <v>Normal</v>
          </cell>
          <cell r="M196" t="str">
            <v>USA</v>
          </cell>
          <cell r="N196" t="str">
            <v>Welch Allyn</v>
          </cell>
          <cell r="O196" t="str">
            <v>Welch Allyn 11710</v>
          </cell>
          <cell r="P196" t="str">
            <v>GD0019-37</v>
          </cell>
          <cell r="Q196" t="str">
            <v>Not Available</v>
          </cell>
          <cell r="R196" t="str">
            <v>Welch Allyn Inc</v>
          </cell>
          <cell r="S196" t="str">
            <v>Welch Allyn</v>
          </cell>
          <cell r="T196" t="str">
            <v>Functioning</v>
          </cell>
          <cell r="U196" t="str">
            <v>Asset</v>
          </cell>
          <cell r="V196">
            <v>4690</v>
          </cell>
          <cell r="W196" t="str">
            <v>KEW</v>
          </cell>
          <cell r="X196" t="str">
            <v>01/09/2010</v>
          </cell>
          <cell r="Y196" t="str">
            <v>KEW</v>
          </cell>
          <cell r="Z196" t="str">
            <v>31/08/2013</v>
          </cell>
          <cell r="AA196" t="str">
            <v>15/08/2015</v>
          </cell>
          <cell r="AB196" t="str">
            <v>No</v>
          </cell>
          <cell r="AC196" t="str">
            <v>31/08/2013</v>
          </cell>
          <cell r="AD196" t="str">
            <v>Good</v>
          </cell>
          <cell r="AE196" t="str">
            <v>V1 - Existing / No Claim</v>
          </cell>
          <cell r="AF196">
            <v>42622</v>
          </cell>
          <cell r="AG196">
            <v>9.17</v>
          </cell>
          <cell r="AH196" t="str">
            <v>RI</v>
          </cell>
          <cell r="AI196" t="str">
            <v>Not in contract</v>
          </cell>
          <cell r="AJ196" t="str">
            <v>Not under maintenance</v>
          </cell>
          <cell r="AK196" t="str">
            <v>Will be under V4. Taken out of contract as agreed by IKN</v>
          </cell>
        </row>
        <row r="197">
          <cell r="A197" t="str">
            <v>IKN401327</v>
          </cell>
          <cell r="B197">
            <v>1321</v>
          </cell>
          <cell r="C197" t="str">
            <v>Institut Kanser Negara</v>
          </cell>
          <cell r="D197" t="e">
            <v>#N/A</v>
          </cell>
          <cell r="E197" t="str">
            <v>16-158</v>
          </cell>
          <cell r="F197" t="str">
            <v>Sphygmomanometers, Mercury</v>
          </cell>
          <cell r="G197" t="str">
            <v>WH</v>
          </cell>
          <cell r="H197" t="str">
            <v>RT/ONCO WARD 2 (M)</v>
          </cell>
          <cell r="I197" t="str">
            <v>08WH135</v>
          </cell>
          <cell r="J197" t="str">
            <v>4 BED BAY 2</v>
          </cell>
          <cell r="K197" t="str">
            <v>BMED</v>
          </cell>
          <cell r="L197" t="str">
            <v>Critical</v>
          </cell>
          <cell r="M197" t="str">
            <v>Germany</v>
          </cell>
          <cell r="N197" t="str">
            <v>Erka</v>
          </cell>
          <cell r="O197" t="str">
            <v>Erka</v>
          </cell>
          <cell r="P197" t="str">
            <v>13500757</v>
          </cell>
          <cell r="Q197" t="str">
            <v>Not Available</v>
          </cell>
          <cell r="R197" t="str">
            <v>Erka GmbH &amp; Co</v>
          </cell>
          <cell r="S197" t="str">
            <v>Acucare Sdn. Bhd</v>
          </cell>
          <cell r="T197" t="str">
            <v>Functioning</v>
          </cell>
          <cell r="U197" t="str">
            <v>Asset</v>
          </cell>
          <cell r="V197">
            <v>505</v>
          </cell>
          <cell r="W197" t="str">
            <v>KEW</v>
          </cell>
          <cell r="X197" t="str">
            <v>01/09/2010</v>
          </cell>
          <cell r="Y197" t="str">
            <v>KEW</v>
          </cell>
          <cell r="Z197" t="str">
            <v>31/08/2013</v>
          </cell>
          <cell r="AA197" t="str">
            <v>15/08/2015</v>
          </cell>
          <cell r="AB197" t="str">
            <v>No</v>
          </cell>
          <cell r="AC197" t="str">
            <v>31/08/2013</v>
          </cell>
          <cell r="AD197" t="str">
            <v>Good</v>
          </cell>
          <cell r="AE197" t="str">
            <v>V4 - Decommissioned Installed Facility</v>
          </cell>
          <cell r="AF197">
            <v>42622</v>
          </cell>
          <cell r="AG197">
            <v>9.17</v>
          </cell>
          <cell r="AH197" t="str">
            <v>PPM</v>
          </cell>
          <cell r="AI197" t="str">
            <v>Not in contract</v>
          </cell>
          <cell r="AJ197" t="str">
            <v>Not under maintenance</v>
          </cell>
          <cell r="AK197" t="e">
            <v>#N/A</v>
          </cell>
        </row>
        <row r="198">
          <cell r="A198" t="str">
            <v>IKN401328</v>
          </cell>
          <cell r="B198">
            <v>1322</v>
          </cell>
          <cell r="C198" t="str">
            <v>Institut Kanser Negara</v>
          </cell>
          <cell r="D198" t="e">
            <v>#N/A</v>
          </cell>
          <cell r="E198" t="str">
            <v>16-158</v>
          </cell>
          <cell r="F198" t="str">
            <v>Sphygmomanometers, Mercury</v>
          </cell>
          <cell r="G198" t="str">
            <v>WG</v>
          </cell>
          <cell r="H198" t="str">
            <v>RT/ONCO WARD 1 (M)</v>
          </cell>
          <cell r="I198" t="str">
            <v>08WG135</v>
          </cell>
          <cell r="J198" t="str">
            <v>4 BED BAY 2</v>
          </cell>
          <cell r="K198" t="str">
            <v>BMED</v>
          </cell>
          <cell r="L198" t="str">
            <v>Critical</v>
          </cell>
          <cell r="M198" t="str">
            <v>Germany</v>
          </cell>
          <cell r="N198" t="str">
            <v>Erka</v>
          </cell>
          <cell r="O198" t="str">
            <v>Erka</v>
          </cell>
          <cell r="P198" t="str">
            <v>13500760</v>
          </cell>
          <cell r="Q198" t="str">
            <v>Not Available</v>
          </cell>
          <cell r="R198" t="str">
            <v>Erka GmbH &amp; Co</v>
          </cell>
          <cell r="S198" t="str">
            <v>Acucare Sdn. Bhd</v>
          </cell>
          <cell r="T198" t="str">
            <v>Functioning</v>
          </cell>
          <cell r="U198" t="str">
            <v>Asset</v>
          </cell>
          <cell r="V198">
            <v>505</v>
          </cell>
          <cell r="W198" t="str">
            <v>KEW</v>
          </cell>
          <cell r="X198" t="str">
            <v>01/09/2010</v>
          </cell>
          <cell r="Y198" t="str">
            <v>KEW</v>
          </cell>
          <cell r="Z198" t="str">
            <v>31/08/2013</v>
          </cell>
          <cell r="AA198" t="str">
            <v>15/08/2015</v>
          </cell>
          <cell r="AB198" t="str">
            <v>No</v>
          </cell>
          <cell r="AC198" t="str">
            <v>31/08/2013</v>
          </cell>
          <cell r="AD198" t="str">
            <v>Good</v>
          </cell>
          <cell r="AE198" t="str">
            <v>V4 - Decommissioned Installed Facility</v>
          </cell>
          <cell r="AF198">
            <v>42622</v>
          </cell>
          <cell r="AG198">
            <v>9.17</v>
          </cell>
          <cell r="AH198" t="str">
            <v>PPM</v>
          </cell>
          <cell r="AI198" t="str">
            <v>Not in contract</v>
          </cell>
          <cell r="AJ198" t="str">
            <v>Not under maintenance</v>
          </cell>
          <cell r="AK198" t="e">
            <v>#N/A</v>
          </cell>
        </row>
        <row r="199">
          <cell r="A199" t="str">
            <v>IKN401329</v>
          </cell>
          <cell r="B199">
            <v>1323</v>
          </cell>
          <cell r="C199" t="str">
            <v>Institut Kanser Negara</v>
          </cell>
          <cell r="D199" t="e">
            <v>#N/A</v>
          </cell>
          <cell r="E199" t="str">
            <v>16-158</v>
          </cell>
          <cell r="F199" t="str">
            <v>Sphygmomanometers, Mercury</v>
          </cell>
          <cell r="G199" t="str">
            <v>DO</v>
          </cell>
          <cell r="H199" t="str">
            <v>DAY ONCOLOGY UNIT</v>
          </cell>
          <cell r="I199" t="str">
            <v>04do105</v>
          </cell>
          <cell r="J199" t="str">
            <v>C/E</v>
          </cell>
          <cell r="K199" t="str">
            <v>BMED</v>
          </cell>
          <cell r="L199" t="str">
            <v>Critical</v>
          </cell>
          <cell r="M199" t="str">
            <v>Germany</v>
          </cell>
          <cell r="N199" t="str">
            <v>Erka</v>
          </cell>
          <cell r="O199" t="str">
            <v>Erkameter 3000</v>
          </cell>
          <cell r="P199" t="str">
            <v>12508908</v>
          </cell>
          <cell r="Q199" t="str">
            <v>Not Available</v>
          </cell>
          <cell r="R199" t="str">
            <v>Erka GmbH &amp; Co</v>
          </cell>
          <cell r="S199" t="str">
            <v>Acucare System (M) Sdn. Bhd</v>
          </cell>
          <cell r="T199" t="str">
            <v>Functioning</v>
          </cell>
          <cell r="U199" t="str">
            <v>Asset</v>
          </cell>
          <cell r="V199">
            <v>505</v>
          </cell>
          <cell r="W199" t="str">
            <v>KEW</v>
          </cell>
          <cell r="X199" t="str">
            <v>01/09/2010</v>
          </cell>
          <cell r="Y199" t="str">
            <v>KEW</v>
          </cell>
          <cell r="Z199" t="str">
            <v>16/08/2013</v>
          </cell>
          <cell r="AA199" t="str">
            <v>15/08/2015</v>
          </cell>
          <cell r="AB199" t="str">
            <v>No</v>
          </cell>
          <cell r="AC199" t="str">
            <v>31/08/2013</v>
          </cell>
          <cell r="AD199" t="str">
            <v>Good</v>
          </cell>
          <cell r="AE199" t="str">
            <v>V4 - Decommissioned Installed Facility</v>
          </cell>
          <cell r="AF199">
            <v>42704</v>
          </cell>
          <cell r="AG199">
            <v>9.17</v>
          </cell>
          <cell r="AH199" t="str">
            <v>PPM</v>
          </cell>
          <cell r="AI199" t="str">
            <v>Not in contract</v>
          </cell>
          <cell r="AJ199" t="str">
            <v>Not under maintenance</v>
          </cell>
          <cell r="AK199" t="e">
            <v>#N/A</v>
          </cell>
        </row>
        <row r="200">
          <cell r="A200" t="str">
            <v>IKN401330</v>
          </cell>
          <cell r="B200">
            <v>1324</v>
          </cell>
          <cell r="C200" t="str">
            <v>Institut Kanser Negara</v>
          </cell>
          <cell r="D200" t="e">
            <v>#N/A</v>
          </cell>
          <cell r="E200" t="str">
            <v>15-076</v>
          </cell>
          <cell r="F200" t="str">
            <v>Laryngoscopes, Rigid</v>
          </cell>
          <cell r="G200" t="str">
            <v>DO</v>
          </cell>
          <cell r="H200" t="str">
            <v>DAY ONCOLOGY UNIT</v>
          </cell>
          <cell r="I200" t="str">
            <v>04do133</v>
          </cell>
          <cell r="J200" t="str">
            <v>CLEAN UTILITY</v>
          </cell>
          <cell r="K200" t="str">
            <v>BMED</v>
          </cell>
          <cell r="L200" t="str">
            <v>Normal</v>
          </cell>
          <cell r="M200" t="str">
            <v>Not Available</v>
          </cell>
          <cell r="N200" t="str">
            <v>Not Available</v>
          </cell>
          <cell r="O200" t="str">
            <v>Not Available</v>
          </cell>
          <cell r="P200" t="str">
            <v>Not Available</v>
          </cell>
          <cell r="Q200" t="str">
            <v>Not Available</v>
          </cell>
          <cell r="R200" t="str">
            <v>Not Available</v>
          </cell>
          <cell r="S200" t="str">
            <v>Antah Sri Radin Sdn. Bhd</v>
          </cell>
          <cell r="T200" t="str">
            <v>Functioning</v>
          </cell>
          <cell r="U200" t="str">
            <v>Asset</v>
          </cell>
          <cell r="V200">
            <v>4000</v>
          </cell>
          <cell r="W200" t="str">
            <v>KEW</v>
          </cell>
          <cell r="X200" t="str">
            <v>01/09/2010</v>
          </cell>
          <cell r="Y200" t="str">
            <v>KEW</v>
          </cell>
          <cell r="Z200" t="str">
            <v>16/08/2013</v>
          </cell>
          <cell r="AA200" t="str">
            <v>15/08/2015</v>
          </cell>
          <cell r="AB200" t="str">
            <v>No</v>
          </cell>
          <cell r="AC200" t="str">
            <v>31/08/2013</v>
          </cell>
          <cell r="AD200" t="str">
            <v>Good</v>
          </cell>
          <cell r="AE200" t="str">
            <v>V4 - Decommissioned Installed Facility</v>
          </cell>
          <cell r="AF200">
            <v>42704</v>
          </cell>
          <cell r="AG200">
            <v>9.17</v>
          </cell>
          <cell r="AH200" t="str">
            <v>RI</v>
          </cell>
          <cell r="AI200" t="str">
            <v>Not in contract</v>
          </cell>
          <cell r="AJ200" t="str">
            <v>Not under maintenance</v>
          </cell>
          <cell r="AK200" t="str">
            <v>Will be under V4. Taken out of contract as agreed by IKN</v>
          </cell>
        </row>
        <row r="201">
          <cell r="A201" t="str">
            <v>IKN401331</v>
          </cell>
          <cell r="B201">
            <v>1325</v>
          </cell>
          <cell r="C201" t="str">
            <v>Institut Kanser Negara</v>
          </cell>
          <cell r="D201" t="e">
            <v>#N/A</v>
          </cell>
          <cell r="E201" t="str">
            <v>15-076</v>
          </cell>
          <cell r="F201" t="str">
            <v>Laryngoscopes, Rigid</v>
          </cell>
          <cell r="G201" t="str">
            <v>DO</v>
          </cell>
          <cell r="H201" t="str">
            <v>DAY ONCOLOGY UNIT</v>
          </cell>
          <cell r="I201" t="str">
            <v>04do133</v>
          </cell>
          <cell r="J201" t="str">
            <v>CLEAN UTILITY</v>
          </cell>
          <cell r="K201" t="str">
            <v>BMED</v>
          </cell>
          <cell r="L201" t="str">
            <v>Normal</v>
          </cell>
          <cell r="M201" t="str">
            <v>Not Available</v>
          </cell>
          <cell r="N201" t="str">
            <v>Not Available</v>
          </cell>
          <cell r="O201" t="str">
            <v>Not Available</v>
          </cell>
          <cell r="P201" t="str">
            <v>Not Available</v>
          </cell>
          <cell r="Q201" t="str">
            <v>Not Available</v>
          </cell>
          <cell r="R201" t="str">
            <v>Not Available</v>
          </cell>
          <cell r="S201" t="str">
            <v>Antah Sri Radin Sdn. Bhd</v>
          </cell>
          <cell r="T201" t="str">
            <v>Functioning</v>
          </cell>
          <cell r="U201" t="str">
            <v>Asset</v>
          </cell>
          <cell r="V201">
            <v>4000</v>
          </cell>
          <cell r="W201" t="str">
            <v>KEW</v>
          </cell>
          <cell r="X201" t="str">
            <v>01/09/2010</v>
          </cell>
          <cell r="Y201" t="str">
            <v>KEW</v>
          </cell>
          <cell r="Z201" t="str">
            <v>16/08/2013</v>
          </cell>
          <cell r="AA201" t="str">
            <v>15/08/2015</v>
          </cell>
          <cell r="AB201" t="str">
            <v>No</v>
          </cell>
          <cell r="AC201" t="str">
            <v>31/08/2013</v>
          </cell>
          <cell r="AD201" t="str">
            <v>Good</v>
          </cell>
          <cell r="AE201" t="str">
            <v>V4 - Decommissioned Installed Facility</v>
          </cell>
          <cell r="AF201">
            <v>42704</v>
          </cell>
          <cell r="AG201">
            <v>9.17</v>
          </cell>
          <cell r="AH201" t="str">
            <v>RI</v>
          </cell>
          <cell r="AI201" t="str">
            <v>Not in contract</v>
          </cell>
          <cell r="AJ201" t="str">
            <v>Not under maintenance</v>
          </cell>
          <cell r="AK201" t="str">
            <v>Will be under V4. Taken out of contract as agreed by IKN</v>
          </cell>
        </row>
        <row r="202">
          <cell r="A202" t="str">
            <v>IKN401332</v>
          </cell>
          <cell r="B202">
            <v>1326</v>
          </cell>
          <cell r="C202" t="str">
            <v>Institut Kanser Negara</v>
          </cell>
          <cell r="D202" t="str">
            <v>KKM/IKN/H/13/5123</v>
          </cell>
          <cell r="E202" t="str">
            <v>18-595</v>
          </cell>
          <cell r="F202" t="str">
            <v>Ophthalmoscopes/Otoscopes</v>
          </cell>
          <cell r="G202" t="str">
            <v>DO</v>
          </cell>
          <cell r="H202" t="str">
            <v>DAY ONCOLOGY UNIT</v>
          </cell>
          <cell r="I202" t="str">
            <v>04DO105</v>
          </cell>
          <cell r="J202" t="str">
            <v>C/E</v>
          </cell>
          <cell r="K202" t="str">
            <v>BMED</v>
          </cell>
          <cell r="L202" t="str">
            <v>Normal</v>
          </cell>
          <cell r="M202" t="str">
            <v>USA</v>
          </cell>
          <cell r="N202" t="str">
            <v>Welch Allyn</v>
          </cell>
          <cell r="O202" t="str">
            <v>Welch Allyn 71904</v>
          </cell>
          <cell r="P202" t="str">
            <v>GD0019-29</v>
          </cell>
          <cell r="Q202" t="str">
            <v>Not Available</v>
          </cell>
          <cell r="R202" t="str">
            <v>Welch Allyn Inc</v>
          </cell>
          <cell r="S202" t="str">
            <v>Welch Allyn</v>
          </cell>
          <cell r="T202" t="str">
            <v>Functioning</v>
          </cell>
          <cell r="U202" t="str">
            <v>Asset</v>
          </cell>
          <cell r="V202">
            <v>4690</v>
          </cell>
          <cell r="W202" t="str">
            <v>KEW</v>
          </cell>
          <cell r="X202" t="str">
            <v>01/09/2010</v>
          </cell>
          <cell r="Y202" t="str">
            <v>KEW</v>
          </cell>
          <cell r="Z202" t="str">
            <v>16/08/2013</v>
          </cell>
          <cell r="AA202" t="str">
            <v>15/08/2015</v>
          </cell>
          <cell r="AB202" t="str">
            <v>No</v>
          </cell>
          <cell r="AC202" t="str">
            <v>16/08/2013</v>
          </cell>
          <cell r="AD202" t="str">
            <v>Good</v>
          </cell>
          <cell r="AE202" t="str">
            <v>V1 - Existing / No Claim</v>
          </cell>
          <cell r="AF202">
            <v>42663</v>
          </cell>
          <cell r="AG202">
            <v>9.17</v>
          </cell>
          <cell r="AH202" t="str">
            <v>RI</v>
          </cell>
          <cell r="AI202" t="str">
            <v>Strands</v>
          </cell>
          <cell r="AJ202" t="str">
            <v>Not under maintenance</v>
          </cell>
        </row>
        <row r="203">
          <cell r="A203" t="str">
            <v>IKN401333</v>
          </cell>
          <cell r="B203">
            <v>1327</v>
          </cell>
          <cell r="C203" t="str">
            <v>Institut Kanser Negara</v>
          </cell>
          <cell r="D203" t="str">
            <v>KKM/IKN/H/13/5122</v>
          </cell>
          <cell r="E203" t="str">
            <v>18-595</v>
          </cell>
          <cell r="F203" t="str">
            <v>Ophthalmoscopes/Otoscopes</v>
          </cell>
          <cell r="G203" t="str">
            <v>DO</v>
          </cell>
          <cell r="H203" t="str">
            <v>DAY ONCOLOGY UNIT</v>
          </cell>
          <cell r="I203" t="str">
            <v>04DO131</v>
          </cell>
          <cell r="J203" t="str">
            <v>NURSE STATION</v>
          </cell>
          <cell r="K203" t="str">
            <v>BMED</v>
          </cell>
          <cell r="L203" t="str">
            <v>Normal</v>
          </cell>
          <cell r="M203" t="str">
            <v>USA</v>
          </cell>
          <cell r="N203" t="str">
            <v>Welch Allyn</v>
          </cell>
          <cell r="O203" t="str">
            <v>Welch Allyn 97150-BIM</v>
          </cell>
          <cell r="P203" t="str">
            <v>GD0019-7</v>
          </cell>
          <cell r="Q203" t="str">
            <v>Not Available</v>
          </cell>
          <cell r="R203" t="str">
            <v>Welch Allyn Inc</v>
          </cell>
          <cell r="S203" t="str">
            <v>Welch Allyn Malaysia Sdn. Bhd</v>
          </cell>
          <cell r="T203" t="str">
            <v>Functioning</v>
          </cell>
          <cell r="U203" t="str">
            <v>Asset</v>
          </cell>
          <cell r="V203">
            <v>4690</v>
          </cell>
          <cell r="W203" t="str">
            <v>KEW</v>
          </cell>
          <cell r="X203" t="str">
            <v>01/09/2010</v>
          </cell>
          <cell r="Y203" t="str">
            <v>KEW</v>
          </cell>
          <cell r="Z203" t="str">
            <v>16/08/2013</v>
          </cell>
          <cell r="AA203" t="str">
            <v>15/08/2015</v>
          </cell>
          <cell r="AB203" t="str">
            <v>No</v>
          </cell>
          <cell r="AC203" t="str">
            <v>31/08/2013</v>
          </cell>
          <cell r="AD203" t="str">
            <v>Good</v>
          </cell>
          <cell r="AE203" t="str">
            <v>V1 - Existing / No Claim</v>
          </cell>
          <cell r="AF203">
            <v>42704</v>
          </cell>
          <cell r="AG203">
            <v>9.17</v>
          </cell>
          <cell r="AH203" t="str">
            <v>RI</v>
          </cell>
          <cell r="AI203" t="str">
            <v>Strands</v>
          </cell>
          <cell r="AJ203" t="str">
            <v>Not under maintenance</v>
          </cell>
        </row>
        <row r="204">
          <cell r="A204" t="str">
            <v>IKN401334</v>
          </cell>
          <cell r="B204">
            <v>1328</v>
          </cell>
          <cell r="C204" t="str">
            <v>Institut Kanser Negara</v>
          </cell>
          <cell r="D204" t="e">
            <v>#N/A</v>
          </cell>
          <cell r="E204" t="str">
            <v>18-595</v>
          </cell>
          <cell r="F204" t="str">
            <v>Ophthalmoscopes/Otoscopes</v>
          </cell>
          <cell r="G204" t="str">
            <v>DO</v>
          </cell>
          <cell r="H204" t="str">
            <v>DAY ONCOLOGY UNIT</v>
          </cell>
          <cell r="I204" t="str">
            <v>04do133</v>
          </cell>
          <cell r="J204" t="str">
            <v>CLEAN UTILITY</v>
          </cell>
          <cell r="K204" t="str">
            <v>BMED</v>
          </cell>
          <cell r="L204" t="str">
            <v>Normal</v>
          </cell>
          <cell r="M204" t="str">
            <v>USA</v>
          </cell>
          <cell r="N204" t="str">
            <v>Welch Allyn</v>
          </cell>
          <cell r="O204" t="str">
            <v>Welch Allyn 97150-BIM</v>
          </cell>
          <cell r="P204" t="str">
            <v>Not Available</v>
          </cell>
          <cell r="Q204" t="str">
            <v>Not Available</v>
          </cell>
          <cell r="R204" t="str">
            <v>Welch Allyn Inc</v>
          </cell>
          <cell r="S204" t="str">
            <v>Welch Allyn Malaysia Sdn. Bhd</v>
          </cell>
          <cell r="T204" t="str">
            <v>Functioning</v>
          </cell>
          <cell r="U204" t="str">
            <v>Asset</v>
          </cell>
          <cell r="V204">
            <v>4690</v>
          </cell>
          <cell r="W204" t="str">
            <v>KEW</v>
          </cell>
          <cell r="X204" t="str">
            <v>01/09/2010</v>
          </cell>
          <cell r="Y204" t="str">
            <v>KEW</v>
          </cell>
          <cell r="Z204" t="str">
            <v>16/08/2013</v>
          </cell>
          <cell r="AA204" t="str">
            <v>15/08/2015</v>
          </cell>
          <cell r="AB204" t="str">
            <v>No</v>
          </cell>
          <cell r="AC204" t="str">
            <v>31/08/2013</v>
          </cell>
          <cell r="AD204" t="str">
            <v>Good</v>
          </cell>
          <cell r="AE204" t="str">
            <v>V1 - Existing / No Claim</v>
          </cell>
          <cell r="AF204">
            <v>42704</v>
          </cell>
          <cell r="AG204">
            <v>9.17</v>
          </cell>
          <cell r="AH204" t="str">
            <v>RI</v>
          </cell>
          <cell r="AI204" t="str">
            <v>Not in contract</v>
          </cell>
          <cell r="AJ204" t="str">
            <v>Not under maintenance</v>
          </cell>
          <cell r="AK204" t="str">
            <v>Will be under V4. Taken out of contract as agreed by IKN</v>
          </cell>
        </row>
        <row r="205">
          <cell r="A205" t="str">
            <v>IKN401372</v>
          </cell>
          <cell r="B205">
            <v>1366</v>
          </cell>
          <cell r="C205" t="str">
            <v>Institut Kanser Negara</v>
          </cell>
          <cell r="D205" t="str">
            <v>KKM/IKN/H/13/2665-01</v>
          </cell>
          <cell r="E205" t="str">
            <v>15-076</v>
          </cell>
          <cell r="F205" t="str">
            <v>Laryngoscopes, Rigid</v>
          </cell>
          <cell r="G205" t="str">
            <v>ID</v>
          </cell>
          <cell r="H205" t="str">
            <v>IMAGING DEPARTMENT</v>
          </cell>
          <cell r="I205" t="str">
            <v>03id107</v>
          </cell>
          <cell r="J205" t="str">
            <v>RESUS EQ.BAY</v>
          </cell>
          <cell r="K205" t="str">
            <v>BMED</v>
          </cell>
          <cell r="L205" t="str">
            <v>Normal</v>
          </cell>
          <cell r="M205" t="str">
            <v>Not Available</v>
          </cell>
          <cell r="N205" t="str">
            <v>Not Available</v>
          </cell>
          <cell r="O205" t="str">
            <v>Not Available</v>
          </cell>
          <cell r="P205" t="str">
            <v>Not Available</v>
          </cell>
          <cell r="Q205" t="str">
            <v>Not Available</v>
          </cell>
          <cell r="R205" t="str">
            <v>Not Available</v>
          </cell>
          <cell r="S205" t="str">
            <v>Antah Sri Radin Sdn. Bhd</v>
          </cell>
          <cell r="T205" t="str">
            <v>Functioning</v>
          </cell>
          <cell r="U205" t="str">
            <v>Asset</v>
          </cell>
          <cell r="V205">
            <v>4000</v>
          </cell>
          <cell r="W205" t="str">
            <v>KEW</v>
          </cell>
          <cell r="X205" t="str">
            <v>01/09/2010</v>
          </cell>
          <cell r="Y205" t="str">
            <v>KEW</v>
          </cell>
          <cell r="Z205" t="str">
            <v>16/08/2013</v>
          </cell>
          <cell r="AA205" t="str">
            <v>15/08/2015</v>
          </cell>
          <cell r="AB205" t="str">
            <v>No</v>
          </cell>
          <cell r="AC205" t="str">
            <v>31/08/2013</v>
          </cell>
          <cell r="AD205" t="str">
            <v>Good</v>
          </cell>
          <cell r="AE205" t="str">
            <v>V4 - Decommissioned Installed Facility</v>
          </cell>
          <cell r="AF205">
            <v>42696</v>
          </cell>
          <cell r="AG205">
            <v>9.17</v>
          </cell>
          <cell r="AH205" t="str">
            <v>RI</v>
          </cell>
          <cell r="AI205" t="str">
            <v>Not in contract</v>
          </cell>
          <cell r="AJ205" t="str">
            <v>Not under maintenance</v>
          </cell>
          <cell r="AK205" t="str">
            <v>Will be under V4. Taken out of contract as agreed by IKN. Under MRI</v>
          </cell>
        </row>
        <row r="206">
          <cell r="A206" t="str">
            <v>IKN401373</v>
          </cell>
          <cell r="B206">
            <v>1367</v>
          </cell>
          <cell r="C206" t="str">
            <v>Institut Kanser Negara</v>
          </cell>
          <cell r="D206" t="str">
            <v>KKM/IKN/H/13/3940-13</v>
          </cell>
          <cell r="E206" t="str">
            <v>15-076</v>
          </cell>
          <cell r="F206" t="str">
            <v>Laryngoscopes, Rigid</v>
          </cell>
          <cell r="G206" t="str">
            <v>ID</v>
          </cell>
          <cell r="H206" t="str">
            <v>IMAGING DEPARTMENT</v>
          </cell>
          <cell r="I206" t="str">
            <v>03ID107</v>
          </cell>
          <cell r="J206" t="str">
            <v>RESUS EQ.BAY</v>
          </cell>
          <cell r="K206" t="str">
            <v>BMED</v>
          </cell>
          <cell r="L206" t="str">
            <v>Normal</v>
          </cell>
          <cell r="M206" t="str">
            <v>Not Available</v>
          </cell>
          <cell r="N206" t="str">
            <v>Not Available</v>
          </cell>
          <cell r="O206" t="str">
            <v>Not Available</v>
          </cell>
          <cell r="P206" t="str">
            <v>Not Available</v>
          </cell>
          <cell r="Q206" t="str">
            <v>Not Available</v>
          </cell>
          <cell r="R206" t="str">
            <v>Not Available</v>
          </cell>
          <cell r="S206" t="str">
            <v>Antah Sri Radin Sdn. Bhd</v>
          </cell>
          <cell r="T206" t="str">
            <v>Functioning</v>
          </cell>
          <cell r="U206" t="str">
            <v>Asset</v>
          </cell>
          <cell r="V206">
            <v>4000</v>
          </cell>
          <cell r="W206" t="str">
            <v>KEW</v>
          </cell>
          <cell r="X206" t="str">
            <v>01/09/2010</v>
          </cell>
          <cell r="Y206" t="str">
            <v>KEW</v>
          </cell>
          <cell r="Z206" t="str">
            <v>16/08/2013</v>
          </cell>
          <cell r="AA206" t="str">
            <v>15/08/2015</v>
          </cell>
          <cell r="AB206" t="str">
            <v>No</v>
          </cell>
          <cell r="AC206" t="str">
            <v>31/08/2013</v>
          </cell>
          <cell r="AD206" t="str">
            <v>Good</v>
          </cell>
          <cell r="AE206" t="str">
            <v>V4 - Decommissioned Installed Facility</v>
          </cell>
          <cell r="AF206">
            <v>42697</v>
          </cell>
          <cell r="AG206">
            <v>9.17</v>
          </cell>
          <cell r="AH206" t="str">
            <v>RI</v>
          </cell>
          <cell r="AI206" t="str">
            <v>Not in contract</v>
          </cell>
          <cell r="AJ206" t="str">
            <v>Not under maintenance</v>
          </cell>
          <cell r="AK206" t="str">
            <v>Will be under V4. Taken out of contract as agreed by IKN. Dekat Nurse Bay</v>
          </cell>
        </row>
        <row r="207">
          <cell r="A207" t="str">
            <v>IKN401374</v>
          </cell>
          <cell r="B207">
            <v>1368</v>
          </cell>
          <cell r="C207" t="str">
            <v>Institut Kanser Negara</v>
          </cell>
          <cell r="D207" t="str">
            <v>NA</v>
          </cell>
          <cell r="E207" t="str">
            <v>15-076</v>
          </cell>
          <cell r="F207" t="str">
            <v>Laryngoscopes, Rigid</v>
          </cell>
          <cell r="G207" t="str">
            <v>WA</v>
          </cell>
          <cell r="H207" t="str">
            <v>NUCLEAR MED WARD (THERAPY)</v>
          </cell>
          <cell r="I207" t="str">
            <v>03WA121</v>
          </cell>
          <cell r="J207" t="str">
            <v>N/S 2</v>
          </cell>
          <cell r="K207" t="str">
            <v>BMED</v>
          </cell>
          <cell r="L207" t="str">
            <v>Normal</v>
          </cell>
          <cell r="M207" t="str">
            <v>Not Available</v>
          </cell>
          <cell r="N207" t="str">
            <v>Not Available</v>
          </cell>
          <cell r="O207" t="str">
            <v>Not Available</v>
          </cell>
          <cell r="P207" t="str">
            <v>Not Available</v>
          </cell>
          <cell r="Q207" t="str">
            <v>Not Available</v>
          </cell>
          <cell r="R207" t="str">
            <v>Not Available</v>
          </cell>
          <cell r="S207" t="str">
            <v>Antah Sri Radin Sdn. Bhd</v>
          </cell>
          <cell r="T207" t="str">
            <v>Functioning</v>
          </cell>
          <cell r="U207" t="str">
            <v>Asset</v>
          </cell>
          <cell r="V207">
            <v>4000</v>
          </cell>
          <cell r="W207" t="str">
            <v>KEW</v>
          </cell>
          <cell r="X207" t="str">
            <v>01/09/2010</v>
          </cell>
          <cell r="Y207" t="str">
            <v>KEW</v>
          </cell>
          <cell r="Z207" t="str">
            <v>16/08/2013</v>
          </cell>
          <cell r="AA207" t="str">
            <v>15/08/2015</v>
          </cell>
          <cell r="AB207" t="str">
            <v>No</v>
          </cell>
          <cell r="AC207" t="str">
            <v>31/08/2013</v>
          </cell>
          <cell r="AD207" t="str">
            <v>Good</v>
          </cell>
          <cell r="AE207" t="str">
            <v>V4 - Decommissioned Installed Facility</v>
          </cell>
          <cell r="AF207">
            <v>42697</v>
          </cell>
          <cell r="AG207">
            <v>9.17</v>
          </cell>
          <cell r="AH207" t="str">
            <v>RI</v>
          </cell>
          <cell r="AI207" t="str">
            <v>Not in contract</v>
          </cell>
          <cell r="AJ207" t="str">
            <v>Not under maintenance</v>
          </cell>
          <cell r="AK207" t="str">
            <v>Will be under V4. Taken out of contract as agreed by IKN</v>
          </cell>
        </row>
        <row r="208">
          <cell r="A208" t="str">
            <v>IKN401375</v>
          </cell>
          <cell r="B208">
            <v>1369</v>
          </cell>
          <cell r="C208" t="str">
            <v>Institut Kanser Negara</v>
          </cell>
          <cell r="D208" t="e">
            <v>#N/A</v>
          </cell>
          <cell r="E208" t="str">
            <v>15-076</v>
          </cell>
          <cell r="F208" t="str">
            <v>Laryngoscopes, Rigid</v>
          </cell>
          <cell r="G208" t="str">
            <v>NM</v>
          </cell>
          <cell r="H208" t="str">
            <v>NUCLEAR MED (DIAGNOSTIC)</v>
          </cell>
          <cell r="I208" t="str">
            <v>03nm155</v>
          </cell>
          <cell r="J208" t="str">
            <v>STRESS LAB</v>
          </cell>
          <cell r="K208" t="str">
            <v>BMED</v>
          </cell>
          <cell r="L208" t="str">
            <v>Normal</v>
          </cell>
          <cell r="M208" t="str">
            <v>Not Available</v>
          </cell>
          <cell r="N208" t="str">
            <v>Not Available</v>
          </cell>
          <cell r="O208" t="str">
            <v>Not Available</v>
          </cell>
          <cell r="P208" t="str">
            <v>Not Available</v>
          </cell>
          <cell r="Q208" t="str">
            <v>Not Available</v>
          </cell>
          <cell r="R208" t="str">
            <v>Not Available</v>
          </cell>
          <cell r="S208" t="str">
            <v>Antah Sri Radin Sdn. Bhd</v>
          </cell>
          <cell r="T208" t="str">
            <v>Functioning</v>
          </cell>
          <cell r="U208" t="str">
            <v>Asset</v>
          </cell>
          <cell r="V208">
            <v>4000</v>
          </cell>
          <cell r="W208" t="str">
            <v>KEW</v>
          </cell>
          <cell r="X208" t="str">
            <v>01/09/2010</v>
          </cell>
          <cell r="Y208" t="str">
            <v>KEW</v>
          </cell>
          <cell r="Z208" t="str">
            <v>16/08/2013</v>
          </cell>
          <cell r="AA208" t="str">
            <v>15/08/2015</v>
          </cell>
          <cell r="AB208" t="str">
            <v>No</v>
          </cell>
          <cell r="AC208" t="str">
            <v>31/08/2013</v>
          </cell>
          <cell r="AD208" t="str">
            <v>Good</v>
          </cell>
          <cell r="AE208" t="str">
            <v>V4 - Decommissioned Installed Facility</v>
          </cell>
          <cell r="AF208">
            <v>42696</v>
          </cell>
          <cell r="AG208">
            <v>9.17</v>
          </cell>
          <cell r="AH208" t="str">
            <v>RI</v>
          </cell>
          <cell r="AI208" t="str">
            <v>Not in contract</v>
          </cell>
          <cell r="AJ208" t="str">
            <v>Not under maintenance</v>
          </cell>
          <cell r="AK208" t="str">
            <v>Will be under V4. Taken out of contract as agreed by IKN</v>
          </cell>
        </row>
        <row r="209">
          <cell r="A209" t="str">
            <v>IKN401376</v>
          </cell>
          <cell r="B209">
            <v>1370</v>
          </cell>
          <cell r="C209" t="str">
            <v>Institut Kanser Negara</v>
          </cell>
          <cell r="D209" t="e">
            <v>#N/A</v>
          </cell>
          <cell r="E209" t="str">
            <v>15-076</v>
          </cell>
          <cell r="F209" t="str">
            <v>Laryngoscopes, Rigid</v>
          </cell>
          <cell r="G209" t="str">
            <v>NM</v>
          </cell>
          <cell r="H209" t="str">
            <v>NUCLEAR MED (DIAGNOSTIC)</v>
          </cell>
          <cell r="I209" t="str">
            <v>03nm155</v>
          </cell>
          <cell r="J209" t="str">
            <v>STRESS LAB</v>
          </cell>
          <cell r="K209" t="str">
            <v>BMED</v>
          </cell>
          <cell r="L209" t="str">
            <v>Normal</v>
          </cell>
          <cell r="M209" t="str">
            <v>Not Available</v>
          </cell>
          <cell r="N209" t="str">
            <v>Not Available</v>
          </cell>
          <cell r="O209" t="str">
            <v>Not Available</v>
          </cell>
          <cell r="P209" t="str">
            <v>Not Available</v>
          </cell>
          <cell r="Q209" t="str">
            <v>Not Available</v>
          </cell>
          <cell r="R209" t="str">
            <v>Not Available</v>
          </cell>
          <cell r="S209" t="str">
            <v>Antah Sri Radin Sdn. Bhd</v>
          </cell>
          <cell r="T209" t="str">
            <v>Functioning</v>
          </cell>
          <cell r="U209" t="str">
            <v>Asset</v>
          </cell>
          <cell r="V209">
            <v>4000</v>
          </cell>
          <cell r="W209" t="str">
            <v>KEW</v>
          </cell>
          <cell r="X209" t="str">
            <v>01/09/2010</v>
          </cell>
          <cell r="Y209" t="str">
            <v>KEW</v>
          </cell>
          <cell r="Z209" t="str">
            <v>16/08/2013</v>
          </cell>
          <cell r="AA209" t="str">
            <v>15/08/2015</v>
          </cell>
          <cell r="AB209" t="str">
            <v>No</v>
          </cell>
          <cell r="AC209" t="str">
            <v>31/08/2013</v>
          </cell>
          <cell r="AD209" t="str">
            <v>Good</v>
          </cell>
          <cell r="AE209" t="str">
            <v>V4 - Decommissioned Installed Facility</v>
          </cell>
          <cell r="AF209">
            <v>42696</v>
          </cell>
          <cell r="AG209">
            <v>9.17</v>
          </cell>
          <cell r="AH209" t="str">
            <v>RI</v>
          </cell>
          <cell r="AI209" t="str">
            <v>Not in contract</v>
          </cell>
          <cell r="AJ209" t="str">
            <v>Not under maintenance</v>
          </cell>
          <cell r="AK209" t="str">
            <v>Will be under V4. Taken out of contract as agreed by IKN</v>
          </cell>
        </row>
        <row r="210">
          <cell r="A210" t="str">
            <v>IKN401377</v>
          </cell>
          <cell r="B210">
            <v>1371</v>
          </cell>
          <cell r="C210" t="str">
            <v>Institut Kanser Negara</v>
          </cell>
          <cell r="D210" t="e">
            <v>#N/A</v>
          </cell>
          <cell r="E210" t="str">
            <v>15-076</v>
          </cell>
          <cell r="F210" t="str">
            <v>Laryngoscopes, Rigid</v>
          </cell>
          <cell r="G210" t="str">
            <v>WA</v>
          </cell>
          <cell r="H210" t="str">
            <v>NUCLEAR MED WARD (THERAPY)</v>
          </cell>
          <cell r="I210" t="str">
            <v>03WA121</v>
          </cell>
          <cell r="J210" t="str">
            <v>N/S 2</v>
          </cell>
          <cell r="K210" t="str">
            <v>BMED</v>
          </cell>
          <cell r="L210" t="str">
            <v>Normal</v>
          </cell>
          <cell r="M210" t="str">
            <v>Not Available</v>
          </cell>
          <cell r="N210" t="str">
            <v>Not Available</v>
          </cell>
          <cell r="O210" t="str">
            <v>Not Available</v>
          </cell>
          <cell r="P210" t="str">
            <v>Not Available</v>
          </cell>
          <cell r="Q210" t="str">
            <v>Not Available</v>
          </cell>
          <cell r="R210" t="str">
            <v>Not Available</v>
          </cell>
          <cell r="S210" t="str">
            <v>Antah Sri Radin Sdn. Bhd</v>
          </cell>
          <cell r="T210" t="str">
            <v>Functioning</v>
          </cell>
          <cell r="U210" t="str">
            <v>Asset</v>
          </cell>
          <cell r="V210">
            <v>4000</v>
          </cell>
          <cell r="W210" t="str">
            <v>KEW</v>
          </cell>
          <cell r="X210" t="str">
            <v>01/09/2010</v>
          </cell>
          <cell r="Y210" t="str">
            <v>KEW</v>
          </cell>
          <cell r="Z210" t="str">
            <v>16/08/2013</v>
          </cell>
          <cell r="AA210" t="str">
            <v>15/08/2015</v>
          </cell>
          <cell r="AB210" t="str">
            <v>No</v>
          </cell>
          <cell r="AC210" t="str">
            <v>31/08/2013</v>
          </cell>
          <cell r="AD210" t="str">
            <v>Good</v>
          </cell>
          <cell r="AE210" t="str">
            <v>V4 - Decommissioned Installed Facility</v>
          </cell>
          <cell r="AF210">
            <v>42697</v>
          </cell>
          <cell r="AG210">
            <v>9.17</v>
          </cell>
          <cell r="AH210" t="str">
            <v>RI</v>
          </cell>
          <cell r="AI210" t="str">
            <v>Not in contract</v>
          </cell>
          <cell r="AJ210" t="str">
            <v>Not under maintenance</v>
          </cell>
          <cell r="AK210" t="str">
            <v>Will be under V4. Taken out of contract as agreed by IKN</v>
          </cell>
        </row>
        <row r="211">
          <cell r="A211" t="str">
            <v>IKN401378</v>
          </cell>
          <cell r="B211">
            <v>1372</v>
          </cell>
          <cell r="C211" t="str">
            <v>Institut Kanser Negara</v>
          </cell>
          <cell r="D211" t="e">
            <v>#N/A</v>
          </cell>
          <cell r="E211" t="str">
            <v>15-076</v>
          </cell>
          <cell r="F211" t="str">
            <v>Laryngoscopes, Rigid</v>
          </cell>
          <cell r="G211" t="str">
            <v>WA</v>
          </cell>
          <cell r="H211" t="str">
            <v>NUCLEAR MED WARD (THERAPY)</v>
          </cell>
          <cell r="I211" t="str">
            <v>03WA117</v>
          </cell>
          <cell r="J211" t="str">
            <v>N/S 1</v>
          </cell>
          <cell r="K211" t="str">
            <v>BMED</v>
          </cell>
          <cell r="L211" t="str">
            <v>Normal</v>
          </cell>
          <cell r="M211" t="str">
            <v>Not Available</v>
          </cell>
          <cell r="N211" t="str">
            <v>Not Available</v>
          </cell>
          <cell r="O211" t="str">
            <v>Not Available</v>
          </cell>
          <cell r="P211" t="str">
            <v>Not Available</v>
          </cell>
          <cell r="Q211" t="str">
            <v>N</v>
          </cell>
          <cell r="R211" t="str">
            <v>Not Available</v>
          </cell>
          <cell r="S211" t="str">
            <v>Antah Sri Radin Sdn. Bhd</v>
          </cell>
          <cell r="T211" t="str">
            <v>Functioning</v>
          </cell>
          <cell r="U211" t="str">
            <v>Asset</v>
          </cell>
          <cell r="V211">
            <v>4000</v>
          </cell>
          <cell r="W211" t="str">
            <v>KEW</v>
          </cell>
          <cell r="X211" t="str">
            <v>01/09/2010</v>
          </cell>
          <cell r="Y211" t="str">
            <v>KEW</v>
          </cell>
          <cell r="Z211" t="str">
            <v>16/08/2013</v>
          </cell>
          <cell r="AA211" t="str">
            <v>15/08/2015</v>
          </cell>
          <cell r="AB211" t="str">
            <v>No</v>
          </cell>
          <cell r="AC211" t="str">
            <v>31/08/2013</v>
          </cell>
          <cell r="AD211" t="str">
            <v>Good</v>
          </cell>
          <cell r="AE211" t="str">
            <v>V4 - Decommissioned Installed Facility</v>
          </cell>
          <cell r="AF211">
            <v>42697</v>
          </cell>
          <cell r="AG211">
            <v>9.17</v>
          </cell>
          <cell r="AH211" t="str">
            <v>RI</v>
          </cell>
          <cell r="AI211" t="str">
            <v>Not in contract</v>
          </cell>
          <cell r="AJ211" t="str">
            <v>Not under maintenance</v>
          </cell>
          <cell r="AK211" t="str">
            <v>Will be under V4. Taken out of contract as agreed by IKN</v>
          </cell>
        </row>
        <row r="212">
          <cell r="A212" t="str">
            <v>IKN401379</v>
          </cell>
          <cell r="B212">
            <v>1373</v>
          </cell>
          <cell r="C212" t="str">
            <v>Institut Kanser Negara</v>
          </cell>
          <cell r="D212" t="e">
            <v>#N/A</v>
          </cell>
          <cell r="E212" t="str">
            <v>15-076</v>
          </cell>
          <cell r="F212" t="str">
            <v>Laryngoscopes, Rigid</v>
          </cell>
          <cell r="G212" t="str">
            <v>WA</v>
          </cell>
          <cell r="H212" t="str">
            <v>NUCLEAR MED WARD (THERAPY)</v>
          </cell>
          <cell r="I212" t="str">
            <v>03WA117</v>
          </cell>
          <cell r="J212" t="str">
            <v>N/S 1</v>
          </cell>
          <cell r="K212" t="str">
            <v>BMED</v>
          </cell>
          <cell r="L212" t="str">
            <v>Normal</v>
          </cell>
          <cell r="M212" t="str">
            <v>Not Available</v>
          </cell>
          <cell r="N212" t="str">
            <v>Not Available</v>
          </cell>
          <cell r="O212" t="str">
            <v>Not Available</v>
          </cell>
          <cell r="P212" t="str">
            <v>Not Available</v>
          </cell>
          <cell r="Q212" t="str">
            <v>Not Available</v>
          </cell>
          <cell r="R212" t="str">
            <v>Not Available</v>
          </cell>
          <cell r="S212" t="str">
            <v>Antah Sri Radin Sdn. Bhd</v>
          </cell>
          <cell r="T212" t="str">
            <v>Functioning</v>
          </cell>
          <cell r="U212" t="str">
            <v>Asset</v>
          </cell>
          <cell r="V212">
            <v>4000</v>
          </cell>
          <cell r="W212" t="str">
            <v>KEW</v>
          </cell>
          <cell r="X212" t="str">
            <v>01/09/2010</v>
          </cell>
          <cell r="Y212" t="str">
            <v>KEW</v>
          </cell>
          <cell r="Z212" t="str">
            <v>16/08/2013</v>
          </cell>
          <cell r="AA212" t="str">
            <v>15/08/2015</v>
          </cell>
          <cell r="AB212" t="str">
            <v>No</v>
          </cell>
          <cell r="AC212" t="str">
            <v>31/08/2013</v>
          </cell>
          <cell r="AD212" t="str">
            <v>Good</v>
          </cell>
          <cell r="AE212" t="str">
            <v>V4 - Decommissioned Installed Facility</v>
          </cell>
          <cell r="AF212">
            <v>42697</v>
          </cell>
          <cell r="AG212">
            <v>9.17</v>
          </cell>
          <cell r="AH212" t="str">
            <v>RI</v>
          </cell>
          <cell r="AI212" t="str">
            <v>Not in contract</v>
          </cell>
          <cell r="AJ212" t="str">
            <v>Not under maintenance</v>
          </cell>
          <cell r="AK212" t="str">
            <v>Will be under V4. Taken out of contract as agreed by IKN</v>
          </cell>
        </row>
        <row r="213">
          <cell r="A213" t="str">
            <v>IKN401406</v>
          </cell>
          <cell r="B213">
            <v>1390</v>
          </cell>
          <cell r="C213" t="str">
            <v>Institut Kanser Negara</v>
          </cell>
          <cell r="D213" t="e">
            <v>#N/A</v>
          </cell>
          <cell r="E213" t="str">
            <v>17-887</v>
          </cell>
          <cell r="F213" t="str">
            <v>Thermometers, Electronic, Infrared, Ear</v>
          </cell>
          <cell r="G213" t="str">
            <v>WJ</v>
          </cell>
          <cell r="H213" t="str">
            <v>MULTIDISCIPLINE WARD 1</v>
          </cell>
          <cell r="I213" t="str">
            <v>09WJ222</v>
          </cell>
          <cell r="J213" t="str">
            <v>TREATMENT</v>
          </cell>
          <cell r="K213" t="str">
            <v>BMED</v>
          </cell>
          <cell r="L213" t="str">
            <v>Normal</v>
          </cell>
          <cell r="M213" t="str">
            <v>Mexico</v>
          </cell>
          <cell r="N213" t="str">
            <v>Thermoscan</v>
          </cell>
          <cell r="O213" t="str">
            <v>Thermoscan Pro 4000</v>
          </cell>
          <cell r="P213" t="str">
            <v>33412K01028</v>
          </cell>
          <cell r="Q213" t="str">
            <v>Not Available</v>
          </cell>
          <cell r="R213" t="str">
            <v>Welch Allyn Inc</v>
          </cell>
          <cell r="S213" t="str">
            <v>Welch Allyn Malaysia Sdn. Bhd</v>
          </cell>
          <cell r="T213" t="str">
            <v>Functioning</v>
          </cell>
          <cell r="U213" t="str">
            <v>Asset</v>
          </cell>
          <cell r="V213">
            <v>540</v>
          </cell>
          <cell r="W213" t="str">
            <v>KEW</v>
          </cell>
          <cell r="X213" t="str">
            <v>01/09/2010</v>
          </cell>
          <cell r="Y213" t="str">
            <v>KEW</v>
          </cell>
          <cell r="Z213" t="str">
            <v>16/08/2013</v>
          </cell>
          <cell r="AA213" t="str">
            <v>15/08/2015</v>
          </cell>
          <cell r="AB213" t="str">
            <v>No</v>
          </cell>
          <cell r="AC213" t="str">
            <v>31/08/2013</v>
          </cell>
          <cell r="AD213" t="str">
            <v>Good</v>
          </cell>
          <cell r="AE213" t="str">
            <v>V1 - Existing / No Claim</v>
          </cell>
          <cell r="AF213">
            <v>42781</v>
          </cell>
          <cell r="AG213">
            <v>9.17</v>
          </cell>
          <cell r="AH213" t="str">
            <v>RI</v>
          </cell>
          <cell r="AI213" t="str">
            <v>Not in contract</v>
          </cell>
          <cell r="AJ213" t="str">
            <v>Not under maintenance</v>
          </cell>
          <cell r="AK213" t="str">
            <v>Repalced new unit (RTM). S/N:31419K41381. B.Braun Thermoscan5</v>
          </cell>
        </row>
        <row r="214">
          <cell r="A214" t="str">
            <v>IKN401408</v>
          </cell>
          <cell r="B214">
            <v>1391</v>
          </cell>
          <cell r="C214" t="str">
            <v>Institut Kanser Negara</v>
          </cell>
          <cell r="D214" t="e">
            <v>#N/A</v>
          </cell>
          <cell r="E214" t="str">
            <v>17-887</v>
          </cell>
          <cell r="F214" t="str">
            <v>Thermometers, Electronic, Infrared, Ear</v>
          </cell>
          <cell r="G214" t="str">
            <v>WJ</v>
          </cell>
          <cell r="H214" t="str">
            <v>MULTIDISCIPLINE WARD 1</v>
          </cell>
          <cell r="I214" t="str">
            <v>09WJ130</v>
          </cell>
          <cell r="J214" t="str">
            <v>TREATMENT/ PROCEDURE</v>
          </cell>
          <cell r="K214" t="str">
            <v>BMED</v>
          </cell>
          <cell r="L214" t="str">
            <v>Normal</v>
          </cell>
          <cell r="M214" t="str">
            <v>Mexico</v>
          </cell>
          <cell r="N214" t="str">
            <v>Thermoscan</v>
          </cell>
          <cell r="O214" t="str">
            <v>Thermoscan Pro 4000</v>
          </cell>
          <cell r="P214" t="str">
            <v>33412K00600</v>
          </cell>
          <cell r="Q214" t="str">
            <v>Not Available</v>
          </cell>
          <cell r="R214" t="str">
            <v>Welch Allyn Inc</v>
          </cell>
          <cell r="S214" t="str">
            <v>Welch Allyn Malaysia Sdn. Bhd</v>
          </cell>
          <cell r="T214" t="str">
            <v>Functioning</v>
          </cell>
          <cell r="U214" t="str">
            <v>Asset</v>
          </cell>
          <cell r="V214">
            <v>540</v>
          </cell>
          <cell r="W214" t="str">
            <v>KEW</v>
          </cell>
          <cell r="X214" t="str">
            <v>01/09/2010</v>
          </cell>
          <cell r="Y214" t="str">
            <v>KEW</v>
          </cell>
          <cell r="Z214" t="str">
            <v>16/08/2013</v>
          </cell>
          <cell r="AA214" t="str">
            <v>15/08/2015</v>
          </cell>
          <cell r="AB214" t="str">
            <v>No</v>
          </cell>
          <cell r="AC214" t="str">
            <v>31/08/2013</v>
          </cell>
          <cell r="AD214" t="str">
            <v>Good</v>
          </cell>
          <cell r="AE214" t="str">
            <v>V1 - Existing / No Claim</v>
          </cell>
          <cell r="AF214">
            <v>42781</v>
          </cell>
          <cell r="AG214">
            <v>9.17</v>
          </cell>
          <cell r="AH214" t="str">
            <v>RI</v>
          </cell>
          <cell r="AI214" t="str">
            <v>Not in contract</v>
          </cell>
          <cell r="AJ214" t="str">
            <v>Not under maintenance</v>
          </cell>
          <cell r="AK214" t="e">
            <v>#N/A</v>
          </cell>
        </row>
        <row r="215">
          <cell r="A215" t="str">
            <v>IKN401409</v>
          </cell>
          <cell r="B215">
            <v>1392</v>
          </cell>
          <cell r="C215" t="str">
            <v>Institut Kanser Negara</v>
          </cell>
          <cell r="D215" t="e">
            <v>#N/A</v>
          </cell>
          <cell r="E215" t="str">
            <v>17-887</v>
          </cell>
          <cell r="F215" t="str">
            <v>Thermometers, Electronic, Infrared, Ear</v>
          </cell>
          <cell r="G215" t="str">
            <v>WJ</v>
          </cell>
          <cell r="H215" t="str">
            <v>MULTIDISCIPLINE WARD 1</v>
          </cell>
          <cell r="I215" t="str">
            <v>09WJ209</v>
          </cell>
          <cell r="J215" t="str">
            <v>NURSE STATION</v>
          </cell>
          <cell r="K215" t="str">
            <v>BMED</v>
          </cell>
          <cell r="L215" t="str">
            <v>Normal</v>
          </cell>
          <cell r="M215" t="str">
            <v>Mexico</v>
          </cell>
          <cell r="N215" t="str">
            <v>Thermoscan</v>
          </cell>
          <cell r="O215" t="str">
            <v>Thermoscan Pro 4000</v>
          </cell>
          <cell r="P215" t="str">
            <v>33312K08739</v>
          </cell>
          <cell r="Q215" t="str">
            <v>Not Available</v>
          </cell>
          <cell r="R215" t="str">
            <v>Welch Allyn Inc</v>
          </cell>
          <cell r="S215" t="str">
            <v>Welch Allyn Malaysia Sdn. Bhd</v>
          </cell>
          <cell r="T215" t="str">
            <v>Functioning</v>
          </cell>
          <cell r="U215" t="str">
            <v>Asset</v>
          </cell>
          <cell r="V215">
            <v>540</v>
          </cell>
          <cell r="W215" t="str">
            <v>KEW</v>
          </cell>
          <cell r="X215" t="str">
            <v>01/09/2010</v>
          </cell>
          <cell r="Y215" t="str">
            <v>KEW</v>
          </cell>
          <cell r="Z215" t="str">
            <v>16/08/2013</v>
          </cell>
          <cell r="AA215" t="str">
            <v>15/08/2015</v>
          </cell>
          <cell r="AB215" t="str">
            <v>No</v>
          </cell>
          <cell r="AC215" t="str">
            <v>31/08/2013</v>
          </cell>
          <cell r="AD215" t="str">
            <v>Good</v>
          </cell>
          <cell r="AE215" t="str">
            <v>V1 - Existing / No Claim</v>
          </cell>
          <cell r="AF215">
            <v>42781</v>
          </cell>
          <cell r="AG215">
            <v>9.17</v>
          </cell>
          <cell r="AH215" t="str">
            <v>RI</v>
          </cell>
          <cell r="AI215" t="str">
            <v>Not in contract</v>
          </cell>
          <cell r="AJ215" t="str">
            <v>Not under maintenance</v>
          </cell>
          <cell r="AK215" t="e">
            <v>#N/A</v>
          </cell>
        </row>
        <row r="216">
          <cell r="A216" t="str">
            <v>IKN401410</v>
          </cell>
          <cell r="B216">
            <v>1393</v>
          </cell>
          <cell r="C216" t="str">
            <v>Institut Kanser Negara</v>
          </cell>
          <cell r="D216" t="e">
            <v>#N/A</v>
          </cell>
          <cell r="E216" t="str">
            <v>17-887</v>
          </cell>
          <cell r="F216" t="str">
            <v>Thermometers, Electronic, Infrared, Ear</v>
          </cell>
          <cell r="G216" t="str">
            <v>WJ</v>
          </cell>
          <cell r="H216" t="str">
            <v>MULTIDISCIPLINE WARD 1</v>
          </cell>
          <cell r="I216" t="str">
            <v>09WJ136</v>
          </cell>
          <cell r="J216" t="str">
            <v>NURSE STATION</v>
          </cell>
          <cell r="K216" t="str">
            <v>BMED</v>
          </cell>
          <cell r="L216" t="str">
            <v>Normal</v>
          </cell>
          <cell r="M216" t="str">
            <v>Mexico</v>
          </cell>
          <cell r="N216" t="str">
            <v>Thermoscan</v>
          </cell>
          <cell r="O216" t="str">
            <v>Thermoscan Pro 4000</v>
          </cell>
          <cell r="P216" t="str">
            <v>33412K00425</v>
          </cell>
          <cell r="Q216" t="str">
            <v>Not Available</v>
          </cell>
          <cell r="R216" t="str">
            <v>Welch Allyn Inc</v>
          </cell>
          <cell r="S216" t="str">
            <v>Welch Allyn Malaysia Sdn. Bhd</v>
          </cell>
          <cell r="T216" t="str">
            <v>Functioning</v>
          </cell>
          <cell r="U216" t="str">
            <v>Asset</v>
          </cell>
          <cell r="V216">
            <v>540</v>
          </cell>
          <cell r="W216" t="str">
            <v>KEW</v>
          </cell>
          <cell r="X216" t="str">
            <v>01/09/2010</v>
          </cell>
          <cell r="Y216" t="str">
            <v>KEW</v>
          </cell>
          <cell r="Z216" t="str">
            <v>16/08/2013</v>
          </cell>
          <cell r="AA216" t="str">
            <v>15/08/2015</v>
          </cell>
          <cell r="AB216" t="str">
            <v>No</v>
          </cell>
          <cell r="AC216" t="str">
            <v>31/08/2013</v>
          </cell>
          <cell r="AD216" t="str">
            <v>Good</v>
          </cell>
          <cell r="AE216" t="str">
            <v>V1 - Existing / No Claim</v>
          </cell>
          <cell r="AF216">
            <v>42781</v>
          </cell>
          <cell r="AG216">
            <v>9.17</v>
          </cell>
          <cell r="AH216" t="str">
            <v>RI</v>
          </cell>
          <cell r="AI216" t="str">
            <v>Not in contract</v>
          </cell>
          <cell r="AJ216" t="str">
            <v>Not under maintenance</v>
          </cell>
          <cell r="AK216" t="e">
            <v>#N/A</v>
          </cell>
        </row>
        <row r="217">
          <cell r="A217" t="str">
            <v>IKN401411</v>
          </cell>
          <cell r="B217">
            <v>1394</v>
          </cell>
          <cell r="C217" t="str">
            <v>Institut Kanser Negara</v>
          </cell>
          <cell r="D217" t="e">
            <v>#N/A</v>
          </cell>
          <cell r="E217" t="str">
            <v>17-887</v>
          </cell>
          <cell r="F217" t="str">
            <v>Thermometers, Electronic, Infrared, Ear</v>
          </cell>
          <cell r="G217" t="str">
            <v>WJ</v>
          </cell>
          <cell r="H217" t="str">
            <v>MULTIDISCIPLINE WARD 1</v>
          </cell>
          <cell r="I217" t="str">
            <v>09WJ136</v>
          </cell>
          <cell r="J217" t="str">
            <v>NURSE STATION</v>
          </cell>
          <cell r="K217" t="str">
            <v>BMED</v>
          </cell>
          <cell r="L217" t="str">
            <v>Normal</v>
          </cell>
          <cell r="M217" t="str">
            <v>Mexico</v>
          </cell>
          <cell r="N217" t="str">
            <v>Thermoscan</v>
          </cell>
          <cell r="O217" t="str">
            <v>Thermoscan Pro 4000</v>
          </cell>
          <cell r="P217" t="str">
            <v>33412K00675</v>
          </cell>
          <cell r="Q217" t="str">
            <v>Not Available</v>
          </cell>
          <cell r="R217" t="str">
            <v>Welch Allyn Inc</v>
          </cell>
          <cell r="S217" t="str">
            <v>Welch Allyn Malaysia Sdn. Bhd</v>
          </cell>
          <cell r="T217" t="str">
            <v>Functioning</v>
          </cell>
          <cell r="U217" t="str">
            <v>Asset</v>
          </cell>
          <cell r="V217">
            <v>540</v>
          </cell>
          <cell r="W217" t="str">
            <v>KEW</v>
          </cell>
          <cell r="X217" t="str">
            <v>01/09/2010</v>
          </cell>
          <cell r="Y217" t="str">
            <v>KEW</v>
          </cell>
          <cell r="Z217" t="str">
            <v>16/08/2013</v>
          </cell>
          <cell r="AA217" t="str">
            <v>15/08/2015</v>
          </cell>
          <cell r="AB217" t="str">
            <v>No</v>
          </cell>
          <cell r="AC217" t="str">
            <v>31/08/2013</v>
          </cell>
          <cell r="AD217" t="str">
            <v>Good</v>
          </cell>
          <cell r="AE217" t="str">
            <v>V1 - Existing / No Claim</v>
          </cell>
          <cell r="AF217">
            <v>42781</v>
          </cell>
          <cell r="AG217">
            <v>9.17</v>
          </cell>
          <cell r="AH217" t="str">
            <v>RI</v>
          </cell>
          <cell r="AI217" t="str">
            <v>Not in contract</v>
          </cell>
          <cell r="AJ217" t="str">
            <v>Not under maintenance</v>
          </cell>
          <cell r="AK217" t="e">
            <v>#N/A</v>
          </cell>
        </row>
        <row r="218">
          <cell r="A218" t="str">
            <v>IKN401414</v>
          </cell>
          <cell r="B218">
            <v>1396</v>
          </cell>
          <cell r="C218" t="str">
            <v>Institut Kanser Negara</v>
          </cell>
          <cell r="D218" t="e">
            <v>#N/A</v>
          </cell>
          <cell r="E218" t="str">
            <v>17-887</v>
          </cell>
          <cell r="F218" t="str">
            <v>Thermometers, Electronic, Infrared, Ear</v>
          </cell>
          <cell r="G218" t="str">
            <v>WH</v>
          </cell>
          <cell r="H218" t="str">
            <v>RT/ONCO WARD 2 (M)</v>
          </cell>
          <cell r="I218" t="str">
            <v>08WH143</v>
          </cell>
          <cell r="J218" t="str">
            <v>NURSE STATION</v>
          </cell>
          <cell r="K218" t="str">
            <v>BMED</v>
          </cell>
          <cell r="L218" t="str">
            <v>Normal</v>
          </cell>
          <cell r="M218" t="str">
            <v>Mexico</v>
          </cell>
          <cell r="N218" t="str">
            <v>Thermoscan</v>
          </cell>
          <cell r="O218" t="str">
            <v>Thermoscan Pro 4000</v>
          </cell>
          <cell r="P218" t="str">
            <v>33312K08851</v>
          </cell>
          <cell r="Q218" t="str">
            <v>Not Available</v>
          </cell>
          <cell r="R218" t="str">
            <v>Welch Allyn Inc</v>
          </cell>
          <cell r="S218" t="str">
            <v>Welch Allyn Malaysia Sdn. Bhd</v>
          </cell>
          <cell r="T218" t="str">
            <v>Functioning</v>
          </cell>
          <cell r="U218" t="str">
            <v>Asset</v>
          </cell>
          <cell r="V218">
            <v>540</v>
          </cell>
          <cell r="W218" t="str">
            <v>KEW</v>
          </cell>
          <cell r="X218" t="str">
            <v>01/09/2010</v>
          </cell>
          <cell r="Y218" t="str">
            <v>KEW</v>
          </cell>
          <cell r="Z218" t="str">
            <v>16/08/2013</v>
          </cell>
          <cell r="AA218" t="str">
            <v>15/08/2015</v>
          </cell>
          <cell r="AB218" t="str">
            <v>No</v>
          </cell>
          <cell r="AC218" t="str">
            <v>31/08/2013</v>
          </cell>
          <cell r="AD218" t="str">
            <v>Good</v>
          </cell>
          <cell r="AE218" t="str">
            <v>V1 - Existing / No Claim</v>
          </cell>
          <cell r="AF218">
            <v>42776</v>
          </cell>
          <cell r="AG218">
            <v>9.17</v>
          </cell>
          <cell r="AH218" t="str">
            <v>RI</v>
          </cell>
          <cell r="AI218" t="str">
            <v>Not in contract</v>
          </cell>
          <cell r="AJ218" t="str">
            <v>Not under maintenance</v>
          </cell>
          <cell r="AK218" t="e">
            <v>#N/A</v>
          </cell>
        </row>
        <row r="219">
          <cell r="A219" t="str">
            <v>IKN401417</v>
          </cell>
          <cell r="B219">
            <v>1398</v>
          </cell>
          <cell r="C219" t="str">
            <v>Institut Kanser Negara</v>
          </cell>
          <cell r="D219" t="e">
            <v>#N/A</v>
          </cell>
          <cell r="E219" t="str">
            <v>17-887</v>
          </cell>
          <cell r="F219" t="str">
            <v>Thermometers, Electronic, Infrared, Ear</v>
          </cell>
          <cell r="G219" t="str">
            <v>WH</v>
          </cell>
          <cell r="H219" t="str">
            <v>RT/ONCO WARD 2 (M)</v>
          </cell>
          <cell r="I219" t="str">
            <v>08WH143</v>
          </cell>
          <cell r="J219" t="str">
            <v>NURSE STATION</v>
          </cell>
          <cell r="K219" t="str">
            <v>BMED</v>
          </cell>
          <cell r="L219" t="str">
            <v>Normal</v>
          </cell>
          <cell r="M219" t="str">
            <v>Mexico</v>
          </cell>
          <cell r="N219" t="str">
            <v>Thermoscan</v>
          </cell>
          <cell r="O219" t="str">
            <v>Thermoscan Pro 4000</v>
          </cell>
          <cell r="P219" t="str">
            <v>33412K00407</v>
          </cell>
          <cell r="Q219" t="str">
            <v>Not Available</v>
          </cell>
          <cell r="R219" t="str">
            <v>Welch Allyn Inc</v>
          </cell>
          <cell r="S219" t="str">
            <v>Welch Allyn Malaysia Sdn. Bhd</v>
          </cell>
          <cell r="T219" t="str">
            <v>Functioning</v>
          </cell>
          <cell r="U219" t="str">
            <v>Asset</v>
          </cell>
          <cell r="V219">
            <v>540</v>
          </cell>
          <cell r="W219" t="str">
            <v>KEW</v>
          </cell>
          <cell r="X219" t="str">
            <v>01/09/2010</v>
          </cell>
          <cell r="Y219" t="str">
            <v>KEW</v>
          </cell>
          <cell r="Z219" t="str">
            <v>16/08/2013</v>
          </cell>
          <cell r="AA219" t="str">
            <v>15/08/2015</v>
          </cell>
          <cell r="AB219" t="str">
            <v>No</v>
          </cell>
          <cell r="AC219" t="str">
            <v>31/08/2013</v>
          </cell>
          <cell r="AD219" t="str">
            <v>Good</v>
          </cell>
          <cell r="AE219" t="str">
            <v>V1 - Existing / No Claim</v>
          </cell>
          <cell r="AF219">
            <v>42780</v>
          </cell>
          <cell r="AG219">
            <v>9.17</v>
          </cell>
          <cell r="AH219" t="str">
            <v>RI</v>
          </cell>
          <cell r="AI219" t="str">
            <v>Not in contract</v>
          </cell>
          <cell r="AJ219" t="str">
            <v>Not under maintenance</v>
          </cell>
          <cell r="AK219" t="e">
            <v>#N/A</v>
          </cell>
        </row>
        <row r="220">
          <cell r="A220" t="str">
            <v>IKN401418</v>
          </cell>
          <cell r="B220">
            <v>1399</v>
          </cell>
          <cell r="C220" t="str">
            <v>Institut Kanser Negara</v>
          </cell>
          <cell r="D220" t="str">
            <v>KKM/IKN/H/13/3988</v>
          </cell>
          <cell r="E220" t="str">
            <v>17-887</v>
          </cell>
          <cell r="F220" t="str">
            <v>Thermometers, Electronic, Infrared, Ear</v>
          </cell>
          <cell r="G220" t="str">
            <v>WG</v>
          </cell>
          <cell r="H220" t="str">
            <v>RT/ONCO WARD 1 (M)</v>
          </cell>
          <cell r="I220" t="str">
            <v>08WG143</v>
          </cell>
          <cell r="J220" t="str">
            <v>NURSE STATION</v>
          </cell>
          <cell r="K220" t="str">
            <v>BMED</v>
          </cell>
          <cell r="L220" t="str">
            <v>Normal</v>
          </cell>
          <cell r="M220" t="str">
            <v>Mexico</v>
          </cell>
          <cell r="N220" t="str">
            <v>Thermoscan</v>
          </cell>
          <cell r="O220" t="str">
            <v>Thermoscan Pro 4000</v>
          </cell>
          <cell r="P220" t="str">
            <v>33412K00412</v>
          </cell>
          <cell r="Q220" t="str">
            <v>Not Available</v>
          </cell>
          <cell r="R220" t="str">
            <v>Welch Allyn Inc</v>
          </cell>
          <cell r="S220" t="str">
            <v>Welch Allyn Malaysia Sdn. Bhd</v>
          </cell>
          <cell r="T220" t="str">
            <v>Functioning</v>
          </cell>
          <cell r="U220" t="str">
            <v>Asset</v>
          </cell>
          <cell r="V220">
            <v>540</v>
          </cell>
          <cell r="W220" t="str">
            <v>KEW</v>
          </cell>
          <cell r="X220" t="str">
            <v>01/09/2010</v>
          </cell>
          <cell r="Y220" t="str">
            <v>KEW</v>
          </cell>
          <cell r="Z220" t="str">
            <v>16/08/2013</v>
          </cell>
          <cell r="AA220" t="str">
            <v>15/08/2015</v>
          </cell>
          <cell r="AB220" t="str">
            <v>No</v>
          </cell>
          <cell r="AC220" t="str">
            <v>31/08/2013</v>
          </cell>
          <cell r="AD220" t="str">
            <v>Good</v>
          </cell>
          <cell r="AE220" t="str">
            <v>V1 - Existing / No Claim</v>
          </cell>
          <cell r="AF220">
            <v>42780</v>
          </cell>
          <cell r="AG220">
            <v>9.17</v>
          </cell>
          <cell r="AH220" t="str">
            <v>RI</v>
          </cell>
          <cell r="AI220" t="str">
            <v>Strands</v>
          </cell>
          <cell r="AJ220" t="str">
            <v>Not under maintenance</v>
          </cell>
        </row>
        <row r="221">
          <cell r="A221" t="str">
            <v>IKN401423</v>
          </cell>
          <cell r="B221">
            <v>1402</v>
          </cell>
          <cell r="C221" t="str">
            <v>Institut Kanser Negara</v>
          </cell>
          <cell r="D221" t="str">
            <v>KKM/IKN/I/13/5383</v>
          </cell>
          <cell r="E221" t="str">
            <v>17-887</v>
          </cell>
          <cell r="F221" t="str">
            <v>Thermometers, Electronic, Infrared, Ear</v>
          </cell>
          <cell r="G221" t="str">
            <v>WF</v>
          </cell>
          <cell r="H221" t="str">
            <v>RT/ONCO WARD 2 (F)</v>
          </cell>
          <cell r="I221" t="str">
            <v>07WF143</v>
          </cell>
          <cell r="J221" t="str">
            <v>NURSE STATION</v>
          </cell>
          <cell r="K221" t="str">
            <v>BMED</v>
          </cell>
          <cell r="L221" t="str">
            <v>Normal</v>
          </cell>
          <cell r="M221" t="str">
            <v>Mexico</v>
          </cell>
          <cell r="N221" t="str">
            <v>Thermoscan</v>
          </cell>
          <cell r="O221" t="str">
            <v>Thermoscan Pro 4000</v>
          </cell>
          <cell r="P221" t="str">
            <v>33412K01109</v>
          </cell>
          <cell r="Q221" t="str">
            <v>Not Available</v>
          </cell>
          <cell r="R221" t="str">
            <v>Welch Allyn Inc</v>
          </cell>
          <cell r="S221" t="str">
            <v>Welch Allyn Malaysia Sdn. Bhd</v>
          </cell>
          <cell r="T221" t="str">
            <v>Functioning</v>
          </cell>
          <cell r="U221" t="str">
            <v>Asset</v>
          </cell>
          <cell r="V221">
            <v>540</v>
          </cell>
          <cell r="W221" t="str">
            <v>KEW</v>
          </cell>
          <cell r="X221" t="str">
            <v>01/09/2010</v>
          </cell>
          <cell r="Y221" t="str">
            <v>KEW</v>
          </cell>
          <cell r="Z221" t="str">
            <v>16/08/2013</v>
          </cell>
          <cell r="AA221" t="str">
            <v>15/08/2015</v>
          </cell>
          <cell r="AB221" t="str">
            <v>No</v>
          </cell>
          <cell r="AC221" t="str">
            <v>31/08/2013</v>
          </cell>
          <cell r="AD221" t="str">
            <v>Good</v>
          </cell>
          <cell r="AE221" t="str">
            <v>V1 - Existing / No Claim</v>
          </cell>
          <cell r="AF221">
            <v>42780</v>
          </cell>
          <cell r="AG221">
            <v>9.17</v>
          </cell>
          <cell r="AH221" t="str">
            <v>RI</v>
          </cell>
          <cell r="AI221" t="str">
            <v>Strands</v>
          </cell>
          <cell r="AJ221" t="str">
            <v>Not under maintenance</v>
          </cell>
        </row>
        <row r="222">
          <cell r="A222" t="str">
            <v>IKN401424</v>
          </cell>
          <cell r="B222">
            <v>1403</v>
          </cell>
          <cell r="C222" t="str">
            <v>Institut Kanser Negara</v>
          </cell>
          <cell r="D222" t="str">
            <v>KKM/IKN/I/13/5384</v>
          </cell>
          <cell r="E222" t="str">
            <v>17-887</v>
          </cell>
          <cell r="F222" t="str">
            <v>Thermometers, Electronic, Infrared, Ear</v>
          </cell>
          <cell r="G222" t="str">
            <v>WF</v>
          </cell>
          <cell r="H222" t="str">
            <v>RT/ONCO WARD 2 (F)</v>
          </cell>
          <cell r="I222" t="str">
            <v>07WF143</v>
          </cell>
          <cell r="J222" t="str">
            <v>NURSE STATION</v>
          </cell>
          <cell r="K222" t="str">
            <v>BMED</v>
          </cell>
          <cell r="L222" t="str">
            <v>Normal</v>
          </cell>
          <cell r="M222" t="str">
            <v>Mexico</v>
          </cell>
          <cell r="N222" t="str">
            <v>Thermoscan</v>
          </cell>
          <cell r="O222" t="str">
            <v>Thermoscan Pro 4000</v>
          </cell>
          <cell r="P222" t="str">
            <v>33312K06491</v>
          </cell>
          <cell r="Q222" t="str">
            <v>Not Available</v>
          </cell>
          <cell r="R222" t="str">
            <v>Welch Allyn Inc</v>
          </cell>
          <cell r="S222" t="str">
            <v>Welch Allyn Malaysia Sdn. Bhd</v>
          </cell>
          <cell r="T222" t="str">
            <v>Functioning</v>
          </cell>
          <cell r="U222" t="str">
            <v>Asset</v>
          </cell>
          <cell r="V222">
            <v>540</v>
          </cell>
          <cell r="W222" t="str">
            <v>KEW</v>
          </cell>
          <cell r="X222" t="str">
            <v>01/09/2010</v>
          </cell>
          <cell r="Y222" t="str">
            <v>KEW</v>
          </cell>
          <cell r="Z222" t="str">
            <v>16/08/2013</v>
          </cell>
          <cell r="AA222" t="str">
            <v>15/08/2015</v>
          </cell>
          <cell r="AB222" t="str">
            <v>No</v>
          </cell>
          <cell r="AC222" t="str">
            <v>31/08/2013</v>
          </cell>
          <cell r="AD222" t="str">
            <v>Good</v>
          </cell>
          <cell r="AE222" t="str">
            <v>V1 - Existing / No Claim</v>
          </cell>
          <cell r="AF222">
            <v>42780</v>
          </cell>
          <cell r="AG222">
            <v>9.17</v>
          </cell>
          <cell r="AH222" t="str">
            <v>RI</v>
          </cell>
          <cell r="AI222" t="str">
            <v>Strands</v>
          </cell>
          <cell r="AJ222" t="str">
            <v>Not under maintenance</v>
          </cell>
        </row>
        <row r="223">
          <cell r="A223" t="str">
            <v>IKN401425</v>
          </cell>
          <cell r="B223">
            <v>1404</v>
          </cell>
          <cell r="C223" t="str">
            <v>Institut Kanser Negara</v>
          </cell>
          <cell r="D223" t="str">
            <v>KKM/IKN/H/13/3519</v>
          </cell>
          <cell r="E223" t="str">
            <v>17-887</v>
          </cell>
          <cell r="F223" t="str">
            <v>Thermometers, Electronic, Infrared, Ear</v>
          </cell>
          <cell r="G223" t="str">
            <v>WE</v>
          </cell>
          <cell r="H223" t="str">
            <v>RT/ONCO WARD 1 (F)</v>
          </cell>
          <cell r="I223" t="str">
            <v>07WE143</v>
          </cell>
          <cell r="J223" t="str">
            <v>NURSE STATION</v>
          </cell>
          <cell r="K223" t="str">
            <v>BMED</v>
          </cell>
          <cell r="L223" t="str">
            <v>Normal</v>
          </cell>
          <cell r="M223" t="str">
            <v>Mexico</v>
          </cell>
          <cell r="N223" t="str">
            <v>Thermoscan</v>
          </cell>
          <cell r="O223" t="str">
            <v>Thermoscan Pro 4000</v>
          </cell>
          <cell r="P223" t="str">
            <v>33412K05053</v>
          </cell>
          <cell r="Q223" t="str">
            <v>Not Available</v>
          </cell>
          <cell r="R223" t="str">
            <v>Welch Allyn Inc</v>
          </cell>
          <cell r="S223" t="str">
            <v>Welch Allyn Malaysia Sdn. Bhd</v>
          </cell>
          <cell r="T223" t="str">
            <v>Functioning</v>
          </cell>
          <cell r="U223" t="str">
            <v>Asset</v>
          </cell>
          <cell r="V223">
            <v>540</v>
          </cell>
          <cell r="W223" t="str">
            <v>KEW</v>
          </cell>
          <cell r="X223" t="str">
            <v>01/09/2010</v>
          </cell>
          <cell r="Y223" t="str">
            <v>KEW</v>
          </cell>
          <cell r="Z223" t="str">
            <v>16/08/2013</v>
          </cell>
          <cell r="AA223" t="str">
            <v>15/08/2015</v>
          </cell>
          <cell r="AB223" t="str">
            <v>No</v>
          </cell>
          <cell r="AC223" t="str">
            <v>31/08/2013</v>
          </cell>
          <cell r="AD223" t="str">
            <v>Good</v>
          </cell>
          <cell r="AE223" t="str">
            <v>V1 - Existing / No Claim</v>
          </cell>
          <cell r="AF223">
            <v>42780</v>
          </cell>
          <cell r="AG223">
            <v>9.17</v>
          </cell>
          <cell r="AH223" t="str">
            <v>RI</v>
          </cell>
          <cell r="AI223" t="str">
            <v>Strands</v>
          </cell>
          <cell r="AJ223" t="str">
            <v>Not under maintenance</v>
          </cell>
        </row>
        <row r="224">
          <cell r="A224" t="str">
            <v>IKN401426</v>
          </cell>
          <cell r="B224">
            <v>1405</v>
          </cell>
          <cell r="C224" t="str">
            <v>Institut Kanser Negara</v>
          </cell>
          <cell r="D224" t="str">
            <v>KKM/IKN/H/13/3520</v>
          </cell>
          <cell r="E224" t="str">
            <v>17-887</v>
          </cell>
          <cell r="F224" t="str">
            <v>Thermometers, Electronic, Infrared, Ear</v>
          </cell>
          <cell r="G224" t="str">
            <v>WE</v>
          </cell>
          <cell r="H224" t="str">
            <v>RT/ONCO WARD 1 (F)</v>
          </cell>
          <cell r="I224" t="str">
            <v>07WE143</v>
          </cell>
          <cell r="J224" t="str">
            <v>NURSE STATION</v>
          </cell>
          <cell r="K224" t="str">
            <v>BMED</v>
          </cell>
          <cell r="L224" t="str">
            <v>Normal</v>
          </cell>
          <cell r="M224" t="str">
            <v>Mexico</v>
          </cell>
          <cell r="N224" t="str">
            <v>Thermoscan</v>
          </cell>
          <cell r="O224" t="str">
            <v>Thermoscan Pro 4000</v>
          </cell>
          <cell r="P224" t="str">
            <v>33412K01051</v>
          </cell>
          <cell r="Q224" t="str">
            <v>Not Available</v>
          </cell>
          <cell r="R224" t="str">
            <v>Welch Allyn Inc</v>
          </cell>
          <cell r="S224" t="str">
            <v>Welch Allyn Malaysia Sdn. Bhd</v>
          </cell>
          <cell r="T224" t="str">
            <v>Functioning</v>
          </cell>
          <cell r="U224" t="str">
            <v>Asset</v>
          </cell>
          <cell r="V224">
            <v>540</v>
          </cell>
          <cell r="W224" t="str">
            <v>KEW</v>
          </cell>
          <cell r="X224" t="str">
            <v>01/09/2010</v>
          </cell>
          <cell r="Y224" t="str">
            <v>KEW</v>
          </cell>
          <cell r="Z224" t="str">
            <v>16/08/2013</v>
          </cell>
          <cell r="AA224" t="str">
            <v>15/08/2015</v>
          </cell>
          <cell r="AB224" t="str">
            <v>No</v>
          </cell>
          <cell r="AC224" t="str">
            <v>31/08/2013</v>
          </cell>
          <cell r="AD224" t="str">
            <v>Good</v>
          </cell>
          <cell r="AE224" t="str">
            <v>V1 - Existing / No Claim</v>
          </cell>
          <cell r="AF224">
            <v>42780</v>
          </cell>
          <cell r="AG224">
            <v>9.17</v>
          </cell>
          <cell r="AH224" t="str">
            <v>RI</v>
          </cell>
          <cell r="AI224" t="str">
            <v>Strands</v>
          </cell>
          <cell r="AJ224" t="str">
            <v>Not under maintenance</v>
          </cell>
        </row>
        <row r="225">
          <cell r="A225" t="str">
            <v>IKN401427</v>
          </cell>
          <cell r="B225">
            <v>1406</v>
          </cell>
          <cell r="C225" t="str">
            <v>Institut Kanser Negara</v>
          </cell>
          <cell r="D225" t="e">
            <v>#N/A</v>
          </cell>
          <cell r="E225" t="str">
            <v>17-887</v>
          </cell>
          <cell r="F225" t="str">
            <v>Thermometers, Electronic, Infrared, Ear</v>
          </cell>
          <cell r="G225" t="str">
            <v>WD</v>
          </cell>
          <cell r="H225" t="str">
            <v>RT/ONCO PAED/ADOLESCENT WARD</v>
          </cell>
          <cell r="I225" t="str">
            <v>06WD146</v>
          </cell>
          <cell r="J225" t="str">
            <v>NURSE STATION</v>
          </cell>
          <cell r="K225" t="str">
            <v>BMED</v>
          </cell>
          <cell r="L225" t="str">
            <v>Normal</v>
          </cell>
          <cell r="M225" t="str">
            <v>Mexico</v>
          </cell>
          <cell r="N225" t="str">
            <v>Thermoscan</v>
          </cell>
          <cell r="O225" t="str">
            <v>Thermoscan Pro 4000</v>
          </cell>
          <cell r="P225" t="str">
            <v>33412K00406</v>
          </cell>
          <cell r="Q225" t="str">
            <v>Not Available</v>
          </cell>
          <cell r="R225" t="str">
            <v>Welch Allyn Inc</v>
          </cell>
          <cell r="S225" t="str">
            <v>Welch Allyn Malaysia Sdn. Bhd</v>
          </cell>
          <cell r="T225" t="str">
            <v>Functioning</v>
          </cell>
          <cell r="U225" t="str">
            <v>Asset</v>
          </cell>
          <cell r="V225">
            <v>540</v>
          </cell>
          <cell r="W225" t="str">
            <v>KEW</v>
          </cell>
          <cell r="X225" t="str">
            <v>01/09/2010</v>
          </cell>
          <cell r="Y225" t="str">
            <v>KEW</v>
          </cell>
          <cell r="Z225" t="str">
            <v>16/08/2013</v>
          </cell>
          <cell r="AA225" t="str">
            <v>15/08/2015</v>
          </cell>
          <cell r="AB225" t="str">
            <v>No</v>
          </cell>
          <cell r="AC225" t="str">
            <v>31/08/2013</v>
          </cell>
          <cell r="AD225" t="str">
            <v>Good</v>
          </cell>
          <cell r="AE225" t="str">
            <v>V1 - Existing / No Claim</v>
          </cell>
          <cell r="AF225">
            <v>42780</v>
          </cell>
          <cell r="AG225">
            <v>9.17</v>
          </cell>
          <cell r="AH225" t="str">
            <v>RI</v>
          </cell>
          <cell r="AI225" t="str">
            <v>Not in contract</v>
          </cell>
          <cell r="AJ225" t="str">
            <v>Not under maintenance</v>
          </cell>
          <cell r="AK225" t="e">
            <v>#N/A</v>
          </cell>
        </row>
        <row r="226">
          <cell r="A226" t="str">
            <v>IKN401428</v>
          </cell>
          <cell r="B226">
            <v>1407</v>
          </cell>
          <cell r="C226" t="str">
            <v>Institut Kanser Negara</v>
          </cell>
          <cell r="D226" t="e">
            <v>#N/A</v>
          </cell>
          <cell r="E226" t="str">
            <v>17-887</v>
          </cell>
          <cell r="F226" t="str">
            <v>Thermometers, Electronic, Infrared, Ear</v>
          </cell>
          <cell r="G226" t="str">
            <v>WD</v>
          </cell>
          <cell r="H226" t="str">
            <v>RT/ONCO PAED/ADOLESCENT WARD</v>
          </cell>
          <cell r="I226" t="str">
            <v>06WD124</v>
          </cell>
          <cell r="J226" t="str">
            <v>TREATMENT / PROCEDURE</v>
          </cell>
          <cell r="K226" t="str">
            <v>BMED</v>
          </cell>
          <cell r="L226" t="str">
            <v>Normal</v>
          </cell>
          <cell r="M226" t="str">
            <v>Mexico</v>
          </cell>
          <cell r="N226" t="str">
            <v>Thermoscan</v>
          </cell>
          <cell r="O226" t="str">
            <v>Thermoscan Pro 4000</v>
          </cell>
          <cell r="P226" t="str">
            <v>33412K01815</v>
          </cell>
          <cell r="Q226" t="str">
            <v>Not Available</v>
          </cell>
          <cell r="R226" t="str">
            <v>Welch Allyn Inc</v>
          </cell>
          <cell r="S226" t="str">
            <v>Welch Allyn Malaysia Sdn. Bhd</v>
          </cell>
          <cell r="T226" t="str">
            <v>Functioning</v>
          </cell>
          <cell r="U226" t="str">
            <v>Asset</v>
          </cell>
          <cell r="V226">
            <v>540</v>
          </cell>
          <cell r="W226" t="str">
            <v>KEW</v>
          </cell>
          <cell r="X226" t="str">
            <v>01/09/2010</v>
          </cell>
          <cell r="Y226" t="str">
            <v>KEW</v>
          </cell>
          <cell r="Z226" t="str">
            <v>16/08/2013</v>
          </cell>
          <cell r="AA226" t="str">
            <v>15/08/2015</v>
          </cell>
          <cell r="AB226" t="str">
            <v>No</v>
          </cell>
          <cell r="AC226" t="str">
            <v>31/08/2013</v>
          </cell>
          <cell r="AD226" t="str">
            <v>Good</v>
          </cell>
          <cell r="AE226" t="str">
            <v>V1 - Existing / No Claim</v>
          </cell>
          <cell r="AF226">
            <v>42780</v>
          </cell>
          <cell r="AG226">
            <v>9.17</v>
          </cell>
          <cell r="AH226" t="str">
            <v>RI</v>
          </cell>
          <cell r="AI226" t="str">
            <v>Not in contract</v>
          </cell>
          <cell r="AJ226" t="str">
            <v>Not under maintenance</v>
          </cell>
          <cell r="AK226" t="e">
            <v>#N/A</v>
          </cell>
        </row>
        <row r="227">
          <cell r="A227" t="str">
            <v>IKN401429</v>
          </cell>
          <cell r="B227">
            <v>1408</v>
          </cell>
          <cell r="C227" t="str">
            <v>Institut Kanser Negara</v>
          </cell>
          <cell r="D227" t="e">
            <v>#N/A</v>
          </cell>
          <cell r="E227" t="str">
            <v>17-887</v>
          </cell>
          <cell r="F227" t="str">
            <v>Thermometers, Electronic, Infrared, Ear</v>
          </cell>
          <cell r="G227" t="str">
            <v>WD</v>
          </cell>
          <cell r="H227" t="str">
            <v>RT/ONCO PAED/ADOLESCENT WARD</v>
          </cell>
          <cell r="I227" t="str">
            <v>06WD146</v>
          </cell>
          <cell r="J227" t="str">
            <v>NURSE STATION</v>
          </cell>
          <cell r="K227" t="str">
            <v>BMED</v>
          </cell>
          <cell r="L227" t="str">
            <v>Normal</v>
          </cell>
          <cell r="M227" t="str">
            <v>Mexico</v>
          </cell>
          <cell r="N227" t="str">
            <v>Thermoscan</v>
          </cell>
          <cell r="O227" t="str">
            <v>Thermoscan Pro 4000</v>
          </cell>
          <cell r="P227" t="str">
            <v>33412K00260</v>
          </cell>
          <cell r="Q227" t="str">
            <v>Not Available</v>
          </cell>
          <cell r="R227" t="str">
            <v>Welch Allyn Inc</v>
          </cell>
          <cell r="S227" t="str">
            <v>Welch Allyn Malaysia Sdn. Bhd</v>
          </cell>
          <cell r="T227" t="str">
            <v>Functioning</v>
          </cell>
          <cell r="U227" t="str">
            <v>Asset</v>
          </cell>
          <cell r="V227">
            <v>540</v>
          </cell>
          <cell r="W227" t="str">
            <v>Replacement</v>
          </cell>
          <cell r="X227" t="str">
            <v>01/09/2010</v>
          </cell>
          <cell r="Y227" t="str">
            <v>KEW</v>
          </cell>
          <cell r="Z227" t="str">
            <v>16/08/2013</v>
          </cell>
          <cell r="AA227" t="str">
            <v>15/08/2015</v>
          </cell>
          <cell r="AB227" t="str">
            <v>No</v>
          </cell>
          <cell r="AC227" t="str">
            <v>31/08/2013</v>
          </cell>
          <cell r="AD227" t="str">
            <v>Good</v>
          </cell>
          <cell r="AE227" t="str">
            <v>V1 - Existing / No Claim</v>
          </cell>
          <cell r="AF227">
            <v>42780</v>
          </cell>
          <cell r="AG227">
            <v>9.17</v>
          </cell>
          <cell r="AH227" t="str">
            <v>RI</v>
          </cell>
          <cell r="AI227" t="str">
            <v>Not in contract</v>
          </cell>
          <cell r="AJ227" t="str">
            <v>Not under maintenance</v>
          </cell>
          <cell r="AK227" t="e">
            <v>#N/A</v>
          </cell>
        </row>
        <row r="228">
          <cell r="A228" t="str">
            <v>IKN401431</v>
          </cell>
          <cell r="B228">
            <v>1409</v>
          </cell>
          <cell r="C228" t="str">
            <v>Institut Kanser Negara</v>
          </cell>
          <cell r="D228" t="e">
            <v>#N/A</v>
          </cell>
          <cell r="E228" t="str">
            <v>17-887</v>
          </cell>
          <cell r="F228" t="str">
            <v>Thermometers, Electronic, Infrared, Ear</v>
          </cell>
          <cell r="G228" t="str">
            <v>WC</v>
          </cell>
          <cell r="H228" t="str">
            <v>SURGICAL ONCO FEMALE WARD</v>
          </cell>
          <cell r="I228" t="str">
            <v>06WC107</v>
          </cell>
          <cell r="J228" t="str">
            <v>TREATMENT / PROCEDURE</v>
          </cell>
          <cell r="K228" t="str">
            <v>BMED</v>
          </cell>
          <cell r="L228" t="str">
            <v>Normal</v>
          </cell>
          <cell r="M228" t="str">
            <v>Mexico</v>
          </cell>
          <cell r="N228" t="str">
            <v>Thermoscan</v>
          </cell>
          <cell r="O228" t="str">
            <v>Thermoscan Pro 4000</v>
          </cell>
          <cell r="P228" t="str">
            <v>29612K05674</v>
          </cell>
          <cell r="Q228" t="str">
            <v>Not Available</v>
          </cell>
          <cell r="R228" t="str">
            <v>Welch Allyn Inc</v>
          </cell>
          <cell r="S228" t="str">
            <v>Welch Allyn Malaysia Sdn. Bhd</v>
          </cell>
          <cell r="T228" t="str">
            <v>Functioning</v>
          </cell>
          <cell r="U228" t="str">
            <v>Asset</v>
          </cell>
          <cell r="V228">
            <v>540</v>
          </cell>
          <cell r="W228" t="str">
            <v>KEW</v>
          </cell>
          <cell r="X228" t="str">
            <v>01/09/2010</v>
          </cell>
          <cell r="Y228" t="str">
            <v>KEW</v>
          </cell>
          <cell r="Z228" t="str">
            <v>16/08/2013</v>
          </cell>
          <cell r="AA228" t="str">
            <v>15/08/2015</v>
          </cell>
          <cell r="AB228" t="str">
            <v>No</v>
          </cell>
          <cell r="AC228" t="str">
            <v>31/08/2013</v>
          </cell>
          <cell r="AD228" t="str">
            <v>Good</v>
          </cell>
          <cell r="AE228" t="str">
            <v>V1 - Existing / No Claim</v>
          </cell>
          <cell r="AF228">
            <v>42780</v>
          </cell>
          <cell r="AG228">
            <v>9.17</v>
          </cell>
          <cell r="AH228" t="str">
            <v>RI</v>
          </cell>
          <cell r="AI228" t="str">
            <v>Not in contract</v>
          </cell>
          <cell r="AJ228" t="str">
            <v>Not under maintenance</v>
          </cell>
          <cell r="AK228" t="e">
            <v>#N/A</v>
          </cell>
        </row>
        <row r="229">
          <cell r="A229" t="str">
            <v>IKN401440</v>
          </cell>
          <cell r="B229">
            <v>1416</v>
          </cell>
          <cell r="C229" t="str">
            <v>Institut Kanser Negara</v>
          </cell>
          <cell r="D229" t="str">
            <v>KKM/IKN/I/13/4630</v>
          </cell>
          <cell r="E229" t="str">
            <v>17-887</v>
          </cell>
          <cell r="F229" t="str">
            <v>Thermometers, Electronic, Infrared, Ear</v>
          </cell>
          <cell r="G229" t="str">
            <v>WA</v>
          </cell>
          <cell r="H229" t="str">
            <v>NUCLEAR MED WARD (THERAPY)</v>
          </cell>
          <cell r="I229" t="str">
            <v>03WA117</v>
          </cell>
          <cell r="J229" t="str">
            <v>N/S 1</v>
          </cell>
          <cell r="K229" t="str">
            <v>BMED</v>
          </cell>
          <cell r="L229" t="str">
            <v>Normal</v>
          </cell>
          <cell r="M229" t="str">
            <v>Mexico</v>
          </cell>
          <cell r="N229" t="str">
            <v>Thermoscan</v>
          </cell>
          <cell r="O229" t="str">
            <v>Thermoscan Pro 4000</v>
          </cell>
          <cell r="P229" t="str">
            <v>33412K04471</v>
          </cell>
          <cell r="Q229" t="str">
            <v>Not Available</v>
          </cell>
          <cell r="R229" t="str">
            <v>Welch Allyn Inc</v>
          </cell>
          <cell r="S229" t="str">
            <v>Welch Allyn Malaysia Sdn. Bhd</v>
          </cell>
          <cell r="T229" t="str">
            <v>Functioning</v>
          </cell>
          <cell r="U229" t="str">
            <v>Asset</v>
          </cell>
          <cell r="V229">
            <v>540</v>
          </cell>
          <cell r="W229" t="str">
            <v>KEW</v>
          </cell>
          <cell r="X229" t="str">
            <v>01/09/2010</v>
          </cell>
          <cell r="Y229" t="str">
            <v>KEW</v>
          </cell>
          <cell r="Z229" t="str">
            <v>16/08/2013</v>
          </cell>
          <cell r="AA229" t="str">
            <v>15/08/2015</v>
          </cell>
          <cell r="AB229" t="str">
            <v>No</v>
          </cell>
          <cell r="AC229" t="str">
            <v>31/08/2013</v>
          </cell>
          <cell r="AD229" t="str">
            <v>Good</v>
          </cell>
          <cell r="AE229" t="str">
            <v>V1 - Existing / No Claim</v>
          </cell>
          <cell r="AF229">
            <v>42780</v>
          </cell>
          <cell r="AG229">
            <v>9.17</v>
          </cell>
          <cell r="AH229" t="str">
            <v>RI</v>
          </cell>
          <cell r="AI229" t="str">
            <v>Strands</v>
          </cell>
          <cell r="AJ229" t="str">
            <v>Not under maintenance</v>
          </cell>
        </row>
        <row r="230">
          <cell r="A230" t="str">
            <v>IKN401441</v>
          </cell>
          <cell r="B230">
            <v>1417</v>
          </cell>
          <cell r="C230" t="str">
            <v>Institut Kanser Negara</v>
          </cell>
          <cell r="D230" t="str">
            <v>KKM/IKN/I/13/4629</v>
          </cell>
          <cell r="E230" t="str">
            <v>17-887</v>
          </cell>
          <cell r="F230" t="str">
            <v>Thermometers, Electronic, Infrared, Ear</v>
          </cell>
          <cell r="G230" t="str">
            <v>WA</v>
          </cell>
          <cell r="H230" t="str">
            <v>NUCLEAR MED WARD (THERAPY)</v>
          </cell>
          <cell r="I230" t="str">
            <v>03WA121</v>
          </cell>
          <cell r="J230" t="str">
            <v>N/S 2</v>
          </cell>
          <cell r="K230" t="str">
            <v>BMED</v>
          </cell>
          <cell r="L230" t="str">
            <v>Normal</v>
          </cell>
          <cell r="M230" t="str">
            <v>Mexico</v>
          </cell>
          <cell r="N230" t="str">
            <v>Thermoscan</v>
          </cell>
          <cell r="O230" t="str">
            <v>Thermoscan Pro 4000</v>
          </cell>
          <cell r="P230" t="str">
            <v>33412K04806</v>
          </cell>
          <cell r="Q230" t="str">
            <v>Not Available</v>
          </cell>
          <cell r="R230" t="str">
            <v>Welch Allyn Inc</v>
          </cell>
          <cell r="S230" t="str">
            <v>Welch Allyn Malaysia Sdn. Bhd</v>
          </cell>
          <cell r="T230" t="str">
            <v>Functioning</v>
          </cell>
          <cell r="U230" t="str">
            <v>Asset</v>
          </cell>
          <cell r="V230">
            <v>540</v>
          </cell>
          <cell r="W230" t="str">
            <v>KEW</v>
          </cell>
          <cell r="X230" t="str">
            <v>01/09/2010</v>
          </cell>
          <cell r="Y230" t="str">
            <v>KEW</v>
          </cell>
          <cell r="Z230" t="str">
            <v>16/08/2013</v>
          </cell>
          <cell r="AA230" t="str">
            <v>15/08/2015</v>
          </cell>
          <cell r="AB230" t="str">
            <v>No</v>
          </cell>
          <cell r="AC230" t="str">
            <v>31/08/2013</v>
          </cell>
          <cell r="AD230" t="str">
            <v>Good</v>
          </cell>
          <cell r="AE230" t="str">
            <v>V1 - Existing / No Claim</v>
          </cell>
          <cell r="AF230">
            <v>42780</v>
          </cell>
          <cell r="AG230">
            <v>9.17</v>
          </cell>
          <cell r="AH230" t="str">
            <v>RI</v>
          </cell>
          <cell r="AI230" t="str">
            <v>Strands</v>
          </cell>
          <cell r="AJ230" t="str">
            <v>Not under maintenance</v>
          </cell>
        </row>
        <row r="231">
          <cell r="A231" t="str">
            <v>IKN401448</v>
          </cell>
          <cell r="B231">
            <v>1421</v>
          </cell>
          <cell r="C231" t="str">
            <v>Institut Kanser Negara</v>
          </cell>
          <cell r="D231" t="str">
            <v>KKM/IKN/H/13/866</v>
          </cell>
          <cell r="E231" t="str">
            <v>17-887</v>
          </cell>
          <cell r="F231" t="str">
            <v>Thermometers, Electronic, Infrared, Ear</v>
          </cell>
          <cell r="G231" t="str">
            <v>TC</v>
          </cell>
          <cell r="H231" t="str">
            <v>TRADITIONAL COMPLEMENTARY MEDICINE</v>
          </cell>
          <cell r="I231" t="str">
            <v>04TC128</v>
          </cell>
          <cell r="J231" t="str">
            <v>TREATMENT 1 (REFLEXOLOGY</v>
          </cell>
          <cell r="K231" t="str">
            <v>BMED</v>
          </cell>
          <cell r="L231" t="str">
            <v>Normal</v>
          </cell>
          <cell r="M231" t="str">
            <v>Mexico</v>
          </cell>
          <cell r="N231" t="str">
            <v>Thermoscan</v>
          </cell>
          <cell r="O231" t="str">
            <v>Thermoscan Pro 4000</v>
          </cell>
          <cell r="P231" t="str">
            <v>33412K00594</v>
          </cell>
          <cell r="Q231" t="str">
            <v>Not Available</v>
          </cell>
          <cell r="R231" t="str">
            <v>Welch Allyn Inc</v>
          </cell>
          <cell r="S231" t="str">
            <v>Welch Allyn Malaysia Sdn. Bhd</v>
          </cell>
          <cell r="T231" t="str">
            <v>Functioning</v>
          </cell>
          <cell r="U231" t="str">
            <v>Asset</v>
          </cell>
          <cell r="V231">
            <v>540</v>
          </cell>
          <cell r="W231" t="str">
            <v>KEW</v>
          </cell>
          <cell r="X231" t="str">
            <v>01/09/2010</v>
          </cell>
          <cell r="Y231" t="str">
            <v>KEW</v>
          </cell>
          <cell r="Z231" t="str">
            <v>16/08/2013</v>
          </cell>
          <cell r="AA231" t="str">
            <v>15/08/2015</v>
          </cell>
          <cell r="AB231" t="str">
            <v>No</v>
          </cell>
          <cell r="AC231" t="str">
            <v>31/08/2013</v>
          </cell>
          <cell r="AD231" t="str">
            <v>Good</v>
          </cell>
          <cell r="AE231" t="str">
            <v>V1 - Existing / No Claim</v>
          </cell>
          <cell r="AF231">
            <v>42780</v>
          </cell>
          <cell r="AG231">
            <v>9.17</v>
          </cell>
          <cell r="AH231" t="str">
            <v>RI</v>
          </cell>
          <cell r="AI231" t="str">
            <v>Strands</v>
          </cell>
          <cell r="AJ231" t="str">
            <v>Not under maintenance</v>
          </cell>
        </row>
        <row r="232">
          <cell r="A232" t="str">
            <v>IKN401452</v>
          </cell>
          <cell r="B232">
            <v>1423</v>
          </cell>
          <cell r="C232" t="str">
            <v>Institut Kanser Negara</v>
          </cell>
          <cell r="D232" t="str">
            <v>KKM/IKN/H/13/3646</v>
          </cell>
          <cell r="E232" t="str">
            <v>17-887</v>
          </cell>
          <cell r="F232" t="str">
            <v>Thermometers, Electronic, Infrared, Ear</v>
          </cell>
          <cell r="G232" t="str">
            <v>DO</v>
          </cell>
          <cell r="H232" t="str">
            <v>DAY ONCOLOGY UNIT</v>
          </cell>
          <cell r="I232" t="str">
            <v>04DO131</v>
          </cell>
          <cell r="J232" t="str">
            <v>NURSE STATION</v>
          </cell>
          <cell r="K232" t="str">
            <v>BMED</v>
          </cell>
          <cell r="L232" t="str">
            <v>Normal</v>
          </cell>
          <cell r="M232" t="str">
            <v>Mexico</v>
          </cell>
          <cell r="N232" t="str">
            <v>Thermoscan</v>
          </cell>
          <cell r="O232" t="str">
            <v>Thermoscan Pro 4000</v>
          </cell>
          <cell r="P232" t="str">
            <v>33412K00576</v>
          </cell>
          <cell r="Q232" t="str">
            <v>Not Applicable</v>
          </cell>
          <cell r="R232" t="str">
            <v>Welch Allyn Inc</v>
          </cell>
          <cell r="S232" t="str">
            <v>Welch Allyn Malaysia Sdn. Bhd</v>
          </cell>
          <cell r="T232" t="str">
            <v>Functioning</v>
          </cell>
          <cell r="U232" t="str">
            <v>Asset</v>
          </cell>
          <cell r="V232">
            <v>540</v>
          </cell>
          <cell r="W232" t="str">
            <v>KEW</v>
          </cell>
          <cell r="X232" t="str">
            <v>01/09/2010</v>
          </cell>
          <cell r="Y232" t="str">
            <v>KEW</v>
          </cell>
          <cell r="Z232" t="str">
            <v>16/08/2013</v>
          </cell>
          <cell r="AA232" t="str">
            <v>15/08/2015</v>
          </cell>
          <cell r="AB232" t="str">
            <v>No</v>
          </cell>
          <cell r="AC232" t="str">
            <v>31/08/2013</v>
          </cell>
          <cell r="AD232" t="str">
            <v>Good</v>
          </cell>
          <cell r="AE232" t="str">
            <v>V1 - Existing / No Claim</v>
          </cell>
          <cell r="AF232">
            <v>42793</v>
          </cell>
          <cell r="AG232">
            <v>9.17</v>
          </cell>
          <cell r="AH232" t="str">
            <v>RI</v>
          </cell>
          <cell r="AI232" t="str">
            <v>Strands</v>
          </cell>
          <cell r="AJ232" t="str">
            <v>Not under maintenance</v>
          </cell>
        </row>
        <row r="233">
          <cell r="A233" t="str">
            <v>IKN401455</v>
          </cell>
          <cell r="B233">
            <v>1425</v>
          </cell>
          <cell r="C233" t="str">
            <v>Institut Kanser Negara</v>
          </cell>
          <cell r="D233" t="e">
            <v>#N/A</v>
          </cell>
          <cell r="E233" t="str">
            <v>17-887</v>
          </cell>
          <cell r="F233" t="str">
            <v>Thermometers, Electronic, Infrared, Ear</v>
          </cell>
          <cell r="G233" t="str">
            <v>WB</v>
          </cell>
          <cell r="H233" t="str">
            <v>SURGICAL ONCO MALE WARD</v>
          </cell>
          <cell r="I233" t="str">
            <v>05WB107</v>
          </cell>
          <cell r="J233" t="str">
            <v>TREATMENT / PROCEDURE</v>
          </cell>
          <cell r="K233" t="str">
            <v>BMED</v>
          </cell>
          <cell r="L233" t="str">
            <v>Normal</v>
          </cell>
          <cell r="M233" t="str">
            <v>Mexico</v>
          </cell>
          <cell r="N233" t="str">
            <v>Thermoscan</v>
          </cell>
          <cell r="O233" t="str">
            <v>Thermoscan Pro 4000</v>
          </cell>
          <cell r="P233" t="str">
            <v>33412K00780</v>
          </cell>
          <cell r="Q233" t="str">
            <v>Not Available</v>
          </cell>
          <cell r="R233" t="str">
            <v>Welch Allyn Inc</v>
          </cell>
          <cell r="S233" t="str">
            <v>Welch Allyn Malaysia Sdn. Bhd</v>
          </cell>
          <cell r="T233" t="str">
            <v>Functioning</v>
          </cell>
          <cell r="U233" t="str">
            <v>Asset</v>
          </cell>
          <cell r="V233">
            <v>540</v>
          </cell>
          <cell r="W233" t="str">
            <v>KEW</v>
          </cell>
          <cell r="X233" t="str">
            <v>01/09/2010</v>
          </cell>
          <cell r="Y233" t="str">
            <v>KEW</v>
          </cell>
          <cell r="Z233" t="str">
            <v>16/08/2013</v>
          </cell>
          <cell r="AA233" t="str">
            <v>15/08/2015</v>
          </cell>
          <cell r="AB233" t="str">
            <v>No</v>
          </cell>
          <cell r="AC233" t="str">
            <v>31/08/2013</v>
          </cell>
          <cell r="AD233" t="str">
            <v>Good</v>
          </cell>
          <cell r="AE233" t="str">
            <v>V1 - Existing / No Claim</v>
          </cell>
          <cell r="AF233">
            <v>42780</v>
          </cell>
          <cell r="AG233">
            <v>9.17</v>
          </cell>
          <cell r="AH233" t="str">
            <v>RI</v>
          </cell>
          <cell r="AI233" t="str">
            <v>Not in contract</v>
          </cell>
          <cell r="AJ233" t="str">
            <v>Not under maintenance</v>
          </cell>
          <cell r="AK233" t="e">
            <v>#N/A</v>
          </cell>
        </row>
        <row r="234">
          <cell r="A234" t="str">
            <v>IKN401456</v>
          </cell>
          <cell r="B234">
            <v>1426</v>
          </cell>
          <cell r="C234" t="str">
            <v>Institut Kanser Negara</v>
          </cell>
          <cell r="D234" t="e">
            <v>#N/A</v>
          </cell>
          <cell r="E234" t="str">
            <v>17-887</v>
          </cell>
          <cell r="F234" t="str">
            <v>Thermometers, Electronic, Infrared, Ear</v>
          </cell>
          <cell r="G234" t="str">
            <v>WB</v>
          </cell>
          <cell r="H234" t="str">
            <v>SURGICAL ONCO MALE WARD</v>
          </cell>
          <cell r="I234" t="str">
            <v>05WB143</v>
          </cell>
          <cell r="J234" t="str">
            <v>NURSES STATION</v>
          </cell>
          <cell r="K234" t="str">
            <v>BMED</v>
          </cell>
          <cell r="L234" t="str">
            <v>Normal</v>
          </cell>
          <cell r="M234" t="str">
            <v>Mexico</v>
          </cell>
          <cell r="N234" t="str">
            <v>Thermoscan</v>
          </cell>
          <cell r="O234" t="str">
            <v>Thermoscan Pro 4000</v>
          </cell>
          <cell r="P234" t="str">
            <v>33412K00806</v>
          </cell>
          <cell r="Q234" t="str">
            <v>Not Available</v>
          </cell>
          <cell r="R234" t="str">
            <v>Welch Allyn Inc</v>
          </cell>
          <cell r="S234" t="str">
            <v>Welch Allyn Malaysia Sdn. Bhd</v>
          </cell>
          <cell r="T234" t="str">
            <v>Functioning</v>
          </cell>
          <cell r="U234" t="str">
            <v>Asset</v>
          </cell>
          <cell r="V234">
            <v>540</v>
          </cell>
          <cell r="W234" t="str">
            <v>KEW</v>
          </cell>
          <cell r="X234" t="str">
            <v>01/09/2010</v>
          </cell>
          <cell r="Y234" t="str">
            <v>KEW</v>
          </cell>
          <cell r="Z234" t="str">
            <v>16/08/2013</v>
          </cell>
          <cell r="AA234" t="str">
            <v>15/08/2015</v>
          </cell>
          <cell r="AB234" t="str">
            <v>No</v>
          </cell>
          <cell r="AC234" t="str">
            <v>31/08/2013</v>
          </cell>
          <cell r="AD234" t="str">
            <v>Good</v>
          </cell>
          <cell r="AE234" t="str">
            <v>V1 - Existing / No Claim</v>
          </cell>
          <cell r="AF234">
            <v>42780</v>
          </cell>
          <cell r="AG234">
            <v>9.17</v>
          </cell>
          <cell r="AH234" t="str">
            <v>RI</v>
          </cell>
          <cell r="AI234" t="str">
            <v>Not in contract</v>
          </cell>
          <cell r="AJ234" t="str">
            <v>Not under maintenance</v>
          </cell>
          <cell r="AK234" t="e">
            <v>#N/A</v>
          </cell>
        </row>
        <row r="235">
          <cell r="A235" t="str">
            <v>IKN401457</v>
          </cell>
          <cell r="B235">
            <v>1427</v>
          </cell>
          <cell r="C235" t="str">
            <v>Institut Kanser Negara</v>
          </cell>
          <cell r="D235" t="e">
            <v>#N/A</v>
          </cell>
          <cell r="E235" t="str">
            <v>17-887</v>
          </cell>
          <cell r="F235" t="str">
            <v>Thermometers, Electronic, Infrared, Ear</v>
          </cell>
          <cell r="G235" t="str">
            <v>WB</v>
          </cell>
          <cell r="H235" t="str">
            <v>SURGICAL ONCO MALE WARD</v>
          </cell>
          <cell r="I235" t="str">
            <v>05WB143</v>
          </cell>
          <cell r="J235" t="str">
            <v>NURSES STATION</v>
          </cell>
          <cell r="K235" t="str">
            <v>BMED</v>
          </cell>
          <cell r="L235" t="str">
            <v>Normal</v>
          </cell>
          <cell r="M235" t="str">
            <v>Mexico</v>
          </cell>
          <cell r="N235" t="str">
            <v>Thermoscan</v>
          </cell>
          <cell r="O235" t="str">
            <v>Thermoscan Pro 4000</v>
          </cell>
          <cell r="P235" t="str">
            <v>33412K01587</v>
          </cell>
          <cell r="Q235" t="str">
            <v>Not Available</v>
          </cell>
          <cell r="R235" t="str">
            <v>Welch Allyn Inc</v>
          </cell>
          <cell r="S235" t="str">
            <v>Welch Allyn Malaysia Sdn. Bhd</v>
          </cell>
          <cell r="T235" t="str">
            <v>Functioning</v>
          </cell>
          <cell r="U235" t="str">
            <v>Asset</v>
          </cell>
          <cell r="V235">
            <v>540</v>
          </cell>
          <cell r="W235" t="str">
            <v>KEW</v>
          </cell>
          <cell r="X235" t="str">
            <v>01/09/2010</v>
          </cell>
          <cell r="Y235" t="str">
            <v>KEW</v>
          </cell>
          <cell r="Z235" t="str">
            <v>16/08/2013</v>
          </cell>
          <cell r="AA235" t="str">
            <v>15/08/2015</v>
          </cell>
          <cell r="AB235" t="str">
            <v>No</v>
          </cell>
          <cell r="AC235" t="str">
            <v>31/08/2013</v>
          </cell>
          <cell r="AD235" t="str">
            <v>Good</v>
          </cell>
          <cell r="AE235" t="str">
            <v>V1 - Existing / No Claim</v>
          </cell>
          <cell r="AF235">
            <v>42780</v>
          </cell>
          <cell r="AG235">
            <v>9.17</v>
          </cell>
          <cell r="AH235" t="str">
            <v>RI</v>
          </cell>
          <cell r="AI235" t="str">
            <v>Not in contract</v>
          </cell>
          <cell r="AJ235" t="str">
            <v>Not under maintenance</v>
          </cell>
          <cell r="AK235" t="e">
            <v>#N/A</v>
          </cell>
        </row>
        <row r="236">
          <cell r="A236" t="str">
            <v>IKN401459</v>
          </cell>
          <cell r="B236">
            <v>1428</v>
          </cell>
          <cell r="C236" t="str">
            <v>Institut Kanser Negara</v>
          </cell>
          <cell r="D236" t="e">
            <v>#N/A</v>
          </cell>
          <cell r="E236" t="str">
            <v>17-887</v>
          </cell>
          <cell r="F236" t="str">
            <v>Thermometers, Electronic, Infrared, Ear</v>
          </cell>
          <cell r="G236" t="str">
            <v>IC</v>
          </cell>
          <cell r="H236" t="str">
            <v>INTENSIVE CARE UNIT</v>
          </cell>
          <cell r="I236" t="str">
            <v>05IC140</v>
          </cell>
          <cell r="J236" t="str">
            <v>NURSE STATION 1</v>
          </cell>
          <cell r="K236" t="str">
            <v>BMED</v>
          </cell>
          <cell r="L236" t="str">
            <v>Normal</v>
          </cell>
          <cell r="M236" t="str">
            <v>Mexico</v>
          </cell>
          <cell r="N236" t="str">
            <v>Thermoscan</v>
          </cell>
          <cell r="O236" t="str">
            <v>Thermoscan Pro 4000</v>
          </cell>
          <cell r="P236" t="str">
            <v>33312K06563</v>
          </cell>
          <cell r="Q236" t="str">
            <v>Not Available</v>
          </cell>
          <cell r="R236" t="str">
            <v>Welch Allyn Inc</v>
          </cell>
          <cell r="S236" t="str">
            <v>Welch Allyn Malaysia Sdn. Bhd</v>
          </cell>
          <cell r="T236" t="str">
            <v>Functioning</v>
          </cell>
          <cell r="U236" t="str">
            <v>Asset</v>
          </cell>
          <cell r="V236">
            <v>540</v>
          </cell>
          <cell r="W236" t="str">
            <v>KEW</v>
          </cell>
          <cell r="X236" t="str">
            <v>01/09/2010</v>
          </cell>
          <cell r="Y236" t="str">
            <v>KEW</v>
          </cell>
          <cell r="Z236" t="str">
            <v>16/08/2013</v>
          </cell>
          <cell r="AA236" t="str">
            <v>15/08/2015</v>
          </cell>
          <cell r="AB236" t="str">
            <v>No</v>
          </cell>
          <cell r="AC236" t="str">
            <v>31/08/2013</v>
          </cell>
          <cell r="AD236" t="str">
            <v>Good</v>
          </cell>
          <cell r="AE236" t="str">
            <v>V1 - Existing / No Claim</v>
          </cell>
          <cell r="AF236">
            <v>42780</v>
          </cell>
          <cell r="AG236">
            <v>9.17</v>
          </cell>
          <cell r="AH236" t="str">
            <v>RI</v>
          </cell>
          <cell r="AI236" t="str">
            <v>Not in contract</v>
          </cell>
          <cell r="AJ236" t="str">
            <v>Not under maintenance</v>
          </cell>
          <cell r="AK236" t="e">
            <v>#N/A</v>
          </cell>
        </row>
        <row r="237">
          <cell r="A237" t="str">
            <v>IKN401460</v>
          </cell>
          <cell r="B237">
            <v>1429</v>
          </cell>
          <cell r="C237" t="str">
            <v>Institut Kanser Negara</v>
          </cell>
          <cell r="D237" t="e">
            <v>#N/A</v>
          </cell>
          <cell r="E237" t="str">
            <v>17-887</v>
          </cell>
          <cell r="F237" t="str">
            <v>Thermometers, Electronic, Infrared, Ear</v>
          </cell>
          <cell r="G237" t="str">
            <v>IC</v>
          </cell>
          <cell r="H237" t="str">
            <v>INTENSIVE CARE UNIT</v>
          </cell>
          <cell r="I237" t="str">
            <v>05IC140</v>
          </cell>
          <cell r="J237" t="str">
            <v>NURSE STATION 1</v>
          </cell>
          <cell r="K237" t="str">
            <v>BMED</v>
          </cell>
          <cell r="L237" t="str">
            <v>Normal</v>
          </cell>
          <cell r="M237" t="str">
            <v>Mexico</v>
          </cell>
          <cell r="N237" t="str">
            <v>Thermoscan</v>
          </cell>
          <cell r="O237" t="str">
            <v>Thermoscan Pro 4000</v>
          </cell>
          <cell r="P237" t="str">
            <v>33412K01008</v>
          </cell>
          <cell r="Q237" t="str">
            <v>Not Available</v>
          </cell>
          <cell r="R237" t="str">
            <v>Welch Allyn Inc</v>
          </cell>
          <cell r="S237" t="str">
            <v>Welch Allyn Malaysia Sdn. Bhd</v>
          </cell>
          <cell r="T237" t="str">
            <v>Functioning</v>
          </cell>
          <cell r="U237" t="str">
            <v>Asset</v>
          </cell>
          <cell r="V237">
            <v>540</v>
          </cell>
          <cell r="W237" t="str">
            <v>KEW</v>
          </cell>
          <cell r="X237" t="str">
            <v>01/09/2010</v>
          </cell>
          <cell r="Y237" t="str">
            <v>KEW</v>
          </cell>
          <cell r="Z237" t="str">
            <v>16/08/2013</v>
          </cell>
          <cell r="AA237" t="str">
            <v>15/08/2015</v>
          </cell>
          <cell r="AB237" t="str">
            <v>No</v>
          </cell>
          <cell r="AC237" t="str">
            <v>31/08/2013</v>
          </cell>
          <cell r="AD237" t="str">
            <v>Good</v>
          </cell>
          <cell r="AE237" t="str">
            <v>V1 - Existing / No Claim</v>
          </cell>
          <cell r="AF237">
            <v>42780</v>
          </cell>
          <cell r="AG237">
            <v>9.17</v>
          </cell>
          <cell r="AH237" t="str">
            <v>RI</v>
          </cell>
          <cell r="AI237" t="str">
            <v>Not in contract</v>
          </cell>
          <cell r="AJ237" t="str">
            <v>Not under maintenance</v>
          </cell>
          <cell r="AK237" t="e">
            <v>#N/A</v>
          </cell>
        </row>
        <row r="238">
          <cell r="A238" t="str">
            <v>IKN401463</v>
          </cell>
          <cell r="B238">
            <v>1431</v>
          </cell>
          <cell r="C238" t="str">
            <v>Institut Kanser Negara</v>
          </cell>
          <cell r="D238" t="e">
            <v>#N/A</v>
          </cell>
          <cell r="E238" t="str">
            <v>17-887</v>
          </cell>
          <cell r="F238" t="str">
            <v>Thermometers, Electronic, Infrared, Ear</v>
          </cell>
          <cell r="G238" t="str">
            <v>WJ</v>
          </cell>
          <cell r="H238" t="str">
            <v>MULTIDISCIPLINE WARD 1</v>
          </cell>
          <cell r="I238" t="str">
            <v>09WJ209</v>
          </cell>
          <cell r="J238" t="str">
            <v>NURSE STATION</v>
          </cell>
          <cell r="K238" t="str">
            <v>BMED</v>
          </cell>
          <cell r="L238" t="str">
            <v>Normal</v>
          </cell>
          <cell r="M238" t="str">
            <v>Mexico</v>
          </cell>
          <cell r="N238" t="str">
            <v>Thermoscan</v>
          </cell>
          <cell r="O238" t="str">
            <v>Thermoscan Pro 4000</v>
          </cell>
          <cell r="P238" t="str">
            <v>33412K01023</v>
          </cell>
          <cell r="Q238" t="str">
            <v>Not Available</v>
          </cell>
          <cell r="R238" t="str">
            <v>Welch Allyn Inc</v>
          </cell>
          <cell r="S238" t="str">
            <v>Welch Allyn Malaysia Sdn. Bhd</v>
          </cell>
          <cell r="T238" t="str">
            <v>Functioning</v>
          </cell>
          <cell r="U238" t="str">
            <v>Asset</v>
          </cell>
          <cell r="V238">
            <v>540</v>
          </cell>
          <cell r="W238" t="str">
            <v>KEW</v>
          </cell>
          <cell r="X238" t="str">
            <v>01/09/2010</v>
          </cell>
          <cell r="Y238" t="str">
            <v>KEW</v>
          </cell>
          <cell r="Z238" t="str">
            <v>16/08/2013</v>
          </cell>
          <cell r="AA238" t="str">
            <v>15/08/2015</v>
          </cell>
          <cell r="AB238" t="str">
            <v>No</v>
          </cell>
          <cell r="AC238" t="str">
            <v>31/08/2013</v>
          </cell>
          <cell r="AD238" t="str">
            <v>Good</v>
          </cell>
          <cell r="AE238" t="str">
            <v>V1 - Existing / No Claim</v>
          </cell>
          <cell r="AF238">
            <v>42780</v>
          </cell>
          <cell r="AG238">
            <v>9.17</v>
          </cell>
          <cell r="AH238" t="str">
            <v>RI</v>
          </cell>
          <cell r="AI238" t="str">
            <v>Not in contract</v>
          </cell>
          <cell r="AJ238" t="str">
            <v>Not under maintenance</v>
          </cell>
          <cell r="AK238" t="e">
            <v>#N/A</v>
          </cell>
        </row>
        <row r="239">
          <cell r="A239" t="str">
            <v>IKN401464</v>
          </cell>
          <cell r="B239">
            <v>1432</v>
          </cell>
          <cell r="C239" t="str">
            <v>Institut Kanser Negara</v>
          </cell>
          <cell r="D239" t="e">
            <v>#N/A</v>
          </cell>
          <cell r="E239" t="str">
            <v>17-887</v>
          </cell>
          <cell r="F239" t="str">
            <v>Thermometers, Electronic, Infrared, Ear</v>
          </cell>
          <cell r="G239" t="str">
            <v>WJ</v>
          </cell>
          <cell r="H239" t="str">
            <v>MULTIDISCIPLINE WARD 1</v>
          </cell>
          <cell r="I239" t="str">
            <v>09WJ205</v>
          </cell>
          <cell r="J239" t="str">
            <v>NURSE STATION</v>
          </cell>
          <cell r="K239" t="str">
            <v>BMED</v>
          </cell>
          <cell r="L239" t="str">
            <v>Normal</v>
          </cell>
          <cell r="M239" t="str">
            <v>Mexico</v>
          </cell>
          <cell r="N239" t="str">
            <v>Thermoscan</v>
          </cell>
          <cell r="O239" t="str">
            <v>Thermoscan Pro 4000</v>
          </cell>
          <cell r="P239" t="str">
            <v>33412K00505</v>
          </cell>
          <cell r="Q239" t="str">
            <v>Not Available</v>
          </cell>
          <cell r="R239" t="str">
            <v>Welch Allyn Inc</v>
          </cell>
          <cell r="S239" t="str">
            <v>Welch Allyn Malaysia Sdn. Bhd</v>
          </cell>
          <cell r="T239" t="str">
            <v>Functioning</v>
          </cell>
          <cell r="U239" t="str">
            <v>Asset</v>
          </cell>
          <cell r="V239">
            <v>540</v>
          </cell>
          <cell r="W239" t="str">
            <v>KEW</v>
          </cell>
          <cell r="X239" t="str">
            <v>01/09/2010</v>
          </cell>
          <cell r="Y239" t="str">
            <v>KEW</v>
          </cell>
          <cell r="Z239" t="str">
            <v>16/08/2013</v>
          </cell>
          <cell r="AA239" t="str">
            <v>15/08/2015</v>
          </cell>
          <cell r="AB239" t="str">
            <v>No</v>
          </cell>
          <cell r="AC239" t="str">
            <v>31/08/2013</v>
          </cell>
          <cell r="AD239" t="str">
            <v>Good</v>
          </cell>
          <cell r="AE239" t="str">
            <v>V1 - Existing / No Claim</v>
          </cell>
          <cell r="AF239">
            <v>42781</v>
          </cell>
          <cell r="AG239">
            <v>9.17</v>
          </cell>
          <cell r="AH239" t="str">
            <v>RI</v>
          </cell>
          <cell r="AI239" t="str">
            <v>Not in contract</v>
          </cell>
          <cell r="AJ239" t="str">
            <v>Not under maintenance</v>
          </cell>
          <cell r="AK239" t="e">
            <v>#N/A</v>
          </cell>
        </row>
        <row r="240">
          <cell r="A240" t="str">
            <v>IKN401465</v>
          </cell>
          <cell r="B240">
            <v>1433</v>
          </cell>
          <cell r="C240" t="str">
            <v>Institut Kanser Negara</v>
          </cell>
          <cell r="D240" t="e">
            <v>#N/A</v>
          </cell>
          <cell r="E240" t="str">
            <v>17-887</v>
          </cell>
          <cell r="F240" t="str">
            <v>Thermometers, Electronic, Infrared, Ear</v>
          </cell>
          <cell r="G240" t="str">
            <v>WJ</v>
          </cell>
          <cell r="H240" t="str">
            <v>MULTIDISCIPLINE WARD 1</v>
          </cell>
          <cell r="I240" t="str">
            <v>09WJ205</v>
          </cell>
          <cell r="J240" t="str">
            <v>NURSE STATION</v>
          </cell>
          <cell r="K240" t="str">
            <v>BMED</v>
          </cell>
          <cell r="L240" t="str">
            <v>Normal</v>
          </cell>
          <cell r="M240" t="str">
            <v>Mexico</v>
          </cell>
          <cell r="N240" t="str">
            <v>Thermoscan</v>
          </cell>
          <cell r="O240" t="str">
            <v>Thermoscan Pro 4000</v>
          </cell>
          <cell r="P240" t="str">
            <v>33412K05108</v>
          </cell>
          <cell r="Q240" t="str">
            <v>Not Available</v>
          </cell>
          <cell r="R240" t="str">
            <v>Welch Allyn Inc</v>
          </cell>
          <cell r="S240" t="str">
            <v>Welch Allyn Malaysia Sdn. Bhd</v>
          </cell>
          <cell r="T240" t="str">
            <v>Functioning</v>
          </cell>
          <cell r="U240" t="str">
            <v>Asset</v>
          </cell>
          <cell r="V240">
            <v>540</v>
          </cell>
          <cell r="W240" t="str">
            <v>KEW</v>
          </cell>
          <cell r="X240" t="str">
            <v>01/09/2010</v>
          </cell>
          <cell r="Y240" t="str">
            <v>KEW</v>
          </cell>
          <cell r="Z240" t="str">
            <v>16/08/2013</v>
          </cell>
          <cell r="AA240" t="str">
            <v>15/08/2015</v>
          </cell>
          <cell r="AB240" t="str">
            <v>No</v>
          </cell>
          <cell r="AC240" t="str">
            <v>31/08/2013</v>
          </cell>
          <cell r="AD240" t="str">
            <v>Good</v>
          </cell>
          <cell r="AE240" t="str">
            <v>V1 - Existing / No Claim</v>
          </cell>
          <cell r="AF240">
            <v>42780</v>
          </cell>
          <cell r="AG240">
            <v>9.17</v>
          </cell>
          <cell r="AH240" t="str">
            <v>RI</v>
          </cell>
          <cell r="AI240" t="str">
            <v>Not in contract</v>
          </cell>
          <cell r="AJ240" t="str">
            <v>Not under maintenance</v>
          </cell>
          <cell r="AK240" t="e">
            <v>#N/A</v>
          </cell>
        </row>
        <row r="241">
          <cell r="A241" t="str">
            <v>IKN401467</v>
          </cell>
          <cell r="B241">
            <v>1434</v>
          </cell>
          <cell r="C241" t="str">
            <v>Institut Kanser Negara</v>
          </cell>
          <cell r="D241" t="str">
            <v>KKM/IKN/I/13/3989</v>
          </cell>
          <cell r="E241" t="str">
            <v>17-887</v>
          </cell>
          <cell r="F241" t="str">
            <v>Thermometers, Electronic, Infrared, Ear</v>
          </cell>
          <cell r="G241" t="str">
            <v>WG</v>
          </cell>
          <cell r="H241" t="str">
            <v>RT/ONCO WARD 1 (M)</v>
          </cell>
          <cell r="I241" t="str">
            <v>08WG143</v>
          </cell>
          <cell r="J241" t="str">
            <v>NURSE STATION</v>
          </cell>
          <cell r="K241" t="str">
            <v>BMED</v>
          </cell>
          <cell r="L241" t="str">
            <v>Normal</v>
          </cell>
          <cell r="M241" t="str">
            <v>Mexico</v>
          </cell>
          <cell r="N241" t="str">
            <v>Thermoscan</v>
          </cell>
          <cell r="O241" t="str">
            <v>Thermoscan Pro 4000</v>
          </cell>
          <cell r="P241" t="str">
            <v>33412K00663</v>
          </cell>
          <cell r="Q241" t="str">
            <v>Not Applicable</v>
          </cell>
          <cell r="R241" t="str">
            <v>Welch Allyn Inc</v>
          </cell>
          <cell r="S241" t="str">
            <v>Welch Allyn Malaysia Sdn. Bhd</v>
          </cell>
          <cell r="T241" t="str">
            <v>Functioning</v>
          </cell>
          <cell r="U241" t="str">
            <v>Asset</v>
          </cell>
          <cell r="V241">
            <v>540</v>
          </cell>
          <cell r="W241" t="str">
            <v>KEW</v>
          </cell>
          <cell r="X241" t="str">
            <v>01/09/2010</v>
          </cell>
          <cell r="Y241" t="str">
            <v>KEW</v>
          </cell>
          <cell r="Z241" t="str">
            <v>16/08/2013</v>
          </cell>
          <cell r="AA241" t="str">
            <v>15/08/2015</v>
          </cell>
          <cell r="AB241" t="str">
            <v>No</v>
          </cell>
          <cell r="AC241" t="str">
            <v>31/08/2013</v>
          </cell>
          <cell r="AD241" t="str">
            <v>Good</v>
          </cell>
          <cell r="AE241" t="str">
            <v>V1 - Existing / No Claim</v>
          </cell>
          <cell r="AF241">
            <v>42789</v>
          </cell>
          <cell r="AG241">
            <v>9.17</v>
          </cell>
          <cell r="AH241" t="str">
            <v>RI</v>
          </cell>
          <cell r="AI241" t="str">
            <v>Strands</v>
          </cell>
          <cell r="AJ241" t="str">
            <v>Not under maintenance</v>
          </cell>
        </row>
        <row r="242">
          <cell r="A242" t="str">
            <v>IKN401468</v>
          </cell>
          <cell r="B242">
            <v>1435</v>
          </cell>
          <cell r="C242" t="str">
            <v>Institut Kanser Negara</v>
          </cell>
          <cell r="D242" t="e">
            <v>#N/A</v>
          </cell>
          <cell r="E242" t="str">
            <v>17-887</v>
          </cell>
          <cell r="F242" t="str">
            <v>Thermometers, Electronic, Infrared, Ear</v>
          </cell>
          <cell r="G242" t="str">
            <v>WC</v>
          </cell>
          <cell r="H242" t="str">
            <v>SURGICAL ONCO FEMALE WARD</v>
          </cell>
          <cell r="I242" t="str">
            <v>06WC143</v>
          </cell>
          <cell r="J242" t="str">
            <v>NURSE STATION</v>
          </cell>
          <cell r="K242" t="str">
            <v>BMED</v>
          </cell>
          <cell r="L242" t="str">
            <v>Normal</v>
          </cell>
          <cell r="M242" t="str">
            <v>Mexico</v>
          </cell>
          <cell r="N242" t="str">
            <v>Thermoscan</v>
          </cell>
          <cell r="O242" t="str">
            <v>Thermoscan Pro 4000</v>
          </cell>
          <cell r="P242" t="str">
            <v>22414K07527</v>
          </cell>
          <cell r="Q242" t="str">
            <v>Not Available</v>
          </cell>
          <cell r="R242" t="str">
            <v>Welch Allyn Inc</v>
          </cell>
          <cell r="S242" t="str">
            <v>Welch Allyn Malaysia Sdn. Bhd</v>
          </cell>
          <cell r="T242" t="str">
            <v>Functioning</v>
          </cell>
          <cell r="U242" t="str">
            <v>Asset</v>
          </cell>
          <cell r="V242">
            <v>540</v>
          </cell>
          <cell r="W242" t="str">
            <v>KEW</v>
          </cell>
          <cell r="X242" t="str">
            <v>01/09/2010</v>
          </cell>
          <cell r="Y242" t="str">
            <v>KEW</v>
          </cell>
          <cell r="Z242" t="str">
            <v>16/08/2013</v>
          </cell>
          <cell r="AA242" t="str">
            <v>15/08/2015</v>
          </cell>
          <cell r="AB242" t="str">
            <v>No</v>
          </cell>
          <cell r="AC242" t="str">
            <v>31/08/2013</v>
          </cell>
          <cell r="AD242" t="str">
            <v>Good</v>
          </cell>
          <cell r="AE242" t="str">
            <v>V1 - Existing / No Claim</v>
          </cell>
          <cell r="AF242">
            <v>42780</v>
          </cell>
          <cell r="AG242">
            <v>9.17</v>
          </cell>
          <cell r="AH242" t="str">
            <v>RI</v>
          </cell>
          <cell r="AI242" t="str">
            <v>Not in contract</v>
          </cell>
          <cell r="AJ242" t="str">
            <v>Not under maintenance</v>
          </cell>
          <cell r="AK242" t="e">
            <v>#N/A</v>
          </cell>
        </row>
        <row r="243">
          <cell r="A243" t="str">
            <v>IKN401469</v>
          </cell>
          <cell r="B243">
            <v>1436</v>
          </cell>
          <cell r="C243" t="str">
            <v>Institut Kanser Negara</v>
          </cell>
          <cell r="D243" t="e">
            <v>#N/A</v>
          </cell>
          <cell r="E243" t="str">
            <v>17-887</v>
          </cell>
          <cell r="F243" t="str">
            <v>Thermometers, Electronic, Infrared, Ear</v>
          </cell>
          <cell r="G243" t="str">
            <v>WC</v>
          </cell>
          <cell r="H243" t="str">
            <v>SURGICAL ONCO FEMALE WARD</v>
          </cell>
          <cell r="I243" t="str">
            <v>06WC143</v>
          </cell>
          <cell r="J243" t="str">
            <v>NURSE STATION</v>
          </cell>
          <cell r="K243" t="str">
            <v>BMED</v>
          </cell>
          <cell r="L243" t="str">
            <v>Normal</v>
          </cell>
          <cell r="M243" t="str">
            <v>Mexico</v>
          </cell>
          <cell r="N243" t="str">
            <v>Thermoscan</v>
          </cell>
          <cell r="O243" t="str">
            <v>Thermoscan Pro 4000</v>
          </cell>
          <cell r="P243" t="str">
            <v>33412K00299</v>
          </cell>
          <cell r="Q243" t="str">
            <v>Not Available</v>
          </cell>
          <cell r="R243" t="str">
            <v>Welch Allyn Inc</v>
          </cell>
          <cell r="S243" t="str">
            <v>Welch Allyn Malaysia Sdn. Bhd</v>
          </cell>
          <cell r="T243" t="str">
            <v>Functioning</v>
          </cell>
          <cell r="U243" t="str">
            <v>Asset</v>
          </cell>
          <cell r="V243">
            <v>540</v>
          </cell>
          <cell r="W243" t="str">
            <v>KEW</v>
          </cell>
          <cell r="X243" t="str">
            <v>01/09/2010</v>
          </cell>
          <cell r="Y243" t="str">
            <v>KEW</v>
          </cell>
          <cell r="Z243" t="str">
            <v>16/08/2013</v>
          </cell>
          <cell r="AA243" t="str">
            <v>15/08/2015</v>
          </cell>
          <cell r="AB243" t="str">
            <v>No</v>
          </cell>
          <cell r="AC243" t="str">
            <v>31/08/2013</v>
          </cell>
          <cell r="AD243" t="str">
            <v>Good</v>
          </cell>
          <cell r="AE243" t="str">
            <v>V1 - Existing / No Claim</v>
          </cell>
          <cell r="AF243">
            <v>42780</v>
          </cell>
          <cell r="AG243">
            <v>9.17</v>
          </cell>
          <cell r="AH243" t="str">
            <v>RI</v>
          </cell>
          <cell r="AI243" t="str">
            <v>Not in contract</v>
          </cell>
          <cell r="AJ243" t="str">
            <v>Not under maintenance</v>
          </cell>
          <cell r="AK243" t="e">
            <v>#N/A</v>
          </cell>
        </row>
        <row r="244">
          <cell r="A244" t="str">
            <v>IKN401473</v>
          </cell>
          <cell r="B244">
            <v>1439</v>
          </cell>
          <cell r="C244" t="str">
            <v>Institut Kanser Negara</v>
          </cell>
          <cell r="D244" t="e">
            <v>#N/A</v>
          </cell>
          <cell r="E244" t="str">
            <v>17-887</v>
          </cell>
          <cell r="F244" t="str">
            <v>Thermometers, Electronic, Infrared, Ear</v>
          </cell>
          <cell r="G244" t="str">
            <v>OT</v>
          </cell>
          <cell r="H244" t="str">
            <v>OPERATING THEATRE</v>
          </cell>
          <cell r="I244" t="str">
            <v>05OT158</v>
          </cell>
          <cell r="J244" t="str">
            <v>NURSE STATION</v>
          </cell>
          <cell r="K244" t="str">
            <v>BMED</v>
          </cell>
          <cell r="L244" t="str">
            <v>Normal</v>
          </cell>
          <cell r="M244" t="str">
            <v>Mexico</v>
          </cell>
          <cell r="N244" t="str">
            <v>Thermoscan</v>
          </cell>
          <cell r="O244" t="str">
            <v>Thermoscan Pro 4000</v>
          </cell>
          <cell r="P244" t="str">
            <v>33412K08730</v>
          </cell>
          <cell r="Q244" t="str">
            <v>Not Available</v>
          </cell>
          <cell r="R244" t="str">
            <v>Welch Allyn Inc</v>
          </cell>
          <cell r="S244" t="str">
            <v>Welch Allyn Malaysia Sdn. Bhd</v>
          </cell>
          <cell r="T244" t="str">
            <v>Functioning</v>
          </cell>
          <cell r="U244" t="str">
            <v>Asset</v>
          </cell>
          <cell r="V244">
            <v>540</v>
          </cell>
          <cell r="W244" t="str">
            <v>KEW</v>
          </cell>
          <cell r="X244" t="str">
            <v>01/09/2010</v>
          </cell>
          <cell r="Y244" t="str">
            <v>KEW</v>
          </cell>
          <cell r="Z244" t="str">
            <v>16/08/2013</v>
          </cell>
          <cell r="AA244" t="str">
            <v>15/08/2015</v>
          </cell>
          <cell r="AB244" t="str">
            <v>No</v>
          </cell>
          <cell r="AC244" t="str">
            <v>31/08/2013</v>
          </cell>
          <cell r="AD244" t="str">
            <v>Good</v>
          </cell>
          <cell r="AE244" t="str">
            <v>V1 - Existing / No Claim</v>
          </cell>
          <cell r="AF244">
            <v>42781</v>
          </cell>
          <cell r="AG244">
            <v>9.17</v>
          </cell>
          <cell r="AH244" t="str">
            <v>RI</v>
          </cell>
          <cell r="AI244" t="str">
            <v>Not in contract</v>
          </cell>
          <cell r="AJ244" t="str">
            <v>Not under maintenance</v>
          </cell>
          <cell r="AK244" t="e">
            <v>#N/A</v>
          </cell>
        </row>
        <row r="245">
          <cell r="A245" t="str">
            <v>IKN401474</v>
          </cell>
          <cell r="B245">
            <v>1440</v>
          </cell>
          <cell r="C245" t="str">
            <v>Institut Kanser Negara</v>
          </cell>
          <cell r="D245" t="str">
            <v>KKM/IKN/I/13/2196</v>
          </cell>
          <cell r="E245" t="str">
            <v>17-887</v>
          </cell>
          <cell r="F245" t="str">
            <v>Thermometers, Electronic, Infrared, Ear</v>
          </cell>
          <cell r="G245" t="str">
            <v>OT</v>
          </cell>
          <cell r="H245" t="str">
            <v>OPERATING THEATRE</v>
          </cell>
          <cell r="I245" t="str">
            <v>05OT158</v>
          </cell>
          <cell r="J245" t="str">
            <v>NURSE STATION</v>
          </cell>
          <cell r="K245" t="str">
            <v>BMED</v>
          </cell>
          <cell r="L245" t="str">
            <v>Normal</v>
          </cell>
          <cell r="M245" t="str">
            <v>Mexico</v>
          </cell>
          <cell r="N245" t="str">
            <v>Thermoscan</v>
          </cell>
          <cell r="O245" t="str">
            <v>Thermoscan Pro 4000</v>
          </cell>
          <cell r="P245" t="str">
            <v>33412K08738</v>
          </cell>
          <cell r="Q245" t="str">
            <v>Not Applicable</v>
          </cell>
          <cell r="R245" t="str">
            <v>Welch Allyn Inc</v>
          </cell>
          <cell r="S245" t="str">
            <v>Welch Allyn Malaysia Sdn. Bhd</v>
          </cell>
          <cell r="T245" t="str">
            <v>Functioning</v>
          </cell>
          <cell r="U245" t="str">
            <v>Asset</v>
          </cell>
          <cell r="V245">
            <v>540</v>
          </cell>
          <cell r="W245" t="str">
            <v>KEW</v>
          </cell>
          <cell r="X245" t="str">
            <v>01/09/2010</v>
          </cell>
          <cell r="Y245" t="str">
            <v>KEW</v>
          </cell>
          <cell r="Z245" t="str">
            <v>16/08/2013</v>
          </cell>
          <cell r="AA245" t="str">
            <v>15/08/2015</v>
          </cell>
          <cell r="AB245" t="str">
            <v>No</v>
          </cell>
          <cell r="AC245" t="str">
            <v>31/08/2013</v>
          </cell>
          <cell r="AD245" t="str">
            <v>Good</v>
          </cell>
          <cell r="AE245" t="str">
            <v>V1 - Existing / No Claim</v>
          </cell>
          <cell r="AF245">
            <v>42803</v>
          </cell>
          <cell r="AG245">
            <v>9.17</v>
          </cell>
          <cell r="AH245" t="str">
            <v>RI</v>
          </cell>
          <cell r="AI245" t="str">
            <v>Strands</v>
          </cell>
          <cell r="AJ245" t="str">
            <v>Not under maintenance</v>
          </cell>
        </row>
        <row r="246">
          <cell r="A246" t="str">
            <v>IKN401475</v>
          </cell>
          <cell r="B246">
            <v>1441</v>
          </cell>
          <cell r="C246" t="str">
            <v>Institut Kanser Negara</v>
          </cell>
          <cell r="D246" t="e">
            <v>#N/A</v>
          </cell>
          <cell r="E246" t="str">
            <v>17-887</v>
          </cell>
          <cell r="F246" t="str">
            <v>Thermometers, Electronic, Infrared, Ear</v>
          </cell>
          <cell r="G246" t="str">
            <v>RT</v>
          </cell>
          <cell r="H246" t="str">
            <v>RADIATION TREATMENT UNIT</v>
          </cell>
          <cell r="I246" t="str">
            <v>01RT243</v>
          </cell>
          <cell r="J246" t="str">
            <v>NURSE STATION</v>
          </cell>
          <cell r="K246" t="str">
            <v>BMED</v>
          </cell>
          <cell r="L246" t="str">
            <v>Normal</v>
          </cell>
          <cell r="M246" t="str">
            <v>Mexico</v>
          </cell>
          <cell r="N246" t="str">
            <v>Thermoscan</v>
          </cell>
          <cell r="O246" t="str">
            <v>Thermoscan Pro 4000</v>
          </cell>
          <cell r="P246" t="str">
            <v>33412K00447</v>
          </cell>
          <cell r="Q246" t="str">
            <v>Not Applicable</v>
          </cell>
          <cell r="R246" t="str">
            <v>Welch Allyn Inc</v>
          </cell>
          <cell r="S246" t="str">
            <v>Welch Allyn Malaysia Sdn Bhd</v>
          </cell>
          <cell r="T246" t="str">
            <v>Functioning</v>
          </cell>
          <cell r="U246" t="str">
            <v>Asset</v>
          </cell>
          <cell r="V246">
            <v>540</v>
          </cell>
          <cell r="W246" t="str">
            <v>KEW</v>
          </cell>
          <cell r="X246" t="str">
            <v>01/09/2010</v>
          </cell>
          <cell r="Y246" t="str">
            <v>KEW</v>
          </cell>
          <cell r="Z246" t="str">
            <v>16/08/2013</v>
          </cell>
          <cell r="AA246" t="str">
            <v>15/08/2015</v>
          </cell>
          <cell r="AB246" t="str">
            <v>No</v>
          </cell>
          <cell r="AC246" t="str">
            <v>31/08/2013</v>
          </cell>
          <cell r="AD246" t="str">
            <v>Good</v>
          </cell>
          <cell r="AE246" t="str">
            <v>V1 - Existing / No Claim</v>
          </cell>
          <cell r="AF246">
            <v>42816</v>
          </cell>
          <cell r="AG246">
            <v>9.17</v>
          </cell>
          <cell r="AH246" t="str">
            <v>RI</v>
          </cell>
          <cell r="AI246" t="str">
            <v>Not in contract</v>
          </cell>
          <cell r="AJ246" t="str">
            <v>Not under maintenance</v>
          </cell>
          <cell r="AK246" t="e">
            <v>#N/A</v>
          </cell>
        </row>
        <row r="247">
          <cell r="A247" t="str">
            <v>IKN401478</v>
          </cell>
          <cell r="B247">
            <v>1443</v>
          </cell>
          <cell r="C247" t="str">
            <v>Institut Kanser Negara</v>
          </cell>
          <cell r="D247" t="e">
            <v>#N/A</v>
          </cell>
          <cell r="E247" t="str">
            <v>17-887</v>
          </cell>
          <cell r="F247" t="str">
            <v>Thermometers, Electronic, Infrared, Ear</v>
          </cell>
          <cell r="G247" t="str">
            <v>RT</v>
          </cell>
          <cell r="H247" t="str">
            <v>RADIATION TREATMENT UNIT</v>
          </cell>
          <cell r="I247" t="str">
            <v>01RT264</v>
          </cell>
          <cell r="J247" t="str">
            <v>SISTER</v>
          </cell>
          <cell r="K247" t="str">
            <v>BMED</v>
          </cell>
          <cell r="L247" t="str">
            <v>Normal</v>
          </cell>
          <cell r="M247" t="str">
            <v>Mexico</v>
          </cell>
          <cell r="N247" t="str">
            <v>Thermoscan</v>
          </cell>
          <cell r="O247" t="str">
            <v>Thermoscan Pro 4000</v>
          </cell>
          <cell r="P247" t="str">
            <v>04413K07501</v>
          </cell>
          <cell r="Q247" t="str">
            <v>Not Applicable</v>
          </cell>
          <cell r="R247" t="str">
            <v>Welch Allyn Inc</v>
          </cell>
          <cell r="S247" t="str">
            <v>Welch Allyn Malaysia Sdn Bhd</v>
          </cell>
          <cell r="T247" t="str">
            <v>Functioning</v>
          </cell>
          <cell r="U247" t="str">
            <v>Asset</v>
          </cell>
          <cell r="V247">
            <v>540</v>
          </cell>
          <cell r="W247" t="str">
            <v>KEW</v>
          </cell>
          <cell r="X247" t="str">
            <v>01/09/2010</v>
          </cell>
          <cell r="Y247" t="str">
            <v>KEW</v>
          </cell>
          <cell r="Z247" t="str">
            <v>16/08/2013</v>
          </cell>
          <cell r="AA247" t="str">
            <v>15/08/2015</v>
          </cell>
          <cell r="AB247" t="str">
            <v>No</v>
          </cell>
          <cell r="AC247" t="str">
            <v>31/08/2013</v>
          </cell>
          <cell r="AD247" t="str">
            <v>Good</v>
          </cell>
          <cell r="AE247" t="str">
            <v>V1 - Existing / No Claim</v>
          </cell>
          <cell r="AF247">
            <v>42816</v>
          </cell>
          <cell r="AG247">
            <v>9.17</v>
          </cell>
          <cell r="AH247" t="str">
            <v>RI</v>
          </cell>
          <cell r="AI247" t="str">
            <v>Not in contract</v>
          </cell>
          <cell r="AJ247" t="str">
            <v>Not under maintenance</v>
          </cell>
        </row>
        <row r="248">
          <cell r="A248" t="str">
            <v>IKN401531</v>
          </cell>
          <cell r="B248">
            <v>1471</v>
          </cell>
          <cell r="C248" t="str">
            <v>Institut Kanser Negara</v>
          </cell>
          <cell r="D248" t="str">
            <v>KKM/IKN/I/13/3647</v>
          </cell>
          <cell r="E248" t="str">
            <v>17-887</v>
          </cell>
          <cell r="F248" t="str">
            <v>Thermometers, Electronic, Infrared, Ear</v>
          </cell>
          <cell r="G248" t="str">
            <v>DO</v>
          </cell>
          <cell r="H248" t="str">
            <v>DAY ONCOLOGY UNIT</v>
          </cell>
          <cell r="I248" t="str">
            <v>04DO131</v>
          </cell>
          <cell r="J248" t="str">
            <v>NURSE STATION</v>
          </cell>
          <cell r="K248" t="str">
            <v>BMED</v>
          </cell>
          <cell r="L248" t="str">
            <v>Normal</v>
          </cell>
          <cell r="M248" t="str">
            <v>Mexico</v>
          </cell>
          <cell r="N248" t="str">
            <v>Thermoscan</v>
          </cell>
          <cell r="O248" t="str">
            <v>Thermoscan Pro 4000</v>
          </cell>
          <cell r="P248" t="str">
            <v>33412K00638</v>
          </cell>
          <cell r="Q248" t="str">
            <v>Not Applicable</v>
          </cell>
          <cell r="R248" t="str">
            <v>Welch Allyn Inc</v>
          </cell>
          <cell r="S248" t="str">
            <v>Welch Allyn Malaysia Sdn. Bhd</v>
          </cell>
          <cell r="T248" t="str">
            <v>Functioning</v>
          </cell>
          <cell r="U248" t="str">
            <v>Asset</v>
          </cell>
          <cell r="V248">
            <v>540</v>
          </cell>
          <cell r="W248" t="str">
            <v>KEW</v>
          </cell>
          <cell r="X248" t="str">
            <v>01/09/2010</v>
          </cell>
          <cell r="Y248" t="str">
            <v>Estimate</v>
          </cell>
          <cell r="Z248" t="str">
            <v>16/08/2013</v>
          </cell>
          <cell r="AA248" t="str">
            <v>15/08/2015</v>
          </cell>
          <cell r="AB248" t="str">
            <v>No</v>
          </cell>
          <cell r="AC248" t="str">
            <v>31/08/2013</v>
          </cell>
          <cell r="AD248" t="str">
            <v>Good</v>
          </cell>
          <cell r="AE248" t="str">
            <v>V1 - Existing / No Claim</v>
          </cell>
          <cell r="AF248">
            <v>42839</v>
          </cell>
          <cell r="AG248">
            <v>9.17</v>
          </cell>
          <cell r="AH248" t="str">
            <v>RI</v>
          </cell>
          <cell r="AI248" t="str">
            <v>Strands</v>
          </cell>
          <cell r="AJ248" t="str">
            <v>Not under maintenance</v>
          </cell>
        </row>
        <row r="249">
          <cell r="A249" t="str">
            <v>IKN401548</v>
          </cell>
          <cell r="B249">
            <v>1487</v>
          </cell>
          <cell r="C249" t="str">
            <v>Institut Kanser Negara</v>
          </cell>
          <cell r="D249" t="str">
            <v>KKM/IKN/H/13/5216</v>
          </cell>
          <cell r="E249" t="str">
            <v>13-325</v>
          </cell>
          <cell r="F249" t="str">
            <v>Regulators, Suction</v>
          </cell>
          <cell r="G249" t="str">
            <v>IC</v>
          </cell>
          <cell r="H249" t="str">
            <v>INTENSIVE CARE UNIT</v>
          </cell>
          <cell r="I249" t="str">
            <v>05IC111</v>
          </cell>
          <cell r="J249" t="str">
            <v>ISOL 1(-VE)</v>
          </cell>
          <cell r="K249" t="str">
            <v>BMED</v>
          </cell>
          <cell r="L249" t="str">
            <v>Normal</v>
          </cell>
          <cell r="M249" t="str">
            <v>United States</v>
          </cell>
          <cell r="N249" t="str">
            <v>OHIO</v>
          </cell>
          <cell r="O249" t="str">
            <v>R244047311229905</v>
          </cell>
          <cell r="P249" t="str">
            <v>GPHS65141</v>
          </cell>
          <cell r="Q249" t="str">
            <v>Not Applicable</v>
          </cell>
          <cell r="R249" t="str">
            <v>OHIO</v>
          </cell>
          <cell r="S249" t="str">
            <v>Respimedic</v>
          </cell>
          <cell r="T249" t="str">
            <v>Functioning</v>
          </cell>
          <cell r="U249" t="str">
            <v>Asset</v>
          </cell>
          <cell r="V249">
            <v>920</v>
          </cell>
          <cell r="W249" t="str">
            <v>KEW</v>
          </cell>
          <cell r="X249" t="str">
            <v>01/09/2010</v>
          </cell>
          <cell r="Y249" t="str">
            <v>KEW</v>
          </cell>
          <cell r="Z249" t="str">
            <v>16/08/2013</v>
          </cell>
          <cell r="AA249" t="str">
            <v>15/08/2015</v>
          </cell>
          <cell r="AB249" t="str">
            <v>No</v>
          </cell>
          <cell r="AC249" t="str">
            <v>31/08/2013</v>
          </cell>
          <cell r="AD249" t="str">
            <v>Good</v>
          </cell>
          <cell r="AE249" t="str">
            <v>V4 - Decommissioned Installed Facility</v>
          </cell>
          <cell r="AF249">
            <v>42920</v>
          </cell>
          <cell r="AG249">
            <v>9.17</v>
          </cell>
          <cell r="AH249" t="str">
            <v>RI</v>
          </cell>
          <cell r="AI249" t="str">
            <v>Strands</v>
          </cell>
          <cell r="AJ249" t="str">
            <v>Not under maintenance</v>
          </cell>
        </row>
        <row r="250">
          <cell r="A250" t="str">
            <v>IKN401549</v>
          </cell>
          <cell r="B250">
            <v>1488</v>
          </cell>
          <cell r="C250" t="str">
            <v>Institut Kanser Negara</v>
          </cell>
          <cell r="D250" t="str">
            <v>KKM/IKN/H/13/5214</v>
          </cell>
          <cell r="E250" t="str">
            <v>13-325</v>
          </cell>
          <cell r="F250" t="str">
            <v>Regulators, Suction</v>
          </cell>
          <cell r="G250" t="str">
            <v>IC</v>
          </cell>
          <cell r="H250" t="str">
            <v>INTENSIVE CARE UNIT</v>
          </cell>
          <cell r="I250" t="str">
            <v>05IC116</v>
          </cell>
          <cell r="J250" t="str">
            <v>ISOL 2 (+VE)</v>
          </cell>
          <cell r="K250" t="str">
            <v>BMED</v>
          </cell>
          <cell r="L250" t="str">
            <v>Normal</v>
          </cell>
          <cell r="M250" t="str">
            <v>United States</v>
          </cell>
          <cell r="N250" t="str">
            <v>OHIO</v>
          </cell>
          <cell r="O250" t="str">
            <v>R244047311229905</v>
          </cell>
          <cell r="P250" t="str">
            <v>GPHS65149</v>
          </cell>
          <cell r="Q250" t="str">
            <v>Not Applicable</v>
          </cell>
          <cell r="R250" t="str">
            <v>OHIO</v>
          </cell>
          <cell r="S250" t="str">
            <v>Respimedic</v>
          </cell>
          <cell r="T250" t="str">
            <v>Functioning</v>
          </cell>
          <cell r="U250" t="str">
            <v>Asset</v>
          </cell>
          <cell r="V250">
            <v>920</v>
          </cell>
          <cell r="W250" t="str">
            <v>KEW</v>
          </cell>
          <cell r="X250" t="str">
            <v>01/09/2010</v>
          </cell>
          <cell r="Y250" t="str">
            <v>KEW</v>
          </cell>
          <cell r="Z250" t="str">
            <v>16/08/2013</v>
          </cell>
          <cell r="AA250" t="str">
            <v>15/08/2015</v>
          </cell>
          <cell r="AB250" t="str">
            <v>No</v>
          </cell>
          <cell r="AC250" t="str">
            <v>31/08/2013</v>
          </cell>
          <cell r="AD250" t="str">
            <v>Good</v>
          </cell>
          <cell r="AE250" t="str">
            <v>V4 - Decommissioned Installed Facility</v>
          </cell>
          <cell r="AF250">
            <v>42920</v>
          </cell>
          <cell r="AG250">
            <v>9.17</v>
          </cell>
          <cell r="AH250" t="str">
            <v>RI</v>
          </cell>
          <cell r="AI250" t="str">
            <v>Strands</v>
          </cell>
          <cell r="AJ250" t="str">
            <v>Not under maintenance</v>
          </cell>
        </row>
        <row r="251">
          <cell r="A251" t="str">
            <v>IKN401550</v>
          </cell>
          <cell r="B251">
            <v>1489</v>
          </cell>
          <cell r="C251" t="str">
            <v>Institut Kanser Negara</v>
          </cell>
          <cell r="D251" t="str">
            <v>KKM/IKN/H/13/5210</v>
          </cell>
          <cell r="E251" t="str">
            <v>13-325</v>
          </cell>
          <cell r="F251" t="str">
            <v>Regulators, Suction</v>
          </cell>
          <cell r="G251" t="str">
            <v>IC</v>
          </cell>
          <cell r="H251" t="str">
            <v>INTENSIVE CARE UNIT</v>
          </cell>
          <cell r="I251" t="str">
            <v>05IC129</v>
          </cell>
          <cell r="J251" t="str">
            <v>ISOL 4 (+VE)</v>
          </cell>
          <cell r="K251" t="str">
            <v>BMED</v>
          </cell>
          <cell r="L251" t="str">
            <v>Normal</v>
          </cell>
          <cell r="M251" t="str">
            <v>United States</v>
          </cell>
          <cell r="N251" t="str">
            <v>OHIO</v>
          </cell>
          <cell r="O251" t="str">
            <v>R244047311229905</v>
          </cell>
          <cell r="P251" t="str">
            <v>GPHS65130</v>
          </cell>
          <cell r="Q251" t="str">
            <v>Not Applicable</v>
          </cell>
          <cell r="R251" t="str">
            <v>OHIO</v>
          </cell>
          <cell r="S251" t="str">
            <v>Respimedic</v>
          </cell>
          <cell r="T251" t="str">
            <v>Functioning</v>
          </cell>
          <cell r="U251" t="str">
            <v>Asset</v>
          </cell>
          <cell r="V251">
            <v>920</v>
          </cell>
          <cell r="W251" t="str">
            <v>KEW</v>
          </cell>
          <cell r="X251" t="str">
            <v>01/09/2010</v>
          </cell>
          <cell r="Y251" t="str">
            <v>KEW</v>
          </cell>
          <cell r="Z251" t="str">
            <v>16/08/2013</v>
          </cell>
          <cell r="AA251" t="str">
            <v>15/08/2015</v>
          </cell>
          <cell r="AB251" t="str">
            <v>No</v>
          </cell>
          <cell r="AC251" t="str">
            <v>31/08/2013</v>
          </cell>
          <cell r="AD251" t="str">
            <v>Good</v>
          </cell>
          <cell r="AE251" t="str">
            <v>V4 - Decommissioned Installed Facility</v>
          </cell>
          <cell r="AF251">
            <v>42920</v>
          </cell>
          <cell r="AG251">
            <v>9.17</v>
          </cell>
          <cell r="AH251" t="str">
            <v>RI</v>
          </cell>
          <cell r="AI251" t="str">
            <v>Strands</v>
          </cell>
          <cell r="AJ251" t="str">
            <v>Not under maintenance</v>
          </cell>
        </row>
        <row r="252">
          <cell r="A252" t="str">
            <v>IKN401551</v>
          </cell>
          <cell r="B252">
            <v>1490</v>
          </cell>
          <cell r="C252" t="str">
            <v>Institut Kanser Negara</v>
          </cell>
          <cell r="D252" t="str">
            <v>KKM/IKN/H/13/5212</v>
          </cell>
          <cell r="E252" t="str">
            <v>13-325</v>
          </cell>
          <cell r="F252" t="str">
            <v>Regulators, Suction</v>
          </cell>
          <cell r="G252" t="str">
            <v>IC</v>
          </cell>
          <cell r="H252" t="str">
            <v>INTENSIVE CARE UNIT</v>
          </cell>
          <cell r="I252" t="str">
            <v>05IC115</v>
          </cell>
          <cell r="J252" t="str">
            <v>ICU RM 4</v>
          </cell>
          <cell r="K252" t="str">
            <v>BMED</v>
          </cell>
          <cell r="L252" t="str">
            <v>Normal</v>
          </cell>
          <cell r="M252" t="str">
            <v>United States</v>
          </cell>
          <cell r="N252" t="str">
            <v>OHIO</v>
          </cell>
          <cell r="O252" t="str">
            <v>R244047311229905</v>
          </cell>
          <cell r="P252" t="str">
            <v>GPHS65138</v>
          </cell>
          <cell r="Q252" t="str">
            <v>Not Applicable</v>
          </cell>
          <cell r="R252" t="str">
            <v>OHIO</v>
          </cell>
          <cell r="S252" t="str">
            <v>Respimedic</v>
          </cell>
          <cell r="T252" t="str">
            <v>Functioning</v>
          </cell>
          <cell r="U252" t="str">
            <v>Asset</v>
          </cell>
          <cell r="V252">
            <v>920</v>
          </cell>
          <cell r="W252" t="str">
            <v>KEW</v>
          </cell>
          <cell r="X252" t="str">
            <v>01/09/2010</v>
          </cell>
          <cell r="Y252" t="str">
            <v>KEW</v>
          </cell>
          <cell r="Z252" t="str">
            <v>16/08/2013</v>
          </cell>
          <cell r="AA252" t="str">
            <v>15/08/2015</v>
          </cell>
          <cell r="AB252" t="str">
            <v>No</v>
          </cell>
          <cell r="AC252" t="str">
            <v>31/08/2013</v>
          </cell>
          <cell r="AD252" t="str">
            <v>Good</v>
          </cell>
          <cell r="AE252" t="str">
            <v>V4 - Decommissioned Installed Facility</v>
          </cell>
          <cell r="AF252">
            <v>42920</v>
          </cell>
          <cell r="AG252">
            <v>9.17</v>
          </cell>
          <cell r="AH252" t="str">
            <v>RI</v>
          </cell>
          <cell r="AI252" t="str">
            <v>Strands</v>
          </cell>
          <cell r="AJ252" t="str">
            <v>Not under maintenance</v>
          </cell>
        </row>
        <row r="253">
          <cell r="A253" t="str">
            <v>IKN401552</v>
          </cell>
          <cell r="B253">
            <v>1491</v>
          </cell>
          <cell r="C253" t="str">
            <v>Institut Kanser Negara</v>
          </cell>
          <cell r="D253" t="str">
            <v>KKM/IKN/H/13/5213</v>
          </cell>
          <cell r="E253" t="str">
            <v>13-325</v>
          </cell>
          <cell r="F253" t="str">
            <v>Regulators, Suction</v>
          </cell>
          <cell r="G253" t="str">
            <v>IC</v>
          </cell>
          <cell r="H253" t="str">
            <v>INTENSIVE CARE UNIT</v>
          </cell>
          <cell r="I253" t="str">
            <v>05IC114</v>
          </cell>
          <cell r="J253" t="str">
            <v>ICU RM 3</v>
          </cell>
          <cell r="K253" t="str">
            <v>BMED</v>
          </cell>
          <cell r="L253" t="str">
            <v>Normal</v>
          </cell>
          <cell r="M253" t="str">
            <v>United States</v>
          </cell>
          <cell r="N253" t="str">
            <v>OHIO</v>
          </cell>
          <cell r="O253" t="str">
            <v>R244047311229905</v>
          </cell>
          <cell r="P253" t="str">
            <v>GPHS65139</v>
          </cell>
          <cell r="Q253" t="str">
            <v>Not Applicable</v>
          </cell>
          <cell r="R253" t="str">
            <v>OHIO</v>
          </cell>
          <cell r="S253" t="str">
            <v>Respimedic</v>
          </cell>
          <cell r="T253" t="str">
            <v>Functioning</v>
          </cell>
          <cell r="U253" t="str">
            <v>Asset</v>
          </cell>
          <cell r="V253">
            <v>920</v>
          </cell>
          <cell r="W253" t="str">
            <v>KEW</v>
          </cell>
          <cell r="X253" t="str">
            <v>01/09/2010</v>
          </cell>
          <cell r="Y253" t="str">
            <v>KEW</v>
          </cell>
          <cell r="Z253" t="str">
            <v>16/08/2013</v>
          </cell>
          <cell r="AA253" t="str">
            <v>15/08/2015</v>
          </cell>
          <cell r="AB253" t="str">
            <v>No</v>
          </cell>
          <cell r="AC253" t="str">
            <v>31/08/2013</v>
          </cell>
          <cell r="AD253" t="str">
            <v>Good</v>
          </cell>
          <cell r="AE253" t="str">
            <v>V4 - Decommissioned Installed Facility</v>
          </cell>
          <cell r="AF253">
            <v>42920</v>
          </cell>
          <cell r="AG253">
            <v>9.17</v>
          </cell>
          <cell r="AH253" t="str">
            <v>RI</v>
          </cell>
          <cell r="AI253" t="str">
            <v>Strands</v>
          </cell>
          <cell r="AJ253" t="str">
            <v>Not under maintenance</v>
          </cell>
        </row>
        <row r="254">
          <cell r="A254" t="str">
            <v>IKN401553</v>
          </cell>
          <cell r="B254">
            <v>1492</v>
          </cell>
          <cell r="C254" t="str">
            <v>Institut Kanser Negara</v>
          </cell>
          <cell r="D254" t="str">
            <v>KKM/IKN/H/13/5215</v>
          </cell>
          <cell r="E254" t="str">
            <v>13-325</v>
          </cell>
          <cell r="F254" t="str">
            <v>Regulators, Suction</v>
          </cell>
          <cell r="G254" t="str">
            <v>IC</v>
          </cell>
          <cell r="H254" t="str">
            <v>INTENSIVE CARE UNIT</v>
          </cell>
          <cell r="I254" t="str">
            <v>05IC112</v>
          </cell>
          <cell r="J254" t="str">
            <v>ICU RM 1</v>
          </cell>
          <cell r="K254" t="str">
            <v>BMED</v>
          </cell>
          <cell r="L254" t="str">
            <v>Normal</v>
          </cell>
          <cell r="M254" t="str">
            <v>United States</v>
          </cell>
          <cell r="N254" t="str">
            <v>OHIO</v>
          </cell>
          <cell r="O254" t="str">
            <v>R244047311229905</v>
          </cell>
          <cell r="P254" t="str">
            <v>GPHS65121</v>
          </cell>
          <cell r="Q254" t="str">
            <v>Not Applicable</v>
          </cell>
          <cell r="R254" t="str">
            <v>OHIO</v>
          </cell>
          <cell r="S254" t="str">
            <v>Respimedic</v>
          </cell>
          <cell r="T254" t="str">
            <v>Functioning</v>
          </cell>
          <cell r="U254" t="str">
            <v>Asset</v>
          </cell>
          <cell r="V254">
            <v>920</v>
          </cell>
          <cell r="W254" t="str">
            <v>KEW</v>
          </cell>
          <cell r="X254" t="str">
            <v>01/09/2010</v>
          </cell>
          <cell r="Y254" t="str">
            <v>KEW</v>
          </cell>
          <cell r="Z254" t="str">
            <v>16/08/2013</v>
          </cell>
          <cell r="AA254" t="str">
            <v>15/08/2015</v>
          </cell>
          <cell r="AB254" t="str">
            <v>No</v>
          </cell>
          <cell r="AC254" t="str">
            <v>31/08/2013</v>
          </cell>
          <cell r="AD254" t="str">
            <v>Good</v>
          </cell>
          <cell r="AE254" t="str">
            <v>V4 - Decommissioned Installed Facility</v>
          </cell>
          <cell r="AF254">
            <v>42920</v>
          </cell>
          <cell r="AG254">
            <v>9.17</v>
          </cell>
          <cell r="AH254" t="str">
            <v>RI</v>
          </cell>
          <cell r="AI254" t="str">
            <v>Strands</v>
          </cell>
          <cell r="AJ254" t="str">
            <v>Not under maintenance</v>
          </cell>
        </row>
        <row r="255">
          <cell r="A255" t="str">
            <v>IKN401554</v>
          </cell>
          <cell r="B255">
            <v>1493</v>
          </cell>
          <cell r="C255" t="str">
            <v>Institut Kanser Negara</v>
          </cell>
          <cell r="D255" t="str">
            <v>KKM/IKN/H/13/2883</v>
          </cell>
          <cell r="E255" t="str">
            <v>13-325</v>
          </cell>
          <cell r="F255" t="str">
            <v>Regulators, Suction</v>
          </cell>
          <cell r="G255" t="str">
            <v>WB</v>
          </cell>
          <cell r="H255" t="str">
            <v>SURGICAL ONCO MALE WARD</v>
          </cell>
          <cell r="I255" t="str">
            <v>05WB113</v>
          </cell>
          <cell r="J255" t="str">
            <v>EQUIP. ROOM</v>
          </cell>
          <cell r="K255" t="str">
            <v>BMED</v>
          </cell>
          <cell r="L255" t="str">
            <v>Normal</v>
          </cell>
          <cell r="M255" t="str">
            <v>United States</v>
          </cell>
          <cell r="N255" t="str">
            <v>OHIO</v>
          </cell>
          <cell r="O255" t="str">
            <v>R244047311229905</v>
          </cell>
          <cell r="P255" t="str">
            <v>GPHS65047</v>
          </cell>
          <cell r="Q255" t="str">
            <v>Not Applicable</v>
          </cell>
          <cell r="R255" t="str">
            <v>OHIO</v>
          </cell>
          <cell r="S255" t="str">
            <v>Respimedic</v>
          </cell>
          <cell r="T255" t="str">
            <v>Functioning</v>
          </cell>
          <cell r="U255" t="str">
            <v>Asset</v>
          </cell>
          <cell r="V255">
            <v>920</v>
          </cell>
          <cell r="W255" t="str">
            <v>KEW</v>
          </cell>
          <cell r="X255" t="str">
            <v>01/09/2010</v>
          </cell>
          <cell r="Y255" t="str">
            <v>KEW</v>
          </cell>
          <cell r="Z255" t="str">
            <v>16/08/2013</v>
          </cell>
          <cell r="AA255" t="str">
            <v>15/08/2015</v>
          </cell>
          <cell r="AB255" t="str">
            <v>No</v>
          </cell>
          <cell r="AC255" t="str">
            <v>31/08/2013</v>
          </cell>
          <cell r="AD255" t="str">
            <v>Good</v>
          </cell>
          <cell r="AE255" t="str">
            <v>V4 - Decommissioned Installed Facility</v>
          </cell>
          <cell r="AF255">
            <v>42920</v>
          </cell>
          <cell r="AG255">
            <v>9.17</v>
          </cell>
          <cell r="AH255" t="str">
            <v>RI</v>
          </cell>
          <cell r="AI255" t="str">
            <v>Strands</v>
          </cell>
          <cell r="AJ255" t="str">
            <v>Not under maintenance</v>
          </cell>
        </row>
        <row r="256">
          <cell r="A256" t="str">
            <v>IKN401555</v>
          </cell>
          <cell r="B256">
            <v>1494</v>
          </cell>
          <cell r="C256" t="str">
            <v>Institut Kanser Negara</v>
          </cell>
          <cell r="D256" t="str">
            <v>KKM/IKN/H/13/2898</v>
          </cell>
          <cell r="E256" t="str">
            <v>13-325</v>
          </cell>
          <cell r="F256" t="str">
            <v>Regulators, Suction</v>
          </cell>
          <cell r="G256" t="str">
            <v>WB</v>
          </cell>
          <cell r="H256" t="str">
            <v>SURGICAL ONCO MALE WARD</v>
          </cell>
          <cell r="I256" t="str">
            <v>05WB113</v>
          </cell>
          <cell r="J256" t="str">
            <v>EQUIP. ROOM</v>
          </cell>
          <cell r="K256" t="str">
            <v>BMED</v>
          </cell>
          <cell r="L256" t="str">
            <v>Normal</v>
          </cell>
          <cell r="M256" t="str">
            <v>United States</v>
          </cell>
          <cell r="N256" t="str">
            <v>OHIO</v>
          </cell>
          <cell r="O256" t="str">
            <v>R244047311229905</v>
          </cell>
          <cell r="P256" t="str">
            <v>GPHS65072</v>
          </cell>
          <cell r="Q256" t="str">
            <v>Not Applicable</v>
          </cell>
          <cell r="R256" t="str">
            <v>OHIO</v>
          </cell>
          <cell r="S256" t="str">
            <v>Respimedic</v>
          </cell>
          <cell r="T256" t="str">
            <v>Functioning</v>
          </cell>
          <cell r="U256" t="str">
            <v>Asset</v>
          </cell>
          <cell r="V256">
            <v>920</v>
          </cell>
          <cell r="W256" t="str">
            <v>KEW</v>
          </cell>
          <cell r="X256" t="str">
            <v>01/09/2010</v>
          </cell>
          <cell r="Y256" t="str">
            <v>KEW</v>
          </cell>
          <cell r="Z256" t="str">
            <v>16/08/2013</v>
          </cell>
          <cell r="AA256" t="str">
            <v>15/08/2015</v>
          </cell>
          <cell r="AB256" t="str">
            <v>No</v>
          </cell>
          <cell r="AC256" t="str">
            <v>31/08/2013</v>
          </cell>
          <cell r="AD256" t="str">
            <v>Good</v>
          </cell>
          <cell r="AE256" t="str">
            <v>V4 - Decommissioned Installed Facility</v>
          </cell>
          <cell r="AF256">
            <v>42922</v>
          </cell>
          <cell r="AG256">
            <v>9.17</v>
          </cell>
          <cell r="AH256" t="str">
            <v>RI</v>
          </cell>
          <cell r="AI256" t="str">
            <v>Strands</v>
          </cell>
          <cell r="AJ256" t="str">
            <v>Not under maintenance</v>
          </cell>
        </row>
        <row r="257">
          <cell r="A257" t="str">
            <v>IKN401556</v>
          </cell>
          <cell r="B257">
            <v>1495</v>
          </cell>
          <cell r="C257" t="str">
            <v>Institut Kanser Negara</v>
          </cell>
          <cell r="D257" t="str">
            <v>KKM/IKN/H/13/2882</v>
          </cell>
          <cell r="E257" t="str">
            <v>13-325</v>
          </cell>
          <cell r="F257" t="str">
            <v>Regulators, Suction</v>
          </cell>
          <cell r="G257" t="str">
            <v>WB</v>
          </cell>
          <cell r="H257" t="str">
            <v>SURGICAL ONCO MALE WARD</v>
          </cell>
          <cell r="I257" t="str">
            <v>05WB113</v>
          </cell>
          <cell r="J257" t="str">
            <v>EQUIP. ROOM</v>
          </cell>
          <cell r="K257" t="str">
            <v>BMED</v>
          </cell>
          <cell r="L257" t="str">
            <v>Normal</v>
          </cell>
          <cell r="M257" t="str">
            <v>United States</v>
          </cell>
          <cell r="N257" t="str">
            <v>OHIO</v>
          </cell>
          <cell r="O257" t="str">
            <v>R244047311229905</v>
          </cell>
          <cell r="P257" t="str">
            <v>GPHS65035</v>
          </cell>
          <cell r="Q257" t="str">
            <v>Not Applicable</v>
          </cell>
          <cell r="R257" t="str">
            <v>OHIO</v>
          </cell>
          <cell r="S257" t="str">
            <v>Respimedic</v>
          </cell>
          <cell r="T257" t="str">
            <v>Functioning</v>
          </cell>
          <cell r="U257" t="str">
            <v>Asset</v>
          </cell>
          <cell r="V257">
            <v>920</v>
          </cell>
          <cell r="W257" t="str">
            <v>KEW</v>
          </cell>
          <cell r="X257" t="str">
            <v>01/09/2010</v>
          </cell>
          <cell r="Y257" t="str">
            <v>KEW</v>
          </cell>
          <cell r="Z257" t="str">
            <v>16/08/2013</v>
          </cell>
          <cell r="AA257" t="str">
            <v>15/08/2015</v>
          </cell>
          <cell r="AB257" t="str">
            <v>No</v>
          </cell>
          <cell r="AC257" t="str">
            <v>31/08/2013</v>
          </cell>
          <cell r="AD257" t="str">
            <v>Good</v>
          </cell>
          <cell r="AE257" t="str">
            <v>V4 - Decommissioned Installed Facility</v>
          </cell>
          <cell r="AF257">
            <v>42920</v>
          </cell>
          <cell r="AG257">
            <v>9.17</v>
          </cell>
          <cell r="AH257" t="str">
            <v>RI</v>
          </cell>
          <cell r="AI257" t="str">
            <v>Strands</v>
          </cell>
          <cell r="AJ257" t="str">
            <v>Not under maintenance</v>
          </cell>
        </row>
        <row r="258">
          <cell r="A258" t="str">
            <v>IKN401557</v>
          </cell>
          <cell r="B258">
            <v>1496</v>
          </cell>
          <cell r="C258" t="str">
            <v>Institut Kanser Negara</v>
          </cell>
          <cell r="D258" t="str">
            <v>KKM/IKN/H/13/2880</v>
          </cell>
          <cell r="E258" t="str">
            <v>13-325</v>
          </cell>
          <cell r="F258" t="str">
            <v>Regulators, Suction</v>
          </cell>
          <cell r="G258" t="str">
            <v>WB</v>
          </cell>
          <cell r="H258" t="str">
            <v>SURGICAL ONCO MALE WARD</v>
          </cell>
          <cell r="I258" t="str">
            <v>05WB113</v>
          </cell>
          <cell r="J258" t="str">
            <v>EQUIP. ROOM</v>
          </cell>
          <cell r="K258" t="str">
            <v>BMED</v>
          </cell>
          <cell r="L258" t="str">
            <v>Normal</v>
          </cell>
          <cell r="M258" t="str">
            <v>United States</v>
          </cell>
          <cell r="N258" t="str">
            <v>OHIO</v>
          </cell>
          <cell r="O258" t="str">
            <v>R244047311229905</v>
          </cell>
          <cell r="P258" t="str">
            <v>GPHS65061</v>
          </cell>
          <cell r="Q258" t="str">
            <v>Not Applicable</v>
          </cell>
          <cell r="R258" t="str">
            <v>OHIO</v>
          </cell>
          <cell r="S258" t="str">
            <v>Respimedic</v>
          </cell>
          <cell r="T258" t="str">
            <v>Functioning</v>
          </cell>
          <cell r="U258" t="str">
            <v>Asset</v>
          </cell>
          <cell r="V258">
            <v>920</v>
          </cell>
          <cell r="W258" t="str">
            <v>KEW</v>
          </cell>
          <cell r="X258" t="str">
            <v>01/09/2010</v>
          </cell>
          <cell r="Y258" t="str">
            <v>KEW</v>
          </cell>
          <cell r="Z258" t="str">
            <v>16/08/2013</v>
          </cell>
          <cell r="AA258" t="str">
            <v>15/08/2015</v>
          </cell>
          <cell r="AB258" t="str">
            <v>No</v>
          </cell>
          <cell r="AC258" t="str">
            <v>31/08/2013</v>
          </cell>
          <cell r="AD258" t="str">
            <v>Good</v>
          </cell>
          <cell r="AE258" t="str">
            <v>V4 - Decommissioned Installed Facility</v>
          </cell>
          <cell r="AF258">
            <v>42922</v>
          </cell>
          <cell r="AG258">
            <v>9.17</v>
          </cell>
          <cell r="AH258" t="str">
            <v>RI</v>
          </cell>
          <cell r="AI258" t="str">
            <v>Strands</v>
          </cell>
          <cell r="AJ258" t="str">
            <v>Not under maintenance</v>
          </cell>
        </row>
        <row r="259">
          <cell r="A259" t="str">
            <v>IKN401558</v>
          </cell>
          <cell r="B259">
            <v>1497</v>
          </cell>
          <cell r="C259" t="str">
            <v>Institut Kanser Negara</v>
          </cell>
          <cell r="D259" t="str">
            <v>KKM/IKN/H/13/2885</v>
          </cell>
          <cell r="E259" t="str">
            <v>13-325</v>
          </cell>
          <cell r="F259" t="str">
            <v>Regulators, Suction</v>
          </cell>
          <cell r="G259" t="str">
            <v>WB</v>
          </cell>
          <cell r="H259" t="str">
            <v>SURGICAL ONCO MALE WARD</v>
          </cell>
          <cell r="I259" t="str">
            <v>05WB113</v>
          </cell>
          <cell r="J259" t="str">
            <v>EQUIP. ROOM</v>
          </cell>
          <cell r="K259" t="str">
            <v>BMED</v>
          </cell>
          <cell r="L259" t="str">
            <v>Normal</v>
          </cell>
          <cell r="M259" t="str">
            <v>United States</v>
          </cell>
          <cell r="N259" t="str">
            <v>OHIO</v>
          </cell>
          <cell r="O259" t="str">
            <v>R244047311229905</v>
          </cell>
          <cell r="P259" t="str">
            <v>GPHS65039</v>
          </cell>
          <cell r="Q259" t="str">
            <v>Not Applicable</v>
          </cell>
          <cell r="R259" t="str">
            <v>OHIO</v>
          </cell>
          <cell r="S259" t="str">
            <v>Respimedic</v>
          </cell>
          <cell r="T259" t="str">
            <v>Functioning</v>
          </cell>
          <cell r="U259" t="str">
            <v>Asset</v>
          </cell>
          <cell r="V259">
            <v>920</v>
          </cell>
          <cell r="W259" t="str">
            <v>KEW</v>
          </cell>
          <cell r="X259" t="str">
            <v>01/09/2010</v>
          </cell>
          <cell r="Y259" t="str">
            <v>KEW</v>
          </cell>
          <cell r="Z259" t="str">
            <v>16/08/2013</v>
          </cell>
          <cell r="AA259" t="str">
            <v>15/08/2015</v>
          </cell>
          <cell r="AB259" t="str">
            <v>No</v>
          </cell>
          <cell r="AC259" t="str">
            <v>31/08/2013</v>
          </cell>
          <cell r="AD259" t="str">
            <v>Good</v>
          </cell>
          <cell r="AE259" t="str">
            <v>V4 - Decommissioned Installed Facility</v>
          </cell>
          <cell r="AF259">
            <v>42920</v>
          </cell>
          <cell r="AG259">
            <v>9.17</v>
          </cell>
          <cell r="AH259" t="str">
            <v>RI</v>
          </cell>
          <cell r="AI259" t="str">
            <v>Strands</v>
          </cell>
          <cell r="AJ259" t="str">
            <v>Not under maintenance</v>
          </cell>
        </row>
        <row r="260">
          <cell r="A260" t="str">
            <v>IKN401559</v>
          </cell>
          <cell r="B260">
            <v>1498</v>
          </cell>
          <cell r="C260" t="str">
            <v>Institut Kanser Negara</v>
          </cell>
          <cell r="D260" t="str">
            <v>KKM/IKN/H/13/2881</v>
          </cell>
          <cell r="E260" t="str">
            <v>13-325</v>
          </cell>
          <cell r="F260" t="str">
            <v>Regulators, Suction</v>
          </cell>
          <cell r="G260" t="str">
            <v>WB</v>
          </cell>
          <cell r="H260" t="str">
            <v>SURGICAL ONCO MALE WARD</v>
          </cell>
          <cell r="I260" t="str">
            <v>05WB113</v>
          </cell>
          <cell r="J260" t="str">
            <v>EQUIP. ROOM</v>
          </cell>
          <cell r="K260" t="str">
            <v>BMED</v>
          </cell>
          <cell r="L260" t="str">
            <v>Normal</v>
          </cell>
          <cell r="M260" t="str">
            <v>United States</v>
          </cell>
          <cell r="N260" t="str">
            <v>OHIO</v>
          </cell>
          <cell r="O260" t="str">
            <v>R244047311229905</v>
          </cell>
          <cell r="P260" t="str">
            <v>GPHS65045</v>
          </cell>
          <cell r="Q260" t="str">
            <v>Not Applicable</v>
          </cell>
          <cell r="R260" t="str">
            <v>OHIO</v>
          </cell>
          <cell r="S260" t="str">
            <v>Respimedic</v>
          </cell>
          <cell r="T260" t="str">
            <v>Functioning</v>
          </cell>
          <cell r="U260" t="str">
            <v>Asset</v>
          </cell>
          <cell r="V260">
            <v>920</v>
          </cell>
          <cell r="W260" t="str">
            <v>KEW</v>
          </cell>
          <cell r="X260" t="str">
            <v>01/09/2010</v>
          </cell>
          <cell r="Y260" t="str">
            <v>KEW</v>
          </cell>
          <cell r="Z260" t="str">
            <v>16/08/2013</v>
          </cell>
          <cell r="AA260" t="str">
            <v>15/08/2015</v>
          </cell>
          <cell r="AB260" t="str">
            <v>No</v>
          </cell>
          <cell r="AC260" t="str">
            <v>31/08/2013</v>
          </cell>
          <cell r="AD260" t="str">
            <v>Good</v>
          </cell>
          <cell r="AE260" t="str">
            <v>V4 - Decommissioned Installed Facility</v>
          </cell>
          <cell r="AF260">
            <v>42922</v>
          </cell>
          <cell r="AG260">
            <v>9.17</v>
          </cell>
          <cell r="AH260" t="str">
            <v>RI</v>
          </cell>
          <cell r="AI260" t="str">
            <v>Strands</v>
          </cell>
          <cell r="AJ260" t="str">
            <v>Not under maintenance</v>
          </cell>
        </row>
        <row r="261">
          <cell r="A261" t="str">
            <v>IKN401560</v>
          </cell>
          <cell r="B261">
            <v>1499</v>
          </cell>
          <cell r="C261" t="str">
            <v>Institut Kanser Negara</v>
          </cell>
          <cell r="D261" t="str">
            <v>KKM/IKN/H/13/2884</v>
          </cell>
          <cell r="E261" t="str">
            <v>13-325</v>
          </cell>
          <cell r="F261" t="str">
            <v>Regulators, Suction</v>
          </cell>
          <cell r="G261" t="str">
            <v>WB</v>
          </cell>
          <cell r="H261" t="str">
            <v>SURGICAL ONCO MALE WARD</v>
          </cell>
          <cell r="I261" t="str">
            <v>05WB113</v>
          </cell>
          <cell r="J261" t="str">
            <v>EQUIP. ROOM</v>
          </cell>
          <cell r="K261" t="str">
            <v>BMED</v>
          </cell>
          <cell r="L261" t="str">
            <v>Normal</v>
          </cell>
          <cell r="M261" t="str">
            <v>United States</v>
          </cell>
          <cell r="N261" t="str">
            <v>OHIO</v>
          </cell>
          <cell r="O261" t="str">
            <v>R244047311229905</v>
          </cell>
          <cell r="P261" t="str">
            <v>GPHS65074</v>
          </cell>
          <cell r="Q261" t="str">
            <v>Not Applicable</v>
          </cell>
          <cell r="R261" t="str">
            <v>OHIO</v>
          </cell>
          <cell r="S261" t="str">
            <v>Respimedic</v>
          </cell>
          <cell r="T261" t="str">
            <v>Functioning</v>
          </cell>
          <cell r="U261" t="str">
            <v>Asset</v>
          </cell>
          <cell r="V261">
            <v>920</v>
          </cell>
          <cell r="W261" t="str">
            <v>KEW</v>
          </cell>
          <cell r="X261" t="str">
            <v>01/09/2010</v>
          </cell>
          <cell r="Y261" t="str">
            <v>KEW</v>
          </cell>
          <cell r="Z261" t="str">
            <v>16/08/2013</v>
          </cell>
          <cell r="AA261" t="str">
            <v>15/08/2015</v>
          </cell>
          <cell r="AB261" t="str">
            <v>No</v>
          </cell>
          <cell r="AC261" t="str">
            <v>31/08/2013</v>
          </cell>
          <cell r="AD261" t="str">
            <v>Good</v>
          </cell>
          <cell r="AE261" t="str">
            <v>V4 - Decommissioned Installed Facility</v>
          </cell>
          <cell r="AF261">
            <v>42922</v>
          </cell>
          <cell r="AG261">
            <v>9.17</v>
          </cell>
          <cell r="AH261" t="str">
            <v>RI</v>
          </cell>
          <cell r="AI261" t="str">
            <v>Strands</v>
          </cell>
          <cell r="AJ261" t="str">
            <v>Not under maintenance</v>
          </cell>
        </row>
        <row r="262">
          <cell r="A262" t="str">
            <v>IKN401561</v>
          </cell>
          <cell r="B262">
            <v>1500</v>
          </cell>
          <cell r="C262" t="str">
            <v>Institut Kanser Negara</v>
          </cell>
          <cell r="D262" t="str">
            <v>KKM/IKN/H/13/3445</v>
          </cell>
          <cell r="E262" t="str">
            <v>13-325</v>
          </cell>
          <cell r="F262" t="str">
            <v>Regulators, Suction</v>
          </cell>
          <cell r="G262" t="str">
            <v>WB</v>
          </cell>
          <cell r="H262" t="str">
            <v>SURGICAL ONCO MALE WARD</v>
          </cell>
          <cell r="I262" t="str">
            <v>05WB113</v>
          </cell>
          <cell r="J262" t="str">
            <v>EQUIP. ROOM</v>
          </cell>
          <cell r="K262" t="str">
            <v>BMED</v>
          </cell>
          <cell r="L262" t="str">
            <v>Normal</v>
          </cell>
          <cell r="M262" t="str">
            <v>United States</v>
          </cell>
          <cell r="N262" t="str">
            <v>OHIO</v>
          </cell>
          <cell r="O262" t="str">
            <v>R244047311229905</v>
          </cell>
          <cell r="P262" t="str">
            <v>GPHS65128</v>
          </cell>
          <cell r="Q262" t="str">
            <v>Not Applicable</v>
          </cell>
          <cell r="R262" t="str">
            <v>OHIO</v>
          </cell>
          <cell r="S262" t="str">
            <v>Respimedic</v>
          </cell>
          <cell r="T262" t="str">
            <v>Functioning</v>
          </cell>
          <cell r="U262" t="str">
            <v>Asset</v>
          </cell>
          <cell r="V262">
            <v>920</v>
          </cell>
          <cell r="W262" t="str">
            <v>KEW</v>
          </cell>
          <cell r="X262" t="str">
            <v>01/09/2010</v>
          </cell>
          <cell r="Y262" t="str">
            <v>KEW</v>
          </cell>
          <cell r="Z262" t="str">
            <v>16/08/2013</v>
          </cell>
          <cell r="AA262" t="str">
            <v>15/08/2015</v>
          </cell>
          <cell r="AB262" t="str">
            <v>No</v>
          </cell>
          <cell r="AC262" t="str">
            <v>31/08/2013</v>
          </cell>
          <cell r="AD262" t="str">
            <v>Good</v>
          </cell>
          <cell r="AE262" t="str">
            <v>V4 - Decommissioned Installed Facility</v>
          </cell>
          <cell r="AF262">
            <v>42920</v>
          </cell>
          <cell r="AG262">
            <v>9.17</v>
          </cell>
          <cell r="AH262" t="str">
            <v>RI</v>
          </cell>
          <cell r="AI262" t="str">
            <v>Strands</v>
          </cell>
          <cell r="AJ262" t="str">
            <v>Not under maintenance</v>
          </cell>
        </row>
        <row r="263">
          <cell r="A263" t="str">
            <v>IKN401562</v>
          </cell>
          <cell r="B263">
            <v>1501</v>
          </cell>
          <cell r="C263" t="str">
            <v>Institut Kanser Negara</v>
          </cell>
          <cell r="D263" t="str">
            <v>KKM/IKN/H/13/2887</v>
          </cell>
          <cell r="E263" t="str">
            <v>13-325</v>
          </cell>
          <cell r="F263" t="str">
            <v>Regulators, Suction</v>
          </cell>
          <cell r="G263" t="str">
            <v>WB</v>
          </cell>
          <cell r="H263" t="str">
            <v>SURGICAL ONCO MALE WARD</v>
          </cell>
          <cell r="I263" t="str">
            <v>05WB113</v>
          </cell>
          <cell r="J263" t="str">
            <v>EQUIP. ROOM</v>
          </cell>
          <cell r="K263" t="str">
            <v>BMED</v>
          </cell>
          <cell r="L263" t="str">
            <v>Normal</v>
          </cell>
          <cell r="M263" t="str">
            <v>United States</v>
          </cell>
          <cell r="N263" t="str">
            <v>OHIO</v>
          </cell>
          <cell r="O263" t="str">
            <v>R244047311229905</v>
          </cell>
          <cell r="P263" t="str">
            <v>GPHS65063</v>
          </cell>
          <cell r="Q263" t="str">
            <v>Not Applicable</v>
          </cell>
          <cell r="R263" t="str">
            <v>OHIO</v>
          </cell>
          <cell r="S263" t="str">
            <v>Respimedic</v>
          </cell>
          <cell r="T263" t="str">
            <v>Functioning</v>
          </cell>
          <cell r="U263" t="str">
            <v>Asset</v>
          </cell>
          <cell r="V263">
            <v>920</v>
          </cell>
          <cell r="W263" t="str">
            <v>KEW</v>
          </cell>
          <cell r="X263" t="str">
            <v>01/09/2010</v>
          </cell>
          <cell r="Y263" t="str">
            <v>KEW</v>
          </cell>
          <cell r="Z263" t="str">
            <v>16/08/2013</v>
          </cell>
          <cell r="AA263" t="str">
            <v>15/08/2015</v>
          </cell>
          <cell r="AB263" t="str">
            <v>No</v>
          </cell>
          <cell r="AC263" t="str">
            <v>31/08/2013</v>
          </cell>
          <cell r="AD263" t="str">
            <v>Good</v>
          </cell>
          <cell r="AE263" t="str">
            <v>V4 - Decommissioned Installed Facility</v>
          </cell>
          <cell r="AF263">
            <v>42920</v>
          </cell>
          <cell r="AG263">
            <v>9.17</v>
          </cell>
          <cell r="AH263" t="str">
            <v>RI</v>
          </cell>
          <cell r="AI263" t="str">
            <v>Strands</v>
          </cell>
          <cell r="AJ263" t="str">
            <v>Not under maintenance</v>
          </cell>
        </row>
        <row r="264">
          <cell r="A264" t="str">
            <v>IKN401563</v>
          </cell>
          <cell r="B264">
            <v>1502</v>
          </cell>
          <cell r="C264" t="str">
            <v>Institut Kanser Negara</v>
          </cell>
          <cell r="D264" t="str">
            <v>KKM/IKN/H/13/2888</v>
          </cell>
          <cell r="E264" t="str">
            <v>13-325</v>
          </cell>
          <cell r="F264" t="str">
            <v>Regulators, Suction</v>
          </cell>
          <cell r="G264" t="str">
            <v>WB</v>
          </cell>
          <cell r="H264" t="str">
            <v>SURGICAL ONCO MALE WARD</v>
          </cell>
          <cell r="I264" t="str">
            <v>05WB113</v>
          </cell>
          <cell r="J264" t="str">
            <v>EQUIP. ROOM</v>
          </cell>
          <cell r="K264" t="str">
            <v>BMED</v>
          </cell>
          <cell r="L264" t="str">
            <v>Normal</v>
          </cell>
          <cell r="M264" t="str">
            <v>United States</v>
          </cell>
          <cell r="N264" t="str">
            <v>OHIO</v>
          </cell>
          <cell r="O264" t="str">
            <v>R244047311229905</v>
          </cell>
          <cell r="P264" t="str">
            <v>GPHS65066</v>
          </cell>
          <cell r="Q264" t="str">
            <v>Not Applicable</v>
          </cell>
          <cell r="R264" t="str">
            <v>OHIO</v>
          </cell>
          <cell r="S264" t="str">
            <v>Respimedic</v>
          </cell>
          <cell r="T264" t="str">
            <v>Functioning</v>
          </cell>
          <cell r="U264" t="str">
            <v>Asset</v>
          </cell>
          <cell r="V264">
            <v>920</v>
          </cell>
          <cell r="W264" t="str">
            <v>KEW</v>
          </cell>
          <cell r="X264" t="str">
            <v>01/09/2010</v>
          </cell>
          <cell r="Y264" t="str">
            <v>KEW</v>
          </cell>
          <cell r="Z264" t="str">
            <v>16/08/2013</v>
          </cell>
          <cell r="AA264" t="str">
            <v>15/08/2015</v>
          </cell>
          <cell r="AB264" t="str">
            <v>No</v>
          </cell>
          <cell r="AC264" t="str">
            <v>31/08/2013</v>
          </cell>
          <cell r="AD264" t="str">
            <v>Good</v>
          </cell>
          <cell r="AE264" t="str">
            <v>V4 - Decommissioned Installed Facility</v>
          </cell>
          <cell r="AF264">
            <v>42920</v>
          </cell>
          <cell r="AG264">
            <v>9.17</v>
          </cell>
          <cell r="AH264" t="str">
            <v>RI</v>
          </cell>
          <cell r="AI264" t="str">
            <v>Strands</v>
          </cell>
          <cell r="AJ264" t="str">
            <v>Not under maintenance</v>
          </cell>
        </row>
        <row r="265">
          <cell r="A265" t="str">
            <v>IKN401564</v>
          </cell>
          <cell r="B265">
            <v>1503</v>
          </cell>
          <cell r="C265" t="str">
            <v>Institut Kanser Negara</v>
          </cell>
          <cell r="D265" t="str">
            <v>KKM/IKN/H/13/5209</v>
          </cell>
          <cell r="E265" t="str">
            <v>13-325</v>
          </cell>
          <cell r="F265" t="str">
            <v>Regulators, Suction</v>
          </cell>
          <cell r="G265" t="str">
            <v>IC</v>
          </cell>
          <cell r="H265" t="str">
            <v>INTENSIVE CARE UNIT</v>
          </cell>
          <cell r="I265" t="str">
            <v>05IC113</v>
          </cell>
          <cell r="J265" t="str">
            <v>ICU RM 2</v>
          </cell>
          <cell r="K265" t="str">
            <v>BMED</v>
          </cell>
          <cell r="L265" t="str">
            <v>Normal</v>
          </cell>
          <cell r="M265" t="str">
            <v>United States</v>
          </cell>
          <cell r="N265" t="str">
            <v>OHIO</v>
          </cell>
          <cell r="O265" t="str">
            <v>R244047311229905</v>
          </cell>
          <cell r="P265" t="str">
            <v>GPHS65007</v>
          </cell>
          <cell r="Q265" t="str">
            <v>Not Applicable</v>
          </cell>
          <cell r="R265" t="str">
            <v>OHIO</v>
          </cell>
          <cell r="S265" t="str">
            <v>Respimedic</v>
          </cell>
          <cell r="T265" t="str">
            <v>Functioning</v>
          </cell>
          <cell r="U265" t="str">
            <v>Asset</v>
          </cell>
          <cell r="V265">
            <v>920</v>
          </cell>
          <cell r="W265" t="str">
            <v>KEW</v>
          </cell>
          <cell r="X265" t="str">
            <v>01/09/2010</v>
          </cell>
          <cell r="Y265" t="str">
            <v>KEW</v>
          </cell>
          <cell r="Z265" t="str">
            <v>16/08/2013</v>
          </cell>
          <cell r="AA265" t="str">
            <v>15/08/2015</v>
          </cell>
          <cell r="AB265" t="str">
            <v>No</v>
          </cell>
          <cell r="AC265" t="str">
            <v>31/08/2013</v>
          </cell>
          <cell r="AD265" t="str">
            <v>Good</v>
          </cell>
          <cell r="AE265" t="str">
            <v>V4 - Decommissioned Installed Facility</v>
          </cell>
          <cell r="AF265">
            <v>42920</v>
          </cell>
          <cell r="AG265">
            <v>9.17</v>
          </cell>
          <cell r="AH265" t="str">
            <v>RI</v>
          </cell>
          <cell r="AI265" t="str">
            <v>Strands</v>
          </cell>
          <cell r="AJ265" t="str">
            <v>Not under maintenance</v>
          </cell>
        </row>
        <row r="266">
          <cell r="A266" t="str">
            <v>IKN401565</v>
          </cell>
          <cell r="B266">
            <v>1504</v>
          </cell>
          <cell r="C266" t="str">
            <v>Institut Kanser Negara</v>
          </cell>
          <cell r="D266" t="str">
            <v>KKM/IKN/H/13/5211</v>
          </cell>
          <cell r="E266" t="str">
            <v>13-325</v>
          </cell>
          <cell r="F266" t="str">
            <v>Regulators, Suction</v>
          </cell>
          <cell r="G266" t="str">
            <v>IC</v>
          </cell>
          <cell r="H266" t="str">
            <v>INTENSIVE CARE UNIT</v>
          </cell>
          <cell r="I266" t="str">
            <v>05IC131</v>
          </cell>
          <cell r="J266" t="str">
            <v>ISOL 3 (+VE)</v>
          </cell>
          <cell r="K266" t="str">
            <v>BMED</v>
          </cell>
          <cell r="L266" t="str">
            <v>Normal</v>
          </cell>
          <cell r="M266" t="str">
            <v>United States</v>
          </cell>
          <cell r="N266" t="str">
            <v>OHIO</v>
          </cell>
          <cell r="O266" t="str">
            <v>R244047311229905</v>
          </cell>
          <cell r="P266" t="str">
            <v>GPHS 65000</v>
          </cell>
          <cell r="Q266" t="str">
            <v>Not Applicable</v>
          </cell>
          <cell r="R266" t="str">
            <v>OHIO</v>
          </cell>
          <cell r="S266" t="str">
            <v>Respimedic</v>
          </cell>
          <cell r="T266" t="str">
            <v>Functioning</v>
          </cell>
          <cell r="U266" t="str">
            <v>Asset</v>
          </cell>
          <cell r="V266">
            <v>920</v>
          </cell>
          <cell r="W266" t="str">
            <v>KEW</v>
          </cell>
          <cell r="X266" t="str">
            <v>01/09/2010</v>
          </cell>
          <cell r="Y266" t="str">
            <v>KEW</v>
          </cell>
          <cell r="Z266" t="str">
            <v>16/08/2013</v>
          </cell>
          <cell r="AA266" t="str">
            <v>15/08/2015</v>
          </cell>
          <cell r="AB266" t="str">
            <v>No</v>
          </cell>
          <cell r="AC266" t="str">
            <v>31/08/2013</v>
          </cell>
          <cell r="AD266" t="str">
            <v>Good</v>
          </cell>
          <cell r="AE266" t="str">
            <v>V4 - Decommissioned Installed Facility</v>
          </cell>
          <cell r="AF266">
            <v>42920</v>
          </cell>
          <cell r="AG266">
            <v>9.17</v>
          </cell>
          <cell r="AH266" t="str">
            <v>RI</v>
          </cell>
          <cell r="AI266" t="str">
            <v>Strands</v>
          </cell>
          <cell r="AJ266" t="str">
            <v>Not under maintenance</v>
          </cell>
        </row>
        <row r="267">
          <cell r="A267" t="str">
            <v>IKN401566</v>
          </cell>
          <cell r="B267">
            <v>1505</v>
          </cell>
          <cell r="C267" t="str">
            <v>Institut Kanser Negara</v>
          </cell>
          <cell r="D267" t="str">
            <v>KKM/IKN/I/13/8953</v>
          </cell>
          <cell r="E267" t="str">
            <v>13-325</v>
          </cell>
          <cell r="F267" t="str">
            <v>Regulators, Suction</v>
          </cell>
          <cell r="G267" t="str">
            <v>WC</v>
          </cell>
          <cell r="H267" t="str">
            <v>SURGICAL ONCO FEMALE WARD</v>
          </cell>
          <cell r="I267" t="str">
            <v>06WC113</v>
          </cell>
          <cell r="J267" t="str">
            <v>EQUIPMENT ROOM</v>
          </cell>
          <cell r="K267" t="str">
            <v>BMED</v>
          </cell>
          <cell r="L267" t="str">
            <v>Normal</v>
          </cell>
          <cell r="M267" t="str">
            <v>United States</v>
          </cell>
          <cell r="N267" t="str">
            <v>OHIO</v>
          </cell>
          <cell r="O267" t="str">
            <v>R244047311229905</v>
          </cell>
          <cell r="P267" t="str">
            <v>GPHS65129</v>
          </cell>
          <cell r="Q267" t="str">
            <v>Not Applicable</v>
          </cell>
          <cell r="R267" t="str">
            <v>OHIO</v>
          </cell>
          <cell r="S267" t="str">
            <v>Respimedic</v>
          </cell>
          <cell r="T267" t="str">
            <v>Functioning</v>
          </cell>
          <cell r="U267" t="str">
            <v>Asset</v>
          </cell>
          <cell r="V267">
            <v>920</v>
          </cell>
          <cell r="W267" t="str">
            <v>KEW</v>
          </cell>
          <cell r="X267" t="str">
            <v>01/09/2010</v>
          </cell>
          <cell r="Y267" t="str">
            <v>KEW</v>
          </cell>
          <cell r="Z267" t="str">
            <v>16/08/2013</v>
          </cell>
          <cell r="AA267" t="str">
            <v>15/08/2015</v>
          </cell>
          <cell r="AB267" t="str">
            <v>No</v>
          </cell>
          <cell r="AC267" t="str">
            <v>31/08/2013</v>
          </cell>
          <cell r="AD267" t="str">
            <v>Good</v>
          </cell>
          <cell r="AE267" t="str">
            <v>V4 - Decommissioned Installed Facility</v>
          </cell>
          <cell r="AF267">
            <v>42926</v>
          </cell>
          <cell r="AG267">
            <v>9.17</v>
          </cell>
          <cell r="AH267" t="str">
            <v>RI</v>
          </cell>
          <cell r="AI267" t="str">
            <v>Strands</v>
          </cell>
          <cell r="AJ267" t="str">
            <v>Not under maintenance</v>
          </cell>
        </row>
        <row r="268">
          <cell r="A268" t="str">
            <v>IKN401567</v>
          </cell>
          <cell r="B268">
            <v>1506</v>
          </cell>
          <cell r="C268" t="str">
            <v>Institut Kanser Negara</v>
          </cell>
          <cell r="D268" t="str">
            <v>KKM/IKN/I/13/8952</v>
          </cell>
          <cell r="E268" t="str">
            <v>13-325</v>
          </cell>
          <cell r="F268" t="str">
            <v>Regulators, Suction</v>
          </cell>
          <cell r="G268" t="str">
            <v>WC</v>
          </cell>
          <cell r="H268" t="str">
            <v>SURGICAL ONCO FEMALE WARD</v>
          </cell>
          <cell r="I268" t="str">
            <v>06WC113</v>
          </cell>
          <cell r="J268" t="str">
            <v>EQUIPMENT ROOM</v>
          </cell>
          <cell r="K268" t="str">
            <v>BMED</v>
          </cell>
          <cell r="L268" t="str">
            <v>Normal</v>
          </cell>
          <cell r="M268" t="str">
            <v>United States</v>
          </cell>
          <cell r="N268" t="str">
            <v>OHIO</v>
          </cell>
          <cell r="O268" t="str">
            <v>R244047311229905</v>
          </cell>
          <cell r="P268" t="str">
            <v>GPHS65134</v>
          </cell>
          <cell r="Q268" t="str">
            <v>Not Applicable</v>
          </cell>
          <cell r="R268" t="str">
            <v>OHIO</v>
          </cell>
          <cell r="S268" t="str">
            <v>Respimedic</v>
          </cell>
          <cell r="T268" t="str">
            <v>Functioning</v>
          </cell>
          <cell r="U268" t="str">
            <v>Asset</v>
          </cell>
          <cell r="V268">
            <v>920</v>
          </cell>
          <cell r="W268" t="str">
            <v>KEW</v>
          </cell>
          <cell r="X268" t="str">
            <v>01/09/2010</v>
          </cell>
          <cell r="Y268" t="str">
            <v>KEW</v>
          </cell>
          <cell r="Z268" t="str">
            <v>16/08/2013</v>
          </cell>
          <cell r="AA268" t="str">
            <v>15/08/2015</v>
          </cell>
          <cell r="AB268" t="str">
            <v>No</v>
          </cell>
          <cell r="AC268" t="str">
            <v>31/08/2013</v>
          </cell>
          <cell r="AD268" t="str">
            <v>Good</v>
          </cell>
          <cell r="AE268" t="str">
            <v>V4 - Decommissioned Installed Facility</v>
          </cell>
          <cell r="AF268">
            <v>42926</v>
          </cell>
          <cell r="AG268">
            <v>9.17</v>
          </cell>
          <cell r="AH268" t="str">
            <v>RI</v>
          </cell>
          <cell r="AI268" t="str">
            <v>Strands</v>
          </cell>
          <cell r="AJ268" t="str">
            <v>Not under maintenance</v>
          </cell>
        </row>
        <row r="269">
          <cell r="A269" t="str">
            <v>IKN401568</v>
          </cell>
          <cell r="B269">
            <v>1507</v>
          </cell>
          <cell r="C269" t="str">
            <v>Institut Kanser Negara</v>
          </cell>
          <cell r="D269" t="e">
            <v>#N/A</v>
          </cell>
          <cell r="E269" t="str">
            <v>13-325</v>
          </cell>
          <cell r="F269" t="str">
            <v>Regulators, Suction</v>
          </cell>
          <cell r="G269" t="str">
            <v>DO</v>
          </cell>
          <cell r="H269" t="str">
            <v>DAY ONCOLOGY UNIT</v>
          </cell>
          <cell r="I269" t="str">
            <v>04DO121</v>
          </cell>
          <cell r="J269" t="str">
            <v>TREATMENT BAY 4</v>
          </cell>
          <cell r="K269" t="str">
            <v>BMED</v>
          </cell>
          <cell r="L269" t="str">
            <v>Normal</v>
          </cell>
          <cell r="M269" t="str">
            <v>United States</v>
          </cell>
          <cell r="N269" t="str">
            <v>OHIO</v>
          </cell>
          <cell r="O269" t="str">
            <v>R244047311229905</v>
          </cell>
          <cell r="P269" t="str">
            <v>GPHS65191</v>
          </cell>
          <cell r="Q269" t="str">
            <v>Not Applicable</v>
          </cell>
          <cell r="R269" t="str">
            <v>OHIO</v>
          </cell>
          <cell r="S269" t="str">
            <v>Respimedic</v>
          </cell>
          <cell r="T269" t="str">
            <v>Functioning</v>
          </cell>
          <cell r="U269" t="str">
            <v>Asset</v>
          </cell>
          <cell r="V269">
            <v>920</v>
          </cell>
          <cell r="W269" t="str">
            <v>KEW</v>
          </cell>
          <cell r="X269" t="str">
            <v>01/09/2010</v>
          </cell>
          <cell r="Y269" t="str">
            <v>KEW</v>
          </cell>
          <cell r="Z269" t="str">
            <v>16/08/2013</v>
          </cell>
          <cell r="AA269" t="str">
            <v>15/08/2015</v>
          </cell>
          <cell r="AB269" t="str">
            <v>No</v>
          </cell>
          <cell r="AC269" t="str">
            <v>31/08/2013</v>
          </cell>
          <cell r="AD269" t="str">
            <v>Good</v>
          </cell>
          <cell r="AE269" t="str">
            <v>V4 - Decommissioned Installed Facility</v>
          </cell>
          <cell r="AF269">
            <v>42935</v>
          </cell>
          <cell r="AG269">
            <v>9.17</v>
          </cell>
          <cell r="AH269" t="str">
            <v>RI</v>
          </cell>
          <cell r="AI269" t="str">
            <v>Not in contract</v>
          </cell>
          <cell r="AJ269" t="str">
            <v>Not under maintenance</v>
          </cell>
          <cell r="AK269" t="e">
            <v>#N/A</v>
          </cell>
        </row>
        <row r="270">
          <cell r="A270" t="str">
            <v>IKN401569</v>
          </cell>
          <cell r="B270">
            <v>1508</v>
          </cell>
          <cell r="C270" t="str">
            <v>Institut Kanser Negara</v>
          </cell>
          <cell r="D270" t="e">
            <v>#N/A</v>
          </cell>
          <cell r="E270" t="str">
            <v>13-325</v>
          </cell>
          <cell r="F270" t="str">
            <v>Regulators, Suction</v>
          </cell>
          <cell r="G270" t="str">
            <v>DO</v>
          </cell>
          <cell r="H270" t="str">
            <v>DAY ONCOLOGY UNIT</v>
          </cell>
          <cell r="I270" t="str">
            <v>04DO118</v>
          </cell>
          <cell r="J270" t="str">
            <v>TREATMENT BAY 1</v>
          </cell>
          <cell r="K270" t="str">
            <v>BMED</v>
          </cell>
          <cell r="L270" t="str">
            <v>Normal</v>
          </cell>
          <cell r="M270" t="str">
            <v>United States</v>
          </cell>
          <cell r="N270" t="str">
            <v>OHIO</v>
          </cell>
          <cell r="O270" t="str">
            <v>R244047311229905</v>
          </cell>
          <cell r="P270" t="str">
            <v>GPHS65193</v>
          </cell>
          <cell r="Q270" t="str">
            <v>Not Applicable</v>
          </cell>
          <cell r="R270" t="str">
            <v>OHIO</v>
          </cell>
          <cell r="S270" t="str">
            <v>Respimedic</v>
          </cell>
          <cell r="T270" t="str">
            <v>Functioning</v>
          </cell>
          <cell r="U270" t="str">
            <v>Asset</v>
          </cell>
          <cell r="V270">
            <v>920</v>
          </cell>
          <cell r="W270" t="str">
            <v>KEW</v>
          </cell>
          <cell r="X270" t="str">
            <v>01/09/2010</v>
          </cell>
          <cell r="Y270" t="str">
            <v>KEW</v>
          </cell>
          <cell r="Z270" t="str">
            <v>16/08/2013</v>
          </cell>
          <cell r="AA270" t="str">
            <v>15/08/2015</v>
          </cell>
          <cell r="AB270" t="str">
            <v>No</v>
          </cell>
          <cell r="AC270" t="str">
            <v>31/08/2013</v>
          </cell>
          <cell r="AD270" t="str">
            <v>Good</v>
          </cell>
          <cell r="AE270" t="str">
            <v>V4 - Decommissioned Installed Facility</v>
          </cell>
          <cell r="AF270">
            <v>42935</v>
          </cell>
          <cell r="AG270">
            <v>9.17</v>
          </cell>
          <cell r="AH270" t="str">
            <v>RI</v>
          </cell>
          <cell r="AI270" t="str">
            <v>Not in contract</v>
          </cell>
          <cell r="AJ270" t="str">
            <v>Not under maintenance</v>
          </cell>
          <cell r="AK270" t="e">
            <v>#N/A</v>
          </cell>
        </row>
        <row r="271">
          <cell r="A271" t="str">
            <v>IKN401570</v>
          </cell>
          <cell r="B271">
            <v>1509</v>
          </cell>
          <cell r="C271" t="str">
            <v>Institut Kanser Negara</v>
          </cell>
          <cell r="D271" t="e">
            <v>#N/A</v>
          </cell>
          <cell r="E271" t="str">
            <v>13-325</v>
          </cell>
          <cell r="F271" t="str">
            <v>Regulators, Suction</v>
          </cell>
          <cell r="G271" t="str">
            <v>DO</v>
          </cell>
          <cell r="H271" t="str">
            <v>DAY ONCOLOGY UNIT</v>
          </cell>
          <cell r="I271" t="str">
            <v>04DO121</v>
          </cell>
          <cell r="J271" t="str">
            <v>TREATMENT BAY 4</v>
          </cell>
          <cell r="K271" t="str">
            <v>BMED</v>
          </cell>
          <cell r="L271" t="str">
            <v>Normal</v>
          </cell>
          <cell r="M271" t="str">
            <v>United States</v>
          </cell>
          <cell r="N271" t="str">
            <v>OHIO</v>
          </cell>
          <cell r="O271" t="str">
            <v>R244047311229905</v>
          </cell>
          <cell r="P271" t="str">
            <v>GPHS65195</v>
          </cell>
          <cell r="Q271" t="str">
            <v>Not Applicable</v>
          </cell>
          <cell r="R271" t="str">
            <v>OHIO</v>
          </cell>
          <cell r="S271" t="str">
            <v>Respimedic</v>
          </cell>
          <cell r="T271" t="str">
            <v>Functioning</v>
          </cell>
          <cell r="U271" t="str">
            <v>Asset</v>
          </cell>
          <cell r="V271">
            <v>920</v>
          </cell>
          <cell r="W271" t="str">
            <v>KEW</v>
          </cell>
          <cell r="X271" t="str">
            <v>01/09/2010</v>
          </cell>
          <cell r="Y271" t="str">
            <v>KEW</v>
          </cell>
          <cell r="Z271" t="str">
            <v>16/08/2013</v>
          </cell>
          <cell r="AA271" t="str">
            <v>15/08/2015</v>
          </cell>
          <cell r="AB271" t="str">
            <v>No</v>
          </cell>
          <cell r="AC271" t="str">
            <v>31/08/2013</v>
          </cell>
          <cell r="AD271" t="str">
            <v>Good</v>
          </cell>
          <cell r="AE271" t="str">
            <v>V4 - Decommissioned Installed Facility</v>
          </cell>
          <cell r="AF271">
            <v>42935</v>
          </cell>
          <cell r="AG271">
            <v>9.17</v>
          </cell>
          <cell r="AH271" t="str">
            <v>RI</v>
          </cell>
          <cell r="AI271" t="str">
            <v>Not in contract</v>
          </cell>
          <cell r="AJ271" t="str">
            <v>Not under maintenance</v>
          </cell>
          <cell r="AK271" t="e">
            <v>#N/A</v>
          </cell>
        </row>
        <row r="272">
          <cell r="A272" t="str">
            <v>IKN401571</v>
          </cell>
          <cell r="B272">
            <v>1510</v>
          </cell>
          <cell r="C272" t="str">
            <v>Institut Kanser Negara</v>
          </cell>
          <cell r="D272" t="e">
            <v>#N/A</v>
          </cell>
          <cell r="E272" t="str">
            <v>13-325</v>
          </cell>
          <cell r="F272" t="str">
            <v>Regulators, Suction</v>
          </cell>
          <cell r="G272" t="str">
            <v>DO</v>
          </cell>
          <cell r="H272" t="str">
            <v>DAY ONCOLOGY UNIT</v>
          </cell>
          <cell r="I272" t="str">
            <v>04DO118</v>
          </cell>
          <cell r="J272" t="str">
            <v>TREATMENT BAY 1</v>
          </cell>
          <cell r="K272" t="str">
            <v>BMED</v>
          </cell>
          <cell r="L272" t="str">
            <v>Normal</v>
          </cell>
          <cell r="M272" t="str">
            <v>United States</v>
          </cell>
          <cell r="N272" t="str">
            <v>OHIO</v>
          </cell>
          <cell r="O272" t="str">
            <v>R244047311229905</v>
          </cell>
          <cell r="P272" t="str">
            <v>GPHS65172</v>
          </cell>
          <cell r="Q272" t="str">
            <v>Not Applicable</v>
          </cell>
          <cell r="R272" t="str">
            <v>OHIO</v>
          </cell>
          <cell r="S272" t="str">
            <v>Respimedic</v>
          </cell>
          <cell r="T272" t="str">
            <v>Functioning</v>
          </cell>
          <cell r="U272" t="str">
            <v>Asset</v>
          </cell>
          <cell r="V272">
            <v>920</v>
          </cell>
          <cell r="W272" t="str">
            <v>KEW</v>
          </cell>
          <cell r="X272" t="str">
            <v>01/09/2010</v>
          </cell>
          <cell r="Y272" t="str">
            <v>KEW</v>
          </cell>
          <cell r="Z272" t="str">
            <v>16/08/2013</v>
          </cell>
          <cell r="AA272" t="str">
            <v>15/08/2015</v>
          </cell>
          <cell r="AB272" t="str">
            <v>No</v>
          </cell>
          <cell r="AC272" t="str">
            <v>31/08/2013</v>
          </cell>
          <cell r="AD272" t="str">
            <v>Good</v>
          </cell>
          <cell r="AE272" t="str">
            <v>V4 - Decommissioned Installed Facility</v>
          </cell>
          <cell r="AF272">
            <v>42935</v>
          </cell>
          <cell r="AG272">
            <v>9.17</v>
          </cell>
          <cell r="AH272" t="str">
            <v>RI</v>
          </cell>
          <cell r="AI272" t="str">
            <v>Not in contract</v>
          </cell>
          <cell r="AJ272" t="str">
            <v>Not under maintenance</v>
          </cell>
          <cell r="AK272" t="e">
            <v>#N/A</v>
          </cell>
        </row>
        <row r="273">
          <cell r="A273" t="str">
            <v>IKN401572</v>
          </cell>
          <cell r="B273">
            <v>1511</v>
          </cell>
          <cell r="C273" t="str">
            <v>Institut Kanser Negara</v>
          </cell>
          <cell r="D273" t="e">
            <v>#N/A</v>
          </cell>
          <cell r="E273" t="str">
            <v>13-325</v>
          </cell>
          <cell r="F273" t="str">
            <v>Regulators, Suction</v>
          </cell>
          <cell r="G273" t="str">
            <v>DO</v>
          </cell>
          <cell r="H273" t="str">
            <v>DAY ONCOLOGY UNIT</v>
          </cell>
          <cell r="I273" t="str">
            <v>04DO120</v>
          </cell>
          <cell r="J273" t="str">
            <v>TREATMENT BAY 3</v>
          </cell>
          <cell r="K273" t="str">
            <v>BMED</v>
          </cell>
          <cell r="L273" t="str">
            <v>Normal</v>
          </cell>
          <cell r="M273" t="str">
            <v>United States</v>
          </cell>
          <cell r="N273" t="str">
            <v>OHIO</v>
          </cell>
          <cell r="O273" t="str">
            <v>R244047311229905</v>
          </cell>
          <cell r="P273" t="str">
            <v>GPHS65171</v>
          </cell>
          <cell r="Q273" t="str">
            <v>Not Applicable</v>
          </cell>
          <cell r="R273" t="str">
            <v>OHIO</v>
          </cell>
          <cell r="S273" t="str">
            <v>Respimedic</v>
          </cell>
          <cell r="T273" t="str">
            <v>Functioning</v>
          </cell>
          <cell r="U273" t="str">
            <v>Asset</v>
          </cell>
          <cell r="V273">
            <v>920</v>
          </cell>
          <cell r="W273" t="str">
            <v>KEW</v>
          </cell>
          <cell r="X273" t="str">
            <v>01/09/2010</v>
          </cell>
          <cell r="Y273" t="str">
            <v>KEW</v>
          </cell>
          <cell r="Z273" t="str">
            <v>16/08/2013</v>
          </cell>
          <cell r="AA273" t="str">
            <v>15/08/2015</v>
          </cell>
          <cell r="AB273" t="str">
            <v>No</v>
          </cell>
          <cell r="AC273" t="str">
            <v>31/08/2013</v>
          </cell>
          <cell r="AD273" t="str">
            <v>Good</v>
          </cell>
          <cell r="AE273" t="str">
            <v>V4 - Decommissioned Installed Facility</v>
          </cell>
          <cell r="AF273">
            <v>42935</v>
          </cell>
          <cell r="AG273">
            <v>9.17</v>
          </cell>
          <cell r="AH273" t="str">
            <v>RI</v>
          </cell>
          <cell r="AI273" t="str">
            <v>Not in contract</v>
          </cell>
          <cell r="AJ273" t="str">
            <v>Not under maintenance</v>
          </cell>
          <cell r="AK273" t="e">
            <v>#N/A</v>
          </cell>
        </row>
        <row r="274">
          <cell r="A274" t="str">
            <v>IKN401573</v>
          </cell>
          <cell r="B274">
            <v>1512</v>
          </cell>
          <cell r="C274" t="str">
            <v>Institut Kanser Negara</v>
          </cell>
          <cell r="D274" t="e">
            <v>#N/A</v>
          </cell>
          <cell r="E274" t="str">
            <v>13-325</v>
          </cell>
          <cell r="F274" t="str">
            <v>Regulators, Suction</v>
          </cell>
          <cell r="G274" t="str">
            <v>DO</v>
          </cell>
          <cell r="H274" t="str">
            <v>DAY ONCOLOGY UNIT</v>
          </cell>
          <cell r="I274" t="str">
            <v>04DO119</v>
          </cell>
          <cell r="J274" t="str">
            <v>TREATMENT BAY 2</v>
          </cell>
          <cell r="K274" t="str">
            <v>BMED</v>
          </cell>
          <cell r="L274" t="str">
            <v>Normal</v>
          </cell>
          <cell r="M274" t="str">
            <v>United States</v>
          </cell>
          <cell r="N274" t="str">
            <v>OHIO</v>
          </cell>
          <cell r="O274" t="str">
            <v>R244047311229905</v>
          </cell>
          <cell r="P274" t="str">
            <v>GPHS65081</v>
          </cell>
          <cell r="Q274" t="str">
            <v>Not Applicable</v>
          </cell>
          <cell r="R274" t="str">
            <v>OHIO</v>
          </cell>
          <cell r="S274" t="str">
            <v>Respimedic</v>
          </cell>
          <cell r="T274" t="str">
            <v>Functioning</v>
          </cell>
          <cell r="U274" t="str">
            <v>Asset</v>
          </cell>
          <cell r="V274">
            <v>920</v>
          </cell>
          <cell r="W274" t="str">
            <v>KEW</v>
          </cell>
          <cell r="X274" t="str">
            <v>01/09/2010</v>
          </cell>
          <cell r="Y274" t="str">
            <v>KEW</v>
          </cell>
          <cell r="Z274" t="str">
            <v>16/08/2013</v>
          </cell>
          <cell r="AA274" t="str">
            <v>15/08/2015</v>
          </cell>
          <cell r="AB274" t="str">
            <v>No</v>
          </cell>
          <cell r="AC274" t="str">
            <v>31/08/2013</v>
          </cell>
          <cell r="AD274" t="str">
            <v>Good</v>
          </cell>
          <cell r="AE274" t="str">
            <v>V4 - Decommissioned Installed Facility</v>
          </cell>
          <cell r="AF274">
            <v>42935</v>
          </cell>
          <cell r="AG274">
            <v>9.17</v>
          </cell>
          <cell r="AH274" t="str">
            <v>RI</v>
          </cell>
          <cell r="AI274" t="str">
            <v>Not in contract</v>
          </cell>
          <cell r="AJ274" t="str">
            <v>Not under maintenance</v>
          </cell>
          <cell r="AK274" t="e">
            <v>#N/A</v>
          </cell>
        </row>
        <row r="275">
          <cell r="A275" t="str">
            <v>IKN401574</v>
          </cell>
          <cell r="B275">
            <v>1513</v>
          </cell>
          <cell r="C275" t="str">
            <v>Institut Kanser Negara</v>
          </cell>
          <cell r="D275" t="e">
            <v>#N/A</v>
          </cell>
          <cell r="E275" t="str">
            <v>13-325</v>
          </cell>
          <cell r="F275" t="str">
            <v>Regulators, Suction</v>
          </cell>
          <cell r="G275" t="str">
            <v>DO</v>
          </cell>
          <cell r="H275" t="str">
            <v>DAY ONCOLOGY UNIT</v>
          </cell>
          <cell r="I275" t="str">
            <v>04DO120</v>
          </cell>
          <cell r="J275" t="str">
            <v>TREATMENT BAY 3</v>
          </cell>
          <cell r="K275" t="str">
            <v>BMED</v>
          </cell>
          <cell r="L275" t="str">
            <v>Normal</v>
          </cell>
          <cell r="M275" t="str">
            <v>United States</v>
          </cell>
          <cell r="N275" t="str">
            <v>OHIO</v>
          </cell>
          <cell r="O275" t="str">
            <v>R244047311229905</v>
          </cell>
          <cell r="P275" t="str">
            <v>GPHS65085</v>
          </cell>
          <cell r="Q275" t="str">
            <v>Not Applicable</v>
          </cell>
          <cell r="R275" t="str">
            <v>OHIO</v>
          </cell>
          <cell r="S275" t="str">
            <v>Respimedic</v>
          </cell>
          <cell r="T275" t="str">
            <v>Functioning</v>
          </cell>
          <cell r="U275" t="str">
            <v>Asset</v>
          </cell>
          <cell r="V275">
            <v>920</v>
          </cell>
          <cell r="W275" t="str">
            <v>KEW</v>
          </cell>
          <cell r="X275" t="str">
            <v>01/09/2010</v>
          </cell>
          <cell r="Y275" t="str">
            <v>KEW</v>
          </cell>
          <cell r="Z275" t="str">
            <v>16/08/2013</v>
          </cell>
          <cell r="AA275" t="str">
            <v>15/08/2015</v>
          </cell>
          <cell r="AB275" t="str">
            <v>No</v>
          </cell>
          <cell r="AC275" t="str">
            <v>31/08/2013</v>
          </cell>
          <cell r="AD275" t="str">
            <v>Good</v>
          </cell>
          <cell r="AE275" t="str">
            <v>V4 - Decommissioned Installed Facility</v>
          </cell>
          <cell r="AF275">
            <v>42935</v>
          </cell>
          <cell r="AG275">
            <v>9.17</v>
          </cell>
          <cell r="AH275" t="str">
            <v>RI</v>
          </cell>
          <cell r="AI275" t="str">
            <v>Not in contract</v>
          </cell>
          <cell r="AJ275" t="str">
            <v>Not under maintenance</v>
          </cell>
          <cell r="AK275" t="e">
            <v>#N/A</v>
          </cell>
        </row>
        <row r="276">
          <cell r="A276" t="str">
            <v>IKN401575</v>
          </cell>
          <cell r="B276">
            <v>1514</v>
          </cell>
          <cell r="C276" t="str">
            <v>Institut Kanser Negara</v>
          </cell>
          <cell r="D276" t="e">
            <v>#N/A</v>
          </cell>
          <cell r="E276" t="str">
            <v>13-325</v>
          </cell>
          <cell r="F276" t="str">
            <v>Regulators, Suction</v>
          </cell>
          <cell r="G276" t="str">
            <v>DO</v>
          </cell>
          <cell r="H276" t="str">
            <v>DAY ONCOLOGY UNIT</v>
          </cell>
          <cell r="I276" t="str">
            <v>04DO124</v>
          </cell>
          <cell r="J276" t="str">
            <v>TREATMENT ROOM</v>
          </cell>
          <cell r="K276" t="str">
            <v>BMED</v>
          </cell>
          <cell r="L276" t="str">
            <v>Normal</v>
          </cell>
          <cell r="M276" t="str">
            <v>United States</v>
          </cell>
          <cell r="N276" t="str">
            <v>OHIO</v>
          </cell>
          <cell r="O276" t="str">
            <v>R244047311229905</v>
          </cell>
          <cell r="P276" t="str">
            <v>GPHS65180</v>
          </cell>
          <cell r="Q276" t="str">
            <v>Not Applicable</v>
          </cell>
          <cell r="R276" t="str">
            <v>OHIO</v>
          </cell>
          <cell r="S276" t="str">
            <v>Respimedic</v>
          </cell>
          <cell r="T276" t="str">
            <v>Functioning</v>
          </cell>
          <cell r="U276" t="str">
            <v>Asset</v>
          </cell>
          <cell r="V276">
            <v>920</v>
          </cell>
          <cell r="W276" t="str">
            <v>KEW</v>
          </cell>
          <cell r="X276" t="str">
            <v>01/09/2010</v>
          </cell>
          <cell r="Y276" t="str">
            <v>KEW</v>
          </cell>
          <cell r="Z276" t="str">
            <v>16/08/2013</v>
          </cell>
          <cell r="AA276" t="str">
            <v>15/08/2015</v>
          </cell>
          <cell r="AB276" t="str">
            <v>No</v>
          </cell>
          <cell r="AC276" t="str">
            <v>31/08/2013</v>
          </cell>
          <cell r="AD276" t="str">
            <v>Good</v>
          </cell>
          <cell r="AE276" t="str">
            <v>V4 - Decommissioned Installed Facility</v>
          </cell>
          <cell r="AF276">
            <v>42935</v>
          </cell>
          <cell r="AG276">
            <v>9.17</v>
          </cell>
          <cell r="AH276" t="str">
            <v>RI</v>
          </cell>
          <cell r="AI276" t="str">
            <v>Not in contract</v>
          </cell>
          <cell r="AJ276" t="str">
            <v>Not under maintenance</v>
          </cell>
          <cell r="AK276" t="e">
            <v>#N/A</v>
          </cell>
        </row>
        <row r="277">
          <cell r="A277" t="str">
            <v>IKN401576</v>
          </cell>
          <cell r="B277">
            <v>1515</v>
          </cell>
          <cell r="C277" t="str">
            <v>Institut Kanser Negara</v>
          </cell>
          <cell r="D277" t="e">
            <v>#N/A</v>
          </cell>
          <cell r="E277" t="str">
            <v>13-325</v>
          </cell>
          <cell r="F277" t="str">
            <v>Regulators, Suction</v>
          </cell>
          <cell r="G277" t="str">
            <v>DO</v>
          </cell>
          <cell r="H277" t="str">
            <v>DAY ONCOLOGY UNIT</v>
          </cell>
          <cell r="I277" t="str">
            <v>04DO121</v>
          </cell>
          <cell r="J277" t="str">
            <v>TREATMENT BAY 4</v>
          </cell>
          <cell r="K277" t="str">
            <v>BMED</v>
          </cell>
          <cell r="L277" t="str">
            <v>Normal</v>
          </cell>
          <cell r="M277" t="str">
            <v>United States</v>
          </cell>
          <cell r="N277" t="str">
            <v>OHIO</v>
          </cell>
          <cell r="O277" t="str">
            <v>R244047311229905</v>
          </cell>
          <cell r="P277" t="str">
            <v>GPHS65041</v>
          </cell>
          <cell r="Q277" t="str">
            <v>Not Applicable</v>
          </cell>
          <cell r="R277" t="str">
            <v>OHIO</v>
          </cell>
          <cell r="S277" t="str">
            <v>Respimedic</v>
          </cell>
          <cell r="T277" t="str">
            <v>Functioning</v>
          </cell>
          <cell r="U277" t="str">
            <v>Asset</v>
          </cell>
          <cell r="V277">
            <v>920</v>
          </cell>
          <cell r="W277" t="str">
            <v>KEW</v>
          </cell>
          <cell r="X277" t="str">
            <v>01/09/2010</v>
          </cell>
          <cell r="Y277" t="str">
            <v>KEW</v>
          </cell>
          <cell r="Z277" t="str">
            <v>16/08/2013</v>
          </cell>
          <cell r="AA277" t="str">
            <v>15/08/2015</v>
          </cell>
          <cell r="AB277" t="str">
            <v>No</v>
          </cell>
          <cell r="AC277" t="str">
            <v>31/08/2013</v>
          </cell>
          <cell r="AD277" t="str">
            <v>Good</v>
          </cell>
          <cell r="AE277" t="str">
            <v>V4 - Decommissioned Installed Facility</v>
          </cell>
          <cell r="AF277">
            <v>42935</v>
          </cell>
          <cell r="AG277">
            <v>9.17</v>
          </cell>
          <cell r="AH277" t="str">
            <v>RI</v>
          </cell>
          <cell r="AI277" t="str">
            <v>Not in contract</v>
          </cell>
          <cell r="AJ277" t="str">
            <v>Not under maintenance</v>
          </cell>
          <cell r="AK277" t="e">
            <v>#N/A</v>
          </cell>
        </row>
        <row r="278">
          <cell r="A278" t="str">
            <v>IKN401577</v>
          </cell>
          <cell r="B278">
            <v>1516</v>
          </cell>
          <cell r="C278" t="str">
            <v>Institut Kanser Negara</v>
          </cell>
          <cell r="D278" t="e">
            <v>#N/A</v>
          </cell>
          <cell r="E278" t="str">
            <v>13-325</v>
          </cell>
          <cell r="F278" t="str">
            <v>Regulators, Suction</v>
          </cell>
          <cell r="G278" t="str">
            <v>DO</v>
          </cell>
          <cell r="H278" t="str">
            <v>DAY ONCOLOGY UNIT</v>
          </cell>
          <cell r="I278" t="str">
            <v>04DO119</v>
          </cell>
          <cell r="J278" t="str">
            <v>TREATMENT BAY 2</v>
          </cell>
          <cell r="K278" t="str">
            <v>BMED</v>
          </cell>
          <cell r="L278" t="str">
            <v>Normal</v>
          </cell>
          <cell r="M278" t="str">
            <v>United States</v>
          </cell>
          <cell r="N278" t="str">
            <v>OHIO</v>
          </cell>
          <cell r="O278" t="str">
            <v>R244047311229905</v>
          </cell>
          <cell r="P278" t="str">
            <v>GPHS65199</v>
          </cell>
          <cell r="Q278" t="str">
            <v>Not Applicable</v>
          </cell>
          <cell r="R278" t="str">
            <v>OHIO</v>
          </cell>
          <cell r="S278" t="str">
            <v>Respimedic</v>
          </cell>
          <cell r="T278" t="str">
            <v>Functioning</v>
          </cell>
          <cell r="U278" t="str">
            <v>Asset</v>
          </cell>
          <cell r="V278">
            <v>920</v>
          </cell>
          <cell r="W278" t="str">
            <v>KEW</v>
          </cell>
          <cell r="X278" t="str">
            <v>01/09/2010</v>
          </cell>
          <cell r="Y278" t="str">
            <v>KEW</v>
          </cell>
          <cell r="Z278" t="str">
            <v>16/08/2013</v>
          </cell>
          <cell r="AA278" t="str">
            <v>15/08/2015</v>
          </cell>
          <cell r="AB278" t="str">
            <v>No</v>
          </cell>
          <cell r="AC278" t="str">
            <v>31/08/2013</v>
          </cell>
          <cell r="AD278" t="str">
            <v>Good</v>
          </cell>
          <cell r="AE278" t="str">
            <v>V4 - Decommissioned Installed Facility</v>
          </cell>
          <cell r="AF278">
            <v>42937</v>
          </cell>
          <cell r="AG278">
            <v>9.17</v>
          </cell>
          <cell r="AH278" t="str">
            <v>RI</v>
          </cell>
          <cell r="AI278" t="str">
            <v>Not in contract</v>
          </cell>
          <cell r="AJ278" t="str">
            <v>Not under maintenance</v>
          </cell>
          <cell r="AK278" t="e">
            <v>#N/A</v>
          </cell>
        </row>
        <row r="279">
          <cell r="A279" t="str">
            <v>IKN401578</v>
          </cell>
          <cell r="B279">
            <v>1517</v>
          </cell>
          <cell r="C279" t="str">
            <v>Institut Kanser Negara</v>
          </cell>
          <cell r="D279" t="e">
            <v>#N/A</v>
          </cell>
          <cell r="E279" t="str">
            <v>13-325</v>
          </cell>
          <cell r="F279" t="str">
            <v>Regulators, Suction</v>
          </cell>
          <cell r="G279" t="str">
            <v>DO</v>
          </cell>
          <cell r="H279" t="str">
            <v>DAY ONCOLOGY UNIT</v>
          </cell>
          <cell r="I279" t="str">
            <v>04DO119</v>
          </cell>
          <cell r="J279" t="str">
            <v>TREATMENT BAY 2</v>
          </cell>
          <cell r="K279" t="str">
            <v>BMED</v>
          </cell>
          <cell r="L279" t="str">
            <v>Normal</v>
          </cell>
          <cell r="M279" t="str">
            <v>United States</v>
          </cell>
          <cell r="N279" t="str">
            <v>OHIO</v>
          </cell>
          <cell r="O279" t="str">
            <v>R244047311229905</v>
          </cell>
          <cell r="P279" t="str">
            <v>GPHS65194</v>
          </cell>
          <cell r="Q279" t="str">
            <v>Not Applicable</v>
          </cell>
          <cell r="R279" t="str">
            <v>OHIO</v>
          </cell>
          <cell r="S279" t="str">
            <v>Respimedic</v>
          </cell>
          <cell r="T279" t="str">
            <v>Functioning</v>
          </cell>
          <cell r="U279" t="str">
            <v>Asset</v>
          </cell>
          <cell r="V279">
            <v>920</v>
          </cell>
          <cell r="W279" t="str">
            <v>KEW</v>
          </cell>
          <cell r="X279" t="str">
            <v>01/09/2010</v>
          </cell>
          <cell r="Y279" t="str">
            <v>KEW</v>
          </cell>
          <cell r="Z279" t="str">
            <v>16/08/2013</v>
          </cell>
          <cell r="AA279" t="str">
            <v>15/08/2015</v>
          </cell>
          <cell r="AB279" t="str">
            <v>No</v>
          </cell>
          <cell r="AC279" t="str">
            <v>31/08/2013</v>
          </cell>
          <cell r="AD279" t="str">
            <v>Good</v>
          </cell>
          <cell r="AE279" t="str">
            <v>V4 - Decommissioned Installed Facility</v>
          </cell>
          <cell r="AF279">
            <v>42937</v>
          </cell>
          <cell r="AG279">
            <v>9.17</v>
          </cell>
          <cell r="AH279" t="str">
            <v>RI</v>
          </cell>
          <cell r="AI279" t="str">
            <v>Not in contract</v>
          </cell>
          <cell r="AJ279" t="str">
            <v>Not under maintenance</v>
          </cell>
          <cell r="AK279" t="e">
            <v>#N/A</v>
          </cell>
        </row>
        <row r="280">
          <cell r="A280" t="str">
            <v>IKN401579</v>
          </cell>
          <cell r="B280">
            <v>1518</v>
          </cell>
          <cell r="C280" t="str">
            <v>Institut Kanser Negara</v>
          </cell>
          <cell r="D280" t="e">
            <v>#N/A</v>
          </cell>
          <cell r="E280" t="str">
            <v>13-325</v>
          </cell>
          <cell r="F280" t="str">
            <v>Regulators, Suction</v>
          </cell>
          <cell r="G280" t="str">
            <v>DO</v>
          </cell>
          <cell r="H280" t="str">
            <v>DAY ONCOLOGY UNIT</v>
          </cell>
          <cell r="I280" t="str">
            <v>04DO125</v>
          </cell>
          <cell r="J280" t="str">
            <v>PROCEDURE ROOM</v>
          </cell>
          <cell r="K280" t="str">
            <v>BMED</v>
          </cell>
          <cell r="L280" t="str">
            <v>Normal</v>
          </cell>
          <cell r="M280" t="str">
            <v>United States</v>
          </cell>
          <cell r="N280" t="str">
            <v>OHIO</v>
          </cell>
          <cell r="O280" t="str">
            <v>R244047311229905</v>
          </cell>
          <cell r="P280" t="str">
            <v>GPHS65170</v>
          </cell>
          <cell r="Q280" t="str">
            <v>Not Applicable</v>
          </cell>
          <cell r="R280" t="str">
            <v>OHIO</v>
          </cell>
          <cell r="S280" t="str">
            <v>Respimedic</v>
          </cell>
          <cell r="T280" t="str">
            <v>Functioning</v>
          </cell>
          <cell r="U280" t="str">
            <v>Asset</v>
          </cell>
          <cell r="V280">
            <v>920</v>
          </cell>
          <cell r="W280" t="str">
            <v>KEW</v>
          </cell>
          <cell r="X280" t="str">
            <v>01/09/2010</v>
          </cell>
          <cell r="Y280" t="str">
            <v>KEW</v>
          </cell>
          <cell r="Z280" t="str">
            <v>16/08/2013</v>
          </cell>
          <cell r="AA280" t="str">
            <v>15/08/2015</v>
          </cell>
          <cell r="AB280" t="str">
            <v>No</v>
          </cell>
          <cell r="AC280" t="str">
            <v>31/08/2013</v>
          </cell>
          <cell r="AD280" t="str">
            <v>Good</v>
          </cell>
          <cell r="AE280" t="str">
            <v>V4 - Decommissioned Installed Facility</v>
          </cell>
          <cell r="AF280">
            <v>42937</v>
          </cell>
          <cell r="AG280">
            <v>9.17</v>
          </cell>
          <cell r="AH280" t="str">
            <v>RI</v>
          </cell>
          <cell r="AI280" t="str">
            <v>Not in contract</v>
          </cell>
          <cell r="AJ280" t="str">
            <v>Not under maintenance</v>
          </cell>
          <cell r="AK280" t="e">
            <v>#N/A</v>
          </cell>
        </row>
        <row r="281">
          <cell r="A281" t="str">
            <v>IKN401580</v>
          </cell>
          <cell r="B281">
            <v>1519</v>
          </cell>
          <cell r="C281" t="str">
            <v>Institut Kanser Negara</v>
          </cell>
          <cell r="D281" t="str">
            <v>KKM/IKN/I/13/8957</v>
          </cell>
          <cell r="E281" t="str">
            <v>13-325</v>
          </cell>
          <cell r="F281" t="str">
            <v>Regulators, Suction</v>
          </cell>
          <cell r="G281" t="str">
            <v>DO</v>
          </cell>
          <cell r="H281" t="str">
            <v>DAY ONCOLOGY UNIT</v>
          </cell>
          <cell r="I281" t="str">
            <v>04DO118</v>
          </cell>
          <cell r="J281" t="str">
            <v>TREATMENT BAY 1</v>
          </cell>
          <cell r="K281" t="str">
            <v>BMED</v>
          </cell>
          <cell r="L281" t="str">
            <v>Normal</v>
          </cell>
          <cell r="M281" t="str">
            <v>United States</v>
          </cell>
          <cell r="N281" t="str">
            <v>OHIO</v>
          </cell>
          <cell r="O281" t="str">
            <v>R244047311229905</v>
          </cell>
          <cell r="P281" t="str">
            <v>GPHS65126</v>
          </cell>
          <cell r="Q281" t="str">
            <v>Not Applicable</v>
          </cell>
          <cell r="R281" t="str">
            <v>OHIO</v>
          </cell>
          <cell r="S281" t="str">
            <v>Respimedic</v>
          </cell>
          <cell r="T281" t="str">
            <v>Functioning</v>
          </cell>
          <cell r="U281" t="str">
            <v>Asset</v>
          </cell>
          <cell r="V281">
            <v>920</v>
          </cell>
          <cell r="W281" t="str">
            <v>KEW</v>
          </cell>
          <cell r="X281" t="str">
            <v>01/09/2010</v>
          </cell>
          <cell r="Y281" t="str">
            <v>KEW</v>
          </cell>
          <cell r="Z281" t="str">
            <v>16/08/2013</v>
          </cell>
          <cell r="AA281" t="str">
            <v>15/08/2015</v>
          </cell>
          <cell r="AB281" t="str">
            <v>No</v>
          </cell>
          <cell r="AC281" t="str">
            <v>31/08/2013</v>
          </cell>
          <cell r="AD281" t="str">
            <v>Good</v>
          </cell>
          <cell r="AE281" t="str">
            <v>V4 - Decommissioned Installed Facility</v>
          </cell>
          <cell r="AF281">
            <v>42937</v>
          </cell>
          <cell r="AG281">
            <v>9.17</v>
          </cell>
          <cell r="AH281" t="str">
            <v>RI</v>
          </cell>
          <cell r="AI281" t="str">
            <v>Strands</v>
          </cell>
          <cell r="AJ281" t="str">
            <v>Not under maintenance</v>
          </cell>
        </row>
        <row r="282">
          <cell r="A282" t="str">
            <v>IKN401587</v>
          </cell>
          <cell r="B282">
            <v>1521</v>
          </cell>
          <cell r="C282" t="str">
            <v>Institut Kanser Negara</v>
          </cell>
          <cell r="D282" t="str">
            <v>KKM/IKN/I/13/8958</v>
          </cell>
          <cell r="E282" t="str">
            <v>13-325</v>
          </cell>
          <cell r="F282" t="str">
            <v>Regulators, Suction</v>
          </cell>
          <cell r="G282" t="str">
            <v>WC</v>
          </cell>
          <cell r="H282" t="str">
            <v>SURGICAL ONCO FEMALE WARD</v>
          </cell>
          <cell r="I282" t="str">
            <v>06WC123</v>
          </cell>
          <cell r="J282" t="str">
            <v>ISOLATION 2 (-VE)</v>
          </cell>
          <cell r="K282" t="str">
            <v>BMED</v>
          </cell>
          <cell r="L282" t="str">
            <v>Normal</v>
          </cell>
          <cell r="M282" t="str">
            <v>United States</v>
          </cell>
          <cell r="N282" t="str">
            <v>OHIO</v>
          </cell>
          <cell r="O282" t="str">
            <v>R244047311229905</v>
          </cell>
          <cell r="P282" t="str">
            <v>GPHS65102</v>
          </cell>
          <cell r="Q282" t="str">
            <v>Not Applicable</v>
          </cell>
          <cell r="R282" t="str">
            <v>OHIO</v>
          </cell>
          <cell r="S282" t="str">
            <v>Respimedic</v>
          </cell>
          <cell r="T282" t="str">
            <v>Functioning</v>
          </cell>
          <cell r="U282" t="str">
            <v>Asset</v>
          </cell>
          <cell r="V282">
            <v>920</v>
          </cell>
          <cell r="W282" t="str">
            <v>KEW</v>
          </cell>
          <cell r="X282" t="str">
            <v>01/09/2010</v>
          </cell>
          <cell r="Y282" t="str">
            <v>KEW</v>
          </cell>
          <cell r="Z282" t="str">
            <v>16/08/2013</v>
          </cell>
          <cell r="AA282" t="str">
            <v>15/08/2015</v>
          </cell>
          <cell r="AB282" t="str">
            <v>No</v>
          </cell>
          <cell r="AC282" t="str">
            <v>31/08/2013</v>
          </cell>
          <cell r="AD282" t="str">
            <v>Good</v>
          </cell>
          <cell r="AE282" t="str">
            <v>V4 - Decommissioned Installed Facility</v>
          </cell>
          <cell r="AF282">
            <v>42926</v>
          </cell>
          <cell r="AG282">
            <v>9.17</v>
          </cell>
          <cell r="AH282" t="str">
            <v>RI</v>
          </cell>
          <cell r="AI282" t="str">
            <v>Strands</v>
          </cell>
          <cell r="AJ282" t="str">
            <v>Not under maintenance</v>
          </cell>
        </row>
        <row r="283">
          <cell r="A283" t="str">
            <v>IKN401588</v>
          </cell>
          <cell r="B283">
            <v>1522</v>
          </cell>
          <cell r="C283" t="str">
            <v>Institut Kanser Negara</v>
          </cell>
          <cell r="D283" t="str">
            <v>KKM/IKN/I/13/8954</v>
          </cell>
          <cell r="E283" t="str">
            <v>13-325</v>
          </cell>
          <cell r="F283" t="str">
            <v>Regulators, Suction</v>
          </cell>
          <cell r="G283" t="str">
            <v>WC</v>
          </cell>
          <cell r="H283" t="str">
            <v>SURGICAL ONCO FEMALE WARD</v>
          </cell>
          <cell r="I283" t="str">
            <v>06WC113</v>
          </cell>
          <cell r="J283" t="str">
            <v>EQUIPMENT ROOM</v>
          </cell>
          <cell r="K283" t="str">
            <v>BMED</v>
          </cell>
          <cell r="L283" t="str">
            <v>Normal</v>
          </cell>
          <cell r="M283" t="str">
            <v>United States</v>
          </cell>
          <cell r="N283" t="str">
            <v>OHIO</v>
          </cell>
          <cell r="O283" t="str">
            <v>R244047311229905</v>
          </cell>
          <cell r="P283" t="str">
            <v>GPHS65131</v>
          </cell>
          <cell r="Q283" t="str">
            <v>Not Applicable</v>
          </cell>
          <cell r="R283" t="str">
            <v>OHIO</v>
          </cell>
          <cell r="S283" t="str">
            <v>Respimedic</v>
          </cell>
          <cell r="T283" t="str">
            <v>Functioning</v>
          </cell>
          <cell r="U283" t="str">
            <v>Asset</v>
          </cell>
          <cell r="V283">
            <v>920</v>
          </cell>
          <cell r="W283" t="str">
            <v>KEW</v>
          </cell>
          <cell r="X283" t="str">
            <v>01/09/2010</v>
          </cell>
          <cell r="Y283" t="str">
            <v>KEW</v>
          </cell>
          <cell r="Z283" t="str">
            <v>16/08/2013</v>
          </cell>
          <cell r="AA283" t="str">
            <v>15/08/2015</v>
          </cell>
          <cell r="AB283" t="str">
            <v>No</v>
          </cell>
          <cell r="AC283" t="str">
            <v>31/08/2013</v>
          </cell>
          <cell r="AD283" t="str">
            <v>Good</v>
          </cell>
          <cell r="AE283" t="str">
            <v>V4 - Decommissioned Installed Facility</v>
          </cell>
          <cell r="AF283">
            <v>42926</v>
          </cell>
          <cell r="AG283">
            <v>9.17</v>
          </cell>
          <cell r="AH283" t="str">
            <v>RI</v>
          </cell>
          <cell r="AI283" t="str">
            <v>Strands</v>
          </cell>
          <cell r="AJ283" t="str">
            <v>Not under maintenance</v>
          </cell>
        </row>
        <row r="284">
          <cell r="A284" t="str">
            <v>IKN401589</v>
          </cell>
          <cell r="B284">
            <v>1523</v>
          </cell>
          <cell r="C284" t="str">
            <v>Institut Kanser Negara</v>
          </cell>
          <cell r="D284" t="str">
            <v>KKM/IKN/I/13/8956</v>
          </cell>
          <cell r="E284" t="str">
            <v>13-325</v>
          </cell>
          <cell r="F284" t="str">
            <v>Regulators, Suction</v>
          </cell>
          <cell r="G284" t="str">
            <v>WC</v>
          </cell>
          <cell r="H284" t="str">
            <v>SURGICAL ONCO FEMALE WARD</v>
          </cell>
          <cell r="I284" t="str">
            <v>06WC113</v>
          </cell>
          <cell r="J284" t="str">
            <v>EQUIPMENT ROOM</v>
          </cell>
          <cell r="K284" t="str">
            <v>BMED</v>
          </cell>
          <cell r="L284" t="str">
            <v>Normal</v>
          </cell>
          <cell r="M284" t="str">
            <v>United States</v>
          </cell>
          <cell r="N284" t="str">
            <v>OHIO</v>
          </cell>
          <cell r="O284" t="str">
            <v>R244047311229905</v>
          </cell>
          <cell r="P284" t="str">
            <v>GPHS65127</v>
          </cell>
          <cell r="Q284" t="str">
            <v>Not Applicable</v>
          </cell>
          <cell r="R284" t="str">
            <v>OHIO</v>
          </cell>
          <cell r="S284" t="str">
            <v>Respimedic</v>
          </cell>
          <cell r="T284" t="str">
            <v>Functioning</v>
          </cell>
          <cell r="U284" t="str">
            <v>Asset</v>
          </cell>
          <cell r="V284">
            <v>920</v>
          </cell>
          <cell r="W284" t="str">
            <v>KEW</v>
          </cell>
          <cell r="X284" t="str">
            <v>01/09/2010</v>
          </cell>
          <cell r="Y284" t="str">
            <v>KEW</v>
          </cell>
          <cell r="Z284" t="str">
            <v>16/08/2013</v>
          </cell>
          <cell r="AA284" t="str">
            <v>15/08/2015</v>
          </cell>
          <cell r="AB284" t="str">
            <v>No</v>
          </cell>
          <cell r="AC284" t="str">
            <v>31/08/2013</v>
          </cell>
          <cell r="AD284" t="str">
            <v>Good</v>
          </cell>
          <cell r="AE284" t="str">
            <v>V4 - Decommissioned Installed Facility</v>
          </cell>
          <cell r="AF284">
            <v>42926</v>
          </cell>
          <cell r="AG284">
            <v>9.17</v>
          </cell>
          <cell r="AH284" t="str">
            <v>RI</v>
          </cell>
          <cell r="AI284" t="str">
            <v>Strands</v>
          </cell>
          <cell r="AJ284" t="str">
            <v>Not under maintenance</v>
          </cell>
        </row>
        <row r="285">
          <cell r="A285" t="str">
            <v>IKN401590</v>
          </cell>
          <cell r="B285">
            <v>1524</v>
          </cell>
          <cell r="C285" t="str">
            <v>Institut Kanser Negara</v>
          </cell>
          <cell r="D285" t="str">
            <v>KKM/IKN/I/13/8951</v>
          </cell>
          <cell r="E285" t="str">
            <v>13-325</v>
          </cell>
          <cell r="F285" t="str">
            <v>Regulators, Suction</v>
          </cell>
          <cell r="G285" t="str">
            <v>WC</v>
          </cell>
          <cell r="H285" t="str">
            <v>SURGICAL ONCO FEMALE WARD</v>
          </cell>
          <cell r="I285" t="str">
            <v>06WC113</v>
          </cell>
          <cell r="J285" t="str">
            <v>EQUIPMENT ROOM</v>
          </cell>
          <cell r="K285" t="str">
            <v>BMED</v>
          </cell>
          <cell r="L285" t="str">
            <v>Normal</v>
          </cell>
          <cell r="M285" t="str">
            <v>United States</v>
          </cell>
          <cell r="N285" t="str">
            <v>OHIO</v>
          </cell>
          <cell r="O285" t="str">
            <v>R244047311229905</v>
          </cell>
          <cell r="P285" t="str">
            <v>GPHS65132</v>
          </cell>
          <cell r="Q285" t="str">
            <v>Not Applicable</v>
          </cell>
          <cell r="R285" t="str">
            <v>OHIO</v>
          </cell>
          <cell r="S285" t="str">
            <v>Respimedic</v>
          </cell>
          <cell r="T285" t="str">
            <v>Functioning</v>
          </cell>
          <cell r="U285" t="str">
            <v>Asset</v>
          </cell>
          <cell r="V285">
            <v>920</v>
          </cell>
          <cell r="W285" t="str">
            <v>KEW</v>
          </cell>
          <cell r="X285" t="str">
            <v>01/09/2010</v>
          </cell>
          <cell r="Y285" t="str">
            <v>KEW</v>
          </cell>
          <cell r="Z285" t="str">
            <v>16/08/2013</v>
          </cell>
          <cell r="AA285" t="str">
            <v>15/08/2015</v>
          </cell>
          <cell r="AB285" t="str">
            <v>No</v>
          </cell>
          <cell r="AC285" t="str">
            <v>31/08/2013</v>
          </cell>
          <cell r="AD285" t="str">
            <v>Good</v>
          </cell>
          <cell r="AE285" t="str">
            <v>V4 - Decommissioned Installed Facility</v>
          </cell>
          <cell r="AF285">
            <v>42926</v>
          </cell>
          <cell r="AG285">
            <v>9.17</v>
          </cell>
          <cell r="AH285" t="str">
            <v>RI</v>
          </cell>
          <cell r="AI285" t="str">
            <v>Strands</v>
          </cell>
          <cell r="AJ285" t="str">
            <v>Not under maintenance</v>
          </cell>
        </row>
        <row r="286">
          <cell r="A286" t="str">
            <v>IKN401591</v>
          </cell>
          <cell r="B286">
            <v>1525</v>
          </cell>
          <cell r="C286" t="str">
            <v>Institut Kanser Negara</v>
          </cell>
          <cell r="D286" t="e">
            <v>#N/A</v>
          </cell>
          <cell r="E286" t="str">
            <v>13-325</v>
          </cell>
          <cell r="F286" t="str">
            <v>Regulators, Suction</v>
          </cell>
          <cell r="G286" t="str">
            <v>WC</v>
          </cell>
          <cell r="H286" t="str">
            <v>SURGICAL ONCO FEMALE WARD</v>
          </cell>
          <cell r="I286" t="str">
            <v>06WC120</v>
          </cell>
          <cell r="J286" t="str">
            <v>ISOLATION 1</v>
          </cell>
          <cell r="K286" t="str">
            <v>BMED</v>
          </cell>
          <cell r="L286" t="str">
            <v>Normal</v>
          </cell>
          <cell r="M286" t="str">
            <v>United States</v>
          </cell>
          <cell r="N286" t="str">
            <v>OHIO</v>
          </cell>
          <cell r="O286" t="str">
            <v>R244047311229905</v>
          </cell>
          <cell r="P286" t="str">
            <v>GPHS65152</v>
          </cell>
          <cell r="Q286" t="str">
            <v>Not Applicable</v>
          </cell>
          <cell r="R286" t="str">
            <v>OHIO</v>
          </cell>
          <cell r="S286" t="str">
            <v>Respimedic</v>
          </cell>
          <cell r="T286" t="str">
            <v>Functioning</v>
          </cell>
          <cell r="U286" t="str">
            <v>Asset</v>
          </cell>
          <cell r="V286">
            <v>920</v>
          </cell>
          <cell r="W286" t="str">
            <v>KEW</v>
          </cell>
          <cell r="X286" t="str">
            <v>01/09/2010</v>
          </cell>
          <cell r="Y286" t="str">
            <v>KEW</v>
          </cell>
          <cell r="Z286" t="str">
            <v>16/08/2013</v>
          </cell>
          <cell r="AA286" t="str">
            <v>15/08/2015</v>
          </cell>
          <cell r="AB286" t="str">
            <v>No</v>
          </cell>
          <cell r="AC286" t="str">
            <v>31/08/2013</v>
          </cell>
          <cell r="AD286" t="str">
            <v>Good</v>
          </cell>
          <cell r="AE286" t="str">
            <v>V4 - Decommissioned Installed Facility</v>
          </cell>
          <cell r="AF286">
            <v>42922</v>
          </cell>
          <cell r="AG286">
            <v>9.17</v>
          </cell>
          <cell r="AH286" t="str">
            <v>RI</v>
          </cell>
          <cell r="AI286" t="str">
            <v>Not in contract</v>
          </cell>
          <cell r="AJ286" t="str">
            <v>Not under maintenance</v>
          </cell>
          <cell r="AK286" t="e">
            <v>#N/A</v>
          </cell>
        </row>
        <row r="287">
          <cell r="A287" t="str">
            <v>IKN401592</v>
          </cell>
          <cell r="B287">
            <v>1526</v>
          </cell>
          <cell r="C287" t="str">
            <v>Institut Kanser Negara</v>
          </cell>
          <cell r="D287" t="e">
            <v>#N/A</v>
          </cell>
          <cell r="E287" t="str">
            <v>13-325</v>
          </cell>
          <cell r="F287" t="str">
            <v>Regulators, Suction</v>
          </cell>
          <cell r="G287" t="str">
            <v>WC</v>
          </cell>
          <cell r="H287" t="str">
            <v>SURGICAL ONCO FEMALE WARD</v>
          </cell>
          <cell r="I287" t="str">
            <v>06WC120</v>
          </cell>
          <cell r="J287" t="str">
            <v>ISOLATION 1</v>
          </cell>
          <cell r="K287" t="str">
            <v>BMED</v>
          </cell>
          <cell r="L287" t="str">
            <v>Normal</v>
          </cell>
          <cell r="M287" t="str">
            <v>United States</v>
          </cell>
          <cell r="N287" t="str">
            <v>OHIO</v>
          </cell>
          <cell r="O287" t="str">
            <v>R244047311229905</v>
          </cell>
          <cell r="P287" t="str">
            <v>GPHS65077</v>
          </cell>
          <cell r="Q287" t="str">
            <v>Not Applicable</v>
          </cell>
          <cell r="R287" t="str">
            <v>OHIO</v>
          </cell>
          <cell r="S287" t="str">
            <v>Respimedic</v>
          </cell>
          <cell r="T287" t="str">
            <v>Functioning</v>
          </cell>
          <cell r="U287" t="str">
            <v>Asset</v>
          </cell>
          <cell r="V287">
            <v>920</v>
          </cell>
          <cell r="W287" t="str">
            <v>KEW</v>
          </cell>
          <cell r="X287" t="str">
            <v>01/09/2010</v>
          </cell>
          <cell r="Y287" t="str">
            <v>KEW</v>
          </cell>
          <cell r="Z287" t="str">
            <v>16/08/2013</v>
          </cell>
          <cell r="AA287" t="str">
            <v>15/08/2015</v>
          </cell>
          <cell r="AB287" t="str">
            <v>No</v>
          </cell>
          <cell r="AC287" t="str">
            <v>31/08/2013</v>
          </cell>
          <cell r="AD287" t="str">
            <v>Good</v>
          </cell>
          <cell r="AE287" t="str">
            <v>V4 - Decommissioned Installed Facility</v>
          </cell>
          <cell r="AF287">
            <v>42926</v>
          </cell>
          <cell r="AG287">
            <v>9.17</v>
          </cell>
          <cell r="AH287" t="str">
            <v>RI</v>
          </cell>
          <cell r="AI287" t="str">
            <v>Not in contract</v>
          </cell>
          <cell r="AJ287" t="str">
            <v>Not under maintenance</v>
          </cell>
          <cell r="AK287" t="e">
            <v>#N/A</v>
          </cell>
        </row>
        <row r="288">
          <cell r="A288" t="str">
            <v>IKN401593</v>
          </cell>
          <cell r="B288">
            <v>1527</v>
          </cell>
          <cell r="C288" t="str">
            <v>Institut Kanser Negara</v>
          </cell>
          <cell r="D288" t="str">
            <v>KKM/IKN/H/13/1492</v>
          </cell>
          <cell r="E288" t="str">
            <v>13-325</v>
          </cell>
          <cell r="F288" t="str">
            <v>Regulators, Suction</v>
          </cell>
          <cell r="G288" t="str">
            <v>WD</v>
          </cell>
          <cell r="H288" t="str">
            <v>RT/ONCO PAED/ADOLESCENT WARD</v>
          </cell>
          <cell r="I288" t="str">
            <v>06WD153</v>
          </cell>
          <cell r="J288" t="str">
            <v>EQP.ROOM</v>
          </cell>
          <cell r="K288" t="str">
            <v>BMED</v>
          </cell>
          <cell r="L288" t="str">
            <v>Normal</v>
          </cell>
          <cell r="M288" t="str">
            <v>United States</v>
          </cell>
          <cell r="N288" t="str">
            <v>OHIO</v>
          </cell>
          <cell r="O288" t="str">
            <v>R244047311229905</v>
          </cell>
          <cell r="P288" t="str">
            <v>GPHS65004</v>
          </cell>
          <cell r="Q288" t="str">
            <v>Not Applicable</v>
          </cell>
          <cell r="R288" t="str">
            <v>OHIO</v>
          </cell>
          <cell r="S288" t="str">
            <v>Respimedic</v>
          </cell>
          <cell r="T288" t="str">
            <v>Functioning</v>
          </cell>
          <cell r="U288" t="str">
            <v>Asset</v>
          </cell>
          <cell r="V288">
            <v>920</v>
          </cell>
          <cell r="W288" t="str">
            <v>KEW</v>
          </cell>
          <cell r="X288" t="str">
            <v>01/09/2010</v>
          </cell>
          <cell r="Y288" t="str">
            <v>KEW</v>
          </cell>
          <cell r="Z288" t="str">
            <v>16/08/2013</v>
          </cell>
          <cell r="AA288" t="str">
            <v>15/08/2015</v>
          </cell>
          <cell r="AB288" t="str">
            <v>No</v>
          </cell>
          <cell r="AC288" t="str">
            <v>31/08/2013</v>
          </cell>
          <cell r="AD288" t="str">
            <v>Good</v>
          </cell>
          <cell r="AE288" t="str">
            <v>V4 - Decommissioned Installed Facility</v>
          </cell>
          <cell r="AF288">
            <v>42927</v>
          </cell>
          <cell r="AG288">
            <v>9.17</v>
          </cell>
          <cell r="AH288" t="str">
            <v>RI</v>
          </cell>
          <cell r="AI288" t="str">
            <v>Strands</v>
          </cell>
          <cell r="AJ288" t="str">
            <v>Not under maintenance</v>
          </cell>
        </row>
        <row r="289">
          <cell r="A289" t="str">
            <v>IKN401594</v>
          </cell>
          <cell r="B289">
            <v>1528</v>
          </cell>
          <cell r="C289" t="str">
            <v>Institut Kanser Negara</v>
          </cell>
          <cell r="D289" t="str">
            <v>KKM/IKN/H/13/1487</v>
          </cell>
          <cell r="E289" t="str">
            <v>13-325</v>
          </cell>
          <cell r="F289" t="str">
            <v>Regulators, Suction</v>
          </cell>
          <cell r="G289" t="str">
            <v>WD</v>
          </cell>
          <cell r="H289" t="str">
            <v>RT/ONCO PAED/ADOLESCENT WARD</v>
          </cell>
          <cell r="I289" t="str">
            <v>06WD111</v>
          </cell>
          <cell r="J289" t="str">
            <v>ISOLATION 1 (+VE)</v>
          </cell>
          <cell r="K289" t="str">
            <v>BMED</v>
          </cell>
          <cell r="L289" t="str">
            <v>Normal</v>
          </cell>
          <cell r="M289" t="str">
            <v>United States</v>
          </cell>
          <cell r="N289" t="str">
            <v>OHIO</v>
          </cell>
          <cell r="O289" t="str">
            <v>R244047311229905</v>
          </cell>
          <cell r="P289" t="str">
            <v>GPHS65058</v>
          </cell>
          <cell r="Q289" t="str">
            <v>Not Applicable</v>
          </cell>
          <cell r="R289" t="str">
            <v>OHIO</v>
          </cell>
          <cell r="S289" t="str">
            <v>Respimedic</v>
          </cell>
          <cell r="T289" t="str">
            <v>Functioning</v>
          </cell>
          <cell r="U289" t="str">
            <v>Asset</v>
          </cell>
          <cell r="V289">
            <v>920</v>
          </cell>
          <cell r="W289" t="str">
            <v>KEW</v>
          </cell>
          <cell r="X289" t="str">
            <v>01/09/2010</v>
          </cell>
          <cell r="Y289" t="str">
            <v>KEW</v>
          </cell>
          <cell r="Z289" t="str">
            <v>16/08/2013</v>
          </cell>
          <cell r="AA289" t="str">
            <v>15/08/2015</v>
          </cell>
          <cell r="AB289" t="str">
            <v>No</v>
          </cell>
          <cell r="AC289" t="str">
            <v>31/08/2013</v>
          </cell>
          <cell r="AD289" t="str">
            <v>Good</v>
          </cell>
          <cell r="AE289" t="str">
            <v>V4 - Decommissioned Installed Facility</v>
          </cell>
          <cell r="AF289">
            <v>42927</v>
          </cell>
          <cell r="AG289">
            <v>9.17</v>
          </cell>
          <cell r="AH289" t="str">
            <v>RI</v>
          </cell>
          <cell r="AI289" t="str">
            <v>Strands</v>
          </cell>
          <cell r="AJ289" t="str">
            <v>Not under maintenance</v>
          </cell>
        </row>
        <row r="290">
          <cell r="A290" t="str">
            <v>IKN401595</v>
          </cell>
          <cell r="B290">
            <v>1529</v>
          </cell>
          <cell r="C290" t="str">
            <v>Institut Kanser Negara</v>
          </cell>
          <cell r="D290" t="str">
            <v>KKM/IKN/H/13/1486</v>
          </cell>
          <cell r="E290" t="str">
            <v>13-325</v>
          </cell>
          <cell r="F290" t="str">
            <v>Regulators, Suction</v>
          </cell>
          <cell r="G290" t="str">
            <v>WD</v>
          </cell>
          <cell r="H290" t="str">
            <v>RT/ONCO PAED/ADOLESCENT WARD</v>
          </cell>
          <cell r="I290" t="str">
            <v>06WD153</v>
          </cell>
          <cell r="J290" t="str">
            <v>EQP.ROOM</v>
          </cell>
          <cell r="K290" t="str">
            <v>BMED</v>
          </cell>
          <cell r="L290" t="str">
            <v>Normal</v>
          </cell>
          <cell r="M290" t="str">
            <v>United States</v>
          </cell>
          <cell r="N290" t="str">
            <v>OHIO</v>
          </cell>
          <cell r="O290" t="str">
            <v>R244047311229905</v>
          </cell>
          <cell r="P290" t="str">
            <v>GPHS65006</v>
          </cell>
          <cell r="Q290" t="str">
            <v>Not Applicable</v>
          </cell>
          <cell r="R290" t="str">
            <v>OHIO</v>
          </cell>
          <cell r="S290" t="str">
            <v>Respimedic</v>
          </cell>
          <cell r="T290" t="str">
            <v>Functioning</v>
          </cell>
          <cell r="U290" t="str">
            <v>Asset</v>
          </cell>
          <cell r="V290">
            <v>920</v>
          </cell>
          <cell r="W290" t="str">
            <v>KEW</v>
          </cell>
          <cell r="X290" t="str">
            <v>01/09/2010</v>
          </cell>
          <cell r="Y290" t="str">
            <v>KEW</v>
          </cell>
          <cell r="Z290" t="str">
            <v>16/08/2013</v>
          </cell>
          <cell r="AA290" t="str">
            <v>15/08/2015</v>
          </cell>
          <cell r="AB290" t="str">
            <v>No</v>
          </cell>
          <cell r="AC290" t="str">
            <v>31/08/2013</v>
          </cell>
          <cell r="AD290" t="str">
            <v>Good</v>
          </cell>
          <cell r="AE290" t="str">
            <v>V4 - Decommissioned Installed Facility</v>
          </cell>
          <cell r="AF290">
            <v>42926</v>
          </cell>
          <cell r="AG290">
            <v>9.17</v>
          </cell>
          <cell r="AH290" t="str">
            <v>RI</v>
          </cell>
          <cell r="AI290" t="str">
            <v>Strands</v>
          </cell>
          <cell r="AJ290" t="str">
            <v>Not under maintenance</v>
          </cell>
        </row>
        <row r="291">
          <cell r="A291" t="str">
            <v>IKN401596</v>
          </cell>
          <cell r="B291">
            <v>1530</v>
          </cell>
          <cell r="C291" t="str">
            <v>Institut Kanser Negara</v>
          </cell>
          <cell r="D291" t="str">
            <v>KKM/IKN/H/13/1483</v>
          </cell>
          <cell r="E291" t="str">
            <v>13-325</v>
          </cell>
          <cell r="F291" t="str">
            <v>Regulators, Suction</v>
          </cell>
          <cell r="G291" t="str">
            <v>WD</v>
          </cell>
          <cell r="H291" t="str">
            <v>RT/ONCO PAED/ADOLESCENT WARD</v>
          </cell>
          <cell r="I291" t="str">
            <v>06WD153</v>
          </cell>
          <cell r="J291" t="str">
            <v>EQP.ROOM</v>
          </cell>
          <cell r="K291" t="str">
            <v>BMED</v>
          </cell>
          <cell r="L291" t="str">
            <v>Normal</v>
          </cell>
          <cell r="M291" t="str">
            <v>United States</v>
          </cell>
          <cell r="N291" t="str">
            <v>OHIO</v>
          </cell>
          <cell r="O291" t="str">
            <v>R244047311229905</v>
          </cell>
          <cell r="P291" t="str">
            <v>GPHS65003</v>
          </cell>
          <cell r="Q291" t="str">
            <v>Not Applicable</v>
          </cell>
          <cell r="R291" t="str">
            <v>OHIO</v>
          </cell>
          <cell r="S291" t="str">
            <v>Respimedic</v>
          </cell>
          <cell r="T291" t="str">
            <v>Functioning</v>
          </cell>
          <cell r="U291" t="str">
            <v>Asset</v>
          </cell>
          <cell r="V291">
            <v>920</v>
          </cell>
          <cell r="W291" t="str">
            <v>KEW</v>
          </cell>
          <cell r="X291" t="str">
            <v>01/09/2010</v>
          </cell>
          <cell r="Y291" t="str">
            <v>KEW</v>
          </cell>
          <cell r="Z291" t="str">
            <v>16/08/2013</v>
          </cell>
          <cell r="AA291" t="str">
            <v>15/08/2015</v>
          </cell>
          <cell r="AB291" t="str">
            <v>No</v>
          </cell>
          <cell r="AC291" t="str">
            <v>31/08/2013</v>
          </cell>
          <cell r="AD291" t="str">
            <v>Good</v>
          </cell>
          <cell r="AE291" t="str">
            <v>V4 - Decommissioned Installed Facility</v>
          </cell>
          <cell r="AF291">
            <v>42926</v>
          </cell>
          <cell r="AG291">
            <v>9.17</v>
          </cell>
          <cell r="AH291" t="str">
            <v>RI</v>
          </cell>
          <cell r="AI291" t="str">
            <v>Strands</v>
          </cell>
          <cell r="AJ291" t="str">
            <v>Not under maintenance</v>
          </cell>
        </row>
        <row r="292">
          <cell r="A292" t="str">
            <v>IKN401597</v>
          </cell>
          <cell r="B292">
            <v>1531</v>
          </cell>
          <cell r="C292" t="str">
            <v>Institut Kanser Negara</v>
          </cell>
          <cell r="D292" t="str">
            <v>KKM/IKN/H/13/1485</v>
          </cell>
          <cell r="E292" t="str">
            <v>13-325</v>
          </cell>
          <cell r="F292" t="str">
            <v>Regulators, Suction</v>
          </cell>
          <cell r="G292" t="str">
            <v>WD</v>
          </cell>
          <cell r="H292" t="str">
            <v>RT/ONCO PAED/ADOLESCENT WARD</v>
          </cell>
          <cell r="I292" t="str">
            <v>06WD120</v>
          </cell>
          <cell r="J292" t="str">
            <v>ISOLATION 4 (-VE)</v>
          </cell>
          <cell r="K292" t="str">
            <v>BMED</v>
          </cell>
          <cell r="L292" t="str">
            <v>Normal</v>
          </cell>
          <cell r="M292" t="str">
            <v>United States</v>
          </cell>
          <cell r="N292" t="str">
            <v>OHIO</v>
          </cell>
          <cell r="O292" t="str">
            <v>R244047311229905</v>
          </cell>
          <cell r="P292" t="str">
            <v>GPHS65008</v>
          </cell>
          <cell r="Q292" t="str">
            <v>Not Applicable</v>
          </cell>
          <cell r="R292" t="str">
            <v>OHIO</v>
          </cell>
          <cell r="S292" t="str">
            <v>Respimedic</v>
          </cell>
          <cell r="T292" t="str">
            <v>Functioning</v>
          </cell>
          <cell r="U292" t="str">
            <v>Asset</v>
          </cell>
          <cell r="V292">
            <v>920</v>
          </cell>
          <cell r="W292" t="str">
            <v>KEW</v>
          </cell>
          <cell r="X292" t="str">
            <v>01/09/2010</v>
          </cell>
          <cell r="Y292" t="str">
            <v>KEW</v>
          </cell>
          <cell r="Z292" t="str">
            <v>16/08/2013</v>
          </cell>
          <cell r="AA292" t="str">
            <v>15/08/2015</v>
          </cell>
          <cell r="AB292" t="str">
            <v>No</v>
          </cell>
          <cell r="AC292" t="str">
            <v>31/08/2013</v>
          </cell>
          <cell r="AD292" t="str">
            <v>Good</v>
          </cell>
          <cell r="AE292" t="str">
            <v>V4 - Decommissioned Installed Facility</v>
          </cell>
          <cell r="AF292">
            <v>42926</v>
          </cell>
          <cell r="AG292">
            <v>9.17</v>
          </cell>
          <cell r="AH292" t="str">
            <v>RI</v>
          </cell>
          <cell r="AI292" t="str">
            <v>Strands</v>
          </cell>
          <cell r="AJ292" t="str">
            <v>Not under maintenance</v>
          </cell>
        </row>
        <row r="293">
          <cell r="A293" t="str">
            <v>IKN401598</v>
          </cell>
          <cell r="B293">
            <v>1532</v>
          </cell>
          <cell r="C293" t="str">
            <v>Institut Kanser Negara</v>
          </cell>
          <cell r="D293" t="str">
            <v>KKM/IKN/H/13/1490</v>
          </cell>
          <cell r="E293" t="str">
            <v>13-325</v>
          </cell>
          <cell r="F293" t="str">
            <v>Regulators, Suction</v>
          </cell>
          <cell r="G293" t="str">
            <v>WD</v>
          </cell>
          <cell r="H293" t="str">
            <v>RT/ONCO PAED/ADOLESCENT WARD</v>
          </cell>
          <cell r="I293" t="str">
            <v>06WD114</v>
          </cell>
          <cell r="J293" t="str">
            <v>ISOLATION 2 (+VE)</v>
          </cell>
          <cell r="K293" t="str">
            <v>BMED</v>
          </cell>
          <cell r="L293" t="str">
            <v>Normal</v>
          </cell>
          <cell r="M293" t="str">
            <v>United States</v>
          </cell>
          <cell r="N293" t="str">
            <v>OHIO</v>
          </cell>
          <cell r="O293" t="str">
            <v>R244047311229905</v>
          </cell>
          <cell r="P293" t="str">
            <v>GPHS65056</v>
          </cell>
          <cell r="Q293" t="str">
            <v>Not Applicable</v>
          </cell>
          <cell r="R293" t="str">
            <v>OHIO</v>
          </cell>
          <cell r="S293" t="str">
            <v>Respimedic</v>
          </cell>
          <cell r="T293" t="str">
            <v>Functioning</v>
          </cell>
          <cell r="U293" t="str">
            <v>Asset</v>
          </cell>
          <cell r="V293">
            <v>920</v>
          </cell>
          <cell r="W293" t="str">
            <v>KEW</v>
          </cell>
          <cell r="X293" t="str">
            <v>01/09/2010</v>
          </cell>
          <cell r="Y293" t="str">
            <v>KEW</v>
          </cell>
          <cell r="Z293" t="str">
            <v>16/08/2013</v>
          </cell>
          <cell r="AA293" t="str">
            <v>15/08/2015</v>
          </cell>
          <cell r="AB293" t="str">
            <v>No</v>
          </cell>
          <cell r="AC293" t="str">
            <v>31/08/2013</v>
          </cell>
          <cell r="AD293" t="str">
            <v>Good</v>
          </cell>
          <cell r="AE293" t="str">
            <v>V4 - Decommissioned Installed Facility</v>
          </cell>
          <cell r="AF293">
            <v>42926</v>
          </cell>
          <cell r="AG293">
            <v>9.17</v>
          </cell>
          <cell r="AH293" t="str">
            <v>RI</v>
          </cell>
          <cell r="AI293" t="str">
            <v>Strands</v>
          </cell>
          <cell r="AJ293" t="str">
            <v>Not under maintenance</v>
          </cell>
        </row>
        <row r="294">
          <cell r="A294" t="str">
            <v>IKN401599</v>
          </cell>
          <cell r="B294">
            <v>1533</v>
          </cell>
          <cell r="C294" t="str">
            <v>Institut Kanser Negara</v>
          </cell>
          <cell r="D294" t="str">
            <v>KKM/IKN/H/13/1484</v>
          </cell>
          <cell r="E294" t="str">
            <v>13-325</v>
          </cell>
          <cell r="F294" t="str">
            <v>Regulators, Suction</v>
          </cell>
          <cell r="G294" t="str">
            <v>WD</v>
          </cell>
          <cell r="H294" t="str">
            <v>RT/ONCO PAED/ADOLESCENT WARD</v>
          </cell>
          <cell r="I294" t="str">
            <v>06WD119</v>
          </cell>
          <cell r="J294" t="str">
            <v>ISOLATION 3(-VE)</v>
          </cell>
          <cell r="K294" t="str">
            <v>BMED</v>
          </cell>
          <cell r="L294" t="str">
            <v>Normal</v>
          </cell>
          <cell r="M294" t="str">
            <v>United States</v>
          </cell>
          <cell r="N294" t="str">
            <v>OHIO</v>
          </cell>
          <cell r="O294" t="str">
            <v>R244047311229905</v>
          </cell>
          <cell r="P294" t="str">
            <v>GPHS65055</v>
          </cell>
          <cell r="Q294" t="str">
            <v>Not Applicable</v>
          </cell>
          <cell r="R294" t="str">
            <v>OHIO</v>
          </cell>
          <cell r="S294" t="str">
            <v>Respimedic</v>
          </cell>
          <cell r="T294" t="str">
            <v>Functioning</v>
          </cell>
          <cell r="U294" t="str">
            <v>Asset</v>
          </cell>
          <cell r="V294">
            <v>920</v>
          </cell>
          <cell r="W294" t="str">
            <v>KEW</v>
          </cell>
          <cell r="X294" t="str">
            <v>01/09/2010</v>
          </cell>
          <cell r="Y294" t="str">
            <v>KEW</v>
          </cell>
          <cell r="Z294" t="str">
            <v>16/08/2013</v>
          </cell>
          <cell r="AA294" t="str">
            <v>15/08/2015</v>
          </cell>
          <cell r="AB294" t="str">
            <v>No</v>
          </cell>
          <cell r="AC294" t="str">
            <v>31/08/2013</v>
          </cell>
          <cell r="AD294" t="str">
            <v>Good</v>
          </cell>
          <cell r="AE294" t="str">
            <v>V4 - Decommissioned Installed Facility</v>
          </cell>
          <cell r="AF294">
            <v>42926</v>
          </cell>
          <cell r="AG294">
            <v>9.17</v>
          </cell>
          <cell r="AH294" t="str">
            <v>RI</v>
          </cell>
          <cell r="AI294" t="str">
            <v>Strands</v>
          </cell>
          <cell r="AJ294" t="str">
            <v>Not under maintenance</v>
          </cell>
        </row>
        <row r="295">
          <cell r="A295" t="str">
            <v>IKN401600</v>
          </cell>
          <cell r="B295">
            <v>1534</v>
          </cell>
          <cell r="C295" t="str">
            <v>Institut Kanser Negara</v>
          </cell>
          <cell r="D295" t="str">
            <v>KKM/IKN/H/13/1489</v>
          </cell>
          <cell r="E295" t="str">
            <v>13-325</v>
          </cell>
          <cell r="F295" t="str">
            <v>Regulators, Suction</v>
          </cell>
          <cell r="G295" t="str">
            <v>WD</v>
          </cell>
          <cell r="H295" t="str">
            <v>RT/ONCO PAED/ADOLESCENT WARD</v>
          </cell>
          <cell r="I295" t="str">
            <v>06WD153</v>
          </cell>
          <cell r="J295" t="str">
            <v>EQP.ROOM</v>
          </cell>
          <cell r="K295" t="str">
            <v>BMED</v>
          </cell>
          <cell r="L295" t="str">
            <v>Normal</v>
          </cell>
          <cell r="M295" t="str">
            <v>United States</v>
          </cell>
          <cell r="N295" t="str">
            <v>OHIO</v>
          </cell>
          <cell r="O295" t="str">
            <v>R244047311229905</v>
          </cell>
          <cell r="P295" t="str">
            <v>GPHS65005</v>
          </cell>
          <cell r="Q295" t="str">
            <v>Not Applicable</v>
          </cell>
          <cell r="R295" t="str">
            <v>OHIO</v>
          </cell>
          <cell r="S295" t="str">
            <v>Respimedic</v>
          </cell>
          <cell r="T295" t="str">
            <v>Functioning</v>
          </cell>
          <cell r="U295" t="str">
            <v>Asset</v>
          </cell>
          <cell r="V295">
            <v>920</v>
          </cell>
          <cell r="W295" t="str">
            <v>KEW</v>
          </cell>
          <cell r="X295" t="str">
            <v>01/09/2010</v>
          </cell>
          <cell r="Y295" t="str">
            <v>KEW</v>
          </cell>
          <cell r="Z295" t="str">
            <v>16/08/2013</v>
          </cell>
          <cell r="AA295" t="str">
            <v>15/08/2015</v>
          </cell>
          <cell r="AB295" t="str">
            <v>No</v>
          </cell>
          <cell r="AC295" t="str">
            <v>31/08/2013</v>
          </cell>
          <cell r="AD295" t="str">
            <v>Good</v>
          </cell>
          <cell r="AE295" t="str">
            <v>V4 - Decommissioned Installed Facility</v>
          </cell>
          <cell r="AF295">
            <v>42926</v>
          </cell>
          <cell r="AG295">
            <v>9.17</v>
          </cell>
          <cell r="AH295" t="str">
            <v>RI</v>
          </cell>
          <cell r="AI295" t="str">
            <v>Strands</v>
          </cell>
          <cell r="AJ295" t="str">
            <v>Not under maintenance</v>
          </cell>
        </row>
        <row r="296">
          <cell r="A296" t="str">
            <v>IKN401601</v>
          </cell>
          <cell r="B296">
            <v>1535</v>
          </cell>
          <cell r="C296" t="str">
            <v>Institut Kanser Negara</v>
          </cell>
          <cell r="D296" t="str">
            <v>KKM/IKN/H/13/1488</v>
          </cell>
          <cell r="E296" t="str">
            <v>13-325</v>
          </cell>
          <cell r="F296" t="str">
            <v>Regulators, Suction</v>
          </cell>
          <cell r="G296" t="str">
            <v>WD</v>
          </cell>
          <cell r="H296" t="str">
            <v>RT/ONCO PAED/ADOLESCENT WARD</v>
          </cell>
          <cell r="I296" t="str">
            <v>06WD124</v>
          </cell>
          <cell r="J296" t="str">
            <v>TREATMENT / PROCEDURE</v>
          </cell>
          <cell r="K296" t="str">
            <v>BMED</v>
          </cell>
          <cell r="L296" t="str">
            <v>Normal</v>
          </cell>
          <cell r="M296" t="str">
            <v>United States</v>
          </cell>
          <cell r="N296" t="str">
            <v>OHIO</v>
          </cell>
          <cell r="O296" t="str">
            <v>R244047311229905</v>
          </cell>
          <cell r="P296" t="str">
            <v>GPHS65009</v>
          </cell>
          <cell r="Q296" t="str">
            <v>Not Applicable</v>
          </cell>
          <cell r="R296" t="str">
            <v>OHIO</v>
          </cell>
          <cell r="S296" t="str">
            <v>Respimedic</v>
          </cell>
          <cell r="T296" t="str">
            <v>Functioning</v>
          </cell>
          <cell r="U296" t="str">
            <v>Asset</v>
          </cell>
          <cell r="V296">
            <v>920</v>
          </cell>
          <cell r="W296" t="str">
            <v>KEW</v>
          </cell>
          <cell r="X296" t="str">
            <v>01/09/2010</v>
          </cell>
          <cell r="Y296" t="str">
            <v>Estimate</v>
          </cell>
          <cell r="Z296" t="str">
            <v>16/08/2013</v>
          </cell>
          <cell r="AA296" t="str">
            <v>15/08/2015</v>
          </cell>
          <cell r="AB296" t="str">
            <v>No</v>
          </cell>
          <cell r="AC296" t="str">
            <v>31/08/2013</v>
          </cell>
          <cell r="AD296" t="str">
            <v>Good</v>
          </cell>
          <cell r="AE296" t="str">
            <v>V4 - Decommissioned Installed Facility</v>
          </cell>
          <cell r="AF296">
            <v>42926</v>
          </cell>
          <cell r="AG296">
            <v>9.17</v>
          </cell>
          <cell r="AH296" t="str">
            <v>RI</v>
          </cell>
          <cell r="AI296" t="str">
            <v>Strands</v>
          </cell>
          <cell r="AJ296" t="str">
            <v>Not under maintenance</v>
          </cell>
        </row>
        <row r="297">
          <cell r="A297" t="str">
            <v>IKN401602</v>
          </cell>
          <cell r="B297">
            <v>1536</v>
          </cell>
          <cell r="C297" t="str">
            <v>Institut Kanser Negara</v>
          </cell>
          <cell r="D297" t="str">
            <v>KKM/IKN/H/13/1491</v>
          </cell>
          <cell r="E297" t="str">
            <v>13-325</v>
          </cell>
          <cell r="F297" t="str">
            <v>Regulators, Suction</v>
          </cell>
          <cell r="G297" t="str">
            <v>WD</v>
          </cell>
          <cell r="H297" t="str">
            <v>RT/ONCO PAED/ADOLESCENT WARD</v>
          </cell>
          <cell r="I297" t="str">
            <v>06WD153</v>
          </cell>
          <cell r="J297" t="str">
            <v>EQP.ROOM</v>
          </cell>
          <cell r="K297" t="str">
            <v>BMED</v>
          </cell>
          <cell r="L297" t="str">
            <v>Normal</v>
          </cell>
          <cell r="M297" t="str">
            <v>United States</v>
          </cell>
          <cell r="N297" t="str">
            <v>OHIO</v>
          </cell>
          <cell r="O297" t="str">
            <v>R244047311229905</v>
          </cell>
          <cell r="P297" t="str">
            <v>GPHS65001</v>
          </cell>
          <cell r="Q297" t="str">
            <v>Not Applicable</v>
          </cell>
          <cell r="R297" t="str">
            <v>OHIO</v>
          </cell>
          <cell r="S297" t="str">
            <v>Respimedic</v>
          </cell>
          <cell r="T297" t="str">
            <v>Functioning</v>
          </cell>
          <cell r="U297" t="str">
            <v>Asset</v>
          </cell>
          <cell r="V297">
            <v>920</v>
          </cell>
          <cell r="W297" t="str">
            <v>KEW</v>
          </cell>
          <cell r="X297" t="str">
            <v>01/09/2010</v>
          </cell>
          <cell r="Y297" t="str">
            <v>KEW</v>
          </cell>
          <cell r="Z297" t="str">
            <v>16/08/2013</v>
          </cell>
          <cell r="AA297" t="str">
            <v>15/08/2015</v>
          </cell>
          <cell r="AB297" t="str">
            <v>No</v>
          </cell>
          <cell r="AC297" t="str">
            <v>31/08/2013</v>
          </cell>
          <cell r="AD297" t="str">
            <v>Good</v>
          </cell>
          <cell r="AE297" t="str">
            <v>V4 - Decommissioned Installed Facility</v>
          </cell>
          <cell r="AF297">
            <v>42927</v>
          </cell>
          <cell r="AG297">
            <v>9.17</v>
          </cell>
          <cell r="AH297" t="str">
            <v>RI</v>
          </cell>
          <cell r="AI297" t="str">
            <v>Strands</v>
          </cell>
          <cell r="AJ297" t="str">
            <v>Not under maintenance</v>
          </cell>
        </row>
        <row r="298">
          <cell r="A298" t="str">
            <v>IKN401603</v>
          </cell>
          <cell r="B298">
            <v>1537</v>
          </cell>
          <cell r="C298" t="str">
            <v>Institut Kanser Negara</v>
          </cell>
          <cell r="D298" t="e">
            <v>#N/A</v>
          </cell>
          <cell r="E298" t="str">
            <v>13-325</v>
          </cell>
          <cell r="F298" t="str">
            <v>Regulators, Suction</v>
          </cell>
          <cell r="G298" t="str">
            <v>WE</v>
          </cell>
          <cell r="H298" t="str">
            <v>RT/ONCO WARD 1 (F)</v>
          </cell>
          <cell r="I298" t="str">
            <v>07WE113</v>
          </cell>
          <cell r="J298" t="str">
            <v>EQUIPMENT ROOM</v>
          </cell>
          <cell r="K298" t="str">
            <v>BMED</v>
          </cell>
          <cell r="L298" t="str">
            <v>Normal</v>
          </cell>
          <cell r="M298" t="str">
            <v>United States</v>
          </cell>
          <cell r="N298" t="str">
            <v>OHIO</v>
          </cell>
          <cell r="O298" t="str">
            <v>R244047311229905</v>
          </cell>
          <cell r="P298" t="str">
            <v>GPHS65173</v>
          </cell>
          <cell r="Q298" t="str">
            <v>Not Applicable</v>
          </cell>
          <cell r="R298" t="str">
            <v>OHIO</v>
          </cell>
          <cell r="S298" t="str">
            <v>Respimedic</v>
          </cell>
          <cell r="T298" t="str">
            <v>Functioning</v>
          </cell>
          <cell r="U298" t="str">
            <v>Asset</v>
          </cell>
          <cell r="V298">
            <v>920</v>
          </cell>
          <cell r="W298" t="str">
            <v>KEW</v>
          </cell>
          <cell r="X298" t="str">
            <v>01/09/2010</v>
          </cell>
          <cell r="Y298" t="str">
            <v>KEW</v>
          </cell>
          <cell r="Z298" t="str">
            <v>16/08/2013</v>
          </cell>
          <cell r="AA298" t="str">
            <v>15/08/2015</v>
          </cell>
          <cell r="AB298" t="str">
            <v>No</v>
          </cell>
          <cell r="AC298" t="str">
            <v>31/08/2013</v>
          </cell>
          <cell r="AD298" t="str">
            <v>Good</v>
          </cell>
          <cell r="AE298" t="str">
            <v>V4 - Decommissioned Installed Facility</v>
          </cell>
          <cell r="AF298">
            <v>42927</v>
          </cell>
          <cell r="AG298">
            <v>9.17</v>
          </cell>
          <cell r="AH298" t="str">
            <v>RI</v>
          </cell>
          <cell r="AI298" t="str">
            <v>Not in contract</v>
          </cell>
          <cell r="AJ298" t="str">
            <v>Not under maintenance</v>
          </cell>
          <cell r="AK298" t="e">
            <v>#N/A</v>
          </cell>
        </row>
        <row r="299">
          <cell r="A299" t="str">
            <v>IKN401604</v>
          </cell>
          <cell r="B299">
            <v>1538</v>
          </cell>
          <cell r="C299" t="str">
            <v>Institut Kanser Negara</v>
          </cell>
          <cell r="D299" t="e">
            <v>#N/A</v>
          </cell>
          <cell r="E299" t="str">
            <v>13-325</v>
          </cell>
          <cell r="F299" t="str">
            <v>Regulators, Suction</v>
          </cell>
          <cell r="G299" t="str">
            <v>WE</v>
          </cell>
          <cell r="H299" t="str">
            <v>RT/ONCO WARD 1 (F)</v>
          </cell>
          <cell r="I299" t="str">
            <v>07WE113</v>
          </cell>
          <cell r="J299" t="str">
            <v>EQUIPMENT ROOM</v>
          </cell>
          <cell r="K299" t="str">
            <v>BMED</v>
          </cell>
          <cell r="L299" t="str">
            <v>Normal</v>
          </cell>
          <cell r="M299" t="str">
            <v>United States</v>
          </cell>
          <cell r="N299" t="str">
            <v>OHIO</v>
          </cell>
          <cell r="O299" t="str">
            <v>R244047311229905</v>
          </cell>
          <cell r="P299" t="str">
            <v>GPHS65096</v>
          </cell>
          <cell r="Q299" t="str">
            <v>Not Applicable</v>
          </cell>
          <cell r="R299" t="str">
            <v>OHIO</v>
          </cell>
          <cell r="S299" t="str">
            <v>Respimedic</v>
          </cell>
          <cell r="T299" t="str">
            <v>Functioning</v>
          </cell>
          <cell r="U299" t="str">
            <v>Asset</v>
          </cell>
          <cell r="V299">
            <v>920</v>
          </cell>
          <cell r="W299" t="str">
            <v>KEW</v>
          </cell>
          <cell r="X299" t="str">
            <v>01/09/2010</v>
          </cell>
          <cell r="Y299" t="str">
            <v>KEW</v>
          </cell>
          <cell r="Z299" t="str">
            <v>16/08/2013</v>
          </cell>
          <cell r="AA299" t="str">
            <v>15/08/2015</v>
          </cell>
          <cell r="AB299" t="str">
            <v>No</v>
          </cell>
          <cell r="AC299" t="str">
            <v>31/08/2013</v>
          </cell>
          <cell r="AD299" t="str">
            <v>Good</v>
          </cell>
          <cell r="AE299" t="str">
            <v>V4 - Decommissioned Installed Facility</v>
          </cell>
          <cell r="AF299">
            <v>42927</v>
          </cell>
          <cell r="AG299">
            <v>9.17</v>
          </cell>
          <cell r="AH299" t="str">
            <v>RI</v>
          </cell>
          <cell r="AI299" t="str">
            <v>Not in contract</v>
          </cell>
          <cell r="AJ299" t="str">
            <v>Not under maintenance</v>
          </cell>
          <cell r="AK299" t="e">
            <v>#N/A</v>
          </cell>
        </row>
        <row r="300">
          <cell r="A300" t="str">
            <v>IKN401605</v>
          </cell>
          <cell r="B300">
            <v>1539</v>
          </cell>
          <cell r="C300" t="str">
            <v>Institut Kanser Negara</v>
          </cell>
          <cell r="D300" t="str">
            <v>KKM/IKN/H/13/2239</v>
          </cell>
          <cell r="E300" t="str">
            <v>13-325</v>
          </cell>
          <cell r="F300" t="str">
            <v>Regulators, Suction</v>
          </cell>
          <cell r="G300" t="str">
            <v>WE</v>
          </cell>
          <cell r="H300" t="str">
            <v>RT/ONCO WARD 1 (F)</v>
          </cell>
          <cell r="I300" t="str">
            <v>07WE107</v>
          </cell>
          <cell r="J300" t="str">
            <v>TREATMENT / PROCESURE</v>
          </cell>
          <cell r="K300" t="str">
            <v>BMED</v>
          </cell>
          <cell r="L300" t="str">
            <v>Normal</v>
          </cell>
          <cell r="M300" t="str">
            <v>United States</v>
          </cell>
          <cell r="N300" t="str">
            <v>OHIO</v>
          </cell>
          <cell r="O300" t="str">
            <v>R244047311229905</v>
          </cell>
          <cell r="P300" t="str">
            <v>GPHS65197</v>
          </cell>
          <cell r="Q300" t="str">
            <v>Not Applicable</v>
          </cell>
          <cell r="R300" t="str">
            <v>OHIO</v>
          </cell>
          <cell r="S300" t="str">
            <v>Respimedic</v>
          </cell>
          <cell r="T300" t="str">
            <v>Functioning</v>
          </cell>
          <cell r="U300" t="str">
            <v>Asset</v>
          </cell>
          <cell r="V300">
            <v>920</v>
          </cell>
          <cell r="W300" t="str">
            <v>KEW</v>
          </cell>
          <cell r="X300" t="str">
            <v>01/09/2010</v>
          </cell>
          <cell r="Y300" t="str">
            <v>KEW</v>
          </cell>
          <cell r="Z300" t="str">
            <v>16/08/2013</v>
          </cell>
          <cell r="AA300" t="str">
            <v>15/08/2015</v>
          </cell>
          <cell r="AB300" t="str">
            <v>No</v>
          </cell>
          <cell r="AC300" t="str">
            <v>31/08/2013</v>
          </cell>
          <cell r="AD300" t="str">
            <v>Good</v>
          </cell>
          <cell r="AE300" t="str">
            <v>V4 - Decommissioned Installed Facility</v>
          </cell>
          <cell r="AF300">
            <v>42927</v>
          </cell>
          <cell r="AG300">
            <v>9.17</v>
          </cell>
          <cell r="AH300" t="str">
            <v>RI</v>
          </cell>
          <cell r="AI300" t="str">
            <v>Strands</v>
          </cell>
          <cell r="AJ300" t="str">
            <v>Not under maintenance</v>
          </cell>
        </row>
        <row r="301">
          <cell r="A301" t="str">
            <v>IKN401606</v>
          </cell>
          <cell r="B301">
            <v>1540</v>
          </cell>
          <cell r="C301" t="str">
            <v>Institut Kanser Negara</v>
          </cell>
          <cell r="D301" t="str">
            <v>KKM/IKN/H/13/2104</v>
          </cell>
          <cell r="E301" t="str">
            <v>13-325</v>
          </cell>
          <cell r="F301" t="str">
            <v>Regulators, Suction</v>
          </cell>
          <cell r="G301" t="str">
            <v>WE</v>
          </cell>
          <cell r="H301" t="str">
            <v>RT/ONCO WARD 1 (F)</v>
          </cell>
          <cell r="I301" t="str">
            <v>07WE113</v>
          </cell>
          <cell r="J301" t="str">
            <v>EQUIPMENT ROOM</v>
          </cell>
          <cell r="K301" t="str">
            <v>BMED</v>
          </cell>
          <cell r="L301" t="str">
            <v>Normal</v>
          </cell>
          <cell r="M301" t="str">
            <v>United States</v>
          </cell>
          <cell r="N301" t="str">
            <v>OHIO</v>
          </cell>
          <cell r="O301" t="str">
            <v>R244047311229905</v>
          </cell>
          <cell r="P301" t="str">
            <v>GPHS65196</v>
          </cell>
          <cell r="Q301" t="str">
            <v>Not Applicable</v>
          </cell>
          <cell r="R301" t="str">
            <v>OHIO</v>
          </cell>
          <cell r="S301" t="str">
            <v>Respimedic</v>
          </cell>
          <cell r="T301" t="str">
            <v>Functioning</v>
          </cell>
          <cell r="U301" t="str">
            <v>Asset</v>
          </cell>
          <cell r="V301">
            <v>920</v>
          </cell>
          <cell r="W301" t="str">
            <v>KEW</v>
          </cell>
          <cell r="X301" t="str">
            <v>01/09/2010</v>
          </cell>
          <cell r="Y301" t="str">
            <v>KEW</v>
          </cell>
          <cell r="Z301" t="str">
            <v>16/08/2013</v>
          </cell>
          <cell r="AA301" t="str">
            <v>15/08/2015</v>
          </cell>
          <cell r="AB301" t="str">
            <v>No</v>
          </cell>
          <cell r="AC301" t="str">
            <v>31/08/2013</v>
          </cell>
          <cell r="AD301" t="str">
            <v>Good</v>
          </cell>
          <cell r="AE301" t="str">
            <v>V4 - Decommissioned Installed Facility</v>
          </cell>
          <cell r="AF301">
            <v>42927</v>
          </cell>
          <cell r="AG301">
            <v>9.17</v>
          </cell>
          <cell r="AH301" t="str">
            <v>RI</v>
          </cell>
          <cell r="AI301" t="str">
            <v>Strands</v>
          </cell>
          <cell r="AJ301" t="str">
            <v>Not under maintenance</v>
          </cell>
        </row>
        <row r="302">
          <cell r="A302" t="str">
            <v>IKN401607</v>
          </cell>
          <cell r="B302">
            <v>1541</v>
          </cell>
          <cell r="C302" t="str">
            <v>Institut Kanser Negara</v>
          </cell>
          <cell r="D302" t="str">
            <v>KKM/IKN/H/13/2100</v>
          </cell>
          <cell r="E302" t="str">
            <v>13-325</v>
          </cell>
          <cell r="F302" t="str">
            <v>Regulators, Suction</v>
          </cell>
          <cell r="G302" t="str">
            <v>WE</v>
          </cell>
          <cell r="H302" t="str">
            <v>RT/ONCO WARD 1 (F)</v>
          </cell>
          <cell r="I302" t="str">
            <v>07WE113</v>
          </cell>
          <cell r="J302" t="str">
            <v>EQUIPMENT ROOM</v>
          </cell>
          <cell r="K302" t="str">
            <v>BMED</v>
          </cell>
          <cell r="L302" t="str">
            <v>Normal</v>
          </cell>
          <cell r="M302" t="str">
            <v>United States</v>
          </cell>
          <cell r="N302" t="str">
            <v>OHIO</v>
          </cell>
          <cell r="O302" t="str">
            <v>R244047311229905</v>
          </cell>
          <cell r="P302" t="str">
            <v>GPHS65189</v>
          </cell>
          <cell r="Q302" t="str">
            <v>Not Applicable</v>
          </cell>
          <cell r="R302" t="str">
            <v>OHIO</v>
          </cell>
          <cell r="S302" t="str">
            <v>Respimedic</v>
          </cell>
          <cell r="T302" t="str">
            <v>Functioning</v>
          </cell>
          <cell r="U302" t="str">
            <v>Asset</v>
          </cell>
          <cell r="V302">
            <v>920</v>
          </cell>
          <cell r="W302" t="str">
            <v>KEW</v>
          </cell>
          <cell r="X302" t="str">
            <v>01/09/2010</v>
          </cell>
          <cell r="Y302" t="str">
            <v>KEW</v>
          </cell>
          <cell r="Z302" t="str">
            <v>16/08/2013</v>
          </cell>
          <cell r="AA302" t="str">
            <v>15/08/2015</v>
          </cell>
          <cell r="AB302" t="str">
            <v>No</v>
          </cell>
          <cell r="AC302" t="str">
            <v>31/08/2013</v>
          </cell>
          <cell r="AD302" t="str">
            <v>Good</v>
          </cell>
          <cell r="AE302" t="str">
            <v>V4 - Decommissioned Installed Facility</v>
          </cell>
          <cell r="AF302">
            <v>42927</v>
          </cell>
          <cell r="AG302">
            <v>9.17</v>
          </cell>
          <cell r="AH302" t="str">
            <v>RI</v>
          </cell>
          <cell r="AI302" t="str">
            <v>Strands</v>
          </cell>
          <cell r="AJ302" t="str">
            <v>Not under maintenance</v>
          </cell>
        </row>
        <row r="303">
          <cell r="A303" t="str">
            <v>IKN401608</v>
          </cell>
          <cell r="B303">
            <v>1542</v>
          </cell>
          <cell r="C303" t="str">
            <v>Institut Kanser Negara</v>
          </cell>
          <cell r="D303" t="str">
            <v>KKM/IKN/H/13/2102</v>
          </cell>
          <cell r="E303" t="str">
            <v>13-325</v>
          </cell>
          <cell r="F303" t="str">
            <v>Regulators, Suction</v>
          </cell>
          <cell r="G303" t="str">
            <v>WE</v>
          </cell>
          <cell r="H303" t="str">
            <v>RT/ONCO WARD 1 (F)</v>
          </cell>
          <cell r="I303" t="str">
            <v>07WE123</v>
          </cell>
          <cell r="J303" t="str">
            <v>ISOLATION 2 (-VE)</v>
          </cell>
          <cell r="K303" t="str">
            <v>BMED</v>
          </cell>
          <cell r="L303" t="str">
            <v>Normal</v>
          </cell>
          <cell r="M303" t="str">
            <v>United States</v>
          </cell>
          <cell r="N303" t="str">
            <v>OHIO</v>
          </cell>
          <cell r="O303" t="str">
            <v>R244047311229905</v>
          </cell>
          <cell r="P303" t="str">
            <v>GPHS65192</v>
          </cell>
          <cell r="Q303" t="str">
            <v>Not Applicable</v>
          </cell>
          <cell r="R303" t="str">
            <v>OHIO</v>
          </cell>
          <cell r="S303" t="str">
            <v>Respimedic</v>
          </cell>
          <cell r="T303" t="str">
            <v>Functioning</v>
          </cell>
          <cell r="U303" t="str">
            <v>Asset</v>
          </cell>
          <cell r="V303">
            <v>920</v>
          </cell>
          <cell r="W303" t="str">
            <v>KEW</v>
          </cell>
          <cell r="X303" t="str">
            <v>01/09/2010</v>
          </cell>
          <cell r="Y303" t="str">
            <v>KEW</v>
          </cell>
          <cell r="Z303" t="str">
            <v>16/08/2013</v>
          </cell>
          <cell r="AA303" t="str">
            <v>15/08/2015</v>
          </cell>
          <cell r="AB303" t="str">
            <v>No</v>
          </cell>
          <cell r="AC303" t="str">
            <v>31/08/2013</v>
          </cell>
          <cell r="AD303" t="str">
            <v>Good</v>
          </cell>
          <cell r="AE303" t="str">
            <v>V4 - Decommissioned Installed Facility</v>
          </cell>
          <cell r="AF303">
            <v>42927</v>
          </cell>
          <cell r="AG303">
            <v>9.17</v>
          </cell>
          <cell r="AH303" t="str">
            <v>RI</v>
          </cell>
          <cell r="AI303" t="str">
            <v>Strands</v>
          </cell>
          <cell r="AJ303" t="str">
            <v>Not under maintenance</v>
          </cell>
        </row>
        <row r="304">
          <cell r="A304" t="str">
            <v>IKN401609</v>
          </cell>
          <cell r="B304">
            <v>1543</v>
          </cell>
          <cell r="C304" t="str">
            <v>Institut Kanser Negara</v>
          </cell>
          <cell r="D304" t="str">
            <v>KKM/IKN/H/13/2101</v>
          </cell>
          <cell r="E304" t="str">
            <v>13-325</v>
          </cell>
          <cell r="F304" t="str">
            <v>Regulators, Suction</v>
          </cell>
          <cell r="G304" t="str">
            <v>WE</v>
          </cell>
          <cell r="H304" t="str">
            <v>RT/ONCO WARD 1 (F)</v>
          </cell>
          <cell r="I304" t="str">
            <v>07WE120</v>
          </cell>
          <cell r="J304" t="str">
            <v>ISOLATION 1 (+)</v>
          </cell>
          <cell r="K304" t="str">
            <v>BMED</v>
          </cell>
          <cell r="L304" t="str">
            <v>Normal</v>
          </cell>
          <cell r="M304" t="str">
            <v>United States</v>
          </cell>
          <cell r="N304" t="str">
            <v>OHIO</v>
          </cell>
          <cell r="O304" t="str">
            <v>R244047311229905</v>
          </cell>
          <cell r="P304" t="str">
            <v>GPHS65185</v>
          </cell>
          <cell r="Q304" t="str">
            <v>Not Applicable</v>
          </cell>
          <cell r="R304" t="str">
            <v>OHIO</v>
          </cell>
          <cell r="S304" t="str">
            <v>Respimedic</v>
          </cell>
          <cell r="T304" t="str">
            <v>Functioning</v>
          </cell>
          <cell r="U304" t="str">
            <v>Asset</v>
          </cell>
          <cell r="V304">
            <v>920</v>
          </cell>
          <cell r="W304" t="str">
            <v>KEW</v>
          </cell>
          <cell r="X304" t="str">
            <v>01/09/2010</v>
          </cell>
          <cell r="Y304" t="str">
            <v>KEW</v>
          </cell>
          <cell r="Z304" t="str">
            <v>16/08/2013</v>
          </cell>
          <cell r="AA304" t="str">
            <v>15/08/2015</v>
          </cell>
          <cell r="AB304" t="str">
            <v>No</v>
          </cell>
          <cell r="AC304" t="str">
            <v>31/08/2013</v>
          </cell>
          <cell r="AD304" t="str">
            <v>Good</v>
          </cell>
          <cell r="AE304" t="str">
            <v>V4 - Decommissioned Installed Facility</v>
          </cell>
          <cell r="AF304">
            <v>42927</v>
          </cell>
          <cell r="AG304">
            <v>9.17</v>
          </cell>
          <cell r="AH304" t="str">
            <v>RI</v>
          </cell>
          <cell r="AI304" t="str">
            <v>Strands</v>
          </cell>
          <cell r="AJ304" t="str">
            <v>Not under maintenance</v>
          </cell>
        </row>
        <row r="305">
          <cell r="A305" t="str">
            <v>IKN401610</v>
          </cell>
          <cell r="B305">
            <v>1544</v>
          </cell>
          <cell r="C305" t="str">
            <v>Institut Kanser Negara</v>
          </cell>
          <cell r="D305" t="str">
            <v>KKM/IKN/H/13/2097</v>
          </cell>
          <cell r="E305" t="str">
            <v>13-325</v>
          </cell>
          <cell r="F305" t="str">
            <v>Regulators, Suction</v>
          </cell>
          <cell r="G305" t="str">
            <v>WE</v>
          </cell>
          <cell r="H305" t="str">
            <v>RT/ONCO WARD 1 (F)</v>
          </cell>
          <cell r="I305" t="str">
            <v>07WE113</v>
          </cell>
          <cell r="J305" t="str">
            <v>EQUIPMENT ROOM</v>
          </cell>
          <cell r="K305" t="str">
            <v>BMED</v>
          </cell>
          <cell r="L305" t="str">
            <v>Normal</v>
          </cell>
          <cell r="M305" t="str">
            <v>United States</v>
          </cell>
          <cell r="N305" t="str">
            <v>OHIO</v>
          </cell>
          <cell r="O305" t="str">
            <v>R244047311229905</v>
          </cell>
          <cell r="P305" t="str">
            <v>GPHS65124</v>
          </cell>
          <cell r="Q305" t="str">
            <v>Not Applicable</v>
          </cell>
          <cell r="R305" t="str">
            <v>OHIO</v>
          </cell>
          <cell r="S305" t="str">
            <v>Respimedic</v>
          </cell>
          <cell r="T305" t="str">
            <v>Functioning</v>
          </cell>
          <cell r="U305" t="str">
            <v>Asset</v>
          </cell>
          <cell r="V305">
            <v>920</v>
          </cell>
          <cell r="W305" t="str">
            <v>KEW</v>
          </cell>
          <cell r="X305" t="str">
            <v>01/09/2010</v>
          </cell>
          <cell r="Y305" t="str">
            <v>Estimate</v>
          </cell>
          <cell r="Z305" t="str">
            <v>16/08/2013</v>
          </cell>
          <cell r="AA305" t="str">
            <v>15/08/2015</v>
          </cell>
          <cell r="AB305" t="str">
            <v>No</v>
          </cell>
          <cell r="AC305" t="str">
            <v>31/08/2013</v>
          </cell>
          <cell r="AD305" t="str">
            <v>Good</v>
          </cell>
          <cell r="AE305" t="str">
            <v>V4 - Decommissioned Installed Facility</v>
          </cell>
          <cell r="AF305">
            <v>42927</v>
          </cell>
          <cell r="AG305">
            <v>9.17</v>
          </cell>
          <cell r="AH305" t="str">
            <v>RI</v>
          </cell>
          <cell r="AI305" t="str">
            <v>Strands</v>
          </cell>
          <cell r="AJ305" t="str">
            <v>Not under maintenance</v>
          </cell>
        </row>
        <row r="306">
          <cell r="A306" t="str">
            <v>IKN401611</v>
          </cell>
          <cell r="B306">
            <v>1545</v>
          </cell>
          <cell r="C306" t="str">
            <v>Institut Kanser Negara</v>
          </cell>
          <cell r="D306" t="str">
            <v>KKM/IKN/H/13/2236</v>
          </cell>
          <cell r="E306" t="str">
            <v>13-325</v>
          </cell>
          <cell r="F306" t="str">
            <v>Regulators, Suction</v>
          </cell>
          <cell r="G306" t="str">
            <v>WE</v>
          </cell>
          <cell r="H306" t="str">
            <v>RT/ONCO WARD 1 (F)</v>
          </cell>
          <cell r="I306" t="str">
            <v>07WE113</v>
          </cell>
          <cell r="J306" t="str">
            <v>EQUIPMENT ROOM</v>
          </cell>
          <cell r="K306" t="str">
            <v>BMED</v>
          </cell>
          <cell r="L306" t="str">
            <v>Normal</v>
          </cell>
          <cell r="M306" t="str">
            <v>United States</v>
          </cell>
          <cell r="N306" t="str">
            <v>OHIO</v>
          </cell>
          <cell r="O306" t="str">
            <v>R244047311229905</v>
          </cell>
          <cell r="P306" t="str">
            <v>GPHS65089</v>
          </cell>
          <cell r="Q306" t="str">
            <v>Not Applicable</v>
          </cell>
          <cell r="R306" t="str">
            <v>OHIO</v>
          </cell>
          <cell r="S306" t="str">
            <v>Respimedic</v>
          </cell>
          <cell r="T306" t="str">
            <v>Functioning</v>
          </cell>
          <cell r="U306" t="str">
            <v>Asset</v>
          </cell>
          <cell r="V306">
            <v>920</v>
          </cell>
          <cell r="W306" t="str">
            <v>KEW</v>
          </cell>
          <cell r="X306" t="str">
            <v>01/09/2010</v>
          </cell>
          <cell r="Y306" t="str">
            <v>KEW</v>
          </cell>
          <cell r="Z306" t="str">
            <v>16/08/2013</v>
          </cell>
          <cell r="AA306" t="str">
            <v>15/08/2015</v>
          </cell>
          <cell r="AB306" t="str">
            <v>No</v>
          </cell>
          <cell r="AC306" t="str">
            <v>31/08/2013</v>
          </cell>
          <cell r="AD306" t="str">
            <v>Good</v>
          </cell>
          <cell r="AE306" t="str">
            <v>V4 - Decommissioned Installed Facility</v>
          </cell>
          <cell r="AF306">
            <v>42927</v>
          </cell>
          <cell r="AG306">
            <v>9.17</v>
          </cell>
          <cell r="AH306" t="str">
            <v>RI</v>
          </cell>
          <cell r="AI306" t="str">
            <v>Strands</v>
          </cell>
          <cell r="AJ306" t="str">
            <v>Not under maintenance</v>
          </cell>
        </row>
        <row r="307">
          <cell r="A307" t="str">
            <v>IKN401620</v>
          </cell>
          <cell r="B307">
            <v>1554</v>
          </cell>
          <cell r="C307" t="str">
            <v>Institut Kanser Negara</v>
          </cell>
          <cell r="D307" t="e">
            <v>#N/A</v>
          </cell>
          <cell r="E307" t="str">
            <v>13-325</v>
          </cell>
          <cell r="F307" t="str">
            <v>Regulators, Suction</v>
          </cell>
          <cell r="G307" t="str">
            <v>WJ</v>
          </cell>
          <cell r="H307" t="str">
            <v>MULTIDISCIPLINE WARD 1</v>
          </cell>
          <cell r="I307" t="str">
            <v>09WJ126</v>
          </cell>
          <cell r="J307" t="str">
            <v>EQUIPT. ROOM</v>
          </cell>
          <cell r="K307" t="str">
            <v>BMED</v>
          </cell>
          <cell r="L307" t="str">
            <v>Normal</v>
          </cell>
          <cell r="M307" t="str">
            <v>United States</v>
          </cell>
          <cell r="N307" t="str">
            <v>OHIO</v>
          </cell>
          <cell r="O307" t="str">
            <v>R244047311229905</v>
          </cell>
          <cell r="P307" t="str">
            <v>GPHS65079</v>
          </cell>
          <cell r="Q307" t="str">
            <v>Not Applicable</v>
          </cell>
          <cell r="R307" t="str">
            <v>OHIO</v>
          </cell>
          <cell r="S307" t="str">
            <v>Respimedic</v>
          </cell>
          <cell r="T307" t="str">
            <v>Functioning</v>
          </cell>
          <cell r="U307" t="str">
            <v>Asset</v>
          </cell>
          <cell r="V307">
            <v>920</v>
          </cell>
          <cell r="W307" t="str">
            <v>KEW</v>
          </cell>
          <cell r="X307" t="str">
            <v>01/09/2010</v>
          </cell>
          <cell r="Y307" t="str">
            <v>KEW</v>
          </cell>
          <cell r="Z307" t="str">
            <v>16/08/2013</v>
          </cell>
          <cell r="AA307" t="str">
            <v>15/08/2015</v>
          </cell>
          <cell r="AB307" t="str">
            <v>No</v>
          </cell>
          <cell r="AC307" t="str">
            <v>31/08/2013</v>
          </cell>
          <cell r="AD307" t="str">
            <v>Good</v>
          </cell>
          <cell r="AE307" t="str">
            <v>V4 - Decommissioned Installed Facility</v>
          </cell>
          <cell r="AF307">
            <v>42955</v>
          </cell>
          <cell r="AG307">
            <v>9.17</v>
          </cell>
          <cell r="AH307" t="str">
            <v>RI</v>
          </cell>
          <cell r="AI307" t="str">
            <v>Not in contract</v>
          </cell>
          <cell r="AJ307" t="str">
            <v>Not under maintenance</v>
          </cell>
          <cell r="AK307" t="e">
            <v>#N/A</v>
          </cell>
        </row>
        <row r="308">
          <cell r="A308" t="str">
            <v>IKN401621</v>
          </cell>
          <cell r="B308">
            <v>1555</v>
          </cell>
          <cell r="C308" t="str">
            <v>Institut Kanser Negara</v>
          </cell>
          <cell r="D308" t="e">
            <v>#N/A</v>
          </cell>
          <cell r="E308" t="str">
            <v>13-325</v>
          </cell>
          <cell r="F308" t="str">
            <v>Regulators, Suction</v>
          </cell>
          <cell r="G308" t="str">
            <v>WJ</v>
          </cell>
          <cell r="H308" t="str">
            <v>MULTIDISCIPLINE WARD 1</v>
          </cell>
          <cell r="I308" t="str">
            <v>09WJ126</v>
          </cell>
          <cell r="J308" t="str">
            <v>EQUIPT. ROOM</v>
          </cell>
          <cell r="K308" t="str">
            <v>BMED</v>
          </cell>
          <cell r="L308" t="str">
            <v>Normal</v>
          </cell>
          <cell r="M308" t="str">
            <v>United States</v>
          </cell>
          <cell r="N308" t="str">
            <v>OHIO</v>
          </cell>
          <cell r="O308" t="str">
            <v>R244047311229905</v>
          </cell>
          <cell r="P308" t="str">
            <v>GPHS65088</v>
          </cell>
          <cell r="Q308" t="str">
            <v>Not Applicable</v>
          </cell>
          <cell r="R308" t="str">
            <v>OHIO</v>
          </cell>
          <cell r="S308" t="str">
            <v>Respimedic</v>
          </cell>
          <cell r="T308" t="str">
            <v>Functioning</v>
          </cell>
          <cell r="U308" t="str">
            <v>Asset</v>
          </cell>
          <cell r="V308">
            <v>920</v>
          </cell>
          <cell r="W308" t="str">
            <v>KEW</v>
          </cell>
          <cell r="X308" t="str">
            <v>01/09/2010</v>
          </cell>
          <cell r="Y308" t="str">
            <v>KEW</v>
          </cell>
          <cell r="Z308" t="str">
            <v>16/08/2013</v>
          </cell>
          <cell r="AA308" t="str">
            <v>15/08/2015</v>
          </cell>
          <cell r="AB308" t="str">
            <v>No</v>
          </cell>
          <cell r="AC308" t="str">
            <v>31/08/2013</v>
          </cell>
          <cell r="AD308" t="str">
            <v>Good</v>
          </cell>
          <cell r="AE308" t="str">
            <v>V4 - Decommissioned Installed Facility</v>
          </cell>
          <cell r="AF308">
            <v>42955</v>
          </cell>
          <cell r="AG308">
            <v>9.17</v>
          </cell>
          <cell r="AH308" t="str">
            <v>RI</v>
          </cell>
          <cell r="AI308" t="str">
            <v>Not in contract</v>
          </cell>
          <cell r="AJ308" t="str">
            <v>Not under maintenance</v>
          </cell>
          <cell r="AK308" t="e">
            <v>#N/A</v>
          </cell>
        </row>
        <row r="309">
          <cell r="A309" t="str">
            <v>IKN401622</v>
          </cell>
          <cell r="B309">
            <v>1556</v>
          </cell>
          <cell r="C309" t="str">
            <v>Institut Kanser Negara</v>
          </cell>
          <cell r="D309" t="e">
            <v>#N/A</v>
          </cell>
          <cell r="E309" t="str">
            <v>13-325</v>
          </cell>
          <cell r="F309" t="str">
            <v>Regulators, Suction</v>
          </cell>
          <cell r="G309" t="str">
            <v>WJ</v>
          </cell>
          <cell r="H309" t="str">
            <v>MULTIDISCIPLINE WARD 1</v>
          </cell>
          <cell r="I309" t="str">
            <v>09WJ222</v>
          </cell>
          <cell r="J309" t="str">
            <v>TREATMENT</v>
          </cell>
          <cell r="K309" t="str">
            <v>BMED</v>
          </cell>
          <cell r="L309" t="str">
            <v>Normal</v>
          </cell>
          <cell r="M309" t="str">
            <v>United States</v>
          </cell>
          <cell r="N309" t="str">
            <v>OHIO</v>
          </cell>
          <cell r="O309" t="str">
            <v>R244047311229905</v>
          </cell>
          <cell r="P309" t="str">
            <v>GPHS65017</v>
          </cell>
          <cell r="Q309" t="str">
            <v>Not Applicable</v>
          </cell>
          <cell r="R309" t="str">
            <v>OHIO</v>
          </cell>
          <cell r="S309" t="str">
            <v>Respimedic</v>
          </cell>
          <cell r="T309" t="str">
            <v>Functioning</v>
          </cell>
          <cell r="U309" t="str">
            <v>Asset</v>
          </cell>
          <cell r="V309">
            <v>920</v>
          </cell>
          <cell r="W309" t="str">
            <v>KEW</v>
          </cell>
          <cell r="X309" t="str">
            <v>01/09/2010</v>
          </cell>
          <cell r="Y309" t="str">
            <v>KEW</v>
          </cell>
          <cell r="Z309" t="str">
            <v>16/08/2013</v>
          </cell>
          <cell r="AA309" t="str">
            <v>15/08/2015</v>
          </cell>
          <cell r="AB309" t="str">
            <v>No</v>
          </cell>
          <cell r="AC309" t="str">
            <v>31/08/2013</v>
          </cell>
          <cell r="AD309" t="str">
            <v>Good</v>
          </cell>
          <cell r="AE309" t="str">
            <v>V4 - Decommissioned Installed Facility</v>
          </cell>
          <cell r="AF309">
            <v>42955</v>
          </cell>
          <cell r="AG309">
            <v>9.17</v>
          </cell>
          <cell r="AH309" t="str">
            <v>RI</v>
          </cell>
          <cell r="AI309" t="str">
            <v>Not in contract</v>
          </cell>
          <cell r="AJ309" t="str">
            <v>Not under maintenance</v>
          </cell>
          <cell r="AK309" t="e">
            <v>#N/A</v>
          </cell>
        </row>
        <row r="310">
          <cell r="A310" t="str">
            <v>IKN401623</v>
          </cell>
          <cell r="B310">
            <v>1557</v>
          </cell>
          <cell r="C310" t="str">
            <v>Institut Kanser Negara</v>
          </cell>
          <cell r="D310" t="e">
            <v>#N/A</v>
          </cell>
          <cell r="E310" t="str">
            <v>13-325</v>
          </cell>
          <cell r="F310" t="str">
            <v>Regulators, Suction</v>
          </cell>
          <cell r="G310" t="str">
            <v>WJ</v>
          </cell>
          <cell r="H310" t="str">
            <v>MULTIDISCIPLINE WARD 1</v>
          </cell>
          <cell r="I310" t="str">
            <v>09WJ222</v>
          </cell>
          <cell r="J310" t="str">
            <v>TREATMENT</v>
          </cell>
          <cell r="K310" t="str">
            <v>BMED</v>
          </cell>
          <cell r="L310" t="str">
            <v>Normal</v>
          </cell>
          <cell r="M310" t="str">
            <v>United States</v>
          </cell>
          <cell r="N310" t="str">
            <v>OHIO</v>
          </cell>
          <cell r="O310" t="str">
            <v>R244047311229905</v>
          </cell>
          <cell r="P310" t="str">
            <v>GPHS65154</v>
          </cell>
          <cell r="Q310" t="str">
            <v>Not Applicable</v>
          </cell>
          <cell r="R310" t="str">
            <v>OHIO</v>
          </cell>
          <cell r="S310" t="str">
            <v>Respimedic</v>
          </cell>
          <cell r="T310" t="str">
            <v>Functioning</v>
          </cell>
          <cell r="U310" t="str">
            <v>Asset</v>
          </cell>
          <cell r="V310">
            <v>920</v>
          </cell>
          <cell r="W310" t="str">
            <v>KEW</v>
          </cell>
          <cell r="X310" t="str">
            <v>01/09/2010</v>
          </cell>
          <cell r="Y310" t="str">
            <v>KEW</v>
          </cell>
          <cell r="Z310" t="str">
            <v>16/08/2013</v>
          </cell>
          <cell r="AA310" t="str">
            <v>15/08/2015</v>
          </cell>
          <cell r="AB310" t="str">
            <v>No</v>
          </cell>
          <cell r="AC310" t="str">
            <v>31/08/2013</v>
          </cell>
          <cell r="AD310" t="str">
            <v>Good</v>
          </cell>
          <cell r="AE310" t="str">
            <v>V4 - Decommissioned Installed Facility</v>
          </cell>
          <cell r="AF310">
            <v>42955</v>
          </cell>
          <cell r="AG310">
            <v>9.17</v>
          </cell>
          <cell r="AH310" t="str">
            <v>RI</v>
          </cell>
          <cell r="AI310" t="str">
            <v>Not in contract</v>
          </cell>
          <cell r="AJ310" t="str">
            <v>Not under maintenance</v>
          </cell>
          <cell r="AK310" t="e">
            <v>#N/A</v>
          </cell>
        </row>
        <row r="311">
          <cell r="A311" t="str">
            <v>IKN401624</v>
          </cell>
          <cell r="B311">
            <v>1558</v>
          </cell>
          <cell r="C311" t="str">
            <v>Institut Kanser Negara</v>
          </cell>
          <cell r="D311" t="e">
            <v>#N/A</v>
          </cell>
          <cell r="E311" t="str">
            <v>13-325</v>
          </cell>
          <cell r="F311" t="str">
            <v>Regulators, Suction</v>
          </cell>
          <cell r="G311" t="str">
            <v>WJ</v>
          </cell>
          <cell r="H311" t="str">
            <v>MULTIDISCIPLINE WARD 1</v>
          </cell>
          <cell r="I311" t="str">
            <v>09WJ222</v>
          </cell>
          <cell r="J311" t="str">
            <v>TREATMENT</v>
          </cell>
          <cell r="K311" t="str">
            <v>BMED</v>
          </cell>
          <cell r="L311" t="str">
            <v>Normal</v>
          </cell>
          <cell r="M311" t="str">
            <v>United States</v>
          </cell>
          <cell r="N311" t="str">
            <v>OHIO</v>
          </cell>
          <cell r="O311" t="str">
            <v>R244047311229905</v>
          </cell>
          <cell r="P311" t="str">
            <v>GPHS65018</v>
          </cell>
          <cell r="Q311" t="str">
            <v>Not Applicable</v>
          </cell>
          <cell r="R311" t="str">
            <v>OHIO</v>
          </cell>
          <cell r="S311" t="str">
            <v>Respimedic</v>
          </cell>
          <cell r="T311" t="str">
            <v>Functioning</v>
          </cell>
          <cell r="U311" t="str">
            <v>Asset</v>
          </cell>
          <cell r="V311">
            <v>920</v>
          </cell>
          <cell r="W311" t="str">
            <v>KEW</v>
          </cell>
          <cell r="X311" t="str">
            <v>01/09/2010</v>
          </cell>
          <cell r="Y311" t="str">
            <v>KEW</v>
          </cell>
          <cell r="Z311" t="str">
            <v>16/08/2013</v>
          </cell>
          <cell r="AA311" t="str">
            <v>15/08/2015</v>
          </cell>
          <cell r="AB311" t="str">
            <v>No</v>
          </cell>
          <cell r="AC311" t="str">
            <v>31/08/2013</v>
          </cell>
          <cell r="AD311" t="str">
            <v>Good</v>
          </cell>
          <cell r="AE311" t="str">
            <v>V4 - Decommissioned Installed Facility</v>
          </cell>
          <cell r="AF311">
            <v>42955</v>
          </cell>
          <cell r="AG311">
            <v>9.17</v>
          </cell>
          <cell r="AH311" t="str">
            <v>RI</v>
          </cell>
          <cell r="AI311" t="str">
            <v>Not in contract</v>
          </cell>
          <cell r="AJ311" t="str">
            <v>Not under maintenance</v>
          </cell>
          <cell r="AK311" t="e">
            <v>#N/A</v>
          </cell>
        </row>
        <row r="312">
          <cell r="A312" t="str">
            <v>IKN401625</v>
          </cell>
          <cell r="B312">
            <v>1559</v>
          </cell>
          <cell r="C312" t="str">
            <v>Institut Kanser Negara</v>
          </cell>
          <cell r="D312" t="e">
            <v>#N/A</v>
          </cell>
          <cell r="E312" t="str">
            <v>13-325</v>
          </cell>
          <cell r="F312" t="str">
            <v>Regulators, Suction</v>
          </cell>
          <cell r="G312" t="str">
            <v>WJ</v>
          </cell>
          <cell r="H312" t="str">
            <v>MULTIDISCIPLINE WARD 1</v>
          </cell>
          <cell r="I312" t="str">
            <v>09WJ130</v>
          </cell>
          <cell r="J312" t="str">
            <v>TREATMENT/ PROCEDURE</v>
          </cell>
          <cell r="K312" t="str">
            <v>BMED</v>
          </cell>
          <cell r="L312" t="str">
            <v>Normal</v>
          </cell>
          <cell r="M312" t="str">
            <v>United States</v>
          </cell>
          <cell r="N312" t="str">
            <v>OHIO</v>
          </cell>
          <cell r="O312" t="str">
            <v>R244047311229905</v>
          </cell>
          <cell r="P312" t="str">
            <v>GPHS65164</v>
          </cell>
          <cell r="Q312" t="str">
            <v>Not Applicable</v>
          </cell>
          <cell r="R312" t="str">
            <v>OHIO</v>
          </cell>
          <cell r="S312" t="str">
            <v>Respimedic</v>
          </cell>
          <cell r="T312" t="str">
            <v>Functioning</v>
          </cell>
          <cell r="U312" t="str">
            <v>Asset</v>
          </cell>
          <cell r="V312">
            <v>920</v>
          </cell>
          <cell r="W312" t="str">
            <v>KEW</v>
          </cell>
          <cell r="X312" t="str">
            <v>01/09/2010</v>
          </cell>
          <cell r="Y312" t="str">
            <v>KEW</v>
          </cell>
          <cell r="Z312" t="str">
            <v>16/08/2013</v>
          </cell>
          <cell r="AA312" t="str">
            <v>15/08/2015</v>
          </cell>
          <cell r="AB312" t="str">
            <v>No</v>
          </cell>
          <cell r="AC312" t="str">
            <v>31/08/2013</v>
          </cell>
          <cell r="AD312" t="str">
            <v>Good</v>
          </cell>
          <cell r="AE312" t="str">
            <v>V4 - Decommissioned Installed Facility</v>
          </cell>
          <cell r="AF312">
            <v>42955</v>
          </cell>
          <cell r="AG312">
            <v>9.17</v>
          </cell>
          <cell r="AH312" t="str">
            <v>RI</v>
          </cell>
          <cell r="AI312" t="str">
            <v>Not in contract</v>
          </cell>
          <cell r="AJ312" t="str">
            <v>Not under maintenance</v>
          </cell>
          <cell r="AK312" t="e">
            <v>#N/A</v>
          </cell>
        </row>
        <row r="313">
          <cell r="A313" t="str">
            <v>IKN401626</v>
          </cell>
          <cell r="B313">
            <v>1560</v>
          </cell>
          <cell r="C313" t="str">
            <v>Institut Kanser Negara</v>
          </cell>
          <cell r="D313" t="e">
            <v>#N/A</v>
          </cell>
          <cell r="E313" t="str">
            <v>13-325</v>
          </cell>
          <cell r="F313" t="str">
            <v>Regulators, Suction</v>
          </cell>
          <cell r="G313" t="str">
            <v>WJ</v>
          </cell>
          <cell r="H313" t="str">
            <v>MULTIDISCIPLINE WARD 1</v>
          </cell>
          <cell r="I313" t="str">
            <v>09WJ222</v>
          </cell>
          <cell r="J313" t="str">
            <v>TREATMENT</v>
          </cell>
          <cell r="K313" t="str">
            <v>BMED</v>
          </cell>
          <cell r="L313" t="str">
            <v>Normal</v>
          </cell>
          <cell r="M313" t="str">
            <v>United States</v>
          </cell>
          <cell r="N313" t="str">
            <v>OHIO</v>
          </cell>
          <cell r="O313" t="str">
            <v>R244047311229905</v>
          </cell>
          <cell r="P313" t="str">
            <v>GPHS65151</v>
          </cell>
          <cell r="Q313" t="str">
            <v>Not Applicable</v>
          </cell>
          <cell r="R313" t="str">
            <v>OHIO</v>
          </cell>
          <cell r="S313" t="str">
            <v>Respimedic</v>
          </cell>
          <cell r="T313" t="str">
            <v>Functioning</v>
          </cell>
          <cell r="U313" t="str">
            <v>Asset</v>
          </cell>
          <cell r="V313">
            <v>920</v>
          </cell>
          <cell r="W313" t="str">
            <v>KEW</v>
          </cell>
          <cell r="X313" t="str">
            <v>01/09/2010</v>
          </cell>
          <cell r="Y313" t="str">
            <v>KEW</v>
          </cell>
          <cell r="Z313" t="str">
            <v>16/08/2013</v>
          </cell>
          <cell r="AA313" t="str">
            <v>15/08/2015</v>
          </cell>
          <cell r="AB313" t="str">
            <v>No</v>
          </cell>
          <cell r="AC313" t="str">
            <v>31/08/2013</v>
          </cell>
          <cell r="AD313" t="str">
            <v>Good</v>
          </cell>
          <cell r="AE313" t="str">
            <v>V4 - Decommissioned Installed Facility</v>
          </cell>
          <cell r="AF313">
            <v>42955</v>
          </cell>
          <cell r="AG313">
            <v>9.17</v>
          </cell>
          <cell r="AH313" t="str">
            <v>RI</v>
          </cell>
          <cell r="AI313" t="str">
            <v>Not in contract</v>
          </cell>
          <cell r="AJ313" t="str">
            <v>Not under maintenance</v>
          </cell>
          <cell r="AK313" t="e">
            <v>#N/A</v>
          </cell>
        </row>
        <row r="314">
          <cell r="A314" t="str">
            <v>IKN401627</v>
          </cell>
          <cell r="B314">
            <v>1561</v>
          </cell>
          <cell r="C314" t="str">
            <v>Institut Kanser Negara</v>
          </cell>
          <cell r="D314" t="e">
            <v>#N/A</v>
          </cell>
          <cell r="E314" t="str">
            <v>13-325</v>
          </cell>
          <cell r="F314" t="str">
            <v>Regulators, Suction</v>
          </cell>
          <cell r="G314" t="str">
            <v>WJ</v>
          </cell>
          <cell r="H314" t="str">
            <v>MULTIDISCIPLINE WARD 1</v>
          </cell>
          <cell r="I314" t="str">
            <v>09WJ126</v>
          </cell>
          <cell r="J314" t="str">
            <v>EQUIPT. ROOM</v>
          </cell>
          <cell r="K314" t="str">
            <v>BMED</v>
          </cell>
          <cell r="L314" t="str">
            <v>Normal</v>
          </cell>
          <cell r="M314" t="str">
            <v>United States</v>
          </cell>
          <cell r="N314" t="str">
            <v>OHIO</v>
          </cell>
          <cell r="O314" t="str">
            <v>R244047311229905</v>
          </cell>
          <cell r="P314" t="str">
            <v>GPHS65119</v>
          </cell>
          <cell r="Q314" t="str">
            <v>Not Applicable</v>
          </cell>
          <cell r="R314" t="str">
            <v>OHIO</v>
          </cell>
          <cell r="S314" t="str">
            <v>Respimedic</v>
          </cell>
          <cell r="T314" t="str">
            <v>Functioning</v>
          </cell>
          <cell r="U314" t="str">
            <v>Asset</v>
          </cell>
          <cell r="V314">
            <v>920</v>
          </cell>
          <cell r="W314" t="str">
            <v>KEW</v>
          </cell>
          <cell r="X314" t="str">
            <v>01/09/2010</v>
          </cell>
          <cell r="Y314" t="str">
            <v>KEW</v>
          </cell>
          <cell r="Z314" t="str">
            <v>16/08/2013</v>
          </cell>
          <cell r="AA314" t="str">
            <v>15/08/2015</v>
          </cell>
          <cell r="AB314" t="str">
            <v>No</v>
          </cell>
          <cell r="AC314" t="str">
            <v>31/08/2013</v>
          </cell>
          <cell r="AD314" t="str">
            <v>Good</v>
          </cell>
          <cell r="AE314" t="str">
            <v>V4 - Decommissioned Installed Facility</v>
          </cell>
          <cell r="AF314">
            <v>42955</v>
          </cell>
          <cell r="AG314">
            <v>9.17</v>
          </cell>
          <cell r="AH314" t="str">
            <v>RI</v>
          </cell>
          <cell r="AI314" t="str">
            <v>Not in contract</v>
          </cell>
          <cell r="AJ314" t="str">
            <v>Not under maintenance</v>
          </cell>
          <cell r="AK314" t="e">
            <v>#N/A</v>
          </cell>
        </row>
        <row r="315">
          <cell r="A315" t="str">
            <v>IKN401628</v>
          </cell>
          <cell r="B315">
            <v>1562</v>
          </cell>
          <cell r="C315" t="str">
            <v>Institut Kanser Negara</v>
          </cell>
          <cell r="D315" t="e">
            <v>#N/A</v>
          </cell>
          <cell r="E315" t="str">
            <v>13-325</v>
          </cell>
          <cell r="F315" t="str">
            <v>Regulators, Suction</v>
          </cell>
          <cell r="G315" t="str">
            <v>WJ</v>
          </cell>
          <cell r="H315" t="str">
            <v>MULTIDISCIPLINE WARD 1</v>
          </cell>
          <cell r="I315" t="str">
            <v>09WJ126</v>
          </cell>
          <cell r="J315" t="str">
            <v>EQUIPT. ROOM</v>
          </cell>
          <cell r="K315" t="str">
            <v>BMED</v>
          </cell>
          <cell r="L315" t="str">
            <v>Normal</v>
          </cell>
          <cell r="M315" t="str">
            <v>United States</v>
          </cell>
          <cell r="N315" t="str">
            <v>OHIO</v>
          </cell>
          <cell r="O315" t="str">
            <v>R244047311229905</v>
          </cell>
          <cell r="P315" t="str">
            <v>GPHS65080</v>
          </cell>
          <cell r="Q315" t="str">
            <v>Not Applicable</v>
          </cell>
          <cell r="R315" t="str">
            <v>OHIO</v>
          </cell>
          <cell r="S315" t="str">
            <v>Respimedic</v>
          </cell>
          <cell r="T315" t="str">
            <v>Functioning</v>
          </cell>
          <cell r="U315" t="str">
            <v>Asset</v>
          </cell>
          <cell r="V315">
            <v>920</v>
          </cell>
          <cell r="W315" t="str">
            <v>KEW</v>
          </cell>
          <cell r="X315" t="str">
            <v>01/09/2010</v>
          </cell>
          <cell r="Y315" t="str">
            <v>KEW</v>
          </cell>
          <cell r="Z315" t="str">
            <v>16/08/2013</v>
          </cell>
          <cell r="AA315" t="str">
            <v>15/08/2015</v>
          </cell>
          <cell r="AB315" t="str">
            <v>No</v>
          </cell>
          <cell r="AC315" t="str">
            <v>31/08/2013</v>
          </cell>
          <cell r="AD315" t="str">
            <v>Good</v>
          </cell>
          <cell r="AE315" t="str">
            <v>V4 - Decommissioned Installed Facility</v>
          </cell>
          <cell r="AF315">
            <v>42955</v>
          </cell>
          <cell r="AG315">
            <v>9.17</v>
          </cell>
          <cell r="AH315" t="str">
            <v>RI</v>
          </cell>
          <cell r="AI315" t="str">
            <v>Not in contract</v>
          </cell>
          <cell r="AJ315" t="str">
            <v>Not under maintenance</v>
          </cell>
          <cell r="AK315" t="e">
            <v>#N/A</v>
          </cell>
        </row>
        <row r="316">
          <cell r="A316" t="str">
            <v>IKN401629</v>
          </cell>
          <cell r="B316">
            <v>1563</v>
          </cell>
          <cell r="C316" t="str">
            <v>Institut Kanser Negara</v>
          </cell>
          <cell r="D316" t="e">
            <v>#N/A</v>
          </cell>
          <cell r="E316" t="str">
            <v>13-325</v>
          </cell>
          <cell r="F316" t="str">
            <v>Regulators, Suction</v>
          </cell>
          <cell r="G316" t="str">
            <v>WJ</v>
          </cell>
          <cell r="H316" t="str">
            <v>MULTIDISCIPLINE WARD 1</v>
          </cell>
          <cell r="I316" t="str">
            <v>09WJ126</v>
          </cell>
          <cell r="J316" t="str">
            <v>EQUIPT. ROOM</v>
          </cell>
          <cell r="K316" t="str">
            <v>BMED</v>
          </cell>
          <cell r="L316" t="str">
            <v>Normal</v>
          </cell>
          <cell r="M316" t="str">
            <v>United States</v>
          </cell>
          <cell r="N316" t="str">
            <v>OHIO</v>
          </cell>
          <cell r="O316" t="str">
            <v>R244047311229905</v>
          </cell>
          <cell r="P316" t="str">
            <v>GPHS65175</v>
          </cell>
          <cell r="Q316" t="str">
            <v>Not Applicable</v>
          </cell>
          <cell r="R316" t="str">
            <v>OHIO</v>
          </cell>
          <cell r="S316" t="str">
            <v>Respimedic</v>
          </cell>
          <cell r="T316" t="str">
            <v>Functioning</v>
          </cell>
          <cell r="U316" t="str">
            <v>Asset</v>
          </cell>
          <cell r="V316">
            <v>920</v>
          </cell>
          <cell r="W316" t="str">
            <v>KEW</v>
          </cell>
          <cell r="X316" t="str">
            <v>01/09/2010</v>
          </cell>
          <cell r="Y316" t="str">
            <v>KEW</v>
          </cell>
          <cell r="Z316" t="str">
            <v>16/08/2013</v>
          </cell>
          <cell r="AA316" t="str">
            <v>15/08/2015</v>
          </cell>
          <cell r="AB316" t="str">
            <v>No</v>
          </cell>
          <cell r="AC316" t="str">
            <v>31/08/2013</v>
          </cell>
          <cell r="AD316" t="str">
            <v>Good</v>
          </cell>
          <cell r="AE316" t="str">
            <v>V4 - Decommissioned Installed Facility</v>
          </cell>
          <cell r="AF316">
            <v>42955</v>
          </cell>
          <cell r="AG316">
            <v>9.17</v>
          </cell>
          <cell r="AH316" t="str">
            <v>RI</v>
          </cell>
          <cell r="AI316" t="str">
            <v>Not in contract</v>
          </cell>
          <cell r="AJ316" t="str">
            <v>Not under maintenance</v>
          </cell>
          <cell r="AK316" t="e">
            <v>#N/A</v>
          </cell>
        </row>
        <row r="317">
          <cell r="A317" t="str">
            <v>IKN401637</v>
          </cell>
          <cell r="B317">
            <v>1567</v>
          </cell>
          <cell r="C317" t="str">
            <v>Institut Kanser Negara</v>
          </cell>
          <cell r="D317" t="e">
            <v>#N/A</v>
          </cell>
          <cell r="E317" t="str">
            <v>13-325</v>
          </cell>
          <cell r="F317" t="str">
            <v>Regulators, Suction</v>
          </cell>
          <cell r="G317" t="str">
            <v>WE</v>
          </cell>
          <cell r="H317" t="str">
            <v>RT/ONCO WARD 1 (F)</v>
          </cell>
          <cell r="I317" t="str">
            <v>07WE107</v>
          </cell>
          <cell r="J317" t="str">
            <v>TREATMENT / PROCESURE</v>
          </cell>
          <cell r="K317" t="str">
            <v>BMED</v>
          </cell>
          <cell r="L317" t="str">
            <v>Normal</v>
          </cell>
          <cell r="M317" t="str">
            <v>United States</v>
          </cell>
          <cell r="N317" t="str">
            <v>OHIO</v>
          </cell>
          <cell r="O317" t="str">
            <v>R244047311229905</v>
          </cell>
          <cell r="P317" t="str">
            <v>GPHS65084</v>
          </cell>
          <cell r="Q317" t="str">
            <v>Not Applicable</v>
          </cell>
          <cell r="R317" t="str">
            <v>OHIO</v>
          </cell>
          <cell r="S317" t="str">
            <v>Respimedic</v>
          </cell>
          <cell r="T317" t="str">
            <v>Functioning</v>
          </cell>
          <cell r="U317" t="str">
            <v>Asset</v>
          </cell>
          <cell r="V317">
            <v>920</v>
          </cell>
          <cell r="W317" t="str">
            <v>KEW</v>
          </cell>
          <cell r="X317" t="str">
            <v>01/09/2010</v>
          </cell>
          <cell r="Y317" t="str">
            <v>KEW</v>
          </cell>
          <cell r="Z317" t="str">
            <v>16/08/2013</v>
          </cell>
          <cell r="AA317" t="str">
            <v>15/08/2015</v>
          </cell>
          <cell r="AB317" t="str">
            <v>No</v>
          </cell>
          <cell r="AC317" t="str">
            <v>31/08/2013</v>
          </cell>
          <cell r="AD317" t="str">
            <v>Good</v>
          </cell>
          <cell r="AE317" t="str">
            <v>V4 - Decommissioned Installed Facility</v>
          </cell>
          <cell r="AF317">
            <v>42927</v>
          </cell>
          <cell r="AG317">
            <v>9.17</v>
          </cell>
          <cell r="AH317" t="str">
            <v>RI</v>
          </cell>
          <cell r="AI317" t="str">
            <v>Not in contract</v>
          </cell>
          <cell r="AJ317" t="str">
            <v>Not under maintenance</v>
          </cell>
          <cell r="AK317" t="e">
            <v>#N/A</v>
          </cell>
        </row>
        <row r="318">
          <cell r="A318" t="str">
            <v>IKN401638</v>
          </cell>
          <cell r="B318">
            <v>1568</v>
          </cell>
          <cell r="C318" t="str">
            <v>Institut Kanser Negara</v>
          </cell>
          <cell r="D318" t="e">
            <v>#N/A</v>
          </cell>
          <cell r="E318" t="str">
            <v>13-325</v>
          </cell>
          <cell r="F318" t="str">
            <v>Regulators, Suction</v>
          </cell>
          <cell r="G318" t="str">
            <v>WF</v>
          </cell>
          <cell r="H318" t="str">
            <v>RT/ONCO WARD 2 (F)</v>
          </cell>
          <cell r="I318" t="str">
            <v>07WF121</v>
          </cell>
          <cell r="J318" t="str">
            <v>EQUIPMENT ROOM</v>
          </cell>
          <cell r="K318" t="str">
            <v>BMED</v>
          </cell>
          <cell r="L318" t="str">
            <v>Normal</v>
          </cell>
          <cell r="M318" t="str">
            <v>United States</v>
          </cell>
          <cell r="N318" t="str">
            <v>OHIO</v>
          </cell>
          <cell r="O318" t="str">
            <v>R244047311229905</v>
          </cell>
          <cell r="P318" t="str">
            <v>GPHS65086</v>
          </cell>
          <cell r="Q318" t="str">
            <v>Not Applicable</v>
          </cell>
          <cell r="R318" t="str">
            <v>OHIO</v>
          </cell>
          <cell r="S318" t="str">
            <v>Respimedic</v>
          </cell>
          <cell r="T318" t="str">
            <v>Functioning</v>
          </cell>
          <cell r="U318" t="str">
            <v>Asset</v>
          </cell>
          <cell r="V318">
            <v>920</v>
          </cell>
          <cell r="W318" t="str">
            <v>KEW</v>
          </cell>
          <cell r="X318" t="str">
            <v>01/09/2010</v>
          </cell>
          <cell r="Y318" t="str">
            <v>KEW</v>
          </cell>
          <cell r="Z318" t="str">
            <v>16/08/2013</v>
          </cell>
          <cell r="AA318" t="str">
            <v>15/08/2015</v>
          </cell>
          <cell r="AB318" t="str">
            <v>No</v>
          </cell>
          <cell r="AC318" t="str">
            <v>31/08/2013</v>
          </cell>
          <cell r="AD318" t="str">
            <v>Good</v>
          </cell>
          <cell r="AE318" t="str">
            <v>V4 - Decommissioned Installed Facility</v>
          </cell>
          <cell r="AF318">
            <v>42928</v>
          </cell>
          <cell r="AG318">
            <v>9.17</v>
          </cell>
          <cell r="AH318" t="str">
            <v>RI</v>
          </cell>
          <cell r="AI318" t="str">
            <v>Not in contract</v>
          </cell>
          <cell r="AJ318" t="str">
            <v>Not under maintenance</v>
          </cell>
          <cell r="AK318" t="e">
            <v>#N/A</v>
          </cell>
        </row>
        <row r="319">
          <cell r="A319" t="str">
            <v>IKN401639</v>
          </cell>
          <cell r="B319">
            <v>1569</v>
          </cell>
          <cell r="C319" t="str">
            <v>Institut Kanser Negara</v>
          </cell>
          <cell r="D319" t="e">
            <v>#N/A</v>
          </cell>
          <cell r="E319" t="str">
            <v>13-325</v>
          </cell>
          <cell r="F319" t="str">
            <v>Regulators, Suction</v>
          </cell>
          <cell r="G319" t="str">
            <v>WF</v>
          </cell>
          <cell r="H319" t="str">
            <v>RT/ONCO WARD 2 (F)</v>
          </cell>
          <cell r="I319" t="str">
            <v>07WF121</v>
          </cell>
          <cell r="J319" t="str">
            <v>EQUIPMENT ROOM</v>
          </cell>
          <cell r="K319" t="str">
            <v>BMED</v>
          </cell>
          <cell r="L319" t="str">
            <v>Normal</v>
          </cell>
          <cell r="M319" t="str">
            <v>United States</v>
          </cell>
          <cell r="N319" t="str">
            <v>OHIO</v>
          </cell>
          <cell r="O319" t="str">
            <v>R244047311229905</v>
          </cell>
          <cell r="P319" t="str">
            <v>GPHS65087</v>
          </cell>
          <cell r="Q319" t="str">
            <v>Not Applicable</v>
          </cell>
          <cell r="R319" t="str">
            <v>OHIO</v>
          </cell>
          <cell r="S319" t="str">
            <v>Respimedic</v>
          </cell>
          <cell r="T319" t="str">
            <v>Functioning</v>
          </cell>
          <cell r="U319" t="str">
            <v>Asset</v>
          </cell>
          <cell r="V319">
            <v>920</v>
          </cell>
          <cell r="W319" t="str">
            <v>KEW</v>
          </cell>
          <cell r="X319" t="str">
            <v>01/09/2010</v>
          </cell>
          <cell r="Y319" t="str">
            <v>KEW</v>
          </cell>
          <cell r="Z319" t="str">
            <v>16/08/2013</v>
          </cell>
          <cell r="AA319" t="str">
            <v>15/08/2015</v>
          </cell>
          <cell r="AB319" t="str">
            <v>No</v>
          </cell>
          <cell r="AC319" t="str">
            <v>31/08/2013</v>
          </cell>
          <cell r="AD319" t="str">
            <v>Good</v>
          </cell>
          <cell r="AE319" t="str">
            <v>V4 - Decommissioned Installed Facility</v>
          </cell>
          <cell r="AF319">
            <v>42928</v>
          </cell>
          <cell r="AG319">
            <v>9.17</v>
          </cell>
          <cell r="AH319" t="str">
            <v>RI</v>
          </cell>
          <cell r="AI319" t="str">
            <v>Not in contract</v>
          </cell>
          <cell r="AJ319" t="str">
            <v>Not under maintenance</v>
          </cell>
          <cell r="AK319" t="e">
            <v>#N/A</v>
          </cell>
        </row>
        <row r="320">
          <cell r="A320" t="str">
            <v>IKN401640</v>
          </cell>
          <cell r="B320">
            <v>1570</v>
          </cell>
          <cell r="C320" t="str">
            <v>Institut Kanser Negara</v>
          </cell>
          <cell r="D320" t="e">
            <v>#N/A</v>
          </cell>
          <cell r="E320" t="str">
            <v>13-325</v>
          </cell>
          <cell r="F320" t="str">
            <v>Regulators, Suction</v>
          </cell>
          <cell r="G320" t="str">
            <v>WF</v>
          </cell>
          <cell r="H320" t="str">
            <v>RT/ONCO WARD 2 (F)</v>
          </cell>
          <cell r="I320" t="str">
            <v>07WF121</v>
          </cell>
          <cell r="J320" t="str">
            <v>EQUIPMENT ROOM</v>
          </cell>
          <cell r="K320" t="str">
            <v>BMED</v>
          </cell>
          <cell r="L320" t="str">
            <v>Normal</v>
          </cell>
          <cell r="M320" t="str">
            <v>United States</v>
          </cell>
          <cell r="N320" t="str">
            <v>OHIO</v>
          </cell>
          <cell r="O320" t="str">
            <v>R244047311229905</v>
          </cell>
          <cell r="P320" t="str">
            <v>GPHS65093</v>
          </cell>
          <cell r="Q320" t="str">
            <v>Not Applicable</v>
          </cell>
          <cell r="R320" t="str">
            <v>OHIO</v>
          </cell>
          <cell r="S320" t="str">
            <v>Respimedic</v>
          </cell>
          <cell r="T320" t="str">
            <v>Functioning</v>
          </cell>
          <cell r="U320" t="str">
            <v>Asset</v>
          </cell>
          <cell r="V320">
            <v>920</v>
          </cell>
          <cell r="W320" t="str">
            <v>KEW</v>
          </cell>
          <cell r="X320" t="str">
            <v>01/09/2010</v>
          </cell>
          <cell r="Y320" t="str">
            <v>KEW</v>
          </cell>
          <cell r="Z320" t="str">
            <v>16/08/2013</v>
          </cell>
          <cell r="AA320" t="str">
            <v>15/08/2015</v>
          </cell>
          <cell r="AB320" t="str">
            <v>No</v>
          </cell>
          <cell r="AC320" t="str">
            <v>31/08/2013</v>
          </cell>
          <cell r="AD320" t="str">
            <v>Good</v>
          </cell>
          <cell r="AE320" t="str">
            <v>V4 - Decommissioned Installed Facility</v>
          </cell>
          <cell r="AF320">
            <v>42928</v>
          </cell>
          <cell r="AG320">
            <v>9.17</v>
          </cell>
          <cell r="AH320" t="str">
            <v>RI</v>
          </cell>
          <cell r="AI320" t="str">
            <v>Not in contract</v>
          </cell>
          <cell r="AJ320" t="str">
            <v>Not under maintenance</v>
          </cell>
          <cell r="AK320" t="e">
            <v>#N/A</v>
          </cell>
        </row>
        <row r="321">
          <cell r="A321" t="str">
            <v>IKN401641</v>
          </cell>
          <cell r="B321">
            <v>1571</v>
          </cell>
          <cell r="C321" t="str">
            <v>Institut Kanser Negara</v>
          </cell>
          <cell r="D321" t="e">
            <v>#N/A</v>
          </cell>
          <cell r="E321" t="str">
            <v>13-325</v>
          </cell>
          <cell r="F321" t="str">
            <v>Regulators, Suction</v>
          </cell>
          <cell r="G321" t="str">
            <v>WF</v>
          </cell>
          <cell r="H321" t="str">
            <v>RT/ONCO WARD 2 (F)</v>
          </cell>
          <cell r="I321" t="str">
            <v>07WF113</v>
          </cell>
          <cell r="J321" t="str">
            <v>ISOLATION 1 (+VE)</v>
          </cell>
          <cell r="K321" t="str">
            <v>BMED</v>
          </cell>
          <cell r="L321" t="str">
            <v>Normal</v>
          </cell>
          <cell r="M321" t="str">
            <v>United States</v>
          </cell>
          <cell r="N321" t="str">
            <v>OHIO</v>
          </cell>
          <cell r="O321" t="str">
            <v>R244047311229905</v>
          </cell>
          <cell r="P321" t="str">
            <v>GPHS65092</v>
          </cell>
          <cell r="Q321" t="str">
            <v>Not Applicable</v>
          </cell>
          <cell r="R321" t="str">
            <v>OHIO</v>
          </cell>
          <cell r="S321" t="str">
            <v>Respimedic</v>
          </cell>
          <cell r="T321" t="str">
            <v>Functioning</v>
          </cell>
          <cell r="U321" t="str">
            <v>Asset</v>
          </cell>
          <cell r="V321">
            <v>920</v>
          </cell>
          <cell r="W321" t="str">
            <v>KEW</v>
          </cell>
          <cell r="X321" t="str">
            <v>01/09/2010</v>
          </cell>
          <cell r="Y321" t="str">
            <v>KEW</v>
          </cell>
          <cell r="Z321" t="str">
            <v>16/08/2013</v>
          </cell>
          <cell r="AA321" t="str">
            <v>15/08/2015</v>
          </cell>
          <cell r="AB321" t="str">
            <v>No</v>
          </cell>
          <cell r="AC321" t="str">
            <v>31/08/2013</v>
          </cell>
          <cell r="AD321" t="str">
            <v>Good</v>
          </cell>
          <cell r="AE321" t="str">
            <v>V4 - Decommissioned Installed Facility</v>
          </cell>
          <cell r="AF321">
            <v>42928</v>
          </cell>
          <cell r="AG321">
            <v>9.17</v>
          </cell>
          <cell r="AH321" t="str">
            <v>RI</v>
          </cell>
          <cell r="AI321" t="str">
            <v>Not in contract</v>
          </cell>
          <cell r="AJ321" t="str">
            <v>Not under maintenance</v>
          </cell>
          <cell r="AK321" t="e">
            <v>#N/A</v>
          </cell>
        </row>
        <row r="322">
          <cell r="A322" t="str">
            <v>IKN401642</v>
          </cell>
          <cell r="B322">
            <v>1572</v>
          </cell>
          <cell r="C322" t="str">
            <v>Institut Kanser Negara</v>
          </cell>
          <cell r="D322" t="e">
            <v>#N/A</v>
          </cell>
          <cell r="E322" t="str">
            <v>13-325</v>
          </cell>
          <cell r="F322" t="str">
            <v>Regulators, Suction</v>
          </cell>
          <cell r="G322" t="str">
            <v>WF</v>
          </cell>
          <cell r="H322" t="str">
            <v>RT/ONCO WARD 2 (F)</v>
          </cell>
          <cell r="I322" t="str">
            <v>07WF107</v>
          </cell>
          <cell r="J322" t="str">
            <v>TREATMENT / PROCEDDURE</v>
          </cell>
          <cell r="K322" t="str">
            <v>BMED</v>
          </cell>
          <cell r="L322" t="str">
            <v>Normal</v>
          </cell>
          <cell r="M322" t="str">
            <v>United States</v>
          </cell>
          <cell r="N322" t="str">
            <v>OHIO</v>
          </cell>
          <cell r="O322" t="str">
            <v>R244047311229905</v>
          </cell>
          <cell r="P322" t="str">
            <v>GPHS65090</v>
          </cell>
          <cell r="Q322" t="str">
            <v>Not Applicable</v>
          </cell>
          <cell r="R322" t="str">
            <v>OHIO</v>
          </cell>
          <cell r="S322" t="str">
            <v>Respimedic</v>
          </cell>
          <cell r="T322" t="str">
            <v>Functioning</v>
          </cell>
          <cell r="U322" t="str">
            <v>Asset</v>
          </cell>
          <cell r="V322">
            <v>920</v>
          </cell>
          <cell r="W322" t="str">
            <v>KEW</v>
          </cell>
          <cell r="X322" t="str">
            <v>01/09/2010</v>
          </cell>
          <cell r="Y322" t="str">
            <v>KEW</v>
          </cell>
          <cell r="Z322" t="str">
            <v>16/08/2013</v>
          </cell>
          <cell r="AA322" t="str">
            <v>15/08/2015</v>
          </cell>
          <cell r="AB322" t="str">
            <v>No</v>
          </cell>
          <cell r="AC322" t="str">
            <v>31/08/2013</v>
          </cell>
          <cell r="AD322" t="str">
            <v>Good</v>
          </cell>
          <cell r="AE322" t="str">
            <v>V4 - Decommissioned Installed Facility</v>
          </cell>
          <cell r="AF322">
            <v>42928</v>
          </cell>
          <cell r="AG322">
            <v>9.17</v>
          </cell>
          <cell r="AH322" t="str">
            <v>RI</v>
          </cell>
          <cell r="AI322" t="str">
            <v>Not in contract</v>
          </cell>
          <cell r="AJ322" t="str">
            <v>Not under maintenance</v>
          </cell>
          <cell r="AK322" t="e">
            <v>#N/A</v>
          </cell>
        </row>
        <row r="323">
          <cell r="A323" t="str">
            <v>IKN401643</v>
          </cell>
          <cell r="B323">
            <v>1573</v>
          </cell>
          <cell r="C323" t="str">
            <v>Institut Kanser Negara</v>
          </cell>
          <cell r="D323" t="e">
            <v>#N/A</v>
          </cell>
          <cell r="E323" t="str">
            <v>13-325</v>
          </cell>
          <cell r="F323" t="str">
            <v>Regulators, Suction</v>
          </cell>
          <cell r="G323" t="str">
            <v>WF</v>
          </cell>
          <cell r="H323" t="str">
            <v>RT/ONCO WARD 2 (F)</v>
          </cell>
          <cell r="I323" t="str">
            <v>07WF121</v>
          </cell>
          <cell r="J323" t="str">
            <v>EQUIPMENT ROOM</v>
          </cell>
          <cell r="K323" t="str">
            <v>BMED</v>
          </cell>
          <cell r="L323" t="str">
            <v>Normal</v>
          </cell>
          <cell r="M323" t="str">
            <v>United States</v>
          </cell>
          <cell r="N323" t="str">
            <v>OHIO</v>
          </cell>
          <cell r="O323" t="str">
            <v>R244047311229905</v>
          </cell>
          <cell r="P323" t="str">
            <v>GPHS65187</v>
          </cell>
          <cell r="Q323" t="str">
            <v>Not Applicable</v>
          </cell>
          <cell r="R323" t="str">
            <v>OHIO</v>
          </cell>
          <cell r="S323" t="str">
            <v>Respimedic</v>
          </cell>
          <cell r="T323" t="str">
            <v>Functioning</v>
          </cell>
          <cell r="U323" t="str">
            <v>Asset</v>
          </cell>
          <cell r="V323">
            <v>920</v>
          </cell>
          <cell r="W323" t="str">
            <v>KEW</v>
          </cell>
          <cell r="X323" t="str">
            <v>01/09/2010</v>
          </cell>
          <cell r="Y323" t="str">
            <v>KEW</v>
          </cell>
          <cell r="Z323" t="str">
            <v>16/08/2013</v>
          </cell>
          <cell r="AA323" t="str">
            <v>15/08/2015</v>
          </cell>
          <cell r="AB323" t="str">
            <v>No</v>
          </cell>
          <cell r="AC323" t="str">
            <v>31/08/2013</v>
          </cell>
          <cell r="AD323" t="str">
            <v>Good</v>
          </cell>
          <cell r="AE323" t="str">
            <v>V4 - Decommissioned Installed Facility</v>
          </cell>
          <cell r="AF323">
            <v>42928</v>
          </cell>
          <cell r="AG323">
            <v>9.17</v>
          </cell>
          <cell r="AH323" t="str">
            <v>RI</v>
          </cell>
          <cell r="AI323" t="str">
            <v>Not in contract</v>
          </cell>
          <cell r="AJ323" t="str">
            <v>Not under maintenance</v>
          </cell>
          <cell r="AK323" t="e">
            <v>#N/A</v>
          </cell>
        </row>
        <row r="324">
          <cell r="A324" t="str">
            <v>IKN401644</v>
          </cell>
          <cell r="B324">
            <v>1574</v>
          </cell>
          <cell r="C324" t="str">
            <v>Institut Kanser Negara</v>
          </cell>
          <cell r="D324" t="e">
            <v>#N/A</v>
          </cell>
          <cell r="E324" t="str">
            <v>13-325</v>
          </cell>
          <cell r="F324" t="str">
            <v>Regulators, Suction</v>
          </cell>
          <cell r="G324" t="str">
            <v>WF</v>
          </cell>
          <cell r="H324" t="str">
            <v>RT/ONCO WARD 2 (F)</v>
          </cell>
          <cell r="I324" t="str">
            <v>07WF121</v>
          </cell>
          <cell r="J324" t="str">
            <v>EQUIPMENT ROOM</v>
          </cell>
          <cell r="K324" t="str">
            <v>BMED</v>
          </cell>
          <cell r="L324" t="str">
            <v>Normal</v>
          </cell>
          <cell r="M324" t="str">
            <v>United States</v>
          </cell>
          <cell r="N324" t="str">
            <v>OHIO</v>
          </cell>
          <cell r="O324" t="str">
            <v>R244047311229905</v>
          </cell>
          <cell r="P324" t="str">
            <v>GPHS65144</v>
          </cell>
          <cell r="Q324" t="str">
            <v>Not Applicable</v>
          </cell>
          <cell r="R324" t="str">
            <v>OHIO</v>
          </cell>
          <cell r="S324" t="str">
            <v>Respimedic</v>
          </cell>
          <cell r="T324" t="str">
            <v>Functioning</v>
          </cell>
          <cell r="U324" t="str">
            <v>Asset</v>
          </cell>
          <cell r="V324">
            <v>920</v>
          </cell>
          <cell r="W324" t="str">
            <v>KEW</v>
          </cell>
          <cell r="X324" t="str">
            <v>01/09/2010</v>
          </cell>
          <cell r="Y324" t="str">
            <v>KEW</v>
          </cell>
          <cell r="Z324" t="str">
            <v>16/08/2013</v>
          </cell>
          <cell r="AA324" t="str">
            <v>15/08/2015</v>
          </cell>
          <cell r="AB324" t="str">
            <v>No</v>
          </cell>
          <cell r="AC324" t="str">
            <v>31/08/2013</v>
          </cell>
          <cell r="AD324" t="str">
            <v>Good</v>
          </cell>
          <cell r="AE324" t="str">
            <v>V4 - Decommissioned Installed Facility</v>
          </cell>
          <cell r="AF324">
            <v>42927</v>
          </cell>
          <cell r="AG324">
            <v>9.17</v>
          </cell>
          <cell r="AH324" t="str">
            <v>RI</v>
          </cell>
          <cell r="AI324" t="str">
            <v>Not in contract</v>
          </cell>
          <cell r="AJ324" t="str">
            <v>Not under maintenance</v>
          </cell>
          <cell r="AK324" t="e">
            <v>#N/A</v>
          </cell>
        </row>
        <row r="325">
          <cell r="A325" t="str">
            <v>IKN401645</v>
          </cell>
          <cell r="B325">
            <v>1575</v>
          </cell>
          <cell r="C325" t="str">
            <v>Institut Kanser Negara</v>
          </cell>
          <cell r="D325" t="e">
            <v>#N/A</v>
          </cell>
          <cell r="E325" t="str">
            <v>13-325</v>
          </cell>
          <cell r="F325" t="str">
            <v>Regulators, Suction</v>
          </cell>
          <cell r="G325" t="str">
            <v>WF</v>
          </cell>
          <cell r="H325" t="str">
            <v>RT/ONCO WARD 2 (F)</v>
          </cell>
          <cell r="I325" t="str">
            <v>07WF121</v>
          </cell>
          <cell r="J325" t="str">
            <v>EQUIPMENT ROOM</v>
          </cell>
          <cell r="K325" t="str">
            <v>BMED</v>
          </cell>
          <cell r="L325" t="str">
            <v>Normal</v>
          </cell>
          <cell r="M325" t="str">
            <v>United States</v>
          </cell>
          <cell r="N325" t="str">
            <v>OHIO</v>
          </cell>
          <cell r="O325" t="str">
            <v>R244047311229905</v>
          </cell>
          <cell r="P325" t="str">
            <v>GPHS65148</v>
          </cell>
          <cell r="Q325" t="str">
            <v>Not Applicable</v>
          </cell>
          <cell r="R325" t="str">
            <v>OHIO</v>
          </cell>
          <cell r="S325" t="str">
            <v>Respimedic</v>
          </cell>
          <cell r="T325" t="str">
            <v>Functioning</v>
          </cell>
          <cell r="U325" t="str">
            <v>Asset</v>
          </cell>
          <cell r="V325">
            <v>920</v>
          </cell>
          <cell r="W325" t="str">
            <v>KEW</v>
          </cell>
          <cell r="X325" t="str">
            <v>01/09/2010</v>
          </cell>
          <cell r="Y325" t="str">
            <v>KEW</v>
          </cell>
          <cell r="Z325" t="str">
            <v>16/08/2013</v>
          </cell>
          <cell r="AA325" t="str">
            <v>15/08/2015</v>
          </cell>
          <cell r="AB325" t="str">
            <v>No</v>
          </cell>
          <cell r="AC325" t="str">
            <v>31/08/2013</v>
          </cell>
          <cell r="AD325" t="str">
            <v>Good</v>
          </cell>
          <cell r="AE325" t="str">
            <v>V4 - Decommissioned Installed Facility</v>
          </cell>
          <cell r="AF325">
            <v>42927</v>
          </cell>
          <cell r="AG325">
            <v>9.17</v>
          </cell>
          <cell r="AH325" t="str">
            <v>RI</v>
          </cell>
          <cell r="AI325" t="str">
            <v>Not in contract</v>
          </cell>
          <cell r="AJ325" t="str">
            <v>Not under maintenance</v>
          </cell>
          <cell r="AK325" t="e">
            <v>#N/A</v>
          </cell>
        </row>
        <row r="326">
          <cell r="A326" t="str">
            <v>IKN401646</v>
          </cell>
          <cell r="B326">
            <v>1576</v>
          </cell>
          <cell r="C326" t="str">
            <v>Institut Kanser Negara</v>
          </cell>
          <cell r="D326" t="e">
            <v>#N/A</v>
          </cell>
          <cell r="E326" t="str">
            <v>13-325</v>
          </cell>
          <cell r="F326" t="str">
            <v>Regulators, Suction</v>
          </cell>
          <cell r="G326" t="str">
            <v>WF</v>
          </cell>
          <cell r="H326" t="str">
            <v>RT/ONCO WARD 2 (F)</v>
          </cell>
          <cell r="I326" t="str">
            <v>07WF121</v>
          </cell>
          <cell r="J326" t="str">
            <v>EQUIPMENT ROOM</v>
          </cell>
          <cell r="K326" t="str">
            <v>BMED</v>
          </cell>
          <cell r="L326" t="str">
            <v>Normal</v>
          </cell>
          <cell r="M326" t="str">
            <v>United States</v>
          </cell>
          <cell r="N326" t="str">
            <v>OHIO</v>
          </cell>
          <cell r="O326" t="str">
            <v>R244047311229905</v>
          </cell>
          <cell r="P326" t="str">
            <v>GPHS65146</v>
          </cell>
          <cell r="Q326" t="str">
            <v>Not Applicable</v>
          </cell>
          <cell r="R326" t="str">
            <v>OHIO</v>
          </cell>
          <cell r="S326" t="str">
            <v>Respimedic</v>
          </cell>
          <cell r="T326" t="str">
            <v>Functioning</v>
          </cell>
          <cell r="U326" t="str">
            <v>Asset</v>
          </cell>
          <cell r="V326">
            <v>920</v>
          </cell>
          <cell r="W326" t="str">
            <v>KEW</v>
          </cell>
          <cell r="X326" t="str">
            <v>01/09/2010</v>
          </cell>
          <cell r="Y326" t="str">
            <v>KEW</v>
          </cell>
          <cell r="Z326" t="str">
            <v>16/08/2013</v>
          </cell>
          <cell r="AA326" t="str">
            <v>15/08/2015</v>
          </cell>
          <cell r="AB326" t="str">
            <v>No</v>
          </cell>
          <cell r="AC326" t="str">
            <v>31/08/2013</v>
          </cell>
          <cell r="AD326" t="str">
            <v>Good</v>
          </cell>
          <cell r="AE326" t="str">
            <v>V4 - Decommissioned Installed Facility</v>
          </cell>
          <cell r="AF326">
            <v>42927</v>
          </cell>
          <cell r="AG326">
            <v>9.17</v>
          </cell>
          <cell r="AH326" t="str">
            <v>RI</v>
          </cell>
          <cell r="AI326" t="str">
            <v>Not in contract</v>
          </cell>
          <cell r="AJ326" t="str">
            <v>Not under maintenance</v>
          </cell>
          <cell r="AK326" t="e">
            <v>#N/A</v>
          </cell>
        </row>
        <row r="327">
          <cell r="A327" t="str">
            <v>IKN401647</v>
          </cell>
          <cell r="B327">
            <v>1577</v>
          </cell>
          <cell r="C327" t="str">
            <v>Institut Kanser Negara</v>
          </cell>
          <cell r="D327" t="e">
            <v>#N/A</v>
          </cell>
          <cell r="E327" t="str">
            <v>13-325</v>
          </cell>
          <cell r="F327" t="str">
            <v>Regulators, Suction</v>
          </cell>
          <cell r="G327" t="str">
            <v>WF</v>
          </cell>
          <cell r="H327" t="str">
            <v>RT/ONCO WARD 2 (F)</v>
          </cell>
          <cell r="I327" t="str">
            <v>07WF121</v>
          </cell>
          <cell r="J327" t="str">
            <v>EQUIPMENT ROOM</v>
          </cell>
          <cell r="K327" t="str">
            <v>BMED</v>
          </cell>
          <cell r="L327" t="str">
            <v>Normal</v>
          </cell>
          <cell r="M327" t="str">
            <v>United States</v>
          </cell>
          <cell r="N327" t="str">
            <v>OHIO</v>
          </cell>
          <cell r="O327" t="str">
            <v>R244047311229905</v>
          </cell>
          <cell r="P327" t="str">
            <v>GPHS65123</v>
          </cell>
          <cell r="Q327" t="str">
            <v>Not Applicable</v>
          </cell>
          <cell r="R327" t="str">
            <v>OHIO</v>
          </cell>
          <cell r="S327" t="str">
            <v>Respimedic</v>
          </cell>
          <cell r="T327" t="str">
            <v>Functioning</v>
          </cell>
          <cell r="U327" t="str">
            <v>Asset</v>
          </cell>
          <cell r="V327">
            <v>920</v>
          </cell>
          <cell r="W327" t="str">
            <v>KEW</v>
          </cell>
          <cell r="X327" t="str">
            <v>01/09/2010</v>
          </cell>
          <cell r="Y327" t="str">
            <v>KEW</v>
          </cell>
          <cell r="Z327" t="str">
            <v>16/08/2013</v>
          </cell>
          <cell r="AA327" t="str">
            <v>15/08/2015</v>
          </cell>
          <cell r="AB327" t="str">
            <v>No</v>
          </cell>
          <cell r="AC327" t="str">
            <v>31/08/2013</v>
          </cell>
          <cell r="AD327" t="str">
            <v>Good</v>
          </cell>
          <cell r="AE327" t="str">
            <v>V4 - Decommissioned Installed Facility</v>
          </cell>
          <cell r="AF327">
            <v>42927</v>
          </cell>
          <cell r="AG327">
            <v>9.17</v>
          </cell>
          <cell r="AH327" t="str">
            <v>RI</v>
          </cell>
          <cell r="AI327" t="str">
            <v>Not in contract</v>
          </cell>
          <cell r="AJ327" t="str">
            <v>Not under maintenance</v>
          </cell>
          <cell r="AK327" t="e">
            <v>#N/A</v>
          </cell>
        </row>
        <row r="328">
          <cell r="A328" t="str">
            <v>IKN401648</v>
          </cell>
          <cell r="B328">
            <v>1578</v>
          </cell>
          <cell r="C328" t="str">
            <v>Institut Kanser Negara</v>
          </cell>
          <cell r="D328" t="str">
            <v>KKM/IKN/H/13/5006</v>
          </cell>
          <cell r="E328" t="str">
            <v>13-325</v>
          </cell>
          <cell r="F328" t="str">
            <v>Regulators, Suction</v>
          </cell>
          <cell r="G328" t="str">
            <v>OT</v>
          </cell>
          <cell r="H328" t="str">
            <v>OPERATING THEATRE</v>
          </cell>
          <cell r="I328" t="str">
            <v>05OT159</v>
          </cell>
          <cell r="J328" t="str">
            <v>POST-OP/RECOVERY (FUTURE)</v>
          </cell>
          <cell r="K328" t="str">
            <v>BMED</v>
          </cell>
          <cell r="L328" t="str">
            <v>Normal</v>
          </cell>
          <cell r="M328" t="str">
            <v>United States</v>
          </cell>
          <cell r="N328" t="str">
            <v>OHIO</v>
          </cell>
          <cell r="O328" t="str">
            <v>R244047311229905</v>
          </cell>
          <cell r="P328" t="str">
            <v>GFJT00084</v>
          </cell>
          <cell r="Q328" t="str">
            <v>Not Applicable</v>
          </cell>
          <cell r="R328" t="str">
            <v>OHIO</v>
          </cell>
          <cell r="S328" t="str">
            <v>Respimedic</v>
          </cell>
          <cell r="T328" t="str">
            <v>Functioning</v>
          </cell>
          <cell r="U328" t="str">
            <v>Asset</v>
          </cell>
          <cell r="V328">
            <v>920</v>
          </cell>
          <cell r="W328" t="str">
            <v>KEW</v>
          </cell>
          <cell r="X328" t="str">
            <v>01/09/2010</v>
          </cell>
          <cell r="Y328" t="str">
            <v>KEW</v>
          </cell>
          <cell r="Z328" t="str">
            <v>16/08/2013</v>
          </cell>
          <cell r="AA328" t="str">
            <v>15/08/2015</v>
          </cell>
          <cell r="AB328" t="str">
            <v>No</v>
          </cell>
          <cell r="AC328" t="str">
            <v>31/08/2013</v>
          </cell>
          <cell r="AD328" t="str">
            <v>Good</v>
          </cell>
          <cell r="AE328" t="str">
            <v>V4 - Decommissioned Installed Facility</v>
          </cell>
          <cell r="AF328">
            <v>42928</v>
          </cell>
          <cell r="AG328">
            <v>9.17</v>
          </cell>
          <cell r="AH328" t="str">
            <v>RI</v>
          </cell>
          <cell r="AI328" t="str">
            <v>Strands</v>
          </cell>
          <cell r="AJ328" t="str">
            <v>Not under maintenance</v>
          </cell>
        </row>
        <row r="329">
          <cell r="A329" t="str">
            <v>IKN401649</v>
          </cell>
          <cell r="B329">
            <v>1579</v>
          </cell>
          <cell r="C329" t="str">
            <v>Institut Kanser Negara</v>
          </cell>
          <cell r="D329" t="str">
            <v>KKM/IKN/H/13/5011</v>
          </cell>
          <cell r="E329" t="str">
            <v>13-325</v>
          </cell>
          <cell r="F329" t="str">
            <v>Regulators, Suction</v>
          </cell>
          <cell r="G329" t="str">
            <v>OT</v>
          </cell>
          <cell r="H329" t="str">
            <v>OPERATING THEATRE</v>
          </cell>
          <cell r="I329" t="str">
            <v>05OT159</v>
          </cell>
          <cell r="J329" t="str">
            <v>POST-OP/RECOVERY (FUTURE)</v>
          </cell>
          <cell r="K329" t="str">
            <v>BMED</v>
          </cell>
          <cell r="L329" t="str">
            <v>Normal</v>
          </cell>
          <cell r="M329" t="str">
            <v>United States</v>
          </cell>
          <cell r="N329" t="str">
            <v>OHIO</v>
          </cell>
          <cell r="O329" t="str">
            <v>R244047311229905</v>
          </cell>
          <cell r="P329" t="str">
            <v>GFJT00083</v>
          </cell>
          <cell r="Q329" t="str">
            <v>Not Applicable</v>
          </cell>
          <cell r="R329" t="str">
            <v>OHIO</v>
          </cell>
          <cell r="S329" t="str">
            <v>Respimedic</v>
          </cell>
          <cell r="T329" t="str">
            <v>Functioning</v>
          </cell>
          <cell r="U329" t="str">
            <v>Asset</v>
          </cell>
          <cell r="V329">
            <v>920</v>
          </cell>
          <cell r="W329" t="str">
            <v>KEW</v>
          </cell>
          <cell r="X329" t="str">
            <v>01/09/2010</v>
          </cell>
          <cell r="Y329" t="str">
            <v>KEW</v>
          </cell>
          <cell r="Z329" t="str">
            <v>16/08/2013</v>
          </cell>
          <cell r="AA329" t="str">
            <v>15/08/2015</v>
          </cell>
          <cell r="AB329" t="str">
            <v>No</v>
          </cell>
          <cell r="AC329" t="str">
            <v>31/08/2013</v>
          </cell>
          <cell r="AD329" t="str">
            <v>Good</v>
          </cell>
          <cell r="AE329" t="str">
            <v>V4 - Decommissioned Installed Facility</v>
          </cell>
          <cell r="AF329">
            <v>42928</v>
          </cell>
          <cell r="AG329">
            <v>9.17</v>
          </cell>
          <cell r="AH329" t="str">
            <v>RI</v>
          </cell>
          <cell r="AI329" t="str">
            <v>Strands</v>
          </cell>
          <cell r="AJ329" t="str">
            <v>Not under maintenance</v>
          </cell>
        </row>
        <row r="330">
          <cell r="A330" t="str">
            <v>IKN401650</v>
          </cell>
          <cell r="B330">
            <v>1580</v>
          </cell>
          <cell r="C330" t="str">
            <v>Institut Kanser Negara</v>
          </cell>
          <cell r="D330" t="str">
            <v>KKM/IKN/H/13/5010</v>
          </cell>
          <cell r="E330" t="str">
            <v>13-325</v>
          </cell>
          <cell r="F330" t="str">
            <v>Regulators, Suction</v>
          </cell>
          <cell r="G330" t="str">
            <v>OT</v>
          </cell>
          <cell r="H330" t="str">
            <v>OPERATING THEATRE</v>
          </cell>
          <cell r="I330" t="str">
            <v>05OT128</v>
          </cell>
          <cell r="J330" t="str">
            <v>PRE-OP / PATIENT HOLDING</v>
          </cell>
          <cell r="K330" t="str">
            <v>BMED</v>
          </cell>
          <cell r="L330" t="str">
            <v>Normal</v>
          </cell>
          <cell r="M330" t="str">
            <v>United States</v>
          </cell>
          <cell r="N330" t="str">
            <v>OHIO</v>
          </cell>
          <cell r="O330" t="str">
            <v>R244047311229905</v>
          </cell>
          <cell r="P330" t="str">
            <v>GFJT00097</v>
          </cell>
          <cell r="Q330" t="str">
            <v>Not Applicable</v>
          </cell>
          <cell r="R330" t="str">
            <v>OHIO</v>
          </cell>
          <cell r="S330" t="str">
            <v>Respimedic</v>
          </cell>
          <cell r="T330" t="str">
            <v>Functioning</v>
          </cell>
          <cell r="U330" t="str">
            <v>Asset</v>
          </cell>
          <cell r="V330">
            <v>920</v>
          </cell>
          <cell r="W330" t="str">
            <v>KEW</v>
          </cell>
          <cell r="X330" t="str">
            <v>01/09/2010</v>
          </cell>
          <cell r="Y330" t="str">
            <v>KEW</v>
          </cell>
          <cell r="Z330" t="str">
            <v>16/08/2013</v>
          </cell>
          <cell r="AA330" t="str">
            <v>15/08/2015</v>
          </cell>
          <cell r="AB330" t="str">
            <v>No</v>
          </cell>
          <cell r="AC330" t="str">
            <v>31/08/2013</v>
          </cell>
          <cell r="AD330" t="str">
            <v>Good</v>
          </cell>
          <cell r="AE330" t="str">
            <v>V4 - Decommissioned Installed Facility</v>
          </cell>
          <cell r="AF330">
            <v>42928</v>
          </cell>
          <cell r="AG330">
            <v>9.17</v>
          </cell>
          <cell r="AH330" t="str">
            <v>RI</v>
          </cell>
          <cell r="AI330" t="str">
            <v>Strands</v>
          </cell>
          <cell r="AJ330" t="str">
            <v>Not under maintenance</v>
          </cell>
        </row>
        <row r="331">
          <cell r="A331" t="str">
            <v>IKN401651</v>
          </cell>
          <cell r="B331">
            <v>1581</v>
          </cell>
          <cell r="C331" t="str">
            <v>Institut Kanser Negara</v>
          </cell>
          <cell r="D331" t="str">
            <v>KKM/IKN/H/13/5008</v>
          </cell>
          <cell r="E331" t="str">
            <v>13-325</v>
          </cell>
          <cell r="F331" t="str">
            <v>Regulators, Suction</v>
          </cell>
          <cell r="G331" t="str">
            <v>OT</v>
          </cell>
          <cell r="H331" t="str">
            <v>OPERATING THEATRE</v>
          </cell>
          <cell r="I331" t="str">
            <v>05OT128</v>
          </cell>
          <cell r="J331" t="str">
            <v>PRE-OP / PATIENT HOLDING</v>
          </cell>
          <cell r="K331" t="str">
            <v>BMED</v>
          </cell>
          <cell r="L331" t="str">
            <v>Normal</v>
          </cell>
          <cell r="M331" t="str">
            <v>United States</v>
          </cell>
          <cell r="N331" t="str">
            <v>OHIO</v>
          </cell>
          <cell r="O331" t="str">
            <v>R244047311229905</v>
          </cell>
          <cell r="P331" t="str">
            <v>GFJT00094</v>
          </cell>
          <cell r="Q331" t="str">
            <v>Not Applicable</v>
          </cell>
          <cell r="R331" t="str">
            <v>OHIO</v>
          </cell>
          <cell r="S331" t="str">
            <v>Respimedic</v>
          </cell>
          <cell r="T331" t="str">
            <v>Functioning</v>
          </cell>
          <cell r="U331" t="str">
            <v>Asset</v>
          </cell>
          <cell r="V331">
            <v>920</v>
          </cell>
          <cell r="W331" t="str">
            <v>KEW</v>
          </cell>
          <cell r="X331" t="str">
            <v>01/09/2010</v>
          </cell>
          <cell r="Y331" t="str">
            <v>KEW</v>
          </cell>
          <cell r="Z331" t="str">
            <v>16/08/2013</v>
          </cell>
          <cell r="AA331" t="str">
            <v>15/08/2015</v>
          </cell>
          <cell r="AB331" t="str">
            <v>No</v>
          </cell>
          <cell r="AC331" t="str">
            <v>31/08/2013</v>
          </cell>
          <cell r="AD331" t="str">
            <v>Good</v>
          </cell>
          <cell r="AE331" t="str">
            <v>V4 - Decommissioned Installed Facility</v>
          </cell>
          <cell r="AF331">
            <v>42928</v>
          </cell>
          <cell r="AG331">
            <v>9.17</v>
          </cell>
          <cell r="AH331" t="str">
            <v>RI</v>
          </cell>
          <cell r="AI331" t="str">
            <v>Strands</v>
          </cell>
          <cell r="AJ331" t="str">
            <v>Not under maintenance</v>
          </cell>
        </row>
        <row r="332">
          <cell r="A332" t="str">
            <v>IKN401652</v>
          </cell>
          <cell r="B332">
            <v>1582</v>
          </cell>
          <cell r="C332" t="str">
            <v>Institut Kanser Negara</v>
          </cell>
          <cell r="D332" t="str">
            <v>KKM/IKN/H/13/5012</v>
          </cell>
          <cell r="E332" t="str">
            <v>13-325</v>
          </cell>
          <cell r="F332" t="str">
            <v>Regulators, Suction</v>
          </cell>
          <cell r="G332" t="str">
            <v>OT</v>
          </cell>
          <cell r="H332" t="str">
            <v>OPERATING THEATRE</v>
          </cell>
          <cell r="I332" t="str">
            <v>05OT123</v>
          </cell>
          <cell r="J332" t="str">
            <v>0T 1</v>
          </cell>
          <cell r="K332" t="str">
            <v>BMED</v>
          </cell>
          <cell r="L332" t="str">
            <v>Normal</v>
          </cell>
          <cell r="M332" t="str">
            <v>United States</v>
          </cell>
          <cell r="N332" t="str">
            <v>OHIO</v>
          </cell>
          <cell r="O332" t="str">
            <v>R244047311229905</v>
          </cell>
          <cell r="P332" t="str">
            <v>GFJT00081</v>
          </cell>
          <cell r="Q332" t="str">
            <v>Not Applicable</v>
          </cell>
          <cell r="R332" t="str">
            <v>OHIO</v>
          </cell>
          <cell r="S332" t="str">
            <v>Respimedic</v>
          </cell>
          <cell r="T332" t="str">
            <v>Functioning</v>
          </cell>
          <cell r="U332" t="str">
            <v>Asset</v>
          </cell>
          <cell r="V332">
            <v>920</v>
          </cell>
          <cell r="W332" t="str">
            <v>KEW</v>
          </cell>
          <cell r="X332" t="str">
            <v>01/09/2010</v>
          </cell>
          <cell r="Y332" t="str">
            <v>KEW</v>
          </cell>
          <cell r="Z332" t="str">
            <v>16/08/2013</v>
          </cell>
          <cell r="AA332" t="str">
            <v>15/08/2015</v>
          </cell>
          <cell r="AB332" t="str">
            <v>No</v>
          </cell>
          <cell r="AC332" t="str">
            <v>31/08/2013</v>
          </cell>
          <cell r="AD332" t="str">
            <v>Good</v>
          </cell>
          <cell r="AE332" t="str">
            <v>V4 - Decommissioned Installed Facility</v>
          </cell>
          <cell r="AF332">
            <v>42928</v>
          </cell>
          <cell r="AG332">
            <v>9.17</v>
          </cell>
          <cell r="AH332" t="str">
            <v>RI</v>
          </cell>
          <cell r="AI332" t="str">
            <v>Strands</v>
          </cell>
          <cell r="AJ332" t="str">
            <v>Not under maintenance</v>
          </cell>
        </row>
        <row r="333">
          <cell r="A333" t="str">
            <v>IKN401653</v>
          </cell>
          <cell r="B333">
            <v>1583</v>
          </cell>
          <cell r="C333" t="str">
            <v>Institut Kanser Negara</v>
          </cell>
          <cell r="D333" t="str">
            <v>KKM/IKN/H/13/5009</v>
          </cell>
          <cell r="E333" t="str">
            <v>13-325</v>
          </cell>
          <cell r="F333" t="str">
            <v>Regulators, Suction</v>
          </cell>
          <cell r="G333" t="str">
            <v>OT</v>
          </cell>
          <cell r="H333" t="str">
            <v>OPERATING THEATRE</v>
          </cell>
          <cell r="I333" t="str">
            <v>05OT123</v>
          </cell>
          <cell r="J333" t="str">
            <v>0T 1</v>
          </cell>
          <cell r="K333" t="str">
            <v>BMED</v>
          </cell>
          <cell r="L333" t="str">
            <v>Normal</v>
          </cell>
          <cell r="M333" t="str">
            <v>United States</v>
          </cell>
          <cell r="N333" t="str">
            <v>OHIO</v>
          </cell>
          <cell r="O333" t="str">
            <v>R244047311229905</v>
          </cell>
          <cell r="P333" t="str">
            <v>GFJT00095</v>
          </cell>
          <cell r="Q333" t="str">
            <v>Not Applicable</v>
          </cell>
          <cell r="R333" t="str">
            <v>OHIO</v>
          </cell>
          <cell r="S333" t="str">
            <v>Respimedic</v>
          </cell>
          <cell r="T333" t="str">
            <v>Functioning</v>
          </cell>
          <cell r="U333" t="str">
            <v>Asset</v>
          </cell>
          <cell r="V333">
            <v>920</v>
          </cell>
          <cell r="W333" t="str">
            <v>KEW</v>
          </cell>
          <cell r="X333" t="str">
            <v>01/09/2010</v>
          </cell>
          <cell r="Y333" t="str">
            <v>KEW</v>
          </cell>
          <cell r="Z333" t="str">
            <v>16/08/2013</v>
          </cell>
          <cell r="AA333" t="str">
            <v>15/08/2015</v>
          </cell>
          <cell r="AB333" t="str">
            <v>No</v>
          </cell>
          <cell r="AC333" t="str">
            <v>31/08/2013</v>
          </cell>
          <cell r="AD333" t="str">
            <v>Good</v>
          </cell>
          <cell r="AE333" t="str">
            <v>V4 - Decommissioned Installed Facility</v>
          </cell>
          <cell r="AF333">
            <v>42928</v>
          </cell>
          <cell r="AG333">
            <v>9.17</v>
          </cell>
          <cell r="AH333" t="str">
            <v>RI</v>
          </cell>
          <cell r="AI333" t="str">
            <v>Strands</v>
          </cell>
          <cell r="AJ333" t="str">
            <v>Not under maintenance</v>
          </cell>
        </row>
        <row r="334">
          <cell r="A334" t="str">
            <v>IKN401654</v>
          </cell>
          <cell r="B334">
            <v>1584</v>
          </cell>
          <cell r="C334" t="str">
            <v>Institut Kanser Negara</v>
          </cell>
          <cell r="D334" t="str">
            <v>KKM/IKN/H/13/5013</v>
          </cell>
          <cell r="E334" t="str">
            <v>13-325</v>
          </cell>
          <cell r="F334" t="str">
            <v>Regulators, Suction</v>
          </cell>
          <cell r="G334" t="str">
            <v>OT</v>
          </cell>
          <cell r="H334" t="str">
            <v>OPERATING THEATRE</v>
          </cell>
          <cell r="I334" t="str">
            <v>05OT123</v>
          </cell>
          <cell r="J334" t="str">
            <v>0T 1</v>
          </cell>
          <cell r="K334" t="str">
            <v>BMED</v>
          </cell>
          <cell r="L334" t="str">
            <v>Normal</v>
          </cell>
          <cell r="M334" t="str">
            <v>United States</v>
          </cell>
          <cell r="N334" t="str">
            <v>OHIO</v>
          </cell>
          <cell r="O334" t="str">
            <v>R244047311229905</v>
          </cell>
          <cell r="P334" t="str">
            <v>GFJT00085</v>
          </cell>
          <cell r="Q334" t="str">
            <v>Not Applicable</v>
          </cell>
          <cell r="R334" t="str">
            <v>OHIO</v>
          </cell>
          <cell r="S334" t="str">
            <v>Respimedic</v>
          </cell>
          <cell r="T334" t="str">
            <v>Functioning</v>
          </cell>
          <cell r="U334" t="str">
            <v>Asset</v>
          </cell>
          <cell r="V334">
            <v>920</v>
          </cell>
          <cell r="W334" t="str">
            <v>KEW</v>
          </cell>
          <cell r="X334" t="str">
            <v>01/09/2010</v>
          </cell>
          <cell r="Y334" t="str">
            <v>KEW</v>
          </cell>
          <cell r="Z334" t="str">
            <v>16/08/2013</v>
          </cell>
          <cell r="AA334" t="str">
            <v>15/08/2015</v>
          </cell>
          <cell r="AB334" t="str">
            <v>No</v>
          </cell>
          <cell r="AC334" t="str">
            <v>31/08/2013</v>
          </cell>
          <cell r="AD334" t="str">
            <v>Good</v>
          </cell>
          <cell r="AE334" t="str">
            <v>V4 - Decommissioned Installed Facility</v>
          </cell>
          <cell r="AF334">
            <v>42929</v>
          </cell>
          <cell r="AG334">
            <v>9.17</v>
          </cell>
          <cell r="AH334" t="str">
            <v>RI</v>
          </cell>
          <cell r="AI334" t="str">
            <v>Strands</v>
          </cell>
          <cell r="AJ334" t="str">
            <v>Not under maintenance</v>
          </cell>
        </row>
        <row r="335">
          <cell r="A335" t="str">
            <v>IKN401655</v>
          </cell>
          <cell r="B335">
            <v>1585</v>
          </cell>
          <cell r="C335" t="str">
            <v>Institut Kanser Negara</v>
          </cell>
          <cell r="D335" t="str">
            <v>KKM/IKN/H/13/5007</v>
          </cell>
          <cell r="E335" t="str">
            <v>13-325</v>
          </cell>
          <cell r="F335" t="str">
            <v>Regulators, Suction</v>
          </cell>
          <cell r="G335" t="str">
            <v>OT</v>
          </cell>
          <cell r="H335" t="str">
            <v>OPERATING THEATRE</v>
          </cell>
          <cell r="I335" t="str">
            <v>05OT120</v>
          </cell>
          <cell r="J335" t="str">
            <v>OT 2</v>
          </cell>
          <cell r="K335" t="str">
            <v>BMED</v>
          </cell>
          <cell r="L335" t="str">
            <v>Normal</v>
          </cell>
          <cell r="M335" t="str">
            <v>United States</v>
          </cell>
          <cell r="N335" t="str">
            <v>OHIO</v>
          </cell>
          <cell r="O335" t="str">
            <v>R244047311229905</v>
          </cell>
          <cell r="P335" t="str">
            <v>GFJT00100</v>
          </cell>
          <cell r="Q335" t="str">
            <v>Not Applicable</v>
          </cell>
          <cell r="R335" t="str">
            <v>OHIO</v>
          </cell>
          <cell r="S335" t="str">
            <v>Respimedic</v>
          </cell>
          <cell r="T335" t="str">
            <v>Functioning</v>
          </cell>
          <cell r="U335" t="str">
            <v>Asset</v>
          </cell>
          <cell r="V335">
            <v>920</v>
          </cell>
          <cell r="W335" t="str">
            <v>KEW</v>
          </cell>
          <cell r="X335" t="str">
            <v>01/09/2010</v>
          </cell>
          <cell r="Y335" t="str">
            <v>KEW</v>
          </cell>
          <cell r="Z335" t="str">
            <v>16/08/2013</v>
          </cell>
          <cell r="AA335" t="str">
            <v>15/08/2015</v>
          </cell>
          <cell r="AB335" t="str">
            <v>No</v>
          </cell>
          <cell r="AC335" t="str">
            <v>31/08/2013</v>
          </cell>
          <cell r="AD335" t="str">
            <v>Good</v>
          </cell>
          <cell r="AE335" t="str">
            <v>V4 - Decommissioned Installed Facility</v>
          </cell>
          <cell r="AF335">
            <v>42929</v>
          </cell>
          <cell r="AG335">
            <v>9.17</v>
          </cell>
          <cell r="AH335" t="str">
            <v>RI</v>
          </cell>
          <cell r="AI335" t="str">
            <v>Strands</v>
          </cell>
          <cell r="AJ335" t="str">
            <v>Not under maintenance</v>
          </cell>
        </row>
        <row r="336">
          <cell r="A336" t="str">
            <v>IKN401657</v>
          </cell>
          <cell r="B336">
            <v>1587</v>
          </cell>
          <cell r="C336" t="str">
            <v>Institut Kanser Negara</v>
          </cell>
          <cell r="D336" t="e">
            <v>#N/A</v>
          </cell>
          <cell r="E336" t="str">
            <v>13-325</v>
          </cell>
          <cell r="F336" t="str">
            <v>Regulators, Suction</v>
          </cell>
          <cell r="G336" t="str">
            <v>WG</v>
          </cell>
          <cell r="H336" t="str">
            <v>RT/ONCO WARD 1 (M)</v>
          </cell>
          <cell r="I336" t="str">
            <v>08WG111</v>
          </cell>
          <cell r="J336" t="str">
            <v>2 BED ROOM</v>
          </cell>
          <cell r="K336" t="str">
            <v>BMED</v>
          </cell>
          <cell r="L336" t="str">
            <v>Normal</v>
          </cell>
          <cell r="M336" t="str">
            <v>United States</v>
          </cell>
          <cell r="N336" t="str">
            <v>OHIO</v>
          </cell>
          <cell r="O336" t="str">
            <v>R244047311229905</v>
          </cell>
          <cell r="P336" t="str">
            <v>GPHS65157</v>
          </cell>
          <cell r="Q336" t="str">
            <v>Not Applicable</v>
          </cell>
          <cell r="R336" t="str">
            <v>OHIO</v>
          </cell>
          <cell r="S336" t="str">
            <v>Respimedic</v>
          </cell>
          <cell r="T336" t="str">
            <v>Functioning</v>
          </cell>
          <cell r="U336" t="str">
            <v>Asset</v>
          </cell>
          <cell r="V336">
            <v>920</v>
          </cell>
          <cell r="W336" t="str">
            <v>KEW</v>
          </cell>
          <cell r="X336" t="str">
            <v>01/09/2010</v>
          </cell>
          <cell r="Y336" t="str">
            <v>KEW</v>
          </cell>
          <cell r="Z336" t="str">
            <v>16/08/2013</v>
          </cell>
          <cell r="AA336" t="str">
            <v>15/08/2015</v>
          </cell>
          <cell r="AB336" t="str">
            <v>No</v>
          </cell>
          <cell r="AC336" t="str">
            <v>31/08/2013</v>
          </cell>
          <cell r="AD336" t="str">
            <v>Good</v>
          </cell>
          <cell r="AE336" t="str">
            <v>V4 - Decommissioned Installed Facility</v>
          </cell>
          <cell r="AF336">
            <v>42957</v>
          </cell>
          <cell r="AG336">
            <v>9.17</v>
          </cell>
          <cell r="AH336" t="str">
            <v>RI</v>
          </cell>
          <cell r="AI336" t="str">
            <v>Not in contract</v>
          </cell>
          <cell r="AJ336" t="str">
            <v>Not under maintenance</v>
          </cell>
          <cell r="AK336" t="e">
            <v>#N/A</v>
          </cell>
        </row>
        <row r="337">
          <cell r="A337" t="str">
            <v>IKN401658</v>
          </cell>
          <cell r="B337">
            <v>1588</v>
          </cell>
          <cell r="C337" t="str">
            <v>Institut Kanser Negara</v>
          </cell>
          <cell r="D337" t="e">
            <v>#N/A</v>
          </cell>
          <cell r="E337" t="str">
            <v>13-325</v>
          </cell>
          <cell r="F337" t="str">
            <v>Regulators, Suction</v>
          </cell>
          <cell r="G337" t="str">
            <v>WG</v>
          </cell>
          <cell r="H337" t="str">
            <v>RT/ONCO WARD 1 (M)</v>
          </cell>
          <cell r="I337" t="str">
            <v>08WG111</v>
          </cell>
          <cell r="J337" t="str">
            <v>2 BED ROOM</v>
          </cell>
          <cell r="K337" t="str">
            <v>BMED</v>
          </cell>
          <cell r="L337" t="str">
            <v>Normal</v>
          </cell>
          <cell r="M337" t="str">
            <v>United States</v>
          </cell>
          <cell r="N337" t="str">
            <v>OHIO</v>
          </cell>
          <cell r="O337" t="str">
            <v>R244047311229905</v>
          </cell>
          <cell r="P337" t="str">
            <v>GPHS65122</v>
          </cell>
          <cell r="Q337" t="str">
            <v>Not Applicable</v>
          </cell>
          <cell r="R337" t="str">
            <v>OHIO</v>
          </cell>
          <cell r="S337" t="str">
            <v>Respimedic</v>
          </cell>
          <cell r="T337" t="str">
            <v>Functioning</v>
          </cell>
          <cell r="U337" t="str">
            <v>Asset</v>
          </cell>
          <cell r="V337">
            <v>920</v>
          </cell>
          <cell r="W337" t="str">
            <v>KEW</v>
          </cell>
          <cell r="X337" t="str">
            <v>01/09/2010</v>
          </cell>
          <cell r="Y337" t="str">
            <v>KEW</v>
          </cell>
          <cell r="Z337" t="str">
            <v>16/08/2013</v>
          </cell>
          <cell r="AA337" t="str">
            <v>15/08/2015</v>
          </cell>
          <cell r="AB337" t="str">
            <v>No</v>
          </cell>
          <cell r="AC337" t="str">
            <v>31/08/2013</v>
          </cell>
          <cell r="AD337" t="str">
            <v>Good</v>
          </cell>
          <cell r="AE337" t="str">
            <v>V4 - Decommissioned Installed Facility</v>
          </cell>
          <cell r="AF337">
            <v>42957</v>
          </cell>
          <cell r="AG337">
            <v>9.17</v>
          </cell>
          <cell r="AH337" t="str">
            <v>RI</v>
          </cell>
          <cell r="AI337" t="str">
            <v>Not in contract</v>
          </cell>
          <cell r="AJ337" t="str">
            <v>Not under maintenance</v>
          </cell>
          <cell r="AK337" t="e">
            <v>#N/A</v>
          </cell>
        </row>
        <row r="338">
          <cell r="A338" t="str">
            <v>IKN401659</v>
          </cell>
          <cell r="B338">
            <v>1589</v>
          </cell>
          <cell r="C338" t="str">
            <v>Institut Kanser Negara</v>
          </cell>
          <cell r="D338" t="e">
            <v>#N/A</v>
          </cell>
          <cell r="E338" t="str">
            <v>13-325</v>
          </cell>
          <cell r="F338" t="str">
            <v>Regulators, Suction</v>
          </cell>
          <cell r="G338" t="str">
            <v>WG</v>
          </cell>
          <cell r="H338" t="str">
            <v>RT/ONCO WARD 1 (M)</v>
          </cell>
          <cell r="I338" t="str">
            <v>08WG108</v>
          </cell>
          <cell r="J338" t="str">
            <v>4 BED ROOM 1</v>
          </cell>
          <cell r="K338" t="str">
            <v>BMED</v>
          </cell>
          <cell r="L338" t="str">
            <v>Normal</v>
          </cell>
          <cell r="M338" t="str">
            <v>United States</v>
          </cell>
          <cell r="N338" t="str">
            <v>OHIO</v>
          </cell>
          <cell r="O338" t="str">
            <v>R244047311229905</v>
          </cell>
          <cell r="P338" t="str">
            <v>GPHS65156</v>
          </cell>
          <cell r="Q338" t="str">
            <v>Not Applicable</v>
          </cell>
          <cell r="R338" t="str">
            <v>OHIO</v>
          </cell>
          <cell r="S338" t="str">
            <v>Respimedic</v>
          </cell>
          <cell r="T338" t="str">
            <v>Functioning</v>
          </cell>
          <cell r="U338" t="str">
            <v>Asset</v>
          </cell>
          <cell r="V338">
            <v>920</v>
          </cell>
          <cell r="W338" t="str">
            <v>KEW</v>
          </cell>
          <cell r="X338" t="str">
            <v>01/09/2010</v>
          </cell>
          <cell r="Y338" t="str">
            <v>KEW</v>
          </cell>
          <cell r="Z338" t="str">
            <v>16/08/2013</v>
          </cell>
          <cell r="AA338" t="str">
            <v>15/08/2015</v>
          </cell>
          <cell r="AB338" t="str">
            <v>No</v>
          </cell>
          <cell r="AC338" t="str">
            <v>31/08/2013</v>
          </cell>
          <cell r="AD338" t="str">
            <v>Good</v>
          </cell>
          <cell r="AE338" t="str">
            <v>V4 - Decommissioned Installed Facility</v>
          </cell>
          <cell r="AF338">
            <v>42957</v>
          </cell>
          <cell r="AG338">
            <v>9.17</v>
          </cell>
          <cell r="AH338" t="str">
            <v>RI</v>
          </cell>
          <cell r="AI338" t="str">
            <v>Not in contract</v>
          </cell>
          <cell r="AJ338" t="str">
            <v>Not under maintenance</v>
          </cell>
          <cell r="AK338" t="e">
            <v>#N/A</v>
          </cell>
        </row>
        <row r="339">
          <cell r="A339" t="str">
            <v>IKN401660</v>
          </cell>
          <cell r="B339">
            <v>1590</v>
          </cell>
          <cell r="C339" t="str">
            <v>Institut Kanser Negara</v>
          </cell>
          <cell r="D339" t="e">
            <v>#N/A</v>
          </cell>
          <cell r="E339" t="str">
            <v>13-325</v>
          </cell>
          <cell r="F339" t="str">
            <v>Regulators, Suction</v>
          </cell>
          <cell r="G339" t="str">
            <v>WG</v>
          </cell>
          <cell r="H339" t="str">
            <v>RT/ONCO WARD 1 (M)</v>
          </cell>
          <cell r="I339" t="str">
            <v>08WG108</v>
          </cell>
          <cell r="J339" t="str">
            <v>4 BED ROOM 1</v>
          </cell>
          <cell r="K339" t="str">
            <v>BMED</v>
          </cell>
          <cell r="L339" t="str">
            <v>Normal</v>
          </cell>
          <cell r="M339" t="str">
            <v>United States</v>
          </cell>
          <cell r="N339" t="str">
            <v>OHIO</v>
          </cell>
          <cell r="O339" t="str">
            <v>R244047311229905</v>
          </cell>
          <cell r="P339" t="str">
            <v>GPHS65165</v>
          </cell>
          <cell r="Q339" t="str">
            <v>Not Applicable</v>
          </cell>
          <cell r="R339" t="str">
            <v>OHIO</v>
          </cell>
          <cell r="S339" t="str">
            <v>Respimedic</v>
          </cell>
          <cell r="T339" t="str">
            <v>Functioning</v>
          </cell>
          <cell r="U339" t="str">
            <v>Asset</v>
          </cell>
          <cell r="V339">
            <v>920</v>
          </cell>
          <cell r="W339" t="str">
            <v>KEW</v>
          </cell>
          <cell r="X339" t="str">
            <v>01/09/2010</v>
          </cell>
          <cell r="Y339" t="str">
            <v>KEW</v>
          </cell>
          <cell r="Z339" t="str">
            <v>16/08/2013</v>
          </cell>
          <cell r="AA339" t="str">
            <v>15/08/2015</v>
          </cell>
          <cell r="AB339" t="str">
            <v>No</v>
          </cell>
          <cell r="AC339" t="str">
            <v>31/08/2013</v>
          </cell>
          <cell r="AD339" t="str">
            <v>Good</v>
          </cell>
          <cell r="AE339" t="str">
            <v>V4 - Decommissioned Installed Facility</v>
          </cell>
          <cell r="AF339">
            <v>42957</v>
          </cell>
          <cell r="AG339">
            <v>9.17</v>
          </cell>
          <cell r="AH339" t="str">
            <v>RI</v>
          </cell>
          <cell r="AI339" t="str">
            <v>Not in contract</v>
          </cell>
          <cell r="AJ339" t="str">
            <v>Not under maintenance</v>
          </cell>
          <cell r="AK339" t="e">
            <v>#N/A</v>
          </cell>
        </row>
        <row r="340">
          <cell r="A340" t="str">
            <v>IKN401661</v>
          </cell>
          <cell r="B340">
            <v>1591</v>
          </cell>
          <cell r="C340" t="str">
            <v>Institut Kanser Negara</v>
          </cell>
          <cell r="D340" t="e">
            <v>#N/A</v>
          </cell>
          <cell r="E340" t="str">
            <v>13-325</v>
          </cell>
          <cell r="F340" t="str">
            <v>Regulators, Suction</v>
          </cell>
          <cell r="G340" t="str">
            <v>WG</v>
          </cell>
          <cell r="H340" t="str">
            <v>RT/ONCO WARD 1 (M)</v>
          </cell>
          <cell r="I340" t="str">
            <v>08WG108</v>
          </cell>
          <cell r="J340" t="str">
            <v>4 BED ROOM 1</v>
          </cell>
          <cell r="K340" t="str">
            <v>BMED</v>
          </cell>
          <cell r="L340" t="str">
            <v>Normal</v>
          </cell>
          <cell r="M340" t="str">
            <v>United States</v>
          </cell>
          <cell r="N340" t="str">
            <v>OHIO</v>
          </cell>
          <cell r="O340" t="str">
            <v>R244047311229905</v>
          </cell>
          <cell r="P340" t="str">
            <v>GPHS65147</v>
          </cell>
          <cell r="Q340" t="str">
            <v>Not Applicable</v>
          </cell>
          <cell r="R340" t="str">
            <v>OHIO</v>
          </cell>
          <cell r="S340" t="str">
            <v>Respimedic</v>
          </cell>
          <cell r="T340" t="str">
            <v>Functioning</v>
          </cell>
          <cell r="U340" t="str">
            <v>Asset</v>
          </cell>
          <cell r="V340">
            <v>920</v>
          </cell>
          <cell r="W340" t="str">
            <v>KEW</v>
          </cell>
          <cell r="X340" t="str">
            <v>01/09/2010</v>
          </cell>
          <cell r="Y340" t="str">
            <v>KEW</v>
          </cell>
          <cell r="Z340" t="str">
            <v>16/08/2013</v>
          </cell>
          <cell r="AA340" t="str">
            <v>15/08/2015</v>
          </cell>
          <cell r="AB340" t="str">
            <v>No</v>
          </cell>
          <cell r="AC340" t="str">
            <v>31/08/2013</v>
          </cell>
          <cell r="AD340" t="str">
            <v>Good</v>
          </cell>
          <cell r="AE340" t="str">
            <v>V4 - Decommissioned Installed Facility</v>
          </cell>
          <cell r="AF340">
            <v>42957</v>
          </cell>
          <cell r="AG340">
            <v>9.17</v>
          </cell>
          <cell r="AH340" t="str">
            <v>RI</v>
          </cell>
          <cell r="AI340" t="str">
            <v>Not in contract</v>
          </cell>
          <cell r="AJ340" t="str">
            <v>Not under maintenance</v>
          </cell>
          <cell r="AK340" t="e">
            <v>#N/A</v>
          </cell>
        </row>
        <row r="341">
          <cell r="A341" t="str">
            <v>IKN401662</v>
          </cell>
          <cell r="B341">
            <v>1592</v>
          </cell>
          <cell r="C341" t="str">
            <v>Institut Kanser Negara</v>
          </cell>
          <cell r="D341" t="e">
            <v>#N/A</v>
          </cell>
          <cell r="E341" t="str">
            <v>13-325</v>
          </cell>
          <cell r="F341" t="str">
            <v>Regulators, Suction</v>
          </cell>
          <cell r="G341" t="str">
            <v>WG</v>
          </cell>
          <cell r="H341" t="str">
            <v>RT/ONCO WARD 1 (M)</v>
          </cell>
          <cell r="I341" t="str">
            <v>08WG116</v>
          </cell>
          <cell r="J341" t="str">
            <v>4 BEDROOM 2</v>
          </cell>
          <cell r="K341" t="str">
            <v>BMED</v>
          </cell>
          <cell r="L341" t="str">
            <v>Normal</v>
          </cell>
          <cell r="M341" t="str">
            <v>United States</v>
          </cell>
          <cell r="N341" t="str">
            <v>OHIO</v>
          </cell>
          <cell r="O341" t="str">
            <v>R244047311229905</v>
          </cell>
          <cell r="P341" t="str">
            <v>GPHS65161</v>
          </cell>
          <cell r="Q341" t="str">
            <v>Not Applicable</v>
          </cell>
          <cell r="R341" t="str">
            <v>OHIO</v>
          </cell>
          <cell r="S341" t="str">
            <v>Respimedic</v>
          </cell>
          <cell r="T341" t="str">
            <v>Functioning</v>
          </cell>
          <cell r="U341" t="str">
            <v>Asset</v>
          </cell>
          <cell r="V341">
            <v>920</v>
          </cell>
          <cell r="W341" t="str">
            <v>KEW</v>
          </cell>
          <cell r="X341" t="str">
            <v>01/09/2010</v>
          </cell>
          <cell r="Y341" t="str">
            <v>KEW</v>
          </cell>
          <cell r="Z341" t="str">
            <v>16/08/2013</v>
          </cell>
          <cell r="AA341" t="str">
            <v>15/08/2015</v>
          </cell>
          <cell r="AB341" t="str">
            <v>No</v>
          </cell>
          <cell r="AC341" t="str">
            <v>31/08/2013</v>
          </cell>
          <cell r="AD341" t="str">
            <v>Good</v>
          </cell>
          <cell r="AE341" t="str">
            <v>V4 - Decommissioned Installed Facility</v>
          </cell>
          <cell r="AF341">
            <v>42957</v>
          </cell>
          <cell r="AG341">
            <v>9.17</v>
          </cell>
          <cell r="AH341" t="str">
            <v>RI</v>
          </cell>
          <cell r="AI341" t="str">
            <v>Not in contract</v>
          </cell>
          <cell r="AJ341" t="str">
            <v>Not under maintenance</v>
          </cell>
          <cell r="AK341" t="e">
            <v>#N/A</v>
          </cell>
        </row>
        <row r="342">
          <cell r="A342" t="str">
            <v>IKN401663</v>
          </cell>
          <cell r="B342">
            <v>1593</v>
          </cell>
          <cell r="C342" t="str">
            <v>Institut Kanser Negara</v>
          </cell>
          <cell r="D342" t="e">
            <v>#N/A</v>
          </cell>
          <cell r="E342" t="str">
            <v>13-325</v>
          </cell>
          <cell r="F342" t="str">
            <v>Regulators, Suction</v>
          </cell>
          <cell r="G342" t="str">
            <v>WG</v>
          </cell>
          <cell r="H342" t="str">
            <v>RT/ONCO WARD 1 (M)</v>
          </cell>
          <cell r="I342" t="str">
            <v>08WG116</v>
          </cell>
          <cell r="J342" t="str">
            <v>4 BEDROOM 2</v>
          </cell>
          <cell r="K342" t="str">
            <v>BMED</v>
          </cell>
          <cell r="L342" t="str">
            <v>Normal</v>
          </cell>
          <cell r="M342" t="str">
            <v>United States</v>
          </cell>
          <cell r="N342" t="str">
            <v>OHIO</v>
          </cell>
          <cell r="O342" t="str">
            <v>R244047311229905</v>
          </cell>
          <cell r="P342" t="str">
            <v>GPHS65140</v>
          </cell>
          <cell r="Q342" t="str">
            <v>Not Applicable</v>
          </cell>
          <cell r="R342" t="str">
            <v>OHIO</v>
          </cell>
          <cell r="S342" t="str">
            <v>Respimedic</v>
          </cell>
          <cell r="T342" t="str">
            <v>Functioning</v>
          </cell>
          <cell r="U342" t="str">
            <v>Asset</v>
          </cell>
          <cell r="V342">
            <v>920</v>
          </cell>
          <cell r="W342" t="str">
            <v>KEW</v>
          </cell>
          <cell r="X342" t="str">
            <v>01/09/2010</v>
          </cell>
          <cell r="Y342" t="str">
            <v>KEW</v>
          </cell>
          <cell r="Z342" t="str">
            <v>16/08/2013</v>
          </cell>
          <cell r="AA342" t="str">
            <v>15/08/2015</v>
          </cell>
          <cell r="AB342" t="str">
            <v>No</v>
          </cell>
          <cell r="AC342" t="str">
            <v>31/08/2013</v>
          </cell>
          <cell r="AD342" t="str">
            <v>Good</v>
          </cell>
          <cell r="AE342" t="str">
            <v>V4 - Decommissioned Installed Facility</v>
          </cell>
          <cell r="AF342">
            <v>42957</v>
          </cell>
          <cell r="AG342">
            <v>9.17</v>
          </cell>
          <cell r="AH342" t="str">
            <v>RI</v>
          </cell>
          <cell r="AI342" t="str">
            <v>Not in contract</v>
          </cell>
          <cell r="AJ342" t="str">
            <v>Not under maintenance</v>
          </cell>
          <cell r="AK342" t="e">
            <v>#N/A</v>
          </cell>
        </row>
        <row r="343">
          <cell r="A343" t="str">
            <v>IKN401664</v>
          </cell>
          <cell r="B343">
            <v>1594</v>
          </cell>
          <cell r="C343" t="str">
            <v>Institut Kanser Negara</v>
          </cell>
          <cell r="D343" t="e">
            <v>#N/A</v>
          </cell>
          <cell r="E343" t="str">
            <v>13-325</v>
          </cell>
          <cell r="F343" t="str">
            <v>Regulators, Suction</v>
          </cell>
          <cell r="G343" t="str">
            <v>WG</v>
          </cell>
          <cell r="H343" t="str">
            <v>RT/ONCO WARD 1 (M)</v>
          </cell>
          <cell r="I343" t="str">
            <v>08WG128</v>
          </cell>
          <cell r="J343" t="str">
            <v>4 BED ROOM</v>
          </cell>
          <cell r="K343" t="str">
            <v>BMED</v>
          </cell>
          <cell r="L343" t="str">
            <v>Normal</v>
          </cell>
          <cell r="M343" t="str">
            <v>United States</v>
          </cell>
          <cell r="N343" t="str">
            <v>OHIO</v>
          </cell>
          <cell r="O343" t="str">
            <v>R244047311229905</v>
          </cell>
          <cell r="P343" t="str">
            <v>GPHS65099</v>
          </cell>
          <cell r="Q343" t="str">
            <v>Not Applicable</v>
          </cell>
          <cell r="R343" t="str">
            <v>OHIO</v>
          </cell>
          <cell r="S343" t="str">
            <v>Respimedic</v>
          </cell>
          <cell r="T343" t="str">
            <v>Functioning</v>
          </cell>
          <cell r="U343" t="str">
            <v>Asset</v>
          </cell>
          <cell r="V343">
            <v>920</v>
          </cell>
          <cell r="W343" t="str">
            <v>KEW</v>
          </cell>
          <cell r="X343" t="str">
            <v>01/09/2010</v>
          </cell>
          <cell r="Y343" t="str">
            <v>KEW</v>
          </cell>
          <cell r="Z343" t="str">
            <v>16/08/2013</v>
          </cell>
          <cell r="AA343" t="str">
            <v>15/08/2015</v>
          </cell>
          <cell r="AB343" t="str">
            <v>No</v>
          </cell>
          <cell r="AC343" t="str">
            <v>31/08/2013</v>
          </cell>
          <cell r="AD343" t="str">
            <v>Good</v>
          </cell>
          <cell r="AE343" t="str">
            <v>V4 - Decommissioned Installed Facility</v>
          </cell>
          <cell r="AF343">
            <v>42962</v>
          </cell>
          <cell r="AG343">
            <v>9.17</v>
          </cell>
          <cell r="AH343" t="str">
            <v>RI</v>
          </cell>
          <cell r="AI343" t="str">
            <v>Not in contract</v>
          </cell>
          <cell r="AJ343" t="str">
            <v>Not under maintenance</v>
          </cell>
          <cell r="AK343" t="e">
            <v>#N/A</v>
          </cell>
        </row>
        <row r="344">
          <cell r="A344" t="str">
            <v>IKN401665</v>
          </cell>
          <cell r="B344">
            <v>1595</v>
          </cell>
          <cell r="C344" t="str">
            <v>Institut Kanser Negara</v>
          </cell>
          <cell r="D344" t="e">
            <v>#N/A</v>
          </cell>
          <cell r="E344" t="str">
            <v>13-325</v>
          </cell>
          <cell r="F344" t="str">
            <v>Regulators, Suction</v>
          </cell>
          <cell r="G344" t="str">
            <v>WG</v>
          </cell>
          <cell r="H344" t="str">
            <v>RT/ONCO WARD 1 (M)</v>
          </cell>
          <cell r="I344" t="str">
            <v>08WG128</v>
          </cell>
          <cell r="J344" t="str">
            <v>4 BED ROOM</v>
          </cell>
          <cell r="K344" t="str">
            <v>BMED</v>
          </cell>
          <cell r="L344" t="str">
            <v>Normal</v>
          </cell>
          <cell r="M344" t="str">
            <v>United States</v>
          </cell>
          <cell r="N344" t="str">
            <v>OHIO</v>
          </cell>
          <cell r="O344" t="str">
            <v>R244047311229905</v>
          </cell>
          <cell r="P344" t="str">
            <v>GPHS65160</v>
          </cell>
          <cell r="Q344" t="str">
            <v>Not Applicable</v>
          </cell>
          <cell r="R344" t="str">
            <v>OHIO</v>
          </cell>
          <cell r="S344" t="str">
            <v>Respimedic</v>
          </cell>
          <cell r="T344" t="str">
            <v>Functioning</v>
          </cell>
          <cell r="U344" t="str">
            <v>Asset</v>
          </cell>
          <cell r="V344">
            <v>920</v>
          </cell>
          <cell r="W344" t="str">
            <v>KEW</v>
          </cell>
          <cell r="X344" t="str">
            <v>01/09/2010</v>
          </cell>
          <cell r="Y344" t="str">
            <v>KEW</v>
          </cell>
          <cell r="Z344" t="str">
            <v>16/08/2013</v>
          </cell>
          <cell r="AA344" t="str">
            <v>15/08/2015</v>
          </cell>
          <cell r="AB344" t="str">
            <v>No</v>
          </cell>
          <cell r="AC344" t="str">
            <v>31/08/2013</v>
          </cell>
          <cell r="AD344" t="str">
            <v>Good</v>
          </cell>
          <cell r="AE344" t="str">
            <v>V4 - Decommissioned Installed Facility</v>
          </cell>
          <cell r="AF344">
            <v>42962</v>
          </cell>
          <cell r="AG344">
            <v>9.17</v>
          </cell>
          <cell r="AH344" t="str">
            <v>RI</v>
          </cell>
          <cell r="AI344" t="str">
            <v>Not in contract</v>
          </cell>
          <cell r="AJ344" t="str">
            <v>Not under maintenance</v>
          </cell>
          <cell r="AK344" t="e">
            <v>#N/A</v>
          </cell>
        </row>
        <row r="345">
          <cell r="A345" t="str">
            <v>IKN401666</v>
          </cell>
          <cell r="B345">
            <v>1596</v>
          </cell>
          <cell r="C345" t="str">
            <v>Institut Kanser Negara</v>
          </cell>
          <cell r="D345" t="e">
            <v>#N/A</v>
          </cell>
          <cell r="E345" t="str">
            <v>13-325</v>
          </cell>
          <cell r="F345" t="str">
            <v>Regulators, Suction</v>
          </cell>
          <cell r="G345" t="str">
            <v>WG</v>
          </cell>
          <cell r="H345" t="str">
            <v>RT/ONCO WARD 1 (M)</v>
          </cell>
          <cell r="I345" t="str">
            <v>08WG131</v>
          </cell>
          <cell r="J345" t="str">
            <v>4 BED ROOM4</v>
          </cell>
          <cell r="K345" t="str">
            <v>BMED</v>
          </cell>
          <cell r="L345" t="str">
            <v>Normal</v>
          </cell>
          <cell r="M345" t="str">
            <v>United States</v>
          </cell>
          <cell r="N345" t="str">
            <v>OHIO</v>
          </cell>
          <cell r="O345" t="str">
            <v>R244047311229905</v>
          </cell>
          <cell r="P345" t="str">
            <v>GPHS65162</v>
          </cell>
          <cell r="Q345" t="str">
            <v>Not Applicable</v>
          </cell>
          <cell r="R345" t="str">
            <v>OHIO</v>
          </cell>
          <cell r="S345" t="str">
            <v>Respimedic</v>
          </cell>
          <cell r="T345" t="str">
            <v>Functioning</v>
          </cell>
          <cell r="U345" t="str">
            <v>Asset</v>
          </cell>
          <cell r="V345">
            <v>920</v>
          </cell>
          <cell r="W345" t="str">
            <v>KEW</v>
          </cell>
          <cell r="X345" t="str">
            <v>01/09/2010</v>
          </cell>
          <cell r="Y345" t="str">
            <v>KEW</v>
          </cell>
          <cell r="Z345" t="str">
            <v>16/08/2013</v>
          </cell>
          <cell r="AA345" t="str">
            <v>15/08/2015</v>
          </cell>
          <cell r="AB345" t="str">
            <v>No</v>
          </cell>
          <cell r="AC345" t="str">
            <v>31/08/2013</v>
          </cell>
          <cell r="AD345" t="str">
            <v>Good</v>
          </cell>
          <cell r="AE345" t="str">
            <v>V4 - Decommissioned Installed Facility</v>
          </cell>
          <cell r="AF345">
            <v>42962</v>
          </cell>
          <cell r="AG345">
            <v>9.17</v>
          </cell>
          <cell r="AH345" t="str">
            <v>RI</v>
          </cell>
          <cell r="AI345" t="str">
            <v>Not in contract</v>
          </cell>
          <cell r="AJ345" t="str">
            <v>Not under maintenance</v>
          </cell>
          <cell r="AK345" t="e">
            <v>#N/A</v>
          </cell>
        </row>
        <row r="346">
          <cell r="A346" t="str">
            <v>IKN401667</v>
          </cell>
          <cell r="B346">
            <v>1597</v>
          </cell>
          <cell r="C346" t="str">
            <v>Institut Kanser Negara</v>
          </cell>
          <cell r="D346" t="e">
            <v>#N/A</v>
          </cell>
          <cell r="E346" t="str">
            <v>13-325</v>
          </cell>
          <cell r="F346" t="str">
            <v>Regulators, Suction</v>
          </cell>
          <cell r="G346" t="str">
            <v>WG</v>
          </cell>
          <cell r="H346" t="str">
            <v>RT/ONCO WARD 1 (M)</v>
          </cell>
          <cell r="I346" t="str">
            <v>08WG136</v>
          </cell>
          <cell r="J346" t="str">
            <v>4 BED BAY 1</v>
          </cell>
          <cell r="K346" t="str">
            <v>BMED</v>
          </cell>
          <cell r="L346" t="str">
            <v>Normal</v>
          </cell>
          <cell r="M346" t="str">
            <v>United States</v>
          </cell>
          <cell r="N346" t="str">
            <v>OHIO</v>
          </cell>
          <cell r="O346" t="str">
            <v>R244047311229905</v>
          </cell>
          <cell r="P346" t="str">
            <v>GPHS65155</v>
          </cell>
          <cell r="Q346" t="str">
            <v>Not Applicable</v>
          </cell>
          <cell r="R346" t="str">
            <v>OHIO</v>
          </cell>
          <cell r="S346" t="str">
            <v>Respimedic</v>
          </cell>
          <cell r="T346" t="str">
            <v>Functioning</v>
          </cell>
          <cell r="U346" t="str">
            <v>Asset</v>
          </cell>
          <cell r="V346">
            <v>920</v>
          </cell>
          <cell r="W346" t="str">
            <v>KEW</v>
          </cell>
          <cell r="X346" t="str">
            <v>01/09/2010</v>
          </cell>
          <cell r="Y346" t="str">
            <v>KEW</v>
          </cell>
          <cell r="Z346" t="str">
            <v>16/08/2013</v>
          </cell>
          <cell r="AA346" t="str">
            <v>15/08/2015</v>
          </cell>
          <cell r="AB346" t="str">
            <v>No</v>
          </cell>
          <cell r="AC346" t="str">
            <v>31/08/2013</v>
          </cell>
          <cell r="AD346" t="str">
            <v>Good</v>
          </cell>
          <cell r="AE346" t="str">
            <v>V4 - Decommissioned Installed Facility</v>
          </cell>
          <cell r="AF346">
            <v>42962</v>
          </cell>
          <cell r="AG346">
            <v>9.17</v>
          </cell>
          <cell r="AH346" t="str">
            <v>RI</v>
          </cell>
          <cell r="AI346" t="str">
            <v>Not in contract</v>
          </cell>
          <cell r="AJ346" t="str">
            <v>Not under maintenance</v>
          </cell>
          <cell r="AK346" t="e">
            <v>#N/A</v>
          </cell>
        </row>
        <row r="347">
          <cell r="A347" t="str">
            <v>IKN401668</v>
          </cell>
          <cell r="B347">
            <v>1598</v>
          </cell>
          <cell r="C347" t="str">
            <v>Institut Kanser Negara</v>
          </cell>
          <cell r="D347" t="e">
            <v>#N/A</v>
          </cell>
          <cell r="E347" t="str">
            <v>13-325</v>
          </cell>
          <cell r="F347" t="str">
            <v>Regulators, Suction</v>
          </cell>
          <cell r="G347" t="str">
            <v>WG</v>
          </cell>
          <cell r="H347" t="str">
            <v>RT/ONCO WARD 1 (M)</v>
          </cell>
          <cell r="I347" t="str">
            <v>08WG136</v>
          </cell>
          <cell r="J347" t="str">
            <v>4 BED BAY 1</v>
          </cell>
          <cell r="K347" t="str">
            <v>BMED</v>
          </cell>
          <cell r="L347" t="str">
            <v>Normal</v>
          </cell>
          <cell r="M347" t="str">
            <v>United States</v>
          </cell>
          <cell r="N347" t="str">
            <v>OHIO</v>
          </cell>
          <cell r="O347" t="str">
            <v>R244047311229905</v>
          </cell>
          <cell r="P347" t="str">
            <v>GPHS65145</v>
          </cell>
          <cell r="Q347" t="str">
            <v>Not Applicable</v>
          </cell>
          <cell r="R347" t="str">
            <v>OHIO</v>
          </cell>
          <cell r="S347" t="str">
            <v>Respimedic</v>
          </cell>
          <cell r="T347" t="str">
            <v>Functioning</v>
          </cell>
          <cell r="U347" t="str">
            <v>Asset</v>
          </cell>
          <cell r="V347">
            <v>920</v>
          </cell>
          <cell r="W347" t="str">
            <v>KEW</v>
          </cell>
          <cell r="X347" t="str">
            <v>01/09/2010</v>
          </cell>
          <cell r="Y347" t="str">
            <v>KEW</v>
          </cell>
          <cell r="Z347" t="str">
            <v>16/08/2013</v>
          </cell>
          <cell r="AA347" t="str">
            <v>15/08/2015</v>
          </cell>
          <cell r="AB347" t="str">
            <v>No</v>
          </cell>
          <cell r="AC347" t="str">
            <v>31/08/2013</v>
          </cell>
          <cell r="AD347" t="str">
            <v>Good</v>
          </cell>
          <cell r="AE347" t="str">
            <v>V4 - Decommissioned Installed Facility</v>
          </cell>
          <cell r="AF347">
            <v>42962</v>
          </cell>
          <cell r="AG347">
            <v>9.17</v>
          </cell>
          <cell r="AH347" t="str">
            <v>RI</v>
          </cell>
          <cell r="AI347" t="str">
            <v>Not in contract</v>
          </cell>
          <cell r="AJ347" t="str">
            <v>Not under maintenance</v>
          </cell>
          <cell r="AK347" t="e">
            <v>#N/A</v>
          </cell>
        </row>
        <row r="348">
          <cell r="A348" t="str">
            <v>IKN401669</v>
          </cell>
          <cell r="B348">
            <v>1599</v>
          </cell>
          <cell r="C348" t="str">
            <v>Institut Kanser Negara</v>
          </cell>
          <cell r="D348" t="e">
            <v>#N/A</v>
          </cell>
          <cell r="E348" t="str">
            <v>13-325</v>
          </cell>
          <cell r="F348" t="str">
            <v>Regulators, Suction</v>
          </cell>
          <cell r="G348" t="str">
            <v>WG</v>
          </cell>
          <cell r="H348" t="str">
            <v>RT/ONCO WARD 1 (M)</v>
          </cell>
          <cell r="I348" t="str">
            <v>08WG135</v>
          </cell>
          <cell r="J348" t="str">
            <v>4 BED BAY 2</v>
          </cell>
          <cell r="K348" t="str">
            <v>BMED</v>
          </cell>
          <cell r="L348" t="str">
            <v>Normal</v>
          </cell>
          <cell r="M348" t="str">
            <v>United States</v>
          </cell>
          <cell r="N348" t="str">
            <v>OHIO</v>
          </cell>
          <cell r="O348" t="str">
            <v>R244047311229905</v>
          </cell>
          <cell r="P348" t="str">
            <v>GPHS65163</v>
          </cell>
          <cell r="Q348" t="str">
            <v>Not Applicable</v>
          </cell>
          <cell r="R348" t="str">
            <v>OHIO</v>
          </cell>
          <cell r="S348" t="str">
            <v>Respimedic</v>
          </cell>
          <cell r="T348" t="str">
            <v>Functioning</v>
          </cell>
          <cell r="U348" t="str">
            <v>Asset</v>
          </cell>
          <cell r="V348">
            <v>920</v>
          </cell>
          <cell r="W348" t="str">
            <v>KEW</v>
          </cell>
          <cell r="X348" t="str">
            <v>01/09/2010</v>
          </cell>
          <cell r="Y348" t="str">
            <v>KEW</v>
          </cell>
          <cell r="Z348" t="str">
            <v>16/08/2013</v>
          </cell>
          <cell r="AA348" t="str">
            <v>15/08/2015</v>
          </cell>
          <cell r="AB348" t="str">
            <v>No</v>
          </cell>
          <cell r="AC348" t="str">
            <v>31/08/2013</v>
          </cell>
          <cell r="AD348" t="str">
            <v>Good</v>
          </cell>
          <cell r="AE348" t="str">
            <v>V4 - Decommissioned Installed Facility</v>
          </cell>
          <cell r="AF348">
            <v>42962</v>
          </cell>
          <cell r="AG348">
            <v>9.17</v>
          </cell>
          <cell r="AH348" t="str">
            <v>RI</v>
          </cell>
          <cell r="AI348" t="str">
            <v>Not in contract</v>
          </cell>
          <cell r="AJ348" t="str">
            <v>Not under maintenance</v>
          </cell>
          <cell r="AK348" t="e">
            <v>#N/A</v>
          </cell>
        </row>
        <row r="349">
          <cell r="A349" t="str">
            <v>IKN401670</v>
          </cell>
          <cell r="B349">
            <v>1600</v>
          </cell>
          <cell r="C349" t="str">
            <v>Institut Kanser Negara</v>
          </cell>
          <cell r="D349" t="e">
            <v>#N/A</v>
          </cell>
          <cell r="E349" t="str">
            <v>13-325</v>
          </cell>
          <cell r="F349" t="str">
            <v>Regulators, Suction</v>
          </cell>
          <cell r="G349" t="str">
            <v>WH</v>
          </cell>
          <cell r="H349" t="str">
            <v>RT/ONCO WARD 2 (M)</v>
          </cell>
          <cell r="I349" t="str">
            <v>08WH111</v>
          </cell>
          <cell r="J349" t="str">
            <v>2 BED ROOM</v>
          </cell>
          <cell r="K349" t="str">
            <v>BMED</v>
          </cell>
          <cell r="L349" t="str">
            <v>Normal</v>
          </cell>
          <cell r="M349" t="str">
            <v>United States</v>
          </cell>
          <cell r="N349" t="str">
            <v>OHIO</v>
          </cell>
          <cell r="O349" t="str">
            <v>R244047311229905</v>
          </cell>
          <cell r="P349" t="str">
            <v>GPHS65167</v>
          </cell>
          <cell r="Q349" t="str">
            <v>Not Applicable</v>
          </cell>
          <cell r="R349" t="str">
            <v>OHIO</v>
          </cell>
          <cell r="S349" t="str">
            <v>Respimedic</v>
          </cell>
          <cell r="T349" t="str">
            <v>Functioning</v>
          </cell>
          <cell r="U349" t="str">
            <v>Asset</v>
          </cell>
          <cell r="V349">
            <v>920</v>
          </cell>
          <cell r="W349" t="str">
            <v>KEW</v>
          </cell>
          <cell r="X349" t="str">
            <v>01/09/2010</v>
          </cell>
          <cell r="Y349" t="str">
            <v>KEW</v>
          </cell>
          <cell r="Z349" t="str">
            <v>16/08/2013</v>
          </cell>
          <cell r="AA349" t="str">
            <v>15/08/2015</v>
          </cell>
          <cell r="AB349" t="str">
            <v>No</v>
          </cell>
          <cell r="AC349" t="str">
            <v>31/08/2013</v>
          </cell>
          <cell r="AD349" t="str">
            <v>Good</v>
          </cell>
          <cell r="AE349" t="str">
            <v>V4 - Decommissioned Installed Facility</v>
          </cell>
          <cell r="AF349">
            <v>42962</v>
          </cell>
          <cell r="AG349">
            <v>9.17</v>
          </cell>
          <cell r="AH349" t="str">
            <v>RI</v>
          </cell>
          <cell r="AI349" t="str">
            <v>Not in contract</v>
          </cell>
          <cell r="AJ349" t="str">
            <v>Not under maintenance</v>
          </cell>
          <cell r="AK349" t="e">
            <v>#N/A</v>
          </cell>
        </row>
        <row r="350">
          <cell r="A350" t="str">
            <v>IKN401671</v>
          </cell>
          <cell r="B350">
            <v>1601</v>
          </cell>
          <cell r="C350" t="str">
            <v>Institut Kanser Negara</v>
          </cell>
          <cell r="D350" t="e">
            <v>#N/A</v>
          </cell>
          <cell r="E350" t="str">
            <v>13-325</v>
          </cell>
          <cell r="F350" t="str">
            <v>Regulators, Suction</v>
          </cell>
          <cell r="G350" t="str">
            <v>WH</v>
          </cell>
          <cell r="H350" t="str">
            <v>RT/ONCO WARD 2 (M)</v>
          </cell>
          <cell r="I350" t="str">
            <v>08WH111</v>
          </cell>
          <cell r="J350" t="str">
            <v>2 BED ROOM</v>
          </cell>
          <cell r="K350" t="str">
            <v>BMED</v>
          </cell>
          <cell r="L350" t="str">
            <v>Normal</v>
          </cell>
          <cell r="M350" t="str">
            <v>United States</v>
          </cell>
          <cell r="N350" t="str">
            <v>OHIO</v>
          </cell>
          <cell r="O350" t="str">
            <v>R244047311229905</v>
          </cell>
          <cell r="P350" t="str">
            <v>GPHS65116</v>
          </cell>
          <cell r="Q350" t="str">
            <v>Not Applicable</v>
          </cell>
          <cell r="R350" t="str">
            <v>OHIO</v>
          </cell>
          <cell r="S350" t="str">
            <v>Respimedic</v>
          </cell>
          <cell r="T350" t="str">
            <v>Functioning</v>
          </cell>
          <cell r="U350" t="str">
            <v>Asset</v>
          </cell>
          <cell r="V350">
            <v>920</v>
          </cell>
          <cell r="W350" t="str">
            <v>KEW</v>
          </cell>
          <cell r="X350" t="str">
            <v>01/09/2010</v>
          </cell>
          <cell r="Y350" t="str">
            <v>KEW</v>
          </cell>
          <cell r="Z350" t="str">
            <v>16/08/2013</v>
          </cell>
          <cell r="AA350" t="str">
            <v>15/08/2015</v>
          </cell>
          <cell r="AB350" t="str">
            <v>No</v>
          </cell>
          <cell r="AC350" t="str">
            <v>31/08/2013</v>
          </cell>
          <cell r="AD350" t="str">
            <v>Good</v>
          </cell>
          <cell r="AE350" t="str">
            <v>V4 - Decommissioned Installed Facility</v>
          </cell>
          <cell r="AF350">
            <v>42962</v>
          </cell>
          <cell r="AG350">
            <v>9.17</v>
          </cell>
          <cell r="AH350" t="str">
            <v>RI</v>
          </cell>
          <cell r="AI350" t="str">
            <v>Not in contract</v>
          </cell>
          <cell r="AJ350" t="str">
            <v>Not under maintenance</v>
          </cell>
          <cell r="AK350" t="e">
            <v>#N/A</v>
          </cell>
        </row>
        <row r="351">
          <cell r="A351" t="str">
            <v>IKN401672</v>
          </cell>
          <cell r="B351">
            <v>1602</v>
          </cell>
          <cell r="C351" t="str">
            <v>Institut Kanser Negara</v>
          </cell>
          <cell r="D351" t="e">
            <v>#N/A</v>
          </cell>
          <cell r="E351" t="str">
            <v>13-325</v>
          </cell>
          <cell r="F351" t="str">
            <v>Regulators, Suction</v>
          </cell>
          <cell r="G351" t="str">
            <v>WH</v>
          </cell>
          <cell r="H351" t="str">
            <v>RT/ONCO WARD 2 (M)</v>
          </cell>
          <cell r="I351" t="str">
            <v>08WH108</v>
          </cell>
          <cell r="J351" t="str">
            <v>4 BED ROOM 1</v>
          </cell>
          <cell r="K351" t="str">
            <v>BMED</v>
          </cell>
          <cell r="L351" t="str">
            <v>Normal</v>
          </cell>
          <cell r="M351" t="str">
            <v>United States</v>
          </cell>
          <cell r="N351" t="str">
            <v>OHIO</v>
          </cell>
          <cell r="O351" t="str">
            <v>R244047311229905</v>
          </cell>
          <cell r="P351" t="str">
            <v>GPHS65114</v>
          </cell>
          <cell r="Q351" t="str">
            <v>Not Applicable</v>
          </cell>
          <cell r="R351" t="str">
            <v>OHIO</v>
          </cell>
          <cell r="S351" t="str">
            <v>Respimedic</v>
          </cell>
          <cell r="T351" t="str">
            <v>Functioning</v>
          </cell>
          <cell r="U351" t="str">
            <v>Asset</v>
          </cell>
          <cell r="V351">
            <v>920</v>
          </cell>
          <cell r="W351" t="str">
            <v>KEW</v>
          </cell>
          <cell r="X351" t="str">
            <v>01/09/2010</v>
          </cell>
          <cell r="Y351" t="str">
            <v>KEW</v>
          </cell>
          <cell r="Z351" t="str">
            <v>16/08/2013</v>
          </cell>
          <cell r="AA351" t="str">
            <v>15/08/2015</v>
          </cell>
          <cell r="AB351" t="str">
            <v>No</v>
          </cell>
          <cell r="AC351" t="str">
            <v>31/08/2013</v>
          </cell>
          <cell r="AD351" t="str">
            <v>Good</v>
          </cell>
          <cell r="AE351" t="str">
            <v>V4 - Decommissioned Installed Facility</v>
          </cell>
          <cell r="AF351">
            <v>42962</v>
          </cell>
          <cell r="AG351">
            <v>9.17</v>
          </cell>
          <cell r="AH351" t="str">
            <v>RI</v>
          </cell>
          <cell r="AI351" t="str">
            <v>Not in contract</v>
          </cell>
          <cell r="AJ351" t="str">
            <v>Not under maintenance</v>
          </cell>
          <cell r="AK351" t="e">
            <v>#N/A</v>
          </cell>
        </row>
        <row r="352">
          <cell r="A352" t="str">
            <v>IKN401673</v>
          </cell>
          <cell r="B352">
            <v>1603</v>
          </cell>
          <cell r="C352" t="str">
            <v>Institut Kanser Negara</v>
          </cell>
          <cell r="D352" t="e">
            <v>#N/A</v>
          </cell>
          <cell r="E352" t="str">
            <v>13-325</v>
          </cell>
          <cell r="F352" t="str">
            <v>Regulators, Suction</v>
          </cell>
          <cell r="G352" t="str">
            <v>WH</v>
          </cell>
          <cell r="H352" t="str">
            <v>RT/ONCO WARD 2 (M)</v>
          </cell>
          <cell r="I352" t="str">
            <v>08WH108</v>
          </cell>
          <cell r="J352" t="str">
            <v>4 BED ROOM 1</v>
          </cell>
          <cell r="K352" t="str">
            <v>BMED</v>
          </cell>
          <cell r="L352" t="str">
            <v>Normal</v>
          </cell>
          <cell r="M352" t="str">
            <v>United States</v>
          </cell>
          <cell r="N352" t="str">
            <v>OHIO</v>
          </cell>
          <cell r="O352" t="str">
            <v>R244047311229905</v>
          </cell>
          <cell r="P352" t="str">
            <v>GPHS65117</v>
          </cell>
          <cell r="Q352" t="str">
            <v>Not Applicable</v>
          </cell>
          <cell r="R352" t="str">
            <v>OHIO</v>
          </cell>
          <cell r="S352" t="str">
            <v>Respimedic</v>
          </cell>
          <cell r="T352" t="str">
            <v>Functioning</v>
          </cell>
          <cell r="U352" t="str">
            <v>Asset</v>
          </cell>
          <cell r="V352">
            <v>920</v>
          </cell>
          <cell r="W352" t="str">
            <v>KEW</v>
          </cell>
          <cell r="X352" t="str">
            <v>01/09/2010</v>
          </cell>
          <cell r="Y352" t="str">
            <v>KEW</v>
          </cell>
          <cell r="Z352" t="str">
            <v>16/08/2013</v>
          </cell>
          <cell r="AA352" t="str">
            <v>15/08/2015</v>
          </cell>
          <cell r="AB352" t="str">
            <v>No</v>
          </cell>
          <cell r="AC352" t="str">
            <v>31/08/2013</v>
          </cell>
          <cell r="AD352" t="str">
            <v>Good</v>
          </cell>
          <cell r="AE352" t="str">
            <v>V4 - Decommissioned Installed Facility</v>
          </cell>
          <cell r="AF352">
            <v>42962</v>
          </cell>
          <cell r="AG352">
            <v>9.17</v>
          </cell>
          <cell r="AH352" t="str">
            <v>RI</v>
          </cell>
          <cell r="AI352" t="str">
            <v>Not in contract</v>
          </cell>
          <cell r="AJ352" t="str">
            <v>Not under maintenance</v>
          </cell>
          <cell r="AK352" t="e">
            <v>#N/A</v>
          </cell>
        </row>
        <row r="353">
          <cell r="A353" t="str">
            <v>IKN401674</v>
          </cell>
          <cell r="B353">
            <v>1604</v>
          </cell>
          <cell r="C353" t="str">
            <v>Institut Kanser Negara</v>
          </cell>
          <cell r="D353" t="e">
            <v>#N/A</v>
          </cell>
          <cell r="E353" t="str">
            <v>13-325</v>
          </cell>
          <cell r="F353" t="str">
            <v>Regulators, Suction</v>
          </cell>
          <cell r="G353" t="str">
            <v>WH</v>
          </cell>
          <cell r="H353" t="str">
            <v>RT/ONCO WARD 2 (M)</v>
          </cell>
          <cell r="I353" t="str">
            <v>08WH108</v>
          </cell>
          <cell r="J353" t="str">
            <v>4 BED ROOM 1</v>
          </cell>
          <cell r="K353" t="str">
            <v>BMED</v>
          </cell>
          <cell r="L353" t="str">
            <v>Normal</v>
          </cell>
          <cell r="M353" t="str">
            <v>United States</v>
          </cell>
          <cell r="N353" t="str">
            <v>OHIO</v>
          </cell>
          <cell r="O353" t="str">
            <v>R244047311229905</v>
          </cell>
          <cell r="P353" t="str">
            <v>GPHS65166</v>
          </cell>
          <cell r="Q353" t="str">
            <v>Not Applicable</v>
          </cell>
          <cell r="R353" t="str">
            <v>OHIO</v>
          </cell>
          <cell r="S353" t="str">
            <v>Respimedic</v>
          </cell>
          <cell r="T353" t="str">
            <v>Functioning</v>
          </cell>
          <cell r="U353" t="str">
            <v>Asset</v>
          </cell>
          <cell r="V353">
            <v>920</v>
          </cell>
          <cell r="W353" t="str">
            <v>KEW</v>
          </cell>
          <cell r="X353" t="str">
            <v>01/09/2010</v>
          </cell>
          <cell r="Y353" t="str">
            <v>KEW</v>
          </cell>
          <cell r="Z353" t="str">
            <v>16/08/2013</v>
          </cell>
          <cell r="AA353" t="str">
            <v>15/08/2015</v>
          </cell>
          <cell r="AB353" t="str">
            <v>No</v>
          </cell>
          <cell r="AC353" t="str">
            <v>31/08/2013</v>
          </cell>
          <cell r="AD353" t="str">
            <v>Good</v>
          </cell>
          <cell r="AE353" t="str">
            <v>V4 - Decommissioned Installed Facility</v>
          </cell>
          <cell r="AF353">
            <v>42962</v>
          </cell>
          <cell r="AG353">
            <v>9.17</v>
          </cell>
          <cell r="AH353" t="str">
            <v>RI</v>
          </cell>
          <cell r="AI353" t="str">
            <v>Not in contract</v>
          </cell>
          <cell r="AJ353" t="str">
            <v>Not under maintenance</v>
          </cell>
          <cell r="AK353" t="e">
            <v>#N/A</v>
          </cell>
        </row>
        <row r="354">
          <cell r="A354" t="str">
            <v>IKN401675</v>
          </cell>
          <cell r="B354">
            <v>1605</v>
          </cell>
          <cell r="C354" t="str">
            <v>Institut Kanser Negara</v>
          </cell>
          <cell r="D354" t="e">
            <v>#N/A</v>
          </cell>
          <cell r="E354" t="str">
            <v>13-325</v>
          </cell>
          <cell r="F354" t="str">
            <v>Regulators, Suction</v>
          </cell>
          <cell r="G354" t="str">
            <v>WH</v>
          </cell>
          <cell r="H354" t="str">
            <v>RT/ONCO WARD 2 (M)</v>
          </cell>
          <cell r="I354" t="str">
            <v>08WH115</v>
          </cell>
          <cell r="J354" t="str">
            <v>AIRLOCK</v>
          </cell>
          <cell r="K354" t="str">
            <v>BMED</v>
          </cell>
          <cell r="L354" t="str">
            <v>Normal</v>
          </cell>
          <cell r="M354" t="str">
            <v>United States</v>
          </cell>
          <cell r="N354" t="str">
            <v>OHIO</v>
          </cell>
          <cell r="O354" t="str">
            <v>R244047311229905</v>
          </cell>
          <cell r="P354" t="str">
            <v>GPHS65078</v>
          </cell>
          <cell r="Q354" t="str">
            <v>Not Applicable</v>
          </cell>
          <cell r="R354" t="str">
            <v>OHIO</v>
          </cell>
          <cell r="S354" t="str">
            <v>Respimedic</v>
          </cell>
          <cell r="T354" t="str">
            <v>Functioning</v>
          </cell>
          <cell r="U354" t="str">
            <v>Asset</v>
          </cell>
          <cell r="V354">
            <v>920</v>
          </cell>
          <cell r="W354" t="str">
            <v>KEW</v>
          </cell>
          <cell r="X354" t="str">
            <v>01/09/2010</v>
          </cell>
          <cell r="Y354" t="str">
            <v>KEW</v>
          </cell>
          <cell r="Z354" t="str">
            <v>16/08/2013</v>
          </cell>
          <cell r="AA354" t="str">
            <v>15/08/2015</v>
          </cell>
          <cell r="AB354" t="str">
            <v>No</v>
          </cell>
          <cell r="AC354" t="str">
            <v>31/08/2013</v>
          </cell>
          <cell r="AD354" t="str">
            <v>Good</v>
          </cell>
          <cell r="AE354" t="str">
            <v>V4 - Decommissioned Installed Facility</v>
          </cell>
          <cell r="AF354">
            <v>42962</v>
          </cell>
          <cell r="AG354">
            <v>9.17</v>
          </cell>
          <cell r="AH354" t="str">
            <v>RI</v>
          </cell>
          <cell r="AI354" t="str">
            <v>Not in contract</v>
          </cell>
          <cell r="AJ354" t="str">
            <v>Not under maintenance</v>
          </cell>
          <cell r="AK354" t="e">
            <v>#N/A</v>
          </cell>
        </row>
        <row r="355">
          <cell r="A355" t="str">
            <v>IKN401676</v>
          </cell>
          <cell r="B355">
            <v>1606</v>
          </cell>
          <cell r="C355" t="str">
            <v>Institut Kanser Negara</v>
          </cell>
          <cell r="D355" t="e">
            <v>#N/A</v>
          </cell>
          <cell r="E355" t="str">
            <v>13-325</v>
          </cell>
          <cell r="F355" t="str">
            <v>Regulators, Suction</v>
          </cell>
          <cell r="G355" t="str">
            <v>WH</v>
          </cell>
          <cell r="H355" t="str">
            <v>RT/ONCO WARD 2 (M)</v>
          </cell>
          <cell r="I355" t="str">
            <v>08WH124</v>
          </cell>
          <cell r="J355" t="str">
            <v>AIRLOCK</v>
          </cell>
          <cell r="K355" t="str">
            <v>BMED</v>
          </cell>
          <cell r="L355" t="str">
            <v>Normal</v>
          </cell>
          <cell r="M355" t="str">
            <v>United States</v>
          </cell>
          <cell r="N355" t="str">
            <v>OHIO</v>
          </cell>
          <cell r="O355" t="str">
            <v>R244047311229905</v>
          </cell>
          <cell r="P355" t="str">
            <v>GPHS65118</v>
          </cell>
          <cell r="Q355" t="str">
            <v>Not Applicable</v>
          </cell>
          <cell r="R355" t="str">
            <v>OHIO</v>
          </cell>
          <cell r="S355" t="str">
            <v>Respimedic</v>
          </cell>
          <cell r="T355" t="str">
            <v>Functioning</v>
          </cell>
          <cell r="U355" t="str">
            <v>Asset</v>
          </cell>
          <cell r="V355">
            <v>920</v>
          </cell>
          <cell r="W355" t="str">
            <v>KEW</v>
          </cell>
          <cell r="X355" t="str">
            <v>01/09/2010</v>
          </cell>
          <cell r="Y355" t="str">
            <v>KEW</v>
          </cell>
          <cell r="Z355" t="str">
            <v>16/08/2013</v>
          </cell>
          <cell r="AA355" t="str">
            <v>15/08/2015</v>
          </cell>
          <cell r="AB355" t="str">
            <v>No</v>
          </cell>
          <cell r="AC355" t="str">
            <v>31/08/2013</v>
          </cell>
          <cell r="AD355" t="str">
            <v>Good</v>
          </cell>
          <cell r="AE355" t="str">
            <v>V4 - Decommissioned Installed Facility</v>
          </cell>
          <cell r="AF355">
            <v>42962</v>
          </cell>
          <cell r="AG355">
            <v>9.17</v>
          </cell>
          <cell r="AH355" t="str">
            <v>RI</v>
          </cell>
          <cell r="AI355" t="str">
            <v>Not in contract</v>
          </cell>
          <cell r="AJ355" t="str">
            <v>Not under maintenance</v>
          </cell>
          <cell r="AK355" t="e">
            <v>#N/A</v>
          </cell>
        </row>
        <row r="356">
          <cell r="A356" t="str">
            <v>IKN401677</v>
          </cell>
          <cell r="B356">
            <v>1607</v>
          </cell>
          <cell r="C356" t="str">
            <v>Institut Kanser Negara</v>
          </cell>
          <cell r="D356" t="e">
            <v>#N/A</v>
          </cell>
          <cell r="E356" t="str">
            <v>13-325</v>
          </cell>
          <cell r="F356" t="str">
            <v>Regulators, Suction</v>
          </cell>
          <cell r="G356" t="str">
            <v>WH</v>
          </cell>
          <cell r="H356" t="str">
            <v>RT/ONCO WARD 2 (M)</v>
          </cell>
          <cell r="I356" t="str">
            <v>08WH128</v>
          </cell>
          <cell r="J356" t="str">
            <v>4 BED ROOM 3</v>
          </cell>
          <cell r="K356" t="str">
            <v>BMED</v>
          </cell>
          <cell r="L356" t="str">
            <v>Normal</v>
          </cell>
          <cell r="M356" t="str">
            <v>United States</v>
          </cell>
          <cell r="N356" t="str">
            <v>OHIO</v>
          </cell>
          <cell r="O356" t="str">
            <v>R244047311229905</v>
          </cell>
          <cell r="P356" t="str">
            <v>GPHS65168</v>
          </cell>
          <cell r="Q356" t="str">
            <v>Not Applicable</v>
          </cell>
          <cell r="R356" t="str">
            <v>OHIO</v>
          </cell>
          <cell r="S356" t="str">
            <v>Respimedic</v>
          </cell>
          <cell r="T356" t="str">
            <v>Functioning</v>
          </cell>
          <cell r="U356" t="str">
            <v>Asset</v>
          </cell>
          <cell r="V356">
            <v>920</v>
          </cell>
          <cell r="W356" t="str">
            <v>KEW</v>
          </cell>
          <cell r="X356" t="str">
            <v>01/09/2010</v>
          </cell>
          <cell r="Y356" t="str">
            <v>KEW</v>
          </cell>
          <cell r="Z356" t="str">
            <v>16/08/2013</v>
          </cell>
          <cell r="AA356" t="str">
            <v>15/08/2015</v>
          </cell>
          <cell r="AB356" t="str">
            <v>No</v>
          </cell>
          <cell r="AC356" t="str">
            <v>31/08/2013</v>
          </cell>
          <cell r="AD356" t="str">
            <v>Good</v>
          </cell>
          <cell r="AE356" t="str">
            <v>V4 - Decommissioned Installed Facility</v>
          </cell>
          <cell r="AF356">
            <v>42962</v>
          </cell>
          <cell r="AG356">
            <v>9.17</v>
          </cell>
          <cell r="AH356" t="str">
            <v>RI</v>
          </cell>
          <cell r="AI356" t="str">
            <v>Not in contract</v>
          </cell>
          <cell r="AJ356" t="str">
            <v>Not under maintenance</v>
          </cell>
          <cell r="AK356" t="e">
            <v>#N/A</v>
          </cell>
        </row>
        <row r="357">
          <cell r="A357" t="str">
            <v>IKN401678</v>
          </cell>
          <cell r="B357">
            <v>1608</v>
          </cell>
          <cell r="C357" t="str">
            <v>Institut Kanser Negara</v>
          </cell>
          <cell r="D357" t="e">
            <v>#N/A</v>
          </cell>
          <cell r="E357" t="str">
            <v>13-325</v>
          </cell>
          <cell r="F357" t="str">
            <v>Regulators, Suction</v>
          </cell>
          <cell r="G357" t="str">
            <v>WH</v>
          </cell>
          <cell r="H357" t="str">
            <v>RT/ONCO WARD 2 (M)</v>
          </cell>
          <cell r="I357" t="str">
            <v>08WH131</v>
          </cell>
          <cell r="J357" t="str">
            <v>4 BED ROOM 4</v>
          </cell>
          <cell r="K357" t="str">
            <v>BMED</v>
          </cell>
          <cell r="L357" t="str">
            <v>Normal</v>
          </cell>
          <cell r="M357" t="str">
            <v>United States</v>
          </cell>
          <cell r="N357" t="str">
            <v>OHIO</v>
          </cell>
          <cell r="O357" t="str">
            <v>R244047311229905</v>
          </cell>
          <cell r="P357" t="str">
            <v>GPHS65169</v>
          </cell>
          <cell r="Q357" t="str">
            <v>Not Applicable</v>
          </cell>
          <cell r="R357" t="str">
            <v>OHIO</v>
          </cell>
          <cell r="S357" t="str">
            <v>Respimedic</v>
          </cell>
          <cell r="T357" t="str">
            <v>Functioning</v>
          </cell>
          <cell r="U357" t="str">
            <v>Asset</v>
          </cell>
          <cell r="V357">
            <v>920</v>
          </cell>
          <cell r="W357" t="str">
            <v>KEW</v>
          </cell>
          <cell r="X357" t="str">
            <v>01/09/2010</v>
          </cell>
          <cell r="Y357" t="str">
            <v>KEW</v>
          </cell>
          <cell r="Z357" t="str">
            <v>16/08/2013</v>
          </cell>
          <cell r="AA357" t="str">
            <v>15/08/2015</v>
          </cell>
          <cell r="AB357" t="str">
            <v>No</v>
          </cell>
          <cell r="AC357" t="str">
            <v>31/08/2013</v>
          </cell>
          <cell r="AD357" t="str">
            <v>Good</v>
          </cell>
          <cell r="AE357" t="str">
            <v>V4 - Decommissioned Installed Facility</v>
          </cell>
          <cell r="AF357">
            <v>42962</v>
          </cell>
          <cell r="AG357">
            <v>9.17</v>
          </cell>
          <cell r="AH357" t="str">
            <v>RI</v>
          </cell>
          <cell r="AI357" t="str">
            <v>Not in contract</v>
          </cell>
          <cell r="AJ357" t="str">
            <v>Not under maintenance</v>
          </cell>
          <cell r="AK357" t="e">
            <v>#N/A</v>
          </cell>
        </row>
        <row r="358">
          <cell r="A358" t="str">
            <v>IKN401679</v>
          </cell>
          <cell r="B358">
            <v>1609</v>
          </cell>
          <cell r="C358" t="str">
            <v>Institut Kanser Negara</v>
          </cell>
          <cell r="D358" t="e">
            <v>#N/A</v>
          </cell>
          <cell r="E358" t="str">
            <v>13-325</v>
          </cell>
          <cell r="F358" t="str">
            <v>Regulators, Suction</v>
          </cell>
          <cell r="G358" t="str">
            <v>WH</v>
          </cell>
          <cell r="H358" t="str">
            <v>RT/ONCO WARD 2 (M)</v>
          </cell>
          <cell r="I358" t="str">
            <v>08WH131</v>
          </cell>
          <cell r="J358" t="str">
            <v>4 BED ROOM 4</v>
          </cell>
          <cell r="K358" t="str">
            <v>BMED</v>
          </cell>
          <cell r="L358" t="str">
            <v>Normal</v>
          </cell>
          <cell r="M358" t="str">
            <v>United States</v>
          </cell>
          <cell r="N358" t="str">
            <v>OHIO</v>
          </cell>
          <cell r="O358" t="str">
            <v>R244047311229905</v>
          </cell>
          <cell r="P358" t="str">
            <v>GPHS65112</v>
          </cell>
          <cell r="Q358" t="str">
            <v>Not Applicable</v>
          </cell>
          <cell r="R358" t="str">
            <v>OHIO</v>
          </cell>
          <cell r="S358" t="str">
            <v>Respimedic</v>
          </cell>
          <cell r="T358" t="str">
            <v>Functioning</v>
          </cell>
          <cell r="U358" t="str">
            <v>Asset</v>
          </cell>
          <cell r="V358">
            <v>920</v>
          </cell>
          <cell r="W358" t="str">
            <v>KEW</v>
          </cell>
          <cell r="X358" t="str">
            <v>01/09/2010</v>
          </cell>
          <cell r="Y358" t="str">
            <v>KEW</v>
          </cell>
          <cell r="Z358" t="str">
            <v>16/08/2013</v>
          </cell>
          <cell r="AA358" t="str">
            <v>15/08/2015</v>
          </cell>
          <cell r="AB358" t="str">
            <v>No</v>
          </cell>
          <cell r="AC358" t="str">
            <v>31/08/2013</v>
          </cell>
          <cell r="AD358" t="str">
            <v>Good</v>
          </cell>
          <cell r="AE358" t="str">
            <v>V4 - Decommissioned Installed Facility</v>
          </cell>
          <cell r="AF358">
            <v>42962</v>
          </cell>
          <cell r="AG358">
            <v>9.17</v>
          </cell>
          <cell r="AH358" t="str">
            <v>RI</v>
          </cell>
          <cell r="AI358" t="str">
            <v>Not in contract</v>
          </cell>
          <cell r="AJ358" t="str">
            <v>Not under maintenance</v>
          </cell>
          <cell r="AK358" t="e">
            <v>#N/A</v>
          </cell>
        </row>
        <row r="359">
          <cell r="A359" t="str">
            <v>IKN401680</v>
          </cell>
          <cell r="B359">
            <v>1610</v>
          </cell>
          <cell r="C359" t="str">
            <v>Institut Kanser Negara</v>
          </cell>
          <cell r="D359" t="e">
            <v>#N/A</v>
          </cell>
          <cell r="E359" t="str">
            <v>13-325</v>
          </cell>
          <cell r="F359" t="str">
            <v>Regulators, Suction</v>
          </cell>
          <cell r="G359" t="str">
            <v>WH</v>
          </cell>
          <cell r="H359" t="str">
            <v>RT/ONCO WARD 2 (M)</v>
          </cell>
          <cell r="I359" t="str">
            <v>08WH107</v>
          </cell>
          <cell r="J359" t="str">
            <v>TREATMENT / PROCEDURE</v>
          </cell>
          <cell r="K359" t="str">
            <v>BMED</v>
          </cell>
          <cell r="L359" t="str">
            <v>Normal</v>
          </cell>
          <cell r="M359" t="str">
            <v>United States</v>
          </cell>
          <cell r="N359" t="str">
            <v>OHIO</v>
          </cell>
          <cell r="O359" t="str">
            <v>R244047311229905</v>
          </cell>
          <cell r="P359" t="str">
            <v>GPHS65115</v>
          </cell>
          <cell r="Q359" t="str">
            <v>Not Applicable</v>
          </cell>
          <cell r="R359" t="str">
            <v>OHIO</v>
          </cell>
          <cell r="S359" t="str">
            <v>Respimedic</v>
          </cell>
          <cell r="T359" t="str">
            <v>Functioning</v>
          </cell>
          <cell r="U359" t="str">
            <v>Asset</v>
          </cell>
          <cell r="V359">
            <v>920</v>
          </cell>
          <cell r="W359" t="str">
            <v>KEW</v>
          </cell>
          <cell r="X359" t="str">
            <v>01/09/2010</v>
          </cell>
          <cell r="Y359" t="str">
            <v>KEW</v>
          </cell>
          <cell r="Z359" t="str">
            <v>16/08/2013</v>
          </cell>
          <cell r="AA359" t="str">
            <v>15/08/2015</v>
          </cell>
          <cell r="AB359" t="str">
            <v>No</v>
          </cell>
          <cell r="AC359" t="str">
            <v>31/08/2013</v>
          </cell>
          <cell r="AD359" t="str">
            <v>Good</v>
          </cell>
          <cell r="AE359" t="str">
            <v>V4 - Decommissioned Installed Facility</v>
          </cell>
          <cell r="AF359">
            <v>42962</v>
          </cell>
          <cell r="AG359">
            <v>9.17</v>
          </cell>
          <cell r="AH359" t="str">
            <v>RI</v>
          </cell>
          <cell r="AI359" t="str">
            <v>Not in contract</v>
          </cell>
          <cell r="AJ359" t="str">
            <v>Not under maintenance</v>
          </cell>
          <cell r="AK359" t="e">
            <v>#N/A</v>
          </cell>
        </row>
        <row r="360">
          <cell r="A360" t="str">
            <v>IKN400238</v>
          </cell>
          <cell r="B360">
            <v>238</v>
          </cell>
          <cell r="C360" t="str">
            <v>Institut Kanser Negara</v>
          </cell>
          <cell r="D360" t="e">
            <v>#N/A</v>
          </cell>
          <cell r="E360" t="str">
            <v>10-447</v>
          </cell>
          <cell r="F360" t="str">
            <v>Warming Units, Blood/Solution</v>
          </cell>
          <cell r="G360" t="str">
            <v>WG</v>
          </cell>
          <cell r="H360" t="str">
            <v>RT/ONCO WARD 1 (M)</v>
          </cell>
          <cell r="I360" t="str">
            <v>08WG113</v>
          </cell>
          <cell r="J360" t="str">
            <v>EQUIPMENT ROOM</v>
          </cell>
          <cell r="K360" t="str">
            <v>BMED</v>
          </cell>
          <cell r="L360" t="str">
            <v>Normal</v>
          </cell>
          <cell r="M360" t="str">
            <v>Japan</v>
          </cell>
          <cell r="N360" t="str">
            <v>Animec</v>
          </cell>
          <cell r="O360" t="str">
            <v>Animec AM-301</v>
          </cell>
          <cell r="P360" t="str">
            <v>2012D0156</v>
          </cell>
          <cell r="Q360" t="str">
            <v>Not Applicable</v>
          </cell>
          <cell r="R360" t="str">
            <v>Elltec Co Ltd</v>
          </cell>
          <cell r="S360" t="str">
            <v>IDS Services (Malaysia) Sdn Bhd</v>
          </cell>
          <cell r="T360" t="str">
            <v>Disposed</v>
          </cell>
          <cell r="U360" t="str">
            <v>Asset</v>
          </cell>
          <cell r="V360">
            <v>4990</v>
          </cell>
          <cell r="W360" t="str">
            <v>KEW</v>
          </cell>
          <cell r="X360" t="str">
            <v>01/09/2010</v>
          </cell>
          <cell r="Y360" t="str">
            <v>KEW</v>
          </cell>
          <cell r="Z360" t="str">
            <v>16/08/2013</v>
          </cell>
          <cell r="AA360" t="str">
            <v>15/08/2015</v>
          </cell>
          <cell r="AB360" t="str">
            <v>No</v>
          </cell>
          <cell r="AC360" t="str">
            <v>31/08/2013</v>
          </cell>
          <cell r="AD360" t="str">
            <v>Good</v>
          </cell>
          <cell r="AE360" t="str">
            <v>V4 - Decommissioned Installed Facility</v>
          </cell>
          <cell r="AF360">
            <v>42741</v>
          </cell>
          <cell r="AG360">
            <v>9.17</v>
          </cell>
          <cell r="AH360" t="str">
            <v>PPM</v>
          </cell>
          <cell r="AI360" t="str">
            <v>Not in contract</v>
          </cell>
          <cell r="AJ360" t="str">
            <v>Not in contract</v>
          </cell>
          <cell r="AK360" t="e">
            <v>#N/A</v>
          </cell>
        </row>
        <row r="361">
          <cell r="A361" t="str">
            <v>IKN400239</v>
          </cell>
          <cell r="B361">
            <v>239</v>
          </cell>
          <cell r="C361" t="str">
            <v>Institut Kanser Negara</v>
          </cell>
          <cell r="D361" t="e">
            <v>#N/A</v>
          </cell>
          <cell r="E361" t="str">
            <v>10-447</v>
          </cell>
          <cell r="F361" t="str">
            <v>Warming Units, Blood/Solution</v>
          </cell>
          <cell r="G361" t="str">
            <v>WG</v>
          </cell>
          <cell r="H361" t="str">
            <v>RT/ONCO WARD 1 (M)</v>
          </cell>
          <cell r="I361" t="str">
            <v>08WG113</v>
          </cell>
          <cell r="J361" t="str">
            <v>EQUIPMENT ROOM</v>
          </cell>
          <cell r="K361" t="str">
            <v>BMED</v>
          </cell>
          <cell r="L361" t="str">
            <v>Normal</v>
          </cell>
          <cell r="M361" t="str">
            <v>Japan</v>
          </cell>
          <cell r="N361" t="str">
            <v>Animec</v>
          </cell>
          <cell r="O361" t="str">
            <v>Animec AM-301</v>
          </cell>
          <cell r="P361" t="str">
            <v>2013D0249</v>
          </cell>
          <cell r="Q361" t="str">
            <v>Not Applicable</v>
          </cell>
          <cell r="R361" t="str">
            <v>Elltec Co Ltd</v>
          </cell>
          <cell r="S361" t="str">
            <v>IDS Services (Malaysia) Sdn Bhd</v>
          </cell>
          <cell r="T361" t="str">
            <v>Disposed</v>
          </cell>
          <cell r="U361" t="str">
            <v>Asset</v>
          </cell>
          <cell r="V361">
            <v>4990</v>
          </cell>
          <cell r="W361" t="str">
            <v>KEW</v>
          </cell>
          <cell r="X361" t="str">
            <v>01/09/2010</v>
          </cell>
          <cell r="Y361" t="str">
            <v>KEW</v>
          </cell>
          <cell r="Z361" t="str">
            <v>16/08/2013</v>
          </cell>
          <cell r="AA361" t="str">
            <v>15/08/2015</v>
          </cell>
          <cell r="AB361" t="str">
            <v>No</v>
          </cell>
          <cell r="AC361" t="str">
            <v>31/08/2013</v>
          </cell>
          <cell r="AD361" t="str">
            <v>Good</v>
          </cell>
          <cell r="AE361" t="str">
            <v>V4 - Decommissioned Installed Facility</v>
          </cell>
          <cell r="AF361">
            <v>42733</v>
          </cell>
          <cell r="AG361">
            <v>9.17</v>
          </cell>
          <cell r="AH361" t="str">
            <v>PPM</v>
          </cell>
          <cell r="AI361" t="str">
            <v>Not in contract</v>
          </cell>
          <cell r="AJ361" t="str">
            <v>Not in contract</v>
          </cell>
          <cell r="AK361" t="e">
            <v>#N/A</v>
          </cell>
        </row>
        <row r="362">
          <cell r="A362" t="str">
            <v>IKN400240</v>
          </cell>
          <cell r="B362">
            <v>240</v>
          </cell>
          <cell r="C362" t="str">
            <v>Institut Kanser Negara</v>
          </cell>
          <cell r="D362" t="e">
            <v>#N/A</v>
          </cell>
          <cell r="E362" t="str">
            <v>10-447</v>
          </cell>
          <cell r="F362" t="str">
            <v>Warming Units, Blood/Solution</v>
          </cell>
          <cell r="G362" t="str">
            <v>WG</v>
          </cell>
          <cell r="H362" t="str">
            <v>RT/ONCO WARD 1 (M)</v>
          </cell>
          <cell r="I362" t="str">
            <v>08WG113</v>
          </cell>
          <cell r="J362" t="str">
            <v>EQUIPMENT ROOM</v>
          </cell>
          <cell r="K362" t="str">
            <v>BMED</v>
          </cell>
          <cell r="L362" t="str">
            <v>Normal</v>
          </cell>
          <cell r="M362" t="str">
            <v>Japan</v>
          </cell>
          <cell r="N362" t="str">
            <v>Animec</v>
          </cell>
          <cell r="O362" t="str">
            <v>Animec AM-301</v>
          </cell>
          <cell r="P362" t="str">
            <v>2013D0250</v>
          </cell>
          <cell r="Q362" t="str">
            <v>Not Applicable</v>
          </cell>
          <cell r="R362" t="str">
            <v>Elltec Co Ltd</v>
          </cell>
          <cell r="S362" t="str">
            <v>IDS Services (Malaysia) Sdn Bhd</v>
          </cell>
          <cell r="T362" t="str">
            <v>Disposed</v>
          </cell>
          <cell r="U362" t="str">
            <v>Asset</v>
          </cell>
          <cell r="V362">
            <v>4990</v>
          </cell>
          <cell r="W362" t="str">
            <v>KEW</v>
          </cell>
          <cell r="X362" t="str">
            <v>01/09/2010</v>
          </cell>
          <cell r="Y362" t="str">
            <v>KEW</v>
          </cell>
          <cell r="Z362" t="str">
            <v>16/08/2013</v>
          </cell>
          <cell r="AA362" t="str">
            <v>15/08/2015</v>
          </cell>
          <cell r="AB362" t="str">
            <v>No</v>
          </cell>
          <cell r="AC362" t="str">
            <v>31/08/2013</v>
          </cell>
          <cell r="AD362" t="str">
            <v>Good</v>
          </cell>
          <cell r="AE362" t="str">
            <v>V4 - Decommissioned Installed Facility</v>
          </cell>
          <cell r="AF362">
            <v>42733</v>
          </cell>
          <cell r="AG362">
            <v>9.17</v>
          </cell>
          <cell r="AH362" t="str">
            <v>PPM</v>
          </cell>
          <cell r="AI362" t="str">
            <v>Not in contract</v>
          </cell>
          <cell r="AJ362" t="str">
            <v>Not in contract</v>
          </cell>
          <cell r="AK362" t="e">
            <v>#N/A</v>
          </cell>
        </row>
        <row r="363">
          <cell r="A363" t="str">
            <v>IKN400279</v>
          </cell>
          <cell r="B363">
            <v>279</v>
          </cell>
          <cell r="C363" t="str">
            <v>Institut Kanser Negara</v>
          </cell>
          <cell r="D363" t="e">
            <v>#N/A</v>
          </cell>
          <cell r="E363" t="str">
            <v>10-447</v>
          </cell>
          <cell r="F363" t="str">
            <v>Warming Units, Blood/Solution</v>
          </cell>
          <cell r="G363" t="str">
            <v>WH</v>
          </cell>
          <cell r="H363" t="str">
            <v>RT/ONCO WARD 2 (M)</v>
          </cell>
          <cell r="I363" t="str">
            <v>08WH121</v>
          </cell>
          <cell r="J363" t="str">
            <v>EQUIPMENT ROOM</v>
          </cell>
          <cell r="K363" t="str">
            <v>BMED</v>
          </cell>
          <cell r="L363" t="str">
            <v>Normal</v>
          </cell>
          <cell r="M363" t="str">
            <v>Japan</v>
          </cell>
          <cell r="N363" t="str">
            <v>Animec</v>
          </cell>
          <cell r="O363" t="str">
            <v>Animec AM-301</v>
          </cell>
          <cell r="P363" t="str">
            <v>2013D0246</v>
          </cell>
          <cell r="Q363" t="str">
            <v>Not Applicable</v>
          </cell>
          <cell r="R363" t="str">
            <v>Elltec Co Ltd</v>
          </cell>
          <cell r="S363" t="str">
            <v>IDS Services (Malaysia) Sdn Bhd</v>
          </cell>
          <cell r="T363" t="str">
            <v>Not In Use</v>
          </cell>
          <cell r="U363" t="str">
            <v>Asset</v>
          </cell>
          <cell r="V363">
            <v>4990</v>
          </cell>
          <cell r="W363" t="str">
            <v>KEW</v>
          </cell>
          <cell r="X363" t="str">
            <v>01/09/2010</v>
          </cell>
          <cell r="Y363" t="str">
            <v>KEW</v>
          </cell>
          <cell r="Z363" t="str">
            <v>16/08/2013</v>
          </cell>
          <cell r="AA363" t="str">
            <v>15/08/2015</v>
          </cell>
          <cell r="AB363" t="str">
            <v>No</v>
          </cell>
          <cell r="AC363" t="str">
            <v>31/08/2013</v>
          </cell>
          <cell r="AD363" t="str">
            <v>Request for Exemption</v>
          </cell>
          <cell r="AE363" t="str">
            <v>V4 - Decommissioned Installed Facility</v>
          </cell>
          <cell r="AF363">
            <v>43050</v>
          </cell>
          <cell r="AG363">
            <v>9.17</v>
          </cell>
          <cell r="AH363" t="str">
            <v>PPM</v>
          </cell>
          <cell r="AI363" t="str">
            <v>Not in contract</v>
          </cell>
          <cell r="AJ363" t="str">
            <v>Not in contract</v>
          </cell>
          <cell r="AK363" t="e">
            <v>#N/A</v>
          </cell>
        </row>
        <row r="364">
          <cell r="A364" t="str">
            <v>IKN400280</v>
          </cell>
          <cell r="B364">
            <v>280</v>
          </cell>
          <cell r="C364" t="str">
            <v>Institut Kanser Negara</v>
          </cell>
          <cell r="D364" t="e">
            <v>#N/A</v>
          </cell>
          <cell r="E364" t="str">
            <v>10-447</v>
          </cell>
          <cell r="F364" t="str">
            <v>Warming Units, Blood/Solution</v>
          </cell>
          <cell r="G364" t="str">
            <v>WH</v>
          </cell>
          <cell r="H364" t="str">
            <v>RT/ONCO WARD 2 (M)</v>
          </cell>
          <cell r="I364" t="str">
            <v>08WH121</v>
          </cell>
          <cell r="J364" t="str">
            <v>EQUIPMENT ROOM</v>
          </cell>
          <cell r="K364" t="str">
            <v>BMED</v>
          </cell>
          <cell r="L364" t="str">
            <v>Normal</v>
          </cell>
          <cell r="M364" t="str">
            <v>Japan</v>
          </cell>
          <cell r="N364" t="str">
            <v>Animec</v>
          </cell>
          <cell r="O364" t="str">
            <v>Animec AM-301</v>
          </cell>
          <cell r="P364" t="str">
            <v>2013D0245</v>
          </cell>
          <cell r="Q364" t="str">
            <v>Not Applicable</v>
          </cell>
          <cell r="R364" t="str">
            <v>Elltec Co Ltd</v>
          </cell>
          <cell r="S364" t="str">
            <v>IDS Services (Malaysia) Sdn Bhd</v>
          </cell>
          <cell r="T364" t="str">
            <v>Not In Use</v>
          </cell>
          <cell r="U364" t="str">
            <v>Asset</v>
          </cell>
          <cell r="V364">
            <v>4990</v>
          </cell>
          <cell r="W364" t="str">
            <v>KEW</v>
          </cell>
          <cell r="X364" t="str">
            <v>01/09/2010</v>
          </cell>
          <cell r="Y364" t="str">
            <v>KEW</v>
          </cell>
          <cell r="Z364" t="str">
            <v>16/08/2013</v>
          </cell>
          <cell r="AA364" t="str">
            <v>15/08/2015</v>
          </cell>
          <cell r="AB364" t="str">
            <v>No</v>
          </cell>
          <cell r="AC364" t="str">
            <v>31/08/2013</v>
          </cell>
          <cell r="AD364" t="str">
            <v>Good</v>
          </cell>
          <cell r="AE364" t="str">
            <v>V4 - Decommissioned Installed Facility</v>
          </cell>
          <cell r="AF364">
            <v>43050</v>
          </cell>
          <cell r="AG364">
            <v>9.17</v>
          </cell>
          <cell r="AH364" t="str">
            <v>PPM</v>
          </cell>
          <cell r="AI364" t="str">
            <v>Not in contract</v>
          </cell>
          <cell r="AJ364" t="str">
            <v>Not in contract</v>
          </cell>
          <cell r="AK364" t="e">
            <v>#N/A</v>
          </cell>
        </row>
        <row r="365">
          <cell r="A365" t="str">
            <v>IKN400281</v>
          </cell>
          <cell r="B365">
            <v>281</v>
          </cell>
          <cell r="C365" t="str">
            <v>Institut Kanser Negara</v>
          </cell>
          <cell r="D365" t="e">
            <v>#N/A</v>
          </cell>
          <cell r="E365" t="str">
            <v>10-447</v>
          </cell>
          <cell r="F365" t="str">
            <v>Warming Units, Blood/Solution</v>
          </cell>
          <cell r="G365" t="str">
            <v>WH</v>
          </cell>
          <cell r="H365" t="str">
            <v>RT/ONCO WARD 2 (M)</v>
          </cell>
          <cell r="I365" t="str">
            <v>08WH121</v>
          </cell>
          <cell r="J365" t="str">
            <v>EQUIPMENT ROOM</v>
          </cell>
          <cell r="K365" t="str">
            <v>BMED</v>
          </cell>
          <cell r="L365" t="str">
            <v>Normal</v>
          </cell>
          <cell r="M365" t="str">
            <v>Japan</v>
          </cell>
          <cell r="N365" t="str">
            <v>Animec</v>
          </cell>
          <cell r="O365" t="str">
            <v>Animec AM-301</v>
          </cell>
          <cell r="P365" t="str">
            <v>2012D0054</v>
          </cell>
          <cell r="Q365" t="str">
            <v>Not Applicable</v>
          </cell>
          <cell r="R365" t="str">
            <v>Elltec Co Ltd</v>
          </cell>
          <cell r="S365" t="str">
            <v>IDS Services (Malaysia) Sdn Bhd</v>
          </cell>
          <cell r="T365" t="str">
            <v>Disposed</v>
          </cell>
          <cell r="U365" t="str">
            <v>Asset</v>
          </cell>
          <cell r="V365">
            <v>4990</v>
          </cell>
          <cell r="W365" t="str">
            <v>KEW</v>
          </cell>
          <cell r="X365" t="str">
            <v>01/09/2010</v>
          </cell>
          <cell r="Y365" t="str">
            <v>KEW</v>
          </cell>
          <cell r="Z365" t="str">
            <v>16/08/2013</v>
          </cell>
          <cell r="AA365" t="str">
            <v>15/08/2015</v>
          </cell>
          <cell r="AB365" t="str">
            <v>No</v>
          </cell>
          <cell r="AC365" t="str">
            <v>31/08/2013</v>
          </cell>
          <cell r="AD365" t="str">
            <v>Good</v>
          </cell>
          <cell r="AE365" t="str">
            <v>V4 - Decommissioned Installed Facility</v>
          </cell>
          <cell r="AF365">
            <v>42538</v>
          </cell>
          <cell r="AG365">
            <v>9.17</v>
          </cell>
          <cell r="AH365" t="str">
            <v>PPM</v>
          </cell>
          <cell r="AI365" t="str">
            <v>Not in contract</v>
          </cell>
          <cell r="AJ365" t="str">
            <v>Not in contract</v>
          </cell>
          <cell r="AK365" t="e">
            <v>#N/A</v>
          </cell>
        </row>
        <row r="366">
          <cell r="A366" t="str">
            <v>IKN400393</v>
          </cell>
          <cell r="B366">
            <v>393</v>
          </cell>
          <cell r="C366" t="str">
            <v>Institut Kanser Negara</v>
          </cell>
          <cell r="D366" t="e">
            <v>#N/A</v>
          </cell>
          <cell r="E366" t="str">
            <v>10-447</v>
          </cell>
          <cell r="F366" t="str">
            <v>Warming Units, Blood/Solution</v>
          </cell>
          <cell r="G366" t="str">
            <v>WD</v>
          </cell>
          <cell r="H366" t="str">
            <v>RT/ONCO PAED/ADOLESCENT WARD</v>
          </cell>
          <cell r="I366" t="str">
            <v>06WD153</v>
          </cell>
          <cell r="J366" t="str">
            <v>EQP.ROOM</v>
          </cell>
          <cell r="K366" t="str">
            <v>BMED</v>
          </cell>
          <cell r="L366" t="str">
            <v>Normal</v>
          </cell>
          <cell r="M366" t="str">
            <v>Japan</v>
          </cell>
          <cell r="N366" t="str">
            <v>Animec</v>
          </cell>
          <cell r="O366" t="str">
            <v>Animec AM-301</v>
          </cell>
          <cell r="P366" t="str">
            <v>2013D0265</v>
          </cell>
          <cell r="Q366" t="str">
            <v>Not Applicable</v>
          </cell>
          <cell r="R366" t="str">
            <v>Elltec Co Ltd</v>
          </cell>
          <cell r="S366" t="str">
            <v>IDS Services (Malaysia) Sdn Bhd</v>
          </cell>
          <cell r="T366" t="str">
            <v>Disposed</v>
          </cell>
          <cell r="U366" t="str">
            <v>Asset</v>
          </cell>
          <cell r="V366">
            <v>4990</v>
          </cell>
          <cell r="W366" t="str">
            <v>KEW</v>
          </cell>
          <cell r="X366" t="str">
            <v>01/09/2010</v>
          </cell>
          <cell r="Y366" t="str">
            <v>KEW</v>
          </cell>
          <cell r="Z366" t="str">
            <v>16/08/2013</v>
          </cell>
          <cell r="AA366" t="str">
            <v>15/08/2015</v>
          </cell>
          <cell r="AB366" t="str">
            <v>No</v>
          </cell>
          <cell r="AC366" t="str">
            <v>31/08/2013</v>
          </cell>
          <cell r="AD366" t="str">
            <v>Request for Exemption</v>
          </cell>
          <cell r="AE366" t="str">
            <v>V4 - Decommissioned Installed Facility</v>
          </cell>
          <cell r="AF366">
            <v>42538</v>
          </cell>
          <cell r="AG366">
            <v>9.17</v>
          </cell>
          <cell r="AH366" t="str">
            <v>PPM</v>
          </cell>
          <cell r="AI366" t="str">
            <v>Not in contract</v>
          </cell>
          <cell r="AJ366" t="str">
            <v>Not in contract</v>
          </cell>
          <cell r="AK366" t="e">
            <v>#N/A</v>
          </cell>
        </row>
        <row r="367">
          <cell r="A367" t="str">
            <v>IKN400394</v>
          </cell>
          <cell r="B367">
            <v>394</v>
          </cell>
          <cell r="C367" t="str">
            <v>Institut Kanser Negara</v>
          </cell>
          <cell r="D367" t="e">
            <v>#N/A</v>
          </cell>
          <cell r="E367" t="str">
            <v>10-447</v>
          </cell>
          <cell r="F367" t="str">
            <v>Warming Units, Blood/Solution</v>
          </cell>
          <cell r="G367" t="str">
            <v>WD</v>
          </cell>
          <cell r="H367" t="str">
            <v>RT/ONCO PAED/ADOLESCENT WARD</v>
          </cell>
          <cell r="I367" t="str">
            <v>06WD153</v>
          </cell>
          <cell r="J367" t="str">
            <v>EQP.ROOM</v>
          </cell>
          <cell r="K367" t="str">
            <v>BMED</v>
          </cell>
          <cell r="L367" t="str">
            <v>Normal</v>
          </cell>
          <cell r="M367" t="str">
            <v>Japan</v>
          </cell>
          <cell r="N367" t="str">
            <v>Animec</v>
          </cell>
          <cell r="O367" t="str">
            <v>Animec AM-301</v>
          </cell>
          <cell r="P367" t="str">
            <v>2013D0266</v>
          </cell>
          <cell r="Q367" t="str">
            <v>Not Applicable</v>
          </cell>
          <cell r="R367" t="str">
            <v>Elltec Co Ltd</v>
          </cell>
          <cell r="S367" t="str">
            <v>IDS Services (Malaysia) Sdn Bhd</v>
          </cell>
          <cell r="T367" t="str">
            <v>Disposed</v>
          </cell>
          <cell r="U367" t="str">
            <v>Asset</v>
          </cell>
          <cell r="V367">
            <v>4990</v>
          </cell>
          <cell r="W367" t="str">
            <v>KEW</v>
          </cell>
          <cell r="X367" t="str">
            <v>01/09/2010</v>
          </cell>
          <cell r="Y367" t="str">
            <v>KEW</v>
          </cell>
          <cell r="Z367" t="str">
            <v>16/08/2013</v>
          </cell>
          <cell r="AA367" t="str">
            <v>15/08/2015</v>
          </cell>
          <cell r="AB367" t="str">
            <v>No</v>
          </cell>
          <cell r="AC367" t="str">
            <v>31/08/2013</v>
          </cell>
          <cell r="AD367" t="str">
            <v>Good</v>
          </cell>
          <cell r="AE367" t="str">
            <v>V4 - Decommissioned Installed Facility</v>
          </cell>
          <cell r="AF367">
            <v>42538</v>
          </cell>
          <cell r="AG367">
            <v>9.17</v>
          </cell>
          <cell r="AH367" t="str">
            <v>PPM</v>
          </cell>
          <cell r="AI367" t="str">
            <v>Not in contract</v>
          </cell>
          <cell r="AJ367" t="str">
            <v>Not in contract</v>
          </cell>
          <cell r="AK367" t="e">
            <v>#N/A</v>
          </cell>
        </row>
        <row r="368">
          <cell r="A368" t="str">
            <v>IKN400395</v>
          </cell>
          <cell r="B368">
            <v>395</v>
          </cell>
          <cell r="C368" t="str">
            <v>Institut Kanser Negara</v>
          </cell>
          <cell r="D368" t="e">
            <v>#N/A</v>
          </cell>
          <cell r="E368" t="str">
            <v>10-447</v>
          </cell>
          <cell r="F368" t="str">
            <v>Warming Units, Blood/Solution</v>
          </cell>
          <cell r="G368" t="str">
            <v>WD</v>
          </cell>
          <cell r="H368" t="str">
            <v>RT/ONCO PAED/ADOLESCENT WARD</v>
          </cell>
          <cell r="I368" t="str">
            <v>06WD153</v>
          </cell>
          <cell r="J368" t="str">
            <v>EQP.ROOM</v>
          </cell>
          <cell r="K368" t="str">
            <v>BMED</v>
          </cell>
          <cell r="L368" t="str">
            <v>Normal</v>
          </cell>
          <cell r="M368" t="str">
            <v>Japan</v>
          </cell>
          <cell r="N368" t="str">
            <v>Animec</v>
          </cell>
          <cell r="O368" t="str">
            <v>Animec AM-301</v>
          </cell>
          <cell r="P368" t="str">
            <v>2013D0264</v>
          </cell>
          <cell r="Q368" t="str">
            <v>Not Applicable</v>
          </cell>
          <cell r="R368" t="str">
            <v>Elltec Co Ltd</v>
          </cell>
          <cell r="S368" t="str">
            <v>IDS Services (Malaysia) Sdn Bhd</v>
          </cell>
          <cell r="T368" t="str">
            <v>Disposed</v>
          </cell>
          <cell r="U368" t="str">
            <v>Asset</v>
          </cell>
          <cell r="V368">
            <v>4990</v>
          </cell>
          <cell r="W368" t="str">
            <v>KEW</v>
          </cell>
          <cell r="X368" t="str">
            <v>01/09/2010</v>
          </cell>
          <cell r="Y368" t="str">
            <v>KEW</v>
          </cell>
          <cell r="Z368" t="str">
            <v>16/08/2013</v>
          </cell>
          <cell r="AA368" t="str">
            <v>15/08/2015</v>
          </cell>
          <cell r="AB368" t="str">
            <v>No</v>
          </cell>
          <cell r="AC368" t="str">
            <v>31/08/2013</v>
          </cell>
          <cell r="AD368" t="str">
            <v>Request for Exemption</v>
          </cell>
          <cell r="AE368" t="str">
            <v>V4 - Decommissioned Installed Facility</v>
          </cell>
          <cell r="AF368">
            <v>42538</v>
          </cell>
          <cell r="AG368">
            <v>9.17</v>
          </cell>
          <cell r="AH368" t="str">
            <v>PPM</v>
          </cell>
          <cell r="AI368" t="str">
            <v>Not in contract</v>
          </cell>
          <cell r="AJ368" t="str">
            <v>Not in contract</v>
          </cell>
          <cell r="AK368" t="e">
            <v>#N/A</v>
          </cell>
        </row>
        <row r="369">
          <cell r="A369" t="str">
            <v>IKN400431</v>
          </cell>
          <cell r="B369">
            <v>431</v>
          </cell>
          <cell r="C369" t="str">
            <v>Institut Kanser Negara</v>
          </cell>
          <cell r="D369" t="e">
            <v>#N/A</v>
          </cell>
          <cell r="E369" t="str">
            <v>10-447</v>
          </cell>
          <cell r="F369" t="str">
            <v>Warming Units, Blood/Solution</v>
          </cell>
          <cell r="G369" t="str">
            <v>WC</v>
          </cell>
          <cell r="H369" t="str">
            <v>SURGICAL ONCO FEMALE WARD</v>
          </cell>
          <cell r="I369" t="str">
            <v>06WC113</v>
          </cell>
          <cell r="J369" t="str">
            <v>EQUIPMENT ROOM</v>
          </cell>
          <cell r="K369" t="str">
            <v>BMED</v>
          </cell>
          <cell r="L369" t="str">
            <v>Normal</v>
          </cell>
          <cell r="M369" t="str">
            <v>Japan</v>
          </cell>
          <cell r="N369" t="str">
            <v>Animec</v>
          </cell>
          <cell r="O369" t="str">
            <v>Animec AM-301</v>
          </cell>
          <cell r="P369" t="str">
            <v>2013D0263</v>
          </cell>
          <cell r="Q369" t="str">
            <v>Not Applicable</v>
          </cell>
          <cell r="R369" t="str">
            <v>Elltec Co Ltd</v>
          </cell>
          <cell r="S369" t="str">
            <v>IDS Services (Malaysia) Sdn Bhd</v>
          </cell>
          <cell r="T369" t="str">
            <v>Disposed</v>
          </cell>
          <cell r="U369" t="str">
            <v>Asset</v>
          </cell>
          <cell r="V369">
            <v>4990</v>
          </cell>
          <cell r="W369" t="str">
            <v>KEW</v>
          </cell>
          <cell r="X369" t="str">
            <v>01/09/2010</v>
          </cell>
          <cell r="Y369" t="str">
            <v>KEW</v>
          </cell>
          <cell r="Z369" t="str">
            <v>16/08/2013</v>
          </cell>
          <cell r="AA369" t="str">
            <v>15/08/2015</v>
          </cell>
          <cell r="AB369" t="str">
            <v>No</v>
          </cell>
          <cell r="AC369" t="str">
            <v>31/08/2013</v>
          </cell>
          <cell r="AD369" t="str">
            <v>Good</v>
          </cell>
          <cell r="AE369" t="str">
            <v>V4 - Decommissioned Installed Facility</v>
          </cell>
          <cell r="AF369">
            <v>42538</v>
          </cell>
          <cell r="AG369">
            <v>9.17</v>
          </cell>
          <cell r="AH369" t="str">
            <v>PPM</v>
          </cell>
          <cell r="AI369" t="str">
            <v>Not in contract</v>
          </cell>
          <cell r="AJ369" t="str">
            <v>Not in contract</v>
          </cell>
          <cell r="AK369" t="e">
            <v>#N/A</v>
          </cell>
        </row>
        <row r="370">
          <cell r="A370" t="str">
            <v>IKN400432</v>
          </cell>
          <cell r="B370">
            <v>432</v>
          </cell>
          <cell r="C370" t="str">
            <v>Institut Kanser Negara</v>
          </cell>
          <cell r="D370" t="e">
            <v>#N/A</v>
          </cell>
          <cell r="E370" t="str">
            <v>10-447</v>
          </cell>
          <cell r="F370" t="str">
            <v>Warming Units, Blood/Solution</v>
          </cell>
          <cell r="G370" t="str">
            <v>WC</v>
          </cell>
          <cell r="H370" t="str">
            <v>SURGICAL ONCO FEMALE WARD</v>
          </cell>
          <cell r="I370" t="str">
            <v>06WC113</v>
          </cell>
          <cell r="J370" t="str">
            <v>EQUIPMENT ROOM</v>
          </cell>
          <cell r="K370" t="str">
            <v>BMED</v>
          </cell>
          <cell r="L370" t="str">
            <v>Normal</v>
          </cell>
          <cell r="M370" t="str">
            <v>Japan</v>
          </cell>
          <cell r="N370" t="str">
            <v>Animec</v>
          </cell>
          <cell r="O370" t="str">
            <v>Animec AM-301</v>
          </cell>
          <cell r="P370" t="str">
            <v>2013D0262</v>
          </cell>
          <cell r="Q370" t="str">
            <v>Not Applicable</v>
          </cell>
          <cell r="R370" t="str">
            <v>Elltec Co Ltd</v>
          </cell>
          <cell r="S370" t="str">
            <v>IDS Services (Malaysia) Sdn Bhd</v>
          </cell>
          <cell r="T370" t="str">
            <v>Disposed</v>
          </cell>
          <cell r="U370" t="str">
            <v>Asset</v>
          </cell>
          <cell r="V370">
            <v>4990</v>
          </cell>
          <cell r="W370" t="str">
            <v>KEW</v>
          </cell>
          <cell r="X370" t="str">
            <v>01/09/2010</v>
          </cell>
          <cell r="Y370" t="str">
            <v>KEW</v>
          </cell>
          <cell r="Z370" t="str">
            <v>16/08/2013</v>
          </cell>
          <cell r="AA370" t="str">
            <v>15/08/2015</v>
          </cell>
          <cell r="AB370" t="str">
            <v>No</v>
          </cell>
          <cell r="AC370" t="str">
            <v>31/08/2013</v>
          </cell>
          <cell r="AD370" t="str">
            <v>Good</v>
          </cell>
          <cell r="AE370" t="str">
            <v>V4 - Decommissioned Installed Facility</v>
          </cell>
          <cell r="AF370">
            <v>42538</v>
          </cell>
          <cell r="AG370">
            <v>9.17</v>
          </cell>
          <cell r="AH370" t="str">
            <v>PPM</v>
          </cell>
          <cell r="AI370" t="str">
            <v>Not in contract</v>
          </cell>
          <cell r="AJ370" t="str">
            <v>Not in contract</v>
          </cell>
          <cell r="AK370" t="e">
            <v>#N/A</v>
          </cell>
        </row>
        <row r="371">
          <cell r="A371" t="str">
            <v>IKN400433</v>
          </cell>
          <cell r="B371">
            <v>433</v>
          </cell>
          <cell r="C371" t="str">
            <v>Institut Kanser Negara</v>
          </cell>
          <cell r="D371" t="str">
            <v>KKM/IKN/H/13/2005</v>
          </cell>
          <cell r="E371" t="str">
            <v>11-134</v>
          </cell>
          <cell r="F371" t="str">
            <v>Defibrillators, External, Manual</v>
          </cell>
          <cell r="G371" t="str">
            <v>WC</v>
          </cell>
          <cell r="H371" t="str">
            <v>SURGICAL ONCO FEMALE WARD</v>
          </cell>
          <cell r="I371" t="str">
            <v>06WC133</v>
          </cell>
          <cell r="J371" t="str">
            <v>RESUS EQ. BAY</v>
          </cell>
          <cell r="K371" t="str">
            <v>BMED</v>
          </cell>
          <cell r="L371" t="str">
            <v>Critical</v>
          </cell>
          <cell r="M371" t="str">
            <v>USA</v>
          </cell>
          <cell r="N371" t="str">
            <v>Responder</v>
          </cell>
          <cell r="O371" t="str">
            <v>Responder 2000</v>
          </cell>
          <cell r="P371" t="str">
            <v>3206740</v>
          </cell>
          <cell r="Q371" t="str">
            <v>Not Applicable</v>
          </cell>
          <cell r="R371" t="str">
            <v>GE Medical Systems</v>
          </cell>
          <cell r="S371" t="str">
            <v>Antah Sir Radin Sdn. Bhd.</v>
          </cell>
          <cell r="T371" t="str">
            <v>Functioning</v>
          </cell>
          <cell r="U371" t="str">
            <v>Asset</v>
          </cell>
          <cell r="V371">
            <v>45000</v>
          </cell>
          <cell r="W371" t="str">
            <v>KEW</v>
          </cell>
          <cell r="X371" t="str">
            <v>01/09/2010</v>
          </cell>
          <cell r="Y371" t="str">
            <v>KEW</v>
          </cell>
          <cell r="Z371" t="str">
            <v>16/08/2013</v>
          </cell>
          <cell r="AA371" t="str">
            <v>15/08/2015</v>
          </cell>
          <cell r="AB371" t="str">
            <v>No</v>
          </cell>
          <cell r="AC371" t="str">
            <v>31/08/2013</v>
          </cell>
          <cell r="AD371" t="str">
            <v>Good</v>
          </cell>
          <cell r="AE371" t="str">
            <v>V3 - Added Installed Facilities (New)</v>
          </cell>
          <cell r="AF371">
            <v>42601</v>
          </cell>
          <cell r="AG371">
            <v>9.17</v>
          </cell>
          <cell r="AH371" t="str">
            <v>PPM</v>
          </cell>
          <cell r="AI371" t="str">
            <v>Strands</v>
          </cell>
          <cell r="AJ371" t="str">
            <v>Strands PW. Proposed for V4 P2.23</v>
          </cell>
          <cell r="AK371" t="str">
            <v>SNF received. 1st batch of V3 asset (December 2020). [18/9/2023, SHARIFAH]: PEP ON 8/8/2023, BER/BEMS/IKN/23/019 - Aset mengalami kerosakan pada mainboard dan theraphy board.</v>
          </cell>
        </row>
        <row r="372">
          <cell r="A372" t="str">
            <v>IKN400436</v>
          </cell>
          <cell r="B372">
            <v>436</v>
          </cell>
          <cell r="C372" t="str">
            <v>Institut Kanser Negara</v>
          </cell>
          <cell r="D372" t="e">
            <v>#N/A</v>
          </cell>
          <cell r="E372" t="str">
            <v>12-660</v>
          </cell>
          <cell r="F372" t="str">
            <v>Radiation Monitors</v>
          </cell>
          <cell r="G372" t="str">
            <v>NM</v>
          </cell>
          <cell r="H372" t="str">
            <v>NUCLEAR MED (DIAGNOSTIC)</v>
          </cell>
          <cell r="I372" t="str">
            <v>03NM161</v>
          </cell>
          <cell r="J372" t="str">
            <v>GAMMA CAMERA 1 (-VE)</v>
          </cell>
          <cell r="K372" t="str">
            <v>BMED</v>
          </cell>
          <cell r="L372" t="str">
            <v>Normal</v>
          </cell>
          <cell r="M372" t="str">
            <v>USA</v>
          </cell>
          <cell r="N372" t="str">
            <v>Ludlum</v>
          </cell>
          <cell r="O372" t="str">
            <v>Ludlum 375P</v>
          </cell>
          <cell r="P372">
            <v>294335</v>
          </cell>
          <cell r="Q372" t="str">
            <v>Not Applicable</v>
          </cell>
          <cell r="R372" t="str">
            <v>Ludlum Measurements Inc</v>
          </cell>
          <cell r="S372" t="str">
            <v>Advance Altimas Sdn Bhd</v>
          </cell>
          <cell r="T372" t="str">
            <v>Functioning</v>
          </cell>
          <cell r="U372" t="str">
            <v>Asset</v>
          </cell>
          <cell r="V372">
            <v>25000</v>
          </cell>
          <cell r="W372" t="str">
            <v>Estimate</v>
          </cell>
          <cell r="X372" t="str">
            <v>01/09/2010</v>
          </cell>
          <cell r="Y372" t="str">
            <v>KEW</v>
          </cell>
          <cell r="Z372" t="str">
            <v>16/08/2013</v>
          </cell>
          <cell r="AA372" t="str">
            <v>15/08/2015</v>
          </cell>
          <cell r="AB372" t="str">
            <v>No</v>
          </cell>
          <cell r="AC372" t="str">
            <v>31/08/2013</v>
          </cell>
          <cell r="AD372" t="str">
            <v>Good</v>
          </cell>
          <cell r="AE372" t="str">
            <v>V1 - Existing / No Claim</v>
          </cell>
          <cell r="AF372">
            <v>42601</v>
          </cell>
          <cell r="AG372">
            <v>9.17</v>
          </cell>
          <cell r="AH372" t="str">
            <v>PPM</v>
          </cell>
          <cell r="AI372" t="str">
            <v>package</v>
          </cell>
          <cell r="AJ372" t="str">
            <v>Strands Package. Proposed for V4 P2.23</v>
          </cell>
          <cell r="AK372" t="str">
            <v>BER PACKAGE GAMMA Package Code XK0001A.</v>
          </cell>
        </row>
        <row r="373">
          <cell r="A373" t="str">
            <v>IKN400467</v>
          </cell>
          <cell r="B373">
            <v>467</v>
          </cell>
          <cell r="C373" t="str">
            <v>Institut Kanser Negara</v>
          </cell>
          <cell r="D373" t="e">
            <v>#N/A</v>
          </cell>
          <cell r="E373" t="str">
            <v>10-447</v>
          </cell>
          <cell r="F373" t="str">
            <v>Warming Units, Blood/Solution</v>
          </cell>
          <cell r="G373" t="str">
            <v>WB</v>
          </cell>
          <cell r="H373" t="str">
            <v>SURGICAL ONCO MALE WARD</v>
          </cell>
          <cell r="I373" t="str">
            <v>05WB113</v>
          </cell>
          <cell r="J373" t="str">
            <v>EQUIP. ROOM</v>
          </cell>
          <cell r="K373" t="str">
            <v>BMED</v>
          </cell>
          <cell r="L373" t="str">
            <v>Normal</v>
          </cell>
          <cell r="M373" t="str">
            <v>Japan</v>
          </cell>
          <cell r="N373" t="str">
            <v>Animec</v>
          </cell>
          <cell r="O373" t="str">
            <v>Animec AM-301</v>
          </cell>
          <cell r="P373" t="str">
            <v>2013D0259</v>
          </cell>
          <cell r="Q373" t="str">
            <v>Not Applicable</v>
          </cell>
          <cell r="R373" t="str">
            <v>Elltec Co Ltd</v>
          </cell>
          <cell r="S373" t="str">
            <v>IDS Services (Malaysia) Sdn Bhd</v>
          </cell>
          <cell r="T373" t="str">
            <v>Disposed</v>
          </cell>
          <cell r="U373" t="str">
            <v>Asset</v>
          </cell>
          <cell r="V373">
            <v>4990</v>
          </cell>
          <cell r="W373" t="str">
            <v>KEW</v>
          </cell>
          <cell r="X373" t="str">
            <v>01/09/2010</v>
          </cell>
          <cell r="Y373" t="str">
            <v>KEW</v>
          </cell>
          <cell r="Z373" t="str">
            <v>16/08/2013</v>
          </cell>
          <cell r="AA373" t="str">
            <v>15/08/2015</v>
          </cell>
          <cell r="AB373" t="str">
            <v>No</v>
          </cell>
          <cell r="AC373" t="str">
            <v>31/08/2013</v>
          </cell>
          <cell r="AD373" t="str">
            <v>Good</v>
          </cell>
          <cell r="AE373" t="str">
            <v>V4 - Decommissioned Installed Facility</v>
          </cell>
          <cell r="AF373">
            <v>42538</v>
          </cell>
          <cell r="AG373">
            <v>9.17</v>
          </cell>
          <cell r="AH373" t="str">
            <v>PPM</v>
          </cell>
          <cell r="AI373" t="str">
            <v>Not in contract</v>
          </cell>
          <cell r="AJ373" t="str">
            <v>Not in contract</v>
          </cell>
          <cell r="AK373" t="e">
            <v>#N/A</v>
          </cell>
        </row>
        <row r="374">
          <cell r="A374" t="str">
            <v>IKN400468</v>
          </cell>
          <cell r="B374">
            <v>468</v>
          </cell>
          <cell r="C374" t="str">
            <v>Institut Kanser Negara</v>
          </cell>
          <cell r="D374" t="e">
            <v>#N/A</v>
          </cell>
          <cell r="E374" t="str">
            <v>10-447</v>
          </cell>
          <cell r="F374" t="str">
            <v>Warming Units, Blood/Solution</v>
          </cell>
          <cell r="G374" t="str">
            <v>WB</v>
          </cell>
          <cell r="H374" t="str">
            <v>SURGICAL ONCO MALE WARD</v>
          </cell>
          <cell r="I374" t="str">
            <v>05WB113</v>
          </cell>
          <cell r="J374" t="str">
            <v>EQUIP. ROOM</v>
          </cell>
          <cell r="K374" t="str">
            <v>BMED</v>
          </cell>
          <cell r="L374" t="str">
            <v>Normal</v>
          </cell>
          <cell r="M374" t="str">
            <v>Japan</v>
          </cell>
          <cell r="N374" t="str">
            <v>Animec</v>
          </cell>
          <cell r="O374" t="str">
            <v>Animec AM-301</v>
          </cell>
          <cell r="P374" t="str">
            <v>2013D0258</v>
          </cell>
          <cell r="Q374" t="str">
            <v>Not Applicable</v>
          </cell>
          <cell r="R374" t="str">
            <v>Elltec Co Ltd</v>
          </cell>
          <cell r="S374" t="str">
            <v>IDS Services (Malaysia) Sdn Bhd</v>
          </cell>
          <cell r="T374" t="str">
            <v>Disposed</v>
          </cell>
          <cell r="U374" t="str">
            <v>Asset</v>
          </cell>
          <cell r="V374">
            <v>4990</v>
          </cell>
          <cell r="W374" t="str">
            <v>KEW</v>
          </cell>
          <cell r="X374" t="str">
            <v>01/09/2010</v>
          </cell>
          <cell r="Y374" t="str">
            <v>KEW</v>
          </cell>
          <cell r="Z374" t="str">
            <v>16/08/2013</v>
          </cell>
          <cell r="AA374" t="str">
            <v>15/08/2015</v>
          </cell>
          <cell r="AB374" t="str">
            <v>No</v>
          </cell>
          <cell r="AC374" t="str">
            <v>31/08/2013</v>
          </cell>
          <cell r="AD374" t="str">
            <v>Good</v>
          </cell>
          <cell r="AE374" t="str">
            <v>V4 - Decommissioned Installed Facility</v>
          </cell>
          <cell r="AF374">
            <v>42538</v>
          </cell>
          <cell r="AG374">
            <v>9.17</v>
          </cell>
          <cell r="AH374" t="str">
            <v>PPM</v>
          </cell>
          <cell r="AI374" t="str">
            <v>Not in contract</v>
          </cell>
          <cell r="AJ374" t="str">
            <v>Not in contract</v>
          </cell>
          <cell r="AK374" t="e">
            <v>#N/A</v>
          </cell>
        </row>
        <row r="375">
          <cell r="A375" t="str">
            <v>IKN400479</v>
          </cell>
          <cell r="B375">
            <v>479</v>
          </cell>
          <cell r="C375" t="str">
            <v>Institut Kanser Negara</v>
          </cell>
          <cell r="D375" t="str">
            <v>KKM/IKN/H/13/430</v>
          </cell>
          <cell r="E375" t="str">
            <v>13-215</v>
          </cell>
          <cell r="F375" t="str">
            <v>Infusion Pumps, General-Purpose</v>
          </cell>
          <cell r="G375" t="str">
            <v>WB</v>
          </cell>
          <cell r="H375" t="str">
            <v>SURGICAL ONCO MALE WARD</v>
          </cell>
          <cell r="I375" t="str">
            <v>05WB113</v>
          </cell>
          <cell r="J375" t="str">
            <v>EQUIP. ROOM</v>
          </cell>
          <cell r="K375" t="str">
            <v>BMED</v>
          </cell>
          <cell r="L375" t="str">
            <v>Critical</v>
          </cell>
          <cell r="M375" t="str">
            <v>Germany</v>
          </cell>
          <cell r="N375" t="str">
            <v>Infusomat</v>
          </cell>
          <cell r="O375" t="str">
            <v>Infusomat Space</v>
          </cell>
          <cell r="P375" t="str">
            <v>212025</v>
          </cell>
          <cell r="Q375" t="str">
            <v>Not Applicable</v>
          </cell>
          <cell r="R375" t="str">
            <v>B Braun Melsungen AG</v>
          </cell>
          <cell r="S375" t="str">
            <v>B Braun Medical Supplies Sdn. Bhd.</v>
          </cell>
          <cell r="T375" t="str">
            <v>Functioning</v>
          </cell>
          <cell r="U375" t="str">
            <v>Asset</v>
          </cell>
          <cell r="V375">
            <v>10825</v>
          </cell>
          <cell r="W375" t="str">
            <v>KEW</v>
          </cell>
          <cell r="X375" t="str">
            <v>01/09/2010</v>
          </cell>
          <cell r="Y375" t="str">
            <v>KEW</v>
          </cell>
          <cell r="Z375" t="str">
            <v>16/08/2013</v>
          </cell>
          <cell r="AA375" t="str">
            <v>15/08/2015</v>
          </cell>
          <cell r="AB375" t="str">
            <v>No</v>
          </cell>
          <cell r="AC375" t="str">
            <v>31/08/2013</v>
          </cell>
          <cell r="AD375" t="str">
            <v>Good</v>
          </cell>
          <cell r="AE375" t="str">
            <v>V4 - Decommissioned Installed Facility</v>
          </cell>
          <cell r="AF375">
            <v>42788</v>
          </cell>
          <cell r="AG375">
            <v>9.17</v>
          </cell>
          <cell r="AH375" t="str">
            <v>PPM</v>
          </cell>
          <cell r="AI375" t="str">
            <v>Not in contract</v>
          </cell>
          <cell r="AJ375" t="str">
            <v>Not in contract</v>
          </cell>
          <cell r="AK375" t="str">
            <v>BER. Total damage due to internal leaking. [22/9/2023, SHARIFAH]: PEP ON FEB 2021, BER/BEMS/AWSB/21/001 - Asset mengalami kerosakan pada komponen-komponen utama.</v>
          </cell>
        </row>
        <row r="376">
          <cell r="A376" t="str">
            <v>IKN400505</v>
          </cell>
          <cell r="B376">
            <v>505</v>
          </cell>
          <cell r="C376" t="str">
            <v>Institut Kanser Negara</v>
          </cell>
          <cell r="D376" t="e">
            <v>#N/A</v>
          </cell>
          <cell r="E376" t="str">
            <v>15-045</v>
          </cell>
          <cell r="F376" t="str">
            <v>Nebulizers, Nonheated</v>
          </cell>
          <cell r="G376" t="str">
            <v>PC</v>
          </cell>
          <cell r="H376" t="str">
            <v>PALLIATIVE CARE UNIT</v>
          </cell>
          <cell r="I376" t="str">
            <v>04PC109</v>
          </cell>
          <cell r="J376" t="str">
            <v>GEN. STORE</v>
          </cell>
          <cell r="K376" t="str">
            <v>BMED</v>
          </cell>
          <cell r="L376" t="str">
            <v>Normal</v>
          </cell>
          <cell r="M376" t="str">
            <v>Germany</v>
          </cell>
          <cell r="N376" t="str">
            <v>Pari Boy</v>
          </cell>
          <cell r="O376" t="str">
            <v>Pari Boy SX 085</v>
          </cell>
          <cell r="P376" t="str">
            <v>2W12J05972</v>
          </cell>
          <cell r="Q376" t="str">
            <v>Not Applicable</v>
          </cell>
          <cell r="R376" t="str">
            <v>Pari GmbH</v>
          </cell>
          <cell r="S376" t="str">
            <v>Welch Allyn Malaysia Sdn Bhd</v>
          </cell>
          <cell r="T376" t="str">
            <v>Not Functioning</v>
          </cell>
          <cell r="U376" t="str">
            <v>Asset</v>
          </cell>
          <cell r="V376">
            <v>1140</v>
          </cell>
          <cell r="W376" t="str">
            <v>KEW</v>
          </cell>
          <cell r="X376" t="str">
            <v>01/09/2010</v>
          </cell>
          <cell r="Y376" t="str">
            <v>KEW</v>
          </cell>
          <cell r="Z376" t="str">
            <v>16/08/2013</v>
          </cell>
          <cell r="AA376" t="str">
            <v>15/08/2015</v>
          </cell>
          <cell r="AB376" t="str">
            <v>No</v>
          </cell>
          <cell r="AC376" t="str">
            <v>31/08/2013</v>
          </cell>
          <cell r="AD376" t="str">
            <v>Good</v>
          </cell>
          <cell r="AE376" t="str">
            <v>V4 - Decommissioned Installed Facility</v>
          </cell>
          <cell r="AF376">
            <v>43434</v>
          </cell>
          <cell r="AG376">
            <v>9.17</v>
          </cell>
          <cell r="AH376" t="str">
            <v>PPM</v>
          </cell>
          <cell r="AI376" t="str">
            <v>Not in contract</v>
          </cell>
          <cell r="AJ376" t="str">
            <v>Not in contract</v>
          </cell>
          <cell r="AK376" t="e">
            <v>#N/A</v>
          </cell>
        </row>
        <row r="377">
          <cell r="A377" t="str">
            <v>IKN400507</v>
          </cell>
          <cell r="B377">
            <v>507</v>
          </cell>
          <cell r="C377" t="str">
            <v>Institut Kanser Negara</v>
          </cell>
          <cell r="D377" t="e">
            <v>#N/A</v>
          </cell>
          <cell r="E377" t="str">
            <v>15-045</v>
          </cell>
          <cell r="F377" t="str">
            <v>Nebulizers, Nonheated</v>
          </cell>
          <cell r="G377" t="str">
            <v>PC</v>
          </cell>
          <cell r="H377" t="str">
            <v>PALLIATIVE CARE UNIT</v>
          </cell>
          <cell r="I377" t="str">
            <v>04PC109</v>
          </cell>
          <cell r="J377" t="str">
            <v>GEN. STORE</v>
          </cell>
          <cell r="K377" t="str">
            <v>BMED</v>
          </cell>
          <cell r="L377" t="str">
            <v>Normal</v>
          </cell>
          <cell r="M377" t="str">
            <v>Germany</v>
          </cell>
          <cell r="N377" t="str">
            <v>Pari Boy</v>
          </cell>
          <cell r="O377" t="str">
            <v>Pari Boy SX 085</v>
          </cell>
          <cell r="P377" t="str">
            <v>2W12J05927</v>
          </cell>
          <cell r="Q377" t="str">
            <v>Not Applicable</v>
          </cell>
          <cell r="R377" t="str">
            <v>Pari GmbH</v>
          </cell>
          <cell r="S377" t="str">
            <v>Welch Allyn Malaysia Sdn Bhd</v>
          </cell>
          <cell r="T377" t="str">
            <v>Transferred</v>
          </cell>
          <cell r="U377" t="str">
            <v>Asset</v>
          </cell>
          <cell r="V377">
            <v>1140</v>
          </cell>
          <cell r="W377" t="str">
            <v>KEW</v>
          </cell>
          <cell r="X377" t="str">
            <v>01/09/2010</v>
          </cell>
          <cell r="Y377" t="str">
            <v>KEW</v>
          </cell>
          <cell r="Z377" t="str">
            <v>16/08/2013</v>
          </cell>
          <cell r="AA377" t="str">
            <v>15/08/2015</v>
          </cell>
          <cell r="AB377" t="str">
            <v>No</v>
          </cell>
          <cell r="AC377" t="str">
            <v>31/08/2013</v>
          </cell>
          <cell r="AD377" t="str">
            <v>Good</v>
          </cell>
          <cell r="AE377" t="str">
            <v>V4 - Decommissioned Installed Facility</v>
          </cell>
          <cell r="AF377">
            <v>43367</v>
          </cell>
          <cell r="AG377">
            <v>9.17</v>
          </cell>
          <cell r="AH377" t="str">
            <v>PPM</v>
          </cell>
          <cell r="AI377" t="str">
            <v>Not in contract</v>
          </cell>
          <cell r="AJ377" t="str">
            <v>Not in contract</v>
          </cell>
          <cell r="AK377" t="str">
            <v>Transfer to Alor Setar.</v>
          </cell>
        </row>
        <row r="378">
          <cell r="A378" t="str">
            <v>IKN400508</v>
          </cell>
          <cell r="B378">
            <v>508</v>
          </cell>
          <cell r="C378" t="str">
            <v>Institut Kanser Negara</v>
          </cell>
          <cell r="D378" t="e">
            <v>#N/A</v>
          </cell>
          <cell r="E378" t="str">
            <v>15-045</v>
          </cell>
          <cell r="F378" t="str">
            <v>Nebulizers, Nonheated</v>
          </cell>
          <cell r="G378" t="str">
            <v>PC</v>
          </cell>
          <cell r="H378" t="str">
            <v>PALLIATIVE CARE UNIT</v>
          </cell>
          <cell r="I378" t="str">
            <v>04PC109</v>
          </cell>
          <cell r="J378" t="str">
            <v>GEN. STORE</v>
          </cell>
          <cell r="K378" t="str">
            <v>BMED</v>
          </cell>
          <cell r="L378" t="str">
            <v>Normal</v>
          </cell>
          <cell r="M378" t="str">
            <v>Germany</v>
          </cell>
          <cell r="N378" t="str">
            <v>Pari Boy</v>
          </cell>
          <cell r="O378" t="str">
            <v>Pari Boy SX 085</v>
          </cell>
          <cell r="P378" t="str">
            <v>2W12J05951</v>
          </cell>
          <cell r="Q378" t="str">
            <v>Not Applicable</v>
          </cell>
          <cell r="R378" t="str">
            <v>Pari GmbH</v>
          </cell>
          <cell r="S378" t="str">
            <v>Welch Allyn Malaysia Sdn Bhd</v>
          </cell>
          <cell r="T378" t="str">
            <v>Transferred</v>
          </cell>
          <cell r="U378" t="str">
            <v>Asset</v>
          </cell>
          <cell r="V378">
            <v>1140</v>
          </cell>
          <cell r="W378" t="str">
            <v>KEW</v>
          </cell>
          <cell r="X378" t="str">
            <v>01/09/2010</v>
          </cell>
          <cell r="Y378" t="str">
            <v>KEW</v>
          </cell>
          <cell r="Z378" t="str">
            <v>16/08/2013</v>
          </cell>
          <cell r="AA378" t="str">
            <v>15/08/2015</v>
          </cell>
          <cell r="AB378" t="str">
            <v>No</v>
          </cell>
          <cell r="AC378" t="str">
            <v>31/08/2013</v>
          </cell>
          <cell r="AD378" t="str">
            <v>Good</v>
          </cell>
          <cell r="AE378" t="str">
            <v>V4 - Decommissioned Installed Facility</v>
          </cell>
          <cell r="AF378">
            <v>43367</v>
          </cell>
          <cell r="AG378">
            <v>9.17</v>
          </cell>
          <cell r="AH378" t="str">
            <v>PPM</v>
          </cell>
          <cell r="AI378" t="str">
            <v>Not in contract</v>
          </cell>
          <cell r="AJ378" t="str">
            <v>Not in contract</v>
          </cell>
          <cell r="AK378" t="str">
            <v>Transfer to Alor Setar.</v>
          </cell>
        </row>
        <row r="379">
          <cell r="A379" t="str">
            <v>IKN400510</v>
          </cell>
          <cell r="B379">
            <v>510</v>
          </cell>
          <cell r="C379" t="str">
            <v>Institut Kanser Negara</v>
          </cell>
          <cell r="D379" t="e">
            <v>#N/A</v>
          </cell>
          <cell r="E379" t="str">
            <v>18-092</v>
          </cell>
          <cell r="F379" t="str">
            <v>Drivers, syringe</v>
          </cell>
          <cell r="G379" t="str">
            <v>PC</v>
          </cell>
          <cell r="H379" t="str">
            <v>PALLIATIVE CARE UNIT</v>
          </cell>
          <cell r="I379" t="str">
            <v>04PC109</v>
          </cell>
          <cell r="J379" t="str">
            <v>GEN. STORE</v>
          </cell>
          <cell r="K379" t="str">
            <v>BMED</v>
          </cell>
          <cell r="L379" t="str">
            <v>Normal</v>
          </cell>
          <cell r="M379" t="str">
            <v>UK</v>
          </cell>
          <cell r="N379" t="str">
            <v>Graseby</v>
          </cell>
          <cell r="O379" t="str">
            <v>Graseby MS-26</v>
          </cell>
          <cell r="P379" t="str">
            <v>14014769</v>
          </cell>
          <cell r="Q379" t="str">
            <v>Not Applicable</v>
          </cell>
          <cell r="R379" t="str">
            <v>Graseby Medical Ltd</v>
          </cell>
          <cell r="S379" t="str">
            <v>Primed Medical Services Sdn Bhd</v>
          </cell>
          <cell r="T379" t="str">
            <v>Disposed</v>
          </cell>
          <cell r="U379" t="str">
            <v>Asset</v>
          </cell>
          <cell r="V379">
            <v>3848</v>
          </cell>
          <cell r="W379" t="str">
            <v>KEW</v>
          </cell>
          <cell r="X379" t="str">
            <v>01/09/2010</v>
          </cell>
          <cell r="Y379" t="str">
            <v>KEW</v>
          </cell>
          <cell r="Z379" t="str">
            <v>16/08/2013</v>
          </cell>
          <cell r="AA379" t="str">
            <v>15/08/2015</v>
          </cell>
          <cell r="AB379" t="str">
            <v>No</v>
          </cell>
          <cell r="AC379" t="str">
            <v>31/08/2013</v>
          </cell>
          <cell r="AD379" t="str">
            <v>Good</v>
          </cell>
          <cell r="AE379" t="str">
            <v>V4 - Decommissioned Installed Facility</v>
          </cell>
          <cell r="AF379">
            <v>43243</v>
          </cell>
          <cell r="AG379">
            <v>9.17</v>
          </cell>
          <cell r="AH379" t="str">
            <v>PPM</v>
          </cell>
          <cell r="AI379" t="str">
            <v>Not in contract</v>
          </cell>
          <cell r="AJ379" t="str">
            <v>Not in contract</v>
          </cell>
        </row>
        <row r="380">
          <cell r="A380" t="str">
            <v>IKN400511</v>
          </cell>
          <cell r="B380">
            <v>511</v>
          </cell>
          <cell r="C380" t="str">
            <v>Institut Kanser Negara</v>
          </cell>
          <cell r="D380" t="e">
            <v>#N/A</v>
          </cell>
          <cell r="E380" t="str">
            <v>18-092</v>
          </cell>
          <cell r="F380" t="str">
            <v>Drivers, syringe</v>
          </cell>
          <cell r="G380" t="str">
            <v>PC</v>
          </cell>
          <cell r="H380" t="str">
            <v>PALLIATIVE CARE UNIT</v>
          </cell>
          <cell r="I380" t="str">
            <v>04PC109</v>
          </cell>
          <cell r="J380" t="str">
            <v>GEN. STORE</v>
          </cell>
          <cell r="K380" t="str">
            <v>BMED</v>
          </cell>
          <cell r="L380" t="str">
            <v>Normal</v>
          </cell>
          <cell r="M380" t="str">
            <v>UK</v>
          </cell>
          <cell r="N380" t="str">
            <v>Graseby</v>
          </cell>
          <cell r="O380" t="str">
            <v>Graseby MS-26</v>
          </cell>
          <cell r="P380" t="str">
            <v>14014766</v>
          </cell>
          <cell r="Q380" t="str">
            <v>Not Applicable</v>
          </cell>
          <cell r="R380" t="str">
            <v>Graseby Medical Ltd</v>
          </cell>
          <cell r="S380" t="str">
            <v>Primed Medical Services Sdn Bhd</v>
          </cell>
          <cell r="T380" t="str">
            <v>Disposed</v>
          </cell>
          <cell r="U380" t="str">
            <v>Asset</v>
          </cell>
          <cell r="V380">
            <v>3848</v>
          </cell>
          <cell r="W380" t="str">
            <v>KEW</v>
          </cell>
          <cell r="X380" t="str">
            <v>01/09/2010</v>
          </cell>
          <cell r="Y380" t="str">
            <v>KEW</v>
          </cell>
          <cell r="Z380" t="str">
            <v>16/08/2013</v>
          </cell>
          <cell r="AA380" t="str">
            <v>15/08/2015</v>
          </cell>
          <cell r="AB380" t="str">
            <v>No</v>
          </cell>
          <cell r="AC380" t="str">
            <v>31/08/2013</v>
          </cell>
          <cell r="AD380" t="str">
            <v>Good</v>
          </cell>
          <cell r="AE380" t="str">
            <v>V4 - Decommissioned Installed Facility</v>
          </cell>
          <cell r="AF380">
            <v>43243</v>
          </cell>
          <cell r="AG380">
            <v>9.17</v>
          </cell>
          <cell r="AH380" t="str">
            <v>PPM</v>
          </cell>
          <cell r="AI380" t="str">
            <v>Not in contract</v>
          </cell>
          <cell r="AJ380" t="str">
            <v>Not in contract</v>
          </cell>
        </row>
        <row r="381">
          <cell r="A381" t="str">
            <v>IKN400512</v>
          </cell>
          <cell r="B381">
            <v>512</v>
          </cell>
          <cell r="C381" t="str">
            <v>Institut Kanser Negara</v>
          </cell>
          <cell r="D381" t="e">
            <v>#N/A</v>
          </cell>
          <cell r="E381" t="str">
            <v>18-092</v>
          </cell>
          <cell r="F381" t="str">
            <v>Drivers, syringe</v>
          </cell>
          <cell r="G381" t="str">
            <v>PC</v>
          </cell>
          <cell r="H381" t="str">
            <v>PALLIATIVE CARE UNIT</v>
          </cell>
          <cell r="I381" t="str">
            <v>04PC109</v>
          </cell>
          <cell r="J381" t="str">
            <v>GEN. STORE</v>
          </cell>
          <cell r="K381" t="str">
            <v>BMED</v>
          </cell>
          <cell r="L381" t="str">
            <v>Normal</v>
          </cell>
          <cell r="M381" t="str">
            <v>UK</v>
          </cell>
          <cell r="N381" t="str">
            <v>Graseby</v>
          </cell>
          <cell r="O381" t="str">
            <v>Graseby MS-26</v>
          </cell>
          <cell r="P381" t="str">
            <v>14014785</v>
          </cell>
          <cell r="Q381" t="str">
            <v>Not Applicable</v>
          </cell>
          <cell r="R381" t="str">
            <v>Graseby Medical Ltd</v>
          </cell>
          <cell r="S381" t="str">
            <v>Primed Medical Services Sdn Bhd</v>
          </cell>
          <cell r="T381" t="str">
            <v>Disposed</v>
          </cell>
          <cell r="U381" t="str">
            <v>Asset</v>
          </cell>
          <cell r="V381">
            <v>3848</v>
          </cell>
          <cell r="W381" t="str">
            <v>KEW</v>
          </cell>
          <cell r="X381" t="str">
            <v>01/09/2010</v>
          </cell>
          <cell r="Y381" t="str">
            <v>KEW</v>
          </cell>
          <cell r="Z381" t="str">
            <v>16/08/2013</v>
          </cell>
          <cell r="AA381" t="str">
            <v>15/08/2015</v>
          </cell>
          <cell r="AB381" t="str">
            <v>No</v>
          </cell>
          <cell r="AC381" t="str">
            <v>31/08/2013</v>
          </cell>
          <cell r="AD381" t="str">
            <v>Good</v>
          </cell>
          <cell r="AE381" t="str">
            <v>V4 - Decommissioned Installed Facility</v>
          </cell>
          <cell r="AF381">
            <v>43430</v>
          </cell>
          <cell r="AG381">
            <v>9.17</v>
          </cell>
          <cell r="AH381" t="str">
            <v>PPM</v>
          </cell>
          <cell r="AI381" t="str">
            <v>Not in contract</v>
          </cell>
          <cell r="AJ381" t="str">
            <v>Not in contract</v>
          </cell>
        </row>
        <row r="382">
          <cell r="A382" t="str">
            <v>IKN400513</v>
          </cell>
          <cell r="B382">
            <v>513</v>
          </cell>
          <cell r="C382" t="str">
            <v>Institut Kanser Negara</v>
          </cell>
          <cell r="D382" t="e">
            <v>#N/A</v>
          </cell>
          <cell r="E382" t="str">
            <v>18-092</v>
          </cell>
          <cell r="F382" t="str">
            <v>Drivers, syringe</v>
          </cell>
          <cell r="G382" t="str">
            <v>PC</v>
          </cell>
          <cell r="H382" t="str">
            <v>PALLIATIVE CARE UNIT</v>
          </cell>
          <cell r="I382" t="str">
            <v>04PC109</v>
          </cell>
          <cell r="J382" t="str">
            <v>GEN. STORE</v>
          </cell>
          <cell r="K382" t="str">
            <v>BMED</v>
          </cell>
          <cell r="L382" t="str">
            <v>Normal</v>
          </cell>
          <cell r="M382" t="str">
            <v>UK</v>
          </cell>
          <cell r="N382" t="str">
            <v>Graseby</v>
          </cell>
          <cell r="O382" t="str">
            <v>Graseby MS-26</v>
          </cell>
          <cell r="P382" t="str">
            <v>14014768</v>
          </cell>
          <cell r="Q382" t="str">
            <v>Not Applicable</v>
          </cell>
          <cell r="R382" t="str">
            <v>Graseby Medical Ltd</v>
          </cell>
          <cell r="S382" t="str">
            <v>Primed Medical Services Sdn Bhd</v>
          </cell>
          <cell r="T382" t="str">
            <v>Disposed</v>
          </cell>
          <cell r="U382" t="str">
            <v>Asset</v>
          </cell>
          <cell r="V382">
            <v>3848</v>
          </cell>
          <cell r="W382" t="str">
            <v>KEW</v>
          </cell>
          <cell r="X382" t="str">
            <v>01/09/2010</v>
          </cell>
          <cell r="Y382" t="str">
            <v>KEW</v>
          </cell>
          <cell r="Z382" t="str">
            <v>16/08/2013</v>
          </cell>
          <cell r="AA382" t="str">
            <v>15/08/2015</v>
          </cell>
          <cell r="AB382" t="str">
            <v>No</v>
          </cell>
          <cell r="AC382" t="str">
            <v>31/08/2013</v>
          </cell>
          <cell r="AD382" t="str">
            <v>Good</v>
          </cell>
          <cell r="AE382" t="str">
            <v>V4 - Decommissioned Installed Facility</v>
          </cell>
          <cell r="AF382">
            <v>43243</v>
          </cell>
          <cell r="AG382">
            <v>9.17</v>
          </cell>
          <cell r="AH382" t="str">
            <v>PPM</v>
          </cell>
          <cell r="AI382" t="str">
            <v>Not in contract</v>
          </cell>
          <cell r="AJ382" t="str">
            <v>Not in contract</v>
          </cell>
        </row>
        <row r="383">
          <cell r="A383" t="str">
            <v>IKN400515</v>
          </cell>
          <cell r="B383">
            <v>515</v>
          </cell>
          <cell r="C383" t="str">
            <v>Institut Kanser Negara</v>
          </cell>
          <cell r="D383" t="e">
            <v>#N/A</v>
          </cell>
          <cell r="E383" t="str">
            <v>18-092</v>
          </cell>
          <cell r="F383" t="str">
            <v>Drivers, syringe</v>
          </cell>
          <cell r="G383" t="str">
            <v>PC</v>
          </cell>
          <cell r="H383" t="str">
            <v>PALLIATIVE CARE UNIT</v>
          </cell>
          <cell r="I383" t="str">
            <v>04PC109</v>
          </cell>
          <cell r="J383" t="str">
            <v>GEN. STORE</v>
          </cell>
          <cell r="K383" t="str">
            <v>BMED</v>
          </cell>
          <cell r="L383" t="str">
            <v>Normal</v>
          </cell>
          <cell r="M383" t="str">
            <v>UK</v>
          </cell>
          <cell r="N383" t="str">
            <v>Graseby</v>
          </cell>
          <cell r="O383" t="str">
            <v>Graseby MS-26</v>
          </cell>
          <cell r="P383" t="str">
            <v>14014770</v>
          </cell>
          <cell r="Q383" t="str">
            <v>Not Applicable</v>
          </cell>
          <cell r="R383" t="str">
            <v>Graseby Medical Ltd</v>
          </cell>
          <cell r="S383" t="str">
            <v>Primed Medical Services Sdn Bhd</v>
          </cell>
          <cell r="T383" t="str">
            <v>Disposed</v>
          </cell>
          <cell r="U383" t="str">
            <v>Asset</v>
          </cell>
          <cell r="V383">
            <v>3848</v>
          </cell>
          <cell r="W383" t="str">
            <v>KEW</v>
          </cell>
          <cell r="X383" t="str">
            <v>01/09/2010</v>
          </cell>
          <cell r="Y383" t="str">
            <v>KEW</v>
          </cell>
          <cell r="Z383" t="str">
            <v>16/08/2013</v>
          </cell>
          <cell r="AA383" t="str">
            <v>15/08/2015</v>
          </cell>
          <cell r="AB383" t="str">
            <v>No</v>
          </cell>
          <cell r="AC383" t="str">
            <v>31/08/2013</v>
          </cell>
          <cell r="AD383" t="str">
            <v>Good</v>
          </cell>
          <cell r="AE383" t="str">
            <v>V4 - Decommissioned Installed Facility</v>
          </cell>
          <cell r="AF383">
            <v>43243</v>
          </cell>
          <cell r="AG383">
            <v>9.17</v>
          </cell>
          <cell r="AH383" t="str">
            <v>PPM</v>
          </cell>
          <cell r="AI383" t="str">
            <v>Not in contract</v>
          </cell>
          <cell r="AJ383" t="str">
            <v>Not in contract</v>
          </cell>
        </row>
        <row r="384">
          <cell r="A384" t="str">
            <v>IKN400524</v>
          </cell>
          <cell r="B384">
            <v>524</v>
          </cell>
          <cell r="C384" t="str">
            <v>Institut Kanser Negara</v>
          </cell>
          <cell r="D384" t="e">
            <v>#N/A</v>
          </cell>
          <cell r="E384" t="str">
            <v>16-924</v>
          </cell>
          <cell r="F384" t="str">
            <v>Infusion Pumps, Patient-Controlled Analgesic</v>
          </cell>
          <cell r="G384" t="str">
            <v>PC</v>
          </cell>
          <cell r="H384" t="str">
            <v>PALLIATIVE CARE UNIT</v>
          </cell>
          <cell r="I384" t="str">
            <v>04PC109</v>
          </cell>
          <cell r="J384" t="str">
            <v>GEN. STORE</v>
          </cell>
          <cell r="K384" t="str">
            <v>BMED</v>
          </cell>
          <cell r="L384" t="str">
            <v>Critical</v>
          </cell>
          <cell r="M384" t="str">
            <v>Germany</v>
          </cell>
          <cell r="N384" t="str">
            <v>Perfusor</v>
          </cell>
          <cell r="O384" t="str">
            <v>Perfusor Space PCA</v>
          </cell>
          <cell r="P384" t="str">
            <v>186597</v>
          </cell>
          <cell r="Q384" t="str">
            <v>Not Applicable</v>
          </cell>
          <cell r="R384" t="str">
            <v>B Braun Melsungen AG</v>
          </cell>
          <cell r="S384" t="str">
            <v>B Braun Medical Supplies Sdn. Bhd.</v>
          </cell>
          <cell r="T384" t="str">
            <v>Transferred</v>
          </cell>
          <cell r="U384" t="str">
            <v>Asset</v>
          </cell>
          <cell r="V384">
            <v>16840</v>
          </cell>
          <cell r="W384" t="str">
            <v>KEW</v>
          </cell>
          <cell r="X384" t="str">
            <v>01/09/2010</v>
          </cell>
          <cell r="Y384" t="str">
            <v>KEW</v>
          </cell>
          <cell r="Z384" t="str">
            <v>16/08/2013</v>
          </cell>
          <cell r="AA384" t="str">
            <v>15/08/2015</v>
          </cell>
          <cell r="AB384" t="str">
            <v>No</v>
          </cell>
          <cell r="AC384" t="str">
            <v>31/08/2013</v>
          </cell>
          <cell r="AD384" t="str">
            <v>Good</v>
          </cell>
          <cell r="AE384" t="str">
            <v>V4 - Decommissioned Installed Facility</v>
          </cell>
          <cell r="AF384">
            <v>43367</v>
          </cell>
          <cell r="AG384">
            <v>9.17</v>
          </cell>
          <cell r="AH384" t="str">
            <v>PPM</v>
          </cell>
          <cell r="AI384" t="str">
            <v>Not in contract</v>
          </cell>
          <cell r="AJ384" t="str">
            <v>Not in contract</v>
          </cell>
          <cell r="AK384" t="str">
            <v>Transfer to Alor Setar.</v>
          </cell>
        </row>
        <row r="385">
          <cell r="A385" t="str">
            <v>IKN400526</v>
          </cell>
          <cell r="B385">
            <v>526</v>
          </cell>
          <cell r="C385" t="str">
            <v>Institut Kanser Negara</v>
          </cell>
          <cell r="D385" t="e">
            <v>#N/A</v>
          </cell>
          <cell r="E385" t="str">
            <v>16-924</v>
          </cell>
          <cell r="F385" t="str">
            <v>Infusion Pumps, Patient-Controlled Analgesic</v>
          </cell>
          <cell r="G385" t="str">
            <v>PC</v>
          </cell>
          <cell r="H385" t="str">
            <v>PALLIATIVE CARE UNIT</v>
          </cell>
          <cell r="I385" t="str">
            <v>04PC109</v>
          </cell>
          <cell r="J385" t="str">
            <v>GEN. STORE</v>
          </cell>
          <cell r="K385" t="str">
            <v>BMED</v>
          </cell>
          <cell r="L385" t="str">
            <v>Critical</v>
          </cell>
          <cell r="M385" t="str">
            <v>Germany</v>
          </cell>
          <cell r="N385" t="str">
            <v>Perfusor</v>
          </cell>
          <cell r="O385" t="str">
            <v>Perfusor Space PCA</v>
          </cell>
          <cell r="P385" t="str">
            <v>187812</v>
          </cell>
          <cell r="Q385" t="str">
            <v>Not Applicable</v>
          </cell>
          <cell r="R385" t="str">
            <v>B Braun Melsungen AG</v>
          </cell>
          <cell r="S385" t="str">
            <v>B Braun Medical Supplies Sdn. Bhd.</v>
          </cell>
          <cell r="T385" t="str">
            <v>Transferred</v>
          </cell>
          <cell r="U385" t="str">
            <v>Asset</v>
          </cell>
          <cell r="V385">
            <v>16840</v>
          </cell>
          <cell r="W385" t="str">
            <v>KEW</v>
          </cell>
          <cell r="X385" t="str">
            <v>01/09/2010</v>
          </cell>
          <cell r="Y385" t="str">
            <v>KEW</v>
          </cell>
          <cell r="Z385" t="str">
            <v>16/08/2013</v>
          </cell>
          <cell r="AA385" t="str">
            <v>15/08/2015</v>
          </cell>
          <cell r="AB385" t="str">
            <v>No</v>
          </cell>
          <cell r="AC385" t="str">
            <v>31/08/2013</v>
          </cell>
          <cell r="AD385" t="str">
            <v>Good</v>
          </cell>
          <cell r="AE385" t="str">
            <v>V4 - Decommissioned Installed Facility</v>
          </cell>
          <cell r="AF385">
            <v>43367</v>
          </cell>
          <cell r="AG385">
            <v>9.17</v>
          </cell>
          <cell r="AH385" t="str">
            <v>PPM</v>
          </cell>
          <cell r="AI385" t="str">
            <v>Not in contract</v>
          </cell>
          <cell r="AJ385" t="str">
            <v>Not in contract</v>
          </cell>
          <cell r="AK385" t="str">
            <v>Transfer to Alor Setar.</v>
          </cell>
        </row>
        <row r="386">
          <cell r="A386" t="str">
            <v>IKN400531</v>
          </cell>
          <cell r="B386">
            <v>531</v>
          </cell>
          <cell r="C386" t="str">
            <v>Institut Kanser Negara</v>
          </cell>
          <cell r="D386" t="e">
            <v>#N/A</v>
          </cell>
          <cell r="E386" t="str">
            <v>13-775</v>
          </cell>
          <cell r="F386" t="str">
            <v>Stimulators, Electrical, Neuromuscular</v>
          </cell>
          <cell r="G386" t="str">
            <v>PC</v>
          </cell>
          <cell r="H386" t="str">
            <v>PALLIATIVE CARE UNIT</v>
          </cell>
          <cell r="I386" t="str">
            <v>04PC109</v>
          </cell>
          <cell r="J386" t="str">
            <v>GEN. STORE</v>
          </cell>
          <cell r="K386" t="str">
            <v>BMED</v>
          </cell>
          <cell r="L386" t="str">
            <v>Normal</v>
          </cell>
          <cell r="M386" t="str">
            <v>Denmark</v>
          </cell>
          <cell r="N386" t="str">
            <v>Danmeter</v>
          </cell>
          <cell r="O386" t="str">
            <v>Elpha II 3000</v>
          </cell>
          <cell r="P386" t="str">
            <v>2013080056</v>
          </cell>
          <cell r="Q386" t="str">
            <v>Not Applicable</v>
          </cell>
          <cell r="R386" t="str">
            <v>Danmeter AS</v>
          </cell>
          <cell r="S386" t="str">
            <v>Maycare (M) Sdn. Bhd.</v>
          </cell>
          <cell r="T386" t="str">
            <v>Transferred</v>
          </cell>
          <cell r="U386" t="str">
            <v>Asset</v>
          </cell>
          <cell r="V386">
            <v>420</v>
          </cell>
          <cell r="W386" t="str">
            <v>KEW</v>
          </cell>
          <cell r="X386" t="str">
            <v>01/09/2010</v>
          </cell>
          <cell r="Y386" t="str">
            <v>KEW</v>
          </cell>
          <cell r="Z386" t="str">
            <v>16/08/2013</v>
          </cell>
          <cell r="AA386" t="str">
            <v>15/08/2015</v>
          </cell>
          <cell r="AB386" t="str">
            <v>No</v>
          </cell>
          <cell r="AC386" t="str">
            <v>31/08/2013</v>
          </cell>
          <cell r="AD386" t="str">
            <v>Good</v>
          </cell>
          <cell r="AE386" t="str">
            <v>V1 - Existing / No Claim</v>
          </cell>
          <cell r="AF386">
            <v>42235</v>
          </cell>
          <cell r="AG386">
            <v>9.17</v>
          </cell>
          <cell r="AH386" t="str">
            <v>PPM</v>
          </cell>
          <cell r="AI386" t="str">
            <v>Not in contract</v>
          </cell>
          <cell r="AJ386" t="str">
            <v>Not in contract</v>
          </cell>
          <cell r="AK386" t="str">
            <v>ASSET TRANSFER TO HOSP. SULTANAH BAHIYAH, KEDAH.</v>
          </cell>
        </row>
        <row r="387">
          <cell r="A387" t="str">
            <v>IKN400532</v>
          </cell>
          <cell r="B387">
            <v>532</v>
          </cell>
          <cell r="C387" t="str">
            <v>Institut Kanser Negara</v>
          </cell>
          <cell r="D387" t="e">
            <v>#N/A</v>
          </cell>
          <cell r="E387" t="str">
            <v>13-775</v>
          </cell>
          <cell r="F387" t="str">
            <v>Stimulators, Electrical, Neuromuscular</v>
          </cell>
          <cell r="G387" t="str">
            <v>PC</v>
          </cell>
          <cell r="H387" t="str">
            <v>PALLIATIVE CARE UNIT</v>
          </cell>
          <cell r="I387" t="str">
            <v>04PC109</v>
          </cell>
          <cell r="J387" t="str">
            <v>GEN. STORE</v>
          </cell>
          <cell r="K387" t="str">
            <v>BMED</v>
          </cell>
          <cell r="L387" t="str">
            <v>Normal</v>
          </cell>
          <cell r="M387" t="str">
            <v>Denmark</v>
          </cell>
          <cell r="N387" t="str">
            <v>Danmeter</v>
          </cell>
          <cell r="O387" t="str">
            <v>Elpha II 3000</v>
          </cell>
          <cell r="P387" t="str">
            <v>2013080057</v>
          </cell>
          <cell r="Q387" t="str">
            <v>Not Applicable</v>
          </cell>
          <cell r="R387" t="str">
            <v>Danmeter AS</v>
          </cell>
          <cell r="S387" t="str">
            <v>Maycare (M) Sdn. Bhd.</v>
          </cell>
          <cell r="T387" t="str">
            <v>Transferred</v>
          </cell>
          <cell r="U387" t="str">
            <v>Asset</v>
          </cell>
          <cell r="V387">
            <v>420</v>
          </cell>
          <cell r="W387" t="str">
            <v>KEW</v>
          </cell>
          <cell r="X387" t="str">
            <v>01/09/2010</v>
          </cell>
          <cell r="Y387" t="str">
            <v>KEW</v>
          </cell>
          <cell r="Z387" t="str">
            <v>16/08/2013</v>
          </cell>
          <cell r="AA387" t="str">
            <v>15/08/2015</v>
          </cell>
          <cell r="AB387" t="str">
            <v>No</v>
          </cell>
          <cell r="AC387" t="str">
            <v>31/08/2013</v>
          </cell>
          <cell r="AD387" t="str">
            <v>Good</v>
          </cell>
          <cell r="AE387" t="str">
            <v>V4 - Decommissioned Installed Facility</v>
          </cell>
          <cell r="AF387">
            <v>43367</v>
          </cell>
          <cell r="AG387">
            <v>9.17</v>
          </cell>
          <cell r="AH387" t="str">
            <v>PPM</v>
          </cell>
          <cell r="AI387" t="str">
            <v>Not in contract</v>
          </cell>
          <cell r="AJ387" t="str">
            <v>Not in contract</v>
          </cell>
          <cell r="AK387" t="str">
            <v>Transfer to Alor Setar.</v>
          </cell>
        </row>
        <row r="388">
          <cell r="A388" t="str">
            <v>IKN400540</v>
          </cell>
          <cell r="B388">
            <v>540</v>
          </cell>
          <cell r="C388" t="str">
            <v>Institut Kanser Negara</v>
          </cell>
          <cell r="D388" t="str">
            <v>KKM/IKN/H/13/2476</v>
          </cell>
          <cell r="E388" t="str">
            <v>12-660</v>
          </cell>
          <cell r="F388" t="str">
            <v>Radiation Monitors</v>
          </cell>
          <cell r="G388" t="str">
            <v>WA</v>
          </cell>
          <cell r="H388" t="str">
            <v>NUCLEAR MED WARD (THERAPY)</v>
          </cell>
          <cell r="I388" t="str">
            <v>03WA117</v>
          </cell>
          <cell r="J388" t="str">
            <v>N/S 1</v>
          </cell>
          <cell r="K388" t="str">
            <v>BMED</v>
          </cell>
          <cell r="L388" t="str">
            <v>Normal</v>
          </cell>
          <cell r="M388" t="str">
            <v>Germany</v>
          </cell>
          <cell r="N388" t="str">
            <v>CoMo</v>
          </cell>
          <cell r="O388" t="str">
            <v>CoMo 170</v>
          </cell>
          <cell r="P388" t="str">
            <v>5068DL</v>
          </cell>
          <cell r="Q388" t="str">
            <v>Not Applicable</v>
          </cell>
          <cell r="R388" t="str">
            <v>MED Nuklear-Medizintechnik Dresden GmbH</v>
          </cell>
          <cell r="S388" t="str">
            <v/>
          </cell>
          <cell r="T388" t="str">
            <v>Functioning</v>
          </cell>
          <cell r="U388" t="str">
            <v>Asset</v>
          </cell>
          <cell r="V388">
            <v>23270</v>
          </cell>
          <cell r="W388" t="str">
            <v>KEW</v>
          </cell>
          <cell r="X388" t="str">
            <v>01/09/2010</v>
          </cell>
          <cell r="Y388" t="str">
            <v>KEW</v>
          </cell>
          <cell r="Z388" t="str">
            <v>16/08/2013</v>
          </cell>
          <cell r="AA388" t="str">
            <v>15/08/2015</v>
          </cell>
          <cell r="AB388" t="str">
            <v>No</v>
          </cell>
          <cell r="AC388" t="str">
            <v>31/08/2013</v>
          </cell>
          <cell r="AD388" t="str">
            <v>Good</v>
          </cell>
          <cell r="AE388" t="str">
            <v>V4 - Decommissioned Installed Facility</v>
          </cell>
          <cell r="AF388">
            <v>42235</v>
          </cell>
          <cell r="AG388">
            <v>9.17</v>
          </cell>
          <cell r="AH388" t="str">
            <v>PPM</v>
          </cell>
          <cell r="AI388" t="str">
            <v>Strands</v>
          </cell>
          <cell r="AJ388" t="str">
            <v>Strands PW. Proposed for V4 P2.23</v>
          </cell>
          <cell r="AK388" t="str">
            <v>[ZARINA]: PEP ON 1/3/2023, BER/BEMS/IKN/23/004 - Aset mengalami kerosakan pada litar utama dan kabel.</v>
          </cell>
        </row>
        <row r="389">
          <cell r="A389" t="str">
            <v>IKN400554</v>
          </cell>
          <cell r="B389">
            <v>554</v>
          </cell>
          <cell r="C389" t="str">
            <v>Institut Kanser Negara</v>
          </cell>
          <cell r="D389" t="str">
            <v>KKM/IKN/H/13/5430-01</v>
          </cell>
          <cell r="E389" t="str">
            <v>17-882</v>
          </cell>
          <cell r="F389" t="str">
            <v>Defibrillator/Pacemakers, External</v>
          </cell>
          <cell r="G389" t="str">
            <v>NM</v>
          </cell>
          <cell r="H389" t="str">
            <v>NUCLEAR MED (DIAGNOSTIC)</v>
          </cell>
          <cell r="I389" t="str">
            <v>03NM161</v>
          </cell>
          <cell r="J389" t="str">
            <v>GAMMA CAMERA 1 (-VE)</v>
          </cell>
          <cell r="K389" t="str">
            <v>BMED</v>
          </cell>
          <cell r="L389" t="str">
            <v>Critical</v>
          </cell>
          <cell r="M389" t="str">
            <v>Germany</v>
          </cell>
          <cell r="N389" t="str">
            <v>HeartStart</v>
          </cell>
          <cell r="O389" t="str">
            <v>HeartStart XL+</v>
          </cell>
          <cell r="P389" t="str">
            <v>US91202396</v>
          </cell>
          <cell r="Q389" t="str">
            <v>Not Applicable</v>
          </cell>
          <cell r="R389" t="str">
            <v>Philips Medical System</v>
          </cell>
          <cell r="S389" t="str">
            <v>Advance Altimas Sdn Bhd</v>
          </cell>
          <cell r="T389" t="str">
            <v>Functioning</v>
          </cell>
          <cell r="U389" t="str">
            <v>Asset</v>
          </cell>
          <cell r="V389">
            <v>37000</v>
          </cell>
          <cell r="W389" t="str">
            <v>Estimate</v>
          </cell>
          <cell r="X389" t="str">
            <v>01/09/2010</v>
          </cell>
          <cell r="Y389" t="str">
            <v>KEW</v>
          </cell>
          <cell r="Z389" t="str">
            <v>16/08/2013</v>
          </cell>
          <cell r="AA389" t="str">
            <v>15/08/2015</v>
          </cell>
          <cell r="AB389" t="str">
            <v>No</v>
          </cell>
          <cell r="AC389" t="str">
            <v>31/08/2013</v>
          </cell>
          <cell r="AD389" t="str">
            <v>Good</v>
          </cell>
          <cell r="AE389" t="str">
            <v>V1 - Existing / No Claim</v>
          </cell>
          <cell r="AF389">
            <v>42601</v>
          </cell>
          <cell r="AG389">
            <v>9.17</v>
          </cell>
          <cell r="AH389" t="str">
            <v>PPM</v>
          </cell>
          <cell r="AI389" t="str">
            <v>Strands</v>
          </cell>
          <cell r="AJ389" t="str">
            <v>Strands Package. Proposed for V4 P2.23</v>
          </cell>
          <cell r="AK389" t="str">
            <v>Package Code XK0001A. [7/11/2023]: KKM no lama: KKM/IKN/H/13/3106, Update cost ikut KEWPA</v>
          </cell>
        </row>
        <row r="390">
          <cell r="A390" t="str">
            <v>IKN400555</v>
          </cell>
          <cell r="B390">
            <v>555</v>
          </cell>
          <cell r="C390" t="str">
            <v>Institut Kanser Negara</v>
          </cell>
          <cell r="D390" t="str">
            <v>KKM/IKN/H/13/5435</v>
          </cell>
          <cell r="E390" t="str">
            <v>12-647</v>
          </cell>
          <cell r="F390" t="str">
            <v>Physiologic Monitoring Systems, Acute Care</v>
          </cell>
          <cell r="G390" t="str">
            <v>NM</v>
          </cell>
          <cell r="H390" t="str">
            <v>NUCLEAR MED (DIAGNOSTIC)</v>
          </cell>
          <cell r="I390" t="str">
            <v>03NM161</v>
          </cell>
          <cell r="J390" t="str">
            <v>GAMMA CAMERA 1 (-VE)</v>
          </cell>
          <cell r="K390" t="str">
            <v>BMED</v>
          </cell>
          <cell r="L390" t="str">
            <v>Critical</v>
          </cell>
          <cell r="M390" t="str">
            <v>USA</v>
          </cell>
          <cell r="N390" t="str">
            <v>Cardiac Trigger</v>
          </cell>
          <cell r="O390" t="str">
            <v>Cardiac Trigger Monitor 3000</v>
          </cell>
          <cell r="P390" t="str">
            <v>12060289</v>
          </cell>
          <cell r="Q390" t="str">
            <v>Not Applicable</v>
          </cell>
          <cell r="R390" t="str">
            <v>Ivy Biomedical Systems Inc</v>
          </cell>
          <cell r="S390" t="str">
            <v>Advance Altimas Sdn Bhd</v>
          </cell>
          <cell r="T390" t="str">
            <v>Functioning</v>
          </cell>
          <cell r="U390" t="str">
            <v>Asset</v>
          </cell>
          <cell r="V390">
            <v>20000</v>
          </cell>
          <cell r="W390" t="str">
            <v>Estimate</v>
          </cell>
          <cell r="X390" t="str">
            <v>01/09/2010</v>
          </cell>
          <cell r="Y390" t="str">
            <v>KEW</v>
          </cell>
          <cell r="Z390" t="str">
            <v>16/08/2013</v>
          </cell>
          <cell r="AA390" t="str">
            <v>15/08/2015</v>
          </cell>
          <cell r="AB390" t="str">
            <v>No</v>
          </cell>
          <cell r="AC390" t="str">
            <v>31/08/2013</v>
          </cell>
          <cell r="AD390" t="str">
            <v>Good</v>
          </cell>
          <cell r="AE390" t="str">
            <v>V4 - Decommissioned Installed Facility</v>
          </cell>
          <cell r="AF390">
            <v>42601</v>
          </cell>
          <cell r="AG390">
            <v>9.17</v>
          </cell>
          <cell r="AH390" t="str">
            <v>PPM</v>
          </cell>
          <cell r="AI390" t="str">
            <v>Strands</v>
          </cell>
          <cell r="AJ390" t="str">
            <v>Strands Package. Proposed for V4 P2.23</v>
          </cell>
          <cell r="AK390" t="str">
            <v>Package Code XK0001A [22/9/2023, SHARIFAH]: PEP ON NOV 2020, BER/BEMS/AWSB/20/006 - Asset masih boleh digunakan namun asset tidak ekonomik diperbaiki lagi sekiranya rosak. SNF V4 received on 8/11/2023. [26/1/2024]: PEP JAN 2024, BER/BEMS/AWSB/20/006 - Penggunaan hendaklah dihentikan.</v>
          </cell>
        </row>
        <row r="391">
          <cell r="A391" t="str">
            <v>IKN400566</v>
          </cell>
          <cell r="B391">
            <v>566</v>
          </cell>
          <cell r="C391" t="str">
            <v>Institut Kanser Negara</v>
          </cell>
          <cell r="D391" t="str">
            <v>KKM/IKN/H/13/5430</v>
          </cell>
          <cell r="E391" t="str">
            <v>15-944</v>
          </cell>
          <cell r="F391" t="str">
            <v>Cameras, Gamma</v>
          </cell>
          <cell r="G391" t="str">
            <v>NM</v>
          </cell>
          <cell r="H391" t="str">
            <v>NUCLEAR MED (DIAGNOSTIC)</v>
          </cell>
          <cell r="I391" t="str">
            <v>03NM161</v>
          </cell>
          <cell r="J391" t="str">
            <v>GAMMA CAMERA 1 (-VE)</v>
          </cell>
          <cell r="K391" t="str">
            <v>BMED</v>
          </cell>
          <cell r="L391" t="str">
            <v>Normal</v>
          </cell>
          <cell r="M391" t="str">
            <v>The Netherlands</v>
          </cell>
          <cell r="N391" t="str">
            <v>Brightview</v>
          </cell>
          <cell r="O391" t="str">
            <v>Brightview XCT</v>
          </cell>
          <cell r="P391" t="str">
            <v>60000315</v>
          </cell>
          <cell r="Q391" t="str">
            <v>Not Applicable</v>
          </cell>
          <cell r="R391" t="str">
            <v>Philips Medical Systems</v>
          </cell>
          <cell r="S391" t="str">
            <v>Advance Altimas Sdn Bhd</v>
          </cell>
          <cell r="T391" t="str">
            <v>Not Functioning</v>
          </cell>
          <cell r="U391" t="str">
            <v>Asset</v>
          </cell>
          <cell r="V391">
            <v>3071300</v>
          </cell>
          <cell r="W391" t="str">
            <v>KEW</v>
          </cell>
          <cell r="X391" t="str">
            <v>01/09/2010</v>
          </cell>
          <cell r="Y391" t="str">
            <v>KEW</v>
          </cell>
          <cell r="Z391" t="str">
            <v>16/08/2013</v>
          </cell>
          <cell r="AA391" t="str">
            <v>15/08/2015</v>
          </cell>
          <cell r="AB391" t="str">
            <v>No</v>
          </cell>
          <cell r="AC391" t="str">
            <v>31/08/2013</v>
          </cell>
          <cell r="AD391" t="str">
            <v>Good</v>
          </cell>
          <cell r="AE391" t="str">
            <v>V1 - Existing / No Claim</v>
          </cell>
          <cell r="AF391">
            <v>42235</v>
          </cell>
          <cell r="AG391">
            <v>9.17</v>
          </cell>
          <cell r="AH391" t="str">
            <v>PPM</v>
          </cell>
          <cell r="AI391" t="str">
            <v>Strands</v>
          </cell>
          <cell r="AJ391" t="str">
            <v>Strands Package. Proposed for V4 P2.23</v>
          </cell>
          <cell r="AK391" t="str">
            <v>Package Code XK0001A. [SHARIFAH, 16/10/2023]: PEP ON 21/7/2022. BER/BEMS/IKN/22/003 - Aset tidak ekonomik digunakan lagi. Penggunaannya mestilah dihentikan. KEWPA lama: KKM/IKN/H/13/3797. SNF V4 received on 8/11/2023.</v>
          </cell>
        </row>
        <row r="392">
          <cell r="A392" t="str">
            <v>IKN400597</v>
          </cell>
          <cell r="B392">
            <v>597</v>
          </cell>
          <cell r="C392" t="str">
            <v>Institut Kanser Negara</v>
          </cell>
          <cell r="D392" t="e">
            <v>#N/A</v>
          </cell>
          <cell r="E392" t="str">
            <v>10-447</v>
          </cell>
          <cell r="F392" t="str">
            <v>Warming Units, Blood/Solution</v>
          </cell>
          <cell r="G392" t="str">
            <v>DO</v>
          </cell>
          <cell r="H392" t="str">
            <v>DAY ONCOLOGY UNIT</v>
          </cell>
          <cell r="I392" t="str">
            <v>04DO111</v>
          </cell>
          <cell r="J392" t="str">
            <v>EQUIP. ROOM</v>
          </cell>
          <cell r="K392" t="str">
            <v>BMED</v>
          </cell>
          <cell r="L392" t="str">
            <v>Normal</v>
          </cell>
          <cell r="M392" t="str">
            <v>Japan</v>
          </cell>
          <cell r="N392" t="str">
            <v>Animec</v>
          </cell>
          <cell r="O392" t="str">
            <v>Animec AM-301</v>
          </cell>
          <cell r="P392" t="str">
            <v>2013D0244</v>
          </cell>
          <cell r="Q392" t="str">
            <v>Not Applicable</v>
          </cell>
          <cell r="R392" t="str">
            <v>Elltec Co Ltd</v>
          </cell>
          <cell r="S392" t="str">
            <v>IDS Services (Malaysia) Sdn Bhd</v>
          </cell>
          <cell r="T392" t="str">
            <v>Disposed</v>
          </cell>
          <cell r="U392" t="str">
            <v>Asset</v>
          </cell>
          <cell r="V392">
            <v>4990</v>
          </cell>
          <cell r="W392" t="str">
            <v>KEW</v>
          </cell>
          <cell r="X392" t="str">
            <v>01/09/2010</v>
          </cell>
          <cell r="Y392" t="str">
            <v>KEW</v>
          </cell>
          <cell r="Z392" t="str">
            <v>16/08/2013</v>
          </cell>
          <cell r="AA392" t="str">
            <v>15/08/2015</v>
          </cell>
          <cell r="AB392" t="str">
            <v>No</v>
          </cell>
          <cell r="AC392" t="str">
            <v>31/08/2013</v>
          </cell>
          <cell r="AD392" t="str">
            <v>Good</v>
          </cell>
          <cell r="AE392" t="str">
            <v>V4 - Decommissioned Installed Facility</v>
          </cell>
          <cell r="AF392">
            <v>42733</v>
          </cell>
          <cell r="AG392">
            <v>9.17</v>
          </cell>
          <cell r="AH392" t="str">
            <v>PPM</v>
          </cell>
          <cell r="AI392" t="str">
            <v>Not in contract</v>
          </cell>
          <cell r="AJ392" t="str">
            <v>Not in contract</v>
          </cell>
          <cell r="AK392" t="e">
            <v>#N/A</v>
          </cell>
        </row>
        <row r="393">
          <cell r="A393" t="str">
            <v>IKN400669</v>
          </cell>
          <cell r="B393">
            <v>669</v>
          </cell>
          <cell r="C393" t="str">
            <v>Institut Kanser Negara</v>
          </cell>
          <cell r="E393" t="str">
            <v>13-763</v>
          </cell>
          <cell r="F393" t="str">
            <v>Stimulators, Electrical, Peripheral Nerve, Acupuncture</v>
          </cell>
          <cell r="G393" t="str">
            <v>TC</v>
          </cell>
          <cell r="H393" t="str">
            <v>TRADITIONAL COMPLEMENTARY MEDICINE</v>
          </cell>
          <cell r="I393" t="str">
            <v>04TC127</v>
          </cell>
          <cell r="J393" t="str">
            <v>C/E</v>
          </cell>
          <cell r="K393" t="str">
            <v>BMED</v>
          </cell>
          <cell r="L393" t="str">
            <v>Normal</v>
          </cell>
          <cell r="M393" t="str">
            <v>China</v>
          </cell>
          <cell r="N393" t="str">
            <v>Shantou</v>
          </cell>
          <cell r="O393" t="str">
            <v>Shantou Itpg-6805-D</v>
          </cell>
          <cell r="P393" t="str">
            <v>AD1206104</v>
          </cell>
          <cell r="Q393" t="str">
            <v>Not Applicable</v>
          </cell>
          <cell r="R393" t="str">
            <v>Shantou Medical</v>
          </cell>
          <cell r="S393" t="str">
            <v>ITP Academy Malaysia</v>
          </cell>
          <cell r="T393" t="str">
            <v>Disposed</v>
          </cell>
          <cell r="U393" t="str">
            <v>Asset</v>
          </cell>
          <cell r="V393">
            <v>10725</v>
          </cell>
          <cell r="W393" t="str">
            <v>KEW</v>
          </cell>
          <cell r="X393" t="str">
            <v>01/09/2010</v>
          </cell>
          <cell r="Y393" t="str">
            <v>KEW</v>
          </cell>
          <cell r="Z393" t="str">
            <v>16/08/2013</v>
          </cell>
          <cell r="AA393" t="str">
            <v>15/08/2015</v>
          </cell>
          <cell r="AB393" t="str">
            <v>No</v>
          </cell>
          <cell r="AC393" t="str">
            <v>31/08/2013</v>
          </cell>
          <cell r="AD393" t="str">
            <v>Request for Exemption</v>
          </cell>
          <cell r="AE393" t="str">
            <v>V4 - Decommissioned Installed Facility</v>
          </cell>
          <cell r="AF393">
            <v>42857</v>
          </cell>
          <cell r="AG393">
            <v>9.17</v>
          </cell>
          <cell r="AH393" t="str">
            <v>PPM</v>
          </cell>
          <cell r="AI393" t="str">
            <v>Not in contract</v>
          </cell>
          <cell r="AJ393" t="str">
            <v>Not in contract</v>
          </cell>
          <cell r="AK393" t="e">
            <v>#N/A</v>
          </cell>
        </row>
        <row r="394">
          <cell r="A394" t="str">
            <v>IKN400672</v>
          </cell>
          <cell r="B394">
            <v>672</v>
          </cell>
          <cell r="C394" t="str">
            <v>Institut Kanser Negara</v>
          </cell>
          <cell r="E394" t="str">
            <v>13-763</v>
          </cell>
          <cell r="F394" t="str">
            <v>Stimulators, Electrical, Peripheral Nerve, Acupuncture</v>
          </cell>
          <cell r="G394" t="str">
            <v>TC</v>
          </cell>
          <cell r="H394" t="str">
            <v>TRADITIONAL COMPLEMENTARY MEDICINE</v>
          </cell>
          <cell r="I394" t="str">
            <v>04TC129</v>
          </cell>
          <cell r="J394" t="str">
            <v>TREATMENT 2 (ACCUPUNCTURE)</v>
          </cell>
          <cell r="K394" t="str">
            <v>BMED</v>
          </cell>
          <cell r="L394" t="str">
            <v>Normal</v>
          </cell>
          <cell r="M394" t="str">
            <v>China</v>
          </cell>
          <cell r="N394" t="str">
            <v>Shantou</v>
          </cell>
          <cell r="O394" t="str">
            <v>Shantou Itpg-6805-D</v>
          </cell>
          <cell r="P394" t="str">
            <v>AD1206109</v>
          </cell>
          <cell r="Q394" t="str">
            <v>Not Applicable</v>
          </cell>
          <cell r="R394" t="str">
            <v>Shantou Medical</v>
          </cell>
          <cell r="S394" t="str">
            <v>ITP Academy Malaysia</v>
          </cell>
          <cell r="T394" t="str">
            <v>Disposed</v>
          </cell>
          <cell r="U394" t="str">
            <v>Asset</v>
          </cell>
          <cell r="V394">
            <v>10725</v>
          </cell>
          <cell r="W394" t="str">
            <v>KEW</v>
          </cell>
          <cell r="X394" t="str">
            <v>01/09/2010</v>
          </cell>
          <cell r="Y394" t="str">
            <v>KEW</v>
          </cell>
          <cell r="Z394" t="str">
            <v>16/08/2013</v>
          </cell>
          <cell r="AA394" t="str">
            <v>15/08/2015</v>
          </cell>
          <cell r="AB394" t="str">
            <v>No</v>
          </cell>
          <cell r="AC394" t="str">
            <v>31/08/2013</v>
          </cell>
          <cell r="AD394" t="str">
            <v>Good</v>
          </cell>
          <cell r="AE394" t="str">
            <v>V4 - Decommissioned Installed Facility</v>
          </cell>
          <cell r="AF394">
            <v>42733</v>
          </cell>
          <cell r="AG394">
            <v>9.17</v>
          </cell>
          <cell r="AH394" t="str">
            <v>PPM</v>
          </cell>
          <cell r="AI394" t="str">
            <v>Not in contract</v>
          </cell>
          <cell r="AJ394" t="str">
            <v>Not in contract</v>
          </cell>
          <cell r="AK394" t="e">
            <v>#N/A</v>
          </cell>
        </row>
        <row r="395">
          <cell r="A395" t="str">
            <v>IKN400673</v>
          </cell>
          <cell r="B395">
            <v>673</v>
          </cell>
          <cell r="C395" t="str">
            <v>Institut Kanser Negara</v>
          </cell>
          <cell r="D395" t="str">
            <v>KKM/IKN/H/13/1202</v>
          </cell>
          <cell r="E395" t="str">
            <v>12-278</v>
          </cell>
          <cell r="F395" t="str">
            <v>Lights, Infrared</v>
          </cell>
          <cell r="G395" t="str">
            <v>TC</v>
          </cell>
          <cell r="H395" t="str">
            <v>TRADITIONAL COMPLEMENTARY MEDICINE</v>
          </cell>
          <cell r="I395" t="str">
            <v>04TC108</v>
          </cell>
          <cell r="J395" t="str">
            <v>TREATMENT 3 (MOXISBUSTION</v>
          </cell>
          <cell r="K395" t="str">
            <v>BMED</v>
          </cell>
          <cell r="L395" t="str">
            <v>Normal</v>
          </cell>
          <cell r="M395" t="str">
            <v>China</v>
          </cell>
          <cell r="N395" t="str">
            <v>Chongqing</v>
          </cell>
          <cell r="O395" t="str">
            <v>Chongqing Itp-Xf29-Tdp</v>
          </cell>
          <cell r="P395" t="str">
            <v>12110072</v>
          </cell>
          <cell r="Q395" t="str">
            <v>Not Applicable</v>
          </cell>
          <cell r="R395" t="str">
            <v>Chongqing Xinfeng Me</v>
          </cell>
          <cell r="S395" t="str">
            <v>ITP Academy Malaysia</v>
          </cell>
          <cell r="T395" t="str">
            <v>Functioning</v>
          </cell>
          <cell r="U395" t="str">
            <v>Asset</v>
          </cell>
          <cell r="V395">
            <v>1410</v>
          </cell>
          <cell r="W395" t="str">
            <v>KEW</v>
          </cell>
          <cell r="X395" t="str">
            <v>01/09/2010</v>
          </cell>
          <cell r="Y395" t="str">
            <v>KEW</v>
          </cell>
          <cell r="Z395" t="str">
            <v>16/08/2013</v>
          </cell>
          <cell r="AA395" t="str">
            <v>15/08/2015</v>
          </cell>
          <cell r="AB395" t="str">
            <v>No</v>
          </cell>
          <cell r="AC395" t="str">
            <v>31/08/2013</v>
          </cell>
          <cell r="AD395" t="str">
            <v>Good</v>
          </cell>
          <cell r="AE395" t="str">
            <v>V1 - Existing / No Claim</v>
          </cell>
          <cell r="AF395">
            <v>42794</v>
          </cell>
          <cell r="AG395">
            <v>9.17</v>
          </cell>
          <cell r="AH395" t="str">
            <v>PPM</v>
          </cell>
          <cell r="AI395" t="str">
            <v>Strands</v>
          </cell>
          <cell r="AJ395" t="str">
            <v>Strands PW</v>
          </cell>
          <cell r="AK395" t="str">
            <v>[INDIRA, 17/10/2023]: Update KKM No. [27/12/2023, SHARIFAH]: PEP ON 22/12/2023, BER/BEMS/IKN/23/024 - Aset mengalami kerosakan pada komponen heater, mineral plate telah berkarat dan penggunaanya hendaklah dihentikan.</v>
          </cell>
        </row>
        <row r="396">
          <cell r="A396" t="str">
            <v>IKN400675</v>
          </cell>
          <cell r="B396">
            <v>675</v>
          </cell>
          <cell r="C396" t="str">
            <v>Institut Kanser Negara</v>
          </cell>
          <cell r="D396" t="str">
            <v>KKM/IKN/H/13/1204 (OLD) KKM/IKN/R/13/621-NEW</v>
          </cell>
          <cell r="E396" t="str">
            <v>12-278</v>
          </cell>
          <cell r="F396" t="str">
            <v>Lights, Infrared</v>
          </cell>
          <cell r="G396" t="str">
            <v>TC</v>
          </cell>
          <cell r="H396" t="str">
            <v>TRADITIONAL COMPLEMENTARY MEDICINE</v>
          </cell>
          <cell r="I396" t="str">
            <v>04TC129</v>
          </cell>
          <cell r="J396" t="str">
            <v>TREATMENT 2 (ACCUPUNCTURE)</v>
          </cell>
          <cell r="K396" t="str">
            <v>BMED</v>
          </cell>
          <cell r="L396" t="str">
            <v>Normal</v>
          </cell>
          <cell r="M396" t="str">
            <v>China</v>
          </cell>
          <cell r="N396" t="str">
            <v>Chongqing</v>
          </cell>
          <cell r="O396" t="str">
            <v>Chongqing Itp-Xf29-Tdp</v>
          </cell>
          <cell r="P396" t="str">
            <v>12110068</v>
          </cell>
          <cell r="Q396" t="str">
            <v>Not Applicable</v>
          </cell>
          <cell r="R396" t="str">
            <v>Chongqing Xinfeng Me</v>
          </cell>
          <cell r="S396" t="str">
            <v>ITP Academy Malaysia</v>
          </cell>
          <cell r="T396" t="str">
            <v>Functioning</v>
          </cell>
          <cell r="U396" t="str">
            <v>Asset</v>
          </cell>
          <cell r="V396">
            <v>1410</v>
          </cell>
          <cell r="W396" t="str">
            <v>KEW</v>
          </cell>
          <cell r="X396" t="str">
            <v>01/09/2010</v>
          </cell>
          <cell r="Y396" t="str">
            <v>KEW</v>
          </cell>
          <cell r="Z396" t="str">
            <v>16/08/2013</v>
          </cell>
          <cell r="AA396" t="str">
            <v>15/08/2015</v>
          </cell>
          <cell r="AB396" t="str">
            <v>No</v>
          </cell>
          <cell r="AC396" t="str">
            <v>31/08/2013</v>
          </cell>
          <cell r="AD396" t="str">
            <v>Good</v>
          </cell>
          <cell r="AE396" t="str">
            <v>V1 - Existing / No Claim</v>
          </cell>
          <cell r="AF396">
            <v>42794</v>
          </cell>
          <cell r="AG396">
            <v>9.17</v>
          </cell>
          <cell r="AH396" t="str">
            <v>PPM</v>
          </cell>
          <cell r="AI396" t="str">
            <v>Strands</v>
          </cell>
          <cell r="AJ396" t="str">
            <v>Strands PW. Proposed for V4 P2.23</v>
          </cell>
          <cell r="AK396" t="str">
            <v>[ZARINA]: PEP ON 1/3/2023, BER/BEMS/IKN/23/006 (KKM/IKN/H/13/1204) - Aset mengalami kerosakan pada komponen power cord dan mineral heating plate. [INDIRA, 17/10/2023]: Update KKM No.</v>
          </cell>
        </row>
        <row r="397">
          <cell r="A397" t="str">
            <v>IKN400676</v>
          </cell>
          <cell r="B397">
            <v>676</v>
          </cell>
          <cell r="C397" t="str">
            <v>Institut Kanser Negara</v>
          </cell>
          <cell r="D397" t="str">
            <v>KKM/IKN/H/13/1205</v>
          </cell>
          <cell r="E397" t="str">
            <v>12-278</v>
          </cell>
          <cell r="F397" t="str">
            <v>Lights, Infrared</v>
          </cell>
          <cell r="G397" t="str">
            <v>TC</v>
          </cell>
          <cell r="H397" t="str">
            <v>TRADITIONAL COMPLEMENTARY MEDICINE</v>
          </cell>
          <cell r="I397" t="str">
            <v>04TC129</v>
          </cell>
          <cell r="J397" t="str">
            <v>TREATMENT 2 (ACCUPUNCTURE)</v>
          </cell>
          <cell r="K397" t="str">
            <v>BMED</v>
          </cell>
          <cell r="L397" t="str">
            <v>Normal</v>
          </cell>
          <cell r="M397" t="str">
            <v>China</v>
          </cell>
          <cell r="N397" t="str">
            <v>Chongqing</v>
          </cell>
          <cell r="O397" t="str">
            <v>Chongqing Itp-Xf29-Tdp</v>
          </cell>
          <cell r="P397" t="str">
            <v>12110075</v>
          </cell>
          <cell r="Q397" t="str">
            <v>Not Applicable</v>
          </cell>
          <cell r="R397" t="str">
            <v>Chongqing Xinfeng Me</v>
          </cell>
          <cell r="S397" t="str">
            <v>ITP Academy Malaysia</v>
          </cell>
          <cell r="T397" t="str">
            <v>Functioning</v>
          </cell>
          <cell r="U397" t="str">
            <v>Asset</v>
          </cell>
          <cell r="V397">
            <v>1410</v>
          </cell>
          <cell r="W397" t="str">
            <v>KEW</v>
          </cell>
          <cell r="X397" t="str">
            <v>01/09/2010</v>
          </cell>
          <cell r="Y397" t="str">
            <v>KEW</v>
          </cell>
          <cell r="Z397" t="str">
            <v>16/08/2013</v>
          </cell>
          <cell r="AA397" t="str">
            <v>15/08/2015</v>
          </cell>
          <cell r="AB397" t="str">
            <v>No</v>
          </cell>
          <cell r="AC397" t="str">
            <v>31/08/2013</v>
          </cell>
          <cell r="AD397" t="str">
            <v>Good</v>
          </cell>
          <cell r="AE397" t="str">
            <v>V1 - Existing / No Claim</v>
          </cell>
          <cell r="AF397">
            <v>42794</v>
          </cell>
          <cell r="AG397">
            <v>9.17</v>
          </cell>
          <cell r="AH397" t="str">
            <v>PPM</v>
          </cell>
          <cell r="AI397" t="str">
            <v>Strands</v>
          </cell>
          <cell r="AJ397" t="str">
            <v>Strands PW</v>
          </cell>
          <cell r="AK397" t="str">
            <v>[INDIRA, 17/10/2023]: Update KKM No. [27/12/2023, SHARIFAH]: PEP ON 22/12/2023, BER/BEMS/IKN/23/025 - Komponen aset telah longgar, chasis retak dan mineral plat berkarat dan penggunaanya hendaklah dihentikan.</v>
          </cell>
        </row>
        <row r="398">
          <cell r="A398" t="str">
            <v>IKN400683</v>
          </cell>
          <cell r="B398">
            <v>683</v>
          </cell>
          <cell r="C398" t="str">
            <v>Institut Kanser Negara</v>
          </cell>
          <cell r="E398" t="str">
            <v>13-763</v>
          </cell>
          <cell r="F398" t="str">
            <v>Stimulators, Electrical, Peripheral Nerve, Acupuncture</v>
          </cell>
          <cell r="G398" t="str">
            <v>TC</v>
          </cell>
          <cell r="H398" t="str">
            <v>TRADITIONAL COMPLEMENTARY MEDICINE</v>
          </cell>
          <cell r="I398" t="str">
            <v>04TC119</v>
          </cell>
          <cell r="J398" t="str">
            <v>GEN.STORE</v>
          </cell>
          <cell r="K398" t="str">
            <v>BMED</v>
          </cell>
          <cell r="L398" t="str">
            <v>Normal</v>
          </cell>
          <cell r="M398" t="str">
            <v>China</v>
          </cell>
          <cell r="N398" t="str">
            <v>Shantou</v>
          </cell>
          <cell r="O398" t="str">
            <v>Shantou Itpg-6805-D</v>
          </cell>
          <cell r="P398" t="str">
            <v>AD1206102</v>
          </cell>
          <cell r="Q398" t="str">
            <v>Not Applicable</v>
          </cell>
          <cell r="R398" t="str">
            <v>Shantou Medical</v>
          </cell>
          <cell r="S398" t="str">
            <v>ITP Academy Malaysia</v>
          </cell>
          <cell r="T398" t="str">
            <v>Disposed</v>
          </cell>
          <cell r="U398" t="str">
            <v>Asset</v>
          </cell>
          <cell r="V398">
            <v>10725</v>
          </cell>
          <cell r="W398" t="str">
            <v>KEW</v>
          </cell>
          <cell r="X398" t="str">
            <v>01/09/2010</v>
          </cell>
          <cell r="Y398" t="str">
            <v>KEW</v>
          </cell>
          <cell r="Z398" t="str">
            <v>16/08/2013</v>
          </cell>
          <cell r="AA398" t="str">
            <v>15/08/2015</v>
          </cell>
          <cell r="AB398" t="str">
            <v>No</v>
          </cell>
          <cell r="AC398" t="str">
            <v>31/08/2013</v>
          </cell>
          <cell r="AD398" t="str">
            <v>Good</v>
          </cell>
          <cell r="AE398" t="str">
            <v>V4 - Decommissioned Installed Facility</v>
          </cell>
          <cell r="AF398">
            <v>42733</v>
          </cell>
          <cell r="AG398">
            <v>9.17</v>
          </cell>
          <cell r="AH398" t="str">
            <v>PPM</v>
          </cell>
          <cell r="AI398" t="str">
            <v>Not in contract</v>
          </cell>
          <cell r="AJ398" t="str">
            <v>Not in contract</v>
          </cell>
          <cell r="AK398" t="e">
            <v>#N/A</v>
          </cell>
        </row>
        <row r="399">
          <cell r="A399" t="str">
            <v>IKN400699</v>
          </cell>
          <cell r="B399">
            <v>699</v>
          </cell>
          <cell r="C399" t="str">
            <v>Institut Kanser Negara</v>
          </cell>
          <cell r="D399" t="str">
            <v>KKM/IKN/H/13/1422</v>
          </cell>
          <cell r="E399" t="str">
            <v>16-953</v>
          </cell>
          <cell r="F399" t="str">
            <v>Analgesia Units, Inhalation</v>
          </cell>
          <cell r="G399" t="str">
            <v>PY</v>
          </cell>
          <cell r="H399" t="str">
            <v>PHYSIOTHERAPY</v>
          </cell>
          <cell r="I399" t="str">
            <v>04PY130</v>
          </cell>
          <cell r="J399" t="str">
            <v>RESPIRATORY</v>
          </cell>
          <cell r="K399" t="str">
            <v>BMED</v>
          </cell>
          <cell r="L399" t="str">
            <v>Normal</v>
          </cell>
          <cell r="M399" t="str">
            <v>Germany</v>
          </cell>
          <cell r="N399" t="str">
            <v>Foggy</v>
          </cell>
          <cell r="O399" t="str">
            <v>Foggy Jet, 192-0000</v>
          </cell>
          <cell r="P399" t="str">
            <v>350-0912-1696</v>
          </cell>
          <cell r="Q399" t="str">
            <v>Not Applicable</v>
          </cell>
          <cell r="R399" t="str">
            <v>Heyer Medical AG</v>
          </cell>
          <cell r="S399" t="str">
            <v>Maycare (M) Sdn. Bhd.</v>
          </cell>
          <cell r="T399" t="str">
            <v>Functioning</v>
          </cell>
          <cell r="U399" t="str">
            <v>Asset</v>
          </cell>
          <cell r="V399">
            <v>96230</v>
          </cell>
          <cell r="W399" t="str">
            <v>KEW</v>
          </cell>
          <cell r="X399" t="str">
            <v>01/09/2010</v>
          </cell>
          <cell r="Y399" t="str">
            <v>KEW</v>
          </cell>
          <cell r="Z399" t="str">
            <v>16/08/2013</v>
          </cell>
          <cell r="AA399" t="str">
            <v>15/08/2015</v>
          </cell>
          <cell r="AB399" t="str">
            <v>No</v>
          </cell>
          <cell r="AC399" t="str">
            <v>31/08/2013</v>
          </cell>
          <cell r="AD399" t="str">
            <v>Good</v>
          </cell>
          <cell r="AE399" t="str">
            <v>V1 - Existing / No Claim</v>
          </cell>
          <cell r="AF399">
            <v>42802</v>
          </cell>
          <cell r="AG399">
            <v>9.17</v>
          </cell>
          <cell r="AH399" t="str">
            <v>RI</v>
          </cell>
          <cell r="AI399" t="str">
            <v>Strands</v>
          </cell>
          <cell r="AJ399" t="str">
            <v>Strands PW</v>
          </cell>
          <cell r="AK399" t="str">
            <v>PEP 23/7/2024</v>
          </cell>
        </row>
        <row r="400">
          <cell r="A400" t="str">
            <v>IKN400728</v>
          </cell>
          <cell r="B400">
            <v>728</v>
          </cell>
          <cell r="C400" t="str">
            <v>Institut Kanser Negara</v>
          </cell>
          <cell r="D400" t="str">
            <v>KKM/IKN/H/13/1903</v>
          </cell>
          <cell r="E400" t="str">
            <v>17-440</v>
          </cell>
          <cell r="F400" t="str">
            <v>Microscopes, Light, Laboratory, Inverted Stage</v>
          </cell>
          <cell r="G400" t="str">
            <v>LA</v>
          </cell>
          <cell r="H400" t="str">
            <v>PATHOLOGY</v>
          </cell>
          <cell r="I400" t="str">
            <v>04LA125</v>
          </cell>
          <cell r="J400" t="str">
            <v>OFFICE/RECORDS</v>
          </cell>
          <cell r="K400" t="str">
            <v>BMED</v>
          </cell>
          <cell r="L400" t="str">
            <v>Normal</v>
          </cell>
          <cell r="M400" t="str">
            <v>Japan</v>
          </cell>
          <cell r="N400" t="str">
            <v>Olympus</v>
          </cell>
          <cell r="O400" t="str">
            <v>Olympus BX 43</v>
          </cell>
          <cell r="P400" t="str">
            <v>2J49403</v>
          </cell>
          <cell r="Q400" t="str">
            <v>Not Applicable</v>
          </cell>
          <cell r="R400" t="str">
            <v>Olympus Corp</v>
          </cell>
          <cell r="S400" t="str">
            <v>Matrix Optics (M) Sdn Bhd</v>
          </cell>
          <cell r="T400" t="str">
            <v>Functioning</v>
          </cell>
          <cell r="U400" t="str">
            <v>Asset</v>
          </cell>
          <cell r="V400">
            <v>19380</v>
          </cell>
          <cell r="W400" t="str">
            <v>KEW</v>
          </cell>
          <cell r="X400" t="str">
            <v>01/09/2010</v>
          </cell>
          <cell r="Y400" t="str">
            <v>KEW</v>
          </cell>
          <cell r="Z400" t="str">
            <v>16/08/2013</v>
          </cell>
          <cell r="AA400" t="str">
            <v>15/08/2015</v>
          </cell>
          <cell r="AB400" t="str">
            <v>No</v>
          </cell>
          <cell r="AC400" t="str">
            <v>31/08/2013</v>
          </cell>
          <cell r="AD400" t="str">
            <v>Good</v>
          </cell>
          <cell r="AE400" t="str">
            <v>V5 - Transfer to other Hospitals/Healthcare Facility</v>
          </cell>
          <cell r="AF400">
            <v>42235</v>
          </cell>
          <cell r="AG400">
            <v>9.17</v>
          </cell>
          <cell r="AH400" t="str">
            <v>PPM</v>
          </cell>
          <cell r="AI400" t="str">
            <v>Not in contract</v>
          </cell>
          <cell r="AJ400" t="str">
            <v>Not in contract</v>
          </cell>
          <cell r="AK400" t="str">
            <v>SNF received on 28.5.2021. Under Strands previously. Transferred to Hospital Serdang.</v>
          </cell>
        </row>
        <row r="401">
          <cell r="A401" t="str">
            <v>IKN400729</v>
          </cell>
          <cell r="B401">
            <v>729</v>
          </cell>
          <cell r="C401" t="str">
            <v>Institut Kanser Negara</v>
          </cell>
          <cell r="D401" t="e">
            <v>#N/A</v>
          </cell>
          <cell r="E401" t="str">
            <v>17-440</v>
          </cell>
          <cell r="F401" t="str">
            <v>Microscopes, Light, Laboratory, Inverted Stage</v>
          </cell>
          <cell r="G401" t="str">
            <v>LA</v>
          </cell>
          <cell r="H401" t="str">
            <v>PATHOLOGY</v>
          </cell>
          <cell r="I401" t="str">
            <v>04LA125</v>
          </cell>
          <cell r="J401" t="str">
            <v>OFFICE/RECORDS</v>
          </cell>
          <cell r="K401" t="str">
            <v>BMED</v>
          </cell>
          <cell r="L401" t="str">
            <v>Normal</v>
          </cell>
          <cell r="M401" t="str">
            <v>Japan</v>
          </cell>
          <cell r="N401" t="str">
            <v>Olympus</v>
          </cell>
          <cell r="O401" t="str">
            <v>Olympus BX 43</v>
          </cell>
          <cell r="P401" t="str">
            <v>2J48395</v>
          </cell>
          <cell r="Q401" t="str">
            <v>Not Applicable</v>
          </cell>
          <cell r="R401" t="str">
            <v>Olympus Corp</v>
          </cell>
          <cell r="S401" t="str">
            <v>Matrix Optics (M) Sdn Bhd</v>
          </cell>
          <cell r="T401" t="str">
            <v>Disposed</v>
          </cell>
          <cell r="U401" t="str">
            <v>Asset</v>
          </cell>
          <cell r="V401">
            <v>19380</v>
          </cell>
          <cell r="W401" t="str">
            <v>KEW</v>
          </cell>
          <cell r="X401" t="str">
            <v>01/09/2010</v>
          </cell>
          <cell r="Y401" t="str">
            <v>KEW</v>
          </cell>
          <cell r="Z401" t="str">
            <v>16/08/2013</v>
          </cell>
          <cell r="AA401" t="str">
            <v>15/08/2015</v>
          </cell>
          <cell r="AB401" t="str">
            <v>No</v>
          </cell>
          <cell r="AC401" t="str">
            <v>31/08/2013</v>
          </cell>
          <cell r="AD401" t="str">
            <v>Request for Exemption</v>
          </cell>
          <cell r="AE401" t="str">
            <v>V4 - Decommissioned Installed Facility</v>
          </cell>
          <cell r="AF401">
            <v>42538</v>
          </cell>
          <cell r="AG401">
            <v>9.17</v>
          </cell>
          <cell r="AH401" t="str">
            <v>PPM</v>
          </cell>
          <cell r="AI401" t="str">
            <v>Not in contract</v>
          </cell>
          <cell r="AJ401" t="str">
            <v>Not in contract</v>
          </cell>
          <cell r="AK401" t="e">
            <v>#N/A</v>
          </cell>
        </row>
        <row r="402">
          <cell r="A402" t="str">
            <v>IKN400730</v>
          </cell>
          <cell r="B402">
            <v>730</v>
          </cell>
          <cell r="C402" t="str">
            <v>Institut Kanser Negara</v>
          </cell>
          <cell r="D402" t="e">
            <v>#N/A</v>
          </cell>
          <cell r="E402" t="str">
            <v>17-440</v>
          </cell>
          <cell r="F402" t="str">
            <v>Microscopes, Light, Laboratory, Inverted Stage</v>
          </cell>
          <cell r="G402" t="str">
            <v>LA</v>
          </cell>
          <cell r="H402" t="str">
            <v>PATHOLOGY</v>
          </cell>
          <cell r="I402" t="str">
            <v>04LA125</v>
          </cell>
          <cell r="J402" t="str">
            <v>OFFICE/RECORDS</v>
          </cell>
          <cell r="K402" t="str">
            <v>BMED</v>
          </cell>
          <cell r="L402" t="str">
            <v>Normal</v>
          </cell>
          <cell r="M402" t="str">
            <v>Japan</v>
          </cell>
          <cell r="N402" t="str">
            <v>Olympus</v>
          </cell>
          <cell r="O402" t="str">
            <v>Olympus BX 43</v>
          </cell>
          <cell r="P402" t="str">
            <v>2J49081</v>
          </cell>
          <cell r="Q402" t="str">
            <v>Not Applicable</v>
          </cell>
          <cell r="R402" t="str">
            <v>Olympus Corp</v>
          </cell>
          <cell r="S402" t="str">
            <v>Matrix Optics (M) Sdn Bhd</v>
          </cell>
          <cell r="T402" t="str">
            <v>Not In Use</v>
          </cell>
          <cell r="U402" t="str">
            <v>Asset</v>
          </cell>
          <cell r="V402">
            <v>19380</v>
          </cell>
          <cell r="W402" t="str">
            <v>KEW</v>
          </cell>
          <cell r="X402" t="str">
            <v>01/09/2010</v>
          </cell>
          <cell r="Y402" t="str">
            <v>KEW</v>
          </cell>
          <cell r="Z402" t="str">
            <v>16/08/2013</v>
          </cell>
          <cell r="AA402" t="str">
            <v>15/08/2015</v>
          </cell>
          <cell r="AB402" t="str">
            <v>No</v>
          </cell>
          <cell r="AC402" t="str">
            <v>31/08/2013</v>
          </cell>
          <cell r="AD402" t="str">
            <v>Good</v>
          </cell>
          <cell r="AE402" t="str">
            <v>V4 - Decommissioned Installed Facility</v>
          </cell>
          <cell r="AF402">
            <v>42951</v>
          </cell>
          <cell r="AG402">
            <v>9.17</v>
          </cell>
          <cell r="AH402" t="str">
            <v>PPM</v>
          </cell>
          <cell r="AI402" t="str">
            <v>Not in contract</v>
          </cell>
          <cell r="AJ402" t="str">
            <v>Not in contract</v>
          </cell>
          <cell r="AK402" t="e">
            <v>#N/A</v>
          </cell>
        </row>
        <row r="403">
          <cell r="A403" t="str">
            <v>IKN400731</v>
          </cell>
          <cell r="B403">
            <v>731</v>
          </cell>
          <cell r="C403" t="str">
            <v>Institut Kanser Negara</v>
          </cell>
          <cell r="D403" t="str">
            <v>KKM/IKN/H/13/4688</v>
          </cell>
          <cell r="E403" t="str">
            <v>15-709</v>
          </cell>
          <cell r="F403" t="str">
            <v>Analyzers, Laboratory, Blood Gas/pH</v>
          </cell>
          <cell r="G403" t="str">
            <v>LA</v>
          </cell>
          <cell r="H403" t="str">
            <v>PATHOLOGY</v>
          </cell>
          <cell r="I403" t="str">
            <v>04LA126</v>
          </cell>
          <cell r="J403" t="str">
            <v>MICROBIOLOGY UNIT</v>
          </cell>
          <cell r="K403" t="str">
            <v>BMED</v>
          </cell>
          <cell r="L403" t="str">
            <v>Critical</v>
          </cell>
          <cell r="M403" t="str">
            <v>Denmark</v>
          </cell>
          <cell r="N403" t="str">
            <v>Radiometer</v>
          </cell>
          <cell r="O403" t="str">
            <v>Radiometer ABL 80</v>
          </cell>
          <cell r="P403" t="str">
            <v>306028</v>
          </cell>
          <cell r="Q403" t="str">
            <v>Not Applicable</v>
          </cell>
          <cell r="R403" t="str">
            <v>Radiometer Medical ApS</v>
          </cell>
          <cell r="S403" t="str">
            <v>Metrojendela</v>
          </cell>
          <cell r="T403" t="str">
            <v>Functioning</v>
          </cell>
          <cell r="U403" t="str">
            <v>Asset</v>
          </cell>
          <cell r="V403">
            <v>76980</v>
          </cell>
          <cell r="W403" t="str">
            <v>KEW</v>
          </cell>
          <cell r="X403" t="str">
            <v>01/09/2010</v>
          </cell>
          <cell r="Y403" t="str">
            <v>KEW</v>
          </cell>
          <cell r="Z403" t="str">
            <v>16/08/2013</v>
          </cell>
          <cell r="AA403" t="str">
            <v>15/08/2015</v>
          </cell>
          <cell r="AB403" t="str">
            <v>No</v>
          </cell>
          <cell r="AC403" t="str">
            <v>31/08/2013</v>
          </cell>
          <cell r="AD403" t="str">
            <v>Good</v>
          </cell>
          <cell r="AE403" t="str">
            <v>V1 - Existing / No Claim</v>
          </cell>
          <cell r="AF403">
            <v>42790</v>
          </cell>
          <cell r="AG403">
            <v>9.17</v>
          </cell>
          <cell r="AH403" t="str">
            <v>PPM</v>
          </cell>
          <cell r="AI403" t="str">
            <v>Strands</v>
          </cell>
          <cell r="AJ403" t="str">
            <v>Strands Package</v>
          </cell>
          <cell r="AK403" t="str">
            <v>Package Code LC0005. [29/2/2024, SHARIFAH]: PEP ON 18/1/2024; BER/BEMS/IKN/23/029- TIADA BEKALAN REAGENTS/CONSUMABLE/SUPPLY. PENGGUNAAN DIHENTIKAN.</v>
          </cell>
        </row>
        <row r="404">
          <cell r="A404" t="str">
            <v>IKN400738</v>
          </cell>
          <cell r="B404">
            <v>738</v>
          </cell>
          <cell r="C404" t="str">
            <v>Institut Kanser Negara</v>
          </cell>
          <cell r="D404" t="str">
            <v>KKM/IKN/H/13/1848</v>
          </cell>
          <cell r="E404" t="str">
            <v>16-861</v>
          </cell>
          <cell r="F404" t="str">
            <v>Baths, Water, Laboratory</v>
          </cell>
          <cell r="G404" t="str">
            <v>LA</v>
          </cell>
          <cell r="H404" t="str">
            <v>PATHOLOGY</v>
          </cell>
          <cell r="I404" t="str">
            <v>04LA126</v>
          </cell>
          <cell r="J404" t="str">
            <v>MICROBIOLOGY UNIT</v>
          </cell>
          <cell r="K404" t="str">
            <v>BMED</v>
          </cell>
          <cell r="L404" t="str">
            <v>Normal</v>
          </cell>
          <cell r="M404" t="str">
            <v>Germany</v>
          </cell>
          <cell r="N404" t="str">
            <v>Memmert</v>
          </cell>
          <cell r="O404" t="str">
            <v>Memmert WNB14</v>
          </cell>
          <cell r="P404" t="str">
            <v>L412.0342</v>
          </cell>
          <cell r="Q404" t="str">
            <v>Not Applicable</v>
          </cell>
          <cell r="R404" t="str">
            <v>Memmert GmbH</v>
          </cell>
          <cell r="S404" t="str">
            <v>Saujana Saintifik Sdn Bhd</v>
          </cell>
          <cell r="T404" t="str">
            <v>Functioning</v>
          </cell>
          <cell r="U404" t="str">
            <v>Asset</v>
          </cell>
          <cell r="V404">
            <v>4210</v>
          </cell>
          <cell r="W404" t="str">
            <v>KEW</v>
          </cell>
          <cell r="X404" t="str">
            <v>01/09/2010</v>
          </cell>
          <cell r="Y404" t="str">
            <v>KEW</v>
          </cell>
          <cell r="Z404" t="str">
            <v>16/08/2013</v>
          </cell>
          <cell r="AA404" t="str">
            <v>15/08/2015</v>
          </cell>
          <cell r="AB404" t="str">
            <v>No</v>
          </cell>
          <cell r="AC404" t="str">
            <v>31/08/2013</v>
          </cell>
          <cell r="AD404" t="str">
            <v>Good</v>
          </cell>
          <cell r="AE404" t="str">
            <v>V5 - Transfer to other Hospitals/Healthcare Facility</v>
          </cell>
          <cell r="AF404" t="str">
            <v>24/2/2017 - 1/12/2022</v>
          </cell>
          <cell r="AG404">
            <v>9.17</v>
          </cell>
          <cell r="AH404" t="str">
            <v>PPM</v>
          </cell>
          <cell r="AI404" t="str">
            <v>Strands</v>
          </cell>
          <cell r="AJ404" t="str">
            <v>Strands (V4 P1.23.)</v>
          </cell>
          <cell r="AK404" t="str">
            <v>SNF received on 26.4.2022. Transfer to Hospital Putrajaya [18/9/2023, Sharifah]: V4 P1.23.</v>
          </cell>
        </row>
        <row r="405">
          <cell r="A405" t="str">
            <v>IKN400740</v>
          </cell>
          <cell r="B405">
            <v>740</v>
          </cell>
          <cell r="C405" t="str">
            <v>Institut Kanser Negara</v>
          </cell>
          <cell r="D405" t="str">
            <v>KKM/IKN/H/13/1864</v>
          </cell>
          <cell r="E405" t="str">
            <v>18-630</v>
          </cell>
          <cell r="F405" t="str">
            <v>Analyzers, Laboratory, Microbiology, Blood Culture, Mycobacteria</v>
          </cell>
          <cell r="G405" t="str">
            <v>LA</v>
          </cell>
          <cell r="H405" t="str">
            <v>PATHOLOGY</v>
          </cell>
          <cell r="I405" t="str">
            <v>04LA126</v>
          </cell>
          <cell r="J405" t="str">
            <v>MICROBIOLOGY UNIT</v>
          </cell>
          <cell r="K405" t="str">
            <v>BMED</v>
          </cell>
          <cell r="L405" t="str">
            <v>Normal</v>
          </cell>
          <cell r="M405" t="str">
            <v>USA</v>
          </cell>
          <cell r="N405" t="str">
            <v>Becton</v>
          </cell>
          <cell r="O405" t="str">
            <v>Becton Phoenix 100</v>
          </cell>
          <cell r="P405" t="str">
            <v>PX1747</v>
          </cell>
          <cell r="Q405" t="str">
            <v>Not Applicable</v>
          </cell>
          <cell r="R405" t="str">
            <v>Becton Dickinson &amp; Co</v>
          </cell>
          <cell r="S405" t="str">
            <v>Biomarketing Services (M) Sdn Bhd</v>
          </cell>
          <cell r="T405" t="str">
            <v>Functioning</v>
          </cell>
          <cell r="U405" t="str">
            <v>Asset</v>
          </cell>
          <cell r="V405">
            <v>342820</v>
          </cell>
          <cell r="W405" t="str">
            <v>KEW</v>
          </cell>
          <cell r="X405" t="str">
            <v>01/09/2010</v>
          </cell>
          <cell r="Y405" t="str">
            <v>KEW</v>
          </cell>
          <cell r="Z405" t="str">
            <v>16/08/2013</v>
          </cell>
          <cell r="AA405" t="str">
            <v>15/08/2015</v>
          </cell>
          <cell r="AB405" t="str">
            <v>No</v>
          </cell>
          <cell r="AC405" t="str">
            <v>31/08/2013</v>
          </cell>
          <cell r="AD405" t="str">
            <v>Good</v>
          </cell>
          <cell r="AE405" t="str">
            <v>V1 - Existing / No Claim</v>
          </cell>
          <cell r="AF405">
            <v>42790</v>
          </cell>
          <cell r="AG405">
            <v>9.17</v>
          </cell>
          <cell r="AH405" t="str">
            <v>PPM</v>
          </cell>
          <cell r="AI405" t="str">
            <v>Strands</v>
          </cell>
          <cell r="AJ405" t="str">
            <v>Strands Package</v>
          </cell>
          <cell r="AK405" t="str">
            <v>Package Code LR0016</v>
          </cell>
        </row>
        <row r="406">
          <cell r="A406" t="str">
            <v>IKN400751</v>
          </cell>
          <cell r="B406">
            <v>751</v>
          </cell>
          <cell r="C406" t="str">
            <v>Institut Kanser Negara</v>
          </cell>
          <cell r="D406" t="str">
            <v>KKM/IKN/H/13/1849</v>
          </cell>
          <cell r="E406" t="str">
            <v>15-146</v>
          </cell>
          <cell r="F406" t="str">
            <v>Analyzers, Laboratory, Hematology, Hemoglobin</v>
          </cell>
          <cell r="G406" t="str">
            <v>LA</v>
          </cell>
          <cell r="H406" t="str">
            <v>PATHOLOGY</v>
          </cell>
          <cell r="I406" t="str">
            <v>04LA133</v>
          </cell>
          <cell r="J406" t="str">
            <v>CHEMICAL PATHOLOGY 1</v>
          </cell>
          <cell r="K406" t="str">
            <v>BMED</v>
          </cell>
          <cell r="L406" t="str">
            <v>Normal</v>
          </cell>
          <cell r="M406" t="str">
            <v>USA</v>
          </cell>
          <cell r="N406" t="str">
            <v>Bio-Rad</v>
          </cell>
          <cell r="O406" t="str">
            <v>Bio-Rad D10</v>
          </cell>
          <cell r="P406" t="str">
            <v>DC2C695904</v>
          </cell>
          <cell r="Q406" t="str">
            <v>Not Applicable</v>
          </cell>
          <cell r="R406" t="str">
            <v>Bio-Rad Laboratories</v>
          </cell>
          <cell r="S406" t="str">
            <v>KL Scientific</v>
          </cell>
          <cell r="T406" t="str">
            <v>Functioning</v>
          </cell>
          <cell r="U406" t="str">
            <v>Asset</v>
          </cell>
          <cell r="V406">
            <v>221210</v>
          </cell>
          <cell r="W406" t="str">
            <v>KEW</v>
          </cell>
          <cell r="X406" t="str">
            <v>01/09/2010</v>
          </cell>
          <cell r="Y406" t="str">
            <v>KEW</v>
          </cell>
          <cell r="Z406" t="str">
            <v>16/08/2013</v>
          </cell>
          <cell r="AA406" t="str">
            <v>15/08/2015</v>
          </cell>
          <cell r="AB406" t="str">
            <v>No</v>
          </cell>
          <cell r="AC406" t="str">
            <v>31/08/2013</v>
          </cell>
          <cell r="AD406" t="str">
            <v>Good</v>
          </cell>
          <cell r="AE406" t="str">
            <v>V1 - Existing / No Claim</v>
          </cell>
          <cell r="AF406">
            <v>42790</v>
          </cell>
          <cell r="AG406">
            <v>9.17</v>
          </cell>
          <cell r="AH406" t="str">
            <v>PPM</v>
          </cell>
          <cell r="AI406" t="str">
            <v>Strands</v>
          </cell>
          <cell r="AJ406" t="str">
            <v>Strands Package</v>
          </cell>
          <cell r="AK406" t="str">
            <v>MEMO PERMOHONAN PELUPUSAN SUDAH DI SUBMIT. [DIKELUARKAN DARI ASSET 21/10/2024]</v>
          </cell>
        </row>
        <row r="407">
          <cell r="A407" t="str">
            <v>IKN400752</v>
          </cell>
          <cell r="B407">
            <v>752</v>
          </cell>
          <cell r="C407" t="str">
            <v>Institut Kanser Negara</v>
          </cell>
          <cell r="D407" t="str">
            <v>KKM/IKN/H/13/1799</v>
          </cell>
          <cell r="E407" t="str">
            <v>12-842</v>
          </cell>
          <cell r="F407" t="str">
            <v>Osmometers</v>
          </cell>
          <cell r="G407" t="str">
            <v>LA</v>
          </cell>
          <cell r="H407" t="str">
            <v>PATHOLOGY</v>
          </cell>
          <cell r="I407" t="str">
            <v>04LA134</v>
          </cell>
          <cell r="J407" t="str">
            <v>CHEMICAL PATHOLOGY 2</v>
          </cell>
          <cell r="K407" t="str">
            <v>BMED</v>
          </cell>
          <cell r="L407" t="str">
            <v>Normal</v>
          </cell>
          <cell r="M407" t="str">
            <v>Germany</v>
          </cell>
          <cell r="N407" t="str">
            <v>Osmomat</v>
          </cell>
          <cell r="O407" t="str">
            <v>Osmomat 030</v>
          </cell>
          <cell r="P407" t="str">
            <v>102810</v>
          </cell>
          <cell r="Q407" t="str">
            <v>Not Applicable</v>
          </cell>
          <cell r="R407" t="str">
            <v>Gonotec GMBH</v>
          </cell>
          <cell r="S407" t="str">
            <v>Biomarketing Services (M) Sdn Bhd</v>
          </cell>
          <cell r="T407" t="str">
            <v>Functioning</v>
          </cell>
          <cell r="U407" t="str">
            <v>Asset</v>
          </cell>
          <cell r="V407">
            <v>34880</v>
          </cell>
          <cell r="W407" t="str">
            <v>KEW</v>
          </cell>
          <cell r="X407" t="str">
            <v>01/09/2010</v>
          </cell>
          <cell r="Y407" t="str">
            <v>KEW</v>
          </cell>
          <cell r="Z407" t="str">
            <v>16/08/2013</v>
          </cell>
          <cell r="AA407" t="str">
            <v>15/08/2015</v>
          </cell>
          <cell r="AB407" t="str">
            <v>No</v>
          </cell>
          <cell r="AC407" t="str">
            <v>31/08/2013</v>
          </cell>
          <cell r="AD407" t="str">
            <v>Good</v>
          </cell>
          <cell r="AE407" t="str">
            <v>V1 - Existing / No Claim</v>
          </cell>
          <cell r="AF407">
            <v>42790</v>
          </cell>
          <cell r="AG407">
            <v>9.17</v>
          </cell>
          <cell r="AH407" t="str">
            <v>PPM</v>
          </cell>
          <cell r="AI407" t="str">
            <v>Strands</v>
          </cell>
          <cell r="AJ407" t="str">
            <v>Strands PW. Proposed for V4 P2.23</v>
          </cell>
          <cell r="AK407" t="str">
            <v>[18/9/2023, SHARIFAH]: PEP ON 27/7/2023, BER/BEMS/IKN/23/017 - Asset mengalami kerosakan pada probe tip.</v>
          </cell>
        </row>
        <row r="408">
          <cell r="A408" t="str">
            <v>IKN400759</v>
          </cell>
          <cell r="B408">
            <v>759</v>
          </cell>
          <cell r="C408" t="str">
            <v>Institut Kanser Negara</v>
          </cell>
          <cell r="D408" t="str">
            <v>KKM/IKN/H/13/4686</v>
          </cell>
          <cell r="E408" t="str">
            <v>16-378</v>
          </cell>
          <cell r="F408" t="str">
            <v>Analyzers, Laboratory, Urine, Automated</v>
          </cell>
          <cell r="G408" t="str">
            <v>LA</v>
          </cell>
          <cell r="H408" t="str">
            <v>PATHOLOGY</v>
          </cell>
          <cell r="I408" t="str">
            <v>04LA133</v>
          </cell>
          <cell r="J408" t="str">
            <v>CHEMICAL PATHOLOGY 1</v>
          </cell>
          <cell r="K408" t="str">
            <v>BMED</v>
          </cell>
          <cell r="L408" t="str">
            <v>Normal</v>
          </cell>
          <cell r="M408" t="str">
            <v>USA</v>
          </cell>
          <cell r="N408" t="str">
            <v>Ichem</v>
          </cell>
          <cell r="O408" t="str">
            <v>Ichem Velocity</v>
          </cell>
          <cell r="P408" t="str">
            <v>V01474</v>
          </cell>
          <cell r="Q408" t="str">
            <v>Not Applicable</v>
          </cell>
          <cell r="R408" t="str">
            <v>Iris Medical Instruments Inc</v>
          </cell>
          <cell r="S408" t="str">
            <v>Diagnostic Systems (M) Sdn Bhd</v>
          </cell>
          <cell r="T408" t="str">
            <v>Functioning</v>
          </cell>
          <cell r="U408" t="str">
            <v>Asset</v>
          </cell>
          <cell r="V408">
            <v>36080</v>
          </cell>
          <cell r="W408" t="str">
            <v>KEW</v>
          </cell>
          <cell r="X408" t="str">
            <v>01/09/2010</v>
          </cell>
          <cell r="Y408" t="str">
            <v>KEW</v>
          </cell>
          <cell r="Z408" t="str">
            <v>16/08/2013</v>
          </cell>
          <cell r="AA408" t="str">
            <v>15/08/2015</v>
          </cell>
          <cell r="AB408" t="str">
            <v>No</v>
          </cell>
          <cell r="AC408" t="str">
            <v>31/08/2013</v>
          </cell>
          <cell r="AD408" t="str">
            <v>Good</v>
          </cell>
          <cell r="AE408" t="str">
            <v>V1 - Existing / No Claim</v>
          </cell>
          <cell r="AF408">
            <v>42235</v>
          </cell>
          <cell r="AG408">
            <v>9.17</v>
          </cell>
          <cell r="AH408" t="str">
            <v>PPM</v>
          </cell>
          <cell r="AI408" t="str">
            <v>Strands</v>
          </cell>
          <cell r="AJ408" t="str">
            <v>Strands Package</v>
          </cell>
          <cell r="AK408" t="str">
            <v>Package Code LC0054. [17/12/2023, SHARIFAH]: PEP ON 7/12/2023, BER/BEMS/IKN/23/021 - Asset mengalami kerosakan pada internal CPU Board. Penggunaannya hendaklah dihentikan. SNF V4 received on 6/3/2024.</v>
          </cell>
        </row>
        <row r="409">
          <cell r="A409" t="str">
            <v>IKN400765</v>
          </cell>
          <cell r="B409">
            <v>765</v>
          </cell>
          <cell r="C409" t="str">
            <v>Institut Kanser Negara</v>
          </cell>
          <cell r="D409" t="str">
            <v>KKM/IKN/H/13/1879</v>
          </cell>
          <cell r="E409" t="str">
            <v>14-410</v>
          </cell>
          <cell r="F409" t="str">
            <v>Ovens, Drying</v>
          </cell>
          <cell r="G409" t="str">
            <v>LA</v>
          </cell>
          <cell r="H409" t="str">
            <v>PATHOLOGY</v>
          </cell>
          <cell r="I409" t="str">
            <v>04LA117</v>
          </cell>
          <cell r="J409" t="str">
            <v>WASH ROOM</v>
          </cell>
          <cell r="K409" t="str">
            <v>BMED</v>
          </cell>
          <cell r="L409" t="str">
            <v>Normal</v>
          </cell>
          <cell r="M409" t="str">
            <v>Germany</v>
          </cell>
          <cell r="N409" t="str">
            <v>Heratherm</v>
          </cell>
          <cell r="O409" t="str">
            <v>Heratherm OGS 100</v>
          </cell>
          <cell r="P409" t="str">
            <v>41419441</v>
          </cell>
          <cell r="Q409" t="str">
            <v>Not Applicable</v>
          </cell>
          <cell r="R409" t="str">
            <v>Thermo Scientific Inc</v>
          </cell>
          <cell r="S409" t="str">
            <v>Bumi Sains Sdn. Bhd.</v>
          </cell>
          <cell r="T409" t="str">
            <v>Functioning</v>
          </cell>
          <cell r="U409" t="str">
            <v>Asset</v>
          </cell>
          <cell r="V409">
            <v>6620</v>
          </cell>
          <cell r="W409" t="str">
            <v>KEW</v>
          </cell>
          <cell r="X409" t="str">
            <v>01/09/2010</v>
          </cell>
          <cell r="Y409" t="str">
            <v>KEW</v>
          </cell>
          <cell r="Z409" t="str">
            <v>16/08/2013</v>
          </cell>
          <cell r="AA409" t="str">
            <v>15/08/2015</v>
          </cell>
          <cell r="AB409" t="str">
            <v>No</v>
          </cell>
          <cell r="AC409" t="str">
            <v>31/08/2013</v>
          </cell>
          <cell r="AD409" t="str">
            <v>Good</v>
          </cell>
          <cell r="AE409" t="str">
            <v>V4 - Decommissioned Installed Facility</v>
          </cell>
          <cell r="AF409">
            <v>42235</v>
          </cell>
          <cell r="AG409">
            <v>9.17</v>
          </cell>
          <cell r="AH409" t="str">
            <v>PPM</v>
          </cell>
          <cell r="AI409" t="str">
            <v>Strands</v>
          </cell>
          <cell r="AJ409" t="str">
            <v>Strands PW</v>
          </cell>
          <cell r="AK409" t="str">
            <v>[28/2/2024, FAEZAH: SNF V4; TRANSFER TO HOSPITAL KAJANG, RECEIVED 19/2/2024.</v>
          </cell>
        </row>
        <row r="410">
          <cell r="A410" t="str">
            <v>IKN400783</v>
          </cell>
          <cell r="B410">
            <v>783</v>
          </cell>
          <cell r="C410" t="str">
            <v>Institut Kanser Negara</v>
          </cell>
          <cell r="D410" t="str">
            <v>KKM/IKN/H/13/3940 - 06</v>
          </cell>
          <cell r="E410" t="str">
            <v>17-679</v>
          </cell>
          <cell r="F410" t="str">
            <v>Laser Imagers</v>
          </cell>
          <cell r="G410" t="str">
            <v>ID</v>
          </cell>
          <cell r="H410" t="str">
            <v>IMAGING DEPARTMENT</v>
          </cell>
          <cell r="I410" t="str">
            <v>03ID178</v>
          </cell>
          <cell r="J410" t="str">
            <v>PACS BAY</v>
          </cell>
          <cell r="K410" t="str">
            <v>BMED</v>
          </cell>
          <cell r="L410" t="str">
            <v>Normal</v>
          </cell>
          <cell r="M410" t="str">
            <v>USA</v>
          </cell>
          <cell r="N410" t="str">
            <v>DryView</v>
          </cell>
          <cell r="O410" t="str">
            <v>DryView 6850</v>
          </cell>
          <cell r="P410" t="str">
            <v>68504434</v>
          </cell>
          <cell r="Q410" t="str">
            <v>Not Applicable</v>
          </cell>
          <cell r="R410" t="str">
            <v>Carestream Health Inc</v>
          </cell>
          <cell r="S410" t="str">
            <v>Best Contact (M) Sdn Bhd</v>
          </cell>
          <cell r="T410" t="str">
            <v>Functioning</v>
          </cell>
          <cell r="U410" t="str">
            <v>Asset</v>
          </cell>
          <cell r="V410">
            <v>83100</v>
          </cell>
          <cell r="W410" t="str">
            <v>KEW</v>
          </cell>
          <cell r="X410" t="str">
            <v>01/09/2010</v>
          </cell>
          <cell r="Y410" t="str">
            <v>KEW</v>
          </cell>
          <cell r="Z410" t="str">
            <v>16/08/2013</v>
          </cell>
          <cell r="AA410" t="str">
            <v>15/08/2015</v>
          </cell>
          <cell r="AB410" t="str">
            <v>No</v>
          </cell>
          <cell r="AC410" t="str">
            <v>31/08/2013</v>
          </cell>
          <cell r="AD410" t="str">
            <v>Good</v>
          </cell>
          <cell r="AE410" t="str">
            <v>V4 - Decommissioned Installed Facility</v>
          </cell>
          <cell r="AF410" t="str">
            <v>19/8/2015 - 04/08/2024</v>
          </cell>
          <cell r="AG410">
            <v>9.17</v>
          </cell>
          <cell r="AH410" t="str">
            <v>PPM</v>
          </cell>
          <cell r="AI410" t="str">
            <v>package</v>
          </cell>
          <cell r="AJ410" t="str">
            <v>Strands Package</v>
          </cell>
          <cell r="AK410" t="str">
            <v>[21/9/2023, Anis]: Package MRI. Package Code XJ0007. SNF V4 received on 4/8/2024.</v>
          </cell>
        </row>
        <row r="411">
          <cell r="A411" t="str">
            <v>IKN400792</v>
          </cell>
          <cell r="B411">
            <v>792</v>
          </cell>
          <cell r="C411" t="str">
            <v>Institut Kanser Negara</v>
          </cell>
          <cell r="D411" t="str">
            <v>KKM/IKN/H/13/4294 (OLD) KKM/IKN/R/13/1352 -NEW</v>
          </cell>
          <cell r="E411" t="str">
            <v>13-215</v>
          </cell>
          <cell r="F411" t="str">
            <v>Infusion Pumps, General-Purpose</v>
          </cell>
          <cell r="G411" t="str">
            <v>ID</v>
          </cell>
          <cell r="H411" t="str">
            <v>IMAGING DEPARTMENT</v>
          </cell>
          <cell r="I411" t="str">
            <v>03ID111</v>
          </cell>
          <cell r="J411" t="str">
            <v>M.R.I (VE)</v>
          </cell>
          <cell r="K411" t="str">
            <v>BMED</v>
          </cell>
          <cell r="L411" t="str">
            <v>Critical</v>
          </cell>
          <cell r="M411" t="str">
            <v>USA</v>
          </cell>
          <cell r="N411" t="str">
            <v>Mridium</v>
          </cell>
          <cell r="O411" t="str">
            <v>MRidium 3851</v>
          </cell>
          <cell r="P411" t="str">
            <v>IR5110596/IR5011212</v>
          </cell>
          <cell r="Q411" t="str">
            <v>Not Applicable</v>
          </cell>
          <cell r="R411" t="str">
            <v>Iradimed Corp</v>
          </cell>
          <cell r="S411" t="str">
            <v>APPLIED MEDICAL SYSTEMS SDN BHD</v>
          </cell>
          <cell r="T411" t="str">
            <v>Functioning</v>
          </cell>
          <cell r="U411" t="str">
            <v>Asset</v>
          </cell>
          <cell r="V411">
            <v>1400</v>
          </cell>
          <cell r="W411" t="str">
            <v>Estimate</v>
          </cell>
          <cell r="X411" t="str">
            <v>01/09/2010</v>
          </cell>
          <cell r="Y411" t="str">
            <v>KEW</v>
          </cell>
          <cell r="Z411" t="str">
            <v>16/08/2013</v>
          </cell>
          <cell r="AA411" t="str">
            <v>15/08/2015</v>
          </cell>
          <cell r="AB411" t="str">
            <v>No</v>
          </cell>
          <cell r="AC411" t="str">
            <v>31/08/2013</v>
          </cell>
          <cell r="AD411" t="str">
            <v>Good</v>
          </cell>
          <cell r="AE411" t="str">
            <v>V1 - Existing / No Claim</v>
          </cell>
          <cell r="AF411">
            <v>42791</v>
          </cell>
          <cell r="AG411">
            <v>9.17</v>
          </cell>
          <cell r="AH411" t="str">
            <v>PPM</v>
          </cell>
          <cell r="AI411" t="str">
            <v>Strands</v>
          </cell>
          <cell r="AJ411" t="str">
            <v>Strands PW. Proposed for V4 P2.23</v>
          </cell>
          <cell r="AK411" t="str">
            <v>[18/9/2023, SHARIFAH]: PEP ON 8/8/2023, BER/BEMS/IKN/23/012 - Asset mengalami kerosakan pada board.</v>
          </cell>
        </row>
        <row r="412">
          <cell r="A412" t="str">
            <v>IKN400793</v>
          </cell>
          <cell r="B412">
            <v>793</v>
          </cell>
          <cell r="C412" t="str">
            <v>Institut Kanser Negara</v>
          </cell>
          <cell r="D412" t="str">
            <v>KKM/IKN/H/13/2744</v>
          </cell>
          <cell r="E412" t="str">
            <v>12-647</v>
          </cell>
          <cell r="F412" t="str">
            <v>Physiologic Monitoring Systems, Acute Care</v>
          </cell>
          <cell r="G412" t="str">
            <v>ID</v>
          </cell>
          <cell r="H412" t="str">
            <v>IMAGING DEPARTMENT</v>
          </cell>
          <cell r="I412" t="str">
            <v>03ID109</v>
          </cell>
          <cell r="J412" t="str">
            <v>INDUCTION</v>
          </cell>
          <cell r="K412" t="str">
            <v>BMED</v>
          </cell>
          <cell r="L412" t="str">
            <v>Normal</v>
          </cell>
          <cell r="M412" t="str">
            <v>USA</v>
          </cell>
          <cell r="N412" t="str">
            <v>GE</v>
          </cell>
          <cell r="O412" t="str">
            <v>Mri Monitor</v>
          </cell>
          <cell r="P412" t="str">
            <v>6849794</v>
          </cell>
          <cell r="Q412" t="str">
            <v>Not Applicable</v>
          </cell>
          <cell r="R412" t="str">
            <v>GE Healthcare Systems</v>
          </cell>
          <cell r="S412" t="str">
            <v>GE Healthcare Technologies</v>
          </cell>
          <cell r="T412" t="str">
            <v>Functioning</v>
          </cell>
          <cell r="U412" t="str">
            <v>Asset</v>
          </cell>
          <cell r="V412">
            <v>163590</v>
          </cell>
          <cell r="W412" t="str">
            <v>KEW</v>
          </cell>
          <cell r="X412" t="str">
            <v>01/09/2010</v>
          </cell>
          <cell r="Y412" t="str">
            <v>KEW</v>
          </cell>
          <cell r="Z412" t="str">
            <v>16/08/2013</v>
          </cell>
          <cell r="AA412" t="str">
            <v>15/08/2015</v>
          </cell>
          <cell r="AB412" t="str">
            <v>No</v>
          </cell>
          <cell r="AC412" t="str">
            <v>31/08/2013</v>
          </cell>
          <cell r="AD412" t="str">
            <v>Good</v>
          </cell>
          <cell r="AE412" t="str">
            <v>V4 - Decommissioned Installed Facility</v>
          </cell>
          <cell r="AF412">
            <v>42235</v>
          </cell>
          <cell r="AG412">
            <v>9.17</v>
          </cell>
          <cell r="AH412" t="str">
            <v>PPM</v>
          </cell>
          <cell r="AI412" t="str">
            <v>strands</v>
          </cell>
          <cell r="AJ412" t="str">
            <v>Strands PW. Proposed for V4 P2.23</v>
          </cell>
          <cell r="AK412" t="str">
            <v>[22/9/2023, SHARIFAH]: PEP ON NOV 2020, BER/BEMS/AWSB/20/005 - Aset masih boleh digunakan namun asset tidak ekonomik diperbaiki lagi sekiranya rosak.</v>
          </cell>
        </row>
        <row r="413">
          <cell r="A413" t="str">
            <v>IKN400794</v>
          </cell>
          <cell r="B413">
            <v>794</v>
          </cell>
          <cell r="C413" t="str">
            <v>Institut Kanser Negara</v>
          </cell>
          <cell r="D413" t="str">
            <v>KKM/IKN/H/13/3940</v>
          </cell>
          <cell r="E413" t="str">
            <v>18-108</v>
          </cell>
          <cell r="F413" t="str">
            <v>Scanning Systems, Magnetic Resonance Imaging, Full-Body</v>
          </cell>
          <cell r="G413" t="str">
            <v>ID</v>
          </cell>
          <cell r="H413" t="str">
            <v>IMAGING DEPARTMENT</v>
          </cell>
          <cell r="I413" t="str">
            <v>03ID111</v>
          </cell>
          <cell r="J413" t="str">
            <v>M.R.I (VE)</v>
          </cell>
          <cell r="K413" t="str">
            <v>BMED</v>
          </cell>
          <cell r="L413" t="str">
            <v>Normal</v>
          </cell>
          <cell r="M413" t="str">
            <v>Germany</v>
          </cell>
          <cell r="N413" t="str">
            <v>Magnetom</v>
          </cell>
          <cell r="O413" t="str">
            <v>Magnetom Verio</v>
          </cell>
          <cell r="P413" t="str">
            <v>62009</v>
          </cell>
          <cell r="Q413" t="str">
            <v>Not Applicable</v>
          </cell>
          <cell r="R413" t="str">
            <v>Siemens Medical Systems</v>
          </cell>
          <cell r="S413" t="str">
            <v>Metro Jendela Sdn Bhd</v>
          </cell>
          <cell r="T413" t="str">
            <v>Functioning</v>
          </cell>
          <cell r="U413" t="str">
            <v>Asset</v>
          </cell>
          <cell r="V413">
            <v>11586530</v>
          </cell>
          <cell r="W413" t="str">
            <v>KEW</v>
          </cell>
          <cell r="X413" t="str">
            <v>01/09/2010</v>
          </cell>
          <cell r="Y413" t="str">
            <v>KEW</v>
          </cell>
          <cell r="Z413" t="str">
            <v>16/08/2013</v>
          </cell>
          <cell r="AA413" t="str">
            <v>15/08/2015</v>
          </cell>
          <cell r="AB413" t="str">
            <v>No</v>
          </cell>
          <cell r="AC413" t="str">
            <v>31/08/2013</v>
          </cell>
          <cell r="AD413" t="str">
            <v>Good</v>
          </cell>
          <cell r="AE413" t="str">
            <v>V4 - Decommissioned Installed Facility</v>
          </cell>
          <cell r="AF413" t="str">
            <v>19/8/2015 - 04/08/2024</v>
          </cell>
          <cell r="AG413">
            <v>9.17</v>
          </cell>
          <cell r="AH413" t="str">
            <v>PPM</v>
          </cell>
          <cell r="AI413" t="str">
            <v>Strands</v>
          </cell>
          <cell r="AJ413" t="str">
            <v>Strands Package</v>
          </cell>
          <cell r="AK413" t="str">
            <v>Package Code XJ0007. SNF V4 received on 4/8/2024.</v>
          </cell>
        </row>
        <row r="414">
          <cell r="A414" t="str">
            <v>IKN400812</v>
          </cell>
          <cell r="B414">
            <v>812</v>
          </cell>
          <cell r="C414" t="str">
            <v>Institut Kanser Negara</v>
          </cell>
          <cell r="E414" t="str">
            <v>11-134</v>
          </cell>
          <cell r="F414" t="str">
            <v>Defibrillators, External, Manual</v>
          </cell>
          <cell r="G414" t="str">
            <v>RT</v>
          </cell>
          <cell r="H414" t="str">
            <v>RADIATION TREATMENT UNIT</v>
          </cell>
          <cell r="I414" t="str">
            <v>01RT237</v>
          </cell>
          <cell r="J414" t="str">
            <v>N/S</v>
          </cell>
          <cell r="K414" t="str">
            <v>BMED</v>
          </cell>
          <cell r="L414" t="str">
            <v>Critical</v>
          </cell>
          <cell r="M414" t="str">
            <v>USA</v>
          </cell>
          <cell r="N414" t="str">
            <v>Responder</v>
          </cell>
          <cell r="O414" t="str">
            <v>Responder 2000</v>
          </cell>
          <cell r="P414" t="str">
            <v>3206738</v>
          </cell>
          <cell r="Q414" t="str">
            <v>Not Applicable</v>
          </cell>
          <cell r="R414" t="str">
            <v>GE Medical Systems</v>
          </cell>
          <cell r="S414" t="str">
            <v>Antah Sir Radin Sdn. Bhd.</v>
          </cell>
          <cell r="T414" t="str">
            <v>Functioning</v>
          </cell>
          <cell r="U414" t="str">
            <v>Asset</v>
          </cell>
          <cell r="V414">
            <v>45000</v>
          </cell>
          <cell r="W414" t="str">
            <v>Estimate</v>
          </cell>
          <cell r="X414" t="str">
            <v>01/09/2010</v>
          </cell>
          <cell r="Y414" t="str">
            <v>KEW</v>
          </cell>
          <cell r="Z414" t="str">
            <v>16/08/2013</v>
          </cell>
          <cell r="AA414" t="str">
            <v>15/08/2015</v>
          </cell>
          <cell r="AB414" t="str">
            <v>No</v>
          </cell>
          <cell r="AC414" t="str">
            <v>31/08/2013</v>
          </cell>
          <cell r="AD414" t="str">
            <v>Good</v>
          </cell>
          <cell r="AE414" t="str">
            <v>V1 - Existing / No Claim</v>
          </cell>
          <cell r="AF414">
            <v>42605</v>
          </cell>
          <cell r="AG414">
            <v>9.17</v>
          </cell>
          <cell r="AH414" t="str">
            <v>PPM</v>
          </cell>
          <cell r="AI414" t="str">
            <v>Not in contract</v>
          </cell>
        </row>
        <row r="415">
          <cell r="A415" t="str">
            <v>IKN400852</v>
          </cell>
          <cell r="B415">
            <v>852</v>
          </cell>
          <cell r="C415" t="str">
            <v>Institut Kanser Negara</v>
          </cell>
          <cell r="D415" t="e">
            <v>#N/A</v>
          </cell>
          <cell r="E415" t="str">
            <v>18-231</v>
          </cell>
          <cell r="F415" t="str">
            <v>Electrosurgical Units, Monopolar/Bipolar</v>
          </cell>
          <cell r="G415" t="str">
            <v>RT</v>
          </cell>
          <cell r="H415" t="str">
            <v>RADIATION TREATMENT UNIT</v>
          </cell>
          <cell r="I415" t="str">
            <v>01RT278</v>
          </cell>
          <cell r="J415" t="str">
            <v>BRACHY OT 2</v>
          </cell>
          <cell r="K415" t="str">
            <v>BMED</v>
          </cell>
          <cell r="L415" t="str">
            <v>Critical</v>
          </cell>
          <cell r="M415" t="str">
            <v>Germany</v>
          </cell>
          <cell r="N415" t="str">
            <v>ERBE</v>
          </cell>
          <cell r="O415" t="str">
            <v>Erbe VIO 100 C</v>
          </cell>
          <cell r="P415" t="str">
            <v>11341789</v>
          </cell>
          <cell r="Q415" t="str">
            <v>Not Applicable</v>
          </cell>
          <cell r="R415" t="str">
            <v>ERBE Electromedizin GmbH</v>
          </cell>
          <cell r="S415" t="str">
            <v>AVRO Medical Sdn. Bhd.</v>
          </cell>
          <cell r="T415" t="str">
            <v>Not In Use</v>
          </cell>
          <cell r="U415" t="str">
            <v>Asset</v>
          </cell>
          <cell r="V415">
            <v>23580</v>
          </cell>
          <cell r="W415" t="str">
            <v>KEW</v>
          </cell>
          <cell r="X415" t="str">
            <v>01/09/2010</v>
          </cell>
          <cell r="Y415" t="str">
            <v>KEW</v>
          </cell>
          <cell r="Z415" t="str">
            <v>16/08/2013</v>
          </cell>
          <cell r="AA415" t="str">
            <v>15/08/2015</v>
          </cell>
          <cell r="AB415" t="str">
            <v>No</v>
          </cell>
          <cell r="AC415" t="str">
            <v>31/08/2013</v>
          </cell>
          <cell r="AD415" t="str">
            <v>Request for Exemption</v>
          </cell>
          <cell r="AE415" t="str">
            <v>V4 - Decommissioned Installed Facility</v>
          </cell>
          <cell r="AF415">
            <v>43059</v>
          </cell>
          <cell r="AG415">
            <v>9.17</v>
          </cell>
          <cell r="AH415" t="str">
            <v>PPM</v>
          </cell>
          <cell r="AI415" t="str">
            <v>Not in contract</v>
          </cell>
          <cell r="AJ415" t="str">
            <v>Not in contract</v>
          </cell>
          <cell r="AK415" t="e">
            <v>#N/A</v>
          </cell>
        </row>
        <row r="416">
          <cell r="A416" t="str">
            <v>IKN400854</v>
          </cell>
          <cell r="B416">
            <v>854</v>
          </cell>
          <cell r="C416" t="str">
            <v>Institut Kanser Negara</v>
          </cell>
          <cell r="D416" t="e">
            <v>#N/A</v>
          </cell>
          <cell r="E416" t="str">
            <v>12-539</v>
          </cell>
          <cell r="F416" t="str">
            <v>Microscopes, Light, Operating</v>
          </cell>
          <cell r="G416" t="str">
            <v>RT</v>
          </cell>
          <cell r="H416" t="str">
            <v>RADIATION TREATMENT UNIT</v>
          </cell>
          <cell r="I416" t="str">
            <v>01RT278</v>
          </cell>
          <cell r="J416" t="str">
            <v>BRACHY OT 2</v>
          </cell>
          <cell r="K416" t="str">
            <v>BMED</v>
          </cell>
          <cell r="L416" t="str">
            <v>Critical</v>
          </cell>
          <cell r="M416" t="str">
            <v>Singapore</v>
          </cell>
          <cell r="N416" t="str">
            <v>Leica</v>
          </cell>
          <cell r="O416" t="str">
            <v>Leica M822 F20</v>
          </cell>
          <cell r="P416" t="str">
            <v>Z10812002</v>
          </cell>
          <cell r="Q416" t="str">
            <v>Not Applicable</v>
          </cell>
          <cell r="R416" t="str">
            <v>Leica Microsystems AG</v>
          </cell>
          <cell r="S416" t="str">
            <v>Schmidt Biomedtech Sdn. Bhd.</v>
          </cell>
          <cell r="T416" t="str">
            <v>Disposed</v>
          </cell>
          <cell r="U416" t="str">
            <v>Asset</v>
          </cell>
          <cell r="V416">
            <v>481150</v>
          </cell>
          <cell r="W416" t="str">
            <v>KEW</v>
          </cell>
          <cell r="X416" t="str">
            <v>01/09/2010</v>
          </cell>
          <cell r="Y416" t="str">
            <v>KEW</v>
          </cell>
          <cell r="Z416" t="str">
            <v>16/08/2013</v>
          </cell>
          <cell r="AA416" t="str">
            <v>15/08/2015</v>
          </cell>
          <cell r="AB416" t="str">
            <v>No</v>
          </cell>
          <cell r="AC416" t="str">
            <v>31/08/2013</v>
          </cell>
          <cell r="AD416" t="str">
            <v>Good</v>
          </cell>
          <cell r="AE416" t="str">
            <v>V4 - Decommissioned Installed Facility</v>
          </cell>
          <cell r="AF416">
            <v>42622</v>
          </cell>
          <cell r="AG416">
            <v>9.17</v>
          </cell>
          <cell r="AH416" t="str">
            <v>PPM</v>
          </cell>
          <cell r="AI416" t="str">
            <v>Not in contract</v>
          </cell>
          <cell r="AJ416" t="str">
            <v>Not in contract</v>
          </cell>
          <cell r="AK416" t="e">
            <v>#N/A</v>
          </cell>
        </row>
        <row r="417">
          <cell r="A417" t="str">
            <v>IKN400855</v>
          </cell>
          <cell r="B417">
            <v>855</v>
          </cell>
          <cell r="C417" t="str">
            <v>Institut Kanser Negara</v>
          </cell>
          <cell r="D417" t="str">
            <v>KKM/IKN/H/13/4886</v>
          </cell>
          <cell r="E417" t="str">
            <v>15-177</v>
          </cell>
          <cell r="F417" t="str">
            <v>Sedimentation Rate Units</v>
          </cell>
          <cell r="G417" t="str">
            <v>LA</v>
          </cell>
          <cell r="H417" t="str">
            <v>PATHOLOGY</v>
          </cell>
          <cell r="I417" t="str">
            <v>04LA132</v>
          </cell>
          <cell r="J417" t="str">
            <v>HAEMATOLOGY LAB 2</v>
          </cell>
          <cell r="K417" t="str">
            <v>BMED</v>
          </cell>
          <cell r="L417" t="str">
            <v>Normal</v>
          </cell>
          <cell r="M417" t="str">
            <v>USA</v>
          </cell>
          <cell r="N417" t="str">
            <v>ESR-Auto Plus</v>
          </cell>
          <cell r="O417" t="str">
            <v>ESR-Auto Plus</v>
          </cell>
          <cell r="P417" t="str">
            <v>506-0456</v>
          </cell>
          <cell r="Q417" t="str">
            <v>Not Applicable</v>
          </cell>
          <cell r="R417" t="str">
            <v>Streck Labotatories Inc</v>
          </cell>
          <cell r="S417" t="str">
            <v>All Eights (M) Sdn Bhd</v>
          </cell>
          <cell r="T417" t="str">
            <v>Functioning</v>
          </cell>
          <cell r="U417" t="str">
            <v>Asset</v>
          </cell>
          <cell r="V417">
            <v>19250</v>
          </cell>
          <cell r="W417" t="str">
            <v>KEW</v>
          </cell>
          <cell r="X417" t="str">
            <v>01/09/2010</v>
          </cell>
          <cell r="Y417" t="str">
            <v>KEW</v>
          </cell>
          <cell r="Z417" t="str">
            <v>16/08/2013</v>
          </cell>
          <cell r="AA417" t="str">
            <v>15/08/2015</v>
          </cell>
          <cell r="AB417" t="str">
            <v>No</v>
          </cell>
          <cell r="AC417" t="str">
            <v>31/08/2013</v>
          </cell>
          <cell r="AD417" t="str">
            <v>Good</v>
          </cell>
          <cell r="AE417" t="str">
            <v>V1 - Existing / No Claim</v>
          </cell>
          <cell r="AF417">
            <v>43209</v>
          </cell>
          <cell r="AG417">
            <v>9.17</v>
          </cell>
          <cell r="AH417" t="str">
            <v>PPM</v>
          </cell>
          <cell r="AI417" t="str">
            <v>Strands</v>
          </cell>
          <cell r="AJ417" t="str">
            <v>Strands PW</v>
          </cell>
          <cell r="AK417" t="str">
            <v>PEP 13/7/2024</v>
          </cell>
        </row>
        <row r="418">
          <cell r="A418" t="str">
            <v>IKN400856</v>
          </cell>
          <cell r="B418">
            <v>856</v>
          </cell>
          <cell r="C418" t="str">
            <v>Institut Kanser Negara</v>
          </cell>
          <cell r="D418" t="str">
            <v>KKM/IKN/H/13/4887</v>
          </cell>
          <cell r="E418" t="str">
            <v>15-177</v>
          </cell>
          <cell r="F418" t="str">
            <v>Sedimentation Rate Units</v>
          </cell>
          <cell r="G418" t="str">
            <v>LA</v>
          </cell>
          <cell r="H418" t="str">
            <v>PATHOLOGY</v>
          </cell>
          <cell r="I418" t="str">
            <v>04LA132</v>
          </cell>
          <cell r="J418" t="str">
            <v>HAEMATOLOGY LAB 2</v>
          </cell>
          <cell r="K418" t="str">
            <v>BMED</v>
          </cell>
          <cell r="L418" t="str">
            <v>Normal</v>
          </cell>
          <cell r="M418" t="str">
            <v>USA</v>
          </cell>
          <cell r="N418" t="str">
            <v>ESR-Auto Plus</v>
          </cell>
          <cell r="O418" t="str">
            <v>ESR-Auto Plus</v>
          </cell>
          <cell r="P418" t="str">
            <v>506-1092</v>
          </cell>
          <cell r="Q418" t="str">
            <v>Not Applicable</v>
          </cell>
          <cell r="R418" t="str">
            <v>Streck Labotatories Inc</v>
          </cell>
          <cell r="S418" t="str">
            <v>All Eights (M) Sdn Bhd</v>
          </cell>
          <cell r="T418" t="str">
            <v>Functioning</v>
          </cell>
          <cell r="U418" t="str">
            <v>Asset</v>
          </cell>
          <cell r="V418">
            <v>19250</v>
          </cell>
          <cell r="W418" t="str">
            <v>KEW</v>
          </cell>
          <cell r="X418" t="str">
            <v>01/09/2010</v>
          </cell>
          <cell r="Y418" t="str">
            <v>KEW</v>
          </cell>
          <cell r="Z418" t="str">
            <v>16/08/2013</v>
          </cell>
          <cell r="AA418" t="str">
            <v>15/08/2015</v>
          </cell>
          <cell r="AB418" t="str">
            <v>No</v>
          </cell>
          <cell r="AC418" t="str">
            <v>31/08/2013</v>
          </cell>
          <cell r="AD418" t="str">
            <v>Good</v>
          </cell>
          <cell r="AE418" t="str">
            <v>V1 - Existing / No Claim</v>
          </cell>
          <cell r="AF418">
            <v>43209</v>
          </cell>
          <cell r="AG418">
            <v>9.17</v>
          </cell>
          <cell r="AH418" t="str">
            <v>PPM</v>
          </cell>
          <cell r="AI418" t="str">
            <v>Strands</v>
          </cell>
          <cell r="AJ418" t="str">
            <v>Strands PW. Proposed for V4 P2.23</v>
          </cell>
          <cell r="AK418" t="str">
            <v>[18/9/2023, SHARIFAH]: PEP (PEP salah nombor KKM) ON 8/8/2023, BER/BEMS/IKN/23/008 - Aset mengalami kerosakan pada scanner.</v>
          </cell>
        </row>
        <row r="419">
          <cell r="A419" t="str">
            <v>IKN400857</v>
          </cell>
          <cell r="B419">
            <v>857</v>
          </cell>
          <cell r="C419" t="str">
            <v>Institut Kanser Negara</v>
          </cell>
          <cell r="D419" t="e">
            <v>#N/A</v>
          </cell>
          <cell r="E419" t="str">
            <v>17-808</v>
          </cell>
          <cell r="F419" t="str">
            <v>Lasers, Diode, Ophthalmic</v>
          </cell>
          <cell r="G419" t="str">
            <v>RT</v>
          </cell>
          <cell r="H419" t="str">
            <v>RADIATION TREATMENT UNIT</v>
          </cell>
          <cell r="I419" t="str">
            <v>01RT278</v>
          </cell>
          <cell r="J419" t="str">
            <v>BRACHY OT 2</v>
          </cell>
          <cell r="K419" t="str">
            <v>BMED</v>
          </cell>
          <cell r="L419" t="str">
            <v>Normal</v>
          </cell>
          <cell r="M419" t="str">
            <v>USA</v>
          </cell>
          <cell r="N419" t="str">
            <v>Iridex</v>
          </cell>
          <cell r="O419" t="str">
            <v>Iridex IQ810</v>
          </cell>
          <cell r="P419" t="str">
            <v>60422</v>
          </cell>
          <cell r="Q419" t="str">
            <v>Not Applicable</v>
          </cell>
          <cell r="R419" t="str">
            <v>Iridex Corp</v>
          </cell>
          <cell r="S419" t="str">
            <v>Mandarin Opto-Medic</v>
          </cell>
          <cell r="T419" t="str">
            <v>Disposed</v>
          </cell>
          <cell r="U419" t="str">
            <v>Asset</v>
          </cell>
          <cell r="V419">
            <v>222530</v>
          </cell>
          <cell r="W419" t="str">
            <v>KEW</v>
          </cell>
          <cell r="X419" t="str">
            <v>01/09/2010</v>
          </cell>
          <cell r="Y419" t="str">
            <v>KEW</v>
          </cell>
          <cell r="Z419" t="str">
            <v>16/08/2013</v>
          </cell>
          <cell r="AA419" t="str">
            <v>15/08/2015</v>
          </cell>
          <cell r="AB419" t="str">
            <v>No</v>
          </cell>
          <cell r="AC419" t="str">
            <v>31/08/2013</v>
          </cell>
          <cell r="AD419" t="str">
            <v>Good</v>
          </cell>
          <cell r="AE419" t="str">
            <v>V4 - Decommissioned Installed Facility</v>
          </cell>
          <cell r="AF419">
            <v>42622</v>
          </cell>
          <cell r="AG419">
            <v>9.17</v>
          </cell>
          <cell r="AH419" t="str">
            <v>PPM</v>
          </cell>
          <cell r="AI419" t="str">
            <v>Not in contract</v>
          </cell>
          <cell r="AJ419" t="str">
            <v>Not in contract</v>
          </cell>
          <cell r="AK419" t="e">
            <v>#N/A</v>
          </cell>
        </row>
        <row r="420">
          <cell r="A420" t="str">
            <v>IKN400862</v>
          </cell>
          <cell r="B420">
            <v>861</v>
          </cell>
          <cell r="C420" t="str">
            <v>Institut Kanser Negara</v>
          </cell>
          <cell r="E420" t="str">
            <v>18-037</v>
          </cell>
          <cell r="F420" t="str">
            <v>Video Image Processors</v>
          </cell>
          <cell r="G420" t="str">
            <v>MC</v>
          </cell>
          <cell r="H420" t="str">
            <v>MULTI-DISCIPLINE CLINIC</v>
          </cell>
          <cell r="I420" t="str">
            <v>03MC108</v>
          </cell>
          <cell r="J420" t="str">
            <v>TREATMENT/PROCEDURE</v>
          </cell>
          <cell r="K420" t="str">
            <v>BMED</v>
          </cell>
          <cell r="L420" t="str">
            <v>Critical</v>
          </cell>
          <cell r="M420" t="str">
            <v>Taiwan</v>
          </cell>
          <cell r="N420" t="str">
            <v>Medicapture</v>
          </cell>
          <cell r="O420" t="str">
            <v>Medicapture USB 300</v>
          </cell>
          <cell r="P420" t="str">
            <v>3012241</v>
          </cell>
          <cell r="Q420" t="str">
            <v>Not Applicable</v>
          </cell>
          <cell r="R420" t="str">
            <v>Medicapture Inc</v>
          </cell>
          <cell r="S420" t="str">
            <v>Schmidt Biomedtech Sdn. Bhd.</v>
          </cell>
          <cell r="T420" t="str">
            <v>Disposed</v>
          </cell>
          <cell r="U420" t="str">
            <v>Asset</v>
          </cell>
          <cell r="V420">
            <v>20000</v>
          </cell>
          <cell r="W420" t="str">
            <v>Estimate</v>
          </cell>
          <cell r="X420" t="str">
            <v>01/09/2010</v>
          </cell>
          <cell r="Y420" t="str">
            <v>KEW</v>
          </cell>
          <cell r="Z420" t="str">
            <v>16/08/2013</v>
          </cell>
          <cell r="AA420" t="str">
            <v>15/08/2015</v>
          </cell>
          <cell r="AB420" t="str">
            <v>No</v>
          </cell>
          <cell r="AC420" t="str">
            <v>31/08/2013</v>
          </cell>
          <cell r="AD420" t="str">
            <v>Request for Exemption</v>
          </cell>
          <cell r="AE420" t="str">
            <v>V4 - Decommissioned Installed Facility</v>
          </cell>
          <cell r="AF420">
            <v>42740</v>
          </cell>
          <cell r="AG420">
            <v>9.17</v>
          </cell>
          <cell r="AH420" t="str">
            <v>PPM</v>
          </cell>
          <cell r="AI420" t="str">
            <v>Not in contract</v>
          </cell>
          <cell r="AJ420" t="str">
            <v>Not in contract</v>
          </cell>
        </row>
        <row r="421">
          <cell r="A421" t="str">
            <v>IKN400921</v>
          </cell>
          <cell r="B421">
            <v>920</v>
          </cell>
          <cell r="C421" t="str">
            <v>Institut Kanser Negara</v>
          </cell>
          <cell r="D421" t="str">
            <v>KKM/IKN/H/13/562</v>
          </cell>
          <cell r="E421" t="str">
            <v>12-815</v>
          </cell>
          <cell r="F421" t="str">
            <v>Ophthalmoscopes</v>
          </cell>
          <cell r="G421" t="str">
            <v>MC</v>
          </cell>
          <cell r="H421" t="str">
            <v>MULTI-DISCIPLINE CLINIC</v>
          </cell>
          <cell r="I421" t="str">
            <v>03MC118</v>
          </cell>
          <cell r="J421" t="str">
            <v>C/E 5</v>
          </cell>
          <cell r="K421" t="str">
            <v>BMED</v>
          </cell>
          <cell r="L421" t="str">
            <v>Normal</v>
          </cell>
          <cell r="M421" t="str">
            <v>USA</v>
          </cell>
          <cell r="N421" t="str">
            <v>Welch Allyn</v>
          </cell>
          <cell r="O421" t="str">
            <v>Welch Allyn 767</v>
          </cell>
          <cell r="P421" t="str">
            <v>767-01</v>
          </cell>
          <cell r="Q421" t="str">
            <v>Not Applicable</v>
          </cell>
          <cell r="R421" t="str">
            <v>Welch Allyn Inc</v>
          </cell>
          <cell r="S421" t="str">
            <v>Welch Allyn Malaysia Sdn Bhd</v>
          </cell>
          <cell r="T421" t="str">
            <v>Functioning</v>
          </cell>
          <cell r="U421" t="str">
            <v>Asset</v>
          </cell>
          <cell r="V421">
            <v>5773</v>
          </cell>
          <cell r="W421" t="str">
            <v>KEW</v>
          </cell>
          <cell r="X421" t="str">
            <v>01/09/2010</v>
          </cell>
          <cell r="Y421" t="str">
            <v>KEW</v>
          </cell>
          <cell r="Z421" t="str">
            <v>16/08/2013</v>
          </cell>
          <cell r="AA421" t="str">
            <v>15/08/2015</v>
          </cell>
          <cell r="AB421" t="str">
            <v>No</v>
          </cell>
          <cell r="AC421" t="str">
            <v>31/08/2013</v>
          </cell>
          <cell r="AD421" t="str">
            <v>Good</v>
          </cell>
          <cell r="AE421" t="str">
            <v>V4 - Decommissioned Installed Facility</v>
          </cell>
          <cell r="AF421">
            <v>42800</v>
          </cell>
          <cell r="AG421">
            <v>9.17</v>
          </cell>
          <cell r="AH421" t="str">
            <v>RI</v>
          </cell>
          <cell r="AJ421" t="str">
            <v>Strands PW. Proposed for V4 P2.23</v>
          </cell>
        </row>
        <row r="422">
          <cell r="A422" t="str">
            <v>IKN400922</v>
          </cell>
          <cell r="B422">
            <v>921</v>
          </cell>
          <cell r="C422" t="str">
            <v>Institut Kanser Negara</v>
          </cell>
          <cell r="D422" t="str">
            <v>KKM/IKN/H/13/564</v>
          </cell>
          <cell r="E422" t="str">
            <v>12-815</v>
          </cell>
          <cell r="F422" t="str">
            <v>Ophthalmoscopes</v>
          </cell>
          <cell r="G422" t="str">
            <v>MC</v>
          </cell>
          <cell r="H422" t="str">
            <v>MULTI-DISCIPLINE CLINIC</v>
          </cell>
          <cell r="I422" t="str">
            <v>03MC119</v>
          </cell>
          <cell r="J422" t="str">
            <v>C/E 4</v>
          </cell>
          <cell r="K422" t="str">
            <v>BMED</v>
          </cell>
          <cell r="L422" t="str">
            <v>Normal</v>
          </cell>
          <cell r="M422" t="str">
            <v>USA</v>
          </cell>
          <cell r="N422" t="str">
            <v>Welch Allyn</v>
          </cell>
          <cell r="O422" t="str">
            <v>Welch Allyn 767</v>
          </cell>
          <cell r="P422" t="str">
            <v>767-02</v>
          </cell>
          <cell r="Q422" t="str">
            <v>Not Applicable</v>
          </cell>
          <cell r="R422" t="str">
            <v>Welch Allyn Inc</v>
          </cell>
          <cell r="S422" t="str">
            <v>Welch Allyn Malaysia Sdn Bhd</v>
          </cell>
          <cell r="T422" t="str">
            <v>Functioning</v>
          </cell>
          <cell r="U422" t="str">
            <v>Asset</v>
          </cell>
          <cell r="V422">
            <v>5773</v>
          </cell>
          <cell r="W422" t="str">
            <v>KEW</v>
          </cell>
          <cell r="X422" t="str">
            <v>01/09/2010</v>
          </cell>
          <cell r="Y422" t="str">
            <v>KEW</v>
          </cell>
          <cell r="Z422" t="str">
            <v>16/08/2013</v>
          </cell>
          <cell r="AA422" t="str">
            <v>15/08/2015</v>
          </cell>
          <cell r="AB422" t="str">
            <v>No</v>
          </cell>
          <cell r="AC422" t="str">
            <v>31/08/2013</v>
          </cell>
          <cell r="AD422" t="str">
            <v>Good</v>
          </cell>
          <cell r="AE422" t="str">
            <v>V4 - Decommissioned Installed Facility</v>
          </cell>
          <cell r="AF422">
            <v>42800</v>
          </cell>
          <cell r="AG422">
            <v>9.17</v>
          </cell>
          <cell r="AH422" t="str">
            <v>RI</v>
          </cell>
          <cell r="AI422" t="str">
            <v>Strands</v>
          </cell>
          <cell r="AJ422" t="str">
            <v>Strands PW. Proposed for V4 P2.23</v>
          </cell>
        </row>
        <row r="423">
          <cell r="A423" t="str">
            <v>IKN400923</v>
          </cell>
          <cell r="B423">
            <v>922</v>
          </cell>
          <cell r="C423" t="str">
            <v>Institut Kanser Negara</v>
          </cell>
          <cell r="D423" t="str">
            <v>KKM/IKN/H/13/559</v>
          </cell>
          <cell r="E423" t="str">
            <v>12-815</v>
          </cell>
          <cell r="F423" t="str">
            <v>Ophthalmoscopes</v>
          </cell>
          <cell r="G423" t="str">
            <v>MC</v>
          </cell>
          <cell r="H423" t="str">
            <v>MULTI-DISCIPLINE CLINIC</v>
          </cell>
          <cell r="I423" t="str">
            <v>03MC121</v>
          </cell>
          <cell r="J423" t="str">
            <v>C/E 3</v>
          </cell>
          <cell r="K423" t="str">
            <v>BMED</v>
          </cell>
          <cell r="L423" t="str">
            <v>Normal</v>
          </cell>
          <cell r="M423" t="str">
            <v>USA</v>
          </cell>
          <cell r="N423" t="str">
            <v>Welch Allyn</v>
          </cell>
          <cell r="O423" t="str">
            <v>Welch Allyn 767</v>
          </cell>
          <cell r="P423" t="str">
            <v>767-03</v>
          </cell>
          <cell r="Q423" t="str">
            <v>Not Applicable</v>
          </cell>
          <cell r="R423" t="str">
            <v>Welch Allyn Inc</v>
          </cell>
          <cell r="S423" t="str">
            <v>Welch Allyn Malaysia Sdn Bhd</v>
          </cell>
          <cell r="T423" t="str">
            <v>Functioning</v>
          </cell>
          <cell r="U423" t="str">
            <v>Asset</v>
          </cell>
          <cell r="V423">
            <v>5773</v>
          </cell>
          <cell r="W423" t="str">
            <v>KEW</v>
          </cell>
          <cell r="X423" t="str">
            <v>01/09/2010</v>
          </cell>
          <cell r="Y423" t="str">
            <v>KEW</v>
          </cell>
          <cell r="Z423" t="str">
            <v>16/08/2013</v>
          </cell>
          <cell r="AA423" t="str">
            <v>15/08/2015</v>
          </cell>
          <cell r="AB423" t="str">
            <v>No</v>
          </cell>
          <cell r="AC423" t="str">
            <v>31/08/2013</v>
          </cell>
          <cell r="AD423" t="str">
            <v>Good</v>
          </cell>
          <cell r="AE423" t="str">
            <v>V4 - Decommissioned Installed Facility</v>
          </cell>
          <cell r="AF423">
            <v>42800</v>
          </cell>
          <cell r="AG423">
            <v>9.17</v>
          </cell>
          <cell r="AH423" t="str">
            <v>RI</v>
          </cell>
          <cell r="AI423" t="str">
            <v>Strands</v>
          </cell>
          <cell r="AJ423" t="str">
            <v>Strands PW. Proposed for V4 P2.23</v>
          </cell>
        </row>
        <row r="424">
          <cell r="A424" t="str">
            <v>IKN400924</v>
          </cell>
          <cell r="B424">
            <v>923</v>
          </cell>
          <cell r="C424" t="str">
            <v>Institut Kanser Negara</v>
          </cell>
          <cell r="D424" t="str">
            <v>KKM/IKN/H/13/561</v>
          </cell>
          <cell r="E424" t="str">
            <v>12-815</v>
          </cell>
          <cell r="F424" t="str">
            <v>Ophthalmoscopes</v>
          </cell>
          <cell r="G424" t="str">
            <v>MC</v>
          </cell>
          <cell r="H424" t="str">
            <v>MULTI-DISCIPLINE CLINIC</v>
          </cell>
          <cell r="I424" t="str">
            <v>03MC128</v>
          </cell>
          <cell r="J424" t="str">
            <v>C/E 2</v>
          </cell>
          <cell r="K424" t="str">
            <v>BMED</v>
          </cell>
          <cell r="L424" t="str">
            <v>Normal</v>
          </cell>
          <cell r="M424" t="str">
            <v>USA</v>
          </cell>
          <cell r="N424" t="str">
            <v>Welch Allyn</v>
          </cell>
          <cell r="O424" t="str">
            <v>Welch Allyn 767</v>
          </cell>
          <cell r="P424" t="str">
            <v>767-04</v>
          </cell>
          <cell r="Q424" t="str">
            <v>Not Applicable</v>
          </cell>
          <cell r="R424" t="str">
            <v>Welch Allyn Inc</v>
          </cell>
          <cell r="S424" t="str">
            <v>Welch Allyn Malaysia Sdn Bhd</v>
          </cell>
          <cell r="T424" t="str">
            <v>Functioning</v>
          </cell>
          <cell r="U424" t="str">
            <v>Asset</v>
          </cell>
          <cell r="V424">
            <v>5773</v>
          </cell>
          <cell r="W424" t="str">
            <v>KEW</v>
          </cell>
          <cell r="X424" t="str">
            <v>01/09/2010</v>
          </cell>
          <cell r="Y424" t="str">
            <v>KEW</v>
          </cell>
          <cell r="Z424" t="str">
            <v>16/08/2013</v>
          </cell>
          <cell r="AA424" t="str">
            <v>15/08/2015</v>
          </cell>
          <cell r="AB424" t="str">
            <v>No</v>
          </cell>
          <cell r="AC424" t="str">
            <v>31/08/2013</v>
          </cell>
          <cell r="AD424" t="str">
            <v>Good</v>
          </cell>
          <cell r="AE424" t="str">
            <v>V4 - Decommissioned Installed Facility</v>
          </cell>
          <cell r="AF424">
            <v>42800</v>
          </cell>
          <cell r="AG424">
            <v>9.17</v>
          </cell>
          <cell r="AH424" t="str">
            <v>RI</v>
          </cell>
          <cell r="AI424" t="str">
            <v>Strands</v>
          </cell>
          <cell r="AJ424" t="str">
            <v>Strands PW. Proposed for V4 P2.23</v>
          </cell>
        </row>
        <row r="425">
          <cell r="A425" t="str">
            <v>IKN400933</v>
          </cell>
          <cell r="B425">
            <v>932</v>
          </cell>
          <cell r="C425" t="str">
            <v>Institut Kanser Negara</v>
          </cell>
          <cell r="D425" t="str">
            <v>KKM/IKN/H/13/550</v>
          </cell>
          <cell r="E425" t="str">
            <v>12-818</v>
          </cell>
          <cell r="F425" t="str">
            <v>Ophthalmoscopes, Indirect</v>
          </cell>
          <cell r="G425" t="str">
            <v>MC</v>
          </cell>
          <cell r="H425" t="str">
            <v>MULTI-DISCIPLINE CLINIC</v>
          </cell>
          <cell r="I425" t="str">
            <v>03MC128</v>
          </cell>
          <cell r="J425" t="str">
            <v>C/E 2</v>
          </cell>
          <cell r="K425" t="str">
            <v>BMED</v>
          </cell>
          <cell r="L425" t="str">
            <v>Normal</v>
          </cell>
          <cell r="M425" t="str">
            <v>Germany</v>
          </cell>
          <cell r="N425" t="str">
            <v>Omega</v>
          </cell>
          <cell r="O425" t="str">
            <v>Omega 500 Unplugged</v>
          </cell>
          <cell r="P425" t="str">
            <v>1121000615</v>
          </cell>
          <cell r="Q425" t="str">
            <v>Not Applicable</v>
          </cell>
          <cell r="R425" t="str">
            <v>Heine Optotechnik GmbH &amp; Co KG</v>
          </cell>
          <cell r="S425" t="str">
            <v>Mandarin Opto-Medic</v>
          </cell>
          <cell r="T425" t="str">
            <v>Transferred</v>
          </cell>
          <cell r="U425" t="str">
            <v>Asset</v>
          </cell>
          <cell r="V425">
            <v>18890</v>
          </cell>
          <cell r="W425" t="str">
            <v>KEW</v>
          </cell>
          <cell r="X425" t="str">
            <v>01/09/2010</v>
          </cell>
          <cell r="Y425" t="str">
            <v>KEW</v>
          </cell>
          <cell r="Z425" t="str">
            <v>16/08/2013</v>
          </cell>
          <cell r="AA425" t="str">
            <v>15/08/2015</v>
          </cell>
          <cell r="AB425" t="str">
            <v>No</v>
          </cell>
          <cell r="AC425" t="str">
            <v>31/08/2013</v>
          </cell>
          <cell r="AD425" t="str">
            <v>Good</v>
          </cell>
          <cell r="AE425" t="str">
            <v>V1 - Existing / No Claim</v>
          </cell>
          <cell r="AF425">
            <v>43437</v>
          </cell>
          <cell r="AG425">
            <v>9.17</v>
          </cell>
          <cell r="AH425" t="str">
            <v>PPM</v>
          </cell>
          <cell r="AI425" t="str">
            <v>Strands</v>
          </cell>
          <cell r="AJ425" t="str">
            <v>Strands PW. Proposed V4 P1.24.</v>
          </cell>
          <cell r="AK425" t="str">
            <v>[1/3/2024, Sharifah]: Based on PPM 2017, Asset transfer to Hospital Lahad Datu, Sabah.</v>
          </cell>
        </row>
        <row r="426">
          <cell r="A426" t="str">
            <v>IKN400939</v>
          </cell>
          <cell r="B426">
            <v>938</v>
          </cell>
          <cell r="C426" t="str">
            <v>Institut Kanser Negara</v>
          </cell>
          <cell r="E426" t="str">
            <v>16-158</v>
          </cell>
          <cell r="F426" t="str">
            <v>Sphygmomanometers, Mercury</v>
          </cell>
          <cell r="G426" t="str">
            <v>MC</v>
          </cell>
          <cell r="H426" t="str">
            <v>MULTI-DISCIPLINE CLINIC</v>
          </cell>
          <cell r="I426" t="str">
            <v>03MC118</v>
          </cell>
          <cell r="J426" t="str">
            <v>C/E 5</v>
          </cell>
          <cell r="K426" t="str">
            <v>BMED</v>
          </cell>
          <cell r="L426" t="str">
            <v>Normal</v>
          </cell>
          <cell r="M426" t="str">
            <v>Germany</v>
          </cell>
          <cell r="N426" t="str">
            <v>Erka</v>
          </cell>
          <cell r="O426" t="str">
            <v>Erkameter 3000</v>
          </cell>
          <cell r="P426" t="str">
            <v>13500821</v>
          </cell>
          <cell r="Q426" t="str">
            <v>Not Applicable</v>
          </cell>
          <cell r="R426" t="str">
            <v>Erka GmbH &amp; Co</v>
          </cell>
          <cell r="S426" t="str">
            <v>Acucare Systems (M) Sdn bhd</v>
          </cell>
          <cell r="T426" t="str">
            <v>Functioning</v>
          </cell>
          <cell r="U426" t="str">
            <v>Asset</v>
          </cell>
          <cell r="V426">
            <v>505</v>
          </cell>
          <cell r="W426" t="str">
            <v>KEW</v>
          </cell>
          <cell r="X426" t="str">
            <v>01/09/2010</v>
          </cell>
          <cell r="Y426" t="str">
            <v>KEW</v>
          </cell>
          <cell r="Z426" t="str">
            <v>16/08/2013</v>
          </cell>
          <cell r="AA426" t="str">
            <v>15/08/2015</v>
          </cell>
          <cell r="AB426" t="str">
            <v>No</v>
          </cell>
          <cell r="AC426" t="str">
            <v>31/08/2013</v>
          </cell>
          <cell r="AD426" t="str">
            <v>Good</v>
          </cell>
          <cell r="AE426" t="str">
            <v>V4 - Decommissioned Installed Facility</v>
          </cell>
          <cell r="AF426">
            <v>42235</v>
          </cell>
          <cell r="AG426">
            <v>9.17</v>
          </cell>
          <cell r="AH426" t="str">
            <v>PPM</v>
          </cell>
          <cell r="AI426" t="str">
            <v>Not in contract</v>
          </cell>
          <cell r="AJ426" t="str">
            <v>Not under maintenance</v>
          </cell>
        </row>
        <row r="427">
          <cell r="A427" t="str">
            <v>IKN400953</v>
          </cell>
          <cell r="B427">
            <v>952</v>
          </cell>
          <cell r="C427" t="str">
            <v>Institut Kanser Negara</v>
          </cell>
          <cell r="D427" t="e">
            <v>#N/A</v>
          </cell>
          <cell r="E427" t="str">
            <v>16-173</v>
          </cell>
          <cell r="F427" t="str">
            <v>Sphygmomanometers, Electronic, Automatic</v>
          </cell>
          <cell r="G427" t="str">
            <v>RT</v>
          </cell>
          <cell r="H427" t="str">
            <v>RADIATION TREATMENT UNIT</v>
          </cell>
          <cell r="I427" t="str">
            <v>01RT110</v>
          </cell>
          <cell r="J427" t="str">
            <v>C/E 2</v>
          </cell>
          <cell r="K427" t="str">
            <v>BMED</v>
          </cell>
          <cell r="L427" t="str">
            <v>Normal</v>
          </cell>
          <cell r="M427" t="str">
            <v>USA</v>
          </cell>
          <cell r="N427" t="str">
            <v>Connex</v>
          </cell>
          <cell r="O427" t="str">
            <v>Connex ProBP 3400</v>
          </cell>
          <cell r="P427" t="str">
            <v>100000630413</v>
          </cell>
          <cell r="Q427" t="str">
            <v>Not Applicable</v>
          </cell>
          <cell r="R427" t="str">
            <v>Welch Allyn Inc</v>
          </cell>
          <cell r="S427" t="str">
            <v>Welch Allyn Malaysia Sdn Bhd</v>
          </cell>
          <cell r="T427" t="str">
            <v>Functioning</v>
          </cell>
          <cell r="U427" t="str">
            <v>Asset</v>
          </cell>
          <cell r="V427">
            <v>336</v>
          </cell>
          <cell r="W427" t="str">
            <v>KEW</v>
          </cell>
          <cell r="X427" t="str">
            <v>01/09/2010</v>
          </cell>
          <cell r="Y427" t="str">
            <v>KEW</v>
          </cell>
          <cell r="Z427" t="str">
            <v>16/08/2013</v>
          </cell>
          <cell r="AA427" t="str">
            <v>15/08/2015</v>
          </cell>
          <cell r="AB427" t="str">
            <v>No</v>
          </cell>
          <cell r="AC427" t="str">
            <v>31/08/2013</v>
          </cell>
          <cell r="AD427" t="str">
            <v>Good</v>
          </cell>
          <cell r="AE427" t="str">
            <v>V1 - Existing / No Claim</v>
          </cell>
          <cell r="AF427">
            <v>42235</v>
          </cell>
          <cell r="AG427">
            <v>9.17</v>
          </cell>
          <cell r="AH427" t="str">
            <v>PPM</v>
          </cell>
          <cell r="AI427" t="str">
            <v>Not in contract</v>
          </cell>
        </row>
        <row r="428">
          <cell r="A428" t="str">
            <v>IKN400972</v>
          </cell>
          <cell r="B428">
            <v>970</v>
          </cell>
          <cell r="C428" t="str">
            <v>Institut Kanser Negara</v>
          </cell>
          <cell r="D428" t="e">
            <v>#N/A</v>
          </cell>
          <cell r="E428" t="str">
            <v>17-148</v>
          </cell>
          <cell r="F428" t="str">
            <v>Oximeters, Pulse</v>
          </cell>
          <cell r="G428" t="str">
            <v>RT</v>
          </cell>
          <cell r="H428" t="str">
            <v>RADIATION TREATMENT UNIT</v>
          </cell>
          <cell r="I428" t="str">
            <v>01RT110</v>
          </cell>
          <cell r="J428" t="str">
            <v>C/E 2</v>
          </cell>
          <cell r="K428" t="str">
            <v>BMED</v>
          </cell>
          <cell r="L428" t="str">
            <v>Normal</v>
          </cell>
          <cell r="M428" t="str">
            <v>Finland</v>
          </cell>
          <cell r="N428" t="str">
            <v>Trusat</v>
          </cell>
          <cell r="O428" t="str">
            <v>Trusat</v>
          </cell>
          <cell r="P428" t="str">
            <v>FCC12430069SA</v>
          </cell>
          <cell r="Q428" t="str">
            <v>Not Applicable</v>
          </cell>
          <cell r="R428" t="str">
            <v>GE Healthcare Systems</v>
          </cell>
          <cell r="S428" t="str">
            <v>GE Healthcare Technologies</v>
          </cell>
          <cell r="T428" t="str">
            <v>Functioning</v>
          </cell>
          <cell r="U428" t="str">
            <v>Asset</v>
          </cell>
          <cell r="V428">
            <v>11120</v>
          </cell>
          <cell r="W428" t="str">
            <v>KEW</v>
          </cell>
          <cell r="X428" t="str">
            <v>01/09/2010</v>
          </cell>
          <cell r="Y428" t="str">
            <v>KEW</v>
          </cell>
          <cell r="Z428" t="str">
            <v>16/08/2013</v>
          </cell>
          <cell r="AA428" t="str">
            <v>15/08/2015</v>
          </cell>
          <cell r="AB428" t="str">
            <v>No</v>
          </cell>
          <cell r="AC428" t="str">
            <v>31/08/2013</v>
          </cell>
          <cell r="AD428" t="str">
            <v>Good</v>
          </cell>
          <cell r="AE428" t="str">
            <v>V1 - Existing / No Claim</v>
          </cell>
          <cell r="AF428">
            <v>42235</v>
          </cell>
          <cell r="AG428">
            <v>9.17</v>
          </cell>
          <cell r="AH428" t="str">
            <v>PPM</v>
          </cell>
          <cell r="AI428" t="str">
            <v>Not in contract</v>
          </cell>
        </row>
        <row r="429">
          <cell r="A429" t="str">
            <v>IKN400991</v>
          </cell>
          <cell r="B429">
            <v>989</v>
          </cell>
          <cell r="C429" t="str">
            <v>Institut Kanser Negara</v>
          </cell>
          <cell r="D429" t="str">
            <v>KKM/IKN/H/13/3001</v>
          </cell>
          <cell r="E429" t="str">
            <v>13-275</v>
          </cell>
          <cell r="F429" t="str">
            <v>Calibrators, Radioisotope</v>
          </cell>
          <cell r="G429" t="str">
            <v>NM</v>
          </cell>
          <cell r="H429" t="str">
            <v>NUCLEAR MED (DIAGNOSTIC)</v>
          </cell>
          <cell r="I429" t="str">
            <v>03NM166</v>
          </cell>
          <cell r="J429" t="str">
            <v>REPORTING</v>
          </cell>
          <cell r="K429" t="str">
            <v>BMED</v>
          </cell>
          <cell r="L429" t="str">
            <v>Normal</v>
          </cell>
          <cell r="M429" t="str">
            <v>USA</v>
          </cell>
          <cell r="N429" t="str">
            <v>Atomlab</v>
          </cell>
          <cell r="O429" t="str">
            <v>Atomlab 500 Plus</v>
          </cell>
          <cell r="P429" t="str">
            <v>11060309-E</v>
          </cell>
          <cell r="Q429" t="str">
            <v>Not Applicable</v>
          </cell>
          <cell r="R429" t="str">
            <v>Biodex Medical Systems Inc</v>
          </cell>
          <cell r="S429" t="str">
            <v>Not Available</v>
          </cell>
          <cell r="T429" t="str">
            <v>Functioning</v>
          </cell>
          <cell r="U429" t="str">
            <v>Asset</v>
          </cell>
          <cell r="V429">
            <v>60390</v>
          </cell>
          <cell r="W429" t="str">
            <v>Estimate</v>
          </cell>
          <cell r="X429" t="str">
            <v>01/09/2010</v>
          </cell>
          <cell r="Y429" t="str">
            <v>KEW</v>
          </cell>
          <cell r="Z429" t="str">
            <v>16/08/2013</v>
          </cell>
          <cell r="AA429" t="str">
            <v>15/08/2015</v>
          </cell>
          <cell r="AB429" t="str">
            <v>No</v>
          </cell>
          <cell r="AC429" t="str">
            <v>31/08/2013</v>
          </cell>
          <cell r="AD429" t="str">
            <v>Good</v>
          </cell>
          <cell r="AE429" t="str">
            <v>V1 - Existing / No Claim</v>
          </cell>
          <cell r="AF429" t="str">
            <v>2/10/2018 - 17/4/2024</v>
          </cell>
          <cell r="AG429">
            <v>9.17</v>
          </cell>
          <cell r="AH429" t="str">
            <v>PPM</v>
          </cell>
          <cell r="AI429" t="str">
            <v>package</v>
          </cell>
          <cell r="AJ429" t="str">
            <v>Not in contract</v>
          </cell>
          <cell r="AK429" t="str">
            <v>[SHARIFAH, 16/10/2023]: PEP ON 21/7/2023. BER/BEMS/IKN/22/001 - Aset mengalami kerosakan pada komponen utama iaitu reader dan asset ini tidak ekonomik diperbaiki lagi. SNF V4 received on 17/4/2024.</v>
          </cell>
        </row>
        <row r="430">
          <cell r="A430" t="str">
            <v>IKN400992</v>
          </cell>
          <cell r="B430">
            <v>990</v>
          </cell>
          <cell r="C430" t="str">
            <v>Institut Kanser Negara</v>
          </cell>
          <cell r="D430" t="str">
            <v>KKM/IKN/H/13/5151</v>
          </cell>
          <cell r="E430" t="str">
            <v>13-275</v>
          </cell>
          <cell r="F430" t="str">
            <v>Calibrators, Radioisotope</v>
          </cell>
          <cell r="G430" t="str">
            <v>WA</v>
          </cell>
          <cell r="H430" t="str">
            <v>NUCLEAR MED WARD (THERAPY)</v>
          </cell>
          <cell r="I430" t="str">
            <v>03WA125</v>
          </cell>
          <cell r="J430" t="str">
            <v>RADIOIODIN PREP (100% F.A.)</v>
          </cell>
          <cell r="K430" t="str">
            <v>BMED</v>
          </cell>
          <cell r="L430" t="str">
            <v>Normal</v>
          </cell>
          <cell r="M430" t="str">
            <v>USA</v>
          </cell>
          <cell r="N430" t="str">
            <v>Atomlab</v>
          </cell>
          <cell r="O430" t="str">
            <v>Atomlab 500</v>
          </cell>
          <cell r="P430" t="str">
            <v>13040805</v>
          </cell>
          <cell r="Q430" t="str">
            <v>Not Applicable</v>
          </cell>
          <cell r="R430" t="str">
            <v>Biodex Medical Systems Inc</v>
          </cell>
          <cell r="S430" t="str">
            <v>Not Available</v>
          </cell>
          <cell r="T430" t="str">
            <v>Functioning</v>
          </cell>
          <cell r="U430" t="str">
            <v>Asset</v>
          </cell>
          <cell r="V430">
            <v>60390</v>
          </cell>
          <cell r="W430" t="str">
            <v>KEW</v>
          </cell>
          <cell r="X430" t="str">
            <v>01/09/2010</v>
          </cell>
          <cell r="Y430" t="str">
            <v>KEW</v>
          </cell>
          <cell r="Z430" t="str">
            <v>16/08/2013</v>
          </cell>
          <cell r="AA430" t="str">
            <v>15/08/2015</v>
          </cell>
          <cell r="AB430" t="str">
            <v>No</v>
          </cell>
          <cell r="AC430" t="str">
            <v>31/08/2013</v>
          </cell>
          <cell r="AD430" t="str">
            <v>Good</v>
          </cell>
          <cell r="AE430" t="str">
            <v>V1 - Existing / No Claim</v>
          </cell>
          <cell r="AF430" t="str">
            <v>23/8/2016 - 1/12/2022</v>
          </cell>
          <cell r="AG430">
            <v>9.17</v>
          </cell>
          <cell r="AH430" t="str">
            <v>PPM</v>
          </cell>
          <cell r="AI430" t="str">
            <v>Strands</v>
          </cell>
          <cell r="AJ430" t="str">
            <v>Strands (V4 P1.23.)</v>
          </cell>
          <cell r="AK430" t="str">
            <v>[23/8/2023, Sharifah]: V4 P1.23</v>
          </cell>
        </row>
        <row r="431">
          <cell r="A431" t="str">
            <v>IKN400999</v>
          </cell>
          <cell r="B431">
            <v>997</v>
          </cell>
          <cell r="C431" t="str">
            <v>Institut Kanser Negara</v>
          </cell>
          <cell r="D431" t="str">
            <v>N/A</v>
          </cell>
          <cell r="E431" t="str">
            <v>17-679</v>
          </cell>
          <cell r="F431" t="str">
            <v>Laser Imagers</v>
          </cell>
          <cell r="G431" t="str">
            <v>NM</v>
          </cell>
          <cell r="H431" t="str">
            <v>NUCLEAR MED (DIAGNOSTIC)</v>
          </cell>
          <cell r="I431" t="str">
            <v>03NM166</v>
          </cell>
          <cell r="J431" t="str">
            <v>REPORTING</v>
          </cell>
          <cell r="K431" t="str">
            <v>BMED</v>
          </cell>
          <cell r="L431" t="str">
            <v>Normal</v>
          </cell>
          <cell r="M431" t="str">
            <v>USA</v>
          </cell>
          <cell r="N431" t="str">
            <v>DryPix</v>
          </cell>
          <cell r="O431" t="str">
            <v>DryPix Plus</v>
          </cell>
          <cell r="P431" t="str">
            <v>26510103</v>
          </cell>
          <cell r="Q431" t="str">
            <v>Not Applicable</v>
          </cell>
          <cell r="R431" t="str">
            <v>FujiFilm Corp</v>
          </cell>
          <cell r="S431" t="str">
            <v>Advance Altimas Sdn Bhd</v>
          </cell>
          <cell r="T431" t="str">
            <v>Functioning</v>
          </cell>
          <cell r="U431" t="str">
            <v>Asset</v>
          </cell>
          <cell r="V431">
            <v>80000</v>
          </cell>
          <cell r="W431" t="str">
            <v>Estimate</v>
          </cell>
          <cell r="X431" t="str">
            <v>01/09/2010</v>
          </cell>
          <cell r="Y431" t="str">
            <v>KEW</v>
          </cell>
          <cell r="Z431" t="str">
            <v>16/08/2013</v>
          </cell>
          <cell r="AA431" t="str">
            <v>15/08/2015</v>
          </cell>
          <cell r="AB431" t="str">
            <v>No</v>
          </cell>
          <cell r="AC431" t="str">
            <v>31/08/2013</v>
          </cell>
          <cell r="AD431" t="str">
            <v>Good</v>
          </cell>
          <cell r="AE431" t="str">
            <v>V1 - Existing / No Claim</v>
          </cell>
          <cell r="AF431">
            <v>42605</v>
          </cell>
          <cell r="AG431">
            <v>9.17</v>
          </cell>
          <cell r="AH431" t="str">
            <v>PPM</v>
          </cell>
          <cell r="AI431" t="str">
            <v>Strands</v>
          </cell>
          <cell r="AJ431" t="str">
            <v>Strands Package</v>
          </cell>
          <cell r="AK431" t="str">
            <v>Package Code XK0001A</v>
          </cell>
        </row>
        <row r="432">
          <cell r="A432" t="str">
            <v>IKN401006</v>
          </cell>
          <cell r="B432">
            <v>1004</v>
          </cell>
          <cell r="C432" t="str">
            <v>Institut Kanser Negara</v>
          </cell>
          <cell r="D432" t="str">
            <v>KKM/IKN/H/13/3888</v>
          </cell>
          <cell r="E432" t="str">
            <v>15-999</v>
          </cell>
          <cell r="F432" t="str">
            <v>Washers, Flexible Endoscope</v>
          </cell>
          <cell r="G432" t="str">
            <v>MC</v>
          </cell>
          <cell r="H432" t="str">
            <v>MULTI-DISCIPLINE CLINIC</v>
          </cell>
          <cell r="I432" t="str">
            <v>03MC111</v>
          </cell>
          <cell r="J432" t="str">
            <v>SCOPE WASH</v>
          </cell>
          <cell r="K432" t="str">
            <v>BMED</v>
          </cell>
          <cell r="L432" t="str">
            <v>Normal</v>
          </cell>
          <cell r="M432" t="str">
            <v>USA</v>
          </cell>
          <cell r="N432" t="str">
            <v>System</v>
          </cell>
          <cell r="O432" t="str">
            <v>System 1 Express</v>
          </cell>
          <cell r="P432" t="str">
            <v>20215</v>
          </cell>
          <cell r="Q432" t="str">
            <v>Not Applicable</v>
          </cell>
          <cell r="R432" t="str">
            <v>Steris Corp</v>
          </cell>
          <cell r="S432" t="str">
            <v>Maymedic Technology Sdn Bhd</v>
          </cell>
          <cell r="T432" t="str">
            <v>Functioning</v>
          </cell>
          <cell r="U432" t="str">
            <v>Asset</v>
          </cell>
          <cell r="V432">
            <v>168040</v>
          </cell>
          <cell r="W432" t="str">
            <v>KEW</v>
          </cell>
          <cell r="X432" t="str">
            <v>01/09/2010</v>
          </cell>
          <cell r="Y432" t="str">
            <v>KEW</v>
          </cell>
          <cell r="Z432" t="str">
            <v>16/08/2013</v>
          </cell>
          <cell r="AA432" t="str">
            <v>15/08/2015</v>
          </cell>
          <cell r="AB432" t="str">
            <v>No</v>
          </cell>
          <cell r="AC432" t="str">
            <v>31/08/2013</v>
          </cell>
          <cell r="AD432" t="str">
            <v>Good</v>
          </cell>
          <cell r="AE432" t="str">
            <v>V1 - Existing / No Claim</v>
          </cell>
          <cell r="AF432">
            <v>43063</v>
          </cell>
          <cell r="AG432">
            <v>9.17</v>
          </cell>
          <cell r="AH432" t="str">
            <v>PPM</v>
          </cell>
          <cell r="AI432" t="str">
            <v>Strands</v>
          </cell>
          <cell r="AJ432" t="str">
            <v>Strands PW</v>
          </cell>
          <cell r="AK432" t="str">
            <v>SJIJIL PEP  15/8/2024</v>
          </cell>
        </row>
        <row r="433">
          <cell r="A433" t="str">
            <v>IKN401015</v>
          </cell>
          <cell r="B433">
            <v>1013</v>
          </cell>
          <cell r="C433" t="str">
            <v>Institut Kanser Negara</v>
          </cell>
          <cell r="D433" t="str">
            <v>KKM/IKN/H/13/3934-01</v>
          </cell>
          <cell r="E433" t="str">
            <v>17-002</v>
          </cell>
          <cell r="F433" t="str">
            <v>Cameras, Video, Endoscope</v>
          </cell>
          <cell r="G433" t="str">
            <v>OT</v>
          </cell>
          <cell r="H433" t="str">
            <v>OPERATING THEATRE</v>
          </cell>
          <cell r="I433" t="str">
            <v>05OT167</v>
          </cell>
          <cell r="J433" t="str">
            <v>SCOPE WASH</v>
          </cell>
          <cell r="K433" t="str">
            <v>BMED</v>
          </cell>
          <cell r="L433" t="str">
            <v>Normal</v>
          </cell>
          <cell r="M433" t="str">
            <v>Germany</v>
          </cell>
          <cell r="N433" t="str">
            <v>Image 1</v>
          </cell>
          <cell r="O433" t="str">
            <v>Image 1 HUB 22201020</v>
          </cell>
          <cell r="P433" t="str">
            <v>WX698068-P</v>
          </cell>
          <cell r="Q433" t="str">
            <v>Not Applicable</v>
          </cell>
          <cell r="R433" t="str">
            <v>Karl Storz-Endoskope</v>
          </cell>
          <cell r="S433" t="str">
            <v>UMMI Surgical Sdn Bhd</v>
          </cell>
          <cell r="T433" t="str">
            <v>Functioning</v>
          </cell>
          <cell r="U433" t="str">
            <v>Asset</v>
          </cell>
          <cell r="V433">
            <v>60000</v>
          </cell>
          <cell r="W433" t="str">
            <v>Estimate</v>
          </cell>
          <cell r="X433" t="str">
            <v>01/09/2010</v>
          </cell>
          <cell r="Y433" t="str">
            <v>KEW</v>
          </cell>
          <cell r="Z433" t="str">
            <v>16/08/2013</v>
          </cell>
          <cell r="AA433" t="str">
            <v>15/08/2015</v>
          </cell>
          <cell r="AB433" t="str">
            <v>No</v>
          </cell>
          <cell r="AC433" t="str">
            <v>31/08/2013</v>
          </cell>
          <cell r="AD433" t="str">
            <v>Good</v>
          </cell>
          <cell r="AE433" t="str">
            <v>V1 - Existing / No Claim</v>
          </cell>
          <cell r="AF433">
            <v>42605</v>
          </cell>
          <cell r="AG433">
            <v>9.17</v>
          </cell>
          <cell r="AH433" t="str">
            <v>PPM</v>
          </cell>
          <cell r="AI433" t="str">
            <v>Strands</v>
          </cell>
          <cell r="AJ433" t="str">
            <v>Strands Package. Proposed for V4 P2.23</v>
          </cell>
          <cell r="AK433" t="str">
            <v>[Indira] Camera Head (Serial No: ZX807403-H), CAT No: 22220055 (Cable: SNNW808458-H). [18/9/2023, SHARIFAH]: PEP ON 8/8/2023, BER/BEMS/IKN/23/018 - Asset mengalami kerosakan pada camera head. Package Code EP0127</v>
          </cell>
        </row>
        <row r="434">
          <cell r="A434" t="str">
            <v>IKN401087</v>
          </cell>
          <cell r="B434">
            <v>1085</v>
          </cell>
          <cell r="C434" t="str">
            <v>Institut Kanser Negara</v>
          </cell>
          <cell r="D434" t="str">
            <v>KKM/IKN/H/13/4545</v>
          </cell>
          <cell r="E434" t="str">
            <v>12-647</v>
          </cell>
          <cell r="F434" t="str">
            <v>Physiologic Monitoring Systems, Acute Care</v>
          </cell>
          <cell r="G434" t="str">
            <v>AE</v>
          </cell>
          <cell r="H434" t="str">
            <v>EMERGENCY UNIT</v>
          </cell>
          <cell r="I434" t="str">
            <v>01AE108</v>
          </cell>
          <cell r="J434" t="str">
            <v>TRIAGE</v>
          </cell>
          <cell r="K434" t="str">
            <v>BMED</v>
          </cell>
          <cell r="L434" t="str">
            <v>Critical</v>
          </cell>
          <cell r="M434" t="str">
            <v>USA</v>
          </cell>
          <cell r="N434" t="str">
            <v>Propaq</v>
          </cell>
          <cell r="O434" t="str">
            <v>Propaq CS 242</v>
          </cell>
          <cell r="P434" t="str">
            <v>GA117269</v>
          </cell>
          <cell r="Q434" t="str">
            <v>Not Applicable</v>
          </cell>
          <cell r="R434" t="str">
            <v>Welch Allyn Inc</v>
          </cell>
          <cell r="S434" t="str">
            <v>Continental Top Products &amp; Engineering S</v>
          </cell>
          <cell r="T434" t="str">
            <v>Functioning</v>
          </cell>
          <cell r="U434" t="str">
            <v>Asset</v>
          </cell>
          <cell r="V434">
            <v>22000</v>
          </cell>
          <cell r="W434" t="str">
            <v>KEW</v>
          </cell>
          <cell r="X434" t="str">
            <v>23/12/2013</v>
          </cell>
          <cell r="Y434" t="str">
            <v>KEW</v>
          </cell>
          <cell r="Z434" t="str">
            <v>23/12/2013</v>
          </cell>
          <cell r="AA434" t="str">
            <v>22/12/2015</v>
          </cell>
          <cell r="AB434" t="str">
            <v>No</v>
          </cell>
          <cell r="AC434" t="str">
            <v>23/12/2013</v>
          </cell>
          <cell r="AD434" t="str">
            <v>Good</v>
          </cell>
          <cell r="AE434" t="str">
            <v>V3 - Added Installed Facilities (New)</v>
          </cell>
          <cell r="AF434">
            <v>42800</v>
          </cell>
          <cell r="AG434">
            <v>5.92</v>
          </cell>
          <cell r="AH434" t="str">
            <v>PPM</v>
          </cell>
          <cell r="AI434" t="str">
            <v>Strands</v>
          </cell>
          <cell r="AJ434" t="str">
            <v>Strands PW</v>
          </cell>
          <cell r="AK434" t="str">
            <v>SNF received. 1st batch of V3 asset (December 2020). [29/2/2024, SHARIFAH]: PEP ON 28/2/2024, BER/BEMS/IKN/23/010 - Aset mengalami kerosakan pada main board. Penggunaannya hendaklah dihentikan.</v>
          </cell>
        </row>
        <row r="435">
          <cell r="A435" t="str">
            <v>IKN401104</v>
          </cell>
          <cell r="B435">
            <v>1102</v>
          </cell>
          <cell r="C435" t="str">
            <v>Institut Kanser Negara</v>
          </cell>
          <cell r="D435" t="e">
            <v>#N/A</v>
          </cell>
          <cell r="E435" t="str">
            <v>12-282</v>
          </cell>
          <cell r="F435" t="str">
            <v>Lights, Surgical</v>
          </cell>
          <cell r="G435" t="str">
            <v>WE</v>
          </cell>
          <cell r="H435" t="str">
            <v>RT/ONCO WARD 1 (F)</v>
          </cell>
          <cell r="I435" t="str">
            <v>07WE107</v>
          </cell>
          <cell r="J435" t="str">
            <v>TREATMENT / PROCESURE</v>
          </cell>
          <cell r="K435" t="str">
            <v>BMED</v>
          </cell>
          <cell r="L435" t="str">
            <v>Normal</v>
          </cell>
          <cell r="M435" t="str">
            <v>USA</v>
          </cell>
          <cell r="N435" t="str">
            <v>Welch Allyn</v>
          </cell>
          <cell r="O435" t="str">
            <v>Welch Allyn GS900</v>
          </cell>
          <cell r="P435" t="str">
            <v>10032911105652</v>
          </cell>
          <cell r="Q435" t="str">
            <v>Not Applicable</v>
          </cell>
          <cell r="R435" t="str">
            <v>Welch Allyn Inc</v>
          </cell>
          <cell r="S435" t="str">
            <v>Welch Allyn Malaysia Sdn Bhd</v>
          </cell>
          <cell r="T435" t="str">
            <v>Functioning</v>
          </cell>
          <cell r="U435" t="str">
            <v>Asset</v>
          </cell>
          <cell r="V435">
            <v>10585</v>
          </cell>
          <cell r="W435" t="str">
            <v>KEW</v>
          </cell>
          <cell r="X435" t="str">
            <v>01/09/2010</v>
          </cell>
          <cell r="Y435" t="str">
            <v>KEW</v>
          </cell>
          <cell r="Z435" t="str">
            <v>16/08/2013</v>
          </cell>
          <cell r="AA435" t="str">
            <v>15/08/2015</v>
          </cell>
          <cell r="AB435" t="str">
            <v>No</v>
          </cell>
          <cell r="AC435" t="str">
            <v>31/08/2013</v>
          </cell>
          <cell r="AD435" t="str">
            <v>Good</v>
          </cell>
          <cell r="AE435" t="str">
            <v>V1 - Existing / No Claim</v>
          </cell>
          <cell r="AF435">
            <v>42235</v>
          </cell>
          <cell r="AG435">
            <v>9.17</v>
          </cell>
          <cell r="AH435" t="str">
            <v>PPM</v>
          </cell>
          <cell r="AI435" t="str">
            <v>Not in contract</v>
          </cell>
        </row>
        <row r="436">
          <cell r="A436" t="str">
            <v>IKN401116</v>
          </cell>
          <cell r="B436">
            <v>1114</v>
          </cell>
          <cell r="C436" t="str">
            <v>Institut Kanser Negara</v>
          </cell>
          <cell r="D436" t="str">
            <v>KKM/IKN/H/13/2128</v>
          </cell>
          <cell r="E436" t="str">
            <v>16-320</v>
          </cell>
          <cell r="F436" t="str">
            <v>Incinerators, Pathology</v>
          </cell>
          <cell r="G436" t="str">
            <v>LA</v>
          </cell>
          <cell r="H436" t="str">
            <v>PATHOLOGY</v>
          </cell>
          <cell r="I436" t="str">
            <v>04LA126</v>
          </cell>
          <cell r="J436" t="str">
            <v>MICROBIOLOGY UNIT</v>
          </cell>
          <cell r="K436" t="str">
            <v>BMED</v>
          </cell>
          <cell r="L436" t="str">
            <v>Normal</v>
          </cell>
          <cell r="M436" t="str">
            <v>USA</v>
          </cell>
          <cell r="N436" t="str">
            <v>Bacticinerator</v>
          </cell>
          <cell r="O436" t="str">
            <v>Bacticinerator IV</v>
          </cell>
          <cell r="P436" t="str">
            <v>03130006-5</v>
          </cell>
          <cell r="Q436" t="str">
            <v>Not Applicable</v>
          </cell>
          <cell r="R436" t="str">
            <v>Thermo Fisher Scientific Ltd</v>
          </cell>
          <cell r="S436" t="str">
            <v>Bumi Sains Sdn. Bhd.</v>
          </cell>
          <cell r="T436" t="str">
            <v>Functioning</v>
          </cell>
          <cell r="U436" t="str">
            <v>Asset</v>
          </cell>
          <cell r="V436">
            <v>3000</v>
          </cell>
          <cell r="W436" t="str">
            <v>KEW</v>
          </cell>
          <cell r="X436" t="str">
            <v>01/09/2010</v>
          </cell>
          <cell r="Y436" t="str">
            <v>KEW</v>
          </cell>
          <cell r="Z436" t="str">
            <v>16/08/2013</v>
          </cell>
          <cell r="AA436" t="str">
            <v>15/08/2015</v>
          </cell>
          <cell r="AB436" t="str">
            <v>No</v>
          </cell>
          <cell r="AC436" t="str">
            <v>31/08/2013</v>
          </cell>
          <cell r="AD436" t="str">
            <v>Good</v>
          </cell>
          <cell r="AE436" t="str">
            <v>V4 - Decommissioned Installed Facility</v>
          </cell>
          <cell r="AF436">
            <v>42790</v>
          </cell>
          <cell r="AG436">
            <v>9.17</v>
          </cell>
          <cell r="AH436" t="str">
            <v>PPM</v>
          </cell>
          <cell r="AI436" t="str">
            <v>Not in contract</v>
          </cell>
          <cell r="AJ436" t="str">
            <v>Not in contract</v>
          </cell>
          <cell r="AK436" t="str">
            <v>[22/9/2023, SHARIFAH]: PEP ON FEB 2021, BER/BEMS/AWSB/20/009 - Asset masih berfungsi namun asset tidak ekonomik diperbaiki lagi sekiranya rosak.</v>
          </cell>
        </row>
        <row r="437">
          <cell r="A437" t="str">
            <v>IKN401117</v>
          </cell>
          <cell r="B437">
            <v>1115</v>
          </cell>
          <cell r="C437" t="str">
            <v>Institut Kanser Negara</v>
          </cell>
          <cell r="D437" t="str">
            <v>KKM/IKN/H/13/2130</v>
          </cell>
          <cell r="E437" t="str">
            <v>16-320</v>
          </cell>
          <cell r="F437" t="str">
            <v>Incinerators, Pathology</v>
          </cell>
          <cell r="G437" t="str">
            <v>LA</v>
          </cell>
          <cell r="H437" t="str">
            <v>PATHOLOGY</v>
          </cell>
          <cell r="I437" t="str">
            <v>04LA126</v>
          </cell>
          <cell r="J437" t="str">
            <v>MICROBIOLOGY UNIT</v>
          </cell>
          <cell r="K437" t="str">
            <v>BMED</v>
          </cell>
          <cell r="L437" t="str">
            <v>Normal</v>
          </cell>
          <cell r="M437" t="str">
            <v>USA</v>
          </cell>
          <cell r="N437" t="str">
            <v>Bacticinerator</v>
          </cell>
          <cell r="O437" t="str">
            <v>Bacticinerator IV</v>
          </cell>
          <cell r="P437" t="str">
            <v>03130003-5</v>
          </cell>
          <cell r="Q437" t="str">
            <v>Not Applicable</v>
          </cell>
          <cell r="R437" t="str">
            <v>Thermo Fisher Scientific Ltd</v>
          </cell>
          <cell r="S437" t="str">
            <v>Bumi Sains Sdn. Bhd.</v>
          </cell>
          <cell r="T437" t="str">
            <v>Functioning</v>
          </cell>
          <cell r="U437" t="str">
            <v>Asset</v>
          </cell>
          <cell r="V437">
            <v>3000</v>
          </cell>
          <cell r="W437" t="str">
            <v>KEW</v>
          </cell>
          <cell r="X437" t="str">
            <v>01/09/2010</v>
          </cell>
          <cell r="Y437" t="str">
            <v>KEW</v>
          </cell>
          <cell r="Z437" t="str">
            <v>16/08/2013</v>
          </cell>
          <cell r="AA437" t="str">
            <v>15/08/2015</v>
          </cell>
          <cell r="AB437" t="str">
            <v>No</v>
          </cell>
          <cell r="AC437" t="str">
            <v>31/08/2013</v>
          </cell>
          <cell r="AD437" t="str">
            <v>Good</v>
          </cell>
          <cell r="AE437" t="str">
            <v>V4 - Decommissioned Installed Facility</v>
          </cell>
          <cell r="AF437">
            <v>42235</v>
          </cell>
          <cell r="AG437">
            <v>9.17</v>
          </cell>
          <cell r="AH437" t="str">
            <v>PPM</v>
          </cell>
          <cell r="AI437" t="str">
            <v>Not in contract</v>
          </cell>
          <cell r="AJ437" t="str">
            <v>Not in contract</v>
          </cell>
          <cell r="AK437" t="str">
            <v>[22/9/2023, SHARIFAH]: PEP ON FEB 2021, BER/BEMS/AWSB/20/010 - Asset masih berfungsi namun asset tidak ekonomik diperbaiki lagi sekiranya rosak.</v>
          </cell>
        </row>
        <row r="438">
          <cell r="A438" t="str">
            <v>IKN401118</v>
          </cell>
          <cell r="B438">
            <v>1116</v>
          </cell>
          <cell r="C438" t="str">
            <v>Institut Kanser Negara</v>
          </cell>
          <cell r="D438" t="str">
            <v>KKM/IKN/H/13/2131</v>
          </cell>
          <cell r="E438" t="str">
            <v>16-320</v>
          </cell>
          <cell r="F438" t="str">
            <v>Incinerators, Pathology</v>
          </cell>
          <cell r="G438" t="str">
            <v>LA</v>
          </cell>
          <cell r="H438" t="str">
            <v>PATHOLOGY</v>
          </cell>
          <cell r="I438" t="str">
            <v>04LA126</v>
          </cell>
          <cell r="J438" t="str">
            <v>MICROBIOLOGY UNIT</v>
          </cell>
          <cell r="K438" t="str">
            <v>BMED</v>
          </cell>
          <cell r="L438" t="str">
            <v>Normal</v>
          </cell>
          <cell r="M438" t="str">
            <v>USA</v>
          </cell>
          <cell r="N438" t="str">
            <v>Bacticinerator</v>
          </cell>
          <cell r="O438" t="str">
            <v>Bacticinerator IV</v>
          </cell>
          <cell r="P438" t="str">
            <v>03130004-5</v>
          </cell>
          <cell r="Q438" t="str">
            <v>Not Applicable</v>
          </cell>
          <cell r="R438" t="str">
            <v>Thermo Fisher Scientific Ltd</v>
          </cell>
          <cell r="S438" t="str">
            <v>Bumi Sains Sdn. Bhd.</v>
          </cell>
          <cell r="T438" t="str">
            <v>Not Functioning</v>
          </cell>
          <cell r="U438" t="str">
            <v>Asset</v>
          </cell>
          <cell r="V438">
            <v>3000</v>
          </cell>
          <cell r="W438" t="str">
            <v>KEW</v>
          </cell>
          <cell r="X438" t="str">
            <v>01/09/2010</v>
          </cell>
          <cell r="Y438" t="str">
            <v>KEW</v>
          </cell>
          <cell r="Z438" t="str">
            <v>16/08/2013</v>
          </cell>
          <cell r="AA438" t="str">
            <v>15/08/2015</v>
          </cell>
          <cell r="AB438" t="str">
            <v>No</v>
          </cell>
          <cell r="AC438" t="str">
            <v>31/08/2013</v>
          </cell>
          <cell r="AD438" t="str">
            <v>Good</v>
          </cell>
          <cell r="AE438" t="str">
            <v>V4 - Decommissioned Installed Facility</v>
          </cell>
          <cell r="AF438">
            <v>42235</v>
          </cell>
          <cell r="AG438">
            <v>9.17</v>
          </cell>
          <cell r="AH438" t="str">
            <v>PPM</v>
          </cell>
          <cell r="AI438" t="str">
            <v>Not in contract</v>
          </cell>
          <cell r="AJ438" t="str">
            <v>Not in contract</v>
          </cell>
          <cell r="AK438" t="str">
            <v>[22/9/2023, SHARIFAH]: PEP ON FEB 2021, BER/BEMS/AWSB/20/011 - Asset mengalami kerosakan pada Heater Element.</v>
          </cell>
        </row>
        <row r="439">
          <cell r="A439" t="str">
            <v>IKN401119</v>
          </cell>
          <cell r="B439">
            <v>1117</v>
          </cell>
          <cell r="C439" t="str">
            <v>Institut Kanser Negara</v>
          </cell>
          <cell r="D439" t="str">
            <v>KKM/IKN/H/13/2132</v>
          </cell>
          <cell r="E439" t="str">
            <v>16-320</v>
          </cell>
          <cell r="F439" t="str">
            <v>Incinerators, Pathology</v>
          </cell>
          <cell r="G439" t="str">
            <v>LA</v>
          </cell>
          <cell r="H439" t="str">
            <v>PATHOLOGY</v>
          </cell>
          <cell r="I439" t="str">
            <v>04LA127</v>
          </cell>
          <cell r="J439" t="str">
            <v>INNOCULATION/STAINING</v>
          </cell>
          <cell r="K439" t="str">
            <v>BMED</v>
          </cell>
          <cell r="L439" t="str">
            <v>Normal</v>
          </cell>
          <cell r="M439" t="str">
            <v>USA</v>
          </cell>
          <cell r="N439" t="str">
            <v>Bacticinerator</v>
          </cell>
          <cell r="O439" t="str">
            <v>Bacticinerator IV</v>
          </cell>
          <cell r="P439" t="str">
            <v>03130005-5</v>
          </cell>
          <cell r="Q439" t="str">
            <v>Not Applicable</v>
          </cell>
          <cell r="R439" t="str">
            <v>Thermo Fisher Scientific Ltd</v>
          </cell>
          <cell r="S439" t="str">
            <v>Bumi Sains Sdn. Bhd.</v>
          </cell>
          <cell r="T439" t="str">
            <v>Functioning</v>
          </cell>
          <cell r="U439" t="str">
            <v>Asset</v>
          </cell>
          <cell r="V439">
            <v>3000</v>
          </cell>
          <cell r="W439" t="str">
            <v>KEW</v>
          </cell>
          <cell r="X439" t="str">
            <v>01/09/2010</v>
          </cell>
          <cell r="Y439" t="str">
            <v>KEW</v>
          </cell>
          <cell r="Z439" t="str">
            <v>16/08/2013</v>
          </cell>
          <cell r="AA439" t="str">
            <v>15/08/2015</v>
          </cell>
          <cell r="AB439" t="str">
            <v>No</v>
          </cell>
          <cell r="AC439" t="str">
            <v>31/08/2013</v>
          </cell>
          <cell r="AD439" t="str">
            <v>Good</v>
          </cell>
          <cell r="AE439" t="str">
            <v>V4 - Decommissioned Installed Facility</v>
          </cell>
          <cell r="AF439">
            <v>42235</v>
          </cell>
          <cell r="AG439">
            <v>9.17</v>
          </cell>
          <cell r="AH439" t="str">
            <v>PPM</v>
          </cell>
          <cell r="AI439" t="str">
            <v>Not in contract</v>
          </cell>
          <cell r="AJ439" t="str">
            <v>Not in contract</v>
          </cell>
          <cell r="AK439" t="str">
            <v>[22/9/2023, SHARIFAH]: PEP ON FEB 2021, BER/BEMS/AWSB/20/012 - Asset masih berfungsi namun asset tidak ekonomik diperbaiki lagi sekiranya rosak.</v>
          </cell>
        </row>
        <row r="440">
          <cell r="A440" t="str">
            <v>IKN401120</v>
          </cell>
          <cell r="B440">
            <v>1118</v>
          </cell>
          <cell r="C440" t="str">
            <v>Institut Kanser Negara</v>
          </cell>
          <cell r="D440" t="str">
            <v>KKM/IKN/H/13/2129</v>
          </cell>
          <cell r="E440" t="str">
            <v>16-320</v>
          </cell>
          <cell r="F440" t="str">
            <v>Incinerators, Pathology</v>
          </cell>
          <cell r="G440" t="str">
            <v>LA</v>
          </cell>
          <cell r="H440" t="str">
            <v>PATHOLOGY</v>
          </cell>
          <cell r="I440" t="str">
            <v>04LA126</v>
          </cell>
          <cell r="J440" t="str">
            <v>MICROBIOLOGY UNIT</v>
          </cell>
          <cell r="K440" t="str">
            <v>BMED</v>
          </cell>
          <cell r="L440" t="str">
            <v>Normal</v>
          </cell>
          <cell r="M440" t="str">
            <v>USA</v>
          </cell>
          <cell r="N440" t="str">
            <v>Bacticinerator</v>
          </cell>
          <cell r="O440" t="str">
            <v>Bacticinerator IV</v>
          </cell>
          <cell r="P440" t="str">
            <v>03130001-5</v>
          </cell>
          <cell r="Q440" t="str">
            <v>Not Applicable</v>
          </cell>
          <cell r="R440" t="str">
            <v>Thermo Fisher Scientific Ltd</v>
          </cell>
          <cell r="S440" t="str">
            <v>Bumi Sains Sdn. Bhd.</v>
          </cell>
          <cell r="T440" t="str">
            <v>Functioning</v>
          </cell>
          <cell r="U440" t="str">
            <v>Asset</v>
          </cell>
          <cell r="V440">
            <v>3000</v>
          </cell>
          <cell r="W440" t="str">
            <v>KEW</v>
          </cell>
          <cell r="X440" t="str">
            <v>01/09/2010</v>
          </cell>
          <cell r="Y440" t="str">
            <v>KEW</v>
          </cell>
          <cell r="Z440" t="str">
            <v>16/08/2013</v>
          </cell>
          <cell r="AA440" t="str">
            <v>15/08/2015</v>
          </cell>
          <cell r="AB440" t="str">
            <v>No</v>
          </cell>
          <cell r="AC440" t="str">
            <v>31/08/2013</v>
          </cell>
          <cell r="AD440" t="str">
            <v>Good</v>
          </cell>
          <cell r="AE440" t="str">
            <v>V4 - Decommissioned Installed Facility</v>
          </cell>
          <cell r="AF440">
            <v>42790</v>
          </cell>
          <cell r="AG440">
            <v>9.17</v>
          </cell>
          <cell r="AH440" t="str">
            <v>PPM</v>
          </cell>
          <cell r="AI440" t="str">
            <v>Not in contract</v>
          </cell>
          <cell r="AJ440" t="str">
            <v>Not in contract</v>
          </cell>
          <cell r="AK440" t="str">
            <v>[22/9/2023, SHARIFAH]: PEP ON FEB 2021, BER/BEMS/AWSB/20/013 - Asset mengalami kerosakan pada Heater Element.</v>
          </cell>
        </row>
        <row r="441">
          <cell r="A441" t="str">
            <v>IKN401121</v>
          </cell>
          <cell r="B441">
            <v>1119</v>
          </cell>
          <cell r="C441" t="str">
            <v>Institut Kanser Negara</v>
          </cell>
          <cell r="D441" t="str">
            <v>KKM/IKN/H/13/2127</v>
          </cell>
          <cell r="E441" t="str">
            <v>16-320</v>
          </cell>
          <cell r="F441" t="str">
            <v>Incinerators, Pathology</v>
          </cell>
          <cell r="G441" t="str">
            <v>LA</v>
          </cell>
          <cell r="H441" t="str">
            <v>PATHOLOGY</v>
          </cell>
          <cell r="I441" t="str">
            <v>04LA126</v>
          </cell>
          <cell r="J441" t="str">
            <v>MICROBIOLOGY UNIT</v>
          </cell>
          <cell r="K441" t="str">
            <v>BMED</v>
          </cell>
          <cell r="L441" t="str">
            <v>Normal</v>
          </cell>
          <cell r="M441" t="str">
            <v>USA</v>
          </cell>
          <cell r="N441" t="str">
            <v>Bacticinerator</v>
          </cell>
          <cell r="O441" t="str">
            <v>Bacticinerator IV</v>
          </cell>
          <cell r="P441" t="str">
            <v>03130002-5</v>
          </cell>
          <cell r="Q441" t="str">
            <v>Not Applicable</v>
          </cell>
          <cell r="R441" t="str">
            <v>Thermo Fisher Scientific Ltd</v>
          </cell>
          <cell r="S441" t="str">
            <v>Bumi Sains Sdn. Bhd.</v>
          </cell>
          <cell r="T441" t="str">
            <v>Functioning</v>
          </cell>
          <cell r="U441" t="str">
            <v>Asset</v>
          </cell>
          <cell r="V441">
            <v>3000</v>
          </cell>
          <cell r="W441" t="str">
            <v>KEW</v>
          </cell>
          <cell r="X441" t="str">
            <v>01/09/2010</v>
          </cell>
          <cell r="Y441" t="str">
            <v>KEW</v>
          </cell>
          <cell r="Z441" t="str">
            <v>16/08/2013</v>
          </cell>
          <cell r="AA441" t="str">
            <v>15/08/2015</v>
          </cell>
          <cell r="AB441" t="str">
            <v>No</v>
          </cell>
          <cell r="AC441" t="str">
            <v>31/08/2013</v>
          </cell>
          <cell r="AD441" t="str">
            <v>Good</v>
          </cell>
          <cell r="AE441" t="str">
            <v>V4 - Decommissioned Installed Facility</v>
          </cell>
          <cell r="AF441">
            <v>42790</v>
          </cell>
          <cell r="AG441">
            <v>9.17</v>
          </cell>
          <cell r="AH441" t="str">
            <v>PPM</v>
          </cell>
          <cell r="AI441" t="str">
            <v>Not in contract</v>
          </cell>
          <cell r="AJ441" t="str">
            <v>Not in contract</v>
          </cell>
          <cell r="AK441" t="str">
            <v>[22/9/2023, SHARIFAH]: PEP ON FEB 2021, BER/BEMS/AWSB/20/014 - Asset mengalami kerosakan pada Heater Element.</v>
          </cell>
        </row>
        <row r="442">
          <cell r="A442" t="str">
            <v>IKN401163</v>
          </cell>
          <cell r="B442">
            <v>1161</v>
          </cell>
          <cell r="C442" t="str">
            <v>Institut Kanser Negara</v>
          </cell>
          <cell r="D442" t="str">
            <v>KKM/IKN/H/13/2314</v>
          </cell>
          <cell r="E442" t="str">
            <v>11-295</v>
          </cell>
          <cell r="F442" t="str">
            <v>Dosimeters, Radiation</v>
          </cell>
          <cell r="G442" t="str">
            <v>ID</v>
          </cell>
          <cell r="H442" t="str">
            <v>IMAGING DEPARTMENT</v>
          </cell>
          <cell r="I442" t="str">
            <v>03ID169</v>
          </cell>
          <cell r="J442" t="str">
            <v>RADIOGRAPHER</v>
          </cell>
          <cell r="K442" t="str">
            <v>BMED</v>
          </cell>
          <cell r="L442" t="str">
            <v>Normal</v>
          </cell>
          <cell r="M442" t="str">
            <v>Germany</v>
          </cell>
          <cell r="N442" t="str">
            <v>Thermo Fisher</v>
          </cell>
          <cell r="O442" t="str">
            <v>EPD MK2.5</v>
          </cell>
          <cell r="P442" t="str">
            <v>00289471</v>
          </cell>
          <cell r="Q442" t="str">
            <v>Not Applicable</v>
          </cell>
          <cell r="R442" t="str">
            <v>Thermo Fisher Scientific</v>
          </cell>
          <cell r="S442" t="str">
            <v>Delta Advantech (M) Sdn Bhd</v>
          </cell>
          <cell r="T442" t="str">
            <v>Disposed</v>
          </cell>
          <cell r="U442" t="str">
            <v>Asset</v>
          </cell>
          <cell r="V442">
            <v>4370</v>
          </cell>
          <cell r="W442" t="str">
            <v>KEW</v>
          </cell>
          <cell r="X442" t="str">
            <v>01/09/2010</v>
          </cell>
          <cell r="Y442" t="str">
            <v>KEW</v>
          </cell>
          <cell r="Z442" t="str">
            <v>16/08/2013</v>
          </cell>
          <cell r="AA442" t="str">
            <v>15/08/2015</v>
          </cell>
          <cell r="AB442" t="str">
            <v>No</v>
          </cell>
          <cell r="AC442" t="str">
            <v>31/08/2013</v>
          </cell>
          <cell r="AD442" t="str">
            <v>Good</v>
          </cell>
          <cell r="AE442" t="str">
            <v>V1 - Existing / No Claim</v>
          </cell>
          <cell r="AF442" t="str">
            <v>19/8/2015 - 17/4/2024</v>
          </cell>
          <cell r="AG442">
            <v>9.17</v>
          </cell>
          <cell r="AH442" t="str">
            <v>PPM</v>
          </cell>
          <cell r="AI442" t="str">
            <v>Strands</v>
          </cell>
          <cell r="AJ442" t="str">
            <v>Strands PW. Proposed V4 P1.24.</v>
          </cell>
          <cell r="AK442" t="str">
            <v>[2/4/2024]: BER2 received on 22/5/2023. No need PEP.</v>
          </cell>
        </row>
        <row r="443">
          <cell r="A443" t="str">
            <v>IKN401193</v>
          </cell>
          <cell r="B443">
            <v>1191</v>
          </cell>
          <cell r="C443" t="str">
            <v>Institut Kanser Negara</v>
          </cell>
          <cell r="D443" t="str">
            <v>KKM/IKN/H/13/4005</v>
          </cell>
          <cell r="E443" t="str">
            <v>11-295</v>
          </cell>
          <cell r="F443" t="str">
            <v>Dosimeters, Radiation</v>
          </cell>
          <cell r="G443" t="str">
            <v>NM</v>
          </cell>
          <cell r="H443" t="str">
            <v>NUCLEAR MED (DIAGNOSTIC)</v>
          </cell>
          <cell r="I443" t="str">
            <v>03NM170</v>
          </cell>
          <cell r="J443" t="str">
            <v>CHIEF PHYSICIST</v>
          </cell>
          <cell r="K443" t="str">
            <v>BMED</v>
          </cell>
          <cell r="L443" t="str">
            <v>Normal</v>
          </cell>
          <cell r="M443" t="str">
            <v>Germany</v>
          </cell>
          <cell r="N443" t="str">
            <v>Thermo Fisher</v>
          </cell>
          <cell r="O443" t="str">
            <v>EPD MK2.5</v>
          </cell>
          <cell r="P443" t="str">
            <v>00289472</v>
          </cell>
          <cell r="Q443" t="str">
            <v>Not Applicable</v>
          </cell>
          <cell r="R443" t="str">
            <v>Thermo Fisher Scientific</v>
          </cell>
          <cell r="S443" t="str">
            <v>Delta Advantech (M) Sdn Bhd</v>
          </cell>
          <cell r="T443" t="str">
            <v>Disposed</v>
          </cell>
          <cell r="U443" t="str">
            <v>Asset</v>
          </cell>
          <cell r="V443">
            <v>4370</v>
          </cell>
          <cell r="W443" t="str">
            <v>KEW</v>
          </cell>
          <cell r="X443" t="str">
            <v>01/09/2010</v>
          </cell>
          <cell r="Y443" t="str">
            <v>KEW</v>
          </cell>
          <cell r="Z443" t="str">
            <v>16/08/2013</v>
          </cell>
          <cell r="AA443" t="str">
            <v>15/08/2015</v>
          </cell>
          <cell r="AB443" t="str">
            <v>No</v>
          </cell>
          <cell r="AC443" t="str">
            <v>31/08/2013</v>
          </cell>
          <cell r="AD443" t="str">
            <v>Good</v>
          </cell>
          <cell r="AE443" t="str">
            <v>V1 - Existing / No Claim</v>
          </cell>
          <cell r="AF443" t="str">
            <v>19/8/2015 - 17/4/2024</v>
          </cell>
          <cell r="AG443">
            <v>9.17</v>
          </cell>
          <cell r="AH443" t="str">
            <v>PPM</v>
          </cell>
          <cell r="AI443" t="str">
            <v>Strands</v>
          </cell>
          <cell r="AJ443" t="str">
            <v>Strands PW. Proposed V4 P1.24.</v>
          </cell>
          <cell r="AK443" t="str">
            <v>[ZARINA]: PEP ON 1/3/2023, BER/BEMS/IKN/23/002 - Aset mengalami kerosakan besar iaitu unit tidak berfungsi.</v>
          </cell>
        </row>
        <row r="444">
          <cell r="A444" t="str">
            <v>IKN401216</v>
          </cell>
          <cell r="B444">
            <v>1214</v>
          </cell>
          <cell r="C444" t="str">
            <v>Institut Kanser Negara</v>
          </cell>
          <cell r="D444" t="e">
            <v>#N/A</v>
          </cell>
          <cell r="E444" t="str">
            <v>14-032</v>
          </cell>
          <cell r="F444" t="str">
            <v>Thermometers, Electronic</v>
          </cell>
          <cell r="G444" t="str">
            <v>RT</v>
          </cell>
          <cell r="H444" t="str">
            <v>RADIATION TREATMENT UNIT</v>
          </cell>
          <cell r="I444" t="str">
            <v>01RT213</v>
          </cell>
          <cell r="J444" t="str">
            <v>EQUIPMENT ROOM1</v>
          </cell>
          <cell r="K444" t="str">
            <v>BMED</v>
          </cell>
          <cell r="L444" t="str">
            <v>Normal</v>
          </cell>
          <cell r="M444" t="str">
            <v>Romania</v>
          </cell>
          <cell r="N444" t="str">
            <v>Hanna</v>
          </cell>
          <cell r="O444" t="str">
            <v>HI151-00 CheckTemp 4</v>
          </cell>
          <cell r="P444" t="str">
            <v>473340</v>
          </cell>
          <cell r="Q444" t="str">
            <v>Not Applicable</v>
          </cell>
          <cell r="R444" t="str">
            <v>Hanna Instruments</v>
          </cell>
          <cell r="S444" t="str">
            <v>Delta Advantech (M) Sdn Bhd</v>
          </cell>
          <cell r="T444" t="str">
            <v>Functioning</v>
          </cell>
          <cell r="U444" t="str">
            <v>Asset</v>
          </cell>
          <cell r="V444">
            <v>450</v>
          </cell>
          <cell r="W444" t="str">
            <v>KEW</v>
          </cell>
          <cell r="X444" t="str">
            <v>01/09/2010</v>
          </cell>
          <cell r="Y444" t="str">
            <v>KEW</v>
          </cell>
          <cell r="Z444" t="str">
            <v>16/08/2013</v>
          </cell>
          <cell r="AA444" t="str">
            <v>15/08/2015</v>
          </cell>
          <cell r="AB444" t="str">
            <v>No</v>
          </cell>
          <cell r="AC444" t="str">
            <v>31/08/2013</v>
          </cell>
          <cell r="AD444" t="str">
            <v>Good</v>
          </cell>
          <cell r="AE444" t="str">
            <v>V1 - Existing / No Claim</v>
          </cell>
          <cell r="AF444">
            <v>42235</v>
          </cell>
          <cell r="AG444">
            <v>9.17</v>
          </cell>
          <cell r="AH444" t="str">
            <v>RI</v>
          </cell>
          <cell r="AI444" t="str">
            <v>Not in contract</v>
          </cell>
          <cell r="AK444" t="str">
            <v>[22/8/2024, Sharifah]: User say do not have to calibrate.</v>
          </cell>
        </row>
        <row r="445">
          <cell r="A445" t="str">
            <v>IKN401219</v>
          </cell>
          <cell r="B445">
            <v>1217</v>
          </cell>
          <cell r="C445" t="str">
            <v>Institut Kanser Negara</v>
          </cell>
          <cell r="D445" t="str">
            <v>KKM/IKN/H/13/4006</v>
          </cell>
          <cell r="E445" t="str">
            <v>11-295</v>
          </cell>
          <cell r="F445" t="str">
            <v>Dosimeters, Radiation</v>
          </cell>
          <cell r="G445" t="str">
            <v>NM</v>
          </cell>
          <cell r="H445" t="str">
            <v>NUCLEAR MED (DIAGNOSTIC)</v>
          </cell>
          <cell r="I445" t="str">
            <v>03NM106</v>
          </cell>
          <cell r="J445" t="str">
            <v>OFFICE/RECORDS</v>
          </cell>
          <cell r="K445" t="str">
            <v>BMED</v>
          </cell>
          <cell r="L445" t="str">
            <v>Normal</v>
          </cell>
          <cell r="M445" t="str">
            <v>Germany</v>
          </cell>
          <cell r="N445" t="str">
            <v>Thermo Fisher</v>
          </cell>
          <cell r="O445" t="str">
            <v>EPD MK2.5</v>
          </cell>
          <cell r="P445" t="str">
            <v>00289460</v>
          </cell>
          <cell r="Q445" t="str">
            <v>Not Applicable</v>
          </cell>
          <cell r="R445" t="str">
            <v>Thermo Fisher Scientific</v>
          </cell>
          <cell r="S445" t="str">
            <v>Delta Advantech (M) Sdn Bhd</v>
          </cell>
          <cell r="T445" t="str">
            <v>Disposed</v>
          </cell>
          <cell r="U445" t="str">
            <v>Asset</v>
          </cell>
          <cell r="V445">
            <v>4370</v>
          </cell>
          <cell r="W445" t="str">
            <v>KEW</v>
          </cell>
          <cell r="X445" t="str">
            <v>01/09/2010</v>
          </cell>
          <cell r="Y445" t="str">
            <v>KEW</v>
          </cell>
          <cell r="Z445" t="str">
            <v>16/08/2013</v>
          </cell>
          <cell r="AA445" t="str">
            <v>15/08/2015</v>
          </cell>
          <cell r="AB445" t="str">
            <v>No</v>
          </cell>
          <cell r="AC445" t="str">
            <v>31/08/2013</v>
          </cell>
          <cell r="AD445" t="str">
            <v>Good</v>
          </cell>
          <cell r="AE445" t="str">
            <v>V1 - Existing / No Claim</v>
          </cell>
          <cell r="AF445" t="str">
            <v>19/8/2015 - 17/4/2024</v>
          </cell>
          <cell r="AG445">
            <v>9.17</v>
          </cell>
          <cell r="AH445" t="str">
            <v>PPM</v>
          </cell>
          <cell r="AI445" t="str">
            <v>Strands</v>
          </cell>
          <cell r="AJ445" t="str">
            <v>Strands PW. Proposed V4 P1.24.</v>
          </cell>
          <cell r="AK445" t="str">
            <v>[ZARINA]: PEP ON 1/3/2023, BER/BEMS/IKN/23/003 - Aset mengalami kerosakan pada paparan unit.</v>
          </cell>
        </row>
        <row r="446">
          <cell r="A446" t="str">
            <v>IKN401241</v>
          </cell>
          <cell r="B446">
            <v>1239</v>
          </cell>
          <cell r="C446" t="str">
            <v>Institut Kanser Negara</v>
          </cell>
          <cell r="E446" t="str">
            <v>16-158</v>
          </cell>
          <cell r="F446" t="str">
            <v>Sphygmomanometers, Mercury</v>
          </cell>
          <cell r="G446" t="str">
            <v>MC</v>
          </cell>
          <cell r="H446" t="str">
            <v>MULTI-DISCIPLINE CLINIC</v>
          </cell>
          <cell r="I446" t="str">
            <v>03MC107</v>
          </cell>
          <cell r="J446" t="str">
            <v>TREATMENT 1</v>
          </cell>
          <cell r="K446" t="str">
            <v>BMED</v>
          </cell>
          <cell r="L446" t="str">
            <v>Normal</v>
          </cell>
          <cell r="M446" t="str">
            <v>Germany</v>
          </cell>
          <cell r="N446" t="str">
            <v>Erka</v>
          </cell>
          <cell r="O446" t="str">
            <v>Erkameter 3000</v>
          </cell>
          <cell r="P446" t="str">
            <v>12508918</v>
          </cell>
          <cell r="Q446" t="str">
            <v>Not Applicable</v>
          </cell>
          <cell r="R446" t="str">
            <v>Erka GmbH &amp; Co</v>
          </cell>
          <cell r="S446" t="str">
            <v>Acucare Systems (M) Sdn bhd</v>
          </cell>
          <cell r="T446" t="str">
            <v>Functioning</v>
          </cell>
          <cell r="U446" t="str">
            <v>Asset</v>
          </cell>
          <cell r="V446">
            <v>505</v>
          </cell>
          <cell r="W446" t="str">
            <v>KEW</v>
          </cell>
          <cell r="X446" t="str">
            <v>01/09/2010</v>
          </cell>
          <cell r="Y446" t="str">
            <v>KEW</v>
          </cell>
          <cell r="Z446" t="str">
            <v>16/08/2013</v>
          </cell>
          <cell r="AA446" t="str">
            <v>15/08/2015</v>
          </cell>
          <cell r="AB446" t="str">
            <v>No</v>
          </cell>
          <cell r="AC446" t="str">
            <v>31/08/2013</v>
          </cell>
          <cell r="AD446" t="str">
            <v>Good</v>
          </cell>
          <cell r="AE446" t="str">
            <v>V4 - Decommissioned Installed Facility</v>
          </cell>
          <cell r="AF446">
            <v>42235</v>
          </cell>
          <cell r="AG446">
            <v>9.17</v>
          </cell>
          <cell r="AH446" t="str">
            <v>PPM</v>
          </cell>
          <cell r="AI446" t="str">
            <v>Not in contract</v>
          </cell>
          <cell r="AJ446" t="str">
            <v>Not under maintenance</v>
          </cell>
          <cell r="AK446" t="e">
            <v>#N/A</v>
          </cell>
        </row>
        <row r="447">
          <cell r="A447" t="str">
            <v>IKN401242</v>
          </cell>
          <cell r="B447">
            <v>1240</v>
          </cell>
          <cell r="C447" t="str">
            <v>Institut Kanser Negara</v>
          </cell>
          <cell r="E447" t="str">
            <v>18-595</v>
          </cell>
          <cell r="F447" t="str">
            <v>Ophthalmoscopes/Otoscopes</v>
          </cell>
          <cell r="G447" t="str">
            <v>MC</v>
          </cell>
          <cell r="H447" t="str">
            <v>MULTI-DISCIPLINE CLINIC</v>
          </cell>
          <cell r="I447" t="str">
            <v>03MC107</v>
          </cell>
          <cell r="J447" t="str">
            <v>TREATMENT 1</v>
          </cell>
          <cell r="K447" t="str">
            <v>BMED</v>
          </cell>
          <cell r="L447" t="str">
            <v>Normal</v>
          </cell>
          <cell r="M447" t="str">
            <v>USA</v>
          </cell>
          <cell r="N447" t="str">
            <v>Welch Allyn</v>
          </cell>
          <cell r="O447" t="str">
            <v>Welch Allyn 97150-BIM</v>
          </cell>
          <cell r="P447" t="str">
            <v>N/A</v>
          </cell>
          <cell r="Q447" t="str">
            <v>Not Applicable</v>
          </cell>
          <cell r="R447" t="str">
            <v>Welch Allyn Inc</v>
          </cell>
          <cell r="S447" t="str">
            <v>Welch Allyn Malaysia Sdn Bhd</v>
          </cell>
          <cell r="T447" t="str">
            <v>Functioning</v>
          </cell>
          <cell r="U447" t="str">
            <v>Asset</v>
          </cell>
          <cell r="V447">
            <v>4690</v>
          </cell>
          <cell r="W447" t="str">
            <v>KEW</v>
          </cell>
          <cell r="X447" t="str">
            <v>01/09/2010</v>
          </cell>
          <cell r="Y447" t="str">
            <v>KEW</v>
          </cell>
          <cell r="Z447" t="str">
            <v>16/08/2013</v>
          </cell>
          <cell r="AA447" t="str">
            <v>15/08/2015</v>
          </cell>
          <cell r="AB447" t="str">
            <v>No</v>
          </cell>
          <cell r="AC447" t="str">
            <v>31/08/2013</v>
          </cell>
          <cell r="AD447" t="str">
            <v>Good</v>
          </cell>
          <cell r="AE447" t="str">
            <v>V1 - Existing / No Claim</v>
          </cell>
          <cell r="AF447">
            <v>42235</v>
          </cell>
          <cell r="AG447">
            <v>9.17</v>
          </cell>
          <cell r="AH447" t="str">
            <v>RI</v>
          </cell>
          <cell r="AI447" t="str">
            <v>Not in contract</v>
          </cell>
          <cell r="AJ447" t="str">
            <v>Not under maintenance</v>
          </cell>
          <cell r="AK447" t="str">
            <v>Will be under V4. Taken out of contract as agreed by IKN</v>
          </cell>
        </row>
        <row r="448">
          <cell r="A448" t="str">
            <v>IKN401244</v>
          </cell>
          <cell r="B448">
            <v>1242</v>
          </cell>
          <cell r="C448" t="str">
            <v>Institut Kanser Negara</v>
          </cell>
          <cell r="D448" t="str">
            <v>KKM/IKN/H/13/3683</v>
          </cell>
          <cell r="E448" t="str">
            <v>17-148</v>
          </cell>
          <cell r="F448" t="str">
            <v>Oximeters, Pulse</v>
          </cell>
          <cell r="G448" t="str">
            <v>WH</v>
          </cell>
          <cell r="H448" t="str">
            <v>RT/ONCO WARD 2 (M)</v>
          </cell>
          <cell r="I448" t="str">
            <v>08WH121</v>
          </cell>
          <cell r="J448" t="str">
            <v>EQUIPMENT ROOM</v>
          </cell>
          <cell r="K448" t="str">
            <v>BMED</v>
          </cell>
          <cell r="L448" t="str">
            <v>Critical</v>
          </cell>
          <cell r="M448" t="str">
            <v>USA</v>
          </cell>
          <cell r="N448" t="str">
            <v>PalmSat</v>
          </cell>
          <cell r="O448" t="str">
            <v>PalmSat 2500</v>
          </cell>
          <cell r="P448" t="str">
            <v>501439263</v>
          </cell>
          <cell r="Q448" t="str">
            <v>Not Applicable</v>
          </cell>
          <cell r="R448" t="str">
            <v>Nonin Medical Inc</v>
          </cell>
          <cell r="S448" t="str">
            <v>Acucare Systems (M) Sdn bhd</v>
          </cell>
          <cell r="T448" t="str">
            <v>Functioning</v>
          </cell>
          <cell r="U448" t="str">
            <v>Asset</v>
          </cell>
          <cell r="V448">
            <v>5410</v>
          </cell>
          <cell r="W448" t="str">
            <v>KEW</v>
          </cell>
          <cell r="X448" t="str">
            <v>01/09/2010</v>
          </cell>
          <cell r="Y448" t="str">
            <v>KEW</v>
          </cell>
          <cell r="Z448" t="str">
            <v>16/08/2013</v>
          </cell>
          <cell r="AA448" t="str">
            <v>15/08/2015</v>
          </cell>
          <cell r="AB448" t="str">
            <v>No</v>
          </cell>
          <cell r="AC448" t="str">
            <v>31/08/2013</v>
          </cell>
          <cell r="AD448" t="str">
            <v>Good</v>
          </cell>
          <cell r="AE448" t="str">
            <v>V1 - Existing / No Claim</v>
          </cell>
          <cell r="AF448">
            <v>42788</v>
          </cell>
          <cell r="AG448">
            <v>9.17</v>
          </cell>
          <cell r="AH448" t="str">
            <v>PPM</v>
          </cell>
          <cell r="AI448" t="str">
            <v>Strands</v>
          </cell>
          <cell r="AJ448" t="str">
            <v>Strands PW. Proposed for V4 P2.23</v>
          </cell>
          <cell r="AK448" t="str">
            <v>[18/9/2023, SHARIFAH]: PEP ON 27/7/2023, BER/BEMS/AWSB/23/016 - Asset mengalami kerosakan pada mainboard.</v>
          </cell>
        </row>
        <row r="449">
          <cell r="A449" t="str">
            <v>IKN401262</v>
          </cell>
          <cell r="B449">
            <v>1260</v>
          </cell>
          <cell r="C449" t="str">
            <v>Institut Kanser Negara</v>
          </cell>
          <cell r="D449" t="e">
            <v>#N/A</v>
          </cell>
          <cell r="E449" t="str">
            <v>14-032</v>
          </cell>
          <cell r="F449" t="str">
            <v>Thermometers, Electronic</v>
          </cell>
          <cell r="G449" t="str">
            <v>RT</v>
          </cell>
          <cell r="H449" t="str">
            <v>RADIATION TREATMENT UNIT</v>
          </cell>
          <cell r="I449" t="str">
            <v>01RT213</v>
          </cell>
          <cell r="J449" t="str">
            <v>EQUIPMENT ROOM1</v>
          </cell>
          <cell r="K449" t="str">
            <v>BMED</v>
          </cell>
          <cell r="L449" t="str">
            <v>Normal</v>
          </cell>
          <cell r="M449" t="str">
            <v>Romania</v>
          </cell>
          <cell r="N449" t="str">
            <v>Hanna</v>
          </cell>
          <cell r="O449" t="str">
            <v>HI151-00 CheckTemp 4</v>
          </cell>
          <cell r="P449" t="str">
            <v>473341</v>
          </cell>
          <cell r="Q449" t="str">
            <v>NA</v>
          </cell>
          <cell r="R449" t="str">
            <v>Hanna Instruments</v>
          </cell>
          <cell r="S449" t="str">
            <v>Delta Advantech (M) Sdn Bhd</v>
          </cell>
          <cell r="T449" t="str">
            <v>Functioning</v>
          </cell>
          <cell r="U449" t="str">
            <v>Asset</v>
          </cell>
          <cell r="V449">
            <v>450</v>
          </cell>
          <cell r="W449" t="str">
            <v>KEW</v>
          </cell>
          <cell r="X449" t="str">
            <v>01/09/2010</v>
          </cell>
          <cell r="Y449" t="str">
            <v>KEW</v>
          </cell>
          <cell r="Z449" t="str">
            <v>16/08/2013</v>
          </cell>
          <cell r="AA449" t="str">
            <v>15/08/2015</v>
          </cell>
          <cell r="AB449" t="str">
            <v>No</v>
          </cell>
          <cell r="AC449" t="str">
            <v>31/08/2013</v>
          </cell>
          <cell r="AD449" t="str">
            <v>Good</v>
          </cell>
          <cell r="AE449" t="str">
            <v>V1 - Existing / No Claim</v>
          </cell>
          <cell r="AF449">
            <v>42398</v>
          </cell>
          <cell r="AG449">
            <v>9.17</v>
          </cell>
          <cell r="AH449" t="str">
            <v>RI</v>
          </cell>
          <cell r="AI449" t="str">
            <v>Not in contract</v>
          </cell>
          <cell r="AJ449" t="e">
            <v>#REF!</v>
          </cell>
          <cell r="AK449" t="str">
            <v>Unit found faulty 2021.</v>
          </cell>
        </row>
        <row r="450">
          <cell r="A450" t="str">
            <v>IKN401290</v>
          </cell>
          <cell r="B450">
            <v>1286</v>
          </cell>
          <cell r="C450" t="str">
            <v>Institut Kanser Negara</v>
          </cell>
          <cell r="D450" t="e">
            <v>#N/A</v>
          </cell>
          <cell r="E450" t="str">
            <v>10-849</v>
          </cell>
          <cell r="F450" t="str">
            <v>Circulatory Assist Units, Venous Return</v>
          </cell>
          <cell r="G450" t="str">
            <v>PC</v>
          </cell>
          <cell r="H450" t="str">
            <v>PALLIATIVE CARE UNIT</v>
          </cell>
          <cell r="I450" t="str">
            <v>04PC109</v>
          </cell>
          <cell r="J450" t="str">
            <v>GEN. STORE</v>
          </cell>
          <cell r="K450" t="str">
            <v>BMED</v>
          </cell>
          <cell r="L450" t="str">
            <v>Critical</v>
          </cell>
          <cell r="M450" t="str">
            <v>USA</v>
          </cell>
          <cell r="N450" t="str">
            <v>MediPress</v>
          </cell>
          <cell r="O450" t="str">
            <v>MediPress 6101</v>
          </cell>
          <cell r="P450" t="str">
            <v>P131203682</v>
          </cell>
          <cell r="Q450" t="str">
            <v>Not Applicable</v>
          </cell>
          <cell r="R450" t="str">
            <v>Meridian Medical</v>
          </cell>
          <cell r="S450" t="str">
            <v>MEDIKA SUPPLIES SDN BHD</v>
          </cell>
          <cell r="T450" t="str">
            <v>Transferred</v>
          </cell>
          <cell r="U450" t="str">
            <v>Asset</v>
          </cell>
          <cell r="V450">
            <v>3300</v>
          </cell>
          <cell r="W450" t="str">
            <v>KEW</v>
          </cell>
          <cell r="X450" t="str">
            <v>03/12/2013</v>
          </cell>
          <cell r="Y450" t="str">
            <v>Estimate</v>
          </cell>
          <cell r="Z450" t="str">
            <v>03/12/2013</v>
          </cell>
          <cell r="AA450" t="str">
            <v>02/12/2015</v>
          </cell>
          <cell r="AB450" t="str">
            <v>No</v>
          </cell>
          <cell r="AC450" t="str">
            <v>03/12/2013</v>
          </cell>
          <cell r="AD450" t="str">
            <v>Good</v>
          </cell>
          <cell r="AE450" t="str">
            <v>V4 - Decommissioned Installed Facility</v>
          </cell>
          <cell r="AF450">
            <v>43367</v>
          </cell>
          <cell r="AG450">
            <v>5.92</v>
          </cell>
          <cell r="AH450" t="str">
            <v>PPM</v>
          </cell>
          <cell r="AI450" t="str">
            <v>Not in contract</v>
          </cell>
          <cell r="AJ450" t="str">
            <v>Not in contract</v>
          </cell>
          <cell r="AK450" t="str">
            <v>Transfer to Alor Setar.</v>
          </cell>
        </row>
        <row r="451">
          <cell r="A451" t="str">
            <v>IKN401321</v>
          </cell>
          <cell r="B451" t="str">
            <v>Institut Kanser Negara</v>
          </cell>
          <cell r="C451" t="str">
            <v>KKM/IKN/H/13/5081</v>
          </cell>
          <cell r="E451" t="str">
            <v>15-076</v>
          </cell>
          <cell r="F451" t="str">
            <v>Laryngoscopes, Rigid</v>
          </cell>
          <cell r="G451" t="str">
            <v>MC</v>
          </cell>
          <cell r="H451" t="str">
            <v>MULTI-DISCIPLINE CLINIC</v>
          </cell>
          <cell r="I451" t="str">
            <v>03MC127</v>
          </cell>
          <cell r="J451" t="str">
            <v>C/E 1 (ENT)</v>
          </cell>
          <cell r="K451" t="str">
            <v>BMED</v>
          </cell>
          <cell r="L451" t="str">
            <v>Normal</v>
          </cell>
          <cell r="M451" t="str">
            <v>Not Available</v>
          </cell>
          <cell r="N451" t="str">
            <v>Not Available</v>
          </cell>
          <cell r="O451" t="str">
            <v>Not Available</v>
          </cell>
          <cell r="P451" t="str">
            <v>Not Available</v>
          </cell>
          <cell r="Q451" t="str">
            <v>Not Available</v>
          </cell>
          <cell r="R451" t="str">
            <v>Antah Sir Radin Sdn. Bhd.</v>
          </cell>
          <cell r="S451" t="str">
            <v>Functioning</v>
          </cell>
          <cell r="T451" t="str">
            <v>Functioning</v>
          </cell>
          <cell r="U451" t="str">
            <v>KEW</v>
          </cell>
          <cell r="V451">
            <v>4000</v>
          </cell>
          <cell r="W451" t="str">
            <v>KEW</v>
          </cell>
          <cell r="X451" t="str">
            <v>31/08/2013</v>
          </cell>
          <cell r="Y451" t="str">
            <v>15/08/2015</v>
          </cell>
          <cell r="Z451" t="str">
            <v>No</v>
          </cell>
          <cell r="AA451" t="str">
            <v>31/08/2013</v>
          </cell>
          <cell r="AB451" t="str">
            <v>Good</v>
          </cell>
          <cell r="AC451" t="str">
            <v>V4 - Decommissioned Installed Facility</v>
          </cell>
          <cell r="AD451">
            <v>42630</v>
          </cell>
          <cell r="AG451">
            <v>9.17</v>
          </cell>
        </row>
        <row r="452">
          <cell r="A452" t="str">
            <v>IKN401322</v>
          </cell>
          <cell r="B452">
            <v>1316</v>
          </cell>
          <cell r="C452" t="str">
            <v>Institut Kanser Negara</v>
          </cell>
          <cell r="D452" t="str">
            <v>KKM/IKN/H/13/5082</v>
          </cell>
          <cell r="E452" t="str">
            <v>15-076</v>
          </cell>
          <cell r="F452" t="str">
            <v>Laryngoscopes, Rigid</v>
          </cell>
          <cell r="G452" t="str">
            <v>MC</v>
          </cell>
          <cell r="H452" t="str">
            <v>MULTI-DISCIPLINE CLINIC</v>
          </cell>
          <cell r="I452" t="str">
            <v>03MC127</v>
          </cell>
          <cell r="J452" t="str">
            <v>C/E 1 (ENT)</v>
          </cell>
          <cell r="K452" t="str">
            <v>BMED</v>
          </cell>
          <cell r="L452" t="str">
            <v>Normal</v>
          </cell>
          <cell r="M452" t="str">
            <v>Not Available</v>
          </cell>
          <cell r="N452" t="str">
            <v>Not Available</v>
          </cell>
          <cell r="O452" t="str">
            <v>Not Available</v>
          </cell>
          <cell r="P452" t="str">
            <v>Not Available</v>
          </cell>
          <cell r="Q452" t="str">
            <v>Not Available</v>
          </cell>
          <cell r="R452" t="str">
            <v>Not Available</v>
          </cell>
          <cell r="S452" t="str">
            <v>Antah Sir Radin Sdn. Bhd.</v>
          </cell>
          <cell r="T452" t="str">
            <v>Functioning</v>
          </cell>
          <cell r="U452" t="str">
            <v>Asset</v>
          </cell>
          <cell r="V452">
            <v>4000</v>
          </cell>
          <cell r="W452" t="str">
            <v>KEW</v>
          </cell>
          <cell r="X452" t="str">
            <v>01/09/2010</v>
          </cell>
          <cell r="Y452" t="str">
            <v>KEW</v>
          </cell>
          <cell r="Z452" t="str">
            <v>31/08/2013</v>
          </cell>
          <cell r="AA452" t="str">
            <v>15/08/2015</v>
          </cell>
          <cell r="AB452" t="str">
            <v>No</v>
          </cell>
          <cell r="AC452" t="str">
            <v>31/08/2013</v>
          </cell>
          <cell r="AD452" t="str">
            <v>Good</v>
          </cell>
          <cell r="AE452" t="str">
            <v>V4 - Decommissioned Installed Facility</v>
          </cell>
          <cell r="AF452">
            <v>42630</v>
          </cell>
          <cell r="AG452">
            <v>9.17</v>
          </cell>
          <cell r="AH452" t="str">
            <v>RI</v>
          </cell>
          <cell r="AI452" t="str">
            <v>Strands</v>
          </cell>
          <cell r="AJ452" t="str">
            <v>Not under maintenance</v>
          </cell>
        </row>
        <row r="453">
          <cell r="A453" t="str">
            <v>IKN401345</v>
          </cell>
          <cell r="B453">
            <v>1339</v>
          </cell>
          <cell r="C453" t="str">
            <v>Institut Kanser Negara</v>
          </cell>
          <cell r="D453" t="str">
            <v>KKM/IKN/H/14/109</v>
          </cell>
          <cell r="E453" t="str">
            <v>11-295</v>
          </cell>
          <cell r="F453" t="str">
            <v>Dosimeters, Radiation</v>
          </cell>
          <cell r="G453" t="str">
            <v>NM</v>
          </cell>
          <cell r="H453" t="str">
            <v>NUCLEAR MED (DIAGNOSTIC)</v>
          </cell>
          <cell r="I453" t="str">
            <v>03NM180</v>
          </cell>
          <cell r="J453" t="str">
            <v>GEN.OFFICE</v>
          </cell>
          <cell r="K453" t="str">
            <v>BMED</v>
          </cell>
          <cell r="L453" t="str">
            <v>Normal</v>
          </cell>
          <cell r="M453" t="str">
            <v>Japan</v>
          </cell>
          <cell r="N453" t="str">
            <v>Aloka</v>
          </cell>
          <cell r="O453" t="str">
            <v>PDM-222C-SH</v>
          </cell>
          <cell r="P453" t="str">
            <v>203V1524</v>
          </cell>
          <cell r="Q453" t="str">
            <v>Not Applicable</v>
          </cell>
          <cell r="R453" t="str">
            <v>Hitachi Aloka Medical Co Ltd</v>
          </cell>
          <cell r="S453" t="str">
            <v>Elite</v>
          </cell>
          <cell r="T453" t="str">
            <v>Disposed</v>
          </cell>
          <cell r="U453" t="str">
            <v>Asset</v>
          </cell>
          <cell r="V453">
            <v>1883</v>
          </cell>
          <cell r="W453" t="str">
            <v>KEW</v>
          </cell>
          <cell r="X453" t="str">
            <v>06/11/2014</v>
          </cell>
          <cell r="Y453" t="str">
            <v>KEW</v>
          </cell>
          <cell r="Z453" t="str">
            <v>05/12/2014</v>
          </cell>
          <cell r="AA453" t="str">
            <v>04/12/2016</v>
          </cell>
          <cell r="AB453" t="str">
            <v>No</v>
          </cell>
          <cell r="AC453" t="str">
            <v>05/12/2014</v>
          </cell>
          <cell r="AD453" t="str">
            <v>Good</v>
          </cell>
          <cell r="AE453" t="str">
            <v>V3 - Added Installed Facilities (New)</v>
          </cell>
          <cell r="AF453" t="str">
            <v>31/10/2018 - 1/12/2022</v>
          </cell>
          <cell r="AG453">
            <v>5</v>
          </cell>
          <cell r="AH453" t="str">
            <v>PPM</v>
          </cell>
          <cell r="AI453" t="str">
            <v>Strands</v>
          </cell>
          <cell r="AJ453" t="str">
            <v>Strands (V4 P1.23.)</v>
          </cell>
          <cell r="AK453" t="str">
            <v>SNF received. 1st batch of V3 asset (December 2020). [23/8/2023, Sharifah]: V4 on P1.23</v>
          </cell>
        </row>
        <row r="454">
          <cell r="A454" t="str">
            <v>IKN401380</v>
          </cell>
          <cell r="B454">
            <v>1374</v>
          </cell>
          <cell r="C454" t="str">
            <v>Institut Kanser Negara</v>
          </cell>
          <cell r="D454" t="e">
            <v>#N/A</v>
          </cell>
          <cell r="E454" t="str">
            <v>17-148</v>
          </cell>
          <cell r="F454" t="str">
            <v>Oximeters, Pulse</v>
          </cell>
          <cell r="G454" t="str">
            <v>NM</v>
          </cell>
          <cell r="H454" t="str">
            <v>NUCLEAR MED (DIAGNOSTIC)</v>
          </cell>
          <cell r="I454" t="str">
            <v>03NM108</v>
          </cell>
          <cell r="J454" t="str">
            <v>TREATMENT 1 (RAI)(VE)</v>
          </cell>
          <cell r="K454" t="str">
            <v>BMED</v>
          </cell>
          <cell r="L454" t="str">
            <v>Critical</v>
          </cell>
          <cell r="M454" t="str">
            <v>UK</v>
          </cell>
          <cell r="N454" t="str">
            <v>Trusat</v>
          </cell>
          <cell r="O454" t="str">
            <v>Trusat</v>
          </cell>
          <cell r="P454" t="str">
            <v>FCC12430059SA</v>
          </cell>
          <cell r="Q454" t="str">
            <v>NA</v>
          </cell>
          <cell r="R454" t="str">
            <v>Datex-Ohmeda Inc</v>
          </cell>
          <cell r="S454" t="str">
            <v>GE HEALTHCARE SDN BHD</v>
          </cell>
          <cell r="T454" t="str">
            <v>Not Functioning</v>
          </cell>
          <cell r="U454" t="str">
            <v>Asset</v>
          </cell>
          <cell r="V454">
            <v>11120</v>
          </cell>
          <cell r="W454" t="str">
            <v>KEW</v>
          </cell>
          <cell r="X454" t="str">
            <v>01/09/2010</v>
          </cell>
          <cell r="Y454" t="str">
            <v>KEW</v>
          </cell>
          <cell r="Z454" t="str">
            <v>16/08/2013</v>
          </cell>
          <cell r="AA454" t="str">
            <v>15/08/2015</v>
          </cell>
          <cell r="AB454" t="str">
            <v>No</v>
          </cell>
          <cell r="AC454" t="str">
            <v>30/08/2013</v>
          </cell>
          <cell r="AD454" t="str">
            <v>Good</v>
          </cell>
          <cell r="AE454" t="str">
            <v>V4 - Decommissioned Installed Facility</v>
          </cell>
          <cell r="AF454">
            <v>43404</v>
          </cell>
          <cell r="AG454">
            <v>9.17</v>
          </cell>
          <cell r="AH454" t="str">
            <v>PPM</v>
          </cell>
          <cell r="AI454" t="str">
            <v>Not in contract</v>
          </cell>
          <cell r="AJ454" t="str">
            <v>Not in contract</v>
          </cell>
          <cell r="AK454" t="e">
            <v>#N/A</v>
          </cell>
        </row>
        <row r="455">
          <cell r="A455" t="str">
            <v>IKN401381</v>
          </cell>
          <cell r="B455">
            <v>1375</v>
          </cell>
          <cell r="C455" t="str">
            <v>Institut Kanser Negara</v>
          </cell>
          <cell r="D455" t="e">
            <v>#N/A</v>
          </cell>
          <cell r="E455" t="str">
            <v>13-275</v>
          </cell>
          <cell r="F455" t="str">
            <v>Calibrators, Radioisotope</v>
          </cell>
          <cell r="G455" t="str">
            <v>NM</v>
          </cell>
          <cell r="H455" t="str">
            <v>NUCLEAR MED (DIAGNOSTIC)</v>
          </cell>
          <cell r="I455" t="str">
            <v>03NM138</v>
          </cell>
          <cell r="J455" t="str">
            <v>RADIOIODINE PREP. (100% F.A)</v>
          </cell>
          <cell r="K455" t="str">
            <v>BMED</v>
          </cell>
          <cell r="L455" t="str">
            <v>Normal</v>
          </cell>
          <cell r="M455" t="str">
            <v>USA</v>
          </cell>
          <cell r="N455" t="str">
            <v>Atomlab</v>
          </cell>
          <cell r="O455" t="str">
            <v>Atomlab 500</v>
          </cell>
          <cell r="P455">
            <v>12080700</v>
          </cell>
          <cell r="Q455" t="str">
            <v>NA</v>
          </cell>
          <cell r="R455" t="str">
            <v>Biodex Medical Systems Inc</v>
          </cell>
          <cell r="S455" t="str">
            <v>PHILIPS</v>
          </cell>
          <cell r="T455" t="str">
            <v>Not Functioning</v>
          </cell>
          <cell r="U455" t="str">
            <v>Asset</v>
          </cell>
          <cell r="V455">
            <v>60390</v>
          </cell>
          <cell r="W455" t="str">
            <v>Replacement</v>
          </cell>
          <cell r="X455" t="str">
            <v>01/09/2010</v>
          </cell>
          <cell r="Y455" t="str">
            <v>KEW</v>
          </cell>
          <cell r="Z455" t="str">
            <v>16/08/2013</v>
          </cell>
          <cell r="AA455" t="str">
            <v>15/08/2015</v>
          </cell>
          <cell r="AB455" t="str">
            <v>No</v>
          </cell>
          <cell r="AC455" t="str">
            <v>30/08/2013</v>
          </cell>
          <cell r="AD455" t="str">
            <v>Good</v>
          </cell>
          <cell r="AE455" t="str">
            <v>V4 - Decommissioned Installed Facility</v>
          </cell>
          <cell r="AF455">
            <v>43404</v>
          </cell>
          <cell r="AG455">
            <v>9.17</v>
          </cell>
          <cell r="AH455" t="str">
            <v>PPM</v>
          </cell>
          <cell r="AI455" t="str">
            <v>Not in contract</v>
          </cell>
          <cell r="AJ455" t="str">
            <v>Not in contract</v>
          </cell>
          <cell r="AK455" t="e">
            <v>#N/A</v>
          </cell>
        </row>
        <row r="456">
          <cell r="A456" t="str">
            <v>IKN401382</v>
          </cell>
          <cell r="B456">
            <v>1376</v>
          </cell>
          <cell r="C456" t="str">
            <v>Institut Kanser Negara</v>
          </cell>
          <cell r="D456" t="str">
            <v>KKM/IKN/H/13/3989</v>
          </cell>
          <cell r="E456" t="str">
            <v>13-275</v>
          </cell>
          <cell r="F456" t="str">
            <v>Calibrators, Radioisotope</v>
          </cell>
          <cell r="G456" t="str">
            <v>NM</v>
          </cell>
          <cell r="H456" t="str">
            <v>NUCLEAR MED (DIAGNOSTIC)</v>
          </cell>
          <cell r="I456" t="str">
            <v>03NM139</v>
          </cell>
          <cell r="J456" t="str">
            <v>QC</v>
          </cell>
          <cell r="K456" t="str">
            <v>BMED</v>
          </cell>
          <cell r="L456" t="str">
            <v>Normal</v>
          </cell>
          <cell r="M456" t="str">
            <v>USA</v>
          </cell>
          <cell r="N456" t="str">
            <v>Atomlab</v>
          </cell>
          <cell r="O456" t="str">
            <v>Atomlab 500</v>
          </cell>
          <cell r="P456" t="str">
            <v>12080702</v>
          </cell>
          <cell r="Q456" t="str">
            <v>NA</v>
          </cell>
          <cell r="R456" t="str">
            <v>Biodex Medical Systems Inc</v>
          </cell>
          <cell r="S456" t="str">
            <v>PHILIPS</v>
          </cell>
          <cell r="T456" t="str">
            <v>Not Functioning</v>
          </cell>
          <cell r="U456" t="str">
            <v>Asset</v>
          </cell>
          <cell r="V456">
            <v>60390</v>
          </cell>
          <cell r="W456" t="str">
            <v>KEW</v>
          </cell>
          <cell r="X456" t="str">
            <v>01/09/2010</v>
          </cell>
          <cell r="Y456" t="str">
            <v>Estimate</v>
          </cell>
          <cell r="Z456" t="str">
            <v>16/08/2013</v>
          </cell>
          <cell r="AA456" t="str">
            <v>15/08/2015</v>
          </cell>
          <cell r="AB456" t="str">
            <v>No</v>
          </cell>
          <cell r="AC456" t="str">
            <v>30/08/2013</v>
          </cell>
          <cell r="AD456" t="str">
            <v>Good</v>
          </cell>
          <cell r="AE456" t="str">
            <v>V4 - Decommissioned Installed Facility</v>
          </cell>
          <cell r="AF456">
            <v>43404</v>
          </cell>
          <cell r="AG456">
            <v>9.17</v>
          </cell>
          <cell r="AH456" t="str">
            <v>PPM</v>
          </cell>
          <cell r="AI456" t="str">
            <v>Not in contract</v>
          </cell>
          <cell r="AJ456" t="str">
            <v>Not in contract</v>
          </cell>
          <cell r="AK456" t="str">
            <v>[SHARIFAH; 10/7/2023]: SNF (STOP SERVICE) RECEIVED ON 10/7/2023.</v>
          </cell>
        </row>
        <row r="457">
          <cell r="A457" t="str">
            <v>IKN401404</v>
          </cell>
          <cell r="B457">
            <v>1389</v>
          </cell>
          <cell r="C457" t="str">
            <v>Institut Kanser Negara</v>
          </cell>
          <cell r="D457" t="str">
            <v>KKM/IKN/H/13/1876</v>
          </cell>
          <cell r="E457" t="str">
            <v>13-461</v>
          </cell>
          <cell r="F457" t="str">
            <v>Scales, Patient, Floor</v>
          </cell>
          <cell r="G457" t="str">
            <v>WJ</v>
          </cell>
          <cell r="H457" t="str">
            <v>MULTIDISCIPLINE WARD 1</v>
          </cell>
          <cell r="I457" t="str">
            <v>09WJ205</v>
          </cell>
          <cell r="J457" t="str">
            <v>NURSE STATION</v>
          </cell>
          <cell r="K457" t="str">
            <v>BMED</v>
          </cell>
          <cell r="L457" t="str">
            <v>Normal</v>
          </cell>
          <cell r="M457" t="str">
            <v>USA</v>
          </cell>
          <cell r="N457" t="str">
            <v>Detecto</v>
          </cell>
          <cell r="O457" t="str">
            <v>758 C</v>
          </cell>
          <cell r="P457" t="str">
            <v>E-32112-0201</v>
          </cell>
          <cell r="Q457" t="str">
            <v>NA</v>
          </cell>
          <cell r="R457" t="str">
            <v>DETECTO</v>
          </cell>
          <cell r="S457" t="str">
            <v>ACUCARE SYSTEM SDN BHD</v>
          </cell>
          <cell r="T457" t="str">
            <v>Functioning</v>
          </cell>
          <cell r="U457" t="str">
            <v>Asset</v>
          </cell>
          <cell r="V457">
            <v>9380</v>
          </cell>
          <cell r="W457" t="str">
            <v>KEW</v>
          </cell>
          <cell r="X457" t="str">
            <v>01/09/2010</v>
          </cell>
          <cell r="Y457" t="str">
            <v>Estimate</v>
          </cell>
          <cell r="Z457" t="str">
            <v>16/08/2013</v>
          </cell>
          <cell r="AA457" t="str">
            <v>15/08/2015</v>
          </cell>
          <cell r="AB457" t="str">
            <v>No</v>
          </cell>
          <cell r="AC457" t="str">
            <v>31/08/2013</v>
          </cell>
          <cell r="AD457" t="str">
            <v>Good</v>
          </cell>
          <cell r="AE457" t="str">
            <v>V1 - Existing / No Claim</v>
          </cell>
          <cell r="AF457">
            <v>42781</v>
          </cell>
          <cell r="AG457">
            <v>9.17</v>
          </cell>
          <cell r="AH457" t="str">
            <v>PPM</v>
          </cell>
          <cell r="AI457" t="str">
            <v>Strands</v>
          </cell>
          <cell r="AJ457" t="str">
            <v>Strands PW. Proposed for V4 P2.23</v>
          </cell>
          <cell r="AK457" t="str">
            <v>[18/9/2023, SHARIFAH]: PEP ON 27/7/2023, BER/BEMS/IKN/23/015 - Asset mengalami kerosakan pada load sensor.</v>
          </cell>
        </row>
        <row r="458">
          <cell r="A458" t="str">
            <v>IKN401421</v>
          </cell>
          <cell r="B458">
            <v>1401</v>
          </cell>
          <cell r="C458" t="str">
            <v>Institut Kanser Negara</v>
          </cell>
          <cell r="D458" t="str">
            <v>KKM/IKN/H/13/3175</v>
          </cell>
          <cell r="E458" t="str">
            <v>13-461</v>
          </cell>
          <cell r="F458" t="str">
            <v>Scales, Patient, Floor</v>
          </cell>
          <cell r="G458" t="str">
            <v>WF</v>
          </cell>
          <cell r="H458" t="str">
            <v>RT/ONCO WARD 2 (F)</v>
          </cell>
          <cell r="I458" t="str">
            <v>07WF143</v>
          </cell>
          <cell r="J458" t="str">
            <v>NURSE STATION</v>
          </cell>
          <cell r="K458" t="str">
            <v>BMED</v>
          </cell>
          <cell r="L458" t="str">
            <v>Normal</v>
          </cell>
          <cell r="M458" t="str">
            <v>USA</v>
          </cell>
          <cell r="N458" t="str">
            <v>Detecto</v>
          </cell>
          <cell r="O458" t="str">
            <v>758 C</v>
          </cell>
          <cell r="P458" t="str">
            <v>E 34812-0040</v>
          </cell>
          <cell r="Q458" t="str">
            <v>Not Available</v>
          </cell>
          <cell r="R458" t="str">
            <v>DETECTO</v>
          </cell>
          <cell r="S458" t="str">
            <v>Acucare System (M) Sdn. Bhd</v>
          </cell>
          <cell r="T458" t="str">
            <v>Functioning</v>
          </cell>
          <cell r="U458" t="str">
            <v>Asset</v>
          </cell>
          <cell r="V458">
            <v>9380</v>
          </cell>
          <cell r="W458" t="str">
            <v>KEW</v>
          </cell>
          <cell r="X458" t="str">
            <v>01/09/2010</v>
          </cell>
          <cell r="Y458" t="str">
            <v>KEW</v>
          </cell>
          <cell r="Z458" t="str">
            <v>16/08/2013</v>
          </cell>
          <cell r="AA458" t="str">
            <v>15/08/2015</v>
          </cell>
          <cell r="AB458" t="str">
            <v>No</v>
          </cell>
          <cell r="AC458" t="str">
            <v>31/08/2013</v>
          </cell>
          <cell r="AD458" t="str">
            <v>Good</v>
          </cell>
          <cell r="AE458" t="str">
            <v>V1 - Existing / No Claim</v>
          </cell>
          <cell r="AF458">
            <v>42788</v>
          </cell>
          <cell r="AG458">
            <v>9.17</v>
          </cell>
          <cell r="AH458" t="str">
            <v>PPM</v>
          </cell>
          <cell r="AI458" t="str">
            <v>Strands</v>
          </cell>
          <cell r="AJ458" t="str">
            <v>Strands PW. Proposed for V4 P2.23</v>
          </cell>
          <cell r="AK458" t="str">
            <v>[5/7/2023] INDIRA: DETECTO TIADA DI WAD 7B. [SHARIFAH, 16/10/2023]: PEP ON 21/7/2023. BER/BEMS/IKN/22/002 - Aset telah mengalami kerosakan pada komponen mainboard dan display panel. Aset ini tidak ekonomik diperbaiki lagi.</v>
          </cell>
        </row>
        <row r="459">
          <cell r="A459" t="str">
            <v>IKN401435</v>
          </cell>
          <cell r="B459">
            <v>1411</v>
          </cell>
          <cell r="C459" t="str">
            <v>Institut Kanser Negara</v>
          </cell>
          <cell r="E459" t="str">
            <v>17-887</v>
          </cell>
          <cell r="F459" t="str">
            <v>Thermometers, Electronic, Infrared, Ear</v>
          </cell>
          <cell r="G459" t="str">
            <v>MC</v>
          </cell>
          <cell r="H459" t="str">
            <v>MULTI-DISCIPLINE CLINIC</v>
          </cell>
          <cell r="I459" t="str">
            <v>03MC127</v>
          </cell>
          <cell r="J459" t="str">
            <v>C/E 1 (ENT)</v>
          </cell>
          <cell r="K459" t="str">
            <v>BMED</v>
          </cell>
          <cell r="L459" t="str">
            <v>Normal</v>
          </cell>
          <cell r="M459" t="str">
            <v>Mexico</v>
          </cell>
          <cell r="N459" t="str">
            <v>Thermoscan</v>
          </cell>
          <cell r="O459" t="str">
            <v>Thermoscan Pro 4000</v>
          </cell>
          <cell r="P459" t="str">
            <v>33412K02317</v>
          </cell>
          <cell r="Q459" t="str">
            <v>Not Available</v>
          </cell>
          <cell r="R459" t="str">
            <v>Welch Allyn Inc</v>
          </cell>
          <cell r="S459" t="str">
            <v>Welch Allyn Malaysia Sdn. Bhd</v>
          </cell>
          <cell r="T459" t="str">
            <v>Functioning</v>
          </cell>
          <cell r="U459" t="str">
            <v>Asset</v>
          </cell>
          <cell r="V459">
            <v>540</v>
          </cell>
          <cell r="W459" t="str">
            <v>KEW</v>
          </cell>
          <cell r="X459" t="str">
            <v>01/09/2010</v>
          </cell>
          <cell r="Y459" t="str">
            <v>KEW</v>
          </cell>
          <cell r="Z459" t="str">
            <v>16/08/2013</v>
          </cell>
          <cell r="AA459" t="str">
            <v>15/08/2015</v>
          </cell>
          <cell r="AB459" t="str">
            <v>No</v>
          </cell>
          <cell r="AC459" t="str">
            <v>31/08/2013</v>
          </cell>
          <cell r="AD459" t="str">
            <v>Good</v>
          </cell>
          <cell r="AE459" t="str">
            <v>V1 - Existing / No Claim</v>
          </cell>
          <cell r="AF459">
            <v>42781</v>
          </cell>
          <cell r="AG459">
            <v>9.17</v>
          </cell>
          <cell r="AH459" t="str">
            <v>RI</v>
          </cell>
          <cell r="AI459" t="str">
            <v>Not in contract</v>
          </cell>
          <cell r="AJ459" t="str">
            <v>Not under maintenance</v>
          </cell>
          <cell r="AK459" t="e">
            <v>#N/A</v>
          </cell>
        </row>
        <row r="460">
          <cell r="A460" t="str">
            <v>IKN401437</v>
          </cell>
          <cell r="B460">
            <v>1413</v>
          </cell>
          <cell r="C460" t="str">
            <v>Institut Kanser Negara</v>
          </cell>
          <cell r="E460" t="str">
            <v>17-887</v>
          </cell>
          <cell r="F460" t="str">
            <v>Thermometers, Electronic, Infrared, Ear</v>
          </cell>
          <cell r="G460" t="str">
            <v>MC</v>
          </cell>
          <cell r="H460" t="str">
            <v>MULTI-DISCIPLINE CLINIC</v>
          </cell>
          <cell r="I460" t="str">
            <v>03MC107</v>
          </cell>
          <cell r="J460" t="str">
            <v>TREATMENT 1</v>
          </cell>
          <cell r="K460" t="str">
            <v>BMED</v>
          </cell>
          <cell r="L460" t="str">
            <v>Normal</v>
          </cell>
          <cell r="M460" t="str">
            <v>Mexico</v>
          </cell>
          <cell r="N460" t="str">
            <v>Thermoscan</v>
          </cell>
          <cell r="O460" t="str">
            <v>Thermoscan Pro 4000</v>
          </cell>
          <cell r="P460" t="str">
            <v>33412K05388</v>
          </cell>
          <cell r="Q460" t="str">
            <v>Not Applicable</v>
          </cell>
          <cell r="R460" t="str">
            <v>Welch Allyn Inc</v>
          </cell>
          <cell r="S460" t="str">
            <v>Welch Allyn Malaysia Sdn. Bhd</v>
          </cell>
          <cell r="T460" t="str">
            <v>Functioning</v>
          </cell>
          <cell r="U460" t="str">
            <v>Asset</v>
          </cell>
          <cell r="V460">
            <v>540</v>
          </cell>
          <cell r="W460" t="str">
            <v>KEW</v>
          </cell>
          <cell r="X460" t="str">
            <v>01/09/2010</v>
          </cell>
          <cell r="Y460" t="str">
            <v>KEW</v>
          </cell>
          <cell r="Z460" t="str">
            <v>16/08/2013</v>
          </cell>
          <cell r="AA460" t="str">
            <v>15/08/2015</v>
          </cell>
          <cell r="AB460" t="str">
            <v>No</v>
          </cell>
          <cell r="AC460" t="str">
            <v>31/08/2013</v>
          </cell>
          <cell r="AD460" t="str">
            <v>Good</v>
          </cell>
          <cell r="AE460" t="str">
            <v>V1 - Existing / No Claim</v>
          </cell>
          <cell r="AF460">
            <v>42799</v>
          </cell>
          <cell r="AG460">
            <v>9.17</v>
          </cell>
          <cell r="AH460" t="str">
            <v>RI</v>
          </cell>
          <cell r="AI460" t="str">
            <v>Not in contract</v>
          </cell>
          <cell r="AJ460" t="str">
            <v>Not under maintenance</v>
          </cell>
          <cell r="AK460" t="e">
            <v>#N/A</v>
          </cell>
        </row>
        <row r="461">
          <cell r="A461" t="str">
            <v>IKN401438</v>
          </cell>
          <cell r="B461">
            <v>1414</v>
          </cell>
          <cell r="C461" t="str">
            <v>Institut Kanser Negara</v>
          </cell>
          <cell r="E461" t="str">
            <v>17-887</v>
          </cell>
          <cell r="F461" t="str">
            <v>Thermometers, Electronic, Infrared, Ear</v>
          </cell>
          <cell r="G461" t="str">
            <v>MC</v>
          </cell>
          <cell r="H461" t="str">
            <v>MULTI-DISCIPLINE CLINIC</v>
          </cell>
          <cell r="I461" t="str">
            <v>03MC108</v>
          </cell>
          <cell r="J461" t="str">
            <v>TREATMENT/PROCEDURE</v>
          </cell>
          <cell r="K461" t="str">
            <v>BMED</v>
          </cell>
          <cell r="L461" t="str">
            <v>Normal</v>
          </cell>
          <cell r="M461" t="str">
            <v>Mexico</v>
          </cell>
          <cell r="N461" t="str">
            <v>Thermoscan</v>
          </cell>
          <cell r="O461" t="str">
            <v>Thermoscan Pro 4000</v>
          </cell>
          <cell r="P461" t="str">
            <v>33412K0518</v>
          </cell>
          <cell r="Q461" t="str">
            <v>Not Available</v>
          </cell>
          <cell r="R461" t="str">
            <v>Welch Allyn Inc</v>
          </cell>
          <cell r="S461" t="str">
            <v>Welch Allyn Malaysia Sdn. Bhd</v>
          </cell>
          <cell r="T461" t="str">
            <v>Functioning</v>
          </cell>
          <cell r="U461" t="str">
            <v>Asset</v>
          </cell>
          <cell r="V461">
            <v>540</v>
          </cell>
          <cell r="W461" t="str">
            <v>KEW</v>
          </cell>
          <cell r="X461" t="str">
            <v>01/09/2010</v>
          </cell>
          <cell r="Y461" t="str">
            <v>KEW</v>
          </cell>
          <cell r="Z461" t="str">
            <v>16/08/2013</v>
          </cell>
          <cell r="AA461" t="str">
            <v>15/08/2015</v>
          </cell>
          <cell r="AB461" t="str">
            <v>No</v>
          </cell>
          <cell r="AC461" t="str">
            <v>31/08/2013</v>
          </cell>
          <cell r="AD461" t="str">
            <v>Good</v>
          </cell>
          <cell r="AE461" t="str">
            <v>V1 - Existing / No Claim</v>
          </cell>
          <cell r="AF461">
            <v>42781</v>
          </cell>
          <cell r="AG461">
            <v>9.17</v>
          </cell>
          <cell r="AH461" t="str">
            <v>RI</v>
          </cell>
          <cell r="AI461" t="str">
            <v>Not in contract</v>
          </cell>
          <cell r="AJ461" t="str">
            <v>Not under maintenance</v>
          </cell>
          <cell r="AK461" t="e">
            <v>#N/A</v>
          </cell>
        </row>
        <row r="462">
          <cell r="A462" t="str">
            <v>IKN401443</v>
          </cell>
          <cell r="B462">
            <v>1418</v>
          </cell>
          <cell r="C462" t="str">
            <v>Institut Kanser Negara</v>
          </cell>
          <cell r="D462" t="str">
            <v>KKM/IKN/H/13/1540</v>
          </cell>
          <cell r="E462" t="str">
            <v>13-461</v>
          </cell>
          <cell r="F462" t="str">
            <v>Scales, Patient, Floor</v>
          </cell>
          <cell r="G462" t="str">
            <v>PY</v>
          </cell>
          <cell r="H462" t="str">
            <v>PHYSIOTHERAPY</v>
          </cell>
          <cell r="I462" t="str">
            <v>04PY109</v>
          </cell>
          <cell r="J462" t="str">
            <v>ASSESSMENT / TREATMENT</v>
          </cell>
          <cell r="K462" t="str">
            <v>BMED</v>
          </cell>
          <cell r="L462" t="str">
            <v>Normal</v>
          </cell>
          <cell r="M462" t="str">
            <v>USA</v>
          </cell>
          <cell r="N462" t="str">
            <v>Detecto</v>
          </cell>
          <cell r="O462" t="str">
            <v>758 C</v>
          </cell>
          <cell r="P462" t="str">
            <v>E 34812-0045</v>
          </cell>
          <cell r="Q462" t="str">
            <v>Not Applicable</v>
          </cell>
          <cell r="R462" t="str">
            <v>DETECTO</v>
          </cell>
          <cell r="S462" t="str">
            <v>Acucare System (M) Sdn. Bhd</v>
          </cell>
          <cell r="T462" t="str">
            <v>Not Functioning</v>
          </cell>
          <cell r="U462" t="str">
            <v>Asset</v>
          </cell>
          <cell r="V462">
            <v>9380</v>
          </cell>
          <cell r="W462" t="str">
            <v>KEW</v>
          </cell>
          <cell r="X462" t="str">
            <v>01/09/2010</v>
          </cell>
          <cell r="Y462" t="str">
            <v>KEW</v>
          </cell>
          <cell r="Z462" t="str">
            <v>16/08/2013</v>
          </cell>
          <cell r="AA462" t="str">
            <v>15/08/2015</v>
          </cell>
          <cell r="AB462" t="str">
            <v>No</v>
          </cell>
          <cell r="AC462" t="str">
            <v>31/08/2013</v>
          </cell>
          <cell r="AD462" t="str">
            <v>Good</v>
          </cell>
          <cell r="AE462" t="str">
            <v>V1 - Existing / No Claim</v>
          </cell>
          <cell r="AF462">
            <v>42801</v>
          </cell>
          <cell r="AG462">
            <v>9.17</v>
          </cell>
          <cell r="AH462" t="str">
            <v>PPM</v>
          </cell>
          <cell r="AI462" t="str">
            <v>Strands</v>
          </cell>
          <cell r="AJ462" t="str">
            <v>Not in contract</v>
          </cell>
          <cell r="AK462" t="str">
            <v>[22/9/2023, SHARIFAH]: PEP ON FEB 2021, BER/BEMS/AWSB/21/003 - Asset mengalami kerosakan pada komponen Mainboard.</v>
          </cell>
        </row>
        <row r="463">
          <cell r="A463" t="str">
            <v>IKN401511</v>
          </cell>
          <cell r="B463">
            <v>1455</v>
          </cell>
          <cell r="C463" t="str">
            <v>Institut Kanser Negara</v>
          </cell>
          <cell r="D463" t="str">
            <v>KKM/IKN/H/13/630</v>
          </cell>
          <cell r="E463" t="str">
            <v>10-263</v>
          </cell>
          <cell r="F463" t="str">
            <v>Balances, Electronic</v>
          </cell>
          <cell r="G463" t="str">
            <v>KT</v>
          </cell>
          <cell r="H463" t="str">
            <v>CATERING</v>
          </cell>
          <cell r="I463" t="str">
            <v>01KT131</v>
          </cell>
          <cell r="J463" t="str">
            <v>EXTERNAL PREP.</v>
          </cell>
          <cell r="K463" t="str">
            <v>BMED</v>
          </cell>
          <cell r="L463" t="str">
            <v>Normal</v>
          </cell>
          <cell r="M463" t="str">
            <v>Spain</v>
          </cell>
          <cell r="N463" t="str">
            <v>Avery</v>
          </cell>
          <cell r="O463" t="str">
            <v>AWE-15</v>
          </cell>
          <cell r="P463" t="str">
            <v>Not Available</v>
          </cell>
          <cell r="Q463" t="str">
            <v>Not Applicable</v>
          </cell>
          <cell r="R463" t="str">
            <v>AVERY BERKEL</v>
          </cell>
          <cell r="S463" t="str">
            <v>Somerco Jaya Sdn Bhd</v>
          </cell>
          <cell r="T463" t="str">
            <v>Functioning</v>
          </cell>
          <cell r="U463" t="str">
            <v>Asset</v>
          </cell>
          <cell r="V463">
            <v>1840</v>
          </cell>
          <cell r="W463" t="str">
            <v>KEW</v>
          </cell>
          <cell r="X463" t="str">
            <v>01/09/2010</v>
          </cell>
          <cell r="Y463" t="str">
            <v>KEW</v>
          </cell>
          <cell r="Z463" t="str">
            <v>16/08/2013</v>
          </cell>
          <cell r="AA463" t="str">
            <v>15/08/2015</v>
          </cell>
          <cell r="AB463" t="str">
            <v>No</v>
          </cell>
          <cell r="AC463" t="str">
            <v>31/08/2013</v>
          </cell>
          <cell r="AD463" t="str">
            <v>Good</v>
          </cell>
          <cell r="AE463" t="str">
            <v>V1 - Existing / No Claim</v>
          </cell>
          <cell r="AF463">
            <v>42951</v>
          </cell>
          <cell r="AG463">
            <v>9.17</v>
          </cell>
          <cell r="AH463" t="str">
            <v>PPM</v>
          </cell>
          <cell r="AI463" t="str">
            <v>Strands</v>
          </cell>
          <cell r="AJ463" t="str">
            <v>Strands PW</v>
          </cell>
          <cell r="AK463" t="str">
            <v>[12/3/2024]: TRANSFER TO HTAA, KUANTAN.</v>
          </cell>
        </row>
        <row r="464">
          <cell r="A464" t="str">
            <v>IKN401517</v>
          </cell>
          <cell r="B464" t="str">
            <v>Institut Kanser Negara</v>
          </cell>
          <cell r="C464" t="str">
            <v>KKM/IKN/H/13/4637</v>
          </cell>
          <cell r="D464" t="str">
            <v>13-462</v>
          </cell>
          <cell r="E464" t="str">
            <v>Scales, Infant</v>
          </cell>
          <cell r="F464" t="str">
            <v>DU</v>
          </cell>
          <cell r="G464" t="str">
            <v>DIETICIAN UNIT</v>
          </cell>
          <cell r="H464" t="str">
            <v>03DU105</v>
          </cell>
          <cell r="I464" t="str">
            <v>HEAD OF UNIT</v>
          </cell>
          <cell r="J464" t="str">
            <v>BMED</v>
          </cell>
          <cell r="K464" t="str">
            <v>Normal</v>
          </cell>
          <cell r="L464" t="str">
            <v>Germany</v>
          </cell>
          <cell r="M464" t="str">
            <v>SECA</v>
          </cell>
          <cell r="N464" t="str">
            <v>SECA 334</v>
          </cell>
          <cell r="O464" t="str">
            <v>5769177136666</v>
          </cell>
          <cell r="P464" t="str">
            <v>SECA GMBH</v>
          </cell>
          <cell r="Q464" t="str">
            <v>Lazcorp Holding (M) Sdn Bhd</v>
          </cell>
          <cell r="R464" t="str">
            <v>Functioning</v>
          </cell>
          <cell r="S464">
            <v>3515</v>
          </cell>
          <cell r="T464" t="str">
            <v>KEW</v>
          </cell>
          <cell r="U464" t="str">
            <v>10/12/2013</v>
          </cell>
          <cell r="V464" t="str">
            <v>KEW</v>
          </cell>
          <cell r="W464" t="str">
            <v>16/12/2013</v>
          </cell>
          <cell r="X464" t="str">
            <v>15/12/2014</v>
          </cell>
          <cell r="Y464" t="str">
            <v>No</v>
          </cell>
          <cell r="Z464" t="str">
            <v>16/12/2013</v>
          </cell>
          <cell r="AA464" t="str">
            <v>Good</v>
          </cell>
          <cell r="AB464" t="str">
            <v>V5 - Transfer to other Hospitals/Healthcare Facility</v>
          </cell>
          <cell r="AC464">
            <v>43033</v>
          </cell>
          <cell r="AD464">
            <v>5.92</v>
          </cell>
          <cell r="AE464" t="str">
            <v>PPM</v>
          </cell>
          <cell r="AF464" t="str">
            <v>Not in contract</v>
          </cell>
          <cell r="AG464" t="str">
            <v>Strands PW. Proposed for V5 P2.23</v>
          </cell>
          <cell r="AH464" t="str">
            <v>SNF received. 1st batch of V3 asset (December 2020). V4 received on Jan 2021. Transfer to Hospital Serdang</v>
          </cell>
        </row>
        <row r="465">
          <cell r="A465" t="str">
            <v>IKN401612</v>
          </cell>
          <cell r="B465">
            <v>1546</v>
          </cell>
          <cell r="C465" t="str">
            <v>Institut Kanser Negara</v>
          </cell>
          <cell r="D465" t="str">
            <v>KKM/IKN/I/13/5898</v>
          </cell>
          <cell r="E465" t="str">
            <v>13-325</v>
          </cell>
          <cell r="F465" t="str">
            <v>Regulators, Suction</v>
          </cell>
          <cell r="G465" t="str">
            <v>MC</v>
          </cell>
          <cell r="H465" t="str">
            <v>MULTI-DISCIPLINE CLINIC</v>
          </cell>
          <cell r="I465" t="str">
            <v>03MC108</v>
          </cell>
          <cell r="J465" t="str">
            <v>TREATMENT/PROCEDURE</v>
          </cell>
          <cell r="K465" t="str">
            <v>BMED</v>
          </cell>
          <cell r="L465" t="str">
            <v>Normal</v>
          </cell>
          <cell r="M465" t="str">
            <v>United States</v>
          </cell>
          <cell r="N465" t="str">
            <v>OHIO</v>
          </cell>
          <cell r="O465" t="str">
            <v>R244047311229905</v>
          </cell>
          <cell r="P465" t="str">
            <v>GPHS65052</v>
          </cell>
          <cell r="Q465" t="str">
            <v>Not Applicable</v>
          </cell>
          <cell r="R465" t="str">
            <v>OHIO</v>
          </cell>
          <cell r="S465" t="str">
            <v>Respimedic</v>
          </cell>
          <cell r="T465" t="str">
            <v>Functioning</v>
          </cell>
          <cell r="U465" t="str">
            <v>Asset</v>
          </cell>
          <cell r="V465">
            <v>920</v>
          </cell>
          <cell r="W465" t="str">
            <v>KEW</v>
          </cell>
          <cell r="X465" t="str">
            <v>01/09/2010</v>
          </cell>
          <cell r="Y465" t="str">
            <v>KEW</v>
          </cell>
          <cell r="Z465" t="str">
            <v>16/08/2013</v>
          </cell>
          <cell r="AA465" t="str">
            <v>15/08/2015</v>
          </cell>
          <cell r="AB465" t="str">
            <v>No</v>
          </cell>
          <cell r="AC465" t="str">
            <v>31/08/2013</v>
          </cell>
          <cell r="AD465" t="str">
            <v>Good</v>
          </cell>
          <cell r="AE465" t="str">
            <v>V4 - Decommissioned Installed Facility</v>
          </cell>
          <cell r="AF465">
            <v>42951</v>
          </cell>
          <cell r="AG465">
            <v>9.17</v>
          </cell>
          <cell r="AH465" t="str">
            <v>RI</v>
          </cell>
          <cell r="AI465" t="str">
            <v>Strands</v>
          </cell>
          <cell r="AJ465" t="str">
            <v>Not under maintenance</v>
          </cell>
        </row>
        <row r="466">
          <cell r="A466" t="str">
            <v>IKN401613</v>
          </cell>
          <cell r="B466">
            <v>1547</v>
          </cell>
          <cell r="C466" t="str">
            <v>Institut Kanser Negara</v>
          </cell>
          <cell r="D466" t="str">
            <v>KKM/IKN/I/13/5899</v>
          </cell>
          <cell r="E466" t="str">
            <v>13-325</v>
          </cell>
          <cell r="F466" t="str">
            <v>Regulators, Suction</v>
          </cell>
          <cell r="G466" t="str">
            <v>MC</v>
          </cell>
          <cell r="H466" t="str">
            <v>MULTI-DISCIPLINE CLINIC</v>
          </cell>
          <cell r="I466" t="str">
            <v>03MC107</v>
          </cell>
          <cell r="J466" t="str">
            <v>TREATMENT 1</v>
          </cell>
          <cell r="K466" t="str">
            <v>BMED</v>
          </cell>
          <cell r="L466" t="str">
            <v>Normal</v>
          </cell>
          <cell r="M466" t="str">
            <v>United States</v>
          </cell>
          <cell r="N466" t="str">
            <v>OHIO</v>
          </cell>
          <cell r="O466" t="str">
            <v>R244047311229905</v>
          </cell>
          <cell r="P466" t="str">
            <v>GPHS65079</v>
          </cell>
          <cell r="Q466" t="str">
            <v>Not Applicable</v>
          </cell>
          <cell r="R466" t="str">
            <v>OHIO</v>
          </cell>
          <cell r="S466" t="str">
            <v>Respimedic</v>
          </cell>
          <cell r="T466" t="str">
            <v>Functioning</v>
          </cell>
          <cell r="U466" t="str">
            <v>Asset</v>
          </cell>
          <cell r="V466">
            <v>920</v>
          </cell>
          <cell r="W466" t="str">
            <v>KEW</v>
          </cell>
          <cell r="X466" t="str">
            <v>01/09/2010</v>
          </cell>
          <cell r="Y466" t="str">
            <v>KEW</v>
          </cell>
          <cell r="Z466" t="str">
            <v>16/08/2013</v>
          </cell>
          <cell r="AA466" t="str">
            <v>15/08/2015</v>
          </cell>
          <cell r="AB466" t="str">
            <v>No</v>
          </cell>
          <cell r="AC466" t="str">
            <v>31/08/2013</v>
          </cell>
          <cell r="AD466" t="str">
            <v>Good</v>
          </cell>
          <cell r="AE466" t="str">
            <v>V4 - Decommissioned Installed Facility</v>
          </cell>
          <cell r="AF466">
            <v>42951</v>
          </cell>
          <cell r="AG466">
            <v>9.17</v>
          </cell>
          <cell r="AH466" t="str">
            <v>RI</v>
          </cell>
          <cell r="AI466" t="str">
            <v>Strands</v>
          </cell>
          <cell r="AJ466" t="str">
            <v>Not under maintenance</v>
          </cell>
        </row>
        <row r="467">
          <cell r="A467" t="str">
            <v>IKN401614</v>
          </cell>
          <cell r="B467">
            <v>1548</v>
          </cell>
          <cell r="C467" t="str">
            <v>Institut Kanser Negara</v>
          </cell>
          <cell r="D467" t="str">
            <v>KKM/IKN/I/13/5897</v>
          </cell>
          <cell r="E467" t="str">
            <v>13-325</v>
          </cell>
          <cell r="F467" t="str">
            <v>Regulators, Suction</v>
          </cell>
          <cell r="G467" t="str">
            <v>MC</v>
          </cell>
          <cell r="H467" t="str">
            <v>MULTI-DISCIPLINE CLINIC</v>
          </cell>
          <cell r="I467" t="str">
            <v>03MC107</v>
          </cell>
          <cell r="J467" t="str">
            <v>TREATMENT 1</v>
          </cell>
          <cell r="K467" t="str">
            <v>BMED</v>
          </cell>
          <cell r="L467" t="str">
            <v>Normal</v>
          </cell>
          <cell r="M467" t="str">
            <v>United States</v>
          </cell>
          <cell r="N467" t="str">
            <v>OHIO</v>
          </cell>
          <cell r="O467" t="str">
            <v>R244047311229905</v>
          </cell>
          <cell r="P467" t="str">
            <v>GPHS65059</v>
          </cell>
          <cell r="Q467" t="str">
            <v>Not Applicable</v>
          </cell>
          <cell r="R467" t="str">
            <v>OHIO</v>
          </cell>
          <cell r="S467" t="str">
            <v>Respimedic</v>
          </cell>
          <cell r="T467" t="str">
            <v>Functioning</v>
          </cell>
          <cell r="U467" t="str">
            <v>Asset</v>
          </cell>
          <cell r="V467">
            <v>920</v>
          </cell>
          <cell r="W467" t="str">
            <v>KEW</v>
          </cell>
          <cell r="X467" t="str">
            <v>01/09/2010</v>
          </cell>
          <cell r="Y467" t="str">
            <v>KEW</v>
          </cell>
          <cell r="Z467" t="str">
            <v>16/08/2013</v>
          </cell>
          <cell r="AA467" t="str">
            <v>15/08/2015</v>
          </cell>
          <cell r="AB467" t="str">
            <v>No</v>
          </cell>
          <cell r="AC467" t="str">
            <v>31/08/2013</v>
          </cell>
          <cell r="AD467" t="str">
            <v>Good</v>
          </cell>
          <cell r="AE467" t="str">
            <v>V4 - Decommissioned Installed Facility</v>
          </cell>
          <cell r="AF467">
            <v>42951</v>
          </cell>
          <cell r="AG467">
            <v>9.17</v>
          </cell>
          <cell r="AH467" t="str">
            <v>RI</v>
          </cell>
          <cell r="AI467" t="str">
            <v>Strands</v>
          </cell>
          <cell r="AJ467" t="str">
            <v>Not under maintenance</v>
          </cell>
        </row>
        <row r="468">
          <cell r="A468" t="str">
            <v>IKN401696</v>
          </cell>
          <cell r="B468">
            <v>1619</v>
          </cell>
          <cell r="C468" t="str">
            <v>Institut Kanser Negara</v>
          </cell>
          <cell r="D468" t="str">
            <v>KKM/IKN/H/13/3107</v>
          </cell>
          <cell r="E468" t="str">
            <v>12-660</v>
          </cell>
          <cell r="F468" t="str">
            <v>Radiation Monitors</v>
          </cell>
          <cell r="G468" t="str">
            <v>WA</v>
          </cell>
          <cell r="H468" t="str">
            <v>NUCLEAR MED WARD (THERAPY)</v>
          </cell>
          <cell r="I468" t="str">
            <v>03WA117</v>
          </cell>
          <cell r="J468" t="str">
            <v>N/S 1</v>
          </cell>
          <cell r="K468" t="str">
            <v>BMED</v>
          </cell>
          <cell r="L468" t="str">
            <v>Normal</v>
          </cell>
          <cell r="M468" t="str">
            <v>GERMANY</v>
          </cell>
          <cell r="N468" t="str">
            <v>PADOS</v>
          </cell>
          <cell r="O468" t="str">
            <v>PADOS</v>
          </cell>
          <cell r="P468" t="str">
            <v>Not Available</v>
          </cell>
          <cell r="Q468" t="str">
            <v>Not Applicable</v>
          </cell>
          <cell r="R468" t="str">
            <v>MED DULMEN/NUVIA INSTRUMENT GMBH</v>
          </cell>
          <cell r="S468" t="str">
            <v>MED Nuklear-Medizintechnik Dresden GmbH</v>
          </cell>
          <cell r="T468" t="str">
            <v>Functioning</v>
          </cell>
          <cell r="U468" t="str">
            <v>Asset</v>
          </cell>
          <cell r="V468">
            <v>21290</v>
          </cell>
          <cell r="W468" t="str">
            <v>KEW</v>
          </cell>
          <cell r="X468" t="str">
            <v>01/09/2010</v>
          </cell>
          <cell r="Y468" t="str">
            <v>KEW</v>
          </cell>
          <cell r="Z468" t="str">
            <v>16/08/2013</v>
          </cell>
          <cell r="AA468" t="str">
            <v>15/08/2015</v>
          </cell>
          <cell r="AB468" t="str">
            <v>No</v>
          </cell>
          <cell r="AC468" t="str">
            <v>16/08/2013</v>
          </cell>
          <cell r="AD468" t="str">
            <v>Good</v>
          </cell>
          <cell r="AE468" t="str">
            <v>V10 - Asset in initial fee submission(new/replacement hosp)</v>
          </cell>
          <cell r="AF468">
            <v>43431</v>
          </cell>
          <cell r="AG468">
            <v>9.17</v>
          </cell>
          <cell r="AH468" t="str">
            <v>PPM</v>
          </cell>
          <cell r="AI468" t="str">
            <v>Strands</v>
          </cell>
          <cell r="AJ468" t="str">
            <v>Strands PW</v>
          </cell>
          <cell r="AK468" t="str">
            <v>BER</v>
          </cell>
        </row>
        <row r="469">
          <cell r="A469" t="str">
            <v>IKN402003</v>
          </cell>
          <cell r="B469">
            <v>1658</v>
          </cell>
          <cell r="C469" t="str">
            <v>Institut Kanser Negara</v>
          </cell>
          <cell r="D469" t="str">
            <v>KKM/IKN/H/19/24</v>
          </cell>
          <cell r="E469" t="str">
            <v>17-973</v>
          </cell>
          <cell r="F469" t="str">
            <v>Testers, Laser Beam</v>
          </cell>
          <cell r="G469" t="str">
            <v>RT</v>
          </cell>
          <cell r="H469" t="str">
            <v>RADIATION TREATMENT UNIT</v>
          </cell>
          <cell r="I469" t="str">
            <v>01RT213</v>
          </cell>
          <cell r="J469" t="str">
            <v>EQUIPMENT ROOM1</v>
          </cell>
          <cell r="K469" t="str">
            <v>BMED</v>
          </cell>
          <cell r="L469" t="str">
            <v>Normal</v>
          </cell>
          <cell r="Q469" t="str">
            <v>Not Applicable</v>
          </cell>
          <cell r="R469" t="str">
            <v>MODUS MEDICAL DEVICES INC.</v>
          </cell>
          <cell r="S469" t="str">
            <v>ABEX MEDICAL SYSTEM SDN BHD</v>
          </cell>
          <cell r="T469" t="str">
            <v>Functioning</v>
          </cell>
          <cell r="U469" t="str">
            <v>Asset</v>
          </cell>
          <cell r="V469">
            <v>200000</v>
          </cell>
          <cell r="W469" t="str">
            <v>KEW</v>
          </cell>
          <cell r="X469">
            <v>43749</v>
          </cell>
          <cell r="Y469" t="str">
            <v>KEW</v>
          </cell>
          <cell r="Z469">
            <v>43768</v>
          </cell>
          <cell r="AA469">
            <v>44526</v>
          </cell>
          <cell r="AB469" t="str">
            <v>No</v>
          </cell>
          <cell r="AC469">
            <v>43768</v>
          </cell>
          <cell r="AD469" t="str">
            <v>Good</v>
          </cell>
          <cell r="AE469" t="str">
            <v>V3 - Added Installed Facilities (New)</v>
          </cell>
          <cell r="AH469" t="str">
            <v>PPM</v>
          </cell>
          <cell r="AI469" t="str">
            <v>Strands</v>
          </cell>
          <cell r="AJ469" t="str">
            <v>Strands PW</v>
          </cell>
          <cell r="AK469" t="str">
            <v>SNF received for P2.19. Vendor/User inform no maintenance. Quasar Respiratory Motion Phantom.</v>
          </cell>
        </row>
        <row r="470">
          <cell r="A470" t="str">
            <v>IKN402023</v>
          </cell>
          <cell r="B470">
            <v>1678</v>
          </cell>
          <cell r="C470" t="str">
            <v>Institut Kanser Negara</v>
          </cell>
          <cell r="D470" t="str">
            <v>KKM/IKN/H/20/21</v>
          </cell>
          <cell r="E470" t="str">
            <v>17-949</v>
          </cell>
          <cell r="F470" t="str">
            <v>Handpieces, Surgical</v>
          </cell>
          <cell r="G470" t="str">
            <v>OT</v>
          </cell>
          <cell r="H470" t="str">
            <v>OPERATING THEATRE</v>
          </cell>
          <cell r="I470" t="str">
            <v>05OT105</v>
          </cell>
          <cell r="J470" t="str">
            <v>ORTHO ROOM (FUTURE)</v>
          </cell>
          <cell r="K470" t="str">
            <v>BMED</v>
          </cell>
          <cell r="L470" t="str">
            <v>Normal</v>
          </cell>
          <cell r="M470" t="str">
            <v>USA</v>
          </cell>
          <cell r="N470" t="str">
            <v>MEDTRONIC</v>
          </cell>
          <cell r="O470" t="str">
            <v>IPC EC300</v>
          </cell>
          <cell r="P470" t="str">
            <v>NCT 68498</v>
          </cell>
          <cell r="Q470" t="str">
            <v>Not Applicable</v>
          </cell>
          <cell r="R470" t="str">
            <v>MEDTRONIC  XIOMED INC</v>
          </cell>
          <cell r="S470" t="str">
            <v>Mediliance (M) Sdn. Bhd.</v>
          </cell>
          <cell r="T470" t="str">
            <v>Functioning</v>
          </cell>
          <cell r="U470" t="str">
            <v>Asset</v>
          </cell>
          <cell r="V470">
            <v>150000</v>
          </cell>
          <cell r="W470" t="str">
            <v>KEW</v>
          </cell>
          <cell r="X470">
            <v>43942</v>
          </cell>
          <cell r="Y470" t="str">
            <v>KEW</v>
          </cell>
          <cell r="Z470">
            <v>43959</v>
          </cell>
          <cell r="AA470">
            <v>44324</v>
          </cell>
          <cell r="AB470" t="str">
            <v>No</v>
          </cell>
          <cell r="AC470">
            <v>43959</v>
          </cell>
          <cell r="AD470" t="str">
            <v>Good</v>
          </cell>
          <cell r="AE470" t="str">
            <v>V5 - Transfer to other Hospitals/Healthcare Facility</v>
          </cell>
          <cell r="AH470" t="str">
            <v>PPM</v>
          </cell>
          <cell r="AI470" t="str">
            <v>Not in contract</v>
          </cell>
          <cell r="AJ470" t="str">
            <v>Not in contract</v>
          </cell>
          <cell r="AK470" t="str">
            <v>SNF received on 22.6.2020. Transfer to Hospital Sungai Buloh.</v>
          </cell>
        </row>
        <row r="471">
          <cell r="A471" t="str">
            <v>IKN402024</v>
          </cell>
          <cell r="B471">
            <v>1679</v>
          </cell>
          <cell r="C471" t="str">
            <v>Institut Kanser Negara</v>
          </cell>
          <cell r="D471" t="str">
            <v>KKM/IKN/H/20/20</v>
          </cell>
          <cell r="E471" t="str">
            <v>17-949</v>
          </cell>
          <cell r="F471" t="str">
            <v>Handpieces, Surgical</v>
          </cell>
          <cell r="G471" t="str">
            <v>OT</v>
          </cell>
          <cell r="H471" t="str">
            <v>OPERATING THEATRE</v>
          </cell>
          <cell r="I471" t="str">
            <v>05OT105</v>
          </cell>
          <cell r="J471" t="str">
            <v>ORTHO ROOM (FUTURE)</v>
          </cell>
          <cell r="K471" t="str">
            <v>BMED</v>
          </cell>
          <cell r="L471" t="str">
            <v>Normal</v>
          </cell>
          <cell r="M471" t="str">
            <v>USA</v>
          </cell>
          <cell r="N471" t="str">
            <v>MEDTRONIC</v>
          </cell>
          <cell r="O471" t="str">
            <v>IPC EC300</v>
          </cell>
          <cell r="P471" t="str">
            <v>NCT 68881</v>
          </cell>
          <cell r="Q471" t="str">
            <v>Not Applicable</v>
          </cell>
          <cell r="R471" t="str">
            <v>MEDTRONIC  XIOMED INC</v>
          </cell>
          <cell r="S471" t="str">
            <v>Mediliance (M) Sdn. Bhd.</v>
          </cell>
          <cell r="T471" t="str">
            <v>Functioning</v>
          </cell>
          <cell r="U471" t="str">
            <v>Asset</v>
          </cell>
          <cell r="V471">
            <v>150000</v>
          </cell>
          <cell r="W471" t="str">
            <v>KEW</v>
          </cell>
          <cell r="X471">
            <v>43942</v>
          </cell>
          <cell r="Y471" t="str">
            <v>KEW</v>
          </cell>
          <cell r="Z471">
            <v>43959</v>
          </cell>
          <cell r="AA471">
            <v>44324</v>
          </cell>
          <cell r="AB471" t="str">
            <v>No</v>
          </cell>
          <cell r="AC471">
            <v>43959</v>
          </cell>
          <cell r="AD471" t="str">
            <v>Good</v>
          </cell>
          <cell r="AE471" t="str">
            <v>V5 - Transfer to other Hospitals/Healthcare Facility</v>
          </cell>
          <cell r="AH471" t="str">
            <v>PPM</v>
          </cell>
          <cell r="AI471" t="str">
            <v>Not in contract</v>
          </cell>
          <cell r="AJ471" t="str">
            <v>Not in contract</v>
          </cell>
          <cell r="AK471" t="str">
            <v>SNF received on 22.6.2020. Transfer to Hospital Sungai Buloh.</v>
          </cell>
        </row>
        <row r="472">
          <cell r="A472" t="str">
            <v>IKN402026</v>
          </cell>
          <cell r="B472">
            <v>1681</v>
          </cell>
          <cell r="C472" t="str">
            <v>Institut Kanser Negara</v>
          </cell>
          <cell r="D472" t="str">
            <v>KKM/IKN/H/20/15</v>
          </cell>
          <cell r="E472" t="str">
            <v>13-209</v>
          </cell>
          <cell r="F472" t="str">
            <v>Pumps, Enteral Feeding</v>
          </cell>
          <cell r="G472" t="str">
            <v>WB</v>
          </cell>
          <cell r="H472" t="str">
            <v>SURGICAL ONCO MALE WARD</v>
          </cell>
          <cell r="I472" t="str">
            <v>05WB113</v>
          </cell>
          <cell r="J472" t="str">
            <v>EQUIP. ROOM</v>
          </cell>
          <cell r="K472" t="str">
            <v>BMED</v>
          </cell>
          <cell r="L472" t="str">
            <v>Normal</v>
          </cell>
          <cell r="M472" t="str">
            <v>USA</v>
          </cell>
          <cell r="N472" t="str">
            <v>Sentinel</v>
          </cell>
          <cell r="O472" t="str">
            <v>Sentinel S-3000</v>
          </cell>
          <cell r="P472" t="str">
            <v>001816</v>
          </cell>
          <cell r="Q472" t="str">
            <v>Not Applicable</v>
          </cell>
          <cell r="R472" t="str">
            <v>Alcor Scientific Inc</v>
          </cell>
          <cell r="S472" t="str">
            <v>Kenanga Network Sdn Bhd</v>
          </cell>
          <cell r="T472" t="str">
            <v>Transferred</v>
          </cell>
          <cell r="U472" t="str">
            <v>Asset</v>
          </cell>
          <cell r="V472">
            <v>3000</v>
          </cell>
          <cell r="W472" t="str">
            <v>KEW</v>
          </cell>
          <cell r="X472">
            <v>43941</v>
          </cell>
          <cell r="Y472" t="str">
            <v>KEW</v>
          </cell>
          <cell r="Z472">
            <v>43955</v>
          </cell>
          <cell r="AA472">
            <v>44320</v>
          </cell>
          <cell r="AB472" t="str">
            <v>No</v>
          </cell>
          <cell r="AC472">
            <v>43955</v>
          </cell>
          <cell r="AD472" t="str">
            <v>Good</v>
          </cell>
          <cell r="AE472" t="str">
            <v>V5 - Transfer to other Hospitals/Healthcare Facility</v>
          </cell>
          <cell r="AH472" t="str">
            <v>PPM</v>
          </cell>
          <cell r="AI472" t="str">
            <v>Not in contract</v>
          </cell>
          <cell r="AJ472" t="str">
            <v>Not in contract</v>
          </cell>
          <cell r="AK472" t="str">
            <v>SNF received on 22.6.2020. Transfer to Hospital Sungai Buloh.</v>
          </cell>
        </row>
        <row r="473">
          <cell r="A473" t="str">
            <v>IKN402027</v>
          </cell>
          <cell r="B473">
            <v>1682</v>
          </cell>
          <cell r="C473" t="str">
            <v>Institut Kanser Negara</v>
          </cell>
          <cell r="D473" t="str">
            <v>KKM/IKN/H/20/16</v>
          </cell>
          <cell r="E473" t="str">
            <v>13-209</v>
          </cell>
          <cell r="F473" t="str">
            <v>Pumps, Enteral Feeding</v>
          </cell>
          <cell r="G473" t="str">
            <v>WB</v>
          </cell>
          <cell r="H473" t="str">
            <v>SURGICAL ONCO MALE WARD</v>
          </cell>
          <cell r="I473" t="str">
            <v>05WB113</v>
          </cell>
          <cell r="J473" t="str">
            <v>EQUIP. ROOM</v>
          </cell>
          <cell r="K473" t="str">
            <v>BMED</v>
          </cell>
          <cell r="L473" t="str">
            <v>Normal</v>
          </cell>
          <cell r="M473" t="str">
            <v>USA</v>
          </cell>
          <cell r="N473" t="str">
            <v>Sentinel</v>
          </cell>
          <cell r="O473" t="str">
            <v>Sentinel S-3000</v>
          </cell>
          <cell r="P473" t="str">
            <v>001817</v>
          </cell>
          <cell r="Q473" t="str">
            <v>Not Applicable</v>
          </cell>
          <cell r="S473" t="str">
            <v>Kenanga Network Sdn Bhd</v>
          </cell>
          <cell r="T473" t="str">
            <v>Transferred</v>
          </cell>
          <cell r="U473" t="str">
            <v>Asset</v>
          </cell>
          <cell r="V473">
            <v>3000</v>
          </cell>
          <cell r="W473" t="str">
            <v>KEW</v>
          </cell>
          <cell r="X473">
            <v>43941</v>
          </cell>
          <cell r="Y473" t="str">
            <v>KEW</v>
          </cell>
          <cell r="Z473">
            <v>43955</v>
          </cell>
          <cell r="AA473">
            <v>44320</v>
          </cell>
          <cell r="AB473" t="str">
            <v>No</v>
          </cell>
          <cell r="AC473">
            <v>43955</v>
          </cell>
          <cell r="AD473" t="str">
            <v>Good</v>
          </cell>
          <cell r="AE473" t="str">
            <v>V5 - Transfer to other Hospitals/Healthcare Facility</v>
          </cell>
          <cell r="AH473" t="str">
            <v>PPM</v>
          </cell>
          <cell r="AI473" t="str">
            <v>Not in contract</v>
          </cell>
          <cell r="AJ473" t="str">
            <v>Not in contract</v>
          </cell>
          <cell r="AK473" t="str">
            <v>SNF received on 22.6.2020. Transfer to Hospital Sungai Buloh.</v>
          </cell>
        </row>
        <row r="474">
          <cell r="A474" t="str">
            <v>IKN402028</v>
          </cell>
          <cell r="B474">
            <v>1683</v>
          </cell>
          <cell r="C474" t="str">
            <v>Institut Kanser Negara</v>
          </cell>
          <cell r="D474" t="str">
            <v>KKM/IKN/H/20/26</v>
          </cell>
          <cell r="E474" t="str">
            <v>18-147</v>
          </cell>
          <cell r="F474" t="str">
            <v>Mattress Systems, Alternating-Pressure</v>
          </cell>
          <cell r="G474" t="str">
            <v>WB</v>
          </cell>
          <cell r="H474" t="str">
            <v>SURGICAL ONCO MALE WARD</v>
          </cell>
          <cell r="I474" t="str">
            <v>05WB113</v>
          </cell>
          <cell r="J474" t="str">
            <v>EQUIP. ROOM</v>
          </cell>
          <cell r="K474" t="str">
            <v>BMED</v>
          </cell>
          <cell r="L474" t="str">
            <v>Normal</v>
          </cell>
          <cell r="P474">
            <v>19062173</v>
          </cell>
          <cell r="Q474" t="str">
            <v>Not Applicable</v>
          </cell>
          <cell r="S474" t="str">
            <v>Perniagaan Bekalan Abadi Sdn.Bhd.</v>
          </cell>
          <cell r="T474" t="str">
            <v>Transferred</v>
          </cell>
          <cell r="U474" t="str">
            <v>Asset</v>
          </cell>
          <cell r="V474">
            <v>1000</v>
          </cell>
          <cell r="W474" t="str">
            <v>KEW</v>
          </cell>
          <cell r="X474">
            <v>43941</v>
          </cell>
          <cell r="Y474" t="str">
            <v>KEW</v>
          </cell>
          <cell r="Z474">
            <v>43963</v>
          </cell>
          <cell r="AA474">
            <v>44328</v>
          </cell>
          <cell r="AB474" t="str">
            <v>No</v>
          </cell>
          <cell r="AC474">
            <v>43963</v>
          </cell>
          <cell r="AD474" t="str">
            <v>Good</v>
          </cell>
          <cell r="AE474" t="str">
            <v>V5 - Transfer to other Hospitals/Healthcare Facility</v>
          </cell>
          <cell r="AH474" t="str">
            <v>PPM</v>
          </cell>
          <cell r="AI474" t="str">
            <v>Not in contract</v>
          </cell>
          <cell r="AJ474" t="str">
            <v>Not in contract</v>
          </cell>
          <cell r="AK474" t="str">
            <v>SNF received on 22.6.2020. Transfer to Hospital Sungai Buloh.</v>
          </cell>
        </row>
        <row r="475">
          <cell r="A475" t="str">
            <v>IKN402029</v>
          </cell>
          <cell r="B475">
            <v>1684</v>
          </cell>
          <cell r="C475" t="str">
            <v>Institut Kanser Negara</v>
          </cell>
          <cell r="D475" t="str">
            <v>KKM/IKN/H/20/27</v>
          </cell>
          <cell r="E475" t="str">
            <v>18-147</v>
          </cell>
          <cell r="F475" t="str">
            <v>Mattress Systems, Alternating-Pressure</v>
          </cell>
          <cell r="G475" t="str">
            <v>WB</v>
          </cell>
          <cell r="H475" t="str">
            <v>SURGICAL ONCO MALE WARD</v>
          </cell>
          <cell r="I475" t="str">
            <v>05WB113</v>
          </cell>
          <cell r="J475" t="str">
            <v>EQUIP. ROOM</v>
          </cell>
          <cell r="K475" t="str">
            <v>BMED</v>
          </cell>
          <cell r="L475" t="str">
            <v>Normal</v>
          </cell>
          <cell r="P475">
            <v>19061904</v>
          </cell>
          <cell r="Q475" t="str">
            <v>Not Applicable</v>
          </cell>
          <cell r="S475" t="str">
            <v>Perniagaan Bekalan Abadi Sdn.Bhd.</v>
          </cell>
          <cell r="T475" t="str">
            <v>Transferred</v>
          </cell>
          <cell r="U475" t="str">
            <v>Asset</v>
          </cell>
          <cell r="V475">
            <v>1000</v>
          </cell>
          <cell r="W475" t="str">
            <v>KEW</v>
          </cell>
          <cell r="X475">
            <v>43941</v>
          </cell>
          <cell r="Y475" t="str">
            <v>KEW</v>
          </cell>
          <cell r="Z475">
            <v>43963</v>
          </cell>
          <cell r="AA475">
            <v>44328</v>
          </cell>
          <cell r="AB475" t="str">
            <v>No</v>
          </cell>
          <cell r="AC475">
            <v>43963</v>
          </cell>
          <cell r="AD475" t="str">
            <v>Good</v>
          </cell>
          <cell r="AE475" t="str">
            <v>V5 - Transfer to other Hospitals/Healthcare Facility</v>
          </cell>
          <cell r="AH475" t="str">
            <v>PPM</v>
          </cell>
          <cell r="AI475" t="str">
            <v>Not in contract</v>
          </cell>
          <cell r="AJ475" t="str">
            <v>Not in contract</v>
          </cell>
          <cell r="AK475" t="str">
            <v>SNF received on 22.6.2020. Transfer to Hospital Sungai Buloh.</v>
          </cell>
        </row>
        <row r="476">
          <cell r="A476" t="str">
            <v>IKN402030</v>
          </cell>
          <cell r="B476">
            <v>1685</v>
          </cell>
          <cell r="C476" t="str">
            <v>Institut Kanser Negara</v>
          </cell>
          <cell r="D476" t="str">
            <v>KKM/IKN/H/20/28</v>
          </cell>
          <cell r="E476" t="str">
            <v>18-147</v>
          </cell>
          <cell r="F476" t="str">
            <v>Mattress Systems, Alternating-Pressure</v>
          </cell>
          <cell r="G476" t="str">
            <v>WB</v>
          </cell>
          <cell r="H476" t="str">
            <v>SURGICAL ONCO MALE WARD</v>
          </cell>
          <cell r="I476" t="str">
            <v>05WB113</v>
          </cell>
          <cell r="J476" t="str">
            <v>EQUIP. ROOM</v>
          </cell>
          <cell r="K476" t="str">
            <v>BMED</v>
          </cell>
          <cell r="L476" t="str">
            <v>Normal</v>
          </cell>
          <cell r="P476">
            <v>19061905</v>
          </cell>
          <cell r="Q476" t="str">
            <v>Not Applicable</v>
          </cell>
          <cell r="S476" t="str">
            <v>Perniagaan Bekalan Abadi Sdn.Bhd.</v>
          </cell>
          <cell r="T476" t="str">
            <v>Transferred</v>
          </cell>
          <cell r="U476" t="str">
            <v>Asset</v>
          </cell>
          <cell r="V476">
            <v>1000</v>
          </cell>
          <cell r="W476" t="str">
            <v>KEW</v>
          </cell>
          <cell r="X476">
            <v>43941</v>
          </cell>
          <cell r="Y476" t="str">
            <v>KEW</v>
          </cell>
          <cell r="Z476">
            <v>43963</v>
          </cell>
          <cell r="AA476">
            <v>44328</v>
          </cell>
          <cell r="AB476" t="str">
            <v>No</v>
          </cell>
          <cell r="AC476">
            <v>43963</v>
          </cell>
          <cell r="AD476" t="str">
            <v>Good</v>
          </cell>
          <cell r="AE476" t="str">
            <v>V5 - Transfer to other Hospitals/Healthcare Facility</v>
          </cell>
          <cell r="AH476" t="str">
            <v>PPM</v>
          </cell>
          <cell r="AI476" t="str">
            <v>Not in contract</v>
          </cell>
          <cell r="AJ476" t="str">
            <v>Strands PW. Proposed for V5 P2.23</v>
          </cell>
          <cell r="AK476" t="str">
            <v>SNF received on 22.6.2020. Transfer to Hospital Sungai Buloh.</v>
          </cell>
        </row>
        <row r="477">
          <cell r="A477" t="str">
            <v>IKN402034</v>
          </cell>
          <cell r="B477">
            <v>1689</v>
          </cell>
          <cell r="C477" t="str">
            <v>Institut Kanser Negara</v>
          </cell>
          <cell r="D477" t="str">
            <v>KKM/IKN/H/20/22</v>
          </cell>
          <cell r="E477" t="str">
            <v>10-849</v>
          </cell>
          <cell r="F477" t="str">
            <v>CIRCULATORY ASSIST UNITS, VENOUS RETURN</v>
          </cell>
          <cell r="G477" t="str">
            <v>WB</v>
          </cell>
          <cell r="H477" t="str">
            <v>SURGICAL ONCO MALE WARD</v>
          </cell>
          <cell r="I477" t="str">
            <v>05WB113</v>
          </cell>
          <cell r="J477" t="str">
            <v>EQUIP. ROOM</v>
          </cell>
          <cell r="K477" t="str">
            <v>BMED</v>
          </cell>
          <cell r="L477" t="str">
            <v>Normal</v>
          </cell>
          <cell r="M477" t="str">
            <v>USA</v>
          </cell>
          <cell r="N477" t="str">
            <v>Covidien</v>
          </cell>
          <cell r="O477" t="str">
            <v>Kendall SCD 700 DVT</v>
          </cell>
          <cell r="P477" t="str">
            <v>V1933113SX</v>
          </cell>
          <cell r="Q477" t="str">
            <v>Not Applicable</v>
          </cell>
          <cell r="R477" t="str">
            <v>Covidien LLC, USA</v>
          </cell>
          <cell r="S477" t="str">
            <v>ALAM MEDIK SDN BHD</v>
          </cell>
          <cell r="T477" t="str">
            <v>Transferred</v>
          </cell>
          <cell r="U477" t="str">
            <v>Asset</v>
          </cell>
          <cell r="V477">
            <v>8500</v>
          </cell>
          <cell r="W477" t="str">
            <v>KEW</v>
          </cell>
          <cell r="X477">
            <v>43973</v>
          </cell>
          <cell r="Y477" t="str">
            <v>KEW</v>
          </cell>
          <cell r="Z477">
            <v>43973</v>
          </cell>
          <cell r="AA477">
            <v>44338</v>
          </cell>
          <cell r="AB477" t="str">
            <v>No</v>
          </cell>
          <cell r="AD477" t="str">
            <v>Good</v>
          </cell>
          <cell r="AE477" t="str">
            <v>V5 - Transfer to other Hospitals/Healthcare Facility</v>
          </cell>
          <cell r="AH477" t="str">
            <v>PPM</v>
          </cell>
          <cell r="AI477" t="str">
            <v>Not in contract</v>
          </cell>
          <cell r="AJ477" t="str">
            <v>Not in contract</v>
          </cell>
          <cell r="AK477" t="str">
            <v>SNF received on 22.6.2020. Transfer to Hospital Sungai Buloh.</v>
          </cell>
        </row>
        <row r="478">
          <cell r="A478" t="str">
            <v>IKN402047</v>
          </cell>
          <cell r="B478">
            <v>1702</v>
          </cell>
          <cell r="C478" t="str">
            <v>Institut Kanser Negara</v>
          </cell>
          <cell r="D478" t="str">
            <v>KKM/IKN/H/20/51</v>
          </cell>
          <cell r="E478" t="str">
            <v>15-167</v>
          </cell>
          <cell r="F478" t="str">
            <v>Extractors, Plasma</v>
          </cell>
          <cell r="G478" t="str">
            <v>LA</v>
          </cell>
          <cell r="H478" t="str">
            <v>PATHOLOGY</v>
          </cell>
          <cell r="I478" t="str">
            <v>04LA127</v>
          </cell>
          <cell r="J478" t="str">
            <v>INNOCULATION/STAINING</v>
          </cell>
          <cell r="K478" t="str">
            <v>BMED</v>
          </cell>
          <cell r="L478" t="str">
            <v>Normal</v>
          </cell>
          <cell r="M478" t="str">
            <v>Taiwan</v>
          </cell>
          <cell r="N478" t="str">
            <v>LabTurbo</v>
          </cell>
          <cell r="O478" t="str">
            <v>AIO24-64</v>
          </cell>
          <cell r="P478" t="str">
            <v>02091707001</v>
          </cell>
          <cell r="Q478" t="str">
            <v>Not Applicable</v>
          </cell>
          <cell r="R478" t="str">
            <v>LabTurbo Biotech Corporation</v>
          </cell>
          <cell r="S478" t="str">
            <v>Tree Med Sdn. Bhd</v>
          </cell>
          <cell r="T478" t="str">
            <v>Functioning</v>
          </cell>
          <cell r="U478" t="str">
            <v>Asset</v>
          </cell>
          <cell r="V478">
            <v>430000</v>
          </cell>
          <cell r="W478" t="str">
            <v>KEW</v>
          </cell>
          <cell r="X478">
            <v>43935</v>
          </cell>
          <cell r="Y478" t="str">
            <v>KEW</v>
          </cell>
          <cell r="Z478">
            <v>44167</v>
          </cell>
          <cell r="AA478">
            <v>44897</v>
          </cell>
          <cell r="AB478" t="str">
            <v>No</v>
          </cell>
          <cell r="AC478">
            <v>44167</v>
          </cell>
          <cell r="AD478" t="str">
            <v>Good</v>
          </cell>
          <cell r="AE478" t="str">
            <v>V3 - Added Installed Facilities (New)</v>
          </cell>
          <cell r="AF478">
            <v>44167</v>
          </cell>
          <cell r="AH478" t="str">
            <v>PPM</v>
          </cell>
          <cell r="AI478" t="str">
            <v>Strands</v>
          </cell>
          <cell r="AJ478" t="str">
            <v>Strands DW</v>
          </cell>
          <cell r="AK478" t="str">
            <v>SNF received on 15.1.2021. [29/2/2024, SHARIFAH]: RENEW PEP ON 28/2/2024; BER/BEMS/IKN/23/028- ALAT TIDAK MEMENUHI KEPERLUAN KLINIKAL PENGGUNA.  PENGGUNAANNYA HENDAKLAH DIHENTIKAN. PURPOSED V4 IN P1 24</v>
          </cell>
        </row>
        <row r="479">
          <cell r="A479" t="str">
            <v>IKN402066</v>
          </cell>
          <cell r="B479">
            <v>1721</v>
          </cell>
          <cell r="C479" t="str">
            <v>Institut Kanser Negara</v>
          </cell>
          <cell r="D479" t="str">
            <v>NA</v>
          </cell>
          <cell r="E479" t="str">
            <v>15-663</v>
          </cell>
          <cell r="F479" t="str">
            <v>Pipetters</v>
          </cell>
          <cell r="G479" t="str">
            <v>LA</v>
          </cell>
          <cell r="H479" t="str">
            <v>PATHOLOGY</v>
          </cell>
          <cell r="I479" t="str">
            <v>04LA130</v>
          </cell>
          <cell r="J479" t="str">
            <v>SEROLOGY</v>
          </cell>
          <cell r="K479" t="str">
            <v>BMED</v>
          </cell>
          <cell r="L479" t="str">
            <v>Normal</v>
          </cell>
          <cell r="M479" t="str">
            <v>Germany</v>
          </cell>
          <cell r="N479" t="str">
            <v>Eppendorf</v>
          </cell>
          <cell r="O479" t="str">
            <v>Eppendorf Research Plus</v>
          </cell>
          <cell r="P479" t="str">
            <v>M29138J</v>
          </cell>
          <cell r="Q479" t="str">
            <v>Not Applicable</v>
          </cell>
          <cell r="R479" t="str">
            <v>Eppendorf</v>
          </cell>
          <cell r="S479" t="str">
            <v>MEDIGENE SDN BHD</v>
          </cell>
          <cell r="T479" t="str">
            <v>Functioning</v>
          </cell>
          <cell r="U479" t="str">
            <v>Asset</v>
          </cell>
          <cell r="V479">
            <v>1000</v>
          </cell>
          <cell r="W479" t="str">
            <v>KEW</v>
          </cell>
          <cell r="X479">
            <v>44291</v>
          </cell>
          <cell r="Y479" t="str">
            <v>KEW</v>
          </cell>
          <cell r="Z479">
            <v>44307</v>
          </cell>
          <cell r="AA479">
            <v>44672</v>
          </cell>
          <cell r="AB479" t="str">
            <v>No</v>
          </cell>
          <cell r="AC479">
            <v>44307</v>
          </cell>
          <cell r="AD479" t="str">
            <v>Good</v>
          </cell>
          <cell r="AE479" t="str">
            <v>V3 - Added Installed Facilities (New)</v>
          </cell>
          <cell r="AH479" t="str">
            <v>PPM</v>
          </cell>
          <cell r="AI479" t="str">
            <v>Not in contract</v>
          </cell>
          <cell r="AJ479" t="str">
            <v>Not in contract</v>
          </cell>
          <cell r="AK479" t="str">
            <v>BARANG SUMBANGAN. USER DID NOT WANT TO CALIBRATE.[INDIRA UPDATE 21/10/2024]</v>
          </cell>
        </row>
        <row r="480">
          <cell r="A480" t="str">
            <v>IKN402067</v>
          </cell>
          <cell r="B480">
            <v>1722</v>
          </cell>
          <cell r="C480" t="str">
            <v>Institut Kanser Negara</v>
          </cell>
          <cell r="D480" t="str">
            <v>NA</v>
          </cell>
          <cell r="E480" t="str">
            <v>15-663</v>
          </cell>
          <cell r="F480" t="str">
            <v>Pipetters</v>
          </cell>
          <cell r="G480" t="str">
            <v>LA</v>
          </cell>
          <cell r="H480" t="str">
            <v>PATHOLOGY</v>
          </cell>
          <cell r="I480" t="str">
            <v>04LA130</v>
          </cell>
          <cell r="J480" t="str">
            <v>SEROLOGY</v>
          </cell>
          <cell r="K480" t="str">
            <v>BMED</v>
          </cell>
          <cell r="L480" t="str">
            <v>Normal</v>
          </cell>
          <cell r="M480" t="str">
            <v>Germany</v>
          </cell>
          <cell r="N480" t="str">
            <v>Eppendorf</v>
          </cell>
          <cell r="O480" t="str">
            <v>Eppendorf Research Plus</v>
          </cell>
          <cell r="P480" t="str">
            <v>M29092J</v>
          </cell>
          <cell r="Q480" t="str">
            <v>Not Applicable</v>
          </cell>
          <cell r="R480" t="str">
            <v>Eppendorf</v>
          </cell>
          <cell r="S480" t="str">
            <v>MEDIGENE SDN BHD</v>
          </cell>
          <cell r="T480" t="str">
            <v>Functioning</v>
          </cell>
          <cell r="U480" t="str">
            <v>Asset</v>
          </cell>
          <cell r="V480">
            <v>1000</v>
          </cell>
          <cell r="W480" t="str">
            <v>KEW</v>
          </cell>
          <cell r="X480">
            <v>44291</v>
          </cell>
          <cell r="Y480" t="str">
            <v>KEW</v>
          </cell>
          <cell r="Z480">
            <v>44307</v>
          </cell>
          <cell r="AA480">
            <v>44672</v>
          </cell>
          <cell r="AB480" t="str">
            <v>No</v>
          </cell>
          <cell r="AC480">
            <v>44307</v>
          </cell>
          <cell r="AD480" t="str">
            <v>Good</v>
          </cell>
          <cell r="AE480" t="str">
            <v>V3 - Added Installed Facilities (New)</v>
          </cell>
          <cell r="AH480" t="str">
            <v>PPM</v>
          </cell>
          <cell r="AI480" t="str">
            <v>Not in contract</v>
          </cell>
          <cell r="AJ480" t="str">
            <v>Not in contract</v>
          </cell>
          <cell r="AK480" t="str">
            <v>BARANG SUMBANGAN. USER DID NOT WANT TO CALIBRATE.[INDIRA UPDATE 21/10/2024]</v>
          </cell>
        </row>
        <row r="481">
          <cell r="A481" t="str">
            <v>IKN402080</v>
          </cell>
          <cell r="B481">
            <v>1735</v>
          </cell>
          <cell r="C481" t="str">
            <v>Institut Kanser Negara</v>
          </cell>
          <cell r="D481" t="str">
            <v>KKM/IKN/H/21/37</v>
          </cell>
          <cell r="E481" t="str">
            <v>13-215</v>
          </cell>
          <cell r="F481" t="str">
            <v>Infusion Pumps, General-Purpose</v>
          </cell>
          <cell r="G481" t="str">
            <v>DO</v>
          </cell>
          <cell r="H481" t="str">
            <v>DAY ONCOLOGY UNIT</v>
          </cell>
          <cell r="I481" t="str">
            <v>04DO111</v>
          </cell>
          <cell r="J481" t="str">
            <v>EQUIP. ROOM</v>
          </cell>
          <cell r="K481" t="str">
            <v>BMED</v>
          </cell>
          <cell r="L481" t="str">
            <v>Critical</v>
          </cell>
          <cell r="M481" t="str">
            <v>CHINA</v>
          </cell>
          <cell r="N481" t="str">
            <v>MedCaptian</v>
          </cell>
          <cell r="O481" t="str">
            <v>HP-60</v>
          </cell>
          <cell r="P481" t="str">
            <v>9024022107065</v>
          </cell>
          <cell r="Q481" t="str">
            <v>Not Applicable</v>
          </cell>
          <cell r="R481" t="str">
            <v>MedCaptain Medical Technology</v>
          </cell>
          <cell r="S481" t="str">
            <v>Alam Medik Sdn Bhd</v>
          </cell>
          <cell r="T481" t="str">
            <v>Functioning</v>
          </cell>
          <cell r="U481" t="str">
            <v>Asset</v>
          </cell>
          <cell r="V481">
            <v>3500</v>
          </cell>
          <cell r="W481" t="str">
            <v>KEW</v>
          </cell>
          <cell r="X481">
            <v>44421</v>
          </cell>
          <cell r="Y481" t="str">
            <v>KEW</v>
          </cell>
          <cell r="Z481">
            <v>44432</v>
          </cell>
          <cell r="AA481">
            <v>44797</v>
          </cell>
          <cell r="AB481" t="str">
            <v>No</v>
          </cell>
          <cell r="AC481">
            <v>44432</v>
          </cell>
          <cell r="AD481" t="str">
            <v>Good</v>
          </cell>
          <cell r="AE481" t="str">
            <v>V3 - Added Installed Facilities (New)</v>
          </cell>
          <cell r="AF481">
            <v>44432</v>
          </cell>
          <cell r="AH481" t="str">
            <v>PPM</v>
          </cell>
          <cell r="AI481" t="str">
            <v>Strands</v>
          </cell>
          <cell r="AJ481" t="str">
            <v>Strands PW</v>
          </cell>
          <cell r="AK481" t="str">
            <v>SNF received on 28.9.2021. [17/12/2023, SHARIFAH]: PEP ON 7/12/2023, BER/BEMS/IKN/23/022 - Asset mengalami kerosakan pada mainboard. Penggunaannya hendaklah dihentikan. SNF V4 received on 6/3/2024.</v>
          </cell>
        </row>
        <row r="482">
          <cell r="A482" t="str">
            <v>IKN402110</v>
          </cell>
          <cell r="B482">
            <v>1765</v>
          </cell>
          <cell r="C482" t="str">
            <v>Institut Kanser Negara</v>
          </cell>
          <cell r="D482" t="str">
            <v>KKM/IKN/H/22/13</v>
          </cell>
          <cell r="E482" t="str">
            <v>13-215</v>
          </cell>
          <cell r="F482" t="str">
            <v>Infusion Pumps, General-Purpose</v>
          </cell>
          <cell r="G482" t="str">
            <v>WD</v>
          </cell>
          <cell r="H482" t="str">
            <v>RT/ONCO PAED/ADOLESCENT WARD</v>
          </cell>
          <cell r="I482" t="str">
            <v>06WD153</v>
          </cell>
          <cell r="J482" t="str">
            <v>EQP.ROOM</v>
          </cell>
          <cell r="K482" t="str">
            <v>BMED</v>
          </cell>
          <cell r="L482" t="str">
            <v>Critical</v>
          </cell>
          <cell r="M482" t="str">
            <v>CHINA</v>
          </cell>
          <cell r="N482" t="str">
            <v>MedCaptian</v>
          </cell>
          <cell r="O482" t="str">
            <v>HP-60</v>
          </cell>
          <cell r="P482">
            <v>9024022108379</v>
          </cell>
          <cell r="Q482" t="str">
            <v>Not Applicable</v>
          </cell>
          <cell r="R482" t="str">
            <v>MedCaptain Medical Technology</v>
          </cell>
          <cell r="S482" t="str">
            <v>Alam Medik Sdn Bhd</v>
          </cell>
          <cell r="T482" t="str">
            <v>Functioning</v>
          </cell>
          <cell r="U482" t="str">
            <v>Asset</v>
          </cell>
          <cell r="V482">
            <v>3500</v>
          </cell>
          <cell r="W482" t="str">
            <v>KEW</v>
          </cell>
          <cell r="X482">
            <v>44643</v>
          </cell>
          <cell r="Y482" t="str">
            <v>KEW</v>
          </cell>
          <cell r="Z482">
            <v>44658</v>
          </cell>
          <cell r="AA482">
            <v>45023</v>
          </cell>
          <cell r="AB482" t="str">
            <v>NO</v>
          </cell>
          <cell r="AC482">
            <v>44658</v>
          </cell>
          <cell r="AD482" t="str">
            <v>Good</v>
          </cell>
          <cell r="AE482" t="str">
            <v>V3 - Added Installed Facilities (New)</v>
          </cell>
          <cell r="AF482">
            <v>45195</v>
          </cell>
          <cell r="AG482" t="str">
            <v>NA</v>
          </cell>
          <cell r="AH482" t="str">
            <v>PPM</v>
          </cell>
          <cell r="AI482" t="str">
            <v>Not in Contract</v>
          </cell>
          <cell r="AJ482" t="str">
            <v>Proposed for V3 P2.23</v>
          </cell>
          <cell r="AK482" t="str">
            <v>(PIC: ATIQA). KKM follow P2.23.</v>
          </cell>
        </row>
        <row r="483">
          <cell r="A483" t="str">
            <v>IKN402125</v>
          </cell>
          <cell r="B483">
            <v>1780</v>
          </cell>
          <cell r="C483" t="str">
            <v>Institut Kanser Negara</v>
          </cell>
          <cell r="D483" t="str">
            <v>KKM/IKN/H/22/50</v>
          </cell>
          <cell r="E483" t="str">
            <v>16-320</v>
          </cell>
          <cell r="F483" t="str">
            <v>Bacti Incinerator/Infared Sterilizer</v>
          </cell>
          <cell r="G483" t="str">
            <v>LA</v>
          </cell>
          <cell r="H483" t="str">
            <v>PATHOLOGY</v>
          </cell>
          <cell r="I483" t="str">
            <v>04LA127</v>
          </cell>
          <cell r="J483" t="str">
            <v>INNOCULATION/STAINING</v>
          </cell>
          <cell r="K483" t="str">
            <v>BMED</v>
          </cell>
          <cell r="L483" t="str">
            <v>Normal</v>
          </cell>
          <cell r="M483" t="str">
            <v>CHINA</v>
          </cell>
          <cell r="N483" t="str">
            <v>Bacti Zapper</v>
          </cell>
          <cell r="O483" t="str">
            <v>B1000-E</v>
          </cell>
          <cell r="P483" t="str">
            <v>023-16031-20050032</v>
          </cell>
          <cell r="Q483" t="str">
            <v>Not Applicable</v>
          </cell>
          <cell r="R483" t="str">
            <v>Beachmark Scientific Inc</v>
          </cell>
          <cell r="S483" t="str">
            <v>Chemopharm Sdn Bhd</v>
          </cell>
          <cell r="T483" t="str">
            <v>Functioning</v>
          </cell>
          <cell r="U483" t="str">
            <v>Asset</v>
          </cell>
          <cell r="V483">
            <v>3395</v>
          </cell>
          <cell r="W483" t="str">
            <v>KEW</v>
          </cell>
          <cell r="X483">
            <v>44648</v>
          </cell>
          <cell r="Y483" t="str">
            <v>KEW</v>
          </cell>
          <cell r="Z483">
            <v>44726</v>
          </cell>
          <cell r="AA483">
            <v>45090</v>
          </cell>
          <cell r="AB483" t="str">
            <v>No</v>
          </cell>
          <cell r="AC483">
            <v>44726</v>
          </cell>
          <cell r="AD483" t="str">
            <v>Good</v>
          </cell>
          <cell r="AE483" t="str">
            <v>V3 - Added Installed Facilities (New)</v>
          </cell>
          <cell r="AF483">
            <v>44726</v>
          </cell>
          <cell r="AG483" t="str">
            <v>NA</v>
          </cell>
          <cell r="AH483" t="str">
            <v>PPM</v>
          </cell>
          <cell r="AI483" t="str">
            <v>NOT IN CONTRACT</v>
          </cell>
          <cell r="AJ483" t="str">
            <v>Not under maintenance</v>
          </cell>
          <cell r="AK483" t="str">
            <v>[28/2/2024, FAEZAH: MEMO PENOLAKAN V3 DARI AWC.</v>
          </cell>
        </row>
        <row r="484">
          <cell r="A484" t="str">
            <v>IKN402126</v>
          </cell>
          <cell r="B484">
            <v>1781</v>
          </cell>
          <cell r="C484" t="str">
            <v>Institut Kanser Negara</v>
          </cell>
          <cell r="D484" t="str">
            <v>KKM/IKN/H/22/51</v>
          </cell>
          <cell r="E484" t="str">
            <v>16-320</v>
          </cell>
          <cell r="F484" t="str">
            <v>Bacti Incinerator/Infared Sterilizer</v>
          </cell>
          <cell r="G484" t="str">
            <v>LA</v>
          </cell>
          <cell r="H484" t="str">
            <v>PATHOLOGY</v>
          </cell>
          <cell r="I484" t="str">
            <v>04LA127</v>
          </cell>
          <cell r="J484" t="str">
            <v>INNOCULATION/STAINING</v>
          </cell>
          <cell r="K484" t="str">
            <v>BMED</v>
          </cell>
          <cell r="L484" t="str">
            <v>Normal</v>
          </cell>
          <cell r="M484" t="str">
            <v>CHINA</v>
          </cell>
          <cell r="N484" t="str">
            <v>Bacti Zapper</v>
          </cell>
          <cell r="O484" t="str">
            <v>B1000-E</v>
          </cell>
          <cell r="P484" t="str">
            <v>023-16031-20050035</v>
          </cell>
          <cell r="Q484" t="str">
            <v>Not Applicable</v>
          </cell>
          <cell r="R484" t="str">
            <v>Beachmark Scientific Inc</v>
          </cell>
          <cell r="S484" t="str">
            <v>Chemopharm Sdn Bhd</v>
          </cell>
          <cell r="T484" t="str">
            <v>Functioning</v>
          </cell>
          <cell r="U484" t="str">
            <v>Asset</v>
          </cell>
          <cell r="V484">
            <v>3395</v>
          </cell>
          <cell r="W484" t="str">
            <v>KEW</v>
          </cell>
          <cell r="X484">
            <v>44648</v>
          </cell>
          <cell r="Y484" t="str">
            <v>KEW</v>
          </cell>
          <cell r="Z484">
            <v>44726</v>
          </cell>
          <cell r="AA484">
            <v>45090</v>
          </cell>
          <cell r="AB484" t="str">
            <v>No</v>
          </cell>
          <cell r="AC484">
            <v>44726</v>
          </cell>
          <cell r="AD484" t="str">
            <v>Good</v>
          </cell>
          <cell r="AE484" t="str">
            <v>V3 - Added Installed Facilities (New)</v>
          </cell>
          <cell r="AF484">
            <v>44726</v>
          </cell>
          <cell r="AG484" t="str">
            <v>NA</v>
          </cell>
          <cell r="AH484" t="str">
            <v>PPM</v>
          </cell>
          <cell r="AI484" t="str">
            <v>NOT IN CONTRACT</v>
          </cell>
          <cell r="AJ484" t="str">
            <v>Not under maintenance</v>
          </cell>
          <cell r="AK484" t="str">
            <v>[28/2/2024, FAEZAH: MEMO PENOLAKAN V3 DARI AWC.</v>
          </cell>
        </row>
        <row r="485">
          <cell r="A485" t="str">
            <v>IKN402127</v>
          </cell>
          <cell r="B485">
            <v>1782</v>
          </cell>
          <cell r="C485" t="str">
            <v>Institut Kanser Negara</v>
          </cell>
          <cell r="D485" t="str">
            <v>KKM/IKN/H/22/52</v>
          </cell>
          <cell r="E485" t="str">
            <v>16-320</v>
          </cell>
          <cell r="F485" t="str">
            <v>Bacti Incinerator/Infared Sterilizer</v>
          </cell>
          <cell r="G485" t="str">
            <v>LA</v>
          </cell>
          <cell r="H485" t="str">
            <v>PATHOLOGY</v>
          </cell>
          <cell r="I485" t="str">
            <v>04LA127</v>
          </cell>
          <cell r="J485" t="str">
            <v>INNOCULATION/STAINING</v>
          </cell>
          <cell r="K485" t="str">
            <v>BMED</v>
          </cell>
          <cell r="L485" t="str">
            <v>Normal</v>
          </cell>
          <cell r="M485" t="str">
            <v>CHINA</v>
          </cell>
          <cell r="N485" t="str">
            <v>Bacti Zapper</v>
          </cell>
          <cell r="O485" t="str">
            <v>B1000-E</v>
          </cell>
          <cell r="P485" t="str">
            <v>023-16031-21030085</v>
          </cell>
          <cell r="Q485" t="str">
            <v>Not Applicable</v>
          </cell>
          <cell r="R485" t="str">
            <v>Beachmark Scientific Inc</v>
          </cell>
          <cell r="S485" t="str">
            <v>Chemopharm Sdn Bhd</v>
          </cell>
          <cell r="T485" t="str">
            <v>Functioning</v>
          </cell>
          <cell r="U485" t="str">
            <v>Asset</v>
          </cell>
          <cell r="V485">
            <v>3395</v>
          </cell>
          <cell r="W485" t="str">
            <v>KEW</v>
          </cell>
          <cell r="X485">
            <v>44648</v>
          </cell>
          <cell r="Y485" t="str">
            <v>KEW</v>
          </cell>
          <cell r="Z485">
            <v>44726</v>
          </cell>
          <cell r="AA485">
            <v>45090</v>
          </cell>
          <cell r="AB485" t="str">
            <v>No</v>
          </cell>
          <cell r="AC485">
            <v>44726</v>
          </cell>
          <cell r="AD485" t="str">
            <v>Good</v>
          </cell>
          <cell r="AE485" t="str">
            <v>V3 - Added Installed Facilities (New)</v>
          </cell>
          <cell r="AF485">
            <v>44726</v>
          </cell>
          <cell r="AG485" t="str">
            <v>NA</v>
          </cell>
          <cell r="AH485" t="str">
            <v>PPM</v>
          </cell>
          <cell r="AI485" t="str">
            <v>NOT IN CONTRACT</v>
          </cell>
          <cell r="AJ485" t="str">
            <v>Not under maintenance</v>
          </cell>
          <cell r="AK485" t="str">
            <v>[28/2/2024, FAEZAH: MEMO PENOLAKAN V3 DARI AWC.</v>
          </cell>
        </row>
        <row r="486">
          <cell r="A486" t="str">
            <v>IKN402128</v>
          </cell>
          <cell r="B486">
            <v>1783</v>
          </cell>
          <cell r="C486" t="str">
            <v>Institut Kanser Negara</v>
          </cell>
          <cell r="D486" t="str">
            <v>KKM/IKN/H/22/53</v>
          </cell>
          <cell r="E486" t="str">
            <v>16-320</v>
          </cell>
          <cell r="F486" t="str">
            <v>Bacti Incinerator/Infared Sterilizer</v>
          </cell>
          <cell r="G486" t="str">
            <v>LA</v>
          </cell>
          <cell r="H486" t="str">
            <v>PATHOLOGY</v>
          </cell>
          <cell r="I486" t="str">
            <v>04LA127</v>
          </cell>
          <cell r="J486" t="str">
            <v>INNOCULATION/STAINING</v>
          </cell>
          <cell r="K486" t="str">
            <v>BMED</v>
          </cell>
          <cell r="L486" t="str">
            <v>Normal</v>
          </cell>
          <cell r="M486" t="str">
            <v>CHINA</v>
          </cell>
          <cell r="N486" t="str">
            <v>Bacti Zapper</v>
          </cell>
          <cell r="O486" t="str">
            <v>B1000-E</v>
          </cell>
          <cell r="P486" t="str">
            <v>023-16031-21030087</v>
          </cell>
          <cell r="Q486" t="str">
            <v>Not Applicable</v>
          </cell>
          <cell r="R486" t="str">
            <v>Beachmark Scientific Inc</v>
          </cell>
          <cell r="S486" t="str">
            <v>Chemopharm Sdn Bhd</v>
          </cell>
          <cell r="T486" t="str">
            <v>Functioning</v>
          </cell>
          <cell r="U486" t="str">
            <v>Asset</v>
          </cell>
          <cell r="V486">
            <v>3395</v>
          </cell>
          <cell r="W486" t="str">
            <v>KEW</v>
          </cell>
          <cell r="X486">
            <v>44648</v>
          </cell>
          <cell r="Y486" t="str">
            <v>KEW</v>
          </cell>
          <cell r="Z486">
            <v>44726</v>
          </cell>
          <cell r="AA486">
            <v>45090</v>
          </cell>
          <cell r="AB486" t="str">
            <v>No</v>
          </cell>
          <cell r="AC486">
            <v>44726</v>
          </cell>
          <cell r="AD486" t="str">
            <v>Good</v>
          </cell>
          <cell r="AE486" t="str">
            <v>V3 - Added Installed Facilities (New)</v>
          </cell>
          <cell r="AF486">
            <v>44726</v>
          </cell>
          <cell r="AG486" t="str">
            <v>NA</v>
          </cell>
          <cell r="AH486" t="str">
            <v>PPM</v>
          </cell>
          <cell r="AI486" t="str">
            <v>NOT IN CONTRACT</v>
          </cell>
          <cell r="AJ486" t="str">
            <v>Not under maintenance</v>
          </cell>
          <cell r="AK486" t="str">
            <v>[28/2/2024, FAEZAH: MEMO PENOLAKAN V3 DARI AWC.</v>
          </cell>
        </row>
        <row r="487">
          <cell r="A487" t="str">
            <v>IKN400001</v>
          </cell>
          <cell r="B487">
            <v>1</v>
          </cell>
          <cell r="C487" t="str">
            <v>Institut Kanser Negara</v>
          </cell>
          <cell r="D487" t="str">
            <v>KKM/IKN/H/13/3795</v>
          </cell>
          <cell r="E487" t="str">
            <v>11-134</v>
          </cell>
          <cell r="F487" t="str">
            <v>Defibrillators, External, Manual</v>
          </cell>
          <cell r="G487" t="str">
            <v>AE</v>
          </cell>
          <cell r="H487" t="str">
            <v>EMERGENCY UNIT</v>
          </cell>
          <cell r="I487" t="str">
            <v>01AE112</v>
          </cell>
          <cell r="J487" t="str">
            <v>EMERGENCY TROLLEY BAY</v>
          </cell>
          <cell r="K487" t="str">
            <v>BMED</v>
          </cell>
          <cell r="L487" t="str">
            <v>Critical</v>
          </cell>
          <cell r="M487" t="str">
            <v>USA</v>
          </cell>
          <cell r="N487" t="str">
            <v>Responder</v>
          </cell>
          <cell r="O487" t="str">
            <v>Responder 2000</v>
          </cell>
          <cell r="P487" t="str">
            <v>3206730</v>
          </cell>
          <cell r="Q487" t="str">
            <v>Not Applicable</v>
          </cell>
          <cell r="R487" t="str">
            <v>GE Medical Systems</v>
          </cell>
          <cell r="S487" t="str">
            <v>Antah Sir Radin Sdn. Bhd.</v>
          </cell>
          <cell r="T487" t="str">
            <v>Functioning</v>
          </cell>
          <cell r="U487" t="str">
            <v>Asset</v>
          </cell>
          <cell r="V487">
            <v>45000</v>
          </cell>
          <cell r="W487" t="str">
            <v>Estimate</v>
          </cell>
          <cell r="X487" t="str">
            <v>01/09/2010</v>
          </cell>
          <cell r="Y487" t="str">
            <v>KEW</v>
          </cell>
          <cell r="Z487" t="str">
            <v>16/08/2013</v>
          </cell>
          <cell r="AA487" t="str">
            <v>15/08/2015</v>
          </cell>
          <cell r="AB487" t="str">
            <v>No</v>
          </cell>
          <cell r="AC487" t="str">
            <v>31/08/2013</v>
          </cell>
          <cell r="AD487" t="str">
            <v>Good</v>
          </cell>
          <cell r="AE487" t="str">
            <v>V1 - Existing / No Claim</v>
          </cell>
          <cell r="AF487">
            <v>42599</v>
          </cell>
          <cell r="AG487">
            <v>9.17</v>
          </cell>
          <cell r="AH487" t="str">
            <v>PPM</v>
          </cell>
          <cell r="AI487" t="str">
            <v>Strands</v>
          </cell>
          <cell r="AJ487" t="str">
            <v>Strands PW</v>
          </cell>
        </row>
        <row r="488">
          <cell r="A488" t="str">
            <v>IKN400002</v>
          </cell>
          <cell r="B488">
            <v>2</v>
          </cell>
          <cell r="C488" t="str">
            <v>Institut Kanser Negara</v>
          </cell>
          <cell r="D488" t="str">
            <v>KKM/IKN/H/13/3794</v>
          </cell>
          <cell r="E488" t="str">
            <v>11-134</v>
          </cell>
          <cell r="F488" t="str">
            <v>Defibrillators, External, Manual</v>
          </cell>
          <cell r="G488" t="str">
            <v>AE</v>
          </cell>
          <cell r="H488" t="str">
            <v>EMERGENCY UNIT</v>
          </cell>
          <cell r="I488" t="str">
            <v>01AE119</v>
          </cell>
          <cell r="J488" t="str">
            <v>RESUSCITATION/TREATMENT</v>
          </cell>
          <cell r="K488" t="str">
            <v>BMED</v>
          </cell>
          <cell r="L488" t="str">
            <v>Critical</v>
          </cell>
          <cell r="M488" t="str">
            <v>USA</v>
          </cell>
          <cell r="N488" t="str">
            <v>Responder</v>
          </cell>
          <cell r="O488" t="str">
            <v>Responder 2000</v>
          </cell>
          <cell r="P488" t="str">
            <v>3206728</v>
          </cell>
          <cell r="Q488" t="str">
            <v>Not Available</v>
          </cell>
          <cell r="R488" t="str">
            <v>GE Medical Systems</v>
          </cell>
          <cell r="S488" t="str">
            <v>Antah Sir Radin Sdn. Bhd.</v>
          </cell>
          <cell r="T488" t="str">
            <v>Functioning</v>
          </cell>
          <cell r="U488" t="str">
            <v>Asset</v>
          </cell>
          <cell r="V488">
            <v>45000</v>
          </cell>
          <cell r="W488" t="str">
            <v>Estimate</v>
          </cell>
          <cell r="X488" t="str">
            <v>01/09/2010</v>
          </cell>
          <cell r="Y488" t="str">
            <v>KEW</v>
          </cell>
          <cell r="Z488" t="str">
            <v>16/08/2013</v>
          </cell>
          <cell r="AA488" t="str">
            <v>15/08/2015</v>
          </cell>
          <cell r="AB488" t="str">
            <v>No</v>
          </cell>
          <cell r="AC488" t="str">
            <v>31/08/2013</v>
          </cell>
          <cell r="AD488" t="str">
            <v>Good</v>
          </cell>
          <cell r="AE488" t="str">
            <v>V1 - Existing / No Claim</v>
          </cell>
          <cell r="AF488">
            <v>42601</v>
          </cell>
          <cell r="AG488">
            <v>9.17</v>
          </cell>
          <cell r="AH488" t="str">
            <v>PPM</v>
          </cell>
          <cell r="AI488" t="str">
            <v>Strands</v>
          </cell>
          <cell r="AJ488" t="str">
            <v>Strands PW</v>
          </cell>
        </row>
        <row r="489">
          <cell r="A489" t="str">
            <v>IKN400004</v>
          </cell>
          <cell r="B489">
            <v>4</v>
          </cell>
          <cell r="C489" t="str">
            <v>Institut Kanser Negara</v>
          </cell>
          <cell r="D489" t="str">
            <v>KKM/IKN/H/13/1706</v>
          </cell>
          <cell r="E489" t="str">
            <v>16-231</v>
          </cell>
          <cell r="F489" t="str">
            <v>Electrocardiographs, Multichannel, Interpretative</v>
          </cell>
          <cell r="G489" t="str">
            <v>AE</v>
          </cell>
          <cell r="H489" t="str">
            <v>EMERGENCY UNIT</v>
          </cell>
          <cell r="I489" t="str">
            <v>01AE110</v>
          </cell>
          <cell r="J489" t="str">
            <v>EQUIPT. ROOM</v>
          </cell>
          <cell r="K489" t="str">
            <v>BMED</v>
          </cell>
          <cell r="L489" t="str">
            <v>Critical</v>
          </cell>
          <cell r="M489" t="str">
            <v>China</v>
          </cell>
          <cell r="N489" t="str">
            <v>Mac</v>
          </cell>
          <cell r="O489" t="str">
            <v>MAC 800</v>
          </cell>
          <cell r="P489" t="str">
            <v>SJ412450364 WA</v>
          </cell>
          <cell r="Q489" t="str">
            <v>Not Applicable</v>
          </cell>
          <cell r="R489" t="str">
            <v>GE Healthcare Systems</v>
          </cell>
          <cell r="S489" t="str">
            <v>GE Healthcare Technologies</v>
          </cell>
          <cell r="T489" t="str">
            <v>Functioning</v>
          </cell>
          <cell r="U489" t="str">
            <v>Asset</v>
          </cell>
          <cell r="V489">
            <v>25260</v>
          </cell>
          <cell r="W489" t="str">
            <v>KEW</v>
          </cell>
          <cell r="X489" t="str">
            <v>01/09/2010</v>
          </cell>
          <cell r="Y489" t="str">
            <v>KEW</v>
          </cell>
          <cell r="Z489" t="str">
            <v>16/08/2013</v>
          </cell>
          <cell r="AA489" t="str">
            <v>15/08/2015</v>
          </cell>
          <cell r="AB489" t="str">
            <v>No</v>
          </cell>
          <cell r="AC489" t="str">
            <v>31/08/2013</v>
          </cell>
          <cell r="AD489" t="str">
            <v>Good</v>
          </cell>
          <cell r="AE489" t="str">
            <v>V1 - Existing / No Claim</v>
          </cell>
          <cell r="AF489">
            <v>42800</v>
          </cell>
          <cell r="AG489">
            <v>9.17</v>
          </cell>
          <cell r="AH489" t="str">
            <v>PPM</v>
          </cell>
          <cell r="AI489" t="str">
            <v>Strands</v>
          </cell>
          <cell r="AJ489" t="str">
            <v>Strands PW</v>
          </cell>
        </row>
        <row r="490">
          <cell r="A490" t="str">
            <v>IKN400005</v>
          </cell>
          <cell r="B490">
            <v>5</v>
          </cell>
          <cell r="C490" t="str">
            <v>Institut Kanser Negara</v>
          </cell>
          <cell r="D490" t="str">
            <v>KKM/IKN/H/13/3140</v>
          </cell>
          <cell r="E490" t="str">
            <v>12-282</v>
          </cell>
          <cell r="F490" t="str">
            <v>Lights, Surgical</v>
          </cell>
          <cell r="G490" t="str">
            <v>AE</v>
          </cell>
          <cell r="H490" t="str">
            <v>EMERGENCY UNIT</v>
          </cell>
          <cell r="I490" t="str">
            <v>01AE106</v>
          </cell>
          <cell r="J490" t="str">
            <v>C/E ROOM</v>
          </cell>
          <cell r="K490" t="str">
            <v>BMED</v>
          </cell>
          <cell r="L490" t="str">
            <v>Critical</v>
          </cell>
          <cell r="M490" t="str">
            <v>USA</v>
          </cell>
          <cell r="N490" t="str">
            <v>Welch Allyn</v>
          </cell>
          <cell r="O490" t="str">
            <v>Welch Allyn GS600</v>
          </cell>
          <cell r="P490" t="str">
            <v>GS-600-44</v>
          </cell>
          <cell r="Q490" t="str">
            <v>Not Applicable</v>
          </cell>
          <cell r="R490" t="str">
            <v>Welch Allyn Inc</v>
          </cell>
          <cell r="S490" t="str">
            <v>Welch Allyn Malaysia Sdn Bhd</v>
          </cell>
          <cell r="T490" t="str">
            <v>Functioning</v>
          </cell>
          <cell r="U490" t="str">
            <v>Asset</v>
          </cell>
          <cell r="V490">
            <v>5050</v>
          </cell>
          <cell r="W490" t="str">
            <v>KEW</v>
          </cell>
          <cell r="X490" t="str">
            <v>01/09/2010</v>
          </cell>
          <cell r="Y490" t="str">
            <v>KEW</v>
          </cell>
          <cell r="Z490" t="str">
            <v>16/08/2013</v>
          </cell>
          <cell r="AA490" t="str">
            <v>15/08/2015</v>
          </cell>
          <cell r="AB490" t="str">
            <v>No</v>
          </cell>
          <cell r="AC490" t="str">
            <v>31/08/2013</v>
          </cell>
          <cell r="AD490" t="str">
            <v>Good</v>
          </cell>
          <cell r="AE490" t="str">
            <v>V1 - Existing / No Claim</v>
          </cell>
          <cell r="AF490">
            <v>42800</v>
          </cell>
          <cell r="AG490">
            <v>9.17</v>
          </cell>
          <cell r="AH490" t="str">
            <v>PPM</v>
          </cell>
          <cell r="AI490" t="str">
            <v>Strands</v>
          </cell>
          <cell r="AJ490" t="str">
            <v>Strands PW</v>
          </cell>
        </row>
        <row r="491">
          <cell r="A491" t="str">
            <v>IKN400006</v>
          </cell>
          <cell r="B491">
            <v>6</v>
          </cell>
          <cell r="C491" t="str">
            <v>Institut Kanser Negara</v>
          </cell>
          <cell r="D491" t="str">
            <v>KKM/IKN/H/13/1785</v>
          </cell>
          <cell r="E491" t="str">
            <v>12-282</v>
          </cell>
          <cell r="F491" t="str">
            <v>Lights, Surgical</v>
          </cell>
          <cell r="G491" t="str">
            <v>AE</v>
          </cell>
          <cell r="H491" t="str">
            <v>EMERGENCY UNIT</v>
          </cell>
          <cell r="I491" t="str">
            <v>01AE110</v>
          </cell>
          <cell r="J491" t="str">
            <v>EQUIPT. ROOM</v>
          </cell>
          <cell r="K491" t="str">
            <v>BMED</v>
          </cell>
          <cell r="L491" t="str">
            <v>Normal</v>
          </cell>
          <cell r="M491" t="str">
            <v>USA</v>
          </cell>
          <cell r="N491" t="str">
            <v>Welch Allyn</v>
          </cell>
          <cell r="O491" t="str">
            <v>Welch Allyn GS600</v>
          </cell>
          <cell r="P491" t="str">
            <v>GS-600-01</v>
          </cell>
          <cell r="Q491" t="str">
            <v>Not Applicable</v>
          </cell>
          <cell r="R491" t="str">
            <v>Welch Allyn Inc</v>
          </cell>
          <cell r="S491" t="str">
            <v>Welch Allyn Malaysia Sdn Bhd</v>
          </cell>
          <cell r="T491" t="str">
            <v>Functioning</v>
          </cell>
          <cell r="U491" t="str">
            <v>Asset</v>
          </cell>
          <cell r="V491">
            <v>5050</v>
          </cell>
          <cell r="W491" t="str">
            <v>KEW</v>
          </cell>
          <cell r="X491" t="str">
            <v>01/09/2010</v>
          </cell>
          <cell r="Y491" t="str">
            <v>KEW</v>
          </cell>
          <cell r="Z491" t="str">
            <v>16/08/2013</v>
          </cell>
          <cell r="AA491" t="str">
            <v>15/08/2015</v>
          </cell>
          <cell r="AB491" t="str">
            <v>No</v>
          </cell>
          <cell r="AC491" t="str">
            <v>31/08/2013</v>
          </cell>
          <cell r="AD491" t="str">
            <v>Good</v>
          </cell>
          <cell r="AE491" t="str">
            <v>V1 - Existing / No Claim</v>
          </cell>
          <cell r="AF491">
            <v>42235</v>
          </cell>
          <cell r="AG491">
            <v>9.17</v>
          </cell>
          <cell r="AH491" t="str">
            <v>PPM</v>
          </cell>
          <cell r="AI491" t="str">
            <v>Strands</v>
          </cell>
          <cell r="AJ491" t="str">
            <v>Strands PW</v>
          </cell>
        </row>
        <row r="492">
          <cell r="A492" t="str">
            <v>IKN400007</v>
          </cell>
          <cell r="B492">
            <v>7</v>
          </cell>
          <cell r="C492" t="str">
            <v>Institut Kanser Negara</v>
          </cell>
          <cell r="D492" t="str">
            <v>KKM/IKN/H/13/1787</v>
          </cell>
          <cell r="E492" t="str">
            <v>12-647</v>
          </cell>
          <cell r="F492" t="str">
            <v>Physiologic Monitoring Systems, Acute Care</v>
          </cell>
          <cell r="G492" t="str">
            <v>AE</v>
          </cell>
          <cell r="H492" t="str">
            <v>EMERGENCY UNIT</v>
          </cell>
          <cell r="I492" t="str">
            <v>01AE118</v>
          </cell>
          <cell r="J492" t="str">
            <v>RESUSCITATION TREATMENT 1</v>
          </cell>
          <cell r="K492" t="str">
            <v>BMED</v>
          </cell>
          <cell r="L492" t="str">
            <v>Critical</v>
          </cell>
          <cell r="M492" t="str">
            <v>Finland</v>
          </cell>
          <cell r="N492" t="str">
            <v>CareScape</v>
          </cell>
          <cell r="O492" t="str">
            <v>CareScape B650</v>
          </cell>
          <cell r="P492" t="str">
            <v>SEW12357352HA</v>
          </cell>
          <cell r="Q492" t="str">
            <v>Not Applicable</v>
          </cell>
          <cell r="R492" t="str">
            <v>GE Medical Systems</v>
          </cell>
          <cell r="S492" t="str">
            <v>GE Healthcare Technologies</v>
          </cell>
          <cell r="T492" t="str">
            <v>Functioning</v>
          </cell>
          <cell r="U492" t="str">
            <v>Asset</v>
          </cell>
          <cell r="V492">
            <v>87400</v>
          </cell>
          <cell r="W492" t="str">
            <v>KEW</v>
          </cell>
          <cell r="X492" t="str">
            <v>01/09/2010</v>
          </cell>
          <cell r="Y492" t="str">
            <v>KEW</v>
          </cell>
          <cell r="Z492" t="str">
            <v>16/08/2013</v>
          </cell>
          <cell r="AA492" t="str">
            <v>15/08/2015</v>
          </cell>
          <cell r="AB492" t="str">
            <v>No</v>
          </cell>
          <cell r="AC492" t="str">
            <v>31/08/2013</v>
          </cell>
          <cell r="AD492" t="str">
            <v>Good</v>
          </cell>
          <cell r="AE492" t="str">
            <v>V1 - Existing / No Claim</v>
          </cell>
          <cell r="AF492">
            <v>42800</v>
          </cell>
          <cell r="AG492">
            <v>9.17</v>
          </cell>
          <cell r="AH492" t="str">
            <v>PPM</v>
          </cell>
          <cell r="AI492" t="str">
            <v>Strands</v>
          </cell>
          <cell r="AJ492" t="str">
            <v>Strands PW</v>
          </cell>
        </row>
        <row r="493">
          <cell r="A493" t="str">
            <v>IKN400008</v>
          </cell>
          <cell r="B493">
            <v>8</v>
          </cell>
          <cell r="C493" t="str">
            <v>Institut Kanser Negara</v>
          </cell>
          <cell r="D493" t="str">
            <v>KKM/IKN/H/13/1790</v>
          </cell>
          <cell r="E493" t="str">
            <v>12-647</v>
          </cell>
          <cell r="F493" t="str">
            <v>Physiologic Monitoring Systems, Acute Care</v>
          </cell>
          <cell r="G493" t="str">
            <v>AE</v>
          </cell>
          <cell r="H493" t="str">
            <v>EMERGENCY UNIT</v>
          </cell>
          <cell r="I493" t="str">
            <v>01AE119</v>
          </cell>
          <cell r="J493" t="str">
            <v>RESUSCITATION/TREATMENT</v>
          </cell>
          <cell r="K493" t="str">
            <v>BMED</v>
          </cell>
          <cell r="L493" t="str">
            <v>Critical</v>
          </cell>
          <cell r="M493" t="str">
            <v>Finland</v>
          </cell>
          <cell r="N493" t="str">
            <v>CareScape</v>
          </cell>
          <cell r="O493" t="str">
            <v>CareScape B650</v>
          </cell>
          <cell r="P493" t="str">
            <v>SEW12357505HA</v>
          </cell>
          <cell r="Q493" t="str">
            <v>Not Applicable</v>
          </cell>
          <cell r="R493" t="str">
            <v>GE Medical Systems</v>
          </cell>
          <cell r="S493" t="str">
            <v>GE Healthcare Technologies</v>
          </cell>
          <cell r="T493" t="str">
            <v>Functioning</v>
          </cell>
          <cell r="U493" t="str">
            <v>Asset</v>
          </cell>
          <cell r="V493">
            <v>87400</v>
          </cell>
          <cell r="W493" t="str">
            <v>KEW</v>
          </cell>
          <cell r="X493" t="str">
            <v>01/09/2010</v>
          </cell>
          <cell r="Y493" t="str">
            <v>KEW</v>
          </cell>
          <cell r="Z493" t="str">
            <v>16/08/2013</v>
          </cell>
          <cell r="AA493" t="str">
            <v>15/08/2015</v>
          </cell>
          <cell r="AB493" t="str">
            <v>No</v>
          </cell>
          <cell r="AC493" t="str">
            <v>31/08/2013</v>
          </cell>
          <cell r="AD493" t="str">
            <v>Good</v>
          </cell>
          <cell r="AE493" t="str">
            <v>V1 - Existing / No Claim</v>
          </cell>
          <cell r="AF493">
            <v>42800</v>
          </cell>
          <cell r="AG493">
            <v>9.17</v>
          </cell>
          <cell r="AH493" t="str">
            <v>PPM</v>
          </cell>
          <cell r="AI493" t="str">
            <v>Strands</v>
          </cell>
          <cell r="AJ493" t="str">
            <v>Strands PW</v>
          </cell>
        </row>
        <row r="494">
          <cell r="A494" t="str">
            <v>IKN400009</v>
          </cell>
          <cell r="B494">
            <v>9</v>
          </cell>
          <cell r="C494" t="str">
            <v>Institut Kanser Negara</v>
          </cell>
          <cell r="D494" t="str">
            <v>KKM/IKN/H/13/1776</v>
          </cell>
          <cell r="E494" t="str">
            <v>15-045</v>
          </cell>
          <cell r="F494" t="str">
            <v>Nebulizers, Nonheated</v>
          </cell>
          <cell r="G494" t="str">
            <v>AE</v>
          </cell>
          <cell r="H494" t="str">
            <v>EMERGENCY UNIT</v>
          </cell>
          <cell r="I494" t="str">
            <v>01AE110</v>
          </cell>
          <cell r="J494" t="str">
            <v>EQUIPT. ROOM</v>
          </cell>
          <cell r="K494" t="str">
            <v>BMED</v>
          </cell>
          <cell r="L494" t="str">
            <v>Normal</v>
          </cell>
          <cell r="M494" t="str">
            <v>Germany</v>
          </cell>
          <cell r="N494" t="str">
            <v>Pari Boy</v>
          </cell>
          <cell r="O494" t="str">
            <v>Pari Boy SX 085</v>
          </cell>
          <cell r="P494" t="str">
            <v>2W12F13805</v>
          </cell>
          <cell r="Q494" t="str">
            <v>Not Applicable</v>
          </cell>
          <cell r="R494" t="str">
            <v>Pari GmbH</v>
          </cell>
          <cell r="S494" t="str">
            <v>Welch Allyn Malaysia Sdn Bhd</v>
          </cell>
          <cell r="T494" t="str">
            <v>Functioning</v>
          </cell>
          <cell r="U494" t="str">
            <v>Asset</v>
          </cell>
          <cell r="V494">
            <v>1140</v>
          </cell>
          <cell r="W494" t="str">
            <v>KEW</v>
          </cell>
          <cell r="X494" t="str">
            <v>01/09/2010</v>
          </cell>
          <cell r="Y494" t="str">
            <v>KEW</v>
          </cell>
          <cell r="Z494" t="str">
            <v>16/08/2013</v>
          </cell>
          <cell r="AA494" t="str">
            <v>15/08/2015</v>
          </cell>
          <cell r="AB494" t="str">
            <v>No</v>
          </cell>
          <cell r="AC494" t="str">
            <v>31/08/2013</v>
          </cell>
          <cell r="AD494" t="str">
            <v>Good</v>
          </cell>
          <cell r="AE494" t="str">
            <v>V1 - Existing / No Claim</v>
          </cell>
          <cell r="AF494">
            <v>42235</v>
          </cell>
          <cell r="AG494">
            <v>9.17</v>
          </cell>
          <cell r="AH494" t="str">
            <v>PPM</v>
          </cell>
          <cell r="AI494" t="str">
            <v>Strands</v>
          </cell>
          <cell r="AJ494" t="str">
            <v>Strands PW</v>
          </cell>
        </row>
        <row r="495">
          <cell r="A495" t="str">
            <v>IKN400010</v>
          </cell>
          <cell r="B495">
            <v>10</v>
          </cell>
          <cell r="C495" t="str">
            <v>Institut Kanser Negara</v>
          </cell>
          <cell r="D495" t="str">
            <v>KKM/IKN/H/13/1779</v>
          </cell>
          <cell r="E495" t="str">
            <v>13-217</v>
          </cell>
          <cell r="F495" t="str">
            <v>Infusion Pumps, Syringe</v>
          </cell>
          <cell r="G495" t="str">
            <v>AE</v>
          </cell>
          <cell r="H495" t="str">
            <v>EMERGENCY UNIT</v>
          </cell>
          <cell r="I495" t="str">
            <v>01AE118</v>
          </cell>
          <cell r="J495" t="str">
            <v>RESUSCITATION TREATMENT 1</v>
          </cell>
          <cell r="K495" t="str">
            <v>BMED</v>
          </cell>
          <cell r="L495" t="str">
            <v>Critical</v>
          </cell>
          <cell r="M495" t="str">
            <v>Germany</v>
          </cell>
          <cell r="N495" t="str">
            <v>Perfusor</v>
          </cell>
          <cell r="O495" t="str">
            <v>Perfusor Space</v>
          </cell>
          <cell r="P495" t="str">
            <v>143272</v>
          </cell>
          <cell r="Q495" t="str">
            <v>Not Applicable</v>
          </cell>
          <cell r="R495" t="str">
            <v>B Braun Melsungen AG</v>
          </cell>
          <cell r="S495" t="str">
            <v>B Braun Medical Supplies Sdn. Bhd.</v>
          </cell>
          <cell r="T495" t="str">
            <v>Functioning</v>
          </cell>
          <cell r="U495" t="str">
            <v>Asset</v>
          </cell>
          <cell r="V495">
            <v>10225</v>
          </cell>
          <cell r="W495" t="str">
            <v>KEW</v>
          </cell>
          <cell r="X495" t="str">
            <v>01/09/2010</v>
          </cell>
          <cell r="Y495" t="str">
            <v>KEW</v>
          </cell>
          <cell r="Z495" t="str">
            <v>16/08/2013</v>
          </cell>
          <cell r="AA495" t="str">
            <v>15/08/2015</v>
          </cell>
          <cell r="AB495" t="str">
            <v>No</v>
          </cell>
          <cell r="AC495" t="str">
            <v>31/08/2013</v>
          </cell>
          <cell r="AD495" t="str">
            <v>Good</v>
          </cell>
          <cell r="AE495" t="str">
            <v>V1 - Existing / No Claim</v>
          </cell>
          <cell r="AF495">
            <v>42800</v>
          </cell>
          <cell r="AG495">
            <v>9.17</v>
          </cell>
          <cell r="AH495" t="str">
            <v>PPM</v>
          </cell>
          <cell r="AI495" t="str">
            <v>Strands</v>
          </cell>
          <cell r="AJ495" t="str">
            <v>Strands PW</v>
          </cell>
        </row>
        <row r="496">
          <cell r="A496" t="str">
            <v>IKN400011</v>
          </cell>
          <cell r="B496">
            <v>11</v>
          </cell>
          <cell r="C496" t="str">
            <v>Institut Kanser Negara</v>
          </cell>
          <cell r="D496" t="str">
            <v>KKM/IKN/H/13/1780</v>
          </cell>
          <cell r="E496" t="str">
            <v>13-217</v>
          </cell>
          <cell r="F496" t="str">
            <v>Infusion Pumps, Syringe</v>
          </cell>
          <cell r="G496" t="str">
            <v>AE</v>
          </cell>
          <cell r="H496" t="str">
            <v>EMERGENCY UNIT</v>
          </cell>
          <cell r="I496" t="str">
            <v>01AE118</v>
          </cell>
          <cell r="J496" t="str">
            <v>RESUSCITATION TREATMENT 1</v>
          </cell>
          <cell r="K496" t="str">
            <v>BMED</v>
          </cell>
          <cell r="L496" t="str">
            <v>Critical</v>
          </cell>
          <cell r="M496" t="str">
            <v>Germany</v>
          </cell>
          <cell r="N496" t="str">
            <v>Perfusor</v>
          </cell>
          <cell r="O496" t="str">
            <v>Perfusor Space</v>
          </cell>
          <cell r="P496" t="str">
            <v>186903</v>
          </cell>
          <cell r="Q496" t="str">
            <v>Not Applicable</v>
          </cell>
          <cell r="R496" t="str">
            <v>B Braun Melsungen AG</v>
          </cell>
          <cell r="S496" t="str">
            <v>B Braun Medical Supplies Sdn. Bhd.</v>
          </cell>
          <cell r="T496" t="str">
            <v>Functioning</v>
          </cell>
          <cell r="U496" t="str">
            <v>Asset</v>
          </cell>
          <cell r="V496">
            <v>10225</v>
          </cell>
          <cell r="W496" t="str">
            <v>KEW</v>
          </cell>
          <cell r="X496" t="str">
            <v>01/09/2010</v>
          </cell>
          <cell r="Y496" t="str">
            <v>KEW</v>
          </cell>
          <cell r="Z496" t="str">
            <v>16/08/2013</v>
          </cell>
          <cell r="AA496" t="str">
            <v>15/08/2015</v>
          </cell>
          <cell r="AB496" t="str">
            <v>No</v>
          </cell>
          <cell r="AC496" t="str">
            <v>31/08/2013</v>
          </cell>
          <cell r="AD496" t="str">
            <v>Good</v>
          </cell>
          <cell r="AE496" t="str">
            <v>V1 - Existing / No Claim</v>
          </cell>
          <cell r="AF496">
            <v>42800</v>
          </cell>
          <cell r="AG496">
            <v>9.17</v>
          </cell>
          <cell r="AH496" t="str">
            <v>PPM</v>
          </cell>
          <cell r="AI496" t="str">
            <v>Strands</v>
          </cell>
          <cell r="AJ496" t="str">
            <v>Strands PW</v>
          </cell>
        </row>
        <row r="497">
          <cell r="A497" t="str">
            <v>IKN400012</v>
          </cell>
          <cell r="B497">
            <v>12</v>
          </cell>
          <cell r="C497" t="str">
            <v>Institut Kanser Negara</v>
          </cell>
          <cell r="D497" t="str">
            <v>KKM/IKN/H/13/1781</v>
          </cell>
          <cell r="E497" t="str">
            <v>13-217</v>
          </cell>
          <cell r="F497" t="str">
            <v>Infusion Pumps, Syringe</v>
          </cell>
          <cell r="G497" t="str">
            <v>AE</v>
          </cell>
          <cell r="H497" t="str">
            <v>EMERGENCY UNIT</v>
          </cell>
          <cell r="I497" t="str">
            <v>01AE119</v>
          </cell>
          <cell r="J497" t="str">
            <v>RESUSCITATION/TREATMENT</v>
          </cell>
          <cell r="K497" t="str">
            <v>BMED</v>
          </cell>
          <cell r="L497" t="str">
            <v>Critical</v>
          </cell>
          <cell r="M497" t="str">
            <v>Germany</v>
          </cell>
          <cell r="N497" t="str">
            <v>Perfusor</v>
          </cell>
          <cell r="O497" t="str">
            <v>Perfusor Space</v>
          </cell>
          <cell r="P497" t="str">
            <v>186999</v>
          </cell>
          <cell r="Q497" t="str">
            <v>Not Applicable</v>
          </cell>
          <cell r="R497" t="str">
            <v>B Braun Melsungen AG</v>
          </cell>
          <cell r="S497" t="str">
            <v>B Braun Medical Supplies Sdn. Bhd.</v>
          </cell>
          <cell r="T497" t="str">
            <v>Functioning</v>
          </cell>
          <cell r="U497" t="str">
            <v>Asset</v>
          </cell>
          <cell r="V497">
            <v>10225</v>
          </cell>
          <cell r="W497" t="str">
            <v>KEW</v>
          </cell>
          <cell r="X497" t="str">
            <v>01/09/2010</v>
          </cell>
          <cell r="Y497" t="str">
            <v>KEW</v>
          </cell>
          <cell r="Z497" t="str">
            <v>16/08/2013</v>
          </cell>
          <cell r="AA497" t="str">
            <v>15/08/2015</v>
          </cell>
          <cell r="AB497" t="str">
            <v>No</v>
          </cell>
          <cell r="AC497" t="str">
            <v>31/08/2013</v>
          </cell>
          <cell r="AD497" t="str">
            <v>Good</v>
          </cell>
          <cell r="AE497" t="str">
            <v>V1 - Existing / No Claim</v>
          </cell>
          <cell r="AF497">
            <v>42800</v>
          </cell>
          <cell r="AG497">
            <v>9.17</v>
          </cell>
          <cell r="AH497" t="str">
            <v>PPM</v>
          </cell>
          <cell r="AI497" t="str">
            <v>Strands</v>
          </cell>
          <cell r="AJ497" t="str">
            <v>Strands PW</v>
          </cell>
        </row>
        <row r="498">
          <cell r="A498" t="str">
            <v>IKN400013</v>
          </cell>
          <cell r="B498">
            <v>13</v>
          </cell>
          <cell r="C498" t="str">
            <v>Institut Kanser Negara</v>
          </cell>
          <cell r="D498" t="str">
            <v>KKM/IKN/H/13/1782</v>
          </cell>
          <cell r="E498" t="str">
            <v>13-217</v>
          </cell>
          <cell r="F498" t="str">
            <v>Infusion Pumps, Syringe</v>
          </cell>
          <cell r="G498" t="str">
            <v>AE</v>
          </cell>
          <cell r="H498" t="str">
            <v>EMERGENCY UNIT</v>
          </cell>
          <cell r="I498" t="str">
            <v>01AE119</v>
          </cell>
          <cell r="J498" t="str">
            <v>RESUSCITATION/TREATMENT</v>
          </cell>
          <cell r="K498" t="str">
            <v>BMED</v>
          </cell>
          <cell r="L498" t="str">
            <v>Normal</v>
          </cell>
          <cell r="M498" t="str">
            <v>Germany</v>
          </cell>
          <cell r="N498" t="str">
            <v>Perfusor</v>
          </cell>
          <cell r="O498" t="str">
            <v>Perfusor Space</v>
          </cell>
          <cell r="P498" t="str">
            <v>186596</v>
          </cell>
          <cell r="Q498" t="str">
            <v>Not Applicable</v>
          </cell>
          <cell r="R498" t="str">
            <v>B Braun Melsungen AG</v>
          </cell>
          <cell r="S498" t="str">
            <v>B Braun Medical Supplies Sdn. Bhd.</v>
          </cell>
          <cell r="T498" t="str">
            <v>Functioning</v>
          </cell>
          <cell r="U498" t="str">
            <v>Asset</v>
          </cell>
          <cell r="V498">
            <v>10225</v>
          </cell>
          <cell r="W498" t="str">
            <v>KEW</v>
          </cell>
          <cell r="X498" t="str">
            <v>01/09/2010</v>
          </cell>
          <cell r="Y498" t="str">
            <v>KEW</v>
          </cell>
          <cell r="Z498" t="str">
            <v>16/08/2013</v>
          </cell>
          <cell r="AA498" t="str">
            <v>15/08/2015</v>
          </cell>
          <cell r="AB498" t="str">
            <v>No</v>
          </cell>
          <cell r="AC498" t="str">
            <v>31/08/2013</v>
          </cell>
          <cell r="AD498" t="str">
            <v>Good</v>
          </cell>
          <cell r="AE498" t="str">
            <v>V1 - Existing / No Claim</v>
          </cell>
          <cell r="AF498">
            <v>42235</v>
          </cell>
          <cell r="AG498">
            <v>9.17</v>
          </cell>
          <cell r="AH498" t="str">
            <v>PPM</v>
          </cell>
          <cell r="AI498" t="str">
            <v>Strands</v>
          </cell>
          <cell r="AJ498" t="str">
            <v>Strands PW</v>
          </cell>
        </row>
        <row r="499">
          <cell r="A499" t="str">
            <v>IKN400014</v>
          </cell>
          <cell r="B499">
            <v>14</v>
          </cell>
          <cell r="C499" t="str">
            <v>Institut Kanser Negara</v>
          </cell>
          <cell r="D499" t="str">
            <v>KKM/IKN/H/13/1740</v>
          </cell>
          <cell r="E499" t="str">
            <v>13-215</v>
          </cell>
          <cell r="F499" t="str">
            <v>Infusion Pumps, General-Purpose</v>
          </cell>
          <cell r="G499" t="str">
            <v>AE</v>
          </cell>
          <cell r="H499" t="str">
            <v>EMERGENCY UNIT</v>
          </cell>
          <cell r="I499" t="str">
            <v>01AE118</v>
          </cell>
          <cell r="J499" t="str">
            <v>RESUSCITATION TREATMENT 1</v>
          </cell>
          <cell r="K499" t="str">
            <v>BMED</v>
          </cell>
          <cell r="L499" t="str">
            <v>Critical</v>
          </cell>
          <cell r="M499" t="str">
            <v>Germany</v>
          </cell>
          <cell r="N499" t="str">
            <v>Infusomat</v>
          </cell>
          <cell r="O499" t="str">
            <v>Infusomat Space</v>
          </cell>
          <cell r="P499" t="str">
            <v>212260</v>
          </cell>
          <cell r="Q499" t="str">
            <v>Not Applicable</v>
          </cell>
          <cell r="R499" t="str">
            <v>B Braun Melsungen AG</v>
          </cell>
          <cell r="S499" t="str">
            <v>B Braun Medical Supplies Sdn. Bhd.</v>
          </cell>
          <cell r="T499" t="str">
            <v>Functioning</v>
          </cell>
          <cell r="U499" t="str">
            <v>Asset</v>
          </cell>
          <cell r="V499">
            <v>10825</v>
          </cell>
          <cell r="W499" t="str">
            <v>KEW</v>
          </cell>
          <cell r="X499" t="str">
            <v>01/09/2010</v>
          </cell>
          <cell r="Y499" t="str">
            <v>KEW</v>
          </cell>
          <cell r="Z499" t="str">
            <v>16/08/2013</v>
          </cell>
          <cell r="AA499" t="str">
            <v>15/08/2015</v>
          </cell>
          <cell r="AB499" t="str">
            <v>No</v>
          </cell>
          <cell r="AC499" t="str">
            <v>31/08/2013</v>
          </cell>
          <cell r="AD499" t="str">
            <v>Good</v>
          </cell>
          <cell r="AE499" t="str">
            <v>V1 - Existing / No Claim</v>
          </cell>
          <cell r="AF499">
            <v>42800</v>
          </cell>
          <cell r="AG499">
            <v>9.17</v>
          </cell>
          <cell r="AH499" t="str">
            <v>PPM</v>
          </cell>
          <cell r="AI499" t="str">
            <v>Strands</v>
          </cell>
          <cell r="AJ499" t="str">
            <v>Strands PW</v>
          </cell>
        </row>
        <row r="500">
          <cell r="A500" t="str">
            <v>IKN400015</v>
          </cell>
          <cell r="B500">
            <v>15</v>
          </cell>
          <cell r="C500" t="str">
            <v>Institut Kanser Negara</v>
          </cell>
          <cell r="D500" t="str">
            <v>KKM/IKN/H/13/1762</v>
          </cell>
          <cell r="E500" t="str">
            <v>13-215</v>
          </cell>
          <cell r="F500" t="str">
            <v>Infusion Pumps, General-Purpose</v>
          </cell>
          <cell r="G500" t="str">
            <v>AE</v>
          </cell>
          <cell r="H500" t="str">
            <v>EMERGENCY UNIT</v>
          </cell>
          <cell r="I500" t="str">
            <v>01AE118</v>
          </cell>
          <cell r="J500" t="str">
            <v>RESUSCITATION TREATMENT 1</v>
          </cell>
          <cell r="K500" t="str">
            <v>BMED</v>
          </cell>
          <cell r="L500" t="str">
            <v>Critical</v>
          </cell>
          <cell r="M500" t="str">
            <v>Germany</v>
          </cell>
          <cell r="N500" t="str">
            <v>Infusomat</v>
          </cell>
          <cell r="O500" t="str">
            <v>Infusomat Space</v>
          </cell>
          <cell r="P500" t="str">
            <v>212039</v>
          </cell>
          <cell r="Q500" t="str">
            <v>Not Applicable</v>
          </cell>
          <cell r="R500" t="str">
            <v>B Braun Melsungen AG</v>
          </cell>
          <cell r="S500" t="str">
            <v>B Braun Medical Supplies Sdn. Bhd.</v>
          </cell>
          <cell r="T500" t="str">
            <v>Functioning</v>
          </cell>
          <cell r="U500" t="str">
            <v>Asset</v>
          </cell>
          <cell r="V500">
            <v>10825</v>
          </cell>
          <cell r="W500" t="str">
            <v>KEW</v>
          </cell>
          <cell r="X500" t="str">
            <v>01/09/2010</v>
          </cell>
          <cell r="Y500" t="str">
            <v>KEW</v>
          </cell>
          <cell r="Z500" t="str">
            <v>16/08/2013</v>
          </cell>
          <cell r="AA500" t="str">
            <v>15/08/2015</v>
          </cell>
          <cell r="AB500" t="str">
            <v>No</v>
          </cell>
          <cell r="AC500" t="str">
            <v>31/08/2013</v>
          </cell>
          <cell r="AD500" t="str">
            <v>Good</v>
          </cell>
          <cell r="AE500" t="str">
            <v>V1 - Existing / No Claim</v>
          </cell>
          <cell r="AF500">
            <v>42800</v>
          </cell>
          <cell r="AG500">
            <v>9.17</v>
          </cell>
          <cell r="AH500" t="str">
            <v>PPM</v>
          </cell>
          <cell r="AI500" t="str">
            <v>Strands</v>
          </cell>
          <cell r="AJ500" t="str">
            <v>Strands PW</v>
          </cell>
        </row>
        <row r="501">
          <cell r="A501" t="str">
            <v>IKN400016</v>
          </cell>
          <cell r="B501">
            <v>16</v>
          </cell>
          <cell r="C501" t="str">
            <v>Institut Kanser Negara</v>
          </cell>
          <cell r="D501" t="str">
            <v>KKM/IKN/H/13/1741</v>
          </cell>
          <cell r="E501" t="str">
            <v>13-215</v>
          </cell>
          <cell r="F501" t="str">
            <v>Infusion Pumps, General-Purpose</v>
          </cell>
          <cell r="G501" t="str">
            <v>AE</v>
          </cell>
          <cell r="H501" t="str">
            <v>EMERGENCY UNIT</v>
          </cell>
          <cell r="I501" t="str">
            <v>01AE119</v>
          </cell>
          <cell r="J501" t="str">
            <v>RESUSCITATION/TREATMENT</v>
          </cell>
          <cell r="K501" t="str">
            <v>BMED</v>
          </cell>
          <cell r="L501" t="str">
            <v>Critical</v>
          </cell>
          <cell r="M501" t="str">
            <v>Germany</v>
          </cell>
          <cell r="N501" t="str">
            <v>Infusomat</v>
          </cell>
          <cell r="O501" t="str">
            <v>Infusomat Space</v>
          </cell>
          <cell r="P501" t="str">
            <v>211770</v>
          </cell>
          <cell r="Q501" t="str">
            <v>Not Applicable</v>
          </cell>
          <cell r="R501" t="str">
            <v>B Braun Melsungen AG</v>
          </cell>
          <cell r="S501" t="str">
            <v>B Braun Medical Supplies Sdn. Bhd.</v>
          </cell>
          <cell r="T501" t="str">
            <v>Functioning</v>
          </cell>
          <cell r="U501" t="str">
            <v>Asset</v>
          </cell>
          <cell r="V501">
            <v>10825</v>
          </cell>
          <cell r="W501" t="str">
            <v>KEW</v>
          </cell>
          <cell r="X501" t="str">
            <v>01/09/2010</v>
          </cell>
          <cell r="Y501" t="str">
            <v>KEW</v>
          </cell>
          <cell r="Z501" t="str">
            <v>16/08/2013</v>
          </cell>
          <cell r="AA501" t="str">
            <v>15/08/2015</v>
          </cell>
          <cell r="AB501" t="str">
            <v>No</v>
          </cell>
          <cell r="AC501" t="str">
            <v>31/08/2013</v>
          </cell>
          <cell r="AD501" t="str">
            <v>Good</v>
          </cell>
          <cell r="AE501" t="str">
            <v>V1 - Existing / No Claim</v>
          </cell>
          <cell r="AF501">
            <v>42800</v>
          </cell>
          <cell r="AG501">
            <v>9.17</v>
          </cell>
          <cell r="AH501" t="str">
            <v>PPM</v>
          </cell>
          <cell r="AI501" t="str">
            <v>Strands</v>
          </cell>
          <cell r="AJ501" t="str">
            <v>Strands PW</v>
          </cell>
        </row>
        <row r="502">
          <cell r="A502" t="str">
            <v>IKN400017</v>
          </cell>
          <cell r="B502">
            <v>17</v>
          </cell>
          <cell r="C502" t="str">
            <v>Institut Kanser Negara</v>
          </cell>
          <cell r="D502" t="str">
            <v>KKM/IKN/H/13/1742</v>
          </cell>
          <cell r="E502" t="str">
            <v>13-215</v>
          </cell>
          <cell r="F502" t="str">
            <v>Infusion Pumps, General-Purpose</v>
          </cell>
          <cell r="G502" t="str">
            <v>AE</v>
          </cell>
          <cell r="H502" t="str">
            <v>EMERGENCY UNIT</v>
          </cell>
          <cell r="I502" t="str">
            <v>01AE119</v>
          </cell>
          <cell r="J502" t="str">
            <v>RESUSCITATION/TREATMENT</v>
          </cell>
          <cell r="K502" t="str">
            <v>BMED</v>
          </cell>
          <cell r="L502" t="str">
            <v>Critical</v>
          </cell>
          <cell r="M502" t="str">
            <v>Germany</v>
          </cell>
          <cell r="N502" t="str">
            <v>Infusomat</v>
          </cell>
          <cell r="O502" t="str">
            <v>Infusomat Space</v>
          </cell>
          <cell r="P502" t="str">
            <v>211612</v>
          </cell>
          <cell r="Q502" t="str">
            <v>Not Applicable</v>
          </cell>
          <cell r="R502" t="str">
            <v>B Braun Melsungen AG</v>
          </cell>
          <cell r="S502" t="str">
            <v>B Braun Medical Supplies Sdn. Bhd.</v>
          </cell>
          <cell r="T502" t="str">
            <v>Functioning</v>
          </cell>
          <cell r="U502" t="str">
            <v>Asset</v>
          </cell>
          <cell r="V502">
            <v>10825</v>
          </cell>
          <cell r="W502" t="str">
            <v>KEW</v>
          </cell>
          <cell r="X502" t="str">
            <v>01/09/2010</v>
          </cell>
          <cell r="Y502" t="str">
            <v>KEW</v>
          </cell>
          <cell r="Z502" t="str">
            <v>16/08/2013</v>
          </cell>
          <cell r="AA502" t="str">
            <v>15/08/2015</v>
          </cell>
          <cell r="AB502" t="str">
            <v>No</v>
          </cell>
          <cell r="AC502" t="str">
            <v>31/08/2013</v>
          </cell>
          <cell r="AD502" t="str">
            <v>Good</v>
          </cell>
          <cell r="AE502" t="str">
            <v>V1 - Existing / No Claim</v>
          </cell>
          <cell r="AF502">
            <v>42800</v>
          </cell>
          <cell r="AG502">
            <v>9.17</v>
          </cell>
          <cell r="AH502" t="str">
            <v>PPM</v>
          </cell>
          <cell r="AI502" t="str">
            <v>Strands</v>
          </cell>
          <cell r="AJ502" t="str">
            <v>Strands PW</v>
          </cell>
        </row>
        <row r="503">
          <cell r="A503" t="str">
            <v>IKN400018</v>
          </cell>
          <cell r="B503">
            <v>18</v>
          </cell>
          <cell r="C503" t="str">
            <v>Institut Kanser Negara</v>
          </cell>
          <cell r="D503" t="str">
            <v>KKM/IKN/I/13/1654</v>
          </cell>
          <cell r="E503" t="str">
            <v>16-173</v>
          </cell>
          <cell r="F503" t="str">
            <v>Sphygmomanometers, Electronic, Automatic</v>
          </cell>
          <cell r="G503" t="str">
            <v>AE</v>
          </cell>
          <cell r="H503" t="str">
            <v>EMERGENCY UNIT</v>
          </cell>
          <cell r="I503" t="str">
            <v>01AE106</v>
          </cell>
          <cell r="J503" t="str">
            <v>C/E ROOM</v>
          </cell>
          <cell r="K503" t="str">
            <v>BMED</v>
          </cell>
          <cell r="L503" t="str">
            <v>Normal</v>
          </cell>
          <cell r="M503" t="str">
            <v>USA</v>
          </cell>
          <cell r="N503" t="str">
            <v>Connex</v>
          </cell>
          <cell r="O503" t="str">
            <v>Connex ProBP 3400</v>
          </cell>
          <cell r="P503" t="str">
            <v>100001460413</v>
          </cell>
          <cell r="Q503" t="str">
            <v>Not Applicable</v>
          </cell>
          <cell r="R503" t="str">
            <v>Welch Allyn Inc</v>
          </cell>
          <cell r="S503" t="str">
            <v>Welch Allyn Malaysia Sdn Bhd</v>
          </cell>
          <cell r="T503" t="str">
            <v>Functioning</v>
          </cell>
          <cell r="U503" t="str">
            <v>Asset</v>
          </cell>
          <cell r="V503">
            <v>336</v>
          </cell>
          <cell r="W503" t="str">
            <v>KEW</v>
          </cell>
          <cell r="X503" t="str">
            <v>01/09/2010</v>
          </cell>
          <cell r="Y503" t="str">
            <v>KEW</v>
          </cell>
          <cell r="Z503" t="str">
            <v>16/08/2013</v>
          </cell>
          <cell r="AA503" t="str">
            <v>15/08/2015</v>
          </cell>
          <cell r="AB503" t="str">
            <v>No</v>
          </cell>
          <cell r="AC503" t="str">
            <v>31/08/2013</v>
          </cell>
          <cell r="AD503" t="str">
            <v>Good</v>
          </cell>
          <cell r="AE503" t="str">
            <v>V1 - Existing / No Claim</v>
          </cell>
          <cell r="AF503">
            <v>42235</v>
          </cell>
          <cell r="AG503">
            <v>9.17</v>
          </cell>
          <cell r="AH503" t="str">
            <v>PPM</v>
          </cell>
          <cell r="AI503" t="str">
            <v>Strands</v>
          </cell>
          <cell r="AJ503" t="str">
            <v>Strands PW</v>
          </cell>
        </row>
        <row r="504">
          <cell r="A504" t="str">
            <v>IKN400019</v>
          </cell>
          <cell r="B504">
            <v>19</v>
          </cell>
          <cell r="C504" t="str">
            <v>Institut Kanser Negara</v>
          </cell>
          <cell r="D504" t="str">
            <v>KKM/IKN/I/13/1646</v>
          </cell>
          <cell r="E504" t="str">
            <v>16-173</v>
          </cell>
          <cell r="F504" t="str">
            <v>Sphygmomanometers, Electronic, Automatic</v>
          </cell>
          <cell r="G504" t="str">
            <v>AE</v>
          </cell>
          <cell r="H504" t="str">
            <v>EMERGENCY UNIT</v>
          </cell>
          <cell r="I504" t="str">
            <v>01AE108</v>
          </cell>
          <cell r="J504" t="str">
            <v>TRIAGE</v>
          </cell>
          <cell r="K504" t="str">
            <v>BMED</v>
          </cell>
          <cell r="L504" t="str">
            <v>Critical</v>
          </cell>
          <cell r="M504" t="str">
            <v>USA</v>
          </cell>
          <cell r="N504" t="str">
            <v>Connex</v>
          </cell>
          <cell r="O504" t="str">
            <v>Connex ProBP 3400</v>
          </cell>
          <cell r="P504" t="str">
            <v>100000800413</v>
          </cell>
          <cell r="Q504" t="str">
            <v>Not Applicable</v>
          </cell>
          <cell r="R504" t="str">
            <v>Welch Allyn Inc</v>
          </cell>
          <cell r="S504" t="str">
            <v>Welch Allyn Malaysia Sdn Bhd</v>
          </cell>
          <cell r="T504" t="str">
            <v>Functioning</v>
          </cell>
          <cell r="U504" t="str">
            <v>Asset</v>
          </cell>
          <cell r="V504">
            <v>336</v>
          </cell>
          <cell r="W504" t="str">
            <v>KEW</v>
          </cell>
          <cell r="X504" t="str">
            <v>01/09/2010</v>
          </cell>
          <cell r="Y504" t="str">
            <v>KEW</v>
          </cell>
          <cell r="Z504" t="str">
            <v>16/08/2013</v>
          </cell>
          <cell r="AA504" t="str">
            <v>15/08/2015</v>
          </cell>
          <cell r="AB504" t="str">
            <v>No</v>
          </cell>
          <cell r="AC504" t="str">
            <v>31/08/2013</v>
          </cell>
          <cell r="AD504" t="str">
            <v>Good</v>
          </cell>
          <cell r="AE504" t="str">
            <v>V1 - Existing / No Claim</v>
          </cell>
          <cell r="AF504">
            <v>42800</v>
          </cell>
          <cell r="AG504">
            <v>9.17</v>
          </cell>
          <cell r="AH504" t="str">
            <v>PPM</v>
          </cell>
          <cell r="AI504" t="str">
            <v>Strands</v>
          </cell>
          <cell r="AJ504" t="str">
            <v>Strands PW</v>
          </cell>
        </row>
        <row r="505">
          <cell r="A505" t="str">
            <v>IKN400020</v>
          </cell>
          <cell r="B505">
            <v>20</v>
          </cell>
          <cell r="C505" t="str">
            <v>Institut Kanser Negara</v>
          </cell>
          <cell r="D505" t="str">
            <v>KKM/IKN/H/13/1784</v>
          </cell>
          <cell r="E505" t="str">
            <v>10-208</v>
          </cell>
          <cell r="F505" t="str">
            <v>Aspirators</v>
          </cell>
          <cell r="G505" t="str">
            <v>AE</v>
          </cell>
          <cell r="H505" t="str">
            <v>EMERGENCY UNIT</v>
          </cell>
          <cell r="I505" t="str">
            <v>01AE118</v>
          </cell>
          <cell r="J505" t="str">
            <v>RESUSCITATION TREATMENT 1</v>
          </cell>
          <cell r="K505" t="str">
            <v>BMED</v>
          </cell>
          <cell r="L505" t="str">
            <v>Critical</v>
          </cell>
          <cell r="M505" t="str">
            <v>Switzerland</v>
          </cell>
          <cell r="N505" t="str">
            <v>Senator</v>
          </cell>
          <cell r="O505" t="str">
            <v>Senator</v>
          </cell>
          <cell r="P505" t="str">
            <v>1220754</v>
          </cell>
          <cell r="Q505" t="str">
            <v>Not Applicable</v>
          </cell>
          <cell r="R505" t="str">
            <v>Ardo Medical AG</v>
          </cell>
          <cell r="S505" t="str">
            <v>Histopoint</v>
          </cell>
          <cell r="T505" t="str">
            <v>Functioning</v>
          </cell>
          <cell r="U505" t="str">
            <v>Asset</v>
          </cell>
          <cell r="V505">
            <v>7580</v>
          </cell>
          <cell r="W505" t="str">
            <v>KEW</v>
          </cell>
          <cell r="X505" t="str">
            <v>01/09/2010</v>
          </cell>
          <cell r="Y505" t="str">
            <v>KEW</v>
          </cell>
          <cell r="Z505" t="str">
            <v>16/08/2013</v>
          </cell>
          <cell r="AA505" t="str">
            <v>15/08/2015</v>
          </cell>
          <cell r="AB505" t="str">
            <v>No</v>
          </cell>
          <cell r="AC505" t="str">
            <v>31/08/2013</v>
          </cell>
          <cell r="AD505" t="str">
            <v>Good</v>
          </cell>
          <cell r="AE505" t="str">
            <v>V1 - Existing / No Claim</v>
          </cell>
          <cell r="AF505">
            <v>42800</v>
          </cell>
          <cell r="AG505">
            <v>9.17</v>
          </cell>
          <cell r="AH505" t="str">
            <v>PPM</v>
          </cell>
          <cell r="AI505" t="str">
            <v>Strands</v>
          </cell>
          <cell r="AJ505" t="str">
            <v>Strands PW</v>
          </cell>
        </row>
        <row r="506">
          <cell r="A506" t="str">
            <v>IKN400021</v>
          </cell>
          <cell r="B506">
            <v>21</v>
          </cell>
          <cell r="C506" t="str">
            <v>Institut Kanser Negara</v>
          </cell>
          <cell r="D506" t="str">
            <v>KKM/IKN/H/13/1783</v>
          </cell>
          <cell r="E506" t="str">
            <v>10-208</v>
          </cell>
          <cell r="F506" t="str">
            <v>Aspirators</v>
          </cell>
          <cell r="G506" t="str">
            <v>AE</v>
          </cell>
          <cell r="H506" t="str">
            <v>EMERGENCY UNIT</v>
          </cell>
          <cell r="I506" t="str">
            <v>01AE119</v>
          </cell>
          <cell r="J506" t="str">
            <v>RESUSCITATION/TREATMENT</v>
          </cell>
          <cell r="K506" t="str">
            <v>BMED</v>
          </cell>
          <cell r="L506" t="str">
            <v>Normal</v>
          </cell>
          <cell r="M506" t="str">
            <v>Switzerland</v>
          </cell>
          <cell r="N506" t="str">
            <v>Senator</v>
          </cell>
          <cell r="O506" t="str">
            <v>Senator</v>
          </cell>
          <cell r="P506" t="str">
            <v>1220758</v>
          </cell>
          <cell r="Q506" t="str">
            <v>Not Applicable</v>
          </cell>
          <cell r="R506" t="str">
            <v>Ardo Medical AG</v>
          </cell>
          <cell r="S506" t="str">
            <v>Histopoint</v>
          </cell>
          <cell r="T506" t="str">
            <v>Functioning</v>
          </cell>
          <cell r="U506" t="str">
            <v>Asset</v>
          </cell>
          <cell r="V506">
            <v>7580</v>
          </cell>
          <cell r="W506" t="str">
            <v>KEW</v>
          </cell>
          <cell r="X506" t="str">
            <v>01/09/2010</v>
          </cell>
          <cell r="Y506" t="str">
            <v>KEW</v>
          </cell>
          <cell r="Z506" t="str">
            <v>16/08/2013</v>
          </cell>
          <cell r="AA506" t="str">
            <v>15/08/2015</v>
          </cell>
          <cell r="AB506" t="str">
            <v>No</v>
          </cell>
          <cell r="AC506" t="str">
            <v>31/08/2013</v>
          </cell>
          <cell r="AD506" t="str">
            <v>Good</v>
          </cell>
          <cell r="AE506" t="str">
            <v>V1 - Existing / No Claim</v>
          </cell>
          <cell r="AF506">
            <v>42235</v>
          </cell>
          <cell r="AG506">
            <v>9.17</v>
          </cell>
          <cell r="AH506" t="str">
            <v>PPM</v>
          </cell>
          <cell r="AI506" t="str">
            <v>Strands</v>
          </cell>
          <cell r="AJ506" t="str">
            <v>Strands PW</v>
          </cell>
        </row>
        <row r="507">
          <cell r="A507" t="str">
            <v>IKN400022</v>
          </cell>
          <cell r="B507">
            <v>22</v>
          </cell>
          <cell r="C507" t="str">
            <v>Institut Kanser Negara</v>
          </cell>
          <cell r="D507" t="str">
            <v>KKM/IKN/H/13/1772</v>
          </cell>
          <cell r="E507" t="str">
            <v>18-098</v>
          </cell>
          <cell r="F507" t="str">
            <v>Ventilators, Transport</v>
          </cell>
          <cell r="G507" t="str">
            <v>AE</v>
          </cell>
          <cell r="H507" t="str">
            <v>EMERGENCY UNIT</v>
          </cell>
          <cell r="I507" t="str">
            <v>01AE110</v>
          </cell>
          <cell r="J507" t="str">
            <v>EQUIPT. ROOM</v>
          </cell>
          <cell r="K507" t="str">
            <v>BMED</v>
          </cell>
          <cell r="L507" t="str">
            <v>Normal</v>
          </cell>
          <cell r="M507" t="str">
            <v>Germany</v>
          </cell>
          <cell r="N507" t="str">
            <v>Oxylog</v>
          </cell>
          <cell r="O507" t="str">
            <v>Oxylog 3000 Plus</v>
          </cell>
          <cell r="P507" t="str">
            <v>ASDJ-0137</v>
          </cell>
          <cell r="Q507" t="str">
            <v>Not Applicable</v>
          </cell>
          <cell r="R507" t="str">
            <v>Draegerwerk Ag</v>
          </cell>
          <cell r="S507" t="str">
            <v>Beau Consortium Sdn Bhd</v>
          </cell>
          <cell r="T507" t="str">
            <v>Functioning</v>
          </cell>
          <cell r="U507" t="str">
            <v>Asset</v>
          </cell>
          <cell r="V507">
            <v>60150</v>
          </cell>
          <cell r="W507" t="str">
            <v>KEW</v>
          </cell>
          <cell r="X507" t="str">
            <v>01/09/2010</v>
          </cell>
          <cell r="Y507" t="str">
            <v>KEW</v>
          </cell>
          <cell r="Z507" t="str">
            <v>16/08/2013</v>
          </cell>
          <cell r="AA507" t="str">
            <v>15/08/2015</v>
          </cell>
          <cell r="AB507" t="str">
            <v>No</v>
          </cell>
          <cell r="AC507" t="str">
            <v>31/08/2013</v>
          </cell>
          <cell r="AD507" t="str">
            <v>Good</v>
          </cell>
          <cell r="AE507" t="str">
            <v>V1 - Existing / No Claim</v>
          </cell>
          <cell r="AF507">
            <v>42235</v>
          </cell>
          <cell r="AG507">
            <v>9.17</v>
          </cell>
          <cell r="AH507" t="str">
            <v>PPM</v>
          </cell>
          <cell r="AI507" t="str">
            <v>Strands</v>
          </cell>
          <cell r="AJ507" t="str">
            <v>Strands PW</v>
          </cell>
        </row>
        <row r="508">
          <cell r="A508" t="str">
            <v>IKN400023</v>
          </cell>
          <cell r="B508">
            <v>23</v>
          </cell>
          <cell r="C508" t="str">
            <v>Institut Kanser Negara</v>
          </cell>
          <cell r="D508" t="str">
            <v>KKM/IKN/H/13/1771</v>
          </cell>
          <cell r="E508" t="str">
            <v>10-447</v>
          </cell>
          <cell r="F508" t="str">
            <v>Warming Units, Blood/Solution</v>
          </cell>
          <cell r="G508" t="str">
            <v>AE</v>
          </cell>
          <cell r="H508" t="str">
            <v>EMERGENCY UNIT</v>
          </cell>
          <cell r="I508" t="str">
            <v>01AE110</v>
          </cell>
          <cell r="J508" t="str">
            <v>EQUIPT. ROOM</v>
          </cell>
          <cell r="K508" t="str">
            <v>BMED</v>
          </cell>
          <cell r="L508" t="str">
            <v>Normal</v>
          </cell>
          <cell r="M508" t="str">
            <v>Japan</v>
          </cell>
          <cell r="N508" t="str">
            <v>Animec</v>
          </cell>
          <cell r="O508" t="str">
            <v>Animec AM-301</v>
          </cell>
          <cell r="P508" t="str">
            <v>2013D0270</v>
          </cell>
          <cell r="Q508" t="str">
            <v>Not Applicable</v>
          </cell>
          <cell r="R508" t="str">
            <v>Elltec Co Ltd</v>
          </cell>
          <cell r="S508" t="str">
            <v>IDS Services (Malaysia) Sdn Bhd</v>
          </cell>
          <cell r="T508" t="str">
            <v>Functioning</v>
          </cell>
          <cell r="U508" t="str">
            <v>Asset</v>
          </cell>
          <cell r="V508">
            <v>4990</v>
          </cell>
          <cell r="W508" t="str">
            <v>KEW</v>
          </cell>
          <cell r="X508" t="str">
            <v>01/09/2010</v>
          </cell>
          <cell r="Y508" t="str">
            <v>KEW</v>
          </cell>
          <cell r="Z508" t="str">
            <v>16/08/2013</v>
          </cell>
          <cell r="AA508" t="str">
            <v>15/08/2015</v>
          </cell>
          <cell r="AB508" t="str">
            <v>No</v>
          </cell>
          <cell r="AC508" t="str">
            <v>31/08/2013</v>
          </cell>
          <cell r="AD508" t="str">
            <v>Good</v>
          </cell>
          <cell r="AE508" t="str">
            <v>V1 - Existing / No Claim</v>
          </cell>
          <cell r="AF508">
            <v>42800</v>
          </cell>
          <cell r="AG508">
            <v>9.17</v>
          </cell>
          <cell r="AH508" t="str">
            <v>PPM</v>
          </cell>
          <cell r="AI508" t="str">
            <v>Strands</v>
          </cell>
          <cell r="AJ508" t="str">
            <v>Strands PW</v>
          </cell>
        </row>
        <row r="509">
          <cell r="A509" t="str">
            <v>IKN400024</v>
          </cell>
          <cell r="B509">
            <v>24</v>
          </cell>
          <cell r="C509" t="str">
            <v>Institut Kanser Negara</v>
          </cell>
          <cell r="D509" t="str">
            <v>KKM/IKN/H/13/1705</v>
          </cell>
          <cell r="E509" t="str">
            <v>10-447</v>
          </cell>
          <cell r="F509" t="str">
            <v>Warming Units, Blood/Solution</v>
          </cell>
          <cell r="G509" t="str">
            <v>AE</v>
          </cell>
          <cell r="H509" t="str">
            <v>EMERGENCY UNIT</v>
          </cell>
          <cell r="I509" t="str">
            <v>01AE110</v>
          </cell>
          <cell r="J509" t="str">
            <v>EQUIPT. ROOM</v>
          </cell>
          <cell r="K509" t="str">
            <v>BMED</v>
          </cell>
          <cell r="L509" t="str">
            <v>Normal</v>
          </cell>
          <cell r="M509" t="str">
            <v>Japan</v>
          </cell>
          <cell r="N509" t="str">
            <v>Animec</v>
          </cell>
          <cell r="O509" t="str">
            <v>Animec AM-301</v>
          </cell>
          <cell r="P509" t="str">
            <v>2013D0271</v>
          </cell>
          <cell r="Q509" t="str">
            <v>Not Applicable</v>
          </cell>
          <cell r="R509" t="str">
            <v>Elltec Co Ltd</v>
          </cell>
          <cell r="S509" t="str">
            <v>IDS Services (Malaysia) Sdn Bhd</v>
          </cell>
          <cell r="T509" t="str">
            <v>Functioning</v>
          </cell>
          <cell r="U509" t="str">
            <v>Asset</v>
          </cell>
          <cell r="V509">
            <v>4990</v>
          </cell>
          <cell r="W509" t="str">
            <v>KEW</v>
          </cell>
          <cell r="X509" t="str">
            <v>01/09/2010</v>
          </cell>
          <cell r="Y509" t="str">
            <v>KEW</v>
          </cell>
          <cell r="Z509" t="str">
            <v>16/08/2013</v>
          </cell>
          <cell r="AA509" t="str">
            <v>15/08/2015</v>
          </cell>
          <cell r="AB509" t="str">
            <v>No</v>
          </cell>
          <cell r="AC509" t="str">
            <v>31/08/2013</v>
          </cell>
          <cell r="AD509" t="str">
            <v>Good</v>
          </cell>
          <cell r="AE509" t="str">
            <v>V1 - Existing / No Claim</v>
          </cell>
          <cell r="AF509">
            <v>42800</v>
          </cell>
          <cell r="AG509">
            <v>9.17</v>
          </cell>
          <cell r="AH509" t="str">
            <v>PPM</v>
          </cell>
          <cell r="AI509" t="str">
            <v>Strands</v>
          </cell>
          <cell r="AJ509" t="str">
            <v>Strands PW</v>
          </cell>
        </row>
        <row r="510">
          <cell r="A510" t="str">
            <v>IKN400025</v>
          </cell>
          <cell r="B510">
            <v>25</v>
          </cell>
          <cell r="C510" t="str">
            <v>Institut Kanser Negara</v>
          </cell>
          <cell r="D510" t="str">
            <v>KKM/IKN/H/13/1117</v>
          </cell>
          <cell r="E510" t="str">
            <v>12-863</v>
          </cell>
          <cell r="F510" t="str">
            <v>Oxygen Monitors</v>
          </cell>
          <cell r="G510" t="str">
            <v>IC</v>
          </cell>
          <cell r="H510" t="str">
            <v>INTENSIVE CARE UNIT</v>
          </cell>
          <cell r="I510" t="str">
            <v>05IC124</v>
          </cell>
          <cell r="J510" t="str">
            <v>RHU</v>
          </cell>
          <cell r="K510" t="str">
            <v>BMED</v>
          </cell>
          <cell r="L510" t="str">
            <v>Critical</v>
          </cell>
          <cell r="M510" t="str">
            <v>Germany</v>
          </cell>
          <cell r="N510" t="str">
            <v>Mysign</v>
          </cell>
          <cell r="O510" t="str">
            <v>Mysign O</v>
          </cell>
          <cell r="P510" t="str">
            <v>100169</v>
          </cell>
          <cell r="Q510" t="str">
            <v>Not Applicable</v>
          </cell>
          <cell r="R510" t="str">
            <v>EnviteC-Wismar GmbH</v>
          </cell>
          <cell r="S510" t="str">
            <v>Respimedic</v>
          </cell>
          <cell r="T510" t="str">
            <v>Functioning</v>
          </cell>
          <cell r="U510" t="str">
            <v>Asset</v>
          </cell>
          <cell r="V510">
            <v>3079</v>
          </cell>
          <cell r="W510" t="str">
            <v>KEW</v>
          </cell>
          <cell r="X510" t="str">
            <v>01/09/2010</v>
          </cell>
          <cell r="Y510" t="str">
            <v>KEW</v>
          </cell>
          <cell r="Z510" t="str">
            <v>16/08/2013</v>
          </cell>
          <cell r="AA510" t="str">
            <v>15/08/2015</v>
          </cell>
          <cell r="AB510" t="str">
            <v>No</v>
          </cell>
          <cell r="AC510" t="str">
            <v>31/08/2013</v>
          </cell>
          <cell r="AD510" t="str">
            <v>Good</v>
          </cell>
          <cell r="AE510" t="str">
            <v>V1 - Existing / No Claim</v>
          </cell>
          <cell r="AF510">
            <v>42797</v>
          </cell>
          <cell r="AG510">
            <v>9.17</v>
          </cell>
          <cell r="AH510" t="str">
            <v>PPM</v>
          </cell>
          <cell r="AI510" t="str">
            <v>Strands</v>
          </cell>
          <cell r="AJ510" t="str">
            <v>Strands PW</v>
          </cell>
        </row>
        <row r="511">
          <cell r="A511" t="str">
            <v>IKN400029</v>
          </cell>
          <cell r="B511">
            <v>29</v>
          </cell>
          <cell r="C511" t="str">
            <v>Institut Kanser Negara</v>
          </cell>
          <cell r="D511" t="str">
            <v>KKM/IKN/H/13/1051</v>
          </cell>
          <cell r="E511" t="str">
            <v>12-647</v>
          </cell>
          <cell r="F511" t="str">
            <v>Physiologic Monitoring Systems, Acute Care</v>
          </cell>
          <cell r="G511" t="str">
            <v>IC</v>
          </cell>
          <cell r="H511" t="str">
            <v>INTENSIVE CARE UNIT</v>
          </cell>
          <cell r="I511" t="str">
            <v>05IC140</v>
          </cell>
          <cell r="J511" t="str">
            <v>NURSE STATION 1</v>
          </cell>
          <cell r="K511" t="str">
            <v>BMED</v>
          </cell>
          <cell r="L511" t="str">
            <v>Normal</v>
          </cell>
          <cell r="M511" t="str">
            <v>USA</v>
          </cell>
          <cell r="N511" t="str">
            <v>I-Central</v>
          </cell>
          <cell r="O511" t="str">
            <v>I-Central</v>
          </cell>
          <cell r="P511" t="str">
            <v>1642569</v>
          </cell>
          <cell r="Q511" t="str">
            <v>Not Applicable</v>
          </cell>
          <cell r="R511" t="str">
            <v>GE Healthcare Systems</v>
          </cell>
          <cell r="S511" t="str">
            <v>GE Healthcare Technologies</v>
          </cell>
          <cell r="T511" t="str">
            <v>Functioning</v>
          </cell>
          <cell r="U511" t="str">
            <v>Asset</v>
          </cell>
          <cell r="V511">
            <v>105850</v>
          </cell>
          <cell r="W511" t="str">
            <v>KEW</v>
          </cell>
          <cell r="X511" t="str">
            <v>01/09/2010</v>
          </cell>
          <cell r="Y511" t="str">
            <v>KEW</v>
          </cell>
          <cell r="Z511" t="str">
            <v>16/08/2013</v>
          </cell>
          <cell r="AA511" t="str">
            <v>15/08/2015</v>
          </cell>
          <cell r="AB511" t="str">
            <v>No</v>
          </cell>
          <cell r="AC511" t="str">
            <v>31/08/2013</v>
          </cell>
          <cell r="AD511" t="str">
            <v>Good</v>
          </cell>
          <cell r="AE511" t="str">
            <v>V1 - Existing / No Claim</v>
          </cell>
          <cell r="AF511">
            <v>42235</v>
          </cell>
          <cell r="AG511">
            <v>9.17</v>
          </cell>
          <cell r="AH511" t="str">
            <v>PPM</v>
          </cell>
          <cell r="AI511" t="str">
            <v>Strands</v>
          </cell>
          <cell r="AJ511" t="str">
            <v>Strands Package</v>
          </cell>
          <cell r="AK511" t="str">
            <v>Package Code MJ0023</v>
          </cell>
        </row>
        <row r="512">
          <cell r="A512" t="str">
            <v>IKN400030</v>
          </cell>
          <cell r="B512">
            <v>30</v>
          </cell>
          <cell r="C512" t="str">
            <v>Institut Kanser Negara</v>
          </cell>
          <cell r="D512" t="str">
            <v>KKM/IKN/H/13/3447</v>
          </cell>
          <cell r="E512" t="str">
            <v>11-134</v>
          </cell>
          <cell r="F512" t="str">
            <v>Defibrillators, External, Manual</v>
          </cell>
          <cell r="G512" t="str">
            <v>IC</v>
          </cell>
          <cell r="H512" t="str">
            <v>INTENSIVE CARE UNIT</v>
          </cell>
          <cell r="I512" t="str">
            <v>05IC141</v>
          </cell>
          <cell r="J512" t="str">
            <v>UTILITY</v>
          </cell>
          <cell r="K512" t="str">
            <v>BMED</v>
          </cell>
          <cell r="L512" t="str">
            <v>Critical</v>
          </cell>
          <cell r="M512" t="str">
            <v>USA</v>
          </cell>
          <cell r="N512" t="str">
            <v>Responder</v>
          </cell>
          <cell r="O512" t="str">
            <v>Responder 2000</v>
          </cell>
          <cell r="P512" t="str">
            <v>3206737</v>
          </cell>
          <cell r="Q512" t="str">
            <v>Not Applicable</v>
          </cell>
          <cell r="R512" t="str">
            <v>GE Medical Systems</v>
          </cell>
          <cell r="S512" t="str">
            <v>Antah Sir Radin Sdn. Bhd.</v>
          </cell>
          <cell r="T512" t="str">
            <v>Functioning</v>
          </cell>
          <cell r="U512" t="str">
            <v>Asset</v>
          </cell>
          <cell r="V512">
            <v>45000</v>
          </cell>
          <cell r="W512" t="str">
            <v>Estimate</v>
          </cell>
          <cell r="X512" t="str">
            <v>01/09/2010</v>
          </cell>
          <cell r="Y512" t="str">
            <v>KEW</v>
          </cell>
          <cell r="Z512" t="str">
            <v>16/08/2013</v>
          </cell>
          <cell r="AA512" t="str">
            <v>15/08/2015</v>
          </cell>
          <cell r="AB512" t="str">
            <v>No</v>
          </cell>
          <cell r="AC512" t="str">
            <v>31/08/2013</v>
          </cell>
          <cell r="AD512" t="str">
            <v>Good</v>
          </cell>
          <cell r="AE512" t="str">
            <v>V1 - Existing / No Claim</v>
          </cell>
          <cell r="AF512">
            <v>43306</v>
          </cell>
          <cell r="AG512">
            <v>9.17</v>
          </cell>
          <cell r="AH512" t="str">
            <v>PPM</v>
          </cell>
          <cell r="AI512" t="str">
            <v>Strands</v>
          </cell>
          <cell r="AJ512" t="str">
            <v>Strands PW</v>
          </cell>
        </row>
        <row r="513">
          <cell r="A513" t="str">
            <v>IKN400031</v>
          </cell>
          <cell r="B513">
            <v>31</v>
          </cell>
          <cell r="C513" t="str">
            <v>Institut Kanser Negara</v>
          </cell>
          <cell r="D513" t="str">
            <v>KKM/IKN/H/13/1049</v>
          </cell>
          <cell r="E513" t="str">
            <v>16-231</v>
          </cell>
          <cell r="F513" t="str">
            <v>Electrocardiographs, Multichannel, Interpretative</v>
          </cell>
          <cell r="G513" t="str">
            <v>IC</v>
          </cell>
          <cell r="H513" t="str">
            <v>INTENSIVE CARE UNIT</v>
          </cell>
          <cell r="I513" t="str">
            <v>05IC106</v>
          </cell>
          <cell r="J513" t="str">
            <v>EQ. ROOM</v>
          </cell>
          <cell r="K513" t="str">
            <v>BMED</v>
          </cell>
          <cell r="L513" t="str">
            <v>Normal</v>
          </cell>
          <cell r="M513" t="str">
            <v>India</v>
          </cell>
          <cell r="N513" t="str">
            <v>Mac</v>
          </cell>
          <cell r="O513" t="str">
            <v>Mac 5500</v>
          </cell>
          <cell r="P513" t="str">
            <v>SCD 1230 5247 PA</v>
          </cell>
          <cell r="Q513" t="str">
            <v>Not Applicable</v>
          </cell>
          <cell r="R513" t="str">
            <v>GE Healthcare Systems</v>
          </cell>
          <cell r="S513" t="str">
            <v>GE Healthcare Technologies</v>
          </cell>
          <cell r="T513" t="str">
            <v>Functioning</v>
          </cell>
          <cell r="U513" t="str">
            <v>Asset</v>
          </cell>
          <cell r="V513">
            <v>31270</v>
          </cell>
          <cell r="W513" t="str">
            <v>KEW</v>
          </cell>
          <cell r="X513" t="str">
            <v>01/09/2010</v>
          </cell>
          <cell r="Y513" t="str">
            <v>KEW</v>
          </cell>
          <cell r="Z513" t="str">
            <v>16/08/2013</v>
          </cell>
          <cell r="AA513" t="str">
            <v>15/08/2015</v>
          </cell>
          <cell r="AB513" t="str">
            <v>No</v>
          </cell>
          <cell r="AC513" t="str">
            <v>31/08/2013</v>
          </cell>
          <cell r="AD513" t="str">
            <v>Good</v>
          </cell>
          <cell r="AE513" t="str">
            <v>V1 - Existing / No Claim</v>
          </cell>
          <cell r="AF513">
            <v>42235</v>
          </cell>
          <cell r="AG513">
            <v>9.17</v>
          </cell>
          <cell r="AH513" t="str">
            <v>PPM</v>
          </cell>
          <cell r="AI513" t="str">
            <v>Strands</v>
          </cell>
          <cell r="AJ513" t="str">
            <v>Strands PW</v>
          </cell>
        </row>
        <row r="514">
          <cell r="A514" t="str">
            <v>IKN400032</v>
          </cell>
          <cell r="B514">
            <v>32</v>
          </cell>
          <cell r="C514" t="str">
            <v>Institut Kanser Negara</v>
          </cell>
          <cell r="D514" t="str">
            <v>KKM/IKN/H/13/929</v>
          </cell>
          <cell r="E514" t="str">
            <v>17-793</v>
          </cell>
          <cell r="F514" t="str">
            <v>Infusion/ Monitoring Line Organizer System</v>
          </cell>
          <cell r="G514" t="str">
            <v>IC</v>
          </cell>
          <cell r="H514" t="str">
            <v>INTENSIVE CARE UNIT</v>
          </cell>
          <cell r="I514" t="str">
            <v>05IC111</v>
          </cell>
          <cell r="J514" t="str">
            <v>ISOL 1(-VE)</v>
          </cell>
          <cell r="K514" t="str">
            <v>BMED</v>
          </cell>
          <cell r="L514" t="str">
            <v>Normal</v>
          </cell>
          <cell r="M514" t="str">
            <v>Germany</v>
          </cell>
          <cell r="N514" t="str">
            <v>Space Station</v>
          </cell>
          <cell r="O514" t="str">
            <v>Space Station</v>
          </cell>
          <cell r="P514" t="str">
            <v>13977</v>
          </cell>
          <cell r="Q514" t="str">
            <v>Not Applicable</v>
          </cell>
          <cell r="R514" t="str">
            <v>B Braun Melsungen AG</v>
          </cell>
          <cell r="S514" t="str">
            <v>B Braun Medical Supplies Sdn. Bhd.</v>
          </cell>
          <cell r="T514" t="str">
            <v>Functioning</v>
          </cell>
          <cell r="U514" t="str">
            <v>Asset</v>
          </cell>
          <cell r="V514">
            <v>84200</v>
          </cell>
          <cell r="W514" t="str">
            <v>KEW</v>
          </cell>
          <cell r="X514" t="str">
            <v>01/09/2010</v>
          </cell>
          <cell r="Y514" t="str">
            <v>KEW</v>
          </cell>
          <cell r="Z514" t="str">
            <v>16/08/2013</v>
          </cell>
          <cell r="AA514" t="str">
            <v>15/08/2015</v>
          </cell>
          <cell r="AB514" t="str">
            <v>No</v>
          </cell>
          <cell r="AC514" t="str">
            <v>31/08/2013</v>
          </cell>
          <cell r="AD514" t="str">
            <v>Good</v>
          </cell>
          <cell r="AE514" t="str">
            <v>V1 - Existing / No Claim</v>
          </cell>
          <cell r="AF514">
            <v>42235</v>
          </cell>
          <cell r="AG514">
            <v>9.17</v>
          </cell>
          <cell r="AH514" t="str">
            <v>PPM</v>
          </cell>
          <cell r="AI514" t="str">
            <v>Strands</v>
          </cell>
          <cell r="AJ514" t="str">
            <v>Strands PW</v>
          </cell>
        </row>
        <row r="515">
          <cell r="A515" t="str">
            <v>IKN400033</v>
          </cell>
          <cell r="B515">
            <v>33</v>
          </cell>
          <cell r="C515" t="str">
            <v>Institut Kanser Negara</v>
          </cell>
          <cell r="D515" t="str">
            <v>KKM/IKN/H/13/936</v>
          </cell>
          <cell r="E515" t="str">
            <v>17-793</v>
          </cell>
          <cell r="F515" t="str">
            <v>Infusion/ Monitoring Line Organizer System</v>
          </cell>
          <cell r="G515" t="str">
            <v>IC</v>
          </cell>
          <cell r="H515" t="str">
            <v>INTENSIVE CARE UNIT</v>
          </cell>
          <cell r="I515" t="str">
            <v>05IC112</v>
          </cell>
          <cell r="J515" t="str">
            <v>ICU RM 1</v>
          </cell>
          <cell r="K515" t="str">
            <v>BMED</v>
          </cell>
          <cell r="L515" t="str">
            <v>Normal</v>
          </cell>
          <cell r="M515" t="str">
            <v>Germany</v>
          </cell>
          <cell r="N515" t="str">
            <v>Space Station</v>
          </cell>
          <cell r="O515" t="str">
            <v>Space Station</v>
          </cell>
          <cell r="P515" t="str">
            <v>13979</v>
          </cell>
          <cell r="Q515" t="str">
            <v>Not Applicable</v>
          </cell>
          <cell r="R515" t="str">
            <v>B Braun Melsungen AG</v>
          </cell>
          <cell r="S515" t="str">
            <v>B Braun Medical Supplies Sdn. Bhd.</v>
          </cell>
          <cell r="T515" t="str">
            <v>Functioning</v>
          </cell>
          <cell r="U515" t="str">
            <v>Asset</v>
          </cell>
          <cell r="V515">
            <v>84200</v>
          </cell>
          <cell r="W515" t="str">
            <v>KEW</v>
          </cell>
          <cell r="X515" t="str">
            <v>01/09/2010</v>
          </cell>
          <cell r="Y515" t="str">
            <v>KEW</v>
          </cell>
          <cell r="Z515" t="str">
            <v>16/08/2013</v>
          </cell>
          <cell r="AA515" t="str">
            <v>15/08/2015</v>
          </cell>
          <cell r="AB515" t="str">
            <v>No</v>
          </cell>
          <cell r="AC515" t="str">
            <v>31/08/2013</v>
          </cell>
          <cell r="AD515" t="str">
            <v>Good</v>
          </cell>
          <cell r="AE515" t="str">
            <v>V1 - Existing / No Claim</v>
          </cell>
          <cell r="AF515">
            <v>42235</v>
          </cell>
          <cell r="AG515">
            <v>9.17</v>
          </cell>
          <cell r="AH515" t="str">
            <v>PPM</v>
          </cell>
          <cell r="AI515" t="str">
            <v>Strands</v>
          </cell>
          <cell r="AJ515" t="str">
            <v>Strands PW</v>
          </cell>
        </row>
        <row r="516">
          <cell r="A516" t="str">
            <v>IKN400034</v>
          </cell>
          <cell r="B516">
            <v>34</v>
          </cell>
          <cell r="C516" t="str">
            <v>Institut Kanser Negara</v>
          </cell>
          <cell r="D516" t="str">
            <v>KKM/IKN/H/13/930</v>
          </cell>
          <cell r="E516" t="str">
            <v>17-793</v>
          </cell>
          <cell r="F516" t="str">
            <v>Infusion/ Monitoring Line Organizer System</v>
          </cell>
          <cell r="G516" t="str">
            <v>IC</v>
          </cell>
          <cell r="H516" t="str">
            <v>INTENSIVE CARE UNIT</v>
          </cell>
          <cell r="I516" t="str">
            <v>05IC113</v>
          </cell>
          <cell r="J516" t="str">
            <v>ICU RM 2</v>
          </cell>
          <cell r="K516" t="str">
            <v>BMED</v>
          </cell>
          <cell r="L516" t="str">
            <v>Normal</v>
          </cell>
          <cell r="M516" t="str">
            <v>Germany</v>
          </cell>
          <cell r="N516" t="str">
            <v>Space Station</v>
          </cell>
          <cell r="O516" t="str">
            <v>Space Station</v>
          </cell>
          <cell r="P516" t="str">
            <v>13991</v>
          </cell>
          <cell r="Q516" t="str">
            <v>Not Applicable</v>
          </cell>
          <cell r="R516" t="str">
            <v>B Braun Melsungen AG</v>
          </cell>
          <cell r="S516" t="str">
            <v>B Braun Medical Supplies Sdn. Bhd.</v>
          </cell>
          <cell r="T516" t="str">
            <v>Functioning</v>
          </cell>
          <cell r="U516" t="str">
            <v>Asset</v>
          </cell>
          <cell r="V516">
            <v>84200</v>
          </cell>
          <cell r="W516" t="str">
            <v>KEW</v>
          </cell>
          <cell r="X516" t="str">
            <v>01/09/2010</v>
          </cell>
          <cell r="Y516" t="str">
            <v>KEW</v>
          </cell>
          <cell r="Z516" t="str">
            <v>16/08/2013</v>
          </cell>
          <cell r="AA516" t="str">
            <v>15/08/2015</v>
          </cell>
          <cell r="AB516" t="str">
            <v>No</v>
          </cell>
          <cell r="AC516" t="str">
            <v>31/08/2013</v>
          </cell>
          <cell r="AD516" t="str">
            <v>Good</v>
          </cell>
          <cell r="AE516" t="str">
            <v>V1 - Existing / No Claim</v>
          </cell>
          <cell r="AF516">
            <v>42796</v>
          </cell>
          <cell r="AG516">
            <v>9.17</v>
          </cell>
          <cell r="AH516" t="str">
            <v>PPM</v>
          </cell>
          <cell r="AI516" t="str">
            <v>Strands</v>
          </cell>
          <cell r="AJ516" t="str">
            <v>Strands PW</v>
          </cell>
        </row>
        <row r="517">
          <cell r="A517" t="str">
            <v>IKN400035</v>
          </cell>
          <cell r="B517">
            <v>35</v>
          </cell>
          <cell r="C517" t="str">
            <v>Institut Kanser Negara</v>
          </cell>
          <cell r="D517" t="str">
            <v>KKM/IKN/H/13/931</v>
          </cell>
          <cell r="E517" t="str">
            <v>17-793</v>
          </cell>
          <cell r="F517" t="str">
            <v>Infusion/ Monitoring Line Organizer System</v>
          </cell>
          <cell r="G517" t="str">
            <v>IC</v>
          </cell>
          <cell r="H517" t="str">
            <v>INTENSIVE CARE UNIT</v>
          </cell>
          <cell r="I517" t="str">
            <v>05IC114</v>
          </cell>
          <cell r="J517" t="str">
            <v>ICU RM 3</v>
          </cell>
          <cell r="K517" t="str">
            <v>BMED</v>
          </cell>
          <cell r="L517" t="str">
            <v>Normal</v>
          </cell>
          <cell r="M517" t="str">
            <v>Germany</v>
          </cell>
          <cell r="N517" t="str">
            <v>Space Station</v>
          </cell>
          <cell r="O517" t="str">
            <v>Space Station</v>
          </cell>
          <cell r="P517" t="str">
            <v>13986</v>
          </cell>
          <cell r="Q517" t="str">
            <v>Not Applicable</v>
          </cell>
          <cell r="R517" t="str">
            <v>B Braun Melsungen AG</v>
          </cell>
          <cell r="S517" t="str">
            <v>B Braun Medical Supplies Sdn. Bhd.</v>
          </cell>
          <cell r="T517" t="str">
            <v>Functioning</v>
          </cell>
          <cell r="U517" t="str">
            <v>Asset</v>
          </cell>
          <cell r="V517">
            <v>84200</v>
          </cell>
          <cell r="W517" t="str">
            <v>KEW</v>
          </cell>
          <cell r="X517" t="str">
            <v>01/09/2010</v>
          </cell>
          <cell r="Y517" t="str">
            <v>KEW</v>
          </cell>
          <cell r="Z517" t="str">
            <v>16/08/2013</v>
          </cell>
          <cell r="AA517" t="str">
            <v>15/08/2015</v>
          </cell>
          <cell r="AB517" t="str">
            <v>No</v>
          </cell>
          <cell r="AC517" t="str">
            <v>31/08/2013</v>
          </cell>
          <cell r="AD517" t="str">
            <v>Good</v>
          </cell>
          <cell r="AE517" t="str">
            <v>V1 - Existing / No Claim</v>
          </cell>
          <cell r="AF517">
            <v>42797</v>
          </cell>
          <cell r="AG517">
            <v>9.17</v>
          </cell>
          <cell r="AH517" t="str">
            <v>PPM</v>
          </cell>
          <cell r="AI517" t="str">
            <v>Strands</v>
          </cell>
          <cell r="AJ517" t="str">
            <v>Strands PW</v>
          </cell>
        </row>
        <row r="518">
          <cell r="A518" t="str">
            <v>IKN400036</v>
          </cell>
          <cell r="B518">
            <v>36</v>
          </cell>
          <cell r="C518" t="str">
            <v>Institut Kanser Negara</v>
          </cell>
          <cell r="D518" t="str">
            <v>KKM/IKN/H/13/932</v>
          </cell>
          <cell r="E518" t="str">
            <v>17-793</v>
          </cell>
          <cell r="F518" t="str">
            <v>Infusion/ Monitoring Line Organizer System</v>
          </cell>
          <cell r="G518" t="str">
            <v>IC</v>
          </cell>
          <cell r="H518" t="str">
            <v>INTENSIVE CARE UNIT</v>
          </cell>
          <cell r="I518" t="str">
            <v>05IC115</v>
          </cell>
          <cell r="J518" t="str">
            <v>ICU RM 4</v>
          </cell>
          <cell r="K518" t="str">
            <v>BMED</v>
          </cell>
          <cell r="L518" t="str">
            <v>Normal</v>
          </cell>
          <cell r="M518" t="str">
            <v>Germany</v>
          </cell>
          <cell r="N518" t="str">
            <v>Space Station</v>
          </cell>
          <cell r="O518" t="str">
            <v>Space Station</v>
          </cell>
          <cell r="P518" t="str">
            <v>13978</v>
          </cell>
          <cell r="Q518" t="str">
            <v>Not Applicable</v>
          </cell>
          <cell r="R518" t="str">
            <v>B Braun Melsungen AG</v>
          </cell>
          <cell r="S518" t="str">
            <v>B Braun Medical Supplies Sdn. Bhd.</v>
          </cell>
          <cell r="T518" t="str">
            <v>Functioning</v>
          </cell>
          <cell r="U518" t="str">
            <v>Asset</v>
          </cell>
          <cell r="V518">
            <v>84200</v>
          </cell>
          <cell r="W518" t="str">
            <v>KEW</v>
          </cell>
          <cell r="X518" t="str">
            <v>01/09/2010</v>
          </cell>
          <cell r="Y518" t="str">
            <v>KEW</v>
          </cell>
          <cell r="Z518" t="str">
            <v>16/08/2013</v>
          </cell>
          <cell r="AA518" t="str">
            <v>15/08/2015</v>
          </cell>
          <cell r="AB518" t="str">
            <v>No</v>
          </cell>
          <cell r="AC518" t="str">
            <v>31/08/2013</v>
          </cell>
          <cell r="AD518" t="str">
            <v>Good</v>
          </cell>
          <cell r="AE518" t="str">
            <v>V1 - Existing / No Claim</v>
          </cell>
          <cell r="AF518">
            <v>42235</v>
          </cell>
          <cell r="AG518">
            <v>9.17</v>
          </cell>
          <cell r="AH518" t="str">
            <v>PPM</v>
          </cell>
          <cell r="AI518" t="str">
            <v>Strands</v>
          </cell>
          <cell r="AJ518" t="str">
            <v>Strands PW</v>
          </cell>
        </row>
        <row r="519">
          <cell r="A519" t="str">
            <v>IKN400037</v>
          </cell>
          <cell r="B519">
            <v>37</v>
          </cell>
          <cell r="C519" t="str">
            <v>Institut Kanser Negara</v>
          </cell>
          <cell r="D519" t="str">
            <v>KKM/IKN/H/13/933</v>
          </cell>
          <cell r="E519" t="str">
            <v>17-793</v>
          </cell>
          <cell r="F519" t="str">
            <v>Infusion/ Monitoring Line Organizer System</v>
          </cell>
          <cell r="G519" t="str">
            <v>IC</v>
          </cell>
          <cell r="H519" t="str">
            <v>INTENSIVE CARE UNIT</v>
          </cell>
          <cell r="I519" t="str">
            <v>05IC116</v>
          </cell>
          <cell r="J519" t="str">
            <v>ISOL 2 (+VE)</v>
          </cell>
          <cell r="K519" t="str">
            <v>BMED</v>
          </cell>
          <cell r="L519" t="str">
            <v>Normal</v>
          </cell>
          <cell r="M519" t="str">
            <v>Germany</v>
          </cell>
          <cell r="N519" t="str">
            <v>Space Station</v>
          </cell>
          <cell r="O519" t="str">
            <v>Space Station</v>
          </cell>
          <cell r="P519" t="str">
            <v>13988</v>
          </cell>
          <cell r="Q519" t="str">
            <v>Not Applicable</v>
          </cell>
          <cell r="R519" t="str">
            <v>B Braun Melsungen AG</v>
          </cell>
          <cell r="S519" t="str">
            <v>B Braun Medical Supplies Sdn. Bhd.</v>
          </cell>
          <cell r="T519" t="str">
            <v>Functioning</v>
          </cell>
          <cell r="U519" t="str">
            <v>Asset</v>
          </cell>
          <cell r="V519">
            <v>84200</v>
          </cell>
          <cell r="W519" t="str">
            <v>KEW</v>
          </cell>
          <cell r="X519" t="str">
            <v>01/09/2010</v>
          </cell>
          <cell r="Y519" t="str">
            <v>KEW</v>
          </cell>
          <cell r="Z519" t="str">
            <v>16/08/2013</v>
          </cell>
          <cell r="AA519" t="str">
            <v>15/08/2015</v>
          </cell>
          <cell r="AB519" t="str">
            <v>No</v>
          </cell>
          <cell r="AC519" t="str">
            <v>31/08/2013</v>
          </cell>
          <cell r="AD519" t="str">
            <v>Good</v>
          </cell>
          <cell r="AE519" t="str">
            <v>V1 - Existing / No Claim</v>
          </cell>
          <cell r="AF519">
            <v>42797</v>
          </cell>
          <cell r="AG519">
            <v>9.17</v>
          </cell>
          <cell r="AH519" t="str">
            <v>PPM</v>
          </cell>
          <cell r="AI519" t="str">
            <v>Strands</v>
          </cell>
          <cell r="AJ519" t="str">
            <v>Strands PW</v>
          </cell>
        </row>
        <row r="520">
          <cell r="A520" t="str">
            <v>IKN400038</v>
          </cell>
          <cell r="B520">
            <v>38</v>
          </cell>
          <cell r="C520" t="str">
            <v>Institut Kanser Negara</v>
          </cell>
          <cell r="D520" t="str">
            <v>KKM/IKN/H/13/934</v>
          </cell>
          <cell r="E520" t="str">
            <v>17-793</v>
          </cell>
          <cell r="F520" t="str">
            <v>Infusion/ Monitoring Line Organizer System</v>
          </cell>
          <cell r="G520" t="str">
            <v>IC</v>
          </cell>
          <cell r="H520" t="str">
            <v>INTENSIVE CARE UNIT</v>
          </cell>
          <cell r="I520" t="str">
            <v>05IC129</v>
          </cell>
          <cell r="J520" t="str">
            <v>ISOL 4 (+VE)</v>
          </cell>
          <cell r="K520" t="str">
            <v>BMED</v>
          </cell>
          <cell r="L520" t="str">
            <v>Normal</v>
          </cell>
          <cell r="M520" t="str">
            <v>Germany</v>
          </cell>
          <cell r="N520" t="str">
            <v>Space Station</v>
          </cell>
          <cell r="O520" t="str">
            <v>Space Station</v>
          </cell>
          <cell r="P520" t="str">
            <v>13976</v>
          </cell>
          <cell r="Q520" t="str">
            <v>Not Applicable</v>
          </cell>
          <cell r="R520" t="str">
            <v>B Braun Melsungen AG</v>
          </cell>
          <cell r="S520" t="str">
            <v>B Braun Medical Supplies Sdn. Bhd.</v>
          </cell>
          <cell r="T520" t="str">
            <v>Functioning</v>
          </cell>
          <cell r="U520" t="str">
            <v>Asset</v>
          </cell>
          <cell r="V520">
            <v>84200</v>
          </cell>
          <cell r="W520" t="str">
            <v>KEW</v>
          </cell>
          <cell r="X520" t="str">
            <v>01/09/2010</v>
          </cell>
          <cell r="Y520" t="str">
            <v>KEW</v>
          </cell>
          <cell r="Z520" t="str">
            <v>16/08/2013</v>
          </cell>
          <cell r="AA520" t="str">
            <v>15/08/2015</v>
          </cell>
          <cell r="AB520" t="str">
            <v>No</v>
          </cell>
          <cell r="AC520" t="str">
            <v>31/08/2013</v>
          </cell>
          <cell r="AD520" t="str">
            <v>Good</v>
          </cell>
          <cell r="AE520" t="str">
            <v>V1 - Existing / No Claim</v>
          </cell>
          <cell r="AF520">
            <v>42797</v>
          </cell>
          <cell r="AG520">
            <v>9.17</v>
          </cell>
          <cell r="AH520" t="str">
            <v>PPM</v>
          </cell>
          <cell r="AI520" t="str">
            <v>Strands</v>
          </cell>
          <cell r="AJ520" t="str">
            <v>Strands PW</v>
          </cell>
        </row>
        <row r="521">
          <cell r="A521" t="str">
            <v>IKN400039</v>
          </cell>
          <cell r="B521">
            <v>39</v>
          </cell>
          <cell r="C521" t="str">
            <v>Institut Kanser Negara</v>
          </cell>
          <cell r="D521" t="str">
            <v>KKM/IKN/H/13/935</v>
          </cell>
          <cell r="E521" t="str">
            <v>17-793</v>
          </cell>
          <cell r="F521" t="str">
            <v>Infusion/ Monitoring Line Organizer System</v>
          </cell>
          <cell r="G521" t="str">
            <v>IC</v>
          </cell>
          <cell r="H521" t="str">
            <v>INTENSIVE CARE UNIT</v>
          </cell>
          <cell r="I521" t="str">
            <v>05IC131</v>
          </cell>
          <cell r="J521" t="str">
            <v>ISOL 3 (+VE)</v>
          </cell>
          <cell r="K521" t="str">
            <v>BMED</v>
          </cell>
          <cell r="L521" t="str">
            <v>Normal</v>
          </cell>
          <cell r="M521" t="str">
            <v>Germany</v>
          </cell>
          <cell r="N521" t="str">
            <v>Space Station</v>
          </cell>
          <cell r="O521" t="str">
            <v>Space Station</v>
          </cell>
          <cell r="P521" t="str">
            <v>13980</v>
          </cell>
          <cell r="Q521" t="str">
            <v>Not Applicable</v>
          </cell>
          <cell r="R521" t="str">
            <v>B Braun Melsungen AG</v>
          </cell>
          <cell r="S521" t="str">
            <v>B Braun Medical Supplies Sdn. Bhd.</v>
          </cell>
          <cell r="T521" t="str">
            <v>Functioning</v>
          </cell>
          <cell r="U521" t="str">
            <v>Asset</v>
          </cell>
          <cell r="V521">
            <v>84200</v>
          </cell>
          <cell r="W521" t="str">
            <v>KEW</v>
          </cell>
          <cell r="X521" t="str">
            <v>01/09/2010</v>
          </cell>
          <cell r="Y521" t="str">
            <v>KEW</v>
          </cell>
          <cell r="Z521" t="str">
            <v>16/08/2013</v>
          </cell>
          <cell r="AA521" t="str">
            <v>15/08/2015</v>
          </cell>
          <cell r="AB521" t="str">
            <v>No</v>
          </cell>
          <cell r="AC521" t="str">
            <v>31/08/2013</v>
          </cell>
          <cell r="AD521" t="str">
            <v>Good</v>
          </cell>
          <cell r="AE521" t="str">
            <v>V1 - Existing / No Claim</v>
          </cell>
          <cell r="AF521">
            <v>42235</v>
          </cell>
          <cell r="AG521">
            <v>9.17</v>
          </cell>
          <cell r="AH521" t="str">
            <v>PPM</v>
          </cell>
          <cell r="AI521" t="str">
            <v>Strands</v>
          </cell>
          <cell r="AJ521" t="str">
            <v>Strands PW</v>
          </cell>
        </row>
        <row r="522">
          <cell r="A522" t="str">
            <v>IKN400040</v>
          </cell>
          <cell r="B522">
            <v>40</v>
          </cell>
          <cell r="C522" t="str">
            <v>Institut Kanser Negara</v>
          </cell>
          <cell r="D522" t="str">
            <v>KKM/IKN/H/13/1026</v>
          </cell>
          <cell r="E522" t="str">
            <v>11-218</v>
          </cell>
          <cell r="F522" t="str">
            <v>Hemodialysis Units</v>
          </cell>
          <cell r="G522" t="str">
            <v>IC</v>
          </cell>
          <cell r="H522" t="str">
            <v>INTENSIVE CARE UNIT</v>
          </cell>
          <cell r="I522" t="str">
            <v>05IC106</v>
          </cell>
          <cell r="J522" t="str">
            <v>EQ. ROOM</v>
          </cell>
          <cell r="K522" t="str">
            <v>BMED</v>
          </cell>
          <cell r="L522" t="str">
            <v>Critical</v>
          </cell>
          <cell r="M522" t="str">
            <v>Germany</v>
          </cell>
          <cell r="N522" t="str">
            <v>Fresenius</v>
          </cell>
          <cell r="O522" t="str">
            <v>Fresenius 5008S</v>
          </cell>
          <cell r="P522" t="str">
            <v>3VSAG772</v>
          </cell>
          <cell r="Q522" t="str">
            <v>Not Applicable</v>
          </cell>
          <cell r="R522" t="str">
            <v>Fresenius FMC</v>
          </cell>
          <cell r="S522" t="str">
            <v>Fischer CW Medical</v>
          </cell>
          <cell r="T522" t="str">
            <v>Functioning</v>
          </cell>
          <cell r="U522" t="str">
            <v>Asset</v>
          </cell>
          <cell r="V522">
            <v>76985</v>
          </cell>
          <cell r="W522" t="str">
            <v>KEW</v>
          </cell>
          <cell r="X522" t="str">
            <v>01/09/2010</v>
          </cell>
          <cell r="Y522" t="str">
            <v>KEW</v>
          </cell>
          <cell r="Z522" t="str">
            <v>16/08/2013</v>
          </cell>
          <cell r="AA522" t="str">
            <v>15/08/2015</v>
          </cell>
          <cell r="AB522" t="str">
            <v>No</v>
          </cell>
          <cell r="AC522" t="str">
            <v>31/08/2013</v>
          </cell>
          <cell r="AD522" t="str">
            <v>Good</v>
          </cell>
          <cell r="AE522" t="str">
            <v>V1 - Existing / No Claim</v>
          </cell>
          <cell r="AF522">
            <v>42796</v>
          </cell>
          <cell r="AG522">
            <v>9.17</v>
          </cell>
          <cell r="AH522" t="str">
            <v>PPM</v>
          </cell>
          <cell r="AI522" t="str">
            <v>Strands</v>
          </cell>
          <cell r="AJ522" t="str">
            <v>Strands PW</v>
          </cell>
        </row>
        <row r="523">
          <cell r="A523" t="str">
            <v>IKN400041</v>
          </cell>
          <cell r="B523">
            <v>41</v>
          </cell>
          <cell r="C523" t="str">
            <v>Institut Kanser Negara</v>
          </cell>
          <cell r="D523" t="str">
            <v>KKM/IKN/H/13/865</v>
          </cell>
          <cell r="E523" t="str">
            <v>15-039</v>
          </cell>
          <cell r="F523" t="str">
            <v>Hemofiltration Units</v>
          </cell>
          <cell r="G523" t="str">
            <v>IC</v>
          </cell>
          <cell r="H523" t="str">
            <v>INTENSIVE CARE UNIT</v>
          </cell>
          <cell r="I523" t="str">
            <v>05IC106</v>
          </cell>
          <cell r="J523" t="str">
            <v>EQ. ROOM</v>
          </cell>
          <cell r="K523" t="str">
            <v>BMED</v>
          </cell>
          <cell r="L523" t="str">
            <v>Normal</v>
          </cell>
          <cell r="M523" t="str">
            <v>Sweden</v>
          </cell>
          <cell r="N523" t="str">
            <v>Prismaflex</v>
          </cell>
          <cell r="O523" t="str">
            <v>Prismaflex</v>
          </cell>
          <cell r="P523" t="str">
            <v>PA10395</v>
          </cell>
          <cell r="Q523" t="str">
            <v>Not Applicable</v>
          </cell>
          <cell r="R523" t="str">
            <v>Gambro AB</v>
          </cell>
          <cell r="S523" t="str">
            <v>Gambro Renal Care (M) Sdn Bhd</v>
          </cell>
          <cell r="T523" t="str">
            <v>Functioning</v>
          </cell>
          <cell r="U523" t="str">
            <v>Asset</v>
          </cell>
          <cell r="V523">
            <v>168400</v>
          </cell>
          <cell r="W523" t="str">
            <v>KEW</v>
          </cell>
          <cell r="X523" t="str">
            <v>01/09/2010</v>
          </cell>
          <cell r="Y523" t="str">
            <v>KEW</v>
          </cell>
          <cell r="Z523" t="str">
            <v>16/08/2013</v>
          </cell>
          <cell r="AA523" t="str">
            <v>15/08/2015</v>
          </cell>
          <cell r="AB523" t="str">
            <v>No</v>
          </cell>
          <cell r="AC523" t="str">
            <v>31/08/2013</v>
          </cell>
          <cell r="AD523" t="str">
            <v>Good</v>
          </cell>
          <cell r="AE523" t="str">
            <v>V1 - Existing / No Claim</v>
          </cell>
          <cell r="AF523">
            <v>42235</v>
          </cell>
          <cell r="AG523">
            <v>9.17</v>
          </cell>
          <cell r="AH523" t="str">
            <v>PPM</v>
          </cell>
          <cell r="AI523" t="str">
            <v>Strands</v>
          </cell>
          <cell r="AJ523" t="str">
            <v>Strands PW</v>
          </cell>
        </row>
        <row r="524">
          <cell r="A524" t="str">
            <v>IKN400042</v>
          </cell>
          <cell r="B524">
            <v>42</v>
          </cell>
          <cell r="C524" t="str">
            <v>Institut Kanser Negara</v>
          </cell>
          <cell r="D524" t="str">
            <v>KKM/IKN/H/13/161</v>
          </cell>
          <cell r="E524" t="str">
            <v>12-647</v>
          </cell>
          <cell r="F524" t="str">
            <v>Physiologic Monitoring Systems, Acute Care</v>
          </cell>
          <cell r="G524" t="str">
            <v>IC</v>
          </cell>
          <cell r="H524" t="str">
            <v>INTENSIVE CARE UNIT</v>
          </cell>
          <cell r="I524" t="str">
            <v>05IC111</v>
          </cell>
          <cell r="J524" t="str">
            <v>ISOL 1(-VE)</v>
          </cell>
          <cell r="K524" t="str">
            <v>BMED</v>
          </cell>
          <cell r="L524" t="str">
            <v>Normal</v>
          </cell>
          <cell r="M524" t="str">
            <v>Finland</v>
          </cell>
          <cell r="N524" t="str">
            <v>Carespace</v>
          </cell>
          <cell r="O524" t="str">
            <v>Carespace B850</v>
          </cell>
          <cell r="P524" t="str">
            <v>SED12370776GA</v>
          </cell>
          <cell r="Q524" t="str">
            <v>Not Applicable</v>
          </cell>
          <cell r="R524" t="str">
            <v>GE Healthcare Systems</v>
          </cell>
          <cell r="S524" t="str">
            <v>GE Healthcare Technologies</v>
          </cell>
          <cell r="T524" t="str">
            <v>Functioning</v>
          </cell>
          <cell r="U524" t="str">
            <v>Asset</v>
          </cell>
          <cell r="V524">
            <v>119690</v>
          </cell>
          <cell r="W524" t="str">
            <v>KEW</v>
          </cell>
          <cell r="X524" t="str">
            <v>01/09/2010</v>
          </cell>
          <cell r="Y524" t="str">
            <v>KEW</v>
          </cell>
          <cell r="Z524" t="str">
            <v>16/08/2013</v>
          </cell>
          <cell r="AA524" t="str">
            <v>15/08/2015</v>
          </cell>
          <cell r="AB524" t="str">
            <v>No</v>
          </cell>
          <cell r="AC524" t="str">
            <v>31/08/2013</v>
          </cell>
          <cell r="AD524" t="str">
            <v>Good</v>
          </cell>
          <cell r="AE524" t="str">
            <v>V1 - Existing / No Claim</v>
          </cell>
          <cell r="AF524">
            <v>42235</v>
          </cell>
          <cell r="AG524">
            <v>9.17</v>
          </cell>
          <cell r="AH524" t="str">
            <v>PPM</v>
          </cell>
          <cell r="AI524" t="str">
            <v>Strands</v>
          </cell>
          <cell r="AJ524" t="str">
            <v>Strands PW</v>
          </cell>
        </row>
        <row r="525">
          <cell r="A525" t="str">
            <v>IKN400043</v>
          </cell>
          <cell r="B525">
            <v>43</v>
          </cell>
          <cell r="C525" t="str">
            <v>Institut Kanser Negara</v>
          </cell>
          <cell r="D525" t="str">
            <v>KKM/IKN/H/13/1040</v>
          </cell>
          <cell r="E525" t="str">
            <v>12-647</v>
          </cell>
          <cell r="F525" t="str">
            <v>Physiologic Monitoring Systems, Acute Care</v>
          </cell>
          <cell r="G525" t="str">
            <v>IC</v>
          </cell>
          <cell r="H525" t="str">
            <v>INTENSIVE CARE UNIT</v>
          </cell>
          <cell r="I525" t="str">
            <v>05IC112</v>
          </cell>
          <cell r="J525" t="str">
            <v>ICU RM 1</v>
          </cell>
          <cell r="K525" t="str">
            <v>BMED</v>
          </cell>
          <cell r="L525" t="str">
            <v>Normal</v>
          </cell>
          <cell r="M525" t="str">
            <v>Finland</v>
          </cell>
          <cell r="N525" t="str">
            <v>Carespace</v>
          </cell>
          <cell r="O525" t="str">
            <v>Carespace B850</v>
          </cell>
          <cell r="P525" t="str">
            <v>SED12370825GA</v>
          </cell>
          <cell r="Q525" t="str">
            <v>Not Applicable</v>
          </cell>
          <cell r="R525" t="str">
            <v>GE Healthcare Systems</v>
          </cell>
          <cell r="S525" t="str">
            <v>GE Healthcare Technologies</v>
          </cell>
          <cell r="T525" t="str">
            <v>Functioning</v>
          </cell>
          <cell r="U525" t="str">
            <v>Asset</v>
          </cell>
          <cell r="V525">
            <v>119690</v>
          </cell>
          <cell r="W525" t="str">
            <v>KEW</v>
          </cell>
          <cell r="X525" t="str">
            <v>01/09/2010</v>
          </cell>
          <cell r="Y525" t="str">
            <v>KEW</v>
          </cell>
          <cell r="Z525" t="str">
            <v>16/08/2013</v>
          </cell>
          <cell r="AA525" t="str">
            <v>15/08/2015</v>
          </cell>
          <cell r="AB525" t="str">
            <v>No</v>
          </cell>
          <cell r="AC525" t="str">
            <v>31/08/2013</v>
          </cell>
          <cell r="AD525" t="str">
            <v>Good</v>
          </cell>
          <cell r="AE525" t="str">
            <v>V1 - Existing / No Claim</v>
          </cell>
          <cell r="AF525">
            <v>42235</v>
          </cell>
          <cell r="AG525">
            <v>9.17</v>
          </cell>
          <cell r="AH525" t="str">
            <v>PPM</v>
          </cell>
          <cell r="AI525" t="str">
            <v>Strands</v>
          </cell>
          <cell r="AJ525" t="str">
            <v>Strands PW</v>
          </cell>
        </row>
        <row r="526">
          <cell r="A526" t="str">
            <v>IKN400044</v>
          </cell>
          <cell r="B526">
            <v>44</v>
          </cell>
          <cell r="C526" t="str">
            <v>Institut Kanser Negara</v>
          </cell>
          <cell r="D526" t="str">
            <v>KKM/IKN/H/13/1041</v>
          </cell>
          <cell r="E526" t="str">
            <v>12-647</v>
          </cell>
          <cell r="F526" t="str">
            <v>Physiologic Monitoring Systems, Acute Care</v>
          </cell>
          <cell r="G526" t="str">
            <v>IC</v>
          </cell>
          <cell r="H526" t="str">
            <v>INTENSIVE CARE UNIT</v>
          </cell>
          <cell r="I526" t="str">
            <v>05IC113</v>
          </cell>
          <cell r="J526" t="str">
            <v>ICU RM 2</v>
          </cell>
          <cell r="K526" t="str">
            <v>BMED</v>
          </cell>
          <cell r="L526" t="str">
            <v>Critical</v>
          </cell>
          <cell r="M526" t="str">
            <v>Finland</v>
          </cell>
          <cell r="N526" t="str">
            <v>Carespace</v>
          </cell>
          <cell r="O526" t="str">
            <v>Carespace B850</v>
          </cell>
          <cell r="P526" t="str">
            <v>SED12370680GA</v>
          </cell>
          <cell r="Q526" t="str">
            <v>Not Applicable</v>
          </cell>
          <cell r="R526" t="str">
            <v>GE Healthcare Systems</v>
          </cell>
          <cell r="S526" t="str">
            <v>GE Healthcare Technologies</v>
          </cell>
          <cell r="T526" t="str">
            <v>Functioning</v>
          </cell>
          <cell r="U526" t="str">
            <v>Asset</v>
          </cell>
          <cell r="V526">
            <v>119690</v>
          </cell>
          <cell r="W526" t="str">
            <v>KEW</v>
          </cell>
          <cell r="X526" t="str">
            <v>01/09/2010</v>
          </cell>
          <cell r="Y526" t="str">
            <v>KEW</v>
          </cell>
          <cell r="Z526" t="str">
            <v>16/08/2013</v>
          </cell>
          <cell r="AA526" t="str">
            <v>15/08/2015</v>
          </cell>
          <cell r="AB526" t="str">
            <v>No</v>
          </cell>
          <cell r="AC526" t="str">
            <v>31/08/2013</v>
          </cell>
          <cell r="AD526" t="str">
            <v>Good</v>
          </cell>
          <cell r="AE526" t="str">
            <v>V1 - Existing / No Claim</v>
          </cell>
          <cell r="AF526">
            <v>42796</v>
          </cell>
          <cell r="AG526">
            <v>9.17</v>
          </cell>
          <cell r="AH526" t="str">
            <v>PPM</v>
          </cell>
          <cell r="AI526" t="str">
            <v>Strands</v>
          </cell>
          <cell r="AJ526" t="str">
            <v>Strands PW</v>
          </cell>
        </row>
        <row r="527">
          <cell r="A527" t="str">
            <v>IKN400045</v>
          </cell>
          <cell r="B527">
            <v>45</v>
          </cell>
          <cell r="C527" t="str">
            <v>Institut Kanser Negara</v>
          </cell>
          <cell r="D527" t="str">
            <v>KKM/IKN/H/13/1042</v>
          </cell>
          <cell r="E527" t="str">
            <v>12-647</v>
          </cell>
          <cell r="F527" t="str">
            <v>Physiologic Monitoring Systems, Acute Care</v>
          </cell>
          <cell r="G527" t="str">
            <v>IC</v>
          </cell>
          <cell r="H527" t="str">
            <v>INTENSIVE CARE UNIT</v>
          </cell>
          <cell r="I527" t="str">
            <v>05IC114</v>
          </cell>
          <cell r="J527" t="str">
            <v>ICU RM 3</v>
          </cell>
          <cell r="K527" t="str">
            <v>BMED</v>
          </cell>
          <cell r="L527" t="str">
            <v>Critical</v>
          </cell>
          <cell r="M527" t="str">
            <v>Finland</v>
          </cell>
          <cell r="N527" t="str">
            <v>Carespace</v>
          </cell>
          <cell r="O527" t="str">
            <v>Carespace B850</v>
          </cell>
          <cell r="P527" t="str">
            <v>SED12370780GA</v>
          </cell>
          <cell r="Q527" t="str">
            <v>Not Applicable</v>
          </cell>
          <cell r="R527" t="str">
            <v>GE Healthcare Systems</v>
          </cell>
          <cell r="S527" t="str">
            <v>GE Healthcare Technologies</v>
          </cell>
          <cell r="T527" t="str">
            <v>Functioning</v>
          </cell>
          <cell r="U527" t="str">
            <v>Asset</v>
          </cell>
          <cell r="V527">
            <v>119690</v>
          </cell>
          <cell r="W527" t="str">
            <v>KEW</v>
          </cell>
          <cell r="X527" t="str">
            <v>01/09/2010</v>
          </cell>
          <cell r="Y527" t="str">
            <v>KEW</v>
          </cell>
          <cell r="Z527" t="str">
            <v>16/08/2013</v>
          </cell>
          <cell r="AA527" t="str">
            <v>15/08/2015</v>
          </cell>
          <cell r="AB527" t="str">
            <v>No</v>
          </cell>
          <cell r="AC527" t="str">
            <v>31/08/2013</v>
          </cell>
          <cell r="AD527" t="str">
            <v>Good</v>
          </cell>
          <cell r="AE527" t="str">
            <v>V1 - Existing / No Claim</v>
          </cell>
          <cell r="AF527">
            <v>42797</v>
          </cell>
          <cell r="AG527">
            <v>9.17</v>
          </cell>
          <cell r="AH527" t="str">
            <v>PPM</v>
          </cell>
          <cell r="AI527" t="str">
            <v>Strands</v>
          </cell>
          <cell r="AJ527" t="str">
            <v>Strands PW</v>
          </cell>
        </row>
        <row r="528">
          <cell r="A528" t="str">
            <v>IKN400046</v>
          </cell>
          <cell r="B528">
            <v>46</v>
          </cell>
          <cell r="C528" t="str">
            <v>Institut Kanser Negara</v>
          </cell>
          <cell r="D528" t="str">
            <v>KKM/IKN/H/13/1043</v>
          </cell>
          <cell r="E528" t="str">
            <v>12-647</v>
          </cell>
          <cell r="F528" t="str">
            <v>Physiologic Monitoring Systems, Acute Care</v>
          </cell>
          <cell r="G528" t="str">
            <v>IC</v>
          </cell>
          <cell r="H528" t="str">
            <v>INTENSIVE CARE UNIT</v>
          </cell>
          <cell r="I528" t="str">
            <v>05IC115</v>
          </cell>
          <cell r="J528" t="str">
            <v>ICU RM 4</v>
          </cell>
          <cell r="K528" t="str">
            <v>BMED</v>
          </cell>
          <cell r="L528" t="str">
            <v>Normal</v>
          </cell>
          <cell r="M528" t="str">
            <v>Finland</v>
          </cell>
          <cell r="N528" t="str">
            <v>Carespace</v>
          </cell>
          <cell r="O528" t="str">
            <v>Carespace B850</v>
          </cell>
          <cell r="P528" t="str">
            <v>SED12370747GA</v>
          </cell>
          <cell r="Q528" t="str">
            <v>Not Applicable</v>
          </cell>
          <cell r="R528" t="str">
            <v>GE Healthcare Systems</v>
          </cell>
          <cell r="S528" t="str">
            <v>GE Healthcare Technologies</v>
          </cell>
          <cell r="T528" t="str">
            <v>Functioning</v>
          </cell>
          <cell r="U528" t="str">
            <v>Asset</v>
          </cell>
          <cell r="V528">
            <v>119690</v>
          </cell>
          <cell r="W528" t="str">
            <v>KEW</v>
          </cell>
          <cell r="X528" t="str">
            <v>01/09/2010</v>
          </cell>
          <cell r="Y528" t="str">
            <v>KEW</v>
          </cell>
          <cell r="Z528" t="str">
            <v>16/08/2013</v>
          </cell>
          <cell r="AA528" t="str">
            <v>15/08/2015</v>
          </cell>
          <cell r="AB528" t="str">
            <v>No</v>
          </cell>
          <cell r="AC528" t="str">
            <v>31/08/2013</v>
          </cell>
          <cell r="AD528" t="str">
            <v>Good</v>
          </cell>
          <cell r="AE528" t="str">
            <v>V1 - Existing / No Claim</v>
          </cell>
          <cell r="AF528">
            <v>42235</v>
          </cell>
          <cell r="AG528">
            <v>9.17</v>
          </cell>
          <cell r="AH528" t="str">
            <v>PPM</v>
          </cell>
          <cell r="AI528" t="str">
            <v>Strands</v>
          </cell>
          <cell r="AJ528" t="str">
            <v>Strands PW</v>
          </cell>
        </row>
        <row r="529">
          <cell r="A529" t="str">
            <v>IKN400047</v>
          </cell>
          <cell r="B529">
            <v>47</v>
          </cell>
          <cell r="C529" t="str">
            <v>Institut Kanser Negara</v>
          </cell>
          <cell r="D529" t="str">
            <v>KKM/IKN/H/13/1044</v>
          </cell>
          <cell r="E529" t="str">
            <v>12-647</v>
          </cell>
          <cell r="F529" t="str">
            <v>Physiologic Monitoring Systems, Acute Care</v>
          </cell>
          <cell r="G529" t="str">
            <v>IC</v>
          </cell>
          <cell r="H529" t="str">
            <v>INTENSIVE CARE UNIT</v>
          </cell>
          <cell r="I529" t="str">
            <v>05IC116</v>
          </cell>
          <cell r="J529" t="str">
            <v>ISOL 2 (+VE)</v>
          </cell>
          <cell r="K529" t="str">
            <v>BMED</v>
          </cell>
          <cell r="L529" t="str">
            <v>Critical</v>
          </cell>
          <cell r="M529" t="str">
            <v>Finland</v>
          </cell>
          <cell r="N529" t="str">
            <v>Carespace</v>
          </cell>
          <cell r="O529" t="str">
            <v>Carespace B850</v>
          </cell>
          <cell r="P529" t="str">
            <v>SED12370774GA</v>
          </cell>
          <cell r="Q529" t="str">
            <v>Not Applicable</v>
          </cell>
          <cell r="R529" t="str">
            <v>GE Healthcare Systems</v>
          </cell>
          <cell r="S529" t="str">
            <v>GE Healthcare Technologies</v>
          </cell>
          <cell r="T529" t="str">
            <v>Functioning</v>
          </cell>
          <cell r="U529" t="str">
            <v>Asset</v>
          </cell>
          <cell r="V529">
            <v>119690</v>
          </cell>
          <cell r="W529" t="str">
            <v>KEW</v>
          </cell>
          <cell r="X529" t="str">
            <v>01/09/2010</v>
          </cell>
          <cell r="Y529" t="str">
            <v>KEW</v>
          </cell>
          <cell r="Z529" t="str">
            <v>16/08/2013</v>
          </cell>
          <cell r="AA529" t="str">
            <v>15/08/2015</v>
          </cell>
          <cell r="AB529" t="str">
            <v>No</v>
          </cell>
          <cell r="AC529" t="str">
            <v>31/08/2013</v>
          </cell>
          <cell r="AD529" t="str">
            <v>Good</v>
          </cell>
          <cell r="AE529" t="str">
            <v>V1 - Existing / No Claim</v>
          </cell>
          <cell r="AF529">
            <v>42797</v>
          </cell>
          <cell r="AG529">
            <v>9.17</v>
          </cell>
          <cell r="AH529" t="str">
            <v>PPM</v>
          </cell>
          <cell r="AI529" t="str">
            <v>Strands</v>
          </cell>
          <cell r="AJ529" t="str">
            <v>Strands PW</v>
          </cell>
        </row>
        <row r="530">
          <cell r="A530" t="str">
            <v>IKN400048</v>
          </cell>
          <cell r="B530">
            <v>48</v>
          </cell>
          <cell r="C530" t="str">
            <v>Institut Kanser Negara</v>
          </cell>
          <cell r="D530" t="str">
            <v>KKM/IKN/H/13/1045</v>
          </cell>
          <cell r="E530" t="str">
            <v>12-647</v>
          </cell>
          <cell r="F530" t="str">
            <v>Physiologic Monitoring Systems, Acute Care</v>
          </cell>
          <cell r="G530" t="str">
            <v>IC</v>
          </cell>
          <cell r="H530" t="str">
            <v>INTENSIVE CARE UNIT</v>
          </cell>
          <cell r="I530" t="str">
            <v>05IC129</v>
          </cell>
          <cell r="J530" t="str">
            <v>ISOL 4 (+VE)</v>
          </cell>
          <cell r="K530" t="str">
            <v>BMED</v>
          </cell>
          <cell r="L530" t="str">
            <v>Critical</v>
          </cell>
          <cell r="M530" t="str">
            <v>Finland</v>
          </cell>
          <cell r="N530" t="str">
            <v>Carespace</v>
          </cell>
          <cell r="O530" t="str">
            <v>Carespace B850</v>
          </cell>
          <cell r="P530" t="str">
            <v>SED12370782GA</v>
          </cell>
          <cell r="Q530" t="str">
            <v>Not Applicable</v>
          </cell>
          <cell r="R530" t="str">
            <v>GE Healthcare Systems</v>
          </cell>
          <cell r="S530" t="str">
            <v>GE Healthcare Technologies</v>
          </cell>
          <cell r="T530" t="str">
            <v>Functioning</v>
          </cell>
          <cell r="U530" t="str">
            <v>Asset</v>
          </cell>
          <cell r="V530">
            <v>119690</v>
          </cell>
          <cell r="W530" t="str">
            <v>KEW</v>
          </cell>
          <cell r="X530" t="str">
            <v>01/09/2010</v>
          </cell>
          <cell r="Y530" t="str">
            <v>KEW</v>
          </cell>
          <cell r="Z530" t="str">
            <v>16/08/2013</v>
          </cell>
          <cell r="AA530" t="str">
            <v>15/08/2015</v>
          </cell>
          <cell r="AB530" t="str">
            <v>No</v>
          </cell>
          <cell r="AC530" t="str">
            <v>31/08/2013</v>
          </cell>
          <cell r="AD530" t="str">
            <v>Good</v>
          </cell>
          <cell r="AE530" t="str">
            <v>V1 - Existing / No Claim</v>
          </cell>
          <cell r="AF530">
            <v>42797</v>
          </cell>
          <cell r="AG530">
            <v>9.17</v>
          </cell>
          <cell r="AH530" t="str">
            <v>PPM</v>
          </cell>
          <cell r="AI530" t="str">
            <v>Strands</v>
          </cell>
          <cell r="AJ530" t="str">
            <v>Strands PW</v>
          </cell>
        </row>
        <row r="531">
          <cell r="A531" t="str">
            <v>IKN400049</v>
          </cell>
          <cell r="B531">
            <v>49</v>
          </cell>
          <cell r="C531" t="str">
            <v>Institut Kanser Negara</v>
          </cell>
          <cell r="D531" t="str">
            <v>KKM/IKN/H/13/1046</v>
          </cell>
          <cell r="E531" t="str">
            <v>12-647</v>
          </cell>
          <cell r="F531" t="str">
            <v>Physiologic Monitoring Systems, Acute Care</v>
          </cell>
          <cell r="G531" t="str">
            <v>IC</v>
          </cell>
          <cell r="H531" t="str">
            <v>INTENSIVE CARE UNIT</v>
          </cell>
          <cell r="I531" t="str">
            <v>05IC131</v>
          </cell>
          <cell r="J531" t="str">
            <v>ISOL 3 (+VE)</v>
          </cell>
          <cell r="K531" t="str">
            <v>BMED</v>
          </cell>
          <cell r="L531" t="str">
            <v>Critical</v>
          </cell>
          <cell r="M531" t="str">
            <v>Finland</v>
          </cell>
          <cell r="N531" t="str">
            <v>Carespace</v>
          </cell>
          <cell r="O531" t="str">
            <v>Carespace B850</v>
          </cell>
          <cell r="P531" t="str">
            <v>SED12370682GA</v>
          </cell>
          <cell r="Q531" t="str">
            <v>Not Applicable</v>
          </cell>
          <cell r="R531" t="str">
            <v>GE Healthcare Systems</v>
          </cell>
          <cell r="S531" t="str">
            <v>GE Healthcare Technologies</v>
          </cell>
          <cell r="T531" t="str">
            <v>Functioning</v>
          </cell>
          <cell r="U531" t="str">
            <v>Asset</v>
          </cell>
          <cell r="V531">
            <v>119690</v>
          </cell>
          <cell r="W531" t="str">
            <v>KEW</v>
          </cell>
          <cell r="X531" t="str">
            <v>01/09/2010</v>
          </cell>
          <cell r="Y531" t="str">
            <v>KEW</v>
          </cell>
          <cell r="Z531" t="str">
            <v>16/08/2013</v>
          </cell>
          <cell r="AA531" t="str">
            <v>15/08/2015</v>
          </cell>
          <cell r="AB531" t="str">
            <v>No</v>
          </cell>
          <cell r="AC531" t="str">
            <v>31/08/2013</v>
          </cell>
          <cell r="AD531" t="str">
            <v>Good</v>
          </cell>
          <cell r="AE531" t="str">
            <v>V1 - Existing / No Claim</v>
          </cell>
          <cell r="AF531">
            <v>42797</v>
          </cell>
          <cell r="AG531">
            <v>9.17</v>
          </cell>
          <cell r="AH531" t="str">
            <v>PPM</v>
          </cell>
          <cell r="AI531" t="str">
            <v>Strands</v>
          </cell>
          <cell r="AJ531" t="str">
            <v>Strands PW</v>
          </cell>
        </row>
        <row r="532">
          <cell r="A532" t="str">
            <v>IKN400050</v>
          </cell>
          <cell r="B532">
            <v>50</v>
          </cell>
          <cell r="C532" t="str">
            <v>Institut Kanser Negara</v>
          </cell>
          <cell r="D532" t="str">
            <v>KKM/IKN/H/13/1059</v>
          </cell>
          <cell r="E532" t="str">
            <v>12-647</v>
          </cell>
          <cell r="F532" t="str">
            <v>Physiologic Monitoring Systems, Acute Care</v>
          </cell>
          <cell r="G532" t="str">
            <v>IC</v>
          </cell>
          <cell r="H532" t="str">
            <v>INTENSIVE CARE UNIT</v>
          </cell>
          <cell r="I532" t="str">
            <v>05IC106</v>
          </cell>
          <cell r="J532" t="str">
            <v>EQ. ROOM</v>
          </cell>
          <cell r="K532" t="str">
            <v>BMED</v>
          </cell>
          <cell r="L532" t="str">
            <v>Critical</v>
          </cell>
          <cell r="M532" t="str">
            <v>USA</v>
          </cell>
          <cell r="N532" t="str">
            <v>Tram</v>
          </cell>
          <cell r="O532" t="str">
            <v>Transport Pro</v>
          </cell>
          <cell r="P532" t="str">
            <v>SCS12367507GA</v>
          </cell>
          <cell r="Q532" t="str">
            <v>Not Applicable</v>
          </cell>
          <cell r="R532" t="str">
            <v>GE Medical Systems</v>
          </cell>
          <cell r="S532" t="str">
            <v>GE Healthcare Technologies</v>
          </cell>
          <cell r="T532" t="str">
            <v>Functioning</v>
          </cell>
          <cell r="U532" t="str">
            <v>Asset</v>
          </cell>
          <cell r="V532">
            <v>54100</v>
          </cell>
          <cell r="W532" t="str">
            <v>KEW</v>
          </cell>
          <cell r="X532" t="str">
            <v>01/09/2010</v>
          </cell>
          <cell r="Y532" t="str">
            <v>KEW</v>
          </cell>
          <cell r="Z532" t="str">
            <v>16/08/2013</v>
          </cell>
          <cell r="AA532" t="str">
            <v>15/08/2015</v>
          </cell>
          <cell r="AB532" t="str">
            <v>No</v>
          </cell>
          <cell r="AC532" t="str">
            <v>31/08/2013</v>
          </cell>
          <cell r="AD532" t="str">
            <v>Good</v>
          </cell>
          <cell r="AE532" t="str">
            <v>V1 - Existing / No Claim</v>
          </cell>
          <cell r="AF532">
            <v>42796</v>
          </cell>
          <cell r="AG532">
            <v>9.17</v>
          </cell>
          <cell r="AH532" t="str">
            <v>PPM</v>
          </cell>
          <cell r="AI532" t="str">
            <v>Strands</v>
          </cell>
          <cell r="AJ532" t="str">
            <v>Strands PW</v>
          </cell>
        </row>
        <row r="533">
          <cell r="A533" t="str">
            <v>IKN400051</v>
          </cell>
          <cell r="B533">
            <v>51</v>
          </cell>
          <cell r="C533" t="str">
            <v>Institut Kanser Negara</v>
          </cell>
          <cell r="D533" t="str">
            <v>KKM/IKN/H/13/1058</v>
          </cell>
          <cell r="E533" t="str">
            <v>12-647</v>
          </cell>
          <cell r="F533" t="str">
            <v>Physiologic Monitoring Systems, Acute Care</v>
          </cell>
          <cell r="G533" t="str">
            <v>IC</v>
          </cell>
          <cell r="H533" t="str">
            <v>INTENSIVE CARE UNIT</v>
          </cell>
          <cell r="I533" t="str">
            <v>05IC106</v>
          </cell>
          <cell r="J533" t="str">
            <v>EQ. ROOM</v>
          </cell>
          <cell r="K533" t="str">
            <v>BMED</v>
          </cell>
          <cell r="L533" t="str">
            <v>Critical</v>
          </cell>
          <cell r="M533" t="str">
            <v>USA</v>
          </cell>
          <cell r="N533" t="str">
            <v>Tram</v>
          </cell>
          <cell r="O533" t="str">
            <v>Transport Pro</v>
          </cell>
          <cell r="P533" t="str">
            <v>SCS12367504GA</v>
          </cell>
          <cell r="Q533" t="str">
            <v>Not Applicable</v>
          </cell>
          <cell r="R533" t="str">
            <v>GE Medical Systems</v>
          </cell>
          <cell r="S533" t="str">
            <v>GE Healthcare Technologies</v>
          </cell>
          <cell r="T533" t="str">
            <v>Functioning</v>
          </cell>
          <cell r="U533" t="str">
            <v>Asset</v>
          </cell>
          <cell r="V533">
            <v>54100</v>
          </cell>
          <cell r="W533" t="str">
            <v>KEW</v>
          </cell>
          <cell r="X533" t="str">
            <v>01/09/2010</v>
          </cell>
          <cell r="Y533" t="str">
            <v>KEW</v>
          </cell>
          <cell r="Z533" t="str">
            <v>16/08/2013</v>
          </cell>
          <cell r="AA533" t="str">
            <v>15/08/2015</v>
          </cell>
          <cell r="AB533" t="str">
            <v>No</v>
          </cell>
          <cell r="AC533" t="str">
            <v>31/08/2013</v>
          </cell>
          <cell r="AD533" t="str">
            <v>Good</v>
          </cell>
          <cell r="AE533" t="str">
            <v>V1 - Existing / No Claim</v>
          </cell>
          <cell r="AF533">
            <v>42796</v>
          </cell>
          <cell r="AG533">
            <v>9.17</v>
          </cell>
          <cell r="AH533" t="str">
            <v>PPM</v>
          </cell>
          <cell r="AI533" t="str">
            <v>Strands</v>
          </cell>
          <cell r="AJ533" t="str">
            <v>Strands PW</v>
          </cell>
        </row>
        <row r="534">
          <cell r="A534" t="str">
            <v>IKN400052</v>
          </cell>
          <cell r="B534">
            <v>52</v>
          </cell>
          <cell r="C534" t="str">
            <v>Institut Kanser Negara</v>
          </cell>
          <cell r="D534" t="str">
            <v>KKM/IKN/H/13/937</v>
          </cell>
          <cell r="E534" t="str">
            <v>15-045</v>
          </cell>
          <cell r="F534" t="str">
            <v>Nebulizers, Nonheated</v>
          </cell>
          <cell r="G534" t="str">
            <v>IC</v>
          </cell>
          <cell r="H534" t="str">
            <v>INTENSIVE CARE UNIT</v>
          </cell>
          <cell r="I534" t="str">
            <v>05IC106</v>
          </cell>
          <cell r="J534" t="str">
            <v>EQ. ROOM</v>
          </cell>
          <cell r="K534" t="str">
            <v>BMED</v>
          </cell>
          <cell r="L534" t="str">
            <v>Normal</v>
          </cell>
          <cell r="M534" t="str">
            <v>Germany</v>
          </cell>
          <cell r="N534" t="str">
            <v>Pari Boy</v>
          </cell>
          <cell r="O534" t="str">
            <v>Pari Boy SX 085</v>
          </cell>
          <cell r="P534" t="str">
            <v>2W12J05922</v>
          </cell>
          <cell r="Q534" t="str">
            <v>Not Applicable</v>
          </cell>
          <cell r="R534" t="str">
            <v>Pari GmbH</v>
          </cell>
          <cell r="S534" t="str">
            <v>Welch Allyn Malaysia Sdn Bhd</v>
          </cell>
          <cell r="T534" t="str">
            <v>Functioning</v>
          </cell>
          <cell r="U534" t="str">
            <v>Asset</v>
          </cell>
          <cell r="V534">
            <v>1140</v>
          </cell>
          <cell r="W534" t="str">
            <v>KEW</v>
          </cell>
          <cell r="X534" t="str">
            <v>01/09/2010</v>
          </cell>
          <cell r="Y534" t="str">
            <v>KEW</v>
          </cell>
          <cell r="Z534" t="str">
            <v>16/08/2013</v>
          </cell>
          <cell r="AA534" t="str">
            <v>15/08/2015</v>
          </cell>
          <cell r="AB534" t="str">
            <v>No</v>
          </cell>
          <cell r="AC534" t="str">
            <v>31/08/2013</v>
          </cell>
          <cell r="AD534" t="str">
            <v>Good</v>
          </cell>
          <cell r="AE534" t="str">
            <v>V1 - Existing / No Claim</v>
          </cell>
          <cell r="AF534">
            <v>42235</v>
          </cell>
          <cell r="AG534">
            <v>9.17</v>
          </cell>
          <cell r="AH534" t="str">
            <v>PPM</v>
          </cell>
          <cell r="AI534" t="str">
            <v>Strands</v>
          </cell>
          <cell r="AJ534" t="str">
            <v>Strands PW</v>
          </cell>
        </row>
        <row r="535">
          <cell r="A535" t="str">
            <v>IKN400053</v>
          </cell>
          <cell r="B535">
            <v>53</v>
          </cell>
          <cell r="C535" t="str">
            <v>Institut Kanser Negara</v>
          </cell>
          <cell r="D535" t="str">
            <v>KKM/IKN/H/13/938</v>
          </cell>
          <cell r="E535" t="str">
            <v>15-045</v>
          </cell>
          <cell r="F535" t="str">
            <v>Nebulizers, Nonheated</v>
          </cell>
          <cell r="G535" t="str">
            <v>IC</v>
          </cell>
          <cell r="H535" t="str">
            <v>INTENSIVE CARE UNIT</v>
          </cell>
          <cell r="I535" t="str">
            <v>05IC106</v>
          </cell>
          <cell r="J535" t="str">
            <v>EQ. ROOM</v>
          </cell>
          <cell r="K535" t="str">
            <v>BMED</v>
          </cell>
          <cell r="L535" t="str">
            <v>Normal</v>
          </cell>
          <cell r="M535" t="str">
            <v>Germany</v>
          </cell>
          <cell r="N535" t="str">
            <v>Pari Boy</v>
          </cell>
          <cell r="O535" t="str">
            <v>Pari Boy SX 085</v>
          </cell>
          <cell r="P535" t="str">
            <v>2W12F13733</v>
          </cell>
          <cell r="Q535" t="str">
            <v>Not Applicable</v>
          </cell>
          <cell r="R535" t="str">
            <v>Pari GmbH</v>
          </cell>
          <cell r="S535" t="str">
            <v>Welch Allyn Malaysia Sdn Bhd</v>
          </cell>
          <cell r="T535" t="str">
            <v>Functioning</v>
          </cell>
          <cell r="U535" t="str">
            <v>Asset</v>
          </cell>
          <cell r="V535">
            <v>1140</v>
          </cell>
          <cell r="W535" t="str">
            <v>KEW</v>
          </cell>
          <cell r="X535" t="str">
            <v>01/09/2010</v>
          </cell>
          <cell r="Y535" t="str">
            <v>KEW</v>
          </cell>
          <cell r="Z535" t="str">
            <v>16/08/2013</v>
          </cell>
          <cell r="AA535" t="str">
            <v>15/08/2015</v>
          </cell>
          <cell r="AB535" t="str">
            <v>No</v>
          </cell>
          <cell r="AC535" t="str">
            <v>31/08/2013</v>
          </cell>
          <cell r="AD535" t="str">
            <v>Good</v>
          </cell>
          <cell r="AE535" t="str">
            <v>V1 - Existing / No Claim</v>
          </cell>
          <cell r="AF535">
            <v>42235</v>
          </cell>
          <cell r="AG535">
            <v>9.17</v>
          </cell>
          <cell r="AH535" t="str">
            <v>PPM</v>
          </cell>
          <cell r="AI535" t="str">
            <v>Strands</v>
          </cell>
          <cell r="AJ535" t="str">
            <v>Strands PW</v>
          </cell>
        </row>
        <row r="536">
          <cell r="A536" t="str">
            <v>IKN400054</v>
          </cell>
          <cell r="B536">
            <v>54</v>
          </cell>
          <cell r="C536" t="str">
            <v>Institut Kanser Negara</v>
          </cell>
          <cell r="D536" t="str">
            <v>KKM/IKN/H/13/939</v>
          </cell>
          <cell r="E536" t="str">
            <v>16-924</v>
          </cell>
          <cell r="F536" t="str">
            <v>Infusion Pumps, Patient-Controlled Analgesic</v>
          </cell>
          <cell r="G536" t="str">
            <v>IC</v>
          </cell>
          <cell r="H536" t="str">
            <v>INTENSIVE CARE UNIT</v>
          </cell>
          <cell r="I536" t="str">
            <v>05IC108</v>
          </cell>
          <cell r="J536" t="str">
            <v>PCA</v>
          </cell>
          <cell r="K536" t="str">
            <v>BMED</v>
          </cell>
          <cell r="L536" t="str">
            <v>Normal</v>
          </cell>
          <cell r="M536" t="str">
            <v>Germany</v>
          </cell>
          <cell r="N536" t="str">
            <v>Perfusor</v>
          </cell>
          <cell r="O536" t="str">
            <v>Perfusor Space PCA</v>
          </cell>
          <cell r="P536" t="str">
            <v>186598</v>
          </cell>
          <cell r="Q536" t="str">
            <v>Not Applicable</v>
          </cell>
          <cell r="R536" t="str">
            <v>B Braun Melsungen AG</v>
          </cell>
          <cell r="S536" t="str">
            <v>B Braun Medical Supplies Sdn. Bhd.</v>
          </cell>
          <cell r="T536" t="str">
            <v>Functioning</v>
          </cell>
          <cell r="U536" t="str">
            <v>Asset</v>
          </cell>
          <cell r="V536">
            <v>16840</v>
          </cell>
          <cell r="W536" t="str">
            <v>KEW</v>
          </cell>
          <cell r="X536" t="str">
            <v>01/09/2010</v>
          </cell>
          <cell r="Y536" t="str">
            <v>KEW</v>
          </cell>
          <cell r="Z536" t="str">
            <v>16/08/2013</v>
          </cell>
          <cell r="AA536" t="str">
            <v>15/08/2015</v>
          </cell>
          <cell r="AB536" t="str">
            <v>No</v>
          </cell>
          <cell r="AC536" t="str">
            <v>31/08/2013</v>
          </cell>
          <cell r="AD536" t="str">
            <v>Good</v>
          </cell>
          <cell r="AE536" t="str">
            <v>V1 - Existing / No Claim</v>
          </cell>
          <cell r="AF536">
            <v>42235</v>
          </cell>
          <cell r="AG536">
            <v>9.17</v>
          </cell>
          <cell r="AH536" t="str">
            <v>PPM</v>
          </cell>
          <cell r="AI536" t="str">
            <v>Strands</v>
          </cell>
          <cell r="AJ536" t="str">
            <v>Strands PW</v>
          </cell>
        </row>
        <row r="537">
          <cell r="A537" t="str">
            <v>IKN400055</v>
          </cell>
          <cell r="B537">
            <v>55</v>
          </cell>
          <cell r="C537" t="str">
            <v>Institut Kanser Negara</v>
          </cell>
          <cell r="D537" t="str">
            <v>KKM/IKN/H/13/953</v>
          </cell>
          <cell r="E537" t="str">
            <v>16-924</v>
          </cell>
          <cell r="F537" t="str">
            <v>Infusion Pumps, Patient-Controlled Analgesic</v>
          </cell>
          <cell r="G537" t="str">
            <v>IC</v>
          </cell>
          <cell r="H537" t="str">
            <v>INTENSIVE CARE UNIT</v>
          </cell>
          <cell r="I537" t="str">
            <v>05IC108</v>
          </cell>
          <cell r="J537" t="str">
            <v>PCA</v>
          </cell>
          <cell r="K537" t="str">
            <v>BMED</v>
          </cell>
          <cell r="L537" t="str">
            <v>Normal</v>
          </cell>
          <cell r="M537" t="str">
            <v>Germany</v>
          </cell>
          <cell r="N537" t="str">
            <v>Perfusor</v>
          </cell>
          <cell r="O537" t="str">
            <v>Perfusor Space PCA</v>
          </cell>
          <cell r="P537" t="str">
            <v>186576</v>
          </cell>
          <cell r="Q537" t="str">
            <v>Not Applicable</v>
          </cell>
          <cell r="R537" t="str">
            <v>B Braun Melsungen AG</v>
          </cell>
          <cell r="S537" t="str">
            <v>B Braun Medical Supplies Sdn. Bhd.</v>
          </cell>
          <cell r="T537" t="str">
            <v>Functioning</v>
          </cell>
          <cell r="U537" t="str">
            <v>Asset</v>
          </cell>
          <cell r="V537">
            <v>16840</v>
          </cell>
          <cell r="W537" t="str">
            <v>KEW</v>
          </cell>
          <cell r="X537" t="str">
            <v>01/09/2010</v>
          </cell>
          <cell r="Y537" t="str">
            <v>KEW</v>
          </cell>
          <cell r="Z537" t="str">
            <v>16/08/2013</v>
          </cell>
          <cell r="AA537" t="str">
            <v>15/08/2015</v>
          </cell>
          <cell r="AB537" t="str">
            <v>No</v>
          </cell>
          <cell r="AC537" t="str">
            <v>31/08/2013</v>
          </cell>
          <cell r="AD537" t="str">
            <v>Good</v>
          </cell>
          <cell r="AE537" t="str">
            <v>V1 - Existing / No Claim</v>
          </cell>
          <cell r="AF537">
            <v>42235</v>
          </cell>
          <cell r="AG537">
            <v>9.17</v>
          </cell>
          <cell r="AH537" t="str">
            <v>PPM</v>
          </cell>
          <cell r="AI537" t="str">
            <v>Strands</v>
          </cell>
          <cell r="AJ537" t="str">
            <v>Strands PW</v>
          </cell>
        </row>
        <row r="538">
          <cell r="A538" t="str">
            <v>IKN400056</v>
          </cell>
          <cell r="B538">
            <v>56</v>
          </cell>
          <cell r="C538" t="str">
            <v>Institut Kanser Negara</v>
          </cell>
          <cell r="D538" t="str">
            <v>KKM/IKN/H/13/940</v>
          </cell>
          <cell r="E538" t="str">
            <v>16-924</v>
          </cell>
          <cell r="F538" t="str">
            <v>Infusion Pumps, Patient-Controlled Analgesic</v>
          </cell>
          <cell r="G538" t="str">
            <v>IC</v>
          </cell>
          <cell r="H538" t="str">
            <v>INTENSIVE CARE UNIT</v>
          </cell>
          <cell r="I538" t="str">
            <v>05IC108</v>
          </cell>
          <cell r="J538" t="str">
            <v>PCA</v>
          </cell>
          <cell r="K538" t="str">
            <v>BMED</v>
          </cell>
          <cell r="L538" t="str">
            <v>Critical</v>
          </cell>
          <cell r="M538" t="str">
            <v>Germany</v>
          </cell>
          <cell r="N538" t="str">
            <v>Perfusor</v>
          </cell>
          <cell r="O538" t="str">
            <v>Perfusor Space PCA</v>
          </cell>
          <cell r="P538" t="str">
            <v>187067</v>
          </cell>
          <cell r="Q538" t="str">
            <v>Not Applicable</v>
          </cell>
          <cell r="R538" t="str">
            <v>B Braun Melsungen AG</v>
          </cell>
          <cell r="S538" t="str">
            <v>B Braun Medical Supplies Sdn. Bhd.</v>
          </cell>
          <cell r="T538" t="str">
            <v>Functioning</v>
          </cell>
          <cell r="U538" t="str">
            <v>Asset</v>
          </cell>
          <cell r="V538">
            <v>16840</v>
          </cell>
          <cell r="W538" t="str">
            <v>KEW</v>
          </cell>
          <cell r="X538" t="str">
            <v>01/09/2010</v>
          </cell>
          <cell r="Y538" t="str">
            <v>KEW</v>
          </cell>
          <cell r="Z538" t="str">
            <v>16/08/2013</v>
          </cell>
          <cell r="AA538" t="str">
            <v>15/08/2015</v>
          </cell>
          <cell r="AB538" t="str">
            <v>No</v>
          </cell>
          <cell r="AC538" t="str">
            <v>31/08/2013</v>
          </cell>
          <cell r="AD538" t="str">
            <v>Good</v>
          </cell>
          <cell r="AE538" t="str">
            <v>V1 - Existing / No Claim</v>
          </cell>
          <cell r="AF538">
            <v>42796</v>
          </cell>
          <cell r="AG538">
            <v>9.17</v>
          </cell>
          <cell r="AH538" t="str">
            <v>PPM</v>
          </cell>
          <cell r="AI538" t="str">
            <v>Strands</v>
          </cell>
          <cell r="AJ538" t="str">
            <v>Strands PW</v>
          </cell>
        </row>
        <row r="539">
          <cell r="A539" t="str">
            <v>IKN400057</v>
          </cell>
          <cell r="B539">
            <v>57</v>
          </cell>
          <cell r="C539" t="str">
            <v>Institut Kanser Negara</v>
          </cell>
          <cell r="D539" t="str">
            <v>KKM/IKN/H/13/941</v>
          </cell>
          <cell r="E539" t="str">
            <v>16-924</v>
          </cell>
          <cell r="F539" t="str">
            <v>Infusion Pumps, Patient-Controlled Analgesic</v>
          </cell>
          <cell r="G539" t="str">
            <v>IC</v>
          </cell>
          <cell r="H539" t="str">
            <v>INTENSIVE CARE UNIT</v>
          </cell>
          <cell r="I539" t="str">
            <v>05IC108</v>
          </cell>
          <cell r="J539" t="str">
            <v>PCA</v>
          </cell>
          <cell r="K539" t="str">
            <v>BMED</v>
          </cell>
          <cell r="L539" t="str">
            <v>Critical</v>
          </cell>
          <cell r="M539" t="str">
            <v>Germany</v>
          </cell>
          <cell r="N539" t="str">
            <v>Perfusor</v>
          </cell>
          <cell r="O539" t="str">
            <v>Perfusor Space PCA</v>
          </cell>
          <cell r="P539" t="str">
            <v>187819</v>
          </cell>
          <cell r="Q539" t="str">
            <v>Not Applicable</v>
          </cell>
          <cell r="R539" t="str">
            <v>B Braun Melsungen AG</v>
          </cell>
          <cell r="S539" t="str">
            <v>B Braun Medical Supplies Sdn. Bhd.</v>
          </cell>
          <cell r="T539" t="str">
            <v>Functioning</v>
          </cell>
          <cell r="U539" t="str">
            <v>Asset</v>
          </cell>
          <cell r="V539">
            <v>16840</v>
          </cell>
          <cell r="W539" t="str">
            <v>KEW</v>
          </cell>
          <cell r="X539" t="str">
            <v>01/09/2010</v>
          </cell>
          <cell r="Y539" t="str">
            <v>KEW</v>
          </cell>
          <cell r="Z539" t="str">
            <v>16/08/2013</v>
          </cell>
          <cell r="AA539" t="str">
            <v>15/08/2015</v>
          </cell>
          <cell r="AB539" t="str">
            <v>No</v>
          </cell>
          <cell r="AC539" t="str">
            <v>31/08/2013</v>
          </cell>
          <cell r="AD539" t="str">
            <v>Good</v>
          </cell>
          <cell r="AE539" t="str">
            <v>V1 - Existing / No Claim</v>
          </cell>
          <cell r="AF539">
            <v>42796</v>
          </cell>
          <cell r="AG539">
            <v>9.17</v>
          </cell>
          <cell r="AH539" t="str">
            <v>PPM</v>
          </cell>
          <cell r="AI539" t="str">
            <v>Strands</v>
          </cell>
          <cell r="AJ539" t="str">
            <v>Strands PW</v>
          </cell>
        </row>
        <row r="540">
          <cell r="A540" t="str">
            <v>IKN400058</v>
          </cell>
          <cell r="B540">
            <v>58</v>
          </cell>
          <cell r="C540" t="str">
            <v>Institut Kanser Negara</v>
          </cell>
          <cell r="D540" t="str">
            <v>KKM/IKN/H/13/942</v>
          </cell>
          <cell r="E540" t="str">
            <v>16-924</v>
          </cell>
          <cell r="F540" t="str">
            <v>Infusion Pumps, Patient-Controlled Analgesic</v>
          </cell>
          <cell r="G540" t="str">
            <v>IC</v>
          </cell>
          <cell r="H540" t="str">
            <v>INTENSIVE CARE UNIT</v>
          </cell>
          <cell r="I540" t="str">
            <v>05IC108</v>
          </cell>
          <cell r="J540" t="str">
            <v>PCA</v>
          </cell>
          <cell r="K540" t="str">
            <v>BMED</v>
          </cell>
          <cell r="L540" t="str">
            <v>Critical</v>
          </cell>
          <cell r="M540" t="str">
            <v>Germany</v>
          </cell>
          <cell r="N540" t="str">
            <v>Perfusor</v>
          </cell>
          <cell r="O540" t="str">
            <v>Perfusor Space PCA</v>
          </cell>
          <cell r="P540" t="str">
            <v>187833</v>
          </cell>
          <cell r="Q540" t="str">
            <v>Not Applicable</v>
          </cell>
          <cell r="R540" t="str">
            <v>B Braun Melsungen AG</v>
          </cell>
          <cell r="S540" t="str">
            <v>B Braun Medical Supplies Sdn. Bhd.</v>
          </cell>
          <cell r="T540" t="str">
            <v>Functioning</v>
          </cell>
          <cell r="U540" t="str">
            <v>Asset</v>
          </cell>
          <cell r="V540">
            <v>16840</v>
          </cell>
          <cell r="W540" t="str">
            <v>KEW</v>
          </cell>
          <cell r="X540" t="str">
            <v>01/09/2010</v>
          </cell>
          <cell r="Y540" t="str">
            <v>KEW</v>
          </cell>
          <cell r="Z540" t="str">
            <v>16/08/2013</v>
          </cell>
          <cell r="AA540" t="str">
            <v>15/08/2015</v>
          </cell>
          <cell r="AB540" t="str">
            <v>No</v>
          </cell>
          <cell r="AC540" t="str">
            <v>31/08/2013</v>
          </cell>
          <cell r="AD540" t="str">
            <v>Good</v>
          </cell>
          <cell r="AE540" t="str">
            <v>V1 - Existing / No Claim</v>
          </cell>
          <cell r="AF540">
            <v>42796</v>
          </cell>
          <cell r="AG540">
            <v>9.17</v>
          </cell>
          <cell r="AH540" t="str">
            <v>PPM</v>
          </cell>
          <cell r="AI540" t="str">
            <v>Strands</v>
          </cell>
          <cell r="AJ540" t="str">
            <v>Strands PW</v>
          </cell>
        </row>
        <row r="541">
          <cell r="A541" t="str">
            <v>IKN400059</v>
          </cell>
          <cell r="B541">
            <v>59</v>
          </cell>
          <cell r="C541" t="str">
            <v>Institut Kanser Negara</v>
          </cell>
          <cell r="D541" t="str">
            <v>KKM/IKN/H/13/943</v>
          </cell>
          <cell r="E541" t="str">
            <v>16-924</v>
          </cell>
          <cell r="F541" t="str">
            <v>Infusion Pumps, Patient-Controlled Analgesic</v>
          </cell>
          <cell r="G541" t="str">
            <v>IC</v>
          </cell>
          <cell r="H541" t="str">
            <v>INTENSIVE CARE UNIT</v>
          </cell>
          <cell r="I541" t="str">
            <v>05IC108</v>
          </cell>
          <cell r="J541" t="str">
            <v>PCA</v>
          </cell>
          <cell r="K541" t="str">
            <v>BMED</v>
          </cell>
          <cell r="L541" t="str">
            <v>Critical</v>
          </cell>
          <cell r="M541" t="str">
            <v>Germany</v>
          </cell>
          <cell r="N541" t="str">
            <v>Perfusor</v>
          </cell>
          <cell r="O541" t="str">
            <v>Perfusor Space PCA</v>
          </cell>
          <cell r="P541" t="str">
            <v>187810</v>
          </cell>
          <cell r="Q541" t="str">
            <v>Not Applicable</v>
          </cell>
          <cell r="R541" t="str">
            <v>B Braun Melsungen AG</v>
          </cell>
          <cell r="S541" t="str">
            <v>B Braun Medical Supplies Sdn. Bhd.</v>
          </cell>
          <cell r="T541" t="str">
            <v>Functioning</v>
          </cell>
          <cell r="U541" t="str">
            <v>Asset</v>
          </cell>
          <cell r="V541">
            <v>16840</v>
          </cell>
          <cell r="W541" t="str">
            <v>KEW</v>
          </cell>
          <cell r="X541" t="str">
            <v>01/09/2010</v>
          </cell>
          <cell r="Y541" t="str">
            <v>KEW</v>
          </cell>
          <cell r="Z541" t="str">
            <v>16/08/2013</v>
          </cell>
          <cell r="AA541" t="str">
            <v>15/08/2015</v>
          </cell>
          <cell r="AB541" t="str">
            <v>No</v>
          </cell>
          <cell r="AC541" t="str">
            <v>31/08/2013</v>
          </cell>
          <cell r="AD541" t="str">
            <v>Good</v>
          </cell>
          <cell r="AE541" t="str">
            <v>V1 - Existing / No Claim</v>
          </cell>
          <cell r="AF541">
            <v>42796</v>
          </cell>
          <cell r="AG541">
            <v>9.17</v>
          </cell>
          <cell r="AH541" t="str">
            <v>PPM</v>
          </cell>
          <cell r="AI541" t="str">
            <v>Strands</v>
          </cell>
          <cell r="AJ541" t="str">
            <v>Strands PW</v>
          </cell>
        </row>
        <row r="542">
          <cell r="A542" t="str">
            <v>IKN400060</v>
          </cell>
          <cell r="B542">
            <v>60</v>
          </cell>
          <cell r="C542" t="str">
            <v>Institut Kanser Negara</v>
          </cell>
          <cell r="D542" t="str">
            <v>KKM/IKN/H/13/944</v>
          </cell>
          <cell r="E542" t="str">
            <v>16-924</v>
          </cell>
          <cell r="F542" t="str">
            <v>Infusion Pumps, Patient-Controlled Analgesic</v>
          </cell>
          <cell r="G542" t="str">
            <v>IC</v>
          </cell>
          <cell r="H542" t="str">
            <v>INTENSIVE CARE UNIT</v>
          </cell>
          <cell r="I542" t="str">
            <v>05IC108</v>
          </cell>
          <cell r="J542" t="str">
            <v>PCA</v>
          </cell>
          <cell r="K542" t="str">
            <v>BMED</v>
          </cell>
          <cell r="L542" t="str">
            <v>Critical</v>
          </cell>
          <cell r="M542" t="str">
            <v>Germany</v>
          </cell>
          <cell r="N542" t="str">
            <v>Perfusor</v>
          </cell>
          <cell r="O542" t="str">
            <v>Perfusor Space PCA</v>
          </cell>
          <cell r="P542" t="str">
            <v>187805</v>
          </cell>
          <cell r="Q542" t="str">
            <v>Not Applicable</v>
          </cell>
          <cell r="R542" t="str">
            <v>B Braun Melsungen AG</v>
          </cell>
          <cell r="S542" t="str">
            <v>B Braun Medical Supplies Sdn. Bhd.</v>
          </cell>
          <cell r="T542" t="str">
            <v>Functioning</v>
          </cell>
          <cell r="U542" t="str">
            <v>Asset</v>
          </cell>
          <cell r="V542">
            <v>16840</v>
          </cell>
          <cell r="W542" t="str">
            <v>KEW</v>
          </cell>
          <cell r="X542" t="str">
            <v>01/09/2010</v>
          </cell>
          <cell r="Y542" t="str">
            <v>KEW</v>
          </cell>
          <cell r="Z542" t="str">
            <v>16/08/2013</v>
          </cell>
          <cell r="AA542" t="str">
            <v>15/08/2015</v>
          </cell>
          <cell r="AB542" t="str">
            <v>No</v>
          </cell>
          <cell r="AC542" t="str">
            <v>31/08/2013</v>
          </cell>
          <cell r="AD542" t="str">
            <v>Good</v>
          </cell>
          <cell r="AE542" t="str">
            <v>V1 - Existing / No Claim</v>
          </cell>
          <cell r="AF542">
            <v>42796</v>
          </cell>
          <cell r="AG542">
            <v>9.17</v>
          </cell>
          <cell r="AH542" t="str">
            <v>PPM</v>
          </cell>
          <cell r="AI542" t="str">
            <v>Strands</v>
          </cell>
          <cell r="AJ542" t="str">
            <v>Strands PW</v>
          </cell>
        </row>
        <row r="543">
          <cell r="A543" t="str">
            <v>IKN400061</v>
          </cell>
          <cell r="B543">
            <v>61</v>
          </cell>
          <cell r="C543" t="str">
            <v>Institut Kanser Negara</v>
          </cell>
          <cell r="D543" t="str">
            <v>KKM/IKN/H/13/946</v>
          </cell>
          <cell r="E543" t="str">
            <v>16-924</v>
          </cell>
          <cell r="F543" t="str">
            <v>Infusion Pumps, Patient-Controlled Analgesic</v>
          </cell>
          <cell r="G543" t="str">
            <v>IC</v>
          </cell>
          <cell r="H543" t="str">
            <v>INTENSIVE CARE UNIT</v>
          </cell>
          <cell r="I543" t="str">
            <v>05IC108</v>
          </cell>
          <cell r="J543" t="str">
            <v>PCA</v>
          </cell>
          <cell r="K543" t="str">
            <v>BMED</v>
          </cell>
          <cell r="L543" t="str">
            <v>Normal</v>
          </cell>
          <cell r="M543" t="str">
            <v>Germany</v>
          </cell>
          <cell r="N543" t="str">
            <v>Perfusor</v>
          </cell>
          <cell r="O543" t="str">
            <v>Perfusor Space PCA</v>
          </cell>
          <cell r="P543" t="str">
            <v>185353</v>
          </cell>
          <cell r="Q543" t="str">
            <v>Not Applicable</v>
          </cell>
          <cell r="R543" t="str">
            <v>B Braun Melsungen AG</v>
          </cell>
          <cell r="S543" t="str">
            <v>B Braun Medical Supplies Sdn. Bhd.</v>
          </cell>
          <cell r="T543" t="str">
            <v>Functioning</v>
          </cell>
          <cell r="U543" t="str">
            <v>Asset</v>
          </cell>
          <cell r="V543">
            <v>16840</v>
          </cell>
          <cell r="W543" t="str">
            <v>KEW</v>
          </cell>
          <cell r="X543" t="str">
            <v>01/09/2010</v>
          </cell>
          <cell r="Y543" t="str">
            <v>KEW</v>
          </cell>
          <cell r="Z543" t="str">
            <v>16/08/2013</v>
          </cell>
          <cell r="AA543" t="str">
            <v>15/08/2015</v>
          </cell>
          <cell r="AB543" t="str">
            <v>No</v>
          </cell>
          <cell r="AC543" t="str">
            <v>31/08/2013</v>
          </cell>
          <cell r="AD543" t="str">
            <v>Good</v>
          </cell>
          <cell r="AE543" t="str">
            <v>V1 - Existing / No Claim</v>
          </cell>
          <cell r="AF543">
            <v>42235</v>
          </cell>
          <cell r="AG543">
            <v>9.17</v>
          </cell>
          <cell r="AH543" t="str">
            <v>PPM</v>
          </cell>
          <cell r="AI543" t="str">
            <v>Strands</v>
          </cell>
          <cell r="AJ543" t="str">
            <v>Strands PW</v>
          </cell>
        </row>
        <row r="544">
          <cell r="A544" t="str">
            <v>IKN400062</v>
          </cell>
          <cell r="B544">
            <v>62</v>
          </cell>
          <cell r="C544" t="str">
            <v>Institut Kanser Negara</v>
          </cell>
          <cell r="D544" t="str">
            <v>KKM/IKN/H/13/945</v>
          </cell>
          <cell r="E544" t="str">
            <v>16-924</v>
          </cell>
          <cell r="F544" t="str">
            <v>Infusion Pumps, Patient-Controlled Analgesic</v>
          </cell>
          <cell r="G544" t="str">
            <v>IC</v>
          </cell>
          <cell r="H544" t="str">
            <v>INTENSIVE CARE UNIT</v>
          </cell>
          <cell r="I544" t="str">
            <v>05IC108</v>
          </cell>
          <cell r="J544" t="str">
            <v>PCA</v>
          </cell>
          <cell r="K544" t="str">
            <v>BMED</v>
          </cell>
          <cell r="L544" t="str">
            <v>Normal</v>
          </cell>
          <cell r="M544" t="str">
            <v>Germany</v>
          </cell>
          <cell r="N544" t="str">
            <v>Perfusor</v>
          </cell>
          <cell r="O544" t="str">
            <v>Perfusor Space PCA</v>
          </cell>
          <cell r="P544" t="str">
            <v>187893</v>
          </cell>
          <cell r="Q544" t="str">
            <v>Not Applicable</v>
          </cell>
          <cell r="R544" t="str">
            <v>B Braun Melsungen AG</v>
          </cell>
          <cell r="S544" t="str">
            <v>B Braun Medical Supplies Sdn. Bhd.</v>
          </cell>
          <cell r="T544" t="str">
            <v>Functioning</v>
          </cell>
          <cell r="U544" t="str">
            <v>Asset</v>
          </cell>
          <cell r="V544">
            <v>16840</v>
          </cell>
          <cell r="W544" t="str">
            <v>KEW</v>
          </cell>
          <cell r="X544" t="str">
            <v>01/09/2010</v>
          </cell>
          <cell r="Y544" t="str">
            <v>KEW</v>
          </cell>
          <cell r="Z544" t="str">
            <v>16/08/2013</v>
          </cell>
          <cell r="AA544" t="str">
            <v>15/08/2015</v>
          </cell>
          <cell r="AB544" t="str">
            <v>No</v>
          </cell>
          <cell r="AC544" t="str">
            <v>31/08/2013</v>
          </cell>
          <cell r="AD544" t="str">
            <v>Good</v>
          </cell>
          <cell r="AE544" t="str">
            <v>V1 - Existing / No Claim</v>
          </cell>
          <cell r="AF544">
            <v>42235</v>
          </cell>
          <cell r="AG544">
            <v>9.17</v>
          </cell>
          <cell r="AH544" t="str">
            <v>PPM</v>
          </cell>
          <cell r="AI544" t="str">
            <v>Strands</v>
          </cell>
          <cell r="AJ544" t="str">
            <v>Strands PW</v>
          </cell>
        </row>
        <row r="545">
          <cell r="A545" t="str">
            <v>IKN400063</v>
          </cell>
          <cell r="B545">
            <v>63</v>
          </cell>
          <cell r="C545" t="str">
            <v>Institut Kanser Negara</v>
          </cell>
          <cell r="D545" t="str">
            <v>KKM/IKN/H/13/947</v>
          </cell>
          <cell r="E545" t="str">
            <v>16-924</v>
          </cell>
          <cell r="F545" t="str">
            <v>Infusion Pumps, Patient-Controlled Analgesic</v>
          </cell>
          <cell r="G545" t="str">
            <v>IC</v>
          </cell>
          <cell r="H545" t="str">
            <v>INTENSIVE CARE UNIT</v>
          </cell>
          <cell r="I545" t="str">
            <v>05IC108</v>
          </cell>
          <cell r="J545" t="str">
            <v>PCA</v>
          </cell>
          <cell r="K545" t="str">
            <v>BMED</v>
          </cell>
          <cell r="L545" t="str">
            <v>Normal</v>
          </cell>
          <cell r="M545" t="str">
            <v>Germany</v>
          </cell>
          <cell r="N545" t="str">
            <v>Perfusor</v>
          </cell>
          <cell r="O545" t="str">
            <v>Perfusor Space PCA</v>
          </cell>
          <cell r="P545" t="str">
            <v>187849</v>
          </cell>
          <cell r="Q545" t="str">
            <v>Not Applicable</v>
          </cell>
          <cell r="R545" t="str">
            <v>B Braun Melsungen AG</v>
          </cell>
          <cell r="S545" t="str">
            <v>B Braun Medical Supplies Sdn. Bhd.</v>
          </cell>
          <cell r="T545" t="str">
            <v>Functioning</v>
          </cell>
          <cell r="U545" t="str">
            <v>Asset</v>
          </cell>
          <cell r="V545">
            <v>16840</v>
          </cell>
          <cell r="W545" t="str">
            <v>KEW</v>
          </cell>
          <cell r="X545" t="str">
            <v>01/09/2010</v>
          </cell>
          <cell r="Y545" t="str">
            <v>KEW</v>
          </cell>
          <cell r="Z545" t="str">
            <v>16/08/2013</v>
          </cell>
          <cell r="AA545" t="str">
            <v>15/08/2015</v>
          </cell>
          <cell r="AB545" t="str">
            <v>No</v>
          </cell>
          <cell r="AC545" t="str">
            <v>31/08/2013</v>
          </cell>
          <cell r="AD545" t="str">
            <v>Good</v>
          </cell>
          <cell r="AE545" t="str">
            <v>V1 - Existing / No Claim</v>
          </cell>
          <cell r="AF545">
            <v>42235</v>
          </cell>
          <cell r="AG545">
            <v>9.17</v>
          </cell>
          <cell r="AH545" t="str">
            <v>PPM</v>
          </cell>
          <cell r="AI545" t="str">
            <v>Strands</v>
          </cell>
          <cell r="AJ545" t="str">
            <v>Strands PW</v>
          </cell>
        </row>
        <row r="546">
          <cell r="A546" t="str">
            <v>IKN400064</v>
          </cell>
          <cell r="B546">
            <v>64</v>
          </cell>
          <cell r="C546" t="str">
            <v>Institut Kanser Negara</v>
          </cell>
          <cell r="D546" t="str">
            <v>KKM/IKN/H/13/948</v>
          </cell>
          <cell r="E546" t="str">
            <v>16-924</v>
          </cell>
          <cell r="F546" t="str">
            <v>Infusion Pumps, Patient-Controlled Analgesic</v>
          </cell>
          <cell r="G546" t="str">
            <v>IC</v>
          </cell>
          <cell r="H546" t="str">
            <v>INTENSIVE CARE UNIT</v>
          </cell>
          <cell r="I546" t="str">
            <v>05IC108</v>
          </cell>
          <cell r="J546" t="str">
            <v>PCA</v>
          </cell>
          <cell r="K546" t="str">
            <v>BMED</v>
          </cell>
          <cell r="L546" t="str">
            <v>Normal</v>
          </cell>
          <cell r="M546" t="str">
            <v>Germany</v>
          </cell>
          <cell r="N546" t="str">
            <v>Perfusor</v>
          </cell>
          <cell r="O546" t="str">
            <v>Perfusor Space PCA</v>
          </cell>
          <cell r="P546" t="str">
            <v>187832</v>
          </cell>
          <cell r="Q546" t="str">
            <v>Not Applicable</v>
          </cell>
          <cell r="R546" t="str">
            <v>B Braun Melsungen AG</v>
          </cell>
          <cell r="S546" t="str">
            <v>B Braun Medical Supplies Sdn. Bhd.</v>
          </cell>
          <cell r="T546" t="str">
            <v>Functioning</v>
          </cell>
          <cell r="U546" t="str">
            <v>Asset</v>
          </cell>
          <cell r="V546">
            <v>16840</v>
          </cell>
          <cell r="W546" t="str">
            <v>KEW</v>
          </cell>
          <cell r="X546" t="str">
            <v>01/09/2010</v>
          </cell>
          <cell r="Y546" t="str">
            <v>KEW</v>
          </cell>
          <cell r="Z546" t="str">
            <v>16/08/2013</v>
          </cell>
          <cell r="AA546" t="str">
            <v>15/08/2015</v>
          </cell>
          <cell r="AB546" t="str">
            <v>No</v>
          </cell>
          <cell r="AC546" t="str">
            <v>31/08/2013</v>
          </cell>
          <cell r="AD546" t="str">
            <v>Good</v>
          </cell>
          <cell r="AE546" t="str">
            <v>V1 - Existing / No Claim</v>
          </cell>
          <cell r="AF546">
            <v>42235</v>
          </cell>
          <cell r="AG546">
            <v>9.17</v>
          </cell>
          <cell r="AH546" t="str">
            <v>PPM</v>
          </cell>
          <cell r="AI546" t="str">
            <v>Strands</v>
          </cell>
          <cell r="AJ546" t="str">
            <v>Strands PW</v>
          </cell>
        </row>
        <row r="547">
          <cell r="A547" t="str">
            <v>IKN400065</v>
          </cell>
          <cell r="B547">
            <v>65</v>
          </cell>
          <cell r="C547" t="str">
            <v>Institut Kanser Negara</v>
          </cell>
          <cell r="D547" t="str">
            <v>KKM/IKN/H/13/949</v>
          </cell>
          <cell r="E547" t="str">
            <v>16-924</v>
          </cell>
          <cell r="F547" t="str">
            <v>Infusion Pumps, Patient-Controlled Analgesic</v>
          </cell>
          <cell r="G547" t="str">
            <v>IC</v>
          </cell>
          <cell r="H547" t="str">
            <v>INTENSIVE CARE UNIT</v>
          </cell>
          <cell r="I547" t="str">
            <v>05IC108</v>
          </cell>
          <cell r="J547" t="str">
            <v>PCA</v>
          </cell>
          <cell r="K547" t="str">
            <v>BMED</v>
          </cell>
          <cell r="L547" t="str">
            <v>Normal</v>
          </cell>
          <cell r="M547" t="str">
            <v>Germany</v>
          </cell>
          <cell r="N547" t="str">
            <v>Perfusor</v>
          </cell>
          <cell r="O547" t="str">
            <v>Perfusor Space PCA</v>
          </cell>
          <cell r="P547" t="str">
            <v>187004</v>
          </cell>
          <cell r="Q547" t="str">
            <v>Not Applicable</v>
          </cell>
          <cell r="R547" t="str">
            <v>B Braun Melsungen AG</v>
          </cell>
          <cell r="S547" t="str">
            <v>B Braun Medical Supplies Sdn. Bhd.</v>
          </cell>
          <cell r="T547" t="str">
            <v>Functioning</v>
          </cell>
          <cell r="U547" t="str">
            <v>Asset</v>
          </cell>
          <cell r="V547">
            <v>16840</v>
          </cell>
          <cell r="W547" t="str">
            <v>KEW</v>
          </cell>
          <cell r="X547" t="str">
            <v>01/09/2010</v>
          </cell>
          <cell r="Y547" t="str">
            <v>KEW</v>
          </cell>
          <cell r="Z547" t="str">
            <v>16/08/2013</v>
          </cell>
          <cell r="AA547" t="str">
            <v>15/08/2015</v>
          </cell>
          <cell r="AB547" t="str">
            <v>No</v>
          </cell>
          <cell r="AC547" t="str">
            <v>31/08/2013</v>
          </cell>
          <cell r="AD547" t="str">
            <v>Good</v>
          </cell>
          <cell r="AE547" t="str">
            <v>V1 - Existing / No Claim</v>
          </cell>
          <cell r="AF547">
            <v>42235</v>
          </cell>
          <cell r="AG547">
            <v>9.17</v>
          </cell>
          <cell r="AH547" t="str">
            <v>PPM</v>
          </cell>
          <cell r="AI547" t="str">
            <v>Strands</v>
          </cell>
          <cell r="AJ547" t="str">
            <v>Strands PW</v>
          </cell>
        </row>
        <row r="548">
          <cell r="A548" t="str">
            <v>IKN400066</v>
          </cell>
          <cell r="B548">
            <v>66</v>
          </cell>
          <cell r="C548" t="str">
            <v>Institut Kanser Negara</v>
          </cell>
          <cell r="D548" t="str">
            <v>KKM/IKN/H/13/950</v>
          </cell>
          <cell r="E548" t="str">
            <v>16-924</v>
          </cell>
          <cell r="F548" t="str">
            <v>Infusion Pumps, Patient-Controlled Analgesic</v>
          </cell>
          <cell r="G548" t="str">
            <v>IC</v>
          </cell>
          <cell r="H548" t="str">
            <v>INTENSIVE CARE UNIT</v>
          </cell>
          <cell r="I548" t="str">
            <v>05IC108</v>
          </cell>
          <cell r="J548" t="str">
            <v>PCA</v>
          </cell>
          <cell r="K548" t="str">
            <v>BMED</v>
          </cell>
          <cell r="L548" t="str">
            <v>Critical</v>
          </cell>
          <cell r="M548" t="str">
            <v>Germany</v>
          </cell>
          <cell r="N548" t="str">
            <v>Perfusor</v>
          </cell>
          <cell r="O548" t="str">
            <v>Perfusor Space PCA</v>
          </cell>
          <cell r="P548" t="str">
            <v>187814</v>
          </cell>
          <cell r="Q548" t="str">
            <v>Not Applicable</v>
          </cell>
          <cell r="R548" t="str">
            <v>B Braun Melsungen AG</v>
          </cell>
          <cell r="S548" t="str">
            <v>B Braun Medical Supplies Sdn. Bhd.</v>
          </cell>
          <cell r="T548" t="str">
            <v>Functioning</v>
          </cell>
          <cell r="U548" t="str">
            <v>Asset</v>
          </cell>
          <cell r="V548">
            <v>16840</v>
          </cell>
          <cell r="W548" t="str">
            <v>KEW</v>
          </cell>
          <cell r="X548" t="str">
            <v>01/09/2010</v>
          </cell>
          <cell r="Y548" t="str">
            <v>KEW</v>
          </cell>
          <cell r="Z548" t="str">
            <v>16/08/2013</v>
          </cell>
          <cell r="AA548" t="str">
            <v>15/08/2015</v>
          </cell>
          <cell r="AB548" t="str">
            <v>No</v>
          </cell>
          <cell r="AC548" t="str">
            <v>31/08/2013</v>
          </cell>
          <cell r="AD548" t="str">
            <v>Good</v>
          </cell>
          <cell r="AE548" t="str">
            <v>V1 - Existing / No Claim</v>
          </cell>
          <cell r="AF548">
            <v>42796</v>
          </cell>
          <cell r="AG548">
            <v>9.17</v>
          </cell>
          <cell r="AH548" t="str">
            <v>PPM</v>
          </cell>
          <cell r="AI548" t="str">
            <v>Strands</v>
          </cell>
          <cell r="AJ548" t="str">
            <v>Strands PW</v>
          </cell>
        </row>
        <row r="549">
          <cell r="A549" t="str">
            <v>IKN400067</v>
          </cell>
          <cell r="B549">
            <v>67</v>
          </cell>
          <cell r="C549" t="str">
            <v>Institut Kanser Negara</v>
          </cell>
          <cell r="D549" t="str">
            <v>KKM/IKN/H/13/951</v>
          </cell>
          <cell r="E549" t="str">
            <v>16-924</v>
          </cell>
          <cell r="F549" t="str">
            <v>Infusion Pumps, Patient-Controlled Analgesic</v>
          </cell>
          <cell r="G549" t="str">
            <v>IC</v>
          </cell>
          <cell r="H549" t="str">
            <v>INTENSIVE CARE UNIT</v>
          </cell>
          <cell r="I549" t="str">
            <v>05IC108</v>
          </cell>
          <cell r="J549" t="str">
            <v>PCA</v>
          </cell>
          <cell r="K549" t="str">
            <v>BMED</v>
          </cell>
          <cell r="L549" t="str">
            <v>Normal</v>
          </cell>
          <cell r="M549" t="str">
            <v>Germany</v>
          </cell>
          <cell r="N549" t="str">
            <v>Perfusor</v>
          </cell>
          <cell r="O549" t="str">
            <v>Perfusor Space PCA</v>
          </cell>
          <cell r="P549" t="str">
            <v>186995</v>
          </cell>
          <cell r="Q549" t="str">
            <v>Not Applicable</v>
          </cell>
          <cell r="R549" t="str">
            <v>B Braun Melsungen AG</v>
          </cell>
          <cell r="S549" t="str">
            <v>B Braun Medical Supplies Sdn. Bhd.</v>
          </cell>
          <cell r="T549" t="str">
            <v>Functioning</v>
          </cell>
          <cell r="U549" t="str">
            <v>Asset</v>
          </cell>
          <cell r="V549">
            <v>16840</v>
          </cell>
          <cell r="W549" t="str">
            <v>KEW</v>
          </cell>
          <cell r="X549" t="str">
            <v>01/09/2010</v>
          </cell>
          <cell r="Y549" t="str">
            <v>KEW</v>
          </cell>
          <cell r="Z549" t="str">
            <v>16/08/2013</v>
          </cell>
          <cell r="AA549" t="str">
            <v>15/08/2015</v>
          </cell>
          <cell r="AB549" t="str">
            <v>No</v>
          </cell>
          <cell r="AC549" t="str">
            <v>31/08/2013</v>
          </cell>
          <cell r="AD549" t="str">
            <v>Good</v>
          </cell>
          <cell r="AE549" t="str">
            <v>V1 - Existing / No Claim</v>
          </cell>
          <cell r="AF549">
            <v>42235</v>
          </cell>
          <cell r="AG549">
            <v>9.17</v>
          </cell>
          <cell r="AH549" t="str">
            <v>PPM</v>
          </cell>
          <cell r="AI549" t="str">
            <v>Strands</v>
          </cell>
          <cell r="AJ549" t="str">
            <v>Strands PW</v>
          </cell>
        </row>
        <row r="550">
          <cell r="A550" t="str">
            <v>IKN400068</v>
          </cell>
          <cell r="B550">
            <v>68</v>
          </cell>
          <cell r="C550" t="str">
            <v>Institut Kanser Negara</v>
          </cell>
          <cell r="D550" t="str">
            <v>KKM/IKN/H/13/952</v>
          </cell>
          <cell r="E550" t="str">
            <v>16-924</v>
          </cell>
          <cell r="F550" t="str">
            <v>Infusion Pumps, Patient-Controlled Analgesic</v>
          </cell>
          <cell r="G550" t="str">
            <v>IC</v>
          </cell>
          <cell r="H550" t="str">
            <v>INTENSIVE CARE UNIT</v>
          </cell>
          <cell r="I550" t="str">
            <v>05IC108</v>
          </cell>
          <cell r="J550" t="str">
            <v>PCA</v>
          </cell>
          <cell r="K550" t="str">
            <v>BMED</v>
          </cell>
          <cell r="L550" t="str">
            <v>Normal</v>
          </cell>
          <cell r="M550" t="str">
            <v>Germany</v>
          </cell>
          <cell r="N550" t="str">
            <v>Perfusor</v>
          </cell>
          <cell r="O550" t="str">
            <v>Perfusor Space PCA</v>
          </cell>
          <cell r="P550" t="str">
            <v>187868</v>
          </cell>
          <cell r="Q550" t="str">
            <v>Not Applicable</v>
          </cell>
          <cell r="R550" t="str">
            <v>B Braun Melsungen AG</v>
          </cell>
          <cell r="S550" t="str">
            <v>B Braun Medical Supplies Sdn. Bhd.</v>
          </cell>
          <cell r="T550" t="str">
            <v>Functioning</v>
          </cell>
          <cell r="U550" t="str">
            <v>Asset</v>
          </cell>
          <cell r="V550">
            <v>16840</v>
          </cell>
          <cell r="W550" t="str">
            <v>KEW</v>
          </cell>
          <cell r="X550" t="str">
            <v>01/09/2010</v>
          </cell>
          <cell r="Y550" t="str">
            <v>KEW</v>
          </cell>
          <cell r="Z550" t="str">
            <v>16/08/2013</v>
          </cell>
          <cell r="AA550" t="str">
            <v>15/08/2015</v>
          </cell>
          <cell r="AB550" t="str">
            <v>No</v>
          </cell>
          <cell r="AC550" t="str">
            <v>31/08/2013</v>
          </cell>
          <cell r="AD550" t="str">
            <v>Good</v>
          </cell>
          <cell r="AE550" t="str">
            <v>V1 - Existing / No Claim</v>
          </cell>
          <cell r="AF550">
            <v>42235</v>
          </cell>
          <cell r="AG550">
            <v>9.17</v>
          </cell>
          <cell r="AH550" t="str">
            <v>PPM</v>
          </cell>
          <cell r="AI550" t="str">
            <v>Strands</v>
          </cell>
          <cell r="AJ550" t="str">
            <v>Strands PW</v>
          </cell>
        </row>
        <row r="551">
          <cell r="A551" t="str">
            <v>IKN400069</v>
          </cell>
          <cell r="B551">
            <v>69</v>
          </cell>
          <cell r="C551" t="str">
            <v>Institut Kanser Negara</v>
          </cell>
          <cell r="D551" t="str">
            <v>KKM/IKN/H/13/856</v>
          </cell>
          <cell r="E551" t="str">
            <v>10-849</v>
          </cell>
          <cell r="F551" t="str">
            <v>Circulatory Assist Units, Venous Return</v>
          </cell>
          <cell r="G551" t="str">
            <v>IC</v>
          </cell>
          <cell r="H551" t="str">
            <v>INTENSIVE CARE UNIT</v>
          </cell>
          <cell r="I551" t="str">
            <v>05IC111</v>
          </cell>
          <cell r="J551" t="str">
            <v>ISOL 1(-VE)</v>
          </cell>
          <cell r="K551" t="str">
            <v>BMED</v>
          </cell>
          <cell r="L551" t="str">
            <v>Normal</v>
          </cell>
          <cell r="M551" t="str">
            <v>Taiwan</v>
          </cell>
          <cell r="N551" t="str">
            <v>Vena Press</v>
          </cell>
          <cell r="O551" t="str">
            <v>Vena Press IPC</v>
          </cell>
          <cell r="P551" t="str">
            <v>C820016673</v>
          </cell>
          <cell r="Q551" t="str">
            <v>Not Applicable</v>
          </cell>
          <cell r="R551" t="str">
            <v>Prius Healthcare Solution</v>
          </cell>
          <cell r="S551" t="str">
            <v>Medika Supplies</v>
          </cell>
          <cell r="T551" t="str">
            <v>Functioning</v>
          </cell>
          <cell r="U551" t="str">
            <v>Asset</v>
          </cell>
          <cell r="V551">
            <v>13470</v>
          </cell>
          <cell r="W551" t="str">
            <v>KEW</v>
          </cell>
          <cell r="X551" t="str">
            <v>01/09/2010</v>
          </cell>
          <cell r="Y551" t="str">
            <v>KEW</v>
          </cell>
          <cell r="Z551" t="str">
            <v>16/08/2013</v>
          </cell>
          <cell r="AA551" t="str">
            <v>15/08/2015</v>
          </cell>
          <cell r="AB551" t="str">
            <v>No</v>
          </cell>
          <cell r="AC551" t="str">
            <v>31/08/2013</v>
          </cell>
          <cell r="AD551" t="str">
            <v>Good</v>
          </cell>
          <cell r="AE551" t="str">
            <v>V1 - Existing / No Claim</v>
          </cell>
          <cell r="AF551">
            <v>42235</v>
          </cell>
          <cell r="AG551">
            <v>9.17</v>
          </cell>
          <cell r="AH551" t="str">
            <v>PPM</v>
          </cell>
          <cell r="AI551" t="str">
            <v>Strands</v>
          </cell>
          <cell r="AJ551" t="str">
            <v>Strands PW</v>
          </cell>
        </row>
        <row r="552">
          <cell r="A552" t="str">
            <v>IKN400070</v>
          </cell>
          <cell r="B552">
            <v>70</v>
          </cell>
          <cell r="C552" t="str">
            <v>Institut Kanser Negara</v>
          </cell>
          <cell r="D552" t="str">
            <v>KKM/IKN/H/13/1119</v>
          </cell>
          <cell r="E552" t="str">
            <v>17-429</v>
          </cell>
          <cell r="F552" t="str">
            <v>Ventilators, Intensive Care</v>
          </cell>
          <cell r="G552" t="str">
            <v>IC</v>
          </cell>
          <cell r="H552" t="str">
            <v>INTENSIVE CARE UNIT</v>
          </cell>
          <cell r="I552" t="str">
            <v>05IC129</v>
          </cell>
          <cell r="J552" t="str">
            <v>ISOL 4 (+VE)</v>
          </cell>
          <cell r="K552" t="str">
            <v>BMED</v>
          </cell>
          <cell r="L552" t="str">
            <v>Normal</v>
          </cell>
          <cell r="M552" t="str">
            <v>Germany</v>
          </cell>
          <cell r="N552" t="str">
            <v>Evita</v>
          </cell>
          <cell r="O552" t="str">
            <v>Evita XL</v>
          </cell>
          <cell r="P552" t="str">
            <v>ASDD-0069</v>
          </cell>
          <cell r="Q552" t="str">
            <v>Not Applicable</v>
          </cell>
          <cell r="R552" t="str">
            <v>Drager Medical AG &amp; Co KGaA</v>
          </cell>
          <cell r="S552" t="str">
            <v>Beau Consortium Sdn Bhd</v>
          </cell>
          <cell r="T552" t="str">
            <v>Functioning</v>
          </cell>
          <cell r="U552" t="str">
            <v>Asset</v>
          </cell>
          <cell r="V552">
            <v>151560</v>
          </cell>
          <cell r="W552" t="str">
            <v>KEW</v>
          </cell>
          <cell r="X552" t="str">
            <v>01/09/2010</v>
          </cell>
          <cell r="Y552" t="str">
            <v>KEW</v>
          </cell>
          <cell r="Z552" t="str">
            <v>16/08/2013</v>
          </cell>
          <cell r="AA552" t="str">
            <v>15/08/2015</v>
          </cell>
          <cell r="AB552" t="str">
            <v>No</v>
          </cell>
          <cell r="AC552" t="str">
            <v>31/08/2013</v>
          </cell>
          <cell r="AD552" t="str">
            <v>Good</v>
          </cell>
          <cell r="AE552" t="str">
            <v>V1 - Existing / No Claim</v>
          </cell>
          <cell r="AF552">
            <v>42235</v>
          </cell>
          <cell r="AG552">
            <v>9.17</v>
          </cell>
          <cell r="AH552" t="str">
            <v>PPM</v>
          </cell>
          <cell r="AI552" t="str">
            <v>Strands</v>
          </cell>
          <cell r="AJ552" t="str">
            <v>Strands PW</v>
          </cell>
        </row>
        <row r="553">
          <cell r="A553" t="str">
            <v>IKN400071</v>
          </cell>
          <cell r="B553">
            <v>71</v>
          </cell>
          <cell r="C553" t="str">
            <v>Institut Kanser Negara</v>
          </cell>
          <cell r="D553" t="str">
            <v>KKM/IKN/H/13/858</v>
          </cell>
          <cell r="E553" t="str">
            <v>10-849</v>
          </cell>
          <cell r="F553" t="str">
            <v>Circulatory Assist Units, Venous Return</v>
          </cell>
          <cell r="G553" t="str">
            <v>IC</v>
          </cell>
          <cell r="H553" t="str">
            <v>INTENSIVE CARE UNIT</v>
          </cell>
          <cell r="I553" t="str">
            <v>05IC113</v>
          </cell>
          <cell r="J553" t="str">
            <v>ICU RM 2</v>
          </cell>
          <cell r="K553" t="str">
            <v>BMED</v>
          </cell>
          <cell r="L553" t="str">
            <v>Normal</v>
          </cell>
          <cell r="M553" t="str">
            <v>Taiwan</v>
          </cell>
          <cell r="N553" t="str">
            <v>Vena Press</v>
          </cell>
          <cell r="O553" t="str">
            <v>Vena Press IPC</v>
          </cell>
          <cell r="P553" t="str">
            <v>C820016799</v>
          </cell>
          <cell r="Q553" t="str">
            <v>Not Applicable</v>
          </cell>
          <cell r="R553" t="str">
            <v>Prius Healthcare Solution</v>
          </cell>
          <cell r="S553" t="str">
            <v>Medika Supplies</v>
          </cell>
          <cell r="T553" t="str">
            <v>Functioning</v>
          </cell>
          <cell r="U553" t="str">
            <v>Asset</v>
          </cell>
          <cell r="V553">
            <v>13470</v>
          </cell>
          <cell r="W553" t="str">
            <v>KEW</v>
          </cell>
          <cell r="X553" t="str">
            <v>01/09/2010</v>
          </cell>
          <cell r="Y553" t="str">
            <v>KEW</v>
          </cell>
          <cell r="Z553" t="str">
            <v>16/08/2013</v>
          </cell>
          <cell r="AA553" t="str">
            <v>15/08/2015</v>
          </cell>
          <cell r="AB553" t="str">
            <v>No</v>
          </cell>
          <cell r="AC553" t="str">
            <v>31/08/2013</v>
          </cell>
          <cell r="AD553" t="str">
            <v>Good</v>
          </cell>
          <cell r="AE553" t="str">
            <v>V1 - Existing / No Claim</v>
          </cell>
          <cell r="AF553">
            <v>42235</v>
          </cell>
          <cell r="AG553">
            <v>9.17</v>
          </cell>
          <cell r="AH553" t="str">
            <v>PPM</v>
          </cell>
          <cell r="AI553" t="str">
            <v>Strands</v>
          </cell>
          <cell r="AJ553" t="str">
            <v>Strands PW</v>
          </cell>
        </row>
        <row r="554">
          <cell r="A554" t="str">
            <v>IKN400072</v>
          </cell>
          <cell r="B554">
            <v>72</v>
          </cell>
          <cell r="C554" t="str">
            <v>Institut Kanser Negara</v>
          </cell>
          <cell r="D554" t="str">
            <v>KKM/IKN/H/13/859</v>
          </cell>
          <cell r="E554" t="str">
            <v>10-849</v>
          </cell>
          <cell r="F554" t="str">
            <v>Circulatory Assist Units, Venous Return</v>
          </cell>
          <cell r="G554" t="str">
            <v>IC</v>
          </cell>
          <cell r="H554" t="str">
            <v>INTENSIVE CARE UNIT</v>
          </cell>
          <cell r="I554" t="str">
            <v>05IC114</v>
          </cell>
          <cell r="J554" t="str">
            <v>ICU RM 3</v>
          </cell>
          <cell r="K554" t="str">
            <v>BMED</v>
          </cell>
          <cell r="L554" t="str">
            <v>Critical</v>
          </cell>
          <cell r="M554" t="str">
            <v>Taiwan</v>
          </cell>
          <cell r="N554" t="str">
            <v>Vena Press</v>
          </cell>
          <cell r="O554" t="str">
            <v>Vena Press IPC</v>
          </cell>
          <cell r="P554" t="str">
            <v>C820017537</v>
          </cell>
          <cell r="Q554" t="str">
            <v>Not Applicable</v>
          </cell>
          <cell r="R554" t="str">
            <v>Prius Healthcare Solution</v>
          </cell>
          <cell r="S554" t="str">
            <v>Medika Supplies</v>
          </cell>
          <cell r="T554" t="str">
            <v>Functioning</v>
          </cell>
          <cell r="U554" t="str">
            <v>Asset</v>
          </cell>
          <cell r="V554">
            <v>13470</v>
          </cell>
          <cell r="W554" t="str">
            <v>KEW</v>
          </cell>
          <cell r="X554" t="str">
            <v>01/09/2010</v>
          </cell>
          <cell r="Y554" t="str">
            <v>KEW</v>
          </cell>
          <cell r="Z554" t="str">
            <v>16/08/2013</v>
          </cell>
          <cell r="AA554" t="str">
            <v>15/08/2015</v>
          </cell>
          <cell r="AB554" t="str">
            <v>No</v>
          </cell>
          <cell r="AC554" t="str">
            <v>31/08/2013</v>
          </cell>
          <cell r="AD554" t="str">
            <v>Good</v>
          </cell>
          <cell r="AE554" t="str">
            <v>V1 - Existing / No Claim</v>
          </cell>
          <cell r="AF554">
            <v>42797</v>
          </cell>
          <cell r="AG554">
            <v>9.17</v>
          </cell>
          <cell r="AH554" t="str">
            <v>PPM</v>
          </cell>
          <cell r="AI554" t="str">
            <v>Strands</v>
          </cell>
          <cell r="AJ554" t="str">
            <v>Strands PW</v>
          </cell>
        </row>
        <row r="555">
          <cell r="A555" t="str">
            <v>IKN400073</v>
          </cell>
          <cell r="B555">
            <v>73</v>
          </cell>
          <cell r="C555" t="str">
            <v>Institut Kanser Negara</v>
          </cell>
          <cell r="D555" t="str">
            <v>KKM/IKN/H/13/860</v>
          </cell>
          <cell r="E555" t="str">
            <v>10-849</v>
          </cell>
          <cell r="F555" t="str">
            <v>Circulatory Assist Units, Venous Return</v>
          </cell>
          <cell r="G555" t="str">
            <v>IC</v>
          </cell>
          <cell r="H555" t="str">
            <v>INTENSIVE CARE UNIT</v>
          </cell>
          <cell r="I555" t="str">
            <v>05IC115</v>
          </cell>
          <cell r="J555" t="str">
            <v>ICU RM 4</v>
          </cell>
          <cell r="K555" t="str">
            <v>BMED</v>
          </cell>
          <cell r="L555" t="str">
            <v>Normal</v>
          </cell>
          <cell r="M555" t="str">
            <v>Taiwan</v>
          </cell>
          <cell r="N555" t="str">
            <v>Vena Press</v>
          </cell>
          <cell r="O555" t="str">
            <v>Vena Press IPC</v>
          </cell>
          <cell r="P555" t="str">
            <v>C820016532</v>
          </cell>
          <cell r="Q555" t="str">
            <v>Not Applicable</v>
          </cell>
          <cell r="R555" t="str">
            <v>Prius Healthcare Solution</v>
          </cell>
          <cell r="S555" t="str">
            <v>Medika Supplies</v>
          </cell>
          <cell r="T555" t="str">
            <v>Functioning</v>
          </cell>
          <cell r="U555" t="str">
            <v>Asset</v>
          </cell>
          <cell r="V555">
            <v>13470</v>
          </cell>
          <cell r="W555" t="str">
            <v>KEW</v>
          </cell>
          <cell r="X555" t="str">
            <v>01/09/2010</v>
          </cell>
          <cell r="Y555" t="str">
            <v>KEW</v>
          </cell>
          <cell r="Z555" t="str">
            <v>16/08/2013</v>
          </cell>
          <cell r="AA555" t="str">
            <v>15/08/2015</v>
          </cell>
          <cell r="AB555" t="str">
            <v>No</v>
          </cell>
          <cell r="AC555" t="str">
            <v>31/08/2013</v>
          </cell>
          <cell r="AD555" t="str">
            <v>Good</v>
          </cell>
          <cell r="AE555" t="str">
            <v>V1 - Existing / No Claim</v>
          </cell>
          <cell r="AF555">
            <v>42235</v>
          </cell>
          <cell r="AG555">
            <v>9.17</v>
          </cell>
          <cell r="AH555" t="str">
            <v>PPM</v>
          </cell>
          <cell r="AI555" t="str">
            <v>Strands</v>
          </cell>
          <cell r="AJ555" t="str">
            <v>Strands PW</v>
          </cell>
        </row>
        <row r="556">
          <cell r="A556" t="str">
            <v>IKN400074</v>
          </cell>
          <cell r="B556">
            <v>74</v>
          </cell>
          <cell r="C556" t="str">
            <v>Institut Kanser Negara</v>
          </cell>
          <cell r="D556" t="str">
            <v>KKM/IKN/H/13/862</v>
          </cell>
          <cell r="E556" t="str">
            <v>10-849</v>
          </cell>
          <cell r="F556" t="str">
            <v>Circulatory Assist Units, Venous Return</v>
          </cell>
          <cell r="G556" t="str">
            <v>IC</v>
          </cell>
          <cell r="H556" t="str">
            <v>INTENSIVE CARE UNIT</v>
          </cell>
          <cell r="I556" t="str">
            <v>05IC116</v>
          </cell>
          <cell r="J556" t="str">
            <v>ISOL 2 (+VE)</v>
          </cell>
          <cell r="K556" t="str">
            <v>BMED</v>
          </cell>
          <cell r="L556" t="str">
            <v>Normal</v>
          </cell>
          <cell r="M556" t="str">
            <v>Taiwan</v>
          </cell>
          <cell r="N556" t="str">
            <v>Vena Press</v>
          </cell>
          <cell r="O556" t="str">
            <v>Vena Press IPC</v>
          </cell>
          <cell r="P556" t="str">
            <v>C820017617</v>
          </cell>
          <cell r="Q556" t="str">
            <v>Not Applicable</v>
          </cell>
          <cell r="R556" t="str">
            <v>Prius Healthcare Solution</v>
          </cell>
          <cell r="S556" t="str">
            <v>Medika Supplies</v>
          </cell>
          <cell r="T556" t="str">
            <v>Functioning</v>
          </cell>
          <cell r="U556" t="str">
            <v>Asset</v>
          </cell>
          <cell r="V556">
            <v>13470</v>
          </cell>
          <cell r="W556" t="str">
            <v>KEW</v>
          </cell>
          <cell r="X556" t="str">
            <v>01/09/2010</v>
          </cell>
          <cell r="Y556" t="str">
            <v>KEW</v>
          </cell>
          <cell r="Z556" t="str">
            <v>16/08/2013</v>
          </cell>
          <cell r="AA556" t="str">
            <v>15/08/2015</v>
          </cell>
          <cell r="AB556" t="str">
            <v>No</v>
          </cell>
          <cell r="AC556" t="str">
            <v>31/08/2013</v>
          </cell>
          <cell r="AD556" t="str">
            <v>Good</v>
          </cell>
          <cell r="AE556" t="str">
            <v>V1 - Existing / No Claim</v>
          </cell>
          <cell r="AF556">
            <v>42235</v>
          </cell>
          <cell r="AG556">
            <v>9.17</v>
          </cell>
          <cell r="AH556" t="str">
            <v>PPM</v>
          </cell>
          <cell r="AI556" t="str">
            <v>Strands</v>
          </cell>
          <cell r="AJ556" t="str">
            <v>Strands PW</v>
          </cell>
        </row>
        <row r="557">
          <cell r="A557" t="str">
            <v>IKN400075</v>
          </cell>
          <cell r="B557">
            <v>75</v>
          </cell>
          <cell r="C557" t="str">
            <v>Institut Kanser Negara</v>
          </cell>
          <cell r="D557" t="str">
            <v>KKM/IKN/H/13/863</v>
          </cell>
          <cell r="E557" t="str">
            <v>10-849</v>
          </cell>
          <cell r="F557" t="str">
            <v>Circulatory Assist Units, Venous Return</v>
          </cell>
          <cell r="G557" t="str">
            <v>IC</v>
          </cell>
          <cell r="H557" t="str">
            <v>INTENSIVE CARE UNIT</v>
          </cell>
          <cell r="I557" t="str">
            <v>05IC129</v>
          </cell>
          <cell r="J557" t="str">
            <v>ISOL 4 (+VE)</v>
          </cell>
          <cell r="K557" t="str">
            <v>BMED</v>
          </cell>
          <cell r="L557" t="str">
            <v>Normal</v>
          </cell>
          <cell r="M557" t="str">
            <v>Taiwan</v>
          </cell>
          <cell r="N557" t="str">
            <v>Vena Press</v>
          </cell>
          <cell r="O557" t="str">
            <v>Vena Press IPC</v>
          </cell>
          <cell r="P557" t="str">
            <v>C820016529</v>
          </cell>
          <cell r="Q557" t="str">
            <v>Not Applicable</v>
          </cell>
          <cell r="R557" t="str">
            <v>Prius Healthcare Solution</v>
          </cell>
          <cell r="S557" t="str">
            <v>Medika Supplies</v>
          </cell>
          <cell r="T557" t="str">
            <v>Functioning</v>
          </cell>
          <cell r="U557" t="str">
            <v>Asset</v>
          </cell>
          <cell r="V557">
            <v>13470</v>
          </cell>
          <cell r="W557" t="str">
            <v>KEW</v>
          </cell>
          <cell r="X557" t="str">
            <v>01/09/2010</v>
          </cell>
          <cell r="Y557" t="str">
            <v>KEW</v>
          </cell>
          <cell r="Z557" t="str">
            <v>16/08/2013</v>
          </cell>
          <cell r="AA557" t="str">
            <v>15/08/2015</v>
          </cell>
          <cell r="AB557" t="str">
            <v>No</v>
          </cell>
          <cell r="AC557" t="str">
            <v>31/08/2013</v>
          </cell>
          <cell r="AD557" t="str">
            <v>Good</v>
          </cell>
          <cell r="AE557" t="str">
            <v>V1 - Existing / No Claim</v>
          </cell>
          <cell r="AF557">
            <v>42235</v>
          </cell>
          <cell r="AG557">
            <v>9.17</v>
          </cell>
          <cell r="AH557" t="str">
            <v>PPM</v>
          </cell>
          <cell r="AI557" t="str">
            <v>Strands</v>
          </cell>
          <cell r="AJ557" t="str">
            <v>Strands PW</v>
          </cell>
        </row>
        <row r="558">
          <cell r="A558" t="str">
            <v>IKN400076</v>
          </cell>
          <cell r="B558">
            <v>76</v>
          </cell>
          <cell r="C558" t="str">
            <v>Institut Kanser Negara</v>
          </cell>
          <cell r="D558" t="str">
            <v>KKM/IKN/H/13/864</v>
          </cell>
          <cell r="E558" t="str">
            <v>10-849</v>
          </cell>
          <cell r="F558" t="str">
            <v>Circulatory Assist Units, Venous Return</v>
          </cell>
          <cell r="G558" t="str">
            <v>IC</v>
          </cell>
          <cell r="H558" t="str">
            <v>INTENSIVE CARE UNIT</v>
          </cell>
          <cell r="I558" t="str">
            <v>05IC131</v>
          </cell>
          <cell r="J558" t="str">
            <v>ISOL 3 (+VE)</v>
          </cell>
          <cell r="K558" t="str">
            <v>BMED</v>
          </cell>
          <cell r="L558" t="str">
            <v>Critical</v>
          </cell>
          <cell r="M558" t="str">
            <v>Taiwan</v>
          </cell>
          <cell r="N558" t="str">
            <v>Vena Press</v>
          </cell>
          <cell r="O558" t="str">
            <v>Vena Press IPC</v>
          </cell>
          <cell r="P558" t="str">
            <v>C820017519</v>
          </cell>
          <cell r="Q558" t="str">
            <v>Not Applicable</v>
          </cell>
          <cell r="R558" t="str">
            <v>Prius Healthcare Solution</v>
          </cell>
          <cell r="S558" t="str">
            <v>Medika Supplies</v>
          </cell>
          <cell r="T558" t="str">
            <v>Functioning</v>
          </cell>
          <cell r="U558" t="str">
            <v>Asset</v>
          </cell>
          <cell r="V558">
            <v>13470</v>
          </cell>
          <cell r="W558" t="str">
            <v>KEW</v>
          </cell>
          <cell r="X558" t="str">
            <v>01/09/2010</v>
          </cell>
          <cell r="Y558" t="str">
            <v>KEW</v>
          </cell>
          <cell r="Z558" t="str">
            <v>16/08/2013</v>
          </cell>
          <cell r="AA558" t="str">
            <v>15/08/2015</v>
          </cell>
          <cell r="AB558" t="str">
            <v>No</v>
          </cell>
          <cell r="AC558" t="str">
            <v>31/08/2013</v>
          </cell>
          <cell r="AD558" t="str">
            <v>Good</v>
          </cell>
          <cell r="AE558" t="str">
            <v>V1 - Existing / No Claim</v>
          </cell>
          <cell r="AF558">
            <v>42797</v>
          </cell>
          <cell r="AG558">
            <v>9.17</v>
          </cell>
          <cell r="AH558" t="str">
            <v>PPM</v>
          </cell>
          <cell r="AI558" t="str">
            <v>Strands</v>
          </cell>
          <cell r="AJ558" t="str">
            <v>Strands PW</v>
          </cell>
        </row>
        <row r="559">
          <cell r="A559" t="str">
            <v>IKN400077</v>
          </cell>
          <cell r="B559">
            <v>77</v>
          </cell>
          <cell r="C559" t="str">
            <v>Institut Kanser Negara</v>
          </cell>
          <cell r="D559" t="str">
            <v>KKM/IKN/H/13/3475</v>
          </cell>
          <cell r="E559" t="str">
            <v>20-683</v>
          </cell>
          <cell r="F559" t="str">
            <v>Water Purification Systems, Reverse Osmosis, Hemodialysis, Portable</v>
          </cell>
          <cell r="G559" t="str">
            <v>IC</v>
          </cell>
          <cell r="H559" t="str">
            <v>INTENSIVE CARE UNIT</v>
          </cell>
          <cell r="I559" t="str">
            <v>05IC106</v>
          </cell>
          <cell r="J559" t="str">
            <v>EQ. ROOM</v>
          </cell>
          <cell r="K559" t="str">
            <v>BMED</v>
          </cell>
          <cell r="L559" t="str">
            <v>Critical</v>
          </cell>
          <cell r="M559" t="str">
            <v>Germany</v>
          </cell>
          <cell r="N559" t="str">
            <v>Aqua</v>
          </cell>
          <cell r="O559" t="str">
            <v>Aqua WTU125</v>
          </cell>
          <cell r="P559" t="str">
            <v>344S1544</v>
          </cell>
          <cell r="Q559" t="str">
            <v>Not Applicable</v>
          </cell>
          <cell r="R559" t="str">
            <v>Fresenius Kabi AG</v>
          </cell>
          <cell r="S559" t="str">
            <v>Fischer CW Medical</v>
          </cell>
          <cell r="T559" t="str">
            <v>Functioning</v>
          </cell>
          <cell r="U559" t="str">
            <v>Asset</v>
          </cell>
          <cell r="V559">
            <v>56534</v>
          </cell>
          <cell r="W559" t="str">
            <v>KEW</v>
          </cell>
          <cell r="X559" t="str">
            <v>01/09/2010</v>
          </cell>
          <cell r="Y559" t="str">
            <v>KEW</v>
          </cell>
          <cell r="Z559" t="str">
            <v>16/08/2013</v>
          </cell>
          <cell r="AA559" t="str">
            <v>15/08/2015</v>
          </cell>
          <cell r="AB559" t="str">
            <v>No</v>
          </cell>
          <cell r="AC559" t="str">
            <v>31/08/2013</v>
          </cell>
          <cell r="AD559" t="str">
            <v>Good</v>
          </cell>
          <cell r="AE559" t="str">
            <v>V1 - Existing / No Claim</v>
          </cell>
          <cell r="AF559">
            <v>42796</v>
          </cell>
          <cell r="AG559">
            <v>9.17</v>
          </cell>
          <cell r="AH559" t="str">
            <v>PPM</v>
          </cell>
          <cell r="AI559" t="str">
            <v>Strands</v>
          </cell>
          <cell r="AJ559" t="str">
            <v>Strands PW</v>
          </cell>
        </row>
        <row r="560">
          <cell r="A560" t="str">
            <v>IKN400078</v>
          </cell>
          <cell r="B560">
            <v>78</v>
          </cell>
          <cell r="C560" t="str">
            <v>Institut Kanser Negara</v>
          </cell>
          <cell r="D560" t="str">
            <v>KKM/IKN/H/13/1052</v>
          </cell>
          <cell r="E560" t="str">
            <v>10-613</v>
          </cell>
          <cell r="F560" t="str">
            <v>Cardiac Output Units</v>
          </cell>
          <cell r="G560" t="str">
            <v>IC</v>
          </cell>
          <cell r="H560" t="str">
            <v>INTENSIVE CARE UNIT</v>
          </cell>
          <cell r="I560" t="str">
            <v>05IC106</v>
          </cell>
          <cell r="J560" t="str">
            <v>EQ. ROOM</v>
          </cell>
          <cell r="K560" t="str">
            <v>BMED</v>
          </cell>
          <cell r="L560" t="str">
            <v>Normal</v>
          </cell>
          <cell r="M560" t="str">
            <v>Germany</v>
          </cell>
          <cell r="N560" t="str">
            <v>Picco</v>
          </cell>
          <cell r="O560" t="str">
            <v>Picco 2 Monitor, Pc8500</v>
          </cell>
          <cell r="P560" t="str">
            <v>A108500038</v>
          </cell>
          <cell r="Q560" t="str">
            <v>Not Applicable</v>
          </cell>
          <cell r="R560" t="str">
            <v>Pulsion</v>
          </cell>
          <cell r="S560" t="str">
            <v>Dyna Medicare</v>
          </cell>
          <cell r="T560" t="str">
            <v>Functioning</v>
          </cell>
          <cell r="U560" t="str">
            <v>Asset</v>
          </cell>
          <cell r="V560">
            <v>60000</v>
          </cell>
          <cell r="W560" t="str">
            <v>KEW</v>
          </cell>
          <cell r="X560" t="str">
            <v>01/09/2010</v>
          </cell>
          <cell r="Y560" t="str">
            <v>KEW</v>
          </cell>
          <cell r="Z560" t="str">
            <v>16/08/2013</v>
          </cell>
          <cell r="AA560" t="str">
            <v>15/08/2015</v>
          </cell>
          <cell r="AB560" t="str">
            <v>No</v>
          </cell>
          <cell r="AC560" t="str">
            <v>31/08/2013</v>
          </cell>
          <cell r="AD560" t="str">
            <v>Good</v>
          </cell>
          <cell r="AE560" t="str">
            <v>V1 - Existing / No Claim</v>
          </cell>
          <cell r="AF560">
            <v>42796</v>
          </cell>
          <cell r="AG560">
            <v>9.17</v>
          </cell>
          <cell r="AH560" t="str">
            <v>PPM</v>
          </cell>
          <cell r="AI560" t="str">
            <v>Strands</v>
          </cell>
          <cell r="AJ560" t="str">
            <v>Strands PW</v>
          </cell>
        </row>
        <row r="561">
          <cell r="A561" t="str">
            <v>IKN400079</v>
          </cell>
          <cell r="B561">
            <v>79</v>
          </cell>
          <cell r="C561" t="str">
            <v>Institut Kanser Negara</v>
          </cell>
          <cell r="D561" t="str">
            <v>KKM/IKN/H/13/954</v>
          </cell>
          <cell r="E561" t="str">
            <v>13-209</v>
          </cell>
          <cell r="F561" t="str">
            <v>Pumps, Enteral Feeding</v>
          </cell>
          <cell r="G561" t="str">
            <v>IC</v>
          </cell>
          <cell r="H561" t="str">
            <v>INTENSIVE CARE UNIT</v>
          </cell>
          <cell r="I561" t="str">
            <v>05IC111</v>
          </cell>
          <cell r="J561" t="str">
            <v>ISOL 1(-VE)</v>
          </cell>
          <cell r="K561" t="str">
            <v>BMED</v>
          </cell>
          <cell r="L561" t="str">
            <v>Normal</v>
          </cell>
          <cell r="M561" t="str">
            <v>USA</v>
          </cell>
          <cell r="N561" t="str">
            <v>Kangaroo</v>
          </cell>
          <cell r="O561" t="str">
            <v>Kangaroo ePump</v>
          </cell>
          <cell r="P561" t="str">
            <v>C1177266</v>
          </cell>
          <cell r="Q561" t="str">
            <v>Not Applicable</v>
          </cell>
          <cell r="R561" t="str">
            <v>Covidien</v>
          </cell>
          <cell r="S561" t="str">
            <v>Schmidt Biomedtech Sdn. Bhd.</v>
          </cell>
          <cell r="T561" t="str">
            <v>Functioning</v>
          </cell>
          <cell r="U561" t="str">
            <v>Asset</v>
          </cell>
          <cell r="V561">
            <v>6615</v>
          </cell>
          <cell r="W561" t="str">
            <v>KEW</v>
          </cell>
          <cell r="X561" t="str">
            <v>01/09/2010</v>
          </cell>
          <cell r="Y561" t="str">
            <v>KEW</v>
          </cell>
          <cell r="Z561" t="str">
            <v>16/08/2013</v>
          </cell>
          <cell r="AA561" t="str">
            <v>15/08/2015</v>
          </cell>
          <cell r="AB561" t="str">
            <v>No</v>
          </cell>
          <cell r="AC561" t="str">
            <v>31/08/2013</v>
          </cell>
          <cell r="AD561" t="str">
            <v>Good</v>
          </cell>
          <cell r="AE561" t="str">
            <v>V1 - Existing / No Claim</v>
          </cell>
          <cell r="AF561">
            <v>42235</v>
          </cell>
          <cell r="AG561">
            <v>9.17</v>
          </cell>
          <cell r="AH561" t="str">
            <v>PPM</v>
          </cell>
          <cell r="AI561" t="str">
            <v>Strands</v>
          </cell>
          <cell r="AJ561" t="str">
            <v>Strands PW</v>
          </cell>
        </row>
        <row r="562">
          <cell r="A562" t="str">
            <v>IKN400080</v>
          </cell>
          <cell r="B562">
            <v>80</v>
          </cell>
          <cell r="C562" t="str">
            <v>Institut Kanser Negara</v>
          </cell>
          <cell r="D562" t="str">
            <v>KKM/IKN/H/13/955</v>
          </cell>
          <cell r="E562" t="str">
            <v>13-209</v>
          </cell>
          <cell r="F562" t="str">
            <v>Pumps, Enteral Feeding</v>
          </cell>
          <cell r="G562" t="str">
            <v>IC</v>
          </cell>
          <cell r="H562" t="str">
            <v>INTENSIVE CARE UNIT</v>
          </cell>
          <cell r="I562" t="str">
            <v>05IC112</v>
          </cell>
          <cell r="J562" t="str">
            <v>ICU RM 1</v>
          </cell>
          <cell r="K562" t="str">
            <v>BMED</v>
          </cell>
          <cell r="L562" t="str">
            <v>Normal</v>
          </cell>
          <cell r="M562" t="str">
            <v>USA</v>
          </cell>
          <cell r="N562" t="str">
            <v>Kangaroo</v>
          </cell>
          <cell r="O562" t="str">
            <v>Kangaroo ePump</v>
          </cell>
          <cell r="P562" t="str">
            <v>C1166026</v>
          </cell>
          <cell r="Q562" t="str">
            <v>Not Applicable</v>
          </cell>
          <cell r="R562" t="str">
            <v>Covidien</v>
          </cell>
          <cell r="S562" t="str">
            <v>Schmidt Biomedtech Sdn. Bhd.</v>
          </cell>
          <cell r="T562" t="str">
            <v>Functioning</v>
          </cell>
          <cell r="U562" t="str">
            <v>Asset</v>
          </cell>
          <cell r="V562">
            <v>6615</v>
          </cell>
          <cell r="W562" t="str">
            <v>KEW</v>
          </cell>
          <cell r="X562" t="str">
            <v>01/09/2010</v>
          </cell>
          <cell r="Y562" t="str">
            <v>KEW</v>
          </cell>
          <cell r="Z562" t="str">
            <v>16/08/2013</v>
          </cell>
          <cell r="AA562" t="str">
            <v>15/08/2015</v>
          </cell>
          <cell r="AB562" t="str">
            <v>No</v>
          </cell>
          <cell r="AC562" t="str">
            <v>31/08/2013</v>
          </cell>
          <cell r="AD562" t="str">
            <v>Good</v>
          </cell>
          <cell r="AE562" t="str">
            <v>V1 - Existing / No Claim</v>
          </cell>
          <cell r="AF562">
            <v>42235</v>
          </cell>
          <cell r="AG562">
            <v>9.17</v>
          </cell>
          <cell r="AH562" t="str">
            <v>PPM</v>
          </cell>
          <cell r="AI562" t="str">
            <v>Strands</v>
          </cell>
          <cell r="AJ562" t="str">
            <v>Strands PW</v>
          </cell>
        </row>
        <row r="563">
          <cell r="A563" t="str">
            <v>IKN400082</v>
          </cell>
          <cell r="B563">
            <v>82</v>
          </cell>
          <cell r="C563" t="str">
            <v>Institut Kanser Negara</v>
          </cell>
          <cell r="D563" t="str">
            <v>KKM/IKN/H/13/957</v>
          </cell>
          <cell r="E563" t="str">
            <v>13-209</v>
          </cell>
          <cell r="F563" t="str">
            <v>Pumps, Enteral Feeding</v>
          </cell>
          <cell r="G563" t="str">
            <v>IC</v>
          </cell>
          <cell r="H563" t="str">
            <v>INTENSIVE CARE UNIT</v>
          </cell>
          <cell r="I563" t="str">
            <v>05IC114</v>
          </cell>
          <cell r="J563" t="str">
            <v>ICU RM 3</v>
          </cell>
          <cell r="K563" t="str">
            <v>BMED</v>
          </cell>
          <cell r="L563" t="str">
            <v>Normal</v>
          </cell>
          <cell r="M563" t="str">
            <v>USA</v>
          </cell>
          <cell r="N563" t="str">
            <v>Kangaroo</v>
          </cell>
          <cell r="O563" t="str">
            <v>Kangaroo ePump</v>
          </cell>
          <cell r="P563" t="str">
            <v>C1166063</v>
          </cell>
          <cell r="Q563" t="str">
            <v>Not Applicable</v>
          </cell>
          <cell r="R563" t="str">
            <v>Covidien</v>
          </cell>
          <cell r="S563" t="str">
            <v>Schmidt Biomedtech Sdn. Bhd.</v>
          </cell>
          <cell r="T563" t="str">
            <v>Functioning</v>
          </cell>
          <cell r="U563" t="str">
            <v>Asset</v>
          </cell>
          <cell r="V563">
            <v>6615</v>
          </cell>
          <cell r="W563" t="str">
            <v>KEW</v>
          </cell>
          <cell r="X563" t="str">
            <v>01/09/2010</v>
          </cell>
          <cell r="Y563" t="str">
            <v>KEW</v>
          </cell>
          <cell r="Z563" t="str">
            <v>16/08/2013</v>
          </cell>
          <cell r="AA563" t="str">
            <v>15/08/2015</v>
          </cell>
          <cell r="AB563" t="str">
            <v>No</v>
          </cell>
          <cell r="AC563" t="str">
            <v>31/08/2013</v>
          </cell>
          <cell r="AD563" t="str">
            <v>Good</v>
          </cell>
          <cell r="AE563" t="str">
            <v>V1 - Existing / No Claim</v>
          </cell>
          <cell r="AF563">
            <v>42235</v>
          </cell>
          <cell r="AG563">
            <v>9.17</v>
          </cell>
          <cell r="AH563" t="str">
            <v>PPM</v>
          </cell>
          <cell r="AI563" t="str">
            <v>Strands</v>
          </cell>
          <cell r="AJ563" t="str">
            <v>Strands PW</v>
          </cell>
        </row>
        <row r="564">
          <cell r="A564" t="str">
            <v>IKN400083</v>
          </cell>
          <cell r="B564">
            <v>83</v>
          </cell>
          <cell r="C564" t="str">
            <v>Institut Kanser Negara</v>
          </cell>
          <cell r="D564" t="str">
            <v>KKM/IKN/H/13/958</v>
          </cell>
          <cell r="E564" t="str">
            <v>13-209</v>
          </cell>
          <cell r="F564" t="str">
            <v>Pumps, Enteral Feeding</v>
          </cell>
          <cell r="G564" t="str">
            <v>IC</v>
          </cell>
          <cell r="H564" t="str">
            <v>INTENSIVE CARE UNIT</v>
          </cell>
          <cell r="I564" t="str">
            <v>05IC115</v>
          </cell>
          <cell r="J564" t="str">
            <v>ICU RM 4</v>
          </cell>
          <cell r="K564" t="str">
            <v>BMED</v>
          </cell>
          <cell r="L564" t="str">
            <v>Normal</v>
          </cell>
          <cell r="M564" t="str">
            <v>USA</v>
          </cell>
          <cell r="N564" t="str">
            <v>Kangaroo</v>
          </cell>
          <cell r="O564" t="str">
            <v>Kangaroo ePump</v>
          </cell>
          <cell r="P564" t="str">
            <v>C1166100</v>
          </cell>
          <cell r="Q564" t="str">
            <v>Not Applicable</v>
          </cell>
          <cell r="R564" t="str">
            <v>Covidien</v>
          </cell>
          <cell r="S564" t="str">
            <v>Schmidt Biomedtech Sdn. Bhd.</v>
          </cell>
          <cell r="T564" t="str">
            <v>Functioning</v>
          </cell>
          <cell r="U564" t="str">
            <v>Asset</v>
          </cell>
          <cell r="V564">
            <v>6615</v>
          </cell>
          <cell r="W564" t="str">
            <v>KEW</v>
          </cell>
          <cell r="X564" t="str">
            <v>01/09/2010</v>
          </cell>
          <cell r="Y564" t="str">
            <v>KEW</v>
          </cell>
          <cell r="Z564" t="str">
            <v>16/08/2013</v>
          </cell>
          <cell r="AA564" t="str">
            <v>15/08/2015</v>
          </cell>
          <cell r="AB564" t="str">
            <v>No</v>
          </cell>
          <cell r="AC564" t="str">
            <v>31/08/2013</v>
          </cell>
          <cell r="AD564" t="str">
            <v>Good</v>
          </cell>
          <cell r="AE564" t="str">
            <v>V1 - Existing / No Claim</v>
          </cell>
          <cell r="AF564">
            <v>42235</v>
          </cell>
          <cell r="AG564">
            <v>9.17</v>
          </cell>
          <cell r="AH564" t="str">
            <v>PPM</v>
          </cell>
          <cell r="AI564" t="str">
            <v>Strands</v>
          </cell>
          <cell r="AJ564" t="str">
            <v>Strands PW</v>
          </cell>
        </row>
        <row r="565">
          <cell r="A565" t="str">
            <v>IKN400084</v>
          </cell>
          <cell r="B565">
            <v>84</v>
          </cell>
          <cell r="C565" t="str">
            <v>Institut Kanser Negara</v>
          </cell>
          <cell r="D565" t="str">
            <v>KKM/IKN/H/13/959</v>
          </cell>
          <cell r="E565" t="str">
            <v>13-209</v>
          </cell>
          <cell r="F565" t="str">
            <v>Pumps, Enteral Feeding</v>
          </cell>
          <cell r="G565" t="str">
            <v>IC</v>
          </cell>
          <cell r="H565" t="str">
            <v>INTENSIVE CARE UNIT</v>
          </cell>
          <cell r="I565" t="str">
            <v>05IC116</v>
          </cell>
          <cell r="J565" t="str">
            <v>ISOL 2 (+VE)</v>
          </cell>
          <cell r="K565" t="str">
            <v>BMED</v>
          </cell>
          <cell r="L565" t="str">
            <v>Normal</v>
          </cell>
          <cell r="M565" t="str">
            <v>USA</v>
          </cell>
          <cell r="N565" t="str">
            <v>Kangaroo</v>
          </cell>
          <cell r="O565" t="str">
            <v>Kangaroo ePump</v>
          </cell>
          <cell r="P565" t="str">
            <v>C1166873</v>
          </cell>
          <cell r="Q565" t="str">
            <v>Not Applicable</v>
          </cell>
          <cell r="R565" t="str">
            <v>Covidien</v>
          </cell>
          <cell r="S565" t="str">
            <v>Schmidt Biomedtech Sdn. Bhd.</v>
          </cell>
          <cell r="T565" t="str">
            <v>Functioning</v>
          </cell>
          <cell r="U565" t="str">
            <v>Asset</v>
          </cell>
          <cell r="V565">
            <v>6615</v>
          </cell>
          <cell r="W565" t="str">
            <v>KEW</v>
          </cell>
          <cell r="X565" t="str">
            <v>01/09/2010</v>
          </cell>
          <cell r="Y565" t="str">
            <v>KEW</v>
          </cell>
          <cell r="Z565" t="str">
            <v>16/08/2013</v>
          </cell>
          <cell r="AA565" t="str">
            <v>15/08/2015</v>
          </cell>
          <cell r="AB565" t="str">
            <v>No</v>
          </cell>
          <cell r="AC565" t="str">
            <v>31/08/2013</v>
          </cell>
          <cell r="AD565" t="str">
            <v>Good</v>
          </cell>
          <cell r="AE565" t="str">
            <v>V1 - Existing / No Claim</v>
          </cell>
          <cell r="AF565">
            <v>42797</v>
          </cell>
          <cell r="AG565">
            <v>9.17</v>
          </cell>
          <cell r="AH565" t="str">
            <v>PPM</v>
          </cell>
          <cell r="AI565" t="str">
            <v>Strands</v>
          </cell>
          <cell r="AJ565" t="str">
            <v>Strands PW</v>
          </cell>
        </row>
        <row r="566">
          <cell r="A566" t="str">
            <v>IKN400085</v>
          </cell>
          <cell r="B566">
            <v>85</v>
          </cell>
          <cell r="C566" t="str">
            <v>Institut Kanser Negara</v>
          </cell>
          <cell r="D566" t="str">
            <v>KKM/IKN/H/13/960</v>
          </cell>
          <cell r="E566" t="str">
            <v>13-209</v>
          </cell>
          <cell r="F566" t="str">
            <v>Pumps, Enteral Feeding</v>
          </cell>
          <cell r="G566" t="str">
            <v>IC</v>
          </cell>
          <cell r="H566" t="str">
            <v>INTENSIVE CARE UNIT</v>
          </cell>
          <cell r="I566" t="str">
            <v>05IC129</v>
          </cell>
          <cell r="J566" t="str">
            <v>ISOL 4 (+VE)</v>
          </cell>
          <cell r="K566" t="str">
            <v>BMED</v>
          </cell>
          <cell r="L566" t="str">
            <v>Normal</v>
          </cell>
          <cell r="M566" t="str">
            <v>USA</v>
          </cell>
          <cell r="N566" t="str">
            <v>Kangaroo</v>
          </cell>
          <cell r="O566" t="str">
            <v>Kangaroo ePump</v>
          </cell>
          <cell r="P566" t="str">
            <v>C1176479</v>
          </cell>
          <cell r="Q566" t="str">
            <v>Not Applicable</v>
          </cell>
          <cell r="R566" t="str">
            <v>Covidien</v>
          </cell>
          <cell r="S566" t="str">
            <v>Schmidt Biomedtech Sdn. Bhd.</v>
          </cell>
          <cell r="T566" t="str">
            <v>Functioning</v>
          </cell>
          <cell r="U566" t="str">
            <v>Asset</v>
          </cell>
          <cell r="V566">
            <v>6615</v>
          </cell>
          <cell r="W566" t="str">
            <v>KEW</v>
          </cell>
          <cell r="X566" t="str">
            <v>01/09/2010</v>
          </cell>
          <cell r="Y566" t="str">
            <v>KEW</v>
          </cell>
          <cell r="Z566" t="str">
            <v>16/08/2013</v>
          </cell>
          <cell r="AA566" t="str">
            <v>15/08/2015</v>
          </cell>
          <cell r="AB566" t="str">
            <v>No</v>
          </cell>
          <cell r="AC566" t="str">
            <v>31/08/2013</v>
          </cell>
          <cell r="AD566" t="str">
            <v>Good</v>
          </cell>
          <cell r="AE566" t="str">
            <v>V1 - Existing / No Claim</v>
          </cell>
          <cell r="AF566">
            <v>42235</v>
          </cell>
          <cell r="AG566">
            <v>9.17</v>
          </cell>
          <cell r="AH566" t="str">
            <v>PPM</v>
          </cell>
          <cell r="AI566" t="str">
            <v>Strands</v>
          </cell>
          <cell r="AJ566" t="str">
            <v>Strands PW</v>
          </cell>
        </row>
        <row r="567">
          <cell r="A567" t="str">
            <v>IKN400086</v>
          </cell>
          <cell r="B567">
            <v>86</v>
          </cell>
          <cell r="C567" t="str">
            <v>Institut Kanser Negara</v>
          </cell>
          <cell r="D567" t="str">
            <v>KKM/IKN/H/13/1132</v>
          </cell>
          <cell r="E567" t="str">
            <v>13-209</v>
          </cell>
          <cell r="F567" t="str">
            <v>Pumps, Enteral Feeding</v>
          </cell>
          <cell r="G567" t="str">
            <v>IC</v>
          </cell>
          <cell r="H567" t="str">
            <v>INTENSIVE CARE UNIT</v>
          </cell>
          <cell r="I567" t="str">
            <v>05IC131</v>
          </cell>
          <cell r="J567" t="str">
            <v>ISOL 3 (+VE)</v>
          </cell>
          <cell r="K567" t="str">
            <v>BMED</v>
          </cell>
          <cell r="L567" t="str">
            <v>Normal</v>
          </cell>
          <cell r="M567" t="str">
            <v>USA</v>
          </cell>
          <cell r="N567" t="str">
            <v>Kangaroo</v>
          </cell>
          <cell r="O567" t="str">
            <v>Kangaroo ePump</v>
          </cell>
          <cell r="P567" t="str">
            <v>C1176494</v>
          </cell>
          <cell r="Q567" t="str">
            <v>Not Applicable</v>
          </cell>
          <cell r="R567" t="str">
            <v>Covidien</v>
          </cell>
          <cell r="S567" t="str">
            <v>Schmidt Biomedtech Sdn. Bhd.</v>
          </cell>
          <cell r="T567" t="str">
            <v>Functioning</v>
          </cell>
          <cell r="U567" t="str">
            <v>Asset</v>
          </cell>
          <cell r="V567">
            <v>6615</v>
          </cell>
          <cell r="W567" t="str">
            <v>KEW</v>
          </cell>
          <cell r="X567" t="str">
            <v>01/09/2010</v>
          </cell>
          <cell r="Y567" t="str">
            <v>KEW</v>
          </cell>
          <cell r="Z567" t="str">
            <v>16/08/2013</v>
          </cell>
          <cell r="AA567" t="str">
            <v>15/08/2015</v>
          </cell>
          <cell r="AB567" t="str">
            <v>No</v>
          </cell>
          <cell r="AC567" t="str">
            <v>31/08/2013</v>
          </cell>
          <cell r="AD567" t="str">
            <v>Good</v>
          </cell>
          <cell r="AE567" t="str">
            <v>V1 - Existing / No Claim</v>
          </cell>
          <cell r="AF567">
            <v>42797</v>
          </cell>
          <cell r="AG567">
            <v>9.17</v>
          </cell>
          <cell r="AH567" t="str">
            <v>PPM</v>
          </cell>
          <cell r="AI567" t="str">
            <v>Strands</v>
          </cell>
          <cell r="AJ567" t="str">
            <v>Strands PW</v>
          </cell>
        </row>
        <row r="568">
          <cell r="A568" t="str">
            <v>IKN400087</v>
          </cell>
          <cell r="B568">
            <v>87</v>
          </cell>
          <cell r="C568" t="str">
            <v>Institut Kanser Negara</v>
          </cell>
          <cell r="D568" t="str">
            <v>KKM/IKN/H/13/961</v>
          </cell>
          <cell r="E568" t="str">
            <v>13-217</v>
          </cell>
          <cell r="F568" t="str">
            <v>Infusion Pumps, Syringe</v>
          </cell>
          <cell r="G568" t="str">
            <v>IC</v>
          </cell>
          <cell r="H568" t="str">
            <v>INTENSIVE CARE UNIT</v>
          </cell>
          <cell r="I568" t="str">
            <v>05IC111</v>
          </cell>
          <cell r="J568" t="str">
            <v>ISOL 1(-VE)</v>
          </cell>
          <cell r="K568" t="str">
            <v>BMED</v>
          </cell>
          <cell r="L568" t="str">
            <v>Normal</v>
          </cell>
          <cell r="M568" t="str">
            <v>Germany</v>
          </cell>
          <cell r="N568" t="str">
            <v>Perfusor</v>
          </cell>
          <cell r="O568" t="str">
            <v>Perfusor Space</v>
          </cell>
          <cell r="P568" t="str">
            <v>143291</v>
          </cell>
          <cell r="Q568" t="str">
            <v>Not Applicable</v>
          </cell>
          <cell r="R568" t="str">
            <v>B Braun Melsungen AG</v>
          </cell>
          <cell r="S568" t="str">
            <v>B Braun Medical Supplies Sdn. Bhd.</v>
          </cell>
          <cell r="T568" t="str">
            <v>Functioning</v>
          </cell>
          <cell r="U568" t="str">
            <v>Asset</v>
          </cell>
          <cell r="V568">
            <v>10225</v>
          </cell>
          <cell r="W568" t="str">
            <v>KEW</v>
          </cell>
          <cell r="X568" t="str">
            <v>01/09/2010</v>
          </cell>
          <cell r="Y568" t="str">
            <v>KEW</v>
          </cell>
          <cell r="Z568" t="str">
            <v>16/08/2013</v>
          </cell>
          <cell r="AA568" t="str">
            <v>15/08/2015</v>
          </cell>
          <cell r="AB568" t="str">
            <v>No</v>
          </cell>
          <cell r="AC568" t="str">
            <v>31/08/2013</v>
          </cell>
          <cell r="AD568" t="str">
            <v>Good</v>
          </cell>
          <cell r="AE568" t="str">
            <v>V1 - Existing / No Claim</v>
          </cell>
          <cell r="AF568">
            <v>42235</v>
          </cell>
          <cell r="AG568">
            <v>9.17</v>
          </cell>
          <cell r="AH568" t="str">
            <v>PPM</v>
          </cell>
          <cell r="AI568" t="str">
            <v>Strands</v>
          </cell>
          <cell r="AJ568" t="str">
            <v>Strands PW</v>
          </cell>
        </row>
        <row r="569">
          <cell r="A569" t="str">
            <v>IKN400088</v>
          </cell>
          <cell r="B569">
            <v>88</v>
          </cell>
          <cell r="C569" t="str">
            <v>Institut Kanser Negara</v>
          </cell>
          <cell r="D569" t="str">
            <v>KKM/IKN/H/13/962</v>
          </cell>
          <cell r="E569" t="str">
            <v>13-217</v>
          </cell>
          <cell r="F569" t="str">
            <v>Infusion Pumps, Syringe</v>
          </cell>
          <cell r="G569" t="str">
            <v>IC</v>
          </cell>
          <cell r="H569" t="str">
            <v>INTENSIVE CARE UNIT</v>
          </cell>
          <cell r="I569" t="str">
            <v>05IC111</v>
          </cell>
          <cell r="J569" t="str">
            <v>ISOL 1(-VE)</v>
          </cell>
          <cell r="K569" t="str">
            <v>BMED</v>
          </cell>
          <cell r="L569" t="str">
            <v>Normal</v>
          </cell>
          <cell r="M569" t="str">
            <v>Germany</v>
          </cell>
          <cell r="N569" t="str">
            <v>Perfusor</v>
          </cell>
          <cell r="O569" t="str">
            <v>Perfusor Space</v>
          </cell>
          <cell r="P569" t="str">
            <v>186992</v>
          </cell>
          <cell r="Q569" t="str">
            <v>Not Applicable</v>
          </cell>
          <cell r="R569" t="str">
            <v>B Braun Melsungen AG</v>
          </cell>
          <cell r="S569" t="str">
            <v>B Braun Medical Supplies Sdn. Bhd.</v>
          </cell>
          <cell r="T569" t="str">
            <v>Functioning</v>
          </cell>
          <cell r="U569" t="str">
            <v>Asset</v>
          </cell>
          <cell r="V569">
            <v>10225</v>
          </cell>
          <cell r="W569" t="str">
            <v>KEW</v>
          </cell>
          <cell r="X569" t="str">
            <v>01/09/2010</v>
          </cell>
          <cell r="Y569" t="str">
            <v>KEW</v>
          </cell>
          <cell r="Z569" t="str">
            <v>16/08/2013</v>
          </cell>
          <cell r="AA569" t="str">
            <v>15/08/2015</v>
          </cell>
          <cell r="AB569" t="str">
            <v>No</v>
          </cell>
          <cell r="AC569" t="str">
            <v>31/08/2013</v>
          </cell>
          <cell r="AD569" t="str">
            <v>Good</v>
          </cell>
          <cell r="AE569" t="str">
            <v>V1 - Existing / No Claim</v>
          </cell>
          <cell r="AF569">
            <v>42235</v>
          </cell>
          <cell r="AG569">
            <v>9.17</v>
          </cell>
          <cell r="AH569" t="str">
            <v>PPM</v>
          </cell>
          <cell r="AI569" t="str">
            <v>Strands</v>
          </cell>
          <cell r="AJ569" t="str">
            <v>Strands PW</v>
          </cell>
        </row>
        <row r="570">
          <cell r="A570" t="str">
            <v>IKN400089</v>
          </cell>
          <cell r="B570">
            <v>89</v>
          </cell>
          <cell r="C570" t="str">
            <v>Institut Kanser Negara</v>
          </cell>
          <cell r="D570" t="str">
            <v>KKM/IKN/H/13/963</v>
          </cell>
          <cell r="E570" t="str">
            <v>13-217</v>
          </cell>
          <cell r="F570" t="str">
            <v>Infusion Pumps, Syringe</v>
          </cell>
          <cell r="G570" t="str">
            <v>IC</v>
          </cell>
          <cell r="H570" t="str">
            <v>INTENSIVE CARE UNIT</v>
          </cell>
          <cell r="I570" t="str">
            <v>05IC111</v>
          </cell>
          <cell r="J570" t="str">
            <v>ISOL 1(-VE)</v>
          </cell>
          <cell r="K570" t="str">
            <v>BMED</v>
          </cell>
          <cell r="L570" t="str">
            <v>Normal</v>
          </cell>
          <cell r="M570" t="str">
            <v>Germany</v>
          </cell>
          <cell r="N570" t="str">
            <v>Perfusor</v>
          </cell>
          <cell r="O570" t="str">
            <v>Perfusor Space</v>
          </cell>
          <cell r="P570" t="str">
            <v>186990</v>
          </cell>
          <cell r="Q570" t="str">
            <v>Not Applicable</v>
          </cell>
          <cell r="R570" t="str">
            <v>B Braun Melsungen AG</v>
          </cell>
          <cell r="S570" t="str">
            <v>B Braun Medical Supplies Sdn. Bhd.</v>
          </cell>
          <cell r="T570" t="str">
            <v>Functioning</v>
          </cell>
          <cell r="U570" t="str">
            <v>Asset</v>
          </cell>
          <cell r="V570">
            <v>10225</v>
          </cell>
          <cell r="W570" t="str">
            <v>KEW</v>
          </cell>
          <cell r="X570" t="str">
            <v>01/09/2010</v>
          </cell>
          <cell r="Y570" t="str">
            <v>KEW</v>
          </cell>
          <cell r="Z570" t="str">
            <v>16/08/2013</v>
          </cell>
          <cell r="AA570" t="str">
            <v>15/08/2015</v>
          </cell>
          <cell r="AB570" t="str">
            <v>No</v>
          </cell>
          <cell r="AC570" t="str">
            <v>31/08/2013</v>
          </cell>
          <cell r="AD570" t="str">
            <v>Good</v>
          </cell>
          <cell r="AE570" t="str">
            <v>V1 - Existing / No Claim</v>
          </cell>
          <cell r="AF570">
            <v>42235</v>
          </cell>
          <cell r="AG570">
            <v>9.17</v>
          </cell>
          <cell r="AH570" t="str">
            <v>PPM</v>
          </cell>
          <cell r="AI570" t="str">
            <v>Strands</v>
          </cell>
          <cell r="AJ570" t="str">
            <v>Strands PW</v>
          </cell>
        </row>
        <row r="571">
          <cell r="A571" t="str">
            <v>IKN400090</v>
          </cell>
          <cell r="B571">
            <v>90</v>
          </cell>
          <cell r="C571" t="str">
            <v>Institut Kanser Negara</v>
          </cell>
          <cell r="D571" t="str">
            <v>KKM/IKN/H/13/964</v>
          </cell>
          <cell r="E571" t="str">
            <v>13-217</v>
          </cell>
          <cell r="F571" t="str">
            <v>Infusion Pumps, Syringe</v>
          </cell>
          <cell r="G571" t="str">
            <v>IC</v>
          </cell>
          <cell r="H571" t="str">
            <v>INTENSIVE CARE UNIT</v>
          </cell>
          <cell r="I571" t="str">
            <v>05IC111</v>
          </cell>
          <cell r="J571" t="str">
            <v>ISOL 1(-VE)</v>
          </cell>
          <cell r="K571" t="str">
            <v>BMED</v>
          </cell>
          <cell r="L571" t="str">
            <v>Normal</v>
          </cell>
          <cell r="M571" t="str">
            <v>Germany</v>
          </cell>
          <cell r="N571" t="str">
            <v>Perfusor</v>
          </cell>
          <cell r="O571" t="str">
            <v>Perfusor Space</v>
          </cell>
          <cell r="P571" t="str">
            <v>187023</v>
          </cell>
          <cell r="Q571" t="str">
            <v>Not Applicable</v>
          </cell>
          <cell r="R571" t="str">
            <v>B Braun Melsungen AG</v>
          </cell>
          <cell r="S571" t="str">
            <v>B Braun Medical Supplies Sdn. Bhd.</v>
          </cell>
          <cell r="T571" t="str">
            <v>Functioning</v>
          </cell>
          <cell r="U571" t="str">
            <v>Asset</v>
          </cell>
          <cell r="V571">
            <v>10225</v>
          </cell>
          <cell r="W571" t="str">
            <v>KEW</v>
          </cell>
          <cell r="X571" t="str">
            <v>01/09/2010</v>
          </cell>
          <cell r="Y571" t="str">
            <v>KEW</v>
          </cell>
          <cell r="Z571" t="str">
            <v>16/08/2013</v>
          </cell>
          <cell r="AA571" t="str">
            <v>15/08/2015</v>
          </cell>
          <cell r="AB571" t="str">
            <v>No</v>
          </cell>
          <cell r="AC571" t="str">
            <v>31/08/2013</v>
          </cell>
          <cell r="AD571" t="str">
            <v>Good</v>
          </cell>
          <cell r="AE571" t="str">
            <v>V1 - Existing / No Claim</v>
          </cell>
          <cell r="AF571">
            <v>42235</v>
          </cell>
          <cell r="AG571">
            <v>9.17</v>
          </cell>
          <cell r="AH571" t="str">
            <v>PPM</v>
          </cell>
          <cell r="AI571" t="str">
            <v>Strands</v>
          </cell>
          <cell r="AJ571" t="str">
            <v>Strands PW</v>
          </cell>
        </row>
        <row r="572">
          <cell r="A572" t="str">
            <v>IKN400091</v>
          </cell>
          <cell r="B572">
            <v>91</v>
          </cell>
          <cell r="C572" t="str">
            <v>Institut Kanser Negara</v>
          </cell>
          <cell r="D572" t="str">
            <v>KKM/IKN/H/13/2054</v>
          </cell>
          <cell r="E572" t="str">
            <v>13-217</v>
          </cell>
          <cell r="F572" t="str">
            <v>Infusion Pumps, Syringe</v>
          </cell>
          <cell r="G572" t="str">
            <v>IC</v>
          </cell>
          <cell r="H572" t="str">
            <v>INTENSIVE CARE UNIT</v>
          </cell>
          <cell r="I572" t="str">
            <v>05IC111</v>
          </cell>
          <cell r="J572" t="str">
            <v>ISOL 1(-VE)</v>
          </cell>
          <cell r="K572" t="str">
            <v>BMED</v>
          </cell>
          <cell r="L572" t="str">
            <v>Normal</v>
          </cell>
          <cell r="M572" t="str">
            <v>Germany</v>
          </cell>
          <cell r="N572" t="str">
            <v>Perfusor</v>
          </cell>
          <cell r="O572" t="str">
            <v>Perfusor Space</v>
          </cell>
          <cell r="P572" t="str">
            <v>186985</v>
          </cell>
          <cell r="Q572" t="str">
            <v>Not Applicable</v>
          </cell>
          <cell r="R572" t="str">
            <v>B Braun Melsungen AG</v>
          </cell>
          <cell r="S572" t="str">
            <v>B Braun Medical Supplies Sdn. Bhd.</v>
          </cell>
          <cell r="T572" t="str">
            <v>Functioning</v>
          </cell>
          <cell r="U572" t="str">
            <v>Asset</v>
          </cell>
          <cell r="V572">
            <v>10225</v>
          </cell>
          <cell r="W572" t="str">
            <v>KEW</v>
          </cell>
          <cell r="X572" t="str">
            <v>01/09/2010</v>
          </cell>
          <cell r="Y572" t="str">
            <v>KEW</v>
          </cell>
          <cell r="Z572" t="str">
            <v>16/08/2013</v>
          </cell>
          <cell r="AA572" t="str">
            <v>15/08/2015</v>
          </cell>
          <cell r="AB572" t="str">
            <v>No</v>
          </cell>
          <cell r="AC572" t="str">
            <v>31/08/2013</v>
          </cell>
          <cell r="AD572" t="str">
            <v>Good</v>
          </cell>
          <cell r="AE572" t="str">
            <v>V1 - Existing / No Claim</v>
          </cell>
          <cell r="AF572">
            <v>42235</v>
          </cell>
          <cell r="AG572">
            <v>9.17</v>
          </cell>
          <cell r="AH572" t="str">
            <v>PPM</v>
          </cell>
          <cell r="AI572" t="str">
            <v>Strands</v>
          </cell>
          <cell r="AJ572" t="str">
            <v>Strands PW</v>
          </cell>
        </row>
        <row r="573">
          <cell r="A573" t="str">
            <v>IKN400092</v>
          </cell>
          <cell r="B573">
            <v>92</v>
          </cell>
          <cell r="C573" t="str">
            <v>Institut Kanser Negara</v>
          </cell>
          <cell r="D573" t="str">
            <v>KKM/IKN/H/13/965</v>
          </cell>
          <cell r="E573" t="str">
            <v>13-217</v>
          </cell>
          <cell r="F573" t="str">
            <v>Infusion Pumps, Syringe</v>
          </cell>
          <cell r="G573" t="str">
            <v>IC</v>
          </cell>
          <cell r="H573" t="str">
            <v>INTENSIVE CARE UNIT</v>
          </cell>
          <cell r="I573" t="str">
            <v>05IC111</v>
          </cell>
          <cell r="J573" t="str">
            <v>ISOL 1(-VE)</v>
          </cell>
          <cell r="K573" t="str">
            <v>BMED</v>
          </cell>
          <cell r="L573" t="str">
            <v>Normal</v>
          </cell>
          <cell r="M573" t="str">
            <v>Germany</v>
          </cell>
          <cell r="N573" t="str">
            <v>Perfusor</v>
          </cell>
          <cell r="O573" t="str">
            <v>Perfusor Space</v>
          </cell>
          <cell r="P573" t="str">
            <v>187048</v>
          </cell>
          <cell r="Q573" t="str">
            <v>Not Applicable</v>
          </cell>
          <cell r="R573" t="str">
            <v>B Braun Melsungen AG</v>
          </cell>
          <cell r="S573" t="str">
            <v>B Braun Medical Supplies Sdn. Bhd.</v>
          </cell>
          <cell r="T573" t="str">
            <v>Functioning</v>
          </cell>
          <cell r="U573" t="str">
            <v>Asset</v>
          </cell>
          <cell r="V573">
            <v>10225</v>
          </cell>
          <cell r="W573" t="str">
            <v>KEW</v>
          </cell>
          <cell r="X573" t="str">
            <v>01/09/2010</v>
          </cell>
          <cell r="Y573" t="str">
            <v>KEW</v>
          </cell>
          <cell r="Z573" t="str">
            <v>16/08/2013</v>
          </cell>
          <cell r="AA573" t="str">
            <v>15/08/2015</v>
          </cell>
          <cell r="AB573" t="str">
            <v>No</v>
          </cell>
          <cell r="AC573" t="str">
            <v>31/08/2013</v>
          </cell>
          <cell r="AD573" t="str">
            <v>Good</v>
          </cell>
          <cell r="AE573" t="str">
            <v>V1 - Existing / No Claim</v>
          </cell>
          <cell r="AF573">
            <v>42235</v>
          </cell>
          <cell r="AG573">
            <v>9.17</v>
          </cell>
          <cell r="AH573" t="str">
            <v>PPM</v>
          </cell>
          <cell r="AI573" t="str">
            <v>Strands</v>
          </cell>
          <cell r="AJ573" t="str">
            <v>Strands PW</v>
          </cell>
        </row>
        <row r="574">
          <cell r="A574" t="str">
            <v>IKN400093</v>
          </cell>
          <cell r="B574">
            <v>93</v>
          </cell>
          <cell r="C574" t="str">
            <v>Institut Kanser Negara</v>
          </cell>
          <cell r="D574" t="str">
            <v>KKM/IKN/H/13/966</v>
          </cell>
          <cell r="E574" t="str">
            <v>13-217</v>
          </cell>
          <cell r="F574" t="str">
            <v>Infusion Pumps, Syringe</v>
          </cell>
          <cell r="G574" t="str">
            <v>IC</v>
          </cell>
          <cell r="H574" t="str">
            <v>INTENSIVE CARE UNIT</v>
          </cell>
          <cell r="I574" t="str">
            <v>05IC112</v>
          </cell>
          <cell r="J574" t="str">
            <v>ICU RM 1</v>
          </cell>
          <cell r="K574" t="str">
            <v>BMED</v>
          </cell>
          <cell r="L574" t="str">
            <v>Normal</v>
          </cell>
          <cell r="M574" t="str">
            <v>Germany</v>
          </cell>
          <cell r="N574" t="str">
            <v>Perfusor</v>
          </cell>
          <cell r="O574" t="str">
            <v>Perfusor Space</v>
          </cell>
          <cell r="P574" t="str">
            <v>143224</v>
          </cell>
          <cell r="Q574" t="str">
            <v>Not Applicable</v>
          </cell>
          <cell r="R574" t="str">
            <v>B Braun Melsungen AG</v>
          </cell>
          <cell r="S574" t="str">
            <v>B Braun Medical Supplies Sdn. Bhd.</v>
          </cell>
          <cell r="T574" t="str">
            <v>Functioning</v>
          </cell>
          <cell r="U574" t="str">
            <v>Asset</v>
          </cell>
          <cell r="V574">
            <v>10225</v>
          </cell>
          <cell r="W574" t="str">
            <v>KEW</v>
          </cell>
          <cell r="X574" t="str">
            <v>01/09/2010</v>
          </cell>
          <cell r="Y574" t="str">
            <v>KEW</v>
          </cell>
          <cell r="Z574" t="str">
            <v>16/08/2013</v>
          </cell>
          <cell r="AA574" t="str">
            <v>15/08/2015</v>
          </cell>
          <cell r="AB574" t="str">
            <v>No</v>
          </cell>
          <cell r="AC574" t="str">
            <v>31/08/2013</v>
          </cell>
          <cell r="AD574" t="str">
            <v>Good</v>
          </cell>
          <cell r="AE574" t="str">
            <v>V1 - Existing / No Claim</v>
          </cell>
          <cell r="AF574">
            <v>42235</v>
          </cell>
          <cell r="AG574">
            <v>9.17</v>
          </cell>
          <cell r="AH574" t="str">
            <v>PPM</v>
          </cell>
          <cell r="AI574" t="str">
            <v>Strands</v>
          </cell>
          <cell r="AJ574" t="str">
            <v>Strands PW</v>
          </cell>
        </row>
        <row r="575">
          <cell r="A575" t="str">
            <v>IKN400094</v>
          </cell>
          <cell r="B575">
            <v>94</v>
          </cell>
          <cell r="C575" t="str">
            <v>Institut Kanser Negara</v>
          </cell>
          <cell r="D575" t="str">
            <v>KKM/IKN/H/13/1189</v>
          </cell>
          <cell r="E575" t="str">
            <v>13-217</v>
          </cell>
          <cell r="F575" t="str">
            <v>Infusion Pumps, Syringe</v>
          </cell>
          <cell r="G575" t="str">
            <v>IC</v>
          </cell>
          <cell r="H575" t="str">
            <v>INTENSIVE CARE UNIT</v>
          </cell>
          <cell r="I575" t="str">
            <v>05IC112</v>
          </cell>
          <cell r="J575" t="str">
            <v>ICU RM 1</v>
          </cell>
          <cell r="K575" t="str">
            <v>BMED</v>
          </cell>
          <cell r="L575" t="str">
            <v>Normal</v>
          </cell>
          <cell r="M575" t="str">
            <v>Germany</v>
          </cell>
          <cell r="N575" t="str">
            <v>Perfusor</v>
          </cell>
          <cell r="O575" t="str">
            <v>Perfusor Space</v>
          </cell>
          <cell r="P575" t="str">
            <v>143326</v>
          </cell>
          <cell r="Q575" t="str">
            <v>Not Applicable</v>
          </cell>
          <cell r="R575" t="str">
            <v>B Braun Melsungen AG</v>
          </cell>
          <cell r="S575" t="str">
            <v>B Braun Medical Supplies Sdn. Bhd.</v>
          </cell>
          <cell r="T575" t="str">
            <v>Functioning</v>
          </cell>
          <cell r="U575" t="str">
            <v>Asset</v>
          </cell>
          <cell r="V575">
            <v>10225</v>
          </cell>
          <cell r="W575" t="str">
            <v>KEW</v>
          </cell>
          <cell r="X575" t="str">
            <v>01/09/2010</v>
          </cell>
          <cell r="Y575" t="str">
            <v>KEW</v>
          </cell>
          <cell r="Z575" t="str">
            <v>16/08/2013</v>
          </cell>
          <cell r="AA575" t="str">
            <v>15/08/2015</v>
          </cell>
          <cell r="AB575" t="str">
            <v>No</v>
          </cell>
          <cell r="AC575" t="str">
            <v>31/08/2013</v>
          </cell>
          <cell r="AD575" t="str">
            <v>Good</v>
          </cell>
          <cell r="AE575" t="str">
            <v>V1 - Existing / No Claim</v>
          </cell>
          <cell r="AF575">
            <v>42235</v>
          </cell>
          <cell r="AG575">
            <v>9.17</v>
          </cell>
          <cell r="AH575" t="str">
            <v>PPM</v>
          </cell>
          <cell r="AI575" t="str">
            <v>Strands</v>
          </cell>
          <cell r="AJ575" t="str">
            <v>Strands PW SET A</v>
          </cell>
          <cell r="AK575" t="str">
            <v>CUBA CHECK IKN401165 PUNYA KEWPA</v>
          </cell>
        </row>
        <row r="576">
          <cell r="A576" t="str">
            <v>IKN400095</v>
          </cell>
          <cell r="B576">
            <v>95</v>
          </cell>
          <cell r="C576" t="str">
            <v>Institut Kanser Negara</v>
          </cell>
          <cell r="D576" t="str">
            <v>KKM/IKN/H/13/967</v>
          </cell>
          <cell r="E576" t="str">
            <v>13-217</v>
          </cell>
          <cell r="F576" t="str">
            <v>Infusion Pumps, Syringe</v>
          </cell>
          <cell r="G576" t="str">
            <v>IC</v>
          </cell>
          <cell r="H576" t="str">
            <v>INTENSIVE CARE UNIT</v>
          </cell>
          <cell r="I576" t="str">
            <v>05IC112</v>
          </cell>
          <cell r="J576" t="str">
            <v>ICU RM 1</v>
          </cell>
          <cell r="K576" t="str">
            <v>BMED</v>
          </cell>
          <cell r="L576" t="str">
            <v>Normal</v>
          </cell>
          <cell r="M576" t="str">
            <v>Germany</v>
          </cell>
          <cell r="N576" t="str">
            <v>Perfusor</v>
          </cell>
          <cell r="O576" t="str">
            <v>Perfusor Space</v>
          </cell>
          <cell r="P576" t="str">
            <v>186593</v>
          </cell>
          <cell r="Q576" t="str">
            <v>Not Applicable</v>
          </cell>
          <cell r="R576" t="str">
            <v>B Braun Melsungen AG</v>
          </cell>
          <cell r="S576" t="str">
            <v>B Braun Medical Supplies Sdn. Bhd.</v>
          </cell>
          <cell r="T576" t="str">
            <v>Functioning</v>
          </cell>
          <cell r="U576" t="str">
            <v>Asset</v>
          </cell>
          <cell r="V576">
            <v>10225</v>
          </cell>
          <cell r="W576" t="str">
            <v>KEW</v>
          </cell>
          <cell r="X576" t="str">
            <v>01/09/2010</v>
          </cell>
          <cell r="Y576" t="str">
            <v>KEW</v>
          </cell>
          <cell r="Z576" t="str">
            <v>16/08/2013</v>
          </cell>
          <cell r="AA576" t="str">
            <v>15/08/2015</v>
          </cell>
          <cell r="AB576" t="str">
            <v>No</v>
          </cell>
          <cell r="AC576" t="str">
            <v>31/08/2013</v>
          </cell>
          <cell r="AD576" t="str">
            <v>Good</v>
          </cell>
          <cell r="AE576" t="str">
            <v>V1 - Existing / No Claim</v>
          </cell>
          <cell r="AF576">
            <v>42235</v>
          </cell>
          <cell r="AG576">
            <v>9.17</v>
          </cell>
          <cell r="AH576" t="str">
            <v>PPM</v>
          </cell>
          <cell r="AI576" t="str">
            <v>Strands</v>
          </cell>
          <cell r="AJ576" t="str">
            <v>Strands PW</v>
          </cell>
        </row>
        <row r="577">
          <cell r="A577" t="str">
            <v>IKN400096</v>
          </cell>
          <cell r="B577">
            <v>96</v>
          </cell>
          <cell r="C577" t="str">
            <v>Institut Kanser Negara</v>
          </cell>
          <cell r="D577" t="str">
            <v>KKM/IKN/H/13/968</v>
          </cell>
          <cell r="E577" t="str">
            <v>13-217</v>
          </cell>
          <cell r="F577" t="str">
            <v>Infusion Pumps, Syringe</v>
          </cell>
          <cell r="G577" t="str">
            <v>IC</v>
          </cell>
          <cell r="H577" t="str">
            <v>INTENSIVE CARE UNIT</v>
          </cell>
          <cell r="I577" t="str">
            <v>05IC112</v>
          </cell>
          <cell r="J577" t="str">
            <v>ICU RM 1</v>
          </cell>
          <cell r="K577" t="str">
            <v>BMED</v>
          </cell>
          <cell r="L577" t="str">
            <v>Normal</v>
          </cell>
          <cell r="M577" t="str">
            <v>Germany</v>
          </cell>
          <cell r="N577" t="str">
            <v>Perfusor</v>
          </cell>
          <cell r="O577" t="str">
            <v>Perfusor Space</v>
          </cell>
          <cell r="P577" t="str">
            <v>186973</v>
          </cell>
          <cell r="Q577" t="str">
            <v>Not Applicable</v>
          </cell>
          <cell r="R577" t="str">
            <v>B Braun Melsungen AG</v>
          </cell>
          <cell r="S577" t="str">
            <v>B Braun Medical Supplies Sdn. Bhd.</v>
          </cell>
          <cell r="T577" t="str">
            <v>Functioning</v>
          </cell>
          <cell r="U577" t="str">
            <v>Asset</v>
          </cell>
          <cell r="V577">
            <v>10225</v>
          </cell>
          <cell r="W577" t="str">
            <v>KEW</v>
          </cell>
          <cell r="X577" t="str">
            <v>01/09/2010</v>
          </cell>
          <cell r="Y577" t="str">
            <v>KEW</v>
          </cell>
          <cell r="Z577" t="str">
            <v>16/08/2013</v>
          </cell>
          <cell r="AA577" t="str">
            <v>15/08/2015</v>
          </cell>
          <cell r="AB577" t="str">
            <v>No</v>
          </cell>
          <cell r="AC577" t="str">
            <v>31/08/2013</v>
          </cell>
          <cell r="AD577" t="str">
            <v>Good</v>
          </cell>
          <cell r="AE577" t="str">
            <v>V1 - Existing / No Claim</v>
          </cell>
          <cell r="AF577">
            <v>42235</v>
          </cell>
          <cell r="AG577">
            <v>9.17</v>
          </cell>
          <cell r="AH577" t="str">
            <v>PPM</v>
          </cell>
          <cell r="AI577" t="str">
            <v>Strands</v>
          </cell>
          <cell r="AJ577" t="str">
            <v>Strands PW</v>
          </cell>
        </row>
        <row r="578">
          <cell r="A578" t="str">
            <v>IKN400097</v>
          </cell>
          <cell r="B578">
            <v>97</v>
          </cell>
          <cell r="C578" t="str">
            <v>Institut Kanser Negara</v>
          </cell>
          <cell r="D578" t="str">
            <v>KKM/IKN/H/13/969</v>
          </cell>
          <cell r="E578" t="str">
            <v>13-217</v>
          </cell>
          <cell r="F578" t="str">
            <v>Infusion Pumps, Syringe</v>
          </cell>
          <cell r="G578" t="str">
            <v>IC</v>
          </cell>
          <cell r="H578" t="str">
            <v>INTENSIVE CARE UNIT</v>
          </cell>
          <cell r="I578" t="str">
            <v>05IC112</v>
          </cell>
          <cell r="J578" t="str">
            <v>ICU RM 1</v>
          </cell>
          <cell r="K578" t="str">
            <v>BMED</v>
          </cell>
          <cell r="L578" t="str">
            <v>Normal</v>
          </cell>
          <cell r="M578" t="str">
            <v>Germany</v>
          </cell>
          <cell r="N578" t="str">
            <v>Perfusor</v>
          </cell>
          <cell r="O578" t="str">
            <v>Perfusor Space</v>
          </cell>
          <cell r="P578" t="str">
            <v>187025</v>
          </cell>
          <cell r="Q578" t="str">
            <v>Not Applicable</v>
          </cell>
          <cell r="R578" t="str">
            <v>B Braun Melsungen AG</v>
          </cell>
          <cell r="S578" t="str">
            <v>B Braun Medical Supplies Sdn. Bhd.</v>
          </cell>
          <cell r="T578" t="str">
            <v>Functioning</v>
          </cell>
          <cell r="U578" t="str">
            <v>Asset</v>
          </cell>
          <cell r="V578">
            <v>10225</v>
          </cell>
          <cell r="W578" t="str">
            <v>KEW</v>
          </cell>
          <cell r="X578" t="str">
            <v>01/09/2010</v>
          </cell>
          <cell r="Y578" t="str">
            <v>KEW</v>
          </cell>
          <cell r="Z578" t="str">
            <v>16/08/2013</v>
          </cell>
          <cell r="AA578" t="str">
            <v>15/08/2015</v>
          </cell>
          <cell r="AB578" t="str">
            <v>No</v>
          </cell>
          <cell r="AC578" t="str">
            <v>31/08/2013</v>
          </cell>
          <cell r="AD578" t="str">
            <v>Good</v>
          </cell>
          <cell r="AE578" t="str">
            <v>V1 - Existing / No Claim</v>
          </cell>
          <cell r="AF578">
            <v>42235</v>
          </cell>
          <cell r="AG578">
            <v>9.17</v>
          </cell>
          <cell r="AH578" t="str">
            <v>PPM</v>
          </cell>
          <cell r="AI578" t="str">
            <v>Strands</v>
          </cell>
          <cell r="AJ578" t="str">
            <v>Strands PW</v>
          </cell>
        </row>
        <row r="579">
          <cell r="A579" t="str">
            <v>IKN400098</v>
          </cell>
          <cell r="B579">
            <v>98</v>
          </cell>
          <cell r="C579" t="str">
            <v>Institut Kanser Negara</v>
          </cell>
          <cell r="D579" t="str">
            <v>KKM/IKN/H/13/970</v>
          </cell>
          <cell r="E579" t="str">
            <v>13-217</v>
          </cell>
          <cell r="F579" t="str">
            <v>Infusion Pumps, Syringe</v>
          </cell>
          <cell r="G579" t="str">
            <v>IC</v>
          </cell>
          <cell r="H579" t="str">
            <v>INTENSIVE CARE UNIT</v>
          </cell>
          <cell r="I579" t="str">
            <v>05IC112</v>
          </cell>
          <cell r="J579" t="str">
            <v>ICU RM 1</v>
          </cell>
          <cell r="K579" t="str">
            <v>BMED</v>
          </cell>
          <cell r="L579" t="str">
            <v>Normal</v>
          </cell>
          <cell r="M579" t="str">
            <v>Germany</v>
          </cell>
          <cell r="N579" t="str">
            <v>Perfusor</v>
          </cell>
          <cell r="O579" t="str">
            <v>Perfusor Space</v>
          </cell>
          <cell r="P579" t="str">
            <v>187038</v>
          </cell>
          <cell r="Q579" t="str">
            <v>Not Applicable</v>
          </cell>
          <cell r="R579" t="str">
            <v>B Braun Melsungen AG</v>
          </cell>
          <cell r="S579" t="str">
            <v>B Braun Medical Supplies Sdn. Bhd.</v>
          </cell>
          <cell r="T579" t="str">
            <v>Functioning</v>
          </cell>
          <cell r="U579" t="str">
            <v>Asset</v>
          </cell>
          <cell r="V579">
            <v>10225</v>
          </cell>
          <cell r="W579" t="str">
            <v>KEW</v>
          </cell>
          <cell r="X579" t="str">
            <v>01/09/2010</v>
          </cell>
          <cell r="Y579" t="str">
            <v>KEW</v>
          </cell>
          <cell r="Z579" t="str">
            <v>16/08/2013</v>
          </cell>
          <cell r="AA579" t="str">
            <v>15/08/2015</v>
          </cell>
          <cell r="AB579" t="str">
            <v>No</v>
          </cell>
          <cell r="AC579" t="str">
            <v>31/08/2013</v>
          </cell>
          <cell r="AD579" t="str">
            <v>Good</v>
          </cell>
          <cell r="AE579" t="str">
            <v>V1 - Existing / No Claim</v>
          </cell>
          <cell r="AF579">
            <v>42235</v>
          </cell>
          <cell r="AG579">
            <v>9.17</v>
          </cell>
          <cell r="AH579" t="str">
            <v>PPM</v>
          </cell>
          <cell r="AI579" t="str">
            <v>Strands</v>
          </cell>
          <cell r="AJ579" t="str">
            <v>Strands PW</v>
          </cell>
        </row>
        <row r="580">
          <cell r="A580" t="str">
            <v>IKN400099</v>
          </cell>
          <cell r="B580">
            <v>99</v>
          </cell>
          <cell r="C580" t="str">
            <v>Institut Kanser Negara</v>
          </cell>
          <cell r="D580" t="str">
            <v>KKM/IKN/H/13/971</v>
          </cell>
          <cell r="E580" t="str">
            <v>13-217</v>
          </cell>
          <cell r="F580" t="str">
            <v>Infusion Pumps, Syringe</v>
          </cell>
          <cell r="G580" t="str">
            <v>IC</v>
          </cell>
          <cell r="H580" t="str">
            <v>INTENSIVE CARE UNIT</v>
          </cell>
          <cell r="I580" t="str">
            <v>05IC113</v>
          </cell>
          <cell r="J580" t="str">
            <v>ICU RM 2</v>
          </cell>
          <cell r="K580" t="str">
            <v>BMED</v>
          </cell>
          <cell r="L580" t="str">
            <v>Critical</v>
          </cell>
          <cell r="M580" t="str">
            <v>Germany</v>
          </cell>
          <cell r="N580" t="str">
            <v>Perfusor</v>
          </cell>
          <cell r="O580" t="str">
            <v>Perfusor Space</v>
          </cell>
          <cell r="P580" t="str">
            <v>186972</v>
          </cell>
          <cell r="Q580" t="str">
            <v>Not Applicable</v>
          </cell>
          <cell r="R580" t="str">
            <v>B Braun Melsungen AG</v>
          </cell>
          <cell r="S580" t="str">
            <v>B Braun Medical Supplies Sdn. Bhd.</v>
          </cell>
          <cell r="T580" t="str">
            <v>Functioning</v>
          </cell>
          <cell r="U580" t="str">
            <v>Asset</v>
          </cell>
          <cell r="V580">
            <v>10225</v>
          </cell>
          <cell r="W580" t="str">
            <v>KEW</v>
          </cell>
          <cell r="X580" t="str">
            <v>01/09/2010</v>
          </cell>
          <cell r="Y580" t="str">
            <v>KEW</v>
          </cell>
          <cell r="Z580" t="str">
            <v>16/08/2013</v>
          </cell>
          <cell r="AA580" t="str">
            <v>15/08/2015</v>
          </cell>
          <cell r="AB580" t="str">
            <v>No</v>
          </cell>
          <cell r="AC580" t="str">
            <v>31/08/2013</v>
          </cell>
          <cell r="AD580" t="str">
            <v>Good</v>
          </cell>
          <cell r="AE580" t="str">
            <v>V1 - Existing / No Claim</v>
          </cell>
          <cell r="AF580">
            <v>42797</v>
          </cell>
          <cell r="AG580">
            <v>9.17</v>
          </cell>
          <cell r="AH580" t="str">
            <v>PPM</v>
          </cell>
          <cell r="AI580" t="str">
            <v>Strands</v>
          </cell>
          <cell r="AJ580" t="str">
            <v>Strands PW</v>
          </cell>
        </row>
        <row r="581">
          <cell r="A581" t="str">
            <v>IKN400100</v>
          </cell>
          <cell r="B581">
            <v>100</v>
          </cell>
          <cell r="C581" t="str">
            <v>Institut Kanser Negara</v>
          </cell>
          <cell r="D581" t="str">
            <v>KKM/IKN/H/13/972</v>
          </cell>
          <cell r="E581" t="str">
            <v>13-217</v>
          </cell>
          <cell r="F581" t="str">
            <v>Infusion Pumps, Syringe</v>
          </cell>
          <cell r="G581" t="str">
            <v>IC</v>
          </cell>
          <cell r="H581" t="str">
            <v>INTENSIVE CARE UNIT</v>
          </cell>
          <cell r="I581" t="str">
            <v>05IC113</v>
          </cell>
          <cell r="J581" t="str">
            <v>ICU RM 2</v>
          </cell>
          <cell r="K581" t="str">
            <v>BMED</v>
          </cell>
          <cell r="L581" t="str">
            <v>Critical</v>
          </cell>
          <cell r="M581" t="str">
            <v>Germany</v>
          </cell>
          <cell r="N581" t="str">
            <v>Perfusor</v>
          </cell>
          <cell r="O581" t="str">
            <v>Perfusor Space</v>
          </cell>
          <cell r="P581" t="str">
            <v>186981</v>
          </cell>
          <cell r="Q581" t="str">
            <v>Not Applicable</v>
          </cell>
          <cell r="R581" t="str">
            <v>B Braun Melsungen AG</v>
          </cell>
          <cell r="S581" t="str">
            <v>B Braun Medical Supplies Sdn. Bhd.</v>
          </cell>
          <cell r="T581" t="str">
            <v>Functioning</v>
          </cell>
          <cell r="U581" t="str">
            <v>Asset</v>
          </cell>
          <cell r="V581">
            <v>10225</v>
          </cell>
          <cell r="W581" t="str">
            <v>KEW</v>
          </cell>
          <cell r="X581" t="str">
            <v>01/09/2010</v>
          </cell>
          <cell r="Y581" t="str">
            <v>KEW</v>
          </cell>
          <cell r="Z581" t="str">
            <v>16/08/2013</v>
          </cell>
          <cell r="AA581" t="str">
            <v>15/08/2015</v>
          </cell>
          <cell r="AB581" t="str">
            <v>No</v>
          </cell>
          <cell r="AC581" t="str">
            <v>31/08/2013</v>
          </cell>
          <cell r="AD581" t="str">
            <v>Good</v>
          </cell>
          <cell r="AE581" t="str">
            <v>V1 - Existing / No Claim</v>
          </cell>
          <cell r="AF581">
            <v>42797</v>
          </cell>
          <cell r="AG581">
            <v>9.17</v>
          </cell>
          <cell r="AH581" t="str">
            <v>PPM</v>
          </cell>
          <cell r="AI581" t="str">
            <v>Strands</v>
          </cell>
          <cell r="AJ581" t="str">
            <v>Strands PW</v>
          </cell>
        </row>
        <row r="582">
          <cell r="A582" t="str">
            <v>IKN400101</v>
          </cell>
          <cell r="B582">
            <v>101</v>
          </cell>
          <cell r="C582" t="str">
            <v>Institut Kanser Negara</v>
          </cell>
          <cell r="D582" t="str">
            <v>KKM/IKN/H/13/973</v>
          </cell>
          <cell r="E582" t="str">
            <v>13-217</v>
          </cell>
          <cell r="F582" t="str">
            <v>Infusion Pumps, Syringe</v>
          </cell>
          <cell r="G582" t="str">
            <v>IC</v>
          </cell>
          <cell r="H582" t="str">
            <v>INTENSIVE CARE UNIT</v>
          </cell>
          <cell r="I582" t="str">
            <v>05IC113</v>
          </cell>
          <cell r="J582" t="str">
            <v>ICU RM 2</v>
          </cell>
          <cell r="K582" t="str">
            <v>BMED</v>
          </cell>
          <cell r="L582" t="str">
            <v>Critical</v>
          </cell>
          <cell r="M582" t="str">
            <v>Germany</v>
          </cell>
          <cell r="N582" t="str">
            <v>Perfusor</v>
          </cell>
          <cell r="O582" t="str">
            <v>Perfusor Space</v>
          </cell>
          <cell r="P582" t="str">
            <v>186983</v>
          </cell>
          <cell r="Q582" t="str">
            <v>Not Applicable</v>
          </cell>
          <cell r="R582" t="str">
            <v>B Braun Melsungen AG</v>
          </cell>
          <cell r="S582" t="str">
            <v>B Braun Medical Supplies Sdn. Bhd.</v>
          </cell>
          <cell r="T582" t="str">
            <v>Functioning</v>
          </cell>
          <cell r="U582" t="str">
            <v>Asset</v>
          </cell>
          <cell r="V582">
            <v>10225</v>
          </cell>
          <cell r="W582" t="str">
            <v>KEW</v>
          </cell>
          <cell r="X582" t="str">
            <v>01/09/2010</v>
          </cell>
          <cell r="Y582" t="str">
            <v>KEW</v>
          </cell>
          <cell r="Z582" t="str">
            <v>16/08/2013</v>
          </cell>
          <cell r="AA582" t="str">
            <v>15/08/2015</v>
          </cell>
          <cell r="AB582" t="str">
            <v>No</v>
          </cell>
          <cell r="AC582" t="str">
            <v>31/08/2013</v>
          </cell>
          <cell r="AD582" t="str">
            <v>Good</v>
          </cell>
          <cell r="AE582" t="str">
            <v>V1 - Existing / No Claim</v>
          </cell>
          <cell r="AF582">
            <v>42797</v>
          </cell>
          <cell r="AG582">
            <v>9.17</v>
          </cell>
          <cell r="AH582" t="str">
            <v>PPM</v>
          </cell>
          <cell r="AI582" t="str">
            <v>Strands</v>
          </cell>
          <cell r="AJ582" t="str">
            <v>Strands PW</v>
          </cell>
        </row>
        <row r="583">
          <cell r="A583" t="str">
            <v>IKN400102</v>
          </cell>
          <cell r="B583">
            <v>102</v>
          </cell>
          <cell r="C583" t="str">
            <v>Institut Kanser Negara</v>
          </cell>
          <cell r="D583" t="str">
            <v>KKM/IKN/H/13/974</v>
          </cell>
          <cell r="E583" t="str">
            <v>13-217</v>
          </cell>
          <cell r="F583" t="str">
            <v>Infusion Pumps, Syringe</v>
          </cell>
          <cell r="G583" t="str">
            <v>IC</v>
          </cell>
          <cell r="H583" t="str">
            <v>INTENSIVE CARE UNIT</v>
          </cell>
          <cell r="I583" t="str">
            <v>05IC113</v>
          </cell>
          <cell r="J583" t="str">
            <v>ICU RM 2</v>
          </cell>
          <cell r="K583" t="str">
            <v>BMED</v>
          </cell>
          <cell r="L583" t="str">
            <v>Critical</v>
          </cell>
          <cell r="M583" t="str">
            <v>Germany</v>
          </cell>
          <cell r="N583" t="str">
            <v>Perfusor</v>
          </cell>
          <cell r="O583" t="str">
            <v>Perfusor Space</v>
          </cell>
          <cell r="P583" t="str">
            <v>187010</v>
          </cell>
          <cell r="Q583" t="str">
            <v>Not Applicable</v>
          </cell>
          <cell r="R583" t="str">
            <v>B Braun Melsungen AG</v>
          </cell>
          <cell r="S583" t="str">
            <v>B Braun Medical Supplies Sdn. Bhd.</v>
          </cell>
          <cell r="T583" t="str">
            <v>Functioning</v>
          </cell>
          <cell r="U583" t="str">
            <v>Asset</v>
          </cell>
          <cell r="V583">
            <v>10225</v>
          </cell>
          <cell r="W583" t="str">
            <v>KEW</v>
          </cell>
          <cell r="X583" t="str">
            <v>01/09/2010</v>
          </cell>
          <cell r="Y583" t="str">
            <v>KEW</v>
          </cell>
          <cell r="Z583" t="str">
            <v>16/08/2013</v>
          </cell>
          <cell r="AA583" t="str">
            <v>15/08/2015</v>
          </cell>
          <cell r="AB583" t="str">
            <v>No</v>
          </cell>
          <cell r="AC583" t="str">
            <v>31/08/2013</v>
          </cell>
          <cell r="AD583" t="str">
            <v>Good</v>
          </cell>
          <cell r="AE583" t="str">
            <v>V1 - Existing / No Claim</v>
          </cell>
          <cell r="AF583">
            <v>42797</v>
          </cell>
          <cell r="AG583">
            <v>9.17</v>
          </cell>
          <cell r="AH583" t="str">
            <v>PPM</v>
          </cell>
          <cell r="AI583" t="str">
            <v>Strands</v>
          </cell>
          <cell r="AJ583" t="str">
            <v>Strands PW</v>
          </cell>
        </row>
        <row r="584">
          <cell r="A584" t="str">
            <v>IKN400103</v>
          </cell>
          <cell r="B584">
            <v>103</v>
          </cell>
          <cell r="C584" t="str">
            <v>Institut Kanser Negara</v>
          </cell>
          <cell r="D584" t="str">
            <v>KKM/IKN/H/13/975</v>
          </cell>
          <cell r="E584" t="str">
            <v>13-217</v>
          </cell>
          <cell r="F584" t="str">
            <v>Infusion Pumps, Syringe</v>
          </cell>
          <cell r="G584" t="str">
            <v>IC</v>
          </cell>
          <cell r="H584" t="str">
            <v>INTENSIVE CARE UNIT</v>
          </cell>
          <cell r="I584" t="str">
            <v>05IC113</v>
          </cell>
          <cell r="J584" t="str">
            <v>ICU RM 2</v>
          </cell>
          <cell r="K584" t="str">
            <v>BMED</v>
          </cell>
          <cell r="L584" t="str">
            <v>Critical</v>
          </cell>
          <cell r="M584" t="str">
            <v>Germany</v>
          </cell>
          <cell r="N584" t="str">
            <v>Perfusor</v>
          </cell>
          <cell r="O584" t="str">
            <v>Perfusor Space</v>
          </cell>
          <cell r="P584" t="str">
            <v>187016</v>
          </cell>
          <cell r="Q584" t="str">
            <v>Not Applicable</v>
          </cell>
          <cell r="R584" t="str">
            <v>B Braun Melsungen AG</v>
          </cell>
          <cell r="S584" t="str">
            <v>B Braun Medical Supplies Sdn. Bhd.</v>
          </cell>
          <cell r="T584" t="str">
            <v>Functioning</v>
          </cell>
          <cell r="U584" t="str">
            <v>Asset</v>
          </cell>
          <cell r="V584">
            <v>10225</v>
          </cell>
          <cell r="W584" t="str">
            <v>KEW</v>
          </cell>
          <cell r="X584" t="str">
            <v>01/09/2010</v>
          </cell>
          <cell r="Y584" t="str">
            <v>KEW</v>
          </cell>
          <cell r="Z584" t="str">
            <v>16/08/2013</v>
          </cell>
          <cell r="AA584" t="str">
            <v>15/08/2015</v>
          </cell>
          <cell r="AB584" t="str">
            <v>No</v>
          </cell>
          <cell r="AC584" t="str">
            <v>31/08/2013</v>
          </cell>
          <cell r="AD584" t="str">
            <v>Good</v>
          </cell>
          <cell r="AE584" t="str">
            <v>V1 - Existing / No Claim</v>
          </cell>
          <cell r="AF584">
            <v>42797</v>
          </cell>
          <cell r="AG584">
            <v>9.17</v>
          </cell>
          <cell r="AH584" t="str">
            <v>PPM</v>
          </cell>
          <cell r="AI584" t="str">
            <v>Strands</v>
          </cell>
          <cell r="AJ584" t="str">
            <v>Strands PW</v>
          </cell>
        </row>
        <row r="585">
          <cell r="A585" t="str">
            <v>IKN400104</v>
          </cell>
          <cell r="B585">
            <v>104</v>
          </cell>
          <cell r="C585" t="str">
            <v>Institut Kanser Negara</v>
          </cell>
          <cell r="D585" t="str">
            <v>KKM/IKN/H/13/976</v>
          </cell>
          <cell r="E585" t="str">
            <v>13-217</v>
          </cell>
          <cell r="F585" t="str">
            <v>Infusion Pumps, Syringe</v>
          </cell>
          <cell r="G585" t="str">
            <v>IC</v>
          </cell>
          <cell r="H585" t="str">
            <v>INTENSIVE CARE UNIT</v>
          </cell>
          <cell r="I585" t="str">
            <v>05IC113</v>
          </cell>
          <cell r="J585" t="str">
            <v>ICU RM 2</v>
          </cell>
          <cell r="K585" t="str">
            <v>BMED</v>
          </cell>
          <cell r="L585" t="str">
            <v>Critical</v>
          </cell>
          <cell r="M585" t="str">
            <v>Germany</v>
          </cell>
          <cell r="N585" t="str">
            <v>Perfusor</v>
          </cell>
          <cell r="O585" t="str">
            <v>Perfusor Space</v>
          </cell>
          <cell r="P585" t="str">
            <v>187058</v>
          </cell>
          <cell r="Q585" t="str">
            <v>Not Applicable</v>
          </cell>
          <cell r="R585" t="str">
            <v>B Braun Melsungen AG</v>
          </cell>
          <cell r="S585" t="str">
            <v>B Braun Medical Supplies Sdn. Bhd.</v>
          </cell>
          <cell r="T585" t="str">
            <v>Functioning</v>
          </cell>
          <cell r="U585" t="str">
            <v>Asset</v>
          </cell>
          <cell r="V585">
            <v>10225</v>
          </cell>
          <cell r="W585" t="str">
            <v>KEW</v>
          </cell>
          <cell r="X585" t="str">
            <v>01/09/2010</v>
          </cell>
          <cell r="Y585" t="str">
            <v>KEW</v>
          </cell>
          <cell r="Z585" t="str">
            <v>16/08/2013</v>
          </cell>
          <cell r="AA585" t="str">
            <v>15/08/2015</v>
          </cell>
          <cell r="AB585" t="str">
            <v>No</v>
          </cell>
          <cell r="AC585" t="str">
            <v>31/08/2013</v>
          </cell>
          <cell r="AD585" t="str">
            <v>Good</v>
          </cell>
          <cell r="AE585" t="str">
            <v>V1 - Existing / No Claim</v>
          </cell>
          <cell r="AF585">
            <v>42797</v>
          </cell>
          <cell r="AG585">
            <v>9.17</v>
          </cell>
          <cell r="AH585" t="str">
            <v>PPM</v>
          </cell>
          <cell r="AI585" t="str">
            <v>Strands</v>
          </cell>
          <cell r="AJ585" t="str">
            <v>Strands PW</v>
          </cell>
        </row>
        <row r="586">
          <cell r="A586" t="str">
            <v>IKN400105</v>
          </cell>
          <cell r="B586">
            <v>105</v>
          </cell>
          <cell r="C586" t="str">
            <v>Institut Kanser Negara</v>
          </cell>
          <cell r="D586" t="str">
            <v>KKM/IKN/H/13/977</v>
          </cell>
          <cell r="E586" t="str">
            <v>13-217</v>
          </cell>
          <cell r="F586" t="str">
            <v>Infusion Pumps, Syringe</v>
          </cell>
          <cell r="G586" t="str">
            <v>IC</v>
          </cell>
          <cell r="H586" t="str">
            <v>INTENSIVE CARE UNIT</v>
          </cell>
          <cell r="I586" t="str">
            <v>05IC114</v>
          </cell>
          <cell r="J586" t="str">
            <v>ICU RM 3</v>
          </cell>
          <cell r="K586" t="str">
            <v>BMED</v>
          </cell>
          <cell r="L586" t="str">
            <v>Normal</v>
          </cell>
          <cell r="M586" t="str">
            <v>Germany</v>
          </cell>
          <cell r="N586" t="str">
            <v>Perfusor</v>
          </cell>
          <cell r="O586" t="str">
            <v>Perfusor Space</v>
          </cell>
          <cell r="P586" t="str">
            <v>187003</v>
          </cell>
          <cell r="Q586" t="str">
            <v>Not Applicable</v>
          </cell>
          <cell r="R586" t="str">
            <v>B Braun Melsungen AG</v>
          </cell>
          <cell r="S586" t="str">
            <v>B Braun Medical Supplies Sdn. Bhd.</v>
          </cell>
          <cell r="T586" t="str">
            <v>Functioning</v>
          </cell>
          <cell r="U586" t="str">
            <v>Asset</v>
          </cell>
          <cell r="V586">
            <v>10225</v>
          </cell>
          <cell r="W586" t="str">
            <v>KEW</v>
          </cell>
          <cell r="X586" t="str">
            <v>01/09/2010</v>
          </cell>
          <cell r="Y586" t="str">
            <v>KEW</v>
          </cell>
          <cell r="Z586" t="str">
            <v>16/08/2013</v>
          </cell>
          <cell r="AA586" t="str">
            <v>15/08/2015</v>
          </cell>
          <cell r="AB586" t="str">
            <v>No</v>
          </cell>
          <cell r="AC586" t="str">
            <v>31/08/2013</v>
          </cell>
          <cell r="AD586" t="str">
            <v>Good</v>
          </cell>
          <cell r="AE586" t="str">
            <v>V1 - Existing / No Claim</v>
          </cell>
          <cell r="AF586">
            <v>42235</v>
          </cell>
          <cell r="AG586">
            <v>9.17</v>
          </cell>
          <cell r="AH586" t="str">
            <v>PPM</v>
          </cell>
          <cell r="AI586" t="str">
            <v>Strands</v>
          </cell>
          <cell r="AJ586" t="str">
            <v>Strands PW</v>
          </cell>
        </row>
        <row r="587">
          <cell r="A587" t="str">
            <v>IKN400106</v>
          </cell>
          <cell r="B587">
            <v>106</v>
          </cell>
          <cell r="C587" t="str">
            <v>Institut Kanser Negara</v>
          </cell>
          <cell r="D587" t="str">
            <v>KKM/IKN/H/13/978</v>
          </cell>
          <cell r="E587" t="str">
            <v>13-217</v>
          </cell>
          <cell r="F587" t="str">
            <v>Infusion Pumps, Syringe</v>
          </cell>
          <cell r="G587" t="str">
            <v>IC</v>
          </cell>
          <cell r="H587" t="str">
            <v>INTENSIVE CARE UNIT</v>
          </cell>
          <cell r="I587" t="str">
            <v>05IC114</v>
          </cell>
          <cell r="J587" t="str">
            <v>ICU RM 3</v>
          </cell>
          <cell r="K587" t="str">
            <v>BMED</v>
          </cell>
          <cell r="L587" t="str">
            <v>Normal</v>
          </cell>
          <cell r="M587" t="str">
            <v>Germany</v>
          </cell>
          <cell r="N587" t="str">
            <v>Perfusor</v>
          </cell>
          <cell r="O587" t="str">
            <v>Perfusor Space</v>
          </cell>
          <cell r="P587">
            <v>187029</v>
          </cell>
          <cell r="Q587" t="str">
            <v>Not Applicable</v>
          </cell>
          <cell r="R587" t="str">
            <v>B Braun Melsungen AG</v>
          </cell>
          <cell r="S587" t="str">
            <v>B Braun Medical Supplies Sdn. Bhd.</v>
          </cell>
          <cell r="T587" t="str">
            <v>Functioning</v>
          </cell>
          <cell r="U587" t="str">
            <v>Asset</v>
          </cell>
          <cell r="V587">
            <v>10225</v>
          </cell>
          <cell r="W587" t="str">
            <v>KEW</v>
          </cell>
          <cell r="X587" t="str">
            <v>01/09/2010</v>
          </cell>
          <cell r="Y587" t="str">
            <v>KEW</v>
          </cell>
          <cell r="Z587" t="str">
            <v>16/08/2013</v>
          </cell>
          <cell r="AA587" t="str">
            <v>15/08/2015</v>
          </cell>
          <cell r="AB587" t="str">
            <v>No</v>
          </cell>
          <cell r="AC587" t="str">
            <v>31/08/2013</v>
          </cell>
          <cell r="AD587" t="str">
            <v>Good</v>
          </cell>
          <cell r="AE587" t="str">
            <v>V1 - Existing / No Claim</v>
          </cell>
          <cell r="AF587">
            <v>42235</v>
          </cell>
          <cell r="AG587">
            <v>9.17</v>
          </cell>
          <cell r="AH587" t="str">
            <v>PPM</v>
          </cell>
          <cell r="AI587" t="str">
            <v>Strands</v>
          </cell>
          <cell r="AJ587" t="str">
            <v>Strands PW</v>
          </cell>
        </row>
        <row r="588">
          <cell r="A588" t="str">
            <v>IKN400107</v>
          </cell>
          <cell r="B588">
            <v>107</v>
          </cell>
          <cell r="C588" t="str">
            <v>Institut Kanser Negara</v>
          </cell>
          <cell r="D588" t="str">
            <v>KKM/IKN/H/13/979</v>
          </cell>
          <cell r="E588" t="str">
            <v>13-217</v>
          </cell>
          <cell r="F588" t="str">
            <v>Infusion Pumps, Syringe</v>
          </cell>
          <cell r="G588" t="str">
            <v>IC</v>
          </cell>
          <cell r="H588" t="str">
            <v>INTENSIVE CARE UNIT</v>
          </cell>
          <cell r="I588" t="str">
            <v>05IC114</v>
          </cell>
          <cell r="J588" t="str">
            <v>ICU RM 3</v>
          </cell>
          <cell r="K588" t="str">
            <v>BMED</v>
          </cell>
          <cell r="L588" t="str">
            <v>Normal</v>
          </cell>
          <cell r="M588" t="str">
            <v>Germany</v>
          </cell>
          <cell r="N588" t="str">
            <v>Perfusor</v>
          </cell>
          <cell r="O588" t="str">
            <v>Perfusor Space</v>
          </cell>
          <cell r="P588" t="str">
            <v>143347</v>
          </cell>
          <cell r="Q588" t="str">
            <v>Not Applicable</v>
          </cell>
          <cell r="R588" t="str">
            <v>B Braun Melsungen AG</v>
          </cell>
          <cell r="S588" t="str">
            <v>B Braun Medical Supplies Sdn. Bhd.</v>
          </cell>
          <cell r="T588" t="str">
            <v>Functioning</v>
          </cell>
          <cell r="U588" t="str">
            <v>Asset</v>
          </cell>
          <cell r="V588">
            <v>10225</v>
          </cell>
          <cell r="W588" t="str">
            <v>KEW</v>
          </cell>
          <cell r="X588" t="str">
            <v>01/09/2010</v>
          </cell>
          <cell r="Y588" t="str">
            <v>KEW</v>
          </cell>
          <cell r="Z588" t="str">
            <v>16/08/2013</v>
          </cell>
          <cell r="AA588" t="str">
            <v>15/08/2015</v>
          </cell>
          <cell r="AB588" t="str">
            <v>No</v>
          </cell>
          <cell r="AC588" t="str">
            <v>31/08/2013</v>
          </cell>
          <cell r="AD588" t="str">
            <v>Good</v>
          </cell>
          <cell r="AE588" t="str">
            <v>V1 - Existing / No Claim</v>
          </cell>
          <cell r="AF588">
            <v>42235</v>
          </cell>
          <cell r="AG588">
            <v>9.17</v>
          </cell>
          <cell r="AH588" t="str">
            <v>PPM</v>
          </cell>
          <cell r="AI588" t="str">
            <v>Strands</v>
          </cell>
          <cell r="AJ588" t="str">
            <v>Strands PW</v>
          </cell>
        </row>
        <row r="589">
          <cell r="A589" t="str">
            <v>IKN400108</v>
          </cell>
          <cell r="B589">
            <v>108</v>
          </cell>
          <cell r="C589" t="str">
            <v>Institut Kanser Negara</v>
          </cell>
          <cell r="D589" t="str">
            <v>KKM/IKN/H/13/980</v>
          </cell>
          <cell r="E589" t="str">
            <v>13-217</v>
          </cell>
          <cell r="F589" t="str">
            <v>Infusion Pumps, Syringe</v>
          </cell>
          <cell r="G589" t="str">
            <v>IC</v>
          </cell>
          <cell r="H589" t="str">
            <v>INTENSIVE CARE UNIT</v>
          </cell>
          <cell r="I589" t="str">
            <v>05IC114</v>
          </cell>
          <cell r="J589" t="str">
            <v>ICU RM 3</v>
          </cell>
          <cell r="K589" t="str">
            <v>BMED</v>
          </cell>
          <cell r="L589" t="str">
            <v>Normal</v>
          </cell>
          <cell r="M589" t="str">
            <v>Germany</v>
          </cell>
          <cell r="N589" t="str">
            <v>Perfusor</v>
          </cell>
          <cell r="O589" t="str">
            <v>Perfusor Space</v>
          </cell>
          <cell r="P589" t="str">
            <v>186826</v>
          </cell>
          <cell r="Q589" t="str">
            <v>Not Applicable</v>
          </cell>
          <cell r="R589" t="str">
            <v>B Braun Melsungen AG</v>
          </cell>
          <cell r="S589" t="str">
            <v>B Braun Medical Supplies Sdn. Bhd.</v>
          </cell>
          <cell r="T589" t="str">
            <v>Functioning</v>
          </cell>
          <cell r="U589" t="str">
            <v>Asset</v>
          </cell>
          <cell r="V589">
            <v>10225</v>
          </cell>
          <cell r="W589" t="str">
            <v>KEW</v>
          </cell>
          <cell r="X589" t="str">
            <v>01/09/2010</v>
          </cell>
          <cell r="Y589" t="str">
            <v>KEW</v>
          </cell>
          <cell r="Z589" t="str">
            <v>16/08/2013</v>
          </cell>
          <cell r="AA589" t="str">
            <v>15/08/2015</v>
          </cell>
          <cell r="AB589" t="str">
            <v>No</v>
          </cell>
          <cell r="AC589" t="str">
            <v>31/08/2013</v>
          </cell>
          <cell r="AD589" t="str">
            <v>Good</v>
          </cell>
          <cell r="AE589" t="str">
            <v>V1 - Existing / No Claim</v>
          </cell>
          <cell r="AF589">
            <v>42235</v>
          </cell>
          <cell r="AG589">
            <v>9.17</v>
          </cell>
          <cell r="AH589" t="str">
            <v>PPM</v>
          </cell>
          <cell r="AI589" t="str">
            <v>Strands</v>
          </cell>
          <cell r="AJ589" t="str">
            <v>Strands PW</v>
          </cell>
        </row>
        <row r="590">
          <cell r="A590" t="str">
            <v>IKN400109</v>
          </cell>
          <cell r="B590">
            <v>109</v>
          </cell>
          <cell r="C590" t="str">
            <v>Institut Kanser Negara</v>
          </cell>
          <cell r="D590" t="str">
            <v>KKM/IKN/H/13/981</v>
          </cell>
          <cell r="E590" t="str">
            <v>13-217</v>
          </cell>
          <cell r="F590" t="str">
            <v>Infusion Pumps, Syringe</v>
          </cell>
          <cell r="G590" t="str">
            <v>IC</v>
          </cell>
          <cell r="H590" t="str">
            <v>INTENSIVE CARE UNIT</v>
          </cell>
          <cell r="I590" t="str">
            <v>05IC114</v>
          </cell>
          <cell r="J590" t="str">
            <v>ICU RM 3</v>
          </cell>
          <cell r="K590" t="str">
            <v>BMED</v>
          </cell>
          <cell r="L590" t="str">
            <v>Normal</v>
          </cell>
          <cell r="M590" t="str">
            <v>Germany</v>
          </cell>
          <cell r="N590" t="str">
            <v>Perfusor</v>
          </cell>
          <cell r="O590" t="str">
            <v>Perfusor Space</v>
          </cell>
          <cell r="P590" t="str">
            <v>187013</v>
          </cell>
          <cell r="Q590" t="str">
            <v>Not Applicable</v>
          </cell>
          <cell r="R590" t="str">
            <v>B Braun Melsungen AG</v>
          </cell>
          <cell r="S590" t="str">
            <v>B Braun Medical Supplies Sdn. Bhd.</v>
          </cell>
          <cell r="T590" t="str">
            <v>Functioning</v>
          </cell>
          <cell r="U590" t="str">
            <v>Asset</v>
          </cell>
          <cell r="V590">
            <v>10225</v>
          </cell>
          <cell r="W590" t="str">
            <v>KEW</v>
          </cell>
          <cell r="X590" t="str">
            <v>01/09/2010</v>
          </cell>
          <cell r="Y590" t="str">
            <v>KEW</v>
          </cell>
          <cell r="Z590" t="str">
            <v>16/08/2013</v>
          </cell>
          <cell r="AA590" t="str">
            <v>15/08/2015</v>
          </cell>
          <cell r="AB590" t="str">
            <v>No</v>
          </cell>
          <cell r="AC590" t="str">
            <v>31/08/2013</v>
          </cell>
          <cell r="AD590" t="str">
            <v>Good</v>
          </cell>
          <cell r="AE590" t="str">
            <v>V1 - Existing / No Claim</v>
          </cell>
          <cell r="AF590">
            <v>42235</v>
          </cell>
          <cell r="AG590">
            <v>9.17</v>
          </cell>
          <cell r="AH590" t="str">
            <v>PPM</v>
          </cell>
          <cell r="AI590" t="str">
            <v>Strands</v>
          </cell>
          <cell r="AJ590" t="str">
            <v>Strands PW</v>
          </cell>
        </row>
        <row r="591">
          <cell r="A591" t="str">
            <v>IKN400110</v>
          </cell>
          <cell r="B591">
            <v>110</v>
          </cell>
          <cell r="C591" t="str">
            <v>Institut Kanser Negara</v>
          </cell>
          <cell r="D591" t="str">
            <v>KKM/IKN/H/13/982</v>
          </cell>
          <cell r="E591" t="str">
            <v>13-217</v>
          </cell>
          <cell r="F591" t="str">
            <v>Infusion Pumps, Syringe</v>
          </cell>
          <cell r="G591" t="str">
            <v>IC</v>
          </cell>
          <cell r="H591" t="str">
            <v>INTENSIVE CARE UNIT</v>
          </cell>
          <cell r="I591" t="str">
            <v>05IC114</v>
          </cell>
          <cell r="J591" t="str">
            <v>ICU RM 3</v>
          </cell>
          <cell r="K591" t="str">
            <v>BMED</v>
          </cell>
          <cell r="L591" t="str">
            <v>Normal</v>
          </cell>
          <cell r="M591" t="str">
            <v>Germany</v>
          </cell>
          <cell r="N591" t="str">
            <v>Perfusor</v>
          </cell>
          <cell r="O591" t="str">
            <v>Perfusor Space</v>
          </cell>
          <cell r="P591" t="str">
            <v>187060</v>
          </cell>
          <cell r="Q591" t="str">
            <v>Not Applicable</v>
          </cell>
          <cell r="R591" t="str">
            <v>B Braun Melsungen AG</v>
          </cell>
          <cell r="S591" t="str">
            <v>B Braun Medical Supplies Sdn. Bhd.</v>
          </cell>
          <cell r="T591" t="str">
            <v>Functioning</v>
          </cell>
          <cell r="U591" t="str">
            <v>Asset</v>
          </cell>
          <cell r="V591">
            <v>10225</v>
          </cell>
          <cell r="W591" t="str">
            <v>KEW</v>
          </cell>
          <cell r="X591" t="str">
            <v>01/09/2010</v>
          </cell>
          <cell r="Y591" t="str">
            <v>KEW</v>
          </cell>
          <cell r="Z591" t="str">
            <v>16/08/2013</v>
          </cell>
          <cell r="AA591" t="str">
            <v>15/08/2015</v>
          </cell>
          <cell r="AB591" t="str">
            <v>No</v>
          </cell>
          <cell r="AC591" t="str">
            <v>31/08/2013</v>
          </cell>
          <cell r="AD591" t="str">
            <v>Good</v>
          </cell>
          <cell r="AE591" t="str">
            <v>V1 - Existing / No Claim</v>
          </cell>
          <cell r="AF591">
            <v>42235</v>
          </cell>
          <cell r="AG591">
            <v>9.17</v>
          </cell>
          <cell r="AH591" t="str">
            <v>PPM</v>
          </cell>
          <cell r="AI591" t="str">
            <v>Strands</v>
          </cell>
          <cell r="AJ591" t="str">
            <v>Strands PW</v>
          </cell>
        </row>
        <row r="592">
          <cell r="A592" t="str">
            <v>IKN400111</v>
          </cell>
          <cell r="B592">
            <v>111</v>
          </cell>
          <cell r="C592" t="str">
            <v>Institut Kanser Negara</v>
          </cell>
          <cell r="D592" t="str">
            <v>KKM/IKN/H/13/983</v>
          </cell>
          <cell r="E592" t="str">
            <v>13-217</v>
          </cell>
          <cell r="F592" t="str">
            <v>Infusion Pumps, Syringe</v>
          </cell>
          <cell r="G592" t="str">
            <v>IC</v>
          </cell>
          <cell r="H592" t="str">
            <v>INTENSIVE CARE UNIT</v>
          </cell>
          <cell r="I592" t="str">
            <v>05IC115</v>
          </cell>
          <cell r="J592" t="str">
            <v>ICU RM 4</v>
          </cell>
          <cell r="K592" t="str">
            <v>BMED</v>
          </cell>
          <cell r="L592" t="str">
            <v>Critical</v>
          </cell>
          <cell r="M592" t="str">
            <v>Germany</v>
          </cell>
          <cell r="N592" t="str">
            <v>Perfusor</v>
          </cell>
          <cell r="O592" t="str">
            <v>Perfusor Space</v>
          </cell>
          <cell r="P592" t="str">
            <v>143340</v>
          </cell>
          <cell r="Q592" t="str">
            <v>Not Applicable</v>
          </cell>
          <cell r="R592" t="str">
            <v>B Braun Melsungen AG</v>
          </cell>
          <cell r="S592" t="str">
            <v>B Braun Medical Supplies Sdn. Bhd.</v>
          </cell>
          <cell r="T592" t="str">
            <v>Functioning</v>
          </cell>
          <cell r="U592" t="str">
            <v>Asset</v>
          </cell>
          <cell r="V592">
            <v>10225</v>
          </cell>
          <cell r="W592" t="str">
            <v>KEW</v>
          </cell>
          <cell r="X592" t="str">
            <v>01/09/2010</v>
          </cell>
          <cell r="Y592" t="str">
            <v>KEW</v>
          </cell>
          <cell r="Z592" t="str">
            <v>16/08/2013</v>
          </cell>
          <cell r="AA592" t="str">
            <v>15/08/2015</v>
          </cell>
          <cell r="AB592" t="str">
            <v>No</v>
          </cell>
          <cell r="AC592" t="str">
            <v>31/08/2013</v>
          </cell>
          <cell r="AD592" t="str">
            <v>Good</v>
          </cell>
          <cell r="AE592" t="str">
            <v>V1 - Existing / No Claim</v>
          </cell>
          <cell r="AF592">
            <v>42797</v>
          </cell>
          <cell r="AG592">
            <v>9.17</v>
          </cell>
          <cell r="AH592" t="str">
            <v>PPM</v>
          </cell>
          <cell r="AI592" t="str">
            <v>Strands</v>
          </cell>
          <cell r="AJ592" t="str">
            <v>Strands PW</v>
          </cell>
        </row>
        <row r="593">
          <cell r="A593" t="str">
            <v>IKN400112</v>
          </cell>
          <cell r="B593">
            <v>112</v>
          </cell>
          <cell r="C593" t="str">
            <v>Institut Kanser Negara</v>
          </cell>
          <cell r="D593" t="str">
            <v>KKM/IKN/H/13/984</v>
          </cell>
          <cell r="E593" t="str">
            <v>13-217</v>
          </cell>
          <cell r="F593" t="str">
            <v>Infusion Pumps, Syringe</v>
          </cell>
          <cell r="G593" t="str">
            <v>IC</v>
          </cell>
          <cell r="H593" t="str">
            <v>INTENSIVE CARE UNIT</v>
          </cell>
          <cell r="I593" t="str">
            <v>05IC115</v>
          </cell>
          <cell r="J593" t="str">
            <v>ICU RM 4</v>
          </cell>
          <cell r="K593" t="str">
            <v>BMED</v>
          </cell>
          <cell r="L593" t="str">
            <v>Critical</v>
          </cell>
          <cell r="M593" t="str">
            <v>Germany</v>
          </cell>
          <cell r="N593" t="str">
            <v>Perfusor</v>
          </cell>
          <cell r="O593" t="str">
            <v>Perfusor Space</v>
          </cell>
          <cell r="P593" t="str">
            <v>186798</v>
          </cell>
          <cell r="Q593" t="str">
            <v>Not Applicable</v>
          </cell>
          <cell r="R593" t="str">
            <v>B Braun Melsungen AG</v>
          </cell>
          <cell r="S593" t="str">
            <v>B Braun Medical Supplies Sdn. Bhd.</v>
          </cell>
          <cell r="T593" t="str">
            <v>Functioning</v>
          </cell>
          <cell r="U593" t="str">
            <v>Asset</v>
          </cell>
          <cell r="V593">
            <v>10225</v>
          </cell>
          <cell r="W593" t="str">
            <v>KEW</v>
          </cell>
          <cell r="X593" t="str">
            <v>01/09/2010</v>
          </cell>
          <cell r="Y593" t="str">
            <v>KEW</v>
          </cell>
          <cell r="Z593" t="str">
            <v>16/08/2013</v>
          </cell>
          <cell r="AA593" t="str">
            <v>15/08/2015</v>
          </cell>
          <cell r="AB593" t="str">
            <v>No</v>
          </cell>
          <cell r="AC593" t="str">
            <v>31/08/2013</v>
          </cell>
          <cell r="AD593" t="str">
            <v>Good</v>
          </cell>
          <cell r="AE593" t="str">
            <v>V1 - Existing / No Claim</v>
          </cell>
          <cell r="AF593">
            <v>42797</v>
          </cell>
          <cell r="AG593">
            <v>9.17</v>
          </cell>
          <cell r="AH593" t="str">
            <v>PPM</v>
          </cell>
          <cell r="AI593" t="str">
            <v>Strands</v>
          </cell>
          <cell r="AJ593" t="str">
            <v>Strands PW</v>
          </cell>
        </row>
        <row r="594">
          <cell r="A594" t="str">
            <v>IKN400113</v>
          </cell>
          <cell r="B594">
            <v>113</v>
          </cell>
          <cell r="C594" t="str">
            <v>Institut Kanser Negara</v>
          </cell>
          <cell r="D594" t="str">
            <v>KKM/IKN/H/13/985</v>
          </cell>
          <cell r="E594" t="str">
            <v>13-217</v>
          </cell>
          <cell r="F594" t="str">
            <v>Infusion Pumps, Syringe</v>
          </cell>
          <cell r="G594" t="str">
            <v>IC</v>
          </cell>
          <cell r="H594" t="str">
            <v>INTENSIVE CARE UNIT</v>
          </cell>
          <cell r="I594" t="str">
            <v>05IC115</v>
          </cell>
          <cell r="J594" t="str">
            <v>ICU RM 4</v>
          </cell>
          <cell r="K594" t="str">
            <v>BMED</v>
          </cell>
          <cell r="L594" t="str">
            <v>Critical</v>
          </cell>
          <cell r="M594" t="str">
            <v>Germany</v>
          </cell>
          <cell r="N594" t="str">
            <v>Perfusor</v>
          </cell>
          <cell r="O594" t="str">
            <v>Perfusor Space</v>
          </cell>
          <cell r="P594" t="str">
            <v>186986</v>
          </cell>
          <cell r="Q594" t="str">
            <v>Not Applicable</v>
          </cell>
          <cell r="R594" t="str">
            <v>B Braun Melsungen AG</v>
          </cell>
          <cell r="S594" t="str">
            <v>B Braun Medical Supplies Sdn. Bhd.</v>
          </cell>
          <cell r="T594" t="str">
            <v>Functioning</v>
          </cell>
          <cell r="U594" t="str">
            <v>Asset</v>
          </cell>
          <cell r="V594">
            <v>10225</v>
          </cell>
          <cell r="W594" t="str">
            <v>KEW</v>
          </cell>
          <cell r="X594" t="str">
            <v>01/09/2010</v>
          </cell>
          <cell r="Y594" t="str">
            <v>KEW</v>
          </cell>
          <cell r="Z594" t="str">
            <v>16/08/2013</v>
          </cell>
          <cell r="AA594" t="str">
            <v>15/08/2015</v>
          </cell>
          <cell r="AB594" t="str">
            <v>No</v>
          </cell>
          <cell r="AC594" t="str">
            <v>31/08/2013</v>
          </cell>
          <cell r="AD594" t="str">
            <v>Good</v>
          </cell>
          <cell r="AE594" t="str">
            <v>V1 - Existing / No Claim</v>
          </cell>
          <cell r="AF594">
            <v>42797</v>
          </cell>
          <cell r="AG594">
            <v>9.17</v>
          </cell>
          <cell r="AH594" t="str">
            <v>PPM</v>
          </cell>
          <cell r="AI594" t="str">
            <v>Strands</v>
          </cell>
          <cell r="AJ594" t="str">
            <v>Strands PW</v>
          </cell>
        </row>
        <row r="595">
          <cell r="A595" t="str">
            <v>IKN400114</v>
          </cell>
          <cell r="B595">
            <v>114</v>
          </cell>
          <cell r="C595" t="str">
            <v>Institut Kanser Negara</v>
          </cell>
          <cell r="D595" t="str">
            <v>KKM/IKN/H/13/986</v>
          </cell>
          <cell r="E595" t="str">
            <v>13-217</v>
          </cell>
          <cell r="F595" t="str">
            <v>Infusion Pumps, Syringe</v>
          </cell>
          <cell r="G595" t="str">
            <v>IC</v>
          </cell>
          <cell r="H595" t="str">
            <v>INTENSIVE CARE UNIT</v>
          </cell>
          <cell r="I595" t="str">
            <v>05IC115</v>
          </cell>
          <cell r="J595" t="str">
            <v>ICU RM 4</v>
          </cell>
          <cell r="K595" t="str">
            <v>BMED</v>
          </cell>
          <cell r="L595" t="str">
            <v>Critical</v>
          </cell>
          <cell r="M595" t="str">
            <v>Germany</v>
          </cell>
          <cell r="N595" t="str">
            <v>Perfusor</v>
          </cell>
          <cell r="O595" t="str">
            <v>Perfusor Space</v>
          </cell>
          <cell r="P595" t="str">
            <v>186989</v>
          </cell>
          <cell r="Q595" t="str">
            <v>Not Applicable</v>
          </cell>
          <cell r="R595" t="str">
            <v>B Braun Melsungen AG</v>
          </cell>
          <cell r="S595" t="str">
            <v>B Braun Medical Supplies Sdn. Bhd.</v>
          </cell>
          <cell r="T595" t="str">
            <v>Functioning</v>
          </cell>
          <cell r="U595" t="str">
            <v>Asset</v>
          </cell>
          <cell r="V595">
            <v>10225</v>
          </cell>
          <cell r="W595" t="str">
            <v>KEW</v>
          </cell>
          <cell r="X595" t="str">
            <v>01/09/2010</v>
          </cell>
          <cell r="Y595" t="str">
            <v>KEW</v>
          </cell>
          <cell r="Z595" t="str">
            <v>16/08/2013</v>
          </cell>
          <cell r="AA595" t="str">
            <v>15/08/2015</v>
          </cell>
          <cell r="AB595" t="str">
            <v>No</v>
          </cell>
          <cell r="AC595" t="str">
            <v>31/08/2013</v>
          </cell>
          <cell r="AD595" t="str">
            <v>Good</v>
          </cell>
          <cell r="AE595" t="str">
            <v>V1 - Existing / No Claim</v>
          </cell>
          <cell r="AF595">
            <v>42797</v>
          </cell>
          <cell r="AG595">
            <v>9.17</v>
          </cell>
          <cell r="AH595" t="str">
            <v>PPM</v>
          </cell>
          <cell r="AI595" t="str">
            <v>Strands</v>
          </cell>
          <cell r="AJ595" t="str">
            <v>Strands PW</v>
          </cell>
        </row>
        <row r="596">
          <cell r="A596" t="str">
            <v>IKN400115</v>
          </cell>
          <cell r="B596">
            <v>115</v>
          </cell>
          <cell r="C596" t="str">
            <v>Institut Kanser Negara</v>
          </cell>
          <cell r="D596" t="str">
            <v>KKM/IKN/H/13/987</v>
          </cell>
          <cell r="E596" t="str">
            <v>13-217</v>
          </cell>
          <cell r="F596" t="str">
            <v>Infusion Pumps, Syringe</v>
          </cell>
          <cell r="G596" t="str">
            <v>IC</v>
          </cell>
          <cell r="H596" t="str">
            <v>INTENSIVE CARE UNIT</v>
          </cell>
          <cell r="I596" t="str">
            <v>05IC115</v>
          </cell>
          <cell r="J596" t="str">
            <v>ICU RM 4</v>
          </cell>
          <cell r="K596" t="str">
            <v>BMED</v>
          </cell>
          <cell r="L596" t="str">
            <v>Critical</v>
          </cell>
          <cell r="M596" t="str">
            <v>Germany</v>
          </cell>
          <cell r="N596" t="str">
            <v>Perfusor</v>
          </cell>
          <cell r="O596" t="str">
            <v>Perfusor Space</v>
          </cell>
          <cell r="P596" t="str">
            <v>186997</v>
          </cell>
          <cell r="Q596" t="str">
            <v>Not Applicable</v>
          </cell>
          <cell r="R596" t="str">
            <v>B Braun Melsungen AG</v>
          </cell>
          <cell r="S596" t="str">
            <v>B Braun Medical Supplies Sdn. Bhd.</v>
          </cell>
          <cell r="T596" t="str">
            <v>Functioning</v>
          </cell>
          <cell r="U596" t="str">
            <v>Asset</v>
          </cell>
          <cell r="V596">
            <v>10225</v>
          </cell>
          <cell r="W596" t="str">
            <v>KEW</v>
          </cell>
          <cell r="X596" t="str">
            <v>01/09/2010</v>
          </cell>
          <cell r="Y596" t="str">
            <v>KEW</v>
          </cell>
          <cell r="Z596" t="str">
            <v>16/08/2013</v>
          </cell>
          <cell r="AA596" t="str">
            <v>15/08/2015</v>
          </cell>
          <cell r="AB596" t="str">
            <v>No</v>
          </cell>
          <cell r="AC596" t="str">
            <v>31/08/2013</v>
          </cell>
          <cell r="AD596" t="str">
            <v>Good</v>
          </cell>
          <cell r="AE596" t="str">
            <v>V1 - Existing / No Claim</v>
          </cell>
          <cell r="AF596">
            <v>42797</v>
          </cell>
          <cell r="AG596">
            <v>9.17</v>
          </cell>
          <cell r="AH596" t="str">
            <v>PPM</v>
          </cell>
          <cell r="AI596" t="str">
            <v>Strands</v>
          </cell>
          <cell r="AJ596" t="str">
            <v>Strands PW</v>
          </cell>
        </row>
        <row r="597">
          <cell r="A597" t="str">
            <v>IKN400116</v>
          </cell>
          <cell r="B597">
            <v>116</v>
          </cell>
          <cell r="C597" t="str">
            <v>Institut Kanser Negara</v>
          </cell>
          <cell r="D597" t="str">
            <v>KKM/IKN/H/13/988</v>
          </cell>
          <cell r="E597" t="str">
            <v>13-217</v>
          </cell>
          <cell r="F597" t="str">
            <v>Infusion Pumps, Syringe</v>
          </cell>
          <cell r="G597" t="str">
            <v>IC</v>
          </cell>
          <cell r="H597" t="str">
            <v>INTENSIVE CARE UNIT</v>
          </cell>
          <cell r="I597" t="str">
            <v>05IC115</v>
          </cell>
          <cell r="J597" t="str">
            <v>ICU RM 4</v>
          </cell>
          <cell r="K597" t="str">
            <v>BMED</v>
          </cell>
          <cell r="L597" t="str">
            <v>Critical</v>
          </cell>
          <cell r="M597" t="str">
            <v>Germany</v>
          </cell>
          <cell r="N597" t="str">
            <v>Perfusor</v>
          </cell>
          <cell r="O597" t="str">
            <v>Perfusor Space</v>
          </cell>
          <cell r="P597" t="str">
            <v>187012</v>
          </cell>
          <cell r="Q597" t="str">
            <v>Not Applicable</v>
          </cell>
          <cell r="R597" t="str">
            <v>B Braun Melsungen AG</v>
          </cell>
          <cell r="S597" t="str">
            <v>B Braun Medical Supplies Sdn. Bhd.</v>
          </cell>
          <cell r="T597" t="str">
            <v>Functioning</v>
          </cell>
          <cell r="U597" t="str">
            <v>Asset</v>
          </cell>
          <cell r="V597">
            <v>10225</v>
          </cell>
          <cell r="W597" t="str">
            <v>KEW</v>
          </cell>
          <cell r="X597" t="str">
            <v>01/09/2010</v>
          </cell>
          <cell r="Y597" t="str">
            <v>KEW</v>
          </cell>
          <cell r="Z597" t="str">
            <v>16/08/2013</v>
          </cell>
          <cell r="AA597" t="str">
            <v>15/08/2015</v>
          </cell>
          <cell r="AB597" t="str">
            <v>No</v>
          </cell>
          <cell r="AC597" t="str">
            <v>31/08/2013</v>
          </cell>
          <cell r="AD597" t="str">
            <v>Good</v>
          </cell>
          <cell r="AE597" t="str">
            <v>V1 - Existing / No Claim</v>
          </cell>
          <cell r="AF597">
            <v>42797</v>
          </cell>
          <cell r="AG597">
            <v>9.17</v>
          </cell>
          <cell r="AH597" t="str">
            <v>PPM</v>
          </cell>
          <cell r="AI597" t="str">
            <v>Strands</v>
          </cell>
          <cell r="AJ597" t="str">
            <v>Strands PW</v>
          </cell>
        </row>
        <row r="598">
          <cell r="A598" t="str">
            <v>IKN400117</v>
          </cell>
          <cell r="B598">
            <v>117</v>
          </cell>
          <cell r="C598" t="str">
            <v>Institut Kanser Negara</v>
          </cell>
          <cell r="D598" t="str">
            <v>KKM/IKN/H/13/989</v>
          </cell>
          <cell r="E598" t="str">
            <v>13-217</v>
          </cell>
          <cell r="F598" t="str">
            <v>Infusion Pumps, Syringe</v>
          </cell>
          <cell r="G598" t="str">
            <v>IC</v>
          </cell>
          <cell r="H598" t="str">
            <v>INTENSIVE CARE UNIT</v>
          </cell>
          <cell r="I598" t="str">
            <v>05IC116</v>
          </cell>
          <cell r="J598" t="str">
            <v>ISOL 2 (+VE)</v>
          </cell>
          <cell r="K598" t="str">
            <v>BMED</v>
          </cell>
          <cell r="L598" t="str">
            <v>Critical</v>
          </cell>
          <cell r="M598" t="str">
            <v>Germany</v>
          </cell>
          <cell r="N598" t="str">
            <v>Perfusor</v>
          </cell>
          <cell r="O598" t="str">
            <v>Perfusor Space</v>
          </cell>
          <cell r="P598" t="str">
            <v>143330</v>
          </cell>
          <cell r="Q598" t="str">
            <v>Not Applicable</v>
          </cell>
          <cell r="R598" t="str">
            <v>B Braun Melsungen AG</v>
          </cell>
          <cell r="S598" t="str">
            <v>B Braun Medical Supplies Sdn. Bhd.</v>
          </cell>
          <cell r="T598" t="str">
            <v>Functioning</v>
          </cell>
          <cell r="U598" t="str">
            <v>Asset</v>
          </cell>
          <cell r="V598">
            <v>10225</v>
          </cell>
          <cell r="W598" t="str">
            <v>KEW</v>
          </cell>
          <cell r="X598" t="str">
            <v>01/09/2010</v>
          </cell>
          <cell r="Y598" t="str">
            <v>KEW</v>
          </cell>
          <cell r="Z598" t="str">
            <v>16/08/2013</v>
          </cell>
          <cell r="AA598" t="str">
            <v>15/08/2015</v>
          </cell>
          <cell r="AB598" t="str">
            <v>No</v>
          </cell>
          <cell r="AC598" t="str">
            <v>31/08/2013</v>
          </cell>
          <cell r="AD598" t="str">
            <v>Good</v>
          </cell>
          <cell r="AE598" t="str">
            <v>V1 - Existing / No Claim</v>
          </cell>
          <cell r="AF598">
            <v>42797</v>
          </cell>
          <cell r="AG598">
            <v>9.17</v>
          </cell>
          <cell r="AH598" t="str">
            <v>PPM</v>
          </cell>
          <cell r="AI598" t="str">
            <v>Strands</v>
          </cell>
          <cell r="AJ598" t="str">
            <v>Strands PW</v>
          </cell>
        </row>
        <row r="599">
          <cell r="A599" t="str">
            <v>IKN400118</v>
          </cell>
          <cell r="B599">
            <v>118</v>
          </cell>
          <cell r="C599" t="str">
            <v>Institut Kanser Negara</v>
          </cell>
          <cell r="D599" t="str">
            <v>KKM/IKN/H/13/990</v>
          </cell>
          <cell r="E599" t="str">
            <v>13-217</v>
          </cell>
          <cell r="F599" t="str">
            <v>Infusion Pumps, Syringe</v>
          </cell>
          <cell r="G599" t="str">
            <v>IC</v>
          </cell>
          <cell r="H599" t="str">
            <v>INTENSIVE CARE UNIT</v>
          </cell>
          <cell r="I599" t="str">
            <v>05IC116</v>
          </cell>
          <cell r="J599" t="str">
            <v>ISOL 2 (+VE)</v>
          </cell>
          <cell r="K599" t="str">
            <v>BMED</v>
          </cell>
          <cell r="L599" t="str">
            <v>Critical</v>
          </cell>
          <cell r="M599" t="str">
            <v>Germany</v>
          </cell>
          <cell r="N599" t="str">
            <v>Perfusor</v>
          </cell>
          <cell r="O599" t="str">
            <v>Perfusor Space</v>
          </cell>
          <cell r="P599" t="str">
            <v>143331</v>
          </cell>
          <cell r="Q599" t="str">
            <v>Not Applicable</v>
          </cell>
          <cell r="R599" t="str">
            <v>B Braun Melsungen AG</v>
          </cell>
          <cell r="S599" t="str">
            <v>B Braun Medical Supplies Sdn. Bhd.</v>
          </cell>
          <cell r="T599" t="str">
            <v>Functioning</v>
          </cell>
          <cell r="U599" t="str">
            <v>Asset</v>
          </cell>
          <cell r="V599">
            <v>10225</v>
          </cell>
          <cell r="W599" t="str">
            <v>KEW</v>
          </cell>
          <cell r="X599" t="str">
            <v>01/09/2010</v>
          </cell>
          <cell r="Y599" t="str">
            <v>KEW</v>
          </cell>
          <cell r="Z599" t="str">
            <v>16/08/2013</v>
          </cell>
          <cell r="AA599" t="str">
            <v>15/08/2015</v>
          </cell>
          <cell r="AB599" t="str">
            <v>No</v>
          </cell>
          <cell r="AC599" t="str">
            <v>31/08/2013</v>
          </cell>
          <cell r="AD599" t="str">
            <v>Good</v>
          </cell>
          <cell r="AE599" t="str">
            <v>V1 - Existing / No Claim</v>
          </cell>
          <cell r="AF599">
            <v>42797</v>
          </cell>
          <cell r="AG599">
            <v>9.17</v>
          </cell>
          <cell r="AH599" t="str">
            <v>PPM</v>
          </cell>
          <cell r="AI599" t="str">
            <v>Strands</v>
          </cell>
          <cell r="AJ599" t="str">
            <v>Strands PW</v>
          </cell>
        </row>
        <row r="600">
          <cell r="A600" t="str">
            <v>IKN400119</v>
          </cell>
          <cell r="B600">
            <v>119</v>
          </cell>
          <cell r="C600" t="str">
            <v>Institut Kanser Negara</v>
          </cell>
          <cell r="D600" t="str">
            <v>KKM/IKN/H/13/1007</v>
          </cell>
          <cell r="E600" t="str">
            <v>13-217</v>
          </cell>
          <cell r="F600" t="str">
            <v>Infusion Pumps, Syringe</v>
          </cell>
          <cell r="G600" t="str">
            <v>IC</v>
          </cell>
          <cell r="H600" t="str">
            <v>INTENSIVE CARE UNIT</v>
          </cell>
          <cell r="I600" t="str">
            <v>05IC116</v>
          </cell>
          <cell r="J600" t="str">
            <v>ISOL 2 (+VE)</v>
          </cell>
          <cell r="K600" t="str">
            <v>BMED</v>
          </cell>
          <cell r="L600" t="str">
            <v>Critical</v>
          </cell>
          <cell r="M600" t="str">
            <v>Germany</v>
          </cell>
          <cell r="N600" t="str">
            <v>Perfusor</v>
          </cell>
          <cell r="O600" t="str">
            <v>Perfusor Space</v>
          </cell>
          <cell r="P600" t="str">
            <v>143350</v>
          </cell>
          <cell r="Q600" t="str">
            <v>Not Applicable</v>
          </cell>
          <cell r="R600" t="str">
            <v>B Braun Melsungen AG</v>
          </cell>
          <cell r="S600" t="str">
            <v>B Braun Medical Supplies Sdn. Bhd.</v>
          </cell>
          <cell r="T600" t="str">
            <v>Functioning</v>
          </cell>
          <cell r="U600" t="str">
            <v>Asset</v>
          </cell>
          <cell r="V600">
            <v>10225</v>
          </cell>
          <cell r="W600" t="str">
            <v>KEW</v>
          </cell>
          <cell r="X600" t="str">
            <v>01/09/2010</v>
          </cell>
          <cell r="Y600" t="str">
            <v>KEW</v>
          </cell>
          <cell r="Z600" t="str">
            <v>16/08/2013</v>
          </cell>
          <cell r="AA600" t="str">
            <v>15/08/2015</v>
          </cell>
          <cell r="AB600" t="str">
            <v>No</v>
          </cell>
          <cell r="AC600" t="str">
            <v>31/08/2013</v>
          </cell>
          <cell r="AD600" t="str">
            <v>Good</v>
          </cell>
          <cell r="AE600" t="str">
            <v>V1 - Existing / No Claim</v>
          </cell>
          <cell r="AF600">
            <v>42797</v>
          </cell>
          <cell r="AG600">
            <v>9.17</v>
          </cell>
          <cell r="AH600" t="str">
            <v>PPM</v>
          </cell>
          <cell r="AI600" t="str">
            <v>Strands</v>
          </cell>
          <cell r="AJ600" t="str">
            <v>Strands PW</v>
          </cell>
        </row>
        <row r="601">
          <cell r="A601" t="str">
            <v>IKN400120</v>
          </cell>
          <cell r="B601">
            <v>120</v>
          </cell>
          <cell r="C601" t="str">
            <v>Institut Kanser Negara</v>
          </cell>
          <cell r="D601" t="str">
            <v>KKM/IKN/H/13/991</v>
          </cell>
          <cell r="E601" t="str">
            <v>13-217</v>
          </cell>
          <cell r="F601" t="str">
            <v>Infusion Pumps, Syringe</v>
          </cell>
          <cell r="G601" t="str">
            <v>IC</v>
          </cell>
          <cell r="H601" t="str">
            <v>INTENSIVE CARE UNIT</v>
          </cell>
          <cell r="I601" t="str">
            <v>05IC116</v>
          </cell>
          <cell r="J601" t="str">
            <v>ISOL 2 (+VE)</v>
          </cell>
          <cell r="K601" t="str">
            <v>BMED</v>
          </cell>
          <cell r="L601" t="str">
            <v>Critical</v>
          </cell>
          <cell r="M601" t="str">
            <v>Germany</v>
          </cell>
          <cell r="N601" t="str">
            <v>Perfusor</v>
          </cell>
          <cell r="O601" t="str">
            <v>Perfusor Space</v>
          </cell>
          <cell r="P601" t="str">
            <v>143363</v>
          </cell>
          <cell r="Q601" t="str">
            <v>Not Applicable</v>
          </cell>
          <cell r="R601" t="str">
            <v>B Braun Melsungen AG</v>
          </cell>
          <cell r="S601" t="str">
            <v>B Braun Medical Supplies Sdn. Bhd.</v>
          </cell>
          <cell r="T601" t="str">
            <v>Functioning</v>
          </cell>
          <cell r="U601" t="str">
            <v>Asset</v>
          </cell>
          <cell r="V601">
            <v>10225</v>
          </cell>
          <cell r="W601" t="str">
            <v>KEW</v>
          </cell>
          <cell r="X601" t="str">
            <v>01/09/2010</v>
          </cell>
          <cell r="Y601" t="str">
            <v>KEW</v>
          </cell>
          <cell r="Z601" t="str">
            <v>16/08/2013</v>
          </cell>
          <cell r="AA601" t="str">
            <v>15/08/2015</v>
          </cell>
          <cell r="AB601" t="str">
            <v>No</v>
          </cell>
          <cell r="AC601" t="str">
            <v>31/08/2013</v>
          </cell>
          <cell r="AD601" t="str">
            <v>Good</v>
          </cell>
          <cell r="AE601" t="str">
            <v>V1 - Existing / No Claim</v>
          </cell>
          <cell r="AF601">
            <v>42797</v>
          </cell>
          <cell r="AG601">
            <v>9.17</v>
          </cell>
          <cell r="AH601" t="str">
            <v>PPM</v>
          </cell>
          <cell r="AI601" t="str">
            <v>Strands</v>
          </cell>
          <cell r="AJ601" t="str">
            <v>Strands PW</v>
          </cell>
        </row>
        <row r="602">
          <cell r="A602" t="str">
            <v>IKN400121</v>
          </cell>
          <cell r="B602">
            <v>121</v>
          </cell>
          <cell r="C602" t="str">
            <v>Institut Kanser Negara</v>
          </cell>
          <cell r="D602" t="str">
            <v>KKM/IKN/H/13/992</v>
          </cell>
          <cell r="E602" t="str">
            <v>13-217</v>
          </cell>
          <cell r="F602" t="str">
            <v>Infusion Pumps, Syringe</v>
          </cell>
          <cell r="G602" t="str">
            <v>IC</v>
          </cell>
          <cell r="H602" t="str">
            <v>INTENSIVE CARE UNIT</v>
          </cell>
          <cell r="I602" t="str">
            <v>05IC116</v>
          </cell>
          <cell r="J602" t="str">
            <v>ISOL 2 (+VE)</v>
          </cell>
          <cell r="K602" t="str">
            <v>BMED</v>
          </cell>
          <cell r="L602" t="str">
            <v>Critical</v>
          </cell>
          <cell r="M602" t="str">
            <v>Germany</v>
          </cell>
          <cell r="N602" t="str">
            <v>Perfusor</v>
          </cell>
          <cell r="O602" t="str">
            <v>Perfusor Space</v>
          </cell>
          <cell r="P602" t="str">
            <v>186971</v>
          </cell>
          <cell r="Q602" t="str">
            <v>Not Applicable</v>
          </cell>
          <cell r="R602" t="str">
            <v>B Braun Melsungen AG</v>
          </cell>
          <cell r="S602" t="str">
            <v>B Braun Medical Supplies Sdn. Bhd.</v>
          </cell>
          <cell r="T602" t="str">
            <v>Functioning</v>
          </cell>
          <cell r="U602" t="str">
            <v>Asset</v>
          </cell>
          <cell r="V602">
            <v>10225</v>
          </cell>
          <cell r="W602" t="str">
            <v>KEW</v>
          </cell>
          <cell r="X602" t="str">
            <v>01/09/2010</v>
          </cell>
          <cell r="Y602" t="str">
            <v>KEW</v>
          </cell>
          <cell r="Z602" t="str">
            <v>16/08/2013</v>
          </cell>
          <cell r="AA602" t="str">
            <v>15/08/2015</v>
          </cell>
          <cell r="AB602" t="str">
            <v>No</v>
          </cell>
          <cell r="AC602" t="str">
            <v>31/08/2013</v>
          </cell>
          <cell r="AD602" t="str">
            <v>Good</v>
          </cell>
          <cell r="AE602" t="str">
            <v>V1 - Existing / No Claim</v>
          </cell>
          <cell r="AF602">
            <v>42797</v>
          </cell>
          <cell r="AG602">
            <v>9.17</v>
          </cell>
          <cell r="AH602" t="str">
            <v>PPM</v>
          </cell>
          <cell r="AI602" t="str">
            <v>Strands</v>
          </cell>
          <cell r="AJ602" t="str">
            <v>Strands PW</v>
          </cell>
        </row>
        <row r="603">
          <cell r="A603" t="str">
            <v>IKN400122</v>
          </cell>
          <cell r="B603">
            <v>122</v>
          </cell>
          <cell r="C603" t="str">
            <v>Institut Kanser Negara</v>
          </cell>
          <cell r="D603" t="str">
            <v>KKM/IKN/H/13/993</v>
          </cell>
          <cell r="E603" t="str">
            <v>13-217</v>
          </cell>
          <cell r="F603" t="str">
            <v>Infusion Pumps, Syringe</v>
          </cell>
          <cell r="G603" t="str">
            <v>IC</v>
          </cell>
          <cell r="H603" t="str">
            <v>INTENSIVE CARE UNIT</v>
          </cell>
          <cell r="I603" t="str">
            <v>05IC116</v>
          </cell>
          <cell r="J603" t="str">
            <v>ISOL 2 (+VE)</v>
          </cell>
          <cell r="K603" t="str">
            <v>BMED</v>
          </cell>
          <cell r="L603" t="str">
            <v>Critical</v>
          </cell>
          <cell r="M603" t="str">
            <v>Germany</v>
          </cell>
          <cell r="N603" t="str">
            <v>Perfusor</v>
          </cell>
          <cell r="O603" t="str">
            <v>Perfusor Space</v>
          </cell>
          <cell r="P603" t="str">
            <v>186975</v>
          </cell>
          <cell r="Q603" t="str">
            <v>Not Applicable</v>
          </cell>
          <cell r="R603" t="str">
            <v>B Braun Melsungen AG</v>
          </cell>
          <cell r="S603" t="str">
            <v>B Braun Medical Supplies Sdn. Bhd.</v>
          </cell>
          <cell r="T603" t="str">
            <v>Functioning</v>
          </cell>
          <cell r="U603" t="str">
            <v>Asset</v>
          </cell>
          <cell r="V603">
            <v>10225</v>
          </cell>
          <cell r="W603" t="str">
            <v>KEW</v>
          </cell>
          <cell r="X603" t="str">
            <v>01/09/2010</v>
          </cell>
          <cell r="Y603" t="str">
            <v>KEW</v>
          </cell>
          <cell r="Z603" t="str">
            <v>16/08/2013</v>
          </cell>
          <cell r="AA603" t="str">
            <v>15/08/2015</v>
          </cell>
          <cell r="AB603" t="str">
            <v>No</v>
          </cell>
          <cell r="AC603" t="str">
            <v>31/08/2013</v>
          </cell>
          <cell r="AD603" t="str">
            <v>Good</v>
          </cell>
          <cell r="AE603" t="str">
            <v>V1 - Existing / No Claim</v>
          </cell>
          <cell r="AF603">
            <v>42797</v>
          </cell>
          <cell r="AG603">
            <v>9.17</v>
          </cell>
          <cell r="AH603" t="str">
            <v>PPM</v>
          </cell>
          <cell r="AI603" t="str">
            <v>Strands</v>
          </cell>
          <cell r="AJ603" t="str">
            <v>Strands PW</v>
          </cell>
        </row>
        <row r="604">
          <cell r="A604" t="str">
            <v>IKN400123</v>
          </cell>
          <cell r="B604">
            <v>123</v>
          </cell>
          <cell r="C604" t="str">
            <v>Institut Kanser Negara</v>
          </cell>
          <cell r="D604" t="str">
            <v>KKM/IKN/H/13/994</v>
          </cell>
          <cell r="E604" t="str">
            <v>13-217</v>
          </cell>
          <cell r="F604" t="str">
            <v>Infusion Pumps, Syringe</v>
          </cell>
          <cell r="G604" t="str">
            <v>IC</v>
          </cell>
          <cell r="H604" t="str">
            <v>INTENSIVE CARE UNIT</v>
          </cell>
          <cell r="I604" t="str">
            <v>05IC129</v>
          </cell>
          <cell r="J604" t="str">
            <v>ISOL 4 (+VE)</v>
          </cell>
          <cell r="K604" t="str">
            <v>BMED</v>
          </cell>
          <cell r="L604" t="str">
            <v>Normal</v>
          </cell>
          <cell r="M604" t="str">
            <v>Germany</v>
          </cell>
          <cell r="N604" t="str">
            <v>Perfusor</v>
          </cell>
          <cell r="O604" t="str">
            <v>Perfusor Space</v>
          </cell>
          <cell r="P604" t="str">
            <v>143198</v>
          </cell>
          <cell r="Q604" t="str">
            <v>Not Applicable</v>
          </cell>
          <cell r="R604" t="str">
            <v>B Braun Melsungen AG</v>
          </cell>
          <cell r="S604" t="str">
            <v>B Braun Medical Supplies Sdn. Bhd.</v>
          </cell>
          <cell r="T604" t="str">
            <v>Functioning</v>
          </cell>
          <cell r="U604" t="str">
            <v>Asset</v>
          </cell>
          <cell r="V604">
            <v>10225</v>
          </cell>
          <cell r="W604" t="str">
            <v>KEW</v>
          </cell>
          <cell r="X604" t="str">
            <v>01/09/2010</v>
          </cell>
          <cell r="Y604" t="str">
            <v>KEW</v>
          </cell>
          <cell r="Z604" t="str">
            <v>16/08/2013</v>
          </cell>
          <cell r="AA604" t="str">
            <v>15/08/2015</v>
          </cell>
          <cell r="AB604" t="str">
            <v>No</v>
          </cell>
          <cell r="AC604" t="str">
            <v>31/08/2013</v>
          </cell>
          <cell r="AD604" t="str">
            <v>Good</v>
          </cell>
          <cell r="AE604" t="str">
            <v>V1 - Existing / No Claim</v>
          </cell>
          <cell r="AF604">
            <v>42235</v>
          </cell>
          <cell r="AG604">
            <v>9.17</v>
          </cell>
          <cell r="AH604" t="str">
            <v>PPM</v>
          </cell>
          <cell r="AI604" t="str">
            <v>Strands</v>
          </cell>
          <cell r="AJ604" t="str">
            <v>Strands PW</v>
          </cell>
        </row>
        <row r="605">
          <cell r="A605" t="str">
            <v>IKN400124</v>
          </cell>
          <cell r="B605">
            <v>124</v>
          </cell>
          <cell r="C605" t="str">
            <v>Institut Kanser Negara</v>
          </cell>
          <cell r="D605" t="str">
            <v>KKM/IKN/H/13/995</v>
          </cell>
          <cell r="E605" t="str">
            <v>13-217</v>
          </cell>
          <cell r="F605" t="str">
            <v>Infusion Pumps, Syringe</v>
          </cell>
          <cell r="G605" t="str">
            <v>IC</v>
          </cell>
          <cell r="H605" t="str">
            <v>INTENSIVE CARE UNIT</v>
          </cell>
          <cell r="I605" t="str">
            <v>05IC129</v>
          </cell>
          <cell r="J605" t="str">
            <v>ISOL 4 (+VE)</v>
          </cell>
          <cell r="K605" t="str">
            <v>BMED</v>
          </cell>
          <cell r="L605" t="str">
            <v>Normal</v>
          </cell>
          <cell r="M605" t="str">
            <v>Germany</v>
          </cell>
          <cell r="N605" t="str">
            <v>Perfusor</v>
          </cell>
          <cell r="O605" t="str">
            <v>Perfusor Space</v>
          </cell>
          <cell r="P605">
            <v>143318</v>
          </cell>
          <cell r="Q605" t="str">
            <v>Not Applicable</v>
          </cell>
          <cell r="R605" t="str">
            <v>B Braun Melsungen AG</v>
          </cell>
          <cell r="S605" t="str">
            <v>B Braun Medical Supplies Sdn. Bhd.</v>
          </cell>
          <cell r="T605" t="str">
            <v>Functioning</v>
          </cell>
          <cell r="U605" t="str">
            <v>Asset</v>
          </cell>
          <cell r="V605">
            <v>10225</v>
          </cell>
          <cell r="W605" t="str">
            <v>KEW</v>
          </cell>
          <cell r="X605" t="str">
            <v>01/09/2010</v>
          </cell>
          <cell r="Y605" t="str">
            <v>KEW</v>
          </cell>
          <cell r="Z605" t="str">
            <v>16/08/2013</v>
          </cell>
          <cell r="AA605" t="str">
            <v>15/08/2015</v>
          </cell>
          <cell r="AB605" t="str">
            <v>No</v>
          </cell>
          <cell r="AC605" t="str">
            <v>31/08/2013</v>
          </cell>
          <cell r="AD605" t="str">
            <v>Good</v>
          </cell>
          <cell r="AE605" t="str">
            <v>V1 - Existing / No Claim</v>
          </cell>
          <cell r="AF605">
            <v>42235</v>
          </cell>
          <cell r="AG605">
            <v>9.17</v>
          </cell>
          <cell r="AH605" t="str">
            <v>PPM</v>
          </cell>
          <cell r="AI605" t="str">
            <v>Strands</v>
          </cell>
          <cell r="AJ605" t="str">
            <v>Strands PW</v>
          </cell>
        </row>
        <row r="606">
          <cell r="A606" t="str">
            <v>IKN400125</v>
          </cell>
          <cell r="B606">
            <v>125</v>
          </cell>
          <cell r="C606" t="str">
            <v>Institut Kanser Negara</v>
          </cell>
          <cell r="D606" t="str">
            <v>KKM/IKN/H/13/996</v>
          </cell>
          <cell r="E606" t="str">
            <v>13-217</v>
          </cell>
          <cell r="F606" t="str">
            <v>Infusion Pumps, Syringe</v>
          </cell>
          <cell r="G606" t="str">
            <v>IC</v>
          </cell>
          <cell r="H606" t="str">
            <v>INTENSIVE CARE UNIT</v>
          </cell>
          <cell r="I606" t="str">
            <v>05IC129</v>
          </cell>
          <cell r="J606" t="str">
            <v>ISOL 4 (+VE)</v>
          </cell>
          <cell r="K606" t="str">
            <v>BMED</v>
          </cell>
          <cell r="L606" t="str">
            <v>Normal</v>
          </cell>
          <cell r="M606" t="str">
            <v>Germany</v>
          </cell>
          <cell r="N606" t="str">
            <v>Perfusor</v>
          </cell>
          <cell r="O606" t="str">
            <v>Perfusor Space</v>
          </cell>
          <cell r="P606" t="str">
            <v>143346</v>
          </cell>
          <cell r="Q606" t="str">
            <v>Not Applicable</v>
          </cell>
          <cell r="R606" t="str">
            <v>B Braun Melsungen AG</v>
          </cell>
          <cell r="S606" t="str">
            <v>B Braun Medical Supplies Sdn. Bhd.</v>
          </cell>
          <cell r="T606" t="str">
            <v>Functioning</v>
          </cell>
          <cell r="U606" t="str">
            <v>Asset</v>
          </cell>
          <cell r="V606">
            <v>10225</v>
          </cell>
          <cell r="W606" t="str">
            <v>KEW</v>
          </cell>
          <cell r="X606" t="str">
            <v>01/09/2010</v>
          </cell>
          <cell r="Y606" t="str">
            <v>KEW</v>
          </cell>
          <cell r="Z606" t="str">
            <v>16/08/2013</v>
          </cell>
          <cell r="AA606" t="str">
            <v>15/08/2015</v>
          </cell>
          <cell r="AB606" t="str">
            <v>No</v>
          </cell>
          <cell r="AC606" t="str">
            <v>31/08/2013</v>
          </cell>
          <cell r="AD606" t="str">
            <v>Good</v>
          </cell>
          <cell r="AE606" t="str">
            <v>V1 - Existing / No Claim</v>
          </cell>
          <cell r="AF606">
            <v>42235</v>
          </cell>
          <cell r="AG606">
            <v>9.17</v>
          </cell>
          <cell r="AH606" t="str">
            <v>PPM</v>
          </cell>
          <cell r="AI606" t="str">
            <v>Strands</v>
          </cell>
          <cell r="AJ606" t="str">
            <v>Strands PW</v>
          </cell>
        </row>
        <row r="607">
          <cell r="A607" t="str">
            <v>IKN400126</v>
          </cell>
          <cell r="B607">
            <v>126</v>
          </cell>
          <cell r="C607" t="str">
            <v>Institut Kanser Negara</v>
          </cell>
          <cell r="D607" t="str">
            <v>KKM/IKN/H/13/997</v>
          </cell>
          <cell r="E607" t="str">
            <v>13-217</v>
          </cell>
          <cell r="F607" t="str">
            <v>Infusion Pumps, Syringe</v>
          </cell>
          <cell r="G607" t="str">
            <v>IC</v>
          </cell>
          <cell r="H607" t="str">
            <v>INTENSIVE CARE UNIT</v>
          </cell>
          <cell r="I607" t="str">
            <v>05IC129</v>
          </cell>
          <cell r="J607" t="str">
            <v>ISOL 4 (+VE)</v>
          </cell>
          <cell r="K607" t="str">
            <v>BMED</v>
          </cell>
          <cell r="L607" t="str">
            <v>Normal</v>
          </cell>
          <cell r="M607" t="str">
            <v>Germany</v>
          </cell>
          <cell r="N607" t="str">
            <v>Perfusor</v>
          </cell>
          <cell r="O607" t="str">
            <v>Perfusor Space</v>
          </cell>
          <cell r="P607" t="str">
            <v>186811</v>
          </cell>
          <cell r="Q607" t="str">
            <v>Not Applicable</v>
          </cell>
          <cell r="R607" t="str">
            <v>B Braun Melsungen AG</v>
          </cell>
          <cell r="S607" t="str">
            <v>B Braun Medical Supplies Sdn. Bhd.</v>
          </cell>
          <cell r="T607" t="str">
            <v>Functioning</v>
          </cell>
          <cell r="U607" t="str">
            <v>Asset</v>
          </cell>
          <cell r="V607">
            <v>10225</v>
          </cell>
          <cell r="W607" t="str">
            <v>KEW</v>
          </cell>
          <cell r="X607" t="str">
            <v>01/09/2010</v>
          </cell>
          <cell r="Y607" t="str">
            <v>KEW</v>
          </cell>
          <cell r="Z607" t="str">
            <v>16/08/2013</v>
          </cell>
          <cell r="AA607" t="str">
            <v>15/08/2015</v>
          </cell>
          <cell r="AB607" t="str">
            <v>No</v>
          </cell>
          <cell r="AC607" t="str">
            <v>31/08/2013</v>
          </cell>
          <cell r="AD607" t="str">
            <v>Good</v>
          </cell>
          <cell r="AE607" t="str">
            <v>V1 - Existing / No Claim</v>
          </cell>
          <cell r="AF607">
            <v>42235</v>
          </cell>
          <cell r="AG607">
            <v>9.17</v>
          </cell>
          <cell r="AH607" t="str">
            <v>PPM</v>
          </cell>
          <cell r="AI607" t="str">
            <v>Strands</v>
          </cell>
          <cell r="AJ607" t="str">
            <v>Strands PW</v>
          </cell>
        </row>
        <row r="608">
          <cell r="A608" t="str">
            <v>IKN400127</v>
          </cell>
          <cell r="B608">
            <v>127</v>
          </cell>
          <cell r="C608" t="str">
            <v>Institut Kanser Negara</v>
          </cell>
          <cell r="D608" t="str">
            <v>KKM/IKN/H/13/1005</v>
          </cell>
          <cell r="E608" t="str">
            <v>13-217</v>
          </cell>
          <cell r="F608" t="str">
            <v>Infusion Pumps, Syringe</v>
          </cell>
          <cell r="G608" t="str">
            <v>IC</v>
          </cell>
          <cell r="H608" t="str">
            <v>INTENSIVE CARE UNIT</v>
          </cell>
          <cell r="I608" t="str">
            <v>05IC129</v>
          </cell>
          <cell r="J608" t="str">
            <v>ISOL 4 (+VE)</v>
          </cell>
          <cell r="K608" t="str">
            <v>BMED</v>
          </cell>
          <cell r="L608" t="str">
            <v>Normal</v>
          </cell>
          <cell r="M608" t="str">
            <v>Germany</v>
          </cell>
          <cell r="N608" t="str">
            <v>Perfusor</v>
          </cell>
          <cell r="O608" t="str">
            <v>Perfusor Space</v>
          </cell>
          <cell r="P608" t="str">
            <v>186988</v>
          </cell>
          <cell r="Q608" t="str">
            <v>Not Applicable</v>
          </cell>
          <cell r="R608" t="str">
            <v>B Braun Melsungen AG</v>
          </cell>
          <cell r="S608" t="str">
            <v>B Braun Medical Supplies Sdn. Bhd.</v>
          </cell>
          <cell r="T608" t="str">
            <v>Functioning</v>
          </cell>
          <cell r="U608" t="str">
            <v>Asset</v>
          </cell>
          <cell r="V608">
            <v>10225</v>
          </cell>
          <cell r="W608" t="str">
            <v>KEW</v>
          </cell>
          <cell r="X608" t="str">
            <v>01/09/2010</v>
          </cell>
          <cell r="Y608" t="str">
            <v>KEW</v>
          </cell>
          <cell r="Z608" t="str">
            <v>16/08/2013</v>
          </cell>
          <cell r="AA608" t="str">
            <v>15/08/2015</v>
          </cell>
          <cell r="AB608" t="str">
            <v>No</v>
          </cell>
          <cell r="AC608" t="str">
            <v>31/08/2013</v>
          </cell>
          <cell r="AD608" t="str">
            <v>Good</v>
          </cell>
          <cell r="AE608" t="str">
            <v>V1 - Existing / No Claim</v>
          </cell>
          <cell r="AF608">
            <v>42235</v>
          </cell>
          <cell r="AG608">
            <v>9.17</v>
          </cell>
          <cell r="AH608" t="str">
            <v>PPM</v>
          </cell>
          <cell r="AI608" t="str">
            <v>Strands</v>
          </cell>
          <cell r="AJ608" t="str">
            <v>Strands PW</v>
          </cell>
        </row>
        <row r="609">
          <cell r="A609" t="str">
            <v>IKN400128</v>
          </cell>
          <cell r="B609">
            <v>128</v>
          </cell>
          <cell r="C609" t="str">
            <v>Institut Kanser Negara</v>
          </cell>
          <cell r="D609" t="str">
            <v>KKM/IKN/H/13/998</v>
          </cell>
          <cell r="E609" t="str">
            <v>13-217</v>
          </cell>
          <cell r="F609" t="str">
            <v>Infusion Pumps, Syringe</v>
          </cell>
          <cell r="G609" t="str">
            <v>IC</v>
          </cell>
          <cell r="H609" t="str">
            <v>INTENSIVE CARE UNIT</v>
          </cell>
          <cell r="I609" t="str">
            <v>05IC129</v>
          </cell>
          <cell r="J609" t="str">
            <v>ISOL 4 (+VE)</v>
          </cell>
          <cell r="K609" t="str">
            <v>BMED</v>
          </cell>
          <cell r="L609" t="str">
            <v>Normal</v>
          </cell>
          <cell r="M609" t="str">
            <v>Germany</v>
          </cell>
          <cell r="N609" t="str">
            <v>Perfusor</v>
          </cell>
          <cell r="O609" t="str">
            <v>Perfusor Space</v>
          </cell>
          <cell r="P609" t="str">
            <v>187055</v>
          </cell>
          <cell r="Q609" t="str">
            <v>Not Applicable</v>
          </cell>
          <cell r="R609" t="str">
            <v>B Braun Melsungen AG</v>
          </cell>
          <cell r="S609" t="str">
            <v>B Braun Medical Supplies Sdn. Bhd.</v>
          </cell>
          <cell r="T609" t="str">
            <v>Functioning</v>
          </cell>
          <cell r="U609" t="str">
            <v>Asset</v>
          </cell>
          <cell r="V609">
            <v>10225</v>
          </cell>
          <cell r="W609" t="str">
            <v>KEW</v>
          </cell>
          <cell r="X609" t="str">
            <v>01/09/2010</v>
          </cell>
          <cell r="Y609" t="str">
            <v>KEW</v>
          </cell>
          <cell r="Z609" t="str">
            <v>16/08/2013</v>
          </cell>
          <cell r="AA609" t="str">
            <v>15/08/2015</v>
          </cell>
          <cell r="AB609" t="str">
            <v>No</v>
          </cell>
          <cell r="AC609" t="str">
            <v>31/08/2013</v>
          </cell>
          <cell r="AD609" t="str">
            <v>Good</v>
          </cell>
          <cell r="AE609" t="str">
            <v>V1 - Existing / No Claim</v>
          </cell>
          <cell r="AF609">
            <v>42235</v>
          </cell>
          <cell r="AG609">
            <v>9.17</v>
          </cell>
          <cell r="AH609" t="str">
            <v>PPM</v>
          </cell>
          <cell r="AI609" t="str">
            <v>Strands</v>
          </cell>
          <cell r="AJ609" t="str">
            <v>Strands PW</v>
          </cell>
        </row>
        <row r="610">
          <cell r="A610" t="str">
            <v>IKN400129</v>
          </cell>
          <cell r="B610">
            <v>129</v>
          </cell>
          <cell r="C610" t="str">
            <v>Institut Kanser Negara</v>
          </cell>
          <cell r="D610" t="str">
            <v>KKM/IKN/H/13/999</v>
          </cell>
          <cell r="E610" t="str">
            <v>13-217</v>
          </cell>
          <cell r="F610" t="str">
            <v>Infusion Pumps, Syringe</v>
          </cell>
          <cell r="G610" t="str">
            <v>IC</v>
          </cell>
          <cell r="H610" t="str">
            <v>INTENSIVE CARE UNIT</v>
          </cell>
          <cell r="I610" t="str">
            <v>05IC131</v>
          </cell>
          <cell r="J610" t="str">
            <v>ISOL 3 (+VE)</v>
          </cell>
          <cell r="K610" t="str">
            <v>BMED</v>
          </cell>
          <cell r="L610" t="str">
            <v>Normal</v>
          </cell>
          <cell r="M610" t="str">
            <v>Germany</v>
          </cell>
          <cell r="N610" t="str">
            <v>Perfusor</v>
          </cell>
          <cell r="O610" t="str">
            <v>Perfusor Space</v>
          </cell>
          <cell r="P610" t="str">
            <v>143336</v>
          </cell>
          <cell r="Q610" t="str">
            <v>Not Applicable</v>
          </cell>
          <cell r="R610" t="str">
            <v>B Braun Melsungen AG</v>
          </cell>
          <cell r="S610" t="str">
            <v>B Braun Medical Supplies Sdn. Bhd.</v>
          </cell>
          <cell r="T610" t="str">
            <v>Functioning</v>
          </cell>
          <cell r="U610" t="str">
            <v>Asset</v>
          </cell>
          <cell r="V610">
            <v>10225</v>
          </cell>
          <cell r="W610" t="str">
            <v>KEW</v>
          </cell>
          <cell r="X610" t="str">
            <v>01/09/2010</v>
          </cell>
          <cell r="Y610" t="str">
            <v>KEW</v>
          </cell>
          <cell r="Z610" t="str">
            <v>16/08/2013</v>
          </cell>
          <cell r="AA610" t="str">
            <v>15/08/2015</v>
          </cell>
          <cell r="AB610" t="str">
            <v>No</v>
          </cell>
          <cell r="AC610" t="str">
            <v>31/08/2013</v>
          </cell>
          <cell r="AD610" t="str">
            <v>Good</v>
          </cell>
          <cell r="AE610" t="str">
            <v>V1 - Existing / No Claim</v>
          </cell>
          <cell r="AF610">
            <v>42235</v>
          </cell>
          <cell r="AG610">
            <v>9.17</v>
          </cell>
          <cell r="AH610" t="str">
            <v>PPM</v>
          </cell>
          <cell r="AI610" t="str">
            <v>Strands</v>
          </cell>
          <cell r="AJ610" t="str">
            <v>Strands PW</v>
          </cell>
        </row>
        <row r="611">
          <cell r="A611" t="str">
            <v>IKN400130</v>
          </cell>
          <cell r="B611">
            <v>130</v>
          </cell>
          <cell r="C611" t="str">
            <v>Institut Kanser Negara</v>
          </cell>
          <cell r="D611" t="str">
            <v>KKM/IKN/H/13/1000</v>
          </cell>
          <cell r="E611" t="str">
            <v>13-217</v>
          </cell>
          <cell r="F611" t="str">
            <v>Infusion Pumps, Syringe</v>
          </cell>
          <cell r="G611" t="str">
            <v>IC</v>
          </cell>
          <cell r="H611" t="str">
            <v>INTENSIVE CARE UNIT</v>
          </cell>
          <cell r="I611" t="str">
            <v>05IC131</v>
          </cell>
          <cell r="J611" t="str">
            <v>ISOL 3 (+VE)</v>
          </cell>
          <cell r="K611" t="str">
            <v>BMED</v>
          </cell>
          <cell r="L611" t="str">
            <v>Normal</v>
          </cell>
          <cell r="M611" t="str">
            <v>Germany</v>
          </cell>
          <cell r="N611" t="str">
            <v>Perfusor</v>
          </cell>
          <cell r="O611" t="str">
            <v>Perfusor Space</v>
          </cell>
          <cell r="P611" t="str">
            <v>186991</v>
          </cell>
          <cell r="Q611" t="str">
            <v>Not Applicable</v>
          </cell>
          <cell r="R611" t="str">
            <v>B Braun Melsungen AG</v>
          </cell>
          <cell r="S611" t="str">
            <v>B Braun Medical Supplies Sdn. Bhd.</v>
          </cell>
          <cell r="T611" t="str">
            <v>Functioning</v>
          </cell>
          <cell r="U611" t="str">
            <v>Asset</v>
          </cell>
          <cell r="V611">
            <v>10225</v>
          </cell>
          <cell r="W611" t="str">
            <v>KEW</v>
          </cell>
          <cell r="X611" t="str">
            <v>01/09/2010</v>
          </cell>
          <cell r="Y611" t="str">
            <v>KEW</v>
          </cell>
          <cell r="Z611" t="str">
            <v>16/08/2013</v>
          </cell>
          <cell r="AA611" t="str">
            <v>15/08/2015</v>
          </cell>
          <cell r="AB611" t="str">
            <v>No</v>
          </cell>
          <cell r="AC611" t="str">
            <v>31/08/2013</v>
          </cell>
          <cell r="AD611" t="str">
            <v>Good</v>
          </cell>
          <cell r="AE611" t="str">
            <v>V1 - Existing / No Claim</v>
          </cell>
          <cell r="AF611">
            <v>42235</v>
          </cell>
          <cell r="AG611">
            <v>9.17</v>
          </cell>
          <cell r="AH611" t="str">
            <v>PPM</v>
          </cell>
          <cell r="AI611" t="str">
            <v>Strands</v>
          </cell>
          <cell r="AJ611" t="str">
            <v>Strands PW</v>
          </cell>
        </row>
        <row r="612">
          <cell r="A612" t="str">
            <v>IKN400131</v>
          </cell>
          <cell r="B612">
            <v>131</v>
          </cell>
          <cell r="C612" t="str">
            <v>Institut Kanser Negara</v>
          </cell>
          <cell r="D612" t="str">
            <v>KKM/IKN/H/13/1001</v>
          </cell>
          <cell r="E612" t="str">
            <v>13-217</v>
          </cell>
          <cell r="F612" t="str">
            <v>Infusion Pumps, Syringe</v>
          </cell>
          <cell r="G612" t="str">
            <v>IC</v>
          </cell>
          <cell r="H612" t="str">
            <v>INTENSIVE CARE UNIT</v>
          </cell>
          <cell r="I612" t="str">
            <v>05IC131</v>
          </cell>
          <cell r="J612" t="str">
            <v>ISOL 3 (+VE)</v>
          </cell>
          <cell r="K612" t="str">
            <v>BMED</v>
          </cell>
          <cell r="L612" t="str">
            <v>Normal</v>
          </cell>
          <cell r="M612" t="str">
            <v>Germany</v>
          </cell>
          <cell r="N612" t="str">
            <v>Perfusor</v>
          </cell>
          <cell r="O612" t="str">
            <v>Perfusor Space</v>
          </cell>
          <cell r="P612" t="str">
            <v>187000</v>
          </cell>
          <cell r="Q612" t="str">
            <v>Not Applicable</v>
          </cell>
          <cell r="R612" t="str">
            <v>B Braun Melsungen AG</v>
          </cell>
          <cell r="S612" t="str">
            <v>B Braun Medical Supplies Sdn. Bhd.</v>
          </cell>
          <cell r="T612" t="str">
            <v>Functioning</v>
          </cell>
          <cell r="U612" t="str">
            <v>Asset</v>
          </cell>
          <cell r="V612">
            <v>10225</v>
          </cell>
          <cell r="W612" t="str">
            <v>KEW</v>
          </cell>
          <cell r="X612" t="str">
            <v>01/09/2010</v>
          </cell>
          <cell r="Y612" t="str">
            <v>KEW</v>
          </cell>
          <cell r="Z612" t="str">
            <v>16/08/2013</v>
          </cell>
          <cell r="AA612" t="str">
            <v>15/08/2015</v>
          </cell>
          <cell r="AB612" t="str">
            <v>No</v>
          </cell>
          <cell r="AC612" t="str">
            <v>31/08/2013</v>
          </cell>
          <cell r="AD612" t="str">
            <v>Good</v>
          </cell>
          <cell r="AE612" t="str">
            <v>V1 - Existing / No Claim</v>
          </cell>
          <cell r="AF612">
            <v>42235</v>
          </cell>
          <cell r="AG612">
            <v>9.17</v>
          </cell>
          <cell r="AH612" t="str">
            <v>PPM</v>
          </cell>
          <cell r="AI612" t="str">
            <v>Strands</v>
          </cell>
          <cell r="AJ612" t="str">
            <v>Strands PW</v>
          </cell>
        </row>
        <row r="613">
          <cell r="A613" t="str">
            <v>IKN400132</v>
          </cell>
          <cell r="B613">
            <v>132</v>
          </cell>
          <cell r="C613" t="str">
            <v>Institut Kanser Negara</v>
          </cell>
          <cell r="D613" t="str">
            <v>KKM/IKN/H/13/1002</v>
          </cell>
          <cell r="E613" t="str">
            <v>13-217</v>
          </cell>
          <cell r="F613" t="str">
            <v>Infusion Pumps, Syringe</v>
          </cell>
          <cell r="G613" t="str">
            <v>IC</v>
          </cell>
          <cell r="H613" t="str">
            <v>INTENSIVE CARE UNIT</v>
          </cell>
          <cell r="I613" t="str">
            <v>05IC131</v>
          </cell>
          <cell r="J613" t="str">
            <v>ISOL 3 (+VE)</v>
          </cell>
          <cell r="K613" t="str">
            <v>BMED</v>
          </cell>
          <cell r="L613" t="str">
            <v>Normal</v>
          </cell>
          <cell r="M613" t="str">
            <v>Germany</v>
          </cell>
          <cell r="N613" t="str">
            <v>Perfusor</v>
          </cell>
          <cell r="O613" t="str">
            <v>Perfusor Space</v>
          </cell>
          <cell r="P613" t="str">
            <v>187040</v>
          </cell>
          <cell r="Q613" t="str">
            <v>Not Applicable</v>
          </cell>
          <cell r="R613" t="str">
            <v>B Braun Melsungen AG</v>
          </cell>
          <cell r="S613" t="str">
            <v>B Braun Medical Supplies Sdn. Bhd.</v>
          </cell>
          <cell r="T613" t="str">
            <v>Functioning</v>
          </cell>
          <cell r="U613" t="str">
            <v>Asset</v>
          </cell>
          <cell r="V613">
            <v>10225</v>
          </cell>
          <cell r="W613" t="str">
            <v>KEW</v>
          </cell>
          <cell r="X613" t="str">
            <v>01/09/2010</v>
          </cell>
          <cell r="Y613" t="str">
            <v>KEW</v>
          </cell>
          <cell r="Z613" t="str">
            <v>16/08/2013</v>
          </cell>
          <cell r="AA613" t="str">
            <v>15/08/2015</v>
          </cell>
          <cell r="AB613" t="str">
            <v>No</v>
          </cell>
          <cell r="AC613" t="str">
            <v>31/08/2013</v>
          </cell>
          <cell r="AD613" t="str">
            <v>Good</v>
          </cell>
          <cell r="AE613" t="str">
            <v>V1 - Existing / No Claim</v>
          </cell>
          <cell r="AF613">
            <v>42235</v>
          </cell>
          <cell r="AG613">
            <v>9.17</v>
          </cell>
          <cell r="AH613" t="str">
            <v>PPM</v>
          </cell>
          <cell r="AI613" t="str">
            <v>Strands</v>
          </cell>
          <cell r="AJ613" t="str">
            <v>Strands PW</v>
          </cell>
        </row>
        <row r="614">
          <cell r="A614" t="str">
            <v>IKN400133</v>
          </cell>
          <cell r="B614">
            <v>133</v>
          </cell>
          <cell r="C614" t="str">
            <v>Institut Kanser Negara</v>
          </cell>
          <cell r="D614" t="str">
            <v>KKM/IKN/H/13/1003</v>
          </cell>
          <cell r="E614" t="str">
            <v>13-217</v>
          </cell>
          <cell r="F614" t="str">
            <v>Infusion Pumps, Syringe</v>
          </cell>
          <cell r="G614" t="str">
            <v>IC</v>
          </cell>
          <cell r="H614" t="str">
            <v>INTENSIVE CARE UNIT</v>
          </cell>
          <cell r="I614" t="str">
            <v>05IC131</v>
          </cell>
          <cell r="J614" t="str">
            <v>ISOL 3 (+VE)</v>
          </cell>
          <cell r="K614" t="str">
            <v>BMED</v>
          </cell>
          <cell r="L614" t="str">
            <v>Normal</v>
          </cell>
          <cell r="M614" t="str">
            <v>Germany</v>
          </cell>
          <cell r="N614" t="str">
            <v>Perfusor</v>
          </cell>
          <cell r="O614" t="str">
            <v>Perfusor Space</v>
          </cell>
          <cell r="P614" t="str">
            <v>187046</v>
          </cell>
          <cell r="Q614" t="str">
            <v>Not Applicable</v>
          </cell>
          <cell r="R614" t="str">
            <v>B Braun Melsungen AG</v>
          </cell>
          <cell r="S614" t="str">
            <v>B Braun Medical Supplies Sdn. Bhd.</v>
          </cell>
          <cell r="T614" t="str">
            <v>Functioning</v>
          </cell>
          <cell r="U614" t="str">
            <v>Asset</v>
          </cell>
          <cell r="V614">
            <v>10225</v>
          </cell>
          <cell r="W614" t="str">
            <v>KEW</v>
          </cell>
          <cell r="X614" t="str">
            <v>01/09/2010</v>
          </cell>
          <cell r="Y614" t="str">
            <v>KEW</v>
          </cell>
          <cell r="Z614" t="str">
            <v>16/08/2013</v>
          </cell>
          <cell r="AA614" t="str">
            <v>15/08/2015</v>
          </cell>
          <cell r="AB614" t="str">
            <v>No</v>
          </cell>
          <cell r="AC614" t="str">
            <v>31/08/2013</v>
          </cell>
          <cell r="AD614" t="str">
            <v>Good</v>
          </cell>
          <cell r="AE614" t="str">
            <v>V1 - Existing / No Claim</v>
          </cell>
          <cell r="AF614">
            <v>42235</v>
          </cell>
          <cell r="AG614">
            <v>9.17</v>
          </cell>
          <cell r="AH614" t="str">
            <v>PPM</v>
          </cell>
          <cell r="AI614" t="str">
            <v>Strands</v>
          </cell>
          <cell r="AJ614" t="str">
            <v>Strands PW</v>
          </cell>
        </row>
        <row r="615">
          <cell r="A615" t="str">
            <v>IKN400134</v>
          </cell>
          <cell r="B615">
            <v>134</v>
          </cell>
          <cell r="C615" t="str">
            <v>Institut Kanser Negara</v>
          </cell>
          <cell r="D615" t="str">
            <v>KKM/IKN/H/13/1004</v>
          </cell>
          <cell r="E615" t="str">
            <v>13-217</v>
          </cell>
          <cell r="F615" t="str">
            <v>Infusion Pumps, Syringe</v>
          </cell>
          <cell r="G615" t="str">
            <v>IC</v>
          </cell>
          <cell r="H615" t="str">
            <v>INTENSIVE CARE UNIT</v>
          </cell>
          <cell r="I615" t="str">
            <v>05IC131</v>
          </cell>
          <cell r="J615" t="str">
            <v>ISOL 3 (+VE)</v>
          </cell>
          <cell r="K615" t="str">
            <v>BMED</v>
          </cell>
          <cell r="L615" t="str">
            <v>Normal</v>
          </cell>
          <cell r="M615" t="str">
            <v>Germany</v>
          </cell>
          <cell r="N615" t="str">
            <v>Perfusor</v>
          </cell>
          <cell r="O615" t="str">
            <v>Perfusor Space</v>
          </cell>
          <cell r="P615" t="str">
            <v>187059</v>
          </cell>
          <cell r="Q615" t="str">
            <v>Not Applicable</v>
          </cell>
          <cell r="R615" t="str">
            <v>B Braun Melsungen AG</v>
          </cell>
          <cell r="S615" t="str">
            <v>B Braun Medical Supplies Sdn. Bhd.</v>
          </cell>
          <cell r="T615" t="str">
            <v>Functioning</v>
          </cell>
          <cell r="U615" t="str">
            <v>Asset</v>
          </cell>
          <cell r="V615">
            <v>10225</v>
          </cell>
          <cell r="W615" t="str">
            <v>KEW</v>
          </cell>
          <cell r="X615" t="str">
            <v>01/09/2010</v>
          </cell>
          <cell r="Y615" t="str">
            <v>KEW</v>
          </cell>
          <cell r="Z615" t="str">
            <v>16/08/2013</v>
          </cell>
          <cell r="AA615" t="str">
            <v>15/08/2015</v>
          </cell>
          <cell r="AB615" t="str">
            <v>No</v>
          </cell>
          <cell r="AC615" t="str">
            <v>31/08/2013</v>
          </cell>
          <cell r="AD615" t="str">
            <v>Good</v>
          </cell>
          <cell r="AE615" t="str">
            <v>V1 - Existing / No Claim</v>
          </cell>
          <cell r="AF615">
            <v>42235</v>
          </cell>
          <cell r="AG615">
            <v>9.17</v>
          </cell>
          <cell r="AH615" t="str">
            <v>PPM</v>
          </cell>
          <cell r="AI615" t="str">
            <v>Strands</v>
          </cell>
          <cell r="AJ615" t="str">
            <v>Strands PW</v>
          </cell>
        </row>
        <row r="616">
          <cell r="A616" t="str">
            <v>IKN400135</v>
          </cell>
          <cell r="B616">
            <v>135</v>
          </cell>
          <cell r="C616" t="str">
            <v>Institut Kanser Negara</v>
          </cell>
          <cell r="D616" t="str">
            <v>KKM/IKN/H/13/1006</v>
          </cell>
          <cell r="E616" t="str">
            <v>13-215</v>
          </cell>
          <cell r="F616" t="str">
            <v>Infusion Pumps, General-Purpose</v>
          </cell>
          <cell r="G616" t="str">
            <v>IC</v>
          </cell>
          <cell r="H616" t="str">
            <v>INTENSIVE CARE UNIT</v>
          </cell>
          <cell r="I616" t="str">
            <v>05IC111</v>
          </cell>
          <cell r="J616" t="str">
            <v>ISOL 1(-VE)</v>
          </cell>
          <cell r="K616" t="str">
            <v>BMED</v>
          </cell>
          <cell r="L616" t="str">
            <v>Normal</v>
          </cell>
          <cell r="M616" t="str">
            <v>Germany</v>
          </cell>
          <cell r="N616" t="str">
            <v>Infusomat</v>
          </cell>
          <cell r="O616" t="str">
            <v>Infusomat Space</v>
          </cell>
          <cell r="P616" t="str">
            <v>212105</v>
          </cell>
          <cell r="Q616" t="str">
            <v>Not Applicable</v>
          </cell>
          <cell r="R616" t="str">
            <v>B Braun Melsungen AG</v>
          </cell>
          <cell r="S616" t="str">
            <v>B Braun Medical Supplies Sdn. Bhd.</v>
          </cell>
          <cell r="T616" t="str">
            <v>Functioning</v>
          </cell>
          <cell r="U616" t="str">
            <v>Asset</v>
          </cell>
          <cell r="V616">
            <v>10825</v>
          </cell>
          <cell r="W616" t="str">
            <v>KEW</v>
          </cell>
          <cell r="X616" t="str">
            <v>01/09/2010</v>
          </cell>
          <cell r="Y616" t="str">
            <v>KEW</v>
          </cell>
          <cell r="Z616" t="str">
            <v>16/08/2013</v>
          </cell>
          <cell r="AA616" t="str">
            <v>15/08/2015</v>
          </cell>
          <cell r="AB616" t="str">
            <v>No</v>
          </cell>
          <cell r="AC616" t="str">
            <v>31/08/2013</v>
          </cell>
          <cell r="AD616" t="str">
            <v>Good</v>
          </cell>
          <cell r="AE616" t="str">
            <v>V1 - Existing / No Claim</v>
          </cell>
          <cell r="AF616">
            <v>42235</v>
          </cell>
          <cell r="AG616">
            <v>9.17</v>
          </cell>
          <cell r="AH616" t="str">
            <v>PPM</v>
          </cell>
          <cell r="AI616" t="str">
            <v>Strands</v>
          </cell>
          <cell r="AJ616" t="str">
            <v>Strands PW</v>
          </cell>
        </row>
        <row r="617">
          <cell r="A617" t="str">
            <v>IKN400136</v>
          </cell>
          <cell r="B617">
            <v>136</v>
          </cell>
          <cell r="C617" t="str">
            <v>Institut Kanser Negara</v>
          </cell>
          <cell r="D617" t="str">
            <v>KKM/IKN/H/13/1008</v>
          </cell>
          <cell r="E617" t="str">
            <v>13-215</v>
          </cell>
          <cell r="F617" t="str">
            <v>Infusion Pumps, General-Purpose</v>
          </cell>
          <cell r="G617" t="str">
            <v>IC</v>
          </cell>
          <cell r="H617" t="str">
            <v>INTENSIVE CARE UNIT</v>
          </cell>
          <cell r="I617" t="str">
            <v>05IC111</v>
          </cell>
          <cell r="J617" t="str">
            <v>ISOL 1(-VE)</v>
          </cell>
          <cell r="K617" t="str">
            <v>BMED</v>
          </cell>
          <cell r="L617" t="str">
            <v>Normal</v>
          </cell>
          <cell r="M617" t="str">
            <v>Germany</v>
          </cell>
          <cell r="N617" t="str">
            <v>Infusomat</v>
          </cell>
          <cell r="O617" t="str">
            <v>Infusomat Space</v>
          </cell>
          <cell r="P617" t="str">
            <v>211994</v>
          </cell>
          <cell r="Q617" t="str">
            <v>Not Applicable</v>
          </cell>
          <cell r="R617" t="str">
            <v>B Braun Melsungen AG</v>
          </cell>
          <cell r="S617" t="str">
            <v>B Braun Medical Supplies Sdn. Bhd.</v>
          </cell>
          <cell r="T617" t="str">
            <v>Functioning</v>
          </cell>
          <cell r="U617" t="str">
            <v>Asset</v>
          </cell>
          <cell r="V617">
            <v>10825</v>
          </cell>
          <cell r="W617" t="str">
            <v>KEW</v>
          </cell>
          <cell r="X617" t="str">
            <v>01/09/2010</v>
          </cell>
          <cell r="Y617" t="str">
            <v>KEW</v>
          </cell>
          <cell r="Z617" t="str">
            <v>16/08/2013</v>
          </cell>
          <cell r="AA617" t="str">
            <v>15/08/2015</v>
          </cell>
          <cell r="AB617" t="str">
            <v>No</v>
          </cell>
          <cell r="AC617" t="str">
            <v>31/08/2013</v>
          </cell>
          <cell r="AD617" t="str">
            <v>Good</v>
          </cell>
          <cell r="AE617" t="str">
            <v>V1 - Existing / No Claim</v>
          </cell>
          <cell r="AF617">
            <v>42235</v>
          </cell>
          <cell r="AG617">
            <v>9.17</v>
          </cell>
          <cell r="AH617" t="str">
            <v>PPM</v>
          </cell>
          <cell r="AI617" t="str">
            <v>Strands</v>
          </cell>
          <cell r="AJ617" t="str">
            <v>Strands PW</v>
          </cell>
        </row>
        <row r="618">
          <cell r="A618" t="str">
            <v>IKN400137</v>
          </cell>
          <cell r="B618">
            <v>137</v>
          </cell>
          <cell r="C618" t="str">
            <v>Institut Kanser Negara</v>
          </cell>
          <cell r="D618" t="str">
            <v>KKM/IKN/H/13/1009</v>
          </cell>
          <cell r="E618" t="str">
            <v>13-215</v>
          </cell>
          <cell r="F618" t="str">
            <v>Infusion Pumps, General-Purpose</v>
          </cell>
          <cell r="G618" t="str">
            <v>IC</v>
          </cell>
          <cell r="H618" t="str">
            <v>INTENSIVE CARE UNIT</v>
          </cell>
          <cell r="I618" t="str">
            <v>05IC112</v>
          </cell>
          <cell r="J618" t="str">
            <v>ICU RM 1</v>
          </cell>
          <cell r="K618" t="str">
            <v>BMED</v>
          </cell>
          <cell r="L618" t="str">
            <v>Normal</v>
          </cell>
          <cell r="M618" t="str">
            <v>Germany</v>
          </cell>
          <cell r="N618" t="str">
            <v>Infusomat</v>
          </cell>
          <cell r="O618" t="str">
            <v>Infusomat Space</v>
          </cell>
          <cell r="P618">
            <v>211715</v>
          </cell>
          <cell r="Q618" t="str">
            <v>Not Applicable</v>
          </cell>
          <cell r="R618" t="str">
            <v>B Braun Melsungen AG</v>
          </cell>
          <cell r="S618" t="str">
            <v>B Braun Medical Supplies Sdn. Bhd.</v>
          </cell>
          <cell r="T618" t="str">
            <v>Functioning</v>
          </cell>
          <cell r="U618" t="str">
            <v>Asset</v>
          </cell>
          <cell r="V618">
            <v>10825</v>
          </cell>
          <cell r="W618" t="str">
            <v>KEW</v>
          </cell>
          <cell r="X618" t="str">
            <v>01/09/2010</v>
          </cell>
          <cell r="Y618" t="str">
            <v>KEW</v>
          </cell>
          <cell r="Z618" t="str">
            <v>16/08/2013</v>
          </cell>
          <cell r="AA618" t="str">
            <v>15/08/2015</v>
          </cell>
          <cell r="AB618" t="str">
            <v>No</v>
          </cell>
          <cell r="AC618" t="str">
            <v>31/08/2013</v>
          </cell>
          <cell r="AD618" t="str">
            <v>Good</v>
          </cell>
          <cell r="AE618" t="str">
            <v>V1 - Existing / No Claim</v>
          </cell>
          <cell r="AF618">
            <v>42235</v>
          </cell>
          <cell r="AG618">
            <v>9.17</v>
          </cell>
          <cell r="AH618" t="str">
            <v>PPM</v>
          </cell>
          <cell r="AI618" t="str">
            <v>Strands</v>
          </cell>
          <cell r="AJ618" t="str">
            <v>Strands PW</v>
          </cell>
        </row>
        <row r="619">
          <cell r="A619" t="str">
            <v>IKN400138</v>
          </cell>
          <cell r="B619">
            <v>138</v>
          </cell>
          <cell r="C619" t="str">
            <v>Institut Kanser Negara</v>
          </cell>
          <cell r="D619" t="str">
            <v>KKM/IKN/H/13/1010</v>
          </cell>
          <cell r="E619" t="str">
            <v>13-215</v>
          </cell>
          <cell r="F619" t="str">
            <v>Infusion Pumps, General-Purpose</v>
          </cell>
          <cell r="G619" t="str">
            <v>IC</v>
          </cell>
          <cell r="H619" t="str">
            <v>INTENSIVE CARE UNIT</v>
          </cell>
          <cell r="I619" t="str">
            <v>05IC112</v>
          </cell>
          <cell r="J619" t="str">
            <v>ICU RM 1</v>
          </cell>
          <cell r="K619" t="str">
            <v>BMED</v>
          </cell>
          <cell r="L619" t="str">
            <v>Normal</v>
          </cell>
          <cell r="M619" t="str">
            <v>Germany</v>
          </cell>
          <cell r="N619" t="str">
            <v>Infusomat</v>
          </cell>
          <cell r="O619" t="str">
            <v>Infusomat Space</v>
          </cell>
          <cell r="P619" t="str">
            <v>211936</v>
          </cell>
          <cell r="Q619" t="str">
            <v>Not Applicable</v>
          </cell>
          <cell r="R619" t="str">
            <v>B Braun Melsungen AG</v>
          </cell>
          <cell r="S619" t="str">
            <v>B Braun Medical Supplies Sdn. Bhd.</v>
          </cell>
          <cell r="T619" t="str">
            <v>Functioning</v>
          </cell>
          <cell r="U619" t="str">
            <v>Asset</v>
          </cell>
          <cell r="V619">
            <v>10825</v>
          </cell>
          <cell r="W619" t="str">
            <v>KEW</v>
          </cell>
          <cell r="X619" t="str">
            <v>01/09/2010</v>
          </cell>
          <cell r="Y619" t="str">
            <v>KEW</v>
          </cell>
          <cell r="Z619" t="str">
            <v>16/08/2013</v>
          </cell>
          <cell r="AA619" t="str">
            <v>15/08/2015</v>
          </cell>
          <cell r="AB619" t="str">
            <v>No</v>
          </cell>
          <cell r="AC619" t="str">
            <v>31/08/2013</v>
          </cell>
          <cell r="AD619" t="str">
            <v>Good</v>
          </cell>
          <cell r="AE619" t="str">
            <v>V1 - Existing / No Claim</v>
          </cell>
          <cell r="AF619">
            <v>42235</v>
          </cell>
          <cell r="AG619">
            <v>9.17</v>
          </cell>
          <cell r="AH619" t="str">
            <v>PPM</v>
          </cell>
          <cell r="AI619" t="str">
            <v>Strands</v>
          </cell>
          <cell r="AJ619" t="str">
            <v>Strands PW</v>
          </cell>
        </row>
        <row r="620">
          <cell r="A620" t="str">
            <v>IKN400139</v>
          </cell>
          <cell r="B620">
            <v>139</v>
          </cell>
          <cell r="C620" t="str">
            <v>Institut Kanser Negara</v>
          </cell>
          <cell r="D620" t="str">
            <v>KKM/IKN/H/13/1011</v>
          </cell>
          <cell r="E620" t="str">
            <v>13-215</v>
          </cell>
          <cell r="F620" t="str">
            <v>Infusion Pumps, General-Purpose</v>
          </cell>
          <cell r="G620" t="str">
            <v>IC</v>
          </cell>
          <cell r="H620" t="str">
            <v>INTENSIVE CARE UNIT</v>
          </cell>
          <cell r="I620" t="str">
            <v>05IC113</v>
          </cell>
          <cell r="J620" t="str">
            <v>ICU RM 2</v>
          </cell>
          <cell r="K620" t="str">
            <v>BMED</v>
          </cell>
          <cell r="L620" t="str">
            <v>Critical</v>
          </cell>
          <cell r="M620" t="str">
            <v>Germany</v>
          </cell>
          <cell r="N620" t="str">
            <v>Infusomat</v>
          </cell>
          <cell r="O620" t="str">
            <v>Infusomat Space</v>
          </cell>
          <cell r="P620" t="str">
            <v>211828</v>
          </cell>
          <cell r="Q620" t="str">
            <v>Not Applicable</v>
          </cell>
          <cell r="R620" t="str">
            <v>B Braun Melsungen AG</v>
          </cell>
          <cell r="S620" t="str">
            <v>B Braun Medical Supplies Sdn. Bhd.</v>
          </cell>
          <cell r="T620" t="str">
            <v>Functioning</v>
          </cell>
          <cell r="U620" t="str">
            <v>Asset</v>
          </cell>
          <cell r="V620">
            <v>10825</v>
          </cell>
          <cell r="W620" t="str">
            <v>KEW</v>
          </cell>
          <cell r="X620" t="str">
            <v>01/09/2010</v>
          </cell>
          <cell r="Y620" t="str">
            <v>KEW</v>
          </cell>
          <cell r="Z620" t="str">
            <v>16/08/2013</v>
          </cell>
          <cell r="AA620" t="str">
            <v>15/08/2015</v>
          </cell>
          <cell r="AB620" t="str">
            <v>No</v>
          </cell>
          <cell r="AC620" t="str">
            <v>31/08/2013</v>
          </cell>
          <cell r="AD620" t="str">
            <v>Good</v>
          </cell>
          <cell r="AE620" t="str">
            <v>V1 - Existing / No Claim</v>
          </cell>
          <cell r="AF620">
            <v>42797</v>
          </cell>
          <cell r="AG620">
            <v>9.17</v>
          </cell>
          <cell r="AH620" t="str">
            <v>PPM</v>
          </cell>
          <cell r="AI620" t="str">
            <v>Strands</v>
          </cell>
          <cell r="AJ620" t="str">
            <v>Strands PW</v>
          </cell>
        </row>
        <row r="621">
          <cell r="A621" t="str">
            <v>IKN400140</v>
          </cell>
          <cell r="B621">
            <v>140</v>
          </cell>
          <cell r="C621" t="str">
            <v>Institut Kanser Negara</v>
          </cell>
          <cell r="D621" t="str">
            <v>KKM/IKN/H/13/1012</v>
          </cell>
          <cell r="E621" t="str">
            <v>13-215</v>
          </cell>
          <cell r="F621" t="str">
            <v>Infusion Pumps, General-Purpose</v>
          </cell>
          <cell r="G621" t="str">
            <v>IC</v>
          </cell>
          <cell r="H621" t="str">
            <v>INTENSIVE CARE UNIT</v>
          </cell>
          <cell r="I621" t="str">
            <v>05IC113</v>
          </cell>
          <cell r="J621" t="str">
            <v>ICU RM 2</v>
          </cell>
          <cell r="K621" t="str">
            <v>BMED</v>
          </cell>
          <cell r="L621" t="str">
            <v>Critical</v>
          </cell>
          <cell r="M621" t="str">
            <v>Germany</v>
          </cell>
          <cell r="N621" t="str">
            <v>Infusomat</v>
          </cell>
          <cell r="O621" t="str">
            <v>Infusomat Space</v>
          </cell>
          <cell r="P621" t="str">
            <v>212094</v>
          </cell>
          <cell r="Q621" t="str">
            <v>Not Applicable</v>
          </cell>
          <cell r="R621" t="str">
            <v>B Braun Melsungen AG</v>
          </cell>
          <cell r="S621" t="str">
            <v>B Braun Medical Supplies Sdn. Bhd.</v>
          </cell>
          <cell r="T621" t="str">
            <v>Functioning</v>
          </cell>
          <cell r="U621" t="str">
            <v>Asset</v>
          </cell>
          <cell r="V621">
            <v>10825</v>
          </cell>
          <cell r="W621" t="str">
            <v>KEW</v>
          </cell>
          <cell r="X621" t="str">
            <v>01/09/2010</v>
          </cell>
          <cell r="Y621" t="str">
            <v>KEW</v>
          </cell>
          <cell r="Z621" t="str">
            <v>16/08/2013</v>
          </cell>
          <cell r="AA621" t="str">
            <v>15/08/2015</v>
          </cell>
          <cell r="AB621" t="str">
            <v>No</v>
          </cell>
          <cell r="AC621" t="str">
            <v>31/08/2013</v>
          </cell>
          <cell r="AD621" t="str">
            <v>Good</v>
          </cell>
          <cell r="AE621" t="str">
            <v>V1 - Existing / No Claim</v>
          </cell>
          <cell r="AF621">
            <v>42797</v>
          </cell>
          <cell r="AG621">
            <v>9.17</v>
          </cell>
          <cell r="AH621" t="str">
            <v>PPM</v>
          </cell>
          <cell r="AI621" t="str">
            <v>Strands</v>
          </cell>
          <cell r="AJ621" t="str">
            <v>Strands PW</v>
          </cell>
        </row>
        <row r="622">
          <cell r="A622" t="str">
            <v>IKN400141</v>
          </cell>
          <cell r="B622">
            <v>141</v>
          </cell>
          <cell r="C622" t="str">
            <v>Institut Kanser Negara</v>
          </cell>
          <cell r="D622" t="str">
            <v>KKM/IKN/H/13/1013</v>
          </cell>
          <cell r="E622" t="str">
            <v>13-215</v>
          </cell>
          <cell r="F622" t="str">
            <v>Infusion Pumps, General-Purpose</v>
          </cell>
          <cell r="G622" t="str">
            <v>IC</v>
          </cell>
          <cell r="H622" t="str">
            <v>INTENSIVE CARE UNIT</v>
          </cell>
          <cell r="I622" t="str">
            <v>05IC114</v>
          </cell>
          <cell r="J622" t="str">
            <v>ICU RM 3</v>
          </cell>
          <cell r="K622" t="str">
            <v>BMED</v>
          </cell>
          <cell r="L622" t="str">
            <v>Critical</v>
          </cell>
          <cell r="M622" t="str">
            <v>Germany</v>
          </cell>
          <cell r="N622" t="str">
            <v>Infusomat</v>
          </cell>
          <cell r="O622" t="str">
            <v>Infusomat Space</v>
          </cell>
          <cell r="P622" t="str">
            <v>211919</v>
          </cell>
          <cell r="Q622" t="str">
            <v>Not Applicable</v>
          </cell>
          <cell r="R622" t="str">
            <v>B Braun Melsungen AG</v>
          </cell>
          <cell r="S622" t="str">
            <v>B Braun Medical Supplies Sdn. Bhd.</v>
          </cell>
          <cell r="T622" t="str">
            <v>Functioning</v>
          </cell>
          <cell r="U622" t="str">
            <v>Asset</v>
          </cell>
          <cell r="V622">
            <v>10825</v>
          </cell>
          <cell r="W622" t="str">
            <v>KEW</v>
          </cell>
          <cell r="X622" t="str">
            <v>01/09/2010</v>
          </cell>
          <cell r="Y622" t="str">
            <v>KEW</v>
          </cell>
          <cell r="Z622" t="str">
            <v>16/08/2013</v>
          </cell>
          <cell r="AA622" t="str">
            <v>15/08/2015</v>
          </cell>
          <cell r="AB622" t="str">
            <v>No</v>
          </cell>
          <cell r="AC622" t="str">
            <v>31/08/2013</v>
          </cell>
          <cell r="AD622" t="str">
            <v>Good</v>
          </cell>
          <cell r="AE622" t="str">
            <v>V1 - Existing / No Claim</v>
          </cell>
          <cell r="AF622">
            <v>42797</v>
          </cell>
          <cell r="AG622">
            <v>9.17</v>
          </cell>
          <cell r="AH622" t="str">
            <v>PPM</v>
          </cell>
          <cell r="AI622" t="str">
            <v>Strands</v>
          </cell>
          <cell r="AJ622" t="str">
            <v>Strands PW</v>
          </cell>
        </row>
        <row r="623">
          <cell r="A623" t="str">
            <v>IKN400142</v>
          </cell>
          <cell r="B623">
            <v>142</v>
          </cell>
          <cell r="C623" t="str">
            <v>Institut Kanser Negara</v>
          </cell>
          <cell r="D623" t="str">
            <v>KKM/IKN/H/13/1014</v>
          </cell>
          <cell r="E623" t="str">
            <v>13-215</v>
          </cell>
          <cell r="F623" t="str">
            <v>Infusion Pumps, General-Purpose</v>
          </cell>
          <cell r="G623" t="str">
            <v>IC</v>
          </cell>
          <cell r="H623" t="str">
            <v>INTENSIVE CARE UNIT</v>
          </cell>
          <cell r="I623" t="str">
            <v>05IC114</v>
          </cell>
          <cell r="J623" t="str">
            <v>ICU RM 3</v>
          </cell>
          <cell r="K623" t="str">
            <v>BMED</v>
          </cell>
          <cell r="L623" t="str">
            <v>Normal</v>
          </cell>
          <cell r="M623" t="str">
            <v>Germany</v>
          </cell>
          <cell r="N623" t="str">
            <v>Infusomat</v>
          </cell>
          <cell r="O623" t="str">
            <v>Infusomat Space</v>
          </cell>
          <cell r="P623" t="str">
            <v>212022</v>
          </cell>
          <cell r="Q623" t="str">
            <v>Not Applicable</v>
          </cell>
          <cell r="R623" t="str">
            <v>B Braun Melsungen AG</v>
          </cell>
          <cell r="S623" t="str">
            <v>B Braun Medical Supplies Sdn. Bhd.</v>
          </cell>
          <cell r="T623" t="str">
            <v>Functioning</v>
          </cell>
          <cell r="U623" t="str">
            <v>Asset</v>
          </cell>
          <cell r="V623">
            <v>10825</v>
          </cell>
          <cell r="W623" t="str">
            <v>KEW</v>
          </cell>
          <cell r="X623" t="str">
            <v>01/09/2010</v>
          </cell>
          <cell r="Y623" t="str">
            <v>KEW</v>
          </cell>
          <cell r="Z623" t="str">
            <v>16/08/2013</v>
          </cell>
          <cell r="AA623" t="str">
            <v>15/08/2015</v>
          </cell>
          <cell r="AB623" t="str">
            <v>No</v>
          </cell>
          <cell r="AC623" t="str">
            <v>31/08/2013</v>
          </cell>
          <cell r="AD623" t="str">
            <v>Good</v>
          </cell>
          <cell r="AE623" t="str">
            <v>V1 - Existing / No Claim</v>
          </cell>
          <cell r="AF623">
            <v>42235</v>
          </cell>
          <cell r="AG623">
            <v>9.17</v>
          </cell>
          <cell r="AH623" t="str">
            <v>PPM</v>
          </cell>
          <cell r="AI623" t="str">
            <v>Strands</v>
          </cell>
          <cell r="AJ623" t="str">
            <v>Strands PW</v>
          </cell>
        </row>
        <row r="624">
          <cell r="A624" t="str">
            <v>IKN400143</v>
          </cell>
          <cell r="B624">
            <v>143</v>
          </cell>
          <cell r="C624" t="str">
            <v>Institut Kanser Negara</v>
          </cell>
          <cell r="D624" t="str">
            <v>KKM/IKN/H/13/1015</v>
          </cell>
          <cell r="E624" t="str">
            <v>13-215</v>
          </cell>
          <cell r="F624" t="str">
            <v>Infusion Pumps, General-Purpose</v>
          </cell>
          <cell r="G624" t="str">
            <v>IC</v>
          </cell>
          <cell r="H624" t="str">
            <v>INTENSIVE CARE UNIT</v>
          </cell>
          <cell r="I624" t="str">
            <v>05IC115</v>
          </cell>
          <cell r="J624" t="str">
            <v>ICU RM 4</v>
          </cell>
          <cell r="K624" t="str">
            <v>BMED</v>
          </cell>
          <cell r="L624" t="str">
            <v>Normal</v>
          </cell>
          <cell r="M624" t="str">
            <v>Germany</v>
          </cell>
          <cell r="N624" t="str">
            <v>Infusomat</v>
          </cell>
          <cell r="O624" t="str">
            <v>Infusomat Space</v>
          </cell>
          <cell r="P624" t="str">
            <v>212054</v>
          </cell>
          <cell r="Q624" t="str">
            <v>Not Applicable</v>
          </cell>
          <cell r="R624" t="str">
            <v>B Braun Melsungen AG</v>
          </cell>
          <cell r="S624" t="str">
            <v>B Braun Medical Supplies Sdn. Bhd.</v>
          </cell>
          <cell r="T624" t="str">
            <v>Functioning</v>
          </cell>
          <cell r="U624" t="str">
            <v>Asset</v>
          </cell>
          <cell r="V624">
            <v>10825</v>
          </cell>
          <cell r="W624" t="str">
            <v>KEW</v>
          </cell>
          <cell r="X624" t="str">
            <v>01/09/2010</v>
          </cell>
          <cell r="Y624" t="str">
            <v>KEW</v>
          </cell>
          <cell r="Z624" t="str">
            <v>16/08/2013</v>
          </cell>
          <cell r="AA624" t="str">
            <v>15/08/2015</v>
          </cell>
          <cell r="AB624" t="str">
            <v>No</v>
          </cell>
          <cell r="AC624" t="str">
            <v>31/08/2013</v>
          </cell>
          <cell r="AD624" t="str">
            <v>Good</v>
          </cell>
          <cell r="AE624" t="str">
            <v>V1 - Existing / No Claim</v>
          </cell>
          <cell r="AF624">
            <v>42235</v>
          </cell>
          <cell r="AG624">
            <v>9.17</v>
          </cell>
          <cell r="AH624" t="str">
            <v>PPM</v>
          </cell>
          <cell r="AI624" t="str">
            <v>Strands</v>
          </cell>
          <cell r="AJ624" t="str">
            <v>Strands PW</v>
          </cell>
        </row>
        <row r="625">
          <cell r="A625" t="str">
            <v>IKN400144</v>
          </cell>
          <cell r="B625">
            <v>144</v>
          </cell>
          <cell r="C625" t="str">
            <v>Institut Kanser Negara</v>
          </cell>
          <cell r="D625" t="str">
            <v>KKM/IKN/H/13/1016</v>
          </cell>
          <cell r="E625" t="str">
            <v>13-215</v>
          </cell>
          <cell r="F625" t="str">
            <v>Infusion Pumps, General-Purpose</v>
          </cell>
          <cell r="G625" t="str">
            <v>IC</v>
          </cell>
          <cell r="H625" t="str">
            <v>INTENSIVE CARE UNIT</v>
          </cell>
          <cell r="I625" t="str">
            <v>05IC115</v>
          </cell>
          <cell r="J625" t="str">
            <v>ICU RM 4</v>
          </cell>
          <cell r="K625" t="str">
            <v>BMED</v>
          </cell>
          <cell r="L625" t="str">
            <v>Critical</v>
          </cell>
          <cell r="M625" t="str">
            <v>Germany</v>
          </cell>
          <cell r="N625" t="str">
            <v>Infusomat</v>
          </cell>
          <cell r="O625" t="str">
            <v>Infusomat Space</v>
          </cell>
          <cell r="P625" t="str">
            <v>211920</v>
          </cell>
          <cell r="Q625" t="str">
            <v>Not Applicable</v>
          </cell>
          <cell r="R625" t="str">
            <v>B Braun Melsungen AG</v>
          </cell>
          <cell r="S625" t="str">
            <v>B Braun Medical Supplies Sdn. Bhd.</v>
          </cell>
          <cell r="T625" t="str">
            <v>Functioning</v>
          </cell>
          <cell r="U625" t="str">
            <v>Asset</v>
          </cell>
          <cell r="V625">
            <v>10825</v>
          </cell>
          <cell r="W625" t="str">
            <v>KEW</v>
          </cell>
          <cell r="X625" t="str">
            <v>01/09/2010</v>
          </cell>
          <cell r="Y625" t="str">
            <v>KEW</v>
          </cell>
          <cell r="Z625" t="str">
            <v>16/08/2013</v>
          </cell>
          <cell r="AA625" t="str">
            <v>15/08/2015</v>
          </cell>
          <cell r="AB625" t="str">
            <v>No</v>
          </cell>
          <cell r="AC625" t="str">
            <v>31/08/2013</v>
          </cell>
          <cell r="AD625" t="str">
            <v>Good</v>
          </cell>
          <cell r="AE625" t="str">
            <v>V1 - Existing / No Claim</v>
          </cell>
          <cell r="AF625">
            <v>42797</v>
          </cell>
          <cell r="AG625">
            <v>9.17</v>
          </cell>
          <cell r="AH625" t="str">
            <v>PPM</v>
          </cell>
          <cell r="AI625" t="str">
            <v>Strands</v>
          </cell>
          <cell r="AJ625" t="str">
            <v>Strands PW</v>
          </cell>
        </row>
        <row r="626">
          <cell r="A626" t="str">
            <v>IKN400145</v>
          </cell>
          <cell r="B626">
            <v>145</v>
          </cell>
          <cell r="C626" t="str">
            <v>Institut Kanser Negara</v>
          </cell>
          <cell r="D626" t="str">
            <v>KKM/IKN/H/13/1017</v>
          </cell>
          <cell r="E626" t="str">
            <v>13-215</v>
          </cell>
          <cell r="F626" t="str">
            <v>Infusion Pumps, General-Purpose</v>
          </cell>
          <cell r="G626" t="str">
            <v>IC</v>
          </cell>
          <cell r="H626" t="str">
            <v>INTENSIVE CARE UNIT</v>
          </cell>
          <cell r="I626" t="str">
            <v>05IC116</v>
          </cell>
          <cell r="J626" t="str">
            <v>ISOL 2 (+VE)</v>
          </cell>
          <cell r="K626" t="str">
            <v>BMED</v>
          </cell>
          <cell r="L626" t="str">
            <v>Critical</v>
          </cell>
          <cell r="M626" t="str">
            <v>Germany</v>
          </cell>
          <cell r="N626" t="str">
            <v>Infusomat</v>
          </cell>
          <cell r="O626" t="str">
            <v>Infusomat Space</v>
          </cell>
          <cell r="P626" t="str">
            <v>211981</v>
          </cell>
          <cell r="Q626" t="str">
            <v>Not Applicable</v>
          </cell>
          <cell r="R626" t="str">
            <v>B Braun Melsungen AG</v>
          </cell>
          <cell r="S626" t="str">
            <v>B Braun Medical Supplies Sdn. Bhd.</v>
          </cell>
          <cell r="T626" t="str">
            <v>Functioning</v>
          </cell>
          <cell r="U626" t="str">
            <v>Asset</v>
          </cell>
          <cell r="V626">
            <v>10825</v>
          </cell>
          <cell r="W626" t="str">
            <v>KEW</v>
          </cell>
          <cell r="X626" t="str">
            <v>01/09/2010</v>
          </cell>
          <cell r="Y626" t="str">
            <v>KEW</v>
          </cell>
          <cell r="Z626" t="str">
            <v>16/08/2013</v>
          </cell>
          <cell r="AA626" t="str">
            <v>15/08/2015</v>
          </cell>
          <cell r="AB626" t="str">
            <v>No</v>
          </cell>
          <cell r="AC626" t="str">
            <v>31/08/2013</v>
          </cell>
          <cell r="AD626" t="str">
            <v>Good</v>
          </cell>
          <cell r="AE626" t="str">
            <v>V1 - Existing / No Claim</v>
          </cell>
          <cell r="AF626">
            <v>42797</v>
          </cell>
          <cell r="AG626">
            <v>9.17</v>
          </cell>
          <cell r="AH626" t="str">
            <v>PPM</v>
          </cell>
          <cell r="AI626" t="str">
            <v>Strands</v>
          </cell>
          <cell r="AJ626" t="str">
            <v>Strands PW</v>
          </cell>
        </row>
        <row r="627">
          <cell r="A627" t="str">
            <v>IKN400146</v>
          </cell>
          <cell r="B627">
            <v>146</v>
          </cell>
          <cell r="C627" t="str">
            <v>Institut Kanser Negara</v>
          </cell>
          <cell r="D627" t="str">
            <v>KKM/IKN/H/13/1018</v>
          </cell>
          <cell r="E627" t="str">
            <v>13-215</v>
          </cell>
          <cell r="F627" t="str">
            <v>Infusion Pumps, General-Purpose</v>
          </cell>
          <cell r="G627" t="str">
            <v>IC</v>
          </cell>
          <cell r="H627" t="str">
            <v>INTENSIVE CARE UNIT</v>
          </cell>
          <cell r="I627" t="str">
            <v>05IC116</v>
          </cell>
          <cell r="J627" t="str">
            <v>ISOL 2 (+VE)</v>
          </cell>
          <cell r="K627" t="str">
            <v>BMED</v>
          </cell>
          <cell r="L627" t="str">
            <v>Critical</v>
          </cell>
          <cell r="M627" t="str">
            <v>Germany</v>
          </cell>
          <cell r="N627" t="str">
            <v>Infusomat</v>
          </cell>
          <cell r="O627" t="str">
            <v>Infusomat Space</v>
          </cell>
          <cell r="P627" t="str">
            <v>212071</v>
          </cell>
          <cell r="Q627" t="str">
            <v>Not Applicable</v>
          </cell>
          <cell r="R627" t="str">
            <v>B Braun Melsungen AG</v>
          </cell>
          <cell r="S627" t="str">
            <v>B Braun Medical Supplies Sdn. Bhd.</v>
          </cell>
          <cell r="T627" t="str">
            <v>Functioning</v>
          </cell>
          <cell r="U627" t="str">
            <v>Asset</v>
          </cell>
          <cell r="V627">
            <v>10825</v>
          </cell>
          <cell r="W627" t="str">
            <v>KEW</v>
          </cell>
          <cell r="X627" t="str">
            <v>01/09/2010</v>
          </cell>
          <cell r="Y627" t="str">
            <v>KEW</v>
          </cell>
          <cell r="Z627" t="str">
            <v>16/08/2013</v>
          </cell>
          <cell r="AA627" t="str">
            <v>15/08/2015</v>
          </cell>
          <cell r="AB627" t="str">
            <v>No</v>
          </cell>
          <cell r="AC627" t="str">
            <v>31/08/2013</v>
          </cell>
          <cell r="AD627" t="str">
            <v>Good</v>
          </cell>
          <cell r="AE627" t="str">
            <v>V1 - Existing / No Claim</v>
          </cell>
          <cell r="AF627">
            <v>42797</v>
          </cell>
          <cell r="AG627">
            <v>9.17</v>
          </cell>
          <cell r="AH627" t="str">
            <v>PPM</v>
          </cell>
          <cell r="AI627" t="str">
            <v>Strands</v>
          </cell>
          <cell r="AJ627" t="str">
            <v>Strands PW</v>
          </cell>
        </row>
        <row r="628">
          <cell r="A628" t="str">
            <v>IKN400147</v>
          </cell>
          <cell r="B628">
            <v>147</v>
          </cell>
          <cell r="C628" t="str">
            <v>Institut Kanser Negara</v>
          </cell>
          <cell r="D628" t="str">
            <v>KKM/IKN/H/13/1019</v>
          </cell>
          <cell r="E628" t="str">
            <v>13-215</v>
          </cell>
          <cell r="F628" t="str">
            <v>Infusion Pumps, General-Purpose</v>
          </cell>
          <cell r="G628" t="str">
            <v>IC</v>
          </cell>
          <cell r="H628" t="str">
            <v>INTENSIVE CARE UNIT</v>
          </cell>
          <cell r="I628" t="str">
            <v>05IC129</v>
          </cell>
          <cell r="J628" t="str">
            <v>ISOL 4 (+VE)</v>
          </cell>
          <cell r="K628" t="str">
            <v>BMED</v>
          </cell>
          <cell r="L628" t="str">
            <v>Normal</v>
          </cell>
          <cell r="M628" t="str">
            <v>Germany</v>
          </cell>
          <cell r="N628" t="str">
            <v>Infusomat</v>
          </cell>
          <cell r="O628" t="str">
            <v>Infusomat Space</v>
          </cell>
          <cell r="P628" t="str">
            <v>211870</v>
          </cell>
          <cell r="Q628" t="str">
            <v>Not Applicable</v>
          </cell>
          <cell r="R628" t="str">
            <v>B Braun Melsungen AG</v>
          </cell>
          <cell r="S628" t="str">
            <v>B Braun Medical Supplies Sdn. Bhd.</v>
          </cell>
          <cell r="T628" t="str">
            <v>Functioning</v>
          </cell>
          <cell r="U628" t="str">
            <v>Asset</v>
          </cell>
          <cell r="V628">
            <v>10825</v>
          </cell>
          <cell r="W628" t="str">
            <v>KEW</v>
          </cell>
          <cell r="X628" t="str">
            <v>01/09/2010</v>
          </cell>
          <cell r="Y628" t="str">
            <v>KEW</v>
          </cell>
          <cell r="Z628" t="str">
            <v>16/08/2013</v>
          </cell>
          <cell r="AA628" t="str">
            <v>15/08/2015</v>
          </cell>
          <cell r="AB628" t="str">
            <v>No</v>
          </cell>
          <cell r="AC628" t="str">
            <v>31/08/2013</v>
          </cell>
          <cell r="AD628" t="str">
            <v>Good</v>
          </cell>
          <cell r="AE628" t="str">
            <v>V1 - Existing / No Claim</v>
          </cell>
          <cell r="AF628">
            <v>42235</v>
          </cell>
          <cell r="AG628">
            <v>9.17</v>
          </cell>
          <cell r="AH628" t="str">
            <v>PPM</v>
          </cell>
          <cell r="AI628" t="str">
            <v>Strands</v>
          </cell>
          <cell r="AJ628" t="str">
            <v>Strands PW</v>
          </cell>
        </row>
        <row r="629">
          <cell r="A629" t="str">
            <v>IKN400148</v>
          </cell>
          <cell r="B629">
            <v>148</v>
          </cell>
          <cell r="C629" t="str">
            <v>Institut Kanser Negara</v>
          </cell>
          <cell r="D629" t="str">
            <v>KKM/IKN/H/13/1020</v>
          </cell>
          <cell r="E629" t="str">
            <v>13-215</v>
          </cell>
          <cell r="F629" t="str">
            <v>Infusion Pumps, General-Purpose</v>
          </cell>
          <cell r="G629" t="str">
            <v>IC</v>
          </cell>
          <cell r="H629" t="str">
            <v>INTENSIVE CARE UNIT</v>
          </cell>
          <cell r="I629" t="str">
            <v>05IC129</v>
          </cell>
          <cell r="J629" t="str">
            <v>ISOL 4 (+VE)</v>
          </cell>
          <cell r="K629" t="str">
            <v>BMED</v>
          </cell>
          <cell r="L629" t="str">
            <v>Normal</v>
          </cell>
          <cell r="M629" t="str">
            <v>Germany</v>
          </cell>
          <cell r="N629" t="str">
            <v>Infusomat</v>
          </cell>
          <cell r="O629" t="str">
            <v>Infusomat Space</v>
          </cell>
          <cell r="P629" t="str">
            <v>212100</v>
          </cell>
          <cell r="Q629" t="str">
            <v>Not Applicable</v>
          </cell>
          <cell r="R629" t="str">
            <v>B Braun Melsungen AG</v>
          </cell>
          <cell r="S629" t="str">
            <v>B Braun Medical Supplies Sdn. Bhd.</v>
          </cell>
          <cell r="T629" t="str">
            <v>Functioning</v>
          </cell>
          <cell r="U629" t="str">
            <v>Asset</v>
          </cell>
          <cell r="V629">
            <v>10825</v>
          </cell>
          <cell r="W629" t="str">
            <v>KEW</v>
          </cell>
          <cell r="X629" t="str">
            <v>01/09/2010</v>
          </cell>
          <cell r="Y629" t="str">
            <v>KEW</v>
          </cell>
          <cell r="Z629" t="str">
            <v>16/08/2013</v>
          </cell>
          <cell r="AA629" t="str">
            <v>15/08/2015</v>
          </cell>
          <cell r="AB629" t="str">
            <v>No</v>
          </cell>
          <cell r="AC629" t="str">
            <v>31/08/2013</v>
          </cell>
          <cell r="AD629" t="str">
            <v>Good</v>
          </cell>
          <cell r="AE629" t="str">
            <v>V1 - Existing / No Claim</v>
          </cell>
          <cell r="AF629">
            <v>42235</v>
          </cell>
          <cell r="AG629">
            <v>9.17</v>
          </cell>
          <cell r="AH629" t="str">
            <v>PPM</v>
          </cell>
          <cell r="AI629" t="str">
            <v>Strands</v>
          </cell>
          <cell r="AJ629" t="str">
            <v>Strands PW</v>
          </cell>
        </row>
        <row r="630">
          <cell r="A630" t="str">
            <v>IKN400149</v>
          </cell>
          <cell r="B630">
            <v>149</v>
          </cell>
          <cell r="C630" t="str">
            <v>Institut Kanser Negara</v>
          </cell>
          <cell r="D630" t="str">
            <v>KKM/IKN/H/13/1021</v>
          </cell>
          <cell r="E630" t="str">
            <v>13-215</v>
          </cell>
          <cell r="F630" t="str">
            <v>Infusion Pumps, General-Purpose</v>
          </cell>
          <cell r="G630" t="str">
            <v>IC</v>
          </cell>
          <cell r="H630" t="str">
            <v>INTENSIVE CARE UNIT</v>
          </cell>
          <cell r="I630" t="str">
            <v>05IC131</v>
          </cell>
          <cell r="J630" t="str">
            <v>ISOL 3 (+VE)</v>
          </cell>
          <cell r="K630" t="str">
            <v>BMED</v>
          </cell>
          <cell r="L630" t="str">
            <v>Normal</v>
          </cell>
          <cell r="M630" t="str">
            <v>Germany</v>
          </cell>
          <cell r="N630" t="str">
            <v>Infusomat</v>
          </cell>
          <cell r="O630" t="str">
            <v>Infusomat Space</v>
          </cell>
          <cell r="P630" t="str">
            <v>212111</v>
          </cell>
          <cell r="Q630" t="str">
            <v>Not Applicable</v>
          </cell>
          <cell r="R630" t="str">
            <v>B Braun Melsungen AG</v>
          </cell>
          <cell r="S630" t="str">
            <v>B Braun Medical Supplies Sdn. Bhd.</v>
          </cell>
          <cell r="T630" t="str">
            <v>Functioning</v>
          </cell>
          <cell r="U630" t="str">
            <v>Asset</v>
          </cell>
          <cell r="V630">
            <v>10825</v>
          </cell>
          <cell r="W630" t="str">
            <v>KEW</v>
          </cell>
          <cell r="X630" t="str">
            <v>01/09/2010</v>
          </cell>
          <cell r="Y630" t="str">
            <v>KEW</v>
          </cell>
          <cell r="Z630" t="str">
            <v>16/08/2013</v>
          </cell>
          <cell r="AA630" t="str">
            <v>15/08/2015</v>
          </cell>
          <cell r="AB630" t="str">
            <v>No</v>
          </cell>
          <cell r="AC630" t="str">
            <v>31/08/2013</v>
          </cell>
          <cell r="AD630" t="str">
            <v>Good</v>
          </cell>
          <cell r="AE630" t="str">
            <v>V1 - Existing / No Claim</v>
          </cell>
          <cell r="AF630">
            <v>42235</v>
          </cell>
          <cell r="AG630">
            <v>9.17</v>
          </cell>
          <cell r="AH630" t="str">
            <v>PPM</v>
          </cell>
          <cell r="AI630" t="str">
            <v>Strands</v>
          </cell>
          <cell r="AJ630" t="str">
            <v>Strands PW</v>
          </cell>
        </row>
        <row r="631">
          <cell r="A631" t="str">
            <v>IKN400150</v>
          </cell>
          <cell r="B631">
            <v>150</v>
          </cell>
          <cell r="C631" t="str">
            <v>Institut Kanser Negara</v>
          </cell>
          <cell r="D631" t="str">
            <v>KKM/IKN/H/13/1022</v>
          </cell>
          <cell r="E631" t="str">
            <v>13-215</v>
          </cell>
          <cell r="F631" t="str">
            <v>Infusion Pumps, General-Purpose</v>
          </cell>
          <cell r="G631" t="str">
            <v>IC</v>
          </cell>
          <cell r="H631" t="str">
            <v>INTENSIVE CARE UNIT</v>
          </cell>
          <cell r="I631" t="str">
            <v>05IC131</v>
          </cell>
          <cell r="J631" t="str">
            <v>ISOL 3 (+VE)</v>
          </cell>
          <cell r="K631" t="str">
            <v>BMED</v>
          </cell>
          <cell r="L631" t="str">
            <v>Normal</v>
          </cell>
          <cell r="M631" t="str">
            <v>Germany</v>
          </cell>
          <cell r="N631" t="str">
            <v>Infusomat</v>
          </cell>
          <cell r="O631" t="str">
            <v>Infusomat Space</v>
          </cell>
          <cell r="P631" t="str">
            <v>212060</v>
          </cell>
          <cell r="Q631" t="str">
            <v>Not Applicable</v>
          </cell>
          <cell r="R631" t="str">
            <v>B Braun Melsungen AG</v>
          </cell>
          <cell r="S631" t="str">
            <v>B Braun Medical Supplies Sdn. Bhd.</v>
          </cell>
          <cell r="T631" t="str">
            <v>Functioning</v>
          </cell>
          <cell r="U631" t="str">
            <v>Asset</v>
          </cell>
          <cell r="V631">
            <v>10825</v>
          </cell>
          <cell r="W631" t="str">
            <v>KEW</v>
          </cell>
          <cell r="X631" t="str">
            <v>01/09/2010</v>
          </cell>
          <cell r="Y631" t="str">
            <v>KEW</v>
          </cell>
          <cell r="Z631" t="str">
            <v>16/08/2013</v>
          </cell>
          <cell r="AA631" t="str">
            <v>15/08/2015</v>
          </cell>
          <cell r="AB631" t="str">
            <v>No</v>
          </cell>
          <cell r="AC631" t="str">
            <v>31/08/2013</v>
          </cell>
          <cell r="AD631" t="str">
            <v>Good</v>
          </cell>
          <cell r="AE631" t="str">
            <v>V1 - Existing / No Claim</v>
          </cell>
          <cell r="AF631">
            <v>42235</v>
          </cell>
          <cell r="AG631">
            <v>9.17</v>
          </cell>
          <cell r="AH631" t="str">
            <v>PPM</v>
          </cell>
          <cell r="AI631" t="str">
            <v>Strands</v>
          </cell>
          <cell r="AJ631" t="str">
            <v>Strands PW</v>
          </cell>
        </row>
        <row r="632">
          <cell r="A632" t="str">
            <v>IKN400151</v>
          </cell>
          <cell r="B632">
            <v>151</v>
          </cell>
          <cell r="C632" t="str">
            <v>Institut Kanser Negara</v>
          </cell>
          <cell r="D632" t="str">
            <v>KKM/IKN/H/13/1023</v>
          </cell>
          <cell r="E632" t="str">
            <v>18-147</v>
          </cell>
          <cell r="F632" t="str">
            <v>Mattress Systems, Alternating-Pressure</v>
          </cell>
          <cell r="G632" t="str">
            <v>WE</v>
          </cell>
          <cell r="H632" t="str">
            <v>RT/ONCO WARD 1 (F)</v>
          </cell>
          <cell r="I632" t="str">
            <v>07WE113</v>
          </cell>
          <cell r="J632" t="str">
            <v>EQUIPMENT ROOM</v>
          </cell>
          <cell r="K632" t="str">
            <v>BMED</v>
          </cell>
          <cell r="L632" t="str">
            <v>Normal</v>
          </cell>
          <cell r="M632" t="str">
            <v>Poland</v>
          </cell>
          <cell r="N632" t="str">
            <v>Nimbus</v>
          </cell>
          <cell r="O632" t="str">
            <v>Nimbus 3</v>
          </cell>
          <cell r="P632" t="str">
            <v>1200006460</v>
          </cell>
          <cell r="Q632" t="str">
            <v>Not Applicable</v>
          </cell>
          <cell r="R632" t="str">
            <v>Arjohuntleigh</v>
          </cell>
          <cell r="S632" t="str">
            <v>Hexamine Sdn. Bhd.</v>
          </cell>
          <cell r="T632" t="str">
            <v>Functioning</v>
          </cell>
          <cell r="U632" t="str">
            <v>Asset</v>
          </cell>
          <cell r="V632">
            <v>28630</v>
          </cell>
          <cell r="W632" t="str">
            <v>KEW</v>
          </cell>
          <cell r="X632" t="str">
            <v>01/09/2010</v>
          </cell>
          <cell r="Y632" t="str">
            <v>KEW</v>
          </cell>
          <cell r="Z632" t="str">
            <v>16/08/2013</v>
          </cell>
          <cell r="AA632" t="str">
            <v>15/08/2015</v>
          </cell>
          <cell r="AB632" t="str">
            <v>No</v>
          </cell>
          <cell r="AC632" t="str">
            <v>31/08/2013</v>
          </cell>
          <cell r="AD632" t="str">
            <v>Good</v>
          </cell>
          <cell r="AE632" t="str">
            <v>V1 - Existing / No Claim</v>
          </cell>
          <cell r="AF632">
            <v>42992</v>
          </cell>
          <cell r="AG632">
            <v>9.17</v>
          </cell>
          <cell r="AH632" t="str">
            <v>PPM</v>
          </cell>
          <cell r="AI632" t="str">
            <v>Strands</v>
          </cell>
          <cell r="AJ632" t="str">
            <v>Strands PW</v>
          </cell>
        </row>
        <row r="633">
          <cell r="A633" t="str">
            <v>IKN400152</v>
          </cell>
          <cell r="B633">
            <v>152</v>
          </cell>
          <cell r="C633" t="str">
            <v>Institut Kanser Negara</v>
          </cell>
          <cell r="D633" t="str">
            <v>KKM/IKN/H/13/1024</v>
          </cell>
          <cell r="E633" t="str">
            <v>18-147</v>
          </cell>
          <cell r="F633" t="str">
            <v>Mattress Systems, Alternating-Pressure</v>
          </cell>
          <cell r="G633" t="str">
            <v>WF</v>
          </cell>
          <cell r="H633" t="str">
            <v>RT/ONCO WARD 2 (F)</v>
          </cell>
          <cell r="I633" t="str">
            <v>07WF121</v>
          </cell>
          <cell r="J633" t="str">
            <v>EQUIPMENT ROOM</v>
          </cell>
          <cell r="K633" t="str">
            <v>BMED</v>
          </cell>
          <cell r="L633" t="str">
            <v>Normal</v>
          </cell>
          <cell r="M633" t="str">
            <v>Poland</v>
          </cell>
          <cell r="N633" t="str">
            <v>Nimbus</v>
          </cell>
          <cell r="O633" t="str">
            <v>Nimbus 3</v>
          </cell>
          <cell r="P633" t="str">
            <v>1200006461</v>
          </cell>
          <cell r="Q633" t="str">
            <v>Not Applicable</v>
          </cell>
          <cell r="R633" t="str">
            <v>Arjohuntleigh</v>
          </cell>
          <cell r="S633" t="str">
            <v>Hexamine Sdn. Bhd.</v>
          </cell>
          <cell r="T633" t="str">
            <v>Functioning</v>
          </cell>
          <cell r="U633" t="str">
            <v>Asset</v>
          </cell>
          <cell r="V633">
            <v>28630</v>
          </cell>
          <cell r="W633" t="str">
            <v>KEW</v>
          </cell>
          <cell r="X633" t="str">
            <v>01/09/2010</v>
          </cell>
          <cell r="Y633" t="str">
            <v>KEW</v>
          </cell>
          <cell r="Z633" t="str">
            <v>16/08/2013</v>
          </cell>
          <cell r="AA633" t="str">
            <v>15/08/2015</v>
          </cell>
          <cell r="AB633" t="str">
            <v>No</v>
          </cell>
          <cell r="AC633" t="str">
            <v>31/08/2013</v>
          </cell>
          <cell r="AD633" t="str">
            <v>Good</v>
          </cell>
          <cell r="AE633" t="str">
            <v>V1 - Existing / No Claim</v>
          </cell>
          <cell r="AF633">
            <v>42992</v>
          </cell>
          <cell r="AG633">
            <v>9.17</v>
          </cell>
          <cell r="AH633" t="str">
            <v>PPM</v>
          </cell>
          <cell r="AI633" t="str">
            <v>Strands</v>
          </cell>
          <cell r="AJ633" t="str">
            <v>Strands PW</v>
          </cell>
        </row>
        <row r="634">
          <cell r="A634" t="str">
            <v>IKN400153</v>
          </cell>
          <cell r="B634">
            <v>153</v>
          </cell>
          <cell r="C634" t="str">
            <v>Institut Kanser Negara</v>
          </cell>
          <cell r="D634" t="str">
            <v>KKM/IKN/H/13/1054</v>
          </cell>
          <cell r="E634" t="str">
            <v>16-603</v>
          </cell>
          <cell r="F634" t="str">
            <v>Television Monitors</v>
          </cell>
          <cell r="G634" t="str">
            <v>IC</v>
          </cell>
          <cell r="H634" t="str">
            <v>INTENSIVE CARE UNIT</v>
          </cell>
          <cell r="I634" t="str">
            <v>05IC110</v>
          </cell>
          <cell r="J634" t="str">
            <v>AIRLOCK 1</v>
          </cell>
          <cell r="K634" t="str">
            <v>BMED</v>
          </cell>
          <cell r="L634" t="str">
            <v>Normal</v>
          </cell>
          <cell r="M634" t="str">
            <v>Japan</v>
          </cell>
          <cell r="N634" t="str">
            <v>RadiForce</v>
          </cell>
          <cell r="O634" t="str">
            <v>RadiForce RS110</v>
          </cell>
          <cell r="P634" t="str">
            <v>34930112CD</v>
          </cell>
          <cell r="Q634" t="str">
            <v>Not Applicable</v>
          </cell>
          <cell r="R634" t="str">
            <v>Eizo</v>
          </cell>
          <cell r="S634" t="str">
            <v>GE Healthcare Technologies</v>
          </cell>
          <cell r="T634" t="str">
            <v>Functioning</v>
          </cell>
          <cell r="U634" t="str">
            <v>Asset</v>
          </cell>
          <cell r="V634">
            <v>2700</v>
          </cell>
          <cell r="W634" t="str">
            <v>KEW</v>
          </cell>
          <cell r="X634" t="str">
            <v>01/09/2010</v>
          </cell>
          <cell r="Y634" t="str">
            <v>KEW</v>
          </cell>
          <cell r="Z634" t="str">
            <v>16/08/2013</v>
          </cell>
          <cell r="AA634" t="str">
            <v>15/08/2015</v>
          </cell>
          <cell r="AB634" t="str">
            <v>No</v>
          </cell>
          <cell r="AC634" t="str">
            <v>31/08/2013</v>
          </cell>
          <cell r="AD634" t="str">
            <v>Good</v>
          </cell>
          <cell r="AE634" t="str">
            <v>V1 - Existing / No Claim</v>
          </cell>
          <cell r="AF634">
            <v>42235</v>
          </cell>
          <cell r="AG634">
            <v>9.17</v>
          </cell>
          <cell r="AH634" t="str">
            <v>RI</v>
          </cell>
          <cell r="AI634" t="str">
            <v>Strands</v>
          </cell>
          <cell r="AJ634" t="str">
            <v>Strands PW</v>
          </cell>
        </row>
        <row r="635">
          <cell r="A635" t="str">
            <v>IKN400154</v>
          </cell>
          <cell r="B635">
            <v>154</v>
          </cell>
          <cell r="C635" t="str">
            <v>Institut Kanser Negara</v>
          </cell>
          <cell r="D635" t="str">
            <v>KKM/IKN/H/13/1055</v>
          </cell>
          <cell r="E635" t="str">
            <v>16-603</v>
          </cell>
          <cell r="F635" t="str">
            <v>Television Monitors</v>
          </cell>
          <cell r="G635" t="str">
            <v>IC</v>
          </cell>
          <cell r="H635" t="str">
            <v>INTENSIVE CARE UNIT</v>
          </cell>
          <cell r="I635" t="str">
            <v>05IC117</v>
          </cell>
          <cell r="J635" t="str">
            <v>AIRLOCK 2</v>
          </cell>
          <cell r="K635" t="str">
            <v>BMED</v>
          </cell>
          <cell r="L635" t="str">
            <v>Normal</v>
          </cell>
          <cell r="M635" t="str">
            <v>Japan</v>
          </cell>
          <cell r="N635" t="str">
            <v>RadiForce</v>
          </cell>
          <cell r="O635" t="str">
            <v>RadiForce RS110</v>
          </cell>
          <cell r="P635" t="str">
            <v>34931112CD</v>
          </cell>
          <cell r="Q635" t="str">
            <v>Not Applicable</v>
          </cell>
          <cell r="R635" t="str">
            <v>Eizo</v>
          </cell>
          <cell r="S635" t="str">
            <v>GE Healthcare Technologies</v>
          </cell>
          <cell r="T635" t="str">
            <v>Functioning</v>
          </cell>
          <cell r="U635" t="str">
            <v>Asset</v>
          </cell>
          <cell r="V635">
            <v>2700</v>
          </cell>
          <cell r="W635" t="str">
            <v>KEW</v>
          </cell>
          <cell r="X635" t="str">
            <v>01/09/2010</v>
          </cell>
          <cell r="Y635" t="str">
            <v>KEW</v>
          </cell>
          <cell r="Z635" t="str">
            <v>16/08/2013</v>
          </cell>
          <cell r="AA635" t="str">
            <v>15/08/2015</v>
          </cell>
          <cell r="AB635" t="str">
            <v>No</v>
          </cell>
          <cell r="AC635" t="str">
            <v>31/08/2013</v>
          </cell>
          <cell r="AD635" t="str">
            <v>Good</v>
          </cell>
          <cell r="AE635" t="str">
            <v>V1 - Existing / No Claim</v>
          </cell>
          <cell r="AF635">
            <v>42235</v>
          </cell>
          <cell r="AG635">
            <v>9.17</v>
          </cell>
          <cell r="AH635" t="str">
            <v>RI</v>
          </cell>
          <cell r="AI635" t="str">
            <v>Strands</v>
          </cell>
          <cell r="AJ635" t="str">
            <v>Strands PW</v>
          </cell>
        </row>
        <row r="636">
          <cell r="A636" t="str">
            <v>IKN400155</v>
          </cell>
          <cell r="B636">
            <v>155</v>
          </cell>
          <cell r="C636" t="str">
            <v>Institut Kanser Negara</v>
          </cell>
          <cell r="D636" t="str">
            <v>KKM/IKN/H/13/2755</v>
          </cell>
          <cell r="E636" t="str">
            <v>16-603</v>
          </cell>
          <cell r="F636" t="str">
            <v>Television Monitors</v>
          </cell>
          <cell r="G636" t="str">
            <v>IC</v>
          </cell>
          <cell r="H636" t="str">
            <v>INTENSIVE CARE UNIT</v>
          </cell>
          <cell r="I636" t="str">
            <v>05IC128</v>
          </cell>
          <cell r="J636" t="str">
            <v>AIRLOCK 4</v>
          </cell>
          <cell r="K636" t="str">
            <v>BMED</v>
          </cell>
          <cell r="L636" t="str">
            <v>Normal</v>
          </cell>
          <cell r="M636" t="str">
            <v>Japan</v>
          </cell>
          <cell r="N636" t="str">
            <v>RadiForce</v>
          </cell>
          <cell r="O636" t="str">
            <v>RadiForce RS110</v>
          </cell>
          <cell r="P636" t="str">
            <v>34932112CD</v>
          </cell>
          <cell r="Q636" t="str">
            <v>Not Applicable</v>
          </cell>
          <cell r="R636" t="str">
            <v>Eizo</v>
          </cell>
          <cell r="S636" t="str">
            <v>GE Healthcare Technologies</v>
          </cell>
          <cell r="T636" t="str">
            <v>Functioning</v>
          </cell>
          <cell r="U636" t="str">
            <v>Asset</v>
          </cell>
          <cell r="V636">
            <v>2700</v>
          </cell>
          <cell r="W636" t="str">
            <v>KEW</v>
          </cell>
          <cell r="X636" t="str">
            <v>01/09/2010</v>
          </cell>
          <cell r="Y636" t="str">
            <v>KEW</v>
          </cell>
          <cell r="Z636" t="str">
            <v>16/08/2013</v>
          </cell>
          <cell r="AA636" t="str">
            <v>15/08/2015</v>
          </cell>
          <cell r="AB636" t="str">
            <v>No</v>
          </cell>
          <cell r="AC636" t="str">
            <v>31/08/2013</v>
          </cell>
          <cell r="AD636" t="str">
            <v>Good</v>
          </cell>
          <cell r="AE636" t="str">
            <v>V1 - Existing / No Claim</v>
          </cell>
          <cell r="AF636">
            <v>42235</v>
          </cell>
          <cell r="AG636">
            <v>9.17</v>
          </cell>
          <cell r="AH636" t="str">
            <v>RI</v>
          </cell>
          <cell r="AI636" t="str">
            <v>Strands</v>
          </cell>
          <cell r="AJ636" t="str">
            <v>Strands PW</v>
          </cell>
        </row>
        <row r="637">
          <cell r="A637" t="str">
            <v>IKN400156</v>
          </cell>
          <cell r="B637">
            <v>156</v>
          </cell>
          <cell r="C637" t="str">
            <v>Institut Kanser Negara</v>
          </cell>
          <cell r="D637" t="str">
            <v>KKM/IKN/H/13/1057</v>
          </cell>
          <cell r="E637" t="str">
            <v>16-603</v>
          </cell>
          <cell r="F637" t="str">
            <v>Television Monitors</v>
          </cell>
          <cell r="G637" t="str">
            <v>IC</v>
          </cell>
          <cell r="H637" t="str">
            <v>INTENSIVE CARE UNIT</v>
          </cell>
          <cell r="I637" t="str">
            <v>05IC130</v>
          </cell>
          <cell r="J637" t="str">
            <v>AIRLOCK 3</v>
          </cell>
          <cell r="K637" t="str">
            <v>BMED</v>
          </cell>
          <cell r="L637" t="str">
            <v>Normal</v>
          </cell>
          <cell r="M637" t="str">
            <v>Japan</v>
          </cell>
          <cell r="N637" t="str">
            <v>RadiForce</v>
          </cell>
          <cell r="O637" t="str">
            <v>RadiForce RS110</v>
          </cell>
          <cell r="P637" t="str">
            <v>34924112CD</v>
          </cell>
          <cell r="Q637" t="str">
            <v>Not Applicable</v>
          </cell>
          <cell r="R637" t="str">
            <v>Eizo</v>
          </cell>
          <cell r="S637" t="str">
            <v>GE Healthcare Technologies</v>
          </cell>
          <cell r="T637" t="str">
            <v>Functioning</v>
          </cell>
          <cell r="U637" t="str">
            <v>Asset</v>
          </cell>
          <cell r="V637">
            <v>2700</v>
          </cell>
          <cell r="W637" t="str">
            <v>KEW</v>
          </cell>
          <cell r="X637" t="str">
            <v>01/09/2010</v>
          </cell>
          <cell r="Y637" t="str">
            <v>KEW</v>
          </cell>
          <cell r="Z637" t="str">
            <v>16/08/2013</v>
          </cell>
          <cell r="AA637" t="str">
            <v>15/08/2015</v>
          </cell>
          <cell r="AB637" t="str">
            <v>No</v>
          </cell>
          <cell r="AC637" t="str">
            <v>31/08/2013</v>
          </cell>
          <cell r="AD637" t="str">
            <v>Good</v>
          </cell>
          <cell r="AE637" t="str">
            <v>V1 - Existing / No Claim</v>
          </cell>
          <cell r="AF637">
            <v>42235</v>
          </cell>
          <cell r="AG637">
            <v>9.17</v>
          </cell>
          <cell r="AH637" t="str">
            <v>RI</v>
          </cell>
          <cell r="AI637" t="str">
            <v>Strands</v>
          </cell>
          <cell r="AJ637" t="str">
            <v>Strands PW</v>
          </cell>
        </row>
        <row r="638">
          <cell r="A638" t="str">
            <v>IKN400157</v>
          </cell>
          <cell r="B638">
            <v>157</v>
          </cell>
          <cell r="C638" t="str">
            <v>Institut Kanser Negara</v>
          </cell>
          <cell r="D638" t="str">
            <v>KKM/IKN/H/13/2753</v>
          </cell>
          <cell r="E638" t="str">
            <v>10-208</v>
          </cell>
          <cell r="F638" t="str">
            <v>Aspirators</v>
          </cell>
          <cell r="G638" t="str">
            <v>IC</v>
          </cell>
          <cell r="H638" t="str">
            <v>INTENSIVE CARE UNIT</v>
          </cell>
          <cell r="I638" t="str">
            <v>05IC106</v>
          </cell>
          <cell r="J638" t="str">
            <v>EQ. ROOM</v>
          </cell>
          <cell r="K638" t="str">
            <v>BMED</v>
          </cell>
          <cell r="L638" t="str">
            <v>Normal</v>
          </cell>
          <cell r="M638" t="str">
            <v>UK</v>
          </cell>
          <cell r="N638" t="str">
            <v>SAM</v>
          </cell>
          <cell r="O638" t="str">
            <v>SAM 427</v>
          </cell>
          <cell r="P638" t="str">
            <v>0313-0536</v>
          </cell>
          <cell r="Q638" t="str">
            <v>Not Applicable</v>
          </cell>
          <cell r="R638" t="str">
            <v>MG Electric Ltd</v>
          </cell>
          <cell r="S638" t="str">
            <v>Delta Medisains</v>
          </cell>
          <cell r="T638" t="str">
            <v>Functioning</v>
          </cell>
          <cell r="U638" t="str">
            <v>Asset</v>
          </cell>
          <cell r="V638">
            <v>10705</v>
          </cell>
          <cell r="W638" t="str">
            <v>KEW</v>
          </cell>
          <cell r="X638" t="str">
            <v>01/09/2010</v>
          </cell>
          <cell r="Y638" t="str">
            <v>KEW</v>
          </cell>
          <cell r="Z638" t="str">
            <v>16/08/2013</v>
          </cell>
          <cell r="AA638" t="str">
            <v>15/08/2015</v>
          </cell>
          <cell r="AB638" t="str">
            <v>No</v>
          </cell>
          <cell r="AC638" t="str">
            <v>31/08/2013</v>
          </cell>
          <cell r="AD638" t="str">
            <v>Good</v>
          </cell>
          <cell r="AE638" t="str">
            <v>V1 - Existing / No Claim</v>
          </cell>
          <cell r="AF638">
            <v>42235</v>
          </cell>
          <cell r="AG638">
            <v>9.17</v>
          </cell>
          <cell r="AH638" t="str">
            <v>PPM</v>
          </cell>
          <cell r="AI638" t="str">
            <v>Strands</v>
          </cell>
          <cell r="AJ638" t="str">
            <v>Strands PW</v>
          </cell>
        </row>
        <row r="639">
          <cell r="A639" t="str">
            <v>IKN400158</v>
          </cell>
          <cell r="B639">
            <v>158</v>
          </cell>
          <cell r="C639" t="str">
            <v>Institut Kanser Negara</v>
          </cell>
          <cell r="D639" t="str">
            <v>KKM/IKN/H/13/867</v>
          </cell>
          <cell r="E639" t="str">
            <v>10-208</v>
          </cell>
          <cell r="F639" t="str">
            <v>Aspirators</v>
          </cell>
          <cell r="G639" t="str">
            <v>IC</v>
          </cell>
          <cell r="H639" t="str">
            <v>INTENSIVE CARE UNIT</v>
          </cell>
          <cell r="I639" t="str">
            <v>05IC106</v>
          </cell>
          <cell r="J639" t="str">
            <v>EQ. ROOM</v>
          </cell>
          <cell r="K639" t="str">
            <v>BMED</v>
          </cell>
          <cell r="L639" t="str">
            <v>Normal</v>
          </cell>
          <cell r="M639" t="str">
            <v>UK</v>
          </cell>
          <cell r="N639" t="str">
            <v>SAM</v>
          </cell>
          <cell r="O639" t="str">
            <v>SAM 427</v>
          </cell>
          <cell r="P639" t="str">
            <v>0313-0531</v>
          </cell>
          <cell r="Q639" t="str">
            <v>Not Applicable</v>
          </cell>
          <cell r="R639" t="str">
            <v>MG Electric Ltd</v>
          </cell>
          <cell r="S639" t="str">
            <v>Delta Medisains</v>
          </cell>
          <cell r="T639" t="str">
            <v>Functioning</v>
          </cell>
          <cell r="U639" t="str">
            <v>Asset</v>
          </cell>
          <cell r="V639">
            <v>10705</v>
          </cell>
          <cell r="W639" t="str">
            <v>KEW</v>
          </cell>
          <cell r="X639" t="str">
            <v>01/09/2010</v>
          </cell>
          <cell r="Y639" t="str">
            <v>KEW</v>
          </cell>
          <cell r="Z639" t="str">
            <v>16/08/2013</v>
          </cell>
          <cell r="AA639" t="str">
            <v>15/08/2015</v>
          </cell>
          <cell r="AB639" t="str">
            <v>No</v>
          </cell>
          <cell r="AC639" t="str">
            <v>31/08/2013</v>
          </cell>
          <cell r="AD639" t="str">
            <v>Good</v>
          </cell>
          <cell r="AE639" t="str">
            <v>V1 - Existing / No Claim</v>
          </cell>
          <cell r="AF639">
            <v>42235</v>
          </cell>
          <cell r="AG639">
            <v>9.17</v>
          </cell>
          <cell r="AH639" t="str">
            <v>PPM</v>
          </cell>
          <cell r="AI639" t="str">
            <v>Strands</v>
          </cell>
          <cell r="AJ639" t="str">
            <v>Strands PW</v>
          </cell>
        </row>
        <row r="640">
          <cell r="A640" t="str">
            <v>IKN400159</v>
          </cell>
          <cell r="B640">
            <v>159</v>
          </cell>
          <cell r="C640" t="str">
            <v>Institut Kanser Negara</v>
          </cell>
          <cell r="D640" t="str">
            <v>KKM/IKN/H/13/3474</v>
          </cell>
          <cell r="E640" t="str">
            <v>17-422</v>
          </cell>
          <cell r="F640" t="str">
            <v>Scanning Systems, Ultrasonic, Cardiac</v>
          </cell>
          <cell r="G640" t="str">
            <v>OC</v>
          </cell>
          <cell r="H640" t="str">
            <v>ONCOLOGY CLINIC</v>
          </cell>
          <cell r="I640" t="str">
            <v>03OC136</v>
          </cell>
          <cell r="J640" t="str">
            <v>TREATMENT 2</v>
          </cell>
          <cell r="K640" t="str">
            <v>BMED</v>
          </cell>
          <cell r="L640" t="str">
            <v>Normal</v>
          </cell>
          <cell r="M640" t="str">
            <v>USA</v>
          </cell>
          <cell r="N640" t="str">
            <v>Vivid</v>
          </cell>
          <cell r="O640" t="str">
            <v>Vivid S5</v>
          </cell>
          <cell r="P640" t="str">
            <v>050527VS5N</v>
          </cell>
          <cell r="Q640" t="str">
            <v>Not Applicable</v>
          </cell>
          <cell r="R640" t="str">
            <v>GE Healthcare Systems</v>
          </cell>
          <cell r="S640" t="str">
            <v>GE Healthcare Technologies</v>
          </cell>
          <cell r="T640" t="str">
            <v>Functioning</v>
          </cell>
          <cell r="U640" t="str">
            <v>Asset</v>
          </cell>
          <cell r="V640">
            <v>332320</v>
          </cell>
          <cell r="W640" t="str">
            <v>KEW</v>
          </cell>
          <cell r="X640" t="str">
            <v>01/09/2010</v>
          </cell>
          <cell r="Y640" t="str">
            <v>KEW</v>
          </cell>
          <cell r="Z640" t="str">
            <v>16/08/2013</v>
          </cell>
          <cell r="AA640" t="str">
            <v>15/08/2015</v>
          </cell>
          <cell r="AB640" t="str">
            <v>No</v>
          </cell>
          <cell r="AC640" t="str">
            <v>31/08/2013</v>
          </cell>
          <cell r="AD640" t="str">
            <v>Good</v>
          </cell>
          <cell r="AE640" t="str">
            <v>V1 - Existing / No Claim</v>
          </cell>
          <cell r="AF640">
            <v>42796</v>
          </cell>
          <cell r="AG640">
            <v>9.17</v>
          </cell>
          <cell r="AH640" t="str">
            <v>PPM</v>
          </cell>
          <cell r="AI640" t="str">
            <v>Strands</v>
          </cell>
          <cell r="AJ640" t="str">
            <v>Strands Package</v>
          </cell>
          <cell r="AK640" t="str">
            <v>Package Code XU0022-S. [14/2/2024]: Tukar location ikut KEWPA</v>
          </cell>
        </row>
        <row r="641">
          <cell r="A641" t="str">
            <v>IKN400160</v>
          </cell>
          <cell r="B641">
            <v>160</v>
          </cell>
          <cell r="C641" t="str">
            <v>Institut Kanser Negara</v>
          </cell>
          <cell r="D641" t="str">
            <v>KKM/IKN/H/13/1128</v>
          </cell>
          <cell r="E641" t="str">
            <v>17-429</v>
          </cell>
          <cell r="F641" t="str">
            <v>Ventilators, Intensive Care</v>
          </cell>
          <cell r="G641" t="str">
            <v>IC</v>
          </cell>
          <cell r="H641" t="str">
            <v>INTENSIVE CARE UNIT</v>
          </cell>
          <cell r="I641" t="str">
            <v>05IC106</v>
          </cell>
          <cell r="J641" t="str">
            <v>EQ. ROOM</v>
          </cell>
          <cell r="K641" t="str">
            <v>BMED</v>
          </cell>
          <cell r="L641" t="str">
            <v>Critical</v>
          </cell>
          <cell r="M641" t="str">
            <v>USA</v>
          </cell>
          <cell r="N641" t="str">
            <v>Respironics</v>
          </cell>
          <cell r="O641" t="str">
            <v>Respironics V60</v>
          </cell>
          <cell r="P641" t="str">
            <v>201004392</v>
          </cell>
          <cell r="Q641" t="str">
            <v>Not Applicable</v>
          </cell>
          <cell r="R641" t="str">
            <v>Philips Medical Systems</v>
          </cell>
          <cell r="S641" t="str">
            <v>Goodlabs Medical (M) Sdn. Bhd.</v>
          </cell>
          <cell r="T641" t="str">
            <v>Functioning</v>
          </cell>
          <cell r="U641" t="str">
            <v>Asset</v>
          </cell>
          <cell r="V641">
            <v>92620</v>
          </cell>
          <cell r="W641" t="str">
            <v>KEW</v>
          </cell>
          <cell r="X641" t="str">
            <v>01/09/2010</v>
          </cell>
          <cell r="Y641" t="str">
            <v>KEW</v>
          </cell>
          <cell r="Z641" t="str">
            <v>16/08/2013</v>
          </cell>
          <cell r="AA641" t="str">
            <v>15/08/2015</v>
          </cell>
          <cell r="AB641" t="str">
            <v>No</v>
          </cell>
          <cell r="AC641" t="str">
            <v>31/08/2013</v>
          </cell>
          <cell r="AD641" t="str">
            <v>Good</v>
          </cell>
          <cell r="AE641" t="str">
            <v>V1 - Existing / No Claim</v>
          </cell>
          <cell r="AF641">
            <v>42796</v>
          </cell>
          <cell r="AG641">
            <v>9.17</v>
          </cell>
          <cell r="AH641" t="str">
            <v>PPM</v>
          </cell>
          <cell r="AI641" t="str">
            <v>Strands</v>
          </cell>
          <cell r="AJ641" t="str">
            <v>Strands PW</v>
          </cell>
        </row>
        <row r="642">
          <cell r="A642" t="str">
            <v>IKN400161</v>
          </cell>
          <cell r="B642">
            <v>161</v>
          </cell>
          <cell r="C642" t="str">
            <v>Institut Kanser Negara</v>
          </cell>
          <cell r="D642" t="str">
            <v>KKM/IKN/H/13/1129</v>
          </cell>
          <cell r="E642" t="str">
            <v>17-429</v>
          </cell>
          <cell r="F642" t="str">
            <v>Ventilators, Intensive Care</v>
          </cell>
          <cell r="G642" t="str">
            <v>IC</v>
          </cell>
          <cell r="H642" t="str">
            <v>INTENSIVE CARE UNIT</v>
          </cell>
          <cell r="I642" t="str">
            <v>05IC106</v>
          </cell>
          <cell r="J642" t="str">
            <v>EQ. ROOM</v>
          </cell>
          <cell r="K642" t="str">
            <v>BMED</v>
          </cell>
          <cell r="L642" t="str">
            <v>Normal</v>
          </cell>
          <cell r="M642" t="str">
            <v>USA</v>
          </cell>
          <cell r="N642" t="str">
            <v>Respironics</v>
          </cell>
          <cell r="O642" t="str">
            <v>Respironics V60</v>
          </cell>
          <cell r="P642" t="str">
            <v>201004388</v>
          </cell>
          <cell r="Q642" t="str">
            <v>Not Applicable</v>
          </cell>
          <cell r="R642" t="str">
            <v>Philips Medical Systems</v>
          </cell>
          <cell r="S642" t="str">
            <v>Goodlabs Medical (M) Sdn. Bhd.</v>
          </cell>
          <cell r="T642" t="str">
            <v>Functioning</v>
          </cell>
          <cell r="U642" t="str">
            <v>Asset</v>
          </cell>
          <cell r="V642">
            <v>92620</v>
          </cell>
          <cell r="W642" t="str">
            <v>KEW</v>
          </cell>
          <cell r="X642" t="str">
            <v>01/09/2010</v>
          </cell>
          <cell r="Y642" t="str">
            <v>KEW</v>
          </cell>
          <cell r="Z642" t="str">
            <v>16/08/2013</v>
          </cell>
          <cell r="AA642" t="str">
            <v>15/08/2015</v>
          </cell>
          <cell r="AB642" t="str">
            <v>No</v>
          </cell>
          <cell r="AC642" t="str">
            <v>31/08/2013</v>
          </cell>
          <cell r="AD642" t="str">
            <v>Good</v>
          </cell>
          <cell r="AE642" t="str">
            <v>V1 - Existing / No Claim</v>
          </cell>
          <cell r="AF642">
            <v>42235</v>
          </cell>
          <cell r="AG642">
            <v>9.17</v>
          </cell>
          <cell r="AH642" t="str">
            <v>PPM</v>
          </cell>
          <cell r="AI642" t="str">
            <v>Strands</v>
          </cell>
          <cell r="AJ642" t="str">
            <v>Strands PW</v>
          </cell>
        </row>
        <row r="643">
          <cell r="A643" t="str">
            <v>IKN400162</v>
          </cell>
          <cell r="B643">
            <v>162</v>
          </cell>
          <cell r="C643" t="str">
            <v>Institut Kanser Negara</v>
          </cell>
          <cell r="D643" t="str">
            <v>KKM/IKN/H/13/1130</v>
          </cell>
          <cell r="E643" t="str">
            <v>17-429</v>
          </cell>
          <cell r="F643" t="str">
            <v>Ventilators, Intensive Care</v>
          </cell>
          <cell r="G643" t="str">
            <v>IC</v>
          </cell>
          <cell r="H643" t="str">
            <v>INTENSIVE CARE UNIT</v>
          </cell>
          <cell r="I643" t="str">
            <v>05IC106</v>
          </cell>
          <cell r="J643" t="str">
            <v>EQ. ROOM</v>
          </cell>
          <cell r="K643" t="str">
            <v>BMED</v>
          </cell>
          <cell r="L643" t="str">
            <v>Critical</v>
          </cell>
          <cell r="M643" t="str">
            <v>USA</v>
          </cell>
          <cell r="N643" t="str">
            <v>Respironics</v>
          </cell>
          <cell r="O643" t="str">
            <v>Respironics V60</v>
          </cell>
          <cell r="P643" t="str">
            <v>201004259</v>
          </cell>
          <cell r="Q643" t="str">
            <v>Not Applicable</v>
          </cell>
          <cell r="R643" t="str">
            <v>Philips Medical Systems</v>
          </cell>
          <cell r="S643" t="str">
            <v>Goodlabs Medical (M) Sdn. Bhd.</v>
          </cell>
          <cell r="T643" t="str">
            <v>Functioning</v>
          </cell>
          <cell r="U643" t="str">
            <v>Asset</v>
          </cell>
          <cell r="V643">
            <v>92620</v>
          </cell>
          <cell r="W643" t="str">
            <v>KEW</v>
          </cell>
          <cell r="X643" t="str">
            <v>01/09/2010</v>
          </cell>
          <cell r="Y643" t="str">
            <v>KEW</v>
          </cell>
          <cell r="Z643" t="str">
            <v>16/08/2013</v>
          </cell>
          <cell r="AA643" t="str">
            <v>15/08/2015</v>
          </cell>
          <cell r="AB643" t="str">
            <v>No</v>
          </cell>
          <cell r="AC643" t="str">
            <v>31/08/2013</v>
          </cell>
          <cell r="AD643" t="str">
            <v>Good</v>
          </cell>
          <cell r="AE643" t="str">
            <v>V1 - Existing / No Claim</v>
          </cell>
          <cell r="AF643">
            <v>42796</v>
          </cell>
          <cell r="AG643">
            <v>9.17</v>
          </cell>
          <cell r="AH643" t="str">
            <v>PPM</v>
          </cell>
          <cell r="AI643" t="str">
            <v>Strands</v>
          </cell>
          <cell r="AJ643" t="str">
            <v>Strands PW</v>
          </cell>
        </row>
        <row r="644">
          <cell r="A644" t="str">
            <v>IKN400163</v>
          </cell>
          <cell r="B644">
            <v>163</v>
          </cell>
          <cell r="C644" t="str">
            <v>Institut Kanser Negara</v>
          </cell>
          <cell r="D644" t="str">
            <v>KKM/IKN/H/13/1131</v>
          </cell>
          <cell r="E644" t="str">
            <v>17-429</v>
          </cell>
          <cell r="F644" t="str">
            <v>Ventilators, Intensive Care</v>
          </cell>
          <cell r="G644" t="str">
            <v>IC</v>
          </cell>
          <cell r="H644" t="str">
            <v>INTENSIVE CARE UNIT</v>
          </cell>
          <cell r="I644" t="str">
            <v>05IC106</v>
          </cell>
          <cell r="J644" t="str">
            <v>EQ. ROOM</v>
          </cell>
          <cell r="K644" t="str">
            <v>BMED</v>
          </cell>
          <cell r="L644" t="str">
            <v>Critical</v>
          </cell>
          <cell r="M644" t="str">
            <v>USA</v>
          </cell>
          <cell r="N644" t="str">
            <v>Respironics</v>
          </cell>
          <cell r="O644" t="str">
            <v>Respironics V60</v>
          </cell>
          <cell r="P644" t="str">
            <v>201004246</v>
          </cell>
          <cell r="Q644" t="str">
            <v>Not Applicable</v>
          </cell>
          <cell r="R644" t="str">
            <v>Philips Medical Systems</v>
          </cell>
          <cell r="S644" t="str">
            <v>Goodlabs Medical (M) Sdn. Bhd.</v>
          </cell>
          <cell r="T644" t="str">
            <v>Functioning</v>
          </cell>
          <cell r="U644" t="str">
            <v>Asset</v>
          </cell>
          <cell r="V644">
            <v>92620</v>
          </cell>
          <cell r="W644" t="str">
            <v>KEW</v>
          </cell>
          <cell r="X644" t="str">
            <v>01/09/2010</v>
          </cell>
          <cell r="Y644" t="str">
            <v>KEW</v>
          </cell>
          <cell r="Z644" t="str">
            <v>16/08/2013</v>
          </cell>
          <cell r="AA644" t="str">
            <v>15/08/2015</v>
          </cell>
          <cell r="AB644" t="str">
            <v>No</v>
          </cell>
          <cell r="AC644" t="str">
            <v>31/08/2013</v>
          </cell>
          <cell r="AD644" t="str">
            <v>Good</v>
          </cell>
          <cell r="AE644" t="str">
            <v>V1 - Existing / No Claim</v>
          </cell>
          <cell r="AF644">
            <v>42796</v>
          </cell>
          <cell r="AG644">
            <v>9.17</v>
          </cell>
          <cell r="AH644" t="str">
            <v>PPM</v>
          </cell>
          <cell r="AI644" t="str">
            <v>Strands</v>
          </cell>
          <cell r="AJ644" t="str">
            <v>Strands PW</v>
          </cell>
        </row>
        <row r="645">
          <cell r="A645" t="str">
            <v>IKN400164</v>
          </cell>
          <cell r="B645">
            <v>164</v>
          </cell>
          <cell r="C645" t="str">
            <v>Institut Kanser Negara</v>
          </cell>
          <cell r="D645" t="str">
            <v>KKM/IKN/H/13/1118</v>
          </cell>
          <cell r="E645" t="str">
            <v>17-429</v>
          </cell>
          <cell r="F645" t="str">
            <v>Ventilators, Intensive Care</v>
          </cell>
          <cell r="G645" t="str">
            <v>IC</v>
          </cell>
          <cell r="H645" t="str">
            <v>INTENSIVE CARE UNIT</v>
          </cell>
          <cell r="I645" t="str">
            <v>05IC111</v>
          </cell>
          <cell r="J645" t="str">
            <v>ISOL 1(-VE)</v>
          </cell>
          <cell r="K645" t="str">
            <v>BMED</v>
          </cell>
          <cell r="L645" t="str">
            <v>Normal</v>
          </cell>
          <cell r="M645" t="str">
            <v>Germany</v>
          </cell>
          <cell r="N645" t="str">
            <v>Evita</v>
          </cell>
          <cell r="O645" t="str">
            <v>Evita XL</v>
          </cell>
          <cell r="P645" t="str">
            <v>ASDD-0070</v>
          </cell>
          <cell r="Q645" t="str">
            <v>Not Applicable</v>
          </cell>
          <cell r="R645" t="str">
            <v>Drager Medical GmbH</v>
          </cell>
          <cell r="S645" t="str">
            <v>Beau Consortium Sdn Bhd</v>
          </cell>
          <cell r="T645" t="str">
            <v>Functioning</v>
          </cell>
          <cell r="U645" t="str">
            <v>Asset</v>
          </cell>
          <cell r="V645">
            <v>151560</v>
          </cell>
          <cell r="W645" t="str">
            <v>KEW</v>
          </cell>
          <cell r="X645" t="str">
            <v>01/09/2010</v>
          </cell>
          <cell r="Y645" t="str">
            <v>KEW</v>
          </cell>
          <cell r="Z645" t="str">
            <v>16/08/2013</v>
          </cell>
          <cell r="AA645" t="str">
            <v>15/08/2015</v>
          </cell>
          <cell r="AB645" t="str">
            <v>No</v>
          </cell>
          <cell r="AC645" t="str">
            <v>31/08/2013</v>
          </cell>
          <cell r="AD645" t="str">
            <v>Good</v>
          </cell>
          <cell r="AE645" t="str">
            <v>V1 - Existing / No Claim</v>
          </cell>
          <cell r="AF645">
            <v>42235</v>
          </cell>
          <cell r="AG645">
            <v>9.17</v>
          </cell>
          <cell r="AH645" t="str">
            <v>PPM</v>
          </cell>
          <cell r="AI645" t="str">
            <v>Strands</v>
          </cell>
          <cell r="AJ645" t="str">
            <v>Strands PW</v>
          </cell>
        </row>
        <row r="646">
          <cell r="A646" t="str">
            <v>IKN400165</v>
          </cell>
          <cell r="B646">
            <v>165</v>
          </cell>
          <cell r="C646" t="str">
            <v>Institut Kanser Negara</v>
          </cell>
          <cell r="D646" t="str">
            <v>KKM/IKN/H/13/1120</v>
          </cell>
          <cell r="E646" t="str">
            <v>17-429</v>
          </cell>
          <cell r="F646" t="str">
            <v>Ventilators, Intensive Care</v>
          </cell>
          <cell r="G646" t="str">
            <v>IC</v>
          </cell>
          <cell r="H646" t="str">
            <v>INTENSIVE CARE UNIT</v>
          </cell>
          <cell r="I646" t="str">
            <v>05IC112</v>
          </cell>
          <cell r="J646" t="str">
            <v>ICU RM 1</v>
          </cell>
          <cell r="K646" t="str">
            <v>BMED</v>
          </cell>
          <cell r="L646" t="str">
            <v>Normal</v>
          </cell>
          <cell r="M646" t="str">
            <v>Germany</v>
          </cell>
          <cell r="N646" t="str">
            <v>Evita</v>
          </cell>
          <cell r="O646" t="str">
            <v>Evita XL</v>
          </cell>
          <cell r="P646" t="str">
            <v>ASDD-0071</v>
          </cell>
          <cell r="Q646" t="str">
            <v>Not Applicable</v>
          </cell>
          <cell r="R646" t="str">
            <v>Drager Medical GmbH</v>
          </cell>
          <cell r="S646" t="str">
            <v>Beau Consortium Sdn Bhd</v>
          </cell>
          <cell r="T646" t="str">
            <v>Functioning</v>
          </cell>
          <cell r="U646" t="str">
            <v>Asset</v>
          </cell>
          <cell r="V646">
            <v>151560</v>
          </cell>
          <cell r="W646" t="str">
            <v>KEW</v>
          </cell>
          <cell r="X646" t="str">
            <v>01/09/2010</v>
          </cell>
          <cell r="Y646" t="str">
            <v>KEW</v>
          </cell>
          <cell r="Z646" t="str">
            <v>16/08/2013</v>
          </cell>
          <cell r="AA646" t="str">
            <v>15/08/2015</v>
          </cell>
          <cell r="AB646" t="str">
            <v>No</v>
          </cell>
          <cell r="AC646" t="str">
            <v>31/08/2013</v>
          </cell>
          <cell r="AD646" t="str">
            <v>Good</v>
          </cell>
          <cell r="AE646" t="str">
            <v>V1 - Existing / No Claim</v>
          </cell>
          <cell r="AF646">
            <v>42235</v>
          </cell>
          <cell r="AG646">
            <v>9.17</v>
          </cell>
          <cell r="AH646" t="str">
            <v>PPM</v>
          </cell>
          <cell r="AI646" t="str">
            <v>Strands</v>
          </cell>
          <cell r="AJ646" t="str">
            <v>Strands PW</v>
          </cell>
        </row>
        <row r="647">
          <cell r="A647" t="str">
            <v>IKN400167</v>
          </cell>
          <cell r="B647">
            <v>167</v>
          </cell>
          <cell r="C647" t="str">
            <v>Institut Kanser Negara</v>
          </cell>
          <cell r="D647" t="str">
            <v>KKM/IKN/H/13/1124</v>
          </cell>
          <cell r="E647" t="str">
            <v>17-429</v>
          </cell>
          <cell r="F647" t="str">
            <v>Ventilators, Intensive Care</v>
          </cell>
          <cell r="G647" t="str">
            <v>IC</v>
          </cell>
          <cell r="H647" t="str">
            <v>INTENSIVE CARE UNIT</v>
          </cell>
          <cell r="I647" t="str">
            <v>05IC114</v>
          </cell>
          <cell r="J647" t="str">
            <v>ICU RM 3</v>
          </cell>
          <cell r="K647" t="str">
            <v>BMED</v>
          </cell>
          <cell r="L647" t="str">
            <v>Normal</v>
          </cell>
          <cell r="M647" t="str">
            <v>Germany</v>
          </cell>
          <cell r="N647" t="str">
            <v>Evita</v>
          </cell>
          <cell r="O647" t="str">
            <v>Evita XL</v>
          </cell>
          <cell r="P647" t="str">
            <v>ASDD-0075</v>
          </cell>
          <cell r="Q647" t="str">
            <v>Not Applicable</v>
          </cell>
          <cell r="R647" t="str">
            <v>Drager Medical GmbH</v>
          </cell>
          <cell r="S647" t="str">
            <v>Beau Consortium Sdn Bhd</v>
          </cell>
          <cell r="T647" t="str">
            <v>Functioning</v>
          </cell>
          <cell r="U647" t="str">
            <v>Asset</v>
          </cell>
          <cell r="V647">
            <v>151560</v>
          </cell>
          <cell r="W647" t="str">
            <v>KEW</v>
          </cell>
          <cell r="X647" t="str">
            <v>01/09/2010</v>
          </cell>
          <cell r="Y647" t="str">
            <v>KEW</v>
          </cell>
          <cell r="Z647" t="str">
            <v>16/08/2013</v>
          </cell>
          <cell r="AA647" t="str">
            <v>15/08/2015</v>
          </cell>
          <cell r="AB647" t="str">
            <v>No</v>
          </cell>
          <cell r="AC647" t="str">
            <v>31/08/2013</v>
          </cell>
          <cell r="AD647" t="str">
            <v>Good</v>
          </cell>
          <cell r="AE647" t="str">
            <v>V1 - Existing / No Claim</v>
          </cell>
          <cell r="AF647">
            <v>42235</v>
          </cell>
          <cell r="AG647">
            <v>9.17</v>
          </cell>
          <cell r="AH647" t="str">
            <v>PPM</v>
          </cell>
          <cell r="AI647" t="str">
            <v>Strands</v>
          </cell>
          <cell r="AJ647" t="str">
            <v>Strands PW</v>
          </cell>
        </row>
        <row r="648">
          <cell r="A648" t="str">
            <v>IKN400168</v>
          </cell>
          <cell r="B648">
            <v>168</v>
          </cell>
          <cell r="C648" t="str">
            <v>Institut Kanser Negara</v>
          </cell>
          <cell r="D648" t="str">
            <v>KKM/IKN/H/13/1125</v>
          </cell>
          <cell r="E648" t="str">
            <v>17-429</v>
          </cell>
          <cell r="F648" t="str">
            <v>Ventilators, Intensive Care</v>
          </cell>
          <cell r="G648" t="str">
            <v>IC</v>
          </cell>
          <cell r="H648" t="str">
            <v>INTENSIVE CARE UNIT</v>
          </cell>
          <cell r="I648" t="str">
            <v>05IC115</v>
          </cell>
          <cell r="J648" t="str">
            <v>ICU RM 4</v>
          </cell>
          <cell r="K648" t="str">
            <v>BMED</v>
          </cell>
          <cell r="L648" t="str">
            <v>Normal</v>
          </cell>
          <cell r="M648" t="str">
            <v>Germany</v>
          </cell>
          <cell r="N648" t="str">
            <v>Evita</v>
          </cell>
          <cell r="O648" t="str">
            <v>Evita XL</v>
          </cell>
          <cell r="P648" t="str">
            <v>ASDD-0068</v>
          </cell>
          <cell r="Q648" t="str">
            <v>Not Applicable</v>
          </cell>
          <cell r="R648" t="str">
            <v>Drager Medical GmbH</v>
          </cell>
          <cell r="S648" t="str">
            <v>Beau Consortium Sdn Bhd</v>
          </cell>
          <cell r="T648" t="str">
            <v>Functioning</v>
          </cell>
          <cell r="U648" t="str">
            <v>Asset</v>
          </cell>
          <cell r="V648">
            <v>151560</v>
          </cell>
          <cell r="W648" t="str">
            <v>KEW</v>
          </cell>
          <cell r="X648" t="str">
            <v>01/09/2010</v>
          </cell>
          <cell r="Y648" t="str">
            <v>KEW</v>
          </cell>
          <cell r="Z648" t="str">
            <v>16/08/2013</v>
          </cell>
          <cell r="AA648" t="str">
            <v>15/08/2015</v>
          </cell>
          <cell r="AB648" t="str">
            <v>No</v>
          </cell>
          <cell r="AC648" t="str">
            <v>31/08/2013</v>
          </cell>
          <cell r="AD648" t="str">
            <v>Good</v>
          </cell>
          <cell r="AE648" t="str">
            <v>V1 - Existing / No Claim</v>
          </cell>
          <cell r="AF648">
            <v>42235</v>
          </cell>
          <cell r="AG648">
            <v>9.17</v>
          </cell>
          <cell r="AH648" t="str">
            <v>PPM</v>
          </cell>
          <cell r="AI648" t="str">
            <v>Strands</v>
          </cell>
          <cell r="AJ648" t="str">
            <v>Strands PW</v>
          </cell>
        </row>
        <row r="649">
          <cell r="A649" t="str">
            <v>IKN400169</v>
          </cell>
          <cell r="B649">
            <v>169</v>
          </cell>
          <cell r="C649" t="str">
            <v>Institut Kanser Negara</v>
          </cell>
          <cell r="D649" t="str">
            <v>KKM/IKN/H/13/1121</v>
          </cell>
          <cell r="E649" t="str">
            <v>17-429</v>
          </cell>
          <cell r="F649" t="str">
            <v>Ventilators, Intensive Care</v>
          </cell>
          <cell r="G649" t="str">
            <v>IC</v>
          </cell>
          <cell r="H649" t="str">
            <v>INTENSIVE CARE UNIT</v>
          </cell>
          <cell r="I649" t="str">
            <v>05IC116</v>
          </cell>
          <cell r="J649" t="str">
            <v>ISOL 2 (+VE)</v>
          </cell>
          <cell r="K649" t="str">
            <v>BMED</v>
          </cell>
          <cell r="L649" t="str">
            <v>Normal</v>
          </cell>
          <cell r="M649" t="str">
            <v>Germany</v>
          </cell>
          <cell r="N649" t="str">
            <v>Evita</v>
          </cell>
          <cell r="O649" t="str">
            <v>Evita XL</v>
          </cell>
          <cell r="P649" t="str">
            <v>ASDD-0072</v>
          </cell>
          <cell r="Q649" t="str">
            <v>Not Applicable</v>
          </cell>
          <cell r="R649" t="str">
            <v>Drager Medical GmbH</v>
          </cell>
          <cell r="S649" t="str">
            <v>Beau Consortium Sdn Bhd</v>
          </cell>
          <cell r="T649" t="str">
            <v>Functioning</v>
          </cell>
          <cell r="U649" t="str">
            <v>Asset</v>
          </cell>
          <cell r="V649">
            <v>151560</v>
          </cell>
          <cell r="W649" t="str">
            <v>KEW</v>
          </cell>
          <cell r="X649" t="str">
            <v>01/09/2010</v>
          </cell>
          <cell r="Y649" t="str">
            <v>KEW</v>
          </cell>
          <cell r="Z649" t="str">
            <v>16/08/2013</v>
          </cell>
          <cell r="AA649" t="str">
            <v>15/08/2015</v>
          </cell>
          <cell r="AB649" t="str">
            <v>No</v>
          </cell>
          <cell r="AC649" t="str">
            <v>31/08/2013</v>
          </cell>
          <cell r="AD649" t="str">
            <v>Good</v>
          </cell>
          <cell r="AE649" t="str">
            <v>V1 - Existing / No Claim</v>
          </cell>
          <cell r="AF649">
            <v>42235</v>
          </cell>
          <cell r="AG649">
            <v>9.17</v>
          </cell>
          <cell r="AH649" t="str">
            <v>PPM</v>
          </cell>
          <cell r="AI649" t="str">
            <v>Strands</v>
          </cell>
          <cell r="AJ649" t="str">
            <v>Strands PW</v>
          </cell>
        </row>
        <row r="650">
          <cell r="A650" t="str">
            <v>IKN400170</v>
          </cell>
          <cell r="B650">
            <v>170</v>
          </cell>
          <cell r="C650" t="str">
            <v>Institut Kanser Negara</v>
          </cell>
          <cell r="D650" t="str">
            <v>KKM/IKN/H/13/4412</v>
          </cell>
          <cell r="E650" t="str">
            <v>15-709</v>
          </cell>
          <cell r="F650" t="str">
            <v>Analyzers, Laboratory, Blood Gas/pH</v>
          </cell>
          <cell r="G650" t="str">
            <v>IC</v>
          </cell>
          <cell r="H650" t="str">
            <v>INTENSIVE CARE UNIT</v>
          </cell>
          <cell r="I650" t="str">
            <v>05IC122</v>
          </cell>
          <cell r="J650" t="str">
            <v>STAT LAB</v>
          </cell>
          <cell r="K650" t="str">
            <v>BMED</v>
          </cell>
          <cell r="L650" t="str">
            <v>Critical</v>
          </cell>
          <cell r="M650" t="str">
            <v>Denmark</v>
          </cell>
          <cell r="N650" t="str">
            <v>Radiometer</v>
          </cell>
          <cell r="O650" t="str">
            <v>Radiometer ABL 90</v>
          </cell>
          <cell r="P650" t="str">
            <v>R0177N0008</v>
          </cell>
          <cell r="Q650" t="str">
            <v>Not Applicable</v>
          </cell>
          <cell r="R650" t="str">
            <v>Radiometer Medical ApS</v>
          </cell>
          <cell r="S650" t="str">
            <v>Metrojendela</v>
          </cell>
          <cell r="T650" t="str">
            <v>Functioning</v>
          </cell>
          <cell r="U650" t="str">
            <v>Asset</v>
          </cell>
          <cell r="V650">
            <v>210505</v>
          </cell>
          <cell r="W650" t="str">
            <v>KEW</v>
          </cell>
          <cell r="X650" t="str">
            <v>01/09/2010</v>
          </cell>
          <cell r="Y650" t="str">
            <v>KEW</v>
          </cell>
          <cell r="Z650" t="str">
            <v>16/08/2013</v>
          </cell>
          <cell r="AA650" t="str">
            <v>15/08/2015</v>
          </cell>
          <cell r="AB650" t="str">
            <v>No</v>
          </cell>
          <cell r="AC650" t="str">
            <v>31/08/2013</v>
          </cell>
          <cell r="AD650" t="str">
            <v>Good</v>
          </cell>
          <cell r="AE650" t="str">
            <v>V1 - Existing / No Claim</v>
          </cell>
          <cell r="AF650">
            <v>42797</v>
          </cell>
          <cell r="AG650">
            <v>9.17</v>
          </cell>
          <cell r="AH650" t="str">
            <v>PPM</v>
          </cell>
          <cell r="AI650" t="str">
            <v>Strands</v>
          </cell>
          <cell r="AJ650" t="str">
            <v>Strands Package</v>
          </cell>
          <cell r="AK650" t="str">
            <v>Package Code LC0002</v>
          </cell>
        </row>
        <row r="651">
          <cell r="A651" t="str">
            <v>IKN400171</v>
          </cell>
          <cell r="B651">
            <v>171</v>
          </cell>
          <cell r="C651" t="str">
            <v>Institut Kanser Negara</v>
          </cell>
          <cell r="D651" t="str">
            <v>KKM/IKN/H/13/1123</v>
          </cell>
          <cell r="E651" t="str">
            <v>17-429</v>
          </cell>
          <cell r="F651" t="str">
            <v>Ventilators, Intensive Care</v>
          </cell>
          <cell r="G651" t="str">
            <v>IC</v>
          </cell>
          <cell r="H651" t="str">
            <v>INTENSIVE CARE UNIT</v>
          </cell>
          <cell r="I651" t="str">
            <v>05IC131</v>
          </cell>
          <cell r="J651" t="str">
            <v>ISOL 3 (+VE)</v>
          </cell>
          <cell r="K651" t="str">
            <v>BMED</v>
          </cell>
          <cell r="L651" t="str">
            <v>Normal</v>
          </cell>
          <cell r="M651" t="str">
            <v>Germany</v>
          </cell>
          <cell r="N651" t="str">
            <v>Evita</v>
          </cell>
          <cell r="O651" t="str">
            <v>Evita XL</v>
          </cell>
          <cell r="P651" t="str">
            <v>ASDD-0074</v>
          </cell>
          <cell r="Q651" t="str">
            <v>Not Applicable</v>
          </cell>
          <cell r="R651" t="str">
            <v>Drager Medical GmbH</v>
          </cell>
          <cell r="S651" t="str">
            <v>Beau Consortium Sdn Bhd</v>
          </cell>
          <cell r="T651" t="str">
            <v>Functioning</v>
          </cell>
          <cell r="U651" t="str">
            <v>Asset</v>
          </cell>
          <cell r="V651">
            <v>151560</v>
          </cell>
          <cell r="W651" t="str">
            <v>KEW</v>
          </cell>
          <cell r="X651" t="str">
            <v>01/09/2010</v>
          </cell>
          <cell r="Y651" t="str">
            <v>KEW</v>
          </cell>
          <cell r="Z651" t="str">
            <v>16/08/2013</v>
          </cell>
          <cell r="AA651" t="str">
            <v>15/08/2015</v>
          </cell>
          <cell r="AB651" t="str">
            <v>No</v>
          </cell>
          <cell r="AC651" t="str">
            <v>31/08/2013</v>
          </cell>
          <cell r="AD651" t="str">
            <v>Good</v>
          </cell>
          <cell r="AE651" t="str">
            <v>V1 - Existing / No Claim</v>
          </cell>
          <cell r="AF651">
            <v>42235</v>
          </cell>
          <cell r="AG651">
            <v>9.17</v>
          </cell>
          <cell r="AH651" t="str">
            <v>PPM</v>
          </cell>
          <cell r="AI651" t="str">
            <v>Strands</v>
          </cell>
          <cell r="AJ651" t="str">
            <v>Strands PW</v>
          </cell>
        </row>
        <row r="652">
          <cell r="A652" t="str">
            <v>IKN400172</v>
          </cell>
          <cell r="B652">
            <v>172</v>
          </cell>
          <cell r="C652" t="str">
            <v>Institut Kanser Negara</v>
          </cell>
          <cell r="D652" t="str">
            <v>KKM/IKN/H/13/1127</v>
          </cell>
          <cell r="E652" t="str">
            <v>18-098</v>
          </cell>
          <cell r="F652" t="str">
            <v>Ventilators, Transport</v>
          </cell>
          <cell r="G652" t="str">
            <v>IC</v>
          </cell>
          <cell r="H652" t="str">
            <v>INTENSIVE CARE UNIT</v>
          </cell>
          <cell r="I652" t="str">
            <v>05IC106</v>
          </cell>
          <cell r="J652" t="str">
            <v>EQ. ROOM</v>
          </cell>
          <cell r="K652" t="str">
            <v>BMED</v>
          </cell>
          <cell r="L652" t="str">
            <v>Critical</v>
          </cell>
          <cell r="M652" t="str">
            <v>Germany</v>
          </cell>
          <cell r="N652" t="str">
            <v>Oxylog</v>
          </cell>
          <cell r="O652" t="str">
            <v>Oxylog 3000 Plus</v>
          </cell>
          <cell r="P652" t="str">
            <v>ASDJ-0135</v>
          </cell>
          <cell r="Q652" t="str">
            <v>Not Applicable</v>
          </cell>
          <cell r="R652" t="str">
            <v>Draegerwerk Ag</v>
          </cell>
          <cell r="S652" t="str">
            <v>Beau Consortium Sdn Bhd</v>
          </cell>
          <cell r="T652" t="str">
            <v>Functioning</v>
          </cell>
          <cell r="U652" t="str">
            <v>Asset</v>
          </cell>
          <cell r="V652">
            <v>60150</v>
          </cell>
          <cell r="W652" t="str">
            <v>KEW</v>
          </cell>
          <cell r="X652" t="str">
            <v>01/09/2010</v>
          </cell>
          <cell r="Y652" t="str">
            <v>KEW</v>
          </cell>
          <cell r="Z652" t="str">
            <v>16/08/2013</v>
          </cell>
          <cell r="AA652" t="str">
            <v>15/08/2015</v>
          </cell>
          <cell r="AB652" t="str">
            <v>No</v>
          </cell>
          <cell r="AC652" t="str">
            <v>31/08/2013</v>
          </cell>
          <cell r="AD652" t="str">
            <v>Good</v>
          </cell>
          <cell r="AE652" t="str">
            <v>V1 - Existing / No Claim</v>
          </cell>
          <cell r="AF652">
            <v>42796</v>
          </cell>
          <cell r="AG652">
            <v>9.17</v>
          </cell>
          <cell r="AH652" t="str">
            <v>PPM</v>
          </cell>
          <cell r="AI652" t="str">
            <v>Strands</v>
          </cell>
          <cell r="AJ652" t="str">
            <v>Strands PW</v>
          </cell>
        </row>
        <row r="653">
          <cell r="A653" t="str">
            <v>IKN400173</v>
          </cell>
          <cell r="B653">
            <v>173</v>
          </cell>
          <cell r="C653" t="str">
            <v>Institut Kanser Negara</v>
          </cell>
          <cell r="D653" t="str">
            <v>KKM/IKN/H/13/1126</v>
          </cell>
          <cell r="E653" t="str">
            <v>18-098</v>
          </cell>
          <cell r="F653" t="str">
            <v>Ventilators, Transport</v>
          </cell>
          <cell r="G653" t="str">
            <v>IC</v>
          </cell>
          <cell r="H653" t="str">
            <v>INTENSIVE CARE UNIT</v>
          </cell>
          <cell r="I653" t="str">
            <v>05IC106</v>
          </cell>
          <cell r="J653" t="str">
            <v>EQ. ROOM</v>
          </cell>
          <cell r="K653" t="str">
            <v>BMED</v>
          </cell>
          <cell r="L653" t="str">
            <v>Critical</v>
          </cell>
          <cell r="M653" t="str">
            <v>Germany</v>
          </cell>
          <cell r="N653" t="str">
            <v>Oxylog</v>
          </cell>
          <cell r="O653" t="str">
            <v>Oxylog 3000 Plus</v>
          </cell>
          <cell r="P653" t="str">
            <v>ASDJ-0134</v>
          </cell>
          <cell r="Q653" t="str">
            <v>Not Applicable</v>
          </cell>
          <cell r="R653" t="str">
            <v>Draegerwerk Ag</v>
          </cell>
          <cell r="S653" t="str">
            <v>Beau Consortium Sdn Bhd</v>
          </cell>
          <cell r="T653" t="str">
            <v>Functioning</v>
          </cell>
          <cell r="U653" t="str">
            <v>Asset</v>
          </cell>
          <cell r="V653">
            <v>60150</v>
          </cell>
          <cell r="W653" t="str">
            <v>KEW</v>
          </cell>
          <cell r="X653" t="str">
            <v>01/09/2010</v>
          </cell>
          <cell r="Y653" t="str">
            <v>KEW</v>
          </cell>
          <cell r="Z653" t="str">
            <v>16/08/2013</v>
          </cell>
          <cell r="AA653" t="str">
            <v>15/08/2015</v>
          </cell>
          <cell r="AB653" t="str">
            <v>No</v>
          </cell>
          <cell r="AC653" t="str">
            <v>31/08/2013</v>
          </cell>
          <cell r="AD653" t="str">
            <v>Good</v>
          </cell>
          <cell r="AE653" t="str">
            <v>V1 - Existing / No Claim</v>
          </cell>
          <cell r="AF653">
            <v>42796</v>
          </cell>
          <cell r="AG653">
            <v>9.17</v>
          </cell>
          <cell r="AH653" t="str">
            <v>PPM</v>
          </cell>
          <cell r="AI653" t="str">
            <v>Strands</v>
          </cell>
          <cell r="AJ653" t="str">
            <v>Strands PW</v>
          </cell>
        </row>
        <row r="654">
          <cell r="A654" t="str">
            <v>IKN400174</v>
          </cell>
          <cell r="B654">
            <v>174</v>
          </cell>
          <cell r="C654" t="str">
            <v>Institut Kanser Negara</v>
          </cell>
          <cell r="D654" t="str">
            <v>KKM/IKN/H/14/84</v>
          </cell>
          <cell r="E654" t="str">
            <v>10-447</v>
          </cell>
          <cell r="F654" t="str">
            <v>Warming Units, Blood/Solution</v>
          </cell>
          <cell r="G654" t="str">
            <v>ID</v>
          </cell>
          <cell r="H654" t="str">
            <v>IMAGING DEPARTMENT</v>
          </cell>
          <cell r="I654" t="str">
            <v>03ID156</v>
          </cell>
          <cell r="J654" t="str">
            <v>C.T. SCAN 1 (+VE)</v>
          </cell>
          <cell r="K654" t="str">
            <v>BMED</v>
          </cell>
          <cell r="L654" t="str">
            <v>Normal</v>
          </cell>
          <cell r="M654" t="str">
            <v>USA</v>
          </cell>
          <cell r="N654" t="str">
            <v>Heratherm</v>
          </cell>
          <cell r="O654" t="str">
            <v>Heratherm IM-18</v>
          </cell>
          <cell r="P654" t="str">
            <v>IMC40474563</v>
          </cell>
          <cell r="Q654" t="str">
            <v>Not Applicable</v>
          </cell>
          <cell r="R654" t="str">
            <v>Thermo Scientific Inc</v>
          </cell>
          <cell r="S654" t="str">
            <v>Fero -Medic &amp; Consultantcy</v>
          </cell>
          <cell r="T654" t="str">
            <v>Functioning</v>
          </cell>
          <cell r="U654" t="str">
            <v>Asset</v>
          </cell>
          <cell r="V654">
            <v>4950</v>
          </cell>
          <cell r="W654" t="str">
            <v>KEW</v>
          </cell>
          <cell r="X654" t="str">
            <v>25/09/2014</v>
          </cell>
          <cell r="Y654" t="str">
            <v>KEW</v>
          </cell>
          <cell r="Z654" t="str">
            <v>12/11/2014</v>
          </cell>
          <cell r="AA654" t="str">
            <v>11/11/2015</v>
          </cell>
          <cell r="AB654" t="str">
            <v>No</v>
          </cell>
          <cell r="AC654" t="str">
            <v>12/11/2014</v>
          </cell>
          <cell r="AD654" t="str">
            <v>Good</v>
          </cell>
          <cell r="AE654" t="str">
            <v>V3 - Added Installed Facilities (New)</v>
          </cell>
          <cell r="AF654">
            <v>42679</v>
          </cell>
          <cell r="AG654">
            <v>5.17</v>
          </cell>
          <cell r="AH654" t="str">
            <v>PPM</v>
          </cell>
          <cell r="AI654" t="str">
            <v>Strands</v>
          </cell>
          <cell r="AJ654" t="str">
            <v>Strands PW</v>
          </cell>
          <cell r="AK654" t="str">
            <v>SNF received. 1st batch of V3 asset (December 2020)</v>
          </cell>
        </row>
        <row r="655">
          <cell r="A655" t="str">
            <v>IKN400175</v>
          </cell>
          <cell r="B655">
            <v>175</v>
          </cell>
          <cell r="C655" t="str">
            <v>Institut Kanser Negara</v>
          </cell>
          <cell r="D655" t="str">
            <v>KKM/IKN/H/13/1028</v>
          </cell>
          <cell r="E655" t="str">
            <v>10-447</v>
          </cell>
          <cell r="F655" t="str">
            <v>Warming Units, Blood/Solution</v>
          </cell>
          <cell r="G655" t="str">
            <v>IC</v>
          </cell>
          <cell r="H655" t="str">
            <v>INTENSIVE CARE UNIT</v>
          </cell>
          <cell r="I655" t="str">
            <v>05IC106</v>
          </cell>
          <cell r="J655" t="str">
            <v>EQ. ROOM</v>
          </cell>
          <cell r="K655" t="str">
            <v>BMED</v>
          </cell>
          <cell r="L655" t="str">
            <v>Normal</v>
          </cell>
          <cell r="M655" t="str">
            <v>Japan</v>
          </cell>
          <cell r="N655" t="str">
            <v>Animec</v>
          </cell>
          <cell r="O655" t="str">
            <v>Animec AM-301</v>
          </cell>
          <cell r="P655" t="str">
            <v>2013D0257</v>
          </cell>
          <cell r="Q655" t="str">
            <v>Not Applicable</v>
          </cell>
          <cell r="R655" t="str">
            <v>Elltec Co Ltd</v>
          </cell>
          <cell r="S655" t="str">
            <v>IDS Services (Malaysia) Sdn Bhd</v>
          </cell>
          <cell r="T655" t="str">
            <v>Functioning</v>
          </cell>
          <cell r="U655" t="str">
            <v>Asset</v>
          </cell>
          <cell r="V655">
            <v>4990</v>
          </cell>
          <cell r="W655" t="str">
            <v>KEW</v>
          </cell>
          <cell r="X655" t="str">
            <v>01/09/2010</v>
          </cell>
          <cell r="Y655" t="str">
            <v>KEW</v>
          </cell>
          <cell r="Z655" t="str">
            <v>16/08/2013</v>
          </cell>
          <cell r="AA655" t="str">
            <v>15/08/2015</v>
          </cell>
          <cell r="AB655" t="str">
            <v>No</v>
          </cell>
          <cell r="AC655" t="str">
            <v>31/08/2013</v>
          </cell>
          <cell r="AD655" t="str">
            <v>Good</v>
          </cell>
          <cell r="AE655" t="str">
            <v>V1 - Existing / No Claim</v>
          </cell>
          <cell r="AF655">
            <v>42235</v>
          </cell>
          <cell r="AG655">
            <v>9.17</v>
          </cell>
          <cell r="AH655" t="str">
            <v>PPM</v>
          </cell>
          <cell r="AI655" t="str">
            <v>Strands</v>
          </cell>
          <cell r="AJ655" t="str">
            <v>Strands PW</v>
          </cell>
        </row>
        <row r="656">
          <cell r="A656" t="str">
            <v>IKN400176</v>
          </cell>
          <cell r="B656">
            <v>176</v>
          </cell>
          <cell r="C656" t="str">
            <v>Institut Kanser Negara</v>
          </cell>
          <cell r="D656" t="str">
            <v>KKM/IKN/H/13/1029</v>
          </cell>
          <cell r="E656" t="str">
            <v>10-447</v>
          </cell>
          <cell r="F656" t="str">
            <v>Warming Units, Blood/Solution</v>
          </cell>
          <cell r="G656" t="str">
            <v>IC</v>
          </cell>
          <cell r="H656" t="str">
            <v>INTENSIVE CARE UNIT</v>
          </cell>
          <cell r="I656" t="str">
            <v>05IC106</v>
          </cell>
          <cell r="J656" t="str">
            <v>EQ. ROOM</v>
          </cell>
          <cell r="K656" t="str">
            <v>BMED</v>
          </cell>
          <cell r="L656" t="str">
            <v>Normal</v>
          </cell>
          <cell r="M656" t="str">
            <v>Japan</v>
          </cell>
          <cell r="N656" t="str">
            <v>Animec</v>
          </cell>
          <cell r="O656" t="str">
            <v>Animec AM-301</v>
          </cell>
          <cell r="P656" t="str">
            <v>2013D0255</v>
          </cell>
          <cell r="Q656" t="str">
            <v>Not Applicable</v>
          </cell>
          <cell r="R656" t="str">
            <v>Elltec Co Ltd</v>
          </cell>
          <cell r="S656" t="str">
            <v>IDS Services (Malaysia) Sdn Bhd</v>
          </cell>
          <cell r="T656" t="str">
            <v>Functioning</v>
          </cell>
          <cell r="U656" t="str">
            <v>Asset</v>
          </cell>
          <cell r="V656">
            <v>4990</v>
          </cell>
          <cell r="W656" t="str">
            <v>KEW</v>
          </cell>
          <cell r="X656" t="str">
            <v>01/09/2010</v>
          </cell>
          <cell r="Y656" t="str">
            <v>KEW</v>
          </cell>
          <cell r="Z656" t="str">
            <v>16/08/2013</v>
          </cell>
          <cell r="AA656" t="str">
            <v>15/08/2015</v>
          </cell>
          <cell r="AB656" t="str">
            <v>No</v>
          </cell>
          <cell r="AC656" t="str">
            <v>31/08/2013</v>
          </cell>
          <cell r="AD656" t="str">
            <v>Good</v>
          </cell>
          <cell r="AE656" t="str">
            <v>V1 - Existing / No Claim</v>
          </cell>
          <cell r="AF656">
            <v>42235</v>
          </cell>
          <cell r="AG656">
            <v>9.17</v>
          </cell>
          <cell r="AH656" t="str">
            <v>PPM</v>
          </cell>
          <cell r="AI656" t="str">
            <v>Strands</v>
          </cell>
          <cell r="AJ656" t="str">
            <v>Strands PW</v>
          </cell>
        </row>
        <row r="657">
          <cell r="A657" t="str">
            <v>IKN400177</v>
          </cell>
          <cell r="B657">
            <v>177</v>
          </cell>
          <cell r="C657" t="str">
            <v>Institut Kanser Negara</v>
          </cell>
          <cell r="D657" t="str">
            <v>KKM/IKN/H/13/1030</v>
          </cell>
          <cell r="E657" t="str">
            <v>10-447</v>
          </cell>
          <cell r="F657" t="str">
            <v>Warming Units, Blood/Solution</v>
          </cell>
          <cell r="G657" t="str">
            <v>IC</v>
          </cell>
          <cell r="H657" t="str">
            <v>INTENSIVE CARE UNIT</v>
          </cell>
          <cell r="I657" t="str">
            <v>05IC106</v>
          </cell>
          <cell r="J657" t="str">
            <v>EQ. ROOM</v>
          </cell>
          <cell r="K657" t="str">
            <v>BMED</v>
          </cell>
          <cell r="L657" t="str">
            <v>Normal</v>
          </cell>
          <cell r="M657" t="str">
            <v>Japan</v>
          </cell>
          <cell r="N657" t="str">
            <v>Animec</v>
          </cell>
          <cell r="O657" t="str">
            <v>Animec AM-301</v>
          </cell>
          <cell r="P657" t="str">
            <v>2013D0256</v>
          </cell>
          <cell r="Q657" t="str">
            <v>Not Applicable</v>
          </cell>
          <cell r="R657" t="str">
            <v>Elltec Co Ltd</v>
          </cell>
          <cell r="S657" t="str">
            <v>IDS Services (Malaysia) Sdn Bhd</v>
          </cell>
          <cell r="T657" t="str">
            <v>Functioning</v>
          </cell>
          <cell r="U657" t="str">
            <v>Asset</v>
          </cell>
          <cell r="V657">
            <v>4990</v>
          </cell>
          <cell r="W657" t="str">
            <v>KEW</v>
          </cell>
          <cell r="X657" t="str">
            <v>01/09/2010</v>
          </cell>
          <cell r="Y657" t="str">
            <v>KEW</v>
          </cell>
          <cell r="Z657" t="str">
            <v>16/08/2013</v>
          </cell>
          <cell r="AA657" t="str">
            <v>15/08/2015</v>
          </cell>
          <cell r="AB657" t="str">
            <v>No</v>
          </cell>
          <cell r="AC657" t="str">
            <v>31/08/2013</v>
          </cell>
          <cell r="AD657" t="str">
            <v>Good</v>
          </cell>
          <cell r="AE657" t="str">
            <v>V1 - Existing / No Claim</v>
          </cell>
          <cell r="AF657">
            <v>42235</v>
          </cell>
          <cell r="AG657">
            <v>9.17</v>
          </cell>
          <cell r="AH657" t="str">
            <v>PPM</v>
          </cell>
          <cell r="AI657" t="str">
            <v>Strands</v>
          </cell>
          <cell r="AJ657" t="str">
            <v>Strands PW</v>
          </cell>
        </row>
        <row r="658">
          <cell r="A658" t="str">
            <v>IKN400178</v>
          </cell>
          <cell r="B658">
            <v>178</v>
          </cell>
          <cell r="C658" t="str">
            <v>Institut Kanser Negara</v>
          </cell>
          <cell r="D658" t="str">
            <v>KKM/IKN/H/13/1031</v>
          </cell>
          <cell r="E658" t="str">
            <v>17-950</v>
          </cell>
          <cell r="F658" t="str">
            <v>Warming Units, Patient, Forced-Air</v>
          </cell>
          <cell r="G658" t="str">
            <v>IC</v>
          </cell>
          <cell r="H658" t="str">
            <v>INTENSIVE CARE UNIT</v>
          </cell>
          <cell r="I658" t="str">
            <v>05IC111</v>
          </cell>
          <cell r="J658" t="str">
            <v>ISOL 1(-VE)</v>
          </cell>
          <cell r="K658" t="str">
            <v>BMED</v>
          </cell>
          <cell r="L658" t="str">
            <v>Normal</v>
          </cell>
          <cell r="M658" t="str">
            <v>USA</v>
          </cell>
          <cell r="N658" t="str">
            <v>Bair Hugger</v>
          </cell>
          <cell r="O658" t="str">
            <v>Bair Hugger 775</v>
          </cell>
          <cell r="P658" t="str">
            <v>35944</v>
          </cell>
          <cell r="Q658" t="str">
            <v>Not Applicable</v>
          </cell>
          <cell r="R658" t="str">
            <v>Arizant Healthcare Inc</v>
          </cell>
          <cell r="S658" t="str">
            <v>Calmed Healthcare Sdn Bhd</v>
          </cell>
          <cell r="T658" t="str">
            <v>Functioning</v>
          </cell>
          <cell r="U658" t="str">
            <v>Asset</v>
          </cell>
          <cell r="V658">
            <v>15515</v>
          </cell>
          <cell r="W658" t="str">
            <v>KEW</v>
          </cell>
          <cell r="X658" t="str">
            <v>01/09/2010</v>
          </cell>
          <cell r="Y658" t="str">
            <v>KEW</v>
          </cell>
          <cell r="Z658" t="str">
            <v>16/08/2013</v>
          </cell>
          <cell r="AA658" t="str">
            <v>15/08/2015</v>
          </cell>
          <cell r="AB658" t="str">
            <v>No</v>
          </cell>
          <cell r="AC658" t="str">
            <v>31/08/2013</v>
          </cell>
          <cell r="AD658" t="str">
            <v>Good</v>
          </cell>
          <cell r="AE658" t="str">
            <v>V1 - Existing / No Claim</v>
          </cell>
          <cell r="AF658">
            <v>42235</v>
          </cell>
          <cell r="AG658">
            <v>9.17</v>
          </cell>
          <cell r="AH658" t="str">
            <v>PPM</v>
          </cell>
          <cell r="AI658" t="str">
            <v>Strands</v>
          </cell>
          <cell r="AJ658" t="str">
            <v>Strands PW</v>
          </cell>
        </row>
        <row r="659">
          <cell r="A659" t="str">
            <v>IKN400179</v>
          </cell>
          <cell r="B659">
            <v>179</v>
          </cell>
          <cell r="C659" t="str">
            <v>Institut Kanser Negara</v>
          </cell>
          <cell r="D659" t="str">
            <v>KKM/IKN/H/13/1032</v>
          </cell>
          <cell r="E659" t="str">
            <v>17-950</v>
          </cell>
          <cell r="F659" t="str">
            <v>Warming Units, Patient, Forced-Air</v>
          </cell>
          <cell r="G659" t="str">
            <v>IC</v>
          </cell>
          <cell r="H659" t="str">
            <v>INTENSIVE CARE UNIT</v>
          </cell>
          <cell r="I659" t="str">
            <v>05IC112</v>
          </cell>
          <cell r="J659" t="str">
            <v>ICU RM 1</v>
          </cell>
          <cell r="K659" t="str">
            <v>BMED</v>
          </cell>
          <cell r="L659" t="str">
            <v>Normal</v>
          </cell>
          <cell r="M659" t="str">
            <v>USA</v>
          </cell>
          <cell r="N659" t="str">
            <v>Bair Hugger</v>
          </cell>
          <cell r="O659" t="str">
            <v>Bair Hugger 775</v>
          </cell>
          <cell r="P659" t="str">
            <v>35945</v>
          </cell>
          <cell r="Q659" t="str">
            <v>Not Applicable</v>
          </cell>
          <cell r="R659" t="str">
            <v>Arizant Healthcare Inc</v>
          </cell>
          <cell r="S659" t="str">
            <v>Calmed Healthcare Sdn Bhd</v>
          </cell>
          <cell r="T659" t="str">
            <v>Functioning</v>
          </cell>
          <cell r="U659" t="str">
            <v>Asset</v>
          </cell>
          <cell r="V659">
            <v>15515</v>
          </cell>
          <cell r="W659" t="str">
            <v>KEW</v>
          </cell>
          <cell r="X659" t="str">
            <v>01/09/2010</v>
          </cell>
          <cell r="Y659" t="str">
            <v>KEW</v>
          </cell>
          <cell r="Z659" t="str">
            <v>16/08/2013</v>
          </cell>
          <cell r="AA659" t="str">
            <v>15/08/2015</v>
          </cell>
          <cell r="AB659" t="str">
            <v>No</v>
          </cell>
          <cell r="AC659" t="str">
            <v>31/08/2013</v>
          </cell>
          <cell r="AD659" t="str">
            <v>Good</v>
          </cell>
          <cell r="AE659" t="str">
            <v>V1 - Existing / No Claim</v>
          </cell>
          <cell r="AF659">
            <v>42235</v>
          </cell>
          <cell r="AG659">
            <v>9.17</v>
          </cell>
          <cell r="AH659" t="str">
            <v>PPM</v>
          </cell>
          <cell r="AI659" t="str">
            <v>Strands</v>
          </cell>
          <cell r="AJ659" t="str">
            <v>Strands PW</v>
          </cell>
        </row>
        <row r="660">
          <cell r="A660" t="str">
            <v>IKN400180</v>
          </cell>
          <cell r="B660">
            <v>180</v>
          </cell>
          <cell r="C660" t="str">
            <v>Institut Kanser Negara</v>
          </cell>
          <cell r="D660" t="str">
            <v>KKM/IKN/H/13/1038</v>
          </cell>
          <cell r="E660" t="str">
            <v>17-950</v>
          </cell>
          <cell r="F660" t="str">
            <v>Warming Units, Patient, Forced-Air</v>
          </cell>
          <cell r="G660" t="str">
            <v>IC</v>
          </cell>
          <cell r="H660" t="str">
            <v>INTENSIVE CARE UNIT</v>
          </cell>
          <cell r="I660" t="str">
            <v>05IC113</v>
          </cell>
          <cell r="J660" t="str">
            <v>ICU RM 2</v>
          </cell>
          <cell r="K660" t="str">
            <v>BMED</v>
          </cell>
          <cell r="L660" t="str">
            <v>Normal</v>
          </cell>
          <cell r="M660" t="str">
            <v>USA</v>
          </cell>
          <cell r="N660" t="str">
            <v>Bair Hugger</v>
          </cell>
          <cell r="O660" t="str">
            <v>Bair Hugger 775</v>
          </cell>
          <cell r="P660" t="str">
            <v>35946</v>
          </cell>
          <cell r="Q660" t="str">
            <v>Not Applicable</v>
          </cell>
          <cell r="R660" t="str">
            <v>Arizant Healthcare Inc</v>
          </cell>
          <cell r="S660" t="str">
            <v>Calmed Healthcare Sdn Bhd</v>
          </cell>
          <cell r="T660" t="str">
            <v>Functioning</v>
          </cell>
          <cell r="U660" t="str">
            <v>Asset</v>
          </cell>
          <cell r="V660">
            <v>15515</v>
          </cell>
          <cell r="W660" t="str">
            <v>KEW</v>
          </cell>
          <cell r="X660" t="str">
            <v>01/09/2010</v>
          </cell>
          <cell r="Y660" t="str">
            <v>KEW</v>
          </cell>
          <cell r="Z660" t="str">
            <v>16/08/2013</v>
          </cell>
          <cell r="AA660" t="str">
            <v>15/08/2015</v>
          </cell>
          <cell r="AB660" t="str">
            <v>No</v>
          </cell>
          <cell r="AC660" t="str">
            <v>31/08/2013</v>
          </cell>
          <cell r="AD660" t="str">
            <v>Good</v>
          </cell>
          <cell r="AE660" t="str">
            <v>V1 - Existing / No Claim</v>
          </cell>
          <cell r="AF660">
            <v>42235</v>
          </cell>
          <cell r="AG660">
            <v>9.17</v>
          </cell>
          <cell r="AH660" t="str">
            <v>PPM</v>
          </cell>
          <cell r="AI660" t="str">
            <v>Strands</v>
          </cell>
          <cell r="AJ660" t="str">
            <v>Strands PW</v>
          </cell>
        </row>
        <row r="661">
          <cell r="A661" t="str">
            <v>IKN400181</v>
          </cell>
          <cell r="B661">
            <v>181</v>
          </cell>
          <cell r="C661" t="str">
            <v>Institut Kanser Negara</v>
          </cell>
          <cell r="D661" t="str">
            <v>KKM/IKN/H/13/1033</v>
          </cell>
          <cell r="E661" t="str">
            <v>17-950</v>
          </cell>
          <cell r="F661" t="str">
            <v>Warming Units, Patient, Forced-Air</v>
          </cell>
          <cell r="G661" t="str">
            <v>IC</v>
          </cell>
          <cell r="H661" t="str">
            <v>INTENSIVE CARE UNIT</v>
          </cell>
          <cell r="I661" t="str">
            <v>05IC114</v>
          </cell>
          <cell r="J661" t="str">
            <v>ICU RM 3</v>
          </cell>
          <cell r="K661" t="str">
            <v>BMED</v>
          </cell>
          <cell r="L661" t="str">
            <v>Normal</v>
          </cell>
          <cell r="M661" t="str">
            <v>USA</v>
          </cell>
          <cell r="N661" t="str">
            <v>Bair Hugger</v>
          </cell>
          <cell r="O661" t="str">
            <v>Bair Hugger 775</v>
          </cell>
          <cell r="P661" t="str">
            <v>35947</v>
          </cell>
          <cell r="Q661" t="str">
            <v>Not Applicable</v>
          </cell>
          <cell r="R661" t="str">
            <v>Arizant Healthcare Inc</v>
          </cell>
          <cell r="S661" t="str">
            <v>Calmed Healthcare Sdn Bhd</v>
          </cell>
          <cell r="T661" t="str">
            <v>Functioning</v>
          </cell>
          <cell r="U661" t="str">
            <v>Asset</v>
          </cell>
          <cell r="V661">
            <v>15515</v>
          </cell>
          <cell r="W661" t="str">
            <v>KEW</v>
          </cell>
          <cell r="X661" t="str">
            <v>01/09/2010</v>
          </cell>
          <cell r="Y661" t="str">
            <v>KEW</v>
          </cell>
          <cell r="Z661" t="str">
            <v>16/08/2013</v>
          </cell>
          <cell r="AA661" t="str">
            <v>15/08/2015</v>
          </cell>
          <cell r="AB661" t="str">
            <v>No</v>
          </cell>
          <cell r="AC661" t="str">
            <v>31/08/2013</v>
          </cell>
          <cell r="AD661" t="str">
            <v>Good</v>
          </cell>
          <cell r="AE661" t="str">
            <v>V1 - Existing / No Claim</v>
          </cell>
          <cell r="AF661">
            <v>42797</v>
          </cell>
          <cell r="AG661">
            <v>9.17</v>
          </cell>
          <cell r="AH661" t="str">
            <v>PPM</v>
          </cell>
          <cell r="AI661" t="str">
            <v>Strands</v>
          </cell>
          <cell r="AJ661" t="str">
            <v>Strands PW</v>
          </cell>
        </row>
        <row r="662">
          <cell r="A662" t="str">
            <v>IKN400182</v>
          </cell>
          <cell r="B662">
            <v>182</v>
          </cell>
          <cell r="C662" t="str">
            <v>Institut Kanser Negara</v>
          </cell>
          <cell r="D662" t="str">
            <v>KKM/IKN/H/13/1034</v>
          </cell>
          <cell r="E662" t="str">
            <v>17-950</v>
          </cell>
          <cell r="F662" t="str">
            <v>Warming Units, Patient, Forced-Air</v>
          </cell>
          <cell r="G662" t="str">
            <v>IC</v>
          </cell>
          <cell r="H662" t="str">
            <v>INTENSIVE CARE UNIT</v>
          </cell>
          <cell r="I662" t="str">
            <v>05IC115</v>
          </cell>
          <cell r="J662" t="str">
            <v>ICU RM 4</v>
          </cell>
          <cell r="K662" t="str">
            <v>BMED</v>
          </cell>
          <cell r="L662" t="str">
            <v>Normal</v>
          </cell>
          <cell r="M662" t="str">
            <v>USA</v>
          </cell>
          <cell r="N662" t="str">
            <v>Bair Hugger</v>
          </cell>
          <cell r="O662" t="str">
            <v>Bair Hugger 775</v>
          </cell>
          <cell r="P662" t="str">
            <v>35948</v>
          </cell>
          <cell r="Q662" t="str">
            <v>Not Applicable</v>
          </cell>
          <cell r="R662" t="str">
            <v>Arizant Healthcare Inc</v>
          </cell>
          <cell r="S662" t="str">
            <v>Calmed Healthcare Sdn Bhd</v>
          </cell>
          <cell r="T662" t="str">
            <v>Functioning</v>
          </cell>
          <cell r="U662" t="str">
            <v>Asset</v>
          </cell>
          <cell r="V662">
            <v>15515</v>
          </cell>
          <cell r="W662" t="str">
            <v>KEW</v>
          </cell>
          <cell r="X662" t="str">
            <v>01/09/2010</v>
          </cell>
          <cell r="Y662" t="str">
            <v>KEW</v>
          </cell>
          <cell r="Z662" t="str">
            <v>16/08/2013</v>
          </cell>
          <cell r="AA662" t="str">
            <v>15/08/2015</v>
          </cell>
          <cell r="AB662" t="str">
            <v>No</v>
          </cell>
          <cell r="AC662" t="str">
            <v>31/08/2013</v>
          </cell>
          <cell r="AD662" t="str">
            <v>Good</v>
          </cell>
          <cell r="AE662" t="str">
            <v>V1 - Existing / No Claim</v>
          </cell>
          <cell r="AF662">
            <v>42235</v>
          </cell>
          <cell r="AG662">
            <v>9.17</v>
          </cell>
          <cell r="AH662" t="str">
            <v>PPM</v>
          </cell>
          <cell r="AI662" t="str">
            <v>Strands</v>
          </cell>
          <cell r="AJ662" t="str">
            <v>Strands PW</v>
          </cell>
        </row>
        <row r="663">
          <cell r="A663" t="str">
            <v>IKN400183</v>
          </cell>
          <cell r="B663">
            <v>183</v>
          </cell>
          <cell r="C663" t="str">
            <v>Institut Kanser Negara</v>
          </cell>
          <cell r="D663" t="str">
            <v>KKM/IKN/H/13/1035</v>
          </cell>
          <cell r="E663" t="str">
            <v>17-950</v>
          </cell>
          <cell r="F663" t="str">
            <v>Warming Units, Patient, Forced-Air</v>
          </cell>
          <cell r="G663" t="str">
            <v>IC</v>
          </cell>
          <cell r="H663" t="str">
            <v>INTENSIVE CARE UNIT</v>
          </cell>
          <cell r="I663" t="str">
            <v>05IC116</v>
          </cell>
          <cell r="J663" t="str">
            <v>ISOL 2 (+VE)</v>
          </cell>
          <cell r="K663" t="str">
            <v>BMED</v>
          </cell>
          <cell r="L663" t="str">
            <v>Normal</v>
          </cell>
          <cell r="M663" t="str">
            <v>USA</v>
          </cell>
          <cell r="N663" t="str">
            <v>Bair Hugger</v>
          </cell>
          <cell r="O663" t="str">
            <v>Bair Hugger 775</v>
          </cell>
          <cell r="P663" t="str">
            <v>35932</v>
          </cell>
          <cell r="Q663" t="str">
            <v>Not Applicable</v>
          </cell>
          <cell r="R663" t="str">
            <v>Arizant Healthcare Inc</v>
          </cell>
          <cell r="S663" t="str">
            <v>Calmed Healthcare Sdn Bhd</v>
          </cell>
          <cell r="T663" t="str">
            <v>Functioning</v>
          </cell>
          <cell r="U663" t="str">
            <v>Asset</v>
          </cell>
          <cell r="V663">
            <v>15515</v>
          </cell>
          <cell r="W663" t="str">
            <v>KEW</v>
          </cell>
          <cell r="X663" t="str">
            <v>01/09/2010</v>
          </cell>
          <cell r="Y663" t="str">
            <v>KEW</v>
          </cell>
          <cell r="Z663" t="str">
            <v>16/08/2013</v>
          </cell>
          <cell r="AA663" t="str">
            <v>15/08/2015</v>
          </cell>
          <cell r="AB663" t="str">
            <v>No</v>
          </cell>
          <cell r="AC663" t="str">
            <v>31/08/2013</v>
          </cell>
          <cell r="AD663" t="str">
            <v>Good</v>
          </cell>
          <cell r="AE663" t="str">
            <v>V1 - Existing / No Claim</v>
          </cell>
          <cell r="AF663">
            <v>42797</v>
          </cell>
          <cell r="AG663">
            <v>9.17</v>
          </cell>
          <cell r="AH663" t="str">
            <v>PPM</v>
          </cell>
          <cell r="AI663" t="str">
            <v>Strands</v>
          </cell>
          <cell r="AJ663" t="str">
            <v>Strands PW</v>
          </cell>
        </row>
        <row r="664">
          <cell r="A664" t="str">
            <v>IKN400184</v>
          </cell>
          <cell r="B664">
            <v>184</v>
          </cell>
          <cell r="C664" t="str">
            <v>Institut Kanser Negara</v>
          </cell>
          <cell r="D664" t="str">
            <v>KKM/IKN/H/13/1036</v>
          </cell>
          <cell r="E664" t="str">
            <v>17-950</v>
          </cell>
          <cell r="F664" t="str">
            <v>Warming Units, Patient, Forced-Air</v>
          </cell>
          <cell r="G664" t="str">
            <v>IC</v>
          </cell>
          <cell r="H664" t="str">
            <v>INTENSIVE CARE UNIT</v>
          </cell>
          <cell r="I664" t="str">
            <v>05IC129</v>
          </cell>
          <cell r="J664" t="str">
            <v>ISOL 4 (+VE)</v>
          </cell>
          <cell r="K664" t="str">
            <v>BMED</v>
          </cell>
          <cell r="L664" t="str">
            <v>Normal</v>
          </cell>
          <cell r="M664" t="str">
            <v>USA</v>
          </cell>
          <cell r="N664" t="str">
            <v>Bair Hugger</v>
          </cell>
          <cell r="O664" t="str">
            <v>Bair Hugger 775</v>
          </cell>
          <cell r="P664" t="str">
            <v>35931</v>
          </cell>
          <cell r="Q664" t="str">
            <v>Not Applicable</v>
          </cell>
          <cell r="R664" t="str">
            <v>Arizant Healthcare Inc</v>
          </cell>
          <cell r="S664" t="str">
            <v>Calmed Healthcare Sdn Bhd</v>
          </cell>
          <cell r="T664" t="str">
            <v>Functioning</v>
          </cell>
          <cell r="U664" t="str">
            <v>Asset</v>
          </cell>
          <cell r="V664">
            <v>15515</v>
          </cell>
          <cell r="W664" t="str">
            <v>KEW</v>
          </cell>
          <cell r="X664" t="str">
            <v>01/09/2010</v>
          </cell>
          <cell r="Y664" t="str">
            <v>KEW</v>
          </cell>
          <cell r="Z664" t="str">
            <v>16/08/2013</v>
          </cell>
          <cell r="AA664" t="str">
            <v>15/08/2015</v>
          </cell>
          <cell r="AB664" t="str">
            <v>No</v>
          </cell>
          <cell r="AC664" t="str">
            <v>31/08/2013</v>
          </cell>
          <cell r="AD664" t="str">
            <v>Good</v>
          </cell>
          <cell r="AE664" t="str">
            <v>V1 - Existing / No Claim</v>
          </cell>
          <cell r="AF664">
            <v>42235</v>
          </cell>
          <cell r="AG664">
            <v>9.17</v>
          </cell>
          <cell r="AH664" t="str">
            <v>PPM</v>
          </cell>
          <cell r="AI664" t="str">
            <v>Strands</v>
          </cell>
          <cell r="AJ664" t="str">
            <v>Strands PW</v>
          </cell>
        </row>
        <row r="665">
          <cell r="A665" t="str">
            <v>IKN400185</v>
          </cell>
          <cell r="B665">
            <v>185</v>
          </cell>
          <cell r="C665" t="str">
            <v>Institut Kanser Negara</v>
          </cell>
          <cell r="D665" t="str">
            <v>KKM/IKN/H/13/1037</v>
          </cell>
          <cell r="E665" t="str">
            <v>17-950</v>
          </cell>
          <cell r="F665" t="str">
            <v>Warming Units, Patient, Forced-Air</v>
          </cell>
          <cell r="G665" t="str">
            <v>IC</v>
          </cell>
          <cell r="H665" t="str">
            <v>INTENSIVE CARE UNIT</v>
          </cell>
          <cell r="I665" t="str">
            <v>05IC131</v>
          </cell>
          <cell r="J665" t="str">
            <v>ISOL 3 (+VE)</v>
          </cell>
          <cell r="K665" t="str">
            <v>BMED</v>
          </cell>
          <cell r="L665" t="str">
            <v>Normal</v>
          </cell>
          <cell r="M665" t="str">
            <v>USA</v>
          </cell>
          <cell r="N665" t="str">
            <v>Bair Hugger</v>
          </cell>
          <cell r="O665" t="str">
            <v>Bair Hugger 775</v>
          </cell>
          <cell r="P665" t="str">
            <v>35950</v>
          </cell>
          <cell r="Q665" t="str">
            <v>Not Applicable</v>
          </cell>
          <cell r="R665" t="str">
            <v>Arizant Healthcare Inc</v>
          </cell>
          <cell r="S665" t="str">
            <v>Calmed Healthcare Sdn Bhd</v>
          </cell>
          <cell r="T665" t="str">
            <v>Functioning</v>
          </cell>
          <cell r="U665" t="str">
            <v>Asset</v>
          </cell>
          <cell r="V665">
            <v>15515</v>
          </cell>
          <cell r="W665" t="str">
            <v>KEW</v>
          </cell>
          <cell r="X665" t="str">
            <v>01/09/2010</v>
          </cell>
          <cell r="Y665" t="str">
            <v>KEW</v>
          </cell>
          <cell r="Z665" t="str">
            <v>16/08/2013</v>
          </cell>
          <cell r="AA665" t="str">
            <v>15/08/2015</v>
          </cell>
          <cell r="AB665" t="str">
            <v>No</v>
          </cell>
          <cell r="AC665" t="str">
            <v>31/08/2013</v>
          </cell>
          <cell r="AD665" t="str">
            <v>Good</v>
          </cell>
          <cell r="AE665" t="str">
            <v>V1 - Existing / No Claim</v>
          </cell>
          <cell r="AF665">
            <v>42235</v>
          </cell>
          <cell r="AG665">
            <v>9.17</v>
          </cell>
          <cell r="AH665" t="str">
            <v>PPM</v>
          </cell>
          <cell r="AI665" t="str">
            <v>Strands</v>
          </cell>
          <cell r="AJ665" t="str">
            <v>Strands PW</v>
          </cell>
        </row>
        <row r="666">
          <cell r="A666" t="str">
            <v>IKN400186</v>
          </cell>
          <cell r="B666">
            <v>186</v>
          </cell>
          <cell r="C666" t="str">
            <v>Institut Kanser Negara</v>
          </cell>
          <cell r="D666" t="str">
            <v>KKM/IKN/H/13/857</v>
          </cell>
          <cell r="E666" t="str">
            <v>10-849</v>
          </cell>
          <cell r="F666" t="str">
            <v>Circulatory Assist Units, Venous Return</v>
          </cell>
          <cell r="G666" t="str">
            <v>IC</v>
          </cell>
          <cell r="H666" t="str">
            <v>INTENSIVE CARE UNIT</v>
          </cell>
          <cell r="I666" t="str">
            <v>05IC112</v>
          </cell>
          <cell r="J666" t="str">
            <v>ICU RM 1</v>
          </cell>
          <cell r="K666" t="str">
            <v>BMED</v>
          </cell>
          <cell r="L666" t="str">
            <v>Critical</v>
          </cell>
          <cell r="M666" t="str">
            <v>Taiwan</v>
          </cell>
          <cell r="N666" t="str">
            <v>Vena Press</v>
          </cell>
          <cell r="O666" t="str">
            <v>Vena Press IPC</v>
          </cell>
          <cell r="P666" t="str">
            <v>C820017576</v>
          </cell>
          <cell r="Q666" t="str">
            <v>Not Applicable</v>
          </cell>
          <cell r="R666" t="str">
            <v>Prius Healthcare Solution</v>
          </cell>
          <cell r="S666" t="str">
            <v>Medika Supplies</v>
          </cell>
          <cell r="T666" t="str">
            <v>Functioning</v>
          </cell>
          <cell r="U666" t="str">
            <v>Asset</v>
          </cell>
          <cell r="V666">
            <v>13470</v>
          </cell>
          <cell r="W666" t="str">
            <v>KEW</v>
          </cell>
          <cell r="X666" t="str">
            <v>01/09/2010</v>
          </cell>
          <cell r="Y666" t="str">
            <v>KEW</v>
          </cell>
          <cell r="Z666" t="str">
            <v>16/08/2013</v>
          </cell>
          <cell r="AA666" t="str">
            <v>15/08/2015</v>
          </cell>
          <cell r="AB666" t="str">
            <v>No</v>
          </cell>
          <cell r="AC666" t="str">
            <v>31/08/2013</v>
          </cell>
          <cell r="AD666" t="str">
            <v>Good</v>
          </cell>
          <cell r="AE666" t="str">
            <v>V1 - Existing / No Claim</v>
          </cell>
          <cell r="AF666">
            <v>42796</v>
          </cell>
          <cell r="AG666">
            <v>9.17</v>
          </cell>
          <cell r="AH666" t="str">
            <v>PPM</v>
          </cell>
          <cell r="AI666" t="str">
            <v>Strands</v>
          </cell>
          <cell r="AJ666" t="str">
            <v>Strands PW</v>
          </cell>
        </row>
        <row r="667">
          <cell r="A667" t="str">
            <v>IKN400187</v>
          </cell>
          <cell r="B667">
            <v>187</v>
          </cell>
          <cell r="C667" t="str">
            <v>Institut Kanser Negara</v>
          </cell>
          <cell r="D667" t="str">
            <v>KKM/IKN/H/13/1025</v>
          </cell>
          <cell r="E667" t="str">
            <v>16-173</v>
          </cell>
          <cell r="F667" t="str">
            <v>Sphygmomanometers, Electronic, Automatic</v>
          </cell>
          <cell r="G667" t="str">
            <v>IC</v>
          </cell>
          <cell r="H667" t="str">
            <v>INTENSIVE CARE UNIT</v>
          </cell>
          <cell r="I667" t="str">
            <v>05IC140</v>
          </cell>
          <cell r="J667" t="str">
            <v>NURSE STATION 1</v>
          </cell>
          <cell r="K667" t="str">
            <v>BMED</v>
          </cell>
          <cell r="L667" t="str">
            <v>Normal</v>
          </cell>
          <cell r="M667" t="str">
            <v>USA</v>
          </cell>
          <cell r="N667" t="str">
            <v>Connex</v>
          </cell>
          <cell r="O667" t="str">
            <v>Connex ProBP 3400</v>
          </cell>
          <cell r="P667" t="str">
            <v>100001740613</v>
          </cell>
          <cell r="Q667" t="str">
            <v>Not Applicable</v>
          </cell>
          <cell r="R667" t="str">
            <v>Welch Allyn Inc</v>
          </cell>
          <cell r="S667" t="str">
            <v>Welch Allyn Malaysia Sdn Bhd</v>
          </cell>
          <cell r="T667" t="str">
            <v>Functioning</v>
          </cell>
          <cell r="U667" t="str">
            <v>Asset</v>
          </cell>
          <cell r="V667">
            <v>4510</v>
          </cell>
          <cell r="W667" t="str">
            <v>KEW</v>
          </cell>
          <cell r="X667" t="str">
            <v>01/09/2010</v>
          </cell>
          <cell r="Y667" t="str">
            <v>KEW</v>
          </cell>
          <cell r="Z667" t="str">
            <v>16/08/2013</v>
          </cell>
          <cell r="AA667" t="str">
            <v>15/08/2015</v>
          </cell>
          <cell r="AB667" t="str">
            <v>No</v>
          </cell>
          <cell r="AC667" t="str">
            <v>31/08/2013</v>
          </cell>
          <cell r="AD667" t="str">
            <v>Good</v>
          </cell>
          <cell r="AE667" t="str">
            <v>V1 - Existing / No Claim</v>
          </cell>
          <cell r="AF667">
            <v>42235</v>
          </cell>
          <cell r="AG667">
            <v>9.17</v>
          </cell>
          <cell r="AH667" t="str">
            <v>PPM</v>
          </cell>
          <cell r="AI667" t="str">
            <v>Strands</v>
          </cell>
          <cell r="AJ667" t="str">
            <v>Strands PW</v>
          </cell>
        </row>
        <row r="668">
          <cell r="A668" t="str">
            <v>IKN400188</v>
          </cell>
          <cell r="B668">
            <v>188</v>
          </cell>
          <cell r="C668" t="str">
            <v>Institut Kanser Negara</v>
          </cell>
          <cell r="D668" t="str">
            <v>KKM/IKN/H/13/4662</v>
          </cell>
          <cell r="E668" t="str">
            <v>15-156</v>
          </cell>
          <cell r="F668" t="str">
            <v>Microscopes, Light, Laboratory</v>
          </cell>
          <cell r="G668" t="str">
            <v>LA</v>
          </cell>
          <cell r="H668" t="str">
            <v>PATHOLOGY</v>
          </cell>
          <cell r="I668" t="str">
            <v>04LA130</v>
          </cell>
          <cell r="J668" t="str">
            <v>SEROLOGY</v>
          </cell>
          <cell r="K668" t="str">
            <v>BMED</v>
          </cell>
          <cell r="L668" t="str">
            <v>Normal</v>
          </cell>
          <cell r="M668" t="str">
            <v>Japan</v>
          </cell>
          <cell r="N668" t="str">
            <v>Olympus</v>
          </cell>
          <cell r="O668" t="str">
            <v>Olympus BX 53</v>
          </cell>
          <cell r="P668" t="str">
            <v>2hH23588</v>
          </cell>
          <cell r="Q668" t="str">
            <v>Not Applicable</v>
          </cell>
          <cell r="R668" t="str">
            <v>Olympus Corp</v>
          </cell>
          <cell r="S668" t="str">
            <v>Matrix Optics (M) Sdn Bhd</v>
          </cell>
          <cell r="T668" t="str">
            <v>Functioning</v>
          </cell>
          <cell r="U668" t="str">
            <v>Asset</v>
          </cell>
          <cell r="V668">
            <v>125500</v>
          </cell>
          <cell r="W668" t="str">
            <v>KEW</v>
          </cell>
          <cell r="X668" t="str">
            <v>01/09/2010</v>
          </cell>
          <cell r="Y668" t="str">
            <v>KEW</v>
          </cell>
          <cell r="Z668" t="str">
            <v>16/08/2013</v>
          </cell>
          <cell r="AA668" t="str">
            <v>15/08/2015</v>
          </cell>
          <cell r="AB668" t="str">
            <v>No</v>
          </cell>
          <cell r="AC668" t="str">
            <v>31/08/2013</v>
          </cell>
          <cell r="AD668" t="str">
            <v>Good</v>
          </cell>
          <cell r="AE668" t="str">
            <v>V1 - Existing / No Claim</v>
          </cell>
          <cell r="AF668">
            <v>42800</v>
          </cell>
          <cell r="AG668">
            <v>9.17</v>
          </cell>
          <cell r="AH668" t="str">
            <v>PPM</v>
          </cell>
          <cell r="AI668" t="str">
            <v>Strands</v>
          </cell>
          <cell r="AJ668" t="str">
            <v>Strands PW</v>
          </cell>
          <cell r="AK668" t="str">
            <v>[17/7/2024]: Change Department from MDC to LA on July 2024.</v>
          </cell>
        </row>
        <row r="669">
          <cell r="A669" t="str">
            <v>IKN400189</v>
          </cell>
          <cell r="B669">
            <v>189</v>
          </cell>
          <cell r="C669" t="str">
            <v>Institut Kanser Negara</v>
          </cell>
          <cell r="D669" t="str">
            <v>KKM/IKN/H/13/1027</v>
          </cell>
          <cell r="E669" t="str">
            <v>10-447</v>
          </cell>
          <cell r="F669" t="str">
            <v>Warming Units, Blood/Solution</v>
          </cell>
          <cell r="G669" t="str">
            <v>IC</v>
          </cell>
          <cell r="H669" t="str">
            <v>INTENSIVE CARE UNIT</v>
          </cell>
          <cell r="I669" t="str">
            <v>05IC106</v>
          </cell>
          <cell r="J669" t="str">
            <v>EQ. ROOM</v>
          </cell>
          <cell r="K669" t="str">
            <v>BMED</v>
          </cell>
          <cell r="L669" t="str">
            <v>Normal</v>
          </cell>
          <cell r="M669" t="str">
            <v>USA</v>
          </cell>
          <cell r="N669" t="str">
            <v>Hotline</v>
          </cell>
          <cell r="O669" t="str">
            <v>Hotline HL-90</v>
          </cell>
          <cell r="P669" t="str">
            <v>S101B00814</v>
          </cell>
          <cell r="Q669" t="str">
            <v>Not Applicable</v>
          </cell>
          <cell r="R669" t="str">
            <v>Level 1 Technologies Inc</v>
          </cell>
          <cell r="S669" t="str">
            <v>Primed Medical Services Sdn Bhd</v>
          </cell>
          <cell r="T669" t="str">
            <v>Functioning</v>
          </cell>
          <cell r="U669" t="str">
            <v>Asset</v>
          </cell>
          <cell r="V669">
            <v>15395</v>
          </cell>
          <cell r="W669" t="str">
            <v>KEW</v>
          </cell>
          <cell r="X669" t="str">
            <v>01/09/2010</v>
          </cell>
          <cell r="Y669" t="str">
            <v>KEW</v>
          </cell>
          <cell r="Z669" t="str">
            <v>16/08/2013</v>
          </cell>
          <cell r="AA669" t="str">
            <v>15/08/2015</v>
          </cell>
          <cell r="AB669" t="str">
            <v>No</v>
          </cell>
          <cell r="AC669" t="str">
            <v>31/08/2013</v>
          </cell>
          <cell r="AD669" t="str">
            <v>Good</v>
          </cell>
          <cell r="AE669" t="str">
            <v>V1 - Existing / No Claim</v>
          </cell>
          <cell r="AF669">
            <v>42235</v>
          </cell>
          <cell r="AG669">
            <v>9.17</v>
          </cell>
          <cell r="AH669" t="str">
            <v>PPM</v>
          </cell>
          <cell r="AI669" t="str">
            <v>Strands</v>
          </cell>
          <cell r="AJ669" t="str">
            <v>Strands PW</v>
          </cell>
        </row>
        <row r="670">
          <cell r="A670" t="str">
            <v>IKN400190</v>
          </cell>
          <cell r="B670">
            <v>190</v>
          </cell>
          <cell r="C670" t="str">
            <v>Institut Kanser Negara</v>
          </cell>
          <cell r="D670" t="str">
            <v>KKM/IKN/H/13/2209</v>
          </cell>
          <cell r="E670" t="str">
            <v>10-447</v>
          </cell>
          <cell r="F670" t="str">
            <v>Warming Units, Blood/Solution</v>
          </cell>
          <cell r="G670" t="str">
            <v>WJ</v>
          </cell>
          <cell r="H670" t="str">
            <v>MULTIDISCIPLINE WARD 1</v>
          </cell>
          <cell r="I670" t="str">
            <v>09WJ126</v>
          </cell>
          <cell r="J670" t="str">
            <v>EQUIPT. ROOM</v>
          </cell>
          <cell r="K670" t="str">
            <v>BMED</v>
          </cell>
          <cell r="L670" t="str">
            <v>Normal</v>
          </cell>
          <cell r="M670" t="str">
            <v>Japan</v>
          </cell>
          <cell r="N670" t="str">
            <v>Animec</v>
          </cell>
          <cell r="O670" t="str">
            <v>Animec AM-301</v>
          </cell>
          <cell r="P670" t="str">
            <v>2013D0267</v>
          </cell>
          <cell r="Q670" t="str">
            <v>Not Applicable</v>
          </cell>
          <cell r="R670" t="str">
            <v>Elltec Co Ltd</v>
          </cell>
          <cell r="S670" t="str">
            <v>IDS Services (Malaysia) Sdn Bhd</v>
          </cell>
          <cell r="T670" t="str">
            <v>Functioning</v>
          </cell>
          <cell r="U670" t="str">
            <v>Asset</v>
          </cell>
          <cell r="V670">
            <v>4990</v>
          </cell>
          <cell r="W670" t="str">
            <v>KEW</v>
          </cell>
          <cell r="X670" t="str">
            <v>01/09/2010</v>
          </cell>
          <cell r="Y670" t="str">
            <v>KEW</v>
          </cell>
          <cell r="Z670" t="str">
            <v>16/08/2013</v>
          </cell>
          <cell r="AA670" t="str">
            <v>15/08/2015</v>
          </cell>
          <cell r="AB670" t="str">
            <v>No</v>
          </cell>
          <cell r="AC670" t="str">
            <v>31/08/2013</v>
          </cell>
          <cell r="AD670" t="str">
            <v>Good</v>
          </cell>
          <cell r="AE670" t="str">
            <v>V1 - Existing / No Claim</v>
          </cell>
          <cell r="AF670">
            <v>42235</v>
          </cell>
          <cell r="AG670">
            <v>9.17</v>
          </cell>
          <cell r="AH670" t="str">
            <v>PPM</v>
          </cell>
          <cell r="AI670" t="str">
            <v>Strands</v>
          </cell>
          <cell r="AJ670" t="str">
            <v>Strands PW</v>
          </cell>
        </row>
        <row r="671">
          <cell r="A671" t="str">
            <v>IKN400191</v>
          </cell>
          <cell r="B671">
            <v>191</v>
          </cell>
          <cell r="C671" t="str">
            <v>Institut Kanser Negara</v>
          </cell>
          <cell r="D671" t="str">
            <v>KKM/IKN/H/13/2243</v>
          </cell>
          <cell r="E671" t="str">
            <v>10-447</v>
          </cell>
          <cell r="F671" t="str">
            <v>Warming Units, Blood/Solution</v>
          </cell>
          <cell r="G671" t="str">
            <v>WJ</v>
          </cell>
          <cell r="H671" t="str">
            <v>MULTIDISCIPLINE WARD 1</v>
          </cell>
          <cell r="I671" t="str">
            <v>09WJ126</v>
          </cell>
          <cell r="J671" t="str">
            <v>EQUIPT. ROOM</v>
          </cell>
          <cell r="K671" t="str">
            <v>BMED</v>
          </cell>
          <cell r="L671" t="str">
            <v>Normal</v>
          </cell>
          <cell r="M671" t="str">
            <v>Japan</v>
          </cell>
          <cell r="N671" t="str">
            <v>Animec</v>
          </cell>
          <cell r="O671" t="str">
            <v>Animec AM-301</v>
          </cell>
          <cell r="P671" t="str">
            <v>2012D0059</v>
          </cell>
          <cell r="Q671" t="str">
            <v>Not Applicable</v>
          </cell>
          <cell r="R671" t="str">
            <v>Elltec Co Ltd</v>
          </cell>
          <cell r="S671" t="str">
            <v>IDS Services (Malaysia) Sdn Bhd</v>
          </cell>
          <cell r="T671" t="str">
            <v>Functioning</v>
          </cell>
          <cell r="U671" t="str">
            <v>Asset</v>
          </cell>
          <cell r="V671">
            <v>4990</v>
          </cell>
          <cell r="W671" t="str">
            <v>KEW</v>
          </cell>
          <cell r="X671" t="str">
            <v>01/09/2010</v>
          </cell>
          <cell r="Y671" t="str">
            <v>KEW</v>
          </cell>
          <cell r="Z671" t="str">
            <v>16/08/2013</v>
          </cell>
          <cell r="AA671" t="str">
            <v>15/08/2015</v>
          </cell>
          <cell r="AB671" t="str">
            <v>No</v>
          </cell>
          <cell r="AC671" t="str">
            <v>31/08/2013</v>
          </cell>
          <cell r="AD671" t="str">
            <v>Good</v>
          </cell>
          <cell r="AE671" t="str">
            <v>V1 - Existing / No Claim</v>
          </cell>
          <cell r="AF671">
            <v>42789</v>
          </cell>
          <cell r="AG671">
            <v>9.17</v>
          </cell>
          <cell r="AH671" t="str">
            <v>PPM</v>
          </cell>
          <cell r="AI671" t="str">
            <v>Strands</v>
          </cell>
          <cell r="AJ671" t="str">
            <v>Strands PW</v>
          </cell>
        </row>
        <row r="672">
          <cell r="A672" t="str">
            <v>IKN400192</v>
          </cell>
          <cell r="B672">
            <v>192</v>
          </cell>
          <cell r="C672" t="str">
            <v>Institut Kanser Negara</v>
          </cell>
          <cell r="D672" t="str">
            <v>KKM/IKN/H/13/2019</v>
          </cell>
          <cell r="E672" t="str">
            <v>10-447</v>
          </cell>
          <cell r="F672" t="str">
            <v>Warming Units, Blood/Solution</v>
          </cell>
          <cell r="G672" t="str">
            <v>WJ</v>
          </cell>
          <cell r="H672" t="str">
            <v>MULTIDISCIPLINE WARD 1</v>
          </cell>
          <cell r="I672" t="str">
            <v>09WJ126</v>
          </cell>
          <cell r="J672" t="str">
            <v>EQUIPT. ROOM</v>
          </cell>
          <cell r="K672" t="str">
            <v>BMED</v>
          </cell>
          <cell r="L672" t="str">
            <v>Normal</v>
          </cell>
          <cell r="M672" t="str">
            <v>Japan</v>
          </cell>
          <cell r="N672" t="str">
            <v>Animec</v>
          </cell>
          <cell r="O672" t="str">
            <v>Animec AM-301</v>
          </cell>
          <cell r="P672" t="str">
            <v>2013D0268</v>
          </cell>
          <cell r="Q672" t="str">
            <v>Not Applicable</v>
          </cell>
          <cell r="R672" t="str">
            <v>Elltec Co Ltd</v>
          </cell>
          <cell r="S672" t="str">
            <v>IDS Services (Malaysia) Sdn Bhd</v>
          </cell>
          <cell r="T672" t="str">
            <v>Functioning</v>
          </cell>
          <cell r="U672" t="str">
            <v>Asset</v>
          </cell>
          <cell r="V672">
            <v>4990</v>
          </cell>
          <cell r="W672" t="str">
            <v>KEW</v>
          </cell>
          <cell r="X672" t="str">
            <v>01/09/2010</v>
          </cell>
          <cell r="Y672" t="str">
            <v>KEW</v>
          </cell>
          <cell r="Z672" t="str">
            <v>16/08/2013</v>
          </cell>
          <cell r="AA672" t="str">
            <v>15/08/2015</v>
          </cell>
          <cell r="AB672" t="str">
            <v>No</v>
          </cell>
          <cell r="AC672" t="str">
            <v>31/08/2013</v>
          </cell>
          <cell r="AD672" t="str">
            <v>Good</v>
          </cell>
          <cell r="AE672" t="str">
            <v>V1 - Existing / No Claim</v>
          </cell>
          <cell r="AF672">
            <v>42235</v>
          </cell>
          <cell r="AG672">
            <v>9.17</v>
          </cell>
          <cell r="AH672" t="str">
            <v>PPM</v>
          </cell>
          <cell r="AI672" t="str">
            <v>Strands</v>
          </cell>
          <cell r="AJ672" t="str">
            <v>Strands PW</v>
          </cell>
        </row>
        <row r="673">
          <cell r="A673" t="str">
            <v>IKN400193</v>
          </cell>
          <cell r="B673">
            <v>193</v>
          </cell>
          <cell r="C673" t="str">
            <v>Institut Kanser Negara</v>
          </cell>
          <cell r="D673" t="str">
            <v>KKM/IKN/H/13/2245</v>
          </cell>
          <cell r="E673" t="str">
            <v>12-282</v>
          </cell>
          <cell r="F673" t="str">
            <v>Lights, Surgical</v>
          </cell>
          <cell r="G673" t="str">
            <v>WJ</v>
          </cell>
          <cell r="H673" t="str">
            <v>MULTIDISCIPLINE WARD 1</v>
          </cell>
          <cell r="I673" t="str">
            <v>09WJ126</v>
          </cell>
          <cell r="J673" t="str">
            <v>EQUIPT. ROOM</v>
          </cell>
          <cell r="K673" t="str">
            <v>BMED</v>
          </cell>
          <cell r="L673" t="str">
            <v>Critical</v>
          </cell>
          <cell r="M673" t="str">
            <v>USA</v>
          </cell>
          <cell r="N673" t="str">
            <v>Welch Allyn</v>
          </cell>
          <cell r="O673" t="str">
            <v>Welch Allyn GS600</v>
          </cell>
          <cell r="P673" t="str">
            <v>GS-600-42</v>
          </cell>
          <cell r="Q673" t="str">
            <v>Not Applicable</v>
          </cell>
          <cell r="R673" t="str">
            <v>Welch Allyn Inc</v>
          </cell>
          <cell r="S673" t="str">
            <v>Welch Allyn Malaysia Sdn Bhd</v>
          </cell>
          <cell r="T673" t="str">
            <v>Functioning</v>
          </cell>
          <cell r="U673" t="str">
            <v>Asset</v>
          </cell>
          <cell r="V673">
            <v>5050</v>
          </cell>
          <cell r="W673" t="str">
            <v>KEW</v>
          </cell>
          <cell r="X673" t="str">
            <v>01/09/2010</v>
          </cell>
          <cell r="Y673" t="str">
            <v>KEW</v>
          </cell>
          <cell r="Z673" t="str">
            <v>16/08/2013</v>
          </cell>
          <cell r="AA673" t="str">
            <v>15/08/2015</v>
          </cell>
          <cell r="AB673" t="str">
            <v>No</v>
          </cell>
          <cell r="AC673" t="str">
            <v>31/08/2013</v>
          </cell>
          <cell r="AD673" t="str">
            <v>Good</v>
          </cell>
          <cell r="AE673" t="str">
            <v>V1 - Existing / No Claim</v>
          </cell>
          <cell r="AF673">
            <v>42789</v>
          </cell>
          <cell r="AG673">
            <v>9.17</v>
          </cell>
          <cell r="AH673" t="str">
            <v>PPM</v>
          </cell>
          <cell r="AI673" t="str">
            <v>Strands</v>
          </cell>
          <cell r="AJ673" t="str">
            <v>Strands PW</v>
          </cell>
        </row>
        <row r="674">
          <cell r="A674" t="str">
            <v>IKN400194</v>
          </cell>
          <cell r="B674">
            <v>194</v>
          </cell>
          <cell r="C674" t="str">
            <v>Institut Kanser Negara</v>
          </cell>
          <cell r="D674" t="str">
            <v>KKM/IKN/H/13/2246</v>
          </cell>
          <cell r="E674" t="str">
            <v>12-282</v>
          </cell>
          <cell r="F674" t="str">
            <v>Lights, Surgical</v>
          </cell>
          <cell r="G674" t="str">
            <v>WJ</v>
          </cell>
          <cell r="H674" t="str">
            <v>MULTIDISCIPLINE WARD 1</v>
          </cell>
          <cell r="I674" t="str">
            <v>09WJ222</v>
          </cell>
          <cell r="J674" t="str">
            <v>TREATMENT</v>
          </cell>
          <cell r="K674" t="str">
            <v>BMED</v>
          </cell>
          <cell r="L674" t="str">
            <v>Critical</v>
          </cell>
          <cell r="M674" t="str">
            <v>USA</v>
          </cell>
          <cell r="N674" t="str">
            <v>Welch Allyn</v>
          </cell>
          <cell r="O674" t="str">
            <v>Welch Allyn GS600</v>
          </cell>
          <cell r="P674" t="str">
            <v>GS-600-45</v>
          </cell>
          <cell r="Q674" t="str">
            <v>Not Applicable</v>
          </cell>
          <cell r="R674" t="str">
            <v>Welch Allyn Inc</v>
          </cell>
          <cell r="S674" t="str">
            <v>Welch Allyn Malaysia Sdn Bhd</v>
          </cell>
          <cell r="T674" t="str">
            <v>Functioning</v>
          </cell>
          <cell r="U674" t="str">
            <v>Asset</v>
          </cell>
          <cell r="V674">
            <v>5050</v>
          </cell>
          <cell r="W674" t="str">
            <v>KEW</v>
          </cell>
          <cell r="X674" t="str">
            <v>01/09/2010</v>
          </cell>
          <cell r="Y674" t="str">
            <v>KEW</v>
          </cell>
          <cell r="Z674" t="str">
            <v>16/08/2013</v>
          </cell>
          <cell r="AA674" t="str">
            <v>15/08/2015</v>
          </cell>
          <cell r="AB674" t="str">
            <v>No</v>
          </cell>
          <cell r="AC674" t="str">
            <v>31/08/2013</v>
          </cell>
          <cell r="AD674" t="str">
            <v>Good</v>
          </cell>
          <cell r="AE674" t="str">
            <v>V1 - Existing / No Claim</v>
          </cell>
          <cell r="AF674">
            <v>43063</v>
          </cell>
          <cell r="AG674">
            <v>9.17</v>
          </cell>
          <cell r="AH674" t="str">
            <v>PPM</v>
          </cell>
          <cell r="AI674" t="str">
            <v>Strands</v>
          </cell>
          <cell r="AJ674" t="str">
            <v>Strands PW</v>
          </cell>
        </row>
        <row r="675">
          <cell r="A675" t="str">
            <v>IKN400195</v>
          </cell>
          <cell r="B675">
            <v>195</v>
          </cell>
          <cell r="C675" t="str">
            <v>Institut Kanser Negara</v>
          </cell>
          <cell r="D675" t="str">
            <v>KKM/IKN/H/13/2242</v>
          </cell>
          <cell r="E675" t="str">
            <v>15-045</v>
          </cell>
          <cell r="F675" t="str">
            <v>Nebulizers, Nonheated</v>
          </cell>
          <cell r="G675" t="str">
            <v>WJ</v>
          </cell>
          <cell r="H675" t="str">
            <v>MULTIDISCIPLINE WARD 1</v>
          </cell>
          <cell r="I675" t="str">
            <v>09WJ126</v>
          </cell>
          <cell r="J675" t="str">
            <v>EQUIPT. ROOM</v>
          </cell>
          <cell r="K675" t="str">
            <v>BMED</v>
          </cell>
          <cell r="L675" t="str">
            <v>Normal</v>
          </cell>
          <cell r="M675" t="str">
            <v>Germany</v>
          </cell>
          <cell r="N675" t="str">
            <v>Pari Boy</v>
          </cell>
          <cell r="O675" t="str">
            <v>Pari Boy SX 085</v>
          </cell>
          <cell r="P675" t="str">
            <v>2W12F13794</v>
          </cell>
          <cell r="Q675" t="str">
            <v>Not Applicable</v>
          </cell>
          <cell r="R675" t="str">
            <v>Pari GmbH</v>
          </cell>
          <cell r="S675" t="str">
            <v>Welch Allyn Malaysia Sdn Bhd</v>
          </cell>
          <cell r="T675" t="str">
            <v>Functioning</v>
          </cell>
          <cell r="U675" t="str">
            <v>Asset</v>
          </cell>
          <cell r="V675">
            <v>1140</v>
          </cell>
          <cell r="W675" t="str">
            <v>KEW</v>
          </cell>
          <cell r="X675" t="str">
            <v>01/09/2010</v>
          </cell>
          <cell r="Y675" t="str">
            <v>KEW</v>
          </cell>
          <cell r="Z675" t="str">
            <v>16/08/2013</v>
          </cell>
          <cell r="AA675" t="str">
            <v>15/08/2015</v>
          </cell>
          <cell r="AB675" t="str">
            <v>No</v>
          </cell>
          <cell r="AC675" t="str">
            <v>31/08/2013</v>
          </cell>
          <cell r="AD675" t="str">
            <v>Good</v>
          </cell>
          <cell r="AE675" t="str">
            <v>V1 - Existing / No Claim</v>
          </cell>
          <cell r="AF675">
            <v>42789</v>
          </cell>
          <cell r="AG675">
            <v>9.17</v>
          </cell>
          <cell r="AH675" t="str">
            <v>PPM</v>
          </cell>
          <cell r="AI675" t="str">
            <v>Strands</v>
          </cell>
          <cell r="AJ675" t="str">
            <v>Strands PW</v>
          </cell>
        </row>
        <row r="676">
          <cell r="A676" t="str">
            <v>IKN400196</v>
          </cell>
          <cell r="B676">
            <v>196</v>
          </cell>
          <cell r="C676" t="str">
            <v>Institut Kanser Negara</v>
          </cell>
          <cell r="D676" t="str">
            <v>KKM/IKN/H/13/1770</v>
          </cell>
          <cell r="E676" t="str">
            <v>15-045</v>
          </cell>
          <cell r="F676" t="str">
            <v>Nebulizers, Nonheated</v>
          </cell>
          <cell r="G676" t="str">
            <v>WJ</v>
          </cell>
          <cell r="H676" t="str">
            <v>MULTIDISCIPLINE WARD 1</v>
          </cell>
          <cell r="I676" t="str">
            <v>09WJ126</v>
          </cell>
          <cell r="J676" t="str">
            <v>EQUIPT. ROOM</v>
          </cell>
          <cell r="K676" t="str">
            <v>BMED</v>
          </cell>
          <cell r="L676" t="str">
            <v>Normal</v>
          </cell>
          <cell r="M676" t="str">
            <v>Germany</v>
          </cell>
          <cell r="N676" t="str">
            <v>Pari Boy</v>
          </cell>
          <cell r="O676" t="str">
            <v>Pari Boy SX 085</v>
          </cell>
          <cell r="P676" t="str">
            <v>2W12F13854</v>
          </cell>
          <cell r="Q676" t="str">
            <v>Not Applicable</v>
          </cell>
          <cell r="R676" t="str">
            <v>Pari GmbH</v>
          </cell>
          <cell r="S676" t="str">
            <v>Welch Allyn Malaysia Sdn Bhd</v>
          </cell>
          <cell r="T676" t="str">
            <v>Functioning</v>
          </cell>
          <cell r="U676" t="str">
            <v>Asset</v>
          </cell>
          <cell r="V676">
            <v>1140</v>
          </cell>
          <cell r="W676" t="str">
            <v>KEW</v>
          </cell>
          <cell r="X676" t="str">
            <v>01/09/2010</v>
          </cell>
          <cell r="Y676" t="str">
            <v>KEW</v>
          </cell>
          <cell r="Z676" t="str">
            <v>16/08/2013</v>
          </cell>
          <cell r="AA676" t="str">
            <v>15/08/2015</v>
          </cell>
          <cell r="AB676" t="str">
            <v>No</v>
          </cell>
          <cell r="AC676" t="str">
            <v>31/08/2013</v>
          </cell>
          <cell r="AD676" t="str">
            <v>Good</v>
          </cell>
          <cell r="AE676" t="str">
            <v>V1 - Existing / No Claim</v>
          </cell>
          <cell r="AF676">
            <v>42235</v>
          </cell>
          <cell r="AG676">
            <v>9.17</v>
          </cell>
          <cell r="AH676" t="str">
            <v>PPM</v>
          </cell>
          <cell r="AI676" t="str">
            <v>Strands</v>
          </cell>
          <cell r="AJ676" t="str">
            <v>Strands PW</v>
          </cell>
        </row>
        <row r="677">
          <cell r="A677" t="str">
            <v>IKN400197</v>
          </cell>
          <cell r="B677">
            <v>197</v>
          </cell>
          <cell r="C677" t="str">
            <v>Institut Kanser Negara</v>
          </cell>
          <cell r="D677" t="str">
            <v>KKM/IKN/H/13/2241</v>
          </cell>
          <cell r="E677" t="str">
            <v>15-045</v>
          </cell>
          <cell r="F677" t="str">
            <v>Nebulizers, Nonheated</v>
          </cell>
          <cell r="G677" t="str">
            <v>WJ</v>
          </cell>
          <cell r="H677" t="str">
            <v>MULTIDISCIPLINE WARD 1</v>
          </cell>
          <cell r="I677" t="str">
            <v>09WJ126</v>
          </cell>
          <cell r="J677" t="str">
            <v>EQUIPT. ROOM</v>
          </cell>
          <cell r="K677" t="str">
            <v>BMED</v>
          </cell>
          <cell r="L677" t="str">
            <v>Normal</v>
          </cell>
          <cell r="M677" t="str">
            <v>Germany</v>
          </cell>
          <cell r="N677" t="str">
            <v>Pari Boy</v>
          </cell>
          <cell r="O677" t="str">
            <v>Pari Boy SX 085</v>
          </cell>
          <cell r="P677" t="str">
            <v>2W12F13833</v>
          </cell>
          <cell r="Q677" t="str">
            <v>Not Applicable</v>
          </cell>
          <cell r="R677" t="str">
            <v>Pari GmbH</v>
          </cell>
          <cell r="S677" t="str">
            <v>Welch Allyn Malaysia Sdn Bhd</v>
          </cell>
          <cell r="T677" t="str">
            <v>Functioning</v>
          </cell>
          <cell r="U677" t="str">
            <v>Asset</v>
          </cell>
          <cell r="V677">
            <v>1140</v>
          </cell>
          <cell r="W677" t="str">
            <v>KEW</v>
          </cell>
          <cell r="X677" t="str">
            <v>01/09/2010</v>
          </cell>
          <cell r="Y677" t="str">
            <v>KEW</v>
          </cell>
          <cell r="Z677" t="str">
            <v>16/08/2013</v>
          </cell>
          <cell r="AA677" t="str">
            <v>15/08/2015</v>
          </cell>
          <cell r="AB677" t="str">
            <v>No</v>
          </cell>
          <cell r="AC677" t="str">
            <v>31/08/2013</v>
          </cell>
          <cell r="AD677" t="str">
            <v>Good</v>
          </cell>
          <cell r="AE677" t="str">
            <v>V1 - Existing / No Claim</v>
          </cell>
          <cell r="AF677">
            <v>42789</v>
          </cell>
          <cell r="AG677">
            <v>9.17</v>
          </cell>
          <cell r="AH677" t="str">
            <v>PPM</v>
          </cell>
          <cell r="AI677" t="str">
            <v>Strands</v>
          </cell>
          <cell r="AJ677" t="str">
            <v>Strands PW</v>
          </cell>
        </row>
        <row r="678">
          <cell r="A678" t="str">
            <v>IKN400198</v>
          </cell>
          <cell r="B678">
            <v>198</v>
          </cell>
          <cell r="C678" t="str">
            <v>Institut Kanser Negara</v>
          </cell>
          <cell r="D678" t="str">
            <v>KKM/IKN/H/13/1768</v>
          </cell>
          <cell r="E678" t="str">
            <v>18-147</v>
          </cell>
          <cell r="F678" t="str">
            <v>Mattress Systems, Alternating-Pressure</v>
          </cell>
          <cell r="G678" t="str">
            <v>WJ</v>
          </cell>
          <cell r="H678" t="str">
            <v>MULTIDISCIPLINE WARD 1</v>
          </cell>
          <cell r="I678" t="str">
            <v>09WJ126</v>
          </cell>
          <cell r="J678" t="str">
            <v>EQUIPT. ROOM</v>
          </cell>
          <cell r="K678" t="str">
            <v>BMED</v>
          </cell>
          <cell r="L678" t="str">
            <v>Normal</v>
          </cell>
          <cell r="M678" t="str">
            <v>Poland</v>
          </cell>
          <cell r="N678" t="str">
            <v>Nimbus</v>
          </cell>
          <cell r="O678" t="str">
            <v>Nimbus 3</v>
          </cell>
          <cell r="P678" t="str">
            <v>1200035189</v>
          </cell>
          <cell r="Q678" t="str">
            <v>Not Applicable</v>
          </cell>
          <cell r="R678" t="str">
            <v>Arjohuntleigh</v>
          </cell>
          <cell r="S678" t="str">
            <v>Hexamine Sdn. Bhd.</v>
          </cell>
          <cell r="T678" t="str">
            <v>Functioning</v>
          </cell>
          <cell r="U678" t="str">
            <v>Asset</v>
          </cell>
          <cell r="V678">
            <v>28630</v>
          </cell>
          <cell r="W678" t="str">
            <v>KEW</v>
          </cell>
          <cell r="X678" t="str">
            <v>01/09/2010</v>
          </cell>
          <cell r="Y678" t="str">
            <v>KEW</v>
          </cell>
          <cell r="Z678" t="str">
            <v>16/08/2013</v>
          </cell>
          <cell r="AA678" t="str">
            <v>15/08/2015</v>
          </cell>
          <cell r="AB678" t="str">
            <v>No</v>
          </cell>
          <cell r="AC678" t="str">
            <v>31/08/2013</v>
          </cell>
          <cell r="AD678" t="str">
            <v>Good</v>
          </cell>
          <cell r="AE678" t="str">
            <v>V1 - Existing / No Claim</v>
          </cell>
          <cell r="AF678">
            <v>42789</v>
          </cell>
          <cell r="AG678">
            <v>9.17</v>
          </cell>
          <cell r="AH678" t="str">
            <v>PPM</v>
          </cell>
          <cell r="AI678" t="str">
            <v>Strands</v>
          </cell>
          <cell r="AJ678" t="str">
            <v>Strands PW</v>
          </cell>
        </row>
        <row r="679">
          <cell r="A679" t="str">
            <v>IKN400199</v>
          </cell>
          <cell r="B679">
            <v>199</v>
          </cell>
          <cell r="C679" t="str">
            <v>Institut Kanser Negara</v>
          </cell>
          <cell r="D679" t="str">
            <v>KKM/IKN/H/13/1769</v>
          </cell>
          <cell r="E679" t="str">
            <v>18-147</v>
          </cell>
          <cell r="F679" t="str">
            <v>Mattress Systems, Alternating-Pressure</v>
          </cell>
          <cell r="G679" t="str">
            <v>WJ</v>
          </cell>
          <cell r="H679" t="str">
            <v>MULTIDISCIPLINE WARD 1</v>
          </cell>
          <cell r="I679" t="str">
            <v>09WJ126</v>
          </cell>
          <cell r="J679" t="str">
            <v>EQUIPT. ROOM</v>
          </cell>
          <cell r="K679" t="str">
            <v>BMED</v>
          </cell>
          <cell r="L679" t="str">
            <v>Normal</v>
          </cell>
          <cell r="M679" t="str">
            <v>Poland</v>
          </cell>
          <cell r="N679" t="str">
            <v>Nimbus</v>
          </cell>
          <cell r="O679" t="str">
            <v>Nimbus 3</v>
          </cell>
          <cell r="P679" t="str">
            <v>1200005126</v>
          </cell>
          <cell r="Q679" t="str">
            <v>Not Applicable</v>
          </cell>
          <cell r="R679" t="str">
            <v>Arjohuntleigh</v>
          </cell>
          <cell r="S679" t="str">
            <v>Hexamine Sdn. Bhd.</v>
          </cell>
          <cell r="T679" t="str">
            <v>Functioning</v>
          </cell>
          <cell r="U679" t="str">
            <v>Asset</v>
          </cell>
          <cell r="V679">
            <v>28630</v>
          </cell>
          <cell r="W679" t="str">
            <v>KEW</v>
          </cell>
          <cell r="X679" t="str">
            <v>01/09/2010</v>
          </cell>
          <cell r="Y679" t="str">
            <v>KEW</v>
          </cell>
          <cell r="Z679" t="str">
            <v>16/08/2013</v>
          </cell>
          <cell r="AA679" t="str">
            <v>15/08/2015</v>
          </cell>
          <cell r="AB679" t="str">
            <v>No</v>
          </cell>
          <cell r="AC679" t="str">
            <v>31/08/2013</v>
          </cell>
          <cell r="AD679" t="str">
            <v>Good</v>
          </cell>
          <cell r="AE679" t="str">
            <v>V1 - Existing / No Claim</v>
          </cell>
          <cell r="AF679">
            <v>42789</v>
          </cell>
          <cell r="AG679">
            <v>9.17</v>
          </cell>
          <cell r="AH679" t="str">
            <v>PPM</v>
          </cell>
          <cell r="AI679" t="str">
            <v>Strands</v>
          </cell>
          <cell r="AJ679" t="str">
            <v>Strands PW</v>
          </cell>
        </row>
        <row r="680">
          <cell r="A680" t="str">
            <v>IKN400200</v>
          </cell>
          <cell r="B680">
            <v>200</v>
          </cell>
          <cell r="C680" t="str">
            <v>Institut Kanser Negara</v>
          </cell>
          <cell r="D680" t="str">
            <v>KKM/IKN/H/13/5375</v>
          </cell>
          <cell r="E680" t="str">
            <v>18-147</v>
          </cell>
          <cell r="F680" t="str">
            <v>Mattress Systems, Alternating-Pressure</v>
          </cell>
          <cell r="G680" t="str">
            <v>WJ</v>
          </cell>
          <cell r="H680" t="str">
            <v>MULTIDISCIPLINE WARD 1</v>
          </cell>
          <cell r="I680" t="str">
            <v>09WJ126</v>
          </cell>
          <cell r="J680" t="str">
            <v>EQUIPT. ROOM</v>
          </cell>
          <cell r="K680" t="str">
            <v>BMED</v>
          </cell>
          <cell r="L680" t="str">
            <v>Normal</v>
          </cell>
          <cell r="M680" t="str">
            <v>Poland</v>
          </cell>
          <cell r="N680" t="str">
            <v>Nimbus</v>
          </cell>
          <cell r="O680" t="str">
            <v>Nimbus 3</v>
          </cell>
          <cell r="P680" t="str">
            <v>1200006451</v>
          </cell>
          <cell r="Q680" t="str">
            <v>Not Applicable</v>
          </cell>
          <cell r="R680" t="str">
            <v>Arjohuntleigh</v>
          </cell>
          <cell r="S680" t="str">
            <v>Hexamine Sdn. Bhd.</v>
          </cell>
          <cell r="T680" t="str">
            <v>Functioning</v>
          </cell>
          <cell r="U680" t="str">
            <v>Asset</v>
          </cell>
          <cell r="V680">
            <v>28630</v>
          </cell>
          <cell r="W680" t="str">
            <v>KEW</v>
          </cell>
          <cell r="X680" t="str">
            <v>01/09/2010</v>
          </cell>
          <cell r="Y680" t="str">
            <v>KEW</v>
          </cell>
          <cell r="Z680" t="str">
            <v>16/08/2013</v>
          </cell>
          <cell r="AA680" t="str">
            <v>15/08/2015</v>
          </cell>
          <cell r="AB680" t="str">
            <v>No</v>
          </cell>
          <cell r="AC680" t="str">
            <v>31/08/2013</v>
          </cell>
          <cell r="AD680" t="str">
            <v>Good</v>
          </cell>
          <cell r="AE680" t="str">
            <v>V1 - Existing / No Claim</v>
          </cell>
          <cell r="AF680">
            <v>42789</v>
          </cell>
          <cell r="AG680">
            <v>9.17</v>
          </cell>
          <cell r="AH680" t="str">
            <v>PPM</v>
          </cell>
          <cell r="AI680" t="str">
            <v>Strands</v>
          </cell>
          <cell r="AJ680" t="str">
            <v>Strands PW</v>
          </cell>
        </row>
        <row r="681">
          <cell r="A681" t="str">
            <v>IKN400201</v>
          </cell>
          <cell r="B681">
            <v>201</v>
          </cell>
          <cell r="C681" t="str">
            <v>Institut Kanser Negara</v>
          </cell>
          <cell r="D681" t="str">
            <v>KKM/IKN/H/13/1767</v>
          </cell>
          <cell r="E681" t="str">
            <v>18-147</v>
          </cell>
          <cell r="F681" t="str">
            <v>Mattress Systems, Alternating-Pressure</v>
          </cell>
          <cell r="G681" t="str">
            <v>WJ</v>
          </cell>
          <cell r="H681" t="str">
            <v>MULTIDISCIPLINE WARD 1</v>
          </cell>
          <cell r="I681" t="str">
            <v>09WJ126</v>
          </cell>
          <cell r="J681" t="str">
            <v>EQUIPT. ROOM</v>
          </cell>
          <cell r="K681" t="str">
            <v>BMED</v>
          </cell>
          <cell r="L681" t="str">
            <v>Normal</v>
          </cell>
          <cell r="M681" t="str">
            <v>Poland</v>
          </cell>
          <cell r="N681" t="str">
            <v>Nimbus</v>
          </cell>
          <cell r="O681" t="str">
            <v>Nimbus 3</v>
          </cell>
          <cell r="P681" t="str">
            <v>1200005120</v>
          </cell>
          <cell r="Q681" t="str">
            <v>Not Applicable</v>
          </cell>
          <cell r="R681" t="str">
            <v>Arjohuntleigh</v>
          </cell>
          <cell r="S681" t="str">
            <v>Hexamine Sdn. Bhd.</v>
          </cell>
          <cell r="T681" t="str">
            <v>Functioning</v>
          </cell>
          <cell r="U681" t="str">
            <v>Asset</v>
          </cell>
          <cell r="V681">
            <v>28630</v>
          </cell>
          <cell r="W681" t="str">
            <v>KEW</v>
          </cell>
          <cell r="X681" t="str">
            <v>01/09/2010</v>
          </cell>
          <cell r="Y681" t="str">
            <v>KEW</v>
          </cell>
          <cell r="Z681" t="str">
            <v>16/08/2013</v>
          </cell>
          <cell r="AA681" t="str">
            <v>15/08/2015</v>
          </cell>
          <cell r="AB681" t="str">
            <v>No</v>
          </cell>
          <cell r="AC681" t="str">
            <v>31/08/2013</v>
          </cell>
          <cell r="AD681" t="str">
            <v>Good</v>
          </cell>
          <cell r="AE681" t="str">
            <v>V1 - Existing / No Claim</v>
          </cell>
          <cell r="AF681">
            <v>42789</v>
          </cell>
          <cell r="AG681">
            <v>9.17</v>
          </cell>
          <cell r="AH681" t="str">
            <v>PPM</v>
          </cell>
          <cell r="AI681" t="str">
            <v>Strands</v>
          </cell>
          <cell r="AJ681" t="str">
            <v>Strands PW</v>
          </cell>
        </row>
        <row r="682">
          <cell r="A682" t="str">
            <v>IKN400202</v>
          </cell>
          <cell r="B682">
            <v>202</v>
          </cell>
          <cell r="C682" t="str">
            <v>Institut Kanser Negara</v>
          </cell>
          <cell r="D682" t="str">
            <v>KKM/IKN/H/13/1765</v>
          </cell>
          <cell r="E682" t="str">
            <v>18-147</v>
          </cell>
          <cell r="F682" t="str">
            <v>Mattress Systems, Alternating-Pressure</v>
          </cell>
          <cell r="G682" t="str">
            <v>WJ</v>
          </cell>
          <cell r="H682" t="str">
            <v>MULTIDISCIPLINE WARD 1</v>
          </cell>
          <cell r="I682" t="str">
            <v>09WJ126</v>
          </cell>
          <cell r="J682" t="str">
            <v>EQUIPT. ROOM</v>
          </cell>
          <cell r="K682" t="str">
            <v>BMED</v>
          </cell>
          <cell r="L682" t="str">
            <v>Normal</v>
          </cell>
          <cell r="M682" t="str">
            <v>Poland</v>
          </cell>
          <cell r="N682" t="str">
            <v>Nimbus</v>
          </cell>
          <cell r="O682" t="str">
            <v>Nimbus 3</v>
          </cell>
          <cell r="P682" t="str">
            <v>1200006452</v>
          </cell>
          <cell r="Q682" t="str">
            <v>Not Applicable</v>
          </cell>
          <cell r="R682" t="str">
            <v>Arjohuntleigh</v>
          </cell>
          <cell r="S682" t="str">
            <v>Hexamine Sdn. Bhd.</v>
          </cell>
          <cell r="T682" t="str">
            <v>Functioning</v>
          </cell>
          <cell r="U682" t="str">
            <v>Asset</v>
          </cell>
          <cell r="V682">
            <v>28630</v>
          </cell>
          <cell r="W682" t="str">
            <v>KEW</v>
          </cell>
          <cell r="X682" t="str">
            <v>01/09/2010</v>
          </cell>
          <cell r="Y682" t="str">
            <v>KEW</v>
          </cell>
          <cell r="Z682" t="str">
            <v>16/08/2013</v>
          </cell>
          <cell r="AA682" t="str">
            <v>15/08/2015</v>
          </cell>
          <cell r="AB682" t="str">
            <v>No</v>
          </cell>
          <cell r="AC682" t="str">
            <v>31/08/2013</v>
          </cell>
          <cell r="AD682" t="str">
            <v>Good</v>
          </cell>
          <cell r="AE682" t="str">
            <v>V1 - Existing / No Claim</v>
          </cell>
          <cell r="AF682">
            <v>42789</v>
          </cell>
          <cell r="AG682">
            <v>9.17</v>
          </cell>
          <cell r="AH682" t="str">
            <v>PPM</v>
          </cell>
          <cell r="AI682" t="str">
            <v>Strands</v>
          </cell>
          <cell r="AJ682" t="str">
            <v>Strands PW</v>
          </cell>
        </row>
        <row r="683">
          <cell r="A683" t="str">
            <v>IKN400203</v>
          </cell>
          <cell r="B683">
            <v>203</v>
          </cell>
          <cell r="C683" t="str">
            <v>Institut Kanser Negara</v>
          </cell>
          <cell r="D683" t="str">
            <v>KKM/IKN/H/13/1764</v>
          </cell>
          <cell r="E683" t="str">
            <v>18-147</v>
          </cell>
          <cell r="F683" t="str">
            <v>Mattress Systems, Alternating-Pressure</v>
          </cell>
          <cell r="G683" t="str">
            <v>WJ</v>
          </cell>
          <cell r="H683" t="str">
            <v>MULTIDISCIPLINE WARD 1</v>
          </cell>
          <cell r="I683" t="str">
            <v>09WJ126</v>
          </cell>
          <cell r="J683" t="str">
            <v>EQUIPT. ROOM</v>
          </cell>
          <cell r="K683" t="str">
            <v>BMED</v>
          </cell>
          <cell r="L683" t="str">
            <v>Normal</v>
          </cell>
          <cell r="M683" t="str">
            <v>Poland</v>
          </cell>
          <cell r="N683" t="str">
            <v>Nimbus</v>
          </cell>
          <cell r="O683" t="str">
            <v>Nimbus 3</v>
          </cell>
          <cell r="P683" t="str">
            <v>1200006465</v>
          </cell>
          <cell r="Q683" t="str">
            <v>Not Applicable</v>
          </cell>
          <cell r="R683" t="str">
            <v>Arjohuntleigh</v>
          </cell>
          <cell r="S683" t="str">
            <v>Hexamine Sdn. Bhd.</v>
          </cell>
          <cell r="T683" t="str">
            <v>Functioning</v>
          </cell>
          <cell r="U683" t="str">
            <v>Asset</v>
          </cell>
          <cell r="V683">
            <v>28630</v>
          </cell>
          <cell r="W683" t="str">
            <v>KEW</v>
          </cell>
          <cell r="X683" t="str">
            <v>01/09/2010</v>
          </cell>
          <cell r="Y683" t="str">
            <v>KEW</v>
          </cell>
          <cell r="Z683" t="str">
            <v>16/08/2013</v>
          </cell>
          <cell r="AA683" t="str">
            <v>15/08/2015</v>
          </cell>
          <cell r="AB683" t="str">
            <v>No</v>
          </cell>
          <cell r="AC683" t="str">
            <v>31/08/2013</v>
          </cell>
          <cell r="AD683" t="str">
            <v>Good</v>
          </cell>
          <cell r="AE683" t="str">
            <v>V1 - Existing / No Claim</v>
          </cell>
          <cell r="AF683">
            <v>42789</v>
          </cell>
          <cell r="AG683">
            <v>9.17</v>
          </cell>
          <cell r="AH683" t="str">
            <v>PPM</v>
          </cell>
          <cell r="AI683" t="str">
            <v>Strands</v>
          </cell>
          <cell r="AJ683" t="str">
            <v>Strands PW</v>
          </cell>
        </row>
        <row r="684">
          <cell r="A684" t="str">
            <v>IKN400204</v>
          </cell>
          <cell r="B684">
            <v>204</v>
          </cell>
          <cell r="C684" t="str">
            <v>Institut Kanser Negara</v>
          </cell>
          <cell r="D684" t="str">
            <v>KKM/IKN/H/13/2752</v>
          </cell>
          <cell r="E684" t="str">
            <v>10-208</v>
          </cell>
          <cell r="F684" t="str">
            <v>Aspirators</v>
          </cell>
          <cell r="G684" t="str">
            <v>WJ</v>
          </cell>
          <cell r="H684" t="str">
            <v>MULTIDISCIPLINE WARD 1</v>
          </cell>
          <cell r="I684" t="str">
            <v>09WJ126</v>
          </cell>
          <cell r="J684" t="str">
            <v>EQUIPT. ROOM</v>
          </cell>
          <cell r="K684" t="str">
            <v>BMED</v>
          </cell>
          <cell r="L684" t="str">
            <v>Critical</v>
          </cell>
          <cell r="M684" t="str">
            <v>UK</v>
          </cell>
          <cell r="N684" t="str">
            <v>SAM</v>
          </cell>
          <cell r="O684" t="str">
            <v>SAM 427</v>
          </cell>
          <cell r="P684" t="str">
            <v>0313-0535</v>
          </cell>
          <cell r="Q684" t="str">
            <v>Not Applicable</v>
          </cell>
          <cell r="R684" t="str">
            <v>MG Electric Ltd</v>
          </cell>
          <cell r="S684" t="str">
            <v>Delta Medisains</v>
          </cell>
          <cell r="T684" t="str">
            <v>Functioning</v>
          </cell>
          <cell r="U684" t="str">
            <v>Asset</v>
          </cell>
          <cell r="V684">
            <v>10705</v>
          </cell>
          <cell r="W684" t="str">
            <v>KEW</v>
          </cell>
          <cell r="X684" t="str">
            <v>01/09/2010</v>
          </cell>
          <cell r="Y684" t="str">
            <v>KEW</v>
          </cell>
          <cell r="Z684" t="str">
            <v>16/08/2013</v>
          </cell>
          <cell r="AA684" t="str">
            <v>15/08/2015</v>
          </cell>
          <cell r="AB684" t="str">
            <v>No</v>
          </cell>
          <cell r="AC684" t="str">
            <v>31/08/2013</v>
          </cell>
          <cell r="AD684" t="str">
            <v>Good</v>
          </cell>
          <cell r="AE684" t="str">
            <v>V1 - Existing / No Claim</v>
          </cell>
          <cell r="AF684">
            <v>42789</v>
          </cell>
          <cell r="AG684">
            <v>9.17</v>
          </cell>
          <cell r="AH684" t="str">
            <v>PPM</v>
          </cell>
          <cell r="AI684" t="str">
            <v>Strands</v>
          </cell>
          <cell r="AJ684" t="str">
            <v>Strands PW</v>
          </cell>
        </row>
        <row r="685">
          <cell r="A685" t="str">
            <v>IKN400205</v>
          </cell>
          <cell r="B685">
            <v>205</v>
          </cell>
          <cell r="C685" t="str">
            <v>Institut Kanser Negara</v>
          </cell>
          <cell r="D685" t="str">
            <v>KKM/IKN/H/13/1827</v>
          </cell>
          <cell r="E685" t="str">
            <v>12-647</v>
          </cell>
          <cell r="F685" t="str">
            <v>Physiologic Monitoring Systems, Acute Care</v>
          </cell>
          <cell r="G685" t="str">
            <v>WJ</v>
          </cell>
          <cell r="H685" t="str">
            <v>MULTIDISCIPLINE WARD 1</v>
          </cell>
          <cell r="I685" t="str">
            <v>09WJ126</v>
          </cell>
          <cell r="J685" t="str">
            <v>EQUIPT. ROOM</v>
          </cell>
          <cell r="K685" t="str">
            <v>BMED</v>
          </cell>
          <cell r="L685" t="str">
            <v>Critical</v>
          </cell>
          <cell r="M685" t="str">
            <v>USA</v>
          </cell>
          <cell r="N685" t="str">
            <v>GE</v>
          </cell>
          <cell r="O685" t="str">
            <v>GE B30</v>
          </cell>
          <cell r="P685" t="str">
            <v>SF312325895WA</v>
          </cell>
          <cell r="Q685" t="str">
            <v>Not Applicable</v>
          </cell>
          <cell r="R685" t="str">
            <v>GE Healthcare Systems</v>
          </cell>
          <cell r="S685" t="str">
            <v>GE Healthcare Technologies</v>
          </cell>
          <cell r="T685" t="str">
            <v>Functioning</v>
          </cell>
          <cell r="U685" t="str">
            <v>Asset</v>
          </cell>
          <cell r="V685">
            <v>44510</v>
          </cell>
          <cell r="W685" t="str">
            <v>KEW</v>
          </cell>
          <cell r="X685" t="str">
            <v>01/09/2010</v>
          </cell>
          <cell r="Y685" t="str">
            <v>KEW</v>
          </cell>
          <cell r="Z685" t="str">
            <v>16/08/2013</v>
          </cell>
          <cell r="AA685" t="str">
            <v>15/08/2015</v>
          </cell>
          <cell r="AB685" t="str">
            <v>No</v>
          </cell>
          <cell r="AC685" t="str">
            <v>31/08/2013</v>
          </cell>
          <cell r="AD685" t="str">
            <v>Good</v>
          </cell>
          <cell r="AE685" t="str">
            <v>V1 - Existing / No Claim</v>
          </cell>
          <cell r="AF685">
            <v>42789</v>
          </cell>
          <cell r="AG685">
            <v>9.17</v>
          </cell>
          <cell r="AH685" t="str">
            <v>PPM</v>
          </cell>
          <cell r="AI685" t="str">
            <v>Strands</v>
          </cell>
          <cell r="AJ685" t="str">
            <v>Strands PW</v>
          </cell>
        </row>
        <row r="686">
          <cell r="A686" t="str">
            <v>IKN400206</v>
          </cell>
          <cell r="B686">
            <v>206</v>
          </cell>
          <cell r="C686" t="str">
            <v>Institut Kanser Negara</v>
          </cell>
          <cell r="D686" t="str">
            <v>KKM/IKN/H/13/1881</v>
          </cell>
          <cell r="E686" t="str">
            <v>12-647</v>
          </cell>
          <cell r="F686" t="str">
            <v>Physiologic Monitoring Systems, Acute Care</v>
          </cell>
          <cell r="G686" t="str">
            <v>WJ</v>
          </cell>
          <cell r="H686" t="str">
            <v>MULTIDISCIPLINE WARD 1</v>
          </cell>
          <cell r="I686" t="str">
            <v>09WJ126</v>
          </cell>
          <cell r="J686" t="str">
            <v>EQUIPT. ROOM</v>
          </cell>
          <cell r="K686" t="str">
            <v>BMED</v>
          </cell>
          <cell r="L686" t="str">
            <v>Critical</v>
          </cell>
          <cell r="M686" t="str">
            <v>USA</v>
          </cell>
          <cell r="N686" t="str">
            <v>GE</v>
          </cell>
          <cell r="O686" t="str">
            <v>GE B30</v>
          </cell>
          <cell r="P686" t="str">
            <v>SF312325924WA</v>
          </cell>
          <cell r="Q686" t="str">
            <v>Not Applicable</v>
          </cell>
          <cell r="R686" t="str">
            <v>GE Healthcare Systems</v>
          </cell>
          <cell r="S686" t="str">
            <v>GE Healthcare Technologies</v>
          </cell>
          <cell r="T686" t="str">
            <v>Functioning</v>
          </cell>
          <cell r="U686" t="str">
            <v>Asset</v>
          </cell>
          <cell r="V686">
            <v>44510</v>
          </cell>
          <cell r="W686" t="str">
            <v>KEW</v>
          </cell>
          <cell r="X686" t="str">
            <v>01/09/2010</v>
          </cell>
          <cell r="Y686" t="str">
            <v>KEW</v>
          </cell>
          <cell r="Z686" t="str">
            <v>16/08/2013</v>
          </cell>
          <cell r="AA686" t="str">
            <v>15/08/2015</v>
          </cell>
          <cell r="AB686" t="str">
            <v>No</v>
          </cell>
          <cell r="AC686" t="str">
            <v>31/08/2013</v>
          </cell>
          <cell r="AD686" t="str">
            <v>Good</v>
          </cell>
          <cell r="AE686" t="str">
            <v>V1 - Existing / No Claim</v>
          </cell>
          <cell r="AF686">
            <v>42789</v>
          </cell>
          <cell r="AG686">
            <v>9.17</v>
          </cell>
          <cell r="AH686" t="str">
            <v>PPM</v>
          </cell>
          <cell r="AI686" t="str">
            <v>Strands</v>
          </cell>
          <cell r="AJ686" t="str">
            <v>Strands PW</v>
          </cell>
        </row>
        <row r="687">
          <cell r="A687" t="str">
            <v>IKN400208</v>
          </cell>
          <cell r="B687">
            <v>208</v>
          </cell>
          <cell r="C687" t="str">
            <v>Institut Kanser Negara</v>
          </cell>
          <cell r="D687" t="str">
            <v>KKM/IKN/H/13/2020</v>
          </cell>
          <cell r="E687" t="str">
            <v>10-208</v>
          </cell>
          <cell r="F687" t="str">
            <v>Aspirators</v>
          </cell>
          <cell r="G687" t="str">
            <v>WJ</v>
          </cell>
          <cell r="H687" t="str">
            <v>MULTIDISCIPLINE WARD 1</v>
          </cell>
          <cell r="I687" t="str">
            <v>09WJ130</v>
          </cell>
          <cell r="J687" t="str">
            <v>TREATMENT/ PROCEDURE</v>
          </cell>
          <cell r="K687" t="str">
            <v>BMED</v>
          </cell>
          <cell r="L687" t="str">
            <v>Critical</v>
          </cell>
          <cell r="M687" t="str">
            <v>Switzerland</v>
          </cell>
          <cell r="N687" t="str">
            <v>Senator</v>
          </cell>
          <cell r="O687" t="str">
            <v>Senator</v>
          </cell>
          <cell r="P687" t="str">
            <v>1220751</v>
          </cell>
          <cell r="Q687" t="str">
            <v>Not Applicable</v>
          </cell>
          <cell r="R687" t="str">
            <v>Ardo Medical AG</v>
          </cell>
          <cell r="S687" t="str">
            <v>Histopoint</v>
          </cell>
          <cell r="T687" t="str">
            <v>Functioning</v>
          </cell>
          <cell r="U687" t="str">
            <v>Asset</v>
          </cell>
          <cell r="V687">
            <v>5052</v>
          </cell>
          <cell r="W687" t="str">
            <v>KEW</v>
          </cell>
          <cell r="X687" t="str">
            <v>01/09/2010</v>
          </cell>
          <cell r="Y687" t="str">
            <v>KEW</v>
          </cell>
          <cell r="Z687" t="str">
            <v>16/08/2013</v>
          </cell>
          <cell r="AA687" t="str">
            <v>15/08/2015</v>
          </cell>
          <cell r="AB687" t="str">
            <v>No</v>
          </cell>
          <cell r="AC687" t="str">
            <v>31/08/2013</v>
          </cell>
          <cell r="AD687" t="str">
            <v>Good</v>
          </cell>
          <cell r="AE687" t="str">
            <v>V1 - Existing / No Claim</v>
          </cell>
          <cell r="AF687">
            <v>42789</v>
          </cell>
          <cell r="AG687">
            <v>9.17</v>
          </cell>
          <cell r="AH687" t="str">
            <v>PPM</v>
          </cell>
          <cell r="AI687" t="str">
            <v>Strands</v>
          </cell>
          <cell r="AJ687" t="str">
            <v>Strands PW</v>
          </cell>
        </row>
        <row r="688">
          <cell r="A688" t="str">
            <v>IKN400209</v>
          </cell>
          <cell r="B688">
            <v>209</v>
          </cell>
          <cell r="C688" t="str">
            <v>Institut Kanser Negara</v>
          </cell>
          <cell r="D688" t="str">
            <v>KKM/IKN/H/13/2207</v>
          </cell>
          <cell r="E688" t="str">
            <v>25-209</v>
          </cell>
          <cell r="F688" t="str">
            <v>Monitors, Physiologic, Vital Signs</v>
          </cell>
          <cell r="G688" t="str">
            <v>WJ</v>
          </cell>
          <cell r="H688" t="str">
            <v>MULTIDISCIPLINE WARD 1</v>
          </cell>
          <cell r="I688" t="str">
            <v>09WJ130</v>
          </cell>
          <cell r="J688" t="str">
            <v>TREATMENT/ PROCEDURE</v>
          </cell>
          <cell r="K688" t="str">
            <v>BMED</v>
          </cell>
          <cell r="L688" t="str">
            <v>Critical</v>
          </cell>
          <cell r="M688" t="str">
            <v>Mexico</v>
          </cell>
          <cell r="N688" t="str">
            <v>Carespace</v>
          </cell>
          <cell r="O688" t="str">
            <v>Carescape V100</v>
          </cell>
          <cell r="P688" t="str">
            <v>SH612430107SA</v>
          </cell>
          <cell r="Q688" t="str">
            <v>Not Applicable</v>
          </cell>
          <cell r="R688" t="str">
            <v>GE Healthcare Systems</v>
          </cell>
          <cell r="S688" t="str">
            <v>GE Healthcare Technologies</v>
          </cell>
          <cell r="T688" t="str">
            <v>Functioning</v>
          </cell>
          <cell r="U688" t="str">
            <v>Asset</v>
          </cell>
          <cell r="V688">
            <v>4510</v>
          </cell>
          <cell r="W688" t="str">
            <v>KEW</v>
          </cell>
          <cell r="X688" t="str">
            <v>01/09/2010</v>
          </cell>
          <cell r="Y688" t="str">
            <v>KEW</v>
          </cell>
          <cell r="Z688" t="str">
            <v>16/08/2013</v>
          </cell>
          <cell r="AA688" t="str">
            <v>15/08/2015</v>
          </cell>
          <cell r="AB688" t="str">
            <v>No</v>
          </cell>
          <cell r="AC688" t="str">
            <v>31/08/2013</v>
          </cell>
          <cell r="AD688" t="str">
            <v>Good</v>
          </cell>
          <cell r="AE688" t="str">
            <v>V1 - Existing / No Claim</v>
          </cell>
          <cell r="AF688">
            <v>42789</v>
          </cell>
          <cell r="AG688">
            <v>9.17</v>
          </cell>
          <cell r="AH688" t="str">
            <v>PPM</v>
          </cell>
          <cell r="AI688" t="str">
            <v>Strands</v>
          </cell>
          <cell r="AJ688" t="str">
            <v>Strands PW</v>
          </cell>
        </row>
        <row r="689">
          <cell r="A689" t="str">
            <v>IKN400210</v>
          </cell>
          <cell r="B689">
            <v>210</v>
          </cell>
          <cell r="C689" t="str">
            <v>Institut Kanser Negara</v>
          </cell>
          <cell r="D689" t="str">
            <v>KKM/IKN/H/13/1826</v>
          </cell>
          <cell r="E689" t="str">
            <v>16-231</v>
          </cell>
          <cell r="F689" t="str">
            <v>Electrocardiographs, Multichannel, Interpretative</v>
          </cell>
          <cell r="G689" t="str">
            <v>WJ</v>
          </cell>
          <cell r="H689" t="str">
            <v>MULTIDISCIPLINE WARD 1</v>
          </cell>
          <cell r="I689" t="str">
            <v>09WJ130</v>
          </cell>
          <cell r="J689" t="str">
            <v>TREATMENT/ PROCEDURE</v>
          </cell>
          <cell r="K689" t="str">
            <v>BMED</v>
          </cell>
          <cell r="L689" t="str">
            <v>Critical</v>
          </cell>
          <cell r="M689" t="str">
            <v>China</v>
          </cell>
          <cell r="N689" t="str">
            <v>Mac</v>
          </cell>
          <cell r="O689" t="str">
            <v>MAC 800</v>
          </cell>
          <cell r="P689" t="str">
            <v>SJ412450379 WA</v>
          </cell>
          <cell r="Q689" t="str">
            <v>Not Applicable</v>
          </cell>
          <cell r="R689" t="str">
            <v>GE Healthcare Systems</v>
          </cell>
          <cell r="S689" t="str">
            <v>GE Healthcare Technologies</v>
          </cell>
          <cell r="T689" t="str">
            <v>Functioning</v>
          </cell>
          <cell r="U689" t="str">
            <v>Asset</v>
          </cell>
          <cell r="V689">
            <v>25260</v>
          </cell>
          <cell r="W689" t="str">
            <v>KEW</v>
          </cell>
          <cell r="X689" t="str">
            <v>01/09/2010</v>
          </cell>
          <cell r="Y689" t="str">
            <v>KEW</v>
          </cell>
          <cell r="Z689" t="str">
            <v>16/08/2013</v>
          </cell>
          <cell r="AA689" t="str">
            <v>15/08/2015</v>
          </cell>
          <cell r="AB689" t="str">
            <v>No</v>
          </cell>
          <cell r="AC689" t="str">
            <v>31/08/2013</v>
          </cell>
          <cell r="AD689" t="str">
            <v>Good</v>
          </cell>
          <cell r="AE689" t="str">
            <v>V1 - Existing / No Claim</v>
          </cell>
          <cell r="AF689">
            <v>42789</v>
          </cell>
          <cell r="AG689">
            <v>9.17</v>
          </cell>
          <cell r="AH689" t="str">
            <v>PPM</v>
          </cell>
          <cell r="AI689" t="str">
            <v>Strands</v>
          </cell>
          <cell r="AJ689" t="str">
            <v>Strands PW</v>
          </cell>
        </row>
        <row r="690">
          <cell r="A690" t="str">
            <v>IKN400211</v>
          </cell>
          <cell r="B690">
            <v>211</v>
          </cell>
          <cell r="C690" t="str">
            <v>Institut Kanser Negara</v>
          </cell>
          <cell r="D690" t="str">
            <v>KKM/IKN/H/13/2765</v>
          </cell>
          <cell r="E690" t="str">
            <v>11-134</v>
          </cell>
          <cell r="F690" t="str">
            <v>Defibrillators, External, Manual</v>
          </cell>
          <cell r="G690" t="str">
            <v>WJ</v>
          </cell>
          <cell r="H690" t="str">
            <v>MULTIDISCIPLINE WARD 1</v>
          </cell>
          <cell r="I690" t="str">
            <v>09WJ135</v>
          </cell>
          <cell r="J690" t="str">
            <v>RESUS EQUIP</v>
          </cell>
          <cell r="K690" t="str">
            <v>BMED</v>
          </cell>
          <cell r="L690" t="str">
            <v>Critical</v>
          </cell>
          <cell r="M690" t="str">
            <v>USA</v>
          </cell>
          <cell r="N690" t="str">
            <v>Responder</v>
          </cell>
          <cell r="O690" t="str">
            <v>Responder 2000</v>
          </cell>
          <cell r="P690" t="str">
            <v>3206729</v>
          </cell>
          <cell r="Q690" t="str">
            <v>Not Applicable</v>
          </cell>
          <cell r="R690" t="str">
            <v>GE Medical Systems</v>
          </cell>
          <cell r="S690" t="str">
            <v>Antah Sir Radin Sdn. Bhd.</v>
          </cell>
          <cell r="T690" t="str">
            <v>Functioning</v>
          </cell>
          <cell r="U690" t="str">
            <v>Asset</v>
          </cell>
          <cell r="V690">
            <v>45000</v>
          </cell>
          <cell r="W690" t="str">
            <v>KEW</v>
          </cell>
          <cell r="X690" t="str">
            <v>01/09/2010</v>
          </cell>
          <cell r="Y690" t="str">
            <v>KEW</v>
          </cell>
          <cell r="Z690" t="str">
            <v>16/08/2013</v>
          </cell>
          <cell r="AA690" t="str">
            <v>15/08/2015</v>
          </cell>
          <cell r="AB690" t="str">
            <v>No</v>
          </cell>
          <cell r="AC690" t="str">
            <v>31/08/2013</v>
          </cell>
          <cell r="AD690" t="str">
            <v>Good</v>
          </cell>
          <cell r="AE690" t="str">
            <v>V3 - Added Installed Facilities (New)</v>
          </cell>
          <cell r="AF690">
            <v>42601</v>
          </cell>
          <cell r="AG690">
            <v>9.17</v>
          </cell>
          <cell r="AH690" t="str">
            <v>PPM</v>
          </cell>
          <cell r="AI690" t="str">
            <v>Strands</v>
          </cell>
          <cell r="AJ690" t="str">
            <v>Strands PW</v>
          </cell>
          <cell r="AK690" t="str">
            <v>SNF received. 1st batch of V3 asset (December 2020)</v>
          </cell>
        </row>
        <row r="691">
          <cell r="A691" t="str">
            <v>IKN400212</v>
          </cell>
          <cell r="B691">
            <v>212</v>
          </cell>
          <cell r="C691" t="str">
            <v>Institut Kanser Negara</v>
          </cell>
          <cell r="D691" t="str">
            <v>KKM/IKN/H/13/2013</v>
          </cell>
          <cell r="E691" t="str">
            <v>16-173</v>
          </cell>
          <cell r="F691" t="str">
            <v>Sphygmomanometers, Electronic, Automatic</v>
          </cell>
          <cell r="G691" t="str">
            <v>WJ</v>
          </cell>
          <cell r="H691" t="str">
            <v>MULTIDISCIPLINE WARD 1</v>
          </cell>
          <cell r="I691" t="str">
            <v>09WJ136</v>
          </cell>
          <cell r="J691" t="str">
            <v>NURSE STATION</v>
          </cell>
          <cell r="K691" t="str">
            <v>BMED</v>
          </cell>
          <cell r="L691" t="str">
            <v>Normal</v>
          </cell>
          <cell r="M691" t="str">
            <v>USA</v>
          </cell>
          <cell r="N691" t="str">
            <v>Connex</v>
          </cell>
          <cell r="O691" t="str">
            <v>Connex ProBP 3400</v>
          </cell>
          <cell r="P691" t="str">
            <v>100001750613</v>
          </cell>
          <cell r="Q691" t="str">
            <v>Not Applicable</v>
          </cell>
          <cell r="R691" t="str">
            <v>Welch Allyn Inc</v>
          </cell>
          <cell r="S691" t="str">
            <v>Welch Allyn Malaysia Sdn Bhd</v>
          </cell>
          <cell r="T691" t="str">
            <v>Functioning</v>
          </cell>
          <cell r="U691" t="str">
            <v>Asset</v>
          </cell>
          <cell r="V691">
            <v>4510</v>
          </cell>
          <cell r="W691" t="str">
            <v>KEW</v>
          </cell>
          <cell r="X691" t="str">
            <v>01/09/2010</v>
          </cell>
          <cell r="Y691" t="str">
            <v>KEW</v>
          </cell>
          <cell r="Z691" t="str">
            <v>16/08/2013</v>
          </cell>
          <cell r="AA691" t="str">
            <v>15/08/2015</v>
          </cell>
          <cell r="AB691" t="str">
            <v>No</v>
          </cell>
          <cell r="AC691" t="str">
            <v>31/08/2013</v>
          </cell>
          <cell r="AD691" t="str">
            <v>Good</v>
          </cell>
          <cell r="AE691" t="str">
            <v>V1 - Existing / No Claim</v>
          </cell>
          <cell r="AF691">
            <v>42235</v>
          </cell>
          <cell r="AG691">
            <v>9.17</v>
          </cell>
          <cell r="AH691" t="str">
            <v>PPM</v>
          </cell>
          <cell r="AI691" t="str">
            <v>Strands</v>
          </cell>
          <cell r="AJ691" t="str">
            <v>Strands PW</v>
          </cell>
        </row>
        <row r="692">
          <cell r="A692" t="str">
            <v>IKN400213</v>
          </cell>
          <cell r="B692">
            <v>213</v>
          </cell>
          <cell r="C692" t="str">
            <v>Institut Kanser Negara</v>
          </cell>
          <cell r="D692" t="str">
            <v>KKM/IKN/H/13/2244</v>
          </cell>
          <cell r="E692" t="str">
            <v>16-173</v>
          </cell>
          <cell r="F692" t="str">
            <v>Sphygmomanometers, Electronic, Automatic</v>
          </cell>
          <cell r="G692" t="str">
            <v>WJ</v>
          </cell>
          <cell r="H692" t="str">
            <v>MULTIDISCIPLINE WARD 1</v>
          </cell>
          <cell r="I692" t="str">
            <v>09WJ136</v>
          </cell>
          <cell r="J692" t="str">
            <v>NURSE STATION</v>
          </cell>
          <cell r="K692" t="str">
            <v>BMED</v>
          </cell>
          <cell r="L692" t="str">
            <v>Critical</v>
          </cell>
          <cell r="M692" t="str">
            <v>USA</v>
          </cell>
          <cell r="N692" t="str">
            <v>Connex</v>
          </cell>
          <cell r="O692" t="str">
            <v>Connex ProBP 3400</v>
          </cell>
          <cell r="P692" t="str">
            <v>100000684313</v>
          </cell>
          <cell r="Q692" t="str">
            <v>Not Applicable</v>
          </cell>
          <cell r="R692" t="str">
            <v>Welch Allyn Inc</v>
          </cell>
          <cell r="S692" t="str">
            <v>Welch Allyn Malaysia Sdn Bhd</v>
          </cell>
          <cell r="T692" t="str">
            <v>Functioning</v>
          </cell>
          <cell r="U692" t="str">
            <v>Asset</v>
          </cell>
          <cell r="V692">
            <v>4510</v>
          </cell>
          <cell r="W692" t="str">
            <v>KEW</v>
          </cell>
          <cell r="X692" t="str">
            <v>01/09/2010</v>
          </cell>
          <cell r="Y692" t="str">
            <v>KEW</v>
          </cell>
          <cell r="Z692" t="str">
            <v>16/08/2013</v>
          </cell>
          <cell r="AA692" t="str">
            <v>15/08/2015</v>
          </cell>
          <cell r="AB692" t="str">
            <v>No</v>
          </cell>
          <cell r="AC692" t="str">
            <v>31/08/2013</v>
          </cell>
          <cell r="AD692" t="str">
            <v>Good</v>
          </cell>
          <cell r="AE692" t="str">
            <v>V1 - Existing / No Claim</v>
          </cell>
          <cell r="AF692">
            <v>42789</v>
          </cell>
          <cell r="AG692">
            <v>9.17</v>
          </cell>
          <cell r="AH692" t="str">
            <v>PPM</v>
          </cell>
          <cell r="AI692" t="str">
            <v>Strands</v>
          </cell>
          <cell r="AJ692" t="str">
            <v>Strands PW</v>
          </cell>
        </row>
        <row r="693">
          <cell r="A693" t="str">
            <v>IKN400214</v>
          </cell>
          <cell r="B693">
            <v>214</v>
          </cell>
          <cell r="C693" t="str">
            <v>Institut Kanser Negara</v>
          </cell>
          <cell r="D693" t="str">
            <v>KKM/IKN/H/13/2014</v>
          </cell>
          <cell r="E693" t="str">
            <v>16-173</v>
          </cell>
          <cell r="F693" t="str">
            <v>Sphygmomanometers, Electronic, Automatic</v>
          </cell>
          <cell r="G693" t="str">
            <v>WJ</v>
          </cell>
          <cell r="H693" t="str">
            <v>MULTIDISCIPLINE WARD 1</v>
          </cell>
          <cell r="I693" t="str">
            <v>09WJ205</v>
          </cell>
          <cell r="J693" t="str">
            <v>NURSE STATION</v>
          </cell>
          <cell r="K693" t="str">
            <v>BMED</v>
          </cell>
          <cell r="L693" t="str">
            <v>Critical</v>
          </cell>
          <cell r="M693" t="str">
            <v>USA</v>
          </cell>
          <cell r="N693" t="str">
            <v>Connex</v>
          </cell>
          <cell r="O693" t="str">
            <v>Connex ProBP 3400</v>
          </cell>
          <cell r="P693" t="str">
            <v>100001680613</v>
          </cell>
          <cell r="Q693" t="str">
            <v>Not Applicable</v>
          </cell>
          <cell r="R693" t="str">
            <v>Welch Allyn Inc</v>
          </cell>
          <cell r="S693" t="str">
            <v>Welch Allyn Malaysia Sdn Bhd</v>
          </cell>
          <cell r="T693" t="str">
            <v>Functioning</v>
          </cell>
          <cell r="U693" t="str">
            <v>Asset</v>
          </cell>
          <cell r="V693">
            <v>4510</v>
          </cell>
          <cell r="W693" t="str">
            <v>KEW</v>
          </cell>
          <cell r="X693" t="str">
            <v>01/09/2010</v>
          </cell>
          <cell r="Y693" t="str">
            <v>KEW</v>
          </cell>
          <cell r="Z693" t="str">
            <v>16/08/2013</v>
          </cell>
          <cell r="AA693" t="str">
            <v>15/08/2015</v>
          </cell>
          <cell r="AB693" t="str">
            <v>No</v>
          </cell>
          <cell r="AC693" t="str">
            <v>31/08/2013</v>
          </cell>
          <cell r="AD693" t="str">
            <v>Good</v>
          </cell>
          <cell r="AE693" t="str">
            <v>V1 - Existing / No Claim</v>
          </cell>
          <cell r="AF693">
            <v>42789</v>
          </cell>
          <cell r="AG693">
            <v>9.17</v>
          </cell>
          <cell r="AH693" t="str">
            <v>PPM</v>
          </cell>
          <cell r="AI693" t="str">
            <v>Strands</v>
          </cell>
          <cell r="AJ693" t="str">
            <v>Strands PW</v>
          </cell>
        </row>
        <row r="694">
          <cell r="A694" t="str">
            <v>IKN400215</v>
          </cell>
          <cell r="B694">
            <v>215</v>
          </cell>
          <cell r="C694" t="str">
            <v>Institut Kanser Negara</v>
          </cell>
          <cell r="D694" t="str">
            <v>KKM/IKN/H/13/2016</v>
          </cell>
          <cell r="E694" t="str">
            <v>16-173</v>
          </cell>
          <cell r="F694" t="str">
            <v>Sphygmomanometers, Electronic, Automatic</v>
          </cell>
          <cell r="G694" t="str">
            <v>WJ</v>
          </cell>
          <cell r="H694" t="str">
            <v>MULTIDISCIPLINE WARD 1</v>
          </cell>
          <cell r="I694" t="str">
            <v>09WJ205</v>
          </cell>
          <cell r="J694" t="str">
            <v>NURSE STATION</v>
          </cell>
          <cell r="K694" t="str">
            <v>BMED</v>
          </cell>
          <cell r="L694" t="str">
            <v>Critical</v>
          </cell>
          <cell r="M694" t="str">
            <v>USA</v>
          </cell>
          <cell r="N694" t="str">
            <v>Connex</v>
          </cell>
          <cell r="O694" t="str">
            <v>Connex ProBP 3400</v>
          </cell>
          <cell r="P694" t="str">
            <v>100001710613</v>
          </cell>
          <cell r="Q694" t="str">
            <v>Not Applicable</v>
          </cell>
          <cell r="R694" t="str">
            <v>Welch Allyn Inc</v>
          </cell>
          <cell r="S694" t="str">
            <v>Welch Allyn Malaysia Sdn Bhd</v>
          </cell>
          <cell r="T694" t="str">
            <v>Functioning</v>
          </cell>
          <cell r="U694" t="str">
            <v>Asset</v>
          </cell>
          <cell r="V694">
            <v>4510</v>
          </cell>
          <cell r="W694" t="str">
            <v>KEW</v>
          </cell>
          <cell r="X694" t="str">
            <v>01/09/2010</v>
          </cell>
          <cell r="Y694" t="str">
            <v>KEW</v>
          </cell>
          <cell r="Z694" t="str">
            <v>16/08/2013</v>
          </cell>
          <cell r="AA694" t="str">
            <v>15/08/2015</v>
          </cell>
          <cell r="AB694" t="str">
            <v>No</v>
          </cell>
          <cell r="AC694" t="str">
            <v>31/08/2013</v>
          </cell>
          <cell r="AD694" t="str">
            <v>Good</v>
          </cell>
          <cell r="AE694" t="str">
            <v>V1 - Existing / No Claim</v>
          </cell>
          <cell r="AF694">
            <v>42789</v>
          </cell>
          <cell r="AG694">
            <v>9.17</v>
          </cell>
          <cell r="AH694" t="str">
            <v>PPM</v>
          </cell>
          <cell r="AI694" t="str">
            <v>Strands</v>
          </cell>
          <cell r="AJ694" t="str">
            <v>Strands PW</v>
          </cell>
        </row>
        <row r="695">
          <cell r="A695" t="str">
            <v>IKN400216</v>
          </cell>
          <cell r="B695">
            <v>216</v>
          </cell>
          <cell r="C695" t="str">
            <v>Institut Kanser Negara</v>
          </cell>
          <cell r="D695" t="str">
            <v>KKM/IKN/H/13/1763</v>
          </cell>
          <cell r="E695" t="str">
            <v>16-173</v>
          </cell>
          <cell r="F695" t="str">
            <v>Sphygmomanometers, Electronic, Automatic</v>
          </cell>
          <cell r="G695" t="str">
            <v>WJ</v>
          </cell>
          <cell r="H695" t="str">
            <v>MULTIDISCIPLINE WARD 1</v>
          </cell>
          <cell r="I695" t="str">
            <v>09WJ209</v>
          </cell>
          <cell r="J695" t="str">
            <v>NURSE STATION</v>
          </cell>
          <cell r="K695" t="str">
            <v>BMED</v>
          </cell>
          <cell r="L695" t="str">
            <v>Critical</v>
          </cell>
          <cell r="M695" t="str">
            <v>USA</v>
          </cell>
          <cell r="N695" t="str">
            <v>Connex</v>
          </cell>
          <cell r="O695" t="str">
            <v>Connex ProBP 3400</v>
          </cell>
          <cell r="P695" t="str">
            <v>100001610613</v>
          </cell>
          <cell r="Q695" t="str">
            <v>Not Applicable</v>
          </cell>
          <cell r="R695" t="str">
            <v>Welch Allyn Inc</v>
          </cell>
          <cell r="S695" t="str">
            <v>Welch Allyn Malaysia Sdn Bhd</v>
          </cell>
          <cell r="T695" t="str">
            <v>Functioning</v>
          </cell>
          <cell r="U695" t="str">
            <v>Asset</v>
          </cell>
          <cell r="V695">
            <v>4510</v>
          </cell>
          <cell r="W695" t="str">
            <v>KEW</v>
          </cell>
          <cell r="X695" t="str">
            <v>01/09/2010</v>
          </cell>
          <cell r="Y695" t="str">
            <v>KEW</v>
          </cell>
          <cell r="Z695" t="str">
            <v>16/08/2013</v>
          </cell>
          <cell r="AA695" t="str">
            <v>15/08/2015</v>
          </cell>
          <cell r="AB695" t="str">
            <v>No</v>
          </cell>
          <cell r="AC695" t="str">
            <v>31/08/2013</v>
          </cell>
          <cell r="AD695" t="str">
            <v>Good</v>
          </cell>
          <cell r="AE695" t="str">
            <v>V1 - Existing / No Claim</v>
          </cell>
          <cell r="AF695">
            <v>42789</v>
          </cell>
          <cell r="AG695">
            <v>9.17</v>
          </cell>
          <cell r="AH695" t="str">
            <v>PPM</v>
          </cell>
          <cell r="AI695" t="str">
            <v>Strands</v>
          </cell>
          <cell r="AJ695" t="str">
            <v>Strands PW</v>
          </cell>
        </row>
        <row r="696">
          <cell r="A696" t="str">
            <v>IKN400217</v>
          </cell>
          <cell r="B696">
            <v>217</v>
          </cell>
          <cell r="C696" t="str">
            <v>Institut Kanser Negara</v>
          </cell>
          <cell r="D696" t="str">
            <v>KKM/IKN/H/13/2015</v>
          </cell>
          <cell r="E696" t="str">
            <v>16-173</v>
          </cell>
          <cell r="F696" t="str">
            <v>Sphygmomanometers, Electronic, Automatic</v>
          </cell>
          <cell r="G696" t="str">
            <v>WJ</v>
          </cell>
          <cell r="H696" t="str">
            <v>MULTIDISCIPLINE WARD 1</v>
          </cell>
          <cell r="I696" t="str">
            <v>09WJ209</v>
          </cell>
          <cell r="J696" t="str">
            <v>NURSE STATION</v>
          </cell>
          <cell r="K696" t="str">
            <v>BMED</v>
          </cell>
          <cell r="L696" t="str">
            <v>Normal</v>
          </cell>
          <cell r="M696" t="str">
            <v>USA</v>
          </cell>
          <cell r="N696" t="str">
            <v>Connex</v>
          </cell>
          <cell r="O696" t="str">
            <v>Connex ProBP 3400</v>
          </cell>
          <cell r="P696" t="str">
            <v>100001780613</v>
          </cell>
          <cell r="Q696" t="str">
            <v>Not Applicable</v>
          </cell>
          <cell r="R696" t="str">
            <v>Welch Allyn Inc</v>
          </cell>
          <cell r="S696" t="str">
            <v>Welch Allyn Malaysia Sdn Bhd</v>
          </cell>
          <cell r="T696" t="str">
            <v>Functioning</v>
          </cell>
          <cell r="U696" t="str">
            <v>Asset</v>
          </cell>
          <cell r="V696">
            <v>4510</v>
          </cell>
          <cell r="W696" t="str">
            <v>KEW</v>
          </cell>
          <cell r="X696" t="str">
            <v>01/09/2010</v>
          </cell>
          <cell r="Y696" t="str">
            <v>KEW</v>
          </cell>
          <cell r="Z696" t="str">
            <v>16/08/2013</v>
          </cell>
          <cell r="AA696" t="str">
            <v>15/08/2015</v>
          </cell>
          <cell r="AB696" t="str">
            <v>No</v>
          </cell>
          <cell r="AC696" t="str">
            <v>31/08/2013</v>
          </cell>
          <cell r="AD696" t="str">
            <v>Good</v>
          </cell>
          <cell r="AE696" t="str">
            <v>V1 - Existing / No Claim</v>
          </cell>
          <cell r="AF696">
            <v>42235</v>
          </cell>
          <cell r="AG696">
            <v>9.17</v>
          </cell>
          <cell r="AH696" t="str">
            <v>PPM</v>
          </cell>
          <cell r="AI696" t="str">
            <v>Strands</v>
          </cell>
          <cell r="AJ696" t="str">
            <v>Strands PW</v>
          </cell>
        </row>
        <row r="697">
          <cell r="A697" t="str">
            <v>IKN400218</v>
          </cell>
          <cell r="B697">
            <v>218</v>
          </cell>
          <cell r="C697" t="str">
            <v>Institut Kanser Negara</v>
          </cell>
          <cell r="D697" t="str">
            <v>KKM/IKN/H/13/2764</v>
          </cell>
          <cell r="E697" t="str">
            <v>11-134</v>
          </cell>
          <cell r="F697" t="str">
            <v>Defibrillators, External, Manual</v>
          </cell>
          <cell r="G697" t="str">
            <v>WJ</v>
          </cell>
          <cell r="H697" t="str">
            <v>MULTIDISCIPLINE WARD 1</v>
          </cell>
          <cell r="I697" t="str">
            <v>09WJ210</v>
          </cell>
          <cell r="J697" t="str">
            <v>RESUS EQUIP.BAY</v>
          </cell>
          <cell r="K697" t="str">
            <v>BMED</v>
          </cell>
          <cell r="L697" t="str">
            <v>Critical</v>
          </cell>
          <cell r="M697" t="str">
            <v>USA</v>
          </cell>
          <cell r="N697" t="str">
            <v>Responder</v>
          </cell>
          <cell r="O697" t="str">
            <v>Responder 2000</v>
          </cell>
          <cell r="P697" t="str">
            <v>3206731</v>
          </cell>
          <cell r="Q697" t="str">
            <v>Not Applicable</v>
          </cell>
          <cell r="R697" t="str">
            <v>GE Medical Systems</v>
          </cell>
          <cell r="S697" t="str">
            <v>Antah Sir Radin Sdn. Bhd.</v>
          </cell>
          <cell r="T697" t="str">
            <v>Functioning</v>
          </cell>
          <cell r="U697" t="str">
            <v>Asset</v>
          </cell>
          <cell r="V697">
            <v>45000</v>
          </cell>
          <cell r="W697" t="str">
            <v>KEW</v>
          </cell>
          <cell r="X697" t="str">
            <v>01/09/2010</v>
          </cell>
          <cell r="Y697" t="str">
            <v>KEW</v>
          </cell>
          <cell r="Z697" t="str">
            <v>16/08/2013</v>
          </cell>
          <cell r="AA697" t="str">
            <v>15/08/2015</v>
          </cell>
          <cell r="AB697" t="str">
            <v>No</v>
          </cell>
          <cell r="AC697" t="str">
            <v>31/08/2013</v>
          </cell>
          <cell r="AD697" t="str">
            <v>Good</v>
          </cell>
          <cell r="AE697" t="str">
            <v>V3 - Added Installed Facilities (New)</v>
          </cell>
          <cell r="AF697">
            <v>42601</v>
          </cell>
          <cell r="AG697">
            <v>9.17</v>
          </cell>
          <cell r="AH697" t="str">
            <v>PPM</v>
          </cell>
          <cell r="AI697" t="str">
            <v>Strands</v>
          </cell>
          <cell r="AJ697" t="str">
            <v>Strands PW</v>
          </cell>
          <cell r="AK697" t="str">
            <v>SNF received. 1st batch of V3 asset (December 2020)</v>
          </cell>
        </row>
        <row r="698">
          <cell r="A698" t="str">
            <v>IKN400221</v>
          </cell>
          <cell r="B698">
            <v>221</v>
          </cell>
          <cell r="C698" t="str">
            <v>Institut Kanser Negara</v>
          </cell>
          <cell r="D698" t="str">
            <v>KKM/IKN/H/13/1825</v>
          </cell>
          <cell r="E698" t="str">
            <v>10-208</v>
          </cell>
          <cell r="F698" t="str">
            <v>Aspirators</v>
          </cell>
          <cell r="G698" t="str">
            <v>WJ</v>
          </cell>
          <cell r="H698" t="str">
            <v>MULTIDISCIPLINE WARD 1</v>
          </cell>
          <cell r="I698" t="str">
            <v>09WJ222</v>
          </cell>
          <cell r="J698" t="str">
            <v>TREATMENT</v>
          </cell>
          <cell r="K698" t="str">
            <v>BMED</v>
          </cell>
          <cell r="L698" t="str">
            <v>Critical</v>
          </cell>
          <cell r="M698" t="str">
            <v>Switzerland</v>
          </cell>
          <cell r="N698" t="str">
            <v>Senator</v>
          </cell>
          <cell r="O698" t="str">
            <v>Senator</v>
          </cell>
          <cell r="P698" t="str">
            <v>1220752</v>
          </cell>
          <cell r="Q698" t="str">
            <v>Not Applicable</v>
          </cell>
          <cell r="R698" t="str">
            <v>Ardo Medical AG</v>
          </cell>
          <cell r="S698" t="str">
            <v>Histopoint</v>
          </cell>
          <cell r="T698" t="str">
            <v>Functioning</v>
          </cell>
          <cell r="U698" t="str">
            <v>Asset</v>
          </cell>
          <cell r="V698">
            <v>5052</v>
          </cell>
          <cell r="W698" t="str">
            <v>KEW</v>
          </cell>
          <cell r="X698" t="str">
            <v>01/09/2010</v>
          </cell>
          <cell r="Y698" t="str">
            <v>KEW</v>
          </cell>
          <cell r="Z698" t="str">
            <v>16/08/2013</v>
          </cell>
          <cell r="AA698" t="str">
            <v>15/08/2015</v>
          </cell>
          <cell r="AB698" t="str">
            <v>No</v>
          </cell>
          <cell r="AC698" t="str">
            <v>31/08/2013</v>
          </cell>
          <cell r="AD698" t="str">
            <v>Good</v>
          </cell>
          <cell r="AE698" t="str">
            <v>V1 - Existing / No Claim</v>
          </cell>
          <cell r="AF698">
            <v>42789</v>
          </cell>
          <cell r="AG698">
            <v>9.17</v>
          </cell>
          <cell r="AH698" t="str">
            <v>PPM</v>
          </cell>
          <cell r="AI698" t="str">
            <v>Strands</v>
          </cell>
          <cell r="AJ698" t="str">
            <v>Strands PW</v>
          </cell>
        </row>
        <row r="699">
          <cell r="A699" t="str">
            <v>IKN400222</v>
          </cell>
          <cell r="B699">
            <v>222</v>
          </cell>
          <cell r="C699" t="str">
            <v>Institut Kanser Negara</v>
          </cell>
          <cell r="D699" t="str">
            <v>KKM/IKN/H/13/2208</v>
          </cell>
          <cell r="E699" t="str">
            <v>16-173</v>
          </cell>
          <cell r="F699" t="str">
            <v>Sphygmomanometers, Electronic, Automatic</v>
          </cell>
          <cell r="G699" t="str">
            <v>WJ</v>
          </cell>
          <cell r="H699" t="str">
            <v>MULTIDISCIPLINE WARD 1</v>
          </cell>
          <cell r="I699" t="str">
            <v>09WJ222</v>
          </cell>
          <cell r="J699" t="str">
            <v>TREATMENT</v>
          </cell>
          <cell r="K699" t="str">
            <v>BMED</v>
          </cell>
          <cell r="L699" t="str">
            <v>Critical</v>
          </cell>
          <cell r="M699" t="str">
            <v>Mexico</v>
          </cell>
          <cell r="N699" t="str">
            <v>Carespace</v>
          </cell>
          <cell r="O699" t="str">
            <v>Carescape V100</v>
          </cell>
          <cell r="P699" t="str">
            <v>SH612430116SA</v>
          </cell>
          <cell r="Q699" t="str">
            <v>Not Applicable</v>
          </cell>
          <cell r="R699" t="str">
            <v>GE Healthcare Systems</v>
          </cell>
          <cell r="S699" t="str">
            <v>GE Healthcare Technologies</v>
          </cell>
          <cell r="T699" t="str">
            <v>Functioning</v>
          </cell>
          <cell r="U699" t="str">
            <v>Asset</v>
          </cell>
          <cell r="V699">
            <v>7770</v>
          </cell>
          <cell r="W699" t="str">
            <v>KEW</v>
          </cell>
          <cell r="X699" t="str">
            <v>01/09/2010</v>
          </cell>
          <cell r="Y699" t="str">
            <v>KEW</v>
          </cell>
          <cell r="Z699" t="str">
            <v>16/08/2013</v>
          </cell>
          <cell r="AA699" t="str">
            <v>15/08/2015</v>
          </cell>
          <cell r="AB699" t="str">
            <v>No</v>
          </cell>
          <cell r="AC699" t="str">
            <v>31/08/2013</v>
          </cell>
          <cell r="AD699" t="str">
            <v>Good</v>
          </cell>
          <cell r="AE699" t="str">
            <v>V1 - Existing / No Claim</v>
          </cell>
          <cell r="AF699">
            <v>42789</v>
          </cell>
          <cell r="AG699">
            <v>9.17</v>
          </cell>
          <cell r="AH699" t="str">
            <v>PPM</v>
          </cell>
          <cell r="AI699" t="str">
            <v>Strands</v>
          </cell>
          <cell r="AJ699" t="str">
            <v>Strands PW</v>
          </cell>
        </row>
        <row r="700">
          <cell r="A700" t="str">
            <v>IKN400223</v>
          </cell>
          <cell r="B700">
            <v>223</v>
          </cell>
          <cell r="C700" t="str">
            <v>Institut Kanser Negara</v>
          </cell>
          <cell r="D700" t="str">
            <v>KKM/IKN/H/13/2206</v>
          </cell>
          <cell r="E700" t="str">
            <v>16-231</v>
          </cell>
          <cell r="F700" t="str">
            <v>Electrocardiographs, Multichannel, Interpretative</v>
          </cell>
          <cell r="G700" t="str">
            <v>WJ</v>
          </cell>
          <cell r="H700" t="str">
            <v>MULTIDISCIPLINE WARD 1</v>
          </cell>
          <cell r="I700" t="str">
            <v>09WJ222</v>
          </cell>
          <cell r="J700" t="str">
            <v>TREATMENT</v>
          </cell>
          <cell r="K700" t="str">
            <v>BMED</v>
          </cell>
          <cell r="L700" t="str">
            <v>Normal</v>
          </cell>
          <cell r="M700" t="str">
            <v>China</v>
          </cell>
          <cell r="N700" t="str">
            <v>Mac</v>
          </cell>
          <cell r="O700" t="str">
            <v>MAC 800</v>
          </cell>
          <cell r="P700" t="str">
            <v>SJ412450352WA</v>
          </cell>
          <cell r="Q700" t="str">
            <v>Not Applicable</v>
          </cell>
          <cell r="R700" t="str">
            <v>GE Healthcare Systems</v>
          </cell>
          <cell r="S700" t="str">
            <v>GE Healthcare Technologies</v>
          </cell>
          <cell r="T700" t="str">
            <v>Functioning</v>
          </cell>
          <cell r="U700" t="str">
            <v>Asset</v>
          </cell>
          <cell r="V700">
            <v>25260</v>
          </cell>
          <cell r="W700" t="str">
            <v>KEW</v>
          </cell>
          <cell r="X700" t="str">
            <v>01/09/2010</v>
          </cell>
          <cell r="Y700" t="str">
            <v>KEW</v>
          </cell>
          <cell r="Z700" t="str">
            <v>16/08/2013</v>
          </cell>
          <cell r="AA700" t="str">
            <v>15/08/2015</v>
          </cell>
          <cell r="AB700" t="str">
            <v>No</v>
          </cell>
          <cell r="AC700" t="str">
            <v>31/08/2013</v>
          </cell>
          <cell r="AD700" t="str">
            <v>Good</v>
          </cell>
          <cell r="AE700" t="str">
            <v>V1 - Existing / No Claim</v>
          </cell>
          <cell r="AF700">
            <v>42235</v>
          </cell>
          <cell r="AG700">
            <v>9.17</v>
          </cell>
          <cell r="AH700" t="str">
            <v>PPM</v>
          </cell>
          <cell r="AI700" t="str">
            <v>Strands</v>
          </cell>
          <cell r="AJ700" t="str">
            <v>Strands PW</v>
          </cell>
        </row>
        <row r="701">
          <cell r="A701" t="str">
            <v>IKN400224</v>
          </cell>
          <cell r="B701">
            <v>224</v>
          </cell>
          <cell r="C701" t="str">
            <v>Institut Kanser Negara</v>
          </cell>
          <cell r="D701" t="str">
            <v>KKM/IKN/H/13/2210</v>
          </cell>
          <cell r="E701" t="str">
            <v>13-217</v>
          </cell>
          <cell r="F701" t="str">
            <v>Infusion Pumps, Syringe</v>
          </cell>
          <cell r="G701" t="str">
            <v>WJ</v>
          </cell>
          <cell r="H701" t="str">
            <v>MULTIDISCIPLINE WARD 1</v>
          </cell>
          <cell r="I701" t="str">
            <v>09WJ126</v>
          </cell>
          <cell r="J701" t="str">
            <v>EQUIPT. ROOM</v>
          </cell>
          <cell r="K701" t="str">
            <v>BMED</v>
          </cell>
          <cell r="L701" t="str">
            <v>Normal</v>
          </cell>
          <cell r="M701" t="str">
            <v>Germany</v>
          </cell>
          <cell r="N701" t="str">
            <v>Perfusor</v>
          </cell>
          <cell r="O701" t="str">
            <v>Perfusor Space</v>
          </cell>
          <cell r="P701" t="str">
            <v>211431</v>
          </cell>
          <cell r="Q701" t="str">
            <v>Not Applicable</v>
          </cell>
          <cell r="R701" t="str">
            <v>B Braun Melsungen AG</v>
          </cell>
          <cell r="S701" t="str">
            <v>B Braun Medical Supplies Sdn. Bhd.</v>
          </cell>
          <cell r="T701" t="str">
            <v>Functioning</v>
          </cell>
          <cell r="U701" t="str">
            <v>Asset</v>
          </cell>
          <cell r="V701">
            <v>10225</v>
          </cell>
          <cell r="W701" t="str">
            <v>KEW</v>
          </cell>
          <cell r="X701" t="str">
            <v>01/09/2010</v>
          </cell>
          <cell r="Y701" t="str">
            <v>KEW</v>
          </cell>
          <cell r="Z701" t="str">
            <v>16/08/2013</v>
          </cell>
          <cell r="AA701" t="str">
            <v>15/08/2015</v>
          </cell>
          <cell r="AB701" t="str">
            <v>No</v>
          </cell>
          <cell r="AC701" t="str">
            <v>31/08/2013</v>
          </cell>
          <cell r="AD701" t="str">
            <v>Good</v>
          </cell>
          <cell r="AE701" t="str">
            <v>V1 - Existing / No Claim</v>
          </cell>
          <cell r="AF701">
            <v>42235</v>
          </cell>
          <cell r="AG701">
            <v>9.17</v>
          </cell>
          <cell r="AH701" t="str">
            <v>PPM</v>
          </cell>
          <cell r="AI701" t="str">
            <v>Strands</v>
          </cell>
          <cell r="AJ701" t="str">
            <v>Strands PW</v>
          </cell>
        </row>
        <row r="702">
          <cell r="A702" t="str">
            <v>IKN400225</v>
          </cell>
          <cell r="B702">
            <v>225</v>
          </cell>
          <cell r="C702" t="str">
            <v>Institut Kanser Negara</v>
          </cell>
          <cell r="D702" t="str">
            <v>KKM/IKN/H/13/2211</v>
          </cell>
          <cell r="E702" t="str">
            <v>13-217</v>
          </cell>
          <cell r="F702" t="str">
            <v>Infusion Pumps, Syringe</v>
          </cell>
          <cell r="G702" t="str">
            <v>WJ</v>
          </cell>
          <cell r="H702" t="str">
            <v>MULTIDISCIPLINE WARD 1</v>
          </cell>
          <cell r="I702" t="str">
            <v>09WJ126</v>
          </cell>
          <cell r="J702" t="str">
            <v>EQUIPT. ROOM</v>
          </cell>
          <cell r="K702" t="str">
            <v>BMED</v>
          </cell>
          <cell r="L702" t="str">
            <v>Normal</v>
          </cell>
          <cell r="M702" t="str">
            <v>Germany</v>
          </cell>
          <cell r="N702" t="str">
            <v>Perfusor</v>
          </cell>
          <cell r="O702" t="str">
            <v>Perfusor Space</v>
          </cell>
          <cell r="P702" t="str">
            <v>211426</v>
          </cell>
          <cell r="Q702" t="str">
            <v>Not Applicable</v>
          </cell>
          <cell r="R702" t="str">
            <v>B Braun Melsungen AG</v>
          </cell>
          <cell r="S702" t="str">
            <v>B Braun Medical Supplies Sdn. Bhd.</v>
          </cell>
          <cell r="T702" t="str">
            <v>Functioning</v>
          </cell>
          <cell r="U702" t="str">
            <v>Asset</v>
          </cell>
          <cell r="V702">
            <v>10225</v>
          </cell>
          <cell r="W702" t="str">
            <v>KEW</v>
          </cell>
          <cell r="X702" t="str">
            <v>01/09/2010</v>
          </cell>
          <cell r="Y702" t="str">
            <v>KEW</v>
          </cell>
          <cell r="Z702" t="str">
            <v>16/08/2013</v>
          </cell>
          <cell r="AA702" t="str">
            <v>15/08/2015</v>
          </cell>
          <cell r="AB702" t="str">
            <v>No</v>
          </cell>
          <cell r="AC702" t="str">
            <v>31/08/2013</v>
          </cell>
          <cell r="AD702" t="str">
            <v>Good</v>
          </cell>
          <cell r="AE702" t="str">
            <v>V1 - Existing / No Claim</v>
          </cell>
          <cell r="AF702">
            <v>42235</v>
          </cell>
          <cell r="AG702">
            <v>9.17</v>
          </cell>
          <cell r="AH702" t="str">
            <v>PPM</v>
          </cell>
          <cell r="AI702" t="str">
            <v>Strands</v>
          </cell>
          <cell r="AJ702" t="str">
            <v>Strands PW</v>
          </cell>
        </row>
        <row r="703">
          <cell r="A703" t="str">
            <v>IKN400226</v>
          </cell>
          <cell r="B703">
            <v>226</v>
          </cell>
          <cell r="C703" t="str">
            <v>Institut Kanser Negara</v>
          </cell>
          <cell r="D703" t="str">
            <v>KKM/IKN/H/13/2213</v>
          </cell>
          <cell r="E703" t="str">
            <v>13-215</v>
          </cell>
          <cell r="F703" t="str">
            <v>Infusion Pumps, General-Purpose</v>
          </cell>
          <cell r="G703" t="str">
            <v>WJ</v>
          </cell>
          <cell r="H703" t="str">
            <v>MULTIDISCIPLINE WARD 1</v>
          </cell>
          <cell r="I703" t="str">
            <v>09WJ126</v>
          </cell>
          <cell r="J703" t="str">
            <v>EQUIPT. ROOM</v>
          </cell>
          <cell r="K703" t="str">
            <v>BMED</v>
          </cell>
          <cell r="L703" t="str">
            <v>Normal</v>
          </cell>
          <cell r="M703" t="str">
            <v>Germany</v>
          </cell>
          <cell r="N703" t="str">
            <v>Infusomat</v>
          </cell>
          <cell r="O703" t="str">
            <v>Infusomat Space</v>
          </cell>
          <cell r="P703" t="str">
            <v>246643</v>
          </cell>
          <cell r="Q703" t="str">
            <v>Not Applicable</v>
          </cell>
          <cell r="R703" t="str">
            <v>B Braun Melsungen AG</v>
          </cell>
          <cell r="S703" t="str">
            <v>B Braun Medical Supplies Sdn. Bhd.</v>
          </cell>
          <cell r="T703" t="str">
            <v>Functioning</v>
          </cell>
          <cell r="U703" t="str">
            <v>Asset</v>
          </cell>
          <cell r="V703">
            <v>10825</v>
          </cell>
          <cell r="W703" t="str">
            <v>KEW</v>
          </cell>
          <cell r="X703" t="str">
            <v>01/09/2010</v>
          </cell>
          <cell r="Y703" t="str">
            <v>KEW</v>
          </cell>
          <cell r="Z703" t="str">
            <v>16/08/2013</v>
          </cell>
          <cell r="AA703" t="str">
            <v>15/08/2015</v>
          </cell>
          <cell r="AB703" t="str">
            <v>No</v>
          </cell>
          <cell r="AC703" t="str">
            <v>31/08/2013</v>
          </cell>
          <cell r="AD703" t="str">
            <v>Good</v>
          </cell>
          <cell r="AE703" t="str">
            <v>V1 - Existing / No Claim</v>
          </cell>
          <cell r="AF703">
            <v>42235</v>
          </cell>
          <cell r="AG703">
            <v>9.17</v>
          </cell>
          <cell r="AH703" t="str">
            <v>PPM</v>
          </cell>
          <cell r="AI703" t="str">
            <v>Strands</v>
          </cell>
          <cell r="AJ703" t="str">
            <v>Strands PW</v>
          </cell>
        </row>
        <row r="704">
          <cell r="A704" t="str">
            <v>IKN400227</v>
          </cell>
          <cell r="B704">
            <v>227</v>
          </cell>
          <cell r="C704" t="str">
            <v>Institut Kanser Negara</v>
          </cell>
          <cell r="D704" t="str">
            <v>KKM/IKN/H/13/2230</v>
          </cell>
          <cell r="E704" t="str">
            <v>13-215</v>
          </cell>
          <cell r="F704" t="str">
            <v>Infusion Pumps, General-Purpose</v>
          </cell>
          <cell r="G704" t="str">
            <v>WJ</v>
          </cell>
          <cell r="H704" t="str">
            <v>MULTIDISCIPLINE WARD 1</v>
          </cell>
          <cell r="I704" t="str">
            <v>09WJ126</v>
          </cell>
          <cell r="J704" t="str">
            <v>EQUIPT. ROOM</v>
          </cell>
          <cell r="K704" t="str">
            <v>BMED</v>
          </cell>
          <cell r="L704" t="str">
            <v>Critical</v>
          </cell>
          <cell r="M704" t="str">
            <v>Germany</v>
          </cell>
          <cell r="N704" t="str">
            <v>Infusomat</v>
          </cell>
          <cell r="O704" t="str">
            <v>Infusomat Space</v>
          </cell>
          <cell r="P704" t="str">
            <v>246642</v>
          </cell>
          <cell r="Q704" t="str">
            <v>Not Applicable</v>
          </cell>
          <cell r="R704" t="str">
            <v>B Braun Melsungen AG</v>
          </cell>
          <cell r="S704" t="str">
            <v>B Braun Medical Supplies Sdn. Bhd.</v>
          </cell>
          <cell r="T704" t="str">
            <v>Functioning</v>
          </cell>
          <cell r="U704" t="str">
            <v>Asset</v>
          </cell>
          <cell r="V704">
            <v>10825</v>
          </cell>
          <cell r="W704" t="str">
            <v>KEW</v>
          </cell>
          <cell r="X704" t="str">
            <v>01/09/2010</v>
          </cell>
          <cell r="Y704" t="str">
            <v>KEW</v>
          </cell>
          <cell r="Z704" t="str">
            <v>16/08/2013</v>
          </cell>
          <cell r="AA704" t="str">
            <v>15/08/2015</v>
          </cell>
          <cell r="AB704" t="str">
            <v>No</v>
          </cell>
          <cell r="AC704" t="str">
            <v>31/08/2013</v>
          </cell>
          <cell r="AD704" t="str">
            <v>Good</v>
          </cell>
          <cell r="AE704" t="str">
            <v>V1 - Existing / No Claim</v>
          </cell>
          <cell r="AF704">
            <v>42789</v>
          </cell>
          <cell r="AG704">
            <v>9.17</v>
          </cell>
          <cell r="AH704" t="str">
            <v>PPM</v>
          </cell>
          <cell r="AI704" t="str">
            <v>Strands</v>
          </cell>
          <cell r="AJ704" t="str">
            <v>Strands PW</v>
          </cell>
        </row>
        <row r="705">
          <cell r="A705" t="str">
            <v>IKN400228</v>
          </cell>
          <cell r="B705">
            <v>228</v>
          </cell>
          <cell r="C705" t="str">
            <v>Institut Kanser Negara</v>
          </cell>
          <cell r="D705" t="str">
            <v>KKM/IKN/H/13/2231</v>
          </cell>
          <cell r="E705" t="str">
            <v>13-215</v>
          </cell>
          <cell r="F705" t="str">
            <v>Infusion Pumps, General-Purpose</v>
          </cell>
          <cell r="G705" t="str">
            <v>WJ</v>
          </cell>
          <cell r="H705" t="str">
            <v>MULTIDISCIPLINE WARD 1</v>
          </cell>
          <cell r="I705" t="str">
            <v>09WJ126</v>
          </cell>
          <cell r="J705" t="str">
            <v>EQUIPT. ROOM</v>
          </cell>
          <cell r="K705" t="str">
            <v>BMED</v>
          </cell>
          <cell r="L705" t="str">
            <v>Normal</v>
          </cell>
          <cell r="M705" t="str">
            <v>Germany</v>
          </cell>
          <cell r="N705" t="str">
            <v>Infusomat</v>
          </cell>
          <cell r="O705" t="str">
            <v>Infusomat Space</v>
          </cell>
          <cell r="P705" t="str">
            <v>237129</v>
          </cell>
          <cell r="Q705" t="str">
            <v>Not Applicable</v>
          </cell>
          <cell r="R705" t="str">
            <v>B Braun Melsungen AG</v>
          </cell>
          <cell r="S705" t="str">
            <v>B Braun Medical Supplies Sdn. Bhd.</v>
          </cell>
          <cell r="T705" t="str">
            <v>Functioning</v>
          </cell>
          <cell r="U705" t="str">
            <v>Asset</v>
          </cell>
          <cell r="V705">
            <v>10825</v>
          </cell>
          <cell r="W705" t="str">
            <v>KEW</v>
          </cell>
          <cell r="X705" t="str">
            <v>01/09/2010</v>
          </cell>
          <cell r="Y705" t="str">
            <v>KEW</v>
          </cell>
          <cell r="Z705" t="str">
            <v>16/08/2013</v>
          </cell>
          <cell r="AA705" t="str">
            <v>15/08/2015</v>
          </cell>
          <cell r="AB705" t="str">
            <v>No</v>
          </cell>
          <cell r="AC705" t="str">
            <v>31/08/2013</v>
          </cell>
          <cell r="AD705" t="str">
            <v>Good</v>
          </cell>
          <cell r="AE705" t="str">
            <v>V1 - Existing / No Claim</v>
          </cell>
          <cell r="AF705">
            <v>42235</v>
          </cell>
          <cell r="AG705">
            <v>9.17</v>
          </cell>
          <cell r="AH705" t="str">
            <v>PPM</v>
          </cell>
          <cell r="AI705" t="str">
            <v>Strands</v>
          </cell>
          <cell r="AJ705" t="str">
            <v>Strands PW</v>
          </cell>
        </row>
        <row r="706">
          <cell r="A706" t="str">
            <v>IKN400229</v>
          </cell>
          <cell r="B706">
            <v>229</v>
          </cell>
          <cell r="C706" t="str">
            <v>Institut Kanser Negara</v>
          </cell>
          <cell r="D706" t="str">
            <v>KKM/IKN/H/13/2214</v>
          </cell>
          <cell r="E706" t="str">
            <v>13-215</v>
          </cell>
          <cell r="F706" t="str">
            <v>Infusion Pumps, General-Purpose</v>
          </cell>
          <cell r="G706" t="str">
            <v>WJ</v>
          </cell>
          <cell r="H706" t="str">
            <v>MULTIDISCIPLINE WARD 1</v>
          </cell>
          <cell r="I706" t="str">
            <v>09WJ126</v>
          </cell>
          <cell r="J706" t="str">
            <v>EQUIPT. ROOM</v>
          </cell>
          <cell r="K706" t="str">
            <v>BMED</v>
          </cell>
          <cell r="L706" t="str">
            <v>Normal</v>
          </cell>
          <cell r="M706" t="str">
            <v>Germany</v>
          </cell>
          <cell r="N706" t="str">
            <v>Infusomat</v>
          </cell>
          <cell r="O706" t="str">
            <v>Infusomat Space</v>
          </cell>
          <cell r="P706" t="str">
            <v>246689</v>
          </cell>
          <cell r="Q706" t="str">
            <v>Not Applicable</v>
          </cell>
          <cell r="R706" t="str">
            <v>B Braun Melsungen AG</v>
          </cell>
          <cell r="S706" t="str">
            <v>B Braun Medical Supplies Sdn. Bhd.</v>
          </cell>
          <cell r="T706" t="str">
            <v>Functioning</v>
          </cell>
          <cell r="U706" t="str">
            <v>Asset</v>
          </cell>
          <cell r="V706">
            <v>10825</v>
          </cell>
          <cell r="W706" t="str">
            <v>KEW</v>
          </cell>
          <cell r="X706" t="str">
            <v>01/09/2010</v>
          </cell>
          <cell r="Y706" t="str">
            <v>KEW</v>
          </cell>
          <cell r="Z706" t="str">
            <v>16/08/2013</v>
          </cell>
          <cell r="AA706" t="str">
            <v>15/08/2015</v>
          </cell>
          <cell r="AB706" t="str">
            <v>No</v>
          </cell>
          <cell r="AC706" t="str">
            <v>31/08/2013</v>
          </cell>
          <cell r="AD706" t="str">
            <v>Good</v>
          </cell>
          <cell r="AE706" t="str">
            <v>V1 - Existing / No Claim</v>
          </cell>
          <cell r="AF706">
            <v>42235</v>
          </cell>
          <cell r="AG706">
            <v>9.17</v>
          </cell>
          <cell r="AH706" t="str">
            <v>PPM</v>
          </cell>
          <cell r="AI706" t="str">
            <v>Strands</v>
          </cell>
          <cell r="AJ706" t="str">
            <v>Strands PW</v>
          </cell>
        </row>
        <row r="707">
          <cell r="A707" t="str">
            <v>IKN400230</v>
          </cell>
          <cell r="B707">
            <v>230</v>
          </cell>
          <cell r="C707" t="str">
            <v>Institut Kanser Negara</v>
          </cell>
          <cell r="D707" t="str">
            <v>KKM/IKN/H/13/2215</v>
          </cell>
          <cell r="E707" t="str">
            <v>13-215</v>
          </cell>
          <cell r="F707" t="str">
            <v>Infusion Pumps, General-Purpose</v>
          </cell>
          <cell r="G707" t="str">
            <v>WJ</v>
          </cell>
          <cell r="H707" t="str">
            <v>MULTIDISCIPLINE WARD 1</v>
          </cell>
          <cell r="I707" t="str">
            <v>09WJ126</v>
          </cell>
          <cell r="J707" t="str">
            <v>EQUIPT. ROOM</v>
          </cell>
          <cell r="K707" t="str">
            <v>BMED</v>
          </cell>
          <cell r="L707" t="str">
            <v>Normal</v>
          </cell>
          <cell r="M707" t="str">
            <v>Germany</v>
          </cell>
          <cell r="N707" t="str">
            <v>Infusomat</v>
          </cell>
          <cell r="O707" t="str">
            <v>Infusomat Space</v>
          </cell>
          <cell r="P707" t="str">
            <v>246674</v>
          </cell>
          <cell r="Q707" t="str">
            <v>Not Applicable</v>
          </cell>
          <cell r="R707" t="str">
            <v>B Braun Melsungen AG</v>
          </cell>
          <cell r="S707" t="str">
            <v>B Braun Medical Supplies Sdn. Bhd.</v>
          </cell>
          <cell r="T707" t="str">
            <v>Functioning</v>
          </cell>
          <cell r="U707" t="str">
            <v>Asset</v>
          </cell>
          <cell r="V707">
            <v>10825</v>
          </cell>
          <cell r="W707" t="str">
            <v>KEW</v>
          </cell>
          <cell r="X707" t="str">
            <v>01/09/2010</v>
          </cell>
          <cell r="Y707" t="str">
            <v>KEW</v>
          </cell>
          <cell r="Z707" t="str">
            <v>16/08/2013</v>
          </cell>
          <cell r="AA707" t="str">
            <v>15/08/2015</v>
          </cell>
          <cell r="AB707" t="str">
            <v>No</v>
          </cell>
          <cell r="AC707" t="str">
            <v>31/08/2013</v>
          </cell>
          <cell r="AD707" t="str">
            <v>Good</v>
          </cell>
          <cell r="AE707" t="str">
            <v>V1 - Existing / No Claim</v>
          </cell>
          <cell r="AF707">
            <v>42235</v>
          </cell>
          <cell r="AG707">
            <v>9.17</v>
          </cell>
          <cell r="AH707" t="str">
            <v>PPM</v>
          </cell>
          <cell r="AI707" t="str">
            <v>Strands</v>
          </cell>
          <cell r="AJ707" t="str">
            <v>Strands PW</v>
          </cell>
        </row>
        <row r="708">
          <cell r="A708" t="str">
            <v>IKN400231</v>
          </cell>
          <cell r="B708">
            <v>231</v>
          </cell>
          <cell r="C708" t="str">
            <v>Institut Kanser Negara</v>
          </cell>
          <cell r="D708" t="str">
            <v>KKM/IKN/H/13/2216</v>
          </cell>
          <cell r="E708" t="str">
            <v>13-215</v>
          </cell>
          <cell r="F708" t="str">
            <v>Infusion Pumps, General-Purpose</v>
          </cell>
          <cell r="G708" t="str">
            <v>WJ</v>
          </cell>
          <cell r="H708" t="str">
            <v>MULTIDISCIPLINE WARD 1</v>
          </cell>
          <cell r="I708" t="str">
            <v>09WJ126</v>
          </cell>
          <cell r="J708" t="str">
            <v>EQUIPT. ROOM</v>
          </cell>
          <cell r="K708" t="str">
            <v>BMED</v>
          </cell>
          <cell r="L708" t="str">
            <v>Normal</v>
          </cell>
          <cell r="M708" t="str">
            <v>Germany</v>
          </cell>
          <cell r="N708" t="str">
            <v>Infusomat</v>
          </cell>
          <cell r="O708" t="str">
            <v>Infusomat Space</v>
          </cell>
          <cell r="P708" t="str">
            <v>245266</v>
          </cell>
          <cell r="Q708" t="str">
            <v>Not Applicable</v>
          </cell>
          <cell r="R708" t="str">
            <v>B Braun Melsungen AG</v>
          </cell>
          <cell r="S708" t="str">
            <v>B Braun Medical Supplies Sdn. Bhd.</v>
          </cell>
          <cell r="T708" t="str">
            <v>Functioning</v>
          </cell>
          <cell r="U708" t="str">
            <v>Asset</v>
          </cell>
          <cell r="V708">
            <v>10825</v>
          </cell>
          <cell r="W708" t="str">
            <v>KEW</v>
          </cell>
          <cell r="X708" t="str">
            <v>01/09/2010</v>
          </cell>
          <cell r="Y708" t="str">
            <v>KEW</v>
          </cell>
          <cell r="Z708" t="str">
            <v>16/08/2013</v>
          </cell>
          <cell r="AA708" t="str">
            <v>15/08/2015</v>
          </cell>
          <cell r="AB708" t="str">
            <v>No</v>
          </cell>
          <cell r="AC708" t="str">
            <v>31/08/2013</v>
          </cell>
          <cell r="AD708" t="str">
            <v>Good</v>
          </cell>
          <cell r="AE708" t="str">
            <v>V1 - Existing / No Claim</v>
          </cell>
          <cell r="AF708">
            <v>42235</v>
          </cell>
          <cell r="AG708">
            <v>9.17</v>
          </cell>
          <cell r="AH708" t="str">
            <v>PPM</v>
          </cell>
          <cell r="AI708" t="str">
            <v>Strands</v>
          </cell>
          <cell r="AJ708" t="str">
            <v>Strands PW</v>
          </cell>
        </row>
        <row r="709">
          <cell r="A709" t="str">
            <v>IKN400232</v>
          </cell>
          <cell r="B709">
            <v>232</v>
          </cell>
          <cell r="C709" t="str">
            <v>Institut Kanser Negara</v>
          </cell>
          <cell r="D709" t="str">
            <v>KKM/IKN/H/13/2217</v>
          </cell>
          <cell r="E709" t="str">
            <v>13-215</v>
          </cell>
          <cell r="F709" t="str">
            <v>Infusion Pumps, General-Purpose</v>
          </cell>
          <cell r="G709" t="str">
            <v>WJ</v>
          </cell>
          <cell r="H709" t="str">
            <v>MULTIDISCIPLINE WARD 1</v>
          </cell>
          <cell r="I709" t="str">
            <v>09WJ126</v>
          </cell>
          <cell r="J709" t="str">
            <v>EQUIPT. ROOM</v>
          </cell>
          <cell r="K709" t="str">
            <v>BMED</v>
          </cell>
          <cell r="L709" t="str">
            <v>Normal</v>
          </cell>
          <cell r="M709" t="str">
            <v>Germany</v>
          </cell>
          <cell r="N709" t="str">
            <v>Infusomat</v>
          </cell>
          <cell r="O709" t="str">
            <v>Infusomat Space</v>
          </cell>
          <cell r="P709" t="str">
            <v>246650</v>
          </cell>
          <cell r="Q709" t="str">
            <v>Not Applicable</v>
          </cell>
          <cell r="R709" t="str">
            <v>B Braun Melsungen AG</v>
          </cell>
          <cell r="S709" t="str">
            <v>B Braun Medical Supplies Sdn. Bhd.</v>
          </cell>
          <cell r="T709" t="str">
            <v>Functioning</v>
          </cell>
          <cell r="U709" t="str">
            <v>Asset</v>
          </cell>
          <cell r="V709">
            <v>10825</v>
          </cell>
          <cell r="W709" t="str">
            <v>KEW</v>
          </cell>
          <cell r="X709" t="str">
            <v>01/09/2010</v>
          </cell>
          <cell r="Y709" t="str">
            <v>KEW</v>
          </cell>
          <cell r="Z709" t="str">
            <v>16/08/2013</v>
          </cell>
          <cell r="AA709" t="str">
            <v>15/08/2015</v>
          </cell>
          <cell r="AB709" t="str">
            <v>No</v>
          </cell>
          <cell r="AC709" t="str">
            <v>31/08/2013</v>
          </cell>
          <cell r="AD709" t="str">
            <v>Good</v>
          </cell>
          <cell r="AE709" t="str">
            <v>V1 - Existing / No Claim</v>
          </cell>
          <cell r="AF709">
            <v>42235</v>
          </cell>
          <cell r="AG709">
            <v>9.17</v>
          </cell>
          <cell r="AH709" t="str">
            <v>PPM</v>
          </cell>
          <cell r="AI709" t="str">
            <v>Strands</v>
          </cell>
          <cell r="AJ709" t="str">
            <v>Strands PW</v>
          </cell>
        </row>
        <row r="710">
          <cell r="A710" t="str">
            <v>IKN400233</v>
          </cell>
          <cell r="B710">
            <v>233</v>
          </cell>
          <cell r="C710" t="str">
            <v>Institut Kanser Negara</v>
          </cell>
          <cell r="D710" t="str">
            <v>KKM/IKN/H/13/2218</v>
          </cell>
          <cell r="E710" t="str">
            <v>13-215</v>
          </cell>
          <cell r="F710" t="str">
            <v>Infusion Pumps, General-Purpose</v>
          </cell>
          <cell r="G710" t="str">
            <v>WJ</v>
          </cell>
          <cell r="H710" t="str">
            <v>MULTIDISCIPLINE WARD 1</v>
          </cell>
          <cell r="I710" t="str">
            <v>09WJ126</v>
          </cell>
          <cell r="J710" t="str">
            <v>EQUIPT. ROOM</v>
          </cell>
          <cell r="K710" t="str">
            <v>BMED</v>
          </cell>
          <cell r="L710" t="str">
            <v>Normal</v>
          </cell>
          <cell r="M710" t="str">
            <v>Germany</v>
          </cell>
          <cell r="N710" t="str">
            <v>Infusomat</v>
          </cell>
          <cell r="O710" t="str">
            <v>Infusomat Space</v>
          </cell>
          <cell r="P710" t="str">
            <v>245254</v>
          </cell>
          <cell r="Q710" t="str">
            <v>Not Applicable</v>
          </cell>
          <cell r="R710" t="str">
            <v>B Braun Melsungen AG</v>
          </cell>
          <cell r="S710" t="str">
            <v>B Braun Medical Supplies Sdn. Bhd.</v>
          </cell>
          <cell r="T710" t="str">
            <v>Functioning</v>
          </cell>
          <cell r="U710" t="str">
            <v>Asset</v>
          </cell>
          <cell r="V710">
            <v>10825</v>
          </cell>
          <cell r="W710" t="str">
            <v>KEW</v>
          </cell>
          <cell r="X710" t="str">
            <v>01/09/2010</v>
          </cell>
          <cell r="Y710" t="str">
            <v>KEW</v>
          </cell>
          <cell r="Z710" t="str">
            <v>16/08/2013</v>
          </cell>
          <cell r="AA710" t="str">
            <v>15/08/2015</v>
          </cell>
          <cell r="AB710" t="str">
            <v>No</v>
          </cell>
          <cell r="AC710" t="str">
            <v>31/08/2013</v>
          </cell>
          <cell r="AD710" t="str">
            <v>Good</v>
          </cell>
          <cell r="AE710" t="str">
            <v>V1 - Existing / No Claim</v>
          </cell>
          <cell r="AF710">
            <v>42235</v>
          </cell>
          <cell r="AG710">
            <v>9.17</v>
          </cell>
          <cell r="AH710" t="str">
            <v>PPM</v>
          </cell>
          <cell r="AI710" t="str">
            <v>Strands</v>
          </cell>
          <cell r="AJ710" t="str">
            <v>Strands PW</v>
          </cell>
        </row>
        <row r="711">
          <cell r="A711" t="str">
            <v>IKN400234</v>
          </cell>
          <cell r="B711">
            <v>234</v>
          </cell>
          <cell r="C711" t="str">
            <v>Institut Kanser Negara</v>
          </cell>
          <cell r="D711" t="str">
            <v>KKM/IKN/H/13/2219</v>
          </cell>
          <cell r="E711" t="str">
            <v>13-215</v>
          </cell>
          <cell r="F711" t="str">
            <v>Infusion Pumps, General-Purpose</v>
          </cell>
          <cell r="G711" t="str">
            <v>WJ</v>
          </cell>
          <cell r="H711" t="str">
            <v>MULTIDISCIPLINE WARD 1</v>
          </cell>
          <cell r="I711" t="str">
            <v>09WJ126</v>
          </cell>
          <cell r="J711" t="str">
            <v>EQUIPT. ROOM</v>
          </cell>
          <cell r="K711" t="str">
            <v>BMED</v>
          </cell>
          <cell r="L711" t="str">
            <v>Normal</v>
          </cell>
          <cell r="M711" t="str">
            <v>Germany</v>
          </cell>
          <cell r="N711" t="str">
            <v>Infusomat</v>
          </cell>
          <cell r="O711" t="str">
            <v>Infusomat Space</v>
          </cell>
          <cell r="P711" t="str">
            <v>237199</v>
          </cell>
          <cell r="Q711" t="str">
            <v>Not Applicable</v>
          </cell>
          <cell r="R711" t="str">
            <v>B Braun Melsungen AG</v>
          </cell>
          <cell r="S711" t="str">
            <v>B Braun Medical Supplies Sdn. Bhd.</v>
          </cell>
          <cell r="T711" t="str">
            <v>Functioning</v>
          </cell>
          <cell r="U711" t="str">
            <v>Asset</v>
          </cell>
          <cell r="V711">
            <v>10825</v>
          </cell>
          <cell r="W711" t="str">
            <v>KEW</v>
          </cell>
          <cell r="X711" t="str">
            <v>01/09/2010</v>
          </cell>
          <cell r="Y711" t="str">
            <v>KEW</v>
          </cell>
          <cell r="Z711" t="str">
            <v>16/08/2013</v>
          </cell>
          <cell r="AA711" t="str">
            <v>15/08/2015</v>
          </cell>
          <cell r="AB711" t="str">
            <v>No</v>
          </cell>
          <cell r="AC711" t="str">
            <v>31/08/2013</v>
          </cell>
          <cell r="AD711" t="str">
            <v>Good</v>
          </cell>
          <cell r="AE711" t="str">
            <v>V1 - Existing / No Claim</v>
          </cell>
          <cell r="AF711">
            <v>42235</v>
          </cell>
          <cell r="AG711">
            <v>9.17</v>
          </cell>
          <cell r="AH711" t="str">
            <v>PPM</v>
          </cell>
          <cell r="AI711" t="str">
            <v>Strands</v>
          </cell>
          <cell r="AJ711" t="str">
            <v>Strands PW</v>
          </cell>
        </row>
        <row r="712">
          <cell r="A712" t="str">
            <v>IKN400235</v>
          </cell>
          <cell r="B712">
            <v>235</v>
          </cell>
          <cell r="C712" t="str">
            <v>Institut Kanser Negara</v>
          </cell>
          <cell r="D712" t="str">
            <v>KKM/IKN/H/13/2220</v>
          </cell>
          <cell r="E712" t="str">
            <v>13-215</v>
          </cell>
          <cell r="F712" t="str">
            <v>Infusion Pumps, General-Purpose</v>
          </cell>
          <cell r="G712" t="str">
            <v>WJ</v>
          </cell>
          <cell r="H712" t="str">
            <v>MULTIDISCIPLINE WARD 1</v>
          </cell>
          <cell r="I712" t="str">
            <v>09WJ126</v>
          </cell>
          <cell r="J712" t="str">
            <v>EQUIPT. ROOM</v>
          </cell>
          <cell r="K712" t="str">
            <v>BMED</v>
          </cell>
          <cell r="L712" t="str">
            <v>Normal</v>
          </cell>
          <cell r="M712" t="str">
            <v>Germany</v>
          </cell>
          <cell r="N712" t="str">
            <v>Infusomat</v>
          </cell>
          <cell r="O712" t="str">
            <v>Infusomat Space</v>
          </cell>
          <cell r="P712" t="str">
            <v>237132</v>
          </cell>
          <cell r="Q712" t="str">
            <v>Not Applicable</v>
          </cell>
          <cell r="R712" t="str">
            <v>B Braun Melsungen AG</v>
          </cell>
          <cell r="S712" t="str">
            <v>B Braun Medical Supplies Sdn. Bhd.</v>
          </cell>
          <cell r="T712" t="str">
            <v>Functioning</v>
          </cell>
          <cell r="U712" t="str">
            <v>Asset</v>
          </cell>
          <cell r="V712">
            <v>10825</v>
          </cell>
          <cell r="W712" t="str">
            <v>KEW</v>
          </cell>
          <cell r="X712" t="str">
            <v>01/09/2010</v>
          </cell>
          <cell r="Y712" t="str">
            <v>KEW</v>
          </cell>
          <cell r="Z712" t="str">
            <v>16/08/2013</v>
          </cell>
          <cell r="AA712" t="str">
            <v>15/08/2015</v>
          </cell>
          <cell r="AB712" t="str">
            <v>No</v>
          </cell>
          <cell r="AC712" t="str">
            <v>31/08/2013</v>
          </cell>
          <cell r="AD712" t="str">
            <v>Good</v>
          </cell>
          <cell r="AE712" t="str">
            <v>V1 - Existing / No Claim</v>
          </cell>
          <cell r="AF712">
            <v>42235</v>
          </cell>
          <cell r="AG712">
            <v>9.17</v>
          </cell>
          <cell r="AH712" t="str">
            <v>PPM</v>
          </cell>
          <cell r="AI712" t="str">
            <v>Strands</v>
          </cell>
          <cell r="AJ712" t="str">
            <v>Strands PW</v>
          </cell>
        </row>
        <row r="713">
          <cell r="A713" t="str">
            <v>IKN400236</v>
          </cell>
          <cell r="B713">
            <v>236</v>
          </cell>
          <cell r="C713" t="str">
            <v>Institut Kanser Negara</v>
          </cell>
          <cell r="D713" t="str">
            <v>KKM/IKN/H/13/2528</v>
          </cell>
          <cell r="E713" t="str">
            <v>16-231</v>
          </cell>
          <cell r="F713" t="str">
            <v>Electrocardiographs, Multichannel, Interpretative</v>
          </cell>
          <cell r="G713" t="str">
            <v>WG</v>
          </cell>
          <cell r="H713" t="str">
            <v>RT/ONCO WARD 1 (M)</v>
          </cell>
          <cell r="I713" t="str">
            <v>08WG107</v>
          </cell>
          <cell r="J713" t="str">
            <v>TREATMENT / PROCEDURE</v>
          </cell>
          <cell r="K713" t="str">
            <v>BMED</v>
          </cell>
          <cell r="L713" t="str">
            <v>Normal</v>
          </cell>
          <cell r="M713" t="str">
            <v>China</v>
          </cell>
          <cell r="N713" t="str">
            <v>Mac</v>
          </cell>
          <cell r="O713" t="str">
            <v>MAC 800</v>
          </cell>
          <cell r="P713" t="str">
            <v>SJ412450375WA</v>
          </cell>
          <cell r="Q713" t="str">
            <v>Not Applicable</v>
          </cell>
          <cell r="R713" t="str">
            <v>GE Healthcare Systems</v>
          </cell>
          <cell r="S713" t="str">
            <v>GE Healthcare Technologies</v>
          </cell>
          <cell r="T713" t="str">
            <v>Functioning</v>
          </cell>
          <cell r="U713" t="str">
            <v>Asset</v>
          </cell>
          <cell r="V713">
            <v>25260</v>
          </cell>
          <cell r="W713" t="str">
            <v>KEW</v>
          </cell>
          <cell r="X713" t="str">
            <v>01/09/2010</v>
          </cell>
          <cell r="Y713" t="str">
            <v>KEW</v>
          </cell>
          <cell r="Z713" t="str">
            <v>16/08/2013</v>
          </cell>
          <cell r="AA713" t="str">
            <v>15/08/2015</v>
          </cell>
          <cell r="AB713" t="str">
            <v>No</v>
          </cell>
          <cell r="AC713" t="str">
            <v>31/08/2013</v>
          </cell>
          <cell r="AD713" t="str">
            <v>Good</v>
          </cell>
          <cell r="AE713" t="str">
            <v>V1 - Existing / No Claim</v>
          </cell>
          <cell r="AF713">
            <v>42235</v>
          </cell>
          <cell r="AG713">
            <v>9.17</v>
          </cell>
          <cell r="AH713" t="str">
            <v>PPM</v>
          </cell>
          <cell r="AI713" t="str">
            <v>Strands</v>
          </cell>
          <cell r="AJ713" t="str">
            <v>Strands PW</v>
          </cell>
        </row>
        <row r="714">
          <cell r="A714" t="str">
            <v>IKN400237</v>
          </cell>
          <cell r="B714">
            <v>237</v>
          </cell>
          <cell r="C714" t="str">
            <v>Institut Kanser Negara</v>
          </cell>
          <cell r="D714" t="str">
            <v>KKM/IKN/H/13/2536</v>
          </cell>
          <cell r="E714" t="str">
            <v>10-208</v>
          </cell>
          <cell r="F714" t="str">
            <v>Aspirators</v>
          </cell>
          <cell r="G714" t="str">
            <v>WG</v>
          </cell>
          <cell r="H714" t="str">
            <v>RT/ONCO WARD 1 (M)</v>
          </cell>
          <cell r="I714" t="str">
            <v>08WG107</v>
          </cell>
          <cell r="J714" t="str">
            <v>TREATMENT / PROCEDURE</v>
          </cell>
          <cell r="K714" t="str">
            <v>BMED</v>
          </cell>
          <cell r="L714" t="str">
            <v>Critical</v>
          </cell>
          <cell r="M714" t="str">
            <v>Switzerland</v>
          </cell>
          <cell r="N714" t="str">
            <v>Senator</v>
          </cell>
          <cell r="O714" t="str">
            <v>Senator</v>
          </cell>
          <cell r="P714" t="str">
            <v>1220753</v>
          </cell>
          <cell r="Q714" t="str">
            <v>Not Applicable</v>
          </cell>
          <cell r="R714" t="str">
            <v>Ardo Medical AG</v>
          </cell>
          <cell r="S714" t="str">
            <v>Histopoint</v>
          </cell>
          <cell r="T714" t="str">
            <v>Functioning</v>
          </cell>
          <cell r="U714" t="str">
            <v>Asset</v>
          </cell>
          <cell r="V714">
            <v>5052</v>
          </cell>
          <cell r="W714" t="str">
            <v>KEW</v>
          </cell>
          <cell r="X714" t="str">
            <v>01/09/2010</v>
          </cell>
          <cell r="Y714" t="str">
            <v>KEW</v>
          </cell>
          <cell r="Z714" t="str">
            <v>16/08/2013</v>
          </cell>
          <cell r="AA714" t="str">
            <v>15/08/2015</v>
          </cell>
          <cell r="AB714" t="str">
            <v>No</v>
          </cell>
          <cell r="AC714" t="str">
            <v>31/08/2013</v>
          </cell>
          <cell r="AD714" t="str">
            <v>Good</v>
          </cell>
          <cell r="AE714" t="str">
            <v>V1 - Existing / No Claim</v>
          </cell>
          <cell r="AF714">
            <v>42789</v>
          </cell>
          <cell r="AG714">
            <v>9.17</v>
          </cell>
          <cell r="AH714" t="str">
            <v>PPM</v>
          </cell>
          <cell r="AI714" t="str">
            <v>Strands</v>
          </cell>
          <cell r="AJ714" t="str">
            <v>Strands PW</v>
          </cell>
        </row>
        <row r="715">
          <cell r="A715" t="str">
            <v>IKN400241</v>
          </cell>
          <cell r="B715">
            <v>241</v>
          </cell>
          <cell r="C715" t="str">
            <v>Institut Kanser Negara</v>
          </cell>
          <cell r="D715" t="str">
            <v>KKM/IKN/H/13/2555</v>
          </cell>
          <cell r="E715" t="str">
            <v>12-282</v>
          </cell>
          <cell r="F715" t="str">
            <v>Lights, Surgical</v>
          </cell>
          <cell r="G715" t="str">
            <v>WG</v>
          </cell>
          <cell r="H715" t="str">
            <v>RT/ONCO WARD 1 (M)</v>
          </cell>
          <cell r="I715" t="str">
            <v>08WG113</v>
          </cell>
          <cell r="J715" t="str">
            <v>EQUIPMENT ROOM</v>
          </cell>
          <cell r="K715" t="str">
            <v>BMED</v>
          </cell>
          <cell r="L715" t="str">
            <v>Critical</v>
          </cell>
          <cell r="M715" t="str">
            <v>USA</v>
          </cell>
          <cell r="N715" t="str">
            <v>Welch Allyn</v>
          </cell>
          <cell r="O715" t="str">
            <v>Welch Allyn GS600</v>
          </cell>
          <cell r="P715" t="str">
            <v>GS-600-40</v>
          </cell>
          <cell r="Q715" t="str">
            <v>Not Applicable</v>
          </cell>
          <cell r="R715" t="str">
            <v>Welch Allyn Inc</v>
          </cell>
          <cell r="S715" t="str">
            <v>Welch Allyn Malaysia Sdn Bhd</v>
          </cell>
          <cell r="T715" t="str">
            <v>Functioning</v>
          </cell>
          <cell r="U715" t="str">
            <v>Asset</v>
          </cell>
          <cell r="V715">
            <v>5050</v>
          </cell>
          <cell r="W715" t="str">
            <v>KEW</v>
          </cell>
          <cell r="X715" t="str">
            <v>01/09/2010</v>
          </cell>
          <cell r="Y715" t="str">
            <v>KEW</v>
          </cell>
          <cell r="Z715" t="str">
            <v>16/08/2013</v>
          </cell>
          <cell r="AA715" t="str">
            <v>15/08/2015</v>
          </cell>
          <cell r="AB715" t="str">
            <v>No</v>
          </cell>
          <cell r="AC715" t="str">
            <v>31/08/2013</v>
          </cell>
          <cell r="AD715" t="str">
            <v>Good</v>
          </cell>
          <cell r="AE715" t="str">
            <v>V1 - Existing / No Claim</v>
          </cell>
          <cell r="AF715">
            <v>42789</v>
          </cell>
          <cell r="AG715">
            <v>9.17</v>
          </cell>
          <cell r="AH715" t="str">
            <v>PPM</v>
          </cell>
          <cell r="AI715" t="str">
            <v>Strands</v>
          </cell>
          <cell r="AJ715" t="str">
            <v>Strands PW</v>
          </cell>
        </row>
        <row r="716">
          <cell r="A716" t="str">
            <v>IKN400242</v>
          </cell>
          <cell r="B716">
            <v>242</v>
          </cell>
          <cell r="C716" t="str">
            <v>Institut Kanser Negara</v>
          </cell>
          <cell r="D716" t="str">
            <v>KKM/IKN/H/13/2552</v>
          </cell>
          <cell r="E716" t="str">
            <v>15-045</v>
          </cell>
          <cell r="F716" t="str">
            <v>Nebulizers, Nonheated</v>
          </cell>
          <cell r="G716" t="str">
            <v>WG</v>
          </cell>
          <cell r="H716" t="str">
            <v>RT/ONCO WARD 1 (M)</v>
          </cell>
          <cell r="I716" t="str">
            <v>08WG113</v>
          </cell>
          <cell r="J716" t="str">
            <v>EQUIPMENT ROOM</v>
          </cell>
          <cell r="K716" t="str">
            <v>BMED</v>
          </cell>
          <cell r="L716" t="str">
            <v>Normal</v>
          </cell>
          <cell r="M716" t="str">
            <v>Germany</v>
          </cell>
          <cell r="N716" t="str">
            <v>Pari Boy</v>
          </cell>
          <cell r="O716" t="str">
            <v>Pari Boy SX 085</v>
          </cell>
          <cell r="P716" t="str">
            <v>2W12F13761</v>
          </cell>
          <cell r="Q716" t="str">
            <v>Not Applicable</v>
          </cell>
          <cell r="R716" t="str">
            <v>Pari GmbH</v>
          </cell>
          <cell r="S716" t="str">
            <v>Welch Allyn Malaysia Sdn Bhd</v>
          </cell>
          <cell r="T716" t="str">
            <v>Functioning</v>
          </cell>
          <cell r="U716" t="str">
            <v>Asset</v>
          </cell>
          <cell r="V716">
            <v>1140</v>
          </cell>
          <cell r="W716" t="str">
            <v>KEW</v>
          </cell>
          <cell r="X716" t="str">
            <v>01/09/2010</v>
          </cell>
          <cell r="Y716" t="str">
            <v>KEW</v>
          </cell>
          <cell r="Z716" t="str">
            <v>16/08/2013</v>
          </cell>
          <cell r="AA716" t="str">
            <v>15/08/2015</v>
          </cell>
          <cell r="AB716" t="str">
            <v>No</v>
          </cell>
          <cell r="AC716" t="str">
            <v>31/08/2013</v>
          </cell>
          <cell r="AD716" t="str">
            <v>Good</v>
          </cell>
          <cell r="AE716" t="str">
            <v>V1 - Existing / No Claim</v>
          </cell>
          <cell r="AF716">
            <v>42789</v>
          </cell>
          <cell r="AG716">
            <v>9.17</v>
          </cell>
          <cell r="AH716" t="str">
            <v>PPM</v>
          </cell>
          <cell r="AI716" t="str">
            <v>Strands</v>
          </cell>
          <cell r="AJ716" t="str">
            <v>Strands PW</v>
          </cell>
        </row>
        <row r="717">
          <cell r="A717" t="str">
            <v>IKN400243</v>
          </cell>
          <cell r="B717">
            <v>243</v>
          </cell>
          <cell r="C717" t="str">
            <v>Institut Kanser Negara</v>
          </cell>
          <cell r="D717" t="str">
            <v>KKM/IKN/H/13/2549</v>
          </cell>
          <cell r="E717" t="str">
            <v>15-045</v>
          </cell>
          <cell r="F717" t="str">
            <v>Nebulizers, Nonheated</v>
          </cell>
          <cell r="G717" t="str">
            <v>WG</v>
          </cell>
          <cell r="H717" t="str">
            <v>RT/ONCO WARD 1 (M)</v>
          </cell>
          <cell r="I717" t="str">
            <v>08WG113</v>
          </cell>
          <cell r="J717" t="str">
            <v>EQUIPMENT ROOM</v>
          </cell>
          <cell r="K717" t="str">
            <v>BMED</v>
          </cell>
          <cell r="L717" t="str">
            <v>Normal</v>
          </cell>
          <cell r="M717" t="str">
            <v>Germany</v>
          </cell>
          <cell r="N717" t="str">
            <v>Pari Boy</v>
          </cell>
          <cell r="O717" t="str">
            <v>Pari Boy SX 085</v>
          </cell>
          <cell r="P717" t="str">
            <v>2W12K14116</v>
          </cell>
          <cell r="Q717" t="str">
            <v>Not Applicable</v>
          </cell>
          <cell r="R717" t="str">
            <v>Pari GmbH</v>
          </cell>
          <cell r="S717" t="str">
            <v>Welch Allyn Malaysia Sdn Bhd</v>
          </cell>
          <cell r="T717" t="str">
            <v>Functioning</v>
          </cell>
          <cell r="U717" t="str">
            <v>Asset</v>
          </cell>
          <cell r="V717">
            <v>1140</v>
          </cell>
          <cell r="W717" t="str">
            <v>KEW</v>
          </cell>
          <cell r="X717" t="str">
            <v>01/09/2010</v>
          </cell>
          <cell r="Y717" t="str">
            <v>KEW</v>
          </cell>
          <cell r="Z717" t="str">
            <v>16/08/2013</v>
          </cell>
          <cell r="AA717" t="str">
            <v>15/08/2015</v>
          </cell>
          <cell r="AB717" t="str">
            <v>No</v>
          </cell>
          <cell r="AC717" t="str">
            <v>31/08/2013</v>
          </cell>
          <cell r="AD717" t="str">
            <v>Good</v>
          </cell>
          <cell r="AE717" t="str">
            <v>V1 - Existing / No Claim</v>
          </cell>
          <cell r="AF717">
            <v>42789</v>
          </cell>
          <cell r="AG717">
            <v>9.17</v>
          </cell>
          <cell r="AH717" t="str">
            <v>PPM</v>
          </cell>
          <cell r="AI717" t="str">
            <v>Strands</v>
          </cell>
          <cell r="AJ717" t="str">
            <v>Strands PW</v>
          </cell>
        </row>
        <row r="718">
          <cell r="A718" t="str">
            <v>IKN400244</v>
          </cell>
          <cell r="B718">
            <v>244</v>
          </cell>
          <cell r="C718" t="str">
            <v>Institut Kanser Negara</v>
          </cell>
          <cell r="D718" t="str">
            <v>KKM/IKN/H/13/2523</v>
          </cell>
          <cell r="E718" t="str">
            <v>13-217</v>
          </cell>
          <cell r="F718" t="str">
            <v>Infusion Pumps, Syringe</v>
          </cell>
          <cell r="G718" t="str">
            <v>WG</v>
          </cell>
          <cell r="H718" t="str">
            <v>RT/ONCO WARD 1 (M)</v>
          </cell>
          <cell r="I718" t="str">
            <v>08WG113</v>
          </cell>
          <cell r="J718" t="str">
            <v>EQUIPMENT ROOM</v>
          </cell>
          <cell r="K718" t="str">
            <v>BMED</v>
          </cell>
          <cell r="L718" t="str">
            <v>Critical</v>
          </cell>
          <cell r="M718" t="str">
            <v>Germany</v>
          </cell>
          <cell r="N718" t="str">
            <v>Perfusor</v>
          </cell>
          <cell r="O718" t="str">
            <v>Perfusor Space</v>
          </cell>
          <cell r="P718" t="str">
            <v>186599</v>
          </cell>
          <cell r="Q718" t="str">
            <v>Not Applicable</v>
          </cell>
          <cell r="R718" t="str">
            <v>B Braun Melsungen AG</v>
          </cell>
          <cell r="S718" t="str">
            <v>B Braun Medical Supplies Sdn. Bhd.</v>
          </cell>
          <cell r="T718" t="str">
            <v>Functioning</v>
          </cell>
          <cell r="U718" t="str">
            <v>Asset</v>
          </cell>
          <cell r="V718">
            <v>10225</v>
          </cell>
          <cell r="W718" t="str">
            <v>KEW</v>
          </cell>
          <cell r="X718" t="str">
            <v>01/09/2010</v>
          </cell>
          <cell r="Y718" t="str">
            <v>KEW</v>
          </cell>
          <cell r="Z718" t="str">
            <v>16/08/2013</v>
          </cell>
          <cell r="AA718" t="str">
            <v>15/08/2015</v>
          </cell>
          <cell r="AB718" t="str">
            <v>No</v>
          </cell>
          <cell r="AC718" t="str">
            <v>31/08/2013</v>
          </cell>
          <cell r="AD718" t="str">
            <v>Good</v>
          </cell>
          <cell r="AE718" t="str">
            <v>V1 - Existing / No Claim</v>
          </cell>
          <cell r="AF718">
            <v>42789</v>
          </cell>
          <cell r="AG718">
            <v>9.17</v>
          </cell>
          <cell r="AH718" t="str">
            <v>PPM</v>
          </cell>
          <cell r="AI718" t="str">
            <v>Strands</v>
          </cell>
          <cell r="AJ718" t="str">
            <v>Strands PW</v>
          </cell>
        </row>
        <row r="719">
          <cell r="A719" t="str">
            <v>IKN400245</v>
          </cell>
          <cell r="B719">
            <v>245</v>
          </cell>
          <cell r="C719" t="str">
            <v>Institut Kanser Negara</v>
          </cell>
          <cell r="D719" t="str">
            <v>KKM/IKN/H/13/2526</v>
          </cell>
          <cell r="E719" t="str">
            <v>13-217</v>
          </cell>
          <cell r="F719" t="str">
            <v>Infusion Pumps, Syringe</v>
          </cell>
          <cell r="G719" t="str">
            <v>WG</v>
          </cell>
          <cell r="H719" t="str">
            <v>RT/ONCO WARD 1 (M)</v>
          </cell>
          <cell r="I719" t="str">
            <v>08WG113</v>
          </cell>
          <cell r="J719" t="str">
            <v>EQUIPMENT ROOM</v>
          </cell>
          <cell r="K719" t="str">
            <v>BMED</v>
          </cell>
          <cell r="L719" t="str">
            <v>Critical</v>
          </cell>
          <cell r="M719" t="str">
            <v>Germany</v>
          </cell>
          <cell r="N719" t="str">
            <v>Perfusor</v>
          </cell>
          <cell r="O719" t="str">
            <v>Perfusor Space</v>
          </cell>
          <cell r="P719" t="str">
            <v>186996</v>
          </cell>
          <cell r="Q719" t="str">
            <v>Not Applicable</v>
          </cell>
          <cell r="R719" t="str">
            <v>B Braun Melsungen AG</v>
          </cell>
          <cell r="S719" t="str">
            <v>B Braun Medical Supplies Sdn. Bhd.</v>
          </cell>
          <cell r="T719" t="str">
            <v>Functioning</v>
          </cell>
          <cell r="U719" t="str">
            <v>Asset</v>
          </cell>
          <cell r="V719">
            <v>10225</v>
          </cell>
          <cell r="W719" t="str">
            <v>KEW</v>
          </cell>
          <cell r="X719" t="str">
            <v>01/09/2010</v>
          </cell>
          <cell r="Y719" t="str">
            <v>KEW</v>
          </cell>
          <cell r="Z719" t="str">
            <v>16/08/2013</v>
          </cell>
          <cell r="AA719" t="str">
            <v>15/08/2015</v>
          </cell>
          <cell r="AB719" t="str">
            <v>No</v>
          </cell>
          <cell r="AC719" t="str">
            <v>31/08/2013</v>
          </cell>
          <cell r="AD719" t="str">
            <v>Good</v>
          </cell>
          <cell r="AE719" t="str">
            <v>V1 - Existing / No Claim</v>
          </cell>
          <cell r="AF719">
            <v>42789</v>
          </cell>
          <cell r="AG719">
            <v>9.17</v>
          </cell>
          <cell r="AH719" t="str">
            <v>PPM</v>
          </cell>
          <cell r="AI719" t="str">
            <v>Strands</v>
          </cell>
          <cell r="AJ719" t="str">
            <v>Strands PW</v>
          </cell>
        </row>
        <row r="720">
          <cell r="A720" t="str">
            <v>IKN400246</v>
          </cell>
          <cell r="B720">
            <v>246</v>
          </cell>
          <cell r="C720" t="str">
            <v>Institut Kanser Negara</v>
          </cell>
          <cell r="D720" t="str">
            <v>KKM/IKN/H/13/2495</v>
          </cell>
          <cell r="E720" t="str">
            <v>13-215</v>
          </cell>
          <cell r="F720" t="str">
            <v>Infusion Pumps, General-Purpose</v>
          </cell>
          <cell r="G720" t="str">
            <v>WG</v>
          </cell>
          <cell r="H720" t="str">
            <v>RT/ONCO WARD 1 (M)</v>
          </cell>
          <cell r="I720" t="str">
            <v>08WG113</v>
          </cell>
          <cell r="J720" t="str">
            <v>EQUIPMENT ROOM</v>
          </cell>
          <cell r="K720" t="str">
            <v>BMED</v>
          </cell>
          <cell r="L720" t="str">
            <v>Critical</v>
          </cell>
          <cell r="M720" t="str">
            <v>Germany</v>
          </cell>
          <cell r="N720" t="str">
            <v>Infusomat</v>
          </cell>
          <cell r="O720" t="str">
            <v>Infusomat Space</v>
          </cell>
          <cell r="P720" t="str">
            <v>212041</v>
          </cell>
          <cell r="Q720" t="str">
            <v>Not Applicable</v>
          </cell>
          <cell r="R720" t="str">
            <v>B Braun Melsungen AG</v>
          </cell>
          <cell r="S720" t="str">
            <v>B Braun Medical Supplies Sdn. Bhd.</v>
          </cell>
          <cell r="T720" t="str">
            <v>Functioning</v>
          </cell>
          <cell r="U720" t="str">
            <v>Asset</v>
          </cell>
          <cell r="V720">
            <v>10825</v>
          </cell>
          <cell r="W720" t="str">
            <v>KEW</v>
          </cell>
          <cell r="X720" t="str">
            <v>01/09/2010</v>
          </cell>
          <cell r="Y720" t="str">
            <v>KEW</v>
          </cell>
          <cell r="Z720" t="str">
            <v>16/08/2013</v>
          </cell>
          <cell r="AA720" t="str">
            <v>15/08/2015</v>
          </cell>
          <cell r="AB720" t="str">
            <v>No</v>
          </cell>
          <cell r="AC720" t="str">
            <v>31/08/2013</v>
          </cell>
          <cell r="AD720" t="str">
            <v>Good</v>
          </cell>
          <cell r="AE720" t="str">
            <v>V1 - Existing / No Claim</v>
          </cell>
          <cell r="AF720">
            <v>42789</v>
          </cell>
          <cell r="AG720">
            <v>9.17</v>
          </cell>
          <cell r="AH720" t="str">
            <v>PPM</v>
          </cell>
          <cell r="AI720" t="str">
            <v>Strands</v>
          </cell>
          <cell r="AJ720" t="str">
            <v>Strands PW</v>
          </cell>
        </row>
        <row r="721">
          <cell r="A721" t="str">
            <v>IKN400247</v>
          </cell>
          <cell r="B721">
            <v>247</v>
          </cell>
          <cell r="C721" t="str">
            <v>Institut Kanser Negara</v>
          </cell>
          <cell r="D721" t="str">
            <v>KKM/IKN/H/13/2499</v>
          </cell>
          <cell r="E721" t="str">
            <v>13-215</v>
          </cell>
          <cell r="F721" t="str">
            <v>Infusion Pumps, General-Purpose</v>
          </cell>
          <cell r="G721" t="str">
            <v>WG</v>
          </cell>
          <cell r="H721" t="str">
            <v>RT/ONCO WARD 1 (M)</v>
          </cell>
          <cell r="I721" t="str">
            <v>08WG113</v>
          </cell>
          <cell r="J721" t="str">
            <v>EQUIPMENT ROOM</v>
          </cell>
          <cell r="K721" t="str">
            <v>BMED</v>
          </cell>
          <cell r="L721" t="str">
            <v>Critical</v>
          </cell>
          <cell r="M721" t="str">
            <v>Germany</v>
          </cell>
          <cell r="N721" t="str">
            <v>Infusomat</v>
          </cell>
          <cell r="O721" t="str">
            <v>Infusomat Space</v>
          </cell>
          <cell r="P721" t="str">
            <v>212089</v>
          </cell>
          <cell r="Q721" t="str">
            <v>Not Applicable</v>
          </cell>
          <cell r="R721" t="str">
            <v>B Braun Melsungen AG</v>
          </cell>
          <cell r="S721" t="str">
            <v>B Braun Medical Supplies Sdn. Bhd.</v>
          </cell>
          <cell r="T721" t="str">
            <v>Functioning</v>
          </cell>
          <cell r="U721" t="str">
            <v>Asset</v>
          </cell>
          <cell r="V721">
            <v>10825</v>
          </cell>
          <cell r="W721" t="str">
            <v>KEW</v>
          </cell>
          <cell r="X721" t="str">
            <v>01/09/2010</v>
          </cell>
          <cell r="Y721" t="str">
            <v>KEW</v>
          </cell>
          <cell r="Z721" t="str">
            <v>16/08/2013</v>
          </cell>
          <cell r="AA721" t="str">
            <v>15/08/2015</v>
          </cell>
          <cell r="AB721" t="str">
            <v>No</v>
          </cell>
          <cell r="AC721" t="str">
            <v>31/08/2013</v>
          </cell>
          <cell r="AD721" t="str">
            <v>Good</v>
          </cell>
          <cell r="AE721" t="str">
            <v>V1 - Existing / No Claim</v>
          </cell>
          <cell r="AF721">
            <v>42789</v>
          </cell>
          <cell r="AG721">
            <v>9.17</v>
          </cell>
          <cell r="AH721" t="str">
            <v>PPM</v>
          </cell>
          <cell r="AI721" t="str">
            <v>Strands</v>
          </cell>
          <cell r="AJ721" t="str">
            <v>Strands PW</v>
          </cell>
        </row>
        <row r="722">
          <cell r="A722" t="str">
            <v>IKN400248</v>
          </cell>
          <cell r="B722">
            <v>248</v>
          </cell>
          <cell r="C722" t="str">
            <v>Institut Kanser Negara</v>
          </cell>
          <cell r="D722" t="str">
            <v>KKM/IKN/H/13/2502</v>
          </cell>
          <cell r="E722" t="str">
            <v>13-215</v>
          </cell>
          <cell r="F722" t="str">
            <v>Infusion Pumps, General-Purpose</v>
          </cell>
          <cell r="G722" t="str">
            <v>WG</v>
          </cell>
          <cell r="H722" t="str">
            <v>RT/ONCO WARD 1 (M)</v>
          </cell>
          <cell r="I722" t="str">
            <v>08WG113</v>
          </cell>
          <cell r="J722" t="str">
            <v>EQUIPMENT ROOM</v>
          </cell>
          <cell r="K722" t="str">
            <v>BMED</v>
          </cell>
          <cell r="L722" t="str">
            <v>Critical</v>
          </cell>
          <cell r="M722" t="str">
            <v>Germany</v>
          </cell>
          <cell r="N722" t="str">
            <v>Infusomat</v>
          </cell>
          <cell r="O722" t="str">
            <v>Infusomat Space</v>
          </cell>
          <cell r="P722" t="str">
            <v>212101</v>
          </cell>
          <cell r="Q722" t="str">
            <v>Not Applicable</v>
          </cell>
          <cell r="R722" t="str">
            <v>B Braun Melsungen AG</v>
          </cell>
          <cell r="S722" t="str">
            <v>B Braun Medical Supplies Sdn. Bhd.</v>
          </cell>
          <cell r="T722" t="str">
            <v>Functioning</v>
          </cell>
          <cell r="U722" t="str">
            <v>Asset</v>
          </cell>
          <cell r="V722">
            <v>10825</v>
          </cell>
          <cell r="W722" t="str">
            <v>KEW</v>
          </cell>
          <cell r="X722" t="str">
            <v>01/09/2010</v>
          </cell>
          <cell r="Y722" t="str">
            <v>KEW</v>
          </cell>
          <cell r="Z722" t="str">
            <v>16/08/2013</v>
          </cell>
          <cell r="AA722" t="str">
            <v>15/08/2015</v>
          </cell>
          <cell r="AB722" t="str">
            <v>No</v>
          </cell>
          <cell r="AC722" t="str">
            <v>31/08/2013</v>
          </cell>
          <cell r="AD722" t="str">
            <v>Good</v>
          </cell>
          <cell r="AE722" t="str">
            <v>V1 - Existing / No Claim</v>
          </cell>
          <cell r="AF722">
            <v>42789</v>
          </cell>
          <cell r="AG722">
            <v>9.17</v>
          </cell>
          <cell r="AH722" t="str">
            <v>PPM</v>
          </cell>
          <cell r="AI722" t="str">
            <v>Strands</v>
          </cell>
          <cell r="AJ722" t="str">
            <v>Strands PW</v>
          </cell>
        </row>
        <row r="723">
          <cell r="A723" t="str">
            <v>IKN400249</v>
          </cell>
          <cell r="B723">
            <v>249</v>
          </cell>
          <cell r="C723" t="str">
            <v>Institut Kanser Negara</v>
          </cell>
          <cell r="D723" t="str">
            <v>KKM/IKN/H/13/2506</v>
          </cell>
          <cell r="E723" t="str">
            <v>13-215</v>
          </cell>
          <cell r="F723" t="str">
            <v>Infusion Pumps, General-Purpose</v>
          </cell>
          <cell r="G723" t="str">
            <v>WG</v>
          </cell>
          <cell r="H723" t="str">
            <v>RT/ONCO WARD 1 (M)</v>
          </cell>
          <cell r="I723" t="str">
            <v>08WG113</v>
          </cell>
          <cell r="J723" t="str">
            <v>EQUIPMENT ROOM</v>
          </cell>
          <cell r="K723" t="str">
            <v>BMED</v>
          </cell>
          <cell r="L723" t="str">
            <v>Critical</v>
          </cell>
          <cell r="M723" t="str">
            <v>Germany</v>
          </cell>
          <cell r="N723" t="str">
            <v>Infusomat</v>
          </cell>
          <cell r="O723" t="str">
            <v>Infusomat Space</v>
          </cell>
          <cell r="P723">
            <v>211943</v>
          </cell>
          <cell r="Q723" t="str">
            <v>Not Applicable</v>
          </cell>
          <cell r="R723" t="str">
            <v>B Braun Melsungen AG</v>
          </cell>
          <cell r="S723" t="str">
            <v>B Braun Medical Supplies Sdn. Bhd.</v>
          </cell>
          <cell r="T723" t="str">
            <v>Functioning</v>
          </cell>
          <cell r="U723" t="str">
            <v>Asset</v>
          </cell>
          <cell r="V723">
            <v>10825</v>
          </cell>
          <cell r="W723" t="str">
            <v>KEW</v>
          </cell>
          <cell r="X723" t="str">
            <v>01/09/2010</v>
          </cell>
          <cell r="Y723" t="str">
            <v>KEW</v>
          </cell>
          <cell r="Z723" t="str">
            <v>16/08/2013</v>
          </cell>
          <cell r="AA723" t="str">
            <v>15/08/2015</v>
          </cell>
          <cell r="AB723" t="str">
            <v>No</v>
          </cell>
          <cell r="AC723" t="str">
            <v>31/08/2013</v>
          </cell>
          <cell r="AD723" t="str">
            <v>Good</v>
          </cell>
          <cell r="AE723" t="str">
            <v>V1 - Existing / No Claim</v>
          </cell>
          <cell r="AF723">
            <v>42789</v>
          </cell>
          <cell r="AG723">
            <v>9.17</v>
          </cell>
          <cell r="AH723" t="str">
            <v>PPM</v>
          </cell>
          <cell r="AI723" t="str">
            <v>Strands</v>
          </cell>
          <cell r="AJ723" t="str">
            <v>Strands PW</v>
          </cell>
        </row>
        <row r="724">
          <cell r="A724" t="str">
            <v>IKN400250</v>
          </cell>
          <cell r="B724">
            <v>250</v>
          </cell>
          <cell r="C724" t="str">
            <v>Institut Kanser Negara</v>
          </cell>
          <cell r="D724" t="str">
            <v>KKM/IKN/H/13/2508</v>
          </cell>
          <cell r="E724" t="str">
            <v>13-215</v>
          </cell>
          <cell r="F724" t="str">
            <v>Infusion Pumps, General-Purpose</v>
          </cell>
          <cell r="G724" t="str">
            <v>WG</v>
          </cell>
          <cell r="H724" t="str">
            <v>RT/ONCO WARD 1 (M)</v>
          </cell>
          <cell r="I724" t="str">
            <v>08WG113</v>
          </cell>
          <cell r="J724" t="str">
            <v>EQUIPMENT ROOM</v>
          </cell>
          <cell r="K724" t="str">
            <v>BMED</v>
          </cell>
          <cell r="L724" t="str">
            <v>Critical</v>
          </cell>
          <cell r="M724" t="str">
            <v>Germany</v>
          </cell>
          <cell r="N724" t="str">
            <v>Infusomat</v>
          </cell>
          <cell r="O724" t="str">
            <v>Infusomat Space</v>
          </cell>
          <cell r="P724" t="str">
            <v>211900</v>
          </cell>
          <cell r="Q724" t="str">
            <v>Not Applicable</v>
          </cell>
          <cell r="R724" t="str">
            <v>B Braun Melsungen AG</v>
          </cell>
          <cell r="S724" t="str">
            <v>B Braun Medical Supplies Sdn. Bhd.</v>
          </cell>
          <cell r="T724" t="str">
            <v>Functioning</v>
          </cell>
          <cell r="U724" t="str">
            <v>Asset</v>
          </cell>
          <cell r="V724">
            <v>10825</v>
          </cell>
          <cell r="W724" t="str">
            <v>KEW</v>
          </cell>
          <cell r="X724" t="str">
            <v>01/09/2010</v>
          </cell>
          <cell r="Y724" t="str">
            <v>KEW</v>
          </cell>
          <cell r="Z724" t="str">
            <v>16/08/2013</v>
          </cell>
          <cell r="AA724" t="str">
            <v>15/08/2015</v>
          </cell>
          <cell r="AB724" t="str">
            <v>No</v>
          </cell>
          <cell r="AC724" t="str">
            <v>31/08/2013</v>
          </cell>
          <cell r="AD724" t="str">
            <v>Good</v>
          </cell>
          <cell r="AE724" t="str">
            <v>V1 - Existing / No Claim</v>
          </cell>
          <cell r="AF724">
            <v>42789</v>
          </cell>
          <cell r="AG724">
            <v>9.17</v>
          </cell>
          <cell r="AH724" t="str">
            <v>PPM</v>
          </cell>
          <cell r="AI724" t="str">
            <v>Strands</v>
          </cell>
          <cell r="AJ724" t="str">
            <v>Strands PW</v>
          </cell>
        </row>
        <row r="725">
          <cell r="A725" t="str">
            <v>IKN400251</v>
          </cell>
          <cell r="B725">
            <v>251</v>
          </cell>
          <cell r="C725" t="str">
            <v>Institut Kanser Negara</v>
          </cell>
          <cell r="D725" t="str">
            <v>KKM/IKN/H/13/2510</v>
          </cell>
          <cell r="E725" t="str">
            <v>13-215</v>
          </cell>
          <cell r="F725" t="str">
            <v>Infusion Pumps, General-Purpose</v>
          </cell>
          <cell r="G725" t="str">
            <v>WG</v>
          </cell>
          <cell r="H725" t="str">
            <v>RT/ONCO WARD 1 (M)</v>
          </cell>
          <cell r="I725" t="str">
            <v>08WG113</v>
          </cell>
          <cell r="J725" t="str">
            <v>EQUIPMENT ROOM</v>
          </cell>
          <cell r="K725" t="str">
            <v>BMED</v>
          </cell>
          <cell r="L725" t="str">
            <v>Critical</v>
          </cell>
          <cell r="M725" t="str">
            <v>Germany</v>
          </cell>
          <cell r="N725" t="str">
            <v>Infusomat</v>
          </cell>
          <cell r="O725" t="str">
            <v>Infusomat Space</v>
          </cell>
          <cell r="P725" t="str">
            <v>211912</v>
          </cell>
          <cell r="Q725" t="str">
            <v>Not Applicable</v>
          </cell>
          <cell r="R725" t="str">
            <v>B Braun Melsungen AG</v>
          </cell>
          <cell r="S725" t="str">
            <v>B Braun Medical Supplies Sdn. Bhd.</v>
          </cell>
          <cell r="T725" t="str">
            <v>Functioning</v>
          </cell>
          <cell r="U725" t="str">
            <v>Asset</v>
          </cell>
          <cell r="V725">
            <v>10825</v>
          </cell>
          <cell r="W725" t="str">
            <v>KEW</v>
          </cell>
          <cell r="X725" t="str">
            <v>01/09/2010</v>
          </cell>
          <cell r="Y725" t="str">
            <v>KEW</v>
          </cell>
          <cell r="Z725" t="str">
            <v>16/08/2013</v>
          </cell>
          <cell r="AA725" t="str">
            <v>15/08/2015</v>
          </cell>
          <cell r="AB725" t="str">
            <v>No</v>
          </cell>
          <cell r="AC725" t="str">
            <v>31/08/2013</v>
          </cell>
          <cell r="AD725" t="str">
            <v>Good</v>
          </cell>
          <cell r="AE725" t="str">
            <v>V1 - Existing / No Claim</v>
          </cell>
          <cell r="AF725">
            <v>42789</v>
          </cell>
          <cell r="AG725">
            <v>9.17</v>
          </cell>
          <cell r="AH725" t="str">
            <v>PPM</v>
          </cell>
          <cell r="AI725" t="str">
            <v>Strands</v>
          </cell>
          <cell r="AJ725" t="str">
            <v>Strands PW</v>
          </cell>
        </row>
        <row r="726">
          <cell r="A726" t="str">
            <v>IKN400252</v>
          </cell>
          <cell r="B726">
            <v>252</v>
          </cell>
          <cell r="C726" t="str">
            <v>Institut Kanser Negara</v>
          </cell>
          <cell r="D726" t="str">
            <v>KKM/IKN/H/13/2513</v>
          </cell>
          <cell r="E726" t="str">
            <v>13-215</v>
          </cell>
          <cell r="F726" t="str">
            <v>Infusion Pumps, General-Purpose</v>
          </cell>
          <cell r="G726" t="str">
            <v>WG</v>
          </cell>
          <cell r="H726" t="str">
            <v>RT/ONCO WARD 1 (M)</v>
          </cell>
          <cell r="I726" t="str">
            <v>08WG113</v>
          </cell>
          <cell r="J726" t="str">
            <v>EQUIPMENT ROOM</v>
          </cell>
          <cell r="K726" t="str">
            <v>BMED</v>
          </cell>
          <cell r="L726" t="str">
            <v>Normal</v>
          </cell>
          <cell r="M726" t="str">
            <v>Germany</v>
          </cell>
          <cell r="N726" t="str">
            <v>Infusomat</v>
          </cell>
          <cell r="O726" t="str">
            <v>Infusomat Space</v>
          </cell>
          <cell r="P726" t="str">
            <v>212083</v>
          </cell>
          <cell r="Q726" t="str">
            <v>Not Applicable</v>
          </cell>
          <cell r="R726" t="str">
            <v>B Braun Melsungen AG</v>
          </cell>
          <cell r="S726" t="str">
            <v>B Braun Medical Supplies Sdn. Bhd.</v>
          </cell>
          <cell r="T726" t="str">
            <v>Functioning</v>
          </cell>
          <cell r="U726" t="str">
            <v>Asset</v>
          </cell>
          <cell r="V726">
            <v>10825</v>
          </cell>
          <cell r="W726" t="str">
            <v>KEW</v>
          </cell>
          <cell r="X726" t="str">
            <v>01/09/2010</v>
          </cell>
          <cell r="Y726" t="str">
            <v>KEW</v>
          </cell>
          <cell r="Z726" t="str">
            <v>16/08/2013</v>
          </cell>
          <cell r="AA726" t="str">
            <v>15/08/2015</v>
          </cell>
          <cell r="AB726" t="str">
            <v>No</v>
          </cell>
          <cell r="AC726" t="str">
            <v>31/08/2013</v>
          </cell>
          <cell r="AD726" t="str">
            <v>Good</v>
          </cell>
          <cell r="AE726" t="str">
            <v>V1 - Existing / No Claim</v>
          </cell>
          <cell r="AF726">
            <v>42235</v>
          </cell>
          <cell r="AG726">
            <v>9.17</v>
          </cell>
          <cell r="AH726" t="str">
            <v>PPM</v>
          </cell>
          <cell r="AI726" t="str">
            <v>Strands</v>
          </cell>
          <cell r="AJ726" t="str">
            <v>Strands PW</v>
          </cell>
        </row>
        <row r="727">
          <cell r="A727" t="str">
            <v>IKN400253</v>
          </cell>
          <cell r="B727">
            <v>253</v>
          </cell>
          <cell r="C727" t="str">
            <v>Institut Kanser Negara</v>
          </cell>
          <cell r="D727" t="str">
            <v>KKM/IKN/H/13/2516</v>
          </cell>
          <cell r="E727" t="str">
            <v>13-215</v>
          </cell>
          <cell r="F727" t="str">
            <v>Infusion Pumps, General-Purpose</v>
          </cell>
          <cell r="G727" t="str">
            <v>WG</v>
          </cell>
          <cell r="H727" t="str">
            <v>RT/ONCO WARD 1 (M)</v>
          </cell>
          <cell r="I727" t="str">
            <v>08WG113</v>
          </cell>
          <cell r="J727" t="str">
            <v>EQUIPMENT ROOM</v>
          </cell>
          <cell r="K727" t="str">
            <v>BMED</v>
          </cell>
          <cell r="L727" t="str">
            <v>Critical</v>
          </cell>
          <cell r="M727" t="str">
            <v>Germany</v>
          </cell>
          <cell r="N727" t="str">
            <v>Infusomat</v>
          </cell>
          <cell r="O727" t="str">
            <v>Infusomat Space</v>
          </cell>
          <cell r="P727" t="str">
            <v>211897</v>
          </cell>
          <cell r="Q727" t="str">
            <v>Not Applicable</v>
          </cell>
          <cell r="R727" t="str">
            <v>B Braun Melsungen AG</v>
          </cell>
          <cell r="S727" t="str">
            <v>B Braun Medical Supplies Sdn. Bhd.</v>
          </cell>
          <cell r="T727" t="str">
            <v>Functioning</v>
          </cell>
          <cell r="U727" t="str">
            <v>Asset</v>
          </cell>
          <cell r="V727">
            <v>10825</v>
          </cell>
          <cell r="W727" t="str">
            <v>KEW</v>
          </cell>
          <cell r="X727" t="str">
            <v>01/09/2010</v>
          </cell>
          <cell r="Y727" t="str">
            <v>KEW</v>
          </cell>
          <cell r="Z727" t="str">
            <v>16/08/2013</v>
          </cell>
          <cell r="AA727" t="str">
            <v>15/08/2015</v>
          </cell>
          <cell r="AB727" t="str">
            <v>No</v>
          </cell>
          <cell r="AC727" t="str">
            <v>31/08/2013</v>
          </cell>
          <cell r="AD727" t="str">
            <v>Good</v>
          </cell>
          <cell r="AE727" t="str">
            <v>V1 - Existing / No Claim</v>
          </cell>
          <cell r="AF727">
            <v>42789</v>
          </cell>
          <cell r="AG727">
            <v>9.17</v>
          </cell>
          <cell r="AH727" t="str">
            <v>PPM</v>
          </cell>
          <cell r="AI727" t="str">
            <v>Strands</v>
          </cell>
          <cell r="AJ727" t="str">
            <v>Strands PW</v>
          </cell>
        </row>
        <row r="728">
          <cell r="A728" t="str">
            <v>IKN400254</v>
          </cell>
          <cell r="B728">
            <v>254</v>
          </cell>
          <cell r="C728" t="str">
            <v>Institut Kanser Negara</v>
          </cell>
          <cell r="D728" t="str">
            <v>KKM/IKN/H/13/2520</v>
          </cell>
          <cell r="E728" t="str">
            <v>13-215</v>
          </cell>
          <cell r="F728" t="str">
            <v>Infusion Pumps, General-Purpose</v>
          </cell>
          <cell r="G728" t="str">
            <v>WG</v>
          </cell>
          <cell r="H728" t="str">
            <v>RT/ONCO WARD 1 (M)</v>
          </cell>
          <cell r="I728" t="str">
            <v>08WG113</v>
          </cell>
          <cell r="J728" t="str">
            <v>EQUIPMENT ROOM</v>
          </cell>
          <cell r="K728" t="str">
            <v>BMED</v>
          </cell>
          <cell r="L728" t="str">
            <v>Critical</v>
          </cell>
          <cell r="M728" t="str">
            <v>Germany</v>
          </cell>
          <cell r="N728" t="str">
            <v>Infusomat</v>
          </cell>
          <cell r="O728" t="str">
            <v>Infusomat Space</v>
          </cell>
          <cell r="P728" t="str">
            <v>211834</v>
          </cell>
          <cell r="Q728" t="str">
            <v>Not Applicable</v>
          </cell>
          <cell r="R728" t="str">
            <v>B Braun Melsungen AG</v>
          </cell>
          <cell r="S728" t="str">
            <v>B Braun Medical Supplies Sdn. Bhd.</v>
          </cell>
          <cell r="T728" t="str">
            <v>Functioning</v>
          </cell>
          <cell r="U728" t="str">
            <v>Asset</v>
          </cell>
          <cell r="V728">
            <v>10825</v>
          </cell>
          <cell r="W728" t="str">
            <v>KEW</v>
          </cell>
          <cell r="X728" t="str">
            <v>01/09/2010</v>
          </cell>
          <cell r="Y728" t="str">
            <v>KEW</v>
          </cell>
          <cell r="Z728" t="str">
            <v>16/08/2013</v>
          </cell>
          <cell r="AA728" t="str">
            <v>15/08/2015</v>
          </cell>
          <cell r="AB728" t="str">
            <v>No</v>
          </cell>
          <cell r="AC728" t="str">
            <v>31/08/2013</v>
          </cell>
          <cell r="AD728" t="str">
            <v>Good</v>
          </cell>
          <cell r="AE728" t="str">
            <v>V1 - Existing / No Claim</v>
          </cell>
          <cell r="AF728">
            <v>42789</v>
          </cell>
          <cell r="AG728">
            <v>9.17</v>
          </cell>
          <cell r="AH728" t="str">
            <v>PPM</v>
          </cell>
          <cell r="AI728" t="str">
            <v>Strands</v>
          </cell>
          <cell r="AJ728" t="str">
            <v>Strands PW</v>
          </cell>
        </row>
        <row r="729">
          <cell r="A729" t="str">
            <v>IKN400255</v>
          </cell>
          <cell r="B729">
            <v>255</v>
          </cell>
          <cell r="C729" t="str">
            <v>Institut Kanser Negara</v>
          </cell>
          <cell r="D729" t="str">
            <v>KKM/IKN/H/13/2522</v>
          </cell>
          <cell r="E729" t="str">
            <v>13-215</v>
          </cell>
          <cell r="F729" t="str">
            <v>Infusion Pumps, General-Purpose</v>
          </cell>
          <cell r="G729" t="str">
            <v>WG</v>
          </cell>
          <cell r="H729" t="str">
            <v>RT/ONCO WARD 1 (M)</v>
          </cell>
          <cell r="I729" t="str">
            <v>08WG113</v>
          </cell>
          <cell r="J729" t="str">
            <v>EQUIPMENT ROOM</v>
          </cell>
          <cell r="K729" t="str">
            <v>BMED</v>
          </cell>
          <cell r="L729" t="str">
            <v>Critical</v>
          </cell>
          <cell r="M729" t="str">
            <v>Germany</v>
          </cell>
          <cell r="N729" t="str">
            <v>Infusomat</v>
          </cell>
          <cell r="O729" t="str">
            <v>Infusomat Space</v>
          </cell>
          <cell r="P729" t="str">
            <v>211549</v>
          </cell>
          <cell r="Q729" t="str">
            <v>Not Applicable</v>
          </cell>
          <cell r="R729" t="str">
            <v>B Braun Melsungen AG</v>
          </cell>
          <cell r="S729" t="str">
            <v>B Braun Medical Supplies Sdn. Bhd.</v>
          </cell>
          <cell r="T729" t="str">
            <v>Functioning</v>
          </cell>
          <cell r="U729" t="str">
            <v>Asset</v>
          </cell>
          <cell r="V729">
            <v>10825</v>
          </cell>
          <cell r="W729" t="str">
            <v>KEW</v>
          </cell>
          <cell r="X729" t="str">
            <v>01/09/2010</v>
          </cell>
          <cell r="Y729" t="str">
            <v>KEW</v>
          </cell>
          <cell r="Z729" t="str">
            <v>16/08/2013</v>
          </cell>
          <cell r="AA729" t="str">
            <v>15/08/2015</v>
          </cell>
          <cell r="AB729" t="str">
            <v>No</v>
          </cell>
          <cell r="AC729" t="str">
            <v>31/08/2013</v>
          </cell>
          <cell r="AD729" t="str">
            <v>Good</v>
          </cell>
          <cell r="AE729" t="str">
            <v>V1 - Existing / No Claim</v>
          </cell>
          <cell r="AF729">
            <v>42789</v>
          </cell>
          <cell r="AG729">
            <v>9.17</v>
          </cell>
          <cell r="AH729" t="str">
            <v>PPM</v>
          </cell>
          <cell r="AI729" t="str">
            <v>Strands</v>
          </cell>
          <cell r="AJ729" t="str">
            <v>Strands PW</v>
          </cell>
        </row>
        <row r="730">
          <cell r="A730" t="str">
            <v>IKN400256</v>
          </cell>
          <cell r="B730">
            <v>256</v>
          </cell>
          <cell r="C730" t="str">
            <v>Institut Kanser Negara</v>
          </cell>
          <cell r="D730" t="str">
            <v>KKM/IKN/H/13/2541</v>
          </cell>
          <cell r="E730" t="str">
            <v>18-147</v>
          </cell>
          <cell r="F730" t="str">
            <v>Mattress Systems, Alternating-Pressure</v>
          </cell>
          <cell r="G730" t="str">
            <v>WG</v>
          </cell>
          <cell r="H730" t="str">
            <v>RT/ONCO WARD 1 (M)</v>
          </cell>
          <cell r="I730" t="str">
            <v>08WG113</v>
          </cell>
          <cell r="J730" t="str">
            <v>EQUIPMENT ROOM</v>
          </cell>
          <cell r="K730" t="str">
            <v>BMED</v>
          </cell>
          <cell r="L730" t="str">
            <v>Normal</v>
          </cell>
          <cell r="M730" t="str">
            <v>Poland</v>
          </cell>
          <cell r="N730" t="str">
            <v>Nimbus</v>
          </cell>
          <cell r="O730" t="str">
            <v>Nimbus 3</v>
          </cell>
          <cell r="P730" t="str">
            <v>1200006475</v>
          </cell>
          <cell r="Q730" t="str">
            <v>Not Applicable</v>
          </cell>
          <cell r="R730" t="str">
            <v>Arjohuntleigh</v>
          </cell>
          <cell r="S730" t="str">
            <v>Hexamine Sdn. Bhd.</v>
          </cell>
          <cell r="T730" t="str">
            <v>Functioning</v>
          </cell>
          <cell r="U730" t="str">
            <v>Asset</v>
          </cell>
          <cell r="V730">
            <v>28630</v>
          </cell>
          <cell r="W730" t="str">
            <v>KEW</v>
          </cell>
          <cell r="X730" t="str">
            <v>01/09/2010</v>
          </cell>
          <cell r="Y730" t="str">
            <v>KEW</v>
          </cell>
          <cell r="Z730" t="str">
            <v>16/08/2013</v>
          </cell>
          <cell r="AA730" t="str">
            <v>15/08/2015</v>
          </cell>
          <cell r="AB730" t="str">
            <v>No</v>
          </cell>
          <cell r="AC730" t="str">
            <v>31/08/2013</v>
          </cell>
          <cell r="AD730" t="str">
            <v>Good</v>
          </cell>
          <cell r="AE730" t="str">
            <v>V1 - Existing / No Claim</v>
          </cell>
          <cell r="AF730">
            <v>42789</v>
          </cell>
          <cell r="AG730">
            <v>9.17</v>
          </cell>
          <cell r="AH730" t="str">
            <v>PPM</v>
          </cell>
          <cell r="AI730" t="str">
            <v>Strands</v>
          </cell>
          <cell r="AJ730" t="str">
            <v>Strands PW</v>
          </cell>
        </row>
        <row r="731">
          <cell r="A731" t="str">
            <v>IKN400257</v>
          </cell>
          <cell r="B731">
            <v>257</v>
          </cell>
          <cell r="C731" t="str">
            <v>Institut Kanser Negara</v>
          </cell>
          <cell r="D731" t="str">
            <v>KKM/IKN/H/13/2542</v>
          </cell>
          <cell r="E731" t="str">
            <v>18-147</v>
          </cell>
          <cell r="F731" t="str">
            <v>Mattress Systems, Alternating-Pressure</v>
          </cell>
          <cell r="G731" t="str">
            <v>WG</v>
          </cell>
          <cell r="H731" t="str">
            <v>RT/ONCO WARD 1 (M)</v>
          </cell>
          <cell r="I731" t="str">
            <v>08WG113</v>
          </cell>
          <cell r="J731" t="str">
            <v>EQUIPMENT ROOM</v>
          </cell>
          <cell r="K731" t="str">
            <v>BMED</v>
          </cell>
          <cell r="L731" t="str">
            <v>Normal</v>
          </cell>
          <cell r="M731" t="str">
            <v>Poland</v>
          </cell>
          <cell r="N731" t="str">
            <v>Nimbus</v>
          </cell>
          <cell r="O731" t="str">
            <v>Nimbus 3</v>
          </cell>
          <cell r="P731" t="str">
            <v>1200005109</v>
          </cell>
          <cell r="Q731" t="str">
            <v>Not Applicable</v>
          </cell>
          <cell r="R731" t="str">
            <v>Arjohuntleigh</v>
          </cell>
          <cell r="S731" t="str">
            <v>Hexamine Sdn. Bhd.</v>
          </cell>
          <cell r="T731" t="str">
            <v>Functioning</v>
          </cell>
          <cell r="U731" t="str">
            <v>Asset</v>
          </cell>
          <cell r="V731">
            <v>28630</v>
          </cell>
          <cell r="W731" t="str">
            <v>KEW</v>
          </cell>
          <cell r="X731" t="str">
            <v>01/09/2010</v>
          </cell>
          <cell r="Y731" t="str">
            <v>KEW</v>
          </cell>
          <cell r="Z731" t="str">
            <v>16/08/2013</v>
          </cell>
          <cell r="AA731" t="str">
            <v>15/08/2015</v>
          </cell>
          <cell r="AB731" t="str">
            <v>No</v>
          </cell>
          <cell r="AC731" t="str">
            <v>31/08/2013</v>
          </cell>
          <cell r="AD731" t="str">
            <v>Good</v>
          </cell>
          <cell r="AE731" t="str">
            <v>V1 - Existing / No Claim</v>
          </cell>
          <cell r="AF731">
            <v>42789</v>
          </cell>
          <cell r="AG731">
            <v>9.17</v>
          </cell>
          <cell r="AH731" t="str">
            <v>PPM</v>
          </cell>
          <cell r="AI731" t="str">
            <v>Strands</v>
          </cell>
          <cell r="AJ731" t="str">
            <v>Strands PW</v>
          </cell>
        </row>
        <row r="732">
          <cell r="A732" t="str">
            <v>IKN400258</v>
          </cell>
          <cell r="B732">
            <v>258</v>
          </cell>
          <cell r="C732" t="str">
            <v>Institut Kanser Negara</v>
          </cell>
          <cell r="D732" t="str">
            <v>KKM/IKN/H/13/2544</v>
          </cell>
          <cell r="E732" t="str">
            <v>18-147</v>
          </cell>
          <cell r="F732" t="str">
            <v>Mattress Systems, Alternating-Pressure</v>
          </cell>
          <cell r="G732" t="str">
            <v>WG</v>
          </cell>
          <cell r="H732" t="str">
            <v>RT/ONCO WARD 1 (M)</v>
          </cell>
          <cell r="I732" t="str">
            <v>08WG113</v>
          </cell>
          <cell r="J732" t="str">
            <v>EQUIPMENT ROOM</v>
          </cell>
          <cell r="K732" t="str">
            <v>BMED</v>
          </cell>
          <cell r="L732" t="str">
            <v>Normal</v>
          </cell>
          <cell r="M732" t="str">
            <v>Poland</v>
          </cell>
          <cell r="N732" t="str">
            <v>Nimbus</v>
          </cell>
          <cell r="O732" t="str">
            <v>Nimbus 3</v>
          </cell>
          <cell r="P732" t="str">
            <v>1200006455</v>
          </cell>
          <cell r="Q732" t="str">
            <v>Not Applicable</v>
          </cell>
          <cell r="R732" t="str">
            <v>Arjohuntleigh</v>
          </cell>
          <cell r="S732" t="str">
            <v>Hexamine Sdn. Bhd.</v>
          </cell>
          <cell r="T732" t="str">
            <v>Functioning</v>
          </cell>
          <cell r="U732" t="str">
            <v>Asset</v>
          </cell>
          <cell r="V732">
            <v>28630</v>
          </cell>
          <cell r="W732" t="str">
            <v>KEW</v>
          </cell>
          <cell r="X732" t="str">
            <v>01/09/2010</v>
          </cell>
          <cell r="Y732" t="str">
            <v>KEW</v>
          </cell>
          <cell r="Z732" t="str">
            <v>16/08/2013</v>
          </cell>
          <cell r="AA732" t="str">
            <v>15/08/2015</v>
          </cell>
          <cell r="AB732" t="str">
            <v>No</v>
          </cell>
          <cell r="AC732" t="str">
            <v>31/08/2013</v>
          </cell>
          <cell r="AD732" t="str">
            <v>Good</v>
          </cell>
          <cell r="AE732" t="str">
            <v>V1 - Existing / No Claim</v>
          </cell>
          <cell r="AF732">
            <v>42789</v>
          </cell>
          <cell r="AG732">
            <v>9.17</v>
          </cell>
          <cell r="AH732" t="str">
            <v>PPM</v>
          </cell>
          <cell r="AI732" t="str">
            <v>Strands</v>
          </cell>
          <cell r="AJ732" t="str">
            <v>Strands PW</v>
          </cell>
        </row>
        <row r="733">
          <cell r="A733" t="str">
            <v>IKN400259</v>
          </cell>
          <cell r="B733">
            <v>259</v>
          </cell>
          <cell r="C733" t="str">
            <v>Institut Kanser Negara</v>
          </cell>
          <cell r="D733" t="str">
            <v>KKM/IKN/H/13/2545</v>
          </cell>
          <cell r="E733" t="str">
            <v>18-147</v>
          </cell>
          <cell r="F733" t="str">
            <v>Mattress Systems, Alternating-Pressure</v>
          </cell>
          <cell r="G733" t="str">
            <v>WG</v>
          </cell>
          <cell r="H733" t="str">
            <v>RT/ONCO WARD 1 (M)</v>
          </cell>
          <cell r="I733" t="str">
            <v>08WG113</v>
          </cell>
          <cell r="J733" t="str">
            <v>EQUIPMENT ROOM</v>
          </cell>
          <cell r="K733" t="str">
            <v>BMED</v>
          </cell>
          <cell r="L733" t="str">
            <v>Normal</v>
          </cell>
          <cell r="M733" t="str">
            <v>Poland</v>
          </cell>
          <cell r="N733" t="str">
            <v>Nimbus</v>
          </cell>
          <cell r="O733" t="str">
            <v>Nimbus 3</v>
          </cell>
          <cell r="P733" t="str">
            <v>1200006468</v>
          </cell>
          <cell r="Q733" t="str">
            <v>Not Applicable</v>
          </cell>
          <cell r="R733" t="str">
            <v>Arjohuntleigh</v>
          </cell>
          <cell r="S733" t="str">
            <v>Hexamine Sdn. Bhd.</v>
          </cell>
          <cell r="T733" t="str">
            <v>Functioning</v>
          </cell>
          <cell r="U733" t="str">
            <v>Asset</v>
          </cell>
          <cell r="V733">
            <v>28630</v>
          </cell>
          <cell r="W733" t="str">
            <v>KEW</v>
          </cell>
          <cell r="X733" t="str">
            <v>01/09/2010</v>
          </cell>
          <cell r="Y733" t="str">
            <v>KEW</v>
          </cell>
          <cell r="Z733" t="str">
            <v>16/08/2013</v>
          </cell>
          <cell r="AA733" t="str">
            <v>15/08/2015</v>
          </cell>
          <cell r="AB733" t="str">
            <v>No</v>
          </cell>
          <cell r="AC733" t="str">
            <v>31/08/2013</v>
          </cell>
          <cell r="AD733" t="str">
            <v>Good</v>
          </cell>
          <cell r="AE733" t="str">
            <v>V1 - Existing / No Claim</v>
          </cell>
          <cell r="AF733">
            <v>42789</v>
          </cell>
          <cell r="AG733">
            <v>9.17</v>
          </cell>
          <cell r="AH733" t="str">
            <v>PPM</v>
          </cell>
          <cell r="AI733" t="str">
            <v>Strands</v>
          </cell>
          <cell r="AJ733" t="str">
            <v>Strands PW</v>
          </cell>
        </row>
        <row r="734">
          <cell r="A734" t="str">
            <v>IKN400260</v>
          </cell>
          <cell r="B734">
            <v>260</v>
          </cell>
          <cell r="C734" t="str">
            <v>Institut Kanser Negara</v>
          </cell>
          <cell r="D734" t="str">
            <v>KKM/IKN/H/13/2546</v>
          </cell>
          <cell r="E734" t="str">
            <v>18-147</v>
          </cell>
          <cell r="F734" t="str">
            <v>Mattress Systems, Alternating-Pressure</v>
          </cell>
          <cell r="G734" t="str">
            <v>WG</v>
          </cell>
          <cell r="H734" t="str">
            <v>RT/ONCO WARD 1 (M)</v>
          </cell>
          <cell r="I734" t="str">
            <v>08WG113</v>
          </cell>
          <cell r="J734" t="str">
            <v>EQUIPMENT ROOM</v>
          </cell>
          <cell r="K734" t="str">
            <v>BMED</v>
          </cell>
          <cell r="L734" t="str">
            <v>Normal</v>
          </cell>
          <cell r="M734" t="str">
            <v>Poland</v>
          </cell>
          <cell r="N734" t="str">
            <v>Nimbus</v>
          </cell>
          <cell r="O734" t="str">
            <v>Nimbus 3</v>
          </cell>
          <cell r="P734" t="str">
            <v>1200006476</v>
          </cell>
          <cell r="Q734" t="str">
            <v>Not Applicable</v>
          </cell>
          <cell r="R734" t="str">
            <v>Arjohuntleigh</v>
          </cell>
          <cell r="S734" t="str">
            <v>Hexamine Sdn. Bhd.</v>
          </cell>
          <cell r="T734" t="str">
            <v>Functioning</v>
          </cell>
          <cell r="U734" t="str">
            <v>Asset</v>
          </cell>
          <cell r="V734">
            <v>28630</v>
          </cell>
          <cell r="W734" t="str">
            <v>KEW</v>
          </cell>
          <cell r="X734" t="str">
            <v>01/09/2010</v>
          </cell>
          <cell r="Y734" t="str">
            <v>KEW</v>
          </cell>
          <cell r="Z734" t="str">
            <v>16/08/2013</v>
          </cell>
          <cell r="AA734" t="str">
            <v>15/08/2015</v>
          </cell>
          <cell r="AB734" t="str">
            <v>No</v>
          </cell>
          <cell r="AC734" t="str">
            <v>31/08/2013</v>
          </cell>
          <cell r="AD734" t="str">
            <v>Good</v>
          </cell>
          <cell r="AE734" t="str">
            <v>V1 - Existing / No Claim</v>
          </cell>
          <cell r="AF734">
            <v>42789</v>
          </cell>
          <cell r="AG734">
            <v>9.17</v>
          </cell>
          <cell r="AH734" t="str">
            <v>PPM</v>
          </cell>
          <cell r="AI734" t="str">
            <v>Strands</v>
          </cell>
          <cell r="AJ734" t="str">
            <v>Strands PW</v>
          </cell>
        </row>
        <row r="735">
          <cell r="A735" t="str">
            <v>IKN400261</v>
          </cell>
          <cell r="B735">
            <v>261</v>
          </cell>
          <cell r="C735" t="str">
            <v>Institut Kanser Negara</v>
          </cell>
          <cell r="D735" t="str">
            <v>KKM/IKN/H/13/2547</v>
          </cell>
          <cell r="E735" t="str">
            <v>18-147</v>
          </cell>
          <cell r="F735" t="str">
            <v>Mattress Systems, Alternating-Pressure</v>
          </cell>
          <cell r="G735" t="str">
            <v>WG</v>
          </cell>
          <cell r="H735" t="str">
            <v>RT/ONCO WARD 1 (M)</v>
          </cell>
          <cell r="I735" t="str">
            <v>08WG113</v>
          </cell>
          <cell r="J735" t="str">
            <v>EQUIPMENT ROOM</v>
          </cell>
          <cell r="K735" t="str">
            <v>BMED</v>
          </cell>
          <cell r="L735" t="str">
            <v>Normal</v>
          </cell>
          <cell r="M735" t="str">
            <v>Poland</v>
          </cell>
          <cell r="N735" t="str">
            <v>Nimbus</v>
          </cell>
          <cell r="O735" t="str">
            <v>Nimbus 3</v>
          </cell>
          <cell r="P735" t="str">
            <v>1200010689</v>
          </cell>
          <cell r="Q735" t="str">
            <v>Not Applicable</v>
          </cell>
          <cell r="R735" t="str">
            <v>Arjohuntleigh</v>
          </cell>
          <cell r="S735" t="str">
            <v>Hexamine Sdn. Bhd.</v>
          </cell>
          <cell r="T735" t="str">
            <v>Functioning</v>
          </cell>
          <cell r="U735" t="str">
            <v>Asset</v>
          </cell>
          <cell r="V735">
            <v>28630</v>
          </cell>
          <cell r="W735" t="str">
            <v>KEW</v>
          </cell>
          <cell r="X735" t="str">
            <v>01/09/2010</v>
          </cell>
          <cell r="Y735" t="str">
            <v>KEW</v>
          </cell>
          <cell r="Z735" t="str">
            <v>16/08/2013</v>
          </cell>
          <cell r="AA735" t="str">
            <v>15/08/2015</v>
          </cell>
          <cell r="AB735" t="str">
            <v>No</v>
          </cell>
          <cell r="AC735" t="str">
            <v>31/08/2013</v>
          </cell>
          <cell r="AD735" t="str">
            <v>Good</v>
          </cell>
          <cell r="AE735" t="str">
            <v>V1 - Existing / No Claim</v>
          </cell>
          <cell r="AF735">
            <v>42789</v>
          </cell>
          <cell r="AG735">
            <v>9.17</v>
          </cell>
          <cell r="AH735" t="str">
            <v>PPM</v>
          </cell>
          <cell r="AI735" t="str">
            <v>Strands</v>
          </cell>
          <cell r="AJ735" t="str">
            <v>Strands PW</v>
          </cell>
        </row>
        <row r="736">
          <cell r="A736" t="str">
            <v>IKN400262</v>
          </cell>
          <cell r="B736">
            <v>262</v>
          </cell>
          <cell r="C736" t="str">
            <v>Institut Kanser Negara</v>
          </cell>
          <cell r="D736" t="str">
            <v>KKM/IKN/H/13/2550</v>
          </cell>
          <cell r="E736" t="str">
            <v>17-148</v>
          </cell>
          <cell r="F736" t="str">
            <v>Oximeters, Pulse</v>
          </cell>
          <cell r="G736" t="str">
            <v>WG</v>
          </cell>
          <cell r="H736" t="str">
            <v>RT/ONCO WARD 1 (M)</v>
          </cell>
          <cell r="I736" t="str">
            <v>08WG113</v>
          </cell>
          <cell r="J736" t="str">
            <v>EQUIPMENT ROOM</v>
          </cell>
          <cell r="K736" t="str">
            <v>BMED</v>
          </cell>
          <cell r="L736" t="str">
            <v>Critical</v>
          </cell>
          <cell r="M736" t="str">
            <v>USA</v>
          </cell>
          <cell r="N736" t="str">
            <v>PlamSAT</v>
          </cell>
          <cell r="O736" t="str">
            <v>PalmSAT 2500</v>
          </cell>
          <cell r="P736" t="str">
            <v>501438136</v>
          </cell>
          <cell r="Q736" t="str">
            <v>Not Applicable</v>
          </cell>
          <cell r="R736" t="str">
            <v>Nonin Medical Inc</v>
          </cell>
          <cell r="S736" t="str">
            <v>Acucare Systems (M) Sdn bhd</v>
          </cell>
          <cell r="T736" t="str">
            <v>Functioning</v>
          </cell>
          <cell r="U736" t="str">
            <v>Asset</v>
          </cell>
          <cell r="V736">
            <v>5410</v>
          </cell>
          <cell r="W736" t="str">
            <v>KEW</v>
          </cell>
          <cell r="X736" t="str">
            <v>01/09/2010</v>
          </cell>
          <cell r="Y736" t="str">
            <v>KEW</v>
          </cell>
          <cell r="Z736" t="str">
            <v>16/08/2013</v>
          </cell>
          <cell r="AA736" t="str">
            <v>15/08/2015</v>
          </cell>
          <cell r="AB736" t="str">
            <v>No</v>
          </cell>
          <cell r="AC736" t="str">
            <v>31/08/2013</v>
          </cell>
          <cell r="AD736" t="str">
            <v>Good</v>
          </cell>
          <cell r="AE736" t="str">
            <v>V1 - Existing / No Claim</v>
          </cell>
          <cell r="AF736">
            <v>42789</v>
          </cell>
          <cell r="AG736">
            <v>9.17</v>
          </cell>
          <cell r="AH736" t="str">
            <v>PPM</v>
          </cell>
          <cell r="AI736" t="str">
            <v>Strands</v>
          </cell>
          <cell r="AJ736" t="str">
            <v>Strands PW</v>
          </cell>
        </row>
        <row r="737">
          <cell r="A737" t="str">
            <v>IKN400263</v>
          </cell>
          <cell r="B737">
            <v>263</v>
          </cell>
          <cell r="C737" t="str">
            <v>Institut Kanser Negara</v>
          </cell>
          <cell r="D737" t="str">
            <v>KKM/IKN/H/13/2551</v>
          </cell>
          <cell r="E737" t="str">
            <v>17-148</v>
          </cell>
          <cell r="F737" t="str">
            <v>Oximeters, Pulse</v>
          </cell>
          <cell r="G737" t="str">
            <v>WG</v>
          </cell>
          <cell r="H737" t="str">
            <v>RT/ONCO WARD 1 (M)</v>
          </cell>
          <cell r="I737" t="str">
            <v>08WG113</v>
          </cell>
          <cell r="J737" t="str">
            <v>EQUIPMENT ROOM</v>
          </cell>
          <cell r="K737" t="str">
            <v>BMED</v>
          </cell>
          <cell r="L737" t="str">
            <v>Critical</v>
          </cell>
          <cell r="M737" t="str">
            <v>USA</v>
          </cell>
          <cell r="N737" t="str">
            <v>PlamSAT</v>
          </cell>
          <cell r="O737" t="str">
            <v>PalmSAT 2500</v>
          </cell>
          <cell r="P737" t="str">
            <v>501438133</v>
          </cell>
          <cell r="Q737" t="str">
            <v>Not Applicable</v>
          </cell>
          <cell r="R737" t="str">
            <v>Nonin Medical Inc</v>
          </cell>
          <cell r="S737" t="str">
            <v>Acucare Systems (M) Sdn bhd</v>
          </cell>
          <cell r="T737" t="str">
            <v>Functioning</v>
          </cell>
          <cell r="U737" t="str">
            <v>Asset</v>
          </cell>
          <cell r="V737">
            <v>5410</v>
          </cell>
          <cell r="W737" t="str">
            <v>KEW</v>
          </cell>
          <cell r="X737" t="str">
            <v>01/09/2010</v>
          </cell>
          <cell r="Y737" t="str">
            <v>KEW</v>
          </cell>
          <cell r="Z737" t="str">
            <v>16/08/2013</v>
          </cell>
          <cell r="AA737" t="str">
            <v>15/08/2015</v>
          </cell>
          <cell r="AB737" t="str">
            <v>No</v>
          </cell>
          <cell r="AC737" t="str">
            <v>31/08/2013</v>
          </cell>
          <cell r="AD737" t="str">
            <v>Good</v>
          </cell>
          <cell r="AE737" t="str">
            <v>V1 - Existing / No Claim</v>
          </cell>
          <cell r="AF737">
            <v>42789</v>
          </cell>
          <cell r="AG737">
            <v>9.17</v>
          </cell>
          <cell r="AH737" t="str">
            <v>PPM</v>
          </cell>
          <cell r="AI737" t="str">
            <v>Strands</v>
          </cell>
          <cell r="AJ737" t="str">
            <v>Strands PW</v>
          </cell>
        </row>
        <row r="738">
          <cell r="A738" t="str">
            <v>IKN400264</v>
          </cell>
          <cell r="B738">
            <v>264</v>
          </cell>
          <cell r="C738" t="str">
            <v>Institut Kanser Negara</v>
          </cell>
          <cell r="D738" t="str">
            <v>KKM/IKN/H/13/2538</v>
          </cell>
          <cell r="E738" t="str">
            <v>12-647</v>
          </cell>
          <cell r="F738" t="str">
            <v>Physiologic Monitoring Systems, Acute Care</v>
          </cell>
          <cell r="G738" t="str">
            <v>WG</v>
          </cell>
          <cell r="H738" t="str">
            <v>RT/ONCO WARD 1 (M)</v>
          </cell>
          <cell r="I738" t="str">
            <v>08WG113</v>
          </cell>
          <cell r="J738" t="str">
            <v>EQUIPMENT ROOM</v>
          </cell>
          <cell r="K738" t="str">
            <v>BMED</v>
          </cell>
          <cell r="L738" t="str">
            <v>Critical</v>
          </cell>
          <cell r="M738" t="str">
            <v>USA</v>
          </cell>
          <cell r="N738" t="str">
            <v>GE</v>
          </cell>
          <cell r="O738" t="str">
            <v>GE B30</v>
          </cell>
          <cell r="P738" t="str">
            <v>SF312335926WA</v>
          </cell>
          <cell r="Q738" t="str">
            <v>Not Applicable</v>
          </cell>
          <cell r="R738" t="str">
            <v>GE Healthcare Systems</v>
          </cell>
          <cell r="S738" t="str">
            <v>GE Healthcare Technologies</v>
          </cell>
          <cell r="T738" t="str">
            <v>Functioning</v>
          </cell>
          <cell r="U738" t="str">
            <v>Asset</v>
          </cell>
          <cell r="V738">
            <v>44510</v>
          </cell>
          <cell r="W738" t="str">
            <v>KEW</v>
          </cell>
          <cell r="X738" t="str">
            <v>01/09/2010</v>
          </cell>
          <cell r="Y738" t="str">
            <v>KEW</v>
          </cell>
          <cell r="Z738" t="str">
            <v>16/08/2013</v>
          </cell>
          <cell r="AA738" t="str">
            <v>15/08/2015</v>
          </cell>
          <cell r="AB738" t="str">
            <v>No</v>
          </cell>
          <cell r="AC738" t="str">
            <v>31/08/2013</v>
          </cell>
          <cell r="AD738" t="str">
            <v>Good</v>
          </cell>
          <cell r="AE738" t="str">
            <v>V1 - Existing / No Claim</v>
          </cell>
          <cell r="AF738">
            <v>42789</v>
          </cell>
          <cell r="AG738">
            <v>9.17</v>
          </cell>
          <cell r="AH738" t="str">
            <v>PPM</v>
          </cell>
          <cell r="AI738" t="str">
            <v>Strands</v>
          </cell>
          <cell r="AJ738" t="str">
            <v>Strands PW</v>
          </cell>
        </row>
        <row r="739">
          <cell r="A739" t="str">
            <v>IKN400265</v>
          </cell>
          <cell r="B739">
            <v>265</v>
          </cell>
          <cell r="C739" t="str">
            <v>Institut Kanser Negara</v>
          </cell>
          <cell r="D739" t="str">
            <v>KKM/IKN/H/13/2539</v>
          </cell>
          <cell r="E739" t="str">
            <v>12-647</v>
          </cell>
          <cell r="F739" t="str">
            <v>Physiologic Monitoring Systems, Acute Care</v>
          </cell>
          <cell r="G739" t="str">
            <v>WG</v>
          </cell>
          <cell r="H739" t="str">
            <v>RT/ONCO WARD 1 (M)</v>
          </cell>
          <cell r="I739" t="str">
            <v>08WG113</v>
          </cell>
          <cell r="J739" t="str">
            <v>EQUIPMENT ROOM</v>
          </cell>
          <cell r="K739" t="str">
            <v>BMED</v>
          </cell>
          <cell r="L739" t="str">
            <v>Critical</v>
          </cell>
          <cell r="M739" t="str">
            <v>USA</v>
          </cell>
          <cell r="N739" t="str">
            <v>GE</v>
          </cell>
          <cell r="O739" t="str">
            <v>GE B30</v>
          </cell>
          <cell r="P739" t="str">
            <v>SF312325917WA</v>
          </cell>
          <cell r="Q739" t="str">
            <v>Not Applicable</v>
          </cell>
          <cell r="R739" t="str">
            <v>GE Healthcare Systems</v>
          </cell>
          <cell r="S739" t="str">
            <v>GE Healthcare Technologies</v>
          </cell>
          <cell r="T739" t="str">
            <v>Functioning</v>
          </cell>
          <cell r="U739" t="str">
            <v>Asset</v>
          </cell>
          <cell r="V739">
            <v>44510</v>
          </cell>
          <cell r="W739" t="str">
            <v>KEW</v>
          </cell>
          <cell r="X739" t="str">
            <v>01/09/2010</v>
          </cell>
          <cell r="Y739" t="str">
            <v>KEW</v>
          </cell>
          <cell r="Z739" t="str">
            <v>16/08/2013</v>
          </cell>
          <cell r="AA739" t="str">
            <v>15/08/2015</v>
          </cell>
          <cell r="AB739" t="str">
            <v>No</v>
          </cell>
          <cell r="AC739" t="str">
            <v>31/08/2013</v>
          </cell>
          <cell r="AD739" t="str">
            <v>Good</v>
          </cell>
          <cell r="AE739" t="str">
            <v>V1 - Existing / No Claim</v>
          </cell>
          <cell r="AF739">
            <v>42789</v>
          </cell>
          <cell r="AG739">
            <v>9.17</v>
          </cell>
          <cell r="AH739" t="str">
            <v>PPM</v>
          </cell>
          <cell r="AI739" t="str">
            <v>Strands</v>
          </cell>
          <cell r="AJ739" t="str">
            <v>Strands PW</v>
          </cell>
        </row>
        <row r="740">
          <cell r="A740" t="str">
            <v>IKN400266</v>
          </cell>
          <cell r="B740">
            <v>266</v>
          </cell>
          <cell r="C740" t="str">
            <v>Institut Kanser Negara</v>
          </cell>
          <cell r="D740" t="str">
            <v>KKM/IKN/H/13/3925</v>
          </cell>
          <cell r="E740" t="str">
            <v>11-134</v>
          </cell>
          <cell r="F740" t="str">
            <v>Defibrillators, External, Manual</v>
          </cell>
          <cell r="G740" t="str">
            <v>WG</v>
          </cell>
          <cell r="H740" t="str">
            <v>RT/ONCO WARD 1 (M)</v>
          </cell>
          <cell r="I740" t="str">
            <v>08WG133</v>
          </cell>
          <cell r="J740" t="str">
            <v>RESUS EQ. BAY</v>
          </cell>
          <cell r="K740" t="str">
            <v>BMED</v>
          </cell>
          <cell r="L740" t="str">
            <v>Critical</v>
          </cell>
          <cell r="M740" t="str">
            <v>USA</v>
          </cell>
          <cell r="N740" t="str">
            <v>Responder</v>
          </cell>
          <cell r="O740" t="str">
            <v>Responder 2000</v>
          </cell>
          <cell r="P740" t="str">
            <v>3206732</v>
          </cell>
          <cell r="Q740" t="str">
            <v>Not Applicable</v>
          </cell>
          <cell r="R740" t="str">
            <v>GE Medical Systems</v>
          </cell>
          <cell r="S740" t="str">
            <v>Antah Sir Radin Sdn. Bhd.</v>
          </cell>
          <cell r="T740" t="str">
            <v>Functioning</v>
          </cell>
          <cell r="U740" t="str">
            <v>Asset</v>
          </cell>
          <cell r="V740">
            <v>45000</v>
          </cell>
          <cell r="W740" t="str">
            <v>KEW</v>
          </cell>
          <cell r="X740" t="str">
            <v>01/09/2010</v>
          </cell>
          <cell r="Y740" t="str">
            <v>KEW</v>
          </cell>
          <cell r="Z740" t="str">
            <v>16/08/2013</v>
          </cell>
          <cell r="AA740" t="str">
            <v>15/08/2015</v>
          </cell>
          <cell r="AB740" t="str">
            <v>No</v>
          </cell>
          <cell r="AC740" t="str">
            <v>31/08/2013</v>
          </cell>
          <cell r="AD740" t="str">
            <v>Good</v>
          </cell>
          <cell r="AE740" t="str">
            <v>V3 - Added Installed Facilities (New)</v>
          </cell>
          <cell r="AF740">
            <v>42601</v>
          </cell>
          <cell r="AG740">
            <v>9.17</v>
          </cell>
          <cell r="AH740" t="str">
            <v>PPM</v>
          </cell>
          <cell r="AI740" t="str">
            <v>Strands</v>
          </cell>
          <cell r="AJ740" t="str">
            <v>Strands PW</v>
          </cell>
          <cell r="AK740" t="str">
            <v>SNF received. 1st batch of V3 asset (December 2020)</v>
          </cell>
        </row>
        <row r="741">
          <cell r="A741" t="str">
            <v>IKN400267</v>
          </cell>
          <cell r="B741">
            <v>267</v>
          </cell>
          <cell r="C741" t="str">
            <v>Institut Kanser Negara</v>
          </cell>
          <cell r="D741" t="str">
            <v>KKM/IKN/H/13/2530</v>
          </cell>
          <cell r="E741" t="str">
            <v>16-173</v>
          </cell>
          <cell r="F741" t="str">
            <v>Sphygmomanometers, Electronic, Automatic</v>
          </cell>
          <cell r="G741" t="str">
            <v>WG</v>
          </cell>
          <cell r="H741" t="str">
            <v>RT/ONCO WARD 1 (M)</v>
          </cell>
          <cell r="I741" t="str">
            <v>08WG143</v>
          </cell>
          <cell r="J741" t="str">
            <v>NURSE STATION</v>
          </cell>
          <cell r="K741" t="str">
            <v>BMED</v>
          </cell>
          <cell r="L741" t="str">
            <v>Normal</v>
          </cell>
          <cell r="M741" t="str">
            <v>USA</v>
          </cell>
          <cell r="N741" t="str">
            <v>Connex</v>
          </cell>
          <cell r="O741" t="str">
            <v>Connex ProBP 3400</v>
          </cell>
          <cell r="P741" t="str">
            <v>100001560613</v>
          </cell>
          <cell r="Q741" t="str">
            <v>Not Applicable</v>
          </cell>
          <cell r="R741" t="str">
            <v>Welch Allyn Inc</v>
          </cell>
          <cell r="S741" t="str">
            <v>Welch Allyn Malaysia Sdn Bhd</v>
          </cell>
          <cell r="T741" t="str">
            <v>Functioning</v>
          </cell>
          <cell r="U741" t="str">
            <v>Asset</v>
          </cell>
          <cell r="V741">
            <v>4510</v>
          </cell>
          <cell r="W741" t="str">
            <v>KEW</v>
          </cell>
          <cell r="X741" t="str">
            <v>01/09/2010</v>
          </cell>
          <cell r="Y741" t="str">
            <v>KEW</v>
          </cell>
          <cell r="Z741" t="str">
            <v>16/08/2013</v>
          </cell>
          <cell r="AA741" t="str">
            <v>15/08/2015</v>
          </cell>
          <cell r="AB741" t="str">
            <v>No</v>
          </cell>
          <cell r="AC741" t="str">
            <v>31/08/2013</v>
          </cell>
          <cell r="AD741" t="str">
            <v>Good</v>
          </cell>
          <cell r="AE741" t="str">
            <v>V1 - Existing / No Claim</v>
          </cell>
          <cell r="AF741">
            <v>42235</v>
          </cell>
          <cell r="AG741">
            <v>9.17</v>
          </cell>
          <cell r="AH741" t="str">
            <v>PPM</v>
          </cell>
          <cell r="AI741" t="str">
            <v>Strands</v>
          </cell>
          <cell r="AJ741" t="str">
            <v>Strands PW</v>
          </cell>
        </row>
        <row r="742">
          <cell r="A742" t="str">
            <v>IKN400268</v>
          </cell>
          <cell r="B742">
            <v>268</v>
          </cell>
          <cell r="C742" t="str">
            <v>Institut Kanser Negara</v>
          </cell>
          <cell r="D742" t="str">
            <v>KKM/IKN/H/13/2533</v>
          </cell>
          <cell r="E742" t="str">
            <v>16-173</v>
          </cell>
          <cell r="F742" t="str">
            <v>Sphygmomanometers, Electronic, Automatic</v>
          </cell>
          <cell r="G742" t="str">
            <v>WG</v>
          </cell>
          <cell r="H742" t="str">
            <v>RT/ONCO WARD 1 (M)</v>
          </cell>
          <cell r="I742" t="str">
            <v>08WG143</v>
          </cell>
          <cell r="J742" t="str">
            <v>NURSE STATION</v>
          </cell>
          <cell r="K742" t="str">
            <v>BMED</v>
          </cell>
          <cell r="L742" t="str">
            <v>Normal</v>
          </cell>
          <cell r="M742" t="str">
            <v>USA</v>
          </cell>
          <cell r="N742" t="str">
            <v>Connex</v>
          </cell>
          <cell r="O742" t="str">
            <v>Connex ProBP 3400</v>
          </cell>
          <cell r="P742" t="str">
            <v>100001690613</v>
          </cell>
          <cell r="Q742" t="str">
            <v>Not Applicable</v>
          </cell>
          <cell r="R742" t="str">
            <v>Welch Allyn Inc</v>
          </cell>
          <cell r="S742" t="str">
            <v>Welch Allyn Malaysia Sdn Bhd</v>
          </cell>
          <cell r="T742" t="str">
            <v>Functioning</v>
          </cell>
          <cell r="U742" t="str">
            <v>Asset</v>
          </cell>
          <cell r="V742">
            <v>4510</v>
          </cell>
          <cell r="W742" t="str">
            <v>KEW</v>
          </cell>
          <cell r="X742" t="str">
            <v>01/09/2010</v>
          </cell>
          <cell r="Y742" t="str">
            <v>KEW</v>
          </cell>
          <cell r="Z742" t="str">
            <v>16/08/2013</v>
          </cell>
          <cell r="AA742" t="str">
            <v>15/08/2015</v>
          </cell>
          <cell r="AB742" t="str">
            <v>No</v>
          </cell>
          <cell r="AC742" t="str">
            <v>31/08/2013</v>
          </cell>
          <cell r="AD742" t="str">
            <v>Good</v>
          </cell>
          <cell r="AE742" t="str">
            <v>V1 - Existing / No Claim</v>
          </cell>
          <cell r="AF742">
            <v>42235</v>
          </cell>
          <cell r="AG742">
            <v>9.17</v>
          </cell>
          <cell r="AH742" t="str">
            <v>PPM</v>
          </cell>
          <cell r="AI742" t="str">
            <v>Strands</v>
          </cell>
          <cell r="AJ742" t="str">
            <v>Strands PW</v>
          </cell>
        </row>
        <row r="743">
          <cell r="A743" t="str">
            <v>IKN400269</v>
          </cell>
          <cell r="B743">
            <v>269</v>
          </cell>
          <cell r="C743" t="str">
            <v>Institut Kanser Negara</v>
          </cell>
          <cell r="D743" t="str">
            <v>KKM/IKN/H/13/2556</v>
          </cell>
          <cell r="E743" t="str">
            <v>16-173</v>
          </cell>
          <cell r="F743" t="str">
            <v>Sphygmomanometers, Electronic, Automatic</v>
          </cell>
          <cell r="G743" t="str">
            <v>WG</v>
          </cell>
          <cell r="H743" t="str">
            <v>RT/ONCO WARD 1 (M)</v>
          </cell>
          <cell r="I743" t="str">
            <v>08WG113</v>
          </cell>
          <cell r="J743" t="str">
            <v>EQUIPMENT ROOM</v>
          </cell>
          <cell r="K743" t="str">
            <v>BMED</v>
          </cell>
          <cell r="L743" t="str">
            <v>Critical</v>
          </cell>
          <cell r="M743" t="str">
            <v>Mexico</v>
          </cell>
          <cell r="N743" t="str">
            <v>Carespace</v>
          </cell>
          <cell r="O743" t="str">
            <v>Carescape V100</v>
          </cell>
          <cell r="P743" t="str">
            <v>SH613290575SA</v>
          </cell>
          <cell r="Q743" t="str">
            <v>Not Applicable</v>
          </cell>
          <cell r="R743" t="str">
            <v>GE Healthcare Systems</v>
          </cell>
          <cell r="S743" t="str">
            <v>GE Healthcare Technologies</v>
          </cell>
          <cell r="T743" t="str">
            <v>Functioning</v>
          </cell>
          <cell r="U743" t="str">
            <v>Asset</v>
          </cell>
          <cell r="V743">
            <v>7770</v>
          </cell>
          <cell r="W743" t="str">
            <v>KEW</v>
          </cell>
          <cell r="X743" t="str">
            <v>01/09/2010</v>
          </cell>
          <cell r="Y743" t="str">
            <v>KEW</v>
          </cell>
          <cell r="Z743" t="str">
            <v>16/08/2013</v>
          </cell>
          <cell r="AA743" t="str">
            <v>15/08/2015</v>
          </cell>
          <cell r="AB743" t="str">
            <v>No</v>
          </cell>
          <cell r="AC743" t="str">
            <v>31/08/2013</v>
          </cell>
          <cell r="AD743" t="str">
            <v>Good</v>
          </cell>
          <cell r="AE743" t="str">
            <v>V1 - Existing / No Claim</v>
          </cell>
          <cell r="AF743">
            <v>42789</v>
          </cell>
          <cell r="AG743">
            <v>9.17</v>
          </cell>
          <cell r="AH743" t="str">
            <v>PPM</v>
          </cell>
          <cell r="AI743" t="str">
            <v>Strands</v>
          </cell>
          <cell r="AJ743" t="str">
            <v>Strands PW</v>
          </cell>
        </row>
        <row r="744">
          <cell r="A744" t="str">
            <v>IKN400270</v>
          </cell>
          <cell r="B744">
            <v>270</v>
          </cell>
          <cell r="C744" t="str">
            <v>Institut Kanser Negara</v>
          </cell>
          <cell r="D744" t="str">
            <v>KKM/IKN/H/13/2557</v>
          </cell>
          <cell r="E744" t="str">
            <v>10-208</v>
          </cell>
          <cell r="F744" t="str">
            <v>Aspirators</v>
          </cell>
          <cell r="G744" t="str">
            <v>WG</v>
          </cell>
          <cell r="H744" t="str">
            <v>RT/ONCO WARD 1 (M)</v>
          </cell>
          <cell r="I744" t="str">
            <v>08WG113</v>
          </cell>
          <cell r="J744" t="str">
            <v>EQUIPMENT ROOM</v>
          </cell>
          <cell r="K744" t="str">
            <v>BMED</v>
          </cell>
          <cell r="L744" t="str">
            <v>Critical</v>
          </cell>
          <cell r="M744" t="str">
            <v>UK</v>
          </cell>
          <cell r="N744" t="str">
            <v>SAM</v>
          </cell>
          <cell r="O744" t="str">
            <v>SAM 427</v>
          </cell>
          <cell r="P744" t="str">
            <v>08131705</v>
          </cell>
          <cell r="Q744" t="str">
            <v>Not Applicable</v>
          </cell>
          <cell r="R744" t="str">
            <v>MG Electric Ltd</v>
          </cell>
          <cell r="S744" t="str">
            <v>Delta Medisains</v>
          </cell>
          <cell r="T744" t="str">
            <v>Functioning</v>
          </cell>
          <cell r="U744" t="str">
            <v>Asset</v>
          </cell>
          <cell r="V744">
            <v>10705</v>
          </cell>
          <cell r="W744" t="str">
            <v>KEW</v>
          </cell>
          <cell r="X744" t="str">
            <v>01/09/2010</v>
          </cell>
          <cell r="Y744" t="str">
            <v>KEW</v>
          </cell>
          <cell r="Z744" t="str">
            <v>16/08/2013</v>
          </cell>
          <cell r="AA744" t="str">
            <v>15/08/2015</v>
          </cell>
          <cell r="AB744" t="str">
            <v>No</v>
          </cell>
          <cell r="AC744" t="str">
            <v>31/08/2013</v>
          </cell>
          <cell r="AD744" t="str">
            <v>Good</v>
          </cell>
          <cell r="AE744" t="str">
            <v>V1 - Existing / No Claim</v>
          </cell>
          <cell r="AF744">
            <v>42789</v>
          </cell>
          <cell r="AG744">
            <v>9.17</v>
          </cell>
          <cell r="AH744" t="str">
            <v>PPM</v>
          </cell>
          <cell r="AI744" t="str">
            <v>Strands</v>
          </cell>
          <cell r="AJ744" t="str">
            <v>Strands PW</v>
          </cell>
        </row>
        <row r="745">
          <cell r="A745" t="str">
            <v>IKN400271</v>
          </cell>
          <cell r="B745">
            <v>271</v>
          </cell>
          <cell r="C745" t="str">
            <v>Institut Kanser Negara</v>
          </cell>
          <cell r="D745" t="str">
            <v>KKM/IKN/H/13/2548</v>
          </cell>
          <cell r="E745" t="str">
            <v>15-045</v>
          </cell>
          <cell r="F745" t="str">
            <v>Nebulizers, Nonheated</v>
          </cell>
          <cell r="G745" t="str">
            <v>WG</v>
          </cell>
          <cell r="H745" t="str">
            <v>RT/ONCO WARD 1 (M)</v>
          </cell>
          <cell r="I745" t="str">
            <v>08WG113</v>
          </cell>
          <cell r="J745" t="str">
            <v>EQUIPMENT ROOM</v>
          </cell>
          <cell r="K745" t="str">
            <v>BMED</v>
          </cell>
          <cell r="L745" t="str">
            <v>Normal</v>
          </cell>
          <cell r="M745" t="str">
            <v>Germany</v>
          </cell>
          <cell r="N745" t="str">
            <v>Pari Boy</v>
          </cell>
          <cell r="O745" t="str">
            <v>Pari Boy SX 085</v>
          </cell>
          <cell r="P745" t="str">
            <v>2W12J05974</v>
          </cell>
          <cell r="Q745" t="str">
            <v>Not Applicable</v>
          </cell>
          <cell r="R745" t="str">
            <v>Pari GmbH</v>
          </cell>
          <cell r="S745" t="str">
            <v>Welch Allyn Malaysia Sdn Bhd</v>
          </cell>
          <cell r="T745" t="str">
            <v>Functioning</v>
          </cell>
          <cell r="U745" t="str">
            <v>Asset</v>
          </cell>
          <cell r="V745">
            <v>1140</v>
          </cell>
          <cell r="W745" t="str">
            <v>KEW</v>
          </cell>
          <cell r="X745" t="str">
            <v>01/09/2010</v>
          </cell>
          <cell r="Y745" t="str">
            <v>KEW</v>
          </cell>
          <cell r="Z745" t="str">
            <v>16/08/2013</v>
          </cell>
          <cell r="AA745" t="str">
            <v>15/08/2015</v>
          </cell>
          <cell r="AB745" t="str">
            <v>No</v>
          </cell>
          <cell r="AC745" t="str">
            <v>31/08/2013</v>
          </cell>
          <cell r="AD745" t="str">
            <v>Good</v>
          </cell>
          <cell r="AE745" t="str">
            <v>V1 - Existing / No Claim</v>
          </cell>
          <cell r="AF745">
            <v>42789</v>
          </cell>
          <cell r="AG745">
            <v>9.17</v>
          </cell>
          <cell r="AH745" t="str">
            <v>PPM</v>
          </cell>
          <cell r="AI745" t="str">
            <v>Strands</v>
          </cell>
          <cell r="AJ745" t="str">
            <v>Strands PW</v>
          </cell>
        </row>
        <row r="746">
          <cell r="A746" t="str">
            <v>IKN400276</v>
          </cell>
          <cell r="B746">
            <v>276</v>
          </cell>
          <cell r="C746" t="str">
            <v>Institut Kanser Negara</v>
          </cell>
          <cell r="D746" t="str">
            <v>KKM/IKN/H/13/3192</v>
          </cell>
          <cell r="E746" t="str">
            <v>10-208</v>
          </cell>
          <cell r="F746" t="str">
            <v>Aspirators</v>
          </cell>
          <cell r="G746" t="str">
            <v>WH</v>
          </cell>
          <cell r="H746" t="str">
            <v>RT/ONCO WARD 2 (M)</v>
          </cell>
          <cell r="I746" t="str">
            <v>08WH107</v>
          </cell>
          <cell r="J746" t="str">
            <v>TREATMENT / PROCEDURE</v>
          </cell>
          <cell r="K746" t="str">
            <v>BMED</v>
          </cell>
          <cell r="L746" t="str">
            <v>Critical</v>
          </cell>
          <cell r="M746" t="str">
            <v>Switzerland</v>
          </cell>
          <cell r="N746" t="str">
            <v>Senator</v>
          </cell>
          <cell r="O746" t="str">
            <v>Senator</v>
          </cell>
          <cell r="P746" t="str">
            <v>1220750</v>
          </cell>
          <cell r="Q746" t="str">
            <v>Not Applicable</v>
          </cell>
          <cell r="R746" t="str">
            <v>Ardo Medical AG</v>
          </cell>
          <cell r="S746" t="str">
            <v>Histopoint</v>
          </cell>
          <cell r="T746" t="str">
            <v>Functioning</v>
          </cell>
          <cell r="U746" t="str">
            <v>Asset</v>
          </cell>
          <cell r="V746">
            <v>5052</v>
          </cell>
          <cell r="W746" t="str">
            <v>KEW</v>
          </cell>
          <cell r="X746" t="str">
            <v>01/09/2010</v>
          </cell>
          <cell r="Y746" t="str">
            <v>KEW</v>
          </cell>
          <cell r="Z746" t="str">
            <v>16/08/2013</v>
          </cell>
          <cell r="AA746" t="str">
            <v>15/08/2015</v>
          </cell>
          <cell r="AB746" t="str">
            <v>No</v>
          </cell>
          <cell r="AC746" t="str">
            <v>31/08/2013</v>
          </cell>
          <cell r="AD746" t="str">
            <v>Good</v>
          </cell>
          <cell r="AE746" t="str">
            <v>V1 - Existing / No Claim</v>
          </cell>
          <cell r="AF746">
            <v>42787</v>
          </cell>
          <cell r="AG746">
            <v>9.17</v>
          </cell>
          <cell r="AH746" t="str">
            <v>PPM</v>
          </cell>
          <cell r="AI746" t="str">
            <v>Strands</v>
          </cell>
          <cell r="AJ746" t="str">
            <v>Strands PW</v>
          </cell>
        </row>
        <row r="747">
          <cell r="A747" t="str">
            <v>IKN400277</v>
          </cell>
          <cell r="B747">
            <v>277</v>
          </cell>
          <cell r="C747" t="str">
            <v>Institut Kanser Negara</v>
          </cell>
          <cell r="D747" t="str">
            <v>KKM/IKN/H/13/2375</v>
          </cell>
          <cell r="E747" t="str">
            <v>16-231</v>
          </cell>
          <cell r="F747" t="str">
            <v>Electrocardiographs, Multichannel, Interpretative</v>
          </cell>
          <cell r="G747" t="str">
            <v>WH</v>
          </cell>
          <cell r="H747" t="str">
            <v>RT/ONCO WARD 2 (M)</v>
          </cell>
          <cell r="I747" t="str">
            <v>08WH107</v>
          </cell>
          <cell r="J747" t="str">
            <v>TREATMENT / PROCEDURE</v>
          </cell>
          <cell r="K747" t="str">
            <v>BMED</v>
          </cell>
          <cell r="L747" t="str">
            <v>Critical</v>
          </cell>
          <cell r="M747" t="str">
            <v>China</v>
          </cell>
          <cell r="N747" t="str">
            <v>Mac</v>
          </cell>
          <cell r="O747" t="str">
            <v>MAC 800</v>
          </cell>
          <cell r="P747" t="str">
            <v>SJ412450378 WA</v>
          </cell>
          <cell r="Q747" t="str">
            <v>Not Applicable</v>
          </cell>
          <cell r="R747" t="str">
            <v>GE Healthcare Systems</v>
          </cell>
          <cell r="S747" t="str">
            <v>GE Healthcare Technologies</v>
          </cell>
          <cell r="T747" t="str">
            <v>Functioning</v>
          </cell>
          <cell r="U747" t="str">
            <v>Asset</v>
          </cell>
          <cell r="V747">
            <v>25260</v>
          </cell>
          <cell r="W747" t="str">
            <v>KEW</v>
          </cell>
          <cell r="X747" t="str">
            <v>01/09/2010</v>
          </cell>
          <cell r="Y747" t="str">
            <v>KEW</v>
          </cell>
          <cell r="Z747" t="str">
            <v>16/08/2013</v>
          </cell>
          <cell r="AA747" t="str">
            <v>15/08/2015</v>
          </cell>
          <cell r="AB747" t="str">
            <v>No</v>
          </cell>
          <cell r="AC747" t="str">
            <v>31/08/2013</v>
          </cell>
          <cell r="AD747" t="str">
            <v>Good</v>
          </cell>
          <cell r="AE747" t="str">
            <v>V1 - Existing / No Claim</v>
          </cell>
          <cell r="AF747">
            <v>42787</v>
          </cell>
          <cell r="AG747">
            <v>9.17</v>
          </cell>
          <cell r="AH747" t="str">
            <v>PPM</v>
          </cell>
          <cell r="AI747" t="str">
            <v>Strands</v>
          </cell>
          <cell r="AJ747" t="str">
            <v>Strands PW</v>
          </cell>
        </row>
        <row r="748">
          <cell r="A748" t="str">
            <v>IKN400278</v>
          </cell>
          <cell r="B748">
            <v>278</v>
          </cell>
          <cell r="C748" t="str">
            <v>Institut Kanser Negara</v>
          </cell>
          <cell r="D748" t="str">
            <v>KKM/IKN/H/13/3378</v>
          </cell>
          <cell r="E748" t="str">
            <v>11-134</v>
          </cell>
          <cell r="F748" t="str">
            <v>Defibrillators, External, Manual</v>
          </cell>
          <cell r="G748" t="str">
            <v>RT</v>
          </cell>
          <cell r="H748" t="str">
            <v>RADIATION TREATMENT UNIT</v>
          </cell>
          <cell r="I748" t="str">
            <v>01RT243</v>
          </cell>
          <cell r="J748" t="str">
            <v>NURSE STATION</v>
          </cell>
          <cell r="K748" t="str">
            <v>BMED</v>
          </cell>
          <cell r="L748" t="str">
            <v>Critical</v>
          </cell>
          <cell r="M748" t="str">
            <v>USA</v>
          </cell>
          <cell r="N748" t="str">
            <v>Responder</v>
          </cell>
          <cell r="O748" t="str">
            <v>Responder 2000</v>
          </cell>
          <cell r="P748" t="str">
            <v>3206733</v>
          </cell>
          <cell r="Q748" t="str">
            <v>Not Applicable</v>
          </cell>
          <cell r="R748" t="str">
            <v>GE Medical Systems</v>
          </cell>
          <cell r="S748" t="str">
            <v>Antah Sir Radin Sdn. Bhd.</v>
          </cell>
          <cell r="T748" t="str">
            <v>Functioning</v>
          </cell>
          <cell r="U748" t="str">
            <v>Asset</v>
          </cell>
          <cell r="V748">
            <v>45000</v>
          </cell>
          <cell r="W748" t="str">
            <v>Estimate</v>
          </cell>
          <cell r="X748" t="str">
            <v>01/09/2010</v>
          </cell>
          <cell r="Y748" t="str">
            <v>KEW</v>
          </cell>
          <cell r="Z748" t="str">
            <v>16/08/2013</v>
          </cell>
          <cell r="AA748" t="str">
            <v>15/08/2015</v>
          </cell>
          <cell r="AB748" t="str">
            <v>No</v>
          </cell>
          <cell r="AC748" t="str">
            <v>31/08/2013</v>
          </cell>
          <cell r="AD748" t="str">
            <v>Good</v>
          </cell>
          <cell r="AE748" t="str">
            <v>V1 - Existing / No Claim</v>
          </cell>
          <cell r="AF748">
            <v>42601</v>
          </cell>
          <cell r="AG748">
            <v>9.17</v>
          </cell>
          <cell r="AH748" t="str">
            <v>PPM</v>
          </cell>
          <cell r="AI748" t="str">
            <v>Strands</v>
          </cell>
          <cell r="AJ748" t="str">
            <v>Strands PW</v>
          </cell>
          <cell r="AK748" t="str">
            <v>Crash Trolley (FEMS)</v>
          </cell>
        </row>
        <row r="749">
          <cell r="A749" t="str">
            <v>IKN400282</v>
          </cell>
          <cell r="B749">
            <v>282</v>
          </cell>
          <cell r="C749" t="str">
            <v>Institut Kanser Negara</v>
          </cell>
          <cell r="D749" t="str">
            <v>KKM/IKN/H/13/2374</v>
          </cell>
          <cell r="E749" t="str">
            <v>12-282</v>
          </cell>
          <cell r="F749" t="str">
            <v>Lights, Surgical</v>
          </cell>
          <cell r="G749" t="str">
            <v>WH</v>
          </cell>
          <cell r="H749" t="str">
            <v>RT/ONCO WARD 2 (M)</v>
          </cell>
          <cell r="I749" t="str">
            <v>08WH107</v>
          </cell>
          <cell r="J749" t="str">
            <v>TREATMENT / PROCEDURE</v>
          </cell>
          <cell r="K749" t="str">
            <v>BMED</v>
          </cell>
          <cell r="L749" t="str">
            <v>Critical</v>
          </cell>
          <cell r="M749" t="str">
            <v>USA</v>
          </cell>
          <cell r="N749" t="str">
            <v>Welch Allyn</v>
          </cell>
          <cell r="O749" t="str">
            <v>Welch Allyn GS600</v>
          </cell>
          <cell r="P749" t="str">
            <v>GS-600-41</v>
          </cell>
          <cell r="Q749" t="str">
            <v>Not Applicable</v>
          </cell>
          <cell r="R749" t="str">
            <v>Welch Allyn Inc</v>
          </cell>
          <cell r="S749" t="str">
            <v>Welch Allyn Malaysia Sdn Bhd</v>
          </cell>
          <cell r="T749" t="str">
            <v>Functioning</v>
          </cell>
          <cell r="U749" t="str">
            <v>Asset</v>
          </cell>
          <cell r="V749">
            <v>5050</v>
          </cell>
          <cell r="W749" t="str">
            <v>KEW</v>
          </cell>
          <cell r="X749" t="str">
            <v>01/09/2010</v>
          </cell>
          <cell r="Y749" t="str">
            <v>KEW</v>
          </cell>
          <cell r="Z749" t="str">
            <v>16/08/2013</v>
          </cell>
          <cell r="AA749" t="str">
            <v>15/08/2015</v>
          </cell>
          <cell r="AB749" t="str">
            <v>No</v>
          </cell>
          <cell r="AC749" t="str">
            <v>31/08/2013</v>
          </cell>
          <cell r="AD749" t="str">
            <v>Good</v>
          </cell>
          <cell r="AE749" t="str">
            <v>V1 - Existing / No Claim</v>
          </cell>
          <cell r="AF749">
            <v>42787</v>
          </cell>
          <cell r="AG749">
            <v>9.17</v>
          </cell>
          <cell r="AH749" t="str">
            <v>PPM</v>
          </cell>
          <cell r="AI749" t="str">
            <v>Strands</v>
          </cell>
          <cell r="AJ749" t="str">
            <v>Strands PW</v>
          </cell>
        </row>
        <row r="750">
          <cell r="A750" t="str">
            <v>IKN400283</v>
          </cell>
          <cell r="B750">
            <v>283</v>
          </cell>
          <cell r="C750" t="str">
            <v>Institut Kanser Negara</v>
          </cell>
          <cell r="D750" t="str">
            <v>KKM/IKN/H/13/2022</v>
          </cell>
          <cell r="E750" t="str">
            <v>15-045</v>
          </cell>
          <cell r="F750" t="str">
            <v>Nebulizers, Nonheated</v>
          </cell>
          <cell r="G750" t="str">
            <v>WH</v>
          </cell>
          <cell r="H750" t="str">
            <v>RT/ONCO WARD 2 (M)</v>
          </cell>
          <cell r="I750" t="str">
            <v>08WH121</v>
          </cell>
          <cell r="J750" t="str">
            <v>EQUIPMENT ROOM</v>
          </cell>
          <cell r="K750" t="str">
            <v>BMED</v>
          </cell>
          <cell r="L750" t="str">
            <v>Normal</v>
          </cell>
          <cell r="M750" t="str">
            <v>Germany</v>
          </cell>
          <cell r="N750" t="str">
            <v>Pari Boy</v>
          </cell>
          <cell r="O750" t="str">
            <v>Pari Boy SX 085</v>
          </cell>
          <cell r="P750" t="str">
            <v>2W12F13772</v>
          </cell>
          <cell r="Q750" t="str">
            <v>Not Applicable</v>
          </cell>
          <cell r="R750" t="str">
            <v>Pari GmbH</v>
          </cell>
          <cell r="S750" t="str">
            <v>Welch Allyn Malaysia Sdn Bhd</v>
          </cell>
          <cell r="T750" t="str">
            <v>Functioning</v>
          </cell>
          <cell r="U750" t="str">
            <v>Asset</v>
          </cell>
          <cell r="V750">
            <v>1140</v>
          </cell>
          <cell r="W750" t="str">
            <v>KEW</v>
          </cell>
          <cell r="X750" t="str">
            <v>01/09/2010</v>
          </cell>
          <cell r="Y750" t="str">
            <v>KEW</v>
          </cell>
          <cell r="Z750" t="str">
            <v>16/08/2013</v>
          </cell>
          <cell r="AA750" t="str">
            <v>15/08/2015</v>
          </cell>
          <cell r="AB750" t="str">
            <v>No</v>
          </cell>
          <cell r="AC750" t="str">
            <v>31/08/2013</v>
          </cell>
          <cell r="AD750" t="str">
            <v>Good</v>
          </cell>
          <cell r="AE750" t="str">
            <v>V1 - Existing / No Claim</v>
          </cell>
          <cell r="AF750">
            <v>42787</v>
          </cell>
          <cell r="AG750">
            <v>9.17</v>
          </cell>
          <cell r="AH750" t="str">
            <v>PPM</v>
          </cell>
          <cell r="AI750" t="str">
            <v>Strands</v>
          </cell>
          <cell r="AJ750" t="str">
            <v>Strands PW</v>
          </cell>
        </row>
        <row r="751">
          <cell r="A751" t="str">
            <v>IKN400284</v>
          </cell>
          <cell r="B751">
            <v>284</v>
          </cell>
          <cell r="C751" t="str">
            <v>Institut Kanser Negara</v>
          </cell>
          <cell r="D751" t="str">
            <v>KKM/IKN/H/13/2023</v>
          </cell>
          <cell r="E751" t="str">
            <v>15-045</v>
          </cell>
          <cell r="F751" t="str">
            <v>Nebulizers, Nonheated</v>
          </cell>
          <cell r="G751" t="str">
            <v>WH</v>
          </cell>
          <cell r="H751" t="str">
            <v>RT/ONCO WARD 2 (M)</v>
          </cell>
          <cell r="I751" t="str">
            <v>08WH121</v>
          </cell>
          <cell r="J751" t="str">
            <v>EQUIPMENT ROOM</v>
          </cell>
          <cell r="K751" t="str">
            <v>BMED</v>
          </cell>
          <cell r="L751" t="str">
            <v>Normal</v>
          </cell>
          <cell r="M751" t="str">
            <v>Germany</v>
          </cell>
          <cell r="N751" t="str">
            <v>Pari Boy</v>
          </cell>
          <cell r="O751" t="str">
            <v>Pari Boy SX 085</v>
          </cell>
          <cell r="P751" t="str">
            <v>2W12F13857</v>
          </cell>
          <cell r="Q751" t="str">
            <v>Not Applicable</v>
          </cell>
          <cell r="R751" t="str">
            <v>Pari GmbH</v>
          </cell>
          <cell r="S751" t="str">
            <v>Welch Allyn Malaysia Sdn Bhd</v>
          </cell>
          <cell r="T751" t="str">
            <v>Functioning</v>
          </cell>
          <cell r="U751" t="str">
            <v>Asset</v>
          </cell>
          <cell r="V751">
            <v>1140</v>
          </cell>
          <cell r="W751" t="str">
            <v>KEW</v>
          </cell>
          <cell r="X751" t="str">
            <v>01/09/2010</v>
          </cell>
          <cell r="Y751" t="str">
            <v>KEW</v>
          </cell>
          <cell r="Z751" t="str">
            <v>16/08/2013</v>
          </cell>
          <cell r="AA751" t="str">
            <v>15/08/2015</v>
          </cell>
          <cell r="AB751" t="str">
            <v>No</v>
          </cell>
          <cell r="AC751" t="str">
            <v>31/08/2013</v>
          </cell>
          <cell r="AD751" t="str">
            <v>Good</v>
          </cell>
          <cell r="AE751" t="str">
            <v>V1 - Existing / No Claim</v>
          </cell>
          <cell r="AF751">
            <v>42787</v>
          </cell>
          <cell r="AG751">
            <v>9.17</v>
          </cell>
          <cell r="AH751" t="str">
            <v>PPM</v>
          </cell>
          <cell r="AI751" t="str">
            <v>Strands</v>
          </cell>
          <cell r="AJ751" t="str">
            <v>Strands PW</v>
          </cell>
        </row>
        <row r="752">
          <cell r="A752" t="str">
            <v>IKN400285</v>
          </cell>
          <cell r="B752">
            <v>285</v>
          </cell>
          <cell r="C752" t="str">
            <v>Institut Kanser Negara</v>
          </cell>
          <cell r="D752" t="str">
            <v>KKM/IKN/H/13/2024</v>
          </cell>
          <cell r="E752" t="str">
            <v>15-045</v>
          </cell>
          <cell r="F752" t="str">
            <v>Nebulizers, Nonheated</v>
          </cell>
          <cell r="G752" t="str">
            <v>WH</v>
          </cell>
          <cell r="H752" t="str">
            <v>RT/ONCO WARD 2 (M)</v>
          </cell>
          <cell r="I752" t="str">
            <v>08WH121</v>
          </cell>
          <cell r="J752" t="str">
            <v>EQUIPMENT ROOM</v>
          </cell>
          <cell r="K752" t="str">
            <v>BMED</v>
          </cell>
          <cell r="L752" t="str">
            <v>Normal</v>
          </cell>
          <cell r="M752" t="str">
            <v>Germany</v>
          </cell>
          <cell r="N752" t="str">
            <v>Pari Boy</v>
          </cell>
          <cell r="O752" t="str">
            <v>Pari Boy SX 085</v>
          </cell>
          <cell r="P752" t="str">
            <v>2W12F13742</v>
          </cell>
          <cell r="Q752" t="str">
            <v>Not Applicable</v>
          </cell>
          <cell r="R752" t="str">
            <v>Pari GmbH</v>
          </cell>
          <cell r="S752" t="str">
            <v>Welch Allyn Malaysia Sdn Bhd</v>
          </cell>
          <cell r="T752" t="str">
            <v>Functioning</v>
          </cell>
          <cell r="U752" t="str">
            <v>Asset</v>
          </cell>
          <cell r="V752">
            <v>1140</v>
          </cell>
          <cell r="W752" t="str">
            <v>KEW</v>
          </cell>
          <cell r="X752" t="str">
            <v>01/09/2010</v>
          </cell>
          <cell r="Y752" t="str">
            <v>KEW</v>
          </cell>
          <cell r="Z752" t="str">
            <v>16/08/2013</v>
          </cell>
          <cell r="AA752" t="str">
            <v>15/08/2015</v>
          </cell>
          <cell r="AB752" t="str">
            <v>No</v>
          </cell>
          <cell r="AC752" t="str">
            <v>31/08/2013</v>
          </cell>
          <cell r="AD752" t="str">
            <v>Good</v>
          </cell>
          <cell r="AE752" t="str">
            <v>V1 - Existing / No Claim</v>
          </cell>
          <cell r="AF752">
            <v>42787</v>
          </cell>
          <cell r="AG752">
            <v>9.17</v>
          </cell>
          <cell r="AH752" t="str">
            <v>PPM</v>
          </cell>
          <cell r="AI752" t="str">
            <v>Strands</v>
          </cell>
          <cell r="AJ752" t="str">
            <v>Strands PW</v>
          </cell>
        </row>
        <row r="753">
          <cell r="A753" t="str">
            <v>IKN400286</v>
          </cell>
          <cell r="B753">
            <v>286</v>
          </cell>
          <cell r="C753" t="str">
            <v>Institut Kanser Negara</v>
          </cell>
          <cell r="D753" t="str">
            <v>KKM/IKN/H/13/2029</v>
          </cell>
          <cell r="E753" t="str">
            <v>13-217</v>
          </cell>
          <cell r="F753" t="str">
            <v>Infusion Pumps, Syringe</v>
          </cell>
          <cell r="G753" t="str">
            <v>WH</v>
          </cell>
          <cell r="H753" t="str">
            <v>RT/ONCO WARD 2 (M)</v>
          </cell>
          <cell r="I753" t="str">
            <v>08WH121</v>
          </cell>
          <cell r="J753" t="str">
            <v>EQUIPMENT ROOM</v>
          </cell>
          <cell r="K753" t="str">
            <v>BMED</v>
          </cell>
          <cell r="L753" t="str">
            <v>Critical</v>
          </cell>
          <cell r="M753" t="str">
            <v>Germany</v>
          </cell>
          <cell r="N753" t="str">
            <v>Perfusor</v>
          </cell>
          <cell r="O753" t="str">
            <v>Perfusor Space</v>
          </cell>
          <cell r="P753" t="str">
            <v>187017</v>
          </cell>
          <cell r="Q753" t="str">
            <v>Not Applicable</v>
          </cell>
          <cell r="R753" t="str">
            <v>B Braun Melsungen AG</v>
          </cell>
          <cell r="S753" t="str">
            <v>B Braun Medical Supplies Sdn. Bhd.</v>
          </cell>
          <cell r="T753" t="str">
            <v>Functioning</v>
          </cell>
          <cell r="U753" t="str">
            <v>Asset</v>
          </cell>
          <cell r="V753">
            <v>10225</v>
          </cell>
          <cell r="W753" t="str">
            <v>KEW</v>
          </cell>
          <cell r="X753" t="str">
            <v>01/09/2010</v>
          </cell>
          <cell r="Y753" t="str">
            <v>KEW</v>
          </cell>
          <cell r="Z753" t="str">
            <v>16/08/2013</v>
          </cell>
          <cell r="AA753" t="str">
            <v>15/08/2015</v>
          </cell>
          <cell r="AB753" t="str">
            <v>No</v>
          </cell>
          <cell r="AC753" t="str">
            <v>31/08/2013</v>
          </cell>
          <cell r="AD753" t="str">
            <v>Good</v>
          </cell>
          <cell r="AE753" t="str">
            <v>V1 - Existing / No Claim</v>
          </cell>
          <cell r="AF753">
            <v>42787</v>
          </cell>
          <cell r="AG753">
            <v>9.17</v>
          </cell>
          <cell r="AH753" t="str">
            <v>PPM</v>
          </cell>
          <cell r="AI753" t="str">
            <v>Strands</v>
          </cell>
          <cell r="AJ753" t="str">
            <v>Strands PW</v>
          </cell>
        </row>
        <row r="754">
          <cell r="A754" t="str">
            <v>IKN400287</v>
          </cell>
          <cell r="B754">
            <v>287</v>
          </cell>
          <cell r="C754" t="str">
            <v>Institut Kanser Negara</v>
          </cell>
          <cell r="D754" t="str">
            <v>KKM/IKN/H/13/2031</v>
          </cell>
          <cell r="E754" t="str">
            <v>13-217</v>
          </cell>
          <cell r="F754" t="str">
            <v>Infusion Pumps, Syringe</v>
          </cell>
          <cell r="G754" t="str">
            <v>WH</v>
          </cell>
          <cell r="H754" t="str">
            <v>RT/ONCO WARD 2 (M)</v>
          </cell>
          <cell r="I754" t="str">
            <v>08WH121</v>
          </cell>
          <cell r="J754" t="str">
            <v>EQUIPMENT ROOM</v>
          </cell>
          <cell r="K754" t="str">
            <v>BMED</v>
          </cell>
          <cell r="L754" t="str">
            <v>Critical</v>
          </cell>
          <cell r="M754" t="str">
            <v>Germany</v>
          </cell>
          <cell r="N754" t="str">
            <v>Perfusor</v>
          </cell>
          <cell r="O754" t="str">
            <v>Perfusor Space</v>
          </cell>
          <cell r="P754" t="str">
            <v>187002</v>
          </cell>
          <cell r="Q754" t="str">
            <v>Not Applicable</v>
          </cell>
          <cell r="R754" t="str">
            <v>B Braun Melsungen AG</v>
          </cell>
          <cell r="S754" t="str">
            <v>B Braun Medical Supplies Sdn. Bhd.</v>
          </cell>
          <cell r="T754" t="str">
            <v>Functioning</v>
          </cell>
          <cell r="U754" t="str">
            <v>Asset</v>
          </cell>
          <cell r="V754">
            <v>10225</v>
          </cell>
          <cell r="W754" t="str">
            <v>KEW</v>
          </cell>
          <cell r="X754" t="str">
            <v>01/09/2010</v>
          </cell>
          <cell r="Y754" t="str">
            <v>KEW</v>
          </cell>
          <cell r="Z754" t="str">
            <v>16/08/2013</v>
          </cell>
          <cell r="AA754" t="str">
            <v>15/08/2015</v>
          </cell>
          <cell r="AB754" t="str">
            <v>No</v>
          </cell>
          <cell r="AC754" t="str">
            <v>31/08/2013</v>
          </cell>
          <cell r="AD754" t="str">
            <v>Good</v>
          </cell>
          <cell r="AE754" t="str">
            <v>V1 - Existing / No Claim</v>
          </cell>
          <cell r="AF754">
            <v>42787</v>
          </cell>
          <cell r="AG754">
            <v>9.17</v>
          </cell>
          <cell r="AH754" t="str">
            <v>PPM</v>
          </cell>
          <cell r="AI754" t="str">
            <v>Strands</v>
          </cell>
          <cell r="AJ754" t="str">
            <v>Strands PW</v>
          </cell>
        </row>
        <row r="755">
          <cell r="A755" t="str">
            <v>IKN400288</v>
          </cell>
          <cell r="B755">
            <v>288</v>
          </cell>
          <cell r="C755" t="str">
            <v>Institut Kanser Negara</v>
          </cell>
          <cell r="D755" t="str">
            <v>KKM/IKN/H/13/2030</v>
          </cell>
          <cell r="E755" t="str">
            <v>13-215</v>
          </cell>
          <cell r="F755" t="str">
            <v>Infusion Pumps, General-Purpose</v>
          </cell>
          <cell r="G755" t="str">
            <v>WH</v>
          </cell>
          <cell r="H755" t="str">
            <v>RT/ONCO WARD 2 (M)</v>
          </cell>
          <cell r="I755" t="str">
            <v>08WH121</v>
          </cell>
          <cell r="J755" t="str">
            <v>EQUIPMENT ROOM</v>
          </cell>
          <cell r="K755" t="str">
            <v>BMED</v>
          </cell>
          <cell r="L755" t="str">
            <v>Normal</v>
          </cell>
          <cell r="M755" t="str">
            <v>Germany</v>
          </cell>
          <cell r="N755" t="str">
            <v>Infusomat</v>
          </cell>
          <cell r="O755" t="str">
            <v>Infusomat Space</v>
          </cell>
          <cell r="P755" t="str">
            <v>212006</v>
          </cell>
          <cell r="Q755" t="str">
            <v>Not Applicable</v>
          </cell>
          <cell r="R755" t="str">
            <v>B Braun Melsungen AG</v>
          </cell>
          <cell r="S755" t="str">
            <v>B Braun Medical Supplies Sdn. Bhd.</v>
          </cell>
          <cell r="T755" t="str">
            <v>Functioning</v>
          </cell>
          <cell r="U755" t="str">
            <v>Asset</v>
          </cell>
          <cell r="V755">
            <v>10825</v>
          </cell>
          <cell r="W755" t="str">
            <v>KEW</v>
          </cell>
          <cell r="X755" t="str">
            <v>01/09/2010</v>
          </cell>
          <cell r="Y755" t="str">
            <v>KEW</v>
          </cell>
          <cell r="Z755" t="str">
            <v>16/08/2013</v>
          </cell>
          <cell r="AA755" t="str">
            <v>15/08/2015</v>
          </cell>
          <cell r="AB755" t="str">
            <v>No</v>
          </cell>
          <cell r="AC755" t="str">
            <v>31/08/2013</v>
          </cell>
          <cell r="AD755" t="str">
            <v>Good</v>
          </cell>
          <cell r="AE755" t="str">
            <v>V1 - Existing / No Claim</v>
          </cell>
          <cell r="AF755">
            <v>42235</v>
          </cell>
          <cell r="AG755">
            <v>9.17</v>
          </cell>
          <cell r="AH755" t="str">
            <v>PPM</v>
          </cell>
          <cell r="AI755" t="str">
            <v>Strands</v>
          </cell>
          <cell r="AJ755" t="str">
            <v>Strands PW</v>
          </cell>
        </row>
        <row r="756">
          <cell r="A756" t="str">
            <v>IKN400289</v>
          </cell>
          <cell r="B756">
            <v>289</v>
          </cell>
          <cell r="C756" t="str">
            <v>Institut Kanser Negara</v>
          </cell>
          <cell r="D756" t="str">
            <v>KKM/IKN/H/13/2032</v>
          </cell>
          <cell r="E756" t="str">
            <v>13-215</v>
          </cell>
          <cell r="F756" t="str">
            <v>Infusion Pumps, General-Purpose</v>
          </cell>
          <cell r="G756" t="str">
            <v>WH</v>
          </cell>
          <cell r="H756" t="str">
            <v>RT/ONCO WARD 2 (M)</v>
          </cell>
          <cell r="I756" t="str">
            <v>08WH121</v>
          </cell>
          <cell r="J756" t="str">
            <v>EQUIPMENT ROOM</v>
          </cell>
          <cell r="K756" t="str">
            <v>BMED</v>
          </cell>
          <cell r="L756" t="str">
            <v>Critical</v>
          </cell>
          <cell r="M756" t="str">
            <v>Germany</v>
          </cell>
          <cell r="N756" t="str">
            <v>Infusomat</v>
          </cell>
          <cell r="O756" t="str">
            <v>Infusomat Space</v>
          </cell>
          <cell r="P756" t="str">
            <v>211978</v>
          </cell>
          <cell r="Q756" t="str">
            <v>Not Applicable</v>
          </cell>
          <cell r="R756" t="str">
            <v>B Braun Melsungen AG</v>
          </cell>
          <cell r="S756" t="str">
            <v>B Braun Medical Supplies Sdn. Bhd.</v>
          </cell>
          <cell r="T756" t="str">
            <v>Functioning</v>
          </cell>
          <cell r="U756" t="str">
            <v>Asset</v>
          </cell>
          <cell r="V756">
            <v>10825</v>
          </cell>
          <cell r="W756" t="str">
            <v>KEW</v>
          </cell>
          <cell r="X756" t="str">
            <v>01/09/2010</v>
          </cell>
          <cell r="Y756" t="str">
            <v>KEW</v>
          </cell>
          <cell r="Z756" t="str">
            <v>16/08/2013</v>
          </cell>
          <cell r="AA756" t="str">
            <v>15/08/2015</v>
          </cell>
          <cell r="AB756" t="str">
            <v>No</v>
          </cell>
          <cell r="AC756" t="str">
            <v>31/08/2013</v>
          </cell>
          <cell r="AD756" t="str">
            <v>Good</v>
          </cell>
          <cell r="AE756" t="str">
            <v>V1 - Existing / No Claim</v>
          </cell>
          <cell r="AF756">
            <v>42787</v>
          </cell>
          <cell r="AG756">
            <v>9.17</v>
          </cell>
          <cell r="AH756" t="str">
            <v>PPM</v>
          </cell>
          <cell r="AI756" t="str">
            <v>Strands</v>
          </cell>
          <cell r="AJ756" t="str">
            <v>Strands PW</v>
          </cell>
        </row>
        <row r="757">
          <cell r="A757" t="str">
            <v>IKN400290</v>
          </cell>
          <cell r="B757">
            <v>290</v>
          </cell>
          <cell r="C757" t="str">
            <v>Institut Kanser Negara</v>
          </cell>
          <cell r="D757" t="str">
            <v>KKM/IKN/H/13/2037</v>
          </cell>
          <cell r="E757" t="str">
            <v>13-215</v>
          </cell>
          <cell r="F757" t="str">
            <v>Infusion Pumps, General-Purpose</v>
          </cell>
          <cell r="G757" t="str">
            <v>WH</v>
          </cell>
          <cell r="H757" t="str">
            <v>RT/ONCO WARD 2 (M)</v>
          </cell>
          <cell r="I757" t="str">
            <v>08WH121</v>
          </cell>
          <cell r="J757" t="str">
            <v>EQUIPMENT ROOM</v>
          </cell>
          <cell r="K757" t="str">
            <v>BMED</v>
          </cell>
          <cell r="L757" t="str">
            <v>Critical</v>
          </cell>
          <cell r="M757" t="str">
            <v>Germany</v>
          </cell>
          <cell r="N757" t="str">
            <v>Infusomat</v>
          </cell>
          <cell r="O757" t="str">
            <v>Infusomat Space</v>
          </cell>
          <cell r="P757" t="str">
            <v>211584</v>
          </cell>
          <cell r="Q757" t="str">
            <v>Not Applicable</v>
          </cell>
          <cell r="R757" t="str">
            <v>B Braun Melsungen AG</v>
          </cell>
          <cell r="S757" t="str">
            <v>B Braun Medical Supplies Sdn. Bhd.</v>
          </cell>
          <cell r="T757" t="str">
            <v>Functioning</v>
          </cell>
          <cell r="U757" t="str">
            <v>Asset</v>
          </cell>
          <cell r="V757">
            <v>10825</v>
          </cell>
          <cell r="W757" t="str">
            <v>KEW</v>
          </cell>
          <cell r="X757" t="str">
            <v>01/09/2010</v>
          </cell>
          <cell r="Y757" t="str">
            <v>KEW</v>
          </cell>
          <cell r="Z757" t="str">
            <v>16/08/2013</v>
          </cell>
          <cell r="AA757" t="str">
            <v>15/08/2015</v>
          </cell>
          <cell r="AB757" t="str">
            <v>No</v>
          </cell>
          <cell r="AC757" t="str">
            <v>31/08/2013</v>
          </cell>
          <cell r="AD757" t="str">
            <v>Good</v>
          </cell>
          <cell r="AE757" t="str">
            <v>V1 - Existing / No Claim</v>
          </cell>
          <cell r="AF757">
            <v>42787</v>
          </cell>
          <cell r="AG757">
            <v>9.17</v>
          </cell>
          <cell r="AH757" t="str">
            <v>PPM</v>
          </cell>
          <cell r="AI757" t="str">
            <v>Strands</v>
          </cell>
          <cell r="AJ757" t="str">
            <v>Strands PW</v>
          </cell>
        </row>
        <row r="758">
          <cell r="A758" t="str">
            <v>IKN400291</v>
          </cell>
          <cell r="B758">
            <v>291</v>
          </cell>
          <cell r="C758" t="str">
            <v>Institut Kanser Negara</v>
          </cell>
          <cell r="D758" t="str">
            <v>KKM/IKN/H/13/2033</v>
          </cell>
          <cell r="E758" t="str">
            <v>13-215</v>
          </cell>
          <cell r="F758" t="str">
            <v>Infusion Pumps, General-Purpose</v>
          </cell>
          <cell r="G758" t="str">
            <v>WH</v>
          </cell>
          <cell r="H758" t="str">
            <v>RT/ONCO WARD 2 (M)</v>
          </cell>
          <cell r="I758" t="str">
            <v>08WH121</v>
          </cell>
          <cell r="J758" t="str">
            <v>EQUIPMENT ROOM</v>
          </cell>
          <cell r="K758" t="str">
            <v>BMED</v>
          </cell>
          <cell r="L758" t="str">
            <v>Critical</v>
          </cell>
          <cell r="M758" t="str">
            <v>Germany</v>
          </cell>
          <cell r="N758" t="str">
            <v>Infusomat</v>
          </cell>
          <cell r="O758" t="str">
            <v>Infusomat Space</v>
          </cell>
          <cell r="P758" t="str">
            <v>211977</v>
          </cell>
          <cell r="Q758" t="str">
            <v>Not Applicable</v>
          </cell>
          <cell r="R758" t="str">
            <v>B Braun Melsungen AG</v>
          </cell>
          <cell r="S758" t="str">
            <v>B Braun Medical Supplies Sdn. Bhd.</v>
          </cell>
          <cell r="T758" t="str">
            <v>Functioning</v>
          </cell>
          <cell r="U758" t="str">
            <v>Asset</v>
          </cell>
          <cell r="V758">
            <v>10825</v>
          </cell>
          <cell r="W758" t="str">
            <v>KEW</v>
          </cell>
          <cell r="X758" t="str">
            <v>01/09/2010</v>
          </cell>
          <cell r="Y758" t="str">
            <v>KEW</v>
          </cell>
          <cell r="Z758" t="str">
            <v>16/08/2013</v>
          </cell>
          <cell r="AA758" t="str">
            <v>15/08/2015</v>
          </cell>
          <cell r="AB758" t="str">
            <v>No</v>
          </cell>
          <cell r="AC758" t="str">
            <v>31/08/2013</v>
          </cell>
          <cell r="AD758" t="str">
            <v>Good</v>
          </cell>
          <cell r="AE758" t="str">
            <v>V1 - Existing / No Claim</v>
          </cell>
          <cell r="AF758">
            <v>42788</v>
          </cell>
          <cell r="AG758">
            <v>9.17</v>
          </cell>
          <cell r="AH758" t="str">
            <v>PPM</v>
          </cell>
          <cell r="AI758" t="str">
            <v>Strands</v>
          </cell>
          <cell r="AJ758" t="str">
            <v>Strands PW</v>
          </cell>
        </row>
        <row r="759">
          <cell r="A759" t="str">
            <v>IKN400292</v>
          </cell>
          <cell r="B759">
            <v>292</v>
          </cell>
          <cell r="C759" t="str">
            <v>Institut Kanser Negara</v>
          </cell>
          <cell r="D759" t="str">
            <v>KKM/IKN/H/13/288</v>
          </cell>
          <cell r="E759" t="str">
            <v>13-215</v>
          </cell>
          <cell r="F759" t="str">
            <v>Infusion Pumps, General-Purpose</v>
          </cell>
          <cell r="G759" t="str">
            <v>WH</v>
          </cell>
          <cell r="H759" t="str">
            <v>RT/ONCO WARD 2 (M)</v>
          </cell>
          <cell r="I759" t="str">
            <v>08WH121</v>
          </cell>
          <cell r="J759" t="str">
            <v>EQUIPMENT ROOM</v>
          </cell>
          <cell r="K759" t="str">
            <v>BMED</v>
          </cell>
          <cell r="L759" t="str">
            <v>Normal</v>
          </cell>
          <cell r="M759" t="str">
            <v>Germany</v>
          </cell>
          <cell r="N759" t="str">
            <v>Infusomat</v>
          </cell>
          <cell r="O759" t="str">
            <v>Infusomat Space</v>
          </cell>
          <cell r="P759" t="str">
            <v>212086</v>
          </cell>
          <cell r="Q759" t="str">
            <v>Not Applicable</v>
          </cell>
          <cell r="R759" t="str">
            <v>B Braun Melsungen AG</v>
          </cell>
          <cell r="S759" t="str">
            <v>B Braun Medical Supplies Sdn. Bhd.</v>
          </cell>
          <cell r="T759" t="str">
            <v>Functioning</v>
          </cell>
          <cell r="U759" t="str">
            <v>Asset</v>
          </cell>
          <cell r="V759">
            <v>10825</v>
          </cell>
          <cell r="W759" t="str">
            <v>KEW</v>
          </cell>
          <cell r="X759" t="str">
            <v>01/09/2010</v>
          </cell>
          <cell r="Y759" t="str">
            <v>KEW</v>
          </cell>
          <cell r="Z759" t="str">
            <v>16/08/2013</v>
          </cell>
          <cell r="AA759" t="str">
            <v>15/08/2015</v>
          </cell>
          <cell r="AB759" t="str">
            <v>No</v>
          </cell>
          <cell r="AC759" t="str">
            <v>31/08/2013</v>
          </cell>
          <cell r="AD759" t="str">
            <v>Good</v>
          </cell>
          <cell r="AE759" t="str">
            <v>V1 - Existing / No Claim</v>
          </cell>
          <cell r="AF759">
            <v>42235</v>
          </cell>
          <cell r="AG759">
            <v>9.17</v>
          </cell>
          <cell r="AH759" t="str">
            <v>PPM</v>
          </cell>
          <cell r="AI759" t="str">
            <v>Strands</v>
          </cell>
          <cell r="AJ759" t="str">
            <v>Strands PW</v>
          </cell>
        </row>
        <row r="760">
          <cell r="A760" t="str">
            <v>IKN400293</v>
          </cell>
          <cell r="B760">
            <v>293</v>
          </cell>
          <cell r="C760" t="str">
            <v>Institut Kanser Negara</v>
          </cell>
          <cell r="D760" t="str">
            <v>KKM/IKN/H/13/3708</v>
          </cell>
          <cell r="E760" t="str">
            <v>17-148</v>
          </cell>
          <cell r="F760" t="str">
            <v>Oximeters, Pulse</v>
          </cell>
          <cell r="G760" t="str">
            <v>WH</v>
          </cell>
          <cell r="H760" t="str">
            <v>RT/ONCO WARD 2 (M)</v>
          </cell>
          <cell r="I760" t="str">
            <v>08WH121</v>
          </cell>
          <cell r="J760" t="str">
            <v>EQUIPMENT ROOM</v>
          </cell>
          <cell r="K760" t="str">
            <v>BMED</v>
          </cell>
          <cell r="L760" t="str">
            <v>Critical</v>
          </cell>
          <cell r="M760" t="str">
            <v>USA</v>
          </cell>
          <cell r="N760" t="str">
            <v>PalmSat</v>
          </cell>
          <cell r="O760" t="str">
            <v>PalmSat 2500</v>
          </cell>
          <cell r="P760" t="str">
            <v>501442061</v>
          </cell>
          <cell r="Q760" t="str">
            <v>Not Applicable</v>
          </cell>
          <cell r="R760" t="str">
            <v>Nonin Medical Inc</v>
          </cell>
          <cell r="S760" t="str">
            <v>Acucare Systems (M) Sdn bhd</v>
          </cell>
          <cell r="T760" t="str">
            <v>Functioning</v>
          </cell>
          <cell r="U760" t="str">
            <v>Asset</v>
          </cell>
          <cell r="V760">
            <v>5410</v>
          </cell>
          <cell r="W760" t="str">
            <v>KEW</v>
          </cell>
          <cell r="X760" t="str">
            <v>01/09/2010</v>
          </cell>
          <cell r="Y760" t="str">
            <v>KEW</v>
          </cell>
          <cell r="Z760" t="str">
            <v>16/08/2013</v>
          </cell>
          <cell r="AA760" t="str">
            <v>15/08/2015</v>
          </cell>
          <cell r="AB760" t="str">
            <v>No</v>
          </cell>
          <cell r="AC760" t="str">
            <v>31/08/2013</v>
          </cell>
          <cell r="AD760" t="str">
            <v>Good</v>
          </cell>
          <cell r="AE760" t="str">
            <v>V1 - Existing / No Claim</v>
          </cell>
          <cell r="AF760">
            <v>42788</v>
          </cell>
          <cell r="AG760">
            <v>9.17</v>
          </cell>
          <cell r="AH760" t="str">
            <v>PPM</v>
          </cell>
          <cell r="AI760" t="str">
            <v>Strands</v>
          </cell>
          <cell r="AJ760" t="str">
            <v>Strands PW</v>
          </cell>
        </row>
        <row r="761">
          <cell r="A761" t="str">
            <v>IKN400294</v>
          </cell>
          <cell r="B761">
            <v>294</v>
          </cell>
          <cell r="C761" t="str">
            <v>Institut Kanser Negara</v>
          </cell>
          <cell r="D761" t="str">
            <v>KKM/IKN/H/13/2035</v>
          </cell>
          <cell r="E761" t="str">
            <v>13-215</v>
          </cell>
          <cell r="F761" t="str">
            <v>Infusion Pumps, General-Purpose</v>
          </cell>
          <cell r="G761" t="str">
            <v>WH</v>
          </cell>
          <cell r="H761" t="str">
            <v>RT/ONCO WARD 2 (M)</v>
          </cell>
          <cell r="I761" t="str">
            <v>08WH121</v>
          </cell>
          <cell r="J761" t="str">
            <v>EQUIPMENT ROOM</v>
          </cell>
          <cell r="K761" t="str">
            <v>BMED</v>
          </cell>
          <cell r="L761" t="str">
            <v>Normal</v>
          </cell>
          <cell r="M761" t="str">
            <v>Germany</v>
          </cell>
          <cell r="N761" t="str">
            <v>Infusomat</v>
          </cell>
          <cell r="O761" t="str">
            <v>Infusomat Space</v>
          </cell>
          <cell r="P761" t="str">
            <v>211860</v>
          </cell>
          <cell r="Q761" t="str">
            <v>Not Applicable</v>
          </cell>
          <cell r="R761" t="str">
            <v>B Braun Melsungen AG</v>
          </cell>
          <cell r="S761" t="str">
            <v>B Braun Medical Supplies Sdn. Bhd.</v>
          </cell>
          <cell r="T761" t="str">
            <v>Functioning</v>
          </cell>
          <cell r="U761" t="str">
            <v>Asset</v>
          </cell>
          <cell r="V761">
            <v>10825</v>
          </cell>
          <cell r="W761" t="str">
            <v>KEW</v>
          </cell>
          <cell r="X761" t="str">
            <v>01/09/2010</v>
          </cell>
          <cell r="Y761" t="str">
            <v>KEW</v>
          </cell>
          <cell r="Z761" t="str">
            <v>16/08/2013</v>
          </cell>
          <cell r="AA761" t="str">
            <v>15/08/2015</v>
          </cell>
          <cell r="AB761" t="str">
            <v>No</v>
          </cell>
          <cell r="AC761" t="str">
            <v>31/08/2013</v>
          </cell>
          <cell r="AD761" t="str">
            <v>Good</v>
          </cell>
          <cell r="AE761" t="str">
            <v>V1 - Existing / No Claim</v>
          </cell>
          <cell r="AF761">
            <v>42235</v>
          </cell>
          <cell r="AG761">
            <v>9.17</v>
          </cell>
          <cell r="AH761" t="str">
            <v>PPM</v>
          </cell>
          <cell r="AI761" t="str">
            <v>Strands</v>
          </cell>
          <cell r="AJ761" t="str">
            <v>Strands PW</v>
          </cell>
        </row>
        <row r="762">
          <cell r="A762" t="str">
            <v>IKN400295</v>
          </cell>
          <cell r="B762">
            <v>295</v>
          </cell>
          <cell r="C762" t="str">
            <v>Institut Kanser Negara</v>
          </cell>
          <cell r="D762" t="str">
            <v>KKM/IKN/H/13/2036</v>
          </cell>
          <cell r="E762" t="str">
            <v>13-215</v>
          </cell>
          <cell r="F762" t="str">
            <v>Infusion Pumps, General-Purpose</v>
          </cell>
          <cell r="G762" t="str">
            <v>WH</v>
          </cell>
          <cell r="H762" t="str">
            <v>RT/ONCO WARD 2 (M)</v>
          </cell>
          <cell r="I762" t="str">
            <v>08WH121</v>
          </cell>
          <cell r="J762" t="str">
            <v>EQUIPMENT ROOM</v>
          </cell>
          <cell r="K762" t="str">
            <v>BMED</v>
          </cell>
          <cell r="L762" t="str">
            <v>Critical</v>
          </cell>
          <cell r="M762" t="str">
            <v>Germany</v>
          </cell>
          <cell r="N762" t="str">
            <v>Infusomat</v>
          </cell>
          <cell r="O762" t="str">
            <v>Infusomat Space</v>
          </cell>
          <cell r="P762" t="str">
            <v>212011</v>
          </cell>
          <cell r="Q762" t="str">
            <v>Not Applicable</v>
          </cell>
          <cell r="R762" t="str">
            <v>B Braun Melsungen AG</v>
          </cell>
          <cell r="S762" t="str">
            <v>B Braun Medical Supplies Sdn. Bhd.</v>
          </cell>
          <cell r="T762" t="str">
            <v>Functioning</v>
          </cell>
          <cell r="U762" t="str">
            <v>Asset</v>
          </cell>
          <cell r="V762">
            <v>10825</v>
          </cell>
          <cell r="W762" t="str">
            <v>KEW</v>
          </cell>
          <cell r="X762" t="str">
            <v>01/09/2010</v>
          </cell>
          <cell r="Y762" t="str">
            <v>KEW</v>
          </cell>
          <cell r="Z762" t="str">
            <v>16/08/2013</v>
          </cell>
          <cell r="AA762" t="str">
            <v>15/08/2015</v>
          </cell>
          <cell r="AB762" t="str">
            <v>No</v>
          </cell>
          <cell r="AC762" t="str">
            <v>31/08/2013</v>
          </cell>
          <cell r="AD762" t="str">
            <v>Good</v>
          </cell>
          <cell r="AE762" t="str">
            <v>V1 - Existing / No Claim</v>
          </cell>
          <cell r="AF762">
            <v>42788</v>
          </cell>
          <cell r="AG762">
            <v>9.17</v>
          </cell>
          <cell r="AH762" t="str">
            <v>PPM</v>
          </cell>
          <cell r="AI762" t="str">
            <v>Strands</v>
          </cell>
          <cell r="AJ762" t="str">
            <v>Strands PW</v>
          </cell>
        </row>
        <row r="763">
          <cell r="A763" t="str">
            <v>IKN400296</v>
          </cell>
          <cell r="B763">
            <v>296</v>
          </cell>
          <cell r="C763" t="str">
            <v>Institut Kanser Negara</v>
          </cell>
          <cell r="D763" t="str">
            <v>KKM/IKN/H/13/2038</v>
          </cell>
          <cell r="E763" t="str">
            <v>13-215</v>
          </cell>
          <cell r="F763" t="str">
            <v>Infusion Pumps, General-Purpose</v>
          </cell>
          <cell r="G763" t="str">
            <v>WH</v>
          </cell>
          <cell r="H763" t="str">
            <v>RT/ONCO WARD 2 (M)</v>
          </cell>
          <cell r="I763" t="str">
            <v>08WH121</v>
          </cell>
          <cell r="J763" t="str">
            <v>EQUIPMENT ROOM</v>
          </cell>
          <cell r="K763" t="str">
            <v>BMED</v>
          </cell>
          <cell r="L763" t="str">
            <v>Critical</v>
          </cell>
          <cell r="M763" t="str">
            <v>Germany</v>
          </cell>
          <cell r="N763" t="str">
            <v>Infusomat</v>
          </cell>
          <cell r="O763" t="str">
            <v>Infusomat Space</v>
          </cell>
          <cell r="P763" t="str">
            <v>212091</v>
          </cell>
          <cell r="Q763" t="str">
            <v>Not Applicable</v>
          </cell>
          <cell r="R763" t="str">
            <v>B Braun Melsungen AG</v>
          </cell>
          <cell r="S763" t="str">
            <v>B Braun Medical Supplies Sdn. Bhd.</v>
          </cell>
          <cell r="T763" t="str">
            <v>Functioning</v>
          </cell>
          <cell r="U763" t="str">
            <v>Asset</v>
          </cell>
          <cell r="V763">
            <v>10825</v>
          </cell>
          <cell r="W763" t="str">
            <v>KEW</v>
          </cell>
          <cell r="X763" t="str">
            <v>01/09/2010</v>
          </cell>
          <cell r="Y763" t="str">
            <v>KEW</v>
          </cell>
          <cell r="Z763" t="str">
            <v>16/08/2013</v>
          </cell>
          <cell r="AA763" t="str">
            <v>15/08/2015</v>
          </cell>
          <cell r="AB763" t="str">
            <v>No</v>
          </cell>
          <cell r="AC763" t="str">
            <v>31/08/2013</v>
          </cell>
          <cell r="AD763" t="str">
            <v>Good</v>
          </cell>
          <cell r="AE763" t="str">
            <v>V1 - Existing / No Claim</v>
          </cell>
          <cell r="AF763">
            <v>42788</v>
          </cell>
          <cell r="AG763">
            <v>9.17</v>
          </cell>
          <cell r="AH763" t="str">
            <v>PPM</v>
          </cell>
          <cell r="AI763" t="str">
            <v>Strands</v>
          </cell>
          <cell r="AJ763" t="str">
            <v>Strands PW</v>
          </cell>
        </row>
        <row r="764">
          <cell r="A764" t="str">
            <v>IKN400297</v>
          </cell>
          <cell r="B764">
            <v>297</v>
          </cell>
          <cell r="C764" t="str">
            <v>Institut Kanser Negara</v>
          </cell>
          <cell r="D764" t="str">
            <v>KKM/IKN/H/13/2039</v>
          </cell>
          <cell r="E764" t="str">
            <v>13-215</v>
          </cell>
          <cell r="F764" t="str">
            <v>Infusion Pumps, General-Purpose</v>
          </cell>
          <cell r="G764" t="str">
            <v>WH</v>
          </cell>
          <cell r="H764" t="str">
            <v>RT/ONCO WARD 2 (M)</v>
          </cell>
          <cell r="I764" t="str">
            <v>08WH121</v>
          </cell>
          <cell r="J764" t="str">
            <v>EQUIPMENT ROOM</v>
          </cell>
          <cell r="K764" t="str">
            <v>BMED</v>
          </cell>
          <cell r="L764" t="str">
            <v>Critical</v>
          </cell>
          <cell r="M764" t="str">
            <v>Germany</v>
          </cell>
          <cell r="N764" t="str">
            <v>Infusomat</v>
          </cell>
          <cell r="O764" t="str">
            <v>Infusomat Space</v>
          </cell>
          <cell r="P764" t="str">
            <v>211871</v>
          </cell>
          <cell r="Q764" t="str">
            <v>Not Applicable</v>
          </cell>
          <cell r="R764" t="str">
            <v>B Braun Melsungen AG</v>
          </cell>
          <cell r="S764" t="str">
            <v>B Braun Medical Supplies Sdn. Bhd.</v>
          </cell>
          <cell r="T764" t="str">
            <v>Functioning</v>
          </cell>
          <cell r="U764" t="str">
            <v>Asset</v>
          </cell>
          <cell r="V764">
            <v>10825</v>
          </cell>
          <cell r="W764" t="str">
            <v>KEW</v>
          </cell>
          <cell r="X764" t="str">
            <v>01/09/2010</v>
          </cell>
          <cell r="Y764" t="str">
            <v>KEW</v>
          </cell>
          <cell r="Z764" t="str">
            <v>16/08/2013</v>
          </cell>
          <cell r="AA764" t="str">
            <v>15/08/2015</v>
          </cell>
          <cell r="AB764" t="str">
            <v>No</v>
          </cell>
          <cell r="AC764" t="str">
            <v>31/08/2013</v>
          </cell>
          <cell r="AD764" t="str">
            <v>Good</v>
          </cell>
          <cell r="AE764" t="str">
            <v>V1 - Existing / No Claim</v>
          </cell>
          <cell r="AF764">
            <v>42788</v>
          </cell>
          <cell r="AG764">
            <v>9.17</v>
          </cell>
          <cell r="AH764" t="str">
            <v>PPM</v>
          </cell>
          <cell r="AI764" t="str">
            <v>Strands</v>
          </cell>
          <cell r="AJ764" t="str">
            <v>Strands PW</v>
          </cell>
        </row>
        <row r="765">
          <cell r="A765" t="str">
            <v>IKN400298</v>
          </cell>
          <cell r="B765">
            <v>298</v>
          </cell>
          <cell r="C765" t="str">
            <v>Institut Kanser Negara</v>
          </cell>
          <cell r="D765" t="str">
            <v>KKM/IKN/H/13/2045</v>
          </cell>
          <cell r="E765" t="str">
            <v>18-147</v>
          </cell>
          <cell r="F765" t="str">
            <v>Mattress Systems, Alternating-Pressure</v>
          </cell>
          <cell r="G765" t="str">
            <v>WH</v>
          </cell>
          <cell r="H765" t="str">
            <v>RT/ONCO WARD 2 (M)</v>
          </cell>
          <cell r="I765" t="str">
            <v>08WH121</v>
          </cell>
          <cell r="J765" t="str">
            <v>EQUIPMENT ROOM</v>
          </cell>
          <cell r="K765" t="str">
            <v>BMED</v>
          </cell>
          <cell r="L765" t="str">
            <v>Normal</v>
          </cell>
          <cell r="M765" t="str">
            <v>Poland</v>
          </cell>
          <cell r="N765" t="str">
            <v>Nimbus</v>
          </cell>
          <cell r="O765" t="str">
            <v>Nimbus 3</v>
          </cell>
          <cell r="P765" t="str">
            <v>1200005112</v>
          </cell>
          <cell r="Q765" t="str">
            <v>Not Applicable</v>
          </cell>
          <cell r="R765" t="str">
            <v>Arjohuntleigh</v>
          </cell>
          <cell r="S765" t="str">
            <v>Hexamine Sdn. Bhd.</v>
          </cell>
          <cell r="T765" t="str">
            <v>Functioning</v>
          </cell>
          <cell r="U765" t="str">
            <v>Asset</v>
          </cell>
          <cell r="V765">
            <v>28630</v>
          </cell>
          <cell r="W765" t="str">
            <v>KEW</v>
          </cell>
          <cell r="X765" t="str">
            <v>01/09/2010</v>
          </cell>
          <cell r="Y765" t="str">
            <v>KEW</v>
          </cell>
          <cell r="Z765" t="str">
            <v>16/08/2013</v>
          </cell>
          <cell r="AA765" t="str">
            <v>15/08/2015</v>
          </cell>
          <cell r="AB765" t="str">
            <v>No</v>
          </cell>
          <cell r="AC765" t="str">
            <v>31/08/2013</v>
          </cell>
          <cell r="AD765" t="str">
            <v>Good</v>
          </cell>
          <cell r="AE765" t="str">
            <v>V1 - Existing / No Claim</v>
          </cell>
          <cell r="AF765">
            <v>42235</v>
          </cell>
          <cell r="AG765">
            <v>9.17</v>
          </cell>
          <cell r="AH765" t="str">
            <v>PPM</v>
          </cell>
          <cell r="AI765" t="str">
            <v>Strands</v>
          </cell>
          <cell r="AJ765" t="str">
            <v>Strands PW</v>
          </cell>
        </row>
        <row r="766">
          <cell r="A766" t="str">
            <v>IKN400299</v>
          </cell>
          <cell r="B766">
            <v>299</v>
          </cell>
          <cell r="C766" t="str">
            <v>Institut Kanser Negara</v>
          </cell>
          <cell r="D766" t="str">
            <v>KKM/IKN/H/13/2048</v>
          </cell>
          <cell r="E766" t="str">
            <v>18-147</v>
          </cell>
          <cell r="F766" t="str">
            <v>Mattress Systems, Alternating-Pressure</v>
          </cell>
          <cell r="G766" t="str">
            <v>WH</v>
          </cell>
          <cell r="H766" t="str">
            <v>RT/ONCO WARD 2 (M)</v>
          </cell>
          <cell r="I766" t="str">
            <v>08WH121</v>
          </cell>
          <cell r="J766" t="str">
            <v>EQUIPMENT ROOM</v>
          </cell>
          <cell r="K766" t="str">
            <v>BMED</v>
          </cell>
          <cell r="L766" t="str">
            <v>Normal</v>
          </cell>
          <cell r="M766" t="str">
            <v>Poland</v>
          </cell>
          <cell r="N766" t="str">
            <v>Nimbus</v>
          </cell>
          <cell r="O766" t="str">
            <v>Nimbus 3</v>
          </cell>
          <cell r="P766" t="str">
            <v>1200005123</v>
          </cell>
          <cell r="Q766" t="str">
            <v>Not Applicable</v>
          </cell>
          <cell r="R766" t="str">
            <v>Arjohuntleigh</v>
          </cell>
          <cell r="S766" t="str">
            <v>Hexamine Sdn. Bhd.</v>
          </cell>
          <cell r="T766" t="str">
            <v>Functioning</v>
          </cell>
          <cell r="U766" t="str">
            <v>Asset</v>
          </cell>
          <cell r="V766">
            <v>28630</v>
          </cell>
          <cell r="W766" t="str">
            <v>KEW</v>
          </cell>
          <cell r="X766" t="str">
            <v>01/09/2010</v>
          </cell>
          <cell r="Y766" t="str">
            <v>KEW</v>
          </cell>
          <cell r="Z766" t="str">
            <v>16/08/2013</v>
          </cell>
          <cell r="AA766" t="str">
            <v>15/08/2015</v>
          </cell>
          <cell r="AB766" t="str">
            <v>No</v>
          </cell>
          <cell r="AC766" t="str">
            <v>31/08/2013</v>
          </cell>
          <cell r="AD766" t="str">
            <v>Good</v>
          </cell>
          <cell r="AE766" t="str">
            <v>V1 - Existing / No Claim</v>
          </cell>
          <cell r="AF766">
            <v>42235</v>
          </cell>
          <cell r="AG766">
            <v>9.17</v>
          </cell>
          <cell r="AH766" t="str">
            <v>PPM</v>
          </cell>
          <cell r="AI766" t="str">
            <v>Strands</v>
          </cell>
          <cell r="AJ766" t="str">
            <v>Strands PW</v>
          </cell>
        </row>
        <row r="767">
          <cell r="A767" t="str">
            <v>IKN400300</v>
          </cell>
          <cell r="B767">
            <v>300</v>
          </cell>
          <cell r="C767" t="str">
            <v>Institut Kanser Negara</v>
          </cell>
          <cell r="D767" t="str">
            <v>KKM/IKN/H/13/2043</v>
          </cell>
          <cell r="E767" t="str">
            <v>18-147</v>
          </cell>
          <cell r="F767" t="str">
            <v>Mattress Systems, Alternating-Pressure</v>
          </cell>
          <cell r="G767" t="str">
            <v>WH</v>
          </cell>
          <cell r="H767" t="str">
            <v>RT/ONCO WARD 2 (M)</v>
          </cell>
          <cell r="I767" t="str">
            <v>08WH121</v>
          </cell>
          <cell r="J767" t="str">
            <v>EQUIPMENT ROOM</v>
          </cell>
          <cell r="K767" t="str">
            <v>BMED</v>
          </cell>
          <cell r="L767" t="str">
            <v>Normal</v>
          </cell>
          <cell r="M767" t="str">
            <v>Poland</v>
          </cell>
          <cell r="N767" t="str">
            <v>Nimbus</v>
          </cell>
          <cell r="O767" t="str">
            <v>Nimbus 3</v>
          </cell>
          <cell r="P767" t="str">
            <v>1200006469</v>
          </cell>
          <cell r="Q767" t="str">
            <v>Not Applicable</v>
          </cell>
          <cell r="R767" t="str">
            <v>Arjohuntleigh</v>
          </cell>
          <cell r="S767" t="str">
            <v>Hexamine Sdn. Bhd.</v>
          </cell>
          <cell r="T767" t="str">
            <v>Functioning</v>
          </cell>
          <cell r="U767" t="str">
            <v>Asset</v>
          </cell>
          <cell r="V767">
            <v>28630</v>
          </cell>
          <cell r="W767" t="str">
            <v>KEW</v>
          </cell>
          <cell r="X767" t="str">
            <v>01/09/2010</v>
          </cell>
          <cell r="Y767" t="str">
            <v>KEW</v>
          </cell>
          <cell r="Z767" t="str">
            <v>16/08/2013</v>
          </cell>
          <cell r="AA767" t="str">
            <v>15/08/2015</v>
          </cell>
          <cell r="AB767" t="str">
            <v>No</v>
          </cell>
          <cell r="AC767" t="str">
            <v>31/08/2013</v>
          </cell>
          <cell r="AD767" t="str">
            <v>Good</v>
          </cell>
          <cell r="AE767" t="str">
            <v>V1 - Existing / No Claim</v>
          </cell>
          <cell r="AF767">
            <v>42235</v>
          </cell>
          <cell r="AG767">
            <v>9.17</v>
          </cell>
          <cell r="AH767" t="str">
            <v>PPM</v>
          </cell>
          <cell r="AI767" t="str">
            <v>Strands</v>
          </cell>
          <cell r="AJ767" t="str">
            <v>Strands PW</v>
          </cell>
        </row>
        <row r="768">
          <cell r="A768" t="str">
            <v>IKN400301</v>
          </cell>
          <cell r="B768">
            <v>301</v>
          </cell>
          <cell r="C768" t="str">
            <v>Institut Kanser Negara</v>
          </cell>
          <cell r="D768" t="str">
            <v>KKM/IKN/H/13/2047</v>
          </cell>
          <cell r="E768" t="str">
            <v>18-147</v>
          </cell>
          <cell r="F768" t="str">
            <v>Mattress Systems, Alternating-Pressure</v>
          </cell>
          <cell r="G768" t="str">
            <v>WH</v>
          </cell>
          <cell r="H768" t="str">
            <v>RT/ONCO WARD 2 (M)</v>
          </cell>
          <cell r="I768" t="str">
            <v>08WH121</v>
          </cell>
          <cell r="J768" t="str">
            <v>EQUIPMENT ROOM</v>
          </cell>
          <cell r="K768" t="str">
            <v>BMED</v>
          </cell>
          <cell r="L768" t="str">
            <v>Normal</v>
          </cell>
          <cell r="M768" t="str">
            <v>Poland</v>
          </cell>
          <cell r="N768" t="str">
            <v>Nimbus</v>
          </cell>
          <cell r="O768" t="str">
            <v>Nimbus 3</v>
          </cell>
          <cell r="P768" t="str">
            <v>1200005124</v>
          </cell>
          <cell r="Q768" t="str">
            <v>Not Applicable</v>
          </cell>
          <cell r="R768" t="str">
            <v>Arjohuntleigh</v>
          </cell>
          <cell r="S768" t="str">
            <v>Hexamine Sdn. Bhd.</v>
          </cell>
          <cell r="T768" t="str">
            <v>Functioning</v>
          </cell>
          <cell r="U768" t="str">
            <v>Asset</v>
          </cell>
          <cell r="V768">
            <v>28630</v>
          </cell>
          <cell r="W768" t="str">
            <v>KEW</v>
          </cell>
          <cell r="X768" t="str">
            <v>01/09/2010</v>
          </cell>
          <cell r="Y768" t="str">
            <v>KEW</v>
          </cell>
          <cell r="Z768" t="str">
            <v>16/08/2013</v>
          </cell>
          <cell r="AA768" t="str">
            <v>15/08/2015</v>
          </cell>
          <cell r="AB768" t="str">
            <v>No</v>
          </cell>
          <cell r="AC768" t="str">
            <v>31/08/2013</v>
          </cell>
          <cell r="AD768" t="str">
            <v>Good</v>
          </cell>
          <cell r="AE768" t="str">
            <v>V1 - Existing / No Claim</v>
          </cell>
          <cell r="AF768">
            <v>42235</v>
          </cell>
          <cell r="AG768">
            <v>9.17</v>
          </cell>
          <cell r="AH768" t="str">
            <v>PPM</v>
          </cell>
          <cell r="AI768" t="str">
            <v>Strands</v>
          </cell>
          <cell r="AJ768" t="str">
            <v>Strands PW</v>
          </cell>
        </row>
        <row r="769">
          <cell r="A769" t="str">
            <v>IKN400302</v>
          </cell>
          <cell r="B769">
            <v>302</v>
          </cell>
          <cell r="C769" t="str">
            <v>Institut Kanser Negara</v>
          </cell>
          <cell r="D769" t="str">
            <v>KKM/IKN/H/13/2046</v>
          </cell>
          <cell r="E769" t="str">
            <v>18-147</v>
          </cell>
          <cell r="F769" t="str">
            <v>Mattress Systems, Alternating-Pressure</v>
          </cell>
          <cell r="G769" t="str">
            <v>WH</v>
          </cell>
          <cell r="H769" t="str">
            <v>RT/ONCO WARD 2 (M)</v>
          </cell>
          <cell r="I769" t="str">
            <v>08WH121</v>
          </cell>
          <cell r="J769" t="str">
            <v>EQUIPMENT ROOM</v>
          </cell>
          <cell r="K769" t="str">
            <v>BMED</v>
          </cell>
          <cell r="L769" t="str">
            <v>Normal</v>
          </cell>
          <cell r="M769" t="str">
            <v>Poland</v>
          </cell>
          <cell r="N769" t="str">
            <v>Nimbus</v>
          </cell>
          <cell r="O769" t="str">
            <v>Nimbus 3</v>
          </cell>
          <cell r="P769" t="str">
            <v>1200005117</v>
          </cell>
          <cell r="Q769" t="str">
            <v>Not Applicable</v>
          </cell>
          <cell r="R769" t="str">
            <v>Arjohuntleigh</v>
          </cell>
          <cell r="S769" t="str">
            <v>Hexamine Sdn. Bhd.</v>
          </cell>
          <cell r="T769" t="str">
            <v>Functioning</v>
          </cell>
          <cell r="U769" t="str">
            <v>Asset</v>
          </cell>
          <cell r="V769">
            <v>28630</v>
          </cell>
          <cell r="W769" t="str">
            <v>KEW</v>
          </cell>
          <cell r="X769" t="str">
            <v>01/09/2010</v>
          </cell>
          <cell r="Y769" t="str">
            <v>KEW</v>
          </cell>
          <cell r="Z769" t="str">
            <v>16/08/2013</v>
          </cell>
          <cell r="AA769" t="str">
            <v>15/08/2015</v>
          </cell>
          <cell r="AB769" t="str">
            <v>No</v>
          </cell>
          <cell r="AC769" t="str">
            <v>31/08/2013</v>
          </cell>
          <cell r="AD769" t="str">
            <v>Good</v>
          </cell>
          <cell r="AE769" t="str">
            <v>V1 - Existing / No Claim</v>
          </cell>
          <cell r="AF769">
            <v>42235</v>
          </cell>
          <cell r="AG769">
            <v>9.17</v>
          </cell>
          <cell r="AH769" t="str">
            <v>PPM</v>
          </cell>
          <cell r="AI769" t="str">
            <v>Strands</v>
          </cell>
          <cell r="AJ769" t="str">
            <v>Strands PW</v>
          </cell>
        </row>
        <row r="770">
          <cell r="A770" t="str">
            <v>IKN400303</v>
          </cell>
          <cell r="B770">
            <v>303</v>
          </cell>
          <cell r="C770" t="str">
            <v>Institut Kanser Negara</v>
          </cell>
          <cell r="D770" t="str">
            <v>KKM/IKN/H/13/2044</v>
          </cell>
          <cell r="E770" t="str">
            <v>18-147</v>
          </cell>
          <cell r="F770" t="str">
            <v>Mattress Systems, Alternating-Pressure</v>
          </cell>
          <cell r="G770" t="str">
            <v>WH</v>
          </cell>
          <cell r="H770" t="str">
            <v>RT/ONCO WARD 2 (M)</v>
          </cell>
          <cell r="I770" t="str">
            <v>08WH121</v>
          </cell>
          <cell r="J770" t="str">
            <v>EQUIPMENT ROOM</v>
          </cell>
          <cell r="K770" t="str">
            <v>BMED</v>
          </cell>
          <cell r="L770" t="str">
            <v>Normal</v>
          </cell>
          <cell r="M770" t="str">
            <v>Poland</v>
          </cell>
          <cell r="N770" t="str">
            <v>Nimbus</v>
          </cell>
          <cell r="O770" t="str">
            <v>Nimbus 3</v>
          </cell>
          <cell r="P770" t="str">
            <v>1200005119</v>
          </cell>
          <cell r="Q770" t="str">
            <v>Not Applicable</v>
          </cell>
          <cell r="R770" t="str">
            <v>Arjohuntleigh</v>
          </cell>
          <cell r="S770" t="str">
            <v>Hexamine Sdn. Bhd.</v>
          </cell>
          <cell r="T770" t="str">
            <v>Functioning</v>
          </cell>
          <cell r="U770" t="str">
            <v>Asset</v>
          </cell>
          <cell r="V770">
            <v>28630</v>
          </cell>
          <cell r="W770" t="str">
            <v>KEW</v>
          </cell>
          <cell r="X770" t="str">
            <v>01/09/2010</v>
          </cell>
          <cell r="Y770" t="str">
            <v>KEW</v>
          </cell>
          <cell r="Z770" t="str">
            <v>16/08/2013</v>
          </cell>
          <cell r="AA770" t="str">
            <v>15/08/2015</v>
          </cell>
          <cell r="AB770" t="str">
            <v>No</v>
          </cell>
          <cell r="AC770" t="str">
            <v>31/08/2013</v>
          </cell>
          <cell r="AD770" t="str">
            <v>Good</v>
          </cell>
          <cell r="AE770" t="str">
            <v>V1 - Existing / No Claim</v>
          </cell>
          <cell r="AF770">
            <v>42235</v>
          </cell>
          <cell r="AG770">
            <v>9.17</v>
          </cell>
          <cell r="AH770" t="str">
            <v>PPM</v>
          </cell>
          <cell r="AI770" t="str">
            <v>Strands</v>
          </cell>
          <cell r="AJ770" t="str">
            <v>Strands PW</v>
          </cell>
        </row>
        <row r="771">
          <cell r="A771" t="str">
            <v>IKN400304</v>
          </cell>
          <cell r="B771">
            <v>304</v>
          </cell>
          <cell r="C771" t="str">
            <v>Institut Kanser Negara</v>
          </cell>
          <cell r="D771" t="str">
            <v>KKM/IKN/H/13/5436</v>
          </cell>
          <cell r="E771" t="str">
            <v>18-013</v>
          </cell>
          <cell r="F771" t="str">
            <v>Incubators, Laboratory, Thermocycling</v>
          </cell>
          <cell r="G771" t="str">
            <v>NM</v>
          </cell>
          <cell r="H771" t="str">
            <v>NUCLEAR MED (DIAGNOSTIC)</v>
          </cell>
          <cell r="I771" t="str">
            <v>03NM112</v>
          </cell>
          <cell r="J771" t="str">
            <v>CLEAN UTILITY</v>
          </cell>
          <cell r="K771" t="str">
            <v>BMED</v>
          </cell>
          <cell r="L771" t="str">
            <v>Normal</v>
          </cell>
          <cell r="M771" t="str">
            <v>Germany</v>
          </cell>
          <cell r="N771" t="str">
            <v>Binder</v>
          </cell>
          <cell r="O771" t="str">
            <v>Binder BD 115</v>
          </cell>
          <cell r="P771" t="str">
            <v>13-08709</v>
          </cell>
          <cell r="Q771" t="str">
            <v>Not Applicable</v>
          </cell>
          <cell r="R771" t="str">
            <v>Binder GmbH &amp; Co</v>
          </cell>
          <cell r="S771" t="str">
            <v>Bumi Sains Sdn. Bhd.</v>
          </cell>
          <cell r="T771" t="str">
            <v>Functioning</v>
          </cell>
          <cell r="U771" t="str">
            <v>Asset</v>
          </cell>
          <cell r="V771">
            <v>16240</v>
          </cell>
          <cell r="W771" t="str">
            <v>KEW</v>
          </cell>
          <cell r="X771" t="str">
            <v>01/09/2010</v>
          </cell>
          <cell r="Y771" t="str">
            <v>KEW</v>
          </cell>
          <cell r="Z771" t="str">
            <v>16/08/2013</v>
          </cell>
          <cell r="AA771" t="str">
            <v>15/08/2015</v>
          </cell>
          <cell r="AB771" t="str">
            <v>No</v>
          </cell>
          <cell r="AC771" t="str">
            <v>31/08/2013</v>
          </cell>
          <cell r="AD771" t="str">
            <v>Good</v>
          </cell>
          <cell r="AE771" t="str">
            <v>V3 - Added Installed Facilities (New)</v>
          </cell>
          <cell r="AF771">
            <v>42235</v>
          </cell>
          <cell r="AG771">
            <v>9.17</v>
          </cell>
          <cell r="AH771" t="str">
            <v>PPM</v>
          </cell>
          <cell r="AI771" t="str">
            <v>Strands</v>
          </cell>
          <cell r="AJ771" t="str">
            <v>Strands PW</v>
          </cell>
          <cell r="AK771" t="str">
            <v>SNF received. 1st batch of V3 asset (December 2020)</v>
          </cell>
        </row>
        <row r="772">
          <cell r="A772" t="str">
            <v>IKN400305</v>
          </cell>
          <cell r="B772">
            <v>305</v>
          </cell>
          <cell r="C772" t="str">
            <v>Institut Kanser Negara</v>
          </cell>
          <cell r="D772" t="str">
            <v>KKM/IKN/H/13/4965</v>
          </cell>
          <cell r="E772" t="str">
            <v>16-173</v>
          </cell>
          <cell r="F772" t="str">
            <v>Sphygmomanometers, Electronic, Automatic</v>
          </cell>
          <cell r="G772" t="str">
            <v>WH</v>
          </cell>
          <cell r="H772" t="str">
            <v>RT/ONCO WARD 2 (M)</v>
          </cell>
          <cell r="I772" t="str">
            <v>08WH143</v>
          </cell>
          <cell r="J772" t="str">
            <v>NURSE STATION</v>
          </cell>
          <cell r="K772" t="str">
            <v>BMED</v>
          </cell>
          <cell r="L772" t="str">
            <v>Normal</v>
          </cell>
          <cell r="M772" t="str">
            <v>USA</v>
          </cell>
          <cell r="N772" t="str">
            <v>Connex</v>
          </cell>
          <cell r="O772" t="str">
            <v>Connex ProBP 3400</v>
          </cell>
          <cell r="P772" t="str">
            <v>100001490613</v>
          </cell>
          <cell r="Q772" t="str">
            <v>Not Applicable</v>
          </cell>
          <cell r="R772" t="str">
            <v>Welch Allyn Inc</v>
          </cell>
          <cell r="S772" t="str">
            <v>Welch Allyn Malaysia Sdn Bhd</v>
          </cell>
          <cell r="T772" t="str">
            <v>Functioning</v>
          </cell>
          <cell r="U772" t="str">
            <v>Asset</v>
          </cell>
          <cell r="V772">
            <v>4510</v>
          </cell>
          <cell r="W772" t="str">
            <v>KEW</v>
          </cell>
          <cell r="X772" t="str">
            <v>01/09/2010</v>
          </cell>
          <cell r="Y772" t="str">
            <v>KEW</v>
          </cell>
          <cell r="Z772" t="str">
            <v>16/08/2013</v>
          </cell>
          <cell r="AA772" t="str">
            <v>15/08/2015</v>
          </cell>
          <cell r="AB772" t="str">
            <v>No</v>
          </cell>
          <cell r="AC772" t="str">
            <v>31/08/2013</v>
          </cell>
          <cell r="AD772" t="str">
            <v>Good</v>
          </cell>
          <cell r="AE772" t="str">
            <v>V1 - Existing / No Claim</v>
          </cell>
          <cell r="AF772">
            <v>42235</v>
          </cell>
          <cell r="AG772">
            <v>9.17</v>
          </cell>
          <cell r="AH772" t="str">
            <v>PPM</v>
          </cell>
          <cell r="AI772" t="str">
            <v>Strands</v>
          </cell>
          <cell r="AJ772" t="str">
            <v>Strands PW</v>
          </cell>
        </row>
        <row r="773">
          <cell r="A773" t="str">
            <v>IKN400306</v>
          </cell>
          <cell r="B773">
            <v>306</v>
          </cell>
          <cell r="C773" t="str">
            <v>Institut Kanser Negara</v>
          </cell>
          <cell r="D773" t="str">
            <v>KKM/IKN/H/13/3164</v>
          </cell>
          <cell r="E773" t="str">
            <v>12-647</v>
          </cell>
          <cell r="F773" t="str">
            <v>Physiologic Monitoring Systems, Acute Care</v>
          </cell>
          <cell r="G773" t="str">
            <v>WH</v>
          </cell>
          <cell r="H773" t="str">
            <v>RT/ONCO WARD 2 (M)</v>
          </cell>
          <cell r="I773" t="str">
            <v>08WH121</v>
          </cell>
          <cell r="J773" t="str">
            <v>EQUIPMENT ROOM</v>
          </cell>
          <cell r="K773" t="str">
            <v>BMED</v>
          </cell>
          <cell r="L773" t="str">
            <v>Critical</v>
          </cell>
          <cell r="M773" t="str">
            <v>USA</v>
          </cell>
          <cell r="N773" t="str">
            <v>GE</v>
          </cell>
          <cell r="O773" t="str">
            <v>GE B30</v>
          </cell>
          <cell r="P773" t="str">
            <v>SF312325913WA</v>
          </cell>
          <cell r="Q773" t="str">
            <v>Not Applicable</v>
          </cell>
          <cell r="R773" t="str">
            <v>GE Healthcare Systems</v>
          </cell>
          <cell r="S773" t="str">
            <v>GE Healthcare Technologies</v>
          </cell>
          <cell r="T773" t="str">
            <v>Functioning</v>
          </cell>
          <cell r="U773" t="str">
            <v>Asset</v>
          </cell>
          <cell r="V773">
            <v>44510</v>
          </cell>
          <cell r="W773" t="str">
            <v>KEW</v>
          </cell>
          <cell r="X773" t="str">
            <v>01/09/2010</v>
          </cell>
          <cell r="Y773" t="str">
            <v>KEW</v>
          </cell>
          <cell r="Z773" t="str">
            <v>16/08/2013</v>
          </cell>
          <cell r="AA773" t="str">
            <v>15/08/2015</v>
          </cell>
          <cell r="AB773" t="str">
            <v>No</v>
          </cell>
          <cell r="AC773" t="str">
            <v>31/08/2013</v>
          </cell>
          <cell r="AD773" t="str">
            <v>Good</v>
          </cell>
          <cell r="AE773" t="str">
            <v>V1 - Existing / No Claim</v>
          </cell>
          <cell r="AF773">
            <v>42787</v>
          </cell>
          <cell r="AG773">
            <v>9.17</v>
          </cell>
          <cell r="AH773" t="str">
            <v>PPM</v>
          </cell>
          <cell r="AI773" t="str">
            <v>Strands</v>
          </cell>
          <cell r="AJ773" t="str">
            <v>Strands PW</v>
          </cell>
        </row>
        <row r="774">
          <cell r="A774" t="str">
            <v>IKN400307</v>
          </cell>
          <cell r="B774">
            <v>307</v>
          </cell>
          <cell r="C774" t="str">
            <v>Institut Kanser Negara</v>
          </cell>
          <cell r="D774" t="str">
            <v>KKM/IKN/H/13/3165</v>
          </cell>
          <cell r="E774" t="str">
            <v>12-647</v>
          </cell>
          <cell r="F774" t="str">
            <v>Physiologic Monitoring Systems, Acute Care</v>
          </cell>
          <cell r="G774" t="str">
            <v>WH</v>
          </cell>
          <cell r="H774" t="str">
            <v>RT/ONCO WARD 2 (M)</v>
          </cell>
          <cell r="I774" t="str">
            <v>08WH121</v>
          </cell>
          <cell r="J774" t="str">
            <v>EQUIPMENT ROOM</v>
          </cell>
          <cell r="K774" t="str">
            <v>BMED</v>
          </cell>
          <cell r="L774" t="str">
            <v>Critical</v>
          </cell>
          <cell r="M774" t="str">
            <v>USA</v>
          </cell>
          <cell r="N774" t="str">
            <v>GE</v>
          </cell>
          <cell r="O774" t="str">
            <v>GE B30</v>
          </cell>
          <cell r="P774" t="str">
            <v>SF312325903WA</v>
          </cell>
          <cell r="Q774" t="str">
            <v>Not Applicable</v>
          </cell>
          <cell r="R774" t="str">
            <v>GE Healthcare Systems</v>
          </cell>
          <cell r="S774" t="str">
            <v>GE Healthcare Technologies</v>
          </cell>
          <cell r="T774" t="str">
            <v>Functioning</v>
          </cell>
          <cell r="U774" t="str">
            <v>Asset</v>
          </cell>
          <cell r="V774">
            <v>44510</v>
          </cell>
          <cell r="W774" t="str">
            <v>KEW</v>
          </cell>
          <cell r="X774" t="str">
            <v>01/09/2010</v>
          </cell>
          <cell r="Y774" t="str">
            <v>KEW</v>
          </cell>
          <cell r="Z774" t="str">
            <v>16/08/2013</v>
          </cell>
          <cell r="AA774" t="str">
            <v>15/08/2015</v>
          </cell>
          <cell r="AB774" t="str">
            <v>No</v>
          </cell>
          <cell r="AC774" t="str">
            <v>31/08/2013</v>
          </cell>
          <cell r="AD774" t="str">
            <v>Good</v>
          </cell>
          <cell r="AE774" t="str">
            <v>V1 - Existing / No Claim</v>
          </cell>
          <cell r="AF774">
            <v>42788</v>
          </cell>
          <cell r="AG774">
            <v>9.17</v>
          </cell>
          <cell r="AH774" t="str">
            <v>PPM</v>
          </cell>
          <cell r="AI774" t="str">
            <v>Strands</v>
          </cell>
          <cell r="AJ774" t="str">
            <v>Strands PW</v>
          </cell>
        </row>
        <row r="775">
          <cell r="A775" t="str">
            <v>IKN400308</v>
          </cell>
          <cell r="B775">
            <v>308</v>
          </cell>
          <cell r="C775" t="str">
            <v>Institut Kanser Negara</v>
          </cell>
          <cell r="D775" t="str">
            <v>KKM/IKN/H/13/3193</v>
          </cell>
          <cell r="E775" t="str">
            <v>11-134</v>
          </cell>
          <cell r="F775" t="str">
            <v>Defibrillators, External, Manual</v>
          </cell>
          <cell r="G775" t="str">
            <v>WH</v>
          </cell>
          <cell r="H775" t="str">
            <v>RT/ONCO WARD 2 (M)</v>
          </cell>
          <cell r="I775" t="str">
            <v>08WH133</v>
          </cell>
          <cell r="J775" t="str">
            <v>RESUS EQ. BAY</v>
          </cell>
          <cell r="K775" t="str">
            <v>BMED</v>
          </cell>
          <cell r="L775" t="str">
            <v>Critical</v>
          </cell>
          <cell r="M775" t="str">
            <v>USA</v>
          </cell>
          <cell r="N775" t="str">
            <v>Responder</v>
          </cell>
          <cell r="O775" t="str">
            <v>Responder 2000</v>
          </cell>
          <cell r="P775" t="str">
            <v>3206647</v>
          </cell>
          <cell r="Q775" t="str">
            <v>Not Applicable</v>
          </cell>
          <cell r="R775" t="str">
            <v>GE Medical Systems</v>
          </cell>
          <cell r="S775" t="str">
            <v>Antah Sir Radin Sdn. Bhd.</v>
          </cell>
          <cell r="T775" t="str">
            <v>Functioning</v>
          </cell>
          <cell r="U775" t="str">
            <v>Asset</v>
          </cell>
          <cell r="V775">
            <v>45000</v>
          </cell>
          <cell r="W775" t="str">
            <v>Estimate</v>
          </cell>
          <cell r="X775" t="str">
            <v>01/09/2010</v>
          </cell>
          <cell r="Y775" t="str">
            <v>KEW</v>
          </cell>
          <cell r="Z775" t="str">
            <v>16/08/2013</v>
          </cell>
          <cell r="AA775" t="str">
            <v>15/08/2015</v>
          </cell>
          <cell r="AB775" t="str">
            <v>No</v>
          </cell>
          <cell r="AC775" t="str">
            <v>31/08/2013</v>
          </cell>
          <cell r="AD775" t="str">
            <v>Good</v>
          </cell>
          <cell r="AE775" t="str">
            <v>V1 - Existing / No Claim</v>
          </cell>
          <cell r="AF775">
            <v>42601</v>
          </cell>
          <cell r="AG775">
            <v>9.17</v>
          </cell>
          <cell r="AH775" t="str">
            <v>PPM</v>
          </cell>
          <cell r="AI775" t="str">
            <v>Strands</v>
          </cell>
          <cell r="AJ775" t="str">
            <v>Strands PW</v>
          </cell>
          <cell r="AK775" t="str">
            <v>Crash Trolley (FEMS)</v>
          </cell>
        </row>
        <row r="776">
          <cell r="A776" t="str">
            <v>IKN400309</v>
          </cell>
          <cell r="B776">
            <v>309</v>
          </cell>
          <cell r="C776" t="str">
            <v>Institut Kanser Negara</v>
          </cell>
          <cell r="D776" t="str">
            <v>KKM/IKN/H/14/85</v>
          </cell>
          <cell r="E776" t="str">
            <v>15-156</v>
          </cell>
          <cell r="F776" t="str">
            <v>Microscopes, Light, Laboratory</v>
          </cell>
          <cell r="G776" t="str">
            <v>LA</v>
          </cell>
          <cell r="H776" t="str">
            <v>PATHOLOGY</v>
          </cell>
          <cell r="I776" t="str">
            <v>04LA130</v>
          </cell>
          <cell r="J776" t="str">
            <v>SEROLOGY</v>
          </cell>
          <cell r="K776" t="str">
            <v>BMED</v>
          </cell>
          <cell r="L776" t="str">
            <v>Normal</v>
          </cell>
          <cell r="M776" t="str">
            <v>Philipines</v>
          </cell>
          <cell r="N776" t="str">
            <v>Olympus</v>
          </cell>
          <cell r="O776" t="str">
            <v>Olympus CX 31RBSF</v>
          </cell>
          <cell r="P776" t="str">
            <v>4E40694</v>
          </cell>
          <cell r="Q776" t="str">
            <v>Not Applicable</v>
          </cell>
          <cell r="R776" t="str">
            <v>Olympus Corp Ltd</v>
          </cell>
          <cell r="S776" t="str">
            <v>Matrix Optics (M) Sdn. Bhd</v>
          </cell>
          <cell r="T776" t="str">
            <v>Functioning</v>
          </cell>
          <cell r="U776" t="str">
            <v>Asset</v>
          </cell>
          <cell r="V776">
            <v>15550</v>
          </cell>
          <cell r="W776" t="str">
            <v>KEW</v>
          </cell>
          <cell r="X776" t="str">
            <v>25/09/2014</v>
          </cell>
          <cell r="Y776" t="str">
            <v>KEW</v>
          </cell>
          <cell r="Z776" t="str">
            <v>13/11/2014</v>
          </cell>
          <cell r="AA776" t="str">
            <v>12/11/2015</v>
          </cell>
          <cell r="AB776" t="str">
            <v>No</v>
          </cell>
          <cell r="AC776" t="str">
            <v>13/11/2014</v>
          </cell>
          <cell r="AD776" t="str">
            <v>Good</v>
          </cell>
          <cell r="AE776" t="str">
            <v>V3 - Added Installed Facilities (New)</v>
          </cell>
          <cell r="AF776">
            <v>42679</v>
          </cell>
          <cell r="AG776">
            <v>5.17</v>
          </cell>
          <cell r="AH776" t="str">
            <v>PPM</v>
          </cell>
          <cell r="AI776" t="str">
            <v>Strands</v>
          </cell>
          <cell r="AJ776" t="str">
            <v>Strands PW</v>
          </cell>
          <cell r="AK776" t="str">
            <v>SNF received. 1st batch of V3 asset (December 2020)</v>
          </cell>
        </row>
        <row r="777">
          <cell r="A777" t="str">
            <v>IKN400310</v>
          </cell>
          <cell r="B777">
            <v>310</v>
          </cell>
          <cell r="C777" t="str">
            <v>Institut Kanser Negara</v>
          </cell>
          <cell r="D777" t="str">
            <v>KKM/IKN/H/13/2021</v>
          </cell>
          <cell r="E777" t="str">
            <v>16-173</v>
          </cell>
          <cell r="F777" t="str">
            <v>Sphygmomanometers, Electronic, Automatic</v>
          </cell>
          <cell r="G777" t="str">
            <v>WH</v>
          </cell>
          <cell r="H777" t="str">
            <v>RT/ONCO WARD 2 (M)</v>
          </cell>
          <cell r="I777" t="str">
            <v>08WH143</v>
          </cell>
          <cell r="J777" t="str">
            <v>NURSE STATION</v>
          </cell>
          <cell r="K777" t="str">
            <v>BMED</v>
          </cell>
          <cell r="L777" t="str">
            <v>Critical</v>
          </cell>
          <cell r="M777" t="str">
            <v>USA</v>
          </cell>
          <cell r="N777" t="str">
            <v>Connex</v>
          </cell>
          <cell r="O777" t="str">
            <v>Connex ProBP 3400</v>
          </cell>
          <cell r="P777" t="str">
            <v>100001650613</v>
          </cell>
          <cell r="Q777" t="str">
            <v>Not Applicable</v>
          </cell>
          <cell r="R777" t="str">
            <v>Welch Allyn Inc</v>
          </cell>
          <cell r="S777" t="str">
            <v>Welch Allyn Malaysia Sdn Bhd</v>
          </cell>
          <cell r="T777" t="str">
            <v>Functioning</v>
          </cell>
          <cell r="U777" t="str">
            <v>Asset</v>
          </cell>
          <cell r="V777">
            <v>4510</v>
          </cell>
          <cell r="W777" t="str">
            <v>KEW</v>
          </cell>
          <cell r="X777" t="str">
            <v>01/09/2010</v>
          </cell>
          <cell r="Y777" t="str">
            <v>KEW</v>
          </cell>
          <cell r="Z777" t="str">
            <v>16/08/2013</v>
          </cell>
          <cell r="AA777" t="str">
            <v>15/08/2015</v>
          </cell>
          <cell r="AB777" t="str">
            <v>No</v>
          </cell>
          <cell r="AC777" t="str">
            <v>31/08/2013</v>
          </cell>
          <cell r="AD777" t="str">
            <v>Good</v>
          </cell>
          <cell r="AE777" t="str">
            <v>V1 - Existing / No Claim</v>
          </cell>
          <cell r="AF777">
            <v>42788</v>
          </cell>
          <cell r="AG777">
            <v>9.17</v>
          </cell>
          <cell r="AH777" t="str">
            <v>PPM</v>
          </cell>
          <cell r="AI777" t="str">
            <v>Strands</v>
          </cell>
          <cell r="AJ777" t="str">
            <v>Strands PW</v>
          </cell>
        </row>
        <row r="778">
          <cell r="A778" t="str">
            <v>IKN400311</v>
          </cell>
          <cell r="B778">
            <v>311</v>
          </cell>
          <cell r="C778" t="str">
            <v>Institut Kanser Negara</v>
          </cell>
          <cell r="D778" t="str">
            <v>KKM/IKN/H/13/2034</v>
          </cell>
          <cell r="E778" t="str">
            <v>13-215</v>
          </cell>
          <cell r="F778" t="str">
            <v>Infusion Pumps, General-Purpose</v>
          </cell>
          <cell r="G778" t="str">
            <v>WH</v>
          </cell>
          <cell r="H778" t="str">
            <v>RT/ONCO WARD 2 (M)</v>
          </cell>
          <cell r="I778" t="str">
            <v>08WH121</v>
          </cell>
          <cell r="J778" t="str">
            <v>EQUIPMENT ROOM</v>
          </cell>
          <cell r="K778" t="str">
            <v>BMED</v>
          </cell>
          <cell r="L778" t="str">
            <v>Normal</v>
          </cell>
          <cell r="M778" t="str">
            <v>Germany</v>
          </cell>
          <cell r="N778" t="str">
            <v>Infusomat</v>
          </cell>
          <cell r="O778" t="str">
            <v>Infusomat Space</v>
          </cell>
          <cell r="P778" t="str">
            <v>211976</v>
          </cell>
          <cell r="Q778" t="str">
            <v>Not Applicable</v>
          </cell>
          <cell r="R778" t="str">
            <v>B Braun Melsungen AG</v>
          </cell>
          <cell r="S778" t="str">
            <v>B Braun Medical Supplies Sdn. Bhd.</v>
          </cell>
          <cell r="T778" t="str">
            <v>Functioning</v>
          </cell>
          <cell r="U778" t="str">
            <v>Asset</v>
          </cell>
          <cell r="V778">
            <v>10825</v>
          </cell>
          <cell r="W778" t="str">
            <v>KEW</v>
          </cell>
          <cell r="X778" t="str">
            <v>01/09/2010</v>
          </cell>
          <cell r="Y778" t="str">
            <v>KEW</v>
          </cell>
          <cell r="Z778" t="str">
            <v>16/08/2013</v>
          </cell>
          <cell r="AA778" t="str">
            <v>15/08/2015</v>
          </cell>
          <cell r="AB778" t="str">
            <v>No</v>
          </cell>
          <cell r="AC778" t="str">
            <v>31/08/2013</v>
          </cell>
          <cell r="AD778" t="str">
            <v>Good</v>
          </cell>
          <cell r="AE778" t="str">
            <v>V1 - Existing / No Claim</v>
          </cell>
          <cell r="AF778">
            <v>42235</v>
          </cell>
          <cell r="AG778">
            <v>9.17</v>
          </cell>
          <cell r="AH778" t="str">
            <v>PPM</v>
          </cell>
          <cell r="AI778" t="str">
            <v>Strands</v>
          </cell>
          <cell r="AJ778" t="str">
            <v>Strands PW</v>
          </cell>
        </row>
        <row r="779">
          <cell r="A779" t="str">
            <v>IKN400312</v>
          </cell>
          <cell r="B779">
            <v>312</v>
          </cell>
          <cell r="C779" t="str">
            <v>Institut Kanser Negara</v>
          </cell>
          <cell r="D779" t="str">
            <v>KKM/IKN/H/13/2025</v>
          </cell>
          <cell r="E779" t="str">
            <v>25-209</v>
          </cell>
          <cell r="F779" t="str">
            <v>Monitors, Physiologic, Vital Signs</v>
          </cell>
          <cell r="G779" t="str">
            <v>WH</v>
          </cell>
          <cell r="H779" t="str">
            <v>RT/ONCO WARD 2 (M)</v>
          </cell>
          <cell r="I779" t="str">
            <v>08WH143</v>
          </cell>
          <cell r="J779" t="str">
            <v>NURSE STATION</v>
          </cell>
          <cell r="K779" t="str">
            <v>BMED</v>
          </cell>
          <cell r="L779" t="str">
            <v>Critical</v>
          </cell>
          <cell r="M779" t="str">
            <v>Mexico</v>
          </cell>
          <cell r="N779" t="str">
            <v>Carespace</v>
          </cell>
          <cell r="O779" t="str">
            <v>Carescape V100</v>
          </cell>
          <cell r="P779" t="str">
            <v>SH613310090SA</v>
          </cell>
          <cell r="Q779" t="str">
            <v>Not Applicable</v>
          </cell>
          <cell r="R779" t="str">
            <v>GE Healthcare Systems</v>
          </cell>
          <cell r="S779" t="str">
            <v>GE Healthcare Technologies</v>
          </cell>
          <cell r="T779" t="str">
            <v>Functioning</v>
          </cell>
          <cell r="U779" t="str">
            <v>Asset</v>
          </cell>
          <cell r="V779">
            <v>7770</v>
          </cell>
          <cell r="W779" t="str">
            <v>KEW</v>
          </cell>
          <cell r="X779" t="str">
            <v>01/09/2010</v>
          </cell>
          <cell r="Y779" t="str">
            <v>KEW</v>
          </cell>
          <cell r="Z779" t="str">
            <v>16/08/2013</v>
          </cell>
          <cell r="AA779" t="str">
            <v>15/08/2015</v>
          </cell>
          <cell r="AB779" t="str">
            <v>No</v>
          </cell>
          <cell r="AC779" t="str">
            <v>31/08/2013</v>
          </cell>
          <cell r="AD779" t="str">
            <v>Good</v>
          </cell>
          <cell r="AE779" t="str">
            <v>V1 - Existing / No Claim</v>
          </cell>
          <cell r="AF779">
            <v>42788</v>
          </cell>
          <cell r="AG779">
            <v>9.17</v>
          </cell>
          <cell r="AH779" t="str">
            <v>PPM</v>
          </cell>
          <cell r="AI779" t="str">
            <v>Strands</v>
          </cell>
          <cell r="AJ779" t="str">
            <v>Strands PW</v>
          </cell>
        </row>
        <row r="780">
          <cell r="A780" t="str">
            <v>IKN400313</v>
          </cell>
          <cell r="B780">
            <v>313</v>
          </cell>
          <cell r="C780" t="str">
            <v>Institut Kanser Negara</v>
          </cell>
          <cell r="D780" t="str">
            <v>KKM/IKN/H/13/4966</v>
          </cell>
          <cell r="E780" t="str">
            <v>10-208</v>
          </cell>
          <cell r="F780" t="str">
            <v>Aspirators</v>
          </cell>
          <cell r="G780" t="str">
            <v>WH</v>
          </cell>
          <cell r="H780" t="str">
            <v>RT/ONCO WARD 2 (M)</v>
          </cell>
          <cell r="I780" t="str">
            <v>08WH143</v>
          </cell>
          <cell r="J780" t="str">
            <v>NURSE STATION</v>
          </cell>
          <cell r="K780" t="str">
            <v>BMED</v>
          </cell>
          <cell r="L780" t="str">
            <v>Normal</v>
          </cell>
          <cell r="M780" t="str">
            <v>UK</v>
          </cell>
          <cell r="N780" t="str">
            <v>SAM</v>
          </cell>
          <cell r="O780" t="str">
            <v>SAM 427</v>
          </cell>
          <cell r="P780" t="str">
            <v>08131706</v>
          </cell>
          <cell r="Q780" t="str">
            <v>Not Applicable</v>
          </cell>
          <cell r="R780" t="str">
            <v>MG Electric Ltd</v>
          </cell>
          <cell r="S780" t="str">
            <v>Delta Medisains</v>
          </cell>
          <cell r="T780" t="str">
            <v>Functioning</v>
          </cell>
          <cell r="U780" t="str">
            <v>Asset</v>
          </cell>
          <cell r="V780">
            <v>10705</v>
          </cell>
          <cell r="W780" t="str">
            <v>KEW</v>
          </cell>
          <cell r="X780" t="str">
            <v>01/09/2010</v>
          </cell>
          <cell r="Y780" t="str">
            <v>KEW</v>
          </cell>
          <cell r="Z780" t="str">
            <v>16/08/2013</v>
          </cell>
          <cell r="AA780" t="str">
            <v>15/08/2015</v>
          </cell>
          <cell r="AB780" t="str">
            <v>No</v>
          </cell>
          <cell r="AC780" t="str">
            <v>31/08/2013</v>
          </cell>
          <cell r="AD780" t="str">
            <v>Good</v>
          </cell>
          <cell r="AE780" t="str">
            <v>V1 - Existing / No Claim</v>
          </cell>
          <cell r="AF780">
            <v>42235</v>
          </cell>
          <cell r="AG780">
            <v>9.17</v>
          </cell>
          <cell r="AH780" t="str">
            <v>PPM</v>
          </cell>
          <cell r="AI780" t="str">
            <v>Strands</v>
          </cell>
          <cell r="AJ780" t="str">
            <v>Strands PW</v>
          </cell>
        </row>
        <row r="781">
          <cell r="A781" t="str">
            <v>IKN400315</v>
          </cell>
          <cell r="B781">
            <v>315</v>
          </cell>
          <cell r="C781" t="str">
            <v>Institut Kanser Negara</v>
          </cell>
          <cell r="D781" t="str">
            <v>KKM/IKN/H/13/2457</v>
          </cell>
          <cell r="E781" t="str">
            <v>10-208</v>
          </cell>
          <cell r="F781" t="str">
            <v>Aspirators</v>
          </cell>
          <cell r="G781" t="str">
            <v>WF</v>
          </cell>
          <cell r="H781" t="str">
            <v>RT/ONCO WARD 2 (F)</v>
          </cell>
          <cell r="I781" t="str">
            <v>07WF107</v>
          </cell>
          <cell r="J781" t="str">
            <v>TREATMENT / PROCEDDURE</v>
          </cell>
          <cell r="K781" t="str">
            <v>BMED</v>
          </cell>
          <cell r="L781" t="str">
            <v>Normal</v>
          </cell>
          <cell r="M781" t="str">
            <v>Switzerland</v>
          </cell>
          <cell r="N781" t="str">
            <v>Senator</v>
          </cell>
          <cell r="O781" t="str">
            <v>Senator</v>
          </cell>
          <cell r="P781" t="str">
            <v>1220756</v>
          </cell>
          <cell r="Q781" t="str">
            <v>Not Applicable</v>
          </cell>
          <cell r="R781" t="str">
            <v>Ardo Medical AG</v>
          </cell>
          <cell r="S781" t="str">
            <v>Histopoint</v>
          </cell>
          <cell r="T781" t="str">
            <v>Functioning</v>
          </cell>
          <cell r="U781" t="str">
            <v>Asset</v>
          </cell>
          <cell r="V781">
            <v>5052</v>
          </cell>
          <cell r="W781" t="str">
            <v>KEW</v>
          </cell>
          <cell r="X781" t="str">
            <v>01/09/2010</v>
          </cell>
          <cell r="Y781" t="str">
            <v>KEW</v>
          </cell>
          <cell r="Z781" t="str">
            <v>16/08/2013</v>
          </cell>
          <cell r="AA781" t="str">
            <v>15/08/2015</v>
          </cell>
          <cell r="AB781" t="str">
            <v>No</v>
          </cell>
          <cell r="AC781" t="str">
            <v>31/08/2013</v>
          </cell>
          <cell r="AD781" t="str">
            <v>Good</v>
          </cell>
          <cell r="AE781" t="str">
            <v>V1 - Existing / No Claim</v>
          </cell>
          <cell r="AF781">
            <v>42235</v>
          </cell>
          <cell r="AG781">
            <v>9.17</v>
          </cell>
          <cell r="AH781" t="str">
            <v>PPM</v>
          </cell>
          <cell r="AI781" t="str">
            <v>Strands</v>
          </cell>
          <cell r="AJ781" t="str">
            <v>Strands PW</v>
          </cell>
        </row>
        <row r="782">
          <cell r="A782" t="str">
            <v>IKN400316</v>
          </cell>
          <cell r="B782">
            <v>316</v>
          </cell>
          <cell r="C782" t="str">
            <v>Institut Kanser Negara</v>
          </cell>
          <cell r="D782" t="str">
            <v>KKM/IKN/H/13/303</v>
          </cell>
          <cell r="E782" t="str">
            <v>16-231</v>
          </cell>
          <cell r="F782" t="str">
            <v>Electrocardiographs, Multichannel, Interpretative</v>
          </cell>
          <cell r="G782" t="str">
            <v>WF</v>
          </cell>
          <cell r="H782" t="str">
            <v>RT/ONCO WARD 2 (F)</v>
          </cell>
          <cell r="I782" t="str">
            <v>07WF107</v>
          </cell>
          <cell r="J782" t="str">
            <v>TREATMENT / PROCEDDURE</v>
          </cell>
          <cell r="K782" t="str">
            <v>BMED</v>
          </cell>
          <cell r="L782" t="str">
            <v>Critical</v>
          </cell>
          <cell r="M782" t="str">
            <v>China</v>
          </cell>
          <cell r="N782" t="str">
            <v>Mac</v>
          </cell>
          <cell r="O782" t="str">
            <v>MAC 800</v>
          </cell>
          <cell r="P782" t="str">
            <v>SJ412450369 WA</v>
          </cell>
          <cell r="Q782" t="str">
            <v>Not Applicable</v>
          </cell>
          <cell r="R782" t="str">
            <v>GE Healthcare Systems</v>
          </cell>
          <cell r="S782" t="str">
            <v>GE Healthcare Technologies</v>
          </cell>
          <cell r="T782" t="str">
            <v>Functioning</v>
          </cell>
          <cell r="U782" t="str">
            <v>Asset</v>
          </cell>
          <cell r="V782">
            <v>25260</v>
          </cell>
          <cell r="W782" t="str">
            <v>KEW</v>
          </cell>
          <cell r="X782" t="str">
            <v>01/09/2010</v>
          </cell>
          <cell r="Y782" t="str">
            <v>KEW</v>
          </cell>
          <cell r="Z782" t="str">
            <v>16/08/2013</v>
          </cell>
          <cell r="AA782" t="str">
            <v>15/08/2015</v>
          </cell>
          <cell r="AB782" t="str">
            <v>No</v>
          </cell>
          <cell r="AC782" t="str">
            <v>31/08/2013</v>
          </cell>
          <cell r="AD782" t="str">
            <v>Good</v>
          </cell>
          <cell r="AE782" t="str">
            <v>V1 - Existing / No Claim</v>
          </cell>
          <cell r="AF782">
            <v>42788</v>
          </cell>
          <cell r="AG782">
            <v>9.17</v>
          </cell>
          <cell r="AH782" t="str">
            <v>PPM</v>
          </cell>
          <cell r="AI782" t="str">
            <v>Strands</v>
          </cell>
          <cell r="AJ782" t="str">
            <v>Strands PW</v>
          </cell>
        </row>
        <row r="783">
          <cell r="A783" t="str">
            <v>IKN400319</v>
          </cell>
          <cell r="B783">
            <v>319</v>
          </cell>
          <cell r="C783" t="str">
            <v>Institut Kanser Negara</v>
          </cell>
          <cell r="D783" t="str">
            <v>KKM/IKN/H/13/2515</v>
          </cell>
          <cell r="E783" t="str">
            <v>10-447</v>
          </cell>
          <cell r="F783" t="str">
            <v>Warming Units, Blood/Solution</v>
          </cell>
          <cell r="G783" t="str">
            <v>WF</v>
          </cell>
          <cell r="H783" t="str">
            <v>RT/ONCO WARD 2 (F)</v>
          </cell>
          <cell r="I783" t="str">
            <v>07WF121</v>
          </cell>
          <cell r="J783" t="str">
            <v>EQUIPMENT ROOM</v>
          </cell>
          <cell r="K783" t="str">
            <v>BMED</v>
          </cell>
          <cell r="L783" t="str">
            <v>Normal</v>
          </cell>
          <cell r="M783" t="str">
            <v>Japan</v>
          </cell>
          <cell r="N783" t="str">
            <v>Animec</v>
          </cell>
          <cell r="O783" t="str">
            <v>Animec AM-301</v>
          </cell>
          <cell r="P783" t="str">
            <v>2013D0247</v>
          </cell>
          <cell r="Q783" t="str">
            <v>Not Applicable</v>
          </cell>
          <cell r="R783" t="str">
            <v>Elltec Co Ltd</v>
          </cell>
          <cell r="S783" t="str">
            <v>IDS Services (Malaysia) Sdn Bhd</v>
          </cell>
          <cell r="T783" t="str">
            <v>Functioning</v>
          </cell>
          <cell r="U783" t="str">
            <v>Asset</v>
          </cell>
          <cell r="V783">
            <v>4990</v>
          </cell>
          <cell r="W783" t="str">
            <v>KEW</v>
          </cell>
          <cell r="X783" t="str">
            <v>01/09/2010</v>
          </cell>
          <cell r="Y783" t="str">
            <v>KEW</v>
          </cell>
          <cell r="Z783" t="str">
            <v>16/08/2013</v>
          </cell>
          <cell r="AA783" t="str">
            <v>15/08/2015</v>
          </cell>
          <cell r="AB783" t="str">
            <v>No</v>
          </cell>
          <cell r="AC783" t="str">
            <v>31/08/2013</v>
          </cell>
          <cell r="AD783" t="str">
            <v>Good</v>
          </cell>
          <cell r="AE783" t="str">
            <v>V1 - Existing / No Claim</v>
          </cell>
          <cell r="AF783">
            <v>42235</v>
          </cell>
          <cell r="AG783">
            <v>9.17</v>
          </cell>
          <cell r="AH783" t="str">
            <v>PPM</v>
          </cell>
          <cell r="AI783" t="str">
            <v>Strands</v>
          </cell>
          <cell r="AJ783" t="str">
            <v>Strands PW</v>
          </cell>
        </row>
        <row r="784">
          <cell r="A784" t="str">
            <v>IKN400320</v>
          </cell>
          <cell r="B784">
            <v>320</v>
          </cell>
          <cell r="C784" t="str">
            <v>Institut Kanser Negara</v>
          </cell>
          <cell r="D784" t="str">
            <v>KKM/IKN/H/13/2504</v>
          </cell>
          <cell r="E784" t="str">
            <v>10-447</v>
          </cell>
          <cell r="F784" t="str">
            <v>Warming Units, Blood/Solution</v>
          </cell>
          <cell r="G784" t="str">
            <v>WF</v>
          </cell>
          <cell r="H784" t="str">
            <v>RT/ONCO WARD 2 (F)</v>
          </cell>
          <cell r="I784" t="str">
            <v>07WF121</v>
          </cell>
          <cell r="J784" t="str">
            <v>EQUIPMENT ROOM</v>
          </cell>
          <cell r="K784" t="str">
            <v>BMED</v>
          </cell>
          <cell r="L784" t="str">
            <v>Normal</v>
          </cell>
          <cell r="M784" t="str">
            <v>Japan</v>
          </cell>
          <cell r="N784" t="str">
            <v>Animec</v>
          </cell>
          <cell r="O784" t="str">
            <v>Animec AM-301</v>
          </cell>
          <cell r="P784" t="str">
            <v>2013D0248</v>
          </cell>
          <cell r="Q784" t="str">
            <v>Not Applicable</v>
          </cell>
          <cell r="R784" t="str">
            <v>Elltec Co Ltd</v>
          </cell>
          <cell r="S784" t="str">
            <v>IDS Services (Malaysia) Sdn Bhd</v>
          </cell>
          <cell r="T784" t="str">
            <v>Functioning</v>
          </cell>
          <cell r="U784" t="str">
            <v>Asset</v>
          </cell>
          <cell r="V784">
            <v>4990</v>
          </cell>
          <cell r="W784" t="str">
            <v>KEW</v>
          </cell>
          <cell r="X784" t="str">
            <v>01/09/2010</v>
          </cell>
          <cell r="Y784" t="str">
            <v>KEW</v>
          </cell>
          <cell r="Z784" t="str">
            <v>16/08/2013</v>
          </cell>
          <cell r="AA784" t="str">
            <v>15/08/2015</v>
          </cell>
          <cell r="AB784" t="str">
            <v>No</v>
          </cell>
          <cell r="AC784" t="str">
            <v>31/08/2013</v>
          </cell>
          <cell r="AD784" t="str">
            <v>Good</v>
          </cell>
          <cell r="AE784" t="str">
            <v>V1 - Existing / No Claim</v>
          </cell>
          <cell r="AF784">
            <v>42235</v>
          </cell>
          <cell r="AG784">
            <v>9.17</v>
          </cell>
          <cell r="AH784" t="str">
            <v>PPM</v>
          </cell>
          <cell r="AI784" t="str">
            <v>Strands</v>
          </cell>
          <cell r="AJ784" t="str">
            <v>Strands PW</v>
          </cell>
        </row>
        <row r="785">
          <cell r="A785" t="str">
            <v>IKN400321</v>
          </cell>
          <cell r="B785">
            <v>321</v>
          </cell>
          <cell r="C785" t="str">
            <v>Institut Kanser Negara</v>
          </cell>
          <cell r="D785" t="str">
            <v>KKM/IKN/H/13/2509</v>
          </cell>
          <cell r="E785" t="str">
            <v>10-447</v>
          </cell>
          <cell r="F785" t="str">
            <v>Warming Units, Blood/Solution</v>
          </cell>
          <cell r="G785" t="str">
            <v>WF</v>
          </cell>
          <cell r="H785" t="str">
            <v>RT/ONCO WARD 2 (F)</v>
          </cell>
          <cell r="I785" t="str">
            <v>07WF121</v>
          </cell>
          <cell r="J785" t="str">
            <v>EQUIPMENT ROOM</v>
          </cell>
          <cell r="K785" t="str">
            <v>BMED</v>
          </cell>
          <cell r="L785" t="str">
            <v>Normal</v>
          </cell>
          <cell r="M785" t="str">
            <v>Japan</v>
          </cell>
          <cell r="N785" t="str">
            <v>Animec</v>
          </cell>
          <cell r="O785" t="str">
            <v>Animec AM-301</v>
          </cell>
          <cell r="P785" t="str">
            <v>2012D0060</v>
          </cell>
          <cell r="Q785" t="str">
            <v>Not Applicable</v>
          </cell>
          <cell r="R785" t="str">
            <v>Elltec Co Ltd</v>
          </cell>
          <cell r="S785" t="str">
            <v>IDS Services (Malaysia) Sdn Bhd</v>
          </cell>
          <cell r="T785" t="str">
            <v>Functioning</v>
          </cell>
          <cell r="U785" t="str">
            <v>Asset</v>
          </cell>
          <cell r="V785">
            <v>4990</v>
          </cell>
          <cell r="W785" t="str">
            <v>KEW</v>
          </cell>
          <cell r="X785" t="str">
            <v>01/09/2010</v>
          </cell>
          <cell r="Y785" t="str">
            <v>KEW</v>
          </cell>
          <cell r="Z785" t="str">
            <v>16/08/2013</v>
          </cell>
          <cell r="AA785" t="str">
            <v>15/08/2015</v>
          </cell>
          <cell r="AB785" t="str">
            <v>No</v>
          </cell>
          <cell r="AC785" t="str">
            <v>31/08/2013</v>
          </cell>
          <cell r="AD785" t="str">
            <v>Good</v>
          </cell>
          <cell r="AE785" t="str">
            <v>V1 - Existing / No Claim</v>
          </cell>
          <cell r="AF785">
            <v>42235</v>
          </cell>
          <cell r="AG785">
            <v>9.17</v>
          </cell>
          <cell r="AH785" t="str">
            <v>PPM</v>
          </cell>
          <cell r="AI785" t="str">
            <v>Strands</v>
          </cell>
          <cell r="AJ785" t="str">
            <v>Strands PW</v>
          </cell>
        </row>
        <row r="786">
          <cell r="A786" t="str">
            <v>IKN400322</v>
          </cell>
          <cell r="B786">
            <v>322</v>
          </cell>
          <cell r="C786" t="str">
            <v>Institut Kanser Negara</v>
          </cell>
          <cell r="D786" t="str">
            <v>KKM/IKN/H/13/2525</v>
          </cell>
          <cell r="E786" t="str">
            <v>12-282</v>
          </cell>
          <cell r="F786" t="str">
            <v>Lights, Surgical</v>
          </cell>
          <cell r="G786" t="str">
            <v>WF</v>
          </cell>
          <cell r="H786" t="str">
            <v>RT/ONCO WARD 2 (F)</v>
          </cell>
          <cell r="I786" t="str">
            <v>07WF121</v>
          </cell>
          <cell r="J786" t="str">
            <v>EQUIPMENT ROOM</v>
          </cell>
          <cell r="K786" t="str">
            <v>BMED</v>
          </cell>
          <cell r="L786" t="str">
            <v>Critical</v>
          </cell>
          <cell r="M786" t="str">
            <v>USA</v>
          </cell>
          <cell r="N786" t="str">
            <v>Welch Allyn</v>
          </cell>
          <cell r="O786" t="str">
            <v>Welch Allyn GS600</v>
          </cell>
          <cell r="P786" t="str">
            <v>GS-600-39</v>
          </cell>
          <cell r="Q786" t="str">
            <v>Not Applicable</v>
          </cell>
          <cell r="R786" t="str">
            <v>Welch Allyn Inc</v>
          </cell>
          <cell r="S786" t="str">
            <v>Welch Allyn Malaysia Sdn Bhd</v>
          </cell>
          <cell r="T786" t="str">
            <v>Functioning</v>
          </cell>
          <cell r="U786" t="str">
            <v>Asset</v>
          </cell>
          <cell r="V786">
            <v>5050</v>
          </cell>
          <cell r="W786" t="str">
            <v>KEW</v>
          </cell>
          <cell r="X786" t="str">
            <v>01/09/2010</v>
          </cell>
          <cell r="Y786" t="str">
            <v>KEW</v>
          </cell>
          <cell r="Z786" t="str">
            <v>16/08/2013</v>
          </cell>
          <cell r="AA786" t="str">
            <v>15/08/2015</v>
          </cell>
          <cell r="AB786" t="str">
            <v>No</v>
          </cell>
          <cell r="AC786" t="str">
            <v>31/08/2013</v>
          </cell>
          <cell r="AD786" t="str">
            <v>Good</v>
          </cell>
          <cell r="AE786" t="str">
            <v>V1 - Existing / No Claim</v>
          </cell>
          <cell r="AF786">
            <v>42788</v>
          </cell>
          <cell r="AG786">
            <v>9.17</v>
          </cell>
          <cell r="AH786" t="str">
            <v>PPM</v>
          </cell>
          <cell r="AI786" t="str">
            <v>Strands</v>
          </cell>
          <cell r="AJ786" t="str">
            <v>Strands PW</v>
          </cell>
        </row>
        <row r="787">
          <cell r="A787" t="str">
            <v>IKN400323</v>
          </cell>
          <cell r="B787">
            <v>323</v>
          </cell>
          <cell r="C787" t="str">
            <v>Institut Kanser Negara</v>
          </cell>
          <cell r="D787" t="str">
            <v>KKM/IKN/H/13/3174</v>
          </cell>
          <cell r="E787" t="str">
            <v>15-045</v>
          </cell>
          <cell r="F787" t="str">
            <v>Nebulizers, Nonheated</v>
          </cell>
          <cell r="G787" t="str">
            <v>WF</v>
          </cell>
          <cell r="H787" t="str">
            <v>RT/ONCO WARD 2 (F)</v>
          </cell>
          <cell r="I787" t="str">
            <v>07WF121</v>
          </cell>
          <cell r="J787" t="str">
            <v>EQUIPMENT ROOM</v>
          </cell>
          <cell r="K787" t="str">
            <v>BMED</v>
          </cell>
          <cell r="L787" t="str">
            <v>Normal</v>
          </cell>
          <cell r="M787" t="str">
            <v>Germany</v>
          </cell>
          <cell r="N787" t="str">
            <v>Pari Boy</v>
          </cell>
          <cell r="O787" t="str">
            <v>Pari Boy SX 085</v>
          </cell>
          <cell r="P787" t="str">
            <v>2W12F13724</v>
          </cell>
          <cell r="Q787" t="str">
            <v>Not Applicable</v>
          </cell>
          <cell r="R787" t="str">
            <v>Pari GmbH</v>
          </cell>
          <cell r="S787" t="str">
            <v>Welch Allyn Malaysia Sdn Bhd</v>
          </cell>
          <cell r="T787" t="str">
            <v>Functioning</v>
          </cell>
          <cell r="U787" t="str">
            <v>Asset</v>
          </cell>
          <cell r="V787">
            <v>1140</v>
          </cell>
          <cell r="W787" t="str">
            <v>KEW</v>
          </cell>
          <cell r="X787" t="str">
            <v>01/09/2010</v>
          </cell>
          <cell r="Y787" t="str">
            <v>KEW</v>
          </cell>
          <cell r="Z787" t="str">
            <v>16/08/2013</v>
          </cell>
          <cell r="AA787" t="str">
            <v>15/08/2015</v>
          </cell>
          <cell r="AB787" t="str">
            <v>No</v>
          </cell>
          <cell r="AC787" t="str">
            <v>31/08/2013</v>
          </cell>
          <cell r="AD787" t="str">
            <v>Good</v>
          </cell>
          <cell r="AE787" t="str">
            <v>V1 - Existing / No Claim</v>
          </cell>
          <cell r="AF787">
            <v>42788</v>
          </cell>
          <cell r="AG787">
            <v>9.17</v>
          </cell>
          <cell r="AH787" t="str">
            <v>PPM</v>
          </cell>
          <cell r="AI787" t="str">
            <v>Strands</v>
          </cell>
          <cell r="AJ787" t="str">
            <v>Strands PW</v>
          </cell>
        </row>
        <row r="788">
          <cell r="A788" t="str">
            <v>IKN400324</v>
          </cell>
          <cell r="B788">
            <v>324</v>
          </cell>
          <cell r="C788" t="str">
            <v>Institut Kanser Negara</v>
          </cell>
          <cell r="D788" t="str">
            <v>KKM/IKN/H/13/3172</v>
          </cell>
          <cell r="E788" t="str">
            <v>15-045</v>
          </cell>
          <cell r="F788" t="str">
            <v>Nebulizers, Nonheated</v>
          </cell>
          <cell r="G788" t="str">
            <v>WF</v>
          </cell>
          <cell r="H788" t="str">
            <v>RT/ONCO WARD 2 (F)</v>
          </cell>
          <cell r="I788" t="str">
            <v>07WF121</v>
          </cell>
          <cell r="J788" t="str">
            <v>EQUIPMENT ROOM</v>
          </cell>
          <cell r="K788" t="str">
            <v>BMED</v>
          </cell>
          <cell r="L788" t="str">
            <v>Normal</v>
          </cell>
          <cell r="M788" t="str">
            <v>Germany</v>
          </cell>
          <cell r="N788" t="str">
            <v>Pari Boy</v>
          </cell>
          <cell r="O788" t="str">
            <v>Pari Boy SX 085</v>
          </cell>
          <cell r="P788" t="str">
            <v>2W12F13753</v>
          </cell>
          <cell r="Q788" t="str">
            <v>Not Applicable</v>
          </cell>
          <cell r="R788" t="str">
            <v>Pari GmbH</v>
          </cell>
          <cell r="S788" t="str">
            <v>Welch Allyn Malaysia Sdn Bhd</v>
          </cell>
          <cell r="T788" t="str">
            <v>Functioning</v>
          </cell>
          <cell r="U788" t="str">
            <v>Asset</v>
          </cell>
          <cell r="V788">
            <v>1140</v>
          </cell>
          <cell r="W788" t="str">
            <v>KEW</v>
          </cell>
          <cell r="X788" t="str">
            <v>01/09/2010</v>
          </cell>
          <cell r="Y788" t="str">
            <v>KEW</v>
          </cell>
          <cell r="Z788" t="str">
            <v>16/08/2013</v>
          </cell>
          <cell r="AA788" t="str">
            <v>15/08/2015</v>
          </cell>
          <cell r="AB788" t="str">
            <v>No</v>
          </cell>
          <cell r="AC788" t="str">
            <v>31/08/2013</v>
          </cell>
          <cell r="AD788" t="str">
            <v>Good</v>
          </cell>
          <cell r="AE788" t="str">
            <v>V1 - Existing / No Claim</v>
          </cell>
          <cell r="AF788">
            <v>42788</v>
          </cell>
          <cell r="AG788">
            <v>9.17</v>
          </cell>
          <cell r="AH788" t="str">
            <v>PPM</v>
          </cell>
          <cell r="AI788" t="str">
            <v>Strands</v>
          </cell>
          <cell r="AJ788" t="str">
            <v>Strands PW</v>
          </cell>
        </row>
        <row r="789">
          <cell r="A789" t="str">
            <v>IKN400325</v>
          </cell>
          <cell r="B789">
            <v>325</v>
          </cell>
          <cell r="C789" t="str">
            <v>Institut Kanser Negara</v>
          </cell>
          <cell r="D789" t="str">
            <v>KKM/IKN/H/13/3173</v>
          </cell>
          <cell r="E789" t="str">
            <v>15-045</v>
          </cell>
          <cell r="F789" t="str">
            <v>Nebulizers, Nonheated</v>
          </cell>
          <cell r="G789" t="str">
            <v>WF</v>
          </cell>
          <cell r="H789" t="str">
            <v>RT/ONCO WARD 2 (F)</v>
          </cell>
          <cell r="I789" t="str">
            <v>07WF121</v>
          </cell>
          <cell r="J789" t="str">
            <v>EQUIPMENT ROOM</v>
          </cell>
          <cell r="K789" t="str">
            <v>BMED</v>
          </cell>
          <cell r="L789" t="str">
            <v>Normal</v>
          </cell>
          <cell r="M789" t="str">
            <v>Germany</v>
          </cell>
          <cell r="N789" t="str">
            <v>Pari Boy</v>
          </cell>
          <cell r="O789" t="str">
            <v>Pari Boy SX 085</v>
          </cell>
          <cell r="P789" t="str">
            <v>2W12J05854</v>
          </cell>
          <cell r="Q789" t="str">
            <v>Not Applicable</v>
          </cell>
          <cell r="R789" t="str">
            <v>Pari GmbH</v>
          </cell>
          <cell r="S789" t="str">
            <v>Welch Allyn Malaysia Sdn Bhd</v>
          </cell>
          <cell r="T789" t="str">
            <v>Functioning</v>
          </cell>
          <cell r="U789" t="str">
            <v>Asset</v>
          </cell>
          <cell r="V789">
            <v>1140</v>
          </cell>
          <cell r="W789" t="str">
            <v>KEW</v>
          </cell>
          <cell r="X789" t="str">
            <v>01/09/2010</v>
          </cell>
          <cell r="Y789" t="str">
            <v>KEW</v>
          </cell>
          <cell r="Z789" t="str">
            <v>16/08/2013</v>
          </cell>
          <cell r="AA789" t="str">
            <v>15/08/2015</v>
          </cell>
          <cell r="AB789" t="str">
            <v>No</v>
          </cell>
          <cell r="AC789" t="str">
            <v>31/08/2013</v>
          </cell>
          <cell r="AD789" t="str">
            <v>Good</v>
          </cell>
          <cell r="AE789" t="str">
            <v>V1 - Existing / No Claim</v>
          </cell>
          <cell r="AF789">
            <v>42788</v>
          </cell>
          <cell r="AG789">
            <v>9.17</v>
          </cell>
          <cell r="AH789" t="str">
            <v>PPM</v>
          </cell>
          <cell r="AI789" t="str">
            <v>Strands</v>
          </cell>
          <cell r="AJ789" t="str">
            <v>Strands PW</v>
          </cell>
        </row>
        <row r="790">
          <cell r="A790" t="str">
            <v>IKN400326</v>
          </cell>
          <cell r="B790">
            <v>326</v>
          </cell>
          <cell r="C790" t="str">
            <v>Institut Kanser Negara</v>
          </cell>
          <cell r="D790" t="str">
            <v>KKM/IKN/H/13/2464</v>
          </cell>
          <cell r="E790" t="str">
            <v>13-217</v>
          </cell>
          <cell r="F790" t="str">
            <v>Infusion Pumps, Syringe</v>
          </cell>
          <cell r="G790" t="str">
            <v>WF</v>
          </cell>
          <cell r="H790" t="str">
            <v>RT/ONCO WARD 2 (F)</v>
          </cell>
          <cell r="I790" t="str">
            <v>07WF121</v>
          </cell>
          <cell r="J790" t="str">
            <v>EQUIPMENT ROOM</v>
          </cell>
          <cell r="K790" t="str">
            <v>BMED</v>
          </cell>
          <cell r="L790" t="str">
            <v>Critical</v>
          </cell>
          <cell r="M790" t="str">
            <v>Germany</v>
          </cell>
          <cell r="N790" t="str">
            <v>Perfusor</v>
          </cell>
          <cell r="O790" t="str">
            <v>Perfusor Space</v>
          </cell>
          <cell r="P790" t="str">
            <v>143320</v>
          </cell>
          <cell r="Q790" t="str">
            <v>Not Applicable</v>
          </cell>
          <cell r="R790" t="str">
            <v>B Braun Melsungen AG</v>
          </cell>
          <cell r="S790" t="str">
            <v>B Braun Medical Supplies Sdn. Bhd.</v>
          </cell>
          <cell r="T790" t="str">
            <v>Functioning</v>
          </cell>
          <cell r="U790" t="str">
            <v>Asset</v>
          </cell>
          <cell r="V790">
            <v>10225</v>
          </cell>
          <cell r="W790" t="str">
            <v>KEW</v>
          </cell>
          <cell r="X790" t="str">
            <v>01/09/2010</v>
          </cell>
          <cell r="Y790" t="str">
            <v>KEW</v>
          </cell>
          <cell r="Z790" t="str">
            <v>16/08/2013</v>
          </cell>
          <cell r="AA790" t="str">
            <v>15/08/2015</v>
          </cell>
          <cell r="AB790" t="str">
            <v>No</v>
          </cell>
          <cell r="AC790" t="str">
            <v>31/08/2013</v>
          </cell>
          <cell r="AD790" t="str">
            <v>Good</v>
          </cell>
          <cell r="AE790" t="str">
            <v>V1 - Existing / No Claim</v>
          </cell>
          <cell r="AF790">
            <v>42788</v>
          </cell>
          <cell r="AG790">
            <v>9.17</v>
          </cell>
          <cell r="AH790" t="str">
            <v>PPM</v>
          </cell>
          <cell r="AI790" t="str">
            <v>Strands</v>
          </cell>
          <cell r="AJ790" t="str">
            <v>Strands PW</v>
          </cell>
        </row>
        <row r="791">
          <cell r="A791" t="str">
            <v>IKN400327</v>
          </cell>
          <cell r="B791">
            <v>327</v>
          </cell>
          <cell r="C791" t="str">
            <v>Institut Kanser Negara</v>
          </cell>
          <cell r="D791" t="str">
            <v>KKM/IKN/H/13/2463</v>
          </cell>
          <cell r="E791" t="str">
            <v>13-217</v>
          </cell>
          <cell r="F791" t="str">
            <v>Infusion Pumps, Syringe</v>
          </cell>
          <cell r="G791" t="str">
            <v>WF</v>
          </cell>
          <cell r="H791" t="str">
            <v>RT/ONCO WARD 2 (F)</v>
          </cell>
          <cell r="I791" t="str">
            <v>07WF121</v>
          </cell>
          <cell r="J791" t="str">
            <v>EQUIPMENT ROOM</v>
          </cell>
          <cell r="K791" t="str">
            <v>BMED</v>
          </cell>
          <cell r="L791" t="str">
            <v>Normal</v>
          </cell>
          <cell r="M791" t="str">
            <v>Germany</v>
          </cell>
          <cell r="N791" t="str">
            <v>Perfusor</v>
          </cell>
          <cell r="O791" t="str">
            <v>Perfusor Space</v>
          </cell>
          <cell r="P791" t="str">
            <v>186616</v>
          </cell>
          <cell r="Q791" t="str">
            <v>Not Applicable</v>
          </cell>
          <cell r="R791" t="str">
            <v>B Braun Melsungen AG</v>
          </cell>
          <cell r="S791" t="str">
            <v>B Braun Medical Supplies Sdn. Bhd.</v>
          </cell>
          <cell r="T791" t="str">
            <v>Functioning</v>
          </cell>
          <cell r="U791" t="str">
            <v>Asset</v>
          </cell>
          <cell r="V791">
            <v>10225</v>
          </cell>
          <cell r="W791" t="str">
            <v>KEW</v>
          </cell>
          <cell r="X791" t="str">
            <v>01/09/2010</v>
          </cell>
          <cell r="Y791" t="str">
            <v>KEW</v>
          </cell>
          <cell r="Z791" t="str">
            <v>16/08/2013</v>
          </cell>
          <cell r="AA791" t="str">
            <v>15/08/2015</v>
          </cell>
          <cell r="AB791" t="str">
            <v>No</v>
          </cell>
          <cell r="AC791" t="str">
            <v>31/08/2013</v>
          </cell>
          <cell r="AD791" t="str">
            <v>Good</v>
          </cell>
          <cell r="AE791" t="str">
            <v>V1 - Existing / No Claim</v>
          </cell>
          <cell r="AF791">
            <v>42235</v>
          </cell>
          <cell r="AG791">
            <v>9.17</v>
          </cell>
          <cell r="AH791" t="str">
            <v>PPM</v>
          </cell>
          <cell r="AI791" t="str">
            <v>Strands</v>
          </cell>
          <cell r="AJ791" t="str">
            <v>Strands PW</v>
          </cell>
        </row>
        <row r="792">
          <cell r="A792" t="str">
            <v>IKN400328</v>
          </cell>
          <cell r="B792">
            <v>328</v>
          </cell>
          <cell r="C792" t="str">
            <v>Institut Kanser Negara</v>
          </cell>
          <cell r="D792" t="str">
            <v>KKM/IKN/H/13/2467</v>
          </cell>
          <cell r="E792" t="str">
            <v>13-215</v>
          </cell>
          <cell r="F792" t="str">
            <v>Infusion Pumps, General-Purpose</v>
          </cell>
          <cell r="G792" t="str">
            <v>WF</v>
          </cell>
          <cell r="H792" t="str">
            <v>RT/ONCO WARD 2 (F)</v>
          </cell>
          <cell r="I792" t="str">
            <v>07WF121</v>
          </cell>
          <cell r="J792" t="str">
            <v>EQUIPMENT ROOM</v>
          </cell>
          <cell r="K792" t="str">
            <v>BMED</v>
          </cell>
          <cell r="L792" t="str">
            <v>Normal</v>
          </cell>
          <cell r="M792" t="str">
            <v>Germany</v>
          </cell>
          <cell r="N792" t="str">
            <v>Infusomat</v>
          </cell>
          <cell r="O792" t="str">
            <v>Infusomat Space</v>
          </cell>
          <cell r="P792">
            <v>211846</v>
          </cell>
          <cell r="Q792" t="str">
            <v>Not Applicable</v>
          </cell>
          <cell r="R792" t="str">
            <v>B Braun Melsungen AG</v>
          </cell>
          <cell r="S792" t="str">
            <v>B Braun Medical Supplies Sdn. Bhd.</v>
          </cell>
          <cell r="T792" t="str">
            <v>Functioning</v>
          </cell>
          <cell r="U792" t="str">
            <v>Asset</v>
          </cell>
          <cell r="V792">
            <v>10825</v>
          </cell>
          <cell r="W792" t="str">
            <v>KEW</v>
          </cell>
          <cell r="X792" t="str">
            <v>01/09/2010</v>
          </cell>
          <cell r="Y792" t="str">
            <v>KEW</v>
          </cell>
          <cell r="Z792" t="str">
            <v>16/08/2013</v>
          </cell>
          <cell r="AA792" t="str">
            <v>15/08/2015</v>
          </cell>
          <cell r="AB792" t="str">
            <v>No</v>
          </cell>
          <cell r="AC792" t="str">
            <v>31/08/2013</v>
          </cell>
          <cell r="AD792" t="str">
            <v>Good</v>
          </cell>
          <cell r="AE792" t="str">
            <v>V1 - Existing / No Claim</v>
          </cell>
          <cell r="AF792">
            <v>42235</v>
          </cell>
          <cell r="AG792">
            <v>9.17</v>
          </cell>
          <cell r="AH792" t="str">
            <v>PPM</v>
          </cell>
          <cell r="AI792" t="str">
            <v>Strands</v>
          </cell>
          <cell r="AJ792" t="str">
            <v>Strands PW</v>
          </cell>
        </row>
        <row r="793">
          <cell r="A793" t="str">
            <v>IKN400329</v>
          </cell>
          <cell r="B793">
            <v>329</v>
          </cell>
          <cell r="C793" t="str">
            <v>Institut Kanser Negara</v>
          </cell>
          <cell r="D793" t="str">
            <v>KKM/IKN/H/13/2470</v>
          </cell>
          <cell r="E793" t="str">
            <v>13-215</v>
          </cell>
          <cell r="F793" t="str">
            <v>Infusion Pumps, General-Purpose</v>
          </cell>
          <cell r="G793" t="str">
            <v>WF</v>
          </cell>
          <cell r="H793" t="str">
            <v>RT/ONCO WARD 2 (F)</v>
          </cell>
          <cell r="I793" t="str">
            <v>07WF121</v>
          </cell>
          <cell r="J793" t="str">
            <v>EQUIPMENT ROOM</v>
          </cell>
          <cell r="K793" t="str">
            <v>BMED</v>
          </cell>
          <cell r="L793" t="str">
            <v>Normal</v>
          </cell>
          <cell r="M793" t="str">
            <v>Germany</v>
          </cell>
          <cell r="N793" t="str">
            <v>Infusomat</v>
          </cell>
          <cell r="O793" t="str">
            <v>Infusomat Space</v>
          </cell>
          <cell r="P793" t="str">
            <v>212373</v>
          </cell>
          <cell r="Q793" t="str">
            <v>Not Applicable</v>
          </cell>
          <cell r="R793" t="str">
            <v>B Braun Melsungen AG</v>
          </cell>
          <cell r="S793" t="str">
            <v>B Braun Medical Supplies Sdn. Bhd.</v>
          </cell>
          <cell r="T793" t="str">
            <v>Functioning</v>
          </cell>
          <cell r="U793" t="str">
            <v>Asset</v>
          </cell>
          <cell r="V793">
            <v>10825</v>
          </cell>
          <cell r="W793" t="str">
            <v>KEW</v>
          </cell>
          <cell r="X793" t="str">
            <v>01/09/2010</v>
          </cell>
          <cell r="Y793" t="str">
            <v>KEW</v>
          </cell>
          <cell r="Z793" t="str">
            <v>16/08/2013</v>
          </cell>
          <cell r="AA793" t="str">
            <v>15/08/2015</v>
          </cell>
          <cell r="AB793" t="str">
            <v>No</v>
          </cell>
          <cell r="AC793" t="str">
            <v>31/08/2013</v>
          </cell>
          <cell r="AD793" t="str">
            <v>Good</v>
          </cell>
          <cell r="AE793" t="str">
            <v>V1 - Existing / No Claim</v>
          </cell>
          <cell r="AF793">
            <v>42235</v>
          </cell>
          <cell r="AG793">
            <v>9.17</v>
          </cell>
          <cell r="AH793" t="str">
            <v>PPM</v>
          </cell>
          <cell r="AI793" t="str">
            <v>Strands</v>
          </cell>
          <cell r="AJ793" t="str">
            <v>Strands PW</v>
          </cell>
        </row>
        <row r="794">
          <cell r="A794" t="str">
            <v>IKN400330</v>
          </cell>
          <cell r="B794">
            <v>330</v>
          </cell>
          <cell r="C794" t="str">
            <v>Institut Kanser Negara</v>
          </cell>
          <cell r="D794" t="str">
            <v>KKM/IKN/H/13/2471</v>
          </cell>
          <cell r="E794" t="str">
            <v>13-215</v>
          </cell>
          <cell r="F794" t="str">
            <v>Infusion Pumps, General-Purpose</v>
          </cell>
          <cell r="G794" t="str">
            <v>WF</v>
          </cell>
          <cell r="H794" t="str">
            <v>RT/ONCO WARD 2 (F)</v>
          </cell>
          <cell r="I794" t="str">
            <v>07WF121</v>
          </cell>
          <cell r="J794" t="str">
            <v>EQUIPMENT ROOM</v>
          </cell>
          <cell r="K794" t="str">
            <v>BMED</v>
          </cell>
          <cell r="L794" t="str">
            <v>Normal</v>
          </cell>
          <cell r="M794" t="str">
            <v>Germany</v>
          </cell>
          <cell r="N794" t="str">
            <v>Infusomat</v>
          </cell>
          <cell r="O794" t="str">
            <v>Infusomat Space</v>
          </cell>
          <cell r="P794" t="str">
            <v>211805</v>
          </cell>
          <cell r="Q794" t="str">
            <v>Not Applicable</v>
          </cell>
          <cell r="R794" t="str">
            <v>B Braun Melsungen AG</v>
          </cell>
          <cell r="S794" t="str">
            <v>B Braun Medical Supplies Sdn. Bhd.</v>
          </cell>
          <cell r="T794" t="str">
            <v>Functioning</v>
          </cell>
          <cell r="U794" t="str">
            <v>Asset</v>
          </cell>
          <cell r="V794">
            <v>10825</v>
          </cell>
          <cell r="W794" t="str">
            <v>KEW</v>
          </cell>
          <cell r="X794" t="str">
            <v>01/09/2010</v>
          </cell>
          <cell r="Y794" t="str">
            <v>KEW</v>
          </cell>
          <cell r="Z794" t="str">
            <v>16/08/2013</v>
          </cell>
          <cell r="AA794" t="str">
            <v>15/08/2015</v>
          </cell>
          <cell r="AB794" t="str">
            <v>No</v>
          </cell>
          <cell r="AC794" t="str">
            <v>31/08/2013</v>
          </cell>
          <cell r="AD794" t="str">
            <v>Good</v>
          </cell>
          <cell r="AE794" t="str">
            <v>V1 - Existing / No Claim</v>
          </cell>
          <cell r="AF794">
            <v>42235</v>
          </cell>
          <cell r="AG794">
            <v>9.17</v>
          </cell>
          <cell r="AH794" t="str">
            <v>PPM</v>
          </cell>
          <cell r="AI794" t="str">
            <v>Strands</v>
          </cell>
          <cell r="AJ794" t="str">
            <v>Strands PW</v>
          </cell>
        </row>
        <row r="795">
          <cell r="A795" t="str">
            <v>IKN400331</v>
          </cell>
          <cell r="B795">
            <v>331</v>
          </cell>
          <cell r="C795" t="str">
            <v>Institut Kanser Negara</v>
          </cell>
          <cell r="D795" t="str">
            <v>KKM/IKN/H/13/2466</v>
          </cell>
          <cell r="E795" t="str">
            <v>13-215</v>
          </cell>
          <cell r="F795" t="str">
            <v>Infusion Pumps, General-Purpose</v>
          </cell>
          <cell r="G795" t="str">
            <v>WF</v>
          </cell>
          <cell r="H795" t="str">
            <v>RT/ONCO WARD 2 (F)</v>
          </cell>
          <cell r="I795" t="str">
            <v>07WF121</v>
          </cell>
          <cell r="J795" t="str">
            <v>EQUIPMENT ROOM</v>
          </cell>
          <cell r="K795" t="str">
            <v>BMED</v>
          </cell>
          <cell r="L795" t="str">
            <v>Critical</v>
          </cell>
          <cell r="M795" t="str">
            <v>Germany</v>
          </cell>
          <cell r="N795" t="str">
            <v>Infusomat</v>
          </cell>
          <cell r="O795" t="str">
            <v>Infusomat Space</v>
          </cell>
          <cell r="P795" t="str">
            <v>211837</v>
          </cell>
          <cell r="Q795" t="str">
            <v>Not Applicable</v>
          </cell>
          <cell r="R795" t="str">
            <v>B Braun Melsungen AG</v>
          </cell>
          <cell r="S795" t="str">
            <v>B Braun Medical Supplies Sdn. Bhd.</v>
          </cell>
          <cell r="T795" t="str">
            <v>Functioning</v>
          </cell>
          <cell r="U795" t="str">
            <v>Asset</v>
          </cell>
          <cell r="V795">
            <v>10825</v>
          </cell>
          <cell r="W795" t="str">
            <v>KEW</v>
          </cell>
          <cell r="X795" t="str">
            <v>01/09/2010</v>
          </cell>
          <cell r="Y795" t="str">
            <v>KEW</v>
          </cell>
          <cell r="Z795" t="str">
            <v>16/08/2013</v>
          </cell>
          <cell r="AA795" t="str">
            <v>15/08/2015</v>
          </cell>
          <cell r="AB795" t="str">
            <v>No</v>
          </cell>
          <cell r="AC795" t="str">
            <v>31/08/2013</v>
          </cell>
          <cell r="AD795" t="str">
            <v>Good</v>
          </cell>
          <cell r="AE795" t="str">
            <v>V1 - Existing / No Claim</v>
          </cell>
          <cell r="AF795">
            <v>42788</v>
          </cell>
          <cell r="AG795">
            <v>9.17</v>
          </cell>
          <cell r="AH795" t="str">
            <v>PPM</v>
          </cell>
          <cell r="AI795" t="str">
            <v>Strands</v>
          </cell>
          <cell r="AJ795" t="str">
            <v>Strands PW</v>
          </cell>
        </row>
        <row r="796">
          <cell r="A796" t="str">
            <v>IKN400332</v>
          </cell>
          <cell r="B796">
            <v>332</v>
          </cell>
          <cell r="C796" t="str">
            <v>Institut Kanser Negara</v>
          </cell>
          <cell r="D796" t="str">
            <v>KKM/IKN/H/13/2473</v>
          </cell>
          <cell r="E796" t="str">
            <v>13-215</v>
          </cell>
          <cell r="F796" t="str">
            <v>Infusion Pumps, General-Purpose</v>
          </cell>
          <cell r="G796" t="str">
            <v>WF</v>
          </cell>
          <cell r="H796" t="str">
            <v>RT/ONCO WARD 2 (F)</v>
          </cell>
          <cell r="I796" t="str">
            <v>07WF121</v>
          </cell>
          <cell r="J796" t="str">
            <v>EQUIPMENT ROOM</v>
          </cell>
          <cell r="K796" t="str">
            <v>BMED</v>
          </cell>
          <cell r="L796" t="str">
            <v>Critical</v>
          </cell>
          <cell r="M796" t="str">
            <v>Germany</v>
          </cell>
          <cell r="N796" t="str">
            <v>Infusomat</v>
          </cell>
          <cell r="O796" t="str">
            <v>Infusomat Space</v>
          </cell>
          <cell r="P796" t="str">
            <v>211865</v>
          </cell>
          <cell r="Q796" t="str">
            <v>Not Applicable</v>
          </cell>
          <cell r="R796" t="str">
            <v>B Braun Melsungen AG</v>
          </cell>
          <cell r="S796" t="str">
            <v>B Braun Medical Supplies Sdn. Bhd.</v>
          </cell>
          <cell r="T796" t="str">
            <v>Functioning</v>
          </cell>
          <cell r="U796" t="str">
            <v>Asset</v>
          </cell>
          <cell r="V796">
            <v>10825</v>
          </cell>
          <cell r="W796" t="str">
            <v>KEW</v>
          </cell>
          <cell r="X796" t="str">
            <v>01/09/2010</v>
          </cell>
          <cell r="Y796" t="str">
            <v>KEW</v>
          </cell>
          <cell r="Z796" t="str">
            <v>16/08/2013</v>
          </cell>
          <cell r="AA796" t="str">
            <v>15/08/2015</v>
          </cell>
          <cell r="AB796" t="str">
            <v>No</v>
          </cell>
          <cell r="AC796" t="str">
            <v>31/08/2013</v>
          </cell>
          <cell r="AD796" t="str">
            <v>Good</v>
          </cell>
          <cell r="AE796" t="str">
            <v>V1 - Existing / No Claim</v>
          </cell>
          <cell r="AF796">
            <v>42788</v>
          </cell>
          <cell r="AG796">
            <v>9.17</v>
          </cell>
          <cell r="AH796" t="str">
            <v>PPM</v>
          </cell>
          <cell r="AI796" t="str">
            <v>Strands</v>
          </cell>
          <cell r="AJ796" t="str">
            <v>Strands PW</v>
          </cell>
        </row>
        <row r="797">
          <cell r="A797" t="str">
            <v>IKN400333</v>
          </cell>
          <cell r="B797">
            <v>333</v>
          </cell>
          <cell r="C797" t="str">
            <v>Institut Kanser Negara</v>
          </cell>
          <cell r="D797" t="str">
            <v>KKM/IKN/H/13/2477</v>
          </cell>
          <cell r="E797" t="str">
            <v>13-215</v>
          </cell>
          <cell r="F797" t="str">
            <v>Infusion Pumps, General-Purpose</v>
          </cell>
          <cell r="G797" t="str">
            <v>WF</v>
          </cell>
          <cell r="H797" t="str">
            <v>RT/ONCO WARD 2 (F)</v>
          </cell>
          <cell r="I797" t="str">
            <v>07WF121</v>
          </cell>
          <cell r="J797" t="str">
            <v>EQUIPMENT ROOM</v>
          </cell>
          <cell r="K797" t="str">
            <v>BMED</v>
          </cell>
          <cell r="L797" t="str">
            <v>Critical</v>
          </cell>
          <cell r="M797" t="str">
            <v>Germany</v>
          </cell>
          <cell r="N797" t="str">
            <v>Infusomat</v>
          </cell>
          <cell r="O797" t="str">
            <v>Infusomat Space</v>
          </cell>
          <cell r="P797" t="str">
            <v>211868</v>
          </cell>
          <cell r="Q797" t="str">
            <v>Not Applicable</v>
          </cell>
          <cell r="R797" t="str">
            <v>B Braun Melsungen AG</v>
          </cell>
          <cell r="S797" t="str">
            <v>B Braun Medical Supplies Sdn. Bhd.</v>
          </cell>
          <cell r="T797" t="str">
            <v>Functioning</v>
          </cell>
          <cell r="U797" t="str">
            <v>Asset</v>
          </cell>
          <cell r="V797">
            <v>10825</v>
          </cell>
          <cell r="W797" t="str">
            <v>KEW</v>
          </cell>
          <cell r="X797" t="str">
            <v>01/09/2010</v>
          </cell>
          <cell r="Y797" t="str">
            <v>KEW</v>
          </cell>
          <cell r="Z797" t="str">
            <v>16/08/2013</v>
          </cell>
          <cell r="AA797" t="str">
            <v>15/08/2015</v>
          </cell>
          <cell r="AB797" t="str">
            <v>No</v>
          </cell>
          <cell r="AC797" t="str">
            <v>31/08/2013</v>
          </cell>
          <cell r="AD797" t="str">
            <v>Good</v>
          </cell>
          <cell r="AE797" t="str">
            <v>V1 - Existing / No Claim</v>
          </cell>
          <cell r="AF797">
            <v>42788</v>
          </cell>
          <cell r="AG797">
            <v>9.17</v>
          </cell>
          <cell r="AH797" t="str">
            <v>PPM</v>
          </cell>
          <cell r="AI797" t="str">
            <v>Strands</v>
          </cell>
          <cell r="AJ797" t="str">
            <v>Strands PW</v>
          </cell>
        </row>
        <row r="798">
          <cell r="A798" t="str">
            <v>IKN400334</v>
          </cell>
          <cell r="B798">
            <v>334</v>
          </cell>
          <cell r="C798" t="str">
            <v>Institut Kanser Negara</v>
          </cell>
          <cell r="D798" t="str">
            <v>KKM/IKN/H/13/2469</v>
          </cell>
          <cell r="E798" t="str">
            <v>13-215</v>
          </cell>
          <cell r="F798" t="str">
            <v>Infusion Pumps, General-Purpose</v>
          </cell>
          <cell r="G798" t="str">
            <v>WF</v>
          </cell>
          <cell r="H798" t="str">
            <v>RT/ONCO WARD 2 (F)</v>
          </cell>
          <cell r="I798" t="str">
            <v>07WF121</v>
          </cell>
          <cell r="J798" t="str">
            <v>EQUIPMENT ROOM</v>
          </cell>
          <cell r="K798" t="str">
            <v>BMED</v>
          </cell>
          <cell r="L798" t="str">
            <v>Critical</v>
          </cell>
          <cell r="M798" t="str">
            <v>Germany</v>
          </cell>
          <cell r="N798" t="str">
            <v>Infusomat</v>
          </cell>
          <cell r="O798" t="str">
            <v>Infusomat Space</v>
          </cell>
          <cell r="P798" t="str">
            <v>211883</v>
          </cell>
          <cell r="Q798" t="str">
            <v>Not Applicable</v>
          </cell>
          <cell r="R798" t="str">
            <v>B Braun Melsungen AG</v>
          </cell>
          <cell r="S798" t="str">
            <v>B Braun Medical Supplies Sdn. Bhd.</v>
          </cell>
          <cell r="T798" t="str">
            <v>Functioning</v>
          </cell>
          <cell r="U798" t="str">
            <v>Asset</v>
          </cell>
          <cell r="V798">
            <v>10825</v>
          </cell>
          <cell r="W798" t="str">
            <v>KEW</v>
          </cell>
          <cell r="X798" t="str">
            <v>01/09/2010</v>
          </cell>
          <cell r="Y798" t="str">
            <v>KEW</v>
          </cell>
          <cell r="Z798" t="str">
            <v>16/08/2013</v>
          </cell>
          <cell r="AA798" t="str">
            <v>15/08/2015</v>
          </cell>
          <cell r="AB798" t="str">
            <v>No</v>
          </cell>
          <cell r="AC798" t="str">
            <v>31/08/2013</v>
          </cell>
          <cell r="AD798" t="str">
            <v>Good</v>
          </cell>
          <cell r="AE798" t="str">
            <v>V1 - Existing / No Claim</v>
          </cell>
          <cell r="AF798">
            <v>42788</v>
          </cell>
          <cell r="AG798">
            <v>9.17</v>
          </cell>
          <cell r="AH798" t="str">
            <v>PPM</v>
          </cell>
          <cell r="AI798" t="str">
            <v>Strands</v>
          </cell>
          <cell r="AJ798" t="str">
            <v>Strands PW</v>
          </cell>
        </row>
        <row r="799">
          <cell r="A799" t="str">
            <v>IKN400335</v>
          </cell>
          <cell r="B799">
            <v>335</v>
          </cell>
          <cell r="C799" t="str">
            <v>Institut Kanser Negara</v>
          </cell>
          <cell r="D799" t="str">
            <v>KKM/IKN/H/13/2475</v>
          </cell>
          <cell r="E799" t="str">
            <v>13-215</v>
          </cell>
          <cell r="F799" t="str">
            <v>Infusion Pumps, General-Purpose</v>
          </cell>
          <cell r="G799" t="str">
            <v>WF</v>
          </cell>
          <cell r="H799" t="str">
            <v>RT/ONCO WARD 2 (F)</v>
          </cell>
          <cell r="I799" t="str">
            <v>07WF121</v>
          </cell>
          <cell r="J799" t="str">
            <v>EQUIPMENT ROOM</v>
          </cell>
          <cell r="K799" t="str">
            <v>BMED</v>
          </cell>
          <cell r="L799" t="str">
            <v>Critical</v>
          </cell>
          <cell r="M799" t="str">
            <v>Germany</v>
          </cell>
          <cell r="N799" t="str">
            <v>Infusomat</v>
          </cell>
          <cell r="O799" t="str">
            <v>Infusomat Space</v>
          </cell>
          <cell r="P799" t="str">
            <v>211939</v>
          </cell>
          <cell r="Q799" t="str">
            <v>Not Applicable</v>
          </cell>
          <cell r="R799" t="str">
            <v>B Braun Melsungen AG</v>
          </cell>
          <cell r="S799" t="str">
            <v>B Braun Medical Supplies Sdn. Bhd.</v>
          </cell>
          <cell r="T799" t="str">
            <v>Functioning</v>
          </cell>
          <cell r="U799" t="str">
            <v>Asset</v>
          </cell>
          <cell r="V799">
            <v>10825</v>
          </cell>
          <cell r="W799" t="str">
            <v>KEW</v>
          </cell>
          <cell r="X799" t="str">
            <v>01/09/2010</v>
          </cell>
          <cell r="Y799" t="str">
            <v>KEW</v>
          </cell>
          <cell r="Z799" t="str">
            <v>16/08/2013</v>
          </cell>
          <cell r="AA799" t="str">
            <v>15/08/2015</v>
          </cell>
          <cell r="AB799" t="str">
            <v>No</v>
          </cell>
          <cell r="AC799" t="str">
            <v>31/08/2013</v>
          </cell>
          <cell r="AD799" t="str">
            <v>Good</v>
          </cell>
          <cell r="AE799" t="str">
            <v>V1 - Existing / No Claim</v>
          </cell>
          <cell r="AF799">
            <v>42788</v>
          </cell>
          <cell r="AG799">
            <v>9.17</v>
          </cell>
          <cell r="AH799" t="str">
            <v>PPM</v>
          </cell>
          <cell r="AI799" t="str">
            <v>Strands</v>
          </cell>
          <cell r="AJ799" t="str">
            <v>Strands PW</v>
          </cell>
        </row>
        <row r="800">
          <cell r="A800" t="str">
            <v>IKN400336</v>
          </cell>
          <cell r="B800">
            <v>336</v>
          </cell>
          <cell r="C800" t="str">
            <v>Institut Kanser Negara</v>
          </cell>
          <cell r="D800" t="str">
            <v>KKM/IKN/H/13/2468</v>
          </cell>
          <cell r="E800" t="str">
            <v>13-215</v>
          </cell>
          <cell r="F800" t="str">
            <v>Infusion Pumps, General-Purpose</v>
          </cell>
          <cell r="G800" t="str">
            <v>WF</v>
          </cell>
          <cell r="H800" t="str">
            <v>RT/ONCO WARD 2 (F)</v>
          </cell>
          <cell r="I800" t="str">
            <v>07WF121</v>
          </cell>
          <cell r="J800" t="str">
            <v>EQUIPMENT ROOM</v>
          </cell>
          <cell r="K800" t="str">
            <v>BMED</v>
          </cell>
          <cell r="L800" t="str">
            <v>Critical</v>
          </cell>
          <cell r="M800" t="str">
            <v>Germany</v>
          </cell>
          <cell r="N800" t="str">
            <v>Infusomat</v>
          </cell>
          <cell r="O800" t="str">
            <v>Infusomat Space</v>
          </cell>
          <cell r="P800" t="str">
            <v>212001</v>
          </cell>
          <cell r="Q800" t="str">
            <v>Not Applicable</v>
          </cell>
          <cell r="R800" t="str">
            <v>B Braun Melsungen AG</v>
          </cell>
          <cell r="S800" t="str">
            <v>B Braun Medical Supplies Sdn. Bhd.</v>
          </cell>
          <cell r="T800" t="str">
            <v>Functioning</v>
          </cell>
          <cell r="U800" t="str">
            <v>Asset</v>
          </cell>
          <cell r="V800">
            <v>10825</v>
          </cell>
          <cell r="W800" t="str">
            <v>KEW</v>
          </cell>
          <cell r="X800" t="str">
            <v>01/09/2010</v>
          </cell>
          <cell r="Y800" t="str">
            <v>KEW</v>
          </cell>
          <cell r="Z800" t="str">
            <v>16/08/2013</v>
          </cell>
          <cell r="AA800" t="str">
            <v>15/08/2015</v>
          </cell>
          <cell r="AB800" t="str">
            <v>No</v>
          </cell>
          <cell r="AC800" t="str">
            <v>31/08/2013</v>
          </cell>
          <cell r="AD800" t="str">
            <v>Good</v>
          </cell>
          <cell r="AE800" t="str">
            <v>V1 - Existing / No Claim</v>
          </cell>
          <cell r="AF800">
            <v>42788</v>
          </cell>
          <cell r="AG800">
            <v>9.17</v>
          </cell>
          <cell r="AH800" t="str">
            <v>PPM</v>
          </cell>
          <cell r="AI800" t="str">
            <v>Strands</v>
          </cell>
          <cell r="AJ800" t="str">
            <v>Strands PW</v>
          </cell>
        </row>
        <row r="801">
          <cell r="A801" t="str">
            <v>IKN400337</v>
          </cell>
          <cell r="B801">
            <v>337</v>
          </cell>
          <cell r="C801" t="str">
            <v>Institut Kanser Negara</v>
          </cell>
          <cell r="D801" t="str">
            <v>KKM/IKN/H/13/2465</v>
          </cell>
          <cell r="E801" t="str">
            <v>13-215</v>
          </cell>
          <cell r="F801" t="str">
            <v>Infusion Pumps, General-Purpose</v>
          </cell>
          <cell r="G801" t="str">
            <v>WF</v>
          </cell>
          <cell r="H801" t="str">
            <v>RT/ONCO WARD 2 (F)</v>
          </cell>
          <cell r="I801" t="str">
            <v>07WF121</v>
          </cell>
          <cell r="J801" t="str">
            <v>EQUIPMENT ROOM</v>
          </cell>
          <cell r="K801" t="str">
            <v>BMED</v>
          </cell>
          <cell r="L801" t="str">
            <v>Critical</v>
          </cell>
          <cell r="M801" t="str">
            <v>Germany</v>
          </cell>
          <cell r="N801" t="str">
            <v>Infusomat</v>
          </cell>
          <cell r="O801" t="str">
            <v>Infusomat Space</v>
          </cell>
          <cell r="P801" t="str">
            <v>212093</v>
          </cell>
          <cell r="Q801" t="str">
            <v>Not Applicable</v>
          </cell>
          <cell r="R801" t="str">
            <v>B Braun Melsungen AG</v>
          </cell>
          <cell r="S801" t="str">
            <v>B Braun Medical Supplies Sdn. Bhd.</v>
          </cell>
          <cell r="T801" t="str">
            <v>Functioning</v>
          </cell>
          <cell r="U801" t="str">
            <v>Asset</v>
          </cell>
          <cell r="V801">
            <v>10825</v>
          </cell>
          <cell r="W801" t="str">
            <v>KEW</v>
          </cell>
          <cell r="X801" t="str">
            <v>01/09/2010</v>
          </cell>
          <cell r="Y801" t="str">
            <v>KEW</v>
          </cell>
          <cell r="Z801" t="str">
            <v>16/08/2013</v>
          </cell>
          <cell r="AA801" t="str">
            <v>15/08/2015</v>
          </cell>
          <cell r="AB801" t="str">
            <v>No</v>
          </cell>
          <cell r="AC801" t="str">
            <v>31/08/2013</v>
          </cell>
          <cell r="AD801" t="str">
            <v>Good</v>
          </cell>
          <cell r="AE801" t="str">
            <v>V1 - Existing / No Claim</v>
          </cell>
          <cell r="AF801">
            <v>42788</v>
          </cell>
          <cell r="AG801">
            <v>9.17</v>
          </cell>
          <cell r="AH801" t="str">
            <v>PPM</v>
          </cell>
          <cell r="AI801" t="str">
            <v>Strands</v>
          </cell>
          <cell r="AJ801" t="str">
            <v>Strands PW</v>
          </cell>
        </row>
        <row r="802">
          <cell r="A802" t="str">
            <v>IKN400338</v>
          </cell>
          <cell r="B802">
            <v>338</v>
          </cell>
          <cell r="C802" t="str">
            <v>Institut Kanser Negara</v>
          </cell>
          <cell r="D802" t="str">
            <v>KKM/IKN/H/13/2481</v>
          </cell>
          <cell r="E802" t="str">
            <v>18-147</v>
          </cell>
          <cell r="F802" t="str">
            <v>Mattress Systems, Alternating-Pressure</v>
          </cell>
          <cell r="G802" t="str">
            <v>WF</v>
          </cell>
          <cell r="H802" t="str">
            <v>RT/ONCO WARD 2 (F)</v>
          </cell>
          <cell r="I802" t="str">
            <v>07WF121</v>
          </cell>
          <cell r="J802" t="str">
            <v>EQUIPMENT ROOM</v>
          </cell>
          <cell r="K802" t="str">
            <v>BMED</v>
          </cell>
          <cell r="L802" t="str">
            <v>Normal</v>
          </cell>
          <cell r="M802" t="str">
            <v>Poland</v>
          </cell>
          <cell r="N802" t="str">
            <v>Nimbus</v>
          </cell>
          <cell r="O802" t="str">
            <v>Nimbus 3</v>
          </cell>
          <cell r="P802" t="str">
            <v>1200006454</v>
          </cell>
          <cell r="Q802" t="str">
            <v>Not Applicable</v>
          </cell>
          <cell r="R802" t="str">
            <v>Arjohuntleigh</v>
          </cell>
          <cell r="S802" t="str">
            <v>Hexamine Sdn. Bhd.</v>
          </cell>
          <cell r="T802" t="str">
            <v>Functioning</v>
          </cell>
          <cell r="U802" t="str">
            <v>Asset</v>
          </cell>
          <cell r="V802">
            <v>28630</v>
          </cell>
          <cell r="W802" t="str">
            <v>KEW</v>
          </cell>
          <cell r="X802" t="str">
            <v>01/09/2010</v>
          </cell>
          <cell r="Y802" t="str">
            <v>KEW</v>
          </cell>
          <cell r="Z802" t="str">
            <v>16/08/2013</v>
          </cell>
          <cell r="AA802" t="str">
            <v>15/08/2015</v>
          </cell>
          <cell r="AB802" t="str">
            <v>No</v>
          </cell>
          <cell r="AC802" t="str">
            <v>31/08/2013</v>
          </cell>
          <cell r="AD802" t="str">
            <v>Good</v>
          </cell>
          <cell r="AE802" t="str">
            <v>V3 - Added Installed Facilities (New)</v>
          </cell>
          <cell r="AF802">
            <v>42235</v>
          </cell>
          <cell r="AG802">
            <v>9.17</v>
          </cell>
          <cell r="AH802" t="str">
            <v>PPM</v>
          </cell>
          <cell r="AI802" t="str">
            <v>Strands</v>
          </cell>
          <cell r="AJ802" t="str">
            <v>Strands PW</v>
          </cell>
          <cell r="AK802" t="str">
            <v>SNF received. 1st batch of V3 asset (December 2020)</v>
          </cell>
        </row>
        <row r="803">
          <cell r="A803" t="str">
            <v>IKN400339</v>
          </cell>
          <cell r="B803">
            <v>339</v>
          </cell>
          <cell r="C803" t="str">
            <v>Institut Kanser Negara</v>
          </cell>
          <cell r="D803" t="str">
            <v>KKM/IKN/H/13/2494</v>
          </cell>
          <cell r="E803" t="str">
            <v>18-147</v>
          </cell>
          <cell r="F803" t="str">
            <v>Mattress Systems, Alternating-Pressure</v>
          </cell>
          <cell r="G803" t="str">
            <v>WF</v>
          </cell>
          <cell r="H803" t="str">
            <v>RT/ONCO WARD 2 (F)</v>
          </cell>
          <cell r="I803" t="str">
            <v>07WF121</v>
          </cell>
          <cell r="J803" t="str">
            <v>EQUIPMENT ROOM</v>
          </cell>
          <cell r="K803" t="str">
            <v>BMED</v>
          </cell>
          <cell r="L803" t="str">
            <v>Normal</v>
          </cell>
          <cell r="M803" t="str">
            <v>Poland</v>
          </cell>
          <cell r="N803" t="str">
            <v>Nimbus</v>
          </cell>
          <cell r="O803" t="str">
            <v>Nimbus 3</v>
          </cell>
          <cell r="P803" t="str">
            <v>1200018809</v>
          </cell>
          <cell r="Q803" t="str">
            <v>Not Applicable</v>
          </cell>
          <cell r="R803" t="str">
            <v>Arjohuntleigh</v>
          </cell>
          <cell r="S803" t="str">
            <v>Hexamine Sdn. Bhd.</v>
          </cell>
          <cell r="T803" t="str">
            <v>Functioning</v>
          </cell>
          <cell r="U803" t="str">
            <v>Asset</v>
          </cell>
          <cell r="V803">
            <v>28630</v>
          </cell>
          <cell r="W803" t="str">
            <v>KEW</v>
          </cell>
          <cell r="X803" t="str">
            <v>01/09/2010</v>
          </cell>
          <cell r="Y803" t="str">
            <v>KEW</v>
          </cell>
          <cell r="Z803" t="str">
            <v>16/08/2013</v>
          </cell>
          <cell r="AA803" t="str">
            <v>15/08/2015</v>
          </cell>
          <cell r="AB803" t="str">
            <v>No</v>
          </cell>
          <cell r="AC803" t="str">
            <v>31/08/2013</v>
          </cell>
          <cell r="AD803" t="str">
            <v>Good</v>
          </cell>
          <cell r="AE803" t="str">
            <v>V3 - Added Installed Facilities (New)</v>
          </cell>
          <cell r="AF803">
            <v>42235</v>
          </cell>
          <cell r="AG803">
            <v>9.17</v>
          </cell>
          <cell r="AH803" t="str">
            <v>PPM</v>
          </cell>
          <cell r="AI803" t="str">
            <v>Strands</v>
          </cell>
          <cell r="AJ803" t="str">
            <v>Strands PW</v>
          </cell>
          <cell r="AK803" t="str">
            <v>SNF received. 1st batch of V3 asset (December 2020)</v>
          </cell>
        </row>
        <row r="804">
          <cell r="A804" t="str">
            <v>IKN400340</v>
          </cell>
          <cell r="B804">
            <v>340</v>
          </cell>
          <cell r="C804" t="str">
            <v>Institut Kanser Negara</v>
          </cell>
          <cell r="D804" t="str">
            <v>KKM/IKN/H/13/2490</v>
          </cell>
          <cell r="E804" t="str">
            <v>18-147</v>
          </cell>
          <cell r="F804" t="str">
            <v>Mattress Systems, Alternating-Pressure</v>
          </cell>
          <cell r="G804" t="str">
            <v>WF</v>
          </cell>
          <cell r="H804" t="str">
            <v>RT/ONCO WARD 2 (F)</v>
          </cell>
          <cell r="I804" t="str">
            <v>07WF121</v>
          </cell>
          <cell r="J804" t="str">
            <v>EQUIPMENT ROOM</v>
          </cell>
          <cell r="K804" t="str">
            <v>BMED</v>
          </cell>
          <cell r="L804" t="str">
            <v>Normal</v>
          </cell>
          <cell r="M804" t="str">
            <v>Poland</v>
          </cell>
          <cell r="N804" t="str">
            <v>Nimbus</v>
          </cell>
          <cell r="O804" t="str">
            <v>Nimbus 3</v>
          </cell>
          <cell r="P804" t="str">
            <v>1200006458</v>
          </cell>
          <cell r="Q804" t="str">
            <v>Not Applicable</v>
          </cell>
          <cell r="R804" t="str">
            <v>Arjohuntleigh</v>
          </cell>
          <cell r="S804" t="str">
            <v>Hexamine Sdn. Bhd.</v>
          </cell>
          <cell r="T804" t="str">
            <v>Functioning</v>
          </cell>
          <cell r="U804" t="str">
            <v>Asset</v>
          </cell>
          <cell r="V804">
            <v>28630</v>
          </cell>
          <cell r="W804" t="str">
            <v>KEW</v>
          </cell>
          <cell r="X804" t="str">
            <v>01/09/2010</v>
          </cell>
          <cell r="Y804" t="str">
            <v>KEW</v>
          </cell>
          <cell r="Z804" t="str">
            <v>16/08/2013</v>
          </cell>
          <cell r="AA804" t="str">
            <v>15/08/2015</v>
          </cell>
          <cell r="AB804" t="str">
            <v>No</v>
          </cell>
          <cell r="AC804" t="str">
            <v>31/08/2013</v>
          </cell>
          <cell r="AD804" t="str">
            <v>Good</v>
          </cell>
          <cell r="AE804" t="str">
            <v>V3 - Added Installed Facilities (New)</v>
          </cell>
          <cell r="AF804">
            <v>42235</v>
          </cell>
          <cell r="AG804">
            <v>9.17</v>
          </cell>
          <cell r="AH804" t="str">
            <v>PPM</v>
          </cell>
          <cell r="AI804" t="str">
            <v>Strands</v>
          </cell>
          <cell r="AJ804" t="str">
            <v>Strands PW</v>
          </cell>
          <cell r="AK804" t="str">
            <v>SNF received. 1st batch of V3 asset (December 2020)</v>
          </cell>
        </row>
        <row r="805">
          <cell r="A805" t="str">
            <v>IKN400341</v>
          </cell>
          <cell r="B805">
            <v>341</v>
          </cell>
          <cell r="C805" t="str">
            <v>Institut Kanser Negara</v>
          </cell>
          <cell r="D805" t="str">
            <v>KKM/IKN/H/13/2482</v>
          </cell>
          <cell r="E805" t="str">
            <v>18-147</v>
          </cell>
          <cell r="F805" t="str">
            <v>Mattress Systems, Alternating-Pressure</v>
          </cell>
          <cell r="G805" t="str">
            <v>WF</v>
          </cell>
          <cell r="H805" t="str">
            <v>RT/ONCO WARD 2 (F)</v>
          </cell>
          <cell r="I805" t="str">
            <v>07WF121</v>
          </cell>
          <cell r="J805" t="str">
            <v>EQUIPMENT ROOM</v>
          </cell>
          <cell r="K805" t="str">
            <v>BMED</v>
          </cell>
          <cell r="L805" t="str">
            <v>Normal</v>
          </cell>
          <cell r="M805" t="str">
            <v>Poland</v>
          </cell>
          <cell r="N805" t="str">
            <v>Nimbus</v>
          </cell>
          <cell r="O805" t="str">
            <v>Nimbus 3</v>
          </cell>
          <cell r="P805" t="str">
            <v>1200035125</v>
          </cell>
          <cell r="Q805" t="str">
            <v>Not Applicable</v>
          </cell>
          <cell r="R805" t="str">
            <v>Arjohuntleigh</v>
          </cell>
          <cell r="S805" t="str">
            <v>Hexamine Sdn. Bhd.</v>
          </cell>
          <cell r="T805" t="str">
            <v>Functioning</v>
          </cell>
          <cell r="U805" t="str">
            <v>Asset</v>
          </cell>
          <cell r="V805">
            <v>28630</v>
          </cell>
          <cell r="W805" t="str">
            <v>KEW</v>
          </cell>
          <cell r="X805" t="str">
            <v>01/09/2010</v>
          </cell>
          <cell r="Y805" t="str">
            <v>KEW</v>
          </cell>
          <cell r="Z805" t="str">
            <v>16/08/2013</v>
          </cell>
          <cell r="AA805" t="str">
            <v>15/08/2015</v>
          </cell>
          <cell r="AB805" t="str">
            <v>No</v>
          </cell>
          <cell r="AC805" t="str">
            <v>31/08/2013</v>
          </cell>
          <cell r="AD805" t="str">
            <v>Good</v>
          </cell>
          <cell r="AE805" t="str">
            <v>V3 - Added Installed Facilities (New)</v>
          </cell>
          <cell r="AF805">
            <v>42235</v>
          </cell>
          <cell r="AG805">
            <v>9.17</v>
          </cell>
          <cell r="AH805" t="str">
            <v>PPM</v>
          </cell>
          <cell r="AI805" t="str">
            <v>Strands</v>
          </cell>
          <cell r="AJ805" t="str">
            <v>Strands PW</v>
          </cell>
          <cell r="AK805" t="str">
            <v>SNF received. 1st batch of V3 asset (December 2020)</v>
          </cell>
        </row>
        <row r="806">
          <cell r="A806" t="str">
            <v>IKN400342</v>
          </cell>
          <cell r="B806">
            <v>342</v>
          </cell>
          <cell r="C806" t="str">
            <v>Institut Kanser Negara</v>
          </cell>
          <cell r="D806" t="str">
            <v>KKM/IKN/H/13/2487</v>
          </cell>
          <cell r="E806" t="str">
            <v>18-147</v>
          </cell>
          <cell r="F806" t="str">
            <v>Mattress Systems, Alternating-Pressure</v>
          </cell>
          <cell r="G806" t="str">
            <v>WF</v>
          </cell>
          <cell r="H806" t="str">
            <v>RT/ONCO WARD 2 (F)</v>
          </cell>
          <cell r="I806" t="str">
            <v>07WF121</v>
          </cell>
          <cell r="J806" t="str">
            <v>EQUIPMENT ROOM</v>
          </cell>
          <cell r="K806" t="str">
            <v>BMED</v>
          </cell>
          <cell r="L806" t="str">
            <v>Normal</v>
          </cell>
          <cell r="M806" t="str">
            <v>Poland</v>
          </cell>
          <cell r="N806" t="str">
            <v>Nimbus</v>
          </cell>
          <cell r="O806" t="str">
            <v>Nimbus 3</v>
          </cell>
          <cell r="P806" t="str">
            <v>1200035190</v>
          </cell>
          <cell r="Q806" t="str">
            <v>Not Applicable</v>
          </cell>
          <cell r="R806" t="str">
            <v>Arjohuntleigh</v>
          </cell>
          <cell r="S806" t="str">
            <v>Hexamine Sdn. Bhd.</v>
          </cell>
          <cell r="T806" t="str">
            <v>Functioning</v>
          </cell>
          <cell r="U806" t="str">
            <v>Asset</v>
          </cell>
          <cell r="V806">
            <v>28630</v>
          </cell>
          <cell r="W806" t="str">
            <v>KEW</v>
          </cell>
          <cell r="X806" t="str">
            <v>01/09/2010</v>
          </cell>
          <cell r="Y806" t="str">
            <v>KEW</v>
          </cell>
          <cell r="Z806" t="str">
            <v>16/08/2013</v>
          </cell>
          <cell r="AA806" t="str">
            <v>15/08/2015</v>
          </cell>
          <cell r="AB806" t="str">
            <v>No</v>
          </cell>
          <cell r="AC806" t="str">
            <v>31/08/2013</v>
          </cell>
          <cell r="AD806" t="str">
            <v>Good</v>
          </cell>
          <cell r="AE806" t="str">
            <v>V3 - Added Installed Facilities (New)</v>
          </cell>
          <cell r="AF806">
            <v>42235</v>
          </cell>
          <cell r="AG806">
            <v>9.17</v>
          </cell>
          <cell r="AH806" t="str">
            <v>PPM</v>
          </cell>
          <cell r="AI806" t="str">
            <v>Strands</v>
          </cell>
          <cell r="AJ806" t="str">
            <v>Strands PW</v>
          </cell>
          <cell r="AK806" t="str">
            <v>SNF received. 1st batch of V3 asset (December 2020)</v>
          </cell>
        </row>
        <row r="807">
          <cell r="A807" t="str">
            <v>IKN400343</v>
          </cell>
          <cell r="B807">
            <v>343</v>
          </cell>
          <cell r="C807" t="str">
            <v>Institut Kanser Negara</v>
          </cell>
          <cell r="D807" t="str">
            <v>KKM/IKN/H/13/2492</v>
          </cell>
          <cell r="E807" t="str">
            <v>18-147</v>
          </cell>
          <cell r="F807" t="str">
            <v>Mattress Systems, Alternating-Pressure</v>
          </cell>
          <cell r="G807" t="str">
            <v>WF</v>
          </cell>
          <cell r="H807" t="str">
            <v>RT/ONCO WARD 2 (F)</v>
          </cell>
          <cell r="I807" t="str">
            <v>07WF121</v>
          </cell>
          <cell r="J807" t="str">
            <v>EQUIPMENT ROOM</v>
          </cell>
          <cell r="K807" t="str">
            <v>BMED</v>
          </cell>
          <cell r="L807" t="str">
            <v>Normal</v>
          </cell>
          <cell r="M807" t="str">
            <v>Poland</v>
          </cell>
          <cell r="N807" t="str">
            <v>Nimbus</v>
          </cell>
          <cell r="O807" t="str">
            <v>Nimbus 3</v>
          </cell>
          <cell r="P807" t="str">
            <v>1200035121</v>
          </cell>
          <cell r="Q807" t="str">
            <v>Not Applicable</v>
          </cell>
          <cell r="R807" t="str">
            <v>Arjohuntleigh</v>
          </cell>
          <cell r="S807" t="str">
            <v>Hexamine Sdn. Bhd.</v>
          </cell>
          <cell r="T807" t="str">
            <v>Functioning</v>
          </cell>
          <cell r="U807" t="str">
            <v>Asset</v>
          </cell>
          <cell r="V807">
            <v>28630</v>
          </cell>
          <cell r="W807" t="str">
            <v>KEW</v>
          </cell>
          <cell r="X807" t="str">
            <v>01/09/2010</v>
          </cell>
          <cell r="Y807" t="str">
            <v>KEW</v>
          </cell>
          <cell r="Z807" t="str">
            <v>16/08/2013</v>
          </cell>
          <cell r="AA807" t="str">
            <v>15/08/2015</v>
          </cell>
          <cell r="AB807" t="str">
            <v>No</v>
          </cell>
          <cell r="AC807" t="str">
            <v>31/08/2013</v>
          </cell>
          <cell r="AD807" t="str">
            <v>Good</v>
          </cell>
          <cell r="AE807" t="str">
            <v>V3 - Added Installed Facilities (New)</v>
          </cell>
          <cell r="AF807">
            <v>42235</v>
          </cell>
          <cell r="AG807">
            <v>9.17</v>
          </cell>
          <cell r="AH807" t="str">
            <v>PPM</v>
          </cell>
          <cell r="AI807" t="str">
            <v>Strands</v>
          </cell>
          <cell r="AJ807" t="str">
            <v>Strands PW</v>
          </cell>
          <cell r="AK807" t="str">
            <v>SNF received. 1st batch of V3 asset (December 2020)</v>
          </cell>
        </row>
        <row r="808">
          <cell r="A808" t="str">
            <v>IKN400344</v>
          </cell>
          <cell r="B808">
            <v>344</v>
          </cell>
          <cell r="C808" t="str">
            <v>Institut Kanser Negara</v>
          </cell>
          <cell r="D808" t="str">
            <v>KKM/IKN/H/13/2527</v>
          </cell>
          <cell r="E808" t="str">
            <v>10-208</v>
          </cell>
          <cell r="F808" t="str">
            <v>Aspirators</v>
          </cell>
          <cell r="G808" t="str">
            <v>WF</v>
          </cell>
          <cell r="H808" t="str">
            <v>RT/ONCO WARD 2 (F)</v>
          </cell>
          <cell r="I808" t="str">
            <v>07WF121</v>
          </cell>
          <cell r="J808" t="str">
            <v>EQUIPMENT ROOM</v>
          </cell>
          <cell r="K808" t="str">
            <v>BMED</v>
          </cell>
          <cell r="L808" t="str">
            <v>Normal</v>
          </cell>
          <cell r="M808" t="str">
            <v>UK</v>
          </cell>
          <cell r="N808" t="str">
            <v>SAM</v>
          </cell>
          <cell r="O808" t="str">
            <v>SAM 427</v>
          </cell>
          <cell r="P808" t="str">
            <v>0313-0530</v>
          </cell>
          <cell r="Q808" t="str">
            <v>Not Applicable</v>
          </cell>
          <cell r="R808" t="str">
            <v>MG Electric Ltd</v>
          </cell>
          <cell r="S808" t="str">
            <v>Delta Medisains</v>
          </cell>
          <cell r="T808" t="str">
            <v>Functioning</v>
          </cell>
          <cell r="U808" t="str">
            <v>Asset</v>
          </cell>
          <cell r="V808">
            <v>10705</v>
          </cell>
          <cell r="W808" t="str">
            <v>KEW</v>
          </cell>
          <cell r="X808" t="str">
            <v>01/09/2010</v>
          </cell>
          <cell r="Y808" t="str">
            <v>KEW</v>
          </cell>
          <cell r="Z808" t="str">
            <v>16/08/2013</v>
          </cell>
          <cell r="AA808" t="str">
            <v>15/08/2015</v>
          </cell>
          <cell r="AB808" t="str">
            <v>No</v>
          </cell>
          <cell r="AC808" t="str">
            <v>31/08/2013</v>
          </cell>
          <cell r="AD808" t="str">
            <v>Good</v>
          </cell>
          <cell r="AE808" t="str">
            <v>V1 - Existing / No Claim</v>
          </cell>
          <cell r="AF808">
            <v>42235</v>
          </cell>
          <cell r="AG808">
            <v>9.17</v>
          </cell>
          <cell r="AH808" t="str">
            <v>PPM</v>
          </cell>
          <cell r="AI808" t="str">
            <v>Strands</v>
          </cell>
          <cell r="AJ808" t="str">
            <v>Strands PW</v>
          </cell>
        </row>
        <row r="809">
          <cell r="A809" t="str">
            <v>IKN400345</v>
          </cell>
          <cell r="B809">
            <v>345</v>
          </cell>
          <cell r="C809" t="str">
            <v>Institut Kanser Negara</v>
          </cell>
          <cell r="D809" t="str">
            <v>KKM/IKN/H/13/2461</v>
          </cell>
          <cell r="E809" t="str">
            <v>17-148</v>
          </cell>
          <cell r="F809" t="str">
            <v>Oximeters, Pulse</v>
          </cell>
          <cell r="G809" t="str">
            <v>WF</v>
          </cell>
          <cell r="H809" t="str">
            <v>RT/ONCO WARD 2 (F)</v>
          </cell>
          <cell r="I809" t="str">
            <v>07WF121</v>
          </cell>
          <cell r="J809" t="str">
            <v>EQUIPMENT ROOM</v>
          </cell>
          <cell r="K809" t="str">
            <v>BMED</v>
          </cell>
          <cell r="L809" t="str">
            <v>Normal</v>
          </cell>
          <cell r="M809" t="str">
            <v>USA</v>
          </cell>
          <cell r="N809" t="str">
            <v>PalmSat</v>
          </cell>
          <cell r="O809" t="str">
            <v>PalmSat 2500</v>
          </cell>
          <cell r="P809" t="str">
            <v>501439255</v>
          </cell>
          <cell r="Q809" t="str">
            <v>Not Applicable</v>
          </cell>
          <cell r="R809" t="str">
            <v>Nonin Medical Inc</v>
          </cell>
          <cell r="S809" t="str">
            <v>Acucare Systems (M) Sdn bhd</v>
          </cell>
          <cell r="T809" t="str">
            <v>Functioning</v>
          </cell>
          <cell r="U809" t="str">
            <v>Asset</v>
          </cell>
          <cell r="V809">
            <v>5410</v>
          </cell>
          <cell r="W809" t="str">
            <v>KEW</v>
          </cell>
          <cell r="X809" t="str">
            <v>01/09/2010</v>
          </cell>
          <cell r="Y809" t="str">
            <v>KEW</v>
          </cell>
          <cell r="Z809" t="str">
            <v>16/08/2013</v>
          </cell>
          <cell r="AA809" t="str">
            <v>15/08/2015</v>
          </cell>
          <cell r="AB809" t="str">
            <v>No</v>
          </cell>
          <cell r="AC809" t="str">
            <v>31/08/2013</v>
          </cell>
          <cell r="AD809" t="str">
            <v>Good</v>
          </cell>
          <cell r="AE809" t="str">
            <v>V1 - Existing / No Claim</v>
          </cell>
          <cell r="AF809">
            <v>42235</v>
          </cell>
          <cell r="AG809">
            <v>9.17</v>
          </cell>
          <cell r="AH809" t="str">
            <v>PPM</v>
          </cell>
          <cell r="AI809" t="str">
            <v>Strands</v>
          </cell>
          <cell r="AJ809" t="str">
            <v>Strands PW</v>
          </cell>
        </row>
        <row r="810">
          <cell r="A810" t="str">
            <v>IKN400346</v>
          </cell>
          <cell r="B810">
            <v>346</v>
          </cell>
          <cell r="C810" t="str">
            <v>Institut Kanser Negara</v>
          </cell>
          <cell r="D810" t="str">
            <v>KKM/IKN/H/13/2462</v>
          </cell>
          <cell r="E810" t="str">
            <v>17-148</v>
          </cell>
          <cell r="F810" t="str">
            <v>Oximeters, Pulse</v>
          </cell>
          <cell r="G810" t="str">
            <v>WF</v>
          </cell>
          <cell r="H810" t="str">
            <v>RT/ONCO WARD 2 (F)</v>
          </cell>
          <cell r="I810" t="str">
            <v>07WF121</v>
          </cell>
          <cell r="J810" t="str">
            <v>EQUIPMENT ROOM</v>
          </cell>
          <cell r="K810" t="str">
            <v>BMED</v>
          </cell>
          <cell r="L810" t="str">
            <v>Normal</v>
          </cell>
          <cell r="M810" t="str">
            <v>USA</v>
          </cell>
          <cell r="N810" t="str">
            <v>PalmSat</v>
          </cell>
          <cell r="O810" t="str">
            <v>PalmSat 2500</v>
          </cell>
          <cell r="P810" t="str">
            <v>501438137</v>
          </cell>
          <cell r="Q810" t="str">
            <v>Not Applicable</v>
          </cell>
          <cell r="R810" t="str">
            <v>Nonin Medical Inc</v>
          </cell>
          <cell r="S810" t="str">
            <v>Acucare Systems (M) Sdn bhd</v>
          </cell>
          <cell r="T810" t="str">
            <v>Functioning</v>
          </cell>
          <cell r="U810" t="str">
            <v>Asset</v>
          </cell>
          <cell r="V810">
            <v>5410</v>
          </cell>
          <cell r="W810" t="str">
            <v>KEW</v>
          </cell>
          <cell r="X810" t="str">
            <v>01/09/2010</v>
          </cell>
          <cell r="Y810" t="str">
            <v>KEW</v>
          </cell>
          <cell r="Z810" t="str">
            <v>16/08/2013</v>
          </cell>
          <cell r="AA810" t="str">
            <v>15/08/2015</v>
          </cell>
          <cell r="AB810" t="str">
            <v>No</v>
          </cell>
          <cell r="AC810" t="str">
            <v>31/08/2013</v>
          </cell>
          <cell r="AD810" t="str">
            <v>Good</v>
          </cell>
          <cell r="AE810" t="str">
            <v>V1 - Existing / No Claim</v>
          </cell>
          <cell r="AF810">
            <v>42235</v>
          </cell>
          <cell r="AG810">
            <v>9.17</v>
          </cell>
          <cell r="AH810" t="str">
            <v>PPM</v>
          </cell>
          <cell r="AI810" t="str">
            <v>Strands</v>
          </cell>
          <cell r="AJ810" t="str">
            <v>Strands PW</v>
          </cell>
        </row>
        <row r="811">
          <cell r="A811" t="str">
            <v>IKN400347</v>
          </cell>
          <cell r="B811">
            <v>347</v>
          </cell>
          <cell r="C811" t="str">
            <v>Institut Kanser Negara</v>
          </cell>
          <cell r="D811" t="str">
            <v>KKM/IKN/H/13/2458</v>
          </cell>
          <cell r="E811" t="str">
            <v>12-647</v>
          </cell>
          <cell r="F811" t="str">
            <v>Physiologic Monitoring Systems, Acute Care</v>
          </cell>
          <cell r="G811" t="str">
            <v>WF</v>
          </cell>
          <cell r="H811" t="str">
            <v>RT/ONCO WARD 2 (F)</v>
          </cell>
          <cell r="I811" t="str">
            <v>07WF121</v>
          </cell>
          <cell r="J811" t="str">
            <v>EQUIPMENT ROOM</v>
          </cell>
          <cell r="K811" t="str">
            <v>BMED</v>
          </cell>
          <cell r="L811" t="str">
            <v>Normal</v>
          </cell>
          <cell r="M811" t="str">
            <v>USA</v>
          </cell>
          <cell r="N811" t="str">
            <v>GE</v>
          </cell>
          <cell r="O811" t="str">
            <v>GE B30</v>
          </cell>
          <cell r="P811" t="str">
            <v>SF312325915WA</v>
          </cell>
          <cell r="Q811" t="str">
            <v>Not Applicable</v>
          </cell>
          <cell r="R811" t="str">
            <v>GE Healthcare Systems</v>
          </cell>
          <cell r="S811" t="str">
            <v>GE Healthcare Technologies</v>
          </cell>
          <cell r="T811" t="str">
            <v>Functioning</v>
          </cell>
          <cell r="U811" t="str">
            <v>Asset</v>
          </cell>
          <cell r="V811">
            <v>44510</v>
          </cell>
          <cell r="W811" t="str">
            <v>KEW</v>
          </cell>
          <cell r="X811" t="str">
            <v>01/09/2010</v>
          </cell>
          <cell r="Y811" t="str">
            <v>KEW</v>
          </cell>
          <cell r="Z811" t="str">
            <v>16/08/2013</v>
          </cell>
          <cell r="AA811" t="str">
            <v>15/08/2015</v>
          </cell>
          <cell r="AB811" t="str">
            <v>No</v>
          </cell>
          <cell r="AC811" t="str">
            <v>31/08/2013</v>
          </cell>
          <cell r="AD811" t="str">
            <v>Good</v>
          </cell>
          <cell r="AE811" t="str">
            <v>V1 - Existing / No Claim</v>
          </cell>
          <cell r="AF811">
            <v>42235</v>
          </cell>
          <cell r="AG811">
            <v>9.17</v>
          </cell>
          <cell r="AH811" t="str">
            <v>PPM</v>
          </cell>
          <cell r="AI811" t="str">
            <v>Strands</v>
          </cell>
          <cell r="AJ811" t="str">
            <v>Strands PW</v>
          </cell>
        </row>
        <row r="812">
          <cell r="A812" t="str">
            <v>IKN400348</v>
          </cell>
          <cell r="B812">
            <v>348</v>
          </cell>
          <cell r="C812" t="str">
            <v>Institut Kanser Negara</v>
          </cell>
          <cell r="D812" t="str">
            <v>KKM/IKN/H/13/2459</v>
          </cell>
          <cell r="E812" t="str">
            <v>12-647</v>
          </cell>
          <cell r="F812" t="str">
            <v>Physiologic Monitoring Systems, Acute Care</v>
          </cell>
          <cell r="G812" t="str">
            <v>WF</v>
          </cell>
          <cell r="H812" t="str">
            <v>RT/ONCO WARD 2 (F)</v>
          </cell>
          <cell r="I812" t="str">
            <v>07WF121</v>
          </cell>
          <cell r="J812" t="str">
            <v>EQUIPMENT ROOM</v>
          </cell>
          <cell r="K812" t="str">
            <v>BMED</v>
          </cell>
          <cell r="L812" t="str">
            <v>Critical</v>
          </cell>
          <cell r="M812" t="str">
            <v>USA</v>
          </cell>
          <cell r="N812" t="str">
            <v>GE</v>
          </cell>
          <cell r="O812" t="str">
            <v>GE B30</v>
          </cell>
          <cell r="P812" t="str">
            <v>SF312325902WA</v>
          </cell>
          <cell r="Q812" t="str">
            <v>Not Applicable</v>
          </cell>
          <cell r="R812" t="str">
            <v>GE Healthcare Systems</v>
          </cell>
          <cell r="S812" t="str">
            <v>GE Healthcare Technologies</v>
          </cell>
          <cell r="T812" t="str">
            <v>Functioning</v>
          </cell>
          <cell r="U812" t="str">
            <v>Asset</v>
          </cell>
          <cell r="V812">
            <v>44510</v>
          </cell>
          <cell r="W812" t="str">
            <v>KEW</v>
          </cell>
          <cell r="X812" t="str">
            <v>01/09/2010</v>
          </cell>
          <cell r="Y812" t="str">
            <v>KEW</v>
          </cell>
          <cell r="Z812" t="str">
            <v>16/08/2013</v>
          </cell>
          <cell r="AA812" t="str">
            <v>15/08/2015</v>
          </cell>
          <cell r="AB812" t="str">
            <v>No</v>
          </cell>
          <cell r="AC812" t="str">
            <v>31/08/2013</v>
          </cell>
          <cell r="AD812" t="str">
            <v>Good</v>
          </cell>
          <cell r="AE812" t="str">
            <v>V1 - Existing / No Claim</v>
          </cell>
          <cell r="AF812">
            <v>42788</v>
          </cell>
          <cell r="AG812">
            <v>9.17</v>
          </cell>
          <cell r="AH812" t="str">
            <v>PPM</v>
          </cell>
          <cell r="AI812" t="str">
            <v>Strands</v>
          </cell>
          <cell r="AJ812" t="str">
            <v>Strands PW</v>
          </cell>
        </row>
        <row r="813">
          <cell r="A813" t="str">
            <v>IKN400349</v>
          </cell>
          <cell r="B813">
            <v>349</v>
          </cell>
          <cell r="C813" t="str">
            <v>Institut Kanser Negara</v>
          </cell>
          <cell r="D813" t="str">
            <v>KKM/IKN/H/13/2518</v>
          </cell>
          <cell r="E813" t="str">
            <v>16-173</v>
          </cell>
          <cell r="F813" t="str">
            <v>Sphygmomanometers, Electronic, Automatic</v>
          </cell>
          <cell r="G813" t="str">
            <v>WF</v>
          </cell>
          <cell r="H813" t="str">
            <v>RT/ONCO WARD 2 (F)</v>
          </cell>
          <cell r="I813" t="str">
            <v>07WF143</v>
          </cell>
          <cell r="J813" t="str">
            <v>NURSE STATION</v>
          </cell>
          <cell r="K813" t="str">
            <v>BMED</v>
          </cell>
          <cell r="L813" t="str">
            <v>Critical</v>
          </cell>
          <cell r="M813" t="str">
            <v>USA</v>
          </cell>
          <cell r="N813" t="str">
            <v>Connex</v>
          </cell>
          <cell r="O813" t="str">
            <v>Connex ProBP 3400</v>
          </cell>
          <cell r="P813" t="str">
            <v>100001590613</v>
          </cell>
          <cell r="Q813" t="str">
            <v>Not Applicable</v>
          </cell>
          <cell r="R813" t="str">
            <v>Welch Allyn Inc</v>
          </cell>
          <cell r="S813" t="str">
            <v>Welch Allyn Malaysia Sdn Bhd</v>
          </cell>
          <cell r="T813" t="str">
            <v>Functioning</v>
          </cell>
          <cell r="U813" t="str">
            <v>Asset</v>
          </cell>
          <cell r="V813">
            <v>4510</v>
          </cell>
          <cell r="W813" t="str">
            <v>KEW</v>
          </cell>
          <cell r="X813" t="str">
            <v>01/09/2010</v>
          </cell>
          <cell r="Y813" t="str">
            <v>KEW</v>
          </cell>
          <cell r="Z813" t="str">
            <v>16/08/2013</v>
          </cell>
          <cell r="AA813" t="str">
            <v>15/08/2015</v>
          </cell>
          <cell r="AB813" t="str">
            <v>No</v>
          </cell>
          <cell r="AC813" t="str">
            <v>31/08/2013</v>
          </cell>
          <cell r="AD813" t="str">
            <v>Good</v>
          </cell>
          <cell r="AE813" t="str">
            <v>V1 - Existing / No Claim</v>
          </cell>
          <cell r="AF813">
            <v>42788</v>
          </cell>
          <cell r="AG813">
            <v>9.17</v>
          </cell>
          <cell r="AH813" t="str">
            <v>PPM</v>
          </cell>
          <cell r="AI813" t="str">
            <v>Strands</v>
          </cell>
          <cell r="AJ813" t="str">
            <v>Strands PW</v>
          </cell>
        </row>
        <row r="814">
          <cell r="A814" t="str">
            <v>IKN400350</v>
          </cell>
          <cell r="B814">
            <v>350</v>
          </cell>
          <cell r="C814" t="str">
            <v>Institut Kanser Negara</v>
          </cell>
          <cell r="D814" t="str">
            <v>KKM/IKN/H/13/2512</v>
          </cell>
          <cell r="E814" t="str">
            <v>16-173</v>
          </cell>
          <cell r="F814" t="str">
            <v>Sphygmomanometers, Electronic, Automatic</v>
          </cell>
          <cell r="G814" t="str">
            <v>WF</v>
          </cell>
          <cell r="H814" t="str">
            <v>RT/ONCO WARD 2 (F)</v>
          </cell>
          <cell r="I814" t="str">
            <v>07WF143</v>
          </cell>
          <cell r="J814" t="str">
            <v>NURSE STATION</v>
          </cell>
          <cell r="K814" t="str">
            <v>BMED</v>
          </cell>
          <cell r="L814" t="str">
            <v>Critical</v>
          </cell>
          <cell r="M814" t="str">
            <v>USA</v>
          </cell>
          <cell r="N814" t="str">
            <v>Connex</v>
          </cell>
          <cell r="O814" t="str">
            <v>Connex ProBP 3400</v>
          </cell>
          <cell r="P814" t="str">
            <v>100001760613</v>
          </cell>
          <cell r="Q814" t="str">
            <v>Not Applicable</v>
          </cell>
          <cell r="R814" t="str">
            <v>Welch Allyn Inc</v>
          </cell>
          <cell r="S814" t="str">
            <v>Welch Allyn Malaysia Sdn Bhd</v>
          </cell>
          <cell r="T814" t="str">
            <v>Functioning</v>
          </cell>
          <cell r="U814" t="str">
            <v>Asset</v>
          </cell>
          <cell r="V814">
            <v>4510</v>
          </cell>
          <cell r="W814" t="str">
            <v>KEW</v>
          </cell>
          <cell r="X814" t="str">
            <v>01/09/2010</v>
          </cell>
          <cell r="Y814" t="str">
            <v>KEW</v>
          </cell>
          <cell r="Z814" t="str">
            <v>16/08/2013</v>
          </cell>
          <cell r="AA814" t="str">
            <v>15/08/2015</v>
          </cell>
          <cell r="AB814" t="str">
            <v>No</v>
          </cell>
          <cell r="AC814" t="str">
            <v>31/08/2013</v>
          </cell>
          <cell r="AD814" t="str">
            <v>Good</v>
          </cell>
          <cell r="AE814" t="str">
            <v>V1 - Existing / No Claim</v>
          </cell>
          <cell r="AF814">
            <v>42788</v>
          </cell>
          <cell r="AG814">
            <v>9.17</v>
          </cell>
          <cell r="AH814" t="str">
            <v>PPM</v>
          </cell>
          <cell r="AI814" t="str">
            <v>Strands</v>
          </cell>
          <cell r="AJ814" t="str">
            <v>Strands PW</v>
          </cell>
        </row>
        <row r="815">
          <cell r="A815" t="str">
            <v>IKN400352</v>
          </cell>
          <cell r="B815">
            <v>352</v>
          </cell>
          <cell r="C815" t="str">
            <v>Institut Kanser Negara</v>
          </cell>
          <cell r="D815" t="e">
            <v>#N/A</v>
          </cell>
          <cell r="E815" t="str">
            <v>11-134</v>
          </cell>
          <cell r="F815" t="str">
            <v>Defibrillators, External, Manual</v>
          </cell>
          <cell r="G815" t="str">
            <v>WF</v>
          </cell>
          <cell r="H815" t="str">
            <v>RT/ONCO WARD 2 (F)</v>
          </cell>
          <cell r="I815" t="str">
            <v>07WF133</v>
          </cell>
          <cell r="J815" t="str">
            <v>RESUS EQ. BAY</v>
          </cell>
          <cell r="K815" t="str">
            <v>BMED</v>
          </cell>
          <cell r="L815" t="str">
            <v>Critical</v>
          </cell>
          <cell r="M815" t="str">
            <v>USA</v>
          </cell>
          <cell r="N815" t="str">
            <v>Responder</v>
          </cell>
          <cell r="O815" t="str">
            <v>Responder 2000</v>
          </cell>
          <cell r="P815" t="str">
            <v>3206743</v>
          </cell>
          <cell r="Q815" t="str">
            <v>Not Applicable</v>
          </cell>
          <cell r="R815" t="str">
            <v>GE Medical Systems</v>
          </cell>
          <cell r="S815" t="str">
            <v>Antah Sir Radin Sdn. Bhd.</v>
          </cell>
          <cell r="T815" t="str">
            <v>Functioning</v>
          </cell>
          <cell r="U815" t="str">
            <v>Asset</v>
          </cell>
          <cell r="V815">
            <v>45000</v>
          </cell>
          <cell r="W815" t="str">
            <v>Estimate</v>
          </cell>
          <cell r="X815" t="str">
            <v>01/09/2010</v>
          </cell>
          <cell r="Y815" t="str">
            <v>KEW</v>
          </cell>
          <cell r="Z815" t="str">
            <v>16/08/2013</v>
          </cell>
          <cell r="AA815" t="str">
            <v>15/08/2015</v>
          </cell>
          <cell r="AB815" t="str">
            <v>No</v>
          </cell>
          <cell r="AC815" t="str">
            <v>31/08/2013</v>
          </cell>
          <cell r="AD815" t="str">
            <v>Good</v>
          </cell>
          <cell r="AE815" t="str">
            <v>V1 - Existing / No Claim</v>
          </cell>
          <cell r="AF815">
            <v>42601</v>
          </cell>
          <cell r="AG815">
            <v>9.17</v>
          </cell>
          <cell r="AH815" t="str">
            <v>PPM</v>
          </cell>
          <cell r="AI815" t="str">
            <v>Strands</v>
          </cell>
          <cell r="AJ815" t="str">
            <v>Strands PW</v>
          </cell>
          <cell r="AK815" t="str">
            <v>Crash Trolley (FEMS)</v>
          </cell>
        </row>
        <row r="816">
          <cell r="A816" t="str">
            <v>IKN400353</v>
          </cell>
          <cell r="B816">
            <v>353</v>
          </cell>
          <cell r="C816" t="str">
            <v>Institut Kanser Negara</v>
          </cell>
          <cell r="D816" t="str">
            <v>KKM/IKN/H/13/4740</v>
          </cell>
          <cell r="E816" t="str">
            <v>25-209</v>
          </cell>
          <cell r="F816" t="str">
            <v>Monitors, Physiologic, Vital Signs</v>
          </cell>
          <cell r="G816" t="str">
            <v>WF</v>
          </cell>
          <cell r="H816" t="str">
            <v>RT/ONCO WARD 2 (F)</v>
          </cell>
          <cell r="I816" t="str">
            <v>07WF133</v>
          </cell>
          <cell r="J816" t="str">
            <v>RESUS EQ. BAY</v>
          </cell>
          <cell r="K816" t="str">
            <v>BMED</v>
          </cell>
          <cell r="L816" t="str">
            <v>Normal</v>
          </cell>
          <cell r="M816" t="str">
            <v>Mexico</v>
          </cell>
          <cell r="N816" t="str">
            <v>Carespace</v>
          </cell>
          <cell r="O816" t="str">
            <v>Carescape V100</v>
          </cell>
          <cell r="P816" t="str">
            <v>SH613280318SA</v>
          </cell>
          <cell r="Q816" t="str">
            <v>Not Applicable</v>
          </cell>
          <cell r="R816" t="str">
            <v>GE Healthcare Systems</v>
          </cell>
          <cell r="S816" t="str">
            <v>GE Healthcare Technologies</v>
          </cell>
          <cell r="T816" t="str">
            <v>Functioning</v>
          </cell>
          <cell r="U816" t="str">
            <v>Asset</v>
          </cell>
          <cell r="V816">
            <v>18765</v>
          </cell>
          <cell r="W816" t="str">
            <v>KEW</v>
          </cell>
          <cell r="X816" t="str">
            <v>01/09/2010</v>
          </cell>
          <cell r="Y816" t="str">
            <v>KEW</v>
          </cell>
          <cell r="Z816" t="str">
            <v>16/08/2013</v>
          </cell>
          <cell r="AA816" t="str">
            <v>15/08/2015</v>
          </cell>
          <cell r="AB816" t="str">
            <v>No</v>
          </cell>
          <cell r="AC816" t="str">
            <v>31/08/2013</v>
          </cell>
          <cell r="AD816" t="str">
            <v>Good</v>
          </cell>
          <cell r="AE816" t="str">
            <v>V1 - Existing / No Claim</v>
          </cell>
          <cell r="AF816">
            <v>42235</v>
          </cell>
          <cell r="AG816">
            <v>9.17</v>
          </cell>
          <cell r="AH816" t="str">
            <v>PPM</v>
          </cell>
          <cell r="AI816" t="str">
            <v>Strands</v>
          </cell>
          <cell r="AJ816" t="str">
            <v>Strands PW</v>
          </cell>
        </row>
        <row r="817">
          <cell r="A817" t="str">
            <v>IKN400355</v>
          </cell>
          <cell r="B817">
            <v>355</v>
          </cell>
          <cell r="C817" t="str">
            <v>Institut Kanser Negara</v>
          </cell>
          <cell r="D817" t="str">
            <v>KKM/IKN/H/13/2363</v>
          </cell>
          <cell r="E817" t="str">
            <v>10-208</v>
          </cell>
          <cell r="F817" t="str">
            <v>Aspirators</v>
          </cell>
          <cell r="G817" t="str">
            <v>WE</v>
          </cell>
          <cell r="H817" t="str">
            <v>RT/ONCO WARD 1 (F)</v>
          </cell>
          <cell r="I817" t="str">
            <v>07WE107</v>
          </cell>
          <cell r="J817" t="str">
            <v>TREATMENT / PROCESURE</v>
          </cell>
          <cell r="K817" t="str">
            <v>BMED</v>
          </cell>
          <cell r="L817" t="str">
            <v>Critical</v>
          </cell>
          <cell r="M817" t="str">
            <v>Switzerland</v>
          </cell>
          <cell r="N817" t="str">
            <v>Senator</v>
          </cell>
          <cell r="O817" t="str">
            <v>Senator</v>
          </cell>
          <cell r="P817" t="str">
            <v>1220743</v>
          </cell>
          <cell r="Q817" t="str">
            <v>Not Applicable</v>
          </cell>
          <cell r="R817" t="str">
            <v>Ardo Medical AG</v>
          </cell>
          <cell r="S817" t="str">
            <v>Histopoint</v>
          </cell>
          <cell r="T817" t="str">
            <v>Functioning</v>
          </cell>
          <cell r="U817" t="str">
            <v>Asset</v>
          </cell>
          <cell r="V817">
            <v>5052</v>
          </cell>
          <cell r="W817" t="str">
            <v>KEW</v>
          </cell>
          <cell r="X817" t="str">
            <v>01/09/2010</v>
          </cell>
          <cell r="Y817" t="str">
            <v>KEW</v>
          </cell>
          <cell r="Z817" t="str">
            <v>16/08/2013</v>
          </cell>
          <cell r="AA817" t="str">
            <v>15/08/2015</v>
          </cell>
          <cell r="AB817" t="str">
            <v>No</v>
          </cell>
          <cell r="AC817" t="str">
            <v>31/08/2013</v>
          </cell>
          <cell r="AD817" t="str">
            <v>Good</v>
          </cell>
          <cell r="AE817" t="str">
            <v>V1 - Existing / No Claim</v>
          </cell>
          <cell r="AF817">
            <v>42789</v>
          </cell>
          <cell r="AG817">
            <v>9.17</v>
          </cell>
          <cell r="AH817" t="str">
            <v>PPM</v>
          </cell>
          <cell r="AI817" t="str">
            <v>Strands</v>
          </cell>
          <cell r="AJ817" t="str">
            <v>Strands PW</v>
          </cell>
        </row>
        <row r="818">
          <cell r="A818" t="str">
            <v>IKN400356</v>
          </cell>
          <cell r="B818">
            <v>356</v>
          </cell>
          <cell r="C818" t="str">
            <v>Institut Kanser Negara</v>
          </cell>
          <cell r="D818" t="str">
            <v>KKM/IKN/H/13/2355</v>
          </cell>
          <cell r="E818" t="str">
            <v>16-231</v>
          </cell>
          <cell r="F818" t="str">
            <v>Electrocardiographs, Multichannel, Interpretative</v>
          </cell>
          <cell r="G818" t="str">
            <v>WE</v>
          </cell>
          <cell r="H818" t="str">
            <v>RT/ONCO WARD 1 (F)</v>
          </cell>
          <cell r="I818" t="str">
            <v>07WE107</v>
          </cell>
          <cell r="J818" t="str">
            <v>TREATMENT / PROCESURE</v>
          </cell>
          <cell r="K818" t="str">
            <v>BMED</v>
          </cell>
          <cell r="L818" t="str">
            <v>Critical</v>
          </cell>
          <cell r="M818" t="str">
            <v>China</v>
          </cell>
          <cell r="N818" t="str">
            <v>Mac</v>
          </cell>
          <cell r="O818" t="str">
            <v>MAC 800</v>
          </cell>
          <cell r="P818" t="str">
            <v>SJ412450363 WA</v>
          </cell>
          <cell r="Q818" t="str">
            <v>Not Applicable</v>
          </cell>
          <cell r="R818" t="str">
            <v>GE Healthcare Systems</v>
          </cell>
          <cell r="S818" t="str">
            <v>GE Healthcare Technologies</v>
          </cell>
          <cell r="T818" t="str">
            <v>Functioning</v>
          </cell>
          <cell r="U818" t="str">
            <v>Asset</v>
          </cell>
          <cell r="V818">
            <v>25260</v>
          </cell>
          <cell r="W818" t="str">
            <v>KEW</v>
          </cell>
          <cell r="X818" t="str">
            <v>01/09/2010</v>
          </cell>
          <cell r="Y818" t="str">
            <v>KEW</v>
          </cell>
          <cell r="Z818" t="str">
            <v>16/08/2013</v>
          </cell>
          <cell r="AA818" t="str">
            <v>15/08/2015</v>
          </cell>
          <cell r="AB818" t="str">
            <v>No</v>
          </cell>
          <cell r="AC818" t="str">
            <v>31/08/2013</v>
          </cell>
          <cell r="AD818" t="str">
            <v>Good</v>
          </cell>
          <cell r="AE818" t="str">
            <v>V1 - Existing / No Claim</v>
          </cell>
          <cell r="AF818">
            <v>42789</v>
          </cell>
          <cell r="AG818">
            <v>9.17</v>
          </cell>
          <cell r="AH818" t="str">
            <v>PPM</v>
          </cell>
          <cell r="AI818" t="str">
            <v>Strands</v>
          </cell>
          <cell r="AJ818" t="str">
            <v>Strands PW</v>
          </cell>
        </row>
        <row r="819">
          <cell r="A819" t="str">
            <v>IKN400357</v>
          </cell>
          <cell r="B819">
            <v>357</v>
          </cell>
          <cell r="C819" t="str">
            <v>Institut Kanser Negara</v>
          </cell>
          <cell r="D819" t="str">
            <v>KKM/IKN/H/13/2075</v>
          </cell>
          <cell r="E819" t="str">
            <v>10-447</v>
          </cell>
          <cell r="F819" t="str">
            <v>Warming Units, Blood/Solution</v>
          </cell>
          <cell r="G819" t="str">
            <v>WE</v>
          </cell>
          <cell r="H819" t="str">
            <v>RT/ONCO WARD 1 (F)</v>
          </cell>
          <cell r="I819" t="str">
            <v>07WE113</v>
          </cell>
          <cell r="J819" t="str">
            <v>EQUIPMENT ROOM</v>
          </cell>
          <cell r="K819" t="str">
            <v>BMED</v>
          </cell>
          <cell r="L819" t="str">
            <v>Normal</v>
          </cell>
          <cell r="M819" t="str">
            <v>Japan</v>
          </cell>
          <cell r="N819" t="str">
            <v>Animec</v>
          </cell>
          <cell r="O819" t="str">
            <v>Animec AM-301</v>
          </cell>
          <cell r="P819" t="str">
            <v>2013D0241</v>
          </cell>
          <cell r="Q819" t="str">
            <v>Not Applicable</v>
          </cell>
          <cell r="R819" t="str">
            <v>Elltec Co Ltd</v>
          </cell>
          <cell r="S819" t="str">
            <v>IDS Services (Malaysia) Sdn Bhd</v>
          </cell>
          <cell r="T819" t="str">
            <v>Functioning</v>
          </cell>
          <cell r="U819" t="str">
            <v>Asset</v>
          </cell>
          <cell r="V819">
            <v>4990</v>
          </cell>
          <cell r="W819" t="str">
            <v>KEW</v>
          </cell>
          <cell r="X819" t="str">
            <v>01/09/2010</v>
          </cell>
          <cell r="Y819" t="str">
            <v>KEW</v>
          </cell>
          <cell r="Z819" t="str">
            <v>16/08/2013</v>
          </cell>
          <cell r="AA819" t="str">
            <v>15/08/2015</v>
          </cell>
          <cell r="AB819" t="str">
            <v>No</v>
          </cell>
          <cell r="AC819" t="str">
            <v>31/08/2013</v>
          </cell>
          <cell r="AD819" t="str">
            <v>Good</v>
          </cell>
          <cell r="AE819" t="str">
            <v>V1 - Existing / No Claim</v>
          </cell>
          <cell r="AF819">
            <v>42235</v>
          </cell>
          <cell r="AG819">
            <v>9.17</v>
          </cell>
          <cell r="AH819" t="str">
            <v>PPM</v>
          </cell>
          <cell r="AI819" t="str">
            <v>Strands</v>
          </cell>
          <cell r="AJ819" t="str">
            <v>Strands PW</v>
          </cell>
        </row>
        <row r="820">
          <cell r="A820" t="str">
            <v>IKN400358</v>
          </cell>
          <cell r="B820">
            <v>358</v>
          </cell>
          <cell r="C820" t="str">
            <v>Institut Kanser Negara</v>
          </cell>
          <cell r="D820" t="str">
            <v>KKM/IKN/H/13/2077</v>
          </cell>
          <cell r="E820" t="str">
            <v>10-447</v>
          </cell>
          <cell r="F820" t="str">
            <v>Warming Units, Blood/Solution</v>
          </cell>
          <cell r="G820" t="str">
            <v>WE</v>
          </cell>
          <cell r="H820" t="str">
            <v>RT/ONCO WARD 1 (F)</v>
          </cell>
          <cell r="I820" t="str">
            <v>07WE113</v>
          </cell>
          <cell r="J820" t="str">
            <v>EQUIPMENT ROOM</v>
          </cell>
          <cell r="K820" t="str">
            <v>BMED</v>
          </cell>
          <cell r="L820" t="str">
            <v>Normal</v>
          </cell>
          <cell r="M820" t="str">
            <v>Japan</v>
          </cell>
          <cell r="N820" t="str">
            <v>Animec</v>
          </cell>
          <cell r="O820" t="str">
            <v>Animec AM-301</v>
          </cell>
          <cell r="P820" t="str">
            <v>2013D0269</v>
          </cell>
          <cell r="Q820" t="str">
            <v>Not Applicable</v>
          </cell>
          <cell r="R820" t="str">
            <v>Elltec Co Ltd</v>
          </cell>
          <cell r="S820" t="str">
            <v>IDS Services (Malaysia) Sdn Bhd</v>
          </cell>
          <cell r="T820" t="str">
            <v>Functioning</v>
          </cell>
          <cell r="U820" t="str">
            <v>Asset</v>
          </cell>
          <cell r="V820">
            <v>4990</v>
          </cell>
          <cell r="W820" t="str">
            <v>KEW</v>
          </cell>
          <cell r="X820" t="str">
            <v>01/09/2010</v>
          </cell>
          <cell r="Y820" t="str">
            <v>KEW</v>
          </cell>
          <cell r="Z820" t="str">
            <v>16/08/2013</v>
          </cell>
          <cell r="AA820" t="str">
            <v>15/08/2015</v>
          </cell>
          <cell r="AB820" t="str">
            <v>No</v>
          </cell>
          <cell r="AC820" t="str">
            <v>31/08/2013</v>
          </cell>
          <cell r="AD820" t="str">
            <v>Good</v>
          </cell>
          <cell r="AE820" t="str">
            <v>V1 - Existing / No Claim</v>
          </cell>
          <cell r="AF820">
            <v>42235</v>
          </cell>
          <cell r="AG820">
            <v>9.17</v>
          </cell>
          <cell r="AH820" t="str">
            <v>PPM</v>
          </cell>
          <cell r="AI820" t="str">
            <v>Strands</v>
          </cell>
          <cell r="AJ820" t="str">
            <v>Strands PW</v>
          </cell>
        </row>
        <row r="821">
          <cell r="A821" t="str">
            <v>IKN400359</v>
          </cell>
          <cell r="B821">
            <v>359</v>
          </cell>
          <cell r="C821" t="str">
            <v>Institut Kanser Negara</v>
          </cell>
          <cell r="D821" t="str">
            <v>KKM/IKN/H/13/2076</v>
          </cell>
          <cell r="E821" t="str">
            <v>10-447</v>
          </cell>
          <cell r="F821" t="str">
            <v>Warming Units, Blood/Solution</v>
          </cell>
          <cell r="G821" t="str">
            <v>WE</v>
          </cell>
          <cell r="H821" t="str">
            <v>RT/ONCO WARD 1 (F)</v>
          </cell>
          <cell r="I821" t="str">
            <v>07WE113</v>
          </cell>
          <cell r="J821" t="str">
            <v>EQUIPMENT ROOM</v>
          </cell>
          <cell r="K821" t="str">
            <v>BMED</v>
          </cell>
          <cell r="L821" t="str">
            <v>Normal</v>
          </cell>
          <cell r="M821" t="str">
            <v>Japan</v>
          </cell>
          <cell r="N821" t="str">
            <v>Animec</v>
          </cell>
          <cell r="O821" t="str">
            <v>Animec AM-301</v>
          </cell>
          <cell r="P821" t="str">
            <v>2013D0242</v>
          </cell>
          <cell r="Q821" t="str">
            <v>Not Applicable</v>
          </cell>
          <cell r="R821" t="str">
            <v>Elltec Co Ltd</v>
          </cell>
          <cell r="S821" t="str">
            <v>IDS Services (Malaysia) Sdn Bhd</v>
          </cell>
          <cell r="T821" t="str">
            <v>Functioning</v>
          </cell>
          <cell r="U821" t="str">
            <v>Asset</v>
          </cell>
          <cell r="V821">
            <v>4990</v>
          </cell>
          <cell r="W821" t="str">
            <v>KEW</v>
          </cell>
          <cell r="X821" t="str">
            <v>01/09/2010</v>
          </cell>
          <cell r="Y821" t="str">
            <v>KEW</v>
          </cell>
          <cell r="Z821" t="str">
            <v>16/08/2013</v>
          </cell>
          <cell r="AA821" t="str">
            <v>15/08/2015</v>
          </cell>
          <cell r="AB821" t="str">
            <v>No</v>
          </cell>
          <cell r="AC821" t="str">
            <v>31/08/2013</v>
          </cell>
          <cell r="AD821" t="str">
            <v>Good</v>
          </cell>
          <cell r="AE821" t="str">
            <v>V1 - Existing / No Claim</v>
          </cell>
          <cell r="AF821">
            <v>42235</v>
          </cell>
          <cell r="AG821">
            <v>9.17</v>
          </cell>
          <cell r="AH821" t="str">
            <v>PPM</v>
          </cell>
          <cell r="AI821" t="str">
            <v>Strands</v>
          </cell>
          <cell r="AJ821" t="str">
            <v>Strands PW</v>
          </cell>
        </row>
        <row r="822">
          <cell r="A822" t="str">
            <v>IKN400360</v>
          </cell>
          <cell r="B822">
            <v>360</v>
          </cell>
          <cell r="C822" t="str">
            <v>Institut Kanser Negara</v>
          </cell>
          <cell r="D822" t="str">
            <v>KKM/IKN/H/13/2085</v>
          </cell>
          <cell r="E822" t="str">
            <v>12-282</v>
          </cell>
          <cell r="F822" t="str">
            <v>Lights, Surgical</v>
          </cell>
          <cell r="G822" t="str">
            <v>WE</v>
          </cell>
          <cell r="H822" t="str">
            <v>RT/ONCO WARD 1 (F)</v>
          </cell>
          <cell r="I822" t="str">
            <v>07WE113</v>
          </cell>
          <cell r="J822" t="str">
            <v>EQUIPMENT ROOM</v>
          </cell>
          <cell r="K822" t="str">
            <v>BMED</v>
          </cell>
          <cell r="L822" t="str">
            <v>Normal</v>
          </cell>
          <cell r="M822" t="str">
            <v>USA</v>
          </cell>
          <cell r="N822" t="str">
            <v>Welch Allyn</v>
          </cell>
          <cell r="O822" t="str">
            <v>Welch Allyn GS600</v>
          </cell>
          <cell r="P822" t="str">
            <v>GS-600-38</v>
          </cell>
          <cell r="Q822" t="str">
            <v>Not Applicable</v>
          </cell>
          <cell r="R822" t="str">
            <v>Welch Allyn Inc</v>
          </cell>
          <cell r="S822" t="str">
            <v>Welch Allyn Malaysia Sdn Bhd</v>
          </cell>
          <cell r="T822" t="str">
            <v>Functioning</v>
          </cell>
          <cell r="U822" t="str">
            <v>Asset</v>
          </cell>
          <cell r="V822">
            <v>5050</v>
          </cell>
          <cell r="W822" t="str">
            <v>KEW</v>
          </cell>
          <cell r="X822" t="str">
            <v>01/09/2010</v>
          </cell>
          <cell r="Y822" t="str">
            <v>KEW</v>
          </cell>
          <cell r="Z822" t="str">
            <v>16/08/2013</v>
          </cell>
          <cell r="AA822" t="str">
            <v>15/08/2015</v>
          </cell>
          <cell r="AB822" t="str">
            <v>No</v>
          </cell>
          <cell r="AC822" t="str">
            <v>31/08/2013</v>
          </cell>
          <cell r="AD822" t="str">
            <v>Good</v>
          </cell>
          <cell r="AE822" t="str">
            <v>V1 - Existing / No Claim</v>
          </cell>
          <cell r="AF822">
            <v>42235</v>
          </cell>
          <cell r="AG822">
            <v>9.17</v>
          </cell>
          <cell r="AH822" t="str">
            <v>PPM</v>
          </cell>
          <cell r="AI822" t="str">
            <v>Strands</v>
          </cell>
          <cell r="AJ822" t="str">
            <v>Strands PW</v>
          </cell>
        </row>
        <row r="823">
          <cell r="A823" t="str">
            <v>IKN400361</v>
          </cell>
          <cell r="B823">
            <v>361</v>
          </cell>
          <cell r="C823" t="str">
            <v>Institut Kanser Negara</v>
          </cell>
          <cell r="D823" t="str">
            <v>KKM/IKN/H/13/2091</v>
          </cell>
          <cell r="E823" t="str">
            <v>15-045</v>
          </cell>
          <cell r="F823" t="str">
            <v>Nebulizers, Nonheated</v>
          </cell>
          <cell r="G823" t="str">
            <v>WE</v>
          </cell>
          <cell r="H823" t="str">
            <v>RT/ONCO WARD 1 (F)</v>
          </cell>
          <cell r="I823" t="str">
            <v>07WE113</v>
          </cell>
          <cell r="J823" t="str">
            <v>EQUIPMENT ROOM</v>
          </cell>
          <cell r="K823" t="str">
            <v>BMED</v>
          </cell>
          <cell r="L823" t="str">
            <v>Normal</v>
          </cell>
          <cell r="M823" t="str">
            <v>Germany</v>
          </cell>
          <cell r="N823" t="str">
            <v>Pari Boy</v>
          </cell>
          <cell r="O823" t="str">
            <v>Pari Boy SX 085</v>
          </cell>
          <cell r="P823" t="str">
            <v>2W12J05814</v>
          </cell>
          <cell r="Q823" t="str">
            <v>Not Applicable</v>
          </cell>
          <cell r="R823" t="str">
            <v>Pari GmbH</v>
          </cell>
          <cell r="S823" t="str">
            <v>Welch Allyn Malaysia Sdn Bhd</v>
          </cell>
          <cell r="T823" t="str">
            <v>Functioning</v>
          </cell>
          <cell r="U823" t="str">
            <v>Asset</v>
          </cell>
          <cell r="V823">
            <v>1140</v>
          </cell>
          <cell r="W823" t="str">
            <v>KEW</v>
          </cell>
          <cell r="X823" t="str">
            <v>01/09/2010</v>
          </cell>
          <cell r="Y823" t="str">
            <v>KEW</v>
          </cell>
          <cell r="Z823" t="str">
            <v>16/08/2013</v>
          </cell>
          <cell r="AA823" t="str">
            <v>15/08/2015</v>
          </cell>
          <cell r="AB823" t="str">
            <v>No</v>
          </cell>
          <cell r="AC823" t="str">
            <v>31/08/2013</v>
          </cell>
          <cell r="AD823" t="str">
            <v>Good</v>
          </cell>
          <cell r="AE823" t="str">
            <v>V1 - Existing / No Claim</v>
          </cell>
          <cell r="AF823">
            <v>42235</v>
          </cell>
          <cell r="AG823">
            <v>9.17</v>
          </cell>
          <cell r="AH823" t="str">
            <v>PPM</v>
          </cell>
          <cell r="AI823" t="str">
            <v>Strands</v>
          </cell>
          <cell r="AJ823" t="str">
            <v>Strands PW</v>
          </cell>
        </row>
        <row r="824">
          <cell r="A824" t="str">
            <v>IKN400362</v>
          </cell>
          <cell r="B824">
            <v>362</v>
          </cell>
          <cell r="C824" t="str">
            <v>Institut Kanser Negara</v>
          </cell>
          <cell r="D824" t="str">
            <v>KKM/IKN/H/13/2090</v>
          </cell>
          <cell r="E824" t="str">
            <v>15-045</v>
          </cell>
          <cell r="F824" t="str">
            <v>Nebulizers, Nonheated</v>
          </cell>
          <cell r="G824" t="str">
            <v>WE</v>
          </cell>
          <cell r="H824" t="str">
            <v>RT/ONCO WARD 1 (F)</v>
          </cell>
          <cell r="I824" t="str">
            <v>07WE113</v>
          </cell>
          <cell r="J824" t="str">
            <v>EQUIPMENT ROOM</v>
          </cell>
          <cell r="K824" t="str">
            <v>BMED</v>
          </cell>
          <cell r="L824" t="str">
            <v>Normal</v>
          </cell>
          <cell r="M824" t="str">
            <v>Germany</v>
          </cell>
          <cell r="N824" t="str">
            <v>Pari Boy</v>
          </cell>
          <cell r="O824" t="str">
            <v>Pari Boy SX 085</v>
          </cell>
          <cell r="P824" t="str">
            <v>2W12F13749</v>
          </cell>
          <cell r="Q824" t="str">
            <v>Not Applicable</v>
          </cell>
          <cell r="R824" t="str">
            <v>Pari GmbH</v>
          </cell>
          <cell r="S824" t="str">
            <v>Welch Allyn Malaysia Sdn Bhd</v>
          </cell>
          <cell r="T824" t="str">
            <v>Functioning</v>
          </cell>
          <cell r="U824" t="str">
            <v>Asset</v>
          </cell>
          <cell r="V824">
            <v>1140</v>
          </cell>
          <cell r="W824" t="str">
            <v>KEW</v>
          </cell>
          <cell r="X824" t="str">
            <v>01/09/2010</v>
          </cell>
          <cell r="Y824" t="str">
            <v>KEW</v>
          </cell>
          <cell r="Z824" t="str">
            <v>16/08/2013</v>
          </cell>
          <cell r="AA824" t="str">
            <v>15/08/2015</v>
          </cell>
          <cell r="AB824" t="str">
            <v>No</v>
          </cell>
          <cell r="AC824" t="str">
            <v>31/08/2013</v>
          </cell>
          <cell r="AD824" t="str">
            <v>Good</v>
          </cell>
          <cell r="AE824" t="str">
            <v>V1 - Existing / No Claim</v>
          </cell>
          <cell r="AF824">
            <v>42235</v>
          </cell>
          <cell r="AG824">
            <v>9.17</v>
          </cell>
          <cell r="AH824" t="str">
            <v>PPM</v>
          </cell>
          <cell r="AI824" t="str">
            <v>Strands</v>
          </cell>
          <cell r="AJ824" t="str">
            <v>Strands PW</v>
          </cell>
        </row>
        <row r="825">
          <cell r="A825" t="str">
            <v>IKN400363</v>
          </cell>
          <cell r="B825">
            <v>363</v>
          </cell>
          <cell r="C825" t="str">
            <v>Institut Kanser Negara</v>
          </cell>
          <cell r="D825" t="str">
            <v>KKM/IKN/H/13/2089</v>
          </cell>
          <cell r="E825" t="str">
            <v>15-045</v>
          </cell>
          <cell r="F825" t="str">
            <v>Nebulizers, Nonheated</v>
          </cell>
          <cell r="G825" t="str">
            <v>WE</v>
          </cell>
          <cell r="H825" t="str">
            <v>RT/ONCO WARD 1 (F)</v>
          </cell>
          <cell r="I825" t="str">
            <v>07WE113</v>
          </cell>
          <cell r="J825" t="str">
            <v>EQUIPMENT ROOM</v>
          </cell>
          <cell r="K825" t="str">
            <v>BMED</v>
          </cell>
          <cell r="L825" t="str">
            <v>Normal</v>
          </cell>
          <cell r="M825" t="str">
            <v>Germany</v>
          </cell>
          <cell r="N825" t="str">
            <v>Pari Boy</v>
          </cell>
          <cell r="O825" t="str">
            <v>Pari Boy SX 085</v>
          </cell>
          <cell r="P825" t="str">
            <v>2W12F13817</v>
          </cell>
          <cell r="Q825" t="str">
            <v>Not Applicable</v>
          </cell>
          <cell r="R825" t="str">
            <v>Pari GmbH</v>
          </cell>
          <cell r="S825" t="str">
            <v>Welch Allyn Malaysia Sdn Bhd</v>
          </cell>
          <cell r="T825" t="str">
            <v>Functioning</v>
          </cell>
          <cell r="U825" t="str">
            <v>Asset</v>
          </cell>
          <cell r="V825">
            <v>1140</v>
          </cell>
          <cell r="W825" t="str">
            <v>KEW</v>
          </cell>
          <cell r="X825" t="str">
            <v>01/09/2010</v>
          </cell>
          <cell r="Y825" t="str">
            <v>KEW</v>
          </cell>
          <cell r="Z825" t="str">
            <v>16/08/2013</v>
          </cell>
          <cell r="AA825" t="str">
            <v>15/08/2015</v>
          </cell>
          <cell r="AB825" t="str">
            <v>No</v>
          </cell>
          <cell r="AC825" t="str">
            <v>31/08/2013</v>
          </cell>
          <cell r="AD825" t="str">
            <v>Good</v>
          </cell>
          <cell r="AE825" t="str">
            <v>V1 - Existing / No Claim</v>
          </cell>
          <cell r="AF825">
            <v>42235</v>
          </cell>
          <cell r="AG825">
            <v>9.17</v>
          </cell>
          <cell r="AH825" t="str">
            <v>PPM</v>
          </cell>
          <cell r="AI825" t="str">
            <v>Strands</v>
          </cell>
          <cell r="AJ825" t="str">
            <v>Strands PW</v>
          </cell>
        </row>
        <row r="826">
          <cell r="A826" t="str">
            <v>IKN400364</v>
          </cell>
          <cell r="B826">
            <v>364</v>
          </cell>
          <cell r="C826" t="str">
            <v>Institut Kanser Negara</v>
          </cell>
          <cell r="D826" t="str">
            <v>KKM/IKN/H/13/2058</v>
          </cell>
          <cell r="E826" t="str">
            <v>13-217</v>
          </cell>
          <cell r="F826" t="str">
            <v>Infusion Pumps, Syringe</v>
          </cell>
          <cell r="G826" t="str">
            <v>WE</v>
          </cell>
          <cell r="H826" t="str">
            <v>RT/ONCO WARD 1 (F)</v>
          </cell>
          <cell r="I826" t="str">
            <v>07WE113</v>
          </cell>
          <cell r="J826" t="str">
            <v>EQUIPMENT ROOM</v>
          </cell>
          <cell r="K826" t="str">
            <v>BMED</v>
          </cell>
          <cell r="L826" t="str">
            <v>Critical</v>
          </cell>
          <cell r="M826" t="str">
            <v>Germany</v>
          </cell>
          <cell r="N826" t="str">
            <v>Perfusor</v>
          </cell>
          <cell r="O826" t="str">
            <v>Perfusor Space</v>
          </cell>
          <cell r="P826">
            <v>186604</v>
          </cell>
          <cell r="Q826" t="str">
            <v>Not Applicable</v>
          </cell>
          <cell r="R826" t="str">
            <v>B Braun Melsungen AG</v>
          </cell>
          <cell r="S826" t="str">
            <v>B Braun Medical Supplies Sdn. Bhd.</v>
          </cell>
          <cell r="T826" t="str">
            <v>Functioning</v>
          </cell>
          <cell r="U826" t="str">
            <v>Asset</v>
          </cell>
          <cell r="V826">
            <v>10225</v>
          </cell>
          <cell r="W826" t="str">
            <v>KEW</v>
          </cell>
          <cell r="X826" t="str">
            <v>01/09/2010</v>
          </cell>
          <cell r="Y826" t="str">
            <v>KEW</v>
          </cell>
          <cell r="Z826" t="str">
            <v>16/08/2013</v>
          </cell>
          <cell r="AA826" t="str">
            <v>15/08/2015</v>
          </cell>
          <cell r="AB826" t="str">
            <v>No</v>
          </cell>
          <cell r="AC826" t="str">
            <v>31/08/2013</v>
          </cell>
          <cell r="AD826" t="str">
            <v>Good</v>
          </cell>
          <cell r="AE826" t="str">
            <v>V1 - Existing / No Claim</v>
          </cell>
          <cell r="AF826">
            <v>42789</v>
          </cell>
          <cell r="AG826">
            <v>9.17</v>
          </cell>
          <cell r="AH826" t="str">
            <v>PPM</v>
          </cell>
          <cell r="AI826" t="str">
            <v>Strands</v>
          </cell>
          <cell r="AJ826" t="str">
            <v>Strands PW</v>
          </cell>
        </row>
        <row r="827">
          <cell r="A827" t="str">
            <v>IKN400365</v>
          </cell>
          <cell r="B827">
            <v>365</v>
          </cell>
          <cell r="C827" t="str">
            <v>Institut Kanser Negara</v>
          </cell>
          <cell r="D827" t="str">
            <v>KKM/IKN/H/13/2059</v>
          </cell>
          <cell r="E827" t="str">
            <v>13-217</v>
          </cell>
          <cell r="F827" t="str">
            <v>Infusion Pumps, Syringe</v>
          </cell>
          <cell r="G827" t="str">
            <v>WE</v>
          </cell>
          <cell r="H827" t="str">
            <v>RT/ONCO WARD 1 (F)</v>
          </cell>
          <cell r="I827" t="str">
            <v>07WE113</v>
          </cell>
          <cell r="J827" t="str">
            <v>EQUIPMENT ROOM</v>
          </cell>
          <cell r="K827" t="str">
            <v>BMED</v>
          </cell>
          <cell r="L827" t="str">
            <v>Normal</v>
          </cell>
          <cell r="M827" t="str">
            <v>Germany</v>
          </cell>
          <cell r="N827" t="str">
            <v>Perfusor</v>
          </cell>
          <cell r="O827" t="str">
            <v>Perfusor Space</v>
          </cell>
          <cell r="P827" t="str">
            <v>186957</v>
          </cell>
          <cell r="Q827" t="str">
            <v>Not Applicable</v>
          </cell>
          <cell r="R827" t="str">
            <v>B Braun Melsungen AG</v>
          </cell>
          <cell r="S827" t="str">
            <v>B Braun Medical Supplies Sdn. Bhd.</v>
          </cell>
          <cell r="T827" t="str">
            <v>Functioning</v>
          </cell>
          <cell r="U827" t="str">
            <v>Asset</v>
          </cell>
          <cell r="V827">
            <v>10225</v>
          </cell>
          <cell r="W827" t="str">
            <v>KEW</v>
          </cell>
          <cell r="X827" t="str">
            <v>01/09/2010</v>
          </cell>
          <cell r="Y827" t="str">
            <v>KEW</v>
          </cell>
          <cell r="Z827" t="str">
            <v>16/08/2013</v>
          </cell>
          <cell r="AA827" t="str">
            <v>15/08/2015</v>
          </cell>
          <cell r="AB827" t="str">
            <v>No</v>
          </cell>
          <cell r="AC827" t="str">
            <v>31/08/2013</v>
          </cell>
          <cell r="AD827" t="str">
            <v>Good</v>
          </cell>
          <cell r="AE827" t="str">
            <v>V1 - Existing / No Claim</v>
          </cell>
          <cell r="AF827">
            <v>42235</v>
          </cell>
          <cell r="AG827">
            <v>9.17</v>
          </cell>
          <cell r="AH827" t="str">
            <v>PPM</v>
          </cell>
          <cell r="AI827" t="str">
            <v>Strands</v>
          </cell>
          <cell r="AJ827" t="str">
            <v>Strands PW</v>
          </cell>
        </row>
        <row r="828">
          <cell r="A828" t="str">
            <v>IKN400366</v>
          </cell>
          <cell r="B828">
            <v>366</v>
          </cell>
          <cell r="C828" t="str">
            <v>Institut Kanser Negara</v>
          </cell>
          <cell r="D828" t="str">
            <v>KKM/IKN/H/13/2060</v>
          </cell>
          <cell r="E828" t="str">
            <v>13-215</v>
          </cell>
          <cell r="F828" t="str">
            <v>Infusion Pumps, General-Purpose</v>
          </cell>
          <cell r="G828" t="str">
            <v>WE</v>
          </cell>
          <cell r="H828" t="str">
            <v>RT/ONCO WARD 1 (F)</v>
          </cell>
          <cell r="I828" t="str">
            <v>07WE113</v>
          </cell>
          <cell r="J828" t="str">
            <v>EQUIPMENT ROOM</v>
          </cell>
          <cell r="K828" t="str">
            <v>BMED</v>
          </cell>
          <cell r="L828" t="str">
            <v>Normal</v>
          </cell>
          <cell r="M828" t="str">
            <v>Germany</v>
          </cell>
          <cell r="N828" t="str">
            <v>Infusomat</v>
          </cell>
          <cell r="O828" t="str">
            <v>Infusomat Space</v>
          </cell>
          <cell r="P828" t="str">
            <v>211957</v>
          </cell>
          <cell r="Q828" t="str">
            <v>Not Applicable</v>
          </cell>
          <cell r="R828" t="str">
            <v>B Braun Melsungen AG</v>
          </cell>
          <cell r="S828" t="str">
            <v>B Braun Medical Supplies Sdn. Bhd.</v>
          </cell>
          <cell r="T828" t="str">
            <v>Functioning</v>
          </cell>
          <cell r="U828" t="str">
            <v>Asset</v>
          </cell>
          <cell r="V828">
            <v>10825</v>
          </cell>
          <cell r="W828" t="str">
            <v>KEW</v>
          </cell>
          <cell r="X828" t="str">
            <v>01/09/2010</v>
          </cell>
          <cell r="Y828" t="str">
            <v>KEW</v>
          </cell>
          <cell r="Z828" t="str">
            <v>16/08/2013</v>
          </cell>
          <cell r="AA828" t="str">
            <v>15/08/2015</v>
          </cell>
          <cell r="AB828" t="str">
            <v>No</v>
          </cell>
          <cell r="AC828" t="str">
            <v>31/08/2013</v>
          </cell>
          <cell r="AD828" t="str">
            <v>Good</v>
          </cell>
          <cell r="AE828" t="str">
            <v>V1 - Existing / No Claim</v>
          </cell>
          <cell r="AF828">
            <v>42235</v>
          </cell>
          <cell r="AG828">
            <v>9.17</v>
          </cell>
          <cell r="AH828" t="str">
            <v>PPM</v>
          </cell>
          <cell r="AI828" t="str">
            <v>Strands</v>
          </cell>
          <cell r="AJ828" t="str">
            <v>Strands PW</v>
          </cell>
        </row>
        <row r="829">
          <cell r="A829" t="str">
            <v>IKN400367</v>
          </cell>
          <cell r="B829">
            <v>367</v>
          </cell>
          <cell r="C829" t="str">
            <v>Institut Kanser Negara</v>
          </cell>
          <cell r="D829" t="str">
            <v>KKM/IKN/H/13/2061</v>
          </cell>
          <cell r="E829" t="str">
            <v>13-215</v>
          </cell>
          <cell r="F829" t="str">
            <v>Infusion Pumps, General-Purpose</v>
          </cell>
          <cell r="G829" t="str">
            <v>WE</v>
          </cell>
          <cell r="H829" t="str">
            <v>RT/ONCO WARD 1 (F)</v>
          </cell>
          <cell r="I829" t="str">
            <v>07WE113</v>
          </cell>
          <cell r="J829" t="str">
            <v>EQUIPMENT ROOM</v>
          </cell>
          <cell r="K829" t="str">
            <v>BMED</v>
          </cell>
          <cell r="L829" t="str">
            <v>Normal</v>
          </cell>
          <cell r="M829" t="str">
            <v>Germany</v>
          </cell>
          <cell r="N829" t="str">
            <v>Infusomat</v>
          </cell>
          <cell r="O829" t="str">
            <v>Infusomat Space</v>
          </cell>
          <cell r="P829" t="str">
            <v>212076</v>
          </cell>
          <cell r="Q829" t="str">
            <v>Not Applicable</v>
          </cell>
          <cell r="R829" t="str">
            <v>B Braun Melsungen AG</v>
          </cell>
          <cell r="S829" t="str">
            <v>B Braun Medical Supplies Sdn. Bhd.</v>
          </cell>
          <cell r="T829" t="str">
            <v>Functioning</v>
          </cell>
          <cell r="U829" t="str">
            <v>Asset</v>
          </cell>
          <cell r="V829">
            <v>10825</v>
          </cell>
          <cell r="W829" t="str">
            <v>KEW</v>
          </cell>
          <cell r="X829" t="str">
            <v>01/09/2010</v>
          </cell>
          <cell r="Y829" t="str">
            <v>KEW</v>
          </cell>
          <cell r="Z829" t="str">
            <v>16/08/2013</v>
          </cell>
          <cell r="AA829" t="str">
            <v>15/08/2015</v>
          </cell>
          <cell r="AB829" t="str">
            <v>No</v>
          </cell>
          <cell r="AC829" t="str">
            <v>31/08/2013</v>
          </cell>
          <cell r="AD829" t="str">
            <v>Good</v>
          </cell>
          <cell r="AE829" t="str">
            <v>V1 - Existing / No Claim</v>
          </cell>
          <cell r="AF829">
            <v>42235</v>
          </cell>
          <cell r="AG829">
            <v>9.17</v>
          </cell>
          <cell r="AH829" t="str">
            <v>PPM</v>
          </cell>
          <cell r="AI829" t="str">
            <v>Strands</v>
          </cell>
          <cell r="AJ829" t="str">
            <v>Strands PW</v>
          </cell>
        </row>
        <row r="830">
          <cell r="A830" t="str">
            <v>IKN400368</v>
          </cell>
          <cell r="B830">
            <v>368</v>
          </cell>
          <cell r="C830" t="str">
            <v>Institut Kanser Negara</v>
          </cell>
          <cell r="D830" t="str">
            <v>KKM/IKN/H/13/2064</v>
          </cell>
          <cell r="E830" t="str">
            <v>13-215</v>
          </cell>
          <cell r="F830" t="str">
            <v>Infusion Pumps, General-Purpose</v>
          </cell>
          <cell r="G830" t="str">
            <v>WE</v>
          </cell>
          <cell r="H830" t="str">
            <v>RT/ONCO WARD 1 (F)</v>
          </cell>
          <cell r="I830" t="str">
            <v>07WE113</v>
          </cell>
          <cell r="J830" t="str">
            <v>EQUIPMENT ROOM</v>
          </cell>
          <cell r="K830" t="str">
            <v>BMED</v>
          </cell>
          <cell r="L830" t="str">
            <v>Critical</v>
          </cell>
          <cell r="M830" t="str">
            <v>Germany</v>
          </cell>
          <cell r="N830" t="str">
            <v>Infusomat</v>
          </cell>
          <cell r="O830" t="str">
            <v>Infusomat Space</v>
          </cell>
          <cell r="P830" t="str">
            <v>211859</v>
          </cell>
          <cell r="Q830" t="str">
            <v>Not Applicable</v>
          </cell>
          <cell r="R830" t="str">
            <v>B Braun Melsungen AG</v>
          </cell>
          <cell r="S830" t="str">
            <v>B Braun Medical Supplies Sdn. Bhd.</v>
          </cell>
          <cell r="T830" t="str">
            <v>Functioning</v>
          </cell>
          <cell r="U830" t="str">
            <v>Asset</v>
          </cell>
          <cell r="V830">
            <v>10825</v>
          </cell>
          <cell r="W830" t="str">
            <v>KEW</v>
          </cell>
          <cell r="X830" t="str">
            <v>01/09/2010</v>
          </cell>
          <cell r="Y830" t="str">
            <v>KEW</v>
          </cell>
          <cell r="Z830" t="str">
            <v>16/08/2013</v>
          </cell>
          <cell r="AA830" t="str">
            <v>15/08/2015</v>
          </cell>
          <cell r="AB830" t="str">
            <v>No</v>
          </cell>
          <cell r="AC830" t="str">
            <v>31/08/2013</v>
          </cell>
          <cell r="AD830" t="str">
            <v>Good</v>
          </cell>
          <cell r="AE830" t="str">
            <v>V1 - Existing / No Claim</v>
          </cell>
          <cell r="AF830">
            <v>42789</v>
          </cell>
          <cell r="AG830">
            <v>9.17</v>
          </cell>
          <cell r="AH830" t="str">
            <v>PPM</v>
          </cell>
          <cell r="AI830" t="str">
            <v>Strands</v>
          </cell>
          <cell r="AJ830" t="str">
            <v>Strands PW</v>
          </cell>
        </row>
        <row r="831">
          <cell r="A831" t="str">
            <v>IKN400369</v>
          </cell>
          <cell r="B831">
            <v>369</v>
          </cell>
          <cell r="C831" t="str">
            <v>Institut Kanser Negara</v>
          </cell>
          <cell r="D831" t="str">
            <v>KKM/IKN/H/13/2066</v>
          </cell>
          <cell r="E831" t="str">
            <v>13-215</v>
          </cell>
          <cell r="F831" t="str">
            <v>Infusion Pumps, General-Purpose</v>
          </cell>
          <cell r="G831" t="str">
            <v>WE</v>
          </cell>
          <cell r="H831" t="str">
            <v>RT/ONCO WARD 1 (F)</v>
          </cell>
          <cell r="I831" t="str">
            <v>07WE113</v>
          </cell>
          <cell r="J831" t="str">
            <v>EQUIPMENT ROOM</v>
          </cell>
          <cell r="K831" t="str">
            <v>BMED</v>
          </cell>
          <cell r="L831" t="str">
            <v>Critical</v>
          </cell>
          <cell r="M831" t="str">
            <v>Germany</v>
          </cell>
          <cell r="N831" t="str">
            <v>Infusomat</v>
          </cell>
          <cell r="O831" t="str">
            <v>Infusomat Space</v>
          </cell>
          <cell r="P831" t="str">
            <v>212080</v>
          </cell>
          <cell r="Q831" t="str">
            <v>Not Applicable</v>
          </cell>
          <cell r="R831" t="str">
            <v>B Braun Melsungen AG</v>
          </cell>
          <cell r="S831" t="str">
            <v>B Braun Medical Supplies Sdn. Bhd.</v>
          </cell>
          <cell r="T831" t="str">
            <v>Functioning</v>
          </cell>
          <cell r="U831" t="str">
            <v>Asset</v>
          </cell>
          <cell r="V831">
            <v>10825</v>
          </cell>
          <cell r="W831" t="str">
            <v>KEW</v>
          </cell>
          <cell r="X831" t="str">
            <v>01/09/2010</v>
          </cell>
          <cell r="Y831" t="str">
            <v>KEW</v>
          </cell>
          <cell r="Z831" t="str">
            <v>16/08/2013</v>
          </cell>
          <cell r="AA831" t="str">
            <v>15/08/2015</v>
          </cell>
          <cell r="AB831" t="str">
            <v>No</v>
          </cell>
          <cell r="AC831" t="str">
            <v>31/08/2013</v>
          </cell>
          <cell r="AD831" t="str">
            <v>Good</v>
          </cell>
          <cell r="AE831" t="str">
            <v>V1 - Existing / No Claim</v>
          </cell>
          <cell r="AF831">
            <v>42789</v>
          </cell>
          <cell r="AG831">
            <v>9.17</v>
          </cell>
          <cell r="AH831" t="str">
            <v>PPM</v>
          </cell>
          <cell r="AI831" t="str">
            <v>Strands</v>
          </cell>
          <cell r="AJ831" t="str">
            <v>Strands PW</v>
          </cell>
        </row>
        <row r="832">
          <cell r="A832" t="str">
            <v>IKN400370</v>
          </cell>
          <cell r="B832">
            <v>370</v>
          </cell>
          <cell r="C832" t="str">
            <v>Institut Kanser Negara</v>
          </cell>
          <cell r="D832" t="str">
            <v>KKM/IKN/H/13/2068</v>
          </cell>
          <cell r="E832" t="str">
            <v>13-215</v>
          </cell>
          <cell r="F832" t="str">
            <v>Infusion Pumps, General-Purpose</v>
          </cell>
          <cell r="G832" t="str">
            <v>WE</v>
          </cell>
          <cell r="H832" t="str">
            <v>RT/ONCO WARD 1 (F)</v>
          </cell>
          <cell r="I832" t="str">
            <v>07WE113</v>
          </cell>
          <cell r="J832" t="str">
            <v>EQUIPMENT ROOM</v>
          </cell>
          <cell r="K832" t="str">
            <v>BMED</v>
          </cell>
          <cell r="L832" t="str">
            <v>Critical</v>
          </cell>
          <cell r="M832" t="str">
            <v>Germany</v>
          </cell>
          <cell r="N832" t="str">
            <v>Infusomat</v>
          </cell>
          <cell r="O832" t="str">
            <v>Infusomat Space</v>
          </cell>
          <cell r="P832" t="str">
            <v>211885</v>
          </cell>
          <cell r="Q832" t="str">
            <v>Not Applicable</v>
          </cell>
          <cell r="R832" t="str">
            <v>B Braun Melsungen AG</v>
          </cell>
          <cell r="S832" t="str">
            <v>B Braun Medical Supplies Sdn. Bhd.</v>
          </cell>
          <cell r="T832" t="str">
            <v>Functioning</v>
          </cell>
          <cell r="U832" t="str">
            <v>Asset</v>
          </cell>
          <cell r="V832">
            <v>10825</v>
          </cell>
          <cell r="W832" t="str">
            <v>KEW</v>
          </cell>
          <cell r="X832" t="str">
            <v>01/09/2010</v>
          </cell>
          <cell r="Y832" t="str">
            <v>KEW</v>
          </cell>
          <cell r="Z832" t="str">
            <v>16/08/2013</v>
          </cell>
          <cell r="AA832" t="str">
            <v>15/08/2015</v>
          </cell>
          <cell r="AB832" t="str">
            <v>No</v>
          </cell>
          <cell r="AC832" t="str">
            <v>31/08/2013</v>
          </cell>
          <cell r="AD832" t="str">
            <v>Good</v>
          </cell>
          <cell r="AE832" t="str">
            <v>V1 - Existing / No Claim</v>
          </cell>
          <cell r="AF832">
            <v>42789</v>
          </cell>
          <cell r="AG832">
            <v>9.17</v>
          </cell>
          <cell r="AH832" t="str">
            <v>PPM</v>
          </cell>
          <cell r="AI832" t="str">
            <v>Strands</v>
          </cell>
          <cell r="AJ832" t="str">
            <v>Strands PW</v>
          </cell>
        </row>
        <row r="833">
          <cell r="A833" t="str">
            <v>IKN400371</v>
          </cell>
          <cell r="B833">
            <v>371</v>
          </cell>
          <cell r="C833" t="str">
            <v>Institut Kanser Negara</v>
          </cell>
          <cell r="D833" t="str">
            <v>KKM/IKN/H/13/2069</v>
          </cell>
          <cell r="E833" t="str">
            <v>13-215</v>
          </cell>
          <cell r="F833" t="str">
            <v>Infusion Pumps, General-Purpose</v>
          </cell>
          <cell r="G833" t="str">
            <v>WE</v>
          </cell>
          <cell r="H833" t="str">
            <v>RT/ONCO WARD 1 (F)</v>
          </cell>
          <cell r="I833" t="str">
            <v>07WE113</v>
          </cell>
          <cell r="J833" t="str">
            <v>EQUIPMENT ROOM</v>
          </cell>
          <cell r="K833" t="str">
            <v>BMED</v>
          </cell>
          <cell r="L833" t="str">
            <v>Critical</v>
          </cell>
          <cell r="M833" t="str">
            <v>Germany</v>
          </cell>
          <cell r="N833" t="str">
            <v>Infusomat</v>
          </cell>
          <cell r="O833" t="str">
            <v>Infusomat Space</v>
          </cell>
          <cell r="P833" t="str">
            <v>212107</v>
          </cell>
          <cell r="Q833" t="str">
            <v>Not Applicable</v>
          </cell>
          <cell r="R833" t="str">
            <v>B Braun Melsungen AG</v>
          </cell>
          <cell r="S833" t="str">
            <v>B Braun Medical Supplies Sdn. Bhd.</v>
          </cell>
          <cell r="T833" t="str">
            <v>Functioning</v>
          </cell>
          <cell r="U833" t="str">
            <v>Asset</v>
          </cell>
          <cell r="V833">
            <v>10825</v>
          </cell>
          <cell r="W833" t="str">
            <v>KEW</v>
          </cell>
          <cell r="X833" t="str">
            <v>01/09/2010</v>
          </cell>
          <cell r="Y833" t="str">
            <v>KEW</v>
          </cell>
          <cell r="Z833" t="str">
            <v>16/08/2013</v>
          </cell>
          <cell r="AA833" t="str">
            <v>15/08/2015</v>
          </cell>
          <cell r="AB833" t="str">
            <v>No</v>
          </cell>
          <cell r="AC833" t="str">
            <v>31/08/2013</v>
          </cell>
          <cell r="AD833" t="str">
            <v>Good</v>
          </cell>
          <cell r="AE833" t="str">
            <v>V1 - Existing / No Claim</v>
          </cell>
          <cell r="AF833">
            <v>42789</v>
          </cell>
          <cell r="AG833">
            <v>9.17</v>
          </cell>
          <cell r="AH833" t="str">
            <v>PPM</v>
          </cell>
          <cell r="AI833" t="str">
            <v>Strands</v>
          </cell>
          <cell r="AJ833" t="str">
            <v>Strands PW</v>
          </cell>
        </row>
        <row r="834">
          <cell r="A834" t="str">
            <v>IKN400372</v>
          </cell>
          <cell r="B834">
            <v>372</v>
          </cell>
          <cell r="C834" t="str">
            <v>Institut Kanser Negara</v>
          </cell>
          <cell r="D834" t="str">
            <v>KKM/IKN/H/13/2070</v>
          </cell>
          <cell r="E834" t="str">
            <v>13-215</v>
          </cell>
          <cell r="F834" t="str">
            <v>Infusion Pumps, General-Purpose</v>
          </cell>
          <cell r="G834" t="str">
            <v>WE</v>
          </cell>
          <cell r="H834" t="str">
            <v>RT/ONCO WARD 1 (F)</v>
          </cell>
          <cell r="I834" t="str">
            <v>07WE113</v>
          </cell>
          <cell r="J834" t="str">
            <v>EQUIPMENT ROOM</v>
          </cell>
          <cell r="K834" t="str">
            <v>BMED</v>
          </cell>
          <cell r="L834" t="str">
            <v>Critical</v>
          </cell>
          <cell r="M834" t="str">
            <v>Germany</v>
          </cell>
          <cell r="N834" t="str">
            <v>Infusomat</v>
          </cell>
          <cell r="O834" t="str">
            <v>Infusomat Space</v>
          </cell>
          <cell r="P834" t="str">
            <v>212066</v>
          </cell>
          <cell r="Q834" t="str">
            <v>Not Applicable</v>
          </cell>
          <cell r="R834" t="str">
            <v>B Braun Melsungen AG</v>
          </cell>
          <cell r="S834" t="str">
            <v>B Braun Medical Supplies Sdn. Bhd.</v>
          </cell>
          <cell r="T834" t="str">
            <v>Functioning</v>
          </cell>
          <cell r="U834" t="str">
            <v>Asset</v>
          </cell>
          <cell r="V834">
            <v>10825</v>
          </cell>
          <cell r="W834" t="str">
            <v>KEW</v>
          </cell>
          <cell r="X834" t="str">
            <v>01/09/2010</v>
          </cell>
          <cell r="Y834" t="str">
            <v>KEW</v>
          </cell>
          <cell r="Z834" t="str">
            <v>16/08/2013</v>
          </cell>
          <cell r="AA834" t="str">
            <v>15/08/2015</v>
          </cell>
          <cell r="AB834" t="str">
            <v>No</v>
          </cell>
          <cell r="AC834" t="str">
            <v>31/08/2013</v>
          </cell>
          <cell r="AD834" t="str">
            <v>Good</v>
          </cell>
          <cell r="AE834" t="str">
            <v>V1 - Existing / No Claim</v>
          </cell>
          <cell r="AF834">
            <v>42789</v>
          </cell>
          <cell r="AG834">
            <v>9.17</v>
          </cell>
          <cell r="AH834" t="str">
            <v>PPM</v>
          </cell>
          <cell r="AI834" t="str">
            <v>Strands</v>
          </cell>
          <cell r="AJ834" t="str">
            <v>Strands PW</v>
          </cell>
        </row>
        <row r="835">
          <cell r="A835" t="str">
            <v>IKN400373</v>
          </cell>
          <cell r="B835">
            <v>373</v>
          </cell>
          <cell r="C835" t="str">
            <v>Institut Kanser Negara</v>
          </cell>
          <cell r="D835" t="str">
            <v>KKM/IKN/H/13/2072</v>
          </cell>
          <cell r="E835" t="str">
            <v>13-215</v>
          </cell>
          <cell r="F835" t="str">
            <v>Infusion Pumps, General-Purpose</v>
          </cell>
          <cell r="G835" t="str">
            <v>WE</v>
          </cell>
          <cell r="H835" t="str">
            <v>RT/ONCO WARD 1 (F)</v>
          </cell>
          <cell r="I835" t="str">
            <v>07WE113</v>
          </cell>
          <cell r="J835" t="str">
            <v>EQUIPMENT ROOM</v>
          </cell>
          <cell r="K835" t="str">
            <v>BMED</v>
          </cell>
          <cell r="L835" t="str">
            <v>Critical</v>
          </cell>
          <cell r="M835" t="str">
            <v>Germany</v>
          </cell>
          <cell r="N835" t="str">
            <v>Infusomat</v>
          </cell>
          <cell r="O835" t="str">
            <v>Infusomat Space</v>
          </cell>
          <cell r="P835" t="str">
            <v>211872</v>
          </cell>
          <cell r="Q835" t="str">
            <v>Not Applicable</v>
          </cell>
          <cell r="R835" t="str">
            <v>B Braun Melsungen AG</v>
          </cell>
          <cell r="S835" t="str">
            <v>B Braun Medical Supplies Sdn. Bhd.</v>
          </cell>
          <cell r="T835" t="str">
            <v>Functioning</v>
          </cell>
          <cell r="U835" t="str">
            <v>Asset</v>
          </cell>
          <cell r="V835">
            <v>10825</v>
          </cell>
          <cell r="W835" t="str">
            <v>KEW</v>
          </cell>
          <cell r="X835" t="str">
            <v>01/09/2010</v>
          </cell>
          <cell r="Y835" t="str">
            <v>KEW</v>
          </cell>
          <cell r="Z835" t="str">
            <v>16/08/2013</v>
          </cell>
          <cell r="AA835" t="str">
            <v>15/08/2015</v>
          </cell>
          <cell r="AB835" t="str">
            <v>No</v>
          </cell>
          <cell r="AC835" t="str">
            <v>31/08/2013</v>
          </cell>
          <cell r="AD835" t="str">
            <v>Good</v>
          </cell>
          <cell r="AE835" t="str">
            <v>V1 - Existing / No Claim</v>
          </cell>
          <cell r="AF835">
            <v>42789</v>
          </cell>
          <cell r="AG835">
            <v>9.17</v>
          </cell>
          <cell r="AH835" t="str">
            <v>PPM</v>
          </cell>
          <cell r="AI835" t="str">
            <v>Strands</v>
          </cell>
          <cell r="AJ835" t="str">
            <v>Strands PW</v>
          </cell>
        </row>
        <row r="836">
          <cell r="A836" t="str">
            <v>IKN400374</v>
          </cell>
          <cell r="B836">
            <v>374</v>
          </cell>
          <cell r="C836" t="str">
            <v>Institut Kanser Negara</v>
          </cell>
          <cell r="D836" t="str">
            <v>KKM/IKN/H/13/2073</v>
          </cell>
          <cell r="E836" t="str">
            <v>13-215</v>
          </cell>
          <cell r="F836" t="str">
            <v>Infusion Pumps, General-Purpose</v>
          </cell>
          <cell r="G836" t="str">
            <v>WE</v>
          </cell>
          <cell r="H836" t="str">
            <v>RT/ONCO WARD 1 (F)</v>
          </cell>
          <cell r="I836" t="str">
            <v>07WE113</v>
          </cell>
          <cell r="J836" t="str">
            <v>EQUIPMENT ROOM</v>
          </cell>
          <cell r="K836" t="str">
            <v>BMED</v>
          </cell>
          <cell r="L836" t="str">
            <v>Critical</v>
          </cell>
          <cell r="M836" t="str">
            <v>Germany</v>
          </cell>
          <cell r="N836" t="str">
            <v>Infusomat</v>
          </cell>
          <cell r="O836" t="str">
            <v>Infusomat Space</v>
          </cell>
          <cell r="P836" t="str">
            <v>211916</v>
          </cell>
          <cell r="Q836" t="str">
            <v>Not Applicable</v>
          </cell>
          <cell r="R836" t="str">
            <v>B Braun Melsungen AG</v>
          </cell>
          <cell r="S836" t="str">
            <v>B Braun Medical Supplies Sdn. Bhd.</v>
          </cell>
          <cell r="T836" t="str">
            <v>Functioning</v>
          </cell>
          <cell r="U836" t="str">
            <v>Asset</v>
          </cell>
          <cell r="V836">
            <v>10825</v>
          </cell>
          <cell r="W836" t="str">
            <v>KEW</v>
          </cell>
          <cell r="X836" t="str">
            <v>01/09/2010</v>
          </cell>
          <cell r="Y836" t="str">
            <v>KEW</v>
          </cell>
          <cell r="Z836" t="str">
            <v>16/08/2013</v>
          </cell>
          <cell r="AA836" t="str">
            <v>15/08/2015</v>
          </cell>
          <cell r="AB836" t="str">
            <v>No</v>
          </cell>
          <cell r="AC836" t="str">
            <v>31/08/2013</v>
          </cell>
          <cell r="AD836" t="str">
            <v>Good</v>
          </cell>
          <cell r="AE836" t="str">
            <v>V1 - Existing / No Claim</v>
          </cell>
          <cell r="AF836">
            <v>42789</v>
          </cell>
          <cell r="AG836">
            <v>9.17</v>
          </cell>
          <cell r="AH836" t="str">
            <v>PPM</v>
          </cell>
          <cell r="AI836" t="str">
            <v>Strands</v>
          </cell>
          <cell r="AJ836" t="str">
            <v>Strands PW</v>
          </cell>
        </row>
        <row r="837">
          <cell r="A837" t="str">
            <v>IKN400375</v>
          </cell>
          <cell r="B837">
            <v>375</v>
          </cell>
          <cell r="C837" t="str">
            <v>Institut Kanser Negara</v>
          </cell>
          <cell r="D837" t="str">
            <v>KKM/IKN/H/13/2074</v>
          </cell>
          <cell r="E837" t="str">
            <v>13-215</v>
          </cell>
          <cell r="F837" t="str">
            <v>Infusion Pumps, General-Purpose</v>
          </cell>
          <cell r="G837" t="str">
            <v>WE</v>
          </cell>
          <cell r="H837" t="str">
            <v>RT/ONCO WARD 1 (F)</v>
          </cell>
          <cell r="I837" t="str">
            <v>07WE113</v>
          </cell>
          <cell r="J837" t="str">
            <v>EQUIPMENT ROOM</v>
          </cell>
          <cell r="K837" t="str">
            <v>BMED</v>
          </cell>
          <cell r="L837" t="str">
            <v>Critical</v>
          </cell>
          <cell r="M837" t="str">
            <v>Germany</v>
          </cell>
          <cell r="N837" t="str">
            <v>Infusomat</v>
          </cell>
          <cell r="O837" t="str">
            <v>Infusomat Space</v>
          </cell>
          <cell r="P837" t="str">
            <v>211881</v>
          </cell>
          <cell r="Q837" t="str">
            <v>Not Applicable</v>
          </cell>
          <cell r="R837" t="str">
            <v>B Braun Melsungen AG</v>
          </cell>
          <cell r="S837" t="str">
            <v>B Braun Medical Supplies Sdn. Bhd.</v>
          </cell>
          <cell r="T837" t="str">
            <v>Functioning</v>
          </cell>
          <cell r="U837" t="str">
            <v>Asset</v>
          </cell>
          <cell r="V837">
            <v>10825</v>
          </cell>
          <cell r="W837" t="str">
            <v>KEW</v>
          </cell>
          <cell r="X837" t="str">
            <v>01/09/2010</v>
          </cell>
          <cell r="Y837" t="str">
            <v>KEW</v>
          </cell>
          <cell r="Z837" t="str">
            <v>16/08/2013</v>
          </cell>
          <cell r="AA837" t="str">
            <v>15/08/2015</v>
          </cell>
          <cell r="AB837" t="str">
            <v>No</v>
          </cell>
          <cell r="AC837" t="str">
            <v>31/08/2013</v>
          </cell>
          <cell r="AD837" t="str">
            <v>Good</v>
          </cell>
          <cell r="AE837" t="str">
            <v>V1 - Existing / No Claim</v>
          </cell>
          <cell r="AF837">
            <v>42789</v>
          </cell>
          <cell r="AG837">
            <v>9.17</v>
          </cell>
          <cell r="AH837" t="str">
            <v>PPM</v>
          </cell>
          <cell r="AI837" t="str">
            <v>Strands</v>
          </cell>
          <cell r="AJ837" t="str">
            <v>Strands PW</v>
          </cell>
        </row>
        <row r="838">
          <cell r="A838" t="str">
            <v>IKN400376</v>
          </cell>
          <cell r="B838">
            <v>376</v>
          </cell>
          <cell r="C838" t="str">
            <v>Institut Kanser Negara</v>
          </cell>
          <cell r="D838" t="str">
            <v>KKM/IKN/H/13/2081</v>
          </cell>
          <cell r="E838" t="str">
            <v>18-147</v>
          </cell>
          <cell r="F838" t="str">
            <v>Mattress Systems, Alternating-Pressure</v>
          </cell>
          <cell r="G838" t="str">
            <v>WE</v>
          </cell>
          <cell r="H838" t="str">
            <v>RT/ONCO WARD 1 (F)</v>
          </cell>
          <cell r="I838" t="str">
            <v>07WE113</v>
          </cell>
          <cell r="J838" t="str">
            <v>EQUIPMENT ROOM</v>
          </cell>
          <cell r="K838" t="str">
            <v>BMED</v>
          </cell>
          <cell r="L838" t="str">
            <v>Normal</v>
          </cell>
          <cell r="M838" t="str">
            <v>Poland</v>
          </cell>
          <cell r="N838" t="str">
            <v>Nimbus</v>
          </cell>
          <cell r="O838" t="str">
            <v>Nimbus 3</v>
          </cell>
          <cell r="P838" t="str">
            <v>1200006453</v>
          </cell>
          <cell r="Q838" t="str">
            <v>Not Applicable</v>
          </cell>
          <cell r="R838" t="str">
            <v>Arjohuntleigh</v>
          </cell>
          <cell r="S838" t="str">
            <v>Hexamine Sdn. Bhd.</v>
          </cell>
          <cell r="T838" t="str">
            <v>Functioning</v>
          </cell>
          <cell r="U838" t="str">
            <v>Asset</v>
          </cell>
          <cell r="V838">
            <v>28630</v>
          </cell>
          <cell r="W838" t="str">
            <v>KEW</v>
          </cell>
          <cell r="X838" t="str">
            <v>01/09/2010</v>
          </cell>
          <cell r="Y838" t="str">
            <v>KEW</v>
          </cell>
          <cell r="Z838" t="str">
            <v>16/08/2013</v>
          </cell>
          <cell r="AA838" t="str">
            <v>15/08/2015</v>
          </cell>
          <cell r="AB838" t="str">
            <v>No</v>
          </cell>
          <cell r="AC838" t="str">
            <v>31/08/2013</v>
          </cell>
          <cell r="AD838" t="str">
            <v>Good</v>
          </cell>
          <cell r="AE838" t="str">
            <v>V1 - Existing / No Claim</v>
          </cell>
          <cell r="AF838">
            <v>42235</v>
          </cell>
          <cell r="AG838">
            <v>9.17</v>
          </cell>
          <cell r="AH838" t="str">
            <v>PPM</v>
          </cell>
          <cell r="AI838" t="str">
            <v>Strands</v>
          </cell>
          <cell r="AJ838" t="str">
            <v>Strands PW</v>
          </cell>
        </row>
        <row r="839">
          <cell r="A839" t="str">
            <v>IKN400377</v>
          </cell>
          <cell r="B839">
            <v>377</v>
          </cell>
          <cell r="C839" t="str">
            <v>Institut Kanser Negara</v>
          </cell>
          <cell r="D839" t="str">
            <v>KKM/IKN/H/13/2354</v>
          </cell>
          <cell r="E839" t="str">
            <v>18-147</v>
          </cell>
          <cell r="F839" t="str">
            <v>Mattress Systems, Alternating-Pressure</v>
          </cell>
          <cell r="G839" t="str">
            <v>WE</v>
          </cell>
          <cell r="H839" t="str">
            <v>RT/ONCO WARD 1 (F)</v>
          </cell>
          <cell r="I839" t="str">
            <v>07WE113</v>
          </cell>
          <cell r="J839" t="str">
            <v>EQUIPMENT ROOM</v>
          </cell>
          <cell r="K839" t="str">
            <v>BMED</v>
          </cell>
          <cell r="L839" t="str">
            <v>Normal</v>
          </cell>
          <cell r="M839" t="str">
            <v>Poland</v>
          </cell>
          <cell r="N839" t="str">
            <v>Nimbus</v>
          </cell>
          <cell r="O839" t="str">
            <v>Nimbus 3</v>
          </cell>
          <cell r="P839" t="str">
            <v>1200006480</v>
          </cell>
          <cell r="Q839" t="str">
            <v>Not Applicable</v>
          </cell>
          <cell r="R839" t="str">
            <v>Arjohuntleigh</v>
          </cell>
          <cell r="S839" t="str">
            <v>Hexamine Sdn. Bhd.</v>
          </cell>
          <cell r="T839" t="str">
            <v>Functioning</v>
          </cell>
          <cell r="U839" t="str">
            <v>Asset</v>
          </cell>
          <cell r="V839">
            <v>28630</v>
          </cell>
          <cell r="W839" t="str">
            <v>KEW</v>
          </cell>
          <cell r="X839" t="str">
            <v>01/09/2010</v>
          </cell>
          <cell r="Y839" t="str">
            <v>KEW</v>
          </cell>
          <cell r="Z839" t="str">
            <v>16/08/2013</v>
          </cell>
          <cell r="AA839" t="str">
            <v>15/08/2015</v>
          </cell>
          <cell r="AB839" t="str">
            <v>No</v>
          </cell>
          <cell r="AC839" t="str">
            <v>31/08/2013</v>
          </cell>
          <cell r="AD839" t="str">
            <v>Good</v>
          </cell>
          <cell r="AE839" t="str">
            <v>V1 - Existing / No Claim</v>
          </cell>
          <cell r="AF839">
            <v>42235</v>
          </cell>
          <cell r="AG839">
            <v>9.17</v>
          </cell>
          <cell r="AH839" t="str">
            <v>PPM</v>
          </cell>
          <cell r="AI839" t="str">
            <v>Strands</v>
          </cell>
          <cell r="AJ839" t="str">
            <v>Strands PW</v>
          </cell>
        </row>
        <row r="840">
          <cell r="A840" t="str">
            <v>IKN400378</v>
          </cell>
          <cell r="B840">
            <v>378</v>
          </cell>
          <cell r="C840" t="str">
            <v>Institut Kanser Negara</v>
          </cell>
          <cell r="D840" t="str">
            <v>KKM/IKN/H/13/2080</v>
          </cell>
          <cell r="E840" t="str">
            <v>18-147</v>
          </cell>
          <cell r="F840" t="str">
            <v>Mattress Systems, Alternating-Pressure</v>
          </cell>
          <cell r="G840" t="str">
            <v>WE</v>
          </cell>
          <cell r="H840" t="str">
            <v>RT/ONCO WARD 1 (F)</v>
          </cell>
          <cell r="I840" t="str">
            <v>07WE113</v>
          </cell>
          <cell r="J840" t="str">
            <v>EQUIPMENT ROOM</v>
          </cell>
          <cell r="K840" t="str">
            <v>BMED</v>
          </cell>
          <cell r="L840" t="str">
            <v>Normal</v>
          </cell>
          <cell r="M840" t="str">
            <v>Poland</v>
          </cell>
          <cell r="N840" t="str">
            <v>Nimbus</v>
          </cell>
          <cell r="O840" t="str">
            <v>Nimbus 3</v>
          </cell>
          <cell r="P840" t="str">
            <v>1200006449</v>
          </cell>
          <cell r="Q840" t="str">
            <v>Not Applicable</v>
          </cell>
          <cell r="R840" t="str">
            <v>Arjohuntleigh</v>
          </cell>
          <cell r="S840" t="str">
            <v>Hexamine Sdn. Bhd.</v>
          </cell>
          <cell r="T840" t="str">
            <v>Functioning</v>
          </cell>
          <cell r="U840" t="str">
            <v>Asset</v>
          </cell>
          <cell r="V840">
            <v>28630</v>
          </cell>
          <cell r="W840" t="str">
            <v>KEW</v>
          </cell>
          <cell r="X840" t="str">
            <v>01/09/2010</v>
          </cell>
          <cell r="Y840" t="str">
            <v>KEW</v>
          </cell>
          <cell r="Z840" t="str">
            <v>16/08/2013</v>
          </cell>
          <cell r="AA840" t="str">
            <v>15/08/2015</v>
          </cell>
          <cell r="AB840" t="str">
            <v>No</v>
          </cell>
          <cell r="AC840" t="str">
            <v>31/08/2013</v>
          </cell>
          <cell r="AD840" t="str">
            <v>Good</v>
          </cell>
          <cell r="AE840" t="str">
            <v>V1 - Existing / No Claim</v>
          </cell>
          <cell r="AF840">
            <v>42235</v>
          </cell>
          <cell r="AG840">
            <v>9.17</v>
          </cell>
          <cell r="AH840" t="str">
            <v>PPM</v>
          </cell>
          <cell r="AI840" t="str">
            <v>Strands</v>
          </cell>
          <cell r="AJ840" t="str">
            <v>Strands PW</v>
          </cell>
        </row>
        <row r="841">
          <cell r="A841" t="str">
            <v>IKN400379</v>
          </cell>
          <cell r="B841">
            <v>379</v>
          </cell>
          <cell r="C841" t="str">
            <v>Institut Kanser Negara</v>
          </cell>
          <cell r="D841" t="str">
            <v>KKM/IKN/H/13/2079</v>
          </cell>
          <cell r="E841" t="str">
            <v>18-147</v>
          </cell>
          <cell r="F841" t="str">
            <v>Mattress Systems, Alternating-Pressure</v>
          </cell>
          <cell r="G841" t="str">
            <v>WE</v>
          </cell>
          <cell r="H841" t="str">
            <v>RT/ONCO WARD 1 (F)</v>
          </cell>
          <cell r="I841" t="str">
            <v>07WE113</v>
          </cell>
          <cell r="J841" t="str">
            <v>EQUIPMENT ROOM</v>
          </cell>
          <cell r="K841" t="str">
            <v>BMED</v>
          </cell>
          <cell r="L841" t="str">
            <v>Normal</v>
          </cell>
          <cell r="M841" t="str">
            <v>Poland</v>
          </cell>
          <cell r="N841" t="str">
            <v>Nimbus</v>
          </cell>
          <cell r="O841" t="str">
            <v>Nimbus 3</v>
          </cell>
          <cell r="P841" t="str">
            <v>1200006450</v>
          </cell>
          <cell r="Q841" t="str">
            <v>Not Applicable</v>
          </cell>
          <cell r="R841" t="str">
            <v>Arjohuntleigh</v>
          </cell>
          <cell r="S841" t="str">
            <v>Hexamine Sdn. Bhd.</v>
          </cell>
          <cell r="T841" t="str">
            <v>Functioning</v>
          </cell>
          <cell r="U841" t="str">
            <v>Asset</v>
          </cell>
          <cell r="V841">
            <v>28630</v>
          </cell>
          <cell r="W841" t="str">
            <v>KEW</v>
          </cell>
          <cell r="X841" t="str">
            <v>01/09/2010</v>
          </cell>
          <cell r="Y841" t="str">
            <v>KEW</v>
          </cell>
          <cell r="Z841" t="str">
            <v>16/08/2013</v>
          </cell>
          <cell r="AA841" t="str">
            <v>15/08/2015</v>
          </cell>
          <cell r="AB841" t="str">
            <v>No</v>
          </cell>
          <cell r="AC841" t="str">
            <v>31/08/2013</v>
          </cell>
          <cell r="AD841" t="str">
            <v>Good</v>
          </cell>
          <cell r="AE841" t="str">
            <v>V1 - Existing / No Claim</v>
          </cell>
          <cell r="AF841">
            <v>42235</v>
          </cell>
          <cell r="AG841">
            <v>9.17</v>
          </cell>
          <cell r="AH841" t="str">
            <v>PPM</v>
          </cell>
          <cell r="AI841" t="str">
            <v>Strands</v>
          </cell>
          <cell r="AJ841" t="str">
            <v>Strands PW</v>
          </cell>
        </row>
        <row r="842">
          <cell r="A842" t="str">
            <v>IKN400380</v>
          </cell>
          <cell r="B842">
            <v>380</v>
          </cell>
          <cell r="C842" t="str">
            <v>Institut Kanser Negara</v>
          </cell>
          <cell r="D842" t="str">
            <v>KKM/IKN/H/13/2356</v>
          </cell>
          <cell r="E842" t="str">
            <v>18-147</v>
          </cell>
          <cell r="F842" t="str">
            <v>Mattress Systems, Alternating-Pressure</v>
          </cell>
          <cell r="G842" t="str">
            <v>WE</v>
          </cell>
          <cell r="H842" t="str">
            <v>RT/ONCO WARD 1 (F)</v>
          </cell>
          <cell r="I842" t="str">
            <v>07WE113</v>
          </cell>
          <cell r="J842" t="str">
            <v>EQUIPMENT ROOM</v>
          </cell>
          <cell r="K842" t="str">
            <v>BMED</v>
          </cell>
          <cell r="L842" t="str">
            <v>Normal</v>
          </cell>
          <cell r="M842" t="str">
            <v>Poland</v>
          </cell>
          <cell r="N842" t="str">
            <v>Nimbus</v>
          </cell>
          <cell r="O842" t="str">
            <v>Nimbus 3</v>
          </cell>
          <cell r="P842" t="str">
            <v>1200005125</v>
          </cell>
          <cell r="Q842" t="str">
            <v>Not Applicable</v>
          </cell>
          <cell r="R842" t="str">
            <v>Arjohuntleigh</v>
          </cell>
          <cell r="S842" t="str">
            <v>Hexamine Sdn. Bhd.</v>
          </cell>
          <cell r="T842" t="str">
            <v>Functioning</v>
          </cell>
          <cell r="U842" t="str">
            <v>Asset</v>
          </cell>
          <cell r="V842">
            <v>28630</v>
          </cell>
          <cell r="W842" t="str">
            <v>KEW</v>
          </cell>
          <cell r="X842" t="str">
            <v>01/09/2010</v>
          </cell>
          <cell r="Y842" t="str">
            <v>KEW</v>
          </cell>
          <cell r="Z842" t="str">
            <v>16/08/2013</v>
          </cell>
          <cell r="AA842" t="str">
            <v>15/08/2015</v>
          </cell>
          <cell r="AB842" t="str">
            <v>No</v>
          </cell>
          <cell r="AC842" t="str">
            <v>31/08/2013</v>
          </cell>
          <cell r="AD842" t="str">
            <v>Good</v>
          </cell>
          <cell r="AE842" t="str">
            <v>V1 - Existing / No Claim</v>
          </cell>
          <cell r="AF842">
            <v>42235</v>
          </cell>
          <cell r="AG842">
            <v>9.17</v>
          </cell>
          <cell r="AH842" t="str">
            <v>PPM</v>
          </cell>
          <cell r="AI842" t="str">
            <v>Strands</v>
          </cell>
          <cell r="AJ842" t="str">
            <v>Strands PW</v>
          </cell>
        </row>
        <row r="843">
          <cell r="A843" t="str">
            <v>IKN400381</v>
          </cell>
          <cell r="B843">
            <v>381</v>
          </cell>
          <cell r="C843" t="str">
            <v>Institut Kanser Negara</v>
          </cell>
          <cell r="D843" t="str">
            <v>KKM/IKN/H/13/2078</v>
          </cell>
          <cell r="E843" t="str">
            <v>18-147</v>
          </cell>
          <cell r="F843" t="str">
            <v>Mattress Systems, Alternating-Pressure</v>
          </cell>
          <cell r="G843" t="str">
            <v>WE</v>
          </cell>
          <cell r="H843" t="str">
            <v>RT/ONCO WARD 1 (F)</v>
          </cell>
          <cell r="I843" t="str">
            <v>07WE113</v>
          </cell>
          <cell r="J843" t="str">
            <v>EQUIPMENT ROOM</v>
          </cell>
          <cell r="K843" t="str">
            <v>BMED</v>
          </cell>
          <cell r="L843" t="str">
            <v>Normal</v>
          </cell>
          <cell r="M843" t="str">
            <v>Poland</v>
          </cell>
          <cell r="N843" t="str">
            <v>Nimbus</v>
          </cell>
          <cell r="O843" t="str">
            <v>Nimbus 3</v>
          </cell>
          <cell r="P843" t="str">
            <v>1200035113</v>
          </cell>
          <cell r="Q843" t="str">
            <v>Not Applicable</v>
          </cell>
          <cell r="R843" t="str">
            <v>Arjohuntleigh</v>
          </cell>
          <cell r="S843" t="str">
            <v>Hexamine Sdn. Bhd.</v>
          </cell>
          <cell r="T843" t="str">
            <v>Functioning</v>
          </cell>
          <cell r="U843" t="str">
            <v>Asset</v>
          </cell>
          <cell r="V843">
            <v>28630</v>
          </cell>
          <cell r="W843" t="str">
            <v>KEW</v>
          </cell>
          <cell r="X843" t="str">
            <v>01/09/2010</v>
          </cell>
          <cell r="Y843" t="str">
            <v>KEW</v>
          </cell>
          <cell r="Z843" t="str">
            <v>16/08/2013</v>
          </cell>
          <cell r="AA843" t="str">
            <v>15/08/2015</v>
          </cell>
          <cell r="AB843" t="str">
            <v>No</v>
          </cell>
          <cell r="AC843" t="str">
            <v>31/08/2013</v>
          </cell>
          <cell r="AD843" t="str">
            <v>Good</v>
          </cell>
          <cell r="AE843" t="str">
            <v>V1 - Existing / No Claim</v>
          </cell>
          <cell r="AF843">
            <v>42235</v>
          </cell>
          <cell r="AG843">
            <v>9.17</v>
          </cell>
          <cell r="AH843" t="str">
            <v>PPM</v>
          </cell>
          <cell r="AI843" t="str">
            <v>Strands</v>
          </cell>
          <cell r="AJ843" t="str">
            <v>Strands PW</v>
          </cell>
        </row>
        <row r="844">
          <cell r="A844" t="str">
            <v>IKN400382</v>
          </cell>
          <cell r="B844">
            <v>382</v>
          </cell>
          <cell r="C844" t="str">
            <v>Institut Kanser Negara</v>
          </cell>
          <cell r="D844" t="str">
            <v>KKM/IKN/H/13/2357</v>
          </cell>
          <cell r="E844" t="str">
            <v>10-208</v>
          </cell>
          <cell r="F844" t="str">
            <v>Aspirators</v>
          </cell>
          <cell r="G844" t="str">
            <v>WE</v>
          </cell>
          <cell r="H844" t="str">
            <v>RT/ONCO WARD 1 (F)</v>
          </cell>
          <cell r="I844" t="str">
            <v>07WE113</v>
          </cell>
          <cell r="J844" t="str">
            <v>EQUIPMENT ROOM</v>
          </cell>
          <cell r="K844" t="str">
            <v>BMED</v>
          </cell>
          <cell r="L844" t="str">
            <v>Normal</v>
          </cell>
          <cell r="M844" t="str">
            <v>UK</v>
          </cell>
          <cell r="N844" t="str">
            <v>SAM</v>
          </cell>
          <cell r="O844" t="str">
            <v>SAM 427</v>
          </cell>
          <cell r="P844" t="str">
            <v>0313-0537</v>
          </cell>
          <cell r="Q844" t="str">
            <v>Not Applicable</v>
          </cell>
          <cell r="R844" t="str">
            <v>MG Electric Ltd</v>
          </cell>
          <cell r="S844" t="str">
            <v>Delta Medisains</v>
          </cell>
          <cell r="T844" t="str">
            <v>Functioning</v>
          </cell>
          <cell r="U844" t="str">
            <v>Asset</v>
          </cell>
          <cell r="V844">
            <v>10705</v>
          </cell>
          <cell r="W844" t="str">
            <v>KEW</v>
          </cell>
          <cell r="X844" t="str">
            <v>01/09/2010</v>
          </cell>
          <cell r="Y844" t="str">
            <v>KEW</v>
          </cell>
          <cell r="Z844" t="str">
            <v>16/08/2013</v>
          </cell>
          <cell r="AA844" t="str">
            <v>15/08/2015</v>
          </cell>
          <cell r="AB844" t="str">
            <v>No</v>
          </cell>
          <cell r="AC844" t="str">
            <v>31/08/2013</v>
          </cell>
          <cell r="AD844" t="str">
            <v>Good</v>
          </cell>
          <cell r="AE844" t="str">
            <v>V1 - Existing / No Claim</v>
          </cell>
          <cell r="AF844">
            <v>42235</v>
          </cell>
          <cell r="AG844">
            <v>9.17</v>
          </cell>
          <cell r="AH844" t="str">
            <v>PPM</v>
          </cell>
          <cell r="AI844" t="str">
            <v>Strands</v>
          </cell>
          <cell r="AJ844" t="str">
            <v>Strands PW</v>
          </cell>
        </row>
        <row r="845">
          <cell r="A845" t="str">
            <v>IKN400383</v>
          </cell>
          <cell r="B845">
            <v>383</v>
          </cell>
          <cell r="C845" t="str">
            <v>Institut Kanser Negara</v>
          </cell>
          <cell r="D845" t="str">
            <v>KKM/IKN/H/13/2083</v>
          </cell>
          <cell r="E845" t="str">
            <v>17-148</v>
          </cell>
          <cell r="F845" t="str">
            <v>Oximeters, Pulse</v>
          </cell>
          <cell r="G845" t="str">
            <v>WE</v>
          </cell>
          <cell r="H845" t="str">
            <v>RT/ONCO WARD 1 (F)</v>
          </cell>
          <cell r="I845" t="str">
            <v>07WE113</v>
          </cell>
          <cell r="J845" t="str">
            <v>EQUIPMENT ROOM</v>
          </cell>
          <cell r="K845" t="str">
            <v>BMED</v>
          </cell>
          <cell r="L845" t="str">
            <v>Normal</v>
          </cell>
          <cell r="M845" t="str">
            <v>USA</v>
          </cell>
          <cell r="N845" t="str">
            <v>PalmSat</v>
          </cell>
          <cell r="O845" t="str">
            <v>PalmSat 2500</v>
          </cell>
          <cell r="P845" t="str">
            <v>501439272</v>
          </cell>
          <cell r="Q845" t="str">
            <v>Not Applicable</v>
          </cell>
          <cell r="R845" t="str">
            <v>Nonin Medical Inc</v>
          </cell>
          <cell r="S845" t="str">
            <v>Acucare Systems (M) Sdn bhd</v>
          </cell>
          <cell r="T845" t="str">
            <v>Functioning</v>
          </cell>
          <cell r="U845" t="str">
            <v>Asset</v>
          </cell>
          <cell r="V845">
            <v>5410</v>
          </cell>
          <cell r="W845" t="str">
            <v>KEW</v>
          </cell>
          <cell r="X845" t="str">
            <v>01/09/2010</v>
          </cell>
          <cell r="Y845" t="str">
            <v>KEW</v>
          </cell>
          <cell r="Z845" t="str">
            <v>16/08/2013</v>
          </cell>
          <cell r="AA845" t="str">
            <v>15/08/2015</v>
          </cell>
          <cell r="AB845" t="str">
            <v>No</v>
          </cell>
          <cell r="AC845" t="str">
            <v>31/08/2013</v>
          </cell>
          <cell r="AD845" t="str">
            <v>Good</v>
          </cell>
          <cell r="AE845" t="str">
            <v>V1 - Existing / No Claim</v>
          </cell>
          <cell r="AF845">
            <v>42235</v>
          </cell>
          <cell r="AG845">
            <v>9.17</v>
          </cell>
          <cell r="AH845" t="str">
            <v>PPM</v>
          </cell>
          <cell r="AI845" t="str">
            <v>Strands</v>
          </cell>
          <cell r="AJ845" t="str">
            <v>Strands PW</v>
          </cell>
        </row>
        <row r="846">
          <cell r="A846" t="str">
            <v>IKN400384</v>
          </cell>
          <cell r="B846">
            <v>384</v>
          </cell>
          <cell r="C846" t="str">
            <v>Institut Kanser Negara</v>
          </cell>
          <cell r="D846" t="str">
            <v>KKM/IKN/H/13/2082</v>
          </cell>
          <cell r="E846" t="str">
            <v>17-148</v>
          </cell>
          <cell r="F846" t="str">
            <v>Oximeters, Pulse</v>
          </cell>
          <cell r="G846" t="str">
            <v>WE</v>
          </cell>
          <cell r="H846" t="str">
            <v>RT/ONCO WARD 1 (F)</v>
          </cell>
          <cell r="I846" t="str">
            <v>07WE113</v>
          </cell>
          <cell r="J846" t="str">
            <v>EQUIPMENT ROOM</v>
          </cell>
          <cell r="K846" t="str">
            <v>BMED</v>
          </cell>
          <cell r="L846" t="str">
            <v>Normal</v>
          </cell>
          <cell r="M846" t="str">
            <v>USA</v>
          </cell>
          <cell r="N846" t="str">
            <v>PalmSat</v>
          </cell>
          <cell r="O846" t="str">
            <v>PalmSat 2500</v>
          </cell>
          <cell r="P846" t="str">
            <v>501442062</v>
          </cell>
          <cell r="Q846" t="str">
            <v>Not Applicable</v>
          </cell>
          <cell r="R846" t="str">
            <v>Nonin Medical Inc</v>
          </cell>
          <cell r="S846" t="str">
            <v>Acucare Systems (M) Sdn bhd</v>
          </cell>
          <cell r="T846" t="str">
            <v>Functioning</v>
          </cell>
          <cell r="U846" t="str">
            <v>Asset</v>
          </cell>
          <cell r="V846">
            <v>5410</v>
          </cell>
          <cell r="W846" t="str">
            <v>KEW</v>
          </cell>
          <cell r="X846" t="str">
            <v>01/09/2010</v>
          </cell>
          <cell r="Y846" t="str">
            <v>KEW</v>
          </cell>
          <cell r="Z846" t="str">
            <v>16/08/2013</v>
          </cell>
          <cell r="AA846" t="str">
            <v>15/08/2015</v>
          </cell>
          <cell r="AB846" t="str">
            <v>No</v>
          </cell>
          <cell r="AC846" t="str">
            <v>31/08/2013</v>
          </cell>
          <cell r="AD846" t="str">
            <v>Good</v>
          </cell>
          <cell r="AE846" t="str">
            <v>V1 - Existing / No Claim</v>
          </cell>
          <cell r="AF846">
            <v>42235</v>
          </cell>
          <cell r="AG846">
            <v>9.17</v>
          </cell>
          <cell r="AH846" t="str">
            <v>PPM</v>
          </cell>
          <cell r="AI846" t="str">
            <v>Strands</v>
          </cell>
          <cell r="AJ846" t="str">
            <v>Strands PW</v>
          </cell>
        </row>
        <row r="847">
          <cell r="A847" t="str">
            <v>IKN400385</v>
          </cell>
          <cell r="B847">
            <v>385</v>
          </cell>
          <cell r="C847" t="str">
            <v>Institut Kanser Negara</v>
          </cell>
          <cell r="D847" t="str">
            <v>KKM/IKN/H/13/2084</v>
          </cell>
          <cell r="E847" t="str">
            <v>12-647</v>
          </cell>
          <cell r="F847" t="str">
            <v>Physiologic Monitoring Systems, Acute Care</v>
          </cell>
          <cell r="G847" t="str">
            <v>WE</v>
          </cell>
          <cell r="H847" t="str">
            <v>RT/ONCO WARD 1 (F)</v>
          </cell>
          <cell r="I847" t="str">
            <v>07WE113</v>
          </cell>
          <cell r="J847" t="str">
            <v>EQUIPMENT ROOM</v>
          </cell>
          <cell r="K847" t="str">
            <v>BMED</v>
          </cell>
          <cell r="L847" t="str">
            <v>Critical</v>
          </cell>
          <cell r="M847" t="str">
            <v>USA</v>
          </cell>
          <cell r="N847" t="str">
            <v>GE</v>
          </cell>
          <cell r="O847" t="str">
            <v>GE B30</v>
          </cell>
          <cell r="P847" t="str">
            <v>SF312325908WA</v>
          </cell>
          <cell r="Q847" t="str">
            <v>Not Applicable</v>
          </cell>
          <cell r="R847" t="str">
            <v>GE Healthcare Systems</v>
          </cell>
          <cell r="S847" t="str">
            <v>GE Healthcare Technologies</v>
          </cell>
          <cell r="T847" t="str">
            <v>Functioning</v>
          </cell>
          <cell r="U847" t="str">
            <v>Asset</v>
          </cell>
          <cell r="V847">
            <v>44510</v>
          </cell>
          <cell r="W847" t="str">
            <v>KEW</v>
          </cell>
          <cell r="X847" t="str">
            <v>01/09/2010</v>
          </cell>
          <cell r="Y847" t="str">
            <v>KEW</v>
          </cell>
          <cell r="Z847" t="str">
            <v>16/08/2013</v>
          </cell>
          <cell r="AA847" t="str">
            <v>15/08/2015</v>
          </cell>
          <cell r="AB847" t="str">
            <v>No</v>
          </cell>
          <cell r="AC847" t="str">
            <v>31/08/2013</v>
          </cell>
          <cell r="AD847" t="str">
            <v>Good</v>
          </cell>
          <cell r="AE847" t="str">
            <v>V1 - Existing / No Claim</v>
          </cell>
          <cell r="AF847">
            <v>42789</v>
          </cell>
          <cell r="AG847">
            <v>9.17</v>
          </cell>
          <cell r="AH847" t="str">
            <v>PPM</v>
          </cell>
          <cell r="AI847" t="str">
            <v>Strands</v>
          </cell>
          <cell r="AJ847" t="str">
            <v>Strands PW</v>
          </cell>
        </row>
        <row r="848">
          <cell r="A848" t="str">
            <v>IKN400386</v>
          </cell>
          <cell r="B848">
            <v>386</v>
          </cell>
          <cell r="C848" t="str">
            <v>Institut Kanser Negara</v>
          </cell>
          <cell r="D848" t="str">
            <v>KKM/IKN/H/13/2086</v>
          </cell>
          <cell r="E848" t="str">
            <v>12-647</v>
          </cell>
          <cell r="F848" t="str">
            <v>Physiologic Monitoring Systems, Acute Care</v>
          </cell>
          <cell r="G848" t="str">
            <v>WE</v>
          </cell>
          <cell r="H848" t="str">
            <v>RT/ONCO WARD 1 (F)</v>
          </cell>
          <cell r="I848" t="str">
            <v>07WE113</v>
          </cell>
          <cell r="J848" t="str">
            <v>EQUIPMENT ROOM</v>
          </cell>
          <cell r="K848" t="str">
            <v>BMED</v>
          </cell>
          <cell r="L848" t="str">
            <v>Critical</v>
          </cell>
          <cell r="M848" t="str">
            <v>USA</v>
          </cell>
          <cell r="N848" t="str">
            <v>GE</v>
          </cell>
          <cell r="O848" t="str">
            <v>GE B30</v>
          </cell>
          <cell r="P848" t="str">
            <v>SF312325900WA</v>
          </cell>
          <cell r="Q848" t="str">
            <v>Not Applicable</v>
          </cell>
          <cell r="R848" t="str">
            <v>GE Healthcare Systems</v>
          </cell>
          <cell r="S848" t="str">
            <v>GE Healthcare Technologies</v>
          </cell>
          <cell r="T848" t="str">
            <v>Functioning</v>
          </cell>
          <cell r="U848" t="str">
            <v>Asset</v>
          </cell>
          <cell r="V848">
            <v>44510</v>
          </cell>
          <cell r="W848" t="str">
            <v>KEW</v>
          </cell>
          <cell r="X848" t="str">
            <v>01/09/2010</v>
          </cell>
          <cell r="Y848" t="str">
            <v>KEW</v>
          </cell>
          <cell r="Z848" t="str">
            <v>16/08/2013</v>
          </cell>
          <cell r="AA848" t="str">
            <v>15/08/2015</v>
          </cell>
          <cell r="AB848" t="str">
            <v>No</v>
          </cell>
          <cell r="AC848" t="str">
            <v>31/08/2013</v>
          </cell>
          <cell r="AD848" t="str">
            <v>Good</v>
          </cell>
          <cell r="AE848" t="str">
            <v>V1 - Existing / No Claim</v>
          </cell>
          <cell r="AF848">
            <v>42789</v>
          </cell>
          <cell r="AG848">
            <v>9.17</v>
          </cell>
          <cell r="AH848" t="str">
            <v>PPM</v>
          </cell>
          <cell r="AI848" t="str">
            <v>Strands</v>
          </cell>
          <cell r="AJ848" t="str">
            <v>Strands PW</v>
          </cell>
        </row>
        <row r="849">
          <cell r="A849" t="str">
            <v>IKN400387</v>
          </cell>
          <cell r="B849">
            <v>387</v>
          </cell>
          <cell r="C849" t="str">
            <v>Institut Kanser Negara</v>
          </cell>
          <cell r="D849" t="str">
            <v>KKM/IKN/H/13/2114</v>
          </cell>
          <cell r="E849" t="str">
            <v>16-173</v>
          </cell>
          <cell r="F849" t="str">
            <v>Sphygmomanometers, Electronic, Automatic</v>
          </cell>
          <cell r="G849" t="str">
            <v>WE</v>
          </cell>
          <cell r="H849" t="str">
            <v>RT/ONCO WARD 1 (F)</v>
          </cell>
          <cell r="I849" t="str">
            <v>07WE143</v>
          </cell>
          <cell r="J849" t="str">
            <v>NURSE STATION</v>
          </cell>
          <cell r="K849" t="str">
            <v>BMED</v>
          </cell>
          <cell r="L849" t="str">
            <v>Critical</v>
          </cell>
          <cell r="M849" t="str">
            <v>USA</v>
          </cell>
          <cell r="N849" t="str">
            <v>Connex</v>
          </cell>
          <cell r="O849" t="str">
            <v>Connex ProBP 3400</v>
          </cell>
          <cell r="P849" t="str">
            <v>100001440613</v>
          </cell>
          <cell r="Q849" t="str">
            <v>Not Applicable</v>
          </cell>
          <cell r="R849" t="str">
            <v>Welch Allyn Inc</v>
          </cell>
          <cell r="S849" t="str">
            <v>Welch Allyn Malaysia Sdn Bhd</v>
          </cell>
          <cell r="T849" t="str">
            <v>Functioning</v>
          </cell>
          <cell r="U849" t="str">
            <v>Asset</v>
          </cell>
          <cell r="V849">
            <v>4510</v>
          </cell>
          <cell r="W849" t="str">
            <v>KEW</v>
          </cell>
          <cell r="X849" t="str">
            <v>01/09/2010</v>
          </cell>
          <cell r="Y849" t="str">
            <v>KEW</v>
          </cell>
          <cell r="Z849" t="str">
            <v>16/08/2013</v>
          </cell>
          <cell r="AA849" t="str">
            <v>15/08/2015</v>
          </cell>
          <cell r="AB849" t="str">
            <v>No</v>
          </cell>
          <cell r="AC849" t="str">
            <v>31/08/2013</v>
          </cell>
          <cell r="AD849" t="str">
            <v>Good</v>
          </cell>
          <cell r="AE849" t="str">
            <v>V1 - Existing / No Claim</v>
          </cell>
          <cell r="AF849">
            <v>42789</v>
          </cell>
          <cell r="AG849">
            <v>9.17</v>
          </cell>
          <cell r="AH849" t="str">
            <v>PPM</v>
          </cell>
          <cell r="AI849" t="str">
            <v>Strands</v>
          </cell>
          <cell r="AJ849" t="str">
            <v>Strands PW</v>
          </cell>
        </row>
        <row r="850">
          <cell r="A850" t="str">
            <v>IKN400389</v>
          </cell>
          <cell r="B850">
            <v>389</v>
          </cell>
          <cell r="C850" t="str">
            <v>Institut Kanser Negara</v>
          </cell>
          <cell r="D850" t="str">
            <v>KKM/IKN/H/13/2113</v>
          </cell>
          <cell r="E850" t="str">
            <v>16-173</v>
          </cell>
          <cell r="F850" t="str">
            <v>Sphygmomanometers, Electronic, Automatic</v>
          </cell>
          <cell r="G850" t="str">
            <v>WE</v>
          </cell>
          <cell r="H850" t="str">
            <v>RT/ONCO WARD 1 (F)</v>
          </cell>
          <cell r="I850" t="str">
            <v>07WE143</v>
          </cell>
          <cell r="J850" t="str">
            <v>NURSE STATION</v>
          </cell>
          <cell r="K850" t="str">
            <v>BMED</v>
          </cell>
          <cell r="L850" t="str">
            <v>Normal</v>
          </cell>
          <cell r="M850" t="str">
            <v>USA</v>
          </cell>
          <cell r="N850" t="str">
            <v>Connex</v>
          </cell>
          <cell r="O850" t="str">
            <v>Connex ProBP 3400</v>
          </cell>
          <cell r="P850" t="str">
            <v>100001720613</v>
          </cell>
          <cell r="Q850" t="str">
            <v>Not Applicable</v>
          </cell>
          <cell r="R850" t="str">
            <v>Welch Allyn Inc</v>
          </cell>
          <cell r="S850" t="str">
            <v>Welch Allyn Malaysia Sdn Bhd</v>
          </cell>
          <cell r="T850" t="str">
            <v>Functioning</v>
          </cell>
          <cell r="U850" t="str">
            <v>Asset</v>
          </cell>
          <cell r="V850">
            <v>4510</v>
          </cell>
          <cell r="W850" t="str">
            <v>KEW</v>
          </cell>
          <cell r="X850" t="str">
            <v>01/09/2010</v>
          </cell>
          <cell r="Y850" t="str">
            <v>KEW</v>
          </cell>
          <cell r="Z850" t="str">
            <v>16/08/2013</v>
          </cell>
          <cell r="AA850" t="str">
            <v>15/08/2015</v>
          </cell>
          <cell r="AB850" t="str">
            <v>No</v>
          </cell>
          <cell r="AC850" t="str">
            <v>31/08/2013</v>
          </cell>
          <cell r="AD850" t="str">
            <v>Good</v>
          </cell>
          <cell r="AE850" t="str">
            <v>V1 - Existing / No Claim</v>
          </cell>
          <cell r="AF850">
            <v>42235</v>
          </cell>
          <cell r="AG850">
            <v>9.17</v>
          </cell>
          <cell r="AH850" t="str">
            <v>PPM</v>
          </cell>
          <cell r="AI850" t="str">
            <v>Strands</v>
          </cell>
          <cell r="AJ850" t="str">
            <v>Strands PW</v>
          </cell>
        </row>
        <row r="851">
          <cell r="A851" t="str">
            <v>IKN400390</v>
          </cell>
          <cell r="B851">
            <v>390</v>
          </cell>
          <cell r="C851" t="str">
            <v>Institut Kanser Negara</v>
          </cell>
          <cell r="D851" t="str">
            <v>KKM/IKN/H/13/2095</v>
          </cell>
          <cell r="E851" t="str">
            <v>25-209</v>
          </cell>
          <cell r="F851" t="str">
            <v>Monitors, Physiologic, Vital Signs</v>
          </cell>
          <cell r="G851" t="str">
            <v>WE</v>
          </cell>
          <cell r="H851" t="str">
            <v>RT/ONCO WARD 1 (F)</v>
          </cell>
          <cell r="I851" t="str">
            <v>07WE143</v>
          </cell>
          <cell r="J851" t="str">
            <v>NURSE STATION</v>
          </cell>
          <cell r="K851" t="str">
            <v>BMED</v>
          </cell>
          <cell r="L851" t="str">
            <v>Critical</v>
          </cell>
          <cell r="M851" t="str">
            <v>Mexico</v>
          </cell>
          <cell r="N851" t="str">
            <v>Carespace</v>
          </cell>
          <cell r="O851" t="str">
            <v>Carescape V100</v>
          </cell>
          <cell r="P851" t="str">
            <v>SH613280315SA</v>
          </cell>
          <cell r="Q851" t="str">
            <v>Not Applicable</v>
          </cell>
          <cell r="R851" t="str">
            <v>GE Healthcare Systems</v>
          </cell>
          <cell r="S851" t="str">
            <v>GE Healthcare Technologies</v>
          </cell>
          <cell r="T851" t="str">
            <v>Functioning</v>
          </cell>
          <cell r="U851" t="str">
            <v>Asset</v>
          </cell>
          <cell r="V851">
            <v>18765</v>
          </cell>
          <cell r="W851" t="str">
            <v>KEW</v>
          </cell>
          <cell r="X851" t="str">
            <v>01/09/2010</v>
          </cell>
          <cell r="Y851" t="str">
            <v>KEW</v>
          </cell>
          <cell r="Z851" t="str">
            <v>16/08/2013</v>
          </cell>
          <cell r="AA851" t="str">
            <v>15/08/2015</v>
          </cell>
          <cell r="AB851" t="str">
            <v>No</v>
          </cell>
          <cell r="AC851" t="str">
            <v>31/08/2013</v>
          </cell>
          <cell r="AD851" t="str">
            <v>Good</v>
          </cell>
          <cell r="AE851" t="str">
            <v>V1 - Existing / No Claim</v>
          </cell>
          <cell r="AF851">
            <v>42790</v>
          </cell>
          <cell r="AG851">
            <v>9.17</v>
          </cell>
          <cell r="AH851" t="str">
            <v>PPM</v>
          </cell>
          <cell r="AI851" t="str">
            <v>Strands</v>
          </cell>
          <cell r="AJ851" t="str">
            <v>Strands PW</v>
          </cell>
        </row>
        <row r="852">
          <cell r="A852" t="str">
            <v>IKN400392</v>
          </cell>
          <cell r="B852">
            <v>392</v>
          </cell>
          <cell r="C852" t="str">
            <v>Institut Kanser Negara</v>
          </cell>
          <cell r="D852" t="str">
            <v>KKM/IKN/H/13/2092</v>
          </cell>
          <cell r="E852" t="str">
            <v>11-134</v>
          </cell>
          <cell r="F852" t="str">
            <v>Defibrillators, External, Manual</v>
          </cell>
          <cell r="G852" t="str">
            <v>WE</v>
          </cell>
          <cell r="H852" t="str">
            <v>RT/ONCO WARD 1 (F)</v>
          </cell>
          <cell r="I852" t="str">
            <v>07WE133</v>
          </cell>
          <cell r="J852" t="str">
            <v>RESUS EQ. BAY</v>
          </cell>
          <cell r="K852" t="str">
            <v>BMED</v>
          </cell>
          <cell r="L852" t="str">
            <v>Critical</v>
          </cell>
          <cell r="M852" t="str">
            <v>USA</v>
          </cell>
          <cell r="N852" t="str">
            <v>Responder</v>
          </cell>
          <cell r="O852" t="str">
            <v>Responder 2000</v>
          </cell>
          <cell r="P852" t="str">
            <v>3206735</v>
          </cell>
          <cell r="Q852" t="str">
            <v>Not Applicable</v>
          </cell>
          <cell r="R852" t="str">
            <v>GE Medical Systems</v>
          </cell>
          <cell r="S852" t="str">
            <v>Antah Sir Radin Sdn. Bhd.</v>
          </cell>
          <cell r="T852" t="str">
            <v>Functioning</v>
          </cell>
          <cell r="U852" t="str">
            <v>Asset</v>
          </cell>
          <cell r="V852">
            <v>45000</v>
          </cell>
          <cell r="W852" t="str">
            <v>Estimate</v>
          </cell>
          <cell r="X852" t="str">
            <v>01/09/2010</v>
          </cell>
          <cell r="Y852" t="str">
            <v>KEW</v>
          </cell>
          <cell r="Z852" t="str">
            <v>16/08/2013</v>
          </cell>
          <cell r="AA852" t="str">
            <v>15/08/2015</v>
          </cell>
          <cell r="AB852" t="str">
            <v>No</v>
          </cell>
          <cell r="AC852" t="str">
            <v>31/08/2013</v>
          </cell>
          <cell r="AD852" t="str">
            <v>Good</v>
          </cell>
          <cell r="AE852" t="str">
            <v>V1 - Existing / No Claim</v>
          </cell>
          <cell r="AF852">
            <v>42789</v>
          </cell>
          <cell r="AG852">
            <v>9.17</v>
          </cell>
          <cell r="AH852" t="str">
            <v>PPM</v>
          </cell>
          <cell r="AI852" t="str">
            <v>Strands</v>
          </cell>
          <cell r="AJ852" t="str">
            <v>Strands PW</v>
          </cell>
        </row>
        <row r="853">
          <cell r="A853" t="str">
            <v>IKN400397</v>
          </cell>
          <cell r="B853">
            <v>397</v>
          </cell>
          <cell r="C853" t="str">
            <v>Institut Kanser Negara</v>
          </cell>
          <cell r="D853" t="str">
            <v>KKM/IKN/H/13/3641</v>
          </cell>
          <cell r="E853" t="str">
            <v>11-134</v>
          </cell>
          <cell r="F853" t="str">
            <v>Defibrillators, External, Manual</v>
          </cell>
          <cell r="G853" t="str">
            <v>WD</v>
          </cell>
          <cell r="H853" t="str">
            <v>RT/ONCO PAED/ADOLESCENT WARD</v>
          </cell>
          <cell r="I853" t="str">
            <v>06WD145</v>
          </cell>
          <cell r="J853" t="str">
            <v>RESUS. EQUIP. BAY</v>
          </cell>
          <cell r="K853" t="str">
            <v>BMED</v>
          </cell>
          <cell r="L853" t="str">
            <v>Critical</v>
          </cell>
          <cell r="M853" t="str">
            <v>USA</v>
          </cell>
          <cell r="N853" t="str">
            <v>Responder</v>
          </cell>
          <cell r="O853" t="str">
            <v>Responder 2000</v>
          </cell>
          <cell r="P853" t="str">
            <v>3206726</v>
          </cell>
          <cell r="Q853" t="str">
            <v>Not Applicable</v>
          </cell>
          <cell r="R853" t="str">
            <v>GE Medical Systems</v>
          </cell>
          <cell r="S853" t="str">
            <v>Antah Sir Radin Sdn. Bhd.</v>
          </cell>
          <cell r="T853" t="str">
            <v>Functioning</v>
          </cell>
          <cell r="U853" t="str">
            <v>Asset</v>
          </cell>
          <cell r="V853">
            <v>45000</v>
          </cell>
          <cell r="W853" t="str">
            <v>Estimate</v>
          </cell>
          <cell r="X853" t="str">
            <v>01/09/2010</v>
          </cell>
          <cell r="Y853" t="str">
            <v>KEW</v>
          </cell>
          <cell r="Z853" t="str">
            <v>16/08/2013</v>
          </cell>
          <cell r="AA853" t="str">
            <v>15/08/2015</v>
          </cell>
          <cell r="AB853" t="str">
            <v>No</v>
          </cell>
          <cell r="AC853" t="str">
            <v>31/08/2013</v>
          </cell>
          <cell r="AD853" t="str">
            <v>Good</v>
          </cell>
          <cell r="AE853" t="str">
            <v>V1 - Existing / No Claim</v>
          </cell>
          <cell r="AF853">
            <v>42601</v>
          </cell>
          <cell r="AG853">
            <v>9.17</v>
          </cell>
          <cell r="AH853" t="str">
            <v>PPM</v>
          </cell>
          <cell r="AI853" t="str">
            <v>Strands</v>
          </cell>
          <cell r="AJ853" t="str">
            <v>Strands PW</v>
          </cell>
        </row>
        <row r="854">
          <cell r="A854" t="str">
            <v>IKN400398</v>
          </cell>
          <cell r="B854">
            <v>398</v>
          </cell>
          <cell r="C854" t="str">
            <v>Institut Kanser Negara</v>
          </cell>
          <cell r="D854" t="str">
            <v>KKM/IKN/H/13/4745</v>
          </cell>
          <cell r="E854" t="str">
            <v>12-282</v>
          </cell>
          <cell r="F854" t="str">
            <v>Lights, Surgical</v>
          </cell>
          <cell r="G854" t="str">
            <v>WD</v>
          </cell>
          <cell r="H854" t="str">
            <v>RT/ONCO PAED/ADOLESCENT WARD</v>
          </cell>
          <cell r="I854" t="str">
            <v>06WD153</v>
          </cell>
          <cell r="J854" t="str">
            <v>EQP.ROOM</v>
          </cell>
          <cell r="K854" t="str">
            <v>BMED</v>
          </cell>
          <cell r="L854" t="str">
            <v>Normal</v>
          </cell>
          <cell r="M854" t="str">
            <v>USA</v>
          </cell>
          <cell r="N854" t="str">
            <v>Welch Allyn</v>
          </cell>
          <cell r="O854" t="str">
            <v>Welch Allyn GS600</v>
          </cell>
          <cell r="P854" t="str">
            <v>GS-600-37</v>
          </cell>
          <cell r="Q854" t="str">
            <v>Not Applicable</v>
          </cell>
          <cell r="R854" t="str">
            <v>Welch Allyn Inc</v>
          </cell>
          <cell r="S854" t="str">
            <v>Welch Allyn Malaysia Sdn Bhd</v>
          </cell>
          <cell r="T854" t="str">
            <v>Functioning</v>
          </cell>
          <cell r="U854" t="str">
            <v>Asset</v>
          </cell>
          <cell r="V854">
            <v>5050</v>
          </cell>
          <cell r="W854" t="str">
            <v>KEW</v>
          </cell>
          <cell r="X854" t="str">
            <v>01/09/2010</v>
          </cell>
          <cell r="Y854" t="str">
            <v>KEW</v>
          </cell>
          <cell r="Z854" t="str">
            <v>16/08/2013</v>
          </cell>
          <cell r="AA854" t="str">
            <v>15/08/2015</v>
          </cell>
          <cell r="AB854" t="str">
            <v>No</v>
          </cell>
          <cell r="AC854" t="str">
            <v>31/08/2013</v>
          </cell>
          <cell r="AD854" t="str">
            <v>Good</v>
          </cell>
          <cell r="AE854" t="str">
            <v>V1 - Existing / No Claim</v>
          </cell>
          <cell r="AF854">
            <v>42235</v>
          </cell>
          <cell r="AG854">
            <v>9.17</v>
          </cell>
          <cell r="AH854" t="str">
            <v>PPM</v>
          </cell>
          <cell r="AI854" t="str">
            <v>Strands</v>
          </cell>
          <cell r="AJ854" t="str">
            <v>Strands PW</v>
          </cell>
        </row>
        <row r="855">
          <cell r="A855" t="str">
            <v>IKN400399</v>
          </cell>
          <cell r="B855">
            <v>399</v>
          </cell>
          <cell r="C855" t="str">
            <v>Institut Kanser Negara</v>
          </cell>
          <cell r="D855" t="str">
            <v>KKM/IKN/H/13/2165</v>
          </cell>
          <cell r="E855" t="str">
            <v>12-282</v>
          </cell>
          <cell r="F855" t="str">
            <v>Lights, Surgical</v>
          </cell>
          <cell r="G855" t="str">
            <v>WD</v>
          </cell>
          <cell r="H855" t="str">
            <v>RT/ONCO PAED/ADOLESCENT WARD</v>
          </cell>
          <cell r="I855" t="str">
            <v>06WD153</v>
          </cell>
          <cell r="J855" t="str">
            <v>EQP.ROOM</v>
          </cell>
          <cell r="K855" t="str">
            <v>BMED</v>
          </cell>
          <cell r="L855" t="str">
            <v>Normal</v>
          </cell>
          <cell r="M855" t="str">
            <v>USA</v>
          </cell>
          <cell r="N855" t="str">
            <v>Welch Allyn</v>
          </cell>
          <cell r="O855" t="str">
            <v>Welch Allyn GS600</v>
          </cell>
          <cell r="P855" t="str">
            <v>GS-600-46</v>
          </cell>
          <cell r="Q855" t="str">
            <v>Not Applicable</v>
          </cell>
          <cell r="R855" t="str">
            <v>Welch Allyn Inc</v>
          </cell>
          <cell r="S855" t="str">
            <v>Welch Allyn Malaysia Sdn Bhd</v>
          </cell>
          <cell r="T855" t="str">
            <v>Functioning</v>
          </cell>
          <cell r="U855" t="str">
            <v>Asset</v>
          </cell>
          <cell r="V855">
            <v>5050</v>
          </cell>
          <cell r="W855" t="str">
            <v>KEW</v>
          </cell>
          <cell r="X855" t="str">
            <v>01/09/2010</v>
          </cell>
          <cell r="Y855" t="str">
            <v>KEW</v>
          </cell>
          <cell r="Z855" t="str">
            <v>16/08/2013</v>
          </cell>
          <cell r="AA855" t="str">
            <v>15/08/2015</v>
          </cell>
          <cell r="AB855" t="str">
            <v>No</v>
          </cell>
          <cell r="AC855" t="str">
            <v>31/08/2013</v>
          </cell>
          <cell r="AD855" t="str">
            <v>Good</v>
          </cell>
          <cell r="AE855" t="str">
            <v>V1 - Existing / No Claim</v>
          </cell>
          <cell r="AF855">
            <v>42235</v>
          </cell>
          <cell r="AG855">
            <v>9.17</v>
          </cell>
          <cell r="AH855" t="str">
            <v>PPM</v>
          </cell>
          <cell r="AI855" t="str">
            <v>Strands</v>
          </cell>
          <cell r="AJ855" t="str">
            <v>Strands PW</v>
          </cell>
        </row>
        <row r="856">
          <cell r="A856" t="str">
            <v>IKN400400</v>
          </cell>
          <cell r="B856">
            <v>400</v>
          </cell>
          <cell r="C856" t="str">
            <v>Institut Kanser Negara</v>
          </cell>
          <cell r="D856" t="str">
            <v>KKM/IKN/H/13/2166</v>
          </cell>
          <cell r="E856" t="str">
            <v>15-045</v>
          </cell>
          <cell r="F856" t="str">
            <v>Nebulizers, Nonheated</v>
          </cell>
          <cell r="G856" t="str">
            <v>WD</v>
          </cell>
          <cell r="H856" t="str">
            <v>RT/ONCO PAED/ADOLESCENT WARD</v>
          </cell>
          <cell r="I856" t="str">
            <v>06WD153</v>
          </cell>
          <cell r="J856" t="str">
            <v>EQP.ROOM</v>
          </cell>
          <cell r="K856" t="str">
            <v>BMED</v>
          </cell>
          <cell r="L856" t="str">
            <v>Normal</v>
          </cell>
          <cell r="M856" t="str">
            <v>Germany</v>
          </cell>
          <cell r="N856" t="str">
            <v>Pari Boy</v>
          </cell>
          <cell r="O856" t="str">
            <v>Pari Boy SX 085</v>
          </cell>
          <cell r="P856" t="str">
            <v>2W12F13819</v>
          </cell>
          <cell r="Q856" t="str">
            <v>Not Applicable</v>
          </cell>
          <cell r="R856" t="str">
            <v>Pari GmbH</v>
          </cell>
          <cell r="S856" t="str">
            <v>Welch Allyn Malaysia Sdn Bhd</v>
          </cell>
          <cell r="T856" t="str">
            <v>Functioning</v>
          </cell>
          <cell r="U856" t="str">
            <v>Asset</v>
          </cell>
          <cell r="V856">
            <v>1140</v>
          </cell>
          <cell r="W856" t="str">
            <v>KEW</v>
          </cell>
          <cell r="X856" t="str">
            <v>01/09/2010</v>
          </cell>
          <cell r="Y856" t="str">
            <v>KEW</v>
          </cell>
          <cell r="Z856" t="str">
            <v>16/08/2013</v>
          </cell>
          <cell r="AA856" t="str">
            <v>15/08/2015</v>
          </cell>
          <cell r="AB856" t="str">
            <v>No</v>
          </cell>
          <cell r="AC856" t="str">
            <v>31/08/2013</v>
          </cell>
          <cell r="AD856" t="str">
            <v>Good</v>
          </cell>
          <cell r="AE856" t="str">
            <v>V1 - Existing / No Claim</v>
          </cell>
          <cell r="AF856">
            <v>42235</v>
          </cell>
          <cell r="AG856">
            <v>9.17</v>
          </cell>
          <cell r="AH856" t="str">
            <v>PPM</v>
          </cell>
          <cell r="AI856" t="str">
            <v>Strands</v>
          </cell>
          <cell r="AJ856" t="str">
            <v>Strands PW</v>
          </cell>
        </row>
        <row r="857">
          <cell r="A857" t="str">
            <v>IKN400401</v>
          </cell>
          <cell r="B857">
            <v>401</v>
          </cell>
          <cell r="C857" t="str">
            <v>Institut Kanser Negara</v>
          </cell>
          <cell r="D857" t="str">
            <v>KKM/IKN/H/13/2167</v>
          </cell>
          <cell r="E857" t="str">
            <v>15-045</v>
          </cell>
          <cell r="F857" t="str">
            <v>Nebulizers, Nonheated</v>
          </cell>
          <cell r="G857" t="str">
            <v>WD</v>
          </cell>
          <cell r="H857" t="str">
            <v>RT/ONCO PAED/ADOLESCENT WARD</v>
          </cell>
          <cell r="I857" t="str">
            <v>06WD153</v>
          </cell>
          <cell r="J857" t="str">
            <v>EQP.ROOM</v>
          </cell>
          <cell r="K857" t="str">
            <v>BMED</v>
          </cell>
          <cell r="L857" t="str">
            <v>Normal</v>
          </cell>
          <cell r="M857" t="str">
            <v>Germany</v>
          </cell>
          <cell r="N857" t="str">
            <v>Pari Boy</v>
          </cell>
          <cell r="O857" t="str">
            <v>Pari Boy SX 085</v>
          </cell>
          <cell r="P857" t="str">
            <v>2W12F13747</v>
          </cell>
          <cell r="Q857" t="str">
            <v>Not Applicable</v>
          </cell>
          <cell r="R857" t="str">
            <v>Pari GmbH</v>
          </cell>
          <cell r="S857" t="str">
            <v>Welch Allyn Malaysia Sdn Bhd</v>
          </cell>
          <cell r="T857" t="str">
            <v>Functioning</v>
          </cell>
          <cell r="U857" t="str">
            <v>Asset</v>
          </cell>
          <cell r="V857">
            <v>1140</v>
          </cell>
          <cell r="W857" t="str">
            <v>KEW</v>
          </cell>
          <cell r="X857" t="str">
            <v>01/09/2010</v>
          </cell>
          <cell r="Y857" t="str">
            <v>KEW</v>
          </cell>
          <cell r="Z857" t="str">
            <v>16/08/2013</v>
          </cell>
          <cell r="AA857" t="str">
            <v>15/08/2015</v>
          </cell>
          <cell r="AB857" t="str">
            <v>No</v>
          </cell>
          <cell r="AC857" t="str">
            <v>31/08/2013</v>
          </cell>
          <cell r="AD857" t="str">
            <v>Good</v>
          </cell>
          <cell r="AE857" t="str">
            <v>V1 - Existing / No Claim</v>
          </cell>
          <cell r="AF857">
            <v>42235</v>
          </cell>
          <cell r="AG857">
            <v>9.17</v>
          </cell>
          <cell r="AH857" t="str">
            <v>PPM</v>
          </cell>
          <cell r="AI857" t="str">
            <v>Strands</v>
          </cell>
          <cell r="AJ857" t="str">
            <v>Strands PW</v>
          </cell>
        </row>
        <row r="858">
          <cell r="A858" t="str">
            <v>IKN400402</v>
          </cell>
          <cell r="B858">
            <v>402</v>
          </cell>
          <cell r="C858" t="str">
            <v>Institut Kanser Negara</v>
          </cell>
          <cell r="D858" t="str">
            <v>KKM/IKN/H/13/2168</v>
          </cell>
          <cell r="E858" t="str">
            <v>15-045</v>
          </cell>
          <cell r="F858" t="str">
            <v>Nebulizers, Nonheated</v>
          </cell>
          <cell r="G858" t="str">
            <v>WD</v>
          </cell>
          <cell r="H858" t="str">
            <v>RT/ONCO PAED/ADOLESCENT WARD</v>
          </cell>
          <cell r="I858" t="str">
            <v>06WD153</v>
          </cell>
          <cell r="J858" t="str">
            <v>EQP.ROOM</v>
          </cell>
          <cell r="K858" t="str">
            <v>BMED</v>
          </cell>
          <cell r="L858" t="str">
            <v>Normal</v>
          </cell>
          <cell r="M858" t="str">
            <v>Germany</v>
          </cell>
          <cell r="N858" t="str">
            <v>Pari Boy</v>
          </cell>
          <cell r="O858" t="str">
            <v>Pari Boy SX 085</v>
          </cell>
          <cell r="P858" t="str">
            <v>2W12F13822</v>
          </cell>
          <cell r="Q858" t="str">
            <v>Not Applicable</v>
          </cell>
          <cell r="R858" t="str">
            <v>Pari GmbH</v>
          </cell>
          <cell r="S858" t="str">
            <v>Welch Allyn Malaysia Sdn Bhd</v>
          </cell>
          <cell r="T858" t="str">
            <v>Functioning</v>
          </cell>
          <cell r="U858" t="str">
            <v>Asset</v>
          </cell>
          <cell r="V858">
            <v>1140</v>
          </cell>
          <cell r="W858" t="str">
            <v>KEW</v>
          </cell>
          <cell r="X858" t="str">
            <v>01/09/2010</v>
          </cell>
          <cell r="Y858" t="str">
            <v>KEW</v>
          </cell>
          <cell r="Z858" t="str">
            <v>16/08/2013</v>
          </cell>
          <cell r="AA858" t="str">
            <v>15/08/2015</v>
          </cell>
          <cell r="AB858" t="str">
            <v>No</v>
          </cell>
          <cell r="AC858" t="str">
            <v>31/08/2013</v>
          </cell>
          <cell r="AD858" t="str">
            <v>Good</v>
          </cell>
          <cell r="AE858" t="str">
            <v>V1 - Existing / No Claim</v>
          </cell>
          <cell r="AF858">
            <v>42235</v>
          </cell>
          <cell r="AG858">
            <v>9.17</v>
          </cell>
          <cell r="AH858" t="str">
            <v>PPM</v>
          </cell>
          <cell r="AI858" t="str">
            <v>Strands</v>
          </cell>
          <cell r="AJ858" t="str">
            <v>Strands PW</v>
          </cell>
        </row>
        <row r="859">
          <cell r="A859" t="str">
            <v>IKN400403</v>
          </cell>
          <cell r="B859">
            <v>403</v>
          </cell>
          <cell r="C859" t="str">
            <v>Institut Kanser Negara</v>
          </cell>
          <cell r="D859" t="str">
            <v>KKM/IKN/H/13/2169</v>
          </cell>
          <cell r="E859" t="str">
            <v>16-173</v>
          </cell>
          <cell r="F859" t="str">
            <v>Sphygmomanometers, Electronic, Automatic</v>
          </cell>
          <cell r="G859" t="str">
            <v>WD</v>
          </cell>
          <cell r="H859" t="str">
            <v>RT/ONCO PAED/ADOLESCENT WARD</v>
          </cell>
          <cell r="I859" t="str">
            <v>06WD146</v>
          </cell>
          <cell r="J859" t="str">
            <v>NURSE STATION</v>
          </cell>
          <cell r="K859" t="str">
            <v>BMED</v>
          </cell>
          <cell r="L859" t="str">
            <v>Normal</v>
          </cell>
          <cell r="M859" t="str">
            <v>USA</v>
          </cell>
          <cell r="N859" t="str">
            <v>Connex</v>
          </cell>
          <cell r="O859" t="str">
            <v>Connex ProBP 3400</v>
          </cell>
          <cell r="P859" t="str">
            <v>100001420613</v>
          </cell>
          <cell r="Q859" t="str">
            <v>Not Applicable</v>
          </cell>
          <cell r="R859" t="str">
            <v>Welch Allyn Inc</v>
          </cell>
          <cell r="S859" t="str">
            <v>Welch Allyn Malaysia Sdn Bhd</v>
          </cell>
          <cell r="T859" t="str">
            <v>Functioning</v>
          </cell>
          <cell r="U859" t="str">
            <v>Asset</v>
          </cell>
          <cell r="V859">
            <v>4510</v>
          </cell>
          <cell r="W859" t="str">
            <v>KEW</v>
          </cell>
          <cell r="X859" t="str">
            <v>01/09/2010</v>
          </cell>
          <cell r="Y859" t="str">
            <v>KEW</v>
          </cell>
          <cell r="Z859" t="str">
            <v>16/08/2013</v>
          </cell>
          <cell r="AA859" t="str">
            <v>15/08/2015</v>
          </cell>
          <cell r="AB859" t="str">
            <v>No</v>
          </cell>
          <cell r="AC859" t="str">
            <v>31/08/2013</v>
          </cell>
          <cell r="AD859" t="str">
            <v>Good</v>
          </cell>
          <cell r="AE859" t="str">
            <v>V1 - Existing / No Claim</v>
          </cell>
          <cell r="AF859">
            <v>42235</v>
          </cell>
          <cell r="AG859">
            <v>9.17</v>
          </cell>
          <cell r="AH859" t="str">
            <v>PPM</v>
          </cell>
          <cell r="AI859" t="str">
            <v>Strands</v>
          </cell>
          <cell r="AJ859" t="str">
            <v>Strands PW</v>
          </cell>
        </row>
        <row r="860">
          <cell r="A860" t="str">
            <v>IKN400404</v>
          </cell>
          <cell r="B860">
            <v>404</v>
          </cell>
          <cell r="C860" t="str">
            <v>Institut Kanser Negara</v>
          </cell>
          <cell r="D860" t="str">
            <v>KKM/IKN/H/13/2170</v>
          </cell>
          <cell r="E860" t="str">
            <v>16-173</v>
          </cell>
          <cell r="F860" t="str">
            <v>Sphygmomanometers, Electronic, Automatic</v>
          </cell>
          <cell r="G860" t="str">
            <v>WD</v>
          </cell>
          <cell r="H860" t="str">
            <v>RT/ONCO PAED/ADOLESCENT WARD</v>
          </cell>
          <cell r="I860" t="str">
            <v>06WD146</v>
          </cell>
          <cell r="J860" t="str">
            <v>NURSE STATION</v>
          </cell>
          <cell r="K860" t="str">
            <v>BMED</v>
          </cell>
          <cell r="L860" t="str">
            <v>Critical</v>
          </cell>
          <cell r="M860" t="str">
            <v>USA</v>
          </cell>
          <cell r="N860" t="str">
            <v>Welch Allyn</v>
          </cell>
          <cell r="O860" t="str">
            <v>Connex ProBP 3400</v>
          </cell>
          <cell r="P860" t="str">
            <v>100001660613</v>
          </cell>
          <cell r="Q860" t="str">
            <v>Not Applicable</v>
          </cell>
          <cell r="R860" t="str">
            <v>Welch Allyn Inc</v>
          </cell>
          <cell r="S860" t="str">
            <v>Welch Allyn Malaysia Sdn Bhd</v>
          </cell>
          <cell r="T860" t="str">
            <v>Functioning</v>
          </cell>
          <cell r="U860" t="str">
            <v>Asset</v>
          </cell>
          <cell r="V860">
            <v>4510</v>
          </cell>
          <cell r="W860" t="str">
            <v>KEW</v>
          </cell>
          <cell r="X860" t="str">
            <v>01/09/2010</v>
          </cell>
          <cell r="Y860" t="str">
            <v>KEW</v>
          </cell>
          <cell r="Z860" t="str">
            <v>16/08/2013</v>
          </cell>
          <cell r="AA860" t="str">
            <v>15/08/2015</v>
          </cell>
          <cell r="AB860" t="str">
            <v>No</v>
          </cell>
          <cell r="AC860" t="str">
            <v>31/08/2013</v>
          </cell>
          <cell r="AD860" t="str">
            <v>Good</v>
          </cell>
          <cell r="AE860" t="str">
            <v>V1 - Existing / No Claim</v>
          </cell>
          <cell r="AF860">
            <v>42787</v>
          </cell>
          <cell r="AG860">
            <v>9.17</v>
          </cell>
          <cell r="AH860" t="str">
            <v>PPM</v>
          </cell>
          <cell r="AI860" t="str">
            <v>Strands</v>
          </cell>
          <cell r="AJ860" t="str">
            <v>Strands PW</v>
          </cell>
        </row>
        <row r="861">
          <cell r="A861" t="str">
            <v>IKN400405</v>
          </cell>
          <cell r="B861">
            <v>405</v>
          </cell>
          <cell r="C861" t="str">
            <v>Institut Kanser Negara</v>
          </cell>
          <cell r="D861" t="str">
            <v>KKM/IKN/H/13/2158</v>
          </cell>
          <cell r="E861" t="str">
            <v>18-147</v>
          </cell>
          <cell r="F861" t="str">
            <v>Mattress Systems, Alternating-Pressure</v>
          </cell>
          <cell r="G861" t="str">
            <v>WD</v>
          </cell>
          <cell r="H861" t="str">
            <v>RT/ONCO PAED/ADOLESCENT WARD</v>
          </cell>
          <cell r="I861" t="str">
            <v>06WD153</v>
          </cell>
          <cell r="J861" t="str">
            <v>EQP.ROOM</v>
          </cell>
          <cell r="K861" t="str">
            <v>BMED</v>
          </cell>
          <cell r="L861" t="str">
            <v>Normal</v>
          </cell>
          <cell r="M861" t="str">
            <v>Poland</v>
          </cell>
          <cell r="N861" t="str">
            <v>Nimbus</v>
          </cell>
          <cell r="O861" t="str">
            <v>Nimbus 3</v>
          </cell>
          <cell r="P861" t="str">
            <v>1200006457</v>
          </cell>
          <cell r="Q861" t="str">
            <v>Not Applicable</v>
          </cell>
          <cell r="R861" t="str">
            <v>Arjohuntleigh</v>
          </cell>
          <cell r="S861" t="str">
            <v>Hexamine Sdn. Bhd.</v>
          </cell>
          <cell r="T861" t="str">
            <v>Functioning</v>
          </cell>
          <cell r="U861" t="str">
            <v>Asset</v>
          </cell>
          <cell r="V861">
            <v>28630</v>
          </cell>
          <cell r="W861" t="str">
            <v>KEW</v>
          </cell>
          <cell r="X861" t="str">
            <v>01/09/2010</v>
          </cell>
          <cell r="Y861" t="str">
            <v>KEW</v>
          </cell>
          <cell r="Z861" t="str">
            <v>16/08/2013</v>
          </cell>
          <cell r="AA861" t="str">
            <v>15/08/2015</v>
          </cell>
          <cell r="AB861" t="str">
            <v>No</v>
          </cell>
          <cell r="AC861" t="str">
            <v>31/08/2013</v>
          </cell>
          <cell r="AD861" t="str">
            <v>Good</v>
          </cell>
          <cell r="AE861" t="str">
            <v>V3 - Added Installed Facilities (New)</v>
          </cell>
          <cell r="AF861">
            <v>42235</v>
          </cell>
          <cell r="AG861">
            <v>9.17</v>
          </cell>
          <cell r="AH861" t="str">
            <v>PPM</v>
          </cell>
          <cell r="AI861" t="str">
            <v>Strands</v>
          </cell>
          <cell r="AJ861" t="str">
            <v>Strands PW</v>
          </cell>
          <cell r="AK861" t="str">
            <v>SNF received. 1st batch of V3 asset (December 2020)</v>
          </cell>
        </row>
        <row r="862">
          <cell r="A862" t="str">
            <v>IKN400406</v>
          </cell>
          <cell r="B862">
            <v>406</v>
          </cell>
          <cell r="C862" t="str">
            <v>Institut Kanser Negara</v>
          </cell>
          <cell r="D862" t="str">
            <v>KKM/IKN/H/13/2159</v>
          </cell>
          <cell r="E862" t="str">
            <v>18-147</v>
          </cell>
          <cell r="F862" t="str">
            <v>Mattress Systems, Alternating-Pressure</v>
          </cell>
          <cell r="G862" t="str">
            <v>WD</v>
          </cell>
          <cell r="H862" t="str">
            <v>RT/ONCO PAED/ADOLESCENT WARD</v>
          </cell>
          <cell r="I862" t="str">
            <v>06WD153</v>
          </cell>
          <cell r="J862" t="str">
            <v>EQP.ROOM</v>
          </cell>
          <cell r="K862" t="str">
            <v>BMED</v>
          </cell>
          <cell r="L862" t="str">
            <v>Normal</v>
          </cell>
          <cell r="M862" t="str">
            <v>Poland</v>
          </cell>
          <cell r="N862" t="str">
            <v>Nimbus</v>
          </cell>
          <cell r="O862" t="str">
            <v>Nimbus 3</v>
          </cell>
          <cell r="P862" t="str">
            <v>1200005115</v>
          </cell>
          <cell r="Q862" t="str">
            <v>Not Applicable</v>
          </cell>
          <cell r="R862" t="str">
            <v>Arjohuntleigh</v>
          </cell>
          <cell r="S862" t="str">
            <v>Hexamine Sdn. Bhd.</v>
          </cell>
          <cell r="T862" t="str">
            <v>Functioning</v>
          </cell>
          <cell r="U862" t="str">
            <v>Asset</v>
          </cell>
          <cell r="V862">
            <v>28630</v>
          </cell>
          <cell r="W862" t="str">
            <v>KEW</v>
          </cell>
          <cell r="X862" t="str">
            <v>01/09/2010</v>
          </cell>
          <cell r="Y862" t="str">
            <v>KEW</v>
          </cell>
          <cell r="Z862" t="str">
            <v>16/08/2013</v>
          </cell>
          <cell r="AA862" t="str">
            <v>15/08/2015</v>
          </cell>
          <cell r="AB862" t="str">
            <v>No</v>
          </cell>
          <cell r="AC862" t="str">
            <v>31/08/2013</v>
          </cell>
          <cell r="AD862" t="str">
            <v>Good</v>
          </cell>
          <cell r="AE862" t="str">
            <v>V3 - Added Installed Facilities (New)</v>
          </cell>
          <cell r="AF862">
            <v>42235</v>
          </cell>
          <cell r="AG862">
            <v>9.17</v>
          </cell>
          <cell r="AH862" t="str">
            <v>PPM</v>
          </cell>
          <cell r="AI862" t="str">
            <v>Strands</v>
          </cell>
          <cell r="AJ862" t="str">
            <v>Strands PW</v>
          </cell>
          <cell r="AK862" t="str">
            <v>SNF received. 1st batch of V3 asset (December 2020)</v>
          </cell>
        </row>
        <row r="863">
          <cell r="A863" t="str">
            <v>IKN400407</v>
          </cell>
          <cell r="B863">
            <v>407</v>
          </cell>
          <cell r="C863" t="str">
            <v>Institut Kanser Negara</v>
          </cell>
          <cell r="D863" t="str">
            <v>KKM/IKN/H/13/2160</v>
          </cell>
          <cell r="E863" t="str">
            <v>18-147</v>
          </cell>
          <cell r="F863" t="str">
            <v>Mattress Systems, Alternating-Pressure</v>
          </cell>
          <cell r="G863" t="str">
            <v>WD</v>
          </cell>
          <cell r="H863" t="str">
            <v>RT/ONCO PAED/ADOLESCENT WARD</v>
          </cell>
          <cell r="I863" t="str">
            <v>06WD153</v>
          </cell>
          <cell r="J863" t="str">
            <v>EQP.ROOM</v>
          </cell>
          <cell r="K863" t="str">
            <v>BMED</v>
          </cell>
          <cell r="L863" t="str">
            <v>Normal</v>
          </cell>
          <cell r="M863" t="str">
            <v>Poland</v>
          </cell>
          <cell r="N863" t="str">
            <v>Nimbus</v>
          </cell>
          <cell r="O863" t="str">
            <v>Nimbus 3</v>
          </cell>
          <cell r="P863" t="str">
            <v>1200006459</v>
          </cell>
          <cell r="Q863" t="str">
            <v>Not Applicable</v>
          </cell>
          <cell r="R863" t="str">
            <v>Arjohuntleigh</v>
          </cell>
          <cell r="S863" t="str">
            <v>Hexamine Sdn. Bhd.</v>
          </cell>
          <cell r="T863" t="str">
            <v>Functioning</v>
          </cell>
          <cell r="U863" t="str">
            <v>Asset</v>
          </cell>
          <cell r="V863">
            <v>28630</v>
          </cell>
          <cell r="W863" t="str">
            <v>KEW</v>
          </cell>
          <cell r="X863" t="str">
            <v>01/09/2010</v>
          </cell>
          <cell r="Y863" t="str">
            <v>KEW</v>
          </cell>
          <cell r="Z863" t="str">
            <v>16/08/2013</v>
          </cell>
          <cell r="AA863" t="str">
            <v>15/08/2015</v>
          </cell>
          <cell r="AB863" t="str">
            <v>No</v>
          </cell>
          <cell r="AC863" t="str">
            <v>31/08/2013</v>
          </cell>
          <cell r="AD863" t="str">
            <v>Good</v>
          </cell>
          <cell r="AE863" t="str">
            <v>V3 - Added Installed Facilities (New)</v>
          </cell>
          <cell r="AF863">
            <v>42235</v>
          </cell>
          <cell r="AG863">
            <v>9.17</v>
          </cell>
          <cell r="AH863" t="str">
            <v>PPM</v>
          </cell>
          <cell r="AI863" t="str">
            <v>Strands</v>
          </cell>
          <cell r="AJ863" t="str">
            <v>Strands PW</v>
          </cell>
          <cell r="AK863" t="str">
            <v>SNF received. 1st batch of V3 asset (December 2020)</v>
          </cell>
        </row>
        <row r="864">
          <cell r="A864" t="str">
            <v>IKN400408</v>
          </cell>
          <cell r="B864">
            <v>408</v>
          </cell>
          <cell r="C864" t="str">
            <v>Institut Kanser Negara</v>
          </cell>
          <cell r="D864" t="str">
            <v>KKM/IKN/H/13/2161</v>
          </cell>
          <cell r="E864" t="str">
            <v>18-147</v>
          </cell>
          <cell r="F864" t="str">
            <v>Mattress Systems, Alternating-Pressure</v>
          </cell>
          <cell r="G864" t="str">
            <v>WD</v>
          </cell>
          <cell r="H864" t="str">
            <v>RT/ONCO PAED/ADOLESCENT WARD</v>
          </cell>
          <cell r="I864" t="str">
            <v>06WD153</v>
          </cell>
          <cell r="J864" t="str">
            <v>EQP.ROOM</v>
          </cell>
          <cell r="K864" t="str">
            <v>BMED</v>
          </cell>
          <cell r="L864" t="str">
            <v>Normal</v>
          </cell>
          <cell r="M864" t="str">
            <v>Poland</v>
          </cell>
          <cell r="N864" t="str">
            <v>Nimbus</v>
          </cell>
          <cell r="O864" t="str">
            <v>Nimbus 3</v>
          </cell>
          <cell r="P864" t="str">
            <v>1200006470</v>
          </cell>
          <cell r="Q864" t="str">
            <v>Not Applicable</v>
          </cell>
          <cell r="R864" t="str">
            <v>Arjohuntleigh</v>
          </cell>
          <cell r="S864" t="str">
            <v>Hexamine Sdn. Bhd.</v>
          </cell>
          <cell r="T864" t="str">
            <v>Functioning</v>
          </cell>
          <cell r="U864" t="str">
            <v>Asset</v>
          </cell>
          <cell r="V864">
            <v>28630</v>
          </cell>
          <cell r="W864" t="str">
            <v>KEW</v>
          </cell>
          <cell r="X864" t="str">
            <v>01/09/2010</v>
          </cell>
          <cell r="Y864" t="str">
            <v>KEW</v>
          </cell>
          <cell r="Z864" t="str">
            <v>16/08/2013</v>
          </cell>
          <cell r="AA864" t="str">
            <v>15/08/2015</v>
          </cell>
          <cell r="AB864" t="str">
            <v>No</v>
          </cell>
          <cell r="AC864" t="str">
            <v>31/08/2013</v>
          </cell>
          <cell r="AD864" t="str">
            <v>Good</v>
          </cell>
          <cell r="AE864" t="str">
            <v>V3 - Added Installed Facilities (New)</v>
          </cell>
          <cell r="AF864">
            <v>42235</v>
          </cell>
          <cell r="AG864">
            <v>9.17</v>
          </cell>
          <cell r="AH864" t="str">
            <v>PPM</v>
          </cell>
          <cell r="AI864" t="str">
            <v>Strands</v>
          </cell>
          <cell r="AJ864" t="str">
            <v>Strands PW</v>
          </cell>
          <cell r="AK864" t="str">
            <v>SNF received. 1st batch of V3 asset (December 2020)</v>
          </cell>
        </row>
        <row r="865">
          <cell r="A865" t="str">
            <v>IKN400409</v>
          </cell>
          <cell r="B865">
            <v>409</v>
          </cell>
          <cell r="C865" t="str">
            <v>Institut Kanser Negara</v>
          </cell>
          <cell r="D865" t="str">
            <v>KKM/IKN/H/13/2162</v>
          </cell>
          <cell r="E865" t="str">
            <v>18-147</v>
          </cell>
          <cell r="F865" t="str">
            <v>Mattress Systems, Alternating-Pressure</v>
          </cell>
          <cell r="G865" t="str">
            <v>WD</v>
          </cell>
          <cell r="H865" t="str">
            <v>RT/ONCO PAED/ADOLESCENT WARD</v>
          </cell>
          <cell r="I865" t="str">
            <v>06WD153</v>
          </cell>
          <cell r="J865" t="str">
            <v>EQP.ROOM</v>
          </cell>
          <cell r="K865" t="str">
            <v>BMED</v>
          </cell>
          <cell r="L865" t="str">
            <v>Normal</v>
          </cell>
          <cell r="M865" t="str">
            <v>Poland</v>
          </cell>
          <cell r="N865" t="str">
            <v>Nimbus</v>
          </cell>
          <cell r="O865" t="str">
            <v>Nimbus 3</v>
          </cell>
          <cell r="P865" t="str">
            <v>1200005116</v>
          </cell>
          <cell r="Q865" t="str">
            <v>Not Applicable</v>
          </cell>
          <cell r="R865" t="str">
            <v>Arjohuntleigh</v>
          </cell>
          <cell r="S865" t="str">
            <v>Hexamine Sdn. Bhd.</v>
          </cell>
          <cell r="T865" t="str">
            <v>Functioning</v>
          </cell>
          <cell r="U865" t="str">
            <v>Asset</v>
          </cell>
          <cell r="V865">
            <v>28630</v>
          </cell>
          <cell r="W865" t="str">
            <v>KEW</v>
          </cell>
          <cell r="X865" t="str">
            <v>01/09/2010</v>
          </cell>
          <cell r="Y865" t="str">
            <v>KEW</v>
          </cell>
          <cell r="Z865" t="str">
            <v>16/08/2013</v>
          </cell>
          <cell r="AA865" t="str">
            <v>15/08/2015</v>
          </cell>
          <cell r="AB865" t="str">
            <v>No</v>
          </cell>
          <cell r="AC865" t="str">
            <v>31/08/2013</v>
          </cell>
          <cell r="AD865" t="str">
            <v>Good</v>
          </cell>
          <cell r="AE865" t="str">
            <v>V3 - Added Installed Facilities (New)</v>
          </cell>
          <cell r="AF865">
            <v>42235</v>
          </cell>
          <cell r="AG865">
            <v>9.17</v>
          </cell>
          <cell r="AH865" t="str">
            <v>PPM</v>
          </cell>
          <cell r="AI865" t="str">
            <v>Strands</v>
          </cell>
          <cell r="AJ865" t="str">
            <v>Strands PW</v>
          </cell>
          <cell r="AK865" t="str">
            <v>SNF received. 1st batch of V3 asset (December 2020)</v>
          </cell>
        </row>
        <row r="866">
          <cell r="A866" t="str">
            <v>IKN400410</v>
          </cell>
          <cell r="B866">
            <v>410</v>
          </cell>
          <cell r="C866" t="str">
            <v>Institut Kanser Negara</v>
          </cell>
          <cell r="D866" t="str">
            <v>KKM/IKN/H/13/2163</v>
          </cell>
          <cell r="E866" t="str">
            <v>18-147</v>
          </cell>
          <cell r="F866" t="str">
            <v>Mattress Systems, Alternating-Pressure</v>
          </cell>
          <cell r="G866" t="str">
            <v>WD</v>
          </cell>
          <cell r="H866" t="str">
            <v>RT/ONCO PAED/ADOLESCENT WARD</v>
          </cell>
          <cell r="I866" t="str">
            <v>06WD153</v>
          </cell>
          <cell r="J866" t="str">
            <v>EQP.ROOM</v>
          </cell>
          <cell r="K866" t="str">
            <v>BMED</v>
          </cell>
          <cell r="L866" t="str">
            <v>Normal</v>
          </cell>
          <cell r="M866" t="str">
            <v>Poland</v>
          </cell>
          <cell r="N866" t="str">
            <v>Nimbus</v>
          </cell>
          <cell r="O866" t="str">
            <v>Nimbus 3</v>
          </cell>
          <cell r="P866" t="str">
            <v>1200006464</v>
          </cell>
          <cell r="Q866" t="str">
            <v>Not Applicable</v>
          </cell>
          <cell r="R866" t="str">
            <v>Arjohuntleigh</v>
          </cell>
          <cell r="S866" t="str">
            <v>Hexamine Sdn. Bhd.</v>
          </cell>
          <cell r="T866" t="str">
            <v>Functioning</v>
          </cell>
          <cell r="U866" t="str">
            <v>Asset</v>
          </cell>
          <cell r="V866">
            <v>28630</v>
          </cell>
          <cell r="W866" t="str">
            <v>KEW</v>
          </cell>
          <cell r="X866" t="str">
            <v>01/09/2010</v>
          </cell>
          <cell r="Y866" t="str">
            <v>KEW</v>
          </cell>
          <cell r="Z866" t="str">
            <v>16/08/2013</v>
          </cell>
          <cell r="AA866" t="str">
            <v>15/08/2015</v>
          </cell>
          <cell r="AB866" t="str">
            <v>No</v>
          </cell>
          <cell r="AC866" t="str">
            <v>31/08/2013</v>
          </cell>
          <cell r="AD866" t="str">
            <v>Good</v>
          </cell>
          <cell r="AE866" t="str">
            <v>V3 - Added Installed Facilities (New)</v>
          </cell>
          <cell r="AF866">
            <v>42235</v>
          </cell>
          <cell r="AG866">
            <v>9.17</v>
          </cell>
          <cell r="AH866" t="str">
            <v>PPM</v>
          </cell>
          <cell r="AI866" t="str">
            <v>Strands</v>
          </cell>
          <cell r="AJ866" t="str">
            <v>Strands PW</v>
          </cell>
          <cell r="AK866" t="str">
            <v>SNF received. 1st batch of V3 asset (December 2020)</v>
          </cell>
        </row>
        <row r="867">
          <cell r="A867" t="str">
            <v>IKN400411</v>
          </cell>
          <cell r="B867">
            <v>411</v>
          </cell>
          <cell r="C867" t="str">
            <v>Institut Kanser Negara</v>
          </cell>
          <cell r="D867" t="str">
            <v>KKM/IKN/H/13/2062</v>
          </cell>
          <cell r="E867" t="str">
            <v>10-208</v>
          </cell>
          <cell r="F867" t="str">
            <v>Aspirators</v>
          </cell>
          <cell r="G867" t="str">
            <v>WD</v>
          </cell>
          <cell r="H867" t="str">
            <v>RT/ONCO PAED/ADOLESCENT WARD</v>
          </cell>
          <cell r="I867" t="str">
            <v>06WD124</v>
          </cell>
          <cell r="J867" t="str">
            <v>TREATMENT / PROCEDURE</v>
          </cell>
          <cell r="K867" t="str">
            <v>BMED</v>
          </cell>
          <cell r="L867" t="str">
            <v>Normal</v>
          </cell>
          <cell r="M867" t="str">
            <v>Switzerland</v>
          </cell>
          <cell r="N867" t="str">
            <v>Senator</v>
          </cell>
          <cell r="O867" t="str">
            <v>Senator</v>
          </cell>
          <cell r="P867" t="str">
            <v>1320190</v>
          </cell>
          <cell r="Q867" t="str">
            <v>Not Applicable</v>
          </cell>
          <cell r="R867" t="str">
            <v>Ardo Medical AG</v>
          </cell>
          <cell r="S867" t="str">
            <v>Histopoint</v>
          </cell>
          <cell r="T867" t="str">
            <v>Functioning</v>
          </cell>
          <cell r="U867" t="str">
            <v>Asset</v>
          </cell>
          <cell r="V867">
            <v>5052</v>
          </cell>
          <cell r="W867" t="str">
            <v>KEW</v>
          </cell>
          <cell r="X867" t="str">
            <v>01/09/2010</v>
          </cell>
          <cell r="Y867" t="str">
            <v>KEW</v>
          </cell>
          <cell r="Z867" t="str">
            <v>16/08/2013</v>
          </cell>
          <cell r="AA867" t="str">
            <v>15/08/2015</v>
          </cell>
          <cell r="AB867" t="str">
            <v>No</v>
          </cell>
          <cell r="AC867" t="str">
            <v>31/08/2013</v>
          </cell>
          <cell r="AD867" t="str">
            <v>Good</v>
          </cell>
          <cell r="AE867" t="str">
            <v>V1 - Existing / No Claim</v>
          </cell>
          <cell r="AF867">
            <v>42235</v>
          </cell>
          <cell r="AG867">
            <v>9.17</v>
          </cell>
          <cell r="AH867" t="str">
            <v>PPM</v>
          </cell>
          <cell r="AI867" t="str">
            <v>Strands</v>
          </cell>
          <cell r="AJ867" t="str">
            <v>Strands PW</v>
          </cell>
        </row>
        <row r="868">
          <cell r="A868" t="str">
            <v>IKN400412</v>
          </cell>
          <cell r="B868">
            <v>412</v>
          </cell>
          <cell r="C868" t="str">
            <v>Institut Kanser Negara</v>
          </cell>
          <cell r="D868" t="str">
            <v>KKM/IKN/H/13/2171</v>
          </cell>
          <cell r="E868" t="str">
            <v>10-208</v>
          </cell>
          <cell r="F868" t="str">
            <v>Aspirators</v>
          </cell>
          <cell r="G868" t="str">
            <v>WD</v>
          </cell>
          <cell r="H868" t="str">
            <v>RT/ONCO PAED/ADOLESCENT WARD</v>
          </cell>
          <cell r="I868" t="str">
            <v>06WD153</v>
          </cell>
          <cell r="J868" t="str">
            <v>EQP.ROOM</v>
          </cell>
          <cell r="K868" t="str">
            <v>BMED</v>
          </cell>
          <cell r="L868" t="str">
            <v>Normal</v>
          </cell>
          <cell r="M868" t="str">
            <v>UK</v>
          </cell>
          <cell r="N868" t="str">
            <v>SAM</v>
          </cell>
          <cell r="O868" t="str">
            <v>SAM 427</v>
          </cell>
          <cell r="P868" t="str">
            <v>0313-0532</v>
          </cell>
          <cell r="Q868" t="str">
            <v>Not Applicable</v>
          </cell>
          <cell r="R868" t="str">
            <v>MG Electric Ltd</v>
          </cell>
          <cell r="S868" t="str">
            <v>Delta Medisains</v>
          </cell>
          <cell r="T868" t="str">
            <v>Functioning</v>
          </cell>
          <cell r="U868" t="str">
            <v>Asset</v>
          </cell>
          <cell r="V868">
            <v>10705</v>
          </cell>
          <cell r="W868" t="str">
            <v>KEW</v>
          </cell>
          <cell r="X868" t="str">
            <v>01/09/2010</v>
          </cell>
          <cell r="Y868" t="str">
            <v>KEW</v>
          </cell>
          <cell r="Z868" t="str">
            <v>16/08/2013</v>
          </cell>
          <cell r="AA868" t="str">
            <v>15/08/2015</v>
          </cell>
          <cell r="AB868" t="str">
            <v>No</v>
          </cell>
          <cell r="AC868" t="str">
            <v>31/08/2013</v>
          </cell>
          <cell r="AD868" t="str">
            <v>Good</v>
          </cell>
          <cell r="AE868" t="str">
            <v>V1 - Existing / No Claim</v>
          </cell>
          <cell r="AF868">
            <v>42235</v>
          </cell>
          <cell r="AG868">
            <v>9.17</v>
          </cell>
          <cell r="AH868" t="str">
            <v>PPM</v>
          </cell>
          <cell r="AI868" t="str">
            <v>Strands</v>
          </cell>
          <cell r="AJ868" t="str">
            <v>Strands PW</v>
          </cell>
        </row>
        <row r="869">
          <cell r="A869" t="str">
            <v>IKN400413</v>
          </cell>
          <cell r="B869">
            <v>413</v>
          </cell>
          <cell r="C869" t="str">
            <v>Institut Kanser Negara</v>
          </cell>
          <cell r="D869" t="str">
            <v>KKM/IKN/H/13/2067</v>
          </cell>
          <cell r="E869" t="str">
            <v>16-173</v>
          </cell>
          <cell r="F869" t="str">
            <v>Sphygmomanometers, Electronic, Automatic</v>
          </cell>
          <cell r="G869" t="str">
            <v>WD</v>
          </cell>
          <cell r="H869" t="str">
            <v>RT/ONCO PAED/ADOLESCENT WARD</v>
          </cell>
          <cell r="I869" t="str">
            <v>06WD124</v>
          </cell>
          <cell r="J869" t="str">
            <v>TREATMENT / PROCEDURE</v>
          </cell>
          <cell r="K869" t="str">
            <v>BMED</v>
          </cell>
          <cell r="L869" t="str">
            <v>Normal</v>
          </cell>
          <cell r="M869" t="str">
            <v>Mexico</v>
          </cell>
          <cell r="N869" t="str">
            <v>Carespace</v>
          </cell>
          <cell r="O869" t="str">
            <v>Carescape V100</v>
          </cell>
          <cell r="P869" t="str">
            <v>SH612430112SA</v>
          </cell>
          <cell r="Q869" t="str">
            <v>Not Applicable</v>
          </cell>
          <cell r="R869" t="str">
            <v>GE Healthcare Systems</v>
          </cell>
          <cell r="S869" t="str">
            <v>GE Healthcare Technologies</v>
          </cell>
          <cell r="T869" t="str">
            <v>Functioning</v>
          </cell>
          <cell r="U869" t="str">
            <v>Asset</v>
          </cell>
          <cell r="V869">
            <v>7770</v>
          </cell>
          <cell r="W869" t="str">
            <v>KEW</v>
          </cell>
          <cell r="X869" t="str">
            <v>01/09/2010</v>
          </cell>
          <cell r="Y869" t="str">
            <v>KEW</v>
          </cell>
          <cell r="Z869" t="str">
            <v>16/08/2013</v>
          </cell>
          <cell r="AA869" t="str">
            <v>15/08/2015</v>
          </cell>
          <cell r="AB869" t="str">
            <v>No</v>
          </cell>
          <cell r="AC869" t="str">
            <v>31/08/2013</v>
          </cell>
          <cell r="AD869" t="str">
            <v>Good</v>
          </cell>
          <cell r="AE869" t="str">
            <v>V3 - Added Installed Facilities (New)</v>
          </cell>
          <cell r="AF869">
            <v>42235</v>
          </cell>
          <cell r="AG869">
            <v>9.17</v>
          </cell>
          <cell r="AH869" t="str">
            <v>PPM</v>
          </cell>
          <cell r="AI869" t="str">
            <v>Strands</v>
          </cell>
          <cell r="AJ869" t="str">
            <v>Strands PW</v>
          </cell>
          <cell r="AK869" t="str">
            <v>SNF received. 1st batch of V3 asset (December 2020)</v>
          </cell>
        </row>
        <row r="870">
          <cell r="A870" t="str">
            <v>IKN400414</v>
          </cell>
          <cell r="B870">
            <v>414</v>
          </cell>
          <cell r="C870" t="str">
            <v>Institut Kanser Negara</v>
          </cell>
          <cell r="D870" t="str">
            <v>KKM/IKN/H/13/2065</v>
          </cell>
          <cell r="E870" t="str">
            <v>16-231</v>
          </cell>
          <cell r="F870" t="str">
            <v>Electrocardiographs, Multichannel, Interpretative</v>
          </cell>
          <cell r="G870" t="str">
            <v>WD</v>
          </cell>
          <cell r="H870" t="str">
            <v>RT/ONCO PAED/ADOLESCENT WARD</v>
          </cell>
          <cell r="I870" t="str">
            <v>06WD124</v>
          </cell>
          <cell r="J870" t="str">
            <v>TREATMENT / PROCEDURE</v>
          </cell>
          <cell r="K870" t="str">
            <v>BMED</v>
          </cell>
          <cell r="L870" t="str">
            <v>Critical</v>
          </cell>
          <cell r="M870" t="str">
            <v>China</v>
          </cell>
          <cell r="N870" t="str">
            <v>Mac</v>
          </cell>
          <cell r="O870" t="str">
            <v>MAC 800</v>
          </cell>
          <cell r="P870" t="str">
            <v>SJ412450371 WA</v>
          </cell>
          <cell r="Q870" t="str">
            <v>Not Applicable</v>
          </cell>
          <cell r="R870" t="str">
            <v>GE Healthcare Systems</v>
          </cell>
          <cell r="S870" t="str">
            <v>GE Healthcare Technologies</v>
          </cell>
          <cell r="T870" t="str">
            <v>Functioning</v>
          </cell>
          <cell r="U870" t="str">
            <v>Asset</v>
          </cell>
          <cell r="V870">
            <v>25260</v>
          </cell>
          <cell r="W870" t="str">
            <v>KEW</v>
          </cell>
          <cell r="X870" t="str">
            <v>01/09/2010</v>
          </cell>
          <cell r="Y870" t="str">
            <v>KEW</v>
          </cell>
          <cell r="Z870" t="str">
            <v>16/08/2013</v>
          </cell>
          <cell r="AA870" t="str">
            <v>15/08/2015</v>
          </cell>
          <cell r="AB870" t="str">
            <v>No</v>
          </cell>
          <cell r="AC870" t="str">
            <v>31/08/2013</v>
          </cell>
          <cell r="AD870" t="str">
            <v>Good</v>
          </cell>
          <cell r="AE870" t="str">
            <v>V1 - Existing / No Claim</v>
          </cell>
          <cell r="AF870">
            <v>43437</v>
          </cell>
          <cell r="AG870">
            <v>9.17</v>
          </cell>
          <cell r="AH870" t="str">
            <v>PPM</v>
          </cell>
          <cell r="AI870" t="str">
            <v>Strands</v>
          </cell>
          <cell r="AJ870" t="str">
            <v>Strands PW</v>
          </cell>
        </row>
        <row r="871">
          <cell r="A871" t="str">
            <v>IKN400415</v>
          </cell>
          <cell r="B871">
            <v>415</v>
          </cell>
          <cell r="C871" t="str">
            <v>Institut Kanser Negara</v>
          </cell>
          <cell r="D871" t="str">
            <v>KKM/IKN/H/13/2063</v>
          </cell>
          <cell r="E871" t="str">
            <v>25-209</v>
          </cell>
          <cell r="F871" t="str">
            <v>Monitors, Physiologic, Vital Signs</v>
          </cell>
          <cell r="G871" t="str">
            <v>WD</v>
          </cell>
          <cell r="H871" t="str">
            <v>RT/ONCO PAED/ADOLESCENT WARD</v>
          </cell>
          <cell r="I871" t="str">
            <v>06WD124</v>
          </cell>
          <cell r="J871" t="str">
            <v>TREATMENT / PROCEDURE</v>
          </cell>
          <cell r="K871" t="str">
            <v>BMED</v>
          </cell>
          <cell r="L871" t="str">
            <v>Normal</v>
          </cell>
          <cell r="M871" t="str">
            <v>Mexico</v>
          </cell>
          <cell r="N871" t="str">
            <v>Carespace</v>
          </cell>
          <cell r="O871" t="str">
            <v>Carescape V100</v>
          </cell>
          <cell r="P871" t="str">
            <v>SH612240066SA</v>
          </cell>
          <cell r="Q871" t="str">
            <v>Not Applicable</v>
          </cell>
          <cell r="R871" t="str">
            <v>GE Healthcare Systems</v>
          </cell>
          <cell r="S871" t="str">
            <v>GE Healthcare Technologies</v>
          </cell>
          <cell r="T871" t="str">
            <v>Functioning</v>
          </cell>
          <cell r="U871" t="str">
            <v>Asset</v>
          </cell>
          <cell r="V871">
            <v>18765</v>
          </cell>
          <cell r="W871" t="str">
            <v>KEW</v>
          </cell>
          <cell r="X871" t="str">
            <v>01/09/2010</v>
          </cell>
          <cell r="Y871" t="str">
            <v>KEW</v>
          </cell>
          <cell r="Z871" t="str">
            <v>16/08/2013</v>
          </cell>
          <cell r="AA871" t="str">
            <v>15/08/2015</v>
          </cell>
          <cell r="AB871" t="str">
            <v>No</v>
          </cell>
          <cell r="AC871" t="str">
            <v>31/08/2013</v>
          </cell>
          <cell r="AD871" t="str">
            <v>Good</v>
          </cell>
          <cell r="AE871" t="str">
            <v>V1 - Existing / No Claim</v>
          </cell>
          <cell r="AF871">
            <v>42235</v>
          </cell>
          <cell r="AG871">
            <v>9.17</v>
          </cell>
          <cell r="AH871" t="str">
            <v>PPM</v>
          </cell>
          <cell r="AI871" t="str">
            <v>Strands</v>
          </cell>
          <cell r="AJ871" t="str">
            <v>Strands PW</v>
          </cell>
        </row>
        <row r="872">
          <cell r="A872" t="str">
            <v>IKN400416</v>
          </cell>
          <cell r="B872">
            <v>416</v>
          </cell>
          <cell r="C872" t="str">
            <v>Institut Kanser Negara</v>
          </cell>
          <cell r="D872" t="str">
            <v>KKM/IKN/H/13/1471</v>
          </cell>
          <cell r="E872" t="str">
            <v>13-215</v>
          </cell>
          <cell r="F872" t="str">
            <v>Infusion Pumps, General-Purpose</v>
          </cell>
          <cell r="G872" t="str">
            <v>WD</v>
          </cell>
          <cell r="H872" t="str">
            <v>RT/ONCO PAED/ADOLESCENT WARD</v>
          </cell>
          <cell r="I872" t="str">
            <v>06WD153</v>
          </cell>
          <cell r="J872" t="str">
            <v>EQP.ROOM</v>
          </cell>
          <cell r="K872" t="str">
            <v>BMED</v>
          </cell>
          <cell r="L872" t="str">
            <v>Normal</v>
          </cell>
          <cell r="M872" t="str">
            <v>Germany</v>
          </cell>
          <cell r="N872" t="str">
            <v>Infusomat</v>
          </cell>
          <cell r="O872" t="str">
            <v>Infusomat Space</v>
          </cell>
          <cell r="P872" t="str">
            <v>246585</v>
          </cell>
          <cell r="Q872" t="str">
            <v>Not Applicable</v>
          </cell>
          <cell r="R872" t="str">
            <v>B Braun Melsungen AG</v>
          </cell>
          <cell r="S872" t="str">
            <v>B Braun Medical Supplies Sdn. Bhd.</v>
          </cell>
          <cell r="T872" t="str">
            <v>Functioning</v>
          </cell>
          <cell r="U872" t="str">
            <v>Asset</v>
          </cell>
          <cell r="V872">
            <v>10825</v>
          </cell>
          <cell r="W872" t="str">
            <v>KEW</v>
          </cell>
          <cell r="X872" t="str">
            <v>01/09/2010</v>
          </cell>
          <cell r="Y872" t="str">
            <v>KEW</v>
          </cell>
          <cell r="Z872" t="str">
            <v>16/08/2013</v>
          </cell>
          <cell r="AA872" t="str">
            <v>15/08/2015</v>
          </cell>
          <cell r="AB872" t="str">
            <v>No</v>
          </cell>
          <cell r="AC872" t="str">
            <v>31/08/2013</v>
          </cell>
          <cell r="AD872" t="str">
            <v>Good</v>
          </cell>
          <cell r="AE872" t="str">
            <v>V1 - Existing / No Claim</v>
          </cell>
          <cell r="AF872">
            <v>42235</v>
          </cell>
          <cell r="AG872">
            <v>9.17</v>
          </cell>
          <cell r="AH872" t="str">
            <v>PPM</v>
          </cell>
          <cell r="AI872" t="str">
            <v>Strands</v>
          </cell>
          <cell r="AJ872" t="str">
            <v>Strands PW</v>
          </cell>
        </row>
        <row r="873">
          <cell r="A873" t="str">
            <v>IKN400417</v>
          </cell>
          <cell r="B873">
            <v>417</v>
          </cell>
          <cell r="C873" t="str">
            <v>Institut Kanser Negara</v>
          </cell>
          <cell r="D873" t="str">
            <v>KKM/IKN/H/13/1475</v>
          </cell>
          <cell r="E873" t="str">
            <v>13-215</v>
          </cell>
          <cell r="F873" t="str">
            <v>Infusion Pumps, General-Purpose</v>
          </cell>
          <cell r="G873" t="str">
            <v>WD</v>
          </cell>
          <cell r="H873" t="str">
            <v>RT/ONCO PAED/ADOLESCENT WARD</v>
          </cell>
          <cell r="I873" t="str">
            <v>06WD153</v>
          </cell>
          <cell r="J873" t="str">
            <v>EQP.ROOM</v>
          </cell>
          <cell r="K873" t="str">
            <v>BMED</v>
          </cell>
          <cell r="L873" t="str">
            <v>Normal</v>
          </cell>
          <cell r="M873" t="str">
            <v>Germany</v>
          </cell>
          <cell r="N873" t="str">
            <v>Infusomat</v>
          </cell>
          <cell r="O873" t="str">
            <v>Infusomat Space</v>
          </cell>
          <cell r="P873" t="str">
            <v>246542</v>
          </cell>
          <cell r="Q873" t="str">
            <v>Not Applicable</v>
          </cell>
          <cell r="R873" t="str">
            <v>B Braun Melsungen AG</v>
          </cell>
          <cell r="S873" t="str">
            <v>B Braun Medical Supplies Sdn. Bhd.</v>
          </cell>
          <cell r="T873" t="str">
            <v>Functioning</v>
          </cell>
          <cell r="U873" t="str">
            <v>Asset</v>
          </cell>
          <cell r="V873">
            <v>10825</v>
          </cell>
          <cell r="W873" t="str">
            <v>KEW</v>
          </cell>
          <cell r="X873" t="str">
            <v>01/09/2010</v>
          </cell>
          <cell r="Y873" t="str">
            <v>KEW</v>
          </cell>
          <cell r="Z873" t="str">
            <v>16/08/2013</v>
          </cell>
          <cell r="AA873" t="str">
            <v>15/08/2015</v>
          </cell>
          <cell r="AB873" t="str">
            <v>No</v>
          </cell>
          <cell r="AC873" t="str">
            <v>31/08/2013</v>
          </cell>
          <cell r="AD873" t="str">
            <v>Good</v>
          </cell>
          <cell r="AE873" t="str">
            <v>V1 - Existing / No Claim</v>
          </cell>
          <cell r="AF873">
            <v>42235</v>
          </cell>
          <cell r="AG873">
            <v>9.17</v>
          </cell>
          <cell r="AH873" t="str">
            <v>PPM</v>
          </cell>
          <cell r="AI873" t="str">
            <v>Strands</v>
          </cell>
          <cell r="AJ873" t="str">
            <v>Strands PW</v>
          </cell>
        </row>
        <row r="874">
          <cell r="A874" t="str">
            <v>IKN400418</v>
          </cell>
          <cell r="B874">
            <v>418</v>
          </cell>
          <cell r="C874" t="str">
            <v>Institut Kanser Negara</v>
          </cell>
          <cell r="D874" t="str">
            <v>KKM/IKN/H/13/1474</v>
          </cell>
          <cell r="E874" t="str">
            <v>13-215</v>
          </cell>
          <cell r="F874" t="str">
            <v>Infusion Pumps, General-Purpose</v>
          </cell>
          <cell r="G874" t="str">
            <v>WD</v>
          </cell>
          <cell r="H874" t="str">
            <v>RT/ONCO PAED/ADOLESCENT WARD</v>
          </cell>
          <cell r="I874" t="str">
            <v>06WD153</v>
          </cell>
          <cell r="J874" t="str">
            <v>EQP.ROOM</v>
          </cell>
          <cell r="K874" t="str">
            <v>BMED</v>
          </cell>
          <cell r="L874" t="str">
            <v>Normal</v>
          </cell>
          <cell r="M874" t="str">
            <v>Germany</v>
          </cell>
          <cell r="N874" t="str">
            <v>Infusomat</v>
          </cell>
          <cell r="O874" t="str">
            <v>Infusomat Space</v>
          </cell>
          <cell r="P874" t="str">
            <v>246582</v>
          </cell>
          <cell r="Q874" t="str">
            <v>Not Applicable</v>
          </cell>
          <cell r="R874" t="str">
            <v>B Braun Melsungen AG</v>
          </cell>
          <cell r="S874" t="str">
            <v>B Braun Medical Supplies Sdn. Bhd.</v>
          </cell>
          <cell r="T874" t="str">
            <v>Functioning</v>
          </cell>
          <cell r="U874" t="str">
            <v>Asset</v>
          </cell>
          <cell r="V874">
            <v>10825</v>
          </cell>
          <cell r="W874" t="str">
            <v>KEW</v>
          </cell>
          <cell r="X874" t="str">
            <v>01/09/2010</v>
          </cell>
          <cell r="Y874" t="str">
            <v>KEW</v>
          </cell>
          <cell r="Z874" t="str">
            <v>16/08/2013</v>
          </cell>
          <cell r="AA874" t="str">
            <v>15/08/2015</v>
          </cell>
          <cell r="AB874" t="str">
            <v>No</v>
          </cell>
          <cell r="AC874" t="str">
            <v>31/08/2013</v>
          </cell>
          <cell r="AD874" t="str">
            <v>Good</v>
          </cell>
          <cell r="AE874" t="str">
            <v>V1 - Existing / No Claim</v>
          </cell>
          <cell r="AF874">
            <v>42235</v>
          </cell>
          <cell r="AG874">
            <v>9.17</v>
          </cell>
          <cell r="AH874" t="str">
            <v>PPM</v>
          </cell>
          <cell r="AI874" t="str">
            <v>Strands</v>
          </cell>
          <cell r="AJ874" t="str">
            <v>Strands PW</v>
          </cell>
        </row>
        <row r="875">
          <cell r="A875" t="str">
            <v>IKN400419</v>
          </cell>
          <cell r="B875">
            <v>419</v>
          </cell>
          <cell r="C875" t="str">
            <v>Institut Kanser Negara</v>
          </cell>
          <cell r="D875" t="str">
            <v>KKM/IKN/H/13/1479</v>
          </cell>
          <cell r="E875" t="str">
            <v>13-215</v>
          </cell>
          <cell r="F875" t="str">
            <v>Infusion Pumps, General-Purpose</v>
          </cell>
          <cell r="G875" t="str">
            <v>WD</v>
          </cell>
          <cell r="H875" t="str">
            <v>RT/ONCO PAED/ADOLESCENT WARD</v>
          </cell>
          <cell r="I875" t="str">
            <v>06WD153</v>
          </cell>
          <cell r="J875" t="str">
            <v>EQP.ROOM</v>
          </cell>
          <cell r="K875" t="str">
            <v>BMED</v>
          </cell>
          <cell r="L875" t="str">
            <v>Normal</v>
          </cell>
          <cell r="M875" t="str">
            <v>Germany</v>
          </cell>
          <cell r="N875" t="str">
            <v>Infusomat</v>
          </cell>
          <cell r="O875" t="str">
            <v>Infusomat Space</v>
          </cell>
          <cell r="P875" t="str">
            <v>246584</v>
          </cell>
          <cell r="Q875" t="str">
            <v>Not Applicable</v>
          </cell>
          <cell r="R875" t="str">
            <v>B Braun Melsungen AG</v>
          </cell>
          <cell r="S875" t="str">
            <v>B Braun Medical Supplies Sdn. Bhd.</v>
          </cell>
          <cell r="T875" t="str">
            <v>Functioning</v>
          </cell>
          <cell r="U875" t="str">
            <v>Asset</v>
          </cell>
          <cell r="V875">
            <v>10825</v>
          </cell>
          <cell r="W875" t="str">
            <v>KEW</v>
          </cell>
          <cell r="X875" t="str">
            <v>01/09/2010</v>
          </cell>
          <cell r="Y875" t="str">
            <v>KEW</v>
          </cell>
          <cell r="Z875" t="str">
            <v>16/08/2013</v>
          </cell>
          <cell r="AA875" t="str">
            <v>15/08/2015</v>
          </cell>
          <cell r="AB875" t="str">
            <v>No</v>
          </cell>
          <cell r="AC875" t="str">
            <v>31/08/2013</v>
          </cell>
          <cell r="AD875" t="str">
            <v>Good</v>
          </cell>
          <cell r="AE875" t="str">
            <v>V1 - Existing / No Claim</v>
          </cell>
          <cell r="AF875">
            <v>42235</v>
          </cell>
          <cell r="AG875">
            <v>9.17</v>
          </cell>
          <cell r="AH875" t="str">
            <v>PPM</v>
          </cell>
          <cell r="AI875" t="str">
            <v>Strands</v>
          </cell>
          <cell r="AJ875" t="str">
            <v>Strands PW</v>
          </cell>
        </row>
        <row r="876">
          <cell r="A876" t="str">
            <v>IKN400420</v>
          </cell>
          <cell r="B876">
            <v>420</v>
          </cell>
          <cell r="C876" t="str">
            <v>Institut Kanser Negara</v>
          </cell>
          <cell r="D876" t="str">
            <v>KKM/IKN/H/13/1476</v>
          </cell>
          <cell r="E876" t="str">
            <v>13-215</v>
          </cell>
          <cell r="F876" t="str">
            <v>Infusion Pumps, General-Purpose</v>
          </cell>
          <cell r="G876" t="str">
            <v>WD</v>
          </cell>
          <cell r="H876" t="str">
            <v>RT/ONCO PAED/ADOLESCENT WARD</v>
          </cell>
          <cell r="I876" t="str">
            <v>06WD153</v>
          </cell>
          <cell r="J876" t="str">
            <v>EQP.ROOM</v>
          </cell>
          <cell r="K876" t="str">
            <v>BMED</v>
          </cell>
          <cell r="L876" t="str">
            <v>Normal</v>
          </cell>
          <cell r="M876" t="str">
            <v>Germany</v>
          </cell>
          <cell r="N876" t="str">
            <v>Infusomat</v>
          </cell>
          <cell r="O876" t="str">
            <v>Infusomat Space</v>
          </cell>
          <cell r="P876" t="str">
            <v>246583</v>
          </cell>
          <cell r="Q876" t="str">
            <v>Not Applicable</v>
          </cell>
          <cell r="R876" t="str">
            <v>B Braun Melsungen AG</v>
          </cell>
          <cell r="S876" t="str">
            <v>B Braun Medical Supplies Sdn. Bhd.</v>
          </cell>
          <cell r="T876" t="str">
            <v>Functioning</v>
          </cell>
          <cell r="U876" t="str">
            <v>Asset</v>
          </cell>
          <cell r="V876">
            <v>10825</v>
          </cell>
          <cell r="W876" t="str">
            <v>KEW</v>
          </cell>
          <cell r="X876" t="str">
            <v>01/09/2010</v>
          </cell>
          <cell r="Y876" t="str">
            <v>KEW</v>
          </cell>
          <cell r="Z876" t="str">
            <v>16/08/2013</v>
          </cell>
          <cell r="AA876" t="str">
            <v>15/08/2015</v>
          </cell>
          <cell r="AB876" t="str">
            <v>No</v>
          </cell>
          <cell r="AC876" t="str">
            <v>31/08/2013</v>
          </cell>
          <cell r="AD876" t="str">
            <v>Good</v>
          </cell>
          <cell r="AE876" t="str">
            <v>V1 - Existing / No Claim</v>
          </cell>
          <cell r="AF876">
            <v>42235</v>
          </cell>
          <cell r="AG876">
            <v>9.17</v>
          </cell>
          <cell r="AH876" t="str">
            <v>PPM</v>
          </cell>
          <cell r="AI876" t="str">
            <v>Strands</v>
          </cell>
          <cell r="AJ876" t="str">
            <v>Strands PW</v>
          </cell>
        </row>
        <row r="877">
          <cell r="A877" t="str">
            <v>IKN400421</v>
          </cell>
          <cell r="B877">
            <v>421</v>
          </cell>
          <cell r="C877" t="str">
            <v>Institut Kanser Negara</v>
          </cell>
          <cell r="D877" t="str">
            <v>KKM/IKN/H/13/1473</v>
          </cell>
          <cell r="E877" t="str">
            <v>13-215</v>
          </cell>
          <cell r="F877" t="str">
            <v>Infusion Pumps, General-Purpose</v>
          </cell>
          <cell r="G877" t="str">
            <v>WD</v>
          </cell>
          <cell r="H877" t="str">
            <v>RT/ONCO PAED/ADOLESCENT WARD</v>
          </cell>
          <cell r="I877" t="str">
            <v>06WD153</v>
          </cell>
          <cell r="J877" t="str">
            <v>EQP.ROOM</v>
          </cell>
          <cell r="K877" t="str">
            <v>BMED</v>
          </cell>
          <cell r="L877" t="str">
            <v>Normal</v>
          </cell>
          <cell r="M877" t="str">
            <v>Germany</v>
          </cell>
          <cell r="N877" t="str">
            <v>Infusomat</v>
          </cell>
          <cell r="O877" t="str">
            <v>Infusomat Space</v>
          </cell>
          <cell r="P877" t="str">
            <v>246558</v>
          </cell>
          <cell r="Q877" t="str">
            <v>Not Applicable</v>
          </cell>
          <cell r="R877" t="str">
            <v>B Braun Melsungen AG</v>
          </cell>
          <cell r="S877" t="str">
            <v>B Braun Medical Supplies Sdn. Bhd.</v>
          </cell>
          <cell r="T877" t="str">
            <v>Functioning</v>
          </cell>
          <cell r="U877" t="str">
            <v>Asset</v>
          </cell>
          <cell r="V877">
            <v>10825</v>
          </cell>
          <cell r="W877" t="str">
            <v>KEW</v>
          </cell>
          <cell r="X877" t="str">
            <v>01/09/2010</v>
          </cell>
          <cell r="Y877" t="str">
            <v>KEW</v>
          </cell>
          <cell r="Z877" t="str">
            <v>16/08/2013</v>
          </cell>
          <cell r="AA877" t="str">
            <v>15/08/2015</v>
          </cell>
          <cell r="AB877" t="str">
            <v>No</v>
          </cell>
          <cell r="AC877" t="str">
            <v>31/08/2013</v>
          </cell>
          <cell r="AD877" t="str">
            <v>Good</v>
          </cell>
          <cell r="AE877" t="str">
            <v>V1 - Existing / No Claim</v>
          </cell>
          <cell r="AF877">
            <v>42235</v>
          </cell>
          <cell r="AG877">
            <v>9.17</v>
          </cell>
          <cell r="AH877" t="str">
            <v>PPM</v>
          </cell>
          <cell r="AI877" t="str">
            <v>Strands</v>
          </cell>
          <cell r="AJ877" t="str">
            <v>Strands PW</v>
          </cell>
        </row>
        <row r="878">
          <cell r="A878" t="str">
            <v>IKN400422</v>
          </cell>
          <cell r="B878">
            <v>422</v>
          </cell>
          <cell r="C878" t="str">
            <v>Institut Kanser Negara</v>
          </cell>
          <cell r="D878" t="str">
            <v>KKM/IKN/H/13/1472</v>
          </cell>
          <cell r="E878" t="str">
            <v>13-215</v>
          </cell>
          <cell r="F878" t="str">
            <v>Infusion Pumps, General-Purpose</v>
          </cell>
          <cell r="G878" t="str">
            <v>WD</v>
          </cell>
          <cell r="H878" t="str">
            <v>RT/ONCO PAED/ADOLESCENT WARD</v>
          </cell>
          <cell r="I878" t="str">
            <v>06WD153</v>
          </cell>
          <cell r="J878" t="str">
            <v>EQP.ROOM</v>
          </cell>
          <cell r="K878" t="str">
            <v>BMED</v>
          </cell>
          <cell r="L878" t="str">
            <v>Normal</v>
          </cell>
          <cell r="M878" t="str">
            <v>Germany</v>
          </cell>
          <cell r="N878" t="str">
            <v>Infusomat</v>
          </cell>
          <cell r="O878" t="str">
            <v>Infusomat Space</v>
          </cell>
          <cell r="P878" t="str">
            <v>246565</v>
          </cell>
          <cell r="Q878" t="str">
            <v>Not Applicable</v>
          </cell>
          <cell r="R878" t="str">
            <v>B Braun Melsungen AG</v>
          </cell>
          <cell r="S878" t="str">
            <v>B Braun Medical Supplies Sdn. Bhd.</v>
          </cell>
          <cell r="T878" t="str">
            <v>Functioning</v>
          </cell>
          <cell r="U878" t="str">
            <v>Asset</v>
          </cell>
          <cell r="V878">
            <v>10825</v>
          </cell>
          <cell r="W878" t="str">
            <v>KEW</v>
          </cell>
          <cell r="X878" t="str">
            <v>01/09/2010</v>
          </cell>
          <cell r="Y878" t="str">
            <v>KEW</v>
          </cell>
          <cell r="Z878" t="str">
            <v>16/08/2013</v>
          </cell>
          <cell r="AA878" t="str">
            <v>15/08/2015</v>
          </cell>
          <cell r="AB878" t="str">
            <v>No</v>
          </cell>
          <cell r="AC878" t="str">
            <v>31/08/2013</v>
          </cell>
          <cell r="AD878" t="str">
            <v>Good</v>
          </cell>
          <cell r="AE878" t="str">
            <v>V1 - Existing / No Claim</v>
          </cell>
          <cell r="AF878">
            <v>42235</v>
          </cell>
          <cell r="AG878">
            <v>9.17</v>
          </cell>
          <cell r="AH878" t="str">
            <v>PPM</v>
          </cell>
          <cell r="AI878" t="str">
            <v>Strands</v>
          </cell>
          <cell r="AJ878" t="str">
            <v>Strands PW</v>
          </cell>
        </row>
        <row r="879">
          <cell r="A879" t="str">
            <v>IKN400423</v>
          </cell>
          <cell r="B879">
            <v>423</v>
          </cell>
          <cell r="C879" t="str">
            <v>Institut Kanser Negara</v>
          </cell>
          <cell r="D879" t="str">
            <v>KKM/IKN/H/13/1478</v>
          </cell>
          <cell r="E879" t="str">
            <v>13-215</v>
          </cell>
          <cell r="F879" t="str">
            <v>Infusion Pumps, General-Purpose</v>
          </cell>
          <cell r="G879" t="str">
            <v>WD</v>
          </cell>
          <cell r="H879" t="str">
            <v>RT/ONCO PAED/ADOLESCENT WARD</v>
          </cell>
          <cell r="I879" t="str">
            <v>06WD153</v>
          </cell>
          <cell r="J879" t="str">
            <v>EQP.ROOM</v>
          </cell>
          <cell r="K879" t="str">
            <v>BMED</v>
          </cell>
          <cell r="L879" t="str">
            <v>Normal</v>
          </cell>
          <cell r="M879" t="str">
            <v>Germany</v>
          </cell>
          <cell r="N879" t="str">
            <v>Infusomat</v>
          </cell>
          <cell r="O879" t="str">
            <v>Infusomat Space</v>
          </cell>
          <cell r="P879" t="str">
            <v>246603</v>
          </cell>
          <cell r="Q879" t="str">
            <v>Not Applicable</v>
          </cell>
          <cell r="R879" t="str">
            <v>B Braun Melsungen AG</v>
          </cell>
          <cell r="S879" t="str">
            <v>B Braun Medical Supplies Sdn. Bhd.</v>
          </cell>
          <cell r="T879" t="str">
            <v>Functioning</v>
          </cell>
          <cell r="U879" t="str">
            <v>Asset</v>
          </cell>
          <cell r="V879">
            <v>10825</v>
          </cell>
          <cell r="W879" t="str">
            <v>KEW</v>
          </cell>
          <cell r="X879" t="str">
            <v>01/09/2010</v>
          </cell>
          <cell r="Y879" t="str">
            <v>KEW</v>
          </cell>
          <cell r="Z879" t="str">
            <v>16/08/2013</v>
          </cell>
          <cell r="AA879" t="str">
            <v>15/08/2015</v>
          </cell>
          <cell r="AB879" t="str">
            <v>No</v>
          </cell>
          <cell r="AC879" t="str">
            <v>31/08/2013</v>
          </cell>
          <cell r="AD879" t="str">
            <v>Good</v>
          </cell>
          <cell r="AE879" t="str">
            <v>V1 - Existing / No Claim</v>
          </cell>
          <cell r="AF879">
            <v>42235</v>
          </cell>
          <cell r="AG879">
            <v>9.17</v>
          </cell>
          <cell r="AH879" t="str">
            <v>PPM</v>
          </cell>
          <cell r="AI879" t="str">
            <v>Strands</v>
          </cell>
          <cell r="AJ879" t="str">
            <v>Strands PW</v>
          </cell>
        </row>
        <row r="880">
          <cell r="A880" t="str">
            <v>IKN400424</v>
          </cell>
          <cell r="B880">
            <v>424</v>
          </cell>
          <cell r="C880" t="str">
            <v>Institut Kanser Negara</v>
          </cell>
          <cell r="D880" t="str">
            <v>KKM/IKN/H/13/1477</v>
          </cell>
          <cell r="E880" t="str">
            <v>13-215</v>
          </cell>
          <cell r="F880" t="str">
            <v>Infusion Pumps, General-Purpose</v>
          </cell>
          <cell r="G880" t="str">
            <v>WD</v>
          </cell>
          <cell r="H880" t="str">
            <v>RT/ONCO PAED/ADOLESCENT WARD</v>
          </cell>
          <cell r="I880" t="str">
            <v>06WD153</v>
          </cell>
          <cell r="J880" t="str">
            <v>EQP.ROOM</v>
          </cell>
          <cell r="K880" t="str">
            <v>BMED</v>
          </cell>
          <cell r="L880" t="str">
            <v>Normal</v>
          </cell>
          <cell r="M880" t="str">
            <v>Germany</v>
          </cell>
          <cell r="N880" t="str">
            <v>Infusomat</v>
          </cell>
          <cell r="O880" t="str">
            <v>Infusomat Space</v>
          </cell>
          <cell r="P880" t="str">
            <v>246520</v>
          </cell>
          <cell r="Q880" t="str">
            <v>Not Applicable</v>
          </cell>
          <cell r="R880" t="str">
            <v>B Braun Melsungen AG</v>
          </cell>
          <cell r="S880" t="str">
            <v>B Braun Medical Supplies Sdn. Bhd.</v>
          </cell>
          <cell r="T880" t="str">
            <v>Functioning</v>
          </cell>
          <cell r="U880" t="str">
            <v>Asset</v>
          </cell>
          <cell r="V880">
            <v>10825</v>
          </cell>
          <cell r="W880" t="str">
            <v>KEW</v>
          </cell>
          <cell r="X880" t="str">
            <v>01/09/2010</v>
          </cell>
          <cell r="Y880" t="str">
            <v>KEW</v>
          </cell>
          <cell r="Z880" t="str">
            <v>16/08/2013</v>
          </cell>
          <cell r="AA880" t="str">
            <v>15/08/2015</v>
          </cell>
          <cell r="AB880" t="str">
            <v>No</v>
          </cell>
          <cell r="AC880" t="str">
            <v>31/08/2013</v>
          </cell>
          <cell r="AD880" t="str">
            <v>Good</v>
          </cell>
          <cell r="AE880" t="str">
            <v>V1 - Existing / No Claim</v>
          </cell>
          <cell r="AF880">
            <v>42235</v>
          </cell>
          <cell r="AG880">
            <v>9.17</v>
          </cell>
          <cell r="AH880" t="str">
            <v>PPM</v>
          </cell>
          <cell r="AI880" t="str">
            <v>Strands</v>
          </cell>
          <cell r="AJ880" t="str">
            <v>Strands PW</v>
          </cell>
        </row>
        <row r="881">
          <cell r="A881" t="str">
            <v>IKN400425</v>
          </cell>
          <cell r="B881">
            <v>425</v>
          </cell>
          <cell r="C881" t="str">
            <v>Institut Kanser Negara</v>
          </cell>
          <cell r="D881" t="str">
            <v>KKM/IKN/H/13/1481</v>
          </cell>
          <cell r="E881" t="str">
            <v>13-217</v>
          </cell>
          <cell r="F881" t="str">
            <v>Infusion Pumps, Syringe</v>
          </cell>
          <cell r="G881" t="str">
            <v>WD</v>
          </cell>
          <cell r="H881" t="str">
            <v>RT/ONCO PAED/ADOLESCENT WARD</v>
          </cell>
          <cell r="I881" t="str">
            <v>06WD153</v>
          </cell>
          <cell r="J881" t="str">
            <v>EQP.ROOM</v>
          </cell>
          <cell r="K881" t="str">
            <v>BMED</v>
          </cell>
          <cell r="L881" t="str">
            <v>Normal</v>
          </cell>
          <cell r="M881" t="str">
            <v>Germany</v>
          </cell>
          <cell r="N881" t="str">
            <v>Perfusor</v>
          </cell>
          <cell r="O881" t="str">
            <v>Perfusor Space</v>
          </cell>
          <cell r="P881" t="str">
            <v>211428</v>
          </cell>
          <cell r="Q881" t="str">
            <v>Not Applicable</v>
          </cell>
          <cell r="R881" t="str">
            <v>B Braun Melsungen AG</v>
          </cell>
          <cell r="S881" t="str">
            <v>B Braun Medical Supplies Sdn. Bhd.</v>
          </cell>
          <cell r="T881" t="str">
            <v>Functioning</v>
          </cell>
          <cell r="U881" t="str">
            <v>Asset</v>
          </cell>
          <cell r="V881">
            <v>10225</v>
          </cell>
          <cell r="W881" t="str">
            <v>KEW</v>
          </cell>
          <cell r="X881" t="str">
            <v>01/09/2010</v>
          </cell>
          <cell r="Y881" t="str">
            <v>KEW</v>
          </cell>
          <cell r="Z881" t="str">
            <v>16/08/2013</v>
          </cell>
          <cell r="AA881" t="str">
            <v>15/08/2015</v>
          </cell>
          <cell r="AB881" t="str">
            <v>No</v>
          </cell>
          <cell r="AC881" t="str">
            <v>31/08/2013</v>
          </cell>
          <cell r="AD881" t="str">
            <v>Good</v>
          </cell>
          <cell r="AE881" t="str">
            <v>V1 - Existing / No Claim</v>
          </cell>
          <cell r="AF881">
            <v>42235</v>
          </cell>
          <cell r="AG881">
            <v>9.17</v>
          </cell>
          <cell r="AH881" t="str">
            <v>PPM</v>
          </cell>
          <cell r="AI881" t="str">
            <v>Strands</v>
          </cell>
          <cell r="AJ881" t="str">
            <v>Strands PW</v>
          </cell>
        </row>
        <row r="882">
          <cell r="A882" t="str">
            <v>IKN400426</v>
          </cell>
          <cell r="B882">
            <v>426</v>
          </cell>
          <cell r="C882" t="str">
            <v>Institut Kanser Negara</v>
          </cell>
          <cell r="D882" t="str">
            <v>KKM/IKN/H/13/1482</v>
          </cell>
          <cell r="E882" t="str">
            <v>13-217</v>
          </cell>
          <cell r="F882" t="str">
            <v>Infusion Pumps, Syringe</v>
          </cell>
          <cell r="G882" t="str">
            <v>WD</v>
          </cell>
          <cell r="H882" t="str">
            <v>RT/ONCO PAED/ADOLESCENT WARD</v>
          </cell>
          <cell r="I882" t="str">
            <v>06WD153</v>
          </cell>
          <cell r="J882" t="str">
            <v>EQP.ROOM</v>
          </cell>
          <cell r="K882" t="str">
            <v>BMED</v>
          </cell>
          <cell r="L882" t="str">
            <v>Normal</v>
          </cell>
          <cell r="M882" t="str">
            <v>Germany</v>
          </cell>
          <cell r="N882" t="str">
            <v>Perfusor</v>
          </cell>
          <cell r="O882" t="str">
            <v>Perfusor Space</v>
          </cell>
          <cell r="P882" t="str">
            <v>211422</v>
          </cell>
          <cell r="Q882" t="str">
            <v>Not Applicable</v>
          </cell>
          <cell r="R882" t="str">
            <v>B Braun Melsungen AG</v>
          </cell>
          <cell r="S882" t="str">
            <v>B Braun Medical Supplies Sdn. Bhd.</v>
          </cell>
          <cell r="T882" t="str">
            <v>Functioning</v>
          </cell>
          <cell r="U882" t="str">
            <v>Asset</v>
          </cell>
          <cell r="V882">
            <v>10825</v>
          </cell>
          <cell r="W882" t="str">
            <v>KEW</v>
          </cell>
          <cell r="X882" t="str">
            <v>01/09/2010</v>
          </cell>
          <cell r="Y882" t="str">
            <v>KEW</v>
          </cell>
          <cell r="Z882" t="str">
            <v>16/08/2013</v>
          </cell>
          <cell r="AA882" t="str">
            <v>15/08/2015</v>
          </cell>
          <cell r="AB882" t="str">
            <v>No</v>
          </cell>
          <cell r="AC882" t="str">
            <v>31/08/2013</v>
          </cell>
          <cell r="AD882" t="str">
            <v>Good</v>
          </cell>
          <cell r="AE882" t="str">
            <v>V1 - Existing / No Claim</v>
          </cell>
          <cell r="AF882">
            <v>42235</v>
          </cell>
          <cell r="AG882">
            <v>9.17</v>
          </cell>
          <cell r="AH882" t="str">
            <v>PPM</v>
          </cell>
          <cell r="AI882" t="str">
            <v>Strands</v>
          </cell>
          <cell r="AJ882" t="str">
            <v>Strands PW</v>
          </cell>
        </row>
        <row r="883">
          <cell r="A883" t="str">
            <v>IKN400427</v>
          </cell>
          <cell r="B883">
            <v>427</v>
          </cell>
          <cell r="C883" t="str">
            <v>Institut Kanser Negara</v>
          </cell>
          <cell r="D883" t="str">
            <v>KKM/IKN/H/13/1480</v>
          </cell>
          <cell r="E883" t="str">
            <v>13-215</v>
          </cell>
          <cell r="F883" t="str">
            <v>Infusion Pumps, General-Purpose</v>
          </cell>
          <cell r="G883" t="str">
            <v>WD</v>
          </cell>
          <cell r="H883" t="str">
            <v>RT/ONCO PAED/ADOLESCENT WARD</v>
          </cell>
          <cell r="I883" t="str">
            <v>06WD153</v>
          </cell>
          <cell r="J883" t="str">
            <v>EQP.ROOM</v>
          </cell>
          <cell r="K883" t="str">
            <v>BMED</v>
          </cell>
          <cell r="L883" t="str">
            <v>Normal</v>
          </cell>
          <cell r="M883" t="str">
            <v>Germany</v>
          </cell>
          <cell r="N883" t="str">
            <v>Infusomat</v>
          </cell>
          <cell r="O883" t="str">
            <v>Infusomat Space</v>
          </cell>
          <cell r="P883" t="str">
            <v>246589</v>
          </cell>
          <cell r="Q883" t="str">
            <v>Not Applicable</v>
          </cell>
          <cell r="R883" t="str">
            <v>B Braun Melsungen AG</v>
          </cell>
          <cell r="S883" t="str">
            <v>B Braun Medical Supplies Sdn. Bhd.</v>
          </cell>
          <cell r="T883" t="str">
            <v>Functioning</v>
          </cell>
          <cell r="U883" t="str">
            <v>Asset</v>
          </cell>
          <cell r="V883">
            <v>10825</v>
          </cell>
          <cell r="W883" t="str">
            <v>KEW</v>
          </cell>
          <cell r="X883" t="str">
            <v>01/09/2010</v>
          </cell>
          <cell r="Y883" t="str">
            <v>KEW</v>
          </cell>
          <cell r="Z883" t="str">
            <v>16/08/2013</v>
          </cell>
          <cell r="AA883" t="str">
            <v>15/08/2015</v>
          </cell>
          <cell r="AB883" t="str">
            <v>No</v>
          </cell>
          <cell r="AC883" t="str">
            <v>31/08/2013</v>
          </cell>
          <cell r="AD883" t="str">
            <v>Good</v>
          </cell>
          <cell r="AE883" t="str">
            <v>V1 - Existing / No Claim</v>
          </cell>
          <cell r="AF883">
            <v>42235</v>
          </cell>
          <cell r="AG883">
            <v>9.17</v>
          </cell>
          <cell r="AH883" t="str">
            <v>PPM</v>
          </cell>
          <cell r="AI883" t="str">
            <v>Strands</v>
          </cell>
          <cell r="AJ883" t="str">
            <v>Strands PW</v>
          </cell>
        </row>
        <row r="884">
          <cell r="A884" t="str">
            <v>IKN400428</v>
          </cell>
          <cell r="B884">
            <v>428</v>
          </cell>
          <cell r="C884" t="str">
            <v>Institut Kanser Negara</v>
          </cell>
          <cell r="D884" t="str">
            <v>N/A</v>
          </cell>
          <cell r="E884" t="str">
            <v>12-660</v>
          </cell>
          <cell r="F884" t="str">
            <v>Radiation Monitors</v>
          </cell>
          <cell r="G884" t="str">
            <v>NM</v>
          </cell>
          <cell r="H884" t="str">
            <v>NUCLEAR MED (DIAGNOSTIC)</v>
          </cell>
          <cell r="I884" t="str">
            <v>03NM148</v>
          </cell>
          <cell r="J884" t="str">
            <v>RADIOACTIVE WASTE (VE)</v>
          </cell>
          <cell r="K884" t="str">
            <v>BMED</v>
          </cell>
          <cell r="L884" t="str">
            <v>Normal</v>
          </cell>
          <cell r="M884" t="str">
            <v>USA</v>
          </cell>
          <cell r="N884" t="str">
            <v>Ludlum</v>
          </cell>
          <cell r="O884" t="str">
            <v>Ludlum 375P</v>
          </cell>
          <cell r="P884" t="str">
            <v>295544</v>
          </cell>
          <cell r="Q884" t="str">
            <v>Not Applicable</v>
          </cell>
          <cell r="R884" t="str">
            <v>Ludlum Measurements Inc</v>
          </cell>
          <cell r="S884" t="str">
            <v>Ludlum Measurement</v>
          </cell>
          <cell r="T884" t="str">
            <v>Functioning</v>
          </cell>
          <cell r="U884" t="str">
            <v>Asset</v>
          </cell>
          <cell r="V884">
            <v>25000</v>
          </cell>
          <cell r="W884" t="str">
            <v>Estimate</v>
          </cell>
          <cell r="X884" t="str">
            <v>01/09/2010</v>
          </cell>
          <cell r="Y884" t="str">
            <v>KEW</v>
          </cell>
          <cell r="Z884" t="str">
            <v>16/08/2013</v>
          </cell>
          <cell r="AA884" t="str">
            <v>15/08/2015</v>
          </cell>
          <cell r="AB884" t="str">
            <v>No</v>
          </cell>
          <cell r="AC884" t="str">
            <v>31/08/2013</v>
          </cell>
          <cell r="AD884" t="str">
            <v>Good</v>
          </cell>
          <cell r="AE884" t="str">
            <v>V1 - Existing / No Claim</v>
          </cell>
          <cell r="AF884">
            <v>42601</v>
          </cell>
          <cell r="AG884">
            <v>9.17</v>
          </cell>
          <cell r="AH884" t="str">
            <v>PPM</v>
          </cell>
          <cell r="AI884" t="str">
            <v>Not in contract</v>
          </cell>
        </row>
        <row r="885">
          <cell r="A885" t="str">
            <v>IKN400429</v>
          </cell>
          <cell r="B885">
            <v>429</v>
          </cell>
          <cell r="C885" t="str">
            <v>Institut Kanser Negara</v>
          </cell>
          <cell r="D885" t="str">
            <v>KKM/IKN/H/13/318</v>
          </cell>
          <cell r="E885" t="str">
            <v>15-045</v>
          </cell>
          <cell r="F885" t="str">
            <v>Nebulizers, Nonheated</v>
          </cell>
          <cell r="G885" t="str">
            <v>WC</v>
          </cell>
          <cell r="H885" t="str">
            <v>SURGICAL ONCO FEMALE WARD</v>
          </cell>
          <cell r="I885" t="str">
            <v>06WC113</v>
          </cell>
          <cell r="J885" t="str">
            <v>EQUIPMENT ROOM</v>
          </cell>
          <cell r="K885" t="str">
            <v>BMED</v>
          </cell>
          <cell r="L885" t="str">
            <v>Normal</v>
          </cell>
          <cell r="M885" t="str">
            <v>Germany</v>
          </cell>
          <cell r="N885" t="str">
            <v>Pari Boy</v>
          </cell>
          <cell r="O885" t="str">
            <v>Pari Boy SX 085</v>
          </cell>
          <cell r="P885" t="str">
            <v>2W12F13828</v>
          </cell>
          <cell r="Q885" t="str">
            <v>Not Applicable</v>
          </cell>
          <cell r="R885" t="str">
            <v>Pari GmbH</v>
          </cell>
          <cell r="S885" t="str">
            <v>Welch Allyn Malaysia Sdn Bhd</v>
          </cell>
          <cell r="T885" t="str">
            <v>Functioning</v>
          </cell>
          <cell r="U885" t="str">
            <v>Asset</v>
          </cell>
          <cell r="V885">
            <v>1140</v>
          </cell>
          <cell r="W885" t="str">
            <v>KEW</v>
          </cell>
          <cell r="X885" t="str">
            <v>01/09/2010</v>
          </cell>
          <cell r="Y885" t="str">
            <v>KEW</v>
          </cell>
          <cell r="Z885" t="str">
            <v>16/08/2013</v>
          </cell>
          <cell r="AA885" t="str">
            <v>15/08/2015</v>
          </cell>
          <cell r="AB885" t="str">
            <v>No</v>
          </cell>
          <cell r="AC885" t="str">
            <v>31/08/2013</v>
          </cell>
          <cell r="AD885" t="str">
            <v>Good</v>
          </cell>
          <cell r="AE885" t="str">
            <v>V1 - Existing / No Claim</v>
          </cell>
          <cell r="AF885">
            <v>42235</v>
          </cell>
          <cell r="AG885">
            <v>9.17</v>
          </cell>
          <cell r="AH885" t="str">
            <v>PPM</v>
          </cell>
          <cell r="AI885" t="str">
            <v>Strands</v>
          </cell>
          <cell r="AJ885" t="str">
            <v>Strands PW</v>
          </cell>
        </row>
        <row r="886">
          <cell r="A886" t="str">
            <v>IKN400430</v>
          </cell>
          <cell r="B886">
            <v>430</v>
          </cell>
          <cell r="C886" t="str">
            <v>Institut Kanser Negara</v>
          </cell>
          <cell r="D886" t="str">
            <v>KKM/IKN/H/13/1270</v>
          </cell>
          <cell r="E886" t="str">
            <v>10-447</v>
          </cell>
          <cell r="F886" t="str">
            <v>Warming Units, Blood/Solution</v>
          </cell>
          <cell r="G886" t="str">
            <v>WC</v>
          </cell>
          <cell r="H886" t="str">
            <v>SURGICAL ONCO FEMALE WARD</v>
          </cell>
          <cell r="I886" t="str">
            <v>06WC113</v>
          </cell>
          <cell r="J886" t="str">
            <v>EQUIPMENT ROOM</v>
          </cell>
          <cell r="K886" t="str">
            <v>BMED</v>
          </cell>
          <cell r="L886" t="str">
            <v>Normal</v>
          </cell>
          <cell r="M886" t="str">
            <v>Japan</v>
          </cell>
          <cell r="N886" t="str">
            <v>Animec</v>
          </cell>
          <cell r="O886" t="str">
            <v>Animec AM-301</v>
          </cell>
          <cell r="P886" t="str">
            <v>2013D0261</v>
          </cell>
          <cell r="Q886" t="str">
            <v>Not Applicable</v>
          </cell>
          <cell r="R886" t="str">
            <v>Elltec Co Ltd</v>
          </cell>
          <cell r="S886" t="str">
            <v>IDS Services (Malaysia) Sdn Bhd</v>
          </cell>
          <cell r="T886" t="str">
            <v>Functioning</v>
          </cell>
          <cell r="U886" t="str">
            <v>Asset</v>
          </cell>
          <cell r="V886">
            <v>4990</v>
          </cell>
          <cell r="W886" t="str">
            <v>KEW</v>
          </cell>
          <cell r="X886" t="str">
            <v>01/09/2010</v>
          </cell>
          <cell r="Y886" t="str">
            <v>KEW</v>
          </cell>
          <cell r="Z886" t="str">
            <v>16/08/2013</v>
          </cell>
          <cell r="AA886" t="str">
            <v>15/08/2015</v>
          </cell>
          <cell r="AB886" t="str">
            <v>No</v>
          </cell>
          <cell r="AC886" t="str">
            <v>31/08/2013</v>
          </cell>
          <cell r="AD886" t="str">
            <v>Good</v>
          </cell>
          <cell r="AE886" t="str">
            <v>V1 - Existing / No Claim</v>
          </cell>
          <cell r="AF886">
            <v>42235</v>
          </cell>
          <cell r="AG886">
            <v>9.17</v>
          </cell>
          <cell r="AH886" t="str">
            <v>PPM</v>
          </cell>
          <cell r="AI886" t="str">
            <v>Strands</v>
          </cell>
          <cell r="AJ886" t="str">
            <v>Strands PW</v>
          </cell>
        </row>
        <row r="887">
          <cell r="A887" t="str">
            <v>IKN400434</v>
          </cell>
          <cell r="B887">
            <v>434</v>
          </cell>
          <cell r="C887" t="str">
            <v>Institut Kanser Negara</v>
          </cell>
          <cell r="D887" t="str">
            <v>KKM/IKN/H/13/1352</v>
          </cell>
          <cell r="E887" t="str">
            <v>12-282</v>
          </cell>
          <cell r="F887" t="str">
            <v>Lights, Surgical</v>
          </cell>
          <cell r="G887" t="str">
            <v>WC</v>
          </cell>
          <cell r="H887" t="str">
            <v>SURGICAL ONCO FEMALE WARD</v>
          </cell>
          <cell r="I887" t="str">
            <v>06WC113</v>
          </cell>
          <cell r="J887" t="str">
            <v>EQUIPMENT ROOM</v>
          </cell>
          <cell r="K887" t="str">
            <v>BMED</v>
          </cell>
          <cell r="L887" t="str">
            <v>Normal</v>
          </cell>
          <cell r="M887" t="str">
            <v>USA</v>
          </cell>
          <cell r="N887" t="str">
            <v>Welch Allyn</v>
          </cell>
          <cell r="O887" t="str">
            <v>Welch Allyn GS600</v>
          </cell>
          <cell r="P887" t="str">
            <v>GS-600-36</v>
          </cell>
          <cell r="Q887" t="str">
            <v>Not Applicable</v>
          </cell>
          <cell r="R887" t="str">
            <v>Welch Allyn Inc</v>
          </cell>
          <cell r="S887" t="str">
            <v>Welch Allyn Malaysia Sdn Bhd</v>
          </cell>
          <cell r="T887" t="str">
            <v>Functioning</v>
          </cell>
          <cell r="U887" t="str">
            <v>Asset</v>
          </cell>
          <cell r="V887">
            <v>5050</v>
          </cell>
          <cell r="W887" t="str">
            <v>KEW</v>
          </cell>
          <cell r="X887" t="str">
            <v>01/09/2010</v>
          </cell>
          <cell r="Y887" t="str">
            <v>KEW</v>
          </cell>
          <cell r="Z887" t="str">
            <v>16/08/2013</v>
          </cell>
          <cell r="AA887" t="str">
            <v>15/08/2015</v>
          </cell>
          <cell r="AB887" t="str">
            <v>No</v>
          </cell>
          <cell r="AC887" t="str">
            <v>31/08/2013</v>
          </cell>
          <cell r="AD887" t="str">
            <v>Good</v>
          </cell>
          <cell r="AE887" t="str">
            <v>V1 - Existing / No Claim</v>
          </cell>
          <cell r="AF887">
            <v>42235</v>
          </cell>
          <cell r="AG887">
            <v>9.17</v>
          </cell>
          <cell r="AH887" t="str">
            <v>PPM</v>
          </cell>
          <cell r="AI887" t="str">
            <v>Strands</v>
          </cell>
          <cell r="AJ887" t="str">
            <v>Strands PW</v>
          </cell>
        </row>
        <row r="888">
          <cell r="A888" t="str">
            <v>IKN400435</v>
          </cell>
          <cell r="B888">
            <v>435</v>
          </cell>
          <cell r="C888" t="str">
            <v>Institut Kanser Negara</v>
          </cell>
          <cell r="D888" t="str">
            <v>KKM/IKN/H/13/1353</v>
          </cell>
          <cell r="E888" t="str">
            <v>12-282</v>
          </cell>
          <cell r="F888" t="str">
            <v>Lights, Surgical</v>
          </cell>
          <cell r="G888" t="str">
            <v>WC</v>
          </cell>
          <cell r="H888" t="str">
            <v>SURGICAL ONCO FEMALE WARD</v>
          </cell>
          <cell r="I888" t="str">
            <v>06WC113</v>
          </cell>
          <cell r="J888" t="str">
            <v>EQUIPMENT ROOM</v>
          </cell>
          <cell r="K888" t="str">
            <v>BMED</v>
          </cell>
          <cell r="L888" t="str">
            <v>Normal</v>
          </cell>
          <cell r="M888" t="str">
            <v>USA</v>
          </cell>
          <cell r="N888" t="str">
            <v>Welch Allyn</v>
          </cell>
          <cell r="O888" t="str">
            <v>Welch Allyn GS600</v>
          </cell>
          <cell r="P888" t="str">
            <v>GS-600-47</v>
          </cell>
          <cell r="Q888" t="str">
            <v>Not Applicable</v>
          </cell>
          <cell r="R888" t="str">
            <v>Welch Allyn Inc</v>
          </cell>
          <cell r="S888" t="str">
            <v>Welch Allyn Malaysia Sdn Bhd</v>
          </cell>
          <cell r="T888" t="str">
            <v>Functioning</v>
          </cell>
          <cell r="U888" t="str">
            <v>Asset</v>
          </cell>
          <cell r="V888">
            <v>5050</v>
          </cell>
          <cell r="W888" t="str">
            <v>KEW</v>
          </cell>
          <cell r="X888" t="str">
            <v>01/09/2010</v>
          </cell>
          <cell r="Y888" t="str">
            <v>KEW</v>
          </cell>
          <cell r="Z888" t="str">
            <v>16/08/2013</v>
          </cell>
          <cell r="AA888" t="str">
            <v>15/08/2015</v>
          </cell>
          <cell r="AB888" t="str">
            <v>No</v>
          </cell>
          <cell r="AC888" t="str">
            <v>31/08/2013</v>
          </cell>
          <cell r="AD888" t="str">
            <v>Good</v>
          </cell>
          <cell r="AE888" t="str">
            <v>V1 - Existing / No Claim</v>
          </cell>
          <cell r="AF888">
            <v>42235</v>
          </cell>
          <cell r="AG888">
            <v>9.17</v>
          </cell>
          <cell r="AH888" t="str">
            <v>PPM</v>
          </cell>
          <cell r="AI888" t="str">
            <v>Strands</v>
          </cell>
          <cell r="AJ888" t="str">
            <v>Strands PW</v>
          </cell>
        </row>
        <row r="889">
          <cell r="A889" t="str">
            <v>IKN400437</v>
          </cell>
          <cell r="B889">
            <v>437</v>
          </cell>
          <cell r="C889" t="str">
            <v>Institut Kanser Negara</v>
          </cell>
          <cell r="D889" t="str">
            <v>KKM/IKN/H/13/2017</v>
          </cell>
          <cell r="E889" t="str">
            <v>15-045</v>
          </cell>
          <cell r="F889" t="str">
            <v>Nebulizers, Nonheated</v>
          </cell>
          <cell r="G889" t="str">
            <v>WC</v>
          </cell>
          <cell r="H889" t="str">
            <v>SURGICAL ONCO FEMALE WARD</v>
          </cell>
          <cell r="I889" t="str">
            <v>06WC113</v>
          </cell>
          <cell r="J889" t="str">
            <v>EQUIPMENT ROOM</v>
          </cell>
          <cell r="K889" t="str">
            <v>BMED</v>
          </cell>
          <cell r="L889" t="str">
            <v>Normal</v>
          </cell>
          <cell r="M889" t="str">
            <v>Germany</v>
          </cell>
          <cell r="N889" t="str">
            <v>Pari Boy</v>
          </cell>
          <cell r="O889" t="str">
            <v>Pari Boy SX 085</v>
          </cell>
          <cell r="P889" t="str">
            <v>2W12K14141</v>
          </cell>
          <cell r="Q889" t="str">
            <v>Not Applicable</v>
          </cell>
          <cell r="R889" t="str">
            <v>Pari GmbH</v>
          </cell>
          <cell r="S889" t="str">
            <v>Welch Allyn Malaysia Sdn Bhd</v>
          </cell>
          <cell r="T889" t="str">
            <v>Functioning</v>
          </cell>
          <cell r="U889" t="str">
            <v>Asset</v>
          </cell>
          <cell r="V889">
            <v>1140</v>
          </cell>
          <cell r="W889" t="str">
            <v>KEW</v>
          </cell>
          <cell r="X889" t="str">
            <v>01/09/2010</v>
          </cell>
          <cell r="Y889" t="str">
            <v>KEW</v>
          </cell>
          <cell r="Z889" t="str">
            <v>16/08/2013</v>
          </cell>
          <cell r="AA889" t="str">
            <v>15/08/2015</v>
          </cell>
          <cell r="AB889" t="str">
            <v>No</v>
          </cell>
          <cell r="AC889" t="str">
            <v>31/08/2013</v>
          </cell>
          <cell r="AD889" t="str">
            <v>Good</v>
          </cell>
          <cell r="AE889" t="str">
            <v>V1 - Existing / No Claim</v>
          </cell>
          <cell r="AF889">
            <v>42235</v>
          </cell>
          <cell r="AG889">
            <v>9.17</v>
          </cell>
          <cell r="AH889" t="str">
            <v>PPM</v>
          </cell>
          <cell r="AI889" t="str">
            <v>Strands</v>
          </cell>
          <cell r="AJ889" t="str">
            <v>Strands PW</v>
          </cell>
        </row>
        <row r="890">
          <cell r="A890" t="str">
            <v>IKN400438</v>
          </cell>
          <cell r="B890">
            <v>438</v>
          </cell>
          <cell r="C890" t="str">
            <v>Institut Kanser Negara</v>
          </cell>
          <cell r="D890" t="str">
            <v>KKM/IKN/H/13/319</v>
          </cell>
          <cell r="E890" t="str">
            <v>15-045</v>
          </cell>
          <cell r="F890" t="str">
            <v>Nebulizers, Nonheated</v>
          </cell>
          <cell r="G890" t="str">
            <v>WC</v>
          </cell>
          <cell r="H890" t="str">
            <v>SURGICAL ONCO FEMALE WARD</v>
          </cell>
          <cell r="I890" t="str">
            <v>06WC113</v>
          </cell>
          <cell r="J890" t="str">
            <v>EQUIPMENT ROOM</v>
          </cell>
          <cell r="K890" t="str">
            <v>BMED</v>
          </cell>
          <cell r="L890" t="str">
            <v>Normal</v>
          </cell>
          <cell r="M890" t="str">
            <v>Germany</v>
          </cell>
          <cell r="N890" t="str">
            <v>Pari Boy</v>
          </cell>
          <cell r="O890" t="str">
            <v>Pari Boy SX 085</v>
          </cell>
          <cell r="P890" t="str">
            <v>2W12J05853</v>
          </cell>
          <cell r="Q890" t="str">
            <v>Not Applicable</v>
          </cell>
          <cell r="R890" t="str">
            <v>Pari GmbH</v>
          </cell>
          <cell r="S890" t="str">
            <v>Welch Allyn Malaysia Sdn Bhd</v>
          </cell>
          <cell r="T890" t="str">
            <v>Functioning</v>
          </cell>
          <cell r="U890" t="str">
            <v>Asset</v>
          </cell>
          <cell r="V890">
            <v>1140</v>
          </cell>
          <cell r="W890" t="str">
            <v>KEW</v>
          </cell>
          <cell r="X890" t="str">
            <v>01/09/2010</v>
          </cell>
          <cell r="Y890" t="str">
            <v>KEW</v>
          </cell>
          <cell r="Z890" t="str">
            <v>16/08/2013</v>
          </cell>
          <cell r="AA890" t="str">
            <v>15/08/2015</v>
          </cell>
          <cell r="AB890" t="str">
            <v>No</v>
          </cell>
          <cell r="AC890" t="str">
            <v>31/08/2013</v>
          </cell>
          <cell r="AD890" t="str">
            <v>Good</v>
          </cell>
          <cell r="AE890" t="str">
            <v>V1 - Existing / No Claim</v>
          </cell>
          <cell r="AF890">
            <v>42235</v>
          </cell>
          <cell r="AG890">
            <v>9.17</v>
          </cell>
          <cell r="AH890" t="str">
            <v>PPM</v>
          </cell>
          <cell r="AI890" t="str">
            <v>Strands</v>
          </cell>
          <cell r="AJ890" t="str">
            <v>Strands PW</v>
          </cell>
        </row>
        <row r="891">
          <cell r="A891" t="str">
            <v>IKN400439</v>
          </cell>
          <cell r="B891">
            <v>439</v>
          </cell>
          <cell r="C891" t="str">
            <v>Institut Kanser Negara</v>
          </cell>
          <cell r="D891" t="str">
            <v>KKM/IKN/H/13/1328</v>
          </cell>
          <cell r="E891" t="str">
            <v>16-173</v>
          </cell>
          <cell r="F891" t="str">
            <v>Sphygmomanometers, Electronic, Automatic</v>
          </cell>
          <cell r="G891" t="str">
            <v>WC</v>
          </cell>
          <cell r="H891" t="str">
            <v>SURGICAL ONCO FEMALE WARD</v>
          </cell>
          <cell r="I891" t="str">
            <v>06WC143</v>
          </cell>
          <cell r="J891" t="str">
            <v>NURSE STATION</v>
          </cell>
          <cell r="K891" t="str">
            <v>BMED</v>
          </cell>
          <cell r="L891" t="str">
            <v>Normal</v>
          </cell>
          <cell r="M891" t="str">
            <v>USA</v>
          </cell>
          <cell r="N891" t="str">
            <v>Connex</v>
          </cell>
          <cell r="O891" t="str">
            <v>Connex ProBP 3400</v>
          </cell>
          <cell r="P891" t="str">
            <v>100001550613</v>
          </cell>
          <cell r="Q891" t="str">
            <v>Not Applicable</v>
          </cell>
          <cell r="R891" t="str">
            <v>Welch Allyn Inc</v>
          </cell>
          <cell r="S891" t="str">
            <v>Welch Allyn Malaysia Sdn Bhd</v>
          </cell>
          <cell r="T891" t="str">
            <v>Functioning</v>
          </cell>
          <cell r="U891" t="str">
            <v>Asset</v>
          </cell>
          <cell r="V891">
            <v>4510</v>
          </cell>
          <cell r="W891" t="str">
            <v>KEW</v>
          </cell>
          <cell r="X891" t="str">
            <v>01/09/2010</v>
          </cell>
          <cell r="Y891" t="str">
            <v>KEW</v>
          </cell>
          <cell r="Z891" t="str">
            <v>16/08/2013</v>
          </cell>
          <cell r="AA891" t="str">
            <v>15/08/2015</v>
          </cell>
          <cell r="AB891" t="str">
            <v>No</v>
          </cell>
          <cell r="AC891" t="str">
            <v>31/08/2013</v>
          </cell>
          <cell r="AD891" t="str">
            <v>Good</v>
          </cell>
          <cell r="AE891" t="str">
            <v>V1 - Existing / No Claim</v>
          </cell>
          <cell r="AF891">
            <v>42235</v>
          </cell>
          <cell r="AG891">
            <v>9.17</v>
          </cell>
          <cell r="AH891" t="str">
            <v>PPM</v>
          </cell>
          <cell r="AI891" t="str">
            <v>Strands</v>
          </cell>
          <cell r="AJ891" t="str">
            <v>Strands PW</v>
          </cell>
        </row>
        <row r="892">
          <cell r="A892" t="str">
            <v>IKN400440</v>
          </cell>
          <cell r="B892">
            <v>440</v>
          </cell>
          <cell r="C892" t="str">
            <v>Institut Kanser Negara</v>
          </cell>
          <cell r="D892" t="str">
            <v>KKM/IKN/H/13/1332</v>
          </cell>
          <cell r="E892" t="str">
            <v>16-173</v>
          </cell>
          <cell r="F892" t="str">
            <v>Sphygmomanometers, Electronic, Automatic</v>
          </cell>
          <cell r="G892" t="str">
            <v>WC</v>
          </cell>
          <cell r="H892" t="str">
            <v>SURGICAL ONCO FEMALE WARD</v>
          </cell>
          <cell r="I892" t="str">
            <v>06WC143</v>
          </cell>
          <cell r="J892" t="str">
            <v>NURSE STATION</v>
          </cell>
          <cell r="K892" t="str">
            <v>BMED</v>
          </cell>
          <cell r="L892" t="str">
            <v>Normal</v>
          </cell>
          <cell r="M892" t="str">
            <v>USA</v>
          </cell>
          <cell r="N892" t="str">
            <v>Connex</v>
          </cell>
          <cell r="O892" t="str">
            <v>Connex ProBP 3400</v>
          </cell>
          <cell r="P892" t="str">
            <v>100001570613</v>
          </cell>
          <cell r="Q892" t="str">
            <v>Not Applicable</v>
          </cell>
          <cell r="R892" t="str">
            <v>Welch Allyn Inc</v>
          </cell>
          <cell r="S892" t="str">
            <v>Welch Allyn Malaysia Sdn Bhd</v>
          </cell>
          <cell r="T892" t="str">
            <v>Functioning</v>
          </cell>
          <cell r="U892" t="str">
            <v>Asset</v>
          </cell>
          <cell r="V892">
            <v>4510</v>
          </cell>
          <cell r="W892" t="str">
            <v>KEW</v>
          </cell>
          <cell r="X892" t="str">
            <v>01/09/2010</v>
          </cell>
          <cell r="Y892" t="str">
            <v>KEW</v>
          </cell>
          <cell r="Z892" t="str">
            <v>16/08/2013</v>
          </cell>
          <cell r="AA892" t="str">
            <v>15/08/2015</v>
          </cell>
          <cell r="AB892" t="str">
            <v>No</v>
          </cell>
          <cell r="AC892" t="str">
            <v>31/08/2013</v>
          </cell>
          <cell r="AD892" t="str">
            <v>Good</v>
          </cell>
          <cell r="AE892" t="str">
            <v>V1 - Existing / No Claim</v>
          </cell>
          <cell r="AF892">
            <v>42235</v>
          </cell>
          <cell r="AG892">
            <v>9.17</v>
          </cell>
          <cell r="AH892" t="str">
            <v>PPM</v>
          </cell>
          <cell r="AI892" t="str">
            <v>Strands</v>
          </cell>
          <cell r="AJ892" t="str">
            <v>Strands PW</v>
          </cell>
        </row>
        <row r="893">
          <cell r="A893" t="str">
            <v>IKN400441</v>
          </cell>
          <cell r="B893">
            <v>441</v>
          </cell>
          <cell r="C893" t="str">
            <v>Institut Kanser Negara</v>
          </cell>
          <cell r="D893" t="str">
            <v>KKM/IKN/H/13/4290</v>
          </cell>
          <cell r="E893" t="str">
            <v>10-849</v>
          </cell>
          <cell r="F893" t="str">
            <v>Circulatory Assist Units, Venous Return</v>
          </cell>
          <cell r="G893" t="str">
            <v>WC</v>
          </cell>
          <cell r="H893" t="str">
            <v>SURGICAL ONCO FEMALE WARD</v>
          </cell>
          <cell r="I893" t="str">
            <v>06WC113</v>
          </cell>
          <cell r="J893" t="str">
            <v>EQUIPMENT ROOM</v>
          </cell>
          <cell r="K893" t="str">
            <v>BMED</v>
          </cell>
          <cell r="L893" t="str">
            <v>Normal</v>
          </cell>
          <cell r="M893" t="str">
            <v>Taiwan</v>
          </cell>
          <cell r="N893" t="str">
            <v>Vena Press</v>
          </cell>
          <cell r="O893" t="str">
            <v>Vena Press IPC</v>
          </cell>
          <cell r="P893" t="str">
            <v>C820016698</v>
          </cell>
          <cell r="Q893" t="str">
            <v>Not Applicable</v>
          </cell>
          <cell r="R893" t="str">
            <v>Prius Healthcare Solution</v>
          </cell>
          <cell r="S893" t="str">
            <v>Medika Supplies</v>
          </cell>
          <cell r="T893" t="str">
            <v>Functioning</v>
          </cell>
          <cell r="U893" t="str">
            <v>Asset</v>
          </cell>
          <cell r="V893">
            <v>13470</v>
          </cell>
          <cell r="W893" t="str">
            <v>KEW</v>
          </cell>
          <cell r="X893" t="str">
            <v>01/09/2010</v>
          </cell>
          <cell r="Y893" t="str">
            <v>KEW</v>
          </cell>
          <cell r="Z893" t="str">
            <v>16/08/2013</v>
          </cell>
          <cell r="AA893" t="str">
            <v>15/08/2015</v>
          </cell>
          <cell r="AB893" t="str">
            <v>No</v>
          </cell>
          <cell r="AC893" t="str">
            <v>31/08/2013</v>
          </cell>
          <cell r="AD893" t="str">
            <v>Good</v>
          </cell>
          <cell r="AE893" t="str">
            <v>V1 - Existing / No Claim</v>
          </cell>
          <cell r="AF893">
            <v>42235</v>
          </cell>
          <cell r="AG893">
            <v>9.17</v>
          </cell>
          <cell r="AH893" t="str">
            <v>PPM</v>
          </cell>
          <cell r="AI893" t="str">
            <v>Strands</v>
          </cell>
          <cell r="AJ893" t="str">
            <v>Strands PW SET B</v>
          </cell>
          <cell r="AK893" t="str">
            <v>CUBA CHECK IKN401123 PUNYA KEWPA</v>
          </cell>
        </row>
        <row r="894">
          <cell r="A894" t="str">
            <v>IKN400442</v>
          </cell>
          <cell r="B894">
            <v>442</v>
          </cell>
          <cell r="C894" t="str">
            <v>Institut Kanser Negara</v>
          </cell>
          <cell r="D894" t="str">
            <v>KKM/IKN/H/13/1268</v>
          </cell>
          <cell r="E894" t="str">
            <v>13-217</v>
          </cell>
          <cell r="F894" t="str">
            <v>Infusion Pumps, Syringe</v>
          </cell>
          <cell r="G894" t="str">
            <v>WC</v>
          </cell>
          <cell r="H894" t="str">
            <v>SURGICAL ONCO FEMALE WARD</v>
          </cell>
          <cell r="I894" t="str">
            <v>06WC113</v>
          </cell>
          <cell r="J894" t="str">
            <v>EQUIPMENT ROOM</v>
          </cell>
          <cell r="K894" t="str">
            <v>BMED</v>
          </cell>
          <cell r="L894" t="str">
            <v>Normal</v>
          </cell>
          <cell r="M894" t="str">
            <v>Germany</v>
          </cell>
          <cell r="N894" t="str">
            <v>Perfusor</v>
          </cell>
          <cell r="O894" t="str">
            <v>Perfusor Space</v>
          </cell>
          <cell r="P894" t="str">
            <v>186586</v>
          </cell>
          <cell r="Q894" t="str">
            <v>Not Applicable</v>
          </cell>
          <cell r="R894" t="str">
            <v>B Braun Melsungen AG</v>
          </cell>
          <cell r="S894" t="str">
            <v>B Braun Medical Supplies Sdn. Bhd.</v>
          </cell>
          <cell r="T894" t="str">
            <v>Functioning</v>
          </cell>
          <cell r="U894" t="str">
            <v>Asset</v>
          </cell>
          <cell r="V894">
            <v>10225</v>
          </cell>
          <cell r="W894" t="str">
            <v>KEW</v>
          </cell>
          <cell r="X894" t="str">
            <v>01/09/2010</v>
          </cell>
          <cell r="Y894" t="str">
            <v>KEW</v>
          </cell>
          <cell r="Z894" t="str">
            <v>16/08/2013</v>
          </cell>
          <cell r="AA894" t="str">
            <v>15/08/2015</v>
          </cell>
          <cell r="AB894" t="str">
            <v>No</v>
          </cell>
          <cell r="AC894" t="str">
            <v>31/08/2013</v>
          </cell>
          <cell r="AD894" t="str">
            <v>Good</v>
          </cell>
          <cell r="AE894" t="str">
            <v>V1 - Existing / No Claim</v>
          </cell>
          <cell r="AF894">
            <v>42235</v>
          </cell>
          <cell r="AG894">
            <v>9.17</v>
          </cell>
          <cell r="AH894" t="str">
            <v>PPM</v>
          </cell>
          <cell r="AI894" t="str">
            <v>Strands</v>
          </cell>
          <cell r="AJ894" t="str">
            <v>Strands PW</v>
          </cell>
        </row>
        <row r="895">
          <cell r="A895" t="str">
            <v>IKN400443</v>
          </cell>
          <cell r="B895">
            <v>443</v>
          </cell>
          <cell r="C895" t="str">
            <v>Institut Kanser Negara</v>
          </cell>
          <cell r="D895" t="str">
            <v>KKM/IKN/H/13/1269</v>
          </cell>
          <cell r="E895" t="str">
            <v>13-217</v>
          </cell>
          <cell r="F895" t="str">
            <v>Infusion Pumps, Syringe</v>
          </cell>
          <cell r="G895" t="str">
            <v>WC</v>
          </cell>
          <cell r="H895" t="str">
            <v>SURGICAL ONCO FEMALE WARD</v>
          </cell>
          <cell r="I895" t="str">
            <v>06WC113</v>
          </cell>
          <cell r="J895" t="str">
            <v>EQUIPMENT ROOM</v>
          </cell>
          <cell r="K895" t="str">
            <v>BMED</v>
          </cell>
          <cell r="L895" t="str">
            <v>Normal</v>
          </cell>
          <cell r="M895" t="str">
            <v>Germany</v>
          </cell>
          <cell r="N895" t="str">
            <v>Perfusor</v>
          </cell>
          <cell r="O895" t="str">
            <v>Perfusor Space</v>
          </cell>
          <cell r="P895" t="str">
            <v>186974</v>
          </cell>
          <cell r="Q895" t="str">
            <v>Not Applicable</v>
          </cell>
          <cell r="R895" t="str">
            <v>B Braun Melsungen AG</v>
          </cell>
          <cell r="S895" t="str">
            <v>B Braun Medical Supplies Sdn. Bhd.</v>
          </cell>
          <cell r="T895" t="str">
            <v>Functioning</v>
          </cell>
          <cell r="U895" t="str">
            <v>Asset</v>
          </cell>
          <cell r="V895">
            <v>10225</v>
          </cell>
          <cell r="W895" t="str">
            <v>KEW</v>
          </cell>
          <cell r="X895" t="str">
            <v>01/09/2010</v>
          </cell>
          <cell r="Y895" t="str">
            <v>KEW</v>
          </cell>
          <cell r="Z895" t="str">
            <v>16/08/2013</v>
          </cell>
          <cell r="AA895" t="str">
            <v>15/08/2015</v>
          </cell>
          <cell r="AB895" t="str">
            <v>No</v>
          </cell>
          <cell r="AC895" t="str">
            <v>31/08/2013</v>
          </cell>
          <cell r="AD895" t="str">
            <v>Good</v>
          </cell>
          <cell r="AE895" t="str">
            <v>V1 - Existing / No Claim</v>
          </cell>
          <cell r="AF895">
            <v>42235</v>
          </cell>
          <cell r="AG895">
            <v>9.17</v>
          </cell>
          <cell r="AH895" t="str">
            <v>PPM</v>
          </cell>
          <cell r="AI895" t="str">
            <v>Strands</v>
          </cell>
          <cell r="AJ895" t="str">
            <v>Strands PW</v>
          </cell>
        </row>
        <row r="896">
          <cell r="A896" t="str">
            <v>IKN400444</v>
          </cell>
          <cell r="B896">
            <v>444</v>
          </cell>
          <cell r="C896" t="str">
            <v>Institut Kanser Negara</v>
          </cell>
          <cell r="D896" t="str">
            <v>KKM/IKN/H/13/4287</v>
          </cell>
          <cell r="E896" t="str">
            <v>13-217</v>
          </cell>
          <cell r="F896" t="str">
            <v>Infusion Pumps, Syringe</v>
          </cell>
          <cell r="G896" t="str">
            <v>WC</v>
          </cell>
          <cell r="H896" t="str">
            <v>SURGICAL ONCO FEMALE WARD</v>
          </cell>
          <cell r="I896" t="str">
            <v>06WC113</v>
          </cell>
          <cell r="J896" t="str">
            <v>EQUIPMENT ROOM</v>
          </cell>
          <cell r="K896" t="str">
            <v>BMED</v>
          </cell>
          <cell r="L896" t="str">
            <v>Normal</v>
          </cell>
          <cell r="M896" t="str">
            <v>Germany</v>
          </cell>
          <cell r="N896" t="str">
            <v>Perfusor</v>
          </cell>
          <cell r="O896" t="str">
            <v>Perfusor Space</v>
          </cell>
          <cell r="P896" t="str">
            <v>187009</v>
          </cell>
          <cell r="Q896" t="str">
            <v>Not Applicable</v>
          </cell>
          <cell r="R896" t="str">
            <v>B Braun Melsungen AG</v>
          </cell>
          <cell r="S896" t="str">
            <v>B Braun Medical Supplies Sdn. Bhd.</v>
          </cell>
          <cell r="T896" t="str">
            <v>Functioning</v>
          </cell>
          <cell r="U896" t="str">
            <v>Asset</v>
          </cell>
          <cell r="V896">
            <v>10225</v>
          </cell>
          <cell r="W896" t="str">
            <v>KEW</v>
          </cell>
          <cell r="X896" t="str">
            <v>01/09/2010</v>
          </cell>
          <cell r="Y896" t="str">
            <v>KEW</v>
          </cell>
          <cell r="Z896" t="str">
            <v>16/08/2013</v>
          </cell>
          <cell r="AA896" t="str">
            <v>15/08/2015</v>
          </cell>
          <cell r="AB896" t="str">
            <v>No</v>
          </cell>
          <cell r="AC896" t="str">
            <v>31/08/2013</v>
          </cell>
          <cell r="AD896" t="str">
            <v>Good</v>
          </cell>
          <cell r="AE896" t="str">
            <v>V1 - Existing / No Claim</v>
          </cell>
          <cell r="AF896">
            <v>42235</v>
          </cell>
          <cell r="AG896">
            <v>9.17</v>
          </cell>
          <cell r="AH896" t="str">
            <v>PPM</v>
          </cell>
          <cell r="AI896" t="str">
            <v>Strands</v>
          </cell>
          <cell r="AJ896" t="str">
            <v>Strands PW</v>
          </cell>
        </row>
        <row r="897">
          <cell r="A897" t="str">
            <v>IKN400445</v>
          </cell>
          <cell r="B897">
            <v>445</v>
          </cell>
          <cell r="C897" t="str">
            <v>Institut Kanser Negara</v>
          </cell>
          <cell r="D897" t="str">
            <v>KKM/IKN/H/13/4289</v>
          </cell>
          <cell r="E897" t="str">
            <v>13-217</v>
          </cell>
          <cell r="F897" t="str">
            <v>Infusion Pumps, Syringe</v>
          </cell>
          <cell r="G897" t="str">
            <v>WC</v>
          </cell>
          <cell r="H897" t="str">
            <v>SURGICAL ONCO FEMALE WARD</v>
          </cell>
          <cell r="I897" t="str">
            <v>06WC113</v>
          </cell>
          <cell r="J897" t="str">
            <v>EQUIPMENT ROOM</v>
          </cell>
          <cell r="K897" t="str">
            <v>BMED</v>
          </cell>
          <cell r="L897" t="str">
            <v>Normal</v>
          </cell>
          <cell r="M897" t="str">
            <v>Germany</v>
          </cell>
          <cell r="N897" t="str">
            <v>Perfusor</v>
          </cell>
          <cell r="O897" t="str">
            <v>Perfusor Space</v>
          </cell>
          <cell r="P897" t="str">
            <v>187037</v>
          </cell>
          <cell r="Q897" t="str">
            <v>Not Applicable</v>
          </cell>
          <cell r="R897" t="str">
            <v>B Braun Melsungen AG</v>
          </cell>
          <cell r="S897" t="str">
            <v>B Braun Medical Supplies Sdn. Bhd.</v>
          </cell>
          <cell r="T897" t="str">
            <v>Functioning</v>
          </cell>
          <cell r="U897" t="str">
            <v>Asset</v>
          </cell>
          <cell r="V897">
            <v>10225</v>
          </cell>
          <cell r="W897" t="str">
            <v>KEW</v>
          </cell>
          <cell r="X897" t="str">
            <v>01/09/2010</v>
          </cell>
          <cell r="Y897" t="str">
            <v>KEW</v>
          </cell>
          <cell r="Z897" t="str">
            <v>16/08/2013</v>
          </cell>
          <cell r="AA897" t="str">
            <v>15/08/2015</v>
          </cell>
          <cell r="AB897" t="str">
            <v>No</v>
          </cell>
          <cell r="AC897" t="str">
            <v>31/08/2013</v>
          </cell>
          <cell r="AD897" t="str">
            <v>Good</v>
          </cell>
          <cell r="AE897" t="str">
            <v>V1 - Existing / No Claim</v>
          </cell>
          <cell r="AF897">
            <v>42235</v>
          </cell>
          <cell r="AG897">
            <v>9.17</v>
          </cell>
          <cell r="AH897" t="str">
            <v>PPM</v>
          </cell>
          <cell r="AI897" t="str">
            <v>Strands</v>
          </cell>
          <cell r="AJ897" t="str">
            <v>Strands PW</v>
          </cell>
        </row>
        <row r="898">
          <cell r="A898" t="str">
            <v>IKN400446</v>
          </cell>
          <cell r="B898">
            <v>446</v>
          </cell>
          <cell r="C898" t="str">
            <v>Institut Kanser Negara</v>
          </cell>
          <cell r="D898" t="str">
            <v>KKM/IKN/H/13/1287</v>
          </cell>
          <cell r="E898" t="str">
            <v>13-215</v>
          </cell>
          <cell r="F898" t="str">
            <v>Infusion Pumps, General-Purpose</v>
          </cell>
          <cell r="G898" t="str">
            <v>WC</v>
          </cell>
          <cell r="H898" t="str">
            <v>SURGICAL ONCO FEMALE WARD</v>
          </cell>
          <cell r="I898" t="str">
            <v>06WC113</v>
          </cell>
          <cell r="J898" t="str">
            <v>EQUIPMENT ROOM</v>
          </cell>
          <cell r="K898" t="str">
            <v>BMED</v>
          </cell>
          <cell r="L898" t="str">
            <v>Normal</v>
          </cell>
          <cell r="M898" t="str">
            <v>Germany</v>
          </cell>
          <cell r="N898" t="str">
            <v>Infusomat</v>
          </cell>
          <cell r="O898" t="str">
            <v>Infusomat Space</v>
          </cell>
          <cell r="P898" t="str">
            <v>212021</v>
          </cell>
          <cell r="Q898" t="str">
            <v>Not Applicable</v>
          </cell>
          <cell r="R898" t="str">
            <v>B Braun Melsungen AG</v>
          </cell>
          <cell r="S898" t="str">
            <v>B Braun Medical Supplies Sdn. Bhd.</v>
          </cell>
          <cell r="T898" t="str">
            <v>Functioning</v>
          </cell>
          <cell r="U898" t="str">
            <v>Asset</v>
          </cell>
          <cell r="V898">
            <v>10825</v>
          </cell>
          <cell r="W898" t="str">
            <v>KEW</v>
          </cell>
          <cell r="X898" t="str">
            <v>01/09/2010</v>
          </cell>
          <cell r="Y898" t="str">
            <v>KEW</v>
          </cell>
          <cell r="Z898" t="str">
            <v>16/08/2013</v>
          </cell>
          <cell r="AA898" t="str">
            <v>15/08/2015</v>
          </cell>
          <cell r="AB898" t="str">
            <v>No</v>
          </cell>
          <cell r="AC898" t="str">
            <v>31/08/2013</v>
          </cell>
          <cell r="AD898" t="str">
            <v>Good</v>
          </cell>
          <cell r="AE898" t="str">
            <v>V1 - Existing / No Claim</v>
          </cell>
          <cell r="AF898">
            <v>42235</v>
          </cell>
          <cell r="AG898">
            <v>9.17</v>
          </cell>
          <cell r="AH898" t="str">
            <v>PPM</v>
          </cell>
          <cell r="AI898" t="str">
            <v>Strands</v>
          </cell>
          <cell r="AJ898" t="str">
            <v>Strands PW</v>
          </cell>
        </row>
        <row r="899">
          <cell r="A899" t="str">
            <v>IKN400447</v>
          </cell>
          <cell r="B899">
            <v>447</v>
          </cell>
          <cell r="C899" t="str">
            <v>Institut Kanser Negara</v>
          </cell>
          <cell r="D899" t="str">
            <v>KKM/IKN/H/13/1290</v>
          </cell>
          <cell r="E899" t="str">
            <v>13-215</v>
          </cell>
          <cell r="F899" t="str">
            <v>Infusion Pumps, General-Purpose</v>
          </cell>
          <cell r="G899" t="str">
            <v>WC</v>
          </cell>
          <cell r="H899" t="str">
            <v>SURGICAL ONCO FEMALE WARD</v>
          </cell>
          <cell r="I899" t="str">
            <v>06WC113</v>
          </cell>
          <cell r="J899" t="str">
            <v>EQUIPMENT ROOM</v>
          </cell>
          <cell r="K899" t="str">
            <v>BMED</v>
          </cell>
          <cell r="L899" t="str">
            <v>Normal</v>
          </cell>
          <cell r="M899" t="str">
            <v>Germany</v>
          </cell>
          <cell r="N899" t="str">
            <v>Infusomat</v>
          </cell>
          <cell r="O899" t="str">
            <v>Infusomat Space</v>
          </cell>
          <cell r="P899" t="str">
            <v>211869</v>
          </cell>
          <cell r="Q899" t="str">
            <v>Not Applicable</v>
          </cell>
          <cell r="R899" t="str">
            <v>B Braun Melsungen AG</v>
          </cell>
          <cell r="S899" t="str">
            <v>B Braun Medical Supplies Sdn. Bhd.</v>
          </cell>
          <cell r="T899" t="str">
            <v>Functioning</v>
          </cell>
          <cell r="U899" t="str">
            <v>Asset</v>
          </cell>
          <cell r="V899">
            <v>10825</v>
          </cell>
          <cell r="W899" t="str">
            <v>KEW</v>
          </cell>
          <cell r="X899" t="str">
            <v>01/09/2010</v>
          </cell>
          <cell r="Y899" t="str">
            <v>KEW</v>
          </cell>
          <cell r="Z899" t="str">
            <v>16/08/2013</v>
          </cell>
          <cell r="AA899" t="str">
            <v>15/08/2015</v>
          </cell>
          <cell r="AB899" t="str">
            <v>No</v>
          </cell>
          <cell r="AC899" t="str">
            <v>31/08/2013</v>
          </cell>
          <cell r="AD899" t="str">
            <v>Good</v>
          </cell>
          <cell r="AE899" t="str">
            <v>V1 - Existing / No Claim</v>
          </cell>
          <cell r="AF899">
            <v>42235</v>
          </cell>
          <cell r="AG899">
            <v>9.17</v>
          </cell>
          <cell r="AH899" t="str">
            <v>PPM</v>
          </cell>
          <cell r="AI899" t="str">
            <v>Strands</v>
          </cell>
          <cell r="AJ899" t="str">
            <v>Strands PW</v>
          </cell>
        </row>
        <row r="900">
          <cell r="A900" t="str">
            <v>IKN400448</v>
          </cell>
          <cell r="B900">
            <v>448</v>
          </cell>
          <cell r="C900" t="str">
            <v>Institut Kanser Negara</v>
          </cell>
          <cell r="D900" t="str">
            <v>KKM/IKN/H/13/1292</v>
          </cell>
          <cell r="E900" t="str">
            <v>13-215</v>
          </cell>
          <cell r="F900" t="str">
            <v>Infusion Pumps, General-Purpose</v>
          </cell>
          <cell r="G900" t="str">
            <v>WC</v>
          </cell>
          <cell r="H900" t="str">
            <v>SURGICAL ONCO FEMALE WARD</v>
          </cell>
          <cell r="I900" t="str">
            <v>06WC113</v>
          </cell>
          <cell r="J900" t="str">
            <v>EQUIPMENT ROOM</v>
          </cell>
          <cell r="K900" t="str">
            <v>BMED</v>
          </cell>
          <cell r="L900" t="str">
            <v>Normal</v>
          </cell>
          <cell r="M900" t="str">
            <v>Germany</v>
          </cell>
          <cell r="N900" t="str">
            <v>Infusomat</v>
          </cell>
          <cell r="O900" t="str">
            <v>Infusomat Space</v>
          </cell>
          <cell r="P900" t="str">
            <v>211921</v>
          </cell>
          <cell r="Q900" t="str">
            <v>Not Applicable</v>
          </cell>
          <cell r="R900" t="str">
            <v>B Braun Melsungen AG</v>
          </cell>
          <cell r="S900" t="str">
            <v>B Braun Medical Supplies Sdn. Bhd.</v>
          </cell>
          <cell r="T900" t="str">
            <v>Functioning</v>
          </cell>
          <cell r="U900" t="str">
            <v>Asset</v>
          </cell>
          <cell r="V900">
            <v>10825</v>
          </cell>
          <cell r="W900" t="str">
            <v>KEW</v>
          </cell>
          <cell r="X900" t="str">
            <v>01/09/2010</v>
          </cell>
          <cell r="Y900" t="str">
            <v>KEW</v>
          </cell>
          <cell r="Z900" t="str">
            <v>16/08/2013</v>
          </cell>
          <cell r="AA900" t="str">
            <v>15/08/2015</v>
          </cell>
          <cell r="AB900" t="str">
            <v>No</v>
          </cell>
          <cell r="AC900" t="str">
            <v>31/08/2013</v>
          </cell>
          <cell r="AD900" t="str">
            <v>Good</v>
          </cell>
          <cell r="AE900" t="str">
            <v>V1 - Existing / No Claim</v>
          </cell>
          <cell r="AF900">
            <v>42235</v>
          </cell>
          <cell r="AG900">
            <v>9.17</v>
          </cell>
          <cell r="AH900" t="str">
            <v>PPM</v>
          </cell>
          <cell r="AI900" t="str">
            <v>Strands</v>
          </cell>
          <cell r="AJ900" t="str">
            <v>Strands PW</v>
          </cell>
        </row>
        <row r="901">
          <cell r="A901" t="str">
            <v>IKN400449</v>
          </cell>
          <cell r="B901">
            <v>449</v>
          </cell>
          <cell r="C901" t="str">
            <v>Institut Kanser Negara</v>
          </cell>
          <cell r="D901" t="str">
            <v>KKM/IKN/H/13/1294</v>
          </cell>
          <cell r="E901" t="str">
            <v>13-215</v>
          </cell>
          <cell r="F901" t="str">
            <v>Infusion Pumps, General-Purpose</v>
          </cell>
          <cell r="G901" t="str">
            <v>WC</v>
          </cell>
          <cell r="H901" t="str">
            <v>SURGICAL ONCO FEMALE WARD</v>
          </cell>
          <cell r="I901" t="str">
            <v>06WC113</v>
          </cell>
          <cell r="J901" t="str">
            <v>EQUIPMENT ROOM</v>
          </cell>
          <cell r="K901" t="str">
            <v>BMED</v>
          </cell>
          <cell r="L901" t="str">
            <v>Normal</v>
          </cell>
          <cell r="M901" t="str">
            <v>Germany</v>
          </cell>
          <cell r="N901" t="str">
            <v>Infusomat</v>
          </cell>
          <cell r="O901" t="str">
            <v>Infusomat Space</v>
          </cell>
          <cell r="P901" t="str">
            <v>212004</v>
          </cell>
          <cell r="Q901" t="str">
            <v>Not Applicable</v>
          </cell>
          <cell r="R901" t="str">
            <v>B Braun Melsungen AG</v>
          </cell>
          <cell r="S901" t="str">
            <v>B Braun Medical Supplies Sdn. Bhd.</v>
          </cell>
          <cell r="T901" t="str">
            <v>Functioning</v>
          </cell>
          <cell r="U901" t="str">
            <v>Asset</v>
          </cell>
          <cell r="V901">
            <v>10825</v>
          </cell>
          <cell r="W901" t="str">
            <v>KEW</v>
          </cell>
          <cell r="X901" t="str">
            <v>01/09/2010</v>
          </cell>
          <cell r="Y901" t="str">
            <v>KEW</v>
          </cell>
          <cell r="Z901" t="str">
            <v>16/08/2013</v>
          </cell>
          <cell r="AA901" t="str">
            <v>15/08/2015</v>
          </cell>
          <cell r="AB901" t="str">
            <v>No</v>
          </cell>
          <cell r="AC901" t="str">
            <v>31/08/2013</v>
          </cell>
          <cell r="AD901" t="str">
            <v>Good</v>
          </cell>
          <cell r="AE901" t="str">
            <v>V1 - Existing / No Claim</v>
          </cell>
          <cell r="AF901">
            <v>42235</v>
          </cell>
          <cell r="AG901">
            <v>9.17</v>
          </cell>
          <cell r="AH901" t="str">
            <v>PPM</v>
          </cell>
          <cell r="AI901" t="str">
            <v>Strands</v>
          </cell>
          <cell r="AJ901" t="str">
            <v>Strands PW</v>
          </cell>
        </row>
        <row r="902">
          <cell r="A902" t="str">
            <v>IKN400450</v>
          </cell>
          <cell r="B902">
            <v>450</v>
          </cell>
          <cell r="C902" t="str">
            <v>Institut Kanser Negara</v>
          </cell>
          <cell r="D902" t="str">
            <v>KKM/IKN/H/13/4558</v>
          </cell>
          <cell r="E902" t="str">
            <v>18-147</v>
          </cell>
          <cell r="F902" t="str">
            <v>Mattress Systems, Alternating-Pressure</v>
          </cell>
          <cell r="G902" t="str">
            <v>WC</v>
          </cell>
          <cell r="H902" t="str">
            <v>SURGICAL ONCO FEMALE WARD</v>
          </cell>
          <cell r="I902" t="str">
            <v>06WC113</v>
          </cell>
          <cell r="J902" t="str">
            <v>EQUIPMENT ROOM</v>
          </cell>
          <cell r="K902" t="str">
            <v>BMED</v>
          </cell>
          <cell r="L902" t="str">
            <v>Normal</v>
          </cell>
          <cell r="M902" t="str">
            <v>Poland</v>
          </cell>
          <cell r="N902" t="str">
            <v>Nimbus</v>
          </cell>
          <cell r="O902" t="str">
            <v>Nimbus 3</v>
          </cell>
          <cell r="P902" t="str">
            <v>1200006467</v>
          </cell>
          <cell r="Q902" t="str">
            <v>Not Applicable</v>
          </cell>
          <cell r="R902" t="str">
            <v>Arjohuntleigh</v>
          </cell>
          <cell r="S902" t="str">
            <v>Hexamine Sdn. Bhd.</v>
          </cell>
          <cell r="T902" t="str">
            <v>Functioning</v>
          </cell>
          <cell r="U902" t="str">
            <v>Asset</v>
          </cell>
          <cell r="V902">
            <v>28630</v>
          </cell>
          <cell r="W902" t="str">
            <v>KEW</v>
          </cell>
          <cell r="X902" t="str">
            <v>01/09/2010</v>
          </cell>
          <cell r="Y902" t="str">
            <v>KEW</v>
          </cell>
          <cell r="Z902" t="str">
            <v>16/08/2013</v>
          </cell>
          <cell r="AA902" t="str">
            <v>15/08/2015</v>
          </cell>
          <cell r="AB902" t="str">
            <v>No</v>
          </cell>
          <cell r="AC902" t="str">
            <v>31/08/2013</v>
          </cell>
          <cell r="AD902" t="str">
            <v>Good</v>
          </cell>
          <cell r="AE902" t="str">
            <v>V1 - Existing / No Claim</v>
          </cell>
          <cell r="AF902">
            <v>42235</v>
          </cell>
          <cell r="AG902">
            <v>9.17</v>
          </cell>
          <cell r="AH902" t="str">
            <v>PPM</v>
          </cell>
          <cell r="AI902" t="str">
            <v>Strands</v>
          </cell>
          <cell r="AJ902" t="str">
            <v>Strands PW</v>
          </cell>
        </row>
        <row r="903">
          <cell r="A903" t="str">
            <v>IKN400451</v>
          </cell>
          <cell r="B903">
            <v>451</v>
          </cell>
          <cell r="C903" t="str">
            <v>Institut Kanser Negara</v>
          </cell>
          <cell r="D903" t="str">
            <v>KKM/IKN/H/13/4559</v>
          </cell>
          <cell r="E903" t="str">
            <v>18-147</v>
          </cell>
          <cell r="F903" t="str">
            <v>Mattress Systems, Alternating-Pressure</v>
          </cell>
          <cell r="G903" t="str">
            <v>WC</v>
          </cell>
          <cell r="H903" t="str">
            <v>SURGICAL ONCO FEMALE WARD</v>
          </cell>
          <cell r="I903" t="str">
            <v>06WC113</v>
          </cell>
          <cell r="J903" t="str">
            <v>EQUIPMENT ROOM</v>
          </cell>
          <cell r="K903" t="str">
            <v>BMED</v>
          </cell>
          <cell r="L903" t="str">
            <v>Normal</v>
          </cell>
          <cell r="M903" t="str">
            <v>Poland</v>
          </cell>
          <cell r="N903" t="str">
            <v>Nimbus</v>
          </cell>
          <cell r="O903" t="str">
            <v>Nimbus 3</v>
          </cell>
          <cell r="P903" t="str">
            <v>1200005118</v>
          </cell>
          <cell r="Q903" t="str">
            <v>Not Applicable</v>
          </cell>
          <cell r="R903" t="str">
            <v>Arjohuntleigh</v>
          </cell>
          <cell r="S903" t="str">
            <v>Hexamine Sdn. Bhd.</v>
          </cell>
          <cell r="T903" t="str">
            <v>Functioning</v>
          </cell>
          <cell r="U903" t="str">
            <v>Asset</v>
          </cell>
          <cell r="V903">
            <v>28630</v>
          </cell>
          <cell r="W903" t="str">
            <v>KEW</v>
          </cell>
          <cell r="X903" t="str">
            <v>01/09/2010</v>
          </cell>
          <cell r="Y903" t="str">
            <v>KEW</v>
          </cell>
          <cell r="Z903" t="str">
            <v>16/08/2013</v>
          </cell>
          <cell r="AA903" t="str">
            <v>15/08/2015</v>
          </cell>
          <cell r="AB903" t="str">
            <v>No</v>
          </cell>
          <cell r="AC903" t="str">
            <v>31/08/2013</v>
          </cell>
          <cell r="AD903" t="str">
            <v>Good</v>
          </cell>
          <cell r="AE903" t="str">
            <v>V1 - Existing / No Claim</v>
          </cell>
          <cell r="AF903">
            <v>42235</v>
          </cell>
          <cell r="AG903">
            <v>9.17</v>
          </cell>
          <cell r="AH903" t="str">
            <v>PPM</v>
          </cell>
          <cell r="AI903" t="str">
            <v>Strands</v>
          </cell>
          <cell r="AJ903" t="str">
            <v>Strands PW</v>
          </cell>
        </row>
        <row r="904">
          <cell r="A904" t="str">
            <v>IKN400452</v>
          </cell>
          <cell r="B904">
            <v>452</v>
          </cell>
          <cell r="C904" t="str">
            <v>Institut Kanser Negara</v>
          </cell>
          <cell r="D904" t="str">
            <v>KKM/IKN/H/13/4560</v>
          </cell>
          <cell r="E904" t="str">
            <v>18-147</v>
          </cell>
          <cell r="F904" t="str">
            <v>Mattress Systems, Alternating-Pressure</v>
          </cell>
          <cell r="G904" t="str">
            <v>WC</v>
          </cell>
          <cell r="H904" t="str">
            <v>SURGICAL ONCO FEMALE WARD</v>
          </cell>
          <cell r="I904" t="str">
            <v>06WC113</v>
          </cell>
          <cell r="J904" t="str">
            <v>EQUIPMENT ROOM</v>
          </cell>
          <cell r="K904" t="str">
            <v>BMED</v>
          </cell>
          <cell r="L904" t="str">
            <v>Normal</v>
          </cell>
          <cell r="M904" t="str">
            <v>Poland</v>
          </cell>
          <cell r="N904" t="str">
            <v>Nimbus</v>
          </cell>
          <cell r="O904" t="str">
            <v>Nimbus 3</v>
          </cell>
          <cell r="P904" t="str">
            <v>1200005114</v>
          </cell>
          <cell r="Q904" t="str">
            <v>Not Applicable</v>
          </cell>
          <cell r="R904" t="str">
            <v>Arjohuntleigh</v>
          </cell>
          <cell r="S904" t="str">
            <v>Hexamine Sdn. Bhd.</v>
          </cell>
          <cell r="T904" t="str">
            <v>Functioning</v>
          </cell>
          <cell r="U904" t="str">
            <v>Asset</v>
          </cell>
          <cell r="V904">
            <v>28630</v>
          </cell>
          <cell r="W904" t="str">
            <v>KEW</v>
          </cell>
          <cell r="X904" t="str">
            <v>01/09/2010</v>
          </cell>
          <cell r="Y904" t="str">
            <v>KEW</v>
          </cell>
          <cell r="Z904" t="str">
            <v>16/08/2013</v>
          </cell>
          <cell r="AA904" t="str">
            <v>15/08/2015</v>
          </cell>
          <cell r="AB904" t="str">
            <v>No</v>
          </cell>
          <cell r="AC904" t="str">
            <v>31/08/2013</v>
          </cell>
          <cell r="AD904" t="str">
            <v>Good</v>
          </cell>
          <cell r="AE904" t="str">
            <v>V1 - Existing / No Claim</v>
          </cell>
          <cell r="AF904">
            <v>42235</v>
          </cell>
          <cell r="AG904">
            <v>9.17</v>
          </cell>
          <cell r="AH904" t="str">
            <v>PPM</v>
          </cell>
          <cell r="AI904" t="str">
            <v>Strands</v>
          </cell>
          <cell r="AJ904" t="str">
            <v>Strands PW</v>
          </cell>
        </row>
        <row r="905">
          <cell r="A905" t="str">
            <v>IKN400453</v>
          </cell>
          <cell r="B905">
            <v>453</v>
          </cell>
          <cell r="C905" t="str">
            <v>Institut Kanser Negara</v>
          </cell>
          <cell r="D905" t="str">
            <v>KKM/IKN/H/13/4561</v>
          </cell>
          <cell r="E905" t="str">
            <v>18-147</v>
          </cell>
          <cell r="F905" t="str">
            <v>Mattress Systems, Alternating-Pressure</v>
          </cell>
          <cell r="G905" t="str">
            <v>WC</v>
          </cell>
          <cell r="H905" t="str">
            <v>SURGICAL ONCO FEMALE WARD</v>
          </cell>
          <cell r="I905" t="str">
            <v>06WC113</v>
          </cell>
          <cell r="J905" t="str">
            <v>EQUIPMENT ROOM</v>
          </cell>
          <cell r="K905" t="str">
            <v>BMED</v>
          </cell>
          <cell r="L905" t="str">
            <v>Normal</v>
          </cell>
          <cell r="M905" t="str">
            <v>Poland</v>
          </cell>
          <cell r="N905" t="str">
            <v>Nimbus</v>
          </cell>
          <cell r="O905" t="str">
            <v>Nimbus 3</v>
          </cell>
          <cell r="P905" t="str">
            <v>1200005110</v>
          </cell>
          <cell r="Q905" t="str">
            <v>Not Applicable</v>
          </cell>
          <cell r="R905" t="str">
            <v>Arjohuntleigh</v>
          </cell>
          <cell r="S905" t="str">
            <v>Hexamine Sdn. Bhd.</v>
          </cell>
          <cell r="T905" t="str">
            <v>Functioning</v>
          </cell>
          <cell r="U905" t="str">
            <v>Asset</v>
          </cell>
          <cell r="V905">
            <v>28630</v>
          </cell>
          <cell r="W905" t="str">
            <v>KEW</v>
          </cell>
          <cell r="X905" t="str">
            <v>01/09/2010</v>
          </cell>
          <cell r="Y905" t="str">
            <v>KEW</v>
          </cell>
          <cell r="Z905" t="str">
            <v>16/08/2013</v>
          </cell>
          <cell r="AA905" t="str">
            <v>15/08/2015</v>
          </cell>
          <cell r="AB905" t="str">
            <v>No</v>
          </cell>
          <cell r="AC905" t="str">
            <v>31/08/2013</v>
          </cell>
          <cell r="AD905" t="str">
            <v>Good</v>
          </cell>
          <cell r="AE905" t="str">
            <v>V1 - Existing / No Claim</v>
          </cell>
          <cell r="AF905">
            <v>42235</v>
          </cell>
          <cell r="AG905">
            <v>9.17</v>
          </cell>
          <cell r="AH905" t="str">
            <v>PPM</v>
          </cell>
          <cell r="AI905" t="str">
            <v>Strands</v>
          </cell>
          <cell r="AJ905" t="str">
            <v>Strands PW</v>
          </cell>
        </row>
        <row r="906">
          <cell r="A906" t="str">
            <v>IKN400454</v>
          </cell>
          <cell r="B906">
            <v>454</v>
          </cell>
          <cell r="C906" t="str">
            <v>Institut Kanser Negara</v>
          </cell>
          <cell r="D906" t="str">
            <v>KKM/IKN/H/13/4562</v>
          </cell>
          <cell r="E906" t="str">
            <v>18-147</v>
          </cell>
          <cell r="F906" t="str">
            <v>Mattress Systems, Alternating-Pressure</v>
          </cell>
          <cell r="G906" t="str">
            <v>WC</v>
          </cell>
          <cell r="H906" t="str">
            <v>SURGICAL ONCO FEMALE WARD</v>
          </cell>
          <cell r="I906" t="str">
            <v>06WC113</v>
          </cell>
          <cell r="J906" t="str">
            <v>EQUIPMENT ROOM</v>
          </cell>
          <cell r="K906" t="str">
            <v>BMED</v>
          </cell>
          <cell r="L906" t="str">
            <v>Normal</v>
          </cell>
          <cell r="M906" t="str">
            <v>Poland</v>
          </cell>
          <cell r="N906" t="str">
            <v>Nimbus</v>
          </cell>
          <cell r="O906" t="str">
            <v>Nimbus 3</v>
          </cell>
          <cell r="P906" t="str">
            <v>1200006479</v>
          </cell>
          <cell r="Q906" t="str">
            <v>Not Applicable</v>
          </cell>
          <cell r="R906" t="str">
            <v>Arjohuntleigh</v>
          </cell>
          <cell r="S906" t="str">
            <v>Hexamine Sdn. Bhd.</v>
          </cell>
          <cell r="T906" t="str">
            <v>Functioning</v>
          </cell>
          <cell r="U906" t="str">
            <v>Asset</v>
          </cell>
          <cell r="V906">
            <v>28630</v>
          </cell>
          <cell r="W906" t="str">
            <v>KEW</v>
          </cell>
          <cell r="X906" t="str">
            <v>01/09/2010</v>
          </cell>
          <cell r="Y906" t="str">
            <v>KEW</v>
          </cell>
          <cell r="Z906" t="str">
            <v>16/08/2013</v>
          </cell>
          <cell r="AA906" t="str">
            <v>15/08/2015</v>
          </cell>
          <cell r="AB906" t="str">
            <v>No</v>
          </cell>
          <cell r="AC906" t="str">
            <v>31/08/2013</v>
          </cell>
          <cell r="AD906" t="str">
            <v>Good</v>
          </cell>
          <cell r="AE906" t="str">
            <v>V1 - Existing / No Claim</v>
          </cell>
          <cell r="AF906">
            <v>42235</v>
          </cell>
          <cell r="AG906">
            <v>9.17</v>
          </cell>
          <cell r="AH906" t="str">
            <v>PPM</v>
          </cell>
          <cell r="AI906" t="str">
            <v>Strands</v>
          </cell>
          <cell r="AJ906" t="str">
            <v>Strands PW</v>
          </cell>
        </row>
        <row r="907">
          <cell r="A907" t="str">
            <v>IKN400455</v>
          </cell>
          <cell r="B907">
            <v>455</v>
          </cell>
          <cell r="C907" t="str">
            <v>Institut Kanser Negara</v>
          </cell>
          <cell r="D907" t="str">
            <v>KKM/IKN/H/13/4563</v>
          </cell>
          <cell r="E907" t="str">
            <v>18-147</v>
          </cell>
          <cell r="F907" t="str">
            <v>Mattress Systems, Alternating-Pressure</v>
          </cell>
          <cell r="G907" t="str">
            <v>WC</v>
          </cell>
          <cell r="H907" t="str">
            <v>SURGICAL ONCO FEMALE WARD</v>
          </cell>
          <cell r="I907" t="str">
            <v>06WC113</v>
          </cell>
          <cell r="J907" t="str">
            <v>EQUIPMENT ROOM</v>
          </cell>
          <cell r="K907" t="str">
            <v>BMED</v>
          </cell>
          <cell r="L907" t="str">
            <v>Normal</v>
          </cell>
          <cell r="M907" t="str">
            <v>Poland</v>
          </cell>
          <cell r="N907" t="str">
            <v>Nimbus</v>
          </cell>
          <cell r="O907" t="str">
            <v>Nimbus 3</v>
          </cell>
          <cell r="P907" t="str">
            <v>1200006447</v>
          </cell>
          <cell r="Q907" t="str">
            <v>Not Applicable</v>
          </cell>
          <cell r="R907" t="str">
            <v>Arjohuntleigh</v>
          </cell>
          <cell r="S907" t="str">
            <v>Hexamine Sdn. Bhd.</v>
          </cell>
          <cell r="T907" t="str">
            <v>Functioning</v>
          </cell>
          <cell r="U907" t="str">
            <v>Asset</v>
          </cell>
          <cell r="V907">
            <v>28630</v>
          </cell>
          <cell r="W907" t="str">
            <v>KEW</v>
          </cell>
          <cell r="X907" t="str">
            <v>01/09/2010</v>
          </cell>
          <cell r="Y907" t="str">
            <v>KEW</v>
          </cell>
          <cell r="Z907" t="str">
            <v>16/08/2013</v>
          </cell>
          <cell r="AA907" t="str">
            <v>15/08/2015</v>
          </cell>
          <cell r="AB907" t="str">
            <v>No</v>
          </cell>
          <cell r="AC907" t="str">
            <v>31/08/2013</v>
          </cell>
          <cell r="AD907" t="str">
            <v>Good</v>
          </cell>
          <cell r="AE907" t="str">
            <v>V1 - Existing / No Claim</v>
          </cell>
          <cell r="AF907">
            <v>42235</v>
          </cell>
          <cell r="AG907">
            <v>9.17</v>
          </cell>
          <cell r="AH907" t="str">
            <v>PPM</v>
          </cell>
          <cell r="AI907" t="str">
            <v>Strands</v>
          </cell>
          <cell r="AJ907" t="str">
            <v>Strands PW</v>
          </cell>
        </row>
        <row r="908">
          <cell r="A908" t="str">
            <v>IKN400456</v>
          </cell>
          <cell r="B908">
            <v>456</v>
          </cell>
          <cell r="C908" t="str">
            <v>Institut Kanser Negara</v>
          </cell>
          <cell r="D908" t="str">
            <v>KKM/IKN/H/13/1335</v>
          </cell>
          <cell r="E908" t="str">
            <v>10-208</v>
          </cell>
          <cell r="F908" t="str">
            <v>Aspirators</v>
          </cell>
          <cell r="G908" t="str">
            <v>WC</v>
          </cell>
          <cell r="H908" t="str">
            <v>SURGICAL ONCO FEMALE WARD</v>
          </cell>
          <cell r="I908" t="str">
            <v>06WC107</v>
          </cell>
          <cell r="J908" t="str">
            <v>TREATMENT / PROCEDURE</v>
          </cell>
          <cell r="K908" t="str">
            <v>BMED</v>
          </cell>
          <cell r="L908" t="str">
            <v>Normal</v>
          </cell>
          <cell r="M908" t="str">
            <v>Switzerland</v>
          </cell>
          <cell r="N908" t="str">
            <v>Senator</v>
          </cell>
          <cell r="O908" t="str">
            <v>Senator</v>
          </cell>
          <cell r="P908" t="str">
            <v>1220742</v>
          </cell>
          <cell r="Q908" t="str">
            <v>Not Applicable</v>
          </cell>
          <cell r="R908" t="str">
            <v>Ardo Medical AG</v>
          </cell>
          <cell r="S908" t="str">
            <v>Histopoint</v>
          </cell>
          <cell r="T908" t="str">
            <v>Functioning</v>
          </cell>
          <cell r="U908" t="str">
            <v>Asset</v>
          </cell>
          <cell r="V908">
            <v>5052</v>
          </cell>
          <cell r="W908" t="str">
            <v>KEW</v>
          </cell>
          <cell r="X908" t="str">
            <v>01/09/2010</v>
          </cell>
          <cell r="Y908" t="str">
            <v>KEW</v>
          </cell>
          <cell r="Z908" t="str">
            <v>16/08/2013</v>
          </cell>
          <cell r="AA908" t="str">
            <v>15/08/2015</v>
          </cell>
          <cell r="AB908" t="str">
            <v>No</v>
          </cell>
          <cell r="AC908" t="str">
            <v>31/08/2013</v>
          </cell>
          <cell r="AD908" t="str">
            <v>Good</v>
          </cell>
          <cell r="AE908" t="str">
            <v>V1 - Existing / No Claim</v>
          </cell>
          <cell r="AF908">
            <v>42235</v>
          </cell>
          <cell r="AG908">
            <v>9.17</v>
          </cell>
          <cell r="AH908" t="str">
            <v>PPM</v>
          </cell>
          <cell r="AI908" t="str">
            <v>Strands</v>
          </cell>
          <cell r="AJ908" t="str">
            <v>Strands PW</v>
          </cell>
        </row>
        <row r="909">
          <cell r="A909" t="str">
            <v>IKN400457</v>
          </cell>
          <cell r="B909">
            <v>457</v>
          </cell>
          <cell r="C909" t="str">
            <v>Institut Kanser Negara</v>
          </cell>
          <cell r="D909" t="str">
            <v>KKM/IKN/H/13/1338</v>
          </cell>
          <cell r="E909" t="str">
            <v>10-208</v>
          </cell>
          <cell r="F909" t="str">
            <v>Aspirators</v>
          </cell>
          <cell r="G909" t="str">
            <v>WC</v>
          </cell>
          <cell r="H909" t="str">
            <v>SURGICAL ONCO FEMALE WARD</v>
          </cell>
          <cell r="I909" t="str">
            <v>06WC113</v>
          </cell>
          <cell r="J909" t="str">
            <v>EQUIPMENT ROOM</v>
          </cell>
          <cell r="K909" t="str">
            <v>BMED</v>
          </cell>
          <cell r="L909" t="str">
            <v>Normal</v>
          </cell>
          <cell r="M909" t="str">
            <v>UK</v>
          </cell>
          <cell r="N909" t="str">
            <v>SAM</v>
          </cell>
          <cell r="O909" t="str">
            <v>SAM 427</v>
          </cell>
          <cell r="P909" t="str">
            <v>0313-0529</v>
          </cell>
          <cell r="Q909" t="str">
            <v>Not Applicable</v>
          </cell>
          <cell r="R909" t="str">
            <v>MG Electric Ltd</v>
          </cell>
          <cell r="S909" t="str">
            <v>Delta Medisains</v>
          </cell>
          <cell r="T909" t="str">
            <v>Functioning</v>
          </cell>
          <cell r="U909" t="str">
            <v>Asset</v>
          </cell>
          <cell r="V909">
            <v>10705</v>
          </cell>
          <cell r="W909" t="str">
            <v>KEW</v>
          </cell>
          <cell r="X909" t="str">
            <v>01/09/2010</v>
          </cell>
          <cell r="Y909" t="str">
            <v>KEW</v>
          </cell>
          <cell r="Z909" t="str">
            <v>16/08/2013</v>
          </cell>
          <cell r="AA909" t="str">
            <v>15/08/2015</v>
          </cell>
          <cell r="AB909" t="str">
            <v>No</v>
          </cell>
          <cell r="AC909" t="str">
            <v>31/08/2013</v>
          </cell>
          <cell r="AD909" t="str">
            <v>Good</v>
          </cell>
          <cell r="AE909" t="str">
            <v>V1 - Existing / No Claim</v>
          </cell>
          <cell r="AF909">
            <v>42235</v>
          </cell>
          <cell r="AG909">
            <v>9.17</v>
          </cell>
          <cell r="AH909" t="str">
            <v>PPM</v>
          </cell>
          <cell r="AI909" t="str">
            <v>Strands</v>
          </cell>
          <cell r="AJ909" t="str">
            <v>Strands PW</v>
          </cell>
        </row>
        <row r="910">
          <cell r="A910" t="str">
            <v>IKN400458</v>
          </cell>
          <cell r="B910">
            <v>458</v>
          </cell>
          <cell r="C910" t="str">
            <v>Institut Kanser Negara</v>
          </cell>
          <cell r="D910" t="str">
            <v>KKM/IKN/H/13/1339</v>
          </cell>
          <cell r="E910" t="str">
            <v>16-173</v>
          </cell>
          <cell r="F910" t="str">
            <v>Sphygmomanometers, Electronic, Automatic</v>
          </cell>
          <cell r="G910" t="str">
            <v>WC</v>
          </cell>
          <cell r="H910" t="str">
            <v>SURGICAL ONCO FEMALE WARD</v>
          </cell>
          <cell r="I910" t="str">
            <v>06WC107</v>
          </cell>
          <cell r="J910" t="str">
            <v>TREATMENT / PROCEDURE</v>
          </cell>
          <cell r="K910" t="str">
            <v>BMED</v>
          </cell>
          <cell r="L910" t="str">
            <v>Normal</v>
          </cell>
          <cell r="M910" t="str">
            <v>Mexico</v>
          </cell>
          <cell r="N910" t="str">
            <v>Carespace</v>
          </cell>
          <cell r="O910" t="str">
            <v>Carescape V100</v>
          </cell>
          <cell r="P910" t="str">
            <v>SH612430122SA</v>
          </cell>
          <cell r="Q910" t="str">
            <v>Not Applicable</v>
          </cell>
          <cell r="R910" t="str">
            <v>GE Healthcare Systems</v>
          </cell>
          <cell r="S910" t="str">
            <v>GE Healthcare Technologies</v>
          </cell>
          <cell r="T910" t="str">
            <v>Functioning</v>
          </cell>
          <cell r="U910" t="str">
            <v>Asset</v>
          </cell>
          <cell r="V910">
            <v>7770</v>
          </cell>
          <cell r="W910" t="str">
            <v>KEW</v>
          </cell>
          <cell r="X910" t="str">
            <v>01/09/2010</v>
          </cell>
          <cell r="Y910" t="str">
            <v>KEW</v>
          </cell>
          <cell r="Z910" t="str">
            <v>16/08/2013</v>
          </cell>
          <cell r="AA910" t="str">
            <v>15/08/2015</v>
          </cell>
          <cell r="AB910" t="str">
            <v>No</v>
          </cell>
          <cell r="AC910" t="str">
            <v>31/08/2013</v>
          </cell>
          <cell r="AD910" t="str">
            <v>Good</v>
          </cell>
          <cell r="AE910" t="str">
            <v>V1 - Existing / No Claim</v>
          </cell>
          <cell r="AF910">
            <v>42235</v>
          </cell>
          <cell r="AG910">
            <v>9.17</v>
          </cell>
          <cell r="AH910" t="str">
            <v>PPM</v>
          </cell>
          <cell r="AI910" t="str">
            <v>Strands</v>
          </cell>
          <cell r="AJ910" t="str">
            <v>Strands PW</v>
          </cell>
        </row>
        <row r="911">
          <cell r="A911" t="str">
            <v>IKN400459</v>
          </cell>
          <cell r="B911">
            <v>459</v>
          </cell>
          <cell r="C911" t="str">
            <v>Institut Kanser Negara</v>
          </cell>
          <cell r="D911" t="str">
            <v>KKM/IKN/H/13/1344</v>
          </cell>
          <cell r="E911" t="str">
            <v>16-231</v>
          </cell>
          <cell r="F911" t="str">
            <v>Electrocardiographs, Multichannel, Interpretative</v>
          </cell>
          <cell r="G911" t="str">
            <v>WC</v>
          </cell>
          <cell r="H911" t="str">
            <v>SURGICAL ONCO FEMALE WARD</v>
          </cell>
          <cell r="I911" t="str">
            <v>06WC107</v>
          </cell>
          <cell r="J911" t="str">
            <v>TREATMENT / PROCEDURE</v>
          </cell>
          <cell r="K911" t="str">
            <v>BMED</v>
          </cell>
          <cell r="L911" t="str">
            <v>Normal</v>
          </cell>
          <cell r="M911" t="str">
            <v>China</v>
          </cell>
          <cell r="N911" t="str">
            <v>Mac</v>
          </cell>
          <cell r="O911" t="str">
            <v>MAC 800</v>
          </cell>
          <cell r="P911" t="str">
            <v>SJ412450372 WA</v>
          </cell>
          <cell r="Q911" t="str">
            <v>Not Applicable</v>
          </cell>
          <cell r="R911" t="str">
            <v>GE Healthcare Systems</v>
          </cell>
          <cell r="S911" t="str">
            <v>GE Healthcare Technologies</v>
          </cell>
          <cell r="T911" t="str">
            <v>Functioning</v>
          </cell>
          <cell r="U911" t="str">
            <v>Asset</v>
          </cell>
          <cell r="V911">
            <v>25260</v>
          </cell>
          <cell r="W911" t="str">
            <v>KEW</v>
          </cell>
          <cell r="X911" t="str">
            <v>01/09/2010</v>
          </cell>
          <cell r="Y911" t="str">
            <v>KEW</v>
          </cell>
          <cell r="Z911" t="str">
            <v>16/08/2013</v>
          </cell>
          <cell r="AA911" t="str">
            <v>15/08/2015</v>
          </cell>
          <cell r="AB911" t="str">
            <v>No</v>
          </cell>
          <cell r="AC911" t="str">
            <v>31/08/2013</v>
          </cell>
          <cell r="AD911" t="str">
            <v>Good</v>
          </cell>
          <cell r="AE911" t="str">
            <v>V1 - Existing / No Claim</v>
          </cell>
          <cell r="AF911">
            <v>42235</v>
          </cell>
          <cell r="AG911">
            <v>9.17</v>
          </cell>
          <cell r="AH911" t="str">
            <v>PPM</v>
          </cell>
          <cell r="AI911" t="str">
            <v>Strands</v>
          </cell>
          <cell r="AJ911" t="str">
            <v>Strands PW</v>
          </cell>
        </row>
        <row r="912">
          <cell r="A912" t="str">
            <v>IKN400460</v>
          </cell>
          <cell r="B912">
            <v>460</v>
          </cell>
          <cell r="C912" t="str">
            <v>Institut Kanser Negara</v>
          </cell>
          <cell r="D912" t="str">
            <v>KKM/IKN/H/13/1345</v>
          </cell>
          <cell r="E912" t="str">
            <v>12-647</v>
          </cell>
          <cell r="F912" t="str">
            <v>Physiologic Monitoring Systems, Acute Care</v>
          </cell>
          <cell r="G912" t="str">
            <v>WC</v>
          </cell>
          <cell r="H912" t="str">
            <v>SURGICAL ONCO FEMALE WARD</v>
          </cell>
          <cell r="I912" t="str">
            <v>06WC113</v>
          </cell>
          <cell r="J912" t="str">
            <v>EQUIPMENT ROOM</v>
          </cell>
          <cell r="K912" t="str">
            <v>BMED</v>
          </cell>
          <cell r="L912" t="str">
            <v>Normal</v>
          </cell>
          <cell r="M912" t="str">
            <v>USA</v>
          </cell>
          <cell r="N912" t="str">
            <v>GE</v>
          </cell>
          <cell r="O912" t="str">
            <v>GE B30</v>
          </cell>
          <cell r="P912" t="str">
            <v>SF312325925WA</v>
          </cell>
          <cell r="Q912" t="str">
            <v>Not Applicable</v>
          </cell>
          <cell r="R912" t="str">
            <v>GE Healthcare Systems</v>
          </cell>
          <cell r="S912" t="str">
            <v>GE Healthcare Technologies</v>
          </cell>
          <cell r="T912" t="str">
            <v>Functioning</v>
          </cell>
          <cell r="U912" t="str">
            <v>Asset</v>
          </cell>
          <cell r="V912">
            <v>44510</v>
          </cell>
          <cell r="W912" t="str">
            <v>KEW</v>
          </cell>
          <cell r="X912" t="str">
            <v>01/09/2010</v>
          </cell>
          <cell r="Y912" t="str">
            <v>KEW</v>
          </cell>
          <cell r="Z912" t="str">
            <v>16/08/2013</v>
          </cell>
          <cell r="AA912" t="str">
            <v>15/08/2015</v>
          </cell>
          <cell r="AB912" t="str">
            <v>No</v>
          </cell>
          <cell r="AC912" t="str">
            <v>31/08/2013</v>
          </cell>
          <cell r="AD912" t="str">
            <v>Good</v>
          </cell>
          <cell r="AE912" t="str">
            <v>V1 - Existing / No Claim</v>
          </cell>
          <cell r="AF912">
            <v>42235</v>
          </cell>
          <cell r="AG912">
            <v>9.17</v>
          </cell>
          <cell r="AH912" t="str">
            <v>PPM</v>
          </cell>
          <cell r="AI912" t="str">
            <v>Strands</v>
          </cell>
          <cell r="AJ912" t="str">
            <v>Strands PW</v>
          </cell>
        </row>
        <row r="913">
          <cell r="A913" t="str">
            <v>IKN400461</v>
          </cell>
          <cell r="B913">
            <v>461</v>
          </cell>
          <cell r="C913" t="str">
            <v>Institut Kanser Negara</v>
          </cell>
          <cell r="D913" t="str">
            <v>KKM/IKN/H/13/3344</v>
          </cell>
          <cell r="E913" t="str">
            <v>12-647</v>
          </cell>
          <cell r="F913" t="str">
            <v>Physiologic Monitoring Systems, Acute Care</v>
          </cell>
          <cell r="G913" t="str">
            <v>WC</v>
          </cell>
          <cell r="H913" t="str">
            <v>SURGICAL ONCO FEMALE WARD</v>
          </cell>
          <cell r="I913" t="str">
            <v>06WC113</v>
          </cell>
          <cell r="J913" t="str">
            <v>EQUIPMENT ROOM</v>
          </cell>
          <cell r="K913" t="str">
            <v>BMED</v>
          </cell>
          <cell r="L913" t="str">
            <v>Normal</v>
          </cell>
          <cell r="M913" t="str">
            <v>USA</v>
          </cell>
          <cell r="N913" t="str">
            <v>GE</v>
          </cell>
          <cell r="O913" t="str">
            <v>GE B30</v>
          </cell>
          <cell r="P913" t="str">
            <v>SF312315869WA</v>
          </cell>
          <cell r="Q913" t="str">
            <v>Not Applicable</v>
          </cell>
          <cell r="R913" t="str">
            <v>GE Healthcare Systems</v>
          </cell>
          <cell r="S913" t="str">
            <v>GE Healthcare Technologies</v>
          </cell>
          <cell r="T913" t="str">
            <v>Functioning</v>
          </cell>
          <cell r="U913" t="str">
            <v>Asset</v>
          </cell>
          <cell r="V913">
            <v>44510</v>
          </cell>
          <cell r="W913" t="str">
            <v>KEW</v>
          </cell>
          <cell r="X913" t="str">
            <v>01/09/2010</v>
          </cell>
          <cell r="Y913" t="str">
            <v>KEW</v>
          </cell>
          <cell r="Z913" t="str">
            <v>16/08/2013</v>
          </cell>
          <cell r="AA913" t="str">
            <v>15/08/2015</v>
          </cell>
          <cell r="AB913" t="str">
            <v>No</v>
          </cell>
          <cell r="AC913" t="str">
            <v>31/08/2013</v>
          </cell>
          <cell r="AD913" t="str">
            <v>Good</v>
          </cell>
          <cell r="AE913" t="str">
            <v>V1 - Existing / No Claim</v>
          </cell>
          <cell r="AF913">
            <v>42235</v>
          </cell>
          <cell r="AG913">
            <v>9.17</v>
          </cell>
          <cell r="AH913" t="str">
            <v>PPM</v>
          </cell>
          <cell r="AI913" t="str">
            <v>Strands</v>
          </cell>
          <cell r="AJ913" t="str">
            <v>Strands PW</v>
          </cell>
          <cell r="AK913" t="str">
            <v>4. Boscarol RIW Power Cord User tampung
PEP waiting IKN400461 BER1 received</v>
          </cell>
        </row>
        <row r="914">
          <cell r="A914" t="str">
            <v>IKN400462</v>
          </cell>
          <cell r="B914">
            <v>462</v>
          </cell>
          <cell r="C914" t="str">
            <v>Institut Kanser Negara</v>
          </cell>
          <cell r="D914" t="str">
            <v>KKM/IKN/H/13/2960</v>
          </cell>
          <cell r="E914" t="str">
            <v>12-282</v>
          </cell>
          <cell r="F914" t="str">
            <v>Lights, Surgical</v>
          </cell>
          <cell r="G914" t="str">
            <v>NM</v>
          </cell>
          <cell r="H914" t="str">
            <v>NUCLEAR MED (DIAGNOSTIC)</v>
          </cell>
          <cell r="I914" t="str">
            <v>03NM142</v>
          </cell>
          <cell r="J914" t="str">
            <v>INJECTION ROOM 2 (-VE)</v>
          </cell>
          <cell r="K914" t="str">
            <v>BMED</v>
          </cell>
          <cell r="L914" t="str">
            <v>Normal</v>
          </cell>
          <cell r="M914" t="str">
            <v>USA</v>
          </cell>
          <cell r="N914" t="str">
            <v>Welch Allyn</v>
          </cell>
          <cell r="O914" t="str">
            <v>Welch Allyn GS600</v>
          </cell>
          <cell r="P914" t="str">
            <v>GS600-12</v>
          </cell>
          <cell r="Q914" t="str">
            <v>Not Applicable</v>
          </cell>
          <cell r="R914" t="str">
            <v>Welch Allyn Inc</v>
          </cell>
          <cell r="S914" t="str">
            <v>Welch Allyn Malaysia Sdn Bhd</v>
          </cell>
          <cell r="T914" t="str">
            <v>Functioning</v>
          </cell>
          <cell r="U914" t="str">
            <v>Asset</v>
          </cell>
          <cell r="V914">
            <v>5050</v>
          </cell>
          <cell r="W914" t="str">
            <v>KEW</v>
          </cell>
          <cell r="X914" t="str">
            <v>01/09/2010</v>
          </cell>
          <cell r="Y914" t="str">
            <v>KEW</v>
          </cell>
          <cell r="Z914" t="str">
            <v>16/08/2013</v>
          </cell>
          <cell r="AA914" t="str">
            <v>15/08/2015</v>
          </cell>
          <cell r="AB914" t="str">
            <v>No</v>
          </cell>
          <cell r="AC914" t="str">
            <v>31/08/2013</v>
          </cell>
          <cell r="AD914" t="str">
            <v>Good</v>
          </cell>
          <cell r="AE914" t="str">
            <v>V1 - Existing / No Claim</v>
          </cell>
          <cell r="AF914">
            <v>42235</v>
          </cell>
          <cell r="AG914">
            <v>9.17</v>
          </cell>
          <cell r="AH914" t="str">
            <v>PPM</v>
          </cell>
          <cell r="AI914" t="str">
            <v>Strands</v>
          </cell>
          <cell r="AJ914" t="str">
            <v>Strands PW</v>
          </cell>
        </row>
        <row r="915">
          <cell r="A915" t="str">
            <v>IKN400463</v>
          </cell>
          <cell r="B915">
            <v>463</v>
          </cell>
          <cell r="C915" t="str">
            <v>Institut Kanser Negara</v>
          </cell>
          <cell r="D915" t="str">
            <v>KKM/IKN/H/13/442</v>
          </cell>
          <cell r="E915" t="str">
            <v>10-208</v>
          </cell>
          <cell r="F915" t="str">
            <v>Aspirators</v>
          </cell>
          <cell r="G915" t="str">
            <v>WB</v>
          </cell>
          <cell r="H915" t="str">
            <v>SURGICAL ONCO MALE WARD</v>
          </cell>
          <cell r="I915" t="str">
            <v>05WB107</v>
          </cell>
          <cell r="J915" t="str">
            <v>TREATMENT / PROCEDURE</v>
          </cell>
          <cell r="K915" t="str">
            <v>BMED</v>
          </cell>
          <cell r="L915" t="str">
            <v>Critical</v>
          </cell>
          <cell r="M915" t="str">
            <v>Switzerland</v>
          </cell>
          <cell r="N915" t="str">
            <v>Senator</v>
          </cell>
          <cell r="O915" t="str">
            <v>Senator</v>
          </cell>
          <cell r="P915" t="str">
            <v>1220746</v>
          </cell>
          <cell r="Q915" t="str">
            <v>Not Applicable</v>
          </cell>
          <cell r="R915" t="str">
            <v>Ardo Medical AG</v>
          </cell>
          <cell r="S915" t="str">
            <v>Histopoint</v>
          </cell>
          <cell r="T915" t="str">
            <v>Functioning</v>
          </cell>
          <cell r="U915" t="str">
            <v>Asset</v>
          </cell>
          <cell r="V915">
            <v>5052</v>
          </cell>
          <cell r="W915" t="str">
            <v>KEW</v>
          </cell>
          <cell r="X915" t="str">
            <v>01/09/2010</v>
          </cell>
          <cell r="Y915" t="str">
            <v>KEW</v>
          </cell>
          <cell r="Z915" t="str">
            <v>16/08/2013</v>
          </cell>
          <cell r="AA915" t="str">
            <v>15/08/2015</v>
          </cell>
          <cell r="AB915" t="str">
            <v>No</v>
          </cell>
          <cell r="AC915" t="str">
            <v>31/08/2013</v>
          </cell>
          <cell r="AD915" t="str">
            <v>Good</v>
          </cell>
          <cell r="AE915" t="str">
            <v>V1 - Existing / No Claim</v>
          </cell>
          <cell r="AF915">
            <v>42788</v>
          </cell>
          <cell r="AG915">
            <v>9.17</v>
          </cell>
          <cell r="AH915" t="str">
            <v>PPM</v>
          </cell>
          <cell r="AI915" t="str">
            <v>Strands</v>
          </cell>
          <cell r="AJ915" t="str">
            <v>Strands PW</v>
          </cell>
        </row>
        <row r="916">
          <cell r="A916" t="str">
            <v>IKN400464</v>
          </cell>
          <cell r="B916">
            <v>464</v>
          </cell>
          <cell r="C916" t="str">
            <v>Institut Kanser Negara</v>
          </cell>
          <cell r="D916" t="str">
            <v>KKM/IKN/H/13/2380</v>
          </cell>
          <cell r="E916" t="str">
            <v>16-173</v>
          </cell>
          <cell r="F916" t="str">
            <v>Sphygmomanometers, Electronic, Automatic</v>
          </cell>
          <cell r="G916" t="str">
            <v>AE</v>
          </cell>
          <cell r="H916" t="str">
            <v>EMERGENCY UNIT</v>
          </cell>
          <cell r="I916" t="str">
            <v>01AE112</v>
          </cell>
          <cell r="J916" t="str">
            <v>EMERGENCY TROLLEY BAY</v>
          </cell>
          <cell r="K916" t="str">
            <v>BMED</v>
          </cell>
          <cell r="L916" t="str">
            <v>Critical</v>
          </cell>
          <cell r="M916" t="str">
            <v>Mexico</v>
          </cell>
          <cell r="N916" t="str">
            <v>Carespace</v>
          </cell>
          <cell r="O916" t="str">
            <v>Carescape V100</v>
          </cell>
          <cell r="P916" t="str">
            <v>SH612430104SA</v>
          </cell>
          <cell r="Q916" t="str">
            <v>Not Applicable</v>
          </cell>
          <cell r="R916" t="str">
            <v>GE Healthcare Systems</v>
          </cell>
          <cell r="S916" t="str">
            <v>GE Healthcare Technologies</v>
          </cell>
          <cell r="T916" t="str">
            <v>Functioning</v>
          </cell>
          <cell r="U916" t="str">
            <v>Asset</v>
          </cell>
          <cell r="V916">
            <v>7770</v>
          </cell>
          <cell r="W916" t="str">
            <v>KEW</v>
          </cell>
          <cell r="X916" t="str">
            <v>01/09/2010</v>
          </cell>
          <cell r="Y916" t="str">
            <v>KEW</v>
          </cell>
          <cell r="Z916" t="str">
            <v>16/08/2013</v>
          </cell>
          <cell r="AA916" t="str">
            <v>15/08/2015</v>
          </cell>
          <cell r="AB916" t="str">
            <v>No</v>
          </cell>
          <cell r="AC916" t="str">
            <v>31/08/2013</v>
          </cell>
          <cell r="AD916" t="str">
            <v>Good</v>
          </cell>
          <cell r="AE916" t="str">
            <v>V1 - Existing / No Claim</v>
          </cell>
          <cell r="AF916">
            <v>43076</v>
          </cell>
          <cell r="AG916">
            <v>9.17</v>
          </cell>
          <cell r="AH916" t="str">
            <v>PPM</v>
          </cell>
          <cell r="AI916" t="str">
            <v>Strands</v>
          </cell>
          <cell r="AJ916" t="str">
            <v>Strands PW</v>
          </cell>
        </row>
        <row r="917">
          <cell r="A917" t="str">
            <v>IKN400465</v>
          </cell>
          <cell r="B917">
            <v>465</v>
          </cell>
          <cell r="C917" t="str">
            <v>Institut Kanser Negara</v>
          </cell>
          <cell r="D917" t="str">
            <v>KKM/IKN/H/13/444</v>
          </cell>
          <cell r="E917" t="str">
            <v>16-231</v>
          </cell>
          <cell r="F917" t="str">
            <v>Electrocardiographs, Multichannel, Interpretative</v>
          </cell>
          <cell r="G917" t="str">
            <v>WB</v>
          </cell>
          <cell r="H917" t="str">
            <v>SURGICAL ONCO MALE WARD</v>
          </cell>
          <cell r="I917" t="str">
            <v>05WB107</v>
          </cell>
          <cell r="J917" t="str">
            <v>TREATMENT / PROCEDURE</v>
          </cell>
          <cell r="K917" t="str">
            <v>BMED</v>
          </cell>
          <cell r="L917" t="str">
            <v>Normal</v>
          </cell>
          <cell r="M917" t="str">
            <v>China</v>
          </cell>
          <cell r="N917" t="str">
            <v>Mac</v>
          </cell>
          <cell r="O917" t="str">
            <v>MAC 800</v>
          </cell>
          <cell r="P917" t="str">
            <v>SJ412450373 WA</v>
          </cell>
          <cell r="Q917" t="str">
            <v>Not Applicable</v>
          </cell>
          <cell r="R917" t="str">
            <v>GE Healthcare Systems</v>
          </cell>
          <cell r="S917" t="str">
            <v>GE Healthcare Technologies</v>
          </cell>
          <cell r="T917" t="str">
            <v>Functioning</v>
          </cell>
          <cell r="U917" t="str">
            <v>Asset</v>
          </cell>
          <cell r="V917">
            <v>25260</v>
          </cell>
          <cell r="W917" t="str">
            <v>KEW</v>
          </cell>
          <cell r="X917" t="str">
            <v>01/09/2010</v>
          </cell>
          <cell r="Y917" t="str">
            <v>KEW</v>
          </cell>
          <cell r="Z917" t="str">
            <v>16/08/2013</v>
          </cell>
          <cell r="AA917" t="str">
            <v>15/08/2015</v>
          </cell>
          <cell r="AB917" t="str">
            <v>No</v>
          </cell>
          <cell r="AC917" t="str">
            <v>31/08/2013</v>
          </cell>
          <cell r="AD917" t="str">
            <v>Good</v>
          </cell>
          <cell r="AE917" t="str">
            <v>V1 - Existing / No Claim</v>
          </cell>
          <cell r="AF917">
            <v>42235</v>
          </cell>
          <cell r="AG917">
            <v>9.17</v>
          </cell>
          <cell r="AH917" t="str">
            <v>PPM</v>
          </cell>
          <cell r="AI917" t="str">
            <v>Strands</v>
          </cell>
          <cell r="AJ917" t="str">
            <v>Strands PW</v>
          </cell>
        </row>
        <row r="918">
          <cell r="A918" t="str">
            <v>IKN400466</v>
          </cell>
          <cell r="B918">
            <v>466</v>
          </cell>
          <cell r="C918" t="str">
            <v>Institut Kanser Negara</v>
          </cell>
          <cell r="D918" t="str">
            <v>KKM/IKN/H/13/299</v>
          </cell>
          <cell r="E918" t="str">
            <v>10-447</v>
          </cell>
          <cell r="F918" t="str">
            <v>Warming Units, Blood/Solution</v>
          </cell>
          <cell r="G918" t="str">
            <v>WB</v>
          </cell>
          <cell r="H918" t="str">
            <v>SURGICAL ONCO MALE WARD</v>
          </cell>
          <cell r="I918" t="str">
            <v>05WB113</v>
          </cell>
          <cell r="J918" t="str">
            <v>EQUIP. ROOM</v>
          </cell>
          <cell r="K918" t="str">
            <v>BMED</v>
          </cell>
          <cell r="L918" t="str">
            <v>Normal</v>
          </cell>
          <cell r="M918" t="str">
            <v>Japan</v>
          </cell>
          <cell r="N918" t="str">
            <v>Animec</v>
          </cell>
          <cell r="O918" t="str">
            <v>Animec AM-301</v>
          </cell>
          <cell r="P918" t="str">
            <v>2013D0260</v>
          </cell>
          <cell r="Q918" t="str">
            <v>Not Applicable</v>
          </cell>
          <cell r="R918" t="str">
            <v>Elltec Co Ltd</v>
          </cell>
          <cell r="S918" t="str">
            <v>IDS Services (Malaysia) Sdn Bhd</v>
          </cell>
          <cell r="T918" t="str">
            <v>Functioning</v>
          </cell>
          <cell r="U918" t="str">
            <v>Asset</v>
          </cell>
          <cell r="V918">
            <v>4990</v>
          </cell>
          <cell r="W918" t="str">
            <v>KEW</v>
          </cell>
          <cell r="X918" t="str">
            <v>01/09/2010</v>
          </cell>
          <cell r="Y918" t="str">
            <v>KEW</v>
          </cell>
          <cell r="Z918" t="str">
            <v>16/08/2013</v>
          </cell>
          <cell r="AA918" t="str">
            <v>15/08/2015</v>
          </cell>
          <cell r="AB918" t="str">
            <v>No</v>
          </cell>
          <cell r="AC918" t="str">
            <v>31/08/2013</v>
          </cell>
          <cell r="AD918" t="str">
            <v>Good</v>
          </cell>
          <cell r="AE918" t="str">
            <v>V1 - Existing / No Claim</v>
          </cell>
          <cell r="AF918">
            <v>42235</v>
          </cell>
          <cell r="AG918">
            <v>9.17</v>
          </cell>
          <cell r="AH918" t="str">
            <v>PPM</v>
          </cell>
          <cell r="AI918" t="str">
            <v>Strands</v>
          </cell>
          <cell r="AJ918" t="str">
            <v>Strands PW</v>
          </cell>
        </row>
        <row r="919">
          <cell r="A919" t="str">
            <v>IKN400469</v>
          </cell>
          <cell r="B919">
            <v>469</v>
          </cell>
          <cell r="C919" t="str">
            <v>Institut Kanser Negara</v>
          </cell>
          <cell r="D919" t="str">
            <v>KKM/IKN/H/13/2377</v>
          </cell>
          <cell r="E919" t="str">
            <v>12-282</v>
          </cell>
          <cell r="F919" t="str">
            <v>Lights, Surgical</v>
          </cell>
          <cell r="G919" t="str">
            <v>WB</v>
          </cell>
          <cell r="H919" t="str">
            <v>SURGICAL ONCO MALE WARD</v>
          </cell>
          <cell r="I919" t="str">
            <v>05WB113</v>
          </cell>
          <cell r="J919" t="str">
            <v>EQUIP. ROOM</v>
          </cell>
          <cell r="K919" t="str">
            <v>BMED</v>
          </cell>
          <cell r="L919" t="str">
            <v>Critical</v>
          </cell>
          <cell r="M919" t="str">
            <v>USA</v>
          </cell>
          <cell r="N919" t="str">
            <v>Welch Allyn</v>
          </cell>
          <cell r="O919" t="str">
            <v>Welch Allyn GS600</v>
          </cell>
          <cell r="P919" t="str">
            <v>GS-600-35</v>
          </cell>
          <cell r="Q919" t="str">
            <v>Not Applicable</v>
          </cell>
          <cell r="R919" t="str">
            <v>Welch Allyn Inc</v>
          </cell>
          <cell r="S919" t="str">
            <v>Welch Allyn Malaysia Sdn Bhd</v>
          </cell>
          <cell r="T919" t="str">
            <v>Functioning</v>
          </cell>
          <cell r="U919" t="str">
            <v>Asset</v>
          </cell>
          <cell r="V919">
            <v>5050</v>
          </cell>
          <cell r="W919" t="str">
            <v>KEW</v>
          </cell>
          <cell r="X919" t="str">
            <v>01/09/2010</v>
          </cell>
          <cell r="Y919" t="str">
            <v>KEW</v>
          </cell>
          <cell r="Z919" t="str">
            <v>16/08/2013</v>
          </cell>
          <cell r="AA919" t="str">
            <v>15/08/2015</v>
          </cell>
          <cell r="AB919" t="str">
            <v>No</v>
          </cell>
          <cell r="AC919" t="str">
            <v>31/08/2013</v>
          </cell>
          <cell r="AD919" t="str">
            <v>Good</v>
          </cell>
          <cell r="AE919" t="str">
            <v>V1 - Existing / No Claim</v>
          </cell>
          <cell r="AF919">
            <v>42788</v>
          </cell>
          <cell r="AG919">
            <v>9.17</v>
          </cell>
          <cell r="AH919" t="str">
            <v>PPM</v>
          </cell>
          <cell r="AI919" t="str">
            <v>Strands</v>
          </cell>
          <cell r="AJ919" t="str">
            <v>Strands PW</v>
          </cell>
        </row>
        <row r="920">
          <cell r="A920" t="str">
            <v>IKN400470</v>
          </cell>
          <cell r="B920">
            <v>470</v>
          </cell>
          <cell r="C920" t="str">
            <v>Institut Kanser Negara</v>
          </cell>
          <cell r="D920" t="str">
            <v>KKM/IKN/H/13/2381</v>
          </cell>
          <cell r="E920" t="str">
            <v>12-282</v>
          </cell>
          <cell r="F920" t="str">
            <v>Lights, Surgical</v>
          </cell>
          <cell r="G920" t="str">
            <v>WB</v>
          </cell>
          <cell r="H920" t="str">
            <v>SURGICAL ONCO MALE WARD</v>
          </cell>
          <cell r="I920" t="str">
            <v>05WB113</v>
          </cell>
          <cell r="J920" t="str">
            <v>EQUIP. ROOM</v>
          </cell>
          <cell r="K920" t="str">
            <v>BMED</v>
          </cell>
          <cell r="L920" t="str">
            <v>Critical</v>
          </cell>
          <cell r="M920" t="str">
            <v>USA</v>
          </cell>
          <cell r="N920" t="str">
            <v>Welch Allyn</v>
          </cell>
          <cell r="O920" t="str">
            <v>Welch Allyn GS600</v>
          </cell>
          <cell r="P920" t="str">
            <v>GS-600-48</v>
          </cell>
          <cell r="Q920" t="str">
            <v>Not Applicable</v>
          </cell>
          <cell r="R920" t="str">
            <v>Welch Allyn Inc</v>
          </cell>
          <cell r="S920" t="str">
            <v>Welch Allyn Malaysia Sdn Bhd</v>
          </cell>
          <cell r="T920" t="str">
            <v>Functioning</v>
          </cell>
          <cell r="U920" t="str">
            <v>Asset</v>
          </cell>
          <cell r="V920">
            <v>5050</v>
          </cell>
          <cell r="W920" t="str">
            <v>KEW</v>
          </cell>
          <cell r="X920" t="str">
            <v>01/09/2010</v>
          </cell>
          <cell r="Y920" t="str">
            <v>KEW</v>
          </cell>
          <cell r="Z920" t="str">
            <v>16/08/2013</v>
          </cell>
          <cell r="AA920" t="str">
            <v>15/08/2015</v>
          </cell>
          <cell r="AB920" t="str">
            <v>No</v>
          </cell>
          <cell r="AC920" t="str">
            <v>31/08/2013</v>
          </cell>
          <cell r="AD920" t="str">
            <v>Good</v>
          </cell>
          <cell r="AE920" t="str">
            <v>V1 - Existing / No Claim</v>
          </cell>
          <cell r="AF920">
            <v>42788</v>
          </cell>
          <cell r="AG920">
            <v>9.17</v>
          </cell>
          <cell r="AH920" t="str">
            <v>PPM</v>
          </cell>
          <cell r="AI920" t="str">
            <v>Strands</v>
          </cell>
          <cell r="AJ920" t="str">
            <v>Strands PW</v>
          </cell>
        </row>
        <row r="921">
          <cell r="A921" t="str">
            <v>IKN400471</v>
          </cell>
          <cell r="B921">
            <v>471</v>
          </cell>
          <cell r="C921" t="str">
            <v>Institut Kanser Negara</v>
          </cell>
          <cell r="D921" t="str">
            <v>KKM/IKN/H/13/434</v>
          </cell>
          <cell r="E921" t="str">
            <v>15-045</v>
          </cell>
          <cell r="F921" t="str">
            <v>Nebulizers, Nonheated</v>
          </cell>
          <cell r="G921" t="str">
            <v>WB</v>
          </cell>
          <cell r="H921" t="str">
            <v>SURGICAL ONCO MALE WARD</v>
          </cell>
          <cell r="I921" t="str">
            <v>05WB113</v>
          </cell>
          <cell r="J921" t="str">
            <v>EQUIP. ROOM</v>
          </cell>
          <cell r="K921" t="str">
            <v>BMED</v>
          </cell>
          <cell r="L921" t="str">
            <v>Normal</v>
          </cell>
          <cell r="M921" t="str">
            <v>Germany</v>
          </cell>
          <cell r="N921" t="str">
            <v>Pari Boy</v>
          </cell>
          <cell r="O921" t="str">
            <v>Pari Boy SX 085</v>
          </cell>
          <cell r="P921" t="str">
            <v>2W12F13891</v>
          </cell>
          <cell r="Q921" t="str">
            <v>Not Applicable</v>
          </cell>
          <cell r="R921" t="str">
            <v>Pari GmbH</v>
          </cell>
          <cell r="S921" t="str">
            <v>Welch Allyn Malaysia Sdn Bhd</v>
          </cell>
          <cell r="T921" t="str">
            <v>Functioning</v>
          </cell>
          <cell r="U921" t="str">
            <v>Asset</v>
          </cell>
          <cell r="V921">
            <v>1140</v>
          </cell>
          <cell r="W921" t="str">
            <v>KEW</v>
          </cell>
          <cell r="X921" t="str">
            <v>01/09/2010</v>
          </cell>
          <cell r="Y921" t="str">
            <v>KEW</v>
          </cell>
          <cell r="Z921" t="str">
            <v>16/08/2013</v>
          </cell>
          <cell r="AA921" t="str">
            <v>15/08/2015</v>
          </cell>
          <cell r="AB921" t="str">
            <v>No</v>
          </cell>
          <cell r="AC921" t="str">
            <v>31/08/2013</v>
          </cell>
          <cell r="AD921" t="str">
            <v>Good</v>
          </cell>
          <cell r="AE921" t="str">
            <v>V1 - Existing / No Claim</v>
          </cell>
          <cell r="AF921">
            <v>42788</v>
          </cell>
          <cell r="AG921">
            <v>9.17</v>
          </cell>
          <cell r="AH921" t="str">
            <v>PPM</v>
          </cell>
          <cell r="AI921" t="str">
            <v>Strands</v>
          </cell>
          <cell r="AJ921" t="str">
            <v>Strands PW</v>
          </cell>
        </row>
        <row r="922">
          <cell r="A922" t="str">
            <v>IKN400472</v>
          </cell>
          <cell r="B922">
            <v>472</v>
          </cell>
          <cell r="C922" t="str">
            <v>Institut Kanser Negara</v>
          </cell>
          <cell r="D922" t="str">
            <v>KKM/IKN/H/13/433</v>
          </cell>
          <cell r="E922" t="str">
            <v>15-045</v>
          </cell>
          <cell r="F922" t="str">
            <v>Nebulizers, Nonheated</v>
          </cell>
          <cell r="G922" t="str">
            <v>WB</v>
          </cell>
          <cell r="H922" t="str">
            <v>SURGICAL ONCO MALE WARD</v>
          </cell>
          <cell r="I922" t="str">
            <v>05WB113</v>
          </cell>
          <cell r="J922" t="str">
            <v>EQUIP. ROOM</v>
          </cell>
          <cell r="K922" t="str">
            <v>BMED</v>
          </cell>
          <cell r="L922" t="str">
            <v>Normal</v>
          </cell>
          <cell r="M922" t="str">
            <v>Germany</v>
          </cell>
          <cell r="N922" t="str">
            <v>Pari Boy</v>
          </cell>
          <cell r="O922" t="str">
            <v>Pari Boy SX 085</v>
          </cell>
          <cell r="P922" t="str">
            <v>2W12F13736</v>
          </cell>
          <cell r="Q922" t="str">
            <v>Not Applicable</v>
          </cell>
          <cell r="R922" t="str">
            <v>Pari GmbH</v>
          </cell>
          <cell r="S922" t="str">
            <v>Welch Allyn Malaysia Sdn Bhd</v>
          </cell>
          <cell r="T922" t="str">
            <v>Functioning</v>
          </cell>
          <cell r="U922" t="str">
            <v>Asset</v>
          </cell>
          <cell r="V922">
            <v>1140</v>
          </cell>
          <cell r="W922" t="str">
            <v>KEW</v>
          </cell>
          <cell r="X922" t="str">
            <v>01/09/2010</v>
          </cell>
          <cell r="Y922" t="str">
            <v>KEW</v>
          </cell>
          <cell r="Z922" t="str">
            <v>16/08/2013</v>
          </cell>
          <cell r="AA922" t="str">
            <v>15/08/2015</v>
          </cell>
          <cell r="AB922" t="str">
            <v>No</v>
          </cell>
          <cell r="AC922" t="str">
            <v>31/08/2013</v>
          </cell>
          <cell r="AD922" t="str">
            <v>Good</v>
          </cell>
          <cell r="AE922" t="str">
            <v>V1 - Existing / No Claim</v>
          </cell>
          <cell r="AF922">
            <v>42788</v>
          </cell>
          <cell r="AG922">
            <v>9.17</v>
          </cell>
          <cell r="AH922" t="str">
            <v>PPM</v>
          </cell>
          <cell r="AI922" t="str">
            <v>Strands</v>
          </cell>
          <cell r="AJ922" t="str">
            <v>Strands PW</v>
          </cell>
        </row>
        <row r="923">
          <cell r="A923" t="str">
            <v>IKN400473</v>
          </cell>
          <cell r="B923">
            <v>473</v>
          </cell>
          <cell r="C923" t="str">
            <v>Institut Kanser Negara</v>
          </cell>
          <cell r="D923" t="str">
            <v>KKM/IKN/H/13/435</v>
          </cell>
          <cell r="E923" t="str">
            <v>15-045</v>
          </cell>
          <cell r="F923" t="str">
            <v>Nebulizers, Nonheated</v>
          </cell>
          <cell r="G923" t="str">
            <v>WB</v>
          </cell>
          <cell r="H923" t="str">
            <v>SURGICAL ONCO MALE WARD</v>
          </cell>
          <cell r="I923" t="str">
            <v>05WB113</v>
          </cell>
          <cell r="J923" t="str">
            <v>EQUIP. ROOM</v>
          </cell>
          <cell r="K923" t="str">
            <v>BMED</v>
          </cell>
          <cell r="L923" t="str">
            <v>Normal</v>
          </cell>
          <cell r="M923" t="str">
            <v>Germany</v>
          </cell>
          <cell r="N923" t="str">
            <v>Pari Boy</v>
          </cell>
          <cell r="O923" t="str">
            <v>Pari Boy SX 085</v>
          </cell>
          <cell r="P923" t="str">
            <v>2W12F13814</v>
          </cell>
          <cell r="Q923" t="str">
            <v>Not Applicable</v>
          </cell>
          <cell r="R923" t="str">
            <v>Pari GmbH</v>
          </cell>
          <cell r="S923" t="str">
            <v>Welch Allyn Malaysia Sdn Bhd</v>
          </cell>
          <cell r="T923" t="str">
            <v>Functioning</v>
          </cell>
          <cell r="U923" t="str">
            <v>Asset</v>
          </cell>
          <cell r="V923">
            <v>1140</v>
          </cell>
          <cell r="W923" t="str">
            <v>KEW</v>
          </cell>
          <cell r="X923" t="str">
            <v>01/09/2010</v>
          </cell>
          <cell r="Y923" t="str">
            <v>KEW</v>
          </cell>
          <cell r="Z923" t="str">
            <v>16/08/2013</v>
          </cell>
          <cell r="AA923" t="str">
            <v>15/08/2015</v>
          </cell>
          <cell r="AB923" t="str">
            <v>No</v>
          </cell>
          <cell r="AC923" t="str">
            <v>31/08/2013</v>
          </cell>
          <cell r="AD923" t="str">
            <v>Good</v>
          </cell>
          <cell r="AE923" t="str">
            <v>V1 - Existing / No Claim</v>
          </cell>
          <cell r="AF923">
            <v>42788</v>
          </cell>
          <cell r="AG923">
            <v>9.17</v>
          </cell>
          <cell r="AH923" t="str">
            <v>PPM</v>
          </cell>
          <cell r="AI923" t="str">
            <v>Strands</v>
          </cell>
          <cell r="AJ923" t="str">
            <v>Strands PW</v>
          </cell>
        </row>
        <row r="924">
          <cell r="A924" t="str">
            <v>IKN400474</v>
          </cell>
          <cell r="B924">
            <v>474</v>
          </cell>
          <cell r="C924" t="str">
            <v>Institut Kanser Negara</v>
          </cell>
          <cell r="D924" t="str">
            <v>KKM/IKN/H/13/4535</v>
          </cell>
          <cell r="E924" t="str">
            <v>10-849</v>
          </cell>
          <cell r="F924" t="str">
            <v>Circulatory Assist Units, Venous Return</v>
          </cell>
          <cell r="G924" t="str">
            <v>WB</v>
          </cell>
          <cell r="H924" t="str">
            <v>SURGICAL ONCO MALE WARD</v>
          </cell>
          <cell r="I924" t="str">
            <v>05WB113</v>
          </cell>
          <cell r="J924" t="str">
            <v>EQUIP. ROOM</v>
          </cell>
          <cell r="K924" t="str">
            <v>BMED</v>
          </cell>
          <cell r="L924" t="str">
            <v>Critical</v>
          </cell>
          <cell r="M924" t="str">
            <v>Taiwan</v>
          </cell>
          <cell r="N924" t="str">
            <v>Vena Press</v>
          </cell>
          <cell r="O924" t="str">
            <v>Vena Press IPC</v>
          </cell>
          <cell r="P924" t="str">
            <v>C820016771</v>
          </cell>
          <cell r="Q924" t="str">
            <v>Not Applicable</v>
          </cell>
          <cell r="R924" t="str">
            <v>Prius Healthcare Solution</v>
          </cell>
          <cell r="S924" t="str">
            <v>Medika Supplies</v>
          </cell>
          <cell r="T924" t="str">
            <v>Functioning</v>
          </cell>
          <cell r="U924" t="str">
            <v>Asset</v>
          </cell>
          <cell r="V924">
            <v>13470</v>
          </cell>
          <cell r="W924" t="str">
            <v>KEW</v>
          </cell>
          <cell r="X924" t="str">
            <v>01/09/2010</v>
          </cell>
          <cell r="Y924" t="str">
            <v>KEW</v>
          </cell>
          <cell r="Z924" t="str">
            <v>16/08/2013</v>
          </cell>
          <cell r="AA924" t="str">
            <v>15/08/2015</v>
          </cell>
          <cell r="AB924" t="str">
            <v>No</v>
          </cell>
          <cell r="AC924" t="str">
            <v>31/08/2013</v>
          </cell>
          <cell r="AD924" t="str">
            <v>Good</v>
          </cell>
          <cell r="AE924" t="str">
            <v>V1 - Existing / No Claim</v>
          </cell>
          <cell r="AF924">
            <v>42788</v>
          </cell>
          <cell r="AG924">
            <v>9.17</v>
          </cell>
          <cell r="AH924" t="str">
            <v>PPM</v>
          </cell>
          <cell r="AI924" t="str">
            <v>Strands</v>
          </cell>
          <cell r="AJ924" t="str">
            <v>Strands PW</v>
          </cell>
        </row>
        <row r="925">
          <cell r="A925" t="str">
            <v>IKN400475</v>
          </cell>
          <cell r="B925">
            <v>475</v>
          </cell>
          <cell r="C925" t="str">
            <v>Institut Kanser Negara</v>
          </cell>
          <cell r="D925" t="str">
            <v>KKM/IKN/H/13/426</v>
          </cell>
          <cell r="E925" t="str">
            <v>13-217</v>
          </cell>
          <cell r="F925" t="str">
            <v>Infusion Pumps, Syringe</v>
          </cell>
          <cell r="G925" t="str">
            <v>WB</v>
          </cell>
          <cell r="H925" t="str">
            <v>SURGICAL ONCO MALE WARD</v>
          </cell>
          <cell r="I925" t="str">
            <v>05WB113</v>
          </cell>
          <cell r="J925" t="str">
            <v>EQUIP. ROOM</v>
          </cell>
          <cell r="K925" t="str">
            <v>BMED</v>
          </cell>
          <cell r="L925" t="str">
            <v>Normal</v>
          </cell>
          <cell r="M925" t="str">
            <v>Germany</v>
          </cell>
          <cell r="N925" t="str">
            <v>Perfusor</v>
          </cell>
          <cell r="O925" t="str">
            <v>Perfusor Space</v>
          </cell>
          <cell r="P925" t="str">
            <v>186963</v>
          </cell>
          <cell r="Q925" t="str">
            <v>Not Applicable</v>
          </cell>
          <cell r="R925" t="str">
            <v>B Braun Melsungen AG</v>
          </cell>
          <cell r="S925" t="str">
            <v>B Braun Medical Supplies Sdn. Bhd.</v>
          </cell>
          <cell r="T925" t="str">
            <v>Functioning</v>
          </cell>
          <cell r="U925" t="str">
            <v>Asset</v>
          </cell>
          <cell r="V925">
            <v>10225</v>
          </cell>
          <cell r="W925" t="str">
            <v>KEW</v>
          </cell>
          <cell r="X925" t="str">
            <v>01/09/2010</v>
          </cell>
          <cell r="Y925" t="str">
            <v>KEW</v>
          </cell>
          <cell r="Z925" t="str">
            <v>16/08/2013</v>
          </cell>
          <cell r="AA925" t="str">
            <v>15/08/2015</v>
          </cell>
          <cell r="AB925" t="str">
            <v>No</v>
          </cell>
          <cell r="AC925" t="str">
            <v>31/08/2013</v>
          </cell>
          <cell r="AD925" t="str">
            <v>Good</v>
          </cell>
          <cell r="AE925" t="str">
            <v>V1 - Existing / No Claim</v>
          </cell>
          <cell r="AF925">
            <v>42235</v>
          </cell>
          <cell r="AG925">
            <v>9.17</v>
          </cell>
          <cell r="AH925" t="str">
            <v>PPM</v>
          </cell>
          <cell r="AI925" t="str">
            <v>Strands</v>
          </cell>
          <cell r="AJ925" t="str">
            <v>Strands PW</v>
          </cell>
        </row>
        <row r="926">
          <cell r="A926" t="str">
            <v>IKN400476</v>
          </cell>
          <cell r="B926">
            <v>476</v>
          </cell>
          <cell r="C926" t="str">
            <v>Institut Kanser Negara</v>
          </cell>
          <cell r="D926" t="str">
            <v>KKM/IKN/H/13/390</v>
          </cell>
          <cell r="E926" t="str">
            <v>13-217</v>
          </cell>
          <cell r="F926" t="str">
            <v>Infusion Pumps, Syringe</v>
          </cell>
          <cell r="G926" t="str">
            <v>WB</v>
          </cell>
          <cell r="H926" t="str">
            <v>SURGICAL ONCO MALE WARD</v>
          </cell>
          <cell r="I926" t="str">
            <v>05WB113</v>
          </cell>
          <cell r="J926" t="str">
            <v>EQUIP. ROOM</v>
          </cell>
          <cell r="K926" t="str">
            <v>BMED</v>
          </cell>
          <cell r="L926" t="str">
            <v>Normal</v>
          </cell>
          <cell r="M926" t="str">
            <v>Germany</v>
          </cell>
          <cell r="N926" t="str">
            <v>Perfusor</v>
          </cell>
          <cell r="O926" t="str">
            <v>Perfusor Space</v>
          </cell>
          <cell r="P926" t="str">
            <v>187026</v>
          </cell>
          <cell r="Q926" t="str">
            <v>Not Applicable</v>
          </cell>
          <cell r="R926" t="str">
            <v>B Braun Melsungen AG</v>
          </cell>
          <cell r="S926" t="str">
            <v>B Braun Medical Supplies Sdn. Bhd.</v>
          </cell>
          <cell r="T926" t="str">
            <v>Functioning</v>
          </cell>
          <cell r="U926" t="str">
            <v>Asset</v>
          </cell>
          <cell r="V926">
            <v>10225</v>
          </cell>
          <cell r="W926" t="str">
            <v>KEW</v>
          </cell>
          <cell r="X926" t="str">
            <v>01/09/2010</v>
          </cell>
          <cell r="Y926" t="str">
            <v>KEW</v>
          </cell>
          <cell r="Z926" t="str">
            <v>16/08/2013</v>
          </cell>
          <cell r="AA926" t="str">
            <v>15/08/2015</v>
          </cell>
          <cell r="AB926" t="str">
            <v>No</v>
          </cell>
          <cell r="AC926" t="str">
            <v>31/08/2013</v>
          </cell>
          <cell r="AD926" t="str">
            <v>Good</v>
          </cell>
          <cell r="AE926" t="str">
            <v>V1 - Existing / No Claim</v>
          </cell>
          <cell r="AF926">
            <v>42235</v>
          </cell>
          <cell r="AG926">
            <v>9.17</v>
          </cell>
          <cell r="AH926" t="str">
            <v>PPM</v>
          </cell>
          <cell r="AI926" t="str">
            <v>Strands</v>
          </cell>
          <cell r="AJ926" t="str">
            <v>Strands PW</v>
          </cell>
        </row>
        <row r="927">
          <cell r="A927" t="str">
            <v>IKN400477</v>
          </cell>
          <cell r="B927">
            <v>477</v>
          </cell>
          <cell r="C927" t="str">
            <v>Institut Kanser Negara</v>
          </cell>
          <cell r="D927" t="str">
            <v>KKM/IKN/H/13/428</v>
          </cell>
          <cell r="E927" t="str">
            <v>13-217</v>
          </cell>
          <cell r="F927" t="str">
            <v>Infusion Pumps, Syringe</v>
          </cell>
          <cell r="G927" t="str">
            <v>WB</v>
          </cell>
          <cell r="H927" t="str">
            <v>SURGICAL ONCO MALE WARD</v>
          </cell>
          <cell r="I927" t="str">
            <v>05WB113</v>
          </cell>
          <cell r="J927" t="str">
            <v>EQUIP. ROOM</v>
          </cell>
          <cell r="K927" t="str">
            <v>BMED</v>
          </cell>
          <cell r="L927" t="str">
            <v>Critical</v>
          </cell>
          <cell r="M927" t="str">
            <v>Germany</v>
          </cell>
          <cell r="N927" t="str">
            <v>Perfusor</v>
          </cell>
          <cell r="O927" t="str">
            <v>Perfusor Space</v>
          </cell>
          <cell r="P927" t="str">
            <v>187043</v>
          </cell>
          <cell r="Q927" t="str">
            <v>Not Applicable</v>
          </cell>
          <cell r="R927" t="str">
            <v>B Braun Melsungen AG</v>
          </cell>
          <cell r="S927" t="str">
            <v>B Braun Medical Supplies Sdn. Bhd.</v>
          </cell>
          <cell r="T927" t="str">
            <v>Functioning</v>
          </cell>
          <cell r="U927" t="str">
            <v>Asset</v>
          </cell>
          <cell r="V927">
            <v>10225</v>
          </cell>
          <cell r="W927" t="str">
            <v>KEW</v>
          </cell>
          <cell r="X927" t="str">
            <v>01/09/2010</v>
          </cell>
          <cell r="Y927" t="str">
            <v>KEW</v>
          </cell>
          <cell r="Z927" t="str">
            <v>16/08/2013</v>
          </cell>
          <cell r="AA927" t="str">
            <v>15/08/2015</v>
          </cell>
          <cell r="AB927" t="str">
            <v>No</v>
          </cell>
          <cell r="AC927" t="str">
            <v>31/08/2013</v>
          </cell>
          <cell r="AD927" t="str">
            <v>Good</v>
          </cell>
          <cell r="AE927" t="str">
            <v>V1 - Existing / No Claim</v>
          </cell>
          <cell r="AF927">
            <v>42788</v>
          </cell>
          <cell r="AG927">
            <v>9.17</v>
          </cell>
          <cell r="AH927" t="str">
            <v>PPM</v>
          </cell>
          <cell r="AI927" t="str">
            <v>Strands</v>
          </cell>
          <cell r="AJ927" t="str">
            <v>Strands PW</v>
          </cell>
        </row>
        <row r="928">
          <cell r="A928" t="str">
            <v>IKN400478</v>
          </cell>
          <cell r="B928">
            <v>478</v>
          </cell>
          <cell r="C928" t="str">
            <v>Institut Kanser Negara</v>
          </cell>
          <cell r="D928" t="str">
            <v>KKM/IKN/H/13/427</v>
          </cell>
          <cell r="E928" t="str">
            <v>13-217</v>
          </cell>
          <cell r="F928" t="str">
            <v>Infusion Pumps, Syringe</v>
          </cell>
          <cell r="G928" t="str">
            <v>WB</v>
          </cell>
          <cell r="H928" t="str">
            <v>SURGICAL ONCO MALE WARD</v>
          </cell>
          <cell r="I928" t="str">
            <v>05WB113</v>
          </cell>
          <cell r="J928" t="str">
            <v>EQUIP. ROOM</v>
          </cell>
          <cell r="K928" t="str">
            <v>BMED</v>
          </cell>
          <cell r="L928" t="str">
            <v>Normal</v>
          </cell>
          <cell r="M928" t="str">
            <v>Germany</v>
          </cell>
          <cell r="N928" t="str">
            <v>Perfusor</v>
          </cell>
          <cell r="O928" t="str">
            <v>Perfusor Space</v>
          </cell>
          <cell r="P928" t="str">
            <v>187053</v>
          </cell>
          <cell r="Q928" t="str">
            <v>Not Applicable</v>
          </cell>
          <cell r="R928" t="str">
            <v>B Braun Melsungen AG</v>
          </cell>
          <cell r="S928" t="str">
            <v>B Braun Medical Supplies Sdn. Bhd.</v>
          </cell>
          <cell r="T928" t="str">
            <v>Functioning</v>
          </cell>
          <cell r="U928" t="str">
            <v>Asset</v>
          </cell>
          <cell r="V928">
            <v>10225</v>
          </cell>
          <cell r="W928" t="str">
            <v>KEW</v>
          </cell>
          <cell r="X928" t="str">
            <v>01/09/2010</v>
          </cell>
          <cell r="Y928" t="str">
            <v>KEW</v>
          </cell>
          <cell r="Z928" t="str">
            <v>16/08/2013</v>
          </cell>
          <cell r="AA928" t="str">
            <v>15/08/2015</v>
          </cell>
          <cell r="AB928" t="str">
            <v>No</v>
          </cell>
          <cell r="AC928" t="str">
            <v>31/08/2013</v>
          </cell>
          <cell r="AD928" t="str">
            <v>Good</v>
          </cell>
          <cell r="AE928" t="str">
            <v>V1 - Existing / No Claim</v>
          </cell>
          <cell r="AF928">
            <v>42235</v>
          </cell>
          <cell r="AG928">
            <v>9.17</v>
          </cell>
          <cell r="AH928" t="str">
            <v>PPM</v>
          </cell>
          <cell r="AI928" t="str">
            <v>Strands</v>
          </cell>
          <cell r="AJ928" t="str">
            <v>Strands PW</v>
          </cell>
        </row>
        <row r="929">
          <cell r="A929" t="str">
            <v>IKN400480</v>
          </cell>
          <cell r="B929">
            <v>480</v>
          </cell>
          <cell r="C929" t="str">
            <v>Institut Kanser Negara</v>
          </cell>
          <cell r="D929" t="e">
            <v>#N/A</v>
          </cell>
          <cell r="E929" t="str">
            <v>12-660</v>
          </cell>
          <cell r="F929" t="str">
            <v>Radiation Monitors</v>
          </cell>
          <cell r="G929" t="str">
            <v>NW</v>
          </cell>
          <cell r="H929" t="str">
            <v>NUCLEAR WASTE HOLDING</v>
          </cell>
          <cell r="I929" t="str">
            <v>01NW106</v>
          </cell>
          <cell r="J929" t="str">
            <v>WASTE MEASUREMENT</v>
          </cell>
          <cell r="K929" t="str">
            <v>BMED</v>
          </cell>
          <cell r="L929" t="str">
            <v>Normal</v>
          </cell>
          <cell r="M929" t="str">
            <v>Germany</v>
          </cell>
          <cell r="N929" t="str">
            <v>Almo</v>
          </cell>
          <cell r="O929" t="str">
            <v>Almo 3</v>
          </cell>
          <cell r="P929" t="str">
            <v>77</v>
          </cell>
          <cell r="Q929" t="str">
            <v>Not Applicable</v>
          </cell>
          <cell r="R929" t="str">
            <v>MED Nuklear-Medizintechnik Dresden GmbH</v>
          </cell>
          <cell r="S929" t="str">
            <v>Not Available</v>
          </cell>
          <cell r="T929" t="str">
            <v>Functioning</v>
          </cell>
          <cell r="U929" t="str">
            <v>Asset</v>
          </cell>
          <cell r="V929">
            <v>30000</v>
          </cell>
          <cell r="W929" t="str">
            <v>Estimate</v>
          </cell>
          <cell r="X929" t="str">
            <v>01/09/2010</v>
          </cell>
          <cell r="Y929" t="str">
            <v>KEW</v>
          </cell>
          <cell r="Z929" t="str">
            <v>16/08/2013</v>
          </cell>
          <cell r="AA929" t="str">
            <v>15/08/2015</v>
          </cell>
          <cell r="AB929" t="str">
            <v>No</v>
          </cell>
          <cell r="AC929" t="str">
            <v>31/08/2013</v>
          </cell>
          <cell r="AD929" t="str">
            <v>Good</v>
          </cell>
          <cell r="AE929" t="str">
            <v>V1 - Existing / No Claim</v>
          </cell>
          <cell r="AF929">
            <v>42601</v>
          </cell>
          <cell r="AG929">
            <v>9.17</v>
          </cell>
          <cell r="AH929" t="str">
            <v>PPM</v>
          </cell>
          <cell r="AI929" t="str">
            <v>package</v>
          </cell>
          <cell r="AK929" t="str">
            <v>[25/11/2024]: SN Detector: 76591, 76604, 76595</v>
          </cell>
        </row>
        <row r="930">
          <cell r="A930" t="str">
            <v>IKN400481</v>
          </cell>
          <cell r="B930">
            <v>481</v>
          </cell>
          <cell r="C930" t="str">
            <v>Institut Kanser Negara</v>
          </cell>
          <cell r="D930" t="str">
            <v>KKM/IKN/H/13/431</v>
          </cell>
          <cell r="E930" t="str">
            <v>13-215</v>
          </cell>
          <cell r="F930" t="str">
            <v>Infusion Pumps, General-Purpose</v>
          </cell>
          <cell r="G930" t="str">
            <v>WB</v>
          </cell>
          <cell r="H930" t="str">
            <v>SURGICAL ONCO MALE WARD</v>
          </cell>
          <cell r="I930" t="str">
            <v>05WB113</v>
          </cell>
          <cell r="J930" t="str">
            <v>EQUIP. ROOM</v>
          </cell>
          <cell r="K930" t="str">
            <v>BMED</v>
          </cell>
          <cell r="L930" t="str">
            <v>Normal</v>
          </cell>
          <cell r="M930" t="str">
            <v>Germany</v>
          </cell>
          <cell r="N930" t="str">
            <v>Infusomat</v>
          </cell>
          <cell r="O930" t="str">
            <v>Infusomat Space</v>
          </cell>
          <cell r="P930" t="str">
            <v>211446</v>
          </cell>
          <cell r="Q930" t="str">
            <v>Not Applicable</v>
          </cell>
          <cell r="R930" t="str">
            <v>B Braun Melsungen AG</v>
          </cell>
          <cell r="S930" t="str">
            <v>B Braun Medical Supplies Sdn. Bhd.</v>
          </cell>
          <cell r="T930" t="str">
            <v>Functioning</v>
          </cell>
          <cell r="U930" t="str">
            <v>Asset</v>
          </cell>
          <cell r="V930">
            <v>10825</v>
          </cell>
          <cell r="W930" t="str">
            <v>KEW</v>
          </cell>
          <cell r="X930" t="str">
            <v>01/09/2010</v>
          </cell>
          <cell r="Y930" t="str">
            <v>KEW</v>
          </cell>
          <cell r="Z930" t="str">
            <v>16/08/2013</v>
          </cell>
          <cell r="AA930" t="str">
            <v>15/08/2015</v>
          </cell>
          <cell r="AB930" t="str">
            <v>No</v>
          </cell>
          <cell r="AC930" t="str">
            <v>31/08/2013</v>
          </cell>
          <cell r="AD930" t="str">
            <v>Good</v>
          </cell>
          <cell r="AE930" t="str">
            <v>V1 - Existing / No Claim</v>
          </cell>
          <cell r="AF930">
            <v>42235</v>
          </cell>
          <cell r="AG930">
            <v>9.17</v>
          </cell>
          <cell r="AH930" t="str">
            <v>PPM</v>
          </cell>
          <cell r="AI930" t="str">
            <v>Strands</v>
          </cell>
          <cell r="AJ930" t="str">
            <v>Strands PW</v>
          </cell>
        </row>
        <row r="931">
          <cell r="A931" t="str">
            <v>IKN400482</v>
          </cell>
          <cell r="B931">
            <v>482</v>
          </cell>
          <cell r="C931" t="str">
            <v>Institut Kanser Negara</v>
          </cell>
          <cell r="D931" t="str">
            <v>KKM/IKN/H/13/432</v>
          </cell>
          <cell r="E931" t="str">
            <v>13-215</v>
          </cell>
          <cell r="F931" t="str">
            <v>Infusion Pumps, General-Purpose</v>
          </cell>
          <cell r="G931" t="str">
            <v>WB</v>
          </cell>
          <cell r="H931" t="str">
            <v>SURGICAL ONCO MALE WARD</v>
          </cell>
          <cell r="I931" t="str">
            <v>05WB113</v>
          </cell>
          <cell r="J931" t="str">
            <v>EQUIP. ROOM</v>
          </cell>
          <cell r="K931" t="str">
            <v>BMED</v>
          </cell>
          <cell r="L931" t="str">
            <v>Critical</v>
          </cell>
          <cell r="M931" t="str">
            <v>Germany</v>
          </cell>
          <cell r="N931" t="str">
            <v>Infusomat</v>
          </cell>
          <cell r="O931" t="str">
            <v>Infusomat Space</v>
          </cell>
          <cell r="P931" t="str">
            <v>212035</v>
          </cell>
          <cell r="Q931" t="str">
            <v>Not Applicable</v>
          </cell>
          <cell r="R931" t="str">
            <v>B Braun Melsungen AG</v>
          </cell>
          <cell r="S931" t="str">
            <v>B Braun Medical Supplies Sdn. Bhd.</v>
          </cell>
          <cell r="T931" t="str">
            <v>Functioning</v>
          </cell>
          <cell r="U931" t="str">
            <v>Asset</v>
          </cell>
          <cell r="V931">
            <v>10825</v>
          </cell>
          <cell r="W931" t="str">
            <v>KEW</v>
          </cell>
          <cell r="X931" t="str">
            <v>01/09/2010</v>
          </cell>
          <cell r="Y931" t="str">
            <v>KEW</v>
          </cell>
          <cell r="Z931" t="str">
            <v>16/08/2013</v>
          </cell>
          <cell r="AA931" t="str">
            <v>15/08/2015</v>
          </cell>
          <cell r="AB931" t="str">
            <v>No</v>
          </cell>
          <cell r="AC931" t="str">
            <v>31/08/2013</v>
          </cell>
          <cell r="AD931" t="str">
            <v>Good</v>
          </cell>
          <cell r="AE931" t="str">
            <v>V1 - Existing / No Claim</v>
          </cell>
          <cell r="AF931">
            <v>42788</v>
          </cell>
          <cell r="AG931">
            <v>9.17</v>
          </cell>
          <cell r="AH931" t="str">
            <v>PPM</v>
          </cell>
          <cell r="AI931" t="str">
            <v>Strands</v>
          </cell>
          <cell r="AJ931" t="str">
            <v>Strands PW</v>
          </cell>
        </row>
        <row r="932">
          <cell r="A932" t="str">
            <v>IKN400483</v>
          </cell>
          <cell r="B932">
            <v>483</v>
          </cell>
          <cell r="C932" t="str">
            <v>Institut Kanser Negara</v>
          </cell>
          <cell r="D932" t="str">
            <v>KKM/IKN/H/13/5379</v>
          </cell>
          <cell r="E932" t="str">
            <v>12-660</v>
          </cell>
          <cell r="F932" t="str">
            <v>Radiation Monitors</v>
          </cell>
          <cell r="G932" t="str">
            <v>NW</v>
          </cell>
          <cell r="H932" t="str">
            <v>NUCLEAR WASTE HOLDING</v>
          </cell>
          <cell r="I932" t="str">
            <v>01NW106</v>
          </cell>
          <cell r="J932" t="str">
            <v>WASTE MEASUREMENT</v>
          </cell>
          <cell r="K932" t="str">
            <v>BMED</v>
          </cell>
          <cell r="L932" t="str">
            <v>Normal</v>
          </cell>
          <cell r="M932" t="str">
            <v>Germany</v>
          </cell>
          <cell r="N932" t="str">
            <v>Almo</v>
          </cell>
          <cell r="O932" t="str">
            <v>Almo 6</v>
          </cell>
          <cell r="P932" t="str">
            <v>0071</v>
          </cell>
          <cell r="Q932" t="str">
            <v>Not Applicable</v>
          </cell>
          <cell r="R932" t="str">
            <v>MED Nuklear-Medizintechnik Dresden GmbH</v>
          </cell>
          <cell r="S932" t="str">
            <v/>
          </cell>
          <cell r="T932" t="str">
            <v>Functioning</v>
          </cell>
          <cell r="U932" t="str">
            <v>Asset</v>
          </cell>
          <cell r="V932">
            <v>54570</v>
          </cell>
          <cell r="W932" t="str">
            <v>KEW</v>
          </cell>
          <cell r="X932" t="str">
            <v>01/09/2010</v>
          </cell>
          <cell r="Y932" t="str">
            <v>KEW</v>
          </cell>
          <cell r="Z932" t="str">
            <v>16/08/2013</v>
          </cell>
          <cell r="AA932" t="str">
            <v>15/08/2015</v>
          </cell>
          <cell r="AB932" t="str">
            <v>No</v>
          </cell>
          <cell r="AC932" t="str">
            <v>31/08/2013</v>
          </cell>
          <cell r="AD932" t="str">
            <v>Good</v>
          </cell>
          <cell r="AE932" t="str">
            <v>V1 - Existing / No Claim</v>
          </cell>
          <cell r="AF932">
            <v>42235</v>
          </cell>
          <cell r="AG932">
            <v>9.17</v>
          </cell>
          <cell r="AH932" t="str">
            <v>PPM</v>
          </cell>
          <cell r="AI932" t="str">
            <v>Strands</v>
          </cell>
          <cell r="AJ932" t="str">
            <v>Strands PW</v>
          </cell>
          <cell r="AK932" t="str">
            <v>[25/11/2024]: SN Detector: 76594)</v>
          </cell>
        </row>
        <row r="933">
          <cell r="A933" t="str">
            <v>IKN400484</v>
          </cell>
          <cell r="B933">
            <v>484</v>
          </cell>
          <cell r="C933" t="str">
            <v>Institut Kanser Negara</v>
          </cell>
          <cell r="D933" t="str">
            <v>KKM/IKN/H/13/437</v>
          </cell>
          <cell r="E933" t="str">
            <v>18-147</v>
          </cell>
          <cell r="F933" t="str">
            <v>Mattress Systems, Alternating-Pressure</v>
          </cell>
          <cell r="G933" t="str">
            <v>WB</v>
          </cell>
          <cell r="H933" t="str">
            <v>SURGICAL ONCO MALE WARD</v>
          </cell>
          <cell r="I933" t="str">
            <v>05WB113</v>
          </cell>
          <cell r="J933" t="str">
            <v>EQUIP. ROOM</v>
          </cell>
          <cell r="K933" t="str">
            <v>BMED</v>
          </cell>
          <cell r="L933" t="str">
            <v>Normal</v>
          </cell>
          <cell r="M933" t="str">
            <v>Poland</v>
          </cell>
          <cell r="N933" t="str">
            <v>Nimbus</v>
          </cell>
          <cell r="O933" t="str">
            <v>Nimbus 3</v>
          </cell>
          <cell r="P933" t="str">
            <v>1200006463</v>
          </cell>
          <cell r="Q933" t="str">
            <v>Not Applicable</v>
          </cell>
          <cell r="R933" t="str">
            <v>Arjohuntleigh</v>
          </cell>
          <cell r="S933" t="str">
            <v>Hexamine Sdn. Bhd.</v>
          </cell>
          <cell r="T933" t="str">
            <v>Functioning</v>
          </cell>
          <cell r="U933" t="str">
            <v>Asset</v>
          </cell>
          <cell r="V933">
            <v>28630</v>
          </cell>
          <cell r="W933" t="str">
            <v>KEW</v>
          </cell>
          <cell r="X933" t="str">
            <v>01/09/2010</v>
          </cell>
          <cell r="Y933" t="str">
            <v>KEW</v>
          </cell>
          <cell r="Z933" t="str">
            <v>16/08/2013</v>
          </cell>
          <cell r="AA933" t="str">
            <v>15/08/2015</v>
          </cell>
          <cell r="AB933" t="str">
            <v>No</v>
          </cell>
          <cell r="AC933" t="str">
            <v>31/08/2013</v>
          </cell>
          <cell r="AD933" t="str">
            <v>Good</v>
          </cell>
          <cell r="AE933" t="str">
            <v>V1 - Existing / No Claim</v>
          </cell>
          <cell r="AF933">
            <v>42788</v>
          </cell>
          <cell r="AG933">
            <v>9.17</v>
          </cell>
          <cell r="AH933" t="str">
            <v>PPM</v>
          </cell>
          <cell r="AI933" t="str">
            <v>Strands</v>
          </cell>
          <cell r="AJ933" t="str">
            <v>Strands PW</v>
          </cell>
        </row>
        <row r="934">
          <cell r="A934" t="str">
            <v>IKN400485</v>
          </cell>
          <cell r="B934">
            <v>485</v>
          </cell>
          <cell r="C934" t="str">
            <v>Institut Kanser Negara</v>
          </cell>
          <cell r="D934" t="str">
            <v>KKM/IKN/H/13/2661</v>
          </cell>
          <cell r="E934" t="str">
            <v>10-134</v>
          </cell>
          <cell r="F934" t="str">
            <v>Anesthesia Units</v>
          </cell>
          <cell r="G934" t="str">
            <v>ID</v>
          </cell>
          <cell r="H934" t="str">
            <v>IMAGING DEPARTMENT</v>
          </cell>
          <cell r="I934" t="str">
            <v>03ID109</v>
          </cell>
          <cell r="J934" t="str">
            <v>INDUCTION</v>
          </cell>
          <cell r="K934" t="str">
            <v>BMED</v>
          </cell>
          <cell r="L934" t="str">
            <v>Normal</v>
          </cell>
          <cell r="M934" t="str">
            <v>Germany</v>
          </cell>
          <cell r="N934" t="str">
            <v>Fabius</v>
          </cell>
          <cell r="O934" t="str">
            <v>Fabius MRI</v>
          </cell>
          <cell r="P934" t="str">
            <v>ASDD-0149</v>
          </cell>
          <cell r="Q934" t="str">
            <v>Not Applicable</v>
          </cell>
          <cell r="R934" t="str">
            <v>Draegerwerk Ag</v>
          </cell>
          <cell r="S934" t="str">
            <v>Beau Consortium Sdn Bhd</v>
          </cell>
          <cell r="T934" t="str">
            <v>Functioning</v>
          </cell>
          <cell r="U934" t="str">
            <v>Asset</v>
          </cell>
          <cell r="V934">
            <v>312750</v>
          </cell>
          <cell r="W934" t="str">
            <v>KEW</v>
          </cell>
          <cell r="X934" t="str">
            <v>01/09/2010</v>
          </cell>
          <cell r="Y934" t="str">
            <v>KEW</v>
          </cell>
          <cell r="Z934" t="str">
            <v>16/08/2013</v>
          </cell>
          <cell r="AA934" t="str">
            <v>15/08/2015</v>
          </cell>
          <cell r="AB934" t="str">
            <v>No</v>
          </cell>
          <cell r="AC934" t="str">
            <v>31/08/2013</v>
          </cell>
          <cell r="AD934" t="str">
            <v>Good</v>
          </cell>
          <cell r="AE934" t="str">
            <v>V1 - Existing / No Claim</v>
          </cell>
          <cell r="AF934">
            <v>42235</v>
          </cell>
          <cell r="AG934">
            <v>9.17</v>
          </cell>
          <cell r="AH934" t="str">
            <v>PPM</v>
          </cell>
          <cell r="AI934" t="str">
            <v>Strands</v>
          </cell>
          <cell r="AJ934" t="str">
            <v>Strands PW</v>
          </cell>
        </row>
        <row r="935">
          <cell r="A935" t="str">
            <v>IKN400486</v>
          </cell>
          <cell r="B935">
            <v>486</v>
          </cell>
          <cell r="C935" t="str">
            <v>Institut Kanser Negara</v>
          </cell>
          <cell r="D935" t="str">
            <v>KKM/IKN/H/13/438</v>
          </cell>
          <cell r="E935" t="str">
            <v>18-147</v>
          </cell>
          <cell r="F935" t="str">
            <v>Mattress Systems, Alternating-Pressure</v>
          </cell>
          <cell r="G935" t="str">
            <v>WB</v>
          </cell>
          <cell r="H935" t="str">
            <v>SURGICAL ONCO MALE WARD</v>
          </cell>
          <cell r="I935" t="str">
            <v>05WB113</v>
          </cell>
          <cell r="J935" t="str">
            <v>EQUIP. ROOM</v>
          </cell>
          <cell r="K935" t="str">
            <v>BMED</v>
          </cell>
          <cell r="L935" t="str">
            <v>Normal</v>
          </cell>
          <cell r="M935" t="str">
            <v>Poland</v>
          </cell>
          <cell r="N935" t="str">
            <v>Nimbus</v>
          </cell>
          <cell r="O935" t="str">
            <v>Nimbus 3</v>
          </cell>
          <cell r="P935" t="str">
            <v>1200006477</v>
          </cell>
          <cell r="Q935" t="str">
            <v>Not Applicable</v>
          </cell>
          <cell r="R935" t="str">
            <v>Arjohuntleigh</v>
          </cell>
          <cell r="S935" t="str">
            <v>Hexamine Sdn. Bhd.</v>
          </cell>
          <cell r="T935" t="str">
            <v>Functioning</v>
          </cell>
          <cell r="U935" t="str">
            <v>Asset</v>
          </cell>
          <cell r="V935">
            <v>28630</v>
          </cell>
          <cell r="W935" t="str">
            <v>KEW</v>
          </cell>
          <cell r="X935" t="str">
            <v>01/09/2010</v>
          </cell>
          <cell r="Y935" t="str">
            <v>KEW</v>
          </cell>
          <cell r="Z935" t="str">
            <v>16/08/2013</v>
          </cell>
          <cell r="AA935" t="str">
            <v>15/08/2015</v>
          </cell>
          <cell r="AB935" t="str">
            <v>No</v>
          </cell>
          <cell r="AC935" t="str">
            <v>31/08/2013</v>
          </cell>
          <cell r="AD935" t="str">
            <v>Good</v>
          </cell>
          <cell r="AE935" t="str">
            <v>V1 - Existing / No Claim</v>
          </cell>
          <cell r="AF935">
            <v>42788</v>
          </cell>
          <cell r="AG935">
            <v>9.17</v>
          </cell>
          <cell r="AH935" t="str">
            <v>PPM</v>
          </cell>
          <cell r="AI935" t="str">
            <v>Strands</v>
          </cell>
          <cell r="AJ935" t="str">
            <v>Strands PW</v>
          </cell>
        </row>
        <row r="936">
          <cell r="A936" t="str">
            <v>IKN400487</v>
          </cell>
          <cell r="B936">
            <v>487</v>
          </cell>
          <cell r="C936" t="str">
            <v>Institut Kanser Negara</v>
          </cell>
          <cell r="D936" t="str">
            <v>KKM/IKN/H/13/441</v>
          </cell>
          <cell r="E936" t="str">
            <v>18-147</v>
          </cell>
          <cell r="F936" t="str">
            <v>Mattress Systems, Alternating-Pressure</v>
          </cell>
          <cell r="G936" t="str">
            <v>WB</v>
          </cell>
          <cell r="H936" t="str">
            <v>SURGICAL ONCO MALE WARD</v>
          </cell>
          <cell r="I936" t="str">
            <v>05WB113</v>
          </cell>
          <cell r="J936" t="str">
            <v>EQUIP. ROOM</v>
          </cell>
          <cell r="K936" t="str">
            <v>BMED</v>
          </cell>
          <cell r="L936" t="str">
            <v>Normal</v>
          </cell>
          <cell r="M936" t="str">
            <v>Poland</v>
          </cell>
          <cell r="N936" t="str">
            <v>Nimbus</v>
          </cell>
          <cell r="O936" t="str">
            <v>Nimbus 3</v>
          </cell>
          <cell r="P936" t="str">
            <v>1200006448</v>
          </cell>
          <cell r="Q936" t="str">
            <v>Not Applicable</v>
          </cell>
          <cell r="R936" t="str">
            <v>Arjohuntleigh</v>
          </cell>
          <cell r="S936" t="str">
            <v>Hexamine Sdn. Bhd.</v>
          </cell>
          <cell r="T936" t="str">
            <v>Functioning</v>
          </cell>
          <cell r="U936" t="str">
            <v>Asset</v>
          </cell>
          <cell r="V936">
            <v>28630</v>
          </cell>
          <cell r="W936" t="str">
            <v>KEW</v>
          </cell>
          <cell r="X936" t="str">
            <v>01/09/2010</v>
          </cell>
          <cell r="Y936" t="str">
            <v>KEW</v>
          </cell>
          <cell r="Z936" t="str">
            <v>16/08/2013</v>
          </cell>
          <cell r="AA936" t="str">
            <v>15/08/2015</v>
          </cell>
          <cell r="AB936" t="str">
            <v>No</v>
          </cell>
          <cell r="AC936" t="str">
            <v>31/08/2013</v>
          </cell>
          <cell r="AD936" t="str">
            <v>Good</v>
          </cell>
          <cell r="AE936" t="str">
            <v>V1 - Existing / No Claim</v>
          </cell>
          <cell r="AF936">
            <v>42788</v>
          </cell>
          <cell r="AG936">
            <v>9.17</v>
          </cell>
          <cell r="AH936" t="str">
            <v>PPM</v>
          </cell>
          <cell r="AI936" t="str">
            <v>Strands</v>
          </cell>
          <cell r="AJ936" t="str">
            <v>Strands PW</v>
          </cell>
        </row>
        <row r="937">
          <cell r="A937" t="str">
            <v>IKN400488</v>
          </cell>
          <cell r="B937">
            <v>488</v>
          </cell>
          <cell r="C937" t="str">
            <v>Institut Kanser Negara</v>
          </cell>
          <cell r="D937" t="str">
            <v>KKM/IKN/H/13/440</v>
          </cell>
          <cell r="E937" t="str">
            <v>18-147</v>
          </cell>
          <cell r="F937" t="str">
            <v>Mattress Systems, Alternating-Pressure</v>
          </cell>
          <cell r="G937" t="str">
            <v>WB</v>
          </cell>
          <cell r="H937" t="str">
            <v>SURGICAL ONCO MALE WARD</v>
          </cell>
          <cell r="I937" t="str">
            <v>05WB113</v>
          </cell>
          <cell r="J937" t="str">
            <v>EQUIP. ROOM</v>
          </cell>
          <cell r="K937" t="str">
            <v>BMED</v>
          </cell>
          <cell r="L937" t="str">
            <v>Normal</v>
          </cell>
          <cell r="M937" t="str">
            <v>Poland</v>
          </cell>
          <cell r="N937" t="str">
            <v>Nimbus</v>
          </cell>
          <cell r="O937" t="str">
            <v>Nimbus 3</v>
          </cell>
          <cell r="P937" t="str">
            <v>1100039129</v>
          </cell>
          <cell r="Q937" t="str">
            <v>Not Applicable</v>
          </cell>
          <cell r="R937" t="str">
            <v>Arjohuntleigh</v>
          </cell>
          <cell r="S937" t="str">
            <v>Hexamine Sdn. Bhd.</v>
          </cell>
          <cell r="T937" t="str">
            <v>Functioning</v>
          </cell>
          <cell r="U937" t="str">
            <v>Asset</v>
          </cell>
          <cell r="V937">
            <v>28630</v>
          </cell>
          <cell r="W937" t="str">
            <v>KEW</v>
          </cell>
          <cell r="X937" t="str">
            <v>01/09/2010</v>
          </cell>
          <cell r="Y937" t="str">
            <v>KEW</v>
          </cell>
          <cell r="Z937" t="str">
            <v>16/08/2013</v>
          </cell>
          <cell r="AA937" t="str">
            <v>15/08/2015</v>
          </cell>
          <cell r="AB937" t="str">
            <v>No</v>
          </cell>
          <cell r="AC937" t="str">
            <v>31/08/2013</v>
          </cell>
          <cell r="AD937" t="str">
            <v>Good</v>
          </cell>
          <cell r="AE937" t="str">
            <v>V1 - Existing / No Claim</v>
          </cell>
          <cell r="AF937">
            <v>42788</v>
          </cell>
          <cell r="AG937">
            <v>9.17</v>
          </cell>
          <cell r="AH937" t="str">
            <v>PPM</v>
          </cell>
          <cell r="AI937" t="str">
            <v>Strands</v>
          </cell>
          <cell r="AJ937" t="str">
            <v>Strands PW</v>
          </cell>
        </row>
        <row r="938">
          <cell r="A938" t="str">
            <v>IKN400489</v>
          </cell>
          <cell r="B938">
            <v>489</v>
          </cell>
          <cell r="C938" t="str">
            <v>Institut Kanser Negara</v>
          </cell>
          <cell r="D938" t="str">
            <v>KKM/IKN/H/13/443</v>
          </cell>
          <cell r="E938" t="str">
            <v>10-208</v>
          </cell>
          <cell r="F938" t="str">
            <v>Aspirators</v>
          </cell>
          <cell r="G938" t="str">
            <v>WB</v>
          </cell>
          <cell r="H938" t="str">
            <v>SURGICAL ONCO MALE WARD</v>
          </cell>
          <cell r="I938" t="str">
            <v>05WB113</v>
          </cell>
          <cell r="J938" t="str">
            <v>EQUIP. ROOM</v>
          </cell>
          <cell r="K938" t="str">
            <v>BMED</v>
          </cell>
          <cell r="L938" t="str">
            <v>Critical</v>
          </cell>
          <cell r="M938" t="str">
            <v>UK</v>
          </cell>
          <cell r="N938" t="str">
            <v>SAM</v>
          </cell>
          <cell r="O938" t="str">
            <v>SAM 427</v>
          </cell>
          <cell r="P938" t="str">
            <v>0313-0533</v>
          </cell>
          <cell r="Q938" t="str">
            <v>Not Applicable</v>
          </cell>
          <cell r="R938" t="str">
            <v>MG Electric Ltd</v>
          </cell>
          <cell r="S938" t="str">
            <v>Delta Medisains</v>
          </cell>
          <cell r="T938" t="str">
            <v>Functioning</v>
          </cell>
          <cell r="U938" t="str">
            <v>Asset</v>
          </cell>
          <cell r="V938">
            <v>10705</v>
          </cell>
          <cell r="W938" t="str">
            <v>KEW</v>
          </cell>
          <cell r="X938" t="str">
            <v>01/09/2010</v>
          </cell>
          <cell r="Y938" t="str">
            <v>KEW</v>
          </cell>
          <cell r="Z938" t="str">
            <v>16/08/2013</v>
          </cell>
          <cell r="AA938" t="str">
            <v>15/08/2015</v>
          </cell>
          <cell r="AB938" t="str">
            <v>No</v>
          </cell>
          <cell r="AC938" t="str">
            <v>31/08/2013</v>
          </cell>
          <cell r="AD938" t="str">
            <v>Good</v>
          </cell>
          <cell r="AE938" t="str">
            <v>V1 - Existing / No Claim</v>
          </cell>
          <cell r="AF938">
            <v>42788</v>
          </cell>
          <cell r="AG938">
            <v>9.17</v>
          </cell>
          <cell r="AH938" t="str">
            <v>PPM</v>
          </cell>
          <cell r="AI938" t="str">
            <v>Strands</v>
          </cell>
          <cell r="AJ938" t="str">
            <v>Strands PW</v>
          </cell>
        </row>
        <row r="939">
          <cell r="A939" t="str">
            <v>IKN400490</v>
          </cell>
          <cell r="B939">
            <v>490</v>
          </cell>
          <cell r="C939" t="str">
            <v>Institut Kanser Negara</v>
          </cell>
          <cell r="D939" t="str">
            <v>KKM/IKN/H/13/449</v>
          </cell>
          <cell r="E939" t="str">
            <v>12-647</v>
          </cell>
          <cell r="F939" t="str">
            <v>Physiologic Monitoring Systems, Acute Care</v>
          </cell>
          <cell r="G939" t="str">
            <v>WB</v>
          </cell>
          <cell r="H939" t="str">
            <v>SURGICAL ONCO MALE WARD</v>
          </cell>
          <cell r="I939" t="str">
            <v>05WB113</v>
          </cell>
          <cell r="J939" t="str">
            <v>EQUIP. ROOM</v>
          </cell>
          <cell r="K939" t="str">
            <v>BMED</v>
          </cell>
          <cell r="L939" t="str">
            <v>Critical</v>
          </cell>
          <cell r="M939" t="str">
            <v>USA</v>
          </cell>
          <cell r="N939" t="str">
            <v>GE</v>
          </cell>
          <cell r="O939" t="str">
            <v>GE B30</v>
          </cell>
          <cell r="P939" t="str">
            <v>SF312325914WA</v>
          </cell>
          <cell r="Q939" t="str">
            <v>Not Applicable</v>
          </cell>
          <cell r="R939" t="str">
            <v>GE Healthcare Systems</v>
          </cell>
          <cell r="S939" t="str">
            <v>GE Healthcare Technologies</v>
          </cell>
          <cell r="T939" t="str">
            <v>Functioning</v>
          </cell>
          <cell r="U939" t="str">
            <v>Asset</v>
          </cell>
          <cell r="V939">
            <v>44510</v>
          </cell>
          <cell r="W939" t="str">
            <v>KEW</v>
          </cell>
          <cell r="X939" t="str">
            <v>01/09/2010</v>
          </cell>
          <cell r="Y939" t="str">
            <v>KEW</v>
          </cell>
          <cell r="Z939" t="str">
            <v>16/08/2013</v>
          </cell>
          <cell r="AA939" t="str">
            <v>15/08/2015</v>
          </cell>
          <cell r="AB939" t="str">
            <v>No</v>
          </cell>
          <cell r="AC939" t="str">
            <v>31/08/2013</v>
          </cell>
          <cell r="AD939" t="str">
            <v>Good</v>
          </cell>
          <cell r="AE939" t="str">
            <v>V1 - Existing / No Claim</v>
          </cell>
          <cell r="AF939">
            <v>42788</v>
          </cell>
          <cell r="AG939">
            <v>9.17</v>
          </cell>
          <cell r="AH939" t="str">
            <v>PPM</v>
          </cell>
          <cell r="AI939" t="str">
            <v>Strands</v>
          </cell>
          <cell r="AJ939" t="str">
            <v>Strands PW</v>
          </cell>
        </row>
        <row r="940">
          <cell r="A940" t="str">
            <v>IKN400491</v>
          </cell>
          <cell r="B940">
            <v>491</v>
          </cell>
          <cell r="C940" t="str">
            <v>Institut Kanser Negara</v>
          </cell>
          <cell r="D940" t="str">
            <v>KKM/IKN/H/13/2378</v>
          </cell>
          <cell r="E940" t="str">
            <v>12-647</v>
          </cell>
          <cell r="F940" t="str">
            <v>Physiologic Monitoring Systems, Acute Care</v>
          </cell>
          <cell r="G940" t="str">
            <v>WB</v>
          </cell>
          <cell r="H940" t="str">
            <v>SURGICAL ONCO MALE WARD</v>
          </cell>
          <cell r="I940" t="str">
            <v>05WB113</v>
          </cell>
          <cell r="J940" t="str">
            <v>EQUIP. ROOM</v>
          </cell>
          <cell r="K940" t="str">
            <v>BMED</v>
          </cell>
          <cell r="L940" t="str">
            <v>Critical</v>
          </cell>
          <cell r="M940" t="str">
            <v>USA</v>
          </cell>
          <cell r="N940" t="str">
            <v>GE</v>
          </cell>
          <cell r="O940" t="str">
            <v>GE B30</v>
          </cell>
          <cell r="P940" t="str">
            <v>SF312325883WA</v>
          </cell>
          <cell r="Q940" t="str">
            <v>Not Applicable</v>
          </cell>
          <cell r="R940" t="str">
            <v>GE Healthcare Systems</v>
          </cell>
          <cell r="S940" t="str">
            <v>GE Healthcare Technologies</v>
          </cell>
          <cell r="T940" t="str">
            <v>Functioning</v>
          </cell>
          <cell r="U940" t="str">
            <v>Asset</v>
          </cell>
          <cell r="V940">
            <v>44510</v>
          </cell>
          <cell r="W940" t="str">
            <v>KEW</v>
          </cell>
          <cell r="X940" t="str">
            <v>01/09/2010</v>
          </cell>
          <cell r="Y940" t="str">
            <v>KEW</v>
          </cell>
          <cell r="Z940" t="str">
            <v>16/08/2013</v>
          </cell>
          <cell r="AA940" t="str">
            <v>15/08/2015</v>
          </cell>
          <cell r="AB940" t="str">
            <v>No</v>
          </cell>
          <cell r="AC940" t="str">
            <v>31/08/2013</v>
          </cell>
          <cell r="AD940" t="str">
            <v>Good</v>
          </cell>
          <cell r="AE940" t="str">
            <v>V1 - Existing / No Claim</v>
          </cell>
          <cell r="AF940">
            <v>42788</v>
          </cell>
          <cell r="AG940">
            <v>9.17</v>
          </cell>
          <cell r="AH940" t="str">
            <v>PPM</v>
          </cell>
          <cell r="AI940" t="str">
            <v>Strands</v>
          </cell>
          <cell r="AJ940" t="str">
            <v>Strands PW</v>
          </cell>
        </row>
        <row r="941">
          <cell r="A941" t="str">
            <v>IKN400492</v>
          </cell>
          <cell r="B941">
            <v>492</v>
          </cell>
          <cell r="C941" t="str">
            <v>Institut Kanser Negara</v>
          </cell>
          <cell r="D941" t="str">
            <v>KKM/IKN/H/13/3104</v>
          </cell>
          <cell r="E941" t="str">
            <v>18-449</v>
          </cell>
          <cell r="F941" t="str">
            <v>Balances, Electronic, Analytical</v>
          </cell>
          <cell r="G941" t="str">
            <v>NM</v>
          </cell>
          <cell r="H941" t="str">
            <v>NUCLEAR MED (DIAGNOSTIC)</v>
          </cell>
          <cell r="I941" t="str">
            <v>03NM142</v>
          </cell>
          <cell r="J941" t="str">
            <v>INJECTION ROOM 2 (-VE)</v>
          </cell>
          <cell r="K941" t="str">
            <v>BMED</v>
          </cell>
          <cell r="L941" t="str">
            <v>Normal</v>
          </cell>
          <cell r="M941" t="str">
            <v>Germany</v>
          </cell>
          <cell r="N941" t="str">
            <v>Sartorius</v>
          </cell>
          <cell r="O941" t="str">
            <v>Sartorius CPA225D</v>
          </cell>
          <cell r="P941" t="str">
            <v>28103547</v>
          </cell>
          <cell r="Q941" t="str">
            <v>Not Applicable</v>
          </cell>
          <cell r="R941" t="str">
            <v>Sartorius AG</v>
          </cell>
          <cell r="S941" t="str">
            <v>Chemopharm Sd. Bhd.</v>
          </cell>
          <cell r="T941" t="str">
            <v>Functioning</v>
          </cell>
          <cell r="U941" t="str">
            <v>Asset</v>
          </cell>
          <cell r="V941">
            <v>6250</v>
          </cell>
          <cell r="W941" t="str">
            <v>KEW</v>
          </cell>
          <cell r="X941" t="str">
            <v>01/09/2010</v>
          </cell>
          <cell r="Y941" t="str">
            <v>KEW</v>
          </cell>
          <cell r="Z941" t="str">
            <v>16/08/2013</v>
          </cell>
          <cell r="AA941" t="str">
            <v>15/08/2015</v>
          </cell>
          <cell r="AB941" t="str">
            <v>No</v>
          </cell>
          <cell r="AC941" t="str">
            <v>31/08/2013</v>
          </cell>
          <cell r="AD941" t="str">
            <v>Good</v>
          </cell>
          <cell r="AE941" t="str">
            <v>V1 - Existing / No Claim</v>
          </cell>
          <cell r="AF941">
            <v>42235</v>
          </cell>
          <cell r="AG941">
            <v>9.17</v>
          </cell>
          <cell r="AH941" t="str">
            <v>PPM</v>
          </cell>
          <cell r="AI941" t="str">
            <v>Strands</v>
          </cell>
          <cell r="AJ941" t="str">
            <v>Strands PW</v>
          </cell>
        </row>
        <row r="942">
          <cell r="A942" t="str">
            <v>IKN400493</v>
          </cell>
          <cell r="B942">
            <v>493</v>
          </cell>
          <cell r="C942" t="str">
            <v>Institut Kanser Negara</v>
          </cell>
          <cell r="D942" t="str">
            <v>KKM/IKN/H/13/446</v>
          </cell>
          <cell r="E942" t="str">
            <v>11-134</v>
          </cell>
          <cell r="F942" t="str">
            <v>Defibrillators, External, Manual</v>
          </cell>
          <cell r="G942" t="str">
            <v>WB</v>
          </cell>
          <cell r="H942" t="str">
            <v>SURGICAL ONCO MALE WARD</v>
          </cell>
          <cell r="I942" t="str">
            <v>05WB133</v>
          </cell>
          <cell r="J942" t="str">
            <v>RESUS EQ. BAY</v>
          </cell>
          <cell r="K942" t="str">
            <v>BMED</v>
          </cell>
          <cell r="L942" t="str">
            <v>Critical</v>
          </cell>
          <cell r="M942" t="str">
            <v>USA</v>
          </cell>
          <cell r="N942" t="str">
            <v>Responder</v>
          </cell>
          <cell r="O942" t="str">
            <v>Responder 2000</v>
          </cell>
          <cell r="P942" t="str">
            <v>3206702</v>
          </cell>
          <cell r="Q942" t="str">
            <v>Not Applicable</v>
          </cell>
          <cell r="R942" t="str">
            <v>GE Medical Systems</v>
          </cell>
          <cell r="S942" t="str">
            <v>Antah Sir Radin Sdn. Bhd.</v>
          </cell>
          <cell r="T942" t="str">
            <v>Functioning</v>
          </cell>
          <cell r="U942" t="str">
            <v>Asset</v>
          </cell>
          <cell r="V942">
            <v>45000</v>
          </cell>
          <cell r="W942" t="str">
            <v>Estimate</v>
          </cell>
          <cell r="X942" t="str">
            <v>01/09/2010</v>
          </cell>
          <cell r="Y942" t="str">
            <v>KEW</v>
          </cell>
          <cell r="Z942" t="str">
            <v>16/08/2013</v>
          </cell>
          <cell r="AA942" t="str">
            <v>15/08/2015</v>
          </cell>
          <cell r="AB942" t="str">
            <v>No</v>
          </cell>
          <cell r="AC942" t="str">
            <v>31/08/2013</v>
          </cell>
          <cell r="AD942" t="str">
            <v>Good</v>
          </cell>
          <cell r="AE942" t="str">
            <v>V1 - Existing / No Claim</v>
          </cell>
          <cell r="AF942">
            <v>42601</v>
          </cell>
          <cell r="AG942">
            <v>9.17</v>
          </cell>
          <cell r="AH942" t="str">
            <v>PPM</v>
          </cell>
          <cell r="AI942" t="str">
            <v>Strands</v>
          </cell>
          <cell r="AJ942" t="str">
            <v>Strands PW</v>
          </cell>
          <cell r="AK942" t="str">
            <v>Crash Trolley (FEMS)</v>
          </cell>
        </row>
        <row r="943">
          <cell r="A943" t="str">
            <v>IKN400494</v>
          </cell>
          <cell r="B943">
            <v>494</v>
          </cell>
          <cell r="C943" t="str">
            <v>Institut Kanser Negara</v>
          </cell>
          <cell r="D943" t="str">
            <v>KKM/IKN/H/13/3133</v>
          </cell>
          <cell r="E943" t="str">
            <v>16-173</v>
          </cell>
          <cell r="F943" t="str">
            <v>Sphygmomanometers, Electronic, Automatic</v>
          </cell>
          <cell r="G943" t="str">
            <v>WB</v>
          </cell>
          <cell r="H943" t="str">
            <v>SURGICAL ONCO MALE WARD</v>
          </cell>
          <cell r="I943" t="str">
            <v>05WB143</v>
          </cell>
          <cell r="J943" t="str">
            <v>NURSES STATION</v>
          </cell>
          <cell r="K943" t="str">
            <v>BMED</v>
          </cell>
          <cell r="L943" t="str">
            <v>Critical</v>
          </cell>
          <cell r="M943" t="str">
            <v>USA</v>
          </cell>
          <cell r="N943" t="str">
            <v>Connex</v>
          </cell>
          <cell r="O943" t="str">
            <v>Connex ProBP 3400</v>
          </cell>
          <cell r="P943" t="str">
            <v>100001500613</v>
          </cell>
          <cell r="Q943" t="str">
            <v>Not Applicable</v>
          </cell>
          <cell r="R943" t="str">
            <v>Welch Allyn Inc</v>
          </cell>
          <cell r="S943" t="str">
            <v>Welch Allyn Malaysia Sdn Bhd</v>
          </cell>
          <cell r="T943" t="str">
            <v>Functioning</v>
          </cell>
          <cell r="U943" t="str">
            <v>Asset</v>
          </cell>
          <cell r="V943">
            <v>4510</v>
          </cell>
          <cell r="W943" t="str">
            <v>KEW</v>
          </cell>
          <cell r="X943" t="str">
            <v>01/09/2010</v>
          </cell>
          <cell r="Y943" t="str">
            <v>KEW</v>
          </cell>
          <cell r="Z943" t="str">
            <v>16/08/2013</v>
          </cell>
          <cell r="AA943" t="str">
            <v>15/08/2015</v>
          </cell>
          <cell r="AB943" t="str">
            <v>No</v>
          </cell>
          <cell r="AC943" t="str">
            <v>31/08/2013</v>
          </cell>
          <cell r="AD943" t="str">
            <v>Good</v>
          </cell>
          <cell r="AE943" t="str">
            <v>V1 - Existing / No Claim</v>
          </cell>
          <cell r="AF943">
            <v>42788</v>
          </cell>
          <cell r="AG943">
            <v>9.17</v>
          </cell>
          <cell r="AH943" t="str">
            <v>PPM</v>
          </cell>
          <cell r="AI943" t="str">
            <v>Strands</v>
          </cell>
          <cell r="AJ943" t="str">
            <v>Strands PW</v>
          </cell>
        </row>
        <row r="944">
          <cell r="A944" t="str">
            <v>IKN400495</v>
          </cell>
          <cell r="B944">
            <v>495</v>
          </cell>
          <cell r="C944" t="str">
            <v>Institut Kanser Negara</v>
          </cell>
          <cell r="D944" t="str">
            <v>KKM/IKN/H/13/3134</v>
          </cell>
          <cell r="E944" t="str">
            <v>16-173</v>
          </cell>
          <cell r="F944" t="str">
            <v>Sphygmomanometers, Electronic, Automatic</v>
          </cell>
          <cell r="G944" t="str">
            <v>WB</v>
          </cell>
          <cell r="H944" t="str">
            <v>SURGICAL ONCO MALE WARD</v>
          </cell>
          <cell r="I944" t="str">
            <v>05WB143</v>
          </cell>
          <cell r="J944" t="str">
            <v>NURSES STATION</v>
          </cell>
          <cell r="K944" t="str">
            <v>BMED</v>
          </cell>
          <cell r="L944" t="str">
            <v>Normal</v>
          </cell>
          <cell r="M944" t="str">
            <v>USA</v>
          </cell>
          <cell r="N944" t="str">
            <v>Connex</v>
          </cell>
          <cell r="O944" t="str">
            <v>Connex ProBP 3400</v>
          </cell>
          <cell r="P944" t="str">
            <v>100001790613</v>
          </cell>
          <cell r="Q944" t="str">
            <v>Not Applicable</v>
          </cell>
          <cell r="R944" t="str">
            <v>Welch Allyn Inc</v>
          </cell>
          <cell r="S944" t="str">
            <v>Welch Allyn Malaysia Sdn Bhd</v>
          </cell>
          <cell r="T944" t="str">
            <v>Functioning</v>
          </cell>
          <cell r="U944" t="str">
            <v>Asset</v>
          </cell>
          <cell r="V944">
            <v>4510</v>
          </cell>
          <cell r="W944" t="str">
            <v>KEW</v>
          </cell>
          <cell r="X944" t="str">
            <v>01/09/2010</v>
          </cell>
          <cell r="Y944" t="str">
            <v>KEW</v>
          </cell>
          <cell r="Z944" t="str">
            <v>16/08/2013</v>
          </cell>
          <cell r="AA944" t="str">
            <v>15/08/2015</v>
          </cell>
          <cell r="AB944" t="str">
            <v>No</v>
          </cell>
          <cell r="AC944" t="str">
            <v>31/08/2013</v>
          </cell>
          <cell r="AD944" t="str">
            <v>Good</v>
          </cell>
          <cell r="AE944" t="str">
            <v>V1 - Existing / No Claim</v>
          </cell>
          <cell r="AF944">
            <v>42235</v>
          </cell>
          <cell r="AG944">
            <v>9.17</v>
          </cell>
          <cell r="AH944" t="str">
            <v>PPM</v>
          </cell>
          <cell r="AI944" t="str">
            <v>Strands</v>
          </cell>
          <cell r="AJ944" t="str">
            <v>Strands PW</v>
          </cell>
        </row>
        <row r="945">
          <cell r="A945" t="str">
            <v>IKN400496</v>
          </cell>
          <cell r="B945">
            <v>496</v>
          </cell>
          <cell r="C945" t="str">
            <v>Institut Kanser Negara</v>
          </cell>
          <cell r="D945" t="e">
            <v>#N/A</v>
          </cell>
          <cell r="E945" t="str">
            <v>12-660</v>
          </cell>
          <cell r="F945" t="str">
            <v>Radiation Monitors</v>
          </cell>
          <cell r="G945" t="str">
            <v>NM</v>
          </cell>
          <cell r="H945" t="str">
            <v>NUCLEAR MED (DIAGNOSTIC)</v>
          </cell>
          <cell r="I945" t="str">
            <v>03NM164</v>
          </cell>
          <cell r="J945" t="str">
            <v>GAMMA CAMERA 2 (-VE)</v>
          </cell>
          <cell r="K945" t="str">
            <v>BMED</v>
          </cell>
          <cell r="L945" t="str">
            <v>Normal</v>
          </cell>
          <cell r="M945" t="str">
            <v>USA</v>
          </cell>
          <cell r="N945" t="str">
            <v>Ludlum</v>
          </cell>
          <cell r="O945" t="str">
            <v>Ludlum 375</v>
          </cell>
          <cell r="P945">
            <v>294469</v>
          </cell>
          <cell r="Q945" t="str">
            <v>Not Applicable</v>
          </cell>
          <cell r="R945" t="str">
            <v>Ludlum Measurements Inc</v>
          </cell>
          <cell r="S945" t="str">
            <v>Advance Altimas Sdn Bhd</v>
          </cell>
          <cell r="T945" t="str">
            <v>Functioning</v>
          </cell>
          <cell r="U945" t="str">
            <v>Asset</v>
          </cell>
          <cell r="V945">
            <v>25000</v>
          </cell>
          <cell r="W945" t="str">
            <v>Estimate</v>
          </cell>
          <cell r="X945" t="str">
            <v>01/09/2010</v>
          </cell>
          <cell r="Y945" t="str">
            <v>KEW</v>
          </cell>
          <cell r="Z945" t="str">
            <v>16/08/2013</v>
          </cell>
          <cell r="AA945" t="str">
            <v>15/08/2015</v>
          </cell>
          <cell r="AB945" t="str">
            <v>No</v>
          </cell>
          <cell r="AC945" t="str">
            <v>31/08/2013</v>
          </cell>
          <cell r="AD945" t="str">
            <v>Good</v>
          </cell>
          <cell r="AE945" t="str">
            <v>V1 - Existing / No Claim</v>
          </cell>
          <cell r="AF945">
            <v>42601</v>
          </cell>
          <cell r="AG945">
            <v>9.17</v>
          </cell>
          <cell r="AH945" t="str">
            <v>PPM</v>
          </cell>
          <cell r="AI945" t="str">
            <v>package</v>
          </cell>
          <cell r="AJ945" t="str">
            <v>PACKAGE XK0001B</v>
          </cell>
        </row>
        <row r="946">
          <cell r="A946" t="str">
            <v>IKN400497</v>
          </cell>
          <cell r="B946">
            <v>497</v>
          </cell>
          <cell r="C946" t="str">
            <v>Institut Kanser Negara</v>
          </cell>
          <cell r="D946" t="str">
            <v>KKM/IKN/H/13/357</v>
          </cell>
          <cell r="E946" t="str">
            <v>12-873</v>
          </cell>
          <cell r="F946" t="str">
            <v>Concentrators, Oxygen</v>
          </cell>
          <cell r="G946" t="str">
            <v>PC</v>
          </cell>
          <cell r="H946" t="str">
            <v>PALLIATIVE CARE UNIT</v>
          </cell>
          <cell r="I946" t="str">
            <v>04PC109</v>
          </cell>
          <cell r="J946" t="str">
            <v>GEN. STORE</v>
          </cell>
          <cell r="K946" t="str">
            <v>BMED</v>
          </cell>
          <cell r="L946" t="str">
            <v>Critical</v>
          </cell>
          <cell r="M946" t="str">
            <v>USA</v>
          </cell>
          <cell r="N946" t="str">
            <v>EverFlo</v>
          </cell>
          <cell r="O946" t="str">
            <v>EverFlo</v>
          </cell>
          <cell r="P946" t="str">
            <v>14755</v>
          </cell>
          <cell r="Q946" t="str">
            <v>Not Applicable</v>
          </cell>
          <cell r="R946" t="str">
            <v>Respironics</v>
          </cell>
          <cell r="S946" t="str">
            <v>Goodlabs Medical (M) Sdn. Bhd.</v>
          </cell>
          <cell r="T946" t="str">
            <v>Functioning</v>
          </cell>
          <cell r="U946" t="str">
            <v>Asset</v>
          </cell>
          <cell r="V946">
            <v>5773</v>
          </cell>
          <cell r="W946" t="str">
            <v>KEW</v>
          </cell>
          <cell r="X946" t="str">
            <v>01/09/2010</v>
          </cell>
          <cell r="Y946" t="str">
            <v>KEW</v>
          </cell>
          <cell r="Z946" t="str">
            <v>16/08/2013</v>
          </cell>
          <cell r="AA946" t="str">
            <v>15/08/2015</v>
          </cell>
          <cell r="AB946" t="str">
            <v>No</v>
          </cell>
          <cell r="AC946" t="str">
            <v>31/08/2013</v>
          </cell>
          <cell r="AD946" t="str">
            <v>Good</v>
          </cell>
          <cell r="AE946" t="str">
            <v>V1 - Existing / No Claim</v>
          </cell>
          <cell r="AF946">
            <v>42797</v>
          </cell>
          <cell r="AG946">
            <v>9.17</v>
          </cell>
          <cell r="AH946" t="str">
            <v>PPM</v>
          </cell>
          <cell r="AI946" t="str">
            <v>Strands</v>
          </cell>
          <cell r="AJ946" t="str">
            <v>Strands PW</v>
          </cell>
        </row>
        <row r="947">
          <cell r="A947" t="str">
            <v>IKN400498</v>
          </cell>
          <cell r="B947">
            <v>498</v>
          </cell>
          <cell r="C947" t="str">
            <v>Institut Kanser Negara</v>
          </cell>
          <cell r="D947" t="str">
            <v>KKM/IKN/H/13/345</v>
          </cell>
          <cell r="E947" t="str">
            <v>12-873</v>
          </cell>
          <cell r="F947" t="str">
            <v>Concentrators, Oxygen</v>
          </cell>
          <cell r="G947" t="str">
            <v>PC</v>
          </cell>
          <cell r="H947" t="str">
            <v>PALLIATIVE CARE UNIT</v>
          </cell>
          <cell r="I947" t="str">
            <v>04PC109</v>
          </cell>
          <cell r="J947" t="str">
            <v>GEN. STORE</v>
          </cell>
          <cell r="K947" t="str">
            <v>BMED</v>
          </cell>
          <cell r="L947" t="str">
            <v>Normal</v>
          </cell>
          <cell r="M947" t="str">
            <v>USA</v>
          </cell>
          <cell r="N947" t="str">
            <v>EverFlo</v>
          </cell>
          <cell r="O947" t="str">
            <v>EverFlo</v>
          </cell>
          <cell r="P947" t="str">
            <v>15034</v>
          </cell>
          <cell r="Q947" t="str">
            <v>Not Applicable</v>
          </cell>
          <cell r="R947" t="str">
            <v>Respironics</v>
          </cell>
          <cell r="S947" t="str">
            <v>Goodlabs Medical (M) Sdn. Bhd.</v>
          </cell>
          <cell r="T947" t="str">
            <v>Functioning</v>
          </cell>
          <cell r="U947" t="str">
            <v>Asset</v>
          </cell>
          <cell r="V947">
            <v>5773</v>
          </cell>
          <cell r="W947" t="str">
            <v>KEW</v>
          </cell>
          <cell r="X947" t="str">
            <v>01/09/2010</v>
          </cell>
          <cell r="Y947" t="str">
            <v>KEW</v>
          </cell>
          <cell r="Z947" t="str">
            <v>16/08/2013</v>
          </cell>
          <cell r="AA947" t="str">
            <v>15/08/2015</v>
          </cell>
          <cell r="AB947" t="str">
            <v>No</v>
          </cell>
          <cell r="AC947" t="str">
            <v>31/08/2013</v>
          </cell>
          <cell r="AD947" t="str">
            <v>Good</v>
          </cell>
          <cell r="AE947" t="str">
            <v>V1 - Existing / No Claim</v>
          </cell>
          <cell r="AF947">
            <v>42235</v>
          </cell>
          <cell r="AG947">
            <v>9.17</v>
          </cell>
          <cell r="AH947" t="str">
            <v>PPM</v>
          </cell>
          <cell r="AI947" t="str">
            <v>Strands</v>
          </cell>
          <cell r="AJ947" t="str">
            <v>Strands PW</v>
          </cell>
        </row>
        <row r="948">
          <cell r="A948" t="str">
            <v>IKN400499</v>
          </cell>
          <cell r="B948">
            <v>499</v>
          </cell>
          <cell r="C948" t="str">
            <v>Institut Kanser Negara</v>
          </cell>
          <cell r="D948" t="str">
            <v>KKM/IKN/H/13/346</v>
          </cell>
          <cell r="E948" t="str">
            <v>12-873</v>
          </cell>
          <cell r="F948" t="str">
            <v>Concentrators, Oxygen</v>
          </cell>
          <cell r="G948" t="str">
            <v>PC</v>
          </cell>
          <cell r="H948" t="str">
            <v>PALLIATIVE CARE UNIT</v>
          </cell>
          <cell r="I948" t="str">
            <v>04PC109</v>
          </cell>
          <cell r="J948" t="str">
            <v>GEN. STORE</v>
          </cell>
          <cell r="K948" t="str">
            <v>BMED</v>
          </cell>
          <cell r="L948" t="str">
            <v>Critical</v>
          </cell>
          <cell r="M948" t="str">
            <v>USA</v>
          </cell>
          <cell r="N948" t="str">
            <v>EverFlo</v>
          </cell>
          <cell r="O948" t="str">
            <v>EverFlo</v>
          </cell>
          <cell r="P948" t="str">
            <v>0015036</v>
          </cell>
          <cell r="Q948" t="str">
            <v>Not Applicable</v>
          </cell>
          <cell r="R948" t="str">
            <v>Respironics</v>
          </cell>
          <cell r="S948" t="str">
            <v>Goodlabs Medical (M) Sdn. Bhd.</v>
          </cell>
          <cell r="T948" t="str">
            <v>Functioning</v>
          </cell>
          <cell r="U948" t="str">
            <v>Asset</v>
          </cell>
          <cell r="V948">
            <v>5773</v>
          </cell>
          <cell r="W948" t="str">
            <v>KEW</v>
          </cell>
          <cell r="X948" t="str">
            <v>01/09/2010</v>
          </cell>
          <cell r="Y948" t="str">
            <v>KEW</v>
          </cell>
          <cell r="Z948" t="str">
            <v>16/08/2013</v>
          </cell>
          <cell r="AA948" t="str">
            <v>15/08/2015</v>
          </cell>
          <cell r="AB948" t="str">
            <v>No</v>
          </cell>
          <cell r="AC948" t="str">
            <v>31/08/2013</v>
          </cell>
          <cell r="AD948" t="str">
            <v>Good</v>
          </cell>
          <cell r="AE948" t="str">
            <v>V1 - Existing / No Claim</v>
          </cell>
          <cell r="AF948">
            <v>43005</v>
          </cell>
          <cell r="AG948">
            <v>9.17</v>
          </cell>
          <cell r="AH948" t="str">
            <v>PPM</v>
          </cell>
          <cell r="AI948" t="str">
            <v>Strands</v>
          </cell>
          <cell r="AJ948" t="str">
            <v>Strands PW</v>
          </cell>
        </row>
        <row r="949">
          <cell r="A949" t="str">
            <v>IKN400500</v>
          </cell>
          <cell r="B949">
            <v>500</v>
          </cell>
          <cell r="C949" t="str">
            <v>Institut Kanser Negara</v>
          </cell>
          <cell r="D949" t="str">
            <v>KKM/IKN/H/13/344</v>
          </cell>
          <cell r="E949" t="str">
            <v>12-873</v>
          </cell>
          <cell r="F949" t="str">
            <v>Concentrators, Oxygen</v>
          </cell>
          <cell r="G949" t="str">
            <v>PC</v>
          </cell>
          <cell r="H949" t="str">
            <v>PALLIATIVE CARE UNIT</v>
          </cell>
          <cell r="I949" t="str">
            <v>04PC109</v>
          </cell>
          <cell r="J949" t="str">
            <v>GEN. STORE</v>
          </cell>
          <cell r="K949" t="str">
            <v>BMED</v>
          </cell>
          <cell r="L949" t="str">
            <v>Normal</v>
          </cell>
          <cell r="M949" t="str">
            <v>USA</v>
          </cell>
          <cell r="N949" t="str">
            <v>EverFlo</v>
          </cell>
          <cell r="O949" t="str">
            <v>EverFlo</v>
          </cell>
          <cell r="P949" t="str">
            <v>15032</v>
          </cell>
          <cell r="Q949" t="str">
            <v>Not Applicable</v>
          </cell>
          <cell r="R949" t="str">
            <v>Respironics</v>
          </cell>
          <cell r="S949" t="str">
            <v>Goodlabs Medical (M) Sdn. Bhd.</v>
          </cell>
          <cell r="T949" t="str">
            <v>Functioning</v>
          </cell>
          <cell r="U949" t="str">
            <v>Asset</v>
          </cell>
          <cell r="V949">
            <v>5773</v>
          </cell>
          <cell r="W949" t="str">
            <v>KEW</v>
          </cell>
          <cell r="X949" t="str">
            <v>01/09/2010</v>
          </cell>
          <cell r="Y949" t="str">
            <v>KEW</v>
          </cell>
          <cell r="Z949" t="str">
            <v>16/08/2013</v>
          </cell>
          <cell r="AA949" t="str">
            <v>15/08/2015</v>
          </cell>
          <cell r="AB949" t="str">
            <v>No</v>
          </cell>
          <cell r="AC949" t="str">
            <v>31/08/2013</v>
          </cell>
          <cell r="AD949" t="str">
            <v>Good</v>
          </cell>
          <cell r="AE949" t="str">
            <v>V1 - Existing / No Claim</v>
          </cell>
          <cell r="AF949">
            <v>42235</v>
          </cell>
          <cell r="AG949">
            <v>9.17</v>
          </cell>
          <cell r="AH949" t="str">
            <v>PPM</v>
          </cell>
          <cell r="AI949" t="str">
            <v>Strands</v>
          </cell>
          <cell r="AJ949" t="str">
            <v>Strands PW</v>
          </cell>
        </row>
        <row r="950">
          <cell r="A950" t="str">
            <v>IKN400501</v>
          </cell>
          <cell r="B950">
            <v>501</v>
          </cell>
          <cell r="C950" t="str">
            <v>Institut Kanser Negara</v>
          </cell>
          <cell r="D950" t="str">
            <v>KKM/IKN/H/13/343</v>
          </cell>
          <cell r="E950" t="str">
            <v>12-873</v>
          </cell>
          <cell r="F950" t="str">
            <v>Concentrators, Oxygen</v>
          </cell>
          <cell r="G950" t="str">
            <v>PC</v>
          </cell>
          <cell r="H950" t="str">
            <v>PALLIATIVE CARE UNIT</v>
          </cell>
          <cell r="I950" t="str">
            <v>04PC109</v>
          </cell>
          <cell r="J950" t="str">
            <v>GEN. STORE</v>
          </cell>
          <cell r="K950" t="str">
            <v>BMED</v>
          </cell>
          <cell r="L950" t="str">
            <v>Critical</v>
          </cell>
          <cell r="M950" t="str">
            <v>USA</v>
          </cell>
          <cell r="N950" t="str">
            <v>EverFlo</v>
          </cell>
          <cell r="O950" t="str">
            <v>EverFlo</v>
          </cell>
          <cell r="P950" t="str">
            <v>15058</v>
          </cell>
          <cell r="Q950" t="str">
            <v>Not Applicable</v>
          </cell>
          <cell r="R950" t="str">
            <v>Respironics</v>
          </cell>
          <cell r="S950" t="str">
            <v>Goodlabs Medical (M) Sdn. Bhd.</v>
          </cell>
          <cell r="T950" t="str">
            <v>Functioning</v>
          </cell>
          <cell r="U950" t="str">
            <v>Asset</v>
          </cell>
          <cell r="V950">
            <v>5773</v>
          </cell>
          <cell r="W950" t="str">
            <v>KEW</v>
          </cell>
          <cell r="X950" t="str">
            <v>01/09/2010</v>
          </cell>
          <cell r="Y950" t="str">
            <v>KEW</v>
          </cell>
          <cell r="Z950" t="str">
            <v>16/08/2013</v>
          </cell>
          <cell r="AA950" t="str">
            <v>15/08/2015</v>
          </cell>
          <cell r="AB950" t="str">
            <v>No</v>
          </cell>
          <cell r="AC950" t="str">
            <v>31/08/2013</v>
          </cell>
          <cell r="AD950" t="str">
            <v>Good</v>
          </cell>
          <cell r="AE950" t="str">
            <v>V1 - Existing / No Claim</v>
          </cell>
          <cell r="AF950">
            <v>42797</v>
          </cell>
          <cell r="AG950">
            <v>9.17</v>
          </cell>
          <cell r="AH950" t="str">
            <v>PPM</v>
          </cell>
          <cell r="AI950" t="str">
            <v>Strands</v>
          </cell>
          <cell r="AJ950" t="str">
            <v>Strands PW</v>
          </cell>
        </row>
        <row r="951">
          <cell r="A951" t="str">
            <v>IKN400502</v>
          </cell>
          <cell r="B951">
            <v>502</v>
          </cell>
          <cell r="C951" t="str">
            <v>Institut Kanser Negara</v>
          </cell>
          <cell r="D951" t="str">
            <v>KKM/IKN/H/13/1122</v>
          </cell>
          <cell r="E951" t="str">
            <v>17-429</v>
          </cell>
          <cell r="F951" t="str">
            <v>Ventilators, Intensive Care</v>
          </cell>
          <cell r="G951" t="str">
            <v>IC</v>
          </cell>
          <cell r="H951" t="str">
            <v>INTENSIVE CARE UNIT</v>
          </cell>
          <cell r="I951" t="str">
            <v>05IC113</v>
          </cell>
          <cell r="J951" t="str">
            <v>ICU RM 2</v>
          </cell>
          <cell r="K951" t="str">
            <v>BMED</v>
          </cell>
          <cell r="L951" t="str">
            <v>Normal</v>
          </cell>
          <cell r="M951" t="str">
            <v>Germany</v>
          </cell>
          <cell r="N951" t="str">
            <v>Evita</v>
          </cell>
          <cell r="O951" t="str">
            <v>Evita XL</v>
          </cell>
          <cell r="P951" t="str">
            <v>ASDD-0073</v>
          </cell>
          <cell r="Q951" t="str">
            <v>Not Applicable</v>
          </cell>
          <cell r="R951" t="str">
            <v>Drager Medical GmbH</v>
          </cell>
          <cell r="S951" t="str">
            <v>Beau Consortium Sdn Bhd</v>
          </cell>
          <cell r="T951" t="str">
            <v>Functioning</v>
          </cell>
          <cell r="U951" t="str">
            <v>Asset</v>
          </cell>
          <cell r="V951">
            <v>151560</v>
          </cell>
          <cell r="W951" t="str">
            <v>KEW</v>
          </cell>
          <cell r="X951" t="str">
            <v>01/09/2010</v>
          </cell>
          <cell r="Y951" t="str">
            <v>KEW</v>
          </cell>
          <cell r="Z951" t="str">
            <v>16/08/2013</v>
          </cell>
          <cell r="AA951" t="str">
            <v>15/08/2015</v>
          </cell>
          <cell r="AB951" t="str">
            <v>No</v>
          </cell>
          <cell r="AC951" t="str">
            <v>31/08/2013</v>
          </cell>
          <cell r="AD951" t="str">
            <v>Good</v>
          </cell>
          <cell r="AE951" t="str">
            <v>V1 - Existing / No Claim</v>
          </cell>
          <cell r="AF951">
            <v>42235</v>
          </cell>
          <cell r="AG951">
            <v>9.17</v>
          </cell>
          <cell r="AH951" t="str">
            <v>PPM</v>
          </cell>
          <cell r="AI951" t="str">
            <v>Strands</v>
          </cell>
          <cell r="AJ951" t="str">
            <v>Strands PW</v>
          </cell>
        </row>
        <row r="952">
          <cell r="A952" t="str">
            <v>IKN400503</v>
          </cell>
          <cell r="B952">
            <v>503</v>
          </cell>
          <cell r="C952" t="str">
            <v>Institut Kanser Negara</v>
          </cell>
          <cell r="D952" t="str">
            <v>KKM/IKN/H/13/336</v>
          </cell>
          <cell r="E952" t="str">
            <v>15-045</v>
          </cell>
          <cell r="F952" t="str">
            <v>Nebulizers, Nonheated</v>
          </cell>
          <cell r="G952" t="str">
            <v>PC</v>
          </cell>
          <cell r="H952" t="str">
            <v>PALLIATIVE CARE UNIT</v>
          </cell>
          <cell r="I952" t="str">
            <v>04PC109</v>
          </cell>
          <cell r="J952" t="str">
            <v>GEN. STORE</v>
          </cell>
          <cell r="K952" t="str">
            <v>BMED</v>
          </cell>
          <cell r="L952" t="str">
            <v>Normal</v>
          </cell>
          <cell r="M952" t="str">
            <v>Germany</v>
          </cell>
          <cell r="N952" t="str">
            <v>Pari Boy</v>
          </cell>
          <cell r="O952" t="str">
            <v>Pari Boy SX 085</v>
          </cell>
          <cell r="P952" t="str">
            <v>2W12J05946</v>
          </cell>
          <cell r="Q952" t="str">
            <v>Not Applicable</v>
          </cell>
          <cell r="R952" t="str">
            <v>Pari GmbH</v>
          </cell>
          <cell r="S952" t="str">
            <v>Welch Allyn Malaysia Sdn Bhd</v>
          </cell>
          <cell r="T952" t="str">
            <v>Functioning</v>
          </cell>
          <cell r="U952" t="str">
            <v>Asset</v>
          </cell>
          <cell r="V952">
            <v>1140</v>
          </cell>
          <cell r="W952" t="str">
            <v>KEW</v>
          </cell>
          <cell r="X952" t="str">
            <v>01/09/2010</v>
          </cell>
          <cell r="Y952" t="str">
            <v>KEW</v>
          </cell>
          <cell r="Z952" t="str">
            <v>16/08/2013</v>
          </cell>
          <cell r="AA952" t="str">
            <v>15/08/2015</v>
          </cell>
          <cell r="AB952" t="str">
            <v>No</v>
          </cell>
          <cell r="AC952" t="str">
            <v>31/08/2013</v>
          </cell>
          <cell r="AD952" t="str">
            <v>Good</v>
          </cell>
          <cell r="AE952" t="str">
            <v>V1 - Existing / No Claim</v>
          </cell>
          <cell r="AF952">
            <v>42797</v>
          </cell>
          <cell r="AG952">
            <v>9.17</v>
          </cell>
          <cell r="AH952" t="str">
            <v>PPM</v>
          </cell>
          <cell r="AI952" t="str">
            <v>Strands</v>
          </cell>
          <cell r="AJ952" t="str">
            <v>Strands PW</v>
          </cell>
        </row>
        <row r="953">
          <cell r="A953" t="str">
            <v>IKN400504</v>
          </cell>
          <cell r="B953">
            <v>504</v>
          </cell>
          <cell r="C953" t="str">
            <v>Institut Kanser Negara</v>
          </cell>
          <cell r="D953" t="str">
            <v>KKM/IKN/H/13/337</v>
          </cell>
          <cell r="E953" t="str">
            <v>15-045</v>
          </cell>
          <cell r="F953" t="str">
            <v>Nebulizers, Nonheated</v>
          </cell>
          <cell r="G953" t="str">
            <v>PC</v>
          </cell>
          <cell r="H953" t="str">
            <v>PALLIATIVE CARE UNIT</v>
          </cell>
          <cell r="I953" t="str">
            <v>04PC109</v>
          </cell>
          <cell r="J953" t="str">
            <v>GEN. STORE</v>
          </cell>
          <cell r="K953" t="str">
            <v>BMED</v>
          </cell>
          <cell r="L953" t="str">
            <v>Normal</v>
          </cell>
          <cell r="M953" t="str">
            <v>Germany</v>
          </cell>
          <cell r="N953" t="str">
            <v>Pari Boy</v>
          </cell>
          <cell r="O953" t="str">
            <v>Pari Boy SX 085</v>
          </cell>
          <cell r="P953" t="str">
            <v>2W12J05973</v>
          </cell>
          <cell r="Q953" t="str">
            <v>Not Applicable</v>
          </cell>
          <cell r="R953" t="str">
            <v>Pari GmbH</v>
          </cell>
          <cell r="S953" t="str">
            <v>Welch Allyn Malaysia Sdn Bhd</v>
          </cell>
          <cell r="T953" t="str">
            <v>Functioning</v>
          </cell>
          <cell r="U953" t="str">
            <v>Asset</v>
          </cell>
          <cell r="V953">
            <v>1140</v>
          </cell>
          <cell r="W953" t="str">
            <v>KEW</v>
          </cell>
          <cell r="X953" t="str">
            <v>01/09/2010</v>
          </cell>
          <cell r="Y953" t="str">
            <v>KEW</v>
          </cell>
          <cell r="Z953" t="str">
            <v>16/08/2013</v>
          </cell>
          <cell r="AA953" t="str">
            <v>15/08/2015</v>
          </cell>
          <cell r="AB953" t="str">
            <v>No</v>
          </cell>
          <cell r="AC953" t="str">
            <v>31/08/2013</v>
          </cell>
          <cell r="AD953" t="str">
            <v>Good</v>
          </cell>
          <cell r="AE953" t="str">
            <v>V1 - Existing / No Claim</v>
          </cell>
          <cell r="AF953">
            <v>42797</v>
          </cell>
          <cell r="AG953">
            <v>9.17</v>
          </cell>
          <cell r="AH953" t="str">
            <v>PPM</v>
          </cell>
          <cell r="AI953" t="str">
            <v>Strands</v>
          </cell>
          <cell r="AJ953" t="str">
            <v>Strands PW</v>
          </cell>
        </row>
        <row r="954">
          <cell r="A954" t="str">
            <v>IKN400506</v>
          </cell>
          <cell r="B954">
            <v>506</v>
          </cell>
          <cell r="C954" t="str">
            <v>Institut Kanser Negara</v>
          </cell>
          <cell r="D954" t="str">
            <v>KKM/IKN/H/13/335</v>
          </cell>
          <cell r="E954" t="str">
            <v>15-045</v>
          </cell>
          <cell r="F954" t="str">
            <v>Nebulizers, Nonheated</v>
          </cell>
          <cell r="G954" t="str">
            <v>PC</v>
          </cell>
          <cell r="H954" t="str">
            <v>PALLIATIVE CARE UNIT</v>
          </cell>
          <cell r="I954" t="str">
            <v>04PC109</v>
          </cell>
          <cell r="J954" t="str">
            <v>GEN. STORE</v>
          </cell>
          <cell r="K954" t="str">
            <v>BMED</v>
          </cell>
          <cell r="L954" t="str">
            <v>Normal</v>
          </cell>
          <cell r="M954" t="str">
            <v>Germany</v>
          </cell>
          <cell r="N954" t="str">
            <v>Pari Boy</v>
          </cell>
          <cell r="O954" t="str">
            <v>Pari Boy SX 085</v>
          </cell>
          <cell r="P954" t="str">
            <v>2W12K14120</v>
          </cell>
          <cell r="Q954" t="str">
            <v>Not Applicable</v>
          </cell>
          <cell r="R954" t="str">
            <v>Pari GmbH</v>
          </cell>
          <cell r="S954" t="str">
            <v>Welch Allyn Malaysia Sdn Bhd</v>
          </cell>
          <cell r="T954" t="str">
            <v>Functioning</v>
          </cell>
          <cell r="U954" t="str">
            <v>Asset</v>
          </cell>
          <cell r="V954">
            <v>1140</v>
          </cell>
          <cell r="W954" t="str">
            <v>KEW</v>
          </cell>
          <cell r="X954" t="str">
            <v>01/09/2010</v>
          </cell>
          <cell r="Y954" t="str">
            <v>KEW</v>
          </cell>
          <cell r="Z954" t="str">
            <v>16/08/2013</v>
          </cell>
          <cell r="AA954" t="str">
            <v>15/08/2015</v>
          </cell>
          <cell r="AB954" t="str">
            <v>No</v>
          </cell>
          <cell r="AC954" t="str">
            <v>31/08/2013</v>
          </cell>
          <cell r="AD954" t="str">
            <v>Good</v>
          </cell>
          <cell r="AE954" t="str">
            <v>V1 - Existing / No Claim</v>
          </cell>
          <cell r="AF954">
            <v>42797</v>
          </cell>
          <cell r="AG954">
            <v>9.17</v>
          </cell>
          <cell r="AH954" t="str">
            <v>PPM</v>
          </cell>
          <cell r="AI954" t="str">
            <v>Strands</v>
          </cell>
          <cell r="AJ954" t="str">
            <v>Strands PW</v>
          </cell>
        </row>
        <row r="955">
          <cell r="A955" t="str">
            <v>IKN400509</v>
          </cell>
          <cell r="B955">
            <v>509</v>
          </cell>
          <cell r="C955" t="str">
            <v>Institut Kanser Negara</v>
          </cell>
          <cell r="D955" t="str">
            <v>KKM/IKN/H/13/371</v>
          </cell>
          <cell r="E955" t="str">
            <v>18-092</v>
          </cell>
          <cell r="F955" t="str">
            <v>Drivers, syringe</v>
          </cell>
          <cell r="G955" t="str">
            <v>PC</v>
          </cell>
          <cell r="H955" t="str">
            <v>PALLIATIVE CARE UNIT</v>
          </cell>
          <cell r="I955" t="str">
            <v>04PC109</v>
          </cell>
          <cell r="J955" t="str">
            <v>GEN. STORE</v>
          </cell>
          <cell r="K955" t="str">
            <v>BMED</v>
          </cell>
          <cell r="L955" t="str">
            <v>Normal</v>
          </cell>
          <cell r="M955" t="str">
            <v>UK</v>
          </cell>
          <cell r="N955" t="str">
            <v>Graseby</v>
          </cell>
          <cell r="O955" t="str">
            <v>Graseby MS-26</v>
          </cell>
          <cell r="P955" t="str">
            <v>14014787</v>
          </cell>
          <cell r="Q955" t="str">
            <v>Not Applicable</v>
          </cell>
          <cell r="R955" t="str">
            <v>Graseby Medical Ltd</v>
          </cell>
          <cell r="S955" t="str">
            <v>Primed Medical Services Sdn Bhd</v>
          </cell>
          <cell r="T955" t="str">
            <v>Functioning</v>
          </cell>
          <cell r="U955" t="str">
            <v>Asset</v>
          </cell>
          <cell r="V955">
            <v>3848</v>
          </cell>
          <cell r="W955" t="str">
            <v>KEW</v>
          </cell>
          <cell r="X955" t="str">
            <v>01/09/2010</v>
          </cell>
          <cell r="Y955" t="str">
            <v>KEW</v>
          </cell>
          <cell r="Z955" t="str">
            <v>16/08/2013</v>
          </cell>
          <cell r="AA955" t="str">
            <v>15/08/2015</v>
          </cell>
          <cell r="AB955" t="str">
            <v>No</v>
          </cell>
          <cell r="AC955" t="str">
            <v>31/08/2013</v>
          </cell>
          <cell r="AD955" t="str">
            <v>Good</v>
          </cell>
          <cell r="AE955" t="str">
            <v>V1 - Existing / No Claim</v>
          </cell>
          <cell r="AF955">
            <v>42797</v>
          </cell>
          <cell r="AG955">
            <v>9.17</v>
          </cell>
          <cell r="AH955" t="str">
            <v>PPM</v>
          </cell>
          <cell r="AI955" t="str">
            <v>Strands</v>
          </cell>
          <cell r="AJ955" t="str">
            <v>Strands PW</v>
          </cell>
        </row>
        <row r="956">
          <cell r="A956" t="str">
            <v>IKN400514</v>
          </cell>
          <cell r="B956">
            <v>514</v>
          </cell>
          <cell r="C956" t="str">
            <v>Institut Kanser Negara</v>
          </cell>
          <cell r="D956" t="str">
            <v>KKM/IKN/H/13/372</v>
          </cell>
          <cell r="E956" t="str">
            <v>18-092</v>
          </cell>
          <cell r="F956" t="str">
            <v>Drivers, syringe</v>
          </cell>
          <cell r="G956" t="str">
            <v>PC</v>
          </cell>
          <cell r="H956" t="str">
            <v>PALLIATIVE CARE UNIT</v>
          </cell>
          <cell r="I956" t="str">
            <v>04PC109</v>
          </cell>
          <cell r="J956" t="str">
            <v>GEN. STORE</v>
          </cell>
          <cell r="K956" t="str">
            <v>BMED</v>
          </cell>
          <cell r="L956" t="str">
            <v>Normal</v>
          </cell>
          <cell r="M956" t="str">
            <v>UK</v>
          </cell>
          <cell r="N956" t="str">
            <v>Graseby</v>
          </cell>
          <cell r="O956" t="str">
            <v>Graseby MS-26</v>
          </cell>
          <cell r="P956" t="str">
            <v>14014788</v>
          </cell>
          <cell r="Q956" t="str">
            <v>Not Applicable</v>
          </cell>
          <cell r="R956" t="str">
            <v>Graseby Medical Ltd</v>
          </cell>
          <cell r="S956" t="str">
            <v>Primed Medical Services Sdn Bhd</v>
          </cell>
          <cell r="T956" t="str">
            <v>Functioning</v>
          </cell>
          <cell r="U956" t="str">
            <v>Asset</v>
          </cell>
          <cell r="V956">
            <v>3848</v>
          </cell>
          <cell r="W956" t="str">
            <v>KEW</v>
          </cell>
          <cell r="X956" t="str">
            <v>01/09/2010</v>
          </cell>
          <cell r="Y956" t="str">
            <v>KEW</v>
          </cell>
          <cell r="Z956" t="str">
            <v>16/08/2013</v>
          </cell>
          <cell r="AA956" t="str">
            <v>15/08/2015</v>
          </cell>
          <cell r="AB956" t="str">
            <v>No</v>
          </cell>
          <cell r="AC956" t="str">
            <v>31/08/2013</v>
          </cell>
          <cell r="AD956" t="str">
            <v>Good</v>
          </cell>
          <cell r="AE956" t="str">
            <v>V1 - Existing / No Claim</v>
          </cell>
          <cell r="AF956">
            <v>42797</v>
          </cell>
          <cell r="AG956">
            <v>9.17</v>
          </cell>
          <cell r="AH956" t="str">
            <v>PPM</v>
          </cell>
          <cell r="AI956" t="str">
            <v>Strands</v>
          </cell>
          <cell r="AJ956" t="str">
            <v>Strands PW</v>
          </cell>
        </row>
        <row r="957">
          <cell r="A957" t="str">
            <v>IKN400516</v>
          </cell>
          <cell r="B957">
            <v>516</v>
          </cell>
          <cell r="C957" t="str">
            <v>Institut Kanser Negara</v>
          </cell>
          <cell r="D957" t="str">
            <v>KKM/IKN/H/13/368</v>
          </cell>
          <cell r="E957" t="str">
            <v>18-092</v>
          </cell>
          <cell r="F957" t="str">
            <v>Drivers, syringe</v>
          </cell>
          <cell r="G957" t="str">
            <v>PC</v>
          </cell>
          <cell r="H957" t="str">
            <v>PALLIATIVE CARE UNIT</v>
          </cell>
          <cell r="I957" t="str">
            <v>04PC109</v>
          </cell>
          <cell r="J957" t="str">
            <v>GEN. STORE</v>
          </cell>
          <cell r="K957" t="str">
            <v>BMED</v>
          </cell>
          <cell r="L957" t="str">
            <v>Normal</v>
          </cell>
          <cell r="M957" t="str">
            <v>UK</v>
          </cell>
          <cell r="N957" t="str">
            <v>Graseby</v>
          </cell>
          <cell r="O957" t="str">
            <v>Graseby MS-26</v>
          </cell>
          <cell r="P957" t="str">
            <v>14014783</v>
          </cell>
          <cell r="Q957" t="str">
            <v>Not Applicable</v>
          </cell>
          <cell r="R957" t="str">
            <v>Graseby Medical Ltd</v>
          </cell>
          <cell r="S957" t="str">
            <v>Primed Medical Services Sdn Bhd</v>
          </cell>
          <cell r="T957" t="str">
            <v>Functioning</v>
          </cell>
          <cell r="U957" t="str">
            <v>Asset</v>
          </cell>
          <cell r="V957">
            <v>3848</v>
          </cell>
          <cell r="W957" t="str">
            <v>KEW</v>
          </cell>
          <cell r="X957" t="str">
            <v>01/09/2010</v>
          </cell>
          <cell r="Y957" t="str">
            <v>KEW</v>
          </cell>
          <cell r="Z957" t="str">
            <v>16/08/2013</v>
          </cell>
          <cell r="AA957" t="str">
            <v>15/08/2015</v>
          </cell>
          <cell r="AB957" t="str">
            <v>No</v>
          </cell>
          <cell r="AC957" t="str">
            <v>31/08/2013</v>
          </cell>
          <cell r="AD957" t="str">
            <v>Good</v>
          </cell>
          <cell r="AE957" t="str">
            <v>V1 - Existing / No Claim</v>
          </cell>
          <cell r="AF957">
            <v>42797</v>
          </cell>
          <cell r="AG957">
            <v>9.17</v>
          </cell>
          <cell r="AH957" t="str">
            <v>PPM</v>
          </cell>
          <cell r="AI957" t="str">
            <v>Strands</v>
          </cell>
          <cell r="AJ957" t="str">
            <v>Strands PW</v>
          </cell>
        </row>
        <row r="958">
          <cell r="A958" t="str">
            <v>IKN400517</v>
          </cell>
          <cell r="B958">
            <v>517</v>
          </cell>
          <cell r="C958" t="str">
            <v>Institut Kanser Negara</v>
          </cell>
          <cell r="D958" t="str">
            <v>KKM/IKN/H/13/359</v>
          </cell>
          <cell r="E958" t="str">
            <v>18-092</v>
          </cell>
          <cell r="F958" t="str">
            <v>Drivers, syringe</v>
          </cell>
          <cell r="G958" t="str">
            <v>PC</v>
          </cell>
          <cell r="H958" t="str">
            <v>PALLIATIVE CARE UNIT</v>
          </cell>
          <cell r="I958" t="str">
            <v>04PC109</v>
          </cell>
          <cell r="J958" t="str">
            <v>GEN. STORE</v>
          </cell>
          <cell r="K958" t="str">
            <v>BMED</v>
          </cell>
          <cell r="L958" t="str">
            <v>Normal</v>
          </cell>
          <cell r="M958" t="str">
            <v>UK</v>
          </cell>
          <cell r="N958" t="str">
            <v>Graseby</v>
          </cell>
          <cell r="O958" t="str">
            <v>Graseby MS-26</v>
          </cell>
          <cell r="P958" t="str">
            <v>14014765</v>
          </cell>
          <cell r="Q958" t="str">
            <v>Not Applicable</v>
          </cell>
          <cell r="R958" t="str">
            <v>Graseby Medical Ltd</v>
          </cell>
          <cell r="S958" t="str">
            <v>Primed Medical Services Sdn Bhd</v>
          </cell>
          <cell r="T958" t="str">
            <v>Functioning</v>
          </cell>
          <cell r="U958" t="str">
            <v>Asset</v>
          </cell>
          <cell r="V958">
            <v>3848</v>
          </cell>
          <cell r="W958" t="str">
            <v>KEW</v>
          </cell>
          <cell r="X958" t="str">
            <v>01/09/2010</v>
          </cell>
          <cell r="Y958" t="str">
            <v>KEW</v>
          </cell>
          <cell r="Z958" t="str">
            <v>16/08/2013</v>
          </cell>
          <cell r="AA958" t="str">
            <v>15/08/2015</v>
          </cell>
          <cell r="AB958" t="str">
            <v>No</v>
          </cell>
          <cell r="AC958" t="str">
            <v>31/08/2013</v>
          </cell>
          <cell r="AD958" t="str">
            <v>Good</v>
          </cell>
          <cell r="AE958" t="str">
            <v>V1 - Existing / No Claim</v>
          </cell>
          <cell r="AF958">
            <v>42797</v>
          </cell>
          <cell r="AG958">
            <v>9.17</v>
          </cell>
          <cell r="AH958" t="str">
            <v>PPM</v>
          </cell>
          <cell r="AI958" t="str">
            <v>Strands</v>
          </cell>
          <cell r="AJ958" t="str">
            <v>Strands PW</v>
          </cell>
        </row>
        <row r="959">
          <cell r="A959" t="str">
            <v>IKN400518</v>
          </cell>
          <cell r="B959">
            <v>518</v>
          </cell>
          <cell r="C959" t="str">
            <v>Institut Kanser Negara</v>
          </cell>
          <cell r="D959" t="str">
            <v>KKM/IKN/H/13/367</v>
          </cell>
          <cell r="E959" t="str">
            <v>18-092</v>
          </cell>
          <cell r="F959" t="str">
            <v>Drivers, syringe</v>
          </cell>
          <cell r="G959" t="str">
            <v>PC</v>
          </cell>
          <cell r="H959" t="str">
            <v>PALLIATIVE CARE UNIT</v>
          </cell>
          <cell r="I959" t="str">
            <v>04PC109</v>
          </cell>
          <cell r="J959" t="str">
            <v>GEN. STORE</v>
          </cell>
          <cell r="K959" t="str">
            <v>BMED</v>
          </cell>
          <cell r="L959" t="str">
            <v>Normal</v>
          </cell>
          <cell r="M959" t="str">
            <v>UK</v>
          </cell>
          <cell r="N959" t="str">
            <v>Graseby</v>
          </cell>
          <cell r="O959" t="str">
            <v>Graseby MS-26</v>
          </cell>
          <cell r="P959" t="str">
            <v>14014773</v>
          </cell>
          <cell r="Q959" t="str">
            <v>Not Applicable</v>
          </cell>
          <cell r="R959" t="str">
            <v>Graseby Medical Ltd</v>
          </cell>
          <cell r="S959" t="str">
            <v>Primed Medical Services Sdn Bhd</v>
          </cell>
          <cell r="T959" t="str">
            <v>Functioning</v>
          </cell>
          <cell r="U959" t="str">
            <v>Asset</v>
          </cell>
          <cell r="V959">
            <v>3848</v>
          </cell>
          <cell r="W959" t="str">
            <v>KEW</v>
          </cell>
          <cell r="X959" t="str">
            <v>01/09/2010</v>
          </cell>
          <cell r="Y959" t="str">
            <v>KEW</v>
          </cell>
          <cell r="Z959" t="str">
            <v>16/08/2013</v>
          </cell>
          <cell r="AA959" t="str">
            <v>15/08/2015</v>
          </cell>
          <cell r="AB959" t="str">
            <v>No</v>
          </cell>
          <cell r="AC959" t="str">
            <v>31/08/2013</v>
          </cell>
          <cell r="AD959" t="str">
            <v>Good</v>
          </cell>
          <cell r="AE959" t="str">
            <v>V1 - Existing / No Claim</v>
          </cell>
          <cell r="AF959">
            <v>42797</v>
          </cell>
          <cell r="AG959">
            <v>9.17</v>
          </cell>
          <cell r="AH959" t="str">
            <v>PPM</v>
          </cell>
          <cell r="AI959" t="str">
            <v>Strands</v>
          </cell>
          <cell r="AJ959" t="str">
            <v>Strands PW</v>
          </cell>
        </row>
        <row r="960">
          <cell r="A960" t="str">
            <v>IKN400519</v>
          </cell>
          <cell r="B960">
            <v>519</v>
          </cell>
          <cell r="C960" t="str">
            <v>Institut Kanser Negara</v>
          </cell>
          <cell r="D960" t="str">
            <v>KKM/IKN/H/13/370</v>
          </cell>
          <cell r="E960" t="str">
            <v>18-092</v>
          </cell>
          <cell r="F960" t="str">
            <v>Drivers, syringe</v>
          </cell>
          <cell r="G960" t="str">
            <v>PC</v>
          </cell>
          <cell r="H960" t="str">
            <v>PALLIATIVE CARE UNIT</v>
          </cell>
          <cell r="I960" t="str">
            <v>04PC109</v>
          </cell>
          <cell r="J960" t="str">
            <v>GEN. STORE</v>
          </cell>
          <cell r="K960" t="str">
            <v>BMED</v>
          </cell>
          <cell r="L960" t="str">
            <v>Normal</v>
          </cell>
          <cell r="M960" t="str">
            <v>UK</v>
          </cell>
          <cell r="N960" t="str">
            <v>Graseby</v>
          </cell>
          <cell r="O960" t="str">
            <v>Graseby MS-26</v>
          </cell>
          <cell r="P960" t="str">
            <v>14014772</v>
          </cell>
          <cell r="Q960" t="str">
            <v>Not Applicable</v>
          </cell>
          <cell r="R960" t="str">
            <v>Graseby Medical Ltd</v>
          </cell>
          <cell r="S960" t="str">
            <v>Primed Medical Services Sdn Bhd</v>
          </cell>
          <cell r="T960" t="str">
            <v>Functioning</v>
          </cell>
          <cell r="U960" t="str">
            <v>Asset</v>
          </cell>
          <cell r="V960">
            <v>3848</v>
          </cell>
          <cell r="W960" t="str">
            <v>KEW</v>
          </cell>
          <cell r="X960" t="str">
            <v>01/09/2010</v>
          </cell>
          <cell r="Y960" t="str">
            <v>KEW</v>
          </cell>
          <cell r="Z960" t="str">
            <v>16/08/2013</v>
          </cell>
          <cell r="AA960" t="str">
            <v>15/08/2015</v>
          </cell>
          <cell r="AB960" t="str">
            <v>No</v>
          </cell>
          <cell r="AC960" t="str">
            <v>31/08/2013</v>
          </cell>
          <cell r="AD960" t="str">
            <v>Good</v>
          </cell>
          <cell r="AE960" t="str">
            <v>V1 - Existing / No Claim</v>
          </cell>
          <cell r="AF960">
            <v>43430</v>
          </cell>
          <cell r="AG960">
            <v>9.17</v>
          </cell>
          <cell r="AH960" t="str">
            <v>PPM</v>
          </cell>
          <cell r="AI960" t="str">
            <v>Strands</v>
          </cell>
          <cell r="AJ960" t="str">
            <v>Strands PW</v>
          </cell>
        </row>
        <row r="961">
          <cell r="A961" t="str">
            <v>IKN400520</v>
          </cell>
          <cell r="B961">
            <v>520</v>
          </cell>
          <cell r="C961" t="str">
            <v>Institut Kanser Negara</v>
          </cell>
          <cell r="D961" t="str">
            <v>KKM/IKN/H/13/369</v>
          </cell>
          <cell r="E961" t="str">
            <v>18-092</v>
          </cell>
          <cell r="F961" t="str">
            <v>Drivers, syringe</v>
          </cell>
          <cell r="G961" t="str">
            <v>PC</v>
          </cell>
          <cell r="H961" t="str">
            <v>PALLIATIVE CARE UNIT</v>
          </cell>
          <cell r="I961" t="str">
            <v>04PC109</v>
          </cell>
          <cell r="J961" t="str">
            <v>GEN. STORE</v>
          </cell>
          <cell r="K961" t="str">
            <v>BMED</v>
          </cell>
          <cell r="L961" t="str">
            <v>Normal</v>
          </cell>
          <cell r="M961" t="str">
            <v>UK</v>
          </cell>
          <cell r="N961" t="str">
            <v>Graseby</v>
          </cell>
          <cell r="O961" t="str">
            <v>Graseby MS-26</v>
          </cell>
          <cell r="P961" t="str">
            <v>14014784</v>
          </cell>
          <cell r="Q961" t="str">
            <v>Not Applicable</v>
          </cell>
          <cell r="R961" t="str">
            <v>Graseby Medical Ltd</v>
          </cell>
          <cell r="S961" t="str">
            <v>Primed Medical Services Sdn Bhd</v>
          </cell>
          <cell r="T961" t="str">
            <v>Functioning</v>
          </cell>
          <cell r="U961" t="str">
            <v>Asset</v>
          </cell>
          <cell r="V961">
            <v>3848</v>
          </cell>
          <cell r="W961" t="str">
            <v>KEW</v>
          </cell>
          <cell r="X961" t="str">
            <v>01/09/2010</v>
          </cell>
          <cell r="Y961" t="str">
            <v>KEW</v>
          </cell>
          <cell r="Z961" t="str">
            <v>16/08/2013</v>
          </cell>
          <cell r="AA961" t="str">
            <v>15/08/2015</v>
          </cell>
          <cell r="AB961" t="str">
            <v>No</v>
          </cell>
          <cell r="AC961" t="str">
            <v>31/08/2013</v>
          </cell>
          <cell r="AD961" t="str">
            <v>Good</v>
          </cell>
          <cell r="AE961" t="str">
            <v>V1 - Existing / No Claim</v>
          </cell>
          <cell r="AF961">
            <v>42797</v>
          </cell>
          <cell r="AG961">
            <v>9.17</v>
          </cell>
          <cell r="AH961" t="str">
            <v>PPM</v>
          </cell>
          <cell r="AI961" t="str">
            <v>Strands</v>
          </cell>
          <cell r="AJ961" t="str">
            <v>Strands PW</v>
          </cell>
        </row>
        <row r="962">
          <cell r="A962" t="str">
            <v>IKN400521</v>
          </cell>
          <cell r="B962">
            <v>521</v>
          </cell>
          <cell r="C962" t="str">
            <v>Institut Kanser Negara</v>
          </cell>
          <cell r="D962" t="str">
            <v>KKM/IKN/H/13/361</v>
          </cell>
          <cell r="E962" t="str">
            <v>18-092</v>
          </cell>
          <cell r="F962" t="str">
            <v>Drivers, syringe</v>
          </cell>
          <cell r="G962" t="str">
            <v>PC</v>
          </cell>
          <cell r="H962" t="str">
            <v>PALLIATIVE CARE UNIT</v>
          </cell>
          <cell r="I962" t="str">
            <v>04PC109</v>
          </cell>
          <cell r="J962" t="str">
            <v>GEN. STORE</v>
          </cell>
          <cell r="K962" t="str">
            <v>BMED</v>
          </cell>
          <cell r="L962" t="str">
            <v>Normal</v>
          </cell>
          <cell r="M962" t="str">
            <v>UK</v>
          </cell>
          <cell r="N962" t="str">
            <v>Graseby</v>
          </cell>
          <cell r="O962" t="str">
            <v>Graseby MS-26</v>
          </cell>
          <cell r="P962" t="str">
            <v>14014767</v>
          </cell>
          <cell r="Q962" t="str">
            <v>Not Applicable</v>
          </cell>
          <cell r="R962" t="str">
            <v>Graseby Medical Ltd</v>
          </cell>
          <cell r="S962" t="str">
            <v>Primed Medical Services Sdn Bhd</v>
          </cell>
          <cell r="T962" t="str">
            <v>Functioning</v>
          </cell>
          <cell r="U962" t="str">
            <v>Asset</v>
          </cell>
          <cell r="V962">
            <v>3848</v>
          </cell>
          <cell r="W962" t="str">
            <v>KEW</v>
          </cell>
          <cell r="X962" t="str">
            <v>01/09/2010</v>
          </cell>
          <cell r="Y962" t="str">
            <v>KEW</v>
          </cell>
          <cell r="Z962" t="str">
            <v>16/08/2013</v>
          </cell>
          <cell r="AA962" t="str">
            <v>15/08/2015</v>
          </cell>
          <cell r="AB962" t="str">
            <v>No</v>
          </cell>
          <cell r="AC962" t="str">
            <v>31/08/2013</v>
          </cell>
          <cell r="AD962" t="str">
            <v>Good</v>
          </cell>
          <cell r="AE962" t="str">
            <v>V1 - Existing / No Claim</v>
          </cell>
          <cell r="AF962">
            <v>42797</v>
          </cell>
          <cell r="AG962">
            <v>9.17</v>
          </cell>
          <cell r="AH962" t="str">
            <v>PPM</v>
          </cell>
          <cell r="AI962" t="str">
            <v>Strands</v>
          </cell>
          <cell r="AJ962" t="str">
            <v>Strands PW</v>
          </cell>
        </row>
        <row r="963">
          <cell r="A963" t="str">
            <v>IKN400522</v>
          </cell>
          <cell r="B963">
            <v>522</v>
          </cell>
          <cell r="C963" t="str">
            <v>Institut Kanser Negara</v>
          </cell>
          <cell r="D963" t="str">
            <v>KKM/IKN/H/13/373</v>
          </cell>
          <cell r="E963" t="str">
            <v>18-092</v>
          </cell>
          <cell r="F963" t="str">
            <v>Drivers, syringe</v>
          </cell>
          <cell r="G963" t="str">
            <v>PC</v>
          </cell>
          <cell r="H963" t="str">
            <v>PALLIATIVE CARE UNIT</v>
          </cell>
          <cell r="I963" t="str">
            <v>04PC109</v>
          </cell>
          <cell r="J963" t="str">
            <v>GEN. STORE</v>
          </cell>
          <cell r="K963" t="str">
            <v>BMED</v>
          </cell>
          <cell r="L963" t="str">
            <v>Normal</v>
          </cell>
          <cell r="M963" t="str">
            <v>UK</v>
          </cell>
          <cell r="N963" t="str">
            <v>Graseby</v>
          </cell>
          <cell r="O963" t="str">
            <v>Graseby MS-26</v>
          </cell>
          <cell r="P963" t="str">
            <v>14014789</v>
          </cell>
          <cell r="Q963" t="str">
            <v>Not Applicable</v>
          </cell>
          <cell r="R963" t="str">
            <v>Graseby Medical Ltd</v>
          </cell>
          <cell r="S963" t="str">
            <v>Primed Medical Services Sdn Bhd</v>
          </cell>
          <cell r="T963" t="str">
            <v>Functioning</v>
          </cell>
          <cell r="U963" t="str">
            <v>Asset</v>
          </cell>
          <cell r="V963">
            <v>3848</v>
          </cell>
          <cell r="W963" t="str">
            <v>KEW</v>
          </cell>
          <cell r="X963" t="str">
            <v>01/09/2010</v>
          </cell>
          <cell r="Y963" t="str">
            <v>KEW</v>
          </cell>
          <cell r="Z963" t="str">
            <v>16/08/2013</v>
          </cell>
          <cell r="AA963" t="str">
            <v>15/08/2015</v>
          </cell>
          <cell r="AB963" t="str">
            <v>No</v>
          </cell>
          <cell r="AC963" t="str">
            <v>31/08/2013</v>
          </cell>
          <cell r="AD963" t="str">
            <v>Good</v>
          </cell>
          <cell r="AE963" t="str">
            <v>V1 - Existing / No Claim</v>
          </cell>
          <cell r="AF963">
            <v>42797</v>
          </cell>
          <cell r="AG963">
            <v>9.17</v>
          </cell>
          <cell r="AH963" t="str">
            <v>PPM</v>
          </cell>
          <cell r="AI963" t="str">
            <v>Strands</v>
          </cell>
          <cell r="AJ963" t="str">
            <v>Strands PW</v>
          </cell>
        </row>
        <row r="964">
          <cell r="A964" t="str">
            <v>IKN400523</v>
          </cell>
          <cell r="B964">
            <v>523</v>
          </cell>
          <cell r="C964" t="str">
            <v>Institut Kanser Negara</v>
          </cell>
          <cell r="D964" t="str">
            <v>KKM/IKN/H/13/365</v>
          </cell>
          <cell r="E964" t="str">
            <v>18-092</v>
          </cell>
          <cell r="F964" t="str">
            <v>Drivers, syringe</v>
          </cell>
          <cell r="G964" t="str">
            <v>PC</v>
          </cell>
          <cell r="H964" t="str">
            <v>PALLIATIVE CARE UNIT</v>
          </cell>
          <cell r="I964" t="str">
            <v>04PC109</v>
          </cell>
          <cell r="J964" t="str">
            <v>GEN. STORE</v>
          </cell>
          <cell r="K964" t="str">
            <v>BMED</v>
          </cell>
          <cell r="L964" t="str">
            <v>Normal</v>
          </cell>
          <cell r="M964" t="str">
            <v>UK</v>
          </cell>
          <cell r="N964" t="str">
            <v>Graseby</v>
          </cell>
          <cell r="O964" t="str">
            <v>Graseby MS-26</v>
          </cell>
          <cell r="P964" t="str">
            <v>14014771</v>
          </cell>
          <cell r="Q964" t="str">
            <v>Not Applicable</v>
          </cell>
          <cell r="R964" t="str">
            <v>Graseby Medical Ltd</v>
          </cell>
          <cell r="S964" t="str">
            <v>Primed Medical Services Sdn Bhd</v>
          </cell>
          <cell r="T964" t="str">
            <v>Functioning</v>
          </cell>
          <cell r="U964" t="str">
            <v>Asset</v>
          </cell>
          <cell r="V964">
            <v>3848</v>
          </cell>
          <cell r="W964" t="str">
            <v>KEW</v>
          </cell>
          <cell r="X964" t="str">
            <v>01/09/2010</v>
          </cell>
          <cell r="Y964" t="str">
            <v>KEW</v>
          </cell>
          <cell r="Z964" t="str">
            <v>16/08/2013</v>
          </cell>
          <cell r="AA964" t="str">
            <v>15/08/2015</v>
          </cell>
          <cell r="AB964" t="str">
            <v>No</v>
          </cell>
          <cell r="AC964" t="str">
            <v>31/08/2013</v>
          </cell>
          <cell r="AD964" t="str">
            <v>Good</v>
          </cell>
          <cell r="AE964" t="str">
            <v>V1 - Existing / No Claim</v>
          </cell>
          <cell r="AF964">
            <v>42797</v>
          </cell>
          <cell r="AG964">
            <v>9.17</v>
          </cell>
          <cell r="AH964" t="str">
            <v>PPM</v>
          </cell>
          <cell r="AI964" t="str">
            <v>Strands</v>
          </cell>
          <cell r="AJ964" t="str">
            <v>Strands PW</v>
          </cell>
        </row>
        <row r="965">
          <cell r="A965" t="str">
            <v>IKN400525</v>
          </cell>
          <cell r="B965">
            <v>525</v>
          </cell>
          <cell r="C965" t="str">
            <v>Institut Kanser Negara</v>
          </cell>
          <cell r="D965" t="str">
            <v>KKM/IKN/H/13/375</v>
          </cell>
          <cell r="E965" t="str">
            <v>16-924</v>
          </cell>
          <cell r="F965" t="str">
            <v>Infusion Pumps, Patient-Controlled Analgesic</v>
          </cell>
          <cell r="G965" t="str">
            <v>IC</v>
          </cell>
          <cell r="H965" t="str">
            <v>INTENSIVE CARE UNIT</v>
          </cell>
          <cell r="I965" t="str">
            <v>05IC108</v>
          </cell>
          <cell r="J965" t="str">
            <v>PCA</v>
          </cell>
          <cell r="K965" t="str">
            <v>BMED</v>
          </cell>
          <cell r="L965" t="str">
            <v>Critical</v>
          </cell>
          <cell r="M965" t="str">
            <v>Germany</v>
          </cell>
          <cell r="N965" t="str">
            <v>Perfusor</v>
          </cell>
          <cell r="O965" t="str">
            <v>Perfusor Space PCA</v>
          </cell>
          <cell r="P965" t="str">
            <v>187052</v>
          </cell>
          <cell r="Q965" t="str">
            <v>Not Applicable</v>
          </cell>
          <cell r="R965" t="str">
            <v>B Braun Melsungen AG</v>
          </cell>
          <cell r="S965" t="str">
            <v>B Braun Medical Supplies Sdn. Bhd.</v>
          </cell>
          <cell r="T965" t="str">
            <v>Functioning</v>
          </cell>
          <cell r="U965" t="str">
            <v>Asset</v>
          </cell>
          <cell r="V965">
            <v>16840</v>
          </cell>
          <cell r="W965" t="str">
            <v>KEW</v>
          </cell>
          <cell r="X965" t="str">
            <v>01/09/2010</v>
          </cell>
          <cell r="Y965" t="str">
            <v>KEW</v>
          </cell>
          <cell r="Z965" t="str">
            <v>16/08/2013</v>
          </cell>
          <cell r="AA965" t="str">
            <v>15/08/2015</v>
          </cell>
          <cell r="AB965" t="str">
            <v>No</v>
          </cell>
          <cell r="AC965" t="str">
            <v>31/08/2013</v>
          </cell>
          <cell r="AD965" t="str">
            <v>Good</v>
          </cell>
          <cell r="AE965" t="str">
            <v>V1 - Existing / No Claim</v>
          </cell>
          <cell r="AF965">
            <v>43143</v>
          </cell>
          <cell r="AG965">
            <v>9.17</v>
          </cell>
          <cell r="AH965" t="str">
            <v>PPM</v>
          </cell>
          <cell r="AI965" t="str">
            <v>Strands</v>
          </cell>
          <cell r="AJ965" t="str">
            <v>Strands PW</v>
          </cell>
        </row>
        <row r="966">
          <cell r="A966" t="str">
            <v>IKN400527</v>
          </cell>
          <cell r="B966">
            <v>527</v>
          </cell>
          <cell r="C966" t="str">
            <v>Institut Kanser Negara</v>
          </cell>
          <cell r="D966" t="str">
            <v>KKM/IKN/H/13/327</v>
          </cell>
          <cell r="E966" t="str">
            <v>10-208</v>
          </cell>
          <cell r="F966" t="str">
            <v>Aspirators</v>
          </cell>
          <cell r="G966" t="str">
            <v>PC</v>
          </cell>
          <cell r="H966" t="str">
            <v>PALLIATIVE CARE UNIT</v>
          </cell>
          <cell r="I966" t="str">
            <v>04PC109</v>
          </cell>
          <cell r="J966" t="str">
            <v>GEN. STORE</v>
          </cell>
          <cell r="K966" t="str">
            <v>BMED</v>
          </cell>
          <cell r="L966" t="str">
            <v>Critical</v>
          </cell>
          <cell r="M966" t="str">
            <v>Italy</v>
          </cell>
          <cell r="N966" t="str">
            <v>Askir</v>
          </cell>
          <cell r="O966" t="str">
            <v>Askir 36-BR</v>
          </cell>
          <cell r="P966" t="str">
            <v>1391</v>
          </cell>
          <cell r="Q966" t="str">
            <v>Not Applicable</v>
          </cell>
          <cell r="R966" t="str">
            <v>Ca-Mi Snc</v>
          </cell>
          <cell r="S966" t="str">
            <v>Antah Sir Radin Sdn. Bhd.</v>
          </cell>
          <cell r="T966" t="str">
            <v>Functioning</v>
          </cell>
          <cell r="U966" t="str">
            <v>Asset</v>
          </cell>
          <cell r="V966">
            <v>2165</v>
          </cell>
          <cell r="W966" t="str">
            <v>KEW</v>
          </cell>
          <cell r="X966" t="str">
            <v>01/09/2010</v>
          </cell>
          <cell r="Y966" t="str">
            <v>KEW</v>
          </cell>
          <cell r="Z966" t="str">
            <v>16/08/2013</v>
          </cell>
          <cell r="AA966" t="str">
            <v>15/08/2015</v>
          </cell>
          <cell r="AB966" t="str">
            <v>No</v>
          </cell>
          <cell r="AC966" t="str">
            <v>31/08/2013</v>
          </cell>
          <cell r="AD966" t="str">
            <v>Good</v>
          </cell>
          <cell r="AE966" t="str">
            <v>V1 - Existing / No Claim</v>
          </cell>
          <cell r="AF966">
            <v>42797</v>
          </cell>
          <cell r="AG966">
            <v>9.17</v>
          </cell>
          <cell r="AH966" t="str">
            <v>PPM</v>
          </cell>
          <cell r="AI966" t="str">
            <v>Strands</v>
          </cell>
          <cell r="AJ966" t="str">
            <v>Strands PW</v>
          </cell>
        </row>
        <row r="967">
          <cell r="A967" t="str">
            <v>IKN400528</v>
          </cell>
          <cell r="B967">
            <v>528</v>
          </cell>
          <cell r="C967" t="str">
            <v>Institut Kanser Negara</v>
          </cell>
          <cell r="D967" t="str">
            <v>KKM/IKN/H/13/330</v>
          </cell>
          <cell r="E967" t="str">
            <v>10-208</v>
          </cell>
          <cell r="F967" t="str">
            <v>Aspirators</v>
          </cell>
          <cell r="G967" t="str">
            <v>PC</v>
          </cell>
          <cell r="H967" t="str">
            <v>PALLIATIVE CARE UNIT</v>
          </cell>
          <cell r="I967" t="str">
            <v>04PC109</v>
          </cell>
          <cell r="J967" t="str">
            <v>GEN. STORE</v>
          </cell>
          <cell r="K967" t="str">
            <v>BMED</v>
          </cell>
          <cell r="L967" t="str">
            <v>Critical</v>
          </cell>
          <cell r="M967" t="str">
            <v>Italy</v>
          </cell>
          <cell r="N967" t="str">
            <v>Askir</v>
          </cell>
          <cell r="O967" t="str">
            <v>Askir 36-BR</v>
          </cell>
          <cell r="P967" t="str">
            <v>1395</v>
          </cell>
          <cell r="Q967" t="str">
            <v>Not Applicable</v>
          </cell>
          <cell r="R967" t="str">
            <v>Ca-Mi Snc</v>
          </cell>
          <cell r="S967" t="str">
            <v>Antah Sir Radin Sdn. Bhd.</v>
          </cell>
          <cell r="T967" t="str">
            <v>Functioning</v>
          </cell>
          <cell r="U967" t="str">
            <v>Asset</v>
          </cell>
          <cell r="V967">
            <v>2165</v>
          </cell>
          <cell r="W967" t="str">
            <v>KEW</v>
          </cell>
          <cell r="X967" t="str">
            <v>01/09/2010</v>
          </cell>
          <cell r="Y967" t="str">
            <v>KEW</v>
          </cell>
          <cell r="Z967" t="str">
            <v>16/08/2013</v>
          </cell>
          <cell r="AA967" t="str">
            <v>15/08/2015</v>
          </cell>
          <cell r="AB967" t="str">
            <v>No</v>
          </cell>
          <cell r="AC967" t="str">
            <v>31/08/2013</v>
          </cell>
          <cell r="AD967" t="str">
            <v>Good</v>
          </cell>
          <cell r="AE967" t="str">
            <v>V1 - Existing / No Claim</v>
          </cell>
          <cell r="AF967">
            <v>42797</v>
          </cell>
          <cell r="AG967">
            <v>9.17</v>
          </cell>
          <cell r="AH967" t="str">
            <v>PPM</v>
          </cell>
          <cell r="AI967" t="str">
            <v>Strands</v>
          </cell>
          <cell r="AJ967" t="str">
            <v>Strands PW</v>
          </cell>
        </row>
        <row r="968">
          <cell r="A968" t="str">
            <v>IKN400529</v>
          </cell>
          <cell r="B968">
            <v>529</v>
          </cell>
          <cell r="C968" t="str">
            <v>Institut Kanser Negara</v>
          </cell>
          <cell r="D968" t="str">
            <v>KKM/IKN/H/13/329</v>
          </cell>
          <cell r="E968" t="str">
            <v>10-208</v>
          </cell>
          <cell r="F968" t="str">
            <v>Aspirators</v>
          </cell>
          <cell r="G968" t="str">
            <v>PC</v>
          </cell>
          <cell r="H968" t="str">
            <v>PALLIATIVE CARE UNIT</v>
          </cell>
          <cell r="I968" t="str">
            <v>04PC109</v>
          </cell>
          <cell r="J968" t="str">
            <v>GEN. STORE</v>
          </cell>
          <cell r="K968" t="str">
            <v>BMED</v>
          </cell>
          <cell r="L968" t="str">
            <v>Critical</v>
          </cell>
          <cell r="M968" t="str">
            <v>Italy</v>
          </cell>
          <cell r="N968" t="str">
            <v>Askir</v>
          </cell>
          <cell r="O968" t="str">
            <v>Askir 36-BR</v>
          </cell>
          <cell r="P968" t="str">
            <v>1393</v>
          </cell>
          <cell r="Q968" t="str">
            <v>Not Applicable</v>
          </cell>
          <cell r="R968" t="str">
            <v>Ca-Mi Snc</v>
          </cell>
          <cell r="S968" t="str">
            <v>Antah Sir Radin Sdn. Bhd.</v>
          </cell>
          <cell r="T968" t="str">
            <v>Functioning</v>
          </cell>
          <cell r="U968" t="str">
            <v>Asset</v>
          </cell>
          <cell r="V968">
            <v>2165</v>
          </cell>
          <cell r="W968" t="str">
            <v>KEW</v>
          </cell>
          <cell r="X968" t="str">
            <v>01/09/2010</v>
          </cell>
          <cell r="Y968" t="str">
            <v>KEW</v>
          </cell>
          <cell r="Z968" t="str">
            <v>16/08/2013</v>
          </cell>
          <cell r="AA968" t="str">
            <v>15/08/2015</v>
          </cell>
          <cell r="AB968" t="str">
            <v>No</v>
          </cell>
          <cell r="AC968" t="str">
            <v>31/08/2013</v>
          </cell>
          <cell r="AD968" t="str">
            <v>Good</v>
          </cell>
          <cell r="AE968" t="str">
            <v>V1 - Existing / No Claim</v>
          </cell>
          <cell r="AF968">
            <v>42797</v>
          </cell>
          <cell r="AG968">
            <v>9.17</v>
          </cell>
          <cell r="AH968" t="str">
            <v>PPM</v>
          </cell>
          <cell r="AI968" t="str">
            <v>Strands</v>
          </cell>
          <cell r="AJ968" t="str">
            <v>Strands PW</v>
          </cell>
        </row>
        <row r="969">
          <cell r="A969" t="str">
            <v>IKN400530</v>
          </cell>
          <cell r="B969">
            <v>530</v>
          </cell>
          <cell r="C969" t="str">
            <v>Institut Kanser Negara</v>
          </cell>
          <cell r="D969" t="str">
            <v>KKM/IKN/H/13/328</v>
          </cell>
          <cell r="E969" t="str">
            <v>10-208</v>
          </cell>
          <cell r="F969" t="str">
            <v>Aspirators</v>
          </cell>
          <cell r="G969" t="str">
            <v>PC</v>
          </cell>
          <cell r="H969" t="str">
            <v>PALLIATIVE CARE UNIT</v>
          </cell>
          <cell r="I969" t="str">
            <v>04PC109</v>
          </cell>
          <cell r="J969" t="str">
            <v>GEN. STORE</v>
          </cell>
          <cell r="K969" t="str">
            <v>BMED</v>
          </cell>
          <cell r="L969" t="str">
            <v>Critical</v>
          </cell>
          <cell r="M969" t="str">
            <v>Italy</v>
          </cell>
          <cell r="N969" t="str">
            <v>Askir</v>
          </cell>
          <cell r="O969" t="str">
            <v>Askir 36-BR</v>
          </cell>
          <cell r="P969" t="str">
            <v>1392</v>
          </cell>
          <cell r="Q969" t="str">
            <v>Not Applicable</v>
          </cell>
          <cell r="R969" t="str">
            <v>Ca-Mi Snc</v>
          </cell>
          <cell r="S969" t="str">
            <v>Antah Sir Radin Sdn. Bhd.</v>
          </cell>
          <cell r="T969" t="str">
            <v>Functioning</v>
          </cell>
          <cell r="U969" t="str">
            <v>Asset</v>
          </cell>
          <cell r="V969">
            <v>2165</v>
          </cell>
          <cell r="W969" t="str">
            <v>KEW</v>
          </cell>
          <cell r="X969" t="str">
            <v>01/09/2010</v>
          </cell>
          <cell r="Y969" t="str">
            <v>KEW</v>
          </cell>
          <cell r="Z969" t="str">
            <v>16/08/2013</v>
          </cell>
          <cell r="AA969" t="str">
            <v>15/08/2015</v>
          </cell>
          <cell r="AB969" t="str">
            <v>No</v>
          </cell>
          <cell r="AC969" t="str">
            <v>31/08/2013</v>
          </cell>
          <cell r="AD969" t="str">
            <v>Good</v>
          </cell>
          <cell r="AE969" t="str">
            <v>V1 - Existing / No Claim</v>
          </cell>
          <cell r="AF969">
            <v>42797</v>
          </cell>
          <cell r="AG969">
            <v>9.17</v>
          </cell>
          <cell r="AH969" t="str">
            <v>PPM</v>
          </cell>
          <cell r="AI969" t="str">
            <v>Strands</v>
          </cell>
          <cell r="AJ969" t="str">
            <v>Strands PW</v>
          </cell>
        </row>
        <row r="970">
          <cell r="A970" t="str">
            <v>IKN400533</v>
          </cell>
          <cell r="B970">
            <v>533</v>
          </cell>
          <cell r="C970" t="str">
            <v>Institut Kanser Negara</v>
          </cell>
          <cell r="D970" t="str">
            <v>KKM/IKN/H/13/2472</v>
          </cell>
          <cell r="E970" t="str">
            <v>12-660</v>
          </cell>
          <cell r="F970" t="str">
            <v>Radiation Monitors</v>
          </cell>
          <cell r="G970" t="str">
            <v>WA</v>
          </cell>
          <cell r="H970" t="str">
            <v>NUCLEAR MED WARD (THERAPY)</v>
          </cell>
          <cell r="I970" t="str">
            <v>03WA114</v>
          </cell>
          <cell r="J970" t="str">
            <v>RADIOACTIVE WASTE</v>
          </cell>
          <cell r="K970" t="str">
            <v>BMED</v>
          </cell>
          <cell r="L970" t="str">
            <v>Normal</v>
          </cell>
          <cell r="M970" t="str">
            <v>Germany</v>
          </cell>
          <cell r="N970" t="str">
            <v>CoMo</v>
          </cell>
          <cell r="O970" t="str">
            <v>CoMo 170</v>
          </cell>
          <cell r="P970" t="str">
            <v>5067DL</v>
          </cell>
          <cell r="Q970" t="str">
            <v>Not Applicable</v>
          </cell>
          <cell r="R970" t="str">
            <v>MED Nuklear-Medizintechnik Dresden GmbH</v>
          </cell>
          <cell r="S970" t="str">
            <v>Kwint International BN</v>
          </cell>
          <cell r="T970" t="str">
            <v>Functioning</v>
          </cell>
          <cell r="U970" t="str">
            <v>Asset</v>
          </cell>
          <cell r="V970">
            <v>23270</v>
          </cell>
          <cell r="W970" t="str">
            <v>KEW</v>
          </cell>
          <cell r="X970" t="str">
            <v>01/09/2010</v>
          </cell>
          <cell r="Y970" t="str">
            <v>KEW</v>
          </cell>
          <cell r="Z970" t="str">
            <v>16/08/2013</v>
          </cell>
          <cell r="AA970" t="str">
            <v>15/08/2015</v>
          </cell>
          <cell r="AB970" t="str">
            <v>No</v>
          </cell>
          <cell r="AC970" t="str">
            <v>31/08/2013</v>
          </cell>
          <cell r="AD970" t="str">
            <v>Good</v>
          </cell>
          <cell r="AE970" t="str">
            <v>V1 - Existing / No Claim</v>
          </cell>
          <cell r="AF970">
            <v>42235</v>
          </cell>
          <cell r="AG970">
            <v>9.17</v>
          </cell>
          <cell r="AH970" t="str">
            <v>PPM</v>
          </cell>
          <cell r="AI970" t="str">
            <v>Strands</v>
          </cell>
          <cell r="AJ970" t="str">
            <v>Strands PW</v>
          </cell>
        </row>
        <row r="971">
          <cell r="A971" t="str">
            <v>IKN400534</v>
          </cell>
          <cell r="B971">
            <v>534</v>
          </cell>
          <cell r="C971" t="str">
            <v>Institut Kanser Negara</v>
          </cell>
          <cell r="D971" t="str">
            <v>KKM/IKN/H/13/2367</v>
          </cell>
          <cell r="E971" t="str">
            <v>10-208</v>
          </cell>
          <cell r="F971" t="str">
            <v>Aspirators</v>
          </cell>
          <cell r="G971" t="str">
            <v>WA</v>
          </cell>
          <cell r="H971" t="str">
            <v>NUCLEAR MED WARD (THERAPY)</v>
          </cell>
          <cell r="I971" t="str">
            <v>03WA116</v>
          </cell>
          <cell r="J971" t="str">
            <v>TREATMENT</v>
          </cell>
          <cell r="K971" t="str">
            <v>BMED</v>
          </cell>
          <cell r="L971" t="str">
            <v>Critical</v>
          </cell>
          <cell r="M971" t="str">
            <v>Switzerland</v>
          </cell>
          <cell r="N971" t="str">
            <v>Senator</v>
          </cell>
          <cell r="O971" t="str">
            <v>Senator</v>
          </cell>
          <cell r="P971" t="str">
            <v>1220747</v>
          </cell>
          <cell r="Q971" t="str">
            <v>Not Applicable</v>
          </cell>
          <cell r="R971" t="str">
            <v>Ardo Medical AG</v>
          </cell>
          <cell r="S971" t="str">
            <v>Histopoint</v>
          </cell>
          <cell r="T971" t="str">
            <v>Functioning</v>
          </cell>
          <cell r="U971" t="str">
            <v>Asset</v>
          </cell>
          <cell r="V971">
            <v>5052</v>
          </cell>
          <cell r="W971" t="str">
            <v>KEW</v>
          </cell>
          <cell r="X971" t="str">
            <v>01/09/2010</v>
          </cell>
          <cell r="Y971" t="str">
            <v>KEW</v>
          </cell>
          <cell r="Z971" t="str">
            <v>16/08/2013</v>
          </cell>
          <cell r="AA971" t="str">
            <v>15/08/2015</v>
          </cell>
          <cell r="AB971" t="str">
            <v>No</v>
          </cell>
          <cell r="AC971" t="str">
            <v>31/08/2013</v>
          </cell>
          <cell r="AD971" t="str">
            <v>Good</v>
          </cell>
          <cell r="AE971" t="str">
            <v>V1 - Existing / No Claim</v>
          </cell>
          <cell r="AF971">
            <v>42794</v>
          </cell>
          <cell r="AG971">
            <v>9.17</v>
          </cell>
          <cell r="AH971" t="str">
            <v>PPM</v>
          </cell>
          <cell r="AI971" t="str">
            <v>Strands</v>
          </cell>
          <cell r="AJ971" t="str">
            <v>Strands PW</v>
          </cell>
        </row>
        <row r="972">
          <cell r="A972" t="str">
            <v>IKN400535</v>
          </cell>
          <cell r="B972">
            <v>535</v>
          </cell>
          <cell r="C972" t="str">
            <v>Institut Kanser Negara</v>
          </cell>
          <cell r="D972" t="str">
            <v>KKM/IKN/H/13/2366</v>
          </cell>
          <cell r="E972" t="str">
            <v>16-173</v>
          </cell>
          <cell r="F972" t="str">
            <v>Sphygmomanometers, Electronic, Automatic</v>
          </cell>
          <cell r="G972" t="str">
            <v>WA</v>
          </cell>
          <cell r="H972" t="str">
            <v>NUCLEAR MED WARD (THERAPY)</v>
          </cell>
          <cell r="I972" t="str">
            <v>03WA116</v>
          </cell>
          <cell r="J972" t="str">
            <v>TREATMENT</v>
          </cell>
          <cell r="K972" t="str">
            <v>BMED</v>
          </cell>
          <cell r="L972" t="str">
            <v>Normal</v>
          </cell>
          <cell r="M972" t="str">
            <v>Mexico</v>
          </cell>
          <cell r="N972" t="str">
            <v>Carespace</v>
          </cell>
          <cell r="O972" t="str">
            <v>Carescape V100</v>
          </cell>
          <cell r="P972" t="str">
            <v>SH612430108SA</v>
          </cell>
          <cell r="Q972" t="str">
            <v>Not Applicable</v>
          </cell>
          <cell r="R972" t="str">
            <v>GE Healthcare Systems</v>
          </cell>
          <cell r="S972" t="str">
            <v>GE Healthcare Technologies</v>
          </cell>
          <cell r="T972" t="str">
            <v>Functioning</v>
          </cell>
          <cell r="U972" t="str">
            <v>Asset</v>
          </cell>
          <cell r="V972">
            <v>7770</v>
          </cell>
          <cell r="W972" t="str">
            <v>KEW</v>
          </cell>
          <cell r="X972" t="str">
            <v>01/09/2010</v>
          </cell>
          <cell r="Y972" t="str">
            <v>KEW</v>
          </cell>
          <cell r="Z972" t="str">
            <v>16/08/2013</v>
          </cell>
          <cell r="AA972" t="str">
            <v>15/08/2015</v>
          </cell>
          <cell r="AB972" t="str">
            <v>No</v>
          </cell>
          <cell r="AC972" t="str">
            <v>31/08/2013</v>
          </cell>
          <cell r="AD972" t="str">
            <v>Good</v>
          </cell>
          <cell r="AE972" t="str">
            <v>V1 - Existing / No Claim</v>
          </cell>
          <cell r="AF972">
            <v>42235</v>
          </cell>
          <cell r="AG972">
            <v>9.17</v>
          </cell>
          <cell r="AH972" t="str">
            <v>PPM</v>
          </cell>
          <cell r="AI972" t="str">
            <v>Strands</v>
          </cell>
          <cell r="AJ972" t="str">
            <v>Strands PW</v>
          </cell>
        </row>
        <row r="973">
          <cell r="A973" t="str">
            <v>IKN400536</v>
          </cell>
          <cell r="B973">
            <v>536</v>
          </cell>
          <cell r="C973" t="str">
            <v>Institut Kanser Negara</v>
          </cell>
          <cell r="D973" t="str">
            <v>KKM/IKN/H/13/1343</v>
          </cell>
          <cell r="E973" t="str">
            <v>16-231</v>
          </cell>
          <cell r="F973" t="str">
            <v>Electrocardiographs, Multichannel, Interpretative</v>
          </cell>
          <cell r="G973" t="str">
            <v>WA</v>
          </cell>
          <cell r="H973" t="str">
            <v>NUCLEAR MED WARD (THERAPY)</v>
          </cell>
          <cell r="I973" t="str">
            <v>03WA116</v>
          </cell>
          <cell r="J973" t="str">
            <v>TREATMENT</v>
          </cell>
          <cell r="K973" t="str">
            <v>BMED</v>
          </cell>
          <cell r="L973" t="str">
            <v>Critical</v>
          </cell>
          <cell r="M973" t="str">
            <v>China</v>
          </cell>
          <cell r="N973" t="str">
            <v>Mac</v>
          </cell>
          <cell r="O973" t="str">
            <v>MAC 800</v>
          </cell>
          <cell r="P973" t="str">
            <v>SJ412450376 WA</v>
          </cell>
          <cell r="Q973" t="str">
            <v>Not Applicable</v>
          </cell>
          <cell r="R973" t="str">
            <v>GE Healthcare Systems</v>
          </cell>
          <cell r="S973" t="str">
            <v>GE Healthcare Technologies</v>
          </cell>
          <cell r="T973" t="str">
            <v>Functioning</v>
          </cell>
          <cell r="U973" t="str">
            <v>Asset</v>
          </cell>
          <cell r="V973">
            <v>25260</v>
          </cell>
          <cell r="W973" t="str">
            <v>KEW</v>
          </cell>
          <cell r="X973" t="str">
            <v>01/09/2010</v>
          </cell>
          <cell r="Y973" t="str">
            <v>KEW</v>
          </cell>
          <cell r="Z973" t="str">
            <v>16/08/2013</v>
          </cell>
          <cell r="AA973" t="str">
            <v>15/08/2015</v>
          </cell>
          <cell r="AB973" t="str">
            <v>No</v>
          </cell>
          <cell r="AC973" t="str">
            <v>31/08/2013</v>
          </cell>
          <cell r="AD973" t="str">
            <v>Good</v>
          </cell>
          <cell r="AE973" t="str">
            <v>V1 - Existing / No Claim</v>
          </cell>
          <cell r="AF973">
            <v>42794</v>
          </cell>
          <cell r="AG973">
            <v>9.17</v>
          </cell>
          <cell r="AH973" t="str">
            <v>PPM</v>
          </cell>
          <cell r="AI973" t="str">
            <v>Strands</v>
          </cell>
          <cell r="AJ973" t="str">
            <v>Strands PW</v>
          </cell>
        </row>
        <row r="974">
          <cell r="A974" t="str">
            <v>IKN400537</v>
          </cell>
          <cell r="B974">
            <v>537</v>
          </cell>
          <cell r="C974" t="str">
            <v>Institut Kanser Negara</v>
          </cell>
          <cell r="D974" t="e">
            <v>#N/A</v>
          </cell>
          <cell r="E974" t="str">
            <v>11-134</v>
          </cell>
          <cell r="F974" t="str">
            <v>Defibrillators, External, Manual</v>
          </cell>
          <cell r="G974" t="str">
            <v>WA</v>
          </cell>
          <cell r="H974" t="str">
            <v>NUCLEAR MED WARD (THERAPY)</v>
          </cell>
          <cell r="I974" t="str">
            <v>03WA117</v>
          </cell>
          <cell r="J974" t="str">
            <v>N/S 1</v>
          </cell>
          <cell r="K974" t="str">
            <v>BMED</v>
          </cell>
          <cell r="L974" t="str">
            <v>Critical</v>
          </cell>
          <cell r="M974" t="str">
            <v>USA</v>
          </cell>
          <cell r="N974" t="str">
            <v>Responder</v>
          </cell>
          <cell r="O974" t="str">
            <v>Responder 2000</v>
          </cell>
          <cell r="P974" t="str">
            <v>3206739</v>
          </cell>
          <cell r="Q974" t="str">
            <v>Not Applicable</v>
          </cell>
          <cell r="R974" t="str">
            <v>GE Medical Systems</v>
          </cell>
          <cell r="S974" t="str">
            <v>Antah Sir Radin Sdn. Bhd.</v>
          </cell>
          <cell r="T974" t="str">
            <v>Functioning</v>
          </cell>
          <cell r="U974" t="str">
            <v>Asset</v>
          </cell>
          <cell r="V974">
            <v>45000</v>
          </cell>
          <cell r="W974" t="str">
            <v>Estimate</v>
          </cell>
          <cell r="X974" t="str">
            <v>01/09/2010</v>
          </cell>
          <cell r="Y974" t="str">
            <v>KEW</v>
          </cell>
          <cell r="Z974" t="str">
            <v>16/08/2013</v>
          </cell>
          <cell r="AA974" t="str">
            <v>15/08/2015</v>
          </cell>
          <cell r="AB974" t="str">
            <v>No</v>
          </cell>
          <cell r="AC974" t="str">
            <v>31/08/2013</v>
          </cell>
          <cell r="AD974" t="str">
            <v>Good</v>
          </cell>
          <cell r="AE974" t="str">
            <v>V1 - Existing / No Claim</v>
          </cell>
          <cell r="AF974">
            <v>42601</v>
          </cell>
          <cell r="AG974">
            <v>9.17</v>
          </cell>
          <cell r="AH974" t="str">
            <v>PPM</v>
          </cell>
          <cell r="AI974" t="str">
            <v>Strands</v>
          </cell>
          <cell r="AJ974" t="str">
            <v>Strands PW</v>
          </cell>
          <cell r="AK974" t="str">
            <v>Crash Trolley (FEMS)</v>
          </cell>
        </row>
        <row r="975">
          <cell r="A975" t="str">
            <v>IKN400538</v>
          </cell>
          <cell r="B975">
            <v>538</v>
          </cell>
          <cell r="C975" t="str">
            <v>Institut Kanser Negara</v>
          </cell>
          <cell r="D975" t="str">
            <v>KKM/IKN/H/13/2204</v>
          </cell>
          <cell r="E975" t="str">
            <v>16-173</v>
          </cell>
          <cell r="F975" t="str">
            <v>Sphygmomanometers, Electronic, Automatic</v>
          </cell>
          <cell r="G975" t="str">
            <v>WA</v>
          </cell>
          <cell r="H975" t="str">
            <v>NUCLEAR MED WARD (THERAPY)</v>
          </cell>
          <cell r="I975" t="str">
            <v>03WA117</v>
          </cell>
          <cell r="J975" t="str">
            <v>N/S 1</v>
          </cell>
          <cell r="K975" t="str">
            <v>BMED</v>
          </cell>
          <cell r="L975" t="str">
            <v>Normal</v>
          </cell>
          <cell r="M975" t="str">
            <v>USA</v>
          </cell>
          <cell r="N975" t="str">
            <v>Connex</v>
          </cell>
          <cell r="O975" t="str">
            <v>Connex ProBP 3400</v>
          </cell>
          <cell r="P975" t="str">
            <v>100001770613</v>
          </cell>
          <cell r="Q975" t="str">
            <v>Not Applicable</v>
          </cell>
          <cell r="R975" t="str">
            <v>Welch Allyn Inc</v>
          </cell>
          <cell r="S975" t="str">
            <v>Welch Allyn Malaysia Sdn Bhd</v>
          </cell>
          <cell r="T975" t="str">
            <v>Functioning</v>
          </cell>
          <cell r="U975" t="str">
            <v>Asset</v>
          </cell>
          <cell r="V975">
            <v>4510</v>
          </cell>
          <cell r="W975" t="str">
            <v>KEW</v>
          </cell>
          <cell r="X975" t="str">
            <v>01/09/2010</v>
          </cell>
          <cell r="Y975" t="str">
            <v>KEW</v>
          </cell>
          <cell r="Z975" t="str">
            <v>16/08/2013</v>
          </cell>
          <cell r="AA975" t="str">
            <v>15/08/2015</v>
          </cell>
          <cell r="AB975" t="str">
            <v>No</v>
          </cell>
          <cell r="AC975" t="str">
            <v>31/08/2013</v>
          </cell>
          <cell r="AD975" t="str">
            <v>Good</v>
          </cell>
          <cell r="AE975" t="str">
            <v>V1 - Existing / No Claim</v>
          </cell>
          <cell r="AF975">
            <v>42235</v>
          </cell>
          <cell r="AG975">
            <v>9.17</v>
          </cell>
          <cell r="AH975" t="str">
            <v>PPM</v>
          </cell>
          <cell r="AI975" t="str">
            <v>Strands</v>
          </cell>
          <cell r="AJ975" t="str">
            <v>Strands PW</v>
          </cell>
        </row>
        <row r="976">
          <cell r="A976" t="str">
            <v>IKN400539</v>
          </cell>
          <cell r="B976">
            <v>539</v>
          </cell>
          <cell r="C976" t="str">
            <v>Institut Kanser Negara</v>
          </cell>
          <cell r="D976" t="str">
            <v>KKM/IKN/H/13/2205</v>
          </cell>
          <cell r="E976" t="str">
            <v>16-173</v>
          </cell>
          <cell r="F976" t="str">
            <v>Sphygmomanometers, Electronic, Automatic</v>
          </cell>
          <cell r="G976" t="str">
            <v>WA</v>
          </cell>
          <cell r="H976" t="str">
            <v>NUCLEAR MED WARD (THERAPY)</v>
          </cell>
          <cell r="I976" t="str">
            <v>03WA117</v>
          </cell>
          <cell r="J976" t="str">
            <v>N/S 1</v>
          </cell>
          <cell r="K976" t="str">
            <v>BMED</v>
          </cell>
          <cell r="L976" t="str">
            <v>Normal</v>
          </cell>
          <cell r="M976" t="str">
            <v>USA</v>
          </cell>
          <cell r="N976" t="str">
            <v>Connex</v>
          </cell>
          <cell r="O976" t="str">
            <v>Connex ProBP 3400</v>
          </cell>
          <cell r="P976" t="str">
            <v>100001470613</v>
          </cell>
          <cell r="Q976" t="str">
            <v>Not Applicable</v>
          </cell>
          <cell r="R976" t="str">
            <v>Welch Allyn Inc</v>
          </cell>
          <cell r="S976" t="str">
            <v>Welch Allyn Malaysia Sdn Bhd</v>
          </cell>
          <cell r="T976" t="str">
            <v>Functioning</v>
          </cell>
          <cell r="U976" t="str">
            <v>Asset</v>
          </cell>
          <cell r="V976">
            <v>4510</v>
          </cell>
          <cell r="W976" t="str">
            <v>KEW</v>
          </cell>
          <cell r="X976" t="str">
            <v>01/09/2010</v>
          </cell>
          <cell r="Y976" t="str">
            <v>KEW</v>
          </cell>
          <cell r="Z976" t="str">
            <v>16/08/2013</v>
          </cell>
          <cell r="AA976" t="str">
            <v>15/08/2015</v>
          </cell>
          <cell r="AB976" t="str">
            <v>No</v>
          </cell>
          <cell r="AC976" t="str">
            <v>31/08/2013</v>
          </cell>
          <cell r="AD976" t="str">
            <v>Good</v>
          </cell>
          <cell r="AE976" t="str">
            <v>V1 - Existing / No Claim</v>
          </cell>
          <cell r="AF976">
            <v>42235</v>
          </cell>
          <cell r="AG976">
            <v>9.17</v>
          </cell>
          <cell r="AH976" t="str">
            <v>PPM</v>
          </cell>
          <cell r="AI976" t="str">
            <v>Strands</v>
          </cell>
          <cell r="AJ976" t="str">
            <v>Strands PW</v>
          </cell>
        </row>
        <row r="977">
          <cell r="A977" t="str">
            <v>IKN400541</v>
          </cell>
          <cell r="B977">
            <v>541</v>
          </cell>
          <cell r="C977" t="str">
            <v>Institut Kanser Negara</v>
          </cell>
          <cell r="D977" t="str">
            <v>KKM/IKN/H/13/2478</v>
          </cell>
          <cell r="E977" t="str">
            <v>11-134</v>
          </cell>
          <cell r="F977" t="str">
            <v>Defibrillators, External, Manual</v>
          </cell>
          <cell r="G977" t="str">
            <v>WA</v>
          </cell>
          <cell r="H977" t="str">
            <v>NUCLEAR MED WARD (THERAPY)</v>
          </cell>
          <cell r="I977" t="str">
            <v>03WA121</v>
          </cell>
          <cell r="J977" t="str">
            <v>N/S 2</v>
          </cell>
          <cell r="K977" t="str">
            <v>BMED</v>
          </cell>
          <cell r="L977" t="str">
            <v>Critical</v>
          </cell>
          <cell r="M977" t="str">
            <v>USA</v>
          </cell>
          <cell r="N977" t="str">
            <v>Responder</v>
          </cell>
          <cell r="O977" t="str">
            <v>Responder 2000</v>
          </cell>
          <cell r="P977" t="str">
            <v>3206688</v>
          </cell>
          <cell r="Q977" t="str">
            <v>Not Applicable</v>
          </cell>
          <cell r="R977" t="str">
            <v>GE Medical Systems</v>
          </cell>
          <cell r="S977" t="str">
            <v>Antah Sir Radin Sdn. Bhd.</v>
          </cell>
          <cell r="T977" t="str">
            <v>Functioning</v>
          </cell>
          <cell r="U977" t="str">
            <v>Asset</v>
          </cell>
          <cell r="V977">
            <v>45000</v>
          </cell>
          <cell r="W977" t="str">
            <v>Estimate</v>
          </cell>
          <cell r="X977" t="str">
            <v>01/09/2010</v>
          </cell>
          <cell r="Y977" t="str">
            <v>KEW</v>
          </cell>
          <cell r="Z977" t="str">
            <v>16/08/2013</v>
          </cell>
          <cell r="AA977" t="str">
            <v>15/08/2015</v>
          </cell>
          <cell r="AB977" t="str">
            <v>No</v>
          </cell>
          <cell r="AC977" t="str">
            <v>31/08/2013</v>
          </cell>
          <cell r="AD977" t="str">
            <v>Good</v>
          </cell>
          <cell r="AE977" t="str">
            <v>V1 - Existing / No Claim</v>
          </cell>
          <cell r="AF977">
            <v>42601</v>
          </cell>
          <cell r="AG977">
            <v>9.17</v>
          </cell>
          <cell r="AH977" t="str">
            <v>PPM</v>
          </cell>
          <cell r="AI977" t="str">
            <v>Strands</v>
          </cell>
          <cell r="AJ977" t="str">
            <v>Strands PW</v>
          </cell>
          <cell r="AK977" t="str">
            <v>Crash Trolley (FEMS)</v>
          </cell>
        </row>
        <row r="978">
          <cell r="A978" t="str">
            <v>IKN400542</v>
          </cell>
          <cell r="B978">
            <v>542</v>
          </cell>
          <cell r="C978" t="str">
            <v>Institut Kanser Negara</v>
          </cell>
          <cell r="D978" t="str">
            <v>KKM/IKN/H/13/315</v>
          </cell>
          <cell r="E978" t="str">
            <v>12-660</v>
          </cell>
          <cell r="F978" t="str">
            <v>Radiation Monitors</v>
          </cell>
          <cell r="G978" t="str">
            <v>WA</v>
          </cell>
          <cell r="H978" t="str">
            <v>NUCLEAR MED WARD (THERAPY)</v>
          </cell>
          <cell r="I978" t="str">
            <v>03WA121</v>
          </cell>
          <cell r="J978" t="str">
            <v>N/S 2</v>
          </cell>
          <cell r="K978" t="str">
            <v>BMED</v>
          </cell>
          <cell r="L978" t="str">
            <v>Normal</v>
          </cell>
          <cell r="M978" t="str">
            <v>Germany</v>
          </cell>
          <cell r="N978" t="str">
            <v>CoMo</v>
          </cell>
          <cell r="O978" t="str">
            <v>CoMo 170</v>
          </cell>
          <cell r="P978" t="str">
            <v>5069DL</v>
          </cell>
          <cell r="Q978" t="str">
            <v>Not Applicable</v>
          </cell>
          <cell r="R978" t="str">
            <v>MED Nuklear-Medizintechnik Dresden GmbH</v>
          </cell>
          <cell r="S978" t="str">
            <v>Kwint International BN</v>
          </cell>
          <cell r="T978" t="str">
            <v>Functioning</v>
          </cell>
          <cell r="U978" t="str">
            <v>Asset</v>
          </cell>
          <cell r="V978">
            <v>23270</v>
          </cell>
          <cell r="W978" t="str">
            <v>KEW</v>
          </cell>
          <cell r="X978" t="str">
            <v>01/09/2010</v>
          </cell>
          <cell r="Y978" t="str">
            <v>KEW</v>
          </cell>
          <cell r="Z978" t="str">
            <v>16/08/2013</v>
          </cell>
          <cell r="AA978" t="str">
            <v>15/08/2015</v>
          </cell>
          <cell r="AB978" t="str">
            <v>No</v>
          </cell>
          <cell r="AC978" t="str">
            <v>31/08/2013</v>
          </cell>
          <cell r="AD978" t="str">
            <v>Good</v>
          </cell>
          <cell r="AE978" t="str">
            <v>V1 - Existing / No Claim</v>
          </cell>
          <cell r="AF978">
            <v>42235</v>
          </cell>
          <cell r="AG978">
            <v>9.17</v>
          </cell>
          <cell r="AH978" t="str">
            <v>PPM</v>
          </cell>
          <cell r="AI978" t="str">
            <v>Strands</v>
          </cell>
          <cell r="AJ978" t="str">
            <v>Strands PW</v>
          </cell>
          <cell r="AK978" t="str">
            <v>TA: Alpha detector problem.</v>
          </cell>
        </row>
        <row r="979">
          <cell r="A979" t="str">
            <v>IKN400543</v>
          </cell>
          <cell r="B979">
            <v>543</v>
          </cell>
          <cell r="C979" t="str">
            <v>Institut Kanser Negara</v>
          </cell>
          <cell r="D979" t="str">
            <v>KKM/IKN/H/13/2616</v>
          </cell>
          <cell r="E979" t="str">
            <v>12-660</v>
          </cell>
          <cell r="F979" t="str">
            <v>Radiation Monitors</v>
          </cell>
          <cell r="G979" t="str">
            <v>WA</v>
          </cell>
          <cell r="H979" t="str">
            <v>NUCLEAR MED WARD (THERAPY)</v>
          </cell>
          <cell r="I979" t="str">
            <v>03WA125</v>
          </cell>
          <cell r="J979" t="str">
            <v>RADIOIODIN PREP (100% F.A.)</v>
          </cell>
          <cell r="K979" t="str">
            <v>BMED</v>
          </cell>
          <cell r="L979" t="str">
            <v>Normal</v>
          </cell>
          <cell r="M979" t="str">
            <v>Germany</v>
          </cell>
          <cell r="N979" t="str">
            <v>CoMo</v>
          </cell>
          <cell r="O979" t="str">
            <v>CoMo 170</v>
          </cell>
          <cell r="P979" t="str">
            <v>5389</v>
          </cell>
          <cell r="Q979" t="str">
            <v>Not Applicable</v>
          </cell>
          <cell r="R979" t="str">
            <v>MED Nuklear-Medizintechnik Dresden GmbH</v>
          </cell>
          <cell r="S979" t="str">
            <v>Kwint International BN</v>
          </cell>
          <cell r="T979" t="str">
            <v>Functioning</v>
          </cell>
          <cell r="U979" t="str">
            <v>Asset</v>
          </cell>
          <cell r="V979">
            <v>6810</v>
          </cell>
          <cell r="W979" t="str">
            <v>KEW</v>
          </cell>
          <cell r="X979" t="str">
            <v>01/09/2010</v>
          </cell>
          <cell r="Y979" t="str">
            <v>KEW</v>
          </cell>
          <cell r="Z979" t="str">
            <v>16/08/2013</v>
          </cell>
          <cell r="AA979" t="str">
            <v>15/08/2015</v>
          </cell>
          <cell r="AB979" t="str">
            <v>No</v>
          </cell>
          <cell r="AC979" t="str">
            <v>31/08/2013</v>
          </cell>
          <cell r="AD979" t="str">
            <v>Good</v>
          </cell>
          <cell r="AE979" t="str">
            <v>V1 - Existing / No Claim</v>
          </cell>
          <cell r="AF979">
            <v>42796</v>
          </cell>
          <cell r="AG979">
            <v>9.17</v>
          </cell>
          <cell r="AH979" t="str">
            <v>PPM</v>
          </cell>
          <cell r="AI979" t="str">
            <v>Strands</v>
          </cell>
          <cell r="AJ979" t="str">
            <v>Strands PW</v>
          </cell>
        </row>
        <row r="980">
          <cell r="A980" t="str">
            <v>IKN400545</v>
          </cell>
          <cell r="B980">
            <v>545</v>
          </cell>
          <cell r="C980" t="str">
            <v>Institut Kanser Negara</v>
          </cell>
          <cell r="D980" t="str">
            <v>KKM/IKN/H/13/2135</v>
          </cell>
          <cell r="E980" t="str">
            <v>15-045</v>
          </cell>
          <cell r="F980" t="str">
            <v>Nebulizers, Nonheated</v>
          </cell>
          <cell r="G980" t="str">
            <v>WA</v>
          </cell>
          <cell r="H980" t="str">
            <v>NUCLEAR MED WARD (THERAPY)</v>
          </cell>
          <cell r="I980" t="str">
            <v>03WA177</v>
          </cell>
          <cell r="J980" t="str">
            <v>EQ. ROOM</v>
          </cell>
          <cell r="K980" t="str">
            <v>BMED</v>
          </cell>
          <cell r="L980" t="str">
            <v>Normal</v>
          </cell>
          <cell r="M980" t="str">
            <v>Germany</v>
          </cell>
          <cell r="N980" t="str">
            <v>Pari Boy</v>
          </cell>
          <cell r="O980" t="str">
            <v>Pari Boy SX 085</v>
          </cell>
          <cell r="P980" t="str">
            <v>2W12F13725</v>
          </cell>
          <cell r="Q980" t="str">
            <v>Not Applicable</v>
          </cell>
          <cell r="R980" t="str">
            <v>Pari GmbH</v>
          </cell>
          <cell r="S980" t="str">
            <v>Welch Allyn Malaysia Sdn Bhd</v>
          </cell>
          <cell r="T980" t="str">
            <v>Functioning</v>
          </cell>
          <cell r="U980" t="str">
            <v>Asset</v>
          </cell>
          <cell r="V980">
            <v>1140</v>
          </cell>
          <cell r="W980" t="str">
            <v>KEW</v>
          </cell>
          <cell r="X980" t="str">
            <v>01/09/2010</v>
          </cell>
          <cell r="Y980" t="str">
            <v>KEW</v>
          </cell>
          <cell r="Z980" t="str">
            <v>16/08/2013</v>
          </cell>
          <cell r="AA980" t="str">
            <v>15/08/2015</v>
          </cell>
          <cell r="AB980" t="str">
            <v>No</v>
          </cell>
          <cell r="AC980" t="str">
            <v>31/08/2013</v>
          </cell>
          <cell r="AD980" t="str">
            <v>Good</v>
          </cell>
          <cell r="AE980" t="str">
            <v>V3 - Added Installed Facilities (New)</v>
          </cell>
          <cell r="AF980">
            <v>42235</v>
          </cell>
          <cell r="AG980">
            <v>9.17</v>
          </cell>
          <cell r="AH980" t="str">
            <v>PPM</v>
          </cell>
          <cell r="AI980" t="str">
            <v>Strands</v>
          </cell>
          <cell r="AJ980" t="str">
            <v>Strands PW</v>
          </cell>
          <cell r="AK980" t="str">
            <v>SNF received. 1st batch of V3 asset (December 2020)</v>
          </cell>
        </row>
        <row r="981">
          <cell r="A981" t="str">
            <v>IKN400546</v>
          </cell>
          <cell r="B981">
            <v>546</v>
          </cell>
          <cell r="C981" t="str">
            <v>Institut Kanser Negara</v>
          </cell>
          <cell r="D981" t="str">
            <v>KKM/IKN/H/13/3318</v>
          </cell>
          <cell r="E981" t="str">
            <v>12-647</v>
          </cell>
          <cell r="F981" t="str">
            <v>Physiologic Monitoring Systems, Acute Care</v>
          </cell>
          <cell r="G981" t="str">
            <v>WA</v>
          </cell>
          <cell r="H981" t="str">
            <v>NUCLEAR MED WARD (THERAPY)</v>
          </cell>
          <cell r="I981" t="str">
            <v>03WA177</v>
          </cell>
          <cell r="J981" t="str">
            <v>EQ. ROOM</v>
          </cell>
          <cell r="K981" t="str">
            <v>BMED</v>
          </cell>
          <cell r="L981" t="str">
            <v>Normal</v>
          </cell>
          <cell r="M981" t="str">
            <v>USA</v>
          </cell>
          <cell r="N981" t="str">
            <v>GE</v>
          </cell>
          <cell r="O981" t="str">
            <v>GE B30</v>
          </cell>
          <cell r="P981" t="str">
            <v>SF312325923WA</v>
          </cell>
          <cell r="Q981" t="str">
            <v>Not Applicable</v>
          </cell>
          <cell r="R981" t="str">
            <v>GE Healthcare Systems</v>
          </cell>
          <cell r="S981" t="str">
            <v>GE Healthcare Technologies</v>
          </cell>
          <cell r="T981" t="str">
            <v>Functioning</v>
          </cell>
          <cell r="U981" t="str">
            <v>Asset</v>
          </cell>
          <cell r="V981">
            <v>44510</v>
          </cell>
          <cell r="W981" t="str">
            <v>KEW</v>
          </cell>
          <cell r="X981" t="str">
            <v>01/09/2010</v>
          </cell>
          <cell r="Y981" t="str">
            <v>KEW</v>
          </cell>
          <cell r="Z981" t="str">
            <v>16/08/2013</v>
          </cell>
          <cell r="AA981" t="str">
            <v>15/08/2015</v>
          </cell>
          <cell r="AB981" t="str">
            <v>No</v>
          </cell>
          <cell r="AC981" t="str">
            <v>31/08/2013</v>
          </cell>
          <cell r="AD981" t="str">
            <v>Good</v>
          </cell>
          <cell r="AE981" t="str">
            <v>V1 - Existing / No Claim</v>
          </cell>
          <cell r="AF981">
            <v>42235</v>
          </cell>
          <cell r="AG981">
            <v>9.17</v>
          </cell>
          <cell r="AH981" t="str">
            <v>PPM</v>
          </cell>
          <cell r="AI981" t="str">
            <v>Strands</v>
          </cell>
          <cell r="AJ981" t="str">
            <v>Strands PW</v>
          </cell>
        </row>
        <row r="982">
          <cell r="A982" t="str">
            <v>IKN400547</v>
          </cell>
          <cell r="B982">
            <v>547</v>
          </cell>
          <cell r="C982" t="str">
            <v>Institut Kanser Negara</v>
          </cell>
          <cell r="D982" t="str">
            <v>KKM/IKN/H/13/3119</v>
          </cell>
          <cell r="E982" t="str">
            <v>12-647</v>
          </cell>
          <cell r="F982" t="str">
            <v>Physiologic Monitoring Systems, Acute Care</v>
          </cell>
          <cell r="G982" t="str">
            <v>WA</v>
          </cell>
          <cell r="H982" t="str">
            <v>NUCLEAR MED WARD (THERAPY)</v>
          </cell>
          <cell r="I982" t="str">
            <v>03WA177</v>
          </cell>
          <cell r="J982" t="str">
            <v>EQ. ROOM</v>
          </cell>
          <cell r="K982" t="str">
            <v>BMED</v>
          </cell>
          <cell r="L982" t="str">
            <v>Normal</v>
          </cell>
          <cell r="M982" t="str">
            <v>USA</v>
          </cell>
          <cell r="N982" t="str">
            <v>GE</v>
          </cell>
          <cell r="O982" t="str">
            <v>GE B30</v>
          </cell>
          <cell r="P982" t="str">
            <v>SF312325916WA</v>
          </cell>
          <cell r="Q982" t="str">
            <v>Not Applicable</v>
          </cell>
          <cell r="R982" t="str">
            <v>GE Healthcare Systems</v>
          </cell>
          <cell r="S982" t="str">
            <v>GE Healthcare Technologies</v>
          </cell>
          <cell r="T982" t="str">
            <v>Functioning</v>
          </cell>
          <cell r="U982" t="str">
            <v>Asset</v>
          </cell>
          <cell r="V982">
            <v>44510</v>
          </cell>
          <cell r="W982" t="str">
            <v>KEW</v>
          </cell>
          <cell r="X982" t="str">
            <v>01/09/2010</v>
          </cell>
          <cell r="Y982" t="str">
            <v>KEW</v>
          </cell>
          <cell r="Z982" t="str">
            <v>16/08/2013</v>
          </cell>
          <cell r="AA982" t="str">
            <v>15/08/2015</v>
          </cell>
          <cell r="AB982" t="str">
            <v>No</v>
          </cell>
          <cell r="AC982" t="str">
            <v>31/08/2013</v>
          </cell>
          <cell r="AD982" t="str">
            <v>Good</v>
          </cell>
          <cell r="AE982" t="str">
            <v>V1 - Existing / No Claim</v>
          </cell>
          <cell r="AF982">
            <v>42235</v>
          </cell>
          <cell r="AG982">
            <v>9.17</v>
          </cell>
          <cell r="AH982" t="str">
            <v>PPM</v>
          </cell>
          <cell r="AI982" t="str">
            <v>Strands</v>
          </cell>
          <cell r="AJ982" t="str">
            <v>Strands PW</v>
          </cell>
        </row>
        <row r="983">
          <cell r="A983" t="str">
            <v>IKN400548</v>
          </cell>
          <cell r="B983">
            <v>548</v>
          </cell>
          <cell r="C983" t="str">
            <v>Institut Kanser Negara</v>
          </cell>
          <cell r="D983" t="str">
            <v>KKM/IKN/H/13/2391</v>
          </cell>
          <cell r="E983" t="str">
            <v>12-282</v>
          </cell>
          <cell r="F983" t="str">
            <v>Lights, Surgical</v>
          </cell>
          <cell r="G983" t="str">
            <v>WA</v>
          </cell>
          <cell r="H983" t="str">
            <v>NUCLEAR MED WARD (THERAPY)</v>
          </cell>
          <cell r="I983" t="str">
            <v>03WA177</v>
          </cell>
          <cell r="J983" t="str">
            <v>EQ. ROOM</v>
          </cell>
          <cell r="K983" t="str">
            <v>BMED</v>
          </cell>
          <cell r="L983" t="str">
            <v>Critical</v>
          </cell>
          <cell r="M983" t="str">
            <v>USA</v>
          </cell>
          <cell r="N983" t="str">
            <v>Welch Allyn</v>
          </cell>
          <cell r="O983" t="str">
            <v>Welch Allyn GS600</v>
          </cell>
          <cell r="P983" t="str">
            <v>GS-600-30</v>
          </cell>
          <cell r="Q983" t="str">
            <v>Not Applicable</v>
          </cell>
          <cell r="R983" t="str">
            <v>Welch Allyn Inc</v>
          </cell>
          <cell r="S983" t="str">
            <v>Welch Allyn Malaysia Sdn Bhd</v>
          </cell>
          <cell r="T983" t="str">
            <v>Functioning</v>
          </cell>
          <cell r="U983" t="str">
            <v>Asset</v>
          </cell>
          <cell r="V983">
            <v>5050</v>
          </cell>
          <cell r="W983" t="str">
            <v>KEW</v>
          </cell>
          <cell r="X983" t="str">
            <v>01/09/2010</v>
          </cell>
          <cell r="Y983" t="str">
            <v>KEW</v>
          </cell>
          <cell r="Z983" t="str">
            <v>16/08/2013</v>
          </cell>
          <cell r="AA983" t="str">
            <v>15/08/2015</v>
          </cell>
          <cell r="AB983" t="str">
            <v>No</v>
          </cell>
          <cell r="AC983" t="str">
            <v>31/08/2013</v>
          </cell>
          <cell r="AD983" t="str">
            <v>Good</v>
          </cell>
          <cell r="AE983" t="str">
            <v>V1 - Existing / No Claim</v>
          </cell>
          <cell r="AF983">
            <v>42796</v>
          </cell>
          <cell r="AG983">
            <v>9.17</v>
          </cell>
          <cell r="AH983" t="str">
            <v>PPM</v>
          </cell>
          <cell r="AI983" t="str">
            <v>Strands</v>
          </cell>
          <cell r="AJ983" t="str">
            <v>Strands PW</v>
          </cell>
        </row>
        <row r="984">
          <cell r="A984" t="str">
            <v>IKN400549</v>
          </cell>
          <cell r="B984">
            <v>549</v>
          </cell>
          <cell r="C984" t="str">
            <v>Institut Kanser Negara</v>
          </cell>
          <cell r="D984" t="str">
            <v>KKM/IKN/H/13/2393</v>
          </cell>
          <cell r="E984" t="str">
            <v>12-282</v>
          </cell>
          <cell r="F984" t="str">
            <v>Lights, Surgical</v>
          </cell>
          <cell r="G984" t="str">
            <v>WA</v>
          </cell>
          <cell r="H984" t="str">
            <v>NUCLEAR MED WARD (THERAPY)</v>
          </cell>
          <cell r="I984" t="str">
            <v>03WA177</v>
          </cell>
          <cell r="J984" t="str">
            <v>EQ. ROOM</v>
          </cell>
          <cell r="K984" t="str">
            <v>BMED</v>
          </cell>
          <cell r="L984" t="str">
            <v>Critical</v>
          </cell>
          <cell r="M984" t="str">
            <v>USA</v>
          </cell>
          <cell r="N984" t="str">
            <v>Welch Allyn</v>
          </cell>
          <cell r="O984" t="str">
            <v>Welch Allyn GS600</v>
          </cell>
          <cell r="P984" t="str">
            <v>GS-600-43</v>
          </cell>
          <cell r="Q984" t="str">
            <v>Not Applicable</v>
          </cell>
          <cell r="R984" t="str">
            <v>Welch Allyn Inc</v>
          </cell>
          <cell r="S984" t="str">
            <v>Welch Allyn Malaysia Sdn Bhd</v>
          </cell>
          <cell r="T984" t="str">
            <v>Functioning</v>
          </cell>
          <cell r="U984" t="str">
            <v>Asset</v>
          </cell>
          <cell r="V984">
            <v>5050</v>
          </cell>
          <cell r="W984" t="str">
            <v>KEW</v>
          </cell>
          <cell r="X984" t="str">
            <v>01/09/2010</v>
          </cell>
          <cell r="Y984" t="str">
            <v>KEW</v>
          </cell>
          <cell r="Z984" t="str">
            <v>16/08/2013</v>
          </cell>
          <cell r="AA984" t="str">
            <v>15/08/2015</v>
          </cell>
          <cell r="AB984" t="str">
            <v>No</v>
          </cell>
          <cell r="AC984" t="str">
            <v>31/08/2013</v>
          </cell>
          <cell r="AD984" t="str">
            <v>Good</v>
          </cell>
          <cell r="AE984" t="str">
            <v>V1 - Existing / No Claim</v>
          </cell>
          <cell r="AF984">
            <v>42796</v>
          </cell>
          <cell r="AG984">
            <v>9.17</v>
          </cell>
          <cell r="AH984" t="str">
            <v>PPM</v>
          </cell>
          <cell r="AI984" t="str">
            <v>Strands</v>
          </cell>
          <cell r="AJ984" t="str">
            <v>Strands PW</v>
          </cell>
        </row>
        <row r="985">
          <cell r="A985" t="str">
            <v>IKN400550</v>
          </cell>
          <cell r="B985">
            <v>550</v>
          </cell>
          <cell r="C985" t="str">
            <v>Institut Kanser Negara</v>
          </cell>
          <cell r="D985" t="str">
            <v>KKM/IKN/H/13/2987</v>
          </cell>
          <cell r="E985" t="str">
            <v>17-148</v>
          </cell>
          <cell r="F985" t="str">
            <v>Oximeters, Pulse</v>
          </cell>
          <cell r="G985" t="str">
            <v>NM</v>
          </cell>
          <cell r="H985" t="str">
            <v>NUCLEAR MED (DIAGNOSTIC)</v>
          </cell>
          <cell r="I985" t="str">
            <v>03NM109</v>
          </cell>
          <cell r="J985" t="str">
            <v>TREATMENT 2 (RAS) (-VE)</v>
          </cell>
          <cell r="K985" t="str">
            <v>BMED</v>
          </cell>
          <cell r="L985" t="str">
            <v>Normal</v>
          </cell>
          <cell r="M985" t="str">
            <v>Finland</v>
          </cell>
          <cell r="N985" t="str">
            <v>Trusat</v>
          </cell>
          <cell r="O985" t="str">
            <v>Trusat</v>
          </cell>
          <cell r="P985" t="str">
            <v>FCC12430016SA</v>
          </cell>
          <cell r="Q985" t="str">
            <v>Not Applicable</v>
          </cell>
          <cell r="R985" t="str">
            <v>GE Healthcare Systems</v>
          </cell>
          <cell r="S985" t="str">
            <v>GE Healthcare Technologies</v>
          </cell>
          <cell r="T985" t="str">
            <v>Functioning</v>
          </cell>
          <cell r="U985" t="str">
            <v>Asset</v>
          </cell>
          <cell r="V985">
            <v>11120</v>
          </cell>
          <cell r="W985" t="str">
            <v>KEW</v>
          </cell>
          <cell r="X985" t="str">
            <v>01/09/2010</v>
          </cell>
          <cell r="Y985" t="str">
            <v>KEW</v>
          </cell>
          <cell r="Z985" t="str">
            <v>16/08/2013</v>
          </cell>
          <cell r="AA985" t="str">
            <v>15/08/2015</v>
          </cell>
          <cell r="AB985" t="str">
            <v>No</v>
          </cell>
          <cell r="AC985" t="str">
            <v>31/08/2013</v>
          </cell>
          <cell r="AD985" t="str">
            <v>Good</v>
          </cell>
          <cell r="AE985" t="str">
            <v>V1 - Existing / No Claim</v>
          </cell>
          <cell r="AF985">
            <v>42235</v>
          </cell>
          <cell r="AG985">
            <v>9.17</v>
          </cell>
          <cell r="AH985" t="str">
            <v>PPM</v>
          </cell>
          <cell r="AI985" t="str">
            <v>Strands</v>
          </cell>
          <cell r="AJ985" t="str">
            <v>Strands PW</v>
          </cell>
        </row>
        <row r="986">
          <cell r="A986" t="str">
            <v>IKN400552</v>
          </cell>
          <cell r="B986">
            <v>552</v>
          </cell>
          <cell r="C986" t="str">
            <v>Institut Kanser Negara</v>
          </cell>
          <cell r="D986" t="str">
            <v>KKM/IKN/H/13/2988</v>
          </cell>
          <cell r="E986" t="str">
            <v>17-148</v>
          </cell>
          <cell r="F986" t="str">
            <v>Oximeters, Pulse</v>
          </cell>
          <cell r="G986" t="str">
            <v>NM</v>
          </cell>
          <cell r="H986" t="str">
            <v>NUCLEAR MED (DIAGNOSTIC)</v>
          </cell>
          <cell r="I986" t="str">
            <v>03NM155</v>
          </cell>
          <cell r="J986" t="str">
            <v>STRESS LAB</v>
          </cell>
          <cell r="K986" t="str">
            <v>BMED</v>
          </cell>
          <cell r="L986" t="str">
            <v>Critical</v>
          </cell>
          <cell r="M986" t="str">
            <v>Finland</v>
          </cell>
          <cell r="N986" t="str">
            <v>Trusat</v>
          </cell>
          <cell r="O986" t="str">
            <v>Trusat</v>
          </cell>
          <cell r="P986" t="str">
            <v>FCC12430072SA</v>
          </cell>
          <cell r="Q986" t="str">
            <v>Not Applicable</v>
          </cell>
          <cell r="R986" t="str">
            <v>GE Healthcare Systems</v>
          </cell>
          <cell r="S986" t="str">
            <v>GE Healthcare Technologies</v>
          </cell>
          <cell r="T986" t="str">
            <v>Functioning</v>
          </cell>
          <cell r="U986" t="str">
            <v>Asset</v>
          </cell>
          <cell r="V986">
            <v>11120</v>
          </cell>
          <cell r="W986" t="str">
            <v>KEW</v>
          </cell>
          <cell r="X986" t="str">
            <v>01/09/2010</v>
          </cell>
          <cell r="Y986" t="str">
            <v>KEW</v>
          </cell>
          <cell r="Z986" t="str">
            <v>16/08/2013</v>
          </cell>
          <cell r="AA986" t="str">
            <v>15/08/2015</v>
          </cell>
          <cell r="AB986" t="str">
            <v>No</v>
          </cell>
          <cell r="AC986" t="str">
            <v>31/08/2013</v>
          </cell>
          <cell r="AD986" t="str">
            <v>Good</v>
          </cell>
          <cell r="AE986" t="str">
            <v>V1 - Existing / No Claim</v>
          </cell>
          <cell r="AF986">
            <v>42706</v>
          </cell>
          <cell r="AG986">
            <v>9.17</v>
          </cell>
          <cell r="AH986" t="str">
            <v>PPM</v>
          </cell>
          <cell r="AI986" t="str">
            <v>Strands</v>
          </cell>
          <cell r="AJ986" t="str">
            <v>Strands PW</v>
          </cell>
        </row>
        <row r="987">
          <cell r="A987" t="str">
            <v>IKN400553</v>
          </cell>
          <cell r="B987">
            <v>553</v>
          </cell>
          <cell r="C987" t="str">
            <v>Institut Kanser Negara</v>
          </cell>
          <cell r="D987" t="str">
            <v>KKM/IKN/H/13/2989</v>
          </cell>
          <cell r="E987" t="str">
            <v>17-148</v>
          </cell>
          <cell r="F987" t="str">
            <v>Oximeters, Pulse</v>
          </cell>
          <cell r="G987" t="str">
            <v>NM</v>
          </cell>
          <cell r="H987" t="str">
            <v>NUCLEAR MED (DIAGNOSTIC)</v>
          </cell>
          <cell r="I987" t="str">
            <v>03NM124</v>
          </cell>
          <cell r="J987" t="str">
            <v>EQUIPMENT ROOM</v>
          </cell>
          <cell r="K987" t="str">
            <v>BMED</v>
          </cell>
          <cell r="L987" t="str">
            <v>Normal</v>
          </cell>
          <cell r="M987" t="str">
            <v>Finland</v>
          </cell>
          <cell r="N987" t="str">
            <v>Trusat</v>
          </cell>
          <cell r="O987" t="str">
            <v>Trusat</v>
          </cell>
          <cell r="P987" t="str">
            <v>FCC12430059SA</v>
          </cell>
          <cell r="Q987" t="str">
            <v>Not Applicable</v>
          </cell>
          <cell r="R987" t="str">
            <v>GE Healthcare Systems</v>
          </cell>
          <cell r="S987" t="str">
            <v>GE Healthcare Technologies</v>
          </cell>
          <cell r="T987" t="str">
            <v>Functioning</v>
          </cell>
          <cell r="U987" t="str">
            <v>Asset</v>
          </cell>
          <cell r="V987">
            <v>11120</v>
          </cell>
          <cell r="W987" t="str">
            <v>KEW</v>
          </cell>
          <cell r="X987" t="str">
            <v>01/09/2010</v>
          </cell>
          <cell r="Y987" t="str">
            <v>KEW</v>
          </cell>
          <cell r="Z987" t="str">
            <v>16/08/2013</v>
          </cell>
          <cell r="AA987" t="str">
            <v>15/08/2015</v>
          </cell>
          <cell r="AB987" t="str">
            <v>No</v>
          </cell>
          <cell r="AC987" t="str">
            <v>31/08/2013</v>
          </cell>
          <cell r="AD987" t="str">
            <v>Good</v>
          </cell>
          <cell r="AE987" t="str">
            <v>V1 - Existing / No Claim</v>
          </cell>
          <cell r="AF987">
            <v>42235</v>
          </cell>
          <cell r="AG987">
            <v>9.17</v>
          </cell>
          <cell r="AH987" t="str">
            <v>PPM</v>
          </cell>
          <cell r="AI987" t="str">
            <v>Strands</v>
          </cell>
          <cell r="AJ987" t="str">
            <v>Strands PW</v>
          </cell>
        </row>
        <row r="988">
          <cell r="A988" t="str">
            <v>IKN400560</v>
          </cell>
          <cell r="B988">
            <v>560</v>
          </cell>
          <cell r="C988" t="str">
            <v>Institut Kanser Negara</v>
          </cell>
          <cell r="D988" t="str">
            <v>KKM/IKN/H/13/2982</v>
          </cell>
          <cell r="E988" t="str">
            <v>16-173</v>
          </cell>
          <cell r="F988" t="str">
            <v>Sphygmomanometers, Electronic, Automatic</v>
          </cell>
          <cell r="G988" t="str">
            <v>NM</v>
          </cell>
          <cell r="H988" t="str">
            <v>NUCLEAR MED (DIAGNOSTIC)</v>
          </cell>
          <cell r="I988" t="str">
            <v>03NM152</v>
          </cell>
          <cell r="J988" t="str">
            <v>NURSE STATION</v>
          </cell>
          <cell r="K988" t="str">
            <v>BMED</v>
          </cell>
          <cell r="L988" t="str">
            <v>Critical</v>
          </cell>
          <cell r="M988" t="str">
            <v>USA</v>
          </cell>
          <cell r="N988" t="str">
            <v>Connex</v>
          </cell>
          <cell r="O988" t="str">
            <v>Connex ProBP 3400</v>
          </cell>
          <cell r="P988" t="str">
            <v>100001580613</v>
          </cell>
          <cell r="Q988" t="str">
            <v>Not Applicable</v>
          </cell>
          <cell r="R988" t="str">
            <v>Welch Allyn Inc</v>
          </cell>
          <cell r="S988" t="str">
            <v>Welch Allyn Malaysia Sdn Bhd</v>
          </cell>
          <cell r="T988" t="str">
            <v>Functioning</v>
          </cell>
          <cell r="U988" t="str">
            <v>Asset</v>
          </cell>
          <cell r="V988">
            <v>4510</v>
          </cell>
          <cell r="W988" t="str">
            <v>KEW</v>
          </cell>
          <cell r="X988" t="str">
            <v>01/09/2010</v>
          </cell>
          <cell r="Y988" t="str">
            <v>KEW</v>
          </cell>
          <cell r="Z988" t="str">
            <v>16/08/2013</v>
          </cell>
          <cell r="AA988" t="str">
            <v>15/08/2015</v>
          </cell>
          <cell r="AB988" t="str">
            <v>No</v>
          </cell>
          <cell r="AC988" t="str">
            <v>31/08/2013</v>
          </cell>
          <cell r="AD988" t="str">
            <v>Good</v>
          </cell>
          <cell r="AE988" t="str">
            <v>V1 - Existing / No Claim</v>
          </cell>
          <cell r="AF988">
            <v>42796</v>
          </cell>
          <cell r="AG988">
            <v>9.17</v>
          </cell>
          <cell r="AH988" t="str">
            <v>PPM</v>
          </cell>
          <cell r="AI988" t="str">
            <v>Strands</v>
          </cell>
          <cell r="AJ988" t="str">
            <v>Strands PW</v>
          </cell>
        </row>
        <row r="989">
          <cell r="A989" t="str">
            <v>IKN400561</v>
          </cell>
          <cell r="B989">
            <v>561</v>
          </cell>
          <cell r="C989" t="str">
            <v>Institut Kanser Negara</v>
          </cell>
          <cell r="D989" t="str">
            <v>KKM/IKN/H/13/3022</v>
          </cell>
          <cell r="E989" t="str">
            <v>10-780</v>
          </cell>
          <cell r="F989" t="str">
            <v>Centrifuges, Tabletop</v>
          </cell>
          <cell r="G989" t="str">
            <v>NM</v>
          </cell>
          <cell r="H989" t="str">
            <v>NUCLEAR MED (DIAGNOSTIC)</v>
          </cell>
          <cell r="I989" t="str">
            <v>03NM154</v>
          </cell>
          <cell r="J989" t="str">
            <v>RIA LAB</v>
          </cell>
          <cell r="K989" t="str">
            <v>BMED</v>
          </cell>
          <cell r="L989" t="str">
            <v>Normal</v>
          </cell>
          <cell r="M989" t="str">
            <v>Germany</v>
          </cell>
          <cell r="N989" t="str">
            <v>Rotofix</v>
          </cell>
          <cell r="O989" t="str">
            <v>Rotofix 32A</v>
          </cell>
          <cell r="P989" t="str">
            <v>18401</v>
          </cell>
          <cell r="Q989" t="str">
            <v>Not Applicable</v>
          </cell>
          <cell r="R989" t="str">
            <v>Hettich-Zentrifugen GmbH</v>
          </cell>
          <cell r="S989" t="str">
            <v>Biomarketing Services (M) Sdn Bhd</v>
          </cell>
          <cell r="T989" t="str">
            <v>Functioning</v>
          </cell>
          <cell r="U989" t="str">
            <v>Asset</v>
          </cell>
          <cell r="V989">
            <v>24060</v>
          </cell>
          <cell r="W989" t="str">
            <v>KEW</v>
          </cell>
          <cell r="X989" t="str">
            <v>01/09/2010</v>
          </cell>
          <cell r="Y989" t="str">
            <v>KEW</v>
          </cell>
          <cell r="Z989" t="str">
            <v>16/08/2013</v>
          </cell>
          <cell r="AA989" t="str">
            <v>15/08/2015</v>
          </cell>
          <cell r="AB989" t="str">
            <v>No</v>
          </cell>
          <cell r="AC989" t="str">
            <v>31/08/2013</v>
          </cell>
          <cell r="AD989" t="str">
            <v>Good</v>
          </cell>
          <cell r="AE989" t="str">
            <v>V1 - Existing / No Claim</v>
          </cell>
          <cell r="AF989">
            <v>42235</v>
          </cell>
          <cell r="AG989">
            <v>9.17</v>
          </cell>
          <cell r="AH989" t="str">
            <v>PPM</v>
          </cell>
          <cell r="AI989" t="str">
            <v>Strands</v>
          </cell>
          <cell r="AJ989" t="str">
            <v>Strands PW</v>
          </cell>
        </row>
        <row r="990">
          <cell r="A990" t="str">
            <v>IKN400562</v>
          </cell>
          <cell r="B990">
            <v>562</v>
          </cell>
          <cell r="C990" t="str">
            <v>Institut Kanser Negara</v>
          </cell>
          <cell r="D990" t="e">
            <v>#N/A</v>
          </cell>
          <cell r="E990" t="str">
            <v>11-134</v>
          </cell>
          <cell r="F990" t="str">
            <v>Defibrillators, External, Manual</v>
          </cell>
          <cell r="G990" t="str">
            <v>NM</v>
          </cell>
          <cell r="H990" t="str">
            <v>NUCLEAR MED (DIAGNOSTIC)</v>
          </cell>
          <cell r="I990" t="str">
            <v>03NM155</v>
          </cell>
          <cell r="J990" t="str">
            <v>STRESS LAB</v>
          </cell>
          <cell r="K990" t="str">
            <v>BMED</v>
          </cell>
          <cell r="L990" t="str">
            <v>Critical</v>
          </cell>
          <cell r="M990" t="str">
            <v>USA</v>
          </cell>
          <cell r="N990" t="str">
            <v>Responder</v>
          </cell>
          <cell r="O990" t="str">
            <v>Responder 2000</v>
          </cell>
          <cell r="P990" t="str">
            <v>3206690</v>
          </cell>
          <cell r="Q990" t="str">
            <v>Not Applicable</v>
          </cell>
          <cell r="R990" t="str">
            <v>GE Medical Systems</v>
          </cell>
          <cell r="S990" t="str">
            <v>Antah Sir Radin Sdn. Bhd.</v>
          </cell>
          <cell r="T990" t="str">
            <v>Functioning</v>
          </cell>
          <cell r="U990" t="str">
            <v>Asset</v>
          </cell>
          <cell r="V990">
            <v>45000</v>
          </cell>
          <cell r="W990" t="str">
            <v>Estimate</v>
          </cell>
          <cell r="X990" t="str">
            <v>01/09/2010</v>
          </cell>
          <cell r="Y990" t="str">
            <v>KEW</v>
          </cell>
          <cell r="Z990" t="str">
            <v>16/08/2013</v>
          </cell>
          <cell r="AA990" t="str">
            <v>15/08/2015</v>
          </cell>
          <cell r="AB990" t="str">
            <v>No</v>
          </cell>
          <cell r="AC990" t="str">
            <v>31/08/2013</v>
          </cell>
          <cell r="AD990" t="str">
            <v>Good</v>
          </cell>
          <cell r="AE990" t="str">
            <v>V1 - Existing / No Claim</v>
          </cell>
          <cell r="AF990">
            <v>42601</v>
          </cell>
          <cell r="AG990">
            <v>9.17</v>
          </cell>
          <cell r="AH990" t="str">
            <v>PPM</v>
          </cell>
          <cell r="AI990" t="str">
            <v>Strands</v>
          </cell>
          <cell r="AJ990" t="str">
            <v>Strands PW</v>
          </cell>
          <cell r="AK990" t="str">
            <v>Crash Trolley (FEMS)</v>
          </cell>
        </row>
        <row r="991">
          <cell r="A991" t="str">
            <v>IKN400563</v>
          </cell>
          <cell r="B991">
            <v>563</v>
          </cell>
          <cell r="C991" t="str">
            <v>Institut Kanser Negara</v>
          </cell>
          <cell r="D991" t="str">
            <v>KKM/IKN/H/13/2993</v>
          </cell>
          <cell r="E991" t="str">
            <v>12-660</v>
          </cell>
          <cell r="F991" t="str">
            <v>Radiation Monitors</v>
          </cell>
          <cell r="G991" t="str">
            <v>NW</v>
          </cell>
          <cell r="H991" t="str">
            <v>NUCLEAR WASTE HOLDING</v>
          </cell>
          <cell r="I991" t="str">
            <v>01NW106</v>
          </cell>
          <cell r="J991" t="str">
            <v>WASTE MEASUREMENT</v>
          </cell>
          <cell r="K991" t="str">
            <v>BMED</v>
          </cell>
          <cell r="L991" t="str">
            <v>Normal</v>
          </cell>
          <cell r="M991" t="str">
            <v>Germany</v>
          </cell>
          <cell r="N991" t="str">
            <v>MED HFC</v>
          </cell>
          <cell r="O991" t="str">
            <v>MED HFC</v>
          </cell>
          <cell r="P991" t="str">
            <v>738</v>
          </cell>
          <cell r="Q991" t="str">
            <v>Not Applicable</v>
          </cell>
          <cell r="R991" t="str">
            <v>MED Nuklear-Medizintechnik Dresden GmbH</v>
          </cell>
          <cell r="S991" t="str">
            <v/>
          </cell>
          <cell r="T991" t="str">
            <v>Functioning</v>
          </cell>
          <cell r="U991" t="str">
            <v>Asset</v>
          </cell>
          <cell r="V991">
            <v>112855</v>
          </cell>
          <cell r="W991" t="str">
            <v>KEW</v>
          </cell>
          <cell r="X991" t="str">
            <v>01/09/2010</v>
          </cell>
          <cell r="Y991" t="str">
            <v>KEW</v>
          </cell>
          <cell r="Z991" t="str">
            <v>16/08/2013</v>
          </cell>
          <cell r="AA991" t="str">
            <v>15/08/2015</v>
          </cell>
          <cell r="AB991" t="str">
            <v>No</v>
          </cell>
          <cell r="AC991" t="str">
            <v>31/08/2013</v>
          </cell>
          <cell r="AD991" t="str">
            <v>Good</v>
          </cell>
          <cell r="AE991" t="str">
            <v>V1 - Existing / No Claim</v>
          </cell>
          <cell r="AF991">
            <v>42235</v>
          </cell>
          <cell r="AG991">
            <v>9.17</v>
          </cell>
          <cell r="AH991" t="str">
            <v>PPM</v>
          </cell>
          <cell r="AI991" t="str">
            <v>package</v>
          </cell>
          <cell r="AJ991" t="str">
            <v>Proposed for V3 P1.24</v>
          </cell>
          <cell r="AK991" t="str">
            <v>Detector SN: 0753L, 0738R, 0738R, 0738L</v>
          </cell>
        </row>
        <row r="992">
          <cell r="A992" t="str">
            <v>IKN400564</v>
          </cell>
          <cell r="B992">
            <v>564</v>
          </cell>
          <cell r="C992" t="str">
            <v>Institut Kanser Negara</v>
          </cell>
          <cell r="D992" t="str">
            <v>KKM/IKN/H/13/2991</v>
          </cell>
          <cell r="E992" t="str">
            <v>12-647</v>
          </cell>
          <cell r="F992" t="str">
            <v>Physiologic Monitoring Systems, Acute Care</v>
          </cell>
          <cell r="G992" t="str">
            <v>NM</v>
          </cell>
          <cell r="H992" t="str">
            <v>NUCLEAR MED (DIAGNOSTIC)</v>
          </cell>
          <cell r="I992" t="str">
            <v>03NM155</v>
          </cell>
          <cell r="J992" t="str">
            <v>STRESS LAB</v>
          </cell>
          <cell r="K992" t="str">
            <v>BMED</v>
          </cell>
          <cell r="L992" t="str">
            <v>Normal</v>
          </cell>
          <cell r="M992" t="str">
            <v>USA</v>
          </cell>
          <cell r="N992" t="str">
            <v>Tram</v>
          </cell>
          <cell r="O992" t="str">
            <v>Transport Pro</v>
          </cell>
          <cell r="P992" t="str">
            <v>SCS12367503GA</v>
          </cell>
          <cell r="Q992" t="str">
            <v>Not Applicable</v>
          </cell>
          <cell r="R992" t="str">
            <v>GE Medical Systems</v>
          </cell>
          <cell r="S992" t="str">
            <v>GE Healthcare Technologies</v>
          </cell>
          <cell r="T992" t="str">
            <v>Functioning</v>
          </cell>
          <cell r="U992" t="str">
            <v>Asset</v>
          </cell>
          <cell r="V992">
            <v>54100</v>
          </cell>
          <cell r="W992" t="str">
            <v>KEW</v>
          </cell>
          <cell r="X992" t="str">
            <v>01/09/2010</v>
          </cell>
          <cell r="Y992" t="str">
            <v>KEW</v>
          </cell>
          <cell r="Z992" t="str">
            <v>16/08/2013</v>
          </cell>
          <cell r="AA992" t="str">
            <v>15/08/2015</v>
          </cell>
          <cell r="AB992" t="str">
            <v>No</v>
          </cell>
          <cell r="AC992" t="str">
            <v>31/08/2013</v>
          </cell>
          <cell r="AD992" t="str">
            <v>Good</v>
          </cell>
          <cell r="AE992" t="str">
            <v>V1 - Existing / No Claim</v>
          </cell>
          <cell r="AF992">
            <v>42235</v>
          </cell>
          <cell r="AG992">
            <v>9.17</v>
          </cell>
          <cell r="AH992" t="str">
            <v>PPM</v>
          </cell>
          <cell r="AI992" t="str">
            <v>Strands</v>
          </cell>
          <cell r="AJ992" t="str">
            <v>Strands PW</v>
          </cell>
        </row>
        <row r="993">
          <cell r="A993" t="str">
            <v>IKN400565</v>
          </cell>
          <cell r="B993">
            <v>565</v>
          </cell>
          <cell r="C993" t="str">
            <v>Institut Kanser Negara</v>
          </cell>
          <cell r="D993" t="str">
            <v>KKM/IKN/H/13/2990</v>
          </cell>
          <cell r="E993" t="str">
            <v>12-649</v>
          </cell>
          <cell r="F993" t="str">
            <v>Physiologic Monitoring Systems, Stress Exercise</v>
          </cell>
          <cell r="G993" t="str">
            <v>NM</v>
          </cell>
          <cell r="H993" t="str">
            <v>NUCLEAR MED (DIAGNOSTIC)</v>
          </cell>
          <cell r="I993" t="str">
            <v>03NM155</v>
          </cell>
          <cell r="J993" t="str">
            <v>STRESS LAB</v>
          </cell>
          <cell r="K993" t="str">
            <v>BMED</v>
          </cell>
          <cell r="L993" t="str">
            <v>Critical</v>
          </cell>
          <cell r="M993" t="str">
            <v>Mexico</v>
          </cell>
          <cell r="N993" t="str">
            <v>GE</v>
          </cell>
          <cell r="O993" t="str">
            <v>Case Stress Test System</v>
          </cell>
          <cell r="P993" t="str">
            <v>SHS 12331143 SA</v>
          </cell>
          <cell r="Q993" t="str">
            <v>Not Applicable</v>
          </cell>
          <cell r="R993" t="str">
            <v>GE Healthcare Systems</v>
          </cell>
          <cell r="S993" t="str">
            <v>GE Healthcare Technologies</v>
          </cell>
          <cell r="T993" t="str">
            <v>Functioning</v>
          </cell>
          <cell r="U993" t="str">
            <v>Asset</v>
          </cell>
          <cell r="V993">
            <v>138350</v>
          </cell>
          <cell r="W993" t="str">
            <v>KEW</v>
          </cell>
          <cell r="X993" t="str">
            <v>01/09/2010</v>
          </cell>
          <cell r="Y993" t="str">
            <v>KEW</v>
          </cell>
          <cell r="Z993" t="str">
            <v>16/08/2013</v>
          </cell>
          <cell r="AA993" t="str">
            <v>15/08/2015</v>
          </cell>
          <cell r="AB993" t="str">
            <v>No</v>
          </cell>
          <cell r="AC993" t="str">
            <v>31/08/2013</v>
          </cell>
          <cell r="AD993" t="str">
            <v>Good</v>
          </cell>
          <cell r="AE993" t="str">
            <v>V1 - Existing / No Claim</v>
          </cell>
          <cell r="AF993">
            <v>42796</v>
          </cell>
          <cell r="AG993">
            <v>9.17</v>
          </cell>
          <cell r="AH993" t="str">
            <v>PPM</v>
          </cell>
          <cell r="AI993" t="str">
            <v>Strands</v>
          </cell>
          <cell r="AJ993" t="str">
            <v>Strands Package</v>
          </cell>
          <cell r="AK993" t="str">
            <v>Package Code MN0013</v>
          </cell>
        </row>
        <row r="994">
          <cell r="A994" t="str">
            <v>IKN400567</v>
          </cell>
          <cell r="B994">
            <v>567</v>
          </cell>
          <cell r="C994" t="str">
            <v>Institut Kanser Negara</v>
          </cell>
          <cell r="D994" t="str">
            <v>KKM/IKN/H/13/3796</v>
          </cell>
          <cell r="E994" t="str">
            <v>15-944</v>
          </cell>
          <cell r="F994" t="str">
            <v>Cameras, Gamma</v>
          </cell>
          <cell r="G994" t="str">
            <v>NM</v>
          </cell>
          <cell r="H994" t="str">
            <v>NUCLEAR MED (DIAGNOSTIC)</v>
          </cell>
          <cell r="I994" t="str">
            <v>03NM164</v>
          </cell>
          <cell r="J994" t="str">
            <v>GAMMA CAMERA 2 (-VE)</v>
          </cell>
          <cell r="K994" t="str">
            <v>BMED</v>
          </cell>
          <cell r="L994" t="str">
            <v>Normal</v>
          </cell>
          <cell r="M994" t="str">
            <v>The Netherlands</v>
          </cell>
          <cell r="N994" t="str">
            <v>Brightview</v>
          </cell>
          <cell r="O994" t="str">
            <v>Brightview</v>
          </cell>
          <cell r="P994" t="str">
            <v>11340004</v>
          </cell>
          <cell r="Q994" t="str">
            <v>Not Applicable</v>
          </cell>
          <cell r="R994" t="str">
            <v>Philips Medical Systems</v>
          </cell>
          <cell r="S994" t="str">
            <v>Advance Altimas Sdn Bhd</v>
          </cell>
          <cell r="T994" t="str">
            <v>Functioning</v>
          </cell>
          <cell r="U994" t="str">
            <v>Asset</v>
          </cell>
          <cell r="V994">
            <v>3191750</v>
          </cell>
          <cell r="W994" t="str">
            <v>KEW</v>
          </cell>
          <cell r="X994" t="str">
            <v>01/09/2010</v>
          </cell>
          <cell r="Y994" t="str">
            <v>KEW</v>
          </cell>
          <cell r="Z994" t="str">
            <v>16/08/2013</v>
          </cell>
          <cell r="AA994" t="str">
            <v>15/08/2015</v>
          </cell>
          <cell r="AB994" t="str">
            <v>No</v>
          </cell>
          <cell r="AC994" t="str">
            <v>31/08/2013</v>
          </cell>
          <cell r="AD994" t="str">
            <v>Good</v>
          </cell>
          <cell r="AE994" t="str">
            <v>V1 - Existing / No Claim</v>
          </cell>
          <cell r="AF994">
            <v>42235</v>
          </cell>
          <cell r="AG994">
            <v>9.17</v>
          </cell>
          <cell r="AH994" t="str">
            <v>PPM</v>
          </cell>
          <cell r="AI994" t="str">
            <v>Strands</v>
          </cell>
          <cell r="AJ994" t="str">
            <v>Strands Package</v>
          </cell>
          <cell r="AK994" t="str">
            <v>Package Code XK0001B</v>
          </cell>
        </row>
        <row r="995">
          <cell r="A995" t="str">
            <v>IKN400568</v>
          </cell>
          <cell r="B995">
            <v>568</v>
          </cell>
          <cell r="C995" t="str">
            <v>Institut Kanser Negara</v>
          </cell>
          <cell r="D995" t="str">
            <v>KKM/IKN/H/13/2962</v>
          </cell>
          <cell r="E995" t="str">
            <v>12-282</v>
          </cell>
          <cell r="F995" t="str">
            <v>Lights, Surgical</v>
          </cell>
          <cell r="G995" t="str">
            <v>NM</v>
          </cell>
          <cell r="H995" t="str">
            <v>NUCLEAR MED (DIAGNOSTIC)</v>
          </cell>
          <cell r="I995" t="str">
            <v>03NM182</v>
          </cell>
          <cell r="J995" t="str">
            <v>C/E 5 (VE)</v>
          </cell>
          <cell r="K995" t="str">
            <v>BMED</v>
          </cell>
          <cell r="L995" t="str">
            <v>Normal</v>
          </cell>
          <cell r="M995" t="str">
            <v>USA</v>
          </cell>
          <cell r="N995" t="str">
            <v>Welch Allyn</v>
          </cell>
          <cell r="O995" t="str">
            <v>Welch Allyn GS600</v>
          </cell>
          <cell r="P995" t="str">
            <v>GS-600-14</v>
          </cell>
          <cell r="Q995" t="str">
            <v>Not Applicable</v>
          </cell>
          <cell r="R995" t="str">
            <v>Welch Allyn Inc</v>
          </cell>
          <cell r="S995" t="str">
            <v>Welch Allyn Malaysia Sdn Bhd</v>
          </cell>
          <cell r="T995" t="str">
            <v>Functioning</v>
          </cell>
          <cell r="U995" t="str">
            <v>Asset</v>
          </cell>
          <cell r="V995">
            <v>5050</v>
          </cell>
          <cell r="W995" t="str">
            <v>KEW</v>
          </cell>
          <cell r="X995" t="str">
            <v>01/09/2010</v>
          </cell>
          <cell r="Y995" t="str">
            <v>KEW</v>
          </cell>
          <cell r="Z995" t="str">
            <v>16/08/2013</v>
          </cell>
          <cell r="AA995" t="str">
            <v>15/08/2015</v>
          </cell>
          <cell r="AB995" t="str">
            <v>No</v>
          </cell>
          <cell r="AC995" t="str">
            <v>31/08/2013</v>
          </cell>
          <cell r="AD995" t="str">
            <v>Good</v>
          </cell>
          <cell r="AE995" t="str">
            <v>V1 - Existing / No Claim</v>
          </cell>
          <cell r="AF995">
            <v>42235</v>
          </cell>
          <cell r="AG995">
            <v>9.17</v>
          </cell>
          <cell r="AH995" t="str">
            <v>PPM</v>
          </cell>
          <cell r="AI995" t="str">
            <v>Strands</v>
          </cell>
          <cell r="AJ995" t="str">
            <v>Strands PW</v>
          </cell>
        </row>
        <row r="996">
          <cell r="A996" t="str">
            <v>IKN400570</v>
          </cell>
          <cell r="B996">
            <v>570</v>
          </cell>
          <cell r="C996" t="str">
            <v>Institut Kanser Negara</v>
          </cell>
          <cell r="D996" t="str">
            <v>KKM/IKN/H/13/2963</v>
          </cell>
          <cell r="E996" t="str">
            <v>12-282</v>
          </cell>
          <cell r="F996" t="str">
            <v>Lights, Surgical</v>
          </cell>
          <cell r="G996" t="str">
            <v>NM</v>
          </cell>
          <cell r="H996" t="str">
            <v>NUCLEAR MED (DIAGNOSTIC)</v>
          </cell>
          <cell r="I996" t="str">
            <v>03NM183</v>
          </cell>
          <cell r="J996" t="str">
            <v>C/E 4 (VE)</v>
          </cell>
          <cell r="K996" t="str">
            <v>BMED</v>
          </cell>
          <cell r="L996" t="str">
            <v>Normal</v>
          </cell>
          <cell r="M996" t="str">
            <v>USA</v>
          </cell>
          <cell r="N996" t="str">
            <v>Welch Allyn</v>
          </cell>
          <cell r="O996" t="str">
            <v>Welch Allyn GS600</v>
          </cell>
          <cell r="P996" t="str">
            <v>GS-600-15</v>
          </cell>
          <cell r="Q996" t="str">
            <v>Not Applicable</v>
          </cell>
          <cell r="R996" t="str">
            <v>Welch Allyn Inc</v>
          </cell>
          <cell r="S996" t="str">
            <v>Welch Allyn Malaysia Sdn Bhd</v>
          </cell>
          <cell r="T996" t="str">
            <v>Functioning</v>
          </cell>
          <cell r="U996" t="str">
            <v>Asset</v>
          </cell>
          <cell r="V996">
            <v>5050</v>
          </cell>
          <cell r="W996" t="str">
            <v>KEW</v>
          </cell>
          <cell r="X996" t="str">
            <v>01/09/2010</v>
          </cell>
          <cell r="Y996" t="str">
            <v>KEW</v>
          </cell>
          <cell r="Z996" t="str">
            <v>16/08/2013</v>
          </cell>
          <cell r="AA996" t="str">
            <v>15/08/2015</v>
          </cell>
          <cell r="AB996" t="str">
            <v>No</v>
          </cell>
          <cell r="AC996" t="str">
            <v>31/08/2013</v>
          </cell>
          <cell r="AD996" t="str">
            <v>Good</v>
          </cell>
          <cell r="AE996" t="str">
            <v>V1 - Existing / No Claim</v>
          </cell>
          <cell r="AF996">
            <v>42235</v>
          </cell>
          <cell r="AG996">
            <v>9.17</v>
          </cell>
          <cell r="AH996" t="str">
            <v>PPM</v>
          </cell>
          <cell r="AI996" t="str">
            <v>Strands</v>
          </cell>
          <cell r="AJ996" t="str">
            <v>Strands PW</v>
          </cell>
        </row>
        <row r="997">
          <cell r="A997" t="str">
            <v>IKN400571</v>
          </cell>
          <cell r="B997">
            <v>571</v>
          </cell>
          <cell r="C997" t="str">
            <v>Institut Kanser Negara</v>
          </cell>
          <cell r="D997" t="str">
            <v>KKM/IKN/H/13/3013</v>
          </cell>
          <cell r="E997" t="str">
            <v>16-173</v>
          </cell>
          <cell r="F997" t="str">
            <v>Sphygmomanometers, Electronic, Automatic</v>
          </cell>
          <cell r="G997" t="str">
            <v>NM</v>
          </cell>
          <cell r="H997" t="str">
            <v>NUCLEAR MED (DIAGNOSTIC)</v>
          </cell>
          <cell r="I997" t="str">
            <v>03NM183</v>
          </cell>
          <cell r="J997" t="str">
            <v>C/E 4 (VE)</v>
          </cell>
          <cell r="K997" t="str">
            <v>BMED</v>
          </cell>
          <cell r="L997" t="str">
            <v>Normal</v>
          </cell>
          <cell r="M997" t="str">
            <v>USA</v>
          </cell>
          <cell r="N997" t="str">
            <v>Connex</v>
          </cell>
          <cell r="O997" t="str">
            <v>Connex ProBP 3400</v>
          </cell>
          <cell r="P997" t="str">
            <v>100001920213</v>
          </cell>
          <cell r="Q997" t="str">
            <v>Not Applicable</v>
          </cell>
          <cell r="R997" t="str">
            <v>Welch Allyn Inc</v>
          </cell>
          <cell r="S997" t="str">
            <v>Welch Allyn Malaysia Sdn Bhd</v>
          </cell>
          <cell r="T997" t="str">
            <v>Functioning</v>
          </cell>
          <cell r="U997" t="str">
            <v>Asset</v>
          </cell>
          <cell r="V997">
            <v>336</v>
          </cell>
          <cell r="W997" t="str">
            <v>KEW</v>
          </cell>
          <cell r="X997" t="str">
            <v>01/09/2010</v>
          </cell>
          <cell r="Y997" t="str">
            <v>KEW</v>
          </cell>
          <cell r="Z997" t="str">
            <v>16/08/2013</v>
          </cell>
          <cell r="AA997" t="str">
            <v>15/08/2015</v>
          </cell>
          <cell r="AB997" t="str">
            <v>No</v>
          </cell>
          <cell r="AC997" t="str">
            <v>31/08/2013</v>
          </cell>
          <cell r="AD997" t="str">
            <v>Good</v>
          </cell>
          <cell r="AE997" t="str">
            <v>V1 - Existing / No Claim</v>
          </cell>
          <cell r="AF997">
            <v>42235</v>
          </cell>
          <cell r="AG997">
            <v>9.17</v>
          </cell>
          <cell r="AH997" t="str">
            <v>PPM</v>
          </cell>
          <cell r="AI997" t="str">
            <v>Strands</v>
          </cell>
          <cell r="AJ997" t="str">
            <v>Strands PW</v>
          </cell>
        </row>
        <row r="998">
          <cell r="A998" t="str">
            <v>IKN400573</v>
          </cell>
          <cell r="B998">
            <v>573</v>
          </cell>
          <cell r="C998" t="str">
            <v>Institut Kanser Negara</v>
          </cell>
          <cell r="D998" t="str">
            <v>KKM/IKN/H/13/3014</v>
          </cell>
          <cell r="E998" t="str">
            <v>16-173</v>
          </cell>
          <cell r="F998" t="str">
            <v>Sphygmomanometers, Electronic, Automatic</v>
          </cell>
          <cell r="G998" t="str">
            <v>NM</v>
          </cell>
          <cell r="H998" t="str">
            <v>NUCLEAR MED (DIAGNOSTIC)</v>
          </cell>
          <cell r="I998" t="str">
            <v>03NM184</v>
          </cell>
          <cell r="J998" t="str">
            <v>C/E 3 (VE)</v>
          </cell>
          <cell r="K998" t="str">
            <v>BMED</v>
          </cell>
          <cell r="L998" t="str">
            <v>Normal</v>
          </cell>
          <cell r="M998" t="str">
            <v>USA</v>
          </cell>
          <cell r="N998" t="str">
            <v>Connex</v>
          </cell>
          <cell r="O998" t="str">
            <v>Connex ProBP 3400</v>
          </cell>
          <cell r="P998" t="str">
            <v>100003410213</v>
          </cell>
          <cell r="Q998" t="str">
            <v>Not Applicable</v>
          </cell>
          <cell r="R998" t="str">
            <v>Welch Allyn Inc</v>
          </cell>
          <cell r="S998" t="str">
            <v>Welch Allyn Malaysia Sdn Bhd</v>
          </cell>
          <cell r="T998" t="str">
            <v>Functioning</v>
          </cell>
          <cell r="U998" t="str">
            <v>Asset</v>
          </cell>
          <cell r="V998">
            <v>336</v>
          </cell>
          <cell r="W998" t="str">
            <v>KEW</v>
          </cell>
          <cell r="X998" t="str">
            <v>01/09/2010</v>
          </cell>
          <cell r="Y998" t="str">
            <v>KEW</v>
          </cell>
          <cell r="Z998" t="str">
            <v>16/08/2013</v>
          </cell>
          <cell r="AA998" t="str">
            <v>15/08/2015</v>
          </cell>
          <cell r="AB998" t="str">
            <v>No</v>
          </cell>
          <cell r="AC998" t="str">
            <v>31/08/2013</v>
          </cell>
          <cell r="AD998" t="str">
            <v>Good</v>
          </cell>
          <cell r="AE998" t="str">
            <v>V1 - Existing / No Claim</v>
          </cell>
          <cell r="AF998">
            <v>42235</v>
          </cell>
          <cell r="AG998">
            <v>9.17</v>
          </cell>
          <cell r="AH998" t="str">
            <v>PPM</v>
          </cell>
          <cell r="AI998" t="str">
            <v>Strands</v>
          </cell>
          <cell r="AJ998" t="str">
            <v>Strands PW</v>
          </cell>
        </row>
        <row r="999">
          <cell r="A999" t="str">
            <v>IKN400575</v>
          </cell>
          <cell r="B999">
            <v>575</v>
          </cell>
          <cell r="C999" t="str">
            <v>Institut Kanser Negara</v>
          </cell>
          <cell r="D999" t="str">
            <v>KKM/IKN/H/13/3856</v>
          </cell>
          <cell r="E999" t="str">
            <v>16-173</v>
          </cell>
          <cell r="F999" t="str">
            <v>Sphygmomanometers, Electronic, Automatic</v>
          </cell>
          <cell r="G999" t="str">
            <v>NM</v>
          </cell>
          <cell r="H999" t="str">
            <v>NUCLEAR MED (DIAGNOSTIC)</v>
          </cell>
          <cell r="I999" t="str">
            <v>03NM185</v>
          </cell>
          <cell r="J999" t="str">
            <v>C/E 2 (VE)</v>
          </cell>
          <cell r="K999" t="str">
            <v>BMED</v>
          </cell>
          <cell r="L999" t="str">
            <v>Normal</v>
          </cell>
          <cell r="M999" t="str">
            <v>USA</v>
          </cell>
          <cell r="N999" t="str">
            <v>Connex</v>
          </cell>
          <cell r="O999" t="str">
            <v>Connex ProBP 3400</v>
          </cell>
          <cell r="P999" t="str">
            <v>100043722314</v>
          </cell>
          <cell r="Q999" t="str">
            <v>Not Applicable</v>
          </cell>
          <cell r="R999" t="str">
            <v>Welch Allyn Inc</v>
          </cell>
          <cell r="S999" t="str">
            <v>Welch Allyn Malaysia Sdn Bhd</v>
          </cell>
          <cell r="T999" t="str">
            <v>Functioning</v>
          </cell>
          <cell r="U999" t="str">
            <v>Asset</v>
          </cell>
          <cell r="V999">
            <v>336</v>
          </cell>
          <cell r="W999" t="str">
            <v>KEW</v>
          </cell>
          <cell r="X999" t="str">
            <v>01/09/2010</v>
          </cell>
          <cell r="Y999" t="str">
            <v>KEW</v>
          </cell>
          <cell r="Z999" t="str">
            <v>16/08/2013</v>
          </cell>
          <cell r="AA999" t="str">
            <v>15/08/2015</v>
          </cell>
          <cell r="AB999" t="str">
            <v>No</v>
          </cell>
          <cell r="AC999" t="str">
            <v>31/08/2013</v>
          </cell>
          <cell r="AD999" t="str">
            <v>Good</v>
          </cell>
          <cell r="AE999" t="str">
            <v>V1 - Existing / No Claim</v>
          </cell>
          <cell r="AF999">
            <v>42235</v>
          </cell>
          <cell r="AG999">
            <v>9.17</v>
          </cell>
          <cell r="AH999" t="str">
            <v>PPM</v>
          </cell>
          <cell r="AI999" t="str">
            <v>Strands</v>
          </cell>
          <cell r="AJ999" t="str">
            <v>Strands PW</v>
          </cell>
        </row>
        <row r="1000">
          <cell r="A1000" t="str">
            <v>IKN400577</v>
          </cell>
          <cell r="B1000">
            <v>577</v>
          </cell>
          <cell r="C1000" t="str">
            <v>Institut Kanser Negara</v>
          </cell>
          <cell r="D1000" t="str">
            <v>KKM/IKN/H/13/3015</v>
          </cell>
          <cell r="E1000" t="str">
            <v>16-173</v>
          </cell>
          <cell r="F1000" t="str">
            <v>Sphygmomanometers, Electronic, Automatic</v>
          </cell>
          <cell r="G1000" t="str">
            <v>NM</v>
          </cell>
          <cell r="H1000" t="str">
            <v>NUCLEAR MED (DIAGNOSTIC)</v>
          </cell>
          <cell r="I1000" t="str">
            <v>03NM186</v>
          </cell>
          <cell r="J1000" t="str">
            <v>C/E 1 (VE)</v>
          </cell>
          <cell r="K1000" t="str">
            <v>BMED</v>
          </cell>
          <cell r="L1000" t="str">
            <v>Normal</v>
          </cell>
          <cell r="M1000" t="str">
            <v>USA</v>
          </cell>
          <cell r="N1000" t="str">
            <v>Connex</v>
          </cell>
          <cell r="O1000" t="str">
            <v>Connex ProBP 3400</v>
          </cell>
          <cell r="P1000" t="str">
            <v>100001880413</v>
          </cell>
          <cell r="Q1000" t="str">
            <v>Not Applicable</v>
          </cell>
          <cell r="R1000" t="str">
            <v>Welch Allyn Inc</v>
          </cell>
          <cell r="S1000" t="str">
            <v>Welch Allyn Malaysia Sdn Bhd</v>
          </cell>
          <cell r="T1000" t="str">
            <v>Functioning</v>
          </cell>
          <cell r="U1000" t="str">
            <v>Asset</v>
          </cell>
          <cell r="V1000">
            <v>336</v>
          </cell>
          <cell r="W1000" t="str">
            <v>KEW</v>
          </cell>
          <cell r="X1000" t="str">
            <v>01/09/2010</v>
          </cell>
          <cell r="Y1000" t="str">
            <v>KEW</v>
          </cell>
          <cell r="Z1000" t="str">
            <v>16/08/2013</v>
          </cell>
          <cell r="AA1000" t="str">
            <v>15/08/2015</v>
          </cell>
          <cell r="AB1000" t="str">
            <v>No</v>
          </cell>
          <cell r="AC1000" t="str">
            <v>31/08/2013</v>
          </cell>
          <cell r="AD1000" t="str">
            <v>Good</v>
          </cell>
          <cell r="AE1000" t="str">
            <v>V1 - Existing / No Claim</v>
          </cell>
          <cell r="AF1000">
            <v>42235</v>
          </cell>
          <cell r="AG1000">
            <v>9.17</v>
          </cell>
          <cell r="AH1000" t="str">
            <v>PPM</v>
          </cell>
          <cell r="AI1000" t="str">
            <v>Strands</v>
          </cell>
          <cell r="AJ1000" t="str">
            <v>Strands PW</v>
          </cell>
        </row>
        <row r="1001">
          <cell r="A1001" t="str">
            <v>IKN400579</v>
          </cell>
          <cell r="B1001">
            <v>579</v>
          </cell>
          <cell r="C1001" t="str">
            <v>Institut Kanser Negara</v>
          </cell>
          <cell r="D1001" t="str">
            <v>KKM/IKN/H/13/2768</v>
          </cell>
          <cell r="E1001" t="str">
            <v>12-660</v>
          </cell>
          <cell r="F1001" t="str">
            <v>Radiation Monitors</v>
          </cell>
          <cell r="G1001" t="str">
            <v>NW</v>
          </cell>
          <cell r="H1001" t="str">
            <v>NUCLEAR WASTE HOLDING</v>
          </cell>
          <cell r="I1001" t="str">
            <v>01NW105</v>
          </cell>
          <cell r="J1001" t="str">
            <v>SHORT LIFE WASTE STORAGE</v>
          </cell>
          <cell r="K1001" t="str">
            <v>BMED</v>
          </cell>
          <cell r="L1001" t="str">
            <v>Normal</v>
          </cell>
          <cell r="M1001" t="str">
            <v>Germany</v>
          </cell>
          <cell r="N1001" t="str">
            <v>CoMo</v>
          </cell>
          <cell r="O1001" t="str">
            <v>CoMo 170</v>
          </cell>
          <cell r="P1001" t="str">
            <v>5062DL</v>
          </cell>
          <cell r="Q1001" t="str">
            <v>Not Applicable</v>
          </cell>
          <cell r="R1001" t="str">
            <v>MED Nuklear-Medizintechnik Dresden GmbH</v>
          </cell>
          <cell r="S1001" t="str">
            <v>Bell Comm Technologies Sdn Bhd</v>
          </cell>
          <cell r="T1001" t="str">
            <v>Functioning</v>
          </cell>
          <cell r="U1001" t="str">
            <v>Asset</v>
          </cell>
          <cell r="V1001">
            <v>23270</v>
          </cell>
          <cell r="W1001" t="str">
            <v>KEW</v>
          </cell>
          <cell r="X1001" t="str">
            <v>01/09/2010</v>
          </cell>
          <cell r="Y1001" t="str">
            <v>KEW</v>
          </cell>
          <cell r="Z1001" t="str">
            <v>16/08/2013</v>
          </cell>
          <cell r="AA1001" t="str">
            <v>15/08/2015</v>
          </cell>
          <cell r="AB1001" t="str">
            <v>No</v>
          </cell>
          <cell r="AC1001" t="str">
            <v>31/08/2013</v>
          </cell>
          <cell r="AD1001" t="str">
            <v>Good</v>
          </cell>
          <cell r="AE1001" t="str">
            <v>V1 - Existing / No Claim</v>
          </cell>
          <cell r="AF1001">
            <v>43496</v>
          </cell>
          <cell r="AG1001">
            <v>9.17</v>
          </cell>
          <cell r="AH1001" t="str">
            <v>PPM</v>
          </cell>
          <cell r="AI1001" t="str">
            <v>Strands</v>
          </cell>
          <cell r="AJ1001" t="str">
            <v>Strands PW</v>
          </cell>
        </row>
        <row r="1002">
          <cell r="A1002" t="str">
            <v>IKN400580</v>
          </cell>
          <cell r="B1002">
            <v>580</v>
          </cell>
          <cell r="C1002" t="str">
            <v>Institut Kanser Negara</v>
          </cell>
          <cell r="D1002" t="str">
            <v>KKM/IKN/H/13/2966</v>
          </cell>
          <cell r="E1002" t="str">
            <v>12-282</v>
          </cell>
          <cell r="F1002" t="str">
            <v>Lights, Surgical</v>
          </cell>
          <cell r="G1002" t="str">
            <v>NM</v>
          </cell>
          <cell r="H1002" t="str">
            <v>NUCLEAR MED (DIAGNOSTIC)</v>
          </cell>
          <cell r="I1002" t="str">
            <v>03NM186</v>
          </cell>
          <cell r="J1002" t="str">
            <v>C/E 1 (VE)</v>
          </cell>
          <cell r="K1002" t="str">
            <v>BMED</v>
          </cell>
          <cell r="L1002" t="str">
            <v>Normal</v>
          </cell>
          <cell r="M1002" t="str">
            <v>USA</v>
          </cell>
          <cell r="N1002" t="str">
            <v>Welch Allyn</v>
          </cell>
          <cell r="O1002" t="str">
            <v>Welch Allyn GS600</v>
          </cell>
          <cell r="P1002" t="str">
            <v>GS-600-18</v>
          </cell>
          <cell r="Q1002" t="str">
            <v>Not Applicable</v>
          </cell>
          <cell r="R1002" t="str">
            <v>Welch Allyn Inc</v>
          </cell>
          <cell r="S1002" t="str">
            <v>Welch Allyn Malaysia Sdn Bhd</v>
          </cell>
          <cell r="T1002" t="str">
            <v>Functioning</v>
          </cell>
          <cell r="U1002" t="str">
            <v>Asset</v>
          </cell>
          <cell r="V1002">
            <v>5050</v>
          </cell>
          <cell r="W1002" t="str">
            <v>KEW</v>
          </cell>
          <cell r="X1002" t="str">
            <v>01/09/2010</v>
          </cell>
          <cell r="Y1002" t="str">
            <v>KEW</v>
          </cell>
          <cell r="Z1002" t="str">
            <v>16/08/2013</v>
          </cell>
          <cell r="AA1002" t="str">
            <v>15/08/2015</v>
          </cell>
          <cell r="AB1002" t="str">
            <v>No</v>
          </cell>
          <cell r="AC1002" t="str">
            <v>31/08/2013</v>
          </cell>
          <cell r="AD1002" t="str">
            <v>Good</v>
          </cell>
          <cell r="AE1002" t="str">
            <v>V1 - Existing / No Claim</v>
          </cell>
          <cell r="AF1002">
            <v>42235</v>
          </cell>
          <cell r="AG1002">
            <v>9.17</v>
          </cell>
          <cell r="AH1002" t="str">
            <v>PPM</v>
          </cell>
          <cell r="AI1002" t="str">
            <v>Strands</v>
          </cell>
          <cell r="AJ1002" t="str">
            <v>Strands PW</v>
          </cell>
        </row>
        <row r="1003">
          <cell r="A1003" t="str">
            <v>IKN400581</v>
          </cell>
          <cell r="B1003">
            <v>581</v>
          </cell>
          <cell r="C1003" t="str">
            <v>Institut Kanser Negara</v>
          </cell>
          <cell r="D1003" t="str">
            <v>KKM/IKN/H/13/2965</v>
          </cell>
          <cell r="E1003" t="str">
            <v>12-282</v>
          </cell>
          <cell r="F1003" t="str">
            <v>Lights, Surgical</v>
          </cell>
          <cell r="G1003" t="str">
            <v>NM</v>
          </cell>
          <cell r="H1003" t="str">
            <v>NUCLEAR MED (DIAGNOSTIC)</v>
          </cell>
          <cell r="I1003" t="str">
            <v>03NM185</v>
          </cell>
          <cell r="J1003" t="str">
            <v>C/E 2 (VE)</v>
          </cell>
          <cell r="K1003" t="str">
            <v>BMED</v>
          </cell>
          <cell r="L1003" t="str">
            <v>Normal</v>
          </cell>
          <cell r="M1003" t="str">
            <v>USA</v>
          </cell>
          <cell r="N1003" t="str">
            <v>Welch Allyn</v>
          </cell>
          <cell r="O1003" t="str">
            <v>Welch Allyn GS600</v>
          </cell>
          <cell r="P1003" t="str">
            <v>GS-600-17</v>
          </cell>
          <cell r="Q1003" t="str">
            <v>Not Applicable</v>
          </cell>
          <cell r="R1003" t="str">
            <v>Welch Allyn Inc</v>
          </cell>
          <cell r="S1003" t="str">
            <v>Welch Allyn Malaysia Sdn Bhd</v>
          </cell>
          <cell r="T1003" t="str">
            <v>Functioning</v>
          </cell>
          <cell r="U1003" t="str">
            <v>Asset</v>
          </cell>
          <cell r="V1003">
            <v>5050</v>
          </cell>
          <cell r="W1003" t="str">
            <v>KEW</v>
          </cell>
          <cell r="X1003" t="str">
            <v>01/09/2010</v>
          </cell>
          <cell r="Y1003" t="str">
            <v>KEW</v>
          </cell>
          <cell r="Z1003" t="str">
            <v>16/08/2013</v>
          </cell>
          <cell r="AA1003" t="str">
            <v>15/08/2015</v>
          </cell>
          <cell r="AB1003" t="str">
            <v>No</v>
          </cell>
          <cell r="AC1003" t="str">
            <v>31/08/2013</v>
          </cell>
          <cell r="AD1003" t="str">
            <v>Good</v>
          </cell>
          <cell r="AE1003" t="str">
            <v>V1 - Existing / No Claim</v>
          </cell>
          <cell r="AF1003">
            <v>42235</v>
          </cell>
          <cell r="AG1003">
            <v>9.17</v>
          </cell>
          <cell r="AH1003" t="str">
            <v>PPM</v>
          </cell>
          <cell r="AI1003" t="str">
            <v>Strands</v>
          </cell>
          <cell r="AJ1003" t="str">
            <v>Strands PW</v>
          </cell>
        </row>
        <row r="1004">
          <cell r="A1004" t="str">
            <v>IKN400582</v>
          </cell>
          <cell r="B1004">
            <v>582</v>
          </cell>
          <cell r="C1004" t="str">
            <v>Institut Kanser Negara</v>
          </cell>
          <cell r="D1004" t="str">
            <v>KKM/IKN/H/13/2964</v>
          </cell>
          <cell r="E1004" t="str">
            <v>12-282</v>
          </cell>
          <cell r="F1004" t="str">
            <v>Lights, Surgical</v>
          </cell>
          <cell r="G1004" t="str">
            <v>NM</v>
          </cell>
          <cell r="H1004" t="str">
            <v>NUCLEAR MED (DIAGNOSTIC)</v>
          </cell>
          <cell r="I1004" t="str">
            <v>03NM184</v>
          </cell>
          <cell r="J1004" t="str">
            <v>C/E 3 (VE)</v>
          </cell>
          <cell r="K1004" t="str">
            <v>BMED</v>
          </cell>
          <cell r="L1004" t="str">
            <v>Normal</v>
          </cell>
          <cell r="M1004" t="str">
            <v>USA</v>
          </cell>
          <cell r="N1004" t="str">
            <v>Welch Allyn</v>
          </cell>
          <cell r="O1004" t="str">
            <v>Welch Allyn GS600</v>
          </cell>
          <cell r="P1004" t="str">
            <v>GS-600-16</v>
          </cell>
          <cell r="Q1004" t="str">
            <v>Not Applicable</v>
          </cell>
          <cell r="R1004" t="str">
            <v>Welch Allyn Inc</v>
          </cell>
          <cell r="S1004" t="str">
            <v>Welch Allyn Malaysia Sdn Bhd</v>
          </cell>
          <cell r="T1004" t="str">
            <v>Functioning</v>
          </cell>
          <cell r="U1004" t="str">
            <v>Asset</v>
          </cell>
          <cell r="V1004">
            <v>5050</v>
          </cell>
          <cell r="W1004" t="str">
            <v>KEW</v>
          </cell>
          <cell r="X1004" t="str">
            <v>01/09/2010</v>
          </cell>
          <cell r="Y1004" t="str">
            <v>KEW</v>
          </cell>
          <cell r="Z1004" t="str">
            <v>16/08/2013</v>
          </cell>
          <cell r="AA1004" t="str">
            <v>15/08/2015</v>
          </cell>
          <cell r="AB1004" t="str">
            <v>No</v>
          </cell>
          <cell r="AC1004" t="str">
            <v>31/08/2013</v>
          </cell>
          <cell r="AD1004" t="str">
            <v>Good</v>
          </cell>
          <cell r="AE1004" t="str">
            <v>V1 - Existing / No Claim</v>
          </cell>
          <cell r="AF1004">
            <v>42235</v>
          </cell>
          <cell r="AG1004">
            <v>9.17</v>
          </cell>
          <cell r="AH1004" t="str">
            <v>PPM</v>
          </cell>
          <cell r="AI1004" t="str">
            <v>Strands</v>
          </cell>
          <cell r="AJ1004" t="str">
            <v>Strands PW</v>
          </cell>
        </row>
        <row r="1005">
          <cell r="A1005" t="str">
            <v>IKN400583</v>
          </cell>
          <cell r="B1005">
            <v>583</v>
          </cell>
          <cell r="C1005" t="str">
            <v>Institut Kanser Negara</v>
          </cell>
          <cell r="D1005" t="str">
            <v>KKM/IKN/H/13/2959</v>
          </cell>
          <cell r="E1005" t="str">
            <v>12-282</v>
          </cell>
          <cell r="F1005" t="str">
            <v>Lights, Surgical</v>
          </cell>
          <cell r="G1005" t="str">
            <v>NM</v>
          </cell>
          <cell r="H1005" t="str">
            <v>NUCLEAR MED (DIAGNOSTIC)</v>
          </cell>
          <cell r="I1005" t="str">
            <v>03NM110</v>
          </cell>
          <cell r="J1005" t="str">
            <v>VENEPUNCTURE</v>
          </cell>
          <cell r="K1005" t="str">
            <v>BMED</v>
          </cell>
          <cell r="L1005" t="str">
            <v>Normal</v>
          </cell>
          <cell r="M1005" t="str">
            <v>USA</v>
          </cell>
          <cell r="N1005" t="str">
            <v>Welch Allyn</v>
          </cell>
          <cell r="O1005" t="str">
            <v>Welch Allyn GS600</v>
          </cell>
          <cell r="P1005" t="str">
            <v>GS-600-11</v>
          </cell>
          <cell r="Q1005" t="str">
            <v>Not Applicable</v>
          </cell>
          <cell r="R1005" t="str">
            <v>Welch Allyn Inc</v>
          </cell>
          <cell r="S1005" t="str">
            <v>Welch Allyn Malaysia Sdn Bhd</v>
          </cell>
          <cell r="T1005" t="str">
            <v>Functioning</v>
          </cell>
          <cell r="U1005" t="str">
            <v>Asset</v>
          </cell>
          <cell r="V1005">
            <v>5050</v>
          </cell>
          <cell r="W1005" t="str">
            <v>KEW</v>
          </cell>
          <cell r="X1005" t="str">
            <v>01/09/2010</v>
          </cell>
          <cell r="Y1005" t="str">
            <v>KEW</v>
          </cell>
          <cell r="Z1005" t="str">
            <v>16/08/2013</v>
          </cell>
          <cell r="AA1005" t="str">
            <v>15/08/2015</v>
          </cell>
          <cell r="AB1005" t="str">
            <v>No</v>
          </cell>
          <cell r="AC1005" t="str">
            <v>31/08/2013</v>
          </cell>
          <cell r="AD1005" t="str">
            <v>Good</v>
          </cell>
          <cell r="AE1005" t="str">
            <v>V1 - Existing / No Claim</v>
          </cell>
          <cell r="AF1005">
            <v>42235</v>
          </cell>
          <cell r="AG1005">
            <v>9.17</v>
          </cell>
          <cell r="AH1005" t="str">
            <v>PPM</v>
          </cell>
          <cell r="AI1005" t="str">
            <v>Strands</v>
          </cell>
          <cell r="AJ1005" t="str">
            <v>Strands PW</v>
          </cell>
        </row>
        <row r="1006">
          <cell r="A1006" t="str">
            <v>IKN400585</v>
          </cell>
          <cell r="B1006">
            <v>585</v>
          </cell>
          <cell r="C1006" t="str">
            <v>Institut Kanser Negara</v>
          </cell>
          <cell r="D1006" t="str">
            <v>KKM/IKN/H/13/2985</v>
          </cell>
          <cell r="E1006" t="str">
            <v>25-209</v>
          </cell>
          <cell r="F1006" t="str">
            <v>Monitors, Physiologic, Vital Signs</v>
          </cell>
          <cell r="G1006" t="str">
            <v>NM</v>
          </cell>
          <cell r="H1006" t="str">
            <v>NUCLEAR MED (DIAGNOSTIC)</v>
          </cell>
          <cell r="I1006" t="str">
            <v>03NM189</v>
          </cell>
          <cell r="J1006" t="str">
            <v>GEN.STORE</v>
          </cell>
          <cell r="K1006" t="str">
            <v>BMED</v>
          </cell>
          <cell r="L1006" t="str">
            <v>Critical</v>
          </cell>
          <cell r="M1006" t="str">
            <v>Mexico</v>
          </cell>
          <cell r="N1006" t="str">
            <v>Carespace</v>
          </cell>
          <cell r="O1006" t="str">
            <v>Carescape V100</v>
          </cell>
          <cell r="P1006" t="str">
            <v>SH612450580SA</v>
          </cell>
          <cell r="Q1006" t="str">
            <v>Not Applicable</v>
          </cell>
          <cell r="R1006" t="str">
            <v>GE Healthcare Systems</v>
          </cell>
          <cell r="S1006" t="str">
            <v>GE Healthcare Technologies</v>
          </cell>
          <cell r="T1006" t="str">
            <v>Functioning</v>
          </cell>
          <cell r="U1006" t="str">
            <v>Asset</v>
          </cell>
          <cell r="V1006">
            <v>18765</v>
          </cell>
          <cell r="W1006" t="str">
            <v>KEW</v>
          </cell>
          <cell r="X1006" t="str">
            <v>01/09/2010</v>
          </cell>
          <cell r="Y1006" t="str">
            <v>KEW</v>
          </cell>
          <cell r="Z1006" t="str">
            <v>16/08/2013</v>
          </cell>
          <cell r="AA1006" t="str">
            <v>15/08/2015</v>
          </cell>
          <cell r="AB1006" t="str">
            <v>No</v>
          </cell>
          <cell r="AC1006" t="str">
            <v>31/08/2013</v>
          </cell>
          <cell r="AD1006" t="str">
            <v>Good</v>
          </cell>
          <cell r="AE1006" t="str">
            <v>V1 - Existing / No Claim</v>
          </cell>
          <cell r="AF1006">
            <v>42706</v>
          </cell>
          <cell r="AG1006">
            <v>9.17</v>
          </cell>
          <cell r="AH1006" t="str">
            <v>PPM</v>
          </cell>
          <cell r="AI1006" t="str">
            <v>Strands</v>
          </cell>
          <cell r="AJ1006" t="str">
            <v>Strands PW</v>
          </cell>
        </row>
        <row r="1007">
          <cell r="A1007" t="str">
            <v>IKN400586</v>
          </cell>
          <cell r="B1007">
            <v>586</v>
          </cell>
          <cell r="C1007" t="str">
            <v>Institut Kanser Negara</v>
          </cell>
          <cell r="D1007" t="str">
            <v>KKM/IKN/H/13/2986</v>
          </cell>
          <cell r="E1007" t="str">
            <v>17-148</v>
          </cell>
          <cell r="F1007" t="str">
            <v>Oximeters, Pulse</v>
          </cell>
          <cell r="G1007" t="str">
            <v>NM</v>
          </cell>
          <cell r="H1007" t="str">
            <v>NUCLEAR MED (DIAGNOSTIC)</v>
          </cell>
          <cell r="I1007" t="str">
            <v>03NM108</v>
          </cell>
          <cell r="J1007" t="str">
            <v>TREATMENT 1 (RAI)(VE)</v>
          </cell>
          <cell r="K1007" t="str">
            <v>BMED</v>
          </cell>
          <cell r="L1007" t="str">
            <v>Normal</v>
          </cell>
          <cell r="M1007" t="str">
            <v>Finland</v>
          </cell>
          <cell r="N1007" t="str">
            <v>Trusat</v>
          </cell>
          <cell r="O1007" t="str">
            <v>Trusat</v>
          </cell>
          <cell r="P1007" t="str">
            <v>FCC12430023Sa</v>
          </cell>
          <cell r="Q1007" t="str">
            <v>Not Applicable</v>
          </cell>
          <cell r="R1007" t="str">
            <v>GE Healthcare Systems</v>
          </cell>
          <cell r="S1007" t="str">
            <v>GE Healthcare Technologies</v>
          </cell>
          <cell r="T1007" t="str">
            <v>Functioning</v>
          </cell>
          <cell r="U1007" t="str">
            <v>Asset</v>
          </cell>
          <cell r="V1007">
            <v>11120</v>
          </cell>
          <cell r="W1007" t="str">
            <v>KEW</v>
          </cell>
          <cell r="X1007" t="str">
            <v>01/09/2010</v>
          </cell>
          <cell r="Y1007" t="str">
            <v>KEW</v>
          </cell>
          <cell r="Z1007" t="str">
            <v>16/08/2013</v>
          </cell>
          <cell r="AA1007" t="str">
            <v>15/08/2015</v>
          </cell>
          <cell r="AB1007" t="str">
            <v>No</v>
          </cell>
          <cell r="AC1007" t="str">
            <v>31/08/2013</v>
          </cell>
          <cell r="AD1007" t="str">
            <v>Good</v>
          </cell>
          <cell r="AE1007" t="str">
            <v>V1 - Existing / No Claim</v>
          </cell>
          <cell r="AF1007">
            <v>42235</v>
          </cell>
          <cell r="AG1007">
            <v>9.17</v>
          </cell>
          <cell r="AH1007" t="str">
            <v>PPM</v>
          </cell>
          <cell r="AI1007" t="str">
            <v>Strands</v>
          </cell>
          <cell r="AJ1007" t="str">
            <v>Strands PW</v>
          </cell>
        </row>
        <row r="1008">
          <cell r="A1008" t="str">
            <v>IKN400587</v>
          </cell>
          <cell r="B1008">
            <v>587</v>
          </cell>
          <cell r="C1008" t="str">
            <v>Institut Kanser Negara</v>
          </cell>
          <cell r="D1008" t="str">
            <v>KKM/IKN/H/13/3105</v>
          </cell>
          <cell r="E1008" t="str">
            <v>17-882</v>
          </cell>
          <cell r="F1008" t="str">
            <v>Defibrillator/Pacemakers, External</v>
          </cell>
          <cell r="G1008" t="str">
            <v>NM</v>
          </cell>
          <cell r="H1008" t="str">
            <v>NUCLEAR MED (DIAGNOSTIC)</v>
          </cell>
          <cell r="I1008" t="str">
            <v>03NM164</v>
          </cell>
          <cell r="J1008" t="str">
            <v>GAMMA CAMERA 2 (-VE)</v>
          </cell>
          <cell r="K1008" t="str">
            <v>BMED</v>
          </cell>
          <cell r="L1008" t="str">
            <v>Critical</v>
          </cell>
          <cell r="M1008" t="str">
            <v>Germany</v>
          </cell>
          <cell r="N1008" t="str">
            <v>HeartStart</v>
          </cell>
          <cell r="O1008" t="str">
            <v>HeartStart XL+</v>
          </cell>
          <cell r="P1008" t="str">
            <v>US91202397</v>
          </cell>
          <cell r="Q1008" t="str">
            <v>Not Applicable</v>
          </cell>
          <cell r="R1008" t="str">
            <v>Philips Medical System</v>
          </cell>
          <cell r="S1008" t="str">
            <v>Advance Altimas Sdn Bhd</v>
          </cell>
          <cell r="T1008" t="str">
            <v>Functioning</v>
          </cell>
          <cell r="U1008" t="str">
            <v>Asset</v>
          </cell>
          <cell r="V1008">
            <v>45000</v>
          </cell>
          <cell r="W1008" t="str">
            <v>Estimate</v>
          </cell>
          <cell r="X1008" t="str">
            <v>01/09/2010</v>
          </cell>
          <cell r="Y1008" t="str">
            <v>KEW</v>
          </cell>
          <cell r="Z1008" t="str">
            <v>16/08/2013</v>
          </cell>
          <cell r="AA1008" t="str">
            <v>15/08/2015</v>
          </cell>
          <cell r="AB1008" t="str">
            <v>No</v>
          </cell>
          <cell r="AC1008" t="str">
            <v>31/08/2013</v>
          </cell>
          <cell r="AD1008" t="str">
            <v>Good</v>
          </cell>
          <cell r="AE1008" t="str">
            <v>V1 - Existing / No Claim</v>
          </cell>
          <cell r="AF1008">
            <v>42601</v>
          </cell>
          <cell r="AG1008">
            <v>9.17</v>
          </cell>
          <cell r="AH1008" t="str">
            <v>PPM</v>
          </cell>
          <cell r="AI1008" t="str">
            <v>Strands</v>
          </cell>
          <cell r="AJ1008" t="str">
            <v>Strands Package</v>
          </cell>
          <cell r="AK1008" t="str">
            <v>Package Code XK0001B</v>
          </cell>
        </row>
        <row r="1009">
          <cell r="A1009" t="str">
            <v>IKN400588</v>
          </cell>
          <cell r="B1009">
            <v>588</v>
          </cell>
          <cell r="C1009" t="str">
            <v>Institut Kanser Negara</v>
          </cell>
          <cell r="D1009" t="str">
            <v>KKM/IKN/H/13/5434</v>
          </cell>
          <cell r="E1009" t="str">
            <v>12-647</v>
          </cell>
          <cell r="F1009" t="str">
            <v>Physiologic Monitoring Systems, Acute Care</v>
          </cell>
          <cell r="G1009" t="str">
            <v>NM</v>
          </cell>
          <cell r="H1009" t="str">
            <v>NUCLEAR MED (DIAGNOSTIC)</v>
          </cell>
          <cell r="I1009" t="str">
            <v>03NM164</v>
          </cell>
          <cell r="J1009" t="str">
            <v>GAMMA CAMERA 2 (-VE)</v>
          </cell>
          <cell r="K1009" t="str">
            <v>BMED</v>
          </cell>
          <cell r="L1009" t="str">
            <v>Critical</v>
          </cell>
          <cell r="M1009" t="str">
            <v>USA</v>
          </cell>
          <cell r="N1009" t="str">
            <v>Cardiac Trigger</v>
          </cell>
          <cell r="O1009" t="str">
            <v>Cardiac Trigger Monitor 3000</v>
          </cell>
          <cell r="P1009" t="str">
            <v>1109251</v>
          </cell>
          <cell r="Q1009" t="str">
            <v>Not Applicable</v>
          </cell>
          <cell r="R1009" t="str">
            <v>Ivy Biomedical Systems Inc</v>
          </cell>
          <cell r="S1009" t="str">
            <v>Advance Altimas Sdn Bhd</v>
          </cell>
          <cell r="T1009" t="str">
            <v>Functioning</v>
          </cell>
          <cell r="U1009" t="str">
            <v>Asset</v>
          </cell>
          <cell r="V1009">
            <v>20000</v>
          </cell>
          <cell r="W1009" t="str">
            <v>Estimate</v>
          </cell>
          <cell r="X1009" t="str">
            <v>01/09/2010</v>
          </cell>
          <cell r="Y1009" t="str">
            <v>KEW</v>
          </cell>
          <cell r="Z1009" t="str">
            <v>16/08/2013</v>
          </cell>
          <cell r="AA1009" t="str">
            <v>15/08/2015</v>
          </cell>
          <cell r="AB1009" t="str">
            <v>No</v>
          </cell>
          <cell r="AC1009" t="str">
            <v>31/08/2013</v>
          </cell>
          <cell r="AD1009" t="str">
            <v>Good</v>
          </cell>
          <cell r="AE1009" t="str">
            <v>V4 - Decommissioned Installed Facility</v>
          </cell>
          <cell r="AF1009">
            <v>42601</v>
          </cell>
          <cell r="AG1009">
            <v>9.17</v>
          </cell>
          <cell r="AH1009" t="str">
            <v>PPM</v>
          </cell>
          <cell r="AI1009" t="str">
            <v>Strands</v>
          </cell>
          <cell r="AJ1009" t="str">
            <v>Strands Package</v>
          </cell>
          <cell r="AK1009" t="str">
            <v>23/10/2024:tapi boleh digunakan lagiPackage Code XK0001B [22/9/2023, SHARIFAH]: PEP ON NOV 2020, BER/BEMS/AWSB/20/007 - Asset masih boleh digunakan namun asset tidak ekonomik diperbaiki lagi sekiranya rosak.</v>
          </cell>
        </row>
        <row r="1010">
          <cell r="A1010" t="str">
            <v>IKN400589</v>
          </cell>
          <cell r="B1010">
            <v>589</v>
          </cell>
          <cell r="C1010" t="str">
            <v>Institut Kanser Negara</v>
          </cell>
          <cell r="D1010" t="str">
            <v>KKM/IKN/H/13/3148</v>
          </cell>
          <cell r="E1010" t="str">
            <v>16-381</v>
          </cell>
          <cell r="F1010" t="str">
            <v>Counters, Gamma</v>
          </cell>
          <cell r="G1010" t="str">
            <v>NM</v>
          </cell>
          <cell r="H1010" t="str">
            <v>NUCLEAR MED (DIAGNOSTIC)</v>
          </cell>
          <cell r="I1010" t="str">
            <v>03NM154</v>
          </cell>
          <cell r="J1010" t="str">
            <v>RIA LAB</v>
          </cell>
          <cell r="K1010" t="str">
            <v>BMED</v>
          </cell>
          <cell r="L1010" t="str">
            <v>Normal</v>
          </cell>
          <cell r="M1010" t="str">
            <v>USA</v>
          </cell>
          <cell r="N1010" t="str">
            <v>Wizard 2</v>
          </cell>
          <cell r="O1010" t="str">
            <v>Wizard 2, 2470</v>
          </cell>
          <cell r="P1010" t="str">
            <v>DG08129516</v>
          </cell>
          <cell r="Q1010" t="str">
            <v>Not Applicable</v>
          </cell>
          <cell r="R1010" t="str">
            <v>Perkin Elmer Inc</v>
          </cell>
          <cell r="S1010" t="str">
            <v>Perkin Elmer Sdn Bhd</v>
          </cell>
          <cell r="T1010" t="str">
            <v>Functioning</v>
          </cell>
          <cell r="U1010" t="str">
            <v>Asset</v>
          </cell>
          <cell r="V1010">
            <v>144820</v>
          </cell>
          <cell r="W1010" t="str">
            <v>KEW</v>
          </cell>
          <cell r="X1010" t="str">
            <v>01/09/2010</v>
          </cell>
          <cell r="Y1010" t="str">
            <v>KEW</v>
          </cell>
          <cell r="Z1010" t="str">
            <v>16/08/2013</v>
          </cell>
          <cell r="AA1010" t="str">
            <v>15/08/2015</v>
          </cell>
          <cell r="AB1010" t="str">
            <v>No</v>
          </cell>
          <cell r="AC1010" t="str">
            <v>31/08/2013</v>
          </cell>
          <cell r="AD1010" t="str">
            <v>Good</v>
          </cell>
          <cell r="AE1010" t="str">
            <v>V1 - Existing / No Claim</v>
          </cell>
          <cell r="AF1010">
            <v>42235</v>
          </cell>
          <cell r="AG1010">
            <v>9.17</v>
          </cell>
          <cell r="AH1010" t="str">
            <v>PPM</v>
          </cell>
          <cell r="AI1010" t="str">
            <v>Strands</v>
          </cell>
          <cell r="AJ1010" t="str">
            <v>Strands PW</v>
          </cell>
        </row>
        <row r="1011">
          <cell r="A1011" t="str">
            <v>IKN400590</v>
          </cell>
          <cell r="B1011">
            <v>590</v>
          </cell>
          <cell r="C1011" t="str">
            <v>Institut Kanser Negara</v>
          </cell>
          <cell r="D1011" t="str">
            <v>KKM/IKN/H/13/3136</v>
          </cell>
          <cell r="E1011" t="str">
            <v>15-651</v>
          </cell>
          <cell r="F1011" t="str">
            <v>Stirrers</v>
          </cell>
          <cell r="G1011" t="str">
            <v>NM</v>
          </cell>
          <cell r="H1011" t="str">
            <v>NUCLEAR MED (DIAGNOSTIC)</v>
          </cell>
          <cell r="I1011" t="str">
            <v>03NM154</v>
          </cell>
          <cell r="J1011" t="str">
            <v>RIA LAB</v>
          </cell>
          <cell r="K1011" t="str">
            <v>BMED</v>
          </cell>
          <cell r="L1011" t="str">
            <v>Normal</v>
          </cell>
          <cell r="M1011" t="str">
            <v>UK</v>
          </cell>
          <cell r="N1011" t="str">
            <v>Stuart</v>
          </cell>
          <cell r="O1011" t="str">
            <v>Stuart UC152</v>
          </cell>
          <cell r="P1011" t="str">
            <v>R630000566</v>
          </cell>
          <cell r="Q1011" t="str">
            <v>Not Applicable</v>
          </cell>
          <cell r="R1011" t="str">
            <v>Stuart Scientific Co Ltd</v>
          </cell>
          <cell r="S1011" t="str">
            <v>Bumi Sains Sdn. Bhd.</v>
          </cell>
          <cell r="T1011" t="str">
            <v>Functioning</v>
          </cell>
          <cell r="U1011" t="str">
            <v>Asset</v>
          </cell>
          <cell r="V1011">
            <v>2170</v>
          </cell>
          <cell r="W1011" t="str">
            <v>KEW</v>
          </cell>
          <cell r="X1011" t="str">
            <v>01/09/2010</v>
          </cell>
          <cell r="Y1011" t="str">
            <v>KEW</v>
          </cell>
          <cell r="Z1011" t="str">
            <v>16/08/2013</v>
          </cell>
          <cell r="AA1011" t="str">
            <v>15/08/2015</v>
          </cell>
          <cell r="AB1011" t="str">
            <v>No</v>
          </cell>
          <cell r="AC1011" t="str">
            <v>31/08/2013</v>
          </cell>
          <cell r="AD1011" t="str">
            <v>Good</v>
          </cell>
          <cell r="AE1011" t="str">
            <v>V1 - Existing / No Claim</v>
          </cell>
          <cell r="AF1011">
            <v>42235</v>
          </cell>
          <cell r="AG1011">
            <v>9.17</v>
          </cell>
          <cell r="AH1011" t="str">
            <v>PPM</v>
          </cell>
          <cell r="AI1011" t="str">
            <v>Strands</v>
          </cell>
          <cell r="AJ1011" t="str">
            <v>Strands PW</v>
          </cell>
        </row>
        <row r="1012">
          <cell r="A1012" t="str">
            <v>IKN400591</v>
          </cell>
          <cell r="B1012">
            <v>591</v>
          </cell>
          <cell r="C1012" t="str">
            <v>Institut Kanser Negara</v>
          </cell>
          <cell r="D1012" t="str">
            <v>KKM/IKN/H/13/3149</v>
          </cell>
          <cell r="E1012" t="str">
            <v>16-772</v>
          </cell>
          <cell r="F1012" t="str">
            <v>Baths, Water, Shaker</v>
          </cell>
          <cell r="G1012" t="str">
            <v>NM</v>
          </cell>
          <cell r="H1012" t="str">
            <v>NUCLEAR MED (DIAGNOSTIC)</v>
          </cell>
          <cell r="I1012" t="str">
            <v>03NM154</v>
          </cell>
          <cell r="J1012" t="str">
            <v>RIA LAB</v>
          </cell>
          <cell r="K1012" t="str">
            <v>BMED</v>
          </cell>
          <cell r="L1012" t="str">
            <v>Normal</v>
          </cell>
          <cell r="M1012" t="str">
            <v>UK</v>
          </cell>
          <cell r="N1012" t="str">
            <v>Grant</v>
          </cell>
          <cell r="O1012" t="str">
            <v>Grant OLS-200</v>
          </cell>
          <cell r="P1012" t="str">
            <v>8Q1245001</v>
          </cell>
          <cell r="Q1012" t="str">
            <v>Not Applicable</v>
          </cell>
          <cell r="R1012" t="str">
            <v>Grant Instruments Ltd</v>
          </cell>
          <cell r="S1012" t="str">
            <v>Bumi Sains Sdn. Bhd.</v>
          </cell>
          <cell r="T1012" t="str">
            <v>Functioning</v>
          </cell>
          <cell r="U1012" t="str">
            <v>Asset</v>
          </cell>
          <cell r="V1012">
            <v>5900</v>
          </cell>
          <cell r="W1012" t="str">
            <v>KEW</v>
          </cell>
          <cell r="X1012" t="str">
            <v>01/09/2010</v>
          </cell>
          <cell r="Y1012" t="str">
            <v>KEW</v>
          </cell>
          <cell r="Z1012" t="str">
            <v>16/08/2013</v>
          </cell>
          <cell r="AA1012" t="str">
            <v>15/08/2015</v>
          </cell>
          <cell r="AB1012" t="str">
            <v>No</v>
          </cell>
          <cell r="AC1012" t="str">
            <v>31/08/2013</v>
          </cell>
          <cell r="AD1012" t="str">
            <v>Good</v>
          </cell>
          <cell r="AE1012" t="str">
            <v>V1 - Existing / No Claim</v>
          </cell>
          <cell r="AF1012">
            <v>42235</v>
          </cell>
          <cell r="AG1012">
            <v>9.17</v>
          </cell>
          <cell r="AH1012" t="str">
            <v>PPM</v>
          </cell>
          <cell r="AI1012" t="str">
            <v>Strands</v>
          </cell>
          <cell r="AJ1012" t="str">
            <v>Strands PW</v>
          </cell>
        </row>
        <row r="1013">
          <cell r="A1013" t="str">
            <v>IKN400592</v>
          </cell>
          <cell r="B1013">
            <v>592</v>
          </cell>
          <cell r="C1013" t="str">
            <v>Institut Kanser Negara</v>
          </cell>
          <cell r="D1013" t="str">
            <v>N/A</v>
          </cell>
          <cell r="E1013" t="str">
            <v>12-660</v>
          </cell>
          <cell r="F1013" t="str">
            <v>Radiation Monitors</v>
          </cell>
          <cell r="G1013" t="str">
            <v>NM</v>
          </cell>
          <cell r="H1013" t="str">
            <v>NUCLEAR MED (DIAGNOSTIC)</v>
          </cell>
          <cell r="I1013" t="str">
            <v>03NM166</v>
          </cell>
          <cell r="J1013" t="str">
            <v>REPORTING</v>
          </cell>
          <cell r="K1013" t="str">
            <v>BMED</v>
          </cell>
          <cell r="L1013" t="str">
            <v>Normal</v>
          </cell>
          <cell r="M1013" t="str">
            <v>USA</v>
          </cell>
          <cell r="N1013" t="str">
            <v>Ludlum</v>
          </cell>
          <cell r="O1013" t="str">
            <v>Ludlum 375P</v>
          </cell>
          <cell r="P1013" t="str">
            <v>297069</v>
          </cell>
          <cell r="Q1013" t="str">
            <v>Not Applicable</v>
          </cell>
          <cell r="R1013" t="str">
            <v>Ludlum Measurements Inc</v>
          </cell>
          <cell r="S1013" t="str">
            <v>Not Available</v>
          </cell>
          <cell r="T1013" t="str">
            <v>Functioning</v>
          </cell>
          <cell r="U1013" t="str">
            <v>Asset</v>
          </cell>
          <cell r="V1013">
            <v>25000</v>
          </cell>
          <cell r="W1013" t="str">
            <v>Estimate</v>
          </cell>
          <cell r="X1013" t="str">
            <v>01/09/2010</v>
          </cell>
          <cell r="Y1013" t="str">
            <v>KEW</v>
          </cell>
          <cell r="Z1013" t="str">
            <v>16/08/2013</v>
          </cell>
          <cell r="AA1013" t="str">
            <v>15/08/2015</v>
          </cell>
          <cell r="AB1013" t="str">
            <v>No</v>
          </cell>
          <cell r="AC1013" t="str">
            <v>31/08/2013</v>
          </cell>
          <cell r="AD1013" t="str">
            <v>Good</v>
          </cell>
          <cell r="AE1013" t="str">
            <v>V1 - Existing / No Claim</v>
          </cell>
          <cell r="AF1013">
            <v>42601</v>
          </cell>
          <cell r="AG1013">
            <v>9.17</v>
          </cell>
          <cell r="AH1013" t="str">
            <v>PPM</v>
          </cell>
          <cell r="AI1013" t="str">
            <v>Not in contract</v>
          </cell>
          <cell r="AJ1013" t="str">
            <v>CA 26/8/2024</v>
          </cell>
        </row>
        <row r="1014">
          <cell r="A1014" t="str">
            <v>IKN400593</v>
          </cell>
          <cell r="B1014">
            <v>593</v>
          </cell>
          <cell r="C1014" t="str">
            <v>Institut Kanser Negara</v>
          </cell>
          <cell r="D1014" t="str">
            <v>KKM/IKN/H/13/78</v>
          </cell>
          <cell r="E1014" t="str">
            <v>12-282</v>
          </cell>
          <cell r="F1014" t="str">
            <v>Lights, Surgical</v>
          </cell>
          <cell r="G1014" t="str">
            <v>DO</v>
          </cell>
          <cell r="H1014" t="str">
            <v>DAY ONCOLOGY UNIT</v>
          </cell>
          <cell r="I1014" t="str">
            <v>04DO105</v>
          </cell>
          <cell r="J1014" t="str">
            <v>C/E</v>
          </cell>
          <cell r="K1014" t="str">
            <v>BMED</v>
          </cell>
          <cell r="L1014" t="str">
            <v>Critical</v>
          </cell>
          <cell r="M1014" t="str">
            <v>USA</v>
          </cell>
          <cell r="N1014" t="str">
            <v>Welch Allyn</v>
          </cell>
          <cell r="O1014" t="str">
            <v>Welch Allyn GS600</v>
          </cell>
          <cell r="P1014" t="str">
            <v>GS-600-31</v>
          </cell>
          <cell r="Q1014" t="str">
            <v>Not Applicable</v>
          </cell>
          <cell r="R1014" t="str">
            <v>Welch Allyn Inc</v>
          </cell>
          <cell r="S1014" t="str">
            <v>Welch Allyn Malaysia Sdn Bhd</v>
          </cell>
          <cell r="T1014" t="str">
            <v>Functioning</v>
          </cell>
          <cell r="U1014" t="str">
            <v>Asset</v>
          </cell>
          <cell r="V1014">
            <v>5050</v>
          </cell>
          <cell r="W1014" t="str">
            <v>KEW</v>
          </cell>
          <cell r="X1014" t="str">
            <v>01/09/2010</v>
          </cell>
          <cell r="Y1014" t="str">
            <v>KEW</v>
          </cell>
          <cell r="Z1014" t="str">
            <v>16/08/2013</v>
          </cell>
          <cell r="AA1014" t="str">
            <v>15/08/2015</v>
          </cell>
          <cell r="AB1014" t="str">
            <v>No</v>
          </cell>
          <cell r="AC1014" t="str">
            <v>31/08/2013</v>
          </cell>
          <cell r="AD1014" t="str">
            <v>Good</v>
          </cell>
          <cell r="AE1014" t="str">
            <v>V1 - Existing / No Claim</v>
          </cell>
          <cell r="AF1014">
            <v>42793</v>
          </cell>
          <cell r="AG1014">
            <v>9.17</v>
          </cell>
          <cell r="AH1014" t="str">
            <v>PPM</v>
          </cell>
          <cell r="AI1014" t="str">
            <v>Strands</v>
          </cell>
          <cell r="AJ1014" t="str">
            <v>Strands PW</v>
          </cell>
        </row>
        <row r="1015">
          <cell r="A1015" t="str">
            <v>IKN400594</v>
          </cell>
          <cell r="B1015">
            <v>594</v>
          </cell>
          <cell r="C1015" t="str">
            <v>Institut Kanser Negara</v>
          </cell>
          <cell r="D1015" t="str">
            <v>KKM/IKN/H/13/1374</v>
          </cell>
          <cell r="E1015" t="str">
            <v>10-447</v>
          </cell>
          <cell r="F1015" t="str">
            <v>Warming Units, Blood/Solution</v>
          </cell>
          <cell r="G1015" t="str">
            <v>DO</v>
          </cell>
          <cell r="H1015" t="str">
            <v>DAY ONCOLOGY UNIT</v>
          </cell>
          <cell r="I1015" t="str">
            <v>04DO111</v>
          </cell>
          <cell r="J1015" t="str">
            <v>EQUIP. ROOM</v>
          </cell>
          <cell r="K1015" t="str">
            <v>BMED</v>
          </cell>
          <cell r="L1015" t="str">
            <v>Normal</v>
          </cell>
          <cell r="M1015" t="str">
            <v>Japan</v>
          </cell>
          <cell r="N1015" t="str">
            <v>Animec</v>
          </cell>
          <cell r="O1015" t="str">
            <v>Animec AM-301</v>
          </cell>
          <cell r="P1015" t="str">
            <v>2012D0056</v>
          </cell>
          <cell r="Q1015" t="str">
            <v>Not Applicable</v>
          </cell>
          <cell r="R1015" t="str">
            <v>Elltec Co Ltd</v>
          </cell>
          <cell r="S1015" t="str">
            <v>IDS Services (Malaysia) Sdn Bhd</v>
          </cell>
          <cell r="T1015" t="str">
            <v>Functioning</v>
          </cell>
          <cell r="U1015" t="str">
            <v>Asset</v>
          </cell>
          <cell r="V1015">
            <v>4990</v>
          </cell>
          <cell r="W1015" t="str">
            <v>KEW</v>
          </cell>
          <cell r="X1015" t="str">
            <v>01/09/2010</v>
          </cell>
          <cell r="Y1015" t="str">
            <v>KEW</v>
          </cell>
          <cell r="Z1015" t="str">
            <v>16/08/2013</v>
          </cell>
          <cell r="AA1015" t="str">
            <v>15/08/2015</v>
          </cell>
          <cell r="AB1015" t="str">
            <v>No</v>
          </cell>
          <cell r="AC1015" t="str">
            <v>31/08/2013</v>
          </cell>
          <cell r="AD1015" t="str">
            <v>Good</v>
          </cell>
          <cell r="AE1015" t="str">
            <v>V1 - Existing / No Claim</v>
          </cell>
          <cell r="AF1015">
            <v>42793</v>
          </cell>
          <cell r="AG1015">
            <v>9.17</v>
          </cell>
          <cell r="AH1015" t="str">
            <v>PPM</v>
          </cell>
          <cell r="AI1015" t="str">
            <v>Strands</v>
          </cell>
          <cell r="AJ1015" t="str">
            <v>Strands PW</v>
          </cell>
        </row>
        <row r="1016">
          <cell r="A1016" t="str">
            <v>IKN400595</v>
          </cell>
          <cell r="B1016">
            <v>595</v>
          </cell>
          <cell r="C1016" t="str">
            <v>Institut Kanser Negara</v>
          </cell>
          <cell r="D1016" t="str">
            <v>KKM/IKN/H/13/1372</v>
          </cell>
          <cell r="E1016" t="str">
            <v>10-447</v>
          </cell>
          <cell r="F1016" t="str">
            <v>Warming Units, Blood/Solution</v>
          </cell>
          <cell r="G1016" t="str">
            <v>DO</v>
          </cell>
          <cell r="H1016" t="str">
            <v>DAY ONCOLOGY UNIT</v>
          </cell>
          <cell r="I1016" t="str">
            <v>04DO111</v>
          </cell>
          <cell r="J1016" t="str">
            <v>EQUIP. ROOM</v>
          </cell>
          <cell r="K1016" t="str">
            <v>BMED</v>
          </cell>
          <cell r="L1016" t="str">
            <v>Normal</v>
          </cell>
          <cell r="M1016" t="str">
            <v>Japan</v>
          </cell>
          <cell r="N1016" t="str">
            <v>Animec</v>
          </cell>
          <cell r="O1016" t="str">
            <v>Animec AM-301</v>
          </cell>
          <cell r="P1016" t="str">
            <v>2013D0243</v>
          </cell>
          <cell r="Q1016" t="str">
            <v>Not Applicable</v>
          </cell>
          <cell r="R1016" t="str">
            <v>Elltec Co Ltd</v>
          </cell>
          <cell r="S1016" t="str">
            <v>IDS Services (Malaysia) Sdn Bhd</v>
          </cell>
          <cell r="T1016" t="str">
            <v>Functioning</v>
          </cell>
          <cell r="U1016" t="str">
            <v>Asset</v>
          </cell>
          <cell r="V1016">
            <v>4990</v>
          </cell>
          <cell r="W1016" t="str">
            <v>KEW</v>
          </cell>
          <cell r="X1016" t="str">
            <v>01/09/2010</v>
          </cell>
          <cell r="Y1016" t="str">
            <v>KEW</v>
          </cell>
          <cell r="Z1016" t="str">
            <v>16/08/2013</v>
          </cell>
          <cell r="AA1016" t="str">
            <v>15/08/2015</v>
          </cell>
          <cell r="AB1016" t="str">
            <v>No</v>
          </cell>
          <cell r="AC1016" t="str">
            <v>31/08/2013</v>
          </cell>
          <cell r="AD1016" t="str">
            <v>Good</v>
          </cell>
          <cell r="AE1016" t="str">
            <v>V1 - Existing / No Claim</v>
          </cell>
          <cell r="AF1016">
            <v>42793</v>
          </cell>
          <cell r="AG1016">
            <v>9.17</v>
          </cell>
          <cell r="AH1016" t="str">
            <v>PPM</v>
          </cell>
          <cell r="AI1016" t="str">
            <v>Strands</v>
          </cell>
          <cell r="AJ1016" t="str">
            <v>Strands PW</v>
          </cell>
        </row>
        <row r="1017">
          <cell r="A1017" t="str">
            <v>IKN400596</v>
          </cell>
          <cell r="B1017">
            <v>596</v>
          </cell>
          <cell r="C1017" t="str">
            <v>Institut Kanser Negara</v>
          </cell>
          <cell r="D1017" t="str">
            <v>KKM/IKN/H/13/1376</v>
          </cell>
          <cell r="E1017" t="str">
            <v>10-447</v>
          </cell>
          <cell r="F1017" t="str">
            <v>Warming Units, Blood/Solution</v>
          </cell>
          <cell r="G1017" t="str">
            <v>DO</v>
          </cell>
          <cell r="H1017" t="str">
            <v>DAY ONCOLOGY UNIT</v>
          </cell>
          <cell r="I1017" t="str">
            <v>04DO111</v>
          </cell>
          <cell r="J1017" t="str">
            <v>EQUIP. ROOM</v>
          </cell>
          <cell r="K1017" t="str">
            <v>BMED</v>
          </cell>
          <cell r="L1017" t="str">
            <v>Normal</v>
          </cell>
          <cell r="M1017" t="str">
            <v>Japan</v>
          </cell>
          <cell r="N1017" t="str">
            <v>Animec</v>
          </cell>
          <cell r="O1017" t="str">
            <v>Animec AM-301</v>
          </cell>
          <cell r="P1017" t="str">
            <v>2012D0055</v>
          </cell>
          <cell r="Q1017" t="str">
            <v>Not Applicable</v>
          </cell>
          <cell r="R1017" t="str">
            <v>Elltec Co Ltd</v>
          </cell>
          <cell r="S1017" t="str">
            <v>IDS Services (Malaysia) Sdn Bhd</v>
          </cell>
          <cell r="T1017" t="str">
            <v>Functioning</v>
          </cell>
          <cell r="U1017" t="str">
            <v>Asset</v>
          </cell>
          <cell r="V1017">
            <v>4990</v>
          </cell>
          <cell r="W1017" t="str">
            <v>KEW</v>
          </cell>
          <cell r="X1017" t="str">
            <v>01/09/2010</v>
          </cell>
          <cell r="Y1017" t="str">
            <v>KEW</v>
          </cell>
          <cell r="Z1017" t="str">
            <v>16/08/2013</v>
          </cell>
          <cell r="AA1017" t="str">
            <v>15/08/2015</v>
          </cell>
          <cell r="AB1017" t="str">
            <v>No</v>
          </cell>
          <cell r="AC1017" t="str">
            <v>31/08/2013</v>
          </cell>
          <cell r="AD1017" t="str">
            <v>Good</v>
          </cell>
          <cell r="AE1017" t="str">
            <v>V1 - Existing / No Claim</v>
          </cell>
          <cell r="AF1017">
            <v>42793</v>
          </cell>
          <cell r="AG1017">
            <v>9.17</v>
          </cell>
          <cell r="AH1017" t="str">
            <v>PPM</v>
          </cell>
          <cell r="AI1017" t="str">
            <v>Strands</v>
          </cell>
          <cell r="AJ1017" t="str">
            <v>Strands PW</v>
          </cell>
        </row>
        <row r="1018">
          <cell r="A1018" t="str">
            <v>IKN400598</v>
          </cell>
          <cell r="B1018">
            <v>598</v>
          </cell>
          <cell r="C1018" t="str">
            <v>Institut Kanser Negara</v>
          </cell>
          <cell r="D1018" t="str">
            <v>KKM/IKN/H/13/79</v>
          </cell>
          <cell r="E1018" t="str">
            <v>12-282</v>
          </cell>
          <cell r="F1018" t="str">
            <v>Lights, Surgical</v>
          </cell>
          <cell r="G1018" t="str">
            <v>DO</v>
          </cell>
          <cell r="H1018" t="str">
            <v>DAY ONCOLOGY UNIT</v>
          </cell>
          <cell r="I1018" t="str">
            <v>04DO111</v>
          </cell>
          <cell r="J1018" t="str">
            <v>EQUIP. ROOM</v>
          </cell>
          <cell r="K1018" t="str">
            <v>BMED</v>
          </cell>
          <cell r="L1018" t="str">
            <v>Critical</v>
          </cell>
          <cell r="M1018" t="str">
            <v>USA</v>
          </cell>
          <cell r="N1018" t="str">
            <v>Welch Allyn</v>
          </cell>
          <cell r="O1018" t="str">
            <v>Welch Allyn GS600</v>
          </cell>
          <cell r="P1018" t="str">
            <v>GS-600-32</v>
          </cell>
          <cell r="Q1018" t="str">
            <v>Not Applicable</v>
          </cell>
          <cell r="R1018" t="str">
            <v>Welch Allyn Inc</v>
          </cell>
          <cell r="S1018" t="str">
            <v>Welch Allyn Malaysia Sdn Bhd</v>
          </cell>
          <cell r="T1018" t="str">
            <v>Functioning</v>
          </cell>
          <cell r="U1018" t="str">
            <v>Asset</v>
          </cell>
          <cell r="V1018">
            <v>5050</v>
          </cell>
          <cell r="W1018" t="str">
            <v>KEW</v>
          </cell>
          <cell r="X1018" t="str">
            <v>01/09/2010</v>
          </cell>
          <cell r="Y1018" t="str">
            <v>KEW</v>
          </cell>
          <cell r="Z1018" t="str">
            <v>16/08/2013</v>
          </cell>
          <cell r="AA1018" t="str">
            <v>15/08/2015</v>
          </cell>
          <cell r="AB1018" t="str">
            <v>No</v>
          </cell>
          <cell r="AC1018" t="str">
            <v>31/08/2013</v>
          </cell>
          <cell r="AD1018" t="str">
            <v>Good</v>
          </cell>
          <cell r="AE1018" t="str">
            <v>V1 - Existing / No Claim</v>
          </cell>
          <cell r="AF1018">
            <v>42793</v>
          </cell>
          <cell r="AG1018">
            <v>9.17</v>
          </cell>
          <cell r="AH1018" t="str">
            <v>PPM</v>
          </cell>
          <cell r="AI1018" t="str">
            <v>Strands</v>
          </cell>
          <cell r="AJ1018" t="str">
            <v>Strands PW</v>
          </cell>
        </row>
        <row r="1019">
          <cell r="A1019" t="str">
            <v>IKN400599</v>
          </cell>
          <cell r="B1019">
            <v>599</v>
          </cell>
          <cell r="C1019" t="str">
            <v>Institut Kanser Negara</v>
          </cell>
          <cell r="D1019" t="str">
            <v>KKM/IKN/H/13/80</v>
          </cell>
          <cell r="E1019" t="str">
            <v>12-282</v>
          </cell>
          <cell r="F1019" t="str">
            <v>Lights, Surgical</v>
          </cell>
          <cell r="G1019" t="str">
            <v>DO</v>
          </cell>
          <cell r="H1019" t="str">
            <v>DAY ONCOLOGY UNIT</v>
          </cell>
          <cell r="I1019" t="str">
            <v>04DO111</v>
          </cell>
          <cell r="J1019" t="str">
            <v>EQUIP. ROOM</v>
          </cell>
          <cell r="K1019" t="str">
            <v>BMED</v>
          </cell>
          <cell r="L1019" t="str">
            <v>Critical</v>
          </cell>
          <cell r="M1019" t="str">
            <v>USA</v>
          </cell>
          <cell r="N1019" t="str">
            <v>Welch Allyn</v>
          </cell>
          <cell r="O1019" t="str">
            <v>Welch Allyn GS600</v>
          </cell>
          <cell r="P1019" t="str">
            <v>GS-600-49</v>
          </cell>
          <cell r="Q1019" t="str">
            <v>Not Applicable</v>
          </cell>
          <cell r="R1019" t="str">
            <v>Welch Allyn Inc</v>
          </cell>
          <cell r="S1019" t="str">
            <v>Welch Allyn Malaysia Sdn Bhd</v>
          </cell>
          <cell r="T1019" t="str">
            <v>Functioning</v>
          </cell>
          <cell r="U1019" t="str">
            <v>Asset</v>
          </cell>
          <cell r="V1019">
            <v>5050</v>
          </cell>
          <cell r="W1019" t="str">
            <v>KEW</v>
          </cell>
          <cell r="X1019" t="str">
            <v>01/09/2010</v>
          </cell>
          <cell r="Y1019" t="str">
            <v>KEW</v>
          </cell>
          <cell r="Z1019" t="str">
            <v>16/08/2013</v>
          </cell>
          <cell r="AA1019" t="str">
            <v>15/08/2015</v>
          </cell>
          <cell r="AB1019" t="str">
            <v>No</v>
          </cell>
          <cell r="AC1019" t="str">
            <v>31/08/2013</v>
          </cell>
          <cell r="AD1019" t="str">
            <v>Good</v>
          </cell>
          <cell r="AE1019" t="str">
            <v>V1 - Existing / No Claim</v>
          </cell>
          <cell r="AF1019">
            <v>42793</v>
          </cell>
          <cell r="AG1019">
            <v>9.17</v>
          </cell>
          <cell r="AH1019" t="str">
            <v>PPM</v>
          </cell>
          <cell r="AI1019" t="str">
            <v>Strands</v>
          </cell>
          <cell r="AJ1019" t="str">
            <v>Strands PW</v>
          </cell>
        </row>
        <row r="1020">
          <cell r="A1020" t="str">
            <v>IKN400600</v>
          </cell>
          <cell r="B1020">
            <v>600</v>
          </cell>
          <cell r="C1020" t="str">
            <v>Institut Kanser Negara</v>
          </cell>
          <cell r="D1020" t="str">
            <v>KKM/IKN/H/13/1683</v>
          </cell>
          <cell r="E1020" t="str">
            <v>15-045</v>
          </cell>
          <cell r="F1020" t="str">
            <v>Nebulizers, Nonheated</v>
          </cell>
          <cell r="G1020" t="str">
            <v>DO</v>
          </cell>
          <cell r="H1020" t="str">
            <v>DAY ONCOLOGY UNIT</v>
          </cell>
          <cell r="I1020" t="str">
            <v>04DO111</v>
          </cell>
          <cell r="J1020" t="str">
            <v>EQUIP. ROOM</v>
          </cell>
          <cell r="K1020" t="str">
            <v>BMED</v>
          </cell>
          <cell r="L1020" t="str">
            <v>Normal</v>
          </cell>
          <cell r="M1020" t="str">
            <v>Germany</v>
          </cell>
          <cell r="N1020" t="str">
            <v>Pari Boy</v>
          </cell>
          <cell r="O1020" t="str">
            <v>Pari Boy SX 085</v>
          </cell>
          <cell r="P1020" t="str">
            <v>2W12F13726</v>
          </cell>
          <cell r="Q1020" t="str">
            <v>Not Applicable</v>
          </cell>
          <cell r="R1020" t="str">
            <v>Pari GmbH</v>
          </cell>
          <cell r="S1020" t="str">
            <v>Welch Allyn Malaysia Sdn Bhd</v>
          </cell>
          <cell r="T1020" t="str">
            <v>Functioning</v>
          </cell>
          <cell r="U1020" t="str">
            <v>Asset</v>
          </cell>
          <cell r="V1020">
            <v>1140</v>
          </cell>
          <cell r="W1020" t="str">
            <v>KEW</v>
          </cell>
          <cell r="X1020" t="str">
            <v>01/09/2010</v>
          </cell>
          <cell r="Y1020" t="str">
            <v>KEW</v>
          </cell>
          <cell r="Z1020" t="str">
            <v>16/08/2013</v>
          </cell>
          <cell r="AA1020" t="str">
            <v>15/08/2015</v>
          </cell>
          <cell r="AB1020" t="str">
            <v>No</v>
          </cell>
          <cell r="AC1020" t="str">
            <v>31/08/2013</v>
          </cell>
          <cell r="AD1020" t="str">
            <v>Good</v>
          </cell>
          <cell r="AE1020" t="str">
            <v>V1 - Existing / No Claim</v>
          </cell>
          <cell r="AF1020">
            <v>42235</v>
          </cell>
          <cell r="AG1020">
            <v>9.17</v>
          </cell>
          <cell r="AH1020" t="str">
            <v>PPM</v>
          </cell>
          <cell r="AI1020" t="str">
            <v>Strands</v>
          </cell>
          <cell r="AJ1020" t="str">
            <v>Strands PW</v>
          </cell>
        </row>
        <row r="1021">
          <cell r="A1021" t="str">
            <v>IKN400601</v>
          </cell>
          <cell r="B1021">
            <v>601</v>
          </cell>
          <cell r="C1021" t="str">
            <v>Institut Kanser Negara</v>
          </cell>
          <cell r="D1021" t="str">
            <v>KKM/IKN/H/13/2619</v>
          </cell>
          <cell r="E1021" t="str">
            <v>16-173</v>
          </cell>
          <cell r="F1021" t="str">
            <v>Sphygmomanometers, Electronic, Automatic</v>
          </cell>
          <cell r="G1021" t="str">
            <v>DO</v>
          </cell>
          <cell r="H1021" t="str">
            <v>DAY ONCOLOGY UNIT</v>
          </cell>
          <cell r="I1021" t="str">
            <v>04DO111</v>
          </cell>
          <cell r="J1021" t="str">
            <v>EQUIP. ROOM</v>
          </cell>
          <cell r="K1021" t="str">
            <v>BMED</v>
          </cell>
          <cell r="L1021" t="str">
            <v>Normal</v>
          </cell>
          <cell r="M1021" t="str">
            <v>USA</v>
          </cell>
          <cell r="N1021" t="str">
            <v>Connex</v>
          </cell>
          <cell r="O1021" t="str">
            <v>Connex ProBP 3400</v>
          </cell>
          <cell r="P1021" t="str">
            <v>100001430613</v>
          </cell>
          <cell r="Q1021" t="str">
            <v>Not Applicable</v>
          </cell>
          <cell r="R1021" t="str">
            <v>Welch Allyn Inc</v>
          </cell>
          <cell r="S1021" t="str">
            <v>Welch Allyn Malaysia Sdn Bhd</v>
          </cell>
          <cell r="T1021" t="str">
            <v>Functioning</v>
          </cell>
          <cell r="U1021" t="str">
            <v>Asset</v>
          </cell>
          <cell r="V1021">
            <v>4510</v>
          </cell>
          <cell r="W1021" t="str">
            <v>KEW</v>
          </cell>
          <cell r="X1021" t="str">
            <v>01/09/2010</v>
          </cell>
          <cell r="Y1021" t="str">
            <v>KEW</v>
          </cell>
          <cell r="Z1021" t="str">
            <v>16/08/2013</v>
          </cell>
          <cell r="AA1021" t="str">
            <v>15/08/2015</v>
          </cell>
          <cell r="AB1021" t="str">
            <v>No</v>
          </cell>
          <cell r="AC1021" t="str">
            <v>31/08/2013</v>
          </cell>
          <cell r="AD1021" t="str">
            <v>Good</v>
          </cell>
          <cell r="AE1021" t="str">
            <v>V1 - Existing / No Claim</v>
          </cell>
          <cell r="AF1021">
            <v>42235</v>
          </cell>
          <cell r="AG1021">
            <v>9.17</v>
          </cell>
          <cell r="AH1021" t="str">
            <v>PPM</v>
          </cell>
          <cell r="AI1021" t="str">
            <v>Strands</v>
          </cell>
          <cell r="AJ1021" t="str">
            <v>Strands PW</v>
          </cell>
        </row>
        <row r="1022">
          <cell r="A1022" t="str">
            <v>IKN400602</v>
          </cell>
          <cell r="B1022">
            <v>602</v>
          </cell>
          <cell r="C1022" t="str">
            <v>Institut Kanser Negara</v>
          </cell>
          <cell r="D1022" t="str">
            <v>KKM/IKN/H/13/2429</v>
          </cell>
          <cell r="E1022" t="str">
            <v>16-173</v>
          </cell>
          <cell r="F1022" t="str">
            <v>Sphygmomanometers, Electronic, Automatic</v>
          </cell>
          <cell r="G1022" t="str">
            <v>DO</v>
          </cell>
          <cell r="H1022" t="str">
            <v>DAY ONCOLOGY UNIT</v>
          </cell>
          <cell r="I1022" t="str">
            <v>04DO111</v>
          </cell>
          <cell r="J1022" t="str">
            <v>EQUIP. ROOM</v>
          </cell>
          <cell r="K1022" t="str">
            <v>BMED</v>
          </cell>
          <cell r="L1022" t="str">
            <v>Critical</v>
          </cell>
          <cell r="M1022" t="str">
            <v>USA</v>
          </cell>
          <cell r="N1022" t="str">
            <v>Connex</v>
          </cell>
          <cell r="O1022" t="str">
            <v>Connex ProBP 3400</v>
          </cell>
          <cell r="P1022" t="str">
            <v>100001630613</v>
          </cell>
          <cell r="Q1022" t="str">
            <v>Not Applicable</v>
          </cell>
          <cell r="R1022" t="str">
            <v>Welch Allyn Inc</v>
          </cell>
          <cell r="S1022" t="str">
            <v>Welch Allyn Malaysia Sdn Bhd</v>
          </cell>
          <cell r="T1022" t="str">
            <v>Functioning</v>
          </cell>
          <cell r="U1022" t="str">
            <v>Asset</v>
          </cell>
          <cell r="V1022">
            <v>4510</v>
          </cell>
          <cell r="W1022" t="str">
            <v>KEW</v>
          </cell>
          <cell r="X1022" t="str">
            <v>01/09/2010</v>
          </cell>
          <cell r="Y1022" t="str">
            <v>KEW</v>
          </cell>
          <cell r="Z1022" t="str">
            <v>16/08/2013</v>
          </cell>
          <cell r="AA1022" t="str">
            <v>15/08/2015</v>
          </cell>
          <cell r="AB1022" t="str">
            <v>No</v>
          </cell>
          <cell r="AC1022" t="str">
            <v>31/08/2013</v>
          </cell>
          <cell r="AD1022" t="str">
            <v>Good</v>
          </cell>
          <cell r="AE1022" t="str">
            <v>V1 - Existing / No Claim</v>
          </cell>
          <cell r="AF1022">
            <v>42793</v>
          </cell>
          <cell r="AG1022">
            <v>9.17</v>
          </cell>
          <cell r="AH1022" t="str">
            <v>PPM</v>
          </cell>
          <cell r="AI1022" t="str">
            <v>Strands</v>
          </cell>
          <cell r="AJ1022" t="str">
            <v>Strands PW</v>
          </cell>
        </row>
        <row r="1023">
          <cell r="A1023" t="str">
            <v>IKN400603</v>
          </cell>
          <cell r="B1023">
            <v>603</v>
          </cell>
          <cell r="C1023" t="str">
            <v>Institut Kanser Negara</v>
          </cell>
          <cell r="D1023" t="str">
            <v>KKM/IKN/H/13/1388</v>
          </cell>
          <cell r="E1023" t="str">
            <v>13-215</v>
          </cell>
          <cell r="F1023" t="str">
            <v>Infusion Pumps, General-Purpose</v>
          </cell>
          <cell r="G1023" t="str">
            <v>DO</v>
          </cell>
          <cell r="H1023" t="str">
            <v>DAY ONCOLOGY UNIT</v>
          </cell>
          <cell r="I1023" t="str">
            <v>04DO111</v>
          </cell>
          <cell r="J1023" t="str">
            <v>EQUIP. ROOM</v>
          </cell>
          <cell r="K1023" t="str">
            <v>BMED</v>
          </cell>
          <cell r="L1023" t="str">
            <v>Critical</v>
          </cell>
          <cell r="M1023" t="str">
            <v>Germany</v>
          </cell>
          <cell r="N1023" t="str">
            <v>Infusomat</v>
          </cell>
          <cell r="O1023" t="str">
            <v>Infusomat Space</v>
          </cell>
          <cell r="P1023" t="str">
            <v>200187</v>
          </cell>
          <cell r="Q1023" t="str">
            <v>Not Applicable</v>
          </cell>
          <cell r="R1023" t="str">
            <v>B Braun Melsungen AG</v>
          </cell>
          <cell r="S1023" t="str">
            <v>B Braun Medical Supplies Sdn. Bhd.</v>
          </cell>
          <cell r="T1023" t="str">
            <v>Functioning</v>
          </cell>
          <cell r="U1023" t="str">
            <v>Asset</v>
          </cell>
          <cell r="V1023">
            <v>10825</v>
          </cell>
          <cell r="W1023" t="str">
            <v>KEW</v>
          </cell>
          <cell r="X1023" t="str">
            <v>01/09/2010</v>
          </cell>
          <cell r="Y1023" t="str">
            <v>KEW</v>
          </cell>
          <cell r="Z1023" t="str">
            <v>16/08/2013</v>
          </cell>
          <cell r="AA1023" t="str">
            <v>15/08/2015</v>
          </cell>
          <cell r="AB1023" t="str">
            <v>No</v>
          </cell>
          <cell r="AC1023" t="str">
            <v>31/08/2013</v>
          </cell>
          <cell r="AD1023" t="str">
            <v>Good</v>
          </cell>
          <cell r="AE1023" t="str">
            <v>V1 - Existing / No Claim</v>
          </cell>
          <cell r="AF1023">
            <v>42793</v>
          </cell>
          <cell r="AG1023">
            <v>9.17</v>
          </cell>
          <cell r="AH1023" t="str">
            <v>PPM</v>
          </cell>
          <cell r="AI1023" t="str">
            <v>Strands</v>
          </cell>
          <cell r="AJ1023" t="str">
            <v>Strands PW</v>
          </cell>
        </row>
        <row r="1024">
          <cell r="A1024" t="str">
            <v>IKN400604</v>
          </cell>
          <cell r="B1024">
            <v>604</v>
          </cell>
          <cell r="C1024" t="str">
            <v>Institut Kanser Negara</v>
          </cell>
          <cell r="D1024" t="str">
            <v>KKM/IKN/H/13/1391</v>
          </cell>
          <cell r="E1024" t="str">
            <v>13-215</v>
          </cell>
          <cell r="F1024" t="str">
            <v>Infusion Pumps, General-Purpose</v>
          </cell>
          <cell r="G1024" t="str">
            <v>DO</v>
          </cell>
          <cell r="H1024" t="str">
            <v>DAY ONCOLOGY UNIT</v>
          </cell>
          <cell r="I1024" t="str">
            <v>04DO111</v>
          </cell>
          <cell r="J1024" t="str">
            <v>EQUIP. ROOM</v>
          </cell>
          <cell r="K1024" t="str">
            <v>BMED</v>
          </cell>
          <cell r="L1024" t="str">
            <v>Critical</v>
          </cell>
          <cell r="M1024" t="str">
            <v>Germany</v>
          </cell>
          <cell r="N1024" t="str">
            <v>Infusomat</v>
          </cell>
          <cell r="O1024" t="str">
            <v>Infusomat Space</v>
          </cell>
          <cell r="P1024" t="str">
            <v>200127</v>
          </cell>
          <cell r="Q1024" t="str">
            <v>Not Applicable</v>
          </cell>
          <cell r="R1024" t="str">
            <v>B Braun Melsungen AG</v>
          </cell>
          <cell r="S1024" t="str">
            <v>B Braun Medical Supplies Sdn. Bhd.</v>
          </cell>
          <cell r="T1024" t="str">
            <v>Functioning</v>
          </cell>
          <cell r="U1024" t="str">
            <v>Asset</v>
          </cell>
          <cell r="V1024">
            <v>10825</v>
          </cell>
          <cell r="W1024" t="str">
            <v>KEW</v>
          </cell>
          <cell r="X1024" t="str">
            <v>01/09/2010</v>
          </cell>
          <cell r="Y1024" t="str">
            <v>KEW</v>
          </cell>
          <cell r="Z1024" t="str">
            <v>16/08/2013</v>
          </cell>
          <cell r="AA1024" t="str">
            <v>15/08/2015</v>
          </cell>
          <cell r="AB1024" t="str">
            <v>No</v>
          </cell>
          <cell r="AC1024" t="str">
            <v>31/08/2013</v>
          </cell>
          <cell r="AD1024" t="str">
            <v>Good</v>
          </cell>
          <cell r="AE1024" t="str">
            <v>V1 - Existing / No Claim</v>
          </cell>
          <cell r="AF1024">
            <v>42793</v>
          </cell>
          <cell r="AG1024">
            <v>9.17</v>
          </cell>
          <cell r="AH1024" t="str">
            <v>PPM</v>
          </cell>
          <cell r="AI1024" t="str">
            <v>Strands</v>
          </cell>
          <cell r="AJ1024" t="str">
            <v>Strands PW</v>
          </cell>
        </row>
        <row r="1025">
          <cell r="A1025" t="str">
            <v>IKN400605</v>
          </cell>
          <cell r="B1025">
            <v>605</v>
          </cell>
          <cell r="C1025" t="str">
            <v>Institut Kanser Negara</v>
          </cell>
          <cell r="D1025" t="str">
            <v>KKM/IKN/H/13/1392</v>
          </cell>
          <cell r="E1025" t="str">
            <v>13-215</v>
          </cell>
          <cell r="F1025" t="str">
            <v>Infusion Pumps, General-Purpose</v>
          </cell>
          <cell r="G1025" t="str">
            <v>DO</v>
          </cell>
          <cell r="H1025" t="str">
            <v>DAY ONCOLOGY UNIT</v>
          </cell>
          <cell r="I1025" t="str">
            <v>04DO111</v>
          </cell>
          <cell r="J1025" t="str">
            <v>EQUIP. ROOM</v>
          </cell>
          <cell r="K1025" t="str">
            <v>BMED</v>
          </cell>
          <cell r="L1025" t="str">
            <v>Critical</v>
          </cell>
          <cell r="M1025" t="str">
            <v>Germany</v>
          </cell>
          <cell r="N1025" t="str">
            <v>Infusomat</v>
          </cell>
          <cell r="O1025" t="str">
            <v>Infusomat Space</v>
          </cell>
          <cell r="P1025" t="str">
            <v>211747</v>
          </cell>
          <cell r="Q1025" t="str">
            <v>Not Applicable</v>
          </cell>
          <cell r="R1025" t="str">
            <v>B Braun Melsungen AG</v>
          </cell>
          <cell r="S1025" t="str">
            <v>B Braun Medical Supplies Sdn. Bhd.</v>
          </cell>
          <cell r="T1025" t="str">
            <v>Functioning</v>
          </cell>
          <cell r="U1025" t="str">
            <v>Asset</v>
          </cell>
          <cell r="V1025">
            <v>10825</v>
          </cell>
          <cell r="W1025" t="str">
            <v>KEW</v>
          </cell>
          <cell r="X1025" t="str">
            <v>01/09/2010</v>
          </cell>
          <cell r="Y1025" t="str">
            <v>KEW</v>
          </cell>
          <cell r="Z1025" t="str">
            <v>16/08/2013</v>
          </cell>
          <cell r="AA1025" t="str">
            <v>15/08/2015</v>
          </cell>
          <cell r="AB1025" t="str">
            <v>No</v>
          </cell>
          <cell r="AC1025" t="str">
            <v>31/08/2013</v>
          </cell>
          <cell r="AD1025" t="str">
            <v>Good</v>
          </cell>
          <cell r="AE1025" t="str">
            <v>V1 - Existing / No Claim</v>
          </cell>
          <cell r="AF1025">
            <v>42793</v>
          </cell>
          <cell r="AG1025">
            <v>9.17</v>
          </cell>
          <cell r="AH1025" t="str">
            <v>PPM</v>
          </cell>
          <cell r="AI1025" t="str">
            <v>Strands</v>
          </cell>
          <cell r="AJ1025" t="str">
            <v>Strands PW</v>
          </cell>
        </row>
        <row r="1026">
          <cell r="A1026" t="str">
            <v>IKN400606</v>
          </cell>
          <cell r="B1026">
            <v>606</v>
          </cell>
          <cell r="C1026" t="str">
            <v>Institut Kanser Negara</v>
          </cell>
          <cell r="D1026" t="str">
            <v>KKM/IKN/H/13/1393</v>
          </cell>
          <cell r="E1026" t="str">
            <v>13-215</v>
          </cell>
          <cell r="F1026" t="str">
            <v>Infusion Pumps, General-Purpose</v>
          </cell>
          <cell r="G1026" t="str">
            <v>DO</v>
          </cell>
          <cell r="H1026" t="str">
            <v>DAY ONCOLOGY UNIT</v>
          </cell>
          <cell r="I1026" t="str">
            <v>04DO111</v>
          </cell>
          <cell r="J1026" t="str">
            <v>EQUIP. ROOM</v>
          </cell>
          <cell r="K1026" t="str">
            <v>BMED</v>
          </cell>
          <cell r="L1026" t="str">
            <v>Critical</v>
          </cell>
          <cell r="M1026" t="str">
            <v>Germany</v>
          </cell>
          <cell r="N1026" t="str">
            <v>Infusomat</v>
          </cell>
          <cell r="O1026" t="str">
            <v>Infusomat Space</v>
          </cell>
          <cell r="P1026" t="str">
            <v>211745</v>
          </cell>
          <cell r="Q1026" t="str">
            <v>Not Applicable</v>
          </cell>
          <cell r="R1026" t="str">
            <v>B Braun Melsungen AG</v>
          </cell>
          <cell r="S1026" t="str">
            <v>B Braun Medical Supplies Sdn. Bhd.</v>
          </cell>
          <cell r="T1026" t="str">
            <v>Functioning</v>
          </cell>
          <cell r="U1026" t="str">
            <v>Asset</v>
          </cell>
          <cell r="V1026">
            <v>10825</v>
          </cell>
          <cell r="W1026" t="str">
            <v>KEW</v>
          </cell>
          <cell r="X1026" t="str">
            <v>01/09/2010</v>
          </cell>
          <cell r="Y1026" t="str">
            <v>KEW</v>
          </cell>
          <cell r="Z1026" t="str">
            <v>16/08/2013</v>
          </cell>
          <cell r="AA1026" t="str">
            <v>15/08/2015</v>
          </cell>
          <cell r="AB1026" t="str">
            <v>No</v>
          </cell>
          <cell r="AC1026" t="str">
            <v>31/08/2013</v>
          </cell>
          <cell r="AD1026" t="str">
            <v>Good</v>
          </cell>
          <cell r="AE1026" t="str">
            <v>V1 - Existing / No Claim</v>
          </cell>
          <cell r="AF1026">
            <v>42793</v>
          </cell>
          <cell r="AG1026">
            <v>9.17</v>
          </cell>
          <cell r="AH1026" t="str">
            <v>PPM</v>
          </cell>
          <cell r="AI1026" t="str">
            <v>Strands</v>
          </cell>
          <cell r="AJ1026" t="str">
            <v>Strands PW</v>
          </cell>
        </row>
        <row r="1027">
          <cell r="A1027" t="str">
            <v>IKN400607</v>
          </cell>
          <cell r="B1027">
            <v>607</v>
          </cell>
          <cell r="C1027" t="str">
            <v>Institut Kanser Negara</v>
          </cell>
          <cell r="D1027" t="str">
            <v>KKM/IKN/H/13/1394</v>
          </cell>
          <cell r="E1027" t="str">
            <v>13-215</v>
          </cell>
          <cell r="F1027" t="str">
            <v>Infusion Pumps, General-Purpose</v>
          </cell>
          <cell r="G1027" t="str">
            <v>DO</v>
          </cell>
          <cell r="H1027" t="str">
            <v>DAY ONCOLOGY UNIT</v>
          </cell>
          <cell r="I1027" t="str">
            <v>04DO111</v>
          </cell>
          <cell r="J1027" t="str">
            <v>EQUIP. ROOM</v>
          </cell>
          <cell r="K1027" t="str">
            <v>BMED</v>
          </cell>
          <cell r="L1027" t="str">
            <v>Critical</v>
          </cell>
          <cell r="M1027" t="str">
            <v>Germany</v>
          </cell>
          <cell r="N1027" t="str">
            <v>Infusomat</v>
          </cell>
          <cell r="O1027" t="str">
            <v>Infusomat Space</v>
          </cell>
          <cell r="P1027" t="str">
            <v>212215</v>
          </cell>
          <cell r="Q1027" t="str">
            <v>Not Applicable</v>
          </cell>
          <cell r="R1027" t="str">
            <v>B Braun Melsungen AG</v>
          </cell>
          <cell r="S1027" t="str">
            <v>B Braun Medical Supplies Sdn. Bhd.</v>
          </cell>
          <cell r="T1027" t="str">
            <v>Functioning</v>
          </cell>
          <cell r="U1027" t="str">
            <v>Asset</v>
          </cell>
          <cell r="V1027">
            <v>10825</v>
          </cell>
          <cell r="W1027" t="str">
            <v>KEW</v>
          </cell>
          <cell r="X1027" t="str">
            <v>01/09/2010</v>
          </cell>
          <cell r="Y1027" t="str">
            <v>KEW</v>
          </cell>
          <cell r="Z1027" t="str">
            <v>16/08/2013</v>
          </cell>
          <cell r="AA1027" t="str">
            <v>15/08/2015</v>
          </cell>
          <cell r="AB1027" t="str">
            <v>No</v>
          </cell>
          <cell r="AC1027" t="str">
            <v>31/08/2013</v>
          </cell>
          <cell r="AD1027" t="str">
            <v>Good</v>
          </cell>
          <cell r="AE1027" t="str">
            <v>V1 - Existing / No Claim</v>
          </cell>
          <cell r="AF1027">
            <v>42793</v>
          </cell>
          <cell r="AG1027">
            <v>9.17</v>
          </cell>
          <cell r="AH1027" t="str">
            <v>PPM</v>
          </cell>
          <cell r="AI1027" t="str">
            <v>Strands</v>
          </cell>
          <cell r="AJ1027" t="str">
            <v>Strands PW</v>
          </cell>
        </row>
        <row r="1028">
          <cell r="A1028" t="str">
            <v>IKN400608</v>
          </cell>
          <cell r="B1028">
            <v>608</v>
          </cell>
          <cell r="C1028" t="str">
            <v>Institut Kanser Negara</v>
          </cell>
          <cell r="D1028" t="str">
            <v>KKM/IKN/H/14/101</v>
          </cell>
          <cell r="E1028" t="str">
            <v>21-897</v>
          </cell>
          <cell r="F1028" t="str">
            <v>Seal Crimpers, Bottle/Vial/Tube</v>
          </cell>
          <cell r="G1028" t="str">
            <v>LA</v>
          </cell>
          <cell r="H1028" t="str">
            <v>PATHOLOGY</v>
          </cell>
          <cell r="I1028" t="str">
            <v>04LA114</v>
          </cell>
          <cell r="J1028" t="str">
            <v>DARK MICROSCOPY</v>
          </cell>
          <cell r="K1028" t="str">
            <v>BMED</v>
          </cell>
          <cell r="L1028" t="str">
            <v>Normal</v>
          </cell>
          <cell r="M1028" t="str">
            <v>South Korea</v>
          </cell>
          <cell r="N1028" t="str">
            <v>Sure Seal</v>
          </cell>
          <cell r="O1028" t="str">
            <v>Sure Seal SE260</v>
          </cell>
          <cell r="P1028" t="str">
            <v>2620091</v>
          </cell>
          <cell r="Q1028" t="str">
            <v>Not Applicable</v>
          </cell>
          <cell r="R1028" t="str">
            <v>Centron Technologies Corp</v>
          </cell>
          <cell r="S1028" t="str">
            <v>Biomarketing Services(M) Sdn. Bhd</v>
          </cell>
          <cell r="T1028" t="str">
            <v>Functioning</v>
          </cell>
          <cell r="U1028" t="str">
            <v>Asset</v>
          </cell>
          <cell r="V1028">
            <v>7000</v>
          </cell>
          <cell r="W1028" t="str">
            <v>KEW</v>
          </cell>
          <cell r="X1028" t="str">
            <v>25/09/2014</v>
          </cell>
          <cell r="Y1028" t="str">
            <v>KEW</v>
          </cell>
          <cell r="Z1028" t="str">
            <v>08/12/2014</v>
          </cell>
          <cell r="AA1028" t="str">
            <v>07/12/2015</v>
          </cell>
          <cell r="AB1028" t="str">
            <v>No</v>
          </cell>
          <cell r="AC1028" t="str">
            <v>08/12/2014</v>
          </cell>
          <cell r="AD1028" t="str">
            <v>Good</v>
          </cell>
          <cell r="AE1028" t="str">
            <v>V3 - Added Installed Facilities (New)</v>
          </cell>
          <cell r="AF1028">
            <v>42677</v>
          </cell>
          <cell r="AG1028">
            <v>5.17</v>
          </cell>
          <cell r="AH1028" t="str">
            <v>PPM</v>
          </cell>
          <cell r="AI1028" t="str">
            <v>Strands</v>
          </cell>
          <cell r="AJ1028" t="str">
            <v>Strands PW</v>
          </cell>
          <cell r="AK1028" t="str">
            <v>SNF received. 1st batch of V3 asset (December 2020)</v>
          </cell>
        </row>
        <row r="1029">
          <cell r="A1029" t="str">
            <v>IKN400609</v>
          </cell>
          <cell r="B1029">
            <v>609</v>
          </cell>
          <cell r="C1029" t="str">
            <v>Institut Kanser Negara</v>
          </cell>
          <cell r="D1029" t="str">
            <v>KKM/IKN/H/14/99</v>
          </cell>
          <cell r="E1029" t="str">
            <v>18-449</v>
          </cell>
          <cell r="F1029" t="str">
            <v>Balances, Electronic, Analytical</v>
          </cell>
          <cell r="G1029" t="str">
            <v>DO</v>
          </cell>
          <cell r="H1029" t="str">
            <v>DAY ONCOLOGY UNIT</v>
          </cell>
          <cell r="I1029" t="str">
            <v>04DO114</v>
          </cell>
          <cell r="J1029" t="str">
            <v>RESEARCH</v>
          </cell>
          <cell r="K1029" t="str">
            <v>BMED</v>
          </cell>
          <cell r="L1029" t="str">
            <v>Normal</v>
          </cell>
          <cell r="M1029" t="str">
            <v>Japan</v>
          </cell>
          <cell r="N1029" t="str">
            <v>A&amp;D</v>
          </cell>
          <cell r="O1029" t="str">
            <v>A&amp;D HR-250AZ</v>
          </cell>
          <cell r="P1029" t="str">
            <v>6A7702353</v>
          </cell>
          <cell r="Q1029" t="str">
            <v>Not Applicable</v>
          </cell>
          <cell r="R1029" t="str">
            <v>A&amp;D Co Ltd</v>
          </cell>
          <cell r="S1029" t="str">
            <v>Bumi Jiwa Sdn. Bhd.</v>
          </cell>
          <cell r="T1029" t="str">
            <v>Functioning</v>
          </cell>
          <cell r="U1029" t="str">
            <v>Asset</v>
          </cell>
          <cell r="V1029">
            <v>4000</v>
          </cell>
          <cell r="W1029" t="str">
            <v>KEW</v>
          </cell>
          <cell r="X1029" t="str">
            <v>03/10/2014</v>
          </cell>
          <cell r="Y1029" t="str">
            <v>KEW</v>
          </cell>
          <cell r="Z1029" t="str">
            <v>27/11/2014</v>
          </cell>
          <cell r="AA1029" t="str">
            <v>26/11/2015</v>
          </cell>
          <cell r="AB1029" t="str">
            <v>No</v>
          </cell>
          <cell r="AC1029" t="str">
            <v>27/11/2014</v>
          </cell>
          <cell r="AD1029" t="str">
            <v>Good</v>
          </cell>
          <cell r="AE1029" t="str">
            <v>V3 - Added Installed Facilities (New)</v>
          </cell>
          <cell r="AF1029">
            <v>42908</v>
          </cell>
          <cell r="AG1029">
            <v>5.08</v>
          </cell>
          <cell r="AH1029" t="str">
            <v>PPM</v>
          </cell>
          <cell r="AI1029" t="str">
            <v>Strands</v>
          </cell>
          <cell r="AJ1029" t="str">
            <v>Strands PW</v>
          </cell>
          <cell r="AK1029" t="str">
            <v>SNF received. 1st batch of V3 asset (December 2020)</v>
          </cell>
        </row>
        <row r="1030">
          <cell r="A1030" t="str">
            <v>IKN400610</v>
          </cell>
          <cell r="B1030">
            <v>610</v>
          </cell>
          <cell r="C1030" t="str">
            <v>Institut Kanser Negara</v>
          </cell>
          <cell r="D1030" t="str">
            <v>KKM/IKN/H/13/1395</v>
          </cell>
          <cell r="E1030" t="str">
            <v>13-215</v>
          </cell>
          <cell r="F1030" t="str">
            <v>Infusion Pumps, General-Purpose</v>
          </cell>
          <cell r="G1030" t="str">
            <v>DO</v>
          </cell>
          <cell r="H1030" t="str">
            <v>DAY ONCOLOGY UNIT</v>
          </cell>
          <cell r="I1030" t="str">
            <v>04DO118</v>
          </cell>
          <cell r="J1030" t="str">
            <v>TREATMENT BAY 1</v>
          </cell>
          <cell r="K1030" t="str">
            <v>BMED</v>
          </cell>
          <cell r="L1030" t="str">
            <v>Critical</v>
          </cell>
          <cell r="M1030" t="str">
            <v>Germany</v>
          </cell>
          <cell r="N1030" t="str">
            <v>Infusomat</v>
          </cell>
          <cell r="O1030" t="str">
            <v>Infusomat Space</v>
          </cell>
          <cell r="P1030" t="str">
            <v>211746</v>
          </cell>
          <cell r="Q1030" t="str">
            <v>Not Applicable</v>
          </cell>
          <cell r="R1030" t="str">
            <v>B Braun Melsungen AG</v>
          </cell>
          <cell r="S1030" t="str">
            <v>B Braun Medical Supplies Sdn. Bhd.</v>
          </cell>
          <cell r="T1030" t="str">
            <v>Functioning</v>
          </cell>
          <cell r="U1030" t="str">
            <v>Asset</v>
          </cell>
          <cell r="V1030">
            <v>10825</v>
          </cell>
          <cell r="W1030" t="str">
            <v>KEW</v>
          </cell>
          <cell r="X1030" t="str">
            <v>01/09/2010</v>
          </cell>
          <cell r="Y1030" t="str">
            <v>KEW</v>
          </cell>
          <cell r="Z1030" t="str">
            <v>16/08/2013</v>
          </cell>
          <cell r="AA1030" t="str">
            <v>15/08/2015</v>
          </cell>
          <cell r="AB1030" t="str">
            <v>No</v>
          </cell>
          <cell r="AC1030" t="str">
            <v>31/08/2013</v>
          </cell>
          <cell r="AD1030" t="str">
            <v>Good</v>
          </cell>
          <cell r="AE1030" t="str">
            <v>V1 - Existing / No Claim</v>
          </cell>
          <cell r="AF1030">
            <v>42793</v>
          </cell>
          <cell r="AG1030">
            <v>9.17</v>
          </cell>
          <cell r="AH1030" t="str">
            <v>PPM</v>
          </cell>
          <cell r="AI1030" t="str">
            <v>Strands</v>
          </cell>
          <cell r="AJ1030" t="str">
            <v>Strands PW</v>
          </cell>
        </row>
        <row r="1031">
          <cell r="A1031" t="str">
            <v>IKN400611</v>
          </cell>
          <cell r="B1031">
            <v>611</v>
          </cell>
          <cell r="C1031" t="str">
            <v>Institut Kanser Negara</v>
          </cell>
          <cell r="D1031" t="str">
            <v>KKM/IKN/H/13/1396</v>
          </cell>
          <cell r="E1031" t="str">
            <v>13-215</v>
          </cell>
          <cell r="F1031" t="str">
            <v>Infusion Pumps, General-Purpose</v>
          </cell>
          <cell r="G1031" t="str">
            <v>DO</v>
          </cell>
          <cell r="H1031" t="str">
            <v>DAY ONCOLOGY UNIT</v>
          </cell>
          <cell r="I1031" t="str">
            <v>04DO118</v>
          </cell>
          <cell r="J1031" t="str">
            <v>TREATMENT BAY 1</v>
          </cell>
          <cell r="K1031" t="str">
            <v>BMED</v>
          </cell>
          <cell r="L1031" t="str">
            <v>Critical</v>
          </cell>
          <cell r="M1031" t="str">
            <v>Germany</v>
          </cell>
          <cell r="N1031" t="str">
            <v>Infusomat</v>
          </cell>
          <cell r="O1031" t="str">
            <v>Infusomat Space</v>
          </cell>
          <cell r="P1031" t="str">
            <v>200175</v>
          </cell>
          <cell r="Q1031" t="str">
            <v>Not Applicable</v>
          </cell>
          <cell r="R1031" t="str">
            <v>B Braun Melsungen AG</v>
          </cell>
          <cell r="S1031" t="str">
            <v>B Braun Medical Supplies Sdn. Bhd.</v>
          </cell>
          <cell r="T1031" t="str">
            <v>Functioning</v>
          </cell>
          <cell r="U1031" t="str">
            <v>Asset</v>
          </cell>
          <cell r="V1031">
            <v>10825</v>
          </cell>
          <cell r="W1031" t="str">
            <v>KEW</v>
          </cell>
          <cell r="X1031" t="str">
            <v>01/09/2010</v>
          </cell>
          <cell r="Y1031" t="str">
            <v>KEW</v>
          </cell>
          <cell r="Z1031" t="str">
            <v>16/08/2013</v>
          </cell>
          <cell r="AA1031" t="str">
            <v>15/08/2015</v>
          </cell>
          <cell r="AB1031" t="str">
            <v>No</v>
          </cell>
          <cell r="AC1031" t="str">
            <v>31/08/2013</v>
          </cell>
          <cell r="AD1031" t="str">
            <v>Good</v>
          </cell>
          <cell r="AE1031" t="str">
            <v>V1 - Existing / No Claim</v>
          </cell>
          <cell r="AF1031">
            <v>42793</v>
          </cell>
          <cell r="AG1031">
            <v>9.17</v>
          </cell>
          <cell r="AH1031" t="str">
            <v>PPM</v>
          </cell>
          <cell r="AI1031" t="str">
            <v>Strands</v>
          </cell>
          <cell r="AJ1031" t="str">
            <v>Strands PW</v>
          </cell>
        </row>
        <row r="1032">
          <cell r="A1032" t="str">
            <v>IKN400612</v>
          </cell>
          <cell r="B1032">
            <v>612</v>
          </cell>
          <cell r="C1032" t="str">
            <v>Institut Kanser Negara</v>
          </cell>
          <cell r="D1032" t="str">
            <v>KKM/IKN/H/13/1397</v>
          </cell>
          <cell r="E1032" t="str">
            <v>13-215</v>
          </cell>
          <cell r="F1032" t="str">
            <v>Infusion Pumps, General-Purpose</v>
          </cell>
          <cell r="G1032" t="str">
            <v>DO</v>
          </cell>
          <cell r="H1032" t="str">
            <v>DAY ONCOLOGY UNIT</v>
          </cell>
          <cell r="I1032" t="str">
            <v>04DO118</v>
          </cell>
          <cell r="J1032" t="str">
            <v>TREATMENT BAY 1</v>
          </cell>
          <cell r="K1032" t="str">
            <v>BMED</v>
          </cell>
          <cell r="L1032" t="str">
            <v>Critical</v>
          </cell>
          <cell r="M1032" t="str">
            <v>Germany</v>
          </cell>
          <cell r="N1032" t="str">
            <v>Infusomat</v>
          </cell>
          <cell r="O1032" t="str">
            <v>Infusomat Space</v>
          </cell>
          <cell r="P1032" t="str">
            <v>212055</v>
          </cell>
          <cell r="Q1032" t="str">
            <v>Not Applicable</v>
          </cell>
          <cell r="R1032" t="str">
            <v>B Braun Melsungen AG</v>
          </cell>
          <cell r="S1032" t="str">
            <v>B Braun Medical Supplies Sdn. Bhd.</v>
          </cell>
          <cell r="T1032" t="str">
            <v>Functioning</v>
          </cell>
          <cell r="U1032" t="str">
            <v>Asset</v>
          </cell>
          <cell r="V1032">
            <v>10825</v>
          </cell>
          <cell r="W1032" t="str">
            <v>KEW</v>
          </cell>
          <cell r="X1032" t="str">
            <v>01/09/2010</v>
          </cell>
          <cell r="Y1032" t="str">
            <v>KEW</v>
          </cell>
          <cell r="Z1032" t="str">
            <v>16/08/2013</v>
          </cell>
          <cell r="AA1032" t="str">
            <v>15/08/2015</v>
          </cell>
          <cell r="AB1032" t="str">
            <v>No</v>
          </cell>
          <cell r="AC1032" t="str">
            <v>31/08/2013</v>
          </cell>
          <cell r="AD1032" t="str">
            <v>Good</v>
          </cell>
          <cell r="AE1032" t="str">
            <v>V1 - Existing / No Claim</v>
          </cell>
          <cell r="AF1032">
            <v>42793</v>
          </cell>
          <cell r="AG1032">
            <v>9.17</v>
          </cell>
          <cell r="AH1032" t="str">
            <v>PPM</v>
          </cell>
          <cell r="AI1032" t="str">
            <v>Strands</v>
          </cell>
          <cell r="AJ1032" t="str">
            <v>Strands PW</v>
          </cell>
        </row>
        <row r="1033">
          <cell r="A1033" t="str">
            <v>IKN400613</v>
          </cell>
          <cell r="B1033">
            <v>613</v>
          </cell>
          <cell r="C1033" t="str">
            <v>Institut Kanser Negara</v>
          </cell>
          <cell r="D1033" t="str">
            <v>KKM/IKN/H/13/1398</v>
          </cell>
          <cell r="E1033" t="str">
            <v>13-215</v>
          </cell>
          <cell r="F1033" t="str">
            <v>Infusion Pumps, General-Purpose</v>
          </cell>
          <cell r="G1033" t="str">
            <v>DO</v>
          </cell>
          <cell r="H1033" t="str">
            <v>DAY ONCOLOGY UNIT</v>
          </cell>
          <cell r="I1033" t="str">
            <v>04DO118</v>
          </cell>
          <cell r="J1033" t="str">
            <v>TREATMENT BAY 1</v>
          </cell>
          <cell r="K1033" t="str">
            <v>BMED</v>
          </cell>
          <cell r="L1033" t="str">
            <v>Critical</v>
          </cell>
          <cell r="M1033" t="str">
            <v>Germany</v>
          </cell>
          <cell r="N1033" t="str">
            <v>Infusomat</v>
          </cell>
          <cell r="O1033" t="str">
            <v>Infusomat Space</v>
          </cell>
          <cell r="P1033" t="str">
            <v>200163</v>
          </cell>
          <cell r="Q1033" t="str">
            <v>Not Applicable</v>
          </cell>
          <cell r="R1033" t="str">
            <v>B Braun Melsungen AG</v>
          </cell>
          <cell r="S1033" t="str">
            <v>B Braun Medical Supplies Sdn. Bhd.</v>
          </cell>
          <cell r="T1033" t="str">
            <v>Functioning</v>
          </cell>
          <cell r="U1033" t="str">
            <v>Asset</v>
          </cell>
          <cell r="V1033">
            <v>10825</v>
          </cell>
          <cell r="W1033" t="str">
            <v>KEW</v>
          </cell>
          <cell r="X1033" t="str">
            <v>01/09/2010</v>
          </cell>
          <cell r="Y1033" t="str">
            <v>KEW</v>
          </cell>
          <cell r="Z1033" t="str">
            <v>16/08/2013</v>
          </cell>
          <cell r="AA1033" t="str">
            <v>15/08/2015</v>
          </cell>
          <cell r="AB1033" t="str">
            <v>No</v>
          </cell>
          <cell r="AC1033" t="str">
            <v>31/08/2013</v>
          </cell>
          <cell r="AD1033" t="str">
            <v>Good</v>
          </cell>
          <cell r="AE1033" t="str">
            <v>V1 - Existing / No Claim</v>
          </cell>
          <cell r="AF1033">
            <v>42793</v>
          </cell>
          <cell r="AG1033">
            <v>9.17</v>
          </cell>
          <cell r="AH1033" t="str">
            <v>PPM</v>
          </cell>
          <cell r="AI1033" t="str">
            <v>Strands</v>
          </cell>
          <cell r="AJ1033" t="str">
            <v>Strands PW</v>
          </cell>
        </row>
        <row r="1034">
          <cell r="A1034" t="str">
            <v>IKN400614</v>
          </cell>
          <cell r="B1034">
            <v>614</v>
          </cell>
          <cell r="C1034" t="str">
            <v>Institut Kanser Negara</v>
          </cell>
          <cell r="D1034" t="str">
            <v>KKM/IKN/H/13/1399</v>
          </cell>
          <cell r="E1034" t="str">
            <v>13-215</v>
          </cell>
          <cell r="F1034" t="str">
            <v>Infusion Pumps, General-Purpose</v>
          </cell>
          <cell r="G1034" t="str">
            <v>DO</v>
          </cell>
          <cell r="H1034" t="str">
            <v>DAY ONCOLOGY UNIT</v>
          </cell>
          <cell r="I1034" t="str">
            <v>04DO118</v>
          </cell>
          <cell r="J1034" t="str">
            <v>TREATMENT BAY 1</v>
          </cell>
          <cell r="K1034" t="str">
            <v>BMED</v>
          </cell>
          <cell r="L1034" t="str">
            <v>Critical</v>
          </cell>
          <cell r="M1034" t="str">
            <v>Germany</v>
          </cell>
          <cell r="N1034" t="str">
            <v>Infusomat</v>
          </cell>
          <cell r="O1034" t="str">
            <v>Infusomat Space</v>
          </cell>
          <cell r="P1034" t="str">
            <v>200155</v>
          </cell>
          <cell r="Q1034" t="str">
            <v>Not Applicable</v>
          </cell>
          <cell r="R1034" t="str">
            <v>B Braun Melsungen AG</v>
          </cell>
          <cell r="S1034" t="str">
            <v>B Braun Medical Supplies Sdn. Bhd.</v>
          </cell>
          <cell r="T1034" t="str">
            <v>Functioning</v>
          </cell>
          <cell r="U1034" t="str">
            <v>Asset</v>
          </cell>
          <cell r="V1034">
            <v>10825</v>
          </cell>
          <cell r="W1034" t="str">
            <v>KEW</v>
          </cell>
          <cell r="X1034" t="str">
            <v>01/09/2010</v>
          </cell>
          <cell r="Y1034" t="str">
            <v>KEW</v>
          </cell>
          <cell r="Z1034" t="str">
            <v>16/08/2013</v>
          </cell>
          <cell r="AA1034" t="str">
            <v>15/08/2015</v>
          </cell>
          <cell r="AB1034" t="str">
            <v>No</v>
          </cell>
          <cell r="AC1034" t="str">
            <v>31/08/2013</v>
          </cell>
          <cell r="AD1034" t="str">
            <v>Good</v>
          </cell>
          <cell r="AE1034" t="str">
            <v>V1 - Existing / No Claim</v>
          </cell>
          <cell r="AF1034">
            <v>42793</v>
          </cell>
          <cell r="AG1034">
            <v>9.17</v>
          </cell>
          <cell r="AH1034" t="str">
            <v>PPM</v>
          </cell>
          <cell r="AI1034" t="str">
            <v>Strands</v>
          </cell>
          <cell r="AJ1034" t="str">
            <v>Strands PW</v>
          </cell>
        </row>
        <row r="1035">
          <cell r="A1035" t="str">
            <v>IKN400615</v>
          </cell>
          <cell r="B1035">
            <v>615</v>
          </cell>
          <cell r="C1035" t="str">
            <v>Institut Kanser Negara</v>
          </cell>
          <cell r="D1035" t="str">
            <v>KKM/IKN/H/13/1578</v>
          </cell>
          <cell r="E1035" t="str">
            <v>13-215</v>
          </cell>
          <cell r="F1035" t="str">
            <v>Infusion Pumps, General-Purpose</v>
          </cell>
          <cell r="G1035" t="str">
            <v>DO</v>
          </cell>
          <cell r="H1035" t="str">
            <v>DAY ONCOLOGY UNIT</v>
          </cell>
          <cell r="I1035" t="str">
            <v>04DO118</v>
          </cell>
          <cell r="J1035" t="str">
            <v>TREATMENT BAY 1</v>
          </cell>
          <cell r="K1035" t="str">
            <v>BMED</v>
          </cell>
          <cell r="L1035" t="str">
            <v>Critical</v>
          </cell>
          <cell r="M1035" t="str">
            <v>Germany</v>
          </cell>
          <cell r="N1035" t="str">
            <v>Infusomat</v>
          </cell>
          <cell r="O1035" t="str">
            <v>Infusomat Space</v>
          </cell>
          <cell r="P1035" t="str">
            <v>212157</v>
          </cell>
          <cell r="Q1035" t="str">
            <v>Not Applicable</v>
          </cell>
          <cell r="R1035" t="str">
            <v>B Braun Melsungen AG</v>
          </cell>
          <cell r="S1035" t="str">
            <v>B Braun Medical Supplies Sdn. Bhd.</v>
          </cell>
          <cell r="T1035" t="str">
            <v>Functioning</v>
          </cell>
          <cell r="U1035" t="str">
            <v>Asset</v>
          </cell>
          <cell r="V1035">
            <v>10825</v>
          </cell>
          <cell r="W1035" t="str">
            <v>KEW</v>
          </cell>
          <cell r="X1035" t="str">
            <v>01/09/2010</v>
          </cell>
          <cell r="Y1035" t="str">
            <v>KEW</v>
          </cell>
          <cell r="Z1035" t="str">
            <v>16/08/2013</v>
          </cell>
          <cell r="AA1035" t="str">
            <v>15/08/2015</v>
          </cell>
          <cell r="AB1035" t="str">
            <v>No</v>
          </cell>
          <cell r="AC1035" t="str">
            <v>31/08/2013</v>
          </cell>
          <cell r="AD1035" t="str">
            <v>Good</v>
          </cell>
          <cell r="AE1035" t="str">
            <v>V1 - Existing / No Claim</v>
          </cell>
          <cell r="AF1035">
            <v>42793</v>
          </cell>
          <cell r="AG1035">
            <v>9.17</v>
          </cell>
          <cell r="AH1035" t="str">
            <v>PPM</v>
          </cell>
          <cell r="AI1035" t="str">
            <v>Strands</v>
          </cell>
          <cell r="AJ1035" t="str">
            <v>Strands PW</v>
          </cell>
        </row>
        <row r="1036">
          <cell r="A1036" t="str">
            <v>IKN400616</v>
          </cell>
          <cell r="B1036">
            <v>616</v>
          </cell>
          <cell r="C1036" t="str">
            <v>Institut Kanser Negara</v>
          </cell>
          <cell r="D1036" t="str">
            <v>KKM/IKN/H/13/2416</v>
          </cell>
          <cell r="E1036" t="str">
            <v>12-647</v>
          </cell>
          <cell r="F1036" t="str">
            <v>Physiologic Monitoring Systems, Acute Care</v>
          </cell>
          <cell r="G1036" t="str">
            <v>DO</v>
          </cell>
          <cell r="H1036" t="str">
            <v>DAY ONCOLOGY UNIT</v>
          </cell>
          <cell r="I1036" t="str">
            <v>04DO118</v>
          </cell>
          <cell r="J1036" t="str">
            <v>TREATMENT BAY 1</v>
          </cell>
          <cell r="K1036" t="str">
            <v>BMED</v>
          </cell>
          <cell r="L1036" t="str">
            <v>Critical</v>
          </cell>
          <cell r="M1036" t="str">
            <v>USA</v>
          </cell>
          <cell r="N1036" t="str">
            <v>GE</v>
          </cell>
          <cell r="O1036" t="str">
            <v>GE B30</v>
          </cell>
          <cell r="P1036" t="str">
            <v>SF312315864WA</v>
          </cell>
          <cell r="Q1036" t="str">
            <v>Not Applicable</v>
          </cell>
          <cell r="R1036" t="str">
            <v>GE Healthcare Systems</v>
          </cell>
          <cell r="S1036" t="str">
            <v>GE Healthcare Technologies</v>
          </cell>
          <cell r="T1036" t="str">
            <v>Functioning</v>
          </cell>
          <cell r="U1036" t="str">
            <v>Asset</v>
          </cell>
          <cell r="V1036">
            <v>44510</v>
          </cell>
          <cell r="W1036" t="str">
            <v>KEW</v>
          </cell>
          <cell r="X1036" t="str">
            <v>01/09/2010</v>
          </cell>
          <cell r="Y1036" t="str">
            <v>KEW</v>
          </cell>
          <cell r="Z1036" t="str">
            <v>16/08/2013</v>
          </cell>
          <cell r="AA1036" t="str">
            <v>15/08/2015</v>
          </cell>
          <cell r="AB1036" t="str">
            <v>No</v>
          </cell>
          <cell r="AC1036" t="str">
            <v>31/08/2013</v>
          </cell>
          <cell r="AD1036" t="str">
            <v>Good</v>
          </cell>
          <cell r="AE1036" t="str">
            <v>V1 - Existing / No Claim</v>
          </cell>
          <cell r="AF1036">
            <v>42793</v>
          </cell>
          <cell r="AG1036">
            <v>9.17</v>
          </cell>
          <cell r="AH1036" t="str">
            <v>PPM</v>
          </cell>
          <cell r="AI1036" t="str">
            <v>Strands</v>
          </cell>
          <cell r="AJ1036" t="str">
            <v>Strands PW</v>
          </cell>
        </row>
        <row r="1037">
          <cell r="A1037" t="str">
            <v>IKN400617</v>
          </cell>
          <cell r="B1037">
            <v>617</v>
          </cell>
          <cell r="C1037" t="str">
            <v>Institut Kanser Negara</v>
          </cell>
          <cell r="D1037" t="str">
            <v>KKM/IKN/H/13/1601</v>
          </cell>
          <cell r="E1037" t="str">
            <v>17-950</v>
          </cell>
          <cell r="F1037" t="str">
            <v>Warming Units, Patient, Forced-Air</v>
          </cell>
          <cell r="G1037" t="str">
            <v>DO</v>
          </cell>
          <cell r="H1037" t="str">
            <v>DAY ONCOLOGY UNIT</v>
          </cell>
          <cell r="I1037" t="str">
            <v>04DO118</v>
          </cell>
          <cell r="J1037" t="str">
            <v>TREATMENT BAY 1</v>
          </cell>
          <cell r="K1037" t="str">
            <v>BMED</v>
          </cell>
          <cell r="L1037" t="str">
            <v>Normal</v>
          </cell>
          <cell r="M1037" t="str">
            <v>USA</v>
          </cell>
          <cell r="N1037" t="str">
            <v>Bair Hugger</v>
          </cell>
          <cell r="O1037" t="str">
            <v>Bair Hugger 775</v>
          </cell>
          <cell r="P1037" t="str">
            <v>35935</v>
          </cell>
          <cell r="Q1037" t="str">
            <v>Not Applicable</v>
          </cell>
          <cell r="R1037" t="str">
            <v>Arizant Healthcare Inc</v>
          </cell>
          <cell r="S1037" t="str">
            <v>Calmed Healthcare Sdn Bhd</v>
          </cell>
          <cell r="T1037" t="str">
            <v>Functioning</v>
          </cell>
          <cell r="U1037" t="str">
            <v>Asset</v>
          </cell>
          <cell r="V1037">
            <v>15515</v>
          </cell>
          <cell r="W1037" t="str">
            <v>KEW</v>
          </cell>
          <cell r="X1037" t="str">
            <v>01/09/2010</v>
          </cell>
          <cell r="Y1037" t="str">
            <v>KEW</v>
          </cell>
          <cell r="Z1037" t="str">
            <v>16/08/2013</v>
          </cell>
          <cell r="AA1037" t="str">
            <v>15/08/2015</v>
          </cell>
          <cell r="AB1037" t="str">
            <v>No</v>
          </cell>
          <cell r="AC1037" t="str">
            <v>31/08/2013</v>
          </cell>
          <cell r="AD1037" t="str">
            <v>Good</v>
          </cell>
          <cell r="AE1037" t="str">
            <v>V1 - Existing / No Claim</v>
          </cell>
          <cell r="AF1037">
            <v>42793</v>
          </cell>
          <cell r="AG1037">
            <v>9.17</v>
          </cell>
          <cell r="AH1037" t="str">
            <v>PPM</v>
          </cell>
          <cell r="AI1037" t="str">
            <v>Strands</v>
          </cell>
          <cell r="AJ1037" t="str">
            <v>Strands PW</v>
          </cell>
        </row>
        <row r="1038">
          <cell r="A1038" t="str">
            <v>IKN400618</v>
          </cell>
          <cell r="B1038">
            <v>618</v>
          </cell>
          <cell r="C1038" t="str">
            <v>Institut Kanser Negara</v>
          </cell>
          <cell r="D1038" t="str">
            <v>KKM/IKN/H/13/1602</v>
          </cell>
          <cell r="E1038" t="str">
            <v>17-950</v>
          </cell>
          <cell r="F1038" t="str">
            <v>Warming Units, Patient, Forced-Air</v>
          </cell>
          <cell r="G1038" t="str">
            <v>DO</v>
          </cell>
          <cell r="H1038" t="str">
            <v>DAY ONCOLOGY UNIT</v>
          </cell>
          <cell r="I1038" t="str">
            <v>04DO118</v>
          </cell>
          <cell r="J1038" t="str">
            <v>TREATMENT BAY 1</v>
          </cell>
          <cell r="K1038" t="str">
            <v>BMED</v>
          </cell>
          <cell r="L1038" t="str">
            <v>Normal</v>
          </cell>
          <cell r="M1038" t="str">
            <v>USA</v>
          </cell>
          <cell r="N1038" t="str">
            <v>Bair Hugger</v>
          </cell>
          <cell r="O1038" t="str">
            <v>Bair Hugger 775</v>
          </cell>
          <cell r="P1038" t="str">
            <v>35936</v>
          </cell>
          <cell r="Q1038" t="str">
            <v>Not Applicable</v>
          </cell>
          <cell r="R1038" t="str">
            <v>Arizant Healthcare Inc</v>
          </cell>
          <cell r="S1038" t="str">
            <v>Calmed Healthcare Sdn Bhd</v>
          </cell>
          <cell r="T1038" t="str">
            <v>Functioning</v>
          </cell>
          <cell r="U1038" t="str">
            <v>Asset</v>
          </cell>
          <cell r="V1038">
            <v>15515</v>
          </cell>
          <cell r="W1038" t="str">
            <v>KEW</v>
          </cell>
          <cell r="X1038" t="str">
            <v>01/09/2010</v>
          </cell>
          <cell r="Y1038" t="str">
            <v>KEW</v>
          </cell>
          <cell r="Z1038" t="str">
            <v>16/08/2013</v>
          </cell>
          <cell r="AA1038" t="str">
            <v>15/08/2015</v>
          </cell>
          <cell r="AB1038" t="str">
            <v>No</v>
          </cell>
          <cell r="AC1038" t="str">
            <v>31/08/2013</v>
          </cell>
          <cell r="AD1038" t="str">
            <v>Good</v>
          </cell>
          <cell r="AE1038" t="str">
            <v>V1 - Existing / No Claim</v>
          </cell>
          <cell r="AF1038">
            <v>42793</v>
          </cell>
          <cell r="AG1038">
            <v>9.17</v>
          </cell>
          <cell r="AH1038" t="str">
            <v>PPM</v>
          </cell>
          <cell r="AI1038" t="str">
            <v>Strands</v>
          </cell>
          <cell r="AJ1038" t="str">
            <v>Strands PW</v>
          </cell>
        </row>
        <row r="1039">
          <cell r="A1039" t="str">
            <v>IKN400619</v>
          </cell>
          <cell r="B1039">
            <v>619</v>
          </cell>
          <cell r="C1039" t="str">
            <v>Institut Kanser Negara</v>
          </cell>
          <cell r="D1039" t="e">
            <v>#N/A</v>
          </cell>
          <cell r="E1039" t="str">
            <v>13-215</v>
          </cell>
          <cell r="F1039" t="str">
            <v>Infusion Pumps, General-Purpose</v>
          </cell>
          <cell r="G1039" t="str">
            <v>DO</v>
          </cell>
          <cell r="H1039" t="str">
            <v>DAY ONCOLOGY UNIT</v>
          </cell>
          <cell r="I1039" t="str">
            <v>04DO119</v>
          </cell>
          <cell r="J1039" t="str">
            <v>TREATMENT BAY 2</v>
          </cell>
          <cell r="K1039" t="str">
            <v>BMED</v>
          </cell>
          <cell r="L1039" t="str">
            <v>Critical</v>
          </cell>
          <cell r="M1039" t="str">
            <v>Germany</v>
          </cell>
          <cell r="N1039" t="str">
            <v>Infusomat</v>
          </cell>
          <cell r="O1039" t="str">
            <v>Infusomat Space</v>
          </cell>
          <cell r="P1039" t="str">
            <v>200157</v>
          </cell>
          <cell r="Q1039" t="str">
            <v>Not Applicable</v>
          </cell>
          <cell r="R1039" t="str">
            <v>B Braun Melsungen AG</v>
          </cell>
          <cell r="S1039" t="str">
            <v>B Braun Medical Supplies Sdn. Bhd.</v>
          </cell>
          <cell r="T1039" t="str">
            <v>Functioning</v>
          </cell>
          <cell r="U1039" t="str">
            <v>Asset</v>
          </cell>
          <cell r="V1039">
            <v>10825</v>
          </cell>
          <cell r="W1039" t="str">
            <v>KEW</v>
          </cell>
          <cell r="X1039" t="str">
            <v>01/09/2010</v>
          </cell>
          <cell r="Y1039" t="str">
            <v>KEW</v>
          </cell>
          <cell r="Z1039" t="str">
            <v>16/08/2013</v>
          </cell>
          <cell r="AA1039" t="str">
            <v>15/08/2015</v>
          </cell>
          <cell r="AB1039" t="str">
            <v>No</v>
          </cell>
          <cell r="AC1039" t="str">
            <v>31/08/2013</v>
          </cell>
          <cell r="AD1039" t="str">
            <v>Good</v>
          </cell>
          <cell r="AE1039" t="str">
            <v>V1 - Existing / No Claim</v>
          </cell>
          <cell r="AF1039">
            <v>42793</v>
          </cell>
          <cell r="AG1039">
            <v>9.17</v>
          </cell>
          <cell r="AH1039" t="str">
            <v>PPM</v>
          </cell>
          <cell r="AI1039" t="str">
            <v>Propose P1.24</v>
          </cell>
        </row>
        <row r="1040">
          <cell r="A1040" t="str">
            <v>IKN400620</v>
          </cell>
          <cell r="B1040">
            <v>620</v>
          </cell>
          <cell r="C1040" t="str">
            <v>Institut Kanser Negara</v>
          </cell>
          <cell r="D1040" t="str">
            <v>KKM/IKN/H/13/1580</v>
          </cell>
          <cell r="E1040" t="str">
            <v>13-215</v>
          </cell>
          <cell r="F1040" t="str">
            <v>Infusion Pumps, General-Purpose</v>
          </cell>
          <cell r="G1040" t="str">
            <v>DO</v>
          </cell>
          <cell r="H1040" t="str">
            <v>DAY ONCOLOGY UNIT</v>
          </cell>
          <cell r="I1040" t="str">
            <v>04DO119</v>
          </cell>
          <cell r="J1040" t="str">
            <v>TREATMENT BAY 2</v>
          </cell>
          <cell r="K1040" t="str">
            <v>BMED</v>
          </cell>
          <cell r="L1040" t="str">
            <v>Critical</v>
          </cell>
          <cell r="M1040" t="str">
            <v>Germany</v>
          </cell>
          <cell r="N1040" t="str">
            <v>Infusomat</v>
          </cell>
          <cell r="O1040" t="str">
            <v>Infusomat Space</v>
          </cell>
          <cell r="P1040" t="str">
            <v>212077</v>
          </cell>
          <cell r="Q1040" t="str">
            <v>Not Applicable</v>
          </cell>
          <cell r="R1040" t="str">
            <v>B Braun Melsungen AG</v>
          </cell>
          <cell r="S1040" t="str">
            <v>B Braun Medical Supplies Sdn. Bhd.</v>
          </cell>
          <cell r="T1040" t="str">
            <v>Functioning</v>
          </cell>
          <cell r="U1040" t="str">
            <v>Asset</v>
          </cell>
          <cell r="V1040">
            <v>10825</v>
          </cell>
          <cell r="W1040" t="str">
            <v>KEW</v>
          </cell>
          <cell r="X1040" t="str">
            <v>01/09/2010</v>
          </cell>
          <cell r="Y1040" t="str">
            <v>KEW</v>
          </cell>
          <cell r="Z1040" t="str">
            <v>16/08/2013</v>
          </cell>
          <cell r="AA1040" t="str">
            <v>15/08/2015</v>
          </cell>
          <cell r="AB1040" t="str">
            <v>No</v>
          </cell>
          <cell r="AC1040" t="str">
            <v>31/08/2013</v>
          </cell>
          <cell r="AD1040" t="str">
            <v>Good</v>
          </cell>
          <cell r="AE1040" t="str">
            <v>V1 - Existing / No Claim</v>
          </cell>
          <cell r="AF1040">
            <v>42793</v>
          </cell>
          <cell r="AG1040">
            <v>9.17</v>
          </cell>
          <cell r="AH1040" t="str">
            <v>PPM</v>
          </cell>
          <cell r="AI1040" t="str">
            <v>Strands</v>
          </cell>
          <cell r="AJ1040" t="str">
            <v>Strands PW</v>
          </cell>
        </row>
        <row r="1041">
          <cell r="A1041" t="str">
            <v>IKN400621</v>
          </cell>
          <cell r="B1041">
            <v>621</v>
          </cell>
          <cell r="C1041" t="str">
            <v>Institut Kanser Negara</v>
          </cell>
          <cell r="D1041" t="str">
            <v>KKM/IKN/H/13/1581</v>
          </cell>
          <cell r="E1041" t="str">
            <v>13-215</v>
          </cell>
          <cell r="F1041" t="str">
            <v>Infusion Pumps, General-Purpose</v>
          </cell>
          <cell r="G1041" t="str">
            <v>DO</v>
          </cell>
          <cell r="H1041" t="str">
            <v>DAY ONCOLOGY UNIT</v>
          </cell>
          <cell r="I1041" t="str">
            <v>04DO119</v>
          </cell>
          <cell r="J1041" t="str">
            <v>TREATMENT BAY 2</v>
          </cell>
          <cell r="K1041" t="str">
            <v>BMED</v>
          </cell>
          <cell r="L1041" t="str">
            <v>Critical</v>
          </cell>
          <cell r="M1041" t="str">
            <v>Germany</v>
          </cell>
          <cell r="N1041" t="str">
            <v>Infusomat</v>
          </cell>
          <cell r="O1041" t="str">
            <v>Infusomat Space</v>
          </cell>
          <cell r="P1041" t="str">
            <v>212092</v>
          </cell>
          <cell r="Q1041" t="str">
            <v>Not Applicable</v>
          </cell>
          <cell r="R1041" t="str">
            <v>B Braun Melsungen AG</v>
          </cell>
          <cell r="S1041" t="str">
            <v>B Braun Medical Supplies Sdn. Bhd.</v>
          </cell>
          <cell r="T1041" t="str">
            <v>Functioning</v>
          </cell>
          <cell r="U1041" t="str">
            <v>Asset</v>
          </cell>
          <cell r="V1041">
            <v>10825</v>
          </cell>
          <cell r="W1041" t="str">
            <v>KEW</v>
          </cell>
          <cell r="X1041" t="str">
            <v>01/09/2010</v>
          </cell>
          <cell r="Y1041" t="str">
            <v>KEW</v>
          </cell>
          <cell r="Z1041" t="str">
            <v>16/08/2013</v>
          </cell>
          <cell r="AA1041" t="str">
            <v>15/08/2015</v>
          </cell>
          <cell r="AB1041" t="str">
            <v>No</v>
          </cell>
          <cell r="AC1041" t="str">
            <v>31/08/2013</v>
          </cell>
          <cell r="AD1041" t="str">
            <v>Good</v>
          </cell>
          <cell r="AE1041" t="str">
            <v>V1 - Existing / No Claim</v>
          </cell>
          <cell r="AF1041">
            <v>42793</v>
          </cell>
          <cell r="AG1041">
            <v>9.17</v>
          </cell>
          <cell r="AH1041" t="str">
            <v>PPM</v>
          </cell>
          <cell r="AI1041" t="str">
            <v>Strands</v>
          </cell>
          <cell r="AJ1041" t="str">
            <v>Strands PW</v>
          </cell>
        </row>
        <row r="1042">
          <cell r="A1042" t="str">
            <v>IKN400622</v>
          </cell>
          <cell r="B1042">
            <v>622</v>
          </cell>
          <cell r="C1042" t="str">
            <v>Institut Kanser Negara</v>
          </cell>
          <cell r="D1042" t="str">
            <v>KKM/IKN/H/13/1582</v>
          </cell>
          <cell r="E1042" t="str">
            <v>13-215</v>
          </cell>
          <cell r="F1042" t="str">
            <v>Infusion Pumps, General-Purpose</v>
          </cell>
          <cell r="G1042" t="str">
            <v>DO</v>
          </cell>
          <cell r="H1042" t="str">
            <v>DAY ONCOLOGY UNIT</v>
          </cell>
          <cell r="I1042" t="str">
            <v>04DO119</v>
          </cell>
          <cell r="J1042" t="str">
            <v>TREATMENT BAY 2</v>
          </cell>
          <cell r="K1042" t="str">
            <v>BMED</v>
          </cell>
          <cell r="L1042" t="str">
            <v>Critical</v>
          </cell>
          <cell r="M1042" t="str">
            <v>Germany</v>
          </cell>
          <cell r="N1042" t="str">
            <v>Infusomat</v>
          </cell>
          <cell r="O1042" t="str">
            <v>Infusomat Space</v>
          </cell>
          <cell r="P1042" t="str">
            <v>212110</v>
          </cell>
          <cell r="Q1042" t="str">
            <v>Not Applicable</v>
          </cell>
          <cell r="R1042" t="str">
            <v>B Braun Melsungen AG</v>
          </cell>
          <cell r="S1042" t="str">
            <v>B Braun Medical Supplies Sdn. Bhd.</v>
          </cell>
          <cell r="T1042" t="str">
            <v>Functioning</v>
          </cell>
          <cell r="U1042" t="str">
            <v>Asset</v>
          </cell>
          <cell r="V1042">
            <v>10825</v>
          </cell>
          <cell r="W1042" t="str">
            <v>KEW</v>
          </cell>
          <cell r="X1042" t="str">
            <v>01/09/2010</v>
          </cell>
          <cell r="Y1042" t="str">
            <v>KEW</v>
          </cell>
          <cell r="Z1042" t="str">
            <v>16/08/2013</v>
          </cell>
          <cell r="AA1042" t="str">
            <v>15/08/2015</v>
          </cell>
          <cell r="AB1042" t="str">
            <v>No</v>
          </cell>
          <cell r="AC1042" t="str">
            <v>31/08/2013</v>
          </cell>
          <cell r="AD1042" t="str">
            <v>Good</v>
          </cell>
          <cell r="AE1042" t="str">
            <v>V1 - Existing / No Claim</v>
          </cell>
          <cell r="AF1042">
            <v>42793</v>
          </cell>
          <cell r="AG1042">
            <v>9.17</v>
          </cell>
          <cell r="AH1042" t="str">
            <v>PPM</v>
          </cell>
          <cell r="AI1042" t="str">
            <v>Strands</v>
          </cell>
          <cell r="AJ1042" t="str">
            <v>Strands PW</v>
          </cell>
        </row>
        <row r="1043">
          <cell r="A1043" t="str">
            <v>IKN400623</v>
          </cell>
          <cell r="B1043">
            <v>623</v>
          </cell>
          <cell r="C1043" t="str">
            <v>Institut Kanser Negara</v>
          </cell>
          <cell r="D1043" t="str">
            <v>KKM/IKN/H/13/1583</v>
          </cell>
          <cell r="E1043" t="str">
            <v>13-215</v>
          </cell>
          <cell r="F1043" t="str">
            <v>Infusion Pumps, General-Purpose</v>
          </cell>
          <cell r="G1043" t="str">
            <v>DO</v>
          </cell>
          <cell r="H1043" t="str">
            <v>DAY ONCOLOGY UNIT</v>
          </cell>
          <cell r="I1043" t="str">
            <v>04DO119</v>
          </cell>
          <cell r="J1043" t="str">
            <v>TREATMENT BAY 2</v>
          </cell>
          <cell r="K1043" t="str">
            <v>BMED</v>
          </cell>
          <cell r="L1043" t="str">
            <v>Critical</v>
          </cell>
          <cell r="M1043" t="str">
            <v>Germany</v>
          </cell>
          <cell r="N1043" t="str">
            <v>Infusomat</v>
          </cell>
          <cell r="O1043" t="str">
            <v>Infusomat Space</v>
          </cell>
          <cell r="P1043" t="str">
            <v>212255</v>
          </cell>
          <cell r="Q1043" t="str">
            <v>Not Applicable</v>
          </cell>
          <cell r="R1043" t="str">
            <v>B Braun Melsungen AG</v>
          </cell>
          <cell r="S1043" t="str">
            <v>B Braun Medical Supplies Sdn. Bhd.</v>
          </cell>
          <cell r="T1043" t="str">
            <v>Functioning</v>
          </cell>
          <cell r="U1043" t="str">
            <v>Asset</v>
          </cell>
          <cell r="V1043">
            <v>10825</v>
          </cell>
          <cell r="W1043" t="str">
            <v>KEW</v>
          </cell>
          <cell r="X1043" t="str">
            <v>01/09/2010</v>
          </cell>
          <cell r="Y1043" t="str">
            <v>KEW</v>
          </cell>
          <cell r="Z1043" t="str">
            <v>16/08/2013</v>
          </cell>
          <cell r="AA1043" t="str">
            <v>15/08/2015</v>
          </cell>
          <cell r="AB1043" t="str">
            <v>No</v>
          </cell>
          <cell r="AC1043" t="str">
            <v>31/08/2013</v>
          </cell>
          <cell r="AD1043" t="str">
            <v>Good</v>
          </cell>
          <cell r="AE1043" t="str">
            <v>V1 - Existing / No Claim</v>
          </cell>
          <cell r="AF1043">
            <v>42793</v>
          </cell>
          <cell r="AG1043">
            <v>9.17</v>
          </cell>
          <cell r="AH1043" t="str">
            <v>PPM</v>
          </cell>
          <cell r="AI1043" t="str">
            <v>Strands</v>
          </cell>
          <cell r="AJ1043" t="str">
            <v>Strands PW</v>
          </cell>
        </row>
        <row r="1044">
          <cell r="A1044" t="str">
            <v>IKN400624</v>
          </cell>
          <cell r="B1044">
            <v>624</v>
          </cell>
          <cell r="C1044" t="str">
            <v>Institut Kanser Negara</v>
          </cell>
          <cell r="D1044" t="str">
            <v>KKM/IKN/H/13/1584</v>
          </cell>
          <cell r="E1044" t="str">
            <v>13-215</v>
          </cell>
          <cell r="F1044" t="str">
            <v>Infusion Pumps, General-Purpose</v>
          </cell>
          <cell r="G1044" t="str">
            <v>DO</v>
          </cell>
          <cell r="H1044" t="str">
            <v>DAY ONCOLOGY UNIT</v>
          </cell>
          <cell r="I1044" t="str">
            <v>04DO119</v>
          </cell>
          <cell r="J1044" t="str">
            <v>TREATMENT BAY 2</v>
          </cell>
          <cell r="K1044" t="str">
            <v>BMED</v>
          </cell>
          <cell r="L1044" t="str">
            <v>Critical</v>
          </cell>
          <cell r="M1044" t="str">
            <v>Germany</v>
          </cell>
          <cell r="N1044" t="str">
            <v>Infusomat</v>
          </cell>
          <cell r="O1044" t="str">
            <v>Infusomat Space</v>
          </cell>
          <cell r="P1044" t="str">
            <v>212005</v>
          </cell>
          <cell r="Q1044" t="str">
            <v>Not Applicable</v>
          </cell>
          <cell r="R1044" t="str">
            <v>B Braun Melsungen AG</v>
          </cell>
          <cell r="S1044" t="str">
            <v>B Braun Medical Supplies Sdn. Bhd.</v>
          </cell>
          <cell r="T1044" t="str">
            <v>Functioning</v>
          </cell>
          <cell r="U1044" t="str">
            <v>Asset</v>
          </cell>
          <cell r="V1044">
            <v>10825</v>
          </cell>
          <cell r="W1044" t="str">
            <v>KEW</v>
          </cell>
          <cell r="X1044" t="str">
            <v>01/09/2010</v>
          </cell>
          <cell r="Y1044" t="str">
            <v>KEW</v>
          </cell>
          <cell r="Z1044" t="str">
            <v>16/08/2013</v>
          </cell>
          <cell r="AA1044" t="str">
            <v>15/08/2015</v>
          </cell>
          <cell r="AB1044" t="str">
            <v>No</v>
          </cell>
          <cell r="AC1044" t="str">
            <v>31/08/2013</v>
          </cell>
          <cell r="AD1044" t="str">
            <v>Good</v>
          </cell>
          <cell r="AE1044" t="str">
            <v>V1 - Existing / No Claim</v>
          </cell>
          <cell r="AF1044">
            <v>42793</v>
          </cell>
          <cell r="AG1044">
            <v>9.17</v>
          </cell>
          <cell r="AH1044" t="str">
            <v>PPM</v>
          </cell>
          <cell r="AI1044" t="str">
            <v>Strands</v>
          </cell>
          <cell r="AJ1044" t="str">
            <v>Strands PW</v>
          </cell>
        </row>
        <row r="1045">
          <cell r="A1045" t="str">
            <v>IKN400625</v>
          </cell>
          <cell r="B1045">
            <v>625</v>
          </cell>
          <cell r="C1045" t="str">
            <v>Institut Kanser Negara</v>
          </cell>
          <cell r="D1045" t="str">
            <v>KKM/IKN/H/13/5132</v>
          </cell>
          <cell r="E1045" t="str">
            <v>12-647</v>
          </cell>
          <cell r="F1045" t="str">
            <v>Physiologic Monitoring Systems, Acute Care</v>
          </cell>
          <cell r="G1045" t="str">
            <v>DO</v>
          </cell>
          <cell r="H1045" t="str">
            <v>DAY ONCOLOGY UNIT</v>
          </cell>
          <cell r="I1045" t="str">
            <v>04DO119</v>
          </cell>
          <cell r="J1045" t="str">
            <v>TREATMENT BAY 2</v>
          </cell>
          <cell r="K1045" t="str">
            <v>BMED</v>
          </cell>
          <cell r="L1045" t="str">
            <v>Normal</v>
          </cell>
          <cell r="M1045" t="str">
            <v>USA</v>
          </cell>
          <cell r="N1045" t="str">
            <v>GE</v>
          </cell>
          <cell r="O1045" t="str">
            <v>GE B30</v>
          </cell>
          <cell r="P1045" t="str">
            <v>SF312325901WA</v>
          </cell>
          <cell r="Q1045" t="str">
            <v>Not Applicable</v>
          </cell>
          <cell r="R1045" t="str">
            <v>GE Healthcare Systems</v>
          </cell>
          <cell r="S1045" t="str">
            <v>GE Healthcare Technologies</v>
          </cell>
          <cell r="T1045" t="str">
            <v>Functioning</v>
          </cell>
          <cell r="U1045" t="str">
            <v>Asset</v>
          </cell>
          <cell r="V1045">
            <v>44510</v>
          </cell>
          <cell r="W1045" t="str">
            <v>KEW</v>
          </cell>
          <cell r="X1045" t="str">
            <v>01/09/2010</v>
          </cell>
          <cell r="Y1045" t="str">
            <v>KEW</v>
          </cell>
          <cell r="Z1045" t="str">
            <v>16/08/2013</v>
          </cell>
          <cell r="AA1045" t="str">
            <v>15/08/2015</v>
          </cell>
          <cell r="AB1045" t="str">
            <v>No</v>
          </cell>
          <cell r="AC1045" t="str">
            <v>31/08/2013</v>
          </cell>
          <cell r="AD1045" t="str">
            <v>Good</v>
          </cell>
          <cell r="AE1045" t="str">
            <v>V1 - Existing / No Claim</v>
          </cell>
          <cell r="AF1045">
            <v>42235</v>
          </cell>
          <cell r="AG1045">
            <v>9.17</v>
          </cell>
          <cell r="AH1045" t="str">
            <v>PPM</v>
          </cell>
          <cell r="AI1045" t="str">
            <v>Strands</v>
          </cell>
          <cell r="AJ1045" t="str">
            <v>Strands PW</v>
          </cell>
        </row>
        <row r="1046">
          <cell r="A1046" t="str">
            <v>IKN400626</v>
          </cell>
          <cell r="B1046">
            <v>626</v>
          </cell>
          <cell r="C1046" t="str">
            <v>Institut Kanser Negara</v>
          </cell>
          <cell r="D1046" t="str">
            <v>KKM/IKN/H/13/1603</v>
          </cell>
          <cell r="E1046" t="str">
            <v>17-950</v>
          </cell>
          <cell r="F1046" t="str">
            <v>Warming Units, Patient, Forced-Air</v>
          </cell>
          <cell r="G1046" t="str">
            <v>RT</v>
          </cell>
          <cell r="H1046" t="str">
            <v>RADIATION TREATMENT UNIT</v>
          </cell>
          <cell r="I1046" t="str">
            <v>01RT243</v>
          </cell>
          <cell r="J1046" t="str">
            <v>NURSE STATION</v>
          </cell>
          <cell r="K1046" t="str">
            <v>BMED</v>
          </cell>
          <cell r="L1046" t="str">
            <v>Normal</v>
          </cell>
          <cell r="M1046" t="str">
            <v>USA</v>
          </cell>
          <cell r="N1046" t="str">
            <v>Bair Hugger</v>
          </cell>
          <cell r="O1046" t="str">
            <v>Bair Hugger 775</v>
          </cell>
          <cell r="P1046" t="str">
            <v>35938</v>
          </cell>
          <cell r="Q1046" t="str">
            <v>Not Applicable</v>
          </cell>
          <cell r="R1046" t="str">
            <v>Arizant Healthcare Inc</v>
          </cell>
          <cell r="S1046" t="str">
            <v>Calmed Healthcare Sdn Bhd</v>
          </cell>
          <cell r="T1046" t="str">
            <v>Functioning</v>
          </cell>
          <cell r="U1046" t="str">
            <v>Asset</v>
          </cell>
          <cell r="V1046">
            <v>15515</v>
          </cell>
          <cell r="W1046" t="str">
            <v>KEW</v>
          </cell>
          <cell r="X1046" t="str">
            <v>01/09/2010</v>
          </cell>
          <cell r="Y1046" t="str">
            <v>KEW</v>
          </cell>
          <cell r="Z1046" t="str">
            <v>16/08/2013</v>
          </cell>
          <cell r="AA1046" t="str">
            <v>15/08/2015</v>
          </cell>
          <cell r="AB1046" t="str">
            <v>No</v>
          </cell>
          <cell r="AC1046" t="str">
            <v>31/08/2013</v>
          </cell>
          <cell r="AD1046" t="str">
            <v>Good</v>
          </cell>
          <cell r="AE1046" t="str">
            <v>V1 - Existing / No Claim</v>
          </cell>
          <cell r="AF1046">
            <v>42871</v>
          </cell>
          <cell r="AG1046">
            <v>9.17</v>
          </cell>
          <cell r="AH1046" t="str">
            <v>PPM</v>
          </cell>
          <cell r="AI1046" t="str">
            <v>Strands</v>
          </cell>
          <cell r="AJ1046" t="str">
            <v>Strands PW</v>
          </cell>
        </row>
        <row r="1047">
          <cell r="A1047" t="str">
            <v>IKN400627</v>
          </cell>
          <cell r="B1047">
            <v>627</v>
          </cell>
          <cell r="C1047" t="str">
            <v>Institut Kanser Negara</v>
          </cell>
          <cell r="D1047" t="str">
            <v>KKM/IKN/H/13/1604</v>
          </cell>
          <cell r="E1047" t="str">
            <v>17-950</v>
          </cell>
          <cell r="F1047" t="str">
            <v>Warming Units, Patient, Forced-Air</v>
          </cell>
          <cell r="G1047" t="str">
            <v>DO</v>
          </cell>
          <cell r="H1047" t="str">
            <v>DAY ONCOLOGY UNIT</v>
          </cell>
          <cell r="I1047" t="str">
            <v>04DO119</v>
          </cell>
          <cell r="J1047" t="str">
            <v>TREATMENT BAY 2</v>
          </cell>
          <cell r="K1047" t="str">
            <v>BMED</v>
          </cell>
          <cell r="L1047" t="str">
            <v>Normal</v>
          </cell>
          <cell r="M1047" t="str">
            <v>USA</v>
          </cell>
          <cell r="N1047" t="str">
            <v>Bair Hugger</v>
          </cell>
          <cell r="O1047" t="str">
            <v>Bair Hugger 775</v>
          </cell>
          <cell r="P1047" t="str">
            <v>35937</v>
          </cell>
          <cell r="Q1047" t="str">
            <v>Not Applicable</v>
          </cell>
          <cell r="R1047" t="str">
            <v>Arizant Healthcare Inc</v>
          </cell>
          <cell r="S1047" t="str">
            <v>Calmed Healthcare Sdn Bhd</v>
          </cell>
          <cell r="T1047" t="str">
            <v>Functioning</v>
          </cell>
          <cell r="U1047" t="str">
            <v>Asset</v>
          </cell>
          <cell r="V1047">
            <v>15515</v>
          </cell>
          <cell r="W1047" t="str">
            <v>KEW</v>
          </cell>
          <cell r="X1047" t="str">
            <v>01/09/2010</v>
          </cell>
          <cell r="Y1047" t="str">
            <v>KEW</v>
          </cell>
          <cell r="Z1047" t="str">
            <v>16/08/2013</v>
          </cell>
          <cell r="AA1047" t="str">
            <v>15/08/2015</v>
          </cell>
          <cell r="AB1047" t="str">
            <v>No</v>
          </cell>
          <cell r="AC1047" t="str">
            <v>31/08/2013</v>
          </cell>
          <cell r="AD1047" t="str">
            <v>Good</v>
          </cell>
          <cell r="AE1047" t="str">
            <v>V1 - Existing / No Claim</v>
          </cell>
          <cell r="AF1047">
            <v>42793</v>
          </cell>
          <cell r="AG1047">
            <v>9.17</v>
          </cell>
          <cell r="AH1047" t="str">
            <v>PPM</v>
          </cell>
          <cell r="AI1047" t="str">
            <v>Strands</v>
          </cell>
          <cell r="AJ1047" t="str">
            <v>Strands PW</v>
          </cell>
        </row>
        <row r="1048">
          <cell r="A1048" t="str">
            <v>IKN400628</v>
          </cell>
          <cell r="B1048">
            <v>628</v>
          </cell>
          <cell r="C1048" t="str">
            <v>Institut Kanser Negara</v>
          </cell>
          <cell r="D1048" t="str">
            <v>KKM/IKN/H/13/1585</v>
          </cell>
          <cell r="E1048" t="str">
            <v>13-215</v>
          </cell>
          <cell r="F1048" t="str">
            <v>Infusion Pumps, General-Purpose</v>
          </cell>
          <cell r="G1048" t="str">
            <v>DO</v>
          </cell>
          <cell r="H1048" t="str">
            <v>DAY ONCOLOGY UNIT</v>
          </cell>
          <cell r="I1048" t="str">
            <v>04DO120</v>
          </cell>
          <cell r="J1048" t="str">
            <v>TREATMENT BAY 3</v>
          </cell>
          <cell r="K1048" t="str">
            <v>BMED</v>
          </cell>
          <cell r="L1048" t="str">
            <v>Critical</v>
          </cell>
          <cell r="M1048" t="str">
            <v>Germany</v>
          </cell>
          <cell r="N1048" t="str">
            <v>Infusomat</v>
          </cell>
          <cell r="O1048" t="str">
            <v>Infusomat Space</v>
          </cell>
          <cell r="P1048" t="str">
            <v>212037</v>
          </cell>
          <cell r="Q1048" t="str">
            <v>Not Applicable</v>
          </cell>
          <cell r="R1048" t="str">
            <v>B Braun Melsungen AG</v>
          </cell>
          <cell r="S1048" t="str">
            <v>B Braun Medical Supplies Sdn. Bhd.</v>
          </cell>
          <cell r="T1048" t="str">
            <v>Functioning</v>
          </cell>
          <cell r="U1048" t="str">
            <v>Asset</v>
          </cell>
          <cell r="V1048">
            <v>10825</v>
          </cell>
          <cell r="W1048" t="str">
            <v>KEW</v>
          </cell>
          <cell r="X1048" t="str">
            <v>01/09/2010</v>
          </cell>
          <cell r="Y1048" t="str">
            <v>KEW</v>
          </cell>
          <cell r="Z1048" t="str">
            <v>16/08/2013</v>
          </cell>
          <cell r="AA1048" t="str">
            <v>15/08/2015</v>
          </cell>
          <cell r="AB1048" t="str">
            <v>No</v>
          </cell>
          <cell r="AC1048" t="str">
            <v>31/08/2013</v>
          </cell>
          <cell r="AD1048" t="str">
            <v>Good</v>
          </cell>
          <cell r="AE1048" t="str">
            <v>V1 - Existing / No Claim</v>
          </cell>
          <cell r="AF1048">
            <v>42793</v>
          </cell>
          <cell r="AG1048">
            <v>9.17</v>
          </cell>
          <cell r="AH1048" t="str">
            <v>PPM</v>
          </cell>
          <cell r="AI1048" t="str">
            <v>Strands</v>
          </cell>
          <cell r="AJ1048" t="str">
            <v>Strands PW</v>
          </cell>
        </row>
        <row r="1049">
          <cell r="A1049" t="str">
            <v>IKN400629</v>
          </cell>
          <cell r="B1049">
            <v>629</v>
          </cell>
          <cell r="C1049" t="str">
            <v>Institut Kanser Negara</v>
          </cell>
          <cell r="D1049" t="str">
            <v>KKM/IKN/H/13/1586</v>
          </cell>
          <cell r="E1049" t="str">
            <v>13-215</v>
          </cell>
          <cell r="F1049" t="str">
            <v>Infusion Pumps, General-Purpose</v>
          </cell>
          <cell r="G1049" t="str">
            <v>DO</v>
          </cell>
          <cell r="H1049" t="str">
            <v>DAY ONCOLOGY UNIT</v>
          </cell>
          <cell r="I1049" t="str">
            <v>04DO120</v>
          </cell>
          <cell r="J1049" t="str">
            <v>TREATMENT BAY 3</v>
          </cell>
          <cell r="K1049" t="str">
            <v>BMED</v>
          </cell>
          <cell r="L1049" t="str">
            <v>Critical</v>
          </cell>
          <cell r="M1049" t="str">
            <v>Germany</v>
          </cell>
          <cell r="N1049" t="str">
            <v>Infusomat</v>
          </cell>
          <cell r="O1049" t="str">
            <v>Infusomat Space</v>
          </cell>
          <cell r="P1049" t="str">
            <v>212104</v>
          </cell>
          <cell r="Q1049" t="str">
            <v>Not Applicable</v>
          </cell>
          <cell r="R1049" t="str">
            <v>B Braun Melsungen AG</v>
          </cell>
          <cell r="S1049" t="str">
            <v>B Braun Medical Supplies Sdn. Bhd.</v>
          </cell>
          <cell r="T1049" t="str">
            <v>Functioning</v>
          </cell>
          <cell r="U1049" t="str">
            <v>Asset</v>
          </cell>
          <cell r="V1049">
            <v>10825</v>
          </cell>
          <cell r="W1049" t="str">
            <v>KEW</v>
          </cell>
          <cell r="X1049" t="str">
            <v>01/09/2010</v>
          </cell>
          <cell r="Y1049" t="str">
            <v>KEW</v>
          </cell>
          <cell r="Z1049" t="str">
            <v>16/08/2013</v>
          </cell>
          <cell r="AA1049" t="str">
            <v>15/08/2015</v>
          </cell>
          <cell r="AB1049" t="str">
            <v>No</v>
          </cell>
          <cell r="AC1049" t="str">
            <v>31/08/2013</v>
          </cell>
          <cell r="AD1049" t="str">
            <v>Good</v>
          </cell>
          <cell r="AE1049" t="str">
            <v>V1 - Existing / No Claim</v>
          </cell>
          <cell r="AF1049">
            <v>42793</v>
          </cell>
          <cell r="AG1049">
            <v>9.17</v>
          </cell>
          <cell r="AH1049" t="str">
            <v>PPM</v>
          </cell>
          <cell r="AI1049" t="str">
            <v>Strands</v>
          </cell>
          <cell r="AJ1049" t="str">
            <v>Strands PW</v>
          </cell>
        </row>
        <row r="1050">
          <cell r="A1050" t="str">
            <v>IKN400630</v>
          </cell>
          <cell r="B1050">
            <v>630</v>
          </cell>
          <cell r="C1050" t="str">
            <v>Institut Kanser Negara</v>
          </cell>
          <cell r="D1050" t="str">
            <v>KKM/IKN/H/13/1587</v>
          </cell>
          <cell r="E1050" t="str">
            <v>13-215</v>
          </cell>
          <cell r="F1050" t="str">
            <v>Infusion Pumps, General-Purpose</v>
          </cell>
          <cell r="G1050" t="str">
            <v>DO</v>
          </cell>
          <cell r="H1050" t="str">
            <v>DAY ONCOLOGY UNIT</v>
          </cell>
          <cell r="I1050" t="str">
            <v>04DO120</v>
          </cell>
          <cell r="J1050" t="str">
            <v>TREATMENT BAY 3</v>
          </cell>
          <cell r="K1050" t="str">
            <v>BMED</v>
          </cell>
          <cell r="L1050" t="str">
            <v>Critical</v>
          </cell>
          <cell r="M1050" t="str">
            <v>Germany</v>
          </cell>
          <cell r="N1050" t="str">
            <v>Infusomat</v>
          </cell>
          <cell r="O1050" t="str">
            <v>Infusomat Space</v>
          </cell>
          <cell r="P1050" t="str">
            <v>212062</v>
          </cell>
          <cell r="Q1050" t="str">
            <v>Not Applicable</v>
          </cell>
          <cell r="R1050" t="str">
            <v>B Braun Melsungen AG</v>
          </cell>
          <cell r="S1050" t="str">
            <v>B Braun Medical Supplies Sdn. Bhd.</v>
          </cell>
          <cell r="T1050" t="str">
            <v>Functioning</v>
          </cell>
          <cell r="U1050" t="str">
            <v>Asset</v>
          </cell>
          <cell r="V1050">
            <v>10825</v>
          </cell>
          <cell r="W1050" t="str">
            <v>KEW</v>
          </cell>
          <cell r="X1050" t="str">
            <v>01/09/2010</v>
          </cell>
          <cell r="Y1050" t="str">
            <v>KEW</v>
          </cell>
          <cell r="Z1050" t="str">
            <v>16/08/2013</v>
          </cell>
          <cell r="AA1050" t="str">
            <v>15/08/2015</v>
          </cell>
          <cell r="AB1050" t="str">
            <v>No</v>
          </cell>
          <cell r="AC1050" t="str">
            <v>31/08/2013</v>
          </cell>
          <cell r="AD1050" t="str">
            <v>Good</v>
          </cell>
          <cell r="AE1050" t="str">
            <v>V1 - Existing / No Claim</v>
          </cell>
          <cell r="AF1050">
            <v>42793</v>
          </cell>
          <cell r="AG1050">
            <v>9.17</v>
          </cell>
          <cell r="AH1050" t="str">
            <v>PPM</v>
          </cell>
          <cell r="AI1050" t="str">
            <v>Strands</v>
          </cell>
          <cell r="AJ1050" t="str">
            <v>Strands PW</v>
          </cell>
        </row>
        <row r="1051">
          <cell r="A1051" t="str">
            <v>IKN400631</v>
          </cell>
          <cell r="B1051">
            <v>631</v>
          </cell>
          <cell r="C1051" t="str">
            <v>Institut Kanser Negara</v>
          </cell>
          <cell r="D1051" t="str">
            <v>KKM/IKN/H/13/1588</v>
          </cell>
          <cell r="E1051" t="str">
            <v>13-215</v>
          </cell>
          <cell r="F1051" t="str">
            <v>Infusion Pumps, General-Purpose</v>
          </cell>
          <cell r="G1051" t="str">
            <v>DO</v>
          </cell>
          <cell r="H1051" t="str">
            <v>DAY ONCOLOGY UNIT</v>
          </cell>
          <cell r="I1051" t="str">
            <v>04DO120</v>
          </cell>
          <cell r="J1051" t="str">
            <v>TREATMENT BAY 3</v>
          </cell>
          <cell r="K1051" t="str">
            <v>BMED</v>
          </cell>
          <cell r="L1051" t="str">
            <v>Critical</v>
          </cell>
          <cell r="M1051" t="str">
            <v>Germany</v>
          </cell>
          <cell r="N1051" t="str">
            <v>Infusomat</v>
          </cell>
          <cell r="O1051" t="str">
            <v>Infusomat Space</v>
          </cell>
          <cell r="P1051" t="str">
            <v>212106</v>
          </cell>
          <cell r="Q1051" t="str">
            <v>Not Applicable</v>
          </cell>
          <cell r="R1051" t="str">
            <v>B Braun Melsungen AG</v>
          </cell>
          <cell r="S1051" t="str">
            <v>B Braun Medical Supplies Sdn. Bhd.</v>
          </cell>
          <cell r="T1051" t="str">
            <v>Functioning</v>
          </cell>
          <cell r="U1051" t="str">
            <v>Asset</v>
          </cell>
          <cell r="V1051">
            <v>10825</v>
          </cell>
          <cell r="W1051" t="str">
            <v>KEW</v>
          </cell>
          <cell r="X1051" t="str">
            <v>01/09/2010</v>
          </cell>
          <cell r="Y1051" t="str">
            <v>KEW</v>
          </cell>
          <cell r="Z1051" t="str">
            <v>16/08/2013</v>
          </cell>
          <cell r="AA1051" t="str">
            <v>15/08/2015</v>
          </cell>
          <cell r="AB1051" t="str">
            <v>No</v>
          </cell>
          <cell r="AC1051" t="str">
            <v>31/08/2013</v>
          </cell>
          <cell r="AD1051" t="str">
            <v>Good</v>
          </cell>
          <cell r="AE1051" t="str">
            <v>V1 - Existing / No Claim</v>
          </cell>
          <cell r="AF1051">
            <v>42793</v>
          </cell>
          <cell r="AG1051">
            <v>9.17</v>
          </cell>
          <cell r="AH1051" t="str">
            <v>PPM</v>
          </cell>
          <cell r="AI1051" t="str">
            <v>Strands</v>
          </cell>
          <cell r="AJ1051" t="str">
            <v>Strands PW</v>
          </cell>
        </row>
        <row r="1052">
          <cell r="A1052" t="str">
            <v>IKN400632</v>
          </cell>
          <cell r="B1052">
            <v>632</v>
          </cell>
          <cell r="C1052" t="str">
            <v>Institut Kanser Negara</v>
          </cell>
          <cell r="D1052" t="str">
            <v>KKM/IKN/H/13/1589</v>
          </cell>
          <cell r="E1052" t="str">
            <v>13-215</v>
          </cell>
          <cell r="F1052" t="str">
            <v>Infusion Pumps, General-Purpose</v>
          </cell>
          <cell r="G1052" t="str">
            <v>DO</v>
          </cell>
          <cell r="H1052" t="str">
            <v>DAY ONCOLOGY UNIT</v>
          </cell>
          <cell r="I1052" t="str">
            <v>04DO120</v>
          </cell>
          <cell r="J1052" t="str">
            <v>TREATMENT BAY 3</v>
          </cell>
          <cell r="K1052" t="str">
            <v>BMED</v>
          </cell>
          <cell r="L1052" t="str">
            <v>Critical</v>
          </cell>
          <cell r="M1052" t="str">
            <v>Germany</v>
          </cell>
          <cell r="N1052" t="str">
            <v>Infusomat</v>
          </cell>
          <cell r="O1052" t="str">
            <v>Infusomat Space</v>
          </cell>
          <cell r="P1052" t="str">
            <v>211634</v>
          </cell>
          <cell r="Q1052" t="str">
            <v>Not Applicable</v>
          </cell>
          <cell r="R1052" t="str">
            <v>B Braun Melsungen AG</v>
          </cell>
          <cell r="S1052" t="str">
            <v>B Braun Medical Supplies Sdn. Bhd.</v>
          </cell>
          <cell r="T1052" t="str">
            <v>Functioning</v>
          </cell>
          <cell r="U1052" t="str">
            <v>Asset</v>
          </cell>
          <cell r="V1052">
            <v>10825</v>
          </cell>
          <cell r="W1052" t="str">
            <v>KEW</v>
          </cell>
          <cell r="X1052" t="str">
            <v>01/09/2010</v>
          </cell>
          <cell r="Y1052" t="str">
            <v>KEW</v>
          </cell>
          <cell r="Z1052" t="str">
            <v>16/08/2013</v>
          </cell>
          <cell r="AA1052" t="str">
            <v>15/08/2015</v>
          </cell>
          <cell r="AB1052" t="str">
            <v>No</v>
          </cell>
          <cell r="AC1052" t="str">
            <v>31/08/2013</v>
          </cell>
          <cell r="AD1052" t="str">
            <v>Good</v>
          </cell>
          <cell r="AE1052" t="str">
            <v>V1 - Existing / No Claim</v>
          </cell>
          <cell r="AF1052">
            <v>42793</v>
          </cell>
          <cell r="AG1052">
            <v>9.17</v>
          </cell>
          <cell r="AH1052" t="str">
            <v>PPM</v>
          </cell>
          <cell r="AI1052" t="str">
            <v>Strands</v>
          </cell>
          <cell r="AJ1052" t="str">
            <v>Strands PW</v>
          </cell>
        </row>
        <row r="1053">
          <cell r="A1053" t="str">
            <v>IKN400633</v>
          </cell>
          <cell r="B1053">
            <v>633</v>
          </cell>
          <cell r="C1053" t="str">
            <v>Institut Kanser Negara</v>
          </cell>
          <cell r="D1053" t="str">
            <v>KKM/IKN/H/13/1590</v>
          </cell>
          <cell r="E1053" t="str">
            <v>13-215</v>
          </cell>
          <cell r="F1053" t="str">
            <v>Infusion Pumps, General-Purpose</v>
          </cell>
          <cell r="G1053" t="str">
            <v>DO</v>
          </cell>
          <cell r="H1053" t="str">
            <v>DAY ONCOLOGY UNIT</v>
          </cell>
          <cell r="I1053" t="str">
            <v>04DO120</v>
          </cell>
          <cell r="J1053" t="str">
            <v>TREATMENT BAY 3</v>
          </cell>
          <cell r="K1053" t="str">
            <v>BMED</v>
          </cell>
          <cell r="L1053" t="str">
            <v>Critical</v>
          </cell>
          <cell r="M1053" t="str">
            <v>Germany</v>
          </cell>
          <cell r="N1053" t="str">
            <v>Infusomat</v>
          </cell>
          <cell r="O1053" t="str">
            <v>Infusomat Space</v>
          </cell>
          <cell r="P1053" t="str">
            <v>212061</v>
          </cell>
          <cell r="Q1053" t="str">
            <v>Not Applicable</v>
          </cell>
          <cell r="R1053" t="str">
            <v>B Braun Melsungen AG</v>
          </cell>
          <cell r="S1053" t="str">
            <v>B Braun Medical Supplies Sdn. Bhd.</v>
          </cell>
          <cell r="T1053" t="str">
            <v>Functioning</v>
          </cell>
          <cell r="U1053" t="str">
            <v>Asset</v>
          </cell>
          <cell r="V1053">
            <v>10825</v>
          </cell>
          <cell r="W1053" t="str">
            <v>KEW</v>
          </cell>
          <cell r="X1053" t="str">
            <v>01/09/2010</v>
          </cell>
          <cell r="Y1053" t="str">
            <v>KEW</v>
          </cell>
          <cell r="Z1053" t="str">
            <v>16/08/2013</v>
          </cell>
          <cell r="AA1053" t="str">
            <v>15/08/2015</v>
          </cell>
          <cell r="AB1053" t="str">
            <v>No</v>
          </cell>
          <cell r="AC1053" t="str">
            <v>31/08/2013</v>
          </cell>
          <cell r="AD1053" t="str">
            <v>Good</v>
          </cell>
          <cell r="AE1053" t="str">
            <v>V1 - Existing / No Claim</v>
          </cell>
          <cell r="AF1053">
            <v>42793</v>
          </cell>
          <cell r="AG1053">
            <v>9.17</v>
          </cell>
          <cell r="AH1053" t="str">
            <v>PPM</v>
          </cell>
          <cell r="AI1053" t="str">
            <v>Strands</v>
          </cell>
          <cell r="AJ1053" t="str">
            <v>Strands PW</v>
          </cell>
        </row>
        <row r="1054">
          <cell r="A1054" t="str">
            <v>IKN400634</v>
          </cell>
          <cell r="B1054">
            <v>634</v>
          </cell>
          <cell r="C1054" t="str">
            <v>Institut Kanser Negara</v>
          </cell>
          <cell r="D1054" t="str">
            <v>KKM/IKN/H/13/1605</v>
          </cell>
          <cell r="E1054" t="str">
            <v>17-950</v>
          </cell>
          <cell r="F1054" t="str">
            <v>Warming Units, Patient, Forced-Air</v>
          </cell>
          <cell r="G1054" t="str">
            <v>DO</v>
          </cell>
          <cell r="H1054" t="str">
            <v>DAY ONCOLOGY UNIT</v>
          </cell>
          <cell r="I1054" t="str">
            <v>04DO120</v>
          </cell>
          <cell r="J1054" t="str">
            <v>TREATMENT BAY 3</v>
          </cell>
          <cell r="K1054" t="str">
            <v>BMED</v>
          </cell>
          <cell r="L1054" t="str">
            <v>Normal</v>
          </cell>
          <cell r="M1054" t="str">
            <v>USA</v>
          </cell>
          <cell r="N1054" t="str">
            <v>Bair Hugger</v>
          </cell>
          <cell r="O1054" t="str">
            <v>Bair Hugger 775</v>
          </cell>
          <cell r="P1054" t="str">
            <v>35939</v>
          </cell>
          <cell r="Q1054" t="str">
            <v>Not Applicable</v>
          </cell>
          <cell r="R1054" t="str">
            <v>Arizant Healthcare Inc</v>
          </cell>
          <cell r="S1054" t="str">
            <v>Calmed Healthcare Sdn Bhd</v>
          </cell>
          <cell r="T1054" t="str">
            <v>Functioning</v>
          </cell>
          <cell r="U1054" t="str">
            <v>Asset</v>
          </cell>
          <cell r="V1054">
            <v>15515</v>
          </cell>
          <cell r="W1054" t="str">
            <v>KEW</v>
          </cell>
          <cell r="X1054" t="str">
            <v>01/09/2010</v>
          </cell>
          <cell r="Y1054" t="str">
            <v>KEW</v>
          </cell>
          <cell r="Z1054" t="str">
            <v>16/08/2013</v>
          </cell>
          <cell r="AA1054" t="str">
            <v>15/08/2015</v>
          </cell>
          <cell r="AB1054" t="str">
            <v>No</v>
          </cell>
          <cell r="AC1054" t="str">
            <v>31/08/2013</v>
          </cell>
          <cell r="AD1054" t="str">
            <v>Good</v>
          </cell>
          <cell r="AE1054" t="str">
            <v>V1 - Existing / No Claim</v>
          </cell>
          <cell r="AF1054">
            <v>42235</v>
          </cell>
          <cell r="AG1054">
            <v>9.17</v>
          </cell>
          <cell r="AH1054" t="str">
            <v>PPM</v>
          </cell>
          <cell r="AI1054" t="str">
            <v>Strands</v>
          </cell>
          <cell r="AJ1054" t="str">
            <v>Strands PW</v>
          </cell>
        </row>
        <row r="1055">
          <cell r="A1055" t="str">
            <v>IKN400635</v>
          </cell>
          <cell r="B1055">
            <v>635</v>
          </cell>
          <cell r="C1055" t="str">
            <v>Institut Kanser Negara</v>
          </cell>
          <cell r="D1055" t="str">
            <v>KKM/IKN/H/13/1606</v>
          </cell>
          <cell r="E1055" t="str">
            <v>17-950</v>
          </cell>
          <cell r="F1055" t="str">
            <v>Warming Units, Patient, Forced-Air</v>
          </cell>
          <cell r="G1055" t="str">
            <v>DO</v>
          </cell>
          <cell r="H1055" t="str">
            <v>DAY ONCOLOGY UNIT</v>
          </cell>
          <cell r="I1055" t="str">
            <v>04DO120</v>
          </cell>
          <cell r="J1055" t="str">
            <v>TREATMENT BAY 3</v>
          </cell>
          <cell r="K1055" t="str">
            <v>BMED</v>
          </cell>
          <cell r="L1055" t="str">
            <v>Normal</v>
          </cell>
          <cell r="M1055" t="str">
            <v>USA</v>
          </cell>
          <cell r="N1055" t="str">
            <v>Bair Hugger</v>
          </cell>
          <cell r="O1055" t="str">
            <v>Bair Hugger 775</v>
          </cell>
          <cell r="P1055" t="str">
            <v>35940</v>
          </cell>
          <cell r="Q1055" t="str">
            <v>Not Applicable</v>
          </cell>
          <cell r="R1055" t="str">
            <v>Arizant Healthcare Inc</v>
          </cell>
          <cell r="S1055" t="str">
            <v>Calmed Healthcare Sdn Bhd</v>
          </cell>
          <cell r="T1055" t="str">
            <v>Functioning</v>
          </cell>
          <cell r="U1055" t="str">
            <v>Asset</v>
          </cell>
          <cell r="V1055">
            <v>15515</v>
          </cell>
          <cell r="W1055" t="str">
            <v>KEW</v>
          </cell>
          <cell r="X1055" t="str">
            <v>01/09/2010</v>
          </cell>
          <cell r="Y1055" t="str">
            <v>KEW</v>
          </cell>
          <cell r="Z1055" t="str">
            <v>16/08/2013</v>
          </cell>
          <cell r="AA1055" t="str">
            <v>15/08/2015</v>
          </cell>
          <cell r="AB1055" t="str">
            <v>No</v>
          </cell>
          <cell r="AC1055" t="str">
            <v>31/08/2013</v>
          </cell>
          <cell r="AD1055" t="str">
            <v>Good</v>
          </cell>
          <cell r="AE1055" t="str">
            <v>V1 - Existing / No Claim</v>
          </cell>
          <cell r="AF1055">
            <v>42871</v>
          </cell>
          <cell r="AG1055">
            <v>9.17</v>
          </cell>
          <cell r="AH1055" t="str">
            <v>PPM</v>
          </cell>
          <cell r="AI1055" t="str">
            <v>Strands</v>
          </cell>
          <cell r="AJ1055" t="str">
            <v>Strands PW</v>
          </cell>
        </row>
        <row r="1056">
          <cell r="A1056" t="str">
            <v>IKN400636</v>
          </cell>
          <cell r="B1056">
            <v>636</v>
          </cell>
          <cell r="C1056" t="str">
            <v>Institut Kanser Negara</v>
          </cell>
          <cell r="D1056" t="str">
            <v>KKM/IKN/H/13/1381</v>
          </cell>
          <cell r="E1056" t="str">
            <v>13-217</v>
          </cell>
          <cell r="F1056" t="str">
            <v>Infusion Pumps, Syringe</v>
          </cell>
          <cell r="G1056" t="str">
            <v>DO</v>
          </cell>
          <cell r="H1056" t="str">
            <v>DAY ONCOLOGY UNIT</v>
          </cell>
          <cell r="I1056" t="str">
            <v>04DO121</v>
          </cell>
          <cell r="J1056" t="str">
            <v>TREATMENT BAY 4</v>
          </cell>
          <cell r="K1056" t="str">
            <v>BMED</v>
          </cell>
          <cell r="L1056" t="str">
            <v>Critical</v>
          </cell>
          <cell r="M1056" t="str">
            <v>Germany</v>
          </cell>
          <cell r="N1056" t="str">
            <v>Perfusor</v>
          </cell>
          <cell r="O1056" t="str">
            <v>Perfusor Space</v>
          </cell>
          <cell r="P1056" t="str">
            <v>187011</v>
          </cell>
          <cell r="Q1056" t="str">
            <v>Not Applicable</v>
          </cell>
          <cell r="R1056" t="str">
            <v>B Braun Melsungen AG</v>
          </cell>
          <cell r="S1056" t="str">
            <v>B Braun Medical Supplies Sdn. Bhd.</v>
          </cell>
          <cell r="T1056" t="str">
            <v>Functioning</v>
          </cell>
          <cell r="U1056" t="str">
            <v>Asset</v>
          </cell>
          <cell r="V1056">
            <v>10225</v>
          </cell>
          <cell r="W1056" t="str">
            <v>KEW</v>
          </cell>
          <cell r="X1056" t="str">
            <v>01/09/2010</v>
          </cell>
          <cell r="Y1056" t="str">
            <v>KEW</v>
          </cell>
          <cell r="Z1056" t="str">
            <v>16/08/2013</v>
          </cell>
          <cell r="AA1056" t="str">
            <v>15/08/2015</v>
          </cell>
          <cell r="AB1056" t="str">
            <v>No</v>
          </cell>
          <cell r="AC1056" t="str">
            <v>31/08/2013</v>
          </cell>
          <cell r="AD1056" t="str">
            <v>Good</v>
          </cell>
          <cell r="AE1056" t="str">
            <v>V1 - Existing / No Claim</v>
          </cell>
          <cell r="AF1056">
            <v>42793</v>
          </cell>
          <cell r="AG1056">
            <v>9.17</v>
          </cell>
          <cell r="AH1056" t="str">
            <v>PPM</v>
          </cell>
          <cell r="AI1056" t="str">
            <v>Strands</v>
          </cell>
          <cell r="AJ1056" t="str">
            <v>Strands PW</v>
          </cell>
        </row>
        <row r="1057">
          <cell r="A1057" t="str">
            <v>IKN400637</v>
          </cell>
          <cell r="B1057">
            <v>637</v>
          </cell>
          <cell r="C1057" t="str">
            <v>Institut Kanser Negara</v>
          </cell>
          <cell r="D1057" t="str">
            <v>KKM/IKN/H/13/1382</v>
          </cell>
          <cell r="E1057" t="str">
            <v>13-217</v>
          </cell>
          <cell r="F1057" t="str">
            <v>Infusion Pumps, Syringe</v>
          </cell>
          <cell r="G1057" t="str">
            <v>DO</v>
          </cell>
          <cell r="H1057" t="str">
            <v>DAY ONCOLOGY UNIT</v>
          </cell>
          <cell r="I1057" t="str">
            <v>04DO121</v>
          </cell>
          <cell r="J1057" t="str">
            <v>TREATMENT BAY 4</v>
          </cell>
          <cell r="K1057" t="str">
            <v>BMED</v>
          </cell>
          <cell r="L1057" t="str">
            <v>Critical</v>
          </cell>
          <cell r="M1057" t="str">
            <v>Germany</v>
          </cell>
          <cell r="N1057" t="str">
            <v>Perfusor</v>
          </cell>
          <cell r="O1057" t="str">
            <v>Perfusor Space</v>
          </cell>
          <cell r="P1057" t="str">
            <v>187030</v>
          </cell>
          <cell r="Q1057" t="str">
            <v>Not Applicable</v>
          </cell>
          <cell r="R1057" t="str">
            <v>B Braun Melsungen AG</v>
          </cell>
          <cell r="S1057" t="str">
            <v>B Braun Medical Supplies Sdn. Bhd.</v>
          </cell>
          <cell r="T1057" t="str">
            <v>Functioning</v>
          </cell>
          <cell r="U1057" t="str">
            <v>Asset</v>
          </cell>
          <cell r="V1057">
            <v>10225</v>
          </cell>
          <cell r="W1057" t="str">
            <v>KEW</v>
          </cell>
          <cell r="X1057" t="str">
            <v>01/09/2010</v>
          </cell>
          <cell r="Y1057" t="str">
            <v>KEW</v>
          </cell>
          <cell r="Z1057" t="str">
            <v>16/08/2013</v>
          </cell>
          <cell r="AA1057" t="str">
            <v>15/08/2015</v>
          </cell>
          <cell r="AB1057" t="str">
            <v>No</v>
          </cell>
          <cell r="AC1057" t="str">
            <v>31/08/2013</v>
          </cell>
          <cell r="AD1057" t="str">
            <v>Good</v>
          </cell>
          <cell r="AE1057" t="str">
            <v>V1 - Existing / No Claim</v>
          </cell>
          <cell r="AF1057">
            <v>42793</v>
          </cell>
          <cell r="AG1057">
            <v>9.17</v>
          </cell>
          <cell r="AH1057" t="str">
            <v>PPM</v>
          </cell>
          <cell r="AI1057" t="str">
            <v>Strands</v>
          </cell>
          <cell r="AJ1057" t="str">
            <v>Strands PW</v>
          </cell>
        </row>
        <row r="1058">
          <cell r="A1058" t="str">
            <v>IKN400638</v>
          </cell>
          <cell r="B1058">
            <v>638</v>
          </cell>
          <cell r="C1058" t="str">
            <v>Institut Kanser Negara</v>
          </cell>
          <cell r="D1058" t="str">
            <v>KKM/IKN/H/13/1383</v>
          </cell>
          <cell r="E1058" t="str">
            <v>13-217</v>
          </cell>
          <cell r="F1058" t="str">
            <v>Infusion Pumps, Syringe</v>
          </cell>
          <cell r="G1058" t="str">
            <v>DO</v>
          </cell>
          <cell r="H1058" t="str">
            <v>DAY ONCOLOGY UNIT</v>
          </cell>
          <cell r="I1058" t="str">
            <v>04DO121</v>
          </cell>
          <cell r="J1058" t="str">
            <v>TREATMENT BAY 4</v>
          </cell>
          <cell r="K1058" t="str">
            <v>BMED</v>
          </cell>
          <cell r="L1058" t="str">
            <v>Critical</v>
          </cell>
          <cell r="M1058" t="str">
            <v>Germany</v>
          </cell>
          <cell r="N1058" t="str">
            <v>Perfusor</v>
          </cell>
          <cell r="O1058" t="str">
            <v>Perfusor Space</v>
          </cell>
          <cell r="P1058" t="str">
            <v>187042</v>
          </cell>
          <cell r="Q1058" t="str">
            <v>Not Applicable</v>
          </cell>
          <cell r="R1058" t="str">
            <v>B Braun Melsungen AG</v>
          </cell>
          <cell r="S1058" t="str">
            <v>B Braun Medical Supplies Sdn. Bhd.</v>
          </cell>
          <cell r="T1058" t="str">
            <v>Functioning</v>
          </cell>
          <cell r="U1058" t="str">
            <v>Asset</v>
          </cell>
          <cell r="V1058">
            <v>10225</v>
          </cell>
          <cell r="W1058" t="str">
            <v>KEW</v>
          </cell>
          <cell r="X1058" t="str">
            <v>01/09/2010</v>
          </cell>
          <cell r="Y1058" t="str">
            <v>KEW</v>
          </cell>
          <cell r="Z1058" t="str">
            <v>16/08/2013</v>
          </cell>
          <cell r="AA1058" t="str">
            <v>15/08/2015</v>
          </cell>
          <cell r="AB1058" t="str">
            <v>No</v>
          </cell>
          <cell r="AC1058" t="str">
            <v>31/08/2013</v>
          </cell>
          <cell r="AD1058" t="str">
            <v>Good</v>
          </cell>
          <cell r="AE1058" t="str">
            <v>V1 - Existing / No Claim</v>
          </cell>
          <cell r="AF1058">
            <v>42793</v>
          </cell>
          <cell r="AG1058">
            <v>9.17</v>
          </cell>
          <cell r="AH1058" t="str">
            <v>PPM</v>
          </cell>
          <cell r="AI1058" t="str">
            <v>Strands</v>
          </cell>
          <cell r="AJ1058" t="str">
            <v>Strands PW</v>
          </cell>
        </row>
        <row r="1059">
          <cell r="A1059" t="str">
            <v>IKN400639</v>
          </cell>
          <cell r="B1059">
            <v>639</v>
          </cell>
          <cell r="C1059" t="str">
            <v>Institut Kanser Negara</v>
          </cell>
          <cell r="D1059" t="str">
            <v>KKM/IKN/H/13/1384</v>
          </cell>
          <cell r="E1059" t="str">
            <v>13-217</v>
          </cell>
          <cell r="F1059" t="str">
            <v>Infusion Pumps, Syringe</v>
          </cell>
          <cell r="G1059" t="str">
            <v>DO</v>
          </cell>
          <cell r="H1059" t="str">
            <v>DAY ONCOLOGY UNIT</v>
          </cell>
          <cell r="I1059" t="str">
            <v>04DO121</v>
          </cell>
          <cell r="J1059" t="str">
            <v>TREATMENT BAY 4</v>
          </cell>
          <cell r="K1059" t="str">
            <v>BMED</v>
          </cell>
          <cell r="L1059" t="str">
            <v>Critical</v>
          </cell>
          <cell r="M1059" t="str">
            <v>Germany</v>
          </cell>
          <cell r="N1059" t="str">
            <v>Perfusor</v>
          </cell>
          <cell r="O1059" t="str">
            <v>Perfusor Space</v>
          </cell>
          <cell r="P1059" t="str">
            <v>187045</v>
          </cell>
          <cell r="Q1059" t="str">
            <v>Not Applicable</v>
          </cell>
          <cell r="R1059" t="str">
            <v>B Braun Melsungen AG</v>
          </cell>
          <cell r="S1059" t="str">
            <v>B Braun Medical Supplies Sdn. Bhd.</v>
          </cell>
          <cell r="T1059" t="str">
            <v>Functioning</v>
          </cell>
          <cell r="U1059" t="str">
            <v>Asset</v>
          </cell>
          <cell r="V1059">
            <v>10225</v>
          </cell>
          <cell r="W1059" t="str">
            <v>KEW</v>
          </cell>
          <cell r="X1059" t="str">
            <v>01/09/2010</v>
          </cell>
          <cell r="Y1059" t="str">
            <v>KEW</v>
          </cell>
          <cell r="Z1059" t="str">
            <v>16/08/2013</v>
          </cell>
          <cell r="AA1059" t="str">
            <v>15/08/2015</v>
          </cell>
          <cell r="AB1059" t="str">
            <v>No</v>
          </cell>
          <cell r="AC1059" t="str">
            <v>31/08/2013</v>
          </cell>
          <cell r="AD1059" t="str">
            <v>Good</v>
          </cell>
          <cell r="AE1059" t="str">
            <v>V1 - Existing / No Claim</v>
          </cell>
          <cell r="AF1059">
            <v>42793</v>
          </cell>
          <cell r="AG1059">
            <v>9.17</v>
          </cell>
          <cell r="AH1059" t="str">
            <v>PPM</v>
          </cell>
          <cell r="AI1059" t="str">
            <v>Strands</v>
          </cell>
          <cell r="AJ1059" t="str">
            <v>Strands PW</v>
          </cell>
        </row>
        <row r="1060">
          <cell r="A1060" t="str">
            <v>IKN400640</v>
          </cell>
          <cell r="B1060">
            <v>640</v>
          </cell>
          <cell r="C1060" t="str">
            <v>Institut Kanser Negara</v>
          </cell>
          <cell r="D1060" t="str">
            <v>KKM/IKN/H/13/1385</v>
          </cell>
          <cell r="E1060" t="str">
            <v>13-217</v>
          </cell>
          <cell r="F1060" t="str">
            <v>Infusion Pumps, Syringe</v>
          </cell>
          <cell r="G1060" t="str">
            <v>DO</v>
          </cell>
          <cell r="H1060" t="str">
            <v>DAY ONCOLOGY UNIT</v>
          </cell>
          <cell r="I1060" t="str">
            <v>04DO121</v>
          </cell>
          <cell r="J1060" t="str">
            <v>TREATMENT BAY 4</v>
          </cell>
          <cell r="K1060" t="str">
            <v>BMED</v>
          </cell>
          <cell r="L1060" t="str">
            <v>Critical</v>
          </cell>
          <cell r="M1060" t="str">
            <v>Germany</v>
          </cell>
          <cell r="N1060" t="str">
            <v>Perfusor</v>
          </cell>
          <cell r="O1060" t="str">
            <v>Perfusor Space</v>
          </cell>
          <cell r="P1060" t="str">
            <v>178269</v>
          </cell>
          <cell r="Q1060" t="str">
            <v>Not Applicable</v>
          </cell>
          <cell r="R1060" t="str">
            <v>B Braun Melsungen AG</v>
          </cell>
          <cell r="S1060" t="str">
            <v>B Braun Medical Supplies Sdn. Bhd.</v>
          </cell>
          <cell r="T1060" t="str">
            <v>Functioning</v>
          </cell>
          <cell r="U1060" t="str">
            <v>Asset</v>
          </cell>
          <cell r="V1060">
            <v>10225</v>
          </cell>
          <cell r="W1060" t="str">
            <v>KEW</v>
          </cell>
          <cell r="X1060" t="str">
            <v>01/09/2010</v>
          </cell>
          <cell r="Y1060" t="str">
            <v>KEW</v>
          </cell>
          <cell r="Z1060" t="str">
            <v>16/08/2013</v>
          </cell>
          <cell r="AA1060" t="str">
            <v>15/08/2015</v>
          </cell>
          <cell r="AB1060" t="str">
            <v>No</v>
          </cell>
          <cell r="AC1060" t="str">
            <v>31/08/2013</v>
          </cell>
          <cell r="AD1060" t="str">
            <v>Good</v>
          </cell>
          <cell r="AE1060" t="str">
            <v>V1 - Existing / No Claim</v>
          </cell>
          <cell r="AF1060">
            <v>42793</v>
          </cell>
          <cell r="AG1060">
            <v>9.17</v>
          </cell>
          <cell r="AH1060" t="str">
            <v>PPM</v>
          </cell>
          <cell r="AI1060" t="str">
            <v>Strands</v>
          </cell>
          <cell r="AJ1060" t="str">
            <v>Strands PW</v>
          </cell>
        </row>
        <row r="1061">
          <cell r="A1061" t="str">
            <v>IKN400641</v>
          </cell>
          <cell r="B1061">
            <v>641</v>
          </cell>
          <cell r="C1061" t="str">
            <v>Institut Kanser Negara</v>
          </cell>
          <cell r="D1061" t="str">
            <v>KKM/IKN/H/13/1386</v>
          </cell>
          <cell r="E1061" t="str">
            <v>13-217</v>
          </cell>
          <cell r="F1061" t="str">
            <v>Infusion Pumps, Syringe</v>
          </cell>
          <cell r="G1061" t="str">
            <v>DO</v>
          </cell>
          <cell r="H1061" t="str">
            <v>DAY ONCOLOGY UNIT</v>
          </cell>
          <cell r="I1061" t="str">
            <v>04DO121</v>
          </cell>
          <cell r="J1061" t="str">
            <v>TREATMENT BAY 4</v>
          </cell>
          <cell r="K1061" t="str">
            <v>BMED</v>
          </cell>
          <cell r="L1061" t="str">
            <v>Critical</v>
          </cell>
          <cell r="M1061" t="str">
            <v>Germany</v>
          </cell>
          <cell r="N1061" t="str">
            <v>Perfusor</v>
          </cell>
          <cell r="O1061" t="str">
            <v>Perfusor Space</v>
          </cell>
          <cell r="P1061" t="str">
            <v>181597</v>
          </cell>
          <cell r="Q1061" t="str">
            <v>Not Applicable</v>
          </cell>
          <cell r="R1061" t="str">
            <v>B Braun Melsungen AG</v>
          </cell>
          <cell r="S1061" t="str">
            <v>B Braun Medical Supplies Sdn. Bhd.</v>
          </cell>
          <cell r="T1061" t="str">
            <v>Functioning</v>
          </cell>
          <cell r="U1061" t="str">
            <v>Asset</v>
          </cell>
          <cell r="V1061">
            <v>10225</v>
          </cell>
          <cell r="W1061" t="str">
            <v>KEW</v>
          </cell>
          <cell r="X1061" t="str">
            <v>01/09/2010</v>
          </cell>
          <cell r="Y1061" t="str">
            <v>KEW</v>
          </cell>
          <cell r="Z1061" t="str">
            <v>16/08/2013</v>
          </cell>
          <cell r="AA1061" t="str">
            <v>15/08/2015</v>
          </cell>
          <cell r="AB1061" t="str">
            <v>No</v>
          </cell>
          <cell r="AC1061" t="str">
            <v>31/08/2013</v>
          </cell>
          <cell r="AD1061" t="str">
            <v>Good</v>
          </cell>
          <cell r="AE1061" t="str">
            <v>V1 - Existing / No Claim</v>
          </cell>
          <cell r="AF1061">
            <v>42793</v>
          </cell>
          <cell r="AG1061">
            <v>9.17</v>
          </cell>
          <cell r="AH1061" t="str">
            <v>PPM</v>
          </cell>
          <cell r="AI1061" t="str">
            <v>Strands</v>
          </cell>
          <cell r="AJ1061" t="str">
            <v>Strands PW</v>
          </cell>
        </row>
        <row r="1062">
          <cell r="A1062" t="str">
            <v>IKN400642</v>
          </cell>
          <cell r="B1062">
            <v>642</v>
          </cell>
          <cell r="C1062" t="str">
            <v>Institut Kanser Negara</v>
          </cell>
          <cell r="D1062" t="str">
            <v>KKM/IKN/H/13/1591</v>
          </cell>
          <cell r="E1062" t="str">
            <v>13-215</v>
          </cell>
          <cell r="F1062" t="str">
            <v>Infusion Pumps, General-Purpose</v>
          </cell>
          <cell r="G1062" t="str">
            <v>DO</v>
          </cell>
          <cell r="H1062" t="str">
            <v>DAY ONCOLOGY UNIT</v>
          </cell>
          <cell r="I1062" t="str">
            <v>04DO121</v>
          </cell>
          <cell r="J1062" t="str">
            <v>TREATMENT BAY 4</v>
          </cell>
          <cell r="K1062" t="str">
            <v>BMED</v>
          </cell>
          <cell r="L1062" t="str">
            <v>Critical</v>
          </cell>
          <cell r="M1062" t="str">
            <v>Germany</v>
          </cell>
          <cell r="N1062" t="str">
            <v>Infusomat</v>
          </cell>
          <cell r="O1062" t="str">
            <v>Infusomat Space</v>
          </cell>
          <cell r="P1062" t="str">
            <v>211645</v>
          </cell>
          <cell r="Q1062" t="str">
            <v>Not Applicable</v>
          </cell>
          <cell r="R1062" t="str">
            <v>B Braun Melsungen AG</v>
          </cell>
          <cell r="S1062" t="str">
            <v>B Braun Medical Supplies Sdn. Bhd.</v>
          </cell>
          <cell r="T1062" t="str">
            <v>Functioning</v>
          </cell>
          <cell r="U1062" t="str">
            <v>Asset</v>
          </cell>
          <cell r="V1062">
            <v>10825</v>
          </cell>
          <cell r="W1062" t="str">
            <v>KEW</v>
          </cell>
          <cell r="X1062" t="str">
            <v>01/09/2010</v>
          </cell>
          <cell r="Y1062" t="str">
            <v>KEW</v>
          </cell>
          <cell r="Z1062" t="str">
            <v>16/08/2013</v>
          </cell>
          <cell r="AA1062" t="str">
            <v>15/08/2015</v>
          </cell>
          <cell r="AB1062" t="str">
            <v>No</v>
          </cell>
          <cell r="AC1062" t="str">
            <v>31/08/2013</v>
          </cell>
          <cell r="AD1062" t="str">
            <v>Good</v>
          </cell>
          <cell r="AE1062" t="str">
            <v>V1 - Existing / No Claim</v>
          </cell>
          <cell r="AF1062">
            <v>42793</v>
          </cell>
          <cell r="AG1062">
            <v>9.17</v>
          </cell>
          <cell r="AH1062" t="str">
            <v>PPM</v>
          </cell>
          <cell r="AI1062" t="str">
            <v>Strands</v>
          </cell>
          <cell r="AJ1062" t="str">
            <v>Strands PW</v>
          </cell>
        </row>
        <row r="1063">
          <cell r="A1063" t="str">
            <v>IKN400643</v>
          </cell>
          <cell r="B1063">
            <v>643</v>
          </cell>
          <cell r="C1063" t="str">
            <v>Institut Kanser Negara</v>
          </cell>
          <cell r="D1063" t="str">
            <v>KKM/IKN/H/13/1593</v>
          </cell>
          <cell r="E1063" t="str">
            <v>13-215</v>
          </cell>
          <cell r="F1063" t="str">
            <v>Infusion Pumps, General-Purpose</v>
          </cell>
          <cell r="G1063" t="str">
            <v>DO</v>
          </cell>
          <cell r="H1063" t="str">
            <v>DAY ONCOLOGY UNIT</v>
          </cell>
          <cell r="I1063" t="str">
            <v>04DO121</v>
          </cell>
          <cell r="J1063" t="str">
            <v>TREATMENT BAY 4</v>
          </cell>
          <cell r="K1063" t="str">
            <v>BMED</v>
          </cell>
          <cell r="L1063" t="str">
            <v>Critical</v>
          </cell>
          <cell r="M1063" t="str">
            <v>Germany</v>
          </cell>
          <cell r="N1063" t="str">
            <v>Infusomat</v>
          </cell>
          <cell r="O1063" t="str">
            <v>Infusomat Space</v>
          </cell>
          <cell r="P1063" t="str">
            <v>211785</v>
          </cell>
          <cell r="Q1063" t="str">
            <v>Not Applicable</v>
          </cell>
          <cell r="R1063" t="str">
            <v>B Braun Melsungen AG</v>
          </cell>
          <cell r="S1063" t="str">
            <v>B Braun Medical Supplies Sdn. Bhd.</v>
          </cell>
          <cell r="T1063" t="str">
            <v>Functioning</v>
          </cell>
          <cell r="U1063" t="str">
            <v>Asset</v>
          </cell>
          <cell r="V1063">
            <v>10825</v>
          </cell>
          <cell r="W1063" t="str">
            <v>KEW</v>
          </cell>
          <cell r="X1063" t="str">
            <v>01/09/2010</v>
          </cell>
          <cell r="Y1063" t="str">
            <v>KEW</v>
          </cell>
          <cell r="Z1063" t="str">
            <v>16/08/2013</v>
          </cell>
          <cell r="AA1063" t="str">
            <v>15/08/2015</v>
          </cell>
          <cell r="AB1063" t="str">
            <v>No</v>
          </cell>
          <cell r="AC1063" t="str">
            <v>31/08/2013</v>
          </cell>
          <cell r="AD1063" t="str">
            <v>Good</v>
          </cell>
          <cell r="AE1063" t="str">
            <v>V1 - Existing / No Claim</v>
          </cell>
          <cell r="AF1063">
            <v>42793</v>
          </cell>
          <cell r="AG1063">
            <v>9.17</v>
          </cell>
          <cell r="AH1063" t="str">
            <v>PPM</v>
          </cell>
          <cell r="AI1063" t="str">
            <v>Strands</v>
          </cell>
          <cell r="AJ1063" t="str">
            <v>Strands PW</v>
          </cell>
        </row>
        <row r="1064">
          <cell r="A1064" t="str">
            <v>IKN400644</v>
          </cell>
          <cell r="B1064">
            <v>644</v>
          </cell>
          <cell r="C1064" t="str">
            <v>Institut Kanser Negara</v>
          </cell>
          <cell r="D1064" t="str">
            <v>KKM/IKN/H/13/1594</v>
          </cell>
          <cell r="E1064" t="str">
            <v>13-215</v>
          </cell>
          <cell r="F1064" t="str">
            <v>Infusion Pumps, General-Purpose</v>
          </cell>
          <cell r="G1064" t="str">
            <v>DO</v>
          </cell>
          <cell r="H1064" t="str">
            <v>DAY ONCOLOGY UNIT</v>
          </cell>
          <cell r="I1064" t="str">
            <v>04DO121</v>
          </cell>
          <cell r="J1064" t="str">
            <v>TREATMENT BAY 4</v>
          </cell>
          <cell r="K1064" t="str">
            <v>BMED</v>
          </cell>
          <cell r="L1064" t="str">
            <v>Critical</v>
          </cell>
          <cell r="M1064" t="str">
            <v>Germany</v>
          </cell>
          <cell r="N1064" t="str">
            <v>Infusomat</v>
          </cell>
          <cell r="O1064" t="str">
            <v>Infusomat Space</v>
          </cell>
          <cell r="P1064" t="str">
            <v>212067</v>
          </cell>
          <cell r="Q1064" t="str">
            <v>Not Applicable</v>
          </cell>
          <cell r="R1064" t="str">
            <v>B Braun Melsungen AG</v>
          </cell>
          <cell r="S1064" t="str">
            <v>B Braun Medical Supplies Sdn. Bhd.</v>
          </cell>
          <cell r="T1064" t="str">
            <v>Functioning</v>
          </cell>
          <cell r="U1064" t="str">
            <v>Asset</v>
          </cell>
          <cell r="V1064">
            <v>10825</v>
          </cell>
          <cell r="W1064" t="str">
            <v>KEW</v>
          </cell>
          <cell r="X1064" t="str">
            <v>01/09/2010</v>
          </cell>
          <cell r="Y1064" t="str">
            <v>KEW</v>
          </cell>
          <cell r="Z1064" t="str">
            <v>16/08/2013</v>
          </cell>
          <cell r="AA1064" t="str">
            <v>15/08/2015</v>
          </cell>
          <cell r="AB1064" t="str">
            <v>No</v>
          </cell>
          <cell r="AC1064" t="str">
            <v>31/08/2013</v>
          </cell>
          <cell r="AD1064" t="str">
            <v>Good</v>
          </cell>
          <cell r="AE1064" t="str">
            <v>V1 - Existing / No Claim</v>
          </cell>
          <cell r="AF1064">
            <v>42793</v>
          </cell>
          <cell r="AG1064">
            <v>9.17</v>
          </cell>
          <cell r="AH1064" t="str">
            <v>PPM</v>
          </cell>
          <cell r="AI1064" t="str">
            <v>Strands</v>
          </cell>
          <cell r="AJ1064" t="str">
            <v>Strands PW</v>
          </cell>
        </row>
        <row r="1065">
          <cell r="A1065" t="str">
            <v>IKN400645</v>
          </cell>
          <cell r="B1065">
            <v>645</v>
          </cell>
          <cell r="C1065" t="str">
            <v>Institut Kanser Negara</v>
          </cell>
          <cell r="D1065" t="str">
            <v>KKM/IKN/H/13/1595</v>
          </cell>
          <cell r="E1065" t="str">
            <v>13-215</v>
          </cell>
          <cell r="F1065" t="str">
            <v>Infusion Pumps, General-Purpose</v>
          </cell>
          <cell r="G1065" t="str">
            <v>DO</v>
          </cell>
          <cell r="H1065" t="str">
            <v>DAY ONCOLOGY UNIT</v>
          </cell>
          <cell r="I1065" t="str">
            <v>04DO121</v>
          </cell>
          <cell r="J1065" t="str">
            <v>TREATMENT BAY 4</v>
          </cell>
          <cell r="K1065" t="str">
            <v>BMED</v>
          </cell>
          <cell r="L1065" t="str">
            <v>Critical</v>
          </cell>
          <cell r="M1065" t="str">
            <v>Germany</v>
          </cell>
          <cell r="N1065" t="str">
            <v>Infusomat</v>
          </cell>
          <cell r="O1065" t="str">
            <v>Infusomat Space</v>
          </cell>
          <cell r="P1065" t="str">
            <v>212003</v>
          </cell>
          <cell r="Q1065" t="str">
            <v>Not Applicable</v>
          </cell>
          <cell r="R1065" t="str">
            <v>B Braun Melsungen AG</v>
          </cell>
          <cell r="S1065" t="str">
            <v>B Braun Medical Supplies Sdn. Bhd.</v>
          </cell>
          <cell r="T1065" t="str">
            <v>Functioning</v>
          </cell>
          <cell r="U1065" t="str">
            <v>Asset</v>
          </cell>
          <cell r="V1065">
            <v>10825</v>
          </cell>
          <cell r="W1065" t="str">
            <v>KEW</v>
          </cell>
          <cell r="X1065" t="str">
            <v>01/09/2010</v>
          </cell>
          <cell r="Y1065" t="str">
            <v>KEW</v>
          </cell>
          <cell r="Z1065" t="str">
            <v>16/08/2013</v>
          </cell>
          <cell r="AA1065" t="str">
            <v>15/08/2015</v>
          </cell>
          <cell r="AB1065" t="str">
            <v>No</v>
          </cell>
          <cell r="AC1065" t="str">
            <v>31/08/2013</v>
          </cell>
          <cell r="AD1065" t="str">
            <v>Good</v>
          </cell>
          <cell r="AE1065" t="str">
            <v>V1 - Existing / No Claim</v>
          </cell>
          <cell r="AF1065">
            <v>42793</v>
          </cell>
          <cell r="AG1065">
            <v>9.17</v>
          </cell>
          <cell r="AH1065" t="str">
            <v>PPM</v>
          </cell>
          <cell r="AI1065" t="str">
            <v>Strands</v>
          </cell>
          <cell r="AJ1065" t="str">
            <v>Strands PW</v>
          </cell>
        </row>
        <row r="1066">
          <cell r="A1066" t="str">
            <v>IKN400646</v>
          </cell>
          <cell r="B1066">
            <v>646</v>
          </cell>
          <cell r="C1066" t="str">
            <v>Institut Kanser Negara</v>
          </cell>
          <cell r="D1066" t="str">
            <v>KKM/IKN/H/13/1596</v>
          </cell>
          <cell r="E1066" t="str">
            <v>13-215</v>
          </cell>
          <cell r="F1066" t="str">
            <v>Infusion Pumps, General-Purpose</v>
          </cell>
          <cell r="G1066" t="str">
            <v>DO</v>
          </cell>
          <cell r="H1066" t="str">
            <v>DAY ONCOLOGY UNIT</v>
          </cell>
          <cell r="I1066" t="str">
            <v>04DO121</v>
          </cell>
          <cell r="J1066" t="str">
            <v>TREATMENT BAY 4</v>
          </cell>
          <cell r="K1066" t="str">
            <v>BMED</v>
          </cell>
          <cell r="L1066" t="str">
            <v>Critical</v>
          </cell>
          <cell r="M1066" t="str">
            <v>Germany</v>
          </cell>
          <cell r="N1066" t="str">
            <v>Infusomat</v>
          </cell>
          <cell r="O1066" t="str">
            <v>Infusomat Space</v>
          </cell>
          <cell r="P1066" t="str">
            <v>211993</v>
          </cell>
          <cell r="Q1066" t="str">
            <v>Not Applicable</v>
          </cell>
          <cell r="R1066" t="str">
            <v>B Braun Melsungen AG</v>
          </cell>
          <cell r="S1066" t="str">
            <v>B Braun Medical Supplies Sdn. Bhd.</v>
          </cell>
          <cell r="T1066" t="str">
            <v>Functioning</v>
          </cell>
          <cell r="U1066" t="str">
            <v>Asset</v>
          </cell>
          <cell r="V1066">
            <v>10825</v>
          </cell>
          <cell r="W1066" t="str">
            <v>KEW</v>
          </cell>
          <cell r="X1066" t="str">
            <v>01/09/2010</v>
          </cell>
          <cell r="Y1066" t="str">
            <v>KEW</v>
          </cell>
          <cell r="Z1066" t="str">
            <v>16/08/2013</v>
          </cell>
          <cell r="AA1066" t="str">
            <v>15/08/2015</v>
          </cell>
          <cell r="AB1066" t="str">
            <v>No</v>
          </cell>
          <cell r="AC1066" t="str">
            <v>31/08/2013</v>
          </cell>
          <cell r="AD1066" t="str">
            <v>Good</v>
          </cell>
          <cell r="AE1066" t="str">
            <v>V1 - Existing / No Claim</v>
          </cell>
          <cell r="AF1066">
            <v>42793</v>
          </cell>
          <cell r="AG1066">
            <v>9.17</v>
          </cell>
          <cell r="AH1066" t="str">
            <v>PPM</v>
          </cell>
          <cell r="AI1066" t="str">
            <v>Strands</v>
          </cell>
          <cell r="AJ1066" t="str">
            <v>Strands PW</v>
          </cell>
        </row>
        <row r="1067">
          <cell r="A1067" t="str">
            <v>IKN400647</v>
          </cell>
          <cell r="B1067">
            <v>647</v>
          </cell>
          <cell r="C1067" t="str">
            <v>Institut Kanser Negara</v>
          </cell>
          <cell r="D1067" t="str">
            <v>KKM/IKN/H/13/1597</v>
          </cell>
          <cell r="E1067" t="str">
            <v>13-215</v>
          </cell>
          <cell r="F1067" t="str">
            <v>Infusion Pumps, General-Purpose</v>
          </cell>
          <cell r="G1067" t="str">
            <v>DO</v>
          </cell>
          <cell r="H1067" t="str">
            <v>DAY ONCOLOGY UNIT</v>
          </cell>
          <cell r="I1067" t="str">
            <v>04DO121</v>
          </cell>
          <cell r="J1067" t="str">
            <v>TREATMENT BAY 4</v>
          </cell>
          <cell r="K1067" t="str">
            <v>BMED</v>
          </cell>
          <cell r="L1067" t="str">
            <v>Critical</v>
          </cell>
          <cell r="M1067" t="str">
            <v>Germany</v>
          </cell>
          <cell r="N1067" t="str">
            <v>Infusomat</v>
          </cell>
          <cell r="O1067" t="str">
            <v>Infusomat Space</v>
          </cell>
          <cell r="P1067" t="str">
            <v>212090</v>
          </cell>
          <cell r="Q1067" t="str">
            <v>Not Applicable</v>
          </cell>
          <cell r="R1067" t="str">
            <v>B Braun Melsungen AG</v>
          </cell>
          <cell r="S1067" t="str">
            <v>B Braun Medical Supplies Sdn. Bhd.</v>
          </cell>
          <cell r="T1067" t="str">
            <v>Functioning</v>
          </cell>
          <cell r="U1067" t="str">
            <v>Asset</v>
          </cell>
          <cell r="V1067">
            <v>10825</v>
          </cell>
          <cell r="W1067" t="str">
            <v>KEW</v>
          </cell>
          <cell r="X1067" t="str">
            <v>01/09/2010</v>
          </cell>
          <cell r="Y1067" t="str">
            <v>KEW</v>
          </cell>
          <cell r="Z1067" t="str">
            <v>16/08/2013</v>
          </cell>
          <cell r="AA1067" t="str">
            <v>15/08/2015</v>
          </cell>
          <cell r="AB1067" t="str">
            <v>No</v>
          </cell>
          <cell r="AC1067" t="str">
            <v>31/08/2013</v>
          </cell>
          <cell r="AD1067" t="str">
            <v>Good</v>
          </cell>
          <cell r="AE1067" t="str">
            <v>V1 - Existing / No Claim</v>
          </cell>
          <cell r="AF1067">
            <v>42793</v>
          </cell>
          <cell r="AG1067">
            <v>9.17</v>
          </cell>
          <cell r="AH1067" t="str">
            <v>PPM</v>
          </cell>
          <cell r="AI1067" t="str">
            <v>Strands</v>
          </cell>
          <cell r="AJ1067" t="str">
            <v>Strands PW</v>
          </cell>
        </row>
        <row r="1068">
          <cell r="A1068" t="str">
            <v>IKN400648</v>
          </cell>
          <cell r="B1068">
            <v>648</v>
          </cell>
          <cell r="C1068" t="str">
            <v>Institut Kanser Negara</v>
          </cell>
          <cell r="D1068" t="str">
            <v>KKM/IKN/H/13/1607</v>
          </cell>
          <cell r="E1068" t="str">
            <v>17-950</v>
          </cell>
          <cell r="F1068" t="str">
            <v>Warming Units, Patient, Forced-Air</v>
          </cell>
          <cell r="G1068" t="str">
            <v>RT</v>
          </cell>
          <cell r="H1068" t="str">
            <v>RADIATION TREATMENT UNIT</v>
          </cell>
          <cell r="I1068" t="str">
            <v>01RT243</v>
          </cell>
          <cell r="J1068" t="str">
            <v>NURSE STATION</v>
          </cell>
          <cell r="K1068" t="str">
            <v>BMED</v>
          </cell>
          <cell r="L1068" t="str">
            <v>Normal</v>
          </cell>
          <cell r="M1068" t="str">
            <v>USA</v>
          </cell>
          <cell r="N1068" t="str">
            <v>Bair Hugger</v>
          </cell>
          <cell r="O1068" t="str">
            <v>Bair Hugger 775</v>
          </cell>
          <cell r="P1068" t="str">
            <v>35941</v>
          </cell>
          <cell r="Q1068" t="str">
            <v>Not Applicable</v>
          </cell>
          <cell r="R1068" t="str">
            <v>Arizant Healthcare Inc</v>
          </cell>
          <cell r="S1068" t="str">
            <v>Calmed Healthcare Sdn Bhd</v>
          </cell>
          <cell r="T1068" t="str">
            <v>Functioning</v>
          </cell>
          <cell r="U1068" t="str">
            <v>Asset</v>
          </cell>
          <cell r="V1068">
            <v>15515</v>
          </cell>
          <cell r="W1068" t="str">
            <v>KEW</v>
          </cell>
          <cell r="X1068" t="str">
            <v>01/09/2010</v>
          </cell>
          <cell r="Y1068" t="str">
            <v>KEW</v>
          </cell>
          <cell r="Z1068" t="str">
            <v>16/08/2013</v>
          </cell>
          <cell r="AA1068" t="str">
            <v>15/08/2015</v>
          </cell>
          <cell r="AB1068" t="str">
            <v>No</v>
          </cell>
          <cell r="AC1068" t="str">
            <v>31/08/2013</v>
          </cell>
          <cell r="AD1068" t="str">
            <v>Good</v>
          </cell>
          <cell r="AE1068" t="str">
            <v>V1 - Existing / No Claim</v>
          </cell>
          <cell r="AF1068">
            <v>42871</v>
          </cell>
          <cell r="AG1068">
            <v>9.17</v>
          </cell>
          <cell r="AH1068" t="str">
            <v>PPM</v>
          </cell>
          <cell r="AI1068" t="str">
            <v>Strands</v>
          </cell>
          <cell r="AJ1068" t="str">
            <v>Strands PW</v>
          </cell>
        </row>
        <row r="1069">
          <cell r="A1069" t="str">
            <v>IKN400649</v>
          </cell>
          <cell r="B1069">
            <v>649</v>
          </cell>
          <cell r="C1069" t="str">
            <v>Institut Kanser Negara</v>
          </cell>
          <cell r="D1069" t="str">
            <v>KKM/IKN/H/13/1608</v>
          </cell>
          <cell r="E1069" t="str">
            <v>17-950</v>
          </cell>
          <cell r="F1069" t="str">
            <v>Warming Units, Patient, Forced-Air</v>
          </cell>
          <cell r="G1069" t="str">
            <v>DO</v>
          </cell>
          <cell r="H1069" t="str">
            <v>DAY ONCOLOGY UNIT</v>
          </cell>
          <cell r="I1069" t="str">
            <v>04DO121</v>
          </cell>
          <cell r="J1069" t="str">
            <v>TREATMENT BAY 4</v>
          </cell>
          <cell r="K1069" t="str">
            <v>BMED</v>
          </cell>
          <cell r="L1069" t="str">
            <v>Normal</v>
          </cell>
          <cell r="M1069" t="str">
            <v>USA</v>
          </cell>
          <cell r="N1069" t="str">
            <v>Bair Hugger</v>
          </cell>
          <cell r="O1069" t="str">
            <v>Bair Hugger 775</v>
          </cell>
          <cell r="P1069" t="str">
            <v>35942</v>
          </cell>
          <cell r="Q1069" t="str">
            <v>Not Applicable</v>
          </cell>
          <cell r="R1069" t="str">
            <v>Arizant Healthcare Inc</v>
          </cell>
          <cell r="S1069" t="str">
            <v>Calmed Healthcare Sdn Bhd</v>
          </cell>
          <cell r="T1069" t="str">
            <v>Functioning</v>
          </cell>
          <cell r="U1069" t="str">
            <v>Asset</v>
          </cell>
          <cell r="V1069">
            <v>15515</v>
          </cell>
          <cell r="W1069" t="str">
            <v>KEW</v>
          </cell>
          <cell r="X1069" t="str">
            <v>01/09/2010</v>
          </cell>
          <cell r="Y1069" t="str">
            <v>KEW</v>
          </cell>
          <cell r="Z1069" t="str">
            <v>16/08/2013</v>
          </cell>
          <cell r="AA1069" t="str">
            <v>15/08/2015</v>
          </cell>
          <cell r="AB1069" t="str">
            <v>No</v>
          </cell>
          <cell r="AC1069" t="str">
            <v>31/08/2013</v>
          </cell>
          <cell r="AD1069" t="str">
            <v>Good</v>
          </cell>
          <cell r="AE1069" t="str">
            <v>V1 - Existing / No Claim</v>
          </cell>
          <cell r="AF1069">
            <v>42235</v>
          </cell>
          <cell r="AG1069">
            <v>9.17</v>
          </cell>
          <cell r="AH1069" t="str">
            <v>PPM</v>
          </cell>
          <cell r="AI1069" t="str">
            <v>Strands</v>
          </cell>
          <cell r="AJ1069" t="str">
            <v>Strands PW</v>
          </cell>
        </row>
        <row r="1070">
          <cell r="A1070" t="str">
            <v>IKN400650</v>
          </cell>
          <cell r="B1070">
            <v>650</v>
          </cell>
          <cell r="C1070" t="str">
            <v>Institut Kanser Negara</v>
          </cell>
          <cell r="D1070" t="str">
            <v>KKM/IKN/H/13/1598</v>
          </cell>
          <cell r="E1070" t="str">
            <v>13-215</v>
          </cell>
          <cell r="F1070" t="str">
            <v>Infusion Pumps, General-Purpose</v>
          </cell>
          <cell r="G1070" t="str">
            <v>DO</v>
          </cell>
          <cell r="H1070" t="str">
            <v>DAY ONCOLOGY UNIT</v>
          </cell>
          <cell r="I1070" t="str">
            <v>04DO124</v>
          </cell>
          <cell r="J1070" t="str">
            <v>TREATMENT ROOM</v>
          </cell>
          <cell r="K1070" t="str">
            <v>BMED</v>
          </cell>
          <cell r="L1070" t="str">
            <v>Critical</v>
          </cell>
          <cell r="M1070" t="str">
            <v>Germany</v>
          </cell>
          <cell r="N1070" t="str">
            <v>Infusomat</v>
          </cell>
          <cell r="O1070" t="str">
            <v>Infusomat Space</v>
          </cell>
          <cell r="P1070" t="str">
            <v>212098</v>
          </cell>
          <cell r="Q1070" t="str">
            <v>Not Applicable</v>
          </cell>
          <cell r="R1070" t="str">
            <v>B Braun Melsungen AG</v>
          </cell>
          <cell r="S1070" t="str">
            <v>B Braun Medical Supplies Sdn. Bhd.</v>
          </cell>
          <cell r="T1070" t="str">
            <v>Functioning</v>
          </cell>
          <cell r="U1070" t="str">
            <v>Asset</v>
          </cell>
          <cell r="V1070">
            <v>10825</v>
          </cell>
          <cell r="W1070" t="str">
            <v>KEW</v>
          </cell>
          <cell r="X1070" t="str">
            <v>01/09/2010</v>
          </cell>
          <cell r="Y1070" t="str">
            <v>KEW</v>
          </cell>
          <cell r="Z1070" t="str">
            <v>16/08/2013</v>
          </cell>
          <cell r="AA1070" t="str">
            <v>15/08/2015</v>
          </cell>
          <cell r="AB1070" t="str">
            <v>No</v>
          </cell>
          <cell r="AC1070" t="str">
            <v>31/08/2013</v>
          </cell>
          <cell r="AD1070" t="str">
            <v>Good</v>
          </cell>
          <cell r="AE1070" t="str">
            <v>V1 - Existing / No Claim</v>
          </cell>
          <cell r="AF1070">
            <v>42793</v>
          </cell>
          <cell r="AG1070">
            <v>9.17</v>
          </cell>
          <cell r="AH1070" t="str">
            <v>PPM</v>
          </cell>
          <cell r="AI1070" t="str">
            <v>Strands</v>
          </cell>
          <cell r="AJ1070" t="str">
            <v>Strands PW</v>
          </cell>
        </row>
        <row r="1071">
          <cell r="A1071" t="str">
            <v>IKN400651</v>
          </cell>
          <cell r="B1071">
            <v>651</v>
          </cell>
          <cell r="C1071" t="str">
            <v>Institut Kanser Negara</v>
          </cell>
          <cell r="D1071" t="str">
            <v>KKM/IKN/H/13/1599</v>
          </cell>
          <cell r="E1071" t="str">
            <v>16-231</v>
          </cell>
          <cell r="F1071" t="str">
            <v>Electrocardiographs, Multichannel, Interpretative</v>
          </cell>
          <cell r="G1071" t="str">
            <v>DO</v>
          </cell>
          <cell r="H1071" t="str">
            <v>DAY ONCOLOGY UNIT</v>
          </cell>
          <cell r="I1071" t="str">
            <v>04DO124</v>
          </cell>
          <cell r="J1071" t="str">
            <v>TREATMENT ROOM</v>
          </cell>
          <cell r="K1071" t="str">
            <v>BMED</v>
          </cell>
          <cell r="L1071" t="str">
            <v>Critical</v>
          </cell>
          <cell r="M1071" t="str">
            <v>China</v>
          </cell>
          <cell r="N1071" t="str">
            <v>Mac</v>
          </cell>
          <cell r="O1071" t="str">
            <v>MAC 800</v>
          </cell>
          <cell r="P1071" t="str">
            <v>SJ412450377 WA</v>
          </cell>
          <cell r="Q1071" t="str">
            <v>Not Applicable</v>
          </cell>
          <cell r="R1071" t="str">
            <v>GE Healthcare Systems</v>
          </cell>
          <cell r="S1071" t="str">
            <v>GE Healthcare Technologies</v>
          </cell>
          <cell r="T1071" t="str">
            <v>Functioning</v>
          </cell>
          <cell r="U1071" t="str">
            <v>Asset</v>
          </cell>
          <cell r="V1071">
            <v>25260</v>
          </cell>
          <cell r="W1071" t="str">
            <v>KEW</v>
          </cell>
          <cell r="X1071" t="str">
            <v>01/09/2010</v>
          </cell>
          <cell r="Y1071" t="str">
            <v>KEW</v>
          </cell>
          <cell r="Z1071" t="str">
            <v>16/08/2013</v>
          </cell>
          <cell r="AA1071" t="str">
            <v>15/08/2015</v>
          </cell>
          <cell r="AB1071" t="str">
            <v>No</v>
          </cell>
          <cell r="AC1071" t="str">
            <v>31/08/2013</v>
          </cell>
          <cell r="AD1071" t="str">
            <v>Good</v>
          </cell>
          <cell r="AE1071" t="str">
            <v>V1 - Existing / No Claim</v>
          </cell>
          <cell r="AF1071">
            <v>42793</v>
          </cell>
          <cell r="AG1071">
            <v>9.17</v>
          </cell>
          <cell r="AH1071" t="str">
            <v>PPM</v>
          </cell>
          <cell r="AI1071" t="str">
            <v>Strands</v>
          </cell>
          <cell r="AJ1071" t="str">
            <v>Strands PW</v>
          </cell>
        </row>
        <row r="1072">
          <cell r="A1072" t="str">
            <v>IKN400652</v>
          </cell>
          <cell r="B1072">
            <v>652</v>
          </cell>
          <cell r="C1072" t="str">
            <v>Institut Kanser Negara</v>
          </cell>
          <cell r="D1072" t="str">
            <v>KKM/IKN/H/13/2620</v>
          </cell>
          <cell r="E1072" t="str">
            <v>16-173</v>
          </cell>
          <cell r="F1072" t="str">
            <v>Sphygmomanometers, Electronic, Automatic</v>
          </cell>
          <cell r="G1072" t="str">
            <v>DO</v>
          </cell>
          <cell r="H1072" t="str">
            <v>DAY ONCOLOGY UNIT</v>
          </cell>
          <cell r="I1072" t="str">
            <v>04DO131</v>
          </cell>
          <cell r="J1072" t="str">
            <v>NURSE STATION</v>
          </cell>
          <cell r="K1072" t="str">
            <v>BMED</v>
          </cell>
          <cell r="L1072" t="str">
            <v>Critical</v>
          </cell>
          <cell r="M1072" t="str">
            <v>USA</v>
          </cell>
          <cell r="N1072" t="str">
            <v>Connex</v>
          </cell>
          <cell r="O1072" t="str">
            <v>Connex ProBP 3400</v>
          </cell>
          <cell r="P1072" t="str">
            <v>100001520613</v>
          </cell>
          <cell r="Q1072" t="str">
            <v>Not Applicable</v>
          </cell>
          <cell r="R1072" t="str">
            <v>Welch Allyn Inc</v>
          </cell>
          <cell r="S1072" t="str">
            <v>Welch Allyn Malaysia Sdn Bhd</v>
          </cell>
          <cell r="T1072" t="str">
            <v>Functioning</v>
          </cell>
          <cell r="U1072" t="str">
            <v>Asset</v>
          </cell>
          <cell r="V1072">
            <v>4510</v>
          </cell>
          <cell r="W1072" t="str">
            <v>KEW</v>
          </cell>
          <cell r="X1072" t="str">
            <v>01/09/2010</v>
          </cell>
          <cell r="Y1072" t="str">
            <v>KEW</v>
          </cell>
          <cell r="Z1072" t="str">
            <v>16/08/2013</v>
          </cell>
          <cell r="AA1072" t="str">
            <v>15/08/2015</v>
          </cell>
          <cell r="AB1072" t="str">
            <v>No</v>
          </cell>
          <cell r="AC1072" t="str">
            <v>31/08/2013</v>
          </cell>
          <cell r="AD1072" t="str">
            <v>Good</v>
          </cell>
          <cell r="AE1072" t="str">
            <v>V1 - Existing / No Claim</v>
          </cell>
          <cell r="AF1072">
            <v>42793</v>
          </cell>
          <cell r="AG1072">
            <v>9.17</v>
          </cell>
          <cell r="AH1072" t="str">
            <v>PPM</v>
          </cell>
          <cell r="AI1072" t="str">
            <v>Strands</v>
          </cell>
          <cell r="AJ1072" t="str">
            <v>Strands PW</v>
          </cell>
        </row>
        <row r="1073">
          <cell r="A1073" t="str">
            <v>IKN400653</v>
          </cell>
          <cell r="B1073">
            <v>653</v>
          </cell>
          <cell r="C1073" t="str">
            <v>Institut Kanser Negara</v>
          </cell>
          <cell r="D1073" t="str">
            <v>KKM/IKN/H/13/2618</v>
          </cell>
          <cell r="E1073" t="str">
            <v>16-173</v>
          </cell>
          <cell r="F1073" t="str">
            <v>Sphygmomanometers, Electronic, Automatic</v>
          </cell>
          <cell r="G1073" t="str">
            <v>DO</v>
          </cell>
          <cell r="H1073" t="str">
            <v>DAY ONCOLOGY UNIT</v>
          </cell>
          <cell r="I1073" t="str">
            <v>04DO131</v>
          </cell>
          <cell r="J1073" t="str">
            <v>NURSE STATION</v>
          </cell>
          <cell r="K1073" t="str">
            <v>BMED</v>
          </cell>
          <cell r="L1073" t="str">
            <v>Critical</v>
          </cell>
          <cell r="M1073" t="str">
            <v>USA</v>
          </cell>
          <cell r="N1073" t="str">
            <v>Connex</v>
          </cell>
          <cell r="O1073" t="str">
            <v>Connex ProBP 3400</v>
          </cell>
          <cell r="P1073" t="str">
            <v>100001730613</v>
          </cell>
          <cell r="Q1073" t="str">
            <v>Not Applicable</v>
          </cell>
          <cell r="R1073" t="str">
            <v>Welch Allyn Inc</v>
          </cell>
          <cell r="S1073" t="str">
            <v>Welch Allyn Malaysia Sdn Bhd</v>
          </cell>
          <cell r="T1073" t="str">
            <v>Functioning</v>
          </cell>
          <cell r="U1073" t="str">
            <v>Asset</v>
          </cell>
          <cell r="V1073">
            <v>4510</v>
          </cell>
          <cell r="W1073" t="str">
            <v>KEW</v>
          </cell>
          <cell r="X1073" t="str">
            <v>01/09/2010</v>
          </cell>
          <cell r="Y1073" t="str">
            <v>KEW</v>
          </cell>
          <cell r="Z1073" t="str">
            <v>16/08/2013</v>
          </cell>
          <cell r="AA1073" t="str">
            <v>15/08/2015</v>
          </cell>
          <cell r="AB1073" t="str">
            <v>No</v>
          </cell>
          <cell r="AC1073" t="str">
            <v>31/08/2013</v>
          </cell>
          <cell r="AD1073" t="str">
            <v>Good</v>
          </cell>
          <cell r="AE1073" t="str">
            <v>V1 - Existing / No Claim</v>
          </cell>
          <cell r="AF1073">
            <v>42793</v>
          </cell>
          <cell r="AG1073">
            <v>9.17</v>
          </cell>
          <cell r="AH1073" t="str">
            <v>PPM</v>
          </cell>
          <cell r="AI1073" t="str">
            <v>Strands</v>
          </cell>
          <cell r="AJ1073" t="str">
            <v>Strands PW</v>
          </cell>
        </row>
        <row r="1074">
          <cell r="A1074" t="str">
            <v>IKN400654</v>
          </cell>
          <cell r="B1074">
            <v>654</v>
          </cell>
          <cell r="C1074" t="str">
            <v>Institut Kanser Negara</v>
          </cell>
          <cell r="D1074" t="str">
            <v>KKM/IKN/H/13/1592</v>
          </cell>
          <cell r="E1074" t="str">
            <v>10-208</v>
          </cell>
          <cell r="F1074" t="str">
            <v>Aspirators</v>
          </cell>
          <cell r="G1074" t="str">
            <v>DO</v>
          </cell>
          <cell r="H1074" t="str">
            <v>DAY ONCOLOGY UNIT</v>
          </cell>
          <cell r="I1074" t="str">
            <v>04DO125</v>
          </cell>
          <cell r="J1074" t="str">
            <v>PROCEDURE ROOM</v>
          </cell>
          <cell r="K1074" t="str">
            <v>BMED</v>
          </cell>
          <cell r="L1074" t="str">
            <v>Critical</v>
          </cell>
          <cell r="M1074" t="str">
            <v>Switzerland</v>
          </cell>
          <cell r="N1074" t="str">
            <v>Senator</v>
          </cell>
          <cell r="O1074" t="str">
            <v>Senator</v>
          </cell>
          <cell r="P1074" t="str">
            <v>1220759</v>
          </cell>
          <cell r="Q1074" t="str">
            <v>Not Applicable</v>
          </cell>
          <cell r="R1074" t="str">
            <v>Ardo Medical AG</v>
          </cell>
          <cell r="S1074" t="str">
            <v>Histopoint</v>
          </cell>
          <cell r="T1074" t="str">
            <v>Functioning</v>
          </cell>
          <cell r="U1074" t="str">
            <v>Asset</v>
          </cell>
          <cell r="V1074">
            <v>7580</v>
          </cell>
          <cell r="W1074" t="str">
            <v>KEW</v>
          </cell>
          <cell r="X1074" t="str">
            <v>01/09/2010</v>
          </cell>
          <cell r="Y1074" t="str">
            <v>KEW</v>
          </cell>
          <cell r="Z1074" t="str">
            <v>16/08/2013</v>
          </cell>
          <cell r="AA1074" t="str">
            <v>15/08/2015</v>
          </cell>
          <cell r="AB1074" t="str">
            <v>No</v>
          </cell>
          <cell r="AC1074" t="str">
            <v>31/08/2013</v>
          </cell>
          <cell r="AD1074" t="str">
            <v>Good</v>
          </cell>
          <cell r="AE1074" t="str">
            <v>V1 - Existing / No Claim</v>
          </cell>
          <cell r="AF1074">
            <v>42793</v>
          </cell>
          <cell r="AG1074">
            <v>9.17</v>
          </cell>
          <cell r="AH1074" t="str">
            <v>PPM</v>
          </cell>
          <cell r="AI1074" t="str">
            <v>Strands</v>
          </cell>
          <cell r="AJ1074" t="str">
            <v>Strands PW</v>
          </cell>
        </row>
        <row r="1075">
          <cell r="A1075" t="str">
            <v>IKN400656</v>
          </cell>
          <cell r="B1075">
            <v>656</v>
          </cell>
          <cell r="C1075" t="str">
            <v>Institut Kanser Negara</v>
          </cell>
          <cell r="D1075" t="str">
            <v>KKM/IKN/H/13/1387</v>
          </cell>
          <cell r="E1075" t="str">
            <v>13-217</v>
          </cell>
          <cell r="F1075" t="str">
            <v>Infusion Pumps, Syringe</v>
          </cell>
          <cell r="G1075" t="str">
            <v>DO</v>
          </cell>
          <cell r="H1075" t="str">
            <v>DAY ONCOLOGY UNIT</v>
          </cell>
          <cell r="I1075" t="str">
            <v>04DO138</v>
          </cell>
          <cell r="J1075" t="str">
            <v>CHEMOTHERAPY BAY (4 BEDS)</v>
          </cell>
          <cell r="K1075" t="str">
            <v>BMED</v>
          </cell>
          <cell r="L1075" t="str">
            <v>Critical</v>
          </cell>
          <cell r="M1075" t="str">
            <v>Germany</v>
          </cell>
          <cell r="N1075" t="str">
            <v>Perfusor</v>
          </cell>
          <cell r="O1075" t="str">
            <v>Perfusor Space</v>
          </cell>
          <cell r="P1075" t="str">
            <v>143313</v>
          </cell>
          <cell r="Q1075" t="str">
            <v>Not Applicable</v>
          </cell>
          <cell r="R1075" t="str">
            <v>B Braun Melsungen AG</v>
          </cell>
          <cell r="S1075" t="str">
            <v>B Braun Medical Supplies Sdn. Bhd.</v>
          </cell>
          <cell r="T1075" t="str">
            <v>Functioning</v>
          </cell>
          <cell r="U1075" t="str">
            <v>Asset</v>
          </cell>
          <cell r="V1075">
            <v>10225</v>
          </cell>
          <cell r="W1075" t="str">
            <v>KEW</v>
          </cell>
          <cell r="X1075" t="str">
            <v>01/09/2010</v>
          </cell>
          <cell r="Y1075" t="str">
            <v>KEW</v>
          </cell>
          <cell r="Z1075" t="str">
            <v>16/08/2013</v>
          </cell>
          <cell r="AA1075" t="str">
            <v>15/08/2015</v>
          </cell>
          <cell r="AB1075" t="str">
            <v>No</v>
          </cell>
          <cell r="AC1075" t="str">
            <v>31/08/2013</v>
          </cell>
          <cell r="AD1075" t="str">
            <v>Good</v>
          </cell>
          <cell r="AE1075" t="str">
            <v>V1 - Existing / No Claim</v>
          </cell>
          <cell r="AF1075">
            <v>42793</v>
          </cell>
          <cell r="AG1075">
            <v>9.17</v>
          </cell>
          <cell r="AH1075" t="str">
            <v>PPM</v>
          </cell>
          <cell r="AI1075" t="str">
            <v>Strands</v>
          </cell>
          <cell r="AJ1075" t="str">
            <v>Strands PW</v>
          </cell>
        </row>
        <row r="1076">
          <cell r="A1076" t="str">
            <v>IKN400657</v>
          </cell>
          <cell r="B1076">
            <v>657</v>
          </cell>
          <cell r="C1076" t="str">
            <v>Institut Kanser Negara</v>
          </cell>
          <cell r="D1076" t="str">
            <v>KKM/IKN/H/13/1600</v>
          </cell>
          <cell r="E1076" t="str">
            <v>13-215</v>
          </cell>
          <cell r="F1076" t="str">
            <v>Infusion Pumps, General-Purpose</v>
          </cell>
          <cell r="G1076" t="str">
            <v>DO</v>
          </cell>
          <cell r="H1076" t="str">
            <v>DAY ONCOLOGY UNIT</v>
          </cell>
          <cell r="I1076" t="str">
            <v>04DO138</v>
          </cell>
          <cell r="J1076" t="str">
            <v>CHEMOTHERAPY BAY (4 BEDS)</v>
          </cell>
          <cell r="K1076" t="str">
            <v>BMED</v>
          </cell>
          <cell r="L1076" t="str">
            <v>Critical</v>
          </cell>
          <cell r="M1076" t="str">
            <v>Germany</v>
          </cell>
          <cell r="N1076" t="str">
            <v>Infusomat</v>
          </cell>
          <cell r="O1076" t="str">
            <v>Infusomat Space</v>
          </cell>
          <cell r="P1076" t="str">
            <v>212068</v>
          </cell>
          <cell r="Q1076" t="str">
            <v>Not Applicable</v>
          </cell>
          <cell r="R1076" t="str">
            <v>B Braun Melsungen AG</v>
          </cell>
          <cell r="S1076" t="str">
            <v>B Braun Medical Supplies Sdn. Bhd.</v>
          </cell>
          <cell r="T1076" t="str">
            <v>Functioning</v>
          </cell>
          <cell r="U1076" t="str">
            <v>Asset</v>
          </cell>
          <cell r="V1076">
            <v>10825</v>
          </cell>
          <cell r="W1076" t="str">
            <v>KEW</v>
          </cell>
          <cell r="X1076" t="str">
            <v>01/09/2010</v>
          </cell>
          <cell r="Y1076" t="str">
            <v>KEW</v>
          </cell>
          <cell r="Z1076" t="str">
            <v>16/08/2013</v>
          </cell>
          <cell r="AA1076" t="str">
            <v>15/08/2015</v>
          </cell>
          <cell r="AB1076" t="str">
            <v>No</v>
          </cell>
          <cell r="AC1076" t="str">
            <v>31/08/2013</v>
          </cell>
          <cell r="AD1076" t="str">
            <v>Good</v>
          </cell>
          <cell r="AE1076" t="str">
            <v>V1 - Existing / No Claim</v>
          </cell>
          <cell r="AF1076">
            <v>42793</v>
          </cell>
          <cell r="AG1076">
            <v>9.17</v>
          </cell>
          <cell r="AH1076" t="str">
            <v>PPM</v>
          </cell>
          <cell r="AI1076" t="str">
            <v>Strands</v>
          </cell>
          <cell r="AJ1076" t="str">
            <v>Strands PW</v>
          </cell>
        </row>
        <row r="1077">
          <cell r="A1077" t="str">
            <v>IKN400658</v>
          </cell>
          <cell r="B1077">
            <v>658</v>
          </cell>
          <cell r="C1077" t="str">
            <v>Institut Kanser Negara</v>
          </cell>
          <cell r="D1077" t="str">
            <v>KKM/IKN/H/13/765</v>
          </cell>
          <cell r="E1077" t="str">
            <v>13-215</v>
          </cell>
          <cell r="F1077" t="str">
            <v>Infusion Pumps, General-Purpose</v>
          </cell>
          <cell r="G1077" t="str">
            <v>DO</v>
          </cell>
          <cell r="H1077" t="str">
            <v>DAY ONCOLOGY UNIT</v>
          </cell>
          <cell r="I1077" t="str">
            <v>04DO138</v>
          </cell>
          <cell r="J1077" t="str">
            <v>CHEMOTHERAPY BAY (4 BEDS)</v>
          </cell>
          <cell r="K1077" t="str">
            <v>BMED</v>
          </cell>
          <cell r="L1077" t="str">
            <v>Critical</v>
          </cell>
          <cell r="M1077" t="str">
            <v>Germany</v>
          </cell>
          <cell r="N1077" t="str">
            <v>Infusomat</v>
          </cell>
          <cell r="O1077" t="str">
            <v>Infusomat Space</v>
          </cell>
          <cell r="P1077" t="str">
            <v>211641</v>
          </cell>
          <cell r="Q1077" t="str">
            <v>Not Applicable</v>
          </cell>
          <cell r="R1077" t="str">
            <v>B Braun Melsungen AG</v>
          </cell>
          <cell r="S1077" t="str">
            <v>B Braun Medical Supplies Sdn. Bhd.</v>
          </cell>
          <cell r="T1077" t="str">
            <v>Functioning</v>
          </cell>
          <cell r="U1077" t="str">
            <v>Asset</v>
          </cell>
          <cell r="V1077">
            <v>10825</v>
          </cell>
          <cell r="W1077" t="str">
            <v>KEW</v>
          </cell>
          <cell r="X1077" t="str">
            <v>01/09/2010</v>
          </cell>
          <cell r="Y1077" t="str">
            <v>KEW</v>
          </cell>
          <cell r="Z1077" t="str">
            <v>16/08/2013</v>
          </cell>
          <cell r="AA1077" t="str">
            <v>15/08/2015</v>
          </cell>
          <cell r="AB1077" t="str">
            <v>No</v>
          </cell>
          <cell r="AC1077" t="str">
            <v>31/08/2013</v>
          </cell>
          <cell r="AD1077" t="str">
            <v>Good</v>
          </cell>
          <cell r="AE1077" t="str">
            <v>V1 - Existing / No Claim</v>
          </cell>
          <cell r="AF1077">
            <v>42793</v>
          </cell>
          <cell r="AG1077">
            <v>9.17</v>
          </cell>
          <cell r="AH1077" t="str">
            <v>PPM</v>
          </cell>
          <cell r="AI1077" t="str">
            <v>Strands</v>
          </cell>
          <cell r="AJ1077" t="str">
            <v>Strands PW</v>
          </cell>
        </row>
        <row r="1078">
          <cell r="A1078" t="str">
            <v>IKN400659</v>
          </cell>
          <cell r="B1078">
            <v>659</v>
          </cell>
          <cell r="C1078" t="str">
            <v>Institut Kanser Negara</v>
          </cell>
          <cell r="D1078" t="str">
            <v>KKM/IKN/H/13/1389</v>
          </cell>
          <cell r="E1078" t="str">
            <v>13-215</v>
          </cell>
          <cell r="F1078" t="str">
            <v>Infusion Pumps, General-Purpose</v>
          </cell>
          <cell r="G1078" t="str">
            <v>DO</v>
          </cell>
          <cell r="H1078" t="str">
            <v>DAY ONCOLOGY UNIT</v>
          </cell>
          <cell r="I1078" t="str">
            <v>04DO138</v>
          </cell>
          <cell r="J1078" t="str">
            <v>CHEMOTHERAPY BAY (4 BEDS)</v>
          </cell>
          <cell r="K1078" t="str">
            <v>BMED</v>
          </cell>
          <cell r="L1078" t="str">
            <v>Critical</v>
          </cell>
          <cell r="M1078" t="str">
            <v>Germany</v>
          </cell>
          <cell r="N1078" t="str">
            <v>Infusomat</v>
          </cell>
          <cell r="O1078" t="str">
            <v>Infusomat Space</v>
          </cell>
          <cell r="P1078" t="str">
            <v>212024</v>
          </cell>
          <cell r="Q1078" t="str">
            <v>Not Applicable</v>
          </cell>
          <cell r="R1078" t="str">
            <v>B Braun Melsungen AG</v>
          </cell>
          <cell r="S1078" t="str">
            <v>B Braun Medical Supplies Sdn. Bhd.</v>
          </cell>
          <cell r="T1078" t="str">
            <v>Functioning</v>
          </cell>
          <cell r="U1078" t="str">
            <v>Asset</v>
          </cell>
          <cell r="V1078">
            <v>10825</v>
          </cell>
          <cell r="W1078" t="str">
            <v>KEW</v>
          </cell>
          <cell r="X1078" t="str">
            <v>01/09/2010</v>
          </cell>
          <cell r="Y1078" t="str">
            <v>KEW</v>
          </cell>
          <cell r="Z1078" t="str">
            <v>16/08/2013</v>
          </cell>
          <cell r="AA1078" t="str">
            <v>15/08/2015</v>
          </cell>
          <cell r="AB1078" t="str">
            <v>No</v>
          </cell>
          <cell r="AC1078" t="str">
            <v>31/08/2013</v>
          </cell>
          <cell r="AD1078" t="str">
            <v>Good</v>
          </cell>
          <cell r="AE1078" t="str">
            <v>V1 - Existing / No Claim</v>
          </cell>
          <cell r="AF1078">
            <v>42793</v>
          </cell>
          <cell r="AG1078">
            <v>9.17</v>
          </cell>
          <cell r="AH1078" t="str">
            <v>PPM</v>
          </cell>
          <cell r="AI1078" t="str">
            <v>Strands</v>
          </cell>
          <cell r="AJ1078" t="str">
            <v>Strands PW</v>
          </cell>
        </row>
        <row r="1079">
          <cell r="A1079" t="str">
            <v>IKN400660</v>
          </cell>
          <cell r="B1079">
            <v>660</v>
          </cell>
          <cell r="C1079" t="str">
            <v>Institut Kanser Negara</v>
          </cell>
          <cell r="D1079" t="str">
            <v>KKM/IKN/H/13/1390</v>
          </cell>
          <cell r="E1079" t="str">
            <v>13-215</v>
          </cell>
          <cell r="F1079" t="str">
            <v>Infusion Pumps, General-Purpose</v>
          </cell>
          <cell r="G1079" t="str">
            <v>DO</v>
          </cell>
          <cell r="H1079" t="str">
            <v>DAY ONCOLOGY UNIT</v>
          </cell>
          <cell r="I1079" t="str">
            <v>04DO138</v>
          </cell>
          <cell r="J1079" t="str">
            <v>CHEMOTHERAPY BAY (4 BEDS)</v>
          </cell>
          <cell r="K1079" t="str">
            <v>BMED</v>
          </cell>
          <cell r="L1079" t="str">
            <v>Critical</v>
          </cell>
          <cell r="M1079" t="str">
            <v>Germany</v>
          </cell>
          <cell r="N1079" t="str">
            <v>Infusomat</v>
          </cell>
          <cell r="O1079" t="str">
            <v>Infusomat Space</v>
          </cell>
          <cell r="P1079" t="str">
            <v>211995</v>
          </cell>
          <cell r="Q1079" t="str">
            <v>Not Applicable</v>
          </cell>
          <cell r="R1079" t="str">
            <v>B Braun Melsungen AG</v>
          </cell>
          <cell r="S1079" t="str">
            <v>B Braun Medical Supplies Sdn. Bhd.</v>
          </cell>
          <cell r="T1079" t="str">
            <v>Functioning</v>
          </cell>
          <cell r="U1079" t="str">
            <v>Asset</v>
          </cell>
          <cell r="V1079">
            <v>10825</v>
          </cell>
          <cell r="W1079" t="str">
            <v>KEW</v>
          </cell>
          <cell r="X1079" t="str">
            <v>01/09/2010</v>
          </cell>
          <cell r="Y1079" t="str">
            <v>KEW</v>
          </cell>
          <cell r="Z1079" t="str">
            <v>16/08/2013</v>
          </cell>
          <cell r="AA1079" t="str">
            <v>15/08/2015</v>
          </cell>
          <cell r="AB1079" t="str">
            <v>No</v>
          </cell>
          <cell r="AC1079" t="str">
            <v>31/08/2013</v>
          </cell>
          <cell r="AD1079" t="str">
            <v>Good</v>
          </cell>
          <cell r="AE1079" t="str">
            <v>V1 - Existing / No Claim</v>
          </cell>
          <cell r="AF1079">
            <v>42793</v>
          </cell>
          <cell r="AG1079">
            <v>9.17</v>
          </cell>
          <cell r="AH1079" t="str">
            <v>PPM</v>
          </cell>
          <cell r="AI1079" t="str">
            <v>Strands</v>
          </cell>
          <cell r="AJ1079" t="str">
            <v>Strands PW</v>
          </cell>
        </row>
        <row r="1080">
          <cell r="A1080" t="str">
            <v>IKN400661</v>
          </cell>
          <cell r="B1080">
            <v>661</v>
          </cell>
          <cell r="C1080" t="str">
            <v>Institut Kanser Negara</v>
          </cell>
          <cell r="D1080" t="str">
            <v>KKM/IKN/H/13/1609</v>
          </cell>
          <cell r="E1080" t="str">
            <v>17-950</v>
          </cell>
          <cell r="F1080" t="str">
            <v>Warming Units, Patient, Forced-Air</v>
          </cell>
          <cell r="G1080" t="str">
            <v>DO</v>
          </cell>
          <cell r="H1080" t="str">
            <v>DAY ONCOLOGY UNIT</v>
          </cell>
          <cell r="I1080" t="str">
            <v>04DO138</v>
          </cell>
          <cell r="J1080" t="str">
            <v>CHEMOTHERAPY BAY (4 BEDS)</v>
          </cell>
          <cell r="K1080" t="str">
            <v>BMED</v>
          </cell>
          <cell r="L1080" t="str">
            <v>Normal</v>
          </cell>
          <cell r="M1080" t="str">
            <v>USA</v>
          </cell>
          <cell r="N1080" t="str">
            <v>Bair Hugger</v>
          </cell>
          <cell r="O1080" t="str">
            <v>Bair Hugger 775</v>
          </cell>
          <cell r="P1080" t="str">
            <v>35943</v>
          </cell>
          <cell r="Q1080" t="str">
            <v>Not Applicable</v>
          </cell>
          <cell r="R1080" t="str">
            <v>Arizant Healthcare Inc</v>
          </cell>
          <cell r="S1080" t="str">
            <v>Calmed Healthcare Sdn Bhd</v>
          </cell>
          <cell r="T1080" t="str">
            <v>Functioning</v>
          </cell>
          <cell r="U1080" t="str">
            <v>Asset</v>
          </cell>
          <cell r="V1080">
            <v>15515</v>
          </cell>
          <cell r="W1080" t="str">
            <v>KEW</v>
          </cell>
          <cell r="X1080" t="str">
            <v>01/09/2010</v>
          </cell>
          <cell r="Y1080" t="str">
            <v>KEW</v>
          </cell>
          <cell r="Z1080" t="str">
            <v>16/08/2013</v>
          </cell>
          <cell r="AA1080" t="str">
            <v>15/08/2015</v>
          </cell>
          <cell r="AB1080" t="str">
            <v>No</v>
          </cell>
          <cell r="AC1080" t="str">
            <v>31/08/2013</v>
          </cell>
          <cell r="AD1080" t="str">
            <v>Good</v>
          </cell>
          <cell r="AE1080" t="str">
            <v>V1 - Existing / No Claim</v>
          </cell>
          <cell r="AF1080">
            <v>42793</v>
          </cell>
          <cell r="AG1080">
            <v>9.17</v>
          </cell>
          <cell r="AH1080" t="str">
            <v>PPM</v>
          </cell>
          <cell r="AI1080" t="str">
            <v>Strands</v>
          </cell>
          <cell r="AJ1080" t="str">
            <v>Strands PW</v>
          </cell>
        </row>
        <row r="1081">
          <cell r="A1081" t="str">
            <v>IKN400663</v>
          </cell>
          <cell r="B1081">
            <v>663</v>
          </cell>
          <cell r="C1081" t="str">
            <v>Institut Kanser Negara</v>
          </cell>
          <cell r="D1081" t="str">
            <v>KKM/IKN/H/13/378</v>
          </cell>
          <cell r="E1081" t="str">
            <v>16-173</v>
          </cell>
          <cell r="F1081" t="str">
            <v>Sphygmomanometers, Electronic, Automatic</v>
          </cell>
          <cell r="G1081" t="str">
            <v>DO</v>
          </cell>
          <cell r="H1081" t="str">
            <v>DAY ONCOLOGY UNIT</v>
          </cell>
          <cell r="I1081" t="str">
            <v>04DO138</v>
          </cell>
          <cell r="J1081" t="str">
            <v>CHEMOTHERAPY BAY (4 BEDS)</v>
          </cell>
          <cell r="K1081" t="str">
            <v>BMED</v>
          </cell>
          <cell r="L1081" t="str">
            <v>Critical</v>
          </cell>
          <cell r="M1081" t="str">
            <v>Mexico</v>
          </cell>
          <cell r="N1081" t="str">
            <v>Carespace</v>
          </cell>
          <cell r="O1081" t="str">
            <v>Carescape V100</v>
          </cell>
          <cell r="P1081" t="str">
            <v>SH612430154SA</v>
          </cell>
          <cell r="Q1081" t="str">
            <v>Not Applicable</v>
          </cell>
          <cell r="R1081" t="str">
            <v>GE Healthcare Systems</v>
          </cell>
          <cell r="S1081" t="str">
            <v>GE Healthcare Technologies</v>
          </cell>
          <cell r="T1081" t="str">
            <v>Functioning</v>
          </cell>
          <cell r="U1081" t="str">
            <v>Asset</v>
          </cell>
          <cell r="V1081">
            <v>7770</v>
          </cell>
          <cell r="W1081" t="str">
            <v>KEW</v>
          </cell>
          <cell r="X1081" t="str">
            <v>01/09/2010</v>
          </cell>
          <cell r="Y1081" t="str">
            <v>KEW</v>
          </cell>
          <cell r="Z1081" t="str">
            <v>16/08/2013</v>
          </cell>
          <cell r="AA1081" t="str">
            <v>15/08/2015</v>
          </cell>
          <cell r="AB1081" t="str">
            <v>No</v>
          </cell>
          <cell r="AC1081" t="str">
            <v>31/08/2013</v>
          </cell>
          <cell r="AD1081" t="str">
            <v>Good</v>
          </cell>
          <cell r="AE1081" t="str">
            <v>V1 - Existing / No Claim</v>
          </cell>
          <cell r="AF1081">
            <v>42793</v>
          </cell>
          <cell r="AG1081">
            <v>9.17</v>
          </cell>
          <cell r="AH1081" t="str">
            <v>PPM</v>
          </cell>
          <cell r="AI1081" t="str">
            <v>Strands</v>
          </cell>
          <cell r="AJ1081" t="str">
            <v>Strands PW</v>
          </cell>
        </row>
        <row r="1082">
          <cell r="A1082" t="str">
            <v>IKN400664</v>
          </cell>
          <cell r="B1082">
            <v>664</v>
          </cell>
          <cell r="C1082" t="str">
            <v>Institut Kanser Negara</v>
          </cell>
          <cell r="D1082" t="str">
            <v>KKM/IKN/H/14/119</v>
          </cell>
          <cell r="E1082" t="str">
            <v>13-217</v>
          </cell>
          <cell r="F1082" t="str">
            <v>Infusion Pumps, Syringe</v>
          </cell>
          <cell r="G1082" t="str">
            <v>NM</v>
          </cell>
          <cell r="H1082" t="str">
            <v>NUCLEAR MED (DIAGNOSTIC)</v>
          </cell>
          <cell r="I1082" t="str">
            <v>03NM155</v>
          </cell>
          <cell r="J1082" t="str">
            <v>STRESS LAB</v>
          </cell>
          <cell r="K1082" t="str">
            <v>BMED</v>
          </cell>
          <cell r="L1082" t="str">
            <v>Critical</v>
          </cell>
          <cell r="M1082" t="str">
            <v>Germany</v>
          </cell>
          <cell r="N1082" t="str">
            <v>Perfusor</v>
          </cell>
          <cell r="O1082" t="str">
            <v>Perfusor Space</v>
          </cell>
          <cell r="P1082" t="str">
            <v>268312</v>
          </cell>
          <cell r="Q1082" t="str">
            <v>Not Applicable</v>
          </cell>
          <cell r="R1082" t="str">
            <v>B Braun Melsungen AG</v>
          </cell>
          <cell r="S1082" t="str">
            <v>Pharmaserv Alliances Sdn. Bhd.</v>
          </cell>
          <cell r="T1082" t="str">
            <v>Functioning</v>
          </cell>
          <cell r="U1082" t="str">
            <v>Asset</v>
          </cell>
          <cell r="V1082">
            <v>5800</v>
          </cell>
          <cell r="W1082" t="str">
            <v>KEW</v>
          </cell>
          <cell r="X1082" t="str">
            <v>07/11/2014</v>
          </cell>
          <cell r="Y1082" t="str">
            <v>KEW</v>
          </cell>
          <cell r="Z1082" t="str">
            <v>16/12/2014</v>
          </cell>
          <cell r="AA1082" t="str">
            <v>15/12/2016</v>
          </cell>
          <cell r="AB1082" t="str">
            <v>No</v>
          </cell>
          <cell r="AC1082" t="str">
            <v>16/12/2014</v>
          </cell>
          <cell r="AD1082" t="str">
            <v>Good</v>
          </cell>
          <cell r="AE1082" t="str">
            <v>V3 - Added Installed Facilities (New)</v>
          </cell>
          <cell r="AF1082">
            <v>43078</v>
          </cell>
          <cell r="AG1082">
            <v>5</v>
          </cell>
          <cell r="AH1082" t="str">
            <v>PPM</v>
          </cell>
          <cell r="AI1082" t="str">
            <v>Strands</v>
          </cell>
          <cell r="AJ1082" t="str">
            <v>Strands PW</v>
          </cell>
          <cell r="AK1082" t="str">
            <v>SNF received. 1st batch of V3 asset (December 2020)</v>
          </cell>
        </row>
        <row r="1083">
          <cell r="A1083" t="str">
            <v>IKN400665</v>
          </cell>
          <cell r="B1083">
            <v>665</v>
          </cell>
          <cell r="C1083" t="str">
            <v>Institut Kanser Negara</v>
          </cell>
          <cell r="D1083" t="str">
            <v>KKM/IKN/H/14/94</v>
          </cell>
          <cell r="E1083" t="str">
            <v>15-178</v>
          </cell>
          <cell r="F1083" t="str">
            <v>Shakers, Laboratory</v>
          </cell>
          <cell r="G1083" t="str">
            <v>LA</v>
          </cell>
          <cell r="H1083" t="str">
            <v>PATHOLOGY</v>
          </cell>
          <cell r="I1083" t="str">
            <v>04LA130</v>
          </cell>
          <cell r="J1083" t="str">
            <v>SEROLOGY</v>
          </cell>
          <cell r="K1083" t="str">
            <v>BMED</v>
          </cell>
          <cell r="L1083" t="str">
            <v>Normal</v>
          </cell>
          <cell r="M1083" t="str">
            <v>USA</v>
          </cell>
          <cell r="N1083" t="str">
            <v>Latvia</v>
          </cell>
          <cell r="O1083" t="str">
            <v>Latvia OS-20</v>
          </cell>
          <cell r="P1083" t="str">
            <v>01010814090248</v>
          </cell>
          <cell r="Q1083" t="str">
            <v>Not Applicable</v>
          </cell>
          <cell r="R1083" t="str">
            <v>Biosan</v>
          </cell>
          <cell r="S1083" t="str">
            <v>Bumi Sains Sdn. Bhd.</v>
          </cell>
          <cell r="T1083" t="str">
            <v>Functioning</v>
          </cell>
          <cell r="U1083" t="str">
            <v>Asset</v>
          </cell>
          <cell r="V1083">
            <v>2700</v>
          </cell>
          <cell r="W1083" t="str">
            <v>KEW</v>
          </cell>
          <cell r="X1083" t="str">
            <v>25/09/2014</v>
          </cell>
          <cell r="Y1083" t="str">
            <v>KEW</v>
          </cell>
          <cell r="Z1083" t="str">
            <v>20/11/2014</v>
          </cell>
          <cell r="AA1083" t="str">
            <v>19/11/2015</v>
          </cell>
          <cell r="AB1083" t="str">
            <v>No</v>
          </cell>
          <cell r="AC1083" t="str">
            <v>20/11/2014</v>
          </cell>
          <cell r="AD1083" t="str">
            <v>Good</v>
          </cell>
          <cell r="AE1083" t="str">
            <v>V3 - Added Installed Facilities (New)</v>
          </cell>
          <cell r="AF1083">
            <v>42677</v>
          </cell>
          <cell r="AG1083">
            <v>5.17</v>
          </cell>
          <cell r="AH1083" t="str">
            <v>PPM</v>
          </cell>
          <cell r="AI1083" t="str">
            <v>Strands</v>
          </cell>
          <cell r="AJ1083" t="str">
            <v>Strands PW</v>
          </cell>
          <cell r="AK1083" t="str">
            <v>SNF received. 1st batch of V3 asset (December 2020)</v>
          </cell>
        </row>
        <row r="1084">
          <cell r="A1084" t="str">
            <v>IKN400666</v>
          </cell>
          <cell r="B1084">
            <v>666</v>
          </cell>
          <cell r="C1084" t="str">
            <v>Institut Kanser Negara</v>
          </cell>
          <cell r="D1084" t="str">
            <v>KKM/IKN/H/13/3747</v>
          </cell>
          <cell r="E1084" t="str">
            <v>25-209</v>
          </cell>
          <cell r="F1084" t="str">
            <v>Monitors, Physiologic, Vital Signs</v>
          </cell>
          <cell r="G1084" t="str">
            <v>DO</v>
          </cell>
          <cell r="H1084" t="str">
            <v>DAY ONCOLOGY UNIT</v>
          </cell>
          <cell r="I1084" t="str">
            <v>04DO138</v>
          </cell>
          <cell r="J1084" t="str">
            <v>CHEMOTHERAPY BAY (4 BEDS)</v>
          </cell>
          <cell r="K1084" t="str">
            <v>BMED</v>
          </cell>
          <cell r="L1084" t="str">
            <v>Critical</v>
          </cell>
          <cell r="M1084" t="str">
            <v>Mexico</v>
          </cell>
          <cell r="N1084" t="str">
            <v>Carespace</v>
          </cell>
          <cell r="O1084" t="str">
            <v>Carescape V100</v>
          </cell>
          <cell r="P1084" t="str">
            <v>SH613280312SA</v>
          </cell>
          <cell r="Q1084" t="str">
            <v>Not Applicable</v>
          </cell>
          <cell r="R1084" t="str">
            <v>GE Healthcare Systems</v>
          </cell>
          <cell r="S1084" t="str">
            <v>GE Healthcare Technologies</v>
          </cell>
          <cell r="T1084" t="str">
            <v>Functioning</v>
          </cell>
          <cell r="U1084" t="str">
            <v>Asset</v>
          </cell>
          <cell r="V1084">
            <v>18765</v>
          </cell>
          <cell r="W1084" t="str">
            <v>KEW</v>
          </cell>
          <cell r="X1084" t="str">
            <v>01/09/2010</v>
          </cell>
          <cell r="Y1084" t="str">
            <v>KEW</v>
          </cell>
          <cell r="Z1084" t="str">
            <v>16/08/2013</v>
          </cell>
          <cell r="AA1084" t="str">
            <v>15/08/2015</v>
          </cell>
          <cell r="AB1084" t="str">
            <v>No</v>
          </cell>
          <cell r="AC1084" t="str">
            <v>31/08/2013</v>
          </cell>
          <cell r="AD1084" t="str">
            <v>Good</v>
          </cell>
          <cell r="AE1084" t="str">
            <v>V1 - Existing / No Claim</v>
          </cell>
          <cell r="AF1084">
            <v>42793</v>
          </cell>
          <cell r="AG1084">
            <v>9.17</v>
          </cell>
          <cell r="AH1084" t="str">
            <v>PPM</v>
          </cell>
          <cell r="AI1084" t="str">
            <v>Strands</v>
          </cell>
          <cell r="AJ1084" t="str">
            <v>Strands PW</v>
          </cell>
        </row>
        <row r="1085">
          <cell r="A1085" t="str">
            <v>IKN400667</v>
          </cell>
          <cell r="B1085">
            <v>667</v>
          </cell>
          <cell r="C1085" t="str">
            <v>Institut Kanser Negara</v>
          </cell>
          <cell r="D1085" t="str">
            <v>KKM/IKN/H/13/3452</v>
          </cell>
          <cell r="E1085" t="str">
            <v>13-763</v>
          </cell>
          <cell r="F1085" t="str">
            <v>Stimulators, Electrical, Peripheral Nerve, Acupuncture</v>
          </cell>
          <cell r="G1085" t="str">
            <v>TC</v>
          </cell>
          <cell r="H1085" t="str">
            <v>TRADITIONAL COMPLEMENTARY MEDICINE</v>
          </cell>
          <cell r="I1085" t="str">
            <v>04TC108</v>
          </cell>
          <cell r="J1085" t="str">
            <v>TREATMENT 3 (MOXISBUSTION</v>
          </cell>
          <cell r="K1085" t="str">
            <v>BMED</v>
          </cell>
          <cell r="L1085" t="str">
            <v>Normal</v>
          </cell>
          <cell r="M1085" t="str">
            <v>China</v>
          </cell>
          <cell r="N1085" t="str">
            <v>Shantou</v>
          </cell>
          <cell r="O1085" t="str">
            <v>Shantou Itpg-6805-D</v>
          </cell>
          <cell r="P1085" t="str">
            <v>AD1007071</v>
          </cell>
          <cell r="Q1085" t="str">
            <v>Not Applicable</v>
          </cell>
          <cell r="R1085" t="str">
            <v>Shantou Medical</v>
          </cell>
          <cell r="S1085" t="str">
            <v>ITP Academy Malaysia</v>
          </cell>
          <cell r="T1085" t="str">
            <v>Functioning</v>
          </cell>
          <cell r="U1085" t="str">
            <v>Asset</v>
          </cell>
          <cell r="V1085">
            <v>10725</v>
          </cell>
          <cell r="W1085" t="str">
            <v>KEW</v>
          </cell>
          <cell r="X1085" t="str">
            <v>01/09/2010</v>
          </cell>
          <cell r="Y1085" t="str">
            <v>KEW</v>
          </cell>
          <cell r="Z1085" t="str">
            <v>16/08/2013</v>
          </cell>
          <cell r="AA1085" t="str">
            <v>15/08/2015</v>
          </cell>
          <cell r="AB1085" t="str">
            <v>No</v>
          </cell>
          <cell r="AC1085" t="str">
            <v>31/08/2013</v>
          </cell>
          <cell r="AD1085" t="str">
            <v>Good</v>
          </cell>
          <cell r="AE1085" t="str">
            <v>V1 - Existing / No Claim</v>
          </cell>
          <cell r="AF1085">
            <v>42794</v>
          </cell>
          <cell r="AG1085">
            <v>9.17</v>
          </cell>
          <cell r="AH1085" t="str">
            <v>PPM</v>
          </cell>
          <cell r="AI1085" t="str">
            <v>Strands</v>
          </cell>
          <cell r="AJ1085" t="str">
            <v>Strands PW</v>
          </cell>
        </row>
        <row r="1086">
          <cell r="A1086" t="str">
            <v>IKN400670</v>
          </cell>
          <cell r="B1086">
            <v>670</v>
          </cell>
          <cell r="C1086" t="str">
            <v>Institut Kanser Negara</v>
          </cell>
          <cell r="D1086" t="str">
            <v>KKM/IKN/H/13/3455</v>
          </cell>
          <cell r="E1086" t="str">
            <v>13-763</v>
          </cell>
          <cell r="F1086" t="str">
            <v>Stimulators, Electrical, Peripheral Nerve, Acupuncture</v>
          </cell>
          <cell r="G1086" t="str">
            <v>TC</v>
          </cell>
          <cell r="H1086" t="str">
            <v>TRADITIONAL COMPLEMENTARY MEDICINE</v>
          </cell>
          <cell r="I1086" t="str">
            <v>04TC129</v>
          </cell>
          <cell r="J1086" t="str">
            <v>TREATMENT 2 (ACCUPUNCTURE)</v>
          </cell>
          <cell r="K1086" t="str">
            <v>BMED</v>
          </cell>
          <cell r="L1086" t="str">
            <v>Normal</v>
          </cell>
          <cell r="M1086" t="str">
            <v>China</v>
          </cell>
          <cell r="N1086" t="str">
            <v>Shantou</v>
          </cell>
          <cell r="O1086" t="str">
            <v>Shantou Itpg-6805-D</v>
          </cell>
          <cell r="P1086" t="str">
            <v>AD1206095</v>
          </cell>
          <cell r="Q1086" t="str">
            <v>Not Applicable</v>
          </cell>
          <cell r="R1086" t="str">
            <v>Shantou Medical</v>
          </cell>
          <cell r="S1086" t="str">
            <v>ITP Academy Malaysia</v>
          </cell>
          <cell r="T1086" t="str">
            <v>Functioning</v>
          </cell>
          <cell r="U1086" t="str">
            <v>Asset</v>
          </cell>
          <cell r="V1086">
            <v>10725</v>
          </cell>
          <cell r="W1086" t="str">
            <v>KEW</v>
          </cell>
          <cell r="X1086" t="str">
            <v>01/09/2010</v>
          </cell>
          <cell r="Y1086" t="str">
            <v>KEW</v>
          </cell>
          <cell r="Z1086" t="str">
            <v>16/08/2013</v>
          </cell>
          <cell r="AA1086" t="str">
            <v>15/08/2015</v>
          </cell>
          <cell r="AB1086" t="str">
            <v>No</v>
          </cell>
          <cell r="AC1086" t="str">
            <v>31/08/2013</v>
          </cell>
          <cell r="AD1086" t="str">
            <v>Good</v>
          </cell>
          <cell r="AE1086" t="str">
            <v>V1 - Existing / No Claim</v>
          </cell>
          <cell r="AF1086">
            <v>42235</v>
          </cell>
          <cell r="AG1086">
            <v>9.17</v>
          </cell>
          <cell r="AH1086" t="str">
            <v>PPM</v>
          </cell>
          <cell r="AI1086" t="str">
            <v>Strands</v>
          </cell>
          <cell r="AJ1086" t="str">
            <v>Strands PW</v>
          </cell>
        </row>
        <row r="1087">
          <cell r="A1087" t="str">
            <v>IKN400671</v>
          </cell>
          <cell r="B1087">
            <v>671</v>
          </cell>
          <cell r="C1087" t="str">
            <v>Institut Kanser Negara</v>
          </cell>
          <cell r="D1087" t="str">
            <v>KKM/IKN/H/13/3456</v>
          </cell>
          <cell r="E1087" t="str">
            <v>13-763</v>
          </cell>
          <cell r="F1087" t="str">
            <v>Stimulators, Electrical, Peripheral Nerve, Acupuncture</v>
          </cell>
          <cell r="G1087" t="str">
            <v>TC</v>
          </cell>
          <cell r="H1087" t="str">
            <v>TRADITIONAL COMPLEMENTARY MEDICINE</v>
          </cell>
          <cell r="I1087" t="str">
            <v>04TC129</v>
          </cell>
          <cell r="J1087" t="str">
            <v>TREATMENT 2 (ACCUPUNCTURE)</v>
          </cell>
          <cell r="K1087" t="str">
            <v>BMED</v>
          </cell>
          <cell r="L1087" t="str">
            <v>Normal</v>
          </cell>
          <cell r="M1087" t="str">
            <v>China</v>
          </cell>
          <cell r="N1087" t="str">
            <v>Shantou</v>
          </cell>
          <cell r="O1087" t="str">
            <v>Shantou Itpg-6805-D</v>
          </cell>
          <cell r="P1087" t="str">
            <v>AD1206112</v>
          </cell>
          <cell r="Q1087" t="str">
            <v>Not Applicable</v>
          </cell>
          <cell r="R1087" t="str">
            <v>Shantou Medical</v>
          </cell>
          <cell r="S1087" t="str">
            <v>ITP Academy Malaysia</v>
          </cell>
          <cell r="T1087" t="str">
            <v>Functioning</v>
          </cell>
          <cell r="U1087" t="str">
            <v>Asset</v>
          </cell>
          <cell r="V1087">
            <v>10725</v>
          </cell>
          <cell r="W1087" t="str">
            <v>KEW</v>
          </cell>
          <cell r="X1087" t="str">
            <v>01/09/2010</v>
          </cell>
          <cell r="Y1087" t="str">
            <v>KEW</v>
          </cell>
          <cell r="Z1087" t="str">
            <v>16/08/2013</v>
          </cell>
          <cell r="AA1087" t="str">
            <v>15/08/2015</v>
          </cell>
          <cell r="AB1087" t="str">
            <v>No</v>
          </cell>
          <cell r="AC1087" t="str">
            <v>31/08/2013</v>
          </cell>
          <cell r="AD1087" t="str">
            <v>Good</v>
          </cell>
          <cell r="AE1087" t="str">
            <v>V1 - Existing / No Claim</v>
          </cell>
          <cell r="AF1087">
            <v>42794</v>
          </cell>
          <cell r="AG1087">
            <v>9.17</v>
          </cell>
          <cell r="AH1087" t="str">
            <v>PPM</v>
          </cell>
          <cell r="AI1087" t="str">
            <v>Strands</v>
          </cell>
          <cell r="AJ1087" t="str">
            <v>Strands PW</v>
          </cell>
        </row>
        <row r="1088">
          <cell r="A1088" t="str">
            <v>IKN400674</v>
          </cell>
          <cell r="B1088">
            <v>674</v>
          </cell>
          <cell r="C1088" t="str">
            <v>Institut Kanser Negara</v>
          </cell>
          <cell r="D1088" t="str">
            <v>KKM/IKN/H/13/1203</v>
          </cell>
          <cell r="E1088" t="str">
            <v>12-278</v>
          </cell>
          <cell r="F1088" t="str">
            <v>Lights, Infrared</v>
          </cell>
          <cell r="G1088" t="str">
            <v>TC</v>
          </cell>
          <cell r="H1088" t="str">
            <v>TRADITIONAL COMPLEMENTARY MEDICINE</v>
          </cell>
          <cell r="I1088" t="str">
            <v>04TC127</v>
          </cell>
          <cell r="J1088" t="str">
            <v>C/E</v>
          </cell>
          <cell r="K1088" t="str">
            <v>BMED</v>
          </cell>
          <cell r="L1088" t="str">
            <v>Normal</v>
          </cell>
          <cell r="M1088" t="str">
            <v>China</v>
          </cell>
          <cell r="N1088" t="str">
            <v>Chongqing</v>
          </cell>
          <cell r="O1088" t="str">
            <v>Chongqing Itp-Xf29-Tdp</v>
          </cell>
          <cell r="P1088" t="str">
            <v>12110067</v>
          </cell>
          <cell r="Q1088" t="str">
            <v>Not Applicable</v>
          </cell>
          <cell r="R1088" t="str">
            <v>Chongqing Xinfeng Me</v>
          </cell>
          <cell r="S1088" t="str">
            <v>ITP Academy Malaysia</v>
          </cell>
          <cell r="T1088" t="str">
            <v>Functioning</v>
          </cell>
          <cell r="U1088" t="str">
            <v>Asset</v>
          </cell>
          <cell r="V1088">
            <v>7050</v>
          </cell>
          <cell r="W1088" t="str">
            <v>KEW</v>
          </cell>
          <cell r="X1088" t="str">
            <v>01/09/2010</v>
          </cell>
          <cell r="Y1088" t="str">
            <v>KEW</v>
          </cell>
          <cell r="Z1088" t="str">
            <v>16/08/2013</v>
          </cell>
          <cell r="AA1088" t="str">
            <v>15/08/2015</v>
          </cell>
          <cell r="AB1088" t="str">
            <v>No</v>
          </cell>
          <cell r="AC1088" t="str">
            <v>31/08/2013</v>
          </cell>
          <cell r="AD1088" t="str">
            <v>Good</v>
          </cell>
          <cell r="AE1088" t="str">
            <v>V1 - Existing / No Claim</v>
          </cell>
          <cell r="AF1088">
            <v>42235</v>
          </cell>
          <cell r="AG1088">
            <v>9.17</v>
          </cell>
          <cell r="AH1088" t="str">
            <v>PPM</v>
          </cell>
          <cell r="AI1088" t="str">
            <v>Strands</v>
          </cell>
          <cell r="AJ1088" t="str">
            <v>Strands PW</v>
          </cell>
          <cell r="AK1088" t="str">
            <v>[INDIRA, 17/10/2023]: Update KKM No. [27/12/2023, SHARIFAH]: PEP ON 22/12/2023, BER/BEMS/IKN/23/025 - Komponen aset telah longgar, mineral plat berkarat, namun masih boleh digunakan dan hendaklah diselenggarakan sehingga dilupuskan.</v>
          </cell>
        </row>
        <row r="1089">
          <cell r="A1089" t="str">
            <v>IKN400677</v>
          </cell>
          <cell r="B1089">
            <v>677</v>
          </cell>
          <cell r="C1089" t="str">
            <v>Institut Kanser Negara</v>
          </cell>
          <cell r="D1089" t="str">
            <v>KKM/IKN/H/13/1206</v>
          </cell>
          <cell r="E1089" t="str">
            <v>12-278</v>
          </cell>
          <cell r="F1089" t="str">
            <v>Lights, Infrared</v>
          </cell>
          <cell r="G1089" t="str">
            <v>TC</v>
          </cell>
          <cell r="H1089" t="str">
            <v>TRADITIONAL COMPLEMENTARY MEDICINE</v>
          </cell>
          <cell r="I1089" t="str">
            <v>04TC129</v>
          </cell>
          <cell r="J1089" t="str">
            <v>TREATMENT 2 (ACCUPUNCTURE)</v>
          </cell>
          <cell r="K1089" t="str">
            <v>BMED</v>
          </cell>
          <cell r="L1089" t="str">
            <v>Normal</v>
          </cell>
          <cell r="M1089" t="str">
            <v>China</v>
          </cell>
          <cell r="N1089" t="str">
            <v>Chongqing</v>
          </cell>
          <cell r="O1089" t="str">
            <v>Chongqing Itp-Xf29-Tdp</v>
          </cell>
          <cell r="P1089" t="str">
            <v>12050603</v>
          </cell>
          <cell r="Q1089" t="str">
            <v>Not Applicable</v>
          </cell>
          <cell r="R1089" t="str">
            <v>Chongqing Xinfeng Me</v>
          </cell>
          <cell r="S1089" t="str">
            <v>ITP Academy Malaysia</v>
          </cell>
          <cell r="T1089" t="str">
            <v>Functioning</v>
          </cell>
          <cell r="U1089" t="str">
            <v>Asset</v>
          </cell>
          <cell r="V1089">
            <v>7050</v>
          </cell>
          <cell r="W1089" t="str">
            <v>KEW</v>
          </cell>
          <cell r="X1089" t="str">
            <v>01/09/2010</v>
          </cell>
          <cell r="Y1089" t="str">
            <v>KEW</v>
          </cell>
          <cell r="Z1089" t="str">
            <v>16/08/2013</v>
          </cell>
          <cell r="AA1089" t="str">
            <v>15/08/2015</v>
          </cell>
          <cell r="AB1089" t="str">
            <v>No</v>
          </cell>
          <cell r="AC1089" t="str">
            <v>31/08/2013</v>
          </cell>
          <cell r="AD1089" t="str">
            <v>Good</v>
          </cell>
          <cell r="AE1089" t="str">
            <v>V1 - Existing / No Claim</v>
          </cell>
          <cell r="AF1089">
            <v>42235</v>
          </cell>
          <cell r="AG1089">
            <v>9.17</v>
          </cell>
          <cell r="AH1089" t="str">
            <v>PPM</v>
          </cell>
          <cell r="AI1089" t="str">
            <v>Strands</v>
          </cell>
          <cell r="AJ1089" t="str">
            <v>Strands PW</v>
          </cell>
          <cell r="AK1089" t="str">
            <v>[INDIRA, 17/10/2023]: Update KKM No. [27/12/2023, SHARIFAH]: PEP ON 22/12/2023, BER/BEMS/IKN/23/027 - Komponen aset telah longgar, mineral plat berkarat, namun masih boleh digunakan dan hendaklah diselenggarakan sehingga dilupuskan.</v>
          </cell>
        </row>
        <row r="1090">
          <cell r="A1090" t="str">
            <v>IKN400678</v>
          </cell>
          <cell r="B1090">
            <v>678</v>
          </cell>
          <cell r="C1090" t="str">
            <v>Institut Kanser Negara</v>
          </cell>
          <cell r="D1090" t="str">
            <v>KKM/IKN/H/13/1251</v>
          </cell>
          <cell r="E1090" t="str">
            <v>10-208</v>
          </cell>
          <cell r="F1090" t="str">
            <v>Aspirators</v>
          </cell>
          <cell r="G1090" t="str">
            <v>TC</v>
          </cell>
          <cell r="H1090" t="str">
            <v>TRADITIONAL COMPLEMENTARY MEDICINE</v>
          </cell>
          <cell r="I1090" t="str">
            <v>04TC119</v>
          </cell>
          <cell r="J1090" t="str">
            <v>GEN.STORE</v>
          </cell>
          <cell r="K1090" t="str">
            <v>BMED</v>
          </cell>
          <cell r="L1090" t="str">
            <v>Normal</v>
          </cell>
          <cell r="M1090" t="str">
            <v>Switzerland</v>
          </cell>
          <cell r="N1090" t="str">
            <v>Senator</v>
          </cell>
          <cell r="O1090" t="str">
            <v>Senator</v>
          </cell>
          <cell r="P1090" t="str">
            <v>1220745</v>
          </cell>
          <cell r="Q1090" t="str">
            <v>Not Applicable</v>
          </cell>
          <cell r="R1090" t="str">
            <v>Ardo Medical AG</v>
          </cell>
          <cell r="S1090" t="str">
            <v>Histopoint</v>
          </cell>
          <cell r="T1090" t="str">
            <v>Functioning</v>
          </cell>
          <cell r="U1090" t="str">
            <v>Asset</v>
          </cell>
          <cell r="V1090">
            <v>5052</v>
          </cell>
          <cell r="W1090" t="str">
            <v>KEW</v>
          </cell>
          <cell r="X1090" t="str">
            <v>01/09/2010</v>
          </cell>
          <cell r="Y1090" t="str">
            <v>KEW</v>
          </cell>
          <cell r="Z1090" t="str">
            <v>16/08/2013</v>
          </cell>
          <cell r="AA1090" t="str">
            <v>15/08/2015</v>
          </cell>
          <cell r="AB1090" t="str">
            <v>No</v>
          </cell>
          <cell r="AC1090" t="str">
            <v>31/08/2013</v>
          </cell>
          <cell r="AD1090" t="str">
            <v>Good</v>
          </cell>
          <cell r="AE1090" t="str">
            <v>V1 - Existing / No Claim</v>
          </cell>
          <cell r="AF1090">
            <v>42235</v>
          </cell>
          <cell r="AG1090">
            <v>9.17</v>
          </cell>
          <cell r="AH1090" t="str">
            <v>PPM</v>
          </cell>
          <cell r="AI1090" t="str">
            <v>Strands</v>
          </cell>
          <cell r="AJ1090" t="str">
            <v>Strands PW</v>
          </cell>
        </row>
        <row r="1091">
          <cell r="A1091" t="str">
            <v>IKN400679</v>
          </cell>
          <cell r="B1091">
            <v>679</v>
          </cell>
          <cell r="C1091" t="str">
            <v>Institut Kanser Negara</v>
          </cell>
          <cell r="D1091" t="str">
            <v>KKM/IKN/H/13/1247</v>
          </cell>
          <cell r="E1091" t="str">
            <v>16-173</v>
          </cell>
          <cell r="F1091" t="str">
            <v>Sphygmomanometers, Electronic, Automatic</v>
          </cell>
          <cell r="G1091" t="str">
            <v>TC</v>
          </cell>
          <cell r="H1091" t="str">
            <v>TRADITIONAL COMPLEMENTARY MEDICINE</v>
          </cell>
          <cell r="I1091" t="str">
            <v>04TC125</v>
          </cell>
          <cell r="J1091" t="str">
            <v>ASSESSMENT</v>
          </cell>
          <cell r="K1091" t="str">
            <v>BMED</v>
          </cell>
          <cell r="L1091" t="str">
            <v>Critical</v>
          </cell>
          <cell r="M1091" t="str">
            <v>Mexico</v>
          </cell>
          <cell r="N1091" t="str">
            <v>Carespace</v>
          </cell>
          <cell r="O1091" t="str">
            <v>Carescape V100</v>
          </cell>
          <cell r="P1091" t="str">
            <v>SH612430119SA</v>
          </cell>
          <cell r="Q1091" t="str">
            <v>Not Applicable</v>
          </cell>
          <cell r="R1091" t="str">
            <v>GE Healthcare Systems</v>
          </cell>
          <cell r="S1091" t="str">
            <v>GE Healthcare Technologies</v>
          </cell>
          <cell r="T1091" t="str">
            <v>Functioning</v>
          </cell>
          <cell r="U1091" t="str">
            <v>Asset</v>
          </cell>
          <cell r="V1091">
            <v>7770</v>
          </cell>
          <cell r="W1091" t="str">
            <v>KEW</v>
          </cell>
          <cell r="X1091" t="str">
            <v>01/09/2010</v>
          </cell>
          <cell r="Y1091" t="str">
            <v>KEW</v>
          </cell>
          <cell r="Z1091" t="str">
            <v>16/08/2013</v>
          </cell>
          <cell r="AA1091" t="str">
            <v>15/08/2015</v>
          </cell>
          <cell r="AB1091" t="str">
            <v>No</v>
          </cell>
          <cell r="AC1091" t="str">
            <v>31/08/2013</v>
          </cell>
          <cell r="AD1091" t="str">
            <v>Good</v>
          </cell>
          <cell r="AE1091" t="str">
            <v>V1 - Existing / No Claim</v>
          </cell>
          <cell r="AF1091">
            <v>42794</v>
          </cell>
          <cell r="AG1091">
            <v>9.17</v>
          </cell>
          <cell r="AH1091" t="str">
            <v>PPM</v>
          </cell>
          <cell r="AI1091" t="str">
            <v>Strands</v>
          </cell>
          <cell r="AJ1091" t="str">
            <v>Strands PW</v>
          </cell>
        </row>
        <row r="1092">
          <cell r="A1092" t="str">
            <v>IKN400680</v>
          </cell>
          <cell r="B1092">
            <v>680</v>
          </cell>
          <cell r="C1092" t="str">
            <v>Institut Kanser Negara</v>
          </cell>
          <cell r="D1092" t="str">
            <v>KKM/IKN/I/13/867</v>
          </cell>
          <cell r="E1092" t="str">
            <v>16-173</v>
          </cell>
          <cell r="F1092" t="str">
            <v>Sphygmomanometers, Electronic, Automatic</v>
          </cell>
          <cell r="G1092" t="str">
            <v>TC</v>
          </cell>
          <cell r="H1092" t="str">
            <v>TRADITIONAL COMPLEMENTARY MEDICINE</v>
          </cell>
          <cell r="I1092" t="str">
            <v>04TC109</v>
          </cell>
          <cell r="J1092" t="str">
            <v>C/E 1 (HERBAL ONCOLOGY</v>
          </cell>
          <cell r="K1092" t="str">
            <v>BMED</v>
          </cell>
          <cell r="L1092" t="str">
            <v>Critical</v>
          </cell>
          <cell r="M1092" t="str">
            <v>USA</v>
          </cell>
          <cell r="N1092" t="str">
            <v>Connex</v>
          </cell>
          <cell r="O1092" t="str">
            <v>Connex ProBP 3400</v>
          </cell>
          <cell r="P1092" t="str">
            <v>100001470413</v>
          </cell>
          <cell r="Q1092" t="str">
            <v>Not Applicable</v>
          </cell>
          <cell r="R1092" t="str">
            <v>Welch Allyn Inc</v>
          </cell>
          <cell r="S1092" t="str">
            <v>Welch Allyn Malaysia Sdn Bhd</v>
          </cell>
          <cell r="T1092" t="str">
            <v>Functioning</v>
          </cell>
          <cell r="U1092" t="str">
            <v>Asset</v>
          </cell>
          <cell r="V1092">
            <v>336</v>
          </cell>
          <cell r="W1092" t="str">
            <v>KEW</v>
          </cell>
          <cell r="X1092" t="str">
            <v>01/09/2010</v>
          </cell>
          <cell r="Y1092" t="str">
            <v>KEW</v>
          </cell>
          <cell r="Z1092" t="str">
            <v>16/08/2013</v>
          </cell>
          <cell r="AA1092" t="str">
            <v>15/08/2015</v>
          </cell>
          <cell r="AB1092" t="str">
            <v>No</v>
          </cell>
          <cell r="AC1092" t="str">
            <v>31/08/2013</v>
          </cell>
          <cell r="AD1092" t="str">
            <v>Good</v>
          </cell>
          <cell r="AE1092" t="str">
            <v>V1 - Existing / No Claim</v>
          </cell>
          <cell r="AF1092">
            <v>42794</v>
          </cell>
          <cell r="AG1092">
            <v>9.17</v>
          </cell>
          <cell r="AH1092" t="str">
            <v>PPM</v>
          </cell>
          <cell r="AI1092" t="str">
            <v>Strands</v>
          </cell>
          <cell r="AJ1092" t="str">
            <v>Strands PW</v>
          </cell>
        </row>
        <row r="1093">
          <cell r="A1093" t="str">
            <v>IKN400681</v>
          </cell>
          <cell r="B1093">
            <v>681</v>
          </cell>
          <cell r="C1093" t="str">
            <v>Institut Kanser Negara</v>
          </cell>
          <cell r="D1093" t="str">
            <v>KKM/IKN/I/13/868</v>
          </cell>
          <cell r="E1093" t="str">
            <v>16-173</v>
          </cell>
          <cell r="F1093" t="str">
            <v>Sphygmomanometers, Electronic, Automatic</v>
          </cell>
          <cell r="G1093" t="str">
            <v>TC</v>
          </cell>
          <cell r="H1093" t="str">
            <v>TRADITIONAL COMPLEMENTARY MEDICINE</v>
          </cell>
          <cell r="I1093" t="str">
            <v>04TC127</v>
          </cell>
          <cell r="J1093" t="str">
            <v>C/E</v>
          </cell>
          <cell r="K1093" t="str">
            <v>BMED</v>
          </cell>
          <cell r="L1093" t="str">
            <v>Critical</v>
          </cell>
          <cell r="M1093" t="str">
            <v>USA</v>
          </cell>
          <cell r="N1093" t="str">
            <v>Connex</v>
          </cell>
          <cell r="O1093" t="str">
            <v>Connex ProBP 3400</v>
          </cell>
          <cell r="P1093" t="str">
            <v>100004891213</v>
          </cell>
          <cell r="Q1093" t="str">
            <v>Not Applicable</v>
          </cell>
          <cell r="R1093" t="str">
            <v>Welch Allyn Inc</v>
          </cell>
          <cell r="S1093" t="str">
            <v>Welch Allyn Malaysia Sdn Bhd</v>
          </cell>
          <cell r="T1093" t="str">
            <v>Functioning</v>
          </cell>
          <cell r="U1093" t="str">
            <v>Asset</v>
          </cell>
          <cell r="V1093">
            <v>336</v>
          </cell>
          <cell r="W1093" t="str">
            <v>KEW</v>
          </cell>
          <cell r="X1093" t="str">
            <v>01/09/2010</v>
          </cell>
          <cell r="Y1093" t="str">
            <v>KEW</v>
          </cell>
          <cell r="Z1093" t="str">
            <v>16/08/2013</v>
          </cell>
          <cell r="AA1093" t="str">
            <v>15/08/2015</v>
          </cell>
          <cell r="AB1093" t="str">
            <v>No</v>
          </cell>
          <cell r="AC1093" t="str">
            <v>31/08/2013</v>
          </cell>
          <cell r="AD1093" t="str">
            <v>Good</v>
          </cell>
          <cell r="AE1093" t="str">
            <v>V1 - Existing / No Claim</v>
          </cell>
          <cell r="AF1093">
            <v>42794</v>
          </cell>
          <cell r="AG1093">
            <v>9.17</v>
          </cell>
          <cell r="AH1093" t="str">
            <v>PPM</v>
          </cell>
          <cell r="AI1093" t="str">
            <v>Strands</v>
          </cell>
          <cell r="AJ1093" t="str">
            <v>Strands PW</v>
          </cell>
        </row>
        <row r="1094">
          <cell r="A1094" t="str">
            <v>IKN400684</v>
          </cell>
          <cell r="B1094">
            <v>684</v>
          </cell>
          <cell r="C1094" t="str">
            <v>Institut Kanser Negara</v>
          </cell>
          <cell r="D1094" t="str">
            <v>KKM/IKN/H/13/3448</v>
          </cell>
          <cell r="E1094" t="str">
            <v>13-763</v>
          </cell>
          <cell r="F1094" t="str">
            <v>Stimulators, Electrical, Peripheral Nerve, Acupuncture</v>
          </cell>
          <cell r="G1094" t="str">
            <v>TC</v>
          </cell>
          <cell r="H1094" t="str">
            <v>TRADITIONAL COMPLEMENTARY MEDICINE</v>
          </cell>
          <cell r="I1094" t="str">
            <v>04TC119</v>
          </cell>
          <cell r="J1094" t="str">
            <v>GEN.STORE</v>
          </cell>
          <cell r="K1094" t="str">
            <v>BMED</v>
          </cell>
          <cell r="L1094" t="str">
            <v>Normal</v>
          </cell>
          <cell r="M1094" t="str">
            <v>China</v>
          </cell>
          <cell r="N1094" t="str">
            <v>Shantou</v>
          </cell>
          <cell r="O1094" t="str">
            <v>Shantou Itpg-6805-D</v>
          </cell>
          <cell r="P1094" t="str">
            <v>AD1206103</v>
          </cell>
          <cell r="Q1094" t="str">
            <v>Not Applicable</v>
          </cell>
          <cell r="R1094" t="str">
            <v>Shantou Medical</v>
          </cell>
          <cell r="S1094" t="str">
            <v>ITP Academy Malaysia</v>
          </cell>
          <cell r="T1094" t="str">
            <v>Functioning</v>
          </cell>
          <cell r="U1094" t="str">
            <v>Asset</v>
          </cell>
          <cell r="V1094">
            <v>10725</v>
          </cell>
          <cell r="W1094" t="str">
            <v>KEW</v>
          </cell>
          <cell r="X1094" t="str">
            <v>01/09/2010</v>
          </cell>
          <cell r="Y1094" t="str">
            <v>KEW</v>
          </cell>
          <cell r="Z1094" t="str">
            <v>16/08/2013</v>
          </cell>
          <cell r="AA1094" t="str">
            <v>15/08/2015</v>
          </cell>
          <cell r="AB1094" t="str">
            <v>No</v>
          </cell>
          <cell r="AC1094" t="str">
            <v>31/08/2013</v>
          </cell>
          <cell r="AD1094" t="str">
            <v>Good</v>
          </cell>
          <cell r="AE1094" t="str">
            <v>V1 - Existing / No Claim</v>
          </cell>
          <cell r="AF1094">
            <v>42794</v>
          </cell>
          <cell r="AG1094">
            <v>9.17</v>
          </cell>
          <cell r="AH1094" t="str">
            <v>PPM</v>
          </cell>
          <cell r="AI1094" t="str">
            <v>Strands</v>
          </cell>
          <cell r="AJ1094" t="str">
            <v>Strands PW</v>
          </cell>
        </row>
        <row r="1095">
          <cell r="A1095" t="str">
            <v>IKN400685</v>
          </cell>
          <cell r="B1095">
            <v>685</v>
          </cell>
          <cell r="C1095" t="str">
            <v>Institut Kanser Negara</v>
          </cell>
          <cell r="D1095" t="str">
            <v>KKM/IKN/H/13/3457</v>
          </cell>
          <cell r="E1095" t="str">
            <v>13-763</v>
          </cell>
          <cell r="F1095" t="str">
            <v>Stimulators, Electrical, Peripheral Nerve, Acupuncture</v>
          </cell>
          <cell r="G1095" t="str">
            <v>TC</v>
          </cell>
          <cell r="H1095" t="str">
            <v>TRADITIONAL COMPLEMENTARY MEDICINE</v>
          </cell>
          <cell r="I1095" t="str">
            <v>04TC119</v>
          </cell>
          <cell r="J1095" t="str">
            <v>GEN.STORE</v>
          </cell>
          <cell r="K1095" t="str">
            <v>BMED</v>
          </cell>
          <cell r="L1095" t="str">
            <v>Normal</v>
          </cell>
          <cell r="M1095" t="str">
            <v>China</v>
          </cell>
          <cell r="N1095" t="str">
            <v>Shantou</v>
          </cell>
          <cell r="O1095" t="str">
            <v>Shantou Itpg-6805-D</v>
          </cell>
          <cell r="P1095" t="str">
            <v>AD1206093</v>
          </cell>
          <cell r="Q1095" t="str">
            <v>Not Applicable</v>
          </cell>
          <cell r="R1095" t="str">
            <v>Shantou Medical</v>
          </cell>
          <cell r="S1095" t="str">
            <v>ITP Academy Malaysia</v>
          </cell>
          <cell r="T1095" t="str">
            <v>Functioning</v>
          </cell>
          <cell r="U1095" t="str">
            <v>Asset</v>
          </cell>
          <cell r="V1095">
            <v>10725</v>
          </cell>
          <cell r="W1095" t="str">
            <v>KEW</v>
          </cell>
          <cell r="X1095" t="str">
            <v>01/09/2010</v>
          </cell>
          <cell r="Y1095" t="str">
            <v>KEW</v>
          </cell>
          <cell r="Z1095" t="str">
            <v>16/08/2013</v>
          </cell>
          <cell r="AA1095" t="str">
            <v>15/08/2015</v>
          </cell>
          <cell r="AB1095" t="str">
            <v>No</v>
          </cell>
          <cell r="AC1095" t="str">
            <v>31/08/2013</v>
          </cell>
          <cell r="AD1095" t="str">
            <v>Good</v>
          </cell>
          <cell r="AE1095" t="str">
            <v>V1 - Existing / No Claim</v>
          </cell>
          <cell r="AF1095">
            <v>42794</v>
          </cell>
          <cell r="AG1095">
            <v>9.17</v>
          </cell>
          <cell r="AH1095" t="str">
            <v>PPM</v>
          </cell>
          <cell r="AI1095" t="str">
            <v>Strands</v>
          </cell>
          <cell r="AJ1095" t="str">
            <v>Strands PW</v>
          </cell>
        </row>
        <row r="1096">
          <cell r="A1096" t="str">
            <v>IKN400686</v>
          </cell>
          <cell r="B1096">
            <v>686</v>
          </cell>
          <cell r="C1096" t="str">
            <v>Institut Kanser Negara</v>
          </cell>
          <cell r="D1096" t="str">
            <v>KKM/IKN/H/13/3449</v>
          </cell>
          <cell r="E1096" t="str">
            <v>13-763</v>
          </cell>
          <cell r="F1096" t="str">
            <v>Stimulators, Electrical, Peripheral Nerve, Acupuncture</v>
          </cell>
          <cell r="G1096" t="str">
            <v>TC</v>
          </cell>
          <cell r="H1096" t="str">
            <v>TRADITIONAL COMPLEMENTARY MEDICINE</v>
          </cell>
          <cell r="I1096" t="str">
            <v>04TC119</v>
          </cell>
          <cell r="J1096" t="str">
            <v>GEN.STORE</v>
          </cell>
          <cell r="K1096" t="str">
            <v>BMED</v>
          </cell>
          <cell r="L1096" t="str">
            <v>Normal</v>
          </cell>
          <cell r="M1096" t="str">
            <v>China</v>
          </cell>
          <cell r="N1096" t="str">
            <v>Shantou</v>
          </cell>
          <cell r="O1096" t="str">
            <v>Shantou Itpg-6805-D</v>
          </cell>
          <cell r="P1096" t="str">
            <v>AD1206110</v>
          </cell>
          <cell r="Q1096" t="str">
            <v>Not Applicable</v>
          </cell>
          <cell r="R1096" t="str">
            <v>Shantou Medical</v>
          </cell>
          <cell r="S1096" t="str">
            <v>ITP Academy Malaysia</v>
          </cell>
          <cell r="T1096" t="str">
            <v>Functioning</v>
          </cell>
          <cell r="U1096" t="str">
            <v>Asset</v>
          </cell>
          <cell r="V1096">
            <v>10725</v>
          </cell>
          <cell r="W1096" t="str">
            <v>KEW</v>
          </cell>
          <cell r="X1096" t="str">
            <v>01/09/2010</v>
          </cell>
          <cell r="Y1096" t="str">
            <v>KEW</v>
          </cell>
          <cell r="Z1096" t="str">
            <v>16/08/2013</v>
          </cell>
          <cell r="AA1096" t="str">
            <v>15/08/2015</v>
          </cell>
          <cell r="AB1096" t="str">
            <v>No</v>
          </cell>
          <cell r="AC1096" t="str">
            <v>31/08/2013</v>
          </cell>
          <cell r="AD1096" t="str">
            <v>Good</v>
          </cell>
          <cell r="AE1096" t="str">
            <v>V1 - Existing / No Claim</v>
          </cell>
          <cell r="AF1096">
            <v>42794</v>
          </cell>
          <cell r="AG1096">
            <v>9.17</v>
          </cell>
          <cell r="AH1096" t="str">
            <v>PPM</v>
          </cell>
          <cell r="AI1096" t="str">
            <v>Strands</v>
          </cell>
          <cell r="AJ1096" t="str">
            <v>Strands PW</v>
          </cell>
        </row>
        <row r="1097">
          <cell r="A1097" t="str">
            <v>IKN400687</v>
          </cell>
          <cell r="B1097">
            <v>687</v>
          </cell>
          <cell r="C1097" t="str">
            <v>Institut Kanser Negara</v>
          </cell>
          <cell r="D1097" t="str">
            <v>KKM/IKN/H/13/3451</v>
          </cell>
          <cell r="E1097" t="str">
            <v>13-763</v>
          </cell>
          <cell r="F1097" t="str">
            <v>Stimulators, Electrical, Peripheral Nerve, Acupuncture</v>
          </cell>
          <cell r="G1097" t="str">
            <v>TC</v>
          </cell>
          <cell r="H1097" t="str">
            <v>TRADITIONAL COMPLEMENTARY MEDICINE</v>
          </cell>
          <cell r="I1097" t="str">
            <v>04TC119</v>
          </cell>
          <cell r="J1097" t="str">
            <v>GEN.STORE</v>
          </cell>
          <cell r="K1097" t="str">
            <v>BMED</v>
          </cell>
          <cell r="L1097" t="str">
            <v>Normal</v>
          </cell>
          <cell r="M1097" t="str">
            <v>China</v>
          </cell>
          <cell r="N1097" t="str">
            <v>Shantou</v>
          </cell>
          <cell r="O1097" t="str">
            <v>Shantou Itpg-6805-D</v>
          </cell>
          <cell r="P1097" t="str">
            <v>AD1206111</v>
          </cell>
          <cell r="Q1097" t="str">
            <v>Not Applicable</v>
          </cell>
          <cell r="R1097" t="str">
            <v>Shantou Medical</v>
          </cell>
          <cell r="S1097" t="str">
            <v>ITP Academy Malaysia</v>
          </cell>
          <cell r="T1097" t="str">
            <v>Functioning</v>
          </cell>
          <cell r="U1097" t="str">
            <v>Asset</v>
          </cell>
          <cell r="V1097">
            <v>10725</v>
          </cell>
          <cell r="W1097" t="str">
            <v>KEW</v>
          </cell>
          <cell r="X1097" t="str">
            <v>01/09/2010</v>
          </cell>
          <cell r="Y1097" t="str">
            <v>KEW</v>
          </cell>
          <cell r="Z1097" t="str">
            <v>16/08/2013</v>
          </cell>
          <cell r="AA1097" t="str">
            <v>15/08/2015</v>
          </cell>
          <cell r="AB1097" t="str">
            <v>No</v>
          </cell>
          <cell r="AC1097" t="str">
            <v>31/08/2013</v>
          </cell>
          <cell r="AD1097" t="str">
            <v>Good</v>
          </cell>
          <cell r="AE1097" t="str">
            <v>V1 - Existing / No Claim</v>
          </cell>
          <cell r="AF1097">
            <v>42794</v>
          </cell>
          <cell r="AG1097">
            <v>9.17</v>
          </cell>
          <cell r="AH1097" t="str">
            <v>PPM</v>
          </cell>
          <cell r="AI1097" t="str">
            <v>Strands</v>
          </cell>
          <cell r="AJ1097" t="str">
            <v>Strands PW</v>
          </cell>
        </row>
        <row r="1098">
          <cell r="A1098" t="str">
            <v>IKN400688</v>
          </cell>
          <cell r="B1098">
            <v>688</v>
          </cell>
          <cell r="C1098" t="str">
            <v>Institut Kanser Negara</v>
          </cell>
          <cell r="D1098" t="str">
            <v>KKM/IKN/H/13/1201</v>
          </cell>
          <cell r="E1098" t="str">
            <v>12-282</v>
          </cell>
          <cell r="F1098" t="str">
            <v>Lights, Surgical</v>
          </cell>
          <cell r="G1098" t="str">
            <v>TC</v>
          </cell>
          <cell r="H1098" t="str">
            <v>TRADITIONAL COMPLEMENTARY MEDICINE</v>
          </cell>
          <cell r="I1098" t="str">
            <v>04TC109</v>
          </cell>
          <cell r="J1098" t="str">
            <v>C/E 1 (HERBAL ONCOLOGY</v>
          </cell>
          <cell r="K1098" t="str">
            <v>BMED</v>
          </cell>
          <cell r="L1098" t="str">
            <v>Critical</v>
          </cell>
          <cell r="M1098" t="str">
            <v>USA</v>
          </cell>
          <cell r="N1098" t="str">
            <v>Welch Allyn</v>
          </cell>
          <cell r="O1098" t="str">
            <v>Welch Allyn GS600</v>
          </cell>
          <cell r="P1098" t="str">
            <v>GS-600-34</v>
          </cell>
          <cell r="Q1098" t="str">
            <v>Not Applicable</v>
          </cell>
          <cell r="R1098" t="str">
            <v>Welch Allyn Inc</v>
          </cell>
          <cell r="S1098" t="str">
            <v>Welch Allyn Malaysia Sdn Bhd</v>
          </cell>
          <cell r="T1098" t="str">
            <v>Functioning</v>
          </cell>
          <cell r="U1098" t="str">
            <v>Asset</v>
          </cell>
          <cell r="V1098">
            <v>5050</v>
          </cell>
          <cell r="W1098" t="str">
            <v>KEW</v>
          </cell>
          <cell r="X1098" t="str">
            <v>01/09/2010</v>
          </cell>
          <cell r="Y1098" t="str">
            <v>KEW</v>
          </cell>
          <cell r="Z1098" t="str">
            <v>16/08/2013</v>
          </cell>
          <cell r="AA1098" t="str">
            <v>15/08/2015</v>
          </cell>
          <cell r="AB1098" t="str">
            <v>No</v>
          </cell>
          <cell r="AC1098" t="str">
            <v>31/08/2013</v>
          </cell>
          <cell r="AD1098" t="str">
            <v>Good</v>
          </cell>
          <cell r="AE1098" t="str">
            <v>V1 - Existing / No Claim</v>
          </cell>
          <cell r="AF1098">
            <v>42794</v>
          </cell>
          <cell r="AG1098">
            <v>9.17</v>
          </cell>
          <cell r="AH1098" t="str">
            <v>PPM</v>
          </cell>
          <cell r="AI1098" t="str">
            <v>Strands</v>
          </cell>
          <cell r="AJ1098" t="str">
            <v>Strands PW</v>
          </cell>
        </row>
        <row r="1099">
          <cell r="A1099" t="str">
            <v>IKN400689</v>
          </cell>
          <cell r="B1099">
            <v>689</v>
          </cell>
          <cell r="C1099" t="str">
            <v>Institut Kanser Negara</v>
          </cell>
          <cell r="D1099" t="str">
            <v>KKM/IKN/H/14/123</v>
          </cell>
          <cell r="E1099" t="str">
            <v>11-067</v>
          </cell>
          <cell r="F1099" t="str">
            <v>Cryosurgical Units, General-Purpose</v>
          </cell>
          <cell r="G1099" t="str">
            <v>ID</v>
          </cell>
          <cell r="H1099" t="str">
            <v>IMAGING DEPARTMENT</v>
          </cell>
          <cell r="I1099" t="str">
            <v>03ID164</v>
          </cell>
          <cell r="J1099" t="str">
            <v>ANGIO(VE)</v>
          </cell>
          <cell r="K1099" t="str">
            <v>BMED</v>
          </cell>
          <cell r="L1099" t="str">
            <v>Normal</v>
          </cell>
          <cell r="M1099" t="str">
            <v>USA</v>
          </cell>
          <cell r="N1099" t="str">
            <v>Cryo</v>
          </cell>
          <cell r="O1099" t="str">
            <v>Cryo-SL</v>
          </cell>
          <cell r="P1099" t="str">
            <v>1109</v>
          </cell>
          <cell r="Q1099" t="str">
            <v>Not Applicable</v>
          </cell>
          <cell r="R1099" t="str">
            <v>Endocare Healthtronics</v>
          </cell>
          <cell r="S1099" t="str">
            <v>Ilham Medicare Sdn. Bhd.</v>
          </cell>
          <cell r="T1099" t="str">
            <v>Functioning</v>
          </cell>
          <cell r="U1099" t="str">
            <v>Asset</v>
          </cell>
          <cell r="V1099">
            <v>968448</v>
          </cell>
          <cell r="W1099" t="str">
            <v>KEW</v>
          </cell>
          <cell r="X1099" t="str">
            <v>04/12/2014</v>
          </cell>
          <cell r="Y1099" t="str">
            <v>KEW</v>
          </cell>
          <cell r="Z1099" t="str">
            <v>17/12/2014</v>
          </cell>
          <cell r="AA1099" t="str">
            <v>16/12/2016</v>
          </cell>
          <cell r="AB1099" t="str">
            <v>No</v>
          </cell>
          <cell r="AC1099" t="str">
            <v>17/12/2014</v>
          </cell>
          <cell r="AD1099" t="str">
            <v>Good</v>
          </cell>
          <cell r="AE1099" t="str">
            <v>V3 - Added Installed Facilities (New)</v>
          </cell>
          <cell r="AF1099">
            <v>42791</v>
          </cell>
          <cell r="AG1099">
            <v>4.92</v>
          </cell>
          <cell r="AH1099" t="str">
            <v>PPM</v>
          </cell>
          <cell r="AI1099" t="str">
            <v>Strands</v>
          </cell>
          <cell r="AJ1099" t="str">
            <v>Strands PW</v>
          </cell>
          <cell r="AK1099" t="str">
            <v>SNF received. 1st batch of V3 asset (December 2020). SN PRESSURE GAUGE C4778G, C4779G, C4780G.</v>
          </cell>
        </row>
        <row r="1100">
          <cell r="A1100" t="str">
            <v>IKN400690</v>
          </cell>
          <cell r="B1100">
            <v>690</v>
          </cell>
          <cell r="C1100" t="str">
            <v>Institut Kanser Negara</v>
          </cell>
          <cell r="D1100" t="str">
            <v>KKM/IKN/H/13/956</v>
          </cell>
          <cell r="E1100" t="str">
            <v>13-209</v>
          </cell>
          <cell r="F1100" t="str">
            <v>Pumps, Enteral Feeding</v>
          </cell>
          <cell r="G1100" t="str">
            <v>IC</v>
          </cell>
          <cell r="H1100" t="str">
            <v>INTENSIVE CARE UNIT</v>
          </cell>
          <cell r="I1100" t="str">
            <v>05IC113</v>
          </cell>
          <cell r="J1100" t="str">
            <v>ICU RM 2</v>
          </cell>
          <cell r="K1100" t="str">
            <v>BMED</v>
          </cell>
          <cell r="L1100" t="str">
            <v>Normal</v>
          </cell>
          <cell r="M1100" t="str">
            <v>USA</v>
          </cell>
          <cell r="N1100" t="str">
            <v>Kangaroo</v>
          </cell>
          <cell r="O1100" t="str">
            <v>Kangaroo ePump</v>
          </cell>
          <cell r="P1100" t="str">
            <v>C1166056</v>
          </cell>
          <cell r="Q1100" t="str">
            <v>Not Applicable</v>
          </cell>
          <cell r="R1100" t="str">
            <v>Covidien</v>
          </cell>
          <cell r="S1100" t="str">
            <v>Schmidt Biomedtech Sdn. Bhd.</v>
          </cell>
          <cell r="T1100" t="str">
            <v>Functioning</v>
          </cell>
          <cell r="U1100" t="str">
            <v>Asset</v>
          </cell>
          <cell r="V1100">
            <v>6615</v>
          </cell>
          <cell r="W1100" t="str">
            <v>KEW</v>
          </cell>
          <cell r="X1100" t="str">
            <v>01/09/2010</v>
          </cell>
          <cell r="Y1100" t="str">
            <v>KEW</v>
          </cell>
          <cell r="Z1100" t="str">
            <v>16/08/2013</v>
          </cell>
          <cell r="AA1100" t="str">
            <v>15/08/2015</v>
          </cell>
          <cell r="AB1100" t="str">
            <v>No</v>
          </cell>
          <cell r="AC1100" t="str">
            <v>31/08/2013</v>
          </cell>
          <cell r="AD1100" t="str">
            <v>Good</v>
          </cell>
          <cell r="AE1100" t="str">
            <v>V1 - Existing / No Claim</v>
          </cell>
          <cell r="AF1100">
            <v>42633</v>
          </cell>
          <cell r="AG1100">
            <v>9.17</v>
          </cell>
          <cell r="AH1100" t="str">
            <v>PPM</v>
          </cell>
          <cell r="AI1100" t="str">
            <v>Strands</v>
          </cell>
          <cell r="AJ1100" t="str">
            <v>Strands PW</v>
          </cell>
        </row>
        <row r="1101">
          <cell r="A1101" t="str">
            <v>IKN400691</v>
          </cell>
          <cell r="B1101">
            <v>691</v>
          </cell>
          <cell r="C1101" t="str">
            <v>Institut Kanser Negara</v>
          </cell>
          <cell r="D1101" t="str">
            <v>KKM/IKN/H/13/1541</v>
          </cell>
          <cell r="E1101" t="str">
            <v>11-134</v>
          </cell>
          <cell r="F1101" t="str">
            <v>Defibrillators, External, Manual</v>
          </cell>
          <cell r="G1101" t="str">
            <v>QA</v>
          </cell>
          <cell r="H1101" t="str">
            <v>INFECTION , RESEARCH AND QA UNIT</v>
          </cell>
          <cell r="I1101" t="str">
            <v>04QA118</v>
          </cell>
          <cell r="J1101" t="str">
            <v>MEETING (12 PAX)</v>
          </cell>
          <cell r="K1101" t="str">
            <v>BMED</v>
          </cell>
          <cell r="L1101" t="str">
            <v>Critical</v>
          </cell>
          <cell r="M1101" t="str">
            <v>USA</v>
          </cell>
          <cell r="N1101" t="str">
            <v>Responder</v>
          </cell>
          <cell r="O1101" t="str">
            <v>Responder 2000</v>
          </cell>
          <cell r="P1101" t="str">
            <v>3206685</v>
          </cell>
          <cell r="Q1101" t="str">
            <v>Not Applicable</v>
          </cell>
          <cell r="R1101" t="str">
            <v>GE Medical Systems</v>
          </cell>
          <cell r="S1101" t="str">
            <v>Antah Sir Radin Sdn. Bhd.</v>
          </cell>
          <cell r="T1101" t="str">
            <v>Functioning</v>
          </cell>
          <cell r="U1101" t="str">
            <v>Asset</v>
          </cell>
          <cell r="V1101">
            <v>45000</v>
          </cell>
          <cell r="W1101" t="str">
            <v>Estimate</v>
          </cell>
          <cell r="X1101" t="str">
            <v>01/09/2010</v>
          </cell>
          <cell r="Y1101" t="str">
            <v>KEW</v>
          </cell>
          <cell r="Z1101" t="str">
            <v>16/08/2013</v>
          </cell>
          <cell r="AA1101" t="str">
            <v>15/08/2015</v>
          </cell>
          <cell r="AB1101" t="str">
            <v>No</v>
          </cell>
          <cell r="AC1101" t="str">
            <v>31/08/2013</v>
          </cell>
          <cell r="AD1101" t="str">
            <v>Good</v>
          </cell>
          <cell r="AE1101" t="str">
            <v>V1 - Existing / No Claim</v>
          </cell>
          <cell r="AF1101">
            <v>43068</v>
          </cell>
          <cell r="AG1101">
            <v>9.17</v>
          </cell>
          <cell r="AH1101" t="str">
            <v>PPM</v>
          </cell>
          <cell r="AI1101" t="str">
            <v>Strands</v>
          </cell>
          <cell r="AJ1101" t="str">
            <v>Strands PW</v>
          </cell>
          <cell r="AK1101" t="str">
            <v>Crash Trolley (FEMS). [15/4/2024]: TUKAR DEPARTMENT PY TO UNIT KUALITI.</v>
          </cell>
        </row>
        <row r="1102">
          <cell r="A1102" t="str">
            <v>IKN400692</v>
          </cell>
          <cell r="B1102">
            <v>692</v>
          </cell>
          <cell r="C1102" t="str">
            <v>Institut Kanser Negara</v>
          </cell>
          <cell r="D1102" t="str">
            <v>KKM/IKN/H/13/1556</v>
          </cell>
          <cell r="E1102" t="str">
            <v>12-282</v>
          </cell>
          <cell r="F1102" t="str">
            <v>Lights, Surgical</v>
          </cell>
          <cell r="G1102" t="str">
            <v>PY</v>
          </cell>
          <cell r="H1102" t="str">
            <v>PHYSIOTHERAPY</v>
          </cell>
          <cell r="I1102" t="str">
            <v>04PY109</v>
          </cell>
          <cell r="J1102" t="str">
            <v>ASSESSMENT / TREATMENT</v>
          </cell>
          <cell r="K1102" t="str">
            <v>BMED</v>
          </cell>
          <cell r="L1102" t="str">
            <v>Critical</v>
          </cell>
          <cell r="M1102" t="str">
            <v>USA</v>
          </cell>
          <cell r="N1102" t="str">
            <v>Welch Allyn</v>
          </cell>
          <cell r="O1102" t="str">
            <v>Welch Allyn GS600</v>
          </cell>
          <cell r="P1102" t="str">
            <v>GS-600-33</v>
          </cell>
          <cell r="Q1102" t="str">
            <v>Not Applicable</v>
          </cell>
          <cell r="R1102" t="str">
            <v>Welch Allyn Inc</v>
          </cell>
          <cell r="S1102" t="str">
            <v>Welch Allyn Malaysia Sdn Bhd</v>
          </cell>
          <cell r="T1102" t="str">
            <v>Functioning</v>
          </cell>
          <cell r="U1102" t="str">
            <v>Asset</v>
          </cell>
          <cell r="V1102">
            <v>5050</v>
          </cell>
          <cell r="W1102" t="str">
            <v>KEW</v>
          </cell>
          <cell r="X1102" t="str">
            <v>01/09/2010</v>
          </cell>
          <cell r="Y1102" t="str">
            <v>KEW</v>
          </cell>
          <cell r="Z1102" t="str">
            <v>16/08/2013</v>
          </cell>
          <cell r="AA1102" t="str">
            <v>15/08/2015</v>
          </cell>
          <cell r="AB1102" t="str">
            <v>No</v>
          </cell>
          <cell r="AC1102" t="str">
            <v>31/08/2013</v>
          </cell>
          <cell r="AD1102" t="str">
            <v>Good</v>
          </cell>
          <cell r="AE1102" t="str">
            <v>V1 - Existing / No Claim</v>
          </cell>
          <cell r="AF1102">
            <v>42801</v>
          </cell>
          <cell r="AG1102">
            <v>9.17</v>
          </cell>
          <cell r="AH1102" t="str">
            <v>PPM</v>
          </cell>
          <cell r="AI1102" t="str">
            <v>Strands</v>
          </cell>
          <cell r="AJ1102" t="str">
            <v>Strands PW</v>
          </cell>
        </row>
        <row r="1103">
          <cell r="A1103" t="str">
            <v>IKN400693</v>
          </cell>
          <cell r="B1103">
            <v>693</v>
          </cell>
          <cell r="C1103" t="str">
            <v>Institut Kanser Negara</v>
          </cell>
          <cell r="D1103" t="str">
            <v>KKM/IKN/H/13/1414</v>
          </cell>
          <cell r="E1103" t="str">
            <v>14-141</v>
          </cell>
          <cell r="F1103" t="str">
            <v>Treadmills</v>
          </cell>
          <cell r="G1103" t="str">
            <v>PY</v>
          </cell>
          <cell r="H1103" t="str">
            <v>PHYSIOTHERAPY</v>
          </cell>
          <cell r="I1103" t="str">
            <v>04PY115</v>
          </cell>
          <cell r="J1103" t="str">
            <v>GYMNASIUM</v>
          </cell>
          <cell r="K1103" t="str">
            <v>BMED</v>
          </cell>
          <cell r="L1103" t="str">
            <v>Normal</v>
          </cell>
          <cell r="M1103" t="str">
            <v>USA</v>
          </cell>
          <cell r="N1103" t="str">
            <v>Horizonfitness</v>
          </cell>
          <cell r="O1103" t="str">
            <v>Horizonfitness Ti52</v>
          </cell>
          <cell r="P1103" t="str">
            <v>TM2231202BC00012</v>
          </cell>
          <cell r="Q1103" t="str">
            <v>Not Applicable</v>
          </cell>
          <cell r="R1103" t="str">
            <v>Horizon Fitness</v>
          </cell>
          <cell r="S1103" t="str">
            <v>Maycare (M) Sdn. Bhd.</v>
          </cell>
          <cell r="T1103" t="str">
            <v>Functioning</v>
          </cell>
          <cell r="U1103" t="str">
            <v>Asset</v>
          </cell>
          <cell r="V1103">
            <v>10220</v>
          </cell>
          <cell r="W1103" t="str">
            <v>KEW</v>
          </cell>
          <cell r="X1103" t="str">
            <v>01/09/2010</v>
          </cell>
          <cell r="Y1103" t="str">
            <v>KEW</v>
          </cell>
          <cell r="Z1103" t="str">
            <v>16/08/2013</v>
          </cell>
          <cell r="AA1103" t="str">
            <v>15/08/2015</v>
          </cell>
          <cell r="AB1103" t="str">
            <v>No</v>
          </cell>
          <cell r="AC1103" t="str">
            <v>31/08/2013</v>
          </cell>
          <cell r="AD1103" t="str">
            <v>Good</v>
          </cell>
          <cell r="AE1103" t="str">
            <v>V1 - Existing / No Claim</v>
          </cell>
          <cell r="AF1103">
            <v>42802</v>
          </cell>
          <cell r="AG1103">
            <v>9.17</v>
          </cell>
          <cell r="AH1103" t="str">
            <v>RI</v>
          </cell>
          <cell r="AI1103" t="str">
            <v>Strands</v>
          </cell>
          <cell r="AJ1103" t="str">
            <v>Strands PW</v>
          </cell>
        </row>
        <row r="1104">
          <cell r="A1104" t="str">
            <v>IKN400694</v>
          </cell>
          <cell r="B1104">
            <v>694</v>
          </cell>
          <cell r="C1104" t="str">
            <v>Institut Kanser Negara</v>
          </cell>
          <cell r="D1104" t="str">
            <v>KKM/IKN/H/13/2050</v>
          </cell>
          <cell r="E1104" t="str">
            <v>13-775</v>
          </cell>
          <cell r="F1104" t="str">
            <v>Stimulators, Electrical, Neuromuscular</v>
          </cell>
          <cell r="G1104" t="str">
            <v>PY</v>
          </cell>
          <cell r="H1104" t="str">
            <v>PHYSIOTHERAPY</v>
          </cell>
          <cell r="I1104" t="str">
            <v>04PY109</v>
          </cell>
          <cell r="J1104" t="str">
            <v>ASSESSMENT / TREATMENT</v>
          </cell>
          <cell r="K1104" t="str">
            <v>BMED</v>
          </cell>
          <cell r="L1104" t="str">
            <v>Normal</v>
          </cell>
          <cell r="M1104" t="str">
            <v>Denmark</v>
          </cell>
          <cell r="N1104" t="str">
            <v>Danmeter</v>
          </cell>
          <cell r="O1104" t="str">
            <v>Elpha II 3000</v>
          </cell>
          <cell r="P1104" t="str">
            <v>2013080053</v>
          </cell>
          <cell r="Q1104" t="str">
            <v>Not Applicable</v>
          </cell>
          <cell r="R1104" t="str">
            <v>Danmeter AS</v>
          </cell>
          <cell r="S1104" t="str">
            <v>Maycare (M) Sdn. Bhd.</v>
          </cell>
          <cell r="T1104" t="str">
            <v>Functioning</v>
          </cell>
          <cell r="U1104" t="str">
            <v>Asset</v>
          </cell>
          <cell r="V1104">
            <v>420</v>
          </cell>
          <cell r="W1104" t="str">
            <v>KEW</v>
          </cell>
          <cell r="X1104" t="str">
            <v>01/09/2010</v>
          </cell>
          <cell r="Y1104" t="str">
            <v>KEW</v>
          </cell>
          <cell r="Z1104" t="str">
            <v>16/08/2013</v>
          </cell>
          <cell r="AA1104" t="str">
            <v>15/08/2015</v>
          </cell>
          <cell r="AB1104" t="str">
            <v>No</v>
          </cell>
          <cell r="AC1104" t="str">
            <v>31/08/2013</v>
          </cell>
          <cell r="AD1104" t="str">
            <v>Good</v>
          </cell>
          <cell r="AE1104" t="str">
            <v>V1 - Existing / No Claim</v>
          </cell>
          <cell r="AF1104">
            <v>43068</v>
          </cell>
          <cell r="AG1104">
            <v>9.17</v>
          </cell>
          <cell r="AH1104" t="str">
            <v>PPM</v>
          </cell>
          <cell r="AI1104" t="str">
            <v>Strands</v>
          </cell>
          <cell r="AJ1104" t="str">
            <v>Strands PW</v>
          </cell>
        </row>
        <row r="1105">
          <cell r="A1105" t="str">
            <v>IKN400695</v>
          </cell>
          <cell r="B1105">
            <v>695</v>
          </cell>
          <cell r="C1105" t="str">
            <v>Institut Kanser Negara</v>
          </cell>
          <cell r="D1105" t="str">
            <v>KKM/IKN/H/13/2051</v>
          </cell>
          <cell r="E1105" t="str">
            <v>13-775</v>
          </cell>
          <cell r="F1105" t="str">
            <v>Stimulators, Electrical, Neuromuscular</v>
          </cell>
          <cell r="G1105" t="str">
            <v>PY</v>
          </cell>
          <cell r="H1105" t="str">
            <v>PHYSIOTHERAPY</v>
          </cell>
          <cell r="I1105" t="str">
            <v>04PY119</v>
          </cell>
          <cell r="J1105" t="str">
            <v>EQ.ROOM</v>
          </cell>
          <cell r="K1105" t="str">
            <v>BMED</v>
          </cell>
          <cell r="L1105" t="str">
            <v>Normal</v>
          </cell>
          <cell r="M1105" t="str">
            <v>Denmark</v>
          </cell>
          <cell r="N1105" t="str">
            <v>Danmeter</v>
          </cell>
          <cell r="O1105" t="str">
            <v>Elpha II 3000</v>
          </cell>
          <cell r="P1105" t="str">
            <v>2013080055</v>
          </cell>
          <cell r="Q1105" t="str">
            <v>Not Applicable</v>
          </cell>
          <cell r="R1105" t="str">
            <v>Danmeter AS</v>
          </cell>
          <cell r="S1105" t="str">
            <v>Maycare (M) Sdn. Bhd.</v>
          </cell>
          <cell r="T1105" t="str">
            <v>Functioning</v>
          </cell>
          <cell r="U1105" t="str">
            <v>Asset</v>
          </cell>
          <cell r="V1105">
            <v>420</v>
          </cell>
          <cell r="W1105" t="str">
            <v>KEW</v>
          </cell>
          <cell r="X1105" t="str">
            <v>01/09/2010</v>
          </cell>
          <cell r="Y1105" t="str">
            <v>KEW</v>
          </cell>
          <cell r="Z1105" t="str">
            <v>16/08/2013</v>
          </cell>
          <cell r="AA1105" t="str">
            <v>15/08/2015</v>
          </cell>
          <cell r="AB1105" t="str">
            <v>No</v>
          </cell>
          <cell r="AC1105" t="str">
            <v>31/08/2013</v>
          </cell>
          <cell r="AD1105" t="str">
            <v>Good</v>
          </cell>
          <cell r="AE1105" t="str">
            <v>V1 - Existing / No Claim</v>
          </cell>
          <cell r="AF1105">
            <v>42235</v>
          </cell>
          <cell r="AG1105">
            <v>9.17</v>
          </cell>
          <cell r="AH1105" t="str">
            <v>PPM</v>
          </cell>
          <cell r="AI1105" t="str">
            <v>Strands</v>
          </cell>
          <cell r="AJ1105" t="str">
            <v>Strands PW</v>
          </cell>
        </row>
        <row r="1106">
          <cell r="A1106" t="str">
            <v>IKN400696</v>
          </cell>
          <cell r="B1106">
            <v>696</v>
          </cell>
          <cell r="C1106" t="str">
            <v>Institut Kanser Negara</v>
          </cell>
          <cell r="D1106" t="str">
            <v>KKM/IKN/H/13/2052</v>
          </cell>
          <cell r="E1106" t="str">
            <v>13-775</v>
          </cell>
          <cell r="F1106" t="str">
            <v>Stimulators, Electrical, Neuromuscular</v>
          </cell>
          <cell r="G1106" t="str">
            <v>PY</v>
          </cell>
          <cell r="H1106" t="str">
            <v>PHYSIOTHERAPY</v>
          </cell>
          <cell r="I1106" t="str">
            <v>04PY119</v>
          </cell>
          <cell r="J1106" t="str">
            <v>EQ.ROOM</v>
          </cell>
          <cell r="K1106" t="str">
            <v>BMED</v>
          </cell>
          <cell r="L1106" t="str">
            <v>Normal</v>
          </cell>
          <cell r="M1106" t="str">
            <v>Denmark</v>
          </cell>
          <cell r="N1106" t="str">
            <v>Danmeter</v>
          </cell>
          <cell r="O1106" t="str">
            <v>Elpha II 3000</v>
          </cell>
          <cell r="P1106" t="str">
            <v>2013080058</v>
          </cell>
          <cell r="Q1106" t="str">
            <v>Not Applicable</v>
          </cell>
          <cell r="R1106" t="str">
            <v>Danmeter AS</v>
          </cell>
          <cell r="S1106" t="str">
            <v>Maycare (M) Sdn. Bhd.</v>
          </cell>
          <cell r="T1106" t="str">
            <v>Functioning</v>
          </cell>
          <cell r="U1106" t="str">
            <v>Asset</v>
          </cell>
          <cell r="V1106">
            <v>420</v>
          </cell>
          <cell r="W1106" t="str">
            <v>KEW</v>
          </cell>
          <cell r="X1106" t="str">
            <v>01/09/2010</v>
          </cell>
          <cell r="Y1106" t="str">
            <v>KEW</v>
          </cell>
          <cell r="Z1106" t="str">
            <v>16/08/2013</v>
          </cell>
          <cell r="AA1106" t="str">
            <v>15/08/2015</v>
          </cell>
          <cell r="AB1106" t="str">
            <v>No</v>
          </cell>
          <cell r="AC1106" t="str">
            <v>31/08/2013</v>
          </cell>
          <cell r="AD1106" t="str">
            <v>Good</v>
          </cell>
          <cell r="AE1106" t="str">
            <v>V1 - Existing / No Claim</v>
          </cell>
          <cell r="AF1106">
            <v>42235</v>
          </cell>
          <cell r="AG1106">
            <v>9.17</v>
          </cell>
          <cell r="AH1106" t="str">
            <v>PPM</v>
          </cell>
          <cell r="AI1106" t="str">
            <v>Strands</v>
          </cell>
          <cell r="AJ1106" t="str">
            <v>Strands PW</v>
          </cell>
        </row>
        <row r="1107">
          <cell r="A1107" t="str">
            <v>IKN400697</v>
          </cell>
          <cell r="B1107">
            <v>697</v>
          </cell>
          <cell r="C1107" t="str">
            <v>Institut Kanser Negara</v>
          </cell>
          <cell r="D1107" t="str">
            <v>KKM/IKN/I/13/9508</v>
          </cell>
          <cell r="E1107" t="str">
            <v>13-775</v>
          </cell>
          <cell r="F1107" t="str">
            <v>Stimulators, Electrical, Neuromuscular</v>
          </cell>
          <cell r="G1107" t="str">
            <v>PY</v>
          </cell>
          <cell r="H1107" t="str">
            <v>PHYSIOTHERAPY</v>
          </cell>
          <cell r="I1107" t="str">
            <v>04PY119</v>
          </cell>
          <cell r="J1107" t="str">
            <v>EQ.ROOM</v>
          </cell>
          <cell r="K1107" t="str">
            <v>BMED</v>
          </cell>
          <cell r="L1107" t="str">
            <v>Normal</v>
          </cell>
          <cell r="M1107" t="str">
            <v>Denmark</v>
          </cell>
          <cell r="N1107" t="str">
            <v>Danmeter</v>
          </cell>
          <cell r="O1107" t="str">
            <v>Elpha II 3000</v>
          </cell>
          <cell r="P1107" t="str">
            <v>2011080571</v>
          </cell>
          <cell r="Q1107" t="str">
            <v>Not Applicable</v>
          </cell>
          <cell r="R1107" t="str">
            <v>Danmeter AS</v>
          </cell>
          <cell r="S1107" t="str">
            <v>Maycare (M) Sdn. Bhd.</v>
          </cell>
          <cell r="T1107" t="str">
            <v>Functioning</v>
          </cell>
          <cell r="U1107" t="str">
            <v>Asset</v>
          </cell>
          <cell r="V1107">
            <v>420</v>
          </cell>
          <cell r="W1107" t="str">
            <v>KEW</v>
          </cell>
          <cell r="X1107" t="str">
            <v>01/09/2010</v>
          </cell>
          <cell r="Y1107" t="str">
            <v>KEW</v>
          </cell>
          <cell r="Z1107" t="str">
            <v>16/08/2013</v>
          </cell>
          <cell r="AA1107" t="str">
            <v>15/08/2015</v>
          </cell>
          <cell r="AB1107" t="str">
            <v>No</v>
          </cell>
          <cell r="AC1107" t="str">
            <v>31/08/2013</v>
          </cell>
          <cell r="AD1107" t="str">
            <v>Good</v>
          </cell>
          <cell r="AE1107" t="str">
            <v>V3 - Added Installed Facilities (New)</v>
          </cell>
          <cell r="AF1107">
            <v>42235</v>
          </cell>
          <cell r="AG1107">
            <v>9.17</v>
          </cell>
          <cell r="AH1107" t="str">
            <v>PPM</v>
          </cell>
          <cell r="AI1107" t="str">
            <v>Strands</v>
          </cell>
          <cell r="AJ1107" t="str">
            <v>Strands PW</v>
          </cell>
          <cell r="AK1107" t="str">
            <v>SNF received. 1st batch of V3 asset (December 2020)</v>
          </cell>
        </row>
        <row r="1108">
          <cell r="A1108" t="str">
            <v>IKN400698</v>
          </cell>
          <cell r="B1108">
            <v>698</v>
          </cell>
          <cell r="C1108" t="str">
            <v>Institut Kanser Negara</v>
          </cell>
          <cell r="D1108" t="str">
            <v>KKM/IKN/H/13/1810</v>
          </cell>
          <cell r="E1108" t="str">
            <v>17-908</v>
          </cell>
          <cell r="F1108" t="str">
            <v>Ultrasound Therapy/Neuromuscular Stimulation Systems, Physic</v>
          </cell>
          <cell r="G1108" t="str">
            <v>PY</v>
          </cell>
          <cell r="H1108" t="str">
            <v>PHYSIOTHERAPY</v>
          </cell>
          <cell r="I1108" t="str">
            <v>04PY119</v>
          </cell>
          <cell r="J1108" t="str">
            <v>EQ.ROOM</v>
          </cell>
          <cell r="K1108" t="str">
            <v>BMED</v>
          </cell>
          <cell r="L1108" t="str">
            <v>Normal</v>
          </cell>
          <cell r="M1108" t="str">
            <v>Belgium</v>
          </cell>
          <cell r="N1108" t="str">
            <v>Gymna</v>
          </cell>
          <cell r="O1108" t="str">
            <v>Gymna Combi 200</v>
          </cell>
          <cell r="P1108" t="str">
            <v>65973</v>
          </cell>
          <cell r="Q1108" t="str">
            <v>Not Applicable</v>
          </cell>
          <cell r="R1108" t="str">
            <v>GymnaUniphy NV</v>
          </cell>
          <cell r="S1108" t="str">
            <v>Maycare (M) Sdn. Bhd.</v>
          </cell>
          <cell r="T1108" t="str">
            <v>Functioning</v>
          </cell>
          <cell r="U1108" t="str">
            <v>Asset</v>
          </cell>
          <cell r="V1108">
            <v>18640</v>
          </cell>
          <cell r="W1108" t="str">
            <v>KEW</v>
          </cell>
          <cell r="X1108" t="str">
            <v>01/09/2010</v>
          </cell>
          <cell r="Y1108" t="str">
            <v>KEW</v>
          </cell>
          <cell r="Z1108" t="str">
            <v>16/08/2013</v>
          </cell>
          <cell r="AA1108" t="str">
            <v>15/08/2015</v>
          </cell>
          <cell r="AB1108" t="str">
            <v>No</v>
          </cell>
          <cell r="AC1108" t="str">
            <v>31/08/2013</v>
          </cell>
          <cell r="AD1108" t="str">
            <v>Good</v>
          </cell>
          <cell r="AE1108" t="str">
            <v>V1 - Existing / No Claim</v>
          </cell>
          <cell r="AF1108">
            <v>42802</v>
          </cell>
          <cell r="AG1108">
            <v>9.17</v>
          </cell>
          <cell r="AH1108" t="str">
            <v>PPM</v>
          </cell>
          <cell r="AI1108" t="str">
            <v>Strands</v>
          </cell>
          <cell r="AJ1108" t="str">
            <v>Strands PW</v>
          </cell>
          <cell r="AK1108" t="str">
            <v>[27/12/2023, SHARIFAH]: PEP ON 22/12/2023, BER/BEMS/IKN/23/023 - Aset mengalami kerosakan pada US probe, namun masih boleh digunakan dan hendaklah diselenggarakan sehingga dilupuskan.</v>
          </cell>
        </row>
        <row r="1109">
          <cell r="A1109" t="str">
            <v>IKN400700</v>
          </cell>
          <cell r="B1109">
            <v>700</v>
          </cell>
          <cell r="C1109" t="str">
            <v>Institut Kanser Negara</v>
          </cell>
          <cell r="D1109" t="str">
            <v>KKM/IKN/H/13/5103</v>
          </cell>
          <cell r="E1109" t="str">
            <v>15-045</v>
          </cell>
          <cell r="F1109" t="str">
            <v>Nebulizers, Nonheated</v>
          </cell>
          <cell r="G1109" t="str">
            <v>PY</v>
          </cell>
          <cell r="H1109" t="str">
            <v>PHYSIOTHERAPY</v>
          </cell>
          <cell r="I1109" t="str">
            <v>04PY130</v>
          </cell>
          <cell r="J1109" t="str">
            <v>RESPIRATORY</v>
          </cell>
          <cell r="K1109" t="str">
            <v>BMED</v>
          </cell>
          <cell r="L1109" t="str">
            <v>Normal</v>
          </cell>
          <cell r="M1109" t="str">
            <v>Germany</v>
          </cell>
          <cell r="N1109" t="str">
            <v>Pari Boy</v>
          </cell>
          <cell r="O1109" t="str">
            <v>Pari Boy SX 085</v>
          </cell>
          <cell r="P1109" t="str">
            <v>2W12F13732</v>
          </cell>
          <cell r="Q1109" t="str">
            <v>Not Applicable</v>
          </cell>
          <cell r="R1109" t="str">
            <v>Pari GmbH</v>
          </cell>
          <cell r="S1109" t="str">
            <v>Welch Allyn Malaysia Sdn Bhd</v>
          </cell>
          <cell r="T1109" t="str">
            <v>Functioning</v>
          </cell>
          <cell r="U1109" t="str">
            <v>Asset</v>
          </cell>
          <cell r="V1109">
            <v>1140</v>
          </cell>
          <cell r="W1109" t="str">
            <v>KEW</v>
          </cell>
          <cell r="X1109" t="str">
            <v>01/09/2010</v>
          </cell>
          <cell r="Y1109" t="str">
            <v>KEW</v>
          </cell>
          <cell r="Z1109" t="str">
            <v>16/08/2013</v>
          </cell>
          <cell r="AA1109" t="str">
            <v>15/08/2015</v>
          </cell>
          <cell r="AB1109" t="str">
            <v>No</v>
          </cell>
          <cell r="AC1109" t="str">
            <v>31/08/2013</v>
          </cell>
          <cell r="AD1109" t="str">
            <v>Good</v>
          </cell>
          <cell r="AE1109" t="str">
            <v>V3 - Added Installed Facilities (New)</v>
          </cell>
          <cell r="AF1109">
            <v>42802</v>
          </cell>
          <cell r="AG1109">
            <v>9.17</v>
          </cell>
          <cell r="AH1109" t="str">
            <v>PPM</v>
          </cell>
          <cell r="AI1109" t="str">
            <v>Strands</v>
          </cell>
          <cell r="AJ1109" t="str">
            <v>Strands PW</v>
          </cell>
          <cell r="AK1109" t="str">
            <v>SNF received. 1st batch of V3 asset (December 2020)</v>
          </cell>
        </row>
        <row r="1110">
          <cell r="A1110" t="str">
            <v>IKN400701</v>
          </cell>
          <cell r="B1110">
            <v>701</v>
          </cell>
          <cell r="C1110" t="str">
            <v>Institut Kanser Negara</v>
          </cell>
          <cell r="D1110" t="str">
            <v>KKM/IKN/H/13/1421</v>
          </cell>
          <cell r="E1110" t="str">
            <v>10-208</v>
          </cell>
          <cell r="F1110" t="str">
            <v>Aspirators</v>
          </cell>
          <cell r="G1110" t="str">
            <v>PY</v>
          </cell>
          <cell r="H1110" t="str">
            <v>PHYSIOTHERAPY</v>
          </cell>
          <cell r="I1110" t="str">
            <v>04PY130</v>
          </cell>
          <cell r="J1110" t="str">
            <v>RESPIRATORY</v>
          </cell>
          <cell r="K1110" t="str">
            <v>BMED</v>
          </cell>
          <cell r="L1110" t="str">
            <v>Critical</v>
          </cell>
          <cell r="M1110" t="str">
            <v>Italy</v>
          </cell>
          <cell r="N1110" t="str">
            <v>Askir</v>
          </cell>
          <cell r="O1110" t="str">
            <v>Askir 36-BR</v>
          </cell>
          <cell r="P1110" t="str">
            <v>1394</v>
          </cell>
          <cell r="Q1110" t="str">
            <v>Not Applicable</v>
          </cell>
          <cell r="R1110" t="str">
            <v>Ca-Mi Snc</v>
          </cell>
          <cell r="S1110" t="str">
            <v>Antah Sir Radin Sdn. Bhd.</v>
          </cell>
          <cell r="T1110" t="str">
            <v>Functioning</v>
          </cell>
          <cell r="U1110" t="str">
            <v>Asset</v>
          </cell>
          <cell r="V1110">
            <v>2165</v>
          </cell>
          <cell r="W1110" t="str">
            <v>KEW</v>
          </cell>
          <cell r="X1110" t="str">
            <v>01/09/2010</v>
          </cell>
          <cell r="Y1110" t="str">
            <v>KEW</v>
          </cell>
          <cell r="Z1110" t="str">
            <v>16/08/2013</v>
          </cell>
          <cell r="AA1110" t="str">
            <v>15/08/2015</v>
          </cell>
          <cell r="AB1110" t="str">
            <v>No</v>
          </cell>
          <cell r="AC1110" t="str">
            <v>31/08/2013</v>
          </cell>
          <cell r="AD1110" t="str">
            <v>Good</v>
          </cell>
          <cell r="AE1110" t="str">
            <v>V1 - Existing / No Claim</v>
          </cell>
          <cell r="AF1110">
            <v>42802</v>
          </cell>
          <cell r="AG1110">
            <v>9.17</v>
          </cell>
          <cell r="AH1110" t="str">
            <v>PPM</v>
          </cell>
          <cell r="AI1110" t="str">
            <v>Strands</v>
          </cell>
          <cell r="AJ1110" t="str">
            <v>Strands PW</v>
          </cell>
        </row>
        <row r="1111">
          <cell r="A1111" t="str">
            <v>IKN400702</v>
          </cell>
          <cell r="B1111">
            <v>702</v>
          </cell>
          <cell r="C1111" t="str">
            <v>Institut Kanser Negara</v>
          </cell>
          <cell r="D1111" t="str">
            <v>KKM/IKN/H/13/1420</v>
          </cell>
          <cell r="E1111" t="str">
            <v>13-680</v>
          </cell>
          <cell r="F1111" t="str">
            <v>Spirometers, Diagnostic</v>
          </cell>
          <cell r="G1111" t="str">
            <v>PY</v>
          </cell>
          <cell r="H1111" t="str">
            <v>PHYSIOTHERAPY</v>
          </cell>
          <cell r="I1111" t="str">
            <v>04PY130</v>
          </cell>
          <cell r="J1111" t="str">
            <v>RESPIRATORY</v>
          </cell>
          <cell r="K1111" t="str">
            <v>BMED</v>
          </cell>
          <cell r="L1111" t="str">
            <v>Normal</v>
          </cell>
          <cell r="M1111" t="str">
            <v>USA</v>
          </cell>
          <cell r="N1111" t="str">
            <v>SpiroPerfect</v>
          </cell>
          <cell r="O1111" t="str">
            <v>SpiroPerfect</v>
          </cell>
          <cell r="P1111" t="str">
            <v>M946800121331</v>
          </cell>
          <cell r="Q1111" t="str">
            <v>Not Applicable</v>
          </cell>
          <cell r="R1111" t="str">
            <v>Welch Allyn Inc</v>
          </cell>
          <cell r="S1111" t="str">
            <v>Welch Allyn Malaysia Sdn Bhd</v>
          </cell>
          <cell r="T1111" t="str">
            <v>Functioning</v>
          </cell>
          <cell r="U1111" t="str">
            <v>Asset</v>
          </cell>
          <cell r="V1111">
            <v>10230</v>
          </cell>
          <cell r="W1111" t="str">
            <v>KEW</v>
          </cell>
          <cell r="X1111" t="str">
            <v>01/09/2010</v>
          </cell>
          <cell r="Y1111" t="str">
            <v>KEW</v>
          </cell>
          <cell r="Z1111" t="str">
            <v>16/08/2013</v>
          </cell>
          <cell r="AA1111" t="str">
            <v>15/08/2015</v>
          </cell>
          <cell r="AB1111" t="str">
            <v>No</v>
          </cell>
          <cell r="AC1111" t="str">
            <v>31/08/2013</v>
          </cell>
          <cell r="AD1111" t="str">
            <v>Good</v>
          </cell>
          <cell r="AE1111" t="str">
            <v>V1 - Existing / No Claim</v>
          </cell>
          <cell r="AF1111">
            <v>42802</v>
          </cell>
          <cell r="AG1111">
            <v>9.17</v>
          </cell>
          <cell r="AH1111" t="str">
            <v>PPM</v>
          </cell>
          <cell r="AI1111" t="str">
            <v>Strands</v>
          </cell>
          <cell r="AJ1111" t="str">
            <v>Strands Package</v>
          </cell>
          <cell r="AK1111" t="str">
            <v>Package Code MS0002</v>
          </cell>
        </row>
        <row r="1112">
          <cell r="A1112" t="str">
            <v>IKN400703</v>
          </cell>
          <cell r="B1112">
            <v>703</v>
          </cell>
          <cell r="C1112" t="str">
            <v>Institut Kanser Negara</v>
          </cell>
          <cell r="D1112" t="str">
            <v>KKM/IKN/H/13/1415</v>
          </cell>
          <cell r="E1112" t="str">
            <v>10-383</v>
          </cell>
          <cell r="F1112" t="str">
            <v>Ergometers, Bicycle</v>
          </cell>
          <cell r="G1112" t="str">
            <v>PY</v>
          </cell>
          <cell r="H1112" t="str">
            <v>PHYSIOTHERAPY</v>
          </cell>
          <cell r="I1112" t="str">
            <v>04PY115</v>
          </cell>
          <cell r="J1112" t="str">
            <v>GYMNASIUM</v>
          </cell>
          <cell r="K1112" t="str">
            <v>BMED</v>
          </cell>
          <cell r="L1112" t="str">
            <v>Normal</v>
          </cell>
          <cell r="M1112" t="str">
            <v>Germany</v>
          </cell>
          <cell r="N1112" t="str">
            <v>Ergometer</v>
          </cell>
          <cell r="O1112" t="str">
            <v>Ergometer E5</v>
          </cell>
          <cell r="P1112" t="str">
            <v>E5-W00620</v>
          </cell>
          <cell r="Q1112" t="str">
            <v>Not Applicable</v>
          </cell>
          <cell r="R1112" t="str">
            <v>Heinz Kettler GmbH &amp; Co KG</v>
          </cell>
          <cell r="S1112" t="str">
            <v>Rehamed (Malaysia) Sdn Bhd</v>
          </cell>
          <cell r="T1112" t="str">
            <v>Functioning</v>
          </cell>
          <cell r="U1112" t="str">
            <v>Asset</v>
          </cell>
          <cell r="V1112">
            <v>6610</v>
          </cell>
          <cell r="W1112" t="str">
            <v>KEW</v>
          </cell>
          <cell r="X1112" t="str">
            <v>01/09/2010</v>
          </cell>
          <cell r="Y1112" t="str">
            <v>KEW</v>
          </cell>
          <cell r="Z1112" t="str">
            <v>16/08/2013</v>
          </cell>
          <cell r="AA1112" t="str">
            <v>15/08/2015</v>
          </cell>
          <cell r="AB1112" t="str">
            <v>No</v>
          </cell>
          <cell r="AC1112" t="str">
            <v>31/08/2013</v>
          </cell>
          <cell r="AD1112" t="str">
            <v>Good</v>
          </cell>
          <cell r="AE1112" t="str">
            <v>V1 - Existing / No Claim</v>
          </cell>
          <cell r="AF1112">
            <v>42802</v>
          </cell>
          <cell r="AG1112">
            <v>9.17</v>
          </cell>
          <cell r="AH1112" t="str">
            <v>PPM</v>
          </cell>
          <cell r="AI1112" t="str">
            <v>Strands</v>
          </cell>
          <cell r="AJ1112" t="str">
            <v>Strands PW F</v>
          </cell>
        </row>
        <row r="1113">
          <cell r="A1113" t="str">
            <v>IKN400704</v>
          </cell>
          <cell r="B1113">
            <v>704</v>
          </cell>
          <cell r="C1113" t="str">
            <v>Institut Kanser Negara</v>
          </cell>
          <cell r="D1113" t="str">
            <v>KKM/IKN/H/13/1858</v>
          </cell>
          <cell r="E1113" t="str">
            <v>10-780</v>
          </cell>
          <cell r="F1113" t="str">
            <v>Centrifuges, Tabletop</v>
          </cell>
          <cell r="G1113" t="str">
            <v>LA</v>
          </cell>
          <cell r="H1113" t="str">
            <v>PATHOLOGY</v>
          </cell>
          <cell r="I1113" t="str">
            <v>04LA137</v>
          </cell>
          <cell r="J1113" t="str">
            <v>PRE-ANALYTICAL 1</v>
          </cell>
          <cell r="K1113" t="str">
            <v>BMED</v>
          </cell>
          <cell r="L1113" t="str">
            <v>Normal</v>
          </cell>
          <cell r="M1113" t="str">
            <v>Germany</v>
          </cell>
          <cell r="N1113" t="str">
            <v>Rotofix</v>
          </cell>
          <cell r="O1113" t="str">
            <v>Rotofix 32A</v>
          </cell>
          <cell r="P1113" t="str">
            <v>20367</v>
          </cell>
          <cell r="Q1113" t="str">
            <v>Not Applicable</v>
          </cell>
          <cell r="R1113" t="str">
            <v>Hettich-Zentrifugen GmbH</v>
          </cell>
          <cell r="S1113" t="str">
            <v>Biomarketing Services (M) Sdn Bhd</v>
          </cell>
          <cell r="T1113" t="str">
            <v>Functioning</v>
          </cell>
          <cell r="U1113" t="str">
            <v>Asset</v>
          </cell>
          <cell r="V1113">
            <v>24060</v>
          </cell>
          <cell r="W1113" t="str">
            <v>KEW</v>
          </cell>
          <cell r="X1113" t="str">
            <v>01/09/2010</v>
          </cell>
          <cell r="Y1113" t="str">
            <v>KEW</v>
          </cell>
          <cell r="Z1113" t="str">
            <v>16/08/2013</v>
          </cell>
          <cell r="AA1113" t="str">
            <v>15/08/2015</v>
          </cell>
          <cell r="AB1113" t="str">
            <v>No</v>
          </cell>
          <cell r="AC1113" t="str">
            <v>31/08/2013</v>
          </cell>
          <cell r="AD1113" t="str">
            <v>Good</v>
          </cell>
          <cell r="AE1113" t="str">
            <v>V1 - Existing / No Claim</v>
          </cell>
          <cell r="AF1113">
            <v>42790</v>
          </cell>
          <cell r="AG1113">
            <v>9.17</v>
          </cell>
          <cell r="AH1113" t="str">
            <v>PPM</v>
          </cell>
          <cell r="AI1113" t="str">
            <v>Strands</v>
          </cell>
          <cell r="AJ1113" t="str">
            <v>Strands PW</v>
          </cell>
        </row>
        <row r="1114">
          <cell r="A1114" t="str">
            <v>IKN400705</v>
          </cell>
          <cell r="B1114">
            <v>705</v>
          </cell>
          <cell r="C1114" t="str">
            <v>Institut Kanser Negara</v>
          </cell>
          <cell r="D1114" t="str">
            <v>KKM/IKN/H/13/1861</v>
          </cell>
          <cell r="E1114" t="str">
            <v>10-780</v>
          </cell>
          <cell r="F1114" t="str">
            <v>Centrifuges, Tabletop</v>
          </cell>
          <cell r="G1114" t="str">
            <v>LA</v>
          </cell>
          <cell r="H1114" t="str">
            <v>PATHOLOGY</v>
          </cell>
          <cell r="I1114" t="str">
            <v>04LA138</v>
          </cell>
          <cell r="J1114" t="str">
            <v>PRE-ANALYTICAL 2</v>
          </cell>
          <cell r="K1114" t="str">
            <v>BMED</v>
          </cell>
          <cell r="L1114" t="str">
            <v>Normal</v>
          </cell>
          <cell r="M1114" t="str">
            <v>Germany</v>
          </cell>
          <cell r="N1114" t="str">
            <v>Rotofix</v>
          </cell>
          <cell r="O1114" t="str">
            <v>Rotofix 32A</v>
          </cell>
          <cell r="P1114" t="str">
            <v>18608</v>
          </cell>
          <cell r="Q1114" t="str">
            <v>Not Applicable</v>
          </cell>
          <cell r="R1114" t="str">
            <v>Hettich-Zentrifugen GmbH</v>
          </cell>
          <cell r="S1114" t="str">
            <v>Biomarketing Services (M) Sdn Bhd</v>
          </cell>
          <cell r="T1114" t="str">
            <v>Functioning</v>
          </cell>
          <cell r="U1114" t="str">
            <v>Asset</v>
          </cell>
          <cell r="V1114">
            <v>24060</v>
          </cell>
          <cell r="W1114" t="str">
            <v>KEW</v>
          </cell>
          <cell r="X1114" t="str">
            <v>01/09/2010</v>
          </cell>
          <cell r="Y1114" t="str">
            <v>KEW</v>
          </cell>
          <cell r="Z1114" t="str">
            <v>16/08/2013</v>
          </cell>
          <cell r="AA1114" t="str">
            <v>15/08/2015</v>
          </cell>
          <cell r="AB1114" t="str">
            <v>No</v>
          </cell>
          <cell r="AC1114" t="str">
            <v>31/08/2013</v>
          </cell>
          <cell r="AD1114" t="str">
            <v>Good</v>
          </cell>
          <cell r="AE1114" t="str">
            <v>V1 - Existing / No Claim</v>
          </cell>
          <cell r="AF1114">
            <v>42790</v>
          </cell>
          <cell r="AG1114">
            <v>9.17</v>
          </cell>
          <cell r="AH1114" t="str">
            <v>PPM</v>
          </cell>
          <cell r="AI1114" t="str">
            <v>Strands</v>
          </cell>
          <cell r="AJ1114" t="str">
            <v>Strands PW</v>
          </cell>
        </row>
        <row r="1115">
          <cell r="A1115" t="str">
            <v>IKN400706</v>
          </cell>
          <cell r="B1115">
            <v>706</v>
          </cell>
          <cell r="C1115" t="str">
            <v>Institut Kanser Negara</v>
          </cell>
          <cell r="D1115" t="str">
            <v>KKM/IKN/H/13/1857</v>
          </cell>
          <cell r="E1115" t="str">
            <v>10-780</v>
          </cell>
          <cell r="F1115" t="str">
            <v>Centrifuges, Tabletop</v>
          </cell>
          <cell r="G1115" t="str">
            <v>LA</v>
          </cell>
          <cell r="H1115" t="str">
            <v>PATHOLOGY</v>
          </cell>
          <cell r="I1115" t="str">
            <v>04LA137</v>
          </cell>
          <cell r="J1115" t="str">
            <v>PRE-ANALYTICAL 1</v>
          </cell>
          <cell r="K1115" t="str">
            <v>BMED</v>
          </cell>
          <cell r="L1115" t="str">
            <v>Normal</v>
          </cell>
          <cell r="M1115" t="str">
            <v>Germany</v>
          </cell>
          <cell r="N1115" t="str">
            <v>Rotofix</v>
          </cell>
          <cell r="O1115" t="str">
            <v>Rotofix 32A</v>
          </cell>
          <cell r="P1115" t="str">
            <v>18398</v>
          </cell>
          <cell r="Q1115" t="str">
            <v>Not Applicable</v>
          </cell>
          <cell r="R1115" t="str">
            <v>Hettich-Zentrifugen GmbH</v>
          </cell>
          <cell r="S1115" t="str">
            <v>Biomarketing Services (M) Sdn Bhd</v>
          </cell>
          <cell r="T1115" t="str">
            <v>Functioning</v>
          </cell>
          <cell r="U1115" t="str">
            <v>Asset</v>
          </cell>
          <cell r="V1115">
            <v>24060</v>
          </cell>
          <cell r="W1115" t="str">
            <v>KEW</v>
          </cell>
          <cell r="X1115" t="str">
            <v>01/09/2010</v>
          </cell>
          <cell r="Y1115" t="str">
            <v>KEW</v>
          </cell>
          <cell r="Z1115" t="str">
            <v>16/08/2013</v>
          </cell>
          <cell r="AA1115" t="str">
            <v>15/08/2015</v>
          </cell>
          <cell r="AB1115" t="str">
            <v>No</v>
          </cell>
          <cell r="AC1115" t="str">
            <v>31/08/2013</v>
          </cell>
          <cell r="AD1115" t="str">
            <v>Good</v>
          </cell>
          <cell r="AE1115" t="str">
            <v>V1 - Existing / No Claim</v>
          </cell>
          <cell r="AF1115">
            <v>42790</v>
          </cell>
          <cell r="AG1115">
            <v>9.17</v>
          </cell>
          <cell r="AH1115" t="str">
            <v>PPM</v>
          </cell>
          <cell r="AI1115" t="str">
            <v>Strands</v>
          </cell>
          <cell r="AJ1115" t="str">
            <v>Strands PW</v>
          </cell>
        </row>
        <row r="1116">
          <cell r="A1116" t="str">
            <v>IKN400707</v>
          </cell>
          <cell r="B1116">
            <v>707</v>
          </cell>
          <cell r="C1116" t="str">
            <v>Institut Kanser Negara</v>
          </cell>
          <cell r="D1116" t="str">
            <v>KKM/IKN/H/13/4683</v>
          </cell>
          <cell r="E1116" t="str">
            <v>10-780</v>
          </cell>
          <cell r="F1116" t="str">
            <v>Centrifuges, Tabletop</v>
          </cell>
          <cell r="G1116" t="str">
            <v>LA</v>
          </cell>
          <cell r="H1116" t="str">
            <v>PATHOLOGY</v>
          </cell>
          <cell r="I1116" t="str">
            <v>04LA137</v>
          </cell>
          <cell r="J1116" t="str">
            <v>PRE-ANALYTICAL 1</v>
          </cell>
          <cell r="K1116" t="str">
            <v>BMED</v>
          </cell>
          <cell r="L1116" t="str">
            <v>Normal</v>
          </cell>
          <cell r="M1116" t="str">
            <v>Germany</v>
          </cell>
          <cell r="N1116" t="str">
            <v>Rotofix</v>
          </cell>
          <cell r="O1116" t="str">
            <v>Rotofix 32A</v>
          </cell>
          <cell r="P1116" t="str">
            <v>20089</v>
          </cell>
          <cell r="Q1116" t="str">
            <v>Not Applicable</v>
          </cell>
          <cell r="R1116" t="str">
            <v>Hettich-Zentrifugen GmbH</v>
          </cell>
          <cell r="S1116" t="str">
            <v>Biomarketing Services (M) Sdn Bhd</v>
          </cell>
          <cell r="T1116" t="str">
            <v>Functioning</v>
          </cell>
          <cell r="U1116" t="str">
            <v>Asset</v>
          </cell>
          <cell r="V1116">
            <v>24060</v>
          </cell>
          <cell r="W1116" t="str">
            <v>KEW</v>
          </cell>
          <cell r="X1116" t="str">
            <v>01/09/2010</v>
          </cell>
          <cell r="Y1116" t="str">
            <v>KEW</v>
          </cell>
          <cell r="Z1116" t="str">
            <v>16/08/2013</v>
          </cell>
          <cell r="AA1116" t="str">
            <v>15/08/2015</v>
          </cell>
          <cell r="AB1116" t="str">
            <v>No</v>
          </cell>
          <cell r="AC1116" t="str">
            <v>31/08/2013</v>
          </cell>
          <cell r="AD1116" t="str">
            <v>Good</v>
          </cell>
          <cell r="AE1116" t="str">
            <v>V1 - Existing / No Claim</v>
          </cell>
          <cell r="AF1116">
            <v>42235</v>
          </cell>
          <cell r="AG1116">
            <v>9.17</v>
          </cell>
          <cell r="AH1116" t="str">
            <v>PPM</v>
          </cell>
          <cell r="AI1116" t="str">
            <v>Strands</v>
          </cell>
          <cell r="AJ1116" t="str">
            <v>Strands PW</v>
          </cell>
        </row>
        <row r="1117">
          <cell r="A1117" t="str">
            <v>IKN400708</v>
          </cell>
          <cell r="B1117">
            <v>708</v>
          </cell>
          <cell r="C1117" t="str">
            <v>Institut Kanser Negara</v>
          </cell>
          <cell r="D1117" t="str">
            <v>KKM/IKN/H/13/1859</v>
          </cell>
          <cell r="E1117" t="str">
            <v>10-780</v>
          </cell>
          <cell r="F1117" t="str">
            <v>Centrifuges, Tabletop</v>
          </cell>
          <cell r="G1117" t="str">
            <v>LA</v>
          </cell>
          <cell r="H1117" t="str">
            <v>PATHOLOGY</v>
          </cell>
          <cell r="I1117" t="str">
            <v>04LA138</v>
          </cell>
          <cell r="J1117" t="str">
            <v>PRE-ANALYTICAL 2</v>
          </cell>
          <cell r="K1117" t="str">
            <v>BMED</v>
          </cell>
          <cell r="L1117" t="str">
            <v>Normal</v>
          </cell>
          <cell r="M1117" t="str">
            <v>Germany</v>
          </cell>
          <cell r="N1117" t="str">
            <v>Rotofix</v>
          </cell>
          <cell r="O1117" t="str">
            <v>Rotofix 32A</v>
          </cell>
          <cell r="P1117" t="str">
            <v>18609</v>
          </cell>
          <cell r="Q1117" t="str">
            <v>Not Applicable</v>
          </cell>
          <cell r="R1117" t="str">
            <v>Hettich-Zentrifugen GmbH</v>
          </cell>
          <cell r="S1117" t="str">
            <v>Biomarketing Services (M) Sdn Bhd</v>
          </cell>
          <cell r="T1117" t="str">
            <v>Functioning</v>
          </cell>
          <cell r="U1117" t="str">
            <v>Asset</v>
          </cell>
          <cell r="V1117">
            <v>24060</v>
          </cell>
          <cell r="W1117" t="str">
            <v>KEW</v>
          </cell>
          <cell r="X1117" t="str">
            <v>01/09/2010</v>
          </cell>
          <cell r="Y1117" t="str">
            <v>KEW</v>
          </cell>
          <cell r="Z1117" t="str">
            <v>16/08/2013</v>
          </cell>
          <cell r="AA1117" t="str">
            <v>15/08/2015</v>
          </cell>
          <cell r="AB1117" t="str">
            <v>No</v>
          </cell>
          <cell r="AC1117" t="str">
            <v>31/08/2013</v>
          </cell>
          <cell r="AD1117" t="str">
            <v>Good</v>
          </cell>
          <cell r="AE1117" t="str">
            <v>V1 - Existing / No Claim</v>
          </cell>
          <cell r="AF1117">
            <v>42790</v>
          </cell>
          <cell r="AG1117">
            <v>9.17</v>
          </cell>
          <cell r="AH1117" t="str">
            <v>PPM</v>
          </cell>
          <cell r="AI1117" t="str">
            <v>Strands</v>
          </cell>
          <cell r="AJ1117" t="str">
            <v>Strands PW</v>
          </cell>
        </row>
        <row r="1118">
          <cell r="A1118" t="str">
            <v>IKN400709</v>
          </cell>
          <cell r="B1118">
            <v>709</v>
          </cell>
          <cell r="C1118" t="str">
            <v>Institut Kanser Negara</v>
          </cell>
          <cell r="D1118" t="str">
            <v>KKM/IKN/H/13/1862</v>
          </cell>
          <cell r="E1118" t="str">
            <v>10-780</v>
          </cell>
          <cell r="F1118" t="str">
            <v>Centrifuges, Tabletop</v>
          </cell>
          <cell r="G1118" t="str">
            <v>LA</v>
          </cell>
          <cell r="H1118" t="str">
            <v>PATHOLOGY</v>
          </cell>
          <cell r="I1118" t="str">
            <v>04LA138</v>
          </cell>
          <cell r="J1118" t="str">
            <v>PRE-ANALYTICAL 2</v>
          </cell>
          <cell r="K1118" t="str">
            <v>BMED</v>
          </cell>
          <cell r="L1118" t="str">
            <v>Normal</v>
          </cell>
          <cell r="M1118" t="str">
            <v>Germany</v>
          </cell>
          <cell r="N1118" t="str">
            <v>Rotofix</v>
          </cell>
          <cell r="O1118" t="str">
            <v>Rotofix 32A</v>
          </cell>
          <cell r="P1118" t="str">
            <v>19342</v>
          </cell>
          <cell r="Q1118" t="str">
            <v>Not Applicable</v>
          </cell>
          <cell r="R1118" t="str">
            <v>Hettich-Zentrifugen GmbH</v>
          </cell>
          <cell r="S1118" t="str">
            <v>Biomarketing Services (M) Sdn Bhd</v>
          </cell>
          <cell r="T1118" t="str">
            <v>Functioning</v>
          </cell>
          <cell r="U1118" t="str">
            <v>Asset</v>
          </cell>
          <cell r="V1118">
            <v>24060</v>
          </cell>
          <cell r="W1118" t="str">
            <v>KEW</v>
          </cell>
          <cell r="X1118" t="str">
            <v>01/09/2010</v>
          </cell>
          <cell r="Y1118" t="str">
            <v>KEW</v>
          </cell>
          <cell r="Z1118" t="str">
            <v>16/08/2013</v>
          </cell>
          <cell r="AA1118" t="str">
            <v>15/08/2015</v>
          </cell>
          <cell r="AB1118" t="str">
            <v>No</v>
          </cell>
          <cell r="AC1118" t="str">
            <v>31/08/2013</v>
          </cell>
          <cell r="AD1118" t="str">
            <v>Good</v>
          </cell>
          <cell r="AE1118" t="str">
            <v>V1 - Existing / No Claim</v>
          </cell>
          <cell r="AF1118">
            <v>42790</v>
          </cell>
          <cell r="AG1118">
            <v>9.17</v>
          </cell>
          <cell r="AH1118" t="str">
            <v>PPM</v>
          </cell>
          <cell r="AI1118" t="str">
            <v>Strands</v>
          </cell>
          <cell r="AJ1118" t="str">
            <v>Strands PW</v>
          </cell>
        </row>
        <row r="1119">
          <cell r="A1119" t="str">
            <v>IKN400710</v>
          </cell>
          <cell r="B1119">
            <v>710</v>
          </cell>
          <cell r="C1119" t="str">
            <v>Institut Kanser Negara</v>
          </cell>
          <cell r="D1119" t="str">
            <v>KKM/IKN/H/13/1853</v>
          </cell>
          <cell r="E1119" t="str">
            <v>18-267</v>
          </cell>
          <cell r="F1119" t="str">
            <v>Centrifuges, Tabletop, Low-Speed, Nonrefrigerated, Blood Bank</v>
          </cell>
          <cell r="G1119" t="str">
            <v>LA</v>
          </cell>
          <cell r="H1119" t="str">
            <v>PATHOLOGY</v>
          </cell>
          <cell r="I1119" t="str">
            <v>04LA140</v>
          </cell>
          <cell r="J1119" t="str">
            <v>BLOOD BANK</v>
          </cell>
          <cell r="K1119" t="str">
            <v>BMED</v>
          </cell>
          <cell r="L1119" t="str">
            <v>Normal</v>
          </cell>
          <cell r="M1119" t="str">
            <v>Switzerland</v>
          </cell>
          <cell r="N1119" t="str">
            <v>Diacent</v>
          </cell>
          <cell r="O1119" t="str">
            <v>Diacent-12</v>
          </cell>
          <cell r="P1119" t="str">
            <v>2001197</v>
          </cell>
          <cell r="Q1119" t="str">
            <v>Not Applicable</v>
          </cell>
          <cell r="R1119" t="str">
            <v>Diamed AG</v>
          </cell>
          <cell r="S1119" t="str">
            <v>Biomarketing Services (M) Sdn Bhd</v>
          </cell>
          <cell r="T1119" t="str">
            <v>Functioning</v>
          </cell>
          <cell r="U1119" t="str">
            <v>Asset</v>
          </cell>
          <cell r="V1119">
            <v>5170</v>
          </cell>
          <cell r="W1119" t="str">
            <v>Estimate</v>
          </cell>
          <cell r="X1119" t="str">
            <v>01/09/2010</v>
          </cell>
          <cell r="Y1119" t="str">
            <v>KEW</v>
          </cell>
          <cell r="Z1119" t="str">
            <v>16/08/2013</v>
          </cell>
          <cell r="AA1119" t="str">
            <v>15/08/2015</v>
          </cell>
          <cell r="AB1119" t="str">
            <v>No</v>
          </cell>
          <cell r="AC1119" t="str">
            <v>31/08/2013</v>
          </cell>
          <cell r="AD1119" t="str">
            <v>Good</v>
          </cell>
          <cell r="AE1119" t="str">
            <v>V1 - Existing / No Claim</v>
          </cell>
          <cell r="AF1119">
            <v>42790</v>
          </cell>
          <cell r="AG1119">
            <v>9.17</v>
          </cell>
          <cell r="AH1119" t="str">
            <v>PPM</v>
          </cell>
          <cell r="AI1119" t="str">
            <v>Strands</v>
          </cell>
          <cell r="AJ1119" t="str">
            <v>Strands PW</v>
          </cell>
        </row>
        <row r="1120">
          <cell r="A1120" t="str">
            <v>IKN400711</v>
          </cell>
          <cell r="B1120">
            <v>711</v>
          </cell>
          <cell r="C1120" t="str">
            <v>Institut Kanser Negara</v>
          </cell>
          <cell r="D1120" t="str">
            <v>KKM/IKN/H/13/1850</v>
          </cell>
          <cell r="E1120" t="str">
            <v>18-267</v>
          </cell>
          <cell r="F1120" t="str">
            <v>Centrifuges, Tabletop, Low-Speed, Nonrefrigerated, Blood Bank</v>
          </cell>
          <cell r="G1120" t="str">
            <v>LA</v>
          </cell>
          <cell r="H1120" t="str">
            <v>PATHOLOGY</v>
          </cell>
          <cell r="I1120" t="str">
            <v>04LA140</v>
          </cell>
          <cell r="J1120" t="str">
            <v>BLOOD BANK</v>
          </cell>
          <cell r="K1120" t="str">
            <v>BMED</v>
          </cell>
          <cell r="L1120" t="str">
            <v>Normal</v>
          </cell>
          <cell r="M1120" t="str">
            <v>Switzerland</v>
          </cell>
          <cell r="N1120" t="str">
            <v>Diacent</v>
          </cell>
          <cell r="O1120" t="str">
            <v>Diacent-12</v>
          </cell>
          <cell r="P1120" t="str">
            <v>2001246</v>
          </cell>
          <cell r="Q1120" t="str">
            <v>Not Applicable</v>
          </cell>
          <cell r="R1120" t="str">
            <v>Diamed AG</v>
          </cell>
          <cell r="S1120" t="str">
            <v>Biomarketing Services (M) Sdn Bhd</v>
          </cell>
          <cell r="T1120" t="str">
            <v>Functioning</v>
          </cell>
          <cell r="U1120" t="str">
            <v>Asset</v>
          </cell>
          <cell r="V1120">
            <v>5170</v>
          </cell>
          <cell r="W1120" t="str">
            <v>Estimate</v>
          </cell>
          <cell r="X1120" t="str">
            <v>01/09/2010</v>
          </cell>
          <cell r="Y1120" t="str">
            <v>KEW</v>
          </cell>
          <cell r="Z1120" t="str">
            <v>16/08/2013</v>
          </cell>
          <cell r="AA1120" t="str">
            <v>15/08/2015</v>
          </cell>
          <cell r="AB1120" t="str">
            <v>No</v>
          </cell>
          <cell r="AC1120" t="str">
            <v>31/08/2013</v>
          </cell>
          <cell r="AD1120" t="str">
            <v>Good</v>
          </cell>
          <cell r="AE1120" t="str">
            <v>V1 - Existing / No Claim</v>
          </cell>
          <cell r="AF1120">
            <v>42790</v>
          </cell>
          <cell r="AG1120">
            <v>9.17</v>
          </cell>
          <cell r="AH1120" t="str">
            <v>PPM</v>
          </cell>
          <cell r="AI1120" t="str">
            <v>Strands</v>
          </cell>
          <cell r="AJ1120" t="str">
            <v>Strands PW</v>
          </cell>
        </row>
        <row r="1121">
          <cell r="A1121" t="str">
            <v>IKN400712</v>
          </cell>
          <cell r="B1121">
            <v>712</v>
          </cell>
          <cell r="C1121" t="str">
            <v>Institut Kanser Negara</v>
          </cell>
          <cell r="D1121" t="str">
            <v>KKM/IKN/H/13/1852</v>
          </cell>
          <cell r="E1121" t="str">
            <v>18-267</v>
          </cell>
          <cell r="F1121" t="str">
            <v>Centrifuges, Tabletop, Low-Speed, Nonrefrigerated, Blood Bank</v>
          </cell>
          <cell r="G1121" t="str">
            <v>LA</v>
          </cell>
          <cell r="H1121" t="str">
            <v>PATHOLOGY</v>
          </cell>
          <cell r="I1121" t="str">
            <v>04LA140</v>
          </cell>
          <cell r="J1121" t="str">
            <v>BLOOD BANK</v>
          </cell>
          <cell r="K1121" t="str">
            <v>BMED</v>
          </cell>
          <cell r="L1121" t="str">
            <v>Normal</v>
          </cell>
          <cell r="M1121" t="str">
            <v>Switzerland</v>
          </cell>
          <cell r="N1121" t="str">
            <v>Diacent</v>
          </cell>
          <cell r="O1121" t="str">
            <v>Diacent-12</v>
          </cell>
          <cell r="P1121" t="str">
            <v>2001196</v>
          </cell>
          <cell r="Q1121" t="str">
            <v>Not Applicable</v>
          </cell>
          <cell r="R1121" t="str">
            <v>Diamed AG</v>
          </cell>
          <cell r="S1121" t="str">
            <v>Biomarketing Services (M) Sdn Bhd</v>
          </cell>
          <cell r="T1121" t="str">
            <v>Functioning</v>
          </cell>
          <cell r="U1121" t="str">
            <v>Asset</v>
          </cell>
          <cell r="V1121">
            <v>5170</v>
          </cell>
          <cell r="W1121" t="str">
            <v>Estimate</v>
          </cell>
          <cell r="X1121" t="str">
            <v>01/09/2010</v>
          </cell>
          <cell r="Y1121" t="str">
            <v>KEW</v>
          </cell>
          <cell r="Z1121" t="str">
            <v>16/08/2013</v>
          </cell>
          <cell r="AA1121" t="str">
            <v>15/08/2015</v>
          </cell>
          <cell r="AB1121" t="str">
            <v>No</v>
          </cell>
          <cell r="AC1121" t="str">
            <v>31/08/2013</v>
          </cell>
          <cell r="AD1121" t="str">
            <v>Good</v>
          </cell>
          <cell r="AE1121" t="str">
            <v>V1 - Existing / No Claim</v>
          </cell>
          <cell r="AF1121">
            <v>42790</v>
          </cell>
          <cell r="AG1121">
            <v>9.17</v>
          </cell>
          <cell r="AH1121" t="str">
            <v>PPM</v>
          </cell>
          <cell r="AI1121" t="str">
            <v>Strands</v>
          </cell>
          <cell r="AJ1121" t="str">
            <v>Strands PW</v>
          </cell>
        </row>
        <row r="1122">
          <cell r="A1122" t="str">
            <v>IKN400713</v>
          </cell>
          <cell r="B1122">
            <v>713</v>
          </cell>
          <cell r="C1122" t="str">
            <v>Institut Kanser Negara</v>
          </cell>
          <cell r="D1122" t="str">
            <v>KKM/IKN/H/13/2145</v>
          </cell>
          <cell r="E1122" t="str">
            <v>10-780</v>
          </cell>
          <cell r="F1122" t="str">
            <v>Centrifuges, Tabletop</v>
          </cell>
          <cell r="G1122" t="str">
            <v>LA</v>
          </cell>
          <cell r="H1122" t="str">
            <v>PATHOLOGY</v>
          </cell>
          <cell r="I1122" t="str">
            <v>04LA140</v>
          </cell>
          <cell r="J1122" t="str">
            <v>BLOOD BANK</v>
          </cell>
          <cell r="K1122" t="str">
            <v>BMED</v>
          </cell>
          <cell r="L1122" t="str">
            <v>Normal</v>
          </cell>
          <cell r="M1122" t="str">
            <v>Switzerland</v>
          </cell>
          <cell r="N1122" t="str">
            <v>DiaMed-ID</v>
          </cell>
          <cell r="O1122" t="str">
            <v>ID-Centrifuge 12 SII</v>
          </cell>
          <cell r="P1122" t="str">
            <v>1003644</v>
          </cell>
          <cell r="Q1122" t="str">
            <v>Not Applicable</v>
          </cell>
          <cell r="R1122" t="str">
            <v>Diamed AG</v>
          </cell>
          <cell r="S1122" t="str">
            <v>Biomarketing Services (M) Sdn Bhd</v>
          </cell>
          <cell r="T1122" t="str">
            <v>Functioning</v>
          </cell>
          <cell r="U1122" t="str">
            <v>Asset</v>
          </cell>
          <cell r="V1122">
            <v>14435</v>
          </cell>
          <cell r="W1122" t="str">
            <v>Estimate</v>
          </cell>
          <cell r="X1122" t="str">
            <v>01/09/2010</v>
          </cell>
          <cell r="Y1122" t="str">
            <v>KEW</v>
          </cell>
          <cell r="Z1122" t="str">
            <v>16/08/2013</v>
          </cell>
          <cell r="AA1122" t="str">
            <v>15/08/2015</v>
          </cell>
          <cell r="AB1122" t="str">
            <v>No</v>
          </cell>
          <cell r="AC1122" t="str">
            <v>31/08/2013</v>
          </cell>
          <cell r="AD1122" t="str">
            <v>Good</v>
          </cell>
          <cell r="AE1122" t="str">
            <v>V1 - Existing / No Claim</v>
          </cell>
          <cell r="AF1122">
            <v>43592</v>
          </cell>
          <cell r="AG1122">
            <v>9.17</v>
          </cell>
          <cell r="AH1122" t="str">
            <v>PPM</v>
          </cell>
          <cell r="AI1122" t="str">
            <v>Strands</v>
          </cell>
          <cell r="AJ1122" t="str">
            <v>Strands PW</v>
          </cell>
          <cell r="AK1122" t="str">
            <v>KEWPA WITH IKN400714. [2/4/2024]: TUKAR ASSET DESCRIPTION (Centrifuges, Tabletop, Low-Speed, Nonrefrigerated, Blood Bank), TYPE CODE.</v>
          </cell>
        </row>
        <row r="1123">
          <cell r="A1123" t="str">
            <v>IKN400714</v>
          </cell>
          <cell r="B1123">
            <v>714</v>
          </cell>
          <cell r="C1123" t="str">
            <v>Institut Kanser Negara</v>
          </cell>
          <cell r="D1123" t="str">
            <v>KKM/IKN/H/13/2145</v>
          </cell>
          <cell r="E1123" t="str">
            <v>15-272</v>
          </cell>
          <cell r="F1123" t="str">
            <v>Incubators, Test Tube, Portable</v>
          </cell>
          <cell r="G1123" t="str">
            <v>LA</v>
          </cell>
          <cell r="H1123" t="str">
            <v>PATHOLOGY</v>
          </cell>
          <cell r="I1123" t="str">
            <v>04LA140</v>
          </cell>
          <cell r="J1123" t="str">
            <v>BLOOD BANK</v>
          </cell>
          <cell r="K1123" t="str">
            <v>BMED</v>
          </cell>
          <cell r="L1123" t="str">
            <v>Normal</v>
          </cell>
          <cell r="M1123" t="str">
            <v>Germany</v>
          </cell>
          <cell r="N1123" t="str">
            <v>Diamed</v>
          </cell>
          <cell r="O1123" t="str">
            <v>Diamed ID-Incubator 37 SI</v>
          </cell>
          <cell r="P1123" t="str">
            <v>2001776</v>
          </cell>
          <cell r="Q1123" t="str">
            <v>Not Applicable</v>
          </cell>
          <cell r="R1123" t="str">
            <v>Diamed AG</v>
          </cell>
          <cell r="S1123" t="str">
            <v>Biomarketing Services (M) Sdn Bhd</v>
          </cell>
          <cell r="T1123" t="str">
            <v>Functioning</v>
          </cell>
          <cell r="U1123" t="str">
            <v>Asset</v>
          </cell>
          <cell r="V1123">
            <v>14435</v>
          </cell>
          <cell r="W1123" t="str">
            <v>Estimate</v>
          </cell>
          <cell r="X1123" t="str">
            <v>01/09/2010</v>
          </cell>
          <cell r="Y1123" t="str">
            <v>KEW</v>
          </cell>
          <cell r="Z1123" t="str">
            <v>16/08/2013</v>
          </cell>
          <cell r="AA1123" t="str">
            <v>15/08/2015</v>
          </cell>
          <cell r="AB1123" t="str">
            <v>No</v>
          </cell>
          <cell r="AC1123" t="str">
            <v>31/08/2013</v>
          </cell>
          <cell r="AD1123" t="str">
            <v>Good</v>
          </cell>
          <cell r="AE1123" t="str">
            <v>V1 - Existing / No Claim</v>
          </cell>
          <cell r="AF1123">
            <v>42857</v>
          </cell>
          <cell r="AG1123">
            <v>9.17</v>
          </cell>
          <cell r="AH1123" t="str">
            <v>PPM</v>
          </cell>
          <cell r="AI1123" t="str">
            <v>Strands-accessories</v>
          </cell>
          <cell r="AJ1123" t="str">
            <v>Strands PW</v>
          </cell>
          <cell r="AK1123" t="str">
            <v>KEWPA WITH IKN400713</v>
          </cell>
        </row>
        <row r="1124">
          <cell r="A1124" t="str">
            <v>IKN400715</v>
          </cell>
          <cell r="B1124">
            <v>715</v>
          </cell>
          <cell r="C1124" t="str">
            <v>Institut Kanser Negara</v>
          </cell>
          <cell r="D1124" t="str">
            <v>KKM/IKN/H/13/1851</v>
          </cell>
          <cell r="E1124" t="str">
            <v>18-267</v>
          </cell>
          <cell r="F1124" t="str">
            <v>Centrifuges, Tabletop, Low-Speed, Nonrefrigerated, Blood Bank</v>
          </cell>
          <cell r="G1124" t="str">
            <v>LA</v>
          </cell>
          <cell r="H1124" t="str">
            <v>PATHOLOGY</v>
          </cell>
          <cell r="I1124" t="str">
            <v>04LA140</v>
          </cell>
          <cell r="J1124" t="str">
            <v>BLOOD BANK</v>
          </cell>
          <cell r="K1124" t="str">
            <v>BMED</v>
          </cell>
          <cell r="L1124" t="str">
            <v>Normal</v>
          </cell>
          <cell r="M1124" t="str">
            <v>Switzerland</v>
          </cell>
          <cell r="N1124" t="str">
            <v>Diacent</v>
          </cell>
          <cell r="O1124" t="str">
            <v>Diacent-12</v>
          </cell>
          <cell r="P1124" t="str">
            <v>2001245</v>
          </cell>
          <cell r="Q1124" t="str">
            <v>Not Applicable</v>
          </cell>
          <cell r="R1124" t="str">
            <v>Diamed AG</v>
          </cell>
          <cell r="S1124" t="str">
            <v>Biomarketing Services (M) Sdn Bhd</v>
          </cell>
          <cell r="T1124" t="str">
            <v>Functioning</v>
          </cell>
          <cell r="U1124" t="str">
            <v>Asset</v>
          </cell>
          <cell r="V1124">
            <v>5170</v>
          </cell>
          <cell r="W1124" t="str">
            <v>Estimate</v>
          </cell>
          <cell r="X1124" t="str">
            <v>01/09/2010</v>
          </cell>
          <cell r="Y1124" t="str">
            <v>KEW</v>
          </cell>
          <cell r="Z1124" t="str">
            <v>16/08/2013</v>
          </cell>
          <cell r="AA1124" t="str">
            <v>15/08/2015</v>
          </cell>
          <cell r="AB1124" t="str">
            <v>No</v>
          </cell>
          <cell r="AC1124" t="str">
            <v>31/08/2013</v>
          </cell>
          <cell r="AD1124" t="str">
            <v>Good</v>
          </cell>
          <cell r="AE1124" t="str">
            <v>V1 - Existing / No Claim</v>
          </cell>
          <cell r="AF1124">
            <v>42790</v>
          </cell>
          <cell r="AG1124">
            <v>9.17</v>
          </cell>
          <cell r="AH1124" t="str">
            <v>PPM</v>
          </cell>
          <cell r="AI1124" t="str">
            <v>Strands</v>
          </cell>
          <cell r="AJ1124" t="str">
            <v>Strands PW</v>
          </cell>
        </row>
        <row r="1125">
          <cell r="A1125" t="str">
            <v>IKN400716</v>
          </cell>
          <cell r="B1125">
            <v>716</v>
          </cell>
          <cell r="C1125" t="str">
            <v>Institut Kanser Negara</v>
          </cell>
          <cell r="D1125" t="str">
            <v>KKM/IKN/H/13/2146</v>
          </cell>
          <cell r="E1125" t="str">
            <v>10-780</v>
          </cell>
          <cell r="F1125" t="str">
            <v>Centrifuges, Tabletop</v>
          </cell>
          <cell r="G1125" t="str">
            <v>LA</v>
          </cell>
          <cell r="H1125" t="str">
            <v>PATHOLOGY</v>
          </cell>
          <cell r="I1125" t="str">
            <v>04LA140</v>
          </cell>
          <cell r="J1125" t="str">
            <v>BLOOD BANK</v>
          </cell>
          <cell r="K1125" t="str">
            <v>BMED</v>
          </cell>
          <cell r="L1125" t="str">
            <v>Normal</v>
          </cell>
          <cell r="M1125" t="str">
            <v>Switzerland</v>
          </cell>
          <cell r="N1125" t="str">
            <v>DiaMed-ID</v>
          </cell>
          <cell r="O1125" t="str">
            <v>ID-Centrifuge 12 SII</v>
          </cell>
          <cell r="P1125" t="str">
            <v>1003645</v>
          </cell>
          <cell r="Q1125" t="str">
            <v>Not Applicable</v>
          </cell>
          <cell r="R1125" t="str">
            <v>Diamed AG</v>
          </cell>
          <cell r="S1125" t="str">
            <v>Biomarketing Services (M) Sdn Bhd</v>
          </cell>
          <cell r="T1125" t="str">
            <v>Functioning</v>
          </cell>
          <cell r="U1125" t="str">
            <v>Asset</v>
          </cell>
          <cell r="V1125">
            <v>14435</v>
          </cell>
          <cell r="W1125" t="str">
            <v>Estimate</v>
          </cell>
          <cell r="X1125" t="str">
            <v>01/09/2010</v>
          </cell>
          <cell r="Y1125" t="str">
            <v>KEW</v>
          </cell>
          <cell r="Z1125" t="str">
            <v>16/08/2013</v>
          </cell>
          <cell r="AA1125" t="str">
            <v>15/08/2015</v>
          </cell>
          <cell r="AB1125" t="str">
            <v>No</v>
          </cell>
          <cell r="AC1125" t="str">
            <v>31/08/2013</v>
          </cell>
          <cell r="AD1125" t="str">
            <v>Good</v>
          </cell>
          <cell r="AE1125" t="str">
            <v>V1 - Existing / No Claim</v>
          </cell>
          <cell r="AF1125">
            <v>42790</v>
          </cell>
          <cell r="AG1125">
            <v>9.17</v>
          </cell>
          <cell r="AH1125" t="str">
            <v>PPM</v>
          </cell>
          <cell r="AI1125" t="str">
            <v>Strands</v>
          </cell>
          <cell r="AJ1125" t="str">
            <v>Strands PW</v>
          </cell>
          <cell r="AK1125" t="str">
            <v>KEWPA WITH IKN400717. TUKAR ASSET DESCRIPTION (Centrifuges, Tabletop, Low-Speed, Nonrefrigerated, Blood Bank), TYPE CODE.</v>
          </cell>
        </row>
        <row r="1126">
          <cell r="A1126" t="str">
            <v>IKN400717</v>
          </cell>
          <cell r="B1126">
            <v>717</v>
          </cell>
          <cell r="C1126" t="str">
            <v>Institut Kanser Negara</v>
          </cell>
          <cell r="D1126" t="str">
            <v>KKM/IKN/H/13/2146</v>
          </cell>
          <cell r="E1126" t="str">
            <v>15-272</v>
          </cell>
          <cell r="F1126" t="str">
            <v>Incubators, Test Tube, Portable</v>
          </cell>
          <cell r="G1126" t="str">
            <v>LA</v>
          </cell>
          <cell r="H1126" t="str">
            <v>PATHOLOGY</v>
          </cell>
          <cell r="I1126" t="str">
            <v>04LA140</v>
          </cell>
          <cell r="J1126" t="str">
            <v>BLOOD BANK</v>
          </cell>
          <cell r="K1126" t="str">
            <v>BMED</v>
          </cell>
          <cell r="L1126" t="str">
            <v>Normal</v>
          </cell>
          <cell r="M1126" t="str">
            <v>Germany</v>
          </cell>
          <cell r="N1126" t="str">
            <v>Diamed</v>
          </cell>
          <cell r="O1126" t="str">
            <v>Diamed ID-Incubator 37 SI</v>
          </cell>
          <cell r="P1126" t="str">
            <v>2001840</v>
          </cell>
          <cell r="Q1126" t="str">
            <v>Not Applicable</v>
          </cell>
          <cell r="R1126" t="str">
            <v>Diamed AG</v>
          </cell>
          <cell r="S1126" t="str">
            <v>Biomarketing Services (M) Sdn Bhd</v>
          </cell>
          <cell r="T1126" t="str">
            <v>Functioning</v>
          </cell>
          <cell r="U1126" t="str">
            <v>Asset</v>
          </cell>
          <cell r="V1126">
            <v>14435</v>
          </cell>
          <cell r="W1126" t="str">
            <v>Estimate</v>
          </cell>
          <cell r="X1126" t="str">
            <v>01/09/2010</v>
          </cell>
          <cell r="Y1126" t="str">
            <v>KEW</v>
          </cell>
          <cell r="Z1126" t="str">
            <v>16/08/2013</v>
          </cell>
          <cell r="AA1126" t="str">
            <v>15/08/2015</v>
          </cell>
          <cell r="AB1126" t="str">
            <v>No</v>
          </cell>
          <cell r="AC1126" t="str">
            <v>31/08/2013</v>
          </cell>
          <cell r="AD1126" t="str">
            <v>Good</v>
          </cell>
          <cell r="AE1126" t="str">
            <v>V1 - Existing / No Claim</v>
          </cell>
          <cell r="AF1126">
            <v>42857</v>
          </cell>
          <cell r="AG1126">
            <v>9.17</v>
          </cell>
          <cell r="AH1126" t="str">
            <v>PPM</v>
          </cell>
          <cell r="AI1126" t="str">
            <v>Strands-accessories</v>
          </cell>
          <cell r="AJ1126" t="str">
            <v>Strands PW</v>
          </cell>
          <cell r="AK1126" t="str">
            <v>KEWPA WITH IKN400716</v>
          </cell>
        </row>
        <row r="1127">
          <cell r="A1127" t="str">
            <v>IKN400718</v>
          </cell>
          <cell r="B1127">
            <v>718</v>
          </cell>
          <cell r="C1127" t="str">
            <v>Institut Kanser Negara</v>
          </cell>
          <cell r="D1127" t="str">
            <v>KKM/IKN/H/13/1800</v>
          </cell>
          <cell r="E1127" t="str">
            <v>16-861</v>
          </cell>
          <cell r="F1127" t="str">
            <v>Baths, Water, Laboratory</v>
          </cell>
          <cell r="G1127" t="str">
            <v>LA</v>
          </cell>
          <cell r="H1127" t="str">
            <v>PATHOLOGY</v>
          </cell>
          <cell r="I1127" t="str">
            <v>04LA140</v>
          </cell>
          <cell r="J1127" t="str">
            <v>BLOOD BANK</v>
          </cell>
          <cell r="K1127" t="str">
            <v>BMED</v>
          </cell>
          <cell r="L1127" t="str">
            <v>Normal</v>
          </cell>
          <cell r="M1127" t="str">
            <v>Germany</v>
          </cell>
          <cell r="N1127" t="str">
            <v>Memmert</v>
          </cell>
          <cell r="O1127" t="str">
            <v>Memmert WNB14</v>
          </cell>
          <cell r="P1127" t="str">
            <v>L412.0327</v>
          </cell>
          <cell r="Q1127" t="str">
            <v>Not Applicable</v>
          </cell>
          <cell r="R1127" t="str">
            <v>Memmert GmbH</v>
          </cell>
          <cell r="S1127" t="str">
            <v>Saujana Saintifik Sdn Bhd</v>
          </cell>
          <cell r="T1127" t="str">
            <v>Functioning</v>
          </cell>
          <cell r="U1127" t="str">
            <v>Asset</v>
          </cell>
          <cell r="V1127">
            <v>4210</v>
          </cell>
          <cell r="W1127" t="str">
            <v>KEW</v>
          </cell>
          <cell r="X1127" t="str">
            <v>01/09/2010</v>
          </cell>
          <cell r="Y1127" t="str">
            <v>KEW</v>
          </cell>
          <cell r="Z1127" t="str">
            <v>16/08/2013</v>
          </cell>
          <cell r="AA1127" t="str">
            <v>15/08/2015</v>
          </cell>
          <cell r="AB1127" t="str">
            <v>No</v>
          </cell>
          <cell r="AC1127" t="str">
            <v>31/08/2013</v>
          </cell>
          <cell r="AD1127" t="str">
            <v>Good</v>
          </cell>
          <cell r="AE1127" t="str">
            <v>V1 - Existing / No Claim</v>
          </cell>
          <cell r="AF1127">
            <v>42790</v>
          </cell>
          <cell r="AG1127">
            <v>9.17</v>
          </cell>
          <cell r="AH1127" t="str">
            <v>PPM</v>
          </cell>
          <cell r="AI1127" t="str">
            <v>Strands</v>
          </cell>
          <cell r="AJ1127" t="str">
            <v>Strands PW</v>
          </cell>
        </row>
        <row r="1128">
          <cell r="A1128" t="str">
            <v>IKN400719</v>
          </cell>
          <cell r="B1128">
            <v>719</v>
          </cell>
          <cell r="C1128" t="str">
            <v>Institut Kanser Negara</v>
          </cell>
          <cell r="D1128" t="str">
            <v>KKM/IKN/H/13/2133</v>
          </cell>
          <cell r="E1128" t="str">
            <v>16-795</v>
          </cell>
          <cell r="F1128" t="str">
            <v>Bath, Water, Plasma-Thawing</v>
          </cell>
          <cell r="G1128" t="str">
            <v>LA</v>
          </cell>
          <cell r="H1128" t="str">
            <v>PATHOLOGY</v>
          </cell>
          <cell r="I1128" t="str">
            <v>04LA140</v>
          </cell>
          <cell r="J1128" t="str">
            <v>BLOOD BANK</v>
          </cell>
          <cell r="K1128" t="str">
            <v>BMED</v>
          </cell>
          <cell r="L1128" t="str">
            <v>Normal</v>
          </cell>
          <cell r="M1128" t="str">
            <v>USA</v>
          </cell>
          <cell r="N1128" t="str">
            <v>QuickThaw</v>
          </cell>
          <cell r="O1128" t="str">
            <v>QuickThaw DH4</v>
          </cell>
          <cell r="P1128" t="str">
            <v>1008349</v>
          </cell>
          <cell r="Q1128" t="str">
            <v>Not Applicable</v>
          </cell>
          <cell r="R1128" t="str">
            <v>Helmer Labs Inc</v>
          </cell>
          <cell r="S1128" t="str">
            <v>Biomarketing Services (M) Sdn Bhd</v>
          </cell>
          <cell r="T1128" t="str">
            <v>Functioning</v>
          </cell>
          <cell r="U1128" t="str">
            <v>Asset</v>
          </cell>
          <cell r="V1128">
            <v>26460</v>
          </cell>
          <cell r="W1128" t="str">
            <v>KEW</v>
          </cell>
          <cell r="X1128" t="str">
            <v>01/09/2010</v>
          </cell>
          <cell r="Y1128" t="str">
            <v>KEW</v>
          </cell>
          <cell r="Z1128" t="str">
            <v>16/08/2013</v>
          </cell>
          <cell r="AA1128" t="str">
            <v>15/08/2015</v>
          </cell>
          <cell r="AB1128" t="str">
            <v>No</v>
          </cell>
          <cell r="AC1128" t="str">
            <v>31/08/2013</v>
          </cell>
          <cell r="AD1128" t="str">
            <v>Good</v>
          </cell>
          <cell r="AE1128" t="str">
            <v>V1 - Existing / No Claim</v>
          </cell>
          <cell r="AF1128">
            <v>42790</v>
          </cell>
          <cell r="AG1128">
            <v>9.17</v>
          </cell>
          <cell r="AH1128" t="str">
            <v>PPM</v>
          </cell>
          <cell r="AI1128" t="str">
            <v>Strands</v>
          </cell>
          <cell r="AJ1128" t="str">
            <v>Strands PW</v>
          </cell>
        </row>
        <row r="1129">
          <cell r="A1129" t="str">
            <v>IKN400720</v>
          </cell>
          <cell r="B1129">
            <v>720</v>
          </cell>
          <cell r="C1129" t="str">
            <v>Institut Kanser Negara</v>
          </cell>
          <cell r="D1129" t="str">
            <v>KKM/IKN/H/13/4725</v>
          </cell>
          <cell r="E1129" t="str">
            <v>16-795</v>
          </cell>
          <cell r="F1129" t="str">
            <v>Bath, Water, Plasma-Thawing</v>
          </cell>
          <cell r="G1129" t="str">
            <v>LA</v>
          </cell>
          <cell r="H1129" t="str">
            <v>PATHOLOGY</v>
          </cell>
          <cell r="I1129" t="str">
            <v>04LA140</v>
          </cell>
          <cell r="J1129" t="str">
            <v>BLOOD BANK</v>
          </cell>
          <cell r="K1129" t="str">
            <v>BMED</v>
          </cell>
          <cell r="L1129" t="str">
            <v>Normal</v>
          </cell>
          <cell r="M1129" t="str">
            <v>USA</v>
          </cell>
          <cell r="N1129" t="str">
            <v>QuickThaw</v>
          </cell>
          <cell r="O1129" t="str">
            <v>QuickThaw DH4</v>
          </cell>
          <cell r="P1129" t="str">
            <v>1009481</v>
          </cell>
          <cell r="Q1129" t="str">
            <v>Not Applicable</v>
          </cell>
          <cell r="R1129" t="str">
            <v>Helmer Labs Inc</v>
          </cell>
          <cell r="S1129" t="str">
            <v>Biomarketing Services (M) Sdn Bhd</v>
          </cell>
          <cell r="T1129" t="str">
            <v>Functioning</v>
          </cell>
          <cell r="U1129" t="str">
            <v>Asset</v>
          </cell>
          <cell r="V1129">
            <v>26240</v>
          </cell>
          <cell r="W1129" t="str">
            <v>KEW</v>
          </cell>
          <cell r="X1129" t="str">
            <v>01/09/2010</v>
          </cell>
          <cell r="Y1129" t="str">
            <v>KEW</v>
          </cell>
          <cell r="Z1129" t="str">
            <v>16/08/2013</v>
          </cell>
          <cell r="AA1129" t="str">
            <v>15/08/2015</v>
          </cell>
          <cell r="AB1129" t="str">
            <v>No</v>
          </cell>
          <cell r="AC1129" t="str">
            <v>31/08/2013</v>
          </cell>
          <cell r="AD1129" t="str">
            <v>Good</v>
          </cell>
          <cell r="AE1129" t="str">
            <v>V1 - Existing / No Claim</v>
          </cell>
          <cell r="AF1129">
            <v>42790</v>
          </cell>
          <cell r="AG1129">
            <v>9.17</v>
          </cell>
          <cell r="AH1129" t="str">
            <v>PPM</v>
          </cell>
          <cell r="AI1129" t="str">
            <v>Strands</v>
          </cell>
          <cell r="AJ1129" t="str">
            <v>Strands PW</v>
          </cell>
        </row>
        <row r="1130">
          <cell r="A1130" t="str">
            <v>IKN400721</v>
          </cell>
          <cell r="B1130">
            <v>721</v>
          </cell>
          <cell r="C1130" t="str">
            <v>Institut Kanser Negara</v>
          </cell>
          <cell r="D1130" t="str">
            <v>KKM/IKN/H/13/2124</v>
          </cell>
          <cell r="E1130" t="str">
            <v>15-104</v>
          </cell>
          <cell r="F1130" t="str">
            <v>Analyzers, Laboratory, Hematology, Platelet Aggregation</v>
          </cell>
          <cell r="G1130" t="str">
            <v>LA</v>
          </cell>
          <cell r="H1130" t="str">
            <v>PATHOLOGY</v>
          </cell>
          <cell r="I1130" t="str">
            <v>04LA140</v>
          </cell>
          <cell r="J1130" t="str">
            <v>BLOOD BANK</v>
          </cell>
          <cell r="K1130" t="str">
            <v>BMED</v>
          </cell>
          <cell r="L1130" t="str">
            <v>Normal</v>
          </cell>
          <cell r="M1130" t="str">
            <v>USA</v>
          </cell>
          <cell r="N1130" t="str">
            <v>Helmer</v>
          </cell>
          <cell r="O1130" t="str">
            <v>Pf48i</v>
          </cell>
          <cell r="P1130" t="str">
            <v>1008381</v>
          </cell>
          <cell r="Q1130" t="str">
            <v>Not Applicable</v>
          </cell>
          <cell r="R1130" t="str">
            <v>Helmer</v>
          </cell>
          <cell r="S1130" t="str">
            <v>Biomarketing Services (M) Sdn Bhd</v>
          </cell>
          <cell r="T1130" t="str">
            <v>Functioning</v>
          </cell>
          <cell r="U1130" t="str">
            <v>Asset</v>
          </cell>
          <cell r="V1130">
            <v>42100</v>
          </cell>
          <cell r="W1130" t="str">
            <v>KEW</v>
          </cell>
          <cell r="X1130" t="str">
            <v>01/09/2010</v>
          </cell>
          <cell r="Y1130" t="str">
            <v>KEW</v>
          </cell>
          <cell r="Z1130" t="str">
            <v>16/08/2013</v>
          </cell>
          <cell r="AA1130" t="str">
            <v>15/08/2015</v>
          </cell>
          <cell r="AB1130" t="str">
            <v>No</v>
          </cell>
          <cell r="AC1130" t="str">
            <v>31/08/2013</v>
          </cell>
          <cell r="AD1130" t="str">
            <v>Good</v>
          </cell>
          <cell r="AE1130" t="str">
            <v>V1 - Existing / No Claim</v>
          </cell>
          <cell r="AF1130">
            <v>42790</v>
          </cell>
          <cell r="AG1130">
            <v>9.17</v>
          </cell>
          <cell r="AH1130" t="str">
            <v>PPM</v>
          </cell>
          <cell r="AI1130" t="str">
            <v>Strands</v>
          </cell>
          <cell r="AJ1130" t="str">
            <v>Strands PW</v>
          </cell>
          <cell r="AK1130" t="str">
            <v>KEWPA WIYH IKN400722</v>
          </cell>
        </row>
        <row r="1131">
          <cell r="A1131" t="str">
            <v>IKN400722</v>
          </cell>
          <cell r="B1131">
            <v>722</v>
          </cell>
          <cell r="C1131" t="str">
            <v>Institut Kanser Negara</v>
          </cell>
          <cell r="D1131" t="str">
            <v>KKM/IKN/H/13/2124</v>
          </cell>
          <cell r="E1131" t="str">
            <v>15-104</v>
          </cell>
          <cell r="F1131" t="str">
            <v>Analyzers, Laboratory, Hematology, Platelet Aggregation</v>
          </cell>
          <cell r="G1131" t="str">
            <v>LA</v>
          </cell>
          <cell r="H1131" t="str">
            <v>PATHOLOGY</v>
          </cell>
          <cell r="I1131" t="str">
            <v>04LA141</v>
          </cell>
          <cell r="J1131" t="str">
            <v>REPORTING (8PAX)</v>
          </cell>
          <cell r="K1131" t="str">
            <v>BMED</v>
          </cell>
          <cell r="L1131" t="str">
            <v>Normal</v>
          </cell>
          <cell r="M1131" t="str">
            <v>USA</v>
          </cell>
          <cell r="N1131" t="str">
            <v>Helmer</v>
          </cell>
          <cell r="O1131" t="str">
            <v>Pc900i</v>
          </cell>
          <cell r="P1131" t="str">
            <v>1008449</v>
          </cell>
          <cell r="Q1131" t="str">
            <v>Not Applicable</v>
          </cell>
          <cell r="R1131" t="str">
            <v>Helmer</v>
          </cell>
          <cell r="S1131" t="str">
            <v>Biomarketing Services (M) Sdn Bhd</v>
          </cell>
          <cell r="T1131" t="str">
            <v>Functioning</v>
          </cell>
          <cell r="U1131" t="str">
            <v>Asset</v>
          </cell>
          <cell r="V1131">
            <v>42100</v>
          </cell>
          <cell r="W1131" t="str">
            <v>KEW</v>
          </cell>
          <cell r="X1131" t="str">
            <v>01/09/2010</v>
          </cell>
          <cell r="Y1131" t="str">
            <v>KEW</v>
          </cell>
          <cell r="Z1131" t="str">
            <v>16/08/2013</v>
          </cell>
          <cell r="AA1131" t="str">
            <v>15/08/2015</v>
          </cell>
          <cell r="AB1131" t="str">
            <v>No</v>
          </cell>
          <cell r="AC1131" t="str">
            <v>31/08/2013</v>
          </cell>
          <cell r="AD1131" t="str">
            <v>Good</v>
          </cell>
          <cell r="AE1131" t="str">
            <v>V1 - Existing / No Claim</v>
          </cell>
          <cell r="AF1131">
            <v>42235</v>
          </cell>
          <cell r="AG1131">
            <v>9.17</v>
          </cell>
          <cell r="AH1131" t="str">
            <v>PPM</v>
          </cell>
          <cell r="AI1131" t="str">
            <v>Strands-accessories</v>
          </cell>
          <cell r="AJ1131" t="str">
            <v>Strands PW</v>
          </cell>
          <cell r="AK1131" t="str">
            <v>KEWPA WITH IKN400721</v>
          </cell>
        </row>
        <row r="1132">
          <cell r="A1132" t="str">
            <v>IKN400723</v>
          </cell>
          <cell r="B1132">
            <v>723</v>
          </cell>
          <cell r="C1132" t="str">
            <v>Institut Kanser Negara</v>
          </cell>
          <cell r="D1132" t="str">
            <v>KKM/IKN/H/13/1909</v>
          </cell>
          <cell r="E1132" t="str">
            <v>16-439</v>
          </cell>
          <cell r="F1132" t="str">
            <v>Microscopes, Light, Laboratory, Fluorescence</v>
          </cell>
          <cell r="G1132" t="str">
            <v>LA</v>
          </cell>
          <cell r="H1132" t="str">
            <v>PATHOLOGY</v>
          </cell>
          <cell r="I1132" t="str">
            <v>04LA114</v>
          </cell>
          <cell r="J1132" t="str">
            <v>DARK MICROSCOPY</v>
          </cell>
          <cell r="K1132" t="str">
            <v>BMED</v>
          </cell>
          <cell r="L1132" t="str">
            <v>Normal</v>
          </cell>
          <cell r="M1132" t="str">
            <v>Japan</v>
          </cell>
          <cell r="N1132" t="str">
            <v>Olympus</v>
          </cell>
          <cell r="O1132" t="str">
            <v>Olympus BX 43F</v>
          </cell>
          <cell r="P1132" t="str">
            <v>2J49091</v>
          </cell>
          <cell r="Q1132" t="str">
            <v>Not Applicable</v>
          </cell>
          <cell r="R1132" t="str">
            <v>Olympus Optical Co Ltd</v>
          </cell>
          <cell r="S1132" t="str">
            <v>Matrix Optics (M) Sdn Bhd</v>
          </cell>
          <cell r="T1132" t="str">
            <v>Functioning</v>
          </cell>
          <cell r="U1132" t="str">
            <v>Asset</v>
          </cell>
          <cell r="V1132">
            <v>169530</v>
          </cell>
          <cell r="W1132" t="str">
            <v>KEW</v>
          </cell>
          <cell r="X1132" t="str">
            <v>01/09/2010</v>
          </cell>
          <cell r="Y1132" t="str">
            <v>KEW</v>
          </cell>
          <cell r="Z1132" t="str">
            <v>16/08/2013</v>
          </cell>
          <cell r="AA1132" t="str">
            <v>15/08/2015</v>
          </cell>
          <cell r="AB1132" t="str">
            <v>No</v>
          </cell>
          <cell r="AC1132" t="str">
            <v>31/08/2013</v>
          </cell>
          <cell r="AD1132" t="str">
            <v>Good</v>
          </cell>
          <cell r="AE1132" t="str">
            <v>V1 - Existing / No Claim</v>
          </cell>
          <cell r="AF1132">
            <v>42235</v>
          </cell>
          <cell r="AG1132">
            <v>9.17</v>
          </cell>
          <cell r="AH1132" t="str">
            <v>PPM</v>
          </cell>
          <cell r="AI1132" t="str">
            <v>Strands</v>
          </cell>
          <cell r="AJ1132" t="str">
            <v>Strands PW</v>
          </cell>
          <cell r="AK1132" t="str">
            <v>KEWPA WITH IKN400721</v>
          </cell>
        </row>
        <row r="1133">
          <cell r="A1133" t="str">
            <v>IKN400724</v>
          </cell>
          <cell r="B1133">
            <v>724</v>
          </cell>
          <cell r="C1133" t="str">
            <v>Institut Kanser Negara</v>
          </cell>
          <cell r="D1133" t="str">
            <v>KKM/IKN/H/13/1893</v>
          </cell>
          <cell r="E1133" t="str">
            <v>15-156</v>
          </cell>
          <cell r="F1133" t="str">
            <v>Microscopes, Light, Laboratory</v>
          </cell>
          <cell r="G1133" t="str">
            <v>LA</v>
          </cell>
          <cell r="H1133" t="str">
            <v>PATHOLOGY</v>
          </cell>
          <cell r="I1133" t="str">
            <v>04LA131</v>
          </cell>
          <cell r="J1133" t="str">
            <v>HAEMATOLOGY LAB 1</v>
          </cell>
          <cell r="K1133" t="str">
            <v>BMED</v>
          </cell>
          <cell r="L1133" t="str">
            <v>Normal</v>
          </cell>
          <cell r="M1133" t="str">
            <v>Japan</v>
          </cell>
          <cell r="N1133" t="str">
            <v>Olympus</v>
          </cell>
          <cell r="O1133" t="str">
            <v>Olympus CX31</v>
          </cell>
          <cell r="P1133" t="str">
            <v>2H11266</v>
          </cell>
          <cell r="Q1133" t="str">
            <v>Not Applicable</v>
          </cell>
          <cell r="R1133" t="str">
            <v>Olympus Corp Ltd</v>
          </cell>
          <cell r="S1133" t="str">
            <v>Matrix Optics (M) Sdn Bhd</v>
          </cell>
          <cell r="T1133" t="str">
            <v>Functioning</v>
          </cell>
          <cell r="U1133" t="str">
            <v>Asset</v>
          </cell>
          <cell r="V1133">
            <v>14740</v>
          </cell>
          <cell r="W1133" t="str">
            <v>KEW</v>
          </cell>
          <cell r="X1133" t="str">
            <v>01/09/2010</v>
          </cell>
          <cell r="Y1133" t="str">
            <v>KEW</v>
          </cell>
          <cell r="Z1133" t="str">
            <v>16/08/2013</v>
          </cell>
          <cell r="AA1133" t="str">
            <v>15/08/2015</v>
          </cell>
          <cell r="AB1133" t="str">
            <v>No</v>
          </cell>
          <cell r="AC1133" t="str">
            <v>31/08/2013</v>
          </cell>
          <cell r="AD1133" t="str">
            <v>Good</v>
          </cell>
          <cell r="AE1133" t="str">
            <v>V1 - Existing / No Claim</v>
          </cell>
          <cell r="AF1133">
            <v>42790</v>
          </cell>
          <cell r="AG1133">
            <v>9.17</v>
          </cell>
          <cell r="AH1133" t="str">
            <v>PPM</v>
          </cell>
          <cell r="AI1133" t="str">
            <v>Strands</v>
          </cell>
          <cell r="AJ1133" t="str">
            <v>Strands PW</v>
          </cell>
        </row>
        <row r="1134">
          <cell r="A1134" t="str">
            <v>IKN400725</v>
          </cell>
          <cell r="B1134">
            <v>725</v>
          </cell>
          <cell r="C1134" t="str">
            <v>Institut Kanser Negara</v>
          </cell>
          <cell r="D1134" t="str">
            <v>KKM/IKN/H/13/1896</v>
          </cell>
          <cell r="E1134" t="str">
            <v>15-156</v>
          </cell>
          <cell r="F1134" t="str">
            <v>Microscopes, Light, Laboratory</v>
          </cell>
          <cell r="G1134" t="str">
            <v>LA</v>
          </cell>
          <cell r="H1134" t="str">
            <v>PATHOLOGY</v>
          </cell>
          <cell r="I1134" t="str">
            <v>04LA131</v>
          </cell>
          <cell r="J1134" t="str">
            <v>HAEMATOLOGY LAB 1</v>
          </cell>
          <cell r="K1134" t="str">
            <v>BMED</v>
          </cell>
          <cell r="L1134" t="str">
            <v>Normal</v>
          </cell>
          <cell r="M1134" t="str">
            <v>Japan</v>
          </cell>
          <cell r="N1134" t="str">
            <v>Olympus</v>
          </cell>
          <cell r="O1134" t="str">
            <v>Olympus CX31</v>
          </cell>
          <cell r="P1134" t="str">
            <v>2H11113</v>
          </cell>
          <cell r="Q1134" t="str">
            <v>Not Applicable</v>
          </cell>
          <cell r="R1134" t="str">
            <v>Olympus Corp Ltd</v>
          </cell>
          <cell r="S1134" t="str">
            <v>Matrix Optics (M) Sdn Bhd</v>
          </cell>
          <cell r="T1134" t="str">
            <v>Functioning</v>
          </cell>
          <cell r="U1134" t="str">
            <v>Asset</v>
          </cell>
          <cell r="V1134">
            <v>14740</v>
          </cell>
          <cell r="W1134" t="str">
            <v>KEW</v>
          </cell>
          <cell r="X1134" t="str">
            <v>01/09/2010</v>
          </cell>
          <cell r="Y1134" t="str">
            <v>KEW</v>
          </cell>
          <cell r="Z1134" t="str">
            <v>16/08/2013</v>
          </cell>
          <cell r="AA1134" t="str">
            <v>15/08/2015</v>
          </cell>
          <cell r="AB1134" t="str">
            <v>No</v>
          </cell>
          <cell r="AC1134" t="str">
            <v>31/08/2013</v>
          </cell>
          <cell r="AD1134" t="str">
            <v>Good</v>
          </cell>
          <cell r="AE1134" t="str">
            <v>V1 - Existing / No Claim</v>
          </cell>
          <cell r="AF1134">
            <v>42790</v>
          </cell>
          <cell r="AG1134">
            <v>9.17</v>
          </cell>
          <cell r="AH1134" t="str">
            <v>PPM</v>
          </cell>
          <cell r="AI1134" t="str">
            <v>Strands</v>
          </cell>
          <cell r="AJ1134" t="str">
            <v>Strands PW</v>
          </cell>
        </row>
        <row r="1135">
          <cell r="A1135" t="str">
            <v>IKN400726</v>
          </cell>
          <cell r="B1135">
            <v>726</v>
          </cell>
          <cell r="C1135" t="str">
            <v>Institut Kanser Negara</v>
          </cell>
          <cell r="D1135" t="str">
            <v>KKM/IKN/H/13/1889</v>
          </cell>
          <cell r="E1135" t="str">
            <v>15-156</v>
          </cell>
          <cell r="F1135" t="str">
            <v>Microscopes, Light, Laboratory</v>
          </cell>
          <cell r="G1135" t="str">
            <v>LA</v>
          </cell>
          <cell r="H1135" t="str">
            <v>PATHOLOGY</v>
          </cell>
          <cell r="I1135" t="str">
            <v>04LA130</v>
          </cell>
          <cell r="J1135" t="str">
            <v>SEROLOGY</v>
          </cell>
          <cell r="K1135" t="str">
            <v>BMED</v>
          </cell>
          <cell r="L1135" t="str">
            <v>Normal</v>
          </cell>
          <cell r="M1135" t="str">
            <v>Japan</v>
          </cell>
          <cell r="N1135" t="str">
            <v>Olympus</v>
          </cell>
          <cell r="O1135" t="str">
            <v>Olympus CX31</v>
          </cell>
          <cell r="P1135" t="str">
            <v>2H10697</v>
          </cell>
          <cell r="Q1135" t="str">
            <v>Not Applicable</v>
          </cell>
          <cell r="R1135" t="str">
            <v>Olympus Corp Ltd</v>
          </cell>
          <cell r="S1135" t="str">
            <v>Matrix Optics (M) Sdn Bhd</v>
          </cell>
          <cell r="T1135" t="str">
            <v>Functioning</v>
          </cell>
          <cell r="U1135" t="str">
            <v>Asset</v>
          </cell>
          <cell r="V1135">
            <v>14740</v>
          </cell>
          <cell r="W1135" t="str">
            <v>KEW</v>
          </cell>
          <cell r="X1135" t="str">
            <v>01/09/2010</v>
          </cell>
          <cell r="Y1135" t="str">
            <v>KEW</v>
          </cell>
          <cell r="Z1135" t="str">
            <v>16/08/2013</v>
          </cell>
          <cell r="AA1135" t="str">
            <v>15/08/2015</v>
          </cell>
          <cell r="AB1135" t="str">
            <v>No</v>
          </cell>
          <cell r="AC1135" t="str">
            <v>31/08/2013</v>
          </cell>
          <cell r="AD1135" t="str">
            <v>Good</v>
          </cell>
          <cell r="AE1135" t="str">
            <v>V1 - Existing / No Claim</v>
          </cell>
          <cell r="AF1135">
            <v>42790</v>
          </cell>
          <cell r="AG1135">
            <v>9.17</v>
          </cell>
          <cell r="AH1135" t="str">
            <v>PPM</v>
          </cell>
          <cell r="AI1135" t="str">
            <v>Strands</v>
          </cell>
          <cell r="AJ1135" t="str">
            <v>Strands PW</v>
          </cell>
        </row>
        <row r="1136">
          <cell r="A1136" t="str">
            <v>IKN400727</v>
          </cell>
          <cell r="B1136">
            <v>727</v>
          </cell>
          <cell r="C1136" t="str">
            <v>Institut Kanser Negara</v>
          </cell>
          <cell r="D1136" t="str">
            <v>KKM/IKN/H/13/1884</v>
          </cell>
          <cell r="E1136" t="str">
            <v>15-156</v>
          </cell>
          <cell r="F1136" t="str">
            <v>Microscopes, Light, Laboratory</v>
          </cell>
          <cell r="G1136" t="str">
            <v>LA</v>
          </cell>
          <cell r="H1136" t="str">
            <v>PATHOLOGY</v>
          </cell>
          <cell r="I1136" t="str">
            <v>04LA126</v>
          </cell>
          <cell r="J1136" t="str">
            <v>MICROBIOLOGY UNIT</v>
          </cell>
          <cell r="K1136" t="str">
            <v>BMED</v>
          </cell>
          <cell r="L1136" t="str">
            <v>Normal</v>
          </cell>
          <cell r="M1136" t="str">
            <v>Japan</v>
          </cell>
          <cell r="N1136" t="str">
            <v>Olympus</v>
          </cell>
          <cell r="O1136" t="str">
            <v>Olympus CX31</v>
          </cell>
          <cell r="P1136" t="str">
            <v>2H11174</v>
          </cell>
          <cell r="Q1136" t="str">
            <v>Not Applicable</v>
          </cell>
          <cell r="R1136" t="str">
            <v>Olympus Corp Ltd</v>
          </cell>
          <cell r="S1136" t="str">
            <v>Matrix Optics (M) Sdn Bhd</v>
          </cell>
          <cell r="T1136" t="str">
            <v>Functioning</v>
          </cell>
          <cell r="U1136" t="str">
            <v>Asset</v>
          </cell>
          <cell r="V1136">
            <v>14740</v>
          </cell>
          <cell r="W1136" t="str">
            <v>KEW</v>
          </cell>
          <cell r="X1136" t="str">
            <v>01/09/2010</v>
          </cell>
          <cell r="Y1136" t="str">
            <v>KEW</v>
          </cell>
          <cell r="Z1136" t="str">
            <v>16/08/2013</v>
          </cell>
          <cell r="AA1136" t="str">
            <v>15/08/2015</v>
          </cell>
          <cell r="AB1136" t="str">
            <v>No</v>
          </cell>
          <cell r="AC1136" t="str">
            <v>31/08/2013</v>
          </cell>
          <cell r="AD1136" t="str">
            <v>Good</v>
          </cell>
          <cell r="AE1136" t="str">
            <v>V1 - Existing / No Claim</v>
          </cell>
          <cell r="AF1136">
            <v>42790</v>
          </cell>
          <cell r="AG1136">
            <v>9.17</v>
          </cell>
          <cell r="AH1136" t="str">
            <v>PPM</v>
          </cell>
          <cell r="AI1136" t="str">
            <v>Strands</v>
          </cell>
          <cell r="AJ1136" t="str">
            <v>Strands PW</v>
          </cell>
        </row>
        <row r="1137">
          <cell r="A1137" t="str">
            <v>IKN400732</v>
          </cell>
          <cell r="B1137">
            <v>732</v>
          </cell>
          <cell r="C1137" t="str">
            <v>Institut Kanser Negara</v>
          </cell>
          <cell r="D1137" t="str">
            <v>KKM/IKN/H/13/5283</v>
          </cell>
          <cell r="E1137" t="str">
            <v>15-164</v>
          </cell>
          <cell r="F1137" t="str">
            <v>pH Meters</v>
          </cell>
          <cell r="G1137" t="str">
            <v>LA</v>
          </cell>
          <cell r="H1137" t="str">
            <v>PATHOLOGY</v>
          </cell>
          <cell r="I1137" t="str">
            <v>04LA127</v>
          </cell>
          <cell r="J1137" t="str">
            <v>INNOCULATION/STAINING</v>
          </cell>
          <cell r="K1137" t="str">
            <v>BMED</v>
          </cell>
          <cell r="L1137" t="str">
            <v>Normal</v>
          </cell>
          <cell r="M1137" t="str">
            <v>USA</v>
          </cell>
          <cell r="N1137" t="str">
            <v>Fisher Scientific</v>
          </cell>
          <cell r="O1137" t="str">
            <v>Fisher Scientific AB150</v>
          </cell>
          <cell r="P1137" t="str">
            <v>AB92341945</v>
          </cell>
          <cell r="Q1137" t="str">
            <v>Not Applicable</v>
          </cell>
          <cell r="R1137" t="str">
            <v>Fisher Scientific Co</v>
          </cell>
          <cell r="S1137" t="str">
            <v>Advance Altimas Sdn Bhd</v>
          </cell>
          <cell r="T1137" t="str">
            <v>Functioning</v>
          </cell>
          <cell r="U1137" t="str">
            <v>Asset</v>
          </cell>
          <cell r="V1137">
            <v>8000</v>
          </cell>
          <cell r="W1137" t="str">
            <v>Estimate</v>
          </cell>
          <cell r="X1137" t="str">
            <v>01/09/2010</v>
          </cell>
          <cell r="Y1137" t="str">
            <v>KEW</v>
          </cell>
          <cell r="Z1137" t="str">
            <v>16/08/2013</v>
          </cell>
          <cell r="AA1137" t="str">
            <v>15/08/2015</v>
          </cell>
          <cell r="AB1137" t="str">
            <v>No</v>
          </cell>
          <cell r="AC1137" t="str">
            <v>31/08/2013</v>
          </cell>
          <cell r="AD1137" t="str">
            <v>Good</v>
          </cell>
          <cell r="AE1137" t="str">
            <v>V1 - Existing / No Claim</v>
          </cell>
          <cell r="AF1137">
            <v>42601</v>
          </cell>
          <cell r="AG1137">
            <v>9.17</v>
          </cell>
          <cell r="AH1137" t="str">
            <v>PPM</v>
          </cell>
          <cell r="AI1137" t="str">
            <v>Strands</v>
          </cell>
          <cell r="AJ1137" t="str">
            <v>Strands PW</v>
          </cell>
        </row>
        <row r="1138">
          <cell r="A1138" t="str">
            <v>IKN400733</v>
          </cell>
          <cell r="B1138">
            <v>733</v>
          </cell>
          <cell r="C1138" t="str">
            <v>Institut Kanser Negara</v>
          </cell>
          <cell r="D1138" t="str">
            <v>KKM/IKN/H/13/5253</v>
          </cell>
          <cell r="E1138" t="str">
            <v>16-287</v>
          </cell>
          <cell r="F1138" t="str">
            <v>Hot Plates</v>
          </cell>
          <cell r="G1138" t="str">
            <v>LA</v>
          </cell>
          <cell r="H1138" t="str">
            <v>PATHOLOGY</v>
          </cell>
          <cell r="I1138" t="str">
            <v>04LA127</v>
          </cell>
          <cell r="J1138" t="str">
            <v>INNOCULATION/STAINING</v>
          </cell>
          <cell r="K1138" t="str">
            <v>BMED</v>
          </cell>
          <cell r="L1138" t="str">
            <v>Normal</v>
          </cell>
          <cell r="M1138" t="str">
            <v>UK</v>
          </cell>
          <cell r="N1138" t="str">
            <v>Stuart</v>
          </cell>
          <cell r="O1138" t="str">
            <v>Stuart US150</v>
          </cell>
          <cell r="P1138" t="str">
            <v>R610000243</v>
          </cell>
          <cell r="Q1138" t="str">
            <v>Not Applicable</v>
          </cell>
          <cell r="R1138" t="str">
            <v>Stuart Scientific Co Ltd</v>
          </cell>
          <cell r="S1138" t="str">
            <v>Bumi Sains Sdn. Bhd.</v>
          </cell>
          <cell r="T1138" t="str">
            <v>Functioning</v>
          </cell>
          <cell r="U1138" t="str">
            <v>Asset</v>
          </cell>
          <cell r="V1138">
            <v>2170</v>
          </cell>
          <cell r="W1138" t="str">
            <v>KEW</v>
          </cell>
          <cell r="X1138" t="str">
            <v>01/09/2010</v>
          </cell>
          <cell r="Y1138" t="str">
            <v>KEW</v>
          </cell>
          <cell r="Z1138" t="str">
            <v>16/08/2013</v>
          </cell>
          <cell r="AA1138" t="str">
            <v>15/08/2015</v>
          </cell>
          <cell r="AB1138" t="str">
            <v>No</v>
          </cell>
          <cell r="AC1138" t="str">
            <v>31/08/2013</v>
          </cell>
          <cell r="AD1138" t="str">
            <v>Good</v>
          </cell>
          <cell r="AE1138" t="str">
            <v>V1 - Existing / No Claim</v>
          </cell>
          <cell r="AF1138">
            <v>42235</v>
          </cell>
          <cell r="AG1138">
            <v>9.17</v>
          </cell>
          <cell r="AH1138" t="str">
            <v>RI</v>
          </cell>
          <cell r="AI1138" t="str">
            <v>Strands</v>
          </cell>
          <cell r="AJ1138" t="str">
            <v>Strands PW</v>
          </cell>
          <cell r="AK1138" t="str">
            <v>IKNB04LA127</v>
          </cell>
        </row>
        <row r="1139">
          <cell r="A1139" t="str">
            <v>IKN400734</v>
          </cell>
          <cell r="B1139">
            <v>734</v>
          </cell>
          <cell r="C1139" t="str">
            <v>Institut Kanser Negara</v>
          </cell>
          <cell r="D1139" t="str">
            <v>KKM/IKN/I/13/2911</v>
          </cell>
          <cell r="E1139" t="str">
            <v>15-161</v>
          </cell>
          <cell r="F1139" t="str">
            <v>Mixers, Clinical Laboratory</v>
          </cell>
          <cell r="G1139" t="str">
            <v>LA</v>
          </cell>
          <cell r="H1139" t="str">
            <v>PATHOLOGY</v>
          </cell>
          <cell r="I1139" t="str">
            <v>04LA126</v>
          </cell>
          <cell r="J1139" t="str">
            <v>MICROBIOLOGY UNIT</v>
          </cell>
          <cell r="K1139" t="str">
            <v>BMED</v>
          </cell>
          <cell r="L1139" t="str">
            <v>Normal</v>
          </cell>
          <cell r="M1139" t="str">
            <v>UK</v>
          </cell>
          <cell r="N1139" t="str">
            <v>Stuart</v>
          </cell>
          <cell r="O1139" t="str">
            <v>Stuart SA8</v>
          </cell>
          <cell r="P1139" t="str">
            <v>R800004730</v>
          </cell>
          <cell r="Q1139" t="str">
            <v>Not Applicable</v>
          </cell>
          <cell r="R1139" t="str">
            <v>Stuart Scientific Co Ltd</v>
          </cell>
          <cell r="S1139" t="str">
            <v>Bumi Sains Sdn. Bhd.</v>
          </cell>
          <cell r="T1139" t="str">
            <v>Functioning</v>
          </cell>
          <cell r="U1139" t="str">
            <v>Asset</v>
          </cell>
          <cell r="V1139">
            <v>1200</v>
          </cell>
          <cell r="W1139" t="str">
            <v>KEW</v>
          </cell>
          <cell r="X1139" t="str">
            <v>01/09/2010</v>
          </cell>
          <cell r="Y1139" t="str">
            <v>KEW</v>
          </cell>
          <cell r="Z1139" t="str">
            <v>16/08/2013</v>
          </cell>
          <cell r="AA1139" t="str">
            <v>15/08/2015</v>
          </cell>
          <cell r="AB1139" t="str">
            <v>No</v>
          </cell>
          <cell r="AC1139" t="str">
            <v>31/08/2013</v>
          </cell>
          <cell r="AD1139" t="str">
            <v>Good</v>
          </cell>
          <cell r="AE1139" t="str">
            <v>V1 - Existing / No Claim</v>
          </cell>
          <cell r="AF1139">
            <v>42235</v>
          </cell>
          <cell r="AG1139">
            <v>9.17</v>
          </cell>
          <cell r="AH1139" t="str">
            <v>PPM</v>
          </cell>
          <cell r="AI1139" t="str">
            <v>Strands</v>
          </cell>
          <cell r="AJ1139" t="str">
            <v>Strands PW</v>
          </cell>
        </row>
        <row r="1140">
          <cell r="A1140" t="str">
            <v>IKN400735</v>
          </cell>
          <cell r="B1140" t="str">
            <v>Institut Kanser Negara</v>
          </cell>
          <cell r="C1140" t="str">
            <v>Institut Kanser Negara</v>
          </cell>
          <cell r="D1140" t="str">
            <v>KKM/IKN/H/13/5252</v>
          </cell>
          <cell r="E1140" t="str">
            <v>16-287</v>
          </cell>
          <cell r="F1140" t="str">
            <v>Hot Plates</v>
          </cell>
          <cell r="G1140" t="str">
            <v>LA</v>
          </cell>
          <cell r="H1140" t="str">
            <v>PATHOLOGY</v>
          </cell>
          <cell r="I1140" t="str">
            <v>04LA127</v>
          </cell>
          <cell r="J1140" t="str">
            <v>INNOCULATION/STAINING</v>
          </cell>
          <cell r="K1140" t="str">
            <v>BMED</v>
          </cell>
          <cell r="L1140" t="str">
            <v>Normal</v>
          </cell>
          <cell r="M1140" t="str">
            <v>UK</v>
          </cell>
          <cell r="N1140" t="str">
            <v>Stuart</v>
          </cell>
          <cell r="O1140" t="str">
            <v>Stuart US150</v>
          </cell>
          <cell r="P1140" t="str">
            <v>R610000238</v>
          </cell>
          <cell r="Q1140" t="str">
            <v>Bumi Sains Sdn. Bhd.</v>
          </cell>
          <cell r="R1140" t="str">
            <v>Stuart Scientific Co Ltd</v>
          </cell>
          <cell r="S1140" t="str">
            <v>Bumi Sains Sdn. Bhd.</v>
          </cell>
          <cell r="T1140" t="str">
            <v>Functioning</v>
          </cell>
          <cell r="U1140" t="str">
            <v>01/09/2010</v>
          </cell>
          <cell r="V1140">
            <v>2170</v>
          </cell>
          <cell r="W1140" t="str">
            <v>KEW</v>
          </cell>
          <cell r="X1140" t="str">
            <v>01/09/2010</v>
          </cell>
          <cell r="Y1140" t="str">
            <v>KEW</v>
          </cell>
          <cell r="Z1140" t="str">
            <v>31/08/2013</v>
          </cell>
          <cell r="AA1140" t="str">
            <v>15/08/2015</v>
          </cell>
          <cell r="AB1140" t="str">
            <v>No</v>
          </cell>
          <cell r="AC1140" t="str">
            <v>31/08/2013</v>
          </cell>
          <cell r="AD1140" t="str">
            <v>Good</v>
          </cell>
          <cell r="AE1140" t="str">
            <v>V1 - Existing / No Claim</v>
          </cell>
          <cell r="AF1140">
            <v>42235</v>
          </cell>
          <cell r="AG1140">
            <v>9.17</v>
          </cell>
          <cell r="AH1140" t="str">
            <v>RI</v>
          </cell>
          <cell r="AI1140" t="str">
            <v>Strands</v>
          </cell>
          <cell r="AJ1140" t="str">
            <v>Strands PW</v>
          </cell>
          <cell r="AK1140" t="str">
            <v>IKNB04LA127</v>
          </cell>
        </row>
        <row r="1141">
          <cell r="A1141" t="str">
            <v>IKN400736</v>
          </cell>
          <cell r="B1141">
            <v>736</v>
          </cell>
          <cell r="C1141" t="str">
            <v>Institut Kanser Negara</v>
          </cell>
          <cell r="D1141" t="str">
            <v>KKM/IKN/H/13/4681</v>
          </cell>
          <cell r="E1141" t="str">
            <v>18-013</v>
          </cell>
          <cell r="F1141" t="str">
            <v>Incubators, Laboratory, Thermocycling</v>
          </cell>
          <cell r="G1141" t="str">
            <v>LA</v>
          </cell>
          <cell r="H1141" t="str">
            <v>PATHOLOGY</v>
          </cell>
          <cell r="I1141" t="str">
            <v>04LA126</v>
          </cell>
          <cell r="J1141" t="str">
            <v>MICROBIOLOGY UNIT</v>
          </cell>
          <cell r="K1141" t="str">
            <v>BMED</v>
          </cell>
          <cell r="L1141" t="str">
            <v>Normal</v>
          </cell>
          <cell r="M1141" t="str">
            <v>Germany</v>
          </cell>
          <cell r="N1141" t="str">
            <v>Binder</v>
          </cell>
          <cell r="O1141" t="str">
            <v>Binder BD 115</v>
          </cell>
          <cell r="P1141" t="str">
            <v>1308717</v>
          </cell>
          <cell r="Q1141" t="str">
            <v>Not Applicable</v>
          </cell>
          <cell r="R1141" t="str">
            <v>Binder GmbH &amp; Co</v>
          </cell>
          <cell r="S1141" t="str">
            <v>Bumi Sains Sdn. Bhd.</v>
          </cell>
          <cell r="T1141" t="str">
            <v>Functioning</v>
          </cell>
          <cell r="U1141" t="str">
            <v>Asset</v>
          </cell>
          <cell r="V1141">
            <v>16240</v>
          </cell>
          <cell r="W1141" t="str">
            <v>KEW</v>
          </cell>
          <cell r="X1141" t="str">
            <v>01/09/2010</v>
          </cell>
          <cell r="Y1141" t="str">
            <v>KEW</v>
          </cell>
          <cell r="Z1141" t="str">
            <v>16/08/2013</v>
          </cell>
          <cell r="AA1141" t="str">
            <v>15/08/2015</v>
          </cell>
          <cell r="AB1141" t="str">
            <v>No</v>
          </cell>
          <cell r="AC1141" t="str">
            <v>31/08/2013</v>
          </cell>
          <cell r="AD1141" t="str">
            <v>Good</v>
          </cell>
          <cell r="AE1141" t="str">
            <v>V1 - Existing / No Claim</v>
          </cell>
          <cell r="AF1141">
            <v>42235</v>
          </cell>
          <cell r="AG1141">
            <v>9.17</v>
          </cell>
          <cell r="AH1141" t="str">
            <v>PPM</v>
          </cell>
          <cell r="AI1141" t="str">
            <v>Strands</v>
          </cell>
          <cell r="AJ1141" t="str">
            <v>Strands PW</v>
          </cell>
        </row>
        <row r="1142">
          <cell r="A1142" t="str">
            <v>IKN400737</v>
          </cell>
          <cell r="B1142">
            <v>737</v>
          </cell>
          <cell r="C1142" t="str">
            <v>Institut Kanser Negara</v>
          </cell>
          <cell r="D1142" t="str">
            <v>KKM/IKN/H/13/4682</v>
          </cell>
          <cell r="E1142" t="str">
            <v>18-013</v>
          </cell>
          <cell r="F1142" t="str">
            <v>Incubators, Laboratory, Thermocycling</v>
          </cell>
          <cell r="G1142" t="str">
            <v>LA</v>
          </cell>
          <cell r="H1142" t="str">
            <v>PATHOLOGY</v>
          </cell>
          <cell r="I1142" t="str">
            <v>04LA126</v>
          </cell>
          <cell r="J1142" t="str">
            <v>MICROBIOLOGY UNIT</v>
          </cell>
          <cell r="K1142" t="str">
            <v>BMED</v>
          </cell>
          <cell r="L1142" t="str">
            <v>Normal</v>
          </cell>
          <cell r="M1142" t="str">
            <v>Germany</v>
          </cell>
          <cell r="N1142" t="str">
            <v>Binder</v>
          </cell>
          <cell r="O1142" t="str">
            <v>Binder BD 115</v>
          </cell>
          <cell r="P1142" t="str">
            <v>1308710</v>
          </cell>
          <cell r="Q1142" t="str">
            <v>Not Applicable</v>
          </cell>
          <cell r="R1142" t="str">
            <v>Binder GmbH &amp; Co</v>
          </cell>
          <cell r="S1142" t="str">
            <v>Bumi Sains Sdn. Bhd.</v>
          </cell>
          <cell r="T1142" t="str">
            <v>Functioning</v>
          </cell>
          <cell r="U1142" t="str">
            <v>Asset</v>
          </cell>
          <cell r="V1142">
            <v>16240</v>
          </cell>
          <cell r="W1142" t="str">
            <v>KEW</v>
          </cell>
          <cell r="X1142" t="str">
            <v>01/09/2010</v>
          </cell>
          <cell r="Y1142" t="str">
            <v>KEW</v>
          </cell>
          <cell r="Z1142" t="str">
            <v>16/08/2013</v>
          </cell>
          <cell r="AA1142" t="str">
            <v>15/08/2015</v>
          </cell>
          <cell r="AB1142" t="str">
            <v>No</v>
          </cell>
          <cell r="AC1142" t="str">
            <v>31/08/2013</v>
          </cell>
          <cell r="AD1142" t="str">
            <v>Good</v>
          </cell>
          <cell r="AE1142" t="str">
            <v>V1 - Existing / No Claim</v>
          </cell>
          <cell r="AF1142">
            <v>42235</v>
          </cell>
          <cell r="AG1142">
            <v>9.17</v>
          </cell>
          <cell r="AH1142" t="str">
            <v>PPM</v>
          </cell>
          <cell r="AI1142" t="str">
            <v>Strands</v>
          </cell>
          <cell r="AJ1142" t="str">
            <v>Strands PW</v>
          </cell>
        </row>
        <row r="1143">
          <cell r="A1143" t="str">
            <v>IKN400739</v>
          </cell>
          <cell r="B1143">
            <v>739</v>
          </cell>
          <cell r="C1143" t="str">
            <v>Institut Kanser Negara</v>
          </cell>
          <cell r="D1143" t="str">
            <v>KKM/IKN/H/13/1856</v>
          </cell>
          <cell r="E1143" t="str">
            <v>10-780</v>
          </cell>
          <cell r="F1143" t="str">
            <v>Centrifuges, Tabletop</v>
          </cell>
          <cell r="G1143" t="str">
            <v>LA</v>
          </cell>
          <cell r="H1143" t="str">
            <v>PATHOLOGY</v>
          </cell>
          <cell r="I1143" t="str">
            <v>04LA127</v>
          </cell>
          <cell r="J1143" t="str">
            <v>INNOCULATION/STAINING</v>
          </cell>
          <cell r="K1143" t="str">
            <v>BMED</v>
          </cell>
          <cell r="L1143" t="str">
            <v>Normal</v>
          </cell>
          <cell r="M1143" t="str">
            <v>Germany</v>
          </cell>
          <cell r="N1143" t="str">
            <v>Rotofix</v>
          </cell>
          <cell r="O1143" t="str">
            <v>Rotofix 32A</v>
          </cell>
          <cell r="P1143" t="str">
            <v>18604</v>
          </cell>
          <cell r="Q1143" t="str">
            <v>Not Applicable</v>
          </cell>
          <cell r="R1143" t="str">
            <v>Hettich-Zentrifugen GmbH</v>
          </cell>
          <cell r="S1143" t="str">
            <v>Biomarketing Services (M) Sdn Bhd</v>
          </cell>
          <cell r="T1143" t="str">
            <v>Functioning</v>
          </cell>
          <cell r="U1143" t="str">
            <v>Asset</v>
          </cell>
          <cell r="V1143">
            <v>24060</v>
          </cell>
          <cell r="W1143" t="str">
            <v>KEW</v>
          </cell>
          <cell r="X1143" t="str">
            <v>01/09/2010</v>
          </cell>
          <cell r="Y1143" t="str">
            <v>KEW</v>
          </cell>
          <cell r="Z1143" t="str">
            <v>16/08/2013</v>
          </cell>
          <cell r="AA1143" t="str">
            <v>15/08/2015</v>
          </cell>
          <cell r="AB1143" t="str">
            <v>No</v>
          </cell>
          <cell r="AC1143" t="str">
            <v>31/08/2013</v>
          </cell>
          <cell r="AD1143" t="str">
            <v>Good</v>
          </cell>
          <cell r="AE1143" t="str">
            <v>V1 - Existing / No Claim</v>
          </cell>
          <cell r="AF1143">
            <v>42790</v>
          </cell>
          <cell r="AG1143">
            <v>9.17</v>
          </cell>
          <cell r="AH1143" t="str">
            <v>PPM</v>
          </cell>
          <cell r="AI1143" t="str">
            <v>Strands</v>
          </cell>
          <cell r="AJ1143" t="str">
            <v>Strands PW</v>
          </cell>
        </row>
        <row r="1144">
          <cell r="A1144" t="str">
            <v>IKN400741</v>
          </cell>
          <cell r="B1144">
            <v>741</v>
          </cell>
          <cell r="C1144" t="str">
            <v>Institut Kanser Negara</v>
          </cell>
          <cell r="D1144" t="str">
            <v>KKM/IKN/H/13/2125</v>
          </cell>
          <cell r="E1144" t="str">
            <v>15-973</v>
          </cell>
          <cell r="F1144" t="str">
            <v>Analyzers, Laboratory, Microbiology, Blood Culture, Automate</v>
          </cell>
          <cell r="G1144" t="str">
            <v>LA</v>
          </cell>
          <cell r="H1144" t="str">
            <v>PATHOLOGY</v>
          </cell>
          <cell r="I1144" t="str">
            <v>04LA126</v>
          </cell>
          <cell r="J1144" t="str">
            <v>MICROBIOLOGY UNIT</v>
          </cell>
          <cell r="K1144" t="str">
            <v>BMED</v>
          </cell>
          <cell r="L1144" t="str">
            <v>Normal</v>
          </cell>
          <cell r="M1144" t="str">
            <v>USA</v>
          </cell>
          <cell r="N1144" t="str">
            <v>Bactec</v>
          </cell>
          <cell r="O1144" t="str">
            <v>Bactec FX</v>
          </cell>
          <cell r="P1144" t="str">
            <v>FT2159</v>
          </cell>
          <cell r="Q1144" t="str">
            <v>Not Applicable</v>
          </cell>
          <cell r="R1144" t="str">
            <v>Becton Dickinson &amp; Co</v>
          </cell>
          <cell r="S1144" t="str">
            <v>Biomarketing Services (M) Sdn Bhd</v>
          </cell>
          <cell r="T1144" t="str">
            <v>Functioning</v>
          </cell>
          <cell r="U1144" t="str">
            <v>Asset</v>
          </cell>
          <cell r="V1144">
            <v>342820</v>
          </cell>
          <cell r="W1144" t="str">
            <v>KEW</v>
          </cell>
          <cell r="X1144" t="str">
            <v>01/09/2010</v>
          </cell>
          <cell r="Y1144" t="str">
            <v>KEW</v>
          </cell>
          <cell r="Z1144" t="str">
            <v>16/08/2013</v>
          </cell>
          <cell r="AA1144" t="str">
            <v>15/08/2015</v>
          </cell>
          <cell r="AB1144" t="str">
            <v>No</v>
          </cell>
          <cell r="AC1144" t="str">
            <v>31/08/2013</v>
          </cell>
          <cell r="AD1144" t="str">
            <v>Good</v>
          </cell>
          <cell r="AE1144" t="str">
            <v>V1 - Existing / No Claim</v>
          </cell>
          <cell r="AF1144">
            <v>42790</v>
          </cell>
          <cell r="AG1144">
            <v>9.17</v>
          </cell>
          <cell r="AH1144" t="str">
            <v>PPM</v>
          </cell>
          <cell r="AI1144" t="str">
            <v>Strands</v>
          </cell>
          <cell r="AJ1144" t="str">
            <v>Strands Package</v>
          </cell>
          <cell r="AK1144" t="str">
            <v>Package Code LR0015</v>
          </cell>
        </row>
        <row r="1145">
          <cell r="A1145" t="str">
            <v>IKN400742</v>
          </cell>
          <cell r="B1145">
            <v>742</v>
          </cell>
          <cell r="C1145" t="str">
            <v>Institut Kanser Negara</v>
          </cell>
          <cell r="D1145" t="str">
            <v>KKM/IKN/H/13/1880</v>
          </cell>
          <cell r="E1145" t="str">
            <v>14-410</v>
          </cell>
          <cell r="F1145" t="str">
            <v>Ovens, Drying</v>
          </cell>
          <cell r="G1145" t="str">
            <v>LA</v>
          </cell>
          <cell r="H1145" t="str">
            <v>PATHOLOGY</v>
          </cell>
          <cell r="I1145" t="str">
            <v>04LA132</v>
          </cell>
          <cell r="J1145" t="str">
            <v>HAEMATOLOGY LAB 2</v>
          </cell>
          <cell r="K1145" t="str">
            <v>BMED</v>
          </cell>
          <cell r="L1145" t="str">
            <v>Normal</v>
          </cell>
          <cell r="M1145" t="str">
            <v>Germany</v>
          </cell>
          <cell r="N1145" t="str">
            <v>Heratherm</v>
          </cell>
          <cell r="O1145" t="str">
            <v>Heratherm OGS 100</v>
          </cell>
          <cell r="P1145" t="str">
            <v>41419440</v>
          </cell>
          <cell r="Q1145" t="str">
            <v>Not Applicable</v>
          </cell>
          <cell r="R1145" t="str">
            <v>Thermo Scientific Inc</v>
          </cell>
          <cell r="S1145" t="str">
            <v>Bumi Sains Sdn. Bhd.</v>
          </cell>
          <cell r="T1145" t="str">
            <v>Functioning</v>
          </cell>
          <cell r="U1145" t="str">
            <v>Asset</v>
          </cell>
          <cell r="V1145">
            <v>6620</v>
          </cell>
          <cell r="W1145" t="str">
            <v>KEW</v>
          </cell>
          <cell r="X1145" t="str">
            <v>01/09/2010</v>
          </cell>
          <cell r="Y1145" t="str">
            <v>KEW</v>
          </cell>
          <cell r="Z1145" t="str">
            <v>16/08/2013</v>
          </cell>
          <cell r="AA1145" t="str">
            <v>15/08/2015</v>
          </cell>
          <cell r="AB1145" t="str">
            <v>No</v>
          </cell>
          <cell r="AC1145" t="str">
            <v>31/08/2013</v>
          </cell>
          <cell r="AD1145" t="str">
            <v>Good</v>
          </cell>
          <cell r="AE1145" t="str">
            <v>V1 - Existing / No Claim</v>
          </cell>
          <cell r="AF1145">
            <v>42235</v>
          </cell>
          <cell r="AG1145">
            <v>9.17</v>
          </cell>
          <cell r="AH1145" t="str">
            <v>PPM</v>
          </cell>
          <cell r="AI1145" t="str">
            <v>Strands</v>
          </cell>
          <cell r="AJ1145" t="str">
            <v>Strands PW</v>
          </cell>
        </row>
        <row r="1146">
          <cell r="A1146" t="str">
            <v>IKN400743</v>
          </cell>
          <cell r="B1146">
            <v>743</v>
          </cell>
          <cell r="C1146" t="str">
            <v>Institut Kanser Negara</v>
          </cell>
          <cell r="D1146" t="str">
            <v>KKM/IKN/H/13/1882</v>
          </cell>
          <cell r="E1146" t="str">
            <v>16-855</v>
          </cell>
          <cell r="F1146" t="str">
            <v>Carbon Dioxide Monitors, Laboratory Incubator</v>
          </cell>
          <cell r="G1146" t="str">
            <v>LA</v>
          </cell>
          <cell r="H1146" t="str">
            <v>PATHOLOGY</v>
          </cell>
          <cell r="I1146" t="str">
            <v>04LA126</v>
          </cell>
          <cell r="J1146" t="str">
            <v>MICROBIOLOGY UNIT</v>
          </cell>
          <cell r="K1146" t="str">
            <v>BMED</v>
          </cell>
          <cell r="L1146" t="str">
            <v>Normal</v>
          </cell>
          <cell r="M1146" t="str">
            <v>Germany</v>
          </cell>
          <cell r="N1146" t="str">
            <v>Heracell</v>
          </cell>
          <cell r="O1146" t="str">
            <v>Heracell 150i</v>
          </cell>
          <cell r="P1146" t="str">
            <v>41423244</v>
          </cell>
          <cell r="Q1146" t="str">
            <v>Not Applicable</v>
          </cell>
          <cell r="R1146" t="str">
            <v>Thermo electron LED GmbH</v>
          </cell>
          <cell r="S1146" t="str">
            <v>Bumi Sains Sdn. Bhd.</v>
          </cell>
          <cell r="T1146" t="str">
            <v>Functioning</v>
          </cell>
          <cell r="U1146" t="str">
            <v>Asset</v>
          </cell>
          <cell r="V1146">
            <v>56180</v>
          </cell>
          <cell r="W1146" t="str">
            <v>KEW</v>
          </cell>
          <cell r="X1146" t="str">
            <v>01/09/2010</v>
          </cell>
          <cell r="Y1146" t="str">
            <v>KEW</v>
          </cell>
          <cell r="Z1146" t="str">
            <v>16/08/2013</v>
          </cell>
          <cell r="AA1146" t="str">
            <v>15/08/2015</v>
          </cell>
          <cell r="AB1146" t="str">
            <v>No</v>
          </cell>
          <cell r="AC1146" t="str">
            <v>31/08/2013</v>
          </cell>
          <cell r="AD1146" t="str">
            <v>Good</v>
          </cell>
          <cell r="AE1146" t="str">
            <v>V1 - Existing / No Claim</v>
          </cell>
          <cell r="AF1146">
            <v>42790</v>
          </cell>
          <cell r="AG1146">
            <v>9.17</v>
          </cell>
          <cell r="AH1146" t="str">
            <v>PPM</v>
          </cell>
          <cell r="AI1146" t="str">
            <v>Strands</v>
          </cell>
          <cell r="AJ1146" t="str">
            <v>Strands PW</v>
          </cell>
        </row>
        <row r="1147">
          <cell r="A1147" t="str">
            <v>IKN400744</v>
          </cell>
          <cell r="B1147">
            <v>744</v>
          </cell>
          <cell r="C1147" t="str">
            <v>Institut Kanser Negara</v>
          </cell>
          <cell r="D1147" t="str">
            <v>KKM/IKN/H/13/1883</v>
          </cell>
          <cell r="E1147" t="str">
            <v>15-156</v>
          </cell>
          <cell r="F1147" t="str">
            <v>Microscopes, Light, Laboratory</v>
          </cell>
          <cell r="G1147" t="str">
            <v>LA</v>
          </cell>
          <cell r="H1147" t="str">
            <v>PATHOLOGY</v>
          </cell>
          <cell r="I1147" t="str">
            <v>04LA126</v>
          </cell>
          <cell r="J1147" t="str">
            <v>MICROBIOLOGY UNIT</v>
          </cell>
          <cell r="K1147" t="str">
            <v>BMED</v>
          </cell>
          <cell r="L1147" t="str">
            <v>Normal</v>
          </cell>
          <cell r="M1147" t="str">
            <v>Japan</v>
          </cell>
          <cell r="N1147" t="str">
            <v>Olympus</v>
          </cell>
          <cell r="O1147" t="str">
            <v>Olympus CX31</v>
          </cell>
          <cell r="P1147" t="str">
            <v>2H08971</v>
          </cell>
          <cell r="Q1147" t="str">
            <v>Not Applicable</v>
          </cell>
          <cell r="R1147" t="str">
            <v>Olympus Corp Ltd</v>
          </cell>
          <cell r="S1147" t="str">
            <v>Matrix Optics (M) Sdn Bhd</v>
          </cell>
          <cell r="T1147" t="str">
            <v>Functioning</v>
          </cell>
          <cell r="U1147" t="str">
            <v>Asset</v>
          </cell>
          <cell r="V1147">
            <v>14740</v>
          </cell>
          <cell r="W1147" t="str">
            <v>KEW</v>
          </cell>
          <cell r="X1147" t="str">
            <v>01/09/2010</v>
          </cell>
          <cell r="Y1147" t="str">
            <v>KEW</v>
          </cell>
          <cell r="Z1147" t="str">
            <v>16/08/2013</v>
          </cell>
          <cell r="AA1147" t="str">
            <v>15/08/2015</v>
          </cell>
          <cell r="AB1147" t="str">
            <v>No</v>
          </cell>
          <cell r="AC1147" t="str">
            <v>31/08/2013</v>
          </cell>
          <cell r="AD1147" t="str">
            <v>Good</v>
          </cell>
          <cell r="AE1147" t="str">
            <v>V1 - Existing / No Claim</v>
          </cell>
          <cell r="AF1147">
            <v>42235</v>
          </cell>
          <cell r="AG1147">
            <v>9.17</v>
          </cell>
          <cell r="AH1147" t="str">
            <v>PPM</v>
          </cell>
          <cell r="AI1147" t="str">
            <v>Strands</v>
          </cell>
          <cell r="AJ1147" t="str">
            <v>Strands PW</v>
          </cell>
        </row>
        <row r="1148">
          <cell r="A1148" t="str">
            <v>IKN400745</v>
          </cell>
          <cell r="B1148">
            <v>745</v>
          </cell>
          <cell r="C1148" t="str">
            <v>Institut Kanser Negara</v>
          </cell>
          <cell r="D1148" t="str">
            <v>KKM/IKN/H/13/2148</v>
          </cell>
          <cell r="E1148" t="str">
            <v>15-161</v>
          </cell>
          <cell r="F1148" t="str">
            <v>Mixers, Clinical Laboratory</v>
          </cell>
          <cell r="G1148" t="str">
            <v>LA</v>
          </cell>
          <cell r="H1148" t="str">
            <v>PATHOLOGY</v>
          </cell>
          <cell r="I1148" t="str">
            <v>04LA132</v>
          </cell>
          <cell r="J1148" t="str">
            <v>HAEMATOLOGY LAB 2</v>
          </cell>
          <cell r="K1148" t="str">
            <v>BMED</v>
          </cell>
          <cell r="L1148" t="str">
            <v>Normal</v>
          </cell>
          <cell r="M1148" t="str">
            <v>UK</v>
          </cell>
          <cell r="N1148" t="str">
            <v>Stuart</v>
          </cell>
          <cell r="O1148" t="str">
            <v>Stuart SRT 6D</v>
          </cell>
          <cell r="P1148" t="str">
            <v>RO00101627</v>
          </cell>
          <cell r="Q1148" t="str">
            <v>Not Applicable</v>
          </cell>
          <cell r="R1148" t="str">
            <v>Stuart Scientific Co Ltd</v>
          </cell>
          <cell r="S1148" t="str">
            <v>Bumi Sains Sdn. Bhd.</v>
          </cell>
          <cell r="T1148" t="str">
            <v>Functioning</v>
          </cell>
          <cell r="U1148" t="str">
            <v>Asset</v>
          </cell>
          <cell r="V1148">
            <v>4570</v>
          </cell>
          <cell r="W1148" t="str">
            <v>KEW</v>
          </cell>
          <cell r="X1148" t="str">
            <v>01/09/2010</v>
          </cell>
          <cell r="Y1148" t="str">
            <v>KEW</v>
          </cell>
          <cell r="Z1148" t="str">
            <v>16/08/2013</v>
          </cell>
          <cell r="AA1148" t="str">
            <v>15/08/2015</v>
          </cell>
          <cell r="AB1148" t="str">
            <v>No</v>
          </cell>
          <cell r="AC1148" t="str">
            <v>31/08/2013</v>
          </cell>
          <cell r="AD1148" t="str">
            <v>Good</v>
          </cell>
          <cell r="AE1148" t="str">
            <v>V1 - Existing / No Claim</v>
          </cell>
          <cell r="AF1148">
            <v>42790</v>
          </cell>
          <cell r="AG1148">
            <v>9.17</v>
          </cell>
          <cell r="AH1148" t="str">
            <v>PPM</v>
          </cell>
          <cell r="AI1148" t="str">
            <v>Strands</v>
          </cell>
          <cell r="AJ1148" t="str">
            <v>Strands PW</v>
          </cell>
        </row>
        <row r="1149">
          <cell r="A1149" t="str">
            <v>IKN400746</v>
          </cell>
          <cell r="B1149">
            <v>746</v>
          </cell>
          <cell r="C1149" t="str">
            <v>Institut Kanser Negara</v>
          </cell>
          <cell r="D1149" t="str">
            <v>KKM/IKN/H/13/4677</v>
          </cell>
          <cell r="E1149" t="str">
            <v>17-741</v>
          </cell>
          <cell r="F1149" t="str">
            <v>Analyzers, Laboratory, Hematology, Cell Counting, Automated</v>
          </cell>
          <cell r="G1149" t="str">
            <v>LA</v>
          </cell>
          <cell r="H1149" t="str">
            <v>PATHOLOGY</v>
          </cell>
          <cell r="I1149" t="str">
            <v>04LA131</v>
          </cell>
          <cell r="J1149" t="str">
            <v>HAEMATOLOGY LAB 1</v>
          </cell>
          <cell r="K1149" t="str">
            <v>BMED</v>
          </cell>
          <cell r="L1149" t="str">
            <v>Normal</v>
          </cell>
          <cell r="M1149" t="str">
            <v>USA</v>
          </cell>
          <cell r="N1149" t="str">
            <v>Beckman</v>
          </cell>
          <cell r="O1149" t="str">
            <v>Beckman DXH800</v>
          </cell>
          <cell r="P1149" t="str">
            <v>AT23285</v>
          </cell>
          <cell r="Q1149" t="str">
            <v>Not Applicable</v>
          </cell>
          <cell r="R1149" t="str">
            <v>Beckman Coulter Inc</v>
          </cell>
          <cell r="S1149" t="str">
            <v>Straits Scientific (M) Sdn Bhd</v>
          </cell>
          <cell r="T1149" t="str">
            <v>Functioning</v>
          </cell>
          <cell r="U1149" t="str">
            <v>Asset</v>
          </cell>
          <cell r="V1149">
            <v>416200</v>
          </cell>
          <cell r="W1149" t="str">
            <v>KEW</v>
          </cell>
          <cell r="X1149" t="str">
            <v>01/09/2010</v>
          </cell>
          <cell r="Y1149" t="str">
            <v>KEW</v>
          </cell>
          <cell r="Z1149" t="str">
            <v>16/08/2013</v>
          </cell>
          <cell r="AA1149" t="str">
            <v>15/08/2015</v>
          </cell>
          <cell r="AB1149" t="str">
            <v>No</v>
          </cell>
          <cell r="AC1149" t="str">
            <v>31/08/2013</v>
          </cell>
          <cell r="AD1149" t="str">
            <v>Good</v>
          </cell>
          <cell r="AE1149" t="str">
            <v>V1 - Existing / No Claim</v>
          </cell>
          <cell r="AF1149">
            <v>42235</v>
          </cell>
          <cell r="AG1149">
            <v>9.17</v>
          </cell>
          <cell r="AH1149" t="str">
            <v>PPM</v>
          </cell>
          <cell r="AI1149" t="str">
            <v>Strands</v>
          </cell>
          <cell r="AJ1149" t="str">
            <v>Strands Package</v>
          </cell>
          <cell r="AK1149" t="str">
            <v>Package Code LH0007</v>
          </cell>
        </row>
        <row r="1150">
          <cell r="A1150" t="str">
            <v>IKN400747</v>
          </cell>
          <cell r="B1150">
            <v>747</v>
          </cell>
          <cell r="C1150" t="str">
            <v>Institut Kanser Negara</v>
          </cell>
          <cell r="D1150" t="str">
            <v>KKM/IKN/H/13/4684</v>
          </cell>
          <cell r="E1150" t="str">
            <v>15-161</v>
          </cell>
          <cell r="F1150" t="str">
            <v>Mixers, Clinical Laboratory</v>
          </cell>
          <cell r="G1150" t="str">
            <v>LA</v>
          </cell>
          <cell r="H1150" t="str">
            <v>PATHOLOGY</v>
          </cell>
          <cell r="I1150" t="str">
            <v>04LA132</v>
          </cell>
          <cell r="J1150" t="str">
            <v>HAEMATOLOGY LAB 2</v>
          </cell>
          <cell r="K1150" t="str">
            <v>BMED</v>
          </cell>
          <cell r="L1150" t="str">
            <v>Normal</v>
          </cell>
          <cell r="M1150" t="str">
            <v>UK</v>
          </cell>
          <cell r="N1150" t="str">
            <v>Stuart</v>
          </cell>
          <cell r="O1150" t="str">
            <v>Stuart SRT 6D</v>
          </cell>
          <cell r="P1150" t="str">
            <v>R87000006</v>
          </cell>
          <cell r="Q1150" t="str">
            <v>Not Applicable</v>
          </cell>
          <cell r="R1150" t="str">
            <v>Stuart Scientific Co Ltd</v>
          </cell>
          <cell r="S1150" t="str">
            <v>Bumi Sains Sdn. Bhd.</v>
          </cell>
          <cell r="T1150" t="str">
            <v>Functioning</v>
          </cell>
          <cell r="U1150" t="str">
            <v>Asset</v>
          </cell>
          <cell r="V1150">
            <v>4570</v>
          </cell>
          <cell r="W1150" t="str">
            <v>KEW</v>
          </cell>
          <cell r="X1150" t="str">
            <v>01/09/2010</v>
          </cell>
          <cell r="Y1150" t="str">
            <v>KEW</v>
          </cell>
          <cell r="Z1150" t="str">
            <v>16/08/2013</v>
          </cell>
          <cell r="AA1150" t="str">
            <v>15/08/2015</v>
          </cell>
          <cell r="AB1150" t="str">
            <v>No</v>
          </cell>
          <cell r="AC1150" t="str">
            <v>31/08/2013</v>
          </cell>
          <cell r="AD1150" t="str">
            <v>Good</v>
          </cell>
          <cell r="AE1150" t="str">
            <v>V1 - Existing / No Claim</v>
          </cell>
          <cell r="AF1150">
            <v>42235</v>
          </cell>
          <cell r="AG1150">
            <v>9.17</v>
          </cell>
          <cell r="AH1150" t="str">
            <v>PPM</v>
          </cell>
          <cell r="AI1150" t="str">
            <v>Strands</v>
          </cell>
          <cell r="AJ1150" t="str">
            <v>Strands PW</v>
          </cell>
        </row>
        <row r="1151">
          <cell r="A1151" t="str">
            <v>IKN400748</v>
          </cell>
          <cell r="B1151">
            <v>748</v>
          </cell>
          <cell r="C1151" t="str">
            <v>Institut Kanser Negara</v>
          </cell>
          <cell r="D1151" t="str">
            <v>KKM/IKN/H/13/1866</v>
          </cell>
          <cell r="E1151" t="str">
            <v>10-263</v>
          </cell>
          <cell r="F1151" t="str">
            <v>Balances, Electronic</v>
          </cell>
          <cell r="G1151" t="str">
            <v>LA</v>
          </cell>
          <cell r="H1151" t="str">
            <v>PATHOLOGY</v>
          </cell>
          <cell r="I1151" t="str">
            <v>04LA134</v>
          </cell>
          <cell r="J1151" t="str">
            <v>CHEMICAL PATHOLOGY 2</v>
          </cell>
          <cell r="K1151" t="str">
            <v>BMED</v>
          </cell>
          <cell r="L1151" t="str">
            <v>Normal</v>
          </cell>
          <cell r="M1151" t="str">
            <v>Germany</v>
          </cell>
          <cell r="N1151" t="str">
            <v>Sartorius</v>
          </cell>
          <cell r="O1151" t="str">
            <v>Sartorius TE412</v>
          </cell>
          <cell r="P1151" t="str">
            <v>28103585</v>
          </cell>
          <cell r="Q1151" t="str">
            <v>Not Applicable</v>
          </cell>
          <cell r="R1151" t="str">
            <v>Sartorius AG</v>
          </cell>
          <cell r="S1151" t="str">
            <v>Chemopharm Sd. Bhd.</v>
          </cell>
          <cell r="T1151" t="str">
            <v>Functioning</v>
          </cell>
          <cell r="U1151" t="str">
            <v>Asset</v>
          </cell>
          <cell r="V1151">
            <v>5490</v>
          </cell>
          <cell r="W1151" t="str">
            <v>KEW</v>
          </cell>
          <cell r="X1151" t="str">
            <v>01/09/2010</v>
          </cell>
          <cell r="Y1151" t="str">
            <v>KEW</v>
          </cell>
          <cell r="Z1151" t="str">
            <v>16/08/2013</v>
          </cell>
          <cell r="AA1151" t="str">
            <v>15/08/2015</v>
          </cell>
          <cell r="AB1151" t="str">
            <v>No</v>
          </cell>
          <cell r="AC1151" t="str">
            <v>31/08/2013</v>
          </cell>
          <cell r="AD1151" t="str">
            <v>Good</v>
          </cell>
          <cell r="AE1151" t="str">
            <v>V1 - Existing / No Claim</v>
          </cell>
          <cell r="AF1151">
            <v>42235</v>
          </cell>
          <cell r="AG1151">
            <v>9.17</v>
          </cell>
          <cell r="AH1151" t="str">
            <v>PPM</v>
          </cell>
          <cell r="AI1151" t="str">
            <v>Strands</v>
          </cell>
          <cell r="AJ1151" t="str">
            <v>Strands PW</v>
          </cell>
        </row>
        <row r="1152">
          <cell r="A1152" t="str">
            <v>IKN400749</v>
          </cell>
          <cell r="B1152">
            <v>749</v>
          </cell>
          <cell r="C1152" t="str">
            <v>Institut Kanser Negara</v>
          </cell>
          <cell r="D1152" t="str">
            <v>KKM/IKN/H/13/3942 (NEW KKM/IKN/R/13/1121)</v>
          </cell>
          <cell r="E1152" t="str">
            <v>10-263</v>
          </cell>
          <cell r="F1152" t="str">
            <v>Balances, Electronic</v>
          </cell>
          <cell r="G1152" t="str">
            <v>LA</v>
          </cell>
          <cell r="H1152" t="str">
            <v>PATHOLOGY</v>
          </cell>
          <cell r="I1152" t="str">
            <v>04LA134</v>
          </cell>
          <cell r="J1152" t="str">
            <v>CHEMICAL PATHOLOGY 2</v>
          </cell>
          <cell r="K1152" t="str">
            <v>BMED</v>
          </cell>
          <cell r="L1152" t="str">
            <v>Normal</v>
          </cell>
          <cell r="M1152" t="str">
            <v>Germany</v>
          </cell>
          <cell r="N1152" t="str">
            <v>Sartorius</v>
          </cell>
          <cell r="O1152" t="str">
            <v>Sartorius TE612</v>
          </cell>
          <cell r="P1152" t="str">
            <v>28103586</v>
          </cell>
          <cell r="Q1152" t="str">
            <v>Not Applicable</v>
          </cell>
          <cell r="R1152" t="str">
            <v>Sartorius AG</v>
          </cell>
          <cell r="S1152" t="str">
            <v>Chemopharm Sd. Bhd.</v>
          </cell>
          <cell r="T1152" t="str">
            <v>Functioning</v>
          </cell>
          <cell r="U1152" t="str">
            <v>Asset</v>
          </cell>
          <cell r="V1152">
            <v>1560</v>
          </cell>
          <cell r="W1152" t="str">
            <v>KEW</v>
          </cell>
          <cell r="X1152" t="str">
            <v>01/09/2010</v>
          </cell>
          <cell r="Y1152" t="str">
            <v>KEW</v>
          </cell>
          <cell r="Z1152" t="str">
            <v>16/08/2013</v>
          </cell>
          <cell r="AA1152" t="str">
            <v>15/08/2015</v>
          </cell>
          <cell r="AB1152" t="str">
            <v>No</v>
          </cell>
          <cell r="AC1152" t="str">
            <v>31/08/2013</v>
          </cell>
          <cell r="AD1152" t="str">
            <v>Good</v>
          </cell>
          <cell r="AE1152" t="str">
            <v>V1 - Existing / No Claim</v>
          </cell>
          <cell r="AF1152">
            <v>42235</v>
          </cell>
          <cell r="AG1152">
            <v>9.17</v>
          </cell>
          <cell r="AH1152" t="str">
            <v>PPM</v>
          </cell>
          <cell r="AI1152" t="str">
            <v>Strands</v>
          </cell>
          <cell r="AJ1152" t="str">
            <v>Strands PW</v>
          </cell>
          <cell r="AK1152" t="str">
            <v>kkm no dah tukar pada10/9/2024</v>
          </cell>
        </row>
        <row r="1153">
          <cell r="A1153" t="str">
            <v>IKN400750</v>
          </cell>
          <cell r="B1153">
            <v>750</v>
          </cell>
          <cell r="C1153" t="str">
            <v>Institut Kanser Negara</v>
          </cell>
          <cell r="D1153" t="str">
            <v>KKM/IKN/H/13/3943 (NEW KKM/IKN/R/13/1122)</v>
          </cell>
          <cell r="E1153" t="str">
            <v>10-263</v>
          </cell>
          <cell r="F1153" t="str">
            <v>Balances, Electronic</v>
          </cell>
          <cell r="G1153" t="str">
            <v>LA</v>
          </cell>
          <cell r="H1153" t="str">
            <v>PATHOLOGY</v>
          </cell>
          <cell r="I1153" t="str">
            <v>04LA133</v>
          </cell>
          <cell r="J1153" t="str">
            <v>CHEMICAL PATHOLOGY 1</v>
          </cell>
          <cell r="K1153" t="str">
            <v>BMED</v>
          </cell>
          <cell r="L1153" t="str">
            <v>Normal</v>
          </cell>
          <cell r="M1153" t="str">
            <v>Germany</v>
          </cell>
          <cell r="N1153" t="str">
            <v>Sartorius</v>
          </cell>
          <cell r="O1153" t="str">
            <v>Sartorius TE612</v>
          </cell>
          <cell r="P1153" t="str">
            <v>28103587</v>
          </cell>
          <cell r="Q1153" t="str">
            <v>Not Applicable</v>
          </cell>
          <cell r="R1153" t="str">
            <v>Sartorius AG</v>
          </cell>
          <cell r="S1153" t="str">
            <v>Chemopharm Sd. Bhd.</v>
          </cell>
          <cell r="T1153" t="str">
            <v>Functioning</v>
          </cell>
          <cell r="U1153" t="str">
            <v>Asset</v>
          </cell>
          <cell r="V1153">
            <v>1560</v>
          </cell>
          <cell r="W1153" t="str">
            <v>KEW</v>
          </cell>
          <cell r="X1153" t="str">
            <v>01/09/2010</v>
          </cell>
          <cell r="Y1153" t="str">
            <v>KEW</v>
          </cell>
          <cell r="Z1153" t="str">
            <v>16/08/2013</v>
          </cell>
          <cell r="AA1153" t="str">
            <v>15/08/2015</v>
          </cell>
          <cell r="AB1153" t="str">
            <v>No</v>
          </cell>
          <cell r="AC1153" t="str">
            <v>31/08/2013</v>
          </cell>
          <cell r="AD1153" t="str">
            <v>Good</v>
          </cell>
          <cell r="AE1153" t="str">
            <v>V1 - Existing / No Claim</v>
          </cell>
          <cell r="AF1153">
            <v>42235</v>
          </cell>
          <cell r="AG1153">
            <v>9.17</v>
          </cell>
          <cell r="AH1153" t="str">
            <v>PPM</v>
          </cell>
          <cell r="AI1153" t="str">
            <v>Strands</v>
          </cell>
          <cell r="AJ1153" t="str">
            <v>Strands PW</v>
          </cell>
          <cell r="AK1153" t="str">
            <v>CUBA CHECK IKN400749 PUNYA KEWPA 
KKM/IKN/H/13/3943 (NEW KKM/IKN/R/13/1122)</v>
          </cell>
        </row>
        <row r="1154">
          <cell r="A1154" t="str">
            <v>IKN400753</v>
          </cell>
          <cell r="B1154">
            <v>753</v>
          </cell>
          <cell r="C1154" t="str">
            <v>Institut Kanser Negara</v>
          </cell>
          <cell r="D1154" t="str">
            <v>KKM/IKN/I/13/2912</v>
          </cell>
          <cell r="E1154" t="str">
            <v>15-161</v>
          </cell>
          <cell r="F1154" t="str">
            <v>Mixers, Clinical Laboratory</v>
          </cell>
          <cell r="G1154" t="str">
            <v>LA</v>
          </cell>
          <cell r="H1154" t="str">
            <v>PATHOLOGY</v>
          </cell>
          <cell r="I1154" t="str">
            <v>04LA126</v>
          </cell>
          <cell r="J1154" t="str">
            <v>MICROBIOLOGY UNIT</v>
          </cell>
          <cell r="K1154" t="str">
            <v>BMED</v>
          </cell>
          <cell r="L1154" t="str">
            <v>Normal</v>
          </cell>
          <cell r="M1154" t="str">
            <v>UK</v>
          </cell>
          <cell r="N1154" t="str">
            <v>Stuart</v>
          </cell>
          <cell r="O1154" t="str">
            <v>Stuart SA8</v>
          </cell>
          <cell r="P1154" t="str">
            <v>R800004645</v>
          </cell>
          <cell r="Q1154" t="str">
            <v>Not Applicable</v>
          </cell>
          <cell r="R1154" t="str">
            <v>Stuart Scientific Co Ltd</v>
          </cell>
          <cell r="S1154" t="str">
            <v>Bumi Sains Sdn. Bhd.</v>
          </cell>
          <cell r="T1154" t="str">
            <v>Functioning</v>
          </cell>
          <cell r="U1154" t="str">
            <v>Asset</v>
          </cell>
          <cell r="V1154">
            <v>1200</v>
          </cell>
          <cell r="W1154" t="str">
            <v>KEW</v>
          </cell>
          <cell r="X1154" t="str">
            <v>01/09/2010</v>
          </cell>
          <cell r="Y1154" t="str">
            <v>KEW</v>
          </cell>
          <cell r="Z1154" t="str">
            <v>16/08/2013</v>
          </cell>
          <cell r="AA1154" t="str">
            <v>15/08/2015</v>
          </cell>
          <cell r="AB1154" t="str">
            <v>No</v>
          </cell>
          <cell r="AC1154" t="str">
            <v>31/08/2013</v>
          </cell>
          <cell r="AD1154" t="str">
            <v>Good</v>
          </cell>
          <cell r="AE1154" t="str">
            <v>V1 - Existing / No Claim</v>
          </cell>
          <cell r="AF1154">
            <v>42235</v>
          </cell>
          <cell r="AG1154">
            <v>9.17</v>
          </cell>
          <cell r="AH1154" t="str">
            <v>PPM</v>
          </cell>
          <cell r="AI1154" t="str">
            <v>Strands</v>
          </cell>
          <cell r="AJ1154" t="str">
            <v>Strands PW</v>
          </cell>
        </row>
        <row r="1155">
          <cell r="A1155" t="str">
            <v>IKN400754</v>
          </cell>
          <cell r="B1155">
            <v>754</v>
          </cell>
          <cell r="C1155" t="str">
            <v>Institut Kanser Negara</v>
          </cell>
          <cell r="D1155" t="str">
            <v>KKM/IKN/H/13/1869</v>
          </cell>
          <cell r="E1155" t="str">
            <v>18-449</v>
          </cell>
          <cell r="F1155" t="str">
            <v>Balances, Electronic, Analytical</v>
          </cell>
          <cell r="G1155" t="str">
            <v>LA</v>
          </cell>
          <cell r="H1155" t="str">
            <v>PATHOLOGY</v>
          </cell>
          <cell r="I1155" t="str">
            <v>04LA133</v>
          </cell>
          <cell r="J1155" t="str">
            <v>CHEMICAL PATHOLOGY 1</v>
          </cell>
          <cell r="K1155" t="str">
            <v>BMED</v>
          </cell>
          <cell r="L1155" t="str">
            <v>Normal</v>
          </cell>
          <cell r="M1155" t="str">
            <v>Germany</v>
          </cell>
          <cell r="N1155" t="str">
            <v>Sartorius</v>
          </cell>
          <cell r="O1155" t="str">
            <v>Sartorius AZ1502</v>
          </cell>
          <cell r="P1155" t="str">
            <v>28891663</v>
          </cell>
          <cell r="Q1155" t="str">
            <v>Not Applicable</v>
          </cell>
          <cell r="R1155" t="str">
            <v>Sartorius AG</v>
          </cell>
          <cell r="S1155" t="str">
            <v>Chemopharm Sd. Bhd.</v>
          </cell>
          <cell r="T1155" t="str">
            <v>Functioning</v>
          </cell>
          <cell r="U1155" t="str">
            <v>Asset</v>
          </cell>
          <cell r="V1155">
            <v>1560</v>
          </cell>
          <cell r="W1155" t="str">
            <v>KEW</v>
          </cell>
          <cell r="X1155" t="str">
            <v>01/09/2010</v>
          </cell>
          <cell r="Y1155" t="str">
            <v>KEW</v>
          </cell>
          <cell r="Z1155" t="str">
            <v>16/08/2013</v>
          </cell>
          <cell r="AA1155" t="str">
            <v>15/08/2015</v>
          </cell>
          <cell r="AB1155" t="str">
            <v>No</v>
          </cell>
          <cell r="AC1155" t="str">
            <v>31/08/2013</v>
          </cell>
          <cell r="AD1155" t="str">
            <v>Good</v>
          </cell>
          <cell r="AE1155" t="str">
            <v>V1 - Existing / No Claim</v>
          </cell>
          <cell r="AF1155">
            <v>42235</v>
          </cell>
          <cell r="AG1155">
            <v>9.17</v>
          </cell>
          <cell r="AH1155" t="str">
            <v>PPM</v>
          </cell>
          <cell r="AI1155" t="str">
            <v>Strands</v>
          </cell>
          <cell r="AJ1155" t="str">
            <v>Strands PW</v>
          </cell>
          <cell r="AK1155" t="str">
            <v>5/5/23: UPDATE MODEL (INDIRA). [2/4/2024]: TUKAR ASSET DESCRIPTION (Balances, Electronic, Analytical) DAN TASK CODE.</v>
          </cell>
        </row>
        <row r="1156">
          <cell r="A1156" t="str">
            <v>IKN400755</v>
          </cell>
          <cell r="B1156">
            <v>755</v>
          </cell>
          <cell r="C1156" t="str">
            <v>Institut Kanser Negara</v>
          </cell>
          <cell r="D1156" t="str">
            <v>KKM/IKN/H/13/4672</v>
          </cell>
          <cell r="E1156" t="str">
            <v>15-098</v>
          </cell>
          <cell r="F1156" t="str">
            <v>Analyzers, Laboratory, Hematology, Coagulation, Automated</v>
          </cell>
          <cell r="G1156" t="str">
            <v>LA</v>
          </cell>
          <cell r="H1156" t="str">
            <v>PATHOLOGY</v>
          </cell>
          <cell r="I1156" t="str">
            <v>04LA132</v>
          </cell>
          <cell r="J1156" t="str">
            <v>HAEMATOLOGY LAB 2</v>
          </cell>
          <cell r="K1156" t="str">
            <v>BMED</v>
          </cell>
          <cell r="L1156" t="str">
            <v>Normal</v>
          </cell>
          <cell r="M1156" t="str">
            <v>Italy</v>
          </cell>
          <cell r="N1156" t="str">
            <v>ACL Elite</v>
          </cell>
          <cell r="O1156" t="str">
            <v>ACL Elite Pro</v>
          </cell>
          <cell r="P1156" t="str">
            <v>12072358</v>
          </cell>
          <cell r="Q1156" t="str">
            <v>Not Applicable</v>
          </cell>
          <cell r="R1156" t="str">
            <v>Insturmentation laboratory inc</v>
          </cell>
          <cell r="S1156" t="str">
            <v>Straits Scientific (M) Sdn Bhd</v>
          </cell>
          <cell r="T1156" t="str">
            <v>Functioning</v>
          </cell>
          <cell r="U1156" t="str">
            <v>Asset</v>
          </cell>
          <cell r="V1156">
            <v>105860</v>
          </cell>
          <cell r="W1156" t="str">
            <v>KEW</v>
          </cell>
          <cell r="X1156" t="str">
            <v>01/09/2010</v>
          </cell>
          <cell r="Y1156" t="str">
            <v>KEW</v>
          </cell>
          <cell r="Z1156" t="str">
            <v>16/08/2013</v>
          </cell>
          <cell r="AA1156" t="str">
            <v>15/08/2015</v>
          </cell>
          <cell r="AB1156" t="str">
            <v>No</v>
          </cell>
          <cell r="AC1156" t="str">
            <v>31/08/2013</v>
          </cell>
          <cell r="AD1156" t="str">
            <v>Good</v>
          </cell>
          <cell r="AE1156" t="str">
            <v>V1 - Existing / No Claim</v>
          </cell>
          <cell r="AF1156">
            <v>42790</v>
          </cell>
          <cell r="AG1156">
            <v>9.17</v>
          </cell>
          <cell r="AH1156" t="str">
            <v>PPM</v>
          </cell>
          <cell r="AI1156" t="str">
            <v>Strands</v>
          </cell>
          <cell r="AJ1156" t="str">
            <v>Strands Package</v>
          </cell>
          <cell r="AK1156" t="str">
            <v>Package Code LH0009-S</v>
          </cell>
        </row>
        <row r="1157">
          <cell r="A1157" t="str">
            <v>IKN400756</v>
          </cell>
          <cell r="B1157">
            <v>756</v>
          </cell>
          <cell r="C1157" t="str">
            <v>Institut Kanser Negara</v>
          </cell>
          <cell r="D1157" t="str">
            <v>KKM/IKN/H/13/4673</v>
          </cell>
          <cell r="E1157" t="str">
            <v>15-098</v>
          </cell>
          <cell r="F1157" t="str">
            <v>Analyzers, Laboratory, Hematology, Coagulation, Automated</v>
          </cell>
          <cell r="G1157" t="str">
            <v>LA</v>
          </cell>
          <cell r="H1157" t="str">
            <v>PATHOLOGY</v>
          </cell>
          <cell r="I1157" t="str">
            <v>04LA132</v>
          </cell>
          <cell r="J1157" t="str">
            <v>HAEMATOLOGY LAB 2</v>
          </cell>
          <cell r="K1157" t="str">
            <v>BMED</v>
          </cell>
          <cell r="L1157" t="str">
            <v>Normal</v>
          </cell>
          <cell r="M1157" t="str">
            <v>Italy</v>
          </cell>
          <cell r="N1157" t="str">
            <v>ACL TOP 300</v>
          </cell>
          <cell r="O1157" t="str">
            <v>ACL TOP 300</v>
          </cell>
          <cell r="P1157" t="str">
            <v>12090346</v>
          </cell>
          <cell r="Q1157" t="str">
            <v>Not Applicable</v>
          </cell>
          <cell r="R1157" t="str">
            <v>Insturmentation laboratory inc</v>
          </cell>
          <cell r="S1157" t="str">
            <v>Straits Scientific (M) Sdn Bhd</v>
          </cell>
          <cell r="T1157" t="str">
            <v>Functioning</v>
          </cell>
          <cell r="U1157" t="str">
            <v>Asset</v>
          </cell>
          <cell r="V1157">
            <v>105860</v>
          </cell>
          <cell r="W1157" t="str">
            <v>KEW</v>
          </cell>
          <cell r="X1157" t="str">
            <v>01/09/2010</v>
          </cell>
          <cell r="Y1157" t="str">
            <v>KEW</v>
          </cell>
          <cell r="Z1157" t="str">
            <v>16/08/2013</v>
          </cell>
          <cell r="AA1157" t="str">
            <v>15/08/2015</v>
          </cell>
          <cell r="AB1157" t="str">
            <v>No</v>
          </cell>
          <cell r="AC1157" t="str">
            <v>31/08/2013</v>
          </cell>
          <cell r="AD1157" t="str">
            <v>Good</v>
          </cell>
          <cell r="AE1157" t="str">
            <v>V1 - Existing / No Claim</v>
          </cell>
          <cell r="AF1157">
            <v>42790</v>
          </cell>
          <cell r="AG1157">
            <v>9.17</v>
          </cell>
          <cell r="AH1157" t="str">
            <v>PPM</v>
          </cell>
          <cell r="AI1157" t="str">
            <v>Strands</v>
          </cell>
          <cell r="AJ1157" t="str">
            <v>Strands Package</v>
          </cell>
          <cell r="AK1157" t="str">
            <v>Package Code LH0009-S</v>
          </cell>
        </row>
        <row r="1158">
          <cell r="A1158" t="str">
            <v>IKN400757</v>
          </cell>
          <cell r="B1158">
            <v>757</v>
          </cell>
          <cell r="C1158" t="str">
            <v>Institut Kanser Negara</v>
          </cell>
          <cell r="D1158" t="str">
            <v>KKM/IKN/H/13/1863</v>
          </cell>
          <cell r="E1158" t="str">
            <v>17-741</v>
          </cell>
          <cell r="F1158" t="str">
            <v>Analyzers, Laboratory, Hematology, Cell Counting, Automated</v>
          </cell>
          <cell r="G1158" t="str">
            <v>LA</v>
          </cell>
          <cell r="H1158" t="str">
            <v>PATHOLOGY</v>
          </cell>
          <cell r="I1158" t="str">
            <v>04LA131</v>
          </cell>
          <cell r="J1158" t="str">
            <v>HAEMATOLOGY LAB 1</v>
          </cell>
          <cell r="K1158" t="str">
            <v>BMED</v>
          </cell>
          <cell r="L1158" t="str">
            <v>Normal</v>
          </cell>
          <cell r="M1158" t="str">
            <v>Japan</v>
          </cell>
          <cell r="N1158" t="str">
            <v>Sysmex</v>
          </cell>
          <cell r="O1158" t="str">
            <v>Sysmex XN-3111</v>
          </cell>
          <cell r="P1158" t="str">
            <v>11465</v>
          </cell>
          <cell r="Q1158" t="str">
            <v>Not Applicable</v>
          </cell>
          <cell r="R1158" t="str">
            <v>Sysmex Corp</v>
          </cell>
          <cell r="S1158" t="str">
            <v>Metrojendela</v>
          </cell>
          <cell r="T1158" t="str">
            <v>Functioning</v>
          </cell>
          <cell r="U1158" t="str">
            <v>Asset</v>
          </cell>
          <cell r="V1158">
            <v>565350</v>
          </cell>
          <cell r="W1158" t="str">
            <v>KEW</v>
          </cell>
          <cell r="X1158" t="str">
            <v>01/09/2010</v>
          </cell>
          <cell r="Y1158" t="str">
            <v>KEW</v>
          </cell>
          <cell r="Z1158" t="str">
            <v>16/08/2013</v>
          </cell>
          <cell r="AA1158" t="str">
            <v>15/08/2015</v>
          </cell>
          <cell r="AB1158" t="str">
            <v>No</v>
          </cell>
          <cell r="AC1158" t="str">
            <v>31/08/2013</v>
          </cell>
          <cell r="AD1158" t="str">
            <v>Good</v>
          </cell>
          <cell r="AE1158" t="str">
            <v>V1 - Existing / No Claim</v>
          </cell>
          <cell r="AF1158">
            <v>42235</v>
          </cell>
          <cell r="AG1158">
            <v>9.17</v>
          </cell>
          <cell r="AH1158" t="str">
            <v>PPM</v>
          </cell>
          <cell r="AI1158" t="str">
            <v>Strands</v>
          </cell>
          <cell r="AJ1158" t="str">
            <v>Strands Package</v>
          </cell>
          <cell r="AK1158" t="str">
            <v>Package Code LH0006</v>
          </cell>
        </row>
        <row r="1159">
          <cell r="A1159" t="str">
            <v>IKN400758</v>
          </cell>
          <cell r="B1159">
            <v>758</v>
          </cell>
          <cell r="C1159" t="str">
            <v>Institut Kanser Negara</v>
          </cell>
          <cell r="D1159" t="str">
            <v>KKM/IKN/H/13/4685</v>
          </cell>
          <cell r="E1159" t="str">
            <v>16-378</v>
          </cell>
          <cell r="F1159" t="str">
            <v>Analyzers, Laboratory, Urine, Automated</v>
          </cell>
          <cell r="G1159" t="str">
            <v>LA</v>
          </cell>
          <cell r="H1159" t="str">
            <v>PATHOLOGY</v>
          </cell>
          <cell r="I1159" t="str">
            <v>04LA132</v>
          </cell>
          <cell r="J1159" t="str">
            <v>HAEMATOLOGY LAB 2</v>
          </cell>
          <cell r="K1159" t="str">
            <v>BMED</v>
          </cell>
          <cell r="L1159" t="str">
            <v>Critical</v>
          </cell>
          <cell r="M1159" t="str">
            <v>USA</v>
          </cell>
          <cell r="N1159" t="str">
            <v>Ichem</v>
          </cell>
          <cell r="O1159" t="str">
            <v>Ichem Velocity</v>
          </cell>
          <cell r="P1159" t="str">
            <v>V01473</v>
          </cell>
          <cell r="Q1159" t="str">
            <v>Not Applicable</v>
          </cell>
          <cell r="R1159" t="str">
            <v>Iris Medical Instruments Inc</v>
          </cell>
          <cell r="S1159" t="str">
            <v>Diagnostic Systems (M) Sdn Bhd</v>
          </cell>
          <cell r="T1159" t="str">
            <v>Functioning</v>
          </cell>
          <cell r="U1159" t="str">
            <v>Asset</v>
          </cell>
          <cell r="V1159">
            <v>36080</v>
          </cell>
          <cell r="W1159" t="str">
            <v>KEW</v>
          </cell>
          <cell r="X1159" t="str">
            <v>01/09/2010</v>
          </cell>
          <cell r="Y1159" t="str">
            <v>KEW</v>
          </cell>
          <cell r="Z1159" t="str">
            <v>16/08/2013</v>
          </cell>
          <cell r="AA1159" t="str">
            <v>15/08/2015</v>
          </cell>
          <cell r="AB1159" t="str">
            <v>No</v>
          </cell>
          <cell r="AC1159" t="str">
            <v>31/08/2013</v>
          </cell>
          <cell r="AD1159" t="str">
            <v>Good</v>
          </cell>
          <cell r="AE1159" t="str">
            <v>V1 - Existing / No Claim</v>
          </cell>
          <cell r="AF1159">
            <v>42790</v>
          </cell>
          <cell r="AG1159">
            <v>9.17</v>
          </cell>
          <cell r="AH1159" t="str">
            <v>PPM</v>
          </cell>
          <cell r="AI1159" t="str">
            <v>Strands</v>
          </cell>
          <cell r="AJ1159" t="str">
            <v>Strands Package</v>
          </cell>
          <cell r="AK1159" t="str">
            <v>Package Code LC0054</v>
          </cell>
        </row>
        <row r="1160">
          <cell r="A1160" t="str">
            <v>IKN400760</v>
          </cell>
          <cell r="B1160">
            <v>760</v>
          </cell>
          <cell r="C1160" t="str">
            <v>Institut Kanser Negara</v>
          </cell>
          <cell r="D1160" t="str">
            <v>KKM/IKN/H/13/1847</v>
          </cell>
          <cell r="E1160" t="str">
            <v>17-916</v>
          </cell>
          <cell r="F1160" t="str">
            <v>Analyzers, Laboratory, Immunoassay, Chemiluminescent</v>
          </cell>
          <cell r="G1160" t="str">
            <v>LA</v>
          </cell>
          <cell r="H1160" t="str">
            <v>PATHOLOGY</v>
          </cell>
          <cell r="I1160" t="str">
            <v>04LA133</v>
          </cell>
          <cell r="J1160" t="str">
            <v>CHEMICAL PATHOLOGY 1</v>
          </cell>
          <cell r="K1160" t="str">
            <v>BMED</v>
          </cell>
          <cell r="L1160" t="str">
            <v>Normal</v>
          </cell>
          <cell r="M1160" t="str">
            <v>USA</v>
          </cell>
          <cell r="N1160" t="str">
            <v>Advia Centaur</v>
          </cell>
          <cell r="O1160" t="str">
            <v>Advia Centaur CP</v>
          </cell>
          <cell r="P1160" t="str">
            <v>ROB300000252</v>
          </cell>
          <cell r="Q1160" t="str">
            <v>Not Applicable</v>
          </cell>
          <cell r="R1160" t="str">
            <v>Siemens Healthcare Diagnostics Inc</v>
          </cell>
          <cell r="S1160" t="str">
            <v>Siemens Malaysia Sdn. Bhd.</v>
          </cell>
          <cell r="T1160" t="str">
            <v>Functioning</v>
          </cell>
          <cell r="U1160" t="str">
            <v>Asset</v>
          </cell>
          <cell r="V1160">
            <v>505200</v>
          </cell>
          <cell r="W1160" t="str">
            <v>KEW</v>
          </cell>
          <cell r="X1160" t="str">
            <v>01/09/2010</v>
          </cell>
          <cell r="Y1160" t="str">
            <v>KEW</v>
          </cell>
          <cell r="Z1160" t="str">
            <v>16/08/2013</v>
          </cell>
          <cell r="AA1160" t="str">
            <v>15/08/2015</v>
          </cell>
          <cell r="AB1160" t="str">
            <v>No</v>
          </cell>
          <cell r="AC1160" t="str">
            <v>31/08/2013</v>
          </cell>
          <cell r="AD1160" t="str">
            <v>Good</v>
          </cell>
          <cell r="AE1160" t="str">
            <v>V1 - Existing / No Claim</v>
          </cell>
          <cell r="AF1160">
            <v>42235</v>
          </cell>
          <cell r="AG1160">
            <v>9.17</v>
          </cell>
          <cell r="AH1160" t="str">
            <v>PPM</v>
          </cell>
          <cell r="AI1160" t="str">
            <v>Strands</v>
          </cell>
          <cell r="AJ1160" t="str">
            <v>Strands Package</v>
          </cell>
          <cell r="AK1160" t="str">
            <v>Package Code LA0001</v>
          </cell>
        </row>
        <row r="1161">
          <cell r="A1161" t="str">
            <v>IKN400761</v>
          </cell>
          <cell r="B1161">
            <v>761</v>
          </cell>
          <cell r="C1161" t="str">
            <v>Institut Kanser Negara</v>
          </cell>
          <cell r="D1161" t="str">
            <v>KKM/IKN/H/13/1855</v>
          </cell>
          <cell r="E1161" t="str">
            <v>16-298</v>
          </cell>
          <cell r="F1161" t="str">
            <v>Analyzers, Laboratory, Clinical Chemistry, Automated</v>
          </cell>
          <cell r="G1161" t="str">
            <v>LA</v>
          </cell>
          <cell r="H1161" t="str">
            <v>PATHOLOGY</v>
          </cell>
          <cell r="I1161" t="str">
            <v>04LA133</v>
          </cell>
          <cell r="J1161" t="str">
            <v>CHEMICAL PATHOLOGY 1</v>
          </cell>
          <cell r="K1161" t="str">
            <v>BMED</v>
          </cell>
          <cell r="L1161" t="str">
            <v>Normal</v>
          </cell>
          <cell r="M1161" t="str">
            <v>Switzerland</v>
          </cell>
          <cell r="N1161" t="str">
            <v>Cobas</v>
          </cell>
          <cell r="O1161" t="str">
            <v>Cobas 6000</v>
          </cell>
          <cell r="P1161" t="str">
            <v>1296-14 &amp; 1206-09</v>
          </cell>
          <cell r="Q1161" t="str">
            <v>Not Applicable</v>
          </cell>
          <cell r="R1161" t="str">
            <v>Roche Diagnostics Corp</v>
          </cell>
          <cell r="S1161" t="str">
            <v>KL Scientific</v>
          </cell>
          <cell r="T1161" t="str">
            <v>Functioning</v>
          </cell>
          <cell r="U1161" t="str">
            <v>Asset</v>
          </cell>
          <cell r="V1161">
            <v>421005</v>
          </cell>
          <cell r="W1161" t="str">
            <v>KEW</v>
          </cell>
          <cell r="X1161" t="str">
            <v>01/09/2010</v>
          </cell>
          <cell r="Y1161" t="str">
            <v>KEW</v>
          </cell>
          <cell r="Z1161" t="str">
            <v>16/08/2013</v>
          </cell>
          <cell r="AA1161" t="str">
            <v>15/08/2015</v>
          </cell>
          <cell r="AB1161" t="str">
            <v>No</v>
          </cell>
          <cell r="AC1161" t="str">
            <v>31/08/2013</v>
          </cell>
          <cell r="AD1161" t="str">
            <v>Good</v>
          </cell>
          <cell r="AE1161" t="str">
            <v>V1 - Existing / No Claim</v>
          </cell>
          <cell r="AF1161">
            <v>42235</v>
          </cell>
          <cell r="AG1161">
            <v>9.17</v>
          </cell>
          <cell r="AH1161" t="str">
            <v>PPM</v>
          </cell>
          <cell r="AI1161" t="str">
            <v>Strands</v>
          </cell>
          <cell r="AJ1161" t="str">
            <v>Strands Package</v>
          </cell>
          <cell r="AK1161" t="str">
            <v>Package Code LC0035</v>
          </cell>
        </row>
        <row r="1162">
          <cell r="A1162" t="str">
            <v>IKN400762</v>
          </cell>
          <cell r="B1162">
            <v>762</v>
          </cell>
          <cell r="C1162" t="str">
            <v>Institut Kanser Negara</v>
          </cell>
          <cell r="D1162" t="str">
            <v>KKM/IKN/H/13/1854</v>
          </cell>
          <cell r="E1162" t="str">
            <v>17-916</v>
          </cell>
          <cell r="F1162" t="str">
            <v>Analyzers, Laboratory, Immunoassay, Chemiluminescent</v>
          </cell>
          <cell r="G1162" t="str">
            <v>LA</v>
          </cell>
          <cell r="H1162" t="str">
            <v>PATHOLOGY</v>
          </cell>
          <cell r="I1162" t="str">
            <v>04LA133</v>
          </cell>
          <cell r="J1162" t="str">
            <v>CHEMICAL PATHOLOGY 1</v>
          </cell>
          <cell r="K1162" t="str">
            <v>BMED</v>
          </cell>
          <cell r="L1162" t="str">
            <v>Normal</v>
          </cell>
          <cell r="M1162" t="str">
            <v>Germany</v>
          </cell>
          <cell r="N1162" t="str">
            <v>Abbott</v>
          </cell>
          <cell r="O1162" t="str">
            <v>Abbott Ci 4100</v>
          </cell>
          <cell r="P1162" t="str">
            <v>C400959/ I1SR52613</v>
          </cell>
          <cell r="Q1162" t="str">
            <v>Not Applicable</v>
          </cell>
          <cell r="R1162" t="str">
            <v>Abbott Laboratories</v>
          </cell>
          <cell r="S1162" t="str">
            <v>Abbott Laboratories (M) Sdn Bhd</v>
          </cell>
          <cell r="T1162" t="str">
            <v>Functioning</v>
          </cell>
          <cell r="U1162" t="str">
            <v>Asset</v>
          </cell>
          <cell r="V1162">
            <v>1443450</v>
          </cell>
          <cell r="W1162" t="str">
            <v>KEW</v>
          </cell>
          <cell r="X1162" t="str">
            <v>01/09/2010</v>
          </cell>
          <cell r="Y1162" t="str">
            <v>KEW</v>
          </cell>
          <cell r="Z1162" t="str">
            <v>16/08/2013</v>
          </cell>
          <cell r="AA1162" t="str">
            <v>15/08/2015</v>
          </cell>
          <cell r="AB1162" t="str">
            <v>No</v>
          </cell>
          <cell r="AC1162" t="str">
            <v>31/08/2013</v>
          </cell>
          <cell r="AD1162" t="str">
            <v>Good</v>
          </cell>
          <cell r="AE1162" t="str">
            <v>V1 - Existing / No Claim</v>
          </cell>
          <cell r="AF1162">
            <v>42235</v>
          </cell>
          <cell r="AG1162">
            <v>9.17</v>
          </cell>
          <cell r="AH1162" t="str">
            <v>PPM</v>
          </cell>
          <cell r="AI1162" t="str">
            <v>Strands</v>
          </cell>
          <cell r="AJ1162" t="str">
            <v>Strands Package</v>
          </cell>
          <cell r="AK1162" t="str">
            <v>Package Code LC0040</v>
          </cell>
        </row>
        <row r="1163">
          <cell r="A1163" t="str">
            <v>IKN400763</v>
          </cell>
          <cell r="B1163">
            <v>763</v>
          </cell>
          <cell r="C1163" t="str">
            <v>Institut Kanser Negara</v>
          </cell>
          <cell r="D1163" t="str">
            <v>KKM/IKN/I/13/2910</v>
          </cell>
          <cell r="E1163" t="str">
            <v>15-161</v>
          </cell>
          <cell r="F1163" t="str">
            <v>Mixers, Clinical Laboratory</v>
          </cell>
          <cell r="G1163" t="str">
            <v>LA</v>
          </cell>
          <cell r="H1163" t="str">
            <v>PATHOLOGY</v>
          </cell>
          <cell r="I1163" t="str">
            <v>04LA126</v>
          </cell>
          <cell r="J1163" t="str">
            <v>MICROBIOLOGY UNIT</v>
          </cell>
          <cell r="K1163" t="str">
            <v>BMED</v>
          </cell>
          <cell r="L1163" t="str">
            <v>Normal</v>
          </cell>
          <cell r="M1163" t="str">
            <v>UK</v>
          </cell>
          <cell r="N1163" t="str">
            <v>Stuart</v>
          </cell>
          <cell r="O1163" t="str">
            <v>Stuart SA8</v>
          </cell>
          <cell r="P1163" t="str">
            <v>R800004725</v>
          </cell>
          <cell r="Q1163" t="str">
            <v>Not Applicable</v>
          </cell>
          <cell r="R1163" t="str">
            <v>Stuart Scientific Co Ltd</v>
          </cell>
          <cell r="S1163" t="str">
            <v>Bumi Sains Sdn. Bhd.</v>
          </cell>
          <cell r="T1163" t="str">
            <v>Functioning</v>
          </cell>
          <cell r="U1163" t="str">
            <v>Asset</v>
          </cell>
          <cell r="V1163">
            <v>1200</v>
          </cell>
          <cell r="W1163" t="str">
            <v>KEW</v>
          </cell>
          <cell r="X1163" t="str">
            <v>01/09/2010</v>
          </cell>
          <cell r="Y1163" t="str">
            <v>KEW</v>
          </cell>
          <cell r="Z1163" t="str">
            <v>16/08/2013</v>
          </cell>
          <cell r="AA1163" t="str">
            <v>15/08/2015</v>
          </cell>
          <cell r="AB1163" t="str">
            <v>No</v>
          </cell>
          <cell r="AC1163" t="str">
            <v>31/08/2013</v>
          </cell>
          <cell r="AD1163" t="str">
            <v>Good</v>
          </cell>
          <cell r="AE1163" t="str">
            <v>V1 - Existing / No Claim</v>
          </cell>
          <cell r="AF1163">
            <v>42790</v>
          </cell>
          <cell r="AG1163">
            <v>9.17</v>
          </cell>
          <cell r="AH1163" t="str">
            <v>PPM</v>
          </cell>
          <cell r="AI1163" t="str">
            <v>Strands</v>
          </cell>
          <cell r="AJ1163" t="str">
            <v>Strands PW</v>
          </cell>
        </row>
        <row r="1164">
          <cell r="A1164" t="str">
            <v>IKN400764</v>
          </cell>
          <cell r="B1164">
            <v>764</v>
          </cell>
          <cell r="C1164" t="str">
            <v>Institut Kanser Negara</v>
          </cell>
          <cell r="D1164" t="str">
            <v>KKM/IKN/H/13/1868</v>
          </cell>
          <cell r="E1164" t="str">
            <v>10-263</v>
          </cell>
          <cell r="F1164" t="str">
            <v>Balances, Electronic</v>
          </cell>
          <cell r="G1164" t="str">
            <v>LA</v>
          </cell>
          <cell r="H1164" t="str">
            <v>PATHOLOGY</v>
          </cell>
          <cell r="I1164" t="str">
            <v>04LA126</v>
          </cell>
          <cell r="J1164" t="str">
            <v>MICROBIOLOGY UNIT</v>
          </cell>
          <cell r="K1164" t="str">
            <v>BMED</v>
          </cell>
          <cell r="L1164" t="str">
            <v>Normal</v>
          </cell>
          <cell r="M1164" t="str">
            <v>Germany</v>
          </cell>
          <cell r="N1164" t="str">
            <v>Sartorius</v>
          </cell>
          <cell r="O1164" t="str">
            <v>Sartorius TE12000</v>
          </cell>
          <cell r="P1164" t="str">
            <v>28103394</v>
          </cell>
          <cell r="Q1164" t="str">
            <v>Not Applicable</v>
          </cell>
          <cell r="R1164" t="str">
            <v>Sartorius AG</v>
          </cell>
          <cell r="S1164" t="str">
            <v>Chemopharm Sd. Bhd.</v>
          </cell>
          <cell r="T1164" t="str">
            <v>Functioning</v>
          </cell>
          <cell r="U1164" t="str">
            <v>Asset</v>
          </cell>
          <cell r="V1164">
            <v>6260</v>
          </cell>
          <cell r="W1164" t="str">
            <v>KEW</v>
          </cell>
          <cell r="X1164" t="str">
            <v>01/09/2010</v>
          </cell>
          <cell r="Y1164" t="str">
            <v>KEW</v>
          </cell>
          <cell r="Z1164" t="str">
            <v>16/08/2013</v>
          </cell>
          <cell r="AA1164" t="str">
            <v>15/08/2015</v>
          </cell>
          <cell r="AB1164" t="str">
            <v>No</v>
          </cell>
          <cell r="AC1164" t="str">
            <v>31/08/2013</v>
          </cell>
          <cell r="AD1164" t="str">
            <v>Good</v>
          </cell>
          <cell r="AE1164" t="str">
            <v>V1 - Existing / No Claim</v>
          </cell>
          <cell r="AF1164">
            <v>42790</v>
          </cell>
          <cell r="AG1164">
            <v>9.17</v>
          </cell>
          <cell r="AH1164" t="str">
            <v>PPM</v>
          </cell>
          <cell r="AI1164" t="str">
            <v>Strands</v>
          </cell>
          <cell r="AJ1164" t="str">
            <v>Strands PW</v>
          </cell>
        </row>
        <row r="1165">
          <cell r="A1165" t="str">
            <v>IKN400766</v>
          </cell>
          <cell r="B1165">
            <v>766</v>
          </cell>
          <cell r="C1165" t="str">
            <v>Institut Kanser Negara</v>
          </cell>
          <cell r="D1165" t="str">
            <v>KKM/IKN/H/13/2742</v>
          </cell>
          <cell r="E1165" t="str">
            <v>13-272</v>
          </cell>
          <cell r="F1165" t="str">
            <v>Radiographic Units, Mobile</v>
          </cell>
          <cell r="G1165" t="str">
            <v>ID</v>
          </cell>
          <cell r="H1165" t="str">
            <v>IMAGING DEPARTMENT</v>
          </cell>
          <cell r="I1165" t="str">
            <v>03ID106</v>
          </cell>
          <cell r="J1165" t="str">
            <v>MOBILE X-RAY</v>
          </cell>
          <cell r="K1165" t="str">
            <v>BMED</v>
          </cell>
          <cell r="L1165" t="str">
            <v>Normal</v>
          </cell>
          <cell r="M1165" t="str">
            <v>USA</v>
          </cell>
          <cell r="N1165" t="str">
            <v>Carestream</v>
          </cell>
          <cell r="O1165" t="str">
            <v>Carestream DRX-Revolution</v>
          </cell>
          <cell r="P1165" t="str">
            <v>0252</v>
          </cell>
          <cell r="Q1165" t="str">
            <v>Not Applicable</v>
          </cell>
          <cell r="R1165" t="str">
            <v>Carestream Health Inc</v>
          </cell>
          <cell r="S1165" t="str">
            <v>Best Contact (M) Sdn Bhd</v>
          </cell>
          <cell r="T1165" t="str">
            <v>Functioning</v>
          </cell>
          <cell r="U1165" t="str">
            <v>Asset</v>
          </cell>
          <cell r="V1165">
            <v>1149550</v>
          </cell>
          <cell r="W1165" t="str">
            <v>KEW</v>
          </cell>
          <cell r="X1165" t="str">
            <v>01/09/2010</v>
          </cell>
          <cell r="Y1165" t="str">
            <v>KEW</v>
          </cell>
          <cell r="Z1165" t="str">
            <v>16/08/2013</v>
          </cell>
          <cell r="AA1165" t="str">
            <v>15/08/2015</v>
          </cell>
          <cell r="AB1165" t="str">
            <v>No</v>
          </cell>
          <cell r="AC1165" t="str">
            <v>31/08/2013</v>
          </cell>
          <cell r="AD1165" t="str">
            <v>Good</v>
          </cell>
          <cell r="AE1165" t="str">
            <v>V1 - Existing / No Claim</v>
          </cell>
          <cell r="AF1165">
            <v>42235</v>
          </cell>
          <cell r="AG1165">
            <v>9.17</v>
          </cell>
          <cell r="AH1165" t="str">
            <v>PPM</v>
          </cell>
          <cell r="AI1165" t="str">
            <v>Strands</v>
          </cell>
          <cell r="AJ1165" t="str">
            <v>Strands PW</v>
          </cell>
        </row>
        <row r="1166">
          <cell r="A1166" t="str">
            <v>IKN400767</v>
          </cell>
          <cell r="B1166">
            <v>767</v>
          </cell>
          <cell r="C1166" t="str">
            <v>Institut Kanser Negara</v>
          </cell>
          <cell r="D1166" t="e">
            <v>#N/A</v>
          </cell>
          <cell r="E1166" t="str">
            <v>11-134</v>
          </cell>
          <cell r="F1166" t="str">
            <v>Defibrillators, External, Manual</v>
          </cell>
          <cell r="G1166" t="str">
            <v>ID</v>
          </cell>
          <cell r="H1166" t="str">
            <v>IMAGING DEPARTMENT</v>
          </cell>
          <cell r="I1166" t="str">
            <v>03ID107</v>
          </cell>
          <cell r="J1166" t="str">
            <v>RESUS EQ.BAY</v>
          </cell>
          <cell r="K1166" t="str">
            <v>BMED</v>
          </cell>
          <cell r="L1166" t="str">
            <v>Critical</v>
          </cell>
          <cell r="M1166" t="str">
            <v>USA</v>
          </cell>
          <cell r="N1166" t="str">
            <v>Responder</v>
          </cell>
          <cell r="O1166" t="str">
            <v>Responder 2000</v>
          </cell>
          <cell r="P1166" t="str">
            <v>3206649</v>
          </cell>
          <cell r="Q1166" t="str">
            <v>Not Applicable</v>
          </cell>
          <cell r="R1166" t="str">
            <v>GE Medical Systems</v>
          </cell>
          <cell r="S1166" t="str">
            <v>Antah Sir Radin Sdn. Bhd.</v>
          </cell>
          <cell r="T1166" t="str">
            <v>Functioning</v>
          </cell>
          <cell r="U1166" t="str">
            <v>Asset</v>
          </cell>
          <cell r="V1166">
            <v>45000</v>
          </cell>
          <cell r="W1166" t="str">
            <v>Estimate</v>
          </cell>
          <cell r="X1166" t="str">
            <v>01/09/2010</v>
          </cell>
          <cell r="Y1166" t="str">
            <v>KEW</v>
          </cell>
          <cell r="Z1166" t="str">
            <v>16/08/2013</v>
          </cell>
          <cell r="AA1166" t="str">
            <v>15/08/2015</v>
          </cell>
          <cell r="AB1166" t="str">
            <v>No</v>
          </cell>
          <cell r="AC1166" t="str">
            <v>31/08/2013</v>
          </cell>
          <cell r="AD1166" t="str">
            <v>Good</v>
          </cell>
          <cell r="AE1166" t="str">
            <v>V1 - Existing / No Claim</v>
          </cell>
          <cell r="AF1166">
            <v>42601</v>
          </cell>
          <cell r="AG1166">
            <v>9.17</v>
          </cell>
          <cell r="AH1166" t="str">
            <v>PPM</v>
          </cell>
          <cell r="AI1166" t="str">
            <v>Strands</v>
          </cell>
          <cell r="AJ1166" t="str">
            <v>Strands PW</v>
          </cell>
          <cell r="AK1166" t="str">
            <v>Crash Trolley (FEMS)</v>
          </cell>
        </row>
        <row r="1167">
          <cell r="A1167" t="str">
            <v>IKN400768</v>
          </cell>
          <cell r="B1167">
            <v>768</v>
          </cell>
          <cell r="C1167" t="str">
            <v>Institut Kanser Negara</v>
          </cell>
          <cell r="D1167" t="str">
            <v>KKM/IKN/H/13/2748</v>
          </cell>
          <cell r="E1167" t="str">
            <v>12-647</v>
          </cell>
          <cell r="F1167" t="str">
            <v>Physiologic Monitoring Systems, Acute Care</v>
          </cell>
          <cell r="G1167" t="str">
            <v>ID</v>
          </cell>
          <cell r="H1167" t="str">
            <v>IMAGING DEPARTMENT</v>
          </cell>
          <cell r="I1167" t="str">
            <v>03ID108</v>
          </cell>
          <cell r="J1167" t="str">
            <v>RECOVERY/ BED WAIT</v>
          </cell>
          <cell r="K1167" t="str">
            <v>BMED</v>
          </cell>
          <cell r="L1167" t="str">
            <v>Critical</v>
          </cell>
          <cell r="M1167" t="str">
            <v>Finland</v>
          </cell>
          <cell r="N1167" t="str">
            <v>Carespace</v>
          </cell>
          <cell r="O1167" t="str">
            <v>Carespace B850</v>
          </cell>
          <cell r="P1167" t="str">
            <v>SED12370784GA</v>
          </cell>
          <cell r="Q1167" t="str">
            <v>Not Applicable</v>
          </cell>
          <cell r="R1167" t="str">
            <v>GE Healthcare Systems</v>
          </cell>
          <cell r="S1167" t="str">
            <v>GE Healthcare Technologies</v>
          </cell>
          <cell r="T1167" t="str">
            <v>Functioning</v>
          </cell>
          <cell r="U1167" t="str">
            <v>Asset</v>
          </cell>
          <cell r="V1167">
            <v>87400</v>
          </cell>
          <cell r="W1167" t="str">
            <v>KEW</v>
          </cell>
          <cell r="X1167" t="str">
            <v>01/09/2010</v>
          </cell>
          <cell r="Y1167" t="str">
            <v>KEW</v>
          </cell>
          <cell r="Z1167" t="str">
            <v>16/08/2013</v>
          </cell>
          <cell r="AA1167" t="str">
            <v>15/08/2015</v>
          </cell>
          <cell r="AB1167" t="str">
            <v>No</v>
          </cell>
          <cell r="AC1167" t="str">
            <v>31/08/2013</v>
          </cell>
          <cell r="AD1167" t="str">
            <v>Good</v>
          </cell>
          <cell r="AE1167" t="str">
            <v>V1 - Existing / No Claim</v>
          </cell>
          <cell r="AF1167">
            <v>42791</v>
          </cell>
          <cell r="AG1167">
            <v>9.17</v>
          </cell>
          <cell r="AH1167" t="str">
            <v>PPM</v>
          </cell>
          <cell r="AI1167" t="str">
            <v>Strands</v>
          </cell>
          <cell r="AJ1167" t="str">
            <v>Strands PW</v>
          </cell>
        </row>
        <row r="1168">
          <cell r="A1168" t="str">
            <v>IKN400769</v>
          </cell>
          <cell r="B1168">
            <v>769</v>
          </cell>
          <cell r="C1168" t="str">
            <v>Institut Kanser Negara</v>
          </cell>
          <cell r="D1168" t="str">
            <v>KKM/IKN/H/13/2749</v>
          </cell>
          <cell r="E1168" t="str">
            <v>12-647</v>
          </cell>
          <cell r="F1168" t="str">
            <v>Physiologic Monitoring Systems, Acute Care</v>
          </cell>
          <cell r="G1168" t="str">
            <v>ID</v>
          </cell>
          <cell r="H1168" t="str">
            <v>IMAGING DEPARTMENT</v>
          </cell>
          <cell r="I1168" t="str">
            <v>03ID108</v>
          </cell>
          <cell r="J1168" t="str">
            <v>RECOVERY/ BED WAIT</v>
          </cell>
          <cell r="K1168" t="str">
            <v>BMED</v>
          </cell>
          <cell r="L1168" t="str">
            <v>Normal</v>
          </cell>
          <cell r="M1168" t="str">
            <v>Finland</v>
          </cell>
          <cell r="N1168" t="str">
            <v>CareScape</v>
          </cell>
          <cell r="O1168" t="str">
            <v>CareScape B650</v>
          </cell>
          <cell r="P1168" t="str">
            <v>SEW12357356HA</v>
          </cell>
          <cell r="Q1168" t="str">
            <v>Not Applicable</v>
          </cell>
          <cell r="R1168" t="str">
            <v>GE Medical Systems</v>
          </cell>
          <cell r="S1168" t="str">
            <v>GE Healthcare Technologies</v>
          </cell>
          <cell r="T1168" t="str">
            <v>Functioning</v>
          </cell>
          <cell r="U1168" t="str">
            <v>Asset</v>
          </cell>
          <cell r="V1168">
            <v>87400</v>
          </cell>
          <cell r="W1168" t="str">
            <v>KEW</v>
          </cell>
          <cell r="X1168" t="str">
            <v>01/09/2010</v>
          </cell>
          <cell r="Y1168" t="str">
            <v>KEW</v>
          </cell>
          <cell r="Z1168" t="str">
            <v>16/08/2013</v>
          </cell>
          <cell r="AA1168" t="str">
            <v>15/08/2015</v>
          </cell>
          <cell r="AB1168" t="str">
            <v>No</v>
          </cell>
          <cell r="AC1168" t="str">
            <v>31/08/2013</v>
          </cell>
          <cell r="AD1168" t="str">
            <v>Good</v>
          </cell>
          <cell r="AE1168" t="str">
            <v>V1 - Existing / No Claim</v>
          </cell>
          <cell r="AF1168">
            <v>42235</v>
          </cell>
          <cell r="AG1168">
            <v>9.17</v>
          </cell>
          <cell r="AH1168" t="str">
            <v>PPM</v>
          </cell>
          <cell r="AI1168" t="str">
            <v>Strands</v>
          </cell>
          <cell r="AJ1168" t="str">
            <v>Strands PW</v>
          </cell>
        </row>
        <row r="1169">
          <cell r="A1169" t="str">
            <v>IKN400770</v>
          </cell>
          <cell r="B1169">
            <v>770</v>
          </cell>
          <cell r="C1169" t="str">
            <v>Institut Kanser Negara</v>
          </cell>
          <cell r="D1169" t="str">
            <v>KKM/IKN/H/13/4773</v>
          </cell>
          <cell r="E1169" t="str">
            <v>17-968</v>
          </cell>
          <cell r="F1169" t="str">
            <v>Injectors, Contrast Media</v>
          </cell>
          <cell r="G1169" t="str">
            <v>ID</v>
          </cell>
          <cell r="H1169" t="str">
            <v>IMAGING DEPARTMENT</v>
          </cell>
          <cell r="I1169" t="str">
            <v>03ID164</v>
          </cell>
          <cell r="J1169" t="str">
            <v>ANGIO(VE)</v>
          </cell>
          <cell r="K1169" t="str">
            <v>BMED</v>
          </cell>
          <cell r="L1169" t="str">
            <v>Critical</v>
          </cell>
          <cell r="M1169" t="str">
            <v>USA</v>
          </cell>
          <cell r="N1169" t="str">
            <v>Mark</v>
          </cell>
          <cell r="O1169" t="str">
            <v>Mark V Provis</v>
          </cell>
          <cell r="P1169" t="str">
            <v>200014</v>
          </cell>
          <cell r="Q1169" t="str">
            <v>Not Applicable</v>
          </cell>
          <cell r="R1169" t="str">
            <v>Medrad</v>
          </cell>
          <cell r="S1169" t="str">
            <v>Advance Altimas Sdn Bhd</v>
          </cell>
          <cell r="T1169" t="str">
            <v>Functioning</v>
          </cell>
          <cell r="U1169" t="str">
            <v>Asset</v>
          </cell>
          <cell r="V1169">
            <v>100000</v>
          </cell>
          <cell r="W1169" t="str">
            <v>Estimate</v>
          </cell>
          <cell r="X1169" t="str">
            <v>01/09/2010</v>
          </cell>
          <cell r="Y1169" t="str">
            <v>KEW</v>
          </cell>
          <cell r="Z1169" t="str">
            <v>16/08/2013</v>
          </cell>
          <cell r="AA1169" t="str">
            <v>15/08/2015</v>
          </cell>
          <cell r="AB1169" t="str">
            <v>No</v>
          </cell>
          <cell r="AC1169" t="str">
            <v>31/08/2013</v>
          </cell>
          <cell r="AD1169" t="str">
            <v>Good</v>
          </cell>
          <cell r="AE1169" t="str">
            <v>V1 - Existing / No Claim</v>
          </cell>
          <cell r="AF1169">
            <v>42601</v>
          </cell>
          <cell r="AG1169">
            <v>9.17</v>
          </cell>
          <cell r="AH1169" t="str">
            <v>PPM</v>
          </cell>
          <cell r="AI1169" t="str">
            <v>Strands</v>
          </cell>
          <cell r="AJ1169" t="str">
            <v>Strands Package</v>
          </cell>
          <cell r="AK1169" t="str">
            <v>Package Code XE0004. [4/6/2024, ANIS]: UPDATE NO. KKM</v>
          </cell>
        </row>
        <row r="1170">
          <cell r="A1170" t="str">
            <v>IKN400771</v>
          </cell>
          <cell r="B1170">
            <v>771</v>
          </cell>
          <cell r="C1170" t="str">
            <v>Institut Kanser Negara</v>
          </cell>
          <cell r="D1170" t="str">
            <v>KKM/IKN/H/14/57</v>
          </cell>
          <cell r="E1170" t="str">
            <v>15-976</v>
          </cell>
          <cell r="F1170" t="str">
            <v>Scanning Systems, Ultrasonic, General-Purpose</v>
          </cell>
          <cell r="G1170" t="str">
            <v>IC</v>
          </cell>
          <cell r="H1170" t="str">
            <v>INTENSIVE CARE UNIT</v>
          </cell>
          <cell r="I1170" t="str">
            <v>05IC106</v>
          </cell>
          <cell r="J1170" t="str">
            <v>ANGIO(VE)</v>
          </cell>
          <cell r="K1170" t="str">
            <v>BMED</v>
          </cell>
          <cell r="L1170" t="str">
            <v>Normal</v>
          </cell>
          <cell r="M1170" t="str">
            <v>China</v>
          </cell>
          <cell r="N1170" t="str">
            <v>Mindray</v>
          </cell>
          <cell r="O1170" t="str">
            <v>Mindray M7</v>
          </cell>
          <cell r="P1170" t="str">
            <v>NW-49004328</v>
          </cell>
          <cell r="Q1170" t="str">
            <v>Not Applicable</v>
          </cell>
          <cell r="R1170" t="str">
            <v>Shenzhen Mindray Bio-Medical Electronics Co Ltd</v>
          </cell>
          <cell r="S1170" t="str">
            <v>Mediliance (M) Sdn. Bhd.</v>
          </cell>
          <cell r="T1170" t="str">
            <v>Functioning</v>
          </cell>
          <cell r="U1170" t="str">
            <v>Asset</v>
          </cell>
          <cell r="V1170">
            <v>155000</v>
          </cell>
          <cell r="W1170" t="str">
            <v>KEW</v>
          </cell>
          <cell r="X1170" t="str">
            <v>05/09/2014</v>
          </cell>
          <cell r="Y1170" t="str">
            <v>KEW</v>
          </cell>
          <cell r="Z1170" t="str">
            <v>23/10/2014</v>
          </cell>
          <cell r="AA1170" t="str">
            <v>22/10/2018</v>
          </cell>
          <cell r="AB1170" t="str">
            <v>No</v>
          </cell>
          <cell r="AC1170" t="str">
            <v>23/10/2014</v>
          </cell>
          <cell r="AD1170" t="str">
            <v>Good</v>
          </cell>
          <cell r="AE1170" t="str">
            <v>V3 - Added Installed Facilities (New)</v>
          </cell>
          <cell r="AF1170">
            <v>42678</v>
          </cell>
          <cell r="AG1170">
            <v>5.17</v>
          </cell>
          <cell r="AH1170" t="str">
            <v>PPM</v>
          </cell>
          <cell r="AI1170" t="str">
            <v>Strands</v>
          </cell>
          <cell r="AJ1170" t="str">
            <v>Strands PW</v>
          </cell>
          <cell r="AK1170" t="str">
            <v>SNF received on 22.6.2020. [8/2/2024]: CHANGE LOC ID TO ICU.</v>
          </cell>
        </row>
        <row r="1171">
          <cell r="A1171" t="str">
            <v>IKN400772</v>
          </cell>
          <cell r="B1171">
            <v>772</v>
          </cell>
          <cell r="C1171" t="str">
            <v>Institut Kanser Negara</v>
          </cell>
          <cell r="D1171" t="str">
            <v>KKM/IKN/H/13/4288</v>
          </cell>
          <cell r="E1171" t="str">
            <v>13-249</v>
          </cell>
          <cell r="F1171" t="str">
            <v>Warming Units, Patient, Radiant, Adult</v>
          </cell>
          <cell r="G1171" t="str">
            <v>ID</v>
          </cell>
          <cell r="H1171" t="str">
            <v>IMAGING DEPARTMENT</v>
          </cell>
          <cell r="I1171" t="str">
            <v>03ID109</v>
          </cell>
          <cell r="J1171" t="str">
            <v>INDUCTION</v>
          </cell>
          <cell r="K1171" t="str">
            <v>BMED</v>
          </cell>
          <cell r="L1171" t="str">
            <v>Normal</v>
          </cell>
          <cell r="M1171" t="str">
            <v>Sweden</v>
          </cell>
          <cell r="N1171" t="str">
            <v>Aragona</v>
          </cell>
          <cell r="O1171" t="str">
            <v>Aragona MTC-410</v>
          </cell>
          <cell r="P1171" t="str">
            <v>1201</v>
          </cell>
          <cell r="Q1171" t="str">
            <v>Not Applicable</v>
          </cell>
          <cell r="R1171" t="str">
            <v>Aspira Medical AB</v>
          </cell>
          <cell r="S1171" t="str">
            <v>Perniagaan Med Tech</v>
          </cell>
          <cell r="T1171" t="str">
            <v>Functioning</v>
          </cell>
          <cell r="U1171" t="str">
            <v>Asset</v>
          </cell>
          <cell r="V1171">
            <v>12630</v>
          </cell>
          <cell r="W1171" t="str">
            <v>KEW</v>
          </cell>
          <cell r="X1171" t="str">
            <v>01/09/2010</v>
          </cell>
          <cell r="Y1171" t="str">
            <v>KEW</v>
          </cell>
          <cell r="Z1171" t="str">
            <v>16/08/2013</v>
          </cell>
          <cell r="AA1171" t="str">
            <v>15/08/2015</v>
          </cell>
          <cell r="AB1171" t="str">
            <v>No</v>
          </cell>
          <cell r="AC1171" t="str">
            <v>31/08/2013</v>
          </cell>
          <cell r="AD1171" t="str">
            <v>Good</v>
          </cell>
          <cell r="AE1171" t="str">
            <v>V1 - Existing / No Claim</v>
          </cell>
          <cell r="AF1171">
            <v>42235</v>
          </cell>
          <cell r="AG1171">
            <v>9.17</v>
          </cell>
          <cell r="AH1171" t="str">
            <v>PPM</v>
          </cell>
          <cell r="AI1171" t="str">
            <v>Strands</v>
          </cell>
          <cell r="AJ1171" t="str">
            <v>Strands PW</v>
          </cell>
        </row>
        <row r="1172">
          <cell r="A1172" t="str">
            <v>IKN400773</v>
          </cell>
          <cell r="B1172">
            <v>773</v>
          </cell>
          <cell r="C1172" t="str">
            <v>Institut Kanser Negara</v>
          </cell>
          <cell r="D1172" t="str">
            <v>KKM/IKN/H/14/52</v>
          </cell>
          <cell r="E1172" t="str">
            <v>15-976</v>
          </cell>
          <cell r="F1172" t="str">
            <v>Scanning Systems, Ultrasonic, General-Purpose</v>
          </cell>
          <cell r="G1172" t="str">
            <v>ID</v>
          </cell>
          <cell r="H1172" t="str">
            <v>IMAGING DEPARTMENT</v>
          </cell>
          <cell r="I1172" t="str">
            <v>03ID164</v>
          </cell>
          <cell r="J1172" t="str">
            <v>ANGIO(VE)</v>
          </cell>
          <cell r="K1172" t="str">
            <v>BMED</v>
          </cell>
          <cell r="L1172" t="str">
            <v>Normal</v>
          </cell>
          <cell r="M1172" t="str">
            <v>USA</v>
          </cell>
          <cell r="N1172" t="str">
            <v>Accuson</v>
          </cell>
          <cell r="O1172" t="str">
            <v>Accuson Freestyle</v>
          </cell>
          <cell r="P1172" t="str">
            <v>1275</v>
          </cell>
          <cell r="Q1172" t="str">
            <v>Not Applicable</v>
          </cell>
          <cell r="R1172" t="str">
            <v>Siemens Medical Systems</v>
          </cell>
          <cell r="S1172" t="str">
            <v>Ayzek Venture Ent</v>
          </cell>
          <cell r="T1172" t="str">
            <v>Functioning</v>
          </cell>
          <cell r="U1172" t="str">
            <v>Asset</v>
          </cell>
          <cell r="V1172">
            <v>335000</v>
          </cell>
          <cell r="W1172" t="str">
            <v>KEW</v>
          </cell>
          <cell r="X1172" t="str">
            <v>15/09/2014</v>
          </cell>
          <cell r="Y1172" t="str">
            <v>KEW</v>
          </cell>
          <cell r="Z1172" t="str">
            <v>16/10/2014</v>
          </cell>
          <cell r="AA1172" t="str">
            <v>15/10/2016</v>
          </cell>
          <cell r="AB1172" t="str">
            <v>No</v>
          </cell>
          <cell r="AC1172" t="str">
            <v>16/10/2014</v>
          </cell>
          <cell r="AD1172" t="str">
            <v>Good</v>
          </cell>
          <cell r="AE1172" t="str">
            <v>V3 - Added Installed Facilities (New)</v>
          </cell>
          <cell r="AF1172">
            <v>42678</v>
          </cell>
          <cell r="AG1172">
            <v>5.17</v>
          </cell>
          <cell r="AH1172" t="str">
            <v>PPM</v>
          </cell>
          <cell r="AI1172" t="str">
            <v>Strands</v>
          </cell>
          <cell r="AJ1172" t="str">
            <v>Strands PW</v>
          </cell>
          <cell r="AK1172" t="str">
            <v>SNF received on 22.6.2020</v>
          </cell>
        </row>
        <row r="1173">
          <cell r="A1173" t="str">
            <v>IKN400774</v>
          </cell>
          <cell r="B1173">
            <v>774</v>
          </cell>
          <cell r="C1173" t="str">
            <v>Institut Kanser Negara</v>
          </cell>
          <cell r="D1173" t="str">
            <v>KKM/IKN/H/13/5433</v>
          </cell>
          <cell r="E1173" t="str">
            <v>13-469</v>
          </cell>
          <cell r="F1173" t="str">
            <v>Scanning Systems, Computed Tomography</v>
          </cell>
          <cell r="G1173" t="str">
            <v>ID</v>
          </cell>
          <cell r="H1173" t="str">
            <v>IMAGING DEPARTMENT</v>
          </cell>
          <cell r="I1173" t="str">
            <v>03ID156</v>
          </cell>
          <cell r="J1173" t="str">
            <v>C.T. SCAN 1 (+VE)</v>
          </cell>
          <cell r="K1173" t="str">
            <v>BMED</v>
          </cell>
          <cell r="L1173" t="str">
            <v>Normal</v>
          </cell>
          <cell r="M1173" t="str">
            <v>Japan</v>
          </cell>
          <cell r="N1173" t="str">
            <v>Aquilion</v>
          </cell>
          <cell r="O1173" t="str">
            <v>Aquilion CXL</v>
          </cell>
          <cell r="P1173" t="str">
            <v>TCA1282022</v>
          </cell>
          <cell r="Q1173" t="str">
            <v>Not Applicable</v>
          </cell>
          <cell r="R1173" t="str">
            <v>Toshiba Corp</v>
          </cell>
          <cell r="S1173" t="str">
            <v>Meditek Equipment</v>
          </cell>
          <cell r="T1173" t="str">
            <v>Functioning</v>
          </cell>
          <cell r="U1173" t="str">
            <v>Asset</v>
          </cell>
          <cell r="V1173">
            <v>4605710</v>
          </cell>
          <cell r="W1173" t="str">
            <v>KEW</v>
          </cell>
          <cell r="X1173" t="str">
            <v>01/09/2010</v>
          </cell>
          <cell r="Y1173" t="str">
            <v>KEW</v>
          </cell>
          <cell r="Z1173" t="str">
            <v>16/08/2013</v>
          </cell>
          <cell r="AA1173" t="str">
            <v>15/08/2015</v>
          </cell>
          <cell r="AB1173" t="str">
            <v>No</v>
          </cell>
          <cell r="AC1173" t="str">
            <v>31/08/2013</v>
          </cell>
          <cell r="AD1173" t="str">
            <v>Good</v>
          </cell>
          <cell r="AE1173" t="str">
            <v>V1 - Existing / No Claim</v>
          </cell>
          <cell r="AF1173">
            <v>42235</v>
          </cell>
          <cell r="AG1173">
            <v>9.17</v>
          </cell>
          <cell r="AH1173" t="str">
            <v>PPM</v>
          </cell>
          <cell r="AI1173" t="str">
            <v>Strands</v>
          </cell>
          <cell r="AJ1173" t="str">
            <v>Strands Package</v>
          </cell>
          <cell r="AK1173" t="str">
            <v>Package Code XC0004-N [20/9/2023, ANIS]: UPDATED NO. KEWPA</v>
          </cell>
        </row>
        <row r="1174">
          <cell r="A1174" t="str">
            <v>IKN400775</v>
          </cell>
          <cell r="B1174">
            <v>775</v>
          </cell>
          <cell r="C1174" t="str">
            <v>Institut Kanser Negara</v>
          </cell>
          <cell r="D1174" t="str">
            <v>KKM/IKN/H/13/1657</v>
          </cell>
          <cell r="E1174" t="str">
            <v>15-976</v>
          </cell>
          <cell r="F1174" t="str">
            <v>Scanning Systems, Ultrasonic, General-Purpose</v>
          </cell>
          <cell r="G1174" t="str">
            <v>ID</v>
          </cell>
          <cell r="H1174" t="str">
            <v>IMAGING DEPARTMENT</v>
          </cell>
          <cell r="I1174" t="str">
            <v>03ID162</v>
          </cell>
          <cell r="J1174" t="str">
            <v>ULTRA SOUND</v>
          </cell>
          <cell r="K1174" t="str">
            <v>BMED</v>
          </cell>
          <cell r="L1174" t="str">
            <v>Normal</v>
          </cell>
          <cell r="M1174" t="str">
            <v>USA</v>
          </cell>
          <cell r="N1174" t="str">
            <v>Logiq</v>
          </cell>
          <cell r="O1174" t="str">
            <v>Logiq E9</v>
          </cell>
          <cell r="P1174" t="str">
            <v>112460US1</v>
          </cell>
          <cell r="Q1174" t="str">
            <v>Not Applicable</v>
          </cell>
          <cell r="R1174" t="str">
            <v>GE Healthcare Systems</v>
          </cell>
          <cell r="S1174" t="str">
            <v>GE Healthcare Technologies</v>
          </cell>
          <cell r="T1174" t="str">
            <v>Functioning</v>
          </cell>
          <cell r="U1174" t="str">
            <v>Asset</v>
          </cell>
          <cell r="V1174">
            <v>1044560</v>
          </cell>
          <cell r="W1174" t="str">
            <v>KEW</v>
          </cell>
          <cell r="X1174" t="str">
            <v>01/09/2010</v>
          </cell>
          <cell r="Y1174" t="str">
            <v>KEW</v>
          </cell>
          <cell r="Z1174" t="str">
            <v>16/08/2013</v>
          </cell>
          <cell r="AA1174" t="str">
            <v>15/08/2015</v>
          </cell>
          <cell r="AB1174" t="str">
            <v>No</v>
          </cell>
          <cell r="AC1174" t="str">
            <v>31/08/2013</v>
          </cell>
          <cell r="AD1174" t="str">
            <v>Good</v>
          </cell>
          <cell r="AE1174" t="str">
            <v>V1 - Existing / No Claim</v>
          </cell>
          <cell r="AF1174">
            <v>42791</v>
          </cell>
          <cell r="AG1174">
            <v>9.17</v>
          </cell>
          <cell r="AH1174" t="str">
            <v>PPM</v>
          </cell>
          <cell r="AI1174" t="str">
            <v>Strands</v>
          </cell>
          <cell r="AJ1174" t="str">
            <v>Strands Package</v>
          </cell>
          <cell r="AK1174" t="str">
            <v>Package Code XU0019-S</v>
          </cell>
        </row>
        <row r="1175">
          <cell r="A1175" t="str">
            <v>IKN400776</v>
          </cell>
          <cell r="B1175">
            <v>776</v>
          </cell>
          <cell r="C1175" t="str">
            <v>Institut Kanser Negara</v>
          </cell>
          <cell r="D1175" t="str">
            <v>KKM/IKN/H/13/1656</v>
          </cell>
          <cell r="E1175" t="str">
            <v>15-976</v>
          </cell>
          <cell r="F1175" t="str">
            <v>Scanning Systems, Ultrasonic, General-Purpose</v>
          </cell>
          <cell r="G1175" t="str">
            <v>ID</v>
          </cell>
          <cell r="H1175" t="str">
            <v>IMAGING DEPARTMENT</v>
          </cell>
          <cell r="I1175" t="str">
            <v>03ID162</v>
          </cell>
          <cell r="J1175" t="str">
            <v>ULTRA SOUND</v>
          </cell>
          <cell r="K1175" t="str">
            <v>BMED</v>
          </cell>
          <cell r="L1175" t="str">
            <v>Normal</v>
          </cell>
          <cell r="M1175" t="str">
            <v>USA</v>
          </cell>
          <cell r="N1175" t="str">
            <v>Logiq</v>
          </cell>
          <cell r="O1175" t="str">
            <v>Logiq E9</v>
          </cell>
          <cell r="P1175" t="str">
            <v>112456US9</v>
          </cell>
          <cell r="Q1175" t="str">
            <v>Not Applicable</v>
          </cell>
          <cell r="R1175" t="str">
            <v>GE Healthcare Systems</v>
          </cell>
          <cell r="S1175" t="str">
            <v>GE Healthcare Technologies</v>
          </cell>
          <cell r="T1175" t="str">
            <v>Functioning</v>
          </cell>
          <cell r="U1175" t="str">
            <v>Asset</v>
          </cell>
          <cell r="V1175">
            <v>1044560</v>
          </cell>
          <cell r="W1175" t="str">
            <v>KEW</v>
          </cell>
          <cell r="X1175" t="str">
            <v>01/09/2010</v>
          </cell>
          <cell r="Y1175" t="str">
            <v>KEW</v>
          </cell>
          <cell r="Z1175" t="str">
            <v>16/08/2013</v>
          </cell>
          <cell r="AA1175" t="str">
            <v>15/08/2015</v>
          </cell>
          <cell r="AB1175" t="str">
            <v>No</v>
          </cell>
          <cell r="AC1175" t="str">
            <v>31/08/2013</v>
          </cell>
          <cell r="AD1175" t="str">
            <v>Good</v>
          </cell>
          <cell r="AE1175" t="str">
            <v>V1 - Existing / No Claim</v>
          </cell>
          <cell r="AF1175">
            <v>42791</v>
          </cell>
          <cell r="AG1175">
            <v>9.17</v>
          </cell>
          <cell r="AH1175" t="str">
            <v>PPM</v>
          </cell>
          <cell r="AI1175" t="str">
            <v>Strands</v>
          </cell>
          <cell r="AJ1175" t="str">
            <v>Strands Package</v>
          </cell>
          <cell r="AK1175" t="str">
            <v>Package Code XU0019-S</v>
          </cell>
        </row>
        <row r="1176">
          <cell r="A1176" t="str">
            <v>IKN400777</v>
          </cell>
          <cell r="B1176">
            <v>777</v>
          </cell>
          <cell r="C1176" t="str">
            <v>Institut Kanser Negara</v>
          </cell>
          <cell r="D1176" t="str">
            <v>KKM/IKN/H/13/2655</v>
          </cell>
          <cell r="E1176" t="str">
            <v>10-134</v>
          </cell>
          <cell r="F1176" t="str">
            <v>Anesthesia Units</v>
          </cell>
          <cell r="G1176" t="str">
            <v>IC</v>
          </cell>
          <cell r="H1176" t="str">
            <v>INTENSIVE CARE UNIT</v>
          </cell>
          <cell r="I1176" t="str">
            <v>03ID167</v>
          </cell>
          <cell r="J1176" t="str">
            <v>EQ.STORE</v>
          </cell>
          <cell r="K1176" t="str">
            <v>BMED</v>
          </cell>
          <cell r="L1176" t="str">
            <v>Critical</v>
          </cell>
          <cell r="M1176" t="str">
            <v>Germany</v>
          </cell>
          <cell r="N1176" t="str">
            <v>Primus</v>
          </cell>
          <cell r="O1176" t="str">
            <v>Primus</v>
          </cell>
          <cell r="P1176" t="str">
            <v>ASDJ-0237</v>
          </cell>
          <cell r="Q1176" t="str">
            <v>Not Applicable</v>
          </cell>
          <cell r="R1176" t="str">
            <v>Drager medical GmbH</v>
          </cell>
          <cell r="S1176" t="str">
            <v>Beau Consortium Sdn Bhd</v>
          </cell>
          <cell r="T1176" t="str">
            <v>Functioning</v>
          </cell>
          <cell r="U1176" t="str">
            <v>Asset</v>
          </cell>
          <cell r="V1176">
            <v>144345</v>
          </cell>
          <cell r="W1176" t="str">
            <v>KEW</v>
          </cell>
          <cell r="X1176" t="str">
            <v>01/09/2010</v>
          </cell>
          <cell r="Y1176" t="str">
            <v>KEW</v>
          </cell>
          <cell r="Z1176" t="str">
            <v>16/08/2013</v>
          </cell>
          <cell r="AA1176" t="str">
            <v>15/08/2015</v>
          </cell>
          <cell r="AB1176" t="str">
            <v>No</v>
          </cell>
          <cell r="AC1176" t="str">
            <v>31/08/2013</v>
          </cell>
          <cell r="AD1176" t="str">
            <v>Good</v>
          </cell>
          <cell r="AE1176" t="str">
            <v>V1 - Existing / No Claim</v>
          </cell>
          <cell r="AF1176">
            <v>42791</v>
          </cell>
          <cell r="AG1176">
            <v>9.17</v>
          </cell>
          <cell r="AH1176" t="str">
            <v>PPM</v>
          </cell>
          <cell r="AI1176" t="str">
            <v>Strands</v>
          </cell>
          <cell r="AJ1176" t="str">
            <v>Strands PW</v>
          </cell>
          <cell r="AK1176" t="str">
            <v>[5/3/2024, ANIS]: UNDER ICU, BARANG DI RADIOLOGY.</v>
          </cell>
        </row>
        <row r="1177">
          <cell r="A1177" t="str">
            <v>IKN400778</v>
          </cell>
          <cell r="B1177">
            <v>778</v>
          </cell>
          <cell r="C1177" t="str">
            <v>Institut Kanser Negara</v>
          </cell>
          <cell r="D1177" t="str">
            <v>KKM/IKN/H/13/2750</v>
          </cell>
          <cell r="E1177" t="str">
            <v>12-647</v>
          </cell>
          <cell r="F1177" t="str">
            <v>Physiologic Monitoring Systems, Acute Care</v>
          </cell>
          <cell r="G1177" t="str">
            <v>ID</v>
          </cell>
          <cell r="H1177" t="str">
            <v>IMAGING DEPARTMENT</v>
          </cell>
          <cell r="I1177" t="str">
            <v>03ID167</v>
          </cell>
          <cell r="J1177" t="str">
            <v>EQ.STORE</v>
          </cell>
          <cell r="K1177" t="str">
            <v>BMED</v>
          </cell>
          <cell r="L1177" t="str">
            <v>Critical</v>
          </cell>
          <cell r="M1177" t="str">
            <v>USA</v>
          </cell>
          <cell r="N1177" t="str">
            <v>GE</v>
          </cell>
          <cell r="O1177" t="str">
            <v>GE B30</v>
          </cell>
          <cell r="P1177" t="str">
            <v>SF312325922WA</v>
          </cell>
          <cell r="Q1177" t="str">
            <v>Not Applicable</v>
          </cell>
          <cell r="R1177" t="str">
            <v>GE Healthcare Systems</v>
          </cell>
          <cell r="S1177" t="str">
            <v>GE Healthcare Technologies</v>
          </cell>
          <cell r="T1177" t="str">
            <v>Functioning</v>
          </cell>
          <cell r="U1177" t="str">
            <v>Asset</v>
          </cell>
          <cell r="V1177">
            <v>44510</v>
          </cell>
          <cell r="W1177" t="str">
            <v>KEW</v>
          </cell>
          <cell r="X1177" t="str">
            <v>01/09/2010</v>
          </cell>
          <cell r="Y1177" t="str">
            <v>KEW</v>
          </cell>
          <cell r="Z1177" t="str">
            <v>16/08/2013</v>
          </cell>
          <cell r="AA1177" t="str">
            <v>15/08/2015</v>
          </cell>
          <cell r="AB1177" t="str">
            <v>No</v>
          </cell>
          <cell r="AC1177" t="str">
            <v>31/08/2013</v>
          </cell>
          <cell r="AD1177" t="str">
            <v>Good</v>
          </cell>
          <cell r="AE1177" t="str">
            <v>V1 - Existing / No Claim</v>
          </cell>
          <cell r="AF1177">
            <v>42791</v>
          </cell>
          <cell r="AG1177">
            <v>9.17</v>
          </cell>
          <cell r="AH1177" t="str">
            <v>PPM</v>
          </cell>
          <cell r="AI1177" t="str">
            <v>Strands</v>
          </cell>
          <cell r="AJ1177" t="str">
            <v>Strands PW</v>
          </cell>
        </row>
        <row r="1178">
          <cell r="A1178" t="str">
            <v>IKN400779</v>
          </cell>
          <cell r="B1178">
            <v>779</v>
          </cell>
          <cell r="C1178" t="str">
            <v>Institut Kanser Negara</v>
          </cell>
          <cell r="D1178" t="str">
            <v>KKM/IKN/H/13/4774</v>
          </cell>
          <cell r="E1178" t="str">
            <v>12-647</v>
          </cell>
          <cell r="F1178" t="str">
            <v>Physiologic Monitoring Systems, Acute Care</v>
          </cell>
          <cell r="G1178" t="str">
            <v>ID</v>
          </cell>
          <cell r="H1178" t="str">
            <v>IMAGING DEPARTMENT</v>
          </cell>
          <cell r="I1178" t="str">
            <v>03ID164</v>
          </cell>
          <cell r="J1178" t="str">
            <v>ANGIO(VE)</v>
          </cell>
          <cell r="K1178" t="str">
            <v>BMED</v>
          </cell>
          <cell r="L1178" t="str">
            <v>Critical</v>
          </cell>
          <cell r="M1178" t="str">
            <v>Germany</v>
          </cell>
          <cell r="N1178" t="str">
            <v>IntelliVue</v>
          </cell>
          <cell r="O1178" t="str">
            <v>IntelliVue MP5</v>
          </cell>
          <cell r="P1178" t="str">
            <v>DE70404757</v>
          </cell>
          <cell r="Q1178" t="str">
            <v>Not Applicable</v>
          </cell>
          <cell r="R1178" t="str">
            <v>Philips Medical Systems</v>
          </cell>
          <cell r="S1178" t="str">
            <v>Advance Altimas Sdn Bhd</v>
          </cell>
          <cell r="T1178" t="str">
            <v>Functioning</v>
          </cell>
          <cell r="U1178" t="str">
            <v>Asset</v>
          </cell>
          <cell r="V1178">
            <v>20000</v>
          </cell>
          <cell r="W1178" t="str">
            <v>Estimate</v>
          </cell>
          <cell r="X1178" t="str">
            <v>01/09/2010</v>
          </cell>
          <cell r="Y1178" t="str">
            <v>KEW</v>
          </cell>
          <cell r="Z1178" t="str">
            <v>16/08/2013</v>
          </cell>
          <cell r="AA1178" t="str">
            <v>15/08/2015</v>
          </cell>
          <cell r="AB1178" t="str">
            <v>No</v>
          </cell>
          <cell r="AC1178" t="str">
            <v>31/08/2013</v>
          </cell>
          <cell r="AD1178" t="str">
            <v>Good</v>
          </cell>
          <cell r="AE1178" t="str">
            <v>V1 - Existing / No Claim</v>
          </cell>
          <cell r="AF1178">
            <v>42601</v>
          </cell>
          <cell r="AG1178">
            <v>9.17</v>
          </cell>
          <cell r="AH1178" t="str">
            <v>PPM</v>
          </cell>
          <cell r="AI1178" t="str">
            <v>Strands</v>
          </cell>
          <cell r="AJ1178" t="str">
            <v>Strands PW</v>
          </cell>
        </row>
        <row r="1179">
          <cell r="A1179" t="str">
            <v>IKN400780</v>
          </cell>
          <cell r="B1179">
            <v>780</v>
          </cell>
          <cell r="C1179" t="str">
            <v>Institut Kanser Negara</v>
          </cell>
          <cell r="D1179" t="str">
            <v>KKM/IKN/H/13/2662</v>
          </cell>
          <cell r="E1179" t="str">
            <v>17-950</v>
          </cell>
          <cell r="F1179" t="str">
            <v>Warming Units, Patient, Forced-Air</v>
          </cell>
          <cell r="G1179" t="str">
            <v>ID</v>
          </cell>
          <cell r="H1179" t="str">
            <v>IMAGING DEPARTMENT</v>
          </cell>
          <cell r="I1179" t="str">
            <v>03ID167</v>
          </cell>
          <cell r="J1179" t="str">
            <v>EQ.STORE</v>
          </cell>
          <cell r="K1179" t="str">
            <v>BMED</v>
          </cell>
          <cell r="L1179" t="str">
            <v>Normal</v>
          </cell>
          <cell r="M1179" t="str">
            <v>USA</v>
          </cell>
          <cell r="N1179" t="str">
            <v>Bair Hugger</v>
          </cell>
          <cell r="O1179" t="str">
            <v>Bair Hugger 775</v>
          </cell>
          <cell r="P1179" t="str">
            <v>35934</v>
          </cell>
          <cell r="Q1179" t="str">
            <v>Not Applicable</v>
          </cell>
          <cell r="R1179" t="str">
            <v>Arizant Healthcare Inc</v>
          </cell>
          <cell r="S1179" t="str">
            <v>Calmed Healthcare Sdn Bhd</v>
          </cell>
          <cell r="T1179" t="str">
            <v>Functioning</v>
          </cell>
          <cell r="U1179" t="str">
            <v>Asset</v>
          </cell>
          <cell r="V1179">
            <v>15515</v>
          </cell>
          <cell r="W1179" t="str">
            <v>KEW</v>
          </cell>
          <cell r="X1179" t="str">
            <v>01/09/2010</v>
          </cell>
          <cell r="Y1179" t="str">
            <v>KEW</v>
          </cell>
          <cell r="Z1179" t="str">
            <v>16/08/2013</v>
          </cell>
          <cell r="AA1179" t="str">
            <v>15/08/2015</v>
          </cell>
          <cell r="AB1179" t="str">
            <v>No</v>
          </cell>
          <cell r="AC1179" t="str">
            <v>31/08/2013</v>
          </cell>
          <cell r="AD1179" t="str">
            <v>Good</v>
          </cell>
          <cell r="AE1179" t="str">
            <v>V1 - Existing / No Claim</v>
          </cell>
          <cell r="AF1179">
            <v>42235</v>
          </cell>
          <cell r="AG1179">
            <v>9.17</v>
          </cell>
          <cell r="AH1179" t="str">
            <v>PPM</v>
          </cell>
          <cell r="AI1179" t="str">
            <v>Strands</v>
          </cell>
          <cell r="AJ1179" t="str">
            <v>Strands PW</v>
          </cell>
        </row>
        <row r="1180">
          <cell r="A1180" t="str">
            <v>IKN400781</v>
          </cell>
          <cell r="B1180">
            <v>781</v>
          </cell>
          <cell r="C1180" t="str">
            <v>Institut Kanser Negara</v>
          </cell>
          <cell r="D1180" t="str">
            <v>KKM/IKN/H/13/2682</v>
          </cell>
          <cell r="E1180" t="str">
            <v>17-950</v>
          </cell>
          <cell r="F1180" t="str">
            <v>Warming Units, Patient, Forced-Air</v>
          </cell>
          <cell r="G1180" t="str">
            <v>ID</v>
          </cell>
          <cell r="H1180" t="str">
            <v>IMAGING DEPARTMENT</v>
          </cell>
          <cell r="I1180" t="str">
            <v>03ID167</v>
          </cell>
          <cell r="J1180" t="str">
            <v>EQ.STORE</v>
          </cell>
          <cell r="K1180" t="str">
            <v>BMED</v>
          </cell>
          <cell r="L1180" t="str">
            <v>Normal</v>
          </cell>
          <cell r="M1180" t="str">
            <v>USA</v>
          </cell>
          <cell r="N1180" t="str">
            <v>Bair Hugger</v>
          </cell>
          <cell r="O1180" t="str">
            <v>Bair Hugger 775</v>
          </cell>
          <cell r="P1180" t="str">
            <v>35933</v>
          </cell>
          <cell r="Q1180" t="str">
            <v>Not Applicable</v>
          </cell>
          <cell r="R1180" t="str">
            <v>Arizant Healthcare Inc</v>
          </cell>
          <cell r="S1180" t="str">
            <v>Calmed Healthcare Sdn Bhd</v>
          </cell>
          <cell r="T1180" t="str">
            <v>Functioning</v>
          </cell>
          <cell r="U1180" t="str">
            <v>Asset</v>
          </cell>
          <cell r="V1180">
            <v>15515</v>
          </cell>
          <cell r="W1180" t="str">
            <v>KEW</v>
          </cell>
          <cell r="X1180" t="str">
            <v>01/09/2010</v>
          </cell>
          <cell r="Y1180" t="str">
            <v>KEW</v>
          </cell>
          <cell r="Z1180" t="str">
            <v>16/08/2013</v>
          </cell>
          <cell r="AA1180" t="str">
            <v>15/08/2015</v>
          </cell>
          <cell r="AB1180" t="str">
            <v>No</v>
          </cell>
          <cell r="AC1180" t="str">
            <v>31/08/2013</v>
          </cell>
          <cell r="AD1180" t="str">
            <v>Good</v>
          </cell>
          <cell r="AE1180" t="str">
            <v>V1 - Existing / No Claim</v>
          </cell>
          <cell r="AF1180">
            <v>42235</v>
          </cell>
          <cell r="AG1180">
            <v>9.17</v>
          </cell>
          <cell r="AH1180" t="str">
            <v>PPM</v>
          </cell>
          <cell r="AI1180" t="str">
            <v>Strands</v>
          </cell>
          <cell r="AJ1180" t="str">
            <v>Strands PW</v>
          </cell>
        </row>
        <row r="1181">
          <cell r="A1181" t="str">
            <v>IKN400782</v>
          </cell>
          <cell r="B1181">
            <v>782</v>
          </cell>
          <cell r="C1181" t="str">
            <v>Institut Kanser Negara</v>
          </cell>
          <cell r="D1181" t="str">
            <v>KKM/IKN/H/13/5433 - 17</v>
          </cell>
          <cell r="E1181" t="str">
            <v>17-679</v>
          </cell>
          <cell r="F1181" t="str">
            <v>Laser Imagers</v>
          </cell>
          <cell r="G1181" t="str">
            <v>ID</v>
          </cell>
          <cell r="H1181" t="str">
            <v>IMAGING DEPARTMENT</v>
          </cell>
          <cell r="I1181" t="str">
            <v>03ID178</v>
          </cell>
          <cell r="J1181" t="str">
            <v>PACS BAY</v>
          </cell>
          <cell r="K1181" t="str">
            <v>BMED</v>
          </cell>
          <cell r="L1181" t="str">
            <v>Normal</v>
          </cell>
          <cell r="M1181" t="str">
            <v>USA</v>
          </cell>
          <cell r="N1181" t="str">
            <v>DryView</v>
          </cell>
          <cell r="O1181" t="str">
            <v>DryView 6850</v>
          </cell>
          <cell r="P1181" t="str">
            <v>68503673</v>
          </cell>
          <cell r="Q1181" t="str">
            <v>Not Applicable</v>
          </cell>
          <cell r="R1181" t="str">
            <v>Carestream Health Inc</v>
          </cell>
          <cell r="S1181" t="str">
            <v>Best Contact (M) Sdn Bhd</v>
          </cell>
          <cell r="T1181" t="str">
            <v>Functioning</v>
          </cell>
          <cell r="U1181" t="str">
            <v>Asset</v>
          </cell>
          <cell r="V1181">
            <v>83100</v>
          </cell>
          <cell r="W1181" t="str">
            <v>KEW</v>
          </cell>
          <cell r="X1181" t="str">
            <v>01/09/2010</v>
          </cell>
          <cell r="Y1181" t="str">
            <v>KEW</v>
          </cell>
          <cell r="Z1181" t="str">
            <v>16/08/2013</v>
          </cell>
          <cell r="AA1181" t="str">
            <v>15/08/2015</v>
          </cell>
          <cell r="AB1181" t="str">
            <v>No</v>
          </cell>
          <cell r="AC1181" t="str">
            <v>31/08/2013</v>
          </cell>
          <cell r="AD1181" t="str">
            <v>Good</v>
          </cell>
          <cell r="AE1181" t="str">
            <v>V1 - Existing / No Claim</v>
          </cell>
          <cell r="AF1181">
            <v>42235</v>
          </cell>
          <cell r="AG1181">
            <v>9.17</v>
          </cell>
          <cell r="AH1181" t="str">
            <v>PPM</v>
          </cell>
          <cell r="AI1181" t="str">
            <v>Strands</v>
          </cell>
          <cell r="AJ1181" t="str">
            <v>Strands Package</v>
          </cell>
          <cell r="AK1181" t="str">
            <v>[21/9/2023, Anis]: Package CT Scan. Package Code XC0004-N</v>
          </cell>
        </row>
        <row r="1182">
          <cell r="A1182" t="str">
            <v>IKN400784</v>
          </cell>
          <cell r="B1182">
            <v>784</v>
          </cell>
          <cell r="C1182" t="str">
            <v>Institut Kanser Negara</v>
          </cell>
          <cell r="D1182" t="str">
            <v>KKM/IKN/H/13/3947</v>
          </cell>
          <cell r="E1182" t="str">
            <v>12-282</v>
          </cell>
          <cell r="F1182" t="str">
            <v>Lights, Surgical</v>
          </cell>
          <cell r="G1182" t="str">
            <v>AE</v>
          </cell>
          <cell r="H1182" t="str">
            <v>EMERGENCY UNIT</v>
          </cell>
          <cell r="I1182" t="str">
            <v>01AE118</v>
          </cell>
          <cell r="J1182" t="str">
            <v>RESUSCITATION TREATMENT 1</v>
          </cell>
          <cell r="K1182" t="str">
            <v>BMED</v>
          </cell>
          <cell r="L1182" t="str">
            <v>Critical</v>
          </cell>
          <cell r="M1182" t="str">
            <v>USA</v>
          </cell>
          <cell r="N1182" t="str">
            <v>Welch Allyn</v>
          </cell>
          <cell r="O1182" t="str">
            <v>Welch Allyn GS900</v>
          </cell>
          <cell r="P1182" t="str">
            <v>10043011102376</v>
          </cell>
          <cell r="Q1182" t="str">
            <v>Not Applicable</v>
          </cell>
          <cell r="R1182" t="str">
            <v>Welch Allyn Inc</v>
          </cell>
          <cell r="S1182" t="str">
            <v>Welch Allyn Malaysia Sdn Bhd</v>
          </cell>
          <cell r="T1182" t="str">
            <v>Functioning</v>
          </cell>
          <cell r="U1182" t="str">
            <v>Asset</v>
          </cell>
          <cell r="V1182">
            <v>10585</v>
          </cell>
          <cell r="W1182" t="str">
            <v>KEW</v>
          </cell>
          <cell r="X1182" t="str">
            <v>01/09/2010</v>
          </cell>
          <cell r="Y1182" t="str">
            <v>KEW</v>
          </cell>
          <cell r="Z1182" t="str">
            <v>16/08/2013</v>
          </cell>
          <cell r="AA1182" t="str">
            <v>15/08/2015</v>
          </cell>
          <cell r="AB1182" t="str">
            <v>No</v>
          </cell>
          <cell r="AC1182" t="str">
            <v>31/08/2013</v>
          </cell>
          <cell r="AD1182" t="str">
            <v>Good</v>
          </cell>
          <cell r="AE1182" t="str">
            <v>V1 - Existing / No Claim</v>
          </cell>
          <cell r="AF1182">
            <v>42800</v>
          </cell>
          <cell r="AG1182">
            <v>9.17</v>
          </cell>
          <cell r="AH1182" t="str">
            <v>PPM</v>
          </cell>
          <cell r="AI1182" t="str">
            <v>Strands</v>
          </cell>
          <cell r="AJ1182" t="str">
            <v>Strands PW</v>
          </cell>
        </row>
        <row r="1183">
          <cell r="A1183" t="str">
            <v>IKN400785</v>
          </cell>
          <cell r="B1183">
            <v>785</v>
          </cell>
          <cell r="C1183" t="str">
            <v>Institut Kanser Negara</v>
          </cell>
          <cell r="D1183" t="str">
            <v>KKM/IKN/H/13/3946</v>
          </cell>
          <cell r="E1183" t="str">
            <v>12-282</v>
          </cell>
          <cell r="F1183" t="str">
            <v>Lights, Surgical</v>
          </cell>
          <cell r="G1183" t="str">
            <v>AE</v>
          </cell>
          <cell r="H1183" t="str">
            <v>EMERGENCY UNIT</v>
          </cell>
          <cell r="I1183" t="str">
            <v>01AE119</v>
          </cell>
          <cell r="J1183" t="str">
            <v>RESUSCITATION/TREATMENT</v>
          </cell>
          <cell r="K1183" t="str">
            <v>BMED</v>
          </cell>
          <cell r="L1183" t="str">
            <v>Critical</v>
          </cell>
          <cell r="M1183" t="str">
            <v>USA</v>
          </cell>
          <cell r="N1183" t="str">
            <v>Welch Allyn</v>
          </cell>
          <cell r="O1183" t="str">
            <v>Welch Allyn GS900</v>
          </cell>
          <cell r="P1183" t="str">
            <v>10033711107113</v>
          </cell>
          <cell r="Q1183" t="str">
            <v>Not Applicable</v>
          </cell>
          <cell r="R1183" t="str">
            <v>Welch Allyn Inc</v>
          </cell>
          <cell r="S1183" t="str">
            <v>Welch Allyn Malaysia Sdn Bhd</v>
          </cell>
          <cell r="T1183" t="str">
            <v>Functioning</v>
          </cell>
          <cell r="U1183" t="str">
            <v>Asset</v>
          </cell>
          <cell r="V1183">
            <v>10585</v>
          </cell>
          <cell r="W1183" t="str">
            <v>KEW</v>
          </cell>
          <cell r="X1183" t="str">
            <v>01/09/2010</v>
          </cell>
          <cell r="Y1183" t="str">
            <v>KEW</v>
          </cell>
          <cell r="Z1183" t="str">
            <v>16/08/2013</v>
          </cell>
          <cell r="AA1183" t="str">
            <v>15/08/2015</v>
          </cell>
          <cell r="AB1183" t="str">
            <v>No</v>
          </cell>
          <cell r="AC1183" t="str">
            <v>31/08/2013</v>
          </cell>
          <cell r="AD1183" t="str">
            <v>Good</v>
          </cell>
          <cell r="AE1183" t="str">
            <v>V1 - Existing / No Claim</v>
          </cell>
          <cell r="AF1183">
            <v>42800</v>
          </cell>
          <cell r="AG1183">
            <v>9.17</v>
          </cell>
          <cell r="AH1183" t="str">
            <v>PPM</v>
          </cell>
          <cell r="AI1183" t="str">
            <v>Strands</v>
          </cell>
          <cell r="AJ1183" t="str">
            <v>Strands PW</v>
          </cell>
        </row>
        <row r="1184">
          <cell r="A1184" t="str">
            <v>IKN400786</v>
          </cell>
          <cell r="B1184">
            <v>786</v>
          </cell>
          <cell r="C1184" t="str">
            <v>Institut Kanser Negara</v>
          </cell>
          <cell r="D1184" t="str">
            <v>KKM/IKN/H/13/3163</v>
          </cell>
          <cell r="E1184" t="str">
            <v>16-597</v>
          </cell>
          <cell r="F1184" t="str">
            <v>Radiographic/Fluoroscopic Systems, Angiographic/Intervention</v>
          </cell>
          <cell r="G1184" t="str">
            <v>ID</v>
          </cell>
          <cell r="H1184" t="str">
            <v>IMAGING DEPARTMENT</v>
          </cell>
          <cell r="I1184" t="str">
            <v>03ID164</v>
          </cell>
          <cell r="J1184" t="str">
            <v>ANGIO(VE)</v>
          </cell>
          <cell r="K1184" t="str">
            <v>BMED</v>
          </cell>
          <cell r="L1184" t="str">
            <v>Normal</v>
          </cell>
          <cell r="M1184" t="str">
            <v>The Netherlands</v>
          </cell>
          <cell r="N1184" t="str">
            <v>Allura</v>
          </cell>
          <cell r="O1184" t="str">
            <v>Allura Xper Fd 20/20</v>
          </cell>
          <cell r="P1184" t="str">
            <v>325</v>
          </cell>
          <cell r="Q1184" t="str">
            <v>Not Applicable</v>
          </cell>
          <cell r="R1184" t="str">
            <v>Philips Medical Systems</v>
          </cell>
          <cell r="S1184" t="str">
            <v>Advance Altimas Sdn Bhd</v>
          </cell>
          <cell r="T1184" t="str">
            <v>Functioning</v>
          </cell>
          <cell r="U1184" t="str">
            <v>Asset</v>
          </cell>
          <cell r="V1184">
            <v>0</v>
          </cell>
          <cell r="W1184" t="str">
            <v>KEW</v>
          </cell>
          <cell r="X1184" t="str">
            <v>01/09/2010</v>
          </cell>
          <cell r="Y1184" t="str">
            <v>KEW</v>
          </cell>
          <cell r="Z1184" t="str">
            <v>16/08/2013</v>
          </cell>
          <cell r="AA1184" t="str">
            <v>15/08/2015</v>
          </cell>
          <cell r="AB1184" t="str">
            <v>No</v>
          </cell>
          <cell r="AC1184" t="str">
            <v>31/08/2013</v>
          </cell>
          <cell r="AD1184" t="str">
            <v>Good</v>
          </cell>
          <cell r="AE1184" t="str">
            <v>V1 - Existing / No Claim</v>
          </cell>
          <cell r="AF1184">
            <v>42235</v>
          </cell>
          <cell r="AG1184">
            <v>9.17</v>
          </cell>
          <cell r="AH1184" t="str">
            <v>PPM</v>
          </cell>
          <cell r="AI1184" t="str">
            <v>Strands</v>
          </cell>
          <cell r="AJ1184" t="str">
            <v>Strands Package</v>
          </cell>
          <cell r="AK1184" t="str">
            <v>Package Code XE0004</v>
          </cell>
        </row>
        <row r="1185">
          <cell r="A1185" t="str">
            <v>IKN400787</v>
          </cell>
          <cell r="B1185">
            <v>787</v>
          </cell>
          <cell r="C1185" t="str">
            <v>Institut Kanser Negara</v>
          </cell>
          <cell r="D1185" t="str">
            <v>KKM/IKN/H/13/2743</v>
          </cell>
          <cell r="E1185" t="str">
            <v>13-272</v>
          </cell>
          <cell r="F1185" t="str">
            <v>Radiographic Units, Mobile</v>
          </cell>
          <cell r="G1185" t="str">
            <v>ID</v>
          </cell>
          <cell r="H1185" t="str">
            <v>IMAGING DEPARTMENT</v>
          </cell>
          <cell r="I1185" t="str">
            <v>03ID106</v>
          </cell>
          <cell r="J1185" t="str">
            <v>MOBILE X-RAY</v>
          </cell>
          <cell r="K1185" t="str">
            <v>BMED</v>
          </cell>
          <cell r="L1185" t="str">
            <v>Normal</v>
          </cell>
          <cell r="M1185" t="str">
            <v>USA</v>
          </cell>
          <cell r="N1185" t="str">
            <v>Carestream</v>
          </cell>
          <cell r="O1185" t="str">
            <v>Carestream DRX-Revolution</v>
          </cell>
          <cell r="P1185" t="str">
            <v>0253</v>
          </cell>
          <cell r="Q1185" t="str">
            <v>Not Applicable</v>
          </cell>
          <cell r="R1185" t="str">
            <v>Carestream Health Inc</v>
          </cell>
          <cell r="S1185" t="str">
            <v>Best Contact (M) Sdn Bhd</v>
          </cell>
          <cell r="T1185" t="str">
            <v>Functioning</v>
          </cell>
          <cell r="U1185" t="str">
            <v>Asset</v>
          </cell>
          <cell r="V1185">
            <v>1149550</v>
          </cell>
          <cell r="W1185" t="str">
            <v>KEW</v>
          </cell>
          <cell r="X1185" t="str">
            <v>01/09/2010</v>
          </cell>
          <cell r="Y1185" t="str">
            <v>KEW</v>
          </cell>
          <cell r="Z1185" t="str">
            <v>16/08/2013</v>
          </cell>
          <cell r="AA1185" t="str">
            <v>15/08/2015</v>
          </cell>
          <cell r="AB1185" t="str">
            <v>No</v>
          </cell>
          <cell r="AC1185" t="str">
            <v>31/08/2013</v>
          </cell>
          <cell r="AD1185" t="str">
            <v>Good</v>
          </cell>
          <cell r="AE1185" t="str">
            <v>V1 - Existing / No Claim</v>
          </cell>
          <cell r="AF1185">
            <v>42235</v>
          </cell>
          <cell r="AG1185">
            <v>9.17</v>
          </cell>
          <cell r="AH1185" t="str">
            <v>PPM</v>
          </cell>
          <cell r="AI1185" t="str">
            <v>Strands</v>
          </cell>
          <cell r="AJ1185" t="str">
            <v>Strands PW</v>
          </cell>
        </row>
        <row r="1186">
          <cell r="A1186" t="str">
            <v>IKN400788</v>
          </cell>
          <cell r="B1186">
            <v>788</v>
          </cell>
          <cell r="C1186" t="str">
            <v>Institut Kanser Negara</v>
          </cell>
          <cell r="D1186" t="str">
            <v>KKM/IKN/H/13/4332</v>
          </cell>
          <cell r="E1186" t="str">
            <v>17-968</v>
          </cell>
          <cell r="F1186" t="str">
            <v>Injectors, Contrast Media</v>
          </cell>
          <cell r="G1186" t="str">
            <v>ID</v>
          </cell>
          <cell r="H1186" t="str">
            <v>IMAGING DEPARTMENT</v>
          </cell>
          <cell r="I1186" t="str">
            <v>03ID156</v>
          </cell>
          <cell r="J1186" t="str">
            <v>C.T. SCAN 1 (+VE)</v>
          </cell>
          <cell r="K1186" t="str">
            <v>BMED</v>
          </cell>
          <cell r="L1186" t="str">
            <v>Critical</v>
          </cell>
          <cell r="M1186" t="str">
            <v>USA</v>
          </cell>
          <cell r="N1186" t="str">
            <v>Medrad</v>
          </cell>
          <cell r="O1186" t="str">
            <v>Medrad Stellant</v>
          </cell>
          <cell r="P1186" t="str">
            <v>301422660551</v>
          </cell>
          <cell r="Q1186" t="str">
            <v>Not Applicable</v>
          </cell>
          <cell r="R1186" t="str">
            <v>Medrad Inc</v>
          </cell>
          <cell r="S1186" t="str">
            <v>Advance Altimas Sdn Bhd</v>
          </cell>
          <cell r="T1186" t="str">
            <v>Functioning</v>
          </cell>
          <cell r="U1186" t="str">
            <v>Asset</v>
          </cell>
          <cell r="V1186">
            <v>100000</v>
          </cell>
          <cell r="W1186" t="str">
            <v>Estimate</v>
          </cell>
          <cell r="X1186" t="str">
            <v>01/09/2010</v>
          </cell>
          <cell r="Y1186" t="str">
            <v>KEW</v>
          </cell>
          <cell r="Z1186" t="str">
            <v>16/08/2013</v>
          </cell>
          <cell r="AA1186" t="str">
            <v>15/08/2015</v>
          </cell>
          <cell r="AB1186" t="str">
            <v>No</v>
          </cell>
          <cell r="AC1186" t="str">
            <v>31/08/2013</v>
          </cell>
          <cell r="AD1186" t="str">
            <v>Good</v>
          </cell>
          <cell r="AE1186" t="str">
            <v>V1 - Existing / No Claim</v>
          </cell>
          <cell r="AF1186">
            <v>42605</v>
          </cell>
          <cell r="AG1186">
            <v>9.17</v>
          </cell>
          <cell r="AH1186" t="str">
            <v>PPM</v>
          </cell>
          <cell r="AI1186" t="str">
            <v>Strands</v>
          </cell>
          <cell r="AJ1186" t="str">
            <v>Strands Package</v>
          </cell>
          <cell r="AK1186" t="str">
            <v>Package Code XC0004-N</v>
          </cell>
        </row>
        <row r="1187">
          <cell r="A1187" t="str">
            <v>IKN400789</v>
          </cell>
          <cell r="B1187">
            <v>789</v>
          </cell>
          <cell r="C1187" t="str">
            <v>Institut Kanser Negara</v>
          </cell>
          <cell r="D1187" t="str">
            <v>KKM/IKN/H/13/2741-9</v>
          </cell>
          <cell r="E1187" t="str">
            <v>12-647</v>
          </cell>
          <cell r="F1187" t="str">
            <v>Physiologic Monitoring Systems, Acute Care</v>
          </cell>
          <cell r="G1187" t="str">
            <v>ID</v>
          </cell>
          <cell r="H1187" t="str">
            <v>IMAGING DEPARTMENT</v>
          </cell>
          <cell r="I1187" t="str">
            <v>03ID156</v>
          </cell>
          <cell r="J1187" t="str">
            <v>C.T. SCAN 1 (+VE)</v>
          </cell>
          <cell r="K1187" t="str">
            <v>BMED</v>
          </cell>
          <cell r="L1187" t="str">
            <v>Critical</v>
          </cell>
          <cell r="M1187" t="str">
            <v>USA</v>
          </cell>
          <cell r="N1187" t="str">
            <v>Cardiac Trigger</v>
          </cell>
          <cell r="O1187" t="str">
            <v>Cardiac Trigger Monitor 3000</v>
          </cell>
          <cell r="P1187" t="str">
            <v>12070029</v>
          </cell>
          <cell r="Q1187" t="str">
            <v>Not Applicable</v>
          </cell>
          <cell r="R1187" t="str">
            <v>Ivy Biomedical Systems Inc</v>
          </cell>
          <cell r="S1187" t="str">
            <v>Advance Altimas Sdn Bhd</v>
          </cell>
          <cell r="T1187" t="str">
            <v>Functioning</v>
          </cell>
          <cell r="U1187" t="str">
            <v>Asset</v>
          </cell>
          <cell r="V1187">
            <v>20000</v>
          </cell>
          <cell r="W1187" t="str">
            <v>Estimate</v>
          </cell>
          <cell r="X1187" t="str">
            <v>01/09/2010</v>
          </cell>
          <cell r="Y1187" t="str">
            <v>KEW</v>
          </cell>
          <cell r="Z1187" t="str">
            <v>16/08/2013</v>
          </cell>
          <cell r="AA1187" t="str">
            <v>15/08/2015</v>
          </cell>
          <cell r="AB1187" t="str">
            <v>No</v>
          </cell>
          <cell r="AC1187" t="str">
            <v>31/08/2013</v>
          </cell>
          <cell r="AD1187" t="str">
            <v>Good</v>
          </cell>
          <cell r="AE1187" t="str">
            <v>V4 - Decommissioned Installed Facility</v>
          </cell>
          <cell r="AF1187">
            <v>42605</v>
          </cell>
          <cell r="AG1187">
            <v>9.17</v>
          </cell>
          <cell r="AH1187" t="str">
            <v>PPM</v>
          </cell>
          <cell r="AI1187" t="str">
            <v>Strands</v>
          </cell>
          <cell r="AJ1187" t="str">
            <v>Strands Package</v>
          </cell>
          <cell r="AK1187" t="str">
            <v>[22/9/2023, SHARIFAH]: Update KKM No. ikut Asset Tiger. PEP ON NOV 2020, BER/BEMS/AWSB/20/008 - Asset masih boleh digunakan namun asset tidak ekonomik diperbaiki lagi sekiranya rosak. Package Code XC0004-N</v>
          </cell>
        </row>
        <row r="1188">
          <cell r="A1188" t="str">
            <v>IKN400790</v>
          </cell>
          <cell r="B1188">
            <v>790</v>
          </cell>
          <cell r="C1188" t="str">
            <v>Institut Kanser Negara</v>
          </cell>
          <cell r="D1188" t="str">
            <v>KKM/IKN/H/14/47</v>
          </cell>
          <cell r="E1188" t="str">
            <v>11-246</v>
          </cell>
          <cell r="F1188" t="str">
            <v>Radiofrequency Therapy Systems, Diathermy</v>
          </cell>
          <cell r="G1188" t="str">
            <v>ID</v>
          </cell>
          <cell r="H1188" t="str">
            <v>IMAGING DEPARTMENT</v>
          </cell>
          <cell r="I1188" t="str">
            <v>03ID164</v>
          </cell>
          <cell r="J1188" t="str">
            <v>ANGIO(VE)</v>
          </cell>
          <cell r="K1188" t="str">
            <v>BMED</v>
          </cell>
          <cell r="L1188" t="str">
            <v>Critical</v>
          </cell>
          <cell r="M1188" t="str">
            <v>USA</v>
          </cell>
          <cell r="N1188" t="str">
            <v>Covedien</v>
          </cell>
          <cell r="O1188" t="str">
            <v>Covedien E-Series</v>
          </cell>
          <cell r="P1188" t="str">
            <v>P4D05877X</v>
          </cell>
          <cell r="Q1188" t="str">
            <v>Not Applicable</v>
          </cell>
          <cell r="R1188" t="str">
            <v>Covidien Co</v>
          </cell>
          <cell r="S1188" t="str">
            <v>Mediliance (M) Sdn. Bhd.</v>
          </cell>
          <cell r="T1188" t="str">
            <v>Functioning</v>
          </cell>
          <cell r="U1188" t="str">
            <v>Asset</v>
          </cell>
          <cell r="V1188">
            <v>304684</v>
          </cell>
          <cell r="W1188" t="str">
            <v>KEW</v>
          </cell>
          <cell r="X1188" t="str">
            <v>05/09/2014</v>
          </cell>
          <cell r="Y1188" t="str">
            <v>KEW</v>
          </cell>
          <cell r="Z1188" t="str">
            <v>24/09/2014</v>
          </cell>
          <cell r="AA1188" t="str">
            <v>23/09/2016</v>
          </cell>
          <cell r="AB1188" t="str">
            <v>No</v>
          </cell>
          <cell r="AC1188" t="str">
            <v>24/09/2014</v>
          </cell>
          <cell r="AD1188" t="str">
            <v>Good</v>
          </cell>
          <cell r="AE1188" t="str">
            <v>V3 - Added Installed Facilities (New)</v>
          </cell>
          <cell r="AF1188">
            <v>42791</v>
          </cell>
          <cell r="AG1188">
            <v>5.17</v>
          </cell>
          <cell r="AH1188" t="str">
            <v>PPM</v>
          </cell>
          <cell r="AI1188" t="str">
            <v>Strands</v>
          </cell>
          <cell r="AJ1188" t="str">
            <v>Strands PW</v>
          </cell>
          <cell r="AK1188" t="str">
            <v>SNF received on 25.2.2020</v>
          </cell>
        </row>
        <row r="1189">
          <cell r="A1189" t="str">
            <v>IKN400791</v>
          </cell>
          <cell r="B1189">
            <v>791</v>
          </cell>
          <cell r="C1189" t="str">
            <v>Institut Kanser Negara</v>
          </cell>
          <cell r="D1189" t="str">
            <v>KKM/IKN/H/13/4293</v>
          </cell>
          <cell r="E1189" t="str">
            <v>11-134</v>
          </cell>
          <cell r="F1189" t="str">
            <v>Defibrillators, External, Manual</v>
          </cell>
          <cell r="G1189" t="str">
            <v>ID</v>
          </cell>
          <cell r="H1189" t="str">
            <v>IMAGING DEPARTMENT</v>
          </cell>
          <cell r="I1189" t="str">
            <v>03ID111</v>
          </cell>
          <cell r="J1189" t="str">
            <v>M.R.I (VE)</v>
          </cell>
          <cell r="K1189" t="str">
            <v>BMED</v>
          </cell>
          <cell r="L1189" t="str">
            <v>Critical</v>
          </cell>
          <cell r="M1189" t="str">
            <v>JAPAN</v>
          </cell>
          <cell r="N1189" t="str">
            <v>CardioLife</v>
          </cell>
          <cell r="O1189" t="str">
            <v>CardioLife TEC-5521K</v>
          </cell>
          <cell r="P1189" t="str">
            <v>12576</v>
          </cell>
          <cell r="Q1189" t="str">
            <v>Not Applicable</v>
          </cell>
          <cell r="R1189" t="str">
            <v>Nihon Kohden Corp</v>
          </cell>
          <cell r="S1189" t="str">
            <v>Metro Jendela Sdn Bhd</v>
          </cell>
          <cell r="T1189" t="str">
            <v>Functioning</v>
          </cell>
          <cell r="U1189" t="str">
            <v>Asset</v>
          </cell>
          <cell r="V1189">
            <v>30000</v>
          </cell>
          <cell r="W1189" t="str">
            <v>Estimate</v>
          </cell>
          <cell r="X1189" t="str">
            <v>01/09/2010</v>
          </cell>
          <cell r="Y1189" t="str">
            <v>KEW</v>
          </cell>
          <cell r="Z1189" t="str">
            <v>16/08/2013</v>
          </cell>
          <cell r="AA1189" t="str">
            <v>15/08/2015</v>
          </cell>
          <cell r="AB1189" t="str">
            <v>No</v>
          </cell>
          <cell r="AC1189" t="str">
            <v>31/08/2013</v>
          </cell>
          <cell r="AD1189" t="str">
            <v>Good</v>
          </cell>
          <cell r="AE1189" t="str">
            <v>V1 - Existing / No Claim</v>
          </cell>
          <cell r="AF1189">
            <v>42605</v>
          </cell>
          <cell r="AG1189">
            <v>9.17</v>
          </cell>
          <cell r="AH1189" t="str">
            <v>PPM</v>
          </cell>
          <cell r="AI1189" t="str">
            <v>Strands</v>
          </cell>
          <cell r="AJ1189" t="str">
            <v>Strands Package</v>
          </cell>
          <cell r="AK1189" t="str">
            <v>Package Code XJ0007</v>
          </cell>
        </row>
        <row r="1190">
          <cell r="A1190" t="str">
            <v>IKN400795</v>
          </cell>
          <cell r="B1190">
            <v>795</v>
          </cell>
          <cell r="C1190" t="str">
            <v>Institut Kanser Negara</v>
          </cell>
          <cell r="D1190" t="str">
            <v>KKM/IKN/H/13/4576</v>
          </cell>
          <cell r="E1190" t="str">
            <v>18-158</v>
          </cell>
          <cell r="F1190" t="str">
            <v>Injectors, Contrast Media, Magnetic Resonance Imaging</v>
          </cell>
          <cell r="G1190" t="str">
            <v>ID</v>
          </cell>
          <cell r="H1190" t="str">
            <v>IMAGING DEPARTMENT</v>
          </cell>
          <cell r="I1190" t="str">
            <v>03ID111</v>
          </cell>
          <cell r="J1190" t="str">
            <v>M.R.I (VE)</v>
          </cell>
          <cell r="K1190" t="str">
            <v>BMED</v>
          </cell>
          <cell r="L1190" t="str">
            <v>Normal</v>
          </cell>
          <cell r="M1190" t="str">
            <v>USA</v>
          </cell>
          <cell r="N1190" t="str">
            <v>Spectris</v>
          </cell>
          <cell r="O1190" t="str">
            <v>Spectris Solaris EP</v>
          </cell>
          <cell r="P1190" t="str">
            <v>301201248212</v>
          </cell>
          <cell r="Q1190" t="str">
            <v>Not Applicable</v>
          </cell>
          <cell r="R1190" t="str">
            <v>Medrad Inc</v>
          </cell>
          <cell r="S1190" t="str">
            <v>Advance Altimas Sdn Bhd</v>
          </cell>
          <cell r="T1190" t="str">
            <v>Functioning</v>
          </cell>
          <cell r="U1190" t="str">
            <v>Asset</v>
          </cell>
          <cell r="V1190">
            <v>172500</v>
          </cell>
          <cell r="W1190" t="str">
            <v>KEW</v>
          </cell>
          <cell r="X1190" t="str">
            <v>01/09/2010</v>
          </cell>
          <cell r="Y1190" t="str">
            <v>KEW</v>
          </cell>
          <cell r="Z1190" t="str">
            <v>16/08/2013</v>
          </cell>
          <cell r="AA1190" t="str">
            <v>15/08/2015</v>
          </cell>
          <cell r="AB1190" t="str">
            <v>No</v>
          </cell>
          <cell r="AC1190" t="str">
            <v>31/08/2013</v>
          </cell>
          <cell r="AD1190" t="str">
            <v>Good</v>
          </cell>
          <cell r="AE1190" t="str">
            <v>V1 - Existing / No Claim</v>
          </cell>
          <cell r="AF1190">
            <v>42605</v>
          </cell>
          <cell r="AG1190">
            <v>9.17</v>
          </cell>
          <cell r="AH1190" t="str">
            <v>PPM</v>
          </cell>
          <cell r="AI1190" t="str">
            <v>package</v>
          </cell>
          <cell r="AJ1190" t="e">
            <v>#REF!</v>
          </cell>
          <cell r="AK1190" t="str">
            <v>27/10/2023: KEWPA, SN: 48212.</v>
          </cell>
        </row>
        <row r="1191">
          <cell r="A1191" t="str">
            <v>IKN400796</v>
          </cell>
          <cell r="B1191">
            <v>796</v>
          </cell>
          <cell r="C1191" t="str">
            <v>Institut Kanser Negara</v>
          </cell>
          <cell r="D1191" t="str">
            <v>KKM/IKN/H/13/4292</v>
          </cell>
          <cell r="E1191" t="str">
            <v>13-215</v>
          </cell>
          <cell r="F1191" t="str">
            <v>Infusion Pumps, General-Purpose</v>
          </cell>
          <cell r="G1191" t="str">
            <v>ID</v>
          </cell>
          <cell r="H1191" t="str">
            <v>IMAGING DEPARTMENT</v>
          </cell>
          <cell r="I1191" t="str">
            <v>03ID111</v>
          </cell>
          <cell r="J1191" t="str">
            <v>M.R.I (VE)</v>
          </cell>
          <cell r="K1191" t="str">
            <v>BMED</v>
          </cell>
          <cell r="L1191" t="str">
            <v>Critical</v>
          </cell>
          <cell r="M1191" t="str">
            <v>USA</v>
          </cell>
          <cell r="N1191" t="str">
            <v>Mridium</v>
          </cell>
          <cell r="O1191" t="str">
            <v>MRidium 3851</v>
          </cell>
          <cell r="P1191" t="str">
            <v>IR5110595/IR5011214</v>
          </cell>
          <cell r="Q1191" t="str">
            <v>Not Applicable</v>
          </cell>
          <cell r="R1191" t="str">
            <v>Iradimed Corp</v>
          </cell>
          <cell r="S1191" t="str">
            <v>APPLIED MEDICAL SYSTEMS SDN BHD</v>
          </cell>
          <cell r="T1191" t="str">
            <v>Functioning</v>
          </cell>
          <cell r="U1191" t="str">
            <v>Asset</v>
          </cell>
          <cell r="V1191">
            <v>1400</v>
          </cell>
          <cell r="W1191" t="str">
            <v>Estimate</v>
          </cell>
          <cell r="X1191" t="str">
            <v>01/09/2010</v>
          </cell>
          <cell r="Y1191" t="str">
            <v>KEW</v>
          </cell>
          <cell r="Z1191" t="str">
            <v>16/08/2013</v>
          </cell>
          <cell r="AA1191" t="str">
            <v>15/08/2015</v>
          </cell>
          <cell r="AB1191" t="str">
            <v>No</v>
          </cell>
          <cell r="AC1191" t="str">
            <v>31/08/2013</v>
          </cell>
          <cell r="AD1191" t="str">
            <v>Good</v>
          </cell>
          <cell r="AE1191" t="str">
            <v>V1 - Existing / No Claim</v>
          </cell>
          <cell r="AF1191">
            <v>42791</v>
          </cell>
          <cell r="AG1191">
            <v>9.17</v>
          </cell>
          <cell r="AH1191" t="str">
            <v>PPM</v>
          </cell>
          <cell r="AI1191" t="str">
            <v>Strands</v>
          </cell>
          <cell r="AJ1191" t="str">
            <v>Strands PW</v>
          </cell>
        </row>
        <row r="1192">
          <cell r="A1192" t="str">
            <v>IKN400797</v>
          </cell>
          <cell r="B1192">
            <v>797</v>
          </cell>
          <cell r="C1192" t="str">
            <v>Institut Kanser Negara</v>
          </cell>
          <cell r="D1192" t="str">
            <v>KKM/IKN/H/13/2663</v>
          </cell>
          <cell r="E1192" t="str">
            <v>17-950</v>
          </cell>
          <cell r="F1192" t="str">
            <v>Warming Units, Patient, Forced-Air</v>
          </cell>
          <cell r="G1192" t="str">
            <v>ID</v>
          </cell>
          <cell r="H1192" t="str">
            <v>IMAGING DEPARTMENT</v>
          </cell>
          <cell r="I1192" t="str">
            <v>03ID109</v>
          </cell>
          <cell r="J1192" t="str">
            <v>INDUCTION</v>
          </cell>
          <cell r="K1192" t="str">
            <v>BMED</v>
          </cell>
          <cell r="L1192" t="str">
            <v>Normal</v>
          </cell>
          <cell r="M1192" t="str">
            <v>USA</v>
          </cell>
          <cell r="N1192" t="str">
            <v>Bair Hugger</v>
          </cell>
          <cell r="O1192" t="str">
            <v>Bair Hugger 775</v>
          </cell>
          <cell r="P1192" t="str">
            <v>36865</v>
          </cell>
          <cell r="Q1192" t="str">
            <v>Not Applicable</v>
          </cell>
          <cell r="R1192" t="str">
            <v>Arizant Healthcare Inc</v>
          </cell>
          <cell r="S1192" t="str">
            <v>Calmed Healthcare Sdn Bhd</v>
          </cell>
          <cell r="T1192" t="str">
            <v>Functioning</v>
          </cell>
          <cell r="U1192" t="str">
            <v>Asset</v>
          </cell>
          <cell r="V1192">
            <v>15515</v>
          </cell>
          <cell r="W1192" t="str">
            <v>KEW</v>
          </cell>
          <cell r="X1192" t="str">
            <v>01/09/2010</v>
          </cell>
          <cell r="Y1192" t="str">
            <v>KEW</v>
          </cell>
          <cell r="Z1192" t="str">
            <v>16/08/2013</v>
          </cell>
          <cell r="AA1192" t="str">
            <v>15/08/2015</v>
          </cell>
          <cell r="AB1192" t="str">
            <v>No</v>
          </cell>
          <cell r="AC1192" t="str">
            <v>31/08/2013</v>
          </cell>
          <cell r="AD1192" t="str">
            <v>Good</v>
          </cell>
          <cell r="AE1192" t="str">
            <v>V1 - Existing / No Claim</v>
          </cell>
          <cell r="AF1192">
            <v>42235</v>
          </cell>
          <cell r="AG1192">
            <v>9.17</v>
          </cell>
          <cell r="AH1192" t="str">
            <v>PPM</v>
          </cell>
          <cell r="AI1192" t="str">
            <v>Strands</v>
          </cell>
          <cell r="AJ1192" t="str">
            <v>Strands PW</v>
          </cell>
        </row>
        <row r="1193">
          <cell r="A1193" t="str">
            <v>IKN400798</v>
          </cell>
          <cell r="B1193">
            <v>798</v>
          </cell>
          <cell r="C1193" t="str">
            <v>Institut Kanser Negara</v>
          </cell>
          <cell r="D1193" t="str">
            <v>KKM/IKN/H/13/1351</v>
          </cell>
          <cell r="E1193" t="str">
            <v>18-430</v>
          </cell>
          <cell r="F1193" t="str">
            <v>Radiographic Systems, Digital</v>
          </cell>
          <cell r="G1193" t="str">
            <v>ID</v>
          </cell>
          <cell r="H1193" t="str">
            <v>IMAGING DEPARTMENT</v>
          </cell>
          <cell r="I1193" t="str">
            <v>03ID181</v>
          </cell>
          <cell r="J1193" t="str">
            <v>X-RAY 2(GENERAL)</v>
          </cell>
          <cell r="K1193" t="str">
            <v>BMED</v>
          </cell>
          <cell r="L1193" t="str">
            <v>Normal</v>
          </cell>
          <cell r="M1193" t="str">
            <v>USA</v>
          </cell>
          <cell r="N1193" t="str">
            <v>Discovery</v>
          </cell>
          <cell r="O1193" t="str">
            <v>Discovery XR656</v>
          </cell>
          <cell r="P1193" t="str">
            <v>87634HL2</v>
          </cell>
          <cell r="Q1193" t="str">
            <v>Not Applicable</v>
          </cell>
          <cell r="R1193" t="str">
            <v>GE Healthcare</v>
          </cell>
          <cell r="S1193" t="str">
            <v>GE Healthcare Technologies</v>
          </cell>
          <cell r="T1193" t="str">
            <v>Functioning</v>
          </cell>
          <cell r="U1193" t="str">
            <v>Asset</v>
          </cell>
          <cell r="V1193">
            <v>1958605</v>
          </cell>
          <cell r="W1193" t="str">
            <v>KEW</v>
          </cell>
          <cell r="X1193" t="str">
            <v>01/09/2010</v>
          </cell>
          <cell r="Y1193" t="str">
            <v>KEW</v>
          </cell>
          <cell r="Z1193" t="str">
            <v>16/08/2013</v>
          </cell>
          <cell r="AA1193" t="str">
            <v>15/08/2015</v>
          </cell>
          <cell r="AB1193" t="str">
            <v>No</v>
          </cell>
          <cell r="AC1193" t="str">
            <v>31/08/2013</v>
          </cell>
          <cell r="AD1193" t="str">
            <v>Good</v>
          </cell>
          <cell r="AE1193" t="str">
            <v>V1 - Existing / No Claim</v>
          </cell>
          <cell r="AF1193">
            <v>42791</v>
          </cell>
          <cell r="AG1193">
            <v>9.17</v>
          </cell>
          <cell r="AH1193" t="str">
            <v>PPM</v>
          </cell>
          <cell r="AI1193" t="str">
            <v>Strands</v>
          </cell>
          <cell r="AJ1193" t="str">
            <v>Strands Package</v>
          </cell>
          <cell r="AK1193" t="str">
            <v>Package Code XR0007-D</v>
          </cell>
        </row>
        <row r="1194">
          <cell r="A1194" t="str">
            <v>IKN400799</v>
          </cell>
          <cell r="B1194">
            <v>799</v>
          </cell>
          <cell r="C1194" t="str">
            <v>Institut Kanser Negara</v>
          </cell>
          <cell r="D1194" t="str">
            <v>KKM/IKN/H/13/1241</v>
          </cell>
          <cell r="E1194" t="str">
            <v>18-430</v>
          </cell>
          <cell r="F1194" t="str">
            <v>Radiographic Systems, Digital</v>
          </cell>
          <cell r="G1194" t="str">
            <v>ID</v>
          </cell>
          <cell r="H1194" t="str">
            <v>IMAGING DEPARTMENT</v>
          </cell>
          <cell r="I1194" t="str">
            <v>03ID186</v>
          </cell>
          <cell r="J1194" t="str">
            <v>X-RAY 1 (GENERAL)</v>
          </cell>
          <cell r="K1194" t="str">
            <v>BMED</v>
          </cell>
          <cell r="L1194" t="str">
            <v>Normal</v>
          </cell>
          <cell r="M1194" t="str">
            <v>USA</v>
          </cell>
          <cell r="N1194" t="str">
            <v>Discovery</v>
          </cell>
          <cell r="O1194" t="str">
            <v>Discovery XR656</v>
          </cell>
          <cell r="P1194" t="str">
            <v>87996HL5</v>
          </cell>
          <cell r="Q1194" t="str">
            <v>Not Applicable</v>
          </cell>
          <cell r="R1194" t="str">
            <v>GE Healthcare</v>
          </cell>
          <cell r="S1194" t="str">
            <v>GE Healthcare Technologies</v>
          </cell>
          <cell r="T1194" t="str">
            <v>Functioning</v>
          </cell>
          <cell r="U1194" t="str">
            <v>Asset</v>
          </cell>
          <cell r="V1194">
            <v>1958605</v>
          </cell>
          <cell r="W1194" t="str">
            <v>KEW</v>
          </cell>
          <cell r="X1194" t="str">
            <v>01/09/2010</v>
          </cell>
          <cell r="Y1194" t="str">
            <v>KEW</v>
          </cell>
          <cell r="Z1194" t="str">
            <v>16/08/2013</v>
          </cell>
          <cell r="AA1194" t="str">
            <v>15/08/2015</v>
          </cell>
          <cell r="AB1194" t="str">
            <v>No</v>
          </cell>
          <cell r="AC1194" t="str">
            <v>31/08/2013</v>
          </cell>
          <cell r="AD1194" t="str">
            <v>Good</v>
          </cell>
          <cell r="AE1194" t="str">
            <v>V1 - Existing / No Claim</v>
          </cell>
          <cell r="AF1194">
            <v>42791</v>
          </cell>
          <cell r="AG1194">
            <v>9.17</v>
          </cell>
          <cell r="AH1194" t="str">
            <v>PPM</v>
          </cell>
          <cell r="AI1194" t="str">
            <v>Strands</v>
          </cell>
          <cell r="AJ1194" t="str">
            <v>Strands Package</v>
          </cell>
          <cell r="AK1194" t="str">
            <v>Package Code XR0007-D</v>
          </cell>
        </row>
        <row r="1195">
          <cell r="A1195" t="str">
            <v>IKN400800</v>
          </cell>
          <cell r="B1195">
            <v>800</v>
          </cell>
          <cell r="C1195" t="str">
            <v>Institut Kanser Negara</v>
          </cell>
          <cell r="D1195" t="str">
            <v>KKM/IKN/H/13/2751</v>
          </cell>
          <cell r="E1195" t="str">
            <v>12-647</v>
          </cell>
          <cell r="F1195" t="str">
            <v>Physiologic Monitoring Systems, Acute Care</v>
          </cell>
          <cell r="G1195" t="str">
            <v>ID</v>
          </cell>
          <cell r="H1195" t="str">
            <v>IMAGING DEPARTMENT</v>
          </cell>
          <cell r="I1195" t="str">
            <v>03ID167</v>
          </cell>
          <cell r="J1195" t="str">
            <v>EQ.STORE</v>
          </cell>
          <cell r="K1195" t="str">
            <v>BMED</v>
          </cell>
          <cell r="L1195" t="str">
            <v>Critical</v>
          </cell>
          <cell r="M1195" t="str">
            <v>USA</v>
          </cell>
          <cell r="N1195" t="str">
            <v>GE</v>
          </cell>
          <cell r="O1195" t="str">
            <v>GE B30</v>
          </cell>
          <cell r="P1195" t="str">
            <v>SF312325904WA</v>
          </cell>
          <cell r="Q1195" t="str">
            <v>Not Applicable</v>
          </cell>
          <cell r="R1195" t="str">
            <v>GE Healthcare Systems</v>
          </cell>
          <cell r="S1195" t="str">
            <v>GE Healthcare Technologies</v>
          </cell>
          <cell r="T1195" t="str">
            <v>Functioning</v>
          </cell>
          <cell r="U1195" t="str">
            <v>Asset</v>
          </cell>
          <cell r="V1195">
            <v>44510</v>
          </cell>
          <cell r="W1195" t="str">
            <v>KEW</v>
          </cell>
          <cell r="X1195" t="str">
            <v>01/09/2010</v>
          </cell>
          <cell r="Y1195" t="str">
            <v>KEW</v>
          </cell>
          <cell r="Z1195" t="str">
            <v>16/08/2013</v>
          </cell>
          <cell r="AA1195" t="str">
            <v>15/08/2015</v>
          </cell>
          <cell r="AB1195" t="str">
            <v>No</v>
          </cell>
          <cell r="AC1195" t="str">
            <v>31/08/2013</v>
          </cell>
          <cell r="AD1195" t="str">
            <v>Good</v>
          </cell>
          <cell r="AE1195" t="str">
            <v>V1 - Existing / No Claim</v>
          </cell>
          <cell r="AF1195">
            <v>42791</v>
          </cell>
          <cell r="AG1195">
            <v>9.17</v>
          </cell>
          <cell r="AH1195" t="str">
            <v>PPM</v>
          </cell>
          <cell r="AI1195" t="str">
            <v>Strands</v>
          </cell>
          <cell r="AJ1195" t="str">
            <v>Strands PW</v>
          </cell>
        </row>
        <row r="1196">
          <cell r="A1196" t="str">
            <v>IKN400801</v>
          </cell>
          <cell r="B1196">
            <v>801</v>
          </cell>
          <cell r="C1196" t="str">
            <v>Institut Kanser Negara</v>
          </cell>
          <cell r="D1196" t="str">
            <v>KKM/IKN/H/13/2560</v>
          </cell>
          <cell r="E1196" t="str">
            <v>10-447</v>
          </cell>
          <cell r="F1196" t="str">
            <v>Warming Units, Blood/Solution</v>
          </cell>
          <cell r="G1196" t="str">
            <v>RT</v>
          </cell>
          <cell r="H1196" t="str">
            <v>RADIATION TREATMENT UNIT</v>
          </cell>
          <cell r="I1196" t="str">
            <v>01RT233</v>
          </cell>
          <cell r="J1196" t="str">
            <v>EQ ROOM</v>
          </cell>
          <cell r="K1196" t="str">
            <v>BMED</v>
          </cell>
          <cell r="L1196" t="str">
            <v>Normal</v>
          </cell>
          <cell r="M1196" t="str">
            <v>Japan</v>
          </cell>
          <cell r="N1196" t="str">
            <v>Animec</v>
          </cell>
          <cell r="O1196" t="str">
            <v>Animec AM-301</v>
          </cell>
          <cell r="P1196" t="str">
            <v>2013D0254</v>
          </cell>
          <cell r="Q1196" t="str">
            <v>Not Applicable</v>
          </cell>
          <cell r="R1196" t="str">
            <v>Elltec Co Ltd</v>
          </cell>
          <cell r="S1196" t="str">
            <v>IDS Services (Malaysia) Sdn Bhd</v>
          </cell>
          <cell r="T1196" t="str">
            <v>Functioning</v>
          </cell>
          <cell r="U1196" t="str">
            <v>Asset</v>
          </cell>
          <cell r="V1196">
            <v>4990</v>
          </cell>
          <cell r="W1196" t="str">
            <v>KEW</v>
          </cell>
          <cell r="X1196" t="str">
            <v>01/09/2010</v>
          </cell>
          <cell r="Y1196" t="str">
            <v>KEW</v>
          </cell>
          <cell r="Z1196" t="str">
            <v>16/08/2013</v>
          </cell>
          <cell r="AA1196" t="str">
            <v>15/08/2015</v>
          </cell>
          <cell r="AB1196" t="str">
            <v>No</v>
          </cell>
          <cell r="AC1196" t="str">
            <v>31/08/2013</v>
          </cell>
          <cell r="AD1196" t="str">
            <v>Good</v>
          </cell>
          <cell r="AE1196" t="str">
            <v>V1 - Existing / No Claim</v>
          </cell>
          <cell r="AF1196">
            <v>42235</v>
          </cell>
          <cell r="AG1196">
            <v>9.17</v>
          </cell>
          <cell r="AH1196" t="str">
            <v>PPM</v>
          </cell>
          <cell r="AI1196" t="str">
            <v>Strands</v>
          </cell>
          <cell r="AJ1196" t="str">
            <v>Strands PW</v>
          </cell>
        </row>
        <row r="1197">
          <cell r="A1197" t="str">
            <v>IKN400802</v>
          </cell>
          <cell r="B1197">
            <v>802</v>
          </cell>
          <cell r="C1197" t="str">
            <v>Institut Kanser Negara</v>
          </cell>
          <cell r="D1197" t="str">
            <v>KKM/IKN/H/13/2563</v>
          </cell>
          <cell r="E1197" t="str">
            <v>10-447</v>
          </cell>
          <cell r="F1197" t="str">
            <v>Warming Units, Blood/Solution</v>
          </cell>
          <cell r="G1197" t="str">
            <v>RT</v>
          </cell>
          <cell r="H1197" t="str">
            <v>RADIATION TREATMENT UNIT</v>
          </cell>
          <cell r="I1197" t="str">
            <v>01RT233</v>
          </cell>
          <cell r="J1197" t="str">
            <v>EQ ROOM</v>
          </cell>
          <cell r="K1197" t="str">
            <v>BMED</v>
          </cell>
          <cell r="L1197" t="str">
            <v>Normal</v>
          </cell>
          <cell r="M1197" t="str">
            <v>Japan</v>
          </cell>
          <cell r="N1197" t="str">
            <v>Animec</v>
          </cell>
          <cell r="O1197" t="str">
            <v>Animec AM-301</v>
          </cell>
          <cell r="P1197" t="str">
            <v>2013D0253</v>
          </cell>
          <cell r="Q1197" t="str">
            <v>Not Applicable</v>
          </cell>
          <cell r="R1197" t="str">
            <v>Elltec Co Ltd</v>
          </cell>
          <cell r="S1197" t="str">
            <v>IDS Services (Malaysia) Sdn Bhd</v>
          </cell>
          <cell r="T1197" t="str">
            <v>Functioning</v>
          </cell>
          <cell r="U1197" t="str">
            <v>Asset</v>
          </cell>
          <cell r="V1197">
            <v>4990</v>
          </cell>
          <cell r="W1197" t="str">
            <v>KEW</v>
          </cell>
          <cell r="X1197" t="str">
            <v>01/09/2010</v>
          </cell>
          <cell r="Y1197" t="str">
            <v>KEW</v>
          </cell>
          <cell r="Z1197" t="str">
            <v>16/08/2013</v>
          </cell>
          <cell r="AA1197" t="str">
            <v>15/08/2015</v>
          </cell>
          <cell r="AB1197" t="str">
            <v>No</v>
          </cell>
          <cell r="AC1197" t="str">
            <v>31/08/2013</v>
          </cell>
          <cell r="AD1197" t="str">
            <v>Good</v>
          </cell>
          <cell r="AE1197" t="str">
            <v>V1 - Existing / No Claim</v>
          </cell>
          <cell r="AF1197">
            <v>42235</v>
          </cell>
          <cell r="AG1197">
            <v>9.17</v>
          </cell>
          <cell r="AH1197" t="str">
            <v>PPM</v>
          </cell>
          <cell r="AI1197" t="str">
            <v>Strands</v>
          </cell>
          <cell r="AJ1197" t="str">
            <v>Strands PW</v>
          </cell>
        </row>
        <row r="1198">
          <cell r="A1198" t="str">
            <v>IKN400803</v>
          </cell>
          <cell r="B1198">
            <v>803</v>
          </cell>
          <cell r="C1198" t="str">
            <v>Institut Kanser Negara</v>
          </cell>
          <cell r="D1198" t="str">
            <v>KKM/IKN/H/13/3844</v>
          </cell>
          <cell r="E1198" t="str">
            <v>18-098</v>
          </cell>
          <cell r="F1198" t="str">
            <v>Ventilators, Transport</v>
          </cell>
          <cell r="G1198" t="str">
            <v>OT</v>
          </cell>
          <cell r="H1198" t="str">
            <v>OPERATING THEATRE</v>
          </cell>
          <cell r="I1198" t="str">
            <v>05OT169</v>
          </cell>
          <cell r="J1198" t="str">
            <v>EQ. ROOM</v>
          </cell>
          <cell r="K1198" t="str">
            <v>BMED</v>
          </cell>
          <cell r="L1198" t="str">
            <v>Normal</v>
          </cell>
          <cell r="M1198" t="str">
            <v>Germany</v>
          </cell>
          <cell r="N1198" t="str">
            <v>Oxylog</v>
          </cell>
          <cell r="O1198" t="str">
            <v>Oxylog 3000 Plus</v>
          </cell>
          <cell r="P1198" t="str">
            <v>ASDJ-0136</v>
          </cell>
          <cell r="Q1198" t="str">
            <v>Not Applicable</v>
          </cell>
          <cell r="R1198" t="str">
            <v>Draegerwerk Ag</v>
          </cell>
          <cell r="S1198" t="str">
            <v>Beau Consortium Sdn Bhd</v>
          </cell>
          <cell r="T1198" t="str">
            <v>Functioning</v>
          </cell>
          <cell r="U1198" t="str">
            <v>Asset</v>
          </cell>
          <cell r="V1198">
            <v>60150</v>
          </cell>
          <cell r="W1198" t="str">
            <v>KEW</v>
          </cell>
          <cell r="X1198" t="str">
            <v>01/09/2010</v>
          </cell>
          <cell r="Y1198" t="str">
            <v>KEW</v>
          </cell>
          <cell r="Z1198" t="str">
            <v>16/08/2013</v>
          </cell>
          <cell r="AA1198" t="str">
            <v>15/08/2015</v>
          </cell>
          <cell r="AB1198" t="str">
            <v>No</v>
          </cell>
          <cell r="AC1198" t="str">
            <v>31/08/2013</v>
          </cell>
          <cell r="AD1198" t="str">
            <v>Good</v>
          </cell>
          <cell r="AE1198" t="str">
            <v>V1 - Existing / No Claim</v>
          </cell>
          <cell r="AF1198">
            <v>42235</v>
          </cell>
          <cell r="AG1198">
            <v>9.17</v>
          </cell>
          <cell r="AH1198" t="str">
            <v>PPM</v>
          </cell>
          <cell r="AI1198" t="str">
            <v>Strands</v>
          </cell>
          <cell r="AJ1198" t="str">
            <v>Strands PW</v>
          </cell>
        </row>
        <row r="1199">
          <cell r="A1199" t="str">
            <v>IKN400804</v>
          </cell>
          <cell r="B1199">
            <v>804</v>
          </cell>
          <cell r="C1199" t="str">
            <v>Institut Kanser Negara</v>
          </cell>
          <cell r="D1199" t="str">
            <v>KKM/IKN/H/13/2505</v>
          </cell>
          <cell r="E1199" t="str">
            <v>16-331</v>
          </cell>
          <cell r="F1199" t="str">
            <v>Intubation Scopes, Flexible Fiberoptic</v>
          </cell>
          <cell r="G1199" t="str">
            <v>OT</v>
          </cell>
          <cell r="H1199" t="str">
            <v>OPERATING THEATRE</v>
          </cell>
          <cell r="I1199" t="str">
            <v>05OT169</v>
          </cell>
          <cell r="J1199" t="str">
            <v>EQ. ROOM</v>
          </cell>
          <cell r="K1199" t="str">
            <v>BMED</v>
          </cell>
          <cell r="L1199" t="str">
            <v>Normal</v>
          </cell>
          <cell r="M1199" t="str">
            <v>Japan</v>
          </cell>
          <cell r="N1199" t="str">
            <v>Olympus</v>
          </cell>
          <cell r="O1199" t="str">
            <v>Olympus LF-GP</v>
          </cell>
          <cell r="P1199" t="str">
            <v>2219460/7233400</v>
          </cell>
          <cell r="Q1199" t="str">
            <v>Not Applicable</v>
          </cell>
          <cell r="R1199" t="str">
            <v>Olympus Optical Co Ltd</v>
          </cell>
          <cell r="S1199" t="str">
            <v>Endodynamics</v>
          </cell>
          <cell r="T1199" t="str">
            <v>Functioning</v>
          </cell>
          <cell r="U1199" t="str">
            <v>Asset</v>
          </cell>
          <cell r="V1199">
            <v>38360</v>
          </cell>
          <cell r="W1199" t="str">
            <v>KEW</v>
          </cell>
          <cell r="X1199" t="str">
            <v>01/09/2010</v>
          </cell>
          <cell r="Y1199" t="str">
            <v>KEW</v>
          </cell>
          <cell r="Z1199" t="str">
            <v>16/08/2013</v>
          </cell>
          <cell r="AA1199" t="str">
            <v>15/08/2015</v>
          </cell>
          <cell r="AB1199" t="str">
            <v>No</v>
          </cell>
          <cell r="AC1199" t="str">
            <v>31/08/2013</v>
          </cell>
          <cell r="AD1199" t="str">
            <v>Good</v>
          </cell>
          <cell r="AE1199" t="str">
            <v>V1 - Existing / No Claim</v>
          </cell>
          <cell r="AF1199">
            <v>42803</v>
          </cell>
          <cell r="AG1199">
            <v>9.17</v>
          </cell>
          <cell r="AH1199" t="str">
            <v>PPM</v>
          </cell>
          <cell r="AI1199" t="str">
            <v>Strands</v>
          </cell>
          <cell r="AJ1199" t="str">
            <v>Strands PW</v>
          </cell>
        </row>
        <row r="1200">
          <cell r="A1200" t="str">
            <v>IKN400805</v>
          </cell>
          <cell r="B1200">
            <v>805</v>
          </cell>
          <cell r="C1200" t="str">
            <v>Institut Kanser Negara</v>
          </cell>
          <cell r="D1200" t="str">
            <v>KKM/IKN/H/13/2500</v>
          </cell>
          <cell r="E1200" t="str">
            <v>16-331</v>
          </cell>
          <cell r="F1200" t="str">
            <v>Intubation Scopes, Flexible Fiberoptic</v>
          </cell>
          <cell r="G1200" t="str">
            <v>OT</v>
          </cell>
          <cell r="H1200" t="str">
            <v>OPERATING THEATRE</v>
          </cell>
          <cell r="I1200" t="str">
            <v>05OT169</v>
          </cell>
          <cell r="J1200" t="str">
            <v>EQ. ROOM</v>
          </cell>
          <cell r="K1200" t="str">
            <v>BMED</v>
          </cell>
          <cell r="L1200" t="str">
            <v>Normal</v>
          </cell>
          <cell r="M1200" t="str">
            <v>Japan</v>
          </cell>
          <cell r="N1200" t="str">
            <v>Olympus Jap</v>
          </cell>
          <cell r="O1200" t="str">
            <v>Lf-P/Clh-Sc</v>
          </cell>
          <cell r="P1200" t="str">
            <v>2221815/7233402</v>
          </cell>
          <cell r="Q1200" t="str">
            <v>Not Applicable</v>
          </cell>
          <cell r="R1200" t="str">
            <v>Olympus Jap</v>
          </cell>
          <cell r="S1200" t="str">
            <v>Endodynamics</v>
          </cell>
          <cell r="T1200" t="str">
            <v>Functioning</v>
          </cell>
          <cell r="U1200" t="str">
            <v>Asset</v>
          </cell>
          <cell r="V1200">
            <v>38575</v>
          </cell>
          <cell r="W1200" t="str">
            <v>KEW</v>
          </cell>
          <cell r="X1200" t="str">
            <v>01/09/2010</v>
          </cell>
          <cell r="Y1200" t="str">
            <v>KEW</v>
          </cell>
          <cell r="Z1200" t="str">
            <v>16/08/2013</v>
          </cell>
          <cell r="AA1200" t="str">
            <v>15/08/2015</v>
          </cell>
          <cell r="AB1200" t="str">
            <v>No</v>
          </cell>
          <cell r="AC1200" t="str">
            <v>31/08/2013</v>
          </cell>
          <cell r="AD1200" t="str">
            <v>Good</v>
          </cell>
          <cell r="AE1200" t="str">
            <v>V1 - Existing / No Claim</v>
          </cell>
          <cell r="AF1200">
            <v>42422</v>
          </cell>
          <cell r="AG1200">
            <v>9.17</v>
          </cell>
          <cell r="AH1200" t="str">
            <v>PPM</v>
          </cell>
          <cell r="AI1200" t="str">
            <v>Strands</v>
          </cell>
          <cell r="AJ1200" t="str">
            <v>Strands PW</v>
          </cell>
        </row>
        <row r="1201">
          <cell r="A1201" t="str">
            <v>IKN400806</v>
          </cell>
          <cell r="B1201">
            <v>806</v>
          </cell>
          <cell r="C1201" t="str">
            <v>Institut Kanser Negara</v>
          </cell>
          <cell r="D1201" t="str">
            <v>KKM/IKN/H/13/2489</v>
          </cell>
          <cell r="E1201" t="str">
            <v>17-144</v>
          </cell>
          <cell r="F1201" t="str">
            <v>Cystoscopes, Flexible</v>
          </cell>
          <cell r="G1201" t="str">
            <v>RT</v>
          </cell>
          <cell r="H1201" t="str">
            <v>RADIATION TREATMENT UNIT</v>
          </cell>
          <cell r="I1201" t="str">
            <v>01RT233</v>
          </cell>
          <cell r="J1201" t="str">
            <v>EQ ROOM</v>
          </cell>
          <cell r="K1201" t="str">
            <v>BMED</v>
          </cell>
          <cell r="L1201" t="str">
            <v>Critical</v>
          </cell>
          <cell r="M1201" t="str">
            <v>Germany</v>
          </cell>
          <cell r="N1201" t="str">
            <v>Karl Storz</v>
          </cell>
          <cell r="O1201" t="str">
            <v>Karl Storz 11272C1</v>
          </cell>
          <cell r="P1201" t="str">
            <v>12085</v>
          </cell>
          <cell r="Q1201" t="str">
            <v>Not Applicable</v>
          </cell>
          <cell r="R1201" t="str">
            <v>Karl Storz GmbH</v>
          </cell>
          <cell r="S1201" t="str">
            <v>UMMI Surgical Sdn Bhd</v>
          </cell>
          <cell r="T1201" t="str">
            <v>Functioning</v>
          </cell>
          <cell r="U1201" t="str">
            <v>Asset</v>
          </cell>
          <cell r="V1201">
            <v>37408</v>
          </cell>
          <cell r="W1201" t="str">
            <v>KEW</v>
          </cell>
          <cell r="X1201" t="str">
            <v>01/09/2010</v>
          </cell>
          <cell r="Y1201" t="str">
            <v>KEW</v>
          </cell>
          <cell r="Z1201" t="str">
            <v>16/08/2013</v>
          </cell>
          <cell r="AA1201" t="str">
            <v>15/08/2015</v>
          </cell>
          <cell r="AB1201" t="str">
            <v>No</v>
          </cell>
          <cell r="AC1201" t="str">
            <v>31/08/2013</v>
          </cell>
          <cell r="AD1201" t="str">
            <v>Good</v>
          </cell>
          <cell r="AE1201" t="str">
            <v>V1 - Existing / No Claim</v>
          </cell>
          <cell r="AF1201">
            <v>42697</v>
          </cell>
          <cell r="AG1201">
            <v>9.17</v>
          </cell>
          <cell r="AH1201" t="str">
            <v>PPM</v>
          </cell>
          <cell r="AI1201" t="str">
            <v>Strands</v>
          </cell>
          <cell r="AJ1201" t="str">
            <v>Strands PW</v>
          </cell>
        </row>
        <row r="1202">
          <cell r="A1202" t="str">
            <v>IKN400807</v>
          </cell>
          <cell r="B1202">
            <v>807</v>
          </cell>
          <cell r="C1202" t="str">
            <v>Institut Kanser Negara</v>
          </cell>
          <cell r="D1202" t="str">
            <v>KKM/IKN/H/13/5294</v>
          </cell>
          <cell r="E1202" t="str">
            <v>12-282</v>
          </cell>
          <cell r="F1202" t="str">
            <v>Lights, Surgical</v>
          </cell>
          <cell r="G1202" t="str">
            <v>RT</v>
          </cell>
          <cell r="H1202" t="str">
            <v>RADIATION TREATMENT UNIT</v>
          </cell>
          <cell r="I1202" t="str">
            <v>01RT275</v>
          </cell>
          <cell r="J1202" t="str">
            <v>BRACHY OT 1</v>
          </cell>
          <cell r="K1202" t="str">
            <v>BMED</v>
          </cell>
          <cell r="L1202" t="str">
            <v>Normal</v>
          </cell>
          <cell r="M1202" t="str">
            <v>Germany</v>
          </cell>
          <cell r="N1202" t="str">
            <v>Trumpf</v>
          </cell>
          <cell r="O1202" t="str">
            <v>Trumpf iLED</v>
          </cell>
          <cell r="P1202" t="str">
            <v>101600553/101608461</v>
          </cell>
          <cell r="Q1202" t="str">
            <v>Not Applicable</v>
          </cell>
          <cell r="R1202" t="str">
            <v>Trumpf</v>
          </cell>
          <cell r="S1202" t="str">
            <v>MALAYSIAN HEALTHCARE SDN BHD</v>
          </cell>
          <cell r="T1202" t="str">
            <v>Functioning</v>
          </cell>
          <cell r="U1202" t="str">
            <v>Asset</v>
          </cell>
          <cell r="V1202">
            <v>165550</v>
          </cell>
          <cell r="W1202" t="str">
            <v>KEW</v>
          </cell>
          <cell r="X1202" t="str">
            <v>01/09/2010</v>
          </cell>
          <cell r="Y1202" t="str">
            <v>KEW</v>
          </cell>
          <cell r="Z1202" t="str">
            <v>16/08/2013</v>
          </cell>
          <cell r="AA1202" t="str">
            <v>15/08/2015</v>
          </cell>
          <cell r="AB1202" t="str">
            <v>No</v>
          </cell>
          <cell r="AC1202" t="str">
            <v>31/08/2013</v>
          </cell>
          <cell r="AD1202" t="str">
            <v>Good</v>
          </cell>
          <cell r="AE1202" t="str">
            <v>V1 - Existing / No Claim</v>
          </cell>
          <cell r="AF1202">
            <v>42235</v>
          </cell>
          <cell r="AG1202">
            <v>9.17</v>
          </cell>
          <cell r="AH1202" t="str">
            <v>PPM</v>
          </cell>
          <cell r="AI1202" t="str">
            <v>Strands</v>
          </cell>
          <cell r="AJ1202" t="str">
            <v>Strands PW</v>
          </cell>
        </row>
        <row r="1203">
          <cell r="A1203" t="str">
            <v>IKN400808</v>
          </cell>
          <cell r="B1203">
            <v>808</v>
          </cell>
          <cell r="C1203" t="str">
            <v>Institut Kanser Negara</v>
          </cell>
          <cell r="D1203" t="str">
            <v>KKM/IKN/H/13/5293</v>
          </cell>
          <cell r="E1203" t="str">
            <v>12-282</v>
          </cell>
          <cell r="F1203" t="str">
            <v>Lights, Surgical</v>
          </cell>
          <cell r="G1203" t="str">
            <v>RT</v>
          </cell>
          <cell r="H1203" t="str">
            <v>RADIATION TREATMENT UNIT</v>
          </cell>
          <cell r="I1203" t="str">
            <v>01RT278</v>
          </cell>
          <cell r="J1203" t="str">
            <v>BRACHY OT 2</v>
          </cell>
          <cell r="K1203" t="str">
            <v>BMED</v>
          </cell>
          <cell r="L1203" t="str">
            <v>Normal</v>
          </cell>
          <cell r="M1203" t="str">
            <v>Germany</v>
          </cell>
          <cell r="N1203" t="str">
            <v>Trumpf</v>
          </cell>
          <cell r="O1203" t="str">
            <v>Trumpf iLED</v>
          </cell>
          <cell r="P1203" t="str">
            <v>101608463/101608460</v>
          </cell>
          <cell r="Q1203" t="str">
            <v>Not Applicable</v>
          </cell>
          <cell r="R1203" t="str">
            <v>Trumpf</v>
          </cell>
          <cell r="S1203" t="str">
            <v>MALAYSIAN HEALTHCARE SDN BHD</v>
          </cell>
          <cell r="T1203" t="str">
            <v>Functioning</v>
          </cell>
          <cell r="U1203" t="str">
            <v>Asset</v>
          </cell>
          <cell r="V1203">
            <v>165550</v>
          </cell>
          <cell r="W1203" t="str">
            <v>KEW</v>
          </cell>
          <cell r="X1203" t="str">
            <v>01/09/2010</v>
          </cell>
          <cell r="Y1203" t="str">
            <v>KEW</v>
          </cell>
          <cell r="Z1203" t="str">
            <v>16/08/2013</v>
          </cell>
          <cell r="AA1203" t="str">
            <v>15/08/2015</v>
          </cell>
          <cell r="AB1203" t="str">
            <v>No</v>
          </cell>
          <cell r="AC1203" t="str">
            <v>31/08/2013</v>
          </cell>
          <cell r="AD1203" t="str">
            <v>Good</v>
          </cell>
          <cell r="AE1203" t="str">
            <v>V1 - Existing / No Claim</v>
          </cell>
          <cell r="AF1203">
            <v>42235</v>
          </cell>
          <cell r="AG1203">
            <v>9.17</v>
          </cell>
          <cell r="AH1203" t="str">
            <v>PPM</v>
          </cell>
          <cell r="AI1203" t="str">
            <v>Strands</v>
          </cell>
          <cell r="AJ1203" t="str">
            <v>Strands PW</v>
          </cell>
        </row>
        <row r="1204">
          <cell r="A1204" t="str">
            <v>IKN400809</v>
          </cell>
          <cell r="B1204">
            <v>809</v>
          </cell>
          <cell r="C1204" t="str">
            <v>Institut Kanser Negara</v>
          </cell>
          <cell r="D1204" t="str">
            <v>KKM/IKN/H/13/2636</v>
          </cell>
          <cell r="E1204" t="str">
            <v>12-282</v>
          </cell>
          <cell r="F1204" t="str">
            <v>Lights, Surgical</v>
          </cell>
          <cell r="G1204" t="str">
            <v>RT</v>
          </cell>
          <cell r="H1204" t="str">
            <v>RADIATION TREATMENT UNIT</v>
          </cell>
          <cell r="I1204" t="str">
            <v>01RT233</v>
          </cell>
          <cell r="J1204" t="str">
            <v>EQ ROOM</v>
          </cell>
          <cell r="K1204" t="str">
            <v>BMED</v>
          </cell>
          <cell r="L1204" t="str">
            <v>Normal</v>
          </cell>
          <cell r="M1204" t="str">
            <v>USA</v>
          </cell>
          <cell r="N1204" t="str">
            <v>Welch Allyn</v>
          </cell>
          <cell r="O1204" t="str">
            <v>Welch Allyn GS600</v>
          </cell>
          <cell r="P1204" t="str">
            <v>GS-600-05</v>
          </cell>
          <cell r="Q1204" t="str">
            <v>Not Applicable</v>
          </cell>
          <cell r="R1204" t="str">
            <v>Welch Allyn Inc</v>
          </cell>
          <cell r="S1204" t="str">
            <v>Welch Allyn Malaysia Sdn Bhd</v>
          </cell>
          <cell r="T1204" t="str">
            <v>Functioning</v>
          </cell>
          <cell r="U1204" t="str">
            <v>Asset</v>
          </cell>
          <cell r="V1204">
            <v>5050</v>
          </cell>
          <cell r="W1204" t="str">
            <v>KEW</v>
          </cell>
          <cell r="X1204" t="str">
            <v>01/09/2010</v>
          </cell>
          <cell r="Y1204" t="str">
            <v>KEW</v>
          </cell>
          <cell r="Z1204" t="str">
            <v>16/08/2013</v>
          </cell>
          <cell r="AA1204" t="str">
            <v>15/08/2015</v>
          </cell>
          <cell r="AB1204" t="str">
            <v>No</v>
          </cell>
          <cell r="AC1204" t="str">
            <v>31/08/2013</v>
          </cell>
          <cell r="AD1204" t="str">
            <v>Good</v>
          </cell>
          <cell r="AE1204" t="str">
            <v>V1 - Existing / No Claim</v>
          </cell>
          <cell r="AF1204">
            <v>42235</v>
          </cell>
          <cell r="AG1204">
            <v>9.17</v>
          </cell>
          <cell r="AH1204" t="str">
            <v>PPM</v>
          </cell>
          <cell r="AI1204" t="str">
            <v>Strands</v>
          </cell>
          <cell r="AJ1204" t="str">
            <v>Strands PW</v>
          </cell>
        </row>
        <row r="1205">
          <cell r="A1205" t="str">
            <v>IKN400810</v>
          </cell>
          <cell r="B1205">
            <v>810</v>
          </cell>
          <cell r="C1205" t="str">
            <v>Institut Kanser Negara</v>
          </cell>
          <cell r="D1205" t="str">
            <v>KKM/IKN/H/13/2635</v>
          </cell>
          <cell r="E1205" t="str">
            <v>10-208</v>
          </cell>
          <cell r="F1205" t="str">
            <v>Aspirators</v>
          </cell>
          <cell r="G1205" t="str">
            <v>RT</v>
          </cell>
          <cell r="H1205" t="str">
            <v>RADIATION TREATMENT UNIT</v>
          </cell>
          <cell r="I1205" t="str">
            <v>01RT233</v>
          </cell>
          <cell r="J1205" t="str">
            <v>EQ ROOM</v>
          </cell>
          <cell r="K1205" t="str">
            <v>BMED</v>
          </cell>
          <cell r="L1205" t="str">
            <v>Normal</v>
          </cell>
          <cell r="M1205" t="str">
            <v>Switzerland</v>
          </cell>
          <cell r="N1205" t="str">
            <v>Senator</v>
          </cell>
          <cell r="O1205" t="str">
            <v>Senator</v>
          </cell>
          <cell r="P1205" t="str">
            <v>1220748</v>
          </cell>
          <cell r="Q1205" t="str">
            <v>Not Applicable</v>
          </cell>
          <cell r="R1205" t="str">
            <v>Ardo Medical AG</v>
          </cell>
          <cell r="S1205" t="str">
            <v>Histopoint</v>
          </cell>
          <cell r="T1205" t="str">
            <v>Functioning</v>
          </cell>
          <cell r="U1205" t="str">
            <v>Asset</v>
          </cell>
          <cell r="V1205">
            <v>7580</v>
          </cell>
          <cell r="W1205" t="str">
            <v>KEW</v>
          </cell>
          <cell r="X1205" t="str">
            <v>01/09/2010</v>
          </cell>
          <cell r="Y1205" t="str">
            <v>KEW</v>
          </cell>
          <cell r="Z1205" t="str">
            <v>16/08/2013</v>
          </cell>
          <cell r="AA1205" t="str">
            <v>15/08/2015</v>
          </cell>
          <cell r="AB1205" t="str">
            <v>No</v>
          </cell>
          <cell r="AC1205" t="str">
            <v>31/08/2013</v>
          </cell>
          <cell r="AD1205" t="str">
            <v>Good</v>
          </cell>
          <cell r="AE1205" t="str">
            <v>V1 - Existing / No Claim</v>
          </cell>
          <cell r="AF1205">
            <v>42235</v>
          </cell>
          <cell r="AG1205">
            <v>9.17</v>
          </cell>
          <cell r="AH1205" t="str">
            <v>PPM</v>
          </cell>
          <cell r="AI1205" t="str">
            <v>Strands</v>
          </cell>
          <cell r="AJ1205" t="str">
            <v>Strands PW</v>
          </cell>
        </row>
        <row r="1206">
          <cell r="A1206" t="str">
            <v>IKN400813</v>
          </cell>
          <cell r="B1206">
            <v>813</v>
          </cell>
          <cell r="C1206" t="str">
            <v>Institut Kanser Negara</v>
          </cell>
          <cell r="D1206" t="str">
            <v>KKM/IKN/H/13/2201</v>
          </cell>
          <cell r="E1206" t="str">
            <v>12-647</v>
          </cell>
          <cell r="F1206" t="str">
            <v>Physiologic Monitoring Systems, Acute Care</v>
          </cell>
          <cell r="G1206" t="str">
            <v>RT</v>
          </cell>
          <cell r="H1206" t="str">
            <v>RADIATION TREATMENT UNIT</v>
          </cell>
          <cell r="I1206" t="str">
            <v>01RT238</v>
          </cell>
          <cell r="J1206" t="str">
            <v>PRE-OP</v>
          </cell>
          <cell r="K1206" t="str">
            <v>BMED</v>
          </cell>
          <cell r="L1206" t="str">
            <v>Normal</v>
          </cell>
          <cell r="M1206" t="str">
            <v>USA</v>
          </cell>
          <cell r="N1206" t="str">
            <v>GE</v>
          </cell>
          <cell r="O1206" t="str">
            <v>GE B30</v>
          </cell>
          <cell r="P1206" t="str">
            <v>SF312325912WA</v>
          </cell>
          <cell r="Q1206" t="str">
            <v>Not Applicable</v>
          </cell>
          <cell r="R1206" t="str">
            <v>GE Healthcare Systems</v>
          </cell>
          <cell r="S1206" t="str">
            <v>GE Healthcare Technologies</v>
          </cell>
          <cell r="T1206" t="str">
            <v>Functioning</v>
          </cell>
          <cell r="U1206" t="str">
            <v>Asset</v>
          </cell>
          <cell r="V1206">
            <v>44510</v>
          </cell>
          <cell r="W1206" t="str">
            <v>KEW</v>
          </cell>
          <cell r="X1206" t="str">
            <v>01/09/2010</v>
          </cell>
          <cell r="Y1206" t="str">
            <v>KEW</v>
          </cell>
          <cell r="Z1206" t="str">
            <v>16/08/2013</v>
          </cell>
          <cell r="AA1206" t="str">
            <v>15/08/2015</v>
          </cell>
          <cell r="AB1206" t="str">
            <v>No</v>
          </cell>
          <cell r="AC1206" t="str">
            <v>31/08/2013</v>
          </cell>
          <cell r="AD1206" t="str">
            <v>Good</v>
          </cell>
          <cell r="AE1206" t="str">
            <v>V1 - Existing / No Claim</v>
          </cell>
          <cell r="AF1206">
            <v>42235</v>
          </cell>
          <cell r="AG1206">
            <v>9.17</v>
          </cell>
          <cell r="AH1206" t="str">
            <v>PPM</v>
          </cell>
          <cell r="AI1206" t="str">
            <v>Strands</v>
          </cell>
          <cell r="AJ1206" t="str">
            <v>Strands PW</v>
          </cell>
        </row>
        <row r="1207">
          <cell r="A1207" t="str">
            <v>IKN400814</v>
          </cell>
          <cell r="B1207">
            <v>814</v>
          </cell>
          <cell r="C1207" t="str">
            <v>Institut Kanser Negara</v>
          </cell>
          <cell r="D1207" t="str">
            <v>KKM/IKN/H/13/2202</v>
          </cell>
          <cell r="E1207" t="str">
            <v>12-647</v>
          </cell>
          <cell r="F1207" t="str">
            <v>Physiologic Monitoring Systems, Acute Care</v>
          </cell>
          <cell r="G1207" t="str">
            <v>RT</v>
          </cell>
          <cell r="H1207" t="str">
            <v>RADIATION TREATMENT UNIT</v>
          </cell>
          <cell r="I1207" t="str">
            <v>01RT238</v>
          </cell>
          <cell r="J1207" t="str">
            <v>PRE-OP</v>
          </cell>
          <cell r="K1207" t="str">
            <v>BMED</v>
          </cell>
          <cell r="L1207" t="str">
            <v>Normal</v>
          </cell>
          <cell r="M1207" t="str">
            <v>USA</v>
          </cell>
          <cell r="N1207" t="str">
            <v>GE</v>
          </cell>
          <cell r="O1207" t="str">
            <v>GE B30</v>
          </cell>
          <cell r="P1207" t="str">
            <v>SF312325906WA</v>
          </cell>
          <cell r="Q1207" t="str">
            <v>Not Applicable</v>
          </cell>
          <cell r="R1207" t="str">
            <v>GE Healthcare Systems</v>
          </cell>
          <cell r="S1207" t="str">
            <v>GE Healthcare Technologies</v>
          </cell>
          <cell r="T1207" t="str">
            <v>Functioning</v>
          </cell>
          <cell r="U1207" t="str">
            <v>Asset</v>
          </cell>
          <cell r="V1207">
            <v>44510</v>
          </cell>
          <cell r="W1207" t="str">
            <v>KEW</v>
          </cell>
          <cell r="X1207" t="str">
            <v>01/09/2010</v>
          </cell>
          <cell r="Y1207" t="str">
            <v>KEW</v>
          </cell>
          <cell r="Z1207" t="str">
            <v>16/08/2013</v>
          </cell>
          <cell r="AA1207" t="str">
            <v>15/08/2015</v>
          </cell>
          <cell r="AB1207" t="str">
            <v>No</v>
          </cell>
          <cell r="AC1207" t="str">
            <v>31/08/2013</v>
          </cell>
          <cell r="AD1207" t="str">
            <v>Good</v>
          </cell>
          <cell r="AE1207" t="str">
            <v>V1 - Existing / No Claim</v>
          </cell>
          <cell r="AF1207">
            <v>42235</v>
          </cell>
          <cell r="AG1207">
            <v>9.17</v>
          </cell>
          <cell r="AH1207" t="str">
            <v>PPM</v>
          </cell>
          <cell r="AI1207" t="str">
            <v>Strands</v>
          </cell>
          <cell r="AJ1207" t="str">
            <v>Strands PW</v>
          </cell>
        </row>
        <row r="1208">
          <cell r="A1208" t="str">
            <v>IKN400815</v>
          </cell>
          <cell r="B1208">
            <v>815</v>
          </cell>
          <cell r="C1208" t="str">
            <v>Institut Kanser Negara</v>
          </cell>
          <cell r="D1208" t="str">
            <v>KKM/IKN/H/13/2474</v>
          </cell>
          <cell r="E1208" t="str">
            <v>12-647</v>
          </cell>
          <cell r="F1208" t="str">
            <v>Physiologic Monitoring Systems, Acute Care</v>
          </cell>
          <cell r="G1208" t="str">
            <v>RT</v>
          </cell>
          <cell r="H1208" t="str">
            <v>RADIATION TREATMENT UNIT</v>
          </cell>
          <cell r="I1208" t="str">
            <v>01RT238</v>
          </cell>
          <cell r="J1208" t="str">
            <v>PRE-OP</v>
          </cell>
          <cell r="K1208" t="str">
            <v>BMED</v>
          </cell>
          <cell r="L1208" t="str">
            <v>Normal</v>
          </cell>
          <cell r="M1208" t="str">
            <v>USA</v>
          </cell>
          <cell r="N1208" t="str">
            <v>GE</v>
          </cell>
          <cell r="O1208" t="str">
            <v>GE B30</v>
          </cell>
          <cell r="P1208" t="str">
            <v>SF312325897WA</v>
          </cell>
          <cell r="Q1208" t="str">
            <v>Not Applicable</v>
          </cell>
          <cell r="R1208" t="str">
            <v>GE Healthcare Systems</v>
          </cell>
          <cell r="S1208" t="str">
            <v>GE Healthcare Technologies</v>
          </cell>
          <cell r="T1208" t="str">
            <v>Functioning</v>
          </cell>
          <cell r="U1208" t="str">
            <v>Asset</v>
          </cell>
          <cell r="V1208">
            <v>44510</v>
          </cell>
          <cell r="W1208" t="str">
            <v>KEW</v>
          </cell>
          <cell r="X1208" t="str">
            <v>01/09/2010</v>
          </cell>
          <cell r="Y1208" t="str">
            <v>KEW</v>
          </cell>
          <cell r="Z1208" t="str">
            <v>16/08/2013</v>
          </cell>
          <cell r="AA1208" t="str">
            <v>15/08/2015</v>
          </cell>
          <cell r="AB1208" t="str">
            <v>No</v>
          </cell>
          <cell r="AC1208" t="str">
            <v>31/08/2013</v>
          </cell>
          <cell r="AD1208" t="str">
            <v>Good</v>
          </cell>
          <cell r="AE1208" t="str">
            <v>V1 - Existing / No Claim</v>
          </cell>
          <cell r="AF1208">
            <v>42235</v>
          </cell>
          <cell r="AG1208">
            <v>9.17</v>
          </cell>
          <cell r="AH1208" t="str">
            <v>PPM</v>
          </cell>
          <cell r="AI1208" t="str">
            <v>Strands</v>
          </cell>
          <cell r="AJ1208" t="str">
            <v>Strands PW</v>
          </cell>
        </row>
        <row r="1209">
          <cell r="A1209" t="str">
            <v>IKN400816</v>
          </cell>
          <cell r="B1209">
            <v>816</v>
          </cell>
          <cell r="C1209" t="str">
            <v>Institut Kanser Negara</v>
          </cell>
          <cell r="D1209" t="str">
            <v>KKM/IKN/H/13/2597</v>
          </cell>
          <cell r="E1209" t="str">
            <v>12-647</v>
          </cell>
          <cell r="F1209" t="str">
            <v>Physiologic Monitoring Systems, Acute Care</v>
          </cell>
          <cell r="G1209" t="str">
            <v>RT</v>
          </cell>
          <cell r="H1209" t="str">
            <v>RADIATION TREATMENT UNIT</v>
          </cell>
          <cell r="I1209" t="str">
            <v>01RT238</v>
          </cell>
          <cell r="J1209" t="str">
            <v>PRE-OP</v>
          </cell>
          <cell r="K1209" t="str">
            <v>BMED</v>
          </cell>
          <cell r="L1209" t="str">
            <v>Normal</v>
          </cell>
          <cell r="M1209" t="str">
            <v>USA</v>
          </cell>
          <cell r="N1209" t="str">
            <v>GE</v>
          </cell>
          <cell r="O1209" t="str">
            <v>GE B30</v>
          </cell>
          <cell r="P1209" t="str">
            <v>SF312325899WA</v>
          </cell>
          <cell r="Q1209" t="str">
            <v>Not Applicable</v>
          </cell>
          <cell r="R1209" t="str">
            <v>GE Healthcare Systems</v>
          </cell>
          <cell r="S1209" t="str">
            <v>GE Healthcare Technologies</v>
          </cell>
          <cell r="T1209" t="str">
            <v>Functioning</v>
          </cell>
          <cell r="U1209" t="str">
            <v>Asset</v>
          </cell>
          <cell r="V1209">
            <v>44510</v>
          </cell>
          <cell r="W1209" t="str">
            <v>KEW</v>
          </cell>
          <cell r="X1209" t="str">
            <v>01/09/2010</v>
          </cell>
          <cell r="Y1209" t="str">
            <v>KEW</v>
          </cell>
          <cell r="Z1209" t="str">
            <v>16/08/2013</v>
          </cell>
          <cell r="AA1209" t="str">
            <v>15/08/2015</v>
          </cell>
          <cell r="AB1209" t="str">
            <v>No</v>
          </cell>
          <cell r="AC1209" t="str">
            <v>31/08/2013</v>
          </cell>
          <cell r="AD1209" t="str">
            <v>Good</v>
          </cell>
          <cell r="AE1209" t="str">
            <v>V1 - Existing / No Claim</v>
          </cell>
          <cell r="AF1209">
            <v>42235</v>
          </cell>
          <cell r="AG1209">
            <v>9.17</v>
          </cell>
          <cell r="AH1209" t="str">
            <v>PPM</v>
          </cell>
          <cell r="AI1209" t="str">
            <v>Strands</v>
          </cell>
          <cell r="AJ1209" t="str">
            <v>Strands PW</v>
          </cell>
        </row>
        <row r="1210">
          <cell r="A1210" t="str">
            <v>IKN400817</v>
          </cell>
          <cell r="B1210">
            <v>817</v>
          </cell>
          <cell r="C1210" t="str">
            <v>Institut Kanser Negara</v>
          </cell>
          <cell r="D1210" t="str">
            <v>KKM/IKN/H/13/2534</v>
          </cell>
          <cell r="E1210" t="str">
            <v>17-950</v>
          </cell>
          <cell r="F1210" t="str">
            <v>Warming Units, Patient, Forced-Air</v>
          </cell>
          <cell r="G1210" t="str">
            <v>RT</v>
          </cell>
          <cell r="H1210" t="str">
            <v>RADIATION TREATMENT UNIT</v>
          </cell>
          <cell r="I1210" t="str">
            <v>01RT238</v>
          </cell>
          <cell r="J1210" t="str">
            <v>PRE-OP</v>
          </cell>
          <cell r="K1210" t="str">
            <v>BMED</v>
          </cell>
          <cell r="L1210" t="str">
            <v>Normal</v>
          </cell>
          <cell r="M1210" t="str">
            <v>USA</v>
          </cell>
          <cell r="N1210" t="str">
            <v>Bair Hugger</v>
          </cell>
          <cell r="O1210" t="str">
            <v>Bair Hugger 775</v>
          </cell>
          <cell r="P1210" t="str">
            <v>35927</v>
          </cell>
          <cell r="Q1210" t="str">
            <v>Not Applicable</v>
          </cell>
          <cell r="R1210" t="str">
            <v>Arizant Healthcare Inc</v>
          </cell>
          <cell r="S1210" t="str">
            <v>Calmed Healthcare Sdn Bhd</v>
          </cell>
          <cell r="T1210" t="str">
            <v>Functioning</v>
          </cell>
          <cell r="U1210" t="str">
            <v>Asset</v>
          </cell>
          <cell r="V1210">
            <v>15515</v>
          </cell>
          <cell r="W1210" t="str">
            <v>KEW</v>
          </cell>
          <cell r="X1210" t="str">
            <v>01/09/2010</v>
          </cell>
          <cell r="Y1210" t="str">
            <v>KEW</v>
          </cell>
          <cell r="Z1210" t="str">
            <v>16/08/2013</v>
          </cell>
          <cell r="AA1210" t="str">
            <v>15/08/2015</v>
          </cell>
          <cell r="AB1210" t="str">
            <v>No</v>
          </cell>
          <cell r="AC1210" t="str">
            <v>31/08/2013</v>
          </cell>
          <cell r="AD1210" t="str">
            <v>Good</v>
          </cell>
          <cell r="AE1210" t="str">
            <v>V1 - Existing / No Claim</v>
          </cell>
          <cell r="AF1210">
            <v>42235</v>
          </cell>
          <cell r="AG1210">
            <v>9.17</v>
          </cell>
          <cell r="AH1210" t="str">
            <v>PPM</v>
          </cell>
          <cell r="AI1210" t="str">
            <v>Strands</v>
          </cell>
          <cell r="AJ1210" t="str">
            <v>Strands PW</v>
          </cell>
        </row>
        <row r="1211">
          <cell r="A1211" t="str">
            <v>IKN400818</v>
          </cell>
          <cell r="B1211">
            <v>818</v>
          </cell>
          <cell r="C1211" t="str">
            <v>Institut Kanser Negara</v>
          </cell>
          <cell r="D1211" t="str">
            <v>KKM/IKN/H/13/2535</v>
          </cell>
          <cell r="E1211" t="str">
            <v>17-950</v>
          </cell>
          <cell r="F1211" t="str">
            <v>Warming Units, Patient, Forced-Air</v>
          </cell>
          <cell r="G1211" t="str">
            <v>RT</v>
          </cell>
          <cell r="H1211" t="str">
            <v>RADIATION TREATMENT UNIT</v>
          </cell>
          <cell r="I1211" t="str">
            <v>01RT238</v>
          </cell>
          <cell r="J1211" t="str">
            <v>PRE-OP</v>
          </cell>
          <cell r="K1211" t="str">
            <v>BMED</v>
          </cell>
          <cell r="L1211" t="str">
            <v>Normal</v>
          </cell>
          <cell r="M1211" t="str">
            <v>USA</v>
          </cell>
          <cell r="N1211" t="str">
            <v>Bair Hugger</v>
          </cell>
          <cell r="O1211" t="str">
            <v>Bair Hugger 775</v>
          </cell>
          <cell r="P1211" t="str">
            <v>35928</v>
          </cell>
          <cell r="Q1211" t="str">
            <v>Not Applicable</v>
          </cell>
          <cell r="R1211" t="str">
            <v>Arizant Healthcare Inc</v>
          </cell>
          <cell r="S1211" t="str">
            <v>Calmed Healthcare Sdn Bhd</v>
          </cell>
          <cell r="T1211" t="str">
            <v>Functioning</v>
          </cell>
          <cell r="U1211" t="str">
            <v>Asset</v>
          </cell>
          <cell r="V1211">
            <v>15515</v>
          </cell>
          <cell r="W1211" t="str">
            <v>KEW</v>
          </cell>
          <cell r="X1211" t="str">
            <v>01/09/2010</v>
          </cell>
          <cell r="Y1211" t="str">
            <v>KEW</v>
          </cell>
          <cell r="Z1211" t="str">
            <v>16/08/2013</v>
          </cell>
          <cell r="AA1211" t="str">
            <v>15/08/2015</v>
          </cell>
          <cell r="AB1211" t="str">
            <v>No</v>
          </cell>
          <cell r="AC1211" t="str">
            <v>31/08/2013</v>
          </cell>
          <cell r="AD1211" t="str">
            <v>Good</v>
          </cell>
          <cell r="AE1211" t="str">
            <v>V1 - Existing / No Claim</v>
          </cell>
          <cell r="AF1211">
            <v>42235</v>
          </cell>
          <cell r="AG1211">
            <v>9.17</v>
          </cell>
          <cell r="AH1211" t="str">
            <v>PPM</v>
          </cell>
          <cell r="AI1211" t="str">
            <v>Strands</v>
          </cell>
          <cell r="AJ1211" t="str">
            <v>Strands PW</v>
          </cell>
        </row>
        <row r="1212">
          <cell r="A1212" t="str">
            <v>IKN400819</v>
          </cell>
          <cell r="B1212">
            <v>819</v>
          </cell>
          <cell r="C1212" t="str">
            <v>Institut Kanser Negara</v>
          </cell>
          <cell r="D1212" t="str">
            <v>KKM/IKN/H/13/2598</v>
          </cell>
          <cell r="E1212" t="str">
            <v>12-647</v>
          </cell>
          <cell r="F1212" t="str">
            <v>Physiologic Monitoring Systems, Acute Care</v>
          </cell>
          <cell r="G1212" t="str">
            <v>RT</v>
          </cell>
          <cell r="H1212" t="str">
            <v>RADIATION TREATMENT UNIT</v>
          </cell>
          <cell r="I1212" t="str">
            <v>01RT239</v>
          </cell>
          <cell r="J1212" t="str">
            <v>POST-OP</v>
          </cell>
          <cell r="K1212" t="str">
            <v>BMED</v>
          </cell>
          <cell r="L1212" t="str">
            <v>Normal</v>
          </cell>
          <cell r="M1212" t="str">
            <v>Finland</v>
          </cell>
          <cell r="N1212" t="str">
            <v>CareScape</v>
          </cell>
          <cell r="O1212" t="str">
            <v>CareScape B650</v>
          </cell>
          <cell r="P1212" t="str">
            <v>SEW12357513HA</v>
          </cell>
          <cell r="Q1212" t="str">
            <v>Not Applicable</v>
          </cell>
          <cell r="R1212" t="str">
            <v>GE Medical Systems</v>
          </cell>
          <cell r="S1212" t="str">
            <v>GE Healthcare Technologies</v>
          </cell>
          <cell r="T1212" t="str">
            <v>Functioning</v>
          </cell>
          <cell r="U1212" t="str">
            <v>Asset</v>
          </cell>
          <cell r="V1212">
            <v>87400</v>
          </cell>
          <cell r="W1212" t="str">
            <v>KEW</v>
          </cell>
          <cell r="X1212" t="str">
            <v>01/09/2010</v>
          </cell>
          <cell r="Y1212" t="str">
            <v>KEW</v>
          </cell>
          <cell r="Z1212" t="str">
            <v>16/08/2013</v>
          </cell>
          <cell r="AA1212" t="str">
            <v>15/08/2015</v>
          </cell>
          <cell r="AB1212" t="str">
            <v>No</v>
          </cell>
          <cell r="AC1212" t="str">
            <v>31/08/2013</v>
          </cell>
          <cell r="AD1212" t="str">
            <v>Good</v>
          </cell>
          <cell r="AE1212" t="str">
            <v>V1 - Existing / No Claim</v>
          </cell>
          <cell r="AF1212">
            <v>42235</v>
          </cell>
          <cell r="AG1212">
            <v>9.17</v>
          </cell>
          <cell r="AH1212" t="str">
            <v>PPM</v>
          </cell>
          <cell r="AI1212" t="str">
            <v>Strands</v>
          </cell>
          <cell r="AJ1212" t="str">
            <v>Strands PW</v>
          </cell>
        </row>
        <row r="1213">
          <cell r="A1213" t="str">
            <v>IKN400820</v>
          </cell>
          <cell r="B1213">
            <v>820</v>
          </cell>
          <cell r="C1213" t="str">
            <v>Institut Kanser Negara</v>
          </cell>
          <cell r="D1213" t="str">
            <v>KKM/IKN/H/13/2599</v>
          </cell>
          <cell r="E1213" t="str">
            <v>12-647</v>
          </cell>
          <cell r="F1213" t="str">
            <v>Physiologic Monitoring Systems, Acute Care</v>
          </cell>
          <cell r="G1213" t="str">
            <v>RT</v>
          </cell>
          <cell r="H1213" t="str">
            <v>RADIATION TREATMENT UNIT</v>
          </cell>
          <cell r="I1213" t="str">
            <v>01RT239</v>
          </cell>
          <cell r="J1213" t="str">
            <v>POST-OP</v>
          </cell>
          <cell r="K1213" t="str">
            <v>BMED</v>
          </cell>
          <cell r="L1213" t="str">
            <v>Normal</v>
          </cell>
          <cell r="M1213" t="str">
            <v>Finland</v>
          </cell>
          <cell r="N1213" t="str">
            <v>CareScape</v>
          </cell>
          <cell r="O1213" t="str">
            <v>CareScape B650</v>
          </cell>
          <cell r="P1213" t="str">
            <v>SEW12357503HA</v>
          </cell>
          <cell r="Q1213" t="str">
            <v>Not Applicable</v>
          </cell>
          <cell r="R1213" t="str">
            <v>GE Medical Systems</v>
          </cell>
          <cell r="S1213" t="str">
            <v>GE Healthcare Technologies</v>
          </cell>
          <cell r="T1213" t="str">
            <v>Functioning</v>
          </cell>
          <cell r="U1213" t="str">
            <v>Asset</v>
          </cell>
          <cell r="V1213">
            <v>87400</v>
          </cell>
          <cell r="W1213" t="str">
            <v>KEW</v>
          </cell>
          <cell r="X1213" t="str">
            <v>01/09/2010</v>
          </cell>
          <cell r="Y1213" t="str">
            <v>KEW</v>
          </cell>
          <cell r="Z1213" t="str">
            <v>16/08/2013</v>
          </cell>
          <cell r="AA1213" t="str">
            <v>15/08/2015</v>
          </cell>
          <cell r="AB1213" t="str">
            <v>No</v>
          </cell>
          <cell r="AC1213" t="str">
            <v>31/08/2013</v>
          </cell>
          <cell r="AD1213" t="str">
            <v>Good</v>
          </cell>
          <cell r="AE1213" t="str">
            <v>V1 - Existing / No Claim</v>
          </cell>
          <cell r="AF1213">
            <v>42235</v>
          </cell>
          <cell r="AG1213">
            <v>9.17</v>
          </cell>
          <cell r="AH1213" t="str">
            <v>PPM</v>
          </cell>
          <cell r="AI1213" t="str">
            <v>Strands</v>
          </cell>
          <cell r="AJ1213" t="str">
            <v>Strands PW</v>
          </cell>
        </row>
        <row r="1214">
          <cell r="A1214" t="str">
            <v>IKN400821</v>
          </cell>
          <cell r="B1214">
            <v>821</v>
          </cell>
          <cell r="C1214" t="str">
            <v>Institut Kanser Negara</v>
          </cell>
          <cell r="D1214" t="str">
            <v>KKM/IKN/H/13/2600</v>
          </cell>
          <cell r="E1214" t="str">
            <v>12-647</v>
          </cell>
          <cell r="F1214" t="str">
            <v>Physiologic Monitoring Systems, Acute Care</v>
          </cell>
          <cell r="G1214" t="str">
            <v>RT</v>
          </cell>
          <cell r="H1214" t="str">
            <v>RADIATION TREATMENT UNIT</v>
          </cell>
          <cell r="I1214" t="str">
            <v>01RT239</v>
          </cell>
          <cell r="J1214" t="str">
            <v>POST-OP</v>
          </cell>
          <cell r="K1214" t="str">
            <v>BMED</v>
          </cell>
          <cell r="L1214" t="str">
            <v>Normal</v>
          </cell>
          <cell r="M1214" t="str">
            <v>Finland</v>
          </cell>
          <cell r="N1214" t="str">
            <v>CareScape</v>
          </cell>
          <cell r="O1214" t="str">
            <v>CareScape B650</v>
          </cell>
          <cell r="P1214" t="str">
            <v>SEW12357502HA</v>
          </cell>
          <cell r="Q1214" t="str">
            <v>Not Applicable</v>
          </cell>
          <cell r="R1214" t="str">
            <v>GE Medical Systems</v>
          </cell>
          <cell r="S1214" t="str">
            <v>GE Healthcare Technologies</v>
          </cell>
          <cell r="T1214" t="str">
            <v>Functioning</v>
          </cell>
          <cell r="U1214" t="str">
            <v>Asset</v>
          </cell>
          <cell r="V1214">
            <v>87400</v>
          </cell>
          <cell r="W1214" t="str">
            <v>KEW</v>
          </cell>
          <cell r="X1214" t="str">
            <v>01/09/2010</v>
          </cell>
          <cell r="Y1214" t="str">
            <v>KEW</v>
          </cell>
          <cell r="Z1214" t="str">
            <v>16/08/2013</v>
          </cell>
          <cell r="AA1214" t="str">
            <v>15/08/2015</v>
          </cell>
          <cell r="AB1214" t="str">
            <v>No</v>
          </cell>
          <cell r="AC1214" t="str">
            <v>31/08/2013</v>
          </cell>
          <cell r="AD1214" t="str">
            <v>Good</v>
          </cell>
          <cell r="AE1214" t="str">
            <v>V1 - Existing / No Claim</v>
          </cell>
          <cell r="AF1214">
            <v>42235</v>
          </cell>
          <cell r="AG1214">
            <v>9.17</v>
          </cell>
          <cell r="AH1214" t="str">
            <v>PPM</v>
          </cell>
          <cell r="AI1214" t="str">
            <v>Strands</v>
          </cell>
          <cell r="AJ1214" t="str">
            <v>Strands PW</v>
          </cell>
        </row>
        <row r="1215">
          <cell r="A1215" t="str">
            <v>IKN400822</v>
          </cell>
          <cell r="B1215">
            <v>822</v>
          </cell>
          <cell r="C1215" t="str">
            <v>Institut Kanser Negara</v>
          </cell>
          <cell r="D1215" t="str">
            <v>KKM/IKN/H/13/2601</v>
          </cell>
          <cell r="E1215" t="str">
            <v>12-647</v>
          </cell>
          <cell r="F1215" t="str">
            <v>Physiologic Monitoring Systems, Acute Care</v>
          </cell>
          <cell r="G1215" t="str">
            <v>RT</v>
          </cell>
          <cell r="H1215" t="str">
            <v>RADIATION TREATMENT UNIT</v>
          </cell>
          <cell r="I1215" t="str">
            <v>01RT239</v>
          </cell>
          <cell r="J1215" t="str">
            <v>POST-OP</v>
          </cell>
          <cell r="K1215" t="str">
            <v>BMED</v>
          </cell>
          <cell r="L1215" t="str">
            <v>Normal</v>
          </cell>
          <cell r="M1215" t="str">
            <v>Finland</v>
          </cell>
          <cell r="N1215" t="str">
            <v>CareScape</v>
          </cell>
          <cell r="O1215" t="str">
            <v>CareScape B650</v>
          </cell>
          <cell r="P1215" t="str">
            <v>SEW12357512HA</v>
          </cell>
          <cell r="Q1215" t="str">
            <v>Not Applicable</v>
          </cell>
          <cell r="R1215" t="str">
            <v>GE Medical Systems</v>
          </cell>
          <cell r="S1215" t="str">
            <v>GE Healthcare Technologies</v>
          </cell>
          <cell r="T1215" t="str">
            <v>Functioning</v>
          </cell>
          <cell r="U1215" t="str">
            <v>Asset</v>
          </cell>
          <cell r="V1215">
            <v>87400</v>
          </cell>
          <cell r="W1215" t="str">
            <v>KEW</v>
          </cell>
          <cell r="X1215" t="str">
            <v>01/09/2010</v>
          </cell>
          <cell r="Y1215" t="str">
            <v>KEW</v>
          </cell>
          <cell r="Z1215" t="str">
            <v>16/08/2013</v>
          </cell>
          <cell r="AA1215" t="str">
            <v>15/08/2015</v>
          </cell>
          <cell r="AB1215" t="str">
            <v>No</v>
          </cell>
          <cell r="AC1215" t="str">
            <v>31/08/2013</v>
          </cell>
          <cell r="AD1215" t="str">
            <v>Good</v>
          </cell>
          <cell r="AE1215" t="str">
            <v>V1 - Existing / No Claim</v>
          </cell>
          <cell r="AF1215">
            <v>42235</v>
          </cell>
          <cell r="AG1215">
            <v>9.17</v>
          </cell>
          <cell r="AH1215" t="str">
            <v>PPM</v>
          </cell>
          <cell r="AI1215" t="str">
            <v>Strands</v>
          </cell>
          <cell r="AJ1215" t="str">
            <v>Strands PW</v>
          </cell>
        </row>
        <row r="1216">
          <cell r="A1216" t="str">
            <v>IKN400823</v>
          </cell>
          <cell r="B1216">
            <v>823</v>
          </cell>
          <cell r="C1216" t="str">
            <v>Institut Kanser Negara</v>
          </cell>
          <cell r="D1216" t="str">
            <v>KKM/IKN/H/13/2625</v>
          </cell>
          <cell r="E1216" t="str">
            <v>13-249</v>
          </cell>
          <cell r="F1216" t="str">
            <v>Warming Units, Patient, Radiant, Adult</v>
          </cell>
          <cell r="G1216" t="str">
            <v>RT</v>
          </cell>
          <cell r="H1216" t="str">
            <v>RADIATION TREATMENT UNIT</v>
          </cell>
          <cell r="I1216" t="str">
            <v>01RT239</v>
          </cell>
          <cell r="J1216" t="str">
            <v>POST-OP</v>
          </cell>
          <cell r="K1216" t="str">
            <v>BMED</v>
          </cell>
          <cell r="L1216" t="str">
            <v>Normal</v>
          </cell>
          <cell r="M1216" t="str">
            <v>Sweden</v>
          </cell>
          <cell r="N1216" t="str">
            <v>Aragona</v>
          </cell>
          <cell r="O1216" t="str">
            <v>Aragona MTC-410</v>
          </cell>
          <cell r="P1216" t="str">
            <v>1202</v>
          </cell>
          <cell r="Q1216" t="str">
            <v>Not Applicable</v>
          </cell>
          <cell r="R1216" t="str">
            <v>Aspira Medical AB</v>
          </cell>
          <cell r="S1216" t="str">
            <v>Perniagaan Med Tech</v>
          </cell>
          <cell r="T1216" t="str">
            <v>Functioning</v>
          </cell>
          <cell r="U1216" t="str">
            <v>Asset</v>
          </cell>
          <cell r="V1216">
            <v>12630</v>
          </cell>
          <cell r="W1216" t="str">
            <v>KEW</v>
          </cell>
          <cell r="X1216" t="str">
            <v>01/09/2010</v>
          </cell>
          <cell r="Y1216" t="str">
            <v>KEW</v>
          </cell>
          <cell r="Z1216" t="str">
            <v>16/08/2013</v>
          </cell>
          <cell r="AA1216" t="str">
            <v>15/08/2015</v>
          </cell>
          <cell r="AB1216" t="str">
            <v>No</v>
          </cell>
          <cell r="AC1216" t="str">
            <v>31/08/2013</v>
          </cell>
          <cell r="AD1216" t="str">
            <v>Good</v>
          </cell>
          <cell r="AE1216" t="str">
            <v>V1 - Existing / No Claim</v>
          </cell>
          <cell r="AF1216">
            <v>42235</v>
          </cell>
          <cell r="AG1216">
            <v>9.17</v>
          </cell>
          <cell r="AH1216" t="str">
            <v>PPM</v>
          </cell>
          <cell r="AI1216" t="str">
            <v>Strands</v>
          </cell>
          <cell r="AJ1216" t="str">
            <v>Strands PW</v>
          </cell>
        </row>
        <row r="1217">
          <cell r="A1217" t="str">
            <v>IKN400824</v>
          </cell>
          <cell r="B1217">
            <v>824</v>
          </cell>
          <cell r="C1217" t="str">
            <v>Institut Kanser Negara</v>
          </cell>
          <cell r="D1217" t="str">
            <v>KKM/IKN/H/13/3376</v>
          </cell>
          <cell r="E1217" t="str">
            <v>16-173</v>
          </cell>
          <cell r="F1217" t="str">
            <v>Sphygmomanometers, Electronic, Automatic</v>
          </cell>
          <cell r="G1217" t="str">
            <v>RT</v>
          </cell>
          <cell r="H1217" t="str">
            <v>RADIATION TREATMENT UNIT</v>
          </cell>
          <cell r="I1217" t="str">
            <v>01RT243</v>
          </cell>
          <cell r="J1217" t="str">
            <v>NURSE STATION</v>
          </cell>
          <cell r="K1217" t="str">
            <v>BMED</v>
          </cell>
          <cell r="L1217" t="str">
            <v>Normal</v>
          </cell>
          <cell r="M1217" t="str">
            <v>USA</v>
          </cell>
          <cell r="N1217" t="str">
            <v>Connex</v>
          </cell>
          <cell r="O1217" t="str">
            <v>Connex ProBP 3400</v>
          </cell>
          <cell r="P1217" t="str">
            <v>100001450613</v>
          </cell>
          <cell r="Q1217" t="str">
            <v>Not Applicable</v>
          </cell>
          <cell r="R1217" t="str">
            <v>Welch Allyn Inc</v>
          </cell>
          <cell r="S1217" t="str">
            <v>Welch Allyn Malaysia Sdn Bhd</v>
          </cell>
          <cell r="T1217" t="str">
            <v>Functioning</v>
          </cell>
          <cell r="U1217" t="str">
            <v>Asset</v>
          </cell>
          <cell r="V1217">
            <v>4510</v>
          </cell>
          <cell r="W1217" t="str">
            <v>KEW</v>
          </cell>
          <cell r="X1217" t="str">
            <v>01/09/2010</v>
          </cell>
          <cell r="Y1217" t="str">
            <v>KEW</v>
          </cell>
          <cell r="Z1217" t="str">
            <v>16/08/2013</v>
          </cell>
          <cell r="AA1217" t="str">
            <v>15/08/2015</v>
          </cell>
          <cell r="AB1217" t="str">
            <v>No</v>
          </cell>
          <cell r="AC1217" t="str">
            <v>31/08/2013</v>
          </cell>
          <cell r="AD1217" t="str">
            <v>Good</v>
          </cell>
          <cell r="AE1217" t="str">
            <v>V1 - Existing / No Claim</v>
          </cell>
          <cell r="AF1217">
            <v>42235</v>
          </cell>
          <cell r="AG1217">
            <v>9.17</v>
          </cell>
          <cell r="AH1217" t="str">
            <v>PPM</v>
          </cell>
          <cell r="AI1217" t="str">
            <v>Strands</v>
          </cell>
          <cell r="AJ1217" t="str">
            <v>Strands PW</v>
          </cell>
        </row>
        <row r="1218">
          <cell r="A1218" t="str">
            <v>IKN400825</v>
          </cell>
          <cell r="B1218">
            <v>825</v>
          </cell>
          <cell r="C1218" t="str">
            <v>Institut Kanser Negara</v>
          </cell>
          <cell r="D1218" t="str">
            <v>KKM/IKN/H/13/3377</v>
          </cell>
          <cell r="E1218" t="str">
            <v>16-173</v>
          </cell>
          <cell r="F1218" t="str">
            <v>Sphygmomanometers, Electronic, Automatic</v>
          </cell>
          <cell r="G1218" t="str">
            <v>RT</v>
          </cell>
          <cell r="H1218" t="str">
            <v>RADIATION TREATMENT UNIT</v>
          </cell>
          <cell r="I1218" t="str">
            <v>01RT243</v>
          </cell>
          <cell r="J1218" t="str">
            <v>NURSE STATION</v>
          </cell>
          <cell r="K1218" t="str">
            <v>BMED</v>
          </cell>
          <cell r="L1218" t="str">
            <v>Normal</v>
          </cell>
          <cell r="M1218" t="str">
            <v>USA</v>
          </cell>
          <cell r="N1218" t="str">
            <v>Connex</v>
          </cell>
          <cell r="O1218" t="str">
            <v>Connex ProBP 3400</v>
          </cell>
          <cell r="P1218" t="str">
            <v>100002153912</v>
          </cell>
          <cell r="Q1218" t="str">
            <v>Not Applicable</v>
          </cell>
          <cell r="R1218" t="str">
            <v>Welch Allyn Inc</v>
          </cell>
          <cell r="S1218" t="str">
            <v>Welch Allyn Malaysia Sdn Bhd</v>
          </cell>
          <cell r="T1218" t="str">
            <v>Functioning</v>
          </cell>
          <cell r="U1218" t="str">
            <v>Asset</v>
          </cell>
          <cell r="V1218">
            <v>4510</v>
          </cell>
          <cell r="W1218" t="str">
            <v>KEW</v>
          </cell>
          <cell r="X1218" t="str">
            <v>01/09/2010</v>
          </cell>
          <cell r="Y1218" t="str">
            <v>KEW</v>
          </cell>
          <cell r="Z1218" t="str">
            <v>16/08/2013</v>
          </cell>
          <cell r="AA1218" t="str">
            <v>15/08/2015</v>
          </cell>
          <cell r="AB1218" t="str">
            <v>No</v>
          </cell>
          <cell r="AC1218" t="str">
            <v>31/08/2013</v>
          </cell>
          <cell r="AD1218" t="str">
            <v>Good</v>
          </cell>
          <cell r="AE1218" t="str">
            <v>V1 - Existing / No Claim</v>
          </cell>
          <cell r="AF1218">
            <v>42235</v>
          </cell>
          <cell r="AG1218">
            <v>9.17</v>
          </cell>
          <cell r="AH1218" t="str">
            <v>PPM</v>
          </cell>
          <cell r="AI1218" t="str">
            <v>Strands</v>
          </cell>
          <cell r="AJ1218" t="str">
            <v>Strands PW</v>
          </cell>
        </row>
        <row r="1219">
          <cell r="A1219" t="str">
            <v>IKN400826</v>
          </cell>
          <cell r="B1219">
            <v>826</v>
          </cell>
          <cell r="C1219" t="str">
            <v>Institut Kanser Negara</v>
          </cell>
          <cell r="D1219" t="str">
            <v>KKM/IKN/H/13/2543</v>
          </cell>
          <cell r="E1219" t="str">
            <v>17-950</v>
          </cell>
          <cell r="F1219" t="str">
            <v>Warming Units, Patient, Forced-Air</v>
          </cell>
          <cell r="G1219" t="str">
            <v>RT</v>
          </cell>
          <cell r="H1219" t="str">
            <v>RADIATION TREATMENT UNIT</v>
          </cell>
          <cell r="I1219" t="str">
            <v>01RT239</v>
          </cell>
          <cell r="J1219" t="str">
            <v>POST-OP</v>
          </cell>
          <cell r="K1219" t="str">
            <v>BMED</v>
          </cell>
          <cell r="L1219" t="str">
            <v>Normal</v>
          </cell>
          <cell r="M1219" t="str">
            <v>USA</v>
          </cell>
          <cell r="N1219" t="str">
            <v>Bair Hugger</v>
          </cell>
          <cell r="O1219" t="str">
            <v>Bair Hugger 775</v>
          </cell>
          <cell r="P1219" t="str">
            <v>36863</v>
          </cell>
          <cell r="Q1219" t="str">
            <v>Not Applicable</v>
          </cell>
          <cell r="R1219" t="str">
            <v>Arizant Healthcare Inc</v>
          </cell>
          <cell r="S1219" t="str">
            <v>Calmed Healthcare Sdn Bhd</v>
          </cell>
          <cell r="T1219" t="str">
            <v>Functioning</v>
          </cell>
          <cell r="U1219" t="str">
            <v>Asset</v>
          </cell>
          <cell r="V1219">
            <v>15515</v>
          </cell>
          <cell r="W1219" t="str">
            <v>KEW</v>
          </cell>
          <cell r="X1219" t="str">
            <v>01/09/2010</v>
          </cell>
          <cell r="Y1219" t="str">
            <v>KEW</v>
          </cell>
          <cell r="Z1219" t="str">
            <v>16/08/2013</v>
          </cell>
          <cell r="AA1219" t="str">
            <v>15/08/2015</v>
          </cell>
          <cell r="AB1219" t="str">
            <v>No</v>
          </cell>
          <cell r="AC1219" t="str">
            <v>31/08/2013</v>
          </cell>
          <cell r="AD1219" t="str">
            <v>Good</v>
          </cell>
          <cell r="AE1219" t="str">
            <v>V1 - Existing / No Claim</v>
          </cell>
          <cell r="AF1219">
            <v>42235</v>
          </cell>
          <cell r="AG1219">
            <v>9.17</v>
          </cell>
          <cell r="AH1219" t="str">
            <v>PPM</v>
          </cell>
          <cell r="AI1219" t="str">
            <v>Strands</v>
          </cell>
          <cell r="AJ1219" t="str">
            <v>Strands PW</v>
          </cell>
        </row>
        <row r="1220">
          <cell r="A1220" t="str">
            <v>IKN400827</v>
          </cell>
          <cell r="B1220">
            <v>827</v>
          </cell>
          <cell r="C1220" t="str">
            <v>Institut Kanser Negara</v>
          </cell>
          <cell r="D1220" t="str">
            <v>KKM/IKN/H/13/3249</v>
          </cell>
          <cell r="E1220" t="str">
            <v>10-447</v>
          </cell>
          <cell r="F1220" t="str">
            <v>Warming Units, Blood/Solution</v>
          </cell>
          <cell r="G1220" t="str">
            <v>RT</v>
          </cell>
          <cell r="H1220" t="str">
            <v>RADIATION TREATMENT UNIT</v>
          </cell>
          <cell r="I1220" t="str">
            <v>01RT275</v>
          </cell>
          <cell r="J1220" t="str">
            <v>BRACHY OT 1</v>
          </cell>
          <cell r="K1220" t="str">
            <v>BMED</v>
          </cell>
          <cell r="L1220" t="str">
            <v>Normal</v>
          </cell>
          <cell r="M1220" t="str">
            <v>USA</v>
          </cell>
          <cell r="N1220" t="str">
            <v>Hotline</v>
          </cell>
          <cell r="O1220" t="str">
            <v>Hotline HL-90</v>
          </cell>
          <cell r="P1220" t="str">
            <v>S101B00813</v>
          </cell>
          <cell r="Q1220" t="str">
            <v>Not Applicable</v>
          </cell>
          <cell r="R1220" t="str">
            <v>Level 1 Technologies Inc</v>
          </cell>
          <cell r="S1220" t="str">
            <v>Primed Medical Services Sdn Bhd</v>
          </cell>
          <cell r="T1220" t="str">
            <v>Functioning</v>
          </cell>
          <cell r="U1220" t="str">
            <v>Asset</v>
          </cell>
          <cell r="V1220">
            <v>15395</v>
          </cell>
          <cell r="W1220" t="str">
            <v>KEW</v>
          </cell>
          <cell r="X1220" t="str">
            <v>01/09/2010</v>
          </cell>
          <cell r="Y1220" t="str">
            <v>KEW</v>
          </cell>
          <cell r="Z1220" t="str">
            <v>16/08/2013</v>
          </cell>
          <cell r="AA1220" t="str">
            <v>15/08/2015</v>
          </cell>
          <cell r="AB1220" t="str">
            <v>No</v>
          </cell>
          <cell r="AC1220" t="str">
            <v>31/08/2013</v>
          </cell>
          <cell r="AD1220" t="str">
            <v>Good</v>
          </cell>
          <cell r="AE1220" t="str">
            <v>V1 - Existing / No Claim</v>
          </cell>
          <cell r="AF1220">
            <v>42235</v>
          </cell>
          <cell r="AG1220">
            <v>9.17</v>
          </cell>
          <cell r="AH1220" t="str">
            <v>PPM</v>
          </cell>
          <cell r="AI1220" t="str">
            <v>Strands</v>
          </cell>
          <cell r="AJ1220" t="str">
            <v>Strands PW</v>
          </cell>
        </row>
        <row r="1221">
          <cell r="A1221" t="str">
            <v>IKN400828</v>
          </cell>
          <cell r="B1221">
            <v>828</v>
          </cell>
          <cell r="C1221" t="str">
            <v>Institut Kanser Negara</v>
          </cell>
          <cell r="D1221" t="str">
            <v>KKM/IKN/H/13/2643</v>
          </cell>
          <cell r="E1221" t="str">
            <v>10-134</v>
          </cell>
          <cell r="F1221" t="str">
            <v>Anesthesia Units</v>
          </cell>
          <cell r="G1221" t="str">
            <v>RT</v>
          </cell>
          <cell r="H1221" t="str">
            <v>RADIATION TREATMENT UNIT</v>
          </cell>
          <cell r="I1221" t="str">
            <v>01RT275</v>
          </cell>
          <cell r="J1221" t="str">
            <v>BRACHY OT 1</v>
          </cell>
          <cell r="K1221" t="str">
            <v>BMED</v>
          </cell>
          <cell r="L1221" t="str">
            <v>Normal</v>
          </cell>
          <cell r="M1221" t="str">
            <v>Germany</v>
          </cell>
          <cell r="N1221" t="str">
            <v>Primus</v>
          </cell>
          <cell r="O1221" t="str">
            <v>Primus</v>
          </cell>
          <cell r="P1221" t="str">
            <v>ASDJ-0239</v>
          </cell>
          <cell r="Q1221" t="str">
            <v>Not Applicable</v>
          </cell>
          <cell r="R1221" t="str">
            <v>Drager medical GmbH</v>
          </cell>
          <cell r="S1221" t="str">
            <v>Beau Consortium Sdn Bhd</v>
          </cell>
          <cell r="T1221" t="str">
            <v>Functioning</v>
          </cell>
          <cell r="U1221" t="str">
            <v>Asset</v>
          </cell>
          <cell r="V1221">
            <v>144345</v>
          </cell>
          <cell r="W1221" t="str">
            <v>KEW</v>
          </cell>
          <cell r="X1221" t="str">
            <v>01/09/2010</v>
          </cell>
          <cell r="Y1221" t="str">
            <v>KEW</v>
          </cell>
          <cell r="Z1221" t="str">
            <v>16/08/2013</v>
          </cell>
          <cell r="AA1221" t="str">
            <v>15/08/2015</v>
          </cell>
          <cell r="AB1221" t="str">
            <v>No</v>
          </cell>
          <cell r="AC1221" t="str">
            <v>31/08/2013</v>
          </cell>
          <cell r="AD1221" t="str">
            <v>Good</v>
          </cell>
          <cell r="AE1221" t="str">
            <v>V1 - Existing / No Claim</v>
          </cell>
          <cell r="AF1221">
            <v>42235</v>
          </cell>
          <cell r="AG1221">
            <v>9.17</v>
          </cell>
          <cell r="AH1221" t="str">
            <v>PPM</v>
          </cell>
          <cell r="AI1221" t="str">
            <v>Strands</v>
          </cell>
          <cell r="AJ1221" t="str">
            <v>Strands PW</v>
          </cell>
        </row>
        <row r="1222">
          <cell r="A1222" t="str">
            <v>IKN400829</v>
          </cell>
          <cell r="B1222">
            <v>829</v>
          </cell>
          <cell r="C1222" t="str">
            <v>Institut Kanser Negara</v>
          </cell>
          <cell r="D1222" t="str">
            <v>KKM/IKN/H/13/2606</v>
          </cell>
          <cell r="E1222" t="str">
            <v>13-217</v>
          </cell>
          <cell r="F1222" t="str">
            <v>Infusion Pumps, Syringe</v>
          </cell>
          <cell r="G1222" t="str">
            <v>RT</v>
          </cell>
          <cell r="H1222" t="str">
            <v>RADIATION TREATMENT UNIT</v>
          </cell>
          <cell r="I1222" t="str">
            <v>01RT275</v>
          </cell>
          <cell r="J1222" t="str">
            <v>BRACHY OT 1</v>
          </cell>
          <cell r="K1222" t="str">
            <v>BMED</v>
          </cell>
          <cell r="L1222" t="str">
            <v>Normal</v>
          </cell>
          <cell r="M1222" t="str">
            <v>Germany</v>
          </cell>
          <cell r="N1222" t="str">
            <v>Perfusor</v>
          </cell>
          <cell r="O1222" t="str">
            <v>Perfusor Space</v>
          </cell>
          <cell r="P1222" t="str">
            <v>143308</v>
          </cell>
          <cell r="Q1222" t="str">
            <v>Not Applicable</v>
          </cell>
          <cell r="R1222" t="str">
            <v>B Braun Melsungen AG</v>
          </cell>
          <cell r="S1222" t="str">
            <v>B Braun Medical Supplies Sdn. Bhd.</v>
          </cell>
          <cell r="T1222" t="str">
            <v>Functioning</v>
          </cell>
          <cell r="U1222" t="str">
            <v>Asset</v>
          </cell>
          <cell r="V1222">
            <v>10225</v>
          </cell>
          <cell r="W1222" t="str">
            <v>KEW</v>
          </cell>
          <cell r="X1222" t="str">
            <v>01/09/2010</v>
          </cell>
          <cell r="Y1222" t="str">
            <v>KEW</v>
          </cell>
          <cell r="Z1222" t="str">
            <v>16/08/2013</v>
          </cell>
          <cell r="AA1222" t="str">
            <v>15/08/2015</v>
          </cell>
          <cell r="AB1222" t="str">
            <v>No</v>
          </cell>
          <cell r="AC1222" t="str">
            <v>31/08/2013</v>
          </cell>
          <cell r="AD1222" t="str">
            <v>Good</v>
          </cell>
          <cell r="AE1222" t="str">
            <v>V1 - Existing / No Claim</v>
          </cell>
          <cell r="AF1222">
            <v>42235</v>
          </cell>
          <cell r="AG1222">
            <v>9.17</v>
          </cell>
          <cell r="AH1222" t="str">
            <v>PPM</v>
          </cell>
          <cell r="AI1222" t="str">
            <v>Strands</v>
          </cell>
          <cell r="AJ1222" t="str">
            <v>Strands PW</v>
          </cell>
        </row>
        <row r="1223">
          <cell r="A1223" t="str">
            <v>IKN400830</v>
          </cell>
          <cell r="B1223">
            <v>830</v>
          </cell>
          <cell r="C1223" t="str">
            <v>Institut Kanser Negara</v>
          </cell>
          <cell r="D1223" t="str">
            <v>KKM/IKN/H/13/2607</v>
          </cell>
          <cell r="E1223" t="str">
            <v>13-217</v>
          </cell>
          <cell r="F1223" t="str">
            <v>Infusion Pumps, Syringe</v>
          </cell>
          <cell r="G1223" t="str">
            <v>RT</v>
          </cell>
          <cell r="H1223" t="str">
            <v>RADIATION TREATMENT UNIT</v>
          </cell>
          <cell r="I1223" t="str">
            <v>01RT275</v>
          </cell>
          <cell r="J1223" t="str">
            <v>BRACHY OT 1</v>
          </cell>
          <cell r="K1223" t="str">
            <v>BMED</v>
          </cell>
          <cell r="L1223" t="str">
            <v>Normal</v>
          </cell>
          <cell r="M1223" t="str">
            <v>Germany</v>
          </cell>
          <cell r="N1223" t="str">
            <v>Perfusor</v>
          </cell>
          <cell r="O1223" t="str">
            <v>Perfusor Space</v>
          </cell>
          <cell r="P1223" t="str">
            <v>187001</v>
          </cell>
          <cell r="Q1223" t="str">
            <v>Not Applicable</v>
          </cell>
          <cell r="R1223" t="str">
            <v>B Braun Melsungen AG</v>
          </cell>
          <cell r="S1223" t="str">
            <v>B Braun Medical Supplies Sdn. Bhd.</v>
          </cell>
          <cell r="T1223" t="str">
            <v>Functioning</v>
          </cell>
          <cell r="U1223" t="str">
            <v>Asset</v>
          </cell>
          <cell r="V1223">
            <v>10225</v>
          </cell>
          <cell r="W1223" t="str">
            <v>KEW</v>
          </cell>
          <cell r="X1223" t="str">
            <v>01/09/2010</v>
          </cell>
          <cell r="Y1223" t="str">
            <v>KEW</v>
          </cell>
          <cell r="Z1223" t="str">
            <v>16/08/2013</v>
          </cell>
          <cell r="AA1223" t="str">
            <v>15/08/2015</v>
          </cell>
          <cell r="AB1223" t="str">
            <v>No</v>
          </cell>
          <cell r="AC1223" t="str">
            <v>31/08/2013</v>
          </cell>
          <cell r="AD1223" t="str">
            <v>Good</v>
          </cell>
          <cell r="AE1223" t="str">
            <v>V1 - Existing / No Claim</v>
          </cell>
          <cell r="AF1223">
            <v>42235</v>
          </cell>
          <cell r="AG1223">
            <v>9.17</v>
          </cell>
          <cell r="AH1223" t="str">
            <v>PPM</v>
          </cell>
          <cell r="AI1223" t="str">
            <v>Strands</v>
          </cell>
          <cell r="AJ1223" t="str">
            <v>Strands PW</v>
          </cell>
        </row>
        <row r="1224">
          <cell r="A1224" t="str">
            <v>IKN400831</v>
          </cell>
          <cell r="B1224">
            <v>831</v>
          </cell>
          <cell r="C1224" t="str">
            <v>Institut Kanser Negara</v>
          </cell>
          <cell r="D1224" t="str">
            <v>KKM/IKN/H/13/2611</v>
          </cell>
          <cell r="E1224" t="str">
            <v>16-924</v>
          </cell>
          <cell r="F1224" t="str">
            <v>Infusion Pumps, Patient-Controlled Analgesic</v>
          </cell>
          <cell r="G1224" t="str">
            <v>RT</v>
          </cell>
          <cell r="H1224" t="str">
            <v>RADIATION TREATMENT UNIT</v>
          </cell>
          <cell r="I1224" t="str">
            <v>01RT275</v>
          </cell>
          <cell r="J1224" t="str">
            <v>BRACHY OT 1</v>
          </cell>
          <cell r="K1224" t="str">
            <v>BMED</v>
          </cell>
          <cell r="L1224" t="str">
            <v>Normal</v>
          </cell>
          <cell r="M1224" t="str">
            <v>Germany</v>
          </cell>
          <cell r="N1224" t="str">
            <v>Perfusor</v>
          </cell>
          <cell r="O1224" t="str">
            <v>Perfusor Space PCA</v>
          </cell>
          <cell r="P1224" t="str">
            <v>186980</v>
          </cell>
          <cell r="Q1224" t="str">
            <v>Not Applicable</v>
          </cell>
          <cell r="R1224" t="str">
            <v>B Braun Melsungen AG</v>
          </cell>
          <cell r="S1224" t="str">
            <v>B Braun Medical Supplies Sdn. Bhd.</v>
          </cell>
          <cell r="T1224" t="str">
            <v>Functioning</v>
          </cell>
          <cell r="U1224" t="str">
            <v>Asset</v>
          </cell>
          <cell r="V1224">
            <v>9622</v>
          </cell>
          <cell r="W1224" t="str">
            <v>KEW</v>
          </cell>
          <cell r="X1224" t="str">
            <v>01/09/2010</v>
          </cell>
          <cell r="Y1224" t="str">
            <v>KEW</v>
          </cell>
          <cell r="Z1224" t="str">
            <v>16/08/2013</v>
          </cell>
          <cell r="AA1224" t="str">
            <v>15/08/2015</v>
          </cell>
          <cell r="AB1224" t="str">
            <v>No</v>
          </cell>
          <cell r="AC1224" t="str">
            <v>31/08/2013</v>
          </cell>
          <cell r="AD1224" t="str">
            <v>Good</v>
          </cell>
          <cell r="AE1224" t="str">
            <v>V1 - Existing / No Claim</v>
          </cell>
          <cell r="AF1224">
            <v>42235</v>
          </cell>
          <cell r="AG1224">
            <v>9.17</v>
          </cell>
          <cell r="AH1224" t="str">
            <v>PPM</v>
          </cell>
          <cell r="AI1224" t="str">
            <v>Strands</v>
          </cell>
          <cell r="AJ1224" t="str">
            <v>Strands PW</v>
          </cell>
        </row>
        <row r="1225">
          <cell r="A1225" t="str">
            <v>IKN400832</v>
          </cell>
          <cell r="B1225">
            <v>832</v>
          </cell>
          <cell r="C1225" t="str">
            <v>Institut Kanser Negara</v>
          </cell>
          <cell r="D1225" t="str">
            <v>KKM/IKN/H/13/2612</v>
          </cell>
          <cell r="E1225" t="str">
            <v>13-215</v>
          </cell>
          <cell r="F1225" t="str">
            <v>Infusion Pumps, General-Purpose</v>
          </cell>
          <cell r="G1225" t="str">
            <v>RT</v>
          </cell>
          <cell r="H1225" t="str">
            <v>RADIATION TREATMENT UNIT</v>
          </cell>
          <cell r="I1225" t="str">
            <v>01RT275</v>
          </cell>
          <cell r="J1225" t="str">
            <v>BRACHY OT 1</v>
          </cell>
          <cell r="K1225" t="str">
            <v>BMED</v>
          </cell>
          <cell r="L1225" t="str">
            <v>Normal</v>
          </cell>
          <cell r="M1225" t="str">
            <v>Germany</v>
          </cell>
          <cell r="N1225" t="str">
            <v>Infusomat</v>
          </cell>
          <cell r="O1225" t="str">
            <v>Infusomat Space</v>
          </cell>
          <cell r="P1225" t="str">
            <v>212040</v>
          </cell>
          <cell r="Q1225" t="str">
            <v>Not Applicable</v>
          </cell>
          <cell r="R1225" t="str">
            <v>B Braun Melsungen AG</v>
          </cell>
          <cell r="S1225" t="str">
            <v>B Braun Medical Supplies Sdn. Bhd.</v>
          </cell>
          <cell r="T1225" t="str">
            <v>Functioning</v>
          </cell>
          <cell r="U1225" t="str">
            <v>Asset</v>
          </cell>
          <cell r="V1225">
            <v>10825</v>
          </cell>
          <cell r="W1225" t="str">
            <v>KEW</v>
          </cell>
          <cell r="X1225" t="str">
            <v>01/09/2010</v>
          </cell>
          <cell r="Y1225" t="str">
            <v>KEW</v>
          </cell>
          <cell r="Z1225" t="str">
            <v>16/08/2013</v>
          </cell>
          <cell r="AA1225" t="str">
            <v>15/08/2015</v>
          </cell>
          <cell r="AB1225" t="str">
            <v>No</v>
          </cell>
          <cell r="AC1225" t="str">
            <v>31/08/2013</v>
          </cell>
          <cell r="AD1225" t="str">
            <v>Good</v>
          </cell>
          <cell r="AE1225" t="str">
            <v>V1 - Existing / No Claim</v>
          </cell>
          <cell r="AF1225">
            <v>42235</v>
          </cell>
          <cell r="AG1225">
            <v>9.17</v>
          </cell>
          <cell r="AH1225" t="str">
            <v>PPM</v>
          </cell>
          <cell r="AI1225" t="str">
            <v>Strands</v>
          </cell>
          <cell r="AJ1225" t="str">
            <v>Strands PW</v>
          </cell>
        </row>
        <row r="1226">
          <cell r="A1226" t="str">
            <v>IKN400833</v>
          </cell>
          <cell r="B1226">
            <v>833</v>
          </cell>
          <cell r="C1226" t="str">
            <v>Institut Kanser Negara</v>
          </cell>
          <cell r="D1226" t="str">
            <v>KKM/IKN/H/13/4476</v>
          </cell>
          <cell r="E1226" t="str">
            <v>11-758</v>
          </cell>
          <cell r="F1226" t="str">
            <v>Radiographic/Fluoroscopic Units, Mobile</v>
          </cell>
          <cell r="G1226" t="str">
            <v>RT</v>
          </cell>
          <cell r="H1226" t="str">
            <v>RADIATION TREATMENT UNIT</v>
          </cell>
          <cell r="I1226" t="str">
            <v>01RT233</v>
          </cell>
          <cell r="J1226" t="str">
            <v>EQ ROOM</v>
          </cell>
          <cell r="K1226" t="str">
            <v>BMED</v>
          </cell>
          <cell r="L1226" t="str">
            <v>Normal</v>
          </cell>
          <cell r="M1226" t="str">
            <v>The Netherlands</v>
          </cell>
          <cell r="N1226" t="str">
            <v>Veradius</v>
          </cell>
          <cell r="O1226" t="str">
            <v>Veradius</v>
          </cell>
          <cell r="P1226" t="str">
            <v>01J0FT518(578)</v>
          </cell>
          <cell r="Q1226" t="str">
            <v>Not Applicable</v>
          </cell>
          <cell r="R1226" t="str">
            <v>Philips Medical Systems</v>
          </cell>
          <cell r="S1226" t="str">
            <v>Advance Altimas Sdn Bhd</v>
          </cell>
          <cell r="T1226" t="str">
            <v>Functioning</v>
          </cell>
          <cell r="U1226" t="str">
            <v>Asset</v>
          </cell>
          <cell r="V1226">
            <v>1163300</v>
          </cell>
          <cell r="W1226" t="str">
            <v>KEW</v>
          </cell>
          <cell r="X1226" t="str">
            <v>01/09/2010</v>
          </cell>
          <cell r="Y1226" t="str">
            <v>KEW</v>
          </cell>
          <cell r="Z1226" t="str">
            <v>16/08/2013</v>
          </cell>
          <cell r="AA1226" t="str">
            <v>15/08/2015</v>
          </cell>
          <cell r="AB1226" t="str">
            <v>No</v>
          </cell>
          <cell r="AC1226" t="str">
            <v>31/08/2013</v>
          </cell>
          <cell r="AD1226" t="str">
            <v>Good</v>
          </cell>
          <cell r="AE1226" t="str">
            <v>V1 - Existing / No Claim</v>
          </cell>
          <cell r="AF1226">
            <v>42235</v>
          </cell>
          <cell r="AG1226">
            <v>9.17</v>
          </cell>
          <cell r="AH1226" t="str">
            <v>PPM</v>
          </cell>
          <cell r="AI1226" t="str">
            <v>Strands</v>
          </cell>
          <cell r="AJ1226" t="str">
            <v>Strands PW</v>
          </cell>
        </row>
        <row r="1227">
          <cell r="A1227" t="str">
            <v>IKN400834</v>
          </cell>
          <cell r="B1227">
            <v>834</v>
          </cell>
          <cell r="C1227" t="str">
            <v>Institut Kanser Negara</v>
          </cell>
          <cell r="D1227" t="str">
            <v>KKM/IKN/H/13/3845</v>
          </cell>
          <cell r="E1227" t="str">
            <v>12-647</v>
          </cell>
          <cell r="F1227" t="str">
            <v>Physiologic Monitoring Systems, Acute Care</v>
          </cell>
          <cell r="G1227" t="str">
            <v>RT</v>
          </cell>
          <cell r="H1227" t="str">
            <v>RADIATION TREATMENT UNIT</v>
          </cell>
          <cell r="I1227" t="str">
            <v>01RT275</v>
          </cell>
          <cell r="J1227" t="str">
            <v>BRACHY OT 1</v>
          </cell>
          <cell r="K1227" t="str">
            <v>BMED</v>
          </cell>
          <cell r="L1227" t="str">
            <v>Normal</v>
          </cell>
          <cell r="M1227" t="str">
            <v>Finland</v>
          </cell>
          <cell r="N1227" t="str">
            <v>Carespace</v>
          </cell>
          <cell r="O1227" t="str">
            <v>Carespace B850</v>
          </cell>
          <cell r="P1227" t="str">
            <v>SED12370821GA</v>
          </cell>
          <cell r="Q1227" t="str">
            <v>Not Applicable</v>
          </cell>
          <cell r="R1227" t="str">
            <v>GE Healthcare Systems</v>
          </cell>
          <cell r="S1227" t="str">
            <v>GE Healthcare Technologies</v>
          </cell>
          <cell r="T1227" t="str">
            <v>Functioning</v>
          </cell>
          <cell r="U1227" t="str">
            <v>Asset</v>
          </cell>
          <cell r="V1227">
            <v>119690</v>
          </cell>
          <cell r="W1227" t="str">
            <v>KEW</v>
          </cell>
          <cell r="X1227" t="str">
            <v>01/09/2010</v>
          </cell>
          <cell r="Y1227" t="str">
            <v>KEW</v>
          </cell>
          <cell r="Z1227" t="str">
            <v>16/08/2013</v>
          </cell>
          <cell r="AA1227" t="str">
            <v>15/08/2015</v>
          </cell>
          <cell r="AB1227" t="str">
            <v>No</v>
          </cell>
          <cell r="AC1227" t="str">
            <v>31/08/2013</v>
          </cell>
          <cell r="AD1227" t="str">
            <v>Good</v>
          </cell>
          <cell r="AE1227" t="str">
            <v>V1 - Existing / No Claim</v>
          </cell>
          <cell r="AF1227">
            <v>42235</v>
          </cell>
          <cell r="AG1227">
            <v>9.17</v>
          </cell>
          <cell r="AH1227" t="str">
            <v>PPM</v>
          </cell>
          <cell r="AI1227" t="str">
            <v>Strands</v>
          </cell>
          <cell r="AJ1227" t="str">
            <v>Strands PW</v>
          </cell>
        </row>
        <row r="1228">
          <cell r="A1228" t="str">
            <v>IKN400835</v>
          </cell>
          <cell r="B1228">
            <v>835</v>
          </cell>
          <cell r="C1228" t="str">
            <v>Institut Kanser Negara</v>
          </cell>
          <cell r="D1228" t="str">
            <v>KKM/IKN/H/13/2581</v>
          </cell>
          <cell r="E1228" t="str">
            <v>18-231</v>
          </cell>
          <cell r="F1228" t="str">
            <v>Electrosurgical Units, Monopolar/Bipolar</v>
          </cell>
          <cell r="G1228" t="str">
            <v>RT</v>
          </cell>
          <cell r="H1228" t="str">
            <v>RADIATION TREATMENT UNIT</v>
          </cell>
          <cell r="I1228" t="str">
            <v>01RT275</v>
          </cell>
          <cell r="J1228" t="str">
            <v>BRACHY OT 1</v>
          </cell>
          <cell r="K1228" t="str">
            <v>BMED</v>
          </cell>
          <cell r="L1228" t="str">
            <v>Normal</v>
          </cell>
          <cell r="M1228" t="str">
            <v>USA</v>
          </cell>
          <cell r="N1228" t="str">
            <v>Force</v>
          </cell>
          <cell r="O1228" t="str">
            <v>Force FX-8C</v>
          </cell>
          <cell r="P1228" t="str">
            <v>F2H70450AX</v>
          </cell>
          <cell r="Q1228" t="str">
            <v>Not Applicable</v>
          </cell>
          <cell r="R1228" t="str">
            <v>Valleylab</v>
          </cell>
          <cell r="S1228" t="str">
            <v>United States of America</v>
          </cell>
          <cell r="T1228" t="str">
            <v>Functioning</v>
          </cell>
          <cell r="U1228" t="str">
            <v>Asset</v>
          </cell>
          <cell r="V1228">
            <v>97190</v>
          </cell>
          <cell r="W1228" t="str">
            <v>KEW</v>
          </cell>
          <cell r="X1228" t="str">
            <v>01/09/2010</v>
          </cell>
          <cell r="Y1228" t="str">
            <v>KEW</v>
          </cell>
          <cell r="Z1228" t="str">
            <v>16/08/2013</v>
          </cell>
          <cell r="AA1228" t="str">
            <v>15/08/2015</v>
          </cell>
          <cell r="AB1228" t="str">
            <v>No</v>
          </cell>
          <cell r="AC1228" t="str">
            <v>31/08/2013</v>
          </cell>
          <cell r="AD1228" t="str">
            <v>Good</v>
          </cell>
          <cell r="AE1228" t="str">
            <v>V1 - Existing / No Claim</v>
          </cell>
          <cell r="AF1228">
            <v>42235</v>
          </cell>
          <cell r="AG1228">
            <v>9.17</v>
          </cell>
          <cell r="AH1228" t="str">
            <v>PPM</v>
          </cell>
          <cell r="AI1228" t="str">
            <v>Strands</v>
          </cell>
          <cell r="AJ1228" t="str">
            <v>Strands PW</v>
          </cell>
        </row>
        <row r="1229">
          <cell r="A1229" t="str">
            <v>IKN400836</v>
          </cell>
          <cell r="B1229">
            <v>836</v>
          </cell>
          <cell r="C1229" t="str">
            <v>Institut Kanser Negara</v>
          </cell>
          <cell r="D1229" t="str">
            <v>KKM/IKN/H/13/2626</v>
          </cell>
          <cell r="E1229" t="str">
            <v>10-414</v>
          </cell>
          <cell r="F1229" t="str">
            <v>Warming Units, Blanket</v>
          </cell>
          <cell r="G1229" t="str">
            <v>RT</v>
          </cell>
          <cell r="H1229" t="str">
            <v>RADIATION TREATMENT UNIT</v>
          </cell>
          <cell r="I1229" t="str">
            <v>01RT275</v>
          </cell>
          <cell r="J1229" t="str">
            <v>BRACHY OT 1</v>
          </cell>
          <cell r="K1229" t="str">
            <v>BMED</v>
          </cell>
          <cell r="L1229" t="str">
            <v>Normal</v>
          </cell>
          <cell r="M1229" t="str">
            <v>Sweden</v>
          </cell>
          <cell r="N1229" t="str">
            <v>Operatherm</v>
          </cell>
          <cell r="O1229" t="str">
            <v>Operatherm 303</v>
          </cell>
          <cell r="P1229" t="str">
            <v>00679-11</v>
          </cell>
          <cell r="Q1229" t="str">
            <v>Not Applicable</v>
          </cell>
          <cell r="R1229" t="str">
            <v>Kanmed</v>
          </cell>
          <cell r="S1229" t="str">
            <v>Perniagaan Med Tech</v>
          </cell>
          <cell r="T1229" t="str">
            <v>Functioning</v>
          </cell>
          <cell r="U1229" t="str">
            <v>Asset</v>
          </cell>
          <cell r="V1229">
            <v>15515</v>
          </cell>
          <cell r="W1229" t="str">
            <v>KEW</v>
          </cell>
          <cell r="X1229" t="str">
            <v>01/09/2010</v>
          </cell>
          <cell r="Y1229" t="str">
            <v>KEW</v>
          </cell>
          <cell r="Z1229" t="str">
            <v>16/08/2013</v>
          </cell>
          <cell r="AA1229" t="str">
            <v>15/08/2015</v>
          </cell>
          <cell r="AB1229" t="str">
            <v>No</v>
          </cell>
          <cell r="AC1229" t="str">
            <v>31/08/2013</v>
          </cell>
          <cell r="AD1229" t="str">
            <v>Good</v>
          </cell>
          <cell r="AE1229" t="str">
            <v>V1 - Existing / No Claim</v>
          </cell>
          <cell r="AF1229">
            <v>42235</v>
          </cell>
          <cell r="AG1229">
            <v>9.17</v>
          </cell>
          <cell r="AH1229" t="str">
            <v>PPM</v>
          </cell>
          <cell r="AI1229" t="str">
            <v>Strands</v>
          </cell>
          <cell r="AJ1229" t="str">
            <v>Strands PW</v>
          </cell>
        </row>
        <row r="1230">
          <cell r="A1230" t="str">
            <v>IKN400838</v>
          </cell>
          <cell r="B1230">
            <v>838</v>
          </cell>
          <cell r="C1230" t="str">
            <v>Institut Kanser Negara</v>
          </cell>
          <cell r="D1230" t="str">
            <v>KKM/IKN/H/13/2558</v>
          </cell>
          <cell r="E1230" t="str">
            <v>13-961</v>
          </cell>
          <cell r="F1230" t="str">
            <v>Tables, Operating</v>
          </cell>
          <cell r="G1230" t="str">
            <v>RT</v>
          </cell>
          <cell r="H1230" t="str">
            <v>RADIATION TREATMENT UNIT</v>
          </cell>
          <cell r="I1230" t="str">
            <v>01RT275</v>
          </cell>
          <cell r="J1230" t="str">
            <v>BRACHY OT 1</v>
          </cell>
          <cell r="K1230" t="str">
            <v>BMED</v>
          </cell>
          <cell r="L1230" t="str">
            <v>Normal</v>
          </cell>
          <cell r="M1230" t="str">
            <v>UK</v>
          </cell>
          <cell r="N1230" t="str">
            <v>Eschmann</v>
          </cell>
          <cell r="O1230" t="str">
            <v>Eschmann T20-a+</v>
          </cell>
          <cell r="P1230" t="str">
            <v>T2AD-2A-3366</v>
          </cell>
          <cell r="Q1230" t="str">
            <v>Not Applicable</v>
          </cell>
          <cell r="R1230" t="str">
            <v>Eschmann Holding Limited</v>
          </cell>
          <cell r="S1230" t="str">
            <v>Antah Sir Radin Sdn. Bhd.</v>
          </cell>
          <cell r="T1230" t="str">
            <v>Functioning</v>
          </cell>
          <cell r="U1230" t="str">
            <v>Asset</v>
          </cell>
          <cell r="V1230">
            <v>240330</v>
          </cell>
          <cell r="W1230" t="str">
            <v>KEW</v>
          </cell>
          <cell r="X1230" t="str">
            <v>01/09/2010</v>
          </cell>
          <cell r="Y1230" t="str">
            <v>KEW</v>
          </cell>
          <cell r="Z1230" t="str">
            <v>16/08/2013</v>
          </cell>
          <cell r="AA1230" t="str">
            <v>15/08/2015</v>
          </cell>
          <cell r="AB1230" t="str">
            <v>No</v>
          </cell>
          <cell r="AC1230" t="str">
            <v>31/08/2013</v>
          </cell>
          <cell r="AD1230" t="str">
            <v>Good</v>
          </cell>
          <cell r="AE1230" t="str">
            <v>V1 - Existing / No Claim</v>
          </cell>
          <cell r="AF1230">
            <v>42235</v>
          </cell>
          <cell r="AG1230">
            <v>9.17</v>
          </cell>
          <cell r="AH1230" t="str">
            <v>PPM</v>
          </cell>
          <cell r="AI1230" t="str">
            <v>Strands</v>
          </cell>
          <cell r="AJ1230" t="str">
            <v>Strands PW</v>
          </cell>
        </row>
        <row r="1231">
          <cell r="A1231" t="str">
            <v>IKN400839</v>
          </cell>
          <cell r="B1231">
            <v>839</v>
          </cell>
          <cell r="C1231" t="str">
            <v>Institut Kanser Negara</v>
          </cell>
          <cell r="D1231" t="str">
            <v>KKM/IKN/H/13/2983</v>
          </cell>
          <cell r="E1231" t="str">
            <v>16-173</v>
          </cell>
          <cell r="F1231" t="str">
            <v>Sphygmomanometers, Electronic, Automatic</v>
          </cell>
          <cell r="G1231" t="str">
            <v>NM</v>
          </cell>
          <cell r="H1231" t="str">
            <v>NUCLEAR MED (DIAGNOSTIC)</v>
          </cell>
          <cell r="I1231" t="str">
            <v>03NM152</v>
          </cell>
          <cell r="J1231" t="str">
            <v>NURSE STATION</v>
          </cell>
          <cell r="K1231" t="str">
            <v>BMED</v>
          </cell>
          <cell r="L1231" t="str">
            <v>Normal</v>
          </cell>
          <cell r="M1231" t="str">
            <v>Mexico</v>
          </cell>
          <cell r="N1231" t="str">
            <v>Carespace</v>
          </cell>
          <cell r="O1231" t="str">
            <v>Carescape V100</v>
          </cell>
          <cell r="P1231" t="str">
            <v>SH613280422SA</v>
          </cell>
          <cell r="Q1231" t="str">
            <v>Not Applicable</v>
          </cell>
          <cell r="R1231" t="str">
            <v>GE Healthcare Systems</v>
          </cell>
          <cell r="S1231" t="str">
            <v>GE Healthcare Technologies</v>
          </cell>
          <cell r="T1231" t="str">
            <v>Functioning</v>
          </cell>
          <cell r="U1231" t="str">
            <v>Asset</v>
          </cell>
          <cell r="V1231">
            <v>7770</v>
          </cell>
          <cell r="W1231" t="str">
            <v>KEW</v>
          </cell>
          <cell r="X1231" t="str">
            <v>01/09/2010</v>
          </cell>
          <cell r="Y1231" t="str">
            <v>KEW</v>
          </cell>
          <cell r="Z1231" t="str">
            <v>16/08/2013</v>
          </cell>
          <cell r="AA1231" t="str">
            <v>15/08/2015</v>
          </cell>
          <cell r="AB1231" t="str">
            <v>No</v>
          </cell>
          <cell r="AC1231" t="str">
            <v>31/08/2013</v>
          </cell>
          <cell r="AD1231" t="str">
            <v>Good</v>
          </cell>
          <cell r="AE1231" t="str">
            <v>V1 - Existing / No Claim</v>
          </cell>
          <cell r="AF1231">
            <v>42235</v>
          </cell>
          <cell r="AG1231">
            <v>9.17</v>
          </cell>
          <cell r="AH1231" t="str">
            <v>PPM</v>
          </cell>
          <cell r="AI1231" t="str">
            <v>Strands</v>
          </cell>
          <cell r="AJ1231" t="str">
            <v>Strands PW</v>
          </cell>
        </row>
        <row r="1232">
          <cell r="A1232" t="str">
            <v>IKN400840</v>
          </cell>
          <cell r="B1232">
            <v>840</v>
          </cell>
          <cell r="C1232" t="str">
            <v>Institut Kanser Negara</v>
          </cell>
          <cell r="D1232" t="str">
            <v>KKM/IKN/H/13/4956 - 01</v>
          </cell>
          <cell r="E1232" t="str">
            <v>15-976</v>
          </cell>
          <cell r="F1232" t="str">
            <v>Scanning Systems, Ultrasonic, General-Purpose</v>
          </cell>
          <cell r="G1232" t="str">
            <v>RT</v>
          </cell>
          <cell r="H1232" t="str">
            <v>RADIATION TREATMENT UNIT</v>
          </cell>
          <cell r="I1232" t="str">
            <v>01RT275</v>
          </cell>
          <cell r="J1232" t="str">
            <v>BRACHY OT 1</v>
          </cell>
          <cell r="K1232" t="str">
            <v>BMED</v>
          </cell>
          <cell r="L1232" t="str">
            <v>Normal</v>
          </cell>
          <cell r="M1232" t="str">
            <v>USA</v>
          </cell>
          <cell r="N1232" t="str">
            <v>Variseed</v>
          </cell>
          <cell r="O1232" t="str">
            <v>Variseed 8.0</v>
          </cell>
          <cell r="P1232" t="str">
            <v>5001255</v>
          </cell>
          <cell r="Q1232" t="str">
            <v>Not Applicable</v>
          </cell>
          <cell r="R1232" t="str">
            <v>Varian Medical System</v>
          </cell>
          <cell r="S1232" t="str">
            <v>V Medical Services</v>
          </cell>
          <cell r="T1232" t="str">
            <v>Functioning</v>
          </cell>
          <cell r="U1232" t="str">
            <v>Asset</v>
          </cell>
          <cell r="V1232">
            <v>1644170</v>
          </cell>
          <cell r="W1232" t="str">
            <v>KEW</v>
          </cell>
          <cell r="X1232" t="str">
            <v>01/09/2010</v>
          </cell>
          <cell r="Y1232" t="str">
            <v>KEW</v>
          </cell>
          <cell r="Z1232" t="str">
            <v>16/08/2013</v>
          </cell>
          <cell r="AA1232" t="str">
            <v>15/08/2015</v>
          </cell>
          <cell r="AB1232" t="str">
            <v>No</v>
          </cell>
          <cell r="AC1232" t="str">
            <v>31/08/2013</v>
          </cell>
          <cell r="AD1232" t="str">
            <v>Good</v>
          </cell>
          <cell r="AE1232" t="str">
            <v>V1 - Existing / No Claim</v>
          </cell>
          <cell r="AF1232">
            <v>42235</v>
          </cell>
          <cell r="AG1232">
            <v>9.17</v>
          </cell>
          <cell r="AH1232" t="str">
            <v>PPM</v>
          </cell>
          <cell r="AI1232" t="str">
            <v>Strands</v>
          </cell>
          <cell r="AJ1232" t="str">
            <v>Strands Package</v>
          </cell>
          <cell r="AK1232" t="str">
            <v>Package Code XM0012</v>
          </cell>
        </row>
        <row r="1233">
          <cell r="A1233" t="str">
            <v>IKN400841</v>
          </cell>
          <cell r="B1233">
            <v>841</v>
          </cell>
          <cell r="C1233" t="str">
            <v>Institut Kanser Negara</v>
          </cell>
          <cell r="D1233" t="str">
            <v>KKM/IKN/H/13/2642</v>
          </cell>
          <cell r="E1233" t="str">
            <v>10-134</v>
          </cell>
          <cell r="F1233" t="str">
            <v>Anesthesia Units</v>
          </cell>
          <cell r="G1233" t="str">
            <v>RT</v>
          </cell>
          <cell r="H1233" t="str">
            <v>RADIATION TREATMENT UNIT</v>
          </cell>
          <cell r="I1233" t="str">
            <v>01RT278</v>
          </cell>
          <cell r="J1233" t="str">
            <v>BRACHY OT 2</v>
          </cell>
          <cell r="K1233" t="str">
            <v>BMED</v>
          </cell>
          <cell r="L1233" t="str">
            <v>Normal</v>
          </cell>
          <cell r="M1233" t="str">
            <v>Germany</v>
          </cell>
          <cell r="N1233" t="str">
            <v>Primus</v>
          </cell>
          <cell r="O1233" t="str">
            <v>Primus</v>
          </cell>
          <cell r="P1233" t="str">
            <v>ASDJ-0232</v>
          </cell>
          <cell r="Q1233" t="str">
            <v>Not Applicable</v>
          </cell>
          <cell r="R1233" t="str">
            <v>Drager medical GmbH</v>
          </cell>
          <cell r="S1233" t="str">
            <v>Beau Consortium Sdn Bhd</v>
          </cell>
          <cell r="T1233" t="str">
            <v>Functioning</v>
          </cell>
          <cell r="U1233" t="str">
            <v>Asset</v>
          </cell>
          <cell r="V1233">
            <v>144345</v>
          </cell>
          <cell r="W1233" t="str">
            <v>KEW</v>
          </cell>
          <cell r="X1233" t="str">
            <v>01/09/2010</v>
          </cell>
          <cell r="Y1233" t="str">
            <v>KEW</v>
          </cell>
          <cell r="Z1233" t="str">
            <v>16/08/2013</v>
          </cell>
          <cell r="AA1233" t="str">
            <v>15/08/2015</v>
          </cell>
          <cell r="AB1233" t="str">
            <v>No</v>
          </cell>
          <cell r="AC1233" t="str">
            <v>31/08/2013</v>
          </cell>
          <cell r="AD1233" t="str">
            <v>Good</v>
          </cell>
          <cell r="AE1233" t="str">
            <v>V1 - Existing / No Claim</v>
          </cell>
          <cell r="AF1233">
            <v>42235</v>
          </cell>
          <cell r="AG1233">
            <v>9.17</v>
          </cell>
          <cell r="AH1233" t="str">
            <v>PPM</v>
          </cell>
          <cell r="AI1233" t="str">
            <v>Strands</v>
          </cell>
          <cell r="AJ1233" t="str">
            <v>Strands PW</v>
          </cell>
        </row>
        <row r="1234">
          <cell r="A1234" t="str">
            <v>IKN400842</v>
          </cell>
          <cell r="B1234">
            <v>842</v>
          </cell>
          <cell r="C1234" t="str">
            <v>Institut Kanser Negara</v>
          </cell>
          <cell r="D1234" t="str">
            <v>KKM/IKN/H/13/2984</v>
          </cell>
          <cell r="E1234" t="str">
            <v>16-173</v>
          </cell>
          <cell r="F1234" t="str">
            <v>Sphygmomanometers, Electronic, Automatic</v>
          </cell>
          <cell r="G1234" t="str">
            <v>NM</v>
          </cell>
          <cell r="H1234" t="str">
            <v>NUCLEAR MED (DIAGNOSTIC)</v>
          </cell>
          <cell r="I1234" t="str">
            <v>03NM155</v>
          </cell>
          <cell r="J1234" t="str">
            <v>STRESS LAB</v>
          </cell>
          <cell r="K1234" t="str">
            <v>BMED</v>
          </cell>
          <cell r="L1234" t="str">
            <v>Critical</v>
          </cell>
          <cell r="M1234" t="str">
            <v>Mexico</v>
          </cell>
          <cell r="N1234" t="str">
            <v>Carespace</v>
          </cell>
          <cell r="O1234" t="str">
            <v>Carescape V100</v>
          </cell>
          <cell r="P1234" t="str">
            <v>SH612430109SA</v>
          </cell>
          <cell r="Q1234" t="str">
            <v>Not Applicable</v>
          </cell>
          <cell r="R1234" t="str">
            <v>GE Healthcare Systems</v>
          </cell>
          <cell r="S1234" t="str">
            <v>GE Healthcare Technologies</v>
          </cell>
          <cell r="T1234" t="str">
            <v>Functioning</v>
          </cell>
          <cell r="U1234" t="str">
            <v>Asset</v>
          </cell>
          <cell r="V1234">
            <v>7770</v>
          </cell>
          <cell r="W1234" t="str">
            <v>KEW</v>
          </cell>
          <cell r="X1234" t="str">
            <v>01/09/2010</v>
          </cell>
          <cell r="Y1234" t="str">
            <v>KEW</v>
          </cell>
          <cell r="Z1234" t="str">
            <v>16/08/2013</v>
          </cell>
          <cell r="AA1234" t="str">
            <v>15/08/2015</v>
          </cell>
          <cell r="AB1234" t="str">
            <v>No</v>
          </cell>
          <cell r="AC1234" t="str">
            <v>31/08/2013</v>
          </cell>
          <cell r="AD1234" t="str">
            <v>Good</v>
          </cell>
          <cell r="AE1234" t="str">
            <v>V1 - Existing / No Claim</v>
          </cell>
          <cell r="AF1234">
            <v>42796</v>
          </cell>
          <cell r="AG1234">
            <v>9.17</v>
          </cell>
          <cell r="AH1234" t="str">
            <v>PPM</v>
          </cell>
          <cell r="AI1234" t="str">
            <v>Strands</v>
          </cell>
          <cell r="AJ1234" t="str">
            <v>Strands PW</v>
          </cell>
        </row>
        <row r="1235">
          <cell r="A1235" t="str">
            <v>IKN400843</v>
          </cell>
          <cell r="B1235">
            <v>843</v>
          </cell>
          <cell r="C1235" t="str">
            <v>Institut Kanser Negara</v>
          </cell>
          <cell r="D1235" t="str">
            <v>KKM/IKN/H/13/2961</v>
          </cell>
          <cell r="E1235" t="str">
            <v>12-282</v>
          </cell>
          <cell r="F1235" t="str">
            <v>Lights, Surgical</v>
          </cell>
          <cell r="G1235" t="str">
            <v>NM</v>
          </cell>
          <cell r="H1235" t="str">
            <v>NUCLEAR MED (DIAGNOSTIC)</v>
          </cell>
          <cell r="I1235" t="str">
            <v>03NM143</v>
          </cell>
          <cell r="J1235" t="str">
            <v>INJECTION ROOM 1 (-VE)</v>
          </cell>
          <cell r="K1235" t="str">
            <v>BMED</v>
          </cell>
          <cell r="L1235" t="str">
            <v>Normal</v>
          </cell>
          <cell r="M1235" t="str">
            <v>USA</v>
          </cell>
          <cell r="N1235" t="str">
            <v>Welch Allyn</v>
          </cell>
          <cell r="O1235" t="str">
            <v>Welch Allyn GS600</v>
          </cell>
          <cell r="P1235" t="str">
            <v>GS600-13</v>
          </cell>
          <cell r="Q1235" t="str">
            <v>Not Applicable</v>
          </cell>
          <cell r="R1235" t="str">
            <v>Welch Allyn Inc</v>
          </cell>
          <cell r="S1235" t="str">
            <v>Welch Allyn Malaysia Sdn Bhd</v>
          </cell>
          <cell r="T1235" t="str">
            <v>Functioning</v>
          </cell>
          <cell r="U1235" t="str">
            <v>Asset</v>
          </cell>
          <cell r="V1235">
            <v>5050</v>
          </cell>
          <cell r="W1235" t="str">
            <v>KEW</v>
          </cell>
          <cell r="X1235" t="str">
            <v>01/09/2010</v>
          </cell>
          <cell r="Y1235" t="str">
            <v>KEW</v>
          </cell>
          <cell r="Z1235" t="str">
            <v>16/08/2013</v>
          </cell>
          <cell r="AA1235" t="str">
            <v>15/08/2015</v>
          </cell>
          <cell r="AB1235" t="str">
            <v>No</v>
          </cell>
          <cell r="AC1235" t="str">
            <v>31/08/2013</v>
          </cell>
          <cell r="AD1235" t="str">
            <v>Good</v>
          </cell>
          <cell r="AE1235" t="str">
            <v>V1 - Existing / No Claim</v>
          </cell>
          <cell r="AF1235">
            <v>42235</v>
          </cell>
          <cell r="AG1235">
            <v>9.17</v>
          </cell>
          <cell r="AH1235" t="str">
            <v>PPM</v>
          </cell>
          <cell r="AI1235" t="str">
            <v>Strands</v>
          </cell>
          <cell r="AJ1235" t="str">
            <v>Strands PW</v>
          </cell>
        </row>
        <row r="1236">
          <cell r="A1236" t="str">
            <v>IKN400844</v>
          </cell>
          <cell r="B1236">
            <v>844</v>
          </cell>
          <cell r="C1236" t="str">
            <v>Institut Kanser Negara</v>
          </cell>
          <cell r="D1236" t="str">
            <v>KKM/IKN/H/13/2996</v>
          </cell>
          <cell r="E1236" t="str">
            <v>12-660</v>
          </cell>
          <cell r="F1236" t="str">
            <v>Radiation Monitors</v>
          </cell>
          <cell r="G1236" t="str">
            <v>NM</v>
          </cell>
          <cell r="H1236" t="str">
            <v>NUCLEAR MED (DIAGNOSTIC)</v>
          </cell>
          <cell r="I1236" t="str">
            <v>03NM166</v>
          </cell>
          <cell r="J1236" t="str">
            <v>REPORTING</v>
          </cell>
          <cell r="K1236" t="str">
            <v>BMED</v>
          </cell>
          <cell r="L1236" t="str">
            <v>Normal</v>
          </cell>
          <cell r="M1236" t="str">
            <v>Germany</v>
          </cell>
          <cell r="N1236" t="str">
            <v>CoMo</v>
          </cell>
          <cell r="O1236" t="str">
            <v>CoMo 170</v>
          </cell>
          <cell r="P1236" t="str">
            <v>5063DL</v>
          </cell>
          <cell r="Q1236" t="str">
            <v>Not Applicable</v>
          </cell>
          <cell r="R1236" t="str">
            <v>MED Nuklear-Medizintechnik Dresden GmbH</v>
          </cell>
          <cell r="S1236" t="str">
            <v/>
          </cell>
          <cell r="T1236" t="str">
            <v>Functioning</v>
          </cell>
          <cell r="U1236" t="str">
            <v>Asset</v>
          </cell>
          <cell r="V1236">
            <v>23270</v>
          </cell>
          <cell r="W1236" t="str">
            <v>KEW</v>
          </cell>
          <cell r="X1236" t="str">
            <v>01/09/2010</v>
          </cell>
          <cell r="Y1236" t="str">
            <v>KEW</v>
          </cell>
          <cell r="Z1236" t="str">
            <v>16/08/2013</v>
          </cell>
          <cell r="AA1236" t="str">
            <v>15/08/2015</v>
          </cell>
          <cell r="AB1236" t="str">
            <v>No</v>
          </cell>
          <cell r="AC1236" t="str">
            <v>31/08/2013</v>
          </cell>
          <cell r="AD1236" t="str">
            <v>Good</v>
          </cell>
          <cell r="AE1236" t="str">
            <v>V1 - Existing / No Claim</v>
          </cell>
          <cell r="AF1236">
            <v>42235</v>
          </cell>
          <cell r="AG1236">
            <v>9.17</v>
          </cell>
          <cell r="AH1236" t="str">
            <v>PPM</v>
          </cell>
          <cell r="AI1236" t="str">
            <v>Strands</v>
          </cell>
          <cell r="AJ1236" t="str">
            <v>Strands PW</v>
          </cell>
        </row>
        <row r="1237">
          <cell r="A1237" t="str">
            <v>IKN400845</v>
          </cell>
          <cell r="B1237">
            <v>845</v>
          </cell>
          <cell r="C1237" t="str">
            <v>Institut Kanser Negara</v>
          </cell>
          <cell r="D1237" t="str">
            <v>KKM/IKN/H/13/2609</v>
          </cell>
          <cell r="E1237" t="str">
            <v>13-217</v>
          </cell>
          <cell r="F1237" t="str">
            <v>Infusion Pumps, Syringe</v>
          </cell>
          <cell r="G1237" t="str">
            <v>RT</v>
          </cell>
          <cell r="H1237" t="str">
            <v>RADIATION TREATMENT UNIT</v>
          </cell>
          <cell r="I1237" t="str">
            <v>01RT278</v>
          </cell>
          <cell r="J1237" t="str">
            <v>BRACHY OT 2</v>
          </cell>
          <cell r="K1237" t="str">
            <v>BMED</v>
          </cell>
          <cell r="L1237" t="str">
            <v>Normal</v>
          </cell>
          <cell r="M1237" t="str">
            <v>Germany</v>
          </cell>
          <cell r="N1237" t="str">
            <v>Perfusor</v>
          </cell>
          <cell r="O1237" t="str">
            <v>Perfusor Space</v>
          </cell>
          <cell r="P1237" t="str">
            <v>143335</v>
          </cell>
          <cell r="Q1237" t="str">
            <v>Not Applicable</v>
          </cell>
          <cell r="R1237" t="str">
            <v>B Braun Melsungen AG</v>
          </cell>
          <cell r="S1237" t="str">
            <v>B Braun Medical Supplies Sdn. Bhd.</v>
          </cell>
          <cell r="T1237" t="str">
            <v>Functioning</v>
          </cell>
          <cell r="U1237" t="str">
            <v>Asset</v>
          </cell>
          <cell r="V1237">
            <v>10225</v>
          </cell>
          <cell r="W1237" t="str">
            <v>KEW</v>
          </cell>
          <cell r="X1237" t="str">
            <v>01/09/2010</v>
          </cell>
          <cell r="Y1237" t="str">
            <v>KEW</v>
          </cell>
          <cell r="Z1237" t="str">
            <v>16/08/2013</v>
          </cell>
          <cell r="AA1237" t="str">
            <v>15/08/2015</v>
          </cell>
          <cell r="AB1237" t="str">
            <v>No</v>
          </cell>
          <cell r="AC1237" t="str">
            <v>31/08/2013</v>
          </cell>
          <cell r="AD1237" t="str">
            <v>Good</v>
          </cell>
          <cell r="AE1237" t="str">
            <v>V1 - Existing / No Claim</v>
          </cell>
          <cell r="AF1237">
            <v>42235</v>
          </cell>
          <cell r="AG1237">
            <v>9.17</v>
          </cell>
          <cell r="AH1237" t="str">
            <v>PPM</v>
          </cell>
          <cell r="AI1237" t="str">
            <v>Strands</v>
          </cell>
          <cell r="AJ1237" t="str">
            <v>Strands PW</v>
          </cell>
        </row>
        <row r="1238">
          <cell r="A1238" t="str">
            <v>IKN400846</v>
          </cell>
          <cell r="B1238">
            <v>846</v>
          </cell>
          <cell r="C1238" t="str">
            <v>Institut Kanser Negara</v>
          </cell>
          <cell r="D1238" t="str">
            <v>KKM/IKN/H/13/2608</v>
          </cell>
          <cell r="E1238" t="str">
            <v>13-217</v>
          </cell>
          <cell r="F1238" t="str">
            <v>Infusion Pumps, Syringe</v>
          </cell>
          <cell r="G1238" t="str">
            <v>RT</v>
          </cell>
          <cell r="H1238" t="str">
            <v>RADIATION TREATMENT UNIT</v>
          </cell>
          <cell r="I1238" t="str">
            <v>01RT278</v>
          </cell>
          <cell r="J1238" t="str">
            <v>BRACHY OT 2</v>
          </cell>
          <cell r="K1238" t="str">
            <v>BMED</v>
          </cell>
          <cell r="L1238" t="str">
            <v>Normal</v>
          </cell>
          <cell r="M1238" t="str">
            <v>Germany</v>
          </cell>
          <cell r="N1238" t="str">
            <v>Perfusor</v>
          </cell>
          <cell r="O1238" t="str">
            <v>Perfusor Space</v>
          </cell>
          <cell r="P1238" t="str">
            <v>186631</v>
          </cell>
          <cell r="Q1238" t="str">
            <v>Not Applicable</v>
          </cell>
          <cell r="R1238" t="str">
            <v>B Braun Melsungen AG</v>
          </cell>
          <cell r="S1238" t="str">
            <v>B Braun Medical Supplies Sdn. Bhd.</v>
          </cell>
          <cell r="T1238" t="str">
            <v>Functioning</v>
          </cell>
          <cell r="U1238" t="str">
            <v>Asset</v>
          </cell>
          <cell r="V1238">
            <v>10225</v>
          </cell>
          <cell r="W1238" t="str">
            <v>KEW</v>
          </cell>
          <cell r="X1238" t="str">
            <v>01/09/2010</v>
          </cell>
          <cell r="Y1238" t="str">
            <v>KEW</v>
          </cell>
          <cell r="Z1238" t="str">
            <v>16/08/2013</v>
          </cell>
          <cell r="AA1238" t="str">
            <v>15/08/2015</v>
          </cell>
          <cell r="AB1238" t="str">
            <v>No</v>
          </cell>
          <cell r="AC1238" t="str">
            <v>31/08/2013</v>
          </cell>
          <cell r="AD1238" t="str">
            <v>Good</v>
          </cell>
          <cell r="AE1238" t="str">
            <v>V1 - Existing / No Claim</v>
          </cell>
          <cell r="AF1238">
            <v>42235</v>
          </cell>
          <cell r="AG1238">
            <v>9.17</v>
          </cell>
          <cell r="AH1238" t="str">
            <v>PPM</v>
          </cell>
          <cell r="AI1238" t="str">
            <v>Strands</v>
          </cell>
          <cell r="AJ1238" t="str">
            <v>Strands PW</v>
          </cell>
        </row>
        <row r="1239">
          <cell r="A1239" t="str">
            <v>IKN400847</v>
          </cell>
          <cell r="B1239">
            <v>847</v>
          </cell>
          <cell r="C1239" t="str">
            <v>Institut Kanser Negara</v>
          </cell>
          <cell r="D1239" t="str">
            <v>KKM/IKN/H/13/2610</v>
          </cell>
          <cell r="E1239" t="str">
            <v>16-924</v>
          </cell>
          <cell r="F1239" t="str">
            <v>Infusion Pumps, Patient-Controlled Analgesic</v>
          </cell>
          <cell r="G1239" t="str">
            <v>RT</v>
          </cell>
          <cell r="H1239" t="str">
            <v>RADIATION TREATMENT UNIT</v>
          </cell>
          <cell r="I1239" t="str">
            <v>01RT278</v>
          </cell>
          <cell r="J1239" t="str">
            <v>BRACHY OT 2</v>
          </cell>
          <cell r="K1239" t="str">
            <v>BMED</v>
          </cell>
          <cell r="L1239" t="str">
            <v>Normal</v>
          </cell>
          <cell r="M1239" t="str">
            <v>Germany</v>
          </cell>
          <cell r="N1239" t="str">
            <v>Perfusor</v>
          </cell>
          <cell r="O1239" t="str">
            <v>Perfusor Space PCA</v>
          </cell>
          <cell r="P1239" t="str">
            <v>187006</v>
          </cell>
          <cell r="Q1239" t="str">
            <v>Not Applicable</v>
          </cell>
          <cell r="R1239" t="str">
            <v>B Braun Melsungen AG</v>
          </cell>
          <cell r="S1239" t="str">
            <v>B Braun Medical Supplies Sdn. Bhd.</v>
          </cell>
          <cell r="T1239" t="str">
            <v>Functioning</v>
          </cell>
          <cell r="U1239" t="str">
            <v>Asset</v>
          </cell>
          <cell r="V1239">
            <v>9622</v>
          </cell>
          <cell r="W1239" t="str">
            <v>KEW</v>
          </cell>
          <cell r="X1239" t="str">
            <v>01/09/2010</v>
          </cell>
          <cell r="Y1239" t="str">
            <v>KEW</v>
          </cell>
          <cell r="Z1239" t="str">
            <v>16/08/2013</v>
          </cell>
          <cell r="AA1239" t="str">
            <v>15/08/2015</v>
          </cell>
          <cell r="AB1239" t="str">
            <v>No</v>
          </cell>
          <cell r="AC1239" t="str">
            <v>31/08/2013</v>
          </cell>
          <cell r="AD1239" t="str">
            <v>Good</v>
          </cell>
          <cell r="AE1239" t="str">
            <v>V1 - Existing / No Claim</v>
          </cell>
          <cell r="AF1239">
            <v>42235</v>
          </cell>
          <cell r="AG1239">
            <v>9.17</v>
          </cell>
          <cell r="AH1239" t="str">
            <v>PPM</v>
          </cell>
          <cell r="AI1239" t="str">
            <v>Strands</v>
          </cell>
          <cell r="AJ1239" t="str">
            <v>Strands PW</v>
          </cell>
        </row>
        <row r="1240">
          <cell r="A1240" t="str">
            <v>IKN400848</v>
          </cell>
          <cell r="B1240">
            <v>848</v>
          </cell>
          <cell r="C1240" t="str">
            <v>Institut Kanser Negara</v>
          </cell>
          <cell r="D1240" t="str">
            <v>KKM/IKN/H/13/2613</v>
          </cell>
          <cell r="E1240" t="str">
            <v>13-215</v>
          </cell>
          <cell r="F1240" t="str">
            <v>Infusion Pumps, General-Purpose</v>
          </cell>
          <cell r="G1240" t="str">
            <v>RT</v>
          </cell>
          <cell r="H1240" t="str">
            <v>RADIATION TREATMENT UNIT</v>
          </cell>
          <cell r="I1240" t="str">
            <v>01RT278</v>
          </cell>
          <cell r="J1240" t="str">
            <v>BRACHY OT 2</v>
          </cell>
          <cell r="K1240" t="str">
            <v>BMED</v>
          </cell>
          <cell r="L1240" t="str">
            <v>Normal</v>
          </cell>
          <cell r="M1240" t="str">
            <v>Germany</v>
          </cell>
          <cell r="N1240" t="str">
            <v>Infusomat</v>
          </cell>
          <cell r="O1240" t="str">
            <v>Infusomat Space</v>
          </cell>
          <cell r="P1240" t="str">
            <v>211908</v>
          </cell>
          <cell r="Q1240" t="str">
            <v>Not Applicable</v>
          </cell>
          <cell r="R1240" t="str">
            <v>B Braun Melsungen AG</v>
          </cell>
          <cell r="S1240" t="str">
            <v>B Braun Medical Supplies Sdn. Bhd.</v>
          </cell>
          <cell r="T1240" t="str">
            <v>Functioning</v>
          </cell>
          <cell r="U1240" t="str">
            <v>Asset</v>
          </cell>
          <cell r="V1240">
            <v>10825</v>
          </cell>
          <cell r="W1240" t="str">
            <v>KEW</v>
          </cell>
          <cell r="X1240" t="str">
            <v>01/09/2010</v>
          </cell>
          <cell r="Y1240" t="str">
            <v>KEW</v>
          </cell>
          <cell r="Z1240" t="str">
            <v>16/08/2013</v>
          </cell>
          <cell r="AA1240" t="str">
            <v>15/08/2015</v>
          </cell>
          <cell r="AB1240" t="str">
            <v>No</v>
          </cell>
          <cell r="AC1240" t="str">
            <v>31/08/2013</v>
          </cell>
          <cell r="AD1240" t="str">
            <v>Good</v>
          </cell>
          <cell r="AE1240" t="str">
            <v>V1 - Existing / No Claim</v>
          </cell>
          <cell r="AF1240">
            <v>42235</v>
          </cell>
          <cell r="AG1240">
            <v>9.17</v>
          </cell>
          <cell r="AH1240" t="str">
            <v>PPM</v>
          </cell>
          <cell r="AI1240" t="str">
            <v>Strands</v>
          </cell>
          <cell r="AJ1240" t="str">
            <v>Strands PW</v>
          </cell>
        </row>
        <row r="1241">
          <cell r="A1241" t="str">
            <v>IKN400849</v>
          </cell>
          <cell r="B1241">
            <v>849</v>
          </cell>
          <cell r="C1241" t="str">
            <v>Institut Kanser Negara</v>
          </cell>
          <cell r="D1241" t="str">
            <v>KKM/IKN/H/13/2196</v>
          </cell>
          <cell r="E1241" t="str">
            <v>12-647</v>
          </cell>
          <cell r="F1241" t="str">
            <v>Physiologic Monitoring Systems, Acute Care</v>
          </cell>
          <cell r="G1241" t="str">
            <v>RT</v>
          </cell>
          <cell r="H1241" t="str">
            <v>RADIATION TREATMENT UNIT</v>
          </cell>
          <cell r="I1241" t="str">
            <v>01RT278</v>
          </cell>
          <cell r="J1241" t="str">
            <v>BRACHY OT 2</v>
          </cell>
          <cell r="K1241" t="str">
            <v>BMED</v>
          </cell>
          <cell r="L1241" t="str">
            <v>Normal</v>
          </cell>
          <cell r="M1241" t="str">
            <v>Finland</v>
          </cell>
          <cell r="N1241" t="str">
            <v>Carespace</v>
          </cell>
          <cell r="O1241" t="str">
            <v>Carespace B850</v>
          </cell>
          <cell r="P1241" t="str">
            <v>SED12370679GA</v>
          </cell>
          <cell r="Q1241" t="str">
            <v>Not Applicable</v>
          </cell>
          <cell r="R1241" t="str">
            <v>GE Healthcare Systems</v>
          </cell>
          <cell r="S1241" t="str">
            <v>GE Healthcare Technologies</v>
          </cell>
          <cell r="T1241" t="str">
            <v>Functioning</v>
          </cell>
          <cell r="U1241" t="str">
            <v>Asset</v>
          </cell>
          <cell r="V1241">
            <v>119690</v>
          </cell>
          <cell r="W1241" t="str">
            <v>KEW</v>
          </cell>
          <cell r="X1241" t="str">
            <v>01/09/2010</v>
          </cell>
          <cell r="Y1241" t="str">
            <v>KEW</v>
          </cell>
          <cell r="Z1241" t="str">
            <v>16/08/2013</v>
          </cell>
          <cell r="AA1241" t="str">
            <v>15/08/2015</v>
          </cell>
          <cell r="AB1241" t="str">
            <v>No</v>
          </cell>
          <cell r="AC1241" t="str">
            <v>31/08/2013</v>
          </cell>
          <cell r="AD1241" t="str">
            <v>Good</v>
          </cell>
          <cell r="AE1241" t="str">
            <v>V1 - Existing / No Claim</v>
          </cell>
          <cell r="AF1241">
            <v>42235</v>
          </cell>
          <cell r="AG1241">
            <v>9.17</v>
          </cell>
          <cell r="AH1241" t="str">
            <v>PPM</v>
          </cell>
          <cell r="AI1241" t="str">
            <v>Strands</v>
          </cell>
          <cell r="AJ1241" t="str">
            <v>Strands PW</v>
          </cell>
        </row>
        <row r="1242">
          <cell r="A1242" t="str">
            <v>IKN400850</v>
          </cell>
          <cell r="B1242">
            <v>850</v>
          </cell>
          <cell r="C1242" t="str">
            <v>Institut Kanser Negara</v>
          </cell>
          <cell r="D1242" t="str">
            <v>N/A</v>
          </cell>
          <cell r="E1242" t="str">
            <v>17-732</v>
          </cell>
          <cell r="F1242" t="str">
            <v>Brachytherapy Applicators, Afterloading</v>
          </cell>
          <cell r="G1242" t="str">
            <v>RT</v>
          </cell>
          <cell r="H1242" t="str">
            <v>RADIATION TREATMENT UNIT</v>
          </cell>
          <cell r="I1242" t="str">
            <v>01RT243</v>
          </cell>
          <cell r="J1242" t="str">
            <v>NURSE STATION</v>
          </cell>
          <cell r="K1242" t="str">
            <v>BMED</v>
          </cell>
          <cell r="L1242" t="str">
            <v>Normal</v>
          </cell>
          <cell r="M1242" t="str">
            <v>Germany</v>
          </cell>
          <cell r="N1242" t="str">
            <v>MultiSource</v>
          </cell>
          <cell r="O1242" t="str">
            <v>MultiSource HDR Afterloader</v>
          </cell>
          <cell r="P1242" t="str">
            <v>445</v>
          </cell>
          <cell r="Q1242" t="str">
            <v>Not Applicable</v>
          </cell>
          <cell r="R1242" t="str">
            <v>IBt Bebig Group</v>
          </cell>
          <cell r="S1242" t="str">
            <v>Oncoray Sdn Bhd</v>
          </cell>
          <cell r="T1242" t="str">
            <v>Functioning</v>
          </cell>
          <cell r="U1242" t="str">
            <v>Asset</v>
          </cell>
          <cell r="V1242">
            <v>3420120</v>
          </cell>
          <cell r="W1242" t="str">
            <v>KEW</v>
          </cell>
          <cell r="X1242" t="str">
            <v>01/09/2010</v>
          </cell>
          <cell r="Y1242" t="str">
            <v>KEW</v>
          </cell>
          <cell r="Z1242" t="str">
            <v>16/08/2013</v>
          </cell>
          <cell r="AA1242" t="str">
            <v>15/08/2015</v>
          </cell>
          <cell r="AB1242" t="str">
            <v>No</v>
          </cell>
          <cell r="AC1242" t="str">
            <v>31/08/2013</v>
          </cell>
          <cell r="AD1242" t="str">
            <v>Good</v>
          </cell>
          <cell r="AE1242" t="str">
            <v>V1 - Existing / No Claim</v>
          </cell>
          <cell r="AF1242">
            <v>42801</v>
          </cell>
          <cell r="AG1242">
            <v>9.17</v>
          </cell>
          <cell r="AH1242" t="str">
            <v>PPM</v>
          </cell>
          <cell r="AI1242" t="str">
            <v>Strands</v>
          </cell>
          <cell r="AJ1242" t="str">
            <v>Strands Package</v>
          </cell>
          <cell r="AK1242" t="str">
            <v>Package Code XM0011</v>
          </cell>
        </row>
        <row r="1243">
          <cell r="A1243" t="str">
            <v>IKN400851</v>
          </cell>
          <cell r="B1243">
            <v>851</v>
          </cell>
          <cell r="C1243" t="str">
            <v>Institut Kanser Negara</v>
          </cell>
          <cell r="D1243" t="str">
            <v>KKM/IKN/H/13/5299</v>
          </cell>
          <cell r="E1243" t="str">
            <v>17-848</v>
          </cell>
          <cell r="F1243" t="str">
            <v>Biopsy Guns</v>
          </cell>
          <cell r="G1243" t="str">
            <v>RT</v>
          </cell>
          <cell r="H1243" t="str">
            <v>RADIATION TREATMENT UNIT</v>
          </cell>
          <cell r="I1243" t="str">
            <v>01RT278</v>
          </cell>
          <cell r="J1243" t="str">
            <v>BRACHY OT 2</v>
          </cell>
          <cell r="K1243" t="str">
            <v>BMED</v>
          </cell>
          <cell r="L1243" t="str">
            <v>Normal</v>
          </cell>
          <cell r="M1243" t="str">
            <v>USA</v>
          </cell>
          <cell r="N1243" t="str">
            <v>Magnum</v>
          </cell>
          <cell r="O1243" t="str">
            <v>Magnum MG1522</v>
          </cell>
          <cell r="P1243" t="str">
            <v>51JV254</v>
          </cell>
          <cell r="Q1243" t="str">
            <v>Not Applicable</v>
          </cell>
          <cell r="R1243" t="str">
            <v>Bard Peripheral Vascular Inc</v>
          </cell>
          <cell r="S1243" t="str">
            <v>Healthcare Solution</v>
          </cell>
          <cell r="T1243" t="str">
            <v>Functioning</v>
          </cell>
          <cell r="U1243" t="str">
            <v>Asset</v>
          </cell>
          <cell r="V1243">
            <v>8510</v>
          </cell>
          <cell r="W1243" t="str">
            <v>KEW</v>
          </cell>
          <cell r="X1243" t="str">
            <v>01/09/2010</v>
          </cell>
          <cell r="Y1243" t="str">
            <v>KEW</v>
          </cell>
          <cell r="Z1243" t="str">
            <v>16/08/2013</v>
          </cell>
          <cell r="AA1243" t="str">
            <v>15/08/2015</v>
          </cell>
          <cell r="AB1243" t="str">
            <v>No</v>
          </cell>
          <cell r="AC1243" t="str">
            <v>31/08/2013</v>
          </cell>
          <cell r="AD1243" t="str">
            <v>Good</v>
          </cell>
          <cell r="AE1243" t="str">
            <v>V1 - Existing / No Claim</v>
          </cell>
          <cell r="AF1243">
            <v>42235</v>
          </cell>
          <cell r="AG1243">
            <v>9.17</v>
          </cell>
          <cell r="AH1243" t="str">
            <v>PPM</v>
          </cell>
          <cell r="AI1243" t="str">
            <v>Strands</v>
          </cell>
          <cell r="AJ1243" t="str">
            <v>Strands PW</v>
          </cell>
        </row>
        <row r="1244">
          <cell r="A1244" t="str">
            <v>IKN400853</v>
          </cell>
          <cell r="B1244">
            <v>853</v>
          </cell>
          <cell r="C1244" t="str">
            <v>Institut Kanser Negara</v>
          </cell>
          <cell r="D1244" t="str">
            <v>KKM/IKN/H/13/2627</v>
          </cell>
          <cell r="E1244" t="str">
            <v>10-414</v>
          </cell>
          <cell r="F1244" t="str">
            <v>Warming Units, Blanket</v>
          </cell>
          <cell r="G1244" t="str">
            <v>RT</v>
          </cell>
          <cell r="H1244" t="str">
            <v>RADIATION TREATMENT UNIT</v>
          </cell>
          <cell r="I1244" t="str">
            <v>01RT278</v>
          </cell>
          <cell r="J1244" t="str">
            <v>BRACHY OT 2</v>
          </cell>
          <cell r="K1244" t="str">
            <v>BMED</v>
          </cell>
          <cell r="L1244" t="str">
            <v>Normal</v>
          </cell>
          <cell r="M1244" t="str">
            <v>Sweden</v>
          </cell>
          <cell r="N1244" t="str">
            <v>Operatherm</v>
          </cell>
          <cell r="O1244" t="str">
            <v>Operatherm 303</v>
          </cell>
          <cell r="P1244" t="str">
            <v>00792-12</v>
          </cell>
          <cell r="Q1244" t="str">
            <v>Not Applicable</v>
          </cell>
          <cell r="R1244" t="str">
            <v>Kanmed</v>
          </cell>
          <cell r="S1244" t="str">
            <v>Perniagaan Med Tech</v>
          </cell>
          <cell r="T1244" t="str">
            <v>Functioning</v>
          </cell>
          <cell r="U1244" t="str">
            <v>Asset</v>
          </cell>
          <cell r="V1244">
            <v>15515</v>
          </cell>
          <cell r="W1244" t="str">
            <v>KEW</v>
          </cell>
          <cell r="X1244" t="str">
            <v>01/09/2010</v>
          </cell>
          <cell r="Y1244" t="str">
            <v>KEW</v>
          </cell>
          <cell r="Z1244" t="str">
            <v>16/08/2013</v>
          </cell>
          <cell r="AA1244" t="str">
            <v>15/08/2015</v>
          </cell>
          <cell r="AB1244" t="str">
            <v>No</v>
          </cell>
          <cell r="AC1244" t="str">
            <v>31/08/2013</v>
          </cell>
          <cell r="AD1244" t="str">
            <v>Good</v>
          </cell>
          <cell r="AE1244" t="str">
            <v>V1 - Existing / No Claim</v>
          </cell>
          <cell r="AF1244">
            <v>42235</v>
          </cell>
          <cell r="AG1244">
            <v>9.17</v>
          </cell>
          <cell r="AH1244" t="str">
            <v>PPM</v>
          </cell>
          <cell r="AI1244" t="str">
            <v>Strands</v>
          </cell>
          <cell r="AJ1244" t="str">
            <v>Strands PW</v>
          </cell>
        </row>
        <row r="1245">
          <cell r="A1245" t="str">
            <v>IKN400863</v>
          </cell>
          <cell r="B1245">
            <v>862</v>
          </cell>
          <cell r="C1245" t="str">
            <v>Institut Kanser Negara</v>
          </cell>
          <cell r="D1245" t="str">
            <v>KKM/IKN/H/13/2483-13</v>
          </cell>
          <cell r="E1245" t="str">
            <v>15-967</v>
          </cell>
          <cell r="F1245" t="str">
            <v>Television Systems, Endoscope</v>
          </cell>
          <cell r="G1245" t="str">
            <v>OT</v>
          </cell>
          <cell r="H1245" t="str">
            <v>OPERATING THEATRE</v>
          </cell>
          <cell r="I1245" t="str">
            <v>05OT167</v>
          </cell>
          <cell r="J1245" t="str">
            <v>SCOPE WASH</v>
          </cell>
          <cell r="K1245" t="str">
            <v>BMED</v>
          </cell>
          <cell r="L1245" t="str">
            <v>Normal</v>
          </cell>
          <cell r="M1245" t="str">
            <v>GERMANY</v>
          </cell>
          <cell r="N1245" t="str">
            <v>Karl Storz Gmbh &amp; Co</v>
          </cell>
          <cell r="O1245" t="str">
            <v>9626.NB/KS-26</v>
          </cell>
          <cell r="P1245" t="str">
            <v>51303180PW009</v>
          </cell>
          <cell r="Q1245" t="str">
            <v>Not Applicable</v>
          </cell>
          <cell r="R1245" t="str">
            <v>Karl Storz Gmbh &amp; Co</v>
          </cell>
          <cell r="S1245" t="str">
            <v>UMMI Surgical Sdn Bhd</v>
          </cell>
          <cell r="T1245" t="str">
            <v>Functioning</v>
          </cell>
          <cell r="U1245" t="str">
            <v>Asset</v>
          </cell>
          <cell r="V1245">
            <v>10000</v>
          </cell>
          <cell r="W1245" t="str">
            <v>Replacement</v>
          </cell>
          <cell r="X1245" t="str">
            <v>01/09/2010</v>
          </cell>
          <cell r="Y1245" t="str">
            <v>KEW</v>
          </cell>
          <cell r="Z1245" t="str">
            <v>16/08/2013</v>
          </cell>
          <cell r="AA1245" t="str">
            <v>15/08/2015</v>
          </cell>
          <cell r="AB1245" t="str">
            <v>No</v>
          </cell>
          <cell r="AC1245" t="str">
            <v>31/08/2013</v>
          </cell>
          <cell r="AD1245" t="str">
            <v>Good</v>
          </cell>
          <cell r="AE1245" t="str">
            <v>V1 - Existing / No Claim</v>
          </cell>
          <cell r="AF1245">
            <v>42958</v>
          </cell>
          <cell r="AG1245">
            <v>9.17</v>
          </cell>
          <cell r="AH1245" t="str">
            <v>RI</v>
          </cell>
          <cell r="AI1245" t="str">
            <v>Strands</v>
          </cell>
          <cell r="AJ1245" t="str">
            <v>Strands Package</v>
          </cell>
          <cell r="AK1245" t="str">
            <v>Package Code EP0127A</v>
          </cell>
        </row>
        <row r="1246">
          <cell r="A1246" t="str">
            <v>IKN400864</v>
          </cell>
          <cell r="B1246">
            <v>863</v>
          </cell>
          <cell r="C1246" t="str">
            <v>Institut Kanser Negara</v>
          </cell>
          <cell r="D1246" t="str">
            <v>KKM/IKN/H/13/2483-20</v>
          </cell>
          <cell r="E1246" t="str">
            <v>12-345</v>
          </cell>
          <cell r="F1246" t="str">
            <v>Light Sources, Fiberoptic</v>
          </cell>
          <cell r="G1246" t="str">
            <v>OT</v>
          </cell>
          <cell r="H1246" t="str">
            <v>OPERATING THEATRE</v>
          </cell>
          <cell r="I1246" t="str">
            <v>05OT167</v>
          </cell>
          <cell r="J1246" t="str">
            <v>SCOPE WASH</v>
          </cell>
          <cell r="K1246" t="str">
            <v>BMED</v>
          </cell>
          <cell r="L1246" t="str">
            <v>Normal</v>
          </cell>
          <cell r="M1246" t="str">
            <v>Germany</v>
          </cell>
          <cell r="N1246" t="str">
            <v>Xenon Nova</v>
          </cell>
          <cell r="O1246" t="str">
            <v>Xenon Nova 300, 201340 20</v>
          </cell>
          <cell r="P1246" t="str">
            <v>PW0687519</v>
          </cell>
          <cell r="Q1246" t="str">
            <v>Not Applicable</v>
          </cell>
          <cell r="R1246" t="str">
            <v>Karl Storz GmbH</v>
          </cell>
          <cell r="S1246" t="str">
            <v>UMMI Surgical Sdn Bhd</v>
          </cell>
          <cell r="T1246" t="str">
            <v>Functioning</v>
          </cell>
          <cell r="U1246" t="str">
            <v>Asset</v>
          </cell>
          <cell r="V1246">
            <v>100000</v>
          </cell>
          <cell r="W1246" t="str">
            <v>Estimate</v>
          </cell>
          <cell r="X1246" t="str">
            <v>01/09/2010</v>
          </cell>
          <cell r="Y1246" t="str">
            <v>KEW</v>
          </cell>
          <cell r="Z1246" t="str">
            <v>16/08/2013</v>
          </cell>
          <cell r="AA1246" t="str">
            <v>15/08/2015</v>
          </cell>
          <cell r="AB1246" t="str">
            <v>No</v>
          </cell>
          <cell r="AC1246" t="str">
            <v>31/08/2013</v>
          </cell>
          <cell r="AD1246" t="str">
            <v>Good</v>
          </cell>
          <cell r="AE1246" t="str">
            <v>V1 - Existing / No Claim</v>
          </cell>
          <cell r="AF1246">
            <v>42616</v>
          </cell>
          <cell r="AG1246">
            <v>9.17</v>
          </cell>
          <cell r="AH1246" t="str">
            <v>PPM</v>
          </cell>
          <cell r="AI1246" t="str">
            <v>Strands</v>
          </cell>
          <cell r="AJ1246" t="str">
            <v>Strands Package</v>
          </cell>
          <cell r="AK1246" t="str">
            <v>Package Code EP0127A</v>
          </cell>
        </row>
        <row r="1247">
          <cell r="A1247" t="str">
            <v>IKN400865</v>
          </cell>
          <cell r="B1247">
            <v>864</v>
          </cell>
          <cell r="C1247" t="str">
            <v>Institut Kanser Negara</v>
          </cell>
          <cell r="D1247" t="str">
            <v>KKM/IKN/H/13/2483-01</v>
          </cell>
          <cell r="E1247" t="str">
            <v>17-002</v>
          </cell>
          <cell r="F1247" t="str">
            <v>Cameras, Video, Endoscope</v>
          </cell>
          <cell r="G1247" t="str">
            <v>OT</v>
          </cell>
          <cell r="H1247" t="str">
            <v>OPERATING THEATRE</v>
          </cell>
          <cell r="I1247" t="str">
            <v>05OT167</v>
          </cell>
          <cell r="J1247" t="str">
            <v>SCOPE WASH</v>
          </cell>
          <cell r="K1247" t="str">
            <v>BMED</v>
          </cell>
          <cell r="L1247" t="str">
            <v>Normal</v>
          </cell>
          <cell r="M1247" t="str">
            <v>Germany</v>
          </cell>
          <cell r="N1247" t="str">
            <v>Image 1</v>
          </cell>
          <cell r="O1247" t="str">
            <v>Image 1 HUB 22201020</v>
          </cell>
          <cell r="P1247" t="str">
            <v>NW701882-P</v>
          </cell>
          <cell r="Q1247" t="str">
            <v>Not Applicable</v>
          </cell>
          <cell r="R1247" t="str">
            <v>Karl Storz-Endoskope</v>
          </cell>
          <cell r="S1247" t="str">
            <v>UMMI Surgical Sdn Bhd</v>
          </cell>
          <cell r="T1247" t="str">
            <v>Functioning</v>
          </cell>
          <cell r="U1247" t="str">
            <v>Asset</v>
          </cell>
          <cell r="V1247">
            <v>100000</v>
          </cell>
          <cell r="W1247" t="str">
            <v>Estimate</v>
          </cell>
          <cell r="X1247" t="str">
            <v>01/09/2010</v>
          </cell>
          <cell r="Y1247" t="str">
            <v>KEW</v>
          </cell>
          <cell r="Z1247" t="str">
            <v>16/08/2013</v>
          </cell>
          <cell r="AA1247" t="str">
            <v>15/08/2015</v>
          </cell>
          <cell r="AB1247" t="str">
            <v>No</v>
          </cell>
          <cell r="AC1247" t="str">
            <v>31/08/2013</v>
          </cell>
          <cell r="AD1247" t="str">
            <v>Good</v>
          </cell>
          <cell r="AE1247" t="str">
            <v>V1 - Existing / No Claim</v>
          </cell>
          <cell r="AF1247">
            <v>42958</v>
          </cell>
          <cell r="AG1247">
            <v>9.17</v>
          </cell>
          <cell r="AH1247" t="str">
            <v>PPM</v>
          </cell>
          <cell r="AI1247" t="str">
            <v>Strands</v>
          </cell>
          <cell r="AJ1247" t="str">
            <v>Strands Package</v>
          </cell>
          <cell r="AK1247" t="str">
            <v>[Indira] Camera Head (Serial No: YX805370-H), CAT No: 22220055 (Cable: ). [18/9/2023, SHARIFAH]: PEP ON 27/7/2023, BER/BEMS/IKN/23/014 - Asset masih berfungsi namun tidak dapat dibaiki sekiranya berlaku kerosakan pada komponen utama. Package Code EP0127A</v>
          </cell>
        </row>
        <row r="1248">
          <cell r="A1248" t="str">
            <v>IKN400866</v>
          </cell>
          <cell r="B1248">
            <v>865</v>
          </cell>
          <cell r="C1248" t="str">
            <v>Institut Kanser Negara</v>
          </cell>
          <cell r="D1248" t="str">
            <v>KKM/IKN/H/13/2483-36</v>
          </cell>
          <cell r="E1248" t="str">
            <v>16-849</v>
          </cell>
          <cell r="F1248" t="str">
            <v>Insufflators, Laparoscopic</v>
          </cell>
          <cell r="G1248" t="str">
            <v>OT</v>
          </cell>
          <cell r="H1248" t="str">
            <v>OPERATING THEATRE</v>
          </cell>
          <cell r="I1248" t="str">
            <v>05OT167</v>
          </cell>
          <cell r="J1248" t="str">
            <v>SCOPE WASH</v>
          </cell>
          <cell r="K1248" t="str">
            <v>BMED</v>
          </cell>
          <cell r="L1248" t="str">
            <v>Critical</v>
          </cell>
          <cell r="M1248" t="str">
            <v>Germany</v>
          </cell>
          <cell r="N1248" t="str">
            <v>Thermoflator</v>
          </cell>
          <cell r="O1248" t="str">
            <v>Thermoflator</v>
          </cell>
          <cell r="P1248" t="str">
            <v>RW15883-B</v>
          </cell>
          <cell r="Q1248" t="str">
            <v>Not Applicable</v>
          </cell>
          <cell r="R1248" t="str">
            <v>Karl Storz GmbH &amp; Co KG</v>
          </cell>
          <cell r="S1248" t="str">
            <v>UMMI Surgical Sdn Bhd</v>
          </cell>
          <cell r="T1248" t="str">
            <v>Functioning</v>
          </cell>
          <cell r="U1248" t="str">
            <v>Asset</v>
          </cell>
          <cell r="V1248">
            <v>120000</v>
          </cell>
          <cell r="W1248" t="str">
            <v>KEW</v>
          </cell>
          <cell r="X1248" t="str">
            <v>01/09/2010</v>
          </cell>
          <cell r="Y1248" t="str">
            <v>KEW</v>
          </cell>
          <cell r="Z1248" t="str">
            <v>16/08/2013</v>
          </cell>
          <cell r="AA1248" t="str">
            <v>15/08/2015</v>
          </cell>
          <cell r="AB1248" t="str">
            <v>No</v>
          </cell>
          <cell r="AC1248" t="str">
            <v>31/08/2013</v>
          </cell>
          <cell r="AD1248" t="str">
            <v>Good</v>
          </cell>
          <cell r="AE1248" t="str">
            <v>V1 - Existing / No Claim</v>
          </cell>
          <cell r="AF1248">
            <v>42958</v>
          </cell>
          <cell r="AG1248">
            <v>9.17</v>
          </cell>
          <cell r="AH1248" t="str">
            <v>PPM</v>
          </cell>
          <cell r="AI1248" t="str">
            <v>Strands</v>
          </cell>
          <cell r="AJ1248" t="str">
            <v>Strands Package</v>
          </cell>
          <cell r="AK1248" t="str">
            <v>Package Code EP0127A</v>
          </cell>
        </row>
        <row r="1249">
          <cell r="A1249" t="str">
            <v>IKN400867</v>
          </cell>
          <cell r="B1249">
            <v>866</v>
          </cell>
          <cell r="C1249" t="str">
            <v>Institut Kanser Negara</v>
          </cell>
          <cell r="D1249" t="str">
            <v>KKM/IKN/H/13/2483-24</v>
          </cell>
          <cell r="E1249" t="str">
            <v>13-274</v>
          </cell>
          <cell r="F1249" t="str">
            <v>Recorders, Tape, Video</v>
          </cell>
          <cell r="G1249" t="str">
            <v>OT</v>
          </cell>
          <cell r="H1249" t="str">
            <v>OPERATING THEATRE</v>
          </cell>
          <cell r="I1249" t="str">
            <v>05OT167</v>
          </cell>
          <cell r="J1249" t="str">
            <v>SCOPE WASH</v>
          </cell>
          <cell r="K1249" t="str">
            <v>BMED</v>
          </cell>
          <cell r="L1249" t="str">
            <v>Normal</v>
          </cell>
          <cell r="M1249" t="str">
            <v>Germany</v>
          </cell>
          <cell r="N1249" t="str">
            <v>Aoda</v>
          </cell>
          <cell r="O1249" t="str">
            <v>Aoda Control Neo</v>
          </cell>
          <cell r="P1249" t="str">
            <v>KSB13263</v>
          </cell>
          <cell r="Q1249" t="str">
            <v>Not Applicable</v>
          </cell>
          <cell r="R1249" t="str">
            <v>Karl Storz GmbH &amp; Co KG</v>
          </cell>
          <cell r="S1249" t="str">
            <v>UMMI Surgical Sdn Bhd</v>
          </cell>
          <cell r="T1249" t="str">
            <v>Functioning</v>
          </cell>
          <cell r="U1249" t="str">
            <v>Asset</v>
          </cell>
          <cell r="V1249">
            <v>50000</v>
          </cell>
          <cell r="W1249" t="str">
            <v>KEW</v>
          </cell>
          <cell r="X1249" t="str">
            <v>01/09/2010</v>
          </cell>
          <cell r="Y1249" t="str">
            <v>KEW</v>
          </cell>
          <cell r="Z1249" t="str">
            <v>16/08/2013</v>
          </cell>
          <cell r="AA1249" t="str">
            <v>15/08/2015</v>
          </cell>
          <cell r="AB1249" t="str">
            <v>No</v>
          </cell>
          <cell r="AC1249" t="str">
            <v>31/08/2013</v>
          </cell>
          <cell r="AD1249" t="str">
            <v>Good</v>
          </cell>
          <cell r="AE1249" t="str">
            <v>V1 - Existing / No Claim</v>
          </cell>
          <cell r="AF1249">
            <v>42958</v>
          </cell>
          <cell r="AG1249">
            <v>9.17</v>
          </cell>
          <cell r="AH1249" t="str">
            <v>RI</v>
          </cell>
          <cell r="AI1249" t="str">
            <v>Strands</v>
          </cell>
          <cell r="AJ1249" t="str">
            <v>Strands Package</v>
          </cell>
          <cell r="AK1249" t="str">
            <v>Package Code EP0127A</v>
          </cell>
        </row>
        <row r="1250">
          <cell r="A1250" t="str">
            <v>IKN400868</v>
          </cell>
          <cell r="B1250">
            <v>867</v>
          </cell>
          <cell r="C1250" t="str">
            <v>Institut Kanser Negara</v>
          </cell>
          <cell r="D1250" t="e">
            <v>#N/A</v>
          </cell>
          <cell r="E1250" t="str">
            <v>16-603</v>
          </cell>
          <cell r="F1250" t="str">
            <v>Television Monitors</v>
          </cell>
          <cell r="G1250" t="str">
            <v>OT</v>
          </cell>
          <cell r="H1250" t="str">
            <v>OPERATING THEATRE</v>
          </cell>
          <cell r="I1250" t="str">
            <v>05OT167</v>
          </cell>
          <cell r="J1250" t="str">
            <v>SCOPE WASH</v>
          </cell>
          <cell r="K1250" t="str">
            <v>BMED</v>
          </cell>
          <cell r="L1250" t="str">
            <v>Normal</v>
          </cell>
          <cell r="M1250" t="str">
            <v>China</v>
          </cell>
          <cell r="N1250" t="str">
            <v>BenQ</v>
          </cell>
          <cell r="O1250" t="str">
            <v>BenQ GL2050</v>
          </cell>
          <cell r="P1250" t="str">
            <v>ETMBC8626SLO</v>
          </cell>
          <cell r="Q1250" t="str">
            <v>Not Applicable</v>
          </cell>
          <cell r="R1250" t="str">
            <v>BenQ Corp</v>
          </cell>
          <cell r="S1250" t="str">
            <v>UMMI Surgical Sdn Bhd</v>
          </cell>
          <cell r="T1250" t="str">
            <v>Functioning</v>
          </cell>
          <cell r="U1250" t="str">
            <v>Asset</v>
          </cell>
          <cell r="V1250">
            <v>7000</v>
          </cell>
          <cell r="W1250" t="str">
            <v>Estimate</v>
          </cell>
          <cell r="X1250" t="str">
            <v>01/09/2010</v>
          </cell>
          <cell r="Y1250" t="str">
            <v>KEW</v>
          </cell>
          <cell r="Z1250" t="str">
            <v>16/08/2013</v>
          </cell>
          <cell r="AA1250" t="str">
            <v>15/08/2015</v>
          </cell>
          <cell r="AB1250" t="str">
            <v>No</v>
          </cell>
          <cell r="AC1250" t="str">
            <v>31/08/2013</v>
          </cell>
          <cell r="AD1250" t="str">
            <v>Good</v>
          </cell>
          <cell r="AE1250" t="str">
            <v>V1 - Existing / No Claim</v>
          </cell>
          <cell r="AF1250">
            <v>42958</v>
          </cell>
          <cell r="AG1250">
            <v>9.17</v>
          </cell>
          <cell r="AH1250" t="str">
            <v>RI</v>
          </cell>
          <cell r="AI1250" t="str">
            <v>Strands-accessories</v>
          </cell>
          <cell r="AJ1250" t="e">
            <v>#REF!</v>
          </cell>
          <cell r="AK1250" t="e">
            <v>#N/A</v>
          </cell>
        </row>
        <row r="1251">
          <cell r="A1251" t="str">
            <v>IKN400869</v>
          </cell>
          <cell r="B1251">
            <v>868</v>
          </cell>
          <cell r="C1251" t="str">
            <v>Institut Kanser Negara</v>
          </cell>
          <cell r="D1251" t="str">
            <v>KKM/IKN/H/14/86</v>
          </cell>
          <cell r="E1251" t="str">
            <v>17-950</v>
          </cell>
          <cell r="F1251" t="str">
            <v>Warming Units, Patient, Forced-Air</v>
          </cell>
          <cell r="G1251" t="str">
            <v>RT</v>
          </cell>
          <cell r="H1251" t="str">
            <v>RADIATION TREATMENT UNIT</v>
          </cell>
          <cell r="I1251" t="str">
            <v>01RT116</v>
          </cell>
          <cell r="J1251" t="str">
            <v>CT SIMULATOR 1</v>
          </cell>
          <cell r="K1251" t="str">
            <v>BMED</v>
          </cell>
          <cell r="L1251" t="str">
            <v>Normal</v>
          </cell>
          <cell r="M1251" t="str">
            <v>USA</v>
          </cell>
          <cell r="N1251" t="str">
            <v>Bair Hugger</v>
          </cell>
          <cell r="O1251" t="str">
            <v>Bair Hugger 775</v>
          </cell>
          <cell r="P1251" t="str">
            <v>46693</v>
          </cell>
          <cell r="Q1251" t="str">
            <v>Not Applicable</v>
          </cell>
          <cell r="R1251" t="str">
            <v>Arizant Healthcare Inc</v>
          </cell>
          <cell r="S1251" t="str">
            <v>Alam Medik Sdn. Bhd</v>
          </cell>
          <cell r="T1251" t="str">
            <v>Functioning</v>
          </cell>
          <cell r="U1251" t="str">
            <v>Asset</v>
          </cell>
          <cell r="V1251">
            <v>4950</v>
          </cell>
          <cell r="W1251" t="str">
            <v>KEW</v>
          </cell>
          <cell r="X1251" t="str">
            <v>26/09/2014</v>
          </cell>
          <cell r="Y1251" t="str">
            <v>KEW</v>
          </cell>
          <cell r="Z1251" t="str">
            <v>12/11/2014</v>
          </cell>
          <cell r="AA1251" t="str">
            <v>11/11/2015</v>
          </cell>
          <cell r="AB1251" t="str">
            <v>No</v>
          </cell>
          <cell r="AC1251" t="str">
            <v>12/11/2014</v>
          </cell>
          <cell r="AD1251" t="str">
            <v>Good</v>
          </cell>
          <cell r="AE1251" t="str">
            <v>V3 - Added Installed Facilities (New)</v>
          </cell>
          <cell r="AF1251">
            <v>42801</v>
          </cell>
          <cell r="AG1251">
            <v>5.17</v>
          </cell>
          <cell r="AH1251" t="str">
            <v>PPM</v>
          </cell>
          <cell r="AI1251" t="str">
            <v>Strands</v>
          </cell>
          <cell r="AJ1251" t="str">
            <v>Strands PW</v>
          </cell>
          <cell r="AK1251" t="str">
            <v>SNF received. 1st batch of V3 asset (December 2020)</v>
          </cell>
        </row>
        <row r="1252">
          <cell r="A1252" t="str">
            <v>IKN400870</v>
          </cell>
          <cell r="B1252">
            <v>869</v>
          </cell>
          <cell r="C1252" t="str">
            <v>Institut Kanser Negara</v>
          </cell>
          <cell r="D1252" t="str">
            <v>KKM/IKN/H/14/87</v>
          </cell>
          <cell r="E1252" t="str">
            <v>17-950</v>
          </cell>
          <cell r="F1252" t="str">
            <v>Warming Units, Patient, Forced-Air</v>
          </cell>
          <cell r="G1252" t="str">
            <v>RT</v>
          </cell>
          <cell r="H1252" t="str">
            <v>RADIATION TREATMENT UNIT</v>
          </cell>
          <cell r="I1252" t="str">
            <v>01RT118</v>
          </cell>
          <cell r="J1252" t="str">
            <v>CT SIMULATOR 2</v>
          </cell>
          <cell r="K1252" t="str">
            <v>BMED</v>
          </cell>
          <cell r="L1252" t="str">
            <v>Normal</v>
          </cell>
          <cell r="M1252" t="str">
            <v>USA</v>
          </cell>
          <cell r="N1252" t="str">
            <v>Bair Hugger</v>
          </cell>
          <cell r="O1252" t="str">
            <v>Bair Hugger 775</v>
          </cell>
          <cell r="P1252" t="str">
            <v>46697</v>
          </cell>
          <cell r="Q1252" t="str">
            <v>Not Applicable</v>
          </cell>
          <cell r="R1252" t="str">
            <v>Arizant Healthcare Inc</v>
          </cell>
          <cell r="S1252" t="str">
            <v>Alam Medik Sdn. Bhd</v>
          </cell>
          <cell r="T1252" t="str">
            <v>Functioning</v>
          </cell>
          <cell r="U1252" t="str">
            <v>Asset</v>
          </cell>
          <cell r="V1252">
            <v>4950</v>
          </cell>
          <cell r="W1252" t="str">
            <v>KEW</v>
          </cell>
          <cell r="X1252" t="str">
            <v>26/09/2014</v>
          </cell>
          <cell r="Y1252" t="str">
            <v>KEW</v>
          </cell>
          <cell r="Z1252" t="str">
            <v>12/11/2014</v>
          </cell>
          <cell r="AA1252" t="str">
            <v>11/11/2015</v>
          </cell>
          <cell r="AB1252" t="str">
            <v>No</v>
          </cell>
          <cell r="AC1252" t="str">
            <v>12/11/2014</v>
          </cell>
          <cell r="AD1252" t="str">
            <v>Good</v>
          </cell>
          <cell r="AE1252" t="str">
            <v>V3 - Added Installed Facilities (New)</v>
          </cell>
          <cell r="AF1252">
            <v>42801</v>
          </cell>
          <cell r="AG1252">
            <v>5.17</v>
          </cell>
          <cell r="AH1252" t="str">
            <v>PPM</v>
          </cell>
          <cell r="AI1252" t="str">
            <v>Strands</v>
          </cell>
          <cell r="AJ1252" t="str">
            <v>Strands PW</v>
          </cell>
          <cell r="AK1252" t="str">
            <v>SNF received. 1st batch of V3 asset (December 2020)</v>
          </cell>
        </row>
        <row r="1253">
          <cell r="A1253" t="str">
            <v>IKN400871</v>
          </cell>
          <cell r="B1253">
            <v>870</v>
          </cell>
          <cell r="C1253" t="str">
            <v>Institut Kanser Negara</v>
          </cell>
          <cell r="D1253" t="str">
            <v>KKM/IKN/H/14/88</v>
          </cell>
          <cell r="E1253" t="str">
            <v>17-950</v>
          </cell>
          <cell r="F1253" t="str">
            <v>Warming Units, Patient, Forced-Air</v>
          </cell>
          <cell r="G1253" t="str">
            <v>RT</v>
          </cell>
          <cell r="H1253" t="str">
            <v>RADIATION TREATMENT UNIT</v>
          </cell>
          <cell r="I1253" t="str">
            <v>01RT159</v>
          </cell>
          <cell r="J1253" t="str">
            <v>LINAC ROOM 1 (TBI)</v>
          </cell>
          <cell r="K1253" t="str">
            <v>BMED</v>
          </cell>
          <cell r="L1253" t="str">
            <v>Normal</v>
          </cell>
          <cell r="M1253" t="str">
            <v>USA</v>
          </cell>
          <cell r="N1253" t="str">
            <v>Bair Hugger</v>
          </cell>
          <cell r="O1253" t="str">
            <v>Bair Hugger 775</v>
          </cell>
          <cell r="P1253" t="str">
            <v>57896</v>
          </cell>
          <cell r="Q1253" t="str">
            <v>Not Applicable</v>
          </cell>
          <cell r="R1253" t="str">
            <v>Arizant Healthcare Inc</v>
          </cell>
          <cell r="S1253" t="str">
            <v>Alam Medik Sdn. Bhd</v>
          </cell>
          <cell r="T1253" t="str">
            <v>Functioning</v>
          </cell>
          <cell r="U1253" t="str">
            <v>Asset</v>
          </cell>
          <cell r="V1253">
            <v>4950</v>
          </cell>
          <cell r="W1253" t="str">
            <v>KEW</v>
          </cell>
          <cell r="X1253" t="str">
            <v>26/09/2014</v>
          </cell>
          <cell r="Y1253" t="str">
            <v>KEW</v>
          </cell>
          <cell r="Z1253" t="str">
            <v>12/11/2014</v>
          </cell>
          <cell r="AA1253" t="str">
            <v>11/11/2015</v>
          </cell>
          <cell r="AB1253" t="str">
            <v>No</v>
          </cell>
          <cell r="AC1253" t="str">
            <v>12/11/2014</v>
          </cell>
          <cell r="AD1253" t="str">
            <v>Good</v>
          </cell>
          <cell r="AE1253" t="str">
            <v>V3 - Added Installed Facilities (New)</v>
          </cell>
          <cell r="AF1253">
            <v>42678</v>
          </cell>
          <cell r="AG1253">
            <v>5.17</v>
          </cell>
          <cell r="AH1253" t="str">
            <v>PPM</v>
          </cell>
          <cell r="AI1253" t="str">
            <v>Strands</v>
          </cell>
          <cell r="AJ1253" t="str">
            <v>Strands PW</v>
          </cell>
          <cell r="AK1253" t="str">
            <v>SNF received. 1st batch of V3 asset (December 2020)</v>
          </cell>
        </row>
        <row r="1254">
          <cell r="A1254" t="str">
            <v>IKN400872</v>
          </cell>
          <cell r="B1254">
            <v>871</v>
          </cell>
          <cell r="C1254" t="str">
            <v>Institut Kanser Negara</v>
          </cell>
          <cell r="D1254" t="str">
            <v>KKM/IKN/H/14/89</v>
          </cell>
          <cell r="E1254" t="str">
            <v>17-950</v>
          </cell>
          <cell r="F1254" t="str">
            <v>Warming Units, Patient, Forced-Air</v>
          </cell>
          <cell r="G1254" t="str">
            <v>RT</v>
          </cell>
          <cell r="H1254" t="str">
            <v>RADIATION TREATMENT UNIT</v>
          </cell>
          <cell r="I1254" t="str">
            <v>01RT165</v>
          </cell>
          <cell r="J1254" t="str">
            <v>LINAC ROOM 2 (TBI)</v>
          </cell>
          <cell r="K1254" t="str">
            <v>BMED</v>
          </cell>
          <cell r="L1254" t="str">
            <v>Normal</v>
          </cell>
          <cell r="M1254" t="str">
            <v>USA</v>
          </cell>
          <cell r="N1254" t="str">
            <v>Bair Hugger</v>
          </cell>
          <cell r="O1254" t="str">
            <v>Bair Hugger 775</v>
          </cell>
          <cell r="P1254" t="str">
            <v>57897</v>
          </cell>
          <cell r="Q1254" t="str">
            <v>Not Applicable</v>
          </cell>
          <cell r="R1254" t="str">
            <v>Arizant Healthcare Inc</v>
          </cell>
          <cell r="S1254" t="str">
            <v>Alam Medik Sdn. Bhd</v>
          </cell>
          <cell r="T1254" t="str">
            <v>Functioning</v>
          </cell>
          <cell r="U1254" t="str">
            <v>Asset</v>
          </cell>
          <cell r="V1254">
            <v>4950</v>
          </cell>
          <cell r="W1254" t="str">
            <v>KEW</v>
          </cell>
          <cell r="X1254" t="str">
            <v>26/09/2014</v>
          </cell>
          <cell r="Y1254" t="str">
            <v>KEW</v>
          </cell>
          <cell r="Z1254" t="str">
            <v>12/11/2014</v>
          </cell>
          <cell r="AA1254" t="str">
            <v>11/11/2015</v>
          </cell>
          <cell r="AB1254" t="str">
            <v>No</v>
          </cell>
          <cell r="AC1254" t="str">
            <v>12/11/2014</v>
          </cell>
          <cell r="AD1254" t="str">
            <v>Good</v>
          </cell>
          <cell r="AE1254" t="str">
            <v>V3 - Added Installed Facilities (New)</v>
          </cell>
          <cell r="AF1254">
            <v>42678</v>
          </cell>
          <cell r="AG1254">
            <v>5.17</v>
          </cell>
          <cell r="AH1254" t="str">
            <v>PPM</v>
          </cell>
          <cell r="AI1254" t="str">
            <v>Strands</v>
          </cell>
          <cell r="AJ1254" t="str">
            <v>Strands PW</v>
          </cell>
          <cell r="AK1254" t="str">
            <v>SNF received. 1st batch of V3 asset (December 2020)</v>
          </cell>
        </row>
        <row r="1255">
          <cell r="A1255" t="str">
            <v>IKN400873</v>
          </cell>
          <cell r="B1255">
            <v>872</v>
          </cell>
          <cell r="C1255" t="str">
            <v>Institut Kanser Negara</v>
          </cell>
          <cell r="D1255" t="str">
            <v>KKM/IKN/H/14/90</v>
          </cell>
          <cell r="E1255" t="str">
            <v>17-950</v>
          </cell>
          <cell r="F1255" t="str">
            <v>Warming Units, Patient, Forced-Air</v>
          </cell>
          <cell r="G1255" t="str">
            <v>RT</v>
          </cell>
          <cell r="H1255" t="str">
            <v>RADIATION TREATMENT UNIT</v>
          </cell>
          <cell r="I1255" t="str">
            <v>01RT172</v>
          </cell>
          <cell r="J1255" t="str">
            <v>LINAC ROOM 3</v>
          </cell>
          <cell r="K1255" t="str">
            <v>BMED</v>
          </cell>
          <cell r="L1255" t="str">
            <v>Normal</v>
          </cell>
          <cell r="M1255" t="str">
            <v>USA</v>
          </cell>
          <cell r="N1255" t="str">
            <v>Bair Hugger</v>
          </cell>
          <cell r="O1255" t="str">
            <v>Bair Hugger 775</v>
          </cell>
          <cell r="P1255" t="str">
            <v>57899</v>
          </cell>
          <cell r="Q1255" t="str">
            <v>Not Applicable</v>
          </cell>
          <cell r="R1255" t="str">
            <v>Arizant Healthcare Inc</v>
          </cell>
          <cell r="S1255" t="str">
            <v>Alam Medik Sdn. Bhd</v>
          </cell>
          <cell r="T1255" t="str">
            <v>Functioning</v>
          </cell>
          <cell r="U1255" t="str">
            <v>Asset</v>
          </cell>
          <cell r="V1255">
            <v>4950</v>
          </cell>
          <cell r="W1255" t="str">
            <v>KEW</v>
          </cell>
          <cell r="X1255" t="str">
            <v>26/09/2014</v>
          </cell>
          <cell r="Y1255" t="str">
            <v>KEW</v>
          </cell>
          <cell r="Z1255" t="str">
            <v>12/11/2014</v>
          </cell>
          <cell r="AA1255" t="str">
            <v>11/11/2015</v>
          </cell>
          <cell r="AB1255" t="str">
            <v>No</v>
          </cell>
          <cell r="AC1255" t="str">
            <v>12/11/2014</v>
          </cell>
          <cell r="AD1255" t="str">
            <v>Good</v>
          </cell>
          <cell r="AE1255" t="str">
            <v>V3 - Added Installed Facilities (New)</v>
          </cell>
          <cell r="AF1255">
            <v>42801</v>
          </cell>
          <cell r="AG1255">
            <v>5.17</v>
          </cell>
          <cell r="AH1255" t="str">
            <v>PPM</v>
          </cell>
          <cell r="AI1255" t="str">
            <v>Strands</v>
          </cell>
          <cell r="AJ1255" t="str">
            <v>Strands PW</v>
          </cell>
          <cell r="AK1255" t="str">
            <v>SNF received. 1st batch of V3 asset (December 2020)</v>
          </cell>
        </row>
        <row r="1256">
          <cell r="A1256" t="str">
            <v>IKN400874</v>
          </cell>
          <cell r="B1256">
            <v>873</v>
          </cell>
          <cell r="C1256" t="str">
            <v>Institut Kanser Negara</v>
          </cell>
          <cell r="D1256" t="str">
            <v>KKM/IKN/H/14/91</v>
          </cell>
          <cell r="E1256" t="str">
            <v>17-950</v>
          </cell>
          <cell r="F1256" t="str">
            <v>Warming Units, Patient, Forced-Air</v>
          </cell>
          <cell r="G1256" t="str">
            <v>RT</v>
          </cell>
          <cell r="H1256" t="str">
            <v>RADIATION TREATMENT UNIT</v>
          </cell>
          <cell r="I1256" t="str">
            <v>01RT177</v>
          </cell>
          <cell r="J1256" t="str">
            <v>LINAC ROOM 4 (TOMO)</v>
          </cell>
          <cell r="K1256" t="str">
            <v>BMED</v>
          </cell>
          <cell r="L1256" t="str">
            <v>Normal</v>
          </cell>
          <cell r="M1256" t="str">
            <v>USA</v>
          </cell>
          <cell r="N1256" t="str">
            <v>Bair Hugger</v>
          </cell>
          <cell r="O1256" t="str">
            <v>Bair Hugger 775</v>
          </cell>
          <cell r="P1256" t="str">
            <v>57900</v>
          </cell>
          <cell r="Q1256" t="str">
            <v>Not Applicable</v>
          </cell>
          <cell r="R1256" t="str">
            <v>Arizant Healthcare Inc</v>
          </cell>
          <cell r="S1256" t="str">
            <v>Alam Medik Sdn. Bhd</v>
          </cell>
          <cell r="T1256" t="str">
            <v>Functioning</v>
          </cell>
          <cell r="U1256" t="str">
            <v>Asset</v>
          </cell>
          <cell r="V1256">
            <v>4950</v>
          </cell>
          <cell r="W1256" t="str">
            <v>KEW</v>
          </cell>
          <cell r="X1256" t="str">
            <v>26/09/2014</v>
          </cell>
          <cell r="Y1256" t="str">
            <v>KEW</v>
          </cell>
          <cell r="Z1256" t="str">
            <v>12/11/2014</v>
          </cell>
          <cell r="AA1256" t="str">
            <v>11/11/2015</v>
          </cell>
          <cell r="AB1256" t="str">
            <v>No</v>
          </cell>
          <cell r="AC1256" t="str">
            <v>12/11/2014</v>
          </cell>
          <cell r="AD1256" t="str">
            <v>Good</v>
          </cell>
          <cell r="AE1256" t="str">
            <v>V3 - Added Installed Facilities (New)</v>
          </cell>
          <cell r="AF1256">
            <v>42801</v>
          </cell>
          <cell r="AG1256">
            <v>5.17</v>
          </cell>
          <cell r="AH1256" t="str">
            <v>PPM</v>
          </cell>
          <cell r="AI1256" t="str">
            <v>Strands</v>
          </cell>
          <cell r="AJ1256" t="str">
            <v>Strands PW</v>
          </cell>
          <cell r="AK1256" t="str">
            <v>SNF received. 1st batch of V3 asset (December 2020)</v>
          </cell>
        </row>
        <row r="1257">
          <cell r="A1257" t="str">
            <v>IKN400875</v>
          </cell>
          <cell r="B1257">
            <v>874</v>
          </cell>
          <cell r="C1257" t="str">
            <v>Institut Kanser Negara</v>
          </cell>
          <cell r="D1257" t="str">
            <v>KKM/IKN/H/13/341</v>
          </cell>
          <cell r="E1257" t="str">
            <v>12-873</v>
          </cell>
          <cell r="F1257" t="str">
            <v>Concentrators, Oxygen</v>
          </cell>
          <cell r="G1257" t="str">
            <v>PC</v>
          </cell>
          <cell r="H1257" t="str">
            <v>PALLIATIVE CARE UNIT</v>
          </cell>
          <cell r="I1257" t="str">
            <v>04PC109</v>
          </cell>
          <cell r="J1257" t="str">
            <v>GEN. STORE</v>
          </cell>
          <cell r="K1257" t="str">
            <v>BMED</v>
          </cell>
          <cell r="L1257" t="str">
            <v>Critical</v>
          </cell>
          <cell r="M1257" t="str">
            <v>USA</v>
          </cell>
          <cell r="N1257" t="str">
            <v>EverFlo</v>
          </cell>
          <cell r="O1257" t="str">
            <v>EverFlo</v>
          </cell>
          <cell r="P1257" t="str">
            <v>0015557</v>
          </cell>
          <cell r="Q1257" t="str">
            <v>Not Applicable</v>
          </cell>
          <cell r="R1257" t="str">
            <v>Respironics</v>
          </cell>
          <cell r="S1257" t="str">
            <v>TDC Ent</v>
          </cell>
          <cell r="T1257" t="str">
            <v>Functioning</v>
          </cell>
          <cell r="U1257" t="str">
            <v>Asset</v>
          </cell>
          <cell r="V1257">
            <v>5000</v>
          </cell>
          <cell r="W1257" t="str">
            <v>KEW</v>
          </cell>
          <cell r="X1257" t="str">
            <v>11/12/2013</v>
          </cell>
          <cell r="Y1257" t="str">
            <v>KEW</v>
          </cell>
          <cell r="Z1257" t="str">
            <v>19/12/2013</v>
          </cell>
          <cell r="AA1257" t="str">
            <v>18/12/2015</v>
          </cell>
          <cell r="AB1257" t="str">
            <v>No</v>
          </cell>
          <cell r="AC1257" t="str">
            <v>19/12/2013</v>
          </cell>
          <cell r="AD1257" t="str">
            <v>Good</v>
          </cell>
          <cell r="AE1257" t="str">
            <v>V3 - Added Installed Facilities (New)</v>
          </cell>
          <cell r="AF1257">
            <v>42797</v>
          </cell>
          <cell r="AG1257">
            <v>5.92</v>
          </cell>
          <cell r="AH1257" t="str">
            <v>PPM</v>
          </cell>
          <cell r="AI1257" t="str">
            <v>Strands</v>
          </cell>
          <cell r="AJ1257" t="str">
            <v>Strands PW</v>
          </cell>
        </row>
        <row r="1258">
          <cell r="A1258" t="str">
            <v>IKN400876</v>
          </cell>
          <cell r="B1258">
            <v>875</v>
          </cell>
          <cell r="C1258" t="str">
            <v>Institut Kanser Negara</v>
          </cell>
          <cell r="D1258" t="str">
            <v>KKM/IKN/H/13/339</v>
          </cell>
          <cell r="E1258" t="str">
            <v>12-873</v>
          </cell>
          <cell r="F1258" t="str">
            <v>Concentrators, Oxygen</v>
          </cell>
          <cell r="G1258" t="str">
            <v>PC</v>
          </cell>
          <cell r="H1258" t="str">
            <v>PALLIATIVE CARE UNIT</v>
          </cell>
          <cell r="I1258" t="str">
            <v>04PC109</v>
          </cell>
          <cell r="J1258" t="str">
            <v>GEN. STORE</v>
          </cell>
          <cell r="K1258" t="str">
            <v>BMED</v>
          </cell>
          <cell r="L1258" t="str">
            <v>Critical</v>
          </cell>
          <cell r="M1258" t="str">
            <v>USA</v>
          </cell>
          <cell r="N1258" t="str">
            <v>EverFlo</v>
          </cell>
          <cell r="O1258" t="str">
            <v>EverFlo</v>
          </cell>
          <cell r="P1258" t="str">
            <v>0015517</v>
          </cell>
          <cell r="Q1258" t="str">
            <v>Not Applicable</v>
          </cell>
          <cell r="R1258" t="str">
            <v>Respironics</v>
          </cell>
          <cell r="S1258" t="str">
            <v>TDC Ent</v>
          </cell>
          <cell r="T1258" t="str">
            <v>Functioning</v>
          </cell>
          <cell r="U1258" t="str">
            <v>Asset</v>
          </cell>
          <cell r="V1258">
            <v>5000</v>
          </cell>
          <cell r="W1258" t="str">
            <v>KEW</v>
          </cell>
          <cell r="X1258" t="str">
            <v>11/12/2013</v>
          </cell>
          <cell r="Y1258" t="str">
            <v>KEW</v>
          </cell>
          <cell r="Z1258" t="str">
            <v>19/12/2013</v>
          </cell>
          <cell r="AA1258" t="str">
            <v>18/12/2015</v>
          </cell>
          <cell r="AB1258" t="str">
            <v>No</v>
          </cell>
          <cell r="AC1258" t="str">
            <v>19/12/2013</v>
          </cell>
          <cell r="AD1258" t="str">
            <v>Good</v>
          </cell>
          <cell r="AE1258" t="str">
            <v>V3 - Added Installed Facilities (New)</v>
          </cell>
          <cell r="AF1258">
            <v>42797</v>
          </cell>
          <cell r="AG1258">
            <v>5.92</v>
          </cell>
          <cell r="AH1258" t="str">
            <v>PPM</v>
          </cell>
          <cell r="AI1258" t="str">
            <v>Strands</v>
          </cell>
          <cell r="AJ1258" t="str">
            <v>Strands PW</v>
          </cell>
        </row>
        <row r="1259">
          <cell r="A1259" t="str">
            <v>IKN400877</v>
          </cell>
          <cell r="B1259">
            <v>876</v>
          </cell>
          <cell r="C1259" t="str">
            <v>Institut Kanser Negara</v>
          </cell>
          <cell r="D1259" t="str">
            <v>KKM/IKN/H/13/338</v>
          </cell>
          <cell r="E1259" t="str">
            <v>12-873</v>
          </cell>
          <cell r="F1259" t="str">
            <v>Concentrators, Oxygen</v>
          </cell>
          <cell r="G1259" t="str">
            <v>PC</v>
          </cell>
          <cell r="H1259" t="str">
            <v>PALLIATIVE CARE UNIT</v>
          </cell>
          <cell r="I1259" t="str">
            <v>04PC109</v>
          </cell>
          <cell r="J1259" t="str">
            <v>GEN. STORE</v>
          </cell>
          <cell r="K1259" t="str">
            <v>BMED</v>
          </cell>
          <cell r="L1259" t="str">
            <v>Critical</v>
          </cell>
          <cell r="M1259" t="str">
            <v>USA</v>
          </cell>
          <cell r="N1259" t="str">
            <v>EverFlo</v>
          </cell>
          <cell r="O1259" t="str">
            <v>EverFlo</v>
          </cell>
          <cell r="P1259" t="str">
            <v>0015511</v>
          </cell>
          <cell r="Q1259" t="str">
            <v>Not Applicable</v>
          </cell>
          <cell r="R1259" t="str">
            <v>Respironics</v>
          </cell>
          <cell r="S1259" t="str">
            <v>TDC Ent</v>
          </cell>
          <cell r="T1259" t="str">
            <v>Functioning</v>
          </cell>
          <cell r="U1259" t="str">
            <v>Asset</v>
          </cell>
          <cell r="V1259">
            <v>5000</v>
          </cell>
          <cell r="W1259" t="str">
            <v>KEW</v>
          </cell>
          <cell r="X1259" t="str">
            <v>11/12/2013</v>
          </cell>
          <cell r="Y1259" t="str">
            <v>KEW</v>
          </cell>
          <cell r="Z1259" t="str">
            <v>19/12/2013</v>
          </cell>
          <cell r="AA1259" t="str">
            <v>18/12/2015</v>
          </cell>
          <cell r="AB1259" t="str">
            <v>No</v>
          </cell>
          <cell r="AC1259" t="str">
            <v>19/12/2013</v>
          </cell>
          <cell r="AD1259" t="str">
            <v>Good</v>
          </cell>
          <cell r="AE1259" t="str">
            <v>V3 - Added Installed Facilities (New)</v>
          </cell>
          <cell r="AF1259">
            <v>42797</v>
          </cell>
          <cell r="AG1259">
            <v>5.92</v>
          </cell>
          <cell r="AH1259" t="str">
            <v>PPM</v>
          </cell>
          <cell r="AI1259" t="str">
            <v>Strands</v>
          </cell>
          <cell r="AJ1259" t="str">
            <v>Strands PW</v>
          </cell>
        </row>
        <row r="1260">
          <cell r="A1260" t="str">
            <v>IKN400878</v>
          </cell>
          <cell r="B1260">
            <v>877</v>
          </cell>
          <cell r="C1260" t="str">
            <v>Institut Kanser Negara</v>
          </cell>
          <cell r="D1260" t="str">
            <v>KKM/IKN/H/13/340</v>
          </cell>
          <cell r="E1260" t="str">
            <v>12-873</v>
          </cell>
          <cell r="F1260" t="str">
            <v>Concentrators, Oxygen</v>
          </cell>
          <cell r="G1260" t="str">
            <v>PC</v>
          </cell>
          <cell r="H1260" t="str">
            <v>PALLIATIVE CARE UNIT</v>
          </cell>
          <cell r="I1260" t="str">
            <v>04PC109</v>
          </cell>
          <cell r="J1260" t="str">
            <v>GEN. STORE</v>
          </cell>
          <cell r="K1260" t="str">
            <v>BMED</v>
          </cell>
          <cell r="L1260" t="str">
            <v>Critical</v>
          </cell>
          <cell r="M1260" t="str">
            <v>USA</v>
          </cell>
          <cell r="N1260" t="str">
            <v>EverFlo</v>
          </cell>
          <cell r="O1260" t="str">
            <v>EverFlo</v>
          </cell>
          <cell r="P1260" t="str">
            <v>0015553</v>
          </cell>
          <cell r="Q1260" t="str">
            <v>Not Applicable</v>
          </cell>
          <cell r="R1260" t="str">
            <v>Respironics</v>
          </cell>
          <cell r="S1260" t="str">
            <v>TDC Ent</v>
          </cell>
          <cell r="T1260" t="str">
            <v>Functioning</v>
          </cell>
          <cell r="U1260" t="str">
            <v>Asset</v>
          </cell>
          <cell r="V1260">
            <v>5000</v>
          </cell>
          <cell r="W1260" t="str">
            <v>KEW</v>
          </cell>
          <cell r="X1260" t="str">
            <v>11/12/2013</v>
          </cell>
          <cell r="Y1260" t="str">
            <v>KEW</v>
          </cell>
          <cell r="Z1260" t="str">
            <v>19/12/2013</v>
          </cell>
          <cell r="AA1260" t="str">
            <v>18/12/2015</v>
          </cell>
          <cell r="AB1260" t="str">
            <v>No</v>
          </cell>
          <cell r="AC1260" t="str">
            <v>19/12/2014</v>
          </cell>
          <cell r="AD1260" t="str">
            <v>Good</v>
          </cell>
          <cell r="AE1260" t="str">
            <v>V3 - Added Installed Facilities (New)</v>
          </cell>
          <cell r="AF1260">
            <v>42797</v>
          </cell>
          <cell r="AG1260">
            <v>5.92</v>
          </cell>
          <cell r="AH1260" t="str">
            <v>PPM</v>
          </cell>
          <cell r="AI1260" t="str">
            <v>Strands</v>
          </cell>
          <cell r="AJ1260" t="str">
            <v>Strands PW</v>
          </cell>
        </row>
        <row r="1261">
          <cell r="A1261" t="str">
            <v>IKN400879</v>
          </cell>
          <cell r="B1261">
            <v>878</v>
          </cell>
          <cell r="C1261" t="str">
            <v>Institut Kanser Negara</v>
          </cell>
          <cell r="D1261" t="str">
            <v>KKM/IKN/H/13/342</v>
          </cell>
          <cell r="E1261" t="str">
            <v>12-873</v>
          </cell>
          <cell r="F1261" t="str">
            <v>Concentrators, Oxygen</v>
          </cell>
          <cell r="G1261" t="str">
            <v>PC</v>
          </cell>
          <cell r="H1261" t="str">
            <v>PALLIATIVE CARE UNIT</v>
          </cell>
          <cell r="I1261" t="str">
            <v>04PC109</v>
          </cell>
          <cell r="J1261" t="str">
            <v>GEN. STORE</v>
          </cell>
          <cell r="K1261" t="str">
            <v>BMED</v>
          </cell>
          <cell r="L1261" t="str">
            <v>Critical</v>
          </cell>
          <cell r="M1261" t="str">
            <v>USA</v>
          </cell>
          <cell r="N1261" t="str">
            <v>EverFlo</v>
          </cell>
          <cell r="O1261" t="str">
            <v>EverFlo</v>
          </cell>
          <cell r="P1261" t="str">
            <v>0018690</v>
          </cell>
          <cell r="Q1261" t="str">
            <v>Not Applicable</v>
          </cell>
          <cell r="R1261" t="str">
            <v>Respironics</v>
          </cell>
          <cell r="S1261" t="str">
            <v>TDC Ent</v>
          </cell>
          <cell r="T1261" t="str">
            <v>Functioning</v>
          </cell>
          <cell r="U1261" t="str">
            <v>Asset</v>
          </cell>
          <cell r="V1261">
            <v>5000</v>
          </cell>
          <cell r="W1261" t="str">
            <v>KEW</v>
          </cell>
          <cell r="X1261" t="str">
            <v>11/12/2013</v>
          </cell>
          <cell r="Y1261" t="str">
            <v>KEW</v>
          </cell>
          <cell r="Z1261" t="str">
            <v>19/12/2013</v>
          </cell>
          <cell r="AA1261" t="str">
            <v>18/12/2015</v>
          </cell>
          <cell r="AB1261" t="str">
            <v>No</v>
          </cell>
          <cell r="AC1261" t="str">
            <v>19/12/2013</v>
          </cell>
          <cell r="AD1261" t="str">
            <v>Good</v>
          </cell>
          <cell r="AE1261" t="str">
            <v>V3 - Added Installed Facilities (New)</v>
          </cell>
          <cell r="AF1261">
            <v>42678</v>
          </cell>
          <cell r="AG1261">
            <v>5.92</v>
          </cell>
          <cell r="AH1261" t="str">
            <v>PPM</v>
          </cell>
          <cell r="AI1261" t="str">
            <v>Strands</v>
          </cell>
          <cell r="AJ1261" t="str">
            <v>Strands PW</v>
          </cell>
        </row>
        <row r="1262">
          <cell r="A1262" t="str">
            <v>IKN400880</v>
          </cell>
          <cell r="B1262">
            <v>879</v>
          </cell>
          <cell r="C1262" t="str">
            <v>Institut Kanser Negara</v>
          </cell>
          <cell r="D1262" t="str">
            <v>KKM/IKN/H/14/98</v>
          </cell>
          <cell r="E1262" t="str">
            <v>18-265</v>
          </cell>
          <cell r="F1262" t="str">
            <v>Centrifuges, Tabletop, Low-Speed, Refrigerated</v>
          </cell>
          <cell r="G1262" t="str">
            <v>DO</v>
          </cell>
          <cell r="H1262" t="str">
            <v>DAY ONCOLOGY UNIT</v>
          </cell>
          <cell r="I1262" t="str">
            <v>04DO114</v>
          </cell>
          <cell r="J1262" t="str">
            <v>RESEARCH</v>
          </cell>
          <cell r="K1262" t="str">
            <v>BMED</v>
          </cell>
          <cell r="L1262" t="str">
            <v>Critical</v>
          </cell>
          <cell r="M1262" t="str">
            <v>Japan</v>
          </cell>
          <cell r="N1262" t="str">
            <v>Kubota</v>
          </cell>
          <cell r="O1262" t="str">
            <v>Kubota 5500</v>
          </cell>
          <cell r="P1262" t="str">
            <v>Q60325</v>
          </cell>
          <cell r="Q1262" t="str">
            <v>Not Applicable</v>
          </cell>
          <cell r="R1262" t="str">
            <v>Kubota Corp</v>
          </cell>
          <cell r="S1262" t="str">
            <v>Bumi Jiwa Sdn. Bhd.</v>
          </cell>
          <cell r="T1262" t="str">
            <v>Functioning</v>
          </cell>
          <cell r="U1262" t="str">
            <v>Asset</v>
          </cell>
          <cell r="V1262">
            <v>35000</v>
          </cell>
          <cell r="W1262" t="str">
            <v>KEW</v>
          </cell>
          <cell r="X1262" t="str">
            <v>03/10/2014</v>
          </cell>
          <cell r="Y1262" t="str">
            <v>KEW</v>
          </cell>
          <cell r="Z1262" t="str">
            <v>27/11/2014</v>
          </cell>
          <cell r="AA1262" t="str">
            <v>26/11/2015</v>
          </cell>
          <cell r="AB1262" t="str">
            <v>No</v>
          </cell>
          <cell r="AC1262" t="str">
            <v>27/11/2014</v>
          </cell>
          <cell r="AD1262" t="str">
            <v>Good</v>
          </cell>
          <cell r="AE1262" t="str">
            <v>V3 - Added Installed Facilities (New)</v>
          </cell>
          <cell r="AF1262">
            <v>43060</v>
          </cell>
          <cell r="AG1262">
            <v>5.08</v>
          </cell>
          <cell r="AH1262" t="str">
            <v>PPM</v>
          </cell>
          <cell r="AI1262" t="str">
            <v>Strands</v>
          </cell>
          <cell r="AJ1262" t="str">
            <v>Strands PW</v>
          </cell>
          <cell r="AK1262" t="str">
            <v>SNF received. 1st batch of V3 asset (December 2020)</v>
          </cell>
        </row>
        <row r="1263">
          <cell r="A1263" t="str">
            <v>IKN400881</v>
          </cell>
          <cell r="B1263">
            <v>880</v>
          </cell>
          <cell r="C1263" t="str">
            <v>Institut Kanser Negara</v>
          </cell>
          <cell r="D1263" t="str">
            <v>KKM/IKN/H/13/1611</v>
          </cell>
          <cell r="E1263" t="str">
            <v>16-173</v>
          </cell>
          <cell r="F1263" t="str">
            <v>Sphygmomanometers, Electronic, Automatic</v>
          </cell>
          <cell r="G1263" t="str">
            <v>OC</v>
          </cell>
          <cell r="H1263" t="str">
            <v>ONCOLOGY CLINIC</v>
          </cell>
          <cell r="I1263" t="str">
            <v>03OC133</v>
          </cell>
          <cell r="J1263" t="str">
            <v>ASSESSMENT</v>
          </cell>
          <cell r="K1263" t="str">
            <v>BMED</v>
          </cell>
          <cell r="L1263" t="str">
            <v>Normal</v>
          </cell>
          <cell r="M1263" t="str">
            <v>USA</v>
          </cell>
          <cell r="N1263" t="str">
            <v>Connex</v>
          </cell>
          <cell r="O1263" t="str">
            <v>Connex ProBP 3400</v>
          </cell>
          <cell r="P1263" t="str">
            <v>100001700613</v>
          </cell>
          <cell r="Q1263" t="str">
            <v>Not Applicable</v>
          </cell>
          <cell r="R1263" t="str">
            <v>Welch Allyn Inc</v>
          </cell>
          <cell r="S1263" t="str">
            <v>Welch Allyn Malaysia Sdn Bhd</v>
          </cell>
          <cell r="T1263" t="str">
            <v>Functioning</v>
          </cell>
          <cell r="U1263" t="str">
            <v>Asset</v>
          </cell>
          <cell r="V1263">
            <v>4510</v>
          </cell>
          <cell r="W1263" t="str">
            <v>KEW</v>
          </cell>
          <cell r="X1263" t="str">
            <v>01/09/2010</v>
          </cell>
          <cell r="Y1263" t="str">
            <v>KEW</v>
          </cell>
          <cell r="Z1263" t="str">
            <v>16/08/2013</v>
          </cell>
          <cell r="AA1263" t="str">
            <v>15/08/2015</v>
          </cell>
          <cell r="AB1263" t="str">
            <v>No</v>
          </cell>
          <cell r="AC1263" t="str">
            <v>31/08/2013</v>
          </cell>
          <cell r="AD1263" t="str">
            <v>Good</v>
          </cell>
          <cell r="AE1263" t="str">
            <v>V1 - Existing / No Claim</v>
          </cell>
          <cell r="AF1263">
            <v>42235</v>
          </cell>
          <cell r="AG1263">
            <v>9.17</v>
          </cell>
          <cell r="AH1263" t="str">
            <v>PPM</v>
          </cell>
          <cell r="AI1263" t="str">
            <v>Strands</v>
          </cell>
          <cell r="AJ1263" t="str">
            <v>Strands PW</v>
          </cell>
        </row>
        <row r="1264">
          <cell r="A1264" t="str">
            <v>IKN400882</v>
          </cell>
          <cell r="B1264">
            <v>881</v>
          </cell>
          <cell r="C1264" t="str">
            <v>Institut Kanser Negara</v>
          </cell>
          <cell r="D1264" t="str">
            <v>KKM/IKN/H/13/558</v>
          </cell>
          <cell r="E1264" t="str">
            <v>16-173</v>
          </cell>
          <cell r="F1264" t="str">
            <v>Sphygmomanometers, Electronic, Automatic</v>
          </cell>
          <cell r="G1264" t="str">
            <v>OC</v>
          </cell>
          <cell r="H1264" t="str">
            <v>ONCOLOGY CLINIC</v>
          </cell>
          <cell r="I1264" t="str">
            <v>03OC133</v>
          </cell>
          <cell r="J1264" t="str">
            <v>ASSESSMENT</v>
          </cell>
          <cell r="K1264" t="str">
            <v>BMED</v>
          </cell>
          <cell r="L1264" t="str">
            <v>Critical</v>
          </cell>
          <cell r="M1264" t="str">
            <v>Mexico</v>
          </cell>
          <cell r="N1264" t="str">
            <v>Carespace</v>
          </cell>
          <cell r="O1264" t="str">
            <v>Carescape V100</v>
          </cell>
          <cell r="P1264" t="str">
            <v>SH612390055SA</v>
          </cell>
          <cell r="Q1264" t="str">
            <v>Not Applicable</v>
          </cell>
          <cell r="R1264" t="str">
            <v>GE Healthcare Systems</v>
          </cell>
          <cell r="S1264" t="str">
            <v>GE Healthcare Technologies</v>
          </cell>
          <cell r="T1264" t="str">
            <v>Functioning</v>
          </cell>
          <cell r="U1264" t="str">
            <v>Asset</v>
          </cell>
          <cell r="V1264">
            <v>7770</v>
          </cell>
          <cell r="W1264" t="str">
            <v>KEW</v>
          </cell>
          <cell r="X1264" t="str">
            <v>01/09/2010</v>
          </cell>
          <cell r="Y1264" t="str">
            <v>KEW</v>
          </cell>
          <cell r="Z1264" t="str">
            <v>16/08/2013</v>
          </cell>
          <cell r="AA1264" t="str">
            <v>15/08/2015</v>
          </cell>
          <cell r="AB1264" t="str">
            <v>No</v>
          </cell>
          <cell r="AC1264" t="str">
            <v>31/08/2013</v>
          </cell>
          <cell r="AD1264" t="str">
            <v>Good</v>
          </cell>
          <cell r="AE1264" t="str">
            <v>V1 - Existing / No Claim</v>
          </cell>
          <cell r="AF1264">
            <v>42802</v>
          </cell>
          <cell r="AG1264">
            <v>9.17</v>
          </cell>
          <cell r="AH1264" t="str">
            <v>PPM</v>
          </cell>
          <cell r="AI1264" t="str">
            <v>Strands</v>
          </cell>
          <cell r="AJ1264" t="str">
            <v>Strands PW</v>
          </cell>
        </row>
        <row r="1265">
          <cell r="A1265" t="str">
            <v>IKN400883</v>
          </cell>
          <cell r="B1265">
            <v>882</v>
          </cell>
          <cell r="C1265" t="str">
            <v>Institut Kanser Negara</v>
          </cell>
          <cell r="D1265" t="e">
            <v>#N/A</v>
          </cell>
          <cell r="E1265" t="str">
            <v>11-134</v>
          </cell>
          <cell r="F1265" t="str">
            <v>Defibrillators, External, Manual</v>
          </cell>
          <cell r="G1265" t="str">
            <v>OC</v>
          </cell>
          <cell r="H1265" t="str">
            <v>ONCOLOGY CLINIC</v>
          </cell>
          <cell r="I1265" t="str">
            <v>03OC133</v>
          </cell>
          <cell r="J1265" t="str">
            <v>ASSESSMENT</v>
          </cell>
          <cell r="K1265" t="str">
            <v>BMED</v>
          </cell>
          <cell r="L1265" t="str">
            <v>Critical</v>
          </cell>
          <cell r="M1265" t="str">
            <v>USA</v>
          </cell>
          <cell r="N1265" t="str">
            <v>Responder</v>
          </cell>
          <cell r="O1265" t="str">
            <v>Responder 2000</v>
          </cell>
          <cell r="P1265" t="str">
            <v>3206727</v>
          </cell>
          <cell r="Q1265" t="str">
            <v>Not Applicable</v>
          </cell>
          <cell r="R1265" t="str">
            <v>GE Medical Systems</v>
          </cell>
          <cell r="S1265" t="str">
            <v>Antah Sir Radin Sdn. Bhd.</v>
          </cell>
          <cell r="T1265" t="str">
            <v>Functioning</v>
          </cell>
          <cell r="U1265" t="str">
            <v>Asset</v>
          </cell>
          <cell r="V1265">
            <v>45000</v>
          </cell>
          <cell r="W1265" t="str">
            <v>Estimate</v>
          </cell>
          <cell r="X1265" t="str">
            <v>01/09/2010</v>
          </cell>
          <cell r="Y1265" t="str">
            <v>KEW</v>
          </cell>
          <cell r="Z1265" t="str">
            <v>16/08/2013</v>
          </cell>
          <cell r="AA1265" t="str">
            <v>15/08/2015</v>
          </cell>
          <cell r="AB1265" t="str">
            <v>No</v>
          </cell>
          <cell r="AC1265" t="str">
            <v>31/08/2013</v>
          </cell>
          <cell r="AD1265" t="str">
            <v>Good</v>
          </cell>
          <cell r="AE1265" t="str">
            <v>V1 - Existing / No Claim</v>
          </cell>
          <cell r="AF1265">
            <v>42605</v>
          </cell>
          <cell r="AG1265">
            <v>9.17</v>
          </cell>
          <cell r="AH1265" t="str">
            <v>PPM</v>
          </cell>
          <cell r="AI1265" t="str">
            <v>Strands</v>
          </cell>
          <cell r="AJ1265" t="str">
            <v>Strands PW</v>
          </cell>
          <cell r="AK1265" t="str">
            <v>Crash Trolley (FEMS)</v>
          </cell>
        </row>
        <row r="1266">
          <cell r="A1266" t="str">
            <v>IKN400890</v>
          </cell>
          <cell r="B1266">
            <v>889</v>
          </cell>
          <cell r="C1266" t="str">
            <v>Institut Kanser Negara</v>
          </cell>
          <cell r="D1266" t="str">
            <v>KKM/IKN/H/13/1576</v>
          </cell>
          <cell r="E1266" t="str">
            <v>12-282</v>
          </cell>
          <cell r="F1266" t="str">
            <v>Lights, Surgical</v>
          </cell>
          <cell r="G1266" t="str">
            <v>OC</v>
          </cell>
          <cell r="H1266" t="str">
            <v>ONCOLOGY CLINIC</v>
          </cell>
          <cell r="I1266" t="str">
            <v>03OC104</v>
          </cell>
          <cell r="J1266" t="str">
            <v>C/E 7</v>
          </cell>
          <cell r="K1266" t="str">
            <v>BMED</v>
          </cell>
          <cell r="L1266" t="str">
            <v>Critical</v>
          </cell>
          <cell r="M1266" t="str">
            <v>USA</v>
          </cell>
          <cell r="N1266" t="str">
            <v>Welch Allyn</v>
          </cell>
          <cell r="O1266" t="str">
            <v>Welch Allyn GS600</v>
          </cell>
          <cell r="P1266" t="str">
            <v>GS-600-19</v>
          </cell>
          <cell r="Q1266" t="str">
            <v>Not Applicable</v>
          </cell>
          <cell r="R1266" t="str">
            <v>Welch Allyn Inc</v>
          </cell>
          <cell r="S1266" t="str">
            <v>Welch Allyn Malaysia Sdn Bhd</v>
          </cell>
          <cell r="T1266" t="str">
            <v>Functioning</v>
          </cell>
          <cell r="U1266" t="str">
            <v>Asset</v>
          </cell>
          <cell r="V1266">
            <v>5050</v>
          </cell>
          <cell r="W1266" t="str">
            <v>KEW</v>
          </cell>
          <cell r="X1266" t="str">
            <v>01/09/2010</v>
          </cell>
          <cell r="Y1266" t="str">
            <v>KEW</v>
          </cell>
          <cell r="Z1266" t="str">
            <v>16/08/2013</v>
          </cell>
          <cell r="AA1266" t="str">
            <v>15/08/2015</v>
          </cell>
          <cell r="AB1266" t="str">
            <v>No</v>
          </cell>
          <cell r="AC1266" t="str">
            <v>31/08/2013</v>
          </cell>
          <cell r="AD1266" t="str">
            <v>Good</v>
          </cell>
          <cell r="AE1266" t="str">
            <v>V1 - Existing / No Claim</v>
          </cell>
          <cell r="AF1266">
            <v>42797</v>
          </cell>
          <cell r="AG1266">
            <v>9.17</v>
          </cell>
          <cell r="AH1266" t="str">
            <v>PPM</v>
          </cell>
          <cell r="AI1266" t="str">
            <v>Strands</v>
          </cell>
          <cell r="AJ1266" t="str">
            <v>Strands PW</v>
          </cell>
        </row>
        <row r="1267">
          <cell r="A1267" t="str">
            <v>IKN400891</v>
          </cell>
          <cell r="B1267">
            <v>890</v>
          </cell>
          <cell r="C1267" t="str">
            <v>Institut Kanser Negara</v>
          </cell>
          <cell r="D1267" t="str">
            <v>KKM/IKN/H/13/1359</v>
          </cell>
          <cell r="E1267" t="str">
            <v>12-282</v>
          </cell>
          <cell r="F1267" t="str">
            <v>Lights, Surgical</v>
          </cell>
          <cell r="G1267" t="str">
            <v>OC</v>
          </cell>
          <cell r="H1267" t="str">
            <v>ONCOLOGY CLINIC</v>
          </cell>
          <cell r="I1267" t="str">
            <v>03OC105</v>
          </cell>
          <cell r="J1267" t="str">
            <v>C/E 8</v>
          </cell>
          <cell r="K1267" t="str">
            <v>BMED</v>
          </cell>
          <cell r="L1267" t="str">
            <v>Critical</v>
          </cell>
          <cell r="M1267" t="str">
            <v>USA</v>
          </cell>
          <cell r="N1267" t="str">
            <v>Welch Allyn</v>
          </cell>
          <cell r="O1267" t="str">
            <v>Welch Allyn GS600</v>
          </cell>
          <cell r="P1267" t="str">
            <v>GS-600-20</v>
          </cell>
          <cell r="Q1267" t="str">
            <v>Not Applicable</v>
          </cell>
          <cell r="R1267" t="str">
            <v>Welch Allyn Inc</v>
          </cell>
          <cell r="S1267" t="str">
            <v>Welch Allyn Malaysia Sdn Bhd</v>
          </cell>
          <cell r="T1267" t="str">
            <v>Functioning</v>
          </cell>
          <cell r="U1267" t="str">
            <v>Asset</v>
          </cell>
          <cell r="V1267">
            <v>5050</v>
          </cell>
          <cell r="W1267" t="str">
            <v>KEW</v>
          </cell>
          <cell r="X1267" t="str">
            <v>01/09/2010</v>
          </cell>
          <cell r="Y1267" t="str">
            <v>KEW</v>
          </cell>
          <cell r="Z1267" t="str">
            <v>16/08/2013</v>
          </cell>
          <cell r="AA1267" t="str">
            <v>15/08/2015</v>
          </cell>
          <cell r="AB1267" t="str">
            <v>No</v>
          </cell>
          <cell r="AC1267" t="str">
            <v>31/08/2013</v>
          </cell>
          <cell r="AD1267" t="str">
            <v>Good</v>
          </cell>
          <cell r="AE1267" t="str">
            <v>V1 - Existing / No Claim</v>
          </cell>
          <cell r="AF1267">
            <v>42802</v>
          </cell>
          <cell r="AG1267">
            <v>9.17</v>
          </cell>
          <cell r="AH1267" t="str">
            <v>PPM</v>
          </cell>
          <cell r="AI1267" t="str">
            <v>Strands</v>
          </cell>
          <cell r="AJ1267" t="str">
            <v>Strands PW</v>
          </cell>
        </row>
        <row r="1268">
          <cell r="A1268" t="str">
            <v>IKN400892</v>
          </cell>
          <cell r="B1268">
            <v>891</v>
          </cell>
          <cell r="C1268" t="str">
            <v>Institut Kanser Negara</v>
          </cell>
          <cell r="D1268" t="str">
            <v>KKM/IKN/H/13/754</v>
          </cell>
          <cell r="E1268" t="str">
            <v>12-282</v>
          </cell>
          <cell r="F1268" t="str">
            <v>Lights, Surgical</v>
          </cell>
          <cell r="G1268" t="str">
            <v>OC</v>
          </cell>
          <cell r="H1268" t="str">
            <v>ONCOLOGY CLINIC</v>
          </cell>
          <cell r="I1268" t="str">
            <v>03OC106</v>
          </cell>
          <cell r="J1268" t="str">
            <v>C/E 9</v>
          </cell>
          <cell r="K1268" t="str">
            <v>BMED</v>
          </cell>
          <cell r="L1268" t="str">
            <v>Critical</v>
          </cell>
          <cell r="M1268" t="str">
            <v>USA</v>
          </cell>
          <cell r="N1268" t="str">
            <v>Welch Allyn</v>
          </cell>
          <cell r="O1268" t="str">
            <v>Welch Allyn GS600</v>
          </cell>
          <cell r="P1268" t="str">
            <v>GS-600-21</v>
          </cell>
          <cell r="Q1268" t="str">
            <v>Not Applicable</v>
          </cell>
          <cell r="R1268" t="str">
            <v>Welch Allyn Inc</v>
          </cell>
          <cell r="S1268" t="str">
            <v>Welch Allyn Malaysia Sdn Bhd</v>
          </cell>
          <cell r="T1268" t="str">
            <v>Functioning</v>
          </cell>
          <cell r="U1268" t="str">
            <v>Asset</v>
          </cell>
          <cell r="V1268">
            <v>5050</v>
          </cell>
          <cell r="W1268" t="str">
            <v>KEW</v>
          </cell>
          <cell r="X1268" t="str">
            <v>01/09/2010</v>
          </cell>
          <cell r="Y1268" t="str">
            <v>KEW</v>
          </cell>
          <cell r="Z1268" t="str">
            <v>16/08/2013</v>
          </cell>
          <cell r="AA1268" t="str">
            <v>15/08/2015</v>
          </cell>
          <cell r="AB1268" t="str">
            <v>No</v>
          </cell>
          <cell r="AC1268" t="str">
            <v>31/08/2013</v>
          </cell>
          <cell r="AD1268" t="str">
            <v>Good</v>
          </cell>
          <cell r="AE1268" t="str">
            <v>V1 - Existing / No Claim</v>
          </cell>
          <cell r="AF1268">
            <v>42802</v>
          </cell>
          <cell r="AG1268">
            <v>9.17</v>
          </cell>
          <cell r="AH1268" t="str">
            <v>PPM</v>
          </cell>
          <cell r="AI1268" t="str">
            <v>Strands</v>
          </cell>
          <cell r="AJ1268" t="str">
            <v>Strands PW</v>
          </cell>
        </row>
        <row r="1269">
          <cell r="A1269" t="str">
            <v>IKN400893</v>
          </cell>
          <cell r="B1269">
            <v>892</v>
          </cell>
          <cell r="C1269" t="str">
            <v>Institut Kanser Negara</v>
          </cell>
          <cell r="D1269" t="str">
            <v>KKM/IKN/H/13/755</v>
          </cell>
          <cell r="E1269" t="str">
            <v>12-282</v>
          </cell>
          <cell r="F1269" t="str">
            <v>Lights, Surgical</v>
          </cell>
          <cell r="G1269" t="str">
            <v>OC</v>
          </cell>
          <cell r="H1269" t="str">
            <v>ONCOLOGY CLINIC</v>
          </cell>
          <cell r="I1269" t="str">
            <v>03OC107</v>
          </cell>
          <cell r="J1269" t="str">
            <v>C/E 10</v>
          </cell>
          <cell r="K1269" t="str">
            <v>BMED</v>
          </cell>
          <cell r="L1269" t="str">
            <v>Critical</v>
          </cell>
          <cell r="M1269" t="str">
            <v>USA</v>
          </cell>
          <cell r="N1269" t="str">
            <v>Welch Allyn</v>
          </cell>
          <cell r="O1269" t="str">
            <v>Welch Allyn GS600</v>
          </cell>
          <cell r="P1269" t="str">
            <v>GS-600-22</v>
          </cell>
          <cell r="Q1269" t="str">
            <v>Not Applicable</v>
          </cell>
          <cell r="R1269" t="str">
            <v>Welch Allyn Inc</v>
          </cell>
          <cell r="S1269" t="str">
            <v>Welch Allyn Malaysia Sdn Bhd</v>
          </cell>
          <cell r="T1269" t="str">
            <v>Functioning</v>
          </cell>
          <cell r="U1269" t="str">
            <v>Asset</v>
          </cell>
          <cell r="V1269">
            <v>5050</v>
          </cell>
          <cell r="W1269" t="str">
            <v>KEW</v>
          </cell>
          <cell r="X1269" t="str">
            <v>01/09/2010</v>
          </cell>
          <cell r="Y1269" t="str">
            <v>KEW</v>
          </cell>
          <cell r="Z1269" t="str">
            <v>16/08/2013</v>
          </cell>
          <cell r="AA1269" t="str">
            <v>15/08/2015</v>
          </cell>
          <cell r="AB1269" t="str">
            <v>No</v>
          </cell>
          <cell r="AC1269" t="str">
            <v>31/08/2013</v>
          </cell>
          <cell r="AD1269" t="str">
            <v>Good</v>
          </cell>
          <cell r="AE1269" t="str">
            <v>V1 - Existing / No Claim</v>
          </cell>
          <cell r="AF1269">
            <v>42802</v>
          </cell>
          <cell r="AG1269">
            <v>9.17</v>
          </cell>
          <cell r="AH1269" t="str">
            <v>PPM</v>
          </cell>
          <cell r="AI1269" t="str">
            <v>Strands</v>
          </cell>
          <cell r="AJ1269" t="str">
            <v>Strands PW</v>
          </cell>
        </row>
        <row r="1270">
          <cell r="A1270" t="str">
            <v>IKN400894</v>
          </cell>
          <cell r="B1270">
            <v>893</v>
          </cell>
          <cell r="C1270" t="str">
            <v>Institut Kanser Negara</v>
          </cell>
          <cell r="D1270" t="str">
            <v>KKM/IKN/H/13/791</v>
          </cell>
          <cell r="E1270" t="str">
            <v>12-282</v>
          </cell>
          <cell r="F1270" t="str">
            <v>Lights, Surgical</v>
          </cell>
          <cell r="G1270" t="str">
            <v>OC</v>
          </cell>
          <cell r="H1270" t="str">
            <v>ONCOLOGY CLINIC</v>
          </cell>
          <cell r="I1270" t="str">
            <v>03OC108</v>
          </cell>
          <cell r="J1270" t="str">
            <v>C/E 11</v>
          </cell>
          <cell r="K1270" t="str">
            <v>BMED</v>
          </cell>
          <cell r="L1270" t="str">
            <v>Normal</v>
          </cell>
          <cell r="M1270" t="str">
            <v>USA</v>
          </cell>
          <cell r="N1270" t="str">
            <v>Welch Allyn</v>
          </cell>
          <cell r="O1270" t="str">
            <v>Welch Allyn GS600</v>
          </cell>
          <cell r="P1270" t="str">
            <v>GS-600-23</v>
          </cell>
          <cell r="Q1270" t="str">
            <v>Not Applicable</v>
          </cell>
          <cell r="R1270" t="str">
            <v>Welch Allyn Inc</v>
          </cell>
          <cell r="S1270" t="str">
            <v>Welch Allyn Malaysia Sdn Bhd</v>
          </cell>
          <cell r="T1270" t="str">
            <v>Functioning</v>
          </cell>
          <cell r="U1270" t="str">
            <v>Asset</v>
          </cell>
          <cell r="V1270">
            <v>5050</v>
          </cell>
          <cell r="W1270" t="str">
            <v>KEW</v>
          </cell>
          <cell r="X1270" t="str">
            <v>01/09/2010</v>
          </cell>
          <cell r="Y1270" t="str">
            <v>KEW</v>
          </cell>
          <cell r="Z1270" t="str">
            <v>16/08/2013</v>
          </cell>
          <cell r="AA1270" t="str">
            <v>15/08/2015</v>
          </cell>
          <cell r="AB1270" t="str">
            <v>No</v>
          </cell>
          <cell r="AC1270" t="str">
            <v>31/08/2013</v>
          </cell>
          <cell r="AD1270" t="str">
            <v>Good</v>
          </cell>
          <cell r="AE1270" t="str">
            <v>V1 - Existing / No Claim</v>
          </cell>
          <cell r="AF1270">
            <v>42235</v>
          </cell>
          <cell r="AG1270">
            <v>9.17</v>
          </cell>
          <cell r="AH1270" t="str">
            <v>PPM</v>
          </cell>
          <cell r="AI1270" t="str">
            <v>Strands</v>
          </cell>
          <cell r="AJ1270" t="str">
            <v>Strands PW</v>
          </cell>
        </row>
        <row r="1271">
          <cell r="A1271" t="str">
            <v>IKN400895</v>
          </cell>
          <cell r="B1271">
            <v>894</v>
          </cell>
          <cell r="C1271" t="str">
            <v>Institut Kanser Negara</v>
          </cell>
          <cell r="D1271" t="str">
            <v>KKM/IKN/H/13/756</v>
          </cell>
          <cell r="E1271" t="str">
            <v>12-282</v>
          </cell>
          <cell r="F1271" t="str">
            <v>Lights, Surgical</v>
          </cell>
          <cell r="G1271" t="str">
            <v>OC</v>
          </cell>
          <cell r="H1271" t="str">
            <v>ONCOLOGY CLINIC</v>
          </cell>
          <cell r="I1271" t="str">
            <v>03OC109</v>
          </cell>
          <cell r="J1271" t="str">
            <v>C/E 1 (VIP)</v>
          </cell>
          <cell r="K1271" t="str">
            <v>BMED</v>
          </cell>
          <cell r="L1271" t="str">
            <v>Normal</v>
          </cell>
          <cell r="M1271" t="str">
            <v>USA</v>
          </cell>
          <cell r="N1271" t="str">
            <v>Welch Allyn</v>
          </cell>
          <cell r="O1271" t="str">
            <v>Welch Allyn GS600</v>
          </cell>
          <cell r="P1271" t="str">
            <v>GS-600-24</v>
          </cell>
          <cell r="Q1271" t="str">
            <v>Not Applicable</v>
          </cell>
          <cell r="R1271" t="str">
            <v>Welch Allyn Inc</v>
          </cell>
          <cell r="S1271" t="str">
            <v>Welch Allyn Malaysia Sdn Bhd</v>
          </cell>
          <cell r="T1271" t="str">
            <v>Functioning</v>
          </cell>
          <cell r="U1271" t="str">
            <v>Asset</v>
          </cell>
          <cell r="V1271">
            <v>5050</v>
          </cell>
          <cell r="W1271" t="str">
            <v>KEW</v>
          </cell>
          <cell r="X1271" t="str">
            <v>01/09/2010</v>
          </cell>
          <cell r="Y1271" t="str">
            <v>KEW</v>
          </cell>
          <cell r="Z1271" t="str">
            <v>16/08/2013</v>
          </cell>
          <cell r="AA1271" t="str">
            <v>15/08/2015</v>
          </cell>
          <cell r="AB1271" t="str">
            <v>No</v>
          </cell>
          <cell r="AC1271" t="str">
            <v>31/08/2013</v>
          </cell>
          <cell r="AD1271" t="str">
            <v>Good</v>
          </cell>
          <cell r="AE1271" t="str">
            <v>V1 - Existing / No Claim</v>
          </cell>
          <cell r="AF1271">
            <v>42235</v>
          </cell>
          <cell r="AG1271">
            <v>9.17</v>
          </cell>
          <cell r="AH1271" t="str">
            <v>PPM</v>
          </cell>
          <cell r="AI1271" t="str">
            <v>Strands</v>
          </cell>
          <cell r="AJ1271" t="str">
            <v>Strands PW</v>
          </cell>
        </row>
        <row r="1272">
          <cell r="A1272" t="str">
            <v>IKN400896</v>
          </cell>
          <cell r="B1272">
            <v>895</v>
          </cell>
          <cell r="C1272" t="str">
            <v>Institut Kanser Negara</v>
          </cell>
          <cell r="D1272" t="str">
            <v>KKM/IKN/H/13/1361</v>
          </cell>
          <cell r="E1272" t="str">
            <v>12-282</v>
          </cell>
          <cell r="F1272" t="str">
            <v>Lights, Surgical</v>
          </cell>
          <cell r="G1272" t="str">
            <v>OC</v>
          </cell>
          <cell r="H1272" t="str">
            <v>ONCOLOGY CLINIC</v>
          </cell>
          <cell r="I1272" t="str">
            <v>03OC117</v>
          </cell>
          <cell r="J1272" t="str">
            <v>C/E 6</v>
          </cell>
          <cell r="K1272" t="str">
            <v>BMED</v>
          </cell>
          <cell r="L1272" t="str">
            <v>Critical</v>
          </cell>
          <cell r="M1272" t="str">
            <v>USA</v>
          </cell>
          <cell r="N1272" t="str">
            <v>Welch Allyn</v>
          </cell>
          <cell r="O1272" t="str">
            <v>Welch Allyn GS600</v>
          </cell>
          <cell r="P1272" t="str">
            <v>GS-600-25</v>
          </cell>
          <cell r="Q1272" t="str">
            <v>Not Applicable</v>
          </cell>
          <cell r="R1272" t="str">
            <v>Welch Allyn Inc</v>
          </cell>
          <cell r="S1272" t="str">
            <v>Welch Allyn Malaysia Sdn Bhd</v>
          </cell>
          <cell r="T1272" t="str">
            <v>Functioning</v>
          </cell>
          <cell r="U1272" t="str">
            <v>Asset</v>
          </cell>
          <cell r="V1272">
            <v>5050</v>
          </cell>
          <cell r="W1272" t="str">
            <v>KEW</v>
          </cell>
          <cell r="X1272" t="str">
            <v>01/09/2010</v>
          </cell>
          <cell r="Y1272" t="str">
            <v>KEW</v>
          </cell>
          <cell r="Z1272" t="str">
            <v>16/08/2013</v>
          </cell>
          <cell r="AA1272" t="str">
            <v>15/08/2015</v>
          </cell>
          <cell r="AB1272" t="str">
            <v>No</v>
          </cell>
          <cell r="AC1272" t="str">
            <v>31/08/2013</v>
          </cell>
          <cell r="AD1272" t="str">
            <v>Good</v>
          </cell>
          <cell r="AE1272" t="str">
            <v>V1 - Existing / No Claim</v>
          </cell>
          <cell r="AF1272">
            <v>42802</v>
          </cell>
          <cell r="AG1272">
            <v>9.17</v>
          </cell>
          <cell r="AH1272" t="str">
            <v>PPM</v>
          </cell>
          <cell r="AI1272" t="str">
            <v>Strands</v>
          </cell>
          <cell r="AJ1272" t="str">
            <v>Strands PW</v>
          </cell>
        </row>
        <row r="1273">
          <cell r="A1273" t="str">
            <v>IKN400897</v>
          </cell>
          <cell r="B1273">
            <v>896</v>
          </cell>
          <cell r="C1273" t="str">
            <v>Institut Kanser Negara</v>
          </cell>
          <cell r="D1273" t="str">
            <v>KKM/IKN/H/13/757</v>
          </cell>
          <cell r="E1273" t="str">
            <v>12-282</v>
          </cell>
          <cell r="F1273" t="str">
            <v>Lights, Surgical</v>
          </cell>
          <cell r="G1273" t="str">
            <v>OC</v>
          </cell>
          <cell r="H1273" t="str">
            <v>ONCOLOGY CLINIC</v>
          </cell>
          <cell r="I1273" t="str">
            <v>03OC118</v>
          </cell>
          <cell r="J1273" t="str">
            <v>C/E 5</v>
          </cell>
          <cell r="K1273" t="str">
            <v>BMED</v>
          </cell>
          <cell r="L1273" t="str">
            <v>Critical</v>
          </cell>
          <cell r="M1273" t="str">
            <v>USA</v>
          </cell>
          <cell r="N1273" t="str">
            <v>Welch Allyn</v>
          </cell>
          <cell r="O1273" t="str">
            <v>Welch Allyn GS600</v>
          </cell>
          <cell r="P1273" t="str">
            <v>GS-600-26</v>
          </cell>
          <cell r="Q1273" t="str">
            <v>Not Applicable</v>
          </cell>
          <cell r="R1273" t="str">
            <v>Welch Allyn Inc</v>
          </cell>
          <cell r="S1273" t="str">
            <v>Welch Allyn Malaysia Sdn Bhd</v>
          </cell>
          <cell r="T1273" t="str">
            <v>Functioning</v>
          </cell>
          <cell r="U1273" t="str">
            <v>Asset</v>
          </cell>
          <cell r="V1273">
            <v>5050</v>
          </cell>
          <cell r="W1273" t="str">
            <v>KEW</v>
          </cell>
          <cell r="X1273" t="str">
            <v>01/09/2010</v>
          </cell>
          <cell r="Y1273" t="str">
            <v>KEW</v>
          </cell>
          <cell r="Z1273" t="str">
            <v>16/08/2013</v>
          </cell>
          <cell r="AA1273" t="str">
            <v>15/08/2015</v>
          </cell>
          <cell r="AB1273" t="str">
            <v>No</v>
          </cell>
          <cell r="AC1273" t="str">
            <v>31/08/2013</v>
          </cell>
          <cell r="AD1273" t="str">
            <v>Good</v>
          </cell>
          <cell r="AE1273" t="str">
            <v>V1 - Existing / No Claim</v>
          </cell>
          <cell r="AF1273">
            <v>42802</v>
          </cell>
          <cell r="AG1273">
            <v>9.17</v>
          </cell>
          <cell r="AH1273" t="str">
            <v>PPM</v>
          </cell>
          <cell r="AI1273" t="str">
            <v>Strands</v>
          </cell>
          <cell r="AJ1273" t="str">
            <v>Strands PW</v>
          </cell>
        </row>
        <row r="1274">
          <cell r="A1274" t="str">
            <v>IKN400898</v>
          </cell>
          <cell r="B1274">
            <v>897</v>
          </cell>
          <cell r="C1274" t="str">
            <v>Institut Kanser Negara</v>
          </cell>
          <cell r="D1274" t="str">
            <v>KKM/IKN/H/13/1362</v>
          </cell>
          <cell r="E1274" t="str">
            <v>12-282</v>
          </cell>
          <cell r="F1274" t="str">
            <v>Lights, Surgical</v>
          </cell>
          <cell r="G1274" t="str">
            <v>OC</v>
          </cell>
          <cell r="H1274" t="str">
            <v>ONCOLOGY CLINIC</v>
          </cell>
          <cell r="I1274" t="str">
            <v>03OC119</v>
          </cell>
          <cell r="J1274" t="str">
            <v>C/E 4</v>
          </cell>
          <cell r="K1274" t="str">
            <v>BMED</v>
          </cell>
          <cell r="L1274" t="str">
            <v>Critical</v>
          </cell>
          <cell r="M1274" t="str">
            <v>USA</v>
          </cell>
          <cell r="N1274" t="str">
            <v>Welch Allyn</v>
          </cell>
          <cell r="O1274" t="str">
            <v>Welch Allyn GS600</v>
          </cell>
          <cell r="P1274" t="str">
            <v>GS-600-27</v>
          </cell>
          <cell r="Q1274" t="str">
            <v>Not Applicable</v>
          </cell>
          <cell r="R1274" t="str">
            <v>Welch Allyn Inc</v>
          </cell>
          <cell r="S1274" t="str">
            <v>Welch Allyn Malaysia Sdn Bhd</v>
          </cell>
          <cell r="T1274" t="str">
            <v>Functioning</v>
          </cell>
          <cell r="U1274" t="str">
            <v>Asset</v>
          </cell>
          <cell r="V1274">
            <v>5050</v>
          </cell>
          <cell r="W1274" t="str">
            <v>KEW</v>
          </cell>
          <cell r="X1274" t="str">
            <v>01/09/2010</v>
          </cell>
          <cell r="Y1274" t="str">
            <v>KEW</v>
          </cell>
          <cell r="Z1274" t="str">
            <v>16/08/2013</v>
          </cell>
          <cell r="AA1274" t="str">
            <v>15/08/2015</v>
          </cell>
          <cell r="AB1274" t="str">
            <v>No</v>
          </cell>
          <cell r="AC1274" t="str">
            <v>31/08/2013</v>
          </cell>
          <cell r="AD1274" t="str">
            <v>Good</v>
          </cell>
          <cell r="AE1274" t="str">
            <v>V1 - Existing / No Claim</v>
          </cell>
          <cell r="AF1274">
            <v>42802</v>
          </cell>
          <cell r="AG1274">
            <v>9.17</v>
          </cell>
          <cell r="AH1274" t="str">
            <v>PPM</v>
          </cell>
          <cell r="AI1274" t="str">
            <v>Strands</v>
          </cell>
          <cell r="AJ1274" t="str">
            <v>Strands PW</v>
          </cell>
        </row>
        <row r="1275">
          <cell r="A1275" t="str">
            <v>IKN400899</v>
          </cell>
          <cell r="B1275">
            <v>898</v>
          </cell>
          <cell r="C1275" t="str">
            <v>Institut Kanser Negara</v>
          </cell>
          <cell r="D1275" t="str">
            <v>KKM/IKN/H/13/758</v>
          </cell>
          <cell r="E1275" t="str">
            <v>12-282</v>
          </cell>
          <cell r="F1275" t="str">
            <v>Lights, Surgical</v>
          </cell>
          <cell r="G1275" t="str">
            <v>OC</v>
          </cell>
          <cell r="H1275" t="str">
            <v>ONCOLOGY CLINIC</v>
          </cell>
          <cell r="I1275" t="str">
            <v>03OC120</v>
          </cell>
          <cell r="J1275" t="str">
            <v>C/E 3</v>
          </cell>
          <cell r="K1275" t="str">
            <v>BMED</v>
          </cell>
          <cell r="L1275" t="str">
            <v>Critical</v>
          </cell>
          <cell r="M1275" t="str">
            <v>USA</v>
          </cell>
          <cell r="N1275" t="str">
            <v>Welch Allyn</v>
          </cell>
          <cell r="O1275" t="str">
            <v>Welch Allyn GS600</v>
          </cell>
          <cell r="P1275" t="str">
            <v>GS-600-28</v>
          </cell>
          <cell r="Q1275" t="str">
            <v>Not Applicable</v>
          </cell>
          <cell r="R1275" t="str">
            <v>Welch Allyn Inc</v>
          </cell>
          <cell r="S1275" t="str">
            <v>Welch Allyn Malaysia Sdn Bhd</v>
          </cell>
          <cell r="T1275" t="str">
            <v>Functioning</v>
          </cell>
          <cell r="U1275" t="str">
            <v>Asset</v>
          </cell>
          <cell r="V1275">
            <v>5050</v>
          </cell>
          <cell r="W1275" t="str">
            <v>KEW</v>
          </cell>
          <cell r="X1275" t="str">
            <v>01/09/2010</v>
          </cell>
          <cell r="Y1275" t="str">
            <v>KEW</v>
          </cell>
          <cell r="Z1275" t="str">
            <v>16/08/2013</v>
          </cell>
          <cell r="AA1275" t="str">
            <v>15/08/2015</v>
          </cell>
          <cell r="AB1275" t="str">
            <v>No</v>
          </cell>
          <cell r="AC1275" t="str">
            <v>31/08/2013</v>
          </cell>
          <cell r="AD1275" t="str">
            <v>Good</v>
          </cell>
          <cell r="AE1275" t="str">
            <v>V1 - Existing / No Claim</v>
          </cell>
          <cell r="AF1275">
            <v>42802</v>
          </cell>
          <cell r="AG1275">
            <v>9.17</v>
          </cell>
          <cell r="AH1275" t="str">
            <v>PPM</v>
          </cell>
          <cell r="AI1275" t="str">
            <v>Strands</v>
          </cell>
          <cell r="AJ1275" t="str">
            <v>Strands PW</v>
          </cell>
        </row>
        <row r="1276">
          <cell r="A1276" t="str">
            <v>IKN400900</v>
          </cell>
          <cell r="B1276">
            <v>899</v>
          </cell>
          <cell r="C1276" t="str">
            <v>Institut Kanser Negara</v>
          </cell>
          <cell r="D1276" t="str">
            <v>KKM/IKN/H/13/759</v>
          </cell>
          <cell r="E1276" t="str">
            <v>12-282</v>
          </cell>
          <cell r="F1276" t="str">
            <v>Lights, Surgical</v>
          </cell>
          <cell r="G1276" t="str">
            <v>OC</v>
          </cell>
          <cell r="H1276" t="str">
            <v>ONCOLOGY CLINIC</v>
          </cell>
          <cell r="I1276" t="str">
            <v>03OC121</v>
          </cell>
          <cell r="J1276" t="str">
            <v>C/E2</v>
          </cell>
          <cell r="K1276" t="str">
            <v>BMED</v>
          </cell>
          <cell r="L1276" t="str">
            <v>Critical</v>
          </cell>
          <cell r="M1276" t="str">
            <v>USA</v>
          </cell>
          <cell r="N1276" t="str">
            <v>Welch Allyn</v>
          </cell>
          <cell r="O1276" t="str">
            <v>Welch Allyn GS600</v>
          </cell>
          <cell r="P1276" t="str">
            <v>GS-600-29</v>
          </cell>
          <cell r="Q1276" t="str">
            <v>Not Applicable</v>
          </cell>
          <cell r="R1276" t="str">
            <v>Welch Allyn Inc</v>
          </cell>
          <cell r="S1276" t="str">
            <v>Welch Allyn Malaysia Sdn Bhd</v>
          </cell>
          <cell r="T1276" t="str">
            <v>Functioning</v>
          </cell>
          <cell r="U1276" t="str">
            <v>Asset</v>
          </cell>
          <cell r="V1276">
            <v>5050</v>
          </cell>
          <cell r="W1276" t="str">
            <v>KEW</v>
          </cell>
          <cell r="X1276" t="str">
            <v>01/09/2010</v>
          </cell>
          <cell r="Y1276" t="str">
            <v>KEW</v>
          </cell>
          <cell r="Z1276" t="str">
            <v>16/08/2013</v>
          </cell>
          <cell r="AA1276" t="str">
            <v>15/08/2015</v>
          </cell>
          <cell r="AB1276" t="str">
            <v>No</v>
          </cell>
          <cell r="AC1276" t="str">
            <v>31/08/2013</v>
          </cell>
          <cell r="AD1276" t="str">
            <v>Good</v>
          </cell>
          <cell r="AE1276" t="str">
            <v>V1 - Existing / No Claim</v>
          </cell>
          <cell r="AF1276">
            <v>42802</v>
          </cell>
          <cell r="AG1276">
            <v>9.17</v>
          </cell>
          <cell r="AH1276" t="str">
            <v>PPM</v>
          </cell>
          <cell r="AI1276" t="str">
            <v>Strands</v>
          </cell>
          <cell r="AJ1276" t="str">
            <v>Strands PW</v>
          </cell>
        </row>
        <row r="1277">
          <cell r="A1277" t="str">
            <v>IKN400901</v>
          </cell>
          <cell r="B1277">
            <v>900</v>
          </cell>
          <cell r="C1277" t="str">
            <v>Institut Kanser Negara</v>
          </cell>
          <cell r="D1277" t="str">
            <v>KKM/IKN/H/13/1610</v>
          </cell>
          <cell r="E1277" t="str">
            <v>15-045</v>
          </cell>
          <cell r="F1277" t="str">
            <v>Nebulizers, Nonheated</v>
          </cell>
          <cell r="G1277" t="str">
            <v>OC</v>
          </cell>
          <cell r="H1277" t="str">
            <v>ONCOLOGY CLINIC</v>
          </cell>
          <cell r="I1277" t="str">
            <v>03OC143</v>
          </cell>
          <cell r="J1277" t="str">
            <v>EQ. STORE</v>
          </cell>
          <cell r="K1277" t="str">
            <v>BMED</v>
          </cell>
          <cell r="L1277" t="str">
            <v>Normal</v>
          </cell>
          <cell r="M1277" t="str">
            <v>Germany</v>
          </cell>
          <cell r="N1277" t="str">
            <v>Pari Boy</v>
          </cell>
          <cell r="O1277" t="str">
            <v>Pari Boy SX 085</v>
          </cell>
          <cell r="P1277" t="str">
            <v>2W12F13722</v>
          </cell>
          <cell r="Q1277" t="str">
            <v>Not Applicable</v>
          </cell>
          <cell r="R1277" t="str">
            <v>Pari GmbH</v>
          </cell>
          <cell r="S1277" t="str">
            <v>Welch Allyn Malaysia Sdn Bhd</v>
          </cell>
          <cell r="T1277" t="str">
            <v>Functioning</v>
          </cell>
          <cell r="U1277" t="str">
            <v>Asset</v>
          </cell>
          <cell r="V1277">
            <v>1140</v>
          </cell>
          <cell r="W1277" t="str">
            <v>KEW</v>
          </cell>
          <cell r="X1277" t="str">
            <v>01/09/2010</v>
          </cell>
          <cell r="Y1277" t="str">
            <v>KEW</v>
          </cell>
          <cell r="Z1277" t="str">
            <v>16/08/2013</v>
          </cell>
          <cell r="AA1277" t="str">
            <v>15/08/2015</v>
          </cell>
          <cell r="AB1277" t="str">
            <v>No</v>
          </cell>
          <cell r="AC1277" t="str">
            <v>31/08/2013</v>
          </cell>
          <cell r="AD1277" t="str">
            <v>Good</v>
          </cell>
          <cell r="AE1277" t="str">
            <v>V3 - Added Installed Facilities (New)</v>
          </cell>
          <cell r="AF1277">
            <v>42802</v>
          </cell>
          <cell r="AG1277">
            <v>9.17</v>
          </cell>
          <cell r="AH1277" t="str">
            <v>PPM</v>
          </cell>
          <cell r="AI1277" t="str">
            <v>Strands</v>
          </cell>
          <cell r="AJ1277" t="str">
            <v>Strands PW</v>
          </cell>
          <cell r="AK1277" t="str">
            <v>SNF received. 1st batch of V3 asset (December 2020)</v>
          </cell>
        </row>
        <row r="1278">
          <cell r="A1278" t="str">
            <v>IKN400902</v>
          </cell>
          <cell r="B1278">
            <v>901</v>
          </cell>
          <cell r="C1278" t="str">
            <v>Institut Kanser Negara</v>
          </cell>
          <cell r="D1278" t="str">
            <v>KKM/IKN/R/13/1784</v>
          </cell>
          <cell r="E1278" t="str">
            <v>16-173</v>
          </cell>
          <cell r="F1278" t="str">
            <v>Sphygmomanometers, Electronic, Automatic</v>
          </cell>
          <cell r="G1278" t="str">
            <v>OC</v>
          </cell>
          <cell r="H1278" t="str">
            <v>ONCOLOGY CLINIC</v>
          </cell>
          <cell r="I1278" t="str">
            <v>03OC106</v>
          </cell>
          <cell r="J1278" t="str">
            <v>C/E 9</v>
          </cell>
          <cell r="K1278" t="str">
            <v>BMED</v>
          </cell>
          <cell r="L1278" t="str">
            <v>Normal</v>
          </cell>
          <cell r="M1278" t="str">
            <v>USA</v>
          </cell>
          <cell r="N1278" t="str">
            <v>Connex</v>
          </cell>
          <cell r="O1278" t="str">
            <v>Connex ProBP 3400</v>
          </cell>
          <cell r="P1278" t="str">
            <v>100003390213</v>
          </cell>
          <cell r="Q1278" t="str">
            <v>Not Applicable</v>
          </cell>
          <cell r="R1278" t="str">
            <v>Welch Allyn Inc</v>
          </cell>
          <cell r="S1278" t="str">
            <v>Welch Allyn Malaysia Sdn Bhd</v>
          </cell>
          <cell r="T1278" t="str">
            <v>Functioning</v>
          </cell>
          <cell r="U1278" t="str">
            <v>Asset</v>
          </cell>
          <cell r="V1278">
            <v>336</v>
          </cell>
          <cell r="W1278" t="str">
            <v>KEW</v>
          </cell>
          <cell r="X1278" t="str">
            <v>01/09/2010</v>
          </cell>
          <cell r="Y1278" t="str">
            <v>KEW</v>
          </cell>
          <cell r="Z1278" t="str">
            <v>16/08/2013</v>
          </cell>
          <cell r="AA1278" t="str">
            <v>15/08/2015</v>
          </cell>
          <cell r="AB1278" t="str">
            <v>No</v>
          </cell>
          <cell r="AC1278" t="str">
            <v>31/08/2013</v>
          </cell>
          <cell r="AD1278" t="str">
            <v>Good</v>
          </cell>
          <cell r="AE1278" t="str">
            <v>V3 - Added Installed Facilities (New)</v>
          </cell>
          <cell r="AF1278">
            <v>42235</v>
          </cell>
          <cell r="AG1278">
            <v>9.17</v>
          </cell>
          <cell r="AH1278" t="str">
            <v>PPM</v>
          </cell>
          <cell r="AI1278" t="str">
            <v>Not in contract</v>
          </cell>
          <cell r="AJ1278" t="str">
            <v>Proposed for V3 P2.23</v>
          </cell>
          <cell r="AK1278" t="e">
            <v>#N/A</v>
          </cell>
        </row>
        <row r="1279">
          <cell r="A1279" t="str">
            <v>IKN400903</v>
          </cell>
          <cell r="B1279">
            <v>902</v>
          </cell>
          <cell r="C1279" t="str">
            <v>Institut Kanser Negara</v>
          </cell>
          <cell r="D1279" t="str">
            <v>KKM/IKN/R/13/1783</v>
          </cell>
          <cell r="E1279" t="str">
            <v>16-173</v>
          </cell>
          <cell r="F1279" t="str">
            <v>Sphygmomanometers, Electronic, Automatic</v>
          </cell>
          <cell r="G1279" t="str">
            <v>OC</v>
          </cell>
          <cell r="H1279" t="str">
            <v>ONCOLOGY CLINIC</v>
          </cell>
          <cell r="I1279" t="str">
            <v>03OC107</v>
          </cell>
          <cell r="J1279" t="str">
            <v>C/E 10</v>
          </cell>
          <cell r="K1279" t="str">
            <v>BMED</v>
          </cell>
          <cell r="L1279" t="str">
            <v>Normal</v>
          </cell>
          <cell r="M1279" t="str">
            <v>USA</v>
          </cell>
          <cell r="N1279" t="str">
            <v>Connex</v>
          </cell>
          <cell r="O1279" t="str">
            <v>Connex ProBP 3400</v>
          </cell>
          <cell r="P1279" t="str">
            <v>100001230413</v>
          </cell>
          <cell r="Q1279" t="str">
            <v>Not Applicable</v>
          </cell>
          <cell r="R1279" t="str">
            <v>Welch Allyn Inc</v>
          </cell>
          <cell r="S1279" t="str">
            <v>Welch Allyn Malaysia Sdn Bhd</v>
          </cell>
          <cell r="T1279" t="str">
            <v>Functioning</v>
          </cell>
          <cell r="U1279" t="str">
            <v>Asset</v>
          </cell>
          <cell r="V1279">
            <v>336</v>
          </cell>
          <cell r="W1279" t="str">
            <v>KEW</v>
          </cell>
          <cell r="X1279" t="str">
            <v>01/09/2010</v>
          </cell>
          <cell r="Y1279" t="str">
            <v>KEW</v>
          </cell>
          <cell r="Z1279" t="str">
            <v>16/08/2013</v>
          </cell>
          <cell r="AA1279" t="str">
            <v>15/08/2015</v>
          </cell>
          <cell r="AB1279" t="str">
            <v>No</v>
          </cell>
          <cell r="AC1279" t="str">
            <v>31/08/2013</v>
          </cell>
          <cell r="AD1279" t="str">
            <v>Good</v>
          </cell>
          <cell r="AE1279" t="str">
            <v>V3 - Added Installed Facilities (New)</v>
          </cell>
          <cell r="AF1279">
            <v>42235</v>
          </cell>
          <cell r="AG1279">
            <v>9.17</v>
          </cell>
          <cell r="AH1279" t="str">
            <v>PPM</v>
          </cell>
          <cell r="AI1279" t="str">
            <v>Not in contract</v>
          </cell>
          <cell r="AJ1279" t="str">
            <v>Proposed for V3 P2.23</v>
          </cell>
          <cell r="AK1279" t="e">
            <v>#N/A</v>
          </cell>
        </row>
        <row r="1280">
          <cell r="A1280" t="str">
            <v>IKN400904</v>
          </cell>
          <cell r="B1280">
            <v>903</v>
          </cell>
          <cell r="C1280" t="str">
            <v>Institut Kanser Negara</v>
          </cell>
          <cell r="D1280" t="str">
            <v>KKM/IKN/R/13/1782</v>
          </cell>
          <cell r="E1280" t="str">
            <v>16-173</v>
          </cell>
          <cell r="F1280" t="str">
            <v>Sphygmomanometers, Electronic, Automatic</v>
          </cell>
          <cell r="G1280" t="str">
            <v>OC</v>
          </cell>
          <cell r="H1280" t="str">
            <v>ONCOLOGY CLINIC</v>
          </cell>
          <cell r="I1280" t="str">
            <v>03OC108</v>
          </cell>
          <cell r="J1280" t="str">
            <v>C/E 11</v>
          </cell>
          <cell r="K1280" t="str">
            <v>BMED</v>
          </cell>
          <cell r="L1280" t="str">
            <v>Normal</v>
          </cell>
          <cell r="M1280" t="str">
            <v>USA</v>
          </cell>
          <cell r="N1280" t="str">
            <v>Connex</v>
          </cell>
          <cell r="O1280" t="str">
            <v>Connex ProBP 3400</v>
          </cell>
          <cell r="P1280" t="str">
            <v>100003240213</v>
          </cell>
          <cell r="Q1280" t="str">
            <v>Not Applicable</v>
          </cell>
          <cell r="R1280" t="str">
            <v>Welch Allyn Inc</v>
          </cell>
          <cell r="S1280" t="str">
            <v>Welch Allyn Malaysia Sdn Bhd</v>
          </cell>
          <cell r="T1280" t="str">
            <v>Functioning</v>
          </cell>
          <cell r="U1280" t="str">
            <v>Asset</v>
          </cell>
          <cell r="V1280">
            <v>336</v>
          </cell>
          <cell r="W1280" t="str">
            <v>KEW</v>
          </cell>
          <cell r="X1280" t="str">
            <v>01/09/2010</v>
          </cell>
          <cell r="Y1280" t="str">
            <v>KEW</v>
          </cell>
          <cell r="Z1280" t="str">
            <v>16/08/2013</v>
          </cell>
          <cell r="AA1280" t="str">
            <v>15/08/2015</v>
          </cell>
          <cell r="AB1280" t="str">
            <v>No</v>
          </cell>
          <cell r="AC1280" t="str">
            <v>31/08/2013</v>
          </cell>
          <cell r="AD1280" t="str">
            <v>Good</v>
          </cell>
          <cell r="AE1280" t="str">
            <v>V3 - Added Installed Facilities (New)</v>
          </cell>
          <cell r="AF1280">
            <v>42235</v>
          </cell>
          <cell r="AG1280">
            <v>9.17</v>
          </cell>
          <cell r="AH1280" t="str">
            <v>PPM</v>
          </cell>
          <cell r="AI1280" t="str">
            <v>Not in contract</v>
          </cell>
          <cell r="AJ1280" t="str">
            <v>Proposed for V3 P2.23</v>
          </cell>
          <cell r="AK1280" t="e">
            <v>#N/A</v>
          </cell>
        </row>
        <row r="1281">
          <cell r="A1281" t="str">
            <v>IKN400905</v>
          </cell>
          <cell r="B1281">
            <v>904</v>
          </cell>
          <cell r="C1281" t="str">
            <v>Institut Kanser Negara</v>
          </cell>
          <cell r="D1281" t="str">
            <v>KKM/IKN/R/13/1781</v>
          </cell>
          <cell r="E1281" t="str">
            <v>16-173</v>
          </cell>
          <cell r="F1281" t="str">
            <v>Sphygmomanometers, Electronic, Automatic</v>
          </cell>
          <cell r="G1281" t="str">
            <v>OC</v>
          </cell>
          <cell r="H1281" t="str">
            <v>ONCOLOGY CLINIC</v>
          </cell>
          <cell r="I1281" t="str">
            <v>03OC109</v>
          </cell>
          <cell r="J1281" t="str">
            <v>C/E 1 (VIP)</v>
          </cell>
          <cell r="K1281" t="str">
            <v>BMED</v>
          </cell>
          <cell r="L1281" t="str">
            <v>Normal</v>
          </cell>
          <cell r="M1281" t="str">
            <v>USA</v>
          </cell>
          <cell r="N1281" t="str">
            <v>Connex</v>
          </cell>
          <cell r="O1281" t="str">
            <v>Connex ProBP 3400</v>
          </cell>
          <cell r="P1281" t="str">
            <v>100003400213</v>
          </cell>
          <cell r="Q1281" t="str">
            <v>Not Applicable</v>
          </cell>
          <cell r="R1281" t="str">
            <v>Welch Allyn Inc</v>
          </cell>
          <cell r="S1281" t="str">
            <v>Welch Allyn Malaysia Sdn Bhd</v>
          </cell>
          <cell r="T1281" t="str">
            <v>Functioning</v>
          </cell>
          <cell r="U1281" t="str">
            <v>Asset</v>
          </cell>
          <cell r="V1281">
            <v>336</v>
          </cell>
          <cell r="W1281" t="str">
            <v>KEW</v>
          </cell>
          <cell r="X1281" t="str">
            <v>01/09/2010</v>
          </cell>
          <cell r="Y1281" t="str">
            <v>KEW</v>
          </cell>
          <cell r="Z1281" t="str">
            <v>16/08/2013</v>
          </cell>
          <cell r="AA1281" t="str">
            <v>15/08/2015</v>
          </cell>
          <cell r="AB1281" t="str">
            <v>No</v>
          </cell>
          <cell r="AC1281" t="str">
            <v>31/08/2013</v>
          </cell>
          <cell r="AD1281" t="str">
            <v>Good</v>
          </cell>
          <cell r="AE1281" t="str">
            <v>V3 - Added Installed Facilities (New)</v>
          </cell>
          <cell r="AF1281">
            <v>42235</v>
          </cell>
          <cell r="AG1281">
            <v>9.17</v>
          </cell>
          <cell r="AH1281" t="str">
            <v>PPM</v>
          </cell>
          <cell r="AI1281" t="str">
            <v>Not in contract</v>
          </cell>
          <cell r="AJ1281" t="str">
            <v>Proposed for V3 P2.23</v>
          </cell>
          <cell r="AK1281" t="e">
            <v>#N/A</v>
          </cell>
        </row>
        <row r="1282">
          <cell r="A1282" t="str">
            <v>IKN400906</v>
          </cell>
          <cell r="B1282">
            <v>905</v>
          </cell>
          <cell r="C1282" t="str">
            <v>Institut Kanser Negara</v>
          </cell>
          <cell r="D1282" t="str">
            <v>KKM/IKN/R/13/1780</v>
          </cell>
          <cell r="E1282" t="str">
            <v>16-173</v>
          </cell>
          <cell r="F1282" t="str">
            <v>Sphygmomanometers, Electronic, Automatic</v>
          </cell>
          <cell r="G1282" t="str">
            <v>OC</v>
          </cell>
          <cell r="H1282" t="str">
            <v>ONCOLOGY CLINIC</v>
          </cell>
          <cell r="I1282" t="str">
            <v>03OC117</v>
          </cell>
          <cell r="J1282" t="str">
            <v>C/E 6</v>
          </cell>
          <cell r="K1282" t="str">
            <v>BMED</v>
          </cell>
          <cell r="L1282" t="str">
            <v>Normal</v>
          </cell>
          <cell r="M1282" t="str">
            <v>USA</v>
          </cell>
          <cell r="N1282" t="str">
            <v>Connex</v>
          </cell>
          <cell r="O1282" t="str">
            <v>Connex ProBP 3400</v>
          </cell>
          <cell r="P1282" t="str">
            <v>100004621213</v>
          </cell>
          <cell r="Q1282" t="str">
            <v>Not Applicable</v>
          </cell>
          <cell r="R1282" t="str">
            <v>Welch Allyn Inc</v>
          </cell>
          <cell r="S1282" t="str">
            <v>Welch Allyn Malaysia Sdn Bhd</v>
          </cell>
          <cell r="T1282" t="str">
            <v>Functioning</v>
          </cell>
          <cell r="U1282" t="str">
            <v>Asset</v>
          </cell>
          <cell r="V1282">
            <v>336</v>
          </cell>
          <cell r="W1282" t="str">
            <v>KEW</v>
          </cell>
          <cell r="X1282" t="str">
            <v>01/09/2010</v>
          </cell>
          <cell r="Y1282" t="str">
            <v>KEW</v>
          </cell>
          <cell r="Z1282" t="str">
            <v>16/08/2013</v>
          </cell>
          <cell r="AA1282" t="str">
            <v>15/08/2015</v>
          </cell>
          <cell r="AB1282" t="str">
            <v>No</v>
          </cell>
          <cell r="AC1282" t="str">
            <v>31/08/2013</v>
          </cell>
          <cell r="AD1282" t="str">
            <v>Good</v>
          </cell>
          <cell r="AE1282" t="str">
            <v>V3 - Added Installed Facilities (New)</v>
          </cell>
          <cell r="AF1282">
            <v>42235</v>
          </cell>
          <cell r="AG1282">
            <v>9.17</v>
          </cell>
          <cell r="AH1282" t="str">
            <v>PPM</v>
          </cell>
          <cell r="AI1282" t="str">
            <v>Not in contract</v>
          </cell>
          <cell r="AJ1282" t="str">
            <v>Proposed for V3 P2.23</v>
          </cell>
          <cell r="AK1282" t="e">
            <v>#N/A</v>
          </cell>
        </row>
        <row r="1283">
          <cell r="A1283" t="str">
            <v>IKN400907</v>
          </cell>
          <cell r="B1283">
            <v>906</v>
          </cell>
          <cell r="C1283" t="str">
            <v>Institut Kanser Negara</v>
          </cell>
          <cell r="D1283" t="str">
            <v>KKM/IKN/R/13/1779</v>
          </cell>
          <cell r="E1283" t="str">
            <v>16-173</v>
          </cell>
          <cell r="F1283" t="str">
            <v>Sphygmomanometers, Electronic, Automatic</v>
          </cell>
          <cell r="G1283" t="str">
            <v>OC</v>
          </cell>
          <cell r="H1283" t="str">
            <v>ONCOLOGY CLINIC</v>
          </cell>
          <cell r="I1283" t="str">
            <v>03OC118</v>
          </cell>
          <cell r="J1283" t="str">
            <v>C/E 5</v>
          </cell>
          <cell r="K1283" t="str">
            <v>BMED</v>
          </cell>
          <cell r="L1283" t="str">
            <v>Normal</v>
          </cell>
          <cell r="M1283" t="str">
            <v>USA</v>
          </cell>
          <cell r="N1283" t="str">
            <v>Connex</v>
          </cell>
          <cell r="O1283" t="str">
            <v>Connex ProBP 3400</v>
          </cell>
          <cell r="P1283" t="str">
            <v>100003030213</v>
          </cell>
          <cell r="Q1283" t="str">
            <v>Not Applicable</v>
          </cell>
          <cell r="R1283" t="str">
            <v>Welch Allyn Inc</v>
          </cell>
          <cell r="S1283" t="str">
            <v>Welch Allyn Malaysia Sdn Bhd</v>
          </cell>
          <cell r="T1283" t="str">
            <v>Functioning</v>
          </cell>
          <cell r="U1283" t="str">
            <v>Asset</v>
          </cell>
          <cell r="V1283">
            <v>336</v>
          </cell>
          <cell r="W1283" t="str">
            <v>KEW</v>
          </cell>
          <cell r="X1283" t="str">
            <v>01/09/2010</v>
          </cell>
          <cell r="Y1283" t="str">
            <v>KEW</v>
          </cell>
          <cell r="Z1283" t="str">
            <v>16/08/2013</v>
          </cell>
          <cell r="AA1283" t="str">
            <v>15/08/2015</v>
          </cell>
          <cell r="AB1283" t="str">
            <v>No</v>
          </cell>
          <cell r="AC1283" t="str">
            <v>31/08/2013</v>
          </cell>
          <cell r="AD1283" t="str">
            <v>Good</v>
          </cell>
          <cell r="AE1283" t="str">
            <v>V3 - Added Installed Facilities (New)</v>
          </cell>
          <cell r="AF1283">
            <v>42235</v>
          </cell>
          <cell r="AG1283">
            <v>9.17</v>
          </cell>
          <cell r="AH1283" t="str">
            <v>PPM</v>
          </cell>
          <cell r="AI1283" t="str">
            <v>Not in contract</v>
          </cell>
          <cell r="AJ1283" t="str">
            <v>Proposed for V3 P2.23</v>
          </cell>
          <cell r="AK1283" t="e">
            <v>#N/A</v>
          </cell>
        </row>
        <row r="1284">
          <cell r="A1284" t="str">
            <v>IKN400908</v>
          </cell>
          <cell r="B1284">
            <v>907</v>
          </cell>
          <cell r="C1284" t="str">
            <v>Institut Kanser Negara</v>
          </cell>
          <cell r="D1284" t="str">
            <v>KKM/IKN/R/13/1778</v>
          </cell>
          <cell r="E1284" t="str">
            <v>16-173</v>
          </cell>
          <cell r="F1284" t="str">
            <v>Sphygmomanometers, Electronic, Automatic</v>
          </cell>
          <cell r="G1284" t="str">
            <v>OC</v>
          </cell>
          <cell r="H1284" t="str">
            <v>ONCOLOGY CLINIC</v>
          </cell>
          <cell r="I1284" t="str">
            <v>03OC119</v>
          </cell>
          <cell r="J1284" t="str">
            <v>C/E 4</v>
          </cell>
          <cell r="K1284" t="str">
            <v>BMED</v>
          </cell>
          <cell r="L1284" t="str">
            <v>Normal</v>
          </cell>
          <cell r="M1284" t="str">
            <v>USA</v>
          </cell>
          <cell r="N1284" t="str">
            <v>Connex</v>
          </cell>
          <cell r="O1284" t="str">
            <v>Connex ProBP 3400</v>
          </cell>
          <cell r="P1284" t="str">
            <v>100000120413</v>
          </cell>
          <cell r="Q1284" t="str">
            <v>Not Applicable</v>
          </cell>
          <cell r="R1284" t="str">
            <v>Welch Allyn Inc</v>
          </cell>
          <cell r="S1284" t="str">
            <v>Welch Allyn Malaysia Sdn Bhd</v>
          </cell>
          <cell r="T1284" t="str">
            <v>Functioning</v>
          </cell>
          <cell r="U1284" t="str">
            <v>Asset</v>
          </cell>
          <cell r="V1284">
            <v>336</v>
          </cell>
          <cell r="W1284" t="str">
            <v>KEW</v>
          </cell>
          <cell r="X1284" t="str">
            <v>01/09/2010</v>
          </cell>
          <cell r="Y1284" t="str">
            <v>KEW</v>
          </cell>
          <cell r="Z1284" t="str">
            <v>16/08/2013</v>
          </cell>
          <cell r="AA1284" t="str">
            <v>15/08/2015</v>
          </cell>
          <cell r="AB1284" t="str">
            <v>No</v>
          </cell>
          <cell r="AC1284" t="str">
            <v>31/08/2013</v>
          </cell>
          <cell r="AD1284" t="str">
            <v>Good</v>
          </cell>
          <cell r="AE1284" t="str">
            <v>V3 - Added Installed Facilities (New)</v>
          </cell>
          <cell r="AF1284">
            <v>42235</v>
          </cell>
          <cell r="AG1284">
            <v>9.17</v>
          </cell>
          <cell r="AH1284" t="str">
            <v>PPM</v>
          </cell>
          <cell r="AI1284" t="str">
            <v>Not in contract</v>
          </cell>
          <cell r="AJ1284" t="str">
            <v>Proposed for V3 P2.23</v>
          </cell>
          <cell r="AK1284" t="e">
            <v>#N/A</v>
          </cell>
        </row>
        <row r="1285">
          <cell r="A1285" t="str">
            <v>IKN400909</v>
          </cell>
          <cell r="B1285">
            <v>908</v>
          </cell>
          <cell r="C1285" t="str">
            <v>Institut Kanser Negara</v>
          </cell>
          <cell r="D1285" t="str">
            <v>KKM/IKN/R/13/1777</v>
          </cell>
          <cell r="E1285" t="str">
            <v>16-173</v>
          </cell>
          <cell r="F1285" t="str">
            <v>Sphygmomanometers, Electronic, Automatic</v>
          </cell>
          <cell r="G1285" t="str">
            <v>OC</v>
          </cell>
          <cell r="H1285" t="str">
            <v>ONCOLOGY CLINIC</v>
          </cell>
          <cell r="I1285" t="str">
            <v>03OC120</v>
          </cell>
          <cell r="J1285" t="str">
            <v>C/E 3</v>
          </cell>
          <cell r="K1285" t="str">
            <v>BMED</v>
          </cell>
          <cell r="L1285" t="str">
            <v>Normal</v>
          </cell>
          <cell r="M1285" t="str">
            <v>USA</v>
          </cell>
          <cell r="N1285" t="str">
            <v>Connex</v>
          </cell>
          <cell r="O1285" t="str">
            <v>Connex ProBP 3400</v>
          </cell>
          <cell r="P1285" t="str">
            <v>100001530413</v>
          </cell>
          <cell r="Q1285" t="str">
            <v>Not Applicable</v>
          </cell>
          <cell r="R1285" t="str">
            <v>Welch Allyn Inc</v>
          </cell>
          <cell r="S1285" t="str">
            <v>Welch Allyn Malaysia Sdn Bhd</v>
          </cell>
          <cell r="T1285" t="str">
            <v>Functioning</v>
          </cell>
          <cell r="U1285" t="str">
            <v>Asset</v>
          </cell>
          <cell r="V1285">
            <v>336</v>
          </cell>
          <cell r="W1285" t="str">
            <v>KEW</v>
          </cell>
          <cell r="X1285" t="str">
            <v>01/09/2010</v>
          </cell>
          <cell r="Y1285" t="str">
            <v>KEW</v>
          </cell>
          <cell r="Z1285" t="str">
            <v>16/08/2013</v>
          </cell>
          <cell r="AA1285" t="str">
            <v>15/08/2015</v>
          </cell>
          <cell r="AB1285" t="str">
            <v>No</v>
          </cell>
          <cell r="AC1285" t="str">
            <v>31/08/2013</v>
          </cell>
          <cell r="AD1285" t="str">
            <v>Good</v>
          </cell>
          <cell r="AE1285" t="str">
            <v>V3 - Added Installed Facilities (New)</v>
          </cell>
          <cell r="AF1285">
            <v>42235</v>
          </cell>
          <cell r="AG1285">
            <v>9.17</v>
          </cell>
          <cell r="AH1285" t="str">
            <v>PPM</v>
          </cell>
          <cell r="AI1285" t="str">
            <v>Not in contract</v>
          </cell>
          <cell r="AJ1285" t="str">
            <v>Proposed for V3 P2.23</v>
          </cell>
          <cell r="AK1285" t="e">
            <v>#N/A</v>
          </cell>
        </row>
        <row r="1286">
          <cell r="A1286" t="str">
            <v>IKN400910</v>
          </cell>
          <cell r="B1286">
            <v>909</v>
          </cell>
          <cell r="C1286" t="str">
            <v>Institut Kanser Negara</v>
          </cell>
          <cell r="D1286" t="str">
            <v>KKM/IKN/R/13/1776</v>
          </cell>
          <cell r="E1286" t="str">
            <v>16-173</v>
          </cell>
          <cell r="F1286" t="str">
            <v>Sphygmomanometers, Electronic, Automatic</v>
          </cell>
          <cell r="G1286" t="str">
            <v>OC</v>
          </cell>
          <cell r="H1286" t="str">
            <v>ONCOLOGY CLINIC</v>
          </cell>
          <cell r="I1286" t="str">
            <v>03OC121</v>
          </cell>
          <cell r="J1286" t="str">
            <v>C/E2</v>
          </cell>
          <cell r="K1286" t="str">
            <v>BMED</v>
          </cell>
          <cell r="L1286" t="str">
            <v>Normal</v>
          </cell>
          <cell r="M1286" t="str">
            <v>USA</v>
          </cell>
          <cell r="N1286" t="str">
            <v>Connex</v>
          </cell>
          <cell r="O1286" t="str">
            <v>Connex ProBP 3400</v>
          </cell>
          <cell r="P1286" t="str">
            <v>100002940213</v>
          </cell>
          <cell r="Q1286" t="str">
            <v>Not Applicable</v>
          </cell>
          <cell r="R1286" t="str">
            <v>Welch Allyn Inc</v>
          </cell>
          <cell r="S1286" t="str">
            <v>Welch Allyn Malaysia Sdn Bhd</v>
          </cell>
          <cell r="T1286" t="str">
            <v>Functioning</v>
          </cell>
          <cell r="U1286" t="str">
            <v>Asset</v>
          </cell>
          <cell r="V1286">
            <v>336</v>
          </cell>
          <cell r="W1286" t="str">
            <v>KEW</v>
          </cell>
          <cell r="X1286" t="str">
            <v>01/09/2010</v>
          </cell>
          <cell r="Y1286" t="str">
            <v>KEW</v>
          </cell>
          <cell r="Z1286" t="str">
            <v>16/08/2013</v>
          </cell>
          <cell r="AA1286" t="str">
            <v>15/08/2015</v>
          </cell>
          <cell r="AB1286" t="str">
            <v>No</v>
          </cell>
          <cell r="AC1286" t="str">
            <v>31/08/2013</v>
          </cell>
          <cell r="AD1286" t="str">
            <v>Good</v>
          </cell>
          <cell r="AE1286" t="str">
            <v>V3 - Added Installed Facilities (New)</v>
          </cell>
          <cell r="AF1286">
            <v>42235</v>
          </cell>
          <cell r="AG1286">
            <v>9.17</v>
          </cell>
          <cell r="AH1286" t="str">
            <v>PPM</v>
          </cell>
          <cell r="AI1286" t="str">
            <v>Not in contract</v>
          </cell>
          <cell r="AJ1286" t="str">
            <v>Proposed for V3 P2.23</v>
          </cell>
          <cell r="AK1286" t="e">
            <v>#N/A</v>
          </cell>
        </row>
        <row r="1287">
          <cell r="A1287" t="str">
            <v>IKN400914</v>
          </cell>
          <cell r="B1287">
            <v>913</v>
          </cell>
          <cell r="C1287" t="str">
            <v>Institut Kanser Negara</v>
          </cell>
          <cell r="D1287" t="str">
            <v>KKM/IKN/H/13/560</v>
          </cell>
          <cell r="E1287" t="str">
            <v>10-208</v>
          </cell>
          <cell r="F1287" t="str">
            <v>Aspirators</v>
          </cell>
          <cell r="G1287" t="str">
            <v>OC</v>
          </cell>
          <cell r="H1287" t="str">
            <v>ONCOLOGY CLINIC</v>
          </cell>
          <cell r="I1287" t="str">
            <v>03OC135</v>
          </cell>
          <cell r="J1287" t="str">
            <v>TREATMENT 1</v>
          </cell>
          <cell r="K1287" t="str">
            <v>BMED</v>
          </cell>
          <cell r="L1287" t="str">
            <v>Critical</v>
          </cell>
          <cell r="M1287" t="str">
            <v>Switzerland</v>
          </cell>
          <cell r="N1287" t="str">
            <v>Senator</v>
          </cell>
          <cell r="O1287" t="str">
            <v>Senator</v>
          </cell>
          <cell r="P1287" t="str">
            <v>1220744</v>
          </cell>
          <cell r="Q1287" t="str">
            <v>Not Applicable</v>
          </cell>
          <cell r="R1287" t="str">
            <v>Ardo Medical AG</v>
          </cell>
          <cell r="S1287" t="str">
            <v>Histopoint</v>
          </cell>
          <cell r="T1287" t="str">
            <v>Functioning</v>
          </cell>
          <cell r="U1287" t="str">
            <v>Asset</v>
          </cell>
          <cell r="V1287">
            <v>5052</v>
          </cell>
          <cell r="W1287" t="str">
            <v>KEW</v>
          </cell>
          <cell r="X1287" t="str">
            <v>01/09/2010</v>
          </cell>
          <cell r="Y1287" t="str">
            <v>KEW</v>
          </cell>
          <cell r="Z1287" t="str">
            <v>16/08/2013</v>
          </cell>
          <cell r="AA1287" t="str">
            <v>15/08/2015</v>
          </cell>
          <cell r="AB1287" t="str">
            <v>No</v>
          </cell>
          <cell r="AC1287" t="str">
            <v>31/08/2013</v>
          </cell>
          <cell r="AD1287" t="str">
            <v>Good</v>
          </cell>
          <cell r="AE1287" t="str">
            <v>V1 - Existing / No Claim</v>
          </cell>
          <cell r="AF1287">
            <v>42802</v>
          </cell>
          <cell r="AG1287">
            <v>9.17</v>
          </cell>
          <cell r="AH1287" t="str">
            <v>PPM</v>
          </cell>
          <cell r="AI1287" t="str">
            <v>Strands</v>
          </cell>
          <cell r="AJ1287" t="str">
            <v>Strands PW</v>
          </cell>
        </row>
        <row r="1288">
          <cell r="A1288" t="str">
            <v>IKN400915</v>
          </cell>
          <cell r="B1288">
            <v>914</v>
          </cell>
          <cell r="C1288" t="str">
            <v>Institut Kanser Negara</v>
          </cell>
          <cell r="D1288" t="str">
            <v>KKM/IKN/H/13/798</v>
          </cell>
          <cell r="E1288" t="str">
            <v>10-208</v>
          </cell>
          <cell r="F1288" t="str">
            <v>Aspirators</v>
          </cell>
          <cell r="G1288" t="str">
            <v>OC</v>
          </cell>
          <cell r="H1288" t="str">
            <v>ONCOLOGY CLINIC</v>
          </cell>
          <cell r="I1288" t="str">
            <v>03OC136</v>
          </cell>
          <cell r="J1288" t="str">
            <v>TREATMENT 2</v>
          </cell>
          <cell r="K1288" t="str">
            <v>BMED</v>
          </cell>
          <cell r="L1288" t="str">
            <v>Critical</v>
          </cell>
          <cell r="M1288" t="str">
            <v>Switzerland</v>
          </cell>
          <cell r="N1288" t="str">
            <v>Senator</v>
          </cell>
          <cell r="O1288" t="str">
            <v>Senator</v>
          </cell>
          <cell r="P1288" t="str">
            <v>1320188</v>
          </cell>
          <cell r="Q1288" t="str">
            <v>Not Applicable</v>
          </cell>
          <cell r="R1288" t="str">
            <v>Ardo Medical AG</v>
          </cell>
          <cell r="S1288" t="str">
            <v>Histopoint</v>
          </cell>
          <cell r="T1288" t="str">
            <v>Functioning</v>
          </cell>
          <cell r="U1288" t="str">
            <v>Asset</v>
          </cell>
          <cell r="V1288">
            <v>5052</v>
          </cell>
          <cell r="W1288" t="str">
            <v>KEW</v>
          </cell>
          <cell r="X1288" t="str">
            <v>01/09/2010</v>
          </cell>
          <cell r="Y1288" t="str">
            <v>KEW</v>
          </cell>
          <cell r="Z1288" t="str">
            <v>16/08/2013</v>
          </cell>
          <cell r="AA1288" t="str">
            <v>15/08/2015</v>
          </cell>
          <cell r="AB1288" t="str">
            <v>No</v>
          </cell>
          <cell r="AC1288" t="str">
            <v>31/08/2013</v>
          </cell>
          <cell r="AD1288" t="str">
            <v>Good</v>
          </cell>
          <cell r="AE1288" t="str">
            <v>V1 - Existing / No Claim</v>
          </cell>
          <cell r="AF1288">
            <v>42802</v>
          </cell>
          <cell r="AG1288">
            <v>9.17</v>
          </cell>
          <cell r="AH1288" t="str">
            <v>PPM</v>
          </cell>
          <cell r="AI1288" t="str">
            <v>Strands</v>
          </cell>
          <cell r="AJ1288" t="str">
            <v>Strands PW</v>
          </cell>
        </row>
        <row r="1289">
          <cell r="A1289" t="str">
            <v>IKN400916</v>
          </cell>
          <cell r="B1289">
            <v>915</v>
          </cell>
          <cell r="C1289" t="str">
            <v>Institut Kanser Negara</v>
          </cell>
          <cell r="D1289" t="str">
            <v>KKM/IKN/I/13/7267</v>
          </cell>
          <cell r="E1289" t="str">
            <v>17-148</v>
          </cell>
          <cell r="F1289" t="str">
            <v>Oximeters, Pulse</v>
          </cell>
          <cell r="G1289" t="str">
            <v>OC</v>
          </cell>
          <cell r="H1289" t="str">
            <v>ONCOLOGY CLINIC</v>
          </cell>
          <cell r="I1289" t="str">
            <v>03OC133</v>
          </cell>
          <cell r="J1289" t="str">
            <v>ASSESSMENT</v>
          </cell>
          <cell r="K1289" t="str">
            <v>BMED</v>
          </cell>
          <cell r="L1289" t="str">
            <v>Critical</v>
          </cell>
          <cell r="M1289" t="str">
            <v>Finland</v>
          </cell>
          <cell r="N1289" t="str">
            <v>Trusat</v>
          </cell>
          <cell r="O1289" t="str">
            <v>Trusat</v>
          </cell>
          <cell r="P1289" t="str">
            <v>FCC12430004SA</v>
          </cell>
          <cell r="Q1289" t="str">
            <v>Not Applicable</v>
          </cell>
          <cell r="R1289" t="str">
            <v>GE Healthcare Systems</v>
          </cell>
          <cell r="S1289" t="str">
            <v>GE Healthcare Technologies</v>
          </cell>
          <cell r="T1289" t="str">
            <v>Functioning</v>
          </cell>
          <cell r="U1289" t="str">
            <v>Asset</v>
          </cell>
          <cell r="V1289">
            <v>280</v>
          </cell>
          <cell r="W1289" t="str">
            <v>KEW</v>
          </cell>
          <cell r="X1289" t="str">
            <v>01/09/2010</v>
          </cell>
          <cell r="Y1289" t="str">
            <v>KEW</v>
          </cell>
          <cell r="Z1289" t="str">
            <v>16/08/2013</v>
          </cell>
          <cell r="AA1289" t="str">
            <v>15/08/2015</v>
          </cell>
          <cell r="AB1289" t="str">
            <v>No</v>
          </cell>
          <cell r="AC1289" t="str">
            <v>31/08/2013</v>
          </cell>
          <cell r="AD1289" t="str">
            <v>Good</v>
          </cell>
          <cell r="AE1289" t="str">
            <v>V1 - Existing / No Claim</v>
          </cell>
          <cell r="AF1289">
            <v>42633</v>
          </cell>
          <cell r="AG1289">
            <v>9.17</v>
          </cell>
          <cell r="AH1289" t="str">
            <v>PPM</v>
          </cell>
          <cell r="AI1289" t="str">
            <v>Not in contract</v>
          </cell>
          <cell r="AJ1289" t="e">
            <v>#REF!</v>
          </cell>
          <cell r="AK1289" t="e">
            <v>#N/A</v>
          </cell>
        </row>
        <row r="1290">
          <cell r="A1290" t="str">
            <v>IKN400917</v>
          </cell>
          <cell r="B1290">
            <v>916</v>
          </cell>
          <cell r="C1290" t="str">
            <v>Institut Kanser Negara</v>
          </cell>
          <cell r="D1290" t="str">
            <v>KKM/IKN/H/13/481</v>
          </cell>
          <cell r="E1290" t="str">
            <v>16-231</v>
          </cell>
          <cell r="F1290" t="str">
            <v>Electrocardiographs, Multichannel, Interpretative</v>
          </cell>
          <cell r="G1290" t="str">
            <v>OC</v>
          </cell>
          <cell r="H1290" t="str">
            <v>ONCOLOGY CLINIC</v>
          </cell>
          <cell r="I1290" t="str">
            <v>03OC135</v>
          </cell>
          <cell r="J1290" t="str">
            <v>TREATMENT 1</v>
          </cell>
          <cell r="K1290" t="str">
            <v>BMED</v>
          </cell>
          <cell r="L1290" t="str">
            <v>Critical</v>
          </cell>
          <cell r="M1290" t="str">
            <v>China</v>
          </cell>
          <cell r="N1290" t="str">
            <v>Mac</v>
          </cell>
          <cell r="O1290" t="str">
            <v>MAC 800</v>
          </cell>
          <cell r="P1290" t="str">
            <v>SJ412450362 WA</v>
          </cell>
          <cell r="Q1290" t="str">
            <v>Not Applicable</v>
          </cell>
          <cell r="R1290" t="str">
            <v>GE Healthcare Systems</v>
          </cell>
          <cell r="S1290" t="str">
            <v>GE Healthcare Technologies</v>
          </cell>
          <cell r="T1290" t="str">
            <v>Functioning</v>
          </cell>
          <cell r="U1290" t="str">
            <v>Asset</v>
          </cell>
          <cell r="V1290">
            <v>25260</v>
          </cell>
          <cell r="W1290" t="str">
            <v>KEW</v>
          </cell>
          <cell r="X1290" t="str">
            <v>01/09/2010</v>
          </cell>
          <cell r="Y1290" t="str">
            <v>KEW</v>
          </cell>
          <cell r="Z1290" t="str">
            <v>16/08/2013</v>
          </cell>
          <cell r="AA1290" t="str">
            <v>15/08/2015</v>
          </cell>
          <cell r="AB1290" t="str">
            <v>No</v>
          </cell>
          <cell r="AC1290" t="str">
            <v>31/08/2013</v>
          </cell>
          <cell r="AD1290" t="str">
            <v>Good</v>
          </cell>
          <cell r="AE1290" t="str">
            <v>V1 - Existing / No Claim</v>
          </cell>
          <cell r="AF1290">
            <v>42802</v>
          </cell>
          <cell r="AG1290">
            <v>9.17</v>
          </cell>
          <cell r="AH1290" t="str">
            <v>PPM</v>
          </cell>
          <cell r="AI1290" t="str">
            <v>Strands</v>
          </cell>
          <cell r="AJ1290" t="str">
            <v>Strands PW</v>
          </cell>
        </row>
        <row r="1291">
          <cell r="A1291" t="str">
            <v>IKN400951</v>
          </cell>
          <cell r="B1291">
            <v>950</v>
          </cell>
          <cell r="C1291" t="str">
            <v>Institut Kanser Negara</v>
          </cell>
          <cell r="D1291" t="str">
            <v>KKM/IKN/H/13/3382</v>
          </cell>
          <cell r="E1291" t="str">
            <v>12-282</v>
          </cell>
          <cell r="F1291" t="str">
            <v>Lights, Surgical</v>
          </cell>
          <cell r="G1291" t="str">
            <v>RT</v>
          </cell>
          <cell r="H1291" t="str">
            <v>RADIATION TREATMENT UNIT</v>
          </cell>
          <cell r="I1291" t="str">
            <v>01RT109</v>
          </cell>
          <cell r="J1291" t="str">
            <v>C/L 1</v>
          </cell>
          <cell r="K1291" t="str">
            <v>BMED</v>
          </cell>
          <cell r="L1291" t="str">
            <v>Normal</v>
          </cell>
          <cell r="M1291" t="str">
            <v>USA</v>
          </cell>
          <cell r="N1291" t="str">
            <v>Welch Allyn</v>
          </cell>
          <cell r="O1291" t="str">
            <v>Welch Allyn GS600</v>
          </cell>
          <cell r="P1291" t="str">
            <v>GS-600-02</v>
          </cell>
          <cell r="Q1291" t="str">
            <v>Not Applicable</v>
          </cell>
          <cell r="R1291" t="str">
            <v>Welch Allyn Inc</v>
          </cell>
          <cell r="S1291" t="str">
            <v>Welch Allyn Malaysia Sdn Bhd</v>
          </cell>
          <cell r="T1291" t="str">
            <v>Functioning</v>
          </cell>
          <cell r="U1291" t="str">
            <v>Asset</v>
          </cell>
          <cell r="V1291">
            <v>5050</v>
          </cell>
          <cell r="W1291" t="str">
            <v>KEW</v>
          </cell>
          <cell r="X1291" t="str">
            <v>01/09/2010</v>
          </cell>
          <cell r="Y1291" t="str">
            <v>KEW</v>
          </cell>
          <cell r="Z1291" t="str">
            <v>16/08/2013</v>
          </cell>
          <cell r="AA1291" t="str">
            <v>15/08/2015</v>
          </cell>
          <cell r="AB1291" t="str">
            <v>No</v>
          </cell>
          <cell r="AC1291" t="str">
            <v>31/08/2013</v>
          </cell>
          <cell r="AD1291" t="str">
            <v>Good</v>
          </cell>
          <cell r="AE1291" t="str">
            <v>V1 - Existing / No Claim</v>
          </cell>
          <cell r="AF1291">
            <v>42235</v>
          </cell>
          <cell r="AG1291">
            <v>9.17</v>
          </cell>
          <cell r="AH1291" t="str">
            <v>PPM</v>
          </cell>
          <cell r="AI1291" t="str">
            <v>Strands</v>
          </cell>
          <cell r="AJ1291" t="str">
            <v>Strands PW</v>
          </cell>
        </row>
        <row r="1292">
          <cell r="A1292" t="str">
            <v>IKN400952</v>
          </cell>
          <cell r="B1292">
            <v>951</v>
          </cell>
          <cell r="C1292" t="str">
            <v>Institut Kanser Negara</v>
          </cell>
          <cell r="D1292" t="str">
            <v>KKM/IKN/H/13/5376</v>
          </cell>
          <cell r="E1292" t="str">
            <v>12-282</v>
          </cell>
          <cell r="F1292" t="str">
            <v>Lights, Surgical</v>
          </cell>
          <cell r="G1292" t="str">
            <v>RT</v>
          </cell>
          <cell r="H1292" t="str">
            <v>RADIATION TREATMENT UNIT</v>
          </cell>
          <cell r="I1292" t="str">
            <v>01RT109</v>
          </cell>
          <cell r="J1292" t="str">
            <v>C/L 1</v>
          </cell>
          <cell r="K1292" t="str">
            <v>BMED</v>
          </cell>
          <cell r="L1292" t="str">
            <v>Normal</v>
          </cell>
          <cell r="M1292" t="str">
            <v>USA</v>
          </cell>
          <cell r="N1292" t="str">
            <v>Welch Allyn</v>
          </cell>
          <cell r="O1292" t="str">
            <v>Welch Allyn GS600</v>
          </cell>
          <cell r="P1292" t="str">
            <v>GS-600-03</v>
          </cell>
          <cell r="Q1292" t="str">
            <v>Not Applicable</v>
          </cell>
          <cell r="R1292" t="str">
            <v>Welch Allyn Inc</v>
          </cell>
          <cell r="S1292" t="str">
            <v>Welch Allyn Malaysia Sdn Bhd</v>
          </cell>
          <cell r="T1292" t="str">
            <v>Functioning</v>
          </cell>
          <cell r="U1292" t="str">
            <v>Asset</v>
          </cell>
          <cell r="V1292">
            <v>5050</v>
          </cell>
          <cell r="W1292" t="str">
            <v>KEW</v>
          </cell>
          <cell r="X1292" t="str">
            <v>01/09/2010</v>
          </cell>
          <cell r="Y1292" t="str">
            <v>KEW</v>
          </cell>
          <cell r="Z1292" t="str">
            <v>16/08/2013</v>
          </cell>
          <cell r="AA1292" t="str">
            <v>15/08/2015</v>
          </cell>
          <cell r="AB1292" t="str">
            <v>No</v>
          </cell>
          <cell r="AC1292" t="str">
            <v>31/08/2013</v>
          </cell>
          <cell r="AD1292" t="str">
            <v>Good</v>
          </cell>
          <cell r="AE1292" t="str">
            <v>V1 - Existing / No Claim</v>
          </cell>
          <cell r="AF1292">
            <v>42235</v>
          </cell>
          <cell r="AG1292">
            <v>9.17</v>
          </cell>
          <cell r="AH1292" t="str">
            <v>PPM</v>
          </cell>
          <cell r="AI1292" t="str">
            <v>Strands</v>
          </cell>
          <cell r="AJ1292" t="str">
            <v>Strands PW</v>
          </cell>
        </row>
        <row r="1293">
          <cell r="A1293" t="str">
            <v>IKN400954</v>
          </cell>
          <cell r="B1293">
            <v>953</v>
          </cell>
          <cell r="C1293" t="str">
            <v>Institut Kanser Negara</v>
          </cell>
          <cell r="D1293" t="str">
            <v>KKM/IKN/H/13/5377</v>
          </cell>
          <cell r="E1293" t="str">
            <v>12-282</v>
          </cell>
          <cell r="F1293" t="str">
            <v>Lights, Surgical</v>
          </cell>
          <cell r="G1293" t="str">
            <v>RT</v>
          </cell>
          <cell r="H1293" t="str">
            <v>RADIATION TREATMENT UNIT</v>
          </cell>
          <cell r="I1293" t="str">
            <v>01RT111</v>
          </cell>
          <cell r="J1293" t="str">
            <v>C/E 3</v>
          </cell>
          <cell r="K1293" t="str">
            <v>BMED</v>
          </cell>
          <cell r="L1293" t="str">
            <v>Normal</v>
          </cell>
          <cell r="M1293" t="str">
            <v>USA</v>
          </cell>
          <cell r="N1293" t="str">
            <v>Welch Allyn</v>
          </cell>
          <cell r="O1293" t="str">
            <v>Welch Allyn GS600</v>
          </cell>
          <cell r="P1293" t="str">
            <v>GS-600-04</v>
          </cell>
          <cell r="Q1293" t="str">
            <v>Not Applicable</v>
          </cell>
          <cell r="R1293" t="str">
            <v>Welch Allyn Inc</v>
          </cell>
          <cell r="S1293" t="str">
            <v>Welch Allyn Malaysia Sdn Bhd</v>
          </cell>
          <cell r="T1293" t="str">
            <v>Functioning</v>
          </cell>
          <cell r="U1293" t="str">
            <v>Asset</v>
          </cell>
          <cell r="V1293">
            <v>5050</v>
          </cell>
          <cell r="W1293" t="str">
            <v>KEW</v>
          </cell>
          <cell r="X1293" t="str">
            <v>01/09/2010</v>
          </cell>
          <cell r="Y1293" t="str">
            <v>KEW</v>
          </cell>
          <cell r="Z1293" t="str">
            <v>16/08/2013</v>
          </cell>
          <cell r="AA1293" t="str">
            <v>15/08/2015</v>
          </cell>
          <cell r="AB1293" t="str">
            <v>No</v>
          </cell>
          <cell r="AC1293" t="str">
            <v>31/08/2013</v>
          </cell>
          <cell r="AD1293" t="str">
            <v>Good</v>
          </cell>
          <cell r="AE1293" t="str">
            <v>V1 - Existing / No Claim</v>
          </cell>
          <cell r="AF1293">
            <v>42235</v>
          </cell>
          <cell r="AG1293">
            <v>9.17</v>
          </cell>
          <cell r="AH1293" t="str">
            <v>PPM</v>
          </cell>
          <cell r="AI1293" t="str">
            <v>Strands</v>
          </cell>
          <cell r="AJ1293" t="str">
            <v>Strands PW</v>
          </cell>
        </row>
        <row r="1294">
          <cell r="A1294" t="str">
            <v>IKN400955</v>
          </cell>
          <cell r="B1294">
            <v>954</v>
          </cell>
          <cell r="C1294" t="str">
            <v>Institut Kanser Negara</v>
          </cell>
          <cell r="E1294" t="str">
            <v>16-173</v>
          </cell>
          <cell r="F1294" t="str">
            <v>Sphygmomanometers, Electronic, Automatic</v>
          </cell>
          <cell r="G1294" t="str">
            <v>RT</v>
          </cell>
          <cell r="H1294" t="str">
            <v>RADIATION TREATMENT UNIT</v>
          </cell>
          <cell r="I1294" t="str">
            <v>01RT111</v>
          </cell>
          <cell r="J1294" t="str">
            <v>C/E 3</v>
          </cell>
          <cell r="K1294" t="str">
            <v>BMED</v>
          </cell>
          <cell r="L1294" t="str">
            <v>Normal</v>
          </cell>
          <cell r="M1294" t="str">
            <v>USA</v>
          </cell>
          <cell r="N1294" t="str">
            <v>Connex</v>
          </cell>
          <cell r="O1294" t="str">
            <v>Connex ProBP 3400</v>
          </cell>
          <cell r="P1294" t="str">
            <v>100001450413</v>
          </cell>
          <cell r="Q1294" t="str">
            <v>Not Applicable</v>
          </cell>
          <cell r="R1294" t="str">
            <v>Welch Allyn Inc</v>
          </cell>
          <cell r="S1294" t="str">
            <v>Welch Allyn Malaysia Sdn Bhd</v>
          </cell>
          <cell r="T1294" t="str">
            <v>Functioning</v>
          </cell>
          <cell r="U1294" t="str">
            <v>Asset</v>
          </cell>
          <cell r="V1294">
            <v>336</v>
          </cell>
          <cell r="W1294" t="str">
            <v>KEW</v>
          </cell>
          <cell r="X1294" t="str">
            <v>01/09/2010</v>
          </cell>
          <cell r="Y1294" t="str">
            <v>KEW</v>
          </cell>
          <cell r="Z1294" t="str">
            <v>16/08/2013</v>
          </cell>
          <cell r="AA1294" t="str">
            <v>15/08/2015</v>
          </cell>
          <cell r="AB1294" t="str">
            <v>No</v>
          </cell>
          <cell r="AC1294" t="str">
            <v>31/08/2013</v>
          </cell>
          <cell r="AD1294" t="str">
            <v>Good</v>
          </cell>
          <cell r="AE1294" t="str">
            <v>V3 - Added Installed Facilities (New)</v>
          </cell>
          <cell r="AF1294">
            <v>42235</v>
          </cell>
          <cell r="AG1294">
            <v>9.17</v>
          </cell>
          <cell r="AH1294" t="str">
            <v>PPM</v>
          </cell>
          <cell r="AI1294" t="str">
            <v>strands</v>
          </cell>
        </row>
        <row r="1295">
          <cell r="A1295" t="str">
            <v>IKN400956</v>
          </cell>
          <cell r="B1295">
            <v>955</v>
          </cell>
          <cell r="C1295" t="str">
            <v>Institut Kanser Negara</v>
          </cell>
          <cell r="D1295" t="str">
            <v>KKM/IKN/H/13/4472</v>
          </cell>
          <cell r="E1295" t="str">
            <v>12-364</v>
          </cell>
          <cell r="F1295" t="str">
            <v>Linear Accelerators</v>
          </cell>
          <cell r="G1295" t="str">
            <v>RT</v>
          </cell>
          <cell r="H1295" t="str">
            <v>RADIATION TREATMENT UNIT</v>
          </cell>
          <cell r="I1295" t="str">
            <v>01RT172</v>
          </cell>
          <cell r="J1295" t="str">
            <v>LINAC ROOM 3</v>
          </cell>
          <cell r="K1295" t="str">
            <v>BMED</v>
          </cell>
          <cell r="L1295" t="str">
            <v>Normal</v>
          </cell>
          <cell r="M1295" t="str">
            <v>USA</v>
          </cell>
          <cell r="N1295" t="str">
            <v>Novalis</v>
          </cell>
          <cell r="O1295" t="str">
            <v>Novalis Tx</v>
          </cell>
          <cell r="P1295" t="str">
            <v>5426</v>
          </cell>
          <cell r="Q1295" t="str">
            <v>Not Applicable</v>
          </cell>
          <cell r="R1295" t="str">
            <v>Varian Medical System</v>
          </cell>
          <cell r="S1295" t="str">
            <v>V Medical Services</v>
          </cell>
          <cell r="T1295" t="str">
            <v>Functioning</v>
          </cell>
          <cell r="U1295" t="str">
            <v>Asset</v>
          </cell>
          <cell r="V1295">
            <v>21961900</v>
          </cell>
          <cell r="W1295" t="str">
            <v>KEW</v>
          </cell>
          <cell r="X1295" t="str">
            <v>01/09/2010</v>
          </cell>
          <cell r="Y1295" t="str">
            <v>KEW</v>
          </cell>
          <cell r="Z1295" t="str">
            <v>16/08/2013</v>
          </cell>
          <cell r="AA1295" t="str">
            <v>15/08/2015</v>
          </cell>
          <cell r="AB1295" t="str">
            <v>No</v>
          </cell>
          <cell r="AC1295" t="str">
            <v>31/08/2013</v>
          </cell>
          <cell r="AD1295" t="str">
            <v>Good</v>
          </cell>
          <cell r="AE1295" t="str">
            <v>V1 - Existing / No Claim</v>
          </cell>
          <cell r="AF1295">
            <v>42235</v>
          </cell>
          <cell r="AG1295">
            <v>9.17</v>
          </cell>
          <cell r="AH1295" t="str">
            <v>PPM</v>
          </cell>
          <cell r="AI1295" t="str">
            <v>Strands</v>
          </cell>
          <cell r="AJ1295" t="str">
            <v>Strands Package</v>
          </cell>
          <cell r="AK1295" t="str">
            <v>Package Code XM0003(A)</v>
          </cell>
        </row>
        <row r="1296">
          <cell r="A1296" t="str">
            <v>IKN400957</v>
          </cell>
          <cell r="B1296">
            <v>956</v>
          </cell>
          <cell r="C1296" t="str">
            <v>Institut Kanser Negara</v>
          </cell>
          <cell r="D1296" t="str">
            <v>KKM/IKN/H/13/5022</v>
          </cell>
          <cell r="E1296" t="str">
            <v>12-647</v>
          </cell>
          <cell r="F1296" t="str">
            <v>Physiologic Monitoring Systems, Acute Care</v>
          </cell>
          <cell r="G1296" t="str">
            <v>RT</v>
          </cell>
          <cell r="H1296" t="str">
            <v>RADIATION TREATMENT UNIT</v>
          </cell>
          <cell r="I1296" t="str">
            <v>01RT165</v>
          </cell>
          <cell r="J1296" t="str">
            <v>LINAC ROOM 2 (TBI)</v>
          </cell>
          <cell r="K1296" t="str">
            <v>BMED</v>
          </cell>
          <cell r="L1296" t="str">
            <v>Normal</v>
          </cell>
          <cell r="M1296" t="str">
            <v>Finland</v>
          </cell>
          <cell r="N1296" t="str">
            <v>Carespace</v>
          </cell>
          <cell r="O1296" t="str">
            <v>Carespace B850</v>
          </cell>
          <cell r="P1296" t="str">
            <v>SED12370672GA</v>
          </cell>
          <cell r="Q1296" t="str">
            <v>Not Applicable</v>
          </cell>
          <cell r="R1296" t="str">
            <v>GE Healthcare Systems</v>
          </cell>
          <cell r="S1296" t="str">
            <v>GE Healthcare Technologies</v>
          </cell>
          <cell r="T1296" t="str">
            <v>Functioning</v>
          </cell>
          <cell r="U1296" t="str">
            <v>Asset</v>
          </cell>
          <cell r="V1296">
            <v>119690</v>
          </cell>
          <cell r="W1296" t="str">
            <v>KEW</v>
          </cell>
          <cell r="X1296" t="str">
            <v>01/09/2010</v>
          </cell>
          <cell r="Y1296" t="str">
            <v>KEW</v>
          </cell>
          <cell r="Z1296" t="str">
            <v>16/08/2013</v>
          </cell>
          <cell r="AA1296" t="str">
            <v>15/08/2015</v>
          </cell>
          <cell r="AB1296" t="str">
            <v>No</v>
          </cell>
          <cell r="AC1296" t="str">
            <v>31/08/2013</v>
          </cell>
          <cell r="AD1296" t="str">
            <v>Good</v>
          </cell>
          <cell r="AE1296" t="str">
            <v>V1 - Existing / No Claim</v>
          </cell>
          <cell r="AF1296">
            <v>42235</v>
          </cell>
          <cell r="AG1296">
            <v>9.17</v>
          </cell>
          <cell r="AH1296" t="str">
            <v>PPM</v>
          </cell>
          <cell r="AI1296" t="str">
            <v>Strands</v>
          </cell>
          <cell r="AJ1296" t="str">
            <v>Strands PW</v>
          </cell>
        </row>
        <row r="1297">
          <cell r="A1297" t="str">
            <v>IKN400958</v>
          </cell>
          <cell r="B1297">
            <v>957</v>
          </cell>
          <cell r="C1297" t="str">
            <v>Institut Kanser Negara</v>
          </cell>
          <cell r="E1297" t="str">
            <v>11-134</v>
          </cell>
          <cell r="F1297" t="str">
            <v>Defibrillators, External, Manual</v>
          </cell>
          <cell r="G1297" t="str">
            <v>RT</v>
          </cell>
          <cell r="H1297" t="str">
            <v>RADIATION TREATMENT UNIT</v>
          </cell>
          <cell r="I1297" t="str">
            <v>01RT116</v>
          </cell>
          <cell r="J1297" t="str">
            <v>CT SIMULATOR 1</v>
          </cell>
          <cell r="K1297" t="str">
            <v>BMED</v>
          </cell>
          <cell r="L1297" t="str">
            <v>Critical</v>
          </cell>
          <cell r="M1297" t="str">
            <v>USA</v>
          </cell>
          <cell r="N1297" t="str">
            <v>Responder</v>
          </cell>
          <cell r="O1297" t="str">
            <v>Responder 2000</v>
          </cell>
          <cell r="P1297" t="str">
            <v>3206736</v>
          </cell>
          <cell r="Q1297" t="str">
            <v>Not Applicable</v>
          </cell>
          <cell r="R1297" t="str">
            <v>GE Medical Systems</v>
          </cell>
          <cell r="S1297" t="str">
            <v>Antah Sir Radin Sdn. Bhd.</v>
          </cell>
          <cell r="T1297" t="str">
            <v>Functioning</v>
          </cell>
          <cell r="U1297" t="str">
            <v>Asset</v>
          </cell>
          <cell r="V1297">
            <v>45000</v>
          </cell>
          <cell r="W1297" t="str">
            <v>Estimate</v>
          </cell>
          <cell r="X1297" t="str">
            <v>01/09/2010</v>
          </cell>
          <cell r="Y1297" t="str">
            <v>KEW</v>
          </cell>
          <cell r="Z1297" t="str">
            <v>16/08/2013</v>
          </cell>
          <cell r="AA1297" t="str">
            <v>15/08/2015</v>
          </cell>
          <cell r="AB1297" t="str">
            <v>No</v>
          </cell>
          <cell r="AC1297" t="str">
            <v>31/08/2013</v>
          </cell>
          <cell r="AD1297" t="str">
            <v>Good</v>
          </cell>
          <cell r="AE1297" t="str">
            <v>V1 - Existing / No Claim</v>
          </cell>
          <cell r="AF1297">
            <v>42605</v>
          </cell>
          <cell r="AG1297">
            <v>9.17</v>
          </cell>
          <cell r="AH1297" t="str">
            <v>PPM</v>
          </cell>
          <cell r="AI1297" t="str">
            <v>Strands</v>
          </cell>
          <cell r="AJ1297" t="str">
            <v>Strands PW</v>
          </cell>
          <cell r="AK1297" t="str">
            <v>Crash Trolley (FEMS)</v>
          </cell>
        </row>
        <row r="1298">
          <cell r="A1298" t="str">
            <v>IKN400959</v>
          </cell>
          <cell r="B1298">
            <v>958</v>
          </cell>
          <cell r="C1298" t="str">
            <v>Institut Kanser Negara</v>
          </cell>
          <cell r="D1298" t="str">
            <v>KKM/IKN/H/13/5034</v>
          </cell>
          <cell r="E1298" t="str">
            <v>10-134</v>
          </cell>
          <cell r="F1298" t="str">
            <v>Anesthesia Units</v>
          </cell>
          <cell r="G1298" t="str">
            <v>RT</v>
          </cell>
          <cell r="H1298" t="str">
            <v>RADIATION TREATMENT UNIT</v>
          </cell>
          <cell r="I1298" t="str">
            <v>01RT212</v>
          </cell>
          <cell r="J1298" t="str">
            <v>RECOVERY</v>
          </cell>
          <cell r="K1298" t="str">
            <v>BMED</v>
          </cell>
          <cell r="L1298" t="str">
            <v>Normal</v>
          </cell>
          <cell r="M1298" t="str">
            <v>Germany</v>
          </cell>
          <cell r="N1298" t="str">
            <v>Primus</v>
          </cell>
          <cell r="O1298" t="str">
            <v>Primus</v>
          </cell>
          <cell r="P1298" t="str">
            <v>ASDJ-0234</v>
          </cell>
          <cell r="Q1298" t="str">
            <v>Not Applicable</v>
          </cell>
          <cell r="R1298" t="str">
            <v>Drager medical GmbH</v>
          </cell>
          <cell r="S1298" t="str">
            <v>Beau Consortium Sdn Bhd</v>
          </cell>
          <cell r="T1298" t="str">
            <v>Functioning</v>
          </cell>
          <cell r="U1298" t="str">
            <v>Asset</v>
          </cell>
          <cell r="V1298">
            <v>144345</v>
          </cell>
          <cell r="W1298" t="str">
            <v>KEW</v>
          </cell>
          <cell r="X1298" t="str">
            <v>01/09/2010</v>
          </cell>
          <cell r="Y1298" t="str">
            <v>KEW</v>
          </cell>
          <cell r="Z1298" t="str">
            <v>16/08/2013</v>
          </cell>
          <cell r="AA1298" t="str">
            <v>15/08/2015</v>
          </cell>
          <cell r="AB1298" t="str">
            <v>No</v>
          </cell>
          <cell r="AC1298" t="str">
            <v>31/08/2013</v>
          </cell>
          <cell r="AD1298" t="str">
            <v>Good</v>
          </cell>
          <cell r="AE1298" t="str">
            <v>V1 - Existing / No Claim</v>
          </cell>
          <cell r="AF1298">
            <v>42235</v>
          </cell>
          <cell r="AG1298">
            <v>9.17</v>
          </cell>
          <cell r="AH1298" t="str">
            <v>PPM</v>
          </cell>
          <cell r="AI1298" t="str">
            <v>Strands</v>
          </cell>
          <cell r="AJ1298" t="str">
            <v>Strands PW</v>
          </cell>
        </row>
        <row r="1299">
          <cell r="A1299" t="str">
            <v>IKN400961</v>
          </cell>
          <cell r="B1299">
            <v>960</v>
          </cell>
          <cell r="C1299" t="str">
            <v>Institut Kanser Negara</v>
          </cell>
          <cell r="D1299" t="str">
            <v>KKM/IKN/H/13/4944</v>
          </cell>
          <cell r="E1299" t="str">
            <v>12-647</v>
          </cell>
          <cell r="F1299" t="str">
            <v>Physiologic Monitoring Systems, Acute Care</v>
          </cell>
          <cell r="G1299" t="str">
            <v>RT</v>
          </cell>
          <cell r="H1299" t="str">
            <v>RADIATION TREATMENT UNIT</v>
          </cell>
          <cell r="I1299" t="str">
            <v>01RT212</v>
          </cell>
          <cell r="J1299" t="str">
            <v>RECOVERY</v>
          </cell>
          <cell r="K1299" t="str">
            <v>BMED</v>
          </cell>
          <cell r="L1299" t="str">
            <v>Critical</v>
          </cell>
          <cell r="M1299" t="str">
            <v>Finland</v>
          </cell>
          <cell r="N1299" t="str">
            <v>CareScape</v>
          </cell>
          <cell r="O1299" t="str">
            <v>CareScape B650</v>
          </cell>
          <cell r="P1299" t="str">
            <v>SEW12357511HA</v>
          </cell>
          <cell r="Q1299" t="str">
            <v>Not Applicable</v>
          </cell>
          <cell r="R1299" t="str">
            <v>GE Medical Systems</v>
          </cell>
          <cell r="S1299" t="str">
            <v>GE Healthcare Technologies</v>
          </cell>
          <cell r="T1299" t="str">
            <v>Functioning</v>
          </cell>
          <cell r="U1299" t="str">
            <v>Asset</v>
          </cell>
          <cell r="V1299">
            <v>87400</v>
          </cell>
          <cell r="W1299" t="str">
            <v>KEW</v>
          </cell>
          <cell r="X1299" t="str">
            <v>01/09/2010</v>
          </cell>
          <cell r="Y1299" t="str">
            <v>KEW</v>
          </cell>
          <cell r="Z1299" t="str">
            <v>16/08/2013</v>
          </cell>
          <cell r="AA1299" t="str">
            <v>15/08/2015</v>
          </cell>
          <cell r="AB1299" t="str">
            <v>No</v>
          </cell>
          <cell r="AC1299" t="str">
            <v>31/08/2013</v>
          </cell>
          <cell r="AD1299" t="str">
            <v>Good</v>
          </cell>
          <cell r="AE1299" t="str">
            <v>V1 - Existing / No Claim</v>
          </cell>
          <cell r="AF1299">
            <v>42801</v>
          </cell>
          <cell r="AG1299">
            <v>9.17</v>
          </cell>
          <cell r="AH1299" t="str">
            <v>PPM</v>
          </cell>
          <cell r="AI1299" t="str">
            <v>Strands</v>
          </cell>
          <cell r="AJ1299" t="str">
            <v>Strands PW</v>
          </cell>
        </row>
        <row r="1300">
          <cell r="A1300" t="str">
            <v>IKN400962</v>
          </cell>
          <cell r="B1300">
            <v>961</v>
          </cell>
          <cell r="C1300" t="str">
            <v>Institut Kanser Negara</v>
          </cell>
          <cell r="D1300" t="str">
            <v>KKM/IKN/H/13/4945</v>
          </cell>
          <cell r="E1300" t="str">
            <v>12-647</v>
          </cell>
          <cell r="F1300" t="str">
            <v>Physiologic Monitoring Systems, Acute Care</v>
          </cell>
          <cell r="G1300" t="str">
            <v>RT</v>
          </cell>
          <cell r="H1300" t="str">
            <v>RADIATION TREATMENT UNIT</v>
          </cell>
          <cell r="I1300" t="str">
            <v>01RT212</v>
          </cell>
          <cell r="J1300" t="str">
            <v>RECOVERY</v>
          </cell>
          <cell r="K1300" t="str">
            <v>BMED</v>
          </cell>
          <cell r="L1300" t="str">
            <v>Critical</v>
          </cell>
          <cell r="M1300" t="str">
            <v>Finland</v>
          </cell>
          <cell r="N1300" t="str">
            <v>CareScape</v>
          </cell>
          <cell r="O1300" t="str">
            <v>CareScape B650</v>
          </cell>
          <cell r="P1300" t="str">
            <v>SEW12357353HA</v>
          </cell>
          <cell r="Q1300" t="str">
            <v>Not Applicable</v>
          </cell>
          <cell r="R1300" t="str">
            <v>GE Medical Systems</v>
          </cell>
          <cell r="S1300" t="str">
            <v>GE Healthcare Technologies</v>
          </cell>
          <cell r="T1300" t="str">
            <v>Functioning</v>
          </cell>
          <cell r="U1300" t="str">
            <v>Asset</v>
          </cell>
          <cell r="V1300">
            <v>87400</v>
          </cell>
          <cell r="W1300" t="str">
            <v>KEW</v>
          </cell>
          <cell r="X1300" t="str">
            <v>01/09/2010</v>
          </cell>
          <cell r="Y1300" t="str">
            <v>KEW</v>
          </cell>
          <cell r="Z1300" t="str">
            <v>16/08/2013</v>
          </cell>
          <cell r="AA1300" t="str">
            <v>15/08/2015</v>
          </cell>
          <cell r="AB1300" t="str">
            <v>No</v>
          </cell>
          <cell r="AC1300" t="str">
            <v>31/08/2013</v>
          </cell>
          <cell r="AD1300" t="str">
            <v>Good</v>
          </cell>
          <cell r="AE1300" t="str">
            <v>V1 - Existing / No Claim</v>
          </cell>
          <cell r="AF1300">
            <v>42801</v>
          </cell>
          <cell r="AG1300">
            <v>9.17</v>
          </cell>
          <cell r="AH1300" t="str">
            <v>PPM</v>
          </cell>
          <cell r="AI1300" t="str">
            <v>Strands</v>
          </cell>
          <cell r="AJ1300" t="str">
            <v>Strands PW</v>
          </cell>
        </row>
        <row r="1301">
          <cell r="A1301" t="str">
            <v>IKN400963</v>
          </cell>
          <cell r="B1301">
            <v>962</v>
          </cell>
          <cell r="C1301" t="str">
            <v>Institut Kanser Negara</v>
          </cell>
          <cell r="D1301" t="str">
            <v>KKM/IKN/H/13/4972</v>
          </cell>
          <cell r="E1301" t="str">
            <v>13-249</v>
          </cell>
          <cell r="F1301" t="str">
            <v>Warming Units, Patient, Radiant, Adult</v>
          </cell>
          <cell r="G1301" t="str">
            <v>RT</v>
          </cell>
          <cell r="H1301" t="str">
            <v>RADIATION TREATMENT UNIT</v>
          </cell>
          <cell r="I1301" t="str">
            <v>01RT212</v>
          </cell>
          <cell r="J1301" t="str">
            <v>RECOVERY</v>
          </cell>
          <cell r="K1301" t="str">
            <v>BMED</v>
          </cell>
          <cell r="L1301" t="str">
            <v>Normal</v>
          </cell>
          <cell r="M1301" t="str">
            <v>Sweden</v>
          </cell>
          <cell r="N1301" t="str">
            <v>Aragona</v>
          </cell>
          <cell r="O1301" t="str">
            <v>Aragona MTC-410</v>
          </cell>
          <cell r="P1301" t="str">
            <v>1204</v>
          </cell>
          <cell r="Q1301" t="str">
            <v>Not Applicable</v>
          </cell>
          <cell r="R1301" t="str">
            <v>Aspira Medical AB</v>
          </cell>
          <cell r="S1301" t="str">
            <v>Perniagaan Med Tech</v>
          </cell>
          <cell r="T1301" t="str">
            <v>Functioning</v>
          </cell>
          <cell r="U1301" t="str">
            <v>Asset</v>
          </cell>
          <cell r="V1301">
            <v>12630</v>
          </cell>
          <cell r="W1301" t="str">
            <v>KEW</v>
          </cell>
          <cell r="X1301" t="str">
            <v>01/09/2010</v>
          </cell>
          <cell r="Y1301" t="str">
            <v>KEW</v>
          </cell>
          <cell r="Z1301" t="str">
            <v>16/08/2013</v>
          </cell>
          <cell r="AA1301" t="str">
            <v>15/08/2015</v>
          </cell>
          <cell r="AB1301" t="str">
            <v>No</v>
          </cell>
          <cell r="AC1301" t="str">
            <v>31/08/2013</v>
          </cell>
          <cell r="AD1301" t="str">
            <v>Good</v>
          </cell>
          <cell r="AE1301" t="str">
            <v>V3 - Added Installed Facilities (New)</v>
          </cell>
          <cell r="AF1301">
            <v>42801</v>
          </cell>
          <cell r="AG1301">
            <v>9.17</v>
          </cell>
          <cell r="AH1301" t="str">
            <v>PPM</v>
          </cell>
          <cell r="AI1301" t="str">
            <v>Not in contract</v>
          </cell>
          <cell r="AJ1301" t="str">
            <v>Proposed for V3 P2.23</v>
          </cell>
          <cell r="AK1301" t="str">
            <v>KKM follow P2.23 list.</v>
          </cell>
        </row>
        <row r="1302">
          <cell r="A1302" t="str">
            <v>IKN400965</v>
          </cell>
          <cell r="B1302">
            <v>963</v>
          </cell>
          <cell r="C1302" t="str">
            <v>Institut Kanser Negara</v>
          </cell>
          <cell r="D1302" t="str">
            <v>KKM/IKN/H/13/4473</v>
          </cell>
          <cell r="E1302" t="str">
            <v>12-364</v>
          </cell>
          <cell r="F1302" t="str">
            <v>Linear Accelerators</v>
          </cell>
          <cell r="G1302" t="str">
            <v>RT</v>
          </cell>
          <cell r="H1302" t="str">
            <v>RADIATION TREATMENT UNIT</v>
          </cell>
          <cell r="I1302" t="str">
            <v>01RT177</v>
          </cell>
          <cell r="J1302" t="str">
            <v>LINAC ROOM 4 (TOMO)</v>
          </cell>
          <cell r="K1302" t="str">
            <v>BMED</v>
          </cell>
          <cell r="L1302" t="str">
            <v>Normal</v>
          </cell>
          <cell r="M1302" t="str">
            <v>USA</v>
          </cell>
          <cell r="N1302" t="str">
            <v>TomoHD</v>
          </cell>
          <cell r="O1302" t="str">
            <v>TomoHD</v>
          </cell>
          <cell r="P1302" t="str">
            <v>0110436</v>
          </cell>
          <cell r="Q1302" t="str">
            <v>Not Applicable</v>
          </cell>
          <cell r="R1302" t="str">
            <v>TomoTherapy</v>
          </cell>
          <cell r="S1302" t="str">
            <v>Transmedic Healthcare Sdn Bhd</v>
          </cell>
          <cell r="T1302" t="str">
            <v>Functioning</v>
          </cell>
          <cell r="U1302" t="str">
            <v>Asset</v>
          </cell>
          <cell r="V1302">
            <v>19351760</v>
          </cell>
          <cell r="W1302" t="str">
            <v>KEW</v>
          </cell>
          <cell r="X1302" t="str">
            <v>01/09/2010</v>
          </cell>
          <cell r="Y1302" t="str">
            <v>KEW</v>
          </cell>
          <cell r="Z1302" t="str">
            <v>16/08/2013</v>
          </cell>
          <cell r="AA1302" t="str">
            <v>15/08/2015</v>
          </cell>
          <cell r="AB1302" t="str">
            <v>No</v>
          </cell>
          <cell r="AC1302" t="str">
            <v>31/08/2013</v>
          </cell>
          <cell r="AD1302" t="str">
            <v>Good</v>
          </cell>
          <cell r="AE1302" t="str">
            <v>V1 - Existing / No Claim</v>
          </cell>
          <cell r="AF1302">
            <v>42235</v>
          </cell>
          <cell r="AG1302">
            <v>9.17</v>
          </cell>
          <cell r="AH1302" t="str">
            <v>PPM</v>
          </cell>
          <cell r="AI1302" t="str">
            <v>Strands</v>
          </cell>
          <cell r="AJ1302" t="str">
            <v>Strands Package</v>
          </cell>
          <cell r="AK1302" t="str">
            <v>Package Code XM0003(B)</v>
          </cell>
        </row>
        <row r="1303">
          <cell r="A1303" t="str">
            <v>IKN400966</v>
          </cell>
          <cell r="B1303">
            <v>964</v>
          </cell>
          <cell r="C1303" t="str">
            <v>Institut Kanser Negara</v>
          </cell>
          <cell r="D1303" t="str">
            <v>KKM/IKN/H/13/4470</v>
          </cell>
          <cell r="E1303" t="str">
            <v>12-364</v>
          </cell>
          <cell r="F1303" t="str">
            <v>Linear Accelerators</v>
          </cell>
          <cell r="G1303" t="str">
            <v>RT</v>
          </cell>
          <cell r="H1303" t="str">
            <v>RADIATION TREATMENT UNIT</v>
          </cell>
          <cell r="I1303" t="str">
            <v>01RT159</v>
          </cell>
          <cell r="J1303" t="str">
            <v>LINAC ROOM 1 (TBI)</v>
          </cell>
          <cell r="K1303" t="str">
            <v>BMED</v>
          </cell>
          <cell r="L1303" t="str">
            <v>Normal</v>
          </cell>
          <cell r="M1303" t="str">
            <v>Sweden</v>
          </cell>
          <cell r="N1303" t="str">
            <v>Synergy</v>
          </cell>
          <cell r="O1303" t="str">
            <v>Synergy</v>
          </cell>
          <cell r="P1303" t="str">
            <v>152710</v>
          </cell>
          <cell r="Q1303" t="str">
            <v>Not Applicable</v>
          </cell>
          <cell r="R1303" t="str">
            <v>Elekta</v>
          </cell>
          <cell r="S1303" t="str">
            <v>Meditek Equipment</v>
          </cell>
          <cell r="T1303" t="str">
            <v>Functioning</v>
          </cell>
          <cell r="U1303" t="str">
            <v>Asset</v>
          </cell>
          <cell r="V1303">
            <v>12049370</v>
          </cell>
          <cell r="W1303" t="str">
            <v>KEW</v>
          </cell>
          <cell r="X1303" t="str">
            <v>01/09/2010</v>
          </cell>
          <cell r="Y1303" t="str">
            <v>KEW</v>
          </cell>
          <cell r="Z1303" t="str">
            <v>16/08/2013</v>
          </cell>
          <cell r="AA1303" t="str">
            <v>15/08/2015</v>
          </cell>
          <cell r="AB1303" t="str">
            <v>No</v>
          </cell>
          <cell r="AC1303" t="str">
            <v>31/08/2013</v>
          </cell>
          <cell r="AD1303" t="str">
            <v>Good</v>
          </cell>
          <cell r="AE1303" t="str">
            <v>V1 - Existing / No Claim</v>
          </cell>
          <cell r="AF1303">
            <v>42235</v>
          </cell>
          <cell r="AG1303">
            <v>9.17</v>
          </cell>
          <cell r="AH1303" t="str">
            <v>PPM</v>
          </cell>
          <cell r="AI1303" t="str">
            <v>Strands</v>
          </cell>
          <cell r="AJ1303" t="str">
            <v>Strands Package</v>
          </cell>
          <cell r="AK1303" t="str">
            <v>Package Code XM0002</v>
          </cell>
        </row>
        <row r="1304">
          <cell r="A1304" t="str">
            <v>IKN400967</v>
          </cell>
          <cell r="B1304">
            <v>965</v>
          </cell>
          <cell r="C1304" t="str">
            <v>Institut Kanser Negara</v>
          </cell>
          <cell r="D1304" t="str">
            <v>KKM/IKN/H/13/4471</v>
          </cell>
          <cell r="E1304" t="str">
            <v>12-364</v>
          </cell>
          <cell r="F1304" t="str">
            <v>Linear Accelerators</v>
          </cell>
          <cell r="G1304" t="str">
            <v>RT</v>
          </cell>
          <cell r="H1304" t="str">
            <v>RADIATION TREATMENT UNIT</v>
          </cell>
          <cell r="I1304" t="str">
            <v>01RT165</v>
          </cell>
          <cell r="J1304" t="str">
            <v>LINAC ROOM 2 (TBI)</v>
          </cell>
          <cell r="K1304" t="str">
            <v>BMED</v>
          </cell>
          <cell r="L1304" t="str">
            <v>Normal</v>
          </cell>
          <cell r="M1304" t="str">
            <v>Sweden</v>
          </cell>
          <cell r="N1304" t="str">
            <v>Synergy</v>
          </cell>
          <cell r="O1304" t="str">
            <v>Synergy</v>
          </cell>
          <cell r="P1304" t="str">
            <v>152711</v>
          </cell>
          <cell r="Q1304" t="str">
            <v>Not Applicable</v>
          </cell>
          <cell r="R1304" t="str">
            <v>Elekta</v>
          </cell>
          <cell r="S1304" t="str">
            <v>Meditek Equipment</v>
          </cell>
          <cell r="T1304" t="str">
            <v>Functioning</v>
          </cell>
          <cell r="U1304" t="str">
            <v>Asset</v>
          </cell>
          <cell r="V1304">
            <v>12049370</v>
          </cell>
          <cell r="W1304" t="str">
            <v>KEW</v>
          </cell>
          <cell r="X1304" t="str">
            <v>01/09/2010</v>
          </cell>
          <cell r="Y1304" t="str">
            <v>KEW</v>
          </cell>
          <cell r="Z1304" t="str">
            <v>16/08/2013</v>
          </cell>
          <cell r="AA1304" t="str">
            <v>15/08/2015</v>
          </cell>
          <cell r="AB1304" t="str">
            <v>No</v>
          </cell>
          <cell r="AC1304" t="str">
            <v>31/08/2013</v>
          </cell>
          <cell r="AD1304" t="str">
            <v>Good</v>
          </cell>
          <cell r="AE1304" t="str">
            <v>V1 - Existing / No Claim</v>
          </cell>
          <cell r="AF1304">
            <v>42235</v>
          </cell>
          <cell r="AG1304">
            <v>9.17</v>
          </cell>
          <cell r="AH1304" t="str">
            <v>PPM</v>
          </cell>
          <cell r="AI1304" t="str">
            <v>Strands</v>
          </cell>
          <cell r="AJ1304" t="str">
            <v>Strands Package</v>
          </cell>
          <cell r="AK1304" t="str">
            <v>Package Code XM0002</v>
          </cell>
        </row>
        <row r="1305">
          <cell r="A1305" t="str">
            <v>IKN400968</v>
          </cell>
          <cell r="B1305">
            <v>966</v>
          </cell>
          <cell r="C1305" t="str">
            <v>Institut Kanser Negara</v>
          </cell>
          <cell r="D1305" t="str">
            <v>KKM/IKN/H/13/2540</v>
          </cell>
          <cell r="E1305" t="str">
            <v>17-950</v>
          </cell>
          <cell r="F1305" t="str">
            <v>Warming Units, Patient, Forced-Air</v>
          </cell>
          <cell r="G1305" t="str">
            <v>RT</v>
          </cell>
          <cell r="H1305" t="str">
            <v>RADIATION TREATMENT UNIT</v>
          </cell>
          <cell r="I1305" t="str">
            <v>01RT238</v>
          </cell>
          <cell r="J1305" t="str">
            <v>PRE-OP</v>
          </cell>
          <cell r="K1305" t="str">
            <v>BMED</v>
          </cell>
          <cell r="L1305" t="str">
            <v>Normal</v>
          </cell>
          <cell r="M1305" t="str">
            <v>USA</v>
          </cell>
          <cell r="N1305" t="str">
            <v>Bair Hugger</v>
          </cell>
          <cell r="O1305" t="str">
            <v>Bair Hugger 775</v>
          </cell>
          <cell r="P1305" t="str">
            <v>36862</v>
          </cell>
          <cell r="Q1305" t="str">
            <v>Not Applicable</v>
          </cell>
          <cell r="R1305" t="str">
            <v>Arizant Healthcare Inc</v>
          </cell>
          <cell r="S1305" t="str">
            <v>Calmed Healthcare Sdn Bhd</v>
          </cell>
          <cell r="T1305" t="str">
            <v>Functioning</v>
          </cell>
          <cell r="U1305" t="str">
            <v>Asset</v>
          </cell>
          <cell r="V1305">
            <v>15515</v>
          </cell>
          <cell r="W1305" t="str">
            <v>KEW</v>
          </cell>
          <cell r="X1305" t="str">
            <v>01/09/2010</v>
          </cell>
          <cell r="Y1305" t="str">
            <v>KEW</v>
          </cell>
          <cell r="Z1305" t="str">
            <v>16/08/2013</v>
          </cell>
          <cell r="AA1305" t="str">
            <v>15/08/2015</v>
          </cell>
          <cell r="AB1305" t="str">
            <v>No</v>
          </cell>
          <cell r="AC1305" t="str">
            <v>31/08/2013</v>
          </cell>
          <cell r="AD1305" t="str">
            <v>Good</v>
          </cell>
          <cell r="AE1305" t="str">
            <v>V1 - Existing / No Claim</v>
          </cell>
          <cell r="AF1305">
            <v>42235</v>
          </cell>
          <cell r="AG1305">
            <v>9.17</v>
          </cell>
          <cell r="AH1305" t="str">
            <v>PPM</v>
          </cell>
          <cell r="AI1305" t="str">
            <v>Strands</v>
          </cell>
          <cell r="AJ1305" t="str">
            <v>Strands PW</v>
          </cell>
        </row>
        <row r="1306">
          <cell r="A1306" t="str">
            <v>IKN400969</v>
          </cell>
          <cell r="B1306">
            <v>967</v>
          </cell>
          <cell r="C1306" t="str">
            <v>Institut Kanser Negara</v>
          </cell>
          <cell r="D1306" t="str">
            <v>KKM/IKN/H/13/5054</v>
          </cell>
          <cell r="E1306" t="str">
            <v>17-950</v>
          </cell>
          <cell r="F1306" t="str">
            <v>Warming Units, Patient, Forced-Air</v>
          </cell>
          <cell r="G1306" t="str">
            <v>RT</v>
          </cell>
          <cell r="H1306" t="str">
            <v>RADIATION TREATMENT UNIT</v>
          </cell>
          <cell r="I1306" t="str">
            <v>01RT116</v>
          </cell>
          <cell r="J1306" t="str">
            <v>CT SIMULATOR 1</v>
          </cell>
          <cell r="K1306" t="str">
            <v>BMED</v>
          </cell>
          <cell r="L1306" t="str">
            <v>Normal</v>
          </cell>
          <cell r="M1306" t="str">
            <v>USA</v>
          </cell>
          <cell r="N1306" t="str">
            <v>Bair Hugger</v>
          </cell>
          <cell r="O1306" t="str">
            <v>Bair Hugger 775</v>
          </cell>
          <cell r="P1306" t="str">
            <v>36861</v>
          </cell>
          <cell r="Q1306" t="str">
            <v>Not Applicable</v>
          </cell>
          <cell r="R1306" t="str">
            <v>Arizant Healthcare Inc</v>
          </cell>
          <cell r="S1306" t="str">
            <v>Calmed Healthcare Sdn Bhd</v>
          </cell>
          <cell r="T1306" t="str">
            <v>Functioning</v>
          </cell>
          <cell r="U1306" t="str">
            <v>Asset</v>
          </cell>
          <cell r="V1306">
            <v>15515</v>
          </cell>
          <cell r="W1306" t="str">
            <v>KEW</v>
          </cell>
          <cell r="X1306" t="str">
            <v>01/09/2010</v>
          </cell>
          <cell r="Y1306" t="str">
            <v>KEW</v>
          </cell>
          <cell r="Z1306" t="str">
            <v>16/08/2013</v>
          </cell>
          <cell r="AA1306" t="str">
            <v>15/08/2015</v>
          </cell>
          <cell r="AB1306" t="str">
            <v>No</v>
          </cell>
          <cell r="AC1306" t="str">
            <v>31/08/2013</v>
          </cell>
          <cell r="AD1306" t="str">
            <v>Good</v>
          </cell>
          <cell r="AE1306" t="str">
            <v>V1 - Existing / No Claim</v>
          </cell>
          <cell r="AF1306">
            <v>42235</v>
          </cell>
          <cell r="AG1306">
            <v>9.17</v>
          </cell>
          <cell r="AH1306" t="str">
            <v>PPM</v>
          </cell>
          <cell r="AI1306" t="str">
            <v>Strands</v>
          </cell>
          <cell r="AJ1306" t="str">
            <v>Strands PW</v>
          </cell>
        </row>
        <row r="1307">
          <cell r="A1307" t="str">
            <v>IKN400973</v>
          </cell>
          <cell r="B1307">
            <v>971</v>
          </cell>
          <cell r="C1307" t="str">
            <v>Institut Kanser Negara</v>
          </cell>
          <cell r="D1307" t="str">
            <v>KKM/IKN/H/13/4475</v>
          </cell>
          <cell r="E1307" t="str">
            <v>13-469</v>
          </cell>
          <cell r="F1307" t="str">
            <v>Scanning Systems, Computed Tomography</v>
          </cell>
          <cell r="G1307" t="str">
            <v>RT</v>
          </cell>
          <cell r="H1307" t="str">
            <v>RADIATION TREATMENT UNIT</v>
          </cell>
          <cell r="I1307" t="str">
            <v>01RT118</v>
          </cell>
          <cell r="J1307" t="str">
            <v>CT SIMULATOR 2</v>
          </cell>
          <cell r="K1307" t="str">
            <v>BMED</v>
          </cell>
          <cell r="L1307" t="str">
            <v>Normal</v>
          </cell>
          <cell r="M1307" t="str">
            <v>Germany</v>
          </cell>
          <cell r="N1307" t="str">
            <v>Somatom</v>
          </cell>
          <cell r="O1307" t="str">
            <v>Somatom Definition</v>
          </cell>
          <cell r="P1307" t="str">
            <v>65979</v>
          </cell>
          <cell r="Q1307" t="str">
            <v>Not Applicable</v>
          </cell>
          <cell r="R1307" t="str">
            <v>Siemens Medical System</v>
          </cell>
          <cell r="S1307" t="str">
            <v>Metrojendela</v>
          </cell>
          <cell r="T1307" t="str">
            <v>Functioning</v>
          </cell>
          <cell r="U1307" t="str">
            <v>Asset</v>
          </cell>
          <cell r="V1307">
            <v>3557530</v>
          </cell>
          <cell r="W1307" t="str">
            <v>KEW</v>
          </cell>
          <cell r="X1307" t="str">
            <v>01/09/2010</v>
          </cell>
          <cell r="Y1307" t="str">
            <v>KEW</v>
          </cell>
          <cell r="Z1307" t="str">
            <v>16/08/2013</v>
          </cell>
          <cell r="AA1307" t="str">
            <v>15/08/2015</v>
          </cell>
          <cell r="AB1307" t="str">
            <v>No</v>
          </cell>
          <cell r="AC1307" t="str">
            <v>31/08/2013</v>
          </cell>
          <cell r="AD1307" t="str">
            <v>Good</v>
          </cell>
          <cell r="AE1307" t="str">
            <v>V1 - Existing / No Claim</v>
          </cell>
          <cell r="AF1307">
            <v>42235</v>
          </cell>
          <cell r="AG1307">
            <v>9.17</v>
          </cell>
          <cell r="AH1307" t="str">
            <v>PPM</v>
          </cell>
          <cell r="AI1307" t="str">
            <v>Strands</v>
          </cell>
          <cell r="AJ1307" t="str">
            <v>Strands Package</v>
          </cell>
          <cell r="AK1307" t="str">
            <v>Package Code XM0004</v>
          </cell>
        </row>
        <row r="1308">
          <cell r="A1308" t="str">
            <v>IKN400974</v>
          </cell>
          <cell r="B1308">
            <v>972</v>
          </cell>
          <cell r="C1308" t="str">
            <v>Institut Kanser Negara</v>
          </cell>
          <cell r="D1308" t="str">
            <v>N/A</v>
          </cell>
          <cell r="E1308" t="str">
            <v>16-223</v>
          </cell>
          <cell r="F1308" t="str">
            <v>Positioning Aids</v>
          </cell>
          <cell r="G1308" t="str">
            <v>RT</v>
          </cell>
          <cell r="H1308" t="str">
            <v>RADIATION TREATMENT UNIT</v>
          </cell>
          <cell r="I1308" t="str">
            <v>01RT118</v>
          </cell>
          <cell r="J1308" t="str">
            <v>CT SIMULATOR 2</v>
          </cell>
          <cell r="K1308" t="str">
            <v>BMED</v>
          </cell>
          <cell r="L1308" t="str">
            <v>Normal</v>
          </cell>
          <cell r="M1308" t="str">
            <v>Germany</v>
          </cell>
          <cell r="N1308" t="str">
            <v>Dorado</v>
          </cell>
          <cell r="O1308" t="str">
            <v>Dorado</v>
          </cell>
          <cell r="P1308" t="str">
            <v>YEHT118686</v>
          </cell>
          <cell r="Q1308" t="str">
            <v>Not Applicable</v>
          </cell>
          <cell r="R1308" t="str">
            <v>LAP GmbH</v>
          </cell>
          <cell r="S1308" t="str">
            <v>BRAINLAB</v>
          </cell>
          <cell r="T1308" t="str">
            <v>Functioning</v>
          </cell>
          <cell r="U1308" t="str">
            <v>Asset</v>
          </cell>
          <cell r="V1308">
            <v>100000</v>
          </cell>
          <cell r="W1308" t="str">
            <v>Estimate</v>
          </cell>
          <cell r="X1308" t="str">
            <v>01/09/2010</v>
          </cell>
          <cell r="Y1308" t="str">
            <v>KEW</v>
          </cell>
          <cell r="Z1308" t="str">
            <v>16/08/2013</v>
          </cell>
          <cell r="AA1308" t="str">
            <v>15/08/2015</v>
          </cell>
          <cell r="AB1308" t="str">
            <v>No</v>
          </cell>
          <cell r="AC1308" t="str">
            <v>31/08/2013</v>
          </cell>
          <cell r="AD1308" t="str">
            <v>Good</v>
          </cell>
          <cell r="AE1308" t="str">
            <v>V1 - Existing / No Claim</v>
          </cell>
          <cell r="AF1308">
            <v>42643</v>
          </cell>
          <cell r="AG1308">
            <v>9.17</v>
          </cell>
          <cell r="AH1308" t="str">
            <v>RI</v>
          </cell>
          <cell r="AI1308" t="str">
            <v>Strands</v>
          </cell>
          <cell r="AJ1308" t="str">
            <v>Strands Package</v>
          </cell>
          <cell r="AK1308" t="str">
            <v>Package Code XM0004</v>
          </cell>
        </row>
        <row r="1309">
          <cell r="A1309" t="str">
            <v>IKN400975</v>
          </cell>
          <cell r="B1309">
            <v>973</v>
          </cell>
          <cell r="C1309" t="str">
            <v>Institut Kanser Negara</v>
          </cell>
          <cell r="D1309" t="str">
            <v>N/A</v>
          </cell>
          <cell r="E1309" t="str">
            <v>17-968</v>
          </cell>
          <cell r="F1309" t="str">
            <v>Injectors, Contrast Media</v>
          </cell>
          <cell r="G1309" t="str">
            <v>RT</v>
          </cell>
          <cell r="H1309" t="str">
            <v>RADIATION TREATMENT UNIT</v>
          </cell>
          <cell r="I1309" t="str">
            <v>01RT116</v>
          </cell>
          <cell r="J1309" t="str">
            <v>CT SIMULATOR 1</v>
          </cell>
          <cell r="K1309" t="str">
            <v>BMED</v>
          </cell>
          <cell r="L1309" t="str">
            <v>Critical</v>
          </cell>
          <cell r="M1309" t="str">
            <v>USA</v>
          </cell>
          <cell r="N1309" t="str">
            <v>Optivantage</v>
          </cell>
          <cell r="O1309" t="str">
            <v>Optivantage Dual-Head CT</v>
          </cell>
          <cell r="P1309" t="str">
            <v>C1114B514R</v>
          </cell>
          <cell r="Q1309" t="str">
            <v>Not Applicable</v>
          </cell>
          <cell r="R1309" t="str">
            <v>Mallinckrodt</v>
          </cell>
          <cell r="S1309" t="str">
            <v>Schmidt Biomedtech Sdn. Bhd.</v>
          </cell>
          <cell r="T1309" t="str">
            <v>Functioning</v>
          </cell>
          <cell r="U1309" t="str">
            <v>Asset</v>
          </cell>
          <cell r="V1309">
            <v>100000</v>
          </cell>
          <cell r="W1309" t="str">
            <v>Estimate</v>
          </cell>
          <cell r="X1309" t="str">
            <v>01/09/2010</v>
          </cell>
          <cell r="Y1309" t="str">
            <v>KEW</v>
          </cell>
          <cell r="Z1309" t="str">
            <v>16/08/2013</v>
          </cell>
          <cell r="AA1309" t="str">
            <v>15/08/2015</v>
          </cell>
          <cell r="AB1309" t="str">
            <v>No</v>
          </cell>
          <cell r="AC1309" t="str">
            <v>31/08/2013</v>
          </cell>
          <cell r="AD1309" t="str">
            <v>Good</v>
          </cell>
          <cell r="AE1309" t="str">
            <v>V1 - Existing / No Claim</v>
          </cell>
          <cell r="AF1309">
            <v>43370</v>
          </cell>
          <cell r="AG1309">
            <v>9.17</v>
          </cell>
          <cell r="AH1309" t="str">
            <v>PPM</v>
          </cell>
          <cell r="AI1309" t="str">
            <v>Strands</v>
          </cell>
          <cell r="AJ1309" t="str">
            <v>Strands Package</v>
          </cell>
          <cell r="AK1309" t="str">
            <v>Package Code XM0004</v>
          </cell>
        </row>
        <row r="1310">
          <cell r="A1310" t="str">
            <v>IKN400976</v>
          </cell>
          <cell r="B1310">
            <v>974</v>
          </cell>
          <cell r="C1310" t="str">
            <v>Institut Kanser Negara</v>
          </cell>
          <cell r="D1310" t="str">
            <v>KKM/IKN/H/13/4840</v>
          </cell>
          <cell r="E1310" t="str">
            <v>17-679</v>
          </cell>
          <cell r="F1310" t="str">
            <v>Laser Imagers</v>
          </cell>
          <cell r="G1310" t="str">
            <v>RT</v>
          </cell>
          <cell r="H1310" t="str">
            <v>RADIATION TREATMENT UNIT</v>
          </cell>
          <cell r="I1310" t="str">
            <v>01RT117</v>
          </cell>
          <cell r="J1310" t="str">
            <v>CONTROL ROOM</v>
          </cell>
          <cell r="K1310" t="str">
            <v>BMED</v>
          </cell>
          <cell r="L1310" t="str">
            <v>Normal</v>
          </cell>
          <cell r="M1310" t="str">
            <v>USA</v>
          </cell>
          <cell r="N1310" t="str">
            <v>DryView</v>
          </cell>
          <cell r="O1310" t="str">
            <v>DryView 6850</v>
          </cell>
          <cell r="P1310" t="str">
            <v>68504062</v>
          </cell>
          <cell r="Q1310" t="str">
            <v>Not Applicable</v>
          </cell>
          <cell r="R1310" t="str">
            <v>Carestream Health Inc</v>
          </cell>
          <cell r="S1310" t="str">
            <v>Best Contact (M) Sdn Bhd</v>
          </cell>
          <cell r="T1310" t="str">
            <v>Functioning</v>
          </cell>
          <cell r="U1310" t="str">
            <v>Asset</v>
          </cell>
          <cell r="V1310">
            <v>83100</v>
          </cell>
          <cell r="W1310" t="str">
            <v>KEW</v>
          </cell>
          <cell r="X1310" t="str">
            <v>01/09/2010</v>
          </cell>
          <cell r="Y1310" t="str">
            <v>KEW</v>
          </cell>
          <cell r="Z1310" t="str">
            <v>16/08/2013</v>
          </cell>
          <cell r="AA1310" t="str">
            <v>15/08/2015</v>
          </cell>
          <cell r="AB1310" t="str">
            <v>No</v>
          </cell>
          <cell r="AC1310" t="str">
            <v>31/08/2013</v>
          </cell>
          <cell r="AD1310" t="str">
            <v>Good</v>
          </cell>
          <cell r="AE1310" t="str">
            <v>V1 - Existing / No Claim</v>
          </cell>
          <cell r="AF1310">
            <v>42235</v>
          </cell>
          <cell r="AG1310">
            <v>9.17</v>
          </cell>
          <cell r="AH1310" t="str">
            <v>PPM</v>
          </cell>
          <cell r="AI1310" t="str">
            <v>Strands</v>
          </cell>
          <cell r="AJ1310" t="str">
            <v>Strands PW</v>
          </cell>
        </row>
        <row r="1311">
          <cell r="A1311" t="str">
            <v>IKN400977</v>
          </cell>
          <cell r="B1311">
            <v>975</v>
          </cell>
          <cell r="C1311" t="str">
            <v>Institut Kanser Negara</v>
          </cell>
          <cell r="D1311" t="str">
            <v>KKM/IKN/H/13/2537</v>
          </cell>
          <cell r="E1311" t="str">
            <v>17-950</v>
          </cell>
          <cell r="F1311" t="str">
            <v>Warming Units, Patient, Forced-Air</v>
          </cell>
          <cell r="G1311" t="str">
            <v>RT</v>
          </cell>
          <cell r="H1311" t="str">
            <v>RADIATION TREATMENT UNIT</v>
          </cell>
          <cell r="I1311" t="str">
            <v>01RT238</v>
          </cell>
          <cell r="J1311" t="str">
            <v>PRE-OP</v>
          </cell>
          <cell r="K1311" t="str">
            <v>BMED</v>
          </cell>
          <cell r="L1311" t="str">
            <v>Normal</v>
          </cell>
          <cell r="M1311" t="str">
            <v>USA</v>
          </cell>
          <cell r="N1311" t="str">
            <v>Bair Hugger</v>
          </cell>
          <cell r="O1311" t="str">
            <v>Bair Hugger 775</v>
          </cell>
          <cell r="P1311" t="str">
            <v>36864</v>
          </cell>
          <cell r="Q1311" t="str">
            <v>Not Applicable</v>
          </cell>
          <cell r="R1311" t="str">
            <v>Arizant Healthcare Inc</v>
          </cell>
          <cell r="S1311" t="str">
            <v>Calmed Healthcare Sdn Bhd</v>
          </cell>
          <cell r="T1311" t="str">
            <v>Functioning</v>
          </cell>
          <cell r="U1311" t="str">
            <v>Asset</v>
          </cell>
          <cell r="V1311">
            <v>15515</v>
          </cell>
          <cell r="W1311" t="str">
            <v>KEW</v>
          </cell>
          <cell r="X1311" t="str">
            <v>01/09/2010</v>
          </cell>
          <cell r="Y1311" t="str">
            <v>KEW</v>
          </cell>
          <cell r="Z1311" t="str">
            <v>16/08/2013</v>
          </cell>
          <cell r="AA1311" t="str">
            <v>15/08/2015</v>
          </cell>
          <cell r="AB1311" t="str">
            <v>No</v>
          </cell>
          <cell r="AC1311" t="str">
            <v>31/08/2013</v>
          </cell>
          <cell r="AD1311" t="str">
            <v>Good</v>
          </cell>
          <cell r="AE1311" t="str">
            <v>V1 - Existing / No Claim</v>
          </cell>
          <cell r="AF1311">
            <v>42235</v>
          </cell>
          <cell r="AG1311">
            <v>9.17</v>
          </cell>
          <cell r="AH1311" t="str">
            <v>PPM</v>
          </cell>
          <cell r="AI1311" t="str">
            <v>Strands</v>
          </cell>
          <cell r="AJ1311" t="str">
            <v>Strands PW</v>
          </cell>
        </row>
        <row r="1312">
          <cell r="A1312" t="str">
            <v>IKN400978</v>
          </cell>
          <cell r="B1312">
            <v>976</v>
          </cell>
          <cell r="C1312" t="str">
            <v>Institut Kanser Negara</v>
          </cell>
          <cell r="D1312" t="str">
            <v>KKM/IKN/H/13/4474</v>
          </cell>
          <cell r="E1312" t="str">
            <v>13-469</v>
          </cell>
          <cell r="F1312" t="str">
            <v>Scanning Systems, Computed Tomography</v>
          </cell>
          <cell r="G1312" t="str">
            <v>RT</v>
          </cell>
          <cell r="H1312" t="str">
            <v>RADIATION TREATMENT UNIT</v>
          </cell>
          <cell r="I1312" t="str">
            <v>01RT116</v>
          </cell>
          <cell r="J1312" t="str">
            <v>CT SIMULATOR 1</v>
          </cell>
          <cell r="K1312" t="str">
            <v>BMED</v>
          </cell>
          <cell r="L1312" t="str">
            <v>Normal</v>
          </cell>
          <cell r="M1312" t="str">
            <v>Germany</v>
          </cell>
          <cell r="N1312" t="str">
            <v>Somatom</v>
          </cell>
          <cell r="O1312" t="str">
            <v>Somatom Definition</v>
          </cell>
          <cell r="P1312" t="str">
            <v>65981</v>
          </cell>
          <cell r="Q1312" t="str">
            <v>Not Applicable</v>
          </cell>
          <cell r="R1312" t="str">
            <v>Siemens Medical System</v>
          </cell>
          <cell r="S1312" t="str">
            <v>Metrojendela</v>
          </cell>
          <cell r="T1312" t="str">
            <v>Functioning</v>
          </cell>
          <cell r="U1312" t="str">
            <v>Asset</v>
          </cell>
          <cell r="V1312">
            <v>3557530</v>
          </cell>
          <cell r="W1312" t="str">
            <v>KEW</v>
          </cell>
          <cell r="X1312" t="str">
            <v>01/09/2010</v>
          </cell>
          <cell r="Y1312" t="str">
            <v>KEW</v>
          </cell>
          <cell r="Z1312" t="str">
            <v>16/08/2013</v>
          </cell>
          <cell r="AA1312" t="str">
            <v>15/08/2015</v>
          </cell>
          <cell r="AB1312" t="str">
            <v>No</v>
          </cell>
          <cell r="AC1312" t="str">
            <v>31/08/2013</v>
          </cell>
          <cell r="AD1312" t="str">
            <v>Good</v>
          </cell>
          <cell r="AE1312" t="str">
            <v>V1 - Existing / No Claim</v>
          </cell>
          <cell r="AF1312">
            <v>42235</v>
          </cell>
          <cell r="AG1312">
            <v>9.17</v>
          </cell>
          <cell r="AH1312" t="str">
            <v>PPM</v>
          </cell>
          <cell r="AI1312" t="str">
            <v>Strands</v>
          </cell>
          <cell r="AJ1312" t="str">
            <v>Strands Package</v>
          </cell>
          <cell r="AK1312" t="str">
            <v>Package Code XM0004</v>
          </cell>
        </row>
        <row r="1313">
          <cell r="A1313" t="str">
            <v>IKN400979</v>
          </cell>
          <cell r="B1313">
            <v>977</v>
          </cell>
          <cell r="C1313" t="str">
            <v>Institut Kanser Negara</v>
          </cell>
          <cell r="D1313" t="str">
            <v>N/A</v>
          </cell>
          <cell r="E1313" t="str">
            <v>16-223</v>
          </cell>
          <cell r="F1313" t="str">
            <v>Positioning Aids</v>
          </cell>
          <cell r="G1313" t="str">
            <v>RT</v>
          </cell>
          <cell r="H1313" t="str">
            <v>RADIATION TREATMENT UNIT</v>
          </cell>
          <cell r="I1313" t="str">
            <v>01RT116</v>
          </cell>
          <cell r="J1313" t="str">
            <v>CT SIMULATOR 1</v>
          </cell>
          <cell r="K1313" t="str">
            <v>BMED</v>
          </cell>
          <cell r="L1313" t="str">
            <v>Normal</v>
          </cell>
          <cell r="M1313" t="str">
            <v>Germany</v>
          </cell>
          <cell r="N1313" t="str">
            <v>Dorado</v>
          </cell>
          <cell r="O1313" t="str">
            <v>Dorado</v>
          </cell>
          <cell r="P1313" t="str">
            <v>YEHT236952</v>
          </cell>
          <cell r="Q1313" t="str">
            <v>Not Applicable</v>
          </cell>
          <cell r="R1313" t="str">
            <v>LAP GmbH</v>
          </cell>
          <cell r="S1313" t="str">
            <v>BRAINLAB</v>
          </cell>
          <cell r="T1313" t="str">
            <v>Functioning</v>
          </cell>
          <cell r="U1313" t="str">
            <v>Asset</v>
          </cell>
          <cell r="V1313">
            <v>100000</v>
          </cell>
          <cell r="W1313" t="str">
            <v>Estimate</v>
          </cell>
          <cell r="X1313" t="str">
            <v>01/09/2010</v>
          </cell>
          <cell r="Y1313" t="str">
            <v>KEW</v>
          </cell>
          <cell r="Z1313" t="str">
            <v>16/08/2013</v>
          </cell>
          <cell r="AA1313" t="str">
            <v>15/08/2015</v>
          </cell>
          <cell r="AB1313" t="str">
            <v>No</v>
          </cell>
          <cell r="AC1313" t="str">
            <v>31/08/2013</v>
          </cell>
          <cell r="AD1313" t="str">
            <v>Good</v>
          </cell>
          <cell r="AE1313" t="str">
            <v>V1 - Existing / No Claim</v>
          </cell>
          <cell r="AF1313">
            <v>42605</v>
          </cell>
          <cell r="AG1313">
            <v>9.17</v>
          </cell>
          <cell r="AH1313" t="str">
            <v>RI</v>
          </cell>
          <cell r="AI1313" t="str">
            <v>Strands</v>
          </cell>
          <cell r="AJ1313" t="str">
            <v>Strands Package</v>
          </cell>
          <cell r="AK1313" t="str">
            <v>Package Code XM0004</v>
          </cell>
        </row>
        <row r="1314">
          <cell r="A1314" t="str">
            <v>IKN400980</v>
          </cell>
          <cell r="B1314">
            <v>978</v>
          </cell>
          <cell r="C1314" t="str">
            <v>Institut Kanser Negara</v>
          </cell>
          <cell r="D1314" t="str">
            <v>N/A</v>
          </cell>
          <cell r="E1314" t="str">
            <v>17-968</v>
          </cell>
          <cell r="F1314" t="str">
            <v>Injectors, Contrast Media</v>
          </cell>
          <cell r="G1314" t="str">
            <v>RT</v>
          </cell>
          <cell r="H1314" t="str">
            <v>RADIATION TREATMENT UNIT</v>
          </cell>
          <cell r="I1314" t="str">
            <v>01RT118</v>
          </cell>
          <cell r="J1314" t="str">
            <v>CT SIMULATOR 2</v>
          </cell>
          <cell r="K1314" t="str">
            <v>BMED</v>
          </cell>
          <cell r="L1314" t="str">
            <v>Critical</v>
          </cell>
          <cell r="M1314" t="str">
            <v>USA</v>
          </cell>
          <cell r="N1314" t="str">
            <v>Optivantage</v>
          </cell>
          <cell r="O1314" t="str">
            <v>Optivantage Dual-Head CT</v>
          </cell>
          <cell r="P1314" t="str">
            <v>C1213B515X</v>
          </cell>
          <cell r="Q1314" t="str">
            <v>Not Applicable</v>
          </cell>
          <cell r="R1314" t="str">
            <v>Mallinckrodt</v>
          </cell>
          <cell r="S1314" t="str">
            <v>Schmidt Biomedtech Sdn. Bhd.</v>
          </cell>
          <cell r="T1314" t="str">
            <v>Functioning</v>
          </cell>
          <cell r="U1314" t="str">
            <v>Asset</v>
          </cell>
          <cell r="V1314">
            <v>100000</v>
          </cell>
          <cell r="W1314" t="str">
            <v>Estimate</v>
          </cell>
          <cell r="X1314" t="str">
            <v>01/09/2010</v>
          </cell>
          <cell r="Y1314" t="str">
            <v>KEW</v>
          </cell>
          <cell r="Z1314" t="str">
            <v>16/08/2013</v>
          </cell>
          <cell r="AA1314" t="str">
            <v>15/08/2015</v>
          </cell>
          <cell r="AB1314" t="str">
            <v>No</v>
          </cell>
          <cell r="AC1314" t="str">
            <v>31/08/2013</v>
          </cell>
          <cell r="AD1314" t="str">
            <v>Good</v>
          </cell>
          <cell r="AE1314" t="str">
            <v>V1 - Existing / No Claim</v>
          </cell>
          <cell r="AF1314">
            <v>43370</v>
          </cell>
          <cell r="AG1314">
            <v>9.17</v>
          </cell>
          <cell r="AH1314" t="str">
            <v>PPM</v>
          </cell>
          <cell r="AI1314" t="str">
            <v>Strands</v>
          </cell>
          <cell r="AJ1314" t="str">
            <v>Strands Package</v>
          </cell>
          <cell r="AK1314" t="str">
            <v>Package Code XM0004</v>
          </cell>
        </row>
        <row r="1315">
          <cell r="A1315" t="str">
            <v>IKN400981</v>
          </cell>
          <cell r="B1315">
            <v>979</v>
          </cell>
          <cell r="C1315" t="str">
            <v>Institut Kanser Negara</v>
          </cell>
          <cell r="D1315" t="str">
            <v>KKM/IKN/H/14/83</v>
          </cell>
          <cell r="E1315" t="str">
            <v>18-449</v>
          </cell>
          <cell r="F1315" t="str">
            <v>Balances, Electronic, Analytical</v>
          </cell>
          <cell r="G1315" t="str">
            <v>LA</v>
          </cell>
          <cell r="H1315" t="str">
            <v>PATHOLOGY</v>
          </cell>
          <cell r="I1315" t="str">
            <v>04LA114</v>
          </cell>
          <cell r="J1315" t="str">
            <v>DARK MICROSCOPY</v>
          </cell>
          <cell r="K1315" t="str">
            <v>BMED</v>
          </cell>
          <cell r="L1315" t="str">
            <v>Normal</v>
          </cell>
          <cell r="M1315" t="str">
            <v>Switzerland</v>
          </cell>
          <cell r="N1315" t="str">
            <v>Mettler Toledo</v>
          </cell>
          <cell r="O1315" t="str">
            <v>Mettler Toledo ML204/02</v>
          </cell>
          <cell r="P1315" t="str">
            <v>B434952155</v>
          </cell>
          <cell r="Q1315" t="str">
            <v>Not Applicable</v>
          </cell>
          <cell r="R1315" t="str">
            <v>Mettler-Toledo AG</v>
          </cell>
          <cell r="S1315" t="str">
            <v>Chemopharm S/B</v>
          </cell>
          <cell r="T1315" t="str">
            <v>Functioning</v>
          </cell>
          <cell r="U1315" t="str">
            <v>Asset</v>
          </cell>
          <cell r="V1315">
            <v>5500</v>
          </cell>
          <cell r="W1315" t="str">
            <v>KEW</v>
          </cell>
          <cell r="X1315" t="str">
            <v>26/09/2014</v>
          </cell>
          <cell r="Y1315" t="str">
            <v>KEW</v>
          </cell>
          <cell r="Z1315" t="str">
            <v>10/11/2014</v>
          </cell>
          <cell r="AA1315" t="str">
            <v>09/11/2015</v>
          </cell>
          <cell r="AB1315" t="str">
            <v>No</v>
          </cell>
          <cell r="AC1315" t="str">
            <v>10/11/2014</v>
          </cell>
          <cell r="AD1315" t="str">
            <v>Good</v>
          </cell>
          <cell r="AE1315" t="str">
            <v>V3 - Added Installed Facilities (New)</v>
          </cell>
          <cell r="AF1315">
            <v>42678</v>
          </cell>
          <cell r="AG1315">
            <v>5.17</v>
          </cell>
          <cell r="AH1315" t="str">
            <v>PPM</v>
          </cell>
          <cell r="AI1315" t="str">
            <v>Strands</v>
          </cell>
          <cell r="AJ1315" t="str">
            <v>Strands PW</v>
          </cell>
          <cell r="AK1315" t="str">
            <v>SNF received. 1st batch of V3 asset (December 2020)</v>
          </cell>
        </row>
        <row r="1316">
          <cell r="A1316" t="str">
            <v>IKN400982</v>
          </cell>
          <cell r="B1316">
            <v>980</v>
          </cell>
          <cell r="C1316" t="str">
            <v>Institut Kanser Negara</v>
          </cell>
          <cell r="D1316" t="str">
            <v>KKM/IKN/H/13/2999</v>
          </cell>
          <cell r="E1316" t="str">
            <v>12-660</v>
          </cell>
          <cell r="F1316" t="str">
            <v>Radiation Monitors</v>
          </cell>
          <cell r="G1316" t="str">
            <v>WA</v>
          </cell>
          <cell r="H1316" t="str">
            <v>NUCLEAR MED WARD (THERAPY)</v>
          </cell>
          <cell r="I1316" t="str">
            <v>03WA125</v>
          </cell>
          <cell r="J1316" t="str">
            <v>RADIOIODIN PREP (100% F.A.)</v>
          </cell>
          <cell r="K1316" t="str">
            <v>BMED</v>
          </cell>
          <cell r="L1316" t="str">
            <v>Normal</v>
          </cell>
          <cell r="M1316" t="str">
            <v>Germany</v>
          </cell>
          <cell r="N1316" t="str">
            <v>CoMo</v>
          </cell>
          <cell r="O1316" t="str">
            <v>CoMo 170</v>
          </cell>
          <cell r="P1316" t="str">
            <v>5390</v>
          </cell>
          <cell r="Q1316" t="str">
            <v>Not Applicable</v>
          </cell>
          <cell r="R1316" t="str">
            <v>MED Nuklear-Medizintechnik Dresden GmbH</v>
          </cell>
          <cell r="S1316" t="str">
            <v/>
          </cell>
          <cell r="T1316" t="str">
            <v>Functioning</v>
          </cell>
          <cell r="U1316" t="str">
            <v>Asset</v>
          </cell>
          <cell r="V1316">
            <v>6810</v>
          </cell>
          <cell r="W1316" t="str">
            <v>KEW</v>
          </cell>
          <cell r="X1316" t="str">
            <v>01/09/2010</v>
          </cell>
          <cell r="Y1316" t="str">
            <v>KEW</v>
          </cell>
          <cell r="Z1316" t="str">
            <v>16/08/2013</v>
          </cell>
          <cell r="AA1316" t="str">
            <v>15/08/2015</v>
          </cell>
          <cell r="AB1316" t="str">
            <v>No</v>
          </cell>
          <cell r="AC1316" t="str">
            <v>31/08/2013</v>
          </cell>
          <cell r="AD1316" t="str">
            <v>Good</v>
          </cell>
          <cell r="AE1316" t="str">
            <v>V1 - Existing / No Claim</v>
          </cell>
          <cell r="AF1316">
            <v>42235</v>
          </cell>
          <cell r="AG1316">
            <v>9.17</v>
          </cell>
          <cell r="AH1316" t="str">
            <v>PPM</v>
          </cell>
          <cell r="AI1316" t="str">
            <v>Strands</v>
          </cell>
          <cell r="AJ1316" t="str">
            <v>Strands PW</v>
          </cell>
          <cell r="AK1316" t="str">
            <v>SNF received. 1st batch of V3 asset (December 2020)</v>
          </cell>
        </row>
        <row r="1317">
          <cell r="A1317" t="str">
            <v>IKN400983</v>
          </cell>
          <cell r="B1317">
            <v>981</v>
          </cell>
          <cell r="C1317" t="str">
            <v>Institut Kanser Negara</v>
          </cell>
          <cell r="D1317" t="str">
            <v>KKM/IKN/H/13/2767</v>
          </cell>
          <cell r="E1317" t="str">
            <v>12-660</v>
          </cell>
          <cell r="F1317" t="str">
            <v>Radiation Monitors</v>
          </cell>
          <cell r="G1317" t="str">
            <v>NM</v>
          </cell>
          <cell r="H1317" t="str">
            <v>NUCLEAR MED (DIAGNOSTIC)</v>
          </cell>
          <cell r="I1317" t="str">
            <v>03NM138</v>
          </cell>
          <cell r="J1317" t="str">
            <v>RADIOIODINE PREP. (100% F.A)</v>
          </cell>
          <cell r="K1317" t="str">
            <v>BMED</v>
          </cell>
          <cell r="L1317" t="str">
            <v>Normal</v>
          </cell>
          <cell r="M1317" t="str">
            <v>Germany</v>
          </cell>
          <cell r="N1317" t="str">
            <v>CoMo</v>
          </cell>
          <cell r="O1317" t="str">
            <v>CoMo 170</v>
          </cell>
          <cell r="P1317" t="str">
            <v>5064DL</v>
          </cell>
          <cell r="Q1317" t="str">
            <v>Not Applicable</v>
          </cell>
          <cell r="R1317" t="str">
            <v>MED Nuklear-Medizintechnik Dresden GmbH</v>
          </cell>
          <cell r="S1317" t="str">
            <v/>
          </cell>
          <cell r="T1317" t="str">
            <v>Functioning</v>
          </cell>
          <cell r="U1317" t="str">
            <v>Asset</v>
          </cell>
          <cell r="V1317">
            <v>23270</v>
          </cell>
          <cell r="W1317" t="str">
            <v>KEW</v>
          </cell>
          <cell r="X1317" t="str">
            <v>01/09/2010</v>
          </cell>
          <cell r="Y1317" t="str">
            <v>KEW</v>
          </cell>
          <cell r="Z1317" t="str">
            <v>16/08/2013</v>
          </cell>
          <cell r="AA1317" t="str">
            <v>15/08/2015</v>
          </cell>
          <cell r="AB1317" t="str">
            <v>No</v>
          </cell>
          <cell r="AC1317" t="str">
            <v>31/08/2013</v>
          </cell>
          <cell r="AD1317" t="str">
            <v>Good</v>
          </cell>
          <cell r="AE1317" t="str">
            <v>V1 - Existing / No Claim</v>
          </cell>
          <cell r="AF1317">
            <v>42235</v>
          </cell>
          <cell r="AG1317">
            <v>9.17</v>
          </cell>
          <cell r="AH1317" t="str">
            <v>PPM</v>
          </cell>
          <cell r="AI1317" t="str">
            <v>Strands</v>
          </cell>
          <cell r="AJ1317" t="str">
            <v>Strands PW</v>
          </cell>
        </row>
        <row r="1318">
          <cell r="A1318" t="str">
            <v>IKN400984</v>
          </cell>
          <cell r="B1318">
            <v>982</v>
          </cell>
          <cell r="C1318" t="str">
            <v>Institut Kanser Negara</v>
          </cell>
          <cell r="D1318" t="e">
            <v>#N/A</v>
          </cell>
          <cell r="E1318" t="str">
            <v>17-211</v>
          </cell>
          <cell r="F1318" t="str">
            <v>Radiation Survey Meters, Geiger-Muller</v>
          </cell>
          <cell r="G1318" t="str">
            <v>NM</v>
          </cell>
          <cell r="H1318" t="str">
            <v>NUCLEAR MED (DIAGNOSTIC)</v>
          </cell>
          <cell r="I1318" t="str">
            <v>03NM133</v>
          </cell>
          <cell r="J1318" t="str">
            <v>RADIODINE DISPENSING (-VE)</v>
          </cell>
          <cell r="K1318" t="str">
            <v>BMED</v>
          </cell>
          <cell r="L1318" t="str">
            <v>Normal</v>
          </cell>
          <cell r="M1318" t="str">
            <v>USA</v>
          </cell>
          <cell r="N1318" t="str">
            <v>Ludlum</v>
          </cell>
          <cell r="O1318" t="str">
            <v>Ludlum 14C</v>
          </cell>
          <cell r="P1318" t="str">
            <v>295080</v>
          </cell>
          <cell r="Q1318" t="str">
            <v>Not Applicable</v>
          </cell>
          <cell r="R1318" t="str">
            <v>Ludlum Measurements Inc</v>
          </cell>
          <cell r="S1318" t="str">
            <v>Not Available</v>
          </cell>
          <cell r="T1318" t="str">
            <v>Functioning</v>
          </cell>
          <cell r="U1318" t="str">
            <v>Asset</v>
          </cell>
          <cell r="V1318">
            <v>10000</v>
          </cell>
          <cell r="W1318" t="str">
            <v>Estimate</v>
          </cell>
          <cell r="X1318" t="str">
            <v>01/09/2010</v>
          </cell>
          <cell r="Y1318" t="str">
            <v>KEW</v>
          </cell>
          <cell r="Z1318" t="str">
            <v>16/08/2013</v>
          </cell>
          <cell r="AA1318" t="str">
            <v>15/08/2015</v>
          </cell>
          <cell r="AB1318" t="str">
            <v>No</v>
          </cell>
          <cell r="AC1318" t="str">
            <v>31/08/2013</v>
          </cell>
          <cell r="AD1318" t="str">
            <v>Good</v>
          </cell>
          <cell r="AE1318" t="str">
            <v>V1 - Existing / No Claim</v>
          </cell>
          <cell r="AF1318">
            <v>42605</v>
          </cell>
          <cell r="AG1318">
            <v>9.17</v>
          </cell>
          <cell r="AH1318" t="str">
            <v>PPM</v>
          </cell>
          <cell r="AI1318" t="str">
            <v>Not in contract</v>
          </cell>
        </row>
        <row r="1319">
          <cell r="A1319" t="str">
            <v>IKN400985</v>
          </cell>
          <cell r="B1319">
            <v>983</v>
          </cell>
          <cell r="C1319" t="str">
            <v>Institut Kanser Negara</v>
          </cell>
          <cell r="D1319" t="e">
            <v>#N/A</v>
          </cell>
          <cell r="E1319" t="str">
            <v>13-275</v>
          </cell>
          <cell r="F1319" t="str">
            <v>Calibrators, Radioisotope</v>
          </cell>
          <cell r="G1319" t="str">
            <v>NM</v>
          </cell>
          <cell r="H1319" t="str">
            <v>NUCLEAR MED (DIAGNOSTIC)</v>
          </cell>
          <cell r="I1319" t="str">
            <v>03NM138</v>
          </cell>
          <cell r="J1319" t="str">
            <v>RADIOIODINE PREP. (100% F.A)</v>
          </cell>
          <cell r="K1319" t="str">
            <v>BMED</v>
          </cell>
          <cell r="L1319" t="str">
            <v>Normal</v>
          </cell>
          <cell r="M1319" t="str">
            <v>USA</v>
          </cell>
          <cell r="N1319" t="str">
            <v>Atomlab</v>
          </cell>
          <cell r="O1319" t="str">
            <v>Atomlab 500</v>
          </cell>
          <cell r="P1319" t="str">
            <v>13040806</v>
          </cell>
          <cell r="Q1319" t="str">
            <v>Not Applicable</v>
          </cell>
          <cell r="R1319" t="str">
            <v>Biodex Medical Systems Inc</v>
          </cell>
          <cell r="S1319" t="str">
            <v>Not Available</v>
          </cell>
          <cell r="T1319" t="str">
            <v>Functioning</v>
          </cell>
          <cell r="U1319" t="str">
            <v>Asset</v>
          </cell>
          <cell r="V1319">
            <v>20000</v>
          </cell>
          <cell r="W1319" t="str">
            <v>Estimate</v>
          </cell>
          <cell r="X1319" t="str">
            <v>01/09/2010</v>
          </cell>
          <cell r="Y1319" t="str">
            <v>KEW</v>
          </cell>
          <cell r="Z1319" t="str">
            <v>16/08/2013</v>
          </cell>
          <cell r="AA1319" t="str">
            <v>15/08/2015</v>
          </cell>
          <cell r="AB1319" t="str">
            <v>No</v>
          </cell>
          <cell r="AC1319" t="str">
            <v>31/08/2013</v>
          </cell>
          <cell r="AD1319" t="str">
            <v>Good</v>
          </cell>
          <cell r="AE1319" t="str">
            <v>V1 - Existing / No Claim</v>
          </cell>
          <cell r="AF1319">
            <v>42605</v>
          </cell>
          <cell r="AG1319">
            <v>9.17</v>
          </cell>
          <cell r="AH1319" t="str">
            <v>PPM</v>
          </cell>
          <cell r="AI1319" t="str">
            <v>package</v>
          </cell>
          <cell r="AJ1319" t="e">
            <v>#REF!</v>
          </cell>
          <cell r="AK1319" t="e">
            <v>#N/A</v>
          </cell>
        </row>
        <row r="1320">
          <cell r="A1320" t="str">
            <v>IKN400986</v>
          </cell>
          <cell r="B1320">
            <v>984</v>
          </cell>
          <cell r="C1320" t="str">
            <v>Institut Kanser Negara</v>
          </cell>
          <cell r="D1320" t="str">
            <v>KKM/IKN/H/13/3000</v>
          </cell>
          <cell r="E1320" t="str">
            <v>13-275</v>
          </cell>
          <cell r="F1320" t="str">
            <v>Calibrators, Radioisotope</v>
          </cell>
          <cell r="G1320" t="str">
            <v>NM</v>
          </cell>
          <cell r="H1320" t="str">
            <v>NUCLEAR MED (DIAGNOSTIC)</v>
          </cell>
          <cell r="I1320" t="str">
            <v>03NM139</v>
          </cell>
          <cell r="J1320" t="str">
            <v>QC</v>
          </cell>
          <cell r="K1320" t="str">
            <v>BMED</v>
          </cell>
          <cell r="L1320" t="str">
            <v>Normal</v>
          </cell>
          <cell r="M1320" t="str">
            <v>USA</v>
          </cell>
          <cell r="N1320" t="str">
            <v>Atomlab</v>
          </cell>
          <cell r="O1320" t="str">
            <v>Atomlab 500 Plus</v>
          </cell>
          <cell r="P1320" t="str">
            <v>12100248</v>
          </cell>
          <cell r="Q1320" t="str">
            <v>Not Applicable</v>
          </cell>
          <cell r="R1320" t="str">
            <v>Biodex Medical Systems Inc</v>
          </cell>
          <cell r="S1320" t="str">
            <v>Not Available</v>
          </cell>
          <cell r="T1320" t="str">
            <v>Functioning</v>
          </cell>
          <cell r="U1320" t="str">
            <v>Asset</v>
          </cell>
          <cell r="V1320">
            <v>60390</v>
          </cell>
          <cell r="W1320" t="str">
            <v>Estimate</v>
          </cell>
          <cell r="X1320" t="str">
            <v>01/09/2010</v>
          </cell>
          <cell r="Y1320" t="str">
            <v>KEW</v>
          </cell>
          <cell r="Z1320" t="str">
            <v>16/08/2013</v>
          </cell>
          <cell r="AA1320" t="str">
            <v>15/08/2015</v>
          </cell>
          <cell r="AB1320" t="str">
            <v>No</v>
          </cell>
          <cell r="AC1320" t="str">
            <v>31/08/2013</v>
          </cell>
          <cell r="AD1320" t="str">
            <v>Good</v>
          </cell>
          <cell r="AE1320" t="str">
            <v>V1 - Existing / No Claim</v>
          </cell>
          <cell r="AF1320">
            <v>43375</v>
          </cell>
          <cell r="AG1320">
            <v>9.17</v>
          </cell>
          <cell r="AH1320" t="str">
            <v>PPM</v>
          </cell>
          <cell r="AI1320" t="str">
            <v>Strands</v>
          </cell>
          <cell r="AJ1320" t="str">
            <v>Strands PW</v>
          </cell>
        </row>
        <row r="1321">
          <cell r="A1321" t="str">
            <v>IKN400987</v>
          </cell>
          <cell r="B1321">
            <v>985</v>
          </cell>
          <cell r="C1321" t="str">
            <v>Institut Kanser Negara</v>
          </cell>
          <cell r="D1321" t="str">
            <v>KKM/IKN/H/13/2997</v>
          </cell>
          <cell r="E1321" t="str">
            <v>12-660</v>
          </cell>
          <cell r="F1321" t="str">
            <v>Radiation Monitors</v>
          </cell>
          <cell r="G1321" t="str">
            <v>NM</v>
          </cell>
          <cell r="H1321" t="str">
            <v>NUCLEAR MED (DIAGNOSTIC)</v>
          </cell>
          <cell r="I1321" t="str">
            <v>03NM141</v>
          </cell>
          <cell r="J1321" t="str">
            <v>STERILE RADIO PHARMACEUTICAL PREPARATION</v>
          </cell>
          <cell r="K1321" t="str">
            <v>BMED</v>
          </cell>
          <cell r="L1321" t="str">
            <v>Normal</v>
          </cell>
          <cell r="M1321" t="str">
            <v>Germany</v>
          </cell>
          <cell r="N1321" t="str">
            <v>CoMo</v>
          </cell>
          <cell r="O1321" t="str">
            <v>CoMo 170</v>
          </cell>
          <cell r="P1321" t="str">
            <v>5065DL</v>
          </cell>
          <cell r="Q1321" t="str">
            <v>Not Applicable</v>
          </cell>
          <cell r="R1321" t="str">
            <v>MED Nuklear-Medizintechnik Dresden GmbH</v>
          </cell>
          <cell r="S1321" t="str">
            <v/>
          </cell>
          <cell r="T1321" t="str">
            <v>Functioning</v>
          </cell>
          <cell r="U1321" t="str">
            <v>Asset</v>
          </cell>
          <cell r="V1321">
            <v>23270</v>
          </cell>
          <cell r="W1321" t="str">
            <v>KEW</v>
          </cell>
          <cell r="X1321" t="str">
            <v>01/09/2010</v>
          </cell>
          <cell r="Y1321" t="str">
            <v>KEW</v>
          </cell>
          <cell r="Z1321" t="str">
            <v>16/08/2013</v>
          </cell>
          <cell r="AA1321" t="str">
            <v>15/08/2015</v>
          </cell>
          <cell r="AB1321" t="str">
            <v>No</v>
          </cell>
          <cell r="AC1321" t="str">
            <v>31/08/2013</v>
          </cell>
          <cell r="AD1321" t="str">
            <v>Good</v>
          </cell>
          <cell r="AE1321" t="str">
            <v>V1 - Existing / No Claim</v>
          </cell>
          <cell r="AF1321">
            <v>42235</v>
          </cell>
          <cell r="AG1321">
            <v>9.17</v>
          </cell>
          <cell r="AH1321" t="str">
            <v>PPM</v>
          </cell>
          <cell r="AI1321" t="str">
            <v>Strands</v>
          </cell>
          <cell r="AJ1321" t="str">
            <v>Strands PW</v>
          </cell>
        </row>
        <row r="1322">
          <cell r="A1322" t="str">
            <v>IKN400988</v>
          </cell>
          <cell r="B1322">
            <v>986</v>
          </cell>
          <cell r="C1322" t="str">
            <v>Institut Kanser Negara</v>
          </cell>
          <cell r="D1322" t="str">
            <v>KKM/IKN/H/13/5152</v>
          </cell>
          <cell r="E1322" t="str">
            <v>13-275</v>
          </cell>
          <cell r="F1322" t="str">
            <v>Calibrators, Radioisotope</v>
          </cell>
          <cell r="G1322" t="str">
            <v>NM</v>
          </cell>
          <cell r="H1322" t="str">
            <v>NUCLEAR MED (DIAGNOSTIC)</v>
          </cell>
          <cell r="I1322" t="str">
            <v>03NM141</v>
          </cell>
          <cell r="J1322" t="str">
            <v>STERILE RADIO PHARMACEUTICAL PREPARATION</v>
          </cell>
          <cell r="K1322" t="str">
            <v>BMED</v>
          </cell>
          <cell r="L1322" t="str">
            <v>Normal</v>
          </cell>
          <cell r="M1322" t="str">
            <v>USA</v>
          </cell>
          <cell r="N1322" t="str">
            <v>Atomlab</v>
          </cell>
          <cell r="O1322" t="str">
            <v>Atomlab 500</v>
          </cell>
          <cell r="P1322" t="str">
            <v>12100728</v>
          </cell>
          <cell r="Q1322" t="str">
            <v>Not Applicable</v>
          </cell>
          <cell r="R1322" t="str">
            <v>Biodex Medical Systems Inc</v>
          </cell>
          <cell r="S1322" t="str">
            <v>Not Available</v>
          </cell>
          <cell r="T1322" t="str">
            <v>Functioning</v>
          </cell>
          <cell r="U1322" t="str">
            <v>Asset</v>
          </cell>
          <cell r="V1322">
            <v>60390</v>
          </cell>
          <cell r="W1322" t="str">
            <v>Estimate</v>
          </cell>
          <cell r="X1322" t="str">
            <v>01/09/2010</v>
          </cell>
          <cell r="Y1322" t="str">
            <v>KEW</v>
          </cell>
          <cell r="Z1322" t="str">
            <v>16/08/2013</v>
          </cell>
          <cell r="AA1322" t="str">
            <v>15/08/2015</v>
          </cell>
          <cell r="AB1322" t="str">
            <v>No</v>
          </cell>
          <cell r="AC1322" t="str">
            <v>16/08/2013</v>
          </cell>
          <cell r="AD1322" t="str">
            <v>Good</v>
          </cell>
          <cell r="AE1322" t="str">
            <v>V1 - Existing / No Claim</v>
          </cell>
          <cell r="AF1322">
            <v>42605</v>
          </cell>
          <cell r="AG1322">
            <v>9.17</v>
          </cell>
          <cell r="AH1322" t="str">
            <v>PPM</v>
          </cell>
          <cell r="AI1322" t="str">
            <v>Strands</v>
          </cell>
          <cell r="AJ1322" t="str">
            <v>Strands PW</v>
          </cell>
        </row>
        <row r="1323">
          <cell r="A1323" t="str">
            <v>IKN400989</v>
          </cell>
          <cell r="B1323">
            <v>987</v>
          </cell>
          <cell r="C1323" t="str">
            <v>Institut Kanser Negara</v>
          </cell>
          <cell r="D1323" t="str">
            <v>KKM/IKN/H/13/5150</v>
          </cell>
          <cell r="E1323" t="str">
            <v>13-275</v>
          </cell>
          <cell r="F1323" t="str">
            <v>Calibrators, Radioisotope</v>
          </cell>
          <cell r="G1323" t="str">
            <v>NM</v>
          </cell>
          <cell r="H1323" t="str">
            <v>NUCLEAR MED (DIAGNOSTIC)</v>
          </cell>
          <cell r="I1323" t="str">
            <v>03NM141</v>
          </cell>
          <cell r="J1323" t="str">
            <v>STERILE RADIO PHARMACEUTICAL PREPARATION</v>
          </cell>
          <cell r="K1323" t="str">
            <v>BMED</v>
          </cell>
          <cell r="L1323" t="str">
            <v>Normal</v>
          </cell>
          <cell r="M1323" t="str">
            <v>Germany</v>
          </cell>
          <cell r="N1323" t="str">
            <v>Isomed</v>
          </cell>
          <cell r="O1323" t="str">
            <v>Isomed</v>
          </cell>
          <cell r="P1323" t="str">
            <v>NA</v>
          </cell>
          <cell r="Q1323" t="str">
            <v>Not Applicable</v>
          </cell>
          <cell r="R1323" t="str">
            <v>MED Nuklear-Medizintechnik Dresden GmbH</v>
          </cell>
          <cell r="S1323" t="str">
            <v>Not Available</v>
          </cell>
          <cell r="T1323" t="str">
            <v>Functioning</v>
          </cell>
          <cell r="U1323" t="str">
            <v>Asset</v>
          </cell>
          <cell r="V1323">
            <v>50000</v>
          </cell>
          <cell r="W1323" t="str">
            <v>Estimate</v>
          </cell>
          <cell r="X1323" t="str">
            <v>01/09/2010</v>
          </cell>
          <cell r="Y1323" t="str">
            <v>KEW</v>
          </cell>
          <cell r="Z1323" t="str">
            <v>16/08/2013</v>
          </cell>
          <cell r="AA1323" t="str">
            <v>15/08/2015</v>
          </cell>
          <cell r="AB1323" t="str">
            <v>No</v>
          </cell>
          <cell r="AC1323" t="str">
            <v>31/08/2013</v>
          </cell>
          <cell r="AD1323" t="str">
            <v>Good</v>
          </cell>
          <cell r="AE1323" t="str">
            <v>V1 - Existing / No Claim</v>
          </cell>
          <cell r="AF1323">
            <v>42605</v>
          </cell>
          <cell r="AG1323">
            <v>9.17</v>
          </cell>
          <cell r="AH1323" t="str">
            <v>PPM</v>
          </cell>
          <cell r="AI1323" t="str">
            <v>Strands</v>
          </cell>
          <cell r="AJ1323" t="str">
            <v>Strands PW</v>
          </cell>
          <cell r="AK1323" t="str">
            <v>Replace new unit during UEM. (Capintec Inc. Model:CRC-55tR _S/N:552341H)</v>
          </cell>
        </row>
        <row r="1324">
          <cell r="A1324" t="str">
            <v>IKN400990</v>
          </cell>
          <cell r="B1324">
            <v>988</v>
          </cell>
          <cell r="C1324" t="str">
            <v>Institut Kanser Negara</v>
          </cell>
          <cell r="D1324" t="str">
            <v>KKM/IKN/H/13/2998</v>
          </cell>
          <cell r="E1324" t="str">
            <v>12-660</v>
          </cell>
          <cell r="F1324" t="str">
            <v>Radiation Monitors</v>
          </cell>
          <cell r="G1324" t="str">
            <v>NM</v>
          </cell>
          <cell r="H1324" t="str">
            <v>NUCLEAR MED (DIAGNOSTIC)</v>
          </cell>
          <cell r="I1324" t="str">
            <v>03NM143</v>
          </cell>
          <cell r="J1324" t="str">
            <v>INJECTION ROOM 1 (-VE)</v>
          </cell>
          <cell r="K1324" t="str">
            <v>BMED</v>
          </cell>
          <cell r="L1324" t="str">
            <v>Normal</v>
          </cell>
          <cell r="M1324" t="str">
            <v>Germany</v>
          </cell>
          <cell r="N1324" t="str">
            <v>CoMo</v>
          </cell>
          <cell r="O1324" t="str">
            <v>CoMo 170</v>
          </cell>
          <cell r="P1324" t="str">
            <v>5066DL</v>
          </cell>
          <cell r="Q1324" t="str">
            <v>Not Applicable</v>
          </cell>
          <cell r="R1324" t="str">
            <v>MED Nuklear-Medizintechnik Dresden GmbH</v>
          </cell>
          <cell r="S1324" t="str">
            <v/>
          </cell>
          <cell r="T1324" t="str">
            <v>Functioning</v>
          </cell>
          <cell r="U1324" t="str">
            <v>Asset</v>
          </cell>
          <cell r="V1324">
            <v>23270</v>
          </cell>
          <cell r="W1324" t="str">
            <v>KEW</v>
          </cell>
          <cell r="X1324" t="str">
            <v>01/09/2010</v>
          </cell>
          <cell r="Y1324" t="str">
            <v>KEW</v>
          </cell>
          <cell r="Z1324" t="str">
            <v>16/08/2013</v>
          </cell>
          <cell r="AA1324" t="str">
            <v>15/08/2015</v>
          </cell>
          <cell r="AB1324" t="str">
            <v>No</v>
          </cell>
          <cell r="AC1324" t="str">
            <v>31/08/2013</v>
          </cell>
          <cell r="AD1324" t="str">
            <v>Good</v>
          </cell>
          <cell r="AE1324" t="str">
            <v>V1 - Existing / No Claim</v>
          </cell>
          <cell r="AF1324">
            <v>42235</v>
          </cell>
          <cell r="AG1324">
            <v>9.17</v>
          </cell>
          <cell r="AH1324" t="str">
            <v>PPM</v>
          </cell>
          <cell r="AI1324" t="str">
            <v>Strands</v>
          </cell>
          <cell r="AJ1324" t="str">
            <v>Strands PW</v>
          </cell>
        </row>
        <row r="1325">
          <cell r="A1325" t="str">
            <v>IKN400993</v>
          </cell>
          <cell r="B1325">
            <v>991</v>
          </cell>
          <cell r="C1325" t="str">
            <v>Institut Kanser Negara</v>
          </cell>
          <cell r="D1325" t="str">
            <v>TAKDE KEWPA</v>
          </cell>
          <cell r="E1325" t="str">
            <v>17-211</v>
          </cell>
          <cell r="F1325" t="str">
            <v>Radiation Survey Meters, Geiger-Muller</v>
          </cell>
          <cell r="G1325" t="str">
            <v>WA</v>
          </cell>
          <cell r="H1325" t="str">
            <v>NUCLEAR MED WARD (THERAPY)</v>
          </cell>
          <cell r="I1325" t="str">
            <v>03WA125</v>
          </cell>
          <cell r="J1325" t="str">
            <v>RADIOIODIN PREP (100% F.A.)</v>
          </cell>
          <cell r="K1325" t="str">
            <v>BMED</v>
          </cell>
          <cell r="L1325" t="str">
            <v>Normal</v>
          </cell>
          <cell r="M1325" t="str">
            <v>USA</v>
          </cell>
          <cell r="N1325" t="str">
            <v>Ludlum</v>
          </cell>
          <cell r="O1325" t="str">
            <v>Ludlum 14C</v>
          </cell>
          <cell r="P1325" t="str">
            <v>295020</v>
          </cell>
          <cell r="Q1325" t="str">
            <v>Not Applicable</v>
          </cell>
          <cell r="R1325" t="str">
            <v>Ludlum Measurements Inc</v>
          </cell>
          <cell r="S1325" t="str">
            <v>Not Available</v>
          </cell>
          <cell r="T1325" t="str">
            <v>Functioning</v>
          </cell>
          <cell r="U1325" t="str">
            <v>Asset</v>
          </cell>
          <cell r="V1325">
            <v>10000</v>
          </cell>
          <cell r="W1325" t="str">
            <v>Estimate</v>
          </cell>
          <cell r="X1325" t="str">
            <v>01/09/2010</v>
          </cell>
          <cell r="Y1325" t="str">
            <v>KEW</v>
          </cell>
          <cell r="Z1325" t="str">
            <v>16/08/2013</v>
          </cell>
          <cell r="AA1325" t="str">
            <v>15/08/2015</v>
          </cell>
          <cell r="AB1325" t="str">
            <v>No</v>
          </cell>
          <cell r="AC1325" t="str">
            <v>31/08/2013</v>
          </cell>
          <cell r="AD1325" t="str">
            <v>Good</v>
          </cell>
          <cell r="AE1325" t="str">
            <v>V1 - Existing / No Claim</v>
          </cell>
          <cell r="AF1325">
            <v>42605</v>
          </cell>
          <cell r="AG1325">
            <v>9.17</v>
          </cell>
          <cell r="AH1325" t="str">
            <v>PPM</v>
          </cell>
          <cell r="AI1325" t="str">
            <v>Not in contract</v>
          </cell>
        </row>
        <row r="1326">
          <cell r="A1326" t="str">
            <v>IKN400994</v>
          </cell>
          <cell r="B1326">
            <v>992</v>
          </cell>
          <cell r="C1326" t="str">
            <v>Institut Kanser Negara</v>
          </cell>
          <cell r="D1326" t="e">
            <v>#N/A</v>
          </cell>
          <cell r="E1326" t="str">
            <v>12-660</v>
          </cell>
          <cell r="F1326" t="str">
            <v>Radiation Monitors</v>
          </cell>
          <cell r="G1326" t="str">
            <v>WA</v>
          </cell>
          <cell r="H1326" t="str">
            <v>NUCLEAR MED WARD (THERAPY)</v>
          </cell>
          <cell r="I1326" t="str">
            <v>03WA125</v>
          </cell>
          <cell r="J1326" t="str">
            <v>RADIOIODIN PREP (100% F.A.)</v>
          </cell>
          <cell r="K1326" t="str">
            <v>BMED</v>
          </cell>
          <cell r="L1326" t="str">
            <v>Normal</v>
          </cell>
          <cell r="M1326" t="str">
            <v>Germany</v>
          </cell>
          <cell r="N1326" t="str">
            <v>Almo</v>
          </cell>
          <cell r="O1326" t="str">
            <v>Almo 1</v>
          </cell>
          <cell r="P1326" t="str">
            <v>559</v>
          </cell>
          <cell r="Q1326" t="str">
            <v>Not Applicable</v>
          </cell>
          <cell r="R1326" t="str">
            <v>MED Nuklear-Medizintechnik Dresden GmbH</v>
          </cell>
          <cell r="S1326" t="str">
            <v>.</v>
          </cell>
          <cell r="T1326" t="str">
            <v>Functioning</v>
          </cell>
          <cell r="U1326" t="str">
            <v>Asset</v>
          </cell>
          <cell r="V1326">
            <v>54570</v>
          </cell>
          <cell r="W1326" t="str">
            <v>KEW</v>
          </cell>
          <cell r="X1326" t="str">
            <v>01/09/2010</v>
          </cell>
          <cell r="Y1326" t="str">
            <v>KEW</v>
          </cell>
          <cell r="Z1326" t="str">
            <v>16/08/2013</v>
          </cell>
          <cell r="AA1326" t="str">
            <v>15/08/2015</v>
          </cell>
          <cell r="AB1326" t="str">
            <v>No</v>
          </cell>
          <cell r="AC1326" t="str">
            <v>31/08/2013</v>
          </cell>
          <cell r="AD1326" t="str">
            <v>Good</v>
          </cell>
          <cell r="AE1326" t="str">
            <v>V1 - Existing / No Claim</v>
          </cell>
          <cell r="AF1326">
            <v>42369</v>
          </cell>
          <cell r="AG1326">
            <v>9.17</v>
          </cell>
          <cell r="AH1326" t="str">
            <v>PPM</v>
          </cell>
          <cell r="AI1326" t="str">
            <v>package</v>
          </cell>
          <cell r="AK1326" t="str">
            <v>[25/11/2024]: SN Detector: 311197</v>
          </cell>
        </row>
        <row r="1327">
          <cell r="A1327" t="str">
            <v>IKN400995</v>
          </cell>
          <cell r="B1327">
            <v>993</v>
          </cell>
          <cell r="C1327" t="str">
            <v>Institut Kanser Negara</v>
          </cell>
          <cell r="D1327" t="str">
            <v>KKM/IKN/H/13/3098</v>
          </cell>
          <cell r="E1327" t="str">
            <v>16-567</v>
          </cell>
          <cell r="F1327" t="str">
            <v>Thyroid Uptake Systems</v>
          </cell>
          <cell r="G1327" t="str">
            <v>NM</v>
          </cell>
          <cell r="H1327" t="str">
            <v>NUCLEAR MED (DIAGNOSTIC)</v>
          </cell>
          <cell r="I1327" t="str">
            <v>03NM123</v>
          </cell>
          <cell r="J1327" t="str">
            <v>NON-IMAGING EQ.ROOM</v>
          </cell>
          <cell r="K1327" t="str">
            <v>BMED</v>
          </cell>
          <cell r="L1327" t="str">
            <v>Normal</v>
          </cell>
          <cell r="M1327" t="str">
            <v>USA</v>
          </cell>
          <cell r="N1327" t="str">
            <v>Atomlab</v>
          </cell>
          <cell r="O1327" t="str">
            <v>Atomlab 950C</v>
          </cell>
          <cell r="P1327" t="str">
            <v>766101401660001</v>
          </cell>
          <cell r="Q1327" t="str">
            <v>NA</v>
          </cell>
          <cell r="R1327" t="str">
            <v>Biodex Medical Systems Inc</v>
          </cell>
          <cell r="S1327" t="str">
            <v>Kwint International BN</v>
          </cell>
          <cell r="T1327" t="str">
            <v>Functioning</v>
          </cell>
          <cell r="U1327" t="str">
            <v>Asset</v>
          </cell>
          <cell r="V1327">
            <v>85120</v>
          </cell>
          <cell r="W1327" t="str">
            <v>Estimate</v>
          </cell>
          <cell r="X1327" t="str">
            <v>16/08/2013</v>
          </cell>
          <cell r="Y1327" t="str">
            <v>Estimate</v>
          </cell>
          <cell r="Z1327" t="str">
            <v>16/08/2013</v>
          </cell>
          <cell r="AA1327" t="str">
            <v>15/08/2015</v>
          </cell>
          <cell r="AB1327" t="str">
            <v>No</v>
          </cell>
          <cell r="AC1327" t="str">
            <v>16/08/2013</v>
          </cell>
          <cell r="AD1327" t="str">
            <v>Good</v>
          </cell>
          <cell r="AE1327" t="str">
            <v>V1 - Existing / No Claim</v>
          </cell>
          <cell r="AF1327">
            <v>42605</v>
          </cell>
          <cell r="AG1327">
            <v>6.25</v>
          </cell>
          <cell r="AH1327" t="str">
            <v>PPM</v>
          </cell>
          <cell r="AI1327" t="str">
            <v>Strands</v>
          </cell>
          <cell r="AJ1327" t="str">
            <v>Strands PW</v>
          </cell>
        </row>
        <row r="1328">
          <cell r="A1328" t="str">
            <v>IKN400996</v>
          </cell>
          <cell r="B1328">
            <v>994</v>
          </cell>
          <cell r="C1328" t="str">
            <v>Institut Kanser Negara</v>
          </cell>
          <cell r="D1328" t="str">
            <v>KKM/IKN/H/13/3009</v>
          </cell>
          <cell r="E1328" t="str">
            <v>12-660</v>
          </cell>
          <cell r="F1328" t="str">
            <v>Radiation Monitors</v>
          </cell>
          <cell r="G1328" t="str">
            <v>NM</v>
          </cell>
          <cell r="H1328" t="str">
            <v>NUCLEAR MED (DIAGNOSTIC)</v>
          </cell>
          <cell r="I1328" t="str">
            <v>03NM138</v>
          </cell>
          <cell r="J1328" t="str">
            <v>RADIOIODINE PREP. (100% F.A)</v>
          </cell>
          <cell r="K1328" t="str">
            <v>BMED</v>
          </cell>
          <cell r="L1328" t="str">
            <v>Normal</v>
          </cell>
          <cell r="M1328" t="str">
            <v>Germany</v>
          </cell>
          <cell r="N1328" t="str">
            <v>Almo</v>
          </cell>
          <cell r="O1328" t="str">
            <v>Almo 6</v>
          </cell>
          <cell r="P1328" t="str">
            <v>0072</v>
          </cell>
          <cell r="Q1328" t="str">
            <v>Not Applicable</v>
          </cell>
          <cell r="R1328" t="str">
            <v>MED Nuklear-Medizintechnik Dresden GmbH</v>
          </cell>
          <cell r="S1328" t="str">
            <v/>
          </cell>
          <cell r="T1328" t="str">
            <v>Functioning</v>
          </cell>
          <cell r="U1328" t="str">
            <v>Asset</v>
          </cell>
          <cell r="V1328">
            <v>54570</v>
          </cell>
          <cell r="W1328" t="str">
            <v>KEW</v>
          </cell>
          <cell r="X1328" t="str">
            <v>01/09/2010</v>
          </cell>
          <cell r="Y1328" t="str">
            <v>KEW</v>
          </cell>
          <cell r="Z1328" t="str">
            <v>16/08/2013</v>
          </cell>
          <cell r="AA1328" t="str">
            <v>15/08/2015</v>
          </cell>
          <cell r="AB1328" t="str">
            <v>No</v>
          </cell>
          <cell r="AC1328" t="str">
            <v>31/08/2013</v>
          </cell>
          <cell r="AD1328" t="str">
            <v>Good</v>
          </cell>
          <cell r="AE1328" t="str">
            <v>V1 - Existing / No Claim</v>
          </cell>
          <cell r="AF1328">
            <v>45449</v>
          </cell>
          <cell r="AG1328">
            <v>9.17</v>
          </cell>
          <cell r="AH1328" t="str">
            <v>PPM</v>
          </cell>
          <cell r="AI1328" t="str">
            <v>package</v>
          </cell>
          <cell r="AJ1328" t="str">
            <v>Proposed for V3 P1.24</v>
          </cell>
          <cell r="AK1328" t="str">
            <v>DETECTOR SN: 311197,311316,311275</v>
          </cell>
        </row>
        <row r="1329">
          <cell r="A1329" t="str">
            <v>IKN400997</v>
          </cell>
          <cell r="B1329">
            <v>995</v>
          </cell>
          <cell r="C1329" t="str">
            <v>Institut Kanser Negara</v>
          </cell>
          <cell r="D1329" t="str">
            <v>KKM/IKN/H/13/2992</v>
          </cell>
          <cell r="E1329" t="str">
            <v>12-660</v>
          </cell>
          <cell r="F1329" t="str">
            <v>Radiation Monitors</v>
          </cell>
          <cell r="G1329" t="str">
            <v>NM</v>
          </cell>
          <cell r="H1329" t="str">
            <v>NUCLEAR MED (DIAGNOSTIC)</v>
          </cell>
          <cell r="I1329" t="str">
            <v>03NM132</v>
          </cell>
          <cell r="J1329" t="str">
            <v>CORRIDOR 5</v>
          </cell>
          <cell r="K1329" t="str">
            <v>BMED</v>
          </cell>
          <cell r="L1329" t="str">
            <v>Normal</v>
          </cell>
          <cell r="M1329" t="str">
            <v>Germany</v>
          </cell>
          <cell r="N1329" t="str">
            <v>MED HFC</v>
          </cell>
          <cell r="O1329" t="str">
            <v>MED HFC</v>
          </cell>
          <cell r="P1329" t="str">
            <v>753</v>
          </cell>
          <cell r="Q1329" t="str">
            <v>Not Applicable</v>
          </cell>
          <cell r="R1329" t="str">
            <v>MED Nuklear-Medizintechnik Dresden GmbH</v>
          </cell>
          <cell r="S1329" t="str">
            <v/>
          </cell>
          <cell r="T1329" t="str">
            <v>Functioning</v>
          </cell>
          <cell r="U1329" t="str">
            <v>Asset</v>
          </cell>
          <cell r="V1329">
            <v>112855</v>
          </cell>
          <cell r="W1329" t="str">
            <v>KEW</v>
          </cell>
          <cell r="X1329" t="str">
            <v>01/09/2010</v>
          </cell>
          <cell r="Y1329" t="str">
            <v>KEW</v>
          </cell>
          <cell r="Z1329" t="str">
            <v>16/08/2013</v>
          </cell>
          <cell r="AA1329" t="str">
            <v>15/08/2015</v>
          </cell>
          <cell r="AB1329" t="str">
            <v>No</v>
          </cell>
          <cell r="AC1329" t="str">
            <v>31/08/2013</v>
          </cell>
          <cell r="AD1329" t="str">
            <v>Good</v>
          </cell>
          <cell r="AE1329" t="str">
            <v>V1 - Existing / No Claim</v>
          </cell>
          <cell r="AF1329">
            <v>42235</v>
          </cell>
          <cell r="AG1329">
            <v>9.17</v>
          </cell>
          <cell r="AH1329" t="str">
            <v>PPM</v>
          </cell>
          <cell r="AI1329" t="str">
            <v>Strands</v>
          </cell>
          <cell r="AJ1329" t="str">
            <v>Strands PW</v>
          </cell>
        </row>
        <row r="1330">
          <cell r="A1330" t="str">
            <v>IKN400998</v>
          </cell>
          <cell r="B1330">
            <v>996</v>
          </cell>
          <cell r="C1330" t="str">
            <v>Institut Kanser Negara</v>
          </cell>
          <cell r="D1330" t="str">
            <v>KKM/IKN/H/13/5380</v>
          </cell>
          <cell r="E1330" t="str">
            <v>12-660</v>
          </cell>
          <cell r="F1330" t="str">
            <v>Radiation Monitors</v>
          </cell>
          <cell r="G1330" t="str">
            <v>NW</v>
          </cell>
          <cell r="H1330" t="str">
            <v>NUCLEAR WASTE HOLDING</v>
          </cell>
          <cell r="I1330" t="str">
            <v>01NW106</v>
          </cell>
          <cell r="J1330" t="str">
            <v>WASTE MEASUREMENT</v>
          </cell>
          <cell r="K1330" t="str">
            <v>BMED</v>
          </cell>
          <cell r="L1330" t="str">
            <v>Normal</v>
          </cell>
          <cell r="M1330" t="str">
            <v>Germany</v>
          </cell>
          <cell r="N1330" t="str">
            <v>CoMo</v>
          </cell>
          <cell r="O1330" t="str">
            <v>CoMo 170</v>
          </cell>
          <cell r="P1330">
            <v>4937</v>
          </cell>
          <cell r="Q1330" t="str">
            <v>Not Applicable</v>
          </cell>
          <cell r="R1330" t="str">
            <v>MED Nuklear-Medizintechnik Dresden GmbH</v>
          </cell>
          <cell r="S1330" t="str">
            <v>Delta Advantech (M) Sdn. Bhd.</v>
          </cell>
          <cell r="T1330" t="str">
            <v>Functioning</v>
          </cell>
          <cell r="U1330" t="str">
            <v>Asset</v>
          </cell>
          <cell r="V1330">
            <v>6810</v>
          </cell>
          <cell r="W1330" t="str">
            <v>KEW</v>
          </cell>
          <cell r="X1330" t="str">
            <v>01/09/2010</v>
          </cell>
          <cell r="Y1330" t="str">
            <v>KEW</v>
          </cell>
          <cell r="Z1330" t="str">
            <v>16/08/2013</v>
          </cell>
          <cell r="AA1330" t="str">
            <v>15/08/2015</v>
          </cell>
          <cell r="AB1330" t="str">
            <v>No</v>
          </cell>
          <cell r="AC1330" t="str">
            <v>31/08/2013</v>
          </cell>
          <cell r="AD1330" t="str">
            <v>Good</v>
          </cell>
          <cell r="AE1330" t="str">
            <v>V1 - Existing / No Claim</v>
          </cell>
          <cell r="AF1330">
            <v>42545</v>
          </cell>
          <cell r="AG1330">
            <v>9.17</v>
          </cell>
          <cell r="AH1330" t="str">
            <v>PPM</v>
          </cell>
          <cell r="AI1330" t="str">
            <v>Strands</v>
          </cell>
          <cell r="AJ1330" t="str">
            <v>Strands PW</v>
          </cell>
        </row>
        <row r="1331">
          <cell r="A1331" t="str">
            <v>IKN401001</v>
          </cell>
          <cell r="B1331">
            <v>999</v>
          </cell>
          <cell r="C1331" t="str">
            <v>Institut Kanser Negara</v>
          </cell>
          <cell r="D1331" t="str">
            <v>KKM/IKN/H/13/192</v>
          </cell>
          <cell r="E1331" t="str">
            <v>10-208</v>
          </cell>
          <cell r="F1331" t="str">
            <v>Aspirators</v>
          </cell>
          <cell r="G1331" t="str">
            <v>OT</v>
          </cell>
          <cell r="H1331" t="str">
            <v>OPERATING THEATRE</v>
          </cell>
          <cell r="I1331" t="str">
            <v>05OT169</v>
          </cell>
          <cell r="J1331" t="str">
            <v>EQ. ROOM</v>
          </cell>
          <cell r="K1331" t="str">
            <v>BMED</v>
          </cell>
          <cell r="L1331" t="str">
            <v>Normal</v>
          </cell>
          <cell r="M1331" t="str">
            <v>Switzerland</v>
          </cell>
          <cell r="N1331" t="str">
            <v>Senator</v>
          </cell>
          <cell r="O1331" t="str">
            <v>Senator</v>
          </cell>
          <cell r="P1331" t="str">
            <v>1220760</v>
          </cell>
          <cell r="Q1331" t="str">
            <v>Not Applicable</v>
          </cell>
          <cell r="R1331" t="str">
            <v>Ardo Medical AG</v>
          </cell>
          <cell r="S1331" t="str">
            <v>Histopoint</v>
          </cell>
          <cell r="T1331" t="str">
            <v>Functioning</v>
          </cell>
          <cell r="U1331" t="str">
            <v>Asset</v>
          </cell>
          <cell r="V1331">
            <v>7580</v>
          </cell>
          <cell r="W1331" t="str">
            <v>KEW</v>
          </cell>
          <cell r="X1331" t="str">
            <v>01/09/2010</v>
          </cell>
          <cell r="Y1331" t="str">
            <v>KEW</v>
          </cell>
          <cell r="Z1331" t="str">
            <v>16/08/2013</v>
          </cell>
          <cell r="AA1331" t="str">
            <v>15/08/2015</v>
          </cell>
          <cell r="AB1331" t="str">
            <v>No</v>
          </cell>
          <cell r="AC1331" t="str">
            <v>31/08/2013</v>
          </cell>
          <cell r="AD1331" t="str">
            <v>Good</v>
          </cell>
          <cell r="AE1331" t="str">
            <v>V1 - Existing / No Claim</v>
          </cell>
          <cell r="AF1331">
            <v>42235</v>
          </cell>
          <cell r="AG1331">
            <v>9.17</v>
          </cell>
          <cell r="AH1331" t="str">
            <v>PPM</v>
          </cell>
          <cell r="AI1331" t="str">
            <v>Strands</v>
          </cell>
          <cell r="AJ1331" t="str">
            <v>Strands PW</v>
          </cell>
        </row>
        <row r="1332">
          <cell r="A1332" t="str">
            <v>IKN401003</v>
          </cell>
          <cell r="B1332">
            <v>1001</v>
          </cell>
          <cell r="C1332" t="str">
            <v>Institut Kanser Negara</v>
          </cell>
          <cell r="D1332" t="str">
            <v>KKM/IKN/H/13/3938</v>
          </cell>
          <cell r="E1332" t="str">
            <v>16-763</v>
          </cell>
          <cell r="F1332" t="str">
            <v>Monitors, Bedside, Intracranial Pressure</v>
          </cell>
          <cell r="G1332" t="str">
            <v>OT</v>
          </cell>
          <cell r="H1332" t="str">
            <v>OPERATING THEATRE</v>
          </cell>
          <cell r="I1332" t="str">
            <v>05OT169</v>
          </cell>
          <cell r="J1332" t="str">
            <v>EQ. ROOM</v>
          </cell>
          <cell r="K1332" t="str">
            <v>BMED</v>
          </cell>
          <cell r="L1332" t="str">
            <v>Normal</v>
          </cell>
          <cell r="M1332" t="str">
            <v>Germany</v>
          </cell>
          <cell r="N1332" t="str">
            <v>Spiegelberg</v>
          </cell>
          <cell r="O1332" t="str">
            <v>Spiegelberg</v>
          </cell>
          <cell r="P1332" t="str">
            <v>214/12</v>
          </cell>
          <cell r="Q1332" t="str">
            <v>Not Applicable</v>
          </cell>
          <cell r="R1332" t="str">
            <v>Aesculap AG</v>
          </cell>
          <cell r="S1332" t="str">
            <v>B Braun Medical Supplies Sdn. Bhd.</v>
          </cell>
          <cell r="T1332" t="str">
            <v>Functioning</v>
          </cell>
          <cell r="U1332" t="str">
            <v>Asset</v>
          </cell>
          <cell r="V1332">
            <v>62550</v>
          </cell>
          <cell r="W1332" t="str">
            <v>KEW</v>
          </cell>
          <cell r="X1332" t="str">
            <v>01/09/2010</v>
          </cell>
          <cell r="Y1332" t="str">
            <v>KEW</v>
          </cell>
          <cell r="Z1332" t="str">
            <v>16/08/2013</v>
          </cell>
          <cell r="AA1332" t="str">
            <v>15/08/2015</v>
          </cell>
          <cell r="AB1332" t="str">
            <v>No</v>
          </cell>
          <cell r="AC1332" t="str">
            <v>31/08/2013</v>
          </cell>
          <cell r="AD1332" t="str">
            <v>Good</v>
          </cell>
          <cell r="AE1332" t="str">
            <v>V1 - Existing / No Claim</v>
          </cell>
          <cell r="AF1332">
            <v>42235</v>
          </cell>
          <cell r="AG1332">
            <v>9.17</v>
          </cell>
          <cell r="AH1332" t="str">
            <v>PPM</v>
          </cell>
          <cell r="AI1332" t="str">
            <v>Strands</v>
          </cell>
          <cell r="AJ1332" t="str">
            <v>Strands PW SET C</v>
          </cell>
          <cell r="AK1332" t="str">
            <v>CUBA CHECK IKN401030 PUNYA KEWPA</v>
          </cell>
        </row>
        <row r="1333">
          <cell r="A1333" t="str">
            <v>IKN401004</v>
          </cell>
          <cell r="B1333">
            <v>1002</v>
          </cell>
          <cell r="C1333" t="str">
            <v>Institut Kanser Negara</v>
          </cell>
          <cell r="D1333" t="str">
            <v>KKM/IKN/H/13/3939</v>
          </cell>
          <cell r="E1333" t="str">
            <v>17-954</v>
          </cell>
          <cell r="F1333" t="str">
            <v>Hand Drills, Surgical</v>
          </cell>
          <cell r="G1333" t="str">
            <v>OT</v>
          </cell>
          <cell r="H1333" t="str">
            <v>OPERATING THEATRE</v>
          </cell>
          <cell r="I1333" t="str">
            <v>05OT169</v>
          </cell>
          <cell r="J1333" t="str">
            <v>EQ. ROOM</v>
          </cell>
          <cell r="K1333" t="str">
            <v>BMED</v>
          </cell>
          <cell r="L1333" t="str">
            <v>Normal</v>
          </cell>
          <cell r="M1333" t="str">
            <v>USA</v>
          </cell>
          <cell r="N1333" t="str">
            <v>Midas</v>
          </cell>
          <cell r="O1333" t="str">
            <v>Midas Rex</v>
          </cell>
          <cell r="P1333" t="str">
            <v>57218</v>
          </cell>
          <cell r="Q1333" t="str">
            <v>Not Applicable</v>
          </cell>
          <cell r="R1333" t="str">
            <v>Medtronic Inc</v>
          </cell>
          <cell r="S1333" t="str">
            <v>H&amp;A</v>
          </cell>
          <cell r="T1333" t="str">
            <v>Functioning</v>
          </cell>
          <cell r="U1333" t="str">
            <v>Asset</v>
          </cell>
          <cell r="V1333">
            <v>227540</v>
          </cell>
          <cell r="W1333" t="str">
            <v>KEW</v>
          </cell>
          <cell r="X1333" t="str">
            <v>01/09/2010</v>
          </cell>
          <cell r="Y1333" t="str">
            <v>KEW</v>
          </cell>
          <cell r="Z1333" t="str">
            <v>16/08/2013</v>
          </cell>
          <cell r="AA1333" t="str">
            <v>15/08/2015</v>
          </cell>
          <cell r="AB1333" t="str">
            <v>No</v>
          </cell>
          <cell r="AC1333" t="str">
            <v>31/08/2013</v>
          </cell>
          <cell r="AD1333" t="str">
            <v>Good</v>
          </cell>
          <cell r="AE1333" t="str">
            <v>V1 - Existing / No Claim</v>
          </cell>
          <cell r="AF1333">
            <v>42235</v>
          </cell>
          <cell r="AG1333">
            <v>9.17</v>
          </cell>
          <cell r="AH1333" t="str">
            <v>PPM</v>
          </cell>
          <cell r="AI1333" t="str">
            <v>Strands</v>
          </cell>
          <cell r="AJ1333" t="str">
            <v>Strands PW</v>
          </cell>
        </row>
        <row r="1334">
          <cell r="A1334" t="str">
            <v>IKN401005</v>
          </cell>
          <cell r="B1334">
            <v>1003</v>
          </cell>
          <cell r="C1334" t="str">
            <v>Institut Kanser Negara</v>
          </cell>
          <cell r="D1334" t="str">
            <v>KKM/IKN/H/13/174</v>
          </cell>
          <cell r="E1334" t="str">
            <v>12-863</v>
          </cell>
          <cell r="F1334" t="str">
            <v>Oxygen Monitors</v>
          </cell>
          <cell r="G1334" t="str">
            <v>OT</v>
          </cell>
          <cell r="H1334" t="str">
            <v>OPERATING THEATRE</v>
          </cell>
          <cell r="I1334" t="str">
            <v>05OT165</v>
          </cell>
          <cell r="J1334" t="str">
            <v>RHU</v>
          </cell>
          <cell r="K1334" t="str">
            <v>BMED</v>
          </cell>
          <cell r="L1334" t="str">
            <v>Critical</v>
          </cell>
          <cell r="M1334" t="str">
            <v>Germany</v>
          </cell>
          <cell r="N1334" t="str">
            <v>Mysign</v>
          </cell>
          <cell r="O1334" t="str">
            <v>Mysign O</v>
          </cell>
          <cell r="P1334" t="str">
            <v>100397</v>
          </cell>
          <cell r="Q1334" t="str">
            <v>Not Applicable</v>
          </cell>
          <cell r="R1334" t="str">
            <v>EnviteC-Wismar GmbH</v>
          </cell>
          <cell r="S1334" t="str">
            <v>Respimedic</v>
          </cell>
          <cell r="T1334" t="str">
            <v>Functioning</v>
          </cell>
          <cell r="U1334" t="str">
            <v>Asset</v>
          </cell>
          <cell r="V1334">
            <v>3079</v>
          </cell>
          <cell r="W1334" t="str">
            <v>KEW</v>
          </cell>
          <cell r="X1334" t="str">
            <v>01/09/2010</v>
          </cell>
          <cell r="Y1334" t="str">
            <v>KEW</v>
          </cell>
          <cell r="Z1334" t="str">
            <v>16/08/2013</v>
          </cell>
          <cell r="AA1334" t="str">
            <v>15/08/2015</v>
          </cell>
          <cell r="AB1334" t="str">
            <v>No</v>
          </cell>
          <cell r="AC1334" t="str">
            <v>31/08/2013</v>
          </cell>
          <cell r="AD1334" t="str">
            <v>Good</v>
          </cell>
          <cell r="AE1334" t="str">
            <v>V1 - Existing / No Claim</v>
          </cell>
          <cell r="AF1334">
            <v>42803</v>
          </cell>
          <cell r="AG1334">
            <v>9.17</v>
          </cell>
          <cell r="AH1334" t="str">
            <v>PPM</v>
          </cell>
          <cell r="AI1334" t="str">
            <v>Strands</v>
          </cell>
          <cell r="AJ1334" t="str">
            <v>Strands PW</v>
          </cell>
        </row>
        <row r="1335">
          <cell r="A1335" t="str">
            <v>IKN401011</v>
          </cell>
          <cell r="B1335">
            <v>1009</v>
          </cell>
          <cell r="C1335" t="str">
            <v>Institut Kanser Negara</v>
          </cell>
          <cell r="D1335" t="str">
            <v>KKM/IKN/H/13/3936</v>
          </cell>
          <cell r="E1335" t="str">
            <v>12-709</v>
          </cell>
          <cell r="F1335" t="str">
            <v>Nasopharyngoscopes</v>
          </cell>
          <cell r="G1335" t="str">
            <v>OT</v>
          </cell>
          <cell r="H1335" t="str">
            <v>OPERATING THEATRE</v>
          </cell>
          <cell r="I1335" t="str">
            <v>05OT167</v>
          </cell>
          <cell r="J1335" t="str">
            <v>SCOPE WASH</v>
          </cell>
          <cell r="K1335" t="str">
            <v>BMED</v>
          </cell>
          <cell r="L1335" t="str">
            <v>Normal</v>
          </cell>
          <cell r="M1335" t="str">
            <v>Japan</v>
          </cell>
          <cell r="N1335" t="str">
            <v>Olympus</v>
          </cell>
          <cell r="O1335" t="str">
            <v>Olympus ENF-T3</v>
          </cell>
          <cell r="P1335" t="str">
            <v>2224945/7211418</v>
          </cell>
          <cell r="Q1335" t="str">
            <v>Not Applicable</v>
          </cell>
          <cell r="R1335" t="str">
            <v>Olympus Optical Co Ltd</v>
          </cell>
          <cell r="S1335" t="str">
            <v>Endodynamics</v>
          </cell>
          <cell r="T1335" t="str">
            <v>Functioning</v>
          </cell>
          <cell r="U1335" t="str">
            <v>Asset</v>
          </cell>
          <cell r="V1335">
            <v>59362</v>
          </cell>
          <cell r="W1335" t="str">
            <v>KEW</v>
          </cell>
          <cell r="X1335" t="str">
            <v>01/09/2010</v>
          </cell>
          <cell r="Y1335" t="str">
            <v>KEW</v>
          </cell>
          <cell r="Z1335" t="str">
            <v>16/08/2013</v>
          </cell>
          <cell r="AA1335" t="str">
            <v>15/08/2015</v>
          </cell>
          <cell r="AB1335" t="str">
            <v>No</v>
          </cell>
          <cell r="AC1335" t="str">
            <v>31/08/2013</v>
          </cell>
          <cell r="AD1335" t="str">
            <v>Good</v>
          </cell>
          <cell r="AE1335" t="str">
            <v>V1 - Existing / No Claim</v>
          </cell>
          <cell r="AF1335">
            <v>42235</v>
          </cell>
          <cell r="AG1335">
            <v>9.17</v>
          </cell>
          <cell r="AH1335" t="str">
            <v>PPM</v>
          </cell>
          <cell r="AI1335" t="str">
            <v>Strands</v>
          </cell>
          <cell r="AJ1335" t="str">
            <v>Strands PW</v>
          </cell>
        </row>
        <row r="1336">
          <cell r="A1336" t="str">
            <v>IKN401013</v>
          </cell>
          <cell r="B1336">
            <v>1011</v>
          </cell>
          <cell r="C1336" t="str">
            <v>Institut Kanser Negara</v>
          </cell>
          <cell r="D1336" t="str">
            <v>KKM/IKN/H/13/3934-03</v>
          </cell>
          <cell r="E1336" t="str">
            <v>15-967</v>
          </cell>
          <cell r="F1336" t="str">
            <v>Television Systems, Endoscope</v>
          </cell>
          <cell r="G1336" t="str">
            <v>OT</v>
          </cell>
          <cell r="H1336" t="str">
            <v>OPERATING THEATRE</v>
          </cell>
          <cell r="I1336" t="str">
            <v>05OT167</v>
          </cell>
          <cell r="J1336" t="str">
            <v>SCOPE WASH</v>
          </cell>
          <cell r="K1336" t="str">
            <v>BMED</v>
          </cell>
          <cell r="L1336" t="str">
            <v>Normal</v>
          </cell>
          <cell r="M1336" t="str">
            <v>GERMANY</v>
          </cell>
          <cell r="N1336" t="str">
            <v>Karl Storz Gmbh &amp; Co</v>
          </cell>
          <cell r="O1336" t="str">
            <v>9626.NB/KS-26</v>
          </cell>
          <cell r="P1336" t="str">
            <v>51210038XX008</v>
          </cell>
          <cell r="Q1336" t="str">
            <v>Not Applicable</v>
          </cell>
          <cell r="R1336" t="str">
            <v>Karl Storz Gmbh &amp; Co</v>
          </cell>
          <cell r="S1336" t="str">
            <v>UMMI Surgical Sdn Bhd</v>
          </cell>
          <cell r="T1336" t="str">
            <v>Functioning</v>
          </cell>
          <cell r="U1336" t="str">
            <v>Asset</v>
          </cell>
          <cell r="V1336">
            <v>10000</v>
          </cell>
          <cell r="W1336" t="str">
            <v>Estimate</v>
          </cell>
          <cell r="X1336" t="str">
            <v>01/09/2010</v>
          </cell>
          <cell r="Y1336" t="str">
            <v>KEW</v>
          </cell>
          <cell r="Z1336" t="str">
            <v>16/08/2013</v>
          </cell>
          <cell r="AA1336" t="str">
            <v>15/08/2015</v>
          </cell>
          <cell r="AB1336" t="str">
            <v>No</v>
          </cell>
          <cell r="AC1336" t="str">
            <v>31/08/2013</v>
          </cell>
          <cell r="AD1336" t="str">
            <v>Good</v>
          </cell>
          <cell r="AE1336" t="str">
            <v>V1 - Existing / No Claim</v>
          </cell>
          <cell r="AF1336">
            <v>42803</v>
          </cell>
          <cell r="AG1336">
            <v>9.17</v>
          </cell>
          <cell r="AH1336" t="str">
            <v>RI</v>
          </cell>
          <cell r="AI1336" t="str">
            <v>Strands</v>
          </cell>
          <cell r="AJ1336" t="str">
            <v>Strands Package</v>
          </cell>
          <cell r="AK1336" t="str">
            <v>Package Code EP0127</v>
          </cell>
        </row>
        <row r="1337">
          <cell r="A1337" t="str">
            <v>IKN401014</v>
          </cell>
          <cell r="B1337">
            <v>1012</v>
          </cell>
          <cell r="C1337" t="str">
            <v>Institut Kanser Negara</v>
          </cell>
          <cell r="D1337" t="str">
            <v>KKM/IKN/H/13/3934-04</v>
          </cell>
          <cell r="E1337" t="str">
            <v>12-345</v>
          </cell>
          <cell r="F1337" t="str">
            <v>Light Sources, Fiberoptic</v>
          </cell>
          <cell r="G1337" t="str">
            <v>OT</v>
          </cell>
          <cell r="H1337" t="str">
            <v>OPERATING THEATRE</v>
          </cell>
          <cell r="I1337" t="str">
            <v>05OT167</v>
          </cell>
          <cell r="J1337" t="str">
            <v>SCOPE WASH</v>
          </cell>
          <cell r="K1337" t="str">
            <v>BMED</v>
          </cell>
          <cell r="L1337" t="str">
            <v>Normal</v>
          </cell>
          <cell r="M1337" t="str">
            <v>Germany</v>
          </cell>
          <cell r="N1337" t="str">
            <v>Xenon Nova</v>
          </cell>
          <cell r="O1337" t="str">
            <v>Xenon Nova 300, 201340 20</v>
          </cell>
          <cell r="P1337" t="str">
            <v>VX0682962</v>
          </cell>
          <cell r="Q1337" t="str">
            <v>Not Applicable</v>
          </cell>
          <cell r="R1337" t="str">
            <v>Karl Storz GmbH</v>
          </cell>
          <cell r="S1337" t="str">
            <v>UMMI Surgical Sdn Bhd</v>
          </cell>
          <cell r="T1337" t="str">
            <v>Functioning</v>
          </cell>
          <cell r="U1337" t="str">
            <v>Asset</v>
          </cell>
          <cell r="V1337">
            <v>50000</v>
          </cell>
          <cell r="W1337" t="str">
            <v>Estimate</v>
          </cell>
          <cell r="X1337" t="str">
            <v>01/09/2010</v>
          </cell>
          <cell r="Y1337" t="str">
            <v>KEW</v>
          </cell>
          <cell r="Z1337" t="str">
            <v>16/08/2013</v>
          </cell>
          <cell r="AA1337" t="str">
            <v>15/08/2015</v>
          </cell>
          <cell r="AB1337" t="str">
            <v>No</v>
          </cell>
          <cell r="AC1337" t="str">
            <v>31/08/2013</v>
          </cell>
          <cell r="AD1337" t="str">
            <v>Good</v>
          </cell>
          <cell r="AE1337" t="str">
            <v>V1 - Existing / No Claim</v>
          </cell>
          <cell r="AF1337">
            <v>42605</v>
          </cell>
          <cell r="AG1337">
            <v>9.17</v>
          </cell>
          <cell r="AH1337" t="str">
            <v>PPM</v>
          </cell>
          <cell r="AI1337" t="str">
            <v>Strands</v>
          </cell>
          <cell r="AJ1337" t="str">
            <v>Strands Package</v>
          </cell>
          <cell r="AK1337" t="str">
            <v>Package Code EP0127</v>
          </cell>
        </row>
        <row r="1338">
          <cell r="A1338" t="str">
            <v>IKN401016</v>
          </cell>
          <cell r="B1338">
            <v>1014</v>
          </cell>
          <cell r="C1338" t="str">
            <v>Institut Kanser Negara</v>
          </cell>
          <cell r="D1338" t="str">
            <v>KKM/IKN/H/13/3934-05</v>
          </cell>
          <cell r="E1338" t="str">
            <v>13-274</v>
          </cell>
          <cell r="F1338" t="str">
            <v>Recorders, Tape, Video</v>
          </cell>
          <cell r="G1338" t="str">
            <v>OT</v>
          </cell>
          <cell r="H1338" t="str">
            <v>OPERATING THEATRE</v>
          </cell>
          <cell r="I1338" t="str">
            <v>05OT167</v>
          </cell>
          <cell r="J1338" t="str">
            <v>SCOPE WASH</v>
          </cell>
          <cell r="K1338" t="str">
            <v>BMED</v>
          </cell>
          <cell r="L1338" t="str">
            <v>Normal</v>
          </cell>
          <cell r="M1338" t="str">
            <v>Germany</v>
          </cell>
          <cell r="N1338" t="str">
            <v>Aoda</v>
          </cell>
          <cell r="O1338" t="str">
            <v>Aoda Control Neo</v>
          </cell>
          <cell r="P1338" t="str">
            <v>KSB12558</v>
          </cell>
          <cell r="Q1338" t="str">
            <v>Not Applicable</v>
          </cell>
          <cell r="R1338" t="str">
            <v>Karl Storz GmbH &amp; Co KG</v>
          </cell>
          <cell r="S1338" t="str">
            <v>UMMI Surgical Sdn Bhd</v>
          </cell>
          <cell r="T1338" t="str">
            <v>Functioning</v>
          </cell>
          <cell r="U1338" t="str">
            <v>Asset</v>
          </cell>
          <cell r="V1338">
            <v>20000</v>
          </cell>
          <cell r="W1338" t="str">
            <v>Estimate</v>
          </cell>
          <cell r="X1338" t="str">
            <v>01/09/2010</v>
          </cell>
          <cell r="Y1338" t="str">
            <v>KEW</v>
          </cell>
          <cell r="Z1338" t="str">
            <v>16/08/2013</v>
          </cell>
          <cell r="AA1338" t="str">
            <v>15/08/2015</v>
          </cell>
          <cell r="AB1338" t="str">
            <v>No</v>
          </cell>
          <cell r="AC1338" t="str">
            <v>31/08/2013</v>
          </cell>
          <cell r="AD1338" t="str">
            <v>Good</v>
          </cell>
          <cell r="AE1338" t="str">
            <v>V1 - Existing / No Claim</v>
          </cell>
          <cell r="AF1338">
            <v>42605</v>
          </cell>
          <cell r="AG1338">
            <v>9.17</v>
          </cell>
          <cell r="AH1338" t="str">
            <v>RI</v>
          </cell>
          <cell r="AI1338" t="str">
            <v>Strands</v>
          </cell>
          <cell r="AJ1338" t="str">
            <v>Strands Package</v>
          </cell>
          <cell r="AK1338" t="str">
            <v>Package Code EP0127</v>
          </cell>
        </row>
        <row r="1339">
          <cell r="A1339" t="str">
            <v>IKN401017</v>
          </cell>
          <cell r="B1339">
            <v>1015</v>
          </cell>
          <cell r="C1339" t="str">
            <v>Institut Kanser Negara</v>
          </cell>
          <cell r="D1339" t="str">
            <v>KKM/IKN/H/13/203</v>
          </cell>
          <cell r="E1339" t="str">
            <v>10-134</v>
          </cell>
          <cell r="F1339" t="str">
            <v>Anesthesia Units</v>
          </cell>
          <cell r="G1339" t="str">
            <v>OT</v>
          </cell>
          <cell r="H1339" t="str">
            <v>OPERATING THEATRE</v>
          </cell>
          <cell r="I1339" t="str">
            <v>05OT120</v>
          </cell>
          <cell r="J1339" t="str">
            <v>OT 2</v>
          </cell>
          <cell r="K1339" t="str">
            <v>BMED</v>
          </cell>
          <cell r="L1339" t="str">
            <v>Critical</v>
          </cell>
          <cell r="M1339" t="str">
            <v>Germany</v>
          </cell>
          <cell r="N1339" t="str">
            <v>Primus</v>
          </cell>
          <cell r="O1339" t="str">
            <v>Primus</v>
          </cell>
          <cell r="P1339" t="str">
            <v>ASDJ-0236</v>
          </cell>
          <cell r="Q1339" t="str">
            <v>Not Applicable</v>
          </cell>
          <cell r="R1339" t="str">
            <v>Drager medical GmbH</v>
          </cell>
          <cell r="S1339" t="str">
            <v>Beau Consortium Sdn Bhd</v>
          </cell>
          <cell r="T1339" t="str">
            <v>Functioning</v>
          </cell>
          <cell r="U1339" t="str">
            <v>Asset</v>
          </cell>
          <cell r="V1339">
            <v>144345</v>
          </cell>
          <cell r="W1339" t="str">
            <v>KEW</v>
          </cell>
          <cell r="X1339" t="str">
            <v>01/09/2010</v>
          </cell>
          <cell r="Y1339" t="str">
            <v>KEW</v>
          </cell>
          <cell r="Z1339" t="str">
            <v>16/08/2013</v>
          </cell>
          <cell r="AA1339" t="str">
            <v>15/08/2015</v>
          </cell>
          <cell r="AB1339" t="str">
            <v>No</v>
          </cell>
          <cell r="AC1339" t="str">
            <v>31/08/2013</v>
          </cell>
          <cell r="AD1339" t="str">
            <v>Good</v>
          </cell>
          <cell r="AE1339" t="str">
            <v>V1 - Existing / No Claim</v>
          </cell>
          <cell r="AF1339">
            <v>42802</v>
          </cell>
          <cell r="AG1339">
            <v>9.17</v>
          </cell>
          <cell r="AH1339" t="str">
            <v>PPM</v>
          </cell>
          <cell r="AI1339" t="str">
            <v>Strands</v>
          </cell>
          <cell r="AJ1339" t="str">
            <v>Strands PW</v>
          </cell>
        </row>
        <row r="1340">
          <cell r="A1340" t="str">
            <v>IKN401018</v>
          </cell>
          <cell r="B1340">
            <v>1016</v>
          </cell>
          <cell r="C1340" t="str">
            <v>Institut Kanser Negara</v>
          </cell>
          <cell r="D1340" t="str">
            <v>KKM/IKN/H/13/160</v>
          </cell>
          <cell r="E1340" t="str">
            <v>12-647</v>
          </cell>
          <cell r="F1340" t="str">
            <v>Physiologic Monitoring Systems, Acute Care</v>
          </cell>
          <cell r="G1340" t="str">
            <v>OT</v>
          </cell>
          <cell r="H1340" t="str">
            <v>OPERATING THEATRE</v>
          </cell>
          <cell r="I1340" t="str">
            <v>05OT120</v>
          </cell>
          <cell r="J1340" t="str">
            <v>OT 2</v>
          </cell>
          <cell r="K1340" t="str">
            <v>BMED</v>
          </cell>
          <cell r="L1340" t="str">
            <v>Normal</v>
          </cell>
          <cell r="M1340" t="str">
            <v>Finland</v>
          </cell>
          <cell r="N1340" t="str">
            <v>Carespace</v>
          </cell>
          <cell r="O1340" t="str">
            <v>Carespace B850</v>
          </cell>
          <cell r="P1340" t="str">
            <v>SED12162940GA</v>
          </cell>
          <cell r="Q1340" t="str">
            <v>Not Applicable</v>
          </cell>
          <cell r="R1340" t="str">
            <v>GE Healthcare Systems</v>
          </cell>
          <cell r="S1340" t="str">
            <v>GE Healthcare Technologies</v>
          </cell>
          <cell r="T1340" t="str">
            <v>Functioning</v>
          </cell>
          <cell r="U1340" t="str">
            <v>Asset</v>
          </cell>
          <cell r="V1340">
            <v>119690</v>
          </cell>
          <cell r="W1340" t="str">
            <v>KEW</v>
          </cell>
          <cell r="X1340" t="str">
            <v>01/09/2010</v>
          </cell>
          <cell r="Y1340" t="str">
            <v>KEW</v>
          </cell>
          <cell r="Z1340" t="str">
            <v>16/08/2013</v>
          </cell>
          <cell r="AA1340" t="str">
            <v>15/08/2015</v>
          </cell>
          <cell r="AB1340" t="str">
            <v>No</v>
          </cell>
          <cell r="AC1340" t="str">
            <v>31/08/2013</v>
          </cell>
          <cell r="AD1340" t="str">
            <v>Good</v>
          </cell>
          <cell r="AE1340" t="str">
            <v>V3 - Added Installed Facilities (New)</v>
          </cell>
          <cell r="AF1340">
            <v>42235</v>
          </cell>
          <cell r="AG1340">
            <v>9.17</v>
          </cell>
          <cell r="AH1340" t="str">
            <v>PPM</v>
          </cell>
          <cell r="AI1340" t="str">
            <v>Strands</v>
          </cell>
          <cell r="AJ1340" t="str">
            <v>Strands PW</v>
          </cell>
          <cell r="AK1340" t="str">
            <v>SNF received. 1st batch of V3 asset (December 2020)</v>
          </cell>
        </row>
        <row r="1341">
          <cell r="A1341" t="str">
            <v>IKN401019</v>
          </cell>
          <cell r="B1341">
            <v>1017</v>
          </cell>
          <cell r="C1341" t="str">
            <v>Institut Kanser Negara</v>
          </cell>
          <cell r="D1341" t="str">
            <v>KKM/IKN/H/13/3597</v>
          </cell>
          <cell r="E1341" t="str">
            <v>10-414</v>
          </cell>
          <cell r="F1341" t="str">
            <v>Warming Units, Blanket</v>
          </cell>
          <cell r="G1341" t="str">
            <v>OT</v>
          </cell>
          <cell r="H1341" t="str">
            <v>OPERATING THEATRE</v>
          </cell>
          <cell r="I1341" t="str">
            <v>05OT120</v>
          </cell>
          <cell r="J1341" t="str">
            <v>OT 2</v>
          </cell>
          <cell r="K1341" t="str">
            <v>BMED</v>
          </cell>
          <cell r="L1341" t="str">
            <v>Normal</v>
          </cell>
          <cell r="M1341" t="str">
            <v>Sweden</v>
          </cell>
          <cell r="N1341" t="str">
            <v>Operatherm</v>
          </cell>
          <cell r="O1341" t="str">
            <v>Operatherm 303</v>
          </cell>
          <cell r="P1341" t="str">
            <v>00791-12</v>
          </cell>
          <cell r="Q1341" t="str">
            <v>Not Applicable</v>
          </cell>
          <cell r="R1341" t="str">
            <v>Kanmed</v>
          </cell>
          <cell r="S1341" t="str">
            <v>Perniagaan Med Tech</v>
          </cell>
          <cell r="T1341" t="str">
            <v>Functioning</v>
          </cell>
          <cell r="U1341" t="str">
            <v>Asset</v>
          </cell>
          <cell r="V1341">
            <v>15515</v>
          </cell>
          <cell r="W1341" t="str">
            <v>KEW</v>
          </cell>
          <cell r="X1341" t="str">
            <v>01/09/2010</v>
          </cell>
          <cell r="Y1341" t="str">
            <v>KEW</v>
          </cell>
          <cell r="Z1341" t="str">
            <v>16/08/2013</v>
          </cell>
          <cell r="AA1341" t="str">
            <v>15/08/2015</v>
          </cell>
          <cell r="AB1341" t="str">
            <v>No</v>
          </cell>
          <cell r="AC1341" t="str">
            <v>31/08/2013</v>
          </cell>
          <cell r="AD1341" t="str">
            <v>Good</v>
          </cell>
          <cell r="AE1341" t="str">
            <v>V1 - Existing / No Claim</v>
          </cell>
          <cell r="AF1341">
            <v>42802</v>
          </cell>
          <cell r="AG1341">
            <v>9.17</v>
          </cell>
          <cell r="AH1341" t="str">
            <v>PPM</v>
          </cell>
          <cell r="AI1341" t="str">
            <v>Strands</v>
          </cell>
          <cell r="AJ1341" t="str">
            <v>Strands PW</v>
          </cell>
        </row>
        <row r="1342">
          <cell r="A1342" t="str">
            <v>IKN401020</v>
          </cell>
          <cell r="B1342">
            <v>1018</v>
          </cell>
          <cell r="C1342" t="str">
            <v>Institut Kanser Negara</v>
          </cell>
          <cell r="D1342" t="str">
            <v>KKM/IKN/H/13/736</v>
          </cell>
          <cell r="E1342" t="str">
            <v>18-231</v>
          </cell>
          <cell r="F1342" t="str">
            <v>Electrosurgical Units, Monopolar/Bipolar</v>
          </cell>
          <cell r="G1342" t="str">
            <v>OT</v>
          </cell>
          <cell r="H1342" t="str">
            <v>OPERATING THEATRE</v>
          </cell>
          <cell r="I1342" t="str">
            <v>05OT120</v>
          </cell>
          <cell r="J1342" t="str">
            <v>OT 2</v>
          </cell>
          <cell r="K1342" t="str">
            <v>BMED</v>
          </cell>
          <cell r="L1342" t="str">
            <v>Normal</v>
          </cell>
          <cell r="M1342" t="str">
            <v>USA</v>
          </cell>
          <cell r="N1342" t="str">
            <v>Force</v>
          </cell>
          <cell r="O1342" t="str">
            <v>Force FX-8C</v>
          </cell>
          <cell r="P1342" t="str">
            <v>F2H71438AX</v>
          </cell>
          <cell r="Q1342" t="str">
            <v>Not Applicable</v>
          </cell>
          <cell r="R1342" t="str">
            <v>Valleylab</v>
          </cell>
          <cell r="S1342" t="str">
            <v>United States of America</v>
          </cell>
          <cell r="T1342" t="str">
            <v>Functioning</v>
          </cell>
          <cell r="U1342" t="str">
            <v>Asset</v>
          </cell>
          <cell r="V1342">
            <v>132310</v>
          </cell>
          <cell r="W1342" t="str">
            <v>KEW</v>
          </cell>
          <cell r="X1342" t="str">
            <v>01/09/2010</v>
          </cell>
          <cell r="Y1342" t="str">
            <v>KEW</v>
          </cell>
          <cell r="Z1342" t="str">
            <v>16/08/2013</v>
          </cell>
          <cell r="AA1342" t="str">
            <v>15/08/2015</v>
          </cell>
          <cell r="AB1342" t="str">
            <v>No</v>
          </cell>
          <cell r="AC1342" t="str">
            <v>31/08/2013</v>
          </cell>
          <cell r="AD1342" t="str">
            <v>Good</v>
          </cell>
          <cell r="AE1342" t="str">
            <v>V1 - Existing / No Claim</v>
          </cell>
          <cell r="AF1342">
            <v>42235</v>
          </cell>
          <cell r="AG1342">
            <v>9.17</v>
          </cell>
          <cell r="AH1342" t="str">
            <v>PPM</v>
          </cell>
          <cell r="AI1342" t="str">
            <v>Strands</v>
          </cell>
          <cell r="AJ1342" t="str">
            <v>Strands PW SET D</v>
          </cell>
          <cell r="AK1342" t="str">
            <v>CUBA CHECK IKN401021 PUNYA KEWPA</v>
          </cell>
        </row>
        <row r="1343">
          <cell r="A1343" t="str">
            <v>IKN401021</v>
          </cell>
          <cell r="B1343">
            <v>1019</v>
          </cell>
          <cell r="C1343" t="str">
            <v>Institut Kanser Negara</v>
          </cell>
          <cell r="D1343" t="str">
            <v>KKM/IKN/H/13/736</v>
          </cell>
          <cell r="E1343" t="str">
            <v>18-232</v>
          </cell>
          <cell r="F1343" t="str">
            <v>Electrosurgical Units, Monopolar/Bipolar, Argon-Enhanced Coagulation</v>
          </cell>
          <cell r="G1343" t="str">
            <v>OT</v>
          </cell>
          <cell r="H1343" t="str">
            <v>OPERATING THEATRE</v>
          </cell>
          <cell r="I1343" t="str">
            <v>05OT120</v>
          </cell>
          <cell r="J1343" t="str">
            <v>OT 2</v>
          </cell>
          <cell r="K1343" t="str">
            <v>BMED</v>
          </cell>
          <cell r="L1343" t="str">
            <v>Critical</v>
          </cell>
          <cell r="M1343" t="str">
            <v>USA</v>
          </cell>
          <cell r="N1343" t="str">
            <v>Force</v>
          </cell>
          <cell r="O1343" t="str">
            <v>Force Argon II</v>
          </cell>
          <cell r="P1343" t="str">
            <v>G212724UX</v>
          </cell>
          <cell r="Q1343" t="str">
            <v>Not Applicable</v>
          </cell>
          <cell r="R1343" t="str">
            <v>Valleylab</v>
          </cell>
          <cell r="S1343" t="str">
            <v>United States of America</v>
          </cell>
          <cell r="T1343" t="str">
            <v>Functioning</v>
          </cell>
          <cell r="U1343" t="str">
            <v>Asset</v>
          </cell>
          <cell r="V1343">
            <v>132310</v>
          </cell>
          <cell r="W1343" t="str">
            <v>Estimate</v>
          </cell>
          <cell r="X1343" t="str">
            <v>01/09/2010</v>
          </cell>
          <cell r="Y1343" t="str">
            <v>KEW</v>
          </cell>
          <cell r="Z1343" t="str">
            <v>16/08/2013</v>
          </cell>
          <cell r="AA1343" t="str">
            <v>15/08/2015</v>
          </cell>
          <cell r="AB1343" t="str">
            <v>No</v>
          </cell>
          <cell r="AC1343" t="str">
            <v>31/08/2013</v>
          </cell>
          <cell r="AD1343" t="str">
            <v>Good</v>
          </cell>
          <cell r="AE1343" t="str">
            <v>V1 - Existing / No Claim</v>
          </cell>
          <cell r="AF1343">
            <v>42802</v>
          </cell>
          <cell r="AG1343">
            <v>9.17</v>
          </cell>
          <cell r="AH1343" t="str">
            <v>PPM</v>
          </cell>
          <cell r="AI1343" t="str">
            <v>Strands</v>
          </cell>
          <cell r="AJ1343" t="str">
            <v>Strands PW SET D</v>
          </cell>
          <cell r="AK1343" t="str">
            <v>CUBA CHECK IKN401020 PUNYA KEWPA</v>
          </cell>
        </row>
        <row r="1344">
          <cell r="A1344" t="str">
            <v>IKN401022</v>
          </cell>
          <cell r="B1344">
            <v>1020</v>
          </cell>
          <cell r="C1344" t="str">
            <v>Institut Kanser Negara</v>
          </cell>
          <cell r="D1344" t="str">
            <v>KKM/IKN/H/13/4487</v>
          </cell>
          <cell r="E1344" t="str">
            <v>16-924</v>
          </cell>
          <cell r="F1344" t="str">
            <v>Infusion Pumps, Patient-Controlled Analgesic</v>
          </cell>
          <cell r="G1344" t="str">
            <v>OT</v>
          </cell>
          <cell r="H1344" t="str">
            <v>OPERATING THEATRE</v>
          </cell>
          <cell r="I1344" t="str">
            <v>05OT120</v>
          </cell>
          <cell r="J1344" t="str">
            <v>OT 2</v>
          </cell>
          <cell r="K1344" t="str">
            <v>BMED</v>
          </cell>
          <cell r="L1344" t="str">
            <v>Normal</v>
          </cell>
          <cell r="M1344" t="str">
            <v>Germany</v>
          </cell>
          <cell r="N1344" t="str">
            <v>Perfusor</v>
          </cell>
          <cell r="O1344" t="str">
            <v>Perfusor Space PCA</v>
          </cell>
          <cell r="P1344" t="str">
            <v>186640</v>
          </cell>
          <cell r="Q1344" t="str">
            <v>Not Applicable</v>
          </cell>
          <cell r="R1344" t="str">
            <v>B Braun Melsungen AG</v>
          </cell>
          <cell r="S1344" t="str">
            <v>B Braun Medical Supplies Sdn. Bhd.</v>
          </cell>
          <cell r="T1344" t="str">
            <v>Functioning</v>
          </cell>
          <cell r="U1344" t="str">
            <v>Asset</v>
          </cell>
          <cell r="V1344">
            <v>9622</v>
          </cell>
          <cell r="W1344" t="str">
            <v>KEW</v>
          </cell>
          <cell r="X1344" t="str">
            <v>01/09/2010</v>
          </cell>
          <cell r="Y1344" t="str">
            <v>KEW</v>
          </cell>
          <cell r="Z1344" t="str">
            <v>16/08/2013</v>
          </cell>
          <cell r="AA1344" t="str">
            <v>15/08/2015</v>
          </cell>
          <cell r="AB1344" t="str">
            <v>No</v>
          </cell>
          <cell r="AC1344" t="str">
            <v>31/08/2013</v>
          </cell>
          <cell r="AD1344" t="str">
            <v>Good</v>
          </cell>
          <cell r="AE1344" t="str">
            <v>V1 - Existing / No Claim</v>
          </cell>
          <cell r="AF1344">
            <v>42235</v>
          </cell>
          <cell r="AG1344">
            <v>9.17</v>
          </cell>
          <cell r="AH1344" t="str">
            <v>PPM</v>
          </cell>
          <cell r="AI1344" t="str">
            <v>Strands</v>
          </cell>
          <cell r="AJ1344" t="str">
            <v>Strands PW</v>
          </cell>
        </row>
        <row r="1345">
          <cell r="A1345" t="str">
            <v>IKN401023</v>
          </cell>
          <cell r="B1345">
            <v>1021</v>
          </cell>
          <cell r="C1345" t="str">
            <v>Institut Kanser Negara</v>
          </cell>
          <cell r="D1345" t="str">
            <v>KKM/IKN/H/13/4393</v>
          </cell>
          <cell r="E1345" t="str">
            <v>13-217</v>
          </cell>
          <cell r="F1345" t="str">
            <v>Infusion Pumps, Syringe</v>
          </cell>
          <cell r="G1345" t="str">
            <v>OT</v>
          </cell>
          <cell r="H1345" t="str">
            <v>OPERATING THEATRE</v>
          </cell>
          <cell r="I1345" t="str">
            <v>05OT120</v>
          </cell>
          <cell r="J1345" t="str">
            <v>OT 2</v>
          </cell>
          <cell r="K1345" t="str">
            <v>BMED</v>
          </cell>
          <cell r="L1345" t="str">
            <v>Critical</v>
          </cell>
          <cell r="M1345" t="str">
            <v>Germany</v>
          </cell>
          <cell r="N1345" t="str">
            <v>Perfusor</v>
          </cell>
          <cell r="O1345" t="str">
            <v>Perfusor Space</v>
          </cell>
          <cell r="P1345" t="str">
            <v>143192</v>
          </cell>
          <cell r="Q1345" t="str">
            <v>Not Applicable</v>
          </cell>
          <cell r="R1345" t="str">
            <v>B Braun Melsungen AG</v>
          </cell>
          <cell r="S1345" t="str">
            <v>B Braun Medical Supplies Sdn. Bhd.</v>
          </cell>
          <cell r="T1345" t="str">
            <v>Functioning</v>
          </cell>
          <cell r="U1345" t="str">
            <v>Asset</v>
          </cell>
          <cell r="V1345">
            <v>10225</v>
          </cell>
          <cell r="W1345" t="str">
            <v>KEW</v>
          </cell>
          <cell r="X1345" t="str">
            <v>01/09/2010</v>
          </cell>
          <cell r="Y1345" t="str">
            <v>KEW</v>
          </cell>
          <cell r="Z1345" t="str">
            <v>16/08/2013</v>
          </cell>
          <cell r="AA1345" t="str">
            <v>15/08/2015</v>
          </cell>
          <cell r="AB1345" t="str">
            <v>No</v>
          </cell>
          <cell r="AC1345" t="str">
            <v>31/08/2013</v>
          </cell>
          <cell r="AD1345" t="str">
            <v>Good</v>
          </cell>
          <cell r="AE1345" t="str">
            <v>V1 - Existing / No Claim</v>
          </cell>
          <cell r="AF1345">
            <v>42802</v>
          </cell>
          <cell r="AG1345">
            <v>9.17</v>
          </cell>
          <cell r="AH1345" t="str">
            <v>PPM</v>
          </cell>
          <cell r="AI1345" t="str">
            <v>Strands</v>
          </cell>
          <cell r="AJ1345" t="str">
            <v>Strands PW</v>
          </cell>
        </row>
        <row r="1346">
          <cell r="A1346" t="str">
            <v>IKN401024</v>
          </cell>
          <cell r="B1346">
            <v>1022</v>
          </cell>
          <cell r="C1346" t="str">
            <v>Institut Kanser Negara</v>
          </cell>
          <cell r="D1346" t="str">
            <v>KKM/IKN/H/13/4394</v>
          </cell>
          <cell r="E1346" t="str">
            <v>13-217</v>
          </cell>
          <cell r="F1346" t="str">
            <v>Infusion Pumps, Syringe</v>
          </cell>
          <cell r="G1346" t="str">
            <v>OT</v>
          </cell>
          <cell r="H1346" t="str">
            <v>OPERATING THEATRE</v>
          </cell>
          <cell r="I1346" t="str">
            <v>05OT120</v>
          </cell>
          <cell r="J1346" t="str">
            <v>OT 2</v>
          </cell>
          <cell r="K1346" t="str">
            <v>BMED</v>
          </cell>
          <cell r="L1346" t="str">
            <v>Critical</v>
          </cell>
          <cell r="M1346" t="str">
            <v>Germany</v>
          </cell>
          <cell r="N1346" t="str">
            <v>Perfusor</v>
          </cell>
          <cell r="O1346" t="str">
            <v>Perfusor Space</v>
          </cell>
          <cell r="P1346" t="str">
            <v>143333</v>
          </cell>
          <cell r="Q1346" t="str">
            <v>Not Applicable</v>
          </cell>
          <cell r="R1346" t="str">
            <v>B Braun Melsungen AG</v>
          </cell>
          <cell r="S1346" t="str">
            <v>B Braun Medical Supplies Sdn. Bhd.</v>
          </cell>
          <cell r="T1346" t="str">
            <v>Functioning</v>
          </cell>
          <cell r="U1346" t="str">
            <v>Asset</v>
          </cell>
          <cell r="V1346">
            <v>10225</v>
          </cell>
          <cell r="W1346" t="str">
            <v>KEW</v>
          </cell>
          <cell r="X1346" t="str">
            <v>01/09/2010</v>
          </cell>
          <cell r="Y1346" t="str">
            <v>KEW</v>
          </cell>
          <cell r="Z1346" t="str">
            <v>16/08/2013</v>
          </cell>
          <cell r="AA1346" t="str">
            <v>15/08/2015</v>
          </cell>
          <cell r="AB1346" t="str">
            <v>No</v>
          </cell>
          <cell r="AC1346" t="str">
            <v>31/08/2013</v>
          </cell>
          <cell r="AD1346" t="str">
            <v>Good</v>
          </cell>
          <cell r="AE1346" t="str">
            <v>V1 - Existing / No Claim</v>
          </cell>
          <cell r="AF1346">
            <v>42802</v>
          </cell>
          <cell r="AG1346">
            <v>9.17</v>
          </cell>
          <cell r="AH1346" t="str">
            <v>PPM</v>
          </cell>
          <cell r="AI1346" t="str">
            <v>Strands</v>
          </cell>
          <cell r="AJ1346" t="str">
            <v>Strands PW</v>
          </cell>
        </row>
        <row r="1347">
          <cell r="A1347" t="str">
            <v>IKN401025</v>
          </cell>
          <cell r="B1347">
            <v>1023</v>
          </cell>
          <cell r="C1347" t="str">
            <v>Institut Kanser Negara</v>
          </cell>
          <cell r="D1347" t="str">
            <v>KKM/IKN/H/13/4482</v>
          </cell>
          <cell r="E1347" t="str">
            <v>13-215</v>
          </cell>
          <cell r="F1347" t="str">
            <v>Infusion Pumps, General-Purpose</v>
          </cell>
          <cell r="G1347" t="str">
            <v>OT</v>
          </cell>
          <cell r="H1347" t="str">
            <v>OPERATING THEATRE</v>
          </cell>
          <cell r="I1347" t="str">
            <v>05OT120</v>
          </cell>
          <cell r="J1347" t="str">
            <v>OT 2</v>
          </cell>
          <cell r="K1347" t="str">
            <v>BMED</v>
          </cell>
          <cell r="L1347" t="str">
            <v>Critical</v>
          </cell>
          <cell r="M1347" t="str">
            <v>Germany</v>
          </cell>
          <cell r="N1347" t="str">
            <v>Infusomat</v>
          </cell>
          <cell r="O1347" t="str">
            <v>Infusomat Space</v>
          </cell>
          <cell r="P1347" t="str">
            <v>211447</v>
          </cell>
          <cell r="Q1347" t="str">
            <v>Not Applicable</v>
          </cell>
          <cell r="R1347" t="str">
            <v>B Braun Melsungen AG</v>
          </cell>
          <cell r="S1347" t="str">
            <v>B Braun Medical Supplies Sdn. Bhd.</v>
          </cell>
          <cell r="T1347" t="str">
            <v>Functioning</v>
          </cell>
          <cell r="U1347" t="str">
            <v>Asset</v>
          </cell>
          <cell r="V1347">
            <v>10825</v>
          </cell>
          <cell r="W1347" t="str">
            <v>KEW</v>
          </cell>
          <cell r="X1347" t="str">
            <v>01/09/2010</v>
          </cell>
          <cell r="Y1347" t="str">
            <v>KEW</v>
          </cell>
          <cell r="Z1347" t="str">
            <v>16/08/2013</v>
          </cell>
          <cell r="AA1347" t="str">
            <v>15/08/2015</v>
          </cell>
          <cell r="AB1347" t="str">
            <v>No</v>
          </cell>
          <cell r="AC1347" t="str">
            <v>31/08/2013</v>
          </cell>
          <cell r="AD1347" t="str">
            <v>Good</v>
          </cell>
          <cell r="AE1347" t="str">
            <v>V1 - Existing / No Claim</v>
          </cell>
          <cell r="AF1347">
            <v>42802</v>
          </cell>
          <cell r="AG1347">
            <v>9.17</v>
          </cell>
          <cell r="AH1347" t="str">
            <v>PPM</v>
          </cell>
          <cell r="AI1347" t="str">
            <v>Strands</v>
          </cell>
          <cell r="AJ1347" t="str">
            <v>Strands PW</v>
          </cell>
        </row>
        <row r="1348">
          <cell r="A1348" t="str">
            <v>IKN401026</v>
          </cell>
          <cell r="B1348">
            <v>1024</v>
          </cell>
          <cell r="C1348" t="str">
            <v>Institut Kanser Negara</v>
          </cell>
          <cell r="D1348" t="str">
            <v>KKM/IKN/H/13/4843</v>
          </cell>
          <cell r="E1348" t="str">
            <v>17-793</v>
          </cell>
          <cell r="F1348" t="str">
            <v>Infusion/ Monitoring Line Organizer System</v>
          </cell>
          <cell r="G1348" t="str">
            <v>OT</v>
          </cell>
          <cell r="H1348" t="str">
            <v>OPERATING THEATRE</v>
          </cell>
          <cell r="I1348" t="str">
            <v>05OT120</v>
          </cell>
          <cell r="J1348" t="str">
            <v>OT 2</v>
          </cell>
          <cell r="K1348" t="str">
            <v>BMED</v>
          </cell>
          <cell r="L1348" t="str">
            <v>Normal</v>
          </cell>
          <cell r="M1348" t="str">
            <v>Germany</v>
          </cell>
          <cell r="N1348" t="str">
            <v>Space Station</v>
          </cell>
          <cell r="O1348" t="str">
            <v>Space Station</v>
          </cell>
          <cell r="P1348" t="str">
            <v>13975</v>
          </cell>
          <cell r="Q1348" t="str">
            <v>Not Applicable</v>
          </cell>
          <cell r="R1348" t="str">
            <v>B Braun Melsungen AG</v>
          </cell>
          <cell r="S1348" t="str">
            <v>B Braun Medical Supplies Sdn. Bhd.</v>
          </cell>
          <cell r="T1348" t="str">
            <v>Functioning</v>
          </cell>
          <cell r="U1348" t="str">
            <v>Asset</v>
          </cell>
          <cell r="V1348">
            <v>84200</v>
          </cell>
          <cell r="W1348" t="str">
            <v>KEW</v>
          </cell>
          <cell r="X1348" t="str">
            <v>01/09/2010</v>
          </cell>
          <cell r="Y1348" t="str">
            <v>KEW</v>
          </cell>
          <cell r="Z1348" t="str">
            <v>16/08/2013</v>
          </cell>
          <cell r="AA1348" t="str">
            <v>15/08/2015</v>
          </cell>
          <cell r="AB1348" t="str">
            <v>No</v>
          </cell>
          <cell r="AC1348" t="str">
            <v>31/08/2013</v>
          </cell>
          <cell r="AD1348" t="str">
            <v>Good</v>
          </cell>
          <cell r="AE1348" t="str">
            <v>V1 - Existing / No Claim</v>
          </cell>
          <cell r="AF1348">
            <v>42802</v>
          </cell>
          <cell r="AG1348">
            <v>9.17</v>
          </cell>
          <cell r="AH1348" t="str">
            <v>PPM</v>
          </cell>
          <cell r="AI1348" t="str">
            <v>Strands</v>
          </cell>
          <cell r="AJ1348" t="str">
            <v>Strands PW</v>
          </cell>
        </row>
        <row r="1349">
          <cell r="A1349" t="str">
            <v>IKN401027</v>
          </cell>
          <cell r="B1349">
            <v>1025</v>
          </cell>
          <cell r="C1349" t="str">
            <v>Institut Kanser Negara</v>
          </cell>
          <cell r="D1349" t="str">
            <v>KKM/IKN/H/13/734</v>
          </cell>
          <cell r="E1349" t="str">
            <v>13-961</v>
          </cell>
          <cell r="F1349" t="str">
            <v>Tables, Operating</v>
          </cell>
          <cell r="G1349" t="str">
            <v>OT</v>
          </cell>
          <cell r="H1349" t="str">
            <v>OPERATING THEATRE</v>
          </cell>
          <cell r="I1349" t="str">
            <v>05OT120</v>
          </cell>
          <cell r="J1349" t="str">
            <v>OT 2</v>
          </cell>
          <cell r="K1349" t="str">
            <v>BMED</v>
          </cell>
          <cell r="L1349" t="str">
            <v>Normal</v>
          </cell>
          <cell r="M1349" t="str">
            <v>UK</v>
          </cell>
          <cell r="N1349" t="str">
            <v>Eschmann</v>
          </cell>
          <cell r="O1349" t="str">
            <v>Eschmann T20+</v>
          </cell>
          <cell r="P1349" t="str">
            <v>T2AD-2A-3367</v>
          </cell>
          <cell r="Q1349" t="str">
            <v>Not Applicable</v>
          </cell>
          <cell r="R1349" t="str">
            <v>Eschmann Bros &amp; Walsh Ltd</v>
          </cell>
          <cell r="S1349" t="str">
            <v>Antah Sir Radin Sdn. Bhd.</v>
          </cell>
          <cell r="T1349" t="str">
            <v>Functioning</v>
          </cell>
          <cell r="U1349" t="str">
            <v>Asset</v>
          </cell>
          <cell r="V1349">
            <v>239350</v>
          </cell>
          <cell r="W1349" t="str">
            <v>KEW</v>
          </cell>
          <cell r="X1349" t="str">
            <v>01/09/2010</v>
          </cell>
          <cell r="Y1349" t="str">
            <v>KEW</v>
          </cell>
          <cell r="Z1349" t="str">
            <v>16/08/2013</v>
          </cell>
          <cell r="AA1349" t="str">
            <v>15/08/2015</v>
          </cell>
          <cell r="AB1349" t="str">
            <v>No</v>
          </cell>
          <cell r="AC1349" t="str">
            <v>31/08/2013</v>
          </cell>
          <cell r="AD1349" t="str">
            <v>Good</v>
          </cell>
          <cell r="AE1349" t="str">
            <v>V1 - Existing / No Claim</v>
          </cell>
          <cell r="AF1349">
            <v>42235</v>
          </cell>
          <cell r="AG1349">
            <v>9.17</v>
          </cell>
          <cell r="AH1349" t="str">
            <v>PPM</v>
          </cell>
          <cell r="AI1349" t="str">
            <v>Strands</v>
          </cell>
          <cell r="AJ1349" t="str">
            <v>Strands PW</v>
          </cell>
        </row>
        <row r="1350">
          <cell r="A1350" t="str">
            <v>IKN401028</v>
          </cell>
          <cell r="B1350">
            <v>1026</v>
          </cell>
          <cell r="C1350" t="str">
            <v>Institut Kanser Negara</v>
          </cell>
          <cell r="D1350" t="str">
            <v>KKM/IKN/H/13/4483</v>
          </cell>
          <cell r="E1350" t="str">
            <v>13-215</v>
          </cell>
          <cell r="F1350" t="str">
            <v>Infusion Pumps, General-Purpose</v>
          </cell>
          <cell r="G1350" t="str">
            <v>OT</v>
          </cell>
          <cell r="H1350" t="str">
            <v>OPERATING THEATRE</v>
          </cell>
          <cell r="I1350" t="str">
            <v>05OT123</v>
          </cell>
          <cell r="J1350" t="str">
            <v>0T 1</v>
          </cell>
          <cell r="K1350" t="str">
            <v>BMED</v>
          </cell>
          <cell r="L1350" t="str">
            <v>Normal</v>
          </cell>
          <cell r="M1350" t="str">
            <v>Germany</v>
          </cell>
          <cell r="N1350" t="str">
            <v>Infusomat</v>
          </cell>
          <cell r="O1350" t="str">
            <v>Infusomat Space</v>
          </cell>
          <cell r="P1350" t="str">
            <v>212023</v>
          </cell>
          <cell r="Q1350" t="str">
            <v>Not Applicable</v>
          </cell>
          <cell r="R1350" t="str">
            <v>B Braun Melsungen AG</v>
          </cell>
          <cell r="S1350" t="str">
            <v>B Braun Medical Supplies Sdn. Bhd.</v>
          </cell>
          <cell r="T1350" t="str">
            <v>Functioning</v>
          </cell>
          <cell r="U1350" t="str">
            <v>Asset</v>
          </cell>
          <cell r="V1350">
            <v>10825</v>
          </cell>
          <cell r="W1350" t="str">
            <v>KEW</v>
          </cell>
          <cell r="X1350" t="str">
            <v>01/09/2010</v>
          </cell>
          <cell r="Y1350" t="str">
            <v>KEW</v>
          </cell>
          <cell r="Z1350" t="str">
            <v>16/08/2013</v>
          </cell>
          <cell r="AA1350" t="str">
            <v>15/08/2015</v>
          </cell>
          <cell r="AB1350" t="str">
            <v>No</v>
          </cell>
          <cell r="AC1350" t="str">
            <v>31/08/2013</v>
          </cell>
          <cell r="AD1350" t="str">
            <v>Good</v>
          </cell>
          <cell r="AE1350" t="str">
            <v>V1 - Existing / No Claim</v>
          </cell>
          <cell r="AF1350">
            <v>42235</v>
          </cell>
          <cell r="AG1350">
            <v>9.17</v>
          </cell>
          <cell r="AH1350" t="str">
            <v>PPM</v>
          </cell>
          <cell r="AI1350" t="str">
            <v>Strands</v>
          </cell>
          <cell r="AJ1350" t="str">
            <v>Strands PW</v>
          </cell>
        </row>
        <row r="1351">
          <cell r="A1351" t="str">
            <v>IKN401029</v>
          </cell>
          <cell r="B1351">
            <v>1027</v>
          </cell>
          <cell r="C1351" t="str">
            <v>Institut Kanser Negara</v>
          </cell>
          <cell r="D1351" t="str">
            <v>KKM/IKN/H/13/4396</v>
          </cell>
          <cell r="E1351" t="str">
            <v>13-217</v>
          </cell>
          <cell r="F1351" t="str">
            <v>Infusion Pumps, Syringe</v>
          </cell>
          <cell r="G1351" t="str">
            <v>OT</v>
          </cell>
          <cell r="H1351" t="str">
            <v>OPERATING THEATRE</v>
          </cell>
          <cell r="I1351" t="str">
            <v>05OT123</v>
          </cell>
          <cell r="J1351" t="str">
            <v>0T 1</v>
          </cell>
          <cell r="K1351" t="str">
            <v>BMED</v>
          </cell>
          <cell r="L1351" t="str">
            <v>Normal</v>
          </cell>
          <cell r="M1351" t="str">
            <v>Germany</v>
          </cell>
          <cell r="N1351" t="str">
            <v>Perfusor</v>
          </cell>
          <cell r="O1351" t="str">
            <v>Perfusor Space</v>
          </cell>
          <cell r="P1351" t="str">
            <v>187024</v>
          </cell>
          <cell r="Q1351" t="str">
            <v>Not Applicable</v>
          </cell>
          <cell r="R1351" t="str">
            <v>B Braun Melsungen AG</v>
          </cell>
          <cell r="S1351" t="str">
            <v>B Braun Medical Supplies Sdn. Bhd.</v>
          </cell>
          <cell r="T1351" t="str">
            <v>Functioning</v>
          </cell>
          <cell r="U1351" t="str">
            <v>Asset</v>
          </cell>
          <cell r="V1351">
            <v>10225</v>
          </cell>
          <cell r="W1351" t="str">
            <v>KEW</v>
          </cell>
          <cell r="X1351" t="str">
            <v>01/09/2010</v>
          </cell>
          <cell r="Y1351" t="str">
            <v>KEW</v>
          </cell>
          <cell r="Z1351" t="str">
            <v>16/08/2013</v>
          </cell>
          <cell r="AA1351" t="str">
            <v>15/08/2015</v>
          </cell>
          <cell r="AB1351" t="str">
            <v>No</v>
          </cell>
          <cell r="AC1351" t="str">
            <v>31/08/2013</v>
          </cell>
          <cell r="AD1351" t="str">
            <v>Good</v>
          </cell>
          <cell r="AE1351" t="str">
            <v>V1 - Existing / No Claim</v>
          </cell>
          <cell r="AF1351">
            <v>42235</v>
          </cell>
          <cell r="AG1351">
            <v>9.17</v>
          </cell>
          <cell r="AH1351" t="str">
            <v>PPM</v>
          </cell>
          <cell r="AI1351" t="str">
            <v>Strands</v>
          </cell>
          <cell r="AJ1351" t="str">
            <v>Strands PW</v>
          </cell>
        </row>
        <row r="1352">
          <cell r="A1352" t="str">
            <v>IKN401030</v>
          </cell>
          <cell r="B1352">
            <v>1028</v>
          </cell>
          <cell r="C1352" t="str">
            <v>Institut Kanser Negara</v>
          </cell>
          <cell r="D1352" t="str">
            <v>KKM/IKN/H/13/3938</v>
          </cell>
          <cell r="E1352" t="str">
            <v>13-217</v>
          </cell>
          <cell r="F1352" t="str">
            <v>Infusion Pumps, Syringe</v>
          </cell>
          <cell r="G1352" t="str">
            <v>OT</v>
          </cell>
          <cell r="H1352" t="str">
            <v>OPERATING THEATRE</v>
          </cell>
          <cell r="I1352" t="str">
            <v>05OT123</v>
          </cell>
          <cell r="J1352" t="str">
            <v>0T 1</v>
          </cell>
          <cell r="K1352" t="str">
            <v>BMED</v>
          </cell>
          <cell r="L1352" t="str">
            <v>Normal</v>
          </cell>
          <cell r="M1352" t="str">
            <v>Germany</v>
          </cell>
          <cell r="N1352" t="str">
            <v>Perfusor</v>
          </cell>
          <cell r="O1352" t="str">
            <v>Perfusor Space</v>
          </cell>
          <cell r="P1352" t="str">
            <v>187039</v>
          </cell>
          <cell r="Q1352" t="str">
            <v>Not Applicable</v>
          </cell>
          <cell r="R1352" t="str">
            <v>B Braun Melsungen AG</v>
          </cell>
          <cell r="S1352" t="str">
            <v>B Braun Medical Supplies Sdn. Bhd.</v>
          </cell>
          <cell r="T1352" t="str">
            <v>Functioning</v>
          </cell>
          <cell r="U1352" t="str">
            <v>Asset</v>
          </cell>
          <cell r="V1352">
            <v>10225</v>
          </cell>
          <cell r="W1352" t="str">
            <v>KEW</v>
          </cell>
          <cell r="X1352" t="str">
            <v>01/09/2010</v>
          </cell>
          <cell r="Y1352" t="str">
            <v>KEW</v>
          </cell>
          <cell r="Z1352" t="str">
            <v>16/08/2013</v>
          </cell>
          <cell r="AA1352" t="str">
            <v>15/08/2015</v>
          </cell>
          <cell r="AB1352" t="str">
            <v>No</v>
          </cell>
          <cell r="AC1352" t="str">
            <v>31/08/2013</v>
          </cell>
          <cell r="AD1352" t="str">
            <v>Good</v>
          </cell>
          <cell r="AE1352" t="str">
            <v>V1 - Existing / No Claim</v>
          </cell>
          <cell r="AF1352">
            <v>42235</v>
          </cell>
          <cell r="AG1352">
            <v>9.17</v>
          </cell>
          <cell r="AH1352" t="str">
            <v>PPM</v>
          </cell>
          <cell r="AI1352" t="str">
            <v>Strands</v>
          </cell>
          <cell r="AJ1352" t="str">
            <v>Strands PW SET C</v>
          </cell>
          <cell r="AK1352" t="str">
            <v>CUBA CHECK IKN401003 PUNYA KEWPA</v>
          </cell>
        </row>
        <row r="1353">
          <cell r="A1353" t="str">
            <v>IKN401031</v>
          </cell>
          <cell r="B1353">
            <v>1029</v>
          </cell>
          <cell r="C1353" t="str">
            <v>Institut Kanser Negara</v>
          </cell>
          <cell r="D1353" t="str">
            <v>KKM/IKN/H/13/3599</v>
          </cell>
          <cell r="E1353" t="str">
            <v>10-414</v>
          </cell>
          <cell r="F1353" t="str">
            <v>Warming Units, Blanket</v>
          </cell>
          <cell r="G1353" t="str">
            <v>OT</v>
          </cell>
          <cell r="H1353" t="str">
            <v>OPERATING THEATRE</v>
          </cell>
          <cell r="I1353" t="str">
            <v>05OT123</v>
          </cell>
          <cell r="J1353" t="str">
            <v>0T 1</v>
          </cell>
          <cell r="K1353" t="str">
            <v>BMED</v>
          </cell>
          <cell r="L1353" t="str">
            <v>Normal</v>
          </cell>
          <cell r="M1353" t="str">
            <v>Sweden</v>
          </cell>
          <cell r="N1353" t="str">
            <v>Operatherm</v>
          </cell>
          <cell r="O1353" t="str">
            <v>Operatherm 303</v>
          </cell>
          <cell r="P1353" t="str">
            <v>00739-11</v>
          </cell>
          <cell r="Q1353" t="str">
            <v>Not Applicable</v>
          </cell>
          <cell r="R1353" t="str">
            <v>Kanmed</v>
          </cell>
          <cell r="S1353" t="str">
            <v>Perniagaan Med Tech</v>
          </cell>
          <cell r="T1353" t="str">
            <v>Functioning</v>
          </cell>
          <cell r="U1353" t="str">
            <v>Asset</v>
          </cell>
          <cell r="V1353">
            <v>15515</v>
          </cell>
          <cell r="W1353" t="str">
            <v>KEW</v>
          </cell>
          <cell r="X1353" t="str">
            <v>01/09/2010</v>
          </cell>
          <cell r="Y1353" t="str">
            <v>KEW</v>
          </cell>
          <cell r="Z1353" t="str">
            <v>16/08/2013</v>
          </cell>
          <cell r="AA1353" t="str">
            <v>15/08/2015</v>
          </cell>
          <cell r="AB1353" t="str">
            <v>No</v>
          </cell>
          <cell r="AC1353" t="str">
            <v>31/08/2013</v>
          </cell>
          <cell r="AD1353" t="str">
            <v>Good</v>
          </cell>
          <cell r="AE1353" t="str">
            <v>V1 - Existing / No Claim</v>
          </cell>
          <cell r="AF1353">
            <v>42802</v>
          </cell>
          <cell r="AG1353">
            <v>9.17</v>
          </cell>
          <cell r="AH1353" t="str">
            <v>PPM</v>
          </cell>
          <cell r="AI1353" t="str">
            <v>Strands</v>
          </cell>
          <cell r="AJ1353" t="str">
            <v>Strands PW</v>
          </cell>
        </row>
        <row r="1354">
          <cell r="A1354" t="str">
            <v>IKN401032</v>
          </cell>
          <cell r="B1354">
            <v>1030</v>
          </cell>
          <cell r="C1354" t="str">
            <v>Institut Kanser Negara</v>
          </cell>
          <cell r="D1354" t="str">
            <v>KKM/IKN/H/13/202</v>
          </cell>
          <cell r="E1354" t="str">
            <v>10-134</v>
          </cell>
          <cell r="F1354" t="str">
            <v>Anesthesia Units</v>
          </cell>
          <cell r="G1354" t="str">
            <v>OT</v>
          </cell>
          <cell r="H1354" t="str">
            <v>OPERATING THEATRE</v>
          </cell>
          <cell r="I1354" t="str">
            <v>05OT123</v>
          </cell>
          <cell r="J1354" t="str">
            <v>0T 1</v>
          </cell>
          <cell r="K1354" t="str">
            <v>BMED</v>
          </cell>
          <cell r="L1354" t="str">
            <v>Critical</v>
          </cell>
          <cell r="M1354" t="str">
            <v>Germany</v>
          </cell>
          <cell r="N1354" t="str">
            <v>Primus</v>
          </cell>
          <cell r="O1354" t="str">
            <v>Primus</v>
          </cell>
          <cell r="P1354" t="str">
            <v>ASDJ-0233</v>
          </cell>
          <cell r="Q1354" t="str">
            <v>Not Applicable</v>
          </cell>
          <cell r="R1354" t="str">
            <v>Drager medical GmbH</v>
          </cell>
          <cell r="S1354" t="str">
            <v>Beau Consortium Sdn Bhd</v>
          </cell>
          <cell r="T1354" t="str">
            <v>Functioning</v>
          </cell>
          <cell r="U1354" t="str">
            <v>Asset</v>
          </cell>
          <cell r="V1354">
            <v>144345</v>
          </cell>
          <cell r="W1354" t="str">
            <v>KEW</v>
          </cell>
          <cell r="X1354" t="str">
            <v>01/09/2010</v>
          </cell>
          <cell r="Y1354" t="str">
            <v>KEW</v>
          </cell>
          <cell r="Z1354" t="str">
            <v>16/08/2013</v>
          </cell>
          <cell r="AA1354" t="str">
            <v>15/08/2015</v>
          </cell>
          <cell r="AB1354" t="str">
            <v>No</v>
          </cell>
          <cell r="AC1354" t="str">
            <v>31/08/2013</v>
          </cell>
          <cell r="AD1354" t="str">
            <v>Good</v>
          </cell>
          <cell r="AE1354" t="str">
            <v>V1 - Existing / No Claim</v>
          </cell>
          <cell r="AF1354">
            <v>42802</v>
          </cell>
          <cell r="AG1354">
            <v>9.17</v>
          </cell>
          <cell r="AH1354" t="str">
            <v>PPM</v>
          </cell>
          <cell r="AI1354" t="str">
            <v>Strands</v>
          </cell>
          <cell r="AJ1354" t="str">
            <v>Strands PW</v>
          </cell>
        </row>
        <row r="1355">
          <cell r="A1355" t="str">
            <v>IKN401033</v>
          </cell>
          <cell r="B1355">
            <v>1031</v>
          </cell>
          <cell r="C1355" t="str">
            <v>Institut Kanser Negara</v>
          </cell>
          <cell r="D1355" t="str">
            <v>KKM/IKN/H/13/3733</v>
          </cell>
          <cell r="E1355" t="str">
            <v>10-447</v>
          </cell>
          <cell r="F1355" t="str">
            <v>Warming Units, Blood/Solution</v>
          </cell>
          <cell r="G1355" t="str">
            <v>OT</v>
          </cell>
          <cell r="H1355" t="str">
            <v>OPERATING THEATRE</v>
          </cell>
          <cell r="I1355" t="str">
            <v>05OT123</v>
          </cell>
          <cell r="J1355" t="str">
            <v>0T 1</v>
          </cell>
          <cell r="K1355" t="str">
            <v>BMED</v>
          </cell>
          <cell r="L1355" t="str">
            <v>Normal</v>
          </cell>
          <cell r="M1355" t="str">
            <v>USA</v>
          </cell>
          <cell r="N1355" t="str">
            <v>Hotline</v>
          </cell>
          <cell r="O1355" t="str">
            <v>Hotline HL-90</v>
          </cell>
          <cell r="P1355" t="str">
            <v>S101B00818</v>
          </cell>
          <cell r="Q1355" t="str">
            <v>Not Applicable</v>
          </cell>
          <cell r="R1355" t="str">
            <v>Level 1 Technologies Inc</v>
          </cell>
          <cell r="S1355" t="str">
            <v>Primed Medical Services Sdn Bhd</v>
          </cell>
          <cell r="T1355" t="str">
            <v>Functioning</v>
          </cell>
          <cell r="U1355" t="str">
            <v>Asset</v>
          </cell>
          <cell r="V1355">
            <v>15395</v>
          </cell>
          <cell r="W1355" t="str">
            <v>KEW</v>
          </cell>
          <cell r="X1355" t="str">
            <v>01/09/2010</v>
          </cell>
          <cell r="Y1355" t="str">
            <v>KEW</v>
          </cell>
          <cell r="Z1355" t="str">
            <v>16/08/2013</v>
          </cell>
          <cell r="AA1355" t="str">
            <v>15/08/2015</v>
          </cell>
          <cell r="AB1355" t="str">
            <v>No</v>
          </cell>
          <cell r="AC1355" t="str">
            <v>31/08/2013</v>
          </cell>
          <cell r="AD1355" t="str">
            <v>Good</v>
          </cell>
          <cell r="AE1355" t="str">
            <v>V1 - Existing / No Claim</v>
          </cell>
          <cell r="AF1355">
            <v>42235</v>
          </cell>
          <cell r="AG1355">
            <v>9.17</v>
          </cell>
          <cell r="AH1355" t="str">
            <v>PPM</v>
          </cell>
          <cell r="AI1355" t="str">
            <v>Strands</v>
          </cell>
          <cell r="AJ1355" t="str">
            <v>Strands PW</v>
          </cell>
        </row>
        <row r="1356">
          <cell r="A1356" t="str">
            <v>IKN401034</v>
          </cell>
          <cell r="B1356">
            <v>1032</v>
          </cell>
          <cell r="C1356" t="str">
            <v>Institut Kanser Negara</v>
          </cell>
          <cell r="D1356" t="str">
            <v>KKM/IKN/H/13/1039</v>
          </cell>
          <cell r="E1356" t="str">
            <v>12-647</v>
          </cell>
          <cell r="F1356" t="str">
            <v>Physiologic Monitoring Systems, Acute Care</v>
          </cell>
          <cell r="G1356" t="str">
            <v>OT</v>
          </cell>
          <cell r="H1356" t="str">
            <v>OPERATING THEATRE</v>
          </cell>
          <cell r="I1356" t="str">
            <v>05OT123</v>
          </cell>
          <cell r="J1356" t="str">
            <v>0T 1</v>
          </cell>
          <cell r="K1356" t="str">
            <v>BMED</v>
          </cell>
          <cell r="L1356" t="str">
            <v>Normal</v>
          </cell>
          <cell r="M1356" t="str">
            <v>Finland</v>
          </cell>
          <cell r="N1356" t="str">
            <v>Carespace</v>
          </cell>
          <cell r="O1356" t="str">
            <v>Carespace B850</v>
          </cell>
          <cell r="P1356" t="str">
            <v>SED12370675GA</v>
          </cell>
          <cell r="Q1356" t="str">
            <v>Not Applicable</v>
          </cell>
          <cell r="R1356" t="str">
            <v>GE Healthcare Systems</v>
          </cell>
          <cell r="S1356" t="str">
            <v>GE Healthcare Technologies</v>
          </cell>
          <cell r="T1356" t="str">
            <v>Functioning</v>
          </cell>
          <cell r="U1356" t="str">
            <v>Asset</v>
          </cell>
          <cell r="V1356">
            <v>119690</v>
          </cell>
          <cell r="W1356" t="str">
            <v>KEW</v>
          </cell>
          <cell r="X1356" t="str">
            <v>01/09/2010</v>
          </cell>
          <cell r="Y1356" t="str">
            <v>KEW</v>
          </cell>
          <cell r="Z1356" t="str">
            <v>16/08/2013</v>
          </cell>
          <cell r="AA1356" t="str">
            <v>15/08/2015</v>
          </cell>
          <cell r="AB1356" t="str">
            <v>No</v>
          </cell>
          <cell r="AC1356" t="str">
            <v>31/08/2013</v>
          </cell>
          <cell r="AD1356" t="str">
            <v>Good</v>
          </cell>
          <cell r="AE1356" t="str">
            <v>V1 - Existing / No Claim</v>
          </cell>
          <cell r="AF1356">
            <v>42235</v>
          </cell>
          <cell r="AG1356">
            <v>9.17</v>
          </cell>
          <cell r="AH1356" t="str">
            <v>PPM</v>
          </cell>
          <cell r="AI1356" t="str">
            <v>Strands</v>
          </cell>
          <cell r="AJ1356" t="str">
            <v>Strands PW</v>
          </cell>
        </row>
        <row r="1357">
          <cell r="A1357" t="str">
            <v>IKN401035</v>
          </cell>
          <cell r="B1357">
            <v>1033</v>
          </cell>
          <cell r="C1357" t="str">
            <v>Institut Kanser Negara</v>
          </cell>
          <cell r="D1357" t="str">
            <v>KKM/IKN/H/13/737</v>
          </cell>
          <cell r="E1357" t="str">
            <v>18-231</v>
          </cell>
          <cell r="F1357" t="str">
            <v>Electrosurgical Units, Monopolar/Bipolar</v>
          </cell>
          <cell r="G1357" t="str">
            <v>OT</v>
          </cell>
          <cell r="H1357" t="str">
            <v>OPERATING THEATRE</v>
          </cell>
          <cell r="I1357" t="str">
            <v>05OT123</v>
          </cell>
          <cell r="J1357" t="str">
            <v>0T 1</v>
          </cell>
          <cell r="K1357" t="str">
            <v>BMED</v>
          </cell>
          <cell r="L1357" t="str">
            <v>Normal</v>
          </cell>
          <cell r="M1357" t="str">
            <v>USA</v>
          </cell>
          <cell r="N1357" t="str">
            <v>Force</v>
          </cell>
          <cell r="O1357" t="str">
            <v>Force FX-8C</v>
          </cell>
          <cell r="P1357" t="str">
            <v>F2H71444AX</v>
          </cell>
          <cell r="Q1357" t="str">
            <v>Not Applicable</v>
          </cell>
          <cell r="R1357" t="str">
            <v>Valleylab</v>
          </cell>
          <cell r="S1357" t="str">
            <v>United States of America</v>
          </cell>
          <cell r="T1357" t="str">
            <v>Functioning</v>
          </cell>
          <cell r="U1357" t="str">
            <v>Asset</v>
          </cell>
          <cell r="V1357">
            <v>132310</v>
          </cell>
          <cell r="W1357" t="str">
            <v>KEW</v>
          </cell>
          <cell r="X1357" t="str">
            <v>01/09/2010</v>
          </cell>
          <cell r="Y1357" t="str">
            <v>KEW</v>
          </cell>
          <cell r="Z1357" t="str">
            <v>16/08/2013</v>
          </cell>
          <cell r="AA1357" t="str">
            <v>15/08/2015</v>
          </cell>
          <cell r="AB1357" t="str">
            <v>No</v>
          </cell>
          <cell r="AC1357" t="str">
            <v>31/08/2013</v>
          </cell>
          <cell r="AD1357" t="str">
            <v>Good</v>
          </cell>
          <cell r="AE1357" t="str">
            <v>V1 - Existing / No Claim</v>
          </cell>
          <cell r="AF1357">
            <v>42235</v>
          </cell>
          <cell r="AG1357">
            <v>9.17</v>
          </cell>
          <cell r="AH1357" t="str">
            <v>PPM</v>
          </cell>
          <cell r="AI1357" t="str">
            <v>Strands</v>
          </cell>
          <cell r="AJ1357" t="str">
            <v>Strands PW SET E</v>
          </cell>
          <cell r="AK1357" t="str">
            <v>CUBA CHECK IKN401036 PUNYA KEWPA</v>
          </cell>
        </row>
        <row r="1358">
          <cell r="A1358" t="str">
            <v>IKN401036</v>
          </cell>
          <cell r="B1358">
            <v>1034</v>
          </cell>
          <cell r="C1358" t="str">
            <v>Institut Kanser Negara</v>
          </cell>
          <cell r="D1358" t="str">
            <v>KKM/IKN/H/13/737</v>
          </cell>
          <cell r="E1358" t="str">
            <v>18-232</v>
          </cell>
          <cell r="F1358" t="str">
            <v>Electrosurgical Units, Monopolar/Bipolar, Argon-Enhanced Coagulation</v>
          </cell>
          <cell r="G1358" t="str">
            <v>OT</v>
          </cell>
          <cell r="H1358" t="str">
            <v>OPERATING THEATRE</v>
          </cell>
          <cell r="I1358" t="str">
            <v>05OT123</v>
          </cell>
          <cell r="J1358" t="str">
            <v>0T 1</v>
          </cell>
          <cell r="K1358" t="str">
            <v>BMED</v>
          </cell>
          <cell r="L1358" t="str">
            <v>Normal</v>
          </cell>
          <cell r="M1358" t="str">
            <v>USA</v>
          </cell>
          <cell r="N1358" t="str">
            <v>Force</v>
          </cell>
          <cell r="O1358" t="str">
            <v>Force Argon II</v>
          </cell>
          <cell r="P1358" t="str">
            <v>G212725UX</v>
          </cell>
          <cell r="Q1358" t="str">
            <v>Not Applicable</v>
          </cell>
          <cell r="R1358" t="str">
            <v>Valleylab</v>
          </cell>
          <cell r="S1358" t="str">
            <v>United States of America</v>
          </cell>
          <cell r="T1358" t="str">
            <v>Functioning</v>
          </cell>
          <cell r="U1358" t="str">
            <v>Asset</v>
          </cell>
          <cell r="V1358">
            <v>132310</v>
          </cell>
          <cell r="W1358" t="str">
            <v>KEW</v>
          </cell>
          <cell r="X1358" t="str">
            <v>01/09/2010</v>
          </cell>
          <cell r="Y1358" t="str">
            <v>KEW</v>
          </cell>
          <cell r="Z1358" t="str">
            <v>16/08/2013</v>
          </cell>
          <cell r="AA1358" t="str">
            <v>15/08/2015</v>
          </cell>
          <cell r="AB1358" t="str">
            <v>No</v>
          </cell>
          <cell r="AC1358" t="str">
            <v>31/08/2013</v>
          </cell>
          <cell r="AD1358" t="str">
            <v>Good</v>
          </cell>
          <cell r="AE1358" t="str">
            <v>V1 - Existing / No Claim</v>
          </cell>
          <cell r="AF1358">
            <v>42235</v>
          </cell>
          <cell r="AG1358">
            <v>9.17</v>
          </cell>
          <cell r="AH1358" t="str">
            <v>PPM</v>
          </cell>
          <cell r="AI1358" t="str">
            <v>Strands</v>
          </cell>
          <cell r="AJ1358" t="str">
            <v>Strands PW SET E</v>
          </cell>
          <cell r="AK1358" t="str">
            <v>CUBA CHECK IKN401035 PUNYA KEWPA</v>
          </cell>
        </row>
        <row r="1359">
          <cell r="A1359" t="str">
            <v>IKN401037</v>
          </cell>
          <cell r="B1359">
            <v>1035</v>
          </cell>
          <cell r="C1359" t="str">
            <v>Institut Kanser Negara</v>
          </cell>
          <cell r="D1359" t="str">
            <v>KKM/IKN/H/13/735</v>
          </cell>
          <cell r="E1359" t="str">
            <v>13-961</v>
          </cell>
          <cell r="F1359" t="str">
            <v>Tables, Operating</v>
          </cell>
          <cell r="G1359" t="str">
            <v>OT</v>
          </cell>
          <cell r="H1359" t="str">
            <v>OPERATING THEATRE</v>
          </cell>
          <cell r="I1359" t="str">
            <v>05OT123</v>
          </cell>
          <cell r="J1359" t="str">
            <v>0T 1</v>
          </cell>
          <cell r="K1359" t="str">
            <v>BMED</v>
          </cell>
          <cell r="L1359" t="str">
            <v>Critical</v>
          </cell>
          <cell r="M1359" t="str">
            <v>UK</v>
          </cell>
          <cell r="N1359" t="str">
            <v>Eschmann</v>
          </cell>
          <cell r="O1359" t="str">
            <v>Eschmann T20+</v>
          </cell>
          <cell r="P1359" t="str">
            <v>T2AD-2A-3368</v>
          </cell>
          <cell r="Q1359" t="str">
            <v>Not Applicable</v>
          </cell>
          <cell r="R1359" t="str">
            <v>Eschmann Bros &amp; Walsh Ltd</v>
          </cell>
          <cell r="S1359" t="str">
            <v>Antah Sir Radin Sdn. Bhd.</v>
          </cell>
          <cell r="T1359" t="str">
            <v>Functioning</v>
          </cell>
          <cell r="U1359" t="str">
            <v>Asset</v>
          </cell>
          <cell r="V1359">
            <v>239350</v>
          </cell>
          <cell r="W1359" t="str">
            <v>KEW</v>
          </cell>
          <cell r="X1359" t="str">
            <v>01/09/2010</v>
          </cell>
          <cell r="Y1359" t="str">
            <v>KEW</v>
          </cell>
          <cell r="Z1359" t="str">
            <v>16/08/2013</v>
          </cell>
          <cell r="AA1359" t="str">
            <v>15/08/2015</v>
          </cell>
          <cell r="AB1359" t="str">
            <v>No</v>
          </cell>
          <cell r="AC1359" t="str">
            <v>31/08/2013</v>
          </cell>
          <cell r="AD1359" t="str">
            <v>Good</v>
          </cell>
          <cell r="AE1359" t="str">
            <v>V1 - Existing / No Claim</v>
          </cell>
          <cell r="AF1359">
            <v>42802</v>
          </cell>
          <cell r="AG1359">
            <v>9.17</v>
          </cell>
          <cell r="AH1359" t="str">
            <v>PPM</v>
          </cell>
          <cell r="AI1359" t="str">
            <v>Strands</v>
          </cell>
          <cell r="AJ1359" t="str">
            <v>Strands PW</v>
          </cell>
        </row>
        <row r="1360">
          <cell r="A1360" t="str">
            <v>IKN401038</v>
          </cell>
          <cell r="B1360">
            <v>1036</v>
          </cell>
          <cell r="C1360" t="str">
            <v>Institut Kanser Negara</v>
          </cell>
          <cell r="D1360" t="str">
            <v>KKM/IKN/H/13/152</v>
          </cell>
          <cell r="E1360" t="str">
            <v>16-173</v>
          </cell>
          <cell r="F1360" t="str">
            <v>Sphygmomanometers, Electronic, Automatic</v>
          </cell>
          <cell r="G1360" t="str">
            <v>OT</v>
          </cell>
          <cell r="H1360" t="str">
            <v>OPERATING THEATRE</v>
          </cell>
          <cell r="I1360" t="str">
            <v>05OT158</v>
          </cell>
          <cell r="J1360" t="str">
            <v>NURSE STATION</v>
          </cell>
          <cell r="K1360" t="str">
            <v>BMED</v>
          </cell>
          <cell r="L1360" t="str">
            <v>Critical</v>
          </cell>
          <cell r="M1360" t="str">
            <v>USA</v>
          </cell>
          <cell r="N1360" t="str">
            <v>Connex</v>
          </cell>
          <cell r="O1360" t="str">
            <v>Connex ProBP 3400</v>
          </cell>
          <cell r="P1360" t="str">
            <v>100001540613</v>
          </cell>
          <cell r="Q1360" t="str">
            <v>Not Applicable</v>
          </cell>
          <cell r="R1360" t="str">
            <v>Welch Allyn Inc</v>
          </cell>
          <cell r="S1360" t="str">
            <v>Welch Allyn Malaysia Sdn Bhd</v>
          </cell>
          <cell r="T1360" t="str">
            <v>Functioning</v>
          </cell>
          <cell r="U1360" t="str">
            <v>Asset</v>
          </cell>
          <cell r="V1360">
            <v>4510</v>
          </cell>
          <cell r="W1360" t="str">
            <v>KEW</v>
          </cell>
          <cell r="X1360" t="str">
            <v>01/09/2010</v>
          </cell>
          <cell r="Y1360" t="str">
            <v>KEW</v>
          </cell>
          <cell r="Z1360" t="str">
            <v>16/08/2013</v>
          </cell>
          <cell r="AA1360" t="str">
            <v>15/08/2015</v>
          </cell>
          <cell r="AB1360" t="str">
            <v>No</v>
          </cell>
          <cell r="AC1360" t="str">
            <v>31/08/2013</v>
          </cell>
          <cell r="AD1360" t="str">
            <v>Good</v>
          </cell>
          <cell r="AE1360" t="str">
            <v>V1 - Existing / No Claim</v>
          </cell>
          <cell r="AF1360">
            <v>42803</v>
          </cell>
          <cell r="AG1360">
            <v>9.17</v>
          </cell>
          <cell r="AH1360" t="str">
            <v>PPM</v>
          </cell>
          <cell r="AI1360" t="str">
            <v>Strands</v>
          </cell>
          <cell r="AJ1360" t="str">
            <v>Strands PW</v>
          </cell>
        </row>
        <row r="1361">
          <cell r="A1361" t="str">
            <v>IKN401039</v>
          </cell>
          <cell r="B1361">
            <v>1037</v>
          </cell>
          <cell r="C1361" t="str">
            <v>Institut Kanser Negara</v>
          </cell>
          <cell r="D1361" t="str">
            <v>KKM/IKN/H/13/151</v>
          </cell>
          <cell r="E1361" t="str">
            <v>16-173</v>
          </cell>
          <cell r="F1361" t="str">
            <v>Sphygmomanometers, Electronic, Automatic</v>
          </cell>
          <cell r="G1361" t="str">
            <v>OT</v>
          </cell>
          <cell r="H1361" t="str">
            <v>OPERATING THEATRE</v>
          </cell>
          <cell r="I1361" t="str">
            <v>05OT158</v>
          </cell>
          <cell r="J1361" t="str">
            <v>NURSE STATION</v>
          </cell>
          <cell r="K1361" t="str">
            <v>BMED</v>
          </cell>
          <cell r="L1361" t="str">
            <v>Critical</v>
          </cell>
          <cell r="M1361" t="str">
            <v>USA</v>
          </cell>
          <cell r="N1361" t="str">
            <v>Connex</v>
          </cell>
          <cell r="O1361" t="str">
            <v>Connex ProBP 3400</v>
          </cell>
          <cell r="P1361" t="str">
            <v>100001670613</v>
          </cell>
          <cell r="Q1361" t="str">
            <v>Not Applicable</v>
          </cell>
          <cell r="R1361" t="str">
            <v>Welch Allyn Inc</v>
          </cell>
          <cell r="S1361" t="str">
            <v>Welch Allyn Malaysia Sdn Bhd</v>
          </cell>
          <cell r="T1361" t="str">
            <v>Functioning</v>
          </cell>
          <cell r="U1361" t="str">
            <v>Asset</v>
          </cell>
          <cell r="V1361">
            <v>4510</v>
          </cell>
          <cell r="W1361" t="str">
            <v>KEW</v>
          </cell>
          <cell r="X1361" t="str">
            <v>01/09/2010</v>
          </cell>
          <cell r="Y1361" t="str">
            <v>KEW</v>
          </cell>
          <cell r="Z1361" t="str">
            <v>16/08/2013</v>
          </cell>
          <cell r="AA1361" t="str">
            <v>15/08/2015</v>
          </cell>
          <cell r="AB1361" t="str">
            <v>No</v>
          </cell>
          <cell r="AC1361" t="str">
            <v>31/08/2013</v>
          </cell>
          <cell r="AD1361" t="str">
            <v>Good</v>
          </cell>
          <cell r="AE1361" t="str">
            <v>V1 - Existing / No Claim</v>
          </cell>
          <cell r="AF1361">
            <v>42803</v>
          </cell>
          <cell r="AG1361">
            <v>9.17</v>
          </cell>
          <cell r="AH1361" t="str">
            <v>PPM</v>
          </cell>
          <cell r="AI1361" t="str">
            <v>Strands</v>
          </cell>
          <cell r="AJ1361" t="str">
            <v>Strands PW</v>
          </cell>
        </row>
        <row r="1362">
          <cell r="A1362" t="str">
            <v>IKN401040</v>
          </cell>
          <cell r="B1362">
            <v>1038</v>
          </cell>
          <cell r="C1362" t="str">
            <v>Institut Kanser Negara</v>
          </cell>
          <cell r="D1362" t="e">
            <v>#N/A</v>
          </cell>
          <cell r="E1362" t="str">
            <v>11-134</v>
          </cell>
          <cell r="F1362" t="str">
            <v>Defibrillators, External, Manual</v>
          </cell>
          <cell r="G1362" t="str">
            <v>OT</v>
          </cell>
          <cell r="H1362" t="str">
            <v>OPERATING THEATRE</v>
          </cell>
          <cell r="I1362" t="str">
            <v>05OT158</v>
          </cell>
          <cell r="J1362" t="str">
            <v>NURSE STATION</v>
          </cell>
          <cell r="K1362" t="str">
            <v>BMED</v>
          </cell>
          <cell r="L1362" t="str">
            <v>Critical</v>
          </cell>
          <cell r="M1362" t="str">
            <v>USA</v>
          </cell>
          <cell r="N1362" t="str">
            <v>Responder</v>
          </cell>
          <cell r="O1362" t="str">
            <v>Responder 2000</v>
          </cell>
          <cell r="P1362" t="str">
            <v>3206694</v>
          </cell>
          <cell r="Q1362" t="str">
            <v>Not Applicable</v>
          </cell>
          <cell r="R1362" t="str">
            <v>GE Medical Systems</v>
          </cell>
          <cell r="S1362" t="str">
            <v>Antah Sir Radin Sdn. Bhd.</v>
          </cell>
          <cell r="T1362" t="str">
            <v>Functioning</v>
          </cell>
          <cell r="U1362" t="str">
            <v>Asset</v>
          </cell>
          <cell r="V1362">
            <v>45000</v>
          </cell>
          <cell r="W1362" t="str">
            <v>Estimate</v>
          </cell>
          <cell r="X1362" t="str">
            <v>01/09/2010</v>
          </cell>
          <cell r="Y1362" t="str">
            <v>KEW</v>
          </cell>
          <cell r="Z1362" t="str">
            <v>16/08/2013</v>
          </cell>
          <cell r="AA1362" t="str">
            <v>15/08/2015</v>
          </cell>
          <cell r="AB1362" t="str">
            <v>No</v>
          </cell>
          <cell r="AC1362" t="str">
            <v>31/08/2013</v>
          </cell>
          <cell r="AD1362" t="str">
            <v>Good</v>
          </cell>
          <cell r="AE1362" t="str">
            <v>V1 - Existing / No Claim</v>
          </cell>
          <cell r="AF1362">
            <v>42605</v>
          </cell>
          <cell r="AG1362">
            <v>9.17</v>
          </cell>
          <cell r="AH1362" t="str">
            <v>PPM</v>
          </cell>
          <cell r="AI1362" t="str">
            <v>Strands</v>
          </cell>
          <cell r="AJ1362" t="str">
            <v>Strands PW</v>
          </cell>
          <cell r="AK1362" t="str">
            <v>Crash Trolley (FEMS)</v>
          </cell>
        </row>
        <row r="1363">
          <cell r="A1363" t="str">
            <v>IKN401041</v>
          </cell>
          <cell r="B1363">
            <v>1039</v>
          </cell>
          <cell r="C1363" t="str">
            <v>Institut Kanser Negara</v>
          </cell>
          <cell r="D1363" t="str">
            <v>KKM/IKN/H/13/3734</v>
          </cell>
          <cell r="E1363" t="str">
            <v>13-249</v>
          </cell>
          <cell r="F1363" t="str">
            <v>Warming Units, Patient, Radiant, Adult</v>
          </cell>
          <cell r="G1363" t="str">
            <v>OT</v>
          </cell>
          <cell r="H1363" t="str">
            <v>OPERATING THEATRE</v>
          </cell>
          <cell r="I1363" t="str">
            <v>05OT159</v>
          </cell>
          <cell r="J1363" t="str">
            <v>POST-OP/RECOVERY (FUTURE)</v>
          </cell>
          <cell r="K1363" t="str">
            <v>BMED</v>
          </cell>
          <cell r="L1363" t="str">
            <v>Normal</v>
          </cell>
          <cell r="M1363" t="str">
            <v>Sweden</v>
          </cell>
          <cell r="N1363" t="str">
            <v>Aragona</v>
          </cell>
          <cell r="O1363" t="str">
            <v>Aragona MTC-410</v>
          </cell>
          <cell r="P1363" t="str">
            <v>1206</v>
          </cell>
          <cell r="Q1363" t="str">
            <v>Not Applicable</v>
          </cell>
          <cell r="R1363" t="str">
            <v>Aspira Medical AB</v>
          </cell>
          <cell r="S1363" t="str">
            <v>Perniagaan Med Tech</v>
          </cell>
          <cell r="T1363" t="str">
            <v>Functioning</v>
          </cell>
          <cell r="U1363" t="str">
            <v>Asset</v>
          </cell>
          <cell r="V1363">
            <v>12630</v>
          </cell>
          <cell r="W1363" t="str">
            <v>KEW</v>
          </cell>
          <cell r="X1363" t="str">
            <v>01/09/2010</v>
          </cell>
          <cell r="Y1363" t="str">
            <v>KEW</v>
          </cell>
          <cell r="Z1363" t="str">
            <v>16/08/2013</v>
          </cell>
          <cell r="AA1363" t="str">
            <v>15/08/2015</v>
          </cell>
          <cell r="AB1363" t="str">
            <v>No</v>
          </cell>
          <cell r="AC1363" t="str">
            <v>31/08/2013</v>
          </cell>
          <cell r="AD1363" t="str">
            <v>Good</v>
          </cell>
          <cell r="AE1363" t="str">
            <v>V1 - Existing / No Claim</v>
          </cell>
          <cell r="AF1363">
            <v>42803</v>
          </cell>
          <cell r="AG1363">
            <v>9.17</v>
          </cell>
          <cell r="AH1363" t="str">
            <v>PPM</v>
          </cell>
          <cell r="AI1363" t="str">
            <v>Strands</v>
          </cell>
          <cell r="AJ1363" t="str">
            <v>Strands PW</v>
          </cell>
        </row>
        <row r="1364">
          <cell r="A1364" t="str">
            <v>IKN401042</v>
          </cell>
          <cell r="B1364">
            <v>1040</v>
          </cell>
          <cell r="C1364" t="str">
            <v>Institut Kanser Negara</v>
          </cell>
          <cell r="D1364" t="str">
            <v>KKM/IKN/H/13/3735</v>
          </cell>
          <cell r="E1364" t="str">
            <v>13-249</v>
          </cell>
          <cell r="F1364" t="str">
            <v>Warming Units, Patient, Radiant, Adult</v>
          </cell>
          <cell r="G1364" t="str">
            <v>OT</v>
          </cell>
          <cell r="H1364" t="str">
            <v>OPERATING THEATRE</v>
          </cell>
          <cell r="I1364" t="str">
            <v>05OT159</v>
          </cell>
          <cell r="J1364" t="str">
            <v>POST-OP/RECOVERY (FUTURE)</v>
          </cell>
          <cell r="K1364" t="str">
            <v>BMED</v>
          </cell>
          <cell r="L1364" t="str">
            <v>Normal</v>
          </cell>
          <cell r="M1364" t="str">
            <v>Sweden</v>
          </cell>
          <cell r="N1364" t="str">
            <v>Aragona</v>
          </cell>
          <cell r="O1364" t="str">
            <v>Aragona MTC-410</v>
          </cell>
          <cell r="P1364" t="str">
            <v>1208</v>
          </cell>
          <cell r="Q1364" t="str">
            <v>Not Applicable</v>
          </cell>
          <cell r="R1364" t="str">
            <v>Aspira Medical AB</v>
          </cell>
          <cell r="S1364" t="str">
            <v>Perniagaan Med Tech</v>
          </cell>
          <cell r="T1364" t="str">
            <v>Functioning</v>
          </cell>
          <cell r="U1364" t="str">
            <v>Asset</v>
          </cell>
          <cell r="V1364">
            <v>12630</v>
          </cell>
          <cell r="W1364" t="str">
            <v>KEW</v>
          </cell>
          <cell r="X1364" t="str">
            <v>01/09/2010</v>
          </cell>
          <cell r="Y1364" t="str">
            <v>KEW</v>
          </cell>
          <cell r="Z1364" t="str">
            <v>16/08/2013</v>
          </cell>
          <cell r="AA1364" t="str">
            <v>15/08/2015</v>
          </cell>
          <cell r="AB1364" t="str">
            <v>No</v>
          </cell>
          <cell r="AC1364" t="str">
            <v>31/08/2013</v>
          </cell>
          <cell r="AD1364" t="str">
            <v>Good</v>
          </cell>
          <cell r="AE1364" t="str">
            <v>V1 - Existing / No Claim</v>
          </cell>
          <cell r="AF1364">
            <v>42803</v>
          </cell>
          <cell r="AG1364">
            <v>9.17</v>
          </cell>
          <cell r="AH1364" t="str">
            <v>PPM</v>
          </cell>
          <cell r="AI1364" t="str">
            <v>Strands</v>
          </cell>
          <cell r="AJ1364" t="str">
            <v>Strands PW</v>
          </cell>
        </row>
        <row r="1365">
          <cell r="A1365" t="str">
            <v>IKN401043</v>
          </cell>
          <cell r="B1365">
            <v>1041</v>
          </cell>
          <cell r="C1365" t="str">
            <v>Institut Kanser Negara</v>
          </cell>
          <cell r="D1365" t="str">
            <v>KKM/IKN/H/13/157</v>
          </cell>
          <cell r="E1365" t="str">
            <v>12-647</v>
          </cell>
          <cell r="F1365" t="str">
            <v>Physiologic Monitoring Systems, Acute Care</v>
          </cell>
          <cell r="G1365" t="str">
            <v>OT</v>
          </cell>
          <cell r="H1365" t="str">
            <v>OPERATING THEATRE</v>
          </cell>
          <cell r="I1365" t="str">
            <v>05OT159</v>
          </cell>
          <cell r="J1365" t="str">
            <v>POST-OP/RECOVERY (FUTURE)</v>
          </cell>
          <cell r="K1365" t="str">
            <v>BMED</v>
          </cell>
          <cell r="L1365" t="str">
            <v>Critical</v>
          </cell>
          <cell r="M1365" t="str">
            <v>Finland</v>
          </cell>
          <cell r="N1365" t="str">
            <v>CareScape</v>
          </cell>
          <cell r="O1365" t="str">
            <v>CareScape B650</v>
          </cell>
          <cell r="P1365" t="str">
            <v>SEW12357514HA</v>
          </cell>
          <cell r="Q1365" t="str">
            <v>Not Applicable</v>
          </cell>
          <cell r="R1365" t="str">
            <v>GE Medical Systems</v>
          </cell>
          <cell r="S1365" t="str">
            <v>GE Healthcare Technologies</v>
          </cell>
          <cell r="T1365" t="str">
            <v>Functioning</v>
          </cell>
          <cell r="U1365" t="str">
            <v>Asset</v>
          </cell>
          <cell r="V1365">
            <v>87400</v>
          </cell>
          <cell r="W1365" t="str">
            <v>KEW</v>
          </cell>
          <cell r="X1365" t="str">
            <v>01/09/2010</v>
          </cell>
          <cell r="Y1365" t="str">
            <v>KEW</v>
          </cell>
          <cell r="Z1365" t="str">
            <v>16/08/2013</v>
          </cell>
          <cell r="AA1365" t="str">
            <v>15/08/2015</v>
          </cell>
          <cell r="AB1365" t="str">
            <v>No</v>
          </cell>
          <cell r="AC1365" t="str">
            <v>31/08/2013</v>
          </cell>
          <cell r="AD1365" t="str">
            <v>Good</v>
          </cell>
          <cell r="AE1365" t="str">
            <v>V1 - Existing / No Claim</v>
          </cell>
          <cell r="AF1365">
            <v>42803</v>
          </cell>
          <cell r="AG1365">
            <v>9.17</v>
          </cell>
          <cell r="AH1365" t="str">
            <v>PPM</v>
          </cell>
          <cell r="AI1365" t="str">
            <v>Strands</v>
          </cell>
          <cell r="AJ1365" t="str">
            <v>Strands PW</v>
          </cell>
        </row>
        <row r="1366">
          <cell r="A1366" t="str">
            <v>IKN401044</v>
          </cell>
          <cell r="B1366">
            <v>1042</v>
          </cell>
          <cell r="C1366" t="str">
            <v>Institut Kanser Negara</v>
          </cell>
          <cell r="D1366" t="str">
            <v>KKM/IKN/H/13/204</v>
          </cell>
          <cell r="E1366" t="str">
            <v>12-647</v>
          </cell>
          <cell r="F1366" t="str">
            <v>Physiologic Monitoring Systems, Acute Care</v>
          </cell>
          <cell r="G1366" t="str">
            <v>OT</v>
          </cell>
          <cell r="H1366" t="str">
            <v>OPERATING THEATRE</v>
          </cell>
          <cell r="I1366" t="str">
            <v>05OT169</v>
          </cell>
          <cell r="J1366" t="str">
            <v>EQ. ROOM</v>
          </cell>
          <cell r="K1366" t="str">
            <v>BMED</v>
          </cell>
          <cell r="L1366" t="str">
            <v>Critical</v>
          </cell>
          <cell r="M1366" t="str">
            <v>USA</v>
          </cell>
          <cell r="N1366" t="str">
            <v>Tram</v>
          </cell>
          <cell r="O1366" t="str">
            <v>Transport Pro</v>
          </cell>
          <cell r="P1366" t="str">
            <v>SCS12367505GA</v>
          </cell>
          <cell r="Q1366" t="str">
            <v>Not Applicable</v>
          </cell>
          <cell r="R1366" t="str">
            <v>GE Medical Systems</v>
          </cell>
          <cell r="S1366" t="str">
            <v>GE Healthcare Technologies</v>
          </cell>
          <cell r="T1366" t="str">
            <v>Functioning</v>
          </cell>
          <cell r="U1366" t="str">
            <v>Asset</v>
          </cell>
          <cell r="V1366">
            <v>54100</v>
          </cell>
          <cell r="W1366" t="str">
            <v>KEW</v>
          </cell>
          <cell r="X1366" t="str">
            <v>01/09/2010</v>
          </cell>
          <cell r="Y1366" t="str">
            <v>KEW</v>
          </cell>
          <cell r="Z1366" t="str">
            <v>16/08/2013</v>
          </cell>
          <cell r="AA1366" t="str">
            <v>15/08/2015</v>
          </cell>
          <cell r="AB1366" t="str">
            <v>No</v>
          </cell>
          <cell r="AC1366" t="str">
            <v>31/08/2013</v>
          </cell>
          <cell r="AD1366" t="str">
            <v>Good</v>
          </cell>
          <cell r="AE1366" t="str">
            <v>V1 - Existing / No Claim</v>
          </cell>
          <cell r="AF1366">
            <v>42803</v>
          </cell>
          <cell r="AG1366">
            <v>9.17</v>
          </cell>
          <cell r="AH1366" t="str">
            <v>PPM</v>
          </cell>
          <cell r="AI1366" t="str">
            <v>Strands</v>
          </cell>
          <cell r="AJ1366" t="str">
            <v>Strands PW</v>
          </cell>
        </row>
        <row r="1367">
          <cell r="A1367" t="str">
            <v>IKN401045</v>
          </cell>
          <cell r="B1367">
            <v>1043</v>
          </cell>
          <cell r="C1367" t="str">
            <v>Institut Kanser Negara</v>
          </cell>
          <cell r="D1367" t="str">
            <v>KKM/IKN/H/13/158</v>
          </cell>
          <cell r="E1367" t="str">
            <v>12-647</v>
          </cell>
          <cell r="F1367" t="str">
            <v>Physiologic Monitoring Systems, Acute Care</v>
          </cell>
          <cell r="G1367" t="str">
            <v>OT</v>
          </cell>
          <cell r="H1367" t="str">
            <v>OPERATING THEATRE</v>
          </cell>
          <cell r="I1367" t="str">
            <v>05OT159</v>
          </cell>
          <cell r="J1367" t="str">
            <v>POST-OP/RECOVERY (FUTURE)</v>
          </cell>
          <cell r="K1367" t="str">
            <v>BMED</v>
          </cell>
          <cell r="L1367" t="str">
            <v>Critical</v>
          </cell>
          <cell r="M1367" t="str">
            <v>Finland</v>
          </cell>
          <cell r="N1367" t="str">
            <v>CareScape</v>
          </cell>
          <cell r="O1367" t="str">
            <v>CareScape B650</v>
          </cell>
          <cell r="P1367" t="str">
            <v>SEW12357501HA</v>
          </cell>
          <cell r="Q1367" t="str">
            <v>Not Applicable</v>
          </cell>
          <cell r="R1367" t="str">
            <v>GE Medical Systems</v>
          </cell>
          <cell r="S1367" t="str">
            <v>GE Healthcare Technologies</v>
          </cell>
          <cell r="T1367" t="str">
            <v>Functioning</v>
          </cell>
          <cell r="U1367" t="str">
            <v>Asset</v>
          </cell>
          <cell r="V1367">
            <v>87400</v>
          </cell>
          <cell r="W1367" t="str">
            <v>KEW</v>
          </cell>
          <cell r="X1367" t="str">
            <v>01/09/2010</v>
          </cell>
          <cell r="Y1367" t="str">
            <v>KEW</v>
          </cell>
          <cell r="Z1367" t="str">
            <v>16/08/2013</v>
          </cell>
          <cell r="AA1367" t="str">
            <v>15/08/2015</v>
          </cell>
          <cell r="AB1367" t="str">
            <v>No</v>
          </cell>
          <cell r="AC1367" t="str">
            <v>31/08/2013</v>
          </cell>
          <cell r="AD1367" t="str">
            <v>Good</v>
          </cell>
          <cell r="AE1367" t="str">
            <v>V1 - Existing / No Claim</v>
          </cell>
          <cell r="AF1367">
            <v>42803</v>
          </cell>
          <cell r="AG1367">
            <v>9.17</v>
          </cell>
          <cell r="AH1367" t="str">
            <v>PPM</v>
          </cell>
          <cell r="AI1367" t="str">
            <v>Strands</v>
          </cell>
          <cell r="AJ1367" t="str">
            <v>Strands PW</v>
          </cell>
        </row>
        <row r="1368">
          <cell r="A1368" t="str">
            <v>IKN401046</v>
          </cell>
          <cell r="B1368">
            <v>1044</v>
          </cell>
          <cell r="C1368" t="str">
            <v>Institut Kanser Negara</v>
          </cell>
          <cell r="D1368" t="e">
            <v>#N/A</v>
          </cell>
          <cell r="E1368" t="str">
            <v>11-134</v>
          </cell>
          <cell r="F1368" t="str">
            <v>Defibrillators, External, Manual</v>
          </cell>
          <cell r="G1368" t="str">
            <v>OT</v>
          </cell>
          <cell r="H1368" t="str">
            <v>OPERATING THEATRE</v>
          </cell>
          <cell r="I1368" t="str">
            <v>05OT150</v>
          </cell>
          <cell r="J1368" t="str">
            <v>RECEPTION STAFF BASE</v>
          </cell>
          <cell r="K1368" t="str">
            <v>BMED</v>
          </cell>
          <cell r="L1368" t="str">
            <v>Critical</v>
          </cell>
          <cell r="M1368" t="str">
            <v>USA</v>
          </cell>
          <cell r="N1368" t="str">
            <v>Responder</v>
          </cell>
          <cell r="O1368" t="str">
            <v>Responder 2000</v>
          </cell>
          <cell r="P1368" t="str">
            <v>3206700</v>
          </cell>
          <cell r="Q1368" t="str">
            <v>Not Applicable</v>
          </cell>
          <cell r="R1368" t="str">
            <v>GE Medical Systems</v>
          </cell>
          <cell r="S1368" t="str">
            <v>Antah Sir Radin Sdn. Bhd.</v>
          </cell>
          <cell r="T1368" t="str">
            <v>Functioning</v>
          </cell>
          <cell r="U1368" t="str">
            <v>Asset</v>
          </cell>
          <cell r="V1368">
            <v>45000</v>
          </cell>
          <cell r="W1368" t="str">
            <v>Estimate</v>
          </cell>
          <cell r="X1368" t="str">
            <v>01/09/2010</v>
          </cell>
          <cell r="Y1368" t="str">
            <v>KEW</v>
          </cell>
          <cell r="Z1368" t="str">
            <v>16/08/2013</v>
          </cell>
          <cell r="AA1368" t="str">
            <v>15/08/2015</v>
          </cell>
          <cell r="AB1368" t="str">
            <v>No</v>
          </cell>
          <cell r="AC1368" t="str">
            <v>31/08/2013</v>
          </cell>
          <cell r="AD1368" t="str">
            <v>Good</v>
          </cell>
          <cell r="AE1368" t="str">
            <v>V1 - Existing / No Claim</v>
          </cell>
          <cell r="AF1368">
            <v>42605</v>
          </cell>
          <cell r="AG1368">
            <v>9.17</v>
          </cell>
          <cell r="AH1368" t="str">
            <v>PPM</v>
          </cell>
          <cell r="AI1368" t="str">
            <v>Strands</v>
          </cell>
          <cell r="AJ1368" t="str">
            <v>Strands PW</v>
          </cell>
          <cell r="AK1368" t="str">
            <v>Crash Trolley (FEMS)</v>
          </cell>
        </row>
        <row r="1369">
          <cell r="A1369" t="str">
            <v>IKN401047</v>
          </cell>
          <cell r="B1369">
            <v>1045</v>
          </cell>
          <cell r="C1369" t="str">
            <v>Institut Kanser Negara</v>
          </cell>
          <cell r="D1369" t="str">
            <v>KKM/IKN/H/13/3737</v>
          </cell>
          <cell r="E1369" t="str">
            <v>13-249</v>
          </cell>
          <cell r="F1369" t="str">
            <v>Warming Units, Patient, Radiant, Adult</v>
          </cell>
          <cell r="G1369" t="str">
            <v>OT</v>
          </cell>
          <cell r="H1369" t="str">
            <v>OPERATING THEATRE</v>
          </cell>
          <cell r="I1369" t="str">
            <v>05OT159</v>
          </cell>
          <cell r="J1369" t="str">
            <v>POST-OP/RECOVERY (FUTURE)</v>
          </cell>
          <cell r="K1369" t="str">
            <v>BMED</v>
          </cell>
          <cell r="L1369" t="str">
            <v>Normal</v>
          </cell>
          <cell r="M1369" t="str">
            <v>Sweden</v>
          </cell>
          <cell r="N1369" t="str">
            <v>Aragona</v>
          </cell>
          <cell r="O1369" t="str">
            <v>Aragona MTC-410</v>
          </cell>
          <cell r="P1369" t="str">
            <v>1203</v>
          </cell>
          <cell r="Q1369" t="str">
            <v>Not Applicable</v>
          </cell>
          <cell r="R1369" t="str">
            <v>Aspira Medical AB</v>
          </cell>
          <cell r="S1369" t="str">
            <v>Perniagaan Med Tech</v>
          </cell>
          <cell r="T1369" t="str">
            <v>Functioning</v>
          </cell>
          <cell r="U1369" t="str">
            <v>Asset</v>
          </cell>
          <cell r="V1369">
            <v>12630</v>
          </cell>
          <cell r="W1369" t="str">
            <v>KEW</v>
          </cell>
          <cell r="X1369" t="str">
            <v>01/09/2010</v>
          </cell>
          <cell r="Y1369" t="str">
            <v>KEW</v>
          </cell>
          <cell r="Z1369" t="str">
            <v>16/08/2013</v>
          </cell>
          <cell r="AA1369" t="str">
            <v>15/08/2015</v>
          </cell>
          <cell r="AB1369" t="str">
            <v>No</v>
          </cell>
          <cell r="AC1369" t="str">
            <v>31/08/2013</v>
          </cell>
          <cell r="AD1369" t="str">
            <v>Good</v>
          </cell>
          <cell r="AE1369" t="str">
            <v>V1 - Existing / No Claim</v>
          </cell>
          <cell r="AF1369">
            <v>42803</v>
          </cell>
          <cell r="AG1369">
            <v>9.17</v>
          </cell>
          <cell r="AH1369" t="str">
            <v>PPM</v>
          </cell>
          <cell r="AI1369" t="str">
            <v>Strands</v>
          </cell>
          <cell r="AJ1369" t="str">
            <v>Strands PW</v>
          </cell>
        </row>
        <row r="1370">
          <cell r="A1370" t="str">
            <v>IKN401048</v>
          </cell>
          <cell r="B1370">
            <v>1046</v>
          </cell>
          <cell r="C1370" t="str">
            <v>Institut Kanser Negara</v>
          </cell>
          <cell r="D1370" t="str">
            <v>KKM/IKN/H/13/3736</v>
          </cell>
          <cell r="E1370" t="str">
            <v>13-249</v>
          </cell>
          <cell r="F1370" t="str">
            <v>Warming Units, Patient, Radiant, Adult</v>
          </cell>
          <cell r="G1370" t="str">
            <v>OT</v>
          </cell>
          <cell r="H1370" t="str">
            <v>OPERATING THEATRE</v>
          </cell>
          <cell r="I1370" t="str">
            <v>05OT159</v>
          </cell>
          <cell r="J1370" t="str">
            <v>POST-OP/RECOVERY (FUTURE)</v>
          </cell>
          <cell r="K1370" t="str">
            <v>BMED</v>
          </cell>
          <cell r="L1370" t="str">
            <v>Normal</v>
          </cell>
          <cell r="M1370" t="str">
            <v>Sweden</v>
          </cell>
          <cell r="N1370" t="str">
            <v>Aragona</v>
          </cell>
          <cell r="O1370" t="str">
            <v>Aragona MTC-410</v>
          </cell>
          <cell r="P1370" t="str">
            <v>1210</v>
          </cell>
          <cell r="Q1370" t="str">
            <v>Not Applicable</v>
          </cell>
          <cell r="R1370" t="str">
            <v>Aspira Medical AB</v>
          </cell>
          <cell r="S1370" t="str">
            <v>Perniagaan Med Tech</v>
          </cell>
          <cell r="T1370" t="str">
            <v>Functioning</v>
          </cell>
          <cell r="U1370" t="str">
            <v>Asset</v>
          </cell>
          <cell r="V1370">
            <v>12630</v>
          </cell>
          <cell r="W1370" t="str">
            <v>KEW</v>
          </cell>
          <cell r="X1370" t="str">
            <v>01/09/2010</v>
          </cell>
          <cell r="Y1370" t="str">
            <v>KEW</v>
          </cell>
          <cell r="Z1370" t="str">
            <v>16/08/2013</v>
          </cell>
          <cell r="AA1370" t="str">
            <v>15/08/2015</v>
          </cell>
          <cell r="AB1370" t="str">
            <v>No</v>
          </cell>
          <cell r="AC1370" t="str">
            <v>31/08/2013</v>
          </cell>
          <cell r="AD1370" t="str">
            <v>Good</v>
          </cell>
          <cell r="AE1370" t="str">
            <v>V1 - Existing / No Claim</v>
          </cell>
          <cell r="AF1370">
            <v>42803</v>
          </cell>
          <cell r="AG1370">
            <v>9.17</v>
          </cell>
          <cell r="AH1370" t="str">
            <v>PPM</v>
          </cell>
          <cell r="AI1370" t="str">
            <v>Strands</v>
          </cell>
          <cell r="AJ1370" t="str">
            <v>Strands PW</v>
          </cell>
        </row>
        <row r="1371">
          <cell r="A1371" t="str">
            <v>IKN401049</v>
          </cell>
          <cell r="B1371">
            <v>1047</v>
          </cell>
          <cell r="C1371" t="str">
            <v>Institut Kanser Negara</v>
          </cell>
          <cell r="D1371" t="str">
            <v>KKM/IKN/H/13/156</v>
          </cell>
          <cell r="E1371" t="str">
            <v>12-647</v>
          </cell>
          <cell r="F1371" t="str">
            <v>Physiologic Monitoring Systems, Acute Care</v>
          </cell>
          <cell r="G1371" t="str">
            <v>OT</v>
          </cell>
          <cell r="H1371" t="str">
            <v>OPERATING THEATRE</v>
          </cell>
          <cell r="I1371" t="str">
            <v>05OT159</v>
          </cell>
          <cell r="J1371" t="str">
            <v>POST-OP/RECOVERY (FUTURE)</v>
          </cell>
          <cell r="K1371" t="str">
            <v>BMED</v>
          </cell>
          <cell r="L1371" t="str">
            <v>Critical</v>
          </cell>
          <cell r="M1371" t="str">
            <v>Finland</v>
          </cell>
          <cell r="N1371" t="str">
            <v>CareScape</v>
          </cell>
          <cell r="O1371" t="str">
            <v>CareScape B650</v>
          </cell>
          <cell r="P1371" t="str">
            <v>SEW12357515HA</v>
          </cell>
          <cell r="Q1371" t="str">
            <v>Not Applicable</v>
          </cell>
          <cell r="R1371" t="str">
            <v>GE Medical Systems</v>
          </cell>
          <cell r="S1371" t="str">
            <v>GE Healthcare Technologies</v>
          </cell>
          <cell r="T1371" t="str">
            <v>Functioning</v>
          </cell>
          <cell r="U1371" t="str">
            <v>Asset</v>
          </cell>
          <cell r="V1371">
            <v>87400</v>
          </cell>
          <cell r="W1371" t="str">
            <v>KEW</v>
          </cell>
          <cell r="X1371" t="str">
            <v>01/09/2010</v>
          </cell>
          <cell r="Y1371" t="str">
            <v>KEW</v>
          </cell>
          <cell r="Z1371" t="str">
            <v>16/08/2013</v>
          </cell>
          <cell r="AA1371" t="str">
            <v>15/08/2015</v>
          </cell>
          <cell r="AB1371" t="str">
            <v>No</v>
          </cell>
          <cell r="AC1371" t="str">
            <v>31/08/2013</v>
          </cell>
          <cell r="AD1371" t="str">
            <v>Good</v>
          </cell>
          <cell r="AE1371" t="str">
            <v>V1 - Existing / No Claim</v>
          </cell>
          <cell r="AF1371">
            <v>42803</v>
          </cell>
          <cell r="AG1371">
            <v>9.17</v>
          </cell>
          <cell r="AH1371" t="str">
            <v>PPM</v>
          </cell>
          <cell r="AI1371" t="str">
            <v>Strands</v>
          </cell>
          <cell r="AJ1371" t="str">
            <v>Strands PW</v>
          </cell>
        </row>
        <row r="1372">
          <cell r="A1372" t="str">
            <v>IKN401050</v>
          </cell>
          <cell r="B1372">
            <v>1048</v>
          </cell>
          <cell r="C1372" t="str">
            <v>Institut Kanser Negara</v>
          </cell>
          <cell r="D1372" t="str">
            <v>KKM/IKN/H/13/159</v>
          </cell>
          <cell r="E1372" t="str">
            <v>12-647</v>
          </cell>
          <cell r="F1372" t="str">
            <v>Physiologic Monitoring Systems, Acute Care</v>
          </cell>
          <cell r="G1372" t="str">
            <v>OT</v>
          </cell>
          <cell r="H1372" t="str">
            <v>OPERATING THEATRE</v>
          </cell>
          <cell r="I1372" t="str">
            <v>05OT159</v>
          </cell>
          <cell r="J1372" t="str">
            <v>POST-OP/RECOVERY (FUTURE)</v>
          </cell>
          <cell r="K1372" t="str">
            <v>BMED</v>
          </cell>
          <cell r="L1372" t="str">
            <v>Critical</v>
          </cell>
          <cell r="M1372" t="str">
            <v>Finland</v>
          </cell>
          <cell r="N1372" t="str">
            <v>CareScape</v>
          </cell>
          <cell r="O1372" t="str">
            <v>CareScape B650</v>
          </cell>
          <cell r="P1372" t="str">
            <v>SEW12357357HA</v>
          </cell>
          <cell r="Q1372" t="str">
            <v>Not Applicable</v>
          </cell>
          <cell r="R1372" t="str">
            <v>GE Medical Systems</v>
          </cell>
          <cell r="S1372" t="str">
            <v>GE Healthcare Technologies</v>
          </cell>
          <cell r="T1372" t="str">
            <v>Functioning</v>
          </cell>
          <cell r="U1372" t="str">
            <v>Asset</v>
          </cell>
          <cell r="V1372">
            <v>87400</v>
          </cell>
          <cell r="W1372" t="str">
            <v>KEW</v>
          </cell>
          <cell r="X1372" t="str">
            <v>01/09/2010</v>
          </cell>
          <cell r="Y1372" t="str">
            <v>KEW</v>
          </cell>
          <cell r="Z1372" t="str">
            <v>16/08/2013</v>
          </cell>
          <cell r="AA1372" t="str">
            <v>15/08/2015</v>
          </cell>
          <cell r="AB1372" t="str">
            <v>No</v>
          </cell>
          <cell r="AC1372" t="str">
            <v>31/08/2013</v>
          </cell>
          <cell r="AD1372" t="str">
            <v>Good</v>
          </cell>
          <cell r="AE1372" t="str">
            <v>V1 - Existing / No Claim</v>
          </cell>
          <cell r="AF1372">
            <v>42803</v>
          </cell>
          <cell r="AG1372">
            <v>9.17</v>
          </cell>
          <cell r="AH1372" t="str">
            <v>PPM</v>
          </cell>
          <cell r="AI1372" t="str">
            <v>Strands</v>
          </cell>
          <cell r="AJ1372" t="str">
            <v>Strands PW</v>
          </cell>
        </row>
        <row r="1373">
          <cell r="A1373" t="str">
            <v>IKN401051</v>
          </cell>
          <cell r="B1373">
            <v>1049</v>
          </cell>
          <cell r="C1373" t="str">
            <v>Institut Kanser Negara</v>
          </cell>
          <cell r="D1373" t="str">
            <v>KKM/IKN/H/13/4844</v>
          </cell>
          <cell r="E1373" t="str">
            <v>17-793</v>
          </cell>
          <cell r="F1373" t="str">
            <v>Infusion/ Monitoring Line Organizer System</v>
          </cell>
          <cell r="G1373" t="str">
            <v>OT</v>
          </cell>
          <cell r="H1373" t="str">
            <v>OPERATING THEATRE</v>
          </cell>
          <cell r="I1373" t="str">
            <v>05OT123</v>
          </cell>
          <cell r="J1373" t="str">
            <v>0T 1</v>
          </cell>
          <cell r="K1373" t="str">
            <v>BMED</v>
          </cell>
          <cell r="L1373" t="str">
            <v>Normal</v>
          </cell>
          <cell r="M1373" t="str">
            <v>Germany</v>
          </cell>
          <cell r="N1373" t="str">
            <v>Space Station</v>
          </cell>
          <cell r="O1373" t="str">
            <v>Space Station</v>
          </cell>
          <cell r="P1373" t="str">
            <v>13981</v>
          </cell>
          <cell r="Q1373" t="str">
            <v>Not Applicable</v>
          </cell>
          <cell r="R1373" t="str">
            <v>B Braun Melsungen AG</v>
          </cell>
          <cell r="S1373" t="str">
            <v>B Braun Medical Supplies Sdn. Bhd.</v>
          </cell>
          <cell r="T1373" t="str">
            <v>Functioning</v>
          </cell>
          <cell r="U1373" t="str">
            <v>Asset</v>
          </cell>
          <cell r="V1373">
            <v>84200</v>
          </cell>
          <cell r="W1373" t="str">
            <v>KEW</v>
          </cell>
          <cell r="X1373" t="str">
            <v>01/09/2010</v>
          </cell>
          <cell r="Y1373" t="str">
            <v>KEW</v>
          </cell>
          <cell r="Z1373" t="str">
            <v>16/08/2013</v>
          </cell>
          <cell r="AA1373" t="str">
            <v>15/08/2015</v>
          </cell>
          <cell r="AB1373" t="str">
            <v>No</v>
          </cell>
          <cell r="AC1373" t="str">
            <v>31/08/2013</v>
          </cell>
          <cell r="AD1373" t="str">
            <v>Good</v>
          </cell>
          <cell r="AE1373" t="str">
            <v>V1 - Existing / No Claim</v>
          </cell>
          <cell r="AF1373">
            <v>42235</v>
          </cell>
          <cell r="AG1373">
            <v>9.17</v>
          </cell>
          <cell r="AH1373" t="str">
            <v>PPM</v>
          </cell>
          <cell r="AI1373" t="str">
            <v>Strands</v>
          </cell>
          <cell r="AJ1373" t="str">
            <v>Strands PW</v>
          </cell>
        </row>
        <row r="1374">
          <cell r="A1374" t="str">
            <v>IKN401052</v>
          </cell>
          <cell r="B1374">
            <v>1050</v>
          </cell>
          <cell r="C1374" t="str">
            <v>Institut Kanser Negara</v>
          </cell>
          <cell r="D1374" t="str">
            <v>KKM/IKN/H/13/4481</v>
          </cell>
          <cell r="E1374" t="str">
            <v>16-924</v>
          </cell>
          <cell r="F1374" t="str">
            <v>Infusion Pumps, Patient-Controlled Analgesic</v>
          </cell>
          <cell r="G1374" t="str">
            <v>OT</v>
          </cell>
          <cell r="H1374" t="str">
            <v>OPERATING THEATRE</v>
          </cell>
          <cell r="I1374" t="str">
            <v>05OT123</v>
          </cell>
          <cell r="J1374" t="str">
            <v>0T 1</v>
          </cell>
          <cell r="K1374" t="str">
            <v>BMED</v>
          </cell>
          <cell r="L1374" t="str">
            <v>Normal</v>
          </cell>
          <cell r="M1374" t="str">
            <v>Germany</v>
          </cell>
          <cell r="N1374" t="str">
            <v>Perfusor</v>
          </cell>
          <cell r="O1374" t="str">
            <v>Perfusor Space PCA</v>
          </cell>
          <cell r="P1374" t="str">
            <v>187054</v>
          </cell>
          <cell r="Q1374" t="str">
            <v>Not Applicable</v>
          </cell>
          <cell r="R1374" t="str">
            <v>B Braun Melsungen AG</v>
          </cell>
          <cell r="S1374" t="str">
            <v>B Braun Medical Supplies Sdn. Bhd.</v>
          </cell>
          <cell r="T1374" t="str">
            <v>Functioning</v>
          </cell>
          <cell r="U1374" t="str">
            <v>Asset</v>
          </cell>
          <cell r="V1374">
            <v>9622</v>
          </cell>
          <cell r="W1374" t="str">
            <v>KEW</v>
          </cell>
          <cell r="X1374" t="str">
            <v>01/09/2010</v>
          </cell>
          <cell r="Y1374" t="str">
            <v>KEW</v>
          </cell>
          <cell r="Z1374" t="str">
            <v>16/08/2013</v>
          </cell>
          <cell r="AA1374" t="str">
            <v>15/08/2015</v>
          </cell>
          <cell r="AB1374" t="str">
            <v>No</v>
          </cell>
          <cell r="AC1374" t="str">
            <v>31/08/2013</v>
          </cell>
          <cell r="AD1374" t="str">
            <v>Good</v>
          </cell>
          <cell r="AE1374" t="str">
            <v>V1 - Existing / No Claim</v>
          </cell>
          <cell r="AF1374">
            <v>42235</v>
          </cell>
          <cell r="AG1374">
            <v>9.17</v>
          </cell>
          <cell r="AH1374" t="str">
            <v>PPM</v>
          </cell>
          <cell r="AI1374" t="str">
            <v>Strands</v>
          </cell>
          <cell r="AJ1374" t="str">
            <v>Strands PW</v>
          </cell>
        </row>
        <row r="1375">
          <cell r="A1375" t="str">
            <v>IKN401053</v>
          </cell>
          <cell r="B1375">
            <v>1051</v>
          </cell>
          <cell r="C1375" t="str">
            <v>Institut Kanser Negara</v>
          </cell>
          <cell r="D1375" t="str">
            <v>KKM/IKN/H/13/3883</v>
          </cell>
          <cell r="E1375" t="str">
            <v>10-447</v>
          </cell>
          <cell r="F1375" t="str">
            <v>Warming Units, Blood/Solution</v>
          </cell>
          <cell r="G1375" t="str">
            <v>OT</v>
          </cell>
          <cell r="H1375" t="str">
            <v>OPERATING THEATRE</v>
          </cell>
          <cell r="I1375" t="str">
            <v>05OT169</v>
          </cell>
          <cell r="J1375" t="str">
            <v>EQ. ROOM</v>
          </cell>
          <cell r="K1375" t="str">
            <v>BMED</v>
          </cell>
          <cell r="L1375" t="str">
            <v>Normal</v>
          </cell>
          <cell r="M1375" t="str">
            <v>Japan</v>
          </cell>
          <cell r="N1375" t="str">
            <v>Animec</v>
          </cell>
          <cell r="O1375" t="str">
            <v>Animec AM-301</v>
          </cell>
          <cell r="P1375" t="str">
            <v>2012D0057</v>
          </cell>
          <cell r="Q1375" t="str">
            <v>Not Applicable</v>
          </cell>
          <cell r="R1375" t="str">
            <v>Elltec Co Ltd</v>
          </cell>
          <cell r="S1375" t="str">
            <v>IDS Services (Malaysia) Sdn Bhd</v>
          </cell>
          <cell r="T1375" t="str">
            <v>Functioning</v>
          </cell>
          <cell r="U1375" t="str">
            <v>Asset</v>
          </cell>
          <cell r="V1375">
            <v>4990</v>
          </cell>
          <cell r="W1375" t="str">
            <v>KEW</v>
          </cell>
          <cell r="X1375" t="str">
            <v>01/09/2010</v>
          </cell>
          <cell r="Y1375" t="str">
            <v>KEW</v>
          </cell>
          <cell r="Z1375" t="str">
            <v>16/08/2013</v>
          </cell>
          <cell r="AA1375" t="str">
            <v>15/08/2015</v>
          </cell>
          <cell r="AB1375" t="str">
            <v>No</v>
          </cell>
          <cell r="AC1375" t="str">
            <v>31/08/2013</v>
          </cell>
          <cell r="AD1375" t="str">
            <v>Good</v>
          </cell>
          <cell r="AE1375" t="str">
            <v>V1 - Existing / No Claim</v>
          </cell>
          <cell r="AF1375">
            <v>42803</v>
          </cell>
          <cell r="AG1375">
            <v>9.17</v>
          </cell>
          <cell r="AH1375" t="str">
            <v>PPM</v>
          </cell>
          <cell r="AI1375" t="str">
            <v>Strands</v>
          </cell>
          <cell r="AJ1375" t="str">
            <v>Strands PW</v>
          </cell>
        </row>
        <row r="1376">
          <cell r="A1376" t="str">
            <v>IKN401054</v>
          </cell>
          <cell r="B1376">
            <v>1052</v>
          </cell>
          <cell r="C1376" t="str">
            <v>Institut Kanser Negara</v>
          </cell>
          <cell r="D1376" t="str">
            <v>KKM/IKN/H/13/3885</v>
          </cell>
          <cell r="E1376" t="str">
            <v>10-447</v>
          </cell>
          <cell r="F1376" t="str">
            <v>Warming Units, Blood/Solution</v>
          </cell>
          <cell r="G1376" t="str">
            <v>OT</v>
          </cell>
          <cell r="H1376" t="str">
            <v>OPERATING THEATRE</v>
          </cell>
          <cell r="I1376" t="str">
            <v>05OT169</v>
          </cell>
          <cell r="J1376" t="str">
            <v>EQ. ROOM</v>
          </cell>
          <cell r="K1376" t="str">
            <v>BMED</v>
          </cell>
          <cell r="L1376" t="str">
            <v>Normal</v>
          </cell>
          <cell r="M1376" t="str">
            <v>Japan</v>
          </cell>
          <cell r="N1376" t="str">
            <v>Animec</v>
          </cell>
          <cell r="O1376" t="str">
            <v>Animec AM-301</v>
          </cell>
          <cell r="P1376" t="str">
            <v>2013D0251</v>
          </cell>
          <cell r="Q1376" t="str">
            <v>Not Applicable</v>
          </cell>
          <cell r="R1376" t="str">
            <v>Elltec Co Ltd</v>
          </cell>
          <cell r="S1376" t="str">
            <v>IDS Services (Malaysia) Sdn Bhd</v>
          </cell>
          <cell r="T1376" t="str">
            <v>Functioning</v>
          </cell>
          <cell r="U1376" t="str">
            <v>Asset</v>
          </cell>
          <cell r="V1376">
            <v>4990</v>
          </cell>
          <cell r="W1376" t="str">
            <v>KEW</v>
          </cell>
          <cell r="X1376" t="str">
            <v>01/09/2010</v>
          </cell>
          <cell r="Y1376" t="str">
            <v>KEW</v>
          </cell>
          <cell r="Z1376" t="str">
            <v>16/08/2013</v>
          </cell>
          <cell r="AA1376" t="str">
            <v>15/08/2015</v>
          </cell>
          <cell r="AB1376" t="str">
            <v>No</v>
          </cell>
          <cell r="AC1376" t="str">
            <v>31/08/2013</v>
          </cell>
          <cell r="AD1376" t="str">
            <v>Good</v>
          </cell>
          <cell r="AE1376" t="str">
            <v>V1 - Existing / No Claim</v>
          </cell>
          <cell r="AF1376">
            <v>42803</v>
          </cell>
          <cell r="AG1376">
            <v>9.17</v>
          </cell>
          <cell r="AH1376" t="str">
            <v>PPM</v>
          </cell>
          <cell r="AI1376" t="str">
            <v>Strands</v>
          </cell>
          <cell r="AJ1376" t="str">
            <v>Strands PW</v>
          </cell>
        </row>
        <row r="1377">
          <cell r="A1377" t="str">
            <v>IKN401055</v>
          </cell>
          <cell r="B1377">
            <v>1053</v>
          </cell>
          <cell r="C1377" t="str">
            <v>Institut Kanser Negara</v>
          </cell>
          <cell r="D1377" t="str">
            <v>KKM/IKN/H/13/3884</v>
          </cell>
          <cell r="E1377" t="str">
            <v>10-447</v>
          </cell>
          <cell r="F1377" t="str">
            <v>Warming Units, Blood/Solution</v>
          </cell>
          <cell r="G1377" t="str">
            <v>OT</v>
          </cell>
          <cell r="H1377" t="str">
            <v>OPERATING THEATRE</v>
          </cell>
          <cell r="I1377" t="str">
            <v>05OT169</v>
          </cell>
          <cell r="J1377" t="str">
            <v>EQ. ROOM</v>
          </cell>
          <cell r="K1377" t="str">
            <v>BMED</v>
          </cell>
          <cell r="L1377" t="str">
            <v>Normal</v>
          </cell>
          <cell r="M1377" t="str">
            <v>Japan</v>
          </cell>
          <cell r="N1377" t="str">
            <v>Animec</v>
          </cell>
          <cell r="O1377" t="str">
            <v>Animec AM-301</v>
          </cell>
          <cell r="P1377" t="str">
            <v>2012D0058</v>
          </cell>
          <cell r="Q1377" t="str">
            <v>Not Applicable</v>
          </cell>
          <cell r="R1377" t="str">
            <v>Elltec Co Ltd</v>
          </cell>
          <cell r="S1377" t="str">
            <v>IDS Services (Malaysia) Sdn Bhd</v>
          </cell>
          <cell r="T1377" t="str">
            <v>Functioning</v>
          </cell>
          <cell r="U1377" t="str">
            <v>Asset</v>
          </cell>
          <cell r="V1377">
            <v>4990</v>
          </cell>
          <cell r="W1377" t="str">
            <v>KEW</v>
          </cell>
          <cell r="X1377" t="str">
            <v>01/09/2010</v>
          </cell>
          <cell r="Y1377" t="str">
            <v>KEW</v>
          </cell>
          <cell r="Z1377" t="str">
            <v>16/08/2013</v>
          </cell>
          <cell r="AA1377" t="str">
            <v>15/08/2015</v>
          </cell>
          <cell r="AB1377" t="str">
            <v>No</v>
          </cell>
          <cell r="AC1377" t="str">
            <v>31/08/2013</v>
          </cell>
          <cell r="AD1377" t="str">
            <v>Good</v>
          </cell>
          <cell r="AE1377" t="str">
            <v>V1 - Existing / No Claim</v>
          </cell>
          <cell r="AF1377">
            <v>42803</v>
          </cell>
          <cell r="AG1377">
            <v>9.17</v>
          </cell>
          <cell r="AH1377" t="str">
            <v>PPM</v>
          </cell>
          <cell r="AI1377" t="str">
            <v>Strands</v>
          </cell>
          <cell r="AJ1377" t="str">
            <v>Strands PW</v>
          </cell>
        </row>
        <row r="1378">
          <cell r="A1378" t="str">
            <v>IKN401056</v>
          </cell>
          <cell r="B1378">
            <v>1054</v>
          </cell>
          <cell r="C1378" t="str">
            <v>Institut Kanser Negara</v>
          </cell>
          <cell r="D1378" t="str">
            <v>KKM/IKN/H/13/3886</v>
          </cell>
          <cell r="E1378" t="str">
            <v>10-447</v>
          </cell>
          <cell r="F1378" t="str">
            <v>Warming Units, Blood/Solution</v>
          </cell>
          <cell r="G1378" t="str">
            <v>OT</v>
          </cell>
          <cell r="H1378" t="str">
            <v>OPERATING THEATRE</v>
          </cell>
          <cell r="I1378" t="str">
            <v>05OT169</v>
          </cell>
          <cell r="J1378" t="str">
            <v>EQ. ROOM</v>
          </cell>
          <cell r="K1378" t="str">
            <v>BMED</v>
          </cell>
          <cell r="L1378" t="str">
            <v>Normal</v>
          </cell>
          <cell r="M1378" t="str">
            <v>Japan</v>
          </cell>
          <cell r="N1378" t="str">
            <v>Animec</v>
          </cell>
          <cell r="O1378" t="str">
            <v>Animec AM-301</v>
          </cell>
          <cell r="P1378" t="str">
            <v>2013D0252</v>
          </cell>
          <cell r="Q1378" t="str">
            <v>Not Applicable</v>
          </cell>
          <cell r="R1378" t="str">
            <v>Elltec Co Ltd</v>
          </cell>
          <cell r="S1378" t="str">
            <v>IDS Services (Malaysia) Sdn Bhd</v>
          </cell>
          <cell r="T1378" t="str">
            <v>Functioning</v>
          </cell>
          <cell r="U1378" t="str">
            <v>Asset</v>
          </cell>
          <cell r="V1378">
            <v>4990</v>
          </cell>
          <cell r="W1378" t="str">
            <v>KEW</v>
          </cell>
          <cell r="X1378" t="str">
            <v>01/09/2010</v>
          </cell>
          <cell r="Y1378" t="str">
            <v>KEW</v>
          </cell>
          <cell r="Z1378" t="str">
            <v>16/08/2013</v>
          </cell>
          <cell r="AA1378" t="str">
            <v>15/08/2015</v>
          </cell>
          <cell r="AB1378" t="str">
            <v>No</v>
          </cell>
          <cell r="AC1378" t="str">
            <v>31/08/2013</v>
          </cell>
          <cell r="AD1378" t="str">
            <v>Good</v>
          </cell>
          <cell r="AE1378" t="str">
            <v>V1 - Existing / No Claim</v>
          </cell>
          <cell r="AF1378">
            <v>42803</v>
          </cell>
          <cell r="AG1378">
            <v>9.17</v>
          </cell>
          <cell r="AH1378" t="str">
            <v>PPM</v>
          </cell>
          <cell r="AI1378" t="str">
            <v>Strands</v>
          </cell>
          <cell r="AJ1378" t="str">
            <v>Strands PW</v>
          </cell>
        </row>
        <row r="1379">
          <cell r="A1379" t="str">
            <v>IKN401057</v>
          </cell>
          <cell r="B1379">
            <v>1055</v>
          </cell>
          <cell r="C1379" t="str">
            <v>Institut Kanser Negara</v>
          </cell>
          <cell r="D1379" t="str">
            <v>KKM/IKN/H/13/3601</v>
          </cell>
          <cell r="E1379" t="str">
            <v>17-950</v>
          </cell>
          <cell r="F1379" t="str">
            <v>Warming Units, Patient, Forced-Air</v>
          </cell>
          <cell r="G1379" t="str">
            <v>OT</v>
          </cell>
          <cell r="H1379" t="str">
            <v>OPERATING THEATRE</v>
          </cell>
          <cell r="I1379" t="str">
            <v>05OT128</v>
          </cell>
          <cell r="J1379" t="str">
            <v>PRE-OP / PATIENT HOLDING</v>
          </cell>
          <cell r="K1379" t="str">
            <v>BMED</v>
          </cell>
          <cell r="L1379" t="str">
            <v>Normal</v>
          </cell>
          <cell r="M1379" t="str">
            <v>USA</v>
          </cell>
          <cell r="N1379" t="str">
            <v>Bair Hugger</v>
          </cell>
          <cell r="O1379" t="str">
            <v>Bair Hugger 775</v>
          </cell>
          <cell r="P1379" t="str">
            <v>35926</v>
          </cell>
          <cell r="Q1379" t="str">
            <v>Not Applicable</v>
          </cell>
          <cell r="R1379" t="str">
            <v>Arizant Healthcare Inc</v>
          </cell>
          <cell r="S1379" t="str">
            <v>Calmed Healthcare Sdn Bhd</v>
          </cell>
          <cell r="T1379" t="str">
            <v>Functioning</v>
          </cell>
          <cell r="U1379" t="str">
            <v>Asset</v>
          </cell>
          <cell r="V1379">
            <v>15515</v>
          </cell>
          <cell r="W1379" t="str">
            <v>KEW</v>
          </cell>
          <cell r="X1379" t="str">
            <v>01/09/2010</v>
          </cell>
          <cell r="Y1379" t="str">
            <v>KEW</v>
          </cell>
          <cell r="Z1379" t="str">
            <v>16/08/2013</v>
          </cell>
          <cell r="AA1379" t="str">
            <v>15/08/2015</v>
          </cell>
          <cell r="AB1379" t="str">
            <v>No</v>
          </cell>
          <cell r="AC1379" t="str">
            <v>31/08/2013</v>
          </cell>
          <cell r="AD1379" t="str">
            <v>Good</v>
          </cell>
          <cell r="AE1379" t="str">
            <v>V1 - Existing / No Claim</v>
          </cell>
          <cell r="AF1379">
            <v>42235</v>
          </cell>
          <cell r="AG1379">
            <v>9.17</v>
          </cell>
          <cell r="AH1379" t="str">
            <v>PPM</v>
          </cell>
          <cell r="AI1379" t="str">
            <v>Strands</v>
          </cell>
          <cell r="AJ1379" t="str">
            <v>Strands PW</v>
          </cell>
        </row>
        <row r="1380">
          <cell r="A1380" t="str">
            <v>IKN401058</v>
          </cell>
          <cell r="B1380">
            <v>1056</v>
          </cell>
          <cell r="C1380" t="str">
            <v>Institut Kanser Negara</v>
          </cell>
          <cell r="D1380" t="str">
            <v>KKM/IKN/H/13/3600</v>
          </cell>
          <cell r="E1380" t="str">
            <v>17-950</v>
          </cell>
          <cell r="F1380" t="str">
            <v>Warming Units, Patient, Forced-Air</v>
          </cell>
          <cell r="G1380" t="str">
            <v>OT</v>
          </cell>
          <cell r="H1380" t="str">
            <v>OPERATING THEATRE</v>
          </cell>
          <cell r="I1380" t="str">
            <v>05OT128</v>
          </cell>
          <cell r="J1380" t="str">
            <v>PRE-OP / PATIENT HOLDING</v>
          </cell>
          <cell r="K1380" t="str">
            <v>BMED</v>
          </cell>
          <cell r="L1380" t="str">
            <v>Normal</v>
          </cell>
          <cell r="M1380" t="str">
            <v>USA</v>
          </cell>
          <cell r="N1380" t="str">
            <v>Bair Hugger</v>
          </cell>
          <cell r="O1380" t="str">
            <v>Bair Hugger 775</v>
          </cell>
          <cell r="P1380" t="str">
            <v>35929</v>
          </cell>
          <cell r="Q1380" t="str">
            <v>Not Applicable</v>
          </cell>
          <cell r="R1380" t="str">
            <v>Arizant Healthcare Inc</v>
          </cell>
          <cell r="S1380" t="str">
            <v>Calmed Healthcare Sdn Bhd</v>
          </cell>
          <cell r="T1380" t="str">
            <v>Functioning</v>
          </cell>
          <cell r="U1380" t="str">
            <v>Asset</v>
          </cell>
          <cell r="V1380">
            <v>15515</v>
          </cell>
          <cell r="W1380" t="str">
            <v>KEW</v>
          </cell>
          <cell r="X1380" t="str">
            <v>01/09/2010</v>
          </cell>
          <cell r="Y1380" t="str">
            <v>KEW</v>
          </cell>
          <cell r="Z1380" t="str">
            <v>16/08/2013</v>
          </cell>
          <cell r="AA1380" t="str">
            <v>15/08/2015</v>
          </cell>
          <cell r="AB1380" t="str">
            <v>No</v>
          </cell>
          <cell r="AC1380" t="str">
            <v>31/08/2013</v>
          </cell>
          <cell r="AD1380" t="str">
            <v>Good</v>
          </cell>
          <cell r="AE1380" t="str">
            <v>V1 - Existing / No Claim</v>
          </cell>
          <cell r="AF1380">
            <v>42802</v>
          </cell>
          <cell r="AG1380">
            <v>9.17</v>
          </cell>
          <cell r="AH1380" t="str">
            <v>PPM</v>
          </cell>
          <cell r="AI1380" t="str">
            <v>Strands</v>
          </cell>
          <cell r="AJ1380" t="str">
            <v>Strands PW</v>
          </cell>
        </row>
        <row r="1381">
          <cell r="A1381" t="str">
            <v>IKN401059</v>
          </cell>
          <cell r="B1381">
            <v>1057</v>
          </cell>
          <cell r="C1381" t="str">
            <v>Institut Kanser Negara</v>
          </cell>
          <cell r="D1381" t="str">
            <v>KKM/IKN/H/13/162</v>
          </cell>
          <cell r="E1381" t="str">
            <v>12-647</v>
          </cell>
          <cell r="F1381" t="str">
            <v>Physiologic Monitoring Systems, Acute Care</v>
          </cell>
          <cell r="G1381" t="str">
            <v>OT</v>
          </cell>
          <cell r="H1381" t="str">
            <v>OPERATING THEATRE</v>
          </cell>
          <cell r="I1381" t="str">
            <v>05OT128</v>
          </cell>
          <cell r="J1381" t="str">
            <v>PRE-OP / PATIENT HOLDING</v>
          </cell>
          <cell r="K1381" t="str">
            <v>BMED</v>
          </cell>
          <cell r="L1381" t="str">
            <v>Critical</v>
          </cell>
          <cell r="M1381" t="str">
            <v>USA</v>
          </cell>
          <cell r="N1381" t="str">
            <v>GE</v>
          </cell>
          <cell r="O1381" t="str">
            <v>GE B30</v>
          </cell>
          <cell r="P1381" t="str">
            <v>SF312325905WA</v>
          </cell>
          <cell r="Q1381" t="str">
            <v>Not Applicable</v>
          </cell>
          <cell r="R1381" t="str">
            <v>GE Healthcare Systems</v>
          </cell>
          <cell r="S1381" t="str">
            <v>GE Healthcare Technologies</v>
          </cell>
          <cell r="T1381" t="str">
            <v>Functioning</v>
          </cell>
          <cell r="U1381" t="str">
            <v>Asset</v>
          </cell>
          <cell r="V1381">
            <v>44510</v>
          </cell>
          <cell r="W1381" t="str">
            <v>KEW</v>
          </cell>
          <cell r="X1381" t="str">
            <v>01/09/2010</v>
          </cell>
          <cell r="Y1381" t="str">
            <v>KEW</v>
          </cell>
          <cell r="Z1381" t="str">
            <v>16/08/2013</v>
          </cell>
          <cell r="AA1381" t="str">
            <v>15/08/2015</v>
          </cell>
          <cell r="AB1381" t="str">
            <v>No</v>
          </cell>
          <cell r="AC1381" t="str">
            <v>31/08/2013</v>
          </cell>
          <cell r="AD1381" t="str">
            <v>Good</v>
          </cell>
          <cell r="AE1381" t="str">
            <v>V1 - Existing / No Claim</v>
          </cell>
          <cell r="AF1381">
            <v>42802</v>
          </cell>
          <cell r="AG1381">
            <v>9.17</v>
          </cell>
          <cell r="AH1381" t="str">
            <v>PPM</v>
          </cell>
          <cell r="AI1381" t="str">
            <v>Strands</v>
          </cell>
          <cell r="AJ1381" t="str">
            <v>Strands PW</v>
          </cell>
        </row>
        <row r="1382">
          <cell r="A1382" t="str">
            <v>IKN401060</v>
          </cell>
          <cell r="B1382">
            <v>1058</v>
          </cell>
          <cell r="C1382" t="str">
            <v>Institut Kanser Negara</v>
          </cell>
          <cell r="D1382" t="str">
            <v>KKM/IKN/H/13/4324</v>
          </cell>
          <cell r="E1382" t="str">
            <v>12-647</v>
          </cell>
          <cell r="F1382" t="str">
            <v>Physiologic Monitoring Systems, Acute Care</v>
          </cell>
          <cell r="G1382" t="str">
            <v>OT</v>
          </cell>
          <cell r="H1382" t="str">
            <v>OPERATING THEATRE</v>
          </cell>
          <cell r="I1382" t="str">
            <v>05OT128</v>
          </cell>
          <cell r="J1382" t="str">
            <v>PRE-OP / PATIENT HOLDING</v>
          </cell>
          <cell r="K1382" t="str">
            <v>BMED</v>
          </cell>
          <cell r="L1382" t="str">
            <v>Critical</v>
          </cell>
          <cell r="M1382" t="str">
            <v>USA</v>
          </cell>
          <cell r="N1382" t="str">
            <v>GE</v>
          </cell>
          <cell r="O1382" t="str">
            <v>GE B30</v>
          </cell>
          <cell r="P1382" t="str">
            <v>SF312325910WA</v>
          </cell>
          <cell r="Q1382" t="str">
            <v>Not Applicable</v>
          </cell>
          <cell r="R1382" t="str">
            <v>GE Healthcare Systems</v>
          </cell>
          <cell r="S1382" t="str">
            <v>GE Healthcare Technologies</v>
          </cell>
          <cell r="T1382" t="str">
            <v>Functioning</v>
          </cell>
          <cell r="U1382" t="str">
            <v>Asset</v>
          </cell>
          <cell r="V1382">
            <v>44510</v>
          </cell>
          <cell r="W1382" t="str">
            <v>KEW</v>
          </cell>
          <cell r="X1382" t="str">
            <v>01/09/2010</v>
          </cell>
          <cell r="Y1382" t="str">
            <v>KEW</v>
          </cell>
          <cell r="Z1382" t="str">
            <v>16/08/2013</v>
          </cell>
          <cell r="AA1382" t="str">
            <v>15/08/2015</v>
          </cell>
          <cell r="AB1382" t="str">
            <v>No</v>
          </cell>
          <cell r="AC1382" t="str">
            <v>31/08/2013</v>
          </cell>
          <cell r="AD1382" t="str">
            <v>Good</v>
          </cell>
          <cell r="AE1382" t="str">
            <v>V1 - Existing / No Claim</v>
          </cell>
          <cell r="AF1382">
            <v>42802</v>
          </cell>
          <cell r="AG1382">
            <v>9.17</v>
          </cell>
          <cell r="AH1382" t="str">
            <v>PPM</v>
          </cell>
          <cell r="AI1382" t="str">
            <v>Strands</v>
          </cell>
          <cell r="AJ1382" t="str">
            <v>Strands PW</v>
          </cell>
        </row>
        <row r="1383">
          <cell r="A1383" t="str">
            <v>IKN401061</v>
          </cell>
          <cell r="B1383">
            <v>1059</v>
          </cell>
          <cell r="C1383" t="str">
            <v>Institut Kanser Negara</v>
          </cell>
          <cell r="D1383" t="str">
            <v>KKM/IKN/H/13/3772</v>
          </cell>
          <cell r="E1383" t="str">
            <v>13-782</v>
          </cell>
          <cell r="F1383" t="str">
            <v>Stimulators, Electrical, Peripheral Nerve, Analgesic, Transc</v>
          </cell>
          <cell r="G1383" t="str">
            <v>OT</v>
          </cell>
          <cell r="H1383" t="str">
            <v>OPERATING THEATRE</v>
          </cell>
          <cell r="I1383" t="str">
            <v>05OT123</v>
          </cell>
          <cell r="J1383" t="str">
            <v>0T 1</v>
          </cell>
          <cell r="K1383" t="str">
            <v>BMED</v>
          </cell>
          <cell r="L1383" t="str">
            <v>Normal</v>
          </cell>
          <cell r="M1383" t="str">
            <v>Germany</v>
          </cell>
          <cell r="N1383" t="str">
            <v>Stimuplex</v>
          </cell>
          <cell r="O1383" t="str">
            <v>Stimuplex HNS 12</v>
          </cell>
          <cell r="P1383" t="str">
            <v>16/0745</v>
          </cell>
          <cell r="Q1383" t="str">
            <v>Not Applicable</v>
          </cell>
          <cell r="R1383" t="str">
            <v>B Braun Melsungen AG</v>
          </cell>
          <cell r="S1383" t="str">
            <v>B Braun Medical Supplies Sdn. Bhd.</v>
          </cell>
          <cell r="T1383" t="str">
            <v>Functioning</v>
          </cell>
          <cell r="U1383" t="str">
            <v>Asset</v>
          </cell>
          <cell r="V1383">
            <v>6570</v>
          </cell>
          <cell r="W1383" t="str">
            <v>KEW</v>
          </cell>
          <cell r="X1383" t="str">
            <v>01/09/2010</v>
          </cell>
          <cell r="Y1383" t="str">
            <v>KEW</v>
          </cell>
          <cell r="Z1383" t="str">
            <v>16/08/2013</v>
          </cell>
          <cell r="AA1383" t="str">
            <v>15/08/2015</v>
          </cell>
          <cell r="AB1383" t="str">
            <v>No</v>
          </cell>
          <cell r="AC1383" t="str">
            <v>31/08/2013</v>
          </cell>
          <cell r="AD1383" t="str">
            <v>Good</v>
          </cell>
          <cell r="AE1383" t="str">
            <v>V1 - Existing / No Claim</v>
          </cell>
          <cell r="AF1383">
            <v>42235</v>
          </cell>
          <cell r="AG1383">
            <v>9.17</v>
          </cell>
          <cell r="AH1383" t="str">
            <v>PPM</v>
          </cell>
          <cell r="AI1383" t="str">
            <v>Strands</v>
          </cell>
          <cell r="AJ1383" t="str">
            <v>Strands PW</v>
          </cell>
        </row>
        <row r="1384">
          <cell r="A1384" t="str">
            <v>IKN401068</v>
          </cell>
          <cell r="B1384">
            <v>1066</v>
          </cell>
          <cell r="C1384" t="str">
            <v>Institut Kanser Negara</v>
          </cell>
          <cell r="D1384" t="str">
            <v>KKM/IKN/H/13/3790</v>
          </cell>
          <cell r="E1384" t="str">
            <v>10-208</v>
          </cell>
          <cell r="F1384" t="str">
            <v>Aspirators</v>
          </cell>
          <cell r="G1384" t="str">
            <v>OT</v>
          </cell>
          <cell r="H1384" t="str">
            <v>OPERATING THEATRE</v>
          </cell>
          <cell r="I1384" t="str">
            <v>05OT169</v>
          </cell>
          <cell r="J1384" t="str">
            <v>EQ. ROOM</v>
          </cell>
          <cell r="K1384" t="str">
            <v>BMED</v>
          </cell>
          <cell r="L1384" t="str">
            <v>Normal</v>
          </cell>
          <cell r="M1384" t="str">
            <v>UK</v>
          </cell>
          <cell r="N1384" t="str">
            <v>SAM</v>
          </cell>
          <cell r="O1384" t="str">
            <v>SAM 427</v>
          </cell>
          <cell r="P1384" t="str">
            <v>0313-0534</v>
          </cell>
          <cell r="Q1384" t="str">
            <v>Not Applicable</v>
          </cell>
          <cell r="R1384" t="str">
            <v>MG Electric Ltd</v>
          </cell>
          <cell r="S1384" t="str">
            <v>Delta Medisains</v>
          </cell>
          <cell r="T1384" t="str">
            <v>Functioning</v>
          </cell>
          <cell r="U1384" t="str">
            <v>Asset</v>
          </cell>
          <cell r="V1384">
            <v>10705</v>
          </cell>
          <cell r="W1384" t="str">
            <v>KEW</v>
          </cell>
          <cell r="X1384" t="str">
            <v>01/09/2010</v>
          </cell>
          <cell r="Y1384" t="str">
            <v>KEW</v>
          </cell>
          <cell r="Z1384" t="str">
            <v>16/08/2013</v>
          </cell>
          <cell r="AA1384" t="str">
            <v>15/08/2015</v>
          </cell>
          <cell r="AB1384" t="str">
            <v>No</v>
          </cell>
          <cell r="AC1384" t="str">
            <v>31/08/2013</v>
          </cell>
          <cell r="AD1384" t="str">
            <v>Good</v>
          </cell>
          <cell r="AE1384" t="str">
            <v>V1 - Existing / No Claim</v>
          </cell>
          <cell r="AF1384">
            <v>42235</v>
          </cell>
          <cell r="AG1384">
            <v>9.17</v>
          </cell>
          <cell r="AH1384" t="str">
            <v>PPM</v>
          </cell>
          <cell r="AI1384" t="str">
            <v>Strands</v>
          </cell>
          <cell r="AJ1384" t="str">
            <v>Strands PW</v>
          </cell>
        </row>
        <row r="1385">
          <cell r="A1385" t="str">
            <v>IKN401069</v>
          </cell>
          <cell r="B1385">
            <v>1067</v>
          </cell>
          <cell r="C1385" t="str">
            <v>Institut Kanser Negara</v>
          </cell>
          <cell r="D1385" t="str">
            <v>KKM/IKN/H/13/5019</v>
          </cell>
          <cell r="E1385" t="str">
            <v>16-173</v>
          </cell>
          <cell r="F1385" t="str">
            <v>Sphygmomanometers, Electronic, Automatic</v>
          </cell>
          <cell r="G1385" t="str">
            <v>OT</v>
          </cell>
          <cell r="H1385" t="str">
            <v>OPERATING THEATRE</v>
          </cell>
          <cell r="I1385" t="str">
            <v>05OT150</v>
          </cell>
          <cell r="J1385" t="str">
            <v>RECEPTION STAFF BASE</v>
          </cell>
          <cell r="K1385" t="str">
            <v>BMED</v>
          </cell>
          <cell r="L1385" t="str">
            <v>Normal</v>
          </cell>
          <cell r="M1385" t="str">
            <v>USA</v>
          </cell>
          <cell r="N1385" t="str">
            <v>Connex</v>
          </cell>
          <cell r="O1385" t="str">
            <v>Connex ProBP 3400</v>
          </cell>
          <cell r="P1385" t="str">
            <v>100002010413</v>
          </cell>
          <cell r="Q1385" t="str">
            <v>Not Applicable</v>
          </cell>
          <cell r="R1385" t="str">
            <v>Welch Allyn Inc</v>
          </cell>
          <cell r="S1385" t="str">
            <v>Welch Allyn Malaysia Sdn Bhd</v>
          </cell>
          <cell r="T1385" t="str">
            <v>Functioning</v>
          </cell>
          <cell r="U1385" t="str">
            <v>Asset</v>
          </cell>
          <cell r="V1385">
            <v>336</v>
          </cell>
          <cell r="W1385" t="str">
            <v>KEW</v>
          </cell>
          <cell r="X1385" t="str">
            <v>01/09/2010</v>
          </cell>
          <cell r="Y1385" t="str">
            <v>KEW</v>
          </cell>
          <cell r="Z1385" t="str">
            <v>16/08/2013</v>
          </cell>
          <cell r="AA1385" t="str">
            <v>15/08/2015</v>
          </cell>
          <cell r="AB1385" t="str">
            <v>No</v>
          </cell>
          <cell r="AC1385" t="str">
            <v>31/08/2013</v>
          </cell>
          <cell r="AD1385" t="str">
            <v>Good</v>
          </cell>
          <cell r="AE1385" t="str">
            <v>V1 - Existing / No Claim</v>
          </cell>
          <cell r="AF1385">
            <v>42235</v>
          </cell>
          <cell r="AG1385">
            <v>9.17</v>
          </cell>
          <cell r="AH1385" t="str">
            <v>PPM</v>
          </cell>
          <cell r="AI1385" t="str">
            <v>Strands</v>
          </cell>
          <cell r="AJ1385" t="str">
            <v>Strands PW</v>
          </cell>
        </row>
        <row r="1386">
          <cell r="A1386" t="str">
            <v>IKN401078</v>
          </cell>
          <cell r="B1386">
            <v>1076</v>
          </cell>
          <cell r="C1386" t="str">
            <v>Institut Kanser Negara</v>
          </cell>
          <cell r="D1386" t="str">
            <v>KKM/IKN/H/13/5129</v>
          </cell>
          <cell r="E1386" t="str">
            <v>12-282</v>
          </cell>
          <cell r="F1386" t="str">
            <v>Lights, Surgical</v>
          </cell>
          <cell r="G1386" t="str">
            <v>OT</v>
          </cell>
          <cell r="H1386" t="str">
            <v>OPERATING THEATRE</v>
          </cell>
          <cell r="I1386" t="str">
            <v>05OT123</v>
          </cell>
          <cell r="J1386" t="str">
            <v>0T 1</v>
          </cell>
          <cell r="K1386" t="str">
            <v>BMED</v>
          </cell>
          <cell r="L1386" t="str">
            <v>Critical</v>
          </cell>
          <cell r="M1386" t="str">
            <v>Germany</v>
          </cell>
          <cell r="N1386" t="str">
            <v>Trumpf</v>
          </cell>
          <cell r="O1386" t="str">
            <v>Trumpf iLED</v>
          </cell>
          <cell r="P1386" t="str">
            <v>101613546</v>
          </cell>
          <cell r="Q1386" t="str">
            <v>Not Applicable</v>
          </cell>
          <cell r="R1386" t="str">
            <v>Trumpf</v>
          </cell>
          <cell r="S1386" t="str">
            <v>MALAYSIAN HEALTHCARE SDN BHD</v>
          </cell>
          <cell r="T1386" t="str">
            <v>Functioning</v>
          </cell>
          <cell r="U1386" t="str">
            <v>Asset</v>
          </cell>
          <cell r="V1386">
            <v>153575</v>
          </cell>
          <cell r="W1386" t="str">
            <v>Estimate</v>
          </cell>
          <cell r="X1386" t="str">
            <v>01/09/2010</v>
          </cell>
          <cell r="Y1386" t="str">
            <v>KEW</v>
          </cell>
          <cell r="Z1386" t="str">
            <v>16/08/2013</v>
          </cell>
          <cell r="AA1386" t="str">
            <v>15/08/2015</v>
          </cell>
          <cell r="AB1386" t="str">
            <v>No</v>
          </cell>
          <cell r="AC1386" t="str">
            <v>31/08/2013</v>
          </cell>
          <cell r="AD1386" t="str">
            <v>Good</v>
          </cell>
          <cell r="AE1386" t="str">
            <v>V1 - Existing / No Claim</v>
          </cell>
          <cell r="AF1386">
            <v>42795</v>
          </cell>
          <cell r="AG1386">
            <v>9.17</v>
          </cell>
          <cell r="AH1386" t="str">
            <v>PPM</v>
          </cell>
          <cell r="AI1386" t="str">
            <v>Strands</v>
          </cell>
          <cell r="AJ1386" t="str">
            <v>Strands PW F</v>
          </cell>
          <cell r="AK1386" t="str">
            <v>[1/3/2024, SHARIFAH]: Fees sekali dengan KKM/IKN/H/13/5129 (RM240,575) - IKN401079, IKN401080</v>
          </cell>
        </row>
        <row r="1387">
          <cell r="A1387" t="str">
            <v>IKN401079</v>
          </cell>
          <cell r="B1387">
            <v>1077</v>
          </cell>
          <cell r="C1387" t="str">
            <v>Institut Kanser Negara</v>
          </cell>
          <cell r="D1387" t="e">
            <v>#N/A</v>
          </cell>
          <cell r="E1387" t="str">
            <v>12-282</v>
          </cell>
          <cell r="F1387" t="str">
            <v>Lights, Surgical</v>
          </cell>
          <cell r="G1387" t="str">
            <v>OT</v>
          </cell>
          <cell r="H1387" t="str">
            <v>OPERATING THEATRE</v>
          </cell>
          <cell r="I1387" t="str">
            <v>05OT123</v>
          </cell>
          <cell r="J1387" t="str">
            <v>0T 1</v>
          </cell>
          <cell r="K1387" t="str">
            <v>BMED</v>
          </cell>
          <cell r="L1387" t="str">
            <v>Critical</v>
          </cell>
          <cell r="M1387" t="str">
            <v>Germany</v>
          </cell>
          <cell r="N1387" t="str">
            <v>Trumpf</v>
          </cell>
          <cell r="O1387" t="str">
            <v>Trumpf iLED</v>
          </cell>
          <cell r="P1387" t="str">
            <v>101608451</v>
          </cell>
          <cell r="Q1387" t="str">
            <v>Not Applicable</v>
          </cell>
          <cell r="R1387" t="str">
            <v>Trumpf</v>
          </cell>
          <cell r="S1387" t="str">
            <v>MALAYSIAN HEALTHCARE SDN BHD</v>
          </cell>
          <cell r="T1387" t="str">
            <v>Functioning</v>
          </cell>
          <cell r="U1387" t="str">
            <v>Asset</v>
          </cell>
          <cell r="V1387">
            <v>80000</v>
          </cell>
          <cell r="W1387" t="str">
            <v>Estimate</v>
          </cell>
          <cell r="X1387" t="str">
            <v>01/09/2010</v>
          </cell>
          <cell r="Y1387" t="str">
            <v>KEW</v>
          </cell>
          <cell r="Z1387" t="str">
            <v>16/08/2013</v>
          </cell>
          <cell r="AA1387" t="str">
            <v>15/08/2015</v>
          </cell>
          <cell r="AB1387" t="str">
            <v>No</v>
          </cell>
          <cell r="AC1387" t="str">
            <v>31/08/2013</v>
          </cell>
          <cell r="AD1387" t="str">
            <v>Good</v>
          </cell>
          <cell r="AE1387" t="str">
            <v>V1 - Existing / No Claim</v>
          </cell>
          <cell r="AF1387">
            <v>42795</v>
          </cell>
          <cell r="AG1387">
            <v>9.17</v>
          </cell>
          <cell r="AH1387" t="str">
            <v>PPM</v>
          </cell>
          <cell r="AI1387" t="str">
            <v>Strands-accessories</v>
          </cell>
          <cell r="AJ1387" t="str">
            <v>Strands PW F</v>
          </cell>
          <cell r="AK1387" t="str">
            <v>CUBA CHECK KEWPA. [1/3/2024, SHARIFAH]: Fees sekali dengan KKM/IKN/H/13/5129 (RM240,575) - IKN401078, IKN401080</v>
          </cell>
        </row>
        <row r="1388">
          <cell r="A1388" t="str">
            <v>IKN401080</v>
          </cell>
          <cell r="B1388">
            <v>1078</v>
          </cell>
          <cell r="C1388" t="str">
            <v>Institut Kanser Negara</v>
          </cell>
          <cell r="D1388" t="str">
            <v>KKM/IKN/H/13/5129</v>
          </cell>
          <cell r="E1388" t="str">
            <v>16-603</v>
          </cell>
          <cell r="F1388" t="str">
            <v>Television Monitors</v>
          </cell>
          <cell r="G1388" t="str">
            <v>OT</v>
          </cell>
          <cell r="H1388" t="str">
            <v>OPERATING THEATRE</v>
          </cell>
          <cell r="I1388" t="str">
            <v>05OT120</v>
          </cell>
          <cell r="J1388" t="str">
            <v>OT 2</v>
          </cell>
          <cell r="K1388" t="str">
            <v>BMED</v>
          </cell>
          <cell r="L1388" t="str">
            <v>Normal</v>
          </cell>
          <cell r="M1388" t="str">
            <v>Japan</v>
          </cell>
          <cell r="N1388" t="str">
            <v>Sony</v>
          </cell>
          <cell r="O1388" t="str">
            <v>Sony LMD-2110MD</v>
          </cell>
          <cell r="P1388" t="str">
            <v>3100846</v>
          </cell>
          <cell r="Q1388" t="str">
            <v>Not Applicable</v>
          </cell>
          <cell r="R1388" t="str">
            <v>Sony Corp</v>
          </cell>
          <cell r="S1388" t="str">
            <v>MALAYSIAN HEALTHCARE SDN BHD</v>
          </cell>
          <cell r="T1388" t="str">
            <v>Functioning</v>
          </cell>
          <cell r="U1388" t="str">
            <v>Asset</v>
          </cell>
          <cell r="V1388">
            <v>7000</v>
          </cell>
          <cell r="W1388" t="str">
            <v>KEW</v>
          </cell>
          <cell r="X1388" t="str">
            <v>01/09/2010</v>
          </cell>
          <cell r="Y1388" t="str">
            <v>KEW</v>
          </cell>
          <cell r="Z1388" t="str">
            <v>16/08/2013</v>
          </cell>
          <cell r="AA1388" t="str">
            <v>15/08/2015</v>
          </cell>
          <cell r="AB1388" t="str">
            <v>No</v>
          </cell>
          <cell r="AC1388" t="str">
            <v>31/08/2013</v>
          </cell>
          <cell r="AD1388" t="str">
            <v>Good</v>
          </cell>
          <cell r="AE1388" t="str">
            <v>V1 - Existing / No Claim</v>
          </cell>
          <cell r="AF1388">
            <v>42622</v>
          </cell>
          <cell r="AG1388">
            <v>9.17</v>
          </cell>
          <cell r="AH1388" t="str">
            <v>RI</v>
          </cell>
          <cell r="AI1388" t="str">
            <v>package</v>
          </cell>
          <cell r="AJ1388" t="str">
            <v>Strands PW F</v>
          </cell>
          <cell r="AK1388" t="str">
            <v>[1/3/2024, SHARIFAH]: Fees sekali dengan KKM/IKN/H/13/5129 (RM240,575) - IKN401079, IKN401078</v>
          </cell>
        </row>
        <row r="1389">
          <cell r="A1389" t="str">
            <v>IKN401081</v>
          </cell>
          <cell r="B1389">
            <v>1079</v>
          </cell>
          <cell r="C1389" t="str">
            <v>Institut Kanser Negara</v>
          </cell>
          <cell r="D1389" t="str">
            <v>KKM/IKN/H/13/5130</v>
          </cell>
          <cell r="E1389" t="str">
            <v>12-282</v>
          </cell>
          <cell r="F1389" t="str">
            <v>Lights, Surgical</v>
          </cell>
          <cell r="G1389" t="str">
            <v>OT</v>
          </cell>
          <cell r="H1389" t="str">
            <v>OPERATING THEATRE</v>
          </cell>
          <cell r="I1389" t="str">
            <v>05OT120</v>
          </cell>
          <cell r="J1389" t="str">
            <v>OT 2</v>
          </cell>
          <cell r="K1389" t="str">
            <v>BMED</v>
          </cell>
          <cell r="L1389" t="str">
            <v>Critical</v>
          </cell>
          <cell r="M1389" t="str">
            <v>Germany</v>
          </cell>
          <cell r="N1389" t="str">
            <v>Trumpf</v>
          </cell>
          <cell r="O1389" t="str">
            <v>Trumpf iLED</v>
          </cell>
          <cell r="P1389" t="str">
            <v>101612594</v>
          </cell>
          <cell r="Q1389" t="str">
            <v>Not Applicable</v>
          </cell>
          <cell r="R1389" t="str">
            <v>Trumpf</v>
          </cell>
          <cell r="S1389" t="str">
            <v>MALAYSIAN HEALTHCARE SDN BHD</v>
          </cell>
          <cell r="T1389" t="str">
            <v>Functioning</v>
          </cell>
          <cell r="U1389" t="str">
            <v>Asset</v>
          </cell>
          <cell r="V1389">
            <v>153575</v>
          </cell>
          <cell r="W1389" t="str">
            <v>Estimate</v>
          </cell>
          <cell r="X1389" t="str">
            <v>01/09/2010</v>
          </cell>
          <cell r="Y1389" t="str">
            <v>KEW</v>
          </cell>
          <cell r="Z1389" t="str">
            <v>16/08/2013</v>
          </cell>
          <cell r="AA1389" t="str">
            <v>15/08/2015</v>
          </cell>
          <cell r="AB1389" t="str">
            <v>No</v>
          </cell>
          <cell r="AC1389" t="str">
            <v>31/08/2013</v>
          </cell>
          <cell r="AD1389" t="str">
            <v>Good</v>
          </cell>
          <cell r="AE1389" t="str">
            <v>V1 - Existing / No Claim</v>
          </cell>
          <cell r="AF1389">
            <v>42795</v>
          </cell>
          <cell r="AG1389">
            <v>9.17</v>
          </cell>
          <cell r="AH1389" t="str">
            <v>PPM</v>
          </cell>
          <cell r="AI1389" t="str">
            <v>Strands</v>
          </cell>
          <cell r="AJ1389" t="str">
            <v>Strands PW F</v>
          </cell>
          <cell r="AK1389" t="str">
            <v>[1/3/2024, SHARIFAH]: Fees sekali dengan KKM/IKN/H/13/5130 (RM240,575) - IKN401082, IKN401083</v>
          </cell>
        </row>
        <row r="1390">
          <cell r="A1390" t="str">
            <v>IKN401082</v>
          </cell>
          <cell r="B1390">
            <v>1080</v>
          </cell>
          <cell r="C1390" t="str">
            <v>Institut Kanser Negara</v>
          </cell>
          <cell r="D1390" t="e">
            <v>#N/A</v>
          </cell>
          <cell r="E1390" t="str">
            <v>12-282</v>
          </cell>
          <cell r="F1390" t="str">
            <v>Lights, Surgical</v>
          </cell>
          <cell r="G1390" t="str">
            <v>OT</v>
          </cell>
          <cell r="H1390" t="str">
            <v>OPERATING THEATRE</v>
          </cell>
          <cell r="I1390" t="str">
            <v>05OT120</v>
          </cell>
          <cell r="J1390" t="str">
            <v>OT 2</v>
          </cell>
          <cell r="K1390" t="str">
            <v>BMED</v>
          </cell>
          <cell r="L1390" t="str">
            <v>Critical</v>
          </cell>
          <cell r="M1390" t="str">
            <v>Germany</v>
          </cell>
          <cell r="N1390" t="str">
            <v>Trumpf</v>
          </cell>
          <cell r="O1390" t="str">
            <v>Trumpf iLED</v>
          </cell>
          <cell r="P1390" t="str">
            <v>101611222</v>
          </cell>
          <cell r="Q1390" t="str">
            <v>Not Applicable</v>
          </cell>
          <cell r="R1390" t="str">
            <v>Trumpf</v>
          </cell>
          <cell r="S1390" t="str">
            <v>MALAYSIAN HEALTHCARE SDN BHD</v>
          </cell>
          <cell r="T1390" t="str">
            <v>Functioning</v>
          </cell>
          <cell r="U1390" t="str">
            <v>Asset</v>
          </cell>
          <cell r="V1390">
            <v>80000</v>
          </cell>
          <cell r="W1390" t="str">
            <v>KEW</v>
          </cell>
          <cell r="X1390" t="str">
            <v>01/09/2010</v>
          </cell>
          <cell r="Y1390" t="str">
            <v>KEW</v>
          </cell>
          <cell r="Z1390" t="str">
            <v>16/08/2013</v>
          </cell>
          <cell r="AA1390" t="str">
            <v>15/08/2015</v>
          </cell>
          <cell r="AB1390" t="str">
            <v>No</v>
          </cell>
          <cell r="AC1390" t="str">
            <v>31/08/2013</v>
          </cell>
          <cell r="AD1390" t="str">
            <v>Good</v>
          </cell>
          <cell r="AE1390" t="str">
            <v>V1 - Existing / No Claim</v>
          </cell>
          <cell r="AF1390">
            <v>42795</v>
          </cell>
          <cell r="AG1390">
            <v>9.17</v>
          </cell>
          <cell r="AH1390" t="str">
            <v>PPM</v>
          </cell>
          <cell r="AI1390" t="str">
            <v>Strands-accessories</v>
          </cell>
          <cell r="AJ1390" t="str">
            <v>Strands PW F</v>
          </cell>
          <cell r="AK1390" t="str">
            <v>CUBA CHECK KEWPA [1/3/2024, SHARIFAH]: Fees sekali dengan KKM/IKN/H/13/5130 (RM240,575) - IKN401081, IKN401083</v>
          </cell>
        </row>
        <row r="1391">
          <cell r="A1391" t="str">
            <v>IKN401083</v>
          </cell>
          <cell r="B1391">
            <v>1081</v>
          </cell>
          <cell r="C1391" t="str">
            <v>Institut Kanser Negara</v>
          </cell>
          <cell r="D1391" t="str">
            <v>KKM/IKN/H/13/5130</v>
          </cell>
          <cell r="E1391" t="str">
            <v>16-603</v>
          </cell>
          <cell r="F1391" t="str">
            <v>Television Monitors</v>
          </cell>
          <cell r="G1391" t="str">
            <v>OT</v>
          </cell>
          <cell r="H1391" t="str">
            <v>OPERATING THEATRE</v>
          </cell>
          <cell r="I1391" t="str">
            <v>05OT123</v>
          </cell>
          <cell r="J1391" t="str">
            <v>0T 1</v>
          </cell>
          <cell r="K1391" t="str">
            <v>BMED</v>
          </cell>
          <cell r="L1391" t="str">
            <v>Normal</v>
          </cell>
          <cell r="M1391" t="str">
            <v>Japan</v>
          </cell>
          <cell r="N1391" t="str">
            <v>Sony</v>
          </cell>
          <cell r="O1391" t="str">
            <v>Sony LMD-2110MD</v>
          </cell>
          <cell r="P1391" t="str">
            <v>3100832</v>
          </cell>
          <cell r="Q1391" t="str">
            <v>Not Applicable</v>
          </cell>
          <cell r="R1391" t="str">
            <v>Sony Corp</v>
          </cell>
          <cell r="S1391" t="str">
            <v>MALAYSIAN HEALTHCARE SDN BHD</v>
          </cell>
          <cell r="T1391" t="str">
            <v>Functioning</v>
          </cell>
          <cell r="U1391" t="str">
            <v>Asset</v>
          </cell>
          <cell r="V1391">
            <v>7000</v>
          </cell>
          <cell r="W1391" t="str">
            <v>Estimate</v>
          </cell>
          <cell r="X1391" t="str">
            <v>01/09/2010</v>
          </cell>
          <cell r="Y1391" t="str">
            <v>KEW</v>
          </cell>
          <cell r="Z1391" t="str">
            <v>16/08/2013</v>
          </cell>
          <cell r="AA1391" t="str">
            <v>15/08/2015</v>
          </cell>
          <cell r="AB1391" t="str">
            <v>No</v>
          </cell>
          <cell r="AC1391" t="str">
            <v>31/08/2013</v>
          </cell>
          <cell r="AD1391" t="str">
            <v>Good</v>
          </cell>
          <cell r="AE1391" t="str">
            <v>V1 - Existing / No Claim</v>
          </cell>
          <cell r="AF1391">
            <v>42622</v>
          </cell>
          <cell r="AG1391">
            <v>9.17</v>
          </cell>
          <cell r="AH1391" t="str">
            <v>RI</v>
          </cell>
          <cell r="AI1391" t="str">
            <v>Strands-accessories</v>
          </cell>
          <cell r="AJ1391" t="str">
            <v>Strands PW F</v>
          </cell>
          <cell r="AK1391" t="str">
            <v>[1/3/2024, SHARIFAH]: Fees sekali dengan KKM/IKN/H/13/5130 (RM240,575) - IKN401082, IKN401081</v>
          </cell>
        </row>
        <row r="1392">
          <cell r="A1392" t="str">
            <v>IKN401084</v>
          </cell>
          <cell r="B1392">
            <v>1082</v>
          </cell>
          <cell r="C1392" t="str">
            <v>Institut Kanser Negara</v>
          </cell>
          <cell r="D1392" t="str">
            <v>KKM/IKN/H/13/4548</v>
          </cell>
          <cell r="E1392" t="str">
            <v>10-208</v>
          </cell>
          <cell r="F1392" t="str">
            <v>Aspirators</v>
          </cell>
          <cell r="G1392" t="str">
            <v>AE</v>
          </cell>
          <cell r="H1392" t="str">
            <v>EMERGENCY UNIT</v>
          </cell>
          <cell r="I1392" t="str">
            <v>01AE108</v>
          </cell>
          <cell r="J1392" t="str">
            <v>TRIAGE</v>
          </cell>
          <cell r="K1392" t="str">
            <v>BMED</v>
          </cell>
          <cell r="L1392" t="str">
            <v>Critical</v>
          </cell>
          <cell r="M1392" t="str">
            <v>Italy</v>
          </cell>
          <cell r="N1392" t="str">
            <v>Boscarol</v>
          </cell>
          <cell r="O1392" t="str">
            <v>Boscarol OB2012</v>
          </cell>
          <cell r="P1392" t="str">
            <v>1101311488</v>
          </cell>
          <cell r="Q1392" t="str">
            <v>Not Applicable</v>
          </cell>
          <cell r="R1392" t="str">
            <v>Bascarol</v>
          </cell>
          <cell r="S1392" t="str">
            <v>Continental Top Products &amp; Engineering S</v>
          </cell>
          <cell r="T1392" t="str">
            <v>Functioning</v>
          </cell>
          <cell r="U1392" t="str">
            <v>Asset</v>
          </cell>
          <cell r="V1392">
            <v>3000</v>
          </cell>
          <cell r="W1392" t="str">
            <v>KEW</v>
          </cell>
          <cell r="X1392" t="str">
            <v>23/12/2013</v>
          </cell>
          <cell r="Y1392" t="str">
            <v>KEW</v>
          </cell>
          <cell r="Z1392" t="str">
            <v>23/12/2013</v>
          </cell>
          <cell r="AA1392" t="str">
            <v>22/12/2015</v>
          </cell>
          <cell r="AB1392" t="str">
            <v>No</v>
          </cell>
          <cell r="AC1392" t="str">
            <v>23/12/2013</v>
          </cell>
          <cell r="AD1392" t="str">
            <v>Good</v>
          </cell>
          <cell r="AE1392" t="str">
            <v>V3 - Added Installed Facilities (New)</v>
          </cell>
          <cell r="AF1392">
            <v>42800</v>
          </cell>
          <cell r="AG1392">
            <v>5.92</v>
          </cell>
          <cell r="AH1392" t="str">
            <v>PPM</v>
          </cell>
          <cell r="AI1392" t="str">
            <v>Strands</v>
          </cell>
          <cell r="AJ1392" t="str">
            <v>Strands PW</v>
          </cell>
          <cell r="AK1392" t="str">
            <v>SNF received. 1st batch of V3 asset (December 2020)</v>
          </cell>
        </row>
        <row r="1393">
          <cell r="A1393" t="str">
            <v>IKN401085</v>
          </cell>
          <cell r="B1393">
            <v>1083</v>
          </cell>
          <cell r="C1393" t="str">
            <v>Institut Kanser Negara</v>
          </cell>
          <cell r="D1393" t="str">
            <v>KKM/IKN/H/13/4546</v>
          </cell>
          <cell r="E1393" t="str">
            <v>12-647</v>
          </cell>
          <cell r="F1393" t="str">
            <v>Physiologic Monitoring Systems, Acute Care</v>
          </cell>
          <cell r="G1393" t="str">
            <v>AE</v>
          </cell>
          <cell r="H1393" t="str">
            <v>EMERGENCY UNIT</v>
          </cell>
          <cell r="I1393" t="str">
            <v>01AE108</v>
          </cell>
          <cell r="J1393" t="str">
            <v>TRIAGE</v>
          </cell>
          <cell r="K1393" t="str">
            <v>BMED</v>
          </cell>
          <cell r="L1393" t="str">
            <v>Critical</v>
          </cell>
          <cell r="M1393" t="str">
            <v>USA</v>
          </cell>
          <cell r="N1393" t="str">
            <v>Propaq</v>
          </cell>
          <cell r="O1393" t="str">
            <v>Propaq CS 242</v>
          </cell>
          <cell r="P1393" t="str">
            <v>GA117266</v>
          </cell>
          <cell r="Q1393" t="str">
            <v>Not Applicable</v>
          </cell>
          <cell r="R1393" t="str">
            <v>Welch Allyn Inc</v>
          </cell>
          <cell r="S1393" t="str">
            <v>Continental Top Products &amp; Engineering S</v>
          </cell>
          <cell r="T1393" t="str">
            <v>Functioning</v>
          </cell>
          <cell r="U1393" t="str">
            <v>Asset</v>
          </cell>
          <cell r="V1393">
            <v>22000</v>
          </cell>
          <cell r="W1393" t="str">
            <v>KEW</v>
          </cell>
          <cell r="X1393" t="str">
            <v>23/12/2013</v>
          </cell>
          <cell r="Y1393" t="str">
            <v>KEW</v>
          </cell>
          <cell r="Z1393" t="str">
            <v>23/12/2013</v>
          </cell>
          <cell r="AA1393" t="str">
            <v>22/12/2015</v>
          </cell>
          <cell r="AB1393" t="str">
            <v>No</v>
          </cell>
          <cell r="AC1393" t="str">
            <v>23/12/2013</v>
          </cell>
          <cell r="AD1393" t="str">
            <v>Good</v>
          </cell>
          <cell r="AE1393" t="str">
            <v>V3 - Added Installed Facilities (New)</v>
          </cell>
          <cell r="AF1393">
            <v>42800</v>
          </cell>
          <cell r="AG1393">
            <v>5.92</v>
          </cell>
          <cell r="AH1393" t="str">
            <v>PPM</v>
          </cell>
          <cell r="AI1393" t="str">
            <v>Strands</v>
          </cell>
          <cell r="AJ1393" t="str">
            <v>Strands PW</v>
          </cell>
          <cell r="AK1393" t="str">
            <v>SNF received. 1st batch of V3 asset (December 2020). [18/9/2023, SHARIFAH]: PEP ON 17/4/2023, BER/BEMS/IKN/23/009 - Asset masih berfungsi namun tidak dapat dibaiki sekiranya berlaku kerosakan pada komponen utama.</v>
          </cell>
        </row>
        <row r="1394">
          <cell r="A1394" t="str">
            <v>IKN401086</v>
          </cell>
          <cell r="B1394">
            <v>1084</v>
          </cell>
          <cell r="C1394" t="str">
            <v>Institut Kanser Negara</v>
          </cell>
          <cell r="D1394" t="str">
            <v>KKM/IKN/H/13/4549</v>
          </cell>
          <cell r="E1394" t="str">
            <v>10-208</v>
          </cell>
          <cell r="F1394" t="str">
            <v>Aspirators</v>
          </cell>
          <cell r="G1394" t="str">
            <v>AE</v>
          </cell>
          <cell r="H1394" t="str">
            <v>EMERGENCY UNIT</v>
          </cell>
          <cell r="I1394" t="str">
            <v>01AE108</v>
          </cell>
          <cell r="J1394" t="str">
            <v>TRIAGE</v>
          </cell>
          <cell r="K1394" t="str">
            <v>BMED</v>
          </cell>
          <cell r="L1394" t="str">
            <v>Critical</v>
          </cell>
          <cell r="M1394" t="str">
            <v>Italy</v>
          </cell>
          <cell r="N1394" t="str">
            <v>Boscarol</v>
          </cell>
          <cell r="O1394" t="str">
            <v>Boscarol OB2012</v>
          </cell>
          <cell r="P1394" t="str">
            <v>1101311473</v>
          </cell>
          <cell r="Q1394" t="str">
            <v>Not Applicable</v>
          </cell>
          <cell r="R1394" t="str">
            <v>Bascarol</v>
          </cell>
          <cell r="S1394" t="str">
            <v>Continental Top Products &amp; Engineering S</v>
          </cell>
          <cell r="T1394" t="str">
            <v>Functioning</v>
          </cell>
          <cell r="U1394" t="str">
            <v>Asset</v>
          </cell>
          <cell r="V1394">
            <v>3000</v>
          </cell>
          <cell r="W1394" t="str">
            <v>KEW</v>
          </cell>
          <cell r="X1394" t="str">
            <v>23/12/2013</v>
          </cell>
          <cell r="Y1394" t="str">
            <v>KEW</v>
          </cell>
          <cell r="Z1394" t="str">
            <v>23/12/2013</v>
          </cell>
          <cell r="AA1394" t="str">
            <v>22/12/2015</v>
          </cell>
          <cell r="AB1394" t="str">
            <v>No</v>
          </cell>
          <cell r="AC1394" t="str">
            <v>23/12/2013</v>
          </cell>
          <cell r="AD1394" t="str">
            <v>Good</v>
          </cell>
          <cell r="AE1394" t="str">
            <v>V3 - Added Installed Facilities (New)</v>
          </cell>
          <cell r="AF1394">
            <v>42800</v>
          </cell>
          <cell r="AG1394">
            <v>5.92</v>
          </cell>
          <cell r="AH1394" t="str">
            <v>PPM</v>
          </cell>
          <cell r="AI1394" t="str">
            <v>Strands</v>
          </cell>
          <cell r="AJ1394" t="str">
            <v>Strands PW</v>
          </cell>
          <cell r="AK1394" t="str">
            <v>SNF received. 1st batch of V3 asset (December 2020)</v>
          </cell>
        </row>
        <row r="1395">
          <cell r="A1395" t="str">
            <v>IKN401088</v>
          </cell>
          <cell r="B1395">
            <v>1086</v>
          </cell>
          <cell r="C1395" t="str">
            <v>Institut Kanser Negara</v>
          </cell>
          <cell r="D1395" t="str">
            <v>KKM/IKN/H/13/4547</v>
          </cell>
          <cell r="E1395" t="str">
            <v>10-208</v>
          </cell>
          <cell r="F1395" t="str">
            <v>Aspirators</v>
          </cell>
          <cell r="G1395" t="str">
            <v>AE</v>
          </cell>
          <cell r="H1395" t="str">
            <v>EMERGENCY UNIT</v>
          </cell>
          <cell r="I1395" t="str">
            <v>01AE108</v>
          </cell>
          <cell r="J1395" t="str">
            <v>TRIAGE</v>
          </cell>
          <cell r="K1395" t="str">
            <v>BMED</v>
          </cell>
          <cell r="L1395" t="str">
            <v>Critical</v>
          </cell>
          <cell r="M1395" t="str">
            <v>Italy</v>
          </cell>
          <cell r="N1395" t="str">
            <v>Boscarol</v>
          </cell>
          <cell r="O1395" t="str">
            <v>Boscarol OB2012</v>
          </cell>
          <cell r="P1395" t="str">
            <v>1101311498</v>
          </cell>
          <cell r="Q1395" t="str">
            <v>Not Applicable</v>
          </cell>
          <cell r="R1395" t="str">
            <v>Bascarol</v>
          </cell>
          <cell r="S1395" t="str">
            <v>Continental Top Products &amp; Engineering S</v>
          </cell>
          <cell r="T1395" t="str">
            <v>Functioning</v>
          </cell>
          <cell r="U1395" t="str">
            <v>Asset</v>
          </cell>
          <cell r="V1395">
            <v>3000</v>
          </cell>
          <cell r="W1395" t="str">
            <v>KEW</v>
          </cell>
          <cell r="X1395" t="str">
            <v>23/12/2013</v>
          </cell>
          <cell r="Y1395" t="str">
            <v>KEW</v>
          </cell>
          <cell r="Z1395" t="str">
            <v>23/12/2013</v>
          </cell>
          <cell r="AA1395" t="str">
            <v>22/12/2015</v>
          </cell>
          <cell r="AB1395" t="str">
            <v>No</v>
          </cell>
          <cell r="AC1395" t="str">
            <v>23/12/2013</v>
          </cell>
          <cell r="AD1395" t="str">
            <v>Good</v>
          </cell>
          <cell r="AE1395" t="str">
            <v>V3 - Added Installed Facilities (New)</v>
          </cell>
          <cell r="AF1395">
            <v>42800</v>
          </cell>
          <cell r="AG1395">
            <v>5.92</v>
          </cell>
          <cell r="AH1395" t="str">
            <v>PPM</v>
          </cell>
          <cell r="AI1395" t="str">
            <v>Strands</v>
          </cell>
          <cell r="AJ1395" t="str">
            <v>Strands PW</v>
          </cell>
          <cell r="AK1395" t="str">
            <v>SNF received. 1st batch of V3 asset (December 2020)</v>
          </cell>
        </row>
        <row r="1396">
          <cell r="A1396" t="str">
            <v>IKN401089</v>
          </cell>
          <cell r="B1396">
            <v>1087</v>
          </cell>
          <cell r="C1396" t="str">
            <v>Institut Kanser Negara</v>
          </cell>
          <cell r="D1396" t="str">
            <v>KKM/IKN/H/13/4544</v>
          </cell>
          <cell r="E1396" t="str">
            <v>12-647</v>
          </cell>
          <cell r="F1396" t="str">
            <v>Physiologic Monitoring Systems, Acute Care</v>
          </cell>
          <cell r="G1396" t="str">
            <v>AE</v>
          </cell>
          <cell r="H1396" t="str">
            <v>EMERGENCY UNIT</v>
          </cell>
          <cell r="I1396" t="str">
            <v>01AE108</v>
          </cell>
          <cell r="J1396" t="str">
            <v>TRIAGE</v>
          </cell>
          <cell r="K1396" t="str">
            <v>BMED</v>
          </cell>
          <cell r="L1396" t="str">
            <v>Critical</v>
          </cell>
          <cell r="M1396" t="str">
            <v>USA</v>
          </cell>
          <cell r="N1396" t="str">
            <v>Propaq</v>
          </cell>
          <cell r="O1396" t="str">
            <v>Propaq CS 242</v>
          </cell>
          <cell r="P1396" t="str">
            <v>GA117262</v>
          </cell>
          <cell r="Q1396" t="str">
            <v>Not Applicable</v>
          </cell>
          <cell r="R1396" t="str">
            <v>Welch Allyn Inc</v>
          </cell>
          <cell r="S1396" t="str">
            <v>Continental Top Products &amp; Engineering S</v>
          </cell>
          <cell r="T1396" t="str">
            <v>Functioning</v>
          </cell>
          <cell r="U1396" t="str">
            <v>Asset</v>
          </cell>
          <cell r="V1396">
            <v>22000</v>
          </cell>
          <cell r="W1396" t="str">
            <v>KEW</v>
          </cell>
          <cell r="X1396" t="str">
            <v>23/12/2013</v>
          </cell>
          <cell r="Y1396" t="str">
            <v>KEW</v>
          </cell>
          <cell r="Z1396" t="str">
            <v>23/12/2013</v>
          </cell>
          <cell r="AA1396" t="str">
            <v>22/12/2015</v>
          </cell>
          <cell r="AB1396" t="str">
            <v>No</v>
          </cell>
          <cell r="AC1396" t="str">
            <v>23/12/2013</v>
          </cell>
          <cell r="AD1396" t="str">
            <v>Good</v>
          </cell>
          <cell r="AE1396" t="str">
            <v>V3 - Added Installed Facilities (New)</v>
          </cell>
          <cell r="AF1396">
            <v>42800</v>
          </cell>
          <cell r="AG1396">
            <v>5.92</v>
          </cell>
          <cell r="AH1396" t="str">
            <v>PPM</v>
          </cell>
          <cell r="AI1396" t="str">
            <v>Strands</v>
          </cell>
          <cell r="AJ1396" t="str">
            <v>Strands PW</v>
          </cell>
          <cell r="AK1396" t="str">
            <v>SNF received. 1st batch of V3 asset (December 2020). [18/9/2023, SHARIFAH]: PEP ON 17/4/2023, BER/BEMS/IKN/23/011 - Asset mengalami kerosakan pada SPO2 Module, tetapi masih boleh digunakan namun tidak dapat dibaiki sekiranya berlaku kerosakan pada komponen utama.</v>
          </cell>
        </row>
        <row r="1397">
          <cell r="A1397" t="str">
            <v>IKN401091</v>
          </cell>
          <cell r="B1397">
            <v>1089</v>
          </cell>
          <cell r="C1397" t="str">
            <v>Institut Kanser Negara</v>
          </cell>
          <cell r="D1397" t="str">
            <v>KKM/IKN/H/13/3927</v>
          </cell>
          <cell r="E1397" t="str">
            <v>12-282</v>
          </cell>
          <cell r="F1397" t="str">
            <v>Lights, Surgical</v>
          </cell>
          <cell r="G1397" t="str">
            <v>NM</v>
          </cell>
          <cell r="H1397" t="str">
            <v>NUCLEAR MED (DIAGNOSTIC)</v>
          </cell>
          <cell r="I1397" t="str">
            <v>03NM108</v>
          </cell>
          <cell r="J1397" t="str">
            <v>TREATMENT 1 (RAI)(VE)</v>
          </cell>
          <cell r="K1397" t="str">
            <v>BMED</v>
          </cell>
          <cell r="L1397" t="str">
            <v>Normal</v>
          </cell>
          <cell r="M1397" t="str">
            <v>USA</v>
          </cell>
          <cell r="N1397" t="str">
            <v>Welch Allyn</v>
          </cell>
          <cell r="O1397" t="str">
            <v>Welch Allyn GS900</v>
          </cell>
          <cell r="P1397" t="str">
            <v>10043011102370</v>
          </cell>
          <cell r="Q1397" t="str">
            <v>Not Applicable</v>
          </cell>
          <cell r="R1397" t="str">
            <v>Welch Allyn Inc</v>
          </cell>
          <cell r="S1397" t="str">
            <v>Welch Allyn Malaysia Sdn Bhd</v>
          </cell>
          <cell r="T1397" t="str">
            <v>Functioning</v>
          </cell>
          <cell r="U1397" t="str">
            <v>Asset</v>
          </cell>
          <cell r="V1397">
            <v>10585</v>
          </cell>
          <cell r="W1397" t="str">
            <v>KEW</v>
          </cell>
          <cell r="X1397" t="str">
            <v>01/09/2010</v>
          </cell>
          <cell r="Y1397" t="str">
            <v>KEW</v>
          </cell>
          <cell r="Z1397" t="str">
            <v>16/08/2013</v>
          </cell>
          <cell r="AA1397" t="str">
            <v>15/08/2015</v>
          </cell>
          <cell r="AB1397" t="str">
            <v>No</v>
          </cell>
          <cell r="AC1397" t="str">
            <v>31/08/2013</v>
          </cell>
          <cell r="AD1397" t="str">
            <v>Good</v>
          </cell>
          <cell r="AE1397" t="str">
            <v>V1 - Existing / No Claim</v>
          </cell>
          <cell r="AF1397">
            <v>42235</v>
          </cell>
          <cell r="AG1397">
            <v>9.17</v>
          </cell>
          <cell r="AH1397" t="str">
            <v>PPM</v>
          </cell>
          <cell r="AI1397" t="str">
            <v>Strands</v>
          </cell>
          <cell r="AJ1397" t="str">
            <v>Strands PW</v>
          </cell>
        </row>
        <row r="1398">
          <cell r="A1398" t="str">
            <v>IKN401092</v>
          </cell>
          <cell r="B1398">
            <v>1090</v>
          </cell>
          <cell r="C1398" t="str">
            <v>Institut Kanser Negara</v>
          </cell>
          <cell r="D1398" t="str">
            <v>KKM/IKN/H/13/3928</v>
          </cell>
          <cell r="E1398" t="str">
            <v>12-282</v>
          </cell>
          <cell r="F1398" t="str">
            <v>Lights, Surgical</v>
          </cell>
          <cell r="G1398" t="str">
            <v>NM</v>
          </cell>
          <cell r="H1398" t="str">
            <v>NUCLEAR MED (DIAGNOSTIC)</v>
          </cell>
          <cell r="I1398" t="str">
            <v>03NM109</v>
          </cell>
          <cell r="J1398" t="str">
            <v>TREATMENT 2 (RAS) (-VE)</v>
          </cell>
          <cell r="K1398" t="str">
            <v>BMED</v>
          </cell>
          <cell r="L1398" t="str">
            <v>Normal</v>
          </cell>
          <cell r="M1398" t="str">
            <v>USA</v>
          </cell>
          <cell r="N1398" t="str">
            <v>Welch Allyn</v>
          </cell>
          <cell r="O1398" t="str">
            <v>Welch Allyn GS900</v>
          </cell>
          <cell r="P1398" t="str">
            <v>10032911105645</v>
          </cell>
          <cell r="Q1398" t="str">
            <v>Not Applicable</v>
          </cell>
          <cell r="R1398" t="str">
            <v>Welch Allyn Inc</v>
          </cell>
          <cell r="S1398" t="str">
            <v>Welch Allyn Malaysia Sdn Bhd</v>
          </cell>
          <cell r="T1398" t="str">
            <v>Functioning</v>
          </cell>
          <cell r="U1398" t="str">
            <v>Asset</v>
          </cell>
          <cell r="V1398">
            <v>10585</v>
          </cell>
          <cell r="W1398" t="str">
            <v>KEW</v>
          </cell>
          <cell r="X1398" t="str">
            <v>01/09/2010</v>
          </cell>
          <cell r="Y1398" t="str">
            <v>KEW</v>
          </cell>
          <cell r="Z1398" t="str">
            <v>16/08/2013</v>
          </cell>
          <cell r="AA1398" t="str">
            <v>15/08/2015</v>
          </cell>
          <cell r="AB1398" t="str">
            <v>No</v>
          </cell>
          <cell r="AC1398" t="str">
            <v>31/08/2013</v>
          </cell>
          <cell r="AD1398" t="str">
            <v>Good</v>
          </cell>
          <cell r="AE1398" t="str">
            <v>V1 - Existing / No Claim</v>
          </cell>
          <cell r="AF1398">
            <v>42235</v>
          </cell>
          <cell r="AG1398">
            <v>9.17</v>
          </cell>
          <cell r="AH1398" t="str">
            <v>PPM</v>
          </cell>
          <cell r="AI1398" t="str">
            <v>Strands</v>
          </cell>
          <cell r="AJ1398" t="str">
            <v>Strands PW</v>
          </cell>
        </row>
        <row r="1399">
          <cell r="A1399" t="str">
            <v>IKN401093</v>
          </cell>
          <cell r="B1399">
            <v>1091</v>
          </cell>
          <cell r="C1399" t="str">
            <v>Institut Kanser Negara</v>
          </cell>
          <cell r="D1399" t="str">
            <v>KKM/IKN/H/13/2854</v>
          </cell>
          <cell r="E1399" t="str">
            <v>12-282</v>
          </cell>
          <cell r="F1399" t="str">
            <v>Lights, Surgical</v>
          </cell>
          <cell r="G1399" t="str">
            <v>WA</v>
          </cell>
          <cell r="H1399" t="str">
            <v>NUCLEAR MED WARD (THERAPY)</v>
          </cell>
          <cell r="I1399" t="str">
            <v>03WA116</v>
          </cell>
          <cell r="J1399" t="str">
            <v>TREATMENT</v>
          </cell>
          <cell r="K1399" t="str">
            <v>BMED</v>
          </cell>
          <cell r="L1399" t="str">
            <v>Critical</v>
          </cell>
          <cell r="M1399" t="str">
            <v>USA</v>
          </cell>
          <cell r="N1399" t="str">
            <v>Welch Allyn</v>
          </cell>
          <cell r="O1399" t="str">
            <v>Welch Allyn GS900</v>
          </cell>
          <cell r="P1399" t="str">
            <v>10043811102570</v>
          </cell>
          <cell r="Q1399" t="str">
            <v>Not Applicable</v>
          </cell>
          <cell r="R1399" t="str">
            <v>Welch Allyn Inc</v>
          </cell>
          <cell r="S1399" t="str">
            <v>Welch Allyn Malaysia Sdn Bhd</v>
          </cell>
          <cell r="T1399" t="str">
            <v>Functioning</v>
          </cell>
          <cell r="U1399" t="str">
            <v>Asset</v>
          </cell>
          <cell r="V1399">
            <v>10585</v>
          </cell>
          <cell r="W1399" t="str">
            <v>KEW</v>
          </cell>
          <cell r="X1399" t="str">
            <v>01/09/2010</v>
          </cell>
          <cell r="Y1399" t="str">
            <v>KEW</v>
          </cell>
          <cell r="Z1399" t="str">
            <v>16/08/2013</v>
          </cell>
          <cell r="AA1399" t="str">
            <v>15/08/2015</v>
          </cell>
          <cell r="AB1399" t="str">
            <v>No</v>
          </cell>
          <cell r="AC1399" t="str">
            <v>31/08/2013</v>
          </cell>
          <cell r="AD1399" t="str">
            <v>Good</v>
          </cell>
          <cell r="AE1399" t="str">
            <v>V1 - Existing / No Claim</v>
          </cell>
          <cell r="AF1399">
            <v>42794</v>
          </cell>
          <cell r="AG1399">
            <v>9.17</v>
          </cell>
          <cell r="AH1399" t="str">
            <v>PPM</v>
          </cell>
          <cell r="AI1399" t="str">
            <v>Strands</v>
          </cell>
          <cell r="AJ1399" t="str">
            <v>Strands PW</v>
          </cell>
        </row>
        <row r="1400">
          <cell r="A1400" t="str">
            <v>IKN401094</v>
          </cell>
          <cell r="B1400">
            <v>1092</v>
          </cell>
          <cell r="C1400" t="str">
            <v>Institut Kanser Negara</v>
          </cell>
          <cell r="D1400" t="e">
            <v>#N/A</v>
          </cell>
          <cell r="E1400" t="str">
            <v>12-282</v>
          </cell>
          <cell r="F1400" t="str">
            <v>Lights, Surgical</v>
          </cell>
          <cell r="G1400" t="str">
            <v>OC</v>
          </cell>
          <cell r="H1400" t="str">
            <v>ONCOLOGY CLINIC</v>
          </cell>
          <cell r="I1400" t="str">
            <v>03OC135</v>
          </cell>
          <cell r="J1400" t="str">
            <v>TREATMENT 1</v>
          </cell>
          <cell r="K1400" t="str">
            <v>BMED</v>
          </cell>
          <cell r="L1400" t="str">
            <v>Normal</v>
          </cell>
          <cell r="M1400" t="str">
            <v>USA</v>
          </cell>
          <cell r="N1400" t="str">
            <v>Welch Allyn</v>
          </cell>
          <cell r="O1400" t="str">
            <v>Welch Allyn GS900</v>
          </cell>
          <cell r="P1400" t="str">
            <v>10032911105644</v>
          </cell>
          <cell r="Q1400" t="str">
            <v>Not Applicable</v>
          </cell>
          <cell r="R1400" t="str">
            <v>Welch Allyn Inc</v>
          </cell>
          <cell r="S1400" t="str">
            <v>Welch Allyn Malaysia Sdn Bhd</v>
          </cell>
          <cell r="T1400" t="str">
            <v>Functioning</v>
          </cell>
          <cell r="U1400" t="str">
            <v>Asset</v>
          </cell>
          <cell r="V1400">
            <v>10585</v>
          </cell>
          <cell r="W1400" t="str">
            <v>KEW</v>
          </cell>
          <cell r="X1400" t="str">
            <v>01/09/2010</v>
          </cell>
          <cell r="Y1400" t="str">
            <v>KEW</v>
          </cell>
          <cell r="Z1400" t="str">
            <v>16/08/2013</v>
          </cell>
          <cell r="AA1400" t="str">
            <v>15/08/2015</v>
          </cell>
          <cell r="AB1400" t="str">
            <v>No</v>
          </cell>
          <cell r="AC1400" t="str">
            <v>31/08/2013</v>
          </cell>
          <cell r="AD1400" t="str">
            <v>Good</v>
          </cell>
          <cell r="AE1400" t="str">
            <v>V1 - Existing / No Claim</v>
          </cell>
          <cell r="AF1400">
            <v>42235</v>
          </cell>
          <cell r="AG1400">
            <v>9.17</v>
          </cell>
          <cell r="AH1400" t="str">
            <v>PPM</v>
          </cell>
          <cell r="AI1400" t="str">
            <v>Not in contract</v>
          </cell>
          <cell r="AJ1400" t="e">
            <v>#REF!</v>
          </cell>
        </row>
        <row r="1401">
          <cell r="A1401" t="str">
            <v>IKN401095</v>
          </cell>
          <cell r="B1401">
            <v>1093</v>
          </cell>
          <cell r="C1401" t="str">
            <v>Institut Kanser Negara</v>
          </cell>
          <cell r="D1401" t="e">
            <v>#N/A</v>
          </cell>
          <cell r="E1401" t="str">
            <v>12-282</v>
          </cell>
          <cell r="F1401" t="str">
            <v>Lights, Surgical</v>
          </cell>
          <cell r="G1401" t="str">
            <v>OC</v>
          </cell>
          <cell r="H1401" t="str">
            <v>ONCOLOGY CLINIC</v>
          </cell>
          <cell r="I1401" t="str">
            <v>03OC136</v>
          </cell>
          <cell r="J1401" t="str">
            <v>TREATMENT 2</v>
          </cell>
          <cell r="K1401" t="str">
            <v>BMED</v>
          </cell>
          <cell r="L1401" t="str">
            <v>Normal</v>
          </cell>
          <cell r="M1401" t="str">
            <v>USA</v>
          </cell>
          <cell r="N1401" t="str">
            <v>Welch Allyn</v>
          </cell>
          <cell r="O1401" t="str">
            <v>Welch Allyn GS900</v>
          </cell>
          <cell r="P1401" t="str">
            <v>10033711107140</v>
          </cell>
          <cell r="Q1401" t="str">
            <v>Not Applicable</v>
          </cell>
          <cell r="R1401" t="str">
            <v>Welch Allyn Inc</v>
          </cell>
          <cell r="S1401" t="str">
            <v>Welch Allyn Malaysia Sdn Bhd</v>
          </cell>
          <cell r="T1401" t="str">
            <v>Functioning</v>
          </cell>
          <cell r="U1401" t="str">
            <v>Asset</v>
          </cell>
          <cell r="V1401">
            <v>10585</v>
          </cell>
          <cell r="W1401" t="str">
            <v>KEW</v>
          </cell>
          <cell r="X1401" t="str">
            <v>01/09/2010</v>
          </cell>
          <cell r="Y1401" t="str">
            <v>KEW</v>
          </cell>
          <cell r="Z1401" t="str">
            <v>16/08/2013</v>
          </cell>
          <cell r="AA1401" t="str">
            <v>15/08/2015</v>
          </cell>
          <cell r="AB1401" t="str">
            <v>No</v>
          </cell>
          <cell r="AC1401" t="str">
            <v>31/08/2013</v>
          </cell>
          <cell r="AD1401" t="str">
            <v>Good</v>
          </cell>
          <cell r="AE1401" t="str">
            <v>V1 - Existing / No Claim</v>
          </cell>
          <cell r="AF1401">
            <v>42235</v>
          </cell>
          <cell r="AG1401">
            <v>9.17</v>
          </cell>
          <cell r="AH1401" t="str">
            <v>PPM</v>
          </cell>
          <cell r="AI1401" t="str">
            <v>Not in contract</v>
          </cell>
          <cell r="AJ1401" t="e">
            <v>#REF!</v>
          </cell>
        </row>
        <row r="1402">
          <cell r="A1402" t="str">
            <v>IKN401096</v>
          </cell>
          <cell r="B1402">
            <v>1094</v>
          </cell>
          <cell r="C1402" t="str">
            <v>Institut Kanser Negara</v>
          </cell>
          <cell r="D1402" t="str">
            <v>KKM/IKN/H/13/4377</v>
          </cell>
          <cell r="E1402" t="str">
            <v>12-282</v>
          </cell>
          <cell r="F1402" t="str">
            <v>Lights, Surgical</v>
          </cell>
          <cell r="G1402" t="str">
            <v>IC</v>
          </cell>
          <cell r="H1402" t="str">
            <v>INTENSIVE CARE UNIT</v>
          </cell>
          <cell r="I1402" t="str">
            <v>05IC112</v>
          </cell>
          <cell r="J1402" t="str">
            <v>ICU RM 1</v>
          </cell>
          <cell r="K1402" t="str">
            <v>BMED</v>
          </cell>
          <cell r="L1402" t="str">
            <v>Normal</v>
          </cell>
          <cell r="M1402" t="str">
            <v>USA</v>
          </cell>
          <cell r="N1402" t="str">
            <v>Welch Allyn</v>
          </cell>
          <cell r="O1402" t="str">
            <v>Welch Allyn GS900</v>
          </cell>
          <cell r="P1402" t="str">
            <v>10043011102397</v>
          </cell>
          <cell r="Q1402" t="str">
            <v>Not Applicable</v>
          </cell>
          <cell r="R1402" t="str">
            <v>Welch Allyn Inc</v>
          </cell>
          <cell r="S1402" t="str">
            <v>Welch Allyn Malaysia Sdn Bhd</v>
          </cell>
          <cell r="T1402" t="str">
            <v>Functioning</v>
          </cell>
          <cell r="U1402" t="str">
            <v>Asset</v>
          </cell>
          <cell r="V1402">
            <v>10585</v>
          </cell>
          <cell r="W1402" t="str">
            <v>KEW</v>
          </cell>
          <cell r="X1402" t="str">
            <v>01/09/2010</v>
          </cell>
          <cell r="Y1402" t="str">
            <v>KEW</v>
          </cell>
          <cell r="Z1402" t="str">
            <v>16/08/2013</v>
          </cell>
          <cell r="AA1402" t="str">
            <v>15/08/2015</v>
          </cell>
          <cell r="AB1402" t="str">
            <v>No</v>
          </cell>
          <cell r="AC1402" t="str">
            <v>31/08/2013</v>
          </cell>
          <cell r="AD1402" t="str">
            <v>Good</v>
          </cell>
          <cell r="AE1402" t="str">
            <v>V1 - Existing / No Claim</v>
          </cell>
          <cell r="AF1402">
            <v>42235</v>
          </cell>
          <cell r="AG1402">
            <v>9.17</v>
          </cell>
          <cell r="AH1402" t="str">
            <v>PPM</v>
          </cell>
          <cell r="AI1402" t="str">
            <v>Strands</v>
          </cell>
          <cell r="AJ1402" t="str">
            <v>Strands PW</v>
          </cell>
        </row>
        <row r="1403">
          <cell r="A1403" t="str">
            <v>IKN401097</v>
          </cell>
          <cell r="B1403">
            <v>1095</v>
          </cell>
          <cell r="C1403" t="str">
            <v>Institut Kanser Negara</v>
          </cell>
          <cell r="D1403" t="str">
            <v>KKM/IKN/H/13/4370</v>
          </cell>
          <cell r="E1403" t="str">
            <v>12-282</v>
          </cell>
          <cell r="F1403" t="str">
            <v>Lights, Surgical</v>
          </cell>
          <cell r="G1403" t="str">
            <v>IC</v>
          </cell>
          <cell r="H1403" t="str">
            <v>INTENSIVE CARE UNIT</v>
          </cell>
          <cell r="I1403" t="str">
            <v>05IC114</v>
          </cell>
          <cell r="J1403" t="str">
            <v>ICU RM 3</v>
          </cell>
          <cell r="K1403" t="str">
            <v>BMED</v>
          </cell>
          <cell r="L1403" t="str">
            <v>Critical</v>
          </cell>
          <cell r="M1403" t="str">
            <v>USA</v>
          </cell>
          <cell r="N1403" t="str">
            <v>Welch Allyn</v>
          </cell>
          <cell r="O1403" t="str">
            <v>Welch Allyn GS900</v>
          </cell>
          <cell r="P1403" t="str">
            <v>10043811102563</v>
          </cell>
          <cell r="Q1403" t="str">
            <v>Not Applicable</v>
          </cell>
          <cell r="R1403" t="str">
            <v>Welch Allyn Inc</v>
          </cell>
          <cell r="S1403" t="str">
            <v>Welch Allyn Malaysia Sdn Bhd</v>
          </cell>
          <cell r="T1403" t="str">
            <v>Functioning</v>
          </cell>
          <cell r="U1403" t="str">
            <v>Asset</v>
          </cell>
          <cell r="V1403">
            <v>10585</v>
          </cell>
          <cell r="W1403" t="str">
            <v>KEW</v>
          </cell>
          <cell r="X1403" t="str">
            <v>01/09/2010</v>
          </cell>
          <cell r="Y1403" t="str">
            <v>KEW</v>
          </cell>
          <cell r="Z1403" t="str">
            <v>16/08/2013</v>
          </cell>
          <cell r="AA1403" t="str">
            <v>15/08/2015</v>
          </cell>
          <cell r="AB1403" t="str">
            <v>No</v>
          </cell>
          <cell r="AC1403" t="str">
            <v>31/08/2013</v>
          </cell>
          <cell r="AD1403" t="str">
            <v>Good</v>
          </cell>
          <cell r="AE1403" t="str">
            <v>V1 - Existing / No Claim</v>
          </cell>
          <cell r="AF1403">
            <v>42797</v>
          </cell>
          <cell r="AG1403">
            <v>9.17</v>
          </cell>
          <cell r="AH1403" t="str">
            <v>PPM</v>
          </cell>
          <cell r="AI1403" t="str">
            <v>Strands</v>
          </cell>
          <cell r="AJ1403" t="str">
            <v>Strands PW</v>
          </cell>
        </row>
        <row r="1404">
          <cell r="A1404" t="str">
            <v>IKN401098</v>
          </cell>
          <cell r="B1404">
            <v>1096</v>
          </cell>
          <cell r="C1404" t="str">
            <v>Institut Kanser Negara</v>
          </cell>
          <cell r="D1404" t="str">
            <v>KKM/IKN/H/13/4409</v>
          </cell>
          <cell r="E1404" t="str">
            <v>12-282</v>
          </cell>
          <cell r="F1404" t="str">
            <v>Lights, Surgical</v>
          </cell>
          <cell r="G1404" t="str">
            <v>IC</v>
          </cell>
          <cell r="H1404" t="str">
            <v>INTENSIVE CARE UNIT</v>
          </cell>
          <cell r="I1404" t="str">
            <v>05IC116</v>
          </cell>
          <cell r="J1404" t="str">
            <v>ISOL 2 (+VE)</v>
          </cell>
          <cell r="K1404" t="str">
            <v>BMED</v>
          </cell>
          <cell r="L1404" t="str">
            <v>Critical</v>
          </cell>
          <cell r="M1404" t="str">
            <v>USA</v>
          </cell>
          <cell r="N1404" t="str">
            <v>Welch Allyn</v>
          </cell>
          <cell r="O1404" t="str">
            <v>Welch Allyn GS900</v>
          </cell>
          <cell r="P1404" t="str">
            <v>10043011102396</v>
          </cell>
          <cell r="Q1404" t="str">
            <v>Not Applicable</v>
          </cell>
          <cell r="R1404" t="str">
            <v>Welch Allyn Inc</v>
          </cell>
          <cell r="S1404" t="str">
            <v>Welch Allyn Malaysia Sdn Bhd</v>
          </cell>
          <cell r="T1404" t="str">
            <v>Functioning</v>
          </cell>
          <cell r="U1404" t="str">
            <v>Asset</v>
          </cell>
          <cell r="V1404">
            <v>10585</v>
          </cell>
          <cell r="W1404" t="str">
            <v>KEW</v>
          </cell>
          <cell r="X1404" t="str">
            <v>01/09/2010</v>
          </cell>
          <cell r="Y1404" t="str">
            <v>KEW</v>
          </cell>
          <cell r="Z1404" t="str">
            <v>16/08/2013</v>
          </cell>
          <cell r="AA1404" t="str">
            <v>15/08/2015</v>
          </cell>
          <cell r="AB1404" t="str">
            <v>No</v>
          </cell>
          <cell r="AC1404" t="str">
            <v>31/08/2013</v>
          </cell>
          <cell r="AD1404" t="str">
            <v>Good</v>
          </cell>
          <cell r="AE1404" t="str">
            <v>V1 - Existing / No Claim</v>
          </cell>
          <cell r="AF1404">
            <v>42797</v>
          </cell>
          <cell r="AG1404">
            <v>9.17</v>
          </cell>
          <cell r="AH1404" t="str">
            <v>PPM</v>
          </cell>
          <cell r="AI1404" t="str">
            <v>Strands</v>
          </cell>
          <cell r="AJ1404" t="str">
            <v>Strands PW</v>
          </cell>
        </row>
        <row r="1405">
          <cell r="A1405" t="str">
            <v>IKN401099</v>
          </cell>
          <cell r="B1405">
            <v>1097</v>
          </cell>
          <cell r="C1405" t="str">
            <v>Institut Kanser Negara</v>
          </cell>
          <cell r="D1405" t="str">
            <v>KKM/IKN/H/13/4408</v>
          </cell>
          <cell r="E1405" t="str">
            <v>12-282</v>
          </cell>
          <cell r="F1405" t="str">
            <v>Lights, Surgical</v>
          </cell>
          <cell r="G1405" t="str">
            <v>IC</v>
          </cell>
          <cell r="H1405" t="str">
            <v>INTENSIVE CARE UNIT</v>
          </cell>
          <cell r="I1405" t="str">
            <v>05IC129</v>
          </cell>
          <cell r="J1405" t="str">
            <v>ISOL 4 (+VE)</v>
          </cell>
          <cell r="K1405" t="str">
            <v>BMED</v>
          </cell>
          <cell r="L1405" t="str">
            <v>Normal</v>
          </cell>
          <cell r="M1405" t="str">
            <v>USA</v>
          </cell>
          <cell r="N1405" t="str">
            <v>Welch Allyn</v>
          </cell>
          <cell r="O1405" t="str">
            <v>Welch Allyn GS900</v>
          </cell>
          <cell r="P1405" t="str">
            <v>10042511102167</v>
          </cell>
          <cell r="Q1405" t="str">
            <v>Not Applicable</v>
          </cell>
          <cell r="R1405" t="str">
            <v>Welch Allyn Inc</v>
          </cell>
          <cell r="S1405" t="str">
            <v>Welch Allyn Malaysia Sdn Bhd</v>
          </cell>
          <cell r="T1405" t="str">
            <v>Functioning</v>
          </cell>
          <cell r="U1405" t="str">
            <v>Asset</v>
          </cell>
          <cell r="V1405">
            <v>10585</v>
          </cell>
          <cell r="W1405" t="str">
            <v>KEW</v>
          </cell>
          <cell r="X1405" t="str">
            <v>01/09/2010</v>
          </cell>
          <cell r="Y1405" t="str">
            <v>KEW</v>
          </cell>
          <cell r="Z1405" t="str">
            <v>16/08/2013</v>
          </cell>
          <cell r="AA1405" t="str">
            <v>15/08/2015</v>
          </cell>
          <cell r="AB1405" t="str">
            <v>No</v>
          </cell>
          <cell r="AC1405" t="str">
            <v>31/08/2013</v>
          </cell>
          <cell r="AD1405" t="str">
            <v>Good</v>
          </cell>
          <cell r="AE1405" t="str">
            <v>V1 - Existing / No Claim</v>
          </cell>
          <cell r="AF1405">
            <v>42235</v>
          </cell>
          <cell r="AG1405">
            <v>9.17</v>
          </cell>
          <cell r="AH1405" t="str">
            <v>PPM</v>
          </cell>
          <cell r="AI1405" t="str">
            <v>Strands</v>
          </cell>
          <cell r="AJ1405" t="str">
            <v>Strands PW</v>
          </cell>
        </row>
        <row r="1406">
          <cell r="A1406" t="str">
            <v>IKN401100</v>
          </cell>
          <cell r="B1406">
            <v>1098</v>
          </cell>
          <cell r="C1406" t="str">
            <v>Institut Kanser Negara</v>
          </cell>
          <cell r="D1406" t="str">
            <v>KKM/IKN/H/13/4410</v>
          </cell>
          <cell r="E1406" t="str">
            <v>12-282</v>
          </cell>
          <cell r="F1406" t="str">
            <v>Lights, Surgical</v>
          </cell>
          <cell r="G1406" t="str">
            <v>IC</v>
          </cell>
          <cell r="H1406" t="str">
            <v>INTENSIVE CARE UNIT</v>
          </cell>
          <cell r="I1406" t="str">
            <v>05IC131</v>
          </cell>
          <cell r="J1406" t="str">
            <v>ISOL 3 (+VE)</v>
          </cell>
          <cell r="K1406" t="str">
            <v>BMED</v>
          </cell>
          <cell r="L1406" t="str">
            <v>Critical</v>
          </cell>
          <cell r="M1406" t="str">
            <v>USA</v>
          </cell>
          <cell r="N1406" t="str">
            <v>Welch Allyn</v>
          </cell>
          <cell r="O1406" t="str">
            <v>Welch Allyn GS900</v>
          </cell>
          <cell r="P1406" t="str">
            <v>10043811102567</v>
          </cell>
          <cell r="Q1406" t="str">
            <v>Not Applicable</v>
          </cell>
          <cell r="R1406" t="str">
            <v>Welch Allyn Inc</v>
          </cell>
          <cell r="S1406" t="str">
            <v>Welch Allyn Malaysia Sdn Bhd</v>
          </cell>
          <cell r="T1406" t="str">
            <v>Functioning</v>
          </cell>
          <cell r="U1406" t="str">
            <v>Asset</v>
          </cell>
          <cell r="V1406">
            <v>10585</v>
          </cell>
          <cell r="W1406" t="str">
            <v>KEW</v>
          </cell>
          <cell r="X1406" t="str">
            <v>01/09/2010</v>
          </cell>
          <cell r="Y1406" t="str">
            <v>KEW</v>
          </cell>
          <cell r="Z1406" t="str">
            <v>16/08/2013</v>
          </cell>
          <cell r="AA1406" t="str">
            <v>15/08/2015</v>
          </cell>
          <cell r="AB1406" t="str">
            <v>No</v>
          </cell>
          <cell r="AC1406" t="str">
            <v>31/08/2013</v>
          </cell>
          <cell r="AD1406" t="str">
            <v>Good</v>
          </cell>
          <cell r="AE1406" t="str">
            <v>V1 - Existing / No Claim</v>
          </cell>
          <cell r="AF1406">
            <v>42797</v>
          </cell>
          <cell r="AG1406">
            <v>9.17</v>
          </cell>
          <cell r="AH1406" t="str">
            <v>PPM</v>
          </cell>
          <cell r="AI1406" t="str">
            <v>Strands</v>
          </cell>
          <cell r="AJ1406" t="str">
            <v>Strands PW</v>
          </cell>
        </row>
        <row r="1407">
          <cell r="A1407" t="str">
            <v>IKN401101</v>
          </cell>
          <cell r="B1407">
            <v>1099</v>
          </cell>
          <cell r="C1407" t="str">
            <v>Institut Kanser Negara</v>
          </cell>
          <cell r="D1407" t="str">
            <v>KKM/IKN/H/13/4779</v>
          </cell>
          <cell r="E1407" t="str">
            <v>12-282</v>
          </cell>
          <cell r="F1407" t="str">
            <v>Lights, Surgical</v>
          </cell>
          <cell r="G1407" t="str">
            <v>WB</v>
          </cell>
          <cell r="H1407" t="str">
            <v>SURGICAL ONCO MALE WARD</v>
          </cell>
          <cell r="I1407" t="str">
            <v>05WB107</v>
          </cell>
          <cell r="J1407" t="str">
            <v>TREATMENT / PROCEDURE</v>
          </cell>
          <cell r="K1407" t="str">
            <v>BMED</v>
          </cell>
          <cell r="L1407" t="str">
            <v>Normal</v>
          </cell>
          <cell r="M1407" t="str">
            <v>USA</v>
          </cell>
          <cell r="N1407" t="str">
            <v>Welch Allyn</v>
          </cell>
          <cell r="O1407" t="str">
            <v>Welch Allyn GS900</v>
          </cell>
          <cell r="P1407" t="str">
            <v>10043011102369</v>
          </cell>
          <cell r="Q1407" t="str">
            <v>Not Applicable</v>
          </cell>
          <cell r="R1407" t="str">
            <v>Welch Allyn Inc</v>
          </cell>
          <cell r="S1407" t="str">
            <v>Welch Allyn Malaysia Sdn Bhd</v>
          </cell>
          <cell r="T1407" t="str">
            <v>Functioning</v>
          </cell>
          <cell r="U1407" t="str">
            <v>Asset</v>
          </cell>
          <cell r="V1407">
            <v>10585</v>
          </cell>
          <cell r="W1407" t="str">
            <v>KEW</v>
          </cell>
          <cell r="X1407" t="str">
            <v>01/09/2010</v>
          </cell>
          <cell r="Y1407" t="str">
            <v>KEW</v>
          </cell>
          <cell r="Z1407" t="str">
            <v>16/08/2013</v>
          </cell>
          <cell r="AA1407" t="str">
            <v>15/08/2015</v>
          </cell>
          <cell r="AB1407" t="str">
            <v>No</v>
          </cell>
          <cell r="AC1407" t="str">
            <v>31/08/2013</v>
          </cell>
          <cell r="AD1407" t="str">
            <v>Good</v>
          </cell>
          <cell r="AE1407" t="str">
            <v>V1 - Existing / No Claim</v>
          </cell>
          <cell r="AF1407">
            <v>42235</v>
          </cell>
          <cell r="AG1407">
            <v>9.17</v>
          </cell>
          <cell r="AH1407" t="str">
            <v>PPM</v>
          </cell>
          <cell r="AI1407" t="str">
            <v>Strands</v>
          </cell>
          <cell r="AJ1407" t="str">
            <v>Strands PW</v>
          </cell>
        </row>
        <row r="1408">
          <cell r="A1408" t="str">
            <v>IKN401102</v>
          </cell>
          <cell r="B1408">
            <v>1100</v>
          </cell>
          <cell r="C1408" t="str">
            <v>Institut Kanser Negara</v>
          </cell>
          <cell r="D1408" t="str">
            <v>KKM/IKN/H/13/5478</v>
          </cell>
          <cell r="E1408" t="str">
            <v>12-282</v>
          </cell>
          <cell r="F1408" t="str">
            <v>Lights, Surgical</v>
          </cell>
          <cell r="G1408" t="str">
            <v>WC</v>
          </cell>
          <cell r="H1408" t="str">
            <v>SURGICAL ONCO FEMALE WARD</v>
          </cell>
          <cell r="I1408" t="str">
            <v>06WC107</v>
          </cell>
          <cell r="J1408" t="str">
            <v>TREATMENT / PROCEDURE</v>
          </cell>
          <cell r="K1408" t="str">
            <v>BMED</v>
          </cell>
          <cell r="L1408" t="str">
            <v>Normal</v>
          </cell>
          <cell r="M1408" t="str">
            <v>USA</v>
          </cell>
          <cell r="N1408" t="str">
            <v>Welch Allyn</v>
          </cell>
          <cell r="O1408" t="str">
            <v>Welch Allyn GS900</v>
          </cell>
          <cell r="P1408" t="str">
            <v>10033711107106</v>
          </cell>
          <cell r="Q1408" t="str">
            <v>Not Applicable</v>
          </cell>
          <cell r="R1408" t="str">
            <v>Welch Allyn Inc</v>
          </cell>
          <cell r="S1408" t="str">
            <v>Welch Allyn Malaysia Sdn Bhd</v>
          </cell>
          <cell r="T1408" t="str">
            <v>Functioning</v>
          </cell>
          <cell r="U1408" t="str">
            <v>Asset</v>
          </cell>
          <cell r="V1408">
            <v>10585</v>
          </cell>
          <cell r="W1408" t="str">
            <v>KEW</v>
          </cell>
          <cell r="X1408" t="str">
            <v>01/09/2010</v>
          </cell>
          <cell r="Y1408" t="str">
            <v>KEW</v>
          </cell>
          <cell r="Z1408" t="str">
            <v>16/08/2013</v>
          </cell>
          <cell r="AA1408" t="str">
            <v>15/08/2015</v>
          </cell>
          <cell r="AB1408" t="str">
            <v>No</v>
          </cell>
          <cell r="AC1408" t="str">
            <v>31/08/2013</v>
          </cell>
          <cell r="AD1408" t="str">
            <v>Good</v>
          </cell>
          <cell r="AE1408" t="str">
            <v>V1 - Existing / No Claim</v>
          </cell>
          <cell r="AF1408">
            <v>42235</v>
          </cell>
          <cell r="AG1408">
            <v>9.17</v>
          </cell>
          <cell r="AH1408" t="str">
            <v>PPM</v>
          </cell>
          <cell r="AI1408" t="str">
            <v>Not in contract</v>
          </cell>
          <cell r="AJ1408" t="e">
            <v>#REF!</v>
          </cell>
        </row>
        <row r="1409">
          <cell r="A1409" t="str">
            <v>IKN401103</v>
          </cell>
          <cell r="B1409">
            <v>1101</v>
          </cell>
          <cell r="C1409" t="str">
            <v>Institut Kanser Negara</v>
          </cell>
          <cell r="E1409" t="str">
            <v>12-282</v>
          </cell>
          <cell r="F1409" t="str">
            <v>Lights, Surgical</v>
          </cell>
          <cell r="G1409" t="str">
            <v>WD</v>
          </cell>
          <cell r="H1409" t="str">
            <v>RT/ONCO PAED/ADOLESCENT WARD</v>
          </cell>
          <cell r="I1409" t="str">
            <v>06WD124</v>
          </cell>
          <cell r="J1409" t="str">
            <v>TREATMENT / PROCEDURE</v>
          </cell>
          <cell r="K1409" t="str">
            <v>BMED</v>
          </cell>
          <cell r="L1409" t="str">
            <v>Normal</v>
          </cell>
          <cell r="M1409" t="str">
            <v>USA</v>
          </cell>
          <cell r="N1409" t="str">
            <v>Welch Allyn</v>
          </cell>
          <cell r="O1409" t="str">
            <v>Welch Allyn GS900</v>
          </cell>
          <cell r="P1409" t="str">
            <v>10032911105638</v>
          </cell>
          <cell r="Q1409" t="str">
            <v>Not Applicable</v>
          </cell>
          <cell r="R1409" t="str">
            <v>Welch Allyn Inc</v>
          </cell>
          <cell r="S1409" t="str">
            <v>Welch Allyn Malaysia Sdn Bhd</v>
          </cell>
          <cell r="T1409" t="str">
            <v>Functioning</v>
          </cell>
          <cell r="U1409" t="str">
            <v>Asset</v>
          </cell>
          <cell r="V1409">
            <v>10585</v>
          </cell>
          <cell r="W1409" t="str">
            <v>KEW</v>
          </cell>
          <cell r="X1409" t="str">
            <v>01/09/2010</v>
          </cell>
          <cell r="Y1409" t="str">
            <v>KEW</v>
          </cell>
          <cell r="Z1409" t="str">
            <v>16/08/2013</v>
          </cell>
          <cell r="AA1409" t="str">
            <v>15/08/2015</v>
          </cell>
          <cell r="AB1409" t="str">
            <v>No</v>
          </cell>
          <cell r="AC1409" t="str">
            <v>31/08/2013</v>
          </cell>
          <cell r="AD1409" t="str">
            <v>Good</v>
          </cell>
          <cell r="AE1409" t="str">
            <v>V1 - Existing / No Claim</v>
          </cell>
          <cell r="AF1409">
            <v>42235</v>
          </cell>
          <cell r="AG1409">
            <v>9.17</v>
          </cell>
          <cell r="AH1409" t="str">
            <v>PPM</v>
          </cell>
          <cell r="AI1409" t="str">
            <v>Not in contract</v>
          </cell>
          <cell r="AJ1409" t="e">
            <v>#REF!</v>
          </cell>
        </row>
        <row r="1410">
          <cell r="A1410" t="str">
            <v>IKN401105</v>
          </cell>
          <cell r="B1410">
            <v>1103</v>
          </cell>
          <cell r="C1410" t="str">
            <v>Institut Kanser Negara</v>
          </cell>
          <cell r="D1410" t="str">
            <v>KKM/IKN/H/13/3978</v>
          </cell>
          <cell r="E1410" t="str">
            <v>12-282</v>
          </cell>
          <cell r="F1410" t="str">
            <v>Lights, Surgical</v>
          </cell>
          <cell r="G1410" t="str">
            <v>WF</v>
          </cell>
          <cell r="H1410" t="str">
            <v>RT/ONCO WARD 2 (F)</v>
          </cell>
          <cell r="I1410" t="str">
            <v>07WF107</v>
          </cell>
          <cell r="J1410" t="str">
            <v>TREATMENT / PROCEDDURE</v>
          </cell>
          <cell r="K1410" t="str">
            <v>BMED</v>
          </cell>
          <cell r="L1410" t="str">
            <v>Normal</v>
          </cell>
          <cell r="M1410" t="str">
            <v>USA</v>
          </cell>
          <cell r="N1410" t="str">
            <v>Welch Allyn</v>
          </cell>
          <cell r="O1410" t="str">
            <v>Welch Allyn GS900</v>
          </cell>
          <cell r="P1410" t="str">
            <v>10033011105774</v>
          </cell>
          <cell r="Q1410" t="str">
            <v>Not Applicable</v>
          </cell>
          <cell r="R1410" t="str">
            <v>Welch Allyn Inc</v>
          </cell>
          <cell r="S1410" t="str">
            <v>Welch Allyn Malaysia Sdn Bhd</v>
          </cell>
          <cell r="T1410" t="str">
            <v>Functioning</v>
          </cell>
          <cell r="U1410" t="str">
            <v>Asset</v>
          </cell>
          <cell r="V1410">
            <v>10585</v>
          </cell>
          <cell r="W1410" t="str">
            <v>KEW</v>
          </cell>
          <cell r="X1410" t="str">
            <v>01/09/2010</v>
          </cell>
          <cell r="Y1410" t="str">
            <v>KEW</v>
          </cell>
          <cell r="Z1410" t="str">
            <v>16/08/2013</v>
          </cell>
          <cell r="AA1410" t="str">
            <v>15/08/2015</v>
          </cell>
          <cell r="AB1410" t="str">
            <v>No</v>
          </cell>
          <cell r="AC1410" t="str">
            <v>31/08/2013</v>
          </cell>
          <cell r="AD1410" t="str">
            <v>Good</v>
          </cell>
          <cell r="AE1410" t="str">
            <v>V1 - Existing / No Claim</v>
          </cell>
          <cell r="AF1410">
            <v>42235</v>
          </cell>
          <cell r="AG1410">
            <v>9.17</v>
          </cell>
          <cell r="AH1410" t="str">
            <v>PPM</v>
          </cell>
          <cell r="AI1410" t="str">
            <v>Strands</v>
          </cell>
          <cell r="AJ1410" t="str">
            <v>Strands PW</v>
          </cell>
        </row>
        <row r="1411">
          <cell r="A1411" t="str">
            <v>IKN401106</v>
          </cell>
          <cell r="B1411">
            <v>1104</v>
          </cell>
          <cell r="C1411" t="str">
            <v>Institut Kanser Negara</v>
          </cell>
          <cell r="D1411" t="e">
            <v>#N/A</v>
          </cell>
          <cell r="E1411" t="str">
            <v>12-282</v>
          </cell>
          <cell r="F1411" t="str">
            <v>Lights, Surgical</v>
          </cell>
          <cell r="G1411" t="str">
            <v>WG</v>
          </cell>
          <cell r="H1411" t="str">
            <v>RT/ONCO WARD 1 (M)</v>
          </cell>
          <cell r="I1411" t="str">
            <v>08WG107</v>
          </cell>
          <cell r="J1411" t="str">
            <v>TREATMENT / PROCEDURE</v>
          </cell>
          <cell r="K1411" t="str">
            <v>BMED</v>
          </cell>
          <cell r="L1411" t="str">
            <v>Normal</v>
          </cell>
          <cell r="M1411" t="str">
            <v>USA</v>
          </cell>
          <cell r="N1411" t="str">
            <v>Welch Allyn</v>
          </cell>
          <cell r="O1411" t="str">
            <v>Welch Allyn GS900</v>
          </cell>
          <cell r="P1411" t="str">
            <v>10032911105655</v>
          </cell>
          <cell r="Q1411" t="str">
            <v>Not Applicable</v>
          </cell>
          <cell r="R1411" t="str">
            <v>Welch Allyn Inc</v>
          </cell>
          <cell r="S1411" t="str">
            <v>Welch Allyn Malaysia Sdn Bhd</v>
          </cell>
          <cell r="T1411" t="str">
            <v>Functioning</v>
          </cell>
          <cell r="U1411" t="str">
            <v>Asset</v>
          </cell>
          <cell r="V1411">
            <v>10585</v>
          </cell>
          <cell r="W1411" t="str">
            <v>KEW</v>
          </cell>
          <cell r="X1411" t="str">
            <v>01/09/2010</v>
          </cell>
          <cell r="Y1411" t="str">
            <v>KEW</v>
          </cell>
          <cell r="Z1411" t="str">
            <v>16/08/2013</v>
          </cell>
          <cell r="AA1411" t="str">
            <v>15/08/2015</v>
          </cell>
          <cell r="AB1411" t="str">
            <v>No</v>
          </cell>
          <cell r="AC1411" t="str">
            <v>31/08/2013</v>
          </cell>
          <cell r="AD1411" t="str">
            <v>Good</v>
          </cell>
          <cell r="AE1411" t="str">
            <v>V1 - Existing / No Claim</v>
          </cell>
          <cell r="AF1411">
            <v>42235</v>
          </cell>
          <cell r="AG1411">
            <v>9.17</v>
          </cell>
          <cell r="AH1411" t="str">
            <v>PPM</v>
          </cell>
          <cell r="AI1411" t="str">
            <v>Not in contract</v>
          </cell>
          <cell r="AJ1411" t="e">
            <v>#REF!</v>
          </cell>
        </row>
        <row r="1412">
          <cell r="A1412" t="str">
            <v>IKN401107</v>
          </cell>
          <cell r="B1412">
            <v>1105</v>
          </cell>
          <cell r="C1412" t="str">
            <v>Institut Kanser Negara</v>
          </cell>
          <cell r="D1412" t="str">
            <v>KKM/IKN/H/13/4964</v>
          </cell>
          <cell r="E1412" t="str">
            <v>12-282</v>
          </cell>
          <cell r="F1412" t="str">
            <v>Lights, Surgical</v>
          </cell>
          <cell r="G1412" t="str">
            <v>WH</v>
          </cell>
          <cell r="H1412" t="str">
            <v>RT/ONCO WARD 2 (M)</v>
          </cell>
          <cell r="I1412" t="str">
            <v>08WH107</v>
          </cell>
          <cell r="J1412" t="str">
            <v>TREATMENT / PROCEDURE</v>
          </cell>
          <cell r="K1412" t="str">
            <v>BMED</v>
          </cell>
          <cell r="L1412" t="str">
            <v>Critical</v>
          </cell>
          <cell r="M1412" t="str">
            <v>USA</v>
          </cell>
          <cell r="N1412" t="str">
            <v>Welch Allyn</v>
          </cell>
          <cell r="O1412" t="str">
            <v>Welch Allyn GS900</v>
          </cell>
          <cell r="P1412" t="str">
            <v>10033711107103</v>
          </cell>
          <cell r="Q1412" t="str">
            <v>Not Applicable</v>
          </cell>
          <cell r="R1412" t="str">
            <v>Welch Allyn Inc</v>
          </cell>
          <cell r="S1412" t="str">
            <v>Welch Allyn Malaysia Sdn Bhd</v>
          </cell>
          <cell r="T1412" t="str">
            <v>Functioning</v>
          </cell>
          <cell r="U1412" t="str">
            <v>Asset</v>
          </cell>
          <cell r="V1412">
            <v>10585</v>
          </cell>
          <cell r="W1412" t="str">
            <v>KEW</v>
          </cell>
          <cell r="X1412" t="str">
            <v>01/09/2010</v>
          </cell>
          <cell r="Y1412" t="str">
            <v>KEW</v>
          </cell>
          <cell r="Z1412" t="str">
            <v>16/08/2013</v>
          </cell>
          <cell r="AA1412" t="str">
            <v>15/08/2015</v>
          </cell>
          <cell r="AB1412" t="str">
            <v>No</v>
          </cell>
          <cell r="AC1412" t="str">
            <v>31/08/2013</v>
          </cell>
          <cell r="AD1412" t="str">
            <v>Good</v>
          </cell>
          <cell r="AE1412" t="str">
            <v>V1 - Existing / No Claim</v>
          </cell>
          <cell r="AF1412">
            <v>42787</v>
          </cell>
          <cell r="AG1412">
            <v>9.17</v>
          </cell>
          <cell r="AH1412" t="str">
            <v>PPM</v>
          </cell>
          <cell r="AI1412" t="str">
            <v>Strands</v>
          </cell>
          <cell r="AJ1412" t="str">
            <v>Strands PW</v>
          </cell>
        </row>
        <row r="1413">
          <cell r="A1413" t="str">
            <v>IKN401108</v>
          </cell>
          <cell r="B1413">
            <v>1106</v>
          </cell>
          <cell r="C1413" t="str">
            <v>Institut Kanser Negara</v>
          </cell>
          <cell r="D1413" t="e">
            <v>#N/A</v>
          </cell>
          <cell r="E1413" t="str">
            <v>12-282</v>
          </cell>
          <cell r="F1413" t="str">
            <v>Lights, Surgical</v>
          </cell>
          <cell r="G1413" t="str">
            <v>WJ</v>
          </cell>
          <cell r="H1413" t="str">
            <v>MULTIDISCIPLINE WARD 1</v>
          </cell>
          <cell r="I1413" t="str">
            <v>09WJ126</v>
          </cell>
          <cell r="J1413" t="str">
            <v>EQUIPT. ROOM</v>
          </cell>
          <cell r="K1413" t="str">
            <v>BMED</v>
          </cell>
          <cell r="L1413" t="str">
            <v>Critical</v>
          </cell>
          <cell r="M1413" t="str">
            <v>USA</v>
          </cell>
          <cell r="N1413" t="str">
            <v>Welch Allyn</v>
          </cell>
          <cell r="O1413" t="str">
            <v>Welch Allyn GS900</v>
          </cell>
          <cell r="P1413" t="str">
            <v>10034711108182</v>
          </cell>
          <cell r="Q1413" t="str">
            <v>Not Applicable</v>
          </cell>
          <cell r="R1413" t="str">
            <v>Welch Allyn Inc</v>
          </cell>
          <cell r="S1413" t="str">
            <v>Welch Allyn Malaysia Sdn Bhd</v>
          </cell>
          <cell r="T1413" t="str">
            <v>Functioning</v>
          </cell>
          <cell r="U1413" t="str">
            <v>Asset</v>
          </cell>
          <cell r="V1413">
            <v>10585</v>
          </cell>
          <cell r="W1413" t="str">
            <v>KEW</v>
          </cell>
          <cell r="X1413" t="str">
            <v>01/09/2010</v>
          </cell>
          <cell r="Y1413" t="str">
            <v>KEW</v>
          </cell>
          <cell r="Z1413" t="str">
            <v>16/08/2013</v>
          </cell>
          <cell r="AA1413" t="str">
            <v>15/08/2015</v>
          </cell>
          <cell r="AB1413" t="str">
            <v>No</v>
          </cell>
          <cell r="AC1413" t="str">
            <v>31/08/2013</v>
          </cell>
          <cell r="AD1413" t="str">
            <v>Good</v>
          </cell>
          <cell r="AE1413" t="str">
            <v>V1 - Existing / No Claim</v>
          </cell>
          <cell r="AF1413">
            <v>43063</v>
          </cell>
          <cell r="AG1413">
            <v>9.17</v>
          </cell>
          <cell r="AH1413" t="str">
            <v>PPM</v>
          </cell>
          <cell r="AI1413" t="str">
            <v>Propose P1.24</v>
          </cell>
        </row>
        <row r="1414">
          <cell r="A1414" t="str">
            <v>IKN401109</v>
          </cell>
          <cell r="B1414">
            <v>1107</v>
          </cell>
          <cell r="C1414" t="str">
            <v>Institut Kanser Negara</v>
          </cell>
          <cell r="D1414" t="e">
            <v>#N/A</v>
          </cell>
          <cell r="E1414" t="str">
            <v>12-282</v>
          </cell>
          <cell r="F1414" t="str">
            <v>Lights, Surgical</v>
          </cell>
          <cell r="G1414" t="str">
            <v>WJ</v>
          </cell>
          <cell r="H1414" t="str">
            <v>MULTIDISCIPLINE WARD 1</v>
          </cell>
          <cell r="I1414" t="str">
            <v>09WJ130</v>
          </cell>
          <cell r="J1414" t="str">
            <v>TREATMENT/ PROCEDURE</v>
          </cell>
          <cell r="K1414" t="str">
            <v>BMED</v>
          </cell>
          <cell r="L1414" t="str">
            <v>Normal</v>
          </cell>
          <cell r="M1414" t="str">
            <v>USA</v>
          </cell>
          <cell r="N1414" t="str">
            <v>Welch Allyn</v>
          </cell>
          <cell r="O1414" t="str">
            <v>Welch Allyn GS900</v>
          </cell>
          <cell r="P1414" t="str">
            <v>10033011105770</v>
          </cell>
          <cell r="Q1414" t="str">
            <v>Not Applicable</v>
          </cell>
          <cell r="R1414" t="str">
            <v>Welch Allyn Inc</v>
          </cell>
          <cell r="S1414" t="str">
            <v>Welch Allyn Malaysia Sdn Bhd</v>
          </cell>
          <cell r="T1414" t="str">
            <v>Functioning</v>
          </cell>
          <cell r="U1414" t="str">
            <v>Asset</v>
          </cell>
          <cell r="V1414">
            <v>10585</v>
          </cell>
          <cell r="W1414" t="str">
            <v>KEW</v>
          </cell>
          <cell r="X1414" t="str">
            <v>01/09/2010</v>
          </cell>
          <cell r="Y1414" t="str">
            <v>KEW</v>
          </cell>
          <cell r="Z1414" t="str">
            <v>16/08/2013</v>
          </cell>
          <cell r="AA1414" t="str">
            <v>15/08/2015</v>
          </cell>
          <cell r="AB1414" t="str">
            <v>No</v>
          </cell>
          <cell r="AC1414" t="str">
            <v>31/08/2013</v>
          </cell>
          <cell r="AD1414" t="str">
            <v>Good</v>
          </cell>
          <cell r="AE1414" t="str">
            <v>V1 - Existing / No Claim</v>
          </cell>
          <cell r="AF1414">
            <v>42235</v>
          </cell>
          <cell r="AG1414">
            <v>9.17</v>
          </cell>
          <cell r="AH1414" t="str">
            <v>PPM</v>
          </cell>
          <cell r="AI1414" t="str">
            <v>Propose P1.24</v>
          </cell>
        </row>
        <row r="1415">
          <cell r="A1415" t="str">
            <v>IKN401110</v>
          </cell>
          <cell r="B1415">
            <v>1108</v>
          </cell>
          <cell r="C1415" t="str">
            <v>Institut Kanser Negara</v>
          </cell>
          <cell r="E1415" t="str">
            <v>12-282</v>
          </cell>
          <cell r="F1415" t="str">
            <v>Lights, Surgical</v>
          </cell>
          <cell r="G1415" t="str">
            <v>MT</v>
          </cell>
          <cell r="H1415" t="str">
            <v>MORTUARY</v>
          </cell>
          <cell r="I1415" t="str">
            <v>01MT132</v>
          </cell>
          <cell r="J1415" t="str">
            <v>POST-MORTEM</v>
          </cell>
          <cell r="K1415" t="str">
            <v>BMED</v>
          </cell>
          <cell r="L1415" t="str">
            <v>Normal</v>
          </cell>
          <cell r="M1415" t="str">
            <v>USA</v>
          </cell>
          <cell r="N1415" t="str">
            <v>Welch Allyn</v>
          </cell>
          <cell r="O1415" t="str">
            <v>Welch Allyn GS900</v>
          </cell>
          <cell r="P1415" t="str">
            <v>10033711107134</v>
          </cell>
          <cell r="Q1415" t="str">
            <v>Not Applicable</v>
          </cell>
          <cell r="R1415" t="str">
            <v>Welch Allyn Inc</v>
          </cell>
          <cell r="S1415" t="str">
            <v>Welch Allyn Malaysia Sdn Bhd</v>
          </cell>
          <cell r="T1415" t="str">
            <v>Functioning</v>
          </cell>
          <cell r="U1415" t="str">
            <v>Asset</v>
          </cell>
          <cell r="V1415">
            <v>10585</v>
          </cell>
          <cell r="W1415" t="str">
            <v>KEW</v>
          </cell>
          <cell r="X1415" t="str">
            <v>01/09/2010</v>
          </cell>
          <cell r="Y1415" t="str">
            <v>KEW</v>
          </cell>
          <cell r="Z1415" t="str">
            <v>16/08/2013</v>
          </cell>
          <cell r="AA1415" t="str">
            <v>15/08/2015</v>
          </cell>
          <cell r="AB1415" t="str">
            <v>No</v>
          </cell>
          <cell r="AC1415" t="str">
            <v>31/08/2013</v>
          </cell>
          <cell r="AD1415" t="str">
            <v>Good</v>
          </cell>
          <cell r="AE1415" t="str">
            <v>V1 - Existing / No Claim</v>
          </cell>
          <cell r="AF1415">
            <v>42235</v>
          </cell>
          <cell r="AG1415">
            <v>9.17</v>
          </cell>
          <cell r="AH1415" t="str">
            <v>PPM</v>
          </cell>
          <cell r="AI1415" t="str">
            <v>Not in contract</v>
          </cell>
        </row>
        <row r="1416">
          <cell r="A1416" t="str">
            <v>IKN401111</v>
          </cell>
          <cell r="B1416">
            <v>1109</v>
          </cell>
          <cell r="C1416" t="str">
            <v>Institut Kanser Negara</v>
          </cell>
          <cell r="D1416" t="str">
            <v>KKM/IKN/H/13/4406</v>
          </cell>
          <cell r="E1416" t="str">
            <v>12-282</v>
          </cell>
          <cell r="F1416" t="str">
            <v>Lights, Surgical</v>
          </cell>
          <cell r="G1416" t="str">
            <v>IC</v>
          </cell>
          <cell r="H1416" t="str">
            <v>INTENSIVE CARE UNIT</v>
          </cell>
          <cell r="I1416" t="str">
            <v>05IC113</v>
          </cell>
          <cell r="J1416" t="str">
            <v>ICU RM 2</v>
          </cell>
          <cell r="K1416" t="str">
            <v>BMED</v>
          </cell>
          <cell r="L1416" t="str">
            <v>Critical</v>
          </cell>
          <cell r="M1416" t="str">
            <v>USA</v>
          </cell>
          <cell r="N1416" t="str">
            <v>Welch Allyn</v>
          </cell>
          <cell r="O1416" t="str">
            <v>Welch Allyn GS900</v>
          </cell>
          <cell r="P1416" t="str">
            <v>10043011102356</v>
          </cell>
          <cell r="Q1416" t="str">
            <v>Not Applicable</v>
          </cell>
          <cell r="R1416" t="str">
            <v>Welch Allyn Inc</v>
          </cell>
          <cell r="S1416" t="str">
            <v>Welch Allyn Malaysia Sdn Bhd</v>
          </cell>
          <cell r="T1416" t="str">
            <v>Functioning</v>
          </cell>
          <cell r="U1416" t="str">
            <v>Asset</v>
          </cell>
          <cell r="V1416">
            <v>10585</v>
          </cell>
          <cell r="W1416" t="str">
            <v>KEW</v>
          </cell>
          <cell r="X1416" t="str">
            <v>01/09/2010</v>
          </cell>
          <cell r="Y1416" t="str">
            <v>KEW</v>
          </cell>
          <cell r="Z1416" t="str">
            <v>16/08/2013</v>
          </cell>
          <cell r="AA1416" t="str">
            <v>15/08/2015</v>
          </cell>
          <cell r="AB1416" t="str">
            <v>No</v>
          </cell>
          <cell r="AC1416" t="str">
            <v>31/08/2013</v>
          </cell>
          <cell r="AD1416" t="str">
            <v>Good</v>
          </cell>
          <cell r="AE1416" t="str">
            <v>V1 - Existing / No Claim</v>
          </cell>
          <cell r="AF1416">
            <v>42797</v>
          </cell>
          <cell r="AG1416">
            <v>9.17</v>
          </cell>
          <cell r="AH1416" t="str">
            <v>PPM</v>
          </cell>
          <cell r="AI1416" t="str">
            <v>Strands</v>
          </cell>
          <cell r="AJ1416" t="str">
            <v>Strands PW</v>
          </cell>
        </row>
        <row r="1417">
          <cell r="A1417" t="str">
            <v>IKN401112</v>
          </cell>
          <cell r="B1417">
            <v>1110</v>
          </cell>
          <cell r="C1417" t="str">
            <v>Institut Kanser Negara</v>
          </cell>
          <cell r="D1417" t="str">
            <v>KKM/IKN/H/13/4364</v>
          </cell>
          <cell r="E1417" t="str">
            <v>12-282</v>
          </cell>
          <cell r="F1417" t="str">
            <v>Lights, Surgical</v>
          </cell>
          <cell r="G1417" t="str">
            <v>IC</v>
          </cell>
          <cell r="H1417" t="str">
            <v>INTENSIVE CARE UNIT</v>
          </cell>
          <cell r="I1417" t="str">
            <v>05IC111</v>
          </cell>
          <cell r="J1417" t="str">
            <v>ISOL 1(-VE)</v>
          </cell>
          <cell r="K1417" t="str">
            <v>BMED</v>
          </cell>
          <cell r="L1417" t="str">
            <v>Normal</v>
          </cell>
          <cell r="M1417" t="str">
            <v>USA</v>
          </cell>
          <cell r="N1417" t="str">
            <v>Welch Allyn</v>
          </cell>
          <cell r="O1417" t="str">
            <v>Welch Allyn GS900</v>
          </cell>
          <cell r="P1417" t="str">
            <v>10033711107114</v>
          </cell>
          <cell r="Q1417" t="str">
            <v>Not Applicable</v>
          </cell>
          <cell r="R1417" t="str">
            <v>Welch Allyn Inc</v>
          </cell>
          <cell r="S1417" t="str">
            <v>Welch Allyn Malaysia Sdn Bhd</v>
          </cell>
          <cell r="T1417" t="str">
            <v>Functioning</v>
          </cell>
          <cell r="U1417" t="str">
            <v>Asset</v>
          </cell>
          <cell r="V1417">
            <v>10585</v>
          </cell>
          <cell r="W1417" t="str">
            <v>KEW</v>
          </cell>
          <cell r="X1417" t="str">
            <v>01/09/2010</v>
          </cell>
          <cell r="Y1417" t="str">
            <v>KEW</v>
          </cell>
          <cell r="Z1417" t="str">
            <v>16/08/2013</v>
          </cell>
          <cell r="AA1417" t="str">
            <v>15/08/2015</v>
          </cell>
          <cell r="AB1417" t="str">
            <v>No</v>
          </cell>
          <cell r="AC1417" t="str">
            <v>31/08/2013</v>
          </cell>
          <cell r="AD1417" t="str">
            <v>Good</v>
          </cell>
          <cell r="AE1417" t="str">
            <v>V1 - Existing / No Claim</v>
          </cell>
          <cell r="AF1417">
            <v>42235</v>
          </cell>
          <cell r="AG1417">
            <v>9.17</v>
          </cell>
          <cell r="AH1417" t="str">
            <v>PPM</v>
          </cell>
          <cell r="AI1417" t="str">
            <v>Strands</v>
          </cell>
          <cell r="AJ1417" t="str">
            <v>Strands PW</v>
          </cell>
        </row>
        <row r="1418">
          <cell r="A1418" t="str">
            <v>IKN401113</v>
          </cell>
          <cell r="B1418">
            <v>1111</v>
          </cell>
          <cell r="C1418" t="str">
            <v>Institut Kanser Negara</v>
          </cell>
          <cell r="D1418" t="str">
            <v>KKM/IKN/H/13/4407</v>
          </cell>
          <cell r="E1418" t="str">
            <v>12-282</v>
          </cell>
          <cell r="F1418" t="str">
            <v>Lights, Surgical</v>
          </cell>
          <cell r="G1418" t="str">
            <v>IC</v>
          </cell>
          <cell r="H1418" t="str">
            <v>INTENSIVE CARE UNIT</v>
          </cell>
          <cell r="I1418" t="str">
            <v>05IC115</v>
          </cell>
          <cell r="J1418" t="str">
            <v>ICU RM 4</v>
          </cell>
          <cell r="K1418" t="str">
            <v>BMED</v>
          </cell>
          <cell r="L1418" t="str">
            <v>Critical</v>
          </cell>
          <cell r="M1418" t="str">
            <v>USA</v>
          </cell>
          <cell r="N1418" t="str">
            <v>Welch Allyn</v>
          </cell>
          <cell r="O1418" t="str">
            <v>Welch Allyn GS900</v>
          </cell>
          <cell r="P1418" t="str">
            <v>10043011102388</v>
          </cell>
          <cell r="Q1418" t="str">
            <v>Not Applicable</v>
          </cell>
          <cell r="R1418" t="str">
            <v>Welch Allyn Inc</v>
          </cell>
          <cell r="S1418" t="str">
            <v>Welch Allyn Malaysia Sdn Bhd</v>
          </cell>
          <cell r="T1418" t="str">
            <v>Functioning</v>
          </cell>
          <cell r="U1418" t="str">
            <v>Asset</v>
          </cell>
          <cell r="V1418">
            <v>10585</v>
          </cell>
          <cell r="W1418" t="str">
            <v>KEW</v>
          </cell>
          <cell r="X1418" t="str">
            <v>01/09/2010</v>
          </cell>
          <cell r="Y1418" t="str">
            <v>KEW</v>
          </cell>
          <cell r="Z1418" t="str">
            <v>16/08/2013</v>
          </cell>
          <cell r="AA1418" t="str">
            <v>15/08/2015</v>
          </cell>
          <cell r="AB1418" t="str">
            <v>No</v>
          </cell>
          <cell r="AC1418" t="str">
            <v>31/08/2013</v>
          </cell>
          <cell r="AD1418" t="str">
            <v>Good</v>
          </cell>
          <cell r="AE1418" t="str">
            <v>V1 - Existing / No Claim</v>
          </cell>
          <cell r="AF1418">
            <v>42797</v>
          </cell>
          <cell r="AG1418">
            <v>9.17</v>
          </cell>
          <cell r="AH1418" t="str">
            <v>PPM</v>
          </cell>
          <cell r="AI1418" t="str">
            <v>Strands</v>
          </cell>
          <cell r="AJ1418" t="str">
            <v>Strands PW</v>
          </cell>
        </row>
        <row r="1419">
          <cell r="A1419" t="str">
            <v>IKN401122</v>
          </cell>
          <cell r="B1419">
            <v>1120</v>
          </cell>
          <cell r="C1419" t="str">
            <v>Institut Kanser Negara</v>
          </cell>
          <cell r="D1419" t="str">
            <v>KKM/IKN/H/13/358</v>
          </cell>
          <cell r="E1419" t="str">
            <v>12-873</v>
          </cell>
          <cell r="F1419" t="str">
            <v>Concentrators, Oxygen</v>
          </cell>
          <cell r="G1419" t="str">
            <v>PC</v>
          </cell>
          <cell r="H1419" t="str">
            <v>PALLIATIVE CARE UNIT</v>
          </cell>
          <cell r="I1419" t="str">
            <v>04PC109</v>
          </cell>
          <cell r="J1419" t="str">
            <v>GEN. STORE</v>
          </cell>
          <cell r="K1419" t="str">
            <v>BMED</v>
          </cell>
          <cell r="L1419" t="str">
            <v>Normal</v>
          </cell>
          <cell r="M1419" t="str">
            <v>USA</v>
          </cell>
          <cell r="N1419" t="str">
            <v>EverFlo</v>
          </cell>
          <cell r="O1419" t="str">
            <v>EverFlo</v>
          </cell>
          <cell r="P1419" t="str">
            <v>14758</v>
          </cell>
          <cell r="Q1419" t="str">
            <v>Not Applicable</v>
          </cell>
          <cell r="R1419" t="str">
            <v>Respironics</v>
          </cell>
          <cell r="S1419" t="str">
            <v>Goodlabs Medical (M) Sdn. Bhd.</v>
          </cell>
          <cell r="T1419" t="str">
            <v>Functioning</v>
          </cell>
          <cell r="U1419" t="str">
            <v>Asset</v>
          </cell>
          <cell r="V1419">
            <v>5773</v>
          </cell>
          <cell r="W1419" t="str">
            <v>KEW</v>
          </cell>
          <cell r="X1419">
            <v>40422</v>
          </cell>
          <cell r="Y1419" t="str">
            <v>KEW</v>
          </cell>
          <cell r="Z1419" t="str">
            <v>16/08/2013</v>
          </cell>
          <cell r="AA1419" t="str">
            <v>15/08/2015</v>
          </cell>
          <cell r="AB1419" t="str">
            <v>No</v>
          </cell>
          <cell r="AC1419" t="str">
            <v>31/08/2013</v>
          </cell>
          <cell r="AD1419" t="str">
            <v>Good</v>
          </cell>
          <cell r="AE1419" t="str">
            <v>V1 - Existing / No Claim</v>
          </cell>
          <cell r="AF1419">
            <v>42235</v>
          </cell>
          <cell r="AG1419">
            <v>9.17</v>
          </cell>
          <cell r="AH1419" t="str">
            <v>PPM</v>
          </cell>
          <cell r="AI1419" t="str">
            <v>Strands</v>
          </cell>
          <cell r="AJ1419" t="str">
            <v>Strands PW</v>
          </cell>
        </row>
        <row r="1420">
          <cell r="A1420" t="str">
            <v>IKN401123</v>
          </cell>
          <cell r="B1420">
            <v>1121</v>
          </cell>
          <cell r="C1420" t="str">
            <v>Institut Kanser Negara</v>
          </cell>
          <cell r="D1420" t="str">
            <v>KKM/IKN/H/13/4290</v>
          </cell>
          <cell r="E1420" t="str">
            <v>13-215</v>
          </cell>
          <cell r="F1420" t="str">
            <v>Infusion Pumps, General-Purpose</v>
          </cell>
          <cell r="G1420" t="str">
            <v>WB</v>
          </cell>
          <cell r="H1420" t="str">
            <v>SURGICAL ONCO MALE WARD</v>
          </cell>
          <cell r="I1420" t="str">
            <v>05WB113</v>
          </cell>
          <cell r="J1420" t="str">
            <v>EQUIP. ROOM</v>
          </cell>
          <cell r="K1420" t="str">
            <v>BMED</v>
          </cell>
          <cell r="L1420" t="str">
            <v>Critical</v>
          </cell>
          <cell r="M1420" t="str">
            <v>Germany</v>
          </cell>
          <cell r="N1420" t="str">
            <v>Infusomat</v>
          </cell>
          <cell r="O1420" t="str">
            <v>Infusomat Space</v>
          </cell>
          <cell r="P1420" t="str">
            <v>211911</v>
          </cell>
          <cell r="Q1420" t="str">
            <v>Not Applicable</v>
          </cell>
          <cell r="R1420" t="str">
            <v>B Braun Melsungen AG</v>
          </cell>
          <cell r="S1420" t="str">
            <v>B Braun Medical Supplies Sdn. Bhd.</v>
          </cell>
          <cell r="T1420" t="str">
            <v>Functioning</v>
          </cell>
          <cell r="U1420" t="str">
            <v>Asset</v>
          </cell>
          <cell r="V1420">
            <v>10825</v>
          </cell>
          <cell r="W1420" t="str">
            <v>KEW</v>
          </cell>
          <cell r="X1420" t="str">
            <v>01/09/2010</v>
          </cell>
          <cell r="Y1420" t="str">
            <v>KEW</v>
          </cell>
          <cell r="Z1420" t="str">
            <v>16/08/2013</v>
          </cell>
          <cell r="AA1420" t="str">
            <v>15/08/2015</v>
          </cell>
          <cell r="AB1420" t="str">
            <v>No</v>
          </cell>
          <cell r="AC1420" t="str">
            <v>31/08/2013</v>
          </cell>
          <cell r="AD1420" t="str">
            <v>Good</v>
          </cell>
          <cell r="AE1420" t="str">
            <v>V1 - Existing / No Claim</v>
          </cell>
          <cell r="AF1420">
            <v>42788</v>
          </cell>
          <cell r="AG1420">
            <v>9.17</v>
          </cell>
          <cell r="AH1420" t="str">
            <v>PPM</v>
          </cell>
          <cell r="AI1420" t="str">
            <v>Strands</v>
          </cell>
          <cell r="AJ1420" t="str">
            <v>Strands PW SET B</v>
          </cell>
          <cell r="AK1420" t="str">
            <v>CUBA CHECK IKN400441 PUNYA KEWPA</v>
          </cell>
        </row>
        <row r="1421">
          <cell r="A1421" t="str">
            <v>IKN401124</v>
          </cell>
          <cell r="B1421">
            <v>1122</v>
          </cell>
          <cell r="C1421" t="str">
            <v>Institut Kanser Negara</v>
          </cell>
          <cell r="D1421" t="str">
            <v>KKM/IKN/R/15/15</v>
          </cell>
          <cell r="E1421" t="str">
            <v>15-663</v>
          </cell>
          <cell r="F1421" t="str">
            <v>Pipetters</v>
          </cell>
          <cell r="G1421" t="str">
            <v>NM</v>
          </cell>
          <cell r="H1421" t="str">
            <v>NUCLEAR MED (DIAGNOSTIC)</v>
          </cell>
          <cell r="I1421" t="str">
            <v>03NM154</v>
          </cell>
          <cell r="J1421" t="str">
            <v>RIA LAB</v>
          </cell>
          <cell r="K1421" t="str">
            <v>BMED</v>
          </cell>
          <cell r="L1421" t="str">
            <v>Normal</v>
          </cell>
          <cell r="M1421" t="str">
            <v>Germany</v>
          </cell>
          <cell r="N1421" t="str">
            <v>Eppendorf</v>
          </cell>
          <cell r="O1421" t="str">
            <v>Research Plus</v>
          </cell>
          <cell r="P1421" t="str">
            <v>J275491D</v>
          </cell>
          <cell r="Q1421" t="str">
            <v>Not Applicable</v>
          </cell>
          <cell r="R1421" t="str">
            <v>Eppendorf</v>
          </cell>
          <cell r="S1421" t="str">
            <v>Medigene sdn bhd</v>
          </cell>
          <cell r="T1421" t="str">
            <v>Functioning</v>
          </cell>
          <cell r="U1421" t="str">
            <v>Asset</v>
          </cell>
          <cell r="V1421">
            <v>596</v>
          </cell>
          <cell r="W1421" t="str">
            <v>KEW</v>
          </cell>
          <cell r="X1421" t="str">
            <v>08/05/2015</v>
          </cell>
          <cell r="Y1421" t="str">
            <v>KEW</v>
          </cell>
          <cell r="Z1421" t="str">
            <v>08/06/2015</v>
          </cell>
          <cell r="AA1421" t="str">
            <v>07/06/2018</v>
          </cell>
          <cell r="AB1421" t="str">
            <v>No</v>
          </cell>
          <cell r="AC1421" t="str">
            <v>08/06/2015</v>
          </cell>
          <cell r="AD1421" t="str">
            <v>Good</v>
          </cell>
          <cell r="AE1421" t="str">
            <v>V3 - Added Installed Facilities (New)</v>
          </cell>
          <cell r="AF1421">
            <v>42235</v>
          </cell>
          <cell r="AG1421">
            <v>4.5</v>
          </cell>
          <cell r="AH1421" t="str">
            <v>PPM</v>
          </cell>
          <cell r="AI1421" t="str">
            <v>Not in contract</v>
          </cell>
          <cell r="AJ1421" t="str">
            <v>Proposed for V3 P2.23</v>
          </cell>
          <cell r="AK1421" t="str">
            <v>KKM follow P2.23 list.</v>
          </cell>
        </row>
        <row r="1422">
          <cell r="A1422" t="str">
            <v>IKN401125</v>
          </cell>
          <cell r="B1422">
            <v>1123</v>
          </cell>
          <cell r="C1422" t="str">
            <v>Institut Kanser Negara</v>
          </cell>
          <cell r="D1422" t="str">
            <v>KKM/IKN/R/15/16</v>
          </cell>
          <cell r="E1422" t="str">
            <v>15-663</v>
          </cell>
          <cell r="F1422" t="str">
            <v>Pipetters</v>
          </cell>
          <cell r="G1422" t="str">
            <v>NM</v>
          </cell>
          <cell r="H1422" t="str">
            <v>NUCLEAR MED (DIAGNOSTIC)</v>
          </cell>
          <cell r="I1422" t="str">
            <v>03NM154</v>
          </cell>
          <cell r="J1422" t="str">
            <v>RIA LAB</v>
          </cell>
          <cell r="K1422" t="str">
            <v>BMED</v>
          </cell>
          <cell r="L1422" t="str">
            <v>Normal</v>
          </cell>
          <cell r="M1422" t="str">
            <v>Germany</v>
          </cell>
          <cell r="N1422" t="str">
            <v>Eppendorf</v>
          </cell>
          <cell r="O1422" t="str">
            <v>Research Plus</v>
          </cell>
          <cell r="P1422" t="str">
            <v>358798Z</v>
          </cell>
          <cell r="Q1422" t="str">
            <v>Not Applicable</v>
          </cell>
          <cell r="R1422" t="str">
            <v>Eppendorf</v>
          </cell>
          <cell r="S1422" t="str">
            <v>Medigene sdn bhd</v>
          </cell>
          <cell r="T1422" t="str">
            <v>Functioning</v>
          </cell>
          <cell r="U1422" t="str">
            <v>Asset</v>
          </cell>
          <cell r="V1422">
            <v>762</v>
          </cell>
          <cell r="W1422" t="str">
            <v>KEW</v>
          </cell>
          <cell r="X1422" t="str">
            <v>08/05/2015</v>
          </cell>
          <cell r="Y1422" t="str">
            <v>KEW</v>
          </cell>
          <cell r="Z1422" t="str">
            <v>08/06/2015</v>
          </cell>
          <cell r="AA1422" t="str">
            <v>07/06/2018</v>
          </cell>
          <cell r="AB1422" t="str">
            <v>No</v>
          </cell>
          <cell r="AC1422" t="str">
            <v>08/06/2015</v>
          </cell>
          <cell r="AD1422" t="str">
            <v>Good</v>
          </cell>
          <cell r="AE1422" t="str">
            <v>V3 - Added Installed Facilities (New)</v>
          </cell>
          <cell r="AF1422">
            <v>42235</v>
          </cell>
          <cell r="AG1422">
            <v>4.5</v>
          </cell>
          <cell r="AH1422" t="str">
            <v>PPM</v>
          </cell>
          <cell r="AI1422" t="str">
            <v>Not in contract</v>
          </cell>
          <cell r="AJ1422" t="str">
            <v>Proposed for V3 P2.23</v>
          </cell>
          <cell r="AK1422" t="str">
            <v>KKM follow P2.23 list.</v>
          </cell>
        </row>
        <row r="1423">
          <cell r="A1423" t="str">
            <v>IKN401126</v>
          </cell>
          <cell r="B1423">
            <v>1124</v>
          </cell>
          <cell r="C1423" t="str">
            <v>Institut Kanser Negara</v>
          </cell>
          <cell r="D1423" t="e">
            <v>#N/A</v>
          </cell>
          <cell r="E1423" t="str">
            <v>15-605</v>
          </cell>
          <cell r="F1423" t="str">
            <v>Testers</v>
          </cell>
          <cell r="G1423" t="str">
            <v>PS</v>
          </cell>
          <cell r="H1423" t="str">
            <v>SUPPORT SERVICE/PLANT</v>
          </cell>
          <cell r="I1423" t="str">
            <v>01PS105</v>
          </cell>
          <cell r="J1423" t="str">
            <v>CHIEF ENGINEER</v>
          </cell>
          <cell r="K1423" t="str">
            <v>BMED</v>
          </cell>
          <cell r="L1423" t="str">
            <v>Normal</v>
          </cell>
          <cell r="M1423" t="str">
            <v>USA</v>
          </cell>
          <cell r="N1423" t="str">
            <v>Fluke</v>
          </cell>
          <cell r="O1423" t="str">
            <v>Impulse 7000 DP</v>
          </cell>
          <cell r="P1423" t="str">
            <v>2298012</v>
          </cell>
          <cell r="Q1423" t="str">
            <v>Not Applicable</v>
          </cell>
          <cell r="R1423" t="str">
            <v>Fluke Biomedical RMS</v>
          </cell>
          <cell r="S1423" t="str">
            <v>Bell Comm Technologies Sdn Bhd</v>
          </cell>
          <cell r="T1423" t="str">
            <v>Functioning</v>
          </cell>
          <cell r="U1423" t="str">
            <v>Asset</v>
          </cell>
          <cell r="V1423">
            <v>22130</v>
          </cell>
          <cell r="W1423" t="str">
            <v>KEW</v>
          </cell>
          <cell r="X1423" t="str">
            <v>01/09/2010</v>
          </cell>
          <cell r="Y1423" t="str">
            <v>KEW</v>
          </cell>
          <cell r="Z1423" t="str">
            <v>16/08/2013</v>
          </cell>
          <cell r="AA1423" t="str">
            <v>15/08/2015</v>
          </cell>
          <cell r="AB1423" t="str">
            <v>No</v>
          </cell>
          <cell r="AC1423" t="str">
            <v>31/08/2013</v>
          </cell>
          <cell r="AD1423" t="str">
            <v>Good</v>
          </cell>
          <cell r="AE1423" t="str">
            <v>V1 - Existing / No Claim</v>
          </cell>
          <cell r="AF1423">
            <v>42235</v>
          </cell>
          <cell r="AG1423">
            <v>9.17</v>
          </cell>
          <cell r="AH1423" t="str">
            <v>PPM</v>
          </cell>
          <cell r="AI1423" t="str">
            <v>Not in contract</v>
          </cell>
          <cell r="AJ1423" t="str">
            <v>ANALYZER</v>
          </cell>
          <cell r="AK1423" t="str">
            <v>IKN agreed unit to be used by BEMS but have to calibrate.</v>
          </cell>
        </row>
        <row r="1424">
          <cell r="A1424" t="str">
            <v>IKN401127</v>
          </cell>
          <cell r="B1424">
            <v>1125</v>
          </cell>
          <cell r="C1424" t="str">
            <v>Institut Kanser Negara</v>
          </cell>
          <cell r="D1424" t="e">
            <v>#N/A</v>
          </cell>
          <cell r="E1424" t="str">
            <v>15-605</v>
          </cell>
          <cell r="F1424" t="str">
            <v>Testers</v>
          </cell>
          <cell r="G1424" t="str">
            <v>PS</v>
          </cell>
          <cell r="H1424" t="str">
            <v>SUPPORT SERVICE/PLANT</v>
          </cell>
          <cell r="I1424" t="str">
            <v>01PS105</v>
          </cell>
          <cell r="J1424" t="str">
            <v>CHIEF ENGINEER</v>
          </cell>
          <cell r="K1424" t="str">
            <v>BMED</v>
          </cell>
          <cell r="L1424" t="str">
            <v>Normal</v>
          </cell>
          <cell r="M1424" t="str">
            <v>USA</v>
          </cell>
          <cell r="N1424" t="str">
            <v>Fluke</v>
          </cell>
          <cell r="O1424" t="str">
            <v>Index 2XLFE</v>
          </cell>
          <cell r="P1424" t="str">
            <v>2324002</v>
          </cell>
          <cell r="Q1424" t="str">
            <v>Not Applicable</v>
          </cell>
          <cell r="R1424" t="str">
            <v>Fluke Biomedical RMS</v>
          </cell>
          <cell r="S1424" t="str">
            <v>Bell Comm Technologies Sdn Bhd</v>
          </cell>
          <cell r="T1424" t="str">
            <v>Functioning</v>
          </cell>
          <cell r="U1424" t="str">
            <v>Asset</v>
          </cell>
          <cell r="V1424">
            <v>30070</v>
          </cell>
          <cell r="W1424" t="str">
            <v>KEW</v>
          </cell>
          <cell r="X1424" t="str">
            <v>01/09/2010</v>
          </cell>
          <cell r="Y1424" t="str">
            <v>KEW</v>
          </cell>
          <cell r="Z1424" t="str">
            <v>16/08/2013</v>
          </cell>
          <cell r="AA1424" t="str">
            <v>15/08/2015</v>
          </cell>
          <cell r="AB1424" t="str">
            <v>No</v>
          </cell>
          <cell r="AC1424" t="str">
            <v>31/08/2013</v>
          </cell>
          <cell r="AD1424" t="str">
            <v>Good</v>
          </cell>
          <cell r="AE1424" t="str">
            <v>V1 - Existing / No Claim</v>
          </cell>
          <cell r="AF1424">
            <v>42235</v>
          </cell>
          <cell r="AG1424">
            <v>9.17</v>
          </cell>
          <cell r="AH1424" t="str">
            <v>PPM</v>
          </cell>
          <cell r="AI1424" t="str">
            <v>Not in contract</v>
          </cell>
          <cell r="AJ1424" t="str">
            <v>ANALYZER</v>
          </cell>
          <cell r="AK1424" t="str">
            <v>IKN agreed unit to be used by BEMS but have to calibrate.</v>
          </cell>
        </row>
        <row r="1425">
          <cell r="A1425" t="str">
            <v>IKN401128</v>
          </cell>
          <cell r="B1425">
            <v>1126</v>
          </cell>
          <cell r="C1425" t="str">
            <v>Institut Kanser Negara</v>
          </cell>
          <cell r="D1425" t="e">
            <v>#N/A</v>
          </cell>
          <cell r="E1425" t="str">
            <v>15-605</v>
          </cell>
          <cell r="F1425" t="str">
            <v>Testers</v>
          </cell>
          <cell r="G1425" t="str">
            <v>PS</v>
          </cell>
          <cell r="H1425" t="str">
            <v>SUPPORT SERVICE/PLANT</v>
          </cell>
          <cell r="I1425" t="str">
            <v>01PS105</v>
          </cell>
          <cell r="J1425" t="str">
            <v>CHIEF ENGINEER</v>
          </cell>
          <cell r="K1425" t="str">
            <v>BMED</v>
          </cell>
          <cell r="L1425" t="str">
            <v>Normal</v>
          </cell>
          <cell r="M1425" t="str">
            <v>USA</v>
          </cell>
          <cell r="N1425" t="str">
            <v>Fluke</v>
          </cell>
          <cell r="O1425" t="str">
            <v>BP PUMP 2L</v>
          </cell>
          <cell r="P1425" t="str">
            <v>2318007</v>
          </cell>
          <cell r="Q1425" t="str">
            <v>Not Applicable</v>
          </cell>
          <cell r="R1425" t="str">
            <v>Fluke Biomedical RMS</v>
          </cell>
          <cell r="S1425" t="str">
            <v>Bell Comm Technologies Sdn Bhd</v>
          </cell>
          <cell r="T1425" t="str">
            <v>Functioning</v>
          </cell>
          <cell r="U1425" t="str">
            <v>Asset</v>
          </cell>
          <cell r="V1425">
            <v>31034</v>
          </cell>
          <cell r="W1425" t="str">
            <v>KEW</v>
          </cell>
          <cell r="X1425" t="str">
            <v>01/09/2010</v>
          </cell>
          <cell r="Y1425" t="str">
            <v>KEW</v>
          </cell>
          <cell r="Z1425" t="str">
            <v>16/08/2013</v>
          </cell>
          <cell r="AA1425" t="str">
            <v>15/08/2015</v>
          </cell>
          <cell r="AB1425" t="str">
            <v>No</v>
          </cell>
          <cell r="AC1425" t="str">
            <v>31/08/2013</v>
          </cell>
          <cell r="AD1425" t="str">
            <v>Good</v>
          </cell>
          <cell r="AE1425" t="str">
            <v>V1 - Existing / No Claim</v>
          </cell>
          <cell r="AF1425">
            <v>42235</v>
          </cell>
          <cell r="AG1425">
            <v>9.17</v>
          </cell>
          <cell r="AH1425" t="str">
            <v>PPM</v>
          </cell>
          <cell r="AI1425" t="str">
            <v>Not in contract</v>
          </cell>
          <cell r="AJ1425" t="str">
            <v>ANALYZER</v>
          </cell>
          <cell r="AK1425" t="str">
            <v>IKN agreed unit to be used by BEMS but have to calibrate.</v>
          </cell>
        </row>
        <row r="1426">
          <cell r="A1426" t="str">
            <v>IKN401129</v>
          </cell>
          <cell r="B1426">
            <v>1127</v>
          </cell>
          <cell r="C1426" t="str">
            <v>Institut Kanser Negara</v>
          </cell>
          <cell r="D1426" t="e">
            <v>#N/A</v>
          </cell>
          <cell r="E1426" t="str">
            <v>15-605</v>
          </cell>
          <cell r="F1426" t="str">
            <v>Testers</v>
          </cell>
          <cell r="G1426" t="str">
            <v>PS</v>
          </cell>
          <cell r="H1426" t="str">
            <v>SUPPORT SERVICE/PLANT</v>
          </cell>
          <cell r="I1426" t="str">
            <v>01PS105</v>
          </cell>
          <cell r="J1426" t="str">
            <v>CHIEF ENGINEER</v>
          </cell>
          <cell r="K1426" t="str">
            <v>BMED</v>
          </cell>
          <cell r="L1426" t="str">
            <v>Normal</v>
          </cell>
          <cell r="M1426" t="str">
            <v>USA</v>
          </cell>
          <cell r="N1426" t="str">
            <v>Fluke</v>
          </cell>
          <cell r="O1426" t="str">
            <v>VT MOBILE</v>
          </cell>
          <cell r="P1426" t="str">
            <v>2322028</v>
          </cell>
          <cell r="Q1426" t="str">
            <v>Not Applicable</v>
          </cell>
          <cell r="R1426" t="str">
            <v>Fluke Biomedical RMS</v>
          </cell>
          <cell r="S1426" t="str">
            <v>Bell Comm Technologies Sdn Bhd</v>
          </cell>
          <cell r="T1426" t="str">
            <v>Functioning</v>
          </cell>
          <cell r="U1426" t="str">
            <v>Asset</v>
          </cell>
          <cell r="V1426">
            <v>56956</v>
          </cell>
          <cell r="W1426" t="str">
            <v>KEW</v>
          </cell>
          <cell r="X1426" t="str">
            <v>01/09/2010</v>
          </cell>
          <cell r="Y1426" t="str">
            <v>KEW</v>
          </cell>
          <cell r="Z1426" t="str">
            <v>16/08/2013</v>
          </cell>
          <cell r="AA1426" t="str">
            <v>15/08/2015</v>
          </cell>
          <cell r="AB1426" t="str">
            <v>No</v>
          </cell>
          <cell r="AC1426" t="str">
            <v>31/08/2013</v>
          </cell>
          <cell r="AD1426" t="str">
            <v>Good</v>
          </cell>
          <cell r="AE1426" t="str">
            <v>V1 - Existing / No Claim</v>
          </cell>
          <cell r="AF1426">
            <v>42235</v>
          </cell>
          <cell r="AG1426">
            <v>9.17</v>
          </cell>
          <cell r="AH1426" t="str">
            <v>PPM</v>
          </cell>
          <cell r="AI1426" t="str">
            <v>Not in contract</v>
          </cell>
          <cell r="AJ1426" t="str">
            <v>ANALYZER</v>
          </cell>
          <cell r="AK1426" t="str">
            <v>IKN agreed unit to be used by BEMS but have to calibrate.</v>
          </cell>
        </row>
        <row r="1427">
          <cell r="A1427" t="str">
            <v>IKN401130</v>
          </cell>
          <cell r="B1427">
            <v>1128</v>
          </cell>
          <cell r="C1427" t="str">
            <v>Institut Kanser Negara</v>
          </cell>
          <cell r="D1427" t="e">
            <v>#N/A</v>
          </cell>
          <cell r="E1427" t="str">
            <v>15-605</v>
          </cell>
          <cell r="F1427" t="str">
            <v>Testers</v>
          </cell>
          <cell r="G1427" t="str">
            <v>PS</v>
          </cell>
          <cell r="H1427" t="str">
            <v>SUPPORT SERVICE/PLANT</v>
          </cell>
          <cell r="I1427" t="str">
            <v>01PS105</v>
          </cell>
          <cell r="J1427" t="str">
            <v>CHIEF ENGINEER</v>
          </cell>
          <cell r="K1427" t="str">
            <v>BMED</v>
          </cell>
          <cell r="L1427" t="str">
            <v>Normal</v>
          </cell>
          <cell r="M1427" t="str">
            <v>USA</v>
          </cell>
          <cell r="N1427" t="str">
            <v>Fluke</v>
          </cell>
          <cell r="O1427" t="str">
            <v>VT MOBILE</v>
          </cell>
          <cell r="P1427" t="str">
            <v>2322030</v>
          </cell>
          <cell r="Q1427" t="str">
            <v>Not Applicable</v>
          </cell>
          <cell r="R1427" t="str">
            <v>Fluke Biomedical RMS</v>
          </cell>
          <cell r="S1427" t="str">
            <v>Bell Comm Technologies Sdn Bhd</v>
          </cell>
          <cell r="T1427" t="str">
            <v>Functioning</v>
          </cell>
          <cell r="U1427" t="str">
            <v>Asset</v>
          </cell>
          <cell r="V1427">
            <v>56956</v>
          </cell>
          <cell r="W1427" t="str">
            <v>KEW</v>
          </cell>
          <cell r="X1427" t="str">
            <v>01/09/2010</v>
          </cell>
          <cell r="Y1427" t="str">
            <v>KEW</v>
          </cell>
          <cell r="Z1427" t="str">
            <v>16/08/2013</v>
          </cell>
          <cell r="AA1427" t="str">
            <v>15/08/2015</v>
          </cell>
          <cell r="AB1427" t="str">
            <v>No</v>
          </cell>
          <cell r="AC1427" t="str">
            <v>31/08/2013</v>
          </cell>
          <cell r="AD1427" t="str">
            <v>Good</v>
          </cell>
          <cell r="AE1427" t="str">
            <v>V1 - Existing / No Claim</v>
          </cell>
          <cell r="AF1427">
            <v>42235</v>
          </cell>
          <cell r="AG1427">
            <v>9.17</v>
          </cell>
          <cell r="AH1427" t="str">
            <v>PPM</v>
          </cell>
          <cell r="AI1427" t="str">
            <v>Not in contract</v>
          </cell>
          <cell r="AJ1427" t="str">
            <v>ANALYZER</v>
          </cell>
          <cell r="AK1427" t="str">
            <v>IKN agreed unit to be used by BEMS but have to calibrate.</v>
          </cell>
        </row>
        <row r="1428">
          <cell r="A1428" t="str">
            <v>IKN401131</v>
          </cell>
          <cell r="B1428">
            <v>1129</v>
          </cell>
          <cell r="C1428" t="str">
            <v>Institut Kanser Negara</v>
          </cell>
          <cell r="D1428" t="str">
            <v>KKM/IKN/H/13/1188</v>
          </cell>
          <cell r="E1428" t="str">
            <v>11-295</v>
          </cell>
          <cell r="F1428" t="str">
            <v>Dosimeters, Radiation</v>
          </cell>
          <cell r="G1428" t="str">
            <v>RT</v>
          </cell>
          <cell r="H1428" t="str">
            <v>RADIATION TREATMENT UNIT</v>
          </cell>
          <cell r="I1428" t="str">
            <v>01RT213</v>
          </cell>
          <cell r="J1428" t="str">
            <v>EQUIPMENT ROOM1</v>
          </cell>
          <cell r="K1428" t="str">
            <v>BMED</v>
          </cell>
          <cell r="L1428" t="str">
            <v>Normal</v>
          </cell>
          <cell r="M1428" t="str">
            <v>Germany</v>
          </cell>
          <cell r="N1428" t="str">
            <v>Thermo Fisher</v>
          </cell>
          <cell r="O1428" t="str">
            <v>EPD MK2.5</v>
          </cell>
          <cell r="P1428" t="str">
            <v>00289454</v>
          </cell>
          <cell r="Q1428" t="str">
            <v>Not Applicable</v>
          </cell>
          <cell r="R1428" t="str">
            <v>Thermo Fisher Scientific</v>
          </cell>
          <cell r="S1428" t="str">
            <v>Delta Advantech (M) Sdn Bhd</v>
          </cell>
          <cell r="T1428" t="str">
            <v>Functioning</v>
          </cell>
          <cell r="U1428" t="str">
            <v>Asset</v>
          </cell>
          <cell r="V1428">
            <v>4370</v>
          </cell>
          <cell r="W1428" t="str">
            <v>KEW</v>
          </cell>
          <cell r="X1428" t="str">
            <v>01/09/2010</v>
          </cell>
          <cell r="Y1428" t="str">
            <v>KEW</v>
          </cell>
          <cell r="Z1428" t="str">
            <v>16/08/2013</v>
          </cell>
          <cell r="AA1428" t="str">
            <v>15/08/2015</v>
          </cell>
          <cell r="AB1428" t="str">
            <v>No</v>
          </cell>
          <cell r="AC1428" t="str">
            <v>31/08/2013</v>
          </cell>
          <cell r="AD1428" t="str">
            <v>Good</v>
          </cell>
          <cell r="AE1428" t="str">
            <v>V1 - Existing / No Claim</v>
          </cell>
          <cell r="AF1428">
            <v>42235</v>
          </cell>
          <cell r="AG1428">
            <v>9.17</v>
          </cell>
          <cell r="AH1428" t="str">
            <v>PPM</v>
          </cell>
          <cell r="AI1428" t="str">
            <v>package</v>
          </cell>
          <cell r="AJ1428" t="str">
            <v>Strands PW</v>
          </cell>
        </row>
        <row r="1429">
          <cell r="A1429" t="str">
            <v>IKN401133</v>
          </cell>
          <cell r="B1429">
            <v>1131</v>
          </cell>
          <cell r="C1429" t="str">
            <v>Institut Kanser Negara</v>
          </cell>
          <cell r="D1429" t="str">
            <v>KKM/IKN/H/13/2144</v>
          </cell>
          <cell r="E1429" t="str">
            <v>15-663</v>
          </cell>
          <cell r="F1429" t="str">
            <v>Pipetters</v>
          </cell>
          <cell r="G1429" t="str">
            <v>LA</v>
          </cell>
          <cell r="H1429" t="str">
            <v>PATHOLOGY</v>
          </cell>
          <cell r="I1429" t="str">
            <v>04LA126</v>
          </cell>
          <cell r="J1429" t="str">
            <v>MICROBIOLOGY UNIT</v>
          </cell>
          <cell r="K1429" t="str">
            <v>BMED</v>
          </cell>
          <cell r="L1429" t="str">
            <v>Normal</v>
          </cell>
          <cell r="M1429" t="str">
            <v>Germany</v>
          </cell>
          <cell r="N1429" t="str">
            <v>Eppendorf</v>
          </cell>
          <cell r="O1429" t="str">
            <v>Research Plus Multi</v>
          </cell>
          <cell r="P1429" t="str">
            <v>O22701B</v>
          </cell>
          <cell r="Q1429" t="str">
            <v>Not Applicable</v>
          </cell>
          <cell r="R1429" t="str">
            <v>Eppendorf</v>
          </cell>
          <cell r="S1429" t="str">
            <v>Medigene sdn bhd</v>
          </cell>
          <cell r="T1429" t="str">
            <v>Functioning</v>
          </cell>
          <cell r="U1429" t="str">
            <v>Asset</v>
          </cell>
          <cell r="V1429">
            <v>3250</v>
          </cell>
          <cell r="W1429" t="str">
            <v>KEW</v>
          </cell>
          <cell r="X1429" t="str">
            <v>01/09/2010</v>
          </cell>
          <cell r="Y1429" t="str">
            <v>KEW</v>
          </cell>
          <cell r="Z1429" t="str">
            <v>16/08/2013</v>
          </cell>
          <cell r="AA1429" t="str">
            <v>15/08/2015</v>
          </cell>
          <cell r="AB1429" t="str">
            <v>No</v>
          </cell>
          <cell r="AC1429" t="str">
            <v>31/08/2013</v>
          </cell>
          <cell r="AD1429" t="str">
            <v>Good</v>
          </cell>
          <cell r="AE1429" t="str">
            <v>V1 - Existing / No Claim</v>
          </cell>
          <cell r="AF1429">
            <v>42790</v>
          </cell>
          <cell r="AG1429">
            <v>9.17</v>
          </cell>
          <cell r="AH1429" t="str">
            <v>PPM</v>
          </cell>
          <cell r="AI1429" t="str">
            <v>Strands</v>
          </cell>
          <cell r="AJ1429" t="str">
            <v>Strands PW</v>
          </cell>
        </row>
        <row r="1430">
          <cell r="A1430" t="str">
            <v>IKN401134</v>
          </cell>
          <cell r="B1430">
            <v>1132</v>
          </cell>
          <cell r="C1430" t="str">
            <v>Institut Kanser Negara</v>
          </cell>
          <cell r="D1430" t="str">
            <v>KKM/IKN/H/13/2142</v>
          </cell>
          <cell r="E1430" t="str">
            <v>15-663</v>
          </cell>
          <cell r="F1430" t="str">
            <v>Pipetters</v>
          </cell>
          <cell r="G1430" t="str">
            <v>LA</v>
          </cell>
          <cell r="H1430" t="str">
            <v>PATHOLOGY</v>
          </cell>
          <cell r="I1430" t="str">
            <v>04LA126</v>
          </cell>
          <cell r="J1430" t="str">
            <v>MICROBIOLOGY UNIT</v>
          </cell>
          <cell r="K1430" t="str">
            <v>BMED</v>
          </cell>
          <cell r="L1430" t="str">
            <v>Normal</v>
          </cell>
          <cell r="M1430" t="str">
            <v>Germany</v>
          </cell>
          <cell r="N1430" t="str">
            <v>Eppendorf</v>
          </cell>
          <cell r="O1430" t="str">
            <v>Research Plus Multi</v>
          </cell>
          <cell r="P1430" t="str">
            <v>O22623B</v>
          </cell>
          <cell r="Q1430" t="str">
            <v>Not Applicable</v>
          </cell>
          <cell r="R1430" t="str">
            <v>Eppendorf</v>
          </cell>
          <cell r="S1430" t="str">
            <v>Medigene sdn bhd</v>
          </cell>
          <cell r="T1430" t="str">
            <v>Functioning</v>
          </cell>
          <cell r="U1430" t="str">
            <v>Asset</v>
          </cell>
          <cell r="V1430">
            <v>3250</v>
          </cell>
          <cell r="W1430" t="str">
            <v>KEW</v>
          </cell>
          <cell r="X1430" t="str">
            <v>01/09/2010</v>
          </cell>
          <cell r="Y1430" t="str">
            <v>KEW</v>
          </cell>
          <cell r="Z1430" t="str">
            <v>16/08/2013</v>
          </cell>
          <cell r="AA1430" t="str">
            <v>15/08/2015</v>
          </cell>
          <cell r="AB1430" t="str">
            <v>No</v>
          </cell>
          <cell r="AC1430" t="str">
            <v>31/08/2013</v>
          </cell>
          <cell r="AD1430" t="str">
            <v>Good</v>
          </cell>
          <cell r="AE1430" t="str">
            <v>V1 - Existing / No Claim</v>
          </cell>
          <cell r="AF1430">
            <v>42790</v>
          </cell>
          <cell r="AG1430">
            <v>9.17</v>
          </cell>
          <cell r="AH1430" t="str">
            <v>PPM</v>
          </cell>
          <cell r="AI1430" t="str">
            <v>Strands</v>
          </cell>
          <cell r="AJ1430" t="str">
            <v>Strands PW</v>
          </cell>
        </row>
        <row r="1431">
          <cell r="A1431" t="str">
            <v>IKN401135</v>
          </cell>
          <cell r="B1431">
            <v>1133</v>
          </cell>
          <cell r="C1431" t="str">
            <v>Institut Kanser Negara</v>
          </cell>
          <cell r="D1431" t="str">
            <v>KKM/IKN/H/13/2136</v>
          </cell>
          <cell r="E1431" t="str">
            <v>15-663</v>
          </cell>
          <cell r="F1431" t="str">
            <v>Pipetters</v>
          </cell>
          <cell r="G1431" t="str">
            <v>LA</v>
          </cell>
          <cell r="H1431" t="str">
            <v>PATHOLOGY</v>
          </cell>
          <cell r="I1431" t="str">
            <v>04LA126</v>
          </cell>
          <cell r="J1431" t="str">
            <v>MICROBIOLOGY UNIT</v>
          </cell>
          <cell r="K1431" t="str">
            <v>BMED</v>
          </cell>
          <cell r="L1431" t="str">
            <v>Normal</v>
          </cell>
          <cell r="M1431" t="str">
            <v>Germany</v>
          </cell>
          <cell r="N1431" t="str">
            <v>Eppendorf</v>
          </cell>
          <cell r="O1431" t="str">
            <v>Research Plus</v>
          </cell>
          <cell r="P1431" t="str">
            <v>O11928B</v>
          </cell>
          <cell r="Q1431" t="str">
            <v>Not Applicable</v>
          </cell>
          <cell r="R1431" t="str">
            <v>Eppendorf</v>
          </cell>
          <cell r="S1431" t="str">
            <v>Medigene sdn bhd</v>
          </cell>
          <cell r="T1431" t="str">
            <v>Functioning</v>
          </cell>
          <cell r="U1431" t="str">
            <v>Asset</v>
          </cell>
          <cell r="V1431">
            <v>1250</v>
          </cell>
          <cell r="W1431" t="str">
            <v>KEW</v>
          </cell>
          <cell r="X1431" t="str">
            <v>01/09/2010</v>
          </cell>
          <cell r="Y1431" t="str">
            <v>KEW</v>
          </cell>
          <cell r="Z1431" t="str">
            <v>16/08/2013</v>
          </cell>
          <cell r="AA1431" t="str">
            <v>15/08/2015</v>
          </cell>
          <cell r="AB1431" t="str">
            <v>No</v>
          </cell>
          <cell r="AC1431" t="str">
            <v>31/08/2013</v>
          </cell>
          <cell r="AD1431" t="str">
            <v>Good</v>
          </cell>
          <cell r="AE1431" t="str">
            <v>V3 - Added Installed Facilities (New)</v>
          </cell>
          <cell r="AF1431">
            <v>42790</v>
          </cell>
          <cell r="AG1431">
            <v>9.17</v>
          </cell>
          <cell r="AH1431" t="str">
            <v>PPM</v>
          </cell>
          <cell r="AI1431" t="str">
            <v>Strands</v>
          </cell>
          <cell r="AJ1431" t="str">
            <v>Strands PW</v>
          </cell>
          <cell r="AK1431" t="str">
            <v>SNF received. 1st batch of V3 asset (December 2020)</v>
          </cell>
        </row>
        <row r="1432">
          <cell r="A1432" t="str">
            <v>IKN401136</v>
          </cell>
          <cell r="B1432">
            <v>1134</v>
          </cell>
          <cell r="C1432" t="str">
            <v>Institut Kanser Negara</v>
          </cell>
          <cell r="D1432" t="str">
            <v>KKM/IKN/H/13/2136</v>
          </cell>
          <cell r="E1432" t="str">
            <v>15-663</v>
          </cell>
          <cell r="F1432" t="str">
            <v>Pipetters</v>
          </cell>
          <cell r="G1432" t="str">
            <v>LA</v>
          </cell>
          <cell r="H1432" t="str">
            <v>PATHOLOGY</v>
          </cell>
          <cell r="I1432" t="str">
            <v>04LA126</v>
          </cell>
          <cell r="J1432" t="str">
            <v>MICROBIOLOGY UNIT</v>
          </cell>
          <cell r="K1432" t="str">
            <v>BMED</v>
          </cell>
          <cell r="L1432" t="str">
            <v>Normal</v>
          </cell>
          <cell r="M1432" t="str">
            <v>Germany</v>
          </cell>
          <cell r="N1432" t="str">
            <v>Eppendorf</v>
          </cell>
          <cell r="O1432" t="str">
            <v>Research Plus</v>
          </cell>
          <cell r="P1432" t="str">
            <v>O17010B</v>
          </cell>
          <cell r="Q1432" t="str">
            <v>Not Applicable</v>
          </cell>
          <cell r="R1432" t="str">
            <v>Eppendorf</v>
          </cell>
          <cell r="S1432" t="str">
            <v>Medigene sdn bhd</v>
          </cell>
          <cell r="T1432" t="str">
            <v>Functioning</v>
          </cell>
          <cell r="U1432" t="str">
            <v>Asset</v>
          </cell>
          <cell r="V1432">
            <v>1250</v>
          </cell>
          <cell r="W1432" t="str">
            <v>KEW</v>
          </cell>
          <cell r="X1432" t="str">
            <v>01/09/2010</v>
          </cell>
          <cell r="Y1432" t="str">
            <v>KEW</v>
          </cell>
          <cell r="Z1432" t="str">
            <v>16/08/2013</v>
          </cell>
          <cell r="AA1432" t="str">
            <v>15/08/2015</v>
          </cell>
          <cell r="AB1432" t="str">
            <v>No</v>
          </cell>
          <cell r="AC1432" t="str">
            <v>31/08/2013</v>
          </cell>
          <cell r="AD1432" t="str">
            <v>Good</v>
          </cell>
          <cell r="AE1432" t="str">
            <v>V3 - Added Installed Facilities (New)</v>
          </cell>
          <cell r="AF1432">
            <v>42790</v>
          </cell>
          <cell r="AG1432">
            <v>9.17</v>
          </cell>
          <cell r="AH1432" t="str">
            <v>PPM</v>
          </cell>
          <cell r="AI1432" t="str">
            <v>Strands</v>
          </cell>
          <cell r="AJ1432" t="str">
            <v>Strands PW</v>
          </cell>
          <cell r="AK1432" t="str">
            <v>SNF received. 1st batch of V3 asset (December 2020)</v>
          </cell>
        </row>
        <row r="1433">
          <cell r="A1433" t="str">
            <v>IKN401137</v>
          </cell>
          <cell r="B1433">
            <v>1135</v>
          </cell>
          <cell r="C1433" t="str">
            <v>Institut Kanser Negara</v>
          </cell>
          <cell r="D1433" t="str">
            <v>KKM/IKN/H/13/2137</v>
          </cell>
          <cell r="E1433" t="str">
            <v>15-663</v>
          </cell>
          <cell r="F1433" t="str">
            <v>Pipetters</v>
          </cell>
          <cell r="G1433" t="str">
            <v>LA</v>
          </cell>
          <cell r="H1433" t="str">
            <v>PATHOLOGY</v>
          </cell>
          <cell r="I1433" t="str">
            <v>04LA126</v>
          </cell>
          <cell r="J1433" t="str">
            <v>MICROBIOLOGY UNIT</v>
          </cell>
          <cell r="K1433" t="str">
            <v>BMED</v>
          </cell>
          <cell r="L1433" t="str">
            <v>Normal</v>
          </cell>
          <cell r="M1433" t="str">
            <v>Germany</v>
          </cell>
          <cell r="N1433" t="str">
            <v>Eppendorf</v>
          </cell>
          <cell r="O1433" t="str">
            <v>Research Plus</v>
          </cell>
          <cell r="P1433" t="str">
            <v>O11876B</v>
          </cell>
          <cell r="Q1433" t="str">
            <v>Not Applicable</v>
          </cell>
          <cell r="R1433" t="str">
            <v>Eppendorf</v>
          </cell>
          <cell r="S1433" t="str">
            <v>Medigene sdn bhd</v>
          </cell>
          <cell r="T1433" t="str">
            <v>Functioning</v>
          </cell>
          <cell r="U1433" t="str">
            <v>Asset</v>
          </cell>
          <cell r="V1433">
            <v>1250</v>
          </cell>
          <cell r="W1433" t="str">
            <v>KEW</v>
          </cell>
          <cell r="X1433" t="str">
            <v>01/09/2010</v>
          </cell>
          <cell r="Y1433" t="str">
            <v>KEW</v>
          </cell>
          <cell r="Z1433" t="str">
            <v>16/08/2013</v>
          </cell>
          <cell r="AA1433" t="str">
            <v>15/08/2015</v>
          </cell>
          <cell r="AB1433" t="str">
            <v>No</v>
          </cell>
          <cell r="AC1433" t="str">
            <v>31/08/2013</v>
          </cell>
          <cell r="AD1433" t="str">
            <v>Good</v>
          </cell>
          <cell r="AE1433" t="str">
            <v>V3 - Added Installed Facilities (New)</v>
          </cell>
          <cell r="AF1433">
            <v>42790</v>
          </cell>
          <cell r="AG1433">
            <v>9.17</v>
          </cell>
          <cell r="AH1433" t="str">
            <v>PPM</v>
          </cell>
          <cell r="AI1433" t="str">
            <v>Strands</v>
          </cell>
          <cell r="AJ1433" t="str">
            <v>Strands PW</v>
          </cell>
          <cell r="AK1433" t="str">
            <v>SNF received. 1st batch of V3 asset (December 2020)</v>
          </cell>
        </row>
        <row r="1434">
          <cell r="A1434" t="str">
            <v>IKN401138</v>
          </cell>
          <cell r="B1434">
            <v>1136</v>
          </cell>
          <cell r="C1434" t="str">
            <v>Institut Kanser Negara</v>
          </cell>
          <cell r="D1434" t="str">
            <v>KKM/IKN/H/13/2137</v>
          </cell>
          <cell r="E1434" t="str">
            <v>15-663</v>
          </cell>
          <cell r="F1434" t="str">
            <v>Pipetters</v>
          </cell>
          <cell r="G1434" t="str">
            <v>LA</v>
          </cell>
          <cell r="H1434" t="str">
            <v>PATHOLOGY</v>
          </cell>
          <cell r="I1434" t="str">
            <v>04LA126</v>
          </cell>
          <cell r="J1434" t="str">
            <v>MICROBIOLOGY UNIT</v>
          </cell>
          <cell r="K1434" t="str">
            <v>BMED</v>
          </cell>
          <cell r="L1434" t="str">
            <v>Normal</v>
          </cell>
          <cell r="M1434" t="str">
            <v>Germany</v>
          </cell>
          <cell r="N1434" t="str">
            <v>Eppendorf</v>
          </cell>
          <cell r="O1434" t="str">
            <v>Research Plus</v>
          </cell>
          <cell r="P1434" t="str">
            <v>O37551B</v>
          </cell>
          <cell r="Q1434" t="str">
            <v>Not Applicable</v>
          </cell>
          <cell r="R1434" t="str">
            <v>Eppendorf</v>
          </cell>
          <cell r="S1434" t="str">
            <v>Medigene sdn bhd</v>
          </cell>
          <cell r="T1434" t="str">
            <v>Functioning</v>
          </cell>
          <cell r="U1434" t="str">
            <v>Asset</v>
          </cell>
          <cell r="V1434">
            <v>1250</v>
          </cell>
          <cell r="W1434" t="str">
            <v>KEW</v>
          </cell>
          <cell r="X1434" t="str">
            <v>01/09/2010</v>
          </cell>
          <cell r="Y1434" t="str">
            <v>KEW</v>
          </cell>
          <cell r="Z1434" t="str">
            <v>16/08/2013</v>
          </cell>
          <cell r="AA1434" t="str">
            <v>15/08/2015</v>
          </cell>
          <cell r="AB1434" t="str">
            <v>No</v>
          </cell>
          <cell r="AC1434" t="str">
            <v>31/08/2013</v>
          </cell>
          <cell r="AD1434" t="str">
            <v>Good</v>
          </cell>
          <cell r="AE1434" t="str">
            <v>V3 - Added Installed Facilities (New)</v>
          </cell>
          <cell r="AF1434">
            <v>42790</v>
          </cell>
          <cell r="AG1434">
            <v>9.17</v>
          </cell>
          <cell r="AH1434" t="str">
            <v>PPM</v>
          </cell>
          <cell r="AI1434" t="str">
            <v>Strands</v>
          </cell>
          <cell r="AJ1434" t="str">
            <v>Strands PW</v>
          </cell>
          <cell r="AK1434" t="str">
            <v>SNF received. 1st batch of V3 asset (December 2020)</v>
          </cell>
        </row>
        <row r="1435">
          <cell r="A1435" t="str">
            <v>IKN401139</v>
          </cell>
          <cell r="B1435">
            <v>1137</v>
          </cell>
          <cell r="C1435" t="str">
            <v>Institut Kanser Negara</v>
          </cell>
          <cell r="D1435" t="str">
            <v>KKM/IKN/H/13/2136</v>
          </cell>
          <cell r="E1435" t="str">
            <v>15-663</v>
          </cell>
          <cell r="F1435" t="str">
            <v>Pipetters</v>
          </cell>
          <cell r="G1435" t="str">
            <v>LA</v>
          </cell>
          <cell r="H1435" t="str">
            <v>PATHOLOGY</v>
          </cell>
          <cell r="I1435" t="str">
            <v>04LA130</v>
          </cell>
          <cell r="J1435" t="str">
            <v>SEROLOGY</v>
          </cell>
          <cell r="K1435" t="str">
            <v>BMED</v>
          </cell>
          <cell r="L1435" t="str">
            <v>Normal</v>
          </cell>
          <cell r="M1435" t="str">
            <v>Germany</v>
          </cell>
          <cell r="N1435" t="str">
            <v>Eppendorf</v>
          </cell>
          <cell r="O1435" t="str">
            <v>Research Plus</v>
          </cell>
          <cell r="P1435" t="str">
            <v>O37540B</v>
          </cell>
          <cell r="Q1435" t="str">
            <v>Not Applicable</v>
          </cell>
          <cell r="R1435" t="str">
            <v>Eppendorf</v>
          </cell>
          <cell r="S1435" t="str">
            <v>Medigene sdn bhd</v>
          </cell>
          <cell r="T1435" t="str">
            <v>Functioning</v>
          </cell>
          <cell r="U1435" t="str">
            <v>Asset</v>
          </cell>
          <cell r="V1435">
            <v>1250</v>
          </cell>
          <cell r="W1435" t="str">
            <v>KEW</v>
          </cell>
          <cell r="X1435" t="str">
            <v>01/09/2010</v>
          </cell>
          <cell r="Y1435" t="str">
            <v>KEW</v>
          </cell>
          <cell r="Z1435" t="str">
            <v>16/08/2013</v>
          </cell>
          <cell r="AA1435" t="str">
            <v>15/08/2015</v>
          </cell>
          <cell r="AB1435" t="str">
            <v>No</v>
          </cell>
          <cell r="AC1435" t="str">
            <v>31/08/2013</v>
          </cell>
          <cell r="AD1435" t="str">
            <v>Good</v>
          </cell>
          <cell r="AE1435" t="str">
            <v>V3 - Added Installed Facilities (New)</v>
          </cell>
          <cell r="AF1435">
            <v>42235</v>
          </cell>
          <cell r="AG1435">
            <v>9.17</v>
          </cell>
          <cell r="AH1435" t="str">
            <v>PPM</v>
          </cell>
          <cell r="AI1435" t="str">
            <v>Strands</v>
          </cell>
          <cell r="AJ1435" t="str">
            <v>Strands PW</v>
          </cell>
          <cell r="AK1435" t="str">
            <v>SNF received. 1st batch of V3 asset (December 2020)</v>
          </cell>
        </row>
        <row r="1436">
          <cell r="A1436" t="str">
            <v>IKN401140</v>
          </cell>
          <cell r="B1436">
            <v>1138</v>
          </cell>
          <cell r="C1436" t="str">
            <v>Institut Kanser Negara</v>
          </cell>
          <cell r="D1436" t="str">
            <v>KKM/IKN/H/13/2137</v>
          </cell>
          <cell r="E1436" t="str">
            <v>15-663</v>
          </cell>
          <cell r="F1436" t="str">
            <v>Pipetters</v>
          </cell>
          <cell r="G1436" t="str">
            <v>LA</v>
          </cell>
          <cell r="H1436" t="str">
            <v>PATHOLOGY</v>
          </cell>
          <cell r="I1436" t="str">
            <v>04LA130</v>
          </cell>
          <cell r="J1436" t="str">
            <v>SEROLOGY</v>
          </cell>
          <cell r="K1436" t="str">
            <v>BMED</v>
          </cell>
          <cell r="L1436" t="str">
            <v>Normal</v>
          </cell>
          <cell r="M1436" t="str">
            <v>Germany</v>
          </cell>
          <cell r="N1436" t="str">
            <v>Eppendorf</v>
          </cell>
          <cell r="O1436" t="str">
            <v>Research Plus</v>
          </cell>
          <cell r="P1436" t="str">
            <v>O17131B</v>
          </cell>
          <cell r="Q1436" t="str">
            <v>Not Applicable</v>
          </cell>
          <cell r="R1436" t="str">
            <v>Eppendorf</v>
          </cell>
          <cell r="S1436" t="str">
            <v>Medigene sdn bhd</v>
          </cell>
          <cell r="T1436" t="str">
            <v>Functioning</v>
          </cell>
          <cell r="U1436" t="str">
            <v>Asset</v>
          </cell>
          <cell r="V1436">
            <v>1250</v>
          </cell>
          <cell r="W1436" t="str">
            <v>KEW</v>
          </cell>
          <cell r="X1436" t="str">
            <v>01/09/2010</v>
          </cell>
          <cell r="Y1436" t="str">
            <v>KEW</v>
          </cell>
          <cell r="Z1436" t="str">
            <v>16/08/2013</v>
          </cell>
          <cell r="AA1436" t="str">
            <v>15/08/2015</v>
          </cell>
          <cell r="AB1436" t="str">
            <v>No</v>
          </cell>
          <cell r="AC1436" t="str">
            <v>31/08/2013</v>
          </cell>
          <cell r="AD1436" t="str">
            <v>Good</v>
          </cell>
          <cell r="AE1436" t="str">
            <v>V3 - Added Installed Facilities (New)</v>
          </cell>
          <cell r="AF1436">
            <v>42790</v>
          </cell>
          <cell r="AG1436">
            <v>9.17</v>
          </cell>
          <cell r="AH1436" t="str">
            <v>PPM</v>
          </cell>
          <cell r="AI1436" t="str">
            <v>Strands</v>
          </cell>
          <cell r="AJ1436" t="str">
            <v>Strands PW</v>
          </cell>
          <cell r="AK1436" t="str">
            <v>SNF received. 1st batch of V3 asset (December 2020)</v>
          </cell>
        </row>
        <row r="1437">
          <cell r="A1437" t="str">
            <v>IKN401141</v>
          </cell>
          <cell r="B1437">
            <v>1139</v>
          </cell>
          <cell r="C1437" t="str">
            <v>Institut Kanser Negara</v>
          </cell>
          <cell r="D1437" t="str">
            <v>KKM/IKN/H/14/59</v>
          </cell>
          <cell r="E1437" t="str">
            <v>15-663</v>
          </cell>
          <cell r="F1437" t="str">
            <v>Pipetters</v>
          </cell>
          <cell r="G1437" t="str">
            <v>LA</v>
          </cell>
          <cell r="H1437" t="str">
            <v>PATHOLOGY</v>
          </cell>
          <cell r="I1437" t="str">
            <v>04LA140</v>
          </cell>
          <cell r="J1437" t="str">
            <v>BLOOD BANK</v>
          </cell>
          <cell r="K1437" t="str">
            <v>BMED</v>
          </cell>
          <cell r="L1437" t="str">
            <v>Normal</v>
          </cell>
          <cell r="M1437" t="str">
            <v>Germany</v>
          </cell>
          <cell r="N1437" t="str">
            <v>Eppendorf</v>
          </cell>
          <cell r="O1437" t="str">
            <v>Eppendorf Research Plus</v>
          </cell>
          <cell r="P1437" t="str">
            <v>L26830D</v>
          </cell>
          <cell r="Q1437" t="str">
            <v>Not Applicable</v>
          </cell>
          <cell r="R1437" t="str">
            <v>Eppendorf AG</v>
          </cell>
          <cell r="S1437" t="str">
            <v>Medigene sdn bhd</v>
          </cell>
          <cell r="T1437" t="str">
            <v>Functioning</v>
          </cell>
          <cell r="U1437" t="str">
            <v>Asset</v>
          </cell>
          <cell r="V1437">
            <v>750</v>
          </cell>
          <cell r="W1437" t="str">
            <v>KEW</v>
          </cell>
          <cell r="X1437" t="str">
            <v>10/10/2014</v>
          </cell>
          <cell r="Y1437" t="str">
            <v>KEW</v>
          </cell>
          <cell r="Z1437" t="str">
            <v>31/10/2014</v>
          </cell>
          <cell r="AA1437" t="str">
            <v>30/10/2017</v>
          </cell>
          <cell r="AB1437" t="str">
            <v>No</v>
          </cell>
          <cell r="AC1437" t="str">
            <v>31/10/2014</v>
          </cell>
          <cell r="AD1437" t="str">
            <v>Good</v>
          </cell>
          <cell r="AE1437" t="str">
            <v>V3 - Added Installed Facilities (New)</v>
          </cell>
          <cell r="AF1437">
            <v>42790</v>
          </cell>
          <cell r="AG1437">
            <v>5.08</v>
          </cell>
          <cell r="AH1437" t="str">
            <v>PPM</v>
          </cell>
          <cell r="AI1437" t="str">
            <v>Strands</v>
          </cell>
          <cell r="AJ1437" t="str">
            <v>Strands PW</v>
          </cell>
          <cell r="AK1437" t="str">
            <v>SNF received. 1st batch of V3 asset (December 2020)</v>
          </cell>
        </row>
        <row r="1438">
          <cell r="A1438" t="str">
            <v>IKN401142</v>
          </cell>
          <cell r="B1438">
            <v>1140</v>
          </cell>
          <cell r="C1438" t="str">
            <v>Institut Kanser Negara</v>
          </cell>
          <cell r="D1438" t="str">
            <v>KKM/IKN/H/14/60</v>
          </cell>
          <cell r="E1438" t="str">
            <v>15-663</v>
          </cell>
          <cell r="F1438" t="str">
            <v>Pipetters</v>
          </cell>
          <cell r="G1438" t="str">
            <v>LA</v>
          </cell>
          <cell r="H1438" t="str">
            <v>PATHOLOGY</v>
          </cell>
          <cell r="I1438" t="str">
            <v>04LA140</v>
          </cell>
          <cell r="J1438" t="str">
            <v>BLOOD BANK</v>
          </cell>
          <cell r="K1438" t="str">
            <v>BMED</v>
          </cell>
          <cell r="L1438" t="str">
            <v>Normal</v>
          </cell>
          <cell r="M1438" t="str">
            <v>Germany</v>
          </cell>
          <cell r="N1438" t="str">
            <v>Eppendorf</v>
          </cell>
          <cell r="O1438" t="str">
            <v>Eppendorf Research Plus</v>
          </cell>
          <cell r="P1438" t="str">
            <v>L27081D</v>
          </cell>
          <cell r="Q1438" t="str">
            <v>Not Applicable</v>
          </cell>
          <cell r="R1438" t="str">
            <v>Eppendorf AG</v>
          </cell>
          <cell r="S1438" t="str">
            <v>Medigene sdn bhd</v>
          </cell>
          <cell r="T1438" t="str">
            <v>Functioning</v>
          </cell>
          <cell r="U1438" t="str">
            <v>Asset</v>
          </cell>
          <cell r="V1438">
            <v>750</v>
          </cell>
          <cell r="W1438" t="str">
            <v>KEW</v>
          </cell>
          <cell r="X1438" t="str">
            <v>10/10/2014</v>
          </cell>
          <cell r="Y1438" t="str">
            <v>KEW</v>
          </cell>
          <cell r="Z1438" t="str">
            <v>31/10/2014</v>
          </cell>
          <cell r="AA1438" t="str">
            <v>30/10/2017</v>
          </cell>
          <cell r="AB1438" t="str">
            <v>No</v>
          </cell>
          <cell r="AC1438" t="str">
            <v>31/10/2014</v>
          </cell>
          <cell r="AD1438" t="str">
            <v>Good</v>
          </cell>
          <cell r="AE1438" t="str">
            <v>V3 - Added Installed Facilities (New)</v>
          </cell>
          <cell r="AF1438">
            <v>42677</v>
          </cell>
          <cell r="AG1438">
            <v>5.08</v>
          </cell>
          <cell r="AH1438" t="str">
            <v>PPM</v>
          </cell>
          <cell r="AI1438" t="str">
            <v>Strands</v>
          </cell>
          <cell r="AJ1438" t="str">
            <v>Strands PW</v>
          </cell>
          <cell r="AK1438" t="str">
            <v>SNF received. 1st batch of V3 asset (December 2020)</v>
          </cell>
        </row>
        <row r="1439">
          <cell r="A1439" t="str">
            <v>IKN401143</v>
          </cell>
          <cell r="B1439">
            <v>1141</v>
          </cell>
          <cell r="C1439" t="str">
            <v>Institut Kanser Negara</v>
          </cell>
          <cell r="D1439" t="str">
            <v>KKM/IKN/H/13/2138</v>
          </cell>
          <cell r="E1439" t="str">
            <v>15-663</v>
          </cell>
          <cell r="F1439" t="str">
            <v>Pipetters</v>
          </cell>
          <cell r="G1439" t="str">
            <v>LA</v>
          </cell>
          <cell r="H1439" t="str">
            <v>PATHOLOGY</v>
          </cell>
          <cell r="I1439" t="str">
            <v>04LA132</v>
          </cell>
          <cell r="J1439" t="str">
            <v>HAEMATOLOGY LAB 2</v>
          </cell>
          <cell r="K1439" t="str">
            <v>BMED</v>
          </cell>
          <cell r="L1439" t="str">
            <v>Normal</v>
          </cell>
          <cell r="M1439" t="str">
            <v>Germany</v>
          </cell>
          <cell r="N1439" t="str">
            <v>Eppendorf</v>
          </cell>
          <cell r="O1439" t="str">
            <v>Research Plus</v>
          </cell>
          <cell r="P1439" t="str">
            <v>O17006B</v>
          </cell>
          <cell r="Q1439" t="str">
            <v>Not Applicable</v>
          </cell>
          <cell r="R1439" t="str">
            <v>Eppendorf</v>
          </cell>
          <cell r="S1439" t="str">
            <v>Medigene sdn bhd</v>
          </cell>
          <cell r="T1439" t="str">
            <v>Functioning</v>
          </cell>
          <cell r="U1439" t="str">
            <v>Asset</v>
          </cell>
          <cell r="V1439">
            <v>1250</v>
          </cell>
          <cell r="W1439" t="str">
            <v>KEW</v>
          </cell>
          <cell r="X1439" t="str">
            <v>01/09/2010</v>
          </cell>
          <cell r="Y1439" t="str">
            <v>KEW</v>
          </cell>
          <cell r="Z1439" t="str">
            <v>16/08/2013</v>
          </cell>
          <cell r="AA1439" t="str">
            <v>15/08/2015</v>
          </cell>
          <cell r="AB1439" t="str">
            <v>No</v>
          </cell>
          <cell r="AC1439" t="str">
            <v>31/08/2013</v>
          </cell>
          <cell r="AD1439" t="str">
            <v>Good</v>
          </cell>
          <cell r="AE1439" t="str">
            <v>V3 - Added Installed Facilities (New)</v>
          </cell>
          <cell r="AF1439">
            <v>42790</v>
          </cell>
          <cell r="AG1439">
            <v>9.17</v>
          </cell>
          <cell r="AH1439" t="str">
            <v>PPM</v>
          </cell>
          <cell r="AI1439" t="str">
            <v>Strands</v>
          </cell>
          <cell r="AJ1439" t="str">
            <v>Strands PW</v>
          </cell>
          <cell r="AK1439" t="str">
            <v>SNF received. 1st batch of V3 asset (December 2020)</v>
          </cell>
        </row>
        <row r="1440">
          <cell r="A1440" t="str">
            <v>IKN401144</v>
          </cell>
          <cell r="B1440">
            <v>1142</v>
          </cell>
          <cell r="C1440" t="str">
            <v>Institut Kanser Negara</v>
          </cell>
          <cell r="D1440" t="str">
            <v>KKM/IKN/H/13/2138</v>
          </cell>
          <cell r="E1440" t="str">
            <v>15-663</v>
          </cell>
          <cell r="F1440" t="str">
            <v>Pipetters</v>
          </cell>
          <cell r="G1440" t="str">
            <v>LA</v>
          </cell>
          <cell r="H1440" t="str">
            <v>PATHOLOGY</v>
          </cell>
          <cell r="I1440" t="str">
            <v>04LA132</v>
          </cell>
          <cell r="J1440" t="str">
            <v>HAEMATOLOGY LAB 2</v>
          </cell>
          <cell r="K1440" t="str">
            <v>BMED</v>
          </cell>
          <cell r="L1440" t="str">
            <v>Normal</v>
          </cell>
          <cell r="M1440" t="str">
            <v>Germany</v>
          </cell>
          <cell r="N1440" t="str">
            <v>Eppendorf</v>
          </cell>
          <cell r="O1440" t="str">
            <v>Research Plus</v>
          </cell>
          <cell r="P1440" t="str">
            <v>O11935B</v>
          </cell>
          <cell r="Q1440" t="str">
            <v>Not Applicable</v>
          </cell>
          <cell r="R1440" t="str">
            <v>Eppendorf</v>
          </cell>
          <cell r="S1440" t="str">
            <v>Medigene sdn bhd</v>
          </cell>
          <cell r="T1440" t="str">
            <v>Functioning</v>
          </cell>
          <cell r="U1440" t="str">
            <v>Asset</v>
          </cell>
          <cell r="V1440">
            <v>1250</v>
          </cell>
          <cell r="W1440" t="str">
            <v>KEW</v>
          </cell>
          <cell r="X1440" t="str">
            <v>01/09/2010</v>
          </cell>
          <cell r="Y1440" t="str">
            <v>KEW</v>
          </cell>
          <cell r="Z1440" t="str">
            <v>16/08/2013</v>
          </cell>
          <cell r="AA1440" t="str">
            <v>15/08/2015</v>
          </cell>
          <cell r="AB1440" t="str">
            <v>No</v>
          </cell>
          <cell r="AC1440" t="str">
            <v>31/08/2013</v>
          </cell>
          <cell r="AD1440" t="str">
            <v>Good</v>
          </cell>
          <cell r="AE1440" t="str">
            <v>V3 - Added Installed Facilities (New)</v>
          </cell>
          <cell r="AF1440">
            <v>42235</v>
          </cell>
          <cell r="AG1440">
            <v>9.17</v>
          </cell>
          <cell r="AH1440" t="str">
            <v>PPM</v>
          </cell>
          <cell r="AI1440" t="str">
            <v>Strands</v>
          </cell>
          <cell r="AJ1440" t="str">
            <v>Strands PW</v>
          </cell>
          <cell r="AK1440" t="str">
            <v>SNF received. 1st batch of V3 asset (December 2020)</v>
          </cell>
        </row>
        <row r="1441">
          <cell r="A1441" t="str">
            <v>IKN401145</v>
          </cell>
          <cell r="B1441">
            <v>1143</v>
          </cell>
          <cell r="C1441" t="str">
            <v>Institut Kanser Negara</v>
          </cell>
          <cell r="D1441" t="str">
            <v>KKM/IKN/H/13/2138</v>
          </cell>
          <cell r="E1441" t="str">
            <v>15-663</v>
          </cell>
          <cell r="F1441" t="str">
            <v>Pipetters</v>
          </cell>
          <cell r="G1441" t="str">
            <v>LA</v>
          </cell>
          <cell r="H1441" t="str">
            <v>PATHOLOGY</v>
          </cell>
          <cell r="I1441" t="str">
            <v>04LA132</v>
          </cell>
          <cell r="J1441" t="str">
            <v>HAEMATOLOGY LAB 2</v>
          </cell>
          <cell r="K1441" t="str">
            <v>BMED</v>
          </cell>
          <cell r="L1441" t="str">
            <v>Normal</v>
          </cell>
          <cell r="M1441" t="str">
            <v>Germany</v>
          </cell>
          <cell r="N1441" t="str">
            <v>Eppendorf</v>
          </cell>
          <cell r="O1441" t="str">
            <v>Research Plus</v>
          </cell>
          <cell r="P1441" t="str">
            <v>O37539B</v>
          </cell>
          <cell r="Q1441" t="str">
            <v>Not Applicable</v>
          </cell>
          <cell r="R1441" t="str">
            <v>Eppendorf</v>
          </cell>
          <cell r="S1441" t="str">
            <v>Medigene sdn bhd</v>
          </cell>
          <cell r="T1441" t="str">
            <v>Functioning</v>
          </cell>
          <cell r="U1441" t="str">
            <v>Asset</v>
          </cell>
          <cell r="V1441">
            <v>1250</v>
          </cell>
          <cell r="W1441" t="str">
            <v>KEW</v>
          </cell>
          <cell r="X1441" t="str">
            <v>01/09/2010</v>
          </cell>
          <cell r="Y1441" t="str">
            <v>KEW</v>
          </cell>
          <cell r="Z1441" t="str">
            <v>16/08/2013</v>
          </cell>
          <cell r="AA1441" t="str">
            <v>15/08/2015</v>
          </cell>
          <cell r="AB1441" t="str">
            <v>No</v>
          </cell>
          <cell r="AC1441" t="str">
            <v>31/08/2013</v>
          </cell>
          <cell r="AD1441" t="str">
            <v>Good</v>
          </cell>
          <cell r="AE1441" t="str">
            <v>V3 - Added Installed Facilities (New)</v>
          </cell>
          <cell r="AF1441">
            <v>42235</v>
          </cell>
          <cell r="AG1441">
            <v>9.17</v>
          </cell>
          <cell r="AH1441" t="str">
            <v>PPM</v>
          </cell>
          <cell r="AI1441" t="str">
            <v>Strands</v>
          </cell>
          <cell r="AJ1441" t="str">
            <v>Strands PW</v>
          </cell>
          <cell r="AK1441" t="str">
            <v>SNF received. 1st batch of V3 asset (December 2020)</v>
          </cell>
        </row>
        <row r="1442">
          <cell r="A1442" t="str">
            <v>IKN401146</v>
          </cell>
          <cell r="B1442">
            <v>1144</v>
          </cell>
          <cell r="C1442" t="str">
            <v>Institut Kanser Negara</v>
          </cell>
          <cell r="D1442" t="str">
            <v>KKM/IKN/H/13/2140</v>
          </cell>
          <cell r="E1442" t="str">
            <v>15-663</v>
          </cell>
          <cell r="F1442" t="str">
            <v>Pipetters</v>
          </cell>
          <cell r="G1442" t="str">
            <v>LA</v>
          </cell>
          <cell r="H1442" t="str">
            <v>PATHOLOGY</v>
          </cell>
          <cell r="I1442" t="str">
            <v>04LA133</v>
          </cell>
          <cell r="J1442" t="str">
            <v>CHEMICAL PATHOLOGY 1</v>
          </cell>
          <cell r="K1442" t="str">
            <v>BMED</v>
          </cell>
          <cell r="L1442" t="str">
            <v>Normal</v>
          </cell>
          <cell r="M1442" t="str">
            <v>Germany</v>
          </cell>
          <cell r="N1442" t="str">
            <v>Eppendorf</v>
          </cell>
          <cell r="O1442" t="str">
            <v>Research Plus</v>
          </cell>
          <cell r="P1442" t="str">
            <v>O17248B</v>
          </cell>
          <cell r="Q1442" t="str">
            <v>Not Applicable</v>
          </cell>
          <cell r="R1442" t="str">
            <v>Eppendorf</v>
          </cell>
          <cell r="S1442" t="str">
            <v>Medigene sdn bhd</v>
          </cell>
          <cell r="T1442" t="str">
            <v>Functioning</v>
          </cell>
          <cell r="U1442" t="str">
            <v>Asset</v>
          </cell>
          <cell r="V1442">
            <v>1250</v>
          </cell>
          <cell r="W1442" t="str">
            <v>KEW</v>
          </cell>
          <cell r="X1442" t="str">
            <v>01/09/2010</v>
          </cell>
          <cell r="Y1442" t="str">
            <v>KEW</v>
          </cell>
          <cell r="Z1442" t="str">
            <v>16/08/2013</v>
          </cell>
          <cell r="AA1442" t="str">
            <v>15/08/2015</v>
          </cell>
          <cell r="AB1442" t="str">
            <v>No</v>
          </cell>
          <cell r="AC1442" t="str">
            <v>31/08/2013</v>
          </cell>
          <cell r="AD1442" t="str">
            <v>Good</v>
          </cell>
          <cell r="AE1442" t="str">
            <v>V3 - Added Installed Facilities (New)</v>
          </cell>
          <cell r="AF1442">
            <v>42235</v>
          </cell>
          <cell r="AG1442">
            <v>9.17</v>
          </cell>
          <cell r="AH1442" t="str">
            <v>PPM</v>
          </cell>
          <cell r="AI1442" t="str">
            <v>Strands</v>
          </cell>
          <cell r="AJ1442" t="str">
            <v>Strands PW</v>
          </cell>
          <cell r="AK1442" t="str">
            <v>SNF received. 1st batch of V3 asset (December 2020)</v>
          </cell>
        </row>
        <row r="1443">
          <cell r="A1443" t="str">
            <v>IKN401147</v>
          </cell>
          <cell r="B1443">
            <v>1145</v>
          </cell>
          <cell r="C1443" t="str">
            <v>Institut Kanser Negara</v>
          </cell>
          <cell r="D1443" t="str">
            <v>KKM/IKN/H/13/2140</v>
          </cell>
          <cell r="E1443" t="str">
            <v>15-663</v>
          </cell>
          <cell r="F1443" t="str">
            <v>Pipetters</v>
          </cell>
          <cell r="G1443" t="str">
            <v>LA</v>
          </cell>
          <cell r="H1443" t="str">
            <v>PATHOLOGY</v>
          </cell>
          <cell r="I1443" t="str">
            <v>04LA133</v>
          </cell>
          <cell r="J1443" t="str">
            <v>CHEMICAL PATHOLOGY 1</v>
          </cell>
          <cell r="K1443" t="str">
            <v>BMED</v>
          </cell>
          <cell r="L1443" t="str">
            <v>Normal</v>
          </cell>
          <cell r="M1443" t="str">
            <v>Germany</v>
          </cell>
          <cell r="N1443" t="str">
            <v>Eppendorf</v>
          </cell>
          <cell r="O1443" t="str">
            <v>Research Plus</v>
          </cell>
          <cell r="P1443" t="str">
            <v>O37479B</v>
          </cell>
          <cell r="Q1443" t="str">
            <v>Not Applicable</v>
          </cell>
          <cell r="R1443" t="str">
            <v>Eppendorf</v>
          </cell>
          <cell r="S1443" t="str">
            <v>Medigene sdn bhd</v>
          </cell>
          <cell r="T1443" t="str">
            <v>Functioning</v>
          </cell>
          <cell r="U1443" t="str">
            <v>Asset</v>
          </cell>
          <cell r="V1443">
            <v>1250</v>
          </cell>
          <cell r="W1443" t="str">
            <v>KEW</v>
          </cell>
          <cell r="X1443" t="str">
            <v>01/09/2010</v>
          </cell>
          <cell r="Y1443" t="str">
            <v>KEW</v>
          </cell>
          <cell r="Z1443" t="str">
            <v>16/08/2013</v>
          </cell>
          <cell r="AA1443" t="str">
            <v>15/08/2015</v>
          </cell>
          <cell r="AB1443" t="str">
            <v>No</v>
          </cell>
          <cell r="AC1443" t="str">
            <v>31/08/2013</v>
          </cell>
          <cell r="AD1443" t="str">
            <v>Good</v>
          </cell>
          <cell r="AE1443" t="str">
            <v>V3 - Added Installed Facilities (New)</v>
          </cell>
          <cell r="AF1443">
            <v>42235</v>
          </cell>
          <cell r="AG1443">
            <v>9.17</v>
          </cell>
          <cell r="AH1443" t="str">
            <v>PPM</v>
          </cell>
          <cell r="AI1443" t="str">
            <v>Strands</v>
          </cell>
          <cell r="AJ1443" t="str">
            <v>Strands PW</v>
          </cell>
          <cell r="AK1443" t="str">
            <v>SNF received. 1st batch of V3 asset (December 2020)</v>
          </cell>
        </row>
        <row r="1444">
          <cell r="A1444" t="str">
            <v>IKN401148</v>
          </cell>
          <cell r="B1444">
            <v>1146</v>
          </cell>
          <cell r="C1444" t="str">
            <v>Institut Kanser Negara</v>
          </cell>
          <cell r="D1444" t="str">
            <v>KKM/IKN/H/13/2139</v>
          </cell>
          <cell r="E1444" t="str">
            <v>15-663</v>
          </cell>
          <cell r="F1444" t="str">
            <v>Pipetters</v>
          </cell>
          <cell r="G1444" t="str">
            <v>LA</v>
          </cell>
          <cell r="H1444" t="str">
            <v>PATHOLOGY</v>
          </cell>
          <cell r="I1444" t="str">
            <v>04LA133</v>
          </cell>
          <cell r="J1444" t="str">
            <v>CHEMICAL PATHOLOGY 1</v>
          </cell>
          <cell r="K1444" t="str">
            <v>BMED</v>
          </cell>
          <cell r="L1444" t="str">
            <v>Normal</v>
          </cell>
          <cell r="M1444" t="str">
            <v>Germany</v>
          </cell>
          <cell r="N1444" t="str">
            <v>Eppendorf</v>
          </cell>
          <cell r="O1444" t="str">
            <v>Research Plus</v>
          </cell>
          <cell r="P1444" t="str">
            <v>O16923B</v>
          </cell>
          <cell r="Q1444" t="str">
            <v>Not Applicable</v>
          </cell>
          <cell r="R1444" t="str">
            <v>Eppendorf</v>
          </cell>
          <cell r="S1444" t="str">
            <v>Medigene sdn bhd</v>
          </cell>
          <cell r="T1444" t="str">
            <v>Functioning</v>
          </cell>
          <cell r="U1444" t="str">
            <v>Asset</v>
          </cell>
          <cell r="V1444">
            <v>1250</v>
          </cell>
          <cell r="W1444" t="str">
            <v>KEW</v>
          </cell>
          <cell r="X1444" t="str">
            <v>01/09/2010</v>
          </cell>
          <cell r="Y1444" t="str">
            <v>KEW</v>
          </cell>
          <cell r="Z1444" t="str">
            <v>16/08/2013</v>
          </cell>
          <cell r="AA1444" t="str">
            <v>15/08/2015</v>
          </cell>
          <cell r="AB1444" t="str">
            <v>No</v>
          </cell>
          <cell r="AC1444" t="str">
            <v>31/08/2013</v>
          </cell>
          <cell r="AD1444" t="str">
            <v>Good</v>
          </cell>
          <cell r="AE1444" t="str">
            <v>V3 - Added Installed Facilities (New)</v>
          </cell>
          <cell r="AF1444">
            <v>42790</v>
          </cell>
          <cell r="AG1444">
            <v>9.17</v>
          </cell>
          <cell r="AH1444" t="str">
            <v>PPM</v>
          </cell>
          <cell r="AI1444" t="str">
            <v>Strands</v>
          </cell>
          <cell r="AJ1444" t="str">
            <v>Strands PW</v>
          </cell>
          <cell r="AK1444" t="str">
            <v>SNF received. 1st batch of V3 asset (December 2020)</v>
          </cell>
        </row>
        <row r="1445">
          <cell r="A1445" t="str">
            <v>IKN401149</v>
          </cell>
          <cell r="B1445">
            <v>1147</v>
          </cell>
          <cell r="C1445" t="str">
            <v>Institut Kanser Negara</v>
          </cell>
          <cell r="D1445" t="str">
            <v>KKM/IKN/H/13/2140</v>
          </cell>
          <cell r="E1445" t="str">
            <v>15-663</v>
          </cell>
          <cell r="F1445" t="str">
            <v>Pipetters</v>
          </cell>
          <cell r="G1445" t="str">
            <v>LA</v>
          </cell>
          <cell r="H1445" t="str">
            <v>PATHOLOGY</v>
          </cell>
          <cell r="I1445" t="str">
            <v>04LA133</v>
          </cell>
          <cell r="J1445" t="str">
            <v>CHEMICAL PATHOLOGY 1</v>
          </cell>
          <cell r="K1445" t="str">
            <v>BMED</v>
          </cell>
          <cell r="L1445" t="str">
            <v>Normal</v>
          </cell>
          <cell r="M1445" t="str">
            <v>Germany</v>
          </cell>
          <cell r="N1445" t="str">
            <v>Eppendorf</v>
          </cell>
          <cell r="O1445" t="str">
            <v>Research Plus</v>
          </cell>
          <cell r="P1445" t="str">
            <v>O11931B</v>
          </cell>
          <cell r="Q1445" t="str">
            <v>Not Applicable</v>
          </cell>
          <cell r="R1445" t="str">
            <v>Eppendorf</v>
          </cell>
          <cell r="S1445" t="str">
            <v>Medigene sdn bhd</v>
          </cell>
          <cell r="T1445" t="str">
            <v>Functioning</v>
          </cell>
          <cell r="U1445" t="str">
            <v>Asset</v>
          </cell>
          <cell r="V1445">
            <v>1250</v>
          </cell>
          <cell r="W1445" t="str">
            <v>KEW</v>
          </cell>
          <cell r="X1445" t="str">
            <v>01/09/2010</v>
          </cell>
          <cell r="Y1445" t="str">
            <v>KEW</v>
          </cell>
          <cell r="Z1445" t="str">
            <v>16/08/2013</v>
          </cell>
          <cell r="AA1445" t="str">
            <v>15/08/2015</v>
          </cell>
          <cell r="AB1445" t="str">
            <v>No</v>
          </cell>
          <cell r="AC1445" t="str">
            <v>31/08/2013</v>
          </cell>
          <cell r="AD1445" t="str">
            <v>Good</v>
          </cell>
          <cell r="AE1445" t="str">
            <v>V3 - Added Installed Facilities (New)</v>
          </cell>
          <cell r="AF1445">
            <v>42235</v>
          </cell>
          <cell r="AG1445">
            <v>9.17</v>
          </cell>
          <cell r="AH1445" t="str">
            <v>PPM</v>
          </cell>
          <cell r="AI1445" t="str">
            <v>Strands</v>
          </cell>
          <cell r="AJ1445" t="str">
            <v>Strands PW</v>
          </cell>
          <cell r="AK1445" t="str">
            <v>SNF received. 1st batch of V3 asset (December 2020)</v>
          </cell>
        </row>
        <row r="1446">
          <cell r="A1446" t="str">
            <v>IKN401150</v>
          </cell>
          <cell r="B1446">
            <v>1148</v>
          </cell>
          <cell r="C1446" t="str">
            <v>Institut Kanser Negara</v>
          </cell>
          <cell r="D1446" t="str">
            <v>KKM/IKN/H/14/49</v>
          </cell>
          <cell r="E1446" t="str">
            <v>15-663</v>
          </cell>
          <cell r="F1446" t="str">
            <v>Pipetters</v>
          </cell>
          <cell r="G1446" t="str">
            <v>LA</v>
          </cell>
          <cell r="H1446" t="str">
            <v>PATHOLOGY</v>
          </cell>
          <cell r="I1446" t="str">
            <v>04LA133</v>
          </cell>
          <cell r="J1446" t="str">
            <v>CHEMICAL PATHOLOGY 1</v>
          </cell>
          <cell r="K1446" t="str">
            <v>BMED</v>
          </cell>
          <cell r="L1446" t="str">
            <v>Normal</v>
          </cell>
          <cell r="M1446" t="str">
            <v>Germany</v>
          </cell>
          <cell r="N1446" t="str">
            <v>Eppendorf</v>
          </cell>
          <cell r="O1446" t="str">
            <v>Eppendorf Research Plus</v>
          </cell>
          <cell r="P1446" t="str">
            <v>J39319D</v>
          </cell>
          <cell r="Q1446" t="str">
            <v>Not Applicable</v>
          </cell>
          <cell r="R1446" t="str">
            <v>Eppendorf AG</v>
          </cell>
          <cell r="S1446" t="str">
            <v>Medigene sdn bhd</v>
          </cell>
          <cell r="T1446" t="str">
            <v>Functioning</v>
          </cell>
          <cell r="U1446" t="str">
            <v>Asset</v>
          </cell>
          <cell r="V1446">
            <v>750</v>
          </cell>
          <cell r="W1446" t="str">
            <v>KEW</v>
          </cell>
          <cell r="X1446" t="str">
            <v>24/09/2014</v>
          </cell>
          <cell r="Y1446" t="str">
            <v>KEW</v>
          </cell>
          <cell r="Z1446" t="str">
            <v>20/11/2014</v>
          </cell>
          <cell r="AA1446" t="str">
            <v>19/11/2017</v>
          </cell>
          <cell r="AB1446" t="str">
            <v>No</v>
          </cell>
          <cell r="AC1446" t="str">
            <v>20/11/2014</v>
          </cell>
          <cell r="AD1446" t="str">
            <v>Good</v>
          </cell>
          <cell r="AE1446" t="str">
            <v>V3 - Added Installed Facilities (New)</v>
          </cell>
          <cell r="AF1446">
            <v>42382</v>
          </cell>
          <cell r="AG1446">
            <v>5.17</v>
          </cell>
          <cell r="AH1446" t="str">
            <v>PPM</v>
          </cell>
          <cell r="AI1446" t="str">
            <v>Strands</v>
          </cell>
          <cell r="AJ1446" t="str">
            <v>Strands PW</v>
          </cell>
          <cell r="AK1446" t="str">
            <v>SNF received. 1st batch of V3 asset (December 2020)</v>
          </cell>
        </row>
        <row r="1447">
          <cell r="A1447" t="str">
            <v>IKN401151</v>
          </cell>
          <cell r="B1447">
            <v>1149</v>
          </cell>
          <cell r="C1447" t="str">
            <v>Institut Kanser Negara</v>
          </cell>
          <cell r="D1447" t="str">
            <v>KKM/IKN/H/13/2139</v>
          </cell>
          <cell r="E1447" t="str">
            <v>15-663</v>
          </cell>
          <cell r="F1447" t="str">
            <v>Pipetters</v>
          </cell>
          <cell r="G1447" t="str">
            <v>LA</v>
          </cell>
          <cell r="H1447" t="str">
            <v>PATHOLOGY</v>
          </cell>
          <cell r="I1447" t="str">
            <v>04LA133</v>
          </cell>
          <cell r="J1447" t="str">
            <v>CHEMICAL PATHOLOGY 1</v>
          </cell>
          <cell r="K1447" t="str">
            <v>BMED</v>
          </cell>
          <cell r="L1447" t="str">
            <v>Normal</v>
          </cell>
          <cell r="M1447" t="str">
            <v>Germany</v>
          </cell>
          <cell r="N1447" t="str">
            <v>Eppendorf</v>
          </cell>
          <cell r="O1447" t="str">
            <v>Research Plus</v>
          </cell>
          <cell r="P1447" t="str">
            <v>O11807B</v>
          </cell>
          <cell r="Q1447" t="str">
            <v>Not Applicable</v>
          </cell>
          <cell r="R1447" t="str">
            <v>Eppendorf</v>
          </cell>
          <cell r="S1447" t="str">
            <v>Medigene sdn bhd</v>
          </cell>
          <cell r="T1447" t="str">
            <v>Functioning</v>
          </cell>
          <cell r="U1447" t="str">
            <v>Asset</v>
          </cell>
          <cell r="V1447">
            <v>1250</v>
          </cell>
          <cell r="W1447" t="str">
            <v>KEW</v>
          </cell>
          <cell r="X1447" t="str">
            <v>01/09/2010</v>
          </cell>
          <cell r="Y1447" t="str">
            <v>KEW</v>
          </cell>
          <cell r="Z1447" t="str">
            <v>16/08/2013</v>
          </cell>
          <cell r="AA1447" t="str">
            <v>15/08/2015</v>
          </cell>
          <cell r="AB1447" t="str">
            <v>No</v>
          </cell>
          <cell r="AC1447" t="str">
            <v>31/08/2013</v>
          </cell>
          <cell r="AD1447" t="str">
            <v>Good</v>
          </cell>
          <cell r="AE1447" t="str">
            <v>V3 - Added Installed Facilities (New)</v>
          </cell>
          <cell r="AF1447">
            <v>42790</v>
          </cell>
          <cell r="AG1447">
            <v>9.17</v>
          </cell>
          <cell r="AH1447" t="str">
            <v>PPM</v>
          </cell>
          <cell r="AI1447" t="str">
            <v>Strands</v>
          </cell>
          <cell r="AJ1447" t="str">
            <v>Strands PW</v>
          </cell>
          <cell r="AK1447" t="str">
            <v>SNF received. 1st batch of V3 asset (December 2020)</v>
          </cell>
        </row>
        <row r="1448">
          <cell r="A1448" t="str">
            <v>IKN401152</v>
          </cell>
          <cell r="B1448">
            <v>1150</v>
          </cell>
          <cell r="C1448" t="str">
            <v>Institut Kanser Negara</v>
          </cell>
          <cell r="D1448" t="str">
            <v>KKM/IKN/H/13/2139</v>
          </cell>
          <cell r="E1448" t="str">
            <v>15-663</v>
          </cell>
          <cell r="F1448" t="str">
            <v>Pipetters</v>
          </cell>
          <cell r="G1448" t="str">
            <v>LA</v>
          </cell>
          <cell r="H1448" t="str">
            <v>PATHOLOGY</v>
          </cell>
          <cell r="I1448" t="str">
            <v>04LA133</v>
          </cell>
          <cell r="J1448" t="str">
            <v>CHEMICAL PATHOLOGY 1</v>
          </cell>
          <cell r="K1448" t="str">
            <v>BMED</v>
          </cell>
          <cell r="L1448" t="str">
            <v>Normal</v>
          </cell>
          <cell r="M1448" t="str">
            <v>Germany</v>
          </cell>
          <cell r="N1448" t="str">
            <v>Eppendorf</v>
          </cell>
          <cell r="O1448" t="str">
            <v>Research Plus</v>
          </cell>
          <cell r="P1448" t="str">
            <v>O37559B</v>
          </cell>
          <cell r="Q1448" t="str">
            <v>Not Applicable</v>
          </cell>
          <cell r="R1448" t="str">
            <v>Eppendorf</v>
          </cell>
          <cell r="S1448" t="str">
            <v>Medigene sdn bhd</v>
          </cell>
          <cell r="T1448" t="str">
            <v>Functioning</v>
          </cell>
          <cell r="U1448" t="str">
            <v>Asset</v>
          </cell>
          <cell r="V1448">
            <v>1250</v>
          </cell>
          <cell r="W1448" t="str">
            <v>KEW</v>
          </cell>
          <cell r="X1448" t="str">
            <v>01/09/2010</v>
          </cell>
          <cell r="Y1448" t="str">
            <v>KEW</v>
          </cell>
          <cell r="Z1448" t="str">
            <v>16/08/2013</v>
          </cell>
          <cell r="AA1448" t="str">
            <v>15/08/2015</v>
          </cell>
          <cell r="AB1448" t="str">
            <v>No</v>
          </cell>
          <cell r="AC1448" t="str">
            <v>31/08/2013</v>
          </cell>
          <cell r="AD1448" t="str">
            <v>Good</v>
          </cell>
          <cell r="AE1448" t="str">
            <v>V3 - Added Installed Facilities (New)</v>
          </cell>
          <cell r="AF1448">
            <v>42790</v>
          </cell>
          <cell r="AG1448">
            <v>9.17</v>
          </cell>
          <cell r="AH1448" t="str">
            <v>PPM</v>
          </cell>
          <cell r="AI1448" t="str">
            <v>Strands</v>
          </cell>
          <cell r="AJ1448" t="str">
            <v>Strands PW</v>
          </cell>
          <cell r="AK1448" t="str">
            <v>SNF received. 1st batch of V3 asset (December 2020)</v>
          </cell>
        </row>
        <row r="1449">
          <cell r="A1449" t="str">
            <v>IKN401159</v>
          </cell>
          <cell r="B1449">
            <v>1157</v>
          </cell>
          <cell r="C1449" t="str">
            <v>Institut Kanser Negara</v>
          </cell>
          <cell r="D1449" t="str">
            <v>KKM/IKN/H/13/2309</v>
          </cell>
          <cell r="E1449" t="str">
            <v>11-295</v>
          </cell>
          <cell r="F1449" t="str">
            <v>Dosimeters, Radiation</v>
          </cell>
          <cell r="G1449" t="str">
            <v>ID</v>
          </cell>
          <cell r="H1449" t="str">
            <v>IMAGING DEPARTMENT</v>
          </cell>
          <cell r="I1449" t="str">
            <v>03ID169</v>
          </cell>
          <cell r="J1449" t="str">
            <v>RADIOGRAPHER</v>
          </cell>
          <cell r="K1449" t="str">
            <v>BMED</v>
          </cell>
          <cell r="L1449" t="str">
            <v>Normal</v>
          </cell>
          <cell r="M1449" t="str">
            <v>Germany</v>
          </cell>
          <cell r="N1449" t="str">
            <v>Thermo Fisher</v>
          </cell>
          <cell r="O1449" t="str">
            <v>EPD MK2.5</v>
          </cell>
          <cell r="P1449" t="str">
            <v>00289475</v>
          </cell>
          <cell r="Q1449" t="str">
            <v>Not Applicable</v>
          </cell>
          <cell r="R1449" t="str">
            <v>Thermo Fisher Scientific</v>
          </cell>
          <cell r="S1449" t="str">
            <v>Delta Advantech (M) Sdn Bhd</v>
          </cell>
          <cell r="T1449" t="str">
            <v>Functioning</v>
          </cell>
          <cell r="U1449" t="str">
            <v>Asset</v>
          </cell>
          <cell r="V1449">
            <v>4370</v>
          </cell>
          <cell r="W1449" t="str">
            <v>KEW</v>
          </cell>
          <cell r="X1449" t="str">
            <v>01/09/2010</v>
          </cell>
          <cell r="Y1449" t="str">
            <v>KEW</v>
          </cell>
          <cell r="Z1449" t="str">
            <v>16/08/2013</v>
          </cell>
          <cell r="AA1449" t="str">
            <v>15/08/2015</v>
          </cell>
          <cell r="AB1449" t="str">
            <v>No</v>
          </cell>
          <cell r="AC1449" t="str">
            <v>31/08/2013</v>
          </cell>
          <cell r="AD1449" t="str">
            <v>Good</v>
          </cell>
          <cell r="AE1449" t="str">
            <v>V1 - Existing / No Claim</v>
          </cell>
          <cell r="AF1449">
            <v>42235</v>
          </cell>
          <cell r="AG1449">
            <v>9.17</v>
          </cell>
          <cell r="AH1449" t="str">
            <v>PPM</v>
          </cell>
          <cell r="AI1449" t="str">
            <v>Strands</v>
          </cell>
          <cell r="AJ1449" t="str">
            <v>Strands PW</v>
          </cell>
        </row>
        <row r="1450">
          <cell r="A1450" t="str">
            <v>IKN401160</v>
          </cell>
          <cell r="B1450">
            <v>1158</v>
          </cell>
          <cell r="C1450" t="str">
            <v>Institut Kanser Negara</v>
          </cell>
          <cell r="D1450" t="str">
            <v>KKM/IKN/H/13/2312</v>
          </cell>
          <cell r="E1450" t="str">
            <v>11-295</v>
          </cell>
          <cell r="F1450" t="str">
            <v>Dosimeters, Radiation</v>
          </cell>
          <cell r="G1450" t="str">
            <v>ID</v>
          </cell>
          <cell r="H1450" t="str">
            <v>IMAGING DEPARTMENT</v>
          </cell>
          <cell r="I1450" t="str">
            <v>03ID169</v>
          </cell>
          <cell r="J1450" t="str">
            <v>RADIOGRAPHER</v>
          </cell>
          <cell r="K1450" t="str">
            <v>BMED</v>
          </cell>
          <cell r="L1450" t="str">
            <v>Normal</v>
          </cell>
          <cell r="M1450" t="str">
            <v>Germany</v>
          </cell>
          <cell r="N1450" t="str">
            <v>Thermo Fisher</v>
          </cell>
          <cell r="O1450" t="str">
            <v>EPD MK2.5</v>
          </cell>
          <cell r="P1450" t="str">
            <v>00289463</v>
          </cell>
          <cell r="Q1450" t="str">
            <v>Not Applicable</v>
          </cell>
          <cell r="R1450" t="str">
            <v>Thermo Fisher Scientific</v>
          </cell>
          <cell r="S1450" t="str">
            <v>Delta Advantech (M) Sdn Bhd</v>
          </cell>
          <cell r="T1450" t="str">
            <v>Functioning</v>
          </cell>
          <cell r="U1450" t="str">
            <v>Asset</v>
          </cell>
          <cell r="V1450">
            <v>4370</v>
          </cell>
          <cell r="W1450" t="str">
            <v>KEW</v>
          </cell>
          <cell r="X1450" t="str">
            <v>01/09/2010</v>
          </cell>
          <cell r="Y1450" t="str">
            <v>KEW</v>
          </cell>
          <cell r="Z1450" t="str">
            <v>16/08/2013</v>
          </cell>
          <cell r="AA1450" t="str">
            <v>15/08/2015</v>
          </cell>
          <cell r="AB1450" t="str">
            <v>No</v>
          </cell>
          <cell r="AC1450" t="str">
            <v>31/08/2013</v>
          </cell>
          <cell r="AD1450" t="str">
            <v>Good</v>
          </cell>
          <cell r="AE1450" t="str">
            <v>V1 - Existing / No Claim</v>
          </cell>
          <cell r="AF1450">
            <v>42235</v>
          </cell>
          <cell r="AG1450">
            <v>9.17</v>
          </cell>
          <cell r="AH1450" t="str">
            <v>PPM</v>
          </cell>
          <cell r="AI1450" t="str">
            <v>Strands</v>
          </cell>
          <cell r="AJ1450" t="str">
            <v>Strands PW</v>
          </cell>
        </row>
        <row r="1451">
          <cell r="A1451" t="str">
            <v>IKN401161</v>
          </cell>
          <cell r="B1451">
            <v>1159</v>
          </cell>
          <cell r="C1451" t="str">
            <v>Institut Kanser Negara</v>
          </cell>
          <cell r="D1451" t="str">
            <v>KKM/IKN/H/13/2313</v>
          </cell>
          <cell r="E1451" t="str">
            <v>11-295</v>
          </cell>
          <cell r="F1451" t="str">
            <v>Dosimeters, Radiation</v>
          </cell>
          <cell r="G1451" t="str">
            <v>ID</v>
          </cell>
          <cell r="H1451" t="str">
            <v>IMAGING DEPARTMENT</v>
          </cell>
          <cell r="I1451" t="str">
            <v>03ID169</v>
          </cell>
          <cell r="J1451" t="str">
            <v>RADIOGRAPHER</v>
          </cell>
          <cell r="K1451" t="str">
            <v>BMED</v>
          </cell>
          <cell r="L1451" t="str">
            <v>Normal</v>
          </cell>
          <cell r="M1451" t="str">
            <v>Germany</v>
          </cell>
          <cell r="N1451" t="str">
            <v>Thermo Fisher</v>
          </cell>
          <cell r="O1451" t="str">
            <v>EPD MK2.5</v>
          </cell>
          <cell r="P1451" t="str">
            <v>00289465</v>
          </cell>
          <cell r="Q1451" t="str">
            <v>Not Applicable</v>
          </cell>
          <cell r="R1451" t="str">
            <v>Thermo Fisher Scientific</v>
          </cell>
          <cell r="S1451" t="str">
            <v>Delta Advantech (M) Sdn Bhd</v>
          </cell>
          <cell r="T1451" t="str">
            <v>Functioning</v>
          </cell>
          <cell r="U1451" t="str">
            <v>Asset</v>
          </cell>
          <cell r="V1451">
            <v>4370</v>
          </cell>
          <cell r="W1451" t="str">
            <v>KEW</v>
          </cell>
          <cell r="X1451" t="str">
            <v>01/09/2010</v>
          </cell>
          <cell r="Y1451" t="str">
            <v>KEW</v>
          </cell>
          <cell r="Z1451" t="str">
            <v>16/08/2013</v>
          </cell>
          <cell r="AA1451" t="str">
            <v>15/08/2015</v>
          </cell>
          <cell r="AB1451" t="str">
            <v>No</v>
          </cell>
          <cell r="AC1451" t="str">
            <v>31/08/2013</v>
          </cell>
          <cell r="AD1451" t="str">
            <v>Good</v>
          </cell>
          <cell r="AE1451" t="str">
            <v>V1 - Existing / No Claim</v>
          </cell>
          <cell r="AF1451">
            <v>42235</v>
          </cell>
          <cell r="AG1451">
            <v>9.17</v>
          </cell>
          <cell r="AH1451" t="str">
            <v>PPM</v>
          </cell>
          <cell r="AI1451" t="str">
            <v>Strands</v>
          </cell>
          <cell r="AJ1451" t="str">
            <v>Strands PW</v>
          </cell>
        </row>
        <row r="1452">
          <cell r="A1452" t="str">
            <v>IKN401162</v>
          </cell>
          <cell r="B1452">
            <v>1160</v>
          </cell>
          <cell r="C1452" t="str">
            <v>Institut Kanser Negara</v>
          </cell>
          <cell r="D1452" t="str">
            <v>KKM/IKN/H/13/2311</v>
          </cell>
          <cell r="E1452" t="str">
            <v>11-295</v>
          </cell>
          <cell r="F1452" t="str">
            <v>Dosimeters, Radiation</v>
          </cell>
          <cell r="G1452" t="str">
            <v>ID</v>
          </cell>
          <cell r="H1452" t="str">
            <v>IMAGING DEPARTMENT</v>
          </cell>
          <cell r="I1452" t="str">
            <v>03ID169</v>
          </cell>
          <cell r="J1452" t="str">
            <v>RADIOGRAPHER</v>
          </cell>
          <cell r="K1452" t="str">
            <v>BMED</v>
          </cell>
          <cell r="L1452" t="str">
            <v>Normal</v>
          </cell>
          <cell r="M1452" t="str">
            <v>Germany</v>
          </cell>
          <cell r="N1452" t="str">
            <v>Thermo Fisher</v>
          </cell>
          <cell r="O1452" t="str">
            <v>EPD MK2.5</v>
          </cell>
          <cell r="P1452" t="str">
            <v>00289466</v>
          </cell>
          <cell r="Q1452" t="str">
            <v>Not Applicable</v>
          </cell>
          <cell r="R1452" t="str">
            <v>Thermo Fisher Scientific</v>
          </cell>
          <cell r="S1452" t="str">
            <v>Delta Advantech (M) Sdn Bhd</v>
          </cell>
          <cell r="T1452" t="str">
            <v>Functioning</v>
          </cell>
          <cell r="U1452" t="str">
            <v>Asset</v>
          </cell>
          <cell r="V1452">
            <v>4370</v>
          </cell>
          <cell r="W1452" t="str">
            <v>KEW</v>
          </cell>
          <cell r="X1452" t="str">
            <v>01/09/2010</v>
          </cell>
          <cell r="Y1452" t="str">
            <v>KEW</v>
          </cell>
          <cell r="Z1452" t="str">
            <v>16/08/2013</v>
          </cell>
          <cell r="AA1452" t="str">
            <v>15/08/2015</v>
          </cell>
          <cell r="AB1452" t="str">
            <v>No</v>
          </cell>
          <cell r="AC1452" t="str">
            <v>31/08/2013</v>
          </cell>
          <cell r="AD1452" t="str">
            <v>Good</v>
          </cell>
          <cell r="AE1452" t="str">
            <v>V1 - Existing / No Claim</v>
          </cell>
          <cell r="AF1452">
            <v>42235</v>
          </cell>
          <cell r="AG1452">
            <v>9.17</v>
          </cell>
          <cell r="AH1452" t="str">
            <v>PPM</v>
          </cell>
          <cell r="AI1452" t="str">
            <v>Strands</v>
          </cell>
          <cell r="AJ1452" t="str">
            <v>Strands PW</v>
          </cell>
        </row>
        <row r="1453">
          <cell r="A1453" t="str">
            <v>IKN401164</v>
          </cell>
          <cell r="B1453">
            <v>1162</v>
          </cell>
          <cell r="C1453" t="str">
            <v>Institut Kanser Negara</v>
          </cell>
          <cell r="D1453" t="str">
            <v>KKM/IKN/H/13/2310</v>
          </cell>
          <cell r="E1453" t="str">
            <v>11-295</v>
          </cell>
          <cell r="F1453" t="str">
            <v>Dosimeters, Radiation</v>
          </cell>
          <cell r="G1453" t="str">
            <v>ID</v>
          </cell>
          <cell r="H1453" t="str">
            <v>IMAGING DEPARTMENT</v>
          </cell>
          <cell r="I1453" t="str">
            <v>03ID169</v>
          </cell>
          <cell r="J1453" t="str">
            <v>RADIOGRAPHER</v>
          </cell>
          <cell r="K1453" t="str">
            <v>BMED</v>
          </cell>
          <cell r="L1453" t="str">
            <v>Normal</v>
          </cell>
          <cell r="M1453" t="str">
            <v>Germany</v>
          </cell>
          <cell r="N1453" t="str">
            <v>Thermo Fisher</v>
          </cell>
          <cell r="O1453" t="str">
            <v>EPD MK2.5</v>
          </cell>
          <cell r="P1453" t="str">
            <v>00289474</v>
          </cell>
          <cell r="Q1453" t="str">
            <v>Not Applicable</v>
          </cell>
          <cell r="R1453" t="str">
            <v>Thermo Fisher Scientific</v>
          </cell>
          <cell r="S1453" t="str">
            <v>Delta Advantech (M) Sdn Bhd</v>
          </cell>
          <cell r="T1453" t="str">
            <v>Functioning</v>
          </cell>
          <cell r="U1453" t="str">
            <v>Asset</v>
          </cell>
          <cell r="V1453">
            <v>4370</v>
          </cell>
          <cell r="W1453" t="str">
            <v>KEW</v>
          </cell>
          <cell r="X1453" t="str">
            <v>01/09/2010</v>
          </cell>
          <cell r="Y1453" t="str">
            <v>KEW</v>
          </cell>
          <cell r="Z1453" t="str">
            <v>16/08/2013</v>
          </cell>
          <cell r="AA1453" t="str">
            <v>15/08/2015</v>
          </cell>
          <cell r="AB1453" t="str">
            <v>No</v>
          </cell>
          <cell r="AC1453" t="str">
            <v>31/08/2013</v>
          </cell>
          <cell r="AD1453" t="str">
            <v>Good</v>
          </cell>
          <cell r="AE1453" t="str">
            <v>V1 - Existing / No Claim</v>
          </cell>
          <cell r="AF1453">
            <v>42235</v>
          </cell>
          <cell r="AG1453">
            <v>9.17</v>
          </cell>
          <cell r="AH1453" t="str">
            <v>PPM</v>
          </cell>
          <cell r="AI1453" t="str">
            <v>Strands</v>
          </cell>
          <cell r="AJ1453" t="str">
            <v>Strands PW</v>
          </cell>
        </row>
        <row r="1454">
          <cell r="A1454" t="str">
            <v>IKN401165</v>
          </cell>
          <cell r="B1454">
            <v>1163</v>
          </cell>
          <cell r="C1454" t="str">
            <v>Institut Kanser Negara</v>
          </cell>
          <cell r="D1454" t="str">
            <v>KKM/IKN/H/13/2308</v>
          </cell>
          <cell r="E1454" t="str">
            <v>11-295</v>
          </cell>
          <cell r="F1454" t="str">
            <v>Dosimeters, Radiation</v>
          </cell>
          <cell r="G1454" t="str">
            <v>ID</v>
          </cell>
          <cell r="H1454" t="str">
            <v>IMAGING DEPARTMENT</v>
          </cell>
          <cell r="I1454" t="str">
            <v>03ID169</v>
          </cell>
          <cell r="J1454" t="str">
            <v>RADIOGRAPHER</v>
          </cell>
          <cell r="K1454" t="str">
            <v>BMED</v>
          </cell>
          <cell r="L1454" t="str">
            <v>Normal</v>
          </cell>
          <cell r="M1454" t="str">
            <v>Germany</v>
          </cell>
          <cell r="N1454" t="str">
            <v>Thermo Fisher</v>
          </cell>
          <cell r="O1454" t="str">
            <v>EPD MK2.5</v>
          </cell>
          <cell r="P1454" t="str">
            <v>00289476</v>
          </cell>
          <cell r="Q1454" t="str">
            <v>Not Applicable</v>
          </cell>
          <cell r="R1454" t="str">
            <v>Thermo Fisher Scientific</v>
          </cell>
          <cell r="S1454" t="str">
            <v>Delta Advantech (M) Sdn Bhd</v>
          </cell>
          <cell r="T1454" t="str">
            <v>Functioning</v>
          </cell>
          <cell r="U1454" t="str">
            <v>Asset</v>
          </cell>
          <cell r="V1454">
            <v>4370</v>
          </cell>
          <cell r="W1454" t="str">
            <v>KEW</v>
          </cell>
          <cell r="X1454" t="str">
            <v>01/09/2010</v>
          </cell>
          <cell r="Y1454" t="str">
            <v>KEW</v>
          </cell>
          <cell r="Z1454" t="str">
            <v>16/08/2013</v>
          </cell>
          <cell r="AA1454" t="str">
            <v>15/08/2015</v>
          </cell>
          <cell r="AB1454" t="str">
            <v>No</v>
          </cell>
          <cell r="AC1454" t="str">
            <v>31/08/2013</v>
          </cell>
          <cell r="AD1454" t="str">
            <v>Good</v>
          </cell>
          <cell r="AE1454" t="str">
            <v>V1 - Existing / No Claim</v>
          </cell>
          <cell r="AF1454">
            <v>42235</v>
          </cell>
          <cell r="AG1454">
            <v>9.17</v>
          </cell>
          <cell r="AH1454" t="str">
            <v>PPM</v>
          </cell>
          <cell r="AI1454" t="str">
            <v>Strands</v>
          </cell>
          <cell r="AJ1454" t="str">
            <v>Strands PW SET A</v>
          </cell>
          <cell r="AK1454" t="str">
            <v>CUBA CHECK IKN400094 PUNYA KEWPA. [21/3/2024, ANIS]: UPDATE KKM NO.</v>
          </cell>
        </row>
        <row r="1455">
          <cell r="A1455" t="str">
            <v>IKN401166</v>
          </cell>
          <cell r="B1455">
            <v>1164</v>
          </cell>
          <cell r="C1455" t="str">
            <v>Institut Kanser Negara</v>
          </cell>
          <cell r="D1455" t="str">
            <v>KKM/IKN/H/13/4862-10</v>
          </cell>
          <cell r="E1455" t="str">
            <v>11-295</v>
          </cell>
          <cell r="F1455" t="str">
            <v>Dosimeters, Radiation</v>
          </cell>
          <cell r="G1455" t="str">
            <v>ID</v>
          </cell>
          <cell r="H1455" t="str">
            <v>IMAGING DEPARTMENT</v>
          </cell>
          <cell r="I1455" t="str">
            <v>03ID169</v>
          </cell>
          <cell r="J1455" t="str">
            <v>RADIOGRAPHER</v>
          </cell>
          <cell r="K1455" t="str">
            <v>BMED</v>
          </cell>
          <cell r="L1455" t="str">
            <v>Normal</v>
          </cell>
          <cell r="M1455" t="str">
            <v>Germany</v>
          </cell>
          <cell r="N1455" t="str">
            <v>Thermo Fisher</v>
          </cell>
          <cell r="O1455" t="str">
            <v>EPD MK2.5</v>
          </cell>
          <cell r="P1455" t="str">
            <v>00293139</v>
          </cell>
          <cell r="Q1455" t="str">
            <v>Not Applicable</v>
          </cell>
          <cell r="R1455" t="str">
            <v>Thermo Fisher Scientific</v>
          </cell>
          <cell r="S1455" t="str">
            <v>Delta Advantech (M) Sdn Bhd</v>
          </cell>
          <cell r="T1455" t="str">
            <v>Functioning</v>
          </cell>
          <cell r="U1455" t="str">
            <v>Asset</v>
          </cell>
          <cell r="V1455">
            <v>4370</v>
          </cell>
          <cell r="W1455" t="str">
            <v>KEW</v>
          </cell>
          <cell r="X1455" t="str">
            <v>01/09/2010</v>
          </cell>
          <cell r="Y1455" t="str">
            <v>KEW</v>
          </cell>
          <cell r="Z1455" t="str">
            <v>16/08/2013</v>
          </cell>
          <cell r="AA1455" t="str">
            <v>15/08/2015</v>
          </cell>
          <cell r="AB1455" t="str">
            <v>No</v>
          </cell>
          <cell r="AC1455" t="str">
            <v>31/08/2013</v>
          </cell>
          <cell r="AD1455" t="str">
            <v>Good</v>
          </cell>
          <cell r="AE1455" t="str">
            <v>V1 - Existing / No Claim</v>
          </cell>
          <cell r="AF1455">
            <v>42235</v>
          </cell>
          <cell r="AG1455">
            <v>9.17</v>
          </cell>
          <cell r="AH1455" t="str">
            <v>PPM</v>
          </cell>
          <cell r="AI1455" t="str">
            <v>package</v>
          </cell>
          <cell r="AJ1455" t="e">
            <v>#REF!</v>
          </cell>
          <cell r="AK1455" t="str">
            <v>PACKAGE WITH IKN401200</v>
          </cell>
        </row>
        <row r="1456">
          <cell r="A1456" t="str">
            <v>IKN401167</v>
          </cell>
          <cell r="B1456">
            <v>1165</v>
          </cell>
          <cell r="C1456" t="str">
            <v>Institut Kanser Negara</v>
          </cell>
          <cell r="D1456" t="str">
            <v>KKM/IKN/H/13/1187</v>
          </cell>
          <cell r="E1456" t="str">
            <v>11-295</v>
          </cell>
          <cell r="F1456" t="str">
            <v>Dosimeters, Radiation</v>
          </cell>
          <cell r="G1456" t="str">
            <v>RT</v>
          </cell>
          <cell r="H1456" t="str">
            <v>RADIATION TREATMENT UNIT</v>
          </cell>
          <cell r="I1456" t="str">
            <v>01RT213</v>
          </cell>
          <cell r="J1456" t="str">
            <v>EQUIPMENT ROOM1</v>
          </cell>
          <cell r="K1456" t="str">
            <v>BMED</v>
          </cell>
          <cell r="L1456" t="str">
            <v>Normal</v>
          </cell>
          <cell r="M1456" t="str">
            <v>Germany</v>
          </cell>
          <cell r="N1456" t="str">
            <v>Thermo Fisher</v>
          </cell>
          <cell r="O1456" t="str">
            <v>EPD MK2.5</v>
          </cell>
          <cell r="P1456" t="str">
            <v>00289455</v>
          </cell>
          <cell r="Q1456" t="str">
            <v>Not Applicable</v>
          </cell>
          <cell r="R1456" t="str">
            <v>Thermo Fisher Scientific</v>
          </cell>
          <cell r="S1456" t="str">
            <v>Delta Advantech (M) Sdn Bhd</v>
          </cell>
          <cell r="T1456" t="str">
            <v>Functioning</v>
          </cell>
          <cell r="U1456" t="str">
            <v>Asset</v>
          </cell>
          <cell r="V1456">
            <v>4370</v>
          </cell>
          <cell r="W1456" t="str">
            <v>KEW</v>
          </cell>
          <cell r="X1456" t="str">
            <v>01/09/2010</v>
          </cell>
          <cell r="Y1456" t="str">
            <v>KEW</v>
          </cell>
          <cell r="Z1456" t="str">
            <v>16/08/2013</v>
          </cell>
          <cell r="AA1456" t="str">
            <v>15/08/2015</v>
          </cell>
          <cell r="AB1456" t="str">
            <v>No</v>
          </cell>
          <cell r="AC1456" t="str">
            <v>31/08/2013</v>
          </cell>
          <cell r="AD1456" t="str">
            <v>Good</v>
          </cell>
          <cell r="AE1456" t="str">
            <v>V1 - Existing / No Claim</v>
          </cell>
          <cell r="AF1456">
            <v>42235</v>
          </cell>
          <cell r="AG1456">
            <v>9.17</v>
          </cell>
          <cell r="AH1456" t="str">
            <v>PPM</v>
          </cell>
          <cell r="AI1456" t="str">
            <v>Strands</v>
          </cell>
          <cell r="AJ1456" t="str">
            <v>Strands PW</v>
          </cell>
        </row>
        <row r="1457">
          <cell r="A1457" t="str">
            <v>IKN401168</v>
          </cell>
          <cell r="B1457">
            <v>1166</v>
          </cell>
          <cell r="C1457" t="str">
            <v>Institut Kanser Negara</v>
          </cell>
          <cell r="D1457" t="str">
            <v>KKM/IKN/H/13/1179</v>
          </cell>
          <cell r="E1457" t="str">
            <v>11-295</v>
          </cell>
          <cell r="F1457" t="str">
            <v>Dosimeters, Radiation</v>
          </cell>
          <cell r="G1457" t="str">
            <v>RT</v>
          </cell>
          <cell r="H1457" t="str">
            <v>RADIATION TREATMENT UNIT</v>
          </cell>
          <cell r="I1457" t="str">
            <v>01RT213</v>
          </cell>
          <cell r="J1457" t="str">
            <v>EQUIPMENT ROOM1</v>
          </cell>
          <cell r="K1457" t="str">
            <v>BMED</v>
          </cell>
          <cell r="L1457" t="str">
            <v>Normal</v>
          </cell>
          <cell r="M1457" t="str">
            <v>Germany</v>
          </cell>
          <cell r="N1457" t="str">
            <v>Thermo Fisher</v>
          </cell>
          <cell r="O1457" t="str">
            <v>EPD MK2.5</v>
          </cell>
          <cell r="P1457" t="str">
            <v>00289456</v>
          </cell>
          <cell r="Q1457" t="str">
            <v>Not Applicable</v>
          </cell>
          <cell r="R1457" t="str">
            <v>Thermo Fisher Scientific</v>
          </cell>
          <cell r="S1457" t="str">
            <v>Delta Advantech (M) Sdn Bhd</v>
          </cell>
          <cell r="T1457" t="str">
            <v>Functioning</v>
          </cell>
          <cell r="U1457" t="str">
            <v>Asset</v>
          </cell>
          <cell r="V1457">
            <v>4370</v>
          </cell>
          <cell r="W1457" t="str">
            <v>KEW</v>
          </cell>
          <cell r="X1457" t="str">
            <v>01/09/2010</v>
          </cell>
          <cell r="Y1457" t="str">
            <v>KEW</v>
          </cell>
          <cell r="Z1457" t="str">
            <v>16/08/2013</v>
          </cell>
          <cell r="AA1457" t="str">
            <v>15/08/2015</v>
          </cell>
          <cell r="AB1457" t="str">
            <v>No</v>
          </cell>
          <cell r="AC1457" t="str">
            <v>31/08/2013</v>
          </cell>
          <cell r="AD1457" t="str">
            <v>Good</v>
          </cell>
          <cell r="AE1457" t="str">
            <v>V1 - Existing / No Claim</v>
          </cell>
          <cell r="AF1457">
            <v>42235</v>
          </cell>
          <cell r="AG1457">
            <v>9.17</v>
          </cell>
          <cell r="AH1457" t="str">
            <v>PPM</v>
          </cell>
          <cell r="AI1457" t="str">
            <v>Strands</v>
          </cell>
          <cell r="AJ1457" t="str">
            <v>Strands PW</v>
          </cell>
        </row>
        <row r="1458">
          <cell r="A1458" t="str">
            <v>IKN401169</v>
          </cell>
          <cell r="B1458">
            <v>1167</v>
          </cell>
          <cell r="C1458" t="str">
            <v>Institut Kanser Negara</v>
          </cell>
          <cell r="D1458" t="str">
            <v>KKM/IKN/H/13/1136</v>
          </cell>
          <cell r="E1458" t="str">
            <v>11-295</v>
          </cell>
          <cell r="F1458" t="str">
            <v>Dosimeters, Radiation</v>
          </cell>
          <cell r="G1458" t="str">
            <v>RT</v>
          </cell>
          <cell r="H1458" t="str">
            <v>RADIATION TREATMENT UNIT</v>
          </cell>
          <cell r="I1458" t="str">
            <v>01RT213</v>
          </cell>
          <cell r="J1458" t="str">
            <v>EQUIPMENT ROOM1</v>
          </cell>
          <cell r="K1458" t="str">
            <v>BMED</v>
          </cell>
          <cell r="L1458" t="str">
            <v>Normal</v>
          </cell>
          <cell r="M1458" t="str">
            <v>Germany</v>
          </cell>
          <cell r="N1458" t="str">
            <v>Thermo Fisher</v>
          </cell>
          <cell r="O1458" t="str">
            <v>EPD MK2.5</v>
          </cell>
          <cell r="P1458" t="str">
            <v>00289473</v>
          </cell>
          <cell r="Q1458" t="str">
            <v>Not Applicable</v>
          </cell>
          <cell r="R1458" t="str">
            <v>Thermo Fisher Scientific</v>
          </cell>
          <cell r="S1458" t="str">
            <v>Delta Advantech (M) Sdn Bhd</v>
          </cell>
          <cell r="T1458" t="str">
            <v>Functioning</v>
          </cell>
          <cell r="U1458" t="str">
            <v>Asset</v>
          </cell>
          <cell r="V1458">
            <v>4370</v>
          </cell>
          <cell r="W1458" t="str">
            <v>KEW</v>
          </cell>
          <cell r="X1458" t="str">
            <v>01/09/2010</v>
          </cell>
          <cell r="Y1458" t="str">
            <v>KEW</v>
          </cell>
          <cell r="Z1458" t="str">
            <v>16/08/2013</v>
          </cell>
          <cell r="AA1458" t="str">
            <v>15/08/2015</v>
          </cell>
          <cell r="AB1458" t="str">
            <v>No</v>
          </cell>
          <cell r="AC1458" t="str">
            <v>31/08/2013</v>
          </cell>
          <cell r="AD1458" t="str">
            <v>Good</v>
          </cell>
          <cell r="AE1458" t="str">
            <v>V1 - Existing / No Claim</v>
          </cell>
          <cell r="AF1458">
            <v>42235</v>
          </cell>
          <cell r="AG1458">
            <v>9.17</v>
          </cell>
          <cell r="AH1458" t="str">
            <v>PPM</v>
          </cell>
          <cell r="AI1458" t="str">
            <v>Strands</v>
          </cell>
          <cell r="AJ1458" t="str">
            <v>Strands PW</v>
          </cell>
        </row>
        <row r="1459">
          <cell r="A1459" t="str">
            <v>IKN401170</v>
          </cell>
          <cell r="B1459">
            <v>1168</v>
          </cell>
          <cell r="C1459" t="str">
            <v>Institut Kanser Negara</v>
          </cell>
          <cell r="D1459" t="str">
            <v>KKM/IKN/H/13/1182</v>
          </cell>
          <cell r="E1459" t="str">
            <v>11-295</v>
          </cell>
          <cell r="F1459" t="str">
            <v>Dosimeters, Radiation</v>
          </cell>
          <cell r="G1459" t="str">
            <v>RT</v>
          </cell>
          <cell r="H1459" t="str">
            <v>RADIATION TREATMENT UNIT</v>
          </cell>
          <cell r="I1459" t="str">
            <v>01RT213</v>
          </cell>
          <cell r="J1459" t="str">
            <v>EQUIPMENT ROOM1</v>
          </cell>
          <cell r="K1459" t="str">
            <v>BMED</v>
          </cell>
          <cell r="L1459" t="str">
            <v>Normal</v>
          </cell>
          <cell r="M1459" t="str">
            <v>Germany</v>
          </cell>
          <cell r="N1459" t="str">
            <v>Thermo Fisher</v>
          </cell>
          <cell r="O1459" t="str">
            <v>EPD MK2.5</v>
          </cell>
          <cell r="P1459" t="str">
            <v>00288076</v>
          </cell>
          <cell r="Q1459" t="str">
            <v>Not Applicable</v>
          </cell>
          <cell r="R1459" t="str">
            <v>Thermo Fisher Scientific</v>
          </cell>
          <cell r="S1459" t="str">
            <v>Delta Advantech (M) Sdn Bhd</v>
          </cell>
          <cell r="T1459" t="str">
            <v>Functioning</v>
          </cell>
          <cell r="U1459" t="str">
            <v>Asset</v>
          </cell>
          <cell r="V1459">
            <v>4370</v>
          </cell>
          <cell r="W1459" t="str">
            <v>KEW</v>
          </cell>
          <cell r="X1459" t="str">
            <v>01/09/2010</v>
          </cell>
          <cell r="Y1459" t="str">
            <v>KEW</v>
          </cell>
          <cell r="Z1459" t="str">
            <v>16/08/2013</v>
          </cell>
          <cell r="AA1459" t="str">
            <v>15/08/2015</v>
          </cell>
          <cell r="AB1459" t="str">
            <v>No</v>
          </cell>
          <cell r="AC1459" t="str">
            <v>31/08/2013</v>
          </cell>
          <cell r="AD1459" t="str">
            <v>Good</v>
          </cell>
          <cell r="AE1459" t="str">
            <v>V1 - Existing / No Claim</v>
          </cell>
          <cell r="AF1459">
            <v>42235</v>
          </cell>
          <cell r="AG1459">
            <v>9.17</v>
          </cell>
          <cell r="AH1459" t="str">
            <v>PPM</v>
          </cell>
          <cell r="AI1459" t="str">
            <v>Strands</v>
          </cell>
          <cell r="AJ1459" t="str">
            <v>Strands PW</v>
          </cell>
        </row>
        <row r="1460">
          <cell r="A1460" t="str">
            <v>IKN401171</v>
          </cell>
          <cell r="B1460">
            <v>1169</v>
          </cell>
          <cell r="C1460" t="str">
            <v>Institut Kanser Negara</v>
          </cell>
          <cell r="D1460" t="str">
            <v>KKM/IKN/H/13/1180</v>
          </cell>
          <cell r="E1460" t="str">
            <v>11-295</v>
          </cell>
          <cell r="F1460" t="str">
            <v>Dosimeters, Radiation</v>
          </cell>
          <cell r="G1460" t="str">
            <v>RT</v>
          </cell>
          <cell r="H1460" t="str">
            <v>RADIATION TREATMENT UNIT</v>
          </cell>
          <cell r="I1460" t="str">
            <v>01RT213</v>
          </cell>
          <cell r="J1460" t="str">
            <v>EQUIPMENT ROOM1</v>
          </cell>
          <cell r="K1460" t="str">
            <v>BMED</v>
          </cell>
          <cell r="L1460" t="str">
            <v>Normal</v>
          </cell>
          <cell r="M1460" t="str">
            <v>Germany</v>
          </cell>
          <cell r="N1460" t="str">
            <v>Thermo Fisher</v>
          </cell>
          <cell r="O1460" t="str">
            <v>EPD MK2.5</v>
          </cell>
          <cell r="P1460" t="str">
            <v>00288078</v>
          </cell>
          <cell r="Q1460" t="str">
            <v>Not Applicable</v>
          </cell>
          <cell r="R1460" t="str">
            <v>Thermo Fisher Scientific</v>
          </cell>
          <cell r="S1460" t="str">
            <v>Delta Advantech (M) Sdn Bhd</v>
          </cell>
          <cell r="T1460" t="str">
            <v>Functioning</v>
          </cell>
          <cell r="U1460" t="str">
            <v>Asset</v>
          </cell>
          <cell r="V1460">
            <v>4370</v>
          </cell>
          <cell r="W1460" t="str">
            <v>KEW</v>
          </cell>
          <cell r="X1460" t="str">
            <v>01/09/2010</v>
          </cell>
          <cell r="Y1460" t="str">
            <v>KEW</v>
          </cell>
          <cell r="Z1460" t="str">
            <v>16/08/2013</v>
          </cell>
          <cell r="AA1460" t="str">
            <v>15/08/2015</v>
          </cell>
          <cell r="AB1460" t="str">
            <v>No</v>
          </cell>
          <cell r="AC1460" t="str">
            <v>31/08/2013</v>
          </cell>
          <cell r="AD1460" t="str">
            <v>Good</v>
          </cell>
          <cell r="AE1460" t="str">
            <v>V1 - Existing / No Claim</v>
          </cell>
          <cell r="AF1460">
            <v>42235</v>
          </cell>
          <cell r="AG1460">
            <v>9.17</v>
          </cell>
          <cell r="AH1460" t="str">
            <v>PPM</v>
          </cell>
          <cell r="AI1460" t="str">
            <v>Strands</v>
          </cell>
          <cell r="AJ1460" t="str">
            <v>Strands PW</v>
          </cell>
        </row>
        <row r="1461">
          <cell r="A1461" t="str">
            <v>IKN401172</v>
          </cell>
          <cell r="B1461">
            <v>1170</v>
          </cell>
          <cell r="C1461" t="str">
            <v>Institut Kanser Negara</v>
          </cell>
          <cell r="D1461" t="e">
            <v>#N/A</v>
          </cell>
          <cell r="E1461" t="str">
            <v>11-295</v>
          </cell>
          <cell r="F1461" t="str">
            <v>Dosimeters, Radiation</v>
          </cell>
          <cell r="G1461" t="str">
            <v>RT</v>
          </cell>
          <cell r="H1461" t="str">
            <v>RADIATION TREATMENT UNIT</v>
          </cell>
          <cell r="I1461" t="str">
            <v>01RT213</v>
          </cell>
          <cell r="J1461" t="str">
            <v>EQUIPMENT ROOM1</v>
          </cell>
          <cell r="K1461" t="str">
            <v>BMED</v>
          </cell>
          <cell r="L1461" t="str">
            <v>Normal</v>
          </cell>
          <cell r="M1461" t="str">
            <v>Germany</v>
          </cell>
          <cell r="N1461" t="str">
            <v>Thermo Fisher</v>
          </cell>
          <cell r="O1461" t="str">
            <v>EPD MK2.5</v>
          </cell>
          <cell r="P1461" t="str">
            <v>00288079</v>
          </cell>
          <cell r="Q1461" t="str">
            <v>Not Applicable</v>
          </cell>
          <cell r="R1461" t="str">
            <v>Thermo Fisher Scientific</v>
          </cell>
          <cell r="S1461" t="str">
            <v>Delta Advantech (M) Sdn Bhd</v>
          </cell>
          <cell r="T1461" t="str">
            <v>Functioning</v>
          </cell>
          <cell r="U1461" t="str">
            <v>Asset</v>
          </cell>
          <cell r="V1461">
            <v>4370</v>
          </cell>
          <cell r="W1461" t="str">
            <v>KEW</v>
          </cell>
          <cell r="X1461" t="str">
            <v>01/09/2010</v>
          </cell>
          <cell r="Y1461" t="str">
            <v>KEW</v>
          </cell>
          <cell r="Z1461" t="str">
            <v>16/08/2013</v>
          </cell>
          <cell r="AA1461" t="str">
            <v>15/08/2015</v>
          </cell>
          <cell r="AB1461" t="str">
            <v>No</v>
          </cell>
          <cell r="AC1461" t="str">
            <v>31/08/2013</v>
          </cell>
          <cell r="AD1461" t="str">
            <v>Good</v>
          </cell>
          <cell r="AE1461" t="str">
            <v>V1 - Existing / No Claim</v>
          </cell>
          <cell r="AF1461">
            <v>42235</v>
          </cell>
          <cell r="AG1461">
            <v>9.17</v>
          </cell>
          <cell r="AH1461" t="str">
            <v>PPM</v>
          </cell>
          <cell r="AI1461" t="str">
            <v>package</v>
          </cell>
        </row>
        <row r="1462">
          <cell r="A1462" t="str">
            <v>IKN401173</v>
          </cell>
          <cell r="B1462">
            <v>1171</v>
          </cell>
          <cell r="C1462" t="str">
            <v>Institut Kanser Negara</v>
          </cell>
          <cell r="D1462" t="str">
            <v>KKM/IKN/H/13/4565</v>
          </cell>
          <cell r="E1462" t="str">
            <v>13-961</v>
          </cell>
          <cell r="F1462" t="str">
            <v>Tables, Operating</v>
          </cell>
          <cell r="G1462" t="str">
            <v>RT</v>
          </cell>
          <cell r="H1462" t="str">
            <v>RADIATION TREATMENT UNIT</v>
          </cell>
          <cell r="I1462" t="str">
            <v>01RT278</v>
          </cell>
          <cell r="J1462" t="str">
            <v>BRACHY OT 2</v>
          </cell>
          <cell r="K1462" t="str">
            <v>BMED</v>
          </cell>
          <cell r="L1462" t="str">
            <v>Normal</v>
          </cell>
          <cell r="M1462" t="str">
            <v>UK</v>
          </cell>
          <cell r="N1462" t="str">
            <v>Eschmann</v>
          </cell>
          <cell r="O1462" t="str">
            <v>Eschmann T20-a+</v>
          </cell>
          <cell r="P1462" t="str">
            <v>T2AD-2A-3365</v>
          </cell>
          <cell r="Q1462" t="str">
            <v>Not Applicable</v>
          </cell>
          <cell r="R1462" t="str">
            <v>Eschmann Holding Limited</v>
          </cell>
          <cell r="S1462" t="str">
            <v>Antah Sir Radin Sdn. Bhd.</v>
          </cell>
          <cell r="T1462" t="str">
            <v>Functioning</v>
          </cell>
          <cell r="U1462" t="str">
            <v>Asset</v>
          </cell>
          <cell r="V1462">
            <v>240330</v>
          </cell>
          <cell r="W1462" t="str">
            <v>KEW</v>
          </cell>
          <cell r="X1462" t="str">
            <v>01/09/2010</v>
          </cell>
          <cell r="Y1462" t="str">
            <v>KEW</v>
          </cell>
          <cell r="Z1462" t="str">
            <v>16/08/2013</v>
          </cell>
          <cell r="AA1462" t="str">
            <v>15/08/2015</v>
          </cell>
          <cell r="AB1462" t="str">
            <v>No</v>
          </cell>
          <cell r="AC1462" t="str">
            <v>31/08/2013</v>
          </cell>
          <cell r="AD1462" t="str">
            <v>Good</v>
          </cell>
          <cell r="AE1462" t="str">
            <v>V1 - Existing / No Claim</v>
          </cell>
          <cell r="AF1462">
            <v>42235</v>
          </cell>
          <cell r="AG1462">
            <v>9.17</v>
          </cell>
          <cell r="AH1462" t="str">
            <v>PPM</v>
          </cell>
          <cell r="AI1462" t="str">
            <v>Strands</v>
          </cell>
          <cell r="AJ1462" t="str">
            <v>Strands PW</v>
          </cell>
        </row>
        <row r="1463">
          <cell r="A1463" t="str">
            <v>IKN401174</v>
          </cell>
          <cell r="B1463">
            <v>1172</v>
          </cell>
          <cell r="C1463" t="str">
            <v>Institut Kanser Negara</v>
          </cell>
          <cell r="D1463" t="str">
            <v>KKM/IKN/H/13/1185</v>
          </cell>
          <cell r="E1463" t="str">
            <v>11-295</v>
          </cell>
          <cell r="F1463" t="str">
            <v>Dosimeters, Radiation</v>
          </cell>
          <cell r="G1463" t="str">
            <v>RT</v>
          </cell>
          <cell r="H1463" t="str">
            <v>RADIATION TREATMENT UNIT</v>
          </cell>
          <cell r="I1463" t="str">
            <v>01RT213</v>
          </cell>
          <cell r="J1463" t="str">
            <v>EQUIPMENT ROOM1</v>
          </cell>
          <cell r="K1463" t="str">
            <v>BMED</v>
          </cell>
          <cell r="L1463" t="str">
            <v>Normal</v>
          </cell>
          <cell r="M1463" t="str">
            <v>Germany</v>
          </cell>
          <cell r="N1463" t="str">
            <v>Thermo Fisher</v>
          </cell>
          <cell r="O1463" t="str">
            <v>EPD MK2.5</v>
          </cell>
          <cell r="P1463" t="str">
            <v>00288081</v>
          </cell>
          <cell r="Q1463" t="str">
            <v>Not Applicable</v>
          </cell>
          <cell r="R1463" t="str">
            <v>Thermo Fisher Scientific</v>
          </cell>
          <cell r="S1463" t="str">
            <v>Delta Advantech (M) Sdn Bhd</v>
          </cell>
          <cell r="T1463" t="str">
            <v>Functioning</v>
          </cell>
          <cell r="U1463" t="str">
            <v>Asset</v>
          </cell>
          <cell r="V1463">
            <v>4370</v>
          </cell>
          <cell r="W1463" t="str">
            <v>KEW</v>
          </cell>
          <cell r="X1463" t="str">
            <v>01/09/2010</v>
          </cell>
          <cell r="Y1463" t="str">
            <v>KEW</v>
          </cell>
          <cell r="Z1463" t="str">
            <v>16/08/2013</v>
          </cell>
          <cell r="AA1463" t="str">
            <v>15/08/2015</v>
          </cell>
          <cell r="AB1463" t="str">
            <v>No</v>
          </cell>
          <cell r="AC1463" t="str">
            <v>31/08/2013</v>
          </cell>
          <cell r="AD1463" t="str">
            <v>Good</v>
          </cell>
          <cell r="AE1463" t="str">
            <v>V1 - Existing / No Claim</v>
          </cell>
          <cell r="AF1463">
            <v>42235</v>
          </cell>
          <cell r="AG1463">
            <v>9.17</v>
          </cell>
          <cell r="AH1463" t="str">
            <v>PPM</v>
          </cell>
          <cell r="AI1463" t="str">
            <v>Strands</v>
          </cell>
          <cell r="AJ1463" t="str">
            <v>Strands PW</v>
          </cell>
        </row>
        <row r="1464">
          <cell r="A1464" t="str">
            <v>IKN401175</v>
          </cell>
          <cell r="B1464">
            <v>1173</v>
          </cell>
          <cell r="C1464" t="str">
            <v>Institut Kanser Negara</v>
          </cell>
          <cell r="D1464" t="str">
            <v>KKM/IKN/H/13/1178</v>
          </cell>
          <cell r="E1464" t="str">
            <v>11-295</v>
          </cell>
          <cell r="F1464" t="str">
            <v>Dosimeters, Radiation</v>
          </cell>
          <cell r="G1464" t="str">
            <v>RT</v>
          </cell>
          <cell r="H1464" t="str">
            <v>RADIATION TREATMENT UNIT</v>
          </cell>
          <cell r="I1464" t="str">
            <v>01RT213</v>
          </cell>
          <cell r="J1464" t="str">
            <v>EQUIPMENT ROOM1</v>
          </cell>
          <cell r="K1464" t="str">
            <v>BMED</v>
          </cell>
          <cell r="L1464" t="str">
            <v>Normal</v>
          </cell>
          <cell r="M1464" t="str">
            <v>Germany</v>
          </cell>
          <cell r="N1464" t="str">
            <v>Thermo Fisher</v>
          </cell>
          <cell r="O1464" t="str">
            <v>EPD MK2.5</v>
          </cell>
          <cell r="P1464" t="str">
            <v>00288064</v>
          </cell>
          <cell r="Q1464" t="str">
            <v>Not Applicable</v>
          </cell>
          <cell r="R1464" t="str">
            <v>Thermo Fisher Scientific</v>
          </cell>
          <cell r="S1464" t="str">
            <v>Delta Advantech (M) Sdn Bhd</v>
          </cell>
          <cell r="T1464" t="str">
            <v>Functioning</v>
          </cell>
          <cell r="U1464" t="str">
            <v>Asset</v>
          </cell>
          <cell r="V1464">
            <v>4370</v>
          </cell>
          <cell r="W1464" t="str">
            <v>KEW</v>
          </cell>
          <cell r="X1464" t="str">
            <v>01/09/2010</v>
          </cell>
          <cell r="Y1464" t="str">
            <v>KEW</v>
          </cell>
          <cell r="Z1464" t="str">
            <v>16/08/2013</v>
          </cell>
          <cell r="AA1464" t="str">
            <v>15/08/2015</v>
          </cell>
          <cell r="AB1464" t="str">
            <v>No</v>
          </cell>
          <cell r="AC1464" t="str">
            <v>31/08/2013</v>
          </cell>
          <cell r="AD1464" t="str">
            <v>Good</v>
          </cell>
          <cell r="AE1464" t="str">
            <v>V1 - Existing / No Claim</v>
          </cell>
          <cell r="AF1464">
            <v>42235</v>
          </cell>
          <cell r="AG1464">
            <v>9.17</v>
          </cell>
          <cell r="AH1464" t="str">
            <v>PPM</v>
          </cell>
          <cell r="AI1464" t="str">
            <v>Strands</v>
          </cell>
          <cell r="AJ1464" t="str">
            <v>Strands PW</v>
          </cell>
        </row>
        <row r="1465">
          <cell r="A1465" t="str">
            <v>IKN401176</v>
          </cell>
          <cell r="B1465">
            <v>1174</v>
          </cell>
          <cell r="C1465" t="str">
            <v>Institut Kanser Negara</v>
          </cell>
          <cell r="D1465" t="str">
            <v>KKM/IKN/H/13/1181</v>
          </cell>
          <cell r="E1465" t="str">
            <v>11-295</v>
          </cell>
          <cell r="F1465" t="str">
            <v>Dosimeters, Radiation</v>
          </cell>
          <cell r="G1465" t="str">
            <v>RT</v>
          </cell>
          <cell r="H1465" t="str">
            <v>RADIATION TREATMENT UNIT</v>
          </cell>
          <cell r="I1465" t="str">
            <v>01RT213</v>
          </cell>
          <cell r="J1465" t="str">
            <v>EQUIPMENT ROOM1</v>
          </cell>
          <cell r="K1465" t="str">
            <v>BMED</v>
          </cell>
          <cell r="L1465" t="str">
            <v>Normal</v>
          </cell>
          <cell r="M1465" t="str">
            <v>Germany</v>
          </cell>
          <cell r="N1465" t="str">
            <v>Thermo Fisher</v>
          </cell>
          <cell r="O1465" t="str">
            <v>EPD MK2.5</v>
          </cell>
          <cell r="P1465" t="str">
            <v>00288068</v>
          </cell>
          <cell r="Q1465" t="str">
            <v>Not Applicable</v>
          </cell>
          <cell r="R1465" t="str">
            <v>Thermo Fisher Scientific</v>
          </cell>
          <cell r="S1465" t="str">
            <v>Delta Advantech (M) Sdn Bhd</v>
          </cell>
          <cell r="T1465" t="str">
            <v>Functioning</v>
          </cell>
          <cell r="U1465" t="str">
            <v>Asset</v>
          </cell>
          <cell r="V1465">
            <v>4370</v>
          </cell>
          <cell r="W1465" t="str">
            <v>KEW</v>
          </cell>
          <cell r="X1465" t="str">
            <v>01/09/2010</v>
          </cell>
          <cell r="Y1465" t="str">
            <v>KEW</v>
          </cell>
          <cell r="Z1465" t="str">
            <v>16/08/2013</v>
          </cell>
          <cell r="AA1465" t="str">
            <v>15/08/2015</v>
          </cell>
          <cell r="AB1465" t="str">
            <v>No</v>
          </cell>
          <cell r="AC1465" t="str">
            <v>31/08/2013</v>
          </cell>
          <cell r="AD1465" t="str">
            <v>Good</v>
          </cell>
          <cell r="AE1465" t="str">
            <v>V1 - Existing / No Claim</v>
          </cell>
          <cell r="AF1465">
            <v>42235</v>
          </cell>
          <cell r="AG1465">
            <v>9.17</v>
          </cell>
          <cell r="AH1465" t="str">
            <v>PPM</v>
          </cell>
          <cell r="AI1465" t="str">
            <v>Strands</v>
          </cell>
          <cell r="AJ1465" t="str">
            <v>Strands PW</v>
          </cell>
        </row>
        <row r="1466">
          <cell r="A1466" t="str">
            <v>IKN401177</v>
          </cell>
          <cell r="B1466">
            <v>1175</v>
          </cell>
          <cell r="C1466" t="str">
            <v>Institut Kanser Negara</v>
          </cell>
          <cell r="D1466" t="str">
            <v>KKM/IKN/H/13/1184</v>
          </cell>
          <cell r="E1466" t="str">
            <v>11-295</v>
          </cell>
          <cell r="F1466" t="str">
            <v>Dosimeters, Radiation</v>
          </cell>
          <cell r="G1466" t="str">
            <v>RT</v>
          </cell>
          <cell r="H1466" t="str">
            <v>RADIATION TREATMENT UNIT</v>
          </cell>
          <cell r="I1466" t="str">
            <v>01RT213</v>
          </cell>
          <cell r="J1466" t="str">
            <v>EQUIPMENT ROOM1</v>
          </cell>
          <cell r="K1466" t="str">
            <v>BMED</v>
          </cell>
          <cell r="L1466" t="str">
            <v>Normal</v>
          </cell>
          <cell r="M1466" t="str">
            <v>Germany</v>
          </cell>
          <cell r="N1466" t="str">
            <v>Thermo Fisher</v>
          </cell>
          <cell r="O1466" t="str">
            <v>EPD MK2.5</v>
          </cell>
          <cell r="P1466" t="str">
            <v>00288077</v>
          </cell>
          <cell r="Q1466" t="str">
            <v>Not Applicable</v>
          </cell>
          <cell r="R1466" t="str">
            <v>Thermo Fisher Scientific</v>
          </cell>
          <cell r="S1466" t="str">
            <v>Delta Advantech (M) Sdn Bhd</v>
          </cell>
          <cell r="T1466" t="str">
            <v>Functioning</v>
          </cell>
          <cell r="U1466" t="str">
            <v>Asset</v>
          </cell>
          <cell r="V1466">
            <v>4370</v>
          </cell>
          <cell r="W1466" t="str">
            <v>KEW</v>
          </cell>
          <cell r="X1466" t="str">
            <v>01/09/2010</v>
          </cell>
          <cell r="Y1466" t="str">
            <v>KEW</v>
          </cell>
          <cell r="Z1466" t="str">
            <v>16/08/2013</v>
          </cell>
          <cell r="AA1466" t="str">
            <v>15/08/2015</v>
          </cell>
          <cell r="AB1466" t="str">
            <v>No</v>
          </cell>
          <cell r="AC1466" t="str">
            <v>31/08/2013</v>
          </cell>
          <cell r="AD1466" t="str">
            <v>Good</v>
          </cell>
          <cell r="AE1466" t="str">
            <v>V1 - Existing / No Claim</v>
          </cell>
          <cell r="AF1466">
            <v>42235</v>
          </cell>
          <cell r="AG1466">
            <v>9.17</v>
          </cell>
          <cell r="AH1466" t="str">
            <v>PPM</v>
          </cell>
          <cell r="AI1466" t="str">
            <v>Strands</v>
          </cell>
          <cell r="AJ1466" t="str">
            <v>Strands PW</v>
          </cell>
        </row>
        <row r="1467">
          <cell r="A1467" t="str">
            <v>IKN401178</v>
          </cell>
          <cell r="B1467">
            <v>1176</v>
          </cell>
          <cell r="C1467" t="str">
            <v>Institut Kanser Negara</v>
          </cell>
          <cell r="E1467" t="str">
            <v>11-295</v>
          </cell>
          <cell r="F1467" t="str">
            <v>Dosimeters, Radiation</v>
          </cell>
          <cell r="G1467" t="str">
            <v>RT</v>
          </cell>
          <cell r="H1467" t="str">
            <v>RADIATION TREATMENT UNIT</v>
          </cell>
          <cell r="I1467" t="str">
            <v>01RT213</v>
          </cell>
          <cell r="J1467" t="str">
            <v>EQUIPMENT ROOM1</v>
          </cell>
          <cell r="K1467" t="str">
            <v>BMED</v>
          </cell>
          <cell r="L1467" t="str">
            <v>Normal</v>
          </cell>
          <cell r="M1467" t="str">
            <v>Germany</v>
          </cell>
          <cell r="N1467" t="str">
            <v>Thermo Fisher</v>
          </cell>
          <cell r="O1467" t="str">
            <v>EPD MK2.5</v>
          </cell>
          <cell r="P1467" t="str">
            <v>00288083</v>
          </cell>
          <cell r="Q1467" t="str">
            <v>Not Applicable</v>
          </cell>
          <cell r="R1467" t="str">
            <v>Thermo Fisher Scientific</v>
          </cell>
          <cell r="S1467" t="str">
            <v>Delta Advantech (M) Sdn Bhd</v>
          </cell>
          <cell r="T1467" t="str">
            <v>Functioning</v>
          </cell>
          <cell r="U1467" t="str">
            <v>Asset</v>
          </cell>
          <cell r="V1467">
            <v>4370</v>
          </cell>
          <cell r="W1467" t="str">
            <v>KEW</v>
          </cell>
          <cell r="X1467" t="str">
            <v>01/09/2010</v>
          </cell>
          <cell r="Y1467" t="str">
            <v>KEW</v>
          </cell>
          <cell r="Z1467" t="str">
            <v>16/08/2013</v>
          </cell>
          <cell r="AA1467" t="str">
            <v>15/08/2015</v>
          </cell>
          <cell r="AB1467" t="str">
            <v>No</v>
          </cell>
          <cell r="AC1467" t="str">
            <v>31/08/2013</v>
          </cell>
          <cell r="AD1467" t="str">
            <v>Good</v>
          </cell>
          <cell r="AE1467" t="str">
            <v>V1 - Existing / No Claim</v>
          </cell>
          <cell r="AF1467">
            <v>42235</v>
          </cell>
          <cell r="AG1467">
            <v>9.17</v>
          </cell>
          <cell r="AH1467" t="str">
            <v>PPM</v>
          </cell>
          <cell r="AI1467" t="str">
            <v>package</v>
          </cell>
          <cell r="AJ1467" t="str">
            <v>Not in contract</v>
          </cell>
        </row>
        <row r="1468">
          <cell r="A1468" t="str">
            <v>IKN401179</v>
          </cell>
          <cell r="B1468">
            <v>1177</v>
          </cell>
          <cell r="C1468" t="str">
            <v>Institut Kanser Negara</v>
          </cell>
          <cell r="E1468" t="str">
            <v>11-295</v>
          </cell>
          <cell r="F1468" t="str">
            <v>Dosimeters, Radiation</v>
          </cell>
          <cell r="G1468" t="str">
            <v>RT</v>
          </cell>
          <cell r="H1468" t="str">
            <v>RADIATION TREATMENT UNIT</v>
          </cell>
          <cell r="I1468" t="str">
            <v>01RT213</v>
          </cell>
          <cell r="J1468" t="str">
            <v>EQUIPMENT ROOM1</v>
          </cell>
          <cell r="K1468" t="str">
            <v>BMED</v>
          </cell>
          <cell r="L1468" t="str">
            <v>Normal</v>
          </cell>
          <cell r="M1468" t="str">
            <v>Germany</v>
          </cell>
          <cell r="N1468" t="str">
            <v>Thermo Fisher</v>
          </cell>
          <cell r="O1468" t="str">
            <v>EPD MK2.5</v>
          </cell>
          <cell r="P1468" t="str">
            <v>00289453</v>
          </cell>
          <cell r="Q1468" t="str">
            <v>Not Applicable</v>
          </cell>
          <cell r="R1468" t="str">
            <v>Thermo Fisher Scientific</v>
          </cell>
          <cell r="S1468" t="str">
            <v>Delta Advantech (M) Sdn Bhd</v>
          </cell>
          <cell r="T1468" t="str">
            <v>Functioning</v>
          </cell>
          <cell r="U1468" t="str">
            <v>Asset</v>
          </cell>
          <cell r="V1468">
            <v>4370</v>
          </cell>
          <cell r="W1468" t="str">
            <v>KEW</v>
          </cell>
          <cell r="X1468" t="str">
            <v>01/09/2010</v>
          </cell>
          <cell r="Y1468" t="str">
            <v>KEW</v>
          </cell>
          <cell r="Z1468" t="str">
            <v>16/08/2013</v>
          </cell>
          <cell r="AA1468" t="str">
            <v>15/08/2015</v>
          </cell>
          <cell r="AB1468" t="str">
            <v>No</v>
          </cell>
          <cell r="AC1468" t="str">
            <v>31/08/2013</v>
          </cell>
          <cell r="AD1468" t="str">
            <v>Good</v>
          </cell>
          <cell r="AE1468" t="str">
            <v>V1 - Existing / No Claim</v>
          </cell>
          <cell r="AF1468">
            <v>42235</v>
          </cell>
          <cell r="AG1468">
            <v>9.17</v>
          </cell>
          <cell r="AH1468" t="str">
            <v>PPM</v>
          </cell>
          <cell r="AI1468" t="str">
            <v>package</v>
          </cell>
          <cell r="AJ1468" t="str">
            <v>Not in contract</v>
          </cell>
          <cell r="AK1468" t="str">
            <v>Asset not found since 2019. Asset found 2023.</v>
          </cell>
        </row>
        <row r="1469">
          <cell r="A1469" t="str">
            <v>IKN401180</v>
          </cell>
          <cell r="B1469">
            <v>1178</v>
          </cell>
          <cell r="C1469" t="str">
            <v>Institut Kanser Negara</v>
          </cell>
          <cell r="D1469" t="str">
            <v>KKM/IKN/H/13/1183</v>
          </cell>
          <cell r="E1469" t="str">
            <v>11-295</v>
          </cell>
          <cell r="F1469" t="str">
            <v>Dosimeters, Radiation</v>
          </cell>
          <cell r="G1469" t="str">
            <v>RT</v>
          </cell>
          <cell r="H1469" t="str">
            <v>RADIATION TREATMENT UNIT</v>
          </cell>
          <cell r="I1469" t="str">
            <v>01RT213</v>
          </cell>
          <cell r="J1469" t="str">
            <v>EQUIPMENT ROOM1</v>
          </cell>
          <cell r="K1469" t="str">
            <v>BMED</v>
          </cell>
          <cell r="L1469" t="str">
            <v>Normal</v>
          </cell>
          <cell r="M1469" t="str">
            <v>Germany</v>
          </cell>
          <cell r="N1469" t="str">
            <v>Thermo Fisher</v>
          </cell>
          <cell r="O1469" t="str">
            <v>EPD MK2.5</v>
          </cell>
          <cell r="P1469" t="str">
            <v>00289457</v>
          </cell>
          <cell r="Q1469" t="str">
            <v>Not Applicable</v>
          </cell>
          <cell r="R1469" t="str">
            <v>Thermo Fisher Scientific</v>
          </cell>
          <cell r="S1469" t="str">
            <v>Delta Advantech (M) Sdn Bhd</v>
          </cell>
          <cell r="T1469" t="str">
            <v>Functioning</v>
          </cell>
          <cell r="U1469" t="str">
            <v>Asset</v>
          </cell>
          <cell r="V1469">
            <v>4370</v>
          </cell>
          <cell r="W1469" t="str">
            <v>KEW</v>
          </cell>
          <cell r="X1469" t="str">
            <v>01/09/2010</v>
          </cell>
          <cell r="Y1469" t="str">
            <v>KEW</v>
          </cell>
          <cell r="Z1469" t="str">
            <v>16/08/2013</v>
          </cell>
          <cell r="AA1469" t="str">
            <v>15/08/2015</v>
          </cell>
          <cell r="AB1469" t="str">
            <v>No</v>
          </cell>
          <cell r="AC1469" t="str">
            <v>31/08/2013</v>
          </cell>
          <cell r="AD1469" t="str">
            <v>Good</v>
          </cell>
          <cell r="AE1469" t="str">
            <v>V1 - Existing / No Claim</v>
          </cell>
          <cell r="AF1469">
            <v>42235</v>
          </cell>
          <cell r="AG1469">
            <v>9.17</v>
          </cell>
          <cell r="AH1469" t="str">
            <v>PPM</v>
          </cell>
          <cell r="AI1469" t="str">
            <v>Strands</v>
          </cell>
          <cell r="AJ1469" t="str">
            <v>Strands PW</v>
          </cell>
        </row>
        <row r="1470">
          <cell r="A1470" t="str">
            <v>IKN401181</v>
          </cell>
          <cell r="B1470">
            <v>1179</v>
          </cell>
          <cell r="C1470" t="str">
            <v>Institut Kanser Negara</v>
          </cell>
          <cell r="E1470" t="str">
            <v>11-295</v>
          </cell>
          <cell r="F1470" t="str">
            <v>Dosimeters, Radiation</v>
          </cell>
          <cell r="G1470" t="str">
            <v>RT</v>
          </cell>
          <cell r="H1470" t="str">
            <v>RADIATION TREATMENT UNIT</v>
          </cell>
          <cell r="I1470" t="str">
            <v>01RT213</v>
          </cell>
          <cell r="J1470" t="str">
            <v>EQUIPMENT ROOM1</v>
          </cell>
          <cell r="K1470" t="str">
            <v>BMED</v>
          </cell>
          <cell r="L1470" t="str">
            <v>Normal</v>
          </cell>
          <cell r="M1470" t="str">
            <v>Germany</v>
          </cell>
          <cell r="N1470" t="str">
            <v>Thermo Fisher</v>
          </cell>
          <cell r="O1470" t="str">
            <v>EPD MK2.5</v>
          </cell>
          <cell r="P1470" t="str">
            <v>00288084</v>
          </cell>
          <cell r="Q1470" t="str">
            <v>Not Applicable</v>
          </cell>
          <cell r="R1470" t="str">
            <v>Thermo Fisher Scientific</v>
          </cell>
          <cell r="S1470" t="str">
            <v>Delta Advantech (M) Sdn Bhd</v>
          </cell>
          <cell r="T1470" t="str">
            <v>Functioning</v>
          </cell>
          <cell r="U1470" t="str">
            <v>Asset</v>
          </cell>
          <cell r="V1470">
            <v>4370</v>
          </cell>
          <cell r="W1470" t="str">
            <v>KEW</v>
          </cell>
          <cell r="X1470" t="str">
            <v>01/09/2010</v>
          </cell>
          <cell r="Y1470" t="str">
            <v>KEW</v>
          </cell>
          <cell r="Z1470" t="str">
            <v>16/08/2013</v>
          </cell>
          <cell r="AA1470" t="str">
            <v>15/08/2015</v>
          </cell>
          <cell r="AB1470" t="str">
            <v>No</v>
          </cell>
          <cell r="AC1470" t="str">
            <v>31/08/2013</v>
          </cell>
          <cell r="AD1470" t="str">
            <v>Good</v>
          </cell>
          <cell r="AE1470" t="str">
            <v>V1 - Existing / No Claim</v>
          </cell>
          <cell r="AF1470">
            <v>42235</v>
          </cell>
          <cell r="AG1470">
            <v>9.17</v>
          </cell>
          <cell r="AH1470" t="str">
            <v>PPM</v>
          </cell>
          <cell r="AI1470" t="str">
            <v>package</v>
          </cell>
          <cell r="AJ1470" t="str">
            <v>Not in contract</v>
          </cell>
        </row>
        <row r="1471">
          <cell r="A1471" t="str">
            <v>IKN401182</v>
          </cell>
          <cell r="B1471">
            <v>1180</v>
          </cell>
          <cell r="C1471" t="str">
            <v>Institut Kanser Negara</v>
          </cell>
          <cell r="E1471" t="str">
            <v>11-295</v>
          </cell>
          <cell r="F1471" t="str">
            <v>Dosimeters, Radiation</v>
          </cell>
          <cell r="G1471" t="str">
            <v>RT</v>
          </cell>
          <cell r="H1471" t="str">
            <v>RADIATION TREATMENT UNIT</v>
          </cell>
          <cell r="I1471" t="str">
            <v>01RT213</v>
          </cell>
          <cell r="J1471" t="str">
            <v>EQUIPMENT ROOM1</v>
          </cell>
          <cell r="K1471" t="str">
            <v>BMED</v>
          </cell>
          <cell r="L1471" t="str">
            <v>Normal</v>
          </cell>
          <cell r="M1471" t="str">
            <v>Germany</v>
          </cell>
          <cell r="N1471" t="str">
            <v>Thermo Fisher</v>
          </cell>
          <cell r="O1471" t="str">
            <v>EPD MK2.5</v>
          </cell>
          <cell r="P1471" t="str">
            <v>00288086</v>
          </cell>
          <cell r="Q1471" t="str">
            <v>Not Applicable</v>
          </cell>
          <cell r="R1471" t="str">
            <v>Thermo Fisher Scientific</v>
          </cell>
          <cell r="S1471" t="str">
            <v>Delta Advantech (M) Sdn Bhd</v>
          </cell>
          <cell r="T1471" t="str">
            <v>Functioning</v>
          </cell>
          <cell r="U1471" t="str">
            <v>Asset</v>
          </cell>
          <cell r="V1471">
            <v>4370</v>
          </cell>
          <cell r="W1471" t="str">
            <v>KEW</v>
          </cell>
          <cell r="X1471" t="str">
            <v>01/09/2010</v>
          </cell>
          <cell r="Y1471" t="str">
            <v>KEW</v>
          </cell>
          <cell r="Z1471" t="str">
            <v>16/08/2013</v>
          </cell>
          <cell r="AA1471" t="str">
            <v>15/08/2015</v>
          </cell>
          <cell r="AB1471" t="str">
            <v>No</v>
          </cell>
          <cell r="AC1471" t="str">
            <v>31/08/2013</v>
          </cell>
          <cell r="AD1471" t="str">
            <v>Good</v>
          </cell>
          <cell r="AE1471" t="str">
            <v>V1 - Existing / No Claim</v>
          </cell>
          <cell r="AF1471">
            <v>42235</v>
          </cell>
          <cell r="AG1471">
            <v>9.17</v>
          </cell>
          <cell r="AH1471" t="str">
            <v>PPM</v>
          </cell>
          <cell r="AI1471" t="str">
            <v>package</v>
          </cell>
          <cell r="AJ1471" t="str">
            <v>Not in contract</v>
          </cell>
        </row>
        <row r="1472">
          <cell r="A1472" t="str">
            <v>IKN401183</v>
          </cell>
          <cell r="B1472">
            <v>1181</v>
          </cell>
          <cell r="C1472" t="str">
            <v>Institut Kanser Negara</v>
          </cell>
          <cell r="D1472" t="str">
            <v>KKM/IKN/H/13/1177</v>
          </cell>
          <cell r="E1472" t="str">
            <v>11-295</v>
          </cell>
          <cell r="F1472" t="str">
            <v>Dosimeters, Radiation</v>
          </cell>
          <cell r="G1472" t="str">
            <v>RT</v>
          </cell>
          <cell r="H1472" t="str">
            <v>RADIATION TREATMENT UNIT</v>
          </cell>
          <cell r="I1472" t="str">
            <v>01RT213</v>
          </cell>
          <cell r="J1472" t="str">
            <v>EQUIPMENT ROOM1</v>
          </cell>
          <cell r="K1472" t="str">
            <v>BMED</v>
          </cell>
          <cell r="L1472" t="str">
            <v>Normal</v>
          </cell>
          <cell r="M1472" t="str">
            <v>Germany</v>
          </cell>
          <cell r="N1472" t="str">
            <v>Thermo Fisher</v>
          </cell>
          <cell r="O1472" t="str">
            <v>EPD MK2.5</v>
          </cell>
          <cell r="P1472" t="str">
            <v>00289459</v>
          </cell>
          <cell r="Q1472" t="str">
            <v>Not Applicable</v>
          </cell>
          <cell r="R1472" t="str">
            <v>Thermo Fisher Scientific</v>
          </cell>
          <cell r="S1472" t="str">
            <v>Delta Advantech (M) Sdn Bhd</v>
          </cell>
          <cell r="T1472" t="str">
            <v>Functioning</v>
          </cell>
          <cell r="U1472" t="str">
            <v>Asset</v>
          </cell>
          <cell r="V1472">
            <v>4370</v>
          </cell>
          <cell r="W1472" t="str">
            <v>KEW</v>
          </cell>
          <cell r="X1472" t="str">
            <v>01/09/2010</v>
          </cell>
          <cell r="Y1472" t="str">
            <v>KEW</v>
          </cell>
          <cell r="Z1472" t="str">
            <v>16/08/2013</v>
          </cell>
          <cell r="AA1472" t="str">
            <v>15/08/2015</v>
          </cell>
          <cell r="AB1472" t="str">
            <v>No</v>
          </cell>
          <cell r="AC1472" t="str">
            <v>31/08/2013</v>
          </cell>
          <cell r="AD1472" t="str">
            <v>Good</v>
          </cell>
          <cell r="AE1472" t="str">
            <v>V1 - Existing / No Claim</v>
          </cell>
          <cell r="AF1472">
            <v>42235</v>
          </cell>
          <cell r="AG1472">
            <v>9.17</v>
          </cell>
          <cell r="AH1472" t="str">
            <v>PPM</v>
          </cell>
          <cell r="AI1472" t="str">
            <v>Strands</v>
          </cell>
          <cell r="AJ1472" t="str">
            <v>Strands PW</v>
          </cell>
        </row>
        <row r="1473">
          <cell r="A1473" t="str">
            <v>IKN401184</v>
          </cell>
          <cell r="B1473">
            <v>1182</v>
          </cell>
          <cell r="C1473" t="str">
            <v>Institut Kanser Negara</v>
          </cell>
          <cell r="D1473" t="str">
            <v>KKM/IKN/H/13/1186</v>
          </cell>
          <cell r="E1473" t="str">
            <v>11-295</v>
          </cell>
          <cell r="F1473" t="str">
            <v>Dosimeters, Radiation</v>
          </cell>
          <cell r="G1473" t="str">
            <v>NM</v>
          </cell>
          <cell r="H1473" t="str">
            <v>NUCLEAR MED (DIAGNOSTIC)</v>
          </cell>
          <cell r="I1473" t="str">
            <v>03NM170</v>
          </cell>
          <cell r="J1473" t="str">
            <v>CHIEF PHYSICIST</v>
          </cell>
          <cell r="K1473" t="str">
            <v>BMED</v>
          </cell>
          <cell r="L1473" t="str">
            <v>Normal</v>
          </cell>
          <cell r="M1473" t="str">
            <v>Germany</v>
          </cell>
          <cell r="N1473" t="str">
            <v>Thermo Fisher</v>
          </cell>
          <cell r="O1473" t="str">
            <v>EPD MK2.5</v>
          </cell>
          <cell r="P1473" t="str">
            <v>00288070</v>
          </cell>
          <cell r="Q1473" t="str">
            <v>Not Applicable</v>
          </cell>
          <cell r="R1473" t="str">
            <v>Thermo Fisher Scientific</v>
          </cell>
          <cell r="S1473" t="str">
            <v>Delta Advantech (M) Sdn Bhd</v>
          </cell>
          <cell r="T1473" t="str">
            <v>Functioning</v>
          </cell>
          <cell r="U1473" t="str">
            <v>Asset</v>
          </cell>
          <cell r="V1473">
            <v>4370</v>
          </cell>
          <cell r="W1473" t="str">
            <v>KEW</v>
          </cell>
          <cell r="X1473" t="str">
            <v>01/09/2010</v>
          </cell>
          <cell r="Y1473" t="str">
            <v>KEW</v>
          </cell>
          <cell r="Z1473" t="str">
            <v>16/08/2013</v>
          </cell>
          <cell r="AA1473" t="str">
            <v>15/08/2015</v>
          </cell>
          <cell r="AB1473" t="str">
            <v>No</v>
          </cell>
          <cell r="AC1473" t="str">
            <v>31/08/2013</v>
          </cell>
          <cell r="AD1473" t="str">
            <v>Good</v>
          </cell>
          <cell r="AE1473" t="str">
            <v>V1 - Existing / No Claim</v>
          </cell>
          <cell r="AF1473">
            <v>42235</v>
          </cell>
          <cell r="AG1473">
            <v>9.17</v>
          </cell>
          <cell r="AH1473" t="str">
            <v>PPM</v>
          </cell>
          <cell r="AI1473" t="str">
            <v>Strands</v>
          </cell>
          <cell r="AJ1473" t="str">
            <v>Strands PW</v>
          </cell>
        </row>
        <row r="1474">
          <cell r="A1474" t="str">
            <v>IKN401185</v>
          </cell>
          <cell r="B1474">
            <v>1183</v>
          </cell>
          <cell r="C1474" t="str">
            <v>Institut Kanser Negara</v>
          </cell>
          <cell r="D1474" t="str">
            <v>KKM/IKN/H/13/3210</v>
          </cell>
          <cell r="E1474" t="str">
            <v>11-295</v>
          </cell>
          <cell r="F1474" t="str">
            <v>Dosimeters, Radiation</v>
          </cell>
          <cell r="G1474" t="str">
            <v>NM</v>
          </cell>
          <cell r="H1474" t="str">
            <v>NUCLEAR MED (DIAGNOSTIC)</v>
          </cell>
          <cell r="I1474" t="str">
            <v>03NM170</v>
          </cell>
          <cell r="J1474" t="str">
            <v>CHIEF PHYSICIST</v>
          </cell>
          <cell r="K1474" t="str">
            <v>BMED</v>
          </cell>
          <cell r="L1474" t="str">
            <v>Normal</v>
          </cell>
          <cell r="M1474" t="str">
            <v>Germany</v>
          </cell>
          <cell r="N1474" t="str">
            <v>Thermo Fisher</v>
          </cell>
          <cell r="O1474" t="str">
            <v>EPD MK2.5</v>
          </cell>
          <cell r="P1474" t="str">
            <v>00288071</v>
          </cell>
          <cell r="Q1474" t="str">
            <v>Not Applicable</v>
          </cell>
          <cell r="R1474" t="str">
            <v>Thermo Fisher Scientific</v>
          </cell>
          <cell r="S1474" t="str">
            <v>Delta Advantech (M) Sdn Bhd</v>
          </cell>
          <cell r="T1474" t="str">
            <v>Functioning</v>
          </cell>
          <cell r="U1474" t="str">
            <v>Asset</v>
          </cell>
          <cell r="V1474">
            <v>4370</v>
          </cell>
          <cell r="W1474" t="str">
            <v>KEW</v>
          </cell>
          <cell r="X1474" t="str">
            <v>01/09/2010</v>
          </cell>
          <cell r="Y1474" t="str">
            <v>KEW</v>
          </cell>
          <cell r="Z1474" t="str">
            <v>16/08/2013</v>
          </cell>
          <cell r="AA1474" t="str">
            <v>15/08/2015</v>
          </cell>
          <cell r="AB1474" t="str">
            <v>No</v>
          </cell>
          <cell r="AC1474" t="str">
            <v>31/08/2013</v>
          </cell>
          <cell r="AD1474" t="str">
            <v>Good</v>
          </cell>
          <cell r="AE1474" t="str">
            <v>V1 - Existing / No Claim</v>
          </cell>
          <cell r="AF1474">
            <v>42235</v>
          </cell>
          <cell r="AG1474">
            <v>9.17</v>
          </cell>
          <cell r="AH1474" t="str">
            <v>PPM</v>
          </cell>
          <cell r="AI1474" t="str">
            <v>Strands</v>
          </cell>
          <cell r="AJ1474" t="str">
            <v>Strands PW</v>
          </cell>
        </row>
        <row r="1475">
          <cell r="A1475" t="str">
            <v>IKN401186</v>
          </cell>
          <cell r="B1475">
            <v>1184</v>
          </cell>
          <cell r="C1475" t="str">
            <v>Institut Kanser Negara</v>
          </cell>
          <cell r="D1475" t="str">
            <v>KKM/IKN/H/13/3211</v>
          </cell>
          <cell r="E1475" t="str">
            <v>11-295</v>
          </cell>
          <cell r="F1475" t="str">
            <v>Dosimeters, Radiation</v>
          </cell>
          <cell r="G1475" t="str">
            <v>NM</v>
          </cell>
          <cell r="H1475" t="str">
            <v>NUCLEAR MED (DIAGNOSTIC)</v>
          </cell>
          <cell r="I1475" t="str">
            <v>03NM170</v>
          </cell>
          <cell r="J1475" t="str">
            <v>CHIEF PHYSICIST</v>
          </cell>
          <cell r="K1475" t="str">
            <v>BMED</v>
          </cell>
          <cell r="L1475" t="str">
            <v>Normal</v>
          </cell>
          <cell r="M1475" t="str">
            <v>Germany</v>
          </cell>
          <cell r="N1475" t="str">
            <v>Thermo Fisher</v>
          </cell>
          <cell r="O1475" t="str">
            <v>EPD MK2.5</v>
          </cell>
          <cell r="P1475" t="str">
            <v>00288072</v>
          </cell>
          <cell r="Q1475" t="str">
            <v>Not Applicable</v>
          </cell>
          <cell r="R1475" t="str">
            <v>Thermo Fisher Scientific</v>
          </cell>
          <cell r="S1475" t="str">
            <v>Delta Advantech (M) Sdn Bhd</v>
          </cell>
          <cell r="T1475" t="str">
            <v>Functioning</v>
          </cell>
          <cell r="U1475" t="str">
            <v>Asset</v>
          </cell>
          <cell r="V1475">
            <v>4370</v>
          </cell>
          <cell r="W1475" t="str">
            <v>KEW</v>
          </cell>
          <cell r="X1475" t="str">
            <v>01/09/2010</v>
          </cell>
          <cell r="Y1475" t="str">
            <v>KEW</v>
          </cell>
          <cell r="Z1475" t="str">
            <v>16/08/2013</v>
          </cell>
          <cell r="AA1475" t="str">
            <v>15/08/2015</v>
          </cell>
          <cell r="AB1475" t="str">
            <v>No</v>
          </cell>
          <cell r="AC1475" t="str">
            <v>31/08/2013</v>
          </cell>
          <cell r="AD1475" t="str">
            <v>Good</v>
          </cell>
          <cell r="AE1475" t="str">
            <v>V1 - Existing / No Claim</v>
          </cell>
          <cell r="AF1475">
            <v>42235</v>
          </cell>
          <cell r="AG1475">
            <v>9.17</v>
          </cell>
          <cell r="AH1475" t="str">
            <v>PPM</v>
          </cell>
          <cell r="AI1475" t="str">
            <v>Strands</v>
          </cell>
          <cell r="AJ1475" t="str">
            <v>Strands PW</v>
          </cell>
        </row>
        <row r="1476">
          <cell r="A1476" t="str">
            <v>IKN401187</v>
          </cell>
          <cell r="B1476">
            <v>1185</v>
          </cell>
          <cell r="C1476" t="str">
            <v>Institut Kanser Negara</v>
          </cell>
          <cell r="D1476" t="str">
            <v>KKM/IKN/H/13/3214</v>
          </cell>
          <cell r="E1476" t="str">
            <v>11-295</v>
          </cell>
          <cell r="F1476" t="str">
            <v>Dosimeters, Radiation</v>
          </cell>
          <cell r="G1476" t="str">
            <v>NM</v>
          </cell>
          <cell r="H1476" t="str">
            <v>NUCLEAR MED (DIAGNOSTIC)</v>
          </cell>
          <cell r="I1476" t="str">
            <v>03NM170</v>
          </cell>
          <cell r="J1476" t="str">
            <v>CHIEF PHYSICIST</v>
          </cell>
          <cell r="K1476" t="str">
            <v>BMED</v>
          </cell>
          <cell r="L1476" t="str">
            <v>Normal</v>
          </cell>
          <cell r="M1476" t="str">
            <v>Germany</v>
          </cell>
          <cell r="N1476" t="str">
            <v>Thermo Fisher</v>
          </cell>
          <cell r="O1476" t="str">
            <v>EPD MK2.5</v>
          </cell>
          <cell r="P1476" t="str">
            <v>00288073</v>
          </cell>
          <cell r="Q1476" t="str">
            <v>Not Applicable</v>
          </cell>
          <cell r="R1476" t="str">
            <v>Thermo Fisher Scientific</v>
          </cell>
          <cell r="S1476" t="str">
            <v>Delta Advantech (M) Sdn Bhd</v>
          </cell>
          <cell r="T1476" t="str">
            <v>Functioning</v>
          </cell>
          <cell r="U1476" t="str">
            <v>Asset</v>
          </cell>
          <cell r="V1476">
            <v>4370</v>
          </cell>
          <cell r="W1476" t="str">
            <v>KEW</v>
          </cell>
          <cell r="X1476" t="str">
            <v>01/09/2010</v>
          </cell>
          <cell r="Y1476" t="str">
            <v>KEW</v>
          </cell>
          <cell r="Z1476" t="str">
            <v>16/08/2013</v>
          </cell>
          <cell r="AA1476" t="str">
            <v>15/08/2015</v>
          </cell>
          <cell r="AB1476" t="str">
            <v>No</v>
          </cell>
          <cell r="AC1476" t="str">
            <v>31/08/2013</v>
          </cell>
          <cell r="AD1476" t="str">
            <v>Good</v>
          </cell>
          <cell r="AE1476" t="str">
            <v>V1 - Existing / No Claim</v>
          </cell>
          <cell r="AF1476">
            <v>42235</v>
          </cell>
          <cell r="AG1476">
            <v>9.17</v>
          </cell>
          <cell r="AH1476" t="str">
            <v>PPM</v>
          </cell>
          <cell r="AI1476" t="str">
            <v>Strands</v>
          </cell>
          <cell r="AJ1476" t="str">
            <v>Strands PW</v>
          </cell>
        </row>
        <row r="1477">
          <cell r="A1477" t="str">
            <v>IKN401188</v>
          </cell>
          <cell r="B1477">
            <v>1186</v>
          </cell>
          <cell r="C1477" t="str">
            <v>Institut Kanser Negara</v>
          </cell>
          <cell r="D1477" t="str">
            <v>KKM/IKN/H/13/3129</v>
          </cell>
          <cell r="E1477" t="str">
            <v>11-295</v>
          </cell>
          <cell r="F1477" t="str">
            <v>Dosimeters, Radiation</v>
          </cell>
          <cell r="G1477" t="str">
            <v>NM</v>
          </cell>
          <cell r="H1477" t="str">
            <v>NUCLEAR MED (DIAGNOSTIC)</v>
          </cell>
          <cell r="I1477" t="str">
            <v>03NM170</v>
          </cell>
          <cell r="J1477" t="str">
            <v>CHIEF PHYSICIST</v>
          </cell>
          <cell r="K1477" t="str">
            <v>BMED</v>
          </cell>
          <cell r="L1477" t="str">
            <v>Normal</v>
          </cell>
          <cell r="M1477" t="str">
            <v>Germany</v>
          </cell>
          <cell r="N1477" t="str">
            <v>Thermo Fisher</v>
          </cell>
          <cell r="O1477" t="str">
            <v>EPD MK2.5</v>
          </cell>
          <cell r="P1477" t="str">
            <v>00288074</v>
          </cell>
          <cell r="Q1477" t="str">
            <v>Not Applicable</v>
          </cell>
          <cell r="R1477" t="str">
            <v>Thermo Fisher Scientific</v>
          </cell>
          <cell r="S1477" t="str">
            <v>Delta Advantech (M) Sdn Bhd</v>
          </cell>
          <cell r="T1477" t="str">
            <v>Functioning</v>
          </cell>
          <cell r="U1477" t="str">
            <v>Asset</v>
          </cell>
          <cell r="V1477">
            <v>4370</v>
          </cell>
          <cell r="W1477" t="str">
            <v>KEW</v>
          </cell>
          <cell r="X1477" t="str">
            <v>01/09/2010</v>
          </cell>
          <cell r="Y1477" t="str">
            <v>KEW</v>
          </cell>
          <cell r="Z1477" t="str">
            <v>16/08/2013</v>
          </cell>
          <cell r="AA1477" t="str">
            <v>15/08/2015</v>
          </cell>
          <cell r="AB1477" t="str">
            <v>No</v>
          </cell>
          <cell r="AC1477" t="str">
            <v>31/08/2013</v>
          </cell>
          <cell r="AD1477" t="str">
            <v>Good</v>
          </cell>
          <cell r="AE1477" t="str">
            <v>V1 - Existing / No Claim</v>
          </cell>
          <cell r="AF1477">
            <v>42235</v>
          </cell>
          <cell r="AG1477">
            <v>9.17</v>
          </cell>
          <cell r="AH1477" t="str">
            <v>PPM</v>
          </cell>
          <cell r="AI1477" t="str">
            <v>Strands</v>
          </cell>
          <cell r="AJ1477" t="str">
            <v>Strands PW</v>
          </cell>
        </row>
        <row r="1478">
          <cell r="A1478" t="str">
            <v>IKN401189</v>
          </cell>
          <cell r="B1478">
            <v>1187</v>
          </cell>
          <cell r="C1478" t="str">
            <v>Institut Kanser Negara</v>
          </cell>
          <cell r="D1478" t="str">
            <v>KKM/IKN/H/13/3213</v>
          </cell>
          <cell r="E1478" t="str">
            <v>11-295</v>
          </cell>
          <cell r="F1478" t="str">
            <v>Dosimeters, Radiation</v>
          </cell>
          <cell r="G1478" t="str">
            <v>NM</v>
          </cell>
          <cell r="H1478" t="str">
            <v>NUCLEAR MED (DIAGNOSTIC)</v>
          </cell>
          <cell r="I1478" t="str">
            <v>03NM170</v>
          </cell>
          <cell r="J1478" t="str">
            <v>CHIEF PHYSICIST</v>
          </cell>
          <cell r="K1478" t="str">
            <v>BMED</v>
          </cell>
          <cell r="L1478" t="str">
            <v>Normal</v>
          </cell>
          <cell r="M1478" t="str">
            <v>Germany</v>
          </cell>
          <cell r="N1478" t="str">
            <v>Thermo Fisher</v>
          </cell>
          <cell r="O1478" t="str">
            <v>EPD MK2.5</v>
          </cell>
          <cell r="P1478" t="str">
            <v>00288075</v>
          </cell>
          <cell r="Q1478" t="str">
            <v>Not Applicable</v>
          </cell>
          <cell r="R1478" t="str">
            <v>Thermo Fisher Scientific</v>
          </cell>
          <cell r="S1478" t="str">
            <v>Delta Advantech (M) Sdn Bhd</v>
          </cell>
          <cell r="T1478" t="str">
            <v>Functioning</v>
          </cell>
          <cell r="U1478" t="str">
            <v>Asset</v>
          </cell>
          <cell r="V1478">
            <v>4370</v>
          </cell>
          <cell r="W1478" t="str">
            <v>KEW</v>
          </cell>
          <cell r="X1478" t="str">
            <v>01/09/2010</v>
          </cell>
          <cell r="Y1478" t="str">
            <v>KEW</v>
          </cell>
          <cell r="Z1478" t="str">
            <v>16/08/2013</v>
          </cell>
          <cell r="AA1478" t="str">
            <v>15/08/2015</v>
          </cell>
          <cell r="AB1478" t="str">
            <v>No</v>
          </cell>
          <cell r="AC1478" t="str">
            <v>31/08/2013</v>
          </cell>
          <cell r="AD1478" t="str">
            <v>Good</v>
          </cell>
          <cell r="AE1478" t="str">
            <v>V1 - Existing / No Claim</v>
          </cell>
          <cell r="AF1478">
            <v>42235</v>
          </cell>
          <cell r="AG1478">
            <v>9.17</v>
          </cell>
          <cell r="AH1478" t="str">
            <v>PPM</v>
          </cell>
          <cell r="AI1478" t="str">
            <v>Strands</v>
          </cell>
          <cell r="AJ1478" t="str">
            <v>Strands PW</v>
          </cell>
        </row>
        <row r="1479">
          <cell r="A1479" t="str">
            <v>IKN401190</v>
          </cell>
          <cell r="B1479">
            <v>1188</v>
          </cell>
          <cell r="C1479" t="str">
            <v>Institut Kanser Negara</v>
          </cell>
          <cell r="D1479" t="str">
            <v>KKM/IKN/H/13/3130</v>
          </cell>
          <cell r="E1479" t="str">
            <v>11-295</v>
          </cell>
          <cell r="F1479" t="str">
            <v>Dosimeters, Radiation</v>
          </cell>
          <cell r="G1479" t="str">
            <v>NM</v>
          </cell>
          <cell r="H1479" t="str">
            <v>NUCLEAR MED (DIAGNOSTIC)</v>
          </cell>
          <cell r="I1479" t="str">
            <v>03NM170</v>
          </cell>
          <cell r="J1479" t="str">
            <v>CHIEF PHYSICIST</v>
          </cell>
          <cell r="K1479" t="str">
            <v>BMED</v>
          </cell>
          <cell r="L1479" t="str">
            <v>Normal</v>
          </cell>
          <cell r="M1479" t="str">
            <v>Germany</v>
          </cell>
          <cell r="N1479" t="str">
            <v>Thermo Fisher</v>
          </cell>
          <cell r="O1479" t="str">
            <v>EPD MK2.5</v>
          </cell>
          <cell r="P1479" t="str">
            <v>00289477</v>
          </cell>
          <cell r="Q1479" t="str">
            <v>Not Applicable</v>
          </cell>
          <cell r="R1479" t="str">
            <v>Thermo Fisher Scientific</v>
          </cell>
          <cell r="S1479" t="str">
            <v>Delta Advantech (M) Sdn Bhd</v>
          </cell>
          <cell r="T1479" t="str">
            <v>Functioning</v>
          </cell>
          <cell r="U1479" t="str">
            <v>Asset</v>
          </cell>
          <cell r="V1479">
            <v>4370</v>
          </cell>
          <cell r="W1479" t="str">
            <v>KEW</v>
          </cell>
          <cell r="X1479" t="str">
            <v>01/09/2010</v>
          </cell>
          <cell r="Y1479" t="str">
            <v>KEW</v>
          </cell>
          <cell r="Z1479" t="str">
            <v>16/08/2013</v>
          </cell>
          <cell r="AA1479" t="str">
            <v>15/08/2015</v>
          </cell>
          <cell r="AB1479" t="str">
            <v>No</v>
          </cell>
          <cell r="AC1479" t="str">
            <v>31/08/2013</v>
          </cell>
          <cell r="AD1479" t="str">
            <v>Good</v>
          </cell>
          <cell r="AE1479" t="str">
            <v>V1 - Existing / No Claim</v>
          </cell>
          <cell r="AF1479">
            <v>42235</v>
          </cell>
          <cell r="AG1479">
            <v>9.17</v>
          </cell>
          <cell r="AH1479" t="str">
            <v>PPM</v>
          </cell>
          <cell r="AI1479" t="str">
            <v>Strands</v>
          </cell>
          <cell r="AJ1479" t="str">
            <v>Strands PW</v>
          </cell>
        </row>
        <row r="1480">
          <cell r="A1480" t="str">
            <v>IKN401191</v>
          </cell>
          <cell r="B1480">
            <v>1189</v>
          </cell>
          <cell r="C1480" t="str">
            <v>Institut Kanser Negara</v>
          </cell>
          <cell r="D1480" t="str">
            <v>KKM/IKN/H/13/3131</v>
          </cell>
          <cell r="E1480" t="str">
            <v>11-295</v>
          </cell>
          <cell r="F1480" t="str">
            <v>Dosimeters, Radiation</v>
          </cell>
          <cell r="G1480" t="str">
            <v>NM</v>
          </cell>
          <cell r="H1480" t="str">
            <v>NUCLEAR MED (DIAGNOSTIC)</v>
          </cell>
          <cell r="I1480" t="str">
            <v>03NM170</v>
          </cell>
          <cell r="J1480" t="str">
            <v>CHIEF PHYSICIST</v>
          </cell>
          <cell r="K1480" t="str">
            <v>BMED</v>
          </cell>
          <cell r="L1480" t="str">
            <v>Normal</v>
          </cell>
          <cell r="M1480" t="str">
            <v>Germany</v>
          </cell>
          <cell r="N1480" t="str">
            <v>Thermo Fisher</v>
          </cell>
          <cell r="O1480" t="str">
            <v>EPD MK2.5</v>
          </cell>
          <cell r="P1480" t="str">
            <v>00289464</v>
          </cell>
          <cell r="Q1480" t="str">
            <v>Not Applicable</v>
          </cell>
          <cell r="R1480" t="str">
            <v>Thermo Fisher Scientific</v>
          </cell>
          <cell r="S1480" t="str">
            <v>Delta Advantech (M) Sdn Bhd</v>
          </cell>
          <cell r="T1480" t="str">
            <v>Functioning</v>
          </cell>
          <cell r="U1480" t="str">
            <v>Asset</v>
          </cell>
          <cell r="V1480">
            <v>4370</v>
          </cell>
          <cell r="W1480" t="str">
            <v>KEW</v>
          </cell>
          <cell r="X1480" t="str">
            <v>01/09/2010</v>
          </cell>
          <cell r="Y1480" t="str">
            <v>KEW</v>
          </cell>
          <cell r="Z1480" t="str">
            <v>16/08/2013</v>
          </cell>
          <cell r="AA1480" t="str">
            <v>15/08/2015</v>
          </cell>
          <cell r="AB1480" t="str">
            <v>No</v>
          </cell>
          <cell r="AC1480" t="str">
            <v>31/08/2013</v>
          </cell>
          <cell r="AD1480" t="str">
            <v>Good</v>
          </cell>
          <cell r="AE1480" t="str">
            <v>V1 - Existing / No Claim</v>
          </cell>
          <cell r="AF1480">
            <v>42235</v>
          </cell>
          <cell r="AG1480">
            <v>9.17</v>
          </cell>
          <cell r="AH1480" t="str">
            <v>PPM</v>
          </cell>
          <cell r="AI1480" t="str">
            <v>Strands</v>
          </cell>
          <cell r="AJ1480" t="str">
            <v>Strands PW</v>
          </cell>
        </row>
        <row r="1481">
          <cell r="A1481" t="str">
            <v>IKN401192</v>
          </cell>
          <cell r="B1481">
            <v>1190</v>
          </cell>
          <cell r="C1481" t="str">
            <v>Institut Kanser Negara</v>
          </cell>
          <cell r="D1481" t="str">
            <v>KKM/IKN/H/13/4004</v>
          </cell>
          <cell r="E1481" t="str">
            <v>11-295</v>
          </cell>
          <cell r="F1481" t="str">
            <v>Dosimeters, Radiation</v>
          </cell>
          <cell r="G1481" t="str">
            <v>NM</v>
          </cell>
          <cell r="H1481" t="str">
            <v>NUCLEAR MED (DIAGNOSTIC)</v>
          </cell>
          <cell r="I1481" t="str">
            <v>03NM170</v>
          </cell>
          <cell r="J1481" t="str">
            <v>CHIEF PHYSICIST</v>
          </cell>
          <cell r="K1481" t="str">
            <v>BMED</v>
          </cell>
          <cell r="L1481" t="str">
            <v>Normal</v>
          </cell>
          <cell r="M1481" t="str">
            <v>Germany</v>
          </cell>
          <cell r="N1481" t="str">
            <v>Thermo Fisher</v>
          </cell>
          <cell r="O1481" t="str">
            <v>EPD MK2.5</v>
          </cell>
          <cell r="P1481" t="str">
            <v>00289469</v>
          </cell>
          <cell r="Q1481" t="str">
            <v>Not Applicable</v>
          </cell>
          <cell r="R1481" t="str">
            <v>Thermo Fisher Scientific</v>
          </cell>
          <cell r="S1481" t="str">
            <v>Delta Advantech (M) Sdn Bhd</v>
          </cell>
          <cell r="T1481" t="str">
            <v>Functioning</v>
          </cell>
          <cell r="U1481" t="str">
            <v>Asset</v>
          </cell>
          <cell r="V1481">
            <v>4370</v>
          </cell>
          <cell r="W1481" t="str">
            <v>KEW</v>
          </cell>
          <cell r="X1481" t="str">
            <v>01/09/2010</v>
          </cell>
          <cell r="Y1481" t="str">
            <v>KEW</v>
          </cell>
          <cell r="Z1481" t="str">
            <v>16/08/2013</v>
          </cell>
          <cell r="AA1481" t="str">
            <v>15/08/2015</v>
          </cell>
          <cell r="AB1481" t="str">
            <v>No</v>
          </cell>
          <cell r="AC1481" t="str">
            <v>31/08/2013</v>
          </cell>
          <cell r="AD1481" t="str">
            <v>Good</v>
          </cell>
          <cell r="AE1481" t="str">
            <v>V1 - Existing / No Claim</v>
          </cell>
          <cell r="AF1481">
            <v>42235</v>
          </cell>
          <cell r="AG1481">
            <v>9.17</v>
          </cell>
          <cell r="AH1481" t="str">
            <v>PPM</v>
          </cell>
          <cell r="AI1481" t="str">
            <v>Strands</v>
          </cell>
          <cell r="AJ1481" t="str">
            <v>Strands PW</v>
          </cell>
        </row>
        <row r="1482">
          <cell r="A1482" t="str">
            <v>IKN401194</v>
          </cell>
          <cell r="B1482">
            <v>1192</v>
          </cell>
          <cell r="C1482" t="str">
            <v>Institut Kanser Negara</v>
          </cell>
          <cell r="D1482" t="str">
            <v>KKM/IKN/H/14/50</v>
          </cell>
          <cell r="E1482" t="str">
            <v>15-663</v>
          </cell>
          <cell r="F1482" t="str">
            <v>Pipetters</v>
          </cell>
          <cell r="G1482" t="str">
            <v>LA</v>
          </cell>
          <cell r="H1482" t="str">
            <v>PATHOLOGY</v>
          </cell>
          <cell r="I1482" t="str">
            <v>04LA133</v>
          </cell>
          <cell r="J1482" t="str">
            <v>CHEMICAL PATHOLOGY 1</v>
          </cell>
          <cell r="K1482" t="str">
            <v>BMED</v>
          </cell>
          <cell r="L1482" t="str">
            <v>Normal</v>
          </cell>
          <cell r="M1482" t="str">
            <v>Germany</v>
          </cell>
          <cell r="N1482" t="str">
            <v>Eppendorf</v>
          </cell>
          <cell r="O1482" t="str">
            <v>Research Plus</v>
          </cell>
          <cell r="P1482" t="str">
            <v>J39383D</v>
          </cell>
          <cell r="Q1482" t="str">
            <v>Not Applicable</v>
          </cell>
          <cell r="R1482" t="str">
            <v>Eppendorf</v>
          </cell>
          <cell r="S1482" t="str">
            <v>Medigene sdn bhd</v>
          </cell>
          <cell r="T1482" t="str">
            <v>Functioning</v>
          </cell>
          <cell r="U1482" t="str">
            <v>Asset</v>
          </cell>
          <cell r="V1482">
            <v>750</v>
          </cell>
          <cell r="W1482" t="str">
            <v>KEW</v>
          </cell>
          <cell r="X1482" t="str">
            <v>01/09/2010</v>
          </cell>
          <cell r="Y1482" t="str">
            <v>KEW</v>
          </cell>
          <cell r="Z1482" t="str">
            <v>16/08/2013</v>
          </cell>
          <cell r="AA1482" t="str">
            <v>15/08/2015</v>
          </cell>
          <cell r="AB1482" t="str">
            <v>No</v>
          </cell>
          <cell r="AC1482" t="str">
            <v>31/08/2013</v>
          </cell>
          <cell r="AD1482" t="str">
            <v>Good</v>
          </cell>
          <cell r="AE1482" t="str">
            <v>V3 - Added Installed Facilities (New)</v>
          </cell>
          <cell r="AF1482">
            <v>42235</v>
          </cell>
          <cell r="AG1482">
            <v>9.17</v>
          </cell>
          <cell r="AH1482" t="str">
            <v>PPM</v>
          </cell>
          <cell r="AI1482" t="str">
            <v>Strands</v>
          </cell>
          <cell r="AJ1482" t="str">
            <v>Strands PW</v>
          </cell>
          <cell r="AK1482" t="str">
            <v>SNF received. 1st batch of V3 asset (December 2020).</v>
          </cell>
        </row>
        <row r="1483">
          <cell r="A1483" t="str">
            <v>IKN401195</v>
          </cell>
          <cell r="B1483">
            <v>1193</v>
          </cell>
          <cell r="C1483" t="str">
            <v>Institut Kanser Negara</v>
          </cell>
          <cell r="D1483" t="str">
            <v>KKM/IKN/H/13/4858</v>
          </cell>
          <cell r="E1483" t="str">
            <v>17-212</v>
          </cell>
          <cell r="F1483" t="str">
            <v>Radiation Survey Meters, Ionization Chamber</v>
          </cell>
          <cell r="G1483" t="str">
            <v>RT</v>
          </cell>
          <cell r="H1483" t="str">
            <v>RADIATION TREATMENT UNIT</v>
          </cell>
          <cell r="I1483" t="str">
            <v>01RT213</v>
          </cell>
          <cell r="J1483" t="str">
            <v>EQUIPMENT ROOM1</v>
          </cell>
          <cell r="K1483" t="str">
            <v>BMED</v>
          </cell>
          <cell r="L1483" t="str">
            <v>Normal</v>
          </cell>
          <cell r="M1483" t="str">
            <v>USA</v>
          </cell>
          <cell r="N1483" t="str">
            <v>Fluke</v>
          </cell>
          <cell r="O1483" t="str">
            <v>Fluke 451P- DE SI</v>
          </cell>
          <cell r="P1483" t="str">
            <v>4425</v>
          </cell>
          <cell r="Q1483" t="str">
            <v>Not Applicable</v>
          </cell>
          <cell r="R1483" t="str">
            <v>Fluke Biomedical RMS</v>
          </cell>
          <cell r="S1483" t="str">
            <v>Bell Comm Technologies Sdn Bhd</v>
          </cell>
          <cell r="T1483" t="str">
            <v>Functioning</v>
          </cell>
          <cell r="U1483" t="str">
            <v>Asset</v>
          </cell>
          <cell r="V1483">
            <v>6810</v>
          </cell>
          <cell r="W1483" t="str">
            <v>KEW</v>
          </cell>
          <cell r="X1483" t="str">
            <v>01/09/2010</v>
          </cell>
          <cell r="Y1483" t="str">
            <v>KEW</v>
          </cell>
          <cell r="Z1483" t="str">
            <v>16/08/2013</v>
          </cell>
          <cell r="AA1483" t="str">
            <v>15/08/2015</v>
          </cell>
          <cell r="AB1483" t="str">
            <v>No</v>
          </cell>
          <cell r="AC1483" t="str">
            <v>31/08/2013</v>
          </cell>
          <cell r="AD1483" t="str">
            <v>Good</v>
          </cell>
          <cell r="AE1483" t="str">
            <v>V1 - Existing / No Claim</v>
          </cell>
          <cell r="AF1483">
            <v>42235</v>
          </cell>
          <cell r="AG1483">
            <v>9.17</v>
          </cell>
          <cell r="AH1483" t="str">
            <v>PPM</v>
          </cell>
          <cell r="AI1483" t="str">
            <v>Strands</v>
          </cell>
          <cell r="AJ1483" t="str">
            <v>Strands PW</v>
          </cell>
        </row>
        <row r="1484">
          <cell r="A1484" t="str">
            <v>IKN401196</v>
          </cell>
          <cell r="B1484">
            <v>1194</v>
          </cell>
          <cell r="C1484" t="str">
            <v>Institut Kanser Negara</v>
          </cell>
          <cell r="D1484" t="str">
            <v>KKM/IKN/H/13/4857</v>
          </cell>
          <cell r="E1484" t="str">
            <v>17-212</v>
          </cell>
          <cell r="F1484" t="str">
            <v>Radiation Survey Meters, Ionization Chamber</v>
          </cell>
          <cell r="G1484" t="str">
            <v>RT</v>
          </cell>
          <cell r="H1484" t="str">
            <v>RADIATION TREATMENT UNIT</v>
          </cell>
          <cell r="I1484" t="str">
            <v>01RT213</v>
          </cell>
          <cell r="J1484" t="str">
            <v>EQUIPMENT ROOM1</v>
          </cell>
          <cell r="K1484" t="str">
            <v>BMED</v>
          </cell>
          <cell r="L1484" t="str">
            <v>Normal</v>
          </cell>
          <cell r="M1484" t="str">
            <v>USA</v>
          </cell>
          <cell r="N1484" t="str">
            <v>Fluke</v>
          </cell>
          <cell r="O1484" t="str">
            <v>Fluke 451P- DE SI</v>
          </cell>
          <cell r="P1484" t="str">
            <v>4424</v>
          </cell>
          <cell r="Q1484" t="str">
            <v>Not Applicable</v>
          </cell>
          <cell r="R1484" t="str">
            <v>Fluke Biomedical RMS</v>
          </cell>
          <cell r="S1484" t="str">
            <v>Bell Comm Technologies Sdn Bhd</v>
          </cell>
          <cell r="T1484" t="str">
            <v>Functioning</v>
          </cell>
          <cell r="U1484" t="str">
            <v>Asset</v>
          </cell>
          <cell r="V1484">
            <v>6810</v>
          </cell>
          <cell r="W1484" t="str">
            <v>KEW</v>
          </cell>
          <cell r="X1484" t="str">
            <v>01/09/2010</v>
          </cell>
          <cell r="Y1484" t="str">
            <v>KEW</v>
          </cell>
          <cell r="Z1484" t="str">
            <v>16/08/2013</v>
          </cell>
          <cell r="AA1484" t="str">
            <v>15/08/2015</v>
          </cell>
          <cell r="AB1484" t="str">
            <v>No</v>
          </cell>
          <cell r="AC1484" t="str">
            <v>31/08/2013</v>
          </cell>
          <cell r="AD1484" t="str">
            <v>Good</v>
          </cell>
          <cell r="AE1484" t="str">
            <v>V1 - Existing / No Claim</v>
          </cell>
          <cell r="AF1484">
            <v>42235</v>
          </cell>
          <cell r="AG1484">
            <v>9.17</v>
          </cell>
          <cell r="AH1484" t="str">
            <v>PPM</v>
          </cell>
          <cell r="AI1484" t="str">
            <v>Strands</v>
          </cell>
          <cell r="AJ1484" t="str">
            <v>Strands PW</v>
          </cell>
        </row>
        <row r="1485">
          <cell r="A1485" t="str">
            <v>IKN401197</v>
          </cell>
          <cell r="B1485">
            <v>1195</v>
          </cell>
          <cell r="C1485" t="str">
            <v>Institut Kanser Negara</v>
          </cell>
          <cell r="D1485" t="str">
            <v>KKM/IKN/H/13/4955</v>
          </cell>
          <cell r="E1485" t="str">
            <v>17-211</v>
          </cell>
          <cell r="F1485" t="str">
            <v>Radiation Survey Meters, Geiger-Muller</v>
          </cell>
          <cell r="G1485" t="str">
            <v>RT</v>
          </cell>
          <cell r="H1485" t="str">
            <v>RADIATION TREATMENT UNIT</v>
          </cell>
          <cell r="I1485" t="str">
            <v>01RT213</v>
          </cell>
          <cell r="J1485" t="str">
            <v>EQUIPMENT ROOM1</v>
          </cell>
          <cell r="K1485" t="str">
            <v>BMED</v>
          </cell>
          <cell r="L1485" t="str">
            <v>Normal</v>
          </cell>
          <cell r="M1485" t="str">
            <v>Germany</v>
          </cell>
          <cell r="N1485" t="str">
            <v>Ludlum</v>
          </cell>
          <cell r="O1485" t="str">
            <v>M98</v>
          </cell>
          <cell r="P1485">
            <v>273034</v>
          </cell>
          <cell r="Q1485" t="str">
            <v>Not Applicable</v>
          </cell>
          <cell r="R1485" t="str">
            <v>Ludlum Measurements Inc</v>
          </cell>
          <cell r="S1485" t="str">
            <v>H&amp;A Medical Supply Sdn Bhd</v>
          </cell>
          <cell r="T1485" t="str">
            <v>Functioning</v>
          </cell>
          <cell r="U1485" t="str">
            <v>Asset</v>
          </cell>
          <cell r="V1485">
            <v>3000</v>
          </cell>
          <cell r="W1485" t="str">
            <v>KEW</v>
          </cell>
          <cell r="X1485" t="str">
            <v>01/09/2010</v>
          </cell>
          <cell r="Y1485" t="str">
            <v>KEW</v>
          </cell>
          <cell r="Z1485" t="str">
            <v>16/08/2013</v>
          </cell>
          <cell r="AA1485" t="str">
            <v>15/08/2015</v>
          </cell>
          <cell r="AB1485" t="str">
            <v>No</v>
          </cell>
          <cell r="AC1485" t="str">
            <v>31/08/2013</v>
          </cell>
          <cell r="AD1485" t="str">
            <v>Good</v>
          </cell>
          <cell r="AE1485" t="str">
            <v>V1 - Existing / No Claim</v>
          </cell>
          <cell r="AF1485">
            <v>42235</v>
          </cell>
          <cell r="AG1485">
            <v>9.17</v>
          </cell>
          <cell r="AH1485" t="str">
            <v>PPM</v>
          </cell>
          <cell r="AI1485" t="str">
            <v>package</v>
          </cell>
        </row>
        <row r="1486">
          <cell r="A1486" t="str">
            <v>IKN401198</v>
          </cell>
          <cell r="B1486">
            <v>1196</v>
          </cell>
          <cell r="C1486" t="str">
            <v>Institut Kanser Negara</v>
          </cell>
          <cell r="D1486" t="str">
            <v>KKM/IKN/H/13/4956 - 02</v>
          </cell>
          <cell r="E1486" t="str">
            <v>17-211</v>
          </cell>
          <cell r="F1486" t="str">
            <v>Radiation Survey Meters, Geiger-Muller</v>
          </cell>
          <cell r="G1486" t="str">
            <v>RT</v>
          </cell>
          <cell r="H1486" t="str">
            <v>RADIATION TREATMENT UNIT</v>
          </cell>
          <cell r="I1486" t="str">
            <v>01RT213</v>
          </cell>
          <cell r="J1486" t="str">
            <v>EQUIPMENT ROOM1</v>
          </cell>
          <cell r="K1486" t="str">
            <v>BMED</v>
          </cell>
          <cell r="L1486" t="str">
            <v>Normal</v>
          </cell>
          <cell r="M1486" t="str">
            <v>USA</v>
          </cell>
          <cell r="N1486" t="str">
            <v>Fluke</v>
          </cell>
          <cell r="O1486" t="str">
            <v>ASM 990S</v>
          </cell>
          <cell r="P1486" t="str">
            <v>199606</v>
          </cell>
          <cell r="Q1486" t="str">
            <v>Not Applicable</v>
          </cell>
          <cell r="R1486" t="str">
            <v>Fluke Biomedical RMS</v>
          </cell>
          <cell r="S1486" t="str">
            <v>Bell Comm Technologies Sdn Bhd</v>
          </cell>
          <cell r="T1486" t="str">
            <v>Functioning</v>
          </cell>
          <cell r="U1486" t="str">
            <v>Asset</v>
          </cell>
          <cell r="V1486">
            <v>13500</v>
          </cell>
          <cell r="W1486" t="str">
            <v>KEW</v>
          </cell>
          <cell r="X1486" t="str">
            <v>01/09/2010</v>
          </cell>
          <cell r="Y1486" t="str">
            <v>KEW</v>
          </cell>
          <cell r="Z1486" t="str">
            <v>16/08/2013</v>
          </cell>
          <cell r="AA1486" t="str">
            <v>15/08/2015</v>
          </cell>
          <cell r="AB1486" t="str">
            <v>No</v>
          </cell>
          <cell r="AC1486" t="str">
            <v>31/08/2013</v>
          </cell>
          <cell r="AD1486" t="str">
            <v>Good</v>
          </cell>
          <cell r="AE1486" t="str">
            <v>V1 - Existing / No Claim</v>
          </cell>
          <cell r="AF1486">
            <v>42235</v>
          </cell>
          <cell r="AG1486">
            <v>9.17</v>
          </cell>
          <cell r="AH1486" t="str">
            <v>PPM</v>
          </cell>
          <cell r="AI1486" t="str">
            <v>Strands</v>
          </cell>
          <cell r="AJ1486" t="str">
            <v>Strands Package</v>
          </cell>
          <cell r="AK1486" t="str">
            <v>Package Brachytherapy / Prostate, XM0012</v>
          </cell>
        </row>
        <row r="1487">
          <cell r="A1487" t="str">
            <v>IKN401199</v>
          </cell>
          <cell r="B1487">
            <v>1197</v>
          </cell>
          <cell r="C1487" t="str">
            <v>Institut Kanser Negara</v>
          </cell>
          <cell r="D1487" t="str">
            <v>KKM/IKN/H/13/5014</v>
          </cell>
          <cell r="E1487" t="str">
            <v>15-129</v>
          </cell>
          <cell r="F1487" t="str">
            <v>Densitometers</v>
          </cell>
          <cell r="G1487" t="str">
            <v>ID</v>
          </cell>
          <cell r="H1487" t="str">
            <v>IMAGING DEPARTMENT</v>
          </cell>
          <cell r="I1487" t="str">
            <v>03ID169</v>
          </cell>
          <cell r="J1487" t="str">
            <v>RADIOGRAPHER</v>
          </cell>
          <cell r="K1487" t="str">
            <v>BMED</v>
          </cell>
          <cell r="L1487" t="str">
            <v>Normal</v>
          </cell>
          <cell r="M1487" t="str">
            <v>Germany</v>
          </cell>
          <cell r="N1487" t="str">
            <v>IBA</v>
          </cell>
          <cell r="O1487" t="str">
            <v>Unilight D</v>
          </cell>
          <cell r="P1487" t="str">
            <v>N6767</v>
          </cell>
          <cell r="Q1487" t="str">
            <v>Not Applicable</v>
          </cell>
          <cell r="R1487" t="str">
            <v>IBA</v>
          </cell>
          <cell r="S1487" t="str">
            <v>Delta Advantech (M) Sdn Bhd</v>
          </cell>
          <cell r="T1487" t="str">
            <v>Functioning</v>
          </cell>
          <cell r="U1487" t="str">
            <v>Asset</v>
          </cell>
          <cell r="V1487">
            <v>5000</v>
          </cell>
          <cell r="W1487" t="str">
            <v>KEW</v>
          </cell>
          <cell r="X1487" t="str">
            <v>01/09/2010</v>
          </cell>
          <cell r="Y1487" t="str">
            <v>KEW</v>
          </cell>
          <cell r="Z1487" t="str">
            <v>16/08/2013</v>
          </cell>
          <cell r="AA1487" t="str">
            <v>15/08/2015</v>
          </cell>
          <cell r="AB1487" t="str">
            <v>No</v>
          </cell>
          <cell r="AC1487" t="str">
            <v>31/08/2013</v>
          </cell>
          <cell r="AD1487" t="str">
            <v>Good</v>
          </cell>
          <cell r="AE1487" t="str">
            <v>V1 - Existing / No Claim</v>
          </cell>
          <cell r="AF1487">
            <v>42791</v>
          </cell>
          <cell r="AG1487">
            <v>9.17</v>
          </cell>
          <cell r="AH1487" t="str">
            <v>PPM</v>
          </cell>
          <cell r="AI1487" t="str">
            <v>Strands</v>
          </cell>
          <cell r="AJ1487" t="str">
            <v>Strands PW</v>
          </cell>
        </row>
        <row r="1488">
          <cell r="A1488" t="str">
            <v>IKN401200</v>
          </cell>
          <cell r="B1488">
            <v>1198</v>
          </cell>
          <cell r="C1488" t="str">
            <v>Institut Kanser Negara</v>
          </cell>
          <cell r="D1488" t="str">
            <v>KKM/IKN/H/13/4862</v>
          </cell>
          <cell r="E1488" t="str">
            <v>15-605</v>
          </cell>
          <cell r="F1488" t="str">
            <v>Testers</v>
          </cell>
          <cell r="G1488" t="str">
            <v>ID</v>
          </cell>
          <cell r="H1488" t="str">
            <v>IMAGING DEPARTMENT</v>
          </cell>
          <cell r="I1488" t="str">
            <v>03ID169</v>
          </cell>
          <cell r="J1488" t="str">
            <v>RADIOGRAPHER</v>
          </cell>
          <cell r="K1488" t="str">
            <v>BMED</v>
          </cell>
          <cell r="L1488" t="str">
            <v>Normal</v>
          </cell>
          <cell r="M1488" t="str">
            <v>Germany</v>
          </cell>
          <cell r="N1488" t="str">
            <v>IBA</v>
          </cell>
          <cell r="O1488" t="str">
            <v>MagicMAX</v>
          </cell>
          <cell r="P1488" t="str">
            <v>G13-0138</v>
          </cell>
          <cell r="Q1488" t="str">
            <v>Not Applicable</v>
          </cell>
          <cell r="R1488" t="str">
            <v>IBA</v>
          </cell>
          <cell r="S1488" t="str">
            <v>Delta Advantech (M) Sdn Bhd</v>
          </cell>
          <cell r="T1488" t="str">
            <v>Functioning</v>
          </cell>
          <cell r="U1488" t="str">
            <v>Asset</v>
          </cell>
          <cell r="V1488">
            <v>117000</v>
          </cell>
          <cell r="W1488" t="str">
            <v>KEW</v>
          </cell>
          <cell r="X1488" t="str">
            <v>01/09/2010</v>
          </cell>
          <cell r="Y1488" t="str">
            <v>KEW</v>
          </cell>
          <cell r="Z1488" t="str">
            <v>16/08/2013</v>
          </cell>
          <cell r="AA1488" t="str">
            <v>15/08/2015</v>
          </cell>
          <cell r="AB1488" t="str">
            <v>No</v>
          </cell>
          <cell r="AC1488" t="str">
            <v>31/08/2013</v>
          </cell>
          <cell r="AD1488" t="str">
            <v>Good</v>
          </cell>
          <cell r="AE1488" t="str">
            <v>V1 - Existing / No Claim</v>
          </cell>
          <cell r="AF1488">
            <v>42791</v>
          </cell>
          <cell r="AG1488">
            <v>9.17</v>
          </cell>
          <cell r="AH1488" t="str">
            <v>PPM</v>
          </cell>
          <cell r="AI1488" t="str">
            <v>package</v>
          </cell>
        </row>
        <row r="1489">
          <cell r="A1489" t="str">
            <v>IKN401213</v>
          </cell>
          <cell r="B1489">
            <v>1211</v>
          </cell>
          <cell r="C1489" t="str">
            <v>Institut Kanser Negara</v>
          </cell>
          <cell r="D1489" t="str">
            <v>KKM/IKN/H/13/4473 - 13</v>
          </cell>
          <cell r="E1489" t="str">
            <v>15-605</v>
          </cell>
          <cell r="F1489" t="str">
            <v>Testers</v>
          </cell>
          <cell r="G1489" t="str">
            <v>RT</v>
          </cell>
          <cell r="H1489" t="str">
            <v>RADIATION TREATMENT UNIT</v>
          </cell>
          <cell r="I1489" t="str">
            <v>01RT213</v>
          </cell>
          <cell r="J1489" t="str">
            <v>EQUIPMENT ROOM1</v>
          </cell>
          <cell r="K1489" t="str">
            <v>BMED</v>
          </cell>
          <cell r="L1489" t="str">
            <v>Normal</v>
          </cell>
          <cell r="M1489" t="str">
            <v>USA</v>
          </cell>
          <cell r="N1489" t="str">
            <v>Various</v>
          </cell>
          <cell r="O1489" t="str">
            <v>Tomo Electrometer 90016 &amp; Various</v>
          </cell>
          <cell r="P1489" t="str">
            <v>L122003</v>
          </cell>
          <cell r="Q1489" t="str">
            <v>Not Applicable</v>
          </cell>
          <cell r="R1489" t="str">
            <v>Standard Imaging</v>
          </cell>
          <cell r="S1489" t="str">
            <v>Transmedic Healthcare Sdn Bhd</v>
          </cell>
          <cell r="T1489" t="str">
            <v>Functioning</v>
          </cell>
          <cell r="U1489" t="str">
            <v>Asset</v>
          </cell>
          <cell r="V1489">
            <v>500000</v>
          </cell>
          <cell r="W1489" t="str">
            <v>KEW</v>
          </cell>
          <cell r="X1489" t="str">
            <v>01/09/2010</v>
          </cell>
          <cell r="Y1489" t="str">
            <v>KEW</v>
          </cell>
          <cell r="Z1489" t="str">
            <v>16/08/2013</v>
          </cell>
          <cell r="AA1489" t="str">
            <v>15/08/2015</v>
          </cell>
          <cell r="AB1489" t="str">
            <v>No</v>
          </cell>
          <cell r="AC1489" t="str">
            <v>31/08/2013</v>
          </cell>
          <cell r="AD1489" t="str">
            <v>Good</v>
          </cell>
          <cell r="AE1489" t="str">
            <v>V1 - Existing / No Claim</v>
          </cell>
          <cell r="AF1489">
            <v>42235</v>
          </cell>
          <cell r="AG1489">
            <v>9.17</v>
          </cell>
          <cell r="AH1489" t="str">
            <v>PPM</v>
          </cell>
          <cell r="AI1489" t="str">
            <v>package</v>
          </cell>
          <cell r="AJ1489" t="str">
            <v>Strands Package</v>
          </cell>
          <cell r="AK1489" t="str">
            <v>Package XM003(B)</v>
          </cell>
        </row>
        <row r="1490">
          <cell r="A1490" t="str">
            <v>IKN401214</v>
          </cell>
          <cell r="B1490">
            <v>1212</v>
          </cell>
          <cell r="C1490" t="str">
            <v>Institut Kanser Negara</v>
          </cell>
          <cell r="D1490" t="str">
            <v>KKM/IKN/H/13/4952</v>
          </cell>
          <cell r="E1490" t="str">
            <v>15-605</v>
          </cell>
          <cell r="F1490" t="str">
            <v>Testers</v>
          </cell>
          <cell r="G1490" t="str">
            <v>RT</v>
          </cell>
          <cell r="H1490" t="str">
            <v>RADIATION TREATMENT UNIT</v>
          </cell>
          <cell r="I1490" t="str">
            <v>01RT213</v>
          </cell>
          <cell r="J1490" t="str">
            <v>EQUIPMENT ROOM1</v>
          </cell>
          <cell r="K1490" t="str">
            <v>BMED</v>
          </cell>
          <cell r="L1490" t="str">
            <v>Normal</v>
          </cell>
          <cell r="M1490" t="str">
            <v>Germany</v>
          </cell>
          <cell r="N1490" t="str">
            <v>Various</v>
          </cell>
          <cell r="O1490" t="str">
            <v>IBA Dosimetry GMBH</v>
          </cell>
          <cell r="P1490" t="str">
            <v>11528</v>
          </cell>
          <cell r="Q1490" t="str">
            <v>Not Applicable</v>
          </cell>
          <cell r="R1490" t="str">
            <v>IBA</v>
          </cell>
          <cell r="S1490" t="str">
            <v>Delta Advantech (M) Sdn Bhd</v>
          </cell>
          <cell r="T1490" t="str">
            <v>Functioning</v>
          </cell>
          <cell r="U1490" t="str">
            <v>Asset</v>
          </cell>
          <cell r="V1490">
            <v>1932770</v>
          </cell>
          <cell r="W1490" t="str">
            <v>KEW</v>
          </cell>
          <cell r="X1490" t="str">
            <v>01/09/2010</v>
          </cell>
          <cell r="Y1490" t="str">
            <v>KEW</v>
          </cell>
          <cell r="Z1490" t="str">
            <v>16/08/2013</v>
          </cell>
          <cell r="AA1490" t="str">
            <v>15/08/2015</v>
          </cell>
          <cell r="AB1490" t="str">
            <v>No</v>
          </cell>
          <cell r="AC1490" t="str">
            <v>31/08/2013</v>
          </cell>
          <cell r="AD1490" t="str">
            <v>Good</v>
          </cell>
          <cell r="AE1490" t="str">
            <v>V1 - Existing / No Claim</v>
          </cell>
          <cell r="AF1490">
            <v>42235</v>
          </cell>
          <cell r="AG1490">
            <v>9.17</v>
          </cell>
          <cell r="AH1490" t="str">
            <v>PPM</v>
          </cell>
          <cell r="AI1490" t="str">
            <v>package</v>
          </cell>
          <cell r="AJ1490" t="str">
            <v>Not in contract</v>
          </cell>
          <cell r="AK1490" t="str">
            <v>Unit complement with water phantom.  [31/7/2023 (Sharifah): Tak cover dalam contract.]</v>
          </cell>
        </row>
        <row r="1491">
          <cell r="A1491" t="str">
            <v>IKN401215</v>
          </cell>
          <cell r="B1491">
            <v>1213</v>
          </cell>
          <cell r="C1491" t="str">
            <v>Institut Kanser Negara</v>
          </cell>
          <cell r="D1491" t="str">
            <v>KKM/IKN/H/13/3212</v>
          </cell>
          <cell r="E1491" t="str">
            <v>18-971</v>
          </cell>
          <cell r="F1491" t="str">
            <v>Testers</v>
          </cell>
          <cell r="G1491" t="str">
            <v>RT</v>
          </cell>
          <cell r="H1491" t="str">
            <v>RADIATION TREATMENT UNIT</v>
          </cell>
          <cell r="I1491" t="str">
            <v>01RT213</v>
          </cell>
          <cell r="J1491" t="str">
            <v>EQUIPMENT ROOM1</v>
          </cell>
          <cell r="K1491" t="str">
            <v>BMED</v>
          </cell>
          <cell r="L1491" t="str">
            <v>Normal</v>
          </cell>
          <cell r="M1491" t="str">
            <v>USA</v>
          </cell>
          <cell r="N1491" t="str">
            <v>Various</v>
          </cell>
          <cell r="O1491" t="str">
            <v>HDR100Plus &amp; SuperMAX</v>
          </cell>
          <cell r="P1491" t="str">
            <v>A122971 / p12302</v>
          </cell>
          <cell r="Q1491" t="str">
            <v>Not Applicable</v>
          </cell>
          <cell r="R1491" t="str">
            <v>Standard Imaging</v>
          </cell>
          <cell r="S1491" t="str">
            <v>Delta Advantech (M) Sdn Bhd</v>
          </cell>
          <cell r="T1491" t="str">
            <v>Functioning</v>
          </cell>
          <cell r="U1491" t="str">
            <v>Asset</v>
          </cell>
          <cell r="V1491">
            <v>77670</v>
          </cell>
          <cell r="W1491" t="str">
            <v>KEW</v>
          </cell>
          <cell r="X1491" t="str">
            <v>01/09/2010</v>
          </cell>
          <cell r="Y1491" t="str">
            <v>KEW</v>
          </cell>
          <cell r="Z1491" t="str">
            <v>16/08/2013</v>
          </cell>
          <cell r="AA1491" t="str">
            <v>15/08/2015</v>
          </cell>
          <cell r="AB1491" t="str">
            <v>No</v>
          </cell>
          <cell r="AC1491" t="str">
            <v>31/08/2013</v>
          </cell>
          <cell r="AD1491" t="str">
            <v>Good</v>
          </cell>
          <cell r="AE1491" t="str">
            <v>V1 - Existing / No Claim</v>
          </cell>
          <cell r="AF1491">
            <v>42235</v>
          </cell>
          <cell r="AG1491">
            <v>9.17</v>
          </cell>
          <cell r="AH1491" t="str">
            <v>PPM</v>
          </cell>
          <cell r="AI1491" t="str">
            <v>Strands</v>
          </cell>
          <cell r="AJ1491" t="str">
            <v>Strands Package</v>
          </cell>
          <cell r="AK1491" t="str">
            <v>Package Code XL0110. [30/1/2024, SHARIFAH]: CHANGE TYPE CODE.</v>
          </cell>
        </row>
        <row r="1492">
          <cell r="A1492" t="str">
            <v>IKN401217</v>
          </cell>
          <cell r="B1492">
            <v>1215</v>
          </cell>
          <cell r="C1492" t="str">
            <v>Institut Kanser Negara</v>
          </cell>
          <cell r="D1492" t="str">
            <v>KKM/IKN/H/13/4954</v>
          </cell>
          <cell r="E1492" t="str">
            <v>14-032</v>
          </cell>
          <cell r="F1492" t="str">
            <v>Thermometers, Electronic</v>
          </cell>
          <cell r="G1492" t="str">
            <v>RT</v>
          </cell>
          <cell r="H1492" t="str">
            <v>RADIATION TREATMENT UNIT</v>
          </cell>
          <cell r="I1492" t="str">
            <v>01RT213</v>
          </cell>
          <cell r="J1492" t="str">
            <v>EQUIPMENT ROOM1</v>
          </cell>
          <cell r="K1492" t="str">
            <v>BMED</v>
          </cell>
          <cell r="L1492" t="str">
            <v>Normal</v>
          </cell>
          <cell r="M1492" t="str">
            <v>Germany</v>
          </cell>
          <cell r="N1492" t="str">
            <v>LUJJT</v>
          </cell>
          <cell r="O1492" t="str">
            <v>C100</v>
          </cell>
          <cell r="P1492" t="str">
            <v>14769</v>
          </cell>
          <cell r="Q1492" t="str">
            <v>Not Applicable</v>
          </cell>
          <cell r="R1492" t="str">
            <v>LUJJT</v>
          </cell>
          <cell r="S1492" t="str">
            <v>Delta Advantech (M) Sdn Bhd</v>
          </cell>
          <cell r="T1492" t="str">
            <v>Functioning</v>
          </cell>
          <cell r="U1492" t="str">
            <v>Asset</v>
          </cell>
          <cell r="V1492">
            <v>6920</v>
          </cell>
          <cell r="W1492" t="str">
            <v>KEW</v>
          </cell>
          <cell r="X1492" t="str">
            <v>01/09/2010</v>
          </cell>
          <cell r="Y1492" t="str">
            <v>KEW</v>
          </cell>
          <cell r="Z1492" t="str">
            <v>16/08/2013</v>
          </cell>
          <cell r="AA1492" t="str">
            <v>15/08/2015</v>
          </cell>
          <cell r="AB1492" t="str">
            <v>No</v>
          </cell>
          <cell r="AC1492" t="str">
            <v>31/08/2013</v>
          </cell>
          <cell r="AD1492" t="str">
            <v>Good</v>
          </cell>
          <cell r="AE1492" t="str">
            <v>V3 - Added Installed Facilities (New)</v>
          </cell>
          <cell r="AF1492">
            <v>43117</v>
          </cell>
          <cell r="AG1492">
            <v>9.17</v>
          </cell>
          <cell r="AH1492" t="str">
            <v>PPM</v>
          </cell>
          <cell r="AI1492" t="str">
            <v>Strands</v>
          </cell>
          <cell r="AJ1492" t="str">
            <v>Strands PW</v>
          </cell>
          <cell r="AK1492" t="str">
            <v>SNF received. 1st batch of V3 asset (December 2020).</v>
          </cell>
        </row>
        <row r="1493">
          <cell r="A1493" t="str">
            <v>IKN401220</v>
          </cell>
          <cell r="B1493">
            <v>1218</v>
          </cell>
          <cell r="C1493" t="str">
            <v>Institut Kanser Negara</v>
          </cell>
          <cell r="E1493" t="str">
            <v>11-295</v>
          </cell>
          <cell r="F1493" t="str">
            <v>Dosimeters, Radiation</v>
          </cell>
          <cell r="G1493" t="str">
            <v>WA</v>
          </cell>
          <cell r="H1493" t="str">
            <v>NUCLEAR MED WARD (THERAPY)</v>
          </cell>
          <cell r="I1493" t="str">
            <v>03WA117</v>
          </cell>
          <cell r="J1493" t="str">
            <v>N/S 1</v>
          </cell>
          <cell r="K1493" t="str">
            <v>BMED</v>
          </cell>
          <cell r="L1493" t="str">
            <v>Normal</v>
          </cell>
          <cell r="M1493" t="str">
            <v>Germany</v>
          </cell>
          <cell r="N1493" t="str">
            <v>Thermo Fisher</v>
          </cell>
          <cell r="O1493" t="str">
            <v>EPD MK2.5</v>
          </cell>
          <cell r="P1493" t="str">
            <v>00289462</v>
          </cell>
          <cell r="Q1493" t="str">
            <v>Not Applicable</v>
          </cell>
          <cell r="R1493" t="str">
            <v>Thermo Fisher Scientific</v>
          </cell>
          <cell r="S1493" t="str">
            <v>Delta Advantech (M) Sdn Bhd</v>
          </cell>
          <cell r="T1493" t="str">
            <v>Functioning</v>
          </cell>
          <cell r="U1493" t="str">
            <v>Asset</v>
          </cell>
          <cell r="V1493">
            <v>4370</v>
          </cell>
          <cell r="W1493" t="str">
            <v>KEW</v>
          </cell>
          <cell r="X1493" t="str">
            <v>01/09/2010</v>
          </cell>
          <cell r="Y1493" t="str">
            <v>KEW</v>
          </cell>
          <cell r="Z1493" t="str">
            <v>16/08/2013</v>
          </cell>
          <cell r="AA1493" t="str">
            <v>15/08/2015</v>
          </cell>
          <cell r="AB1493" t="str">
            <v>No</v>
          </cell>
          <cell r="AC1493" t="str">
            <v>31/08/2013</v>
          </cell>
          <cell r="AD1493" t="str">
            <v>Good</v>
          </cell>
          <cell r="AE1493" t="str">
            <v>V1 - Existing / No Claim</v>
          </cell>
          <cell r="AF1493">
            <v>42235</v>
          </cell>
          <cell r="AG1493">
            <v>9.17</v>
          </cell>
          <cell r="AH1493" t="str">
            <v>PPM</v>
          </cell>
          <cell r="AI1493" t="str">
            <v>package</v>
          </cell>
        </row>
        <row r="1494">
          <cell r="A1494" t="str">
            <v>IKN401221</v>
          </cell>
          <cell r="B1494">
            <v>1219</v>
          </cell>
          <cell r="C1494" t="str">
            <v>Institut Kanser Negara</v>
          </cell>
          <cell r="D1494" t="e">
            <v>#N/A</v>
          </cell>
          <cell r="E1494" t="str">
            <v>15-605</v>
          </cell>
          <cell r="F1494" t="str">
            <v>Testers</v>
          </cell>
          <cell r="G1494" t="str">
            <v>PS</v>
          </cell>
          <cell r="H1494" t="str">
            <v>SUPPORT SERVICE/PLANT</v>
          </cell>
          <cell r="I1494" t="str">
            <v>01PS105</v>
          </cell>
          <cell r="J1494" t="str">
            <v>CHIEF ENGINEER</v>
          </cell>
          <cell r="K1494" t="str">
            <v>BMED</v>
          </cell>
          <cell r="L1494" t="str">
            <v>Normal</v>
          </cell>
          <cell r="M1494" t="str">
            <v>USA</v>
          </cell>
          <cell r="N1494" t="str">
            <v>Fluke</v>
          </cell>
          <cell r="O1494" t="str">
            <v>Fluke IDA 4 Plus</v>
          </cell>
          <cell r="P1494" t="str">
            <v>15355</v>
          </cell>
          <cell r="Q1494" t="str">
            <v>Not Applicable</v>
          </cell>
          <cell r="R1494" t="str">
            <v>Fluke Biomedical RMS</v>
          </cell>
          <cell r="S1494" t="str">
            <v>Bell Comm Technologies Sdn Bhd</v>
          </cell>
          <cell r="T1494" t="str">
            <v>Functioning</v>
          </cell>
          <cell r="U1494" t="str">
            <v>Asset</v>
          </cell>
          <cell r="V1494">
            <v>45110</v>
          </cell>
          <cell r="W1494" t="str">
            <v>KEW</v>
          </cell>
          <cell r="X1494" t="str">
            <v>01/09/2010</v>
          </cell>
          <cell r="Y1494" t="str">
            <v>KEW</v>
          </cell>
          <cell r="Z1494" t="str">
            <v>16/08/2013</v>
          </cell>
          <cell r="AA1494" t="str">
            <v>15/08/2015</v>
          </cell>
          <cell r="AB1494" t="str">
            <v>No</v>
          </cell>
          <cell r="AC1494" t="str">
            <v>31/08/2013</v>
          </cell>
          <cell r="AD1494" t="str">
            <v>Good</v>
          </cell>
          <cell r="AE1494" t="str">
            <v>V1 - Existing / No Claim</v>
          </cell>
          <cell r="AF1494">
            <v>42235</v>
          </cell>
          <cell r="AG1494">
            <v>9.17</v>
          </cell>
          <cell r="AH1494" t="str">
            <v>PPM</v>
          </cell>
          <cell r="AI1494" t="str">
            <v>Not in contract</v>
          </cell>
          <cell r="AJ1494" t="str">
            <v>ANALYZER</v>
          </cell>
          <cell r="AK1494" t="str">
            <v>IKN agreed unit to be used by BEMS but have to calibrate.</v>
          </cell>
        </row>
        <row r="1495">
          <cell r="A1495" t="str">
            <v>IKN401222</v>
          </cell>
          <cell r="B1495">
            <v>1220</v>
          </cell>
          <cell r="C1495" t="str">
            <v>Institut Kanser Negara</v>
          </cell>
          <cell r="D1495" t="str">
            <v>KKM/IKN/H/13/4852</v>
          </cell>
          <cell r="E1495" t="str">
            <v>15-663</v>
          </cell>
          <cell r="F1495" t="str">
            <v>Pipetters</v>
          </cell>
          <cell r="G1495" t="str">
            <v>NM</v>
          </cell>
          <cell r="H1495" t="str">
            <v>NUCLEAR MED (DIAGNOSTIC)</v>
          </cell>
          <cell r="I1495" t="str">
            <v>03NM139</v>
          </cell>
          <cell r="J1495" t="str">
            <v>QC</v>
          </cell>
          <cell r="K1495" t="str">
            <v>BMED</v>
          </cell>
          <cell r="L1495" t="str">
            <v>Normal</v>
          </cell>
          <cell r="M1495" t="str">
            <v>Germany</v>
          </cell>
          <cell r="N1495" t="str">
            <v>Eppendorf</v>
          </cell>
          <cell r="O1495" t="str">
            <v>Research Plus</v>
          </cell>
          <cell r="P1495" t="str">
            <v>480186A</v>
          </cell>
          <cell r="Q1495" t="str">
            <v>Not Applicable</v>
          </cell>
          <cell r="R1495" t="str">
            <v>Eppendorf</v>
          </cell>
          <cell r="S1495" t="str">
            <v>Medigene sdn bhd</v>
          </cell>
          <cell r="T1495" t="str">
            <v>Functioning</v>
          </cell>
          <cell r="U1495" t="str">
            <v>Asset</v>
          </cell>
          <cell r="V1495">
            <v>1323</v>
          </cell>
          <cell r="W1495" t="str">
            <v>KEW</v>
          </cell>
          <cell r="X1495" t="str">
            <v>01/09/2010</v>
          </cell>
          <cell r="Y1495" t="str">
            <v>KEW</v>
          </cell>
          <cell r="Z1495" t="str">
            <v>16/08/2013</v>
          </cell>
          <cell r="AA1495" t="str">
            <v>15/08/2015</v>
          </cell>
          <cell r="AB1495" t="str">
            <v>No</v>
          </cell>
          <cell r="AC1495" t="str">
            <v>31/08/2013</v>
          </cell>
          <cell r="AD1495" t="str">
            <v>Good</v>
          </cell>
          <cell r="AE1495" t="str">
            <v>V3 - Added Installed Facilities (New)</v>
          </cell>
          <cell r="AF1495">
            <v>42235</v>
          </cell>
          <cell r="AG1495">
            <v>9.17</v>
          </cell>
          <cell r="AH1495" t="str">
            <v>PPM</v>
          </cell>
          <cell r="AI1495" t="str">
            <v>Strands</v>
          </cell>
          <cell r="AJ1495" t="str">
            <v>Strands PW</v>
          </cell>
          <cell r="AK1495" t="str">
            <v>SNF received. 1st batch of V3 asset (December 2020)</v>
          </cell>
        </row>
        <row r="1496">
          <cell r="A1496" t="str">
            <v>IKN401223</v>
          </cell>
          <cell r="B1496">
            <v>1221</v>
          </cell>
          <cell r="C1496" t="str">
            <v>Institut Kanser Negara</v>
          </cell>
          <cell r="D1496" t="str">
            <v>KKM/IKN/H/13/4851</v>
          </cell>
          <cell r="E1496" t="str">
            <v>15-663</v>
          </cell>
          <cell r="F1496" t="str">
            <v>Pipetters</v>
          </cell>
          <cell r="G1496" t="str">
            <v>NM</v>
          </cell>
          <cell r="H1496" t="str">
            <v>NUCLEAR MED (DIAGNOSTIC)</v>
          </cell>
          <cell r="I1496" t="str">
            <v>03NM139</v>
          </cell>
          <cell r="J1496" t="str">
            <v>QC</v>
          </cell>
          <cell r="K1496" t="str">
            <v>BMED</v>
          </cell>
          <cell r="L1496" t="str">
            <v>Normal</v>
          </cell>
          <cell r="M1496" t="str">
            <v>Germany</v>
          </cell>
          <cell r="N1496" t="str">
            <v>Eppendorf</v>
          </cell>
          <cell r="O1496" t="str">
            <v>Research Plus</v>
          </cell>
          <cell r="P1496" t="str">
            <v>341881A</v>
          </cell>
          <cell r="Q1496" t="str">
            <v>Not Applicable</v>
          </cell>
          <cell r="R1496" t="str">
            <v>Eppendorf</v>
          </cell>
          <cell r="S1496" t="str">
            <v>Medigene sdn bhd</v>
          </cell>
          <cell r="T1496" t="str">
            <v>Functioning</v>
          </cell>
          <cell r="U1496" t="str">
            <v>Asset</v>
          </cell>
          <cell r="V1496">
            <v>1323</v>
          </cell>
          <cell r="W1496" t="str">
            <v>KEW</v>
          </cell>
          <cell r="X1496" t="str">
            <v>01/09/2010</v>
          </cell>
          <cell r="Y1496" t="str">
            <v>KEW</v>
          </cell>
          <cell r="Z1496" t="str">
            <v>16/08/2013</v>
          </cell>
          <cell r="AA1496" t="str">
            <v>15/08/2015</v>
          </cell>
          <cell r="AB1496" t="str">
            <v>No</v>
          </cell>
          <cell r="AC1496" t="str">
            <v>31/08/2013</v>
          </cell>
          <cell r="AD1496" t="str">
            <v>Good</v>
          </cell>
          <cell r="AE1496" t="str">
            <v>V3 - Added Installed Facilities (New)</v>
          </cell>
          <cell r="AF1496">
            <v>42235</v>
          </cell>
          <cell r="AG1496">
            <v>9.17</v>
          </cell>
          <cell r="AH1496" t="str">
            <v>PPM</v>
          </cell>
          <cell r="AI1496" t="str">
            <v>Strands</v>
          </cell>
          <cell r="AJ1496" t="str">
            <v>Strands PW</v>
          </cell>
          <cell r="AK1496" t="str">
            <v>SNF received. 1st batch of V3 asset (December 2020)</v>
          </cell>
        </row>
        <row r="1497">
          <cell r="A1497" t="str">
            <v>IKN401224</v>
          </cell>
          <cell r="B1497">
            <v>1222</v>
          </cell>
          <cell r="C1497" t="str">
            <v>Institut Kanser Negara</v>
          </cell>
          <cell r="D1497" t="str">
            <v>KKM/IKN/H/13/4850</v>
          </cell>
          <cell r="E1497" t="str">
            <v>15-663</v>
          </cell>
          <cell r="F1497" t="str">
            <v>Pipetters</v>
          </cell>
          <cell r="G1497" t="str">
            <v>NM</v>
          </cell>
          <cell r="H1497" t="str">
            <v>NUCLEAR MED (DIAGNOSTIC)</v>
          </cell>
          <cell r="I1497" t="str">
            <v>03NM139</v>
          </cell>
          <cell r="J1497" t="str">
            <v>QC</v>
          </cell>
          <cell r="K1497" t="str">
            <v>BMED</v>
          </cell>
          <cell r="L1497" t="str">
            <v>Normal</v>
          </cell>
          <cell r="M1497" t="str">
            <v>Germany</v>
          </cell>
          <cell r="N1497" t="str">
            <v>Eppendorf</v>
          </cell>
          <cell r="O1497" t="str">
            <v>Research Plus</v>
          </cell>
          <cell r="P1497" t="str">
            <v>L238478</v>
          </cell>
          <cell r="Q1497" t="str">
            <v>Not Applicable</v>
          </cell>
          <cell r="R1497" t="str">
            <v>Eppendorf</v>
          </cell>
          <cell r="S1497" t="str">
            <v>Medigene sdn bhd</v>
          </cell>
          <cell r="T1497" t="str">
            <v>Functioning</v>
          </cell>
          <cell r="U1497" t="str">
            <v>Asset</v>
          </cell>
          <cell r="V1497">
            <v>1323</v>
          </cell>
          <cell r="W1497" t="str">
            <v>KEW</v>
          </cell>
          <cell r="X1497" t="str">
            <v>01/09/2010</v>
          </cell>
          <cell r="Y1497" t="str">
            <v>KEW</v>
          </cell>
          <cell r="Z1497" t="str">
            <v>16/08/2013</v>
          </cell>
          <cell r="AA1497" t="str">
            <v>15/08/2015</v>
          </cell>
          <cell r="AB1497" t="str">
            <v>No</v>
          </cell>
          <cell r="AC1497" t="str">
            <v>31/08/2013</v>
          </cell>
          <cell r="AD1497" t="str">
            <v>Good</v>
          </cell>
          <cell r="AE1497" t="str">
            <v>V3 - Added Installed Facilities (New)</v>
          </cell>
          <cell r="AF1497">
            <v>42235</v>
          </cell>
          <cell r="AG1497">
            <v>9.17</v>
          </cell>
          <cell r="AH1497" t="str">
            <v>PPM</v>
          </cell>
          <cell r="AI1497" t="str">
            <v>Strands</v>
          </cell>
          <cell r="AJ1497" t="str">
            <v>Strands PW</v>
          </cell>
          <cell r="AK1497" t="str">
            <v>SNF received. 1st batch of V3 asset (December 2020)</v>
          </cell>
        </row>
        <row r="1498">
          <cell r="A1498" t="str">
            <v>IKN401225</v>
          </cell>
          <cell r="B1498">
            <v>1223</v>
          </cell>
          <cell r="C1498" t="str">
            <v>Institut Kanser Negara</v>
          </cell>
          <cell r="D1498" t="str">
            <v>KKM/IKN/H/13/4849</v>
          </cell>
          <cell r="E1498" t="str">
            <v>15-663</v>
          </cell>
          <cell r="F1498" t="str">
            <v>Pipetters</v>
          </cell>
          <cell r="G1498" t="str">
            <v>NM</v>
          </cell>
          <cell r="H1498" t="str">
            <v>NUCLEAR MED (DIAGNOSTIC)</v>
          </cell>
          <cell r="I1498" t="str">
            <v>03NM139</v>
          </cell>
          <cell r="J1498" t="str">
            <v>QC</v>
          </cell>
          <cell r="K1498" t="str">
            <v>BMED</v>
          </cell>
          <cell r="L1498" t="str">
            <v>Normal</v>
          </cell>
          <cell r="M1498" t="str">
            <v>Germany</v>
          </cell>
          <cell r="N1498" t="str">
            <v>Eppendorf</v>
          </cell>
          <cell r="O1498" t="str">
            <v>Research Plus</v>
          </cell>
          <cell r="P1498" t="str">
            <v>480233A</v>
          </cell>
          <cell r="Q1498" t="str">
            <v>Not Applicable</v>
          </cell>
          <cell r="R1498" t="str">
            <v>Eppendorf</v>
          </cell>
          <cell r="S1498" t="str">
            <v>Medigene sdn bhd</v>
          </cell>
          <cell r="T1498" t="str">
            <v>Functioning</v>
          </cell>
          <cell r="U1498" t="str">
            <v>Asset</v>
          </cell>
          <cell r="V1498">
            <v>1323</v>
          </cell>
          <cell r="W1498" t="str">
            <v>KEW</v>
          </cell>
          <cell r="X1498" t="str">
            <v>01/09/2010</v>
          </cell>
          <cell r="Y1498" t="str">
            <v>KEW</v>
          </cell>
          <cell r="Z1498" t="str">
            <v>16/08/2013</v>
          </cell>
          <cell r="AA1498" t="str">
            <v>15/08/2015</v>
          </cell>
          <cell r="AB1498" t="str">
            <v>No</v>
          </cell>
          <cell r="AC1498" t="str">
            <v>31/08/2013</v>
          </cell>
          <cell r="AD1498" t="str">
            <v>Good</v>
          </cell>
          <cell r="AE1498" t="str">
            <v>V3 - Added Installed Facilities (New)</v>
          </cell>
          <cell r="AF1498">
            <v>42235</v>
          </cell>
          <cell r="AG1498">
            <v>9.17</v>
          </cell>
          <cell r="AH1498" t="str">
            <v>PPM</v>
          </cell>
          <cell r="AI1498" t="str">
            <v>Strands</v>
          </cell>
          <cell r="AJ1498" t="str">
            <v>Strands PW</v>
          </cell>
          <cell r="AK1498" t="str">
            <v>SNF received. 1st batch of V3 asset (December 2020)</v>
          </cell>
        </row>
        <row r="1499">
          <cell r="A1499" t="str">
            <v>IKN401226</v>
          </cell>
          <cell r="B1499">
            <v>1224</v>
          </cell>
          <cell r="C1499" t="str">
            <v>Institut Kanser Negara</v>
          </cell>
          <cell r="D1499" t="str">
            <v>KKM/IKN/H/13/4848</v>
          </cell>
          <cell r="E1499" t="str">
            <v>15-663</v>
          </cell>
          <cell r="F1499" t="str">
            <v>Pipetters</v>
          </cell>
          <cell r="G1499" t="str">
            <v>NM</v>
          </cell>
          <cell r="H1499" t="str">
            <v>NUCLEAR MED (DIAGNOSTIC)</v>
          </cell>
          <cell r="I1499" t="str">
            <v>03NM139</v>
          </cell>
          <cell r="J1499" t="str">
            <v>QC</v>
          </cell>
          <cell r="K1499" t="str">
            <v>BMED</v>
          </cell>
          <cell r="L1499" t="str">
            <v>Normal</v>
          </cell>
          <cell r="M1499" t="str">
            <v>Germany</v>
          </cell>
          <cell r="N1499" t="str">
            <v>Eppendorf</v>
          </cell>
          <cell r="O1499" t="str">
            <v>Research Plus</v>
          </cell>
          <cell r="P1499" t="str">
            <v>341650A</v>
          </cell>
          <cell r="Q1499" t="str">
            <v>Not Applicable</v>
          </cell>
          <cell r="R1499" t="str">
            <v>Eppendorf</v>
          </cell>
          <cell r="S1499" t="str">
            <v>Medigene sdn bhd</v>
          </cell>
          <cell r="T1499" t="str">
            <v>Functioning</v>
          </cell>
          <cell r="U1499" t="str">
            <v>Asset</v>
          </cell>
          <cell r="V1499">
            <v>1323</v>
          </cell>
          <cell r="W1499" t="str">
            <v>KEW</v>
          </cell>
          <cell r="X1499" t="str">
            <v>01/09/2010</v>
          </cell>
          <cell r="Y1499" t="str">
            <v>KEW</v>
          </cell>
          <cell r="Z1499" t="str">
            <v>16/08/2013</v>
          </cell>
          <cell r="AA1499" t="str">
            <v>15/08/2015</v>
          </cell>
          <cell r="AB1499" t="str">
            <v>No</v>
          </cell>
          <cell r="AC1499" t="str">
            <v>31/08/2013</v>
          </cell>
          <cell r="AD1499" t="str">
            <v>Good</v>
          </cell>
          <cell r="AE1499" t="str">
            <v>V3 - Added Installed Facilities (New)</v>
          </cell>
          <cell r="AF1499">
            <v>42235</v>
          </cell>
          <cell r="AG1499">
            <v>9.17</v>
          </cell>
          <cell r="AH1499" t="str">
            <v>PPM</v>
          </cell>
          <cell r="AI1499" t="str">
            <v>Strands</v>
          </cell>
          <cell r="AJ1499" t="str">
            <v>Strands PW</v>
          </cell>
          <cell r="AK1499" t="str">
            <v>SNF received. 1st batch of V3 asset (December 2020).</v>
          </cell>
        </row>
        <row r="1500">
          <cell r="A1500" t="str">
            <v>IKN401227</v>
          </cell>
          <cell r="B1500">
            <v>1225</v>
          </cell>
          <cell r="C1500" t="str">
            <v>Institut Kanser Negara</v>
          </cell>
          <cell r="D1500" t="str">
            <v>KKM/IKN/H/13/4847</v>
          </cell>
          <cell r="E1500" t="str">
            <v>15-663</v>
          </cell>
          <cell r="F1500" t="str">
            <v>Pipetters</v>
          </cell>
          <cell r="G1500" t="str">
            <v>NM</v>
          </cell>
          <cell r="H1500" t="str">
            <v>NUCLEAR MED (DIAGNOSTIC)</v>
          </cell>
          <cell r="I1500" t="str">
            <v>03NM139</v>
          </cell>
          <cell r="J1500" t="str">
            <v>QC</v>
          </cell>
          <cell r="K1500" t="str">
            <v>BMED</v>
          </cell>
          <cell r="L1500" t="str">
            <v>Normal</v>
          </cell>
          <cell r="M1500" t="str">
            <v>Germany</v>
          </cell>
          <cell r="N1500" t="str">
            <v>Eppendorf</v>
          </cell>
          <cell r="O1500" t="str">
            <v>Research Plus</v>
          </cell>
          <cell r="P1500" t="str">
            <v>L23688B</v>
          </cell>
          <cell r="Q1500" t="str">
            <v>Not Applicable</v>
          </cell>
          <cell r="R1500" t="str">
            <v>Eppendorf</v>
          </cell>
          <cell r="S1500" t="str">
            <v>Medigene sdn bhd</v>
          </cell>
          <cell r="T1500" t="str">
            <v>Functioning</v>
          </cell>
          <cell r="U1500" t="str">
            <v>Asset</v>
          </cell>
          <cell r="V1500">
            <v>1323</v>
          </cell>
          <cell r="W1500" t="str">
            <v>KEW</v>
          </cell>
          <cell r="X1500" t="str">
            <v>01/09/2010</v>
          </cell>
          <cell r="Y1500" t="str">
            <v>KEW</v>
          </cell>
          <cell r="Z1500" t="str">
            <v>16/08/2013</v>
          </cell>
          <cell r="AA1500" t="str">
            <v>15/08/2015</v>
          </cell>
          <cell r="AB1500" t="str">
            <v>No</v>
          </cell>
          <cell r="AC1500" t="str">
            <v>31/08/2013</v>
          </cell>
          <cell r="AD1500" t="str">
            <v>Good</v>
          </cell>
          <cell r="AE1500" t="str">
            <v>V3 - Added Installed Facilities (New)</v>
          </cell>
          <cell r="AF1500">
            <v>42796</v>
          </cell>
          <cell r="AG1500">
            <v>9.17</v>
          </cell>
          <cell r="AH1500" t="str">
            <v>PPM</v>
          </cell>
          <cell r="AI1500" t="str">
            <v>Strands</v>
          </cell>
          <cell r="AJ1500" t="str">
            <v>Strands PW</v>
          </cell>
          <cell r="AK1500" t="str">
            <v>SNF received. 1st batch of V3 asset (December 2020)</v>
          </cell>
        </row>
        <row r="1501">
          <cell r="A1501" t="str">
            <v>IKN401228</v>
          </cell>
          <cell r="B1501">
            <v>1226</v>
          </cell>
          <cell r="C1501" t="str">
            <v>Institut Kanser Negara</v>
          </cell>
          <cell r="D1501" t="str">
            <v>KKM/IKN/H/13/4853</v>
          </cell>
          <cell r="E1501" t="str">
            <v>15-663</v>
          </cell>
          <cell r="F1501" t="str">
            <v>Pipetters</v>
          </cell>
          <cell r="G1501" t="str">
            <v>WA</v>
          </cell>
          <cell r="H1501" t="str">
            <v>NUCLEAR MED WARD (THERAPY)</v>
          </cell>
          <cell r="I1501" t="str">
            <v>03WA125</v>
          </cell>
          <cell r="J1501" t="str">
            <v>RADIOIODIN PREP (100% F.A.)</v>
          </cell>
          <cell r="K1501" t="str">
            <v>BMED</v>
          </cell>
          <cell r="L1501" t="str">
            <v>Normal</v>
          </cell>
          <cell r="M1501" t="str">
            <v>Germany</v>
          </cell>
          <cell r="N1501" t="str">
            <v>Eppendorf</v>
          </cell>
          <cell r="O1501" t="str">
            <v>Research Plus</v>
          </cell>
          <cell r="P1501" t="str">
            <v>4914939</v>
          </cell>
          <cell r="Q1501" t="str">
            <v>Not Applicable</v>
          </cell>
          <cell r="R1501" t="str">
            <v>Eppendorf</v>
          </cell>
          <cell r="S1501" t="str">
            <v>Medigene sdn bhd</v>
          </cell>
          <cell r="T1501" t="str">
            <v>Functioning</v>
          </cell>
          <cell r="U1501" t="str">
            <v>Asset</v>
          </cell>
          <cell r="V1501">
            <v>1323</v>
          </cell>
          <cell r="W1501" t="str">
            <v>KEW</v>
          </cell>
          <cell r="X1501" t="str">
            <v>01/09/2010</v>
          </cell>
          <cell r="Y1501" t="str">
            <v>KEW</v>
          </cell>
          <cell r="Z1501" t="str">
            <v>16/08/2013</v>
          </cell>
          <cell r="AA1501" t="str">
            <v>15/08/2015</v>
          </cell>
          <cell r="AB1501" t="str">
            <v>No</v>
          </cell>
          <cell r="AC1501" t="str">
            <v>31/08/2013</v>
          </cell>
          <cell r="AD1501" t="str">
            <v>Good</v>
          </cell>
          <cell r="AE1501" t="str">
            <v>V3 - Added Installed Facilities (New)</v>
          </cell>
          <cell r="AF1501">
            <v>42235</v>
          </cell>
          <cell r="AG1501">
            <v>9.17</v>
          </cell>
          <cell r="AH1501" t="str">
            <v>PPM</v>
          </cell>
          <cell r="AI1501" t="str">
            <v>Strands</v>
          </cell>
          <cell r="AJ1501" t="str">
            <v>Strands PW</v>
          </cell>
          <cell r="AK1501" t="str">
            <v>SNF received. 1st batch of V3 asset (December 2020)</v>
          </cell>
        </row>
        <row r="1502">
          <cell r="A1502" t="str">
            <v>IKN401229</v>
          </cell>
          <cell r="B1502">
            <v>1227</v>
          </cell>
          <cell r="C1502" t="str">
            <v>Institut Kanser Negara</v>
          </cell>
          <cell r="D1502" t="str">
            <v>KKM/IKN/H/13/4854</v>
          </cell>
          <cell r="E1502" t="str">
            <v>15-663</v>
          </cell>
          <cell r="F1502" t="str">
            <v>Pipetters</v>
          </cell>
          <cell r="G1502" t="str">
            <v>WA</v>
          </cell>
          <cell r="H1502" t="str">
            <v>NUCLEAR MED WARD (THERAPY)</v>
          </cell>
          <cell r="I1502" t="str">
            <v>03WA125</v>
          </cell>
          <cell r="J1502" t="str">
            <v>RADIOIODIN PREP (100% F.A.)</v>
          </cell>
          <cell r="K1502" t="str">
            <v>BMED</v>
          </cell>
          <cell r="L1502" t="str">
            <v>Normal</v>
          </cell>
          <cell r="M1502" t="str">
            <v>Germany</v>
          </cell>
          <cell r="N1502" t="str">
            <v>Eppendorf</v>
          </cell>
          <cell r="O1502" t="str">
            <v>Research Plus</v>
          </cell>
          <cell r="P1502" t="str">
            <v>2534859</v>
          </cell>
          <cell r="Q1502" t="str">
            <v>Not Applicable</v>
          </cell>
          <cell r="R1502" t="str">
            <v>Eppendorf</v>
          </cell>
          <cell r="S1502" t="str">
            <v>Medigene sdn bhd</v>
          </cell>
          <cell r="T1502" t="str">
            <v>Functioning</v>
          </cell>
          <cell r="U1502" t="str">
            <v>Asset</v>
          </cell>
          <cell r="V1502">
            <v>1323</v>
          </cell>
          <cell r="W1502" t="str">
            <v>KEW</v>
          </cell>
          <cell r="X1502" t="str">
            <v>01/09/2010</v>
          </cell>
          <cell r="Y1502" t="str">
            <v>KEW</v>
          </cell>
          <cell r="Z1502" t="str">
            <v>16/08/2013</v>
          </cell>
          <cell r="AA1502" t="str">
            <v>15/08/2015</v>
          </cell>
          <cell r="AB1502" t="str">
            <v>No</v>
          </cell>
          <cell r="AC1502" t="str">
            <v>31/08/2013</v>
          </cell>
          <cell r="AD1502" t="str">
            <v>Good</v>
          </cell>
          <cell r="AE1502" t="str">
            <v>V3 - Added Installed Facilities (New)</v>
          </cell>
          <cell r="AF1502">
            <v>42235</v>
          </cell>
          <cell r="AG1502">
            <v>9.17</v>
          </cell>
          <cell r="AH1502" t="str">
            <v>PPM</v>
          </cell>
          <cell r="AI1502" t="str">
            <v>Strands</v>
          </cell>
          <cell r="AJ1502" t="str">
            <v>Strands PW</v>
          </cell>
          <cell r="AK1502" t="str">
            <v>SNF received. 1st batch of V3 asset (December 2020)</v>
          </cell>
        </row>
        <row r="1503">
          <cell r="A1503" t="str">
            <v>IKN401230</v>
          </cell>
          <cell r="B1503">
            <v>1228</v>
          </cell>
          <cell r="C1503" t="str">
            <v>Institut Kanser Negara</v>
          </cell>
          <cell r="D1503" t="str">
            <v>KKM/IKN/H/13/4846</v>
          </cell>
          <cell r="E1503" t="str">
            <v>15-663</v>
          </cell>
          <cell r="F1503" t="str">
            <v>Pipetters</v>
          </cell>
          <cell r="G1503" t="str">
            <v>WA</v>
          </cell>
          <cell r="H1503" t="str">
            <v>NUCLEAR MED WARD (THERAPY)</v>
          </cell>
          <cell r="I1503" t="str">
            <v>03WA125</v>
          </cell>
          <cell r="J1503" t="str">
            <v>RADIOIODIN PREP (100% F.A.)</v>
          </cell>
          <cell r="K1503" t="str">
            <v>BMED</v>
          </cell>
          <cell r="L1503" t="str">
            <v>Normal</v>
          </cell>
          <cell r="M1503" t="str">
            <v>Germany</v>
          </cell>
          <cell r="N1503" t="str">
            <v>Eppendorf</v>
          </cell>
          <cell r="O1503" t="str">
            <v>Research Plus</v>
          </cell>
          <cell r="P1503" t="str">
            <v>L23690B</v>
          </cell>
          <cell r="Q1503" t="str">
            <v>Not Applicable</v>
          </cell>
          <cell r="R1503" t="str">
            <v>Eppendorf</v>
          </cell>
          <cell r="S1503" t="str">
            <v>Medigene sdn bhd</v>
          </cell>
          <cell r="T1503" t="str">
            <v>Functioning</v>
          </cell>
          <cell r="U1503" t="str">
            <v>Asset</v>
          </cell>
          <cell r="V1503">
            <v>1323</v>
          </cell>
          <cell r="W1503" t="str">
            <v>KEW</v>
          </cell>
          <cell r="X1503" t="str">
            <v>01/09/2010</v>
          </cell>
          <cell r="Y1503" t="str">
            <v>KEW</v>
          </cell>
          <cell r="Z1503" t="str">
            <v>16/08/2013</v>
          </cell>
          <cell r="AA1503" t="str">
            <v>15/08/2015</v>
          </cell>
          <cell r="AB1503" t="str">
            <v>No</v>
          </cell>
          <cell r="AC1503" t="str">
            <v>31/08/2013</v>
          </cell>
          <cell r="AD1503" t="str">
            <v>Good</v>
          </cell>
          <cell r="AE1503" t="str">
            <v>V3 - Added Installed Facilities (New)</v>
          </cell>
          <cell r="AF1503">
            <v>42235</v>
          </cell>
          <cell r="AG1503">
            <v>9.17</v>
          </cell>
          <cell r="AH1503" t="str">
            <v>PPM</v>
          </cell>
          <cell r="AI1503" t="str">
            <v>Strands</v>
          </cell>
          <cell r="AJ1503" t="str">
            <v>Strands PW</v>
          </cell>
          <cell r="AK1503" t="str">
            <v>SNF received. 1st batch of V3 asset (December 2020)</v>
          </cell>
        </row>
        <row r="1504">
          <cell r="A1504" t="str">
            <v>IKN401231</v>
          </cell>
          <cell r="B1504">
            <v>1229</v>
          </cell>
          <cell r="C1504" t="str">
            <v>Institut Kanser Negara</v>
          </cell>
          <cell r="D1504" t="str">
            <v>KKM/IKN/H/13/4845</v>
          </cell>
          <cell r="E1504" t="str">
            <v>15-663</v>
          </cell>
          <cell r="F1504" t="str">
            <v>Pipetters</v>
          </cell>
          <cell r="G1504" t="str">
            <v>NM</v>
          </cell>
          <cell r="H1504" t="str">
            <v>NUCLEAR MED (DIAGNOSTIC)</v>
          </cell>
          <cell r="I1504" t="str">
            <v>03NM154</v>
          </cell>
          <cell r="J1504" t="str">
            <v>RIA LAB</v>
          </cell>
          <cell r="K1504" t="str">
            <v>BMED</v>
          </cell>
          <cell r="L1504" t="str">
            <v>Normal</v>
          </cell>
          <cell r="M1504" t="str">
            <v>Germany</v>
          </cell>
          <cell r="N1504" t="str">
            <v>Eppendorf</v>
          </cell>
          <cell r="O1504" t="str">
            <v>Research Plus</v>
          </cell>
          <cell r="P1504" t="str">
            <v>022812B</v>
          </cell>
          <cell r="Q1504" t="str">
            <v>Not Applicable</v>
          </cell>
          <cell r="R1504" t="str">
            <v>Eppendorf</v>
          </cell>
          <cell r="S1504" t="str">
            <v>Medigene sdn bhd</v>
          </cell>
          <cell r="T1504" t="str">
            <v>Functioning</v>
          </cell>
          <cell r="U1504" t="str">
            <v>Asset</v>
          </cell>
          <cell r="V1504">
            <v>3250</v>
          </cell>
          <cell r="W1504" t="str">
            <v>KEW</v>
          </cell>
          <cell r="X1504" t="str">
            <v>01/09/2010</v>
          </cell>
          <cell r="Y1504" t="str">
            <v>KEW</v>
          </cell>
          <cell r="Z1504" t="str">
            <v>16/08/2013</v>
          </cell>
          <cell r="AA1504" t="str">
            <v>15/08/2015</v>
          </cell>
          <cell r="AB1504" t="str">
            <v>No</v>
          </cell>
          <cell r="AC1504" t="str">
            <v>31/08/2013</v>
          </cell>
          <cell r="AD1504" t="str">
            <v>Good</v>
          </cell>
          <cell r="AE1504" t="str">
            <v>V1 - Existing / No Claim</v>
          </cell>
          <cell r="AF1504">
            <v>42235</v>
          </cell>
          <cell r="AG1504">
            <v>9.17</v>
          </cell>
          <cell r="AH1504" t="str">
            <v>PPM</v>
          </cell>
          <cell r="AI1504" t="str">
            <v>Strands</v>
          </cell>
          <cell r="AJ1504" t="str">
            <v>Strands PW</v>
          </cell>
        </row>
        <row r="1505">
          <cell r="A1505" t="str">
            <v>IKN401232</v>
          </cell>
          <cell r="B1505">
            <v>1230</v>
          </cell>
          <cell r="C1505" t="str">
            <v>Institut Kanser Negara</v>
          </cell>
          <cell r="D1505" t="str">
            <v>KKM/IKN/H/13/3102</v>
          </cell>
          <cell r="E1505" t="str">
            <v>15-105</v>
          </cell>
          <cell r="F1505" t="str">
            <v>Heating Blocks</v>
          </cell>
          <cell r="G1505" t="str">
            <v>NM</v>
          </cell>
          <cell r="H1505" t="str">
            <v>NUCLEAR MED (DIAGNOSTIC)</v>
          </cell>
          <cell r="I1505" t="str">
            <v>03NM138</v>
          </cell>
          <cell r="J1505" t="str">
            <v>RADIOIODINE PREP. (100% F.A)</v>
          </cell>
          <cell r="K1505" t="str">
            <v>BMED</v>
          </cell>
          <cell r="L1505" t="str">
            <v>Normal</v>
          </cell>
          <cell r="M1505" t="str">
            <v>France</v>
          </cell>
          <cell r="N1505" t="str">
            <v>LemerPax</v>
          </cell>
          <cell r="O1505" t="str">
            <v>BSH1001-E</v>
          </cell>
          <cell r="P1505" t="str">
            <v>AD-BSH1-1216</v>
          </cell>
          <cell r="Q1505" t="str">
            <v>Not Applicable</v>
          </cell>
          <cell r="R1505" t="str">
            <v>LemerPax Innovative</v>
          </cell>
          <cell r="S1505" t="str">
            <v>Quantarad Technologies Sdn Bhd</v>
          </cell>
          <cell r="T1505" t="str">
            <v>Functioning</v>
          </cell>
          <cell r="U1505" t="str">
            <v>Asset</v>
          </cell>
          <cell r="V1505">
            <v>34320</v>
          </cell>
          <cell r="W1505" t="str">
            <v>KEW</v>
          </cell>
          <cell r="X1505" t="str">
            <v>01/09/2010</v>
          </cell>
          <cell r="Y1505" t="str">
            <v>KEW</v>
          </cell>
          <cell r="Z1505" t="str">
            <v>16/08/2013</v>
          </cell>
          <cell r="AA1505" t="str">
            <v>15/08/2015</v>
          </cell>
          <cell r="AB1505" t="str">
            <v>No</v>
          </cell>
          <cell r="AC1505" t="str">
            <v>31/08/2013</v>
          </cell>
          <cell r="AD1505" t="str">
            <v>Good</v>
          </cell>
          <cell r="AE1505" t="str">
            <v>V1 - Existing / No Claim</v>
          </cell>
          <cell r="AF1505">
            <v>42235</v>
          </cell>
          <cell r="AG1505">
            <v>9.17</v>
          </cell>
          <cell r="AH1505" t="str">
            <v>PPM</v>
          </cell>
          <cell r="AI1505" t="str">
            <v>Strands</v>
          </cell>
          <cell r="AJ1505" t="str">
            <v>Strands PW</v>
          </cell>
        </row>
        <row r="1506">
          <cell r="A1506" t="str">
            <v>IKN401233</v>
          </cell>
          <cell r="B1506">
            <v>1231</v>
          </cell>
          <cell r="C1506" t="str">
            <v>Institut Kanser Negara</v>
          </cell>
          <cell r="D1506" t="e">
            <v>#N/A</v>
          </cell>
          <cell r="E1506" t="str">
            <v>15-178</v>
          </cell>
          <cell r="F1506" t="str">
            <v>Shakers, Laboratory</v>
          </cell>
          <cell r="G1506" t="str">
            <v>NM</v>
          </cell>
          <cell r="H1506" t="str">
            <v>NUCLEAR MED (DIAGNOSTIC)</v>
          </cell>
          <cell r="I1506" t="str">
            <v>03NM138</v>
          </cell>
          <cell r="J1506" t="str">
            <v>RADIOIODINE PREP. (100% F.A)</v>
          </cell>
          <cell r="K1506" t="str">
            <v>BMED</v>
          </cell>
          <cell r="L1506" t="str">
            <v>Normal</v>
          </cell>
          <cell r="M1506" t="str">
            <v>France</v>
          </cell>
          <cell r="N1506" t="str">
            <v>LemerPax</v>
          </cell>
          <cell r="O1506" t="str">
            <v>Reax Top</v>
          </cell>
          <cell r="P1506" t="str">
            <v>021230051</v>
          </cell>
          <cell r="Q1506" t="str">
            <v>Not Applicable</v>
          </cell>
          <cell r="R1506" t="str">
            <v>LemerPax Innovative</v>
          </cell>
          <cell r="S1506" t="str">
            <v>Quantarad Technologies Sdn Bhd</v>
          </cell>
          <cell r="T1506" t="str">
            <v>Functioning</v>
          </cell>
          <cell r="U1506" t="str">
            <v>Asset</v>
          </cell>
          <cell r="V1506">
            <v>10000</v>
          </cell>
          <cell r="W1506" t="str">
            <v>KEW</v>
          </cell>
          <cell r="X1506" t="str">
            <v>01/09/2010</v>
          </cell>
          <cell r="Y1506" t="str">
            <v>KEW</v>
          </cell>
          <cell r="Z1506" t="str">
            <v>16/08/2013</v>
          </cell>
          <cell r="AA1506" t="str">
            <v>15/08/2015</v>
          </cell>
          <cell r="AB1506" t="str">
            <v>No</v>
          </cell>
          <cell r="AC1506" t="str">
            <v>31/08/2013</v>
          </cell>
          <cell r="AD1506" t="str">
            <v>Good</v>
          </cell>
          <cell r="AE1506" t="str">
            <v>V1 - Existing / No Claim</v>
          </cell>
          <cell r="AF1506">
            <v>42235</v>
          </cell>
          <cell r="AG1506">
            <v>9.17</v>
          </cell>
          <cell r="AH1506" t="str">
            <v>PPM</v>
          </cell>
          <cell r="AI1506" t="str">
            <v>Not in contract</v>
          </cell>
          <cell r="AJ1506" t="e">
            <v>#REF!</v>
          </cell>
        </row>
        <row r="1507">
          <cell r="A1507" t="str">
            <v>IKN401234</v>
          </cell>
          <cell r="B1507">
            <v>1232</v>
          </cell>
          <cell r="C1507" t="str">
            <v>Institut Kanser Negara</v>
          </cell>
          <cell r="D1507" t="str">
            <v>KKM/IKN/H/13/3103</v>
          </cell>
          <cell r="E1507" t="str">
            <v>18-449</v>
          </cell>
          <cell r="F1507" t="str">
            <v>Balances, Electronic, Analytical</v>
          </cell>
          <cell r="G1507" t="str">
            <v>NM</v>
          </cell>
          <cell r="H1507" t="str">
            <v>NUCLEAR MED (DIAGNOSTIC)</v>
          </cell>
          <cell r="I1507" t="str">
            <v>03NM138</v>
          </cell>
          <cell r="J1507" t="str">
            <v>RADIOIODINE PREP. (100% F.A)</v>
          </cell>
          <cell r="K1507" t="str">
            <v>BMED</v>
          </cell>
          <cell r="L1507" t="str">
            <v>Normal</v>
          </cell>
          <cell r="M1507" t="str">
            <v>Germany</v>
          </cell>
          <cell r="N1507" t="str">
            <v>Sartorius</v>
          </cell>
          <cell r="O1507" t="str">
            <v>CPA225D</v>
          </cell>
          <cell r="P1507" t="str">
            <v>28103546</v>
          </cell>
          <cell r="Q1507" t="str">
            <v>Not Applicable</v>
          </cell>
          <cell r="R1507" t="str">
            <v>Sartorius AG</v>
          </cell>
          <cell r="S1507" t="str">
            <v>Chemopharm S/B</v>
          </cell>
          <cell r="T1507" t="str">
            <v>Functioning</v>
          </cell>
          <cell r="U1507" t="str">
            <v>Asset</v>
          </cell>
          <cell r="V1507">
            <v>6250</v>
          </cell>
          <cell r="W1507" t="str">
            <v>KEW</v>
          </cell>
          <cell r="X1507" t="str">
            <v>01/09/2010</v>
          </cell>
          <cell r="Y1507" t="str">
            <v>KEW</v>
          </cell>
          <cell r="Z1507" t="str">
            <v>16/08/2013</v>
          </cell>
          <cell r="AA1507" t="str">
            <v>15/08/2015</v>
          </cell>
          <cell r="AB1507" t="str">
            <v>No</v>
          </cell>
          <cell r="AC1507" t="str">
            <v>31/08/2013</v>
          </cell>
          <cell r="AD1507" t="str">
            <v>Good</v>
          </cell>
          <cell r="AE1507" t="str">
            <v>V1 - Existing / No Claim</v>
          </cell>
          <cell r="AF1507">
            <v>42235</v>
          </cell>
          <cell r="AG1507">
            <v>9.17</v>
          </cell>
          <cell r="AH1507" t="str">
            <v>PPM</v>
          </cell>
          <cell r="AI1507" t="str">
            <v>Strands</v>
          </cell>
          <cell r="AJ1507" t="str">
            <v>Strands PW</v>
          </cell>
        </row>
        <row r="1508">
          <cell r="A1508" t="str">
            <v>IKN401235</v>
          </cell>
          <cell r="B1508">
            <v>1233</v>
          </cell>
          <cell r="C1508" t="str">
            <v>Institut Kanser Negara</v>
          </cell>
          <cell r="D1508" t="str">
            <v>KKM/IKN/H/13/4506</v>
          </cell>
          <cell r="E1508" t="str">
            <v>15-161</v>
          </cell>
          <cell r="F1508" t="str">
            <v>Mixers, Clinical Laboratory</v>
          </cell>
          <cell r="G1508" t="str">
            <v>NM</v>
          </cell>
          <cell r="H1508" t="str">
            <v>NUCLEAR MED (DIAGNOSTIC)</v>
          </cell>
          <cell r="I1508" t="str">
            <v>03NM154</v>
          </cell>
          <cell r="J1508" t="str">
            <v>RIA LAB</v>
          </cell>
          <cell r="K1508" t="str">
            <v>BMED</v>
          </cell>
          <cell r="L1508" t="str">
            <v>Normal</v>
          </cell>
          <cell r="M1508" t="str">
            <v>UK</v>
          </cell>
          <cell r="N1508" t="str">
            <v>Stuart</v>
          </cell>
          <cell r="O1508" t="str">
            <v>SA8</v>
          </cell>
          <cell r="P1508" t="str">
            <v>R800004737</v>
          </cell>
          <cell r="Q1508" t="str">
            <v>Not Applicable</v>
          </cell>
          <cell r="R1508" t="str">
            <v>Stuart Scientific Co Ltd</v>
          </cell>
          <cell r="S1508" t="str">
            <v>Bumi Sains Sdn. Bhd.</v>
          </cell>
          <cell r="T1508" t="str">
            <v>Functioning</v>
          </cell>
          <cell r="U1508" t="str">
            <v>Asset</v>
          </cell>
          <cell r="V1508">
            <v>1200</v>
          </cell>
          <cell r="W1508" t="str">
            <v>KEW</v>
          </cell>
          <cell r="X1508" t="str">
            <v>01/09/2010</v>
          </cell>
          <cell r="Y1508" t="str">
            <v>KEW</v>
          </cell>
          <cell r="Z1508" t="str">
            <v>16/08/2013</v>
          </cell>
          <cell r="AA1508" t="str">
            <v>15/08/2015</v>
          </cell>
          <cell r="AB1508" t="str">
            <v>No</v>
          </cell>
          <cell r="AC1508" t="str">
            <v>31/08/2013</v>
          </cell>
          <cell r="AD1508" t="str">
            <v>Good</v>
          </cell>
          <cell r="AE1508" t="str">
            <v>V1 - Existing / No Claim</v>
          </cell>
          <cell r="AF1508">
            <v>42235</v>
          </cell>
          <cell r="AG1508">
            <v>9.17</v>
          </cell>
          <cell r="AH1508" t="str">
            <v>PPM</v>
          </cell>
          <cell r="AI1508" t="str">
            <v>Strands</v>
          </cell>
          <cell r="AJ1508" t="str">
            <v>Strands PW</v>
          </cell>
        </row>
        <row r="1509">
          <cell r="A1509" t="str">
            <v>IKN401236</v>
          </cell>
          <cell r="B1509">
            <v>1234</v>
          </cell>
          <cell r="C1509" t="str">
            <v>Institut Kanser Negara</v>
          </cell>
          <cell r="D1509" t="str">
            <v>KKM/IKN/H/15/2</v>
          </cell>
          <cell r="E1509" t="str">
            <v>16-231</v>
          </cell>
          <cell r="F1509" t="str">
            <v>Electrocardiographs, Multichannel, Interpretative</v>
          </cell>
          <cell r="G1509" t="str">
            <v>NM</v>
          </cell>
          <cell r="H1509" t="str">
            <v>NUCLEAR MED (DIAGNOSTIC)</v>
          </cell>
          <cell r="I1509" t="str">
            <v>03NM108</v>
          </cell>
          <cell r="J1509" t="str">
            <v>TREATMENT 1 (RAI)(VE)</v>
          </cell>
          <cell r="K1509" t="str">
            <v>BMED</v>
          </cell>
          <cell r="L1509" t="str">
            <v>Normal</v>
          </cell>
          <cell r="M1509" t="str">
            <v>India</v>
          </cell>
          <cell r="N1509" t="str">
            <v>GE Healthcare</v>
          </cell>
          <cell r="O1509" t="str">
            <v>MAC 600</v>
          </cell>
          <cell r="P1509" t="str">
            <v>SF715203481PA</v>
          </cell>
          <cell r="Q1509" t="str">
            <v>Not Applicable</v>
          </cell>
          <cell r="R1509" t="str">
            <v>GE Healthcare</v>
          </cell>
          <cell r="S1509" t="str">
            <v>Baco Medicare Sdn Bhd</v>
          </cell>
          <cell r="T1509" t="str">
            <v>Functioning</v>
          </cell>
          <cell r="U1509" t="str">
            <v>Asset</v>
          </cell>
          <cell r="V1509">
            <v>5590.2</v>
          </cell>
          <cell r="W1509" t="str">
            <v>KEW</v>
          </cell>
          <cell r="X1509" t="str">
            <v>15/06/2015</v>
          </cell>
          <cell r="Y1509" t="str">
            <v>KEW</v>
          </cell>
          <cell r="Z1509" t="str">
            <v>03/07/2015</v>
          </cell>
          <cell r="AA1509" t="str">
            <v>02/07/2016</v>
          </cell>
          <cell r="AB1509" t="str">
            <v>No</v>
          </cell>
          <cell r="AC1509" t="str">
            <v>03/07/2015</v>
          </cell>
          <cell r="AD1509" t="str">
            <v>Good</v>
          </cell>
          <cell r="AE1509" t="str">
            <v>V3 - Added Installed Facilities (New)</v>
          </cell>
          <cell r="AF1509">
            <v>42235</v>
          </cell>
          <cell r="AG1509">
            <v>4.42</v>
          </cell>
          <cell r="AH1509" t="str">
            <v>PPM</v>
          </cell>
          <cell r="AI1509" t="str">
            <v>Strands</v>
          </cell>
          <cell r="AJ1509" t="str">
            <v>Strands PW</v>
          </cell>
          <cell r="AK1509" t="str">
            <v>SNF received. 1st batch of V3 asset (December 2020)</v>
          </cell>
        </row>
        <row r="1510">
          <cell r="A1510" t="str">
            <v>IKN401237</v>
          </cell>
          <cell r="B1510">
            <v>1235</v>
          </cell>
          <cell r="C1510" t="str">
            <v>Institut Kanser Negara</v>
          </cell>
          <cell r="D1510" t="str">
            <v>KKM/IKN/H/15/1</v>
          </cell>
          <cell r="E1510" t="str">
            <v>16-231</v>
          </cell>
          <cell r="F1510" t="str">
            <v>Electrocardiographs, Multichannel, Interpretative</v>
          </cell>
          <cell r="G1510" t="str">
            <v>NM</v>
          </cell>
          <cell r="H1510" t="str">
            <v>NUCLEAR MED (DIAGNOSTIC)</v>
          </cell>
          <cell r="I1510" t="str">
            <v>03NM108</v>
          </cell>
          <cell r="J1510" t="str">
            <v>TREATMENT 1 (RAI)(VE)</v>
          </cell>
          <cell r="K1510" t="str">
            <v>BMED</v>
          </cell>
          <cell r="L1510" t="str">
            <v>Normal</v>
          </cell>
          <cell r="M1510" t="str">
            <v>India</v>
          </cell>
          <cell r="N1510" t="str">
            <v>GE Healthcare</v>
          </cell>
          <cell r="O1510" t="str">
            <v>MAC 600</v>
          </cell>
          <cell r="P1510" t="str">
            <v>SF713085165PA</v>
          </cell>
          <cell r="Q1510" t="str">
            <v>Not Applicable</v>
          </cell>
          <cell r="R1510" t="str">
            <v>GE Healthcare</v>
          </cell>
          <cell r="S1510" t="str">
            <v>Baco Medicare Sdn Bhd</v>
          </cell>
          <cell r="T1510" t="str">
            <v>Functioning</v>
          </cell>
          <cell r="U1510" t="str">
            <v>Asset</v>
          </cell>
          <cell r="V1510">
            <v>5590.2</v>
          </cell>
          <cell r="W1510" t="str">
            <v>KEW</v>
          </cell>
          <cell r="X1510" t="str">
            <v>15/06/2015</v>
          </cell>
          <cell r="Y1510" t="str">
            <v>KEW</v>
          </cell>
          <cell r="Z1510" t="str">
            <v>03/07/2015</v>
          </cell>
          <cell r="AA1510" t="str">
            <v>02/07/2016</v>
          </cell>
          <cell r="AB1510" t="str">
            <v>No</v>
          </cell>
          <cell r="AC1510" t="str">
            <v>03/07/2015</v>
          </cell>
          <cell r="AD1510" t="str">
            <v>Good</v>
          </cell>
          <cell r="AE1510" t="str">
            <v>V3 - Added Installed Facilities (New)</v>
          </cell>
          <cell r="AF1510">
            <v>42235</v>
          </cell>
          <cell r="AG1510">
            <v>4.42</v>
          </cell>
          <cell r="AH1510" t="str">
            <v>PPM</v>
          </cell>
          <cell r="AI1510" t="str">
            <v>Not in contract</v>
          </cell>
          <cell r="AJ1510" t="str">
            <v>Proposed for V3 P2.23</v>
          </cell>
          <cell r="AK1510" t="str">
            <v>KKM follow P2.23 list.</v>
          </cell>
        </row>
        <row r="1511">
          <cell r="A1511" t="str">
            <v>IKN401238</v>
          </cell>
          <cell r="B1511">
            <v>1236</v>
          </cell>
          <cell r="C1511" t="str">
            <v>Institut Kanser Negara</v>
          </cell>
          <cell r="D1511" t="str">
            <v>KKM/IKN/H/13/4863</v>
          </cell>
          <cell r="E1511" t="str">
            <v>17-211</v>
          </cell>
          <cell r="F1511" t="str">
            <v>Radiation Survey Meters, Geiger-Muller</v>
          </cell>
          <cell r="G1511" t="str">
            <v>ID</v>
          </cell>
          <cell r="H1511" t="str">
            <v>IMAGING DEPARTMENT</v>
          </cell>
          <cell r="I1511" t="str">
            <v>03ID169</v>
          </cell>
          <cell r="J1511" t="str">
            <v>RADIOGRAPHER</v>
          </cell>
          <cell r="K1511" t="str">
            <v>BMED</v>
          </cell>
          <cell r="L1511" t="str">
            <v>Normal</v>
          </cell>
          <cell r="M1511" t="str">
            <v>Germany</v>
          </cell>
          <cell r="N1511" t="str">
            <v>Thermo Fisher</v>
          </cell>
          <cell r="O1511" t="str">
            <v>RadEye B20</v>
          </cell>
          <cell r="P1511">
            <v>30445</v>
          </cell>
          <cell r="Q1511" t="str">
            <v>Not Applicable</v>
          </cell>
          <cell r="R1511" t="str">
            <v>Thermo Fisher Scientific</v>
          </cell>
          <cell r="S1511" t="str">
            <v>Delta Advantech (M) Sdn Bhd</v>
          </cell>
          <cell r="T1511" t="str">
            <v>Functioning</v>
          </cell>
          <cell r="U1511" t="str">
            <v>Asset</v>
          </cell>
          <cell r="V1511">
            <v>20000</v>
          </cell>
          <cell r="W1511" t="str">
            <v>KEW</v>
          </cell>
          <cell r="X1511" t="str">
            <v>01/09/2010</v>
          </cell>
          <cell r="Y1511" t="str">
            <v>KEW</v>
          </cell>
          <cell r="Z1511" t="str">
            <v>16/08/2013</v>
          </cell>
          <cell r="AA1511" t="str">
            <v>15/08/2015</v>
          </cell>
          <cell r="AB1511" t="str">
            <v>No</v>
          </cell>
          <cell r="AC1511" t="str">
            <v>31/08/2013</v>
          </cell>
          <cell r="AD1511" t="str">
            <v>Good</v>
          </cell>
          <cell r="AE1511" t="str">
            <v>V1 - Existing / No Claim</v>
          </cell>
          <cell r="AF1511">
            <v>42235</v>
          </cell>
          <cell r="AG1511">
            <v>9.17</v>
          </cell>
          <cell r="AH1511" t="str">
            <v>PPM</v>
          </cell>
          <cell r="AI1511" t="str">
            <v>Strands</v>
          </cell>
          <cell r="AJ1511" t="str">
            <v>Strands PW</v>
          </cell>
        </row>
        <row r="1512">
          <cell r="A1512" t="str">
            <v>IKN401239</v>
          </cell>
          <cell r="B1512">
            <v>1237</v>
          </cell>
          <cell r="C1512" t="str">
            <v>Institut Kanser Negara</v>
          </cell>
          <cell r="D1512" t="e">
            <v>#N/A</v>
          </cell>
          <cell r="E1512" t="str">
            <v>15-605</v>
          </cell>
          <cell r="F1512" t="str">
            <v>Testers</v>
          </cell>
          <cell r="G1512" t="str">
            <v>PS</v>
          </cell>
          <cell r="H1512" t="str">
            <v>SUPPORT SERVICE/PLANT</v>
          </cell>
          <cell r="I1512" t="str">
            <v>01PS105</v>
          </cell>
          <cell r="J1512" t="str">
            <v>CHIEF ENGINEER</v>
          </cell>
          <cell r="K1512" t="str">
            <v>BMED</v>
          </cell>
          <cell r="L1512" t="str">
            <v>Normal</v>
          </cell>
          <cell r="M1512" t="str">
            <v>USA</v>
          </cell>
          <cell r="N1512" t="str">
            <v>Fluke</v>
          </cell>
          <cell r="O1512" t="str">
            <v>Fluke 115</v>
          </cell>
          <cell r="P1512" t="str">
            <v>22462872</v>
          </cell>
          <cell r="Q1512" t="str">
            <v>Not Applicable</v>
          </cell>
          <cell r="R1512" t="str">
            <v>Fluke Biomedical RMS</v>
          </cell>
          <cell r="S1512" t="str">
            <v>Bell Comm Technologies Sdn Bhd</v>
          </cell>
          <cell r="T1512" t="str">
            <v>Functioning</v>
          </cell>
          <cell r="U1512" t="str">
            <v>Asset</v>
          </cell>
          <cell r="V1512">
            <v>700</v>
          </cell>
          <cell r="W1512" t="str">
            <v>KEW</v>
          </cell>
          <cell r="X1512" t="str">
            <v>01/09/2010</v>
          </cell>
          <cell r="Y1512" t="str">
            <v>KEW</v>
          </cell>
          <cell r="Z1512" t="str">
            <v>16/08/2013</v>
          </cell>
          <cell r="AA1512" t="str">
            <v>15/08/2015</v>
          </cell>
          <cell r="AB1512" t="str">
            <v>No</v>
          </cell>
          <cell r="AC1512" t="str">
            <v>31/08/2013</v>
          </cell>
          <cell r="AD1512" t="str">
            <v>Good</v>
          </cell>
          <cell r="AE1512" t="str">
            <v>V1 - Existing / No Claim</v>
          </cell>
          <cell r="AF1512">
            <v>42235</v>
          </cell>
          <cell r="AG1512">
            <v>9.17</v>
          </cell>
          <cell r="AH1512" t="str">
            <v>PPM</v>
          </cell>
          <cell r="AI1512" t="str">
            <v>Not in contract</v>
          </cell>
          <cell r="AJ1512" t="str">
            <v>ANALYZER</v>
          </cell>
          <cell r="AK1512" t="str">
            <v>IKN agreed unit to be used by BEMS but have to calibrate.</v>
          </cell>
        </row>
        <row r="1513">
          <cell r="A1513" t="str">
            <v>IKN401240</v>
          </cell>
          <cell r="B1513">
            <v>1238</v>
          </cell>
          <cell r="C1513" t="str">
            <v>Institut Kanser Negara</v>
          </cell>
          <cell r="D1513" t="e">
            <v>#N/A</v>
          </cell>
          <cell r="E1513" t="str">
            <v>15-605</v>
          </cell>
          <cell r="F1513" t="str">
            <v>Testers</v>
          </cell>
          <cell r="G1513" t="str">
            <v>PS</v>
          </cell>
          <cell r="H1513" t="str">
            <v>SUPPORT SERVICE/PLANT</v>
          </cell>
          <cell r="I1513" t="str">
            <v>01PS105</v>
          </cell>
          <cell r="J1513" t="str">
            <v>CHIEF ENGINEER</v>
          </cell>
          <cell r="K1513" t="str">
            <v>BMED</v>
          </cell>
          <cell r="L1513" t="str">
            <v>Normal</v>
          </cell>
          <cell r="M1513" t="str">
            <v>USA</v>
          </cell>
          <cell r="N1513" t="str">
            <v>Fluke</v>
          </cell>
          <cell r="O1513" t="str">
            <v>Fluke 115</v>
          </cell>
          <cell r="P1513" t="str">
            <v>22462790</v>
          </cell>
          <cell r="Q1513" t="str">
            <v>Not Applicable</v>
          </cell>
          <cell r="R1513" t="str">
            <v>Fluke Biomedical RMS</v>
          </cell>
          <cell r="S1513" t="str">
            <v>Bell Comm Technologies Sdn Bhd</v>
          </cell>
          <cell r="T1513" t="str">
            <v>Functioning</v>
          </cell>
          <cell r="U1513" t="str">
            <v>Asset</v>
          </cell>
          <cell r="V1513">
            <v>700</v>
          </cell>
          <cell r="W1513" t="str">
            <v>KEW</v>
          </cell>
          <cell r="X1513" t="str">
            <v>01/09/2010</v>
          </cell>
          <cell r="Y1513" t="str">
            <v>KEW</v>
          </cell>
          <cell r="Z1513" t="str">
            <v>16/08/2013</v>
          </cell>
          <cell r="AA1513" t="str">
            <v>15/08/2015</v>
          </cell>
          <cell r="AB1513" t="str">
            <v>No</v>
          </cell>
          <cell r="AC1513" t="str">
            <v>31/08/2013</v>
          </cell>
          <cell r="AD1513" t="str">
            <v>Good</v>
          </cell>
          <cell r="AE1513" t="str">
            <v>V1 - Existing / No Claim</v>
          </cell>
          <cell r="AF1513">
            <v>42235</v>
          </cell>
          <cell r="AG1513">
            <v>9.17</v>
          </cell>
          <cell r="AH1513" t="str">
            <v>PPM</v>
          </cell>
          <cell r="AI1513" t="str">
            <v>Not in contract</v>
          </cell>
          <cell r="AJ1513" t="str">
            <v>ANALYZER</v>
          </cell>
          <cell r="AK1513" t="str">
            <v>IKN agreed unit to be used by BEMS but have to calibrate.</v>
          </cell>
        </row>
        <row r="1514">
          <cell r="A1514" t="str">
            <v>IKN401246</v>
          </cell>
          <cell r="B1514">
            <v>1244</v>
          </cell>
          <cell r="C1514" t="str">
            <v>Institut Kanser Negara</v>
          </cell>
          <cell r="D1514" t="str">
            <v>N/A</v>
          </cell>
          <cell r="E1514" t="str">
            <v>13-281</v>
          </cell>
          <cell r="F1514" t="str">
            <v>Computers, Radiotherapy Planning System</v>
          </cell>
          <cell r="G1514" t="str">
            <v>RT</v>
          </cell>
          <cell r="H1514" t="str">
            <v>RADIATION TREATMENT UNIT</v>
          </cell>
          <cell r="I1514" t="str">
            <v>01RT156</v>
          </cell>
          <cell r="J1514" t="str">
            <v>CHILDREN'S PLAY AREA</v>
          </cell>
          <cell r="K1514" t="str">
            <v>BMED</v>
          </cell>
          <cell r="L1514" t="str">
            <v>Normal</v>
          </cell>
          <cell r="M1514" t="str">
            <v>USA</v>
          </cell>
          <cell r="N1514" t="str">
            <v>Elekta</v>
          </cell>
          <cell r="O1514" t="str">
            <v>Monaco</v>
          </cell>
          <cell r="P1514" t="str">
            <v>various</v>
          </cell>
          <cell r="Q1514" t="str">
            <v>Not Applicable</v>
          </cell>
          <cell r="R1514" t="str">
            <v>Elekta</v>
          </cell>
          <cell r="S1514" t="str">
            <v>Meditek Equipment</v>
          </cell>
          <cell r="T1514" t="str">
            <v>Functioning</v>
          </cell>
          <cell r="U1514" t="str">
            <v>Asset</v>
          </cell>
          <cell r="V1514">
            <v>2403940</v>
          </cell>
          <cell r="W1514" t="str">
            <v>KEW</v>
          </cell>
          <cell r="X1514" t="str">
            <v>01/09/2010</v>
          </cell>
          <cell r="Y1514" t="str">
            <v>KEW</v>
          </cell>
          <cell r="Z1514" t="str">
            <v>16/08/2013</v>
          </cell>
          <cell r="AA1514" t="str">
            <v>15/08/2015</v>
          </cell>
          <cell r="AB1514" t="str">
            <v>No</v>
          </cell>
          <cell r="AC1514" t="str">
            <v>31/08/2013</v>
          </cell>
          <cell r="AD1514" t="str">
            <v>Good</v>
          </cell>
          <cell r="AE1514" t="str">
            <v>V1 - Existing / No Claim</v>
          </cell>
          <cell r="AF1514">
            <v>42235</v>
          </cell>
          <cell r="AG1514">
            <v>9.17</v>
          </cell>
          <cell r="AH1514" t="str">
            <v>PPM</v>
          </cell>
          <cell r="AI1514" t="str">
            <v>Strands</v>
          </cell>
          <cell r="AJ1514" t="str">
            <v>Strands Package</v>
          </cell>
          <cell r="AK1514" t="str">
            <v>Package Code XM0005A, XM0005B</v>
          </cell>
        </row>
        <row r="1515">
          <cell r="A1515" t="str">
            <v>IKN401247</v>
          </cell>
          <cell r="B1515">
            <v>1245</v>
          </cell>
          <cell r="C1515" t="str">
            <v>Institut Kanser Negara</v>
          </cell>
          <cell r="D1515" t="str">
            <v>KKM/IKN/H/13/4667</v>
          </cell>
          <cell r="E1515" t="str">
            <v>10-485</v>
          </cell>
          <cell r="F1515" t="str">
            <v>Pumps, Breast</v>
          </cell>
          <cell r="G1515" t="str">
            <v>X4</v>
          </cell>
          <cell r="H1515" t="str">
            <v>COMMON FACILITIES LEVEL 4</v>
          </cell>
          <cell r="I1515" t="str">
            <v>04X4408</v>
          </cell>
          <cell r="J1515" t="str">
            <v>BREAST FEED &amp; NAPPY CHGE</v>
          </cell>
          <cell r="K1515" t="str">
            <v>BMED</v>
          </cell>
          <cell r="L1515" t="str">
            <v>Normal</v>
          </cell>
          <cell r="M1515" t="str">
            <v>Switzerland</v>
          </cell>
          <cell r="N1515" t="str">
            <v>Lactina</v>
          </cell>
          <cell r="O1515" t="str">
            <v>Lactina Electric Plus</v>
          </cell>
          <cell r="P1515" t="str">
            <v>667110</v>
          </cell>
          <cell r="Q1515" t="str">
            <v>N/A</v>
          </cell>
          <cell r="R1515" t="str">
            <v>Medela AG</v>
          </cell>
          <cell r="S1515" t="str">
            <v>Equip Medical (M) Sdn Bhd</v>
          </cell>
          <cell r="T1515" t="str">
            <v>Functioning</v>
          </cell>
          <cell r="U1515" t="str">
            <v>Asset</v>
          </cell>
          <cell r="V1515">
            <v>1178</v>
          </cell>
          <cell r="W1515" t="str">
            <v>KEW</v>
          </cell>
          <cell r="X1515" t="str">
            <v>01/09/2010</v>
          </cell>
          <cell r="Y1515" t="str">
            <v>Estimate</v>
          </cell>
          <cell r="Z1515" t="str">
            <v>16/08/2013</v>
          </cell>
          <cell r="AA1515" t="str">
            <v>15/08/2015</v>
          </cell>
          <cell r="AB1515" t="str">
            <v>No</v>
          </cell>
          <cell r="AC1515" t="str">
            <v>31/08/2013</v>
          </cell>
          <cell r="AD1515" t="str">
            <v>Good</v>
          </cell>
          <cell r="AE1515" t="str">
            <v>V1 - Existing / No Claim</v>
          </cell>
          <cell r="AF1515">
            <v>42388</v>
          </cell>
          <cell r="AG1515">
            <v>9.17</v>
          </cell>
          <cell r="AH1515" t="str">
            <v>PPM</v>
          </cell>
          <cell r="AI1515" t="str">
            <v>Strands</v>
          </cell>
          <cell r="AJ1515" t="str">
            <v>Strands PW</v>
          </cell>
        </row>
        <row r="1516">
          <cell r="A1516" t="str">
            <v>IKN401248</v>
          </cell>
          <cell r="B1516">
            <v>1246</v>
          </cell>
          <cell r="C1516" t="str">
            <v>Institut Kanser Negara</v>
          </cell>
          <cell r="D1516" t="str">
            <v>KKM/IKN/H/13/4668</v>
          </cell>
          <cell r="E1516" t="str">
            <v>10-485</v>
          </cell>
          <cell r="F1516" t="str">
            <v>Pumps, Breast</v>
          </cell>
          <cell r="G1516" t="str">
            <v>X4</v>
          </cell>
          <cell r="H1516" t="str">
            <v>COMMON FACILITIES LEVEL 4</v>
          </cell>
          <cell r="I1516" t="str">
            <v>04X4408</v>
          </cell>
          <cell r="J1516" t="str">
            <v>BREAST FEED &amp; NAPPY CHGE</v>
          </cell>
          <cell r="K1516" t="str">
            <v>BMED</v>
          </cell>
          <cell r="L1516" t="str">
            <v>Normal</v>
          </cell>
          <cell r="M1516" t="str">
            <v>Switzerland</v>
          </cell>
          <cell r="N1516" t="str">
            <v>Lactina</v>
          </cell>
          <cell r="O1516" t="str">
            <v>Lactina Electric Plus</v>
          </cell>
          <cell r="P1516" t="str">
            <v>667112</v>
          </cell>
          <cell r="Q1516" t="str">
            <v>NOT APPLICABLE</v>
          </cell>
          <cell r="R1516" t="str">
            <v>Medela AG</v>
          </cell>
          <cell r="S1516" t="str">
            <v>Equip Medical (M) Sdn Bhd</v>
          </cell>
          <cell r="T1516" t="str">
            <v>Functioning</v>
          </cell>
          <cell r="U1516" t="str">
            <v>Asset</v>
          </cell>
          <cell r="V1516">
            <v>1178</v>
          </cell>
          <cell r="W1516" t="str">
            <v>KEW</v>
          </cell>
          <cell r="X1516" t="str">
            <v>01/09/2010</v>
          </cell>
          <cell r="Y1516" t="str">
            <v>KEW</v>
          </cell>
          <cell r="Z1516" t="str">
            <v>16/08/2013</v>
          </cell>
          <cell r="AA1516" t="str">
            <v>15/08/2015</v>
          </cell>
          <cell r="AB1516" t="str">
            <v>No</v>
          </cell>
          <cell r="AC1516" t="str">
            <v>31/08/2013</v>
          </cell>
          <cell r="AD1516" t="str">
            <v>Good</v>
          </cell>
          <cell r="AE1516" t="str">
            <v>V1 - Existing / No Claim</v>
          </cell>
          <cell r="AF1516">
            <v>42397</v>
          </cell>
          <cell r="AG1516">
            <v>9.17</v>
          </cell>
          <cell r="AH1516" t="str">
            <v>PPM</v>
          </cell>
          <cell r="AI1516" t="str">
            <v>Strands</v>
          </cell>
          <cell r="AJ1516" t="str">
            <v>Strands PW</v>
          </cell>
        </row>
        <row r="1517">
          <cell r="A1517" t="str">
            <v>IKN401249</v>
          </cell>
          <cell r="B1517">
            <v>1247</v>
          </cell>
          <cell r="C1517" t="str">
            <v>Institut Kanser Negara</v>
          </cell>
          <cell r="D1517" t="e">
            <v>#N/A</v>
          </cell>
          <cell r="E1517" t="str">
            <v>15-605</v>
          </cell>
          <cell r="F1517" t="str">
            <v>Testers</v>
          </cell>
          <cell r="G1517" t="str">
            <v>PS</v>
          </cell>
          <cell r="H1517" t="str">
            <v>SUPPORT SERVICE/PLANT</v>
          </cell>
          <cell r="I1517" t="str">
            <v>01PS105</v>
          </cell>
          <cell r="J1517" t="str">
            <v>CHIEF ENGINEER</v>
          </cell>
          <cell r="K1517" t="str">
            <v>BMED</v>
          </cell>
          <cell r="L1517" t="str">
            <v>Normal</v>
          </cell>
          <cell r="M1517" t="str">
            <v>USA</v>
          </cell>
          <cell r="N1517" t="str">
            <v>Fluke</v>
          </cell>
          <cell r="O1517" t="str">
            <v>Fluke 28 II</v>
          </cell>
          <cell r="P1517" t="str">
            <v>20200058</v>
          </cell>
          <cell r="Q1517" t="str">
            <v>Not Applicable</v>
          </cell>
          <cell r="R1517" t="str">
            <v>Fluke Biomedical RMS</v>
          </cell>
          <cell r="S1517" t="str">
            <v>Bell Comm Technologies Sdn Bhd</v>
          </cell>
          <cell r="T1517" t="str">
            <v>Functioning</v>
          </cell>
          <cell r="U1517" t="str">
            <v>Asset</v>
          </cell>
          <cell r="V1517">
            <v>4700</v>
          </cell>
          <cell r="W1517" t="str">
            <v>KEW</v>
          </cell>
          <cell r="X1517" t="str">
            <v>01/09/2010</v>
          </cell>
          <cell r="Y1517" t="str">
            <v>KEW</v>
          </cell>
          <cell r="Z1517" t="str">
            <v>16/08/2013</v>
          </cell>
          <cell r="AA1517" t="str">
            <v>15/08/2015</v>
          </cell>
          <cell r="AB1517" t="str">
            <v>No</v>
          </cell>
          <cell r="AC1517" t="str">
            <v>31/08/2013</v>
          </cell>
          <cell r="AD1517" t="str">
            <v>Good</v>
          </cell>
          <cell r="AE1517" t="str">
            <v>V1 - Existing / No Claim</v>
          </cell>
          <cell r="AF1517">
            <v>42235</v>
          </cell>
          <cell r="AG1517">
            <v>9.17</v>
          </cell>
          <cell r="AH1517" t="str">
            <v>PPM</v>
          </cell>
          <cell r="AI1517" t="str">
            <v>Not in contract</v>
          </cell>
          <cell r="AJ1517" t="str">
            <v>ANALYZER</v>
          </cell>
          <cell r="AK1517" t="str">
            <v>IKN agreed unit to be used by BEMS but have to calibrate.</v>
          </cell>
        </row>
        <row r="1518">
          <cell r="A1518" t="str">
            <v>IKN401250</v>
          </cell>
          <cell r="B1518">
            <v>1248</v>
          </cell>
          <cell r="C1518" t="str">
            <v>Institut Kanser Negara</v>
          </cell>
          <cell r="D1518" t="str">
            <v>KKM/IKN/H/13/4508</v>
          </cell>
          <cell r="E1518" t="str">
            <v>15-164</v>
          </cell>
          <cell r="F1518" t="str">
            <v>pH Meters</v>
          </cell>
          <cell r="G1518" t="str">
            <v>NM</v>
          </cell>
          <cell r="H1518" t="str">
            <v>NUCLEAR MED (DIAGNOSTIC)</v>
          </cell>
          <cell r="I1518" t="str">
            <v>03NM138</v>
          </cell>
          <cell r="J1518" t="str">
            <v>RADIOIODINE PREP. (100% F.A)</v>
          </cell>
          <cell r="K1518" t="str">
            <v>BMED</v>
          </cell>
          <cell r="L1518" t="str">
            <v>Normal</v>
          </cell>
          <cell r="M1518" t="str">
            <v>Singapore</v>
          </cell>
          <cell r="N1518" t="str">
            <v>Accumet</v>
          </cell>
          <cell r="O1518" t="str">
            <v>Accumet AB150</v>
          </cell>
          <cell r="P1518" t="str">
            <v>AB92341936</v>
          </cell>
          <cell r="Q1518" t="str">
            <v>NOT APPLICABLE</v>
          </cell>
          <cell r="R1518" t="str">
            <v>Fisher Scientific Co</v>
          </cell>
          <cell r="S1518" t="str">
            <v>Bumi Sains Sdn. Bhd.</v>
          </cell>
          <cell r="T1518" t="str">
            <v>Functioning</v>
          </cell>
          <cell r="U1518" t="str">
            <v>Asset</v>
          </cell>
          <cell r="V1518">
            <v>8000</v>
          </cell>
          <cell r="W1518" t="str">
            <v>Estimate</v>
          </cell>
          <cell r="X1518" t="str">
            <v>01/09/2010</v>
          </cell>
          <cell r="Y1518" t="str">
            <v>KEW</v>
          </cell>
          <cell r="Z1518" t="str">
            <v>16/08/2013</v>
          </cell>
          <cell r="AA1518" t="str">
            <v>15/08/2015</v>
          </cell>
          <cell r="AB1518" t="str">
            <v>No</v>
          </cell>
          <cell r="AC1518" t="str">
            <v>31/08/2013</v>
          </cell>
          <cell r="AD1518" t="str">
            <v>Good</v>
          </cell>
          <cell r="AE1518" t="str">
            <v>V1 - Existing / No Claim</v>
          </cell>
          <cell r="AF1518">
            <v>42622</v>
          </cell>
          <cell r="AG1518">
            <v>9.17</v>
          </cell>
          <cell r="AH1518" t="str">
            <v>PPM</v>
          </cell>
          <cell r="AI1518" t="str">
            <v>Strands</v>
          </cell>
          <cell r="AJ1518" t="str">
            <v>Strands PW</v>
          </cell>
          <cell r="AK1518" t="str">
            <v>[14/3/2024]: UPDATE MODEL</v>
          </cell>
        </row>
        <row r="1519">
          <cell r="A1519" t="str">
            <v>IKN401251</v>
          </cell>
          <cell r="B1519">
            <v>1249</v>
          </cell>
          <cell r="C1519" t="str">
            <v>Institut Kanser Negara</v>
          </cell>
          <cell r="D1519" t="str">
            <v>KKM/IKN/H/13/4507</v>
          </cell>
          <cell r="E1519" t="str">
            <v>15-164</v>
          </cell>
          <cell r="F1519" t="str">
            <v>pH Meters</v>
          </cell>
          <cell r="G1519" t="str">
            <v>NM</v>
          </cell>
          <cell r="H1519" t="str">
            <v>NUCLEAR MED (DIAGNOSTIC)</v>
          </cell>
          <cell r="I1519" t="str">
            <v>03NM138</v>
          </cell>
          <cell r="J1519" t="str">
            <v>RADIOIODINE PREP. (100% F.A)</v>
          </cell>
          <cell r="K1519" t="str">
            <v>BMED</v>
          </cell>
          <cell r="L1519" t="str">
            <v>Normal</v>
          </cell>
          <cell r="M1519" t="str">
            <v>Singapore</v>
          </cell>
          <cell r="N1519" t="str">
            <v>Accumet</v>
          </cell>
          <cell r="O1519" t="str">
            <v>Accumet AB150</v>
          </cell>
          <cell r="P1519" t="str">
            <v>AB92341926</v>
          </cell>
          <cell r="Q1519" t="str">
            <v>NOT APPLICABLE</v>
          </cell>
          <cell r="R1519" t="str">
            <v>Fisher Scientific Co</v>
          </cell>
          <cell r="S1519" t="str">
            <v>Bumi Sains Sdn. Bhd.</v>
          </cell>
          <cell r="T1519" t="str">
            <v>Functioning</v>
          </cell>
          <cell r="U1519" t="str">
            <v>Asset</v>
          </cell>
          <cell r="V1519">
            <v>8000</v>
          </cell>
          <cell r="W1519" t="str">
            <v>Estimate</v>
          </cell>
          <cell r="X1519" t="str">
            <v>01/09/2010</v>
          </cell>
          <cell r="Y1519" t="str">
            <v>Estimate</v>
          </cell>
          <cell r="Z1519" t="str">
            <v>16/08/2013</v>
          </cell>
          <cell r="AA1519" t="str">
            <v>15/08/2015</v>
          </cell>
          <cell r="AB1519" t="str">
            <v>No</v>
          </cell>
          <cell r="AC1519" t="str">
            <v>31/08/2013</v>
          </cell>
          <cell r="AD1519" t="str">
            <v>Good</v>
          </cell>
          <cell r="AE1519" t="str">
            <v>V1 - Existing / No Claim</v>
          </cell>
          <cell r="AF1519">
            <v>42622</v>
          </cell>
          <cell r="AG1519">
            <v>9.17</v>
          </cell>
          <cell r="AH1519" t="str">
            <v>PPM</v>
          </cell>
          <cell r="AI1519" t="str">
            <v>Strands</v>
          </cell>
          <cell r="AJ1519" t="str">
            <v>Strands PW</v>
          </cell>
          <cell r="AK1519" t="str">
            <v>[14/3/2024]: UPDATE MODEL. [25/3/2024, ANIS]: UPDATE SN</v>
          </cell>
        </row>
        <row r="1520">
          <cell r="A1520" t="str">
            <v>IKN401252</v>
          </cell>
          <cell r="B1520">
            <v>1250</v>
          </cell>
          <cell r="C1520" t="str">
            <v>Institut Kanser Negara</v>
          </cell>
          <cell r="D1520" t="str">
            <v>KKM/IKN/H/15/17</v>
          </cell>
          <cell r="E1520" t="str">
            <v>17-116</v>
          </cell>
          <cell r="F1520" t="str">
            <v>Defibrillators, External, Automated</v>
          </cell>
          <cell r="G1520" t="str">
            <v>AE</v>
          </cell>
          <cell r="H1520" t="str">
            <v>EMERGENCY UNIT</v>
          </cell>
          <cell r="I1520" t="str">
            <v>01AE111</v>
          </cell>
          <cell r="J1520" t="str">
            <v>GANERAL STORE</v>
          </cell>
          <cell r="K1520" t="str">
            <v>BMED</v>
          </cell>
          <cell r="L1520" t="str">
            <v>Normal</v>
          </cell>
          <cell r="M1520" t="str">
            <v>USA</v>
          </cell>
          <cell r="N1520" t="str">
            <v>Heartstart</v>
          </cell>
          <cell r="O1520" t="str">
            <v>Heartstart FR3</v>
          </cell>
          <cell r="P1520" t="str">
            <v>C15E-00544</v>
          </cell>
          <cell r="Q1520" t="str">
            <v>NA</v>
          </cell>
          <cell r="R1520" t="str">
            <v>Philips Medical Systems</v>
          </cell>
          <cell r="S1520" t="str">
            <v>PHILIPS (M) SDN BHD</v>
          </cell>
          <cell r="T1520" t="str">
            <v>Functioning</v>
          </cell>
          <cell r="U1520" t="str">
            <v>Asset</v>
          </cell>
          <cell r="V1520">
            <v>14900</v>
          </cell>
          <cell r="W1520" t="str">
            <v>KEW</v>
          </cell>
          <cell r="X1520" t="str">
            <v>13/07/2015</v>
          </cell>
          <cell r="Y1520" t="str">
            <v>KEW</v>
          </cell>
          <cell r="Z1520" t="str">
            <v>21/08/2015</v>
          </cell>
          <cell r="AA1520" t="str">
            <v>20/08/2019</v>
          </cell>
          <cell r="AB1520" t="str">
            <v>No</v>
          </cell>
          <cell r="AC1520" t="str">
            <v>21/08/2015</v>
          </cell>
          <cell r="AD1520" t="str">
            <v>Good</v>
          </cell>
          <cell r="AE1520" t="str">
            <v>V3 - Added Installed Facilities (New)</v>
          </cell>
          <cell r="AF1520">
            <v>42389</v>
          </cell>
          <cell r="AG1520">
            <v>4.33</v>
          </cell>
          <cell r="AH1520" t="str">
            <v>PPM</v>
          </cell>
          <cell r="AI1520" t="str">
            <v>Strands</v>
          </cell>
          <cell r="AJ1520" t="str">
            <v>Strands PW</v>
          </cell>
          <cell r="AK1520" t="str">
            <v>SNF received. 1st batch of V3 asset (December 2020)</v>
          </cell>
        </row>
        <row r="1521">
          <cell r="A1521" t="str">
            <v>IKN401253</v>
          </cell>
          <cell r="B1521">
            <v>1251</v>
          </cell>
          <cell r="C1521" t="str">
            <v>Institut Kanser Negara</v>
          </cell>
          <cell r="D1521" t="str">
            <v>KKM/IKN/H/14/58</v>
          </cell>
          <cell r="E1521" t="str">
            <v>15-663</v>
          </cell>
          <cell r="F1521" t="str">
            <v>Pipetters</v>
          </cell>
          <cell r="G1521" t="str">
            <v>LA</v>
          </cell>
          <cell r="H1521" t="str">
            <v>PATHOLOGY</v>
          </cell>
          <cell r="I1521" t="str">
            <v>04LA140</v>
          </cell>
          <cell r="J1521" t="str">
            <v>BLOOD BANK</v>
          </cell>
          <cell r="K1521" t="str">
            <v>BMED</v>
          </cell>
          <cell r="L1521" t="str">
            <v>Normal</v>
          </cell>
          <cell r="M1521" t="str">
            <v>Germany</v>
          </cell>
          <cell r="N1521" t="str">
            <v>Eppendorf</v>
          </cell>
          <cell r="O1521" t="str">
            <v>Eppendorf Research Plus</v>
          </cell>
          <cell r="P1521" t="str">
            <v>L26942D</v>
          </cell>
          <cell r="Q1521" t="str">
            <v>Not Applicable</v>
          </cell>
          <cell r="R1521" t="str">
            <v>Eppendorf AG</v>
          </cell>
          <cell r="S1521" t="str">
            <v>MEDIGENE SDN BHD</v>
          </cell>
          <cell r="T1521" t="str">
            <v>Functioning</v>
          </cell>
          <cell r="U1521" t="str">
            <v>Asset</v>
          </cell>
          <cell r="V1521">
            <v>750</v>
          </cell>
          <cell r="W1521" t="str">
            <v>KEW</v>
          </cell>
          <cell r="X1521" t="str">
            <v>10/10/2014</v>
          </cell>
          <cell r="Y1521" t="str">
            <v>KEW</v>
          </cell>
          <cell r="Z1521" t="str">
            <v>31/10/2014</v>
          </cell>
          <cell r="AA1521" t="str">
            <v>30/10/2017</v>
          </cell>
          <cell r="AB1521" t="str">
            <v>No</v>
          </cell>
          <cell r="AC1521" t="str">
            <v>31/10/2014</v>
          </cell>
          <cell r="AD1521" t="str">
            <v>Good</v>
          </cell>
          <cell r="AE1521" t="str">
            <v>V3 - Added Installed Facilities (New)</v>
          </cell>
          <cell r="AF1521">
            <v>42790</v>
          </cell>
          <cell r="AG1521">
            <v>5.08</v>
          </cell>
          <cell r="AH1521" t="str">
            <v>PPM</v>
          </cell>
          <cell r="AI1521" t="str">
            <v>Strands</v>
          </cell>
          <cell r="AJ1521" t="str">
            <v>Strands PW</v>
          </cell>
          <cell r="AK1521" t="str">
            <v>SNF received. 1st batch of V3 asset (December 2020)</v>
          </cell>
        </row>
        <row r="1522">
          <cell r="A1522" t="str">
            <v>IKN401254</v>
          </cell>
          <cell r="B1522">
            <v>1252</v>
          </cell>
          <cell r="C1522" t="str">
            <v>Institut Kanser Negara</v>
          </cell>
          <cell r="D1522" t="str">
            <v>KKM/IKN/R/15/96</v>
          </cell>
          <cell r="E1522" t="str">
            <v>15-663</v>
          </cell>
          <cell r="F1522" t="str">
            <v>Pipetters</v>
          </cell>
          <cell r="G1522" t="str">
            <v>LA</v>
          </cell>
          <cell r="H1522" t="str">
            <v>PATHOLOGY</v>
          </cell>
          <cell r="I1522" t="str">
            <v>04LA140</v>
          </cell>
          <cell r="J1522" t="str">
            <v>BLOOD BANK</v>
          </cell>
          <cell r="K1522" t="str">
            <v>BMED</v>
          </cell>
          <cell r="L1522" t="str">
            <v>Normal</v>
          </cell>
          <cell r="M1522" t="str">
            <v>Germany</v>
          </cell>
          <cell r="N1522" t="str">
            <v>Eppendorf</v>
          </cell>
          <cell r="O1522" t="str">
            <v>Eppendorf Research Pro</v>
          </cell>
          <cell r="P1522" t="str">
            <v>K29814E</v>
          </cell>
          <cell r="Q1522" t="str">
            <v>Not Applicable</v>
          </cell>
          <cell r="R1522" t="str">
            <v>Eppendorf AG</v>
          </cell>
          <cell r="S1522" t="str">
            <v>MEDIGENE SDN BHD</v>
          </cell>
          <cell r="T1522" t="str">
            <v>Functioning</v>
          </cell>
          <cell r="U1522" t="str">
            <v>Asset</v>
          </cell>
          <cell r="V1522">
            <v>825</v>
          </cell>
          <cell r="W1522" t="str">
            <v>KEW</v>
          </cell>
          <cell r="X1522" t="str">
            <v>06/10/2015</v>
          </cell>
          <cell r="Y1522" t="str">
            <v>KEW</v>
          </cell>
          <cell r="Z1522" t="str">
            <v>16/10/2015</v>
          </cell>
          <cell r="AA1522" t="str">
            <v>15/10/2018</v>
          </cell>
          <cell r="AB1522" t="str">
            <v>No</v>
          </cell>
          <cell r="AC1522" t="str">
            <v>16/10/2015</v>
          </cell>
          <cell r="AD1522" t="str">
            <v>Good</v>
          </cell>
          <cell r="AE1522" t="str">
            <v>V3 - Added Installed Facilities (New)</v>
          </cell>
          <cell r="AF1522">
            <v>42677</v>
          </cell>
          <cell r="AG1522">
            <v>4.08</v>
          </cell>
          <cell r="AH1522" t="str">
            <v>PPM</v>
          </cell>
          <cell r="AI1522" t="str">
            <v>Strands</v>
          </cell>
          <cell r="AJ1522" t="str">
            <v>Strands PW</v>
          </cell>
          <cell r="AK1522" t="str">
            <v>SNF received. 1st batch of V3 asset (December 2020)</v>
          </cell>
        </row>
        <row r="1523">
          <cell r="A1523" t="str">
            <v>IKN401255</v>
          </cell>
          <cell r="B1523">
            <v>1253</v>
          </cell>
          <cell r="C1523" t="str">
            <v>Institut Kanser Negara</v>
          </cell>
          <cell r="D1523" t="str">
            <v>KKM/IKN/R/15/97</v>
          </cell>
          <cell r="E1523" t="str">
            <v>15-663</v>
          </cell>
          <cell r="F1523" t="str">
            <v>Pipetters</v>
          </cell>
          <cell r="G1523" t="str">
            <v>LA</v>
          </cell>
          <cell r="H1523" t="str">
            <v>PATHOLOGY</v>
          </cell>
          <cell r="I1523" t="str">
            <v>04LA140</v>
          </cell>
          <cell r="J1523" t="str">
            <v>BLOOD BANK</v>
          </cell>
          <cell r="K1523" t="str">
            <v>BMED</v>
          </cell>
          <cell r="L1523" t="str">
            <v>Normal</v>
          </cell>
          <cell r="M1523" t="str">
            <v>Germany</v>
          </cell>
          <cell r="N1523" t="str">
            <v>Eppendorf</v>
          </cell>
          <cell r="O1523" t="str">
            <v>Eppendorf Research Pro</v>
          </cell>
          <cell r="P1523" t="str">
            <v>K29968E</v>
          </cell>
          <cell r="Q1523" t="str">
            <v>Not Applicable</v>
          </cell>
          <cell r="R1523" t="str">
            <v>Eppendorf AG</v>
          </cell>
          <cell r="S1523" t="str">
            <v>MEDIGENE SDN BHD</v>
          </cell>
          <cell r="T1523" t="str">
            <v>Functioning</v>
          </cell>
          <cell r="U1523" t="str">
            <v>Asset</v>
          </cell>
          <cell r="V1523">
            <v>825</v>
          </cell>
          <cell r="W1523" t="str">
            <v>KEW</v>
          </cell>
          <cell r="X1523" t="str">
            <v>06/10/2015</v>
          </cell>
          <cell r="Y1523" t="str">
            <v>KEW</v>
          </cell>
          <cell r="Z1523" t="str">
            <v>16/10/2015</v>
          </cell>
          <cell r="AA1523" t="str">
            <v>15/10/2018</v>
          </cell>
          <cell r="AB1523" t="str">
            <v>No</v>
          </cell>
          <cell r="AC1523" t="str">
            <v>16/10/2015</v>
          </cell>
          <cell r="AD1523" t="str">
            <v>Good</v>
          </cell>
          <cell r="AE1523" t="str">
            <v>V3 - Added Installed Facilities (New)</v>
          </cell>
          <cell r="AF1523">
            <v>42677</v>
          </cell>
          <cell r="AG1523">
            <v>4.08</v>
          </cell>
          <cell r="AH1523" t="str">
            <v>PPM</v>
          </cell>
          <cell r="AI1523" t="str">
            <v>Strands</v>
          </cell>
          <cell r="AJ1523" t="str">
            <v>Strands PW</v>
          </cell>
          <cell r="AK1523" t="str">
            <v>SNF received. 1st batch of V3 asset (December 2020)</v>
          </cell>
        </row>
        <row r="1524">
          <cell r="A1524" t="str">
            <v>IKN401256</v>
          </cell>
          <cell r="B1524">
            <v>1254</v>
          </cell>
          <cell r="C1524" t="str">
            <v>Institut Kanser Negara</v>
          </cell>
          <cell r="D1524" t="str">
            <v>KKM/IKN/H/15/90</v>
          </cell>
          <cell r="E1524" t="str">
            <v>16-173</v>
          </cell>
          <cell r="F1524" t="str">
            <v>Sphygmomanometers, Electronic, Automatic</v>
          </cell>
          <cell r="G1524" t="str">
            <v>NM</v>
          </cell>
          <cell r="H1524" t="str">
            <v>NUCLEAR MED (DIAGNOSTIC)</v>
          </cell>
          <cell r="I1524" t="str">
            <v>03NM108</v>
          </cell>
          <cell r="J1524" t="str">
            <v>TREATMENT 1 (RAI)(VE)</v>
          </cell>
          <cell r="K1524" t="str">
            <v>BMED</v>
          </cell>
          <cell r="L1524" t="str">
            <v>Critical</v>
          </cell>
          <cell r="M1524" t="str">
            <v>USA</v>
          </cell>
          <cell r="N1524" t="str">
            <v>Welch Allyn</v>
          </cell>
          <cell r="O1524" t="str">
            <v>Connex ProBP 3400</v>
          </cell>
          <cell r="P1524" t="str">
            <v>100052552315</v>
          </cell>
          <cell r="Q1524" t="str">
            <v>N/A</v>
          </cell>
          <cell r="R1524" t="str">
            <v>Welch Allyn Inc</v>
          </cell>
          <cell r="S1524" t="str">
            <v>BACO MEDICARE SDN BHD</v>
          </cell>
          <cell r="T1524" t="str">
            <v>Functioning</v>
          </cell>
          <cell r="U1524" t="str">
            <v>Asset</v>
          </cell>
          <cell r="V1524">
            <v>1876.15</v>
          </cell>
          <cell r="W1524" t="str">
            <v>KEW</v>
          </cell>
          <cell r="X1524" t="str">
            <v>15/06/2015</v>
          </cell>
          <cell r="Y1524" t="str">
            <v>KEW</v>
          </cell>
          <cell r="Z1524" t="str">
            <v>04/09/2015</v>
          </cell>
          <cell r="AA1524" t="str">
            <v>03/09/2016</v>
          </cell>
          <cell r="AB1524" t="str">
            <v>No</v>
          </cell>
          <cell r="AC1524" t="str">
            <v>04/09/2015</v>
          </cell>
          <cell r="AD1524" t="str">
            <v>Good</v>
          </cell>
          <cell r="AE1524" t="str">
            <v>V3 - Added Installed Facilities (New)</v>
          </cell>
          <cell r="AF1524">
            <v>42706</v>
          </cell>
          <cell r="AG1524">
            <v>4.42</v>
          </cell>
          <cell r="AH1524" t="str">
            <v>PPM</v>
          </cell>
          <cell r="AI1524" t="str">
            <v>Not in contract</v>
          </cell>
          <cell r="AJ1524" t="str">
            <v>Proposed for V3 P2.23</v>
          </cell>
          <cell r="AK1524" t="str">
            <v>KKM follow P2.23 list.</v>
          </cell>
        </row>
        <row r="1525">
          <cell r="A1525" t="str">
            <v>IKN401257</v>
          </cell>
          <cell r="B1525">
            <v>1255</v>
          </cell>
          <cell r="C1525" t="str">
            <v>Institut Kanser Negara</v>
          </cell>
          <cell r="D1525" t="str">
            <v>KKM/IKN/H/15/89</v>
          </cell>
          <cell r="E1525" t="str">
            <v>16-173</v>
          </cell>
          <cell r="F1525" t="str">
            <v>Sphygmomanometers, Electronic, Automatic</v>
          </cell>
          <cell r="G1525" t="str">
            <v>NM</v>
          </cell>
          <cell r="H1525" t="str">
            <v>NUCLEAR MED (DIAGNOSTIC)</v>
          </cell>
          <cell r="I1525" t="str">
            <v>03NM109</v>
          </cell>
          <cell r="J1525" t="str">
            <v>TREATMENT 2 (RAS) (-VE)</v>
          </cell>
          <cell r="K1525" t="str">
            <v>BMED</v>
          </cell>
          <cell r="L1525" t="str">
            <v>Critical</v>
          </cell>
          <cell r="M1525" t="str">
            <v>USA</v>
          </cell>
          <cell r="N1525" t="str">
            <v>Welch Allyn</v>
          </cell>
          <cell r="O1525" t="str">
            <v>Connex ProBP 3400</v>
          </cell>
          <cell r="P1525" t="str">
            <v>100048492215</v>
          </cell>
          <cell r="Q1525" t="str">
            <v>N/A</v>
          </cell>
          <cell r="R1525" t="str">
            <v>Welch Allyn Inc</v>
          </cell>
          <cell r="S1525" t="str">
            <v>BACO MEDICARE SDN BHD</v>
          </cell>
          <cell r="T1525" t="str">
            <v>Functioning</v>
          </cell>
          <cell r="U1525" t="str">
            <v>Asset</v>
          </cell>
          <cell r="V1525">
            <v>1876.15</v>
          </cell>
          <cell r="W1525" t="str">
            <v>KEW</v>
          </cell>
          <cell r="X1525" t="str">
            <v>15/06/2015</v>
          </cell>
          <cell r="Y1525" t="str">
            <v>KEW</v>
          </cell>
          <cell r="Z1525" t="str">
            <v>04/09/2015</v>
          </cell>
          <cell r="AA1525" t="str">
            <v>03/09/2016</v>
          </cell>
          <cell r="AB1525" t="str">
            <v>No</v>
          </cell>
          <cell r="AC1525" t="str">
            <v>04/09/2015</v>
          </cell>
          <cell r="AD1525" t="str">
            <v>Good</v>
          </cell>
          <cell r="AE1525" t="str">
            <v>V3 - Added Installed Facilities (New)</v>
          </cell>
          <cell r="AF1525">
            <v>42706</v>
          </cell>
          <cell r="AG1525">
            <v>4.42</v>
          </cell>
          <cell r="AH1525" t="str">
            <v>PPM</v>
          </cell>
          <cell r="AI1525" t="str">
            <v>Not in contract</v>
          </cell>
          <cell r="AJ1525" t="str">
            <v>Proposed for V3 P2.23</v>
          </cell>
          <cell r="AK1525" t="str">
            <v>KKM follow P2.23 list.</v>
          </cell>
        </row>
        <row r="1526">
          <cell r="A1526" t="str">
            <v>IKN401258</v>
          </cell>
          <cell r="B1526">
            <v>1256</v>
          </cell>
          <cell r="C1526" t="str">
            <v>Institut Kanser Negara</v>
          </cell>
          <cell r="D1526" t="str">
            <v>KKM/IKN/H/15/91</v>
          </cell>
          <cell r="E1526" t="str">
            <v>16-173</v>
          </cell>
          <cell r="F1526" t="str">
            <v>Sphygmomanometers, Electronic, Automatic</v>
          </cell>
          <cell r="G1526" t="str">
            <v>NM</v>
          </cell>
          <cell r="H1526" t="str">
            <v>NUCLEAR MED (DIAGNOSTIC)</v>
          </cell>
          <cell r="I1526" t="str">
            <v>03NM182</v>
          </cell>
          <cell r="J1526" t="str">
            <v>C/E 5 (VE)</v>
          </cell>
          <cell r="K1526" t="str">
            <v>BMED</v>
          </cell>
          <cell r="L1526" t="str">
            <v>Critical</v>
          </cell>
          <cell r="M1526" t="str">
            <v>USA</v>
          </cell>
          <cell r="N1526" t="str">
            <v>Welch Allyn</v>
          </cell>
          <cell r="O1526" t="str">
            <v>Connex ProBP 3400</v>
          </cell>
          <cell r="P1526" t="str">
            <v>100028231215</v>
          </cell>
          <cell r="Q1526" t="str">
            <v>N/A</v>
          </cell>
          <cell r="R1526" t="str">
            <v>Welch Allyn Inc</v>
          </cell>
          <cell r="S1526" t="str">
            <v>BACO MEDICARS SDN BHD</v>
          </cell>
          <cell r="T1526" t="str">
            <v>Functioning</v>
          </cell>
          <cell r="U1526" t="str">
            <v>Asset</v>
          </cell>
          <cell r="V1526">
            <v>1876.15</v>
          </cell>
          <cell r="W1526" t="str">
            <v>KEW</v>
          </cell>
          <cell r="X1526" t="str">
            <v>15/06/2015</v>
          </cell>
          <cell r="Y1526" t="str">
            <v>KEW</v>
          </cell>
          <cell r="Z1526" t="str">
            <v>04/09/2015</v>
          </cell>
          <cell r="AA1526" t="str">
            <v>03/09/2016</v>
          </cell>
          <cell r="AB1526" t="str">
            <v>No</v>
          </cell>
          <cell r="AC1526" t="str">
            <v>04/09/2015</v>
          </cell>
          <cell r="AD1526" t="str">
            <v>Good</v>
          </cell>
          <cell r="AE1526" t="str">
            <v>V3 - Added Installed Facilities (New)</v>
          </cell>
          <cell r="AF1526">
            <v>42327</v>
          </cell>
          <cell r="AG1526">
            <v>4.42</v>
          </cell>
          <cell r="AH1526" t="str">
            <v>PPM</v>
          </cell>
          <cell r="AI1526" t="str">
            <v>Not in contract</v>
          </cell>
          <cell r="AJ1526" t="str">
            <v>Proposed for V3 P2.23</v>
          </cell>
          <cell r="AK1526" t="str">
            <v>KKM follow P2.23 list.</v>
          </cell>
        </row>
        <row r="1527">
          <cell r="A1527" t="str">
            <v>IKN401259</v>
          </cell>
          <cell r="B1527">
            <v>1257</v>
          </cell>
          <cell r="C1527" t="str">
            <v>Institut Kanser Negara</v>
          </cell>
          <cell r="D1527" t="str">
            <v>KKM/IKN/H/15/18</v>
          </cell>
          <cell r="E1527" t="str">
            <v>15-045</v>
          </cell>
          <cell r="F1527" t="str">
            <v>Nebulizers, Nonheated</v>
          </cell>
          <cell r="G1527" t="str">
            <v>NM</v>
          </cell>
          <cell r="H1527" t="str">
            <v>NUCLEAR MED (DIAGNOSTIC)</v>
          </cell>
          <cell r="I1527" t="str">
            <v>03NM108</v>
          </cell>
          <cell r="J1527" t="str">
            <v>TREATMENT 1 (RAI)(VE)</v>
          </cell>
          <cell r="K1527" t="str">
            <v>BMED</v>
          </cell>
          <cell r="L1527" t="str">
            <v>Normal</v>
          </cell>
          <cell r="M1527" t="str">
            <v>Germany</v>
          </cell>
          <cell r="N1527" t="str">
            <v>Pari Boy</v>
          </cell>
          <cell r="O1527" t="str">
            <v>Pari Boy SX 085</v>
          </cell>
          <cell r="P1527" t="str">
            <v>2W15F02845</v>
          </cell>
          <cell r="Q1527" t="str">
            <v>.</v>
          </cell>
          <cell r="R1527" t="str">
            <v>Pari GmbH</v>
          </cell>
          <cell r="S1527" t="str">
            <v>WELCH ALLYN (M) SDN BHD</v>
          </cell>
          <cell r="T1527" t="str">
            <v>Functioning</v>
          </cell>
          <cell r="U1527" t="str">
            <v>Asset</v>
          </cell>
          <cell r="V1527">
            <v>2347.1999999999998</v>
          </cell>
          <cell r="W1527" t="str">
            <v>KEW</v>
          </cell>
          <cell r="X1527" t="str">
            <v>15/06/2015</v>
          </cell>
          <cell r="Y1527" t="str">
            <v>KEW</v>
          </cell>
          <cell r="Z1527" t="str">
            <v>04/09/2015</v>
          </cell>
          <cell r="AA1527" t="str">
            <v>03/09/2016</v>
          </cell>
          <cell r="AB1527" t="str">
            <v>No</v>
          </cell>
          <cell r="AC1527" t="str">
            <v>04/09/2015</v>
          </cell>
          <cell r="AD1527" t="str">
            <v>Good</v>
          </cell>
          <cell r="AE1527" t="str">
            <v>V3 - Added Installed Facilities (New)</v>
          </cell>
          <cell r="AF1527">
            <v>42397</v>
          </cell>
          <cell r="AG1527">
            <v>4.42</v>
          </cell>
          <cell r="AH1527" t="str">
            <v>PPM</v>
          </cell>
          <cell r="AI1527" t="str">
            <v>Strands</v>
          </cell>
          <cell r="AJ1527" t="str">
            <v>Strands PW</v>
          </cell>
          <cell r="AK1527" t="str">
            <v>SNF received. 1st batch of V3 asset (December 2020)</v>
          </cell>
        </row>
        <row r="1528">
          <cell r="A1528" t="str">
            <v>IKN401260</v>
          </cell>
          <cell r="B1528">
            <v>1258</v>
          </cell>
          <cell r="C1528" t="str">
            <v>Institut Kanser Negara</v>
          </cell>
          <cell r="D1528" t="str">
            <v>KKM/IKN/H/13/439</v>
          </cell>
          <cell r="E1528" t="str">
            <v>18-147</v>
          </cell>
          <cell r="F1528" t="str">
            <v>Mattress Systems, Alternating-Pressure</v>
          </cell>
          <cell r="G1528" t="str">
            <v>WB</v>
          </cell>
          <cell r="H1528" t="str">
            <v>SURGICAL ONCO MALE WARD</v>
          </cell>
          <cell r="I1528" t="str">
            <v>05WB113</v>
          </cell>
          <cell r="J1528" t="str">
            <v>EQUIP. ROOM</v>
          </cell>
          <cell r="K1528" t="str">
            <v>BMED</v>
          </cell>
          <cell r="L1528" t="str">
            <v>Normal</v>
          </cell>
          <cell r="M1528" t="str">
            <v>Poland</v>
          </cell>
          <cell r="N1528" t="str">
            <v>Nimbus</v>
          </cell>
          <cell r="O1528" t="str">
            <v>Nimbus 3</v>
          </cell>
          <cell r="P1528" t="str">
            <v>1200005122</v>
          </cell>
          <cell r="Q1528" t="str">
            <v>NA</v>
          </cell>
          <cell r="R1528" t="str">
            <v>Arjohuntleigh</v>
          </cell>
          <cell r="S1528" t="str">
            <v>HEXAMINE SDN BHD</v>
          </cell>
          <cell r="T1528" t="str">
            <v>Functioning</v>
          </cell>
          <cell r="U1528" t="str">
            <v>Asset</v>
          </cell>
          <cell r="V1528">
            <v>28630</v>
          </cell>
          <cell r="W1528" t="str">
            <v>KEW</v>
          </cell>
          <cell r="X1528" t="str">
            <v>01/09/2010</v>
          </cell>
          <cell r="Y1528" t="str">
            <v>KEW</v>
          </cell>
          <cell r="Z1528" t="str">
            <v>16/08/2013</v>
          </cell>
          <cell r="AA1528" t="str">
            <v>15/08/2015</v>
          </cell>
          <cell r="AB1528" t="str">
            <v>No</v>
          </cell>
          <cell r="AC1528" t="str">
            <v>31/08/2013</v>
          </cell>
          <cell r="AD1528" t="str">
            <v>Good</v>
          </cell>
          <cell r="AE1528" t="str">
            <v>V1 - Existing / No Claim</v>
          </cell>
          <cell r="AF1528">
            <v>42398</v>
          </cell>
          <cell r="AG1528">
            <v>9.17</v>
          </cell>
          <cell r="AH1528" t="str">
            <v>PPM</v>
          </cell>
          <cell r="AI1528" t="str">
            <v>Strands</v>
          </cell>
          <cell r="AJ1528" t="str">
            <v>Strands PW</v>
          </cell>
          <cell r="AK1528" t="str">
            <v>SNF received. 1st batch of V3 asset (December 2020)</v>
          </cell>
        </row>
        <row r="1529">
          <cell r="A1529" t="str">
            <v>IKN401261</v>
          </cell>
          <cell r="B1529">
            <v>1259</v>
          </cell>
          <cell r="C1529" t="str">
            <v>Institut Kanser Negara</v>
          </cell>
          <cell r="D1529" t="str">
            <v>KKM/IKN/H/13/436</v>
          </cell>
          <cell r="E1529" t="str">
            <v>18-147</v>
          </cell>
          <cell r="F1529" t="str">
            <v>Mattress Systems, Alternating-Pressure</v>
          </cell>
          <cell r="G1529" t="str">
            <v>WB</v>
          </cell>
          <cell r="H1529" t="str">
            <v>SURGICAL ONCO MALE WARD</v>
          </cell>
          <cell r="I1529" t="str">
            <v>05WB113</v>
          </cell>
          <cell r="J1529" t="str">
            <v>EQUIP. ROOM</v>
          </cell>
          <cell r="K1529" t="str">
            <v>BMED</v>
          </cell>
          <cell r="L1529" t="str">
            <v>Normal</v>
          </cell>
          <cell r="M1529" t="str">
            <v>Poland</v>
          </cell>
          <cell r="N1529" t="str">
            <v>Nimbus</v>
          </cell>
          <cell r="O1529" t="str">
            <v>Nimbus 3</v>
          </cell>
          <cell r="P1529" t="str">
            <v>1200005121</v>
          </cell>
          <cell r="Q1529" t="str">
            <v>Arjohuntleigh</v>
          </cell>
          <cell r="R1529" t="str">
            <v>HEXAMINE SDN BHD</v>
          </cell>
          <cell r="S1529" t="str">
            <v>Functioning</v>
          </cell>
          <cell r="T1529" t="str">
            <v>Functioning</v>
          </cell>
          <cell r="U1529" t="str">
            <v>KEW</v>
          </cell>
          <cell r="V1529">
            <v>28630</v>
          </cell>
          <cell r="W1529" t="str">
            <v>01/09/2010</v>
          </cell>
          <cell r="X1529" t="str">
            <v>KEW</v>
          </cell>
          <cell r="Y1529">
            <v>41502</v>
          </cell>
          <cell r="Z1529" t="str">
            <v>15/08/2015</v>
          </cell>
          <cell r="AA1529" t="str">
            <v>No</v>
          </cell>
          <cell r="AB1529" t="str">
            <v>31/08/2013</v>
          </cell>
          <cell r="AC1529" t="str">
            <v>Good</v>
          </cell>
          <cell r="AD1529" t="str">
            <v>V1 - Existing / No Claim</v>
          </cell>
          <cell r="AE1529">
            <v>42788</v>
          </cell>
          <cell r="AF1529" t="str">
            <v>NA</v>
          </cell>
          <cell r="AG1529">
            <v>9.17</v>
          </cell>
          <cell r="AH1529" t="str">
            <v>PPM</v>
          </cell>
          <cell r="AI1529" t="str">
            <v>Strands</v>
          </cell>
          <cell r="AJ1529" t="str">
            <v>Strands PW</v>
          </cell>
        </row>
        <row r="1530">
          <cell r="A1530" t="str">
            <v>IKN401265</v>
          </cell>
          <cell r="B1530">
            <v>1261</v>
          </cell>
          <cell r="C1530" t="str">
            <v>Institut Kanser Negara</v>
          </cell>
          <cell r="D1530" t="str">
            <v>KKM/IKN/H/15/19</v>
          </cell>
          <cell r="E1530" t="str">
            <v>16-231</v>
          </cell>
          <cell r="F1530" t="str">
            <v>Electrocardiographs, Multichannel, Interpretative</v>
          </cell>
          <cell r="G1530" t="str">
            <v>RT</v>
          </cell>
          <cell r="H1530" t="str">
            <v>RADIATION TREATMENT UNIT</v>
          </cell>
          <cell r="I1530" t="str">
            <v>01RT202</v>
          </cell>
          <cell r="J1530" t="str">
            <v>CLEAN UTILITY</v>
          </cell>
          <cell r="K1530" t="str">
            <v>BMED</v>
          </cell>
          <cell r="L1530" t="str">
            <v>Critical</v>
          </cell>
          <cell r="M1530" t="str">
            <v>Japan</v>
          </cell>
          <cell r="N1530" t="str">
            <v>Cardimax</v>
          </cell>
          <cell r="O1530" t="str">
            <v>Cardimax FX-7202</v>
          </cell>
          <cell r="P1530" t="str">
            <v>22028866</v>
          </cell>
          <cell r="Q1530" t="str">
            <v>N/A</v>
          </cell>
          <cell r="R1530" t="str">
            <v>Fukuda Denshi Co Ltd</v>
          </cell>
          <cell r="S1530" t="str">
            <v>SURIA MEDIK SDN BHD</v>
          </cell>
          <cell r="T1530" t="str">
            <v>Functioning</v>
          </cell>
          <cell r="U1530" t="str">
            <v>Asset</v>
          </cell>
          <cell r="V1530">
            <v>6000</v>
          </cell>
          <cell r="W1530" t="str">
            <v>KEW</v>
          </cell>
          <cell r="X1530" t="str">
            <v>04/06/2015</v>
          </cell>
          <cell r="Y1530" t="str">
            <v>KEW</v>
          </cell>
          <cell r="Z1530" t="str">
            <v>21/09/2015</v>
          </cell>
          <cell r="AA1530" t="str">
            <v>20/09/2016</v>
          </cell>
          <cell r="AB1530" t="str">
            <v>No</v>
          </cell>
          <cell r="AC1530" t="str">
            <v>21/09/2015</v>
          </cell>
          <cell r="AD1530" t="str">
            <v>Good</v>
          </cell>
          <cell r="AE1530" t="str">
            <v>V3 - Added Installed Facilities (New)</v>
          </cell>
          <cell r="AF1530">
            <v>42677</v>
          </cell>
          <cell r="AG1530">
            <v>4.42</v>
          </cell>
          <cell r="AH1530" t="str">
            <v>PPM</v>
          </cell>
          <cell r="AI1530" t="str">
            <v>Strands</v>
          </cell>
          <cell r="AJ1530" t="str">
            <v>Strands PW</v>
          </cell>
          <cell r="AK1530" t="str">
            <v>SNF received. 1st batch of V3 asset (December 2020)</v>
          </cell>
        </row>
        <row r="1531">
          <cell r="A1531" t="str">
            <v>IKN401266</v>
          </cell>
          <cell r="B1531">
            <v>1262</v>
          </cell>
          <cell r="C1531" t="str">
            <v>Institut Kanser Negara</v>
          </cell>
          <cell r="D1531" t="str">
            <v>KKM/IKN/R/15/98</v>
          </cell>
          <cell r="E1531" t="str">
            <v>15-663</v>
          </cell>
          <cell r="F1531" t="str">
            <v>Pipetters</v>
          </cell>
          <cell r="G1531" t="str">
            <v>LA</v>
          </cell>
          <cell r="H1531" t="str">
            <v>PATHOLOGY</v>
          </cell>
          <cell r="I1531" t="str">
            <v>04LA140</v>
          </cell>
          <cell r="J1531" t="str">
            <v>BLOOD BANK</v>
          </cell>
          <cell r="K1531" t="str">
            <v>BMED</v>
          </cell>
          <cell r="L1531" t="str">
            <v>Normal</v>
          </cell>
          <cell r="M1531" t="str">
            <v>Germany</v>
          </cell>
          <cell r="N1531" t="str">
            <v>Eppendorf</v>
          </cell>
          <cell r="O1531" t="str">
            <v>Eppendorf Research Pro</v>
          </cell>
          <cell r="P1531" t="str">
            <v>K29921E</v>
          </cell>
          <cell r="Q1531" t="str">
            <v>Not Applicable</v>
          </cell>
          <cell r="R1531" t="str">
            <v>Eppendorf AG</v>
          </cell>
          <cell r="S1531" t="str">
            <v>MEDIGENE SDN BHD</v>
          </cell>
          <cell r="T1531" t="str">
            <v>Functioning</v>
          </cell>
          <cell r="U1531" t="str">
            <v>Asset</v>
          </cell>
          <cell r="V1531">
            <v>825</v>
          </cell>
          <cell r="W1531" t="str">
            <v>KEW</v>
          </cell>
          <cell r="X1531" t="str">
            <v>06/10/2015</v>
          </cell>
          <cell r="Y1531" t="str">
            <v>KEW</v>
          </cell>
          <cell r="Z1531" t="str">
            <v>16/10/2015</v>
          </cell>
          <cell r="AA1531" t="str">
            <v>16/10/2018</v>
          </cell>
          <cell r="AB1531" t="str">
            <v>No</v>
          </cell>
          <cell r="AC1531" t="str">
            <v>16/10/2015</v>
          </cell>
          <cell r="AD1531" t="str">
            <v>Good</v>
          </cell>
          <cell r="AE1531" t="str">
            <v>V3 - Added Installed Facilities (New)</v>
          </cell>
          <cell r="AF1531">
            <v>42327</v>
          </cell>
          <cell r="AG1531">
            <v>4.08</v>
          </cell>
          <cell r="AH1531" t="str">
            <v>PPM</v>
          </cell>
          <cell r="AI1531" t="str">
            <v>Strands</v>
          </cell>
          <cell r="AJ1531" t="str">
            <v>Strands PW</v>
          </cell>
          <cell r="AK1531" t="str">
            <v>SNF received. 1st batch of V3 asset (December 2020)</v>
          </cell>
        </row>
        <row r="1532">
          <cell r="A1532" t="str">
            <v>IKN401273</v>
          </cell>
          <cell r="B1532">
            <v>1269</v>
          </cell>
          <cell r="C1532" t="str">
            <v>Institut Kanser Negara</v>
          </cell>
          <cell r="D1532" t="str">
            <v>KKM/IKN/H/13/4952 - 04</v>
          </cell>
          <cell r="E1532" t="str">
            <v>15-605</v>
          </cell>
          <cell r="F1532" t="str">
            <v>Testers</v>
          </cell>
          <cell r="G1532" t="str">
            <v>RT</v>
          </cell>
          <cell r="H1532" t="str">
            <v>RADIATION TREATMENT UNIT</v>
          </cell>
          <cell r="I1532" t="str">
            <v>01RT213</v>
          </cell>
          <cell r="J1532" t="str">
            <v>EQUIPMENT ROOM1</v>
          </cell>
          <cell r="K1532" t="str">
            <v>BMED</v>
          </cell>
          <cell r="L1532" t="str">
            <v>Normal</v>
          </cell>
          <cell r="M1532" t="str">
            <v>Germany</v>
          </cell>
          <cell r="N1532" t="str">
            <v>Various</v>
          </cell>
          <cell r="O1532" t="str">
            <v>IBA Dosimetry GMBH</v>
          </cell>
          <cell r="P1532" t="str">
            <v>11708</v>
          </cell>
          <cell r="Q1532" t="str">
            <v>Not Available</v>
          </cell>
          <cell r="R1532" t="str">
            <v>IBA</v>
          </cell>
          <cell r="S1532" t="str">
            <v>Delta Advantech (M) Sdn. Bhd</v>
          </cell>
          <cell r="T1532" t="str">
            <v>Functioning</v>
          </cell>
          <cell r="U1532" t="str">
            <v>Asset</v>
          </cell>
          <cell r="V1532">
            <v>40000</v>
          </cell>
          <cell r="W1532" t="str">
            <v>KEW</v>
          </cell>
          <cell r="X1532" t="str">
            <v>01/09/2010</v>
          </cell>
          <cell r="Y1532" t="str">
            <v>KEW</v>
          </cell>
          <cell r="Z1532" t="str">
            <v>16/08/2013</v>
          </cell>
          <cell r="AA1532" t="str">
            <v>15/08/2015</v>
          </cell>
          <cell r="AB1532" t="str">
            <v>No</v>
          </cell>
          <cell r="AC1532" t="str">
            <v>16/08/2013</v>
          </cell>
          <cell r="AD1532" t="str">
            <v>Good</v>
          </cell>
          <cell r="AE1532" t="str">
            <v>V3 - Added Installed Facilities (New)</v>
          </cell>
          <cell r="AF1532">
            <v>42668</v>
          </cell>
          <cell r="AG1532">
            <v>9.17</v>
          </cell>
          <cell r="AH1532" t="str">
            <v>PPM</v>
          </cell>
          <cell r="AI1532" t="str">
            <v>Strands</v>
          </cell>
          <cell r="AJ1532" t="str">
            <v>Strands PW</v>
          </cell>
          <cell r="AK1532" t="str">
            <v>SNF received. 1st batch of V3 asset (December 2020)</v>
          </cell>
        </row>
        <row r="1533">
          <cell r="A1533" t="str">
            <v>IKN401274</v>
          </cell>
          <cell r="B1533">
            <v>1270</v>
          </cell>
          <cell r="C1533" t="str">
            <v>Institut Kanser Negara</v>
          </cell>
          <cell r="D1533" t="str">
            <v>KKM/IKN/H/13/4952</v>
          </cell>
          <cell r="E1533" t="str">
            <v>15-605</v>
          </cell>
          <cell r="F1533" t="str">
            <v>Testers</v>
          </cell>
          <cell r="G1533" t="str">
            <v>RT</v>
          </cell>
          <cell r="H1533" t="str">
            <v>RADIATION TREATMENT UNIT</v>
          </cell>
          <cell r="I1533" t="str">
            <v>01RT213</v>
          </cell>
          <cell r="J1533" t="str">
            <v>EQUIPMENT ROOM1</v>
          </cell>
          <cell r="K1533" t="str">
            <v>BMED</v>
          </cell>
          <cell r="L1533" t="str">
            <v>Normal</v>
          </cell>
          <cell r="M1533" t="str">
            <v>Germany</v>
          </cell>
          <cell r="N1533" t="str">
            <v>IBA</v>
          </cell>
          <cell r="O1533" t="str">
            <v>MagicMAX</v>
          </cell>
          <cell r="P1533" t="str">
            <v>11755</v>
          </cell>
          <cell r="Q1533" t="str">
            <v>Not Available</v>
          </cell>
          <cell r="R1533" t="str">
            <v>IBA</v>
          </cell>
          <cell r="S1533" t="str">
            <v>Delta Advantech (M) Sdn. Bhd</v>
          </cell>
          <cell r="T1533" t="str">
            <v>Functioning</v>
          </cell>
          <cell r="U1533" t="str">
            <v>Asset</v>
          </cell>
          <cell r="V1533">
            <v>40000</v>
          </cell>
          <cell r="W1533" t="str">
            <v>KEW</v>
          </cell>
          <cell r="X1533" t="str">
            <v>01/09/2010</v>
          </cell>
          <cell r="Y1533" t="str">
            <v>KEW</v>
          </cell>
          <cell r="Z1533" t="str">
            <v>16/08/2013</v>
          </cell>
          <cell r="AA1533" t="str">
            <v>15/08/2015</v>
          </cell>
          <cell r="AB1533" t="str">
            <v>No</v>
          </cell>
          <cell r="AC1533" t="str">
            <v>16/08/2013</v>
          </cell>
          <cell r="AD1533" t="str">
            <v>Good</v>
          </cell>
          <cell r="AE1533" t="str">
            <v>V3 - Added Installed Facilities (New)</v>
          </cell>
          <cell r="AF1533">
            <v>42668</v>
          </cell>
          <cell r="AG1533">
            <v>9.17</v>
          </cell>
          <cell r="AH1533" t="str">
            <v>PPM</v>
          </cell>
          <cell r="AI1533" t="str">
            <v>Strands</v>
          </cell>
          <cell r="AJ1533" t="str">
            <v>Strands PW</v>
          </cell>
          <cell r="AK1533" t="str">
            <v>SNF received. 1st batch of V3 asset (December 2020)</v>
          </cell>
        </row>
        <row r="1534">
          <cell r="A1534" t="str">
            <v>IKN401275</v>
          </cell>
          <cell r="B1534">
            <v>1271</v>
          </cell>
          <cell r="C1534" t="str">
            <v>Institut Kanser Negara</v>
          </cell>
          <cell r="D1534" t="str">
            <v>KKM/IKN/H/13/4952 - 9</v>
          </cell>
          <cell r="E1534" t="str">
            <v>15-605</v>
          </cell>
          <cell r="F1534" t="str">
            <v>Testers</v>
          </cell>
          <cell r="G1534" t="str">
            <v>RT</v>
          </cell>
          <cell r="H1534" t="str">
            <v>RADIATION TREATMENT UNIT</v>
          </cell>
          <cell r="I1534" t="str">
            <v>01RT213</v>
          </cell>
          <cell r="J1534" t="str">
            <v>EQUIPMENT ROOM1</v>
          </cell>
          <cell r="K1534" t="str">
            <v>BMED</v>
          </cell>
          <cell r="L1534" t="str">
            <v>Normal</v>
          </cell>
          <cell r="M1534" t="str">
            <v>Germany</v>
          </cell>
          <cell r="N1534" t="str">
            <v>Various</v>
          </cell>
          <cell r="O1534" t="str">
            <v>IBA Dosimetry GMBH</v>
          </cell>
          <cell r="P1534" t="str">
            <v>11758</v>
          </cell>
          <cell r="Q1534" t="str">
            <v>Not Available</v>
          </cell>
          <cell r="R1534" t="str">
            <v>IBA</v>
          </cell>
          <cell r="S1534" t="str">
            <v>Delta Advantech (M) Sdn. Bhd</v>
          </cell>
          <cell r="T1534" t="str">
            <v>Functioning</v>
          </cell>
          <cell r="U1534" t="str">
            <v>Asset</v>
          </cell>
          <cell r="V1534">
            <v>40000</v>
          </cell>
          <cell r="W1534" t="str">
            <v>KEW</v>
          </cell>
          <cell r="X1534" t="str">
            <v>01/09/2010</v>
          </cell>
          <cell r="Y1534" t="str">
            <v>KEW</v>
          </cell>
          <cell r="Z1534" t="str">
            <v>16/08/2013</v>
          </cell>
          <cell r="AA1534" t="str">
            <v>15/08/2015</v>
          </cell>
          <cell r="AB1534" t="str">
            <v>No</v>
          </cell>
          <cell r="AC1534" t="str">
            <v>16/08/2013</v>
          </cell>
          <cell r="AD1534" t="str">
            <v>Good</v>
          </cell>
          <cell r="AE1534" t="str">
            <v>V3 - Added Installed Facilities (New)</v>
          </cell>
          <cell r="AF1534">
            <v>42668</v>
          </cell>
          <cell r="AG1534">
            <v>9.17</v>
          </cell>
          <cell r="AH1534" t="str">
            <v>PPM</v>
          </cell>
          <cell r="AI1534" t="str">
            <v>Strands</v>
          </cell>
          <cell r="AJ1534" t="str">
            <v>Strands PW</v>
          </cell>
          <cell r="AK1534" t="str">
            <v>SNF received. 1st batch of V3 asset (December 2020)</v>
          </cell>
        </row>
        <row r="1535">
          <cell r="A1535" t="str">
            <v>IKN401276</v>
          </cell>
          <cell r="B1535">
            <v>1272</v>
          </cell>
          <cell r="C1535" t="str">
            <v>Institut Kanser Negara</v>
          </cell>
          <cell r="D1535" t="str">
            <v>KKM/IKN/H/13/4952 - 07</v>
          </cell>
          <cell r="E1535" t="str">
            <v>15-605</v>
          </cell>
          <cell r="F1535" t="str">
            <v>Testers</v>
          </cell>
          <cell r="G1535" t="str">
            <v>RT</v>
          </cell>
          <cell r="H1535" t="str">
            <v>RADIATION TREATMENT UNIT</v>
          </cell>
          <cell r="I1535" t="str">
            <v>01RT213</v>
          </cell>
          <cell r="J1535" t="str">
            <v>EQUIPMENT ROOM1</v>
          </cell>
          <cell r="K1535" t="str">
            <v>BMED</v>
          </cell>
          <cell r="L1535" t="str">
            <v>Normal</v>
          </cell>
          <cell r="M1535" t="str">
            <v>Germany</v>
          </cell>
          <cell r="N1535" t="str">
            <v>Various</v>
          </cell>
          <cell r="O1535" t="str">
            <v>IBA Dosimetry GMBH</v>
          </cell>
          <cell r="P1535" t="str">
            <v>2626</v>
          </cell>
          <cell r="Q1535" t="str">
            <v>Not Available</v>
          </cell>
          <cell r="R1535" t="str">
            <v>IBA</v>
          </cell>
          <cell r="S1535" t="str">
            <v>Delta Advantech (M) Sdn. Bhd</v>
          </cell>
          <cell r="T1535" t="str">
            <v>Functioning</v>
          </cell>
          <cell r="U1535" t="str">
            <v>Asset</v>
          </cell>
          <cell r="V1535">
            <v>40000</v>
          </cell>
          <cell r="W1535" t="str">
            <v>KEW</v>
          </cell>
          <cell r="X1535" t="str">
            <v>01/09/2010</v>
          </cell>
          <cell r="Y1535" t="str">
            <v>KEW</v>
          </cell>
          <cell r="Z1535" t="str">
            <v>16/08/2013</v>
          </cell>
          <cell r="AA1535" t="str">
            <v>15/08/2015</v>
          </cell>
          <cell r="AB1535" t="str">
            <v>No</v>
          </cell>
          <cell r="AC1535" t="str">
            <v>16/08/2013</v>
          </cell>
          <cell r="AD1535" t="str">
            <v>Good</v>
          </cell>
          <cell r="AE1535" t="str">
            <v>V3 - Added Installed Facilities (New)</v>
          </cell>
          <cell r="AF1535">
            <v>42668</v>
          </cell>
          <cell r="AG1535">
            <v>9.17</v>
          </cell>
          <cell r="AH1535" t="str">
            <v>PPM</v>
          </cell>
          <cell r="AI1535" t="str">
            <v>Strands</v>
          </cell>
          <cell r="AJ1535" t="str">
            <v>Strands PW</v>
          </cell>
          <cell r="AK1535" t="str">
            <v>SNF received. 1st batch of V3 asset (December 2020)</v>
          </cell>
        </row>
        <row r="1536">
          <cell r="A1536" t="str">
            <v>IKN401277</v>
          </cell>
          <cell r="B1536">
            <v>1273</v>
          </cell>
          <cell r="C1536" t="str">
            <v>Institut Kanser Negara</v>
          </cell>
          <cell r="D1536" t="str">
            <v>KKM/IKN/H/13/4952 - 11</v>
          </cell>
          <cell r="E1536" t="str">
            <v>15-605</v>
          </cell>
          <cell r="F1536" t="str">
            <v>Testers</v>
          </cell>
          <cell r="G1536" t="str">
            <v>RT</v>
          </cell>
          <cell r="H1536" t="str">
            <v>RADIATION TREATMENT UNIT</v>
          </cell>
          <cell r="I1536" t="str">
            <v>01RT213</v>
          </cell>
          <cell r="J1536" t="str">
            <v>EQUIPMENT ROOM1</v>
          </cell>
          <cell r="K1536" t="str">
            <v>BMED</v>
          </cell>
          <cell r="L1536" t="str">
            <v>Normal</v>
          </cell>
          <cell r="M1536" t="str">
            <v>Germany</v>
          </cell>
          <cell r="N1536" t="str">
            <v>Various</v>
          </cell>
          <cell r="O1536" t="str">
            <v>IBA Dosimetry GMBH</v>
          </cell>
          <cell r="P1536" t="str">
            <v>11713</v>
          </cell>
          <cell r="Q1536" t="str">
            <v>Not Available</v>
          </cell>
          <cell r="R1536" t="str">
            <v>IBA</v>
          </cell>
          <cell r="S1536" t="str">
            <v>Delta Advantech (M) Sdn. Bhd</v>
          </cell>
          <cell r="T1536" t="str">
            <v>Functioning</v>
          </cell>
          <cell r="U1536" t="str">
            <v>Asset</v>
          </cell>
          <cell r="V1536">
            <v>40000</v>
          </cell>
          <cell r="W1536" t="str">
            <v>KEW</v>
          </cell>
          <cell r="X1536" t="str">
            <v>01/09/2010</v>
          </cell>
          <cell r="Y1536" t="str">
            <v>KEW</v>
          </cell>
          <cell r="Z1536" t="str">
            <v>16/08/2013</v>
          </cell>
          <cell r="AA1536" t="str">
            <v>15/08/2015</v>
          </cell>
          <cell r="AB1536" t="str">
            <v>No</v>
          </cell>
          <cell r="AC1536" t="str">
            <v>16/08/2013</v>
          </cell>
          <cell r="AD1536" t="str">
            <v>Good</v>
          </cell>
          <cell r="AE1536" t="str">
            <v>V3 - Added Installed Facilities (New)</v>
          </cell>
          <cell r="AF1536">
            <v>42668</v>
          </cell>
          <cell r="AG1536">
            <v>9.17</v>
          </cell>
          <cell r="AH1536" t="str">
            <v>PPM</v>
          </cell>
          <cell r="AI1536" t="str">
            <v>Strands</v>
          </cell>
          <cell r="AJ1536" t="str">
            <v>Strands PW</v>
          </cell>
          <cell r="AK1536" t="str">
            <v>SNF received. 1st batch of V3 asset (December 2020)</v>
          </cell>
        </row>
        <row r="1537">
          <cell r="A1537" t="str">
            <v>IKN401278</v>
          </cell>
          <cell r="B1537">
            <v>1274</v>
          </cell>
          <cell r="C1537" t="str">
            <v>Institut Kanser Negara</v>
          </cell>
          <cell r="D1537" t="str">
            <v>KKM/IKN/H/13/4952 - 05</v>
          </cell>
          <cell r="E1537" t="str">
            <v>15-605</v>
          </cell>
          <cell r="F1537" t="str">
            <v>Testers</v>
          </cell>
          <cell r="G1537" t="str">
            <v>RT</v>
          </cell>
          <cell r="H1537" t="str">
            <v>RADIATION TREATMENT UNIT</v>
          </cell>
          <cell r="I1537" t="str">
            <v>01RT213</v>
          </cell>
          <cell r="J1537" t="str">
            <v>EQUIPMENT ROOM1</v>
          </cell>
          <cell r="K1537" t="str">
            <v>BMED</v>
          </cell>
          <cell r="L1537" t="str">
            <v>Normal</v>
          </cell>
          <cell r="M1537" t="str">
            <v>Germany</v>
          </cell>
          <cell r="N1537" t="str">
            <v>Various</v>
          </cell>
          <cell r="O1537" t="str">
            <v>IBA Dosimetry GMBH</v>
          </cell>
          <cell r="P1537" t="str">
            <v>11712</v>
          </cell>
          <cell r="Q1537" t="str">
            <v>Not Available</v>
          </cell>
          <cell r="R1537" t="str">
            <v>IBA</v>
          </cell>
          <cell r="S1537" t="str">
            <v>Delta Advantech (M) Sdn. Bhd</v>
          </cell>
          <cell r="T1537" t="str">
            <v>Functioning</v>
          </cell>
          <cell r="U1537" t="str">
            <v>Asset</v>
          </cell>
          <cell r="V1537">
            <v>40000</v>
          </cell>
          <cell r="W1537" t="str">
            <v>KEW</v>
          </cell>
          <cell r="X1537" t="str">
            <v>01/09/2010</v>
          </cell>
          <cell r="Y1537" t="str">
            <v>KEW</v>
          </cell>
          <cell r="Z1537" t="str">
            <v>16/08/2013</v>
          </cell>
          <cell r="AA1537" t="str">
            <v>15/08/2015</v>
          </cell>
          <cell r="AB1537" t="str">
            <v>No</v>
          </cell>
          <cell r="AC1537" t="str">
            <v>16/08/2013</v>
          </cell>
          <cell r="AD1537" t="str">
            <v>Good</v>
          </cell>
          <cell r="AE1537" t="str">
            <v>V3 - Added Installed Facilities (New)</v>
          </cell>
          <cell r="AF1537">
            <v>42668</v>
          </cell>
          <cell r="AG1537">
            <v>9.17</v>
          </cell>
          <cell r="AH1537" t="str">
            <v>PPM</v>
          </cell>
          <cell r="AI1537" t="str">
            <v>Strands</v>
          </cell>
          <cell r="AJ1537" t="str">
            <v>Strands PW</v>
          </cell>
          <cell r="AK1537" t="str">
            <v>SNF received. 1st batch of V3 asset (December 2020)</v>
          </cell>
        </row>
        <row r="1538">
          <cell r="A1538" t="str">
            <v>IKN401279</v>
          </cell>
          <cell r="B1538">
            <v>1275</v>
          </cell>
          <cell r="C1538" t="str">
            <v>Institut Kanser Negara</v>
          </cell>
          <cell r="D1538" t="str">
            <v>KKM/IKN/H/13/4952</v>
          </cell>
          <cell r="E1538" t="str">
            <v>15-605</v>
          </cell>
          <cell r="F1538" t="str">
            <v>Testers</v>
          </cell>
          <cell r="G1538" t="str">
            <v>RT</v>
          </cell>
          <cell r="H1538" t="str">
            <v>RADIATION TREATMENT UNIT</v>
          </cell>
          <cell r="I1538" t="str">
            <v>01RT213</v>
          </cell>
          <cell r="J1538" t="str">
            <v>EQUIPMENT ROOM1</v>
          </cell>
          <cell r="K1538" t="str">
            <v>BMED</v>
          </cell>
          <cell r="L1538" t="str">
            <v>Normal</v>
          </cell>
          <cell r="M1538" t="str">
            <v>Germany</v>
          </cell>
          <cell r="N1538" t="str">
            <v>Various</v>
          </cell>
          <cell r="O1538" t="str">
            <v>IBA Dosimetry GMBH</v>
          </cell>
          <cell r="P1538" t="str">
            <v>1226</v>
          </cell>
          <cell r="Q1538" t="str">
            <v>Not Available</v>
          </cell>
          <cell r="R1538" t="str">
            <v>IBA</v>
          </cell>
          <cell r="S1538" t="str">
            <v>Delta Advantech (M) Sdn. Bhd</v>
          </cell>
          <cell r="T1538" t="str">
            <v>Functioning</v>
          </cell>
          <cell r="U1538" t="str">
            <v>Asset</v>
          </cell>
          <cell r="V1538">
            <v>40000</v>
          </cell>
          <cell r="W1538" t="str">
            <v>KEW</v>
          </cell>
          <cell r="X1538" t="str">
            <v>01/09/2010</v>
          </cell>
          <cell r="Y1538" t="str">
            <v>KEW</v>
          </cell>
          <cell r="Z1538" t="str">
            <v>16/08/2013</v>
          </cell>
          <cell r="AA1538" t="str">
            <v>15/08/2015</v>
          </cell>
          <cell r="AB1538" t="str">
            <v>No</v>
          </cell>
          <cell r="AC1538" t="str">
            <v>16/08/2013</v>
          </cell>
          <cell r="AD1538" t="str">
            <v>Good</v>
          </cell>
          <cell r="AE1538" t="str">
            <v>V3 - Added Installed Facilities (New)</v>
          </cell>
          <cell r="AF1538">
            <v>42668</v>
          </cell>
          <cell r="AG1538">
            <v>9.17</v>
          </cell>
          <cell r="AH1538" t="str">
            <v>PPM</v>
          </cell>
          <cell r="AI1538" t="str">
            <v>Strands</v>
          </cell>
          <cell r="AJ1538" t="str">
            <v>Strands PW</v>
          </cell>
          <cell r="AK1538" t="str">
            <v>SNF received. 1st batch of V3 asset (December 2020)</v>
          </cell>
        </row>
        <row r="1539">
          <cell r="A1539" t="str">
            <v>IKN401280</v>
          </cell>
          <cell r="B1539">
            <v>1276</v>
          </cell>
          <cell r="C1539" t="str">
            <v>Institut Kanser Negara</v>
          </cell>
          <cell r="D1539" t="str">
            <v>KKM/IKN/H/13/4952</v>
          </cell>
          <cell r="E1539" t="str">
            <v>15-605</v>
          </cell>
          <cell r="F1539" t="str">
            <v>Testers</v>
          </cell>
          <cell r="G1539" t="str">
            <v>RT</v>
          </cell>
          <cell r="H1539" t="str">
            <v>RADIATION TREATMENT UNIT</v>
          </cell>
          <cell r="I1539" t="str">
            <v>01RT213</v>
          </cell>
          <cell r="J1539" t="str">
            <v>EQUIPMENT ROOM1</v>
          </cell>
          <cell r="K1539" t="str">
            <v>BMED</v>
          </cell>
          <cell r="L1539" t="str">
            <v>Normal</v>
          </cell>
          <cell r="M1539" t="str">
            <v>Germany</v>
          </cell>
          <cell r="N1539" t="str">
            <v>Various</v>
          </cell>
          <cell r="O1539" t="str">
            <v>IBA Dosimetry GMBH</v>
          </cell>
          <cell r="P1539" t="str">
            <v>2627</v>
          </cell>
          <cell r="Q1539" t="str">
            <v>Not Available</v>
          </cell>
          <cell r="R1539" t="str">
            <v>IBA</v>
          </cell>
          <cell r="S1539" t="str">
            <v>Delta Advantech (M) Sdn. Bhd</v>
          </cell>
          <cell r="T1539" t="str">
            <v>Functioning</v>
          </cell>
          <cell r="U1539" t="str">
            <v>Asset</v>
          </cell>
          <cell r="V1539">
            <v>40000</v>
          </cell>
          <cell r="W1539" t="str">
            <v>KEW</v>
          </cell>
          <cell r="X1539" t="str">
            <v>01/09/2010</v>
          </cell>
          <cell r="Y1539" t="str">
            <v>KEW</v>
          </cell>
          <cell r="Z1539" t="str">
            <v>16/08/2013</v>
          </cell>
          <cell r="AA1539" t="str">
            <v>15/08/2015</v>
          </cell>
          <cell r="AB1539" t="str">
            <v>No</v>
          </cell>
          <cell r="AC1539" t="str">
            <v>16/08/2013</v>
          </cell>
          <cell r="AD1539" t="str">
            <v>Good</v>
          </cell>
          <cell r="AE1539" t="str">
            <v>V3 - Added Installed Facilities (New)</v>
          </cell>
          <cell r="AF1539">
            <v>42668</v>
          </cell>
          <cell r="AG1539">
            <v>9.17</v>
          </cell>
          <cell r="AH1539" t="str">
            <v>PPM</v>
          </cell>
          <cell r="AI1539" t="str">
            <v>Strands</v>
          </cell>
          <cell r="AJ1539" t="str">
            <v>Strands PW</v>
          </cell>
          <cell r="AK1539" t="str">
            <v>SNF received. 1st batch of V3 asset (December 2020)</v>
          </cell>
        </row>
        <row r="1540">
          <cell r="A1540" t="str">
            <v>IKN401281</v>
          </cell>
          <cell r="B1540">
            <v>1277</v>
          </cell>
          <cell r="C1540" t="str">
            <v>Institut Kanser Negara</v>
          </cell>
          <cell r="D1540" t="str">
            <v>KKM/IKN/H/13/4952 - 02</v>
          </cell>
          <cell r="E1540" t="str">
            <v>15-605</v>
          </cell>
          <cell r="F1540" t="str">
            <v>Testers</v>
          </cell>
          <cell r="G1540" t="str">
            <v>RT</v>
          </cell>
          <cell r="H1540" t="str">
            <v>RADIATION TREATMENT UNIT</v>
          </cell>
          <cell r="I1540" t="str">
            <v>01RT213</v>
          </cell>
          <cell r="J1540" t="str">
            <v>EQUIPMENT ROOM1</v>
          </cell>
          <cell r="K1540" t="str">
            <v>BMED</v>
          </cell>
          <cell r="L1540" t="str">
            <v>Normal</v>
          </cell>
          <cell r="M1540" t="str">
            <v>Germany</v>
          </cell>
          <cell r="N1540" t="str">
            <v>Various</v>
          </cell>
          <cell r="O1540" t="str">
            <v>IBA Dosimetry GMBH</v>
          </cell>
          <cell r="P1540" t="str">
            <v>2625</v>
          </cell>
          <cell r="Q1540" t="str">
            <v>Not Available</v>
          </cell>
          <cell r="R1540" t="str">
            <v>IBA</v>
          </cell>
          <cell r="S1540" t="str">
            <v>Delta Advantech (M) Sdn. Bhd</v>
          </cell>
          <cell r="T1540" t="str">
            <v>Functioning</v>
          </cell>
          <cell r="U1540" t="str">
            <v>Asset</v>
          </cell>
          <cell r="V1540">
            <v>40000</v>
          </cell>
          <cell r="W1540" t="str">
            <v>KEW</v>
          </cell>
          <cell r="X1540" t="str">
            <v>01/09/2010</v>
          </cell>
          <cell r="Y1540" t="str">
            <v>KEW</v>
          </cell>
          <cell r="Z1540" t="str">
            <v>16/08/2013</v>
          </cell>
          <cell r="AA1540" t="str">
            <v>15/08/2015</v>
          </cell>
          <cell r="AB1540" t="str">
            <v>No</v>
          </cell>
          <cell r="AC1540" t="str">
            <v>16/08/2013</v>
          </cell>
          <cell r="AD1540" t="str">
            <v>Good</v>
          </cell>
          <cell r="AE1540" t="str">
            <v>V3 - Added Installed Facilities (New)</v>
          </cell>
          <cell r="AF1540">
            <v>42668</v>
          </cell>
          <cell r="AG1540">
            <v>9.17</v>
          </cell>
          <cell r="AH1540" t="str">
            <v>PPM</v>
          </cell>
          <cell r="AI1540" t="str">
            <v>Strands</v>
          </cell>
          <cell r="AJ1540" t="str">
            <v>Strands PW</v>
          </cell>
          <cell r="AK1540" t="str">
            <v>SNF received. 1st batch of V3 asset (December 2020)</v>
          </cell>
        </row>
        <row r="1541">
          <cell r="A1541" t="str">
            <v>IKN401282</v>
          </cell>
          <cell r="B1541">
            <v>1278</v>
          </cell>
          <cell r="C1541" t="str">
            <v>Institut Kanser Negara</v>
          </cell>
          <cell r="D1541" t="str">
            <v>KKM/IKN/H/13/4952</v>
          </cell>
          <cell r="E1541" t="str">
            <v>15-605</v>
          </cell>
          <cell r="F1541" t="str">
            <v>Testers</v>
          </cell>
          <cell r="G1541" t="str">
            <v>RT</v>
          </cell>
          <cell r="H1541" t="str">
            <v>RADIATION TREATMENT UNIT</v>
          </cell>
          <cell r="I1541" t="str">
            <v>01RT213</v>
          </cell>
          <cell r="J1541" t="str">
            <v>EQUIPMENT ROOM1</v>
          </cell>
          <cell r="K1541" t="str">
            <v>BMED</v>
          </cell>
          <cell r="L1541" t="str">
            <v>Normal</v>
          </cell>
          <cell r="M1541" t="str">
            <v>Germany</v>
          </cell>
          <cell r="N1541" t="str">
            <v>Various</v>
          </cell>
          <cell r="O1541" t="str">
            <v>IBA Dosimetry GMBH</v>
          </cell>
          <cell r="P1541" t="str">
            <v>11709</v>
          </cell>
          <cell r="Q1541" t="str">
            <v>Not Available</v>
          </cell>
          <cell r="R1541" t="str">
            <v>IBA</v>
          </cell>
          <cell r="S1541" t="str">
            <v>Delta Advantech (M) Sdn. Bhd</v>
          </cell>
          <cell r="T1541" t="str">
            <v>Functioning</v>
          </cell>
          <cell r="U1541" t="str">
            <v>Asset</v>
          </cell>
          <cell r="V1541">
            <v>40000</v>
          </cell>
          <cell r="W1541" t="str">
            <v>KEW</v>
          </cell>
          <cell r="X1541" t="str">
            <v>01/09/2010</v>
          </cell>
          <cell r="Y1541" t="str">
            <v>KEW</v>
          </cell>
          <cell r="Z1541" t="str">
            <v>16/08/2013</v>
          </cell>
          <cell r="AA1541" t="str">
            <v>15/08/2015</v>
          </cell>
          <cell r="AB1541" t="str">
            <v>No</v>
          </cell>
          <cell r="AC1541" t="str">
            <v>16/08/2013</v>
          </cell>
          <cell r="AD1541" t="str">
            <v>Good</v>
          </cell>
          <cell r="AE1541" t="str">
            <v>V3 - Added Installed Facilities (New)</v>
          </cell>
          <cell r="AF1541">
            <v>42668</v>
          </cell>
          <cell r="AG1541">
            <v>9.17</v>
          </cell>
          <cell r="AH1541" t="str">
            <v>PPM</v>
          </cell>
          <cell r="AI1541" t="str">
            <v>Strands</v>
          </cell>
          <cell r="AJ1541" t="str">
            <v>Strands PW</v>
          </cell>
          <cell r="AK1541" t="str">
            <v>SNF received. 1st batch of V3 asset (December 2020)</v>
          </cell>
        </row>
        <row r="1542">
          <cell r="A1542" t="str">
            <v>IKN401287</v>
          </cell>
          <cell r="B1542">
            <v>1283</v>
          </cell>
          <cell r="C1542" t="str">
            <v>Institut Kanser Negara</v>
          </cell>
          <cell r="D1542" t="str">
            <v>KKM/IKN/H/15/25</v>
          </cell>
          <cell r="E1542" t="str">
            <v>15-944</v>
          </cell>
          <cell r="F1542" t="str">
            <v>Cameras, Gamma</v>
          </cell>
          <cell r="G1542" t="str">
            <v>NM</v>
          </cell>
          <cell r="H1542" t="str">
            <v>NUCLEAR MED (DIAGNOSTIC)</v>
          </cell>
          <cell r="I1542" t="str">
            <v>03NM153</v>
          </cell>
          <cell r="J1542" t="str">
            <v>PHYSICS LAB</v>
          </cell>
          <cell r="K1542" t="str">
            <v>BMED</v>
          </cell>
          <cell r="L1542" t="str">
            <v>Normal</v>
          </cell>
          <cell r="M1542" t="str">
            <v>USA</v>
          </cell>
          <cell r="N1542" t="str">
            <v>C-TRAK</v>
          </cell>
          <cell r="O1542" t="str">
            <v>CW-3000</v>
          </cell>
          <cell r="P1542" t="str">
            <v>CW3-11200</v>
          </cell>
          <cell r="Q1542" t="str">
            <v>NA</v>
          </cell>
          <cell r="R1542" t="str">
            <v>CARE WISE MEDICAL</v>
          </cell>
          <cell r="S1542" t="str">
            <v>ALAM MEDIK SDN BHD</v>
          </cell>
          <cell r="T1542" t="str">
            <v>Functioning</v>
          </cell>
          <cell r="U1542" t="str">
            <v>Asset</v>
          </cell>
          <cell r="V1542">
            <v>133788</v>
          </cell>
          <cell r="W1542" t="str">
            <v>KEW</v>
          </cell>
          <cell r="X1542" t="str">
            <v>09/10/2015</v>
          </cell>
          <cell r="Y1542" t="str">
            <v>KEW</v>
          </cell>
          <cell r="Z1542" t="str">
            <v>26/11/2015</v>
          </cell>
          <cell r="AA1542" t="str">
            <v>25/11/2016</v>
          </cell>
          <cell r="AB1542" t="str">
            <v>No</v>
          </cell>
          <cell r="AC1542" t="str">
            <v>26/11/2015</v>
          </cell>
          <cell r="AD1542" t="str">
            <v>Good</v>
          </cell>
          <cell r="AE1542" t="str">
            <v>V3 - Added Installed Facilities (New)</v>
          </cell>
          <cell r="AF1542">
            <v>42528</v>
          </cell>
          <cell r="AG1542">
            <v>4.08</v>
          </cell>
          <cell r="AH1542" t="str">
            <v>PPM</v>
          </cell>
          <cell r="AI1542" t="str">
            <v>package</v>
          </cell>
          <cell r="AJ1542" t="str">
            <v>Proposed for V3 P2.23</v>
          </cell>
          <cell r="AK1542" t="str">
            <v>KKM follow P2.23 list.</v>
          </cell>
        </row>
        <row r="1543">
          <cell r="A1543" t="str">
            <v>IKN401288</v>
          </cell>
          <cell r="B1543">
            <v>1284</v>
          </cell>
          <cell r="C1543" t="str">
            <v>Institut Kanser Negara</v>
          </cell>
          <cell r="D1543" t="str">
            <v>KKM/IKN/H/13/4596</v>
          </cell>
          <cell r="E1543" t="str">
            <v>10-849</v>
          </cell>
          <cell r="F1543" t="str">
            <v>Circulatory Assist Units, Venous Return</v>
          </cell>
          <cell r="G1543" t="str">
            <v>PY</v>
          </cell>
          <cell r="H1543" t="str">
            <v>PHYSIOTHERAPY</v>
          </cell>
          <cell r="I1543" t="str">
            <v>04PY119</v>
          </cell>
          <cell r="J1543" t="str">
            <v>EQ.ROOM</v>
          </cell>
          <cell r="K1543" t="str">
            <v>BMED</v>
          </cell>
          <cell r="L1543" t="str">
            <v>Critical</v>
          </cell>
          <cell r="M1543" t="str">
            <v>USA</v>
          </cell>
          <cell r="N1543" t="str">
            <v>MediPress</v>
          </cell>
          <cell r="O1543" t="str">
            <v>MediPress 6101</v>
          </cell>
          <cell r="P1543" t="str">
            <v>P131203680</v>
          </cell>
          <cell r="Q1543" t="str">
            <v>Not Applicable</v>
          </cell>
          <cell r="R1543" t="str">
            <v>Meridian Medical</v>
          </cell>
          <cell r="S1543" t="str">
            <v>MEDIKA SUPPLIES SDN BHD</v>
          </cell>
          <cell r="T1543" t="str">
            <v>Functioning</v>
          </cell>
          <cell r="U1543" t="str">
            <v>Asset</v>
          </cell>
          <cell r="V1543">
            <v>3300</v>
          </cell>
          <cell r="W1543" t="str">
            <v>KEW</v>
          </cell>
          <cell r="X1543" t="str">
            <v>03/12/2013</v>
          </cell>
          <cell r="Y1543" t="str">
            <v>KEW</v>
          </cell>
          <cell r="Z1543" t="str">
            <v>03/12/2013</v>
          </cell>
          <cell r="AA1543" t="str">
            <v>02/12/2015</v>
          </cell>
          <cell r="AB1543" t="str">
            <v>No</v>
          </cell>
          <cell r="AC1543" t="str">
            <v>03/12/2013</v>
          </cell>
          <cell r="AD1543" t="str">
            <v>Good</v>
          </cell>
          <cell r="AE1543" t="str">
            <v>V3 - Added Installed Facilities (New)</v>
          </cell>
          <cell r="AF1543">
            <v>43068</v>
          </cell>
          <cell r="AG1543">
            <v>5.92</v>
          </cell>
          <cell r="AH1543" t="str">
            <v>PPM</v>
          </cell>
          <cell r="AI1543" t="str">
            <v>Strands</v>
          </cell>
          <cell r="AJ1543" t="str">
            <v>Strands PW</v>
          </cell>
          <cell r="AK1543" t="str">
            <v>SNF received. 1st batch of V3 asset (December 2020)</v>
          </cell>
        </row>
        <row r="1544">
          <cell r="A1544" t="str">
            <v>IKN401289</v>
          </cell>
          <cell r="B1544">
            <v>1285</v>
          </cell>
          <cell r="C1544" t="str">
            <v>Institut Kanser Negara</v>
          </cell>
          <cell r="D1544" t="str">
            <v>KKM/IKN/H/13/4595</v>
          </cell>
          <cell r="E1544" t="str">
            <v>10-849</v>
          </cell>
          <cell r="F1544" t="str">
            <v>Circulatory Assist Units, Venous Return</v>
          </cell>
          <cell r="G1544" t="str">
            <v>PY</v>
          </cell>
          <cell r="H1544" t="str">
            <v>PHYSIOTHERAPY</v>
          </cell>
          <cell r="I1544" t="str">
            <v>04PY128</v>
          </cell>
          <cell r="J1544" t="str">
            <v>MLD</v>
          </cell>
          <cell r="K1544" t="str">
            <v>BMED</v>
          </cell>
          <cell r="L1544" t="str">
            <v>Critical</v>
          </cell>
          <cell r="M1544" t="str">
            <v>USA</v>
          </cell>
          <cell r="N1544" t="str">
            <v>MediPress</v>
          </cell>
          <cell r="O1544" t="str">
            <v>MediPress 6101</v>
          </cell>
          <cell r="P1544" t="str">
            <v>P140200526</v>
          </cell>
          <cell r="Q1544" t="str">
            <v>Not Applicable</v>
          </cell>
          <cell r="R1544" t="str">
            <v>Meridian Medical</v>
          </cell>
          <cell r="S1544" t="str">
            <v>MEDIKA SUPPLIES SDN BHD</v>
          </cell>
          <cell r="T1544" t="str">
            <v>Functioning</v>
          </cell>
          <cell r="U1544" t="str">
            <v>Asset</v>
          </cell>
          <cell r="V1544">
            <v>3300</v>
          </cell>
          <cell r="W1544" t="str">
            <v>KEW</v>
          </cell>
          <cell r="X1544" t="str">
            <v>03/12/2013</v>
          </cell>
          <cell r="Y1544" t="str">
            <v>KEW</v>
          </cell>
          <cell r="Z1544" t="str">
            <v>03/12/2013</v>
          </cell>
          <cell r="AA1544" t="str">
            <v>02/12/2015</v>
          </cell>
          <cell r="AB1544" t="str">
            <v>No</v>
          </cell>
          <cell r="AC1544" t="str">
            <v>03/12/2013</v>
          </cell>
          <cell r="AD1544" t="str">
            <v>Good</v>
          </cell>
          <cell r="AE1544" t="str">
            <v>V3 - Added Installed Facilities (New)</v>
          </cell>
          <cell r="AF1544">
            <v>43068</v>
          </cell>
          <cell r="AG1544">
            <v>5.92</v>
          </cell>
          <cell r="AH1544" t="str">
            <v>PPM</v>
          </cell>
          <cell r="AI1544" t="str">
            <v>Strands</v>
          </cell>
          <cell r="AJ1544" t="str">
            <v>Strands PW</v>
          </cell>
          <cell r="AK1544" t="str">
            <v>SNF received. 1st batch of V3 asset (December 2020)</v>
          </cell>
        </row>
        <row r="1545">
          <cell r="A1545" t="str">
            <v>IKN401291</v>
          </cell>
          <cell r="B1545">
            <v>1287</v>
          </cell>
          <cell r="C1545" t="str">
            <v>Institut Kanser Negara</v>
          </cell>
          <cell r="D1545" t="str">
            <v>N/A</v>
          </cell>
          <cell r="E1545" t="str">
            <v>13-281</v>
          </cell>
          <cell r="F1545" t="str">
            <v>Computers, Radiotherapy Planning System</v>
          </cell>
          <cell r="G1545" t="str">
            <v>RT</v>
          </cell>
          <cell r="H1545" t="str">
            <v>RADIATION TREATMENT UNIT</v>
          </cell>
          <cell r="I1545" t="str">
            <v>01RT214</v>
          </cell>
          <cell r="J1545" t="str">
            <v>TPS 1</v>
          </cell>
          <cell r="K1545" t="str">
            <v>BMED</v>
          </cell>
          <cell r="L1545" t="str">
            <v>Normal</v>
          </cell>
          <cell r="M1545" t="str">
            <v>GERMANY</v>
          </cell>
          <cell r="N1545" t="str">
            <v>BRAINLAB</v>
          </cell>
          <cell r="O1545" t="str">
            <v>IPLAN WORKSTATION</v>
          </cell>
          <cell r="P1545" t="str">
            <v>3668615001</v>
          </cell>
          <cell r="Q1545" t="str">
            <v>NA</v>
          </cell>
          <cell r="R1545" t="str">
            <v>BRAINLAB</v>
          </cell>
          <cell r="S1545" t="str">
            <v>AYZEL VENTURE ENTERPISE</v>
          </cell>
          <cell r="T1545" t="str">
            <v>Functioning</v>
          </cell>
          <cell r="U1545" t="str">
            <v>Asset</v>
          </cell>
          <cell r="V1545">
            <v>499900</v>
          </cell>
          <cell r="W1545" t="str">
            <v>KEW</v>
          </cell>
          <cell r="X1545" t="str">
            <v>27/10/2015</v>
          </cell>
          <cell r="Y1545" t="str">
            <v>KEW</v>
          </cell>
          <cell r="Z1545" t="str">
            <v>09/12/2015</v>
          </cell>
          <cell r="AA1545" t="str">
            <v>08/12/2017</v>
          </cell>
          <cell r="AB1545" t="str">
            <v>No</v>
          </cell>
          <cell r="AC1545" t="str">
            <v>09/12/2015</v>
          </cell>
          <cell r="AD1545" t="str">
            <v>Good</v>
          </cell>
          <cell r="AE1545" t="str">
            <v>V1 - Existing / No Claim</v>
          </cell>
          <cell r="AF1545">
            <v>42473</v>
          </cell>
          <cell r="AG1545">
            <v>4.08</v>
          </cell>
          <cell r="AH1545" t="str">
            <v>PPM</v>
          </cell>
          <cell r="AI1545" t="str">
            <v>Strands</v>
          </cell>
          <cell r="AJ1545" t="str">
            <v>Strands Package</v>
          </cell>
          <cell r="AK1545" t="str">
            <v>Package Code XM0003(A)</v>
          </cell>
        </row>
        <row r="1546">
          <cell r="A1546" t="str">
            <v>IKN401292</v>
          </cell>
          <cell r="B1546">
            <v>1288</v>
          </cell>
          <cell r="C1546" t="str">
            <v>Institut Kanser Negara</v>
          </cell>
          <cell r="D1546" t="str">
            <v>KKM/IKN/H/13/4597</v>
          </cell>
          <cell r="E1546" t="str">
            <v>10-849</v>
          </cell>
          <cell r="F1546" t="str">
            <v>Circulatory Assist Units, Venous Return</v>
          </cell>
          <cell r="G1546" t="str">
            <v>PY</v>
          </cell>
          <cell r="H1546" t="str">
            <v>PHYSIOTHERAPY</v>
          </cell>
          <cell r="I1546" t="str">
            <v>04PY119</v>
          </cell>
          <cell r="J1546" t="str">
            <v>EQ.ROOM</v>
          </cell>
          <cell r="K1546" t="str">
            <v>BMED</v>
          </cell>
          <cell r="L1546" t="str">
            <v>Critical</v>
          </cell>
          <cell r="M1546" t="str">
            <v>USA</v>
          </cell>
          <cell r="N1546" t="str">
            <v>MediPress</v>
          </cell>
          <cell r="O1546" t="str">
            <v>MediPress 6101</v>
          </cell>
          <cell r="P1546" t="str">
            <v>P131203681</v>
          </cell>
          <cell r="Q1546" t="str">
            <v>Not Applicable</v>
          </cell>
          <cell r="R1546" t="str">
            <v>Meridian Medical</v>
          </cell>
          <cell r="S1546" t="str">
            <v>MEDIKA SUPPLIES SDN BHD</v>
          </cell>
          <cell r="T1546" t="str">
            <v>Functioning</v>
          </cell>
          <cell r="U1546" t="str">
            <v>Asset</v>
          </cell>
          <cell r="V1546">
            <v>3300</v>
          </cell>
          <cell r="W1546" t="str">
            <v>KEW</v>
          </cell>
          <cell r="X1546" t="str">
            <v>03/12/2013</v>
          </cell>
          <cell r="Y1546" t="str">
            <v>KEW</v>
          </cell>
          <cell r="Z1546" t="str">
            <v>03/12/2013</v>
          </cell>
          <cell r="AA1546" t="str">
            <v>02/12/2015</v>
          </cell>
          <cell r="AB1546" t="str">
            <v>No</v>
          </cell>
          <cell r="AC1546" t="str">
            <v>03/12/2013</v>
          </cell>
          <cell r="AD1546" t="str">
            <v>Good</v>
          </cell>
          <cell r="AE1546" t="str">
            <v>V3 - Added Installed Facilities (New)</v>
          </cell>
          <cell r="AF1546">
            <v>42933</v>
          </cell>
          <cell r="AG1546">
            <v>5.92</v>
          </cell>
          <cell r="AH1546" t="str">
            <v>PPM</v>
          </cell>
          <cell r="AI1546" t="str">
            <v>Strands</v>
          </cell>
          <cell r="AJ1546" t="str">
            <v>Strands PW</v>
          </cell>
          <cell r="AK1546" t="str">
            <v>SNF received. 1st batch of V3 asset (December 2020)</v>
          </cell>
        </row>
        <row r="1547">
          <cell r="A1547" t="str">
            <v>IKN401313</v>
          </cell>
          <cell r="B1547">
            <v>1308</v>
          </cell>
          <cell r="C1547" t="str">
            <v>Institut Kanser Negara</v>
          </cell>
          <cell r="D1547" t="e">
            <v>#N/A</v>
          </cell>
          <cell r="E1547" t="str">
            <v>10-447</v>
          </cell>
          <cell r="F1547" t="str">
            <v>Warming Units, Blood/Solution</v>
          </cell>
          <cell r="G1547" t="str">
            <v>RT</v>
          </cell>
          <cell r="H1547" t="str">
            <v>RADIATION TREATMENT UNIT</v>
          </cell>
          <cell r="I1547" t="str">
            <v>01RT116</v>
          </cell>
          <cell r="J1547" t="str">
            <v>CT SIMULATOR 1</v>
          </cell>
          <cell r="K1547" t="str">
            <v>BMED</v>
          </cell>
          <cell r="L1547" t="str">
            <v>Normal</v>
          </cell>
          <cell r="M1547" t="str">
            <v>USA</v>
          </cell>
          <cell r="N1547" t="str">
            <v>Warmflo</v>
          </cell>
          <cell r="O1547" t="str">
            <v>Warmflo FW558</v>
          </cell>
          <cell r="P1547" t="str">
            <v>CO716R405R</v>
          </cell>
          <cell r="Q1547" t="str">
            <v>Not Available</v>
          </cell>
          <cell r="R1547" t="str">
            <v>Mallinckrodt</v>
          </cell>
          <cell r="S1547" t="str">
            <v>Schmidt Biomedtech Sdn. Bhd.</v>
          </cell>
          <cell r="T1547" t="str">
            <v>Functioning</v>
          </cell>
          <cell r="U1547" t="str">
            <v>Asset</v>
          </cell>
          <cell r="V1547">
            <v>8500</v>
          </cell>
          <cell r="W1547" t="str">
            <v>KEW</v>
          </cell>
          <cell r="X1547" t="str">
            <v>12/08/2016</v>
          </cell>
          <cell r="Y1547" t="str">
            <v>KEW</v>
          </cell>
          <cell r="Z1547" t="str">
            <v>26/08/2016</v>
          </cell>
          <cell r="AA1547" t="str">
            <v>25/08/2017</v>
          </cell>
          <cell r="AB1547" t="str">
            <v>No</v>
          </cell>
          <cell r="AC1547" t="str">
            <v>26/08/2016</v>
          </cell>
          <cell r="AD1547" t="str">
            <v>Good</v>
          </cell>
          <cell r="AE1547" t="str">
            <v>V3 - Added Installed Facilities (New)</v>
          </cell>
          <cell r="AF1547">
            <v>42661</v>
          </cell>
          <cell r="AG1547">
            <v>3.25</v>
          </cell>
          <cell r="AH1547" t="str">
            <v>PPM</v>
          </cell>
          <cell r="AI1547" t="str">
            <v>package</v>
          </cell>
          <cell r="AK1547" t="str">
            <v>Under Injector Ct Sim</v>
          </cell>
        </row>
        <row r="1548">
          <cell r="A1548" t="str">
            <v>IKN401315</v>
          </cell>
          <cell r="B1548">
            <v>1309</v>
          </cell>
          <cell r="C1548" t="str">
            <v>Institut Kanser Negara</v>
          </cell>
          <cell r="D1548" t="str">
            <v>KKM/IKN/H/16/10</v>
          </cell>
          <cell r="E1548" t="str">
            <v>10-208</v>
          </cell>
          <cell r="F1548" t="str">
            <v>Aspirators</v>
          </cell>
          <cell r="G1548" t="str">
            <v>OT</v>
          </cell>
          <cell r="H1548" t="str">
            <v>OPERATING THEATRE</v>
          </cell>
          <cell r="I1548" t="str">
            <v>05OT127</v>
          </cell>
          <cell r="J1548" t="str">
            <v>SCRUB 1</v>
          </cell>
          <cell r="K1548" t="str">
            <v>BMED</v>
          </cell>
          <cell r="L1548" t="str">
            <v>Critical</v>
          </cell>
          <cell r="M1548" t="str">
            <v>ITALI</v>
          </cell>
          <cell r="N1548" t="str">
            <v>GIMA</v>
          </cell>
          <cell r="O1548" t="str">
            <v>HOSPI PLUS.</v>
          </cell>
          <cell r="P1548" t="str">
            <v>1194</v>
          </cell>
          <cell r="Q1548" t="str">
            <v>Not Applicable</v>
          </cell>
          <cell r="R1548" t="str">
            <v>GIMA</v>
          </cell>
          <cell r="S1548" t="str">
            <v>Teraju Delima Niaga Resources</v>
          </cell>
          <cell r="T1548" t="str">
            <v>Functioning</v>
          </cell>
          <cell r="U1548" t="str">
            <v>Asset</v>
          </cell>
          <cell r="V1548">
            <v>4800</v>
          </cell>
          <cell r="W1548" t="str">
            <v>KEW</v>
          </cell>
          <cell r="X1548" t="str">
            <v>21/09/2016</v>
          </cell>
          <cell r="Y1548" t="str">
            <v>KEW</v>
          </cell>
          <cell r="Z1548" t="str">
            <v>21/09/2016</v>
          </cell>
          <cell r="AA1548" t="str">
            <v>20/09/2017</v>
          </cell>
          <cell r="AB1548" t="str">
            <v>No</v>
          </cell>
          <cell r="AC1548" t="str">
            <v>21/09/2016</v>
          </cell>
          <cell r="AD1548" t="str">
            <v>Good</v>
          </cell>
          <cell r="AE1548" t="str">
            <v>V3 - Added Installed Facilities (New)</v>
          </cell>
          <cell r="AF1548">
            <v>42802</v>
          </cell>
          <cell r="AG1548">
            <v>3.17</v>
          </cell>
          <cell r="AH1548" t="str">
            <v>PPM</v>
          </cell>
          <cell r="AI1548" t="str">
            <v>Strands</v>
          </cell>
          <cell r="AJ1548" t="str">
            <v>Strands PW</v>
          </cell>
          <cell r="AK1548" t="str">
            <v>SNF received on 25.2.2020</v>
          </cell>
        </row>
        <row r="1549">
          <cell r="A1549" t="str">
            <v>IKN401316</v>
          </cell>
          <cell r="B1549">
            <v>1310</v>
          </cell>
          <cell r="C1549" t="str">
            <v>Institut Kanser Negara</v>
          </cell>
          <cell r="D1549" t="str">
            <v>KKM/IKN/H/13/4952</v>
          </cell>
          <cell r="E1549" t="str">
            <v>15-605</v>
          </cell>
          <cell r="F1549" t="str">
            <v>Testers</v>
          </cell>
          <cell r="G1549" t="str">
            <v>RT</v>
          </cell>
          <cell r="H1549" t="str">
            <v>RADIATION TREATMENT UNIT</v>
          </cell>
          <cell r="I1549" t="str">
            <v>01RT213</v>
          </cell>
          <cell r="J1549" t="str">
            <v>EQUIPMENT ROOM1</v>
          </cell>
          <cell r="K1549" t="str">
            <v>BMED</v>
          </cell>
          <cell r="L1549" t="str">
            <v>Normal</v>
          </cell>
          <cell r="M1549" t="str">
            <v>Germany</v>
          </cell>
          <cell r="N1549" t="str">
            <v>Various</v>
          </cell>
          <cell r="O1549" t="str">
            <v>IBA Dosimetry GMBH</v>
          </cell>
          <cell r="P1549" t="str">
            <v>1227</v>
          </cell>
          <cell r="Q1549" t="str">
            <v>Not Available</v>
          </cell>
          <cell r="R1549" t="str">
            <v>IBA</v>
          </cell>
          <cell r="S1549" t="str">
            <v>Delta Advantech (M) Sdn. Bhd</v>
          </cell>
          <cell r="T1549" t="str">
            <v>Functioning</v>
          </cell>
          <cell r="U1549" t="str">
            <v>Asset</v>
          </cell>
          <cell r="V1549">
            <v>40000</v>
          </cell>
          <cell r="W1549" t="str">
            <v>KEW</v>
          </cell>
          <cell r="X1549" t="str">
            <v>01/09/2010</v>
          </cell>
          <cell r="Y1549" t="str">
            <v>KEW</v>
          </cell>
          <cell r="Z1549" t="str">
            <v>16/08/2013</v>
          </cell>
          <cell r="AA1549" t="str">
            <v>15/08/2015</v>
          </cell>
          <cell r="AB1549" t="str">
            <v>No</v>
          </cell>
          <cell r="AC1549" t="str">
            <v>16/08/2013</v>
          </cell>
          <cell r="AD1549" t="str">
            <v>Good</v>
          </cell>
          <cell r="AE1549" t="str">
            <v>V3 - Added Installed Facilities (New)</v>
          </cell>
          <cell r="AF1549">
            <v>42668</v>
          </cell>
          <cell r="AG1549">
            <v>9.17</v>
          </cell>
          <cell r="AH1549" t="str">
            <v>PPM</v>
          </cell>
          <cell r="AI1549" t="str">
            <v>Strands</v>
          </cell>
          <cell r="AJ1549" t="str">
            <v>Strands PW</v>
          </cell>
          <cell r="AK1549" t="str">
            <v>SNF received on 25.2.2020</v>
          </cell>
        </row>
        <row r="1550">
          <cell r="A1550" t="str">
            <v>IKN401317</v>
          </cell>
          <cell r="B1550">
            <v>1311</v>
          </cell>
          <cell r="C1550" t="str">
            <v>Institut Kanser Negara</v>
          </cell>
          <cell r="D1550" t="str">
            <v>KKM/IKN/H/13/4952</v>
          </cell>
          <cell r="E1550" t="str">
            <v>15-605</v>
          </cell>
          <cell r="F1550" t="str">
            <v>Testers</v>
          </cell>
          <cell r="G1550" t="str">
            <v>RT</v>
          </cell>
          <cell r="H1550" t="str">
            <v>RADIATION TREATMENT UNIT</v>
          </cell>
          <cell r="I1550" t="str">
            <v>01RT213</v>
          </cell>
          <cell r="J1550" t="str">
            <v>EQUIPMENT ROOM1</v>
          </cell>
          <cell r="K1550" t="str">
            <v>BMED</v>
          </cell>
          <cell r="L1550" t="str">
            <v>Normal</v>
          </cell>
          <cell r="M1550" t="str">
            <v>Germany</v>
          </cell>
          <cell r="N1550" t="str">
            <v>Various</v>
          </cell>
          <cell r="O1550" t="str">
            <v>IBA Dosimetry GMBH</v>
          </cell>
          <cell r="P1550" t="str">
            <v>1233</v>
          </cell>
          <cell r="Q1550" t="str">
            <v>Not Available</v>
          </cell>
          <cell r="R1550" t="str">
            <v>IBA</v>
          </cell>
          <cell r="S1550" t="str">
            <v>Delta Advantech (M) Sdn. Bhd</v>
          </cell>
          <cell r="T1550" t="str">
            <v>Functioning</v>
          </cell>
          <cell r="U1550" t="str">
            <v>Asset</v>
          </cell>
          <cell r="V1550">
            <v>40000</v>
          </cell>
          <cell r="W1550" t="str">
            <v>KEW</v>
          </cell>
          <cell r="X1550" t="str">
            <v>01/09/2010</v>
          </cell>
          <cell r="Y1550" t="str">
            <v>KEW</v>
          </cell>
          <cell r="Z1550" t="str">
            <v>16/08/2013</v>
          </cell>
          <cell r="AA1550" t="str">
            <v>15/08/2015</v>
          </cell>
          <cell r="AB1550" t="str">
            <v>No</v>
          </cell>
          <cell r="AC1550" t="str">
            <v>16/08/2013</v>
          </cell>
          <cell r="AD1550" t="str">
            <v>Good</v>
          </cell>
          <cell r="AE1550" t="str">
            <v>V3 - Added Installed Facilities (New)</v>
          </cell>
          <cell r="AF1550">
            <v>42668</v>
          </cell>
          <cell r="AG1550">
            <v>9.17</v>
          </cell>
          <cell r="AH1550" t="str">
            <v>PPM</v>
          </cell>
          <cell r="AI1550" t="str">
            <v>Strands</v>
          </cell>
          <cell r="AJ1550" t="str">
            <v>Strands PW</v>
          </cell>
          <cell r="AK1550" t="str">
            <v>SNF received on 25.2.2020</v>
          </cell>
        </row>
        <row r="1551">
          <cell r="A1551" t="str">
            <v>IKN401318</v>
          </cell>
          <cell r="B1551">
            <v>1312</v>
          </cell>
          <cell r="C1551" t="str">
            <v>Institut Kanser Negara</v>
          </cell>
          <cell r="D1551" t="str">
            <v>KKM/IKN/H/13/4473 - 07</v>
          </cell>
          <cell r="E1551" t="str">
            <v>15-605</v>
          </cell>
          <cell r="F1551" t="str">
            <v>Testers</v>
          </cell>
          <cell r="G1551" t="str">
            <v>RT</v>
          </cell>
          <cell r="H1551" t="str">
            <v>RADIATION TREATMENT UNIT</v>
          </cell>
          <cell r="I1551" t="str">
            <v>01RT213</v>
          </cell>
          <cell r="J1551" t="str">
            <v>EQUIPMENT ROOM1</v>
          </cell>
          <cell r="K1551" t="str">
            <v>BMED</v>
          </cell>
          <cell r="L1551" t="str">
            <v>Normal</v>
          </cell>
          <cell r="M1551" t="str">
            <v>USA</v>
          </cell>
          <cell r="N1551" t="str">
            <v>Various</v>
          </cell>
          <cell r="O1551" t="str">
            <v>Tomo Electrometer 90016 &amp; Various</v>
          </cell>
          <cell r="P1551" t="str">
            <v>XAE 121449</v>
          </cell>
          <cell r="Q1551" t="str">
            <v>Not Available</v>
          </cell>
          <cell r="R1551" t="str">
            <v>Standard Imaging</v>
          </cell>
          <cell r="S1551" t="str">
            <v>Transmedic Healthcare Sdn. Bhd</v>
          </cell>
          <cell r="T1551" t="str">
            <v>Functioning</v>
          </cell>
          <cell r="U1551" t="str">
            <v>Asset</v>
          </cell>
          <cell r="V1551">
            <v>100000</v>
          </cell>
          <cell r="W1551" t="str">
            <v>KEW</v>
          </cell>
          <cell r="X1551" t="str">
            <v>01/09/2010</v>
          </cell>
          <cell r="Y1551" t="str">
            <v>KEW</v>
          </cell>
          <cell r="Z1551" t="str">
            <v>16/08/2013</v>
          </cell>
          <cell r="AA1551" t="str">
            <v>15/08/2015</v>
          </cell>
          <cell r="AB1551" t="str">
            <v>No</v>
          </cell>
          <cell r="AC1551" t="str">
            <v>16/08/2013</v>
          </cell>
          <cell r="AD1551" t="str">
            <v>Good</v>
          </cell>
          <cell r="AE1551" t="str">
            <v>V1 - Existing / No Claim</v>
          </cell>
          <cell r="AF1551">
            <v>42667</v>
          </cell>
          <cell r="AG1551">
            <v>9.17</v>
          </cell>
          <cell r="AH1551" t="str">
            <v>PPM</v>
          </cell>
          <cell r="AI1551" t="str">
            <v>package</v>
          </cell>
          <cell r="AJ1551" t="str">
            <v>Strands Package</v>
          </cell>
          <cell r="AK1551" t="str">
            <v>Package XM003(B)</v>
          </cell>
        </row>
        <row r="1552">
          <cell r="A1552" t="str">
            <v>IKN401335</v>
          </cell>
          <cell r="B1552">
            <v>1329</v>
          </cell>
          <cell r="C1552" t="str">
            <v>Institut Kanser Negara</v>
          </cell>
          <cell r="D1552" t="str">
            <v>KKM/IKN/H/13/3190</v>
          </cell>
          <cell r="E1552" t="str">
            <v>10-051</v>
          </cell>
          <cell r="F1552" t="str">
            <v>Air Samplers</v>
          </cell>
          <cell r="G1552" t="str">
            <v>QA</v>
          </cell>
          <cell r="H1552" t="str">
            <v>INFECTION , RESEARCH AND QA UNIT</v>
          </cell>
          <cell r="I1552" t="str">
            <v>04QA118</v>
          </cell>
          <cell r="J1552" t="str">
            <v>MEETING (12 PAX)</v>
          </cell>
          <cell r="K1552" t="str">
            <v>BMED</v>
          </cell>
          <cell r="L1552" t="str">
            <v>Normal</v>
          </cell>
          <cell r="M1552" t="str">
            <v>Germany</v>
          </cell>
          <cell r="N1552" t="str">
            <v>MAS</v>
          </cell>
          <cell r="O1552" t="str">
            <v>MAS-100NT</v>
          </cell>
          <cell r="P1552" t="str">
            <v>104998</v>
          </cell>
          <cell r="Q1552" t="str">
            <v>Not Available</v>
          </cell>
          <cell r="R1552" t="str">
            <v>Merck KGaA</v>
          </cell>
          <cell r="S1552" t="str">
            <v>Merck Sdn Bhd</v>
          </cell>
          <cell r="T1552" t="str">
            <v>Functioning</v>
          </cell>
          <cell r="U1552" t="str">
            <v>Asset</v>
          </cell>
          <cell r="V1552">
            <v>31410</v>
          </cell>
          <cell r="W1552" t="str">
            <v>KEW</v>
          </cell>
          <cell r="X1552" t="str">
            <v>01/09/2010</v>
          </cell>
          <cell r="Y1552" t="str">
            <v>KEW</v>
          </cell>
          <cell r="Z1552" t="str">
            <v>16/08/2013</v>
          </cell>
          <cell r="AA1552" t="str">
            <v>15/08/2015</v>
          </cell>
          <cell r="AB1552" t="str">
            <v>No</v>
          </cell>
          <cell r="AC1552" t="str">
            <v>31/08/2013</v>
          </cell>
          <cell r="AD1552" t="str">
            <v>Good</v>
          </cell>
          <cell r="AE1552" t="str">
            <v>V3 - Added Installed Facilities (New)</v>
          </cell>
          <cell r="AF1552">
            <v>43115</v>
          </cell>
          <cell r="AG1552">
            <v>9.17</v>
          </cell>
          <cell r="AH1552" t="str">
            <v>PPM</v>
          </cell>
          <cell r="AI1552" t="str">
            <v>Strands</v>
          </cell>
          <cell r="AJ1552" t="str">
            <v>Strands PW</v>
          </cell>
          <cell r="AK1552" t="str">
            <v>SNF received. 1st batch of V3 asset (December 2020)</v>
          </cell>
        </row>
        <row r="1553">
          <cell r="A1553" t="str">
            <v>IKN401336</v>
          </cell>
          <cell r="B1553">
            <v>1330</v>
          </cell>
          <cell r="C1553" t="str">
            <v>Institut Kanser Negara</v>
          </cell>
          <cell r="D1553" t="str">
            <v>KKM/IKN/H/16/27</v>
          </cell>
          <cell r="E1553" t="str">
            <v>23-532</v>
          </cell>
          <cell r="F1553" t="str">
            <v>Laryngoscopes, Rigid, Video</v>
          </cell>
          <cell r="G1553" t="str">
            <v>IC</v>
          </cell>
          <cell r="H1553" t="str">
            <v>INTENSIVE CARE UNIT</v>
          </cell>
          <cell r="I1553" t="str">
            <v>05IC106</v>
          </cell>
          <cell r="J1553" t="str">
            <v>EQ. ROOM</v>
          </cell>
          <cell r="K1553" t="str">
            <v>BMED</v>
          </cell>
          <cell r="L1553" t="str">
            <v>Critical</v>
          </cell>
          <cell r="M1553" t="str">
            <v>Germany</v>
          </cell>
          <cell r="N1553" t="str">
            <v>Storz</v>
          </cell>
          <cell r="O1553" t="str">
            <v>C-Mac 8403 ZX</v>
          </cell>
          <cell r="P1553" t="str">
            <v>UT9580</v>
          </cell>
          <cell r="Q1553" t="str">
            <v>Not Applicable</v>
          </cell>
          <cell r="R1553" t="str">
            <v>Karl Storz GmbH &amp; Co KG</v>
          </cell>
          <cell r="S1553" t="str">
            <v>MS Synergy (M) Sdn. Bhd</v>
          </cell>
          <cell r="T1553" t="str">
            <v>Functioning</v>
          </cell>
          <cell r="U1553" t="str">
            <v>Asset</v>
          </cell>
          <cell r="V1553">
            <v>49998</v>
          </cell>
          <cell r="W1553" t="str">
            <v>KEW</v>
          </cell>
          <cell r="X1553" t="str">
            <v>10/10/2016</v>
          </cell>
          <cell r="Y1553" t="str">
            <v>KEW</v>
          </cell>
          <cell r="Z1553" t="str">
            <v>01/12/2016</v>
          </cell>
          <cell r="AA1553" t="str">
            <v>30/11/2017</v>
          </cell>
          <cell r="AB1553" t="str">
            <v>No</v>
          </cell>
          <cell r="AC1553" t="str">
            <v>01/12/2016</v>
          </cell>
          <cell r="AD1553" t="str">
            <v>Good</v>
          </cell>
          <cell r="AE1553" t="str">
            <v>V3 - Added Installed Facilities (New)</v>
          </cell>
          <cell r="AF1553">
            <v>43050</v>
          </cell>
          <cell r="AG1553">
            <v>3.08</v>
          </cell>
          <cell r="AH1553" t="str">
            <v>PPM</v>
          </cell>
          <cell r="AI1553" t="str">
            <v>package</v>
          </cell>
          <cell r="AJ1553" t="str">
            <v>Proposed for V3 P2.23</v>
          </cell>
          <cell r="AK1553" t="str">
            <v>KKM follow P2.23 list.</v>
          </cell>
        </row>
        <row r="1554">
          <cell r="A1554" t="str">
            <v>IKN401337</v>
          </cell>
          <cell r="B1554">
            <v>1331</v>
          </cell>
          <cell r="C1554" t="str">
            <v>Institut Kanser Negara</v>
          </cell>
          <cell r="D1554" t="str">
            <v>KKM/IKN/H/13/3781</v>
          </cell>
          <cell r="E1554" t="str">
            <v>13-325</v>
          </cell>
          <cell r="F1554" t="str">
            <v>Regulators, Suction</v>
          </cell>
          <cell r="G1554" t="str">
            <v>OT</v>
          </cell>
          <cell r="H1554" t="str">
            <v>OPERATING THEATRE</v>
          </cell>
          <cell r="I1554" t="str">
            <v>05OT123</v>
          </cell>
          <cell r="J1554" t="str">
            <v>0T 1</v>
          </cell>
          <cell r="K1554" t="str">
            <v>BMED</v>
          </cell>
          <cell r="L1554" t="str">
            <v>Normal</v>
          </cell>
          <cell r="M1554" t="str">
            <v>United Kingdom</v>
          </cell>
          <cell r="N1554" t="str">
            <v>MGE</v>
          </cell>
          <cell r="O1554" t="str">
            <v>SAM 54</v>
          </cell>
          <cell r="P1554" t="str">
            <v>MG 013649</v>
          </cell>
          <cell r="Q1554" t="str">
            <v>Not Applicable</v>
          </cell>
          <cell r="R1554" t="str">
            <v>MGE</v>
          </cell>
          <cell r="S1554" t="str">
            <v>Delta Medisains</v>
          </cell>
          <cell r="T1554" t="str">
            <v>Functioning</v>
          </cell>
          <cell r="U1554" t="str">
            <v>Asset</v>
          </cell>
          <cell r="V1554">
            <v>4330</v>
          </cell>
          <cell r="W1554" t="str">
            <v>KEW</v>
          </cell>
          <cell r="X1554" t="str">
            <v>01/09/2010</v>
          </cell>
          <cell r="Y1554" t="str">
            <v>KEW</v>
          </cell>
          <cell r="Z1554" t="str">
            <v>16/08/2013</v>
          </cell>
          <cell r="AA1554" t="str">
            <v>15/08/2015</v>
          </cell>
          <cell r="AB1554" t="str">
            <v>No</v>
          </cell>
          <cell r="AC1554" t="str">
            <v>31/08/2013</v>
          </cell>
          <cell r="AD1554" t="str">
            <v>Good</v>
          </cell>
          <cell r="AE1554" t="str">
            <v>V1 - Existing / No Claim</v>
          </cell>
          <cell r="AF1554">
            <v>42920</v>
          </cell>
          <cell r="AG1554">
            <v>9.17</v>
          </cell>
          <cell r="AH1554" t="str">
            <v>RI</v>
          </cell>
          <cell r="AI1554" t="str">
            <v>Strands</v>
          </cell>
          <cell r="AJ1554" t="str">
            <v>Strands PW</v>
          </cell>
        </row>
        <row r="1555">
          <cell r="A1555" t="str">
            <v>IKN401339</v>
          </cell>
          <cell r="B1555">
            <v>1333</v>
          </cell>
          <cell r="C1555" t="str">
            <v>Institut Kanser Negara</v>
          </cell>
          <cell r="D1555" t="str">
            <v>KKM/IKN/H/14/113</v>
          </cell>
          <cell r="E1555" t="str">
            <v>11-295</v>
          </cell>
          <cell r="F1555" t="str">
            <v>Dosimeters, Radiation</v>
          </cell>
          <cell r="G1555" t="str">
            <v>NM</v>
          </cell>
          <cell r="H1555" t="str">
            <v>NUCLEAR MED (DIAGNOSTIC)</v>
          </cell>
          <cell r="I1555" t="str">
            <v>03NM180</v>
          </cell>
          <cell r="J1555" t="str">
            <v>GEN.OFFICE</v>
          </cell>
          <cell r="K1555" t="str">
            <v>BMED</v>
          </cell>
          <cell r="L1555" t="str">
            <v>Normal</v>
          </cell>
          <cell r="M1555" t="str">
            <v>Japan</v>
          </cell>
          <cell r="N1555" t="str">
            <v>Aloka</v>
          </cell>
          <cell r="O1555" t="str">
            <v>PDM-222C-SH</v>
          </cell>
          <cell r="P1555" t="str">
            <v>203V1528</v>
          </cell>
          <cell r="Q1555" t="str">
            <v>Not Applicable</v>
          </cell>
          <cell r="R1555" t="str">
            <v>Hitachi Aloka Medical Co Ltd</v>
          </cell>
          <cell r="S1555" t="str">
            <v>Elite</v>
          </cell>
          <cell r="T1555" t="str">
            <v>Functioning</v>
          </cell>
          <cell r="U1555" t="str">
            <v>Asset</v>
          </cell>
          <cell r="V1555">
            <v>1883</v>
          </cell>
          <cell r="W1555" t="str">
            <v>KEW</v>
          </cell>
          <cell r="X1555" t="str">
            <v>06/11/2014</v>
          </cell>
          <cell r="Y1555" t="str">
            <v>KEW</v>
          </cell>
          <cell r="Z1555" t="str">
            <v>05/12/2014</v>
          </cell>
          <cell r="AA1555" t="str">
            <v>04/12/2016</v>
          </cell>
          <cell r="AB1555" t="str">
            <v>No</v>
          </cell>
          <cell r="AC1555" t="str">
            <v>05/12/2014</v>
          </cell>
          <cell r="AD1555" t="str">
            <v>Good</v>
          </cell>
          <cell r="AE1555" t="str">
            <v>V3 - Added Installed Facilities (New)</v>
          </cell>
          <cell r="AF1555">
            <v>43404</v>
          </cell>
          <cell r="AG1555">
            <v>5</v>
          </cell>
          <cell r="AH1555" t="str">
            <v>PPM</v>
          </cell>
          <cell r="AI1555" t="str">
            <v>Strands</v>
          </cell>
          <cell r="AJ1555" t="str">
            <v>Strands PW</v>
          </cell>
          <cell r="AK1555" t="str">
            <v>SNF received. 1st batch of V3 asset (December 2020)</v>
          </cell>
        </row>
        <row r="1556">
          <cell r="A1556" t="str">
            <v>IKN401340</v>
          </cell>
          <cell r="B1556">
            <v>1334</v>
          </cell>
          <cell r="C1556" t="str">
            <v>Institut Kanser Negara</v>
          </cell>
          <cell r="D1556" t="str">
            <v>KKM/IKN/H/14/103</v>
          </cell>
          <cell r="E1556" t="str">
            <v>11-295</v>
          </cell>
          <cell r="F1556" t="str">
            <v>Dosimeters, Radiation</v>
          </cell>
          <cell r="G1556" t="str">
            <v>NM</v>
          </cell>
          <cell r="H1556" t="str">
            <v>NUCLEAR MED (DIAGNOSTIC)</v>
          </cell>
          <cell r="I1556" t="str">
            <v>03NM180</v>
          </cell>
          <cell r="J1556" t="str">
            <v>GEN.OFFICE</v>
          </cell>
          <cell r="K1556" t="str">
            <v>BMED</v>
          </cell>
          <cell r="L1556" t="str">
            <v>Normal</v>
          </cell>
          <cell r="M1556" t="str">
            <v>Japan</v>
          </cell>
          <cell r="N1556" t="str">
            <v>Aloka</v>
          </cell>
          <cell r="O1556" t="str">
            <v>PDM-222C-SH</v>
          </cell>
          <cell r="P1556" t="str">
            <v>203V1518</v>
          </cell>
          <cell r="Q1556" t="str">
            <v>Not Applicable</v>
          </cell>
          <cell r="R1556" t="str">
            <v>Hitachi Aloka Medical Co Ltd</v>
          </cell>
          <cell r="S1556" t="str">
            <v>Elite</v>
          </cell>
          <cell r="T1556" t="str">
            <v>Functioning</v>
          </cell>
          <cell r="U1556" t="str">
            <v>Asset</v>
          </cell>
          <cell r="V1556">
            <v>1883</v>
          </cell>
          <cell r="W1556" t="str">
            <v>KEW</v>
          </cell>
          <cell r="X1556" t="str">
            <v>06/11/2014</v>
          </cell>
          <cell r="Y1556" t="str">
            <v>KEW</v>
          </cell>
          <cell r="Z1556" t="str">
            <v>05/12/2014</v>
          </cell>
          <cell r="AA1556" t="str">
            <v>04/12/2016</v>
          </cell>
          <cell r="AB1556" t="str">
            <v>No</v>
          </cell>
          <cell r="AC1556" t="str">
            <v>05/12/2014</v>
          </cell>
          <cell r="AD1556" t="str">
            <v>Good</v>
          </cell>
          <cell r="AE1556" t="str">
            <v>V3 - Added Installed Facilities (New)</v>
          </cell>
          <cell r="AF1556">
            <v>43404</v>
          </cell>
          <cell r="AG1556">
            <v>5</v>
          </cell>
          <cell r="AH1556" t="str">
            <v>PPM</v>
          </cell>
          <cell r="AI1556" t="str">
            <v>Strands</v>
          </cell>
          <cell r="AJ1556" t="str">
            <v>Strands PW</v>
          </cell>
          <cell r="AK1556" t="str">
            <v>SNF received. 1st batch of V3 asset (December 2020)</v>
          </cell>
        </row>
        <row r="1557">
          <cell r="A1557" t="str">
            <v>IKN401341</v>
          </cell>
          <cell r="B1557">
            <v>1335</v>
          </cell>
          <cell r="C1557" t="str">
            <v>Institut Kanser Negara</v>
          </cell>
          <cell r="D1557" t="str">
            <v>KKM/IKN/H/14/104</v>
          </cell>
          <cell r="E1557" t="str">
            <v>11-295</v>
          </cell>
          <cell r="F1557" t="str">
            <v>Dosimeters, Radiation</v>
          </cell>
          <cell r="G1557" t="str">
            <v>NM</v>
          </cell>
          <cell r="H1557" t="str">
            <v>NUCLEAR MED (DIAGNOSTIC)</v>
          </cell>
          <cell r="I1557" t="str">
            <v>03NM180</v>
          </cell>
          <cell r="J1557" t="str">
            <v>GEN.OFFICE</v>
          </cell>
          <cell r="K1557" t="str">
            <v>BMED</v>
          </cell>
          <cell r="L1557" t="str">
            <v>Normal</v>
          </cell>
          <cell r="M1557" t="str">
            <v>Japan</v>
          </cell>
          <cell r="N1557" t="str">
            <v>Aloka</v>
          </cell>
          <cell r="O1557" t="str">
            <v>PDM-222C-SH</v>
          </cell>
          <cell r="P1557" t="str">
            <v>203V1519</v>
          </cell>
          <cell r="Q1557" t="str">
            <v>Not Applicable</v>
          </cell>
          <cell r="R1557" t="str">
            <v>Hitachi Aloka Medical Co Ltd</v>
          </cell>
          <cell r="S1557" t="str">
            <v>Elite</v>
          </cell>
          <cell r="T1557" t="str">
            <v>Functioning</v>
          </cell>
          <cell r="U1557" t="str">
            <v>Asset</v>
          </cell>
          <cell r="V1557">
            <v>1883</v>
          </cell>
          <cell r="W1557" t="str">
            <v>KEW</v>
          </cell>
          <cell r="X1557" t="str">
            <v>06/11/2014</v>
          </cell>
          <cell r="Y1557" t="str">
            <v>KEW</v>
          </cell>
          <cell r="Z1557" t="str">
            <v>05/12/2014</v>
          </cell>
          <cell r="AA1557" t="str">
            <v>04/12/2016</v>
          </cell>
          <cell r="AB1557" t="str">
            <v>No</v>
          </cell>
          <cell r="AC1557" t="str">
            <v>05/12/2014</v>
          </cell>
          <cell r="AD1557" t="str">
            <v>Good</v>
          </cell>
          <cell r="AE1557" t="str">
            <v>V3 - Added Installed Facilities (New)</v>
          </cell>
          <cell r="AF1557">
            <v>43404</v>
          </cell>
          <cell r="AG1557">
            <v>5</v>
          </cell>
          <cell r="AH1557" t="str">
            <v>PPM</v>
          </cell>
          <cell r="AI1557" t="str">
            <v>Strands</v>
          </cell>
          <cell r="AJ1557" t="str">
            <v>Strands PW</v>
          </cell>
          <cell r="AK1557" t="str">
            <v>SNF received. 1st batch of V3 asset (December 2020)</v>
          </cell>
        </row>
        <row r="1558">
          <cell r="A1558" t="str">
            <v>IKN401342</v>
          </cell>
          <cell r="B1558">
            <v>1336</v>
          </cell>
          <cell r="C1558" t="str">
            <v>Institut Kanser Negara</v>
          </cell>
          <cell r="D1558" t="str">
            <v>KKM/IKN/H/14/105</v>
          </cell>
          <cell r="E1558" t="str">
            <v>11-295</v>
          </cell>
          <cell r="F1558" t="str">
            <v>Dosimeters, Radiation</v>
          </cell>
          <cell r="G1558" t="str">
            <v>NM</v>
          </cell>
          <cell r="H1558" t="str">
            <v>NUCLEAR MED (DIAGNOSTIC)</v>
          </cell>
          <cell r="I1558" t="str">
            <v>03NM180</v>
          </cell>
          <cell r="J1558" t="str">
            <v>GEN.OFFICE</v>
          </cell>
          <cell r="K1558" t="str">
            <v>BMED</v>
          </cell>
          <cell r="L1558" t="str">
            <v>Normal</v>
          </cell>
          <cell r="M1558" t="str">
            <v>Japan</v>
          </cell>
          <cell r="N1558" t="str">
            <v>Aloka</v>
          </cell>
          <cell r="O1558" t="str">
            <v>PDM-222C-SH</v>
          </cell>
          <cell r="P1558" t="str">
            <v>203V1520</v>
          </cell>
          <cell r="Q1558" t="str">
            <v>Not Applicable</v>
          </cell>
          <cell r="R1558" t="str">
            <v>Hitachi Aloka Medical Co Ltd</v>
          </cell>
          <cell r="S1558" t="str">
            <v>Elite</v>
          </cell>
          <cell r="T1558" t="str">
            <v>Functioning</v>
          </cell>
          <cell r="U1558" t="str">
            <v>Asset</v>
          </cell>
          <cell r="V1558">
            <v>1883</v>
          </cell>
          <cell r="W1558" t="str">
            <v>KEW</v>
          </cell>
          <cell r="X1558" t="str">
            <v>06/11/2014</v>
          </cell>
          <cell r="Y1558" t="str">
            <v>KEW</v>
          </cell>
          <cell r="Z1558" t="str">
            <v>05/12/2014</v>
          </cell>
          <cell r="AA1558" t="str">
            <v>04/12/2016</v>
          </cell>
          <cell r="AB1558" t="str">
            <v>No</v>
          </cell>
          <cell r="AC1558" t="str">
            <v>05/12/2014</v>
          </cell>
          <cell r="AD1558" t="str">
            <v>Good</v>
          </cell>
          <cell r="AE1558" t="str">
            <v>V3 - Added Installed Facilities (New)</v>
          </cell>
          <cell r="AF1558">
            <v>43404</v>
          </cell>
          <cell r="AG1558">
            <v>5</v>
          </cell>
          <cell r="AH1558" t="str">
            <v>PPM</v>
          </cell>
          <cell r="AI1558" t="str">
            <v>Strands</v>
          </cell>
          <cell r="AJ1558" t="str">
            <v>Strands PW</v>
          </cell>
          <cell r="AK1558" t="str">
            <v>SNF received. 1st batch of V3 asset (December 2020). [22/4/2024, ANIS]: ASSET HILANG.</v>
          </cell>
        </row>
        <row r="1559">
          <cell r="A1559" t="str">
            <v>IKN401343</v>
          </cell>
          <cell r="B1559">
            <v>1337</v>
          </cell>
          <cell r="C1559" t="str">
            <v>Institut Kanser Negara</v>
          </cell>
          <cell r="D1559" t="str">
            <v>KKM/IKN/H/14/106</v>
          </cell>
          <cell r="E1559" t="str">
            <v>11-295</v>
          </cell>
          <cell r="F1559" t="str">
            <v>Dosimeters, Radiation</v>
          </cell>
          <cell r="G1559" t="str">
            <v>NM</v>
          </cell>
          <cell r="H1559" t="str">
            <v>NUCLEAR MED (DIAGNOSTIC)</v>
          </cell>
          <cell r="I1559" t="str">
            <v>03NM180</v>
          </cell>
          <cell r="J1559" t="str">
            <v>GEN.OFFICE</v>
          </cell>
          <cell r="K1559" t="str">
            <v>BMED</v>
          </cell>
          <cell r="L1559" t="str">
            <v>Normal</v>
          </cell>
          <cell r="M1559" t="str">
            <v>Japan</v>
          </cell>
          <cell r="N1559" t="str">
            <v>Aloka</v>
          </cell>
          <cell r="O1559" t="str">
            <v>PDM-222C-SH</v>
          </cell>
          <cell r="P1559" t="str">
            <v>203V1521</v>
          </cell>
          <cell r="Q1559" t="str">
            <v>Not Applicable</v>
          </cell>
          <cell r="R1559" t="str">
            <v>Hitachi Aloka Medical Co Ltd</v>
          </cell>
          <cell r="S1559" t="str">
            <v>Elite</v>
          </cell>
          <cell r="T1559" t="str">
            <v>Functioning</v>
          </cell>
          <cell r="U1559" t="str">
            <v>Asset</v>
          </cell>
          <cell r="V1559">
            <v>1883</v>
          </cell>
          <cell r="W1559" t="str">
            <v>KEW</v>
          </cell>
          <cell r="X1559" t="str">
            <v>06/11/2014</v>
          </cell>
          <cell r="Y1559" t="str">
            <v>KEW</v>
          </cell>
          <cell r="Z1559" t="str">
            <v>05/12/2014</v>
          </cell>
          <cell r="AA1559" t="str">
            <v>04/12/2016</v>
          </cell>
          <cell r="AB1559" t="str">
            <v>No</v>
          </cell>
          <cell r="AC1559" t="str">
            <v>05/12/2014</v>
          </cell>
          <cell r="AD1559" t="str">
            <v>Good</v>
          </cell>
          <cell r="AE1559" t="str">
            <v>V3 - Added Installed Facilities (New)</v>
          </cell>
          <cell r="AF1559">
            <v>43404</v>
          </cell>
          <cell r="AG1559">
            <v>5</v>
          </cell>
          <cell r="AH1559" t="str">
            <v>PPM</v>
          </cell>
          <cell r="AI1559" t="str">
            <v>Strands</v>
          </cell>
          <cell r="AJ1559" t="str">
            <v>Strands PW</v>
          </cell>
          <cell r="AK1559" t="str">
            <v>SNF received. 1st batch of V3 asset (December 2020)</v>
          </cell>
        </row>
        <row r="1560">
          <cell r="A1560" t="str">
            <v>IKN401344</v>
          </cell>
          <cell r="B1560">
            <v>1338</v>
          </cell>
          <cell r="C1560" t="str">
            <v>Institut Kanser Negara</v>
          </cell>
          <cell r="D1560" t="str">
            <v>KKM/IKN/H/14/108</v>
          </cell>
          <cell r="E1560" t="str">
            <v>11-295</v>
          </cell>
          <cell r="F1560" t="str">
            <v>Dosimeters, Radiation</v>
          </cell>
          <cell r="G1560" t="str">
            <v>NM</v>
          </cell>
          <cell r="H1560" t="str">
            <v>NUCLEAR MED (DIAGNOSTIC)</v>
          </cell>
          <cell r="I1560" t="str">
            <v>03NM180</v>
          </cell>
          <cell r="J1560" t="str">
            <v>GEN.OFFICE</v>
          </cell>
          <cell r="K1560" t="str">
            <v>BMED</v>
          </cell>
          <cell r="L1560" t="str">
            <v>Normal</v>
          </cell>
          <cell r="M1560" t="str">
            <v>Japan</v>
          </cell>
          <cell r="N1560" t="str">
            <v>Aloka</v>
          </cell>
          <cell r="O1560" t="str">
            <v>PDM-222C-SH</v>
          </cell>
          <cell r="P1560" t="str">
            <v>203V1523</v>
          </cell>
          <cell r="Q1560" t="str">
            <v>Not Applicable</v>
          </cell>
          <cell r="R1560" t="str">
            <v>Hitachi Aloka Medical Co Ltd</v>
          </cell>
          <cell r="S1560" t="str">
            <v>Elite</v>
          </cell>
          <cell r="T1560" t="str">
            <v>Functioning</v>
          </cell>
          <cell r="U1560" t="str">
            <v>Asset</v>
          </cell>
          <cell r="V1560">
            <v>1883</v>
          </cell>
          <cell r="W1560" t="str">
            <v>KEW</v>
          </cell>
          <cell r="X1560" t="str">
            <v>06/11/2014</v>
          </cell>
          <cell r="Y1560" t="str">
            <v>KEW</v>
          </cell>
          <cell r="Z1560" t="str">
            <v>05/12/2014</v>
          </cell>
          <cell r="AA1560" t="str">
            <v>04/12/2016</v>
          </cell>
          <cell r="AB1560" t="str">
            <v>No</v>
          </cell>
          <cell r="AC1560" t="str">
            <v>05/12/2014</v>
          </cell>
          <cell r="AD1560" t="str">
            <v>Good</v>
          </cell>
          <cell r="AE1560" t="str">
            <v>V3 - Added Installed Facilities (New)</v>
          </cell>
          <cell r="AF1560">
            <v>43404</v>
          </cell>
          <cell r="AG1560">
            <v>5</v>
          </cell>
          <cell r="AH1560" t="str">
            <v>PPM</v>
          </cell>
          <cell r="AI1560" t="str">
            <v>Strands</v>
          </cell>
          <cell r="AJ1560" t="str">
            <v>Strands PW</v>
          </cell>
          <cell r="AK1560" t="str">
            <v>SNF received. 1st batch of V3 asset (December 2020)</v>
          </cell>
        </row>
        <row r="1561">
          <cell r="A1561" t="str">
            <v>IKN401346</v>
          </cell>
          <cell r="B1561">
            <v>1340</v>
          </cell>
          <cell r="C1561" t="str">
            <v>Institut Kanser Negara</v>
          </cell>
          <cell r="D1561" t="str">
            <v>KKM/IKN/H/14/114</v>
          </cell>
          <cell r="E1561" t="str">
            <v>11-295</v>
          </cell>
          <cell r="F1561" t="str">
            <v>Dosimeters, Radiation</v>
          </cell>
          <cell r="G1561" t="str">
            <v>NM</v>
          </cell>
          <cell r="H1561" t="str">
            <v>NUCLEAR MED (DIAGNOSTIC)</v>
          </cell>
          <cell r="I1561" t="str">
            <v>03NM180</v>
          </cell>
          <cell r="J1561" t="str">
            <v>GEN.OFFICE</v>
          </cell>
          <cell r="K1561" t="str">
            <v>BMED</v>
          </cell>
          <cell r="L1561" t="str">
            <v>Normal</v>
          </cell>
          <cell r="M1561" t="str">
            <v>Japan</v>
          </cell>
          <cell r="N1561" t="str">
            <v>Aloka</v>
          </cell>
          <cell r="O1561" t="str">
            <v>PDM-222C-SH</v>
          </cell>
          <cell r="P1561" t="str">
            <v>203V1529</v>
          </cell>
          <cell r="Q1561" t="str">
            <v>Not Applicable</v>
          </cell>
          <cell r="R1561" t="str">
            <v>Hitachi Aloka Medical Co Ltd</v>
          </cell>
          <cell r="S1561" t="str">
            <v>Elite</v>
          </cell>
          <cell r="T1561" t="str">
            <v>Functioning</v>
          </cell>
          <cell r="U1561" t="str">
            <v>Asset</v>
          </cell>
          <cell r="V1561">
            <v>1883</v>
          </cell>
          <cell r="W1561" t="str">
            <v>KEW</v>
          </cell>
          <cell r="X1561" t="str">
            <v>06/11/2014</v>
          </cell>
          <cell r="Y1561" t="str">
            <v>KEW</v>
          </cell>
          <cell r="Z1561" t="str">
            <v>05/12/2014</v>
          </cell>
          <cell r="AA1561" t="str">
            <v>04/12/2016</v>
          </cell>
          <cell r="AB1561" t="str">
            <v>No</v>
          </cell>
          <cell r="AC1561" t="str">
            <v>05/12/2014</v>
          </cell>
          <cell r="AD1561" t="str">
            <v>Good</v>
          </cell>
          <cell r="AE1561" t="str">
            <v>V3 - Added Installed Facilities (New)</v>
          </cell>
          <cell r="AF1561">
            <v>43404</v>
          </cell>
          <cell r="AG1561">
            <v>5</v>
          </cell>
          <cell r="AH1561" t="str">
            <v>PPM</v>
          </cell>
          <cell r="AI1561" t="str">
            <v>Strands</v>
          </cell>
          <cell r="AJ1561" t="str">
            <v>Strands PW</v>
          </cell>
          <cell r="AK1561" t="str">
            <v>SNF received. 1st batch of V3 asset (December 2020)</v>
          </cell>
        </row>
        <row r="1562">
          <cell r="A1562" t="str">
            <v>IKN401347</v>
          </cell>
          <cell r="B1562">
            <v>1341</v>
          </cell>
          <cell r="C1562" t="str">
            <v>Institut Kanser Negara</v>
          </cell>
          <cell r="D1562" t="str">
            <v>KKM/IKN/H/14/112</v>
          </cell>
          <cell r="E1562" t="str">
            <v>11-295</v>
          </cell>
          <cell r="F1562" t="str">
            <v>Dosimeters, Radiation</v>
          </cell>
          <cell r="G1562" t="str">
            <v>NM</v>
          </cell>
          <cell r="H1562" t="str">
            <v>NUCLEAR MED (DIAGNOSTIC)</v>
          </cell>
          <cell r="I1562" t="str">
            <v>03NM180</v>
          </cell>
          <cell r="J1562" t="str">
            <v>GEN.OFFICE</v>
          </cell>
          <cell r="K1562" t="str">
            <v>BMED</v>
          </cell>
          <cell r="L1562" t="str">
            <v>Normal</v>
          </cell>
          <cell r="M1562" t="str">
            <v>Japan</v>
          </cell>
          <cell r="N1562" t="str">
            <v>Aloka</v>
          </cell>
          <cell r="O1562" t="str">
            <v>PDM-222C-SH</v>
          </cell>
          <cell r="P1562" t="str">
            <v>203V1527</v>
          </cell>
          <cell r="Q1562" t="str">
            <v>Not Applicable</v>
          </cell>
          <cell r="R1562" t="str">
            <v>Hitachi Aloka Medical Co Ltd</v>
          </cell>
          <cell r="S1562" t="str">
            <v>Elite</v>
          </cell>
          <cell r="T1562" t="str">
            <v>Functioning</v>
          </cell>
          <cell r="U1562" t="str">
            <v>Asset</v>
          </cell>
          <cell r="V1562">
            <v>1883</v>
          </cell>
          <cell r="W1562" t="str">
            <v>KEW</v>
          </cell>
          <cell r="X1562" t="str">
            <v>06/11/2014</v>
          </cell>
          <cell r="Y1562" t="str">
            <v>KEW</v>
          </cell>
          <cell r="Z1562" t="str">
            <v>05/12/2014</v>
          </cell>
          <cell r="AA1562" t="str">
            <v>04/12/2016</v>
          </cell>
          <cell r="AB1562" t="str">
            <v>No</v>
          </cell>
          <cell r="AC1562" t="str">
            <v>05/12/2014</v>
          </cell>
          <cell r="AD1562" t="str">
            <v>Good</v>
          </cell>
          <cell r="AE1562" t="str">
            <v>V3 - Added Installed Facilities (New)</v>
          </cell>
          <cell r="AF1562">
            <v>43404</v>
          </cell>
          <cell r="AG1562">
            <v>5</v>
          </cell>
          <cell r="AH1562" t="str">
            <v>PPM</v>
          </cell>
          <cell r="AI1562" t="str">
            <v>Strands</v>
          </cell>
          <cell r="AJ1562" t="str">
            <v>Strands PW</v>
          </cell>
          <cell r="AK1562" t="str">
            <v>SNF received. 1st batch of V3 asset (December 2020)</v>
          </cell>
        </row>
        <row r="1563">
          <cell r="A1563" t="str">
            <v>IKN401348</v>
          </cell>
          <cell r="B1563">
            <v>1342</v>
          </cell>
          <cell r="C1563" t="str">
            <v>Institut Kanser Negara</v>
          </cell>
          <cell r="D1563" t="str">
            <v>KKM/IKN/H/14/111</v>
          </cell>
          <cell r="E1563" t="str">
            <v>11-295</v>
          </cell>
          <cell r="F1563" t="str">
            <v>Dosimeters, Radiation</v>
          </cell>
          <cell r="G1563" t="str">
            <v>NM</v>
          </cell>
          <cell r="H1563" t="str">
            <v>NUCLEAR MED (DIAGNOSTIC)</v>
          </cell>
          <cell r="I1563" t="str">
            <v>03NM180</v>
          </cell>
          <cell r="J1563" t="str">
            <v>GEN.OFFICE</v>
          </cell>
          <cell r="K1563" t="str">
            <v>BMED</v>
          </cell>
          <cell r="L1563" t="str">
            <v>Normal</v>
          </cell>
          <cell r="M1563" t="str">
            <v>Japan</v>
          </cell>
          <cell r="N1563" t="str">
            <v>Aloka</v>
          </cell>
          <cell r="O1563" t="str">
            <v>PDM-222C-SH</v>
          </cell>
          <cell r="P1563" t="str">
            <v>203V1526</v>
          </cell>
          <cell r="Q1563" t="str">
            <v>Not Applicable</v>
          </cell>
          <cell r="R1563" t="str">
            <v>Hitachi Aloka Medical Co Ltd</v>
          </cell>
          <cell r="S1563" t="str">
            <v>Elite</v>
          </cell>
          <cell r="T1563" t="str">
            <v>Functioning</v>
          </cell>
          <cell r="U1563" t="str">
            <v>Asset</v>
          </cell>
          <cell r="V1563">
            <v>1883</v>
          </cell>
          <cell r="W1563" t="str">
            <v>KEW</v>
          </cell>
          <cell r="X1563" t="str">
            <v>06/11/2014</v>
          </cell>
          <cell r="Y1563" t="str">
            <v>KEW</v>
          </cell>
          <cell r="Z1563" t="str">
            <v>05/12/2014</v>
          </cell>
          <cell r="AA1563" t="str">
            <v>04/12/2016</v>
          </cell>
          <cell r="AB1563" t="str">
            <v>No</v>
          </cell>
          <cell r="AC1563" t="str">
            <v>05/12/2014</v>
          </cell>
          <cell r="AD1563" t="str">
            <v>Good</v>
          </cell>
          <cell r="AE1563" t="str">
            <v>V3 - Added Installed Facilities (New)</v>
          </cell>
          <cell r="AF1563">
            <v>43404</v>
          </cell>
          <cell r="AG1563">
            <v>5</v>
          </cell>
          <cell r="AH1563" t="str">
            <v>PPM</v>
          </cell>
          <cell r="AI1563" t="str">
            <v>Strands</v>
          </cell>
          <cell r="AJ1563" t="str">
            <v>Strands PW</v>
          </cell>
          <cell r="AK1563" t="str">
            <v>SNF received. 1st batch of V3 asset (December 2020)</v>
          </cell>
        </row>
        <row r="1564">
          <cell r="A1564" t="str">
            <v>IKN401349</v>
          </cell>
          <cell r="B1564">
            <v>1343</v>
          </cell>
          <cell r="C1564" t="str">
            <v>Institut Kanser Negara</v>
          </cell>
          <cell r="D1564" t="str">
            <v>KKM/IKN/H/14/110</v>
          </cell>
          <cell r="E1564" t="str">
            <v>11-295</v>
          </cell>
          <cell r="F1564" t="str">
            <v>Dosimeters, Radiation</v>
          </cell>
          <cell r="G1564" t="str">
            <v>NM</v>
          </cell>
          <cell r="H1564" t="str">
            <v>NUCLEAR MED (DIAGNOSTIC)</v>
          </cell>
          <cell r="I1564" t="str">
            <v>03NM180</v>
          </cell>
          <cell r="J1564" t="str">
            <v>GEN.OFFICE</v>
          </cell>
          <cell r="K1564" t="str">
            <v>BMED</v>
          </cell>
          <cell r="L1564" t="str">
            <v>Normal</v>
          </cell>
          <cell r="M1564" t="str">
            <v>Japan</v>
          </cell>
          <cell r="N1564" t="str">
            <v>Aloka</v>
          </cell>
          <cell r="O1564" t="str">
            <v>PDM-222C-SH</v>
          </cell>
          <cell r="P1564" t="str">
            <v>203V1525</v>
          </cell>
          <cell r="Q1564" t="str">
            <v>Not Applicable</v>
          </cell>
          <cell r="R1564" t="str">
            <v>Hitachi Aloka Medical Co Ltd</v>
          </cell>
          <cell r="S1564" t="str">
            <v>Elite</v>
          </cell>
          <cell r="T1564" t="str">
            <v>Functioning</v>
          </cell>
          <cell r="U1564" t="str">
            <v>Asset</v>
          </cell>
          <cell r="V1564">
            <v>1883</v>
          </cell>
          <cell r="W1564" t="str">
            <v>KEW</v>
          </cell>
          <cell r="X1564" t="str">
            <v>06/11/2014</v>
          </cell>
          <cell r="Y1564" t="str">
            <v>KEW</v>
          </cell>
          <cell r="Z1564" t="str">
            <v>05/12/2014</v>
          </cell>
          <cell r="AA1564" t="str">
            <v>04/12/2016</v>
          </cell>
          <cell r="AB1564" t="str">
            <v>No</v>
          </cell>
          <cell r="AC1564" t="str">
            <v>05/12/2014</v>
          </cell>
          <cell r="AD1564" t="str">
            <v>Good</v>
          </cell>
          <cell r="AE1564" t="str">
            <v>V3 - Added Installed Facilities (New)</v>
          </cell>
          <cell r="AF1564">
            <v>43404</v>
          </cell>
          <cell r="AG1564">
            <v>5</v>
          </cell>
          <cell r="AH1564" t="str">
            <v>PPM</v>
          </cell>
          <cell r="AI1564" t="str">
            <v>Strands</v>
          </cell>
          <cell r="AJ1564" t="str">
            <v>Strands PW</v>
          </cell>
          <cell r="AK1564" t="str">
            <v>SNF received. 1st batch of V3 asset (December 2020)</v>
          </cell>
        </row>
        <row r="1565">
          <cell r="A1565" t="str">
            <v>IKN401350</v>
          </cell>
          <cell r="B1565">
            <v>1344</v>
          </cell>
          <cell r="C1565" t="str">
            <v>Institut Kanser Negara</v>
          </cell>
          <cell r="D1565" t="str">
            <v>KKM/IKN/H/14/102</v>
          </cell>
          <cell r="E1565" t="str">
            <v>11-295</v>
          </cell>
          <cell r="F1565" t="str">
            <v>Dosimeters, Radiation</v>
          </cell>
          <cell r="G1565" t="str">
            <v>NM</v>
          </cell>
          <cell r="H1565" t="str">
            <v>NUCLEAR MED (DIAGNOSTIC)</v>
          </cell>
          <cell r="I1565" t="str">
            <v>03NM180</v>
          </cell>
          <cell r="J1565" t="str">
            <v>GEN.OFFICE</v>
          </cell>
          <cell r="K1565" t="str">
            <v>BMED</v>
          </cell>
          <cell r="L1565" t="str">
            <v>Normal</v>
          </cell>
          <cell r="M1565" t="str">
            <v>Japan</v>
          </cell>
          <cell r="N1565" t="str">
            <v>Aloka</v>
          </cell>
          <cell r="O1565" t="str">
            <v>PDM-222C-SH</v>
          </cell>
          <cell r="P1565" t="str">
            <v>203V1531</v>
          </cell>
          <cell r="Q1565" t="str">
            <v>Not Applicable</v>
          </cell>
          <cell r="R1565" t="str">
            <v>Hitachi Aloka Medical Co Ltd</v>
          </cell>
          <cell r="S1565" t="str">
            <v>Elite</v>
          </cell>
          <cell r="T1565" t="str">
            <v>Functioning</v>
          </cell>
          <cell r="U1565" t="str">
            <v>Asset</v>
          </cell>
          <cell r="V1565">
            <v>1883</v>
          </cell>
          <cell r="W1565" t="str">
            <v>KEW</v>
          </cell>
          <cell r="X1565" t="str">
            <v>06/11/2014</v>
          </cell>
          <cell r="Y1565" t="str">
            <v>KEW</v>
          </cell>
          <cell r="Z1565" t="str">
            <v>05/12/2014</v>
          </cell>
          <cell r="AA1565" t="str">
            <v>04/12/2016</v>
          </cell>
          <cell r="AB1565" t="str">
            <v>No</v>
          </cell>
          <cell r="AC1565" t="str">
            <v>05/12/2014</v>
          </cell>
          <cell r="AD1565" t="str">
            <v>Good</v>
          </cell>
          <cell r="AE1565" t="str">
            <v>V3 - Added Installed Facilities (New)</v>
          </cell>
          <cell r="AF1565">
            <v>43404</v>
          </cell>
          <cell r="AG1565">
            <v>5</v>
          </cell>
          <cell r="AH1565" t="str">
            <v>PPM</v>
          </cell>
          <cell r="AI1565" t="str">
            <v>Strands</v>
          </cell>
          <cell r="AJ1565" t="str">
            <v>Strands PW</v>
          </cell>
          <cell r="AK1565" t="str">
            <v>SNF received. 1st batch of V3 asset (December 2020)</v>
          </cell>
        </row>
        <row r="1566">
          <cell r="A1566" t="str">
            <v>IKN401351</v>
          </cell>
          <cell r="B1566">
            <v>1345</v>
          </cell>
          <cell r="C1566" t="str">
            <v>Institut Kanser Negara</v>
          </cell>
          <cell r="D1566" t="str">
            <v>KKM/IKN/H/14/115</v>
          </cell>
          <cell r="E1566" t="str">
            <v>11-295</v>
          </cell>
          <cell r="F1566" t="str">
            <v>Dosimeters, Radiation</v>
          </cell>
          <cell r="G1566" t="str">
            <v>NM</v>
          </cell>
          <cell r="H1566" t="str">
            <v>NUCLEAR MED (DIAGNOSTIC)</v>
          </cell>
          <cell r="I1566" t="str">
            <v>03NM180</v>
          </cell>
          <cell r="J1566" t="str">
            <v>GEN.OFFICE</v>
          </cell>
          <cell r="K1566" t="str">
            <v>BMED</v>
          </cell>
          <cell r="L1566" t="str">
            <v>Normal</v>
          </cell>
          <cell r="M1566" t="str">
            <v>Japan</v>
          </cell>
          <cell r="N1566" t="str">
            <v>Aloka</v>
          </cell>
          <cell r="O1566" t="str">
            <v>PDM-222C-SH</v>
          </cell>
          <cell r="P1566" t="str">
            <v>203V1530</v>
          </cell>
          <cell r="Q1566" t="str">
            <v>Not Applicable</v>
          </cell>
          <cell r="R1566" t="str">
            <v>Hitachi Aloka Medical Co Ltd</v>
          </cell>
          <cell r="S1566" t="str">
            <v>Elite</v>
          </cell>
          <cell r="T1566" t="str">
            <v>Functioning</v>
          </cell>
          <cell r="U1566" t="str">
            <v>Asset</v>
          </cell>
          <cell r="V1566">
            <v>1883</v>
          </cell>
          <cell r="W1566" t="str">
            <v>KEW</v>
          </cell>
          <cell r="X1566" t="str">
            <v>06/11/2014</v>
          </cell>
          <cell r="Y1566" t="str">
            <v>KEW</v>
          </cell>
          <cell r="Z1566" t="str">
            <v>05/12/2014</v>
          </cell>
          <cell r="AA1566" t="str">
            <v>04/12/2016</v>
          </cell>
          <cell r="AB1566" t="str">
            <v>No</v>
          </cell>
          <cell r="AC1566" t="str">
            <v>05/12/2014</v>
          </cell>
          <cell r="AD1566" t="str">
            <v>Good</v>
          </cell>
          <cell r="AE1566" t="str">
            <v>V3 - Added Installed Facilities (New)</v>
          </cell>
          <cell r="AF1566">
            <v>43404</v>
          </cell>
          <cell r="AG1566">
            <v>5</v>
          </cell>
          <cell r="AH1566" t="str">
            <v>PPM</v>
          </cell>
          <cell r="AI1566" t="str">
            <v>Strands</v>
          </cell>
          <cell r="AJ1566" t="str">
            <v>Strands PW</v>
          </cell>
          <cell r="AK1566" t="str">
            <v>SNF received. 1st batch of V3 asset (December 2020).</v>
          </cell>
        </row>
        <row r="1567">
          <cell r="A1567" t="str">
            <v>IKN401352</v>
          </cell>
          <cell r="B1567">
            <v>1346</v>
          </cell>
          <cell r="C1567" t="str">
            <v>Institut Kanser Negara</v>
          </cell>
          <cell r="D1567" t="str">
            <v>KKM/IKN/H/14/107</v>
          </cell>
          <cell r="E1567" t="str">
            <v>11-295</v>
          </cell>
          <cell r="F1567" t="str">
            <v>Dosimeters, Radiation</v>
          </cell>
          <cell r="G1567" t="str">
            <v>NM</v>
          </cell>
          <cell r="H1567" t="str">
            <v>NUCLEAR MED (DIAGNOSTIC)</v>
          </cell>
          <cell r="I1567" t="str">
            <v>03NM180</v>
          </cell>
          <cell r="J1567" t="str">
            <v>GEN.OFFICE</v>
          </cell>
          <cell r="K1567" t="str">
            <v>BMED</v>
          </cell>
          <cell r="L1567" t="str">
            <v>Normal</v>
          </cell>
          <cell r="M1567" t="str">
            <v>Japan</v>
          </cell>
          <cell r="N1567" t="str">
            <v>Aloka</v>
          </cell>
          <cell r="O1567" t="str">
            <v>PDM-222C-SH</v>
          </cell>
          <cell r="P1567" t="str">
            <v>203V1522</v>
          </cell>
          <cell r="Q1567" t="str">
            <v>Not Applicable</v>
          </cell>
          <cell r="R1567" t="str">
            <v>Hitachi Aloka Medical Co Ltd</v>
          </cell>
          <cell r="S1567" t="str">
            <v>Elite</v>
          </cell>
          <cell r="T1567" t="str">
            <v>Functioning</v>
          </cell>
          <cell r="U1567" t="str">
            <v>Asset</v>
          </cell>
          <cell r="V1567">
            <v>1883</v>
          </cell>
          <cell r="W1567" t="str">
            <v>KEW</v>
          </cell>
          <cell r="X1567" t="str">
            <v>06/11/2014</v>
          </cell>
          <cell r="Y1567" t="str">
            <v>KEW</v>
          </cell>
          <cell r="Z1567" t="str">
            <v>05/12/2014</v>
          </cell>
          <cell r="AA1567" t="str">
            <v>04/12/2016</v>
          </cell>
          <cell r="AB1567" t="str">
            <v>No</v>
          </cell>
          <cell r="AC1567" t="str">
            <v>05/12/2014</v>
          </cell>
          <cell r="AD1567" t="str">
            <v>Good</v>
          </cell>
          <cell r="AE1567" t="str">
            <v>V3 - Added Installed Facilities (New)</v>
          </cell>
          <cell r="AF1567">
            <v>43404</v>
          </cell>
          <cell r="AG1567">
            <v>5</v>
          </cell>
          <cell r="AH1567" t="str">
            <v>PPM</v>
          </cell>
          <cell r="AI1567" t="str">
            <v>Strands</v>
          </cell>
          <cell r="AJ1567" t="str">
            <v>Strands PW</v>
          </cell>
          <cell r="AK1567" t="str">
            <v>SNF received. 1st batch of V3 asset (December 2020) [Masukkan dalam schedule PPM Feb 2024]</v>
          </cell>
        </row>
        <row r="1568">
          <cell r="A1568" t="str">
            <v>IKN401353</v>
          </cell>
          <cell r="B1568">
            <v>1347</v>
          </cell>
          <cell r="C1568" t="str">
            <v>Institut Kanser Negara</v>
          </cell>
          <cell r="D1568" t="str">
            <v>KKM/IKN/H/16/28</v>
          </cell>
          <cell r="E1568" t="str">
            <v>11-758</v>
          </cell>
          <cell r="F1568" t="str">
            <v>Radiographic/Fluoroscopic Units, Mobile</v>
          </cell>
          <cell r="G1568" t="str">
            <v>ID</v>
          </cell>
          <cell r="H1568" t="str">
            <v>IMAGING DEPARTMENT</v>
          </cell>
          <cell r="I1568" t="str">
            <v>05OT159</v>
          </cell>
          <cell r="J1568" t="str">
            <v>POST-OP/RECOVERY (FUTURE)</v>
          </cell>
          <cell r="K1568" t="str">
            <v>BMED</v>
          </cell>
          <cell r="L1568" t="str">
            <v>Critical</v>
          </cell>
          <cell r="M1568" t="str">
            <v>Italy</v>
          </cell>
          <cell r="N1568" t="str">
            <v>Eurocolumbus</v>
          </cell>
          <cell r="O1568" t="str">
            <v>Alien 9</v>
          </cell>
          <cell r="P1568" t="str">
            <v>1717</v>
          </cell>
          <cell r="Q1568" t="str">
            <v>Not Applicable</v>
          </cell>
          <cell r="R1568" t="str">
            <v>Eurocolumbus</v>
          </cell>
          <cell r="S1568" t="str">
            <v>Alam Medik Sdn. Bhd</v>
          </cell>
          <cell r="T1568" t="str">
            <v>Functioning</v>
          </cell>
          <cell r="U1568" t="str">
            <v>Asset</v>
          </cell>
          <cell r="V1568">
            <v>399000</v>
          </cell>
          <cell r="W1568" t="str">
            <v>KEW</v>
          </cell>
          <cell r="X1568" t="str">
            <v>25/10/2016</v>
          </cell>
          <cell r="Y1568" t="str">
            <v>KEW</v>
          </cell>
          <cell r="Z1568" t="str">
            <v>19/12/2016</v>
          </cell>
          <cell r="AA1568" t="str">
            <v>18/12/2017</v>
          </cell>
          <cell r="AB1568" t="str">
            <v>No</v>
          </cell>
          <cell r="AC1568" t="str">
            <v>19/12/2016</v>
          </cell>
          <cell r="AD1568" t="str">
            <v>Good</v>
          </cell>
          <cell r="AE1568" t="str">
            <v>V3 - Added Installed Facilities (New)</v>
          </cell>
          <cell r="AF1568">
            <v>42843</v>
          </cell>
          <cell r="AG1568">
            <v>3.08</v>
          </cell>
          <cell r="AH1568" t="str">
            <v>PPM</v>
          </cell>
          <cell r="AI1568" t="str">
            <v>Strands</v>
          </cell>
          <cell r="AJ1568" t="str">
            <v>Strands PW</v>
          </cell>
          <cell r="AK1568" t="str">
            <v>SNF received on 25.2.2020. [5/3/2024, ANIS]: Under ID tapi barang dekat GOT.</v>
          </cell>
        </row>
        <row r="1569">
          <cell r="A1569" t="str">
            <v>IKN401354</v>
          </cell>
          <cell r="B1569">
            <v>1348</v>
          </cell>
          <cell r="C1569" t="str">
            <v>Institut Kanser Negara</v>
          </cell>
          <cell r="D1569" t="str">
            <v>KKM/IKN/H/13/4634</v>
          </cell>
          <cell r="E1569" t="str">
            <v>13-209</v>
          </cell>
          <cell r="F1569" t="str">
            <v>Pumps, Enteral Feeding</v>
          </cell>
          <cell r="G1569" t="str">
            <v>DU</v>
          </cell>
          <cell r="H1569" t="str">
            <v>DIETICIAN UNIT</v>
          </cell>
          <cell r="I1569" t="str">
            <v>03DU103</v>
          </cell>
          <cell r="J1569" t="str">
            <v>COUNSELLING 1</v>
          </cell>
          <cell r="K1569" t="str">
            <v>BMED</v>
          </cell>
          <cell r="L1569" t="str">
            <v>Normal</v>
          </cell>
          <cell r="M1569" t="str">
            <v>USA</v>
          </cell>
          <cell r="N1569" t="str">
            <v>Sentinel</v>
          </cell>
          <cell r="O1569" t="str">
            <v>Sentinel S-2000</v>
          </cell>
          <cell r="P1569" t="str">
            <v>18072</v>
          </cell>
          <cell r="Q1569" t="str">
            <v>KKM/IKN/H/13/4634</v>
          </cell>
          <cell r="R1569" t="str">
            <v>Alcor Scientific Inc</v>
          </cell>
          <cell r="S1569" t="str">
            <v>Insani Damai</v>
          </cell>
          <cell r="T1569" t="str">
            <v>Functioning</v>
          </cell>
          <cell r="U1569" t="str">
            <v>Asset</v>
          </cell>
          <cell r="V1569">
            <v>2500</v>
          </cell>
          <cell r="W1569" t="str">
            <v>KEW</v>
          </cell>
          <cell r="X1569" t="str">
            <v>09/12/2013</v>
          </cell>
          <cell r="Y1569" t="str">
            <v>KEW</v>
          </cell>
          <cell r="Z1569" t="str">
            <v>10/12/2013</v>
          </cell>
          <cell r="AA1569" t="str">
            <v>09/12/2014</v>
          </cell>
          <cell r="AB1569" t="str">
            <v>No</v>
          </cell>
          <cell r="AC1569" t="str">
            <v>10/12/2013</v>
          </cell>
          <cell r="AD1569" t="str">
            <v>Good</v>
          </cell>
          <cell r="AE1569" t="str">
            <v>V3 - Added Installed Facilities (New)</v>
          </cell>
          <cell r="AF1569">
            <v>42796</v>
          </cell>
          <cell r="AG1569">
            <v>5.92</v>
          </cell>
          <cell r="AH1569" t="str">
            <v>PPM</v>
          </cell>
          <cell r="AI1569" t="str">
            <v>Strands</v>
          </cell>
          <cell r="AJ1569" t="str">
            <v>Strands PW</v>
          </cell>
          <cell r="AK1569" t="str">
            <v>SNF received. 1st batch of V3 asset (December 2020)</v>
          </cell>
        </row>
        <row r="1570">
          <cell r="A1570" t="str">
            <v>IKN401355</v>
          </cell>
          <cell r="B1570">
            <v>1349</v>
          </cell>
          <cell r="C1570" t="str">
            <v>Institut Kanser Negara</v>
          </cell>
          <cell r="D1570" t="str">
            <v>KKM/IKN/H/13/4633</v>
          </cell>
          <cell r="E1570" t="str">
            <v>13-209</v>
          </cell>
          <cell r="F1570" t="str">
            <v>Pumps, Enteral Feeding</v>
          </cell>
          <cell r="G1570" t="str">
            <v>DU</v>
          </cell>
          <cell r="H1570" t="str">
            <v>DIETICIAN UNIT</v>
          </cell>
          <cell r="I1570" t="str">
            <v>03DU103</v>
          </cell>
          <cell r="J1570" t="str">
            <v>COUNSELLING 1</v>
          </cell>
          <cell r="K1570" t="str">
            <v>BMED</v>
          </cell>
          <cell r="L1570" t="str">
            <v>Normal</v>
          </cell>
          <cell r="M1570" t="str">
            <v>USA</v>
          </cell>
          <cell r="N1570" t="str">
            <v>Sentinel</v>
          </cell>
          <cell r="O1570" t="str">
            <v>Sentinel S-2000</v>
          </cell>
          <cell r="P1570" t="str">
            <v>18024</v>
          </cell>
          <cell r="Q1570" t="str">
            <v>KKM/IKN/H/13/4633</v>
          </cell>
          <cell r="R1570" t="str">
            <v>Alcor Scientific Inc</v>
          </cell>
          <cell r="S1570" t="str">
            <v>Insani Damai</v>
          </cell>
          <cell r="T1570" t="str">
            <v>Functioning</v>
          </cell>
          <cell r="U1570" t="str">
            <v>Asset</v>
          </cell>
          <cell r="V1570">
            <v>2500</v>
          </cell>
          <cell r="W1570" t="str">
            <v>KEW</v>
          </cell>
          <cell r="X1570" t="str">
            <v>09/12/2013</v>
          </cell>
          <cell r="Y1570" t="str">
            <v>KEW</v>
          </cell>
          <cell r="Z1570" t="str">
            <v>10/12/2013</v>
          </cell>
          <cell r="AA1570" t="str">
            <v>09/12/2014</v>
          </cell>
          <cell r="AB1570" t="str">
            <v>No</v>
          </cell>
          <cell r="AC1570" t="str">
            <v>10/12/2013</v>
          </cell>
          <cell r="AD1570" t="str">
            <v>Good</v>
          </cell>
          <cell r="AE1570" t="str">
            <v>V3 - Added Installed Facilities (New)</v>
          </cell>
          <cell r="AF1570">
            <v>42796</v>
          </cell>
          <cell r="AG1570">
            <v>5.92</v>
          </cell>
          <cell r="AH1570" t="str">
            <v>PPM</v>
          </cell>
          <cell r="AI1570" t="str">
            <v>Strands</v>
          </cell>
          <cell r="AJ1570" t="str">
            <v>Strands PW</v>
          </cell>
          <cell r="AK1570" t="str">
            <v>SNF received. 1st batch of V3 asset (December 2020)</v>
          </cell>
        </row>
        <row r="1571">
          <cell r="A1571" t="str">
            <v>IKN401356</v>
          </cell>
          <cell r="B1571">
            <v>1350</v>
          </cell>
          <cell r="C1571" t="str">
            <v>Institut Kanser Negara</v>
          </cell>
          <cell r="D1571" t="str">
            <v>KKM/IKN/H/13/4490</v>
          </cell>
          <cell r="E1571" t="str">
            <v>13-209</v>
          </cell>
          <cell r="F1571" t="str">
            <v>Pumps, Enteral Feeding</v>
          </cell>
          <cell r="G1571" t="str">
            <v>DU</v>
          </cell>
          <cell r="H1571" t="str">
            <v>DIETICIAN UNIT</v>
          </cell>
          <cell r="I1571" t="str">
            <v>03DU103</v>
          </cell>
          <cell r="J1571" t="str">
            <v>COUNSELLING 1</v>
          </cell>
          <cell r="K1571" t="str">
            <v>BMED</v>
          </cell>
          <cell r="L1571" t="str">
            <v>Normal</v>
          </cell>
          <cell r="M1571" t="str">
            <v>USA</v>
          </cell>
          <cell r="N1571" t="str">
            <v>Sentinel</v>
          </cell>
          <cell r="O1571" t="str">
            <v>Sentinel S-2000</v>
          </cell>
          <cell r="P1571" t="str">
            <v>18020</v>
          </cell>
          <cell r="Q1571" t="str">
            <v>KKM/IKN/H/13/4490</v>
          </cell>
          <cell r="R1571" t="str">
            <v>Alcor Scientific Inc</v>
          </cell>
          <cell r="S1571" t="str">
            <v>Insani Damai</v>
          </cell>
          <cell r="T1571" t="str">
            <v>Functioning</v>
          </cell>
          <cell r="U1571" t="str">
            <v>Asset</v>
          </cell>
          <cell r="V1571">
            <v>2500</v>
          </cell>
          <cell r="W1571" t="str">
            <v>KEW</v>
          </cell>
          <cell r="X1571" t="str">
            <v>09/12/2013</v>
          </cell>
          <cell r="Y1571" t="str">
            <v>KEW</v>
          </cell>
          <cell r="Z1571" t="str">
            <v>10/12/2013</v>
          </cell>
          <cell r="AA1571" t="str">
            <v>09/12/2014</v>
          </cell>
          <cell r="AB1571" t="str">
            <v>No</v>
          </cell>
          <cell r="AC1571" t="str">
            <v>10/12/2013</v>
          </cell>
          <cell r="AD1571" t="str">
            <v>Good</v>
          </cell>
          <cell r="AE1571" t="str">
            <v>V3 - Added Installed Facilities (New)</v>
          </cell>
          <cell r="AF1571">
            <v>42796</v>
          </cell>
          <cell r="AG1571">
            <v>5.92</v>
          </cell>
          <cell r="AH1571" t="str">
            <v>PPM</v>
          </cell>
          <cell r="AI1571" t="str">
            <v>Strands</v>
          </cell>
          <cell r="AJ1571" t="str">
            <v>Strands PW</v>
          </cell>
          <cell r="AK1571" t="str">
            <v>SNF received. 1st batch of V3 asset (December 2020)</v>
          </cell>
        </row>
        <row r="1572">
          <cell r="A1572" t="str">
            <v>IKN401357</v>
          </cell>
          <cell r="B1572">
            <v>1351</v>
          </cell>
          <cell r="C1572" t="str">
            <v>Institut Kanser Negara</v>
          </cell>
          <cell r="D1572" t="str">
            <v>KKM/IKN/H/13/4491</v>
          </cell>
          <cell r="E1572" t="str">
            <v>13-209</v>
          </cell>
          <cell r="F1572" t="str">
            <v>Pumps, Enteral Feeding</v>
          </cell>
          <cell r="G1572" t="str">
            <v>DU</v>
          </cell>
          <cell r="H1572" t="str">
            <v>DIETICIAN UNIT</v>
          </cell>
          <cell r="I1572" t="str">
            <v>03DU103</v>
          </cell>
          <cell r="J1572" t="str">
            <v>COUNSELLING 1</v>
          </cell>
          <cell r="K1572" t="str">
            <v>BMED</v>
          </cell>
          <cell r="L1572" t="str">
            <v>Normal</v>
          </cell>
          <cell r="M1572" t="str">
            <v>USA</v>
          </cell>
          <cell r="N1572" t="str">
            <v>Sentinel</v>
          </cell>
          <cell r="O1572" t="str">
            <v>Sentinel S-2000</v>
          </cell>
          <cell r="P1572" t="str">
            <v>18074</v>
          </cell>
          <cell r="Q1572" t="str">
            <v>KKM/IKN/H/13/4491</v>
          </cell>
          <cell r="R1572" t="str">
            <v>Alcor Scientific Inc</v>
          </cell>
          <cell r="S1572" t="str">
            <v>Insani Damai</v>
          </cell>
          <cell r="T1572" t="str">
            <v>Functioning</v>
          </cell>
          <cell r="U1572" t="str">
            <v>Asset</v>
          </cell>
          <cell r="V1572">
            <v>2500</v>
          </cell>
          <cell r="W1572" t="str">
            <v>KEW</v>
          </cell>
          <cell r="X1572" t="str">
            <v>09/12/2013</v>
          </cell>
          <cell r="Y1572" t="str">
            <v>KEW</v>
          </cell>
          <cell r="Z1572" t="str">
            <v>10/12/2013</v>
          </cell>
          <cell r="AA1572" t="str">
            <v>09/12/2014</v>
          </cell>
          <cell r="AB1572" t="str">
            <v>No</v>
          </cell>
          <cell r="AC1572" t="str">
            <v>10/12/2013</v>
          </cell>
          <cell r="AD1572" t="str">
            <v>Good</v>
          </cell>
          <cell r="AE1572" t="str">
            <v>V3 - Added Installed Facilities (New)</v>
          </cell>
          <cell r="AF1572">
            <v>42796</v>
          </cell>
          <cell r="AG1572">
            <v>5.92</v>
          </cell>
          <cell r="AH1572" t="str">
            <v>PPM</v>
          </cell>
          <cell r="AI1572" t="str">
            <v>Strands</v>
          </cell>
          <cell r="AJ1572" t="str">
            <v>Strands PW</v>
          </cell>
          <cell r="AK1572" t="str">
            <v>SNF received. 1st batch of V3 asset (December 2020)</v>
          </cell>
        </row>
        <row r="1573">
          <cell r="A1573" t="str">
            <v>IKN401358</v>
          </cell>
          <cell r="B1573">
            <v>1352</v>
          </cell>
          <cell r="C1573" t="str">
            <v>Institut Kanser Negara</v>
          </cell>
          <cell r="D1573" t="str">
            <v>KKM/IKN/H/13/4516</v>
          </cell>
          <cell r="E1573" t="str">
            <v>13-209</v>
          </cell>
          <cell r="F1573" t="str">
            <v>Pumps, Enteral Feeding</v>
          </cell>
          <cell r="G1573" t="str">
            <v>DU</v>
          </cell>
          <cell r="H1573" t="str">
            <v>DIETICIAN UNIT</v>
          </cell>
          <cell r="I1573" t="str">
            <v>03DU103</v>
          </cell>
          <cell r="J1573" t="str">
            <v>COUNSELLING 1</v>
          </cell>
          <cell r="K1573" t="str">
            <v>BMED</v>
          </cell>
          <cell r="L1573" t="str">
            <v>Normal</v>
          </cell>
          <cell r="M1573" t="str">
            <v>USA</v>
          </cell>
          <cell r="N1573" t="str">
            <v>Sentinel</v>
          </cell>
          <cell r="O1573" t="str">
            <v>Sentinel S-2000</v>
          </cell>
          <cell r="P1573" t="str">
            <v>18022</v>
          </cell>
          <cell r="Q1573" t="str">
            <v>KKM/IKN/H/13/4516</v>
          </cell>
          <cell r="R1573" t="str">
            <v>Alcor Scientific Inc</v>
          </cell>
          <cell r="S1573" t="str">
            <v>Insani Damai</v>
          </cell>
          <cell r="T1573" t="str">
            <v>Functioning</v>
          </cell>
          <cell r="U1573" t="str">
            <v>Asset</v>
          </cell>
          <cell r="V1573">
            <v>2500</v>
          </cell>
          <cell r="W1573" t="str">
            <v>KEW</v>
          </cell>
          <cell r="X1573" t="str">
            <v>09/12/2013</v>
          </cell>
          <cell r="Y1573" t="str">
            <v>KEW</v>
          </cell>
          <cell r="Z1573" t="str">
            <v>10/12/2013</v>
          </cell>
          <cell r="AA1573" t="str">
            <v>09/12/2014</v>
          </cell>
          <cell r="AB1573" t="str">
            <v>No</v>
          </cell>
          <cell r="AC1573" t="str">
            <v>10/12/2013</v>
          </cell>
          <cell r="AD1573" t="str">
            <v>Good</v>
          </cell>
          <cell r="AE1573" t="str">
            <v>V3 - Added Installed Facilities (New)</v>
          </cell>
          <cell r="AF1573">
            <v>42796</v>
          </cell>
          <cell r="AG1573">
            <v>5.92</v>
          </cell>
          <cell r="AH1573" t="str">
            <v>PPM</v>
          </cell>
          <cell r="AI1573" t="str">
            <v>Strands</v>
          </cell>
          <cell r="AJ1573" t="str">
            <v>Strands PW</v>
          </cell>
          <cell r="AK1573" t="str">
            <v>SNF received. 1st batch of V3 asset (December 2020)</v>
          </cell>
        </row>
        <row r="1574">
          <cell r="A1574" t="str">
            <v>IKN401359</v>
          </cell>
          <cell r="B1574">
            <v>1353</v>
          </cell>
          <cell r="C1574" t="str">
            <v>Institut Kanser Negara</v>
          </cell>
          <cell r="D1574" t="str">
            <v>KKM/IKN/H/13/4517</v>
          </cell>
          <cell r="E1574" t="str">
            <v>13-209</v>
          </cell>
          <cell r="F1574" t="str">
            <v>Pumps, Enteral Feeding</v>
          </cell>
          <cell r="G1574" t="str">
            <v>DU</v>
          </cell>
          <cell r="H1574" t="str">
            <v>DIETICIAN UNIT</v>
          </cell>
          <cell r="I1574" t="str">
            <v>03DU103</v>
          </cell>
          <cell r="J1574" t="str">
            <v>COUNSELLING 1</v>
          </cell>
          <cell r="K1574" t="str">
            <v>BMED</v>
          </cell>
          <cell r="L1574" t="str">
            <v>Normal</v>
          </cell>
          <cell r="M1574" t="str">
            <v>USA</v>
          </cell>
          <cell r="N1574" t="str">
            <v>Sentinel</v>
          </cell>
          <cell r="O1574" t="str">
            <v>Sentinel S-2000</v>
          </cell>
          <cell r="P1574" t="str">
            <v>18073</v>
          </cell>
          <cell r="Q1574" t="str">
            <v>KKM/IKN/H/13/4517</v>
          </cell>
          <cell r="R1574" t="str">
            <v>Alcor Scientific Inc</v>
          </cell>
          <cell r="S1574" t="str">
            <v>Insani Damai</v>
          </cell>
          <cell r="T1574" t="str">
            <v>Functioning</v>
          </cell>
          <cell r="U1574" t="str">
            <v>Asset</v>
          </cell>
          <cell r="V1574">
            <v>2500</v>
          </cell>
          <cell r="W1574" t="str">
            <v>Estimate</v>
          </cell>
          <cell r="X1574" t="str">
            <v>09/12/2013</v>
          </cell>
          <cell r="Y1574" t="str">
            <v>KEW</v>
          </cell>
          <cell r="Z1574" t="str">
            <v>10/12/2013</v>
          </cell>
          <cell r="AA1574" t="str">
            <v>09/12/2014</v>
          </cell>
          <cell r="AB1574" t="str">
            <v>No</v>
          </cell>
          <cell r="AC1574" t="str">
            <v>10/12/2013</v>
          </cell>
          <cell r="AD1574" t="str">
            <v>Good</v>
          </cell>
          <cell r="AE1574" t="str">
            <v>V3 - Added Installed Facilities (New)</v>
          </cell>
          <cell r="AF1574">
            <v>42796</v>
          </cell>
          <cell r="AG1574">
            <v>5.92</v>
          </cell>
          <cell r="AH1574" t="str">
            <v>PPM</v>
          </cell>
          <cell r="AI1574" t="str">
            <v>Strands</v>
          </cell>
          <cell r="AJ1574" t="str">
            <v>Strands PW</v>
          </cell>
          <cell r="AK1574" t="str">
            <v>SNF received. 1st batch of V3 asset (December 2020)</v>
          </cell>
        </row>
        <row r="1575">
          <cell r="A1575" t="str">
            <v>IKN401360</v>
          </cell>
          <cell r="B1575">
            <v>1354</v>
          </cell>
          <cell r="C1575" t="str">
            <v>Institut Kanser Negara</v>
          </cell>
          <cell r="D1575" t="str">
            <v>KKM/IKN/H/13/4631</v>
          </cell>
          <cell r="E1575" t="str">
            <v>13-209</v>
          </cell>
          <cell r="F1575" t="str">
            <v>Pumps, Enteral Feeding</v>
          </cell>
          <cell r="G1575" t="str">
            <v>DU</v>
          </cell>
          <cell r="H1575" t="str">
            <v>DIETICIAN UNIT</v>
          </cell>
          <cell r="I1575" t="str">
            <v>03DU103</v>
          </cell>
          <cell r="J1575" t="str">
            <v>COUNSELLING 1</v>
          </cell>
          <cell r="K1575" t="str">
            <v>BMED</v>
          </cell>
          <cell r="L1575" t="str">
            <v>Normal</v>
          </cell>
          <cell r="M1575" t="str">
            <v>USA</v>
          </cell>
          <cell r="N1575" t="str">
            <v>Sentinel</v>
          </cell>
          <cell r="O1575" t="str">
            <v>Sentinel S-2000</v>
          </cell>
          <cell r="P1575" t="str">
            <v>18023</v>
          </cell>
          <cell r="Q1575" t="str">
            <v>KKM/IKN/H/13/4631</v>
          </cell>
          <cell r="R1575" t="str">
            <v>Alcor Scientific Inc</v>
          </cell>
          <cell r="S1575" t="str">
            <v>Insani Damai</v>
          </cell>
          <cell r="T1575" t="str">
            <v>Functioning</v>
          </cell>
          <cell r="U1575" t="str">
            <v>Asset</v>
          </cell>
          <cell r="V1575">
            <v>2500</v>
          </cell>
          <cell r="W1575" t="str">
            <v>KEW</v>
          </cell>
          <cell r="X1575" t="str">
            <v>09/12/2013</v>
          </cell>
          <cell r="Y1575" t="str">
            <v>KEW</v>
          </cell>
          <cell r="Z1575" t="str">
            <v>10/12/2013</v>
          </cell>
          <cell r="AA1575" t="str">
            <v>09/12/2014</v>
          </cell>
          <cell r="AB1575" t="str">
            <v>No</v>
          </cell>
          <cell r="AC1575" t="str">
            <v>10/12/2013</v>
          </cell>
          <cell r="AD1575" t="str">
            <v>Good</v>
          </cell>
          <cell r="AE1575" t="str">
            <v>V3 - Added Installed Facilities (New)</v>
          </cell>
          <cell r="AF1575">
            <v>42796</v>
          </cell>
          <cell r="AG1575">
            <v>5.92</v>
          </cell>
          <cell r="AH1575" t="str">
            <v>PPM</v>
          </cell>
          <cell r="AI1575" t="str">
            <v>Strands</v>
          </cell>
          <cell r="AJ1575" t="str">
            <v>Strands PW</v>
          </cell>
          <cell r="AK1575" t="str">
            <v>SNF received. 1st batch of V3 asset (December 2020)</v>
          </cell>
        </row>
        <row r="1576">
          <cell r="A1576" t="str">
            <v>IKN401361</v>
          </cell>
          <cell r="B1576">
            <v>1355</v>
          </cell>
          <cell r="C1576" t="str">
            <v>Institut Kanser Negara</v>
          </cell>
          <cell r="D1576" t="str">
            <v>KKM/IKN/H/13/4632</v>
          </cell>
          <cell r="E1576" t="str">
            <v>13-209</v>
          </cell>
          <cell r="F1576" t="str">
            <v>Pumps, Enteral Feeding</v>
          </cell>
          <cell r="G1576" t="str">
            <v>DU</v>
          </cell>
          <cell r="H1576" t="str">
            <v>DIETICIAN UNIT</v>
          </cell>
          <cell r="I1576" t="str">
            <v>03DU103</v>
          </cell>
          <cell r="J1576" t="str">
            <v>COUNSELLING 1</v>
          </cell>
          <cell r="K1576" t="str">
            <v>BMED</v>
          </cell>
          <cell r="L1576" t="str">
            <v>Normal</v>
          </cell>
          <cell r="M1576" t="str">
            <v>USA</v>
          </cell>
          <cell r="N1576" t="str">
            <v>Sentinel</v>
          </cell>
          <cell r="O1576" t="str">
            <v>Sentinel S-2000</v>
          </cell>
          <cell r="P1576" t="str">
            <v>18071</v>
          </cell>
          <cell r="Q1576" t="str">
            <v>KKM/IKN/H/13/4632</v>
          </cell>
          <cell r="R1576" t="str">
            <v>Alcor Scientific Inc</v>
          </cell>
          <cell r="S1576" t="str">
            <v>Insani Damai</v>
          </cell>
          <cell r="T1576" t="str">
            <v>Functioning</v>
          </cell>
          <cell r="U1576" t="str">
            <v>Asset</v>
          </cell>
          <cell r="V1576">
            <v>2500</v>
          </cell>
          <cell r="W1576" t="str">
            <v>KEW</v>
          </cell>
          <cell r="X1576" t="str">
            <v>09/12/2013</v>
          </cell>
          <cell r="Y1576" t="str">
            <v>KEW</v>
          </cell>
          <cell r="Z1576" t="str">
            <v>10/12/2013</v>
          </cell>
          <cell r="AA1576" t="str">
            <v>09/12/2014</v>
          </cell>
          <cell r="AB1576" t="str">
            <v>No</v>
          </cell>
          <cell r="AC1576" t="str">
            <v>10/12/2013</v>
          </cell>
          <cell r="AD1576" t="str">
            <v>Good</v>
          </cell>
          <cell r="AE1576" t="str">
            <v>V3 - Added Installed Facilities (New)</v>
          </cell>
          <cell r="AF1576">
            <v>42796</v>
          </cell>
          <cell r="AG1576">
            <v>5.92</v>
          </cell>
          <cell r="AH1576" t="str">
            <v>PPM</v>
          </cell>
          <cell r="AI1576" t="str">
            <v>Strands</v>
          </cell>
          <cell r="AJ1576" t="str">
            <v>Strands PW</v>
          </cell>
          <cell r="AK1576" t="str">
            <v>SNF received. 1st batch of V3 asset (December 2020)</v>
          </cell>
        </row>
        <row r="1577">
          <cell r="A1577" t="str">
            <v>IKN401362</v>
          </cell>
          <cell r="B1577">
            <v>1356</v>
          </cell>
          <cell r="C1577" t="str">
            <v>Institut Kanser Negara</v>
          </cell>
          <cell r="D1577" t="str">
            <v>KKM/IKN/H/13/4629</v>
          </cell>
          <cell r="E1577" t="str">
            <v>13-209</v>
          </cell>
          <cell r="F1577" t="str">
            <v>Pumps, Enteral Feeding</v>
          </cell>
          <cell r="G1577" t="str">
            <v>DU</v>
          </cell>
          <cell r="H1577" t="str">
            <v>DIETICIAN UNIT</v>
          </cell>
          <cell r="I1577" t="str">
            <v>03DU103</v>
          </cell>
          <cell r="J1577" t="str">
            <v>COUNSELLING 1</v>
          </cell>
          <cell r="K1577" t="str">
            <v>BMED</v>
          </cell>
          <cell r="L1577" t="str">
            <v>Normal</v>
          </cell>
          <cell r="M1577" t="str">
            <v>USA</v>
          </cell>
          <cell r="N1577" t="str">
            <v>Sentinel</v>
          </cell>
          <cell r="O1577" t="str">
            <v>Sentinel S-2000</v>
          </cell>
          <cell r="P1577" t="str">
            <v>18021</v>
          </cell>
          <cell r="Q1577" t="str">
            <v>KKM/IKN/H/13/4629</v>
          </cell>
          <cell r="R1577" t="str">
            <v>Alcor Scientific Inc</v>
          </cell>
          <cell r="S1577" t="str">
            <v>Insani Damai</v>
          </cell>
          <cell r="T1577" t="str">
            <v>Functioning</v>
          </cell>
          <cell r="U1577" t="str">
            <v>Asset</v>
          </cell>
          <cell r="V1577">
            <v>2500</v>
          </cell>
          <cell r="W1577" t="str">
            <v>KEW</v>
          </cell>
          <cell r="X1577" t="str">
            <v>09/12/2013</v>
          </cell>
          <cell r="Y1577" t="str">
            <v>KEW</v>
          </cell>
          <cell r="Z1577" t="str">
            <v>10/12/2013</v>
          </cell>
          <cell r="AA1577" t="str">
            <v>09/12/2014</v>
          </cell>
          <cell r="AB1577" t="str">
            <v>No</v>
          </cell>
          <cell r="AC1577" t="str">
            <v>10/12/2013</v>
          </cell>
          <cell r="AD1577" t="str">
            <v>Good</v>
          </cell>
          <cell r="AE1577" t="str">
            <v>V3 - Added Installed Facilities (New)</v>
          </cell>
          <cell r="AF1577">
            <v>42796</v>
          </cell>
          <cell r="AG1577">
            <v>5.92</v>
          </cell>
          <cell r="AH1577" t="str">
            <v>PPM</v>
          </cell>
          <cell r="AI1577" t="str">
            <v>Strands</v>
          </cell>
          <cell r="AJ1577" t="str">
            <v>Strands PW</v>
          </cell>
          <cell r="AK1577" t="str">
            <v>SNF received. 1st batch of V3 asset (December 2020)</v>
          </cell>
        </row>
        <row r="1578">
          <cell r="A1578" t="str">
            <v>IKN401363</v>
          </cell>
          <cell r="B1578">
            <v>1357</v>
          </cell>
          <cell r="C1578" t="str">
            <v>Institut Kanser Negara</v>
          </cell>
          <cell r="D1578" t="str">
            <v>KKM/IKN/H/13/4630</v>
          </cell>
          <cell r="E1578" t="str">
            <v>13-209</v>
          </cell>
          <cell r="F1578" t="str">
            <v>Pumps, Enteral Feeding</v>
          </cell>
          <cell r="G1578" t="str">
            <v>DU</v>
          </cell>
          <cell r="H1578" t="str">
            <v>DIETICIAN UNIT</v>
          </cell>
          <cell r="I1578" t="str">
            <v>03DU103</v>
          </cell>
          <cell r="J1578" t="str">
            <v>COUNSELLING 1</v>
          </cell>
          <cell r="K1578" t="str">
            <v>BMED</v>
          </cell>
          <cell r="L1578" t="str">
            <v>Normal</v>
          </cell>
          <cell r="M1578" t="str">
            <v>USA</v>
          </cell>
          <cell r="N1578" t="str">
            <v>Sentinel</v>
          </cell>
          <cell r="O1578" t="str">
            <v>Sentinel S-2000</v>
          </cell>
          <cell r="P1578" t="str">
            <v>18018</v>
          </cell>
          <cell r="Q1578" t="str">
            <v>KKM/IKN/H/13/4630</v>
          </cell>
          <cell r="R1578" t="str">
            <v>Alcor Scientific Inc</v>
          </cell>
          <cell r="S1578" t="str">
            <v>Insani Damai</v>
          </cell>
          <cell r="T1578" t="str">
            <v>Functioning</v>
          </cell>
          <cell r="U1578" t="str">
            <v>Asset</v>
          </cell>
          <cell r="V1578">
            <v>2500</v>
          </cell>
          <cell r="W1578" t="str">
            <v>KEW</v>
          </cell>
          <cell r="X1578" t="str">
            <v>09/12/2013</v>
          </cell>
          <cell r="Y1578" t="str">
            <v>KEW</v>
          </cell>
          <cell r="Z1578" t="str">
            <v>10/12/2013</v>
          </cell>
          <cell r="AA1578" t="str">
            <v>09/12/2014</v>
          </cell>
          <cell r="AB1578" t="str">
            <v>No</v>
          </cell>
          <cell r="AC1578" t="str">
            <v>10/12/2013</v>
          </cell>
          <cell r="AD1578" t="str">
            <v>Good</v>
          </cell>
          <cell r="AE1578" t="str">
            <v>V3 - Added Installed Facilities (New)</v>
          </cell>
          <cell r="AF1578">
            <v>42796</v>
          </cell>
          <cell r="AG1578">
            <v>5.92</v>
          </cell>
          <cell r="AH1578" t="str">
            <v>PPM</v>
          </cell>
          <cell r="AI1578" t="str">
            <v>Strands</v>
          </cell>
          <cell r="AJ1578" t="str">
            <v>Strands PW</v>
          </cell>
          <cell r="AK1578" t="str">
            <v>SNF received. 1st batch of V3 asset (December 2020)</v>
          </cell>
        </row>
        <row r="1579">
          <cell r="A1579" t="str">
            <v>IKN401364</v>
          </cell>
          <cell r="B1579">
            <v>1358</v>
          </cell>
          <cell r="C1579" t="str">
            <v>Institut Kanser Negara</v>
          </cell>
          <cell r="D1579" t="str">
            <v>KKM/IKN/H/13/4473 - 9</v>
          </cell>
          <cell r="E1579" t="str">
            <v>15-605</v>
          </cell>
          <cell r="F1579" t="str">
            <v>Testers</v>
          </cell>
          <cell r="G1579" t="str">
            <v>RT</v>
          </cell>
          <cell r="H1579" t="str">
            <v>RADIATION TREATMENT UNIT</v>
          </cell>
          <cell r="I1579" t="str">
            <v>01RT213</v>
          </cell>
          <cell r="J1579" t="str">
            <v>EQUIPMENT ROOM1</v>
          </cell>
          <cell r="K1579" t="str">
            <v>BMED</v>
          </cell>
          <cell r="L1579" t="str">
            <v>Normal</v>
          </cell>
          <cell r="M1579" t="str">
            <v>USA</v>
          </cell>
          <cell r="N1579" t="str">
            <v>Various</v>
          </cell>
          <cell r="O1579" t="str">
            <v>Tomo Electrometer 90016 &amp; Various</v>
          </cell>
          <cell r="P1579" t="str">
            <v>XW 121295</v>
          </cell>
          <cell r="Q1579" t="str">
            <v>Not Available</v>
          </cell>
          <cell r="R1579" t="str">
            <v>Standard Imaging</v>
          </cell>
          <cell r="S1579" t="str">
            <v>Transmedic Healthcare Sdn. Bhd</v>
          </cell>
          <cell r="T1579" t="str">
            <v>Functioning</v>
          </cell>
          <cell r="U1579" t="str">
            <v>Asset</v>
          </cell>
          <cell r="V1579">
            <v>100000</v>
          </cell>
          <cell r="W1579" t="str">
            <v>KEW</v>
          </cell>
          <cell r="X1579" t="str">
            <v>01/09/2010</v>
          </cell>
          <cell r="Y1579" t="str">
            <v>KEW</v>
          </cell>
          <cell r="Z1579" t="str">
            <v>16/08/2013</v>
          </cell>
          <cell r="AA1579" t="str">
            <v>15/08/2015</v>
          </cell>
          <cell r="AB1579" t="str">
            <v>No</v>
          </cell>
          <cell r="AC1579" t="str">
            <v>16/08/2013</v>
          </cell>
          <cell r="AD1579" t="str">
            <v>Good</v>
          </cell>
          <cell r="AE1579" t="str">
            <v>V1 - Existing / No Claim</v>
          </cell>
          <cell r="AF1579">
            <v>42667</v>
          </cell>
          <cell r="AG1579">
            <v>9.17</v>
          </cell>
          <cell r="AH1579" t="str">
            <v>PPM</v>
          </cell>
          <cell r="AI1579" t="str">
            <v>package</v>
          </cell>
          <cell r="AJ1579" t="str">
            <v>Strands Package</v>
          </cell>
          <cell r="AK1579" t="str">
            <v>Package XM003(B)</v>
          </cell>
        </row>
        <row r="1580">
          <cell r="A1580" t="str">
            <v>IKN401365</v>
          </cell>
          <cell r="B1580">
            <v>1359</v>
          </cell>
          <cell r="C1580" t="str">
            <v>Institut Kanser Negara</v>
          </cell>
          <cell r="D1580" t="str">
            <v>KKM/IKN/H/13/4689-02 &amp; 03</v>
          </cell>
          <cell r="E1580" t="str">
            <v>15-605</v>
          </cell>
          <cell r="F1580" t="str">
            <v>Testers</v>
          </cell>
          <cell r="G1580" t="str">
            <v>RT</v>
          </cell>
          <cell r="H1580" t="str">
            <v>RADIATION TREATMENT UNIT</v>
          </cell>
          <cell r="I1580" t="str">
            <v>01RT213</v>
          </cell>
          <cell r="J1580" t="str">
            <v>EQUIPMENT ROOM1</v>
          </cell>
          <cell r="K1580" t="str">
            <v>BMED</v>
          </cell>
          <cell r="L1580" t="str">
            <v>Normal</v>
          </cell>
          <cell r="M1580" t="str">
            <v>Germany</v>
          </cell>
          <cell r="N1580" t="str">
            <v>TM3304</v>
          </cell>
          <cell r="O1580" t="str">
            <v>TM33004</v>
          </cell>
          <cell r="P1580" t="str">
            <v>TM33004</v>
          </cell>
          <cell r="Q1580" t="str">
            <v>Not Available</v>
          </cell>
          <cell r="R1580" t="str">
            <v>PTW</v>
          </cell>
          <cell r="S1580" t="str">
            <v>Eckert &amp; Ziegler BEBIG</v>
          </cell>
          <cell r="T1580" t="str">
            <v>Functioning</v>
          </cell>
          <cell r="U1580" t="str">
            <v>Asset</v>
          </cell>
          <cell r="V1580">
            <v>400000</v>
          </cell>
          <cell r="W1580" t="str">
            <v>KEW</v>
          </cell>
          <cell r="X1580" t="str">
            <v>01/09/2010</v>
          </cell>
          <cell r="Y1580" t="str">
            <v>KEW</v>
          </cell>
          <cell r="Z1580" t="str">
            <v>16/08/2013</v>
          </cell>
          <cell r="AA1580" t="str">
            <v>15/08/2015</v>
          </cell>
          <cell r="AB1580" t="str">
            <v>No</v>
          </cell>
          <cell r="AC1580" t="str">
            <v>16/08/2013</v>
          </cell>
          <cell r="AD1580" t="str">
            <v>Good</v>
          </cell>
          <cell r="AE1580" t="str">
            <v>V1 - Existing / No Claim</v>
          </cell>
          <cell r="AF1580">
            <v>42663</v>
          </cell>
          <cell r="AG1580">
            <v>9.17</v>
          </cell>
          <cell r="AH1580" t="str">
            <v>PPM</v>
          </cell>
          <cell r="AI1580" t="str">
            <v>Strands</v>
          </cell>
          <cell r="AJ1580" t="str">
            <v>Strands Package</v>
          </cell>
          <cell r="AK1580" t="str">
            <v>Package Afterloading System, XM0011</v>
          </cell>
        </row>
        <row r="1581">
          <cell r="A1581" t="str">
            <v>IKN401366</v>
          </cell>
          <cell r="B1581">
            <v>1360</v>
          </cell>
          <cell r="C1581" t="str">
            <v>Institut Kanser Negara</v>
          </cell>
          <cell r="D1581" t="str">
            <v>KKM/IKN/H/13/4473 - 08</v>
          </cell>
          <cell r="E1581" t="str">
            <v>15-605</v>
          </cell>
          <cell r="F1581" t="str">
            <v>Testers</v>
          </cell>
          <cell r="G1581" t="str">
            <v>RT</v>
          </cell>
          <cell r="H1581" t="str">
            <v>RADIATION TREATMENT UNIT</v>
          </cell>
          <cell r="I1581" t="str">
            <v>01RT213</v>
          </cell>
          <cell r="J1581" t="str">
            <v>EQUIPMENT ROOM1</v>
          </cell>
          <cell r="K1581" t="str">
            <v>BMED</v>
          </cell>
          <cell r="L1581" t="str">
            <v>Normal</v>
          </cell>
          <cell r="M1581" t="str">
            <v>USA</v>
          </cell>
          <cell r="N1581" t="str">
            <v>Various</v>
          </cell>
          <cell r="O1581" t="str">
            <v>Tomo Electrometer 90016 &amp; Various</v>
          </cell>
          <cell r="P1581" t="str">
            <v>XW 121285</v>
          </cell>
          <cell r="Q1581" t="str">
            <v>Not Available</v>
          </cell>
          <cell r="R1581" t="str">
            <v>Standard Imaging</v>
          </cell>
          <cell r="S1581" t="str">
            <v>Transmedic Healthcare Sdn. Bhd</v>
          </cell>
          <cell r="T1581" t="str">
            <v>Functioning</v>
          </cell>
          <cell r="U1581" t="str">
            <v>Asset</v>
          </cell>
          <cell r="V1581">
            <v>100000</v>
          </cell>
          <cell r="W1581" t="str">
            <v>KEW</v>
          </cell>
          <cell r="X1581" t="str">
            <v>01/09/2010</v>
          </cell>
          <cell r="Y1581" t="str">
            <v>KEW</v>
          </cell>
          <cell r="Z1581" t="str">
            <v>16/08/2013</v>
          </cell>
          <cell r="AA1581" t="str">
            <v>15/08/2015</v>
          </cell>
          <cell r="AB1581" t="str">
            <v>No</v>
          </cell>
          <cell r="AC1581" t="str">
            <v>16/08/2013</v>
          </cell>
          <cell r="AD1581" t="str">
            <v>Good</v>
          </cell>
          <cell r="AE1581" t="str">
            <v>V1 - Existing / No Claim</v>
          </cell>
          <cell r="AF1581">
            <v>42667</v>
          </cell>
          <cell r="AG1581">
            <v>9.17</v>
          </cell>
          <cell r="AH1581" t="str">
            <v>PPM</v>
          </cell>
          <cell r="AI1581" t="str">
            <v>package</v>
          </cell>
          <cell r="AJ1581" t="str">
            <v>Strands Package</v>
          </cell>
          <cell r="AK1581" t="str">
            <v>Package XM003(B)</v>
          </cell>
        </row>
        <row r="1582">
          <cell r="A1582" t="str">
            <v>IKN401367</v>
          </cell>
          <cell r="B1582">
            <v>1361</v>
          </cell>
          <cell r="C1582" t="str">
            <v>Institut Kanser Negara</v>
          </cell>
          <cell r="D1582" t="str">
            <v>KKM/IKN/H/13/4473 - 06</v>
          </cell>
          <cell r="E1582" t="str">
            <v>15-605</v>
          </cell>
          <cell r="F1582" t="str">
            <v>Testers</v>
          </cell>
          <cell r="G1582" t="str">
            <v>RT</v>
          </cell>
          <cell r="H1582" t="str">
            <v>RADIATION TREATMENT UNIT</v>
          </cell>
          <cell r="I1582" t="str">
            <v>01RT213</v>
          </cell>
          <cell r="J1582" t="str">
            <v>EQUIPMENT ROOM1</v>
          </cell>
          <cell r="K1582" t="str">
            <v>BMED</v>
          </cell>
          <cell r="L1582" t="str">
            <v>Normal</v>
          </cell>
          <cell r="M1582" t="str">
            <v>USA</v>
          </cell>
          <cell r="N1582" t="str">
            <v>Various</v>
          </cell>
          <cell r="O1582" t="str">
            <v>Tomo Electrometer 90016 &amp; Various</v>
          </cell>
          <cell r="P1582" t="str">
            <v>XAE 121448</v>
          </cell>
          <cell r="Q1582" t="str">
            <v>Not Available</v>
          </cell>
          <cell r="R1582" t="str">
            <v>Standard Imaging</v>
          </cell>
          <cell r="S1582" t="str">
            <v>Transmedic Healthcare Sdn. Bhd</v>
          </cell>
          <cell r="T1582" t="str">
            <v>Functioning</v>
          </cell>
          <cell r="U1582" t="str">
            <v>Asset</v>
          </cell>
          <cell r="V1582">
            <v>100000</v>
          </cell>
          <cell r="W1582" t="str">
            <v>KEW</v>
          </cell>
          <cell r="X1582" t="str">
            <v>01/09/2010</v>
          </cell>
          <cell r="Y1582" t="str">
            <v>KEW</v>
          </cell>
          <cell r="Z1582" t="str">
            <v>16/08/2013</v>
          </cell>
          <cell r="AA1582" t="str">
            <v>15/08/2015</v>
          </cell>
          <cell r="AB1582" t="str">
            <v>No</v>
          </cell>
          <cell r="AC1582" t="str">
            <v>16/08/2013</v>
          </cell>
          <cell r="AD1582" t="str">
            <v>Good</v>
          </cell>
          <cell r="AE1582" t="str">
            <v>V1 - Existing / No Claim</v>
          </cell>
          <cell r="AF1582">
            <v>42667</v>
          </cell>
          <cell r="AG1582">
            <v>9.17</v>
          </cell>
          <cell r="AH1582" t="str">
            <v>PPM</v>
          </cell>
          <cell r="AI1582" t="str">
            <v>package</v>
          </cell>
          <cell r="AJ1582" t="str">
            <v>Strands Package</v>
          </cell>
          <cell r="AK1582" t="str">
            <v>Package XM003(B)</v>
          </cell>
        </row>
        <row r="1583">
          <cell r="A1583" t="str">
            <v>IKN401368</v>
          </cell>
          <cell r="B1583">
            <v>1362</v>
          </cell>
          <cell r="C1583" t="str">
            <v>Institut Kanser Negara</v>
          </cell>
          <cell r="D1583" t="str">
            <v>KKM/IKN/H/16/23</v>
          </cell>
          <cell r="E1583" t="str">
            <v>12-345</v>
          </cell>
          <cell r="F1583" t="str">
            <v>Light Sources, Fiberoptic</v>
          </cell>
          <cell r="G1583" t="str">
            <v>OT</v>
          </cell>
          <cell r="H1583" t="str">
            <v>OPERATING THEATRE</v>
          </cell>
          <cell r="I1583" t="str">
            <v>05OT129</v>
          </cell>
          <cell r="J1583" t="str">
            <v>SEMINAR</v>
          </cell>
          <cell r="K1583" t="str">
            <v>BMED</v>
          </cell>
          <cell r="L1583" t="str">
            <v>Normal</v>
          </cell>
          <cell r="M1583" t="str">
            <v>Germany</v>
          </cell>
          <cell r="N1583" t="str">
            <v>Storz</v>
          </cell>
          <cell r="O1583" t="str">
            <v>Storz Power LED 175, 201614 20</v>
          </cell>
          <cell r="P1583" t="str">
            <v>TT10181</v>
          </cell>
          <cell r="Q1583" t="str">
            <v>Not Applicable</v>
          </cell>
          <cell r="R1583" t="str">
            <v>Karl Storz-Endoskope</v>
          </cell>
          <cell r="S1583" t="str">
            <v>Medi-Life (M) Sdn. Bhd.</v>
          </cell>
          <cell r="T1583" t="str">
            <v>Functioning</v>
          </cell>
          <cell r="U1583" t="str">
            <v>Asset</v>
          </cell>
          <cell r="V1583">
            <v>28000</v>
          </cell>
          <cell r="W1583" t="str">
            <v>KEW</v>
          </cell>
          <cell r="X1583" t="str">
            <v>12/08/2016</v>
          </cell>
          <cell r="Y1583" t="str">
            <v>KEW</v>
          </cell>
          <cell r="Z1583" t="str">
            <v>24/10/2016</v>
          </cell>
          <cell r="AA1583" t="str">
            <v>23/10/2018</v>
          </cell>
          <cell r="AB1583" t="str">
            <v>No</v>
          </cell>
          <cell r="AC1583" t="str">
            <v>24/10/2016</v>
          </cell>
          <cell r="AD1583" t="str">
            <v>Good</v>
          </cell>
          <cell r="AE1583" t="str">
            <v>V3 - Added Installed Facilities (New)</v>
          </cell>
          <cell r="AF1583">
            <v>42815</v>
          </cell>
          <cell r="AG1583">
            <v>3.25</v>
          </cell>
          <cell r="AH1583" t="str">
            <v>PPM</v>
          </cell>
          <cell r="AI1583" t="str">
            <v>package</v>
          </cell>
          <cell r="AJ1583" t="str">
            <v>Proposed for V3 P2.23</v>
          </cell>
          <cell r="AK1583" t="str">
            <v>KKM follow P2.23 list.</v>
          </cell>
        </row>
        <row r="1584">
          <cell r="A1584" t="str">
            <v>IKN401369</v>
          </cell>
          <cell r="B1584">
            <v>1363</v>
          </cell>
          <cell r="C1584" t="str">
            <v>Institut Kanser Negara</v>
          </cell>
          <cell r="D1584" t="str">
            <v>KKM/IKN/H/16/22</v>
          </cell>
          <cell r="E1584" t="str">
            <v>11-963</v>
          </cell>
          <cell r="F1584" t="str">
            <v>Headlights</v>
          </cell>
          <cell r="G1584" t="str">
            <v>OT</v>
          </cell>
          <cell r="H1584" t="str">
            <v>OPERATING THEATRE</v>
          </cell>
          <cell r="I1584" t="str">
            <v>05OT129</v>
          </cell>
          <cell r="J1584" t="str">
            <v>SEMINAR</v>
          </cell>
          <cell r="K1584" t="str">
            <v>BMED</v>
          </cell>
          <cell r="L1584" t="str">
            <v>Normal</v>
          </cell>
          <cell r="M1584" t="str">
            <v>Germany</v>
          </cell>
          <cell r="N1584" t="str">
            <v>Heine</v>
          </cell>
          <cell r="O1584" t="str">
            <v>C-008.32.441</v>
          </cell>
          <cell r="P1584" t="str">
            <v>1100461061</v>
          </cell>
          <cell r="Q1584" t="str">
            <v>Not Applicable</v>
          </cell>
          <cell r="R1584" t="str">
            <v>HEINE</v>
          </cell>
          <cell r="S1584" t="str">
            <v>Medi-Life (M) Sdn. Bhd.</v>
          </cell>
          <cell r="T1584" t="str">
            <v>Functioning</v>
          </cell>
          <cell r="U1584" t="str">
            <v>Asset</v>
          </cell>
          <cell r="V1584">
            <v>11868</v>
          </cell>
          <cell r="W1584" t="str">
            <v>KEW</v>
          </cell>
          <cell r="X1584" t="str">
            <v>12/08/2016</v>
          </cell>
          <cell r="Y1584" t="str">
            <v>KEW</v>
          </cell>
          <cell r="Z1584" t="str">
            <v>24/10/2016</v>
          </cell>
          <cell r="AA1584" t="str">
            <v>23/10/2021</v>
          </cell>
          <cell r="AB1584" t="str">
            <v>No</v>
          </cell>
          <cell r="AC1584" t="str">
            <v>24/10/2016</v>
          </cell>
          <cell r="AD1584" t="str">
            <v>Good</v>
          </cell>
          <cell r="AE1584" t="str">
            <v>V3 - Added Installed Facilities (New)</v>
          </cell>
          <cell r="AF1584">
            <v>42815</v>
          </cell>
          <cell r="AG1584">
            <v>3.25</v>
          </cell>
          <cell r="AH1584" t="str">
            <v>RI</v>
          </cell>
          <cell r="AI1584" t="str">
            <v>Strands</v>
          </cell>
          <cell r="AJ1584" t="str">
            <v>Strands PW</v>
          </cell>
          <cell r="AK1584" t="str">
            <v>SNF received. 1st batch of V3 asset (December 2020)</v>
          </cell>
        </row>
        <row r="1585">
          <cell r="A1585" t="str">
            <v>IKN401370</v>
          </cell>
          <cell r="B1585">
            <v>1364</v>
          </cell>
          <cell r="C1585" t="str">
            <v>Institut Kanser Negara</v>
          </cell>
          <cell r="D1585" t="str">
            <v>KKM/IKN/H/16/18</v>
          </cell>
          <cell r="E1585" t="str">
            <v>15-178</v>
          </cell>
          <cell r="F1585" t="str">
            <v>Shakers, Laboratory</v>
          </cell>
          <cell r="G1585" t="str">
            <v>NM</v>
          </cell>
          <cell r="H1585" t="str">
            <v>NUCLEAR MED (DIAGNOSTIC)</v>
          </cell>
          <cell r="I1585" t="str">
            <v>03NM154</v>
          </cell>
          <cell r="J1585" t="str">
            <v>RIA LAB</v>
          </cell>
          <cell r="K1585" t="str">
            <v>BMED</v>
          </cell>
          <cell r="L1585" t="str">
            <v>Normal</v>
          </cell>
          <cell r="M1585" t="str">
            <v>Germany</v>
          </cell>
          <cell r="N1585" t="str">
            <v>IKA-Werke</v>
          </cell>
          <cell r="O1585" t="str">
            <v>HS/KS 260 Basic</v>
          </cell>
          <cell r="P1585" t="str">
            <v>08.077679</v>
          </cell>
          <cell r="Q1585" t="str">
            <v>Not Available</v>
          </cell>
          <cell r="R1585" t="str">
            <v>IKA-Werke GmbH &amp; Co KG</v>
          </cell>
          <cell r="S1585" t="str">
            <v>IT Tech Research (M) Sdn. Bhd</v>
          </cell>
          <cell r="T1585" t="str">
            <v>Functioning</v>
          </cell>
          <cell r="U1585" t="str">
            <v>Asset</v>
          </cell>
          <cell r="V1585">
            <v>6500</v>
          </cell>
          <cell r="W1585" t="str">
            <v>KEW</v>
          </cell>
          <cell r="X1585" t="str">
            <v>12/08/2016</v>
          </cell>
          <cell r="Y1585" t="str">
            <v>KEW</v>
          </cell>
          <cell r="Z1585" t="str">
            <v>25/10/2016</v>
          </cell>
          <cell r="AA1585" t="str">
            <v>24/10/2018</v>
          </cell>
          <cell r="AB1585" t="str">
            <v>No</v>
          </cell>
          <cell r="AC1585" t="str">
            <v>25/10/2016</v>
          </cell>
          <cell r="AD1585" t="str">
            <v>Good</v>
          </cell>
          <cell r="AE1585" t="str">
            <v>V3 - Added Installed Facilities (New)</v>
          </cell>
          <cell r="AF1585">
            <v>42699</v>
          </cell>
          <cell r="AG1585">
            <v>3.25</v>
          </cell>
          <cell r="AH1585" t="str">
            <v>PPM</v>
          </cell>
          <cell r="AI1585" t="str">
            <v>Strands</v>
          </cell>
          <cell r="AJ1585" t="str">
            <v>Strands PW</v>
          </cell>
          <cell r="AK1585" t="str">
            <v>SNF received on 25.2.2020</v>
          </cell>
        </row>
        <row r="1586">
          <cell r="A1586" t="str">
            <v>IKN401371</v>
          </cell>
          <cell r="B1586">
            <v>1365</v>
          </cell>
          <cell r="C1586" t="str">
            <v>Institut Kanser Negara</v>
          </cell>
          <cell r="D1586" t="str">
            <v>KKM/IKN/H/16/19</v>
          </cell>
          <cell r="E1586" t="str">
            <v>15-173</v>
          </cell>
          <cell r="F1586" t="str">
            <v>Rotators</v>
          </cell>
          <cell r="G1586" t="str">
            <v>NM</v>
          </cell>
          <cell r="H1586" t="str">
            <v>NUCLEAR MED (DIAGNOSTIC)</v>
          </cell>
          <cell r="I1586" t="str">
            <v>03NM154</v>
          </cell>
          <cell r="J1586" t="str">
            <v>RIA LAB</v>
          </cell>
          <cell r="K1586" t="str">
            <v>BMED</v>
          </cell>
          <cell r="L1586" t="str">
            <v>Normal</v>
          </cell>
          <cell r="M1586" t="str">
            <v>Germany</v>
          </cell>
          <cell r="N1586" t="str">
            <v>IKA</v>
          </cell>
          <cell r="O1586" t="str">
            <v>HA 260 BS2</v>
          </cell>
          <cell r="P1586" t="str">
            <v>08.077679</v>
          </cell>
          <cell r="Q1586" t="str">
            <v>Not Available</v>
          </cell>
          <cell r="R1586" t="str">
            <v>IKA</v>
          </cell>
          <cell r="S1586" t="str">
            <v>IT Tech Research (M) Sdn. Bhd</v>
          </cell>
          <cell r="T1586" t="str">
            <v>Functioning</v>
          </cell>
          <cell r="U1586" t="str">
            <v>Asset</v>
          </cell>
          <cell r="V1586">
            <v>2675</v>
          </cell>
          <cell r="W1586" t="str">
            <v>KEW</v>
          </cell>
          <cell r="X1586" t="str">
            <v>12/08/2016</v>
          </cell>
          <cell r="Y1586" t="str">
            <v>KEW</v>
          </cell>
          <cell r="Z1586" t="str">
            <v>25/10/2016</v>
          </cell>
          <cell r="AA1586" t="str">
            <v>24/10/2018</v>
          </cell>
          <cell r="AB1586" t="str">
            <v>No</v>
          </cell>
          <cell r="AC1586" t="str">
            <v>25/10/2016</v>
          </cell>
          <cell r="AD1586" t="str">
            <v>Good</v>
          </cell>
          <cell r="AE1586" t="str">
            <v>V3 - Added Installed Facilities (New)</v>
          </cell>
          <cell r="AF1586">
            <v>42699</v>
          </cell>
          <cell r="AG1586">
            <v>3.25</v>
          </cell>
          <cell r="AH1586" t="str">
            <v>PPM</v>
          </cell>
          <cell r="AI1586" t="str">
            <v>Strands</v>
          </cell>
          <cell r="AJ1586" t="str">
            <v>Strands PW</v>
          </cell>
          <cell r="AK1586" t="str">
            <v>SNF received on 25.2.2020</v>
          </cell>
        </row>
        <row r="1587">
          <cell r="A1587" t="str">
            <v>IKN401387</v>
          </cell>
          <cell r="B1587">
            <v>1377</v>
          </cell>
          <cell r="C1587" t="str">
            <v>Institut Kanser Negara</v>
          </cell>
          <cell r="D1587" t="str">
            <v>KKM/IKN/H/13/1418</v>
          </cell>
          <cell r="E1587" t="str">
            <v>11-631</v>
          </cell>
          <cell r="F1587" t="str">
            <v>Exercisers, Continuous Passive Motion</v>
          </cell>
          <cell r="G1587" t="str">
            <v>PY</v>
          </cell>
          <cell r="H1587" t="str">
            <v>PHYSIOTHERAPY</v>
          </cell>
          <cell r="I1587" t="str">
            <v>04PY115</v>
          </cell>
          <cell r="J1587" t="str">
            <v>GYMNASIUM</v>
          </cell>
          <cell r="K1587" t="str">
            <v>BMED</v>
          </cell>
          <cell r="L1587" t="str">
            <v>Normal</v>
          </cell>
          <cell r="M1587" t="str">
            <v>USA</v>
          </cell>
          <cell r="N1587" t="str">
            <v>Biometrics</v>
          </cell>
          <cell r="O1587" t="str">
            <v>Biometrics E3000</v>
          </cell>
          <cell r="P1587" t="str">
            <v>Not Available</v>
          </cell>
          <cell r="Q1587" t="str">
            <v>Not Available</v>
          </cell>
          <cell r="R1587" t="str">
            <v>Biometrics Ltd</v>
          </cell>
          <cell r="S1587" t="str">
            <v>Maycare (M) Sdn Bhd</v>
          </cell>
          <cell r="T1587" t="str">
            <v>Functioning</v>
          </cell>
          <cell r="U1587" t="str">
            <v>Asset</v>
          </cell>
          <cell r="V1587">
            <v>30700</v>
          </cell>
          <cell r="W1587" t="str">
            <v>KEW</v>
          </cell>
          <cell r="X1587" t="str">
            <v>01/09/2010</v>
          </cell>
          <cell r="Y1587" t="str">
            <v>KEW</v>
          </cell>
          <cell r="Z1587" t="str">
            <v>16/08/2013</v>
          </cell>
          <cell r="AA1587" t="str">
            <v>15/08/2015</v>
          </cell>
          <cell r="AB1587" t="str">
            <v>No</v>
          </cell>
          <cell r="AC1587" t="str">
            <v>31/08/2013</v>
          </cell>
          <cell r="AD1587" t="str">
            <v>Good</v>
          </cell>
          <cell r="AE1587" t="str">
            <v>V1 - Existing / No Claim</v>
          </cell>
          <cell r="AF1587">
            <v>42776</v>
          </cell>
          <cell r="AG1587">
            <v>9.17</v>
          </cell>
          <cell r="AH1587" t="str">
            <v>PPM</v>
          </cell>
          <cell r="AI1587" t="str">
            <v>Strands</v>
          </cell>
          <cell r="AJ1587" t="str">
            <v>Strands Package F</v>
          </cell>
          <cell r="AK1587" t="str">
            <v>Package Code PE0040-N</v>
          </cell>
        </row>
        <row r="1588">
          <cell r="A1588" t="str">
            <v>IKN401388</v>
          </cell>
          <cell r="B1588">
            <v>1378</v>
          </cell>
          <cell r="C1588" t="str">
            <v>Institut Kanser Negara</v>
          </cell>
          <cell r="D1588" t="str">
            <v>KKM/IKN/H/13/1420</v>
          </cell>
          <cell r="E1588" t="str">
            <v>15-605</v>
          </cell>
          <cell r="F1588" t="str">
            <v>Testers</v>
          </cell>
          <cell r="G1588" t="str">
            <v>PY</v>
          </cell>
          <cell r="H1588" t="str">
            <v>PHYSIOTHERAPY</v>
          </cell>
          <cell r="I1588" t="str">
            <v>04PY130</v>
          </cell>
          <cell r="J1588" t="str">
            <v>RESPIRATORY</v>
          </cell>
          <cell r="K1588" t="str">
            <v>BMED</v>
          </cell>
          <cell r="L1588" t="str">
            <v>Normal</v>
          </cell>
          <cell r="M1588" t="str">
            <v>USA</v>
          </cell>
          <cell r="N1588" t="str">
            <v>Welch Allyn</v>
          </cell>
          <cell r="O1588" t="str">
            <v>Welch Allyn</v>
          </cell>
          <cell r="P1588" t="str">
            <v>101935</v>
          </cell>
          <cell r="Q1588" t="str">
            <v>Not Applicable</v>
          </cell>
          <cell r="R1588" t="str">
            <v>WELCH ALLYN</v>
          </cell>
          <cell r="S1588" t="str">
            <v>Welch Allyn Malaysia Sdn Bhd</v>
          </cell>
          <cell r="T1588" t="str">
            <v>Functioning</v>
          </cell>
          <cell r="U1588" t="str">
            <v>Asset</v>
          </cell>
          <cell r="V1588">
            <v>1</v>
          </cell>
          <cell r="W1588" t="str">
            <v>KEW</v>
          </cell>
          <cell r="X1588" t="str">
            <v>01/09/2010</v>
          </cell>
          <cell r="Y1588" t="str">
            <v>KEW</v>
          </cell>
          <cell r="Z1588" t="str">
            <v>16/08/2013</v>
          </cell>
          <cell r="AA1588" t="str">
            <v>15/08/2015</v>
          </cell>
          <cell r="AB1588" t="str">
            <v>No</v>
          </cell>
          <cell r="AC1588" t="str">
            <v>31/08/2013</v>
          </cell>
          <cell r="AD1588" t="str">
            <v>Good</v>
          </cell>
          <cell r="AE1588" t="str">
            <v>V1 - Existing / No Claim</v>
          </cell>
          <cell r="AF1588">
            <v>42935</v>
          </cell>
          <cell r="AG1588">
            <v>9.17</v>
          </cell>
          <cell r="AH1588" t="str">
            <v>PPM</v>
          </cell>
          <cell r="AI1588" t="str">
            <v>Strands</v>
          </cell>
          <cell r="AJ1588" t="str">
            <v>Strands Package</v>
          </cell>
          <cell r="AK1588" t="str">
            <v>Package Code MS0002</v>
          </cell>
        </row>
        <row r="1589">
          <cell r="A1589" t="str">
            <v>IKN401389</v>
          </cell>
          <cell r="B1589">
            <v>1379</v>
          </cell>
          <cell r="C1589" t="str">
            <v>Institut Kanser Negara</v>
          </cell>
          <cell r="D1589" t="str">
            <v>KKM/IKN/H/14/92</v>
          </cell>
          <cell r="E1589" t="str">
            <v>16-274</v>
          </cell>
          <cell r="F1589" t="str">
            <v>Dispensers, Liquid, Laboratory</v>
          </cell>
          <cell r="G1589" t="str">
            <v>LA</v>
          </cell>
          <cell r="H1589" t="str">
            <v>PATHOLOGY</v>
          </cell>
          <cell r="I1589" t="str">
            <v>04LA132</v>
          </cell>
          <cell r="J1589" t="str">
            <v>HAEMATOLOGY LAB 2</v>
          </cell>
          <cell r="K1589" t="str">
            <v>BMED</v>
          </cell>
          <cell r="L1589" t="str">
            <v>Normal</v>
          </cell>
          <cell r="M1589" t="str">
            <v>Germany</v>
          </cell>
          <cell r="N1589" t="str">
            <v>Eppendorf</v>
          </cell>
          <cell r="O1589" t="str">
            <v>Varispenser Plus</v>
          </cell>
          <cell r="P1589" t="str">
            <v>03M63204</v>
          </cell>
          <cell r="Q1589" t="str">
            <v>Not Available</v>
          </cell>
          <cell r="R1589" t="str">
            <v>Eppendorf AG</v>
          </cell>
          <cell r="S1589" t="str">
            <v>Medigene Sdn Bhd</v>
          </cell>
          <cell r="T1589" t="str">
            <v>Functioning</v>
          </cell>
          <cell r="U1589" t="str">
            <v>Asset</v>
          </cell>
          <cell r="V1589">
            <v>1612</v>
          </cell>
          <cell r="W1589" t="str">
            <v>KEW</v>
          </cell>
          <cell r="X1589" t="str">
            <v>12/11/2014</v>
          </cell>
          <cell r="Y1589" t="str">
            <v>KEW</v>
          </cell>
          <cell r="Z1589" t="str">
            <v>12/11/2014</v>
          </cell>
          <cell r="AA1589" t="str">
            <v>11/11/2015</v>
          </cell>
          <cell r="AB1589" t="str">
            <v>No</v>
          </cell>
          <cell r="AC1589" t="str">
            <v>12/11/2014</v>
          </cell>
          <cell r="AD1589" t="str">
            <v>Good</v>
          </cell>
          <cell r="AE1589" t="str">
            <v>V3 - Added Installed Facilities (New)</v>
          </cell>
          <cell r="AF1589">
            <v>42776</v>
          </cell>
          <cell r="AG1589">
            <v>5</v>
          </cell>
          <cell r="AH1589" t="str">
            <v>PPM</v>
          </cell>
          <cell r="AI1589" t="str">
            <v>Strands</v>
          </cell>
          <cell r="AJ1589" t="str">
            <v>Strands PW</v>
          </cell>
          <cell r="AK1589" t="str">
            <v>SNF received. 1st batch of V3 asset (December 2020)</v>
          </cell>
        </row>
        <row r="1590">
          <cell r="A1590" t="str">
            <v>IKN401390</v>
          </cell>
          <cell r="B1590">
            <v>1380</v>
          </cell>
          <cell r="C1590" t="str">
            <v>Institut Kanser Negara</v>
          </cell>
          <cell r="D1590" t="str">
            <v>KKM/IKN/H/14/93</v>
          </cell>
          <cell r="E1590" t="str">
            <v>16-274</v>
          </cell>
          <cell r="F1590" t="str">
            <v>Dispensers, Liquid, Laboratory</v>
          </cell>
          <cell r="G1590" t="str">
            <v>LA</v>
          </cell>
          <cell r="H1590" t="str">
            <v>PATHOLOGY</v>
          </cell>
          <cell r="I1590" t="str">
            <v>04LA132</v>
          </cell>
          <cell r="J1590" t="str">
            <v>HAEMATOLOGY LAB 2</v>
          </cell>
          <cell r="K1590" t="str">
            <v>BMED</v>
          </cell>
          <cell r="L1590" t="str">
            <v>Normal</v>
          </cell>
          <cell r="M1590" t="str">
            <v>Germany</v>
          </cell>
          <cell r="N1590" t="str">
            <v>Eppendorf</v>
          </cell>
          <cell r="O1590" t="str">
            <v>Varispenser Plus</v>
          </cell>
          <cell r="P1590" t="str">
            <v>03M63192</v>
          </cell>
          <cell r="Q1590" t="str">
            <v>Not Available</v>
          </cell>
          <cell r="R1590" t="str">
            <v>Eppendorf AG</v>
          </cell>
          <cell r="S1590" t="str">
            <v>Medigene Sdn Bhd</v>
          </cell>
          <cell r="T1590" t="str">
            <v>Functioning</v>
          </cell>
          <cell r="U1590" t="str">
            <v>Asset</v>
          </cell>
          <cell r="V1590">
            <v>1612</v>
          </cell>
          <cell r="W1590" t="str">
            <v>KEW</v>
          </cell>
          <cell r="X1590" t="str">
            <v>12/11/2014</v>
          </cell>
          <cell r="Y1590" t="str">
            <v>KEW</v>
          </cell>
          <cell r="Z1590" t="str">
            <v>12/11/2014</v>
          </cell>
          <cell r="AA1590" t="str">
            <v>11/11/2015</v>
          </cell>
          <cell r="AB1590" t="str">
            <v>No</v>
          </cell>
          <cell r="AC1590" t="str">
            <v>12/11/2014</v>
          </cell>
          <cell r="AD1590" t="str">
            <v>Good</v>
          </cell>
          <cell r="AE1590" t="str">
            <v>V3 - Added Installed Facilities (New)</v>
          </cell>
          <cell r="AF1590">
            <v>42776</v>
          </cell>
          <cell r="AG1590">
            <v>5</v>
          </cell>
          <cell r="AH1590" t="str">
            <v>PPM</v>
          </cell>
          <cell r="AI1590" t="str">
            <v>Strands</v>
          </cell>
          <cell r="AJ1590" t="str">
            <v>Strands PW</v>
          </cell>
          <cell r="AK1590" t="str">
            <v>SNF received. 1st batch of V3 asset (December 2020)</v>
          </cell>
        </row>
        <row r="1591">
          <cell r="A1591" t="str">
            <v>IKN401394</v>
          </cell>
          <cell r="B1591">
            <v>1381</v>
          </cell>
          <cell r="C1591" t="str">
            <v>Institut Kanser Negara</v>
          </cell>
          <cell r="E1591" t="str">
            <v>99-999</v>
          </cell>
          <cell r="F1591" t="str">
            <v>Inventory Asset</v>
          </cell>
          <cell r="G1591" t="str">
            <v>OT</v>
          </cell>
          <cell r="H1591" t="str">
            <v>OPERATING THEATRE</v>
          </cell>
          <cell r="I1591" t="str">
            <v>05OT129</v>
          </cell>
          <cell r="J1591" t="str">
            <v>SEMINAR</v>
          </cell>
          <cell r="K1591" t="str">
            <v>BMED</v>
          </cell>
          <cell r="L1591" t="str">
            <v>Normal</v>
          </cell>
          <cell r="M1591" t="str">
            <v>Not Available</v>
          </cell>
          <cell r="N1591" t="str">
            <v>Not Available</v>
          </cell>
          <cell r="O1591" t="str">
            <v>Not Available</v>
          </cell>
          <cell r="P1591" t="str">
            <v>Not Available</v>
          </cell>
          <cell r="Q1591" t="str">
            <v>Not Applicable</v>
          </cell>
          <cell r="R1591" t="str">
            <v>Not Available</v>
          </cell>
          <cell r="S1591" t="str">
            <v>Not Available</v>
          </cell>
          <cell r="T1591" t="str">
            <v>Functioning</v>
          </cell>
          <cell r="U1591" t="str">
            <v>Asset</v>
          </cell>
          <cell r="V1591">
            <v>4000</v>
          </cell>
          <cell r="W1591" t="str">
            <v>Estimate</v>
          </cell>
          <cell r="X1591" t="str">
            <v>31/08/2013</v>
          </cell>
          <cell r="Y1591" t="str">
            <v>Estimate</v>
          </cell>
          <cell r="Z1591" t="str">
            <v>31/08/2013</v>
          </cell>
          <cell r="AA1591" t="str">
            <v>30/08/2015</v>
          </cell>
          <cell r="AB1591" t="str">
            <v>No</v>
          </cell>
          <cell r="AC1591" t="str">
            <v>31/08/2013</v>
          </cell>
          <cell r="AD1591" t="str">
            <v>Good</v>
          </cell>
          <cell r="AE1591" t="str">
            <v>V10 - Asset in initial fee submission(new/replacement hosp)</v>
          </cell>
          <cell r="AF1591">
            <v>43193</v>
          </cell>
          <cell r="AG1591">
            <v>6.25</v>
          </cell>
          <cell r="AH1591" t="str">
            <v>RI</v>
          </cell>
          <cell r="AI1591" t="str">
            <v>Not in contract</v>
          </cell>
        </row>
        <row r="1592">
          <cell r="A1592" t="str">
            <v>IKN401395</v>
          </cell>
          <cell r="B1592">
            <v>1382</v>
          </cell>
          <cell r="C1592" t="str">
            <v>Institut Kanser Negara</v>
          </cell>
          <cell r="E1592" t="str">
            <v>99-999</v>
          </cell>
          <cell r="F1592" t="str">
            <v>Inventory Asset</v>
          </cell>
          <cell r="G1592" t="str">
            <v>OT</v>
          </cell>
          <cell r="H1592" t="str">
            <v>OPERATING THEATRE</v>
          </cell>
          <cell r="I1592" t="str">
            <v>05OT129</v>
          </cell>
          <cell r="J1592" t="str">
            <v>SEMINAR</v>
          </cell>
          <cell r="K1592" t="str">
            <v>BMED</v>
          </cell>
          <cell r="L1592" t="str">
            <v>Normal</v>
          </cell>
          <cell r="M1592" t="str">
            <v>Not Available</v>
          </cell>
          <cell r="N1592" t="str">
            <v>Not Available</v>
          </cell>
          <cell r="O1592" t="str">
            <v>Not Available</v>
          </cell>
          <cell r="P1592" t="str">
            <v>Not Available</v>
          </cell>
          <cell r="Q1592" t="str">
            <v>Not Applicable</v>
          </cell>
          <cell r="R1592" t="str">
            <v>Not Available</v>
          </cell>
          <cell r="S1592" t="str">
            <v>Not Available</v>
          </cell>
          <cell r="T1592" t="str">
            <v>Functioning</v>
          </cell>
          <cell r="U1592" t="str">
            <v>Asset</v>
          </cell>
          <cell r="V1592">
            <v>4000</v>
          </cell>
          <cell r="W1592" t="str">
            <v>Estimate</v>
          </cell>
          <cell r="X1592" t="str">
            <v>31/08/2013</v>
          </cell>
          <cell r="Y1592" t="str">
            <v>Estimate</v>
          </cell>
          <cell r="Z1592" t="str">
            <v>31/08/2013</v>
          </cell>
          <cell r="AA1592" t="str">
            <v>30/08/2015</v>
          </cell>
          <cell r="AB1592" t="str">
            <v>No</v>
          </cell>
          <cell r="AC1592" t="str">
            <v>31/08/2013</v>
          </cell>
          <cell r="AD1592" t="str">
            <v>Good</v>
          </cell>
          <cell r="AE1592" t="str">
            <v>V10 - Asset in initial fee submission(new/replacement hosp)</v>
          </cell>
          <cell r="AF1592">
            <v>43193</v>
          </cell>
          <cell r="AG1592">
            <v>6.25</v>
          </cell>
          <cell r="AH1592" t="str">
            <v>RI</v>
          </cell>
          <cell r="AI1592" t="str">
            <v>Not in contract</v>
          </cell>
        </row>
        <row r="1593">
          <cell r="A1593" t="str">
            <v>IKN401398</v>
          </cell>
          <cell r="B1593">
            <v>1383</v>
          </cell>
          <cell r="C1593" t="str">
            <v>Institut Kanser Negara</v>
          </cell>
          <cell r="D1593" t="str">
            <v>KKM/IKN/H/16/32</v>
          </cell>
          <cell r="E1593" t="str">
            <v>13-215</v>
          </cell>
          <cell r="F1593" t="str">
            <v>Infusion Pumps, General-Purpose</v>
          </cell>
          <cell r="G1593" t="str">
            <v>WA</v>
          </cell>
          <cell r="H1593" t="str">
            <v>NUCLEAR MED WARD (THERAPY)</v>
          </cell>
          <cell r="I1593" t="str">
            <v>03WA177</v>
          </cell>
          <cell r="J1593" t="str">
            <v>EQ. ROOM</v>
          </cell>
          <cell r="K1593" t="str">
            <v>BMED</v>
          </cell>
          <cell r="L1593" t="str">
            <v>Critical</v>
          </cell>
          <cell r="M1593" t="str">
            <v>Japan</v>
          </cell>
          <cell r="N1593" t="str">
            <v>TOP</v>
          </cell>
          <cell r="O1593" t="str">
            <v>TOP-2300</v>
          </cell>
          <cell r="P1593" t="str">
            <v>16 A0495</v>
          </cell>
          <cell r="Q1593" t="str">
            <v>Not Available</v>
          </cell>
          <cell r="R1593" t="str">
            <v>TOP Corp</v>
          </cell>
          <cell r="S1593" t="str">
            <v>SHRIRO (M) Sdn. Bhd</v>
          </cell>
          <cell r="T1593" t="str">
            <v>Functioning</v>
          </cell>
          <cell r="U1593" t="str">
            <v>Asset</v>
          </cell>
          <cell r="V1593">
            <v>3800</v>
          </cell>
          <cell r="W1593" t="str">
            <v>KEW</v>
          </cell>
          <cell r="X1593" t="str">
            <v>02/11/2016</v>
          </cell>
          <cell r="Y1593" t="str">
            <v>KEW</v>
          </cell>
          <cell r="Z1593" t="str">
            <v>30/12/2016</v>
          </cell>
          <cell r="AA1593" t="str">
            <v>31/12/2017</v>
          </cell>
          <cell r="AB1593" t="str">
            <v>No</v>
          </cell>
          <cell r="AC1593" t="str">
            <v>22/11/2016</v>
          </cell>
          <cell r="AD1593" t="str">
            <v>Good</v>
          </cell>
          <cell r="AE1593" t="str">
            <v>V3 - Added Installed Facilities (New)</v>
          </cell>
          <cell r="AF1593">
            <v>42759</v>
          </cell>
          <cell r="AG1593">
            <v>3</v>
          </cell>
          <cell r="AH1593" t="str">
            <v>PPM</v>
          </cell>
          <cell r="AI1593" t="str">
            <v>Strands</v>
          </cell>
          <cell r="AJ1593" t="str">
            <v>Strands PW</v>
          </cell>
          <cell r="AK1593" t="str">
            <v>SNF received. 1st batch of V3 asset (December 2020)</v>
          </cell>
        </row>
        <row r="1594">
          <cell r="A1594" t="str">
            <v>IKN401399</v>
          </cell>
          <cell r="B1594">
            <v>1384</v>
          </cell>
          <cell r="C1594" t="str">
            <v>Institut Kanser Negara</v>
          </cell>
          <cell r="D1594" t="str">
            <v>KKM/IKN/H/16/31</v>
          </cell>
          <cell r="E1594" t="str">
            <v>13-215</v>
          </cell>
          <cell r="F1594" t="str">
            <v>Infusion Pumps, General-Purpose</v>
          </cell>
          <cell r="G1594" t="str">
            <v>WA</v>
          </cell>
          <cell r="H1594" t="str">
            <v>NUCLEAR MED WARD (THERAPY)</v>
          </cell>
          <cell r="I1594" t="str">
            <v>03WA177</v>
          </cell>
          <cell r="J1594" t="str">
            <v>EQ. ROOM</v>
          </cell>
          <cell r="K1594" t="str">
            <v>BMED</v>
          </cell>
          <cell r="L1594" t="str">
            <v>Critical</v>
          </cell>
          <cell r="M1594" t="str">
            <v>Japan</v>
          </cell>
          <cell r="N1594" t="str">
            <v>TOP</v>
          </cell>
          <cell r="O1594" t="str">
            <v>TOP-2300</v>
          </cell>
          <cell r="P1594" t="str">
            <v>16A 0494</v>
          </cell>
          <cell r="Q1594" t="str">
            <v>Not Available</v>
          </cell>
          <cell r="R1594" t="str">
            <v>TOP Corp</v>
          </cell>
          <cell r="S1594" t="str">
            <v>SHRIRO (M) Sdn. Bhd</v>
          </cell>
          <cell r="T1594" t="str">
            <v>Functioning</v>
          </cell>
          <cell r="U1594" t="str">
            <v>Asset</v>
          </cell>
          <cell r="V1594">
            <v>3800</v>
          </cell>
          <cell r="W1594" t="str">
            <v>KEW</v>
          </cell>
          <cell r="X1594" t="str">
            <v>02/11/2016</v>
          </cell>
          <cell r="Y1594" t="str">
            <v>KEW</v>
          </cell>
          <cell r="Z1594" t="str">
            <v>30/12/2016</v>
          </cell>
          <cell r="AA1594" t="str">
            <v>31/12/2017</v>
          </cell>
          <cell r="AB1594" t="str">
            <v>No</v>
          </cell>
          <cell r="AC1594" t="str">
            <v>22/11/2016</v>
          </cell>
          <cell r="AD1594" t="str">
            <v>Good</v>
          </cell>
          <cell r="AE1594" t="str">
            <v>V3 - Added Installed Facilities (New)</v>
          </cell>
          <cell r="AF1594">
            <v>42759</v>
          </cell>
          <cell r="AG1594">
            <v>3</v>
          </cell>
          <cell r="AH1594" t="str">
            <v>PPM</v>
          </cell>
          <cell r="AI1594" t="str">
            <v>Strands</v>
          </cell>
          <cell r="AJ1594" t="str">
            <v>Strands PW</v>
          </cell>
          <cell r="AK1594" t="str">
            <v>SNF received. 1st batch of V3 asset (December 2020)</v>
          </cell>
        </row>
        <row r="1595">
          <cell r="A1595" t="str">
            <v>IKN401400</v>
          </cell>
          <cell r="B1595">
            <v>1385</v>
          </cell>
          <cell r="C1595" t="str">
            <v>Institut Kanser Negara</v>
          </cell>
          <cell r="D1595" t="str">
            <v>KKM/IKN/H/16/33</v>
          </cell>
          <cell r="E1595" t="str">
            <v>13-215</v>
          </cell>
          <cell r="F1595" t="str">
            <v>Infusion Pumps, General-Purpose</v>
          </cell>
          <cell r="G1595" t="str">
            <v>WA</v>
          </cell>
          <cell r="H1595" t="str">
            <v>NUCLEAR MED WARD (THERAPY)</v>
          </cell>
          <cell r="I1595" t="str">
            <v>03WA177</v>
          </cell>
          <cell r="J1595" t="str">
            <v>EQ. ROOM</v>
          </cell>
          <cell r="K1595" t="str">
            <v>BMED</v>
          </cell>
          <cell r="L1595" t="str">
            <v>Critical</v>
          </cell>
          <cell r="M1595" t="str">
            <v>Japan</v>
          </cell>
          <cell r="N1595" t="str">
            <v>TOP</v>
          </cell>
          <cell r="O1595" t="str">
            <v>TOP-2300</v>
          </cell>
          <cell r="P1595" t="str">
            <v>16A 0496</v>
          </cell>
          <cell r="Q1595" t="str">
            <v>Not Available</v>
          </cell>
          <cell r="R1595" t="str">
            <v>TOP Corp</v>
          </cell>
          <cell r="S1595" t="str">
            <v>SHRIRO (M) Sdn. Bhd</v>
          </cell>
          <cell r="T1595" t="str">
            <v>Functioning</v>
          </cell>
          <cell r="U1595" t="str">
            <v>Asset</v>
          </cell>
          <cell r="V1595">
            <v>3800</v>
          </cell>
          <cell r="W1595" t="str">
            <v>KEW</v>
          </cell>
          <cell r="X1595" t="str">
            <v>02/11/2016</v>
          </cell>
          <cell r="Y1595" t="str">
            <v>KEW</v>
          </cell>
          <cell r="Z1595" t="str">
            <v>30/12/2016</v>
          </cell>
          <cell r="AA1595" t="str">
            <v>31/12/2017</v>
          </cell>
          <cell r="AB1595" t="str">
            <v>No</v>
          </cell>
          <cell r="AC1595" t="str">
            <v>22/11/2016</v>
          </cell>
          <cell r="AD1595" t="str">
            <v>Good</v>
          </cell>
          <cell r="AE1595" t="str">
            <v>V3 - Added Installed Facilities (New)</v>
          </cell>
          <cell r="AF1595">
            <v>42759</v>
          </cell>
          <cell r="AG1595">
            <v>3</v>
          </cell>
          <cell r="AH1595" t="str">
            <v>PPM</v>
          </cell>
          <cell r="AI1595" t="str">
            <v>Strands</v>
          </cell>
          <cell r="AJ1595" t="str">
            <v>Strands PW</v>
          </cell>
          <cell r="AK1595" t="str">
            <v>SNF received. 1st batch of V3 asset (December 2020)</v>
          </cell>
        </row>
        <row r="1596">
          <cell r="A1596" t="str">
            <v>IKN401401</v>
          </cell>
          <cell r="B1596">
            <v>1386</v>
          </cell>
          <cell r="C1596" t="str">
            <v>Institut Kanser Negara</v>
          </cell>
          <cell r="D1596" t="str">
            <v>KKM/IKN/H/16/30</v>
          </cell>
          <cell r="E1596" t="str">
            <v>13-215</v>
          </cell>
          <cell r="F1596" t="str">
            <v>Infusion Pumps, General-Purpose</v>
          </cell>
          <cell r="G1596" t="str">
            <v>WA</v>
          </cell>
          <cell r="H1596" t="str">
            <v>NUCLEAR MED WARD (THERAPY)</v>
          </cell>
          <cell r="I1596" t="str">
            <v>03WA177</v>
          </cell>
          <cell r="J1596" t="str">
            <v>EQ. ROOM</v>
          </cell>
          <cell r="K1596" t="str">
            <v>BMED</v>
          </cell>
          <cell r="L1596" t="str">
            <v>Critical</v>
          </cell>
          <cell r="M1596" t="str">
            <v>Japan</v>
          </cell>
          <cell r="N1596" t="str">
            <v>TOP</v>
          </cell>
          <cell r="O1596" t="str">
            <v>TOP-2300</v>
          </cell>
          <cell r="P1596" t="str">
            <v>16A 0493</v>
          </cell>
          <cell r="Q1596" t="str">
            <v>Not Available</v>
          </cell>
          <cell r="R1596" t="str">
            <v>TOP Corp</v>
          </cell>
          <cell r="S1596" t="str">
            <v>SHRIRO (M) Sdn. Bhd</v>
          </cell>
          <cell r="T1596" t="str">
            <v>Functioning</v>
          </cell>
          <cell r="U1596" t="str">
            <v>Asset</v>
          </cell>
          <cell r="V1596">
            <v>3800</v>
          </cell>
          <cell r="W1596" t="str">
            <v>KEW</v>
          </cell>
          <cell r="X1596" t="str">
            <v>02/11/2016</v>
          </cell>
          <cell r="Y1596" t="str">
            <v>KEW</v>
          </cell>
          <cell r="Z1596" t="str">
            <v>30/12/2016</v>
          </cell>
          <cell r="AA1596" t="str">
            <v>31/12/2017</v>
          </cell>
          <cell r="AB1596" t="str">
            <v>No</v>
          </cell>
          <cell r="AC1596" t="str">
            <v>22/11/2016</v>
          </cell>
          <cell r="AD1596" t="str">
            <v>Good</v>
          </cell>
          <cell r="AE1596" t="str">
            <v>V3 - Added Installed Facilities (New)</v>
          </cell>
          <cell r="AF1596">
            <v>42759</v>
          </cell>
          <cell r="AG1596">
            <v>3</v>
          </cell>
          <cell r="AH1596" t="str">
            <v>PPM</v>
          </cell>
          <cell r="AI1596" t="str">
            <v>Strands</v>
          </cell>
          <cell r="AJ1596" t="str">
            <v>Strands PW</v>
          </cell>
          <cell r="AK1596" t="str">
            <v>SNF received. 1st batch of V3 asset (December 2020)</v>
          </cell>
        </row>
        <row r="1597">
          <cell r="A1597" t="str">
            <v>IKN401402</v>
          </cell>
          <cell r="B1597">
            <v>1387</v>
          </cell>
          <cell r="C1597" t="str">
            <v>Institut Kanser Negara</v>
          </cell>
          <cell r="D1597" t="str">
            <v>KKM/IKN/H/13/4689-04</v>
          </cell>
          <cell r="E1597" t="str">
            <v>15-605</v>
          </cell>
          <cell r="F1597" t="str">
            <v>Testers</v>
          </cell>
          <cell r="G1597" t="str">
            <v>RT</v>
          </cell>
          <cell r="H1597" t="str">
            <v>RADIATION TREATMENT UNIT</v>
          </cell>
          <cell r="I1597" t="str">
            <v>01RT213</v>
          </cell>
          <cell r="J1597" t="str">
            <v>EQUIPMENT ROOM1</v>
          </cell>
          <cell r="K1597" t="str">
            <v>BMED</v>
          </cell>
          <cell r="L1597" t="str">
            <v>Normal</v>
          </cell>
          <cell r="M1597" t="str">
            <v>Germany</v>
          </cell>
          <cell r="N1597" t="str">
            <v>GTD1100</v>
          </cell>
          <cell r="O1597" t="str">
            <v>GTD 1100</v>
          </cell>
          <cell r="P1597" t="str">
            <v>1379-0310</v>
          </cell>
          <cell r="Q1597" t="str">
            <v>Not Applicable</v>
          </cell>
          <cell r="R1597" t="str">
            <v>GREISINGER</v>
          </cell>
          <cell r="S1597" t="str">
            <v>Oncoray Sdn. Bhd</v>
          </cell>
          <cell r="T1597" t="str">
            <v>Functioning</v>
          </cell>
          <cell r="U1597" t="str">
            <v>Asset</v>
          </cell>
          <cell r="V1597">
            <v>700</v>
          </cell>
          <cell r="W1597" t="str">
            <v>KEW</v>
          </cell>
          <cell r="X1597" t="str">
            <v>01/09/2010</v>
          </cell>
          <cell r="Y1597" t="str">
            <v>KEW</v>
          </cell>
          <cell r="Z1597" t="str">
            <v>16/08/2013</v>
          </cell>
          <cell r="AA1597" t="str">
            <v>15/08/2015</v>
          </cell>
          <cell r="AB1597" t="str">
            <v>No</v>
          </cell>
          <cell r="AC1597" t="str">
            <v>16/08/2013</v>
          </cell>
          <cell r="AD1597" t="str">
            <v>Good</v>
          </cell>
          <cell r="AE1597" t="str">
            <v>V10 - Asset in initial fee submission(new/replacement hosp)</v>
          </cell>
          <cell r="AF1597">
            <v>43063</v>
          </cell>
          <cell r="AG1597">
            <v>9.17</v>
          </cell>
          <cell r="AH1597" t="str">
            <v>PPM</v>
          </cell>
          <cell r="AI1597" t="str">
            <v>strands</v>
          </cell>
          <cell r="AJ1597" t="str">
            <v>Strands Package</v>
          </cell>
          <cell r="AK1597" t="str">
            <v>Package Afterloading System, XM0011</v>
          </cell>
        </row>
        <row r="1598">
          <cell r="A1598" t="str">
            <v>IKN401403</v>
          </cell>
          <cell r="B1598">
            <v>1388</v>
          </cell>
          <cell r="C1598" t="str">
            <v>Institut Kanser Negara</v>
          </cell>
          <cell r="D1598" t="str">
            <v>KKM/IKN/H/13/</v>
          </cell>
          <cell r="E1598" t="str">
            <v>15-605</v>
          </cell>
          <cell r="F1598" t="str">
            <v>Testers</v>
          </cell>
          <cell r="G1598" t="str">
            <v>RT</v>
          </cell>
          <cell r="H1598" t="str">
            <v>RADIATION TREATMENT UNIT</v>
          </cell>
          <cell r="I1598" t="str">
            <v>01RT213</v>
          </cell>
          <cell r="J1598" t="str">
            <v>EQUIPMENT ROOM1</v>
          </cell>
          <cell r="K1598" t="str">
            <v>BMED</v>
          </cell>
          <cell r="L1598" t="str">
            <v>Normal</v>
          </cell>
          <cell r="M1598" t="str">
            <v>Germany</v>
          </cell>
          <cell r="N1598" t="str">
            <v>C300</v>
          </cell>
          <cell r="O1598" t="str">
            <v>C300</v>
          </cell>
          <cell r="P1598" t="str">
            <v>008.0812.0202.2.1.1.25</v>
          </cell>
          <cell r="Q1598" t="str">
            <v>Not Available</v>
          </cell>
          <cell r="R1598" t="str">
            <v>LUFFT</v>
          </cell>
          <cell r="S1598" t="str">
            <v>Delta Advantech (M) Sdn. Bhd</v>
          </cell>
          <cell r="T1598" t="str">
            <v>Functioning</v>
          </cell>
          <cell r="U1598" t="str">
            <v>Asset</v>
          </cell>
          <cell r="V1598">
            <v>8000</v>
          </cell>
          <cell r="W1598" t="str">
            <v>KEW</v>
          </cell>
          <cell r="X1598" t="str">
            <v>01/09/2010</v>
          </cell>
          <cell r="Y1598" t="str">
            <v>KEW</v>
          </cell>
          <cell r="Z1598" t="str">
            <v>16/08/2013</v>
          </cell>
          <cell r="AA1598" t="str">
            <v>15/08/2015</v>
          </cell>
          <cell r="AB1598" t="str">
            <v>No</v>
          </cell>
          <cell r="AC1598" t="str">
            <v>31/08/2013</v>
          </cell>
          <cell r="AD1598" t="str">
            <v>Good</v>
          </cell>
          <cell r="AE1598" t="str">
            <v>V1 - Existing / No Claim</v>
          </cell>
          <cell r="AF1598">
            <v>42755</v>
          </cell>
          <cell r="AG1598">
            <v>9.17</v>
          </cell>
          <cell r="AH1598" t="str">
            <v>PPM</v>
          </cell>
          <cell r="AI1598" t="str">
            <v>Strands</v>
          </cell>
          <cell r="AJ1598" t="str">
            <v>Strands PW</v>
          </cell>
        </row>
        <row r="1599">
          <cell r="A1599" t="str">
            <v>IKN401412</v>
          </cell>
          <cell r="B1599">
            <v>1395</v>
          </cell>
          <cell r="C1599" t="str">
            <v>Institut Kanser Negara</v>
          </cell>
          <cell r="D1599" t="str">
            <v>KKM/IKN/H/13/2554</v>
          </cell>
          <cell r="E1599" t="str">
            <v>13-461</v>
          </cell>
          <cell r="F1599" t="str">
            <v>Scales, Patient, Floor</v>
          </cell>
          <cell r="G1599" t="str">
            <v>WG</v>
          </cell>
          <cell r="H1599" t="str">
            <v>RT/ONCO WARD 1 (M)</v>
          </cell>
          <cell r="I1599" t="str">
            <v>08WG143</v>
          </cell>
          <cell r="J1599" t="str">
            <v>NURSE STATION</v>
          </cell>
          <cell r="K1599" t="str">
            <v>BMED</v>
          </cell>
          <cell r="L1599" t="str">
            <v>Normal</v>
          </cell>
          <cell r="M1599" t="str">
            <v>USA</v>
          </cell>
          <cell r="N1599" t="str">
            <v>Detecto</v>
          </cell>
          <cell r="O1599" t="str">
            <v>758 C</v>
          </cell>
          <cell r="P1599" t="str">
            <v>E34812-0041</v>
          </cell>
          <cell r="Q1599" t="str">
            <v>Not Applicable</v>
          </cell>
          <cell r="R1599" t="str">
            <v>DETECTO</v>
          </cell>
          <cell r="S1599" t="str">
            <v>Acucare System (M) Sdn. Bhd</v>
          </cell>
          <cell r="T1599" t="str">
            <v>Functioning</v>
          </cell>
          <cell r="U1599" t="str">
            <v>Asset</v>
          </cell>
          <cell r="V1599">
            <v>9380</v>
          </cell>
          <cell r="W1599" t="str">
            <v>KEW</v>
          </cell>
          <cell r="X1599" t="str">
            <v>01/09/2010</v>
          </cell>
          <cell r="Y1599" t="str">
            <v>KEW</v>
          </cell>
          <cell r="Z1599" t="str">
            <v>16/08/2013</v>
          </cell>
          <cell r="AA1599" t="str">
            <v>15/08/2015</v>
          </cell>
          <cell r="AB1599" t="str">
            <v>No</v>
          </cell>
          <cell r="AC1599" t="str">
            <v>31/08/2013</v>
          </cell>
          <cell r="AD1599" t="str">
            <v>Good</v>
          </cell>
          <cell r="AE1599" t="str">
            <v>V1 - Existing / No Claim</v>
          </cell>
          <cell r="AF1599">
            <v>42789</v>
          </cell>
          <cell r="AG1599">
            <v>9.17</v>
          </cell>
          <cell r="AH1599" t="str">
            <v>PPM</v>
          </cell>
          <cell r="AI1599" t="str">
            <v>Strands</v>
          </cell>
          <cell r="AJ1599" t="str">
            <v>Strands PW</v>
          </cell>
        </row>
        <row r="1600">
          <cell r="A1600" t="str">
            <v>IKN401415</v>
          </cell>
          <cell r="B1600">
            <v>1397</v>
          </cell>
          <cell r="C1600" t="str">
            <v>Institut Kanser Negara</v>
          </cell>
          <cell r="D1600" t="str">
            <v>KKM/IKN/H/13/2028</v>
          </cell>
          <cell r="E1600" t="str">
            <v>13-461</v>
          </cell>
          <cell r="F1600" t="str">
            <v>Scales, Patient, Floor</v>
          </cell>
          <cell r="G1600" t="str">
            <v>WH</v>
          </cell>
          <cell r="H1600" t="str">
            <v>RT/ONCO WARD 2 (M)</v>
          </cell>
          <cell r="I1600" t="str">
            <v>08WH143</v>
          </cell>
          <cell r="J1600" t="str">
            <v>NURSE STATION</v>
          </cell>
          <cell r="K1600" t="str">
            <v>BMED</v>
          </cell>
          <cell r="L1600" t="str">
            <v>Normal</v>
          </cell>
          <cell r="M1600" t="str">
            <v>USA</v>
          </cell>
          <cell r="N1600" t="str">
            <v>Detecto</v>
          </cell>
          <cell r="O1600" t="str">
            <v>758 C</v>
          </cell>
          <cell r="P1600" t="str">
            <v>E 34812-0043</v>
          </cell>
          <cell r="Q1600" t="str">
            <v>Not Available</v>
          </cell>
          <cell r="R1600" t="str">
            <v>DETECTO</v>
          </cell>
          <cell r="S1600" t="str">
            <v>Acucare System (M) Sdn. Bhd</v>
          </cell>
          <cell r="T1600" t="str">
            <v>Functioning</v>
          </cell>
          <cell r="U1600" t="str">
            <v>Asset</v>
          </cell>
          <cell r="V1600">
            <v>9380</v>
          </cell>
          <cell r="W1600" t="str">
            <v>KEW</v>
          </cell>
          <cell r="X1600" t="str">
            <v>01/09/2010</v>
          </cell>
          <cell r="Y1600" t="str">
            <v>KEW</v>
          </cell>
          <cell r="Z1600" t="str">
            <v>16/08/2013</v>
          </cell>
          <cell r="AA1600" t="str">
            <v>15/08/2015</v>
          </cell>
          <cell r="AB1600" t="str">
            <v>No</v>
          </cell>
          <cell r="AC1600" t="str">
            <v>31/08/2013</v>
          </cell>
          <cell r="AD1600" t="str">
            <v>Good</v>
          </cell>
          <cell r="AE1600" t="str">
            <v>V1 - Existing / No Claim</v>
          </cell>
          <cell r="AF1600">
            <v>42781</v>
          </cell>
          <cell r="AG1600">
            <v>9.17</v>
          </cell>
          <cell r="AH1600" t="str">
            <v>PPM</v>
          </cell>
          <cell r="AI1600" t="str">
            <v>Strands</v>
          </cell>
          <cell r="AJ1600" t="str">
            <v>Strands PW</v>
          </cell>
        </row>
        <row r="1601">
          <cell r="A1601" t="str">
            <v>IKN401419</v>
          </cell>
          <cell r="B1601">
            <v>1400</v>
          </cell>
          <cell r="C1601" t="str">
            <v>Institut Kanser Negara</v>
          </cell>
          <cell r="D1601" t="str">
            <v>KKM/IKN/H/13/2093</v>
          </cell>
          <cell r="E1601" t="str">
            <v>13-461</v>
          </cell>
          <cell r="F1601" t="str">
            <v>Scales, Patient, Floor</v>
          </cell>
          <cell r="G1601" t="str">
            <v>WE</v>
          </cell>
          <cell r="H1601" t="str">
            <v>RT/ONCO WARD 1 (F)</v>
          </cell>
          <cell r="I1601" t="str">
            <v>07WE143</v>
          </cell>
          <cell r="J1601" t="str">
            <v>NURSE STATION</v>
          </cell>
          <cell r="K1601" t="str">
            <v>BMED</v>
          </cell>
          <cell r="L1601" t="str">
            <v>Normal</v>
          </cell>
          <cell r="M1601" t="str">
            <v>USA</v>
          </cell>
          <cell r="N1601" t="str">
            <v>Detecto</v>
          </cell>
          <cell r="O1601" t="str">
            <v>758 C</v>
          </cell>
          <cell r="P1601" t="str">
            <v>E 32112-0199</v>
          </cell>
          <cell r="Q1601" t="str">
            <v>Not Applicable</v>
          </cell>
          <cell r="R1601" t="str">
            <v>DETECTO</v>
          </cell>
          <cell r="S1601" t="str">
            <v>Acucare System (M) Sdn. Bhd</v>
          </cell>
          <cell r="T1601" t="str">
            <v>Functioning</v>
          </cell>
          <cell r="U1601" t="str">
            <v>Asset</v>
          </cell>
          <cell r="V1601">
            <v>9380</v>
          </cell>
          <cell r="W1601" t="str">
            <v>KEW</v>
          </cell>
          <cell r="X1601" t="str">
            <v>01/09/2010</v>
          </cell>
          <cell r="Y1601" t="str">
            <v>KEW</v>
          </cell>
          <cell r="Z1601" t="str">
            <v>16/08/2013</v>
          </cell>
          <cell r="AA1601" t="str">
            <v>15/08/2015</v>
          </cell>
          <cell r="AB1601" t="str">
            <v>No</v>
          </cell>
          <cell r="AC1601" t="str">
            <v>31/08/2013</v>
          </cell>
          <cell r="AD1601" t="str">
            <v>Good</v>
          </cell>
          <cell r="AE1601" t="str">
            <v>V1 - Existing / No Claim</v>
          </cell>
          <cell r="AF1601">
            <v>42790</v>
          </cell>
          <cell r="AG1601">
            <v>9.17</v>
          </cell>
          <cell r="AH1601" t="str">
            <v>PPM</v>
          </cell>
          <cell r="AI1601" t="str">
            <v>Strands</v>
          </cell>
          <cell r="AJ1601" t="str">
            <v>Strands PW</v>
          </cell>
        </row>
        <row r="1602">
          <cell r="A1602" t="str">
            <v>IKN401432</v>
          </cell>
          <cell r="B1602">
            <v>1410</v>
          </cell>
          <cell r="C1602" t="str">
            <v>Institut Kanser Negara</v>
          </cell>
          <cell r="D1602" t="str">
            <v>KKM/IKN/H/13/3372</v>
          </cell>
          <cell r="E1602" t="str">
            <v>13-461</v>
          </cell>
          <cell r="F1602" t="str">
            <v>Scales, Patient, Floor</v>
          </cell>
          <cell r="G1602" t="str">
            <v>WC</v>
          </cell>
          <cell r="H1602" t="str">
            <v>SURGICAL ONCO FEMALE WARD</v>
          </cell>
          <cell r="I1602" t="str">
            <v>06WC143</v>
          </cell>
          <cell r="J1602" t="str">
            <v>NURSE STATION</v>
          </cell>
          <cell r="K1602" t="str">
            <v>BMED</v>
          </cell>
          <cell r="L1602" t="str">
            <v>Normal</v>
          </cell>
          <cell r="M1602" t="str">
            <v>USA</v>
          </cell>
          <cell r="N1602" t="str">
            <v>Detecto</v>
          </cell>
          <cell r="O1602" t="str">
            <v>758 C</v>
          </cell>
          <cell r="P1602" t="str">
            <v>E 34912-0175</v>
          </cell>
          <cell r="Q1602" t="str">
            <v>Not Available</v>
          </cell>
          <cell r="R1602" t="str">
            <v>DETECTO</v>
          </cell>
          <cell r="S1602" t="str">
            <v>Acucare System (M) Sdn. Bhd</v>
          </cell>
          <cell r="T1602" t="str">
            <v>Functioning</v>
          </cell>
          <cell r="U1602" t="str">
            <v>Asset</v>
          </cell>
          <cell r="V1602">
            <v>9380</v>
          </cell>
          <cell r="W1602" t="str">
            <v>KEW</v>
          </cell>
          <cell r="X1602" t="str">
            <v>01/09/2010</v>
          </cell>
          <cell r="Y1602" t="str">
            <v>KEW</v>
          </cell>
          <cell r="Z1602" t="str">
            <v>16/08/2013</v>
          </cell>
          <cell r="AA1602" t="str">
            <v>15/08/2015</v>
          </cell>
          <cell r="AB1602" t="str">
            <v>No</v>
          </cell>
          <cell r="AC1602" t="str">
            <v>31/08/2013</v>
          </cell>
          <cell r="AD1602" t="str">
            <v>Good</v>
          </cell>
          <cell r="AE1602" t="str">
            <v>V1 - Existing / No Claim</v>
          </cell>
          <cell r="AF1602">
            <v>42781</v>
          </cell>
          <cell r="AG1602">
            <v>9.17</v>
          </cell>
          <cell r="AH1602" t="str">
            <v>PPM</v>
          </cell>
          <cell r="AI1602" t="str">
            <v>Strands</v>
          </cell>
          <cell r="AJ1602" t="str">
            <v>Strands PW</v>
          </cell>
        </row>
        <row r="1603">
          <cell r="A1603" t="str">
            <v>IKN401436</v>
          </cell>
          <cell r="B1603">
            <v>1412</v>
          </cell>
          <cell r="C1603" t="str">
            <v>Institut Kanser Negara</v>
          </cell>
          <cell r="D1603" t="str">
            <v>KKM/IKN/I/13/1703</v>
          </cell>
          <cell r="E1603" t="str">
            <v>13-461</v>
          </cell>
          <cell r="F1603" t="str">
            <v>Scales, Patient, Floor</v>
          </cell>
          <cell r="G1603" t="str">
            <v>MC</v>
          </cell>
          <cell r="H1603" t="str">
            <v>MULTI-DISCIPLINE CLINIC</v>
          </cell>
          <cell r="I1603" t="str">
            <v>03MC106</v>
          </cell>
          <cell r="J1603" t="str">
            <v>COUNSELLING</v>
          </cell>
          <cell r="K1603" t="str">
            <v>BMED</v>
          </cell>
          <cell r="L1603" t="str">
            <v>Normal</v>
          </cell>
          <cell r="M1603" t="str">
            <v>USA</v>
          </cell>
          <cell r="N1603" t="str">
            <v>Detecto</v>
          </cell>
          <cell r="O1603" t="str">
            <v>758 C</v>
          </cell>
          <cell r="P1603" t="str">
            <v>E32112-0184</v>
          </cell>
          <cell r="Q1603" t="str">
            <v>NA</v>
          </cell>
          <cell r="R1603" t="str">
            <v>DETECTO</v>
          </cell>
          <cell r="S1603" t="str">
            <v>ACURE SYSTEM SDN BHD</v>
          </cell>
          <cell r="T1603" t="str">
            <v>Functioning</v>
          </cell>
          <cell r="U1603" t="str">
            <v>Asset</v>
          </cell>
          <cell r="V1603">
            <v>9380</v>
          </cell>
          <cell r="W1603" t="str">
            <v>KEW</v>
          </cell>
          <cell r="X1603" t="str">
            <v>01/09/2010</v>
          </cell>
          <cell r="Y1603" t="str">
            <v>Estimate</v>
          </cell>
          <cell r="Z1603" t="str">
            <v>16/08/2013</v>
          </cell>
          <cell r="AA1603" t="str">
            <v>15/08/2015</v>
          </cell>
          <cell r="AB1603" t="str">
            <v>No</v>
          </cell>
          <cell r="AC1603" t="str">
            <v>31/08/2013</v>
          </cell>
          <cell r="AD1603" t="str">
            <v>Good</v>
          </cell>
          <cell r="AE1603" t="str">
            <v>V1 - Existing / No Claim</v>
          </cell>
          <cell r="AF1603">
            <v>42781</v>
          </cell>
          <cell r="AG1603">
            <v>9.17</v>
          </cell>
          <cell r="AH1603" t="str">
            <v>PPM</v>
          </cell>
          <cell r="AI1603" t="str">
            <v>Strands</v>
          </cell>
          <cell r="AK1603" t="str">
            <v>Wrong kewpa previously by user KKM/IKN/I/13/379. [22/9/2023, SHARIFAH]: PEP ON FEB 2021, BER/BEMS/AWSB/21/002 - Asset mengalami kerosakan pada komponen Digital Height Rod, tetapi masih boleh digunakan namun asset tidak ekonomik diperbaiki lagi sekiranya rosak.</v>
          </cell>
        </row>
        <row r="1604">
          <cell r="A1604" t="str">
            <v>IKN401439</v>
          </cell>
          <cell r="B1604">
            <v>1415</v>
          </cell>
          <cell r="C1604" t="str">
            <v>Institut Kanser Negara</v>
          </cell>
          <cell r="D1604" t="str">
            <v>KKM/IKN/H/13/2232</v>
          </cell>
          <cell r="E1604" t="str">
            <v>13-461</v>
          </cell>
          <cell r="F1604" t="str">
            <v>Scales, Patient, Floor</v>
          </cell>
          <cell r="G1604" t="str">
            <v>WA</v>
          </cell>
          <cell r="H1604" t="str">
            <v>NUCLEAR MED WARD (THERAPY)</v>
          </cell>
          <cell r="I1604" t="str">
            <v>03WA117</v>
          </cell>
          <cell r="J1604" t="str">
            <v>N/S 1</v>
          </cell>
          <cell r="K1604" t="str">
            <v>BMED</v>
          </cell>
          <cell r="L1604" t="str">
            <v>Normal</v>
          </cell>
          <cell r="M1604" t="str">
            <v>USA</v>
          </cell>
          <cell r="N1604" t="str">
            <v>Detecto</v>
          </cell>
          <cell r="O1604" t="str">
            <v>758 C</v>
          </cell>
          <cell r="P1604" t="str">
            <v>E 34812-0035</v>
          </cell>
          <cell r="Q1604" t="str">
            <v>Not Applicable</v>
          </cell>
          <cell r="R1604" t="str">
            <v>DETECTO</v>
          </cell>
          <cell r="S1604" t="str">
            <v>Acucare System (M) Sdn. Bhd</v>
          </cell>
          <cell r="T1604" t="str">
            <v>Functioning</v>
          </cell>
          <cell r="U1604" t="str">
            <v>Asset</v>
          </cell>
          <cell r="V1604">
            <v>9380</v>
          </cell>
          <cell r="W1604" t="str">
            <v>KEW</v>
          </cell>
          <cell r="X1604" t="str">
            <v>01/09/2010</v>
          </cell>
          <cell r="Y1604" t="str">
            <v>KEW</v>
          </cell>
          <cell r="Z1604" t="str">
            <v>16/08/2013</v>
          </cell>
          <cell r="AA1604" t="str">
            <v>15/08/2015</v>
          </cell>
          <cell r="AB1604" t="str">
            <v>No</v>
          </cell>
          <cell r="AC1604" t="str">
            <v>31/08/2013</v>
          </cell>
          <cell r="AD1604" t="str">
            <v>Good</v>
          </cell>
          <cell r="AE1604" t="str">
            <v>V1 - Existing / No Claim</v>
          </cell>
          <cell r="AF1604">
            <v>42794</v>
          </cell>
          <cell r="AG1604">
            <v>9.17</v>
          </cell>
          <cell r="AH1604" t="str">
            <v>PPM</v>
          </cell>
          <cell r="AI1604" t="str">
            <v>Strands</v>
          </cell>
          <cell r="AJ1604" t="str">
            <v>Strands PW</v>
          </cell>
        </row>
        <row r="1605">
          <cell r="A1605" t="str">
            <v>IKN401447</v>
          </cell>
          <cell r="B1605">
            <v>1420</v>
          </cell>
          <cell r="C1605" t="str">
            <v>Institut Kanser Negara</v>
          </cell>
          <cell r="D1605" t="str">
            <v>KKM/IKN/H/13/1246</v>
          </cell>
          <cell r="E1605" t="str">
            <v>13-461</v>
          </cell>
          <cell r="F1605" t="str">
            <v>Scales, Patient, Floor</v>
          </cell>
          <cell r="G1605" t="str">
            <v>TC</v>
          </cell>
          <cell r="H1605" t="str">
            <v>TRADITIONAL COMPLEMENTARY MEDICINE</v>
          </cell>
          <cell r="I1605" t="str">
            <v>04TC125</v>
          </cell>
          <cell r="J1605" t="str">
            <v>ASSESSMENT</v>
          </cell>
          <cell r="K1605" t="str">
            <v>BMED</v>
          </cell>
          <cell r="L1605" t="str">
            <v>Normal</v>
          </cell>
          <cell r="M1605" t="str">
            <v>USA</v>
          </cell>
          <cell r="N1605" t="str">
            <v>Detecto</v>
          </cell>
          <cell r="O1605" t="str">
            <v>758 C</v>
          </cell>
          <cell r="P1605" t="str">
            <v>E 32112-0179</v>
          </cell>
          <cell r="Q1605" t="str">
            <v>Not Applicable</v>
          </cell>
          <cell r="R1605" t="str">
            <v>DETECTO</v>
          </cell>
          <cell r="S1605" t="str">
            <v>Acucare System (M) Sdn. Bhd</v>
          </cell>
          <cell r="T1605" t="str">
            <v>Functioning</v>
          </cell>
          <cell r="U1605" t="str">
            <v>Asset</v>
          </cell>
          <cell r="V1605">
            <v>9380</v>
          </cell>
          <cell r="W1605" t="str">
            <v>KEW</v>
          </cell>
          <cell r="X1605" t="str">
            <v>01/09/2010</v>
          </cell>
          <cell r="Y1605" t="str">
            <v>KEW</v>
          </cell>
          <cell r="Z1605" t="str">
            <v>16/08/2013</v>
          </cell>
          <cell r="AA1605" t="str">
            <v>15/08/2015</v>
          </cell>
          <cell r="AB1605" t="str">
            <v>No</v>
          </cell>
          <cell r="AC1605" t="str">
            <v>31/08/2013</v>
          </cell>
          <cell r="AD1605" t="str">
            <v>Good</v>
          </cell>
          <cell r="AE1605" t="str">
            <v>V1 - Existing / No Claim</v>
          </cell>
          <cell r="AF1605">
            <v>42794</v>
          </cell>
          <cell r="AG1605">
            <v>9.17</v>
          </cell>
          <cell r="AH1605" t="str">
            <v>PPM</v>
          </cell>
          <cell r="AI1605" t="str">
            <v>Strands</v>
          </cell>
          <cell r="AJ1605" t="str">
            <v>Strands PW</v>
          </cell>
        </row>
        <row r="1606">
          <cell r="A1606" t="str">
            <v>IKN401450</v>
          </cell>
          <cell r="B1606">
            <v>1422</v>
          </cell>
          <cell r="C1606" t="str">
            <v>Institut Kanser Negara</v>
          </cell>
          <cell r="D1606" t="str">
            <v>KKM/IKN/H/13/2972</v>
          </cell>
          <cell r="E1606" t="str">
            <v>13-461</v>
          </cell>
          <cell r="F1606" t="str">
            <v>Scales, Patient, Floor</v>
          </cell>
          <cell r="G1606" t="str">
            <v>NM</v>
          </cell>
          <cell r="H1606" t="str">
            <v>NUCLEAR MED (DIAGNOSTIC)</v>
          </cell>
          <cell r="I1606" t="str">
            <v>03NM108</v>
          </cell>
          <cell r="J1606" t="str">
            <v>TREATMENT 1 (RAI)(VE)</v>
          </cell>
          <cell r="K1606" t="str">
            <v>BMED</v>
          </cell>
          <cell r="L1606" t="str">
            <v>Normal</v>
          </cell>
          <cell r="M1606" t="str">
            <v>USA</v>
          </cell>
          <cell r="N1606" t="str">
            <v>Detecto</v>
          </cell>
          <cell r="O1606" t="str">
            <v>758 C</v>
          </cell>
          <cell r="P1606" t="str">
            <v>E32112-0185</v>
          </cell>
          <cell r="Q1606" t="str">
            <v>NA</v>
          </cell>
          <cell r="R1606" t="str">
            <v>DETECTO</v>
          </cell>
          <cell r="S1606" t="str">
            <v>ACUCARE SYSTEMS M SDN BHD</v>
          </cell>
          <cell r="T1606" t="str">
            <v>Functioning</v>
          </cell>
          <cell r="U1606" t="str">
            <v>Asset</v>
          </cell>
          <cell r="V1606">
            <v>9380</v>
          </cell>
          <cell r="W1606" t="str">
            <v>KEW</v>
          </cell>
          <cell r="X1606" t="str">
            <v>01/09/2010</v>
          </cell>
          <cell r="Y1606" t="str">
            <v>Estimate</v>
          </cell>
          <cell r="Z1606" t="str">
            <v>16/08/2013</v>
          </cell>
          <cell r="AA1606" t="str">
            <v>15/08/2015</v>
          </cell>
          <cell r="AB1606" t="str">
            <v>No</v>
          </cell>
          <cell r="AC1606" t="str">
            <v>31/08/2013</v>
          </cell>
          <cell r="AD1606" t="str">
            <v>Good</v>
          </cell>
          <cell r="AE1606" t="str">
            <v>V1 - Existing / No Claim</v>
          </cell>
          <cell r="AF1606">
            <v>43430</v>
          </cell>
          <cell r="AG1606">
            <v>9.17</v>
          </cell>
          <cell r="AH1606" t="str">
            <v>PPM</v>
          </cell>
          <cell r="AI1606" t="str">
            <v>Strands</v>
          </cell>
          <cell r="AJ1606" t="str">
            <v>Strands PW</v>
          </cell>
        </row>
        <row r="1607">
          <cell r="A1607" t="str">
            <v>IKN401453</v>
          </cell>
          <cell r="B1607">
            <v>1424</v>
          </cell>
          <cell r="C1607" t="str">
            <v>Institut Kanser Negara</v>
          </cell>
          <cell r="D1607" t="str">
            <v>KKM/IKN/H/13/2379</v>
          </cell>
          <cell r="E1607" t="str">
            <v>13-461</v>
          </cell>
          <cell r="F1607" t="str">
            <v>Scales, Patient, Floor</v>
          </cell>
          <cell r="G1607" t="str">
            <v>WB</v>
          </cell>
          <cell r="H1607" t="str">
            <v>SURGICAL ONCO MALE WARD</v>
          </cell>
          <cell r="I1607" t="str">
            <v>05WB143</v>
          </cell>
          <cell r="J1607" t="str">
            <v>NURSES STATION</v>
          </cell>
          <cell r="K1607" t="str">
            <v>BMED</v>
          </cell>
          <cell r="L1607" t="str">
            <v>Normal</v>
          </cell>
          <cell r="M1607" t="str">
            <v>USA</v>
          </cell>
          <cell r="N1607" t="str">
            <v>Detecto</v>
          </cell>
          <cell r="O1607" t="str">
            <v>758 C</v>
          </cell>
          <cell r="P1607" t="str">
            <v>E 32112-0200</v>
          </cell>
          <cell r="Q1607" t="str">
            <v>Not Available</v>
          </cell>
          <cell r="R1607" t="str">
            <v>DETECTO</v>
          </cell>
          <cell r="S1607" t="str">
            <v>Acucare System (M) Sdn. Bhd</v>
          </cell>
          <cell r="T1607" t="str">
            <v>Functioning</v>
          </cell>
          <cell r="U1607" t="str">
            <v>Asset</v>
          </cell>
          <cell r="V1607">
            <v>9380</v>
          </cell>
          <cell r="W1607" t="str">
            <v>KEW</v>
          </cell>
          <cell r="X1607" t="str">
            <v>01/09/2010</v>
          </cell>
          <cell r="Y1607" t="str">
            <v>KEW</v>
          </cell>
          <cell r="Z1607" t="str">
            <v>16/08/2013</v>
          </cell>
          <cell r="AA1607" t="str">
            <v>15/08/2015</v>
          </cell>
          <cell r="AB1607" t="str">
            <v>No</v>
          </cell>
          <cell r="AC1607" t="str">
            <v>31/08/2013</v>
          </cell>
          <cell r="AD1607" t="str">
            <v>Good</v>
          </cell>
          <cell r="AE1607" t="str">
            <v>V1 - Existing / No Claim</v>
          </cell>
          <cell r="AF1607">
            <v>42781</v>
          </cell>
          <cell r="AG1607">
            <v>9.17</v>
          </cell>
          <cell r="AH1607" t="str">
            <v>PPM</v>
          </cell>
          <cell r="AI1607" t="str">
            <v>Strands</v>
          </cell>
          <cell r="AJ1607" t="str">
            <v>Strands PW</v>
          </cell>
        </row>
        <row r="1608">
          <cell r="A1608" t="str">
            <v>IKN401461</v>
          </cell>
          <cell r="B1608">
            <v>1430</v>
          </cell>
          <cell r="C1608" t="str">
            <v>Institut Kanser Negara</v>
          </cell>
          <cell r="D1608" t="str">
            <v>KKM/IKN/H/13/797</v>
          </cell>
          <cell r="E1608" t="str">
            <v>13-461</v>
          </cell>
          <cell r="F1608" t="str">
            <v>Scales, Patient, Floor</v>
          </cell>
          <cell r="G1608" t="str">
            <v>OC</v>
          </cell>
          <cell r="H1608" t="str">
            <v>ONCOLOGY CLINIC</v>
          </cell>
          <cell r="I1608" t="str">
            <v>03OC133</v>
          </cell>
          <cell r="J1608" t="str">
            <v>ASSESSMENT</v>
          </cell>
          <cell r="K1608" t="str">
            <v>BMED</v>
          </cell>
          <cell r="L1608" t="str">
            <v>Normal</v>
          </cell>
          <cell r="M1608" t="str">
            <v>USA</v>
          </cell>
          <cell r="N1608" t="str">
            <v>Detecto</v>
          </cell>
          <cell r="O1608" t="str">
            <v>758 C</v>
          </cell>
          <cell r="P1608" t="str">
            <v>E 34912-0248</v>
          </cell>
          <cell r="Q1608" t="str">
            <v>Not Available</v>
          </cell>
          <cell r="R1608" t="str">
            <v>DETECTO</v>
          </cell>
          <cell r="S1608" t="str">
            <v>Acucare System (M) Sdn. Bhd</v>
          </cell>
          <cell r="T1608" t="str">
            <v>Functioning</v>
          </cell>
          <cell r="U1608" t="str">
            <v>Asset</v>
          </cell>
          <cell r="V1608">
            <v>9380</v>
          </cell>
          <cell r="W1608" t="str">
            <v>KEW</v>
          </cell>
          <cell r="X1608" t="str">
            <v>01/09/2010</v>
          </cell>
          <cell r="Y1608" t="str">
            <v>KEW</v>
          </cell>
          <cell r="Z1608" t="str">
            <v>16/08/2013</v>
          </cell>
          <cell r="AA1608" t="str">
            <v>15/08/2015</v>
          </cell>
          <cell r="AB1608" t="str">
            <v>No</v>
          </cell>
          <cell r="AC1608" t="str">
            <v>31/08/2013</v>
          </cell>
          <cell r="AD1608" t="str">
            <v>Good</v>
          </cell>
          <cell r="AE1608" t="str">
            <v>V1 - Existing / No Claim</v>
          </cell>
          <cell r="AF1608">
            <v>43430</v>
          </cell>
          <cell r="AG1608">
            <v>9.17</v>
          </cell>
          <cell r="AH1608" t="str">
            <v>PPM</v>
          </cell>
          <cell r="AI1608" t="str">
            <v>Strands</v>
          </cell>
          <cell r="AJ1608" t="str">
            <v>Strands PW</v>
          </cell>
          <cell r="AK1608" t="str">
            <v>Wrong kewpa no. previously KKM/IKN/H/13/1629</v>
          </cell>
        </row>
        <row r="1609">
          <cell r="A1609" t="str">
            <v>IKN401470</v>
          </cell>
          <cell r="B1609">
            <v>1437</v>
          </cell>
          <cell r="C1609" t="str">
            <v>Institut Kanser Negara</v>
          </cell>
          <cell r="D1609" t="str">
            <v>KKM/IKN/H/13/1786</v>
          </cell>
          <cell r="E1609" t="str">
            <v>13-461</v>
          </cell>
          <cell r="F1609" t="str">
            <v>Scales, Patient, Floor</v>
          </cell>
          <cell r="G1609" t="str">
            <v>AE</v>
          </cell>
          <cell r="H1609" t="str">
            <v>EMERGENCY UNIT</v>
          </cell>
          <cell r="I1609" t="str">
            <v>01AE111</v>
          </cell>
          <cell r="J1609" t="str">
            <v>C/E ROOM</v>
          </cell>
          <cell r="K1609" t="str">
            <v>BMED</v>
          </cell>
          <cell r="L1609" t="str">
            <v>Normal</v>
          </cell>
          <cell r="M1609" t="str">
            <v>USA</v>
          </cell>
          <cell r="N1609" t="str">
            <v>Detecto</v>
          </cell>
          <cell r="O1609" t="str">
            <v>758 C</v>
          </cell>
          <cell r="P1609" t="str">
            <v>E32112-0181</v>
          </cell>
          <cell r="Q1609" t="str">
            <v>NA</v>
          </cell>
          <cell r="R1609" t="str">
            <v>DETECTO</v>
          </cell>
          <cell r="S1609" t="str">
            <v>ACUCARE SYSTEMS SDN BHD</v>
          </cell>
          <cell r="T1609" t="str">
            <v>Functioning</v>
          </cell>
          <cell r="U1609" t="str">
            <v>Asset</v>
          </cell>
          <cell r="V1609">
            <v>9380</v>
          </cell>
          <cell r="W1609" t="str">
            <v>KEW</v>
          </cell>
          <cell r="X1609" t="str">
            <v>01/09/2010</v>
          </cell>
          <cell r="Y1609" t="str">
            <v>Estimate</v>
          </cell>
          <cell r="Z1609" t="str">
            <v>16/08/2013</v>
          </cell>
          <cell r="AA1609" t="str">
            <v>15/08/2015</v>
          </cell>
          <cell r="AB1609" t="str">
            <v>No</v>
          </cell>
          <cell r="AC1609" t="str">
            <v>31/08/2013</v>
          </cell>
          <cell r="AD1609" t="str">
            <v>Good</v>
          </cell>
          <cell r="AE1609" t="str">
            <v>V3 - Added Installed Facilities (New)</v>
          </cell>
          <cell r="AF1609">
            <v>43447</v>
          </cell>
          <cell r="AG1609">
            <v>9.17</v>
          </cell>
          <cell r="AH1609" t="str">
            <v>PPM</v>
          </cell>
          <cell r="AI1609" t="str">
            <v>Strands</v>
          </cell>
          <cell r="AJ1609" t="str">
            <v>Strands PW</v>
          </cell>
          <cell r="AK1609" t="str">
            <v>SNF received. 1st batch of V3 asset (December 2020), [18/9/2023, Indira] Tukar location.</v>
          </cell>
        </row>
        <row r="1610">
          <cell r="A1610" t="str">
            <v>IKN401472</v>
          </cell>
          <cell r="B1610">
            <v>1438</v>
          </cell>
          <cell r="C1610" t="str">
            <v>Institut Kanser Negara</v>
          </cell>
          <cell r="D1610" t="str">
            <v>KKM/IKN/H/13/1877</v>
          </cell>
          <cell r="E1610" t="str">
            <v>13-461</v>
          </cell>
          <cell r="F1610" t="str">
            <v>Scales, Patient, Floor</v>
          </cell>
          <cell r="G1610" t="str">
            <v>WJ</v>
          </cell>
          <cell r="H1610" t="str">
            <v>MULTIDISCIPLINE WARD 1</v>
          </cell>
          <cell r="I1610" t="str">
            <v>09WJ136</v>
          </cell>
          <cell r="J1610" t="str">
            <v>NURSE STATION</v>
          </cell>
          <cell r="K1610" t="str">
            <v>BMED</v>
          </cell>
          <cell r="L1610" t="str">
            <v>Normal</v>
          </cell>
          <cell r="M1610" t="str">
            <v>USA</v>
          </cell>
          <cell r="N1610" t="str">
            <v>Detecto</v>
          </cell>
          <cell r="O1610" t="str">
            <v>758 C</v>
          </cell>
          <cell r="P1610" t="str">
            <v>E-32112-0182</v>
          </cell>
          <cell r="Q1610" t="str">
            <v>Not Applicable</v>
          </cell>
          <cell r="R1610" t="str">
            <v>DETECTO</v>
          </cell>
          <cell r="S1610" t="str">
            <v>ACUCARE SYSTEM SDN BHD</v>
          </cell>
          <cell r="T1610" t="str">
            <v>Functioning</v>
          </cell>
          <cell r="U1610" t="str">
            <v>Asset</v>
          </cell>
          <cell r="V1610">
            <v>9380</v>
          </cell>
          <cell r="W1610" t="str">
            <v>KEW</v>
          </cell>
          <cell r="X1610" t="str">
            <v>01/09/2010</v>
          </cell>
          <cell r="Y1610" t="str">
            <v>Estimate</v>
          </cell>
          <cell r="Z1610" t="str">
            <v>16/08/2013</v>
          </cell>
          <cell r="AA1610" t="str">
            <v>15/08/2015</v>
          </cell>
          <cell r="AB1610" t="str">
            <v>No</v>
          </cell>
          <cell r="AC1610" t="str">
            <v>31/08/2013</v>
          </cell>
          <cell r="AD1610" t="str">
            <v>Good</v>
          </cell>
          <cell r="AE1610" t="str">
            <v>V1 - Existing / No Claim</v>
          </cell>
          <cell r="AF1610">
            <v>42809</v>
          </cell>
          <cell r="AG1610">
            <v>9.17</v>
          </cell>
          <cell r="AH1610" t="str">
            <v>PPM</v>
          </cell>
          <cell r="AI1610" t="str">
            <v>Strands</v>
          </cell>
          <cell r="AJ1610" t="str">
            <v>Strands PW</v>
          </cell>
        </row>
        <row r="1611">
          <cell r="A1611" t="str">
            <v>IKN401476</v>
          </cell>
          <cell r="B1611">
            <v>1442</v>
          </cell>
          <cell r="C1611" t="str">
            <v>Institut Kanser Negara</v>
          </cell>
          <cell r="D1611" t="str">
            <v>KKM/IKN/H/13/3381</v>
          </cell>
          <cell r="E1611" t="str">
            <v>13-461</v>
          </cell>
          <cell r="F1611" t="str">
            <v>Scales, Patient, Floor</v>
          </cell>
          <cell r="G1611" t="str">
            <v>RT</v>
          </cell>
          <cell r="H1611" t="str">
            <v>RADIATION TREATMENT UNIT</v>
          </cell>
          <cell r="I1611" t="str">
            <v>01RT109</v>
          </cell>
          <cell r="J1611" t="str">
            <v>C/L 1</v>
          </cell>
          <cell r="K1611" t="str">
            <v>BMED</v>
          </cell>
          <cell r="L1611" t="str">
            <v>Normal</v>
          </cell>
          <cell r="M1611" t="str">
            <v>USA</v>
          </cell>
          <cell r="N1611" t="str">
            <v>Detecto</v>
          </cell>
          <cell r="O1611" t="str">
            <v>758 C</v>
          </cell>
          <cell r="P1611" t="str">
            <v>E32112-0202</v>
          </cell>
          <cell r="Q1611" t="str">
            <v>Not Applicable</v>
          </cell>
          <cell r="R1611" t="str">
            <v>DETECTO</v>
          </cell>
          <cell r="S1611" t="str">
            <v>Acucare Systems (M) Sdn bhd</v>
          </cell>
          <cell r="T1611" t="str">
            <v>Functioning</v>
          </cell>
          <cell r="U1611" t="str">
            <v>Asset</v>
          </cell>
          <cell r="V1611">
            <v>9380</v>
          </cell>
          <cell r="W1611" t="str">
            <v>KEW</v>
          </cell>
          <cell r="X1611" t="str">
            <v>01/09/2010</v>
          </cell>
          <cell r="Y1611" t="str">
            <v>KEW</v>
          </cell>
          <cell r="Z1611" t="str">
            <v>16/08/2013</v>
          </cell>
          <cell r="AA1611" t="str">
            <v>15/08/2015</v>
          </cell>
          <cell r="AB1611" t="str">
            <v>No</v>
          </cell>
          <cell r="AC1611" t="str">
            <v>31/08/2013</v>
          </cell>
          <cell r="AD1611" t="str">
            <v>Good</v>
          </cell>
          <cell r="AE1611" t="str">
            <v>V1 - Existing / No Claim</v>
          </cell>
          <cell r="AF1611">
            <v>42816</v>
          </cell>
          <cell r="AG1611">
            <v>9.17</v>
          </cell>
          <cell r="AH1611" t="str">
            <v>PPM</v>
          </cell>
          <cell r="AI1611" t="str">
            <v>Strands</v>
          </cell>
        </row>
        <row r="1612">
          <cell r="A1612" t="str">
            <v>IKN401479</v>
          </cell>
          <cell r="B1612">
            <v>1444</v>
          </cell>
          <cell r="C1612" t="str">
            <v>Institut Kanser Negara</v>
          </cell>
          <cell r="D1612" t="e">
            <v>#N/A</v>
          </cell>
          <cell r="E1612" t="str">
            <v>11-631</v>
          </cell>
          <cell r="F1612" t="str">
            <v>Exercisers, Continuous Passive Motion</v>
          </cell>
          <cell r="G1612" t="str">
            <v>CX</v>
          </cell>
          <cell r="I1612" t="str">
            <v>05</v>
          </cell>
          <cell r="J1612" t="str">
            <v>FUTURE EXPANSION</v>
          </cell>
          <cell r="K1612" t="str">
            <v>BMED</v>
          </cell>
          <cell r="L1612" t="str">
            <v>Normal</v>
          </cell>
          <cell r="M1612" t="str">
            <v>China</v>
          </cell>
          <cell r="N1612" t="str">
            <v>Vision</v>
          </cell>
          <cell r="O1612" t="str">
            <v>Vision X20</v>
          </cell>
          <cell r="P1612" t="str">
            <v>EP26813121BA00005</v>
          </cell>
          <cell r="Q1612" t="str">
            <v>Not Applicable</v>
          </cell>
          <cell r="R1612" t="str">
            <v>Vision Fitnees</v>
          </cell>
          <cell r="S1612" t="str">
            <v>Vision Fitnees</v>
          </cell>
          <cell r="T1612" t="str">
            <v>Functioning</v>
          </cell>
          <cell r="U1612" t="str">
            <v>Asset</v>
          </cell>
          <cell r="V1612">
            <v>1</v>
          </cell>
          <cell r="W1612" t="str">
            <v>Estimate</v>
          </cell>
          <cell r="X1612" t="str">
            <v>01/09/2010</v>
          </cell>
          <cell r="Y1612" t="str">
            <v>Estimate</v>
          </cell>
          <cell r="Z1612" t="str">
            <v>16/08/2013</v>
          </cell>
          <cell r="AA1612" t="str">
            <v>15/08/2015</v>
          </cell>
          <cell r="AB1612" t="str">
            <v>No</v>
          </cell>
          <cell r="AC1612" t="str">
            <v>31/08/2013</v>
          </cell>
          <cell r="AD1612" t="str">
            <v>Good</v>
          </cell>
          <cell r="AE1612" t="str">
            <v>V1 - Existing / No Claim</v>
          </cell>
          <cell r="AF1612">
            <v>42868</v>
          </cell>
          <cell r="AG1612">
            <v>9.17</v>
          </cell>
          <cell r="AH1612" t="str">
            <v>PPM</v>
          </cell>
          <cell r="AI1612" t="str">
            <v>Strands</v>
          </cell>
          <cell r="AJ1612" t="str">
            <v>Strands Package F</v>
          </cell>
          <cell r="AK1612" t="str">
            <v>Unit under contract share fees with other same exact same unit. -IKN401387</v>
          </cell>
        </row>
        <row r="1613">
          <cell r="A1613" t="str">
            <v>IKN401480</v>
          </cell>
          <cell r="B1613">
            <v>1445</v>
          </cell>
          <cell r="C1613" t="str">
            <v>Institut Kanser Negara</v>
          </cell>
          <cell r="D1613" t="e">
            <v>#N/A</v>
          </cell>
          <cell r="E1613" t="str">
            <v>10-383</v>
          </cell>
          <cell r="F1613" t="str">
            <v>Ergometers, Bicycle</v>
          </cell>
          <cell r="G1613" t="str">
            <v>CX</v>
          </cell>
          <cell r="I1613" t="str">
            <v>05</v>
          </cell>
          <cell r="J1613" t="str">
            <v>FUTURE EXPANSION</v>
          </cell>
          <cell r="K1613" t="str">
            <v>BMED</v>
          </cell>
          <cell r="L1613" t="str">
            <v>Normal</v>
          </cell>
          <cell r="M1613" t="str">
            <v>Germany</v>
          </cell>
          <cell r="N1613" t="str">
            <v>Ergometer</v>
          </cell>
          <cell r="O1613" t="str">
            <v>Ergometer E5</v>
          </cell>
          <cell r="P1613" t="str">
            <v>E5-W10579</v>
          </cell>
          <cell r="Q1613" t="str">
            <v>Not Applicable</v>
          </cell>
          <cell r="R1613" t="str">
            <v>Heinz Kettler GmbH &amp; Co KG</v>
          </cell>
          <cell r="S1613" t="str">
            <v>Rehamed (M) Sdn. Bhd</v>
          </cell>
          <cell r="T1613" t="str">
            <v>Functioning</v>
          </cell>
          <cell r="U1613" t="str">
            <v>Asset</v>
          </cell>
          <cell r="V1613">
            <v>1</v>
          </cell>
          <cell r="W1613" t="str">
            <v>Estimate</v>
          </cell>
          <cell r="X1613" t="str">
            <v>01/09/2010</v>
          </cell>
          <cell r="Y1613" t="str">
            <v>Estimate</v>
          </cell>
          <cell r="Z1613" t="str">
            <v>16/08/2013</v>
          </cell>
          <cell r="AA1613" t="str">
            <v>15/08/2015</v>
          </cell>
          <cell r="AB1613" t="str">
            <v>No</v>
          </cell>
          <cell r="AC1613" t="str">
            <v>31/08/2013</v>
          </cell>
          <cell r="AD1613" t="str">
            <v>Good</v>
          </cell>
          <cell r="AE1613" t="str">
            <v>V1 - Existing / No Claim</v>
          </cell>
          <cell r="AF1613">
            <v>43675</v>
          </cell>
          <cell r="AG1613">
            <v>9.17</v>
          </cell>
          <cell r="AH1613" t="str">
            <v>PPM</v>
          </cell>
          <cell r="AI1613" t="str">
            <v>Strands</v>
          </cell>
          <cell r="AJ1613" t="str">
            <v>Strands PW F</v>
          </cell>
          <cell r="AK1613" t="str">
            <v>Unit under contract share fees with other same exact same unit. -IKN400703</v>
          </cell>
        </row>
        <row r="1614">
          <cell r="A1614" t="str">
            <v>IKN401481</v>
          </cell>
          <cell r="B1614">
            <v>1446</v>
          </cell>
          <cell r="C1614" t="str">
            <v>Institut Kanser Negara</v>
          </cell>
          <cell r="D1614" t="str">
            <v>KKM/IKN/H/13/3267</v>
          </cell>
          <cell r="E1614" t="str">
            <v>13-325</v>
          </cell>
          <cell r="F1614" t="str">
            <v>Regulators, Suction</v>
          </cell>
          <cell r="G1614" t="str">
            <v>RT</v>
          </cell>
          <cell r="H1614" t="str">
            <v>RADIATION TREATMENT UNIT</v>
          </cell>
          <cell r="I1614" t="str">
            <v>01RT275</v>
          </cell>
          <cell r="J1614" t="str">
            <v>BRACHY OT 1</v>
          </cell>
          <cell r="K1614" t="str">
            <v>BMED</v>
          </cell>
          <cell r="L1614" t="str">
            <v>Normal</v>
          </cell>
          <cell r="M1614" t="str">
            <v>United Kingdom</v>
          </cell>
          <cell r="N1614" t="str">
            <v>MGE</v>
          </cell>
          <cell r="O1614" t="str">
            <v>SAM 54</v>
          </cell>
          <cell r="P1614" t="str">
            <v>MG013557</v>
          </cell>
          <cell r="Q1614" t="str">
            <v>Not Applicable</v>
          </cell>
          <cell r="R1614" t="str">
            <v>MGE</v>
          </cell>
          <cell r="S1614" t="str">
            <v>Delta Medisains</v>
          </cell>
          <cell r="T1614" t="str">
            <v>Functioning</v>
          </cell>
          <cell r="U1614" t="str">
            <v>Asset</v>
          </cell>
          <cell r="V1614">
            <v>4330</v>
          </cell>
          <cell r="W1614" t="str">
            <v>KEW</v>
          </cell>
          <cell r="X1614" t="str">
            <v>01/09/2010</v>
          </cell>
          <cell r="Y1614" t="str">
            <v>KEW</v>
          </cell>
          <cell r="Z1614" t="str">
            <v>16/08/2013</v>
          </cell>
          <cell r="AA1614" t="str">
            <v>15/08/2015</v>
          </cell>
          <cell r="AB1614" t="str">
            <v>No</v>
          </cell>
          <cell r="AC1614" t="str">
            <v>31/08/2013</v>
          </cell>
          <cell r="AD1614" t="str">
            <v>Good</v>
          </cell>
          <cell r="AE1614" t="str">
            <v>V1 - Existing / No Claim</v>
          </cell>
          <cell r="AF1614">
            <v>42920</v>
          </cell>
          <cell r="AG1614">
            <v>9.17</v>
          </cell>
          <cell r="AH1614" t="str">
            <v>RI</v>
          </cell>
          <cell r="AI1614" t="str">
            <v>Strands</v>
          </cell>
          <cell r="AJ1614" t="str">
            <v>Strands PW</v>
          </cell>
        </row>
        <row r="1615">
          <cell r="A1615" t="str">
            <v>IKN401482</v>
          </cell>
          <cell r="B1615">
            <v>1447</v>
          </cell>
          <cell r="C1615" t="str">
            <v>Institut Kanser Negara</v>
          </cell>
          <cell r="D1615" t="str">
            <v>KKM/IKN/H/13/2623</v>
          </cell>
          <cell r="E1615" t="str">
            <v>13-325</v>
          </cell>
          <cell r="F1615" t="str">
            <v>Regulators, Suction</v>
          </cell>
          <cell r="G1615" t="str">
            <v>RT</v>
          </cell>
          <cell r="H1615" t="str">
            <v>RADIATION TREATMENT UNIT</v>
          </cell>
          <cell r="I1615" t="str">
            <v>01RT275</v>
          </cell>
          <cell r="J1615" t="str">
            <v>BRACHY OT 1</v>
          </cell>
          <cell r="K1615" t="str">
            <v>BMED</v>
          </cell>
          <cell r="L1615" t="str">
            <v>Normal</v>
          </cell>
          <cell r="M1615" t="str">
            <v>United Kingdom</v>
          </cell>
          <cell r="N1615" t="str">
            <v>MGE</v>
          </cell>
          <cell r="O1615" t="str">
            <v>SAM 54</v>
          </cell>
          <cell r="P1615" t="str">
            <v>MG013530</v>
          </cell>
          <cell r="Q1615" t="str">
            <v>Not Applicable</v>
          </cell>
          <cell r="R1615" t="str">
            <v>MGE</v>
          </cell>
          <cell r="S1615" t="str">
            <v>Delta Medisains</v>
          </cell>
          <cell r="T1615" t="str">
            <v>Functioning</v>
          </cell>
          <cell r="U1615" t="str">
            <v>Asset</v>
          </cell>
          <cell r="V1615">
            <v>4330</v>
          </cell>
          <cell r="W1615" t="str">
            <v>KEW</v>
          </cell>
          <cell r="X1615" t="str">
            <v>01/09/2010</v>
          </cell>
          <cell r="Y1615" t="str">
            <v>KEW</v>
          </cell>
          <cell r="Z1615" t="str">
            <v>16/08/2013</v>
          </cell>
          <cell r="AA1615" t="str">
            <v>15/08/2015</v>
          </cell>
          <cell r="AB1615" t="str">
            <v>No</v>
          </cell>
          <cell r="AC1615" t="str">
            <v>31/08/2013</v>
          </cell>
          <cell r="AD1615" t="str">
            <v>Good</v>
          </cell>
          <cell r="AE1615" t="str">
            <v>V1 - Existing / No Claim</v>
          </cell>
          <cell r="AF1615">
            <v>42920</v>
          </cell>
          <cell r="AG1615">
            <v>9.17</v>
          </cell>
          <cell r="AH1615" t="str">
            <v>RI</v>
          </cell>
          <cell r="AI1615" t="str">
            <v>Strands</v>
          </cell>
          <cell r="AJ1615" t="str">
            <v>Strands PW</v>
          </cell>
        </row>
        <row r="1616">
          <cell r="A1616" t="str">
            <v>IKN401483</v>
          </cell>
          <cell r="B1616">
            <v>1448</v>
          </cell>
          <cell r="C1616" t="str">
            <v>Institut Kanser Negara</v>
          </cell>
          <cell r="D1616" t="str">
            <v>KKM/IKN/H/13/2622</v>
          </cell>
          <cell r="E1616" t="str">
            <v>13-325</v>
          </cell>
          <cell r="F1616" t="str">
            <v>Regulators, Suction</v>
          </cell>
          <cell r="G1616" t="str">
            <v>RT</v>
          </cell>
          <cell r="H1616" t="str">
            <v>RADIATION TREATMENT UNIT</v>
          </cell>
          <cell r="I1616" t="str">
            <v>01RT275</v>
          </cell>
          <cell r="J1616" t="str">
            <v>BRACHY OT 1</v>
          </cell>
          <cell r="K1616" t="str">
            <v>BMED</v>
          </cell>
          <cell r="L1616" t="str">
            <v>Normal</v>
          </cell>
          <cell r="M1616" t="str">
            <v>United Kingdom</v>
          </cell>
          <cell r="N1616" t="str">
            <v>MGE</v>
          </cell>
          <cell r="O1616" t="str">
            <v>SAM 54</v>
          </cell>
          <cell r="P1616" t="str">
            <v>MG013528</v>
          </cell>
          <cell r="Q1616" t="str">
            <v>Not Applicable</v>
          </cell>
          <cell r="R1616" t="str">
            <v>MGE</v>
          </cell>
          <cell r="S1616" t="str">
            <v>Delta Medisains</v>
          </cell>
          <cell r="T1616" t="str">
            <v>Functioning</v>
          </cell>
          <cell r="U1616" t="str">
            <v>Asset</v>
          </cell>
          <cell r="V1616">
            <v>4330</v>
          </cell>
          <cell r="W1616" t="str">
            <v>KEW</v>
          </cell>
          <cell r="X1616" t="str">
            <v>01/09/2010</v>
          </cell>
          <cell r="Y1616" t="str">
            <v>KEW</v>
          </cell>
          <cell r="Z1616" t="str">
            <v>16/08/2013</v>
          </cell>
          <cell r="AA1616" t="str">
            <v>15/08/2015</v>
          </cell>
          <cell r="AB1616" t="str">
            <v>No</v>
          </cell>
          <cell r="AC1616" t="str">
            <v>31/08/2013</v>
          </cell>
          <cell r="AD1616" t="str">
            <v>Good</v>
          </cell>
          <cell r="AE1616" t="str">
            <v>V1 - Existing / No Claim</v>
          </cell>
          <cell r="AF1616">
            <v>42920</v>
          </cell>
          <cell r="AG1616">
            <v>9.17</v>
          </cell>
          <cell r="AH1616" t="str">
            <v>RI</v>
          </cell>
          <cell r="AI1616" t="str">
            <v>Strands</v>
          </cell>
          <cell r="AJ1616" t="str">
            <v>Strands PW</v>
          </cell>
        </row>
        <row r="1617">
          <cell r="A1617" t="str">
            <v>IKN401484</v>
          </cell>
          <cell r="B1617">
            <v>1449</v>
          </cell>
          <cell r="C1617" t="str">
            <v>Institut Kanser Negara</v>
          </cell>
          <cell r="D1617" t="str">
            <v>KKM/IKN/H/13/2621</v>
          </cell>
          <cell r="E1617" t="str">
            <v>13-325</v>
          </cell>
          <cell r="F1617" t="str">
            <v>Regulators, Suction</v>
          </cell>
          <cell r="G1617" t="str">
            <v>RT</v>
          </cell>
          <cell r="H1617" t="str">
            <v>RADIATION TREATMENT UNIT</v>
          </cell>
          <cell r="I1617" t="str">
            <v>01RT275</v>
          </cell>
          <cell r="J1617" t="str">
            <v>BRACHY OT 1</v>
          </cell>
          <cell r="K1617" t="str">
            <v>BMED</v>
          </cell>
          <cell r="L1617" t="str">
            <v>Normal</v>
          </cell>
          <cell r="M1617" t="str">
            <v>United Kingdom</v>
          </cell>
          <cell r="N1617" t="str">
            <v>MGE</v>
          </cell>
          <cell r="O1617" t="str">
            <v>SAM 54</v>
          </cell>
          <cell r="P1617" t="str">
            <v>MG013529</v>
          </cell>
          <cell r="Q1617" t="str">
            <v>Not Applicable</v>
          </cell>
          <cell r="R1617" t="str">
            <v>MGE</v>
          </cell>
          <cell r="S1617" t="str">
            <v>Delta Medisains</v>
          </cell>
          <cell r="T1617" t="str">
            <v>Functioning</v>
          </cell>
          <cell r="U1617" t="str">
            <v>Asset</v>
          </cell>
          <cell r="V1617">
            <v>4330</v>
          </cell>
          <cell r="W1617" t="str">
            <v>KEW</v>
          </cell>
          <cell r="X1617" t="str">
            <v>01/09/2010</v>
          </cell>
          <cell r="Y1617" t="str">
            <v>KEW</v>
          </cell>
          <cell r="Z1617" t="str">
            <v>16/08/2013</v>
          </cell>
          <cell r="AA1617" t="str">
            <v>15/08/2015</v>
          </cell>
          <cell r="AB1617" t="str">
            <v>No</v>
          </cell>
          <cell r="AC1617" t="str">
            <v>31/08/2013</v>
          </cell>
          <cell r="AD1617" t="str">
            <v>Good</v>
          </cell>
          <cell r="AE1617" t="str">
            <v>V1 - Existing / No Claim</v>
          </cell>
          <cell r="AF1617">
            <v>42920</v>
          </cell>
          <cell r="AG1617">
            <v>9.17</v>
          </cell>
          <cell r="AH1617" t="str">
            <v>RI</v>
          </cell>
          <cell r="AI1617" t="str">
            <v>Strands</v>
          </cell>
          <cell r="AJ1617" t="str">
            <v>Strands PW</v>
          </cell>
        </row>
        <row r="1618">
          <cell r="A1618" t="str">
            <v>IKN401485</v>
          </cell>
          <cell r="B1618">
            <v>1450</v>
          </cell>
          <cell r="C1618" t="str">
            <v>Institut Kanser Negara</v>
          </cell>
          <cell r="D1618" t="str">
            <v>KKM/IKN/H/13/4873</v>
          </cell>
          <cell r="E1618" t="str">
            <v>15-651</v>
          </cell>
          <cell r="F1618" t="str">
            <v>Stirrers</v>
          </cell>
          <cell r="G1618" t="str">
            <v>PF</v>
          </cell>
          <cell r="H1618" t="str">
            <v>IN-PATIENT PHARMACY</v>
          </cell>
          <cell r="I1618" t="str">
            <v>05PF110</v>
          </cell>
          <cell r="J1618" t="str">
            <v>EXTERNAL PREP</v>
          </cell>
          <cell r="K1618" t="str">
            <v>BMED</v>
          </cell>
          <cell r="L1618" t="str">
            <v>Normal</v>
          </cell>
          <cell r="M1618" t="str">
            <v>United States</v>
          </cell>
          <cell r="N1618" t="str">
            <v>SILVERSON</v>
          </cell>
          <cell r="O1618" t="str">
            <v>AX5</v>
          </cell>
          <cell r="P1618" t="str">
            <v>10055</v>
          </cell>
          <cell r="Q1618" t="str">
            <v>Not Applicable</v>
          </cell>
          <cell r="R1618" t="str">
            <v>FISHER SCIENTIFIC</v>
          </cell>
          <cell r="S1618" t="str">
            <v>FISHER SCIENTIFIC</v>
          </cell>
          <cell r="T1618" t="str">
            <v>Functioning</v>
          </cell>
          <cell r="U1618" t="str">
            <v>Asset</v>
          </cell>
          <cell r="V1618">
            <v>5520</v>
          </cell>
          <cell r="W1618" t="str">
            <v>KEW</v>
          </cell>
          <cell r="X1618" t="str">
            <v>01/09/2010</v>
          </cell>
          <cell r="Y1618" t="str">
            <v>Estimate</v>
          </cell>
          <cell r="Z1618" t="str">
            <v>16/08/2013</v>
          </cell>
          <cell r="AA1618" t="str">
            <v>15/08/2015</v>
          </cell>
          <cell r="AB1618" t="str">
            <v>No</v>
          </cell>
          <cell r="AC1618" t="str">
            <v>31/08/2013</v>
          </cell>
          <cell r="AD1618" t="str">
            <v>Good</v>
          </cell>
          <cell r="AE1618" t="str">
            <v>V1 - Existing / No Claim</v>
          </cell>
          <cell r="AF1618">
            <v>42867</v>
          </cell>
          <cell r="AG1618">
            <v>9.17</v>
          </cell>
          <cell r="AH1618" t="str">
            <v>PPM</v>
          </cell>
          <cell r="AI1618" t="str">
            <v>Strands</v>
          </cell>
          <cell r="AJ1618" t="str">
            <v>Strands PW</v>
          </cell>
        </row>
        <row r="1619">
          <cell r="A1619" t="str">
            <v>IKN401486</v>
          </cell>
          <cell r="B1619">
            <v>1451</v>
          </cell>
          <cell r="C1619" t="str">
            <v>Institut Kanser Negara</v>
          </cell>
          <cell r="D1619" t="str">
            <v>KKM/IKN/H/13/4862-11</v>
          </cell>
          <cell r="E1619" t="str">
            <v>15-605</v>
          </cell>
          <cell r="F1619" t="str">
            <v>Testers (LX Can Luminance Meter) (package IBA)</v>
          </cell>
          <cell r="G1619" t="str">
            <v>ID</v>
          </cell>
          <cell r="H1619" t="str">
            <v>IMAGING DEPARTMENT</v>
          </cell>
          <cell r="I1619" t="str">
            <v>03ID169</v>
          </cell>
          <cell r="J1619" t="str">
            <v>RADIOGRAPHER</v>
          </cell>
          <cell r="K1619" t="str">
            <v>BMED</v>
          </cell>
          <cell r="L1619" t="str">
            <v>Normal</v>
          </cell>
          <cell r="M1619" t="str">
            <v>Germany</v>
          </cell>
          <cell r="N1619" t="str">
            <v>IBA</v>
          </cell>
          <cell r="O1619" t="str">
            <v>IBA Dosimetry GMBH</v>
          </cell>
          <cell r="P1619" t="str">
            <v>13F-13520M</v>
          </cell>
          <cell r="Q1619" t="str">
            <v>Not Applicable</v>
          </cell>
          <cell r="R1619" t="str">
            <v>IBA</v>
          </cell>
          <cell r="S1619" t="str">
            <v>NA</v>
          </cell>
          <cell r="T1619" t="str">
            <v>Functioning</v>
          </cell>
          <cell r="U1619" t="str">
            <v>Asset</v>
          </cell>
          <cell r="AI1619" t="str">
            <v>2 YEARS CALIBRATION (PACKAGE)</v>
          </cell>
          <cell r="AJ1619" t="e">
            <v>#REF!</v>
          </cell>
          <cell r="AK1619" t="str">
            <v>PACKAGE WITH IKN401200</v>
          </cell>
        </row>
        <row r="1620">
          <cell r="A1620" t="str">
            <v>IKN401497</v>
          </cell>
          <cell r="B1620">
            <v>1452</v>
          </cell>
          <cell r="C1620" t="str">
            <v>Institut Kanser Negara</v>
          </cell>
          <cell r="D1620" t="str">
            <v>KKM/IKN/H/16/29</v>
          </cell>
          <cell r="E1620" t="str">
            <v>12-647</v>
          </cell>
          <cell r="F1620" t="str">
            <v>Physiologic Monitoring Systems, Acute Care</v>
          </cell>
          <cell r="G1620" t="str">
            <v>AE</v>
          </cell>
          <cell r="H1620" t="str">
            <v>EMERGENCY UNIT</v>
          </cell>
          <cell r="I1620" t="str">
            <v>01AE118</v>
          </cell>
          <cell r="J1620" t="str">
            <v>C/E ROOM</v>
          </cell>
          <cell r="K1620" t="str">
            <v>BMED</v>
          </cell>
          <cell r="L1620" t="str">
            <v>Critical</v>
          </cell>
          <cell r="M1620" t="str">
            <v>China</v>
          </cell>
          <cell r="N1620" t="str">
            <v>Imec</v>
          </cell>
          <cell r="O1620" t="str">
            <v>Imec 8</v>
          </cell>
          <cell r="P1620" t="str">
            <v>EW-6A30362</v>
          </cell>
          <cell r="Q1620" t="str">
            <v>Not Applicable</v>
          </cell>
          <cell r="R1620" t="str">
            <v>MINDRAY</v>
          </cell>
          <cell r="S1620" t="str">
            <v>Pelangi Progresif Sdn. Bhd.</v>
          </cell>
          <cell r="T1620" t="str">
            <v>Functioning</v>
          </cell>
          <cell r="U1620" t="str">
            <v>Asset</v>
          </cell>
          <cell r="V1620">
            <v>4900</v>
          </cell>
          <cell r="W1620" t="str">
            <v>KEW</v>
          </cell>
          <cell r="X1620" t="str">
            <v>20/10/2016</v>
          </cell>
          <cell r="Y1620" t="str">
            <v>KEW</v>
          </cell>
          <cell r="Z1620" t="str">
            <v>01/01/2017</v>
          </cell>
          <cell r="AA1620" t="str">
            <v>31/12/2017</v>
          </cell>
          <cell r="AB1620" t="str">
            <v>No</v>
          </cell>
          <cell r="AC1620" t="str">
            <v>08/12/2016</v>
          </cell>
          <cell r="AD1620" t="str">
            <v>Good</v>
          </cell>
          <cell r="AE1620" t="str">
            <v>V3 - Added Installed Facilities (New)</v>
          </cell>
          <cell r="AF1620">
            <v>42815</v>
          </cell>
          <cell r="AG1620">
            <v>3.08</v>
          </cell>
          <cell r="AH1620" t="str">
            <v>PPM</v>
          </cell>
          <cell r="AI1620" t="str">
            <v>Strands</v>
          </cell>
          <cell r="AJ1620" t="str">
            <v>Strands PW</v>
          </cell>
          <cell r="AK1620" t="str">
            <v>SNF received. 1st batch of V3 asset (December 2020)</v>
          </cell>
        </row>
        <row r="1621">
          <cell r="A1621" t="str">
            <v>IKN401509</v>
          </cell>
          <cell r="B1621">
            <v>1453</v>
          </cell>
          <cell r="C1621" t="str">
            <v>Institut Kanser Negara</v>
          </cell>
          <cell r="D1621" t="str">
            <v>KKM/IKN/I/13/7307</v>
          </cell>
          <cell r="E1621" t="str">
            <v>10-263</v>
          </cell>
          <cell r="F1621" t="str">
            <v>Balances, Electronic</v>
          </cell>
          <cell r="G1621" t="str">
            <v>KT</v>
          </cell>
          <cell r="H1621" t="str">
            <v>CATERING</v>
          </cell>
          <cell r="I1621" t="str">
            <v>01KT106</v>
          </cell>
          <cell r="J1621" t="str">
            <v>DIETICIAN</v>
          </cell>
          <cell r="K1621" t="str">
            <v>BMED</v>
          </cell>
          <cell r="L1621" t="str">
            <v>Normal</v>
          </cell>
          <cell r="M1621" t="str">
            <v>Spain</v>
          </cell>
          <cell r="N1621" t="str">
            <v>KD-400</v>
          </cell>
          <cell r="O1621" t="str">
            <v>KD-400</v>
          </cell>
          <cell r="P1621" t="str">
            <v>Not Available</v>
          </cell>
          <cell r="Q1621" t="str">
            <v>Not Applicable</v>
          </cell>
          <cell r="R1621" t="str">
            <v>TANITA CORPORATION</v>
          </cell>
          <cell r="S1621" t="str">
            <v>SF BUMI RESOURCES</v>
          </cell>
          <cell r="T1621" t="str">
            <v>Functioning</v>
          </cell>
          <cell r="U1621" t="str">
            <v>Asset</v>
          </cell>
          <cell r="V1621">
            <v>660</v>
          </cell>
          <cell r="W1621" t="str">
            <v>KEW</v>
          </cell>
          <cell r="X1621" t="str">
            <v>30/08/2013</v>
          </cell>
          <cell r="Y1621" t="str">
            <v>KEW</v>
          </cell>
          <cell r="Z1621" t="str">
            <v>30/08/2013</v>
          </cell>
          <cell r="AA1621" t="str">
            <v>30/08/2015</v>
          </cell>
          <cell r="AB1621" t="str">
            <v>No</v>
          </cell>
          <cell r="AC1621" t="str">
            <v>30/08/2013</v>
          </cell>
          <cell r="AD1621" t="str">
            <v>Good</v>
          </cell>
          <cell r="AE1621" t="str">
            <v>V1 - Existing / No Claim</v>
          </cell>
          <cell r="AF1621">
            <v>42951</v>
          </cell>
          <cell r="AG1621">
            <v>6.25</v>
          </cell>
          <cell r="AH1621" t="str">
            <v>PPM</v>
          </cell>
          <cell r="AI1621" t="str">
            <v>Not in contract</v>
          </cell>
          <cell r="AJ1621" t="e">
            <v>#REF!</v>
          </cell>
          <cell r="AK1621" t="str">
            <v>KEWPA WITH IKN401510</v>
          </cell>
        </row>
        <row r="1622">
          <cell r="A1622" t="str">
            <v>IKN401510</v>
          </cell>
          <cell r="B1622">
            <v>1454</v>
          </cell>
          <cell r="C1622" t="str">
            <v>Institut Kanser Negara</v>
          </cell>
          <cell r="D1622" t="str">
            <v>KKM/IKN/H/13/306</v>
          </cell>
          <cell r="E1622" t="str">
            <v>10-263</v>
          </cell>
          <cell r="F1622" t="str">
            <v>Balances, Electronic</v>
          </cell>
          <cell r="G1622" t="str">
            <v>KT</v>
          </cell>
          <cell r="H1622" t="str">
            <v>CATERING</v>
          </cell>
          <cell r="I1622" t="str">
            <v>01KT106</v>
          </cell>
          <cell r="J1622" t="str">
            <v>DIETICIAN</v>
          </cell>
          <cell r="K1622" t="str">
            <v>BMED</v>
          </cell>
          <cell r="L1622" t="str">
            <v>Normal</v>
          </cell>
          <cell r="M1622" t="str">
            <v>Spain</v>
          </cell>
          <cell r="N1622" t="str">
            <v>KD-400</v>
          </cell>
          <cell r="O1622" t="str">
            <v>KD-400</v>
          </cell>
          <cell r="P1622" t="str">
            <v>Not Available</v>
          </cell>
          <cell r="Q1622" t="str">
            <v>Not Applicable</v>
          </cell>
          <cell r="R1622" t="str">
            <v>TANITA CORPORATION</v>
          </cell>
          <cell r="S1622" t="str">
            <v>SF BUMI RESOURCES</v>
          </cell>
          <cell r="T1622" t="str">
            <v>Functioning</v>
          </cell>
          <cell r="U1622" t="str">
            <v>Asset</v>
          </cell>
          <cell r="V1622">
            <v>660</v>
          </cell>
          <cell r="W1622" t="str">
            <v>KEW</v>
          </cell>
          <cell r="X1622" t="str">
            <v>30/08/2013</v>
          </cell>
          <cell r="Y1622" t="str">
            <v>KEW</v>
          </cell>
          <cell r="Z1622" t="str">
            <v>30/08/2013</v>
          </cell>
          <cell r="AA1622" t="str">
            <v>30/08/2015</v>
          </cell>
          <cell r="AB1622" t="str">
            <v>No</v>
          </cell>
          <cell r="AC1622" t="str">
            <v>30/08/2013</v>
          </cell>
          <cell r="AD1622" t="str">
            <v>Good</v>
          </cell>
          <cell r="AE1622" t="str">
            <v>V1 - Existing / No Claim</v>
          </cell>
          <cell r="AF1622">
            <v>42951</v>
          </cell>
          <cell r="AG1622">
            <v>6.25</v>
          </cell>
          <cell r="AH1622" t="str">
            <v>PPM</v>
          </cell>
          <cell r="AI1622" t="str">
            <v>Strands</v>
          </cell>
          <cell r="AJ1622" t="str">
            <v>Strands PW</v>
          </cell>
        </row>
        <row r="1623">
          <cell r="A1623" t="str">
            <v>IKN401512</v>
          </cell>
          <cell r="B1623">
            <v>1456</v>
          </cell>
          <cell r="C1623" t="str">
            <v>Institut Kanser Negara</v>
          </cell>
          <cell r="D1623" t="str">
            <v>KKM/IKN/H/13/4859</v>
          </cell>
          <cell r="E1623" t="str">
            <v>10-051</v>
          </cell>
          <cell r="F1623" t="str">
            <v>Air Samplers</v>
          </cell>
          <cell r="G1623" t="str">
            <v>NM</v>
          </cell>
          <cell r="H1623" t="str">
            <v>NUCLEAR MED (DIAGNOSTIC)</v>
          </cell>
          <cell r="I1623" t="str">
            <v>03NM133</v>
          </cell>
          <cell r="J1623" t="str">
            <v>RADIODINE DISPENSING (-VE)</v>
          </cell>
          <cell r="K1623" t="str">
            <v>BMED</v>
          </cell>
          <cell r="L1623" t="str">
            <v>Normal</v>
          </cell>
          <cell r="M1623" t="str">
            <v>Germany</v>
          </cell>
          <cell r="N1623" t="str">
            <v>PARTICLE COUNTER-EX-STOCK</v>
          </cell>
          <cell r="O1623" t="str">
            <v>APC ErgoTouch Pro 2</v>
          </cell>
          <cell r="P1623">
            <v>93061333004</v>
          </cell>
          <cell r="Q1623" t="str">
            <v>Not Applicable</v>
          </cell>
          <cell r="R1623" t="str">
            <v>MERCK</v>
          </cell>
          <cell r="S1623" t="str">
            <v>Merck Sdn. Bhd</v>
          </cell>
          <cell r="T1623" t="str">
            <v>Functioning</v>
          </cell>
          <cell r="U1623" t="str">
            <v>Asset</v>
          </cell>
          <cell r="V1623">
            <v>34543</v>
          </cell>
          <cell r="W1623" t="str">
            <v>KEW</v>
          </cell>
          <cell r="X1623" t="str">
            <v>19/12/2013</v>
          </cell>
          <cell r="Y1623" t="str">
            <v>KEW</v>
          </cell>
          <cell r="Z1623" t="str">
            <v>19/12/2013</v>
          </cell>
          <cell r="AA1623" t="str">
            <v>19/12/2014</v>
          </cell>
          <cell r="AB1623" t="str">
            <v>No</v>
          </cell>
          <cell r="AC1623" t="str">
            <v>19/12/2013</v>
          </cell>
          <cell r="AD1623" t="str">
            <v>Good</v>
          </cell>
          <cell r="AE1623" t="str">
            <v>V3 - Added Installed Facilities (New)</v>
          </cell>
          <cell r="AF1623">
            <v>43255</v>
          </cell>
          <cell r="AG1623">
            <v>5.92</v>
          </cell>
          <cell r="AH1623" t="str">
            <v>PPM</v>
          </cell>
          <cell r="AI1623" t="str">
            <v>Strands</v>
          </cell>
          <cell r="AJ1623" t="str">
            <v>Strands PW</v>
          </cell>
          <cell r="AK1623" t="str">
            <v>SNF received. 1st batch of V3 asset (December 2020). Previously wrong S/N: 1443020001</v>
          </cell>
        </row>
        <row r="1624">
          <cell r="A1624" t="str">
            <v>IKN401518</v>
          </cell>
          <cell r="B1624">
            <v>1458</v>
          </cell>
          <cell r="C1624" t="str">
            <v>Institut Kanser Negara</v>
          </cell>
          <cell r="D1624" t="str">
            <v>KKM/IKN/H/13/4635</v>
          </cell>
          <cell r="E1624" t="str">
            <v>13-461</v>
          </cell>
          <cell r="F1624" t="str">
            <v>Scales, Patient, Floor</v>
          </cell>
          <cell r="G1624" t="str">
            <v>DU</v>
          </cell>
          <cell r="H1624" t="str">
            <v>DIETICIAN UNIT</v>
          </cell>
          <cell r="I1624" t="str">
            <v>03DU103</v>
          </cell>
          <cell r="J1624" t="str">
            <v>COUNSELLING 1</v>
          </cell>
          <cell r="K1624" t="str">
            <v>BMED</v>
          </cell>
          <cell r="L1624" t="str">
            <v>Normal</v>
          </cell>
          <cell r="M1624" t="str">
            <v>Japan</v>
          </cell>
          <cell r="N1624" t="str">
            <v>Seca</v>
          </cell>
          <cell r="O1624" t="str">
            <v>Seca 769/220</v>
          </cell>
          <cell r="P1624" t="str">
            <v>5769177136666</v>
          </cell>
          <cell r="Q1624" t="str">
            <v>Not Applicable</v>
          </cell>
          <cell r="R1624" t="str">
            <v>TANITA</v>
          </cell>
          <cell r="S1624" t="str">
            <v>Lazcorp Holding (M) Sdn Bhd</v>
          </cell>
          <cell r="T1624" t="str">
            <v>Functioning</v>
          </cell>
          <cell r="U1624" t="str">
            <v>Asset</v>
          </cell>
          <cell r="V1624">
            <v>3515</v>
          </cell>
          <cell r="W1624" t="str">
            <v>KEW</v>
          </cell>
          <cell r="X1624" t="str">
            <v>03/12/2013</v>
          </cell>
          <cell r="Y1624" t="str">
            <v>KEW</v>
          </cell>
          <cell r="Z1624" t="str">
            <v>18/12/2013</v>
          </cell>
          <cell r="AA1624" t="str">
            <v>17/12/2014</v>
          </cell>
          <cell r="AB1624" t="str">
            <v>No</v>
          </cell>
          <cell r="AC1624" t="str">
            <v>18/12/2013</v>
          </cell>
          <cell r="AD1624" t="str">
            <v>Good</v>
          </cell>
          <cell r="AE1624" t="str">
            <v>V3 - Added Installed Facilities (New)</v>
          </cell>
          <cell r="AF1624">
            <v>43033</v>
          </cell>
          <cell r="AG1624">
            <v>5.92</v>
          </cell>
          <cell r="AH1624" t="str">
            <v>PPM</v>
          </cell>
          <cell r="AI1624" t="str">
            <v>Strands</v>
          </cell>
          <cell r="AJ1624" t="str">
            <v>Strands PW</v>
          </cell>
          <cell r="AK1624" t="str">
            <v>SNF received. 1st batch of V3 asset (December 2020)</v>
          </cell>
        </row>
        <row r="1625">
          <cell r="A1625" t="str">
            <v>IKN401519</v>
          </cell>
          <cell r="B1625">
            <v>1459</v>
          </cell>
          <cell r="C1625" t="str">
            <v>Institut Kanser Negara</v>
          </cell>
          <cell r="D1625" t="str">
            <v>KKM/IKN/H/13/4636</v>
          </cell>
          <cell r="E1625" t="str">
            <v>17-417</v>
          </cell>
          <cell r="F1625" t="str">
            <v>Analyzers, Physiologic, Body Composition</v>
          </cell>
          <cell r="G1625" t="str">
            <v>DU</v>
          </cell>
          <cell r="H1625" t="str">
            <v>DIETICIAN UNIT</v>
          </cell>
          <cell r="I1625" t="str">
            <v>03DU103</v>
          </cell>
          <cell r="J1625" t="str">
            <v>COUNSELLING 1</v>
          </cell>
          <cell r="K1625" t="str">
            <v>BMED</v>
          </cell>
          <cell r="L1625" t="str">
            <v>Normal</v>
          </cell>
          <cell r="M1625" t="str">
            <v>Japan</v>
          </cell>
          <cell r="N1625" t="str">
            <v>TANITA</v>
          </cell>
          <cell r="O1625" t="str">
            <v>Tanita SC-330-S</v>
          </cell>
          <cell r="P1625" t="str">
            <v>13110023</v>
          </cell>
          <cell r="Q1625" t="str">
            <v>Not Applicable</v>
          </cell>
          <cell r="R1625" t="str">
            <v>TANITA</v>
          </cell>
          <cell r="S1625" t="str">
            <v>Lazcorp Holding (M) Sdn Bhd</v>
          </cell>
          <cell r="T1625" t="str">
            <v>Functioning</v>
          </cell>
          <cell r="U1625" t="str">
            <v>Asset</v>
          </cell>
          <cell r="V1625">
            <v>9500</v>
          </cell>
          <cell r="W1625" t="str">
            <v>KEW</v>
          </cell>
          <cell r="X1625" t="str">
            <v>03/12/2013</v>
          </cell>
          <cell r="Y1625" t="str">
            <v>KEW</v>
          </cell>
          <cell r="Z1625" t="str">
            <v>18/12/2013</v>
          </cell>
          <cell r="AA1625" t="str">
            <v>17/12/2014</v>
          </cell>
          <cell r="AB1625" t="str">
            <v>No</v>
          </cell>
          <cell r="AC1625" t="str">
            <v>18/12/2013</v>
          </cell>
          <cell r="AD1625" t="str">
            <v>Good</v>
          </cell>
          <cell r="AE1625" t="str">
            <v>V3 - Added Installed Facilities (New)</v>
          </cell>
          <cell r="AF1625">
            <v>42879</v>
          </cell>
          <cell r="AG1625">
            <v>5.92</v>
          </cell>
          <cell r="AH1625" t="str">
            <v>PPM</v>
          </cell>
          <cell r="AI1625" t="str">
            <v>Strands</v>
          </cell>
          <cell r="AJ1625" t="str">
            <v>Strands PW</v>
          </cell>
          <cell r="AK1625" t="str">
            <v>SNF received. 1st batch of V3 asset (December 2020)</v>
          </cell>
        </row>
        <row r="1626">
          <cell r="A1626" t="str">
            <v>IKN401520</v>
          </cell>
          <cell r="B1626">
            <v>1460</v>
          </cell>
          <cell r="C1626" t="str">
            <v>Institut Kanser Negara</v>
          </cell>
          <cell r="D1626" t="str">
            <v>KKM/IKN/H/13/6667</v>
          </cell>
          <cell r="E1626" t="str">
            <v>10-208</v>
          </cell>
          <cell r="F1626" t="str">
            <v>Aspirators</v>
          </cell>
          <cell r="G1626" t="str">
            <v>SS</v>
          </cell>
          <cell r="H1626" t="str">
            <v>MEDICAL SOCIAL SERVICE</v>
          </cell>
          <cell r="I1626" t="str">
            <v>03SS112</v>
          </cell>
          <cell r="J1626" t="str">
            <v>GENERAL STORE</v>
          </cell>
          <cell r="K1626" t="str">
            <v>BMED</v>
          </cell>
          <cell r="L1626" t="str">
            <v>Critical</v>
          </cell>
          <cell r="M1626" t="str">
            <v>Taiwan</v>
          </cell>
          <cell r="N1626" t="str">
            <v>Dolphin</v>
          </cell>
          <cell r="O1626" t="str">
            <v>Dolphin</v>
          </cell>
          <cell r="P1626" t="str">
            <v>12110043</v>
          </cell>
          <cell r="Q1626" t="str">
            <v>Not Applicable</v>
          </cell>
          <cell r="R1626" t="str">
            <v>Dolphin Medical</v>
          </cell>
          <cell r="S1626" t="str">
            <v>Ikatan Megah Medik</v>
          </cell>
          <cell r="T1626" t="str">
            <v>Functioning</v>
          </cell>
          <cell r="U1626" t="str">
            <v>Asset</v>
          </cell>
          <cell r="V1626">
            <v>500</v>
          </cell>
          <cell r="W1626" t="str">
            <v>KEW</v>
          </cell>
          <cell r="X1626" t="str">
            <v>26/11/2013</v>
          </cell>
          <cell r="Y1626" t="str">
            <v>Estimate</v>
          </cell>
          <cell r="Z1626" t="str">
            <v>05/12/2013</v>
          </cell>
          <cell r="AA1626" t="str">
            <v>04/12/2014</v>
          </cell>
          <cell r="AB1626" t="str">
            <v>No</v>
          </cell>
          <cell r="AC1626" t="str">
            <v>05/12/2013</v>
          </cell>
          <cell r="AD1626" t="str">
            <v>Good</v>
          </cell>
          <cell r="AE1626" t="str">
            <v>V3 - Added Installed Facilities (New)</v>
          </cell>
          <cell r="AF1626">
            <v>43124</v>
          </cell>
          <cell r="AG1626">
            <v>6</v>
          </cell>
          <cell r="AH1626" t="str">
            <v>PPM</v>
          </cell>
          <cell r="AI1626" t="str">
            <v>Strands</v>
          </cell>
          <cell r="AJ1626" t="str">
            <v>Strands PW</v>
          </cell>
          <cell r="AK1626" t="str">
            <v>SNF received. 1st batch of V3 asset (December 2020)</v>
          </cell>
        </row>
        <row r="1627">
          <cell r="A1627" t="str">
            <v>IKN401521</v>
          </cell>
          <cell r="B1627">
            <v>1461</v>
          </cell>
          <cell r="C1627" t="str">
            <v>Institut Kanser Negara</v>
          </cell>
          <cell r="D1627" t="str">
            <v>KKM/IKN/H/13/6668</v>
          </cell>
          <cell r="E1627" t="str">
            <v>10-208</v>
          </cell>
          <cell r="F1627" t="str">
            <v>Aspirators</v>
          </cell>
          <cell r="G1627" t="str">
            <v>SS</v>
          </cell>
          <cell r="H1627" t="str">
            <v>MEDICAL SOCIAL SERVICE</v>
          </cell>
          <cell r="I1627" t="str">
            <v>03SS112</v>
          </cell>
          <cell r="J1627" t="str">
            <v>GENERAL STORE</v>
          </cell>
          <cell r="K1627" t="str">
            <v>BMED</v>
          </cell>
          <cell r="L1627" t="str">
            <v>Critical</v>
          </cell>
          <cell r="M1627" t="str">
            <v>Taiwan</v>
          </cell>
          <cell r="N1627" t="str">
            <v>Dolphin</v>
          </cell>
          <cell r="O1627" t="str">
            <v>Dolphin</v>
          </cell>
          <cell r="P1627" t="str">
            <v>12110044</v>
          </cell>
          <cell r="Q1627" t="str">
            <v>Not Applicable</v>
          </cell>
          <cell r="R1627" t="str">
            <v>Dolphin Medical</v>
          </cell>
          <cell r="S1627" t="str">
            <v>Ikatan Megah Medik</v>
          </cell>
          <cell r="T1627" t="str">
            <v>Functioning</v>
          </cell>
          <cell r="U1627" t="str">
            <v>Asset</v>
          </cell>
          <cell r="V1627">
            <v>500</v>
          </cell>
          <cell r="W1627" t="str">
            <v>KEW</v>
          </cell>
          <cell r="X1627" t="str">
            <v>26/11/2013</v>
          </cell>
          <cell r="Y1627" t="str">
            <v>KEW</v>
          </cell>
          <cell r="Z1627" t="str">
            <v>05/12/2013</v>
          </cell>
          <cell r="AA1627" t="str">
            <v>04/12/2014</v>
          </cell>
          <cell r="AB1627" t="str">
            <v>No</v>
          </cell>
          <cell r="AC1627" t="str">
            <v>05/12/2013</v>
          </cell>
          <cell r="AD1627" t="str">
            <v>Good</v>
          </cell>
          <cell r="AE1627" t="str">
            <v>V3 - Added Installed Facilities (New)</v>
          </cell>
          <cell r="AF1627">
            <v>43124</v>
          </cell>
          <cell r="AG1627">
            <v>6</v>
          </cell>
          <cell r="AH1627" t="str">
            <v>PPM</v>
          </cell>
          <cell r="AI1627" t="str">
            <v>Strands</v>
          </cell>
          <cell r="AJ1627" t="str">
            <v>Strands PW</v>
          </cell>
          <cell r="AK1627" t="str">
            <v>SNF received. 1st batch of V3 asset (December 2020)</v>
          </cell>
        </row>
        <row r="1628">
          <cell r="A1628" t="str">
            <v>IKN401522</v>
          </cell>
          <cell r="B1628">
            <v>1462</v>
          </cell>
          <cell r="C1628" t="str">
            <v>Institut Kanser Negara</v>
          </cell>
          <cell r="D1628" t="str">
            <v>KKM/IKN/H/13/6669</v>
          </cell>
          <cell r="E1628" t="str">
            <v>10-208</v>
          </cell>
          <cell r="F1628" t="str">
            <v>Aspirators</v>
          </cell>
          <cell r="G1628" t="str">
            <v>SS</v>
          </cell>
          <cell r="H1628" t="str">
            <v>MEDICAL SOCIAL SERVICE</v>
          </cell>
          <cell r="I1628" t="str">
            <v>03SS112</v>
          </cell>
          <cell r="J1628" t="str">
            <v>GENERAL STORE</v>
          </cell>
          <cell r="K1628" t="str">
            <v>BMED</v>
          </cell>
          <cell r="L1628" t="str">
            <v>Critical</v>
          </cell>
          <cell r="M1628" t="str">
            <v>Taiwan</v>
          </cell>
          <cell r="N1628" t="str">
            <v>Dolphin</v>
          </cell>
          <cell r="O1628" t="str">
            <v>Dolphin</v>
          </cell>
          <cell r="P1628" t="str">
            <v>12110089</v>
          </cell>
          <cell r="Q1628" t="str">
            <v>Not Applicable</v>
          </cell>
          <cell r="R1628" t="str">
            <v>Dolphin Medical</v>
          </cell>
          <cell r="S1628" t="str">
            <v>Ikatan Megah Medik</v>
          </cell>
          <cell r="T1628" t="str">
            <v>Functioning</v>
          </cell>
          <cell r="U1628" t="str">
            <v>Asset</v>
          </cell>
          <cell r="V1628">
            <v>500</v>
          </cell>
          <cell r="W1628" t="str">
            <v>KEW</v>
          </cell>
          <cell r="X1628" t="str">
            <v>26/11/2013</v>
          </cell>
          <cell r="Y1628" t="str">
            <v>KEW</v>
          </cell>
          <cell r="Z1628" t="str">
            <v>05/12/2013</v>
          </cell>
          <cell r="AA1628" t="str">
            <v>04/12/2014</v>
          </cell>
          <cell r="AB1628" t="str">
            <v>No</v>
          </cell>
          <cell r="AC1628" t="str">
            <v>05/12/2013</v>
          </cell>
          <cell r="AD1628" t="str">
            <v>Good</v>
          </cell>
          <cell r="AE1628" t="str">
            <v>V3 - Added Installed Facilities (New)</v>
          </cell>
          <cell r="AF1628">
            <v>43124</v>
          </cell>
          <cell r="AG1628">
            <v>6</v>
          </cell>
          <cell r="AH1628" t="str">
            <v>PPM</v>
          </cell>
          <cell r="AI1628" t="str">
            <v>Strands</v>
          </cell>
          <cell r="AJ1628" t="str">
            <v>Strands PW</v>
          </cell>
          <cell r="AK1628" t="str">
            <v>SNF received. 1st batch of V3 asset (December 2020)</v>
          </cell>
        </row>
        <row r="1629">
          <cell r="A1629" t="str">
            <v>IKN401523</v>
          </cell>
          <cell r="B1629">
            <v>1463</v>
          </cell>
          <cell r="C1629" t="str">
            <v>Institut Kanser Negara</v>
          </cell>
          <cell r="D1629" t="str">
            <v>KKM/IKN/H/13/6670</v>
          </cell>
          <cell r="E1629" t="str">
            <v>10-208</v>
          </cell>
          <cell r="F1629" t="str">
            <v>Aspirators</v>
          </cell>
          <cell r="G1629" t="str">
            <v>SS</v>
          </cell>
          <cell r="H1629" t="str">
            <v>MEDICAL SOCIAL SERVICE</v>
          </cell>
          <cell r="I1629" t="str">
            <v>03SS112</v>
          </cell>
          <cell r="J1629" t="str">
            <v>GENERAL STORE</v>
          </cell>
          <cell r="K1629" t="str">
            <v>BMED</v>
          </cell>
          <cell r="L1629" t="str">
            <v>Critical</v>
          </cell>
          <cell r="M1629" t="str">
            <v>Taiwan</v>
          </cell>
          <cell r="N1629" t="str">
            <v>Dolphin</v>
          </cell>
          <cell r="O1629" t="str">
            <v>Dolphin</v>
          </cell>
          <cell r="P1629" t="str">
            <v>12110092</v>
          </cell>
          <cell r="Q1629" t="str">
            <v>Not Applicable</v>
          </cell>
          <cell r="R1629" t="str">
            <v>Dolphin Medical</v>
          </cell>
          <cell r="S1629" t="str">
            <v>Ikatan Megah Medik</v>
          </cell>
          <cell r="T1629" t="str">
            <v>Functioning</v>
          </cell>
          <cell r="U1629" t="str">
            <v>Asset</v>
          </cell>
          <cell r="V1629">
            <v>500</v>
          </cell>
          <cell r="W1629" t="str">
            <v>KEW</v>
          </cell>
          <cell r="X1629" t="str">
            <v>26/11/2013</v>
          </cell>
          <cell r="Y1629" t="str">
            <v>KEW</v>
          </cell>
          <cell r="Z1629" t="str">
            <v>05/12/2013</v>
          </cell>
          <cell r="AA1629" t="str">
            <v>04/12/2014</v>
          </cell>
          <cell r="AB1629" t="str">
            <v>No</v>
          </cell>
          <cell r="AC1629" t="str">
            <v>05/12/2013</v>
          </cell>
          <cell r="AD1629" t="str">
            <v>Good</v>
          </cell>
          <cell r="AE1629" t="str">
            <v>V3 - Added Installed Facilities (New)</v>
          </cell>
          <cell r="AF1629">
            <v>43124</v>
          </cell>
          <cell r="AG1629">
            <v>6</v>
          </cell>
          <cell r="AH1629" t="str">
            <v>PPM</v>
          </cell>
          <cell r="AI1629" t="str">
            <v>Strands</v>
          </cell>
          <cell r="AJ1629" t="str">
            <v>Strands PW</v>
          </cell>
          <cell r="AK1629" t="str">
            <v>SNF received. 1st batch of V3 asset (December 2020)</v>
          </cell>
        </row>
        <row r="1630">
          <cell r="A1630" t="str">
            <v>IKN401524</v>
          </cell>
          <cell r="B1630">
            <v>1464</v>
          </cell>
          <cell r="C1630" t="str">
            <v>Institut Kanser Negara</v>
          </cell>
          <cell r="D1630" t="str">
            <v>KKM/IKN/H/13/6671</v>
          </cell>
          <cell r="E1630" t="str">
            <v>10-208</v>
          </cell>
          <cell r="F1630" t="str">
            <v>Aspirators</v>
          </cell>
          <cell r="G1630" t="str">
            <v>SS</v>
          </cell>
          <cell r="H1630" t="str">
            <v>MEDICAL SOCIAL SERVICE</v>
          </cell>
          <cell r="I1630" t="str">
            <v>03SS112</v>
          </cell>
          <cell r="J1630" t="str">
            <v>GENERAL STORE</v>
          </cell>
          <cell r="K1630" t="str">
            <v>BMED</v>
          </cell>
          <cell r="L1630" t="str">
            <v>Critical</v>
          </cell>
          <cell r="M1630" t="str">
            <v>Taiwan</v>
          </cell>
          <cell r="N1630" t="str">
            <v>Dolphin</v>
          </cell>
          <cell r="O1630" t="str">
            <v>Dolphin</v>
          </cell>
          <cell r="P1630" t="str">
            <v>12110100</v>
          </cell>
          <cell r="Q1630" t="str">
            <v>Not Applicable</v>
          </cell>
          <cell r="R1630" t="str">
            <v>Dolphin Medical</v>
          </cell>
          <cell r="S1630" t="str">
            <v>Ikatan Megah Medik</v>
          </cell>
          <cell r="T1630" t="str">
            <v>Functioning</v>
          </cell>
          <cell r="U1630" t="str">
            <v>Asset</v>
          </cell>
          <cell r="V1630">
            <v>500</v>
          </cell>
          <cell r="W1630" t="str">
            <v>KEW</v>
          </cell>
          <cell r="X1630" t="str">
            <v>26/11/2013</v>
          </cell>
          <cell r="Y1630" t="str">
            <v>KEW</v>
          </cell>
          <cell r="Z1630" t="str">
            <v>05/12/2013</v>
          </cell>
          <cell r="AA1630" t="str">
            <v>04/12/2014</v>
          </cell>
          <cell r="AB1630" t="str">
            <v>No</v>
          </cell>
          <cell r="AC1630" t="str">
            <v>05/12/2013</v>
          </cell>
          <cell r="AD1630" t="str">
            <v>Good</v>
          </cell>
          <cell r="AE1630" t="str">
            <v>V3 - Added Installed Facilities (New)</v>
          </cell>
          <cell r="AF1630">
            <v>43124</v>
          </cell>
          <cell r="AG1630">
            <v>6</v>
          </cell>
          <cell r="AH1630" t="str">
            <v>PPM</v>
          </cell>
          <cell r="AI1630" t="str">
            <v>Strands</v>
          </cell>
          <cell r="AJ1630" t="str">
            <v>Strands PW</v>
          </cell>
          <cell r="AK1630" t="str">
            <v>SNF received. 1st batch of V3 asset (December 2020)</v>
          </cell>
        </row>
        <row r="1631">
          <cell r="A1631" t="str">
            <v>IKN401526</v>
          </cell>
          <cell r="B1631">
            <v>1466</v>
          </cell>
          <cell r="C1631" t="str">
            <v>Institut Kanser Negara</v>
          </cell>
          <cell r="D1631" t="str">
            <v>KKM/IKN/H/13/3783</v>
          </cell>
          <cell r="E1631" t="str">
            <v>13-325</v>
          </cell>
          <cell r="F1631" t="str">
            <v>Regulators, Suction</v>
          </cell>
          <cell r="G1631" t="str">
            <v>OT</v>
          </cell>
          <cell r="H1631" t="str">
            <v>OPERATING THEATRE</v>
          </cell>
          <cell r="I1631" t="str">
            <v>05OT123</v>
          </cell>
          <cell r="J1631" t="str">
            <v>0T 1</v>
          </cell>
          <cell r="K1631" t="str">
            <v>BMED</v>
          </cell>
          <cell r="L1631" t="str">
            <v>Normal</v>
          </cell>
          <cell r="M1631" t="str">
            <v>United Kingdom</v>
          </cell>
          <cell r="N1631" t="str">
            <v>MGE</v>
          </cell>
          <cell r="O1631" t="str">
            <v>SAM 54</v>
          </cell>
          <cell r="P1631" t="str">
            <v>mg 013555</v>
          </cell>
          <cell r="Q1631" t="str">
            <v>Not Applicable</v>
          </cell>
          <cell r="R1631" t="str">
            <v>MGE</v>
          </cell>
          <cell r="S1631" t="str">
            <v>Delta Medisains</v>
          </cell>
          <cell r="T1631" t="str">
            <v>Functioning</v>
          </cell>
          <cell r="U1631" t="str">
            <v>Asset</v>
          </cell>
          <cell r="V1631">
            <v>4330</v>
          </cell>
          <cell r="W1631" t="str">
            <v>KEW</v>
          </cell>
          <cell r="X1631" t="str">
            <v>01/09/2010</v>
          </cell>
          <cell r="Y1631" t="str">
            <v>KEW</v>
          </cell>
          <cell r="Z1631" t="str">
            <v>16/08/2013</v>
          </cell>
          <cell r="AA1631" t="str">
            <v>15/08/2015</v>
          </cell>
          <cell r="AB1631" t="str">
            <v>No</v>
          </cell>
          <cell r="AC1631" t="str">
            <v>31/08/2013</v>
          </cell>
          <cell r="AD1631" t="str">
            <v>Good</v>
          </cell>
          <cell r="AE1631" t="str">
            <v>V1 - Existing / No Claim</v>
          </cell>
          <cell r="AF1631">
            <v>42920</v>
          </cell>
          <cell r="AG1631">
            <v>9.17</v>
          </cell>
          <cell r="AH1631" t="str">
            <v>RI</v>
          </cell>
          <cell r="AI1631" t="str">
            <v>Strands</v>
          </cell>
          <cell r="AJ1631" t="str">
            <v>Strands PW</v>
          </cell>
        </row>
        <row r="1632">
          <cell r="A1632" t="str">
            <v>IKN401527</v>
          </cell>
          <cell r="B1632">
            <v>1467</v>
          </cell>
          <cell r="C1632" t="str">
            <v>Institut Kanser Negara</v>
          </cell>
          <cell r="D1632" t="str">
            <v>KKM/IKN/H/13/3787</v>
          </cell>
          <cell r="E1632" t="str">
            <v>13-325</v>
          </cell>
          <cell r="F1632" t="str">
            <v>Regulators, Suction</v>
          </cell>
          <cell r="G1632" t="str">
            <v>OT</v>
          </cell>
          <cell r="H1632" t="str">
            <v>OPERATING THEATRE</v>
          </cell>
          <cell r="I1632" t="str">
            <v>05OT120</v>
          </cell>
          <cell r="J1632" t="str">
            <v>OT 2</v>
          </cell>
          <cell r="K1632" t="str">
            <v>BMED</v>
          </cell>
          <cell r="L1632" t="str">
            <v>Normal</v>
          </cell>
          <cell r="M1632" t="str">
            <v>United Kingdom</v>
          </cell>
          <cell r="N1632" t="str">
            <v>MGE</v>
          </cell>
          <cell r="O1632" t="str">
            <v>SAM 54</v>
          </cell>
          <cell r="P1632" t="str">
            <v>MG 013650</v>
          </cell>
          <cell r="Q1632" t="str">
            <v>Not Applicable</v>
          </cell>
          <cell r="R1632" t="str">
            <v>MGE</v>
          </cell>
          <cell r="S1632" t="str">
            <v>Delta Medisains</v>
          </cell>
          <cell r="T1632" t="str">
            <v>Functioning</v>
          </cell>
          <cell r="U1632" t="str">
            <v>Asset</v>
          </cell>
          <cell r="V1632">
            <v>4330</v>
          </cell>
          <cell r="W1632" t="str">
            <v>KEW</v>
          </cell>
          <cell r="X1632" t="str">
            <v>01/09/2010</v>
          </cell>
          <cell r="Y1632" t="str">
            <v>KEW</v>
          </cell>
          <cell r="Z1632" t="str">
            <v>16/08/2013</v>
          </cell>
          <cell r="AA1632" t="str">
            <v>15/08/2015</v>
          </cell>
          <cell r="AB1632" t="str">
            <v>No</v>
          </cell>
          <cell r="AC1632" t="str">
            <v>31/08/2013</v>
          </cell>
          <cell r="AD1632" t="str">
            <v>Good</v>
          </cell>
          <cell r="AE1632" t="str">
            <v>V1 - Existing / No Claim</v>
          </cell>
          <cell r="AF1632">
            <v>42920</v>
          </cell>
          <cell r="AG1632">
            <v>9.17</v>
          </cell>
          <cell r="AH1632" t="str">
            <v>RI</v>
          </cell>
          <cell r="AI1632" t="str">
            <v>Strands</v>
          </cell>
          <cell r="AJ1632" t="str">
            <v>Strands PW</v>
          </cell>
        </row>
        <row r="1633">
          <cell r="A1633" t="str">
            <v>IKN401528</v>
          </cell>
          <cell r="B1633">
            <v>1468</v>
          </cell>
          <cell r="C1633" t="str">
            <v>Institut Kanser Negara</v>
          </cell>
          <cell r="D1633" t="str">
            <v>KKM/IKN/H/13/3785</v>
          </cell>
          <cell r="E1633" t="str">
            <v>13-325</v>
          </cell>
          <cell r="F1633" t="str">
            <v>Regulators, Suction</v>
          </cell>
          <cell r="G1633" t="str">
            <v>OT</v>
          </cell>
          <cell r="H1633" t="str">
            <v>OPERATING THEATRE</v>
          </cell>
          <cell r="I1633" t="str">
            <v>05OT120</v>
          </cell>
          <cell r="J1633" t="str">
            <v>OT 2</v>
          </cell>
          <cell r="K1633" t="str">
            <v>BMED</v>
          </cell>
          <cell r="L1633" t="str">
            <v>Normal</v>
          </cell>
          <cell r="M1633" t="str">
            <v>United Kingdom</v>
          </cell>
          <cell r="N1633" t="str">
            <v>MGE</v>
          </cell>
          <cell r="O1633" t="str">
            <v>SAM 54</v>
          </cell>
          <cell r="P1633" t="str">
            <v>MG013556</v>
          </cell>
          <cell r="Q1633" t="str">
            <v>Not Applicable</v>
          </cell>
          <cell r="R1633" t="str">
            <v>MGE</v>
          </cell>
          <cell r="S1633" t="str">
            <v>Delta Medisains</v>
          </cell>
          <cell r="T1633" t="str">
            <v>Functioning</v>
          </cell>
          <cell r="U1633" t="str">
            <v>Asset</v>
          </cell>
          <cell r="V1633">
            <v>4330</v>
          </cell>
          <cell r="W1633" t="str">
            <v>KEW</v>
          </cell>
          <cell r="X1633" t="str">
            <v>01/09/2010</v>
          </cell>
          <cell r="Y1633" t="str">
            <v>KEW</v>
          </cell>
          <cell r="Z1633" t="str">
            <v>16/08/2013</v>
          </cell>
          <cell r="AA1633" t="str">
            <v>15/08/2015</v>
          </cell>
          <cell r="AB1633" t="str">
            <v>No</v>
          </cell>
          <cell r="AC1633" t="str">
            <v>31/08/2013</v>
          </cell>
          <cell r="AD1633" t="str">
            <v>Good</v>
          </cell>
          <cell r="AE1633" t="str">
            <v>V1 - Existing / No Claim</v>
          </cell>
          <cell r="AF1633">
            <v>42920</v>
          </cell>
          <cell r="AG1633">
            <v>9.17</v>
          </cell>
          <cell r="AH1633" t="str">
            <v>RI</v>
          </cell>
          <cell r="AI1633" t="str">
            <v>Strands</v>
          </cell>
          <cell r="AJ1633" t="str">
            <v>Strands PW</v>
          </cell>
        </row>
        <row r="1634">
          <cell r="A1634" t="str">
            <v>IKN401529</v>
          </cell>
          <cell r="B1634">
            <v>1469</v>
          </cell>
          <cell r="C1634" t="str">
            <v>Institut Kanser Negara</v>
          </cell>
          <cell r="D1634" t="str">
            <v>KKM/IKN/H/13/5439 (new), KKM/IKN/H/13/2602 (old)</v>
          </cell>
          <cell r="E1634" t="str">
            <v>17-145</v>
          </cell>
          <cell r="F1634" t="str">
            <v>Cystoscope, Rigid</v>
          </cell>
          <cell r="G1634" t="str">
            <v>RT</v>
          </cell>
          <cell r="H1634" t="str">
            <v>RADIATION TREATMENT UNIT</v>
          </cell>
          <cell r="I1634" t="str">
            <v>01RT233</v>
          </cell>
          <cell r="J1634" t="str">
            <v>EQ ROOM</v>
          </cell>
          <cell r="K1634" t="str">
            <v>BMED</v>
          </cell>
          <cell r="L1634" t="str">
            <v>Normal</v>
          </cell>
          <cell r="M1634" t="str">
            <v>Germany</v>
          </cell>
          <cell r="N1634" t="str">
            <v>Karl Storz</v>
          </cell>
          <cell r="O1634" t="str">
            <v>27005BA</v>
          </cell>
          <cell r="P1634">
            <v>1747722</v>
          </cell>
          <cell r="Q1634" t="str">
            <v>Not Applicable</v>
          </cell>
          <cell r="R1634" t="str">
            <v>Karl Storz GmbH</v>
          </cell>
          <cell r="S1634" t="str">
            <v>UMMI Surgical Sdn Bhd</v>
          </cell>
          <cell r="T1634" t="str">
            <v>Functioning</v>
          </cell>
          <cell r="U1634" t="str">
            <v>Asset</v>
          </cell>
          <cell r="V1634">
            <v>30836</v>
          </cell>
          <cell r="W1634" t="str">
            <v>KEW</v>
          </cell>
          <cell r="X1634">
            <v>41516</v>
          </cell>
          <cell r="Y1634" t="str">
            <v>KEW</v>
          </cell>
          <cell r="Z1634">
            <v>41516</v>
          </cell>
          <cell r="AA1634">
            <v>42246</v>
          </cell>
          <cell r="AB1634" t="str">
            <v>No</v>
          </cell>
          <cell r="AC1634">
            <v>41516</v>
          </cell>
          <cell r="AD1634" t="str">
            <v>Good</v>
          </cell>
          <cell r="AE1634" t="str">
            <v>V1 - Existing / No Claim</v>
          </cell>
          <cell r="AF1634">
            <v>42246</v>
          </cell>
          <cell r="AG1634">
            <v>9.17</v>
          </cell>
          <cell r="AH1634" t="str">
            <v>PPM</v>
          </cell>
          <cell r="AI1634" t="str">
            <v>Strands</v>
          </cell>
          <cell r="AJ1634" t="str">
            <v>Strands PW F</v>
          </cell>
          <cell r="AK1634" t="str">
            <v>Pecah Kewpa original H/13/2602. 30 Degree/4mm. [1/3/2024, SHARIFAH]: Fees sekali dengan KKM/IKN/H/13/2602(RM63,366) - IKN401530. [22/8/2024, Imran]: Unit V4 since 2021. Update new KEWPA.</v>
          </cell>
        </row>
        <row r="1635">
          <cell r="A1635" t="str">
            <v>IKN401530</v>
          </cell>
          <cell r="B1635">
            <v>1470</v>
          </cell>
          <cell r="C1635" t="str">
            <v>Institut Kanser Negara</v>
          </cell>
          <cell r="D1635" t="str">
            <v>KKM/IKN/H/13/5438 (new), KKM/IKN/H/13/2602 (old)</v>
          </cell>
          <cell r="E1635" t="str">
            <v>17-145</v>
          </cell>
          <cell r="F1635" t="str">
            <v>Cystoscope, Rigid</v>
          </cell>
          <cell r="G1635" t="str">
            <v>RT</v>
          </cell>
          <cell r="H1635" t="str">
            <v>RADIATION TREATMENT UNIT</v>
          </cell>
          <cell r="I1635" t="str">
            <v>01RT233</v>
          </cell>
          <cell r="J1635" t="str">
            <v>EQ ROOM</v>
          </cell>
          <cell r="K1635" t="str">
            <v>BMED</v>
          </cell>
          <cell r="L1635" t="str">
            <v>Normal</v>
          </cell>
          <cell r="M1635" t="str">
            <v>Germany</v>
          </cell>
          <cell r="N1635" t="str">
            <v>Karl Storz</v>
          </cell>
          <cell r="O1635" t="str">
            <v>27005AA®</v>
          </cell>
          <cell r="P1635" t="str">
            <v>120MKR</v>
          </cell>
          <cell r="Q1635" t="str">
            <v>Not Applicable</v>
          </cell>
          <cell r="R1635" t="str">
            <v>Karl Storz GmbH</v>
          </cell>
          <cell r="S1635" t="str">
            <v>UMMI Surgical Sdn Bhd</v>
          </cell>
          <cell r="T1635" t="str">
            <v>Functioning</v>
          </cell>
          <cell r="U1635" t="str">
            <v>Asset</v>
          </cell>
          <cell r="V1635">
            <v>33366</v>
          </cell>
          <cell r="W1635" t="str">
            <v>KEW</v>
          </cell>
          <cell r="X1635">
            <v>41516</v>
          </cell>
          <cell r="Y1635" t="str">
            <v>KEW</v>
          </cell>
          <cell r="Z1635">
            <v>41516</v>
          </cell>
          <cell r="AA1635">
            <v>42246</v>
          </cell>
          <cell r="AB1635" t="str">
            <v>No</v>
          </cell>
          <cell r="AC1635">
            <v>41516</v>
          </cell>
          <cell r="AD1635" t="str">
            <v>Good</v>
          </cell>
          <cell r="AE1635" t="str">
            <v>V10 - Asset in initial fee submission(new/replacement hosp)</v>
          </cell>
          <cell r="AF1635">
            <v>42246</v>
          </cell>
          <cell r="AG1635">
            <v>9.17</v>
          </cell>
          <cell r="AH1635" t="str">
            <v>PPM</v>
          </cell>
          <cell r="AI1635" t="str">
            <v>Strands</v>
          </cell>
          <cell r="AJ1635" t="str">
            <v>Strands PW F</v>
          </cell>
          <cell r="AK1635" t="str">
            <v>Pecah Kewpa original H/13/2602. Replace new unit. 0 Degree/4mm. [1/3/2024, SHARIFAH]: Fees sekali dengan KKM/IKN/H/13/2602(RM63,366) - IKN401529. [22/8/2024, Imran]: Update new KEWPA.</v>
          </cell>
        </row>
        <row r="1636">
          <cell r="A1636" t="str">
            <v>IKN401533</v>
          </cell>
          <cell r="B1636">
            <v>1473</v>
          </cell>
          <cell r="C1636" t="str">
            <v>Institut Kanser Negara</v>
          </cell>
          <cell r="D1636" t="str">
            <v>KKM/IKN/H/13/2150</v>
          </cell>
          <cell r="E1636" t="str">
            <v>13-461</v>
          </cell>
          <cell r="F1636" t="str">
            <v>Scales, Patient, Floor</v>
          </cell>
          <cell r="G1636" t="str">
            <v>WD</v>
          </cell>
          <cell r="H1636" t="str">
            <v>RT/ONCO PAED/ADOLESCENT WARD</v>
          </cell>
          <cell r="I1636" t="str">
            <v>06WD146</v>
          </cell>
          <cell r="J1636" t="str">
            <v>NURSE STATION</v>
          </cell>
          <cell r="K1636" t="str">
            <v>BMED</v>
          </cell>
          <cell r="L1636" t="str">
            <v>Normal</v>
          </cell>
          <cell r="M1636" t="str">
            <v>USA</v>
          </cell>
          <cell r="N1636" t="str">
            <v>Detecto</v>
          </cell>
          <cell r="O1636" t="str">
            <v>758 C</v>
          </cell>
          <cell r="P1636" t="str">
            <v>E32112-0183</v>
          </cell>
          <cell r="Q1636" t="str">
            <v>Not Applicable</v>
          </cell>
          <cell r="R1636" t="str">
            <v>DETECTO</v>
          </cell>
          <cell r="S1636" t="str">
            <v>Acucare System (M) Sdn. Bhd</v>
          </cell>
          <cell r="T1636" t="str">
            <v>Functioning</v>
          </cell>
          <cell r="U1636" t="str">
            <v>Asset</v>
          </cell>
          <cell r="V1636">
            <v>9380</v>
          </cell>
          <cell r="W1636" t="str">
            <v>KEW</v>
          </cell>
          <cell r="X1636" t="str">
            <v>01/09/2010</v>
          </cell>
          <cell r="Y1636" t="str">
            <v>Estimate</v>
          </cell>
          <cell r="Z1636" t="str">
            <v>16/08/2013</v>
          </cell>
          <cell r="AA1636" t="str">
            <v>15/08/2015</v>
          </cell>
          <cell r="AB1636" t="str">
            <v>No</v>
          </cell>
          <cell r="AC1636" t="str">
            <v>31/08/2013</v>
          </cell>
          <cell r="AD1636" t="str">
            <v>Good</v>
          </cell>
          <cell r="AE1636" t="str">
            <v>V1 - Existing / No Claim</v>
          </cell>
          <cell r="AF1636">
            <v>42839</v>
          </cell>
          <cell r="AG1636">
            <v>9.17</v>
          </cell>
          <cell r="AH1636" t="str">
            <v>PPM</v>
          </cell>
          <cell r="AI1636" t="str">
            <v>Strands</v>
          </cell>
          <cell r="AJ1636" t="str">
            <v>Strands PW</v>
          </cell>
        </row>
        <row r="1637">
          <cell r="A1637" t="str">
            <v>IKN401534</v>
          </cell>
          <cell r="B1637">
            <v>1474</v>
          </cell>
          <cell r="C1637" t="str">
            <v>Institut Kanser Negara</v>
          </cell>
          <cell r="D1637" t="str">
            <v>N/A</v>
          </cell>
          <cell r="E1637" t="str">
            <v>13-281</v>
          </cell>
          <cell r="F1637" t="str">
            <v>Computers, Radiotherapy Planning System</v>
          </cell>
          <cell r="G1637" t="str">
            <v>RT</v>
          </cell>
          <cell r="H1637" t="str">
            <v>RADIATION TREATMENT UNIT</v>
          </cell>
          <cell r="I1637" t="str">
            <v>01RT118A</v>
          </cell>
          <cell r="J1637" t="str">
            <v>TECH ROOM</v>
          </cell>
          <cell r="K1637" t="str">
            <v>BMED</v>
          </cell>
          <cell r="L1637" t="str">
            <v>Normal</v>
          </cell>
          <cell r="M1637" t="str">
            <v>USA</v>
          </cell>
          <cell r="N1637" t="str">
            <v>HP</v>
          </cell>
          <cell r="O1637" t="str">
            <v>HP 380 G6 SERVER</v>
          </cell>
          <cell r="P1637" t="str">
            <v>Not Available</v>
          </cell>
          <cell r="Q1637" t="str">
            <v>Not Applicable</v>
          </cell>
          <cell r="R1637" t="str">
            <v>HP</v>
          </cell>
          <cell r="S1637" t="str">
            <v>VIAMED SDN. BHD.</v>
          </cell>
          <cell r="T1637" t="str">
            <v>Functioning</v>
          </cell>
          <cell r="U1637" t="str">
            <v>Asset</v>
          </cell>
          <cell r="V1637">
            <v>52500</v>
          </cell>
          <cell r="W1637" t="str">
            <v>KEW</v>
          </cell>
          <cell r="X1637" t="str">
            <v>01/09/2010</v>
          </cell>
          <cell r="Y1637" t="str">
            <v>KEW</v>
          </cell>
          <cell r="Z1637" t="str">
            <v>16/08/2013</v>
          </cell>
          <cell r="AA1637" t="str">
            <v>15/08/2015</v>
          </cell>
          <cell r="AB1637" t="str">
            <v>No</v>
          </cell>
          <cell r="AC1637" t="str">
            <v>16/08/2013</v>
          </cell>
          <cell r="AD1637" t="str">
            <v>Good</v>
          </cell>
          <cell r="AE1637" t="str">
            <v>V1 - Existing / No Claim</v>
          </cell>
          <cell r="AF1637">
            <v>42859</v>
          </cell>
          <cell r="AG1637">
            <v>9.17</v>
          </cell>
          <cell r="AH1637" t="str">
            <v>PPM</v>
          </cell>
          <cell r="AI1637" t="str">
            <v>Strands</v>
          </cell>
          <cell r="AJ1637" t="str">
            <v>Strands Package</v>
          </cell>
          <cell r="AK1637" t="str">
            <v>Package Code XM0004</v>
          </cell>
        </row>
        <row r="1638">
          <cell r="A1638" t="str">
            <v>IKN401536</v>
          </cell>
          <cell r="B1638">
            <v>1475</v>
          </cell>
          <cell r="C1638" t="str">
            <v>Institut Kanser Negara</v>
          </cell>
          <cell r="D1638" t="str">
            <v>KKM/IKN/H/13/5160</v>
          </cell>
          <cell r="E1638" t="str">
            <v>11-295</v>
          </cell>
          <cell r="F1638" t="str">
            <v>Dosimeters, Radiation</v>
          </cell>
          <cell r="G1638" t="str">
            <v>NM</v>
          </cell>
          <cell r="H1638" t="str">
            <v>NUCLEAR MED (DIAGNOSTIC)</v>
          </cell>
          <cell r="I1638" t="str">
            <v>03NM180</v>
          </cell>
          <cell r="J1638" t="str">
            <v>GEN.OFFICE</v>
          </cell>
          <cell r="K1638" t="str">
            <v>BMED</v>
          </cell>
          <cell r="L1638" t="str">
            <v>Normal</v>
          </cell>
          <cell r="M1638" t="str">
            <v>Japan</v>
          </cell>
          <cell r="N1638" t="str">
            <v>Aloka</v>
          </cell>
          <cell r="O1638" t="str">
            <v>PDM-122-SH</v>
          </cell>
          <cell r="P1638" t="str">
            <v>P1277</v>
          </cell>
          <cell r="Q1638" t="str">
            <v>Not Applicable</v>
          </cell>
          <cell r="R1638" t="str">
            <v>Hitachi Aloka Medical Ltd</v>
          </cell>
          <cell r="S1638" t="str">
            <v>Delta Advantech (M) Sdn. Bhd.</v>
          </cell>
          <cell r="T1638" t="str">
            <v>Functioning</v>
          </cell>
          <cell r="U1638" t="str">
            <v>Asset</v>
          </cell>
          <cell r="V1638">
            <v>4370</v>
          </cell>
          <cell r="W1638" t="str">
            <v>KEW</v>
          </cell>
          <cell r="X1638" t="str">
            <v>01/09/2010</v>
          </cell>
          <cell r="Y1638" t="str">
            <v>KEW</v>
          </cell>
          <cell r="Z1638" t="str">
            <v>16/08/2013</v>
          </cell>
          <cell r="AA1638" t="str">
            <v>15/08/2015</v>
          </cell>
          <cell r="AB1638" t="str">
            <v>No</v>
          </cell>
          <cell r="AC1638" t="str">
            <v>31/08/2013</v>
          </cell>
          <cell r="AD1638" t="str">
            <v>Good</v>
          </cell>
          <cell r="AE1638" t="str">
            <v>V1 - Existing / No Claim</v>
          </cell>
          <cell r="AF1638">
            <v>42923</v>
          </cell>
          <cell r="AG1638">
            <v>9.17</v>
          </cell>
          <cell r="AH1638" t="str">
            <v>PPM</v>
          </cell>
          <cell r="AI1638" t="str">
            <v>Strands</v>
          </cell>
          <cell r="AJ1638" t="str">
            <v>Strands PW</v>
          </cell>
          <cell r="AK1638" t="str">
            <v>[24/4/2024, ANIS]: TUKAR MODEL &amp; BRAND.</v>
          </cell>
        </row>
        <row r="1639">
          <cell r="A1639" t="str">
            <v>IKN401537</v>
          </cell>
          <cell r="B1639">
            <v>1476</v>
          </cell>
          <cell r="C1639" t="str">
            <v>Institut Kanser Negara</v>
          </cell>
          <cell r="D1639" t="str">
            <v>KKM/IKN/H/13/5159</v>
          </cell>
          <cell r="E1639" t="str">
            <v>11-295</v>
          </cell>
          <cell r="F1639" t="str">
            <v>Dosimeters, Radiation</v>
          </cell>
          <cell r="G1639" t="str">
            <v>NM</v>
          </cell>
          <cell r="H1639" t="str">
            <v>NUCLEAR MED (DIAGNOSTIC)</v>
          </cell>
          <cell r="I1639" t="str">
            <v>03NM180</v>
          </cell>
          <cell r="J1639" t="str">
            <v>GEN.OFFICE</v>
          </cell>
          <cell r="K1639" t="str">
            <v>BMED</v>
          </cell>
          <cell r="L1639" t="str">
            <v>Normal</v>
          </cell>
          <cell r="M1639" t="str">
            <v>Japan</v>
          </cell>
          <cell r="N1639" t="str">
            <v>Aloka</v>
          </cell>
          <cell r="O1639" t="str">
            <v>PDM-122-SH</v>
          </cell>
          <cell r="P1639" t="str">
            <v>P1278</v>
          </cell>
          <cell r="Q1639" t="str">
            <v>Not Applicable</v>
          </cell>
          <cell r="R1639" t="str">
            <v>Hitachi Aloka Medical Ltd</v>
          </cell>
          <cell r="S1639" t="str">
            <v>Delta Advantech (M) Sdn. Bhd.</v>
          </cell>
          <cell r="T1639" t="str">
            <v>Functioning</v>
          </cell>
          <cell r="U1639" t="str">
            <v>Asset</v>
          </cell>
          <cell r="V1639">
            <v>4370</v>
          </cell>
          <cell r="W1639" t="str">
            <v>KEW</v>
          </cell>
          <cell r="X1639" t="str">
            <v>01/09/2010</v>
          </cell>
          <cell r="Y1639" t="str">
            <v>KEW</v>
          </cell>
          <cell r="Z1639" t="str">
            <v>16/08/2013</v>
          </cell>
          <cell r="AA1639" t="str">
            <v>15/08/2015</v>
          </cell>
          <cell r="AB1639" t="str">
            <v>No</v>
          </cell>
          <cell r="AC1639" t="str">
            <v>31/08/2013</v>
          </cell>
          <cell r="AD1639" t="str">
            <v>Good</v>
          </cell>
          <cell r="AE1639" t="str">
            <v>V1 - Existing / No Claim</v>
          </cell>
          <cell r="AF1639">
            <v>42923</v>
          </cell>
          <cell r="AG1639">
            <v>9.17</v>
          </cell>
          <cell r="AH1639" t="str">
            <v>PPM</v>
          </cell>
          <cell r="AI1639" t="str">
            <v>Strands</v>
          </cell>
          <cell r="AJ1639" t="str">
            <v>Strands PW</v>
          </cell>
          <cell r="AK1639" t="str">
            <v>[24/4/2024, ANIS]: TUKAR MODEL &amp; BRAND.</v>
          </cell>
        </row>
        <row r="1640">
          <cell r="A1640" t="str">
            <v>IKN401538</v>
          </cell>
          <cell r="B1640">
            <v>1477</v>
          </cell>
          <cell r="C1640" t="str">
            <v>Institut Kanser Negara</v>
          </cell>
          <cell r="D1640" t="str">
            <v>KKM/IKN/H/13/5158</v>
          </cell>
          <cell r="E1640" t="str">
            <v>11-295</v>
          </cell>
          <cell r="F1640" t="str">
            <v>Dosimeters, Radiation</v>
          </cell>
          <cell r="G1640" t="str">
            <v>NM</v>
          </cell>
          <cell r="H1640" t="str">
            <v>NUCLEAR MED (DIAGNOSTIC)</v>
          </cell>
          <cell r="I1640" t="str">
            <v>03NM180</v>
          </cell>
          <cell r="J1640" t="str">
            <v>GEN.OFFICE</v>
          </cell>
          <cell r="K1640" t="str">
            <v>BMED</v>
          </cell>
          <cell r="L1640" t="str">
            <v>Normal</v>
          </cell>
          <cell r="M1640" t="str">
            <v>Japan</v>
          </cell>
          <cell r="N1640" t="str">
            <v>Aloka</v>
          </cell>
          <cell r="O1640" t="str">
            <v>PDM-122-SH</v>
          </cell>
          <cell r="P1640" t="str">
            <v>P1279</v>
          </cell>
          <cell r="Q1640" t="str">
            <v>Not Applicable</v>
          </cell>
          <cell r="R1640" t="str">
            <v>Hitachi Aloka Medical Ltd</v>
          </cell>
          <cell r="S1640" t="str">
            <v>Delta Advantech (M) Sdn. Bhd.</v>
          </cell>
          <cell r="T1640" t="str">
            <v>Functioning</v>
          </cell>
          <cell r="U1640" t="str">
            <v>Asset</v>
          </cell>
          <cell r="V1640">
            <v>4370</v>
          </cell>
          <cell r="W1640" t="str">
            <v>KEW</v>
          </cell>
          <cell r="X1640" t="str">
            <v>01/09/2010</v>
          </cell>
          <cell r="Y1640" t="str">
            <v>KEW</v>
          </cell>
          <cell r="Z1640" t="str">
            <v>16/08/2013</v>
          </cell>
          <cell r="AA1640" t="str">
            <v>15/08/2015</v>
          </cell>
          <cell r="AB1640" t="str">
            <v>No</v>
          </cell>
          <cell r="AC1640" t="str">
            <v>31/08/2013</v>
          </cell>
          <cell r="AD1640" t="str">
            <v>Good</v>
          </cell>
          <cell r="AE1640" t="str">
            <v>V1 - Existing / No Claim</v>
          </cell>
          <cell r="AF1640">
            <v>42923</v>
          </cell>
          <cell r="AG1640">
            <v>9.17</v>
          </cell>
          <cell r="AH1640" t="str">
            <v>PPM</v>
          </cell>
          <cell r="AI1640" t="str">
            <v>Strands</v>
          </cell>
          <cell r="AJ1640" t="str">
            <v>Strands PW</v>
          </cell>
          <cell r="AK1640" t="str">
            <v>[24/4/2024, ANIS]: TUKAR MODEL &amp; BRAND.</v>
          </cell>
        </row>
        <row r="1641">
          <cell r="A1641" t="str">
            <v>IKN401539</v>
          </cell>
          <cell r="B1641">
            <v>1478</v>
          </cell>
          <cell r="C1641" t="str">
            <v>Institut Kanser Negara</v>
          </cell>
          <cell r="D1641" t="str">
            <v>KKM/IKN/H/13/5157</v>
          </cell>
          <cell r="E1641" t="str">
            <v>11-295</v>
          </cell>
          <cell r="F1641" t="str">
            <v>Dosimeters, Radiation</v>
          </cell>
          <cell r="G1641" t="str">
            <v>NM</v>
          </cell>
          <cell r="H1641" t="str">
            <v>NUCLEAR MED (DIAGNOSTIC)</v>
          </cell>
          <cell r="I1641" t="str">
            <v>03NM180</v>
          </cell>
          <cell r="J1641" t="str">
            <v>GEN.OFFICE</v>
          </cell>
          <cell r="K1641" t="str">
            <v>BMED</v>
          </cell>
          <cell r="L1641" t="str">
            <v>Normal</v>
          </cell>
          <cell r="M1641" t="str">
            <v>Japan</v>
          </cell>
          <cell r="N1641" t="str">
            <v>Aloka</v>
          </cell>
          <cell r="O1641" t="str">
            <v>PDM-122-SH</v>
          </cell>
          <cell r="P1641" t="str">
            <v>P1280</v>
          </cell>
          <cell r="Q1641" t="str">
            <v>Not Applicable</v>
          </cell>
          <cell r="R1641" t="str">
            <v>Hitachi Aloka Medical Ltd</v>
          </cell>
          <cell r="S1641" t="str">
            <v>Delta Advantech (M) Sdn. Bhd.</v>
          </cell>
          <cell r="T1641" t="str">
            <v>Functioning</v>
          </cell>
          <cell r="U1641" t="str">
            <v>Asset</v>
          </cell>
          <cell r="V1641">
            <v>4370</v>
          </cell>
          <cell r="W1641" t="str">
            <v>KEW</v>
          </cell>
          <cell r="X1641" t="str">
            <v>01/09/2010</v>
          </cell>
          <cell r="Y1641" t="str">
            <v>KEW</v>
          </cell>
          <cell r="Z1641" t="str">
            <v>16/08/2013</v>
          </cell>
          <cell r="AA1641" t="str">
            <v>15/08/2015</v>
          </cell>
          <cell r="AB1641" t="str">
            <v>No</v>
          </cell>
          <cell r="AC1641" t="str">
            <v>31/08/2013</v>
          </cell>
          <cell r="AD1641" t="str">
            <v>Good</v>
          </cell>
          <cell r="AE1641" t="str">
            <v>V1 - Existing / No Claim</v>
          </cell>
          <cell r="AF1641">
            <v>42923</v>
          </cell>
          <cell r="AG1641">
            <v>9.17</v>
          </cell>
          <cell r="AH1641" t="str">
            <v>PPM</v>
          </cell>
          <cell r="AI1641" t="str">
            <v>Strands</v>
          </cell>
          <cell r="AJ1641" t="str">
            <v>Strands PW</v>
          </cell>
          <cell r="AK1641" t="str">
            <v>[24/4/2024, ANIS]: TUKAR MODEL &amp; BRAND.</v>
          </cell>
        </row>
        <row r="1642">
          <cell r="A1642" t="str">
            <v>IKN401540</v>
          </cell>
          <cell r="B1642">
            <v>1479</v>
          </cell>
          <cell r="C1642" t="str">
            <v>Institut Kanser Negara</v>
          </cell>
          <cell r="D1642" t="str">
            <v>KKM/IKN/H/13/5156</v>
          </cell>
          <cell r="E1642" t="str">
            <v>11-295</v>
          </cell>
          <cell r="F1642" t="str">
            <v>Dosimeters, Radiation</v>
          </cell>
          <cell r="G1642" t="str">
            <v>NM</v>
          </cell>
          <cell r="H1642" t="str">
            <v>NUCLEAR MED (DIAGNOSTIC)</v>
          </cell>
          <cell r="I1642" t="str">
            <v>03NM180</v>
          </cell>
          <cell r="J1642" t="str">
            <v>GEN.OFFICE</v>
          </cell>
          <cell r="K1642" t="str">
            <v>BMED</v>
          </cell>
          <cell r="L1642" t="str">
            <v>Normal</v>
          </cell>
          <cell r="M1642" t="str">
            <v>Japan</v>
          </cell>
          <cell r="N1642" t="str">
            <v>Aloka</v>
          </cell>
          <cell r="O1642" t="str">
            <v>PDM-122-SH</v>
          </cell>
          <cell r="P1642" t="str">
            <v>P1281</v>
          </cell>
          <cell r="Q1642" t="str">
            <v>Not Applicable</v>
          </cell>
          <cell r="R1642" t="str">
            <v>Hitachi Aloka Medical Ltd</v>
          </cell>
          <cell r="S1642" t="str">
            <v>Delta Advantech (M) Sdn. Bhd.</v>
          </cell>
          <cell r="T1642" t="str">
            <v>Functioning</v>
          </cell>
          <cell r="U1642" t="str">
            <v>Asset</v>
          </cell>
          <cell r="V1642">
            <v>4370</v>
          </cell>
          <cell r="W1642" t="str">
            <v>KEW</v>
          </cell>
          <cell r="X1642" t="str">
            <v>01/09/2010</v>
          </cell>
          <cell r="Y1642" t="str">
            <v>KEW</v>
          </cell>
          <cell r="Z1642" t="str">
            <v>16/08/2013</v>
          </cell>
          <cell r="AA1642" t="str">
            <v>15/08/2015</v>
          </cell>
          <cell r="AB1642" t="str">
            <v>No</v>
          </cell>
          <cell r="AC1642" t="str">
            <v>31/08/2013</v>
          </cell>
          <cell r="AD1642" t="str">
            <v>Good</v>
          </cell>
          <cell r="AE1642" t="str">
            <v>V1 - Existing / No Claim</v>
          </cell>
          <cell r="AF1642">
            <v>42923</v>
          </cell>
          <cell r="AG1642">
            <v>9.17</v>
          </cell>
          <cell r="AH1642" t="str">
            <v>PPM</v>
          </cell>
          <cell r="AI1642" t="str">
            <v>Strands</v>
          </cell>
          <cell r="AJ1642" t="str">
            <v>Strands PW</v>
          </cell>
          <cell r="AK1642" t="str">
            <v>[24/4/2024, ANIS]: TUKAR MODEL &amp; BRAND.</v>
          </cell>
        </row>
        <row r="1643">
          <cell r="A1643" t="str">
            <v>IKN401541</v>
          </cell>
          <cell r="B1643">
            <v>1480</v>
          </cell>
          <cell r="C1643" t="str">
            <v>Institut Kanser Negara</v>
          </cell>
          <cell r="D1643" t="str">
            <v>KKM/IKN/H/13/5155</v>
          </cell>
          <cell r="E1643" t="str">
            <v>11-295</v>
          </cell>
          <cell r="F1643" t="str">
            <v>Dosimeters, Radiation</v>
          </cell>
          <cell r="G1643" t="str">
            <v>NM</v>
          </cell>
          <cell r="H1643" t="str">
            <v>NUCLEAR MED (DIAGNOSTIC)</v>
          </cell>
          <cell r="I1643" t="str">
            <v>03NM180</v>
          </cell>
          <cell r="J1643" t="str">
            <v>GEN.OFFICE</v>
          </cell>
          <cell r="K1643" t="str">
            <v>BMED</v>
          </cell>
          <cell r="L1643" t="str">
            <v>Normal</v>
          </cell>
          <cell r="M1643" t="str">
            <v>Japan</v>
          </cell>
          <cell r="N1643" t="str">
            <v>Aloka</v>
          </cell>
          <cell r="O1643" t="str">
            <v>PDM-122-SH</v>
          </cell>
          <cell r="P1643" t="str">
            <v>P1282</v>
          </cell>
          <cell r="Q1643" t="str">
            <v>Not Applicable</v>
          </cell>
          <cell r="R1643" t="str">
            <v>Hitachi Aloka Medical Ltd</v>
          </cell>
          <cell r="S1643" t="str">
            <v>Delta Advantech (M) Sdn. Bhd.</v>
          </cell>
          <cell r="T1643" t="str">
            <v>Functioning</v>
          </cell>
          <cell r="U1643" t="str">
            <v>Asset</v>
          </cell>
          <cell r="V1643">
            <v>4370</v>
          </cell>
          <cell r="W1643" t="str">
            <v>KEW</v>
          </cell>
          <cell r="X1643" t="str">
            <v>01/09/2010</v>
          </cell>
          <cell r="Y1643" t="str">
            <v>KEW</v>
          </cell>
          <cell r="Z1643" t="str">
            <v>16/08/2013</v>
          </cell>
          <cell r="AA1643" t="str">
            <v>15/08/2015</v>
          </cell>
          <cell r="AB1643" t="str">
            <v>No</v>
          </cell>
          <cell r="AC1643" t="str">
            <v>31/08/2013</v>
          </cell>
          <cell r="AD1643" t="str">
            <v>Good</v>
          </cell>
          <cell r="AE1643" t="str">
            <v>V1 - Existing / No Claim</v>
          </cell>
          <cell r="AF1643">
            <v>42923</v>
          </cell>
          <cell r="AG1643">
            <v>9.17</v>
          </cell>
          <cell r="AH1643" t="str">
            <v>PPM</v>
          </cell>
          <cell r="AI1643" t="str">
            <v>Strands</v>
          </cell>
          <cell r="AJ1643" t="str">
            <v>Strands PW</v>
          </cell>
          <cell r="AK1643" t="str">
            <v>[24/4/2024, ANIS]: TUKAR MODEL &amp; BRAND.</v>
          </cell>
        </row>
        <row r="1644">
          <cell r="A1644" t="str">
            <v>IKN401542</v>
          </cell>
          <cell r="B1644">
            <v>1481</v>
          </cell>
          <cell r="C1644" t="str">
            <v>Institut Kanser Negara</v>
          </cell>
          <cell r="D1644" t="str">
            <v>KKM/IKN/H/13/5154</v>
          </cell>
          <cell r="E1644" t="str">
            <v>11-295</v>
          </cell>
          <cell r="F1644" t="str">
            <v>Dosimeters, Radiation</v>
          </cell>
          <cell r="G1644" t="str">
            <v>NM</v>
          </cell>
          <cell r="H1644" t="str">
            <v>NUCLEAR MED (DIAGNOSTIC)</v>
          </cell>
          <cell r="I1644" t="str">
            <v>03NM180</v>
          </cell>
          <cell r="J1644" t="str">
            <v>GEN.OFFICE</v>
          </cell>
          <cell r="K1644" t="str">
            <v>BMED</v>
          </cell>
          <cell r="L1644" t="str">
            <v>Normal</v>
          </cell>
          <cell r="M1644" t="str">
            <v>Japan</v>
          </cell>
          <cell r="N1644" t="str">
            <v>Aloka</v>
          </cell>
          <cell r="O1644" t="str">
            <v>PDM-122-SH</v>
          </cell>
          <cell r="P1644" t="str">
            <v>O8426</v>
          </cell>
          <cell r="Q1644" t="str">
            <v>Not Applicable</v>
          </cell>
          <cell r="R1644" t="str">
            <v>Hitachi Aloka Medical Ltd</v>
          </cell>
          <cell r="S1644" t="str">
            <v>Delta Advantech (M) Sdn. Bhd.</v>
          </cell>
          <cell r="T1644" t="str">
            <v>Functioning</v>
          </cell>
          <cell r="U1644" t="str">
            <v>Asset</v>
          </cell>
          <cell r="V1644">
            <v>4370</v>
          </cell>
          <cell r="W1644" t="str">
            <v>KEW</v>
          </cell>
          <cell r="X1644" t="str">
            <v>01/09/2010</v>
          </cell>
          <cell r="Y1644" t="str">
            <v>Estimate</v>
          </cell>
          <cell r="Z1644" t="str">
            <v>16/08/2013</v>
          </cell>
          <cell r="AA1644" t="str">
            <v>15/08/2015</v>
          </cell>
          <cell r="AB1644" t="str">
            <v>No</v>
          </cell>
          <cell r="AC1644" t="str">
            <v>31/08/2013</v>
          </cell>
          <cell r="AD1644" t="str">
            <v>Good</v>
          </cell>
          <cell r="AE1644" t="str">
            <v>V1 - Existing / No Claim</v>
          </cell>
          <cell r="AF1644">
            <v>42923</v>
          </cell>
          <cell r="AG1644">
            <v>9.17</v>
          </cell>
          <cell r="AH1644" t="str">
            <v>PPM</v>
          </cell>
          <cell r="AI1644" t="str">
            <v>Strands</v>
          </cell>
          <cell r="AJ1644" t="str">
            <v>Strands PW</v>
          </cell>
          <cell r="AK1644" t="str">
            <v>[24/4/2024, ANIS]: TUKAR MODEL &amp; BRAND.</v>
          </cell>
        </row>
        <row r="1645">
          <cell r="A1645" t="str">
            <v>IKN401543</v>
          </cell>
          <cell r="B1645">
            <v>1482</v>
          </cell>
          <cell r="C1645" t="str">
            <v>Institut Kanser Negara</v>
          </cell>
          <cell r="D1645" t="str">
            <v>KKM/IKN/H/13/5153</v>
          </cell>
          <cell r="E1645" t="str">
            <v>11-295</v>
          </cell>
          <cell r="F1645" t="str">
            <v>Dosimeters, Radiation</v>
          </cell>
          <cell r="G1645" t="str">
            <v>NM</v>
          </cell>
          <cell r="H1645" t="str">
            <v>NUCLEAR MED (DIAGNOSTIC)</v>
          </cell>
          <cell r="I1645" t="str">
            <v>03NM180</v>
          </cell>
          <cell r="J1645" t="str">
            <v>GEN.OFFICE</v>
          </cell>
          <cell r="K1645" t="str">
            <v>BMED</v>
          </cell>
          <cell r="L1645" t="str">
            <v>Normal</v>
          </cell>
          <cell r="M1645" t="str">
            <v>Japan</v>
          </cell>
          <cell r="N1645" t="str">
            <v>Aloka</v>
          </cell>
          <cell r="O1645" t="str">
            <v>PDM-122-SH</v>
          </cell>
          <cell r="P1645" t="str">
            <v>O8428</v>
          </cell>
          <cell r="Q1645" t="str">
            <v>Not Applicable</v>
          </cell>
          <cell r="R1645" t="str">
            <v>Hitachi Aloka Medical Ltd</v>
          </cell>
          <cell r="S1645" t="str">
            <v>Delta Advantech (M) Sdn. Bhd.</v>
          </cell>
          <cell r="T1645" t="str">
            <v>Functioning</v>
          </cell>
          <cell r="U1645" t="str">
            <v>Asset</v>
          </cell>
          <cell r="V1645">
            <v>4370</v>
          </cell>
          <cell r="W1645" t="str">
            <v>KEW</v>
          </cell>
          <cell r="X1645" t="str">
            <v>01/09/2010</v>
          </cell>
          <cell r="Y1645" t="str">
            <v>KEW</v>
          </cell>
          <cell r="Z1645" t="str">
            <v>16/08/2013</v>
          </cell>
          <cell r="AA1645" t="str">
            <v>15/08/2015</v>
          </cell>
          <cell r="AB1645" t="str">
            <v>No</v>
          </cell>
          <cell r="AC1645" t="str">
            <v>31/08/2013</v>
          </cell>
          <cell r="AD1645" t="str">
            <v>Good</v>
          </cell>
          <cell r="AE1645" t="str">
            <v>V1 - Existing / No Claim</v>
          </cell>
          <cell r="AF1645">
            <v>42923</v>
          </cell>
          <cell r="AG1645">
            <v>9.17</v>
          </cell>
          <cell r="AH1645" t="str">
            <v>PPM</v>
          </cell>
          <cell r="AI1645" t="str">
            <v>Strands</v>
          </cell>
          <cell r="AJ1645" t="str">
            <v>Strands PW</v>
          </cell>
          <cell r="AK1645" t="str">
            <v>[24/4/2024, ANIS]: TUKAR MODEL &amp; BRAND.</v>
          </cell>
        </row>
        <row r="1646">
          <cell r="A1646" t="str">
            <v>IKN401544</v>
          </cell>
          <cell r="B1646">
            <v>1483</v>
          </cell>
          <cell r="C1646" t="str">
            <v>Institut Kanser Negara</v>
          </cell>
          <cell r="D1646" t="str">
            <v>KKM/IKN/H/13/5177</v>
          </cell>
          <cell r="E1646" t="str">
            <v>15-175</v>
          </cell>
          <cell r="F1646" t="str">
            <v>Scales, Clinical, Laboratory</v>
          </cell>
          <cell r="G1646" t="str">
            <v>PF</v>
          </cell>
          <cell r="H1646" t="str">
            <v>IN-PATIENT PHARMACY</v>
          </cell>
          <cell r="I1646" t="str">
            <v>05PF146</v>
          </cell>
          <cell r="J1646" t="str">
            <v>RAW MATERIAL STORE</v>
          </cell>
          <cell r="K1646" t="str">
            <v>BMED</v>
          </cell>
          <cell r="L1646" t="str">
            <v>Normal</v>
          </cell>
          <cell r="M1646" t="str">
            <v>Switzerland</v>
          </cell>
          <cell r="N1646" t="str">
            <v>METTLER TOLEDO</v>
          </cell>
          <cell r="O1646" t="str">
            <v>JP32001G</v>
          </cell>
          <cell r="P1646" t="str">
            <v>B327522435</v>
          </cell>
          <cell r="Q1646" t="str">
            <v>Not Applicable</v>
          </cell>
          <cell r="R1646" t="str">
            <v>METTLER TOLEDO</v>
          </cell>
          <cell r="S1646" t="str">
            <v>Chemopharm Sdn. Bhd.</v>
          </cell>
          <cell r="T1646" t="str">
            <v>Functioning</v>
          </cell>
          <cell r="U1646" t="str">
            <v>Asset</v>
          </cell>
          <cell r="V1646">
            <v>3500</v>
          </cell>
          <cell r="W1646" t="str">
            <v>KEW</v>
          </cell>
          <cell r="X1646" t="str">
            <v>01/09/2010</v>
          </cell>
          <cell r="Y1646" t="str">
            <v>KEW</v>
          </cell>
          <cell r="Z1646" t="str">
            <v>16/08/2013</v>
          </cell>
          <cell r="AA1646" t="str">
            <v>15/08/2015</v>
          </cell>
          <cell r="AB1646" t="str">
            <v>No</v>
          </cell>
          <cell r="AC1646" t="str">
            <v>31/08/2013</v>
          </cell>
          <cell r="AD1646" t="str">
            <v>Good</v>
          </cell>
          <cell r="AE1646" t="str">
            <v>V3 - Added Installed Facilities (New)</v>
          </cell>
          <cell r="AF1646">
            <v>42873</v>
          </cell>
          <cell r="AG1646">
            <v>9.17</v>
          </cell>
          <cell r="AH1646" t="str">
            <v>PPM</v>
          </cell>
          <cell r="AI1646" t="str">
            <v>Strands</v>
          </cell>
          <cell r="AJ1646" t="str">
            <v>Strands PW</v>
          </cell>
          <cell r="AK1646" t="str">
            <v>SNF received. 1st batch of V3 asset (December 2020)</v>
          </cell>
        </row>
        <row r="1647">
          <cell r="A1647" t="str">
            <v>IKN401545</v>
          </cell>
          <cell r="B1647">
            <v>1484</v>
          </cell>
          <cell r="C1647" t="str">
            <v>Institut Kanser Negara</v>
          </cell>
          <cell r="D1647" t="str">
            <v>KKM/IKN/H/13/5302</v>
          </cell>
          <cell r="E1647" t="str">
            <v>10-263</v>
          </cell>
          <cell r="F1647" t="str">
            <v>Balances, Electronic</v>
          </cell>
          <cell r="G1647" t="str">
            <v>PF</v>
          </cell>
          <cell r="H1647" t="str">
            <v>IN-PATIENT PHARMACY</v>
          </cell>
          <cell r="I1647" t="str">
            <v>05PF112</v>
          </cell>
          <cell r="J1647" t="str">
            <v>INTERNAL PREP</v>
          </cell>
          <cell r="K1647" t="str">
            <v>BMED</v>
          </cell>
          <cell r="L1647" t="str">
            <v>Normal</v>
          </cell>
          <cell r="M1647" t="str">
            <v>Germany</v>
          </cell>
          <cell r="N1647" t="str">
            <v>Sartorius</v>
          </cell>
          <cell r="O1647" t="str">
            <v>Sartorius TE412</v>
          </cell>
          <cell r="P1647" t="str">
            <v>28103584</v>
          </cell>
          <cell r="Q1647" t="str">
            <v>Not Applicable</v>
          </cell>
          <cell r="R1647" t="str">
            <v>Sartorius AG</v>
          </cell>
          <cell r="S1647" t="str">
            <v>Chemopharm Sdn. Bhd.</v>
          </cell>
          <cell r="T1647" t="str">
            <v>Functioning</v>
          </cell>
          <cell r="U1647" t="str">
            <v>Asset</v>
          </cell>
          <cell r="V1647">
            <v>5490</v>
          </cell>
          <cell r="W1647" t="str">
            <v>KEW</v>
          </cell>
          <cell r="X1647" t="str">
            <v>01/09/2010</v>
          </cell>
          <cell r="Y1647" t="str">
            <v>KEW</v>
          </cell>
          <cell r="Z1647" t="str">
            <v>16/08/2013</v>
          </cell>
          <cell r="AA1647" t="str">
            <v>15/08/2015</v>
          </cell>
          <cell r="AB1647" t="str">
            <v>No</v>
          </cell>
          <cell r="AC1647" t="str">
            <v>31/08/2013</v>
          </cell>
          <cell r="AD1647" t="str">
            <v>Good</v>
          </cell>
          <cell r="AE1647" t="str">
            <v>V1 - Existing / No Claim</v>
          </cell>
          <cell r="AF1647">
            <v>42873</v>
          </cell>
          <cell r="AG1647">
            <v>9.17</v>
          </cell>
          <cell r="AH1647" t="str">
            <v>PPM</v>
          </cell>
          <cell r="AI1647" t="str">
            <v>Strands</v>
          </cell>
          <cell r="AJ1647" t="str">
            <v>Strands PW</v>
          </cell>
        </row>
        <row r="1648">
          <cell r="A1648" t="str">
            <v>IKN401546</v>
          </cell>
          <cell r="B1648">
            <v>1485</v>
          </cell>
          <cell r="C1648" t="str">
            <v>Institut Kanser Negara</v>
          </cell>
          <cell r="D1648" t="str">
            <v>KKM/IKN/H/13/4878</v>
          </cell>
          <cell r="E1648" t="str">
            <v>15-161</v>
          </cell>
          <cell r="F1648" t="str">
            <v>Mixers, Clinical Laboratory</v>
          </cell>
          <cell r="G1648" t="str">
            <v>PF</v>
          </cell>
          <cell r="H1648" t="str">
            <v>IN-PATIENT PHARMACY</v>
          </cell>
          <cell r="I1648" t="str">
            <v>05PF114</v>
          </cell>
          <cell r="J1648" t="str">
            <v>CDR ROOM 1</v>
          </cell>
          <cell r="K1648" t="str">
            <v>BMED</v>
          </cell>
          <cell r="L1648" t="str">
            <v>Normal</v>
          </cell>
          <cell r="M1648" t="str">
            <v>Malaysia</v>
          </cell>
          <cell r="N1648" t="str">
            <v>ASASI</v>
          </cell>
          <cell r="O1648" t="str">
            <v>LRM-30</v>
          </cell>
          <cell r="P1648" t="str">
            <v>LRM3020117/1212</v>
          </cell>
          <cell r="Q1648" t="str">
            <v>Not Applicable</v>
          </cell>
          <cell r="R1648" t="str">
            <v>ASASI</v>
          </cell>
          <cell r="S1648" t="str">
            <v>Tech-Lab Scientific Sdn Bhd</v>
          </cell>
          <cell r="T1648" t="str">
            <v>Functioning</v>
          </cell>
          <cell r="U1648" t="str">
            <v>Asset</v>
          </cell>
          <cell r="V1648">
            <v>9500</v>
          </cell>
          <cell r="W1648" t="str">
            <v>KEW</v>
          </cell>
          <cell r="X1648" t="str">
            <v>01/09/2010</v>
          </cell>
          <cell r="Y1648" t="str">
            <v>KEW</v>
          </cell>
          <cell r="Z1648" t="str">
            <v>16/08/2013</v>
          </cell>
          <cell r="AA1648" t="str">
            <v>15/08/2015</v>
          </cell>
          <cell r="AB1648" t="str">
            <v>No</v>
          </cell>
          <cell r="AC1648" t="str">
            <v>31/08/2013</v>
          </cell>
          <cell r="AD1648" t="str">
            <v>Good</v>
          </cell>
          <cell r="AE1648" t="str">
            <v>V1 - Existing / No Claim</v>
          </cell>
          <cell r="AF1648">
            <v>42873</v>
          </cell>
          <cell r="AG1648">
            <v>9.17</v>
          </cell>
          <cell r="AH1648" t="str">
            <v>PPM</v>
          </cell>
          <cell r="AI1648" t="str">
            <v>Strands</v>
          </cell>
          <cell r="AJ1648" t="str">
            <v>Strands PW</v>
          </cell>
        </row>
        <row r="1649">
          <cell r="A1649" t="str">
            <v>IKN401547</v>
          </cell>
          <cell r="B1649">
            <v>1486</v>
          </cell>
          <cell r="C1649" t="str">
            <v>Institut Kanser Negara</v>
          </cell>
          <cell r="D1649" t="str">
            <v>KKM/IKN/H/13/4879</v>
          </cell>
          <cell r="E1649" t="str">
            <v>15-161</v>
          </cell>
          <cell r="F1649" t="str">
            <v>Mixers, Clinical Laboratory</v>
          </cell>
          <cell r="G1649" t="str">
            <v>PF</v>
          </cell>
          <cell r="H1649" t="str">
            <v>IN-PATIENT PHARMACY</v>
          </cell>
          <cell r="I1649" t="str">
            <v>05PF119</v>
          </cell>
          <cell r="J1649" t="str">
            <v>CDR ROOM 2</v>
          </cell>
          <cell r="K1649" t="str">
            <v>BMED</v>
          </cell>
          <cell r="L1649" t="str">
            <v>Normal</v>
          </cell>
          <cell r="M1649" t="str">
            <v>Malaysia</v>
          </cell>
          <cell r="N1649" t="str">
            <v>ASASI</v>
          </cell>
          <cell r="O1649" t="str">
            <v>LRM-30</v>
          </cell>
          <cell r="P1649" t="str">
            <v>LRM3020116/1212</v>
          </cell>
          <cell r="Q1649" t="str">
            <v>Not Applicable</v>
          </cell>
          <cell r="R1649" t="str">
            <v>ASASI</v>
          </cell>
          <cell r="S1649" t="str">
            <v>Tech-Lab Scientific Sdn Bhd</v>
          </cell>
          <cell r="T1649" t="str">
            <v>Functioning</v>
          </cell>
          <cell r="U1649" t="str">
            <v>Asset</v>
          </cell>
          <cell r="V1649">
            <v>9500</v>
          </cell>
          <cell r="W1649" t="str">
            <v>KEW</v>
          </cell>
          <cell r="X1649" t="str">
            <v>01/09/2010</v>
          </cell>
          <cell r="Y1649" t="str">
            <v>KEW</v>
          </cell>
          <cell r="Z1649" t="str">
            <v>16/08/2013</v>
          </cell>
          <cell r="AA1649" t="str">
            <v>15/08/2015</v>
          </cell>
          <cell r="AB1649" t="str">
            <v>No</v>
          </cell>
          <cell r="AC1649" t="str">
            <v>31/08/2013</v>
          </cell>
          <cell r="AD1649" t="str">
            <v>Good</v>
          </cell>
          <cell r="AE1649" t="str">
            <v>V1 - Existing / No Claim</v>
          </cell>
          <cell r="AF1649">
            <v>42873</v>
          </cell>
          <cell r="AG1649">
            <v>9.17</v>
          </cell>
          <cell r="AH1649" t="str">
            <v>PPM</v>
          </cell>
          <cell r="AI1649" t="str">
            <v>Strands</v>
          </cell>
          <cell r="AJ1649" t="str">
            <v>Strands PW</v>
          </cell>
        </row>
        <row r="1650">
          <cell r="A1650" t="str">
            <v>IKN401581</v>
          </cell>
          <cell r="B1650">
            <v>1520</v>
          </cell>
          <cell r="C1650" t="str">
            <v>Institut Kanser Negara</v>
          </cell>
          <cell r="D1650" t="str">
            <v>KKM/IKN/H/13/714</v>
          </cell>
          <cell r="E1650" t="str">
            <v>10-263</v>
          </cell>
          <cell r="F1650" t="str">
            <v>Balances, Electronic</v>
          </cell>
          <cell r="G1650" t="str">
            <v>KT</v>
          </cell>
          <cell r="H1650" t="str">
            <v>CATERING</v>
          </cell>
          <cell r="I1650" t="str">
            <v>01KT101</v>
          </cell>
          <cell r="J1650" t="str">
            <v>RECEIVING</v>
          </cell>
          <cell r="K1650" t="str">
            <v>BMED</v>
          </cell>
          <cell r="L1650" t="str">
            <v>Normal</v>
          </cell>
          <cell r="M1650" t="str">
            <v>Malaysia</v>
          </cell>
          <cell r="N1650" t="str">
            <v>Avery</v>
          </cell>
          <cell r="O1650" t="str">
            <v>Avery E-302</v>
          </cell>
          <cell r="P1650" t="str">
            <v>A11315275</v>
          </cell>
          <cell r="Q1650" t="str">
            <v>Not Applicable</v>
          </cell>
          <cell r="R1650" t="str">
            <v>Avery Weight-Tronix</v>
          </cell>
          <cell r="S1650" t="str">
            <v>SOMERCO JAYA SDN BHD</v>
          </cell>
          <cell r="T1650" t="str">
            <v>Functioning</v>
          </cell>
          <cell r="U1650" t="str">
            <v>Asset</v>
          </cell>
          <cell r="V1650">
            <v>3380</v>
          </cell>
          <cell r="W1650" t="str">
            <v>KEW</v>
          </cell>
          <cell r="X1650" t="str">
            <v>30/08/2013</v>
          </cell>
          <cell r="Y1650" t="str">
            <v>KEW</v>
          </cell>
          <cell r="Z1650" t="str">
            <v>30/08/2013</v>
          </cell>
          <cell r="AA1650" t="str">
            <v>30/08/2015</v>
          </cell>
          <cell r="AB1650" t="str">
            <v>No</v>
          </cell>
          <cell r="AC1650" t="str">
            <v>30/08/2013</v>
          </cell>
          <cell r="AD1650" t="str">
            <v>Good</v>
          </cell>
          <cell r="AE1650" t="str">
            <v>V1 - Existing / No Claim</v>
          </cell>
          <cell r="AF1650">
            <v>42935</v>
          </cell>
          <cell r="AG1650">
            <v>6.25</v>
          </cell>
          <cell r="AH1650" t="str">
            <v>PPM</v>
          </cell>
          <cell r="AI1650" t="str">
            <v>Strands</v>
          </cell>
          <cell r="AJ1650" t="str">
            <v>Strands PW</v>
          </cell>
        </row>
        <row r="1651">
          <cell r="A1651" t="str">
            <v>IKN401630</v>
          </cell>
          <cell r="B1651">
            <v>1564</v>
          </cell>
          <cell r="C1651" t="str">
            <v>Institut Kanser Negara</v>
          </cell>
          <cell r="D1651" t="str">
            <v>KKM/IKN/H/13/4875</v>
          </cell>
          <cell r="E1651" t="str">
            <v>15-161</v>
          </cell>
          <cell r="F1651" t="str">
            <v>Mixers, Clinical Laboratory</v>
          </cell>
          <cell r="G1651" t="str">
            <v>PF</v>
          </cell>
          <cell r="H1651" t="str">
            <v>IN-PATIENT PHARMACY</v>
          </cell>
          <cell r="I1651" t="str">
            <v>05PF110</v>
          </cell>
          <cell r="J1651" t="str">
            <v>EXTERNAL PREP</v>
          </cell>
          <cell r="K1651" t="str">
            <v>BMED</v>
          </cell>
          <cell r="L1651" t="str">
            <v>Normal</v>
          </cell>
          <cell r="M1651" t="str">
            <v>Taiwan</v>
          </cell>
          <cell r="N1651" t="str">
            <v>Spar Mixer</v>
          </cell>
          <cell r="O1651" t="str">
            <v>800-C</v>
          </cell>
          <cell r="P1651" t="str">
            <v>121225N-8</v>
          </cell>
          <cell r="Q1651" t="str">
            <v>Not Applicable</v>
          </cell>
          <cell r="R1651" t="str">
            <v>SPARFOOD MACHINERY MFG. CO. LTD</v>
          </cell>
          <cell r="S1651" t="str">
            <v>Bumi Sains Sdn. Bhd</v>
          </cell>
          <cell r="T1651" t="str">
            <v>Functioning</v>
          </cell>
          <cell r="U1651" t="str">
            <v>Asset</v>
          </cell>
          <cell r="V1651">
            <v>5520</v>
          </cell>
          <cell r="W1651" t="str">
            <v>KEW</v>
          </cell>
          <cell r="X1651" t="str">
            <v>30/08/2013</v>
          </cell>
          <cell r="Y1651" t="str">
            <v>KEW</v>
          </cell>
          <cell r="Z1651" t="str">
            <v>30/08/2013</v>
          </cell>
          <cell r="AA1651" t="str">
            <v>30/08/2015</v>
          </cell>
          <cell r="AB1651" t="str">
            <v>No</v>
          </cell>
          <cell r="AC1651" t="str">
            <v>30/08/2013</v>
          </cell>
          <cell r="AD1651" t="str">
            <v>Good</v>
          </cell>
          <cell r="AE1651" t="str">
            <v>V10 - Asset in initial fee submission(new/replacement hosp)</v>
          </cell>
          <cell r="AF1651">
            <v>43013</v>
          </cell>
          <cell r="AG1651">
            <v>6.25</v>
          </cell>
          <cell r="AH1651" t="str">
            <v>PPM</v>
          </cell>
          <cell r="AI1651" t="str">
            <v>Strands</v>
          </cell>
          <cell r="AJ1651" t="str">
            <v>Strands PW</v>
          </cell>
        </row>
        <row r="1652">
          <cell r="A1652" t="str">
            <v>IKN401631</v>
          </cell>
          <cell r="B1652">
            <v>1565</v>
          </cell>
          <cell r="C1652" t="str">
            <v>Institut Kanser Negara</v>
          </cell>
          <cell r="D1652" t="str">
            <v>KKM/IKN/H/13/5300</v>
          </cell>
          <cell r="E1652" t="str">
            <v>16-262</v>
          </cell>
          <cell r="F1652" t="str">
            <v>Smoke evacuation systems, surgical</v>
          </cell>
          <cell r="G1652" t="str">
            <v>PF</v>
          </cell>
          <cell r="H1652" t="str">
            <v>IN-PATIENT PHARMACY</v>
          </cell>
          <cell r="I1652" t="str">
            <v>05PF110</v>
          </cell>
          <cell r="J1652" t="str">
            <v>EXTERNAL PREP</v>
          </cell>
          <cell r="K1652" t="str">
            <v>BMED</v>
          </cell>
          <cell r="L1652" t="str">
            <v>Normal</v>
          </cell>
          <cell r="M1652" t="str">
            <v>Canada</v>
          </cell>
          <cell r="N1652" t="str">
            <v>Enviroflex</v>
          </cell>
          <cell r="O1652" t="str">
            <v>ESE 202A-220</v>
          </cell>
          <cell r="P1652" t="str">
            <v>030613-97</v>
          </cell>
          <cell r="Q1652" t="str">
            <v>Not Applicable</v>
          </cell>
          <cell r="R1652" t="str">
            <v>ENVIROFLEX INTERNATIONAL INC</v>
          </cell>
          <cell r="S1652" t="str">
            <v>FISHER SCIENTIFIC (M) SDN. BHD.</v>
          </cell>
          <cell r="T1652" t="str">
            <v>Functioning</v>
          </cell>
          <cell r="U1652" t="str">
            <v>Asset</v>
          </cell>
          <cell r="V1652">
            <v>1450</v>
          </cell>
          <cell r="W1652" t="str">
            <v>KEW</v>
          </cell>
          <cell r="X1652" t="str">
            <v>30/08/2013</v>
          </cell>
          <cell r="Y1652" t="str">
            <v>KEW</v>
          </cell>
          <cell r="Z1652" t="str">
            <v>30/08/2013</v>
          </cell>
          <cell r="AA1652" t="str">
            <v>30/08/2015</v>
          </cell>
          <cell r="AB1652" t="str">
            <v>No</v>
          </cell>
          <cell r="AC1652" t="str">
            <v>30/08/2013</v>
          </cell>
          <cell r="AD1652" t="str">
            <v>Good</v>
          </cell>
          <cell r="AE1652" t="str">
            <v>V3 - Added Installed Facilities (New)</v>
          </cell>
          <cell r="AF1652">
            <v>43013</v>
          </cell>
          <cell r="AG1652">
            <v>6.25</v>
          </cell>
          <cell r="AH1652" t="str">
            <v>PPM</v>
          </cell>
          <cell r="AI1652" t="str">
            <v>Strands</v>
          </cell>
          <cell r="AJ1652" t="str">
            <v>Strands PW</v>
          </cell>
          <cell r="AK1652" t="str">
            <v>SNF received. 1st batch of V3 asset (December 2020)</v>
          </cell>
        </row>
        <row r="1653">
          <cell r="A1653" t="str">
            <v>IKN401632</v>
          </cell>
          <cell r="B1653">
            <v>1566</v>
          </cell>
          <cell r="C1653" t="str">
            <v>Institut Kanser Negara</v>
          </cell>
          <cell r="D1653" t="str">
            <v>KKM/IKN/H/13/5301</v>
          </cell>
          <cell r="E1653" t="str">
            <v>16-262</v>
          </cell>
          <cell r="F1653" t="str">
            <v>Smoke evacuation systems, surgical</v>
          </cell>
          <cell r="G1653" t="str">
            <v>PF</v>
          </cell>
          <cell r="H1653" t="str">
            <v>IN-PATIENT PHARMACY</v>
          </cell>
          <cell r="I1653" t="str">
            <v>05PF112</v>
          </cell>
          <cell r="J1653" t="str">
            <v>INTERNAL PREP</v>
          </cell>
          <cell r="K1653" t="str">
            <v>BMED</v>
          </cell>
          <cell r="L1653" t="str">
            <v>Normal</v>
          </cell>
          <cell r="M1653" t="str">
            <v>Canada</v>
          </cell>
          <cell r="N1653" t="str">
            <v>Enviroflex</v>
          </cell>
          <cell r="O1653" t="str">
            <v>ESE 202A-220</v>
          </cell>
          <cell r="P1653" t="str">
            <v>030613-98</v>
          </cell>
          <cell r="Q1653" t="str">
            <v>Not Applicable</v>
          </cell>
          <cell r="R1653" t="str">
            <v>ENVIROFLEX INTERNATIONAL INC</v>
          </cell>
          <cell r="S1653" t="str">
            <v>FISHER SCIENTIFIC (M) SDN. BHD.</v>
          </cell>
          <cell r="T1653" t="str">
            <v>Functioning</v>
          </cell>
          <cell r="U1653" t="str">
            <v>Asset</v>
          </cell>
          <cell r="V1653">
            <v>1450</v>
          </cell>
          <cell r="W1653" t="str">
            <v>KEW</v>
          </cell>
          <cell r="X1653" t="str">
            <v>30/08/2013</v>
          </cell>
          <cell r="Y1653" t="str">
            <v>KEW</v>
          </cell>
          <cell r="Z1653" t="str">
            <v>30/08/2013</v>
          </cell>
          <cell r="AA1653" t="str">
            <v>30/08/2015</v>
          </cell>
          <cell r="AB1653" t="str">
            <v>No</v>
          </cell>
          <cell r="AC1653" t="str">
            <v>30/08/2013</v>
          </cell>
          <cell r="AD1653" t="str">
            <v>Good</v>
          </cell>
          <cell r="AE1653" t="str">
            <v>V3 - Added Installed Facilities (New)</v>
          </cell>
          <cell r="AF1653">
            <v>43013</v>
          </cell>
          <cell r="AG1653">
            <v>6.25</v>
          </cell>
          <cell r="AH1653" t="str">
            <v>PPM</v>
          </cell>
          <cell r="AI1653" t="str">
            <v>Strands</v>
          </cell>
          <cell r="AJ1653" t="str">
            <v>Strands PW</v>
          </cell>
          <cell r="AK1653" t="str">
            <v>SNF received. 1st batch of V3 asset (December 2020)</v>
          </cell>
        </row>
        <row r="1654">
          <cell r="A1654" t="str">
            <v>IKN401656</v>
          </cell>
          <cell r="B1654">
            <v>1586</v>
          </cell>
          <cell r="C1654" t="str">
            <v>Institut Kanser Negara</v>
          </cell>
          <cell r="D1654" t="str">
            <v>KKM/IKN/H/14/82</v>
          </cell>
          <cell r="E1654" t="str">
            <v>10-263</v>
          </cell>
          <cell r="F1654" t="str">
            <v>Balances, Electronic</v>
          </cell>
          <cell r="G1654" t="str">
            <v>OT</v>
          </cell>
          <cell r="H1654" t="str">
            <v>OPERATING THEATRE</v>
          </cell>
          <cell r="I1654" t="str">
            <v>05OT120</v>
          </cell>
          <cell r="J1654" t="str">
            <v>OT 2</v>
          </cell>
          <cell r="K1654" t="str">
            <v>BMED</v>
          </cell>
          <cell r="L1654" t="str">
            <v>Normal</v>
          </cell>
          <cell r="M1654" t="str">
            <v>China</v>
          </cell>
          <cell r="N1654" t="str">
            <v>Avanue</v>
          </cell>
          <cell r="O1654" t="str">
            <v>GF-24-1200A</v>
          </cell>
          <cell r="P1654" t="str">
            <v>GR14050010</v>
          </cell>
          <cell r="Q1654" t="str">
            <v>Not Applicable</v>
          </cell>
          <cell r="R1654" t="str">
            <v>KAYING POWER SUPPLY &amp; ELECTRICAL</v>
          </cell>
          <cell r="S1654" t="str">
            <v>MNB RESOURCES</v>
          </cell>
          <cell r="T1654" t="str">
            <v>Functioning</v>
          </cell>
          <cell r="U1654" t="str">
            <v>Asset</v>
          </cell>
          <cell r="V1654">
            <v>1500</v>
          </cell>
          <cell r="W1654" t="str">
            <v>KEW</v>
          </cell>
          <cell r="X1654" t="str">
            <v>25/09/2014</v>
          </cell>
          <cell r="Y1654" t="str">
            <v>KEW</v>
          </cell>
          <cell r="Z1654" t="str">
            <v>25/09/2014</v>
          </cell>
          <cell r="AA1654" t="str">
            <v>25/09/2015</v>
          </cell>
          <cell r="AB1654" t="str">
            <v>No</v>
          </cell>
          <cell r="AC1654" t="str">
            <v>25/09/2014</v>
          </cell>
          <cell r="AD1654" t="str">
            <v>Good</v>
          </cell>
          <cell r="AE1654" t="str">
            <v>V3 - Added Installed Facilities (New)</v>
          </cell>
          <cell r="AF1654">
            <v>43405</v>
          </cell>
          <cell r="AG1654">
            <v>5.17</v>
          </cell>
          <cell r="AH1654" t="str">
            <v>PPM</v>
          </cell>
          <cell r="AI1654" t="str">
            <v>Strands</v>
          </cell>
          <cell r="AJ1654" t="str">
            <v>Strands PW</v>
          </cell>
          <cell r="AK1654" t="str">
            <v>SNF received. 1st batch of V3 asset (December 2020)</v>
          </cell>
        </row>
        <row r="1655">
          <cell r="A1655" t="str">
            <v>IKN401687</v>
          </cell>
          <cell r="B1655">
            <v>1611</v>
          </cell>
          <cell r="C1655" t="str">
            <v>Institut Kanser Negara</v>
          </cell>
          <cell r="D1655" t="e">
            <v>#N/A</v>
          </cell>
          <cell r="E1655" t="str">
            <v>15-605</v>
          </cell>
          <cell r="F1655" t="str">
            <v>Testers</v>
          </cell>
          <cell r="G1655" t="str">
            <v>RT</v>
          </cell>
          <cell r="H1655" t="str">
            <v>RADIATION TREATMENT UNIT</v>
          </cell>
          <cell r="I1655" t="str">
            <v>01RT213</v>
          </cell>
          <cell r="J1655" t="str">
            <v>EQUIPMENT ROOM1</v>
          </cell>
          <cell r="K1655" t="str">
            <v>BMED</v>
          </cell>
          <cell r="L1655" t="str">
            <v>Normal</v>
          </cell>
          <cell r="M1655" t="str">
            <v>Germany</v>
          </cell>
          <cell r="N1655" t="str">
            <v>TR300</v>
          </cell>
          <cell r="O1655" t="str">
            <v>TR300</v>
          </cell>
          <cell r="P1655" t="str">
            <v>12060008</v>
          </cell>
          <cell r="Q1655" t="str">
            <v>Not Applicable</v>
          </cell>
          <cell r="R1655" t="str">
            <v>AMPROBE</v>
          </cell>
          <cell r="S1655" t="str">
            <v>DELTA SCIENTIFIC</v>
          </cell>
          <cell r="T1655" t="str">
            <v>Functioning</v>
          </cell>
          <cell r="U1655" t="str">
            <v>Asset</v>
          </cell>
          <cell r="V1655">
            <v>1000</v>
          </cell>
          <cell r="W1655" t="str">
            <v>KEW</v>
          </cell>
          <cell r="X1655" t="str">
            <v>01/09/2010</v>
          </cell>
          <cell r="Y1655" t="str">
            <v>KEW</v>
          </cell>
          <cell r="Z1655" t="str">
            <v>16/08/2013</v>
          </cell>
          <cell r="AA1655" t="str">
            <v>15/08/2015</v>
          </cell>
          <cell r="AB1655" t="str">
            <v>No</v>
          </cell>
          <cell r="AC1655" t="str">
            <v>16/08/2013</v>
          </cell>
          <cell r="AD1655" t="str">
            <v>Good</v>
          </cell>
          <cell r="AE1655" t="str">
            <v>V10 - Asset in initial fee submission(new/replacement hosp)</v>
          </cell>
          <cell r="AF1655">
            <v>43063</v>
          </cell>
          <cell r="AG1655">
            <v>9.17</v>
          </cell>
          <cell r="AH1655" t="str">
            <v>PPM</v>
          </cell>
          <cell r="AI1655" t="str">
            <v>package</v>
          </cell>
        </row>
        <row r="1656">
          <cell r="A1656" t="str">
            <v>IKN401689</v>
          </cell>
          <cell r="B1656">
            <v>1612</v>
          </cell>
          <cell r="C1656" t="str">
            <v>Institut Kanser Negara</v>
          </cell>
          <cell r="D1656" t="str">
            <v>KKM/IKN/H/13/3212</v>
          </cell>
          <cell r="E1656" t="str">
            <v>15-605</v>
          </cell>
          <cell r="F1656" t="str">
            <v>Testers</v>
          </cell>
          <cell r="G1656" t="str">
            <v>RT</v>
          </cell>
          <cell r="H1656" t="str">
            <v>RADIATION TREATMENT UNIT</v>
          </cell>
          <cell r="I1656" t="str">
            <v>01RT213</v>
          </cell>
          <cell r="J1656" t="str">
            <v>EQUIPMENT ROOM1</v>
          </cell>
          <cell r="K1656" t="str">
            <v>BMED</v>
          </cell>
          <cell r="L1656" t="str">
            <v>Normal</v>
          </cell>
          <cell r="M1656" t="str">
            <v>USA</v>
          </cell>
          <cell r="N1656" t="str">
            <v>SUPERMAX</v>
          </cell>
          <cell r="O1656" t="str">
            <v>SUPERMAX</v>
          </cell>
          <cell r="P1656" t="str">
            <v>P123102</v>
          </cell>
          <cell r="Q1656" t="str">
            <v>Not Applicable</v>
          </cell>
          <cell r="R1656" t="str">
            <v>STANDARD IMAGING</v>
          </cell>
          <cell r="S1656" t="str">
            <v>DELTA ADVANTECH (M) SDN. BHD.</v>
          </cell>
          <cell r="T1656" t="str">
            <v>Functioning</v>
          </cell>
          <cell r="U1656" t="str">
            <v>Asset</v>
          </cell>
          <cell r="V1656">
            <v>48000</v>
          </cell>
          <cell r="W1656" t="str">
            <v>KEW</v>
          </cell>
          <cell r="X1656" t="str">
            <v>01/09/2010</v>
          </cell>
          <cell r="Y1656" t="str">
            <v>KEW</v>
          </cell>
          <cell r="Z1656" t="str">
            <v>16/08/2013</v>
          </cell>
          <cell r="AA1656" t="str">
            <v>15/08/2015</v>
          </cell>
          <cell r="AB1656" t="str">
            <v>No</v>
          </cell>
          <cell r="AC1656" t="str">
            <v>16/08/2013</v>
          </cell>
          <cell r="AD1656" t="str">
            <v>Good</v>
          </cell>
          <cell r="AE1656" t="str">
            <v>V10 - Asset in initial fee submission(new/replacement hosp)</v>
          </cell>
          <cell r="AF1656">
            <v>43109</v>
          </cell>
          <cell r="AG1656">
            <v>9.17</v>
          </cell>
          <cell r="AH1656" t="str">
            <v>PPM</v>
          </cell>
          <cell r="AI1656" t="str">
            <v>package</v>
          </cell>
          <cell r="AJ1656" t="str">
            <v>Strands Package</v>
          </cell>
          <cell r="AK1656" t="str">
            <v>KEWPA WITH IKN401215. Package Code XL0110.</v>
          </cell>
        </row>
        <row r="1657">
          <cell r="A1657" t="str">
            <v>IKN401690</v>
          </cell>
          <cell r="B1657">
            <v>1613</v>
          </cell>
          <cell r="C1657" t="str">
            <v>Institut Kanser Negara</v>
          </cell>
          <cell r="D1657" t="str">
            <v>KKM/IKN/H/13/4952</v>
          </cell>
          <cell r="E1657" t="str">
            <v>15-605</v>
          </cell>
          <cell r="F1657" t="str">
            <v>Testers</v>
          </cell>
          <cell r="G1657" t="str">
            <v>RT</v>
          </cell>
          <cell r="H1657" t="str">
            <v>RADIATION TREATMENT UNIT</v>
          </cell>
          <cell r="I1657" t="str">
            <v>01RT213</v>
          </cell>
          <cell r="J1657" t="str">
            <v>EQUIPMENT ROOM1</v>
          </cell>
          <cell r="K1657" t="str">
            <v>BMED</v>
          </cell>
          <cell r="L1657" t="str">
            <v>Normal</v>
          </cell>
          <cell r="M1657" t="str">
            <v>USA</v>
          </cell>
          <cell r="N1657" t="str">
            <v>SUPERMAX</v>
          </cell>
          <cell r="O1657" t="str">
            <v>SUPERMAX</v>
          </cell>
          <cell r="P1657" t="str">
            <v>P123101</v>
          </cell>
          <cell r="Q1657" t="str">
            <v>Not Applicable</v>
          </cell>
          <cell r="R1657" t="str">
            <v>STANDARD IMAGING</v>
          </cell>
          <cell r="S1657" t="str">
            <v>DELTA ADVANTECH (M) SDN. BHD.</v>
          </cell>
          <cell r="T1657" t="str">
            <v>Functioning</v>
          </cell>
          <cell r="U1657" t="str">
            <v>Asset</v>
          </cell>
          <cell r="V1657">
            <v>48000</v>
          </cell>
          <cell r="W1657" t="str">
            <v>KEW</v>
          </cell>
          <cell r="X1657" t="str">
            <v>01/09/2010</v>
          </cell>
          <cell r="Y1657" t="str">
            <v>KEW</v>
          </cell>
          <cell r="Z1657" t="str">
            <v>16/08/2013</v>
          </cell>
          <cell r="AA1657" t="str">
            <v>15/08/2015</v>
          </cell>
          <cell r="AB1657" t="str">
            <v>No</v>
          </cell>
          <cell r="AC1657" t="str">
            <v>16/08/2013</v>
          </cell>
          <cell r="AD1657" t="str">
            <v>Good</v>
          </cell>
          <cell r="AE1657" t="str">
            <v>V3 - Added Installed Facilities (New)</v>
          </cell>
          <cell r="AF1657">
            <v>43109</v>
          </cell>
          <cell r="AG1657">
            <v>9.17</v>
          </cell>
          <cell r="AH1657" t="str">
            <v>PPM</v>
          </cell>
          <cell r="AI1657" t="str">
            <v>Strands</v>
          </cell>
          <cell r="AJ1657" t="str">
            <v>Strands PW</v>
          </cell>
          <cell r="AK1657" t="str">
            <v>SNF received. 1st batch of V3 asset (December 2020)</v>
          </cell>
        </row>
        <row r="1658">
          <cell r="A1658" t="str">
            <v>IKN401691</v>
          </cell>
          <cell r="B1658">
            <v>1614</v>
          </cell>
          <cell r="C1658" t="str">
            <v>Institut Kanser Negara</v>
          </cell>
          <cell r="D1658" t="str">
            <v>KKM/IKN/H/13/2865</v>
          </cell>
          <cell r="E1658" t="str">
            <v>13-461</v>
          </cell>
          <cell r="F1658" t="str">
            <v>Scales, Patient, Floor</v>
          </cell>
          <cell r="G1658" t="str">
            <v>HP</v>
          </cell>
          <cell r="H1658" t="str">
            <v>HEALTH PROMO &amp; CANCER UNIT</v>
          </cell>
          <cell r="I1658" t="str">
            <v>04HP103</v>
          </cell>
          <cell r="J1658" t="str">
            <v>COUNSELLING</v>
          </cell>
          <cell r="K1658" t="str">
            <v>BMED</v>
          </cell>
          <cell r="L1658" t="str">
            <v>Normal</v>
          </cell>
          <cell r="M1658" t="str">
            <v>Japan</v>
          </cell>
          <cell r="N1658" t="str">
            <v>Seca</v>
          </cell>
          <cell r="O1658" t="str">
            <v>Seca 769/220</v>
          </cell>
          <cell r="P1658" t="str">
            <v>5769177136669</v>
          </cell>
          <cell r="Q1658" t="str">
            <v>Not Applicable</v>
          </cell>
          <cell r="R1658" t="str">
            <v>Seca Ag</v>
          </cell>
          <cell r="S1658" t="str">
            <v>JOAT RESOURCES SDN BHD</v>
          </cell>
          <cell r="T1658" t="str">
            <v>Functioning</v>
          </cell>
          <cell r="U1658" t="str">
            <v>Asset</v>
          </cell>
          <cell r="V1658">
            <v>3300</v>
          </cell>
          <cell r="W1658" t="str">
            <v>KEW</v>
          </cell>
          <cell r="X1658" t="str">
            <v>05/12/2013</v>
          </cell>
          <cell r="Y1658" t="str">
            <v>KEW</v>
          </cell>
          <cell r="Z1658" t="str">
            <v>09/06/2014</v>
          </cell>
          <cell r="AA1658" t="str">
            <v>09/06/2015</v>
          </cell>
          <cell r="AB1658" t="str">
            <v>No</v>
          </cell>
          <cell r="AC1658" t="str">
            <v>09/06/2014</v>
          </cell>
          <cell r="AD1658" t="str">
            <v>Good</v>
          </cell>
          <cell r="AE1658" t="str">
            <v>V3 - Added Installed Facilities (New)</v>
          </cell>
          <cell r="AF1658">
            <v>43447</v>
          </cell>
          <cell r="AG1658">
            <v>5.92</v>
          </cell>
          <cell r="AH1658" t="str">
            <v>PPM</v>
          </cell>
          <cell r="AI1658" t="str">
            <v>Strands</v>
          </cell>
          <cell r="AJ1658" t="str">
            <v>Strands PW</v>
          </cell>
          <cell r="AK1658" t="str">
            <v>SNF received. 1st batch of V3 asset (December 2020). In contract, IKN401470, Location: HP.</v>
          </cell>
        </row>
        <row r="1659">
          <cell r="A1659" t="str">
            <v>IKN401692</v>
          </cell>
          <cell r="B1659">
            <v>1615</v>
          </cell>
          <cell r="C1659" t="str">
            <v>Institut Kanser Negara</v>
          </cell>
          <cell r="D1659" t="str">
            <v>KKM/IKN/H/13/4470 - 07</v>
          </cell>
          <cell r="E1659" t="str">
            <v>15-605</v>
          </cell>
          <cell r="F1659" t="str">
            <v>Testers</v>
          </cell>
          <cell r="G1659" t="str">
            <v>RT</v>
          </cell>
          <cell r="H1659" t="str">
            <v>RADIATION TREATMENT UNIT</v>
          </cell>
          <cell r="I1659" t="str">
            <v>01RT213</v>
          </cell>
          <cell r="J1659" t="str">
            <v>EQUIPMENT ROOM1</v>
          </cell>
          <cell r="K1659" t="str">
            <v>BMED</v>
          </cell>
          <cell r="L1659" t="str">
            <v>Normal</v>
          </cell>
          <cell r="M1659" t="str">
            <v>Germany</v>
          </cell>
          <cell r="N1659" t="str">
            <v>PTW</v>
          </cell>
          <cell r="O1659" t="str">
            <v>OCTAVIUS DETECTOR 729</v>
          </cell>
          <cell r="P1659" t="str">
            <v>000453</v>
          </cell>
          <cell r="Q1659" t="str">
            <v>Not Applicable</v>
          </cell>
          <cell r="R1659" t="str">
            <v>PTW</v>
          </cell>
          <cell r="S1659" t="str">
            <v>ABEX MEDICAL SYSTEM SDN BHD</v>
          </cell>
          <cell r="T1659" t="str">
            <v>Functioning</v>
          </cell>
          <cell r="U1659" t="str">
            <v>Asset</v>
          </cell>
          <cell r="V1659">
            <v>30000</v>
          </cell>
          <cell r="W1659" t="str">
            <v>KEW</v>
          </cell>
          <cell r="X1659" t="str">
            <v>01/09/2010</v>
          </cell>
          <cell r="Y1659" t="str">
            <v>KEW</v>
          </cell>
          <cell r="Z1659" t="str">
            <v>16/08/2013</v>
          </cell>
          <cell r="AA1659" t="str">
            <v>15/08/2015</v>
          </cell>
          <cell r="AB1659" t="str">
            <v>No</v>
          </cell>
          <cell r="AC1659" t="str">
            <v>16/08/2013</v>
          </cell>
          <cell r="AD1659" t="str">
            <v>Good</v>
          </cell>
          <cell r="AE1659" t="str">
            <v>V10 - Asset in initial fee submission(new/replacement hosp)</v>
          </cell>
          <cell r="AF1659">
            <v>43195</v>
          </cell>
          <cell r="AG1659">
            <v>9.17</v>
          </cell>
          <cell r="AH1659" t="str">
            <v>PPM</v>
          </cell>
          <cell r="AI1659" t="str">
            <v>package</v>
          </cell>
          <cell r="AJ1659" t="str">
            <v>Strands Package</v>
          </cell>
          <cell r="AK1659" t="str">
            <v>Package XM0002. [31/5/2024, SHARIFAH]: UPDATE BRAND &amp; MODEL</v>
          </cell>
        </row>
        <row r="1660">
          <cell r="A1660" t="str">
            <v>IKN401693</v>
          </cell>
          <cell r="B1660">
            <v>1616</v>
          </cell>
          <cell r="C1660" t="str">
            <v>Institut Kanser Negara</v>
          </cell>
          <cell r="D1660" t="str">
            <v>KKM/IKN/H/13/4471 - 05</v>
          </cell>
          <cell r="E1660" t="str">
            <v>15-605</v>
          </cell>
          <cell r="F1660" t="str">
            <v>Testers</v>
          </cell>
          <cell r="G1660" t="str">
            <v>RT</v>
          </cell>
          <cell r="H1660" t="str">
            <v>RADIATION TREATMENT UNIT</v>
          </cell>
          <cell r="I1660" t="str">
            <v>01RT213</v>
          </cell>
          <cell r="J1660" t="str">
            <v>EQUIPMENT ROOM1</v>
          </cell>
          <cell r="K1660" t="str">
            <v>BMED</v>
          </cell>
          <cell r="L1660" t="str">
            <v>Normal</v>
          </cell>
          <cell r="M1660" t="str">
            <v>Germany</v>
          </cell>
          <cell r="N1660" t="str">
            <v>PTW</v>
          </cell>
          <cell r="O1660" t="str">
            <v>OCTAVIUS DETECTOR 729</v>
          </cell>
          <cell r="P1660" t="str">
            <v>000454</v>
          </cell>
          <cell r="Q1660" t="str">
            <v>Not Applicable</v>
          </cell>
          <cell r="R1660" t="str">
            <v>PTW</v>
          </cell>
          <cell r="S1660" t="str">
            <v>ABEX MEDICAL SYSTEM SDN BHD</v>
          </cell>
          <cell r="T1660" t="str">
            <v>Functioning</v>
          </cell>
          <cell r="U1660" t="str">
            <v>Asset</v>
          </cell>
          <cell r="V1660">
            <v>30000</v>
          </cell>
          <cell r="W1660" t="str">
            <v>KEW</v>
          </cell>
          <cell r="X1660" t="str">
            <v>01/09/2010</v>
          </cell>
          <cell r="Y1660" t="str">
            <v>KEW</v>
          </cell>
          <cell r="Z1660" t="str">
            <v>16/08/2013</v>
          </cell>
          <cell r="AA1660" t="str">
            <v>15/08/2015</v>
          </cell>
          <cell r="AB1660" t="str">
            <v>No</v>
          </cell>
          <cell r="AC1660" t="str">
            <v>31/08/2013</v>
          </cell>
          <cell r="AD1660" t="str">
            <v>Good</v>
          </cell>
          <cell r="AE1660" t="str">
            <v>V10 - Asset in initial fee submission(new/replacement hosp)</v>
          </cell>
          <cell r="AF1660">
            <v>43195</v>
          </cell>
          <cell r="AG1660">
            <v>9.17</v>
          </cell>
          <cell r="AH1660" t="str">
            <v>PPM</v>
          </cell>
          <cell r="AI1660" t="str">
            <v>package</v>
          </cell>
          <cell r="AJ1660" t="str">
            <v>Strands Package</v>
          </cell>
          <cell r="AK1660" t="str">
            <v>Package XM0002. [31/5/2024, SHARIFAH]: UPDATE BRAND &amp; MODEL</v>
          </cell>
        </row>
        <row r="1661">
          <cell r="A1661" t="str">
            <v>IKN401694</v>
          </cell>
          <cell r="B1661">
            <v>1617</v>
          </cell>
          <cell r="C1661" t="str">
            <v>Institut Kanser Negara</v>
          </cell>
          <cell r="D1661" t="str">
            <v>KKM/IKN/H/13/5296</v>
          </cell>
          <cell r="E1661" t="str">
            <v>16-340</v>
          </cell>
          <cell r="F1661" t="str">
            <v>Cast Cutters, Electric</v>
          </cell>
          <cell r="G1661" t="str">
            <v>RT</v>
          </cell>
          <cell r="H1661" t="str">
            <v>RADIATION TREATMENT UNIT</v>
          </cell>
          <cell r="I1661" t="str">
            <v>01RT193</v>
          </cell>
          <cell r="J1661" t="str">
            <v>MOULD ROOM 1</v>
          </cell>
          <cell r="K1661" t="str">
            <v>BMED</v>
          </cell>
          <cell r="L1661" t="str">
            <v>Normal</v>
          </cell>
          <cell r="M1661" t="str">
            <v>GERMANY</v>
          </cell>
          <cell r="N1661" t="str">
            <v>HEK-A2D</v>
          </cell>
          <cell r="O1661" t="str">
            <v>HEKA2D</v>
          </cell>
          <cell r="P1661" t="str">
            <v>200027</v>
          </cell>
          <cell r="Q1661" t="str">
            <v>Not Applicable</v>
          </cell>
          <cell r="R1661" t="str">
            <v>HEKMEDIKAL</v>
          </cell>
          <cell r="S1661" t="str">
            <v>DELTA ADVANTECH (M) SDN. BHD.</v>
          </cell>
          <cell r="T1661" t="str">
            <v>Functioning</v>
          </cell>
          <cell r="U1661" t="str">
            <v>Asset</v>
          </cell>
          <cell r="V1661">
            <v>435480</v>
          </cell>
          <cell r="W1661" t="str">
            <v>KEW</v>
          </cell>
          <cell r="X1661" t="str">
            <v>01/09/2010</v>
          </cell>
          <cell r="Y1661" t="str">
            <v>KEW</v>
          </cell>
          <cell r="Z1661" t="str">
            <v>16/08/2013</v>
          </cell>
          <cell r="AA1661" t="str">
            <v>15/08/2015</v>
          </cell>
          <cell r="AB1661" t="str">
            <v>No</v>
          </cell>
          <cell r="AC1661" t="str">
            <v>16/08/2013</v>
          </cell>
          <cell r="AD1661" t="str">
            <v>Good</v>
          </cell>
          <cell r="AE1661" t="str">
            <v>V10 - Asset in initial fee submission(new/replacement hosp)</v>
          </cell>
          <cell r="AF1661">
            <v>43284</v>
          </cell>
          <cell r="AG1661">
            <v>9.17</v>
          </cell>
          <cell r="AH1661" t="str">
            <v>PPM</v>
          </cell>
          <cell r="AI1661" t="str">
            <v>Strands</v>
          </cell>
          <cell r="AJ1661" t="str">
            <v>Strands PW</v>
          </cell>
        </row>
        <row r="1662">
          <cell r="A1662" t="str">
            <v>IKN401695</v>
          </cell>
          <cell r="B1662">
            <v>1618</v>
          </cell>
          <cell r="C1662" t="str">
            <v>Institut Kanser Negara</v>
          </cell>
          <cell r="D1662" t="str">
            <v>N/A</v>
          </cell>
          <cell r="E1662" t="str">
            <v>88-021</v>
          </cell>
          <cell r="F1662" t="str">
            <v>Radiochemistry, Dispenser, Radiopharmaceuticals</v>
          </cell>
          <cell r="G1662" t="str">
            <v>NM</v>
          </cell>
          <cell r="H1662" t="str">
            <v>NUCLEAR MED (DIAGNOSTIC)</v>
          </cell>
          <cell r="I1662" t="str">
            <v>03NM133</v>
          </cell>
          <cell r="J1662" t="str">
            <v>RADIODINE DISPENSING (-VE)</v>
          </cell>
          <cell r="K1662" t="str">
            <v>BMED</v>
          </cell>
          <cell r="L1662" t="str">
            <v>Normal</v>
          </cell>
          <cell r="M1662" t="str">
            <v>UK</v>
          </cell>
          <cell r="N1662" t="str">
            <v>Amercare</v>
          </cell>
          <cell r="O1662" t="str">
            <v>Amercare ADD Mk 3</v>
          </cell>
          <cell r="P1662" t="str">
            <v>A1038</v>
          </cell>
          <cell r="Q1662" t="str">
            <v>Not Applicable</v>
          </cell>
          <cell r="R1662" t="str">
            <v>Amercare Ltd</v>
          </cell>
          <cell r="S1662" t="str">
            <v>CLEANZONES (M) SDN BHD</v>
          </cell>
          <cell r="T1662" t="str">
            <v>Functioning</v>
          </cell>
          <cell r="U1662" t="str">
            <v>Asset</v>
          </cell>
          <cell r="V1662">
            <v>368850</v>
          </cell>
          <cell r="W1662" t="str">
            <v>KEW</v>
          </cell>
          <cell r="X1662" t="str">
            <v>01/09/2010</v>
          </cell>
          <cell r="Y1662" t="str">
            <v>KEW</v>
          </cell>
          <cell r="Z1662" t="str">
            <v>16/08/2013</v>
          </cell>
          <cell r="AA1662" t="str">
            <v>15/08/2015</v>
          </cell>
          <cell r="AB1662" t="str">
            <v>No</v>
          </cell>
          <cell r="AC1662" t="str">
            <v>16/08/2013</v>
          </cell>
          <cell r="AD1662" t="str">
            <v>Good</v>
          </cell>
          <cell r="AE1662" t="str">
            <v>V10 - Asset in initial fee submission(new/replacement hosp)</v>
          </cell>
          <cell r="AF1662">
            <v>43214</v>
          </cell>
          <cell r="AG1662">
            <v>9.17</v>
          </cell>
          <cell r="AH1662" t="str">
            <v>PPM</v>
          </cell>
          <cell r="AI1662" t="str">
            <v>Strands</v>
          </cell>
          <cell r="AJ1662" t="str">
            <v>Strands Package</v>
          </cell>
          <cell r="AK1662" t="str">
            <v>Package Code XL0008A</v>
          </cell>
        </row>
        <row r="1663">
          <cell r="A1663" t="str">
            <v>IKN401698</v>
          </cell>
          <cell r="B1663">
            <v>1620</v>
          </cell>
          <cell r="C1663" t="str">
            <v>Institut Kanser Negara</v>
          </cell>
          <cell r="D1663" t="str">
            <v>KKM/IKN/H/18/21</v>
          </cell>
          <cell r="E1663" t="str">
            <v>15-577</v>
          </cell>
          <cell r="F1663" t="str">
            <v>Dynamometers</v>
          </cell>
          <cell r="G1663" t="str">
            <v>DU</v>
          </cell>
          <cell r="H1663" t="str">
            <v>DIETICIAN UNIT</v>
          </cell>
          <cell r="I1663" t="str">
            <v>03DU102</v>
          </cell>
          <cell r="J1663" t="str">
            <v>RECEPTION</v>
          </cell>
          <cell r="K1663" t="str">
            <v>BMED</v>
          </cell>
          <cell r="L1663" t="str">
            <v>Normal</v>
          </cell>
          <cell r="M1663" t="str">
            <v>CHINA</v>
          </cell>
          <cell r="N1663" t="str">
            <v>JAMAR PLUS</v>
          </cell>
          <cell r="O1663">
            <v>563213</v>
          </cell>
          <cell r="P1663">
            <v>2016010972</v>
          </cell>
          <cell r="Q1663" t="str">
            <v>Not Applicable</v>
          </cell>
          <cell r="R1663" t="str">
            <v>PATERSON MEDICAL</v>
          </cell>
          <cell r="S1663" t="str">
            <v>SCIENFIELD EXPERTISE PLT</v>
          </cell>
          <cell r="T1663" t="str">
            <v>Functioning</v>
          </cell>
          <cell r="U1663" t="str">
            <v>Asset</v>
          </cell>
          <cell r="V1663">
            <v>2298</v>
          </cell>
          <cell r="W1663" t="str">
            <v>KEW</v>
          </cell>
          <cell r="X1663" t="str">
            <v>23/10/2018</v>
          </cell>
          <cell r="Y1663" t="str">
            <v>KEW</v>
          </cell>
          <cell r="Z1663" t="str">
            <v>28/02/2019</v>
          </cell>
          <cell r="AA1663" t="str">
            <v>27/02/2020</v>
          </cell>
          <cell r="AB1663" t="str">
            <v>No</v>
          </cell>
          <cell r="AC1663" t="str">
            <v>28/02/2019</v>
          </cell>
          <cell r="AD1663" t="str">
            <v>Good</v>
          </cell>
          <cell r="AE1663" t="str">
            <v>V3 - Added Installed Facilities (New)</v>
          </cell>
          <cell r="AF1663">
            <v>43658</v>
          </cell>
          <cell r="AG1663">
            <v>1.08</v>
          </cell>
          <cell r="AH1663" t="str">
            <v>PPM</v>
          </cell>
          <cell r="AI1663" t="str">
            <v>Strands</v>
          </cell>
          <cell r="AJ1663" t="str">
            <v>Strands PW</v>
          </cell>
          <cell r="AK1663" t="str">
            <v>SNF received. 1st batch of V3 asset (December 2020)</v>
          </cell>
        </row>
        <row r="1664">
          <cell r="A1664" t="str">
            <v>IKN401700</v>
          </cell>
          <cell r="B1664">
            <v>1621</v>
          </cell>
          <cell r="C1664" t="str">
            <v>Institut Kanser Negara</v>
          </cell>
          <cell r="D1664" t="str">
            <v>KKM/IKN/H/18/5</v>
          </cell>
          <cell r="E1664" t="str">
            <v>13-215</v>
          </cell>
          <cell r="F1664" t="str">
            <v>Infusion Pumps, General-Purpose</v>
          </cell>
          <cell r="G1664" t="str">
            <v>WE</v>
          </cell>
          <cell r="H1664" t="str">
            <v>RT/ONCO WARD 1 (F)</v>
          </cell>
          <cell r="I1664" t="str">
            <v>07WE113</v>
          </cell>
          <cell r="J1664" t="str">
            <v>EQUIPMENT ROOM</v>
          </cell>
          <cell r="K1664" t="str">
            <v>BMED</v>
          </cell>
          <cell r="L1664" t="str">
            <v>Critical</v>
          </cell>
          <cell r="M1664" t="str">
            <v>Germany</v>
          </cell>
          <cell r="N1664" t="str">
            <v>Infusomat</v>
          </cell>
          <cell r="O1664" t="str">
            <v>Infusomat Space</v>
          </cell>
          <cell r="P1664" t="str">
            <v>512835</v>
          </cell>
          <cell r="Q1664" t="str">
            <v>Not Applicable</v>
          </cell>
          <cell r="R1664" t="str">
            <v>B Braun Melsungen AG</v>
          </cell>
          <cell r="S1664" t="str">
            <v>B Braun Medical Supplies Sdn. Bhd.</v>
          </cell>
          <cell r="T1664" t="str">
            <v>Functioning</v>
          </cell>
          <cell r="U1664" t="str">
            <v>Asset</v>
          </cell>
          <cell r="V1664">
            <v>5800</v>
          </cell>
          <cell r="W1664" t="str">
            <v>KEW</v>
          </cell>
          <cell r="X1664" t="str">
            <v>31/07/2018</v>
          </cell>
          <cell r="Y1664" t="str">
            <v>KEW</v>
          </cell>
          <cell r="Z1664" t="str">
            <v>05/09/2018</v>
          </cell>
          <cell r="AA1664" t="str">
            <v>04/09/2020</v>
          </cell>
          <cell r="AB1664" t="str">
            <v>No</v>
          </cell>
          <cell r="AC1664" t="str">
            <v>05/09/2018</v>
          </cell>
          <cell r="AD1664" t="str">
            <v>Good</v>
          </cell>
          <cell r="AE1664" t="str">
            <v>V3 - Added Installed Facilities (New)</v>
          </cell>
          <cell r="AF1664">
            <v>43385</v>
          </cell>
          <cell r="AG1664">
            <v>1.33</v>
          </cell>
          <cell r="AH1664" t="str">
            <v>PPM</v>
          </cell>
          <cell r="AI1664" t="str">
            <v>Strands</v>
          </cell>
          <cell r="AJ1664" t="str">
            <v>Strands PW</v>
          </cell>
        </row>
        <row r="1665">
          <cell r="A1665" t="str">
            <v>IKN401701</v>
          </cell>
          <cell r="B1665">
            <v>1622</v>
          </cell>
          <cell r="C1665" t="str">
            <v>Institut Kanser Negara</v>
          </cell>
          <cell r="D1665" t="str">
            <v>KKM/IKN/H/18/1</v>
          </cell>
          <cell r="E1665" t="str">
            <v>13-215</v>
          </cell>
          <cell r="F1665" t="str">
            <v>Infusion Pumps, General-Purpose</v>
          </cell>
          <cell r="G1665" t="str">
            <v>WH</v>
          </cell>
          <cell r="H1665" t="str">
            <v>RT/ONCO WARD 2 (M)</v>
          </cell>
          <cell r="I1665" t="str">
            <v>08WH121</v>
          </cell>
          <cell r="J1665" t="str">
            <v>EQUIPMENT ROOM</v>
          </cell>
          <cell r="K1665" t="str">
            <v>BMED</v>
          </cell>
          <cell r="L1665" t="str">
            <v>Critical</v>
          </cell>
          <cell r="M1665" t="str">
            <v>Germany</v>
          </cell>
          <cell r="N1665" t="str">
            <v>Infusomat</v>
          </cell>
          <cell r="O1665" t="str">
            <v>Infusomat Space</v>
          </cell>
          <cell r="P1665" t="str">
            <v>512807</v>
          </cell>
          <cell r="Q1665" t="str">
            <v>Not Applicable</v>
          </cell>
          <cell r="R1665" t="str">
            <v>B Braun Melsungen AG</v>
          </cell>
          <cell r="S1665" t="str">
            <v>B Braun Medical Supplies Sdn. Bhd.</v>
          </cell>
          <cell r="T1665" t="str">
            <v>Functioning</v>
          </cell>
          <cell r="U1665" t="str">
            <v>Asset</v>
          </cell>
          <cell r="V1665">
            <v>5800</v>
          </cell>
          <cell r="W1665" t="str">
            <v>KEW</v>
          </cell>
          <cell r="X1665" t="str">
            <v>31/07/2018</v>
          </cell>
          <cell r="Y1665" t="str">
            <v>KEW</v>
          </cell>
          <cell r="Z1665" t="str">
            <v>05/09/2018</v>
          </cell>
          <cell r="AA1665" t="str">
            <v>04/09/2020</v>
          </cell>
          <cell r="AB1665" t="str">
            <v>No</v>
          </cell>
          <cell r="AC1665" t="str">
            <v>05/09/2018</v>
          </cell>
          <cell r="AD1665" t="str">
            <v>Good</v>
          </cell>
          <cell r="AE1665" t="str">
            <v>V3 - Added Installed Facilities (New)</v>
          </cell>
          <cell r="AF1665">
            <v>43385</v>
          </cell>
          <cell r="AG1665">
            <v>1.33</v>
          </cell>
          <cell r="AH1665" t="str">
            <v>PPM</v>
          </cell>
          <cell r="AI1665" t="str">
            <v>Strands</v>
          </cell>
          <cell r="AJ1665" t="str">
            <v>Strands PW</v>
          </cell>
        </row>
        <row r="1666">
          <cell r="A1666" t="str">
            <v>IKN401702</v>
          </cell>
          <cell r="B1666">
            <v>1623</v>
          </cell>
          <cell r="C1666" t="str">
            <v>Institut Kanser Negara</v>
          </cell>
          <cell r="D1666" t="str">
            <v>KKM/IKN/H/18/2</v>
          </cell>
          <cell r="E1666" t="str">
            <v>13-215</v>
          </cell>
          <cell r="F1666" t="str">
            <v>Infusion Pumps, General-Purpose</v>
          </cell>
          <cell r="G1666" t="str">
            <v>WD</v>
          </cell>
          <cell r="H1666" t="str">
            <v>RT/ONCO PAED/ADOLESCENT WARD</v>
          </cell>
          <cell r="I1666" t="str">
            <v>06WD153</v>
          </cell>
          <cell r="J1666" t="str">
            <v>EQP.ROOM</v>
          </cell>
          <cell r="K1666" t="str">
            <v>BMED</v>
          </cell>
          <cell r="L1666" t="str">
            <v>Critical</v>
          </cell>
          <cell r="M1666" t="str">
            <v>Germany</v>
          </cell>
          <cell r="N1666" t="str">
            <v>Infusomat</v>
          </cell>
          <cell r="O1666" t="str">
            <v>Infusomat Space</v>
          </cell>
          <cell r="P1666" t="str">
            <v>512814</v>
          </cell>
          <cell r="Q1666" t="str">
            <v>Not Applicable</v>
          </cell>
          <cell r="R1666" t="str">
            <v>B Braun Melsungen AG</v>
          </cell>
          <cell r="S1666" t="str">
            <v>B Braun Medical Supplies Sdn. Bhd.</v>
          </cell>
          <cell r="T1666" t="str">
            <v>Functioning</v>
          </cell>
          <cell r="U1666" t="str">
            <v>Asset</v>
          </cell>
          <cell r="V1666">
            <v>5800</v>
          </cell>
          <cell r="W1666" t="str">
            <v>KEW</v>
          </cell>
          <cell r="X1666" t="str">
            <v>31/07/2018</v>
          </cell>
          <cell r="Y1666" t="str">
            <v>KEW</v>
          </cell>
          <cell r="Z1666" t="str">
            <v>05/09/2018</v>
          </cell>
          <cell r="AA1666" t="str">
            <v>04/09/2020</v>
          </cell>
          <cell r="AB1666" t="str">
            <v>No</v>
          </cell>
          <cell r="AC1666" t="str">
            <v>05/09/2018</v>
          </cell>
          <cell r="AD1666" t="str">
            <v>Good</v>
          </cell>
          <cell r="AE1666" t="str">
            <v>V3 - Added Installed Facilities (New)</v>
          </cell>
          <cell r="AF1666">
            <v>43385</v>
          </cell>
          <cell r="AG1666">
            <v>1.33</v>
          </cell>
          <cell r="AH1666" t="str">
            <v>PPM</v>
          </cell>
          <cell r="AI1666" t="str">
            <v>Strands</v>
          </cell>
          <cell r="AJ1666" t="str">
            <v>Strands PW</v>
          </cell>
        </row>
        <row r="1667">
          <cell r="A1667" t="str">
            <v>IKN401703</v>
          </cell>
          <cell r="B1667">
            <v>1624</v>
          </cell>
          <cell r="C1667" t="str">
            <v>Institut Kanser Negara</v>
          </cell>
          <cell r="D1667" t="str">
            <v>KKM/IKN/H/18/3</v>
          </cell>
          <cell r="E1667" t="str">
            <v>13-215</v>
          </cell>
          <cell r="F1667" t="str">
            <v>Infusion Pumps, General-Purpose</v>
          </cell>
          <cell r="G1667" t="str">
            <v>WG</v>
          </cell>
          <cell r="H1667" t="str">
            <v>RT/ONCO WARD 1 (M)</v>
          </cell>
          <cell r="I1667" t="str">
            <v>08WG113</v>
          </cell>
          <cell r="J1667" t="str">
            <v>EQUIPMENT ROOM</v>
          </cell>
          <cell r="K1667" t="str">
            <v>BMED</v>
          </cell>
          <cell r="L1667" t="str">
            <v>Critical</v>
          </cell>
          <cell r="M1667" t="str">
            <v>Germany</v>
          </cell>
          <cell r="N1667" t="str">
            <v>Infusomat</v>
          </cell>
          <cell r="O1667" t="str">
            <v>Infusomat Space</v>
          </cell>
          <cell r="P1667" t="str">
            <v>512819</v>
          </cell>
          <cell r="Q1667" t="str">
            <v>Not Applicable</v>
          </cell>
          <cell r="R1667" t="str">
            <v>B Braun Melsungen AG</v>
          </cell>
          <cell r="S1667" t="str">
            <v>B Braun Medical Supplies Sdn. Bhd.</v>
          </cell>
          <cell r="T1667" t="str">
            <v>Functioning</v>
          </cell>
          <cell r="U1667" t="str">
            <v>Asset</v>
          </cell>
          <cell r="V1667">
            <v>5800</v>
          </cell>
          <cell r="W1667" t="str">
            <v>KEW</v>
          </cell>
          <cell r="X1667" t="str">
            <v>31/07/2018</v>
          </cell>
          <cell r="Y1667" t="str">
            <v>KEW</v>
          </cell>
          <cell r="Z1667" t="str">
            <v>05/09/2018</v>
          </cell>
          <cell r="AA1667" t="str">
            <v>04/09/2020</v>
          </cell>
          <cell r="AB1667" t="str">
            <v>No</v>
          </cell>
          <cell r="AC1667" t="str">
            <v>05/09/2018</v>
          </cell>
          <cell r="AD1667" t="str">
            <v>Good</v>
          </cell>
          <cell r="AE1667" t="str">
            <v>V3 - Added Installed Facilities (New)</v>
          </cell>
          <cell r="AF1667">
            <v>43385</v>
          </cell>
          <cell r="AG1667">
            <v>1.33</v>
          </cell>
          <cell r="AH1667" t="str">
            <v>PPM</v>
          </cell>
          <cell r="AI1667" t="str">
            <v>Strands</v>
          </cell>
          <cell r="AJ1667" t="str">
            <v>Strands PW</v>
          </cell>
        </row>
        <row r="1668">
          <cell r="A1668" t="str">
            <v>IKN401704</v>
          </cell>
          <cell r="B1668">
            <v>1625</v>
          </cell>
          <cell r="C1668" t="str">
            <v>Institut Kanser Negara</v>
          </cell>
          <cell r="D1668" t="str">
            <v>KKM/IKN/H/18/4</v>
          </cell>
          <cell r="E1668" t="str">
            <v>13-215</v>
          </cell>
          <cell r="F1668" t="str">
            <v>Infusion Pumps, General-Purpose</v>
          </cell>
          <cell r="G1668" t="str">
            <v>WF</v>
          </cell>
          <cell r="H1668" t="str">
            <v>RT/ONCO WARD 2 (F)</v>
          </cell>
          <cell r="I1668" t="str">
            <v>07WF121</v>
          </cell>
          <cell r="J1668" t="str">
            <v>EQUIPMENT ROOM</v>
          </cell>
          <cell r="K1668" t="str">
            <v>BMED</v>
          </cell>
          <cell r="L1668" t="str">
            <v>Critical</v>
          </cell>
          <cell r="M1668" t="str">
            <v>Germany</v>
          </cell>
          <cell r="N1668" t="str">
            <v>Infusomat</v>
          </cell>
          <cell r="O1668" t="str">
            <v>Infusomat Space</v>
          </cell>
          <cell r="P1668" t="str">
            <v>512833</v>
          </cell>
          <cell r="Q1668" t="str">
            <v>Not Applicable</v>
          </cell>
          <cell r="R1668" t="str">
            <v>B Braun Melsungen AG</v>
          </cell>
          <cell r="S1668" t="str">
            <v>B Braun Medical Supplies Sdn. Bhd.</v>
          </cell>
          <cell r="T1668" t="str">
            <v>Functioning</v>
          </cell>
          <cell r="U1668" t="str">
            <v>Asset</v>
          </cell>
          <cell r="V1668">
            <v>5800</v>
          </cell>
          <cell r="W1668" t="str">
            <v>KEW</v>
          </cell>
          <cell r="X1668" t="str">
            <v>31/07/2018</v>
          </cell>
          <cell r="Y1668" t="str">
            <v>KEW</v>
          </cell>
          <cell r="Z1668" t="str">
            <v>05/09/2018</v>
          </cell>
          <cell r="AA1668" t="str">
            <v>04/09/2020</v>
          </cell>
          <cell r="AB1668" t="str">
            <v>No</v>
          </cell>
          <cell r="AC1668" t="str">
            <v>05/09/2018</v>
          </cell>
          <cell r="AD1668" t="str">
            <v>Good</v>
          </cell>
          <cell r="AE1668" t="str">
            <v>V3 - Added Installed Facilities (New)</v>
          </cell>
          <cell r="AF1668">
            <v>43385</v>
          </cell>
          <cell r="AG1668">
            <v>1.33</v>
          </cell>
          <cell r="AH1668" t="str">
            <v>PPM</v>
          </cell>
          <cell r="AI1668" t="str">
            <v>Strands</v>
          </cell>
          <cell r="AJ1668" t="str">
            <v>Strands PW</v>
          </cell>
        </row>
        <row r="1669">
          <cell r="A1669" t="str">
            <v>IKN401708</v>
          </cell>
          <cell r="B1669">
            <v>1626</v>
          </cell>
          <cell r="C1669" t="str">
            <v>Institut Kanser Negara</v>
          </cell>
          <cell r="D1669" t="str">
            <v>KKM/IKN/H/13/4473 - 10</v>
          </cell>
          <cell r="E1669" t="str">
            <v>15-605</v>
          </cell>
          <cell r="F1669" t="str">
            <v>Testers</v>
          </cell>
          <cell r="G1669" t="str">
            <v>RT</v>
          </cell>
          <cell r="H1669" t="str">
            <v>RADIATION TREATMENT UNIT</v>
          </cell>
          <cell r="I1669" t="str">
            <v>01RT213</v>
          </cell>
          <cell r="J1669" t="str">
            <v>EQUIPMENT ROOM1</v>
          </cell>
          <cell r="K1669" t="str">
            <v>BMED</v>
          </cell>
          <cell r="L1669" t="str">
            <v>Normal</v>
          </cell>
          <cell r="M1669" t="str">
            <v>USA</v>
          </cell>
          <cell r="N1669" t="str">
            <v>Various</v>
          </cell>
          <cell r="O1669" t="str">
            <v>Tomo Electrometer 90016 &amp; Various</v>
          </cell>
          <cell r="P1669" t="str">
            <v>XW 121706</v>
          </cell>
          <cell r="Q1669" t="str">
            <v>Not Available</v>
          </cell>
          <cell r="R1669" t="str">
            <v>Standard Imaging</v>
          </cell>
          <cell r="S1669" t="str">
            <v>Transmedic Healthcare Sdn. Bhd</v>
          </cell>
          <cell r="T1669" t="str">
            <v>Functioning</v>
          </cell>
          <cell r="U1669" t="str">
            <v>Asset</v>
          </cell>
          <cell r="V1669">
            <v>100000</v>
          </cell>
          <cell r="W1669" t="str">
            <v>KEW</v>
          </cell>
          <cell r="X1669" t="str">
            <v>01/09/2010</v>
          </cell>
          <cell r="Y1669" t="str">
            <v>KEW</v>
          </cell>
          <cell r="Z1669" t="str">
            <v>16/08/2013</v>
          </cell>
          <cell r="AA1669" t="str">
            <v>15/08/2015</v>
          </cell>
          <cell r="AB1669" t="str">
            <v>No</v>
          </cell>
          <cell r="AC1669" t="str">
            <v>16/08/2013</v>
          </cell>
          <cell r="AD1669" t="str">
            <v>Good</v>
          </cell>
          <cell r="AE1669" t="str">
            <v>V1 - Existing / No Claim</v>
          </cell>
          <cell r="AF1669">
            <v>42667</v>
          </cell>
          <cell r="AG1669">
            <v>9.17</v>
          </cell>
          <cell r="AH1669" t="str">
            <v>PPM</v>
          </cell>
          <cell r="AI1669" t="str">
            <v>package</v>
          </cell>
          <cell r="AJ1669" t="str">
            <v>Strands Package</v>
          </cell>
          <cell r="AK1669" t="str">
            <v>Unit A1S Ion Chamber for Tomotherapy. Package XM003(B).</v>
          </cell>
        </row>
        <row r="1670">
          <cell r="A1670" t="str">
            <v>IKN401713</v>
          </cell>
          <cell r="B1670">
            <v>1627</v>
          </cell>
          <cell r="C1670" t="str">
            <v>Institut Kanser Negara</v>
          </cell>
          <cell r="D1670" t="str">
            <v>KKM/IKN/H/18/16</v>
          </cell>
          <cell r="E1670" t="str">
            <v>13-215</v>
          </cell>
          <cell r="F1670" t="str">
            <v>Infusion Pumps, General-Purpose</v>
          </cell>
          <cell r="G1670" t="str">
            <v>DO</v>
          </cell>
          <cell r="H1670" t="str">
            <v>DAY ONCOLOGY UNIT</v>
          </cell>
          <cell r="I1670" t="str">
            <v>04DO111</v>
          </cell>
          <cell r="J1670" t="str">
            <v>EQUIP. ROOM</v>
          </cell>
          <cell r="K1670" t="str">
            <v>BMED</v>
          </cell>
          <cell r="L1670" t="str">
            <v>Critical</v>
          </cell>
          <cell r="M1670" t="str">
            <v>Germany</v>
          </cell>
          <cell r="N1670" t="str">
            <v>Infusomat</v>
          </cell>
          <cell r="O1670" t="str">
            <v>Infusomat Space</v>
          </cell>
          <cell r="P1670" t="str">
            <v>523723</v>
          </cell>
          <cell r="Q1670" t="str">
            <v>Not Applicable</v>
          </cell>
          <cell r="R1670" t="str">
            <v>B Braun Melsungen AG</v>
          </cell>
          <cell r="S1670" t="str">
            <v>TERAJU FARMA SDN BHD</v>
          </cell>
          <cell r="T1670" t="str">
            <v>Functioning</v>
          </cell>
          <cell r="U1670" t="str">
            <v>Asset</v>
          </cell>
          <cell r="V1670">
            <v>5800</v>
          </cell>
          <cell r="W1670" t="str">
            <v>KEW</v>
          </cell>
          <cell r="X1670" t="str">
            <v>26/09/2018</v>
          </cell>
          <cell r="Y1670" t="str">
            <v>KEW</v>
          </cell>
          <cell r="Z1670" t="str">
            <v>22/10/2018</v>
          </cell>
          <cell r="AA1670" t="str">
            <v>21/10/2020</v>
          </cell>
          <cell r="AB1670" t="str">
            <v>No</v>
          </cell>
          <cell r="AC1670" t="str">
            <v>22/10/2018</v>
          </cell>
          <cell r="AD1670" t="str">
            <v>Good</v>
          </cell>
          <cell r="AE1670" t="str">
            <v>V3 - Added Installed Facilities (New)</v>
          </cell>
          <cell r="AF1670">
            <v>43430</v>
          </cell>
          <cell r="AG1670">
            <v>1.17</v>
          </cell>
          <cell r="AH1670" t="str">
            <v>PPM</v>
          </cell>
          <cell r="AI1670" t="str">
            <v>Strands</v>
          </cell>
          <cell r="AJ1670" t="str">
            <v>Strands PW</v>
          </cell>
        </row>
        <row r="1671">
          <cell r="A1671" t="str">
            <v>IKN401714</v>
          </cell>
          <cell r="B1671">
            <v>1628</v>
          </cell>
          <cell r="C1671" t="str">
            <v>Institut Kanser Negara</v>
          </cell>
          <cell r="D1671" t="str">
            <v>KKM/IKN/H/18/17</v>
          </cell>
          <cell r="E1671" t="str">
            <v>13-215</v>
          </cell>
          <cell r="F1671" t="str">
            <v>Infusion Pumps, General-Purpose</v>
          </cell>
          <cell r="G1671" t="str">
            <v>DO</v>
          </cell>
          <cell r="H1671" t="str">
            <v>DAY ONCOLOGY UNIT</v>
          </cell>
          <cell r="I1671" t="str">
            <v>04DO111</v>
          </cell>
          <cell r="J1671" t="str">
            <v>EQUIP. ROOM</v>
          </cell>
          <cell r="K1671" t="str">
            <v>BMED</v>
          </cell>
          <cell r="L1671" t="str">
            <v>Critical</v>
          </cell>
          <cell r="M1671" t="str">
            <v>Germany</v>
          </cell>
          <cell r="N1671" t="str">
            <v>Infusomat</v>
          </cell>
          <cell r="O1671" t="str">
            <v>Infusomat Space</v>
          </cell>
          <cell r="P1671" t="str">
            <v>523748</v>
          </cell>
          <cell r="Q1671" t="str">
            <v>Not Applicable</v>
          </cell>
          <cell r="R1671" t="str">
            <v>B Braun Melsungen AG</v>
          </cell>
          <cell r="S1671" t="str">
            <v>TERAJU FARMA SDN BHD</v>
          </cell>
          <cell r="T1671" t="str">
            <v>Functioning</v>
          </cell>
          <cell r="U1671" t="str">
            <v>Asset</v>
          </cell>
          <cell r="V1671">
            <v>5800</v>
          </cell>
          <cell r="W1671" t="str">
            <v>KEW</v>
          </cell>
          <cell r="X1671" t="str">
            <v>26/09/2018</v>
          </cell>
          <cell r="Y1671" t="str">
            <v>KEW</v>
          </cell>
          <cell r="Z1671" t="str">
            <v>22/10/2018</v>
          </cell>
          <cell r="AA1671" t="str">
            <v>21/10/2020</v>
          </cell>
          <cell r="AB1671" t="str">
            <v>No</v>
          </cell>
          <cell r="AC1671" t="str">
            <v>22/10/2018</v>
          </cell>
          <cell r="AD1671" t="str">
            <v>Good</v>
          </cell>
          <cell r="AE1671" t="str">
            <v>V3 - Added Installed Facilities (New)</v>
          </cell>
          <cell r="AF1671">
            <v>43430</v>
          </cell>
          <cell r="AG1671">
            <v>1.17</v>
          </cell>
          <cell r="AH1671" t="str">
            <v>PPM</v>
          </cell>
          <cell r="AI1671" t="str">
            <v>Strands</v>
          </cell>
          <cell r="AJ1671" t="str">
            <v>Strands PW</v>
          </cell>
        </row>
        <row r="1672">
          <cell r="A1672" t="str">
            <v>IKN401715</v>
          </cell>
          <cell r="B1672">
            <v>1629</v>
          </cell>
          <cell r="C1672" t="str">
            <v>Institut Kanser Negara</v>
          </cell>
          <cell r="D1672" t="str">
            <v>KKM/IKN/H/18/18</v>
          </cell>
          <cell r="E1672" t="str">
            <v>11-381</v>
          </cell>
          <cell r="F1672" t="str">
            <v>Simulators, Cardiac, Electrocardiography</v>
          </cell>
          <cell r="G1672" t="str">
            <v>AD</v>
          </cell>
          <cell r="H1672" t="str">
            <v>ADMINISTRATION</v>
          </cell>
          <cell r="I1672" t="str">
            <v>06AD122</v>
          </cell>
          <cell r="J1672" t="str">
            <v>SUPERVISOR 1</v>
          </cell>
          <cell r="K1672" t="str">
            <v>BMED</v>
          </cell>
          <cell r="L1672" t="str">
            <v>Normal</v>
          </cell>
          <cell r="M1672" t="str">
            <v>China</v>
          </cell>
          <cell r="N1672" t="str">
            <v>Laerdal</v>
          </cell>
          <cell r="O1672" t="str">
            <v>Laerdal AED Trainer 2</v>
          </cell>
          <cell r="P1672" t="str">
            <v>170731</v>
          </cell>
          <cell r="Q1672" t="str">
            <v>Not Applicable</v>
          </cell>
          <cell r="R1672" t="str">
            <v>Laerdal Medical Corp</v>
          </cell>
          <cell r="S1672" t="str">
            <v>LAERDAL MALAYSIA SDN BHD</v>
          </cell>
          <cell r="T1672" t="str">
            <v>Functioning</v>
          </cell>
          <cell r="U1672" t="str">
            <v>Asset</v>
          </cell>
          <cell r="V1672">
            <v>3113</v>
          </cell>
          <cell r="W1672" t="str">
            <v>KEW</v>
          </cell>
          <cell r="X1672" t="str">
            <v>21/09/2018</v>
          </cell>
          <cell r="Y1672" t="str">
            <v>KEW</v>
          </cell>
          <cell r="Z1672" t="str">
            <v>29/10/2018</v>
          </cell>
          <cell r="AA1672" t="str">
            <v>30/10/2019</v>
          </cell>
          <cell r="AB1672" t="str">
            <v>No</v>
          </cell>
          <cell r="AC1672" t="str">
            <v>31/10/2018</v>
          </cell>
          <cell r="AD1672" t="str">
            <v>Good</v>
          </cell>
          <cell r="AE1672" t="str">
            <v>V3 - Added Installed Facilities (New)</v>
          </cell>
          <cell r="AF1672">
            <v>43444</v>
          </cell>
          <cell r="AG1672">
            <v>1.17</v>
          </cell>
          <cell r="AH1672" t="str">
            <v>RI</v>
          </cell>
          <cell r="AI1672" t="str">
            <v>Strands</v>
          </cell>
          <cell r="AJ1672" t="str">
            <v>Strands PW</v>
          </cell>
        </row>
        <row r="1673">
          <cell r="A1673" t="str">
            <v>IKN401716</v>
          </cell>
          <cell r="B1673">
            <v>1630</v>
          </cell>
          <cell r="C1673" t="str">
            <v>Institut Kanser Negara</v>
          </cell>
          <cell r="D1673" t="str">
            <v>KKM/IKN/R/18/40</v>
          </cell>
          <cell r="E1673" t="str">
            <v>15-309</v>
          </cell>
          <cell r="F1673" t="str">
            <v>Training Manikins, Cardiopulmonary Resuscitation</v>
          </cell>
          <cell r="G1673" t="str">
            <v>AD</v>
          </cell>
          <cell r="H1673" t="str">
            <v>ADMINISTRATION</v>
          </cell>
          <cell r="I1673" t="str">
            <v>06AD122</v>
          </cell>
          <cell r="J1673" t="str">
            <v>SUPERVISOR 1</v>
          </cell>
          <cell r="K1673" t="str">
            <v>BMED</v>
          </cell>
          <cell r="L1673" t="str">
            <v>Normal</v>
          </cell>
          <cell r="M1673" t="str">
            <v>USA</v>
          </cell>
          <cell r="N1673" t="str">
            <v>Laerdal</v>
          </cell>
          <cell r="O1673" t="str">
            <v>Little Anne Torso</v>
          </cell>
          <cell r="P1673" t="str">
            <v>Not Available</v>
          </cell>
          <cell r="Q1673" t="str">
            <v>Not Applicable</v>
          </cell>
          <cell r="R1673" t="str">
            <v>Laerdal Medical Corp</v>
          </cell>
          <cell r="S1673" t="str">
            <v>LAERDAL MALAYSIA SDN BHD</v>
          </cell>
          <cell r="T1673" t="str">
            <v>Functioning</v>
          </cell>
          <cell r="U1673" t="str">
            <v>Asset</v>
          </cell>
          <cell r="V1673">
            <v>1312.5</v>
          </cell>
          <cell r="W1673" t="str">
            <v>KEW</v>
          </cell>
          <cell r="X1673" t="str">
            <v>21/09/2018</v>
          </cell>
          <cell r="Y1673" t="str">
            <v>KEW</v>
          </cell>
          <cell r="Z1673" t="str">
            <v>31/10/2018</v>
          </cell>
          <cell r="AA1673" t="str">
            <v>30/10/2019</v>
          </cell>
          <cell r="AB1673" t="str">
            <v>No</v>
          </cell>
          <cell r="AC1673" t="str">
            <v>31/10/2018</v>
          </cell>
          <cell r="AD1673" t="str">
            <v>Good</v>
          </cell>
          <cell r="AE1673" t="str">
            <v>V3 - Added Installed Facilities (New)</v>
          </cell>
          <cell r="AF1673">
            <v>43444</v>
          </cell>
          <cell r="AG1673">
            <v>1.17</v>
          </cell>
          <cell r="AH1673" t="str">
            <v>RI</v>
          </cell>
          <cell r="AI1673" t="str">
            <v>Strands</v>
          </cell>
          <cell r="AJ1673" t="str">
            <v>Strands PW</v>
          </cell>
        </row>
        <row r="1674">
          <cell r="A1674" t="str">
            <v>IKN401717</v>
          </cell>
          <cell r="B1674">
            <v>1631</v>
          </cell>
          <cell r="C1674" t="str">
            <v>Institut Kanser Negara</v>
          </cell>
          <cell r="D1674" t="str">
            <v>KKM/IKN/R/18/41</v>
          </cell>
          <cell r="E1674" t="str">
            <v>15-309</v>
          </cell>
          <cell r="F1674" t="str">
            <v>Training Manikins, Cardiopulmonary Resuscitation</v>
          </cell>
          <cell r="G1674" t="str">
            <v>AD</v>
          </cell>
          <cell r="H1674" t="str">
            <v>ADMINISTRATION</v>
          </cell>
          <cell r="I1674" t="str">
            <v>06AD122</v>
          </cell>
          <cell r="J1674" t="str">
            <v>SUPERVISOR 1</v>
          </cell>
          <cell r="K1674" t="str">
            <v>BMED</v>
          </cell>
          <cell r="L1674" t="str">
            <v>Normal</v>
          </cell>
          <cell r="M1674" t="str">
            <v>USA</v>
          </cell>
          <cell r="N1674" t="str">
            <v>Laerdal</v>
          </cell>
          <cell r="O1674" t="str">
            <v>Little Anne Torso</v>
          </cell>
          <cell r="P1674" t="str">
            <v>Not Available</v>
          </cell>
          <cell r="Q1674" t="str">
            <v>Not Applicable</v>
          </cell>
          <cell r="R1674" t="str">
            <v>Laerdal Medical Corp</v>
          </cell>
          <cell r="S1674" t="str">
            <v>LAERDAL MALAYSIA SDN BHD</v>
          </cell>
          <cell r="T1674" t="str">
            <v>Functioning</v>
          </cell>
          <cell r="U1674" t="str">
            <v>Asset</v>
          </cell>
          <cell r="V1674">
            <v>1312.5</v>
          </cell>
          <cell r="W1674" t="str">
            <v>KEW</v>
          </cell>
          <cell r="X1674" t="str">
            <v>21/09/2018</v>
          </cell>
          <cell r="Y1674" t="str">
            <v>KEW</v>
          </cell>
          <cell r="Z1674" t="str">
            <v>31/10/2018</v>
          </cell>
          <cell r="AA1674" t="str">
            <v>30/10/2019</v>
          </cell>
          <cell r="AB1674" t="str">
            <v>No</v>
          </cell>
          <cell r="AC1674" t="str">
            <v>31/10/2018</v>
          </cell>
          <cell r="AD1674" t="str">
            <v>Good</v>
          </cell>
          <cell r="AE1674" t="str">
            <v>V3 - Added Installed Facilities (New)</v>
          </cell>
          <cell r="AF1674">
            <v>43444</v>
          </cell>
          <cell r="AG1674">
            <v>1.17</v>
          </cell>
          <cell r="AH1674" t="str">
            <v>RI</v>
          </cell>
          <cell r="AI1674" t="str">
            <v>Strands</v>
          </cell>
          <cell r="AJ1674" t="str">
            <v>Strands PW</v>
          </cell>
        </row>
        <row r="1675">
          <cell r="A1675" t="str">
            <v>IKN401718</v>
          </cell>
          <cell r="B1675">
            <v>1632</v>
          </cell>
          <cell r="C1675" t="str">
            <v>Institut Kanser Negara</v>
          </cell>
          <cell r="D1675" t="str">
            <v>KKM/IKN/R/18/42</v>
          </cell>
          <cell r="E1675" t="str">
            <v>15-309</v>
          </cell>
          <cell r="F1675" t="str">
            <v>Training Manikins, Cardiopulmonary Resuscitation</v>
          </cell>
          <cell r="G1675" t="str">
            <v>AD</v>
          </cell>
          <cell r="H1675" t="str">
            <v>ADMINISTRATION</v>
          </cell>
          <cell r="I1675" t="str">
            <v>06AD122</v>
          </cell>
          <cell r="J1675" t="str">
            <v>SUPERVISOR 1</v>
          </cell>
          <cell r="K1675" t="str">
            <v>BMED</v>
          </cell>
          <cell r="L1675" t="str">
            <v>Normal</v>
          </cell>
          <cell r="M1675" t="str">
            <v>USA</v>
          </cell>
          <cell r="N1675" t="str">
            <v>Laerdal</v>
          </cell>
          <cell r="O1675" t="str">
            <v>Little Anne Torso</v>
          </cell>
          <cell r="P1675" t="str">
            <v>Not Available</v>
          </cell>
          <cell r="Q1675" t="str">
            <v>Not Applicable</v>
          </cell>
          <cell r="R1675" t="str">
            <v>Laerdal Medical Corp</v>
          </cell>
          <cell r="S1675" t="str">
            <v>LAERDAL MALAYSIA SDN BHD</v>
          </cell>
          <cell r="T1675" t="str">
            <v>Functioning</v>
          </cell>
          <cell r="U1675" t="str">
            <v>Asset</v>
          </cell>
          <cell r="V1675">
            <v>1312.5</v>
          </cell>
          <cell r="W1675" t="str">
            <v>KEW</v>
          </cell>
          <cell r="X1675" t="str">
            <v>21/09/2018</v>
          </cell>
          <cell r="Y1675" t="str">
            <v>KEW</v>
          </cell>
          <cell r="Z1675" t="str">
            <v>31/10/2018</v>
          </cell>
          <cell r="AA1675" t="str">
            <v>30/10/2019</v>
          </cell>
          <cell r="AB1675" t="str">
            <v>No</v>
          </cell>
          <cell r="AC1675" t="str">
            <v>31/10/2018</v>
          </cell>
          <cell r="AD1675" t="str">
            <v>Good</v>
          </cell>
          <cell r="AE1675" t="str">
            <v>V3 - Added Installed Facilities (New)</v>
          </cell>
          <cell r="AF1675">
            <v>43444</v>
          </cell>
          <cell r="AG1675">
            <v>1.17</v>
          </cell>
          <cell r="AH1675" t="str">
            <v>RI</v>
          </cell>
          <cell r="AI1675" t="str">
            <v>Strands</v>
          </cell>
          <cell r="AJ1675" t="str">
            <v>Strands PW</v>
          </cell>
        </row>
        <row r="1676">
          <cell r="A1676" t="str">
            <v>IKN401719</v>
          </cell>
          <cell r="B1676">
            <v>1633</v>
          </cell>
          <cell r="C1676" t="str">
            <v>Institut Kanser Negara</v>
          </cell>
          <cell r="D1676" t="str">
            <v>KKM/IKN/R/18/43</v>
          </cell>
          <cell r="E1676" t="str">
            <v>15-309</v>
          </cell>
          <cell r="F1676" t="str">
            <v>Training Manikins, Cardiopulmonary Resuscitation</v>
          </cell>
          <cell r="G1676" t="str">
            <v>AD</v>
          </cell>
          <cell r="H1676" t="str">
            <v>ADMINISTRATION</v>
          </cell>
          <cell r="I1676" t="str">
            <v>06AD122</v>
          </cell>
          <cell r="J1676" t="str">
            <v>SUPERVISOR 1</v>
          </cell>
          <cell r="K1676" t="str">
            <v>BMED</v>
          </cell>
          <cell r="L1676" t="str">
            <v>Normal</v>
          </cell>
          <cell r="M1676" t="str">
            <v>USA</v>
          </cell>
          <cell r="N1676" t="str">
            <v>Laerdal</v>
          </cell>
          <cell r="O1676" t="str">
            <v>Little Anne Torso</v>
          </cell>
          <cell r="P1676" t="str">
            <v>Not Available</v>
          </cell>
          <cell r="Q1676" t="str">
            <v>Not Applicable</v>
          </cell>
          <cell r="R1676" t="str">
            <v>Laerdal Medical Corp</v>
          </cell>
          <cell r="S1676" t="str">
            <v>LAERDAL MALAYSIA SDN BHD</v>
          </cell>
          <cell r="T1676" t="str">
            <v>Functioning</v>
          </cell>
          <cell r="U1676" t="str">
            <v>Asset</v>
          </cell>
          <cell r="V1676">
            <v>1312.5</v>
          </cell>
          <cell r="W1676" t="str">
            <v>KEW</v>
          </cell>
          <cell r="X1676" t="str">
            <v>21/09/2018</v>
          </cell>
          <cell r="Y1676" t="str">
            <v>KEW</v>
          </cell>
          <cell r="Z1676" t="str">
            <v>31/10/2018</v>
          </cell>
          <cell r="AA1676" t="str">
            <v>30/10/2019</v>
          </cell>
          <cell r="AB1676" t="str">
            <v>No</v>
          </cell>
          <cell r="AC1676" t="str">
            <v>31/10/2018</v>
          </cell>
          <cell r="AD1676" t="str">
            <v>Good</v>
          </cell>
          <cell r="AE1676" t="str">
            <v>V3 - Added Installed Facilities (New)</v>
          </cell>
          <cell r="AF1676">
            <v>43444</v>
          </cell>
          <cell r="AG1676">
            <v>1.17</v>
          </cell>
          <cell r="AH1676" t="str">
            <v>RI</v>
          </cell>
          <cell r="AI1676" t="str">
            <v>Strands</v>
          </cell>
          <cell r="AJ1676" t="str">
            <v>Strands PW</v>
          </cell>
        </row>
        <row r="1677">
          <cell r="A1677" t="str">
            <v>IKN401720</v>
          </cell>
          <cell r="B1677">
            <v>1634</v>
          </cell>
          <cell r="C1677" t="str">
            <v>Institut Kanser Negara</v>
          </cell>
          <cell r="D1677" t="str">
            <v>KKM/IKN/H/18/19</v>
          </cell>
          <cell r="E1677" t="str">
            <v>15-309</v>
          </cell>
          <cell r="F1677" t="str">
            <v>Training Manikins, Cardiopulmonary Resuscitation</v>
          </cell>
          <cell r="G1677" t="str">
            <v>AD</v>
          </cell>
          <cell r="H1677" t="str">
            <v>ADMINISTRATION</v>
          </cell>
          <cell r="I1677" t="str">
            <v>06AD122</v>
          </cell>
          <cell r="J1677" t="str">
            <v>SUPERVISOR 1</v>
          </cell>
          <cell r="K1677" t="str">
            <v>BMED</v>
          </cell>
          <cell r="L1677" t="str">
            <v>Normal</v>
          </cell>
          <cell r="M1677" t="str">
            <v>USA</v>
          </cell>
          <cell r="N1677" t="str">
            <v>Laerdal</v>
          </cell>
          <cell r="O1677" t="str">
            <v>Laerdal Airway Management Trainer</v>
          </cell>
          <cell r="P1677" t="str">
            <v>Not Available</v>
          </cell>
          <cell r="Q1677" t="str">
            <v>Not Applicable</v>
          </cell>
          <cell r="R1677" t="str">
            <v>Laerdal Medical Corp</v>
          </cell>
          <cell r="S1677" t="str">
            <v>LAERDAL MALAYSIA SDN BHD</v>
          </cell>
          <cell r="T1677" t="str">
            <v>Functioning</v>
          </cell>
          <cell r="U1677" t="str">
            <v>Asset</v>
          </cell>
          <cell r="V1677">
            <v>13397.35</v>
          </cell>
          <cell r="W1677" t="str">
            <v>KEW</v>
          </cell>
          <cell r="X1677" t="str">
            <v>21/09/2018</v>
          </cell>
          <cell r="Y1677" t="str">
            <v>KEW</v>
          </cell>
          <cell r="Z1677" t="str">
            <v>31/10/2018</v>
          </cell>
          <cell r="AA1677" t="str">
            <v>30/10/2019</v>
          </cell>
          <cell r="AB1677" t="str">
            <v>No</v>
          </cell>
          <cell r="AC1677" t="str">
            <v>31/10/2018</v>
          </cell>
          <cell r="AD1677" t="str">
            <v>Good</v>
          </cell>
          <cell r="AE1677" t="str">
            <v>V3 - Added Installed Facilities (New)</v>
          </cell>
          <cell r="AF1677">
            <v>43444</v>
          </cell>
          <cell r="AG1677">
            <v>1.17</v>
          </cell>
          <cell r="AH1677" t="str">
            <v>RI</v>
          </cell>
          <cell r="AI1677" t="str">
            <v>Strands</v>
          </cell>
          <cell r="AJ1677" t="str">
            <v>Strands PW</v>
          </cell>
        </row>
        <row r="1678">
          <cell r="A1678" t="str">
            <v>IKN401721</v>
          </cell>
          <cell r="B1678">
            <v>1635</v>
          </cell>
          <cell r="C1678" t="str">
            <v>Institut Kanser Negara</v>
          </cell>
          <cell r="D1678" t="str">
            <v>KKM/IKN/R/18/44</v>
          </cell>
          <cell r="E1678" t="str">
            <v>15-309</v>
          </cell>
          <cell r="F1678" t="str">
            <v>Training Manikins, Cardiopulmonary Resuscitation</v>
          </cell>
          <cell r="G1678" t="str">
            <v>AD</v>
          </cell>
          <cell r="H1678" t="str">
            <v>ADMINISTRATION</v>
          </cell>
          <cell r="I1678" t="str">
            <v>06AD122</v>
          </cell>
          <cell r="J1678" t="str">
            <v>SUPERVISOR 1</v>
          </cell>
          <cell r="K1678" t="str">
            <v>BMED</v>
          </cell>
          <cell r="L1678" t="str">
            <v>Normal</v>
          </cell>
          <cell r="M1678" t="str">
            <v>USA</v>
          </cell>
          <cell r="N1678" t="str">
            <v>Laerdal</v>
          </cell>
          <cell r="O1678" t="str">
            <v>Little Anne Torso</v>
          </cell>
          <cell r="P1678" t="str">
            <v>Not Available</v>
          </cell>
          <cell r="Q1678" t="str">
            <v>Not Applicable</v>
          </cell>
          <cell r="R1678" t="str">
            <v>Laerdal Medical Corp</v>
          </cell>
          <cell r="S1678" t="str">
            <v>LAERDAL MALAYSIA SDN BHD</v>
          </cell>
          <cell r="T1678" t="str">
            <v>Functioning</v>
          </cell>
          <cell r="U1678" t="str">
            <v>Asset</v>
          </cell>
          <cell r="V1678">
            <v>1312.5</v>
          </cell>
          <cell r="W1678" t="str">
            <v>KEW</v>
          </cell>
          <cell r="X1678" t="str">
            <v>21/09/2018</v>
          </cell>
          <cell r="Y1678" t="str">
            <v>KEW</v>
          </cell>
          <cell r="Z1678" t="str">
            <v>31/10/2018</v>
          </cell>
          <cell r="AA1678" t="str">
            <v>30/10/2019</v>
          </cell>
          <cell r="AB1678" t="str">
            <v>No</v>
          </cell>
          <cell r="AC1678" t="str">
            <v>31/10/2018</v>
          </cell>
          <cell r="AD1678" t="str">
            <v>Good</v>
          </cell>
          <cell r="AE1678" t="str">
            <v>V3 - Added Installed Facilities (New)</v>
          </cell>
          <cell r="AF1678">
            <v>43444</v>
          </cell>
          <cell r="AG1678">
            <v>1.17</v>
          </cell>
          <cell r="AH1678" t="str">
            <v>RI</v>
          </cell>
          <cell r="AI1678" t="str">
            <v>Strands</v>
          </cell>
          <cell r="AJ1678" t="str">
            <v>Strands PW</v>
          </cell>
        </row>
        <row r="1679">
          <cell r="A1679" t="str">
            <v>IKN401722</v>
          </cell>
          <cell r="B1679">
            <v>1636</v>
          </cell>
          <cell r="C1679" t="str">
            <v>Institut Kanser Negara</v>
          </cell>
          <cell r="D1679" t="str">
            <v>KKM/IKN/R/18/45</v>
          </cell>
          <cell r="E1679" t="str">
            <v>15-309</v>
          </cell>
          <cell r="F1679" t="str">
            <v>Training Manikins, Cardiopulmonary Resuscitation</v>
          </cell>
          <cell r="G1679" t="str">
            <v>AD</v>
          </cell>
          <cell r="H1679" t="str">
            <v>ADMINISTRATION</v>
          </cell>
          <cell r="I1679" t="str">
            <v>06AD122</v>
          </cell>
          <cell r="J1679" t="str">
            <v>SUPERVISOR 1</v>
          </cell>
          <cell r="K1679" t="str">
            <v>BMED</v>
          </cell>
          <cell r="L1679" t="str">
            <v>Normal</v>
          </cell>
          <cell r="M1679" t="str">
            <v>USA</v>
          </cell>
          <cell r="N1679" t="str">
            <v>Laerdal</v>
          </cell>
          <cell r="O1679" t="str">
            <v>Little Anne Torso</v>
          </cell>
          <cell r="P1679" t="str">
            <v>Not Available</v>
          </cell>
          <cell r="Q1679" t="str">
            <v>Not Applicable</v>
          </cell>
          <cell r="R1679" t="str">
            <v>Laerdal Medical Corp</v>
          </cell>
          <cell r="S1679" t="str">
            <v>LAERDAL MALAYSIA SDN BHD</v>
          </cell>
          <cell r="T1679" t="str">
            <v>Functioning</v>
          </cell>
          <cell r="U1679" t="str">
            <v>Asset</v>
          </cell>
          <cell r="V1679">
            <v>1312.5</v>
          </cell>
          <cell r="W1679" t="str">
            <v>KEW</v>
          </cell>
          <cell r="X1679" t="str">
            <v>21/09/2018</v>
          </cell>
          <cell r="Y1679" t="str">
            <v>KEW</v>
          </cell>
          <cell r="Z1679" t="str">
            <v>31/10/2018</v>
          </cell>
          <cell r="AA1679" t="str">
            <v>30/10/2019</v>
          </cell>
          <cell r="AB1679" t="str">
            <v>No</v>
          </cell>
          <cell r="AC1679" t="str">
            <v>31/10/2018</v>
          </cell>
          <cell r="AD1679" t="str">
            <v>Good</v>
          </cell>
          <cell r="AE1679" t="str">
            <v>V3 - Added Installed Facilities (New)</v>
          </cell>
          <cell r="AF1679">
            <v>43444</v>
          </cell>
          <cell r="AG1679">
            <v>1.17</v>
          </cell>
          <cell r="AH1679" t="str">
            <v>RI</v>
          </cell>
          <cell r="AI1679" t="str">
            <v>Strands</v>
          </cell>
          <cell r="AJ1679" t="str">
            <v>Strands PW</v>
          </cell>
        </row>
        <row r="1680">
          <cell r="A1680" t="str">
            <v>IKN401723</v>
          </cell>
          <cell r="B1680">
            <v>1637</v>
          </cell>
          <cell r="C1680" t="str">
            <v>Institut Kanser Negara</v>
          </cell>
          <cell r="D1680" t="str">
            <v>KKM/IKN/R/18/46</v>
          </cell>
          <cell r="E1680" t="str">
            <v>15-309</v>
          </cell>
          <cell r="F1680" t="str">
            <v>Training Manikins, Cardiopulmonary Resuscitation</v>
          </cell>
          <cell r="G1680" t="str">
            <v>AD</v>
          </cell>
          <cell r="H1680" t="str">
            <v>ADMINISTRATION</v>
          </cell>
          <cell r="I1680" t="str">
            <v>06AD122</v>
          </cell>
          <cell r="J1680" t="str">
            <v>SUPERVISOR 1</v>
          </cell>
          <cell r="K1680" t="str">
            <v>BMED</v>
          </cell>
          <cell r="L1680" t="str">
            <v>Normal</v>
          </cell>
          <cell r="M1680" t="str">
            <v>USA</v>
          </cell>
          <cell r="N1680" t="str">
            <v>Laerdal</v>
          </cell>
          <cell r="O1680" t="str">
            <v>Little Anne Torso</v>
          </cell>
          <cell r="P1680" t="str">
            <v>Not Available</v>
          </cell>
          <cell r="Q1680" t="str">
            <v>Not Applicable</v>
          </cell>
          <cell r="R1680" t="str">
            <v>Laerdal Medical Corp</v>
          </cell>
          <cell r="S1680" t="str">
            <v>LAERDAL MALAYSIA SDN BHD</v>
          </cell>
          <cell r="T1680" t="str">
            <v>Functioning</v>
          </cell>
          <cell r="U1680" t="str">
            <v>Asset</v>
          </cell>
          <cell r="V1680">
            <v>1312.5</v>
          </cell>
          <cell r="W1680" t="str">
            <v>KEW</v>
          </cell>
          <cell r="X1680" t="str">
            <v>21/09/2018</v>
          </cell>
          <cell r="Y1680" t="str">
            <v>KEW</v>
          </cell>
          <cell r="Z1680" t="str">
            <v>31/10/2018</v>
          </cell>
          <cell r="AA1680" t="str">
            <v>30/10/2019</v>
          </cell>
          <cell r="AB1680" t="str">
            <v>No</v>
          </cell>
          <cell r="AC1680" t="str">
            <v>31/10/2018</v>
          </cell>
          <cell r="AD1680" t="str">
            <v>Good</v>
          </cell>
          <cell r="AE1680" t="str">
            <v>V3 - Added Installed Facilities (New)</v>
          </cell>
          <cell r="AF1680">
            <v>43444</v>
          </cell>
          <cell r="AG1680">
            <v>1.17</v>
          </cell>
          <cell r="AH1680" t="str">
            <v>RI</v>
          </cell>
          <cell r="AI1680" t="str">
            <v>Strands</v>
          </cell>
          <cell r="AJ1680" t="str">
            <v>Strands PW</v>
          </cell>
        </row>
        <row r="1681">
          <cell r="A1681" t="str">
            <v>IKN401724</v>
          </cell>
          <cell r="B1681">
            <v>1638</v>
          </cell>
          <cell r="C1681" t="str">
            <v>Institut Kanser Negara</v>
          </cell>
          <cell r="D1681" t="str">
            <v>KKM/IKN/R/18/47</v>
          </cell>
          <cell r="E1681" t="str">
            <v>15-309</v>
          </cell>
          <cell r="F1681" t="str">
            <v>Training Manikins, Cardiopulmonary Resuscitation</v>
          </cell>
          <cell r="G1681" t="str">
            <v>AD</v>
          </cell>
          <cell r="H1681" t="str">
            <v>ADMINISTRATION</v>
          </cell>
          <cell r="I1681" t="str">
            <v>06AD122</v>
          </cell>
          <cell r="J1681" t="str">
            <v>SUPERVISOR 1</v>
          </cell>
          <cell r="K1681" t="str">
            <v>BMED</v>
          </cell>
          <cell r="L1681" t="str">
            <v>Normal</v>
          </cell>
          <cell r="M1681" t="str">
            <v>USA</v>
          </cell>
          <cell r="N1681" t="str">
            <v>Laerdal</v>
          </cell>
          <cell r="O1681" t="str">
            <v>Little Anne Torso</v>
          </cell>
          <cell r="P1681" t="str">
            <v>Not Available</v>
          </cell>
          <cell r="Q1681" t="str">
            <v>Not Applicable</v>
          </cell>
          <cell r="R1681" t="str">
            <v>Laerdal Medical Corp</v>
          </cell>
          <cell r="S1681" t="str">
            <v>LAERDAL MALAYSIA SDN BHD</v>
          </cell>
          <cell r="T1681" t="str">
            <v>Functioning</v>
          </cell>
          <cell r="U1681" t="str">
            <v>Asset</v>
          </cell>
          <cell r="V1681">
            <v>1312.5</v>
          </cell>
          <cell r="W1681" t="str">
            <v>KEW</v>
          </cell>
          <cell r="X1681" t="str">
            <v>21/09/2018</v>
          </cell>
          <cell r="Y1681" t="str">
            <v>KEW</v>
          </cell>
          <cell r="Z1681" t="str">
            <v>31/10/2018</v>
          </cell>
          <cell r="AA1681" t="str">
            <v>30/10/2019</v>
          </cell>
          <cell r="AB1681" t="str">
            <v>No</v>
          </cell>
          <cell r="AC1681" t="str">
            <v>31/10/2018</v>
          </cell>
          <cell r="AD1681" t="str">
            <v>Good</v>
          </cell>
          <cell r="AE1681" t="str">
            <v>V3 - Added Installed Facilities (New)</v>
          </cell>
          <cell r="AF1681">
            <v>43444</v>
          </cell>
          <cell r="AG1681">
            <v>1.17</v>
          </cell>
          <cell r="AH1681" t="str">
            <v>RI</v>
          </cell>
          <cell r="AI1681" t="str">
            <v>Strands</v>
          </cell>
          <cell r="AJ1681" t="str">
            <v>Strands PW</v>
          </cell>
        </row>
        <row r="1682">
          <cell r="A1682" t="str">
            <v>IKN401725</v>
          </cell>
          <cell r="B1682">
            <v>1639</v>
          </cell>
          <cell r="C1682" t="str">
            <v>Institut Kanser Negara</v>
          </cell>
          <cell r="D1682" t="str">
            <v>KKM/IKN/R/18/48</v>
          </cell>
          <cell r="E1682" t="str">
            <v>15-309</v>
          </cell>
          <cell r="F1682" t="str">
            <v>Training Manikins, Cardiopulmonary Resuscitation</v>
          </cell>
          <cell r="G1682" t="str">
            <v>AD</v>
          </cell>
          <cell r="H1682" t="str">
            <v>ADMINISTRATION</v>
          </cell>
          <cell r="I1682" t="str">
            <v>06AD122</v>
          </cell>
          <cell r="J1682" t="str">
            <v>SUPERVISOR 1</v>
          </cell>
          <cell r="K1682" t="str">
            <v>BMED</v>
          </cell>
          <cell r="L1682" t="str">
            <v>Normal</v>
          </cell>
          <cell r="M1682" t="str">
            <v>USA</v>
          </cell>
          <cell r="N1682" t="str">
            <v>Laerdal</v>
          </cell>
          <cell r="O1682" t="str">
            <v>Baby Anne</v>
          </cell>
          <cell r="P1682" t="str">
            <v>Not Available</v>
          </cell>
          <cell r="Q1682" t="str">
            <v>Not Applicable</v>
          </cell>
          <cell r="R1682" t="str">
            <v>Laerdal Medical Corp</v>
          </cell>
          <cell r="S1682" t="str">
            <v>LAERDAL MALAYSIA SDN BHD</v>
          </cell>
          <cell r="T1682" t="str">
            <v>Functioning</v>
          </cell>
          <cell r="U1682" t="str">
            <v>Asset</v>
          </cell>
          <cell r="V1682">
            <v>875</v>
          </cell>
          <cell r="W1682" t="str">
            <v>KEW</v>
          </cell>
          <cell r="X1682" t="str">
            <v>21/09/2018</v>
          </cell>
          <cell r="Y1682" t="str">
            <v>KEW</v>
          </cell>
          <cell r="Z1682" t="str">
            <v>31/10/2018</v>
          </cell>
          <cell r="AA1682" t="str">
            <v>30/10/2019</v>
          </cell>
          <cell r="AB1682" t="str">
            <v>No</v>
          </cell>
          <cell r="AC1682" t="str">
            <v>31/10/2018</v>
          </cell>
          <cell r="AD1682" t="str">
            <v>Good</v>
          </cell>
          <cell r="AE1682" t="str">
            <v>V3 - Added Installed Facilities (New)</v>
          </cell>
          <cell r="AF1682">
            <v>43507</v>
          </cell>
          <cell r="AG1682">
            <v>1.17</v>
          </cell>
          <cell r="AH1682" t="str">
            <v>RI</v>
          </cell>
          <cell r="AI1682" t="str">
            <v>Strands</v>
          </cell>
          <cell r="AJ1682" t="str">
            <v>Strands PW</v>
          </cell>
        </row>
        <row r="1683">
          <cell r="A1683" t="str">
            <v>IKN401726</v>
          </cell>
          <cell r="B1683">
            <v>1640</v>
          </cell>
          <cell r="C1683" t="str">
            <v>Institut Kanser Negara</v>
          </cell>
          <cell r="D1683" t="str">
            <v>KKM/IKN/R/18/49</v>
          </cell>
          <cell r="E1683" t="str">
            <v>15-309</v>
          </cell>
          <cell r="F1683" t="str">
            <v>Training Manikins, Cardiopulmonary Resuscitation</v>
          </cell>
          <cell r="G1683" t="str">
            <v>AD</v>
          </cell>
          <cell r="H1683" t="str">
            <v>ADMINISTRATION</v>
          </cell>
          <cell r="I1683" t="str">
            <v>06AD122</v>
          </cell>
          <cell r="J1683" t="str">
            <v>SUPERVISOR 1</v>
          </cell>
          <cell r="K1683" t="str">
            <v>BMED</v>
          </cell>
          <cell r="L1683" t="str">
            <v>Normal</v>
          </cell>
          <cell r="M1683" t="str">
            <v>USA</v>
          </cell>
          <cell r="N1683" t="str">
            <v>Laerdal</v>
          </cell>
          <cell r="O1683" t="str">
            <v>Baby Anne</v>
          </cell>
          <cell r="P1683" t="str">
            <v>Not Available</v>
          </cell>
          <cell r="Q1683" t="str">
            <v>Not Applicable</v>
          </cell>
          <cell r="R1683" t="str">
            <v>Laerdal Medical Corp</v>
          </cell>
          <cell r="S1683" t="str">
            <v>LAERDAL MALAYSIA SDN BHD</v>
          </cell>
          <cell r="T1683" t="str">
            <v>Functioning</v>
          </cell>
          <cell r="U1683" t="str">
            <v>Asset</v>
          </cell>
          <cell r="V1683">
            <v>875</v>
          </cell>
          <cell r="W1683" t="str">
            <v>KEW</v>
          </cell>
          <cell r="X1683" t="str">
            <v>21/09/2018</v>
          </cell>
          <cell r="Y1683" t="str">
            <v>KEW</v>
          </cell>
          <cell r="Z1683" t="str">
            <v>31/10/2018</v>
          </cell>
          <cell r="AA1683" t="str">
            <v>30/10/2019</v>
          </cell>
          <cell r="AB1683" t="str">
            <v>No</v>
          </cell>
          <cell r="AC1683" t="str">
            <v>31/10/2018</v>
          </cell>
          <cell r="AD1683" t="str">
            <v>Good</v>
          </cell>
          <cell r="AE1683" t="str">
            <v>V3 - Added Installed Facilities (New)</v>
          </cell>
          <cell r="AF1683">
            <v>43507</v>
          </cell>
          <cell r="AG1683">
            <v>1.17</v>
          </cell>
          <cell r="AH1683" t="str">
            <v>RI</v>
          </cell>
          <cell r="AI1683" t="str">
            <v>Strands</v>
          </cell>
          <cell r="AJ1683" t="str">
            <v>Strands PW</v>
          </cell>
        </row>
        <row r="1684">
          <cell r="A1684" t="str">
            <v>IKN401727</v>
          </cell>
          <cell r="B1684">
            <v>1641</v>
          </cell>
          <cell r="C1684" t="str">
            <v>Institut Kanser Negara</v>
          </cell>
          <cell r="D1684" t="str">
            <v>KKM/IKN/R/18/50</v>
          </cell>
          <cell r="E1684" t="str">
            <v>15-309</v>
          </cell>
          <cell r="F1684" t="str">
            <v>Training Manikins, Cardiopulmonary Resuscitation</v>
          </cell>
          <cell r="G1684" t="str">
            <v>AD</v>
          </cell>
          <cell r="H1684" t="str">
            <v>ADMINISTRATION</v>
          </cell>
          <cell r="I1684" t="str">
            <v>06AD122</v>
          </cell>
          <cell r="J1684" t="str">
            <v>SUPERVISOR 1</v>
          </cell>
          <cell r="K1684" t="str">
            <v>BMED</v>
          </cell>
          <cell r="L1684" t="str">
            <v>Normal</v>
          </cell>
          <cell r="M1684" t="str">
            <v>USA</v>
          </cell>
          <cell r="N1684" t="str">
            <v>Laerdal</v>
          </cell>
          <cell r="O1684" t="str">
            <v>Baby Anne</v>
          </cell>
          <cell r="P1684" t="str">
            <v>Not Available</v>
          </cell>
          <cell r="Q1684" t="str">
            <v>Not Applicable</v>
          </cell>
          <cell r="R1684" t="str">
            <v>Laerdal Medical Corp</v>
          </cell>
          <cell r="S1684" t="str">
            <v>LAERDAL MALAYSIA SDN BHD</v>
          </cell>
          <cell r="T1684" t="str">
            <v>Functioning</v>
          </cell>
          <cell r="U1684" t="str">
            <v>Asset</v>
          </cell>
          <cell r="V1684">
            <v>875</v>
          </cell>
          <cell r="W1684" t="str">
            <v>KEW</v>
          </cell>
          <cell r="X1684" t="str">
            <v>21/09/2018</v>
          </cell>
          <cell r="Y1684" t="str">
            <v>KEW</v>
          </cell>
          <cell r="Z1684" t="str">
            <v>31/10/2018</v>
          </cell>
          <cell r="AA1684" t="str">
            <v>30/10/2019</v>
          </cell>
          <cell r="AB1684" t="str">
            <v>No</v>
          </cell>
          <cell r="AC1684" t="str">
            <v>31/10/2018</v>
          </cell>
          <cell r="AD1684" t="str">
            <v>Good</v>
          </cell>
          <cell r="AE1684" t="str">
            <v>V3 - Added Installed Facilities (New)</v>
          </cell>
          <cell r="AF1684">
            <v>43507</v>
          </cell>
          <cell r="AG1684">
            <v>1.17</v>
          </cell>
          <cell r="AH1684" t="str">
            <v>RI</v>
          </cell>
          <cell r="AI1684" t="str">
            <v>Strands</v>
          </cell>
          <cell r="AJ1684" t="str">
            <v>Strands PW</v>
          </cell>
        </row>
        <row r="1685">
          <cell r="A1685" t="str">
            <v>IKN401728</v>
          </cell>
          <cell r="B1685">
            <v>1642</v>
          </cell>
          <cell r="C1685" t="str">
            <v>Institut Kanser Negara</v>
          </cell>
          <cell r="D1685" t="str">
            <v>KKM/IKN/R/18/51</v>
          </cell>
          <cell r="E1685" t="str">
            <v>15-309</v>
          </cell>
          <cell r="F1685" t="str">
            <v>Training Manikins, Cardiopulmonary Resuscitation</v>
          </cell>
          <cell r="G1685" t="str">
            <v>AD</v>
          </cell>
          <cell r="H1685" t="str">
            <v>ADMINISTRATION</v>
          </cell>
          <cell r="I1685" t="str">
            <v>06AD122</v>
          </cell>
          <cell r="J1685" t="str">
            <v>SUPERVISOR 1</v>
          </cell>
          <cell r="K1685" t="str">
            <v>BMED</v>
          </cell>
          <cell r="L1685" t="str">
            <v>Normal</v>
          </cell>
          <cell r="M1685" t="str">
            <v>USA</v>
          </cell>
          <cell r="N1685" t="str">
            <v>Laerdal</v>
          </cell>
          <cell r="O1685" t="str">
            <v>Baby Anne</v>
          </cell>
          <cell r="P1685" t="str">
            <v>Not Available</v>
          </cell>
          <cell r="Q1685" t="str">
            <v>Not Applicable</v>
          </cell>
          <cell r="R1685" t="str">
            <v>Laerdal Medical Corp</v>
          </cell>
          <cell r="S1685" t="str">
            <v>LAERDAL MALAYSIA SDN BHD</v>
          </cell>
          <cell r="T1685" t="str">
            <v>Functioning</v>
          </cell>
          <cell r="U1685" t="str">
            <v>Asset</v>
          </cell>
          <cell r="V1685">
            <v>875</v>
          </cell>
          <cell r="W1685" t="str">
            <v>KEW</v>
          </cell>
          <cell r="X1685" t="str">
            <v>21/09/2018</v>
          </cell>
          <cell r="Y1685" t="str">
            <v>KEW</v>
          </cell>
          <cell r="Z1685" t="str">
            <v>31/10/2018</v>
          </cell>
          <cell r="AA1685" t="str">
            <v>30/10/2019</v>
          </cell>
          <cell r="AB1685" t="str">
            <v>No</v>
          </cell>
          <cell r="AC1685" t="str">
            <v>31/10/2018</v>
          </cell>
          <cell r="AD1685" t="str">
            <v>Good</v>
          </cell>
          <cell r="AE1685" t="str">
            <v>V3 - Added Installed Facilities (New)</v>
          </cell>
          <cell r="AF1685">
            <v>43507</v>
          </cell>
          <cell r="AG1685">
            <v>1.17</v>
          </cell>
          <cell r="AH1685" t="str">
            <v>RI</v>
          </cell>
          <cell r="AI1685" t="str">
            <v>Strands</v>
          </cell>
          <cell r="AJ1685" t="str">
            <v>Strands PW</v>
          </cell>
        </row>
        <row r="1686">
          <cell r="A1686" t="str">
            <v>IKN401729</v>
          </cell>
          <cell r="B1686">
            <v>1643</v>
          </cell>
          <cell r="C1686" t="str">
            <v>Institut Kanser Negara</v>
          </cell>
          <cell r="D1686" t="str">
            <v>KKM/IKN/R/18/52</v>
          </cell>
          <cell r="E1686" t="str">
            <v>15-309</v>
          </cell>
          <cell r="F1686" t="str">
            <v>Training Manikins, Cardiopulmonary Resuscitation</v>
          </cell>
          <cell r="G1686" t="str">
            <v>AD</v>
          </cell>
          <cell r="H1686" t="str">
            <v>ADMINISTRATION</v>
          </cell>
          <cell r="I1686" t="str">
            <v>06AD122</v>
          </cell>
          <cell r="J1686" t="str">
            <v>SUPERVISOR 1</v>
          </cell>
          <cell r="K1686" t="str">
            <v>BMED</v>
          </cell>
          <cell r="L1686" t="str">
            <v>Normal</v>
          </cell>
          <cell r="M1686" t="str">
            <v>USA</v>
          </cell>
          <cell r="N1686" t="str">
            <v>Laerdal</v>
          </cell>
          <cell r="O1686" t="str">
            <v>Baby Anne</v>
          </cell>
          <cell r="P1686" t="str">
            <v>Not Available</v>
          </cell>
          <cell r="Q1686" t="str">
            <v>Not Applicable</v>
          </cell>
          <cell r="R1686" t="str">
            <v>Laerdal Medical Corp</v>
          </cell>
          <cell r="S1686" t="str">
            <v>LAERDAL MALAYSIA SDN BHD</v>
          </cell>
          <cell r="T1686" t="str">
            <v>Functioning</v>
          </cell>
          <cell r="U1686" t="str">
            <v>Asset</v>
          </cell>
          <cell r="V1686">
            <v>875</v>
          </cell>
          <cell r="W1686" t="str">
            <v>KEW</v>
          </cell>
          <cell r="X1686" t="str">
            <v>21/09/2018</v>
          </cell>
          <cell r="Y1686" t="str">
            <v>KEW</v>
          </cell>
          <cell r="Z1686" t="str">
            <v>31/10/2018</v>
          </cell>
          <cell r="AA1686" t="str">
            <v>30/10/2019</v>
          </cell>
          <cell r="AB1686" t="str">
            <v>No</v>
          </cell>
          <cell r="AC1686" t="str">
            <v>31/10/2018</v>
          </cell>
          <cell r="AD1686" t="str">
            <v>Good</v>
          </cell>
          <cell r="AE1686" t="str">
            <v>V3 - Added Installed Facilities (New)</v>
          </cell>
          <cell r="AF1686">
            <v>43507</v>
          </cell>
          <cell r="AG1686">
            <v>1.17</v>
          </cell>
          <cell r="AH1686" t="str">
            <v>RI</v>
          </cell>
          <cell r="AI1686" t="str">
            <v>Strands</v>
          </cell>
          <cell r="AJ1686" t="str">
            <v>Strands PW</v>
          </cell>
        </row>
        <row r="1687">
          <cell r="A1687" t="str">
            <v>IKN401730</v>
          </cell>
          <cell r="B1687">
            <v>1644</v>
          </cell>
          <cell r="C1687" t="str">
            <v>Institut Kanser Negara</v>
          </cell>
          <cell r="D1687" t="str">
            <v>KKM/IKN/R/18/53</v>
          </cell>
          <cell r="E1687" t="str">
            <v>15-309</v>
          </cell>
          <cell r="F1687" t="str">
            <v>Training Manikins, Cardiopulmonary Resuscitation</v>
          </cell>
          <cell r="G1687" t="str">
            <v>AD</v>
          </cell>
          <cell r="H1687" t="str">
            <v>ADMINISTRATION</v>
          </cell>
          <cell r="I1687" t="str">
            <v>06AD122</v>
          </cell>
          <cell r="J1687" t="str">
            <v>SUPERVISOR 1</v>
          </cell>
          <cell r="K1687" t="str">
            <v>BMED</v>
          </cell>
          <cell r="L1687" t="str">
            <v>Normal</v>
          </cell>
          <cell r="M1687" t="str">
            <v>USA</v>
          </cell>
          <cell r="N1687" t="str">
            <v>Laerdal</v>
          </cell>
          <cell r="O1687" t="str">
            <v>Baby Anne</v>
          </cell>
          <cell r="P1687" t="str">
            <v>Not Available</v>
          </cell>
          <cell r="Q1687" t="str">
            <v>Not Applicable</v>
          </cell>
          <cell r="R1687" t="str">
            <v>Laerdal Medical Corp</v>
          </cell>
          <cell r="S1687" t="str">
            <v>LAERDAL MALAYSIA SDN BHD</v>
          </cell>
          <cell r="T1687" t="str">
            <v>Functioning</v>
          </cell>
          <cell r="U1687" t="str">
            <v>Asset</v>
          </cell>
          <cell r="V1687">
            <v>875</v>
          </cell>
          <cell r="W1687" t="str">
            <v>KEW</v>
          </cell>
          <cell r="X1687" t="str">
            <v>21/09/2018</v>
          </cell>
          <cell r="Y1687" t="str">
            <v>KEW</v>
          </cell>
          <cell r="Z1687" t="str">
            <v>31/10/2018</v>
          </cell>
          <cell r="AA1687" t="str">
            <v>30/10/2019</v>
          </cell>
          <cell r="AB1687" t="str">
            <v>No</v>
          </cell>
          <cell r="AC1687" t="str">
            <v>31/10/2018</v>
          </cell>
          <cell r="AD1687" t="str">
            <v>Good</v>
          </cell>
          <cell r="AE1687" t="str">
            <v>V3 - Added Installed Facilities (New)</v>
          </cell>
          <cell r="AF1687">
            <v>43507</v>
          </cell>
          <cell r="AG1687">
            <v>1.17</v>
          </cell>
          <cell r="AH1687" t="str">
            <v>RI</v>
          </cell>
          <cell r="AI1687" t="str">
            <v>Strands</v>
          </cell>
          <cell r="AJ1687" t="str">
            <v>Strands PW</v>
          </cell>
        </row>
        <row r="1688">
          <cell r="A1688" t="str">
            <v>IKN401731</v>
          </cell>
          <cell r="B1688">
            <v>1645</v>
          </cell>
          <cell r="C1688" t="str">
            <v>Institut Kanser Negara</v>
          </cell>
          <cell r="D1688" t="str">
            <v>KKM/IKN/R/18/54</v>
          </cell>
          <cell r="E1688" t="str">
            <v>15-309</v>
          </cell>
          <cell r="F1688" t="str">
            <v>Training Manikins, Cardiopulmonary Resuscitation</v>
          </cell>
          <cell r="G1688" t="str">
            <v>AD</v>
          </cell>
          <cell r="H1688" t="str">
            <v>ADMINISTRATION</v>
          </cell>
          <cell r="I1688" t="str">
            <v>06AD122</v>
          </cell>
          <cell r="J1688" t="str">
            <v>SUPERVISOR 1</v>
          </cell>
          <cell r="K1688" t="str">
            <v>BMED</v>
          </cell>
          <cell r="L1688" t="str">
            <v>Normal</v>
          </cell>
          <cell r="M1688" t="str">
            <v>USA</v>
          </cell>
          <cell r="N1688" t="str">
            <v>Laerdal</v>
          </cell>
          <cell r="O1688" t="str">
            <v>Baby Anne</v>
          </cell>
          <cell r="P1688" t="str">
            <v>Not Available</v>
          </cell>
          <cell r="Q1688" t="str">
            <v>Not Applicable</v>
          </cell>
          <cell r="R1688" t="str">
            <v>Laerdal Medical Corp</v>
          </cell>
          <cell r="S1688" t="str">
            <v>LAERDAL MALAYSIA SDN BHD</v>
          </cell>
          <cell r="T1688" t="str">
            <v>Functioning</v>
          </cell>
          <cell r="U1688" t="str">
            <v>Asset</v>
          </cell>
          <cell r="V1688">
            <v>875</v>
          </cell>
          <cell r="W1688" t="str">
            <v>KEW</v>
          </cell>
          <cell r="X1688" t="str">
            <v>21/09/2018</v>
          </cell>
          <cell r="Y1688" t="str">
            <v>KEW</v>
          </cell>
          <cell r="Z1688" t="str">
            <v>31/10/2018</v>
          </cell>
          <cell r="AA1688" t="str">
            <v>30/10/2019</v>
          </cell>
          <cell r="AB1688" t="str">
            <v>No</v>
          </cell>
          <cell r="AC1688" t="str">
            <v>31/10/2018</v>
          </cell>
          <cell r="AD1688" t="str">
            <v>Good</v>
          </cell>
          <cell r="AE1688" t="str">
            <v>V3 - Added Installed Facilities (New)</v>
          </cell>
          <cell r="AF1688">
            <v>43507</v>
          </cell>
          <cell r="AG1688">
            <v>1.17</v>
          </cell>
          <cell r="AH1688" t="str">
            <v>RI</v>
          </cell>
          <cell r="AI1688" t="str">
            <v>Strands</v>
          </cell>
          <cell r="AJ1688" t="str">
            <v>Strands PW</v>
          </cell>
        </row>
        <row r="1689">
          <cell r="A1689" t="str">
            <v>IKN401732</v>
          </cell>
          <cell r="B1689">
            <v>1646</v>
          </cell>
          <cell r="C1689" t="str">
            <v>Institut Kanser Negara</v>
          </cell>
          <cell r="D1689" t="str">
            <v>KKM/IKN/R/18/55</v>
          </cell>
          <cell r="E1689" t="str">
            <v>15-309</v>
          </cell>
          <cell r="F1689" t="str">
            <v>Training Manikins, Cardiopulmonary Resuscitation</v>
          </cell>
          <cell r="G1689" t="str">
            <v>AD</v>
          </cell>
          <cell r="H1689" t="str">
            <v>ADMINISTRATION</v>
          </cell>
          <cell r="I1689" t="str">
            <v>06AD122</v>
          </cell>
          <cell r="J1689" t="str">
            <v>SUPERVISOR 1</v>
          </cell>
          <cell r="K1689" t="str">
            <v>BMED</v>
          </cell>
          <cell r="L1689" t="str">
            <v>Normal</v>
          </cell>
          <cell r="M1689" t="str">
            <v>USA</v>
          </cell>
          <cell r="N1689" t="str">
            <v>Laerdal</v>
          </cell>
          <cell r="O1689" t="str">
            <v>Baby Anne</v>
          </cell>
          <cell r="P1689" t="str">
            <v>Not Available</v>
          </cell>
          <cell r="Q1689" t="str">
            <v>Not Applicable</v>
          </cell>
          <cell r="R1689" t="str">
            <v>Laerdal Medical Corp</v>
          </cell>
          <cell r="S1689" t="str">
            <v>LAERDAL MALAYSIA SDN BHD</v>
          </cell>
          <cell r="T1689" t="str">
            <v>Functioning</v>
          </cell>
          <cell r="U1689" t="str">
            <v>Asset</v>
          </cell>
          <cell r="V1689">
            <v>875</v>
          </cell>
          <cell r="W1689" t="str">
            <v>KEW</v>
          </cell>
          <cell r="X1689" t="str">
            <v>21/09/2018</v>
          </cell>
          <cell r="Y1689" t="str">
            <v>KEW</v>
          </cell>
          <cell r="Z1689" t="str">
            <v>31/10/2018</v>
          </cell>
          <cell r="AA1689" t="str">
            <v>30/10/2019</v>
          </cell>
          <cell r="AB1689" t="str">
            <v>No</v>
          </cell>
          <cell r="AC1689" t="str">
            <v>31/10/2018</v>
          </cell>
          <cell r="AD1689" t="str">
            <v>Good</v>
          </cell>
          <cell r="AE1689" t="str">
            <v>V3 - Added Installed Facilities (New)</v>
          </cell>
          <cell r="AF1689">
            <v>43507</v>
          </cell>
          <cell r="AG1689">
            <v>1.17</v>
          </cell>
          <cell r="AH1689" t="str">
            <v>RI</v>
          </cell>
          <cell r="AI1689" t="str">
            <v>Strands</v>
          </cell>
          <cell r="AJ1689" t="str">
            <v>Strands PW</v>
          </cell>
        </row>
        <row r="1690">
          <cell r="A1690" t="str">
            <v>IKN401733</v>
          </cell>
          <cell r="B1690">
            <v>1647</v>
          </cell>
          <cell r="C1690" t="str">
            <v>Institut Kanser Negara</v>
          </cell>
          <cell r="D1690" t="str">
            <v>KKM/IKN/H/18/20</v>
          </cell>
          <cell r="E1690" t="str">
            <v>15-309</v>
          </cell>
          <cell r="F1690" t="str">
            <v>Training Manikins, Cardiopulmonary Resuscitation</v>
          </cell>
          <cell r="G1690" t="str">
            <v>AD</v>
          </cell>
          <cell r="H1690" t="str">
            <v>ADMINISTRATION</v>
          </cell>
          <cell r="I1690" t="str">
            <v>06AD122</v>
          </cell>
          <cell r="J1690" t="str">
            <v>SUPERVISOR 1</v>
          </cell>
          <cell r="K1690" t="str">
            <v>BMED</v>
          </cell>
          <cell r="L1690" t="str">
            <v>Normal</v>
          </cell>
          <cell r="M1690" t="str">
            <v>USA</v>
          </cell>
          <cell r="N1690" t="str">
            <v>Laerdal</v>
          </cell>
          <cell r="O1690" t="str">
            <v>Choking Charlie</v>
          </cell>
          <cell r="P1690" t="str">
            <v>Not Available</v>
          </cell>
          <cell r="Q1690" t="str">
            <v>Not Applicable</v>
          </cell>
          <cell r="R1690" t="str">
            <v>Laerdal Medical Corp</v>
          </cell>
          <cell r="S1690" t="str">
            <v>LAERDAL MALAYSIA SDN BHD</v>
          </cell>
          <cell r="T1690" t="str">
            <v>Functioning</v>
          </cell>
          <cell r="U1690" t="str">
            <v>Asset</v>
          </cell>
          <cell r="V1690">
            <v>4482</v>
          </cell>
          <cell r="W1690" t="str">
            <v>KEW</v>
          </cell>
          <cell r="X1690" t="str">
            <v>20/09/2018</v>
          </cell>
          <cell r="Y1690" t="str">
            <v>KEW</v>
          </cell>
          <cell r="Z1690" t="str">
            <v>31/10/2018</v>
          </cell>
          <cell r="AA1690" t="str">
            <v>31/10/2018</v>
          </cell>
          <cell r="AB1690" t="str">
            <v>No</v>
          </cell>
          <cell r="AC1690" t="str">
            <v>31/10/2018</v>
          </cell>
          <cell r="AD1690" t="str">
            <v>Good</v>
          </cell>
          <cell r="AE1690" t="str">
            <v>V3 - Added Installed Facilities (New)</v>
          </cell>
          <cell r="AF1690">
            <v>43482</v>
          </cell>
          <cell r="AG1690">
            <v>1.17</v>
          </cell>
          <cell r="AH1690" t="str">
            <v>RI</v>
          </cell>
          <cell r="AI1690" t="str">
            <v>Strands</v>
          </cell>
          <cell r="AJ1690" t="str">
            <v>Strands PW</v>
          </cell>
        </row>
        <row r="1691">
          <cell r="A1691" t="str">
            <v>IKN401734</v>
          </cell>
          <cell r="B1691">
            <v>1648</v>
          </cell>
          <cell r="C1691" t="str">
            <v>Institut Kanser Negara</v>
          </cell>
          <cell r="D1691" t="str">
            <v>KKM/IKN/H/00/1</v>
          </cell>
          <cell r="E1691" t="str">
            <v>18-449</v>
          </cell>
          <cell r="F1691" t="str">
            <v>Balances, Electronic, Analytical</v>
          </cell>
          <cell r="G1691" t="str">
            <v>NM</v>
          </cell>
          <cell r="H1691" t="str">
            <v>NUCLEAR MED (DIAGNOSTIC)</v>
          </cell>
          <cell r="I1691" t="str">
            <v>03NM153</v>
          </cell>
          <cell r="J1691" t="str">
            <v>PHYSICS LAB</v>
          </cell>
          <cell r="K1691" t="str">
            <v>BMED</v>
          </cell>
          <cell r="L1691" t="str">
            <v>Normal</v>
          </cell>
          <cell r="M1691" t="str">
            <v>Switzerland</v>
          </cell>
          <cell r="N1691" t="str">
            <v>Precisa Instrument AG</v>
          </cell>
          <cell r="O1691" t="str">
            <v>125 A SCS</v>
          </cell>
          <cell r="P1691" t="str">
            <v>41705</v>
          </cell>
          <cell r="Q1691" t="str">
            <v>Not Applicable</v>
          </cell>
          <cell r="R1691" t="str">
            <v>PRECISA</v>
          </cell>
          <cell r="S1691" t="str">
            <v>Bumi Jiwa Sdn. Bhd.</v>
          </cell>
          <cell r="T1691" t="str">
            <v>Functioning</v>
          </cell>
          <cell r="U1691" t="str">
            <v>Asset</v>
          </cell>
          <cell r="V1691">
            <v>6617</v>
          </cell>
          <cell r="W1691" t="str">
            <v>KEW</v>
          </cell>
          <cell r="X1691" t="str">
            <v>05/05/2000</v>
          </cell>
          <cell r="Y1691" t="str">
            <v>KEW</v>
          </cell>
          <cell r="Z1691" t="str">
            <v>05/05/2000</v>
          </cell>
          <cell r="AA1691" t="str">
            <v>04/05/2001</v>
          </cell>
          <cell r="AB1691" t="str">
            <v>No</v>
          </cell>
          <cell r="AC1691" t="str">
            <v>08/02/2019</v>
          </cell>
          <cell r="AD1691" t="str">
            <v>Good</v>
          </cell>
          <cell r="AE1691" t="str">
            <v>V3 - Added Installed Facilities (New)</v>
          </cell>
          <cell r="AF1691">
            <v>43663</v>
          </cell>
          <cell r="AG1691">
            <v>19.5</v>
          </cell>
          <cell r="AH1691" t="str">
            <v>PPM</v>
          </cell>
          <cell r="AI1691" t="str">
            <v>Strands</v>
          </cell>
          <cell r="AJ1691" t="str">
            <v>Strands PW</v>
          </cell>
          <cell r="AK1691" t="str">
            <v>SNF received. 1st batch of V3 asset (December 2020)</v>
          </cell>
        </row>
        <row r="1692">
          <cell r="A1692" t="str">
            <v>IKN401735</v>
          </cell>
          <cell r="B1692">
            <v>1649</v>
          </cell>
          <cell r="C1692" t="str">
            <v>Institut Kanser Negara</v>
          </cell>
          <cell r="D1692" t="str">
            <v>KKM/IKN/H/13/3988</v>
          </cell>
          <cell r="E1692" t="str">
            <v>13-275</v>
          </cell>
          <cell r="F1692" t="str">
            <v>Calibrators, Radioisotope</v>
          </cell>
          <cell r="G1692" t="str">
            <v>NM</v>
          </cell>
          <cell r="H1692" t="str">
            <v>NUCLEAR MED (DIAGNOSTIC)</v>
          </cell>
          <cell r="I1692" t="str">
            <v>03NM153A</v>
          </cell>
          <cell r="J1692" t="str">
            <v>PET CT, HPJ</v>
          </cell>
          <cell r="K1692" t="str">
            <v>BMED</v>
          </cell>
          <cell r="L1692" t="str">
            <v>Normal</v>
          </cell>
          <cell r="M1692" t="str">
            <v>USA</v>
          </cell>
          <cell r="N1692" t="str">
            <v>Atomlab</v>
          </cell>
          <cell r="O1692" t="str">
            <v>Atomlab 500</v>
          </cell>
          <cell r="P1692">
            <v>12080700</v>
          </cell>
          <cell r="Q1692" t="str">
            <v>Not Applicable</v>
          </cell>
          <cell r="R1692" t="str">
            <v>Biodex Medical Systems Inc</v>
          </cell>
          <cell r="S1692" t="str">
            <v>Biodex Medical Systems Inc</v>
          </cell>
          <cell r="T1692" t="str">
            <v>Functioning</v>
          </cell>
          <cell r="U1692" t="str">
            <v>Asset</v>
          </cell>
          <cell r="V1692">
            <v>60390</v>
          </cell>
          <cell r="W1692" t="str">
            <v>KEW</v>
          </cell>
          <cell r="X1692" t="str">
            <v>01/09/2010</v>
          </cell>
          <cell r="Y1692" t="str">
            <v>KEW</v>
          </cell>
          <cell r="Z1692" t="str">
            <v>16/08/2013</v>
          </cell>
          <cell r="AA1692" t="str">
            <v>15/08/2015</v>
          </cell>
          <cell r="AB1692" t="str">
            <v>No</v>
          </cell>
          <cell r="AC1692" t="str">
            <v>16/08/2013</v>
          </cell>
          <cell r="AD1692" t="str">
            <v>Good</v>
          </cell>
          <cell r="AE1692" t="str">
            <v>V10 - Asset in initial fee submission(new/replacement hosp)</v>
          </cell>
          <cell r="AF1692">
            <v>43669</v>
          </cell>
          <cell r="AG1692">
            <v>9.17</v>
          </cell>
          <cell r="AH1692" t="str">
            <v>PPM</v>
          </cell>
          <cell r="AI1692" t="str">
            <v>package</v>
          </cell>
          <cell r="AJ1692" t="str">
            <v>Proposed for V3 P2.24</v>
          </cell>
          <cell r="AK1692" t="str">
            <v>[28/2/2024] ANIS: UPDATE KKM NO., PRICE, TYPE CODE: 13275-001.</v>
          </cell>
        </row>
        <row r="1693">
          <cell r="A1693" t="str">
            <v>IKN401736</v>
          </cell>
          <cell r="B1693">
            <v>1650</v>
          </cell>
          <cell r="C1693" t="str">
            <v>Institut Kanser Negara</v>
          </cell>
          <cell r="D1693" t="str">
            <v>KKM/IKN/H/13/3989</v>
          </cell>
          <cell r="E1693" t="str">
            <v>13-275</v>
          </cell>
          <cell r="F1693" t="str">
            <v>Calibrators, Radioisotope</v>
          </cell>
          <cell r="G1693" t="str">
            <v>NM</v>
          </cell>
          <cell r="H1693" t="str">
            <v>NUCLEAR MED (DIAGNOSTIC)</v>
          </cell>
          <cell r="I1693" t="str">
            <v>03NM153A</v>
          </cell>
          <cell r="J1693" t="str">
            <v>PET CT, HPJ</v>
          </cell>
          <cell r="K1693" t="str">
            <v>BMED</v>
          </cell>
          <cell r="L1693" t="str">
            <v>Normal</v>
          </cell>
          <cell r="M1693" t="str">
            <v>USA</v>
          </cell>
          <cell r="N1693" t="str">
            <v>Atomlab</v>
          </cell>
          <cell r="O1693" t="str">
            <v>Atomlab 500</v>
          </cell>
          <cell r="P1693" t="str">
            <v>12080702</v>
          </cell>
          <cell r="Q1693" t="str">
            <v>Not Applicable</v>
          </cell>
          <cell r="R1693" t="str">
            <v>Biodex Medical Systems Inc</v>
          </cell>
          <cell r="S1693" t="str">
            <v>Biodex Medical Systems Inc</v>
          </cell>
          <cell r="T1693" t="str">
            <v>Functioning</v>
          </cell>
          <cell r="U1693" t="str">
            <v>Asset</v>
          </cell>
          <cell r="V1693">
            <v>20000</v>
          </cell>
          <cell r="W1693" t="str">
            <v>KEW</v>
          </cell>
          <cell r="X1693" t="str">
            <v>01/09/2010</v>
          </cell>
          <cell r="Y1693" t="str">
            <v>KEW</v>
          </cell>
          <cell r="Z1693" t="str">
            <v>16/08/2013</v>
          </cell>
          <cell r="AA1693" t="str">
            <v>15/08/2015</v>
          </cell>
          <cell r="AB1693" t="str">
            <v>No</v>
          </cell>
          <cell r="AC1693" t="str">
            <v>16/08/2013</v>
          </cell>
          <cell r="AD1693" t="str">
            <v>Good</v>
          </cell>
          <cell r="AE1693" t="str">
            <v>V10 - Asset in initial fee submission(new/replacement hosp)</v>
          </cell>
          <cell r="AF1693">
            <v>43669</v>
          </cell>
          <cell r="AG1693">
            <v>9.17</v>
          </cell>
          <cell r="AH1693" t="str">
            <v>PPM</v>
          </cell>
          <cell r="AI1693" t="str">
            <v>package</v>
          </cell>
        </row>
        <row r="1694">
          <cell r="A1694" t="str">
            <v>IKN401991</v>
          </cell>
          <cell r="B1694">
            <v>1651</v>
          </cell>
          <cell r="C1694" t="str">
            <v>Institut Kanser Negara</v>
          </cell>
          <cell r="D1694" t="e">
            <v>#N/A</v>
          </cell>
          <cell r="E1694" t="str">
            <v>12-956</v>
          </cell>
          <cell r="F1694" t="str">
            <v>Baths, Paraffin, Physical Therapy</v>
          </cell>
          <cell r="G1694" t="str">
            <v>RT</v>
          </cell>
          <cell r="H1694" t="str">
            <v>RADIATION TREATMENT UNIT</v>
          </cell>
          <cell r="I1694" t="str">
            <v>01RT118</v>
          </cell>
          <cell r="J1694" t="str">
            <v>CT SIMULATOR 2</v>
          </cell>
          <cell r="K1694" t="str">
            <v>BMED</v>
          </cell>
          <cell r="L1694" t="str">
            <v>Normal</v>
          </cell>
          <cell r="M1694" t="str">
            <v>USA</v>
          </cell>
          <cell r="N1694" t="str">
            <v>Civco</v>
          </cell>
          <cell r="O1694" t="str">
            <v>MTRH 1500 EX</v>
          </cell>
          <cell r="P1694" t="str">
            <v>5848</v>
          </cell>
          <cell r="Q1694" t="str">
            <v>Not Applicable</v>
          </cell>
          <cell r="R1694" t="str">
            <v>Civco</v>
          </cell>
          <cell r="S1694" t="str">
            <v>Civco</v>
          </cell>
          <cell r="T1694" t="str">
            <v>Functioning</v>
          </cell>
          <cell r="U1694" t="str">
            <v>Asset</v>
          </cell>
          <cell r="V1694">
            <v>1</v>
          </cell>
          <cell r="W1694" t="str">
            <v>KEW</v>
          </cell>
          <cell r="X1694" t="str">
            <v>01/09/2010</v>
          </cell>
          <cell r="Y1694" t="str">
            <v>KEW</v>
          </cell>
          <cell r="Z1694" t="str">
            <v>16/08/2013</v>
          </cell>
          <cell r="AA1694" t="str">
            <v>15/08/2015</v>
          </cell>
          <cell r="AB1694" t="str">
            <v>No</v>
          </cell>
          <cell r="AC1694" t="str">
            <v>31/08/2013</v>
          </cell>
          <cell r="AD1694" t="str">
            <v>Good</v>
          </cell>
          <cell r="AE1694" t="str">
            <v>V1 - Existing / No Claim</v>
          </cell>
          <cell r="AF1694">
            <v>43455</v>
          </cell>
          <cell r="AG1694">
            <v>9.17</v>
          </cell>
          <cell r="AH1694" t="str">
            <v>PPM</v>
          </cell>
          <cell r="AI1694" t="str">
            <v>package</v>
          </cell>
        </row>
        <row r="1695">
          <cell r="A1695" t="str">
            <v>IKN401993</v>
          </cell>
          <cell r="B1695">
            <v>1652</v>
          </cell>
          <cell r="C1695" t="str">
            <v>Institut Kanser Negara</v>
          </cell>
          <cell r="D1695" t="e">
            <v>#N/A</v>
          </cell>
          <cell r="E1695" t="str">
            <v>12-956</v>
          </cell>
          <cell r="F1695" t="str">
            <v>Baths, Paraffin, Physical Therapy</v>
          </cell>
          <cell r="G1695" t="str">
            <v>RT</v>
          </cell>
          <cell r="H1695" t="str">
            <v>RADIATION TREATMENT UNIT</v>
          </cell>
          <cell r="I1695" t="str">
            <v>01RT116</v>
          </cell>
          <cell r="J1695" t="str">
            <v>CT SIMULATOR 1</v>
          </cell>
          <cell r="K1695" t="str">
            <v>BMED</v>
          </cell>
          <cell r="L1695" t="str">
            <v>Normal</v>
          </cell>
          <cell r="M1695" t="str">
            <v>USA</v>
          </cell>
          <cell r="N1695" t="str">
            <v>Civco</v>
          </cell>
          <cell r="O1695" t="str">
            <v>MTRH 1500 EX</v>
          </cell>
          <cell r="P1695" t="str">
            <v>5866</v>
          </cell>
          <cell r="Q1695" t="str">
            <v>Not Applicable</v>
          </cell>
          <cell r="R1695" t="str">
            <v>Civco</v>
          </cell>
          <cell r="S1695" t="str">
            <v>Civco</v>
          </cell>
          <cell r="T1695" t="str">
            <v>Functioning</v>
          </cell>
          <cell r="U1695" t="str">
            <v>Asset</v>
          </cell>
          <cell r="V1695">
            <v>1</v>
          </cell>
          <cell r="W1695" t="str">
            <v>KEW</v>
          </cell>
          <cell r="X1695" t="str">
            <v>01/09/2010</v>
          </cell>
          <cell r="Y1695" t="str">
            <v>KEW</v>
          </cell>
          <cell r="Z1695" t="str">
            <v>16/08/2013</v>
          </cell>
          <cell r="AA1695" t="str">
            <v>15/08/2015</v>
          </cell>
          <cell r="AB1695" t="str">
            <v>No</v>
          </cell>
          <cell r="AC1695" t="str">
            <v>31/08/2013</v>
          </cell>
          <cell r="AD1695" t="str">
            <v>Good</v>
          </cell>
          <cell r="AE1695" t="str">
            <v>V1 - Existing / No Claim</v>
          </cell>
          <cell r="AF1695">
            <v>43455</v>
          </cell>
          <cell r="AG1695">
            <v>9.17</v>
          </cell>
          <cell r="AH1695" t="str">
            <v>PPM</v>
          </cell>
          <cell r="AI1695" t="str">
            <v>package</v>
          </cell>
        </row>
        <row r="1696">
          <cell r="A1696" t="str">
            <v>IKN401998</v>
          </cell>
          <cell r="B1696">
            <v>1653</v>
          </cell>
          <cell r="C1696" t="str">
            <v>Institut Kanser Negara</v>
          </cell>
          <cell r="D1696" t="e">
            <v>#N/A</v>
          </cell>
          <cell r="E1696" t="str">
            <v>16-287</v>
          </cell>
          <cell r="F1696" t="str">
            <v>Hot Plates</v>
          </cell>
          <cell r="G1696" t="str">
            <v>PF</v>
          </cell>
          <cell r="H1696" t="str">
            <v>IN-PATIENT PHARMACY</v>
          </cell>
          <cell r="I1696" t="str">
            <v>05PF110</v>
          </cell>
          <cell r="J1696" t="str">
            <v>EXTERNAL PREP</v>
          </cell>
          <cell r="K1696" t="str">
            <v>BMED</v>
          </cell>
          <cell r="L1696" t="str">
            <v>Normal</v>
          </cell>
          <cell r="M1696" t="str">
            <v>UK</v>
          </cell>
          <cell r="N1696" t="str">
            <v>STUART</v>
          </cell>
          <cell r="O1696" t="str">
            <v>SB160</v>
          </cell>
          <cell r="P1696" t="str">
            <v>R400000338</v>
          </cell>
          <cell r="Q1696" t="str">
            <v>Not Applicable</v>
          </cell>
          <cell r="R1696" t="str">
            <v>STUART</v>
          </cell>
          <cell r="S1696" t="str">
            <v>STUART</v>
          </cell>
          <cell r="T1696" t="str">
            <v>Functioning</v>
          </cell>
          <cell r="U1696" t="str">
            <v>Asset</v>
          </cell>
          <cell r="V1696">
            <v>2170</v>
          </cell>
          <cell r="W1696" t="str">
            <v>Estimate</v>
          </cell>
          <cell r="X1696" t="str">
            <v>01/09/2010</v>
          </cell>
          <cell r="Y1696" t="str">
            <v>Estimate</v>
          </cell>
          <cell r="Z1696" t="str">
            <v>16/08/2013</v>
          </cell>
          <cell r="AA1696" t="str">
            <v>15/08/2015</v>
          </cell>
          <cell r="AB1696" t="str">
            <v>No</v>
          </cell>
          <cell r="AC1696" t="str">
            <v>31/08/2013</v>
          </cell>
          <cell r="AD1696" t="str">
            <v>Good</v>
          </cell>
          <cell r="AE1696" t="str">
            <v>V1 - Existing / No Claim</v>
          </cell>
          <cell r="AF1696">
            <v>42867</v>
          </cell>
          <cell r="AG1696">
            <v>9.17</v>
          </cell>
          <cell r="AH1696" t="str">
            <v>RI</v>
          </cell>
          <cell r="AI1696" t="str">
            <v>Not in contract</v>
          </cell>
        </row>
        <row r="1697">
          <cell r="A1697" t="str">
            <v>IKN401999</v>
          </cell>
          <cell r="B1697">
            <v>1654</v>
          </cell>
          <cell r="C1697" t="str">
            <v>Institut Kanser Negara</v>
          </cell>
          <cell r="D1697" t="str">
            <v>KKM/IKN/H/13/4881</v>
          </cell>
          <cell r="E1697" t="str">
            <v>10-263</v>
          </cell>
          <cell r="F1697" t="str">
            <v>Balances, Electronic</v>
          </cell>
          <cell r="G1697" t="str">
            <v>PF</v>
          </cell>
          <cell r="H1697" t="str">
            <v>IN-PATIENT PHARMACY</v>
          </cell>
          <cell r="I1697" t="str">
            <v>05PF110</v>
          </cell>
          <cell r="J1697" t="str">
            <v>EXTERNAL PREP</v>
          </cell>
          <cell r="K1697" t="str">
            <v>BMED</v>
          </cell>
          <cell r="L1697" t="str">
            <v>Normal</v>
          </cell>
          <cell r="M1697" t="str">
            <v>Germany</v>
          </cell>
          <cell r="N1697" t="str">
            <v>Sartorius</v>
          </cell>
          <cell r="O1697" t="str">
            <v>Sartorius</v>
          </cell>
          <cell r="P1697" t="str">
            <v>Not Available</v>
          </cell>
          <cell r="Q1697" t="str">
            <v>Not Applicable</v>
          </cell>
          <cell r="R1697" t="str">
            <v>Sartorius AG</v>
          </cell>
          <cell r="S1697" t="str">
            <v>Sartorius AG</v>
          </cell>
          <cell r="T1697" t="str">
            <v>Functioning</v>
          </cell>
          <cell r="U1697" t="str">
            <v>Asset</v>
          </cell>
          <cell r="V1697">
            <v>3850</v>
          </cell>
          <cell r="W1697" t="str">
            <v>KEW</v>
          </cell>
          <cell r="X1697" t="str">
            <v>01/09/2010</v>
          </cell>
          <cell r="Y1697" t="str">
            <v>Estimate</v>
          </cell>
          <cell r="Z1697" t="str">
            <v>16/08/2013</v>
          </cell>
          <cell r="AA1697" t="str">
            <v>15/08/2015</v>
          </cell>
          <cell r="AB1697" t="str">
            <v>No</v>
          </cell>
          <cell r="AC1697" t="str">
            <v>31/08/2013</v>
          </cell>
          <cell r="AD1697" t="str">
            <v>Good</v>
          </cell>
          <cell r="AE1697" t="str">
            <v>V1 - Existing / No Claim</v>
          </cell>
          <cell r="AF1697">
            <v>42867</v>
          </cell>
          <cell r="AG1697">
            <v>9.17</v>
          </cell>
          <cell r="AH1697" t="str">
            <v>PPM</v>
          </cell>
          <cell r="AI1697" t="str">
            <v>Strands</v>
          </cell>
          <cell r="AJ1697" t="str">
            <v>Strands PW</v>
          </cell>
        </row>
        <row r="1698">
          <cell r="A1698" t="str">
            <v>IKN402000</v>
          </cell>
          <cell r="B1698">
            <v>1655</v>
          </cell>
          <cell r="C1698" t="str">
            <v>Institut Kanser Negara</v>
          </cell>
          <cell r="D1698" t="str">
            <v>KKM/IKN/H/13/4874</v>
          </cell>
          <cell r="E1698" t="str">
            <v>15-651</v>
          </cell>
          <cell r="F1698" t="str">
            <v>Stirrers</v>
          </cell>
          <cell r="G1698" t="str">
            <v>PF</v>
          </cell>
          <cell r="H1698" t="str">
            <v>IN-PATIENT PHARMACY</v>
          </cell>
          <cell r="I1698" t="str">
            <v>05PF110</v>
          </cell>
          <cell r="J1698" t="str">
            <v>EXTERNAL PREP</v>
          </cell>
          <cell r="K1698" t="str">
            <v>BMED</v>
          </cell>
          <cell r="L1698" t="str">
            <v>Normal</v>
          </cell>
          <cell r="M1698" t="str">
            <v>United States</v>
          </cell>
          <cell r="N1698" t="str">
            <v>SILVERSON</v>
          </cell>
          <cell r="O1698" t="str">
            <v>AX5</v>
          </cell>
          <cell r="P1698" t="str">
            <v>10082</v>
          </cell>
          <cell r="Q1698" t="str">
            <v>Not Applicable</v>
          </cell>
          <cell r="R1698" t="str">
            <v>FISHER SCIENTIFIC</v>
          </cell>
          <cell r="S1698" t="str">
            <v>FISHER SCIENTIFIC</v>
          </cell>
          <cell r="T1698" t="str">
            <v>Functioning</v>
          </cell>
          <cell r="U1698" t="str">
            <v>Asset</v>
          </cell>
          <cell r="V1698">
            <v>5520</v>
          </cell>
          <cell r="W1698" t="str">
            <v>KEW</v>
          </cell>
          <cell r="X1698" t="str">
            <v>01/09/2010</v>
          </cell>
          <cell r="Y1698" t="str">
            <v>Estimate</v>
          </cell>
          <cell r="Z1698" t="str">
            <v>16/08/2013</v>
          </cell>
          <cell r="AA1698" t="str">
            <v>15/08/2015</v>
          </cell>
          <cell r="AB1698" t="str">
            <v>No</v>
          </cell>
          <cell r="AC1698" t="str">
            <v>31/08/2013</v>
          </cell>
          <cell r="AD1698" t="str">
            <v>Good</v>
          </cell>
          <cell r="AE1698" t="str">
            <v>V1 - Existing / No Claim</v>
          </cell>
          <cell r="AF1698">
            <v>42867</v>
          </cell>
          <cell r="AG1698">
            <v>9.17</v>
          </cell>
          <cell r="AH1698" t="str">
            <v>PPM</v>
          </cell>
          <cell r="AI1698" t="str">
            <v>Strands</v>
          </cell>
          <cell r="AJ1698" t="str">
            <v>Strands PW</v>
          </cell>
        </row>
        <row r="1699">
          <cell r="A1699" t="str">
            <v>IKN402004</v>
          </cell>
          <cell r="B1699">
            <v>1659</v>
          </cell>
          <cell r="C1699" t="str">
            <v>Institut Kanser Negara</v>
          </cell>
          <cell r="D1699" t="str">
            <v>KKM/IKN/H/19/25</v>
          </cell>
          <cell r="E1699" t="str">
            <v>18-191</v>
          </cell>
          <cell r="F1699" t="str">
            <v>Scanning Systems, Laser, Optical Tomography</v>
          </cell>
          <cell r="G1699" t="str">
            <v>RT</v>
          </cell>
          <cell r="H1699" t="str">
            <v>RADIATION TREATMENT UNIT</v>
          </cell>
          <cell r="I1699" t="str">
            <v>01RT172</v>
          </cell>
          <cell r="J1699" t="str">
            <v>LINAC ROOM 3</v>
          </cell>
          <cell r="K1699" t="str">
            <v>BMED</v>
          </cell>
          <cell r="L1699" t="str">
            <v>Normal</v>
          </cell>
          <cell r="M1699" t="str">
            <v>Sweden</v>
          </cell>
          <cell r="N1699" t="str">
            <v>CATALYST/SENTINEL 4DCT</v>
          </cell>
          <cell r="O1699" t="str">
            <v>SENTINEL 4DCT/LS200</v>
          </cell>
          <cell r="P1699" t="str">
            <v>HY-003.04-0446</v>
          </cell>
          <cell r="Q1699" t="str">
            <v>Not Applicable</v>
          </cell>
          <cell r="R1699" t="str">
            <v>C-RAD</v>
          </cell>
          <cell r="S1699" t="str">
            <v>ABEX MEDICAL SYSTEM SDN BHD</v>
          </cell>
          <cell r="T1699" t="str">
            <v>Functioning</v>
          </cell>
          <cell r="U1699" t="str">
            <v>Asset</v>
          </cell>
          <cell r="V1699">
            <v>2185000</v>
          </cell>
          <cell r="W1699" t="str">
            <v>KEW</v>
          </cell>
          <cell r="X1699">
            <v>43749</v>
          </cell>
          <cell r="Y1699" t="str">
            <v>KEW</v>
          </cell>
          <cell r="Z1699">
            <v>43768</v>
          </cell>
          <cell r="AA1699">
            <v>44499</v>
          </cell>
          <cell r="AB1699" t="str">
            <v>No</v>
          </cell>
          <cell r="AC1699">
            <v>43768</v>
          </cell>
          <cell r="AD1699" t="str">
            <v>Good</v>
          </cell>
          <cell r="AE1699" t="str">
            <v>V3 - Added Installed Facilities (New)</v>
          </cell>
          <cell r="AH1699" t="str">
            <v>PPM</v>
          </cell>
          <cell r="AI1699" t="str">
            <v>Strands</v>
          </cell>
          <cell r="AJ1699" t="str">
            <v>Strands PW</v>
          </cell>
          <cell r="AK1699" t="str">
            <v>SNF received for P2.19</v>
          </cell>
        </row>
        <row r="1700">
          <cell r="A1700" t="str">
            <v>IKN402005</v>
          </cell>
          <cell r="B1700">
            <v>1660</v>
          </cell>
          <cell r="C1700" t="str">
            <v>Institut Kanser Negara</v>
          </cell>
          <cell r="D1700" t="str">
            <v>KKM/IKN/H/19/26</v>
          </cell>
          <cell r="E1700" t="str">
            <v>12-093</v>
          </cell>
          <cell r="F1700" t="str">
            <v>Immobilizers</v>
          </cell>
          <cell r="G1700" t="str">
            <v>RT</v>
          </cell>
          <cell r="H1700" t="str">
            <v>RADIATION TREATMENT UNIT</v>
          </cell>
          <cell r="I1700" t="str">
            <v>01RT118</v>
          </cell>
          <cell r="J1700" t="str">
            <v>CT SIMULATOR 2</v>
          </cell>
          <cell r="K1700" t="str">
            <v>BMED</v>
          </cell>
          <cell r="L1700" t="str">
            <v>Normal</v>
          </cell>
          <cell r="P1700" t="str">
            <v>271S1132G008</v>
          </cell>
          <cell r="Q1700" t="str">
            <v>Not Applicable</v>
          </cell>
          <cell r="R1700" t="str">
            <v>ORFIT INDUSTRIES</v>
          </cell>
          <cell r="S1700" t="str">
            <v>ABEX MEDICAL SYSTEM SDN BHD</v>
          </cell>
          <cell r="T1700" t="str">
            <v>Functioning</v>
          </cell>
          <cell r="U1700" t="str">
            <v>Asset</v>
          </cell>
          <cell r="V1700">
            <v>115000</v>
          </cell>
          <cell r="W1700" t="str">
            <v>KEW</v>
          </cell>
          <cell r="X1700">
            <v>43749</v>
          </cell>
          <cell r="Y1700" t="str">
            <v>KEW</v>
          </cell>
          <cell r="Z1700">
            <v>43768</v>
          </cell>
          <cell r="AA1700">
            <v>44499</v>
          </cell>
          <cell r="AB1700" t="str">
            <v>No</v>
          </cell>
          <cell r="AC1700">
            <v>43768</v>
          </cell>
          <cell r="AD1700" t="str">
            <v>Good</v>
          </cell>
          <cell r="AE1700" t="str">
            <v>V3 - Added Installed Facilities (New)</v>
          </cell>
          <cell r="AH1700" t="str">
            <v>PPM</v>
          </cell>
          <cell r="AI1700" t="str">
            <v>Strands</v>
          </cell>
          <cell r="AJ1700" t="str">
            <v>Strands PW</v>
          </cell>
          <cell r="AK1700" t="str">
            <v>SNF received for P2.19. Vendor/User inform no maintenance.</v>
          </cell>
        </row>
        <row r="1701">
          <cell r="A1701" t="str">
            <v>IKN402006</v>
          </cell>
          <cell r="B1701">
            <v>1661</v>
          </cell>
          <cell r="C1701" t="str">
            <v>Institut Kanser Negara</v>
          </cell>
          <cell r="D1701" t="str">
            <v>KKM/IKN/H/20/4</v>
          </cell>
          <cell r="E1701" t="str">
            <v>12-873</v>
          </cell>
          <cell r="F1701" t="str">
            <v>Concentrators, Oxygen</v>
          </cell>
          <cell r="G1701" t="str">
            <v>PC</v>
          </cell>
          <cell r="H1701" t="str">
            <v>PALLIATIVE CARE UNIT</v>
          </cell>
          <cell r="I1701" t="str">
            <v>04PC109</v>
          </cell>
          <cell r="J1701" t="str">
            <v>GEN. STORE</v>
          </cell>
          <cell r="K1701" t="str">
            <v>BMED</v>
          </cell>
          <cell r="L1701" t="str">
            <v>Normal</v>
          </cell>
          <cell r="M1701" t="str">
            <v>USA</v>
          </cell>
          <cell r="N1701" t="str">
            <v>EverFlo</v>
          </cell>
          <cell r="O1701" t="str">
            <v>EverFlo 5 LPM</v>
          </cell>
          <cell r="P1701" t="str">
            <v>0048251</v>
          </cell>
          <cell r="Q1701" t="str">
            <v>Not Applicable</v>
          </cell>
          <cell r="R1701" t="str">
            <v>Respironics</v>
          </cell>
          <cell r="S1701" t="str">
            <v>Philips</v>
          </cell>
          <cell r="T1701" t="str">
            <v>Functioning</v>
          </cell>
          <cell r="U1701" t="str">
            <v>Asset</v>
          </cell>
          <cell r="V1701">
            <v>3333.33</v>
          </cell>
          <cell r="W1701" t="str">
            <v>KEW</v>
          </cell>
          <cell r="X1701">
            <v>43866</v>
          </cell>
          <cell r="Y1701" t="str">
            <v>KEW</v>
          </cell>
          <cell r="Z1701">
            <v>43892</v>
          </cell>
          <cell r="AA1701">
            <v>44257</v>
          </cell>
          <cell r="AB1701" t="str">
            <v>No</v>
          </cell>
          <cell r="AC1701">
            <v>43955</v>
          </cell>
          <cell r="AD1701" t="str">
            <v>Good</v>
          </cell>
          <cell r="AE1701" t="str">
            <v>V3 - Added Installed Facilities (New)</v>
          </cell>
          <cell r="AH1701" t="str">
            <v>PPM</v>
          </cell>
          <cell r="AI1701" t="str">
            <v>Strands</v>
          </cell>
          <cell r="AJ1701" t="str">
            <v>Strands PW</v>
          </cell>
          <cell r="AK1701" t="str">
            <v>SNF received on 10.3.2020</v>
          </cell>
        </row>
        <row r="1702">
          <cell r="A1702" t="str">
            <v>IKN402007</v>
          </cell>
          <cell r="B1702">
            <v>1662</v>
          </cell>
          <cell r="C1702" t="str">
            <v>Institut Kanser Negara</v>
          </cell>
          <cell r="D1702" t="str">
            <v>KKM/IKN/H/20/6</v>
          </cell>
          <cell r="E1702" t="str">
            <v>12-873</v>
          </cell>
          <cell r="F1702" t="str">
            <v>Concentrators, Oxygen</v>
          </cell>
          <cell r="G1702" t="str">
            <v>PC</v>
          </cell>
          <cell r="H1702" t="str">
            <v>PALLIATIVE CARE UNIT</v>
          </cell>
          <cell r="I1702" t="str">
            <v>04PC109</v>
          </cell>
          <cell r="J1702" t="str">
            <v>GEN. STORE</v>
          </cell>
          <cell r="K1702" t="str">
            <v>BMED</v>
          </cell>
          <cell r="L1702" t="str">
            <v>Normal</v>
          </cell>
          <cell r="M1702" t="str">
            <v>USA</v>
          </cell>
          <cell r="N1702" t="str">
            <v>EverFlo</v>
          </cell>
          <cell r="O1702" t="str">
            <v>EverFlo 5 LPM</v>
          </cell>
          <cell r="P1702" t="str">
            <v>0048108</v>
          </cell>
          <cell r="Q1702" t="str">
            <v>Not Applicable</v>
          </cell>
          <cell r="R1702" t="str">
            <v>Respironics</v>
          </cell>
          <cell r="S1702" t="str">
            <v>Philips</v>
          </cell>
          <cell r="T1702" t="str">
            <v>Functioning</v>
          </cell>
          <cell r="U1702" t="str">
            <v>Asset</v>
          </cell>
          <cell r="V1702">
            <v>3333.33</v>
          </cell>
          <cell r="W1702" t="str">
            <v>KEW</v>
          </cell>
          <cell r="X1702">
            <v>43866</v>
          </cell>
          <cell r="Y1702" t="str">
            <v>KEW</v>
          </cell>
          <cell r="Z1702">
            <v>43892</v>
          </cell>
          <cell r="AA1702">
            <v>44257</v>
          </cell>
          <cell r="AB1702" t="str">
            <v>No</v>
          </cell>
          <cell r="AC1702">
            <v>43955</v>
          </cell>
          <cell r="AD1702" t="str">
            <v>Good</v>
          </cell>
          <cell r="AE1702" t="str">
            <v>V3 - Added Installed Facilities (New)</v>
          </cell>
          <cell r="AH1702" t="str">
            <v>PPM</v>
          </cell>
          <cell r="AI1702" t="str">
            <v>Strands</v>
          </cell>
          <cell r="AJ1702" t="str">
            <v>Strands PW</v>
          </cell>
          <cell r="AK1702" t="str">
            <v>SNF received on 10.3.2020</v>
          </cell>
        </row>
        <row r="1703">
          <cell r="A1703" t="str">
            <v>IKN402008</v>
          </cell>
          <cell r="B1703">
            <v>1663</v>
          </cell>
          <cell r="C1703" t="str">
            <v>Institut Kanser Negara</v>
          </cell>
          <cell r="D1703" t="str">
            <v>KKM/IKN/H/20/5</v>
          </cell>
          <cell r="E1703" t="str">
            <v>12-873</v>
          </cell>
          <cell r="F1703" t="str">
            <v>Concentrators, Oxygen</v>
          </cell>
          <cell r="G1703" t="str">
            <v>PC</v>
          </cell>
          <cell r="H1703" t="str">
            <v>PALLIATIVE CARE UNIT</v>
          </cell>
          <cell r="I1703" t="str">
            <v>04PC109</v>
          </cell>
          <cell r="J1703" t="str">
            <v>GEN. STORE</v>
          </cell>
          <cell r="K1703" t="str">
            <v>BMED</v>
          </cell>
          <cell r="L1703" t="str">
            <v>Normal</v>
          </cell>
          <cell r="M1703" t="str">
            <v>USA</v>
          </cell>
          <cell r="N1703" t="str">
            <v>EverFlo</v>
          </cell>
          <cell r="O1703" t="str">
            <v>EverFlo 5 LPM</v>
          </cell>
          <cell r="P1703" t="str">
            <v>0048258</v>
          </cell>
          <cell r="Q1703" t="str">
            <v>Not Applicable</v>
          </cell>
          <cell r="R1703" t="str">
            <v>Respironics</v>
          </cell>
          <cell r="S1703" t="str">
            <v>Philips</v>
          </cell>
          <cell r="T1703" t="str">
            <v>Functioning</v>
          </cell>
          <cell r="U1703" t="str">
            <v>Asset</v>
          </cell>
          <cell r="V1703">
            <v>3333.33</v>
          </cell>
          <cell r="W1703" t="str">
            <v>KEW</v>
          </cell>
          <cell r="X1703">
            <v>43866</v>
          </cell>
          <cell r="Y1703" t="str">
            <v>KEW</v>
          </cell>
          <cell r="Z1703">
            <v>43892</v>
          </cell>
          <cell r="AA1703">
            <v>44257</v>
          </cell>
          <cell r="AB1703" t="str">
            <v>No</v>
          </cell>
          <cell r="AC1703">
            <v>43955</v>
          </cell>
          <cell r="AD1703" t="str">
            <v>Good</v>
          </cell>
          <cell r="AE1703" t="str">
            <v>V3 - Added Installed Facilities (New)</v>
          </cell>
          <cell r="AH1703" t="str">
            <v>PPM</v>
          </cell>
          <cell r="AI1703" t="str">
            <v>Strands</v>
          </cell>
          <cell r="AJ1703" t="str">
            <v>Strands PW</v>
          </cell>
          <cell r="AK1703" t="str">
            <v>SNF received on 10.3.2020</v>
          </cell>
        </row>
        <row r="1704">
          <cell r="A1704" t="str">
            <v>IKN402009</v>
          </cell>
          <cell r="B1704">
            <v>1664</v>
          </cell>
          <cell r="C1704" t="str">
            <v>Institut Kanser Negara</v>
          </cell>
          <cell r="D1704" t="str">
            <v>KKM/IKN/H/20/7</v>
          </cell>
          <cell r="E1704" t="str">
            <v>12-873</v>
          </cell>
          <cell r="F1704" t="str">
            <v>Concentrators, Oxygen</v>
          </cell>
          <cell r="G1704" t="str">
            <v>PC</v>
          </cell>
          <cell r="H1704" t="str">
            <v>PALLIATIVE CARE UNIT</v>
          </cell>
          <cell r="I1704" t="str">
            <v>04PC109</v>
          </cell>
          <cell r="J1704" t="str">
            <v>GEN. STORE</v>
          </cell>
          <cell r="K1704" t="str">
            <v>BMED</v>
          </cell>
          <cell r="L1704" t="str">
            <v>Normal</v>
          </cell>
          <cell r="M1704" t="str">
            <v>USA</v>
          </cell>
          <cell r="N1704" t="str">
            <v>EverFlo</v>
          </cell>
          <cell r="O1704" t="str">
            <v>EverFlo</v>
          </cell>
          <cell r="P1704" t="str">
            <v>0049759</v>
          </cell>
          <cell r="Q1704" t="str">
            <v>Not Applicable</v>
          </cell>
          <cell r="R1704" t="str">
            <v>Respironics</v>
          </cell>
          <cell r="S1704" t="str">
            <v>Philips</v>
          </cell>
          <cell r="T1704" t="str">
            <v>Functioning</v>
          </cell>
          <cell r="U1704" t="str">
            <v>Asset</v>
          </cell>
          <cell r="V1704">
            <v>3400</v>
          </cell>
          <cell r="W1704" t="str">
            <v>KEW</v>
          </cell>
          <cell r="X1704">
            <v>43866</v>
          </cell>
          <cell r="Y1704" t="str">
            <v>KEW</v>
          </cell>
          <cell r="Z1704">
            <v>43892</v>
          </cell>
          <cell r="AA1704">
            <v>44257</v>
          </cell>
          <cell r="AB1704" t="str">
            <v>No</v>
          </cell>
          <cell r="AC1704">
            <v>43955</v>
          </cell>
          <cell r="AD1704" t="str">
            <v>Good</v>
          </cell>
          <cell r="AE1704" t="str">
            <v>V3 - Added Installed Facilities (New)</v>
          </cell>
          <cell r="AH1704" t="str">
            <v>PPM</v>
          </cell>
          <cell r="AI1704" t="str">
            <v>Strands</v>
          </cell>
          <cell r="AJ1704" t="str">
            <v>Strands PW</v>
          </cell>
          <cell r="AK1704" t="str">
            <v>SNF received on 10.3.2020</v>
          </cell>
        </row>
        <row r="1705">
          <cell r="A1705" t="str">
            <v>IKN402010</v>
          </cell>
          <cell r="B1705">
            <v>1665</v>
          </cell>
          <cell r="C1705" t="str">
            <v>Institut Kanser Negara</v>
          </cell>
          <cell r="D1705" t="str">
            <v>KKM/IKN/H/20/3</v>
          </cell>
          <cell r="E1705" t="str">
            <v>12-873</v>
          </cell>
          <cell r="F1705" t="str">
            <v>Concentrators, Oxygen</v>
          </cell>
          <cell r="G1705" t="str">
            <v>PC</v>
          </cell>
          <cell r="H1705" t="str">
            <v>PALLIATIVE CARE UNIT</v>
          </cell>
          <cell r="I1705" t="str">
            <v>04PC109</v>
          </cell>
          <cell r="J1705" t="str">
            <v>GEN. STORE</v>
          </cell>
          <cell r="K1705" t="str">
            <v>BMED</v>
          </cell>
          <cell r="L1705" t="str">
            <v>Normal</v>
          </cell>
          <cell r="M1705" t="str">
            <v>USA</v>
          </cell>
          <cell r="N1705" t="str">
            <v>EverFlo</v>
          </cell>
          <cell r="O1705" t="str">
            <v>EverFlo</v>
          </cell>
          <cell r="P1705" t="str">
            <v>0050005</v>
          </cell>
          <cell r="Q1705" t="str">
            <v>Not Applicable</v>
          </cell>
          <cell r="R1705" t="str">
            <v>Respironics</v>
          </cell>
          <cell r="S1705" t="str">
            <v>Philips</v>
          </cell>
          <cell r="T1705" t="str">
            <v>Functioning</v>
          </cell>
          <cell r="U1705" t="str">
            <v>Asset</v>
          </cell>
          <cell r="V1705">
            <v>3400</v>
          </cell>
          <cell r="W1705" t="str">
            <v>KEW</v>
          </cell>
          <cell r="X1705">
            <v>43866</v>
          </cell>
          <cell r="Y1705" t="str">
            <v>KEW</v>
          </cell>
          <cell r="Z1705">
            <v>43892</v>
          </cell>
          <cell r="AA1705">
            <v>44257</v>
          </cell>
          <cell r="AB1705" t="str">
            <v>No</v>
          </cell>
          <cell r="AC1705">
            <v>43955</v>
          </cell>
          <cell r="AD1705" t="str">
            <v>Good</v>
          </cell>
          <cell r="AE1705" t="str">
            <v>V3 - Added Installed Facilities (New)</v>
          </cell>
          <cell r="AH1705" t="str">
            <v>PPM</v>
          </cell>
          <cell r="AI1705" t="str">
            <v>Strands</v>
          </cell>
          <cell r="AJ1705" t="str">
            <v>Strands PW</v>
          </cell>
          <cell r="AK1705" t="str">
            <v>SNF received on 10.3.2020</v>
          </cell>
        </row>
        <row r="1706">
          <cell r="A1706" t="str">
            <v>IKN402011</v>
          </cell>
          <cell r="B1706">
            <v>1666</v>
          </cell>
          <cell r="C1706" t="str">
            <v>Institut Kanser Negara</v>
          </cell>
          <cell r="D1706" t="str">
            <v>KKM/IKN/R/20/21</v>
          </cell>
          <cell r="E1706" t="str">
            <v>15-663</v>
          </cell>
          <cell r="F1706" t="str">
            <v>Pipetters</v>
          </cell>
          <cell r="G1706" t="str">
            <v>LA</v>
          </cell>
          <cell r="H1706" t="str">
            <v>PATHOLOGY</v>
          </cell>
          <cell r="I1706" t="str">
            <v>04LA127</v>
          </cell>
          <cell r="J1706" t="str">
            <v>INNOCULATION/STAINING</v>
          </cell>
          <cell r="K1706" t="str">
            <v>BMED</v>
          </cell>
          <cell r="L1706" t="str">
            <v>Normal</v>
          </cell>
          <cell r="M1706" t="str">
            <v>Germany</v>
          </cell>
          <cell r="N1706" t="str">
            <v>Eppendorf</v>
          </cell>
          <cell r="O1706" t="str">
            <v>Eppendorf Research</v>
          </cell>
          <cell r="P1706" t="str">
            <v>186349Z</v>
          </cell>
          <cell r="Q1706" t="str">
            <v>Not Applicable</v>
          </cell>
          <cell r="R1706" t="str">
            <v>Eppendorf</v>
          </cell>
          <cell r="S1706" t="str">
            <v>MEDIGENE SDN BHD</v>
          </cell>
          <cell r="T1706" t="str">
            <v>Functioning</v>
          </cell>
          <cell r="U1706" t="str">
            <v>Asset</v>
          </cell>
          <cell r="V1706">
            <v>1000</v>
          </cell>
          <cell r="W1706" t="str">
            <v>KEW</v>
          </cell>
          <cell r="X1706">
            <v>43944</v>
          </cell>
          <cell r="Y1706" t="str">
            <v>KEW</v>
          </cell>
          <cell r="Z1706">
            <v>43950</v>
          </cell>
          <cell r="AA1706">
            <v>44315</v>
          </cell>
          <cell r="AB1706" t="str">
            <v>No</v>
          </cell>
          <cell r="AC1706">
            <v>43950</v>
          </cell>
          <cell r="AD1706" t="str">
            <v>Good</v>
          </cell>
          <cell r="AE1706" t="str">
            <v>V3 - Added Installed Facilities (New)</v>
          </cell>
          <cell r="AH1706" t="str">
            <v>PPM</v>
          </cell>
          <cell r="AI1706" t="str">
            <v>Strands</v>
          </cell>
          <cell r="AJ1706" t="str">
            <v>Strands PW</v>
          </cell>
          <cell r="AK1706" t="str">
            <v>SNF received on 29.5.2020</v>
          </cell>
        </row>
        <row r="1707">
          <cell r="A1707" t="str">
            <v>IKN402012</v>
          </cell>
          <cell r="B1707">
            <v>1667</v>
          </cell>
          <cell r="C1707" t="str">
            <v>Institut Kanser Negara</v>
          </cell>
          <cell r="D1707" t="str">
            <v>KKM/IKN/R/20/22</v>
          </cell>
          <cell r="E1707" t="str">
            <v>15-663</v>
          </cell>
          <cell r="F1707" t="str">
            <v>Pipetters</v>
          </cell>
          <cell r="G1707" t="str">
            <v>LA</v>
          </cell>
          <cell r="H1707" t="str">
            <v>PATHOLOGY</v>
          </cell>
          <cell r="I1707" t="str">
            <v>04LA127</v>
          </cell>
          <cell r="J1707" t="str">
            <v>INNOCULATION/STAINING</v>
          </cell>
          <cell r="K1707" t="str">
            <v>BMED</v>
          </cell>
          <cell r="L1707" t="str">
            <v>Normal</v>
          </cell>
          <cell r="M1707" t="str">
            <v>Germany</v>
          </cell>
          <cell r="N1707" t="str">
            <v>Eppendorf</v>
          </cell>
          <cell r="O1707" t="str">
            <v>Eppendorf Research</v>
          </cell>
          <cell r="P1707" t="str">
            <v>L31563I</v>
          </cell>
          <cell r="Q1707" t="str">
            <v>Not Applicable</v>
          </cell>
          <cell r="R1707" t="str">
            <v>Eppendorf</v>
          </cell>
          <cell r="S1707" t="str">
            <v>MEDIGENE SDN BHD</v>
          </cell>
          <cell r="T1707" t="str">
            <v>Functioning</v>
          </cell>
          <cell r="U1707" t="str">
            <v>Asset</v>
          </cell>
          <cell r="V1707">
            <v>1000</v>
          </cell>
          <cell r="W1707" t="str">
            <v>KEW</v>
          </cell>
          <cell r="X1707">
            <v>43944</v>
          </cell>
          <cell r="Y1707" t="str">
            <v>KEW</v>
          </cell>
          <cell r="Z1707">
            <v>43950</v>
          </cell>
          <cell r="AA1707">
            <v>44315</v>
          </cell>
          <cell r="AB1707" t="str">
            <v>No</v>
          </cell>
          <cell r="AC1707">
            <v>43950</v>
          </cell>
          <cell r="AD1707" t="str">
            <v>Good</v>
          </cell>
          <cell r="AE1707" t="str">
            <v>V3 - Added Installed Facilities (New)</v>
          </cell>
          <cell r="AH1707" t="str">
            <v>PPM</v>
          </cell>
          <cell r="AI1707" t="str">
            <v>Strands</v>
          </cell>
          <cell r="AJ1707" t="str">
            <v>Strands PW</v>
          </cell>
          <cell r="AK1707" t="str">
            <v>SNF received on 29.5.2020. [17/5/2024, INDIRA]: Update SN.</v>
          </cell>
        </row>
        <row r="1708">
          <cell r="A1708" t="str">
            <v>IKN402013</v>
          </cell>
          <cell r="B1708">
            <v>1668</v>
          </cell>
          <cell r="C1708" t="str">
            <v>Institut Kanser Negara</v>
          </cell>
          <cell r="D1708" t="str">
            <v>KKM/IKN/H/20/23</v>
          </cell>
          <cell r="E1708" t="str">
            <v>15-663</v>
          </cell>
          <cell r="F1708" t="str">
            <v>Pipetters</v>
          </cell>
          <cell r="G1708" t="str">
            <v>LA</v>
          </cell>
          <cell r="H1708" t="str">
            <v>PATHOLOGY</v>
          </cell>
          <cell r="I1708" t="str">
            <v>04LA127</v>
          </cell>
          <cell r="J1708" t="str">
            <v>INNOCULATION/STAINING</v>
          </cell>
          <cell r="K1708" t="str">
            <v>BMED</v>
          </cell>
          <cell r="L1708" t="str">
            <v>Normal</v>
          </cell>
          <cell r="M1708" t="str">
            <v>Germany</v>
          </cell>
          <cell r="N1708" t="str">
            <v>Eppendorf</v>
          </cell>
          <cell r="O1708" t="str">
            <v>Eppendorf Research Plus</v>
          </cell>
          <cell r="P1708" t="str">
            <v>R26347I</v>
          </cell>
          <cell r="Q1708" t="str">
            <v>Not Applicable</v>
          </cell>
          <cell r="R1708" t="str">
            <v>Eppendorf</v>
          </cell>
          <cell r="S1708" t="str">
            <v>MEDIGENE SDN BHD</v>
          </cell>
          <cell r="T1708" t="str">
            <v>Functioning</v>
          </cell>
          <cell r="U1708" t="str">
            <v>Asset</v>
          </cell>
          <cell r="V1708">
            <v>1000</v>
          </cell>
          <cell r="W1708" t="str">
            <v>KEW</v>
          </cell>
          <cell r="X1708">
            <v>43944</v>
          </cell>
          <cell r="Y1708" t="str">
            <v>KEW</v>
          </cell>
          <cell r="Z1708">
            <v>43950</v>
          </cell>
          <cell r="AA1708">
            <v>44315</v>
          </cell>
          <cell r="AB1708" t="str">
            <v>No</v>
          </cell>
          <cell r="AC1708">
            <v>43950</v>
          </cell>
          <cell r="AD1708" t="str">
            <v>Good</v>
          </cell>
          <cell r="AE1708" t="str">
            <v>V3 - Added Installed Facilities (New)</v>
          </cell>
          <cell r="AH1708" t="str">
            <v>PPM</v>
          </cell>
          <cell r="AI1708" t="str">
            <v>Strands</v>
          </cell>
          <cell r="AJ1708" t="str">
            <v>Strands PW SET</v>
          </cell>
          <cell r="AK1708" t="str">
            <v>SNF received on 29.5.2020. CUBA CHECK KEWPA IKN402032. [17/5/2024, INDIRA]: Update SN.</v>
          </cell>
        </row>
        <row r="1709">
          <cell r="A1709" t="str">
            <v>IKN402014</v>
          </cell>
          <cell r="B1709">
            <v>1669</v>
          </cell>
          <cell r="C1709" t="str">
            <v>Institut Kanser Negara</v>
          </cell>
          <cell r="D1709" t="str">
            <v>KKM/IKN/H/20/14</v>
          </cell>
          <cell r="E1709" t="str">
            <v>15-663</v>
          </cell>
          <cell r="F1709" t="str">
            <v>Pipetters</v>
          </cell>
          <cell r="G1709" t="str">
            <v>LA</v>
          </cell>
          <cell r="H1709" t="str">
            <v>PATHOLOGY</v>
          </cell>
          <cell r="I1709" t="str">
            <v>04LA127</v>
          </cell>
          <cell r="J1709" t="str">
            <v>INNOCULATION/STAINING</v>
          </cell>
          <cell r="K1709" t="str">
            <v>BMED</v>
          </cell>
          <cell r="L1709" t="str">
            <v>Normal</v>
          </cell>
          <cell r="M1709" t="str">
            <v>Germany</v>
          </cell>
          <cell r="N1709" t="str">
            <v>Eppendorf</v>
          </cell>
          <cell r="O1709" t="str">
            <v>Eppendorf Research Plus</v>
          </cell>
          <cell r="P1709" t="str">
            <v>R25079I</v>
          </cell>
          <cell r="Q1709" t="str">
            <v>Not Applicable</v>
          </cell>
          <cell r="R1709" t="str">
            <v>Eppendorf</v>
          </cell>
          <cell r="S1709" t="str">
            <v>MEDIGENE SDN BHD</v>
          </cell>
          <cell r="T1709" t="str">
            <v>Functioning</v>
          </cell>
          <cell r="U1709" t="str">
            <v>Asset</v>
          </cell>
          <cell r="V1709">
            <v>3883</v>
          </cell>
          <cell r="W1709" t="str">
            <v>KEW</v>
          </cell>
          <cell r="X1709">
            <v>43944</v>
          </cell>
          <cell r="Y1709" t="str">
            <v>KEW</v>
          </cell>
          <cell r="Z1709">
            <v>43950</v>
          </cell>
          <cell r="AA1709">
            <v>44315</v>
          </cell>
          <cell r="AB1709" t="str">
            <v>No</v>
          </cell>
          <cell r="AC1709">
            <v>43950</v>
          </cell>
          <cell r="AD1709" t="str">
            <v>Good</v>
          </cell>
          <cell r="AE1709" t="str">
            <v>V3 - Added Installed Facilities (New)</v>
          </cell>
          <cell r="AH1709" t="str">
            <v>PPM</v>
          </cell>
          <cell r="AI1709" t="str">
            <v>Strands</v>
          </cell>
          <cell r="AJ1709" t="str">
            <v>Strands PW</v>
          </cell>
          <cell r="AK1709" t="str">
            <v>SNF received on 29.5.2020. [17/5/2024, INDIRA]: Update SN.</v>
          </cell>
        </row>
        <row r="1710">
          <cell r="A1710" t="str">
            <v>IKN402015</v>
          </cell>
          <cell r="B1710">
            <v>1670</v>
          </cell>
          <cell r="C1710" t="str">
            <v>Institut Kanser Negara</v>
          </cell>
          <cell r="D1710" t="str">
            <v>KKM/IKN/R/20/19</v>
          </cell>
          <cell r="E1710" t="str">
            <v>15-663</v>
          </cell>
          <cell r="F1710" t="str">
            <v>Pipetters</v>
          </cell>
          <cell r="G1710" t="str">
            <v>LA</v>
          </cell>
          <cell r="H1710" t="str">
            <v>PATHOLOGY</v>
          </cell>
          <cell r="I1710" t="str">
            <v>04LA127</v>
          </cell>
          <cell r="J1710" t="str">
            <v>INNOCULATION/STAINING</v>
          </cell>
          <cell r="K1710" t="str">
            <v>BMED</v>
          </cell>
          <cell r="L1710" t="str">
            <v>Normal</v>
          </cell>
          <cell r="M1710" t="str">
            <v>Germany</v>
          </cell>
          <cell r="N1710" t="str">
            <v>Eppendorf</v>
          </cell>
          <cell r="O1710" t="str">
            <v>Eppendorf Research Plus</v>
          </cell>
          <cell r="P1710" t="str">
            <v>R25612I</v>
          </cell>
          <cell r="Q1710" t="str">
            <v>Not Applicable</v>
          </cell>
          <cell r="R1710" t="str">
            <v>Eppendorf</v>
          </cell>
          <cell r="S1710" t="str">
            <v>MEDIGENE SDN BHD</v>
          </cell>
          <cell r="T1710" t="str">
            <v>Functioning</v>
          </cell>
          <cell r="U1710" t="str">
            <v>Asset</v>
          </cell>
          <cell r="V1710">
            <v>1000</v>
          </cell>
          <cell r="W1710" t="str">
            <v>KEW</v>
          </cell>
          <cell r="X1710">
            <v>43944</v>
          </cell>
          <cell r="Y1710" t="str">
            <v>KEW</v>
          </cell>
          <cell r="Z1710">
            <v>43950</v>
          </cell>
          <cell r="AA1710">
            <v>44315</v>
          </cell>
          <cell r="AB1710" t="str">
            <v>No</v>
          </cell>
          <cell r="AC1710">
            <v>43950</v>
          </cell>
          <cell r="AD1710" t="str">
            <v>Good</v>
          </cell>
          <cell r="AE1710" t="str">
            <v>V3 - Added Installed Facilities (New)</v>
          </cell>
          <cell r="AH1710" t="str">
            <v>PPM</v>
          </cell>
          <cell r="AI1710" t="str">
            <v>Strands</v>
          </cell>
          <cell r="AJ1710" t="str">
            <v>Strands PW</v>
          </cell>
          <cell r="AK1710" t="str">
            <v>SNF received on 29.5.2020. [17/5/2024, INDIRA]: Update SN.</v>
          </cell>
        </row>
        <row r="1711">
          <cell r="A1711" t="str">
            <v>IKN402016</v>
          </cell>
          <cell r="B1711">
            <v>1671</v>
          </cell>
          <cell r="C1711" t="str">
            <v>Institut Kanser Negara</v>
          </cell>
          <cell r="D1711" t="str">
            <v>KKM/IKN/R/20/20</v>
          </cell>
          <cell r="E1711" t="str">
            <v>15-663</v>
          </cell>
          <cell r="F1711" t="str">
            <v>Pipetters</v>
          </cell>
          <cell r="G1711" t="str">
            <v>LA</v>
          </cell>
          <cell r="H1711" t="str">
            <v>PATHOLOGY</v>
          </cell>
          <cell r="I1711" t="str">
            <v>04LA127</v>
          </cell>
          <cell r="J1711" t="str">
            <v>INNOCULATION/STAINING</v>
          </cell>
          <cell r="K1711" t="str">
            <v>BMED</v>
          </cell>
          <cell r="L1711" t="str">
            <v>Normal</v>
          </cell>
          <cell r="M1711" t="str">
            <v>Germany</v>
          </cell>
          <cell r="N1711" t="str">
            <v>Eppendorf</v>
          </cell>
          <cell r="O1711" t="str">
            <v>Eppendorf Research Plus</v>
          </cell>
          <cell r="P1711" t="str">
            <v>R10153I</v>
          </cell>
          <cell r="Q1711" t="str">
            <v>Not Applicable</v>
          </cell>
          <cell r="R1711" t="str">
            <v>Eppendorf</v>
          </cell>
          <cell r="S1711" t="str">
            <v>MEDIGENE SDN BHD</v>
          </cell>
          <cell r="T1711" t="str">
            <v>Functioning</v>
          </cell>
          <cell r="U1711" t="str">
            <v>Asset</v>
          </cell>
          <cell r="V1711">
            <v>1000</v>
          </cell>
          <cell r="W1711" t="str">
            <v>KEW</v>
          </cell>
          <cell r="X1711">
            <v>43944</v>
          </cell>
          <cell r="Y1711" t="str">
            <v>KEW</v>
          </cell>
          <cell r="Z1711">
            <v>43950</v>
          </cell>
          <cell r="AA1711">
            <v>44315</v>
          </cell>
          <cell r="AB1711" t="str">
            <v>No</v>
          </cell>
          <cell r="AC1711">
            <v>43950</v>
          </cell>
          <cell r="AD1711" t="str">
            <v>Good</v>
          </cell>
          <cell r="AE1711" t="str">
            <v>V3 - Added Installed Facilities (New)</v>
          </cell>
          <cell r="AH1711" t="str">
            <v>PPM</v>
          </cell>
          <cell r="AI1711" t="str">
            <v>Strands</v>
          </cell>
          <cell r="AJ1711" t="str">
            <v>Strands PW</v>
          </cell>
          <cell r="AK1711" t="str">
            <v>SNF received on 29.5.2020. [17/5/2024, INDIRA]: Update SN.</v>
          </cell>
        </row>
        <row r="1712">
          <cell r="A1712" t="str">
            <v>IKN402017</v>
          </cell>
          <cell r="B1712">
            <v>1672</v>
          </cell>
          <cell r="C1712" t="str">
            <v>Institut Kanser Negara</v>
          </cell>
          <cell r="D1712" t="str">
            <v>KKM/IKN/H/20/10</v>
          </cell>
          <cell r="E1712" t="str">
            <v>15-161</v>
          </cell>
          <cell r="F1712" t="str">
            <v>Mixers, Clinical Laboratory</v>
          </cell>
          <cell r="G1712" t="str">
            <v>LA</v>
          </cell>
          <cell r="H1712" t="str">
            <v>PATHOLOGY</v>
          </cell>
          <cell r="I1712" t="str">
            <v>04LA120</v>
          </cell>
          <cell r="J1712" t="str">
            <v>INNOCULATION/STAINING</v>
          </cell>
          <cell r="K1712" t="str">
            <v>BMED</v>
          </cell>
          <cell r="L1712" t="str">
            <v>Normal</v>
          </cell>
          <cell r="M1712" t="str">
            <v>Germany</v>
          </cell>
          <cell r="N1712" t="str">
            <v>Vortex Mixer</v>
          </cell>
          <cell r="O1712" t="str">
            <v>Vortex Mixer BBV 1000</v>
          </cell>
          <cell r="P1712">
            <v>18041045</v>
          </cell>
          <cell r="Q1712" t="str">
            <v>Not Applicable</v>
          </cell>
          <cell r="R1712" t="str">
            <v>Greiner Bio-One</v>
          </cell>
          <cell r="S1712" t="str">
            <v>MEDIGENE SDN BHD</v>
          </cell>
          <cell r="T1712" t="str">
            <v>Functioning</v>
          </cell>
          <cell r="U1712" t="str">
            <v>Asset</v>
          </cell>
          <cell r="V1712">
            <v>3022</v>
          </cell>
          <cell r="W1712" t="str">
            <v>KEW</v>
          </cell>
          <cell r="X1712">
            <v>43944</v>
          </cell>
          <cell r="Y1712" t="str">
            <v>KEW</v>
          </cell>
          <cell r="Z1712">
            <v>43950</v>
          </cell>
          <cell r="AA1712">
            <v>44315</v>
          </cell>
          <cell r="AB1712" t="str">
            <v>No</v>
          </cell>
          <cell r="AC1712">
            <v>44315</v>
          </cell>
          <cell r="AD1712" t="str">
            <v>Good</v>
          </cell>
          <cell r="AE1712" t="str">
            <v>V3 - Added Installed Facilities (New)</v>
          </cell>
          <cell r="AH1712" t="str">
            <v>PPM</v>
          </cell>
          <cell r="AI1712" t="str">
            <v>Strands</v>
          </cell>
          <cell r="AJ1712" t="str">
            <v>Strands PW</v>
          </cell>
          <cell r="AK1712" t="str">
            <v>SNF received on 29.5.2020</v>
          </cell>
        </row>
        <row r="1713">
          <cell r="A1713" t="str">
            <v>IKN402018</v>
          </cell>
          <cell r="B1713">
            <v>1673</v>
          </cell>
          <cell r="C1713" t="str">
            <v>Institut Kanser Negara</v>
          </cell>
          <cell r="D1713" t="str">
            <v>KKM/IKN/H/20/13</v>
          </cell>
          <cell r="E1713" t="str">
            <v>15-161</v>
          </cell>
          <cell r="F1713" t="str">
            <v>Mixers, Clinical Laboratory</v>
          </cell>
          <cell r="G1713" t="str">
            <v>LA</v>
          </cell>
          <cell r="H1713" t="str">
            <v>PATHOLOGY</v>
          </cell>
          <cell r="I1713" t="str">
            <v>04LA120</v>
          </cell>
          <cell r="J1713" t="str">
            <v>INNOCULATION/STAINING</v>
          </cell>
          <cell r="K1713" t="str">
            <v>BMED</v>
          </cell>
          <cell r="L1713" t="str">
            <v>Normal</v>
          </cell>
          <cell r="M1713" t="str">
            <v>Germany</v>
          </cell>
          <cell r="N1713" t="str">
            <v>Vortex Mixer</v>
          </cell>
          <cell r="O1713" t="str">
            <v>Vortex Mixer BV 1000</v>
          </cell>
          <cell r="P1713">
            <v>18041049</v>
          </cell>
          <cell r="Q1713" t="str">
            <v>Not Applicable</v>
          </cell>
          <cell r="R1713" t="str">
            <v>Greiner Bio-One</v>
          </cell>
          <cell r="S1713" t="str">
            <v>MEDIGENE SDN BHD</v>
          </cell>
          <cell r="T1713" t="str">
            <v>Functioning</v>
          </cell>
          <cell r="U1713" t="str">
            <v>Asset</v>
          </cell>
          <cell r="V1713">
            <v>3022</v>
          </cell>
          <cell r="W1713" t="str">
            <v>KEW</v>
          </cell>
          <cell r="X1713">
            <v>43944</v>
          </cell>
          <cell r="Y1713" t="str">
            <v>KEW</v>
          </cell>
          <cell r="Z1713">
            <v>43950</v>
          </cell>
          <cell r="AA1713">
            <v>44315</v>
          </cell>
          <cell r="AB1713" t="str">
            <v>No</v>
          </cell>
          <cell r="AC1713">
            <v>44315</v>
          </cell>
          <cell r="AD1713" t="str">
            <v>Good</v>
          </cell>
          <cell r="AE1713" t="str">
            <v>V3 - Added Installed Facilities (New)</v>
          </cell>
          <cell r="AH1713" t="str">
            <v>PPM</v>
          </cell>
          <cell r="AI1713" t="str">
            <v>Strands</v>
          </cell>
          <cell r="AJ1713" t="str">
            <v>Strands PW</v>
          </cell>
          <cell r="AK1713" t="str">
            <v>SNF received on 29.5.2020</v>
          </cell>
        </row>
        <row r="1714">
          <cell r="A1714" t="str">
            <v>IKN402019</v>
          </cell>
          <cell r="B1714">
            <v>1674</v>
          </cell>
          <cell r="C1714" t="str">
            <v>Institut Kanser Negara</v>
          </cell>
          <cell r="D1714" t="str">
            <v>KKM/IKN/H/20/11</v>
          </cell>
          <cell r="E1714" t="str">
            <v>18-013</v>
          </cell>
          <cell r="F1714" t="str">
            <v>Incubators, Laboratory, Thermocycling</v>
          </cell>
          <cell r="G1714" t="str">
            <v>LA</v>
          </cell>
          <cell r="H1714" t="str">
            <v>PATHOLOGY</v>
          </cell>
          <cell r="I1714" t="str">
            <v>04LA127</v>
          </cell>
          <cell r="J1714" t="str">
            <v>INNOCULATION/STAINING</v>
          </cell>
          <cell r="K1714" t="str">
            <v>BMED</v>
          </cell>
          <cell r="L1714" t="str">
            <v>Normal</v>
          </cell>
          <cell r="M1714" t="str">
            <v>Taiwan</v>
          </cell>
          <cell r="O1714" t="str">
            <v>Elite Dry Bath Incubator</v>
          </cell>
          <cell r="P1714" t="str">
            <v>191121A050</v>
          </cell>
          <cell r="Q1714" t="str">
            <v>Not Applicable</v>
          </cell>
          <cell r="R1714" t="str">
            <v>Major Sci</v>
          </cell>
          <cell r="S1714" t="str">
            <v>MEDIGENE SDN BHD</v>
          </cell>
          <cell r="T1714" t="str">
            <v>Functioning</v>
          </cell>
          <cell r="U1714" t="str">
            <v>Asset</v>
          </cell>
          <cell r="V1714">
            <v>3742</v>
          </cell>
          <cell r="W1714" t="str">
            <v>KEW</v>
          </cell>
          <cell r="X1714">
            <v>43944</v>
          </cell>
          <cell r="Y1714" t="str">
            <v>KEW</v>
          </cell>
          <cell r="Z1714">
            <v>43950</v>
          </cell>
          <cell r="AA1714">
            <v>44315</v>
          </cell>
          <cell r="AB1714" t="str">
            <v>No</v>
          </cell>
          <cell r="AC1714">
            <v>44315</v>
          </cell>
          <cell r="AD1714" t="str">
            <v>Good</v>
          </cell>
          <cell r="AE1714" t="str">
            <v>V3 - Added Installed Facilities (New)</v>
          </cell>
          <cell r="AH1714" t="str">
            <v>PPM</v>
          </cell>
          <cell r="AI1714" t="str">
            <v>Strands</v>
          </cell>
          <cell r="AJ1714" t="str">
            <v>Strands PW</v>
          </cell>
          <cell r="AK1714" t="str">
            <v>SNF received on 29.5.2020</v>
          </cell>
        </row>
        <row r="1715">
          <cell r="A1715" t="str">
            <v>IKN402020</v>
          </cell>
          <cell r="B1715">
            <v>1675</v>
          </cell>
          <cell r="C1715" t="str">
            <v>Institut Kanser Negara</v>
          </cell>
          <cell r="D1715" t="str">
            <v>KKM/IKN/H/20/12</v>
          </cell>
          <cell r="E1715" t="str">
            <v>18-013</v>
          </cell>
          <cell r="F1715" t="str">
            <v>Incubators, Laboratory, Thermocycling</v>
          </cell>
          <cell r="G1715" t="str">
            <v>LA</v>
          </cell>
          <cell r="H1715" t="str">
            <v>PATHOLOGY</v>
          </cell>
          <cell r="I1715" t="str">
            <v>04LA120</v>
          </cell>
          <cell r="J1715" t="str">
            <v>INNOCULATION/STAINING</v>
          </cell>
          <cell r="K1715" t="str">
            <v>BMED</v>
          </cell>
          <cell r="L1715" t="str">
            <v>Normal</v>
          </cell>
          <cell r="M1715" t="str">
            <v>Taiwan</v>
          </cell>
          <cell r="O1715" t="str">
            <v>EL-02 Dry Bath Incubator</v>
          </cell>
          <cell r="P1715" t="str">
            <v>191121A031</v>
          </cell>
          <cell r="Q1715" t="str">
            <v>Not Applicable</v>
          </cell>
          <cell r="R1715" t="str">
            <v>Major Sci</v>
          </cell>
          <cell r="S1715" t="str">
            <v>MEDIGENE SDN BHD</v>
          </cell>
          <cell r="T1715" t="str">
            <v>Functioning</v>
          </cell>
          <cell r="U1715" t="str">
            <v>Asset</v>
          </cell>
          <cell r="V1715">
            <v>3742</v>
          </cell>
          <cell r="W1715" t="str">
            <v>KEW</v>
          </cell>
          <cell r="X1715">
            <v>43944</v>
          </cell>
          <cell r="Y1715" t="str">
            <v>KEW</v>
          </cell>
          <cell r="Z1715">
            <v>43950</v>
          </cell>
          <cell r="AA1715">
            <v>44315</v>
          </cell>
          <cell r="AB1715" t="str">
            <v>No</v>
          </cell>
          <cell r="AC1715">
            <v>44315</v>
          </cell>
          <cell r="AD1715" t="str">
            <v>Good</v>
          </cell>
          <cell r="AE1715" t="str">
            <v>V3 - Added Installed Facilities (New)</v>
          </cell>
          <cell r="AH1715" t="str">
            <v>PPM</v>
          </cell>
          <cell r="AI1715" t="str">
            <v>Strands</v>
          </cell>
          <cell r="AJ1715" t="str">
            <v>Strands PW</v>
          </cell>
          <cell r="AK1715" t="str">
            <v>SNF received on 29.5.2020</v>
          </cell>
        </row>
        <row r="1716">
          <cell r="A1716" t="str">
            <v>IKN402025</v>
          </cell>
          <cell r="B1716">
            <v>1680</v>
          </cell>
          <cell r="C1716" t="str">
            <v>Institut Kanser Negara</v>
          </cell>
          <cell r="D1716" t="str">
            <v>KKM/IKN/H/20/17</v>
          </cell>
          <cell r="E1716" t="str">
            <v>15-976</v>
          </cell>
          <cell r="F1716" t="str">
            <v>Scanning Systems, Ultrasonic, General-Purpose</v>
          </cell>
          <cell r="G1716" t="str">
            <v>ID</v>
          </cell>
          <cell r="H1716" t="str">
            <v>IMAGING DEPARTMENT</v>
          </cell>
          <cell r="I1716" t="str">
            <v>03ID157</v>
          </cell>
          <cell r="J1716" t="str">
            <v>FUTURE CT</v>
          </cell>
          <cell r="K1716" t="str">
            <v>BMED</v>
          </cell>
          <cell r="L1716" t="str">
            <v>Normal</v>
          </cell>
          <cell r="M1716" t="str">
            <v>USA</v>
          </cell>
          <cell r="N1716" t="str">
            <v>Logiq</v>
          </cell>
          <cell r="O1716" t="str">
            <v>Logiq E Pro</v>
          </cell>
          <cell r="P1716" t="str">
            <v>6076785wxo</v>
          </cell>
          <cell r="Q1716" t="str">
            <v>Not Applicable</v>
          </cell>
          <cell r="R1716" t="str">
            <v>GE Healthcare Systems</v>
          </cell>
          <cell r="S1716" t="str">
            <v>Tropicana Corporation Berhad</v>
          </cell>
          <cell r="T1716" t="str">
            <v>Functioning</v>
          </cell>
          <cell r="U1716" t="str">
            <v>Asset</v>
          </cell>
          <cell r="V1716">
            <v>125000</v>
          </cell>
          <cell r="W1716" t="str">
            <v>KEW</v>
          </cell>
          <cell r="X1716">
            <v>43938</v>
          </cell>
          <cell r="Y1716" t="str">
            <v>KEW</v>
          </cell>
          <cell r="Z1716">
            <v>43957</v>
          </cell>
          <cell r="AA1716">
            <v>45783</v>
          </cell>
          <cell r="AB1716" t="str">
            <v>YES</v>
          </cell>
          <cell r="AC1716">
            <v>45783</v>
          </cell>
          <cell r="AD1716" t="str">
            <v>Good</v>
          </cell>
          <cell r="AE1716" t="str">
            <v>V3 - Added Installed Facilities (New)</v>
          </cell>
          <cell r="AH1716" t="str">
            <v>PPM</v>
          </cell>
          <cell r="AI1716" t="str">
            <v>Strands</v>
          </cell>
          <cell r="AJ1716" t="str">
            <v>Strands DW</v>
          </cell>
          <cell r="AK1716" t="str">
            <v>SNF received on 29.5.2020</v>
          </cell>
        </row>
        <row r="1717">
          <cell r="A1717" t="str">
            <v>IKN402032</v>
          </cell>
          <cell r="B1717">
            <v>1687</v>
          </cell>
          <cell r="C1717" t="str">
            <v>Institut Kanser Negara</v>
          </cell>
          <cell r="D1717" t="str">
            <v>KKM/IKN/H/20/23</v>
          </cell>
          <cell r="E1717" t="str">
            <v>13-281</v>
          </cell>
          <cell r="F1717" t="str">
            <v>Computers, Radiotherapy Planning System</v>
          </cell>
          <cell r="G1717" t="str">
            <v>ID</v>
          </cell>
          <cell r="H1717" t="str">
            <v>IMAGING DEPARTMENT</v>
          </cell>
          <cell r="I1717" t="str">
            <v>03ID157</v>
          </cell>
          <cell r="J1717" t="str">
            <v>FUTURE CT</v>
          </cell>
          <cell r="K1717" t="str">
            <v>BMED</v>
          </cell>
          <cell r="L1717" t="str">
            <v>Normal</v>
          </cell>
          <cell r="M1717" t="str">
            <v>USA</v>
          </cell>
          <cell r="N1717" t="str">
            <v>BAYER</v>
          </cell>
          <cell r="O1717" t="str">
            <v>HPE PROLIANT DL380 GEN9 SERVER</v>
          </cell>
          <cell r="P1717" t="str">
            <v>SGH618YBBW</v>
          </cell>
          <cell r="Q1717" t="str">
            <v>Not Applicable</v>
          </cell>
          <cell r="R1717" t="str">
            <v>BAYER</v>
          </cell>
          <cell r="S1717" t="str">
            <v>DELTA MEDISAINS</v>
          </cell>
          <cell r="T1717" t="str">
            <v>Functioning</v>
          </cell>
          <cell r="U1717" t="str">
            <v>Asset</v>
          </cell>
          <cell r="V1717">
            <v>400000</v>
          </cell>
          <cell r="W1717" t="str">
            <v>KEW</v>
          </cell>
          <cell r="X1717">
            <v>43833</v>
          </cell>
          <cell r="Y1717" t="str">
            <v>KEW</v>
          </cell>
          <cell r="Z1717" t="str">
            <v>Demo Unit</v>
          </cell>
          <cell r="AA1717" t="str">
            <v>Demo Unit</v>
          </cell>
          <cell r="AB1717" t="str">
            <v>No</v>
          </cell>
          <cell r="AC1717">
            <v>43965</v>
          </cell>
          <cell r="AD1717" t="str">
            <v>Good</v>
          </cell>
          <cell r="AE1717" t="str">
            <v>V3 - Added Installed Facilities (New)</v>
          </cell>
          <cell r="AH1717" t="str">
            <v>PPM</v>
          </cell>
          <cell r="AI1717" t="str">
            <v>Strands</v>
          </cell>
          <cell r="AJ1717" t="str">
            <v>Strands PW</v>
          </cell>
          <cell r="AK1717" t="str">
            <v>SNF received on 3.2.2020</v>
          </cell>
        </row>
        <row r="1718">
          <cell r="A1718" t="str">
            <v>IKN402033</v>
          </cell>
          <cell r="B1718">
            <v>1688</v>
          </cell>
          <cell r="C1718" t="str">
            <v>Institut Kanser Negara</v>
          </cell>
          <cell r="D1718" t="str">
            <v>KKM/IKN/H/20/25</v>
          </cell>
          <cell r="E1718" t="str">
            <v>10-780-000</v>
          </cell>
          <cell r="F1718" t="str">
            <v>Centrifuges, Tabletop</v>
          </cell>
          <cell r="G1718" t="str">
            <v>LA</v>
          </cell>
          <cell r="H1718" t="str">
            <v>PATHOLOGY</v>
          </cell>
          <cell r="I1718" t="str">
            <v>04LA127</v>
          </cell>
          <cell r="J1718" t="str">
            <v>INNOCULATION/STAINING</v>
          </cell>
          <cell r="K1718" t="str">
            <v>BMED</v>
          </cell>
          <cell r="L1718" t="str">
            <v>Normal</v>
          </cell>
          <cell r="M1718" t="str">
            <v>Germany</v>
          </cell>
          <cell r="N1718" t="str">
            <v>Eppendorf</v>
          </cell>
          <cell r="O1718" t="str">
            <v>Centrifuge 5425</v>
          </cell>
          <cell r="P1718" t="str">
            <v>54051Q214666</v>
          </cell>
          <cell r="Q1718" t="str">
            <v>Not Applicable</v>
          </cell>
          <cell r="R1718" t="str">
            <v>Eppendorf</v>
          </cell>
          <cell r="S1718" t="str">
            <v>MEDIGENE SDN BHD</v>
          </cell>
          <cell r="T1718" t="str">
            <v>Functioning</v>
          </cell>
          <cell r="U1718" t="str">
            <v>Asset</v>
          </cell>
          <cell r="V1718">
            <v>15000</v>
          </cell>
          <cell r="W1718" t="str">
            <v>KEW</v>
          </cell>
          <cell r="X1718">
            <v>43944</v>
          </cell>
          <cell r="Y1718" t="str">
            <v>KEW</v>
          </cell>
          <cell r="Z1718">
            <v>43998</v>
          </cell>
          <cell r="AA1718">
            <v>44728</v>
          </cell>
          <cell r="AB1718" t="str">
            <v>No</v>
          </cell>
          <cell r="AC1718">
            <v>43998</v>
          </cell>
          <cell r="AD1718" t="str">
            <v>Good</v>
          </cell>
          <cell r="AE1718" t="str">
            <v>V3 - Added Installed Facilities (New)</v>
          </cell>
          <cell r="AH1718" t="str">
            <v>PPM</v>
          </cell>
          <cell r="AI1718" t="str">
            <v>Strands</v>
          </cell>
          <cell r="AJ1718" t="str">
            <v>Strands PW</v>
          </cell>
          <cell r="AK1718" t="str">
            <v>SNF received</v>
          </cell>
        </row>
        <row r="1719">
          <cell r="A1719" t="str">
            <v>IKN402035</v>
          </cell>
          <cell r="B1719">
            <v>1690</v>
          </cell>
          <cell r="C1719" t="str">
            <v>Institut Kanser Negara</v>
          </cell>
          <cell r="D1719" t="str">
            <v>KKM/IKN/H/20/29</v>
          </cell>
          <cell r="E1719" t="str">
            <v>16-861</v>
          </cell>
          <cell r="F1719" t="str">
            <v>Baths, Water, Laboratory</v>
          </cell>
          <cell r="G1719" t="str">
            <v>NM</v>
          </cell>
          <cell r="H1719" t="str">
            <v>NUCLEAR MED (DIAGNOSTIC)</v>
          </cell>
          <cell r="I1719" t="str">
            <v>03NM133</v>
          </cell>
          <cell r="J1719" t="str">
            <v>RADIODINE DISPENSING (-VE)</v>
          </cell>
          <cell r="K1719" t="str">
            <v>BMED</v>
          </cell>
          <cell r="L1719" t="str">
            <v>Normal</v>
          </cell>
          <cell r="O1719" t="str">
            <v>D1302-230V</v>
          </cell>
          <cell r="P1719" t="str">
            <v>BD186AJ0000190</v>
          </cell>
          <cell r="Q1719" t="str">
            <v>Not Applicable</v>
          </cell>
          <cell r="S1719" t="str">
            <v>UWAIS MEDIC SDN BHD</v>
          </cell>
          <cell r="T1719" t="str">
            <v>Functioning</v>
          </cell>
          <cell r="U1719" t="str">
            <v>Asset</v>
          </cell>
          <cell r="V1719">
            <v>8700</v>
          </cell>
          <cell r="W1719" t="str">
            <v>KEW</v>
          </cell>
          <cell r="X1719">
            <v>43941</v>
          </cell>
          <cell r="Y1719" t="str">
            <v>KEW</v>
          </cell>
          <cell r="Z1719">
            <v>44021</v>
          </cell>
          <cell r="AA1719">
            <v>44385</v>
          </cell>
          <cell r="AB1719" t="str">
            <v>No</v>
          </cell>
          <cell r="AC1719">
            <v>44021</v>
          </cell>
          <cell r="AD1719" t="str">
            <v>Good</v>
          </cell>
          <cell r="AE1719" t="str">
            <v>V3 - Added Installed Facilities (New)</v>
          </cell>
          <cell r="AH1719" t="str">
            <v>PPM</v>
          </cell>
          <cell r="AI1719" t="str">
            <v>Strands</v>
          </cell>
          <cell r="AJ1719" t="str">
            <v>Strands PW</v>
          </cell>
          <cell r="AK1719" t="str">
            <v>SNF received. Temperature probe SN:294123.</v>
          </cell>
        </row>
        <row r="1720">
          <cell r="A1720" t="str">
            <v>IKN402035</v>
          </cell>
          <cell r="B1720" t="str">
            <v>Baths, Water, Laboratory</v>
          </cell>
          <cell r="C1720" t="str">
            <v>Institut Kanser Negara</v>
          </cell>
          <cell r="E1720" t="str">
            <v>16861-000</v>
          </cell>
          <cell r="F1720" t="str">
            <v>Baths, Water, Laboratory</v>
          </cell>
          <cell r="G1720" t="str">
            <v>NM</v>
          </cell>
          <cell r="H1720" t="str">
            <v>NUCLEAR MED (DIAGNOSTIC)</v>
          </cell>
          <cell r="I1720" t="str">
            <v>03NM133</v>
          </cell>
          <cell r="K1720" t="str">
            <v>BMED</v>
          </cell>
          <cell r="L1720" t="str">
            <v>Normal</v>
          </cell>
          <cell r="P1720" t="str">
            <v>D1302-230V</v>
          </cell>
        </row>
        <row r="1721">
          <cell r="A1721" t="str">
            <v>IKN402036</v>
          </cell>
          <cell r="B1721">
            <v>1691</v>
          </cell>
          <cell r="C1721" t="str">
            <v>Institut Kanser Negara</v>
          </cell>
          <cell r="D1721" t="str">
            <v>KKM/IKN/H/20/28</v>
          </cell>
          <cell r="E1721" t="str">
            <v>16-861</v>
          </cell>
          <cell r="F1721" t="str">
            <v>Baths, Water, Laboratory</v>
          </cell>
          <cell r="G1721" t="str">
            <v>NM</v>
          </cell>
          <cell r="H1721" t="str">
            <v>NUCLEAR MED (DIAGNOSTIC)</v>
          </cell>
          <cell r="I1721" t="str">
            <v>03NM133</v>
          </cell>
          <cell r="J1721" t="str">
            <v>RADIODINE DISPENSING (-VE)</v>
          </cell>
          <cell r="K1721" t="str">
            <v>BMED</v>
          </cell>
          <cell r="L1721" t="str">
            <v>Normal</v>
          </cell>
          <cell r="O1721" t="str">
            <v>D1302-230V</v>
          </cell>
          <cell r="P1721" t="str">
            <v>BD194AJ0000782</v>
          </cell>
          <cell r="Q1721" t="str">
            <v>Not Applicable</v>
          </cell>
          <cell r="S1721" t="str">
            <v>UWAIS MEDIC SDN BHD</v>
          </cell>
          <cell r="T1721" t="str">
            <v>Functioning</v>
          </cell>
          <cell r="U1721" t="str">
            <v>Asset</v>
          </cell>
          <cell r="V1721">
            <v>8700</v>
          </cell>
          <cell r="W1721" t="str">
            <v>KEW</v>
          </cell>
          <cell r="X1721">
            <v>43941</v>
          </cell>
          <cell r="Y1721" t="str">
            <v>KEW</v>
          </cell>
          <cell r="Z1721">
            <v>44021</v>
          </cell>
          <cell r="AA1721">
            <v>44385</v>
          </cell>
          <cell r="AB1721" t="str">
            <v>No</v>
          </cell>
          <cell r="AC1721">
            <v>44021</v>
          </cell>
          <cell r="AD1721" t="str">
            <v>Good</v>
          </cell>
          <cell r="AE1721" t="str">
            <v>V3 - Added Installed Facilities (New)</v>
          </cell>
          <cell r="AH1721" t="str">
            <v>PPM</v>
          </cell>
          <cell r="AI1721" t="str">
            <v>Strands</v>
          </cell>
          <cell r="AJ1721" t="str">
            <v>Strands PW</v>
          </cell>
          <cell r="AK1721" t="str">
            <v>SNF received. Temperature probe SN: 2926BF.</v>
          </cell>
        </row>
        <row r="1722">
          <cell r="A1722" t="str">
            <v>IKN402043</v>
          </cell>
          <cell r="B1722">
            <v>1698</v>
          </cell>
          <cell r="C1722" t="str">
            <v>Institut Kanser Negara</v>
          </cell>
          <cell r="D1722" t="str">
            <v>KKM/IKN/H/20/46</v>
          </cell>
          <cell r="E1722" t="str">
            <v>13-215</v>
          </cell>
          <cell r="F1722" t="str">
            <v>Infusion Pumps, General-Purpose</v>
          </cell>
          <cell r="G1722" t="str">
            <v>DO</v>
          </cell>
          <cell r="H1722" t="str">
            <v>DAY ONCOLOGY UNIT</v>
          </cell>
          <cell r="I1722" t="str">
            <v>04DO111</v>
          </cell>
          <cell r="J1722" t="str">
            <v>EQUIP. ROOM</v>
          </cell>
          <cell r="K1722" t="str">
            <v>BMED</v>
          </cell>
          <cell r="L1722" t="str">
            <v>Critical</v>
          </cell>
          <cell r="M1722" t="str">
            <v>CHINA</v>
          </cell>
          <cell r="N1722" t="str">
            <v>HAWKMED</v>
          </cell>
          <cell r="O1722" t="str">
            <v>HAWK-i1</v>
          </cell>
          <cell r="P1722" t="str">
            <v>04007906</v>
          </cell>
          <cell r="Q1722" t="str">
            <v>Not Applicable</v>
          </cell>
          <cell r="R1722" t="str">
            <v>Shenzhen Hawk Medical Instrument Co., Ltd</v>
          </cell>
          <cell r="S1722" t="str">
            <v>Edge Cares Sdn. Bhd.</v>
          </cell>
          <cell r="T1722" t="str">
            <v>Functioning</v>
          </cell>
          <cell r="U1722" t="str">
            <v>Asset</v>
          </cell>
          <cell r="V1722">
            <v>3500</v>
          </cell>
          <cell r="W1722" t="str">
            <v>KEW</v>
          </cell>
          <cell r="X1722">
            <v>44155</v>
          </cell>
          <cell r="Y1722" t="str">
            <v>KEW</v>
          </cell>
          <cell r="Z1722">
            <v>44161</v>
          </cell>
          <cell r="AA1722">
            <v>44526</v>
          </cell>
          <cell r="AB1722" t="str">
            <v>No</v>
          </cell>
          <cell r="AC1722">
            <v>44161</v>
          </cell>
          <cell r="AD1722" t="str">
            <v>Good</v>
          </cell>
          <cell r="AE1722" t="str">
            <v>V3 - Added Installed Facilities (New)</v>
          </cell>
          <cell r="AF1722">
            <v>44161</v>
          </cell>
          <cell r="AH1722" t="str">
            <v>PPM</v>
          </cell>
          <cell r="AI1722" t="str">
            <v>Strands</v>
          </cell>
          <cell r="AJ1722" t="str">
            <v>Strands PW</v>
          </cell>
          <cell r="AK1722" t="str">
            <v>SNF received on 7.12.2020</v>
          </cell>
        </row>
        <row r="1723">
          <cell r="A1723" t="str">
            <v>IKN402044</v>
          </cell>
          <cell r="B1723">
            <v>1699</v>
          </cell>
          <cell r="C1723" t="str">
            <v>Institut Kanser Negara</v>
          </cell>
          <cell r="D1723" t="str">
            <v>KKM/IKN/H/20/48</v>
          </cell>
          <cell r="E1723" t="str">
            <v>13-215</v>
          </cell>
          <cell r="F1723" t="str">
            <v>Infusion Pumps, General-Purpose</v>
          </cell>
          <cell r="G1723" t="str">
            <v>DO</v>
          </cell>
          <cell r="H1723" t="str">
            <v>DAY ONCOLOGY UNIT</v>
          </cell>
          <cell r="I1723" t="str">
            <v>04DO111</v>
          </cell>
          <cell r="J1723" t="str">
            <v>EQUIP. ROOM</v>
          </cell>
          <cell r="K1723" t="str">
            <v>BMED</v>
          </cell>
          <cell r="L1723" t="str">
            <v>Critical</v>
          </cell>
          <cell r="M1723" t="str">
            <v>CHINA</v>
          </cell>
          <cell r="N1723" t="str">
            <v>HAWKMED</v>
          </cell>
          <cell r="O1723" t="str">
            <v>HAWK-i1</v>
          </cell>
          <cell r="P1723" t="str">
            <v>04007585</v>
          </cell>
          <cell r="Q1723" t="str">
            <v>Not Applicable</v>
          </cell>
          <cell r="R1723" t="str">
            <v>Shenzhen Hawk Medical Instrument Co., Ltd</v>
          </cell>
          <cell r="S1723" t="str">
            <v>Edge Cares Sdn. Bhd.</v>
          </cell>
          <cell r="T1723" t="str">
            <v>Functioning</v>
          </cell>
          <cell r="U1723" t="str">
            <v>Asset</v>
          </cell>
          <cell r="V1723">
            <v>3500</v>
          </cell>
          <cell r="W1723" t="str">
            <v>KEW</v>
          </cell>
          <cell r="X1723">
            <v>44155</v>
          </cell>
          <cell r="Y1723" t="str">
            <v>KEW</v>
          </cell>
          <cell r="Z1723">
            <v>44161</v>
          </cell>
          <cell r="AA1723">
            <v>44526</v>
          </cell>
          <cell r="AB1723" t="str">
            <v>No</v>
          </cell>
          <cell r="AC1723">
            <v>44161</v>
          </cell>
          <cell r="AD1723" t="str">
            <v>Good</v>
          </cell>
          <cell r="AE1723" t="str">
            <v>V3 - Added Installed Facilities (New)</v>
          </cell>
          <cell r="AF1723">
            <v>44161</v>
          </cell>
          <cell r="AH1723" t="str">
            <v>PPM</v>
          </cell>
          <cell r="AI1723" t="str">
            <v>Strands</v>
          </cell>
          <cell r="AJ1723" t="str">
            <v>Strands PW</v>
          </cell>
          <cell r="AK1723" t="str">
            <v>SNF received on 7.12.2020</v>
          </cell>
        </row>
        <row r="1724">
          <cell r="A1724" t="str">
            <v>IKN402045</v>
          </cell>
          <cell r="B1724">
            <v>1700</v>
          </cell>
          <cell r="C1724" t="str">
            <v>Institut Kanser Negara</v>
          </cell>
          <cell r="D1724" t="str">
            <v>KKM/IKN/H/20/47</v>
          </cell>
          <cell r="E1724" t="str">
            <v>13-215</v>
          </cell>
          <cell r="F1724" t="str">
            <v>Infusion Pumps, General-Purpose</v>
          </cell>
          <cell r="G1724" t="str">
            <v>DO</v>
          </cell>
          <cell r="H1724" t="str">
            <v>DAY ONCOLOGY UNIT</v>
          </cell>
          <cell r="I1724" t="str">
            <v>04DO111</v>
          </cell>
          <cell r="J1724" t="str">
            <v>EQUIP. ROOM</v>
          </cell>
          <cell r="K1724" t="str">
            <v>BMED</v>
          </cell>
          <cell r="L1724" t="str">
            <v>Critical</v>
          </cell>
          <cell r="M1724" t="str">
            <v>CHINA</v>
          </cell>
          <cell r="N1724" t="str">
            <v>HAWKMED</v>
          </cell>
          <cell r="O1724" t="str">
            <v>HAWK-i1</v>
          </cell>
          <cell r="P1724" t="str">
            <v>04007584</v>
          </cell>
          <cell r="Q1724" t="str">
            <v>Not Applicable</v>
          </cell>
          <cell r="R1724" t="str">
            <v>Shenzhen Hawk Medical Instrument Co., Ltd</v>
          </cell>
          <cell r="S1724" t="str">
            <v>Edge Cares Sdn. Bhd.</v>
          </cell>
          <cell r="T1724" t="str">
            <v>Functioning</v>
          </cell>
          <cell r="U1724" t="str">
            <v>Asset</v>
          </cell>
          <cell r="V1724">
            <v>3500</v>
          </cell>
          <cell r="W1724" t="str">
            <v>KEW</v>
          </cell>
          <cell r="X1724">
            <v>44155</v>
          </cell>
          <cell r="Y1724" t="str">
            <v>KEW</v>
          </cell>
          <cell r="Z1724">
            <v>44161</v>
          </cell>
          <cell r="AA1724">
            <v>44526</v>
          </cell>
          <cell r="AB1724" t="str">
            <v>No</v>
          </cell>
          <cell r="AC1724">
            <v>44161</v>
          </cell>
          <cell r="AD1724" t="str">
            <v>Good</v>
          </cell>
          <cell r="AE1724" t="str">
            <v>V3 - Added Installed Facilities (New)</v>
          </cell>
          <cell r="AF1724">
            <v>44161</v>
          </cell>
          <cell r="AH1724" t="str">
            <v>PPM</v>
          </cell>
          <cell r="AI1724" t="str">
            <v>Strands</v>
          </cell>
          <cell r="AJ1724" t="str">
            <v>Strands PW</v>
          </cell>
          <cell r="AK1724" t="str">
            <v>SNF received on 7.12.2020</v>
          </cell>
        </row>
        <row r="1725">
          <cell r="A1725" t="str">
            <v>IKN402046</v>
          </cell>
          <cell r="B1725">
            <v>1701</v>
          </cell>
          <cell r="C1725" t="str">
            <v>Institut Kanser Negara</v>
          </cell>
          <cell r="D1725" t="str">
            <v>KKM/IKN/H/20/45</v>
          </cell>
          <cell r="E1725" t="str">
            <v>13-215</v>
          </cell>
          <cell r="F1725" t="str">
            <v>Infusion Pumps, General-Purpose</v>
          </cell>
          <cell r="G1725" t="str">
            <v>DO</v>
          </cell>
          <cell r="H1725" t="str">
            <v>DAY ONCOLOGY UNIT</v>
          </cell>
          <cell r="I1725" t="str">
            <v>04DO111</v>
          </cell>
          <cell r="J1725" t="str">
            <v>EQUIP. ROOM</v>
          </cell>
          <cell r="K1725" t="str">
            <v>BMED</v>
          </cell>
          <cell r="L1725" t="str">
            <v>Critical</v>
          </cell>
          <cell r="M1725" t="str">
            <v>CHINA</v>
          </cell>
          <cell r="N1725" t="str">
            <v>HAWKMED</v>
          </cell>
          <cell r="O1725" t="str">
            <v>HAWK-i1</v>
          </cell>
          <cell r="P1725" t="str">
            <v>04007987</v>
          </cell>
          <cell r="Q1725" t="str">
            <v>Not Applicable</v>
          </cell>
          <cell r="R1725" t="str">
            <v>Shenzhen Hawk Medical Instrument Co., Ltd</v>
          </cell>
          <cell r="S1725" t="str">
            <v>Edge Cares Sdn. Bhd.</v>
          </cell>
          <cell r="T1725" t="str">
            <v>Functioning</v>
          </cell>
          <cell r="U1725" t="str">
            <v>Asset</v>
          </cell>
          <cell r="V1725">
            <v>3500</v>
          </cell>
          <cell r="W1725" t="str">
            <v>KEW</v>
          </cell>
          <cell r="X1725">
            <v>44155</v>
          </cell>
          <cell r="Y1725" t="str">
            <v>KEW</v>
          </cell>
          <cell r="Z1725">
            <v>44161</v>
          </cell>
          <cell r="AA1725">
            <v>44526</v>
          </cell>
          <cell r="AB1725" t="str">
            <v>No</v>
          </cell>
          <cell r="AC1725">
            <v>44161</v>
          </cell>
          <cell r="AD1725" t="str">
            <v>Good</v>
          </cell>
          <cell r="AE1725" t="str">
            <v>V3 - Added Installed Facilities (New)</v>
          </cell>
          <cell r="AF1725">
            <v>44161</v>
          </cell>
          <cell r="AH1725" t="str">
            <v>PPM</v>
          </cell>
          <cell r="AI1725" t="str">
            <v>Strands</v>
          </cell>
          <cell r="AJ1725" t="str">
            <v>Strands PW</v>
          </cell>
          <cell r="AK1725" t="str">
            <v>SNF received on 7.12.2020</v>
          </cell>
        </row>
        <row r="1726">
          <cell r="A1726" t="str">
            <v>IKN402048</v>
          </cell>
          <cell r="B1726">
            <v>1703</v>
          </cell>
          <cell r="C1726" t="str">
            <v>Institut Kanser Negara</v>
          </cell>
          <cell r="D1726" t="str">
            <v>KKM/IKN/R/20/320</v>
          </cell>
          <cell r="E1726" t="str">
            <v>182-67</v>
          </cell>
          <cell r="F1726" t="str">
            <v>Centrifuges, Tabletop, Low-Speed, Nonrefrigerated, Blood Bank</v>
          </cell>
          <cell r="G1726" t="str">
            <v>LA</v>
          </cell>
          <cell r="H1726" t="str">
            <v>PATHOLOGY</v>
          </cell>
          <cell r="I1726" t="str">
            <v>04LA127</v>
          </cell>
          <cell r="J1726" t="str">
            <v>INNOCULATION/STAINING</v>
          </cell>
          <cell r="K1726" t="str">
            <v>BMED</v>
          </cell>
          <cell r="L1726" t="str">
            <v>Normal</v>
          </cell>
          <cell r="M1726" t="str">
            <v>CHINA</v>
          </cell>
          <cell r="N1726" t="str">
            <v>BIOLOGIX</v>
          </cell>
          <cell r="O1726" t="str">
            <v>D1008</v>
          </cell>
          <cell r="P1726" t="str">
            <v>HG19BAK0001335</v>
          </cell>
          <cell r="Q1726" t="str">
            <v>Not Applicable</v>
          </cell>
          <cell r="R1726" t="str">
            <v>Biologix Group Limited</v>
          </cell>
          <cell r="S1726" t="str">
            <v>Tree Med Sdn. Bhd</v>
          </cell>
          <cell r="T1726" t="str">
            <v>Functioning</v>
          </cell>
          <cell r="U1726" t="str">
            <v>Asset</v>
          </cell>
          <cell r="V1726">
            <v>950</v>
          </cell>
          <cell r="W1726" t="str">
            <v>KEW</v>
          </cell>
          <cell r="X1726">
            <v>43935</v>
          </cell>
          <cell r="Y1726" t="str">
            <v>KEW</v>
          </cell>
          <cell r="Z1726">
            <v>44167</v>
          </cell>
          <cell r="AA1726">
            <v>44532</v>
          </cell>
          <cell r="AB1726" t="str">
            <v>No</v>
          </cell>
          <cell r="AC1726">
            <v>44167</v>
          </cell>
          <cell r="AD1726" t="str">
            <v>Good</v>
          </cell>
          <cell r="AE1726" t="str">
            <v>V3 - Added Installed Facilities (New)</v>
          </cell>
          <cell r="AF1726">
            <v>44167</v>
          </cell>
          <cell r="AH1726" t="str">
            <v>PPM</v>
          </cell>
          <cell r="AI1726" t="str">
            <v>Strands</v>
          </cell>
          <cell r="AJ1726" t="str">
            <v>Strands PW</v>
          </cell>
          <cell r="AK1726" t="str">
            <v>SNF received on 15.1.2021</v>
          </cell>
        </row>
        <row r="1727">
          <cell r="A1727" t="str">
            <v>IKN402050</v>
          </cell>
          <cell r="B1727">
            <v>1705</v>
          </cell>
          <cell r="C1727" t="str">
            <v>Institut Kanser Negara</v>
          </cell>
          <cell r="D1727" t="str">
            <v>KKM/IKN/H/21/9</v>
          </cell>
          <cell r="E1727" t="str">
            <v>18-329</v>
          </cell>
          <cell r="F1727" t="str">
            <v>Electrocardiographs, Multichannel, Non-Interpretative</v>
          </cell>
          <cell r="G1727" t="str">
            <v>AE</v>
          </cell>
          <cell r="H1727" t="str">
            <v>EMERGENCY UNIT</v>
          </cell>
          <cell r="I1727" t="str">
            <v>01AE106</v>
          </cell>
          <cell r="J1727" t="str">
            <v>C/E ROOM</v>
          </cell>
          <cell r="K1727" t="str">
            <v>BMED</v>
          </cell>
          <cell r="L1727" t="str">
            <v>Normal</v>
          </cell>
          <cell r="M1727" t="str">
            <v>United Kingdom</v>
          </cell>
          <cell r="N1727" t="str">
            <v>BTL</v>
          </cell>
          <cell r="O1727" t="str">
            <v>BTL-08 SD3</v>
          </cell>
          <cell r="P1727" t="str">
            <v>071DOB009854</v>
          </cell>
          <cell r="Q1727" t="str">
            <v>Not Applicable</v>
          </cell>
          <cell r="R1727" t="str">
            <v>BTL Industries Ltd</v>
          </cell>
          <cell r="S1727" t="str">
            <v>MEDIXELL SDN BHD</v>
          </cell>
          <cell r="T1727" t="str">
            <v>Functioning</v>
          </cell>
          <cell r="U1727" t="str">
            <v>Asset</v>
          </cell>
          <cell r="V1727">
            <v>12900</v>
          </cell>
          <cell r="W1727" t="str">
            <v>KEW</v>
          </cell>
          <cell r="X1727">
            <v>44139</v>
          </cell>
          <cell r="Y1727" t="str">
            <v>KEW</v>
          </cell>
          <cell r="Z1727">
            <v>44196</v>
          </cell>
          <cell r="AA1727">
            <v>44561</v>
          </cell>
          <cell r="AB1727" t="str">
            <v>No</v>
          </cell>
          <cell r="AC1727">
            <v>44186</v>
          </cell>
          <cell r="AD1727" t="str">
            <v>Good</v>
          </cell>
          <cell r="AE1727" t="str">
            <v>V3 - Added Installed Facilities (New)</v>
          </cell>
          <cell r="AH1727" t="str">
            <v>PPM</v>
          </cell>
          <cell r="AI1727" t="str">
            <v>Strands</v>
          </cell>
          <cell r="AJ1727" t="str">
            <v>Strands PW</v>
          </cell>
          <cell r="AK1727" t="str">
            <v>SNF received on 24.6.2021. [19/1/2024, Indira]: Update Model and SN.</v>
          </cell>
        </row>
        <row r="1728">
          <cell r="A1728" t="str">
            <v>IKN402051</v>
          </cell>
          <cell r="B1728">
            <v>1706</v>
          </cell>
          <cell r="C1728" t="str">
            <v>Institut Kanser Negara</v>
          </cell>
          <cell r="D1728" t="str">
            <v>KKM/IKN/H/21/4</v>
          </cell>
          <cell r="E1728" t="str">
            <v>14-032</v>
          </cell>
          <cell r="F1728" t="str">
            <v>Thermometers, Electronic</v>
          </cell>
          <cell r="G1728" t="str">
            <v>HP</v>
          </cell>
          <cell r="H1728" t="str">
            <v>HEALTH PROMO &amp; CANCER UNIT</v>
          </cell>
          <cell r="I1728" t="str">
            <v>04HP104</v>
          </cell>
          <cell r="J1728" t="str">
            <v>DISPLAY</v>
          </cell>
          <cell r="K1728" t="str">
            <v>BMED</v>
          </cell>
          <cell r="L1728" t="str">
            <v>Normal</v>
          </cell>
          <cell r="M1728" t="str">
            <v>CHINA</v>
          </cell>
          <cell r="N1728" t="str">
            <v>NUVEQ</v>
          </cell>
          <cell r="O1728" t="str">
            <v>FK02GYW</v>
          </cell>
          <cell r="P1728" t="str">
            <v>7101803027957</v>
          </cell>
          <cell r="Q1728" t="str">
            <v>Not Applicable</v>
          </cell>
          <cell r="R1728" t="str">
            <v>N/A</v>
          </cell>
          <cell r="S1728" t="str">
            <v>Cara Solution Sdn Bhd</v>
          </cell>
          <cell r="T1728" t="str">
            <v>Functioning</v>
          </cell>
          <cell r="U1728" t="str">
            <v>Asset</v>
          </cell>
          <cell r="V1728">
            <v>5800</v>
          </cell>
          <cell r="W1728" t="str">
            <v>KEW</v>
          </cell>
          <cell r="X1728">
            <v>44225</v>
          </cell>
          <cell r="Y1728" t="str">
            <v>KEW</v>
          </cell>
          <cell r="Z1728">
            <v>44225</v>
          </cell>
          <cell r="AA1728">
            <v>44590</v>
          </cell>
          <cell r="AB1728" t="str">
            <v>No</v>
          </cell>
          <cell r="AC1728">
            <v>44225</v>
          </cell>
          <cell r="AD1728" t="str">
            <v>Good</v>
          </cell>
          <cell r="AE1728" t="str">
            <v>V3 - Added Installed Facilities (New)</v>
          </cell>
          <cell r="AH1728" t="str">
            <v>PPM</v>
          </cell>
          <cell r="AI1728" t="str">
            <v>Not in contract</v>
          </cell>
          <cell r="AJ1728" t="str">
            <v>Strands PW</v>
          </cell>
          <cell r="AK1728" t="str">
            <v>Asset Sumbangan</v>
          </cell>
        </row>
        <row r="1729">
          <cell r="A1729" t="str">
            <v>IKN402052</v>
          </cell>
          <cell r="B1729">
            <v>1707</v>
          </cell>
          <cell r="C1729" t="str">
            <v>Institut Kanser Negara</v>
          </cell>
          <cell r="D1729" t="str">
            <v>KKM/IKN/H/21/3</v>
          </cell>
          <cell r="E1729" t="str">
            <v>14-032</v>
          </cell>
          <cell r="F1729" t="str">
            <v>Thermometers, Electronic</v>
          </cell>
          <cell r="G1729" t="str">
            <v>HP</v>
          </cell>
          <cell r="H1729" t="str">
            <v>HEALTH PROMO &amp; CANCER UNIT</v>
          </cell>
          <cell r="I1729" t="str">
            <v>04HP104</v>
          </cell>
          <cell r="J1729" t="str">
            <v>DISPLAY</v>
          </cell>
          <cell r="K1729" t="str">
            <v>BMED</v>
          </cell>
          <cell r="L1729" t="str">
            <v>Normal</v>
          </cell>
          <cell r="M1729" t="str">
            <v>CHINA</v>
          </cell>
          <cell r="N1729" t="str">
            <v>NUVEQ</v>
          </cell>
          <cell r="O1729" t="str">
            <v>FK02GYW</v>
          </cell>
          <cell r="P1729" t="str">
            <v>7101166493742</v>
          </cell>
          <cell r="Q1729" t="str">
            <v>Not Applicable</v>
          </cell>
          <cell r="R1729" t="str">
            <v>N/A</v>
          </cell>
          <cell r="S1729" t="str">
            <v>Cara Solution Sdn Bhd</v>
          </cell>
          <cell r="T1729" t="str">
            <v>Functioning</v>
          </cell>
          <cell r="U1729" t="str">
            <v>Asset</v>
          </cell>
          <cell r="V1729">
            <v>5800</v>
          </cell>
          <cell r="W1729" t="str">
            <v>KEW</v>
          </cell>
          <cell r="X1729">
            <v>44225</v>
          </cell>
          <cell r="Y1729" t="str">
            <v>KEW</v>
          </cell>
          <cell r="Z1729">
            <v>44225</v>
          </cell>
          <cell r="AA1729">
            <v>44590</v>
          </cell>
          <cell r="AB1729" t="str">
            <v>No</v>
          </cell>
          <cell r="AC1729">
            <v>44225</v>
          </cell>
          <cell r="AD1729" t="str">
            <v>Good</v>
          </cell>
          <cell r="AE1729" t="str">
            <v>V3 - Added Installed Facilities (New)</v>
          </cell>
          <cell r="AH1729" t="str">
            <v>PPM</v>
          </cell>
          <cell r="AI1729" t="str">
            <v>Not in contract</v>
          </cell>
          <cell r="AJ1729" t="str">
            <v>Strands PW</v>
          </cell>
          <cell r="AK1729" t="str">
            <v>Asset Sumbangan</v>
          </cell>
        </row>
        <row r="1730">
          <cell r="A1730" t="str">
            <v>IKN402055</v>
          </cell>
          <cell r="B1730">
            <v>1710</v>
          </cell>
          <cell r="C1730" t="str">
            <v>Institut Kanser Negara</v>
          </cell>
          <cell r="D1730" t="str">
            <v>KKM/IKN/H/21/20</v>
          </cell>
          <cell r="E1730" t="str">
            <v>15-141</v>
          </cell>
          <cell r="F1730" t="str">
            <v>Fluorometers</v>
          </cell>
          <cell r="G1730" t="str">
            <v>LA</v>
          </cell>
          <cell r="H1730" t="str">
            <v>PATHOLOGY</v>
          </cell>
          <cell r="I1730" t="str">
            <v>04LA130</v>
          </cell>
          <cell r="J1730" t="str">
            <v>SEROLOGY</v>
          </cell>
          <cell r="K1730" t="str">
            <v>BMED</v>
          </cell>
          <cell r="L1730" t="str">
            <v>Normal</v>
          </cell>
          <cell r="M1730" t="str">
            <v>Singapore</v>
          </cell>
          <cell r="N1730" t="str">
            <v>Invitrogen Thermo Fisher Scientific</v>
          </cell>
          <cell r="O1730" t="str">
            <v>Qubit 4 Flourometer</v>
          </cell>
          <cell r="P1730" t="str">
            <v>2322619100216</v>
          </cell>
          <cell r="Q1730" t="str">
            <v>Not Applicable</v>
          </cell>
          <cell r="R1730" t="str">
            <v>Life Technologies Holding Pte Ltd</v>
          </cell>
          <cell r="S1730" t="str">
            <v>Bio-Diagnostic Sdn Bhd</v>
          </cell>
          <cell r="T1730" t="str">
            <v>Functioning</v>
          </cell>
          <cell r="U1730" t="str">
            <v>Asset</v>
          </cell>
          <cell r="V1730">
            <v>16800</v>
          </cell>
          <cell r="W1730" t="str">
            <v>KEW</v>
          </cell>
          <cell r="X1730">
            <v>44298</v>
          </cell>
          <cell r="Y1730" t="str">
            <v>KEW</v>
          </cell>
          <cell r="Z1730">
            <v>44301</v>
          </cell>
          <cell r="AA1730">
            <v>44666</v>
          </cell>
          <cell r="AB1730" t="str">
            <v>No</v>
          </cell>
          <cell r="AC1730">
            <v>44306</v>
          </cell>
          <cell r="AD1730" t="str">
            <v>Good</v>
          </cell>
          <cell r="AE1730" t="str">
            <v>V3 - Added Installed Facilities (New)</v>
          </cell>
          <cell r="AF1730">
            <v>44301</v>
          </cell>
          <cell r="AH1730" t="str">
            <v>PPM</v>
          </cell>
          <cell r="AI1730" t="str">
            <v>Strands</v>
          </cell>
          <cell r="AJ1730" t="str">
            <v>Strands PW</v>
          </cell>
          <cell r="AK1730" t="str">
            <v>SNF received on 30.6.2021</v>
          </cell>
        </row>
        <row r="1731">
          <cell r="A1731" t="str">
            <v>IKN402056</v>
          </cell>
          <cell r="B1731">
            <v>1711</v>
          </cell>
          <cell r="C1731" t="str">
            <v>Institut Kanser Negara</v>
          </cell>
          <cell r="D1731" t="str">
            <v>KKM/IKN/R/21/94</v>
          </cell>
          <cell r="E1731" t="str">
            <v>15-663</v>
          </cell>
          <cell r="F1731" t="str">
            <v>Pipetters</v>
          </cell>
          <cell r="G1731" t="str">
            <v>LA</v>
          </cell>
          <cell r="H1731" t="str">
            <v>PATHOLOGY</v>
          </cell>
          <cell r="I1731" t="str">
            <v>04LA130</v>
          </cell>
          <cell r="J1731" t="str">
            <v>SEROLOGY</v>
          </cell>
          <cell r="K1731" t="str">
            <v>BMED</v>
          </cell>
          <cell r="L1731" t="str">
            <v>Normal</v>
          </cell>
          <cell r="M1731" t="str">
            <v>Germany</v>
          </cell>
          <cell r="N1731" t="str">
            <v>Eppendorf</v>
          </cell>
          <cell r="O1731" t="str">
            <v>Eppendorf Research Plus</v>
          </cell>
          <cell r="P1731" t="str">
            <v>N45411J</v>
          </cell>
          <cell r="Q1731" t="str">
            <v>Not Applicable</v>
          </cell>
          <cell r="R1731" t="str">
            <v>Eppendorf</v>
          </cell>
          <cell r="S1731" t="str">
            <v>MEDIGENE SDN BHD</v>
          </cell>
          <cell r="T1731" t="str">
            <v>Functioning</v>
          </cell>
          <cell r="U1731" t="str">
            <v>Asset</v>
          </cell>
          <cell r="V1731">
            <v>1000</v>
          </cell>
          <cell r="W1731" t="str">
            <v>KEW</v>
          </cell>
          <cell r="X1731">
            <v>44291</v>
          </cell>
          <cell r="Y1731" t="str">
            <v>KEW</v>
          </cell>
          <cell r="Z1731">
            <v>44307</v>
          </cell>
          <cell r="AA1731">
            <v>44672</v>
          </cell>
          <cell r="AB1731" t="str">
            <v>No</v>
          </cell>
          <cell r="AC1731">
            <v>44307</v>
          </cell>
          <cell r="AD1731" t="str">
            <v>Good</v>
          </cell>
          <cell r="AE1731" t="str">
            <v>V3 - Added Installed Facilities (New)</v>
          </cell>
          <cell r="AH1731" t="str">
            <v>PPM</v>
          </cell>
          <cell r="AI1731" t="str">
            <v>Strands</v>
          </cell>
          <cell r="AJ1731" t="str">
            <v>Strands PW</v>
          </cell>
          <cell r="AK1731" t="str">
            <v>SNF received on 30.6.2021</v>
          </cell>
        </row>
        <row r="1732">
          <cell r="A1732" t="str">
            <v>IKN402057</v>
          </cell>
          <cell r="B1732">
            <v>1712</v>
          </cell>
          <cell r="C1732" t="str">
            <v>Institut Kanser Negara</v>
          </cell>
          <cell r="D1732" t="str">
            <v>KKM/IKN/R/21/95</v>
          </cell>
          <cell r="E1732" t="str">
            <v>15-663</v>
          </cell>
          <cell r="F1732" t="str">
            <v>Pipetters</v>
          </cell>
          <cell r="G1732" t="str">
            <v>LA</v>
          </cell>
          <cell r="H1732" t="str">
            <v>PATHOLOGY</v>
          </cell>
          <cell r="I1732" t="str">
            <v>04LA130</v>
          </cell>
          <cell r="J1732" t="str">
            <v>SEROLOGY</v>
          </cell>
          <cell r="K1732" t="str">
            <v>BMED</v>
          </cell>
          <cell r="L1732" t="str">
            <v>Normal</v>
          </cell>
          <cell r="M1732" t="str">
            <v>Germany</v>
          </cell>
          <cell r="N1732" t="str">
            <v>Eppendorf</v>
          </cell>
          <cell r="O1732" t="str">
            <v>Eppendorf Research Plus</v>
          </cell>
          <cell r="P1732" t="str">
            <v>N45813J</v>
          </cell>
          <cell r="Q1732" t="str">
            <v>Not Applicable</v>
          </cell>
          <cell r="R1732" t="str">
            <v>Eppendorf</v>
          </cell>
          <cell r="S1732" t="str">
            <v>MEDIGENE SDN BHD</v>
          </cell>
          <cell r="T1732" t="str">
            <v>Functioning</v>
          </cell>
          <cell r="U1732" t="str">
            <v>Asset</v>
          </cell>
          <cell r="V1732">
            <v>1000</v>
          </cell>
          <cell r="W1732" t="str">
            <v>KEW</v>
          </cell>
          <cell r="X1732">
            <v>44291</v>
          </cell>
          <cell r="Y1732" t="str">
            <v>KEW</v>
          </cell>
          <cell r="Z1732">
            <v>44307</v>
          </cell>
          <cell r="AA1732">
            <v>44672</v>
          </cell>
          <cell r="AB1732" t="str">
            <v>No</v>
          </cell>
          <cell r="AC1732">
            <v>44307</v>
          </cell>
          <cell r="AD1732" t="str">
            <v>Good</v>
          </cell>
          <cell r="AE1732" t="str">
            <v>V3 - Added Installed Facilities (New)</v>
          </cell>
          <cell r="AH1732" t="str">
            <v>PPM</v>
          </cell>
          <cell r="AI1732" t="str">
            <v>Strands</v>
          </cell>
          <cell r="AJ1732" t="str">
            <v>Strands PW</v>
          </cell>
          <cell r="AK1732" t="str">
            <v>SNF received on 30.6.2021</v>
          </cell>
        </row>
        <row r="1733">
          <cell r="A1733" t="str">
            <v>IKN402058</v>
          </cell>
          <cell r="B1733">
            <v>1713</v>
          </cell>
          <cell r="C1733" t="str">
            <v>Institut Kanser Negara</v>
          </cell>
          <cell r="D1733" t="str">
            <v>KKM/IKN/R/21/97</v>
          </cell>
          <cell r="E1733" t="str">
            <v>15-663</v>
          </cell>
          <cell r="F1733" t="str">
            <v>Pipetters</v>
          </cell>
          <cell r="G1733" t="str">
            <v>LA</v>
          </cell>
          <cell r="H1733" t="str">
            <v>PATHOLOGY</v>
          </cell>
          <cell r="I1733" t="str">
            <v>04LA130</v>
          </cell>
          <cell r="J1733" t="str">
            <v>SEROLOGY</v>
          </cell>
          <cell r="K1733" t="str">
            <v>BMED</v>
          </cell>
          <cell r="L1733" t="str">
            <v>Normal</v>
          </cell>
          <cell r="M1733" t="str">
            <v>Germany</v>
          </cell>
          <cell r="N1733" t="str">
            <v>Eppendorf</v>
          </cell>
          <cell r="O1733" t="str">
            <v>Eppendorf Research Plus</v>
          </cell>
          <cell r="P1733" t="str">
            <v>M38198J</v>
          </cell>
          <cell r="Q1733" t="str">
            <v>Not Applicable</v>
          </cell>
          <cell r="R1733" t="str">
            <v>Eppendorf</v>
          </cell>
          <cell r="S1733" t="str">
            <v>MEDIGENE SDN BHD</v>
          </cell>
          <cell r="T1733" t="str">
            <v>Functioning</v>
          </cell>
          <cell r="U1733" t="str">
            <v>Asset</v>
          </cell>
          <cell r="V1733">
            <v>1000</v>
          </cell>
          <cell r="W1733" t="str">
            <v>KEW</v>
          </cell>
          <cell r="X1733">
            <v>44291</v>
          </cell>
          <cell r="Y1733" t="str">
            <v>KEW</v>
          </cell>
          <cell r="Z1733">
            <v>44307</v>
          </cell>
          <cell r="AA1733">
            <v>44672</v>
          </cell>
          <cell r="AB1733" t="str">
            <v>No</v>
          </cell>
          <cell r="AC1733">
            <v>44307</v>
          </cell>
          <cell r="AD1733" t="str">
            <v>Good</v>
          </cell>
          <cell r="AE1733" t="str">
            <v>V3 - Added Installed Facilities (New)</v>
          </cell>
          <cell r="AH1733" t="str">
            <v>PPM</v>
          </cell>
          <cell r="AI1733" t="str">
            <v>Strands</v>
          </cell>
          <cell r="AJ1733" t="str">
            <v>Strands PW</v>
          </cell>
          <cell r="AK1733" t="str">
            <v>SNF received on 30.6.2021</v>
          </cell>
        </row>
        <row r="1734">
          <cell r="A1734" t="str">
            <v>IKN402059</v>
          </cell>
          <cell r="B1734">
            <v>1714</v>
          </cell>
          <cell r="C1734" t="str">
            <v>Institut Kanser Negara</v>
          </cell>
          <cell r="D1734" t="str">
            <v>KKM/IKN/R/21/96</v>
          </cell>
          <cell r="E1734" t="str">
            <v>15-663</v>
          </cell>
          <cell r="F1734" t="str">
            <v>Pipetters</v>
          </cell>
          <cell r="G1734" t="str">
            <v>LA</v>
          </cell>
          <cell r="H1734" t="str">
            <v>PATHOLOGY</v>
          </cell>
          <cell r="I1734" t="str">
            <v>04LA130</v>
          </cell>
          <cell r="J1734" t="str">
            <v>SEROLOGY</v>
          </cell>
          <cell r="K1734" t="str">
            <v>BMED</v>
          </cell>
          <cell r="L1734" t="str">
            <v>Normal</v>
          </cell>
          <cell r="M1734" t="str">
            <v>Germany</v>
          </cell>
          <cell r="N1734" t="str">
            <v>Eppendorf</v>
          </cell>
          <cell r="O1734" t="str">
            <v>Eppendorf Research Plus</v>
          </cell>
          <cell r="P1734" t="str">
            <v>M38212J</v>
          </cell>
          <cell r="Q1734" t="str">
            <v>Not Applicable</v>
          </cell>
          <cell r="R1734" t="str">
            <v>Eppendorf</v>
          </cell>
          <cell r="S1734" t="str">
            <v>MEDIGENE SDN BHD</v>
          </cell>
          <cell r="T1734" t="str">
            <v>Functioning</v>
          </cell>
          <cell r="U1734" t="str">
            <v>Asset</v>
          </cell>
          <cell r="V1734">
            <v>1000</v>
          </cell>
          <cell r="W1734" t="str">
            <v>KEW</v>
          </cell>
          <cell r="X1734">
            <v>44291</v>
          </cell>
          <cell r="Y1734" t="str">
            <v>KEW</v>
          </cell>
          <cell r="Z1734">
            <v>44307</v>
          </cell>
          <cell r="AA1734">
            <v>44672</v>
          </cell>
          <cell r="AB1734" t="str">
            <v>No</v>
          </cell>
          <cell r="AC1734">
            <v>44307</v>
          </cell>
          <cell r="AD1734" t="str">
            <v>Good</v>
          </cell>
          <cell r="AE1734" t="str">
            <v>V3 - Added Installed Facilities (New)</v>
          </cell>
          <cell r="AH1734" t="str">
            <v>PPM</v>
          </cell>
          <cell r="AI1734" t="str">
            <v>Strands</v>
          </cell>
          <cell r="AJ1734" t="str">
            <v>Strands PW</v>
          </cell>
          <cell r="AK1734" t="str">
            <v>SNF received on 30.6.2021</v>
          </cell>
        </row>
        <row r="1735">
          <cell r="A1735" t="str">
            <v>IKN402060</v>
          </cell>
          <cell r="B1735">
            <v>1715</v>
          </cell>
          <cell r="C1735" t="str">
            <v>Institut Kanser Negara</v>
          </cell>
          <cell r="D1735" t="str">
            <v>KKM/IKN/R/21/98</v>
          </cell>
          <cell r="E1735" t="str">
            <v>15-663</v>
          </cell>
          <cell r="F1735" t="str">
            <v>Pipetters</v>
          </cell>
          <cell r="G1735" t="str">
            <v>LA</v>
          </cell>
          <cell r="H1735" t="str">
            <v>PATHOLOGY</v>
          </cell>
          <cell r="I1735" t="str">
            <v>04LA130</v>
          </cell>
          <cell r="J1735" t="str">
            <v>SEROLOGY</v>
          </cell>
          <cell r="K1735" t="str">
            <v>BMED</v>
          </cell>
          <cell r="L1735" t="str">
            <v>Normal</v>
          </cell>
          <cell r="M1735" t="str">
            <v>Germany</v>
          </cell>
          <cell r="N1735" t="str">
            <v>Eppendorf</v>
          </cell>
          <cell r="O1735" t="str">
            <v>Eppendorf Research Plus</v>
          </cell>
          <cell r="P1735" t="str">
            <v>N45177J</v>
          </cell>
          <cell r="Q1735" t="str">
            <v>Not Applicable</v>
          </cell>
          <cell r="R1735" t="str">
            <v>Eppendorf</v>
          </cell>
          <cell r="S1735" t="str">
            <v>MEDIGENE SDN BHD</v>
          </cell>
          <cell r="T1735" t="str">
            <v>Functioning</v>
          </cell>
          <cell r="U1735" t="str">
            <v>Asset</v>
          </cell>
          <cell r="V1735">
            <v>1000</v>
          </cell>
          <cell r="W1735" t="str">
            <v>KEW</v>
          </cell>
          <cell r="X1735">
            <v>44291</v>
          </cell>
          <cell r="Y1735" t="str">
            <v>KEW</v>
          </cell>
          <cell r="Z1735">
            <v>44307</v>
          </cell>
          <cell r="AA1735">
            <v>44672</v>
          </cell>
          <cell r="AB1735" t="str">
            <v>No</v>
          </cell>
          <cell r="AC1735">
            <v>44307</v>
          </cell>
          <cell r="AD1735" t="str">
            <v>Good</v>
          </cell>
          <cell r="AE1735" t="str">
            <v>V3 - Added Installed Facilities (New)</v>
          </cell>
          <cell r="AH1735" t="str">
            <v>PPM</v>
          </cell>
          <cell r="AI1735" t="str">
            <v>Strands</v>
          </cell>
          <cell r="AJ1735" t="str">
            <v>Strands PW</v>
          </cell>
          <cell r="AK1735" t="str">
            <v>SNF received on 30.6.2021</v>
          </cell>
        </row>
        <row r="1736">
          <cell r="A1736" t="str">
            <v>IKN402061</v>
          </cell>
          <cell r="B1736">
            <v>1716</v>
          </cell>
          <cell r="C1736" t="str">
            <v>Institut Kanser Negara</v>
          </cell>
          <cell r="D1736" t="str">
            <v>KKM/IKN/R/21/99</v>
          </cell>
          <cell r="E1736" t="str">
            <v>15-663</v>
          </cell>
          <cell r="F1736" t="str">
            <v>Pipetters</v>
          </cell>
          <cell r="G1736" t="str">
            <v>LA</v>
          </cell>
          <cell r="H1736" t="str">
            <v>PATHOLOGY</v>
          </cell>
          <cell r="I1736" t="str">
            <v>04LA130</v>
          </cell>
          <cell r="J1736" t="str">
            <v>SEROLOGY</v>
          </cell>
          <cell r="K1736" t="str">
            <v>BMED</v>
          </cell>
          <cell r="L1736" t="str">
            <v>Normal</v>
          </cell>
          <cell r="M1736" t="str">
            <v>Germany</v>
          </cell>
          <cell r="N1736" t="str">
            <v>Eppendorf</v>
          </cell>
          <cell r="O1736" t="str">
            <v>Eppendorf Research Plus</v>
          </cell>
          <cell r="P1736" t="str">
            <v>N45183J</v>
          </cell>
          <cell r="Q1736" t="str">
            <v>Not Applicable</v>
          </cell>
          <cell r="R1736" t="str">
            <v>Eppendorf</v>
          </cell>
          <cell r="S1736" t="str">
            <v>MEDIGENE SDN BHD</v>
          </cell>
          <cell r="T1736" t="str">
            <v>Functioning</v>
          </cell>
          <cell r="U1736" t="str">
            <v>Asset</v>
          </cell>
          <cell r="V1736">
            <v>1000</v>
          </cell>
          <cell r="W1736" t="str">
            <v>KEW</v>
          </cell>
          <cell r="X1736">
            <v>44291</v>
          </cell>
          <cell r="Y1736" t="str">
            <v>KEW</v>
          </cell>
          <cell r="Z1736">
            <v>44307</v>
          </cell>
          <cell r="AA1736">
            <v>44672</v>
          </cell>
          <cell r="AB1736" t="str">
            <v>No</v>
          </cell>
          <cell r="AC1736">
            <v>44307</v>
          </cell>
          <cell r="AD1736" t="str">
            <v>Good</v>
          </cell>
          <cell r="AE1736" t="str">
            <v>V3 - Added Installed Facilities (New)</v>
          </cell>
          <cell r="AH1736" t="str">
            <v>PPM</v>
          </cell>
          <cell r="AI1736" t="str">
            <v>Strands</v>
          </cell>
          <cell r="AJ1736" t="str">
            <v>Strands PW</v>
          </cell>
          <cell r="AK1736" t="str">
            <v>SNF received on 30.6.2021</v>
          </cell>
        </row>
        <row r="1737">
          <cell r="A1737" t="str">
            <v>IKN402062</v>
          </cell>
          <cell r="B1737">
            <v>1717</v>
          </cell>
          <cell r="C1737" t="str">
            <v>Institut Kanser Negara</v>
          </cell>
          <cell r="D1737" t="str">
            <v>KKM/IKN/R/21/88</v>
          </cell>
          <cell r="E1737" t="str">
            <v>15-663</v>
          </cell>
          <cell r="F1737" t="str">
            <v>Pipetters</v>
          </cell>
          <cell r="G1737" t="str">
            <v>LA</v>
          </cell>
          <cell r="H1737" t="str">
            <v>PATHOLOGY</v>
          </cell>
          <cell r="I1737" t="str">
            <v>04LA130</v>
          </cell>
          <cell r="J1737" t="str">
            <v>SEROLOGY</v>
          </cell>
          <cell r="K1737" t="str">
            <v>BMED</v>
          </cell>
          <cell r="L1737" t="str">
            <v>Normal</v>
          </cell>
          <cell r="M1737" t="str">
            <v>Germany</v>
          </cell>
          <cell r="N1737" t="str">
            <v>Eppendorf</v>
          </cell>
          <cell r="O1737" t="str">
            <v>Eppendorf Research Plus</v>
          </cell>
          <cell r="P1737" t="str">
            <v>N34187J</v>
          </cell>
          <cell r="Q1737" t="str">
            <v>Not Applicable</v>
          </cell>
          <cell r="R1737" t="str">
            <v>Eppendorf</v>
          </cell>
          <cell r="S1737" t="str">
            <v>MEDIGENE SDN BHD</v>
          </cell>
          <cell r="T1737" t="str">
            <v>Functioning</v>
          </cell>
          <cell r="U1737" t="str">
            <v>Asset</v>
          </cell>
          <cell r="V1737">
            <v>1000</v>
          </cell>
          <cell r="W1737" t="str">
            <v>KEW</v>
          </cell>
          <cell r="X1737">
            <v>44291</v>
          </cell>
          <cell r="Y1737" t="str">
            <v>KEW</v>
          </cell>
          <cell r="Z1737">
            <v>44307</v>
          </cell>
          <cell r="AA1737">
            <v>44672</v>
          </cell>
          <cell r="AB1737" t="str">
            <v>No</v>
          </cell>
          <cell r="AC1737">
            <v>44307</v>
          </cell>
          <cell r="AD1737" t="str">
            <v>Good</v>
          </cell>
          <cell r="AE1737" t="str">
            <v>V3 - Added Installed Facilities (New)</v>
          </cell>
          <cell r="AH1737" t="str">
            <v>PPM</v>
          </cell>
          <cell r="AI1737" t="str">
            <v>Strands</v>
          </cell>
          <cell r="AJ1737" t="str">
            <v>Strands PW</v>
          </cell>
          <cell r="AK1737" t="str">
            <v>SNF received on 30.6.2021</v>
          </cell>
        </row>
        <row r="1738">
          <cell r="A1738" t="str">
            <v>IKN402063</v>
          </cell>
          <cell r="B1738">
            <v>1718</v>
          </cell>
          <cell r="C1738" t="str">
            <v>Institut Kanser Negara</v>
          </cell>
          <cell r="D1738" t="str">
            <v>KKM/IKN/R/21/89</v>
          </cell>
          <cell r="E1738" t="str">
            <v>15-663</v>
          </cell>
          <cell r="F1738" t="str">
            <v>Pipetters</v>
          </cell>
          <cell r="G1738" t="str">
            <v>LA</v>
          </cell>
          <cell r="H1738" t="str">
            <v>PATHOLOGY</v>
          </cell>
          <cell r="I1738" t="str">
            <v>04LA130</v>
          </cell>
          <cell r="J1738" t="str">
            <v>SEROLOGY</v>
          </cell>
          <cell r="K1738" t="str">
            <v>BMED</v>
          </cell>
          <cell r="L1738" t="str">
            <v>Normal</v>
          </cell>
          <cell r="M1738" t="str">
            <v>Germany</v>
          </cell>
          <cell r="N1738" t="str">
            <v>Eppendorf</v>
          </cell>
          <cell r="O1738" t="str">
            <v>Eppendorf Research Plus</v>
          </cell>
          <cell r="P1738" t="str">
            <v>N34260J</v>
          </cell>
          <cell r="Q1738" t="str">
            <v>Not Applicable</v>
          </cell>
          <cell r="R1738" t="str">
            <v>Eppendorf</v>
          </cell>
          <cell r="S1738" t="str">
            <v>MEDIGENE SDN BHD</v>
          </cell>
          <cell r="T1738" t="str">
            <v>Functioning</v>
          </cell>
          <cell r="U1738" t="str">
            <v>Asset</v>
          </cell>
          <cell r="V1738">
            <v>1000</v>
          </cell>
          <cell r="W1738" t="str">
            <v>KEW</v>
          </cell>
          <cell r="X1738">
            <v>44291</v>
          </cell>
          <cell r="Y1738" t="str">
            <v>KEW</v>
          </cell>
          <cell r="Z1738">
            <v>44307</v>
          </cell>
          <cell r="AA1738">
            <v>44672</v>
          </cell>
          <cell r="AB1738" t="str">
            <v>No</v>
          </cell>
          <cell r="AC1738">
            <v>44307</v>
          </cell>
          <cell r="AD1738" t="str">
            <v>Good</v>
          </cell>
          <cell r="AE1738" t="str">
            <v>V3 - Added Installed Facilities (New)</v>
          </cell>
          <cell r="AH1738" t="str">
            <v>PPM</v>
          </cell>
          <cell r="AI1738" t="str">
            <v>Strands</v>
          </cell>
          <cell r="AJ1738" t="str">
            <v>Strands PW</v>
          </cell>
          <cell r="AK1738" t="str">
            <v>SNF received on 30.6.2021</v>
          </cell>
        </row>
        <row r="1739">
          <cell r="A1739" t="str">
            <v>IKN402064</v>
          </cell>
          <cell r="B1739">
            <v>1719</v>
          </cell>
          <cell r="C1739" t="str">
            <v>Institut Kanser Negara</v>
          </cell>
          <cell r="D1739" t="str">
            <v>KKM/IKN/R/21/92</v>
          </cell>
          <cell r="E1739" t="str">
            <v>15-663</v>
          </cell>
          <cell r="F1739" t="str">
            <v>Pipetters</v>
          </cell>
          <cell r="G1739" t="str">
            <v>LA</v>
          </cell>
          <cell r="H1739" t="str">
            <v>PATHOLOGY</v>
          </cell>
          <cell r="I1739" t="str">
            <v>04LA130</v>
          </cell>
          <cell r="J1739" t="str">
            <v>SEROLOGY</v>
          </cell>
          <cell r="K1739" t="str">
            <v>BMED</v>
          </cell>
          <cell r="L1739" t="str">
            <v>Normal</v>
          </cell>
          <cell r="M1739" t="str">
            <v>Germany</v>
          </cell>
          <cell r="N1739" t="str">
            <v>Eppendorf</v>
          </cell>
          <cell r="O1739" t="str">
            <v>Eppendorf Research Plus</v>
          </cell>
          <cell r="P1739" t="str">
            <v>O28891J</v>
          </cell>
          <cell r="Q1739" t="str">
            <v>Not Applicable</v>
          </cell>
          <cell r="R1739" t="str">
            <v>Eppendorf</v>
          </cell>
          <cell r="S1739" t="str">
            <v>MEDIGENE SDN BHD</v>
          </cell>
          <cell r="T1739" t="str">
            <v>Functioning</v>
          </cell>
          <cell r="U1739" t="str">
            <v>Asset</v>
          </cell>
          <cell r="V1739">
            <v>1000</v>
          </cell>
          <cell r="W1739" t="str">
            <v>KEW</v>
          </cell>
          <cell r="X1739">
            <v>44291</v>
          </cell>
          <cell r="Y1739" t="str">
            <v>KEW</v>
          </cell>
          <cell r="Z1739">
            <v>44307</v>
          </cell>
          <cell r="AA1739">
            <v>44672</v>
          </cell>
          <cell r="AB1739" t="str">
            <v>No</v>
          </cell>
          <cell r="AC1739">
            <v>44307</v>
          </cell>
          <cell r="AD1739" t="str">
            <v>Good</v>
          </cell>
          <cell r="AE1739" t="str">
            <v>V3 - Added Installed Facilities (New)</v>
          </cell>
          <cell r="AH1739" t="str">
            <v>PPM</v>
          </cell>
          <cell r="AI1739" t="str">
            <v>Strands</v>
          </cell>
          <cell r="AJ1739" t="str">
            <v>Strands PW</v>
          </cell>
          <cell r="AK1739" t="str">
            <v>SNF received on 30.6.2021</v>
          </cell>
        </row>
        <row r="1740">
          <cell r="A1740" t="str">
            <v>IKN402065</v>
          </cell>
          <cell r="B1740">
            <v>1720</v>
          </cell>
          <cell r="C1740" t="str">
            <v>Institut Kanser Negara</v>
          </cell>
          <cell r="D1740" t="str">
            <v>KKM/IKN/R/21/93</v>
          </cell>
          <cell r="E1740" t="str">
            <v>15-663</v>
          </cell>
          <cell r="F1740" t="str">
            <v>Pipetters</v>
          </cell>
          <cell r="G1740" t="str">
            <v>LA</v>
          </cell>
          <cell r="H1740" t="str">
            <v>PATHOLOGY</v>
          </cell>
          <cell r="I1740" t="str">
            <v>04LA130</v>
          </cell>
          <cell r="J1740" t="str">
            <v>SEROLOGY</v>
          </cell>
          <cell r="K1740" t="str">
            <v>BMED</v>
          </cell>
          <cell r="L1740" t="str">
            <v>Normal</v>
          </cell>
          <cell r="M1740" t="str">
            <v>Germany</v>
          </cell>
          <cell r="N1740" t="str">
            <v>Eppendorf</v>
          </cell>
          <cell r="O1740" t="str">
            <v>Eppendorf Research Plus</v>
          </cell>
          <cell r="P1740" t="str">
            <v>O28883J</v>
          </cell>
          <cell r="Q1740" t="str">
            <v>Not Applicable</v>
          </cell>
          <cell r="R1740" t="str">
            <v>Eppendorf</v>
          </cell>
          <cell r="S1740" t="str">
            <v>MEDIGENE SDN BHD</v>
          </cell>
          <cell r="T1740" t="str">
            <v>Functioning</v>
          </cell>
          <cell r="U1740" t="str">
            <v>Asset</v>
          </cell>
          <cell r="V1740">
            <v>1000</v>
          </cell>
          <cell r="W1740" t="str">
            <v>KEW</v>
          </cell>
          <cell r="X1740">
            <v>44291</v>
          </cell>
          <cell r="Y1740" t="str">
            <v>KEW</v>
          </cell>
          <cell r="Z1740">
            <v>44307</v>
          </cell>
          <cell r="AA1740">
            <v>44672</v>
          </cell>
          <cell r="AB1740" t="str">
            <v>No</v>
          </cell>
          <cell r="AC1740">
            <v>44307</v>
          </cell>
          <cell r="AD1740" t="str">
            <v>Good</v>
          </cell>
          <cell r="AE1740" t="str">
            <v>V3 - Added Installed Facilities (New)</v>
          </cell>
          <cell r="AH1740" t="str">
            <v>PPM</v>
          </cell>
          <cell r="AI1740" t="str">
            <v>Strands</v>
          </cell>
          <cell r="AJ1740" t="str">
            <v>Strands PW</v>
          </cell>
          <cell r="AK1740" t="str">
            <v>SNF received on 30.6.2021</v>
          </cell>
        </row>
        <row r="1741">
          <cell r="A1741" t="str">
            <v>IKN402068</v>
          </cell>
          <cell r="B1741">
            <v>1723</v>
          </cell>
          <cell r="C1741" t="str">
            <v>Institut Kanser Negara</v>
          </cell>
          <cell r="D1741" t="str">
            <v>KKM/IKN/H/21/8</v>
          </cell>
          <cell r="E1741" t="str">
            <v>18-267</v>
          </cell>
          <cell r="F1741" t="str">
            <v>Centrifuges, Tabletop, Low-Speed, Nonrefrigerated, Blood Bank</v>
          </cell>
          <cell r="G1741" t="str">
            <v>LA</v>
          </cell>
          <cell r="H1741" t="str">
            <v>PATHOLOGY</v>
          </cell>
          <cell r="I1741" t="str">
            <v>04LA140</v>
          </cell>
          <cell r="J1741" t="str">
            <v>BLOOD BANK</v>
          </cell>
          <cell r="K1741" t="str">
            <v>BMED</v>
          </cell>
          <cell r="L1741" t="str">
            <v>Normal</v>
          </cell>
          <cell r="M1741" t="str">
            <v>CHINA</v>
          </cell>
          <cell r="N1741" t="str">
            <v>Greiner</v>
          </cell>
          <cell r="O1741" t="str">
            <v>Mini Centrifuge UK Plug</v>
          </cell>
          <cell r="P1741" t="str">
            <v>A043-27508</v>
          </cell>
          <cell r="Q1741" t="str">
            <v>Not Applicable</v>
          </cell>
          <cell r="R1741" t="str">
            <v>Greiner Bio-One</v>
          </cell>
          <cell r="S1741" t="str">
            <v>MEDIGENE SDN BHD</v>
          </cell>
          <cell r="T1741" t="str">
            <v>Functioning</v>
          </cell>
          <cell r="U1741" t="str">
            <v>Asset</v>
          </cell>
          <cell r="V1741">
            <v>2185</v>
          </cell>
          <cell r="W1741" t="str">
            <v>KEW</v>
          </cell>
          <cell r="X1741">
            <v>44291</v>
          </cell>
          <cell r="Y1741" t="str">
            <v>KEW</v>
          </cell>
          <cell r="Z1741">
            <v>44307</v>
          </cell>
          <cell r="AA1741">
            <v>44672</v>
          </cell>
          <cell r="AB1741" t="str">
            <v>No</v>
          </cell>
          <cell r="AC1741">
            <v>44307</v>
          </cell>
          <cell r="AD1741" t="str">
            <v>Good</v>
          </cell>
          <cell r="AE1741" t="str">
            <v>V3 - Added Installed Facilities (New)</v>
          </cell>
          <cell r="AF1741">
            <v>44307</v>
          </cell>
          <cell r="AH1741" t="str">
            <v>PPM</v>
          </cell>
          <cell r="AI1741" t="str">
            <v>Strands</v>
          </cell>
          <cell r="AJ1741" t="str">
            <v>Strands PW</v>
          </cell>
          <cell r="AK1741" t="str">
            <v>SNF received on 30.6.2021</v>
          </cell>
        </row>
        <row r="1742">
          <cell r="A1742" t="str">
            <v>IKN402069</v>
          </cell>
          <cell r="B1742">
            <v>1724</v>
          </cell>
          <cell r="C1742" t="str">
            <v>Institut Kanser Negara</v>
          </cell>
          <cell r="D1742" t="str">
            <v>KKM/IKN/H/21/16</v>
          </cell>
          <cell r="E1742" t="str">
            <v>18-013</v>
          </cell>
          <cell r="F1742" t="str">
            <v>Incubators, Laboratory, Thermocycling</v>
          </cell>
          <cell r="G1742" t="str">
            <v>LA</v>
          </cell>
          <cell r="H1742" t="str">
            <v>PATHOLOGY</v>
          </cell>
          <cell r="I1742" t="str">
            <v>04LA114</v>
          </cell>
          <cell r="J1742" t="str">
            <v>DARK MICROSCOPY</v>
          </cell>
          <cell r="K1742" t="str">
            <v>BMED</v>
          </cell>
          <cell r="L1742" t="str">
            <v>Normal</v>
          </cell>
          <cell r="M1742" t="str">
            <v>USA</v>
          </cell>
          <cell r="N1742" t="str">
            <v>BIO-RAD</v>
          </cell>
          <cell r="O1742" t="str">
            <v>CFX96 Touch</v>
          </cell>
          <cell r="P1742" t="str">
            <v>CT053520</v>
          </cell>
          <cell r="Q1742" t="str">
            <v>Not Applicable</v>
          </cell>
          <cell r="R1742" t="str">
            <v>Bio-Rad Laboratories</v>
          </cell>
          <cell r="S1742" t="str">
            <v>CANVIO SDN BHD</v>
          </cell>
          <cell r="T1742" t="str">
            <v>Functioning</v>
          </cell>
          <cell r="U1742" t="str">
            <v>Asset</v>
          </cell>
          <cell r="V1742">
            <v>155000</v>
          </cell>
          <cell r="W1742" t="str">
            <v>KEW</v>
          </cell>
          <cell r="X1742">
            <v>44307</v>
          </cell>
          <cell r="Y1742" t="str">
            <v>KEW</v>
          </cell>
          <cell r="Z1742">
            <v>44308</v>
          </cell>
          <cell r="AA1742">
            <v>44673</v>
          </cell>
          <cell r="AB1742" t="str">
            <v>No</v>
          </cell>
          <cell r="AC1742">
            <v>44308</v>
          </cell>
          <cell r="AD1742" t="str">
            <v>Good</v>
          </cell>
          <cell r="AE1742" t="str">
            <v>V3 - Added Installed Facilities (New)</v>
          </cell>
          <cell r="AH1742" t="str">
            <v>PPM</v>
          </cell>
          <cell r="AI1742" t="str">
            <v>Strands</v>
          </cell>
          <cell r="AJ1742" t="str">
            <v>Strands PW</v>
          </cell>
          <cell r="AK1742" t="str">
            <v>SNF received on 30.6.2021</v>
          </cell>
        </row>
        <row r="1743">
          <cell r="A1743" t="str">
            <v>IKN402070</v>
          </cell>
          <cell r="B1743">
            <v>1725</v>
          </cell>
          <cell r="C1743" t="str">
            <v>Institut Kanser Negara</v>
          </cell>
          <cell r="D1743" t="str">
            <v>KKM/IKN/H/21/16 - 05</v>
          </cell>
          <cell r="E1743" t="str">
            <v>15-663</v>
          </cell>
          <cell r="F1743" t="str">
            <v>Pipetters</v>
          </cell>
          <cell r="G1743" t="str">
            <v>LA</v>
          </cell>
          <cell r="H1743" t="str">
            <v>PATHOLOGY</v>
          </cell>
          <cell r="I1743" t="str">
            <v>04LA114</v>
          </cell>
          <cell r="J1743" t="str">
            <v>DARK MICROSCOPY</v>
          </cell>
          <cell r="K1743" t="str">
            <v>BMED</v>
          </cell>
          <cell r="L1743" t="str">
            <v>Normal</v>
          </cell>
          <cell r="M1743" t="str">
            <v>Germany</v>
          </cell>
          <cell r="N1743" t="str">
            <v>Eppendorf</v>
          </cell>
          <cell r="O1743" t="str">
            <v>Eppendorf Miltipette M4</v>
          </cell>
          <cell r="P1743" t="str">
            <v>G30978K</v>
          </cell>
          <cell r="Q1743" t="str">
            <v>Not Applicable</v>
          </cell>
          <cell r="R1743" t="str">
            <v>Eppendorf</v>
          </cell>
          <cell r="S1743" t="str">
            <v>CANVIO SDN BHD</v>
          </cell>
          <cell r="T1743" t="str">
            <v>Functioning</v>
          </cell>
          <cell r="U1743" t="str">
            <v>Asset</v>
          </cell>
          <cell r="V1743">
            <v>2204</v>
          </cell>
          <cell r="W1743" t="str">
            <v>KEW</v>
          </cell>
          <cell r="X1743">
            <v>44307</v>
          </cell>
          <cell r="Y1743" t="str">
            <v>KEW</v>
          </cell>
          <cell r="Z1743">
            <v>44308</v>
          </cell>
          <cell r="AA1743">
            <v>44673</v>
          </cell>
          <cell r="AB1743" t="str">
            <v>NO</v>
          </cell>
          <cell r="AC1743">
            <v>44308</v>
          </cell>
          <cell r="AD1743" t="str">
            <v>Good</v>
          </cell>
          <cell r="AE1743" t="str">
            <v>V3 - Added Installed Facilities (New)</v>
          </cell>
          <cell r="AH1743" t="str">
            <v>PPM</v>
          </cell>
          <cell r="AI1743" t="str">
            <v>Strands</v>
          </cell>
          <cell r="AJ1743" t="str">
            <v>Strands PW</v>
          </cell>
          <cell r="AK1743" t="str">
            <v>SNF received on 30.6.2021. Come with Thermocycler IKN402069.</v>
          </cell>
        </row>
        <row r="1744">
          <cell r="A1744" t="str">
            <v>IKN402071</v>
          </cell>
          <cell r="B1744">
            <v>1726</v>
          </cell>
          <cell r="C1744" t="str">
            <v>Institut Kanser Negara</v>
          </cell>
          <cell r="D1744" t="str">
            <v>KKM/IKN/H/21/15</v>
          </cell>
          <cell r="E1744" t="str">
            <v>15-167</v>
          </cell>
          <cell r="F1744" t="str">
            <v>Extractors, Plasma</v>
          </cell>
          <cell r="G1744" t="str">
            <v>LA</v>
          </cell>
          <cell r="H1744" t="str">
            <v>PATHOLOGY</v>
          </cell>
          <cell r="I1744" t="str">
            <v>04LA131</v>
          </cell>
          <cell r="J1744" t="str">
            <v>HAEMATOLOGY LAB 1</v>
          </cell>
          <cell r="K1744" t="str">
            <v>BMED</v>
          </cell>
          <cell r="L1744" t="str">
            <v>Normal</v>
          </cell>
          <cell r="M1744" t="str">
            <v>South Korea</v>
          </cell>
          <cell r="N1744" t="str">
            <v>GENEALL</v>
          </cell>
          <cell r="O1744" t="str">
            <v>GENTI 32 ADVANCED</v>
          </cell>
          <cell r="P1744" t="str">
            <v>GTI032ABAB011</v>
          </cell>
          <cell r="Q1744" t="str">
            <v>Not Applicable</v>
          </cell>
          <cell r="R1744" t="str">
            <v>GENEALL</v>
          </cell>
          <cell r="S1744" t="str">
            <v>Neoscience Sdn Bhd</v>
          </cell>
          <cell r="T1744" t="str">
            <v>Functioning</v>
          </cell>
          <cell r="U1744" t="str">
            <v>Asset</v>
          </cell>
          <cell r="V1744">
            <v>77500</v>
          </cell>
          <cell r="W1744" t="str">
            <v>KEW</v>
          </cell>
          <cell r="X1744">
            <v>44307</v>
          </cell>
          <cell r="Y1744" t="str">
            <v>KEW</v>
          </cell>
          <cell r="Z1744">
            <v>44312</v>
          </cell>
          <cell r="AA1744">
            <v>44677</v>
          </cell>
          <cell r="AB1744" t="str">
            <v>No</v>
          </cell>
          <cell r="AC1744">
            <v>44312</v>
          </cell>
          <cell r="AD1744" t="str">
            <v>Good</v>
          </cell>
          <cell r="AE1744" t="str">
            <v>V3 - Added Installed Facilities (New)</v>
          </cell>
          <cell r="AH1744" t="str">
            <v>PPM</v>
          </cell>
          <cell r="AI1744" t="str">
            <v>Strands</v>
          </cell>
          <cell r="AJ1744" t="str">
            <v>Strands PW</v>
          </cell>
          <cell r="AK1744" t="str">
            <v>SNF received on 30.6.2021</v>
          </cell>
        </row>
        <row r="1745">
          <cell r="A1745" t="str">
            <v>IKN402072</v>
          </cell>
          <cell r="B1745">
            <v>1727</v>
          </cell>
          <cell r="C1745" t="str">
            <v>Institut Kanser Negara</v>
          </cell>
          <cell r="D1745" t="str">
            <v>KKM/IKN/H/21/17</v>
          </cell>
          <cell r="E1745" t="str">
            <v>16-274</v>
          </cell>
          <cell r="F1745" t="str">
            <v>Dispensers, Liquid, Laboratory</v>
          </cell>
          <cell r="G1745" t="str">
            <v>LA</v>
          </cell>
          <cell r="H1745" t="str">
            <v>PATHOLOGY</v>
          </cell>
          <cell r="I1745" t="str">
            <v>04LA131</v>
          </cell>
          <cell r="J1745" t="str">
            <v>HAEMATOLOGY LAB 1</v>
          </cell>
          <cell r="K1745" t="str">
            <v>BMED</v>
          </cell>
          <cell r="L1745" t="str">
            <v>Normal</v>
          </cell>
          <cell r="M1745" t="str">
            <v>Australia</v>
          </cell>
          <cell r="N1745" t="str">
            <v>Bio Molecular Systems</v>
          </cell>
          <cell r="O1745" t="str">
            <v>MYRA-LHS50</v>
          </cell>
          <cell r="P1745" t="str">
            <v>R0000158</v>
          </cell>
          <cell r="Q1745" t="str">
            <v>Not Applicable</v>
          </cell>
          <cell r="R1745" t="str">
            <v>Bio Molecular System Pty. Ltd</v>
          </cell>
          <cell r="S1745" t="str">
            <v>ADT MOLECULAR SDN BHD</v>
          </cell>
          <cell r="T1745" t="str">
            <v>Functioning</v>
          </cell>
          <cell r="U1745" t="str">
            <v>Asset</v>
          </cell>
          <cell r="V1745">
            <v>148000</v>
          </cell>
          <cell r="W1745" t="str">
            <v>KEW</v>
          </cell>
          <cell r="X1745">
            <v>44307</v>
          </cell>
          <cell r="Y1745" t="str">
            <v>KEW</v>
          </cell>
          <cell r="Z1745">
            <v>44312</v>
          </cell>
          <cell r="AA1745">
            <v>45042</v>
          </cell>
          <cell r="AB1745" t="str">
            <v>No</v>
          </cell>
          <cell r="AC1745">
            <v>44312</v>
          </cell>
          <cell r="AD1745" t="str">
            <v>Good</v>
          </cell>
          <cell r="AE1745" t="str">
            <v>V3 - Added Installed Facilities (New)</v>
          </cell>
          <cell r="AH1745" t="str">
            <v>PPM</v>
          </cell>
          <cell r="AI1745" t="str">
            <v>Strands</v>
          </cell>
          <cell r="AJ1745" t="str">
            <v>Strands DW</v>
          </cell>
          <cell r="AK1745" t="str">
            <v>SNF received on 30.6.2021</v>
          </cell>
        </row>
        <row r="1746">
          <cell r="A1746" t="str">
            <v>IKN402074</v>
          </cell>
          <cell r="B1746">
            <v>1729</v>
          </cell>
          <cell r="C1746" t="str">
            <v>Institut Kanser Negara</v>
          </cell>
          <cell r="D1746" t="str">
            <v>KKM//IKN/H/21/11</v>
          </cell>
          <cell r="E1746" t="str">
            <v>25-209</v>
          </cell>
          <cell r="F1746" t="str">
            <v>Monitors, Physiologic, Vital Signs</v>
          </cell>
          <cell r="G1746" t="str">
            <v>AE</v>
          </cell>
          <cell r="H1746" t="str">
            <v>EMERGENCY UNIT</v>
          </cell>
          <cell r="I1746" t="str">
            <v>01AE112</v>
          </cell>
          <cell r="J1746" t="str">
            <v>EMERGENCY TROLLEY BAY</v>
          </cell>
          <cell r="K1746" t="str">
            <v>BMED</v>
          </cell>
          <cell r="L1746" t="str">
            <v>Normal</v>
          </cell>
          <cell r="M1746" t="str">
            <v>CHINA</v>
          </cell>
          <cell r="N1746" t="str">
            <v>COMEN</v>
          </cell>
          <cell r="O1746" t="str">
            <v>NC3A</v>
          </cell>
          <cell r="P1746" t="str">
            <v>N4191221002</v>
          </cell>
          <cell r="Q1746" t="str">
            <v>Not Applicable</v>
          </cell>
          <cell r="R1746" t="str">
            <v>Shenzhen Comen Medical Instruments Co., Ltd</v>
          </cell>
          <cell r="S1746" t="str">
            <v>Ikatan Megah Medik</v>
          </cell>
          <cell r="T1746" t="str">
            <v>Functioning</v>
          </cell>
          <cell r="U1746" t="str">
            <v>Asset</v>
          </cell>
          <cell r="V1746">
            <v>5500</v>
          </cell>
          <cell r="W1746" t="str">
            <v>KEW</v>
          </cell>
          <cell r="X1746">
            <v>44291</v>
          </cell>
          <cell r="Y1746" t="str">
            <v>KEW</v>
          </cell>
          <cell r="Z1746">
            <v>43952</v>
          </cell>
          <cell r="AA1746">
            <v>44317</v>
          </cell>
          <cell r="AB1746" t="str">
            <v>No</v>
          </cell>
          <cell r="AC1746">
            <v>44358</v>
          </cell>
          <cell r="AD1746" t="str">
            <v>Good</v>
          </cell>
          <cell r="AE1746" t="str">
            <v>V3 - Added Installed Facilities (New)</v>
          </cell>
          <cell r="AF1746">
            <v>44358</v>
          </cell>
          <cell r="AH1746" t="str">
            <v>PPM</v>
          </cell>
          <cell r="AI1746" t="str">
            <v>Strands</v>
          </cell>
          <cell r="AJ1746" t="str">
            <v>Strands PW</v>
          </cell>
          <cell r="AK1746" t="str">
            <v>SNF received on 24.6.2021. Unit re-do T&amp;C after replace new unit under warranty.</v>
          </cell>
        </row>
        <row r="1747">
          <cell r="A1747" t="str">
            <v>IKN402077</v>
          </cell>
          <cell r="B1747">
            <v>1732</v>
          </cell>
          <cell r="C1747" t="str">
            <v>Institut Kanser Negara</v>
          </cell>
          <cell r="E1747" t="str">
            <v>12-050</v>
          </cell>
          <cell r="F1747" t="str">
            <v>AIRVO 2 HUMIDIFIER WITH INTERGRATED FLOW GENERATOR</v>
          </cell>
          <cell r="G1747" t="str">
            <v>IC</v>
          </cell>
          <cell r="H1747" t="str">
            <v>INTENSIVE CARE UNIT</v>
          </cell>
          <cell r="I1747" t="str">
            <v>IC</v>
          </cell>
          <cell r="K1747" t="str">
            <v>BMED</v>
          </cell>
          <cell r="L1747" t="str">
            <v>Normal</v>
          </cell>
          <cell r="M1747" t="str">
            <v>NA</v>
          </cell>
          <cell r="N1747" t="str">
            <v>FISHER PAYKEL</v>
          </cell>
          <cell r="O1747" t="str">
            <v>AIRVO2</v>
          </cell>
          <cell r="P1747">
            <v>210517273292</v>
          </cell>
          <cell r="Q1747" t="str">
            <v>Not Applicable</v>
          </cell>
          <cell r="R1747" t="str">
            <v>FISHER &amp; PAYKEL</v>
          </cell>
          <cell r="S1747" t="str">
            <v>DAYA CERGAS M SDN BHD</v>
          </cell>
          <cell r="T1747" t="str">
            <v>Functioning</v>
          </cell>
          <cell r="U1747" t="str">
            <v>Asset</v>
          </cell>
          <cell r="V1747">
            <v>25000</v>
          </cell>
          <cell r="W1747" t="str">
            <v>KEW</v>
          </cell>
          <cell r="X1747">
            <v>44372</v>
          </cell>
          <cell r="Y1747" t="str">
            <v>KEW</v>
          </cell>
          <cell r="Z1747">
            <v>44372</v>
          </cell>
          <cell r="AA1747">
            <v>44736</v>
          </cell>
          <cell r="AB1747" t="str">
            <v>NO</v>
          </cell>
          <cell r="AC1747">
            <v>44372</v>
          </cell>
          <cell r="AD1747" t="str">
            <v>Good</v>
          </cell>
          <cell r="AE1747" t="str">
            <v>V3 - Added Installed Facilities (New)</v>
          </cell>
          <cell r="AF1747">
            <v>44372</v>
          </cell>
          <cell r="AH1747" t="str">
            <v>PPM</v>
          </cell>
          <cell r="AJ1747" t="str">
            <v>Not in contract</v>
          </cell>
        </row>
        <row r="1748">
          <cell r="A1748" t="str">
            <v>IKN402078</v>
          </cell>
          <cell r="B1748">
            <v>1733</v>
          </cell>
          <cell r="C1748" t="str">
            <v>Institut Kanser Negara</v>
          </cell>
          <cell r="D1748" t="str">
            <v>KKM/IKN/H/21/36</v>
          </cell>
          <cell r="E1748" t="str">
            <v>12-647</v>
          </cell>
          <cell r="F1748" t="str">
            <v>Physiologic Monitoring Systems, Acute Care</v>
          </cell>
          <cell r="G1748" t="str">
            <v>IC</v>
          </cell>
          <cell r="H1748" t="str">
            <v>INTENSIVE CARE UNIT</v>
          </cell>
          <cell r="I1748" t="str">
            <v>05IC102</v>
          </cell>
          <cell r="K1748" t="str">
            <v>BMED</v>
          </cell>
          <cell r="L1748" t="str">
            <v>Normal</v>
          </cell>
          <cell r="M1748" t="str">
            <v>NA</v>
          </cell>
          <cell r="N1748" t="str">
            <v>GE CARESCAPE</v>
          </cell>
          <cell r="O1748" t="str">
            <v>B650</v>
          </cell>
          <cell r="P1748" t="str">
            <v>STF21220110HA</v>
          </cell>
          <cell r="Q1748" t="str">
            <v>Not Applicable</v>
          </cell>
          <cell r="R1748" t="str">
            <v>GE HEALTHCARE SDN BHD</v>
          </cell>
          <cell r="S1748" t="str">
            <v>INSAN BAKTI SDN BHD</v>
          </cell>
          <cell r="T1748" t="str">
            <v>FUNCTIONING</v>
          </cell>
          <cell r="U1748" t="str">
            <v>ASSET</v>
          </cell>
          <cell r="V1748">
            <v>62000</v>
          </cell>
          <cell r="W1748" t="str">
            <v>KEW</v>
          </cell>
          <cell r="X1748">
            <v>44393</v>
          </cell>
          <cell r="Y1748" t="str">
            <v>KEW</v>
          </cell>
          <cell r="Z1748">
            <v>44393</v>
          </cell>
          <cell r="AA1748">
            <v>44758</v>
          </cell>
          <cell r="AB1748" t="str">
            <v>NO</v>
          </cell>
          <cell r="AC1748">
            <v>44393</v>
          </cell>
          <cell r="AD1748" t="str">
            <v>GOOD</v>
          </cell>
          <cell r="AE1748" t="str">
            <v>V3 - Added Installed Facilities (New)</v>
          </cell>
          <cell r="AF1748">
            <v>44393</v>
          </cell>
          <cell r="AH1748" t="str">
            <v>PPM</v>
          </cell>
          <cell r="AJ1748" t="str">
            <v>Proposed for V3 P2.23</v>
          </cell>
          <cell r="AK1748" t="str">
            <v>Sharifah: Price follow HASIS. KKM follow P2.23.</v>
          </cell>
        </row>
        <row r="1749">
          <cell r="A1749" t="str">
            <v>IKN402079</v>
          </cell>
          <cell r="B1749">
            <v>1734</v>
          </cell>
          <cell r="C1749" t="str">
            <v>Institut Kanser Negara</v>
          </cell>
          <cell r="D1749" t="str">
            <v>KKM/IKN/H/21/35</v>
          </cell>
          <cell r="E1749" t="str">
            <v>12-647</v>
          </cell>
          <cell r="F1749" t="str">
            <v>Physiologic Monitoring Systems, Acute Care</v>
          </cell>
          <cell r="G1749" t="str">
            <v>IC</v>
          </cell>
          <cell r="H1749" t="str">
            <v>INTENSIVE CARE UNIT</v>
          </cell>
          <cell r="I1749" t="str">
            <v>05IC102</v>
          </cell>
          <cell r="K1749" t="str">
            <v>BMED</v>
          </cell>
          <cell r="L1749" t="str">
            <v>Normal</v>
          </cell>
          <cell r="M1749" t="str">
            <v>NA</v>
          </cell>
          <cell r="N1749" t="str">
            <v>GE CARESCAPE</v>
          </cell>
          <cell r="O1749" t="str">
            <v>B650</v>
          </cell>
          <cell r="P1749" t="str">
            <v>STF21220109HA</v>
          </cell>
          <cell r="Q1749" t="str">
            <v>Not Applicable</v>
          </cell>
          <cell r="R1749" t="str">
            <v>GE HEALTHCARE SDN BHD</v>
          </cell>
          <cell r="S1749" t="str">
            <v>INSAN BAKTI SDN BHD</v>
          </cell>
          <cell r="T1749" t="str">
            <v>FUNCTIONING</v>
          </cell>
          <cell r="U1749" t="str">
            <v>ASSET</v>
          </cell>
          <cell r="V1749">
            <v>62000</v>
          </cell>
          <cell r="W1749" t="str">
            <v>KEW</v>
          </cell>
          <cell r="X1749">
            <v>44393</v>
          </cell>
          <cell r="Y1749" t="str">
            <v>KEW</v>
          </cell>
          <cell r="Z1749">
            <v>44393</v>
          </cell>
          <cell r="AA1749">
            <v>44758</v>
          </cell>
          <cell r="AB1749" t="str">
            <v>NO</v>
          </cell>
          <cell r="AC1749">
            <v>44393</v>
          </cell>
          <cell r="AD1749" t="str">
            <v>GOOD</v>
          </cell>
          <cell r="AE1749" t="str">
            <v>V3 - Added Installed Facilities (New)</v>
          </cell>
          <cell r="AF1749">
            <v>44393</v>
          </cell>
          <cell r="AH1749" t="str">
            <v>PPM</v>
          </cell>
          <cell r="AJ1749" t="str">
            <v>Proposed for V3 P2.23</v>
          </cell>
          <cell r="AK1749" t="str">
            <v>Sharifah: SN and price follow HASIS. KKM follow P2.23.</v>
          </cell>
        </row>
        <row r="1750">
          <cell r="A1750" t="str">
            <v>IKN402081</v>
          </cell>
          <cell r="B1750">
            <v>1736</v>
          </cell>
          <cell r="C1750" t="str">
            <v>Institut Kanser Negara</v>
          </cell>
          <cell r="D1750" t="str">
            <v>KKM/IKN/H/21/38</v>
          </cell>
          <cell r="E1750" t="str">
            <v>13-215</v>
          </cell>
          <cell r="F1750" t="str">
            <v>Infusion Pumps, General-Purpose</v>
          </cell>
          <cell r="G1750" t="str">
            <v>DO</v>
          </cell>
          <cell r="H1750" t="str">
            <v>DAY ONCOLOGY UNIT</v>
          </cell>
          <cell r="I1750" t="str">
            <v>04DO111</v>
          </cell>
          <cell r="J1750" t="str">
            <v>EQUIP. ROOM</v>
          </cell>
          <cell r="K1750" t="str">
            <v>BMED</v>
          </cell>
          <cell r="L1750" t="str">
            <v>Critical</v>
          </cell>
          <cell r="M1750" t="str">
            <v>CHINA</v>
          </cell>
          <cell r="N1750" t="str">
            <v>MedCaptian</v>
          </cell>
          <cell r="O1750" t="str">
            <v>HP-60</v>
          </cell>
          <cell r="P1750" t="str">
            <v>9024022106711</v>
          </cell>
          <cell r="Q1750" t="str">
            <v>Not Applicable</v>
          </cell>
          <cell r="R1750" t="str">
            <v>MedCaptain Medical Technology</v>
          </cell>
          <cell r="S1750" t="str">
            <v>Alam Medik Sdn Bhd</v>
          </cell>
          <cell r="T1750" t="str">
            <v>Functioning</v>
          </cell>
          <cell r="U1750" t="str">
            <v>Asset</v>
          </cell>
          <cell r="V1750">
            <v>3500</v>
          </cell>
          <cell r="W1750" t="str">
            <v>KEW</v>
          </cell>
          <cell r="X1750">
            <v>44421</v>
          </cell>
          <cell r="Y1750" t="str">
            <v>KEW</v>
          </cell>
          <cell r="Z1750">
            <v>44432</v>
          </cell>
          <cell r="AA1750">
            <v>44797</v>
          </cell>
          <cell r="AB1750" t="str">
            <v>No</v>
          </cell>
          <cell r="AC1750">
            <v>44432</v>
          </cell>
          <cell r="AD1750" t="str">
            <v>Good</v>
          </cell>
          <cell r="AE1750" t="str">
            <v>V3 - Added Installed Facilities (New)</v>
          </cell>
          <cell r="AF1750">
            <v>44432</v>
          </cell>
          <cell r="AH1750" t="str">
            <v>PPM</v>
          </cell>
          <cell r="AI1750" t="str">
            <v>Strands</v>
          </cell>
          <cell r="AJ1750" t="str">
            <v>Strands PW</v>
          </cell>
          <cell r="AK1750" t="str">
            <v>SNF received on 28.9.2021</v>
          </cell>
        </row>
        <row r="1751">
          <cell r="A1751" t="str">
            <v>IKN402082</v>
          </cell>
          <cell r="B1751">
            <v>1737</v>
          </cell>
          <cell r="C1751" t="str">
            <v>Institut Kanser Negara</v>
          </cell>
          <cell r="D1751" t="str">
            <v>KKM/IKN/H/21/39</v>
          </cell>
          <cell r="E1751" t="str">
            <v>13-215</v>
          </cell>
          <cell r="F1751" t="str">
            <v>Infusion Pumps, General-Purpose</v>
          </cell>
          <cell r="G1751" t="str">
            <v>DO</v>
          </cell>
          <cell r="H1751" t="str">
            <v>DAY ONCOLOGY UNIT</v>
          </cell>
          <cell r="I1751" t="str">
            <v>04DO111</v>
          </cell>
          <cell r="J1751" t="str">
            <v>EQUIP. ROOM</v>
          </cell>
          <cell r="K1751" t="str">
            <v>BMED</v>
          </cell>
          <cell r="L1751" t="str">
            <v>Critical</v>
          </cell>
          <cell r="M1751" t="str">
            <v>CHINA</v>
          </cell>
          <cell r="N1751" t="str">
            <v>MedCaptian</v>
          </cell>
          <cell r="O1751" t="str">
            <v>HP-60</v>
          </cell>
          <cell r="P1751" t="str">
            <v>9024022106725</v>
          </cell>
          <cell r="Q1751" t="str">
            <v>Not Applicable</v>
          </cell>
          <cell r="R1751" t="str">
            <v>MedCaptain Medical Technology</v>
          </cell>
          <cell r="S1751" t="str">
            <v>Alam Medik Sdn Bhd</v>
          </cell>
          <cell r="T1751" t="str">
            <v>Functioning</v>
          </cell>
          <cell r="U1751" t="str">
            <v>Asset</v>
          </cell>
          <cell r="V1751">
            <v>3500</v>
          </cell>
          <cell r="W1751" t="str">
            <v>KEW</v>
          </cell>
          <cell r="X1751">
            <v>44421</v>
          </cell>
          <cell r="Y1751" t="str">
            <v>KEW</v>
          </cell>
          <cell r="Z1751">
            <v>44432</v>
          </cell>
          <cell r="AA1751">
            <v>44797</v>
          </cell>
          <cell r="AB1751" t="str">
            <v>No</v>
          </cell>
          <cell r="AC1751">
            <v>44432</v>
          </cell>
          <cell r="AD1751" t="str">
            <v>Good</v>
          </cell>
          <cell r="AE1751" t="str">
            <v>V3 - Added Installed Facilities (New)</v>
          </cell>
          <cell r="AF1751">
            <v>44432</v>
          </cell>
          <cell r="AH1751" t="str">
            <v>PPM</v>
          </cell>
          <cell r="AI1751" t="str">
            <v>Strands</v>
          </cell>
          <cell r="AJ1751" t="str">
            <v>Strands PW</v>
          </cell>
          <cell r="AK1751" t="str">
            <v>SNF received on 28.9.2021</v>
          </cell>
        </row>
        <row r="1752">
          <cell r="A1752" t="str">
            <v>IKN402083</v>
          </cell>
          <cell r="B1752">
            <v>1738</v>
          </cell>
          <cell r="C1752" t="str">
            <v>Institut Kanser Negara</v>
          </cell>
          <cell r="D1752" t="str">
            <v>KKM/IKN/H/21/40</v>
          </cell>
          <cell r="E1752" t="str">
            <v>13-215</v>
          </cell>
          <cell r="F1752" t="str">
            <v>Infusion Pumps, General-Purpose</v>
          </cell>
          <cell r="G1752" t="str">
            <v>DO</v>
          </cell>
          <cell r="H1752" t="str">
            <v>DAY ONCOLOGY UNIT</v>
          </cell>
          <cell r="I1752" t="str">
            <v>04DO111</v>
          </cell>
          <cell r="J1752" t="str">
            <v>EQUIP. ROOM</v>
          </cell>
          <cell r="K1752" t="str">
            <v>BMED</v>
          </cell>
          <cell r="L1752" t="str">
            <v>Critical</v>
          </cell>
          <cell r="M1752" t="str">
            <v>CHINA</v>
          </cell>
          <cell r="N1752" t="str">
            <v>MedCaptian</v>
          </cell>
          <cell r="O1752" t="str">
            <v>HP-60</v>
          </cell>
          <cell r="P1752" t="str">
            <v>9024022106688</v>
          </cell>
          <cell r="Q1752" t="str">
            <v>Not Applicable</v>
          </cell>
          <cell r="R1752" t="str">
            <v>MedCaptain Medical Technology</v>
          </cell>
          <cell r="S1752" t="str">
            <v>Alam Medik Sdn Bhd</v>
          </cell>
          <cell r="T1752" t="str">
            <v>Functioning</v>
          </cell>
          <cell r="U1752" t="str">
            <v>Asset</v>
          </cell>
          <cell r="V1752">
            <v>3500</v>
          </cell>
          <cell r="W1752" t="str">
            <v>KEW</v>
          </cell>
          <cell r="X1752">
            <v>44421</v>
          </cell>
          <cell r="Y1752" t="str">
            <v>KEW</v>
          </cell>
          <cell r="Z1752">
            <v>44432</v>
          </cell>
          <cell r="AA1752">
            <v>44797</v>
          </cell>
          <cell r="AB1752" t="str">
            <v>No</v>
          </cell>
          <cell r="AC1752">
            <v>44432</v>
          </cell>
          <cell r="AD1752" t="str">
            <v>Good</v>
          </cell>
          <cell r="AE1752" t="str">
            <v>V3 - Added Installed Facilities (New)</v>
          </cell>
          <cell r="AF1752">
            <v>44432</v>
          </cell>
          <cell r="AH1752" t="str">
            <v>PPM</v>
          </cell>
          <cell r="AI1752" t="str">
            <v>Strands</v>
          </cell>
          <cell r="AJ1752" t="str">
            <v>Strands PW</v>
          </cell>
          <cell r="AK1752" t="str">
            <v>SNF received on 28.9.2021</v>
          </cell>
        </row>
        <row r="1753">
          <cell r="A1753" t="str">
            <v>IKN402084</v>
          </cell>
          <cell r="B1753">
            <v>1739</v>
          </cell>
          <cell r="C1753" t="str">
            <v>Institut Kanser Negara</v>
          </cell>
          <cell r="D1753" t="str">
            <v>KKM/IKN/H/21/41</v>
          </cell>
          <cell r="E1753" t="str">
            <v>13-215</v>
          </cell>
          <cell r="F1753" t="str">
            <v>Infusion Pumps, General-Purpose</v>
          </cell>
          <cell r="G1753" t="str">
            <v>DO</v>
          </cell>
          <cell r="H1753" t="str">
            <v>DAY ONCOLOGY UNIT</v>
          </cell>
          <cell r="I1753" t="str">
            <v>04DO111</v>
          </cell>
          <cell r="J1753" t="str">
            <v>EQUIP. ROOM</v>
          </cell>
          <cell r="K1753" t="str">
            <v>BMED</v>
          </cell>
          <cell r="L1753" t="str">
            <v>Critical</v>
          </cell>
          <cell r="M1753" t="str">
            <v>CHINA</v>
          </cell>
          <cell r="N1753" t="str">
            <v>MedCaptian</v>
          </cell>
          <cell r="O1753" t="str">
            <v>HP-60</v>
          </cell>
          <cell r="P1753" t="str">
            <v>9024022107047</v>
          </cell>
          <cell r="Q1753" t="str">
            <v>Not Applicable</v>
          </cell>
          <cell r="R1753" t="str">
            <v>MedCaptain Medical Technology</v>
          </cell>
          <cell r="S1753" t="str">
            <v>Alam Medik Sdn Bhd</v>
          </cell>
          <cell r="T1753" t="str">
            <v>Functioning</v>
          </cell>
          <cell r="U1753" t="str">
            <v>Asset</v>
          </cell>
          <cell r="V1753">
            <v>3500</v>
          </cell>
          <cell r="W1753" t="str">
            <v>KEW</v>
          </cell>
          <cell r="X1753">
            <v>44421</v>
          </cell>
          <cell r="Y1753" t="str">
            <v>KEW</v>
          </cell>
          <cell r="Z1753">
            <v>44432</v>
          </cell>
          <cell r="AA1753">
            <v>44797</v>
          </cell>
          <cell r="AB1753" t="str">
            <v>No</v>
          </cell>
          <cell r="AC1753">
            <v>44432</v>
          </cell>
          <cell r="AD1753" t="str">
            <v>Good</v>
          </cell>
          <cell r="AE1753" t="str">
            <v>V3 - Added Installed Facilities (New)</v>
          </cell>
          <cell r="AF1753">
            <v>44432</v>
          </cell>
          <cell r="AH1753" t="str">
            <v>PPM</v>
          </cell>
          <cell r="AI1753" t="str">
            <v>Strands</v>
          </cell>
          <cell r="AJ1753" t="str">
            <v>Strands PW</v>
          </cell>
          <cell r="AK1753" t="str">
            <v>SNF received on 28.9.2021</v>
          </cell>
        </row>
        <row r="1754">
          <cell r="A1754" t="str">
            <v>IKN402085</v>
          </cell>
          <cell r="B1754">
            <v>1740</v>
          </cell>
          <cell r="C1754" t="str">
            <v>Institut Kanser Negara</v>
          </cell>
          <cell r="D1754" t="str">
            <v>KKM/IKN/H/21/42</v>
          </cell>
          <cell r="E1754" t="str">
            <v>13-215</v>
          </cell>
          <cell r="F1754" t="str">
            <v>Infusion Pumps, General-Purpose</v>
          </cell>
          <cell r="G1754" t="str">
            <v>DO</v>
          </cell>
          <cell r="H1754" t="str">
            <v>DAY ONCOLOGY UNIT</v>
          </cell>
          <cell r="I1754" t="str">
            <v>04DO111</v>
          </cell>
          <cell r="J1754" t="str">
            <v>EQUIP. ROOM</v>
          </cell>
          <cell r="K1754" t="str">
            <v>BMED</v>
          </cell>
          <cell r="L1754" t="str">
            <v>Critical</v>
          </cell>
          <cell r="M1754" t="str">
            <v>CHINA</v>
          </cell>
          <cell r="N1754" t="str">
            <v>MedCaptian</v>
          </cell>
          <cell r="O1754" t="str">
            <v>HP-60</v>
          </cell>
          <cell r="P1754" t="str">
            <v>9024022106741</v>
          </cell>
          <cell r="Q1754" t="str">
            <v>Not Applicable</v>
          </cell>
          <cell r="R1754" t="str">
            <v>MedCaptain Medical Technology</v>
          </cell>
          <cell r="S1754" t="str">
            <v>Alam Medik Sdn Bhd</v>
          </cell>
          <cell r="T1754" t="str">
            <v>Functioning</v>
          </cell>
          <cell r="U1754" t="str">
            <v>Asset</v>
          </cell>
          <cell r="V1754">
            <v>3500</v>
          </cell>
          <cell r="W1754" t="str">
            <v>KEW</v>
          </cell>
          <cell r="X1754">
            <v>44421</v>
          </cell>
          <cell r="Y1754" t="str">
            <v>KEW</v>
          </cell>
          <cell r="Z1754">
            <v>44432</v>
          </cell>
          <cell r="AA1754">
            <v>44797</v>
          </cell>
          <cell r="AB1754" t="str">
            <v>No</v>
          </cell>
          <cell r="AC1754">
            <v>44432</v>
          </cell>
          <cell r="AD1754" t="str">
            <v>Good</v>
          </cell>
          <cell r="AE1754" t="str">
            <v>V3 - Added Installed Facilities (New)</v>
          </cell>
          <cell r="AF1754">
            <v>44432</v>
          </cell>
          <cell r="AH1754" t="str">
            <v>PPM</v>
          </cell>
          <cell r="AI1754" t="str">
            <v>Strands</v>
          </cell>
          <cell r="AJ1754" t="str">
            <v>Strands PW</v>
          </cell>
          <cell r="AK1754" t="str">
            <v>SNF received on 28.9.2021</v>
          </cell>
        </row>
        <row r="1755">
          <cell r="A1755" t="str">
            <v>IKN402086</v>
          </cell>
          <cell r="B1755">
            <v>1741</v>
          </cell>
          <cell r="C1755" t="str">
            <v>Institut Kanser Negara</v>
          </cell>
          <cell r="D1755" t="str">
            <v>KKM/IKN/H/21/43</v>
          </cell>
          <cell r="E1755" t="str">
            <v>13-215</v>
          </cell>
          <cell r="F1755" t="str">
            <v>Infusion Pumps, General-Purpose</v>
          </cell>
          <cell r="G1755" t="str">
            <v>DO</v>
          </cell>
          <cell r="H1755" t="str">
            <v>DAY ONCOLOGY UNIT</v>
          </cell>
          <cell r="I1755" t="str">
            <v>04DO111</v>
          </cell>
          <cell r="J1755" t="str">
            <v>EQUIP. ROOM</v>
          </cell>
          <cell r="K1755" t="str">
            <v>BMED</v>
          </cell>
          <cell r="L1755" t="str">
            <v>Critical</v>
          </cell>
          <cell r="M1755" t="str">
            <v>CHINA</v>
          </cell>
          <cell r="N1755" t="str">
            <v>MedCaptian</v>
          </cell>
          <cell r="O1755" t="str">
            <v>HP-60</v>
          </cell>
          <cell r="P1755" t="str">
            <v>9024022106690</v>
          </cell>
          <cell r="Q1755" t="str">
            <v>Not Applicable</v>
          </cell>
          <cell r="R1755" t="str">
            <v>MedCaptain Medical Technology</v>
          </cell>
          <cell r="S1755" t="str">
            <v>Alam Medik Sdn Bhd</v>
          </cell>
          <cell r="T1755" t="str">
            <v>Functioning</v>
          </cell>
          <cell r="U1755" t="str">
            <v>Asset</v>
          </cell>
          <cell r="V1755">
            <v>3500</v>
          </cell>
          <cell r="W1755" t="str">
            <v>KEW</v>
          </cell>
          <cell r="X1755">
            <v>44421</v>
          </cell>
          <cell r="Y1755" t="str">
            <v>KEW</v>
          </cell>
          <cell r="Z1755">
            <v>44432</v>
          </cell>
          <cell r="AA1755">
            <v>44797</v>
          </cell>
          <cell r="AB1755" t="str">
            <v>No</v>
          </cell>
          <cell r="AC1755">
            <v>44432</v>
          </cell>
          <cell r="AD1755" t="str">
            <v>Good</v>
          </cell>
          <cell r="AE1755" t="str">
            <v>V3 - Added Installed Facilities (New)</v>
          </cell>
          <cell r="AF1755">
            <v>44432</v>
          </cell>
          <cell r="AH1755" t="str">
            <v>PPM</v>
          </cell>
          <cell r="AI1755" t="str">
            <v>Strands</v>
          </cell>
          <cell r="AJ1755" t="str">
            <v>Strands PW</v>
          </cell>
          <cell r="AK1755" t="str">
            <v>SNF received on 28.9.2021</v>
          </cell>
        </row>
        <row r="1756">
          <cell r="A1756" t="str">
            <v>IKN402087</v>
          </cell>
          <cell r="B1756">
            <v>1742</v>
          </cell>
          <cell r="C1756" t="str">
            <v>Institut Kanser Negara</v>
          </cell>
          <cell r="D1756" t="str">
            <v>KKM/IKN/H/21/44</v>
          </cell>
          <cell r="E1756" t="str">
            <v>13-215</v>
          </cell>
          <cell r="F1756" t="str">
            <v>Infusion Pumps, General-Purpose</v>
          </cell>
          <cell r="G1756" t="str">
            <v>DO</v>
          </cell>
          <cell r="H1756" t="str">
            <v>DAY ONCOLOGY UNIT</v>
          </cell>
          <cell r="I1756" t="str">
            <v>04DO111</v>
          </cell>
          <cell r="J1756" t="str">
            <v>EQUIP. ROOM</v>
          </cell>
          <cell r="K1756" t="str">
            <v>BMED</v>
          </cell>
          <cell r="L1756" t="str">
            <v>Critical</v>
          </cell>
          <cell r="M1756" t="str">
            <v>CHINA</v>
          </cell>
          <cell r="N1756" t="str">
            <v>MedCaptian</v>
          </cell>
          <cell r="O1756" t="str">
            <v>HP-60</v>
          </cell>
          <cell r="P1756" t="str">
            <v>9024022106724</v>
          </cell>
          <cell r="Q1756" t="str">
            <v>Not Applicable</v>
          </cell>
          <cell r="R1756" t="str">
            <v>MedCaptain Medical Technology</v>
          </cell>
          <cell r="S1756" t="str">
            <v>Alam Medik Sdn Bhd</v>
          </cell>
          <cell r="T1756" t="str">
            <v>Functioning</v>
          </cell>
          <cell r="U1756" t="str">
            <v>Asset</v>
          </cell>
          <cell r="V1756">
            <v>3500</v>
          </cell>
          <cell r="W1756" t="str">
            <v>KEW</v>
          </cell>
          <cell r="X1756">
            <v>44421</v>
          </cell>
          <cell r="Y1756" t="str">
            <v>KEW</v>
          </cell>
          <cell r="Z1756">
            <v>44432</v>
          </cell>
          <cell r="AA1756">
            <v>44797</v>
          </cell>
          <cell r="AB1756" t="str">
            <v>No</v>
          </cell>
          <cell r="AC1756">
            <v>44432</v>
          </cell>
          <cell r="AD1756" t="str">
            <v>Good</v>
          </cell>
          <cell r="AE1756" t="str">
            <v>V3 - Added Installed Facilities (New)</v>
          </cell>
          <cell r="AF1756">
            <v>44432</v>
          </cell>
          <cell r="AH1756" t="str">
            <v>PPM</v>
          </cell>
          <cell r="AI1756" t="str">
            <v>Strands</v>
          </cell>
          <cell r="AJ1756" t="str">
            <v>Strands PW</v>
          </cell>
          <cell r="AK1756" t="str">
            <v>SNF received on 28.9.2021</v>
          </cell>
        </row>
        <row r="1757">
          <cell r="A1757" t="str">
            <v>IKN402088</v>
          </cell>
          <cell r="B1757">
            <v>1743</v>
          </cell>
          <cell r="C1757" t="str">
            <v>Institut Kanser Negara</v>
          </cell>
          <cell r="D1757" t="str">
            <v>KKM/IKN/H/21/124</v>
          </cell>
          <cell r="E1757" t="str">
            <v>13-215</v>
          </cell>
          <cell r="F1757" t="str">
            <v>Infusion Pumps, General-Purpose</v>
          </cell>
          <cell r="G1757" t="str">
            <v>DO</v>
          </cell>
          <cell r="H1757" t="str">
            <v>DAY ONCOLOGY UNIT</v>
          </cell>
          <cell r="I1757" t="str">
            <v>04DO111</v>
          </cell>
          <cell r="J1757" t="str">
            <v>EQUIP. ROOM</v>
          </cell>
          <cell r="K1757" t="str">
            <v>BMED</v>
          </cell>
          <cell r="L1757" t="str">
            <v>Critical</v>
          </cell>
          <cell r="M1757" t="str">
            <v>CHINA</v>
          </cell>
          <cell r="N1757" t="str">
            <v>MedCaptian</v>
          </cell>
          <cell r="O1757" t="str">
            <v>HP-60</v>
          </cell>
          <cell r="P1757" t="str">
            <v>9024022107123</v>
          </cell>
          <cell r="Q1757" t="str">
            <v>Not Applicable</v>
          </cell>
          <cell r="R1757" t="str">
            <v>MedCaptain Medical Technology</v>
          </cell>
          <cell r="S1757" t="str">
            <v>Alam Medik Sdn Bhd</v>
          </cell>
          <cell r="T1757" t="str">
            <v>Functioning</v>
          </cell>
          <cell r="U1757" t="str">
            <v>Asset</v>
          </cell>
          <cell r="V1757">
            <v>3500</v>
          </cell>
          <cell r="W1757" t="str">
            <v>KEW</v>
          </cell>
          <cell r="X1757">
            <v>44421</v>
          </cell>
          <cell r="Y1757" t="str">
            <v>KEW</v>
          </cell>
          <cell r="Z1757">
            <v>44432</v>
          </cell>
          <cell r="AA1757">
            <v>44797</v>
          </cell>
          <cell r="AB1757" t="str">
            <v>No</v>
          </cell>
          <cell r="AC1757">
            <v>44432</v>
          </cell>
          <cell r="AD1757" t="str">
            <v>Good</v>
          </cell>
          <cell r="AE1757" t="str">
            <v>V3 - Added Installed Facilities (New)</v>
          </cell>
          <cell r="AF1757">
            <v>44432</v>
          </cell>
          <cell r="AH1757" t="str">
            <v>PPM</v>
          </cell>
          <cell r="AI1757" t="str">
            <v>Not in Contract</v>
          </cell>
          <cell r="AJ1757" t="str">
            <v>Strands DW</v>
          </cell>
          <cell r="AK1757" t="str">
            <v>Donation 1 unit from vendor so cannot register for now. (PIC: FAREEZ)</v>
          </cell>
        </row>
        <row r="1758">
          <cell r="A1758" t="str">
            <v>IKN402089</v>
          </cell>
          <cell r="B1758">
            <v>1744</v>
          </cell>
          <cell r="C1758" t="str">
            <v>Institut Kanser Negara</v>
          </cell>
          <cell r="D1758" t="str">
            <v>KKM/IKN/H/20/44</v>
          </cell>
          <cell r="E1758" t="str">
            <v>10-656</v>
          </cell>
          <cell r="F1758" t="str">
            <v>Cast Cutters, Electric</v>
          </cell>
          <cell r="G1758" t="str">
            <v>AE</v>
          </cell>
          <cell r="H1758" t="str">
            <v>EMERGENCY UNIT</v>
          </cell>
          <cell r="I1758" t="str">
            <v>01AE112</v>
          </cell>
          <cell r="K1758" t="str">
            <v>BMED</v>
          </cell>
          <cell r="L1758" t="str">
            <v>Normal</v>
          </cell>
          <cell r="Q1758" t="str">
            <v>Not Applicable</v>
          </cell>
          <cell r="V1758">
            <v>12000</v>
          </cell>
          <cell r="W1758" t="str">
            <v>KEW</v>
          </cell>
          <cell r="AD1758" t="str">
            <v>Good</v>
          </cell>
          <cell r="AE1758" t="str">
            <v>V3 - Added Installed Facilities (New)</v>
          </cell>
          <cell r="AH1758" t="str">
            <v>PPM</v>
          </cell>
          <cell r="AI1758" t="str">
            <v>Strands</v>
          </cell>
          <cell r="AJ1758" t="str">
            <v>Strands PW</v>
          </cell>
          <cell r="AK1758" t="str">
            <v>SNF received on 7.12.2020 but BEMS only know on Sept 2021. Unit received from HPJ.   Cast Cutter Vacuum. CA progress</v>
          </cell>
        </row>
        <row r="1759">
          <cell r="A1759" t="str">
            <v>IKN402092</v>
          </cell>
          <cell r="B1759">
            <v>1747</v>
          </cell>
          <cell r="C1759" t="str">
            <v>Institut Kanser Negara</v>
          </cell>
          <cell r="D1759" t="str">
            <v>KKM/IKN/H/21/122</v>
          </cell>
          <cell r="E1759" t="str">
            <v>13-217</v>
          </cell>
          <cell r="F1759" t="str">
            <v>Infusion Pumps, General-Purpose</v>
          </cell>
          <cell r="G1759" t="str">
            <v>DO</v>
          </cell>
          <cell r="H1759" t="str">
            <v>DAY ONCOLOGY UNIT</v>
          </cell>
          <cell r="I1759" t="str">
            <v>04DO119</v>
          </cell>
          <cell r="J1759" t="str">
            <v>TREATMENT BAY 2</v>
          </cell>
          <cell r="K1759" t="str">
            <v>BMED</v>
          </cell>
          <cell r="L1759" t="str">
            <v>Normal</v>
          </cell>
          <cell r="M1759" t="str">
            <v>CHINA</v>
          </cell>
          <cell r="N1759" t="str">
            <v>MedCaptian</v>
          </cell>
          <cell r="O1759" t="str">
            <v>HP-60</v>
          </cell>
          <cell r="P1759" t="str">
            <v>9024022107499</v>
          </cell>
          <cell r="Q1759" t="str">
            <v>Not Applicable</v>
          </cell>
          <cell r="R1759" t="str">
            <v>MedCaptain Medical Technology</v>
          </cell>
          <cell r="S1759" t="str">
            <v>Alam Medik Sdn Bhd</v>
          </cell>
          <cell r="T1759" t="str">
            <v>Functioning</v>
          </cell>
          <cell r="U1759" t="str">
            <v>Asset</v>
          </cell>
          <cell r="V1759">
            <v>3500</v>
          </cell>
          <cell r="W1759" t="str">
            <v>KEW</v>
          </cell>
          <cell r="X1759">
            <v>44432</v>
          </cell>
          <cell r="Y1759" t="str">
            <v>KEW</v>
          </cell>
          <cell r="Z1759">
            <v>44468</v>
          </cell>
          <cell r="AA1759">
            <v>44833</v>
          </cell>
          <cell r="AB1759" t="str">
            <v>NO</v>
          </cell>
          <cell r="AC1759">
            <v>44468</v>
          </cell>
          <cell r="AD1759" t="str">
            <v>Good</v>
          </cell>
          <cell r="AE1759" t="str">
            <v>V3 - Added Installed Facilities (New)</v>
          </cell>
          <cell r="AF1759">
            <v>44468</v>
          </cell>
          <cell r="AG1759" t="str">
            <v>NA</v>
          </cell>
          <cell r="AH1759" t="str">
            <v>PPM</v>
          </cell>
          <cell r="AI1759" t="str">
            <v>Not in Contract</v>
          </cell>
          <cell r="AJ1759" t="str">
            <v>Strands DW</v>
          </cell>
        </row>
        <row r="1760">
          <cell r="A1760" t="str">
            <v>IKN402093</v>
          </cell>
          <cell r="B1760">
            <v>1748</v>
          </cell>
          <cell r="C1760" t="str">
            <v>Institut Kanser Negara</v>
          </cell>
          <cell r="D1760" t="str">
            <v>KKM/IKN/H/21/123</v>
          </cell>
          <cell r="E1760" t="str">
            <v>13-217</v>
          </cell>
          <cell r="F1760" t="str">
            <v>Infusion Pumps, General-Purpose</v>
          </cell>
          <cell r="G1760" t="str">
            <v>DO</v>
          </cell>
          <cell r="H1760" t="str">
            <v>DAY ONCOLOGY UNIT</v>
          </cell>
          <cell r="I1760" t="str">
            <v>04DO119</v>
          </cell>
          <cell r="J1760" t="str">
            <v>TREATMENT BAY 2</v>
          </cell>
          <cell r="K1760" t="str">
            <v>BMED</v>
          </cell>
          <cell r="L1760" t="str">
            <v>Normal</v>
          </cell>
          <cell r="M1760" t="str">
            <v>CHINA</v>
          </cell>
          <cell r="N1760" t="str">
            <v>MedCaptian</v>
          </cell>
          <cell r="O1760" t="str">
            <v>HP-60</v>
          </cell>
          <cell r="P1760" t="str">
            <v>9024022106333</v>
          </cell>
          <cell r="Q1760" t="str">
            <v>Not Applicable</v>
          </cell>
          <cell r="R1760" t="str">
            <v>MedCaptain Medical Technology</v>
          </cell>
          <cell r="S1760" t="str">
            <v>Alam Medik Sdn Bhd</v>
          </cell>
          <cell r="T1760" t="str">
            <v>Functioning</v>
          </cell>
          <cell r="U1760" t="str">
            <v>Asset</v>
          </cell>
          <cell r="V1760">
            <v>3500</v>
          </cell>
          <cell r="W1760" t="str">
            <v>KEW</v>
          </cell>
          <cell r="X1760">
            <v>44432</v>
          </cell>
          <cell r="Y1760" t="str">
            <v>KEW</v>
          </cell>
          <cell r="Z1760">
            <v>44468</v>
          </cell>
          <cell r="AA1760">
            <v>44833</v>
          </cell>
          <cell r="AB1760" t="str">
            <v>NO</v>
          </cell>
          <cell r="AC1760">
            <v>44468</v>
          </cell>
          <cell r="AD1760" t="str">
            <v>Good</v>
          </cell>
          <cell r="AE1760" t="str">
            <v>V3 - Added Installed Facilities (New)</v>
          </cell>
          <cell r="AF1760">
            <v>44468</v>
          </cell>
          <cell r="AG1760" t="str">
            <v>NA</v>
          </cell>
          <cell r="AH1760" t="str">
            <v>PPM</v>
          </cell>
          <cell r="AI1760" t="str">
            <v>Not in Contract</v>
          </cell>
          <cell r="AJ1760" t="str">
            <v>Strands DW</v>
          </cell>
        </row>
        <row r="1761">
          <cell r="A1761" t="str">
            <v>IKN402095</v>
          </cell>
          <cell r="B1761">
            <v>1750</v>
          </cell>
          <cell r="C1761" t="str">
            <v>(PIC: ATIQA)</v>
          </cell>
          <cell r="D1761" t="str">
            <v>KKM/IKN/H/21/138-01</v>
          </cell>
          <cell r="E1761" t="str">
            <v>10-960</v>
          </cell>
          <cell r="F1761" t="str">
            <v>Colposcopes</v>
          </cell>
          <cell r="G1761" t="str">
            <v>OT</v>
          </cell>
          <cell r="H1761" t="str">
            <v>OPERATING THEATRE</v>
          </cell>
          <cell r="I1761" t="str">
            <v>05OT161</v>
          </cell>
          <cell r="J1761" t="str">
            <v>OT</v>
          </cell>
          <cell r="K1761" t="str">
            <v>BMED</v>
          </cell>
          <cell r="L1761" t="str">
            <v>Normal</v>
          </cell>
          <cell r="M1761" t="str">
            <v>Japan</v>
          </cell>
          <cell r="N1761" t="str">
            <v>OLYMPUS</v>
          </cell>
          <cell r="O1761" t="str">
            <v>OCS-500</v>
          </cell>
          <cell r="P1761" t="str">
            <v>106045</v>
          </cell>
          <cell r="Q1761" t="str">
            <v>Not Applicable</v>
          </cell>
          <cell r="R1761" t="str">
            <v>Olympus Optical Co Ltd</v>
          </cell>
          <cell r="S1761" t="str">
            <v>MEDICLINK SYSTEMS (M) SDN BHD</v>
          </cell>
          <cell r="T1761" t="str">
            <v>Functioning</v>
          </cell>
          <cell r="U1761" t="str">
            <v>Asset</v>
          </cell>
          <cell r="V1761">
            <v>43410</v>
          </cell>
          <cell r="W1761" t="str">
            <v>KEW</v>
          </cell>
          <cell r="X1761">
            <v>40869</v>
          </cell>
          <cell r="Y1761" t="str">
            <v>KEW</v>
          </cell>
          <cell r="Z1761">
            <v>40889</v>
          </cell>
          <cell r="AA1761">
            <v>41255</v>
          </cell>
          <cell r="AB1761" t="str">
            <v>NO</v>
          </cell>
          <cell r="AC1761">
            <v>44405</v>
          </cell>
          <cell r="AD1761" t="str">
            <v>Good</v>
          </cell>
          <cell r="AE1761" t="str">
            <v>V3 - Added Installed Facilities (New)</v>
          </cell>
          <cell r="AF1761">
            <v>45259</v>
          </cell>
          <cell r="AG1761" t="str">
            <v>NA</v>
          </cell>
          <cell r="AH1761" t="str">
            <v>PPM</v>
          </cell>
          <cell r="AI1761" t="str">
            <v>Not in Contract</v>
          </cell>
          <cell r="AJ1761" t="str">
            <v>Proposed for V3 P2.23 (SET)</v>
          </cell>
          <cell r="AK1761" t="str">
            <v>ASSET TRANSFER FROM HPJ.</v>
          </cell>
        </row>
        <row r="1762">
          <cell r="A1762" t="str">
            <v>IKN402096</v>
          </cell>
          <cell r="B1762">
            <v>1751</v>
          </cell>
          <cell r="C1762" t="str">
            <v>(PIC: ATIQA)</v>
          </cell>
          <cell r="D1762" t="str">
            <v>KKM/IKN/H/21/138-02</v>
          </cell>
          <cell r="E1762" t="str">
            <v>12-343</v>
          </cell>
          <cell r="F1762" t="str">
            <v>Light Sources, Fibreoptic, Flexible Endoscopic</v>
          </cell>
          <cell r="G1762" t="str">
            <v>OT</v>
          </cell>
          <cell r="H1762" t="str">
            <v>OPERATING THEATRE</v>
          </cell>
          <cell r="I1762" t="str">
            <v>05OT161</v>
          </cell>
          <cell r="J1762" t="str">
            <v>OT</v>
          </cell>
          <cell r="K1762" t="str">
            <v>BMED</v>
          </cell>
          <cell r="L1762" t="str">
            <v>Normal</v>
          </cell>
          <cell r="M1762" t="str">
            <v>Japan</v>
          </cell>
          <cell r="N1762" t="str">
            <v>OLYMPUS</v>
          </cell>
          <cell r="O1762" t="str">
            <v>CLH-SC</v>
          </cell>
          <cell r="P1762" t="str">
            <v>7132878</v>
          </cell>
          <cell r="Q1762" t="str">
            <v>Not Applicable</v>
          </cell>
          <cell r="R1762" t="str">
            <v>Olympus Optical Co Ltd</v>
          </cell>
          <cell r="S1762" t="str">
            <v>MEDICLINK SYSTEMS (M) SDN BHD</v>
          </cell>
          <cell r="T1762" t="str">
            <v>Functioning</v>
          </cell>
          <cell r="U1762" t="str">
            <v>Asset</v>
          </cell>
          <cell r="V1762">
            <v>5390</v>
          </cell>
          <cell r="W1762" t="str">
            <v>KEW</v>
          </cell>
          <cell r="X1762">
            <v>40869</v>
          </cell>
          <cell r="Y1762" t="str">
            <v>KEW</v>
          </cell>
          <cell r="Z1762">
            <v>40889</v>
          </cell>
          <cell r="AA1762">
            <v>41255</v>
          </cell>
          <cell r="AB1762" t="str">
            <v>NO</v>
          </cell>
          <cell r="AC1762">
            <v>44405</v>
          </cell>
          <cell r="AD1762" t="str">
            <v>Good</v>
          </cell>
          <cell r="AE1762" t="str">
            <v>V3 - Added Installed Facilities (New)</v>
          </cell>
          <cell r="AF1762">
            <v>45259</v>
          </cell>
          <cell r="AG1762" t="str">
            <v>NA</v>
          </cell>
          <cell r="AH1762" t="str">
            <v>PPM</v>
          </cell>
          <cell r="AI1762" t="str">
            <v>Not in Contract</v>
          </cell>
          <cell r="AJ1762" t="str">
            <v>Proposed for V3 P2.23 (SET)</v>
          </cell>
          <cell r="AK1762" t="str">
            <v>ASSET TRANSFER FROM HPJ. Light Cable &amp; 3-pin Power Cord</v>
          </cell>
        </row>
        <row r="1763">
          <cell r="A1763" t="str">
            <v>IKN402097</v>
          </cell>
          <cell r="B1763">
            <v>1752</v>
          </cell>
          <cell r="C1763" t="str">
            <v>(PIC: ATIQA)</v>
          </cell>
          <cell r="D1763" t="str">
            <v>KKM/IKN/H/21/138-03</v>
          </cell>
          <cell r="E1763" t="str">
            <v>17-002</v>
          </cell>
          <cell r="F1763" t="str">
            <v>Cameras, Video, Endoscope</v>
          </cell>
          <cell r="G1763" t="str">
            <v>OT</v>
          </cell>
          <cell r="H1763" t="str">
            <v>OPERATING THEATRE</v>
          </cell>
          <cell r="I1763" t="str">
            <v>05OT161</v>
          </cell>
          <cell r="J1763" t="str">
            <v>OT</v>
          </cell>
          <cell r="K1763" t="str">
            <v>BMED</v>
          </cell>
          <cell r="L1763" t="str">
            <v>Normal</v>
          </cell>
          <cell r="M1763" t="str">
            <v>Japan</v>
          </cell>
          <cell r="N1763" t="str">
            <v>OLYMPUS</v>
          </cell>
          <cell r="O1763" t="str">
            <v>OTV-S7V(A)</v>
          </cell>
          <cell r="P1763" t="str">
            <v>7110457</v>
          </cell>
          <cell r="Q1763" t="str">
            <v>Not Applicable</v>
          </cell>
          <cell r="R1763" t="str">
            <v>Olympus Optical Co Ltd</v>
          </cell>
          <cell r="S1763" t="str">
            <v>MEDICLINK SYSTEMS (M) SDN BHD</v>
          </cell>
          <cell r="T1763" t="str">
            <v>Functioning</v>
          </cell>
          <cell r="U1763" t="str">
            <v>Asset</v>
          </cell>
          <cell r="V1763">
            <v>45200</v>
          </cell>
          <cell r="W1763" t="str">
            <v>KEW</v>
          </cell>
          <cell r="X1763">
            <v>40869</v>
          </cell>
          <cell r="Y1763" t="str">
            <v>KEW</v>
          </cell>
          <cell r="Z1763">
            <v>40889</v>
          </cell>
          <cell r="AA1763">
            <v>41255</v>
          </cell>
          <cell r="AB1763" t="str">
            <v>NO</v>
          </cell>
          <cell r="AC1763">
            <v>44405</v>
          </cell>
          <cell r="AD1763" t="str">
            <v>Good</v>
          </cell>
          <cell r="AE1763" t="str">
            <v>V3 - Added Installed Facilities (New)</v>
          </cell>
          <cell r="AF1763">
            <v>45259</v>
          </cell>
          <cell r="AG1763" t="str">
            <v>NA</v>
          </cell>
          <cell r="AH1763" t="str">
            <v>PPM</v>
          </cell>
          <cell r="AI1763" t="str">
            <v>Not in Contract</v>
          </cell>
          <cell r="AJ1763" t="str">
            <v>Proposed for V3 P2.23 (SET)</v>
          </cell>
          <cell r="AK1763" t="str">
            <v>ASSET TRANSFER FROM HPJ. Camera Head (Olympus Visera OTV-S7H-10, SN: 7123341)</v>
          </cell>
        </row>
        <row r="1764">
          <cell r="A1764" t="str">
            <v>IKN402098</v>
          </cell>
          <cell r="B1764">
            <v>1753</v>
          </cell>
          <cell r="C1764" t="str">
            <v>Institut Kanser Negara</v>
          </cell>
          <cell r="E1764" t="str">
            <v>NA</v>
          </cell>
          <cell r="F1764" t="str">
            <v>Colposcope Set</v>
          </cell>
          <cell r="G1764" t="str">
            <v>OT</v>
          </cell>
          <cell r="H1764" t="str">
            <v>OPERATING THEATRE</v>
          </cell>
          <cell r="I1764" t="str">
            <v>05OT161</v>
          </cell>
          <cell r="J1764" t="str">
            <v>OT</v>
          </cell>
          <cell r="K1764" t="str">
            <v>BMED</v>
          </cell>
          <cell r="L1764" t="str">
            <v>Normal</v>
          </cell>
          <cell r="M1764" t="str">
            <v>Japan</v>
          </cell>
          <cell r="N1764" t="str">
            <v>OLYMPUS</v>
          </cell>
          <cell r="O1764" t="str">
            <v>OTV-S7H-1D</v>
          </cell>
          <cell r="P1764" t="str">
            <v>7123341</v>
          </cell>
          <cell r="Q1764" t="str">
            <v>Not Applicable</v>
          </cell>
          <cell r="R1764" t="str">
            <v>Olympus Optical Co Ltd</v>
          </cell>
          <cell r="S1764" t="str">
            <v>MEDICLINK SYSTEMS (M) SDN BHD</v>
          </cell>
          <cell r="T1764" t="str">
            <v>Functioning</v>
          </cell>
          <cell r="U1764" t="str">
            <v>Asset</v>
          </cell>
          <cell r="V1764">
            <v>107000</v>
          </cell>
          <cell r="W1764" t="str">
            <v>KEW</v>
          </cell>
          <cell r="X1764" t="str">
            <v>NA</v>
          </cell>
          <cell r="Y1764" t="str">
            <v>KEW</v>
          </cell>
          <cell r="Z1764" t="str">
            <v>NA</v>
          </cell>
          <cell r="AA1764" t="str">
            <v>NA</v>
          </cell>
          <cell r="AB1764" t="str">
            <v>NO</v>
          </cell>
          <cell r="AC1764">
            <v>44658</v>
          </cell>
          <cell r="AD1764" t="str">
            <v>Good</v>
          </cell>
          <cell r="AE1764" t="str">
            <v>V6</v>
          </cell>
          <cell r="AF1764">
            <v>44658</v>
          </cell>
          <cell r="AG1764">
            <v>5.17</v>
          </cell>
          <cell r="AH1764" t="str">
            <v>PPM</v>
          </cell>
          <cell r="AI1764" t="str">
            <v>Not in Contract</v>
          </cell>
          <cell r="AJ1764" t="str">
            <v>Strands PW</v>
          </cell>
          <cell r="AK1764" t="str">
            <v>ASSET TRANSFER FROM HPJ. Asset No. IKN402098 substitute in IKN402097. (PIC: ATIQA)</v>
          </cell>
        </row>
        <row r="1765">
          <cell r="A1765" t="str">
            <v>IKN402099</v>
          </cell>
          <cell r="B1765">
            <v>1754</v>
          </cell>
          <cell r="C1765" t="str">
            <v>(PIC: ATIQA)</v>
          </cell>
          <cell r="D1765" t="str">
            <v>KKM/IKN/H/21/138-04</v>
          </cell>
          <cell r="E1765" t="str">
            <v>16-603</v>
          </cell>
          <cell r="F1765" t="str">
            <v>Television Monitors</v>
          </cell>
          <cell r="G1765" t="str">
            <v>OT</v>
          </cell>
          <cell r="H1765" t="str">
            <v>OPERATING THEATRE</v>
          </cell>
          <cell r="I1765" t="str">
            <v>05OT161</v>
          </cell>
          <cell r="J1765" t="str">
            <v>OT</v>
          </cell>
          <cell r="K1765" t="str">
            <v>BMED</v>
          </cell>
          <cell r="L1765" t="str">
            <v>Normal</v>
          </cell>
          <cell r="M1765" t="str">
            <v>Japan</v>
          </cell>
          <cell r="N1765" t="str">
            <v>SONY</v>
          </cell>
          <cell r="O1765" t="str">
            <v>LMD-2110MD</v>
          </cell>
          <cell r="P1765" t="str">
            <v>3100280</v>
          </cell>
          <cell r="Q1765" t="str">
            <v>Not Applicable</v>
          </cell>
          <cell r="R1765" t="str">
            <v>SONY</v>
          </cell>
          <cell r="S1765" t="str">
            <v>MEDICLINK SYSTEMS (M) SDN BHD</v>
          </cell>
          <cell r="T1765" t="str">
            <v>Functioning</v>
          </cell>
          <cell r="U1765" t="str">
            <v>Asset</v>
          </cell>
          <cell r="V1765">
            <v>8000</v>
          </cell>
          <cell r="W1765" t="str">
            <v>KEW</v>
          </cell>
          <cell r="X1765">
            <v>40869</v>
          </cell>
          <cell r="Y1765" t="str">
            <v>KEW</v>
          </cell>
          <cell r="Z1765">
            <v>40889</v>
          </cell>
          <cell r="AA1765">
            <v>41255</v>
          </cell>
          <cell r="AB1765" t="str">
            <v>NO</v>
          </cell>
          <cell r="AC1765">
            <v>44405</v>
          </cell>
          <cell r="AD1765" t="str">
            <v>Good</v>
          </cell>
          <cell r="AE1765" t="str">
            <v>V3 - Added Installed Facilities (New)</v>
          </cell>
          <cell r="AF1765">
            <v>45259</v>
          </cell>
          <cell r="AG1765" t="str">
            <v>NA</v>
          </cell>
          <cell r="AH1765" t="str">
            <v>PPM</v>
          </cell>
          <cell r="AI1765" t="str">
            <v>Not in Contract</v>
          </cell>
          <cell r="AJ1765" t="str">
            <v>Proposed for V3 P2.23 (SET)</v>
          </cell>
          <cell r="AK1765" t="str">
            <v>ASSET TRANSFER FROM HPJ. Power Cord</v>
          </cell>
        </row>
        <row r="1766">
          <cell r="A1766" t="str">
            <v>IKN402100</v>
          </cell>
          <cell r="B1766">
            <v>1755</v>
          </cell>
          <cell r="C1766" t="str">
            <v>(PIC: ATIQA)</v>
          </cell>
          <cell r="D1766" t="str">
            <v>KKM/IKN/H/21/138-06</v>
          </cell>
          <cell r="E1766" t="str">
            <v>16-603</v>
          </cell>
          <cell r="F1766" t="str">
            <v>Television Monitors</v>
          </cell>
          <cell r="G1766" t="str">
            <v>OT</v>
          </cell>
          <cell r="H1766" t="str">
            <v>OPERATING THEATRE</v>
          </cell>
          <cell r="I1766" t="str">
            <v>05OT161</v>
          </cell>
          <cell r="J1766" t="str">
            <v>OT</v>
          </cell>
          <cell r="K1766" t="str">
            <v>BMED</v>
          </cell>
          <cell r="L1766" t="str">
            <v>Normal</v>
          </cell>
          <cell r="M1766" t="str">
            <v>Japan</v>
          </cell>
          <cell r="N1766" t="str">
            <v>SONY</v>
          </cell>
          <cell r="O1766" t="str">
            <v>KLV-32BX320</v>
          </cell>
          <cell r="P1766" t="str">
            <v>3253869</v>
          </cell>
          <cell r="Q1766" t="str">
            <v>Not Applicable</v>
          </cell>
          <cell r="R1766" t="str">
            <v>SONY</v>
          </cell>
          <cell r="S1766" t="str">
            <v>MEDICLINK SYSTEMS (M) SDN BHD</v>
          </cell>
          <cell r="T1766" t="str">
            <v>Functioning</v>
          </cell>
          <cell r="U1766" t="str">
            <v>Asset</v>
          </cell>
          <cell r="V1766">
            <v>3000</v>
          </cell>
          <cell r="W1766" t="str">
            <v>KEW</v>
          </cell>
          <cell r="X1766">
            <v>40869</v>
          </cell>
          <cell r="Y1766" t="str">
            <v>KEW</v>
          </cell>
          <cell r="Z1766">
            <v>40889</v>
          </cell>
          <cell r="AA1766">
            <v>41255</v>
          </cell>
          <cell r="AB1766" t="str">
            <v>NO</v>
          </cell>
          <cell r="AC1766">
            <v>44405</v>
          </cell>
          <cell r="AD1766" t="str">
            <v>Good</v>
          </cell>
          <cell r="AE1766" t="str">
            <v>V3 - Added Installed Facilities (New)</v>
          </cell>
          <cell r="AF1766">
            <v>45259</v>
          </cell>
          <cell r="AG1766" t="str">
            <v>NA</v>
          </cell>
          <cell r="AH1766" t="str">
            <v>PPM</v>
          </cell>
          <cell r="AI1766" t="str">
            <v>Not in Contract</v>
          </cell>
          <cell r="AJ1766" t="str">
            <v>Proposed for V3 P2.23 (SET)</v>
          </cell>
          <cell r="AK1766" t="str">
            <v>ASSET TRANSFER FROM HPJ. Power Cord</v>
          </cell>
        </row>
        <row r="1767">
          <cell r="A1767" t="str">
            <v>IKN402101</v>
          </cell>
          <cell r="B1767">
            <v>1756</v>
          </cell>
          <cell r="C1767" t="str">
            <v>(PIC: ATIQA)</v>
          </cell>
          <cell r="D1767" t="str">
            <v>KKM/IKN/H/21/138-05</v>
          </cell>
          <cell r="E1767" t="str">
            <v>13-274</v>
          </cell>
          <cell r="F1767" t="str">
            <v>Recorders, Tape, Video</v>
          </cell>
          <cell r="G1767" t="str">
            <v>OT</v>
          </cell>
          <cell r="H1767" t="str">
            <v>OPERATING THEATRE</v>
          </cell>
          <cell r="I1767" t="str">
            <v>05OT161</v>
          </cell>
          <cell r="J1767" t="str">
            <v>OT</v>
          </cell>
          <cell r="K1767" t="str">
            <v>BMED</v>
          </cell>
          <cell r="L1767" t="str">
            <v>Normal</v>
          </cell>
          <cell r="M1767" t="str">
            <v>Japan</v>
          </cell>
          <cell r="N1767" t="str">
            <v>SONY</v>
          </cell>
          <cell r="O1767" t="str">
            <v>RDR-HX780</v>
          </cell>
          <cell r="P1767" t="str">
            <v>1015241</v>
          </cell>
          <cell r="Q1767" t="str">
            <v>Not Applicable</v>
          </cell>
          <cell r="R1767" t="str">
            <v>SONY</v>
          </cell>
          <cell r="S1767" t="str">
            <v>MEDICLINK SYSTEMS (M) SDN BHD</v>
          </cell>
          <cell r="T1767" t="str">
            <v>Functioning</v>
          </cell>
          <cell r="U1767" t="str">
            <v>Asset</v>
          </cell>
          <cell r="V1767">
            <v>2000</v>
          </cell>
          <cell r="W1767" t="str">
            <v>KEW</v>
          </cell>
          <cell r="X1767">
            <v>40869</v>
          </cell>
          <cell r="Y1767" t="str">
            <v>KEW</v>
          </cell>
          <cell r="Z1767">
            <v>40889</v>
          </cell>
          <cell r="AA1767">
            <v>41255</v>
          </cell>
          <cell r="AB1767" t="str">
            <v>NO</v>
          </cell>
          <cell r="AC1767">
            <v>44405</v>
          </cell>
          <cell r="AD1767" t="str">
            <v>Good</v>
          </cell>
          <cell r="AE1767" t="str">
            <v>V3 - Added Installed Facilities (New)</v>
          </cell>
          <cell r="AF1767">
            <v>45259</v>
          </cell>
          <cell r="AG1767" t="str">
            <v>NA</v>
          </cell>
          <cell r="AH1767" t="str">
            <v>PPM</v>
          </cell>
          <cell r="AI1767" t="str">
            <v>Not in Contract</v>
          </cell>
          <cell r="AJ1767" t="str">
            <v>Proposed for V3 P2.23 (SET)</v>
          </cell>
          <cell r="AK1767" t="str">
            <v>ASSET TRANSFER FROM HPJ. Power Cord</v>
          </cell>
        </row>
        <row r="1768">
          <cell r="A1768" t="str">
            <v>IKN402102</v>
          </cell>
          <cell r="B1768">
            <v>1757</v>
          </cell>
          <cell r="C1768" t="str">
            <v>Institut Kanser Negara</v>
          </cell>
          <cell r="D1768" t="str">
            <v>KKM/IKN/H/21/125</v>
          </cell>
          <cell r="E1768" t="str">
            <v>13-215</v>
          </cell>
          <cell r="F1768" t="str">
            <v>Infusion Pumps, General-Purpose</v>
          </cell>
          <cell r="G1768" t="str">
            <v>DO</v>
          </cell>
          <cell r="H1768" t="str">
            <v>DAY ONCOLOGY UNIT</v>
          </cell>
          <cell r="I1768" t="str">
            <v>04DO111</v>
          </cell>
          <cell r="J1768" t="str">
            <v>EQUIP. ROOM</v>
          </cell>
          <cell r="K1768" t="str">
            <v>BMED</v>
          </cell>
          <cell r="L1768" t="str">
            <v>Critical</v>
          </cell>
          <cell r="M1768" t="str">
            <v>CHINA</v>
          </cell>
          <cell r="N1768" t="str">
            <v>MedCaptian</v>
          </cell>
          <cell r="O1768" t="str">
            <v>HP-60</v>
          </cell>
          <cell r="P1768">
            <v>9024422108380</v>
          </cell>
          <cell r="Q1768" t="str">
            <v>Not Applicable</v>
          </cell>
          <cell r="R1768" t="str">
            <v>MedCaptain Medical Technology</v>
          </cell>
          <cell r="S1768" t="str">
            <v>Alam Medik Sdn Bhd</v>
          </cell>
          <cell r="T1768" t="str">
            <v>Functioning</v>
          </cell>
          <cell r="U1768" t="str">
            <v>Asset</v>
          </cell>
          <cell r="V1768">
            <v>3500</v>
          </cell>
          <cell r="W1768" t="str">
            <v>KEW</v>
          </cell>
          <cell r="X1768">
            <v>44643</v>
          </cell>
          <cell r="Y1768" t="str">
            <v>KEW</v>
          </cell>
          <cell r="Z1768">
            <v>44658</v>
          </cell>
          <cell r="AA1768">
            <v>45023</v>
          </cell>
          <cell r="AB1768" t="str">
            <v>NO</v>
          </cell>
          <cell r="AC1768">
            <v>44658</v>
          </cell>
          <cell r="AD1768" t="str">
            <v>Good</v>
          </cell>
          <cell r="AE1768" t="str">
            <v>V3 - Added Installed Facilities (New)</v>
          </cell>
          <cell r="AF1768">
            <v>45195</v>
          </cell>
          <cell r="AG1768" t="str">
            <v>NA</v>
          </cell>
          <cell r="AH1768" t="str">
            <v>PPM</v>
          </cell>
          <cell r="AI1768" t="str">
            <v>Not in Contract</v>
          </cell>
          <cell r="AJ1768" t="str">
            <v>Proposed for V3 P2.23</v>
          </cell>
          <cell r="AK1768" t="str">
            <v>(PIC: ATIQA). KKM follow P2.23.</v>
          </cell>
        </row>
        <row r="1769">
          <cell r="A1769" t="str">
            <v>IKN402103</v>
          </cell>
          <cell r="B1769">
            <v>1758</v>
          </cell>
          <cell r="C1769" t="str">
            <v>Institut Kanser Negara</v>
          </cell>
          <cell r="D1769" t="str">
            <v>KKM/IKN/H/22/6</v>
          </cell>
          <cell r="E1769" t="str">
            <v>13-215</v>
          </cell>
          <cell r="F1769" t="str">
            <v>Infusion Pumps, General-Purpose</v>
          </cell>
          <cell r="G1769" t="str">
            <v>WG</v>
          </cell>
          <cell r="H1769" t="str">
            <v>RT/ONCO WARD 1 (M)</v>
          </cell>
          <cell r="I1769" t="str">
            <v>08WG113</v>
          </cell>
          <cell r="J1769" t="str">
            <v>EQUIPMENT ROOM</v>
          </cell>
          <cell r="K1769" t="str">
            <v>BMED</v>
          </cell>
          <cell r="L1769" t="str">
            <v>Critical</v>
          </cell>
          <cell r="M1769" t="str">
            <v>CHINA</v>
          </cell>
          <cell r="N1769" t="str">
            <v>MedCaptian</v>
          </cell>
          <cell r="O1769" t="str">
            <v>HP-60</v>
          </cell>
          <cell r="P1769">
            <v>9024022106353</v>
          </cell>
          <cell r="Q1769" t="str">
            <v>Not Applicable</v>
          </cell>
          <cell r="R1769" t="str">
            <v>MedCaptain Medical Technology</v>
          </cell>
          <cell r="S1769" t="str">
            <v>Alam Medik Sdn Bhd</v>
          </cell>
          <cell r="T1769" t="str">
            <v>Functioning</v>
          </cell>
          <cell r="U1769" t="str">
            <v>Asset</v>
          </cell>
          <cell r="V1769">
            <v>3500</v>
          </cell>
          <cell r="W1769" t="str">
            <v>KEW</v>
          </cell>
          <cell r="X1769">
            <v>44643</v>
          </cell>
          <cell r="Y1769" t="str">
            <v>KEW</v>
          </cell>
          <cell r="Z1769">
            <v>44658</v>
          </cell>
          <cell r="AA1769">
            <v>45023</v>
          </cell>
          <cell r="AB1769" t="str">
            <v>NO</v>
          </cell>
          <cell r="AC1769">
            <v>44658</v>
          </cell>
          <cell r="AD1769" t="str">
            <v>Good</v>
          </cell>
          <cell r="AE1769" t="str">
            <v>V3 - Added Installed Facilities (New)</v>
          </cell>
          <cell r="AF1769">
            <v>45195</v>
          </cell>
          <cell r="AG1769" t="str">
            <v>NA</v>
          </cell>
          <cell r="AH1769" t="str">
            <v>PPM</v>
          </cell>
          <cell r="AI1769" t="str">
            <v>Not in Contract</v>
          </cell>
          <cell r="AJ1769" t="str">
            <v>Proposed for V3 P2.23</v>
          </cell>
          <cell r="AK1769" t="str">
            <v>(PIC: ATIQA). KKM follow P2.23.</v>
          </cell>
        </row>
        <row r="1770">
          <cell r="A1770" t="str">
            <v>IKN402104</v>
          </cell>
          <cell r="B1770">
            <v>1759</v>
          </cell>
          <cell r="C1770" t="str">
            <v>Institut Kanser Negara</v>
          </cell>
          <cell r="D1770" t="str">
            <v>KKM/IKN/H/22/9</v>
          </cell>
          <cell r="E1770" t="str">
            <v>13-215</v>
          </cell>
          <cell r="F1770" t="str">
            <v>Infusion Pumps, General-Purpose</v>
          </cell>
          <cell r="G1770" t="str">
            <v>WE</v>
          </cell>
          <cell r="H1770" t="str">
            <v>RT/ONCO WARD 1 (F)</v>
          </cell>
          <cell r="I1770" t="str">
            <v>07WE113</v>
          </cell>
          <cell r="J1770" t="str">
            <v>EQUIPMENT ROOM</v>
          </cell>
          <cell r="K1770" t="str">
            <v>BMED</v>
          </cell>
          <cell r="L1770" t="str">
            <v>Critical</v>
          </cell>
          <cell r="M1770" t="str">
            <v>CHINA</v>
          </cell>
          <cell r="N1770" t="str">
            <v>MedCaptian</v>
          </cell>
          <cell r="O1770" t="str">
            <v>HP-60</v>
          </cell>
          <cell r="P1770">
            <v>9024022106378</v>
          </cell>
          <cell r="Q1770" t="str">
            <v>Not Applicable</v>
          </cell>
          <cell r="R1770" t="str">
            <v>MedCaptain Medical Technology</v>
          </cell>
          <cell r="S1770" t="str">
            <v>Alam Medik Sdn Bhd</v>
          </cell>
          <cell r="T1770" t="str">
            <v>Functioning</v>
          </cell>
          <cell r="U1770" t="str">
            <v>Asset</v>
          </cell>
          <cell r="V1770">
            <v>3500</v>
          </cell>
          <cell r="W1770" t="str">
            <v>KEW</v>
          </cell>
          <cell r="X1770">
            <v>44643</v>
          </cell>
          <cell r="Y1770" t="str">
            <v>KEW</v>
          </cell>
          <cell r="Z1770">
            <v>44658</v>
          </cell>
          <cell r="AA1770">
            <v>45023</v>
          </cell>
          <cell r="AB1770" t="str">
            <v>NO</v>
          </cell>
          <cell r="AC1770">
            <v>44658</v>
          </cell>
          <cell r="AD1770" t="str">
            <v>Good</v>
          </cell>
          <cell r="AE1770" t="str">
            <v>V3 - Added Installed Facilities (New)</v>
          </cell>
          <cell r="AF1770">
            <v>45195</v>
          </cell>
          <cell r="AG1770" t="str">
            <v>NA</v>
          </cell>
          <cell r="AH1770" t="str">
            <v>PPM</v>
          </cell>
          <cell r="AI1770" t="str">
            <v>Strands</v>
          </cell>
          <cell r="AJ1770" t="str">
            <v>Proposed for V3 P2.23</v>
          </cell>
          <cell r="AK1770" t="str">
            <v>(PIC: ATIQA). KKM follow P2.23.</v>
          </cell>
        </row>
        <row r="1771">
          <cell r="A1771" t="str">
            <v>IKN402105</v>
          </cell>
          <cell r="B1771">
            <v>1760</v>
          </cell>
          <cell r="C1771" t="str">
            <v>Institut Kanser Negara</v>
          </cell>
          <cell r="D1771" t="str">
            <v>KKM/IKN/H/22/8</v>
          </cell>
          <cell r="E1771" t="str">
            <v>13-215</v>
          </cell>
          <cell r="F1771" t="str">
            <v>Infusion Pumps, General-Purpose</v>
          </cell>
          <cell r="G1771" t="str">
            <v>WH</v>
          </cell>
          <cell r="H1771" t="str">
            <v>RT/ONCO WARD 2 (M)</v>
          </cell>
          <cell r="I1771" t="str">
            <v>08WH121</v>
          </cell>
          <cell r="J1771" t="str">
            <v>EQUIPMENT ROOM</v>
          </cell>
          <cell r="K1771" t="str">
            <v>BMED</v>
          </cell>
          <cell r="L1771" t="str">
            <v>Critical</v>
          </cell>
          <cell r="M1771" t="str">
            <v>CHINA</v>
          </cell>
          <cell r="N1771" t="str">
            <v>MedCaptian</v>
          </cell>
          <cell r="O1771" t="str">
            <v>HP-60</v>
          </cell>
          <cell r="P1771">
            <v>9024022108142</v>
          </cell>
          <cell r="Q1771" t="str">
            <v>Not Applicable</v>
          </cell>
          <cell r="R1771" t="str">
            <v>MedCaptain Medical Technology</v>
          </cell>
          <cell r="S1771" t="str">
            <v>Alam Medik Sdn Bhd</v>
          </cell>
          <cell r="T1771" t="str">
            <v>Functioning</v>
          </cell>
          <cell r="U1771" t="str">
            <v>Asset</v>
          </cell>
          <cell r="V1771">
            <v>3500</v>
          </cell>
          <cell r="W1771" t="str">
            <v>KEW</v>
          </cell>
          <cell r="X1771">
            <v>44643</v>
          </cell>
          <cell r="Y1771" t="str">
            <v>KEW</v>
          </cell>
          <cell r="Z1771">
            <v>44658</v>
          </cell>
          <cell r="AA1771">
            <v>45023</v>
          </cell>
          <cell r="AB1771" t="str">
            <v>NO</v>
          </cell>
          <cell r="AC1771">
            <v>44658</v>
          </cell>
          <cell r="AD1771" t="str">
            <v>Good</v>
          </cell>
          <cell r="AE1771" t="str">
            <v>V3 - Added Installed Facilities (New)</v>
          </cell>
          <cell r="AF1771">
            <v>45195</v>
          </cell>
          <cell r="AG1771" t="str">
            <v>NA</v>
          </cell>
          <cell r="AH1771" t="str">
            <v>PPM</v>
          </cell>
          <cell r="AI1771" t="str">
            <v>Not in Contract</v>
          </cell>
          <cell r="AJ1771" t="str">
            <v>Proposed for V3 P2.23</v>
          </cell>
          <cell r="AK1771" t="str">
            <v>(PIC: ATIQA). KKM follow P2.23.</v>
          </cell>
        </row>
        <row r="1772">
          <cell r="A1772" t="str">
            <v>IKN402106</v>
          </cell>
          <cell r="B1772">
            <v>1761</v>
          </cell>
          <cell r="C1772" t="str">
            <v>Institut Kanser Negara</v>
          </cell>
          <cell r="D1772" t="str">
            <v>KKM/IKN/H/22/12</v>
          </cell>
          <cell r="E1772" t="str">
            <v>13-215</v>
          </cell>
          <cell r="F1772" t="str">
            <v>Infusion Pumps, General-Purpose</v>
          </cell>
          <cell r="G1772" t="str">
            <v>WC</v>
          </cell>
          <cell r="H1772" t="str">
            <v>WAD 6A</v>
          </cell>
          <cell r="I1772" t="str">
            <v>06WC113</v>
          </cell>
          <cell r="J1772" t="str">
            <v>WC</v>
          </cell>
          <cell r="K1772" t="str">
            <v>BMED</v>
          </cell>
          <cell r="L1772" t="str">
            <v>Critical</v>
          </cell>
          <cell r="M1772" t="str">
            <v>CHINA</v>
          </cell>
          <cell r="N1772" t="str">
            <v>MedCaptian</v>
          </cell>
          <cell r="O1772" t="str">
            <v>HP-60</v>
          </cell>
          <cell r="P1772">
            <v>9024022108423</v>
          </cell>
          <cell r="Q1772" t="str">
            <v>Not Applicable</v>
          </cell>
          <cell r="R1772" t="str">
            <v>MedCaptain Medical Technology</v>
          </cell>
          <cell r="S1772" t="str">
            <v>Alam Medik Sdn Bhd</v>
          </cell>
          <cell r="T1772" t="str">
            <v>Functioning</v>
          </cell>
          <cell r="U1772" t="str">
            <v>Asset</v>
          </cell>
          <cell r="V1772">
            <v>3500</v>
          </cell>
          <cell r="W1772" t="str">
            <v>KEW</v>
          </cell>
          <cell r="X1772">
            <v>44643</v>
          </cell>
          <cell r="Y1772" t="str">
            <v>KEW</v>
          </cell>
          <cell r="Z1772">
            <v>44658</v>
          </cell>
          <cell r="AA1772">
            <v>45023</v>
          </cell>
          <cell r="AB1772" t="str">
            <v>NO</v>
          </cell>
          <cell r="AC1772">
            <v>44658</v>
          </cell>
          <cell r="AD1772" t="str">
            <v>Good</v>
          </cell>
          <cell r="AE1772" t="str">
            <v>V3 - Added Installed Facilities (New)</v>
          </cell>
          <cell r="AF1772">
            <v>45195</v>
          </cell>
          <cell r="AG1772" t="str">
            <v>NA</v>
          </cell>
          <cell r="AH1772" t="str">
            <v>PPM</v>
          </cell>
          <cell r="AI1772" t="str">
            <v>Not in Contract</v>
          </cell>
          <cell r="AJ1772" t="str">
            <v>Proposed for V3 P2.23</v>
          </cell>
          <cell r="AK1772" t="str">
            <v>(PIC: ATIQA)</v>
          </cell>
        </row>
        <row r="1773">
          <cell r="A1773" t="str">
            <v>IKN402107</v>
          </cell>
          <cell r="B1773">
            <v>1762</v>
          </cell>
          <cell r="C1773" t="str">
            <v>Institut Kanser Negara</v>
          </cell>
          <cell r="D1773" t="str">
            <v>KKM/IKN/H/22/10</v>
          </cell>
          <cell r="E1773" t="str">
            <v>13-215</v>
          </cell>
          <cell r="F1773" t="str">
            <v>Infusion Pumps, General-Purpose</v>
          </cell>
          <cell r="G1773" t="str">
            <v>DO</v>
          </cell>
          <cell r="H1773" t="str">
            <v>DAY ONCOLOGY UNIT</v>
          </cell>
          <cell r="I1773" t="str">
            <v>04DO109</v>
          </cell>
          <cell r="J1773" t="str">
            <v>DO</v>
          </cell>
          <cell r="K1773" t="str">
            <v>BMED</v>
          </cell>
          <cell r="L1773" t="str">
            <v>Critical</v>
          </cell>
          <cell r="M1773" t="str">
            <v>CHINA</v>
          </cell>
          <cell r="N1773" t="str">
            <v>MedCaptian</v>
          </cell>
          <cell r="O1773" t="str">
            <v>HP-60</v>
          </cell>
          <cell r="P1773">
            <v>9024022108486</v>
          </cell>
          <cell r="Q1773" t="str">
            <v>Not Applicable</v>
          </cell>
          <cell r="R1773" t="str">
            <v>MedCaptain Medical Technology</v>
          </cell>
          <cell r="S1773" t="str">
            <v>Alam Medik Sdn Bhd</v>
          </cell>
          <cell r="T1773" t="str">
            <v>Functioning</v>
          </cell>
          <cell r="U1773" t="str">
            <v>Asset</v>
          </cell>
          <cell r="V1773">
            <v>3500</v>
          </cell>
          <cell r="W1773" t="str">
            <v>KEW</v>
          </cell>
          <cell r="X1773">
            <v>44643</v>
          </cell>
          <cell r="Y1773" t="str">
            <v>KEW</v>
          </cell>
          <cell r="Z1773">
            <v>44658</v>
          </cell>
          <cell r="AA1773">
            <v>45023</v>
          </cell>
          <cell r="AB1773" t="str">
            <v>NO</v>
          </cell>
          <cell r="AC1773">
            <v>44658</v>
          </cell>
          <cell r="AD1773" t="str">
            <v>Good</v>
          </cell>
          <cell r="AE1773" t="str">
            <v>V3 - Added Installed Facilities (New)</v>
          </cell>
          <cell r="AF1773">
            <v>45195</v>
          </cell>
          <cell r="AG1773" t="str">
            <v>NA</v>
          </cell>
          <cell r="AH1773" t="str">
            <v>PPM</v>
          </cell>
          <cell r="AI1773" t="str">
            <v>Not in Contract</v>
          </cell>
          <cell r="AJ1773" t="str">
            <v>Proposed for V3 P2.23</v>
          </cell>
          <cell r="AK1773" t="str">
            <v>(PIC: ATIQA). KKM follow P2.23.</v>
          </cell>
        </row>
        <row r="1774">
          <cell r="A1774" t="str">
            <v>IKN402108</v>
          </cell>
          <cell r="B1774">
            <v>1763</v>
          </cell>
          <cell r="C1774" t="str">
            <v>Institut Kanser Negara</v>
          </cell>
          <cell r="D1774" t="str">
            <v>KKM/IKN/H/22/11</v>
          </cell>
          <cell r="E1774" t="str">
            <v>13-215</v>
          </cell>
          <cell r="F1774" t="str">
            <v>Infusion Pumps, General-Purpose</v>
          </cell>
          <cell r="G1774" t="str">
            <v>DO</v>
          </cell>
          <cell r="H1774" t="str">
            <v>DAY ONCOLOGY UNIT</v>
          </cell>
          <cell r="I1774" t="str">
            <v>04DO109</v>
          </cell>
          <cell r="J1774" t="str">
            <v>DO</v>
          </cell>
          <cell r="K1774" t="str">
            <v>BMED</v>
          </cell>
          <cell r="L1774" t="str">
            <v>Critical</v>
          </cell>
          <cell r="M1774" t="str">
            <v>CHINA</v>
          </cell>
          <cell r="N1774" t="str">
            <v>MedCaptian</v>
          </cell>
          <cell r="O1774" t="str">
            <v>HP-60</v>
          </cell>
          <cell r="P1774">
            <v>9024022108456</v>
          </cell>
          <cell r="Q1774" t="str">
            <v>Not Applicable</v>
          </cell>
          <cell r="R1774" t="str">
            <v>MedCaptain Medical Technology</v>
          </cell>
          <cell r="S1774" t="str">
            <v>Alam Medik Sdn Bhd</v>
          </cell>
          <cell r="T1774" t="str">
            <v>Functioning</v>
          </cell>
          <cell r="U1774" t="str">
            <v>Asset</v>
          </cell>
          <cell r="V1774">
            <v>3500</v>
          </cell>
          <cell r="W1774" t="str">
            <v>KEW</v>
          </cell>
          <cell r="X1774">
            <v>44643</v>
          </cell>
          <cell r="Y1774" t="str">
            <v>KEW</v>
          </cell>
          <cell r="Z1774">
            <v>44658</v>
          </cell>
          <cell r="AA1774">
            <v>45023</v>
          </cell>
          <cell r="AB1774" t="str">
            <v>NO</v>
          </cell>
          <cell r="AC1774">
            <v>44658</v>
          </cell>
          <cell r="AD1774" t="str">
            <v>Good</v>
          </cell>
          <cell r="AE1774" t="str">
            <v>V3 - Added Installed Facilities (New)</v>
          </cell>
          <cell r="AF1774">
            <v>45195</v>
          </cell>
          <cell r="AG1774" t="str">
            <v>NA</v>
          </cell>
          <cell r="AH1774" t="str">
            <v>PPM</v>
          </cell>
          <cell r="AI1774" t="str">
            <v>Not in Contract</v>
          </cell>
          <cell r="AJ1774" t="str">
            <v>Proposed for V3 P2.23</v>
          </cell>
          <cell r="AK1774" t="str">
            <v>New location: 07WF121 (PIC: ATIQA). KKM follow P2.23.</v>
          </cell>
        </row>
        <row r="1775">
          <cell r="A1775" t="str">
            <v>IKN402109</v>
          </cell>
          <cell r="B1775">
            <v>1764</v>
          </cell>
          <cell r="C1775" t="str">
            <v>Institut Kanser Negara</v>
          </cell>
          <cell r="D1775" t="str">
            <v>KKM/IKN/H/22/7</v>
          </cell>
          <cell r="E1775" t="str">
            <v>13-215</v>
          </cell>
          <cell r="F1775" t="str">
            <v>Infusion Pumps, General-Purpose</v>
          </cell>
          <cell r="G1775" t="str">
            <v>WH</v>
          </cell>
          <cell r="H1775" t="str">
            <v>RT/ONCO WARD 2 (M)</v>
          </cell>
          <cell r="I1775" t="str">
            <v>08WH121</v>
          </cell>
          <cell r="J1775" t="str">
            <v>EQUIPMENT ROOM</v>
          </cell>
          <cell r="K1775" t="str">
            <v>BMED</v>
          </cell>
          <cell r="L1775" t="str">
            <v>Critical</v>
          </cell>
          <cell r="M1775" t="str">
            <v>CHINA</v>
          </cell>
          <cell r="N1775" t="str">
            <v>MedCaptian</v>
          </cell>
          <cell r="O1775" t="str">
            <v>HP-60</v>
          </cell>
          <cell r="P1775">
            <v>9024022108480</v>
          </cell>
          <cell r="Q1775" t="str">
            <v>Not Applicable</v>
          </cell>
          <cell r="R1775" t="str">
            <v>MedCaptain Medical Technology</v>
          </cell>
          <cell r="S1775" t="str">
            <v>Alam Medik Sdn Bhd</v>
          </cell>
          <cell r="T1775" t="str">
            <v>Functioning</v>
          </cell>
          <cell r="U1775" t="str">
            <v>Asset</v>
          </cell>
          <cell r="V1775">
            <v>3500</v>
          </cell>
          <cell r="W1775" t="str">
            <v>KEW</v>
          </cell>
          <cell r="X1775">
            <v>44643</v>
          </cell>
          <cell r="Y1775" t="str">
            <v>KEW</v>
          </cell>
          <cell r="Z1775">
            <v>44658</v>
          </cell>
          <cell r="AA1775">
            <v>45023</v>
          </cell>
          <cell r="AB1775" t="str">
            <v>NO</v>
          </cell>
          <cell r="AC1775">
            <v>44658</v>
          </cell>
          <cell r="AD1775" t="str">
            <v>Good</v>
          </cell>
          <cell r="AE1775" t="str">
            <v>V3 - Added Installed Facilities (New)</v>
          </cell>
          <cell r="AF1775">
            <v>45195</v>
          </cell>
          <cell r="AG1775" t="str">
            <v>NA</v>
          </cell>
          <cell r="AH1775" t="str">
            <v>PPM</v>
          </cell>
          <cell r="AI1775" t="str">
            <v>Not in Contract</v>
          </cell>
          <cell r="AJ1775" t="str">
            <v>Proposed for V3 P2.23</v>
          </cell>
          <cell r="AK1775" t="str">
            <v>(PIC: ATIQA). KKM follow P2.23.</v>
          </cell>
        </row>
        <row r="1776">
          <cell r="A1776" t="str">
            <v>IKN402111</v>
          </cell>
          <cell r="B1776">
            <v>1767</v>
          </cell>
          <cell r="C1776" t="str">
            <v>Institut Kanser Negara</v>
          </cell>
          <cell r="D1776" t="str">
            <v>KKM/IKN/H/22/14</v>
          </cell>
          <cell r="E1776" t="str">
            <v>13-215</v>
          </cell>
          <cell r="F1776" t="str">
            <v>Infusion Pumps, General-Purpose</v>
          </cell>
          <cell r="G1776" t="str">
            <v>WB</v>
          </cell>
          <cell r="H1776" t="str">
            <v>SURGICAL ONCO MALE WARD</v>
          </cell>
          <cell r="I1776" t="str">
            <v>05WB113</v>
          </cell>
          <cell r="J1776" t="str">
            <v>EQUIP. ROOM</v>
          </cell>
          <cell r="K1776" t="str">
            <v>BMED</v>
          </cell>
          <cell r="L1776" t="str">
            <v>Critical</v>
          </cell>
          <cell r="M1776" t="str">
            <v>CHINA</v>
          </cell>
          <cell r="N1776" t="str">
            <v>MedCaptian</v>
          </cell>
          <cell r="O1776" t="str">
            <v>HP-60</v>
          </cell>
          <cell r="P1776">
            <v>9024022108459</v>
          </cell>
          <cell r="Q1776" t="str">
            <v>Alam Medik Sdn Bhd</v>
          </cell>
          <cell r="R1776" t="str">
            <v>Functioning</v>
          </cell>
          <cell r="S1776" t="str">
            <v>Functioning</v>
          </cell>
          <cell r="T1776" t="str">
            <v>Functioning</v>
          </cell>
          <cell r="U1776" t="str">
            <v>KEW</v>
          </cell>
          <cell r="V1776">
            <v>3500</v>
          </cell>
          <cell r="W1776">
            <v>44643</v>
          </cell>
          <cell r="X1776" t="str">
            <v>KEW</v>
          </cell>
          <cell r="Y1776">
            <v>44658</v>
          </cell>
          <cell r="Z1776">
            <v>45023</v>
          </cell>
          <cell r="AA1776" t="str">
            <v>No</v>
          </cell>
          <cell r="AB1776">
            <v>44658</v>
          </cell>
          <cell r="AC1776" t="str">
            <v>Good</v>
          </cell>
          <cell r="AD1776" t="str">
            <v>V3 - Added Installed Facilities (New)</v>
          </cell>
          <cell r="AE1776">
            <v>45195</v>
          </cell>
          <cell r="AF1776" t="str">
            <v>NA</v>
          </cell>
          <cell r="AG1776">
            <v>9.17</v>
          </cell>
          <cell r="AH1776" t="str">
            <v>PPM</v>
          </cell>
          <cell r="AI1776" t="str">
            <v>Strands</v>
          </cell>
          <cell r="AJ1776" t="str">
            <v>Proposed for V3 P2.23</v>
          </cell>
        </row>
        <row r="1777">
          <cell r="A1777" t="str">
            <v>IKN402111</v>
          </cell>
          <cell r="B1777">
            <v>1766</v>
          </cell>
          <cell r="C1777" t="str">
            <v>Institut Kanser Negara</v>
          </cell>
          <cell r="D1777" t="str">
            <v>KKM/IKN/H/22/14</v>
          </cell>
          <cell r="E1777" t="str">
            <v>13-215</v>
          </cell>
          <cell r="F1777" t="str">
            <v>Infusion Pumps, General-Purpose</v>
          </cell>
          <cell r="G1777" t="str">
            <v>WB</v>
          </cell>
          <cell r="H1777" t="str">
            <v>WAD 5A</v>
          </cell>
          <cell r="I1777" t="str">
            <v>05WB113</v>
          </cell>
          <cell r="J1777" t="str">
            <v>WB</v>
          </cell>
          <cell r="K1777" t="str">
            <v>BMED</v>
          </cell>
          <cell r="L1777" t="str">
            <v>Critical</v>
          </cell>
          <cell r="M1777" t="str">
            <v>CHINA</v>
          </cell>
          <cell r="N1777" t="str">
            <v>MedCaptian</v>
          </cell>
          <cell r="O1777" t="str">
            <v>HP-60</v>
          </cell>
          <cell r="P1777">
            <v>9024022108459</v>
          </cell>
          <cell r="Q1777" t="str">
            <v>Not Applicable</v>
          </cell>
          <cell r="R1777" t="str">
            <v>MedCaptain Medical Technology</v>
          </cell>
          <cell r="S1777" t="str">
            <v>Alam Medik Sdn Bhd</v>
          </cell>
          <cell r="T1777" t="str">
            <v>Functioning</v>
          </cell>
          <cell r="U1777" t="str">
            <v>Asset</v>
          </cell>
          <cell r="V1777">
            <v>3500</v>
          </cell>
          <cell r="W1777" t="str">
            <v>KEW</v>
          </cell>
          <cell r="X1777">
            <v>44643</v>
          </cell>
          <cell r="Y1777" t="str">
            <v>KEW</v>
          </cell>
          <cell r="Z1777">
            <v>44658</v>
          </cell>
          <cell r="AA1777">
            <v>45023</v>
          </cell>
          <cell r="AB1777" t="str">
            <v>No</v>
          </cell>
          <cell r="AC1777">
            <v>44658</v>
          </cell>
          <cell r="AD1777" t="str">
            <v>Good</v>
          </cell>
          <cell r="AE1777" t="str">
            <v>V3 - Added Installed Facilities (New)</v>
          </cell>
          <cell r="AF1777">
            <v>45195</v>
          </cell>
          <cell r="AG1777" t="str">
            <v>NA</v>
          </cell>
          <cell r="AH1777" t="str">
            <v>PPM</v>
          </cell>
          <cell r="AI1777" t="str">
            <v>Not in Contract</v>
          </cell>
          <cell r="AJ1777" t="str">
            <v>Proposed for V3 P2.23</v>
          </cell>
          <cell r="AK1777" t="str">
            <v>(PIC: ATIQA)</v>
          </cell>
        </row>
        <row r="1778">
          <cell r="A1778" t="str">
            <v>IKN402112</v>
          </cell>
          <cell r="B1778">
            <v>1767</v>
          </cell>
          <cell r="C1778" t="str">
            <v>Institut Kanser Negara</v>
          </cell>
          <cell r="D1778" t="str">
            <v>KKM/IKN/H/22/15</v>
          </cell>
          <cell r="E1778" t="str">
            <v>13-215</v>
          </cell>
          <cell r="F1778" t="str">
            <v>Infusion Pumps, General-Purpose</v>
          </cell>
          <cell r="G1778" t="str">
            <v>WB</v>
          </cell>
          <cell r="H1778" t="str">
            <v>SURGICAL ONCO MALE WARD</v>
          </cell>
          <cell r="I1778" t="str">
            <v>05WB113</v>
          </cell>
          <cell r="J1778" t="str">
            <v>EQUIP. ROOM</v>
          </cell>
          <cell r="K1778" t="str">
            <v>BMED</v>
          </cell>
          <cell r="L1778" t="str">
            <v>Critical</v>
          </cell>
          <cell r="M1778" t="str">
            <v>CHINA</v>
          </cell>
          <cell r="N1778" t="str">
            <v>MedCaptian</v>
          </cell>
          <cell r="O1778" t="str">
            <v>HP-60</v>
          </cell>
          <cell r="P1778">
            <v>9024022108470</v>
          </cell>
          <cell r="Q1778" t="str">
            <v>MedCaptain Medical Technology</v>
          </cell>
          <cell r="R1778" t="str">
            <v>Alam Medik Sdn Bhd</v>
          </cell>
          <cell r="S1778" t="str">
            <v>Functioning</v>
          </cell>
          <cell r="T1778" t="str">
            <v>Functioning</v>
          </cell>
          <cell r="U1778" t="str">
            <v>KEW</v>
          </cell>
          <cell r="V1778">
            <v>3500</v>
          </cell>
          <cell r="W1778">
            <v>44643</v>
          </cell>
          <cell r="X1778" t="str">
            <v>KEW</v>
          </cell>
          <cell r="Y1778">
            <v>44658</v>
          </cell>
          <cell r="Z1778">
            <v>45023</v>
          </cell>
          <cell r="AA1778" t="str">
            <v>No</v>
          </cell>
          <cell r="AB1778">
            <v>44658</v>
          </cell>
          <cell r="AC1778" t="str">
            <v>Good</v>
          </cell>
          <cell r="AD1778" t="str">
            <v>V3 - Added Installed Facilities (New)</v>
          </cell>
          <cell r="AE1778">
            <v>45195</v>
          </cell>
          <cell r="AF1778" t="str">
            <v>NA</v>
          </cell>
          <cell r="AG1778">
            <v>9.17</v>
          </cell>
          <cell r="AH1778" t="str">
            <v>PPM</v>
          </cell>
          <cell r="AI1778" t="str">
            <v>Strands</v>
          </cell>
          <cell r="AJ1778" t="str">
            <v>Proposed for V3 P2.23</v>
          </cell>
        </row>
        <row r="1779">
          <cell r="A1779" t="str">
            <v>IKN402113</v>
          </cell>
          <cell r="B1779">
            <v>1768</v>
          </cell>
          <cell r="C1779" t="str">
            <v>Institut Kanser Negara</v>
          </cell>
          <cell r="D1779" t="str">
            <v>KKM/IKN/H/22/20</v>
          </cell>
          <cell r="E1779" t="str">
            <v>RI-DO1</v>
          </cell>
          <cell r="F1779" t="str">
            <v>TELESCOPE 4MM 30DEGREE</v>
          </cell>
          <cell r="G1779" t="str">
            <v>OT</v>
          </cell>
          <cell r="H1779" t="str">
            <v>OPERATION THEATRE</v>
          </cell>
          <cell r="I1779" t="str">
            <v>05OT130</v>
          </cell>
          <cell r="J1779" t="str">
            <v>OPERATION THEATRE</v>
          </cell>
          <cell r="K1779" t="str">
            <v>BMED</v>
          </cell>
          <cell r="L1779" t="str">
            <v>Critical</v>
          </cell>
          <cell r="M1779" t="str">
            <v>Germany</v>
          </cell>
          <cell r="N1779" t="str">
            <v>KARL STORZ</v>
          </cell>
          <cell r="O1779" t="str">
            <v>HOPKINS 27005BA</v>
          </cell>
          <cell r="P1779" t="str">
            <v>1257D3</v>
          </cell>
          <cell r="Q1779" t="str">
            <v>Not Applicable</v>
          </cell>
          <cell r="R1779" t="str">
            <v>KARLS STORZ</v>
          </cell>
          <cell r="S1779" t="str">
            <v>UMMI Surgical Sdn Bhd</v>
          </cell>
          <cell r="T1779" t="str">
            <v>Functioning</v>
          </cell>
          <cell r="U1779" t="str">
            <v>Asset</v>
          </cell>
          <cell r="V1779">
            <v>21350</v>
          </cell>
          <cell r="W1779" t="str">
            <v>KEW</v>
          </cell>
          <cell r="X1779">
            <v>44637</v>
          </cell>
          <cell r="Y1779" t="str">
            <v>KEW</v>
          </cell>
          <cell r="Z1779">
            <v>44665</v>
          </cell>
          <cell r="AA1779">
            <v>45029</v>
          </cell>
          <cell r="AB1779" t="str">
            <v>NO</v>
          </cell>
          <cell r="AC1779">
            <v>44665</v>
          </cell>
          <cell r="AD1779" t="str">
            <v>Good</v>
          </cell>
          <cell r="AE1779" t="str">
            <v>V3 - Added Installed Facilities (New)</v>
          </cell>
          <cell r="AF1779">
            <v>45195</v>
          </cell>
          <cell r="AG1779" t="str">
            <v>NA</v>
          </cell>
          <cell r="AH1779" t="str">
            <v>RI</v>
          </cell>
          <cell r="AI1779" t="str">
            <v>Not in Contract</v>
          </cell>
          <cell r="AJ1779" t="str">
            <v>Proposed for V3 P2.23</v>
          </cell>
          <cell r="AK1779" t="str">
            <v>(PIC: ATIQA). KKM follow P2.23.</v>
          </cell>
        </row>
        <row r="1780">
          <cell r="A1780" t="str">
            <v>IKN402114</v>
          </cell>
          <cell r="B1780">
            <v>1769</v>
          </cell>
          <cell r="C1780" t="str">
            <v>Institut Kanser Negara</v>
          </cell>
          <cell r="D1780" t="str">
            <v>KKM/IKN/H/22/19</v>
          </cell>
          <cell r="E1780" t="str">
            <v>RI-DO1</v>
          </cell>
          <cell r="F1780" t="str">
            <v>TELESCOPE 5MM 30DEGREE</v>
          </cell>
          <cell r="G1780" t="str">
            <v>OT</v>
          </cell>
          <cell r="H1780" t="str">
            <v>OPERATION THEATRE</v>
          </cell>
          <cell r="I1780" t="str">
            <v>05OT130</v>
          </cell>
          <cell r="J1780" t="str">
            <v>OPERATION THEATRE</v>
          </cell>
          <cell r="K1780" t="str">
            <v>BMED</v>
          </cell>
          <cell r="L1780" t="str">
            <v>Critical</v>
          </cell>
          <cell r="M1780" t="str">
            <v>Germany</v>
          </cell>
          <cell r="N1780" t="str">
            <v>KARL STORZ</v>
          </cell>
          <cell r="O1780" t="str">
            <v>HOPKINS 26046BA</v>
          </cell>
          <cell r="P1780" t="str">
            <v>1226A4</v>
          </cell>
          <cell r="Q1780" t="str">
            <v>Not Applicable</v>
          </cell>
          <cell r="R1780" t="str">
            <v>KARLS STORZ</v>
          </cell>
          <cell r="S1780" t="str">
            <v>UMMI Surgical Sdn Bhd</v>
          </cell>
          <cell r="T1780" t="str">
            <v>Functioning</v>
          </cell>
          <cell r="U1780" t="str">
            <v>Asset</v>
          </cell>
          <cell r="V1780">
            <v>17700</v>
          </cell>
          <cell r="W1780" t="str">
            <v>KEW</v>
          </cell>
          <cell r="X1780">
            <v>44637</v>
          </cell>
          <cell r="Y1780" t="str">
            <v>KEW</v>
          </cell>
          <cell r="Z1780">
            <v>44665</v>
          </cell>
          <cell r="AA1780">
            <v>45029</v>
          </cell>
          <cell r="AB1780" t="str">
            <v>NO</v>
          </cell>
          <cell r="AC1780">
            <v>44666</v>
          </cell>
          <cell r="AD1780" t="str">
            <v>Good</v>
          </cell>
          <cell r="AE1780" t="str">
            <v>V3 - Added Installed Facilities (New)</v>
          </cell>
          <cell r="AF1780">
            <v>45195</v>
          </cell>
          <cell r="AG1780" t="str">
            <v>NA</v>
          </cell>
          <cell r="AH1780" t="str">
            <v>RI</v>
          </cell>
          <cell r="AI1780" t="str">
            <v>Not in Contract</v>
          </cell>
          <cell r="AJ1780" t="str">
            <v>Proposed for V3 P2.23</v>
          </cell>
          <cell r="AK1780" t="str">
            <v>(PIC: ATIQA)</v>
          </cell>
        </row>
        <row r="1781">
          <cell r="A1781" t="str">
            <v>IKN402115</v>
          </cell>
          <cell r="B1781">
            <v>1770</v>
          </cell>
          <cell r="C1781" t="str">
            <v>Institut Kanser Negara</v>
          </cell>
          <cell r="D1781" t="str">
            <v>KKM/IKN/H/22/18</v>
          </cell>
          <cell r="E1781" t="str">
            <v>RI-DO1</v>
          </cell>
          <cell r="F1781" t="str">
            <v>TELESCOPE 10MM 30DEGREE</v>
          </cell>
          <cell r="G1781" t="str">
            <v>OT</v>
          </cell>
          <cell r="H1781" t="str">
            <v>OPERATION THEATRE</v>
          </cell>
          <cell r="I1781" t="str">
            <v>05OT130</v>
          </cell>
          <cell r="J1781" t="str">
            <v>OPERATION THEATRE</v>
          </cell>
          <cell r="K1781" t="str">
            <v>BMED</v>
          </cell>
          <cell r="L1781" t="str">
            <v>Critical</v>
          </cell>
          <cell r="M1781" t="str">
            <v>Germany</v>
          </cell>
          <cell r="N1781" t="str">
            <v>KARL STORZ</v>
          </cell>
          <cell r="O1781" t="str">
            <v>HOPKINS 26003BA</v>
          </cell>
          <cell r="P1781" t="str">
            <v>123Q5T</v>
          </cell>
          <cell r="Q1781" t="str">
            <v>Not Applicable</v>
          </cell>
          <cell r="R1781" t="str">
            <v>KARLS STORZ</v>
          </cell>
          <cell r="S1781" t="str">
            <v>UMMI Surgical Sdn Bhd</v>
          </cell>
          <cell r="T1781" t="str">
            <v>Functioning</v>
          </cell>
          <cell r="U1781" t="str">
            <v>Asset</v>
          </cell>
          <cell r="V1781">
            <v>20860</v>
          </cell>
          <cell r="W1781" t="str">
            <v>KEW</v>
          </cell>
          <cell r="X1781">
            <v>44637</v>
          </cell>
          <cell r="Y1781" t="str">
            <v>KEW</v>
          </cell>
          <cell r="Z1781">
            <v>44665</v>
          </cell>
          <cell r="AA1781">
            <v>45029</v>
          </cell>
          <cell r="AB1781" t="str">
            <v>NO</v>
          </cell>
          <cell r="AC1781">
            <v>44667</v>
          </cell>
          <cell r="AD1781" t="str">
            <v>Good</v>
          </cell>
          <cell r="AE1781" t="str">
            <v>V3 - Added Installed Facilities (New)</v>
          </cell>
          <cell r="AF1781">
            <v>45195</v>
          </cell>
          <cell r="AG1781" t="str">
            <v>NA</v>
          </cell>
          <cell r="AH1781" t="str">
            <v>RI</v>
          </cell>
          <cell r="AI1781" t="str">
            <v>Not in Contract</v>
          </cell>
          <cell r="AJ1781" t="str">
            <v>Proposed for V3 P2.23</v>
          </cell>
          <cell r="AK1781" t="str">
            <v>(PIC: ATIQA)</v>
          </cell>
        </row>
        <row r="1782">
          <cell r="A1782" t="str">
            <v>IKN402116</v>
          </cell>
          <cell r="B1782">
            <v>1771</v>
          </cell>
          <cell r="C1782" t="str">
            <v>Institut Kanser Negara</v>
          </cell>
          <cell r="D1782" t="str">
            <v>KKM/IKN/H/22/17</v>
          </cell>
          <cell r="E1782" t="str">
            <v>20-198</v>
          </cell>
          <cell r="F1782" t="str">
            <v>Analyzers,Point of care,Breath ,Carbon monoxide</v>
          </cell>
          <cell r="G1782" t="str">
            <v>PY</v>
          </cell>
          <cell r="H1782" t="str">
            <v>PHYSIOTHERAPY</v>
          </cell>
          <cell r="I1782" t="str">
            <v>04PY115</v>
          </cell>
          <cell r="J1782" t="str">
            <v>GYMNASIUM</v>
          </cell>
          <cell r="K1782" t="str">
            <v>BMED</v>
          </cell>
          <cell r="L1782" t="str">
            <v>Normal</v>
          </cell>
          <cell r="M1782" t="str">
            <v>BEDFRONT SCIENTIFIC</v>
          </cell>
          <cell r="N1782" t="str">
            <v>BEDFRONT</v>
          </cell>
          <cell r="O1782" t="str">
            <v>PICO</v>
          </cell>
          <cell r="P1782" t="str">
            <v>CP729246</v>
          </cell>
          <cell r="Q1782" t="str">
            <v>Not Applicable</v>
          </cell>
          <cell r="R1782" t="str">
            <v>BEDFRONT,UK</v>
          </cell>
          <cell r="S1782" t="str">
            <v>TARAF SYNERGY</v>
          </cell>
          <cell r="T1782" t="str">
            <v>Functioning</v>
          </cell>
          <cell r="U1782" t="str">
            <v>Asset</v>
          </cell>
          <cell r="V1782">
            <v>3950</v>
          </cell>
          <cell r="W1782" t="str">
            <v>KEW</v>
          </cell>
          <cell r="X1782">
            <v>44655</v>
          </cell>
          <cell r="Y1782" t="str">
            <v>KEW</v>
          </cell>
          <cell r="Z1782">
            <v>44673</v>
          </cell>
          <cell r="AA1782">
            <v>45037</v>
          </cell>
          <cell r="AB1782" t="str">
            <v>NO</v>
          </cell>
          <cell r="AC1782">
            <v>44673</v>
          </cell>
          <cell r="AD1782" t="str">
            <v>Good</v>
          </cell>
          <cell r="AE1782" t="str">
            <v>V3 - Added Installed Facilities (New)</v>
          </cell>
          <cell r="AF1782">
            <v>45195</v>
          </cell>
          <cell r="AG1782" t="str">
            <v>NA</v>
          </cell>
          <cell r="AH1782" t="str">
            <v>RI</v>
          </cell>
          <cell r="AI1782" t="str">
            <v>Not in Contract</v>
          </cell>
          <cell r="AJ1782" t="str">
            <v>Proposed for V3 P2.23</v>
          </cell>
          <cell r="AK1782" t="str">
            <v>(PIC: NORA). KKM follow P2.23.</v>
          </cell>
        </row>
        <row r="1783">
          <cell r="A1783" t="str">
            <v>IKN402117</v>
          </cell>
          <cell r="B1783">
            <v>1772</v>
          </cell>
          <cell r="C1783" t="str">
            <v>Institut Kanser Negara</v>
          </cell>
          <cell r="D1783" t="str">
            <v>Nora</v>
          </cell>
          <cell r="E1783" t="str">
            <v>15-076</v>
          </cell>
          <cell r="F1783" t="str">
            <v>Laryngoscopes, Rigid</v>
          </cell>
          <cell r="G1783" t="str">
            <v>AD</v>
          </cell>
          <cell r="H1783" t="str">
            <v>ADMINISTRATION</v>
          </cell>
          <cell r="I1783" t="str">
            <v>06AD122</v>
          </cell>
          <cell r="J1783" t="str">
            <v>SUPERVISOR 1</v>
          </cell>
          <cell r="K1783" t="str">
            <v>BMED</v>
          </cell>
          <cell r="L1783" t="str">
            <v>Normal</v>
          </cell>
          <cell r="M1783" t="str">
            <v>Germany</v>
          </cell>
          <cell r="N1783" t="str">
            <v>MACINTOSH</v>
          </cell>
          <cell r="O1783" t="str">
            <v>KAWE</v>
          </cell>
          <cell r="P1783" t="str">
            <v>Not Available</v>
          </cell>
          <cell r="Q1783" t="str">
            <v>Not Applicable</v>
          </cell>
          <cell r="R1783" t="str">
            <v>GERMANY</v>
          </cell>
          <cell r="S1783" t="str">
            <v>INSAN BAKTI</v>
          </cell>
          <cell r="T1783" t="str">
            <v>Functioning</v>
          </cell>
          <cell r="U1783" t="str">
            <v>Asset</v>
          </cell>
          <cell r="V1783">
            <v>1100</v>
          </cell>
          <cell r="W1783" t="str">
            <v>KEW</v>
          </cell>
          <cell r="X1783">
            <v>44643</v>
          </cell>
          <cell r="Y1783" t="str">
            <v>KEW</v>
          </cell>
          <cell r="Z1783">
            <v>44676</v>
          </cell>
          <cell r="AA1783">
            <v>44676</v>
          </cell>
          <cell r="AB1783" t="str">
            <v>NO</v>
          </cell>
          <cell r="AC1783">
            <v>44676</v>
          </cell>
          <cell r="AD1783" t="str">
            <v>Good</v>
          </cell>
          <cell r="AE1783" t="str">
            <v>V3 - Added Installed Facilities (New)</v>
          </cell>
          <cell r="AF1783">
            <v>44676</v>
          </cell>
          <cell r="AG1783" t="str">
            <v>NA</v>
          </cell>
          <cell r="AH1783" t="str">
            <v>RI</v>
          </cell>
          <cell r="AI1783" t="str">
            <v>Not in Contract</v>
          </cell>
          <cell r="AJ1783" t="e">
            <v>#REF!</v>
          </cell>
          <cell r="AK1783" t="str">
            <v>(PIC: NORA)</v>
          </cell>
        </row>
        <row r="1784">
          <cell r="A1784" t="str">
            <v>IKN402119</v>
          </cell>
          <cell r="B1784">
            <v>1774</v>
          </cell>
          <cell r="C1784" t="str">
            <v>Institut Kanser Negara</v>
          </cell>
          <cell r="D1784" t="str">
            <v>KKM/IKN/H/22/45</v>
          </cell>
          <cell r="E1784" t="str">
            <v>16-231</v>
          </cell>
          <cell r="F1784" t="str">
            <v>Electrocardiographs, Multichannel, Interpretative</v>
          </cell>
          <cell r="G1784" t="str">
            <v>HP</v>
          </cell>
          <cell r="H1784" t="str">
            <v>UNIT KESIHATAN AWAM (UKA)</v>
          </cell>
          <cell r="I1784" t="str">
            <v>04HP104</v>
          </cell>
          <cell r="J1784" t="str">
            <v>DISPLAY</v>
          </cell>
          <cell r="K1784" t="str">
            <v>BMED</v>
          </cell>
          <cell r="L1784" t="str">
            <v>Normal</v>
          </cell>
          <cell r="N1784" t="str">
            <v>COMEN</v>
          </cell>
          <cell r="O1784" t="str">
            <v>COMEN H3-01</v>
          </cell>
          <cell r="P1784" t="str">
            <v>H3220409031</v>
          </cell>
          <cell r="Q1784" t="str">
            <v>Not Applicable</v>
          </cell>
          <cell r="R1784" t="str">
            <v>SHENZEN COMEN MEDICAL INSTURMENT</v>
          </cell>
          <cell r="S1784" t="str">
            <v>IDS MEDICAL SYSTEM SDN BHD</v>
          </cell>
          <cell r="T1784" t="str">
            <v>Functioning</v>
          </cell>
          <cell r="U1784" t="str">
            <v>Asset</v>
          </cell>
          <cell r="V1784">
            <v>8000</v>
          </cell>
          <cell r="W1784" t="str">
            <v>KEW</v>
          </cell>
          <cell r="X1784" t="str">
            <v>NA</v>
          </cell>
          <cell r="Y1784" t="str">
            <v>KEW</v>
          </cell>
          <cell r="Z1784">
            <v>44701</v>
          </cell>
          <cell r="AA1784">
            <v>46161</v>
          </cell>
          <cell r="AB1784" t="str">
            <v>YES</v>
          </cell>
          <cell r="AC1784">
            <v>44701</v>
          </cell>
          <cell r="AD1784" t="str">
            <v>Good</v>
          </cell>
          <cell r="AE1784" t="str">
            <v>V3 - Added Installed Facilities (New)</v>
          </cell>
          <cell r="AF1784">
            <v>45008</v>
          </cell>
          <cell r="AG1784" t="str">
            <v>NA</v>
          </cell>
          <cell r="AH1784" t="str">
            <v>PPM</v>
          </cell>
          <cell r="AI1784" t="str">
            <v>Not in contract</v>
          </cell>
          <cell r="AJ1784" t="str">
            <v>Strands V3 P1.23</v>
          </cell>
          <cell r="AK1784" t="str">
            <v>(PIC: NORA) [23/8/2023, Sharifah]: V3 P1.23, add KKM No.. Warranty twice a year., [15/5/2024, Indira]: Edit Warranty Date.</v>
          </cell>
        </row>
        <row r="1785">
          <cell r="A1785" t="str">
            <v>IKN402120</v>
          </cell>
          <cell r="B1785">
            <v>1775</v>
          </cell>
          <cell r="C1785" t="str">
            <v>Institut Kanser Negara</v>
          </cell>
          <cell r="D1785" t="str">
            <v>KKM/IKN/H/22/25</v>
          </cell>
          <cell r="E1785" t="str">
            <v>15-177</v>
          </cell>
          <cell r="F1785" t="str">
            <v>Sedimentation Rate Units</v>
          </cell>
          <cell r="G1785" t="str">
            <v>LA</v>
          </cell>
          <cell r="H1785" t="str">
            <v>PATHOLOGY</v>
          </cell>
          <cell r="I1785" t="str">
            <v>04LA135</v>
          </cell>
          <cell r="J1785" t="str">
            <v>PATHOLOGY</v>
          </cell>
          <cell r="K1785" t="str">
            <v>BMED</v>
          </cell>
          <cell r="L1785" t="str">
            <v>Normal</v>
          </cell>
          <cell r="M1785" t="str">
            <v>NA</v>
          </cell>
          <cell r="N1785" t="str">
            <v>JOKOH</v>
          </cell>
          <cell r="O1785" t="str">
            <v>SMART RATE 10</v>
          </cell>
          <cell r="P1785" t="str">
            <v>1SA12000081</v>
          </cell>
          <cell r="Q1785" t="str">
            <v>Not Applicable</v>
          </cell>
          <cell r="R1785" t="str">
            <v>JOKOH CO LTD</v>
          </cell>
          <cell r="S1785" t="str">
            <v>UC BIOSCIENCES SDN BHD</v>
          </cell>
          <cell r="T1785" t="str">
            <v>Functioning</v>
          </cell>
          <cell r="U1785" t="str">
            <v>Asset</v>
          </cell>
          <cell r="V1785">
            <v>10000</v>
          </cell>
          <cell r="W1785" t="str">
            <v>KEW</v>
          </cell>
          <cell r="X1785" t="str">
            <v>NA</v>
          </cell>
          <cell r="Y1785" t="str">
            <v>KEW</v>
          </cell>
          <cell r="Z1785">
            <v>44699</v>
          </cell>
          <cell r="AA1785">
            <v>45063</v>
          </cell>
          <cell r="AB1785" t="str">
            <v>NO</v>
          </cell>
          <cell r="AC1785">
            <v>44699</v>
          </cell>
          <cell r="AD1785" t="str">
            <v>Good</v>
          </cell>
          <cell r="AE1785" t="str">
            <v>V3 - Added Installed Facilities (New)</v>
          </cell>
          <cell r="AF1785">
            <v>45195</v>
          </cell>
          <cell r="AG1785" t="str">
            <v>NA</v>
          </cell>
          <cell r="AH1785" t="str">
            <v>PPM</v>
          </cell>
          <cell r="AI1785" t="str">
            <v>Not in Contract</v>
          </cell>
          <cell r="AJ1785" t="str">
            <v>Proposed for V3 P2.23</v>
          </cell>
          <cell r="AK1785" t="str">
            <v>(PIC: INDIRA)</v>
          </cell>
        </row>
        <row r="1786">
          <cell r="A1786" t="str">
            <v>IKN402121</v>
          </cell>
          <cell r="B1786">
            <v>1776</v>
          </cell>
          <cell r="C1786" t="str">
            <v>Institut Kanser Negara</v>
          </cell>
          <cell r="D1786" t="str">
            <v>KKM/IKN/H/22/44</v>
          </cell>
          <cell r="E1786" t="str">
            <v>12-291</v>
          </cell>
          <cell r="F1786" t="str">
            <v>LAPAROSCOPIC SET</v>
          </cell>
          <cell r="G1786" t="str">
            <v>OT</v>
          </cell>
          <cell r="H1786" t="str">
            <v>OPERATING THEATRE</v>
          </cell>
          <cell r="I1786" t="str">
            <v>05OT126</v>
          </cell>
          <cell r="J1786" t="str">
            <v>OPERATING THEATRE</v>
          </cell>
          <cell r="K1786" t="str">
            <v>BMED</v>
          </cell>
          <cell r="L1786" t="str">
            <v>Normal</v>
          </cell>
          <cell r="M1786" t="str">
            <v>Germany</v>
          </cell>
          <cell r="N1786" t="str">
            <v>KARL STORZ</v>
          </cell>
          <cell r="O1786" t="str">
            <v>NA</v>
          </cell>
          <cell r="P1786" t="str">
            <v>NA</v>
          </cell>
          <cell r="Q1786" t="str">
            <v>Not Applicable</v>
          </cell>
          <cell r="R1786" t="str">
            <v>KARLS STORZ</v>
          </cell>
          <cell r="S1786" t="str">
            <v>UMMI Surgical Sdn Bhd</v>
          </cell>
          <cell r="T1786" t="str">
            <v>Functioning</v>
          </cell>
          <cell r="U1786" t="str">
            <v>Asset</v>
          </cell>
          <cell r="V1786">
            <v>49000</v>
          </cell>
          <cell r="W1786" t="str">
            <v>KEW</v>
          </cell>
          <cell r="X1786">
            <v>44664</v>
          </cell>
          <cell r="Y1786" t="str">
            <v>KEW</v>
          </cell>
          <cell r="Z1786">
            <v>44701</v>
          </cell>
          <cell r="AA1786">
            <v>45066</v>
          </cell>
          <cell r="AB1786" t="str">
            <v>No</v>
          </cell>
          <cell r="AC1786">
            <v>44701</v>
          </cell>
          <cell r="AD1786" t="str">
            <v>Good</v>
          </cell>
          <cell r="AE1786" t="str">
            <v>V3 - Added Installed Facilities (New)</v>
          </cell>
          <cell r="AF1786">
            <v>45195</v>
          </cell>
          <cell r="AG1786" t="str">
            <v>NA</v>
          </cell>
          <cell r="AH1786" t="str">
            <v>PPM</v>
          </cell>
          <cell r="AI1786" t="str">
            <v>Not in contract</v>
          </cell>
          <cell r="AJ1786" t="str">
            <v>Proposed for V3 P2.23</v>
          </cell>
          <cell r="AK1786" t="str">
            <v>(PIC: SHAHIRA) [19/1/2023, Sharifah]: Add KKM No. SNF received on 26/9/2023.</v>
          </cell>
        </row>
        <row r="1787">
          <cell r="A1787" t="str">
            <v>IKN402122</v>
          </cell>
          <cell r="B1787">
            <v>1777</v>
          </cell>
          <cell r="C1787" t="str">
            <v>Institut Kanser Negara</v>
          </cell>
          <cell r="D1787" t="str">
            <v>KKM/IKN/H/22/65</v>
          </cell>
          <cell r="E1787" t="str">
            <v>17-445</v>
          </cell>
          <cell r="F1787" t="str">
            <v>Multiple Medical Gas Monitors Respired/Anesthetic</v>
          </cell>
          <cell r="G1787" t="str">
            <v>OT</v>
          </cell>
          <cell r="H1787" t="str">
            <v>OPERATING THEATRE</v>
          </cell>
          <cell r="I1787" t="str">
            <v>05OT129</v>
          </cell>
          <cell r="J1787" t="str">
            <v>SEMINAR</v>
          </cell>
          <cell r="K1787" t="str">
            <v>BMED</v>
          </cell>
          <cell r="L1787" t="str">
            <v>Normal</v>
          </cell>
          <cell r="M1787" t="str">
            <v>Finland</v>
          </cell>
          <cell r="N1787" t="str">
            <v>GE HEALTHCARE</v>
          </cell>
          <cell r="O1787" t="str">
            <v>E-SCAIO</v>
          </cell>
          <cell r="P1787" t="str">
            <v>SGV21360090HA</v>
          </cell>
          <cell r="Q1787" t="str">
            <v>Not Applicable</v>
          </cell>
          <cell r="R1787" t="str">
            <v>GE HEALTHCARE</v>
          </cell>
          <cell r="S1787" t="str">
            <v>INSAN BAKTI SDN BHD</v>
          </cell>
          <cell r="T1787" t="str">
            <v>Functioning</v>
          </cell>
          <cell r="U1787" t="str">
            <v>Asset</v>
          </cell>
          <cell r="V1787">
            <v>28000</v>
          </cell>
          <cell r="W1787" t="str">
            <v>KEW</v>
          </cell>
          <cell r="X1787">
            <v>44641</v>
          </cell>
          <cell r="Y1787" t="str">
            <v>KEW</v>
          </cell>
          <cell r="Z1787">
            <v>44712</v>
          </cell>
          <cell r="AA1787">
            <v>45076</v>
          </cell>
          <cell r="AB1787" t="str">
            <v>No</v>
          </cell>
          <cell r="AC1787">
            <v>44712</v>
          </cell>
          <cell r="AD1787" t="str">
            <v>Good</v>
          </cell>
          <cell r="AE1787" t="str">
            <v>V3 - Added Installed Facilities (New)</v>
          </cell>
          <cell r="AF1787">
            <v>45008</v>
          </cell>
          <cell r="AG1787" t="str">
            <v>NA</v>
          </cell>
          <cell r="AH1787" t="str">
            <v>PPM</v>
          </cell>
          <cell r="AI1787" t="str">
            <v>Not in Contract</v>
          </cell>
          <cell r="AJ1787" t="str">
            <v>Strands V3 P1.23</v>
          </cell>
          <cell r="AK1787" t="str">
            <v>SNF RECEIVED MARCH, SEPT 2023.</v>
          </cell>
        </row>
        <row r="1788">
          <cell r="A1788" t="str">
            <v>IKN402123</v>
          </cell>
          <cell r="B1788">
            <v>1778</v>
          </cell>
          <cell r="C1788" t="str">
            <v>Institut Kanser Negara</v>
          </cell>
          <cell r="D1788" t="str">
            <v>KKM/IKN/H/22/30</v>
          </cell>
          <cell r="E1788" t="str">
            <v>12647-000</v>
          </cell>
          <cell r="F1788" t="str">
            <v>Physiologic Monitoring Systems, Acute Care</v>
          </cell>
          <cell r="G1788" t="str">
            <v>WB</v>
          </cell>
          <cell r="H1788" t="str">
            <v>SURGICAL ONCO MALE WARD</v>
          </cell>
          <cell r="I1788" t="str">
            <v>05WB107</v>
          </cell>
          <cell r="J1788" t="str">
            <v>TREATMENT / PROCEDURE</v>
          </cell>
          <cell r="K1788" t="str">
            <v>BMED</v>
          </cell>
          <cell r="L1788" t="str">
            <v>NORMAL</v>
          </cell>
          <cell r="M1788" t="str">
            <v>WHO</v>
          </cell>
          <cell r="N1788" t="str">
            <v>EDAN</v>
          </cell>
          <cell r="O1788" t="str">
            <v>IM60</v>
          </cell>
          <cell r="P1788" t="str">
            <v>360079-M20609750005</v>
          </cell>
          <cell r="Q1788" t="str">
            <v>EDAN INSTRUMENT INC</v>
          </cell>
          <cell r="R1788" t="str">
            <v>PHARMANIAGA LOGISTIC SDN BHD</v>
          </cell>
          <cell r="S1788" t="str">
            <v>Functioning</v>
          </cell>
          <cell r="T1788" t="str">
            <v>Functioning</v>
          </cell>
          <cell r="U1788" t="str">
            <v>KEW</v>
          </cell>
          <cell r="V1788">
            <v>8778.69</v>
          </cell>
          <cell r="W1788" t="str">
            <v>NA</v>
          </cell>
          <cell r="X1788" t="str">
            <v>NA</v>
          </cell>
          <cell r="Y1788">
            <v>45008</v>
          </cell>
          <cell r="Z1788">
            <v>45532</v>
          </cell>
          <cell r="AA1788" t="str">
            <v>YES</v>
          </cell>
          <cell r="AB1788">
            <v>44719</v>
          </cell>
          <cell r="AC1788" t="str">
            <v>Good</v>
          </cell>
          <cell r="AD1788" t="str">
            <v>V3 - Added Installed Facilities (New)</v>
          </cell>
          <cell r="AE1788">
            <v>45008</v>
          </cell>
          <cell r="AF1788" t="str">
            <v>NA</v>
          </cell>
          <cell r="AG1788">
            <v>9.17</v>
          </cell>
          <cell r="AH1788" t="str">
            <v>PPM</v>
          </cell>
          <cell r="AI1788" t="str">
            <v>Strands</v>
          </cell>
          <cell r="AJ1788" t="str">
            <v>Strands V3 P1.23</v>
          </cell>
          <cell r="AK1788" t="str">
            <v>[23/8/2023, Sharifah]: V3 P1.23</v>
          </cell>
        </row>
        <row r="1789">
          <cell r="A1789" t="str">
            <v>IKN402124</v>
          </cell>
          <cell r="B1789">
            <v>1779</v>
          </cell>
          <cell r="C1789" t="str">
            <v>Institut Kanser Negara</v>
          </cell>
          <cell r="D1789" t="str">
            <v>KKM/IKN/H/22/29</v>
          </cell>
          <cell r="E1789" t="str">
            <v>12647-000</v>
          </cell>
          <cell r="F1789" t="str">
            <v>Physiologic Monitoring Systems, Acute Care</v>
          </cell>
          <cell r="G1789" t="str">
            <v>AE</v>
          </cell>
          <cell r="H1789" t="str">
            <v>EMERGENCY UNIT</v>
          </cell>
          <cell r="I1789" t="str">
            <v>01AE106</v>
          </cell>
          <cell r="J1789" t="str">
            <v>C/E ROOM</v>
          </cell>
          <cell r="K1789" t="str">
            <v>BMED</v>
          </cell>
          <cell r="L1789" t="str">
            <v>NORMAL</v>
          </cell>
          <cell r="M1789" t="str">
            <v>WHO</v>
          </cell>
          <cell r="N1789" t="str">
            <v>EDAN</v>
          </cell>
          <cell r="O1789" t="str">
            <v>IM60</v>
          </cell>
          <cell r="P1789" t="str">
            <v>360079-M20609750126</v>
          </cell>
          <cell r="Q1789" t="str">
            <v>Not Applicable</v>
          </cell>
          <cell r="R1789" t="str">
            <v>EDAN INSTRUMENT INC</v>
          </cell>
          <cell r="S1789" t="str">
            <v>PHARMANIAGA LOGISTIC SDN BHD</v>
          </cell>
          <cell r="T1789" t="str">
            <v>Functioning</v>
          </cell>
          <cell r="U1789" t="str">
            <v>Asset</v>
          </cell>
          <cell r="V1789">
            <v>8778.69</v>
          </cell>
          <cell r="W1789" t="str">
            <v>KEW</v>
          </cell>
          <cell r="X1789" t="str">
            <v>NA</v>
          </cell>
          <cell r="Y1789" t="str">
            <v>NA</v>
          </cell>
          <cell r="Z1789">
            <v>45008</v>
          </cell>
          <cell r="AA1789">
            <v>45532</v>
          </cell>
          <cell r="AB1789" t="str">
            <v>YES</v>
          </cell>
          <cell r="AC1789">
            <v>44719</v>
          </cell>
          <cell r="AD1789" t="str">
            <v>Good</v>
          </cell>
          <cell r="AE1789" t="str">
            <v>V3 - Added Installed Facilities (New)</v>
          </cell>
          <cell r="AF1789">
            <v>45008</v>
          </cell>
          <cell r="AG1789" t="str">
            <v>NA</v>
          </cell>
          <cell r="AH1789" t="str">
            <v>PPM</v>
          </cell>
          <cell r="AI1789" t="str">
            <v>Not in contract</v>
          </cell>
          <cell r="AJ1789" t="str">
            <v>Strands V3 P1.23</v>
          </cell>
          <cell r="AK1789" t="str">
            <v>[23/8/2023, Sharifah]: V3 P1.23</v>
          </cell>
        </row>
        <row r="1790">
          <cell r="A1790" t="str">
            <v>IKN402129</v>
          </cell>
          <cell r="B1790">
            <v>1784</v>
          </cell>
          <cell r="C1790" t="str">
            <v>Institut Kanser Negara</v>
          </cell>
          <cell r="D1790" t="str">
            <v>KKM/IKN/H/22/86</v>
          </cell>
          <cell r="E1790" t="str">
            <v>15-108</v>
          </cell>
          <cell r="F1790" t="str">
            <v>RELIEF PAK HEATING UNIT</v>
          </cell>
          <cell r="G1790" t="str">
            <v>PY</v>
          </cell>
          <cell r="H1790" t="str">
            <v>PHYSIOTHERAPY</v>
          </cell>
          <cell r="I1790" t="str">
            <v>04PY115</v>
          </cell>
          <cell r="J1790" t="str">
            <v>GYMNASIUM</v>
          </cell>
          <cell r="K1790" t="str">
            <v>BMED</v>
          </cell>
          <cell r="L1790" t="str">
            <v>Normal</v>
          </cell>
          <cell r="M1790" t="str">
            <v>Fabrication Enterprises Inc,USA</v>
          </cell>
          <cell r="N1790" t="str">
            <v>RELIEF PAK</v>
          </cell>
          <cell r="O1790">
            <v>33909</v>
          </cell>
          <cell r="P1790" t="str">
            <v>RP6S0299</v>
          </cell>
          <cell r="Q1790" t="str">
            <v>Not Applicable</v>
          </cell>
          <cell r="R1790" t="str">
            <v>Fabrication Enterprises Inc,USA</v>
          </cell>
          <cell r="S1790" t="str">
            <v>Profile Technology Sdn Bhd</v>
          </cell>
          <cell r="T1790" t="str">
            <v>Functioning</v>
          </cell>
          <cell r="U1790" t="str">
            <v>Asset</v>
          </cell>
          <cell r="V1790">
            <v>4000</v>
          </cell>
          <cell r="W1790" t="str">
            <v>KEW</v>
          </cell>
          <cell r="X1790">
            <v>44644</v>
          </cell>
          <cell r="Y1790" t="str">
            <v>NA</v>
          </cell>
          <cell r="Z1790">
            <v>44748</v>
          </cell>
          <cell r="AA1790">
            <v>45112</v>
          </cell>
          <cell r="AB1790" t="str">
            <v>No</v>
          </cell>
          <cell r="AC1790">
            <v>44748</v>
          </cell>
          <cell r="AD1790" t="str">
            <v>Good</v>
          </cell>
          <cell r="AE1790" t="str">
            <v>V3 - Added Installed Facilities (New)</v>
          </cell>
          <cell r="AF1790">
            <v>45008</v>
          </cell>
          <cell r="AG1790" t="str">
            <v>NA</v>
          </cell>
          <cell r="AH1790" t="str">
            <v>PPM</v>
          </cell>
          <cell r="AI1790" t="str">
            <v>Not in contract</v>
          </cell>
          <cell r="AJ1790" t="str">
            <v>Strands V3 P1.23</v>
          </cell>
          <cell r="AK1790" t="str">
            <v>(PIC: INDIRA) [23/8/2023, Sharifah]: V3 P1.23, add KKM No.</v>
          </cell>
        </row>
        <row r="1791">
          <cell r="A1791" t="str">
            <v>IKN402130</v>
          </cell>
          <cell r="B1791">
            <v>1785</v>
          </cell>
          <cell r="C1791" t="str">
            <v>Institut Kanser Negara</v>
          </cell>
          <cell r="D1791" t="str">
            <v>KKM/IKN/H/22/41</v>
          </cell>
          <cell r="E1791" t="str">
            <v>18-618</v>
          </cell>
          <cell r="F1791" t="str">
            <v>ANALYZER,LABORATORY,BLOOD GAS/PH/ELECTROLYTE</v>
          </cell>
          <cell r="G1791" t="str">
            <v>LA</v>
          </cell>
          <cell r="H1791" t="str">
            <v>PATHOLOGY</v>
          </cell>
          <cell r="I1791" t="str">
            <v>04LA138</v>
          </cell>
          <cell r="J1791" t="str">
            <v>PRE-ANALYTICAL 2</v>
          </cell>
          <cell r="K1791" t="str">
            <v>BMED</v>
          </cell>
          <cell r="L1791" t="str">
            <v>Normal</v>
          </cell>
          <cell r="M1791" t="str">
            <v>INSTRUMENTATION LABORATORY,USA</v>
          </cell>
          <cell r="N1791" t="str">
            <v>GEM PREMEIER</v>
          </cell>
          <cell r="O1791">
            <v>3500</v>
          </cell>
          <cell r="P1791" t="str">
            <v>21076174</v>
          </cell>
          <cell r="Q1791" t="str">
            <v>Not Applicable</v>
          </cell>
          <cell r="R1791" t="str">
            <v>INSTRUMENTATION LABORATORY,USA</v>
          </cell>
          <cell r="S1791" t="str">
            <v>Straits Scientific (M) Sdn Bhd</v>
          </cell>
          <cell r="T1791" t="str">
            <v>Functioning</v>
          </cell>
          <cell r="U1791" t="str">
            <v>Asset</v>
          </cell>
          <cell r="V1791">
            <v>79500</v>
          </cell>
          <cell r="W1791" t="str">
            <v>KEW</v>
          </cell>
          <cell r="X1791">
            <v>44742</v>
          </cell>
          <cell r="Y1791" t="str">
            <v>KEW</v>
          </cell>
          <cell r="Z1791">
            <v>44767</v>
          </cell>
          <cell r="AA1791">
            <v>45497</v>
          </cell>
          <cell r="AB1791" t="str">
            <v>No</v>
          </cell>
          <cell r="AC1791">
            <v>44767</v>
          </cell>
          <cell r="AD1791" t="str">
            <v>Good</v>
          </cell>
          <cell r="AE1791" t="str">
            <v>V3 - Added Installed Facilities (New)</v>
          </cell>
          <cell r="AF1791">
            <v>45008</v>
          </cell>
          <cell r="AG1791" t="str">
            <v>NA</v>
          </cell>
          <cell r="AH1791" t="str">
            <v>PPM</v>
          </cell>
          <cell r="AI1791" t="str">
            <v>Not in contract</v>
          </cell>
          <cell r="AJ1791" t="str">
            <v>Strands V3 P1.23</v>
          </cell>
          <cell r="AK1791" t="str">
            <v>(PIC: INDIRA) [23/8/2023, Sharifah]: V3 P1.23, add KKM No.</v>
          </cell>
        </row>
        <row r="1792">
          <cell r="A1792" t="str">
            <v>IKN402131</v>
          </cell>
          <cell r="B1792">
            <v>1786</v>
          </cell>
          <cell r="C1792" t="str">
            <v>Institut Kanser Negara</v>
          </cell>
          <cell r="D1792" t="str">
            <v>KKM/IKN/H/22/89</v>
          </cell>
          <cell r="E1792" t="str">
            <v>13-461</v>
          </cell>
          <cell r="F1792" t="str">
            <v>Scales, Patient, Floor</v>
          </cell>
          <cell r="G1792" t="str">
            <v>ID</v>
          </cell>
          <cell r="H1792" t="str">
            <v>IMAGING DEPARTMENT</v>
          </cell>
          <cell r="I1792" t="str">
            <v>03ID107</v>
          </cell>
          <cell r="J1792" t="str">
            <v>RESUS EQ.BAY</v>
          </cell>
          <cell r="K1792" t="str">
            <v>BMED</v>
          </cell>
          <cell r="L1792" t="str">
            <v>Normal</v>
          </cell>
          <cell r="M1792" t="str">
            <v>CHINA</v>
          </cell>
          <cell r="N1792" t="str">
            <v>SECA</v>
          </cell>
          <cell r="O1792" t="str">
            <v>SECA 777</v>
          </cell>
          <cell r="P1792" t="str">
            <v>10000000939552</v>
          </cell>
          <cell r="Q1792" t="str">
            <v>Not Applicable</v>
          </cell>
          <cell r="R1792" t="str">
            <v>SECA GMBH &amp;CO</v>
          </cell>
          <cell r="S1792" t="str">
            <v>AUREUMAX MEDICARE MARKETING (M) SDN BHD</v>
          </cell>
          <cell r="T1792" t="str">
            <v>Functioning</v>
          </cell>
          <cell r="U1792" t="str">
            <v>ASSET</v>
          </cell>
          <cell r="V1792">
            <v>2900</v>
          </cell>
          <cell r="W1792" t="str">
            <v>KEW</v>
          </cell>
          <cell r="X1792">
            <v>44644</v>
          </cell>
          <cell r="Y1792" t="str">
            <v>KEW</v>
          </cell>
          <cell r="Z1792">
            <v>44778</v>
          </cell>
          <cell r="AA1792">
            <v>45142</v>
          </cell>
          <cell r="AB1792" t="str">
            <v>No</v>
          </cell>
          <cell r="AC1792">
            <v>44778</v>
          </cell>
          <cell r="AD1792" t="str">
            <v>GOOD</v>
          </cell>
          <cell r="AE1792" t="str">
            <v>V3 - Added Installed Facilities (New)</v>
          </cell>
          <cell r="AF1792">
            <v>45008</v>
          </cell>
          <cell r="AG1792" t="str">
            <v>NA</v>
          </cell>
          <cell r="AH1792" t="str">
            <v>PPM</v>
          </cell>
          <cell r="AI1792" t="str">
            <v>Not in contract</v>
          </cell>
          <cell r="AJ1792" t="str">
            <v>Strands V3 P1.23</v>
          </cell>
          <cell r="AK1792" t="str">
            <v>(PIC: ANIS, WEIGHTING SCALE) [23/8/2023, Sharifah]: V3 P1.23, add KKM No.</v>
          </cell>
        </row>
        <row r="1793">
          <cell r="A1793" t="str">
            <v>IKN402132</v>
          </cell>
          <cell r="B1793">
            <v>1787</v>
          </cell>
          <cell r="C1793" t="str">
            <v>Institut Kanser Negara</v>
          </cell>
          <cell r="D1793" t="str">
            <v>KKM/IKN/H/22/58</v>
          </cell>
          <cell r="E1793" t="str">
            <v>12-647</v>
          </cell>
          <cell r="F1793" t="str">
            <v>Physiologic Monitoring Systems, Acute Care</v>
          </cell>
          <cell r="G1793" t="str">
            <v>RT</v>
          </cell>
          <cell r="H1793" t="str">
            <v>RADIATION TREATMENT UNIT</v>
          </cell>
          <cell r="I1793" t="str">
            <v>01RT118</v>
          </cell>
          <cell r="J1793" t="str">
            <v>CT SIMULATOR 2</v>
          </cell>
          <cell r="K1793" t="str">
            <v>BMED</v>
          </cell>
          <cell r="L1793" t="str">
            <v>Normal</v>
          </cell>
          <cell r="M1793" t="str">
            <v>CHINA</v>
          </cell>
          <cell r="N1793" t="str">
            <v>COMEN</v>
          </cell>
          <cell r="O1793" t="str">
            <v>NC3</v>
          </cell>
          <cell r="P1793" t="str">
            <v>N 5211120008</v>
          </cell>
          <cell r="Q1793" t="str">
            <v>Not Applicable</v>
          </cell>
          <cell r="R1793" t="str">
            <v>CHINA</v>
          </cell>
          <cell r="S1793" t="str">
            <v>Biometrix Meditronixs Global</v>
          </cell>
          <cell r="T1793" t="str">
            <v>Functioning</v>
          </cell>
          <cell r="U1793" t="str">
            <v>ASSET</v>
          </cell>
          <cell r="V1793">
            <v>4500</v>
          </cell>
          <cell r="W1793" t="str">
            <v>KEW</v>
          </cell>
          <cell r="X1793">
            <v>44790</v>
          </cell>
          <cell r="Y1793" t="str">
            <v>KEW</v>
          </cell>
          <cell r="Z1793">
            <v>44797</v>
          </cell>
          <cell r="AA1793">
            <v>45162</v>
          </cell>
          <cell r="AB1793" t="str">
            <v>No</v>
          </cell>
          <cell r="AC1793">
            <v>44797</v>
          </cell>
          <cell r="AD1793" t="str">
            <v>GOOD</v>
          </cell>
          <cell r="AE1793" t="str">
            <v>V3 - Added Installed Facilities (New)</v>
          </cell>
          <cell r="AF1793">
            <v>45008</v>
          </cell>
          <cell r="AG1793" t="str">
            <v>NA</v>
          </cell>
          <cell r="AH1793" t="str">
            <v>PPM</v>
          </cell>
          <cell r="AI1793" t="str">
            <v>Not in contract</v>
          </cell>
          <cell r="AJ1793" t="str">
            <v>Strands V3 P1.23</v>
          </cell>
          <cell r="AK1793" t="str">
            <v>(PIC: SOLEHA, PATIENT MONITOR) [23/8/2023, Sharifah]: V3 P1.23, add KKM No.</v>
          </cell>
        </row>
        <row r="1794">
          <cell r="A1794" t="str">
            <v>IKN402133</v>
          </cell>
          <cell r="B1794">
            <v>1788</v>
          </cell>
          <cell r="C1794" t="str">
            <v>Institut Kanser Negara</v>
          </cell>
          <cell r="D1794" t="str">
            <v>KKM/IKN/H/22/69</v>
          </cell>
          <cell r="E1794" t="str">
            <v>18-034</v>
          </cell>
          <cell r="F1794" t="str">
            <v>Video Image Processors, Endoscopic</v>
          </cell>
          <cell r="G1794" t="str">
            <v>OT</v>
          </cell>
          <cell r="H1794" t="str">
            <v>OPERATION THEATRE</v>
          </cell>
          <cell r="I1794" t="str">
            <v>05OT167</v>
          </cell>
          <cell r="J1794" t="str">
            <v>OPERATION THEATRE</v>
          </cell>
          <cell r="K1794" t="str">
            <v>BMED</v>
          </cell>
          <cell r="L1794" t="str">
            <v>NORMAL</v>
          </cell>
          <cell r="M1794" t="str">
            <v>USA</v>
          </cell>
          <cell r="N1794" t="str">
            <v>STRYKER</v>
          </cell>
          <cell r="O1794" t="str">
            <v>SPY PHI</v>
          </cell>
          <cell r="P1794" t="str">
            <v>P121243409/HH21302259</v>
          </cell>
          <cell r="Q1794" t="str">
            <v>Not Applicable</v>
          </cell>
          <cell r="R1794" t="str">
            <v>STRYKER ENDSOCOPY USA</v>
          </cell>
          <cell r="S1794" t="str">
            <v>EASMED SDN BHD</v>
          </cell>
          <cell r="T1794" t="str">
            <v>FUNCTIONING</v>
          </cell>
          <cell r="U1794" t="str">
            <v>ASSET</v>
          </cell>
          <cell r="V1794">
            <v>139000</v>
          </cell>
          <cell r="W1794" t="str">
            <v>KEW</v>
          </cell>
          <cell r="X1794">
            <v>44811</v>
          </cell>
          <cell r="Y1794" t="str">
            <v>KEW</v>
          </cell>
          <cell r="Z1794">
            <v>44827</v>
          </cell>
          <cell r="AA1794">
            <v>45191</v>
          </cell>
          <cell r="AB1794" t="str">
            <v>No</v>
          </cell>
          <cell r="AC1794">
            <v>44827</v>
          </cell>
          <cell r="AD1794" t="str">
            <v>GOOD</v>
          </cell>
          <cell r="AE1794" t="str">
            <v>V3 - Added Installed Facilities (New)</v>
          </cell>
          <cell r="AF1794">
            <v>45008</v>
          </cell>
          <cell r="AG1794" t="str">
            <v>NA</v>
          </cell>
          <cell r="AH1794" t="str">
            <v>PPM</v>
          </cell>
          <cell r="AI1794" t="str">
            <v>Not in contract</v>
          </cell>
          <cell r="AJ1794" t="str">
            <v>Strands V3 P1.23</v>
          </cell>
          <cell r="AK1794" t="str">
            <v>(PIC: IMRAN, HANDHELD) [23/8/2023, Sharifah]: V3 P1.23</v>
          </cell>
        </row>
        <row r="1795">
          <cell r="A1795" t="str">
            <v>IKN402134</v>
          </cell>
          <cell r="B1795">
            <v>1789</v>
          </cell>
          <cell r="C1795" t="str">
            <v>Institut Kanser Negara</v>
          </cell>
          <cell r="D1795" t="str">
            <v>KKM/IKN/H/22/66</v>
          </cell>
          <cell r="E1795" t="str">
            <v>13-274</v>
          </cell>
          <cell r="F1795" t="str">
            <v>Recorders, Tape, Video</v>
          </cell>
          <cell r="G1795" t="str">
            <v>OT</v>
          </cell>
          <cell r="H1795" t="str">
            <v>OPERATION THEATRE</v>
          </cell>
          <cell r="I1795" t="str">
            <v>05OT167</v>
          </cell>
          <cell r="J1795" t="str">
            <v>OPERATION THEATRE</v>
          </cell>
          <cell r="K1795" t="str">
            <v>BMED</v>
          </cell>
          <cell r="L1795" t="str">
            <v>NORMAL</v>
          </cell>
          <cell r="M1795" t="str">
            <v>JAPAN</v>
          </cell>
          <cell r="N1795" t="str">
            <v>SDNV</v>
          </cell>
          <cell r="O1795" t="str">
            <v>HVO-550MD</v>
          </cell>
          <cell r="P1795" t="str">
            <v>120359</v>
          </cell>
          <cell r="Q1795" t="str">
            <v>Not Applicable</v>
          </cell>
          <cell r="R1795" t="str">
            <v>SONY VIDDEO RECORDER</v>
          </cell>
          <cell r="S1795" t="str">
            <v>EASMED SDN BHD</v>
          </cell>
          <cell r="T1795" t="str">
            <v>FUNCTIONING</v>
          </cell>
          <cell r="U1795" t="str">
            <v>ASSET</v>
          </cell>
          <cell r="V1795">
            <v>16000</v>
          </cell>
          <cell r="W1795" t="str">
            <v>KEW</v>
          </cell>
          <cell r="X1795">
            <v>44811</v>
          </cell>
          <cell r="Y1795" t="str">
            <v>KEW</v>
          </cell>
          <cell r="Z1795">
            <v>44827</v>
          </cell>
          <cell r="AA1795">
            <v>45191</v>
          </cell>
          <cell r="AB1795" t="str">
            <v>No</v>
          </cell>
          <cell r="AC1795">
            <v>44827</v>
          </cell>
          <cell r="AD1795" t="str">
            <v>GOOD</v>
          </cell>
          <cell r="AE1795" t="str">
            <v>V3 - Added Installed Facilities (New)</v>
          </cell>
          <cell r="AF1795">
            <v>45008</v>
          </cell>
          <cell r="AG1795" t="str">
            <v>NA</v>
          </cell>
          <cell r="AH1795" t="str">
            <v>PPM</v>
          </cell>
          <cell r="AI1795" t="str">
            <v>Not in contract</v>
          </cell>
          <cell r="AJ1795" t="str">
            <v>Strands V3 P1.23</v>
          </cell>
          <cell r="AK1795" t="str">
            <v>(PIC: IMRAN, HANDHELD) [23/8/2023, Sharifah]: V3 P1.23</v>
          </cell>
        </row>
        <row r="1796">
          <cell r="A1796" t="str">
            <v>IKN402135</v>
          </cell>
          <cell r="B1796">
            <v>1790</v>
          </cell>
          <cell r="C1796" t="str">
            <v>Institut Kanser Negara</v>
          </cell>
          <cell r="D1796" t="str">
            <v>KKM/IKN/H/22/67</v>
          </cell>
          <cell r="E1796" t="str">
            <v>16-603</v>
          </cell>
          <cell r="F1796" t="str">
            <v>Television, Monitors</v>
          </cell>
          <cell r="G1796" t="str">
            <v>OT</v>
          </cell>
          <cell r="H1796" t="str">
            <v>OPERATION THEATRE</v>
          </cell>
          <cell r="I1796" t="str">
            <v>05OT167</v>
          </cell>
          <cell r="J1796" t="str">
            <v>OPERATION THEATRE</v>
          </cell>
          <cell r="K1796" t="str">
            <v>BMED</v>
          </cell>
          <cell r="L1796" t="str">
            <v>NORMAL</v>
          </cell>
          <cell r="M1796" t="str">
            <v>KOREA</v>
          </cell>
          <cell r="N1796" t="str">
            <v>STRYKER</v>
          </cell>
          <cell r="O1796" t="str">
            <v>32 IN 4K MONITOR</v>
          </cell>
          <cell r="P1796" t="str">
            <v>SV7321G0237</v>
          </cell>
          <cell r="Q1796" t="str">
            <v>Not Applicable</v>
          </cell>
          <cell r="R1796" t="str">
            <v>STRYKER ENDSOCOPY USA</v>
          </cell>
          <cell r="S1796" t="str">
            <v>EASMED SDN BHD</v>
          </cell>
          <cell r="T1796" t="str">
            <v>FUNCTIONING</v>
          </cell>
          <cell r="U1796" t="str">
            <v>ASSET</v>
          </cell>
          <cell r="V1796">
            <v>46500</v>
          </cell>
          <cell r="W1796" t="str">
            <v>KEW</v>
          </cell>
          <cell r="X1796">
            <v>44811</v>
          </cell>
          <cell r="Y1796" t="str">
            <v>KEW</v>
          </cell>
          <cell r="Z1796">
            <v>44827</v>
          </cell>
          <cell r="AA1796">
            <v>45191</v>
          </cell>
          <cell r="AB1796" t="str">
            <v>No</v>
          </cell>
          <cell r="AC1796">
            <v>44827</v>
          </cell>
          <cell r="AD1796" t="str">
            <v>GOOD</v>
          </cell>
          <cell r="AE1796" t="str">
            <v>V3 - Added Installed Facilities (New)</v>
          </cell>
          <cell r="AF1796">
            <v>45008</v>
          </cell>
          <cell r="AG1796" t="str">
            <v>NA</v>
          </cell>
          <cell r="AH1796" t="str">
            <v>PPM</v>
          </cell>
          <cell r="AI1796" t="str">
            <v>Not in contract</v>
          </cell>
          <cell r="AJ1796" t="str">
            <v>Strands V3 P1.23</v>
          </cell>
          <cell r="AK1796" t="str">
            <v>(PIC: IMRAN, HANDHELD) [23/8/2023, Sharifah]: V3 P1.23</v>
          </cell>
        </row>
        <row r="1797">
          <cell r="A1797" t="str">
            <v>IKN402136</v>
          </cell>
          <cell r="B1797">
            <v>1791</v>
          </cell>
          <cell r="C1797" t="str">
            <v>Institut Kanser Negara</v>
          </cell>
          <cell r="D1797" t="str">
            <v>KKM/IKN/H/22/90</v>
          </cell>
          <cell r="E1797" t="str">
            <v>13-215</v>
          </cell>
          <cell r="F1797" t="str">
            <v>Infusion Pumps, General-Purpose</v>
          </cell>
          <cell r="G1797" t="str">
            <v>WA</v>
          </cell>
          <cell r="H1797" t="str">
            <v>NUCLEAR MED WARD (THERAPY)</v>
          </cell>
          <cell r="I1797" t="str">
            <v>03WA107</v>
          </cell>
          <cell r="J1797" t="str">
            <v>NUCLEAR MED WARD (THERAPY)</v>
          </cell>
          <cell r="K1797" t="str">
            <v>BMED</v>
          </cell>
          <cell r="L1797" t="str">
            <v>NORMAL</v>
          </cell>
          <cell r="M1797" t="str">
            <v>GERMANY</v>
          </cell>
          <cell r="N1797" t="str">
            <v>INFUSOMAT</v>
          </cell>
          <cell r="O1797" t="str">
            <v>INFUSOMAT SPACE</v>
          </cell>
          <cell r="P1797" t="str">
            <v>863127</v>
          </cell>
          <cell r="Q1797" t="str">
            <v>Not Applicable</v>
          </cell>
          <cell r="R1797" t="str">
            <v>BBRAUN MELSUNGEN AG</v>
          </cell>
          <cell r="S1797" t="str">
            <v>Bbraun Medical Supplies Sdn Bhd</v>
          </cell>
          <cell r="T1797" t="str">
            <v>FUNCTIONING</v>
          </cell>
          <cell r="U1797" t="str">
            <v>Asset</v>
          </cell>
          <cell r="V1797">
            <v>6000</v>
          </cell>
          <cell r="W1797" t="str">
            <v>KEW</v>
          </cell>
          <cell r="X1797">
            <v>44818</v>
          </cell>
          <cell r="Y1797" t="str">
            <v>KEW</v>
          </cell>
          <cell r="Z1797">
            <v>44832</v>
          </cell>
          <cell r="AA1797">
            <v>45563</v>
          </cell>
          <cell r="AB1797" t="str">
            <v>YES</v>
          </cell>
          <cell r="AC1797">
            <v>44832</v>
          </cell>
          <cell r="AD1797" t="str">
            <v>Good</v>
          </cell>
          <cell r="AE1797" t="str">
            <v>V3 - Added Installed Facilities (New)</v>
          </cell>
          <cell r="AF1797">
            <v>45008</v>
          </cell>
          <cell r="AG1797" t="str">
            <v>NA</v>
          </cell>
          <cell r="AH1797" t="str">
            <v>PPM</v>
          </cell>
          <cell r="AI1797" t="str">
            <v>Not in contract</v>
          </cell>
          <cell r="AJ1797" t="str">
            <v>Strands V3 P1.23</v>
          </cell>
          <cell r="AK1797" t="str">
            <v>(PIC: IMRAN, INFUSION PUMP) [23/8/2023, Sharifah]: V3 P1.23, add KKM No.</v>
          </cell>
        </row>
        <row r="1798">
          <cell r="A1798" t="str">
            <v>IKN402137</v>
          </cell>
          <cell r="B1798">
            <v>1792</v>
          </cell>
          <cell r="C1798" t="str">
            <v>Institut Kanser Negara</v>
          </cell>
          <cell r="D1798" t="str">
            <v>KKM/IKN/H/22/63</v>
          </cell>
          <cell r="E1798" t="str">
            <v>15-748</v>
          </cell>
          <cell r="F1798" t="str">
            <v>Cameras, Endoscopic</v>
          </cell>
          <cell r="G1798" t="str">
            <v>OT</v>
          </cell>
          <cell r="H1798" t="str">
            <v>OPERATING THEATRE</v>
          </cell>
          <cell r="I1798" t="str">
            <v>OT</v>
          </cell>
          <cell r="J1798" t="str">
            <v>OPERATION THEATRE</v>
          </cell>
          <cell r="K1798" t="str">
            <v>BMED</v>
          </cell>
          <cell r="L1798" t="str">
            <v>Normal</v>
          </cell>
          <cell r="M1798" t="str">
            <v>Germany</v>
          </cell>
          <cell r="N1798" t="str">
            <v>KARL STORZ</v>
          </cell>
          <cell r="O1798" t="str">
            <v>TH100</v>
          </cell>
          <cell r="P1798" t="str">
            <v>0N051370-K</v>
          </cell>
          <cell r="Q1798" t="str">
            <v>Not Applicable</v>
          </cell>
          <cell r="R1798" t="str">
            <v>BBRAUN MELSUNGEN AG</v>
          </cell>
          <cell r="S1798" t="str">
            <v>UMMI Surgical Sdn Bhd</v>
          </cell>
          <cell r="T1798" t="str">
            <v>FUNCTIONING</v>
          </cell>
          <cell r="U1798" t="str">
            <v>Asset</v>
          </cell>
          <cell r="V1798">
            <v>106500</v>
          </cell>
          <cell r="W1798" t="str">
            <v>KEW</v>
          </cell>
          <cell r="X1798">
            <v>44833</v>
          </cell>
          <cell r="Y1798" t="str">
            <v>KEW</v>
          </cell>
          <cell r="Z1798">
            <v>44833</v>
          </cell>
          <cell r="AA1798">
            <v>45197</v>
          </cell>
          <cell r="AB1798" t="str">
            <v>NO</v>
          </cell>
          <cell r="AC1798">
            <v>44833</v>
          </cell>
          <cell r="AD1798" t="str">
            <v>GOOD</v>
          </cell>
          <cell r="AE1798" t="str">
            <v>V3 - Added Installed Facilities (New)</v>
          </cell>
          <cell r="AF1798">
            <v>45008</v>
          </cell>
          <cell r="AG1798" t="str">
            <v>NA</v>
          </cell>
          <cell r="AH1798" t="str">
            <v>PPM</v>
          </cell>
          <cell r="AI1798" t="str">
            <v>Not in contract</v>
          </cell>
          <cell r="AJ1798" t="str">
            <v>Strands V3 P1.23</v>
          </cell>
          <cell r="AK1798" t="str">
            <v>(PIC: IMRAN) [23/8/2023, Sharifah]: V3 P1.23, add KKM No.</v>
          </cell>
        </row>
        <row r="1799">
          <cell r="A1799" t="str">
            <v>IKN402138</v>
          </cell>
          <cell r="B1799">
            <v>1793</v>
          </cell>
          <cell r="C1799" t="str">
            <v>Institut Kanser Negara</v>
          </cell>
          <cell r="D1799" t="str">
            <v>KKM/IKN/H/22/43</v>
          </cell>
          <cell r="E1799" t="str">
            <v>16-930</v>
          </cell>
          <cell r="F1799" t="str">
            <v>Calibrators, Mass Spectrometer</v>
          </cell>
          <cell r="G1799" t="str">
            <v>NM</v>
          </cell>
          <cell r="H1799" t="str">
            <v>NUCLEAR MED</v>
          </cell>
          <cell r="I1799" t="str">
            <v>03NM139</v>
          </cell>
          <cell r="J1799" t="str">
            <v>NUCLEAR MED</v>
          </cell>
          <cell r="K1799" t="str">
            <v>BMED</v>
          </cell>
          <cell r="L1799" t="str">
            <v>Normal</v>
          </cell>
          <cell r="M1799" t="str">
            <v>USA</v>
          </cell>
          <cell r="N1799" t="str">
            <v>LAB LOGIC</v>
          </cell>
          <cell r="O1799" t="str">
            <v>SCAN-RAM</v>
          </cell>
          <cell r="P1799" t="str">
            <v>SR1A/1121/828</v>
          </cell>
          <cell r="Q1799" t="str">
            <v>Not Applicable</v>
          </cell>
          <cell r="R1799" t="str">
            <v>LAB LOGIC</v>
          </cell>
          <cell r="S1799" t="str">
            <v>SPD SCIENTIFIC M SDN BHD</v>
          </cell>
          <cell r="T1799" t="str">
            <v>FUNCTIONING</v>
          </cell>
          <cell r="U1799" t="str">
            <v>Asset</v>
          </cell>
          <cell r="V1799">
            <v>79310.75</v>
          </cell>
          <cell r="W1799" t="str">
            <v>KEW</v>
          </cell>
          <cell r="X1799" t="str">
            <v>NA</v>
          </cell>
          <cell r="Y1799" t="str">
            <v>KEW</v>
          </cell>
          <cell r="Z1799">
            <v>44774</v>
          </cell>
          <cell r="AA1799">
            <v>45138</v>
          </cell>
          <cell r="AB1799" t="str">
            <v>No</v>
          </cell>
          <cell r="AC1799">
            <v>44776</v>
          </cell>
          <cell r="AD1799" t="str">
            <v>GOOD</v>
          </cell>
          <cell r="AE1799" t="str">
            <v>V3 - Added Installed Facilities (New)</v>
          </cell>
          <cell r="AF1799">
            <v>45008</v>
          </cell>
          <cell r="AG1799" t="str">
            <v>NA</v>
          </cell>
          <cell r="AH1799" t="str">
            <v>PPM</v>
          </cell>
          <cell r="AI1799" t="str">
            <v>Not in contract</v>
          </cell>
          <cell r="AJ1799" t="str">
            <v>Strands V3 P1.23</v>
          </cell>
          <cell r="AK1799" t="str">
            <v>Unit donated by IAEA. (PIC: LABLOGIC SCAN-RAM RADIO -TLC SCAM) [23/8/2023, Sharifah]: V3 P1.23, add KKM No.</v>
          </cell>
        </row>
        <row r="1800">
          <cell r="A1800" t="str">
            <v>IKN402140</v>
          </cell>
          <cell r="B1800">
            <v>1795</v>
          </cell>
          <cell r="C1800" t="str">
            <v>Institut Kanser Negara</v>
          </cell>
          <cell r="D1800" t="str">
            <v>KKM/IKN/H/22/57</v>
          </cell>
          <cell r="E1800" t="str">
            <v>12-647</v>
          </cell>
          <cell r="F1800" t="str">
            <v>Physiologic Monitoring Systems, Acute Care</v>
          </cell>
          <cell r="G1800" t="str">
            <v>RT</v>
          </cell>
          <cell r="H1800" t="str">
            <v>RADIATION TREATMENT UNIT</v>
          </cell>
          <cell r="I1800" t="str">
            <v>01RT176</v>
          </cell>
          <cell r="K1800" t="str">
            <v>BMED</v>
          </cell>
          <cell r="L1800" t="str">
            <v>NORMAL</v>
          </cell>
          <cell r="M1800" t="str">
            <v>GERMANY</v>
          </cell>
          <cell r="N1800" t="str">
            <v>COMEN</v>
          </cell>
          <cell r="O1800" t="str">
            <v>NC3</v>
          </cell>
          <cell r="P1800" t="str">
            <v>N 5211118002</v>
          </cell>
          <cell r="Q1800" t="str">
            <v>Not Available</v>
          </cell>
          <cell r="R1800" t="str">
            <v>Comen</v>
          </cell>
          <cell r="S1800" t="str">
            <v>Biometrix Meditronixs Global</v>
          </cell>
          <cell r="T1800" t="str">
            <v>Functioning</v>
          </cell>
          <cell r="U1800" t="str">
            <v>Asset</v>
          </cell>
          <cell r="V1800">
            <v>4500</v>
          </cell>
          <cell r="W1800" t="str">
            <v>KEW</v>
          </cell>
          <cell r="X1800">
            <v>44831</v>
          </cell>
          <cell r="Y1800" t="str">
            <v>KEW</v>
          </cell>
          <cell r="Z1800">
            <v>44839</v>
          </cell>
          <cell r="AA1800">
            <v>45203</v>
          </cell>
          <cell r="AB1800" t="str">
            <v>NO</v>
          </cell>
          <cell r="AC1800">
            <v>44839</v>
          </cell>
          <cell r="AD1800" t="str">
            <v>Good</v>
          </cell>
          <cell r="AE1800" t="str">
            <v>V3 - Added Installed Facilities (New)</v>
          </cell>
          <cell r="AF1800">
            <v>45008</v>
          </cell>
          <cell r="AG1800" t="str">
            <v>NA</v>
          </cell>
          <cell r="AH1800" t="str">
            <v>PPM</v>
          </cell>
          <cell r="AI1800" t="str">
            <v>Not in contract</v>
          </cell>
          <cell r="AJ1800" t="str">
            <v>Strands V3 P1.23</v>
          </cell>
          <cell r="AK1800" t="str">
            <v>(PIC: SOLEHA, VITAL SIGN) [23/8/2023, Sharifah]: V3 P1.23, add KKM No.</v>
          </cell>
        </row>
        <row r="1801">
          <cell r="A1801" t="str">
            <v>IKN402141</v>
          </cell>
          <cell r="B1801">
            <v>1796</v>
          </cell>
          <cell r="C1801" t="str">
            <v>Institut Kanser Negara</v>
          </cell>
          <cell r="D1801" t="str">
            <v>KKM/IKN/H/22/91</v>
          </cell>
          <cell r="E1801" t="str">
            <v>13-275</v>
          </cell>
          <cell r="F1801" t="str">
            <v>Calibrators, Radioisotope</v>
          </cell>
          <cell r="G1801" t="str">
            <v>NM</v>
          </cell>
          <cell r="H1801" t="str">
            <v>NUCLEAR MED</v>
          </cell>
          <cell r="I1801" t="str">
            <v>NM153</v>
          </cell>
          <cell r="J1801" t="str">
            <v>NUCLEAR MED</v>
          </cell>
          <cell r="K1801" t="str">
            <v>BMED</v>
          </cell>
          <cell r="L1801" t="str">
            <v>NORMAL</v>
          </cell>
          <cell r="M1801" t="str">
            <v>USA</v>
          </cell>
          <cell r="N1801" t="str">
            <v>CAPINTEX</v>
          </cell>
          <cell r="O1801" t="str">
            <v>CRC55TR</v>
          </cell>
          <cell r="P1801" t="str">
            <v>555358H</v>
          </cell>
          <cell r="Q1801" t="str">
            <v>Not Available</v>
          </cell>
          <cell r="R1801" t="str">
            <v>USA,CAPINTEX</v>
          </cell>
          <cell r="S1801" t="str">
            <v>H&amp;A MEDICAL SUPPLY SDN BHD</v>
          </cell>
          <cell r="T1801" t="str">
            <v>Functioning</v>
          </cell>
          <cell r="U1801" t="str">
            <v>Asset</v>
          </cell>
          <cell r="V1801">
            <v>58988</v>
          </cell>
          <cell r="W1801" t="str">
            <v>KEW</v>
          </cell>
          <cell r="X1801">
            <v>44847</v>
          </cell>
          <cell r="Y1801" t="str">
            <v>KEW</v>
          </cell>
          <cell r="Z1801">
            <v>44847</v>
          </cell>
          <cell r="AA1801">
            <v>45577</v>
          </cell>
          <cell r="AB1801" t="str">
            <v>YES</v>
          </cell>
          <cell r="AC1801">
            <v>44847</v>
          </cell>
          <cell r="AD1801" t="str">
            <v>GOOD</v>
          </cell>
          <cell r="AE1801" t="str">
            <v>V3 - Added Installed Facilities (New)</v>
          </cell>
          <cell r="AF1801">
            <v>45008</v>
          </cell>
          <cell r="AG1801" t="str">
            <v>NA</v>
          </cell>
          <cell r="AH1801" t="str">
            <v>PPM</v>
          </cell>
          <cell r="AI1801" t="str">
            <v>Not in contract</v>
          </cell>
          <cell r="AJ1801" t="str">
            <v>Strands V3 P1.23</v>
          </cell>
          <cell r="AK1801" t="str">
            <v>(DOSE CALIBRATOR) [23/8/2023, Sharifah]: V3 P1.23, add KKM No. [20/8/2024, Anis]: Calibration 2023 not done, 2024 done. Pending one more calibration 2025.</v>
          </cell>
        </row>
        <row r="1802">
          <cell r="A1802" t="str">
            <v>IKN402142</v>
          </cell>
          <cell r="B1802">
            <v>1797</v>
          </cell>
          <cell r="C1802" t="str">
            <v>Institut Kanser Negara</v>
          </cell>
          <cell r="D1802" t="str">
            <v>KKM/IKN/H/22/83</v>
          </cell>
          <cell r="E1802" t="str">
            <v>13-275</v>
          </cell>
          <cell r="F1802" t="str">
            <v>Calibrators, Radioisotope</v>
          </cell>
          <cell r="G1802" t="str">
            <v>PET-CT</v>
          </cell>
          <cell r="H1802" t="str">
            <v>NUCLEAR MED</v>
          </cell>
          <cell r="I1802" t="str">
            <v>PET-CT</v>
          </cell>
          <cell r="J1802" t="str">
            <v>PET CT, HPJ</v>
          </cell>
          <cell r="K1802" t="str">
            <v>BMED</v>
          </cell>
          <cell r="L1802" t="str">
            <v>NORMAL</v>
          </cell>
          <cell r="M1802" t="str">
            <v>USA</v>
          </cell>
          <cell r="N1802" t="str">
            <v>CAPINTEX</v>
          </cell>
          <cell r="O1802" t="str">
            <v>5130-3235</v>
          </cell>
          <cell r="P1802" t="str">
            <v>571073H</v>
          </cell>
          <cell r="Q1802" t="str">
            <v>Not Available</v>
          </cell>
          <cell r="R1802" t="str">
            <v>USA,CAPINTEX</v>
          </cell>
          <cell r="S1802" t="str">
            <v>H&amp;A MEDICAL SUPPLY SDN BHD</v>
          </cell>
          <cell r="T1802" t="str">
            <v>Functioning</v>
          </cell>
          <cell r="U1802" t="str">
            <v>Asset</v>
          </cell>
          <cell r="V1802">
            <v>90188</v>
          </cell>
          <cell r="W1802" t="str">
            <v>KEW</v>
          </cell>
          <cell r="X1802">
            <v>44859</v>
          </cell>
          <cell r="Y1802" t="str">
            <v>KEW</v>
          </cell>
          <cell r="Z1802">
            <v>44859</v>
          </cell>
          <cell r="AA1802">
            <v>45589</v>
          </cell>
          <cell r="AB1802" t="str">
            <v>YES</v>
          </cell>
          <cell r="AC1802">
            <v>44859</v>
          </cell>
          <cell r="AD1802" t="str">
            <v>GOOD</v>
          </cell>
          <cell r="AE1802" t="str">
            <v>V3 - Added Installed Facilities (New)</v>
          </cell>
          <cell r="AF1802">
            <v>45008</v>
          </cell>
          <cell r="AG1802" t="str">
            <v>NA</v>
          </cell>
          <cell r="AH1802" t="str">
            <v>PPM</v>
          </cell>
          <cell r="AI1802" t="str">
            <v>Not in contract</v>
          </cell>
          <cell r="AJ1802" t="str">
            <v>Strands V3 P1.23</v>
          </cell>
          <cell r="AK1802" t="str">
            <v>(DOSE CALIBRATOR) [23/8/2023, Sharifah]: V3 P1.23, add KKM No. [20/8/2024, Anis]: Calibration 2023 not done, 2024 done. Pending one more calibration 2025.</v>
          </cell>
        </row>
        <row r="1803">
          <cell r="A1803" t="str">
            <v>IKN402142</v>
          </cell>
          <cell r="B1803" t="str">
            <v>NA</v>
          </cell>
          <cell r="C1803" t="str">
            <v>Calibrators, Radioisotope</v>
          </cell>
          <cell r="D1803" t="str">
            <v>PET-CT</v>
          </cell>
          <cell r="E1803" t="str">
            <v>5130-3235</v>
          </cell>
          <cell r="F1803" t="str">
            <v>571073H</v>
          </cell>
          <cell r="G1803" t="str">
            <v>Functioning</v>
          </cell>
          <cell r="P1803" t="str">
            <v>571073H</v>
          </cell>
          <cell r="Q1803" t="str">
            <v>Functioning</v>
          </cell>
          <cell r="T1803" t="str">
            <v>Functioning</v>
          </cell>
          <cell r="V1803">
            <v>90188</v>
          </cell>
          <cell r="Y1803" t="str">
            <v>KEW</v>
          </cell>
          <cell r="AH1803" t="str">
            <v>PPM</v>
          </cell>
          <cell r="AI1803" t="str">
            <v>PROPOSE P2.23</v>
          </cell>
        </row>
        <row r="1804">
          <cell r="A1804" t="str">
            <v>IKN402143</v>
          </cell>
          <cell r="B1804">
            <v>1798</v>
          </cell>
          <cell r="C1804" t="str">
            <v>Institut Kanser Negara</v>
          </cell>
          <cell r="D1804" t="str">
            <v>KKM/IKN/H/22/96</v>
          </cell>
          <cell r="E1804" t="str">
            <v>16-439</v>
          </cell>
          <cell r="F1804" t="str">
            <v>Microscopes, Light, Laboratory, Fluorescence</v>
          </cell>
          <cell r="G1804" t="str">
            <v>LA</v>
          </cell>
          <cell r="H1804" t="str">
            <v>PATHOLOGY</v>
          </cell>
          <cell r="I1804" t="str">
            <v>04LA127</v>
          </cell>
          <cell r="J1804" t="str">
            <v>PATHOLOGY</v>
          </cell>
          <cell r="K1804" t="str">
            <v>BMED</v>
          </cell>
          <cell r="L1804" t="str">
            <v>NORMAL</v>
          </cell>
          <cell r="M1804" t="str">
            <v>JAPAN</v>
          </cell>
          <cell r="N1804" t="str">
            <v>OLYMPUS</v>
          </cell>
          <cell r="O1804" t="str">
            <v>CX43RF</v>
          </cell>
          <cell r="P1804" t="str">
            <v>2F45731</v>
          </cell>
          <cell r="Q1804" t="str">
            <v>Not Available</v>
          </cell>
          <cell r="R1804" t="str">
            <v>EVIDENT CORPORATION NAGARA</v>
          </cell>
          <cell r="S1804" t="str">
            <v>Matrix Optics (M) Sdn Bhd</v>
          </cell>
          <cell r="T1804" t="str">
            <v>Functioning</v>
          </cell>
          <cell r="U1804" t="str">
            <v>ASSET</v>
          </cell>
          <cell r="V1804">
            <v>19500</v>
          </cell>
          <cell r="W1804" t="str">
            <v>KEW</v>
          </cell>
          <cell r="X1804">
            <v>44831</v>
          </cell>
          <cell r="Y1804" t="str">
            <v>KEW</v>
          </cell>
          <cell r="Z1804">
            <v>44865</v>
          </cell>
          <cell r="AA1804">
            <v>45230</v>
          </cell>
          <cell r="AB1804" t="str">
            <v>NO</v>
          </cell>
          <cell r="AC1804">
            <v>44860</v>
          </cell>
          <cell r="AD1804" t="str">
            <v>GOOD</v>
          </cell>
          <cell r="AE1804" t="str">
            <v>V3 - Added Installed Facilities (New)</v>
          </cell>
          <cell r="AF1804">
            <v>45008</v>
          </cell>
          <cell r="AG1804" t="str">
            <v>NA</v>
          </cell>
          <cell r="AH1804" t="str">
            <v>PPM</v>
          </cell>
          <cell r="AI1804" t="str">
            <v>Not in contract</v>
          </cell>
          <cell r="AJ1804" t="str">
            <v>Strands V3 P1.23</v>
          </cell>
          <cell r="AK1804" t="str">
            <v>(MICROSCOPE) [23/8/2023, Sharifah]: V3 P1.23, add KKM No.</v>
          </cell>
        </row>
        <row r="1805">
          <cell r="A1805" t="str">
            <v>IKN402144</v>
          </cell>
          <cell r="B1805">
            <v>1799</v>
          </cell>
          <cell r="C1805" t="str">
            <v>Institut Kanser Negara</v>
          </cell>
          <cell r="D1805" t="str">
            <v>KKM/IKN/H/22/95</v>
          </cell>
          <cell r="E1805" t="str">
            <v>15-156</v>
          </cell>
          <cell r="F1805" t="str">
            <v>Microscopes, Light, Laboratory</v>
          </cell>
          <cell r="G1805" t="str">
            <v>LA</v>
          </cell>
          <cell r="H1805" t="str">
            <v>PATHOLOGY</v>
          </cell>
          <cell r="I1805" t="str">
            <v>04LA127</v>
          </cell>
          <cell r="J1805" t="str">
            <v>PATHOLOGY</v>
          </cell>
          <cell r="K1805" t="str">
            <v>BMED</v>
          </cell>
          <cell r="L1805" t="str">
            <v>NORMAL</v>
          </cell>
          <cell r="M1805" t="str">
            <v>JAPAN</v>
          </cell>
          <cell r="N1805" t="str">
            <v>OLYMPUS</v>
          </cell>
          <cell r="O1805" t="str">
            <v>CX33RTFS2</v>
          </cell>
          <cell r="P1805" t="str">
            <v>2E51049</v>
          </cell>
          <cell r="Q1805" t="str">
            <v>Not Available</v>
          </cell>
          <cell r="R1805" t="str">
            <v>EVIDENT CORPORATION NAGARA</v>
          </cell>
          <cell r="S1805" t="str">
            <v>Matrix Optics (M) Sdn Bhd</v>
          </cell>
          <cell r="T1805" t="str">
            <v>Functioning</v>
          </cell>
          <cell r="U1805" t="str">
            <v>ASSET</v>
          </cell>
          <cell r="V1805">
            <v>8000</v>
          </cell>
          <cell r="W1805" t="str">
            <v>KEW</v>
          </cell>
          <cell r="X1805">
            <v>44831</v>
          </cell>
          <cell r="Y1805" t="str">
            <v>KEW</v>
          </cell>
          <cell r="Z1805">
            <v>44865</v>
          </cell>
          <cell r="AA1805">
            <v>45230</v>
          </cell>
          <cell r="AB1805" t="str">
            <v>NO</v>
          </cell>
          <cell r="AC1805">
            <v>44860</v>
          </cell>
          <cell r="AD1805" t="str">
            <v>GOOD</v>
          </cell>
          <cell r="AE1805" t="str">
            <v>V3 - Added Installed Facilities (New)</v>
          </cell>
          <cell r="AF1805">
            <v>45008</v>
          </cell>
          <cell r="AG1805" t="str">
            <v>NA</v>
          </cell>
          <cell r="AH1805" t="str">
            <v>PPM</v>
          </cell>
          <cell r="AI1805" t="str">
            <v>Not in contract</v>
          </cell>
          <cell r="AJ1805" t="str">
            <v>Strands V3 P1.23</v>
          </cell>
          <cell r="AK1805" t="str">
            <v>(MICROSCOPE) [23/8/2023, Sharifah]: V3 P1.23, add KKM No.</v>
          </cell>
        </row>
        <row r="1806">
          <cell r="A1806" t="str">
            <v>IKN402145</v>
          </cell>
          <cell r="B1806">
            <v>1800</v>
          </cell>
          <cell r="C1806" t="str">
            <v>Institut Kanser Negara</v>
          </cell>
          <cell r="D1806" t="str">
            <v>KKM/IKN/H/22/92</v>
          </cell>
          <cell r="E1806" t="str">
            <v>15-976</v>
          </cell>
          <cell r="F1806" t="str">
            <v>Scanning Systems, Ultrasonic, General-Purpose</v>
          </cell>
          <cell r="G1806" t="str">
            <v>WC</v>
          </cell>
          <cell r="H1806" t="str">
            <v>SURGICAL ONCO FEMALE WARD</v>
          </cell>
          <cell r="I1806" t="str">
            <v>06WC143</v>
          </cell>
          <cell r="J1806" t="str">
            <v>NURSE STATION</v>
          </cell>
          <cell r="K1806" t="str">
            <v>BMED</v>
          </cell>
          <cell r="L1806" t="str">
            <v>NORMAL</v>
          </cell>
          <cell r="M1806" t="str">
            <v>NA</v>
          </cell>
          <cell r="N1806" t="str">
            <v>MINDRAY</v>
          </cell>
          <cell r="O1806" t="str">
            <v>DC-4DHD</v>
          </cell>
          <cell r="P1806" t="str">
            <v>CT7-26005747</v>
          </cell>
          <cell r="Q1806" t="str">
            <v>Not Available</v>
          </cell>
          <cell r="R1806" t="str">
            <v>SHENZEN MINDRAY BIO-MEDICAL</v>
          </cell>
          <cell r="S1806" t="str">
            <v>Mediliance (M) Sdn. Bhd.</v>
          </cell>
          <cell r="T1806" t="str">
            <v>Functioning</v>
          </cell>
          <cell r="U1806" t="str">
            <v>Asset</v>
          </cell>
          <cell r="V1806">
            <v>68500</v>
          </cell>
          <cell r="W1806" t="str">
            <v>KEW</v>
          </cell>
          <cell r="X1806">
            <v>44869</v>
          </cell>
          <cell r="Y1806" t="str">
            <v>KEW</v>
          </cell>
          <cell r="Z1806">
            <v>44880</v>
          </cell>
          <cell r="AA1806">
            <v>45975</v>
          </cell>
          <cell r="AB1806" t="str">
            <v>YES</v>
          </cell>
          <cell r="AC1806">
            <v>44880</v>
          </cell>
          <cell r="AD1806" t="str">
            <v>Good</v>
          </cell>
          <cell r="AE1806" t="str">
            <v>V3 - Added Installed Facilities (New)</v>
          </cell>
          <cell r="AF1806">
            <v>45008</v>
          </cell>
          <cell r="AG1806" t="str">
            <v>NA</v>
          </cell>
          <cell r="AH1806" t="str">
            <v>PPM</v>
          </cell>
          <cell r="AI1806" t="str">
            <v>Not in contract</v>
          </cell>
          <cell r="AJ1806" t="str">
            <v>Strands V3 P1.23</v>
          </cell>
          <cell r="AK1806" t="str">
            <v>[23/8/2023, Sharifah]: V3 P1.23, add KKM No.</v>
          </cell>
        </row>
        <row r="1807">
          <cell r="A1807" t="str">
            <v>IKN402146</v>
          </cell>
          <cell r="B1807">
            <v>1801</v>
          </cell>
          <cell r="C1807" t="str">
            <v>Institut Kanser Negara</v>
          </cell>
          <cell r="D1807" t="str">
            <v>KKM/IKN/H/22/97</v>
          </cell>
          <cell r="E1807" t="str">
            <v>12-647</v>
          </cell>
          <cell r="F1807" t="str">
            <v>Physiologic Monitoring Systems, Acute Care</v>
          </cell>
          <cell r="G1807" t="str">
            <v>ID</v>
          </cell>
          <cell r="H1807" t="str">
            <v>IMAGING DEPARTMENT</v>
          </cell>
          <cell r="I1807" t="str">
            <v>03ID111</v>
          </cell>
          <cell r="J1807" t="str">
            <v>M.R.I (VE)</v>
          </cell>
          <cell r="K1807" t="str">
            <v>BMED</v>
          </cell>
          <cell r="L1807" t="str">
            <v>Normal</v>
          </cell>
          <cell r="M1807" t="str">
            <v>MIPM</v>
          </cell>
          <cell r="N1807" t="str">
            <v>NA</v>
          </cell>
          <cell r="O1807" t="str">
            <v>TESLA M3</v>
          </cell>
          <cell r="P1807" t="str">
            <v>TM3M1490</v>
          </cell>
          <cell r="Q1807" t="str">
            <v>Not Available</v>
          </cell>
          <cell r="R1807" t="str">
            <v>MIPM</v>
          </cell>
          <cell r="S1807" t="str">
            <v>AVANT-MED SDN BHD</v>
          </cell>
          <cell r="T1807" t="str">
            <v>Functioning</v>
          </cell>
          <cell r="U1807" t="str">
            <v>ASSET</v>
          </cell>
          <cell r="V1807">
            <v>199000</v>
          </cell>
          <cell r="W1807" t="str">
            <v>KEW</v>
          </cell>
          <cell r="X1807">
            <v>44895</v>
          </cell>
          <cell r="Y1807" t="str">
            <v>KEW</v>
          </cell>
          <cell r="Z1807">
            <v>44895</v>
          </cell>
          <cell r="AA1807">
            <v>45260</v>
          </cell>
          <cell r="AB1807" t="str">
            <v>No</v>
          </cell>
          <cell r="AC1807">
            <v>44895</v>
          </cell>
          <cell r="AD1807" t="str">
            <v>Good</v>
          </cell>
          <cell r="AE1807" t="str">
            <v>V3 - Added Installed Facilities (New)</v>
          </cell>
          <cell r="AF1807">
            <v>45211</v>
          </cell>
          <cell r="AG1807" t="str">
            <v>NA</v>
          </cell>
          <cell r="AH1807" t="str">
            <v>PPM</v>
          </cell>
          <cell r="AI1807" t="str">
            <v>NA</v>
          </cell>
          <cell r="AJ1807" t="str">
            <v>Proposed for V3 P2.23</v>
          </cell>
          <cell r="AK1807" t="str">
            <v>COME WITH TESLA M3 REMOTE MONITOR (SN:TM3R0947), 2 SPO2 SENSOR, 2 ECG SENSOR. SNF received on 12/10/2023.TRANSFER TO HOSPITAL IPOH</v>
          </cell>
        </row>
        <row r="1808">
          <cell r="A1808" t="str">
            <v>IKN402147</v>
          </cell>
          <cell r="B1808">
            <v>1802</v>
          </cell>
          <cell r="C1808" t="str">
            <v>ION CHAMBER RT - SHARIFAH, PUAN SALIANA</v>
          </cell>
          <cell r="D1808" t="str">
            <v>KKM/IKN/H/22/94</v>
          </cell>
          <cell r="E1808" t="str">
            <v>15-605</v>
          </cell>
          <cell r="F1808" t="str">
            <v>Testers (Ion Chamber Set)</v>
          </cell>
          <cell r="G1808" t="str">
            <v>RT</v>
          </cell>
          <cell r="H1808" t="str">
            <v>RADIATION TREATMENT UNIT</v>
          </cell>
          <cell r="I1808" t="str">
            <v>01RT131</v>
          </cell>
          <cell r="J1808" t="str">
            <v>EQUIPMENT ROOM</v>
          </cell>
          <cell r="K1808" t="str">
            <v>BMED</v>
          </cell>
          <cell r="L1808" t="str">
            <v>Normal</v>
          </cell>
          <cell r="M1808" t="str">
            <v>Germany</v>
          </cell>
          <cell r="N1808" t="str">
            <v>IBA</v>
          </cell>
          <cell r="O1808" t="str">
            <v>DOSE 1</v>
          </cell>
          <cell r="P1808">
            <v>34597</v>
          </cell>
          <cell r="Q1808" t="str">
            <v>Not Available</v>
          </cell>
          <cell r="R1808" t="str">
            <v>IBA Dosimetry Gmbh</v>
          </cell>
          <cell r="S1808" t="str">
            <v>Meditek Equipment</v>
          </cell>
          <cell r="T1808" t="str">
            <v>Functioning</v>
          </cell>
          <cell r="U1808" t="str">
            <v>Asset</v>
          </cell>
          <cell r="V1808">
            <v>142000</v>
          </cell>
          <cell r="W1808" t="str">
            <v>KEW</v>
          </cell>
          <cell r="X1808">
            <v>44831</v>
          </cell>
          <cell r="Y1808" t="str">
            <v>KEW</v>
          </cell>
          <cell r="Z1808">
            <v>44866</v>
          </cell>
          <cell r="AA1808">
            <v>45231</v>
          </cell>
          <cell r="AB1808" t="str">
            <v>No</v>
          </cell>
          <cell r="AC1808">
            <v>44866</v>
          </cell>
          <cell r="AD1808" t="str">
            <v>Good</v>
          </cell>
          <cell r="AE1808" t="str">
            <v>V3 - Added Installed Facilities (New)</v>
          </cell>
          <cell r="AF1808">
            <v>45008</v>
          </cell>
          <cell r="AG1808" t="str">
            <v>NA</v>
          </cell>
          <cell r="AH1808" t="str">
            <v>PPM</v>
          </cell>
          <cell r="AI1808" t="str">
            <v>NA</v>
          </cell>
          <cell r="AJ1808" t="str">
            <v>Strands V3 P1.23</v>
          </cell>
          <cell r="AK1808" t="str">
            <v>1 Electrometer and 3 Ion Chamber [FC65-G SN:6033, PPC40 SN:2373, CC04 SN:19930]</v>
          </cell>
        </row>
        <row r="1809">
          <cell r="A1809" t="str">
            <v>IKN402148</v>
          </cell>
          <cell r="B1809">
            <v>1803</v>
          </cell>
          <cell r="C1809" t="str">
            <v>LAPAROSCOPE: KKM/IKN/H/22/68; SEKALI DENGAN SPY PHI - FAEZAH, PUAN SALIANA</v>
          </cell>
          <cell r="D1809" t="str">
            <v>KKM/IKN/H/22/68</v>
          </cell>
          <cell r="G1809" t="str">
            <v>OT</v>
          </cell>
          <cell r="I1809" t="str">
            <v>05OT105</v>
          </cell>
          <cell r="K1809" t="str">
            <v>BMED</v>
          </cell>
          <cell r="L1809" t="str">
            <v>Normal</v>
          </cell>
          <cell r="P1809" t="str">
            <v>HH1001/HH1002/HH1003</v>
          </cell>
          <cell r="S1809" t="str">
            <v>EASMED SDN BHD</v>
          </cell>
          <cell r="V1809">
            <v>198500</v>
          </cell>
          <cell r="X1809">
            <v>45542</v>
          </cell>
          <cell r="Z1809">
            <v>44827</v>
          </cell>
          <cell r="AA1809">
            <v>45192</v>
          </cell>
          <cell r="AB1809" t="str">
            <v>NO</v>
          </cell>
          <cell r="AC1809">
            <v>44827</v>
          </cell>
          <cell r="AF1809">
            <v>45008</v>
          </cell>
          <cell r="AI1809" t="str">
            <v>Strands</v>
          </cell>
          <cell r="AJ1809" t="str">
            <v>Strands V3 P1.23</v>
          </cell>
        </row>
        <row r="1810">
          <cell r="A1810" t="str">
            <v>IKN402149</v>
          </cell>
          <cell r="B1810">
            <v>1804</v>
          </cell>
          <cell r="C1810" t="str">
            <v>Institut Kanser Negara</v>
          </cell>
          <cell r="D1810" t="str">
            <v>KKM/IKN/H/23/28</v>
          </cell>
          <cell r="E1810" t="str">
            <v>18-229</v>
          </cell>
          <cell r="F1810" t="str">
            <v>Electrosurgical Units, Monopolar</v>
          </cell>
          <cell r="G1810" t="str">
            <v>OT</v>
          </cell>
          <cell r="H1810" t="str">
            <v>OPERATING THEATRE</v>
          </cell>
          <cell r="I1810" t="str">
            <v>05OT161</v>
          </cell>
          <cell r="J1810" t="str">
            <v>OPERATION THEATRE</v>
          </cell>
          <cell r="K1810" t="str">
            <v>BMED</v>
          </cell>
          <cell r="L1810" t="str">
            <v>Normal</v>
          </cell>
          <cell r="M1810" t="str">
            <v>USA</v>
          </cell>
          <cell r="N1810" t="str">
            <v>COVIDIEN</v>
          </cell>
          <cell r="O1810" t="str">
            <v>VLLS10GEN</v>
          </cell>
          <cell r="P1810" t="str">
            <v>L22K0502GX</v>
          </cell>
          <cell r="Q1810" t="str">
            <v>Not Applicable</v>
          </cell>
          <cell r="R1810" t="str">
            <v>Covidien LLC</v>
          </cell>
          <cell r="S1810" t="str">
            <v>J&amp;J MURNI SDN BHD</v>
          </cell>
          <cell r="T1810" t="str">
            <v>Functioning</v>
          </cell>
          <cell r="U1810" t="str">
            <v>Asset</v>
          </cell>
          <cell r="V1810">
            <v>111330</v>
          </cell>
          <cell r="W1810" t="str">
            <v>KEW</v>
          </cell>
          <cell r="X1810">
            <v>45090</v>
          </cell>
          <cell r="Y1810" t="str">
            <v>KEW</v>
          </cell>
          <cell r="Z1810">
            <v>45125</v>
          </cell>
          <cell r="AA1810" t="str">
            <v>31/4/2024</v>
          </cell>
          <cell r="AB1810" t="str">
            <v>No</v>
          </cell>
          <cell r="AC1810">
            <v>45125</v>
          </cell>
          <cell r="AD1810" t="str">
            <v>Good</v>
          </cell>
          <cell r="AE1810" t="str">
            <v>V3 - Added Installed Facilities (New)</v>
          </cell>
          <cell r="AF1810">
            <v>45245</v>
          </cell>
          <cell r="AG1810" t="str">
            <v>NA</v>
          </cell>
          <cell r="AH1810" t="str">
            <v>PPM</v>
          </cell>
          <cell r="AI1810" t="str">
            <v>Strands</v>
          </cell>
          <cell r="AJ1810" t="str">
            <v>Proposed for V3 P2.23</v>
          </cell>
          <cell r="AK1810" t="str">
            <v>SNF received on 15/11/2023. PIC: Hidayah, Asset Donation.</v>
          </cell>
        </row>
        <row r="1811">
          <cell r="A1811" t="str">
            <v>IKN402152</v>
          </cell>
          <cell r="B1811">
            <v>1807</v>
          </cell>
          <cell r="C1811" t="str">
            <v>Institut Kanser Negara</v>
          </cell>
          <cell r="D1811" t="str">
            <v>KKM/IKN/H/23/51</v>
          </cell>
          <cell r="E1811" t="str">
            <v>13-215</v>
          </cell>
          <cell r="F1811" t="str">
            <v>Infusion Pumps, General-Purpose</v>
          </cell>
          <cell r="G1811" t="str">
            <v>WJ</v>
          </cell>
          <cell r="H1811" t="str">
            <v>MULTIDISCIPLINE WARD 1</v>
          </cell>
          <cell r="I1811" t="str">
            <v>09WJ130</v>
          </cell>
          <cell r="J1811" t="str">
            <v>TREATMENT/ PROCEDURE</v>
          </cell>
          <cell r="K1811" t="str">
            <v>BMED</v>
          </cell>
          <cell r="M1811" t="str">
            <v>China</v>
          </cell>
          <cell r="N1811" t="str">
            <v>Medcaptain</v>
          </cell>
          <cell r="O1811" t="str">
            <v>HP 60</v>
          </cell>
          <cell r="P1811">
            <v>6012310000152</v>
          </cell>
          <cell r="Q1811" t="str">
            <v>Not Applicable</v>
          </cell>
          <cell r="R1811" t="str">
            <v>MedCaptain Medical Technology</v>
          </cell>
          <cell r="S1811" t="str">
            <v>Atalis Healthcare Sdn Bhd</v>
          </cell>
          <cell r="T1811" t="str">
            <v>Functioning</v>
          </cell>
          <cell r="U1811" t="str">
            <v>Asset</v>
          </cell>
          <cell r="V1811">
            <v>3500</v>
          </cell>
          <cell r="W1811" t="str">
            <v>KEW</v>
          </cell>
          <cell r="X1811">
            <v>45268</v>
          </cell>
          <cell r="Y1811" t="str">
            <v>KEW</v>
          </cell>
          <cell r="Z1811">
            <v>45272</v>
          </cell>
          <cell r="AA1811">
            <v>45637</v>
          </cell>
          <cell r="AB1811" t="str">
            <v>YES</v>
          </cell>
          <cell r="AC1811">
            <v>45272</v>
          </cell>
          <cell r="AD1811" t="str">
            <v>Good</v>
          </cell>
          <cell r="AE1811" t="str">
            <v>V3 - Added Installed Facilities (New)</v>
          </cell>
          <cell r="AF1811">
            <v>45272</v>
          </cell>
          <cell r="AG1811" t="str">
            <v>NA</v>
          </cell>
          <cell r="AH1811" t="str">
            <v>PPM</v>
          </cell>
          <cell r="AI1811" t="str">
            <v>NA</v>
          </cell>
          <cell r="AJ1811" t="str">
            <v>Proposed for V3 P1.24</v>
          </cell>
          <cell r="AK1811" t="str">
            <v>PIC: Anis, TnC on 12/12/2023</v>
          </cell>
        </row>
        <row r="1812">
          <cell r="A1812" t="str">
            <v>IKN402153</v>
          </cell>
          <cell r="B1812">
            <v>1808</v>
          </cell>
          <cell r="C1812" t="str">
            <v>Institut Kanser Negara</v>
          </cell>
          <cell r="D1812" t="str">
            <v>KKM/IKN/H/23/50</v>
          </cell>
          <cell r="E1812" t="str">
            <v>13-215</v>
          </cell>
          <cell r="F1812" t="str">
            <v>Infusion Pumps, General-Purpose</v>
          </cell>
          <cell r="G1812" t="str">
            <v>WJ</v>
          </cell>
          <cell r="H1812" t="str">
            <v>MULTIDISCIPLINE WARD 1</v>
          </cell>
          <cell r="I1812" t="str">
            <v>09WJ130</v>
          </cell>
          <cell r="J1812" t="str">
            <v>TREATMENT/ PROCEDURE</v>
          </cell>
          <cell r="K1812" t="str">
            <v>BMED</v>
          </cell>
          <cell r="M1812" t="str">
            <v>China</v>
          </cell>
          <cell r="N1812" t="str">
            <v>Medcaptain</v>
          </cell>
          <cell r="O1812" t="str">
            <v>HP 60</v>
          </cell>
          <cell r="P1812">
            <v>6012310000125</v>
          </cell>
          <cell r="Q1812" t="str">
            <v>Not Applicable</v>
          </cell>
          <cell r="R1812" t="str">
            <v>MedCaptain Medical Technology</v>
          </cell>
          <cell r="S1812" t="str">
            <v>Atalis Healthcare Sdn Bhd</v>
          </cell>
          <cell r="T1812" t="str">
            <v>Functioning</v>
          </cell>
          <cell r="U1812" t="str">
            <v>Asset</v>
          </cell>
          <cell r="V1812">
            <v>3500</v>
          </cell>
          <cell r="W1812" t="str">
            <v>KEW</v>
          </cell>
          <cell r="X1812">
            <v>45268</v>
          </cell>
          <cell r="Y1812" t="str">
            <v>KEW</v>
          </cell>
          <cell r="Z1812">
            <v>45272</v>
          </cell>
          <cell r="AA1812">
            <v>45637</v>
          </cell>
          <cell r="AB1812" t="str">
            <v>YES</v>
          </cell>
          <cell r="AC1812">
            <v>45272</v>
          </cell>
          <cell r="AD1812" t="str">
            <v>Good</v>
          </cell>
          <cell r="AE1812" t="str">
            <v>V3 - Added Installed Facilities (New)</v>
          </cell>
          <cell r="AF1812">
            <v>45272</v>
          </cell>
          <cell r="AG1812" t="str">
            <v>NA</v>
          </cell>
          <cell r="AH1812" t="str">
            <v>PPM</v>
          </cell>
          <cell r="AI1812" t="str">
            <v>NA</v>
          </cell>
          <cell r="AJ1812" t="str">
            <v>Proposed for V3 P1.24</v>
          </cell>
          <cell r="AK1812" t="str">
            <v>PIC: Anis, TnC on 12/12/2023</v>
          </cell>
        </row>
        <row r="1813">
          <cell r="A1813" t="str">
            <v>IKN402154</v>
          </cell>
          <cell r="B1813">
            <v>1809</v>
          </cell>
          <cell r="C1813" t="str">
            <v>Institut Kanser Negara</v>
          </cell>
          <cell r="D1813" t="str">
            <v>KKM/IKN/H/23/48</v>
          </cell>
          <cell r="E1813" t="str">
            <v>13-215</v>
          </cell>
          <cell r="F1813" t="str">
            <v>Infusion Pumps, General-Purpose</v>
          </cell>
          <cell r="G1813" t="str">
            <v>WG</v>
          </cell>
          <cell r="H1813" t="str">
            <v>RT/ONCO WARD 1 (M)</v>
          </cell>
          <cell r="I1813" t="str">
            <v>08WG107</v>
          </cell>
          <cell r="J1813" t="str">
            <v>TREATMENT / PROCEDURE</v>
          </cell>
          <cell r="K1813" t="str">
            <v>BMED</v>
          </cell>
          <cell r="M1813" t="str">
            <v>China</v>
          </cell>
          <cell r="N1813" t="str">
            <v>Medcaptain</v>
          </cell>
          <cell r="O1813" t="str">
            <v>HP 60</v>
          </cell>
          <cell r="P1813">
            <v>6012310000116</v>
          </cell>
          <cell r="Q1813" t="str">
            <v>Not Applicable</v>
          </cell>
          <cell r="R1813" t="str">
            <v>MedCaptain Medical Technology</v>
          </cell>
          <cell r="S1813" t="str">
            <v>Atalis Healthcare Sdn Bhd</v>
          </cell>
          <cell r="T1813" t="str">
            <v>Functioning</v>
          </cell>
          <cell r="U1813" t="str">
            <v>Asset</v>
          </cell>
          <cell r="V1813">
            <v>3500</v>
          </cell>
          <cell r="W1813" t="str">
            <v>KEW</v>
          </cell>
          <cell r="X1813">
            <v>45268</v>
          </cell>
          <cell r="Y1813" t="str">
            <v>KEW</v>
          </cell>
          <cell r="Z1813">
            <v>45272</v>
          </cell>
          <cell r="AA1813">
            <v>45637</v>
          </cell>
          <cell r="AB1813" t="str">
            <v>YES</v>
          </cell>
          <cell r="AC1813">
            <v>45272</v>
          </cell>
          <cell r="AD1813" t="str">
            <v>Good</v>
          </cell>
          <cell r="AE1813" t="str">
            <v>V3 - Added Installed Facilities (New)</v>
          </cell>
          <cell r="AF1813">
            <v>45272</v>
          </cell>
          <cell r="AG1813" t="str">
            <v>NA</v>
          </cell>
          <cell r="AH1813" t="str">
            <v>PPM</v>
          </cell>
          <cell r="AI1813" t="str">
            <v>NA</v>
          </cell>
          <cell r="AJ1813" t="str">
            <v>Proposed for V3 P1.24</v>
          </cell>
          <cell r="AK1813" t="str">
            <v>PIC: Anis, TnC on 12/12/2023</v>
          </cell>
        </row>
        <row r="1814">
          <cell r="A1814" t="str">
            <v>IKN402155</v>
          </cell>
          <cell r="B1814">
            <v>1810</v>
          </cell>
          <cell r="C1814" t="str">
            <v>Institut Kanser Negara</v>
          </cell>
          <cell r="D1814" t="str">
            <v>KKM/IKN/H/23/49</v>
          </cell>
          <cell r="E1814" t="str">
            <v>13-215</v>
          </cell>
          <cell r="F1814" t="str">
            <v>Infusion Pumps, General-Purpose</v>
          </cell>
          <cell r="G1814" t="str">
            <v>WG</v>
          </cell>
          <cell r="H1814" t="str">
            <v>RT/ONCO WARD 1 (M)</v>
          </cell>
          <cell r="I1814" t="str">
            <v>08WG107</v>
          </cell>
          <cell r="J1814" t="str">
            <v>TREATMENT / PROCEDURE</v>
          </cell>
          <cell r="K1814" t="str">
            <v>BMED</v>
          </cell>
          <cell r="M1814" t="str">
            <v>China</v>
          </cell>
          <cell r="N1814" t="str">
            <v>Medcaptain</v>
          </cell>
          <cell r="O1814" t="str">
            <v>HP 60</v>
          </cell>
          <cell r="P1814">
            <v>6012310000119</v>
          </cell>
          <cell r="Q1814" t="str">
            <v>Not Applicable</v>
          </cell>
          <cell r="R1814" t="str">
            <v>MedCaptain Medical Technology</v>
          </cell>
          <cell r="S1814" t="str">
            <v>Atalis Healthcare Sdn Bhd</v>
          </cell>
          <cell r="T1814" t="str">
            <v>Functioning</v>
          </cell>
          <cell r="U1814" t="str">
            <v>Asset</v>
          </cell>
          <cell r="V1814">
            <v>3500</v>
          </cell>
          <cell r="W1814" t="str">
            <v>KEW</v>
          </cell>
          <cell r="X1814">
            <v>45268</v>
          </cell>
          <cell r="Y1814" t="str">
            <v>KEW</v>
          </cell>
          <cell r="Z1814">
            <v>45272</v>
          </cell>
          <cell r="AA1814">
            <v>45637</v>
          </cell>
          <cell r="AB1814" t="str">
            <v>YES</v>
          </cell>
          <cell r="AC1814">
            <v>45272</v>
          </cell>
          <cell r="AD1814" t="str">
            <v>Good</v>
          </cell>
          <cell r="AE1814" t="str">
            <v>V3 - Added Installed Facilities (New)</v>
          </cell>
          <cell r="AF1814">
            <v>45272</v>
          </cell>
          <cell r="AG1814" t="str">
            <v>NA</v>
          </cell>
          <cell r="AH1814" t="str">
            <v>PPM</v>
          </cell>
          <cell r="AI1814" t="str">
            <v>NA</v>
          </cell>
          <cell r="AJ1814" t="str">
            <v>Proposed for V3 P1.24</v>
          </cell>
          <cell r="AK1814" t="str">
            <v>PIC: Anis, TnC on 12/12/2023</v>
          </cell>
        </row>
        <row r="1815">
          <cell r="A1815" t="str">
            <v>IKN402156</v>
          </cell>
          <cell r="B1815">
            <v>1811</v>
          </cell>
          <cell r="C1815" t="str">
            <v>Institut Kanser Negara</v>
          </cell>
          <cell r="D1815" t="str">
            <v>KKM/IKN/H/23/47</v>
          </cell>
          <cell r="E1815" t="str">
            <v>13-215</v>
          </cell>
          <cell r="F1815" t="str">
            <v>Infusion Pumps, General-Purpose</v>
          </cell>
          <cell r="G1815" t="str">
            <v>WH</v>
          </cell>
          <cell r="H1815" t="str">
            <v>RT/ONCO WARD 2 (M)</v>
          </cell>
          <cell r="I1815" t="str">
            <v>08WH107</v>
          </cell>
          <cell r="J1815" t="str">
            <v>TREATMENT / PROCEDURE</v>
          </cell>
          <cell r="K1815" t="str">
            <v>BMED</v>
          </cell>
          <cell r="M1815" t="str">
            <v>China</v>
          </cell>
          <cell r="N1815" t="str">
            <v>Medcaptain</v>
          </cell>
          <cell r="O1815" t="str">
            <v>HP 60</v>
          </cell>
          <cell r="P1815">
            <v>6012310000098</v>
          </cell>
          <cell r="Q1815" t="str">
            <v>Not Applicable</v>
          </cell>
          <cell r="R1815" t="str">
            <v>MedCaptain Medical Technology</v>
          </cell>
          <cell r="S1815" t="str">
            <v>Atalis Healthcare Sdn Bhd</v>
          </cell>
          <cell r="T1815" t="str">
            <v>Functioning</v>
          </cell>
          <cell r="U1815" t="str">
            <v>Asset</v>
          </cell>
          <cell r="V1815">
            <v>3500</v>
          </cell>
          <cell r="W1815" t="str">
            <v>KEW</v>
          </cell>
          <cell r="X1815">
            <v>45268</v>
          </cell>
          <cell r="Y1815" t="str">
            <v>KEW</v>
          </cell>
          <cell r="Z1815">
            <v>45272</v>
          </cell>
          <cell r="AA1815">
            <v>45637</v>
          </cell>
          <cell r="AB1815" t="str">
            <v>YES</v>
          </cell>
          <cell r="AC1815">
            <v>45272</v>
          </cell>
          <cell r="AD1815" t="str">
            <v>Good</v>
          </cell>
          <cell r="AE1815" t="str">
            <v>V3 - Added Installed Facilities (New)</v>
          </cell>
          <cell r="AF1815">
            <v>45272</v>
          </cell>
          <cell r="AG1815" t="str">
            <v>NA</v>
          </cell>
          <cell r="AH1815" t="str">
            <v>PPM</v>
          </cell>
          <cell r="AI1815" t="str">
            <v>NA</v>
          </cell>
          <cell r="AJ1815" t="str">
            <v>Proposed for V3 P1.24</v>
          </cell>
          <cell r="AK1815" t="str">
            <v>PIC: Anis, TnC on 12/12/2023</v>
          </cell>
        </row>
        <row r="1816">
          <cell r="A1816" t="str">
            <v>IKN402157</v>
          </cell>
          <cell r="B1816">
            <v>1812</v>
          </cell>
          <cell r="C1816" t="str">
            <v>Institut Kanser Negara</v>
          </cell>
          <cell r="D1816" t="str">
            <v>KKM/IKN/H/23/46</v>
          </cell>
          <cell r="E1816" t="str">
            <v>13-215</v>
          </cell>
          <cell r="F1816" t="str">
            <v>Infusion Pumps, General-Purpose</v>
          </cell>
          <cell r="G1816" t="str">
            <v>WH</v>
          </cell>
          <cell r="H1816" t="str">
            <v>RT/ONCO WARD 2 (M)</v>
          </cell>
          <cell r="I1816" t="str">
            <v>08WH107</v>
          </cell>
          <cell r="J1816" t="str">
            <v>TREATMENT / PROCEDURE</v>
          </cell>
          <cell r="K1816" t="str">
            <v>BMED</v>
          </cell>
          <cell r="M1816" t="str">
            <v>China</v>
          </cell>
          <cell r="N1816" t="str">
            <v>Medcaptain</v>
          </cell>
          <cell r="O1816" t="str">
            <v>HP 60</v>
          </cell>
          <cell r="P1816">
            <v>6012310000046</v>
          </cell>
          <cell r="Q1816" t="str">
            <v>Not Applicable</v>
          </cell>
          <cell r="R1816" t="str">
            <v>MedCaptain Medical Technology</v>
          </cell>
          <cell r="S1816" t="str">
            <v>Atalis Healthcare Sdn Bhd</v>
          </cell>
          <cell r="T1816" t="str">
            <v>Functioning</v>
          </cell>
          <cell r="U1816" t="str">
            <v>Asset</v>
          </cell>
          <cell r="V1816">
            <v>3500</v>
          </cell>
          <cell r="W1816" t="str">
            <v>KEW</v>
          </cell>
          <cell r="X1816">
            <v>45268</v>
          </cell>
          <cell r="Y1816" t="str">
            <v>KEW</v>
          </cell>
          <cell r="Z1816">
            <v>45272</v>
          </cell>
          <cell r="AA1816">
            <v>45637</v>
          </cell>
          <cell r="AB1816" t="str">
            <v>YES</v>
          </cell>
          <cell r="AC1816">
            <v>45272</v>
          </cell>
          <cell r="AD1816" t="str">
            <v>Good</v>
          </cell>
          <cell r="AE1816" t="str">
            <v>V3 - Added Installed Facilities (New)</v>
          </cell>
          <cell r="AF1816">
            <v>45272</v>
          </cell>
          <cell r="AG1816" t="str">
            <v>NA</v>
          </cell>
          <cell r="AH1816" t="str">
            <v>PPM</v>
          </cell>
          <cell r="AI1816" t="str">
            <v>NA</v>
          </cell>
          <cell r="AJ1816" t="str">
            <v>Proposed for V3 P1.24</v>
          </cell>
          <cell r="AK1816" t="str">
            <v>PIC: Anis, TnC on 12/12/2023</v>
          </cell>
        </row>
        <row r="1817">
          <cell r="A1817" t="str">
            <v>IKN402158</v>
          </cell>
          <cell r="B1817">
            <v>1813</v>
          </cell>
          <cell r="C1817" t="str">
            <v>Institut Kanser Negara</v>
          </cell>
          <cell r="D1817" t="str">
            <v>KKM/IKN/H/23/45</v>
          </cell>
          <cell r="E1817" t="str">
            <v>13-215</v>
          </cell>
          <cell r="F1817" t="str">
            <v>Infusion Pumps, General-Purpose</v>
          </cell>
          <cell r="G1817" t="str">
            <v>WE</v>
          </cell>
          <cell r="H1817" t="str">
            <v>RT/ONCO WARD 1 (F)</v>
          </cell>
          <cell r="I1817" t="str">
            <v>07WE107</v>
          </cell>
          <cell r="J1817" t="str">
            <v>TREATMENT / PROCESURE</v>
          </cell>
          <cell r="K1817" t="str">
            <v>BMED</v>
          </cell>
          <cell r="M1817" t="str">
            <v>China</v>
          </cell>
          <cell r="N1817" t="str">
            <v>Medcaptain</v>
          </cell>
          <cell r="O1817" t="str">
            <v>HP 60</v>
          </cell>
          <cell r="P1817">
            <v>6012309000192</v>
          </cell>
          <cell r="Q1817" t="str">
            <v>Not Applicable</v>
          </cell>
          <cell r="R1817" t="str">
            <v>MedCaptain Medical Technology</v>
          </cell>
          <cell r="S1817" t="str">
            <v>Atalis Healthcare Sdn Bhd</v>
          </cell>
          <cell r="T1817" t="str">
            <v>Functioning</v>
          </cell>
          <cell r="U1817" t="str">
            <v>Asset</v>
          </cell>
          <cell r="V1817">
            <v>3500</v>
          </cell>
          <cell r="W1817" t="str">
            <v>KEW</v>
          </cell>
          <cell r="X1817">
            <v>45268</v>
          </cell>
          <cell r="Y1817" t="str">
            <v>KEW</v>
          </cell>
          <cell r="Z1817">
            <v>45272</v>
          </cell>
          <cell r="AA1817">
            <v>45637</v>
          </cell>
          <cell r="AB1817" t="str">
            <v>YES</v>
          </cell>
          <cell r="AC1817">
            <v>45272</v>
          </cell>
          <cell r="AD1817" t="str">
            <v>Good</v>
          </cell>
          <cell r="AE1817" t="str">
            <v>V3 - Added Installed Facilities (New)</v>
          </cell>
          <cell r="AF1817">
            <v>45272</v>
          </cell>
          <cell r="AG1817" t="str">
            <v>NA</v>
          </cell>
          <cell r="AH1817" t="str">
            <v>PPM</v>
          </cell>
          <cell r="AI1817" t="str">
            <v>NA</v>
          </cell>
          <cell r="AJ1817" t="str">
            <v>Proposed for V3 P1.24</v>
          </cell>
          <cell r="AK1817" t="str">
            <v>PIC: Anis, TnC on 12/12/2023</v>
          </cell>
        </row>
        <row r="1818">
          <cell r="A1818" t="str">
            <v>IKN402159</v>
          </cell>
          <cell r="B1818">
            <v>1814</v>
          </cell>
          <cell r="C1818" t="str">
            <v>Institut Kanser Negara</v>
          </cell>
          <cell r="D1818" t="str">
            <v>KKM/IKN/H/23/44</v>
          </cell>
          <cell r="E1818" t="str">
            <v>13-215</v>
          </cell>
          <cell r="F1818" t="str">
            <v>Infusion Pumps, General-Purpose</v>
          </cell>
          <cell r="G1818" t="str">
            <v>WE</v>
          </cell>
          <cell r="H1818" t="str">
            <v>RT/ONCO WARD 1 (F)</v>
          </cell>
          <cell r="I1818" t="str">
            <v>07WE107</v>
          </cell>
          <cell r="J1818" t="str">
            <v>TREATMENT / PROCESURE</v>
          </cell>
          <cell r="K1818" t="str">
            <v>BMED</v>
          </cell>
          <cell r="M1818" t="str">
            <v>China</v>
          </cell>
          <cell r="N1818" t="str">
            <v>Medcaptain</v>
          </cell>
          <cell r="O1818" t="str">
            <v>HP 60</v>
          </cell>
          <cell r="P1818">
            <v>6012309000178</v>
          </cell>
          <cell r="Q1818" t="str">
            <v>Not Applicable</v>
          </cell>
          <cell r="R1818" t="str">
            <v>MedCaptain Medical Technology</v>
          </cell>
          <cell r="S1818" t="str">
            <v>Atalis Healthcare Sdn Bhd</v>
          </cell>
          <cell r="T1818" t="str">
            <v>Functioning</v>
          </cell>
          <cell r="U1818" t="str">
            <v>Asset</v>
          </cell>
          <cell r="V1818">
            <v>3500</v>
          </cell>
          <cell r="W1818" t="str">
            <v>KEW</v>
          </cell>
          <cell r="X1818">
            <v>45268</v>
          </cell>
          <cell r="Y1818" t="str">
            <v>KEW</v>
          </cell>
          <cell r="Z1818">
            <v>45272</v>
          </cell>
          <cell r="AA1818">
            <v>45637</v>
          </cell>
          <cell r="AB1818" t="str">
            <v>YES</v>
          </cell>
          <cell r="AC1818">
            <v>45272</v>
          </cell>
          <cell r="AD1818" t="str">
            <v>Good</v>
          </cell>
          <cell r="AE1818" t="str">
            <v>V3 - Added Installed Facilities (New)</v>
          </cell>
          <cell r="AF1818">
            <v>45272</v>
          </cell>
          <cell r="AG1818" t="str">
            <v>NA</v>
          </cell>
          <cell r="AH1818" t="str">
            <v>PPM</v>
          </cell>
          <cell r="AI1818" t="str">
            <v>NA</v>
          </cell>
          <cell r="AJ1818" t="str">
            <v>Proposed for V3 P1.24</v>
          </cell>
          <cell r="AK1818" t="str">
            <v>PIC: Anis, TnC on 12/12/2023</v>
          </cell>
        </row>
        <row r="1819">
          <cell r="A1819" t="str">
            <v>IKN402160</v>
          </cell>
          <cell r="B1819">
            <v>1815</v>
          </cell>
          <cell r="C1819" t="str">
            <v>Institut Kanser Negara</v>
          </cell>
          <cell r="D1819" t="str">
            <v>KKM/IKN/H/23/43</v>
          </cell>
          <cell r="E1819" t="str">
            <v>13-215</v>
          </cell>
          <cell r="F1819" t="str">
            <v>Infusion Pumps, General-Purpose</v>
          </cell>
          <cell r="G1819" t="str">
            <v>WF</v>
          </cell>
          <cell r="H1819" t="str">
            <v>RT/ONCO WARD 2 (F)</v>
          </cell>
          <cell r="I1819" t="str">
            <v>07WF107</v>
          </cell>
          <cell r="J1819" t="str">
            <v>TREATMENT / PROCEDDURE</v>
          </cell>
          <cell r="K1819" t="str">
            <v>BMED</v>
          </cell>
          <cell r="M1819" t="str">
            <v>China</v>
          </cell>
          <cell r="N1819" t="str">
            <v>Medcaptain</v>
          </cell>
          <cell r="O1819" t="str">
            <v>HP 60</v>
          </cell>
          <cell r="P1819">
            <v>6012309000154</v>
          </cell>
          <cell r="Q1819" t="str">
            <v>Not Applicable</v>
          </cell>
          <cell r="R1819" t="str">
            <v>MedCaptain Medical Technology</v>
          </cell>
          <cell r="S1819" t="str">
            <v>Atalis Healthcare Sdn Bhd</v>
          </cell>
          <cell r="T1819" t="str">
            <v>Functioning</v>
          </cell>
          <cell r="U1819" t="str">
            <v>Asset</v>
          </cell>
          <cell r="V1819">
            <v>3500</v>
          </cell>
          <cell r="W1819" t="str">
            <v>KEW</v>
          </cell>
          <cell r="X1819">
            <v>45268</v>
          </cell>
          <cell r="Y1819" t="str">
            <v>KEW</v>
          </cell>
          <cell r="Z1819">
            <v>45272</v>
          </cell>
          <cell r="AA1819">
            <v>45637</v>
          </cell>
          <cell r="AB1819" t="str">
            <v>YES</v>
          </cell>
          <cell r="AC1819">
            <v>45272</v>
          </cell>
          <cell r="AD1819" t="str">
            <v>Good</v>
          </cell>
          <cell r="AE1819" t="str">
            <v>V3 - Added Installed Facilities (New)</v>
          </cell>
          <cell r="AF1819">
            <v>45272</v>
          </cell>
          <cell r="AG1819" t="str">
            <v>NA</v>
          </cell>
          <cell r="AH1819" t="str">
            <v>PPM</v>
          </cell>
          <cell r="AI1819" t="str">
            <v>NA</v>
          </cell>
          <cell r="AJ1819" t="str">
            <v>Proposed for V3 P1.24</v>
          </cell>
          <cell r="AK1819" t="str">
            <v>PIC: Anis, TnC on 12/12/2023</v>
          </cell>
        </row>
        <row r="1820">
          <cell r="A1820" t="str">
            <v>IKN402161</v>
          </cell>
          <cell r="B1820">
            <v>1816</v>
          </cell>
          <cell r="C1820" t="str">
            <v>Institut Kanser Negara</v>
          </cell>
          <cell r="D1820" t="str">
            <v>KKM/IKN/H/23/42</v>
          </cell>
          <cell r="E1820" t="str">
            <v>13-215</v>
          </cell>
          <cell r="F1820" t="str">
            <v>Infusion Pumps, General-Purpose</v>
          </cell>
          <cell r="G1820" t="str">
            <v>WF</v>
          </cell>
          <cell r="H1820" t="str">
            <v>RT/ONCO WARD 2 (F)</v>
          </cell>
          <cell r="I1820" t="str">
            <v>07WF107</v>
          </cell>
          <cell r="J1820" t="str">
            <v>TREATMENT / PROCEDDURE</v>
          </cell>
          <cell r="K1820" t="str">
            <v>BMED</v>
          </cell>
          <cell r="M1820" t="str">
            <v>China</v>
          </cell>
          <cell r="N1820" t="str">
            <v>Medcaptain</v>
          </cell>
          <cell r="O1820" t="str">
            <v>HP 60</v>
          </cell>
          <cell r="P1820">
            <v>6012211000111</v>
          </cell>
          <cell r="Q1820" t="str">
            <v>Not Applicable</v>
          </cell>
          <cell r="R1820" t="str">
            <v>MedCaptain Medical Technology</v>
          </cell>
          <cell r="S1820" t="str">
            <v>Atalis Healthcare Sdn Bhd</v>
          </cell>
          <cell r="T1820" t="str">
            <v>Functioning</v>
          </cell>
          <cell r="U1820" t="str">
            <v>Asset</v>
          </cell>
          <cell r="V1820">
            <v>3500</v>
          </cell>
          <cell r="W1820" t="str">
            <v>KEW</v>
          </cell>
          <cell r="X1820">
            <v>45268</v>
          </cell>
          <cell r="Y1820" t="str">
            <v>KEW</v>
          </cell>
          <cell r="Z1820">
            <v>45272</v>
          </cell>
          <cell r="AA1820">
            <v>45637</v>
          </cell>
          <cell r="AB1820" t="str">
            <v>YES</v>
          </cell>
          <cell r="AC1820">
            <v>45272</v>
          </cell>
          <cell r="AD1820" t="str">
            <v>Good</v>
          </cell>
          <cell r="AE1820" t="str">
            <v>V3 - Added Installed Facilities (New)</v>
          </cell>
          <cell r="AF1820">
            <v>45272</v>
          </cell>
          <cell r="AG1820" t="str">
            <v>NA</v>
          </cell>
          <cell r="AH1820" t="str">
            <v>PPM</v>
          </cell>
          <cell r="AI1820" t="str">
            <v>NA</v>
          </cell>
          <cell r="AJ1820" t="str">
            <v>Proposed for V3 P1.24</v>
          </cell>
          <cell r="AK1820" t="str">
            <v>PIC: Anis, TnC on 12/12/2023</v>
          </cell>
        </row>
        <row r="1821">
          <cell r="A1821" t="str">
            <v>IKN402162</v>
          </cell>
          <cell r="B1821">
            <v>1817</v>
          </cell>
          <cell r="C1821" t="str">
            <v>Institut Kanser Negara</v>
          </cell>
          <cell r="D1821" t="str">
            <v>KKM/IKN/H/23/41</v>
          </cell>
          <cell r="E1821" t="str">
            <v>13-215</v>
          </cell>
          <cell r="F1821" t="str">
            <v>Infusion Pumps, General-Purpose</v>
          </cell>
          <cell r="G1821" t="str">
            <v>WC</v>
          </cell>
          <cell r="H1821" t="str">
            <v>SURGICAL ONCO FEMALE WARD</v>
          </cell>
          <cell r="I1821" t="str">
            <v>06WC107</v>
          </cell>
          <cell r="J1821" t="str">
            <v>TREATMENT / PROCEDURE</v>
          </cell>
          <cell r="K1821" t="str">
            <v>BMED</v>
          </cell>
          <cell r="M1821" t="str">
            <v>China</v>
          </cell>
          <cell r="N1821" t="str">
            <v>Medcaptain</v>
          </cell>
          <cell r="O1821" t="str">
            <v>HP 60</v>
          </cell>
          <cell r="P1821">
            <v>6012211000104</v>
          </cell>
          <cell r="Q1821" t="str">
            <v>Not Applicable</v>
          </cell>
          <cell r="R1821" t="str">
            <v>MedCaptain Medical Technology</v>
          </cell>
          <cell r="S1821" t="str">
            <v>Atalis Healthcare Sdn Bhd</v>
          </cell>
          <cell r="T1821" t="str">
            <v>Functioning</v>
          </cell>
          <cell r="U1821" t="str">
            <v>Asset</v>
          </cell>
          <cell r="V1821">
            <v>3500</v>
          </cell>
          <cell r="W1821" t="str">
            <v>KEW</v>
          </cell>
          <cell r="X1821">
            <v>45268</v>
          </cell>
          <cell r="Y1821" t="str">
            <v>KEW</v>
          </cell>
          <cell r="Z1821">
            <v>45272</v>
          </cell>
          <cell r="AA1821">
            <v>45637</v>
          </cell>
          <cell r="AB1821" t="str">
            <v>YES</v>
          </cell>
          <cell r="AC1821">
            <v>45272</v>
          </cell>
          <cell r="AD1821" t="str">
            <v>Good</v>
          </cell>
          <cell r="AE1821" t="str">
            <v>V3 - Added Installed Facilities (New)</v>
          </cell>
          <cell r="AF1821">
            <v>45272</v>
          </cell>
          <cell r="AG1821" t="str">
            <v>NA</v>
          </cell>
          <cell r="AH1821" t="str">
            <v>PPM</v>
          </cell>
          <cell r="AI1821" t="str">
            <v>NA</v>
          </cell>
          <cell r="AJ1821" t="str">
            <v>Proposed for V3 P1.24</v>
          </cell>
          <cell r="AK1821" t="str">
            <v>PIC: Anis, TnC on 12/12/2023</v>
          </cell>
        </row>
        <row r="1822">
          <cell r="A1822" t="str">
            <v>IKN402163</v>
          </cell>
          <cell r="B1822">
            <v>1818</v>
          </cell>
          <cell r="C1822" t="str">
            <v>Institut Kanser Negara</v>
          </cell>
          <cell r="D1822" t="str">
            <v>KKM/IKN/H/23/40</v>
          </cell>
          <cell r="E1822" t="str">
            <v>13-215</v>
          </cell>
          <cell r="F1822" t="str">
            <v>Infusion Pumps, General-Purpose</v>
          </cell>
          <cell r="G1822" t="str">
            <v>WC</v>
          </cell>
          <cell r="H1822" t="str">
            <v>SURGICAL ONCO FEMALE WARD</v>
          </cell>
          <cell r="I1822" t="str">
            <v>06WC107</v>
          </cell>
          <cell r="J1822" t="str">
            <v>TREATMENT / PROCEDURE</v>
          </cell>
          <cell r="K1822" t="str">
            <v>BMED</v>
          </cell>
          <cell r="M1822" t="str">
            <v>China</v>
          </cell>
          <cell r="N1822" t="str">
            <v>Medcaptain</v>
          </cell>
          <cell r="O1822" t="str">
            <v>HP 60</v>
          </cell>
          <cell r="P1822">
            <v>6012211000036</v>
          </cell>
          <cell r="Q1822" t="str">
            <v>Not Applicable</v>
          </cell>
          <cell r="R1822" t="str">
            <v>MedCaptain Medical Technology</v>
          </cell>
          <cell r="S1822" t="str">
            <v>Atalis Healthcare Sdn Bhd</v>
          </cell>
          <cell r="T1822" t="str">
            <v>Functioning</v>
          </cell>
          <cell r="U1822" t="str">
            <v>Asset</v>
          </cell>
          <cell r="V1822">
            <v>3500</v>
          </cell>
          <cell r="W1822" t="str">
            <v>KEW</v>
          </cell>
          <cell r="X1822">
            <v>45268</v>
          </cell>
          <cell r="Y1822" t="str">
            <v>KEW</v>
          </cell>
          <cell r="Z1822">
            <v>45272</v>
          </cell>
          <cell r="AA1822">
            <v>45637</v>
          </cell>
          <cell r="AB1822" t="str">
            <v>YES</v>
          </cell>
          <cell r="AC1822">
            <v>45272</v>
          </cell>
          <cell r="AD1822" t="str">
            <v>Good</v>
          </cell>
          <cell r="AE1822" t="str">
            <v>V3 - Added Installed Facilities (New)</v>
          </cell>
          <cell r="AF1822">
            <v>45272</v>
          </cell>
          <cell r="AG1822" t="str">
            <v>NA</v>
          </cell>
          <cell r="AH1822" t="str">
            <v>PPM</v>
          </cell>
          <cell r="AI1822" t="str">
            <v>NA</v>
          </cell>
          <cell r="AJ1822" t="str">
            <v>Proposed for V3 P1.24</v>
          </cell>
          <cell r="AK1822" t="str">
            <v>PIC: Anis, TnC on 12/12/2023</v>
          </cell>
        </row>
        <row r="1823">
          <cell r="A1823" t="str">
            <v>IKN402164</v>
          </cell>
          <cell r="B1823">
            <v>1819</v>
          </cell>
          <cell r="C1823" t="str">
            <v>Institut Kanser Negara</v>
          </cell>
          <cell r="D1823" t="str">
            <v>KKM/IKN/H/23/39</v>
          </cell>
          <cell r="E1823" t="str">
            <v>13-215</v>
          </cell>
          <cell r="F1823" t="str">
            <v>Infusion Pumps, General-Purpose</v>
          </cell>
          <cell r="G1823" t="str">
            <v>WC</v>
          </cell>
          <cell r="H1823" t="str">
            <v>SURGICAL ONCO FEMALE WARD</v>
          </cell>
          <cell r="I1823" t="str">
            <v>06WC107</v>
          </cell>
          <cell r="J1823" t="str">
            <v>TREATMENT / PROCEDURE</v>
          </cell>
          <cell r="K1823" t="str">
            <v>BMED</v>
          </cell>
          <cell r="M1823" t="str">
            <v>China</v>
          </cell>
          <cell r="N1823" t="str">
            <v>Medcaptain</v>
          </cell>
          <cell r="O1823" t="str">
            <v>HP 60</v>
          </cell>
          <cell r="P1823">
            <v>6012211000036</v>
          </cell>
          <cell r="Q1823" t="str">
            <v>Not Applicable</v>
          </cell>
          <cell r="R1823" t="str">
            <v>MedCaptain Medical Technology</v>
          </cell>
          <cell r="S1823" t="str">
            <v>Atalis Healthcare Sdn Bhd</v>
          </cell>
          <cell r="T1823" t="str">
            <v>Functioning</v>
          </cell>
          <cell r="U1823" t="str">
            <v>Asset</v>
          </cell>
          <cell r="V1823">
            <v>3500</v>
          </cell>
          <cell r="W1823" t="str">
            <v>KEW</v>
          </cell>
          <cell r="X1823">
            <v>45268</v>
          </cell>
          <cell r="Y1823" t="str">
            <v>KEW</v>
          </cell>
          <cell r="Z1823">
            <v>45272</v>
          </cell>
          <cell r="AA1823">
            <v>45637</v>
          </cell>
          <cell r="AB1823" t="str">
            <v>YES</v>
          </cell>
          <cell r="AC1823">
            <v>45272</v>
          </cell>
          <cell r="AD1823" t="str">
            <v>Good</v>
          </cell>
          <cell r="AE1823" t="str">
            <v>V3 - Added Installed Facilities (New)</v>
          </cell>
          <cell r="AF1823">
            <v>45272</v>
          </cell>
          <cell r="AG1823" t="str">
            <v>NA</v>
          </cell>
          <cell r="AH1823" t="str">
            <v>PPM</v>
          </cell>
          <cell r="AI1823" t="str">
            <v>NA</v>
          </cell>
          <cell r="AJ1823" t="str">
            <v>Proposed for V3 P1.24</v>
          </cell>
          <cell r="AK1823" t="str">
            <v>PIC: Anis, TnC on 12/12/2023</v>
          </cell>
        </row>
        <row r="1824">
          <cell r="A1824" t="str">
            <v>IKN402165</v>
          </cell>
          <cell r="B1824">
            <v>1820</v>
          </cell>
          <cell r="C1824" t="str">
            <v>Institut Kanser Negara</v>
          </cell>
          <cell r="D1824" t="str">
            <v>KKM/IKN/H/23/38</v>
          </cell>
          <cell r="E1824" t="str">
            <v>13-215</v>
          </cell>
          <cell r="F1824" t="str">
            <v>Infusion Pumps, General-Purpose</v>
          </cell>
          <cell r="G1824" t="str">
            <v>WB</v>
          </cell>
          <cell r="H1824" t="str">
            <v>SURGICAL ONCO MALE WARD</v>
          </cell>
          <cell r="I1824" t="str">
            <v>05WB107</v>
          </cell>
          <cell r="J1824" t="str">
            <v>TREATMENT / PROCEDURE</v>
          </cell>
          <cell r="K1824" t="str">
            <v>BMED</v>
          </cell>
          <cell r="L1824" t="str">
            <v>NORMAL</v>
          </cell>
          <cell r="M1824" t="str">
            <v>China</v>
          </cell>
          <cell r="N1824" t="str">
            <v>Medcaptain</v>
          </cell>
          <cell r="O1824" t="str">
            <v>HP 60</v>
          </cell>
          <cell r="P1824">
            <v>6012210000048</v>
          </cell>
          <cell r="Q1824" t="str">
            <v>MedCaptain Medical Technology</v>
          </cell>
          <cell r="R1824" t="str">
            <v>Atalis Healthcare Sdn Bhd</v>
          </cell>
          <cell r="S1824" t="str">
            <v>Functioning</v>
          </cell>
          <cell r="T1824" t="str">
            <v>Functioning</v>
          </cell>
          <cell r="U1824" t="str">
            <v>KEW</v>
          </cell>
          <cell r="V1824">
            <v>3500</v>
          </cell>
          <cell r="W1824">
            <v>45268</v>
          </cell>
          <cell r="X1824" t="str">
            <v>KEW</v>
          </cell>
          <cell r="Y1824">
            <v>45272</v>
          </cell>
          <cell r="Z1824">
            <v>45637</v>
          </cell>
          <cell r="AA1824" t="str">
            <v>YES</v>
          </cell>
          <cell r="AB1824">
            <v>45272</v>
          </cell>
          <cell r="AC1824" t="str">
            <v>Good</v>
          </cell>
          <cell r="AD1824" t="str">
            <v>V3 - Added Installed Facilities (New)</v>
          </cell>
          <cell r="AE1824">
            <v>45272</v>
          </cell>
          <cell r="AF1824" t="str">
            <v>NA</v>
          </cell>
          <cell r="AG1824">
            <v>9.17</v>
          </cell>
          <cell r="AH1824" t="str">
            <v>PPM</v>
          </cell>
          <cell r="AI1824" t="str">
            <v>Strands</v>
          </cell>
          <cell r="AJ1824" t="str">
            <v>Proposed for V3 P1.24</v>
          </cell>
          <cell r="AK1824" t="str">
            <v>PIC: Anis, TnC on 12/12/2023</v>
          </cell>
        </row>
        <row r="1825">
          <cell r="A1825" t="str">
            <v>IKN402166</v>
          </cell>
          <cell r="B1825">
            <v>1821</v>
          </cell>
          <cell r="C1825" t="str">
            <v>Institut Kanser Negara</v>
          </cell>
          <cell r="D1825" t="str">
            <v>KKM/IKN/H/23/37</v>
          </cell>
          <cell r="E1825" t="str">
            <v>18-147</v>
          </cell>
          <cell r="F1825" t="str">
            <v>Mattress Systems, Alternating-Pressure</v>
          </cell>
          <cell r="G1825" t="str">
            <v>WB</v>
          </cell>
          <cell r="H1825" t="str">
            <v>SURGICAL ONCO MALE WARD</v>
          </cell>
          <cell r="I1825" t="str">
            <v>05WB149</v>
          </cell>
          <cell r="J1825" t="str">
            <v>TREATMENT / PROCEDURE</v>
          </cell>
          <cell r="K1825" t="str">
            <v>BMED</v>
          </cell>
          <cell r="L1825" t="str">
            <v>NORMAL</v>
          </cell>
          <cell r="M1825" t="str">
            <v>Taiwan</v>
          </cell>
          <cell r="N1825" t="str">
            <v>Mediaire</v>
          </cell>
          <cell r="O1825" t="str">
            <v>Mediaire (QUANTO 3)</v>
          </cell>
          <cell r="P1825" t="str">
            <v>P180702528</v>
          </cell>
          <cell r="Q1825" t="str">
            <v>Eezcare Medical Corp</v>
          </cell>
          <cell r="R1825" t="str">
            <v>Medika Supplies Sdn Bhd</v>
          </cell>
          <cell r="S1825" t="str">
            <v>Functioning</v>
          </cell>
          <cell r="T1825" t="str">
            <v>Functioning</v>
          </cell>
          <cell r="U1825" t="str">
            <v>KEW</v>
          </cell>
          <cell r="V1825">
            <v>4000</v>
          </cell>
          <cell r="W1825">
            <v>45268</v>
          </cell>
          <cell r="X1825" t="str">
            <v>KEW</v>
          </cell>
          <cell r="Y1825">
            <v>45272</v>
          </cell>
          <cell r="Z1825">
            <v>45637</v>
          </cell>
          <cell r="AA1825" t="str">
            <v>YES</v>
          </cell>
          <cell r="AB1825">
            <v>45272</v>
          </cell>
          <cell r="AC1825" t="str">
            <v>Good</v>
          </cell>
          <cell r="AD1825" t="str">
            <v>V3 - Added Installed Facilities (New)</v>
          </cell>
          <cell r="AE1825">
            <v>45272</v>
          </cell>
          <cell r="AF1825" t="str">
            <v>NA</v>
          </cell>
          <cell r="AG1825">
            <v>9.17</v>
          </cell>
          <cell r="AH1825" t="str">
            <v>PPM</v>
          </cell>
          <cell r="AI1825" t="str">
            <v>Strands</v>
          </cell>
          <cell r="AJ1825" t="str">
            <v>Proposed for V3 P1.24</v>
          </cell>
          <cell r="AK1825" t="str">
            <v>PIC: Anis, TnC on 12/12/2023</v>
          </cell>
        </row>
        <row r="1826">
          <cell r="A1826" t="str">
            <v>IKN402167</v>
          </cell>
          <cell r="B1826">
            <v>1822</v>
          </cell>
          <cell r="C1826" t="str">
            <v>Institut Kanser Negara</v>
          </cell>
          <cell r="D1826" t="str">
            <v>KKM/IKN/H/24/32-15</v>
          </cell>
          <cell r="E1826" t="str">
            <v>13-215</v>
          </cell>
          <cell r="F1826" t="str">
            <v>Infusion Pumps, General-Purpose</v>
          </cell>
          <cell r="G1826" t="str">
            <v>NM</v>
          </cell>
          <cell r="H1826" t="str">
            <v>NUCLEAR MED (DIAGNOSTIC)</v>
          </cell>
          <cell r="I1826" t="str">
            <v>03WA107</v>
          </cell>
          <cell r="J1826" t="str">
            <v>NUCLEAR MED WARD (THERAPY)</v>
          </cell>
          <cell r="K1826" t="str">
            <v>BMED</v>
          </cell>
          <cell r="L1826" t="str">
            <v>Normal</v>
          </cell>
          <cell r="N1826" t="str">
            <v>B Braun</v>
          </cell>
          <cell r="O1826" t="str">
            <v>Infusomat Space</v>
          </cell>
          <cell r="P1826">
            <v>927030</v>
          </cell>
          <cell r="Q1826" t="str">
            <v>Functioning</v>
          </cell>
          <cell r="R1826" t="str">
            <v>B Braun Melsungen AG</v>
          </cell>
          <cell r="S1826" t="str">
            <v>B Braun Medical Supplies Sdn. Bhd.</v>
          </cell>
          <cell r="T1826" t="str">
            <v>Functioning</v>
          </cell>
          <cell r="V1826">
            <v>6400</v>
          </cell>
          <cell r="W1826" t="str">
            <v>KEW</v>
          </cell>
          <cell r="X1826">
            <v>45120</v>
          </cell>
          <cell r="Y1826" t="str">
            <v>KEW</v>
          </cell>
          <cell r="Z1826">
            <v>45324</v>
          </cell>
          <cell r="AA1826">
            <v>45689</v>
          </cell>
          <cell r="AB1826" t="str">
            <v>YES</v>
          </cell>
          <cell r="AC1826">
            <v>45303</v>
          </cell>
          <cell r="AD1826" t="str">
            <v>Good</v>
          </cell>
          <cell r="AE1826" t="str">
            <v>V3 - Added Installed Facilities (New)</v>
          </cell>
          <cell r="AF1826">
            <v>45508</v>
          </cell>
          <cell r="AG1826" t="str">
            <v>NA</v>
          </cell>
          <cell r="AH1826" t="str">
            <v>PPM</v>
          </cell>
          <cell r="AJ1826" t="str">
            <v>Strands V3 P2.24</v>
          </cell>
        </row>
        <row r="1827">
          <cell r="A1827" t="str">
            <v>IKN402168</v>
          </cell>
          <cell r="B1827">
            <v>1823</v>
          </cell>
          <cell r="C1827" t="str">
            <v>Institut Kanser Negara</v>
          </cell>
          <cell r="D1827" t="str">
            <v>KKM/IKN/H/24/33-10</v>
          </cell>
          <cell r="E1827" t="str">
            <v>13-215</v>
          </cell>
          <cell r="F1827" t="str">
            <v>Infusion Pumps, General-Purpose</v>
          </cell>
          <cell r="G1827" t="str">
            <v>NM</v>
          </cell>
          <cell r="H1827" t="str">
            <v>NUCLEAR MED (DIAGNOSTIC)</v>
          </cell>
          <cell r="I1827" t="str">
            <v>03WA107</v>
          </cell>
          <cell r="J1827" t="str">
            <v>NUCLEAR MED WARD (THERAPY)</v>
          </cell>
          <cell r="K1827" t="str">
            <v>BMED</v>
          </cell>
          <cell r="L1827" t="str">
            <v>Normal</v>
          </cell>
          <cell r="N1827" t="str">
            <v>B Braun</v>
          </cell>
          <cell r="O1827" t="str">
            <v>Infusomat Space</v>
          </cell>
          <cell r="P1827">
            <v>927147</v>
          </cell>
          <cell r="Q1827" t="str">
            <v>Functioning</v>
          </cell>
          <cell r="R1827" t="str">
            <v>B Braun Melsungen AG</v>
          </cell>
          <cell r="S1827" t="str">
            <v>B Braun Medical Supplies Sdn. Bhd.</v>
          </cell>
          <cell r="T1827" t="str">
            <v>Functioning</v>
          </cell>
          <cell r="V1827">
            <v>6400</v>
          </cell>
          <cell r="W1827" t="str">
            <v>KEW</v>
          </cell>
          <cell r="X1827">
            <v>45120</v>
          </cell>
          <cell r="Y1827" t="str">
            <v>KEW</v>
          </cell>
          <cell r="Z1827">
            <v>45324</v>
          </cell>
          <cell r="AA1827">
            <v>45689</v>
          </cell>
          <cell r="AB1827" t="str">
            <v>YES</v>
          </cell>
          <cell r="AC1827">
            <v>45303</v>
          </cell>
          <cell r="AD1827" t="str">
            <v>Good</v>
          </cell>
          <cell r="AE1827" t="str">
            <v>V3 - Added Installed Facilities (New)</v>
          </cell>
          <cell r="AF1827">
            <v>45508</v>
          </cell>
          <cell r="AJ1827" t="str">
            <v>Strands V3 P2.24</v>
          </cell>
        </row>
        <row r="1828">
          <cell r="A1828" t="str">
            <v>IKN402169</v>
          </cell>
          <cell r="B1828">
            <v>1824</v>
          </cell>
          <cell r="C1828" t="str">
            <v>Institut Kanser Negara</v>
          </cell>
          <cell r="D1828" t="str">
            <v>KKM/IKN/H/23/23</v>
          </cell>
          <cell r="E1828" t="str">
            <v>17-211</v>
          </cell>
          <cell r="F1828" t="str">
            <v>Radiation Survey Meters, Geiger-Muller</v>
          </cell>
          <cell r="G1828" t="str">
            <v>NM</v>
          </cell>
          <cell r="H1828" t="str">
            <v>NUCLEAR MED (DIAGNOSTIC)</v>
          </cell>
          <cell r="I1828" t="str">
            <v>03NM153</v>
          </cell>
          <cell r="J1828" t="str">
            <v>PHYSICS LAB</v>
          </cell>
          <cell r="K1828" t="str">
            <v>BMED</v>
          </cell>
          <cell r="L1828" t="str">
            <v>Normal</v>
          </cell>
          <cell r="N1828" t="str">
            <v>Thermo Scientific</v>
          </cell>
          <cell r="O1828" t="str">
            <v>RADEYE B20 ER Survey Meter</v>
          </cell>
          <cell r="P1828">
            <v>35436</v>
          </cell>
          <cell r="Q1828" t="str">
            <v>Not Applicable</v>
          </cell>
          <cell r="R1828" t="str">
            <v>Thermo Fisher Scientific</v>
          </cell>
          <cell r="S1828" t="str">
            <v>Intech Scientific Sdn Bhd</v>
          </cell>
          <cell r="T1828" t="str">
            <v>Functioning</v>
          </cell>
          <cell r="U1828" t="str">
            <v>Asset</v>
          </cell>
          <cell r="V1828">
            <v>8412.09</v>
          </cell>
          <cell r="W1828" t="str">
            <v>KEW</v>
          </cell>
          <cell r="X1828">
            <v>45124</v>
          </cell>
          <cell r="Y1828" t="str">
            <v>KEW</v>
          </cell>
          <cell r="Z1828">
            <v>45124</v>
          </cell>
          <cell r="AA1828">
            <v>45490</v>
          </cell>
          <cell r="AB1828" t="str">
            <v>No</v>
          </cell>
          <cell r="AC1828">
            <v>45124</v>
          </cell>
          <cell r="AD1828" t="str">
            <v>Good</v>
          </cell>
          <cell r="AE1828" t="str">
            <v>V3 - Added Installed Facilities (New)</v>
          </cell>
          <cell r="AG1828" t="str">
            <v>NA</v>
          </cell>
          <cell r="AH1828" t="str">
            <v>PPM</v>
          </cell>
          <cell r="AI1828" t="str">
            <v>NA</v>
          </cell>
          <cell r="AJ1828" t="str">
            <v>Proposed for V3 P2.23</v>
          </cell>
          <cell r="AK1828" t="str">
            <v>PIC: Hidayah, Asset Donation.</v>
          </cell>
        </row>
        <row r="1829">
          <cell r="A1829" t="str">
            <v>IKN402170</v>
          </cell>
          <cell r="B1829">
            <v>1825</v>
          </cell>
          <cell r="C1829" t="str">
            <v>Institut Kanser Negara</v>
          </cell>
          <cell r="D1829" t="str">
            <v>KKM/IKN/H/23/22</v>
          </cell>
          <cell r="E1829" t="str">
            <v>17-211</v>
          </cell>
          <cell r="F1829" t="str">
            <v>Radiation Survey Meters, Geiger-Muller</v>
          </cell>
          <cell r="G1829" t="str">
            <v>NM</v>
          </cell>
          <cell r="H1829" t="str">
            <v>NUCLEAR MED (DIAGNOSTIC)</v>
          </cell>
          <cell r="I1829" t="str">
            <v>03NM153</v>
          </cell>
          <cell r="J1829" t="str">
            <v>PHYSICS LAB</v>
          </cell>
          <cell r="K1829" t="str">
            <v>BMED</v>
          </cell>
          <cell r="L1829" t="str">
            <v>Normal</v>
          </cell>
          <cell r="N1829" t="str">
            <v>Thermo Scientific</v>
          </cell>
          <cell r="O1829" t="str">
            <v>RADEYE B20 ER Survey Meter</v>
          </cell>
          <cell r="P1829">
            <v>35458</v>
          </cell>
          <cell r="Q1829" t="str">
            <v>Not Applicable</v>
          </cell>
          <cell r="R1829" t="str">
            <v>Thermo Fisher Scientific</v>
          </cell>
          <cell r="S1829" t="str">
            <v>Intech Scientific Sdn Bhd</v>
          </cell>
          <cell r="T1829" t="str">
            <v>Functioning</v>
          </cell>
          <cell r="U1829" t="str">
            <v>Asset</v>
          </cell>
          <cell r="V1829">
            <v>8412.09</v>
          </cell>
          <cell r="W1829" t="str">
            <v>KEW</v>
          </cell>
          <cell r="X1829">
            <v>45124</v>
          </cell>
          <cell r="Y1829" t="str">
            <v>KEW</v>
          </cell>
          <cell r="Z1829">
            <v>45124</v>
          </cell>
          <cell r="AA1829">
            <v>45490</v>
          </cell>
          <cell r="AB1829" t="str">
            <v>No</v>
          </cell>
          <cell r="AC1829">
            <v>45124</v>
          </cell>
          <cell r="AD1829" t="str">
            <v>Good</v>
          </cell>
          <cell r="AE1829" t="str">
            <v>V3 - Added Installed Facilities (New)</v>
          </cell>
          <cell r="AG1829" t="str">
            <v>NA</v>
          </cell>
          <cell r="AH1829" t="str">
            <v>PPM</v>
          </cell>
          <cell r="AI1829" t="str">
            <v>NA</v>
          </cell>
          <cell r="AJ1829" t="str">
            <v>Proposed for V3 P2.23</v>
          </cell>
          <cell r="AK1829" t="str">
            <v>PIC: Hidayah, Asset Donation.</v>
          </cell>
        </row>
        <row r="1830">
          <cell r="A1830" t="str">
            <v>IKN402171</v>
          </cell>
          <cell r="B1830">
            <v>1825</v>
          </cell>
          <cell r="C1830" t="str">
            <v>Institut Kanser Negara</v>
          </cell>
          <cell r="D1830" t="str">
            <v>KKM/IKN/H/23/67</v>
          </cell>
          <cell r="E1830" t="str">
            <v>17-440</v>
          </cell>
          <cell r="F1830" t="str">
            <v>Microscope / Inverted Phase Microscope</v>
          </cell>
          <cell r="G1830" t="str">
            <v>LA</v>
          </cell>
          <cell r="H1830" t="str">
            <v>PATHOLOGY</v>
          </cell>
          <cell r="I1830" t="str">
            <v>04LA127</v>
          </cell>
          <cell r="J1830" t="str">
            <v>PATHOLOGY</v>
          </cell>
          <cell r="K1830" t="str">
            <v>BMED</v>
          </cell>
          <cell r="L1830" t="str">
            <v>NORMAL</v>
          </cell>
          <cell r="M1830" t="str">
            <v>JAPAN</v>
          </cell>
          <cell r="N1830" t="str">
            <v>OLYMPUS</v>
          </cell>
          <cell r="O1830" t="str">
            <v>CK X31SF</v>
          </cell>
          <cell r="P1830" t="str">
            <v>2K65163</v>
          </cell>
          <cell r="R1830" t="str">
            <v>EVIDENT CORPORATION NAGARA</v>
          </cell>
          <cell r="S1830" t="str">
            <v>Matrix Optics (M) Sdn Bhd</v>
          </cell>
          <cell r="T1830" t="str">
            <v>Functioning</v>
          </cell>
          <cell r="U1830" t="str">
            <v>Asset</v>
          </cell>
          <cell r="V1830">
            <v>15864</v>
          </cell>
          <cell r="W1830" t="str">
            <v>KEW</v>
          </cell>
          <cell r="X1830">
            <v>41375</v>
          </cell>
          <cell r="Y1830" t="str">
            <v>KEW</v>
          </cell>
          <cell r="Z1830" t="str">
            <v>NA</v>
          </cell>
          <cell r="AA1830" t="str">
            <v>NA</v>
          </cell>
          <cell r="AB1830" t="str">
            <v>NO</v>
          </cell>
          <cell r="AC1830">
            <v>45027</v>
          </cell>
          <cell r="AD1830" t="str">
            <v>GOOD</v>
          </cell>
          <cell r="AE1830" t="str">
            <v>V3 - Added Installed Facilities (New)</v>
          </cell>
          <cell r="AF1830">
            <v>45370</v>
          </cell>
          <cell r="AG1830" t="str">
            <v>NA</v>
          </cell>
          <cell r="AH1830" t="str">
            <v>PPM</v>
          </cell>
          <cell r="AI1830" t="str">
            <v>NA</v>
          </cell>
          <cell r="AJ1830" t="str">
            <v>Proposed for V3 P1.24</v>
          </cell>
          <cell r="AK1830" t="str">
            <v>ASSET TRANSFER FROM HOSPITAL TUNKU AZIZAH</v>
          </cell>
        </row>
        <row r="1831">
          <cell r="A1831" t="str">
            <v>IKN402172</v>
          </cell>
          <cell r="B1831">
            <v>1825</v>
          </cell>
          <cell r="C1831" t="str">
            <v>TnC Asset Donation Radiology Faezah &amp; Indira 16/5/2024</v>
          </cell>
          <cell r="D1831" t="str">
            <v>KKM/IKN/H/24/10
KKM/BKRP09/H19/6</v>
          </cell>
          <cell r="E1831" t="str">
            <v>15-129</v>
          </cell>
          <cell r="F1831" t="str">
            <v>Densitometers</v>
          </cell>
          <cell r="G1831" t="str">
            <v>ID</v>
          </cell>
          <cell r="H1831" t="str">
            <v>IMAGING DEPARTMENT</v>
          </cell>
          <cell r="I1831" t="str">
            <v>03ID169</v>
          </cell>
          <cell r="J1831" t="str">
            <v>RADIOGRAPHER</v>
          </cell>
          <cell r="K1831" t="str">
            <v>BMED</v>
          </cell>
          <cell r="L1831" t="str">
            <v>Normal</v>
          </cell>
          <cell r="M1831" t="str">
            <v>NA</v>
          </cell>
          <cell r="N1831" t="str">
            <v>IBA Dosimetry</v>
          </cell>
          <cell r="O1831" t="str">
            <v>Unilight D</v>
          </cell>
          <cell r="P1831" t="str">
            <v>N6960</v>
          </cell>
          <cell r="Q1831" t="str">
            <v>Not Applicable</v>
          </cell>
          <cell r="R1831" t="str">
            <v>IBA</v>
          </cell>
          <cell r="S1831" t="str">
            <v>NA</v>
          </cell>
          <cell r="T1831" t="str">
            <v>Functioning</v>
          </cell>
          <cell r="U1831" t="str">
            <v>Asset</v>
          </cell>
          <cell r="V1831">
            <v>3432.12</v>
          </cell>
          <cell r="W1831" t="str">
            <v>KEW</v>
          </cell>
          <cell r="X1831">
            <v>43347</v>
          </cell>
          <cell r="Y1831" t="str">
            <v>KEW</v>
          </cell>
          <cell r="Z1831" t="str">
            <v>NA</v>
          </cell>
          <cell r="AA1831" t="str">
            <v>NA</v>
          </cell>
          <cell r="AB1831" t="str">
            <v>No</v>
          </cell>
          <cell r="AC1831">
            <v>45428</v>
          </cell>
          <cell r="AD1831" t="str">
            <v>Good</v>
          </cell>
          <cell r="AE1831" t="str">
            <v>V3 - Added Installed Facilities (New)</v>
          </cell>
          <cell r="AF1831">
            <v>45449</v>
          </cell>
          <cell r="AG1831" t="str">
            <v>NA</v>
          </cell>
          <cell r="AH1831" t="str">
            <v>PPM</v>
          </cell>
          <cell r="AI1831" t="str">
            <v>NA</v>
          </cell>
          <cell r="AJ1831" t="str">
            <v>Proposed for V3 P1.24</v>
          </cell>
          <cell r="AK1831" t="str">
            <v>From BKRP. Accessories: Adaptor; DC: 9.0V, 500mA. Calibration to ANM.</v>
          </cell>
        </row>
        <row r="1832">
          <cell r="A1832" t="str">
            <v>IKN402173</v>
          </cell>
          <cell r="B1832">
            <v>1825</v>
          </cell>
          <cell r="C1832" t="str">
            <v>TnC Asset Donation Radiology Faezah &amp; Indira 16/5/2024</v>
          </cell>
          <cell r="D1832" t="str">
            <v>KKM/BKRP09/H19/7
KKM/IKN/H/24/9</v>
          </cell>
          <cell r="E1832" t="str">
            <v>16-563</v>
          </cell>
          <cell r="F1832" t="str">
            <v>Sensitometer, Radiographic</v>
          </cell>
          <cell r="G1832" t="str">
            <v>ID</v>
          </cell>
          <cell r="H1832" t="str">
            <v>IMAGING DEPARTMENT</v>
          </cell>
          <cell r="I1832" t="str">
            <v>03ID169</v>
          </cell>
          <cell r="J1832" t="str">
            <v>RADIOGRAPHER</v>
          </cell>
          <cell r="K1832" t="str">
            <v>BMED</v>
          </cell>
          <cell r="L1832" t="str">
            <v>Normal</v>
          </cell>
          <cell r="M1832" t="str">
            <v>Germany/Poland</v>
          </cell>
          <cell r="N1832" t="str">
            <v>IBA Dosimetry</v>
          </cell>
          <cell r="O1832" t="str">
            <v>Unilight S</v>
          </cell>
          <cell r="P1832">
            <v>5882</v>
          </cell>
          <cell r="Q1832" t="str">
            <v>Not Applicable</v>
          </cell>
          <cell r="R1832" t="str">
            <v>IBA</v>
          </cell>
          <cell r="S1832" t="str">
            <v>NA</v>
          </cell>
          <cell r="T1832" t="str">
            <v>Functioning</v>
          </cell>
          <cell r="U1832" t="str">
            <v>Asset</v>
          </cell>
          <cell r="V1832">
            <v>3177.65</v>
          </cell>
          <cell r="W1832" t="str">
            <v>KEW</v>
          </cell>
          <cell r="X1832">
            <v>43347</v>
          </cell>
          <cell r="Y1832" t="str">
            <v>KEW</v>
          </cell>
          <cell r="Z1832" t="str">
            <v>NA</v>
          </cell>
          <cell r="AA1832" t="str">
            <v>NA</v>
          </cell>
          <cell r="AB1832" t="str">
            <v>No</v>
          </cell>
          <cell r="AC1832">
            <v>45428</v>
          </cell>
          <cell r="AD1832" t="str">
            <v>Good</v>
          </cell>
          <cell r="AE1832" t="str">
            <v>V3 - Added Installed Facilities (New)</v>
          </cell>
          <cell r="AF1832">
            <v>45449</v>
          </cell>
          <cell r="AG1832" t="str">
            <v>NA</v>
          </cell>
          <cell r="AH1832" t="str">
            <v>PPM</v>
          </cell>
          <cell r="AI1832" t="str">
            <v>NA</v>
          </cell>
          <cell r="AJ1832" t="str">
            <v>Proposed for V3 P1.24</v>
          </cell>
          <cell r="AK1832" t="str">
            <v>From BKRP. Accessories: Adaptor; DC: 9.6V, 500mA. Battery: ENERGIZER 9V.</v>
          </cell>
        </row>
        <row r="1833">
          <cell r="A1833" t="str">
            <v>IKN402174</v>
          </cell>
          <cell r="B1833">
            <v>1825</v>
          </cell>
          <cell r="C1833" t="str">
            <v>TnC Asset Donation Radiology Faezah &amp; Indira 16/5/2024</v>
          </cell>
          <cell r="D1833" t="str">
            <v>KKM/IKN/H/24/8
KKM/BKRP09/H19/8</v>
          </cell>
          <cell r="E1833" t="str">
            <v>15-605</v>
          </cell>
          <cell r="F1833" t="str">
            <v>Testers (LX Can Luminance Meter)</v>
          </cell>
          <cell r="G1833" t="str">
            <v>ID</v>
          </cell>
          <cell r="H1833" t="str">
            <v>IMAGING DEPARTMENT</v>
          </cell>
          <cell r="I1833" t="str">
            <v>03ID169</v>
          </cell>
          <cell r="J1833" t="str">
            <v>RADIOGRAPHER</v>
          </cell>
          <cell r="K1833" t="str">
            <v>BMED</v>
          </cell>
          <cell r="L1833" t="str">
            <v>Normal</v>
          </cell>
          <cell r="M1833" t="str">
            <v>Germany/Poland</v>
          </cell>
          <cell r="N1833" t="str">
            <v>IBA Dosimetry</v>
          </cell>
          <cell r="O1833" t="str">
            <v>LXCAN</v>
          </cell>
          <cell r="P1833">
            <v>39639</v>
          </cell>
          <cell r="Q1833" t="str">
            <v>Not Applicable</v>
          </cell>
          <cell r="R1833" t="str">
            <v>IBA</v>
          </cell>
          <cell r="S1833" t="str">
            <v>NA</v>
          </cell>
          <cell r="T1833" t="str">
            <v>Functioning</v>
          </cell>
          <cell r="U1833" t="str">
            <v>Asset</v>
          </cell>
          <cell r="V1833">
            <v>8295.6</v>
          </cell>
          <cell r="W1833" t="str">
            <v>KEW</v>
          </cell>
          <cell r="X1833">
            <v>43347</v>
          </cell>
          <cell r="Y1833" t="str">
            <v>KEW</v>
          </cell>
          <cell r="Z1833" t="str">
            <v>NA</v>
          </cell>
          <cell r="AA1833" t="str">
            <v>NA</v>
          </cell>
          <cell r="AB1833" t="str">
            <v>No</v>
          </cell>
          <cell r="AC1833">
            <v>45428</v>
          </cell>
          <cell r="AD1833" t="str">
            <v>Good</v>
          </cell>
          <cell r="AE1833" t="str">
            <v>V3 - Added Installed Facilities (New)</v>
          </cell>
          <cell r="AF1833">
            <v>45449</v>
          </cell>
          <cell r="AG1833" t="str">
            <v>NA</v>
          </cell>
          <cell r="AH1833" t="str">
            <v>PPM</v>
          </cell>
          <cell r="AI1833" t="str">
            <v>NA</v>
          </cell>
          <cell r="AJ1833" t="str">
            <v>Proposed for V3 P1.24</v>
          </cell>
          <cell r="AK1833" t="str">
            <v>From BKRP. Accessories: USB Cable, Illuminance Detector LXLS [SN;37874], Power Supply with 4 Adapters, Mask cover, Carrying case. Calibration to Delta Analyst (Shim).</v>
          </cell>
        </row>
        <row r="1834">
          <cell r="A1834" t="str">
            <v>IKN402175</v>
          </cell>
          <cell r="B1834">
            <v>1825</v>
          </cell>
          <cell r="C1834" t="str">
            <v>TnC Asset Donation Radiology Faezah &amp; Indira 16/5/2024</v>
          </cell>
          <cell r="D1834" t="str">
            <v>KKM/IKN/H/24/1
KKM/BKRP09/H/19/11</v>
          </cell>
          <cell r="E1834" t="str">
            <v>12-660</v>
          </cell>
          <cell r="F1834" t="str">
            <v>Radiation Monitors</v>
          </cell>
          <cell r="G1834" t="str">
            <v>ID</v>
          </cell>
          <cell r="H1834" t="str">
            <v>IMAGING DEPARTMENT</v>
          </cell>
          <cell r="I1834" t="str">
            <v>03ID169</v>
          </cell>
          <cell r="J1834" t="str">
            <v>RADIOGRAPHER</v>
          </cell>
          <cell r="K1834" t="str">
            <v>BMED</v>
          </cell>
          <cell r="L1834" t="str">
            <v>Normal</v>
          </cell>
          <cell r="M1834" t="str">
            <v>Germany/Poland</v>
          </cell>
          <cell r="N1834" t="str">
            <v>IBA Dosimetry</v>
          </cell>
          <cell r="O1834" t="str">
            <v>120-TINO DDP</v>
          </cell>
          <cell r="P1834" t="str">
            <v>01E01683</v>
          </cell>
          <cell r="Q1834" t="str">
            <v>Not Applicable</v>
          </cell>
          <cell r="R1834" t="str">
            <v>IBA</v>
          </cell>
          <cell r="S1834" t="str">
            <v>NA</v>
          </cell>
          <cell r="T1834" t="str">
            <v>Functioning</v>
          </cell>
          <cell r="U1834" t="str">
            <v>Asset</v>
          </cell>
          <cell r="V1834">
            <v>8906.27</v>
          </cell>
          <cell r="W1834" t="str">
            <v>KEW</v>
          </cell>
          <cell r="X1834">
            <v>43347</v>
          </cell>
          <cell r="Y1834" t="str">
            <v>KEW</v>
          </cell>
          <cell r="Z1834" t="str">
            <v>NA</v>
          </cell>
          <cell r="AA1834" t="str">
            <v>NA</v>
          </cell>
          <cell r="AB1834" t="str">
            <v>No</v>
          </cell>
          <cell r="AC1834">
            <v>45428</v>
          </cell>
          <cell r="AD1834" t="str">
            <v>Good</v>
          </cell>
          <cell r="AE1834" t="str">
            <v>V3 - Added Installed Facilities (New)</v>
          </cell>
          <cell r="AF1834">
            <v>45449</v>
          </cell>
          <cell r="AG1834" t="str">
            <v>NA</v>
          </cell>
          <cell r="AH1834" t="str">
            <v>PPM</v>
          </cell>
          <cell r="AI1834" t="str">
            <v>NA</v>
          </cell>
          <cell r="AJ1834" t="str">
            <v>Proposed for V3 P1.24</v>
          </cell>
          <cell r="AK1834" t="str">
            <v>From BKRP. Accessories: Collimator Stand, Alignment tool, Network cable, Printer cable network, switching power supply, Detector (KIV)</v>
          </cell>
        </row>
        <row r="1835">
          <cell r="A1835" t="str">
            <v>IKN402176</v>
          </cell>
          <cell r="B1835">
            <v>1825</v>
          </cell>
          <cell r="C1835" t="str">
            <v>TnC Asset Donation Radiology Faezah &amp; Indira 16/5/2024</v>
          </cell>
          <cell r="D1835" t="str">
            <v>KKM/IKN/H/24/5
KKM/BKRP09/H19/13 &amp; KKM/BKRP09/H19/14
KKM/IKN/H/24/5</v>
          </cell>
          <cell r="E1835" t="str">
            <v>15-605</v>
          </cell>
          <cell r="F1835" t="str">
            <v>Testers</v>
          </cell>
          <cell r="G1835" t="str">
            <v>ID</v>
          </cell>
          <cell r="H1835" t="str">
            <v>IMAGING DEPARTMENT</v>
          </cell>
          <cell r="I1835" t="str">
            <v>03ID169</v>
          </cell>
          <cell r="J1835" t="str">
            <v>RADIOGRAPHER</v>
          </cell>
          <cell r="K1835" t="str">
            <v>BMED</v>
          </cell>
          <cell r="L1835" t="str">
            <v>Normal</v>
          </cell>
          <cell r="M1835" t="str">
            <v>Germany/Poland</v>
          </cell>
          <cell r="N1835" t="str">
            <v>IBA Densitometry</v>
          </cell>
          <cell r="O1835" t="str">
            <v>MAGICMAX UNIVERSAL</v>
          </cell>
          <cell r="P1835" t="str">
            <v>G18-0608</v>
          </cell>
          <cell r="Q1835" t="str">
            <v>Not Applicable</v>
          </cell>
          <cell r="R1835" t="str">
            <v>IBA</v>
          </cell>
          <cell r="S1835" t="str">
            <v>NA</v>
          </cell>
          <cell r="T1835" t="str">
            <v>Functioning</v>
          </cell>
          <cell r="U1835" t="str">
            <v>Asset</v>
          </cell>
          <cell r="V1835">
            <v>29164.880000000001</v>
          </cell>
          <cell r="W1835" t="str">
            <v>KEW</v>
          </cell>
          <cell r="X1835">
            <v>43347</v>
          </cell>
          <cell r="Y1835" t="str">
            <v>KEW</v>
          </cell>
          <cell r="Z1835" t="str">
            <v>NA</v>
          </cell>
          <cell r="AA1835" t="str">
            <v>NA</v>
          </cell>
          <cell r="AB1835" t="str">
            <v>No</v>
          </cell>
          <cell r="AC1835">
            <v>45428</v>
          </cell>
          <cell r="AD1835" t="str">
            <v>Good</v>
          </cell>
          <cell r="AE1835" t="str">
            <v>V3 - Added Installed Facilities (New)</v>
          </cell>
          <cell r="AF1835">
            <v>45449</v>
          </cell>
          <cell r="AG1835" t="str">
            <v>NA</v>
          </cell>
          <cell r="AH1835" t="str">
            <v>PPM</v>
          </cell>
          <cell r="AI1835" t="str">
            <v>NA</v>
          </cell>
          <cell r="AJ1835" t="str">
            <v>Proposed for V3 P1.24</v>
          </cell>
          <cell r="AK1835" t="str">
            <v>From BKRP. Accessories: XR Detector, XM Detector, CT Pencil Dosimeter/Ionisation Chamber, USB Adapter, Pendrive, Microsoft Surface (Laptop). Calibration to ANM &amp; VNA Engineering.</v>
          </cell>
        </row>
        <row r="1836">
          <cell r="A1836" t="str">
            <v>IKN402177</v>
          </cell>
          <cell r="B1836">
            <v>1825</v>
          </cell>
          <cell r="C1836" t="str">
            <v>TnC Asset Donation Radiology Faezah &amp; Indira 16/5/2024</v>
          </cell>
          <cell r="D1836" t="str">
            <v>KKM/IKN/H/24/3
KKM/BKRP09/H19/15 
KKM/IKN/H/24/3</v>
          </cell>
          <cell r="E1836" t="str">
            <v>17-212</v>
          </cell>
          <cell r="F1836" t="str">
            <v>Radiation Survey Meters, Ionization Chamber</v>
          </cell>
          <cell r="G1836" t="str">
            <v>ID</v>
          </cell>
          <cell r="H1836" t="str">
            <v>IMAGING DEPARTMENT</v>
          </cell>
          <cell r="I1836" t="str">
            <v>03ID169</v>
          </cell>
          <cell r="J1836" t="str">
            <v>RADIOGRAPHER</v>
          </cell>
          <cell r="K1836" t="str">
            <v>BMED</v>
          </cell>
          <cell r="L1836" t="str">
            <v>Normal</v>
          </cell>
          <cell r="M1836" t="str">
            <v>Germany/Poland</v>
          </cell>
          <cell r="N1836" t="str">
            <v>STEP</v>
          </cell>
          <cell r="O1836" t="str">
            <v>OD-02</v>
          </cell>
          <cell r="P1836" t="str">
            <v>OD-021-81615</v>
          </cell>
          <cell r="Q1836" t="str">
            <v>Not Applicable</v>
          </cell>
          <cell r="R1836" t="str">
            <v>STEP</v>
          </cell>
          <cell r="S1836" t="str">
            <v>NA</v>
          </cell>
          <cell r="T1836" t="str">
            <v>Functioning</v>
          </cell>
          <cell r="U1836" t="str">
            <v>Asset</v>
          </cell>
          <cell r="V1836">
            <v>26699.73</v>
          </cell>
          <cell r="W1836" t="str">
            <v>KEW</v>
          </cell>
          <cell r="X1836">
            <v>43347</v>
          </cell>
          <cell r="Y1836" t="str">
            <v>KEW</v>
          </cell>
          <cell r="Z1836" t="str">
            <v>NA</v>
          </cell>
          <cell r="AA1836" t="str">
            <v>NA</v>
          </cell>
          <cell r="AB1836" t="str">
            <v>No</v>
          </cell>
          <cell r="AC1836">
            <v>45428</v>
          </cell>
          <cell r="AD1836" t="str">
            <v>Good</v>
          </cell>
          <cell r="AE1836" t="str">
            <v>V3 - Added Installed Facilities (New)</v>
          </cell>
          <cell r="AF1836">
            <v>45449</v>
          </cell>
          <cell r="AG1836" t="str">
            <v>NA</v>
          </cell>
          <cell r="AH1836" t="str">
            <v>PPM</v>
          </cell>
          <cell r="AI1836" t="str">
            <v>NA</v>
          </cell>
          <cell r="AJ1836" t="str">
            <v>Proposed for V3 P1.24</v>
          </cell>
          <cell r="AK1836" t="str">
            <v>From BKRP. Accessories: Detector Probe, Stand, Battery 1.5V AAA.</v>
          </cell>
        </row>
        <row r="1837">
          <cell r="A1837" t="str">
            <v>IKN402178</v>
          </cell>
          <cell r="B1837">
            <v>1825</v>
          </cell>
          <cell r="C1837" t="str">
            <v>Air Samplers PET CT TnC 2023</v>
          </cell>
          <cell r="D1837" t="str">
            <v>KKM/IKN/H/23/14</v>
          </cell>
          <cell r="E1837" t="str">
            <v>10-051</v>
          </cell>
          <cell r="F1837" t="str">
            <v>Air Samplers</v>
          </cell>
          <cell r="G1837" t="str">
            <v>NM</v>
          </cell>
          <cell r="H1837" t="str">
            <v>NUCLEAR MED (DIAGNOSTIC)</v>
          </cell>
          <cell r="I1837" t="str">
            <v>PET CT</v>
          </cell>
          <cell r="J1837" t="str">
            <v>PET CT, HPJ</v>
          </cell>
          <cell r="K1837" t="str">
            <v>BMED</v>
          </cell>
          <cell r="L1837" t="str">
            <v>Normal</v>
          </cell>
          <cell r="N1837" t="str">
            <v>MAS</v>
          </cell>
          <cell r="O1837" t="str">
            <v>MAS-100 NT</v>
          </cell>
          <cell r="P1837">
            <v>124071</v>
          </cell>
          <cell r="Q1837" t="str">
            <v>Not Applicable</v>
          </cell>
          <cell r="R1837" t="str">
            <v>MERCK KGAA</v>
          </cell>
          <cell r="S1837" t="str">
            <v>MERCK SDN BHD</v>
          </cell>
          <cell r="T1837" t="str">
            <v>Functioning</v>
          </cell>
          <cell r="U1837" t="str">
            <v>Asset</v>
          </cell>
          <cell r="V1837">
            <v>52568.56</v>
          </cell>
          <cell r="W1837" t="str">
            <v>KEW</v>
          </cell>
          <cell r="X1837">
            <v>44984</v>
          </cell>
          <cell r="Y1837" t="str">
            <v>KEW</v>
          </cell>
          <cell r="Z1837">
            <v>44984</v>
          </cell>
          <cell r="AA1837">
            <v>45348</v>
          </cell>
          <cell r="AB1837" t="str">
            <v>No</v>
          </cell>
          <cell r="AC1837">
            <v>44984</v>
          </cell>
          <cell r="AD1837" t="str">
            <v>Good</v>
          </cell>
          <cell r="AE1837" t="str">
            <v>V3 - Added Installed Facilities (New)</v>
          </cell>
          <cell r="AF1837">
            <v>45222</v>
          </cell>
          <cell r="AG1837" t="str">
            <v>NA</v>
          </cell>
          <cell r="AH1837" t="str">
            <v>PPM</v>
          </cell>
          <cell r="AI1837" t="str">
            <v>NA</v>
          </cell>
          <cell r="AJ1837" t="str">
            <v>Proposed for V3 P2.23</v>
          </cell>
          <cell r="AK1837" t="str">
            <v>Power Cord</v>
          </cell>
        </row>
        <row r="1838">
          <cell r="A1838" t="str">
            <v>IKN402179</v>
          </cell>
          <cell r="B1838">
            <v>1825</v>
          </cell>
          <cell r="C1838" t="str">
            <v>Institut Kanser Negara</v>
          </cell>
          <cell r="D1838" t="str">
            <v>KKM/IKN/H/24/33</v>
          </cell>
          <cell r="E1838" t="str">
            <v>20-161</v>
          </cell>
          <cell r="F1838" t="str">
            <v>Scanning Systems, Computed Tomography/ Positron Emission Tomography</v>
          </cell>
          <cell r="G1838" t="str">
            <v>NM</v>
          </cell>
          <cell r="H1838" t="str">
            <v>NUCLEAR MED (DIAGNOSTIC)</v>
          </cell>
          <cell r="I1838" t="str">
            <v>03NM161</v>
          </cell>
          <cell r="J1838" t="str">
            <v>BILIK SPECT-CT</v>
          </cell>
          <cell r="K1838" t="str">
            <v>BMED</v>
          </cell>
          <cell r="L1838" t="str">
            <v>Normal</v>
          </cell>
          <cell r="M1838" t="str">
            <v>CHINA</v>
          </cell>
          <cell r="N1838" t="str">
            <v>GE HEALTHCARE</v>
          </cell>
          <cell r="O1838" t="str">
            <v>NM/CT870DR</v>
          </cell>
          <cell r="P1838" t="str">
            <v>237855HL2</v>
          </cell>
          <cell r="R1838" t="str">
            <v>GE HEALTHCARE</v>
          </cell>
          <cell r="S1838" t="str">
            <v>GE HEALTHCARE SDN BHD</v>
          </cell>
          <cell r="T1838" t="str">
            <v>Functioning</v>
          </cell>
          <cell r="U1838" t="str">
            <v>Asset</v>
          </cell>
          <cell r="V1838">
            <v>3410390</v>
          </cell>
          <cell r="W1838" t="str">
            <v>KEW</v>
          </cell>
          <cell r="X1838">
            <v>45120</v>
          </cell>
          <cell r="Y1838" t="str">
            <v>KEW</v>
          </cell>
          <cell r="Z1838">
            <v>45315</v>
          </cell>
          <cell r="AA1838">
            <v>45681</v>
          </cell>
          <cell r="AB1838" t="str">
            <v>YES</v>
          </cell>
          <cell r="AC1838">
            <v>45315</v>
          </cell>
          <cell r="AD1838" t="str">
            <v>Good</v>
          </cell>
          <cell r="AE1838" t="str">
            <v>V3 - Added Installed Facilities (New)</v>
          </cell>
          <cell r="AF1838">
            <v>45508</v>
          </cell>
          <cell r="AJ1838" t="str">
            <v>Strands V3 P2.24</v>
          </cell>
        </row>
        <row r="1839">
          <cell r="A1839" t="str">
            <v>IKN402180</v>
          </cell>
          <cell r="B1839">
            <v>1826</v>
          </cell>
          <cell r="C1839" t="str">
            <v>Institut Kanser Negara</v>
          </cell>
          <cell r="D1839" t="str">
            <v>KKM/IKN/H/24/32</v>
          </cell>
          <cell r="E1839" t="str">
            <v>20-161</v>
          </cell>
          <cell r="F1839" t="str">
            <v>Scanning Systems, Computed Tomography/ Positron Emission Tomography</v>
          </cell>
          <cell r="G1839" t="str">
            <v>NM</v>
          </cell>
          <cell r="H1839" t="str">
            <v>NUCLEAR MED (DIAGNOSTIC)</v>
          </cell>
          <cell r="I1839" t="str">
            <v>03NM158</v>
          </cell>
          <cell r="J1839" t="str">
            <v>BILIK SPECT-CT</v>
          </cell>
          <cell r="K1839" t="str">
            <v>BMED</v>
          </cell>
          <cell r="L1839" t="str">
            <v>Normal</v>
          </cell>
          <cell r="M1839" t="str">
            <v>CHINA</v>
          </cell>
          <cell r="N1839" t="str">
            <v>GE HEALTHCARE</v>
          </cell>
          <cell r="O1839" t="str">
            <v>NM/CT870DR</v>
          </cell>
          <cell r="P1839" t="str">
            <v>238155HL6</v>
          </cell>
          <cell r="R1839" t="str">
            <v>GE HEALTHCARE</v>
          </cell>
          <cell r="S1839" t="str">
            <v>GE HEALTHCARE SDN BHD</v>
          </cell>
          <cell r="T1839" t="str">
            <v>Functioning</v>
          </cell>
          <cell r="U1839" t="str">
            <v>Asset</v>
          </cell>
          <cell r="V1839">
            <v>3413750</v>
          </cell>
          <cell r="W1839" t="str">
            <v>KEW</v>
          </cell>
          <cell r="X1839">
            <v>45120</v>
          </cell>
          <cell r="Y1839" t="str">
            <v>KEW</v>
          </cell>
          <cell r="Z1839">
            <v>45315</v>
          </cell>
          <cell r="AA1839">
            <v>45681</v>
          </cell>
          <cell r="AB1839" t="str">
            <v>YES</v>
          </cell>
          <cell r="AC1839">
            <v>45315</v>
          </cell>
          <cell r="AD1839" t="str">
            <v>Good</v>
          </cell>
          <cell r="AE1839" t="str">
            <v>V3 - Added Installed Facilities (New)</v>
          </cell>
          <cell r="AF1839">
            <v>45508</v>
          </cell>
          <cell r="AJ1839" t="str">
            <v>Strands V3 P2.24</v>
          </cell>
        </row>
        <row r="1840">
          <cell r="A1840" t="str">
            <v>IKN402183</v>
          </cell>
          <cell r="B1840">
            <v>1829</v>
          </cell>
          <cell r="C1840" t="str">
            <v>Institut Kanser Negara</v>
          </cell>
          <cell r="D1840" t="str">
            <v>KKM/IKN/H/24/32-28</v>
          </cell>
          <cell r="F1840" t="str">
            <v>Physiologic Monitoring Systems, Acute Care</v>
          </cell>
          <cell r="G1840" t="str">
            <v>NM</v>
          </cell>
          <cell r="H1840" t="str">
            <v>NUCLEAR MED (DIAGNOSTIC)</v>
          </cell>
          <cell r="I1840" t="str">
            <v>03NM158</v>
          </cell>
          <cell r="J1840" t="str">
            <v>BILIK SPECT-CT</v>
          </cell>
          <cell r="K1840" t="str">
            <v>BMED</v>
          </cell>
          <cell r="L1840" t="str">
            <v>Normal</v>
          </cell>
          <cell r="M1840" t="str">
            <v>CHINA</v>
          </cell>
          <cell r="N1840" t="str">
            <v>GE HEALTHCARE</v>
          </cell>
          <cell r="O1840" t="str">
            <v>IVY CARDIAC TRIGGER MONITOR 7600</v>
          </cell>
          <cell r="P1840">
            <v>23091071</v>
          </cell>
          <cell r="R1840" t="str">
            <v>GE HEALTHCARE SDN BHD</v>
          </cell>
          <cell r="S1840" t="str">
            <v>TRUST ELECTRONIC ENGINEERING</v>
          </cell>
          <cell r="T1840" t="str">
            <v>Functioning</v>
          </cell>
          <cell r="U1840" t="str">
            <v>ASSET</v>
          </cell>
          <cell r="V1840" t="str">
            <v>RM100,00.00</v>
          </cell>
          <cell r="W1840" t="str">
            <v>KEW</v>
          </cell>
          <cell r="X1840">
            <v>45486</v>
          </cell>
          <cell r="Y1840" t="str">
            <v>KEW</v>
          </cell>
          <cell r="Z1840">
            <v>45579</v>
          </cell>
          <cell r="AA1840">
            <v>45681</v>
          </cell>
          <cell r="AB1840" t="str">
            <v>YES</v>
          </cell>
          <cell r="AC1840">
            <v>45315</v>
          </cell>
          <cell r="AD1840" t="str">
            <v>Good</v>
          </cell>
          <cell r="AE1840" t="str">
            <v>V3 - Added Installed Facilities (New)</v>
          </cell>
          <cell r="AF1840">
            <v>45579</v>
          </cell>
          <cell r="AG1840" t="str">
            <v>NA</v>
          </cell>
          <cell r="AH1840" t="str">
            <v>PPM</v>
          </cell>
          <cell r="AI1840" t="str">
            <v>NA</v>
          </cell>
          <cell r="AJ1840" t="str">
            <v>Strands V3 P2.24</v>
          </cell>
        </row>
        <row r="1841">
          <cell r="A1841" t="str">
            <v>IKN402184</v>
          </cell>
          <cell r="B1841">
            <v>1830</v>
          </cell>
          <cell r="C1841" t="str">
            <v>Institut Kanser Negara</v>
          </cell>
          <cell r="D1841" t="str">
            <v>KKM/IKN/H/24/32-29</v>
          </cell>
          <cell r="F1841" t="str">
            <v>Physiologic Monitoring Systems, Acute Care</v>
          </cell>
          <cell r="G1841" t="str">
            <v>NM</v>
          </cell>
          <cell r="H1841" t="str">
            <v>NUCLEAR MED (DIAGNOSTIC)</v>
          </cell>
          <cell r="I1841" t="str">
            <v>03NM162</v>
          </cell>
          <cell r="J1841" t="str">
            <v>BILIK SPECT-CT</v>
          </cell>
          <cell r="K1841" t="str">
            <v>BMED</v>
          </cell>
          <cell r="L1841" t="str">
            <v>Normal</v>
          </cell>
          <cell r="M1841" t="str">
            <v>CHINA</v>
          </cell>
          <cell r="N1841" t="str">
            <v>GE HEALTHCARE</v>
          </cell>
          <cell r="O1841" t="str">
            <v>IVY CARDIAC TRIGGER MONITOR 7601</v>
          </cell>
          <cell r="P1841">
            <v>23070049</v>
          </cell>
          <cell r="R1841" t="str">
            <v>GE HEALTHCARE SDN BHD</v>
          </cell>
          <cell r="S1841" t="str">
            <v>TRUST ELECTRONIC ENGINEERING</v>
          </cell>
          <cell r="T1841" t="str">
            <v>Functioning</v>
          </cell>
          <cell r="U1841" t="str">
            <v>ASSET</v>
          </cell>
          <cell r="V1841" t="str">
            <v>RM100,00.00</v>
          </cell>
          <cell r="W1841" t="str">
            <v>KEW</v>
          </cell>
          <cell r="X1841">
            <v>45120</v>
          </cell>
          <cell r="Y1841" t="str">
            <v>KEW</v>
          </cell>
          <cell r="Z1841">
            <v>45579</v>
          </cell>
          <cell r="AA1841">
            <v>45681</v>
          </cell>
          <cell r="AB1841" t="str">
            <v>YES</v>
          </cell>
          <cell r="AC1841">
            <v>45315</v>
          </cell>
          <cell r="AD1841" t="str">
            <v>Good</v>
          </cell>
          <cell r="AE1841" t="str">
            <v>V3 - Added Installed Facilities (New)</v>
          </cell>
          <cell r="AF1841">
            <v>45579</v>
          </cell>
          <cell r="AG1841" t="str">
            <v>NA</v>
          </cell>
          <cell r="AH1841" t="str">
            <v>PPM</v>
          </cell>
          <cell r="AI1841" t="str">
            <v>NA</v>
          </cell>
          <cell r="AJ1841" t="str">
            <v>Strands V3 P2.24</v>
          </cell>
        </row>
        <row r="1842">
          <cell r="A1842" t="str">
            <v>IKN402188</v>
          </cell>
          <cell r="C1842" t="str">
            <v>Institut Kanser Negara</v>
          </cell>
          <cell r="D1842" t="str">
            <v>KKM/IKN/H/24/33-09</v>
          </cell>
          <cell r="E1842" t="str">
            <v>12-716</v>
          </cell>
          <cell r="F1842" t="str">
            <v>Nebulizers, Nonheated</v>
          </cell>
          <cell r="G1842" t="str">
            <v>NM</v>
          </cell>
          <cell r="H1842" t="str">
            <v>NUCLEAR MED (DIAGNOSTIC)</v>
          </cell>
          <cell r="I1842" t="str">
            <v>03NM150</v>
          </cell>
          <cell r="J1842" t="str">
            <v>BILIK PROSEDUR VENTILASI</v>
          </cell>
          <cell r="M1842" t="str">
            <v>USA</v>
          </cell>
          <cell r="O1842" t="str">
            <v>TECHNEGAS PLUS</v>
          </cell>
          <cell r="P1842" t="str">
            <v>TP 232312</v>
          </cell>
          <cell r="Q1842" t="str">
            <v>Not Applicable</v>
          </cell>
          <cell r="R1842" t="str">
            <v>CYCLOMEDICA AUSTRALIA PTY LTD</v>
          </cell>
          <cell r="T1842" t="str">
            <v>Functioning</v>
          </cell>
          <cell r="U1842" t="str">
            <v>ASSET</v>
          </cell>
          <cell r="V1842">
            <v>277509</v>
          </cell>
          <cell r="W1842" t="str">
            <v>KEW</v>
          </cell>
          <cell r="X1842">
            <v>45120</v>
          </cell>
          <cell r="Y1842" t="str">
            <v>KEW</v>
          </cell>
          <cell r="Z1842">
            <v>45579</v>
          </cell>
          <cell r="AA1842">
            <v>45681</v>
          </cell>
          <cell r="AB1842" t="str">
            <v>YES</v>
          </cell>
          <cell r="AC1842">
            <v>45315</v>
          </cell>
          <cell r="AD1842" t="str">
            <v>Good</v>
          </cell>
          <cell r="AE1842" t="str">
            <v>V3 - Added Installed Facilities (New)</v>
          </cell>
          <cell r="AF1842">
            <v>45508</v>
          </cell>
          <cell r="AG1842" t="str">
            <v>NA</v>
          </cell>
          <cell r="AH1842" t="str">
            <v>PPM</v>
          </cell>
          <cell r="AI1842" t="str">
            <v>NA</v>
          </cell>
          <cell r="AJ1842" t="str">
            <v>Strands V3 P2.24</v>
          </cell>
        </row>
        <row r="1843">
          <cell r="A1843" t="str">
            <v>IKN402189</v>
          </cell>
          <cell r="C1843" t="str">
            <v>TnC indira bacti incenarator 7/11/2024</v>
          </cell>
          <cell r="F1843" t="str">
            <v>Bacti Incinerator/Infared Sterilizer</v>
          </cell>
          <cell r="G1843" t="str">
            <v>LA</v>
          </cell>
          <cell r="H1843" t="str">
            <v>PATHOLOGY</v>
          </cell>
          <cell r="AH1843" t="str">
            <v>PPM</v>
          </cell>
          <cell r="AI1843" t="str">
            <v>NA</v>
          </cell>
          <cell r="AJ1843" t="str">
            <v>Strands V3 P2.24</v>
          </cell>
        </row>
        <row r="1844">
          <cell r="A1844" t="str">
            <v>IKN402190</v>
          </cell>
          <cell r="C1844" t="str">
            <v>TnC indira bacti incenarator 7/11/2024</v>
          </cell>
          <cell r="F1844" t="str">
            <v>Bacti Incinerator/Infared Sterilizer</v>
          </cell>
          <cell r="G1844" t="str">
            <v>LA</v>
          </cell>
          <cell r="H1844" t="str">
            <v>PATHOLOGY</v>
          </cell>
        </row>
        <row r="1845">
          <cell r="A1845" t="str">
            <v>IKN402191</v>
          </cell>
          <cell r="C1845" t="str">
            <v>TnC indira bacti incenarator 7/11/2024</v>
          </cell>
          <cell r="F1845" t="str">
            <v>Bacti Incinerator/Infared Sterilizer</v>
          </cell>
          <cell r="G1845" t="str">
            <v>LA</v>
          </cell>
          <cell r="H1845" t="str">
            <v>PATHOLOGY</v>
          </cell>
        </row>
        <row r="1846">
          <cell r="A1846" t="str">
            <v>IKN402192</v>
          </cell>
          <cell r="C1846" t="str">
            <v>TnC fareez 19/11/2024</v>
          </cell>
          <cell r="F1846" t="str">
            <v>Defibrillator Machine</v>
          </cell>
          <cell r="G1846" t="str">
            <v>ED</v>
          </cell>
          <cell r="H1846" t="str">
            <v>EMERGENCY UNIT</v>
          </cell>
        </row>
        <row r="1847">
          <cell r="A1847" t="str">
            <v>IKN402193</v>
          </cell>
          <cell r="C1847" t="str">
            <v>TnC fareez 19/11/2024</v>
          </cell>
          <cell r="F1847" t="str">
            <v>Automated External Defibrillator (AED) Machine</v>
          </cell>
          <cell r="G1847" t="str">
            <v>ED</v>
          </cell>
          <cell r="H1847" t="str">
            <v>EMERGENCY UNIT</v>
          </cell>
        </row>
        <row r="1848">
          <cell r="A1848" t="str">
            <v>IKN402193</v>
          </cell>
          <cell r="C1848" t="str">
            <v>TnC fareez 19/11/2024</v>
          </cell>
          <cell r="F1848" t="str">
            <v>Automated External Defibrillator (AED) Machine</v>
          </cell>
          <cell r="G1848" t="str">
            <v>ED</v>
          </cell>
          <cell r="H1848" t="str">
            <v>EMERGENCY UNIT</v>
          </cell>
        </row>
        <row r="1849">
          <cell r="A1849" t="str">
            <v>IKN402194</v>
          </cell>
          <cell r="C1849" t="str">
            <v>TnC Anis 23/1/2025</v>
          </cell>
          <cell r="D1849" t="str">
            <v>KKM/IKN/H/25/14</v>
          </cell>
          <cell r="F1849" t="str">
            <v>Ultrasound Echo</v>
          </cell>
          <cell r="G1849" t="str">
            <v>OC</v>
          </cell>
          <cell r="H1849" t="str">
            <v>ONCOLOGY CLINIC</v>
          </cell>
          <cell r="I1849" t="str">
            <v>03OC136</v>
          </cell>
          <cell r="K1849" t="str">
            <v>BMED</v>
          </cell>
          <cell r="L1849" t="str">
            <v>NORMAL</v>
          </cell>
          <cell r="O1849" t="str">
            <v>IE 33</v>
          </cell>
          <cell r="P1849" t="str">
            <v>B009BF</v>
          </cell>
          <cell r="R1849" t="str">
            <v>PHILIPS</v>
          </cell>
          <cell r="T1849" t="str">
            <v>FUNCTIONING</v>
          </cell>
          <cell r="U1849" t="str">
            <v>ASSET</v>
          </cell>
          <cell r="V1849">
            <v>1454500</v>
          </cell>
          <cell r="AC1849">
            <v>45680</v>
          </cell>
          <cell r="AD1849" t="str">
            <v>GOOD</v>
          </cell>
        </row>
      </sheetData>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
      <sheetName val="B4-UPTIME"/>
      <sheetName val="B5-T&amp;C"/>
      <sheetName val="Sheet1"/>
      <sheetName val="Sheet2"/>
    </sheetNames>
    <sheetDataSet>
      <sheetData sheetId="0" refreshError="1"/>
      <sheetData sheetId="1" refreshError="1"/>
      <sheetData sheetId="2" refreshError="1"/>
      <sheetData sheetId="3" refreshError="1">
        <row r="24">
          <cell r="O24">
            <v>0</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11"/>
  <sheetViews>
    <sheetView showGridLines="0" zoomScale="70" zoomScaleNormal="70" workbookViewId="0">
      <selection activeCell="M4" sqref="M4"/>
    </sheetView>
  </sheetViews>
  <sheetFormatPr defaultColWidth="9.1796875" defaultRowHeight="14"/>
  <cols>
    <col min="1" max="1" width="15.54296875" style="335" customWidth="1"/>
    <col min="2" max="2" width="21.1796875" style="335" customWidth="1"/>
    <col min="3" max="3" width="23" style="335" customWidth="1"/>
    <col min="4" max="4" width="3" style="335" customWidth="1"/>
    <col min="5" max="5" width="15.81640625" style="335" customWidth="1"/>
    <col min="6" max="6" width="17.1796875" style="335" customWidth="1"/>
    <col min="7" max="7" width="17.54296875" style="335" customWidth="1"/>
    <col min="8" max="8" width="13" style="335" customWidth="1"/>
    <col min="9" max="9" width="12.54296875" style="335" customWidth="1"/>
    <col min="10" max="10" width="15.81640625" style="335" customWidth="1"/>
    <col min="11" max="14" width="20" style="335" customWidth="1"/>
    <col min="15" max="16384" width="9.1796875" style="335"/>
  </cols>
  <sheetData>
    <row r="1" spans="1:15" s="334" customFormat="1" ht="31.5" customHeight="1">
      <c r="A1" s="680" t="s">
        <v>0</v>
      </c>
      <c r="B1" s="651" t="s">
        <v>1</v>
      </c>
      <c r="C1" s="652"/>
      <c r="D1" s="653"/>
      <c r="E1" s="645" t="s">
        <v>2</v>
      </c>
      <c r="F1" s="645" t="s">
        <v>3</v>
      </c>
      <c r="G1" s="645"/>
      <c r="H1" s="651" t="s">
        <v>4</v>
      </c>
      <c r="I1" s="653"/>
      <c r="J1" s="645" t="s">
        <v>5</v>
      </c>
    </row>
    <row r="2" spans="1:15" s="334" customFormat="1" ht="26.25" customHeight="1">
      <c r="A2" s="681"/>
      <c r="B2" s="654"/>
      <c r="C2" s="655"/>
      <c r="D2" s="656"/>
      <c r="E2" s="646"/>
      <c r="F2" s="338" t="s">
        <v>6</v>
      </c>
      <c r="G2" s="338" t="s">
        <v>7</v>
      </c>
      <c r="H2" s="657"/>
      <c r="I2" s="658"/>
      <c r="J2" s="646"/>
    </row>
    <row r="3" spans="1:15" ht="140">
      <c r="A3" s="336" t="s">
        <v>8</v>
      </c>
      <c r="B3" s="688" t="s">
        <v>9</v>
      </c>
      <c r="C3" s="689"/>
      <c r="D3" s="690"/>
      <c r="E3" s="339" t="s">
        <v>10</v>
      </c>
      <c r="F3" s="339" t="s">
        <v>11</v>
      </c>
      <c r="G3" s="339" t="s">
        <v>12</v>
      </c>
      <c r="H3" s="676" t="s">
        <v>13</v>
      </c>
      <c r="I3" s="677"/>
      <c r="J3" s="339">
        <v>1</v>
      </c>
    </row>
    <row r="4" spans="1:15" ht="140">
      <c r="A4" s="337" t="s">
        <v>14</v>
      </c>
      <c r="B4" s="688" t="s">
        <v>15</v>
      </c>
      <c r="C4" s="689"/>
      <c r="D4" s="690"/>
      <c r="E4" s="339" t="s">
        <v>16</v>
      </c>
      <c r="F4" s="340" t="s">
        <v>11</v>
      </c>
      <c r="G4" s="340" t="s">
        <v>12</v>
      </c>
      <c r="H4" s="678" t="s">
        <v>13</v>
      </c>
      <c r="I4" s="679"/>
      <c r="J4" s="339" t="s">
        <v>17</v>
      </c>
    </row>
    <row r="5" spans="1:15" ht="140">
      <c r="A5" s="682" t="s">
        <v>18</v>
      </c>
      <c r="B5" s="659" t="s">
        <v>19</v>
      </c>
      <c r="C5" s="660"/>
      <c r="D5" s="661"/>
      <c r="E5" s="647" t="s">
        <v>10</v>
      </c>
      <c r="F5" s="342" t="s">
        <v>20</v>
      </c>
      <c r="G5" s="342" t="s">
        <v>21</v>
      </c>
      <c r="H5" s="647" t="s">
        <v>13</v>
      </c>
      <c r="I5" s="647"/>
      <c r="J5" s="647">
        <v>1</v>
      </c>
    </row>
    <row r="6" spans="1:15" ht="35.25" customHeight="1">
      <c r="A6" s="683"/>
      <c r="B6" s="662"/>
      <c r="C6" s="663"/>
      <c r="D6" s="664"/>
      <c r="E6" s="648"/>
      <c r="F6" s="648" t="s">
        <v>22</v>
      </c>
      <c r="G6" s="648"/>
      <c r="H6" s="648"/>
      <c r="I6" s="648"/>
      <c r="J6" s="648"/>
    </row>
    <row r="7" spans="1:15" ht="58">
      <c r="A7" s="684" t="s">
        <v>23</v>
      </c>
      <c r="B7" s="665" t="s">
        <v>24</v>
      </c>
      <c r="C7" s="666"/>
      <c r="D7" s="667"/>
      <c r="E7" s="649" t="s">
        <v>10</v>
      </c>
      <c r="F7" s="343"/>
      <c r="G7" s="344"/>
      <c r="H7" s="345" t="s">
        <v>25</v>
      </c>
      <c r="I7" s="348" t="s">
        <v>26</v>
      </c>
      <c r="J7" s="649">
        <v>2</v>
      </c>
    </row>
    <row r="8" spans="1:15" ht="144.75" customHeight="1">
      <c r="A8" s="685"/>
      <c r="B8" s="662"/>
      <c r="C8" s="663"/>
      <c r="D8" s="664"/>
      <c r="E8" s="649"/>
      <c r="F8" s="341" t="s">
        <v>20</v>
      </c>
      <c r="G8" s="346" t="s">
        <v>21</v>
      </c>
      <c r="H8" s="340" t="s">
        <v>13</v>
      </c>
      <c r="I8" s="340" t="s">
        <v>27</v>
      </c>
      <c r="J8" s="649"/>
      <c r="K8" s="349"/>
      <c r="L8" s="349"/>
      <c r="M8" s="349"/>
      <c r="N8" s="349"/>
      <c r="O8" s="350"/>
    </row>
    <row r="9" spans="1:15" ht="55.5" customHeight="1">
      <c r="A9" s="686"/>
      <c r="B9" s="668"/>
      <c r="C9" s="669"/>
      <c r="D9" s="670"/>
      <c r="E9" s="649"/>
      <c r="F9" s="671" t="s">
        <v>28</v>
      </c>
      <c r="G9" s="672"/>
      <c r="H9" s="672"/>
      <c r="I9" s="673"/>
      <c r="J9" s="649"/>
    </row>
    <row r="10" spans="1:15" ht="140">
      <c r="A10" s="687" t="s">
        <v>29</v>
      </c>
      <c r="B10" s="665" t="s">
        <v>30</v>
      </c>
      <c r="C10" s="666"/>
      <c r="D10" s="667"/>
      <c r="E10" s="648" t="s">
        <v>10</v>
      </c>
      <c r="F10" s="343" t="s">
        <v>20</v>
      </c>
      <c r="G10" s="347" t="s">
        <v>21</v>
      </c>
      <c r="H10" s="674" t="s">
        <v>13</v>
      </c>
      <c r="I10" s="675"/>
      <c r="J10" s="648">
        <v>1</v>
      </c>
    </row>
    <row r="11" spans="1:15" ht="36.75" customHeight="1">
      <c r="A11" s="687"/>
      <c r="B11" s="668"/>
      <c r="C11" s="669"/>
      <c r="D11" s="670"/>
      <c r="E11" s="650"/>
      <c r="F11" s="649" t="s">
        <v>22</v>
      </c>
      <c r="G11" s="649"/>
      <c r="H11" s="649"/>
      <c r="I11" s="649"/>
      <c r="J11" s="650"/>
    </row>
  </sheetData>
  <mergeCells count="27">
    <mergeCell ref="H4:I4"/>
    <mergeCell ref="A1:A2"/>
    <mergeCell ref="A5:A6"/>
    <mergeCell ref="A7:A9"/>
    <mergeCell ref="A10:A11"/>
    <mergeCell ref="E1:E2"/>
    <mergeCell ref="E5:E6"/>
    <mergeCell ref="E7:E9"/>
    <mergeCell ref="E10:E11"/>
    <mergeCell ref="B3:D3"/>
    <mergeCell ref="B4:D4"/>
    <mergeCell ref="J1:J2"/>
    <mergeCell ref="J5:J6"/>
    <mergeCell ref="J7:J9"/>
    <mergeCell ref="J10:J11"/>
    <mergeCell ref="B1:D2"/>
    <mergeCell ref="H1:I2"/>
    <mergeCell ref="B5:D6"/>
    <mergeCell ref="B7:D9"/>
    <mergeCell ref="B10:D11"/>
    <mergeCell ref="H5:I5"/>
    <mergeCell ref="F6:I6"/>
    <mergeCell ref="F9:I9"/>
    <mergeCell ref="H10:I10"/>
    <mergeCell ref="F11:I11"/>
    <mergeCell ref="F1:G1"/>
    <mergeCell ref="H3:I3"/>
  </mergeCells>
  <pageMargins left="0.61" right="0.38" top="0.85" bottom="0.28000000000000003" header="0.71" footer="0.23"/>
  <pageSetup paperSize="9" scale="55" orientation="portrait"/>
  <drawing r:id="rId1"/>
  <legacyDrawing r:id="rId2"/>
  <oleObjects>
    <mc:AlternateContent xmlns:mc="http://schemas.openxmlformats.org/markup-compatibility/2006">
      <mc:Choice Requires="x14">
        <oleObject progId="PBrush" shapeId="1025" r:id="rId3">
          <objectPr defaultSize="0" altText="" r:id="rId4">
            <anchor moveWithCells="1" sizeWithCells="1">
              <from>
                <xdr:col>0</xdr:col>
                <xdr:colOff>31750</xdr:colOff>
                <xdr:row>0</xdr:row>
                <xdr:rowOff>0</xdr:rowOff>
              </from>
              <to>
                <xdr:col>1</xdr:col>
                <xdr:colOff>876300</xdr:colOff>
                <xdr:row>0</xdr:row>
                <xdr:rowOff>0</xdr:rowOff>
              </to>
            </anchor>
          </objectPr>
        </oleObject>
      </mc:Choice>
      <mc:Fallback>
        <oleObject progId="PBrush"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9"/>
  <sheetViews>
    <sheetView topLeftCell="A40" zoomScaleNormal="100" workbookViewId="0">
      <selection activeCell="B22" sqref="B22"/>
    </sheetView>
  </sheetViews>
  <sheetFormatPr defaultColWidth="9.54296875" defaultRowHeight="12.5"/>
  <cols>
    <col min="1" max="1" width="17.54296875" style="329" customWidth="1"/>
    <col min="2" max="2" width="8.81640625" style="330" customWidth="1"/>
    <col min="3" max="3" width="51" style="330" customWidth="1"/>
    <col min="4" max="4" width="33.1796875" style="330" customWidth="1"/>
    <col min="5" max="16384" width="9.54296875" style="330"/>
  </cols>
  <sheetData>
    <row r="1" spans="1:4">
      <c r="A1" s="329" t="s">
        <v>31</v>
      </c>
    </row>
    <row r="2" spans="1:4">
      <c r="A2" s="331" t="s">
        <v>32</v>
      </c>
      <c r="B2" s="332" t="s">
        <v>33</v>
      </c>
      <c r="C2" s="332" t="s">
        <v>34</v>
      </c>
      <c r="D2" s="332" t="s">
        <v>35</v>
      </c>
    </row>
    <row r="3" spans="1:4">
      <c r="A3" s="331"/>
      <c r="B3" s="332"/>
      <c r="C3" s="332"/>
      <c r="D3" s="332"/>
    </row>
    <row r="4" spans="1:4">
      <c r="A4" s="331">
        <v>46023</v>
      </c>
      <c r="B4" s="332" t="s">
        <v>40</v>
      </c>
      <c r="C4" s="332" t="s">
        <v>37</v>
      </c>
      <c r="D4" s="332" t="s">
        <v>38</v>
      </c>
    </row>
    <row r="5" spans="1:4">
      <c r="A5" s="331"/>
      <c r="B5" s="332"/>
      <c r="C5" s="332"/>
      <c r="D5" s="332"/>
    </row>
    <row r="6" spans="1:4">
      <c r="A6" s="331">
        <v>46070</v>
      </c>
      <c r="B6" s="332" t="s">
        <v>44</v>
      </c>
      <c r="C6" s="332" t="s">
        <v>39</v>
      </c>
      <c r="D6" s="332" t="s">
        <v>38</v>
      </c>
    </row>
    <row r="7" spans="1:4">
      <c r="A7" s="331"/>
      <c r="B7" s="332"/>
      <c r="C7" s="332"/>
      <c r="D7" s="332"/>
    </row>
    <row r="8" spans="1:4">
      <c r="A8" s="331">
        <v>46071</v>
      </c>
      <c r="B8" s="332" t="s">
        <v>36</v>
      </c>
      <c r="C8" s="332" t="s">
        <v>41</v>
      </c>
      <c r="D8" s="332" t="s">
        <v>38</v>
      </c>
    </row>
    <row r="9" spans="1:4">
      <c r="A9" s="331"/>
      <c r="B9" s="332"/>
      <c r="C9" s="332"/>
      <c r="D9" s="332"/>
    </row>
    <row r="10" spans="1:4">
      <c r="A10" s="331">
        <v>46055</v>
      </c>
      <c r="B10" s="332" t="s">
        <v>50</v>
      </c>
      <c r="C10" s="332" t="s">
        <v>43</v>
      </c>
      <c r="D10" s="332" t="s">
        <v>38</v>
      </c>
    </row>
    <row r="11" spans="1:4">
      <c r="A11" s="331"/>
      <c r="B11" s="332"/>
      <c r="C11" s="332"/>
      <c r="D11" s="332"/>
    </row>
    <row r="12" spans="1:4">
      <c r="A12" s="331">
        <v>46055</v>
      </c>
      <c r="B12" s="332" t="s">
        <v>50</v>
      </c>
      <c r="C12" s="332" t="s">
        <v>45</v>
      </c>
      <c r="D12" s="332" t="s">
        <v>38</v>
      </c>
    </row>
    <row r="13" spans="1:4">
      <c r="A13" s="331"/>
      <c r="B13" s="332"/>
      <c r="C13" s="332"/>
      <c r="D13" s="332"/>
    </row>
    <row r="14" spans="1:4">
      <c r="A14" s="331">
        <v>46088</v>
      </c>
      <c r="B14" s="332" t="s">
        <v>42</v>
      </c>
      <c r="C14" s="332" t="s">
        <v>46</v>
      </c>
      <c r="D14" s="332" t="s">
        <v>38</v>
      </c>
    </row>
    <row r="15" spans="1:4">
      <c r="A15" s="331"/>
      <c r="B15" s="332"/>
      <c r="C15" s="332"/>
      <c r="D15" s="332"/>
    </row>
    <row r="16" spans="1:4">
      <c r="A16" s="331">
        <v>46101</v>
      </c>
      <c r="B16" s="332" t="s">
        <v>42</v>
      </c>
      <c r="C16" s="332" t="s">
        <v>47</v>
      </c>
      <c r="D16" s="332" t="s">
        <v>38</v>
      </c>
    </row>
    <row r="17" spans="1:4">
      <c r="A17" s="597"/>
      <c r="B17" s="598"/>
      <c r="C17" s="598"/>
      <c r="D17" s="598"/>
    </row>
    <row r="18" spans="1:4">
      <c r="A18" s="331">
        <v>46102</v>
      </c>
      <c r="B18" s="332" t="s">
        <v>42</v>
      </c>
      <c r="C18" s="332" t="s">
        <v>47</v>
      </c>
      <c r="D18" s="332" t="s">
        <v>38</v>
      </c>
    </row>
    <row r="19" spans="1:4">
      <c r="A19" s="331"/>
      <c r="B19" s="332"/>
      <c r="C19" s="332"/>
      <c r="D19" s="332"/>
    </row>
    <row r="20" spans="1:4">
      <c r="A20" s="331">
        <v>46103</v>
      </c>
      <c r="B20" s="332" t="s">
        <v>54</v>
      </c>
      <c r="C20" s="332" t="s">
        <v>48</v>
      </c>
      <c r="D20" s="332" t="s">
        <v>38</v>
      </c>
    </row>
    <row r="21" spans="1:4">
      <c r="A21" s="597"/>
      <c r="B21" s="598"/>
      <c r="C21" s="598"/>
      <c r="D21" s="598"/>
    </row>
    <row r="22" spans="1:4">
      <c r="A22" s="331">
        <v>46104</v>
      </c>
      <c r="B22" s="332" t="s">
        <v>54</v>
      </c>
      <c r="C22" s="332" t="s">
        <v>48</v>
      </c>
      <c r="D22" s="332" t="s">
        <v>38</v>
      </c>
    </row>
    <row r="23" spans="1:4">
      <c r="A23" s="331"/>
      <c r="B23" s="332"/>
      <c r="C23" s="332"/>
      <c r="D23" s="332"/>
    </row>
    <row r="24" spans="1:4">
      <c r="A24" s="331">
        <v>46143</v>
      </c>
      <c r="B24" s="332" t="s">
        <v>56</v>
      </c>
      <c r="C24" s="332" t="s">
        <v>49</v>
      </c>
      <c r="D24" s="332" t="s">
        <v>38</v>
      </c>
    </row>
    <row r="25" spans="1:4">
      <c r="A25" s="331"/>
      <c r="B25" s="332"/>
      <c r="C25" s="332"/>
      <c r="D25" s="332"/>
    </row>
    <row r="26" spans="1:4">
      <c r="A26" s="331">
        <v>46173</v>
      </c>
      <c r="B26" s="332" t="s">
        <v>54</v>
      </c>
      <c r="C26" s="332" t="s">
        <v>51</v>
      </c>
      <c r="D26" s="332" t="s">
        <v>38</v>
      </c>
    </row>
    <row r="27" spans="1:4">
      <c r="A27" s="331"/>
      <c r="B27" s="332"/>
      <c r="C27" s="332"/>
      <c r="D27" s="332"/>
    </row>
    <row r="28" spans="1:4">
      <c r="A28" s="331">
        <v>46174</v>
      </c>
      <c r="B28" s="332" t="s">
        <v>50</v>
      </c>
      <c r="C28" s="332" t="s">
        <v>52</v>
      </c>
      <c r="D28" s="332" t="s">
        <v>38</v>
      </c>
    </row>
    <row r="29" spans="1:4">
      <c r="A29" s="331"/>
      <c r="B29" s="332"/>
      <c r="C29" s="332"/>
      <c r="D29" s="332"/>
    </row>
    <row r="30" spans="1:4">
      <c r="A30" s="331">
        <v>46169</v>
      </c>
      <c r="B30" s="332" t="s">
        <v>36</v>
      </c>
      <c r="C30" s="332" t="s">
        <v>53</v>
      </c>
      <c r="D30" s="332" t="s">
        <v>38</v>
      </c>
    </row>
    <row r="31" spans="1:4">
      <c r="A31" s="331"/>
      <c r="B31" s="332"/>
      <c r="C31" s="332"/>
      <c r="D31" s="332"/>
    </row>
    <row r="32" spans="1:4">
      <c r="A32" s="331">
        <v>46170</v>
      </c>
      <c r="B32" s="332" t="s">
        <v>40</v>
      </c>
      <c r="C32" s="332" t="s">
        <v>55</v>
      </c>
      <c r="D32" s="332" t="s">
        <v>38</v>
      </c>
    </row>
    <row r="33" spans="1:4">
      <c r="A33" s="331"/>
      <c r="B33" s="332"/>
      <c r="C33" s="332"/>
      <c r="D33" s="332"/>
    </row>
    <row r="34" spans="1:4">
      <c r="A34" s="331">
        <v>46190</v>
      </c>
      <c r="B34" s="332" t="s">
        <v>36</v>
      </c>
      <c r="C34" s="332" t="s">
        <v>57</v>
      </c>
      <c r="D34" s="332" t="s">
        <v>38</v>
      </c>
    </row>
    <row r="35" spans="1:4">
      <c r="A35" s="331"/>
      <c r="B35" s="332"/>
      <c r="C35" s="332"/>
      <c r="D35" s="332"/>
    </row>
    <row r="36" spans="1:4">
      <c r="A36" s="331">
        <v>46265</v>
      </c>
      <c r="B36" s="332" t="s">
        <v>50</v>
      </c>
      <c r="C36" s="332" t="s">
        <v>58</v>
      </c>
      <c r="D36" s="332" t="s">
        <v>38</v>
      </c>
    </row>
    <row r="37" spans="1:4">
      <c r="A37" s="331"/>
      <c r="B37" s="332"/>
      <c r="C37" s="332"/>
      <c r="D37" s="332"/>
    </row>
    <row r="38" spans="1:4">
      <c r="A38" s="331">
        <v>46259</v>
      </c>
      <c r="B38" s="332" t="s">
        <v>44</v>
      </c>
      <c r="C38" s="332" t="s">
        <v>59</v>
      </c>
      <c r="D38" s="332" t="s">
        <v>38</v>
      </c>
    </row>
    <row r="39" spans="1:4">
      <c r="A39" s="331"/>
      <c r="B39" s="332"/>
      <c r="C39" s="332"/>
      <c r="D39" s="332"/>
    </row>
    <row r="40" spans="1:4">
      <c r="A40" s="331">
        <v>46281</v>
      </c>
      <c r="B40" s="332" t="s">
        <v>36</v>
      </c>
      <c r="C40" s="332" t="s">
        <v>60</v>
      </c>
      <c r="D40" s="332" t="s">
        <v>38</v>
      </c>
    </row>
    <row r="41" spans="1:4">
      <c r="A41" s="331"/>
      <c r="B41" s="332"/>
      <c r="C41" s="332"/>
      <c r="D41" s="332"/>
    </row>
    <row r="42" spans="1:4">
      <c r="A42" s="331">
        <v>46334</v>
      </c>
      <c r="B42" s="332" t="s">
        <v>54</v>
      </c>
      <c r="C42" s="332" t="s">
        <v>61</v>
      </c>
      <c r="D42" s="332" t="s">
        <v>38</v>
      </c>
    </row>
    <row r="43" spans="1:4">
      <c r="A43" s="331"/>
      <c r="B43" s="332"/>
      <c r="C43" s="332"/>
      <c r="D43" s="332"/>
    </row>
    <row r="44" spans="1:4">
      <c r="A44" s="331">
        <v>46335</v>
      </c>
      <c r="B44" s="332" t="s">
        <v>50</v>
      </c>
      <c r="C44" s="332" t="s">
        <v>435</v>
      </c>
      <c r="D44" s="332" t="s">
        <v>38</v>
      </c>
    </row>
    <row r="45" spans="1:4">
      <c r="A45" s="331"/>
      <c r="B45" s="332"/>
      <c r="C45" s="332"/>
      <c r="D45" s="332"/>
    </row>
    <row r="46" spans="1:4">
      <c r="A46" s="331">
        <v>46381</v>
      </c>
      <c r="B46" s="332" t="s">
        <v>56</v>
      </c>
      <c r="C46" s="332" t="s">
        <v>62</v>
      </c>
      <c r="D46" s="332" t="s">
        <v>38</v>
      </c>
    </row>
    <row r="47" spans="1:4">
      <c r="A47" s="331"/>
      <c r="B47" s="332"/>
      <c r="C47" s="332"/>
      <c r="D47" s="332"/>
    </row>
    <row r="49" spans="1:1">
      <c r="A49" s="333" t="s">
        <v>63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4"/>
  <sheetViews>
    <sheetView tabSelected="1" topLeftCell="A20" zoomScale="90" zoomScaleNormal="90" zoomScaleSheetLayoutView="70" workbookViewId="0">
      <selection activeCell="M28" sqref="M28"/>
    </sheetView>
  </sheetViews>
  <sheetFormatPr defaultColWidth="9.1796875" defaultRowHeight="12.5"/>
  <cols>
    <col min="1" max="1" width="5.453125" style="293" customWidth="1"/>
    <col min="2" max="2" width="3.1796875" style="293" customWidth="1"/>
    <col min="3" max="3" width="12.81640625" style="293" customWidth="1"/>
    <col min="4" max="4" width="16.81640625" style="293" customWidth="1"/>
    <col min="5" max="5" width="23.1796875" style="293" customWidth="1"/>
    <col min="6" max="6" width="13.1796875" style="293" customWidth="1"/>
    <col min="7" max="7" width="15.54296875" style="293" customWidth="1"/>
    <col min="8" max="8" width="14.1796875" style="293" customWidth="1"/>
    <col min="9" max="11" width="5.81640625" style="293" customWidth="1"/>
    <col min="12" max="13" width="10.81640625" style="293" customWidth="1"/>
    <col min="14" max="14" width="11.7265625" style="293" bestFit="1" customWidth="1"/>
    <col min="15" max="15" width="12.1796875" style="293" customWidth="1"/>
    <col min="16" max="16384" width="9.1796875" style="293"/>
  </cols>
  <sheetData>
    <row r="1" spans="1:22" s="289" customFormat="1" ht="66" customHeight="1">
      <c r="A1" s="715" t="s">
        <v>64</v>
      </c>
      <c r="B1" s="715"/>
      <c r="C1" s="715"/>
      <c r="D1" s="715"/>
      <c r="E1" s="715"/>
      <c r="F1" s="715"/>
      <c r="G1" s="715"/>
      <c r="H1" s="715"/>
      <c r="I1" s="715"/>
      <c r="J1" s="715"/>
      <c r="K1" s="715"/>
      <c r="L1" s="715"/>
      <c r="M1" s="715"/>
      <c r="N1" s="715"/>
      <c r="O1" s="715"/>
      <c r="P1" s="317"/>
      <c r="Q1" s="317"/>
      <c r="R1" s="317"/>
      <c r="S1" s="317"/>
      <c r="T1" s="317"/>
      <c r="U1" s="317"/>
      <c r="V1" s="317"/>
    </row>
    <row r="2" spans="1:22" s="289" customFormat="1" ht="38.25" customHeight="1">
      <c r="A2" s="716" t="s">
        <v>65</v>
      </c>
      <c r="B2" s="716"/>
      <c r="C2" s="716"/>
      <c r="D2" s="716"/>
      <c r="E2" s="716"/>
      <c r="F2" s="716"/>
      <c r="G2" s="716"/>
      <c r="H2" s="716"/>
      <c r="I2" s="716"/>
      <c r="J2" s="716"/>
      <c r="K2" s="716"/>
      <c r="L2" s="716"/>
      <c r="M2" s="716"/>
      <c r="N2" s="716"/>
      <c r="O2" s="716"/>
      <c r="P2" s="318"/>
      <c r="Q2" s="318"/>
      <c r="R2" s="318"/>
      <c r="S2" s="318"/>
      <c r="T2" s="318"/>
      <c r="U2" s="318"/>
      <c r="V2" s="318"/>
    </row>
    <row r="3" spans="1:22" s="289" customFormat="1" ht="11.25" customHeight="1">
      <c r="A3" s="717"/>
      <c r="B3" s="717"/>
      <c r="C3" s="717"/>
      <c r="D3" s="717"/>
      <c r="E3" s="717"/>
      <c r="F3" s="717"/>
      <c r="G3" s="717"/>
      <c r="H3" s="717"/>
      <c r="I3" s="717"/>
      <c r="J3" s="717"/>
      <c r="K3" s="717"/>
      <c r="L3" s="717"/>
      <c r="M3" s="717"/>
      <c r="N3" s="717"/>
      <c r="O3" s="717"/>
      <c r="P3" s="317"/>
      <c r="Q3" s="317"/>
      <c r="R3" s="317"/>
      <c r="S3" s="317"/>
      <c r="T3" s="317"/>
      <c r="U3" s="317"/>
      <c r="V3" s="317"/>
    </row>
    <row r="4" spans="1:22" s="101" customFormat="1" ht="10.5" customHeight="1">
      <c r="A4" s="102"/>
      <c r="B4" s="71"/>
      <c r="C4" s="71"/>
      <c r="D4" s="71"/>
      <c r="E4" s="303"/>
      <c r="F4" s="303"/>
      <c r="G4" s="71"/>
      <c r="H4" s="71"/>
      <c r="I4" s="71"/>
      <c r="J4" s="71"/>
      <c r="K4" s="71"/>
      <c r="L4" s="71"/>
      <c r="M4" s="71"/>
      <c r="N4" s="71"/>
      <c r="O4" s="71"/>
      <c r="P4" s="71"/>
      <c r="Q4" s="71"/>
      <c r="R4" s="71"/>
      <c r="S4" s="71"/>
      <c r="T4" s="71"/>
      <c r="U4" s="71"/>
      <c r="V4" s="71"/>
    </row>
    <row r="5" spans="1:22" s="290" customFormat="1" ht="13" customHeight="1">
      <c r="B5" s="294"/>
      <c r="C5" s="294"/>
      <c r="D5" s="294" t="s">
        <v>66</v>
      </c>
      <c r="E5" s="718" t="s">
        <v>67</v>
      </c>
      <c r="F5" s="718"/>
      <c r="G5" s="304"/>
      <c r="H5" s="294"/>
      <c r="I5" s="294" t="s">
        <v>68</v>
      </c>
      <c r="J5" s="709" t="s">
        <v>69</v>
      </c>
      <c r="K5" s="710"/>
      <c r="L5" s="710"/>
      <c r="M5" s="711"/>
      <c r="N5" s="304"/>
      <c r="O5" s="314"/>
      <c r="P5" s="319"/>
      <c r="V5" s="327"/>
    </row>
    <row r="6" spans="1:22" s="290" customFormat="1" ht="8.15" customHeight="1">
      <c r="B6" s="294"/>
      <c r="C6" s="294"/>
      <c r="D6" s="294"/>
      <c r="E6" s="294"/>
      <c r="F6" s="294"/>
      <c r="G6" s="305"/>
      <c r="I6" s="294"/>
      <c r="J6" s="294"/>
      <c r="K6" s="294"/>
      <c r="L6" s="294"/>
      <c r="M6" s="294"/>
      <c r="N6" s="320"/>
      <c r="O6" s="320"/>
      <c r="P6" s="321"/>
      <c r="V6" s="327"/>
    </row>
    <row r="7" spans="1:22" s="290" customFormat="1" ht="13" customHeight="1">
      <c r="B7" s="294"/>
      <c r="C7" s="294"/>
      <c r="D7" s="294" t="s">
        <v>70</v>
      </c>
      <c r="E7" s="707">
        <v>46082</v>
      </c>
      <c r="F7" s="708"/>
      <c r="G7" s="304"/>
      <c r="I7" s="294" t="s">
        <v>71</v>
      </c>
      <c r="J7" s="709" t="s">
        <v>72</v>
      </c>
      <c r="K7" s="710"/>
      <c r="L7" s="710"/>
      <c r="M7" s="711"/>
      <c r="N7" s="304"/>
      <c r="O7" s="322"/>
      <c r="P7" s="319"/>
      <c r="V7" s="327"/>
    </row>
    <row r="8" spans="1:22" s="290" customFormat="1" ht="8.15" customHeight="1">
      <c r="B8" s="294"/>
      <c r="C8" s="294"/>
      <c r="D8" s="294"/>
      <c r="E8" s="351" t="s">
        <v>73</v>
      </c>
      <c r="F8" s="294"/>
      <c r="G8" s="305"/>
      <c r="I8" s="294"/>
      <c r="J8" s="294"/>
      <c r="K8" s="294"/>
      <c r="L8" s="294"/>
      <c r="M8" s="294"/>
      <c r="N8" s="323"/>
      <c r="O8" s="323"/>
      <c r="P8" s="323"/>
      <c r="V8" s="327"/>
    </row>
    <row r="9" spans="1:22" s="290" customFormat="1" ht="13" customHeight="1">
      <c r="A9" s="702" t="s">
        <v>74</v>
      </c>
      <c r="B9" s="702"/>
      <c r="C9" s="702"/>
      <c r="D9" s="703"/>
      <c r="E9" s="712">
        <v>1363910.93</v>
      </c>
      <c r="F9" s="713"/>
      <c r="G9" s="304"/>
      <c r="I9" s="294"/>
      <c r="J9" s="314"/>
      <c r="K9" s="314"/>
      <c r="L9" s="314"/>
      <c r="M9" s="314"/>
      <c r="N9" s="323"/>
      <c r="O9" s="323"/>
      <c r="P9" s="323"/>
      <c r="V9" s="327"/>
    </row>
    <row r="10" spans="1:22" s="290" customFormat="1" ht="8.15" customHeight="1">
      <c r="B10" s="294"/>
      <c r="C10" s="294"/>
      <c r="D10" s="294"/>
      <c r="E10" s="306"/>
      <c r="F10" s="306"/>
      <c r="G10" s="305"/>
      <c r="I10" s="294"/>
      <c r="J10" s="294"/>
      <c r="K10" s="294"/>
      <c r="L10" s="294"/>
      <c r="M10" s="294"/>
      <c r="N10" s="323"/>
      <c r="O10" s="323"/>
      <c r="P10" s="323"/>
      <c r="V10" s="327"/>
    </row>
    <row r="11" spans="1:22" s="290" customFormat="1" ht="13" customHeight="1">
      <c r="A11" s="701" t="s">
        <v>75</v>
      </c>
      <c r="B11" s="701"/>
      <c r="C11" s="701"/>
      <c r="D11" s="714"/>
      <c r="E11" s="712">
        <f>97.5%*E9</f>
        <v>1329813.1567499998</v>
      </c>
      <c r="F11" s="713"/>
      <c r="G11" s="307"/>
      <c r="I11" s="294"/>
      <c r="J11" s="314"/>
      <c r="K11" s="314"/>
      <c r="L11" s="314"/>
      <c r="M11" s="314"/>
      <c r="N11" s="323"/>
      <c r="O11" s="323"/>
      <c r="P11" s="323"/>
      <c r="V11" s="327"/>
    </row>
    <row r="12" spans="1:22" s="290" customFormat="1" ht="8.15" customHeight="1">
      <c r="B12" s="294"/>
      <c r="C12" s="296"/>
      <c r="D12" s="296"/>
      <c r="E12" s="308"/>
      <c r="F12" s="308"/>
      <c r="G12" s="309"/>
      <c r="H12" s="295"/>
      <c r="I12" s="295"/>
      <c r="J12" s="295"/>
      <c r="K12" s="295"/>
      <c r="L12" s="315"/>
      <c r="M12" s="323"/>
      <c r="N12" s="323"/>
      <c r="O12" s="323"/>
      <c r="P12" s="323"/>
      <c r="V12" s="327"/>
    </row>
    <row r="13" spans="1:22" s="290" customFormat="1" ht="13" customHeight="1">
      <c r="A13" s="701" t="s">
        <v>76</v>
      </c>
      <c r="B13" s="702"/>
      <c r="C13" s="702"/>
      <c r="D13" s="703"/>
      <c r="E13" s="704">
        <f>2.5%*E9</f>
        <v>34097.773249999998</v>
      </c>
      <c r="F13" s="705"/>
      <c r="G13" s="304"/>
      <c r="I13" s="294"/>
      <c r="J13" s="314"/>
      <c r="K13" s="314"/>
      <c r="L13" s="314"/>
      <c r="M13" s="314"/>
      <c r="N13" s="323"/>
      <c r="O13" s="323"/>
      <c r="P13" s="323"/>
      <c r="V13" s="327"/>
    </row>
    <row r="14" spans="1:22" s="291" customFormat="1" ht="8.15" customHeight="1">
      <c r="B14" s="297"/>
      <c r="C14" s="297"/>
      <c r="D14" s="297"/>
      <c r="E14" s="297"/>
      <c r="F14" s="297"/>
      <c r="G14" s="310"/>
      <c r="I14" s="297"/>
      <c r="J14" s="297"/>
      <c r="K14" s="297"/>
      <c r="L14" s="297"/>
      <c r="M14" s="297"/>
      <c r="N14" s="324"/>
      <c r="O14" s="324"/>
      <c r="P14" s="324"/>
      <c r="V14" s="328"/>
    </row>
    <row r="15" spans="1:22">
      <c r="A15" s="298"/>
      <c r="B15" s="298"/>
      <c r="C15" s="298"/>
      <c r="D15" s="298"/>
      <c r="E15" s="311"/>
      <c r="F15" s="311"/>
      <c r="G15" s="312"/>
      <c r="H15" s="313"/>
      <c r="I15" s="316"/>
      <c r="J15" s="316"/>
      <c r="K15" s="316"/>
      <c r="L15" s="316"/>
      <c r="M15" s="316"/>
      <c r="N15" s="316"/>
      <c r="O15" s="316"/>
    </row>
    <row r="16" spans="1:22">
      <c r="A16" s="298"/>
      <c r="B16" s="298"/>
      <c r="C16" s="298"/>
      <c r="D16" s="298"/>
      <c r="E16" s="311"/>
      <c r="F16" s="311"/>
      <c r="G16" s="312"/>
      <c r="H16" s="313"/>
      <c r="I16" s="316"/>
      <c r="J16" s="316"/>
      <c r="K16" s="316"/>
      <c r="L16" s="316"/>
      <c r="M16" s="316"/>
      <c r="N16" s="316"/>
      <c r="O16" s="316"/>
    </row>
    <row r="17" spans="1:15" ht="25.5" customHeight="1">
      <c r="A17" s="691" t="s">
        <v>77</v>
      </c>
      <c r="B17" s="691" t="s">
        <v>78</v>
      </c>
      <c r="C17" s="691"/>
      <c r="D17" s="691"/>
      <c r="E17" s="691"/>
      <c r="F17" s="691"/>
      <c r="G17" s="691"/>
      <c r="H17" s="691"/>
      <c r="I17" s="691" t="s">
        <v>79</v>
      </c>
      <c r="J17" s="691"/>
      <c r="K17" s="691"/>
      <c r="L17" s="691" t="s">
        <v>80</v>
      </c>
      <c r="M17" s="693"/>
      <c r="N17" s="695" t="s">
        <v>81</v>
      </c>
      <c r="O17" s="691" t="s">
        <v>82</v>
      </c>
    </row>
    <row r="18" spans="1:15" ht="12" customHeight="1">
      <c r="A18" s="694"/>
      <c r="B18" s="691"/>
      <c r="C18" s="691"/>
      <c r="D18" s="691"/>
      <c r="E18" s="691"/>
      <c r="F18" s="691"/>
      <c r="G18" s="691"/>
      <c r="H18" s="691"/>
      <c r="I18" s="691"/>
      <c r="J18" s="691"/>
      <c r="K18" s="691"/>
      <c r="L18" s="693"/>
      <c r="M18" s="693"/>
      <c r="N18" s="695"/>
      <c r="O18" s="691"/>
    </row>
    <row r="19" spans="1:15" ht="35.25" customHeight="1">
      <c r="A19" s="299" t="s">
        <v>8</v>
      </c>
      <c r="B19" s="706" t="s">
        <v>83</v>
      </c>
      <c r="C19" s="706"/>
      <c r="D19" s="706"/>
      <c r="E19" s="706"/>
      <c r="F19" s="706"/>
      <c r="G19" s="706"/>
      <c r="H19" s="706"/>
      <c r="I19" s="697" t="s">
        <v>10</v>
      </c>
      <c r="J19" s="697"/>
      <c r="K19" s="697"/>
      <c r="L19" s="698">
        <v>0</v>
      </c>
      <c r="M19" s="698"/>
      <c r="N19" s="325">
        <v>0</v>
      </c>
      <c r="O19" s="325">
        <f t="shared" ref="O19:O24" si="0">100-N19</f>
        <v>100</v>
      </c>
    </row>
    <row r="20" spans="1:15" ht="35.25" customHeight="1">
      <c r="A20" s="300" t="s">
        <v>14</v>
      </c>
      <c r="B20" s="696" t="s">
        <v>84</v>
      </c>
      <c r="C20" s="696"/>
      <c r="D20" s="696"/>
      <c r="E20" s="696"/>
      <c r="F20" s="696"/>
      <c r="G20" s="696"/>
      <c r="H20" s="696"/>
      <c r="I20" s="697" t="s">
        <v>16</v>
      </c>
      <c r="J20" s="697"/>
      <c r="K20" s="697"/>
      <c r="L20" s="699">
        <f>'B1&amp;B2 UNSCHEDULED'!U103</f>
        <v>500</v>
      </c>
      <c r="M20" s="700"/>
      <c r="N20" s="325">
        <f t="shared" ref="N20:N23" si="1">L20/$E$11%</f>
        <v>3.7599267044550549E-2</v>
      </c>
      <c r="O20" s="325">
        <f t="shared" si="0"/>
        <v>99.962400732955444</v>
      </c>
    </row>
    <row r="21" spans="1:15" ht="35.25" customHeight="1">
      <c r="A21" s="299" t="s">
        <v>18</v>
      </c>
      <c r="B21" s="696" t="s">
        <v>85</v>
      </c>
      <c r="C21" s="696"/>
      <c r="D21" s="696"/>
      <c r="E21" s="696"/>
      <c r="F21" s="696"/>
      <c r="G21" s="696"/>
      <c r="H21" s="696"/>
      <c r="I21" s="697" t="s">
        <v>10</v>
      </c>
      <c r="J21" s="697"/>
      <c r="K21" s="697"/>
      <c r="L21" s="699">
        <f>'B3-SCHEDULED'!L264</f>
        <v>440</v>
      </c>
      <c r="M21" s="700"/>
      <c r="N21" s="325">
        <f t="shared" si="1"/>
        <v>3.3087354999204482E-2</v>
      </c>
      <c r="O21" s="325">
        <f t="shared" si="0"/>
        <v>99.966912645000789</v>
      </c>
    </row>
    <row r="22" spans="1:15" ht="35.25" customHeight="1">
      <c r="A22" s="299" t="s">
        <v>23</v>
      </c>
      <c r="B22" s="696" t="s">
        <v>86</v>
      </c>
      <c r="C22" s="696"/>
      <c r="D22" s="696"/>
      <c r="E22" s="696"/>
      <c r="F22" s="696"/>
      <c r="G22" s="696"/>
      <c r="H22" s="696"/>
      <c r="I22" s="697" t="s">
        <v>10</v>
      </c>
      <c r="J22" s="697"/>
      <c r="K22" s="697"/>
      <c r="L22" s="698">
        <v>0</v>
      </c>
      <c r="M22" s="698"/>
      <c r="N22" s="325">
        <f t="shared" si="1"/>
        <v>0</v>
      </c>
      <c r="O22" s="325">
        <f t="shared" si="0"/>
        <v>100</v>
      </c>
    </row>
    <row r="23" spans="1:15" ht="35.25" customHeight="1">
      <c r="A23" s="299" t="s">
        <v>29</v>
      </c>
      <c r="B23" s="696" t="s">
        <v>87</v>
      </c>
      <c r="C23" s="696"/>
      <c r="D23" s="696"/>
      <c r="E23" s="696"/>
      <c r="F23" s="696"/>
      <c r="G23" s="696"/>
      <c r="H23" s="696"/>
      <c r="I23" s="697" t="s">
        <v>10</v>
      </c>
      <c r="J23" s="697"/>
      <c r="K23" s="697"/>
      <c r="L23" s="698">
        <f>'B5-T&amp;C'!O21</f>
        <v>0</v>
      </c>
      <c r="M23" s="698"/>
      <c r="N23" s="325">
        <f t="shared" si="1"/>
        <v>0</v>
      </c>
      <c r="O23" s="325">
        <f t="shared" si="0"/>
        <v>100</v>
      </c>
    </row>
    <row r="24" spans="1:15" ht="35.25" customHeight="1">
      <c r="A24" s="691" t="s">
        <v>88</v>
      </c>
      <c r="B24" s="691"/>
      <c r="C24" s="691"/>
      <c r="D24" s="691"/>
      <c r="E24" s="691"/>
      <c r="F24" s="691"/>
      <c r="G24" s="691"/>
      <c r="H24" s="691"/>
      <c r="I24" s="691"/>
      <c r="J24" s="691"/>
      <c r="K24" s="691"/>
      <c r="L24" s="692">
        <f>SUM(L19:M23)</f>
        <v>940</v>
      </c>
      <c r="M24" s="693"/>
      <c r="N24" s="325">
        <f>SUM(N19:N23)</f>
        <v>7.0686622043755032E-2</v>
      </c>
      <c r="O24" s="325">
        <f t="shared" si="0"/>
        <v>99.929313377956248</v>
      </c>
    </row>
    <row r="25" spans="1:15" ht="7.5" customHeight="1">
      <c r="N25" s="326"/>
    </row>
    <row r="26" spans="1:15" ht="9.65" customHeight="1"/>
    <row r="27" spans="1:15" s="292" customFormat="1" ht="11.5">
      <c r="C27" s="292" t="s">
        <v>89</v>
      </c>
      <c r="I27" s="292" t="s">
        <v>90</v>
      </c>
    </row>
    <row r="28" spans="1:15" s="292" customFormat="1" ht="11.5"/>
    <row r="29" spans="1:15" s="292" customFormat="1" ht="11.5"/>
    <row r="30" spans="1:15" s="292" customFormat="1" ht="11.5">
      <c r="C30" s="301"/>
      <c r="D30" s="301"/>
      <c r="I30" s="301"/>
      <c r="J30" s="301"/>
      <c r="K30" s="301"/>
      <c r="L30" s="301"/>
    </row>
    <row r="31" spans="1:15" s="292" customFormat="1" ht="17.25" customHeight="1">
      <c r="C31" s="302" t="s">
        <v>91</v>
      </c>
      <c r="I31" s="302" t="s">
        <v>92</v>
      </c>
    </row>
    <row r="32" spans="1:15" s="292" customFormat="1" ht="15.65" customHeight="1">
      <c r="C32" s="292" t="s">
        <v>93</v>
      </c>
      <c r="I32" s="292" t="s">
        <v>94</v>
      </c>
    </row>
    <row r="33" spans="3:9" s="292" customFormat="1" ht="13.5" customHeight="1">
      <c r="C33" s="292" t="s">
        <v>95</v>
      </c>
      <c r="I33" s="292" t="s">
        <v>95</v>
      </c>
    </row>
    <row r="34" spans="3:9" s="292" customFormat="1" ht="13.5" customHeight="1">
      <c r="C34" s="292" t="s">
        <v>96</v>
      </c>
      <c r="I34" s="292" t="s">
        <v>96</v>
      </c>
    </row>
  </sheetData>
  <mergeCells count="36">
    <mergeCell ref="A1:O1"/>
    <mergeCell ref="A2:O2"/>
    <mergeCell ref="A3:O3"/>
    <mergeCell ref="E5:F5"/>
    <mergeCell ref="J5:M5"/>
    <mergeCell ref="E7:F7"/>
    <mergeCell ref="J7:M7"/>
    <mergeCell ref="A9:D9"/>
    <mergeCell ref="E9:F9"/>
    <mergeCell ref="A11:D11"/>
    <mergeCell ref="E11:F11"/>
    <mergeCell ref="L20:M20"/>
    <mergeCell ref="B21:H21"/>
    <mergeCell ref="I21:K21"/>
    <mergeCell ref="L21:M21"/>
    <mergeCell ref="A13:D13"/>
    <mergeCell ref="E13:F13"/>
    <mergeCell ref="B19:H19"/>
    <mergeCell ref="I19:K19"/>
    <mergeCell ref="L19:M19"/>
    <mergeCell ref="A24:K24"/>
    <mergeCell ref="L24:M24"/>
    <mergeCell ref="A17:A18"/>
    <mergeCell ref="N17:N18"/>
    <mergeCell ref="O17:O18"/>
    <mergeCell ref="B17:H18"/>
    <mergeCell ref="I17:K18"/>
    <mergeCell ref="L17:M18"/>
    <mergeCell ref="B22:H22"/>
    <mergeCell ref="I22:K22"/>
    <mergeCell ref="L22:M22"/>
    <mergeCell ref="B23:H23"/>
    <mergeCell ref="I23:K23"/>
    <mergeCell ref="L23:M23"/>
    <mergeCell ref="B20:H20"/>
    <mergeCell ref="I20:K20"/>
  </mergeCells>
  <pageMargins left="0.70866141732283505" right="0.31496062992126" top="0.70866141732283505" bottom="0.55118110236220497" header="0.31496062992126" footer="0.31496062992126"/>
  <pageSetup paperSize="9" scale="7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190"/>
  <sheetViews>
    <sheetView topLeftCell="A95" zoomScale="20" zoomScaleNormal="20" zoomScaleSheetLayoutView="26" zoomScalePageLayoutView="60" workbookViewId="0">
      <selection activeCell="U103" sqref="U103"/>
    </sheetView>
  </sheetViews>
  <sheetFormatPr defaultColWidth="9.1796875" defaultRowHeight="36"/>
  <cols>
    <col min="1" max="1" width="21" style="169" customWidth="1"/>
    <col min="2" max="2" width="76.81640625" style="170" bestFit="1" customWidth="1"/>
    <col min="3" max="3" width="78.54296875" style="171" customWidth="1"/>
    <col min="4" max="4" width="65.54296875" style="172" customWidth="1"/>
    <col min="5" max="5" width="77.1796875" style="170" customWidth="1"/>
    <col min="6" max="6" width="54.81640625" style="170" customWidth="1"/>
    <col min="7" max="7" width="94.453125" style="171" customWidth="1"/>
    <col min="8" max="8" width="132.26953125" style="169" bestFit="1" customWidth="1"/>
    <col min="9" max="9" width="40.1796875" style="173" customWidth="1"/>
    <col min="10" max="10" width="93" style="174" customWidth="1"/>
    <col min="11" max="11" width="82.453125" style="175" customWidth="1"/>
    <col min="12" max="12" width="90.1796875" style="176" bestFit="1" customWidth="1"/>
    <col min="13" max="13" width="42.453125" style="177" customWidth="1"/>
    <col min="14" max="14" width="21" style="169" customWidth="1"/>
    <col min="15" max="15" width="22.81640625" style="169" customWidth="1"/>
    <col min="16" max="16" width="15.453125" style="170" customWidth="1"/>
    <col min="17" max="17" width="19.453125" style="169" customWidth="1"/>
    <col min="18" max="18" width="27.1796875" style="169" customWidth="1"/>
    <col min="19" max="19" width="40" style="178" customWidth="1"/>
    <col min="20" max="20" width="27.1796875" style="179" customWidth="1"/>
    <col min="21" max="21" width="44" style="169" bestFit="1" customWidth="1"/>
    <col min="22" max="22" width="148.453125" style="180" customWidth="1"/>
    <col min="23" max="23" width="53.81640625" style="181" customWidth="1"/>
    <col min="24" max="16381" width="9.1796875" style="181"/>
    <col min="16382" max="16382" width="57.1796875" style="181" customWidth="1"/>
    <col min="16383" max="16384" width="9.1796875" style="181"/>
  </cols>
  <sheetData>
    <row r="1" spans="1:22" s="159" customFormat="1" ht="93.75" customHeight="1">
      <c r="A1" s="761"/>
      <c r="B1" s="761"/>
      <c r="C1" s="761"/>
      <c r="D1" s="761"/>
      <c r="E1" s="761"/>
      <c r="F1" s="761"/>
      <c r="G1" s="761"/>
      <c r="H1" s="761"/>
      <c r="I1" s="761"/>
      <c r="J1" s="761"/>
      <c r="K1" s="761"/>
      <c r="L1" s="761"/>
      <c r="M1" s="761"/>
      <c r="N1" s="761"/>
      <c r="O1" s="761"/>
      <c r="P1" s="761"/>
      <c r="Q1" s="761"/>
      <c r="R1" s="761"/>
      <c r="S1" s="761"/>
      <c r="T1" s="761"/>
      <c r="U1" s="761"/>
      <c r="V1" s="762"/>
    </row>
    <row r="2" spans="1:22" ht="40" customHeight="1">
      <c r="A2" s="763" t="s">
        <v>64</v>
      </c>
      <c r="B2" s="763"/>
      <c r="C2" s="763"/>
      <c r="D2" s="763"/>
      <c r="E2" s="763"/>
      <c r="F2" s="763"/>
      <c r="G2" s="763"/>
      <c r="H2" s="763"/>
      <c r="I2" s="763"/>
      <c r="J2" s="763"/>
      <c r="K2" s="763"/>
      <c r="L2" s="763"/>
      <c r="M2" s="763"/>
      <c r="N2" s="763"/>
      <c r="O2" s="763"/>
      <c r="P2" s="763"/>
      <c r="Q2" s="763"/>
      <c r="R2" s="763"/>
      <c r="S2" s="763"/>
      <c r="T2" s="763"/>
      <c r="U2" s="763"/>
      <c r="V2" s="763"/>
    </row>
    <row r="3" spans="1:22" ht="70" customHeight="1">
      <c r="A3" s="763" t="s">
        <v>97</v>
      </c>
      <c r="B3" s="763"/>
      <c r="C3" s="763"/>
      <c r="D3" s="763"/>
      <c r="E3" s="763"/>
      <c r="F3" s="763"/>
      <c r="G3" s="763"/>
      <c r="H3" s="763"/>
      <c r="I3" s="763"/>
      <c r="J3" s="763"/>
      <c r="K3" s="763"/>
      <c r="L3" s="763"/>
      <c r="M3" s="763"/>
      <c r="N3" s="763"/>
      <c r="O3" s="763"/>
      <c r="P3" s="763"/>
      <c r="Q3" s="763"/>
      <c r="R3" s="763"/>
      <c r="S3" s="763"/>
      <c r="T3" s="763"/>
      <c r="U3" s="763"/>
      <c r="V3" s="763"/>
    </row>
    <row r="4" spans="1:22" ht="40" customHeight="1">
      <c r="A4" s="763" t="s">
        <v>98</v>
      </c>
      <c r="B4" s="763"/>
      <c r="C4" s="763"/>
      <c r="D4" s="763"/>
      <c r="E4" s="763"/>
      <c r="F4" s="763"/>
      <c r="G4" s="763"/>
      <c r="H4" s="763"/>
      <c r="I4" s="763"/>
      <c r="J4" s="763"/>
      <c r="K4" s="763"/>
      <c r="L4" s="763"/>
      <c r="M4" s="763"/>
      <c r="N4" s="763"/>
      <c r="O4" s="763"/>
      <c r="P4" s="763"/>
      <c r="Q4" s="763"/>
      <c r="R4" s="763"/>
      <c r="S4" s="763"/>
      <c r="T4" s="763"/>
      <c r="U4" s="763"/>
      <c r="V4" s="763"/>
    </row>
    <row r="5" spans="1:22">
      <c r="A5" s="184"/>
      <c r="B5" s="183"/>
      <c r="C5" s="185"/>
      <c r="D5" s="186"/>
      <c r="E5" s="183"/>
      <c r="F5" s="183"/>
      <c r="G5" s="185"/>
      <c r="H5" s="183"/>
      <c r="I5" s="209"/>
      <c r="J5" s="210"/>
      <c r="K5" s="211"/>
      <c r="L5" s="211"/>
      <c r="M5" s="224"/>
      <c r="N5" s="225"/>
      <c r="O5" s="225"/>
      <c r="P5" s="225"/>
      <c r="Q5" s="225"/>
      <c r="R5" s="225"/>
      <c r="S5" s="242"/>
      <c r="T5" s="243"/>
      <c r="U5" s="225"/>
      <c r="V5" s="250"/>
    </row>
    <row r="6" spans="1:22" ht="68.25" customHeight="1">
      <c r="A6" s="743" t="s">
        <v>99</v>
      </c>
      <c r="B6" s="744"/>
      <c r="C6" s="745" t="s">
        <v>100</v>
      </c>
      <c r="D6" s="746"/>
      <c r="E6" s="746"/>
      <c r="F6" s="746"/>
      <c r="G6" s="747"/>
      <c r="H6" s="182"/>
      <c r="I6" s="755" t="s">
        <v>101</v>
      </c>
      <c r="J6" s="755"/>
      <c r="K6" s="755"/>
      <c r="L6" s="756"/>
      <c r="M6" s="757">
        <v>46082</v>
      </c>
      <c r="N6" s="758"/>
      <c r="O6" s="758"/>
      <c r="P6" s="226"/>
      <c r="Q6" s="759" t="s">
        <v>102</v>
      </c>
      <c r="R6" s="759"/>
      <c r="S6" s="760"/>
    </row>
    <row r="7" spans="1:22" ht="68.25" customHeight="1">
      <c r="A7" s="182"/>
      <c r="B7" s="188"/>
      <c r="C7" s="189"/>
      <c r="D7" s="187"/>
      <c r="E7" s="188"/>
      <c r="F7" s="188"/>
      <c r="G7" s="189"/>
      <c r="H7" s="182"/>
      <c r="I7" s="212"/>
      <c r="J7" s="213"/>
      <c r="K7" s="214"/>
      <c r="L7" s="215"/>
      <c r="M7" s="227"/>
      <c r="N7" s="228"/>
      <c r="O7" s="228"/>
      <c r="P7" s="228"/>
      <c r="Q7" s="244"/>
    </row>
    <row r="8" spans="1:22" ht="68.25" customHeight="1">
      <c r="A8" s="743" t="s">
        <v>103</v>
      </c>
      <c r="B8" s="744"/>
      <c r="C8" s="745" t="s">
        <v>104</v>
      </c>
      <c r="D8" s="746"/>
      <c r="E8" s="746"/>
      <c r="F8" s="746"/>
      <c r="G8" s="747"/>
      <c r="H8" s="182"/>
      <c r="I8" s="755" t="s">
        <v>105</v>
      </c>
      <c r="J8" s="755"/>
      <c r="K8" s="755"/>
      <c r="L8" s="756"/>
      <c r="M8" s="757">
        <v>46112</v>
      </c>
      <c r="N8" s="758"/>
      <c r="O8" s="758"/>
      <c r="P8" s="229"/>
      <c r="Q8" s="759" t="s">
        <v>102</v>
      </c>
      <c r="R8" s="759"/>
      <c r="S8" s="760"/>
    </row>
    <row r="9" spans="1:22" ht="68.25" customHeight="1">
      <c r="A9" s="182"/>
      <c r="B9" s="188"/>
      <c r="C9" s="189"/>
      <c r="D9" s="187"/>
      <c r="E9" s="188"/>
      <c r="F9" s="188"/>
      <c r="G9" s="189"/>
      <c r="H9" s="182"/>
      <c r="I9" s="212"/>
      <c r="J9" s="213"/>
      <c r="K9" s="214"/>
      <c r="L9" s="215"/>
      <c r="M9" s="230"/>
      <c r="N9" s="231"/>
      <c r="O9" s="231"/>
      <c r="P9" s="231"/>
      <c r="Q9" s="231"/>
    </row>
    <row r="10" spans="1:22" ht="68.25" customHeight="1">
      <c r="A10" s="743" t="s">
        <v>106</v>
      </c>
      <c r="B10" s="744"/>
      <c r="C10" s="745" t="s">
        <v>107</v>
      </c>
      <c r="D10" s="746"/>
      <c r="E10" s="746"/>
      <c r="F10" s="746"/>
      <c r="G10" s="747"/>
      <c r="H10" s="200"/>
      <c r="I10" s="748" t="s">
        <v>108</v>
      </c>
      <c r="J10" s="748"/>
      <c r="K10" s="748"/>
      <c r="L10" s="749"/>
      <c r="M10" s="750">
        <f>BEMSdar!E11</f>
        <v>1329813.1567499998</v>
      </c>
      <c r="N10" s="751"/>
      <c r="O10" s="232"/>
      <c r="P10" s="232"/>
      <c r="Q10" s="245"/>
    </row>
    <row r="11" spans="1:22" ht="68.25" customHeight="1">
      <c r="A11" s="182"/>
      <c r="B11" s="188"/>
      <c r="C11" s="189"/>
      <c r="D11" s="187"/>
      <c r="E11" s="188"/>
      <c r="F11" s="188"/>
      <c r="G11" s="189"/>
      <c r="H11" s="182"/>
      <c r="I11" s="212"/>
      <c r="J11" s="213"/>
      <c r="K11" s="214"/>
      <c r="L11" s="215"/>
      <c r="M11" s="230"/>
      <c r="N11" s="231"/>
      <c r="O11" s="231"/>
      <c r="P11" s="231"/>
      <c r="Q11" s="231"/>
    </row>
    <row r="12" spans="1:22" ht="68.25" customHeight="1">
      <c r="A12" s="743" t="s">
        <v>109</v>
      </c>
      <c r="B12" s="744"/>
      <c r="C12" s="752">
        <v>46082</v>
      </c>
      <c r="D12" s="753"/>
      <c r="E12" s="753"/>
      <c r="F12" s="753"/>
      <c r="G12" s="754"/>
      <c r="H12" s="200"/>
      <c r="I12" s="748" t="s">
        <v>110</v>
      </c>
      <c r="J12" s="748"/>
      <c r="K12" s="748"/>
      <c r="L12" s="749"/>
      <c r="M12" s="750">
        <f>BEMSdar!E13</f>
        <v>34097.773249999998</v>
      </c>
      <c r="N12" s="751"/>
      <c r="O12" s="232"/>
      <c r="P12" s="232"/>
      <c r="Q12" s="245"/>
    </row>
    <row r="13" spans="1:22">
      <c r="A13" s="182"/>
      <c r="B13" s="188"/>
      <c r="C13" s="189"/>
      <c r="D13" s="187"/>
      <c r="E13" s="188"/>
      <c r="F13" s="188"/>
      <c r="G13" s="189"/>
      <c r="H13" s="182"/>
      <c r="I13" s="212"/>
      <c r="J13" s="213"/>
      <c r="K13" s="214"/>
      <c r="L13" s="215"/>
    </row>
    <row r="14" spans="1:22" s="160" customFormat="1">
      <c r="A14" s="190" t="s">
        <v>111</v>
      </c>
      <c r="B14" s="189"/>
      <c r="C14" s="189"/>
      <c r="D14" s="187"/>
      <c r="E14" s="188"/>
      <c r="F14" s="188"/>
      <c r="G14" s="189"/>
      <c r="H14" s="182"/>
      <c r="I14" s="212"/>
      <c r="J14" s="213"/>
      <c r="K14" s="214"/>
      <c r="L14" s="215"/>
      <c r="M14" s="177"/>
      <c r="N14" s="169"/>
      <c r="O14" s="169"/>
      <c r="P14" s="170"/>
      <c r="Q14" s="169"/>
      <c r="R14" s="169"/>
      <c r="S14" s="178"/>
      <c r="T14" s="179"/>
      <c r="U14" s="169"/>
      <c r="V14" s="180"/>
    </row>
    <row r="15" spans="1:22" s="160" customFormat="1">
      <c r="A15" s="190" t="s">
        <v>112</v>
      </c>
      <c r="B15" s="189"/>
      <c r="C15" s="189"/>
      <c r="D15" s="187"/>
      <c r="E15" s="188"/>
      <c r="F15" s="188"/>
      <c r="G15" s="189"/>
      <c r="H15" s="182"/>
      <c r="I15" s="212"/>
      <c r="J15" s="213"/>
      <c r="K15" s="214"/>
      <c r="L15" s="215"/>
      <c r="M15" s="177"/>
      <c r="N15" s="169"/>
      <c r="O15" s="169"/>
      <c r="P15" s="170"/>
      <c r="Q15" s="169"/>
      <c r="R15" s="169"/>
      <c r="S15" s="178"/>
      <c r="T15" s="179"/>
      <c r="U15" s="169"/>
      <c r="V15" s="180"/>
    </row>
    <row r="16" spans="1:22" s="160" customFormat="1">
      <c r="A16" s="190" t="s">
        <v>113</v>
      </c>
      <c r="B16" s="189"/>
      <c r="C16" s="189"/>
      <c r="D16" s="187"/>
      <c r="E16" s="188"/>
      <c r="F16" s="188"/>
      <c r="G16" s="189"/>
      <c r="H16" s="182"/>
      <c r="I16" s="212"/>
      <c r="J16" s="213"/>
      <c r="K16" s="214"/>
      <c r="L16" s="215"/>
      <c r="M16" s="177"/>
      <c r="N16" s="169"/>
      <c r="O16" s="169"/>
      <c r="P16" s="170"/>
      <c r="Q16" s="169"/>
      <c r="R16" s="169"/>
      <c r="S16" s="178"/>
      <c r="T16" s="179"/>
      <c r="U16" s="169"/>
      <c r="V16" s="180"/>
    </row>
    <row r="17" spans="1:23" s="160" customFormat="1">
      <c r="A17" s="190" t="s">
        <v>114</v>
      </c>
      <c r="B17" s="189"/>
      <c r="C17" s="189"/>
      <c r="D17" s="187"/>
      <c r="E17" s="188"/>
      <c r="F17" s="188"/>
      <c r="G17" s="189"/>
      <c r="H17" s="182"/>
      <c r="I17" s="212"/>
      <c r="J17" s="213"/>
      <c r="K17" s="214"/>
      <c r="L17" s="215"/>
      <c r="M17" s="177"/>
      <c r="N17" s="169"/>
      <c r="O17" s="169"/>
      <c r="P17" s="170"/>
      <c r="Q17" s="169"/>
      <c r="R17" s="169"/>
      <c r="S17" s="178"/>
      <c r="T17" s="179"/>
      <c r="U17" s="169"/>
      <c r="V17" s="180"/>
    </row>
    <row r="18" spans="1:23" s="160" customFormat="1">
      <c r="A18" s="190" t="s">
        <v>115</v>
      </c>
      <c r="B18" s="189"/>
      <c r="C18" s="189"/>
      <c r="D18" s="187"/>
      <c r="E18" s="188"/>
      <c r="F18" s="188"/>
      <c r="G18" s="189"/>
      <c r="H18" s="182"/>
      <c r="I18" s="212"/>
      <c r="J18" s="213"/>
      <c r="K18" s="214"/>
      <c r="L18" s="215"/>
      <c r="M18" s="177"/>
      <c r="N18" s="169"/>
      <c r="O18" s="169"/>
      <c r="P18" s="170"/>
      <c r="Q18" s="169"/>
      <c r="R18" s="169"/>
      <c r="S18" s="178"/>
      <c r="T18" s="179"/>
      <c r="U18" s="169"/>
      <c r="V18" s="180"/>
    </row>
    <row r="19" spans="1:23" s="160" customFormat="1">
      <c r="A19" s="190" t="s">
        <v>116</v>
      </c>
      <c r="B19" s="189"/>
      <c r="C19" s="189"/>
      <c r="D19" s="187"/>
      <c r="E19" s="188"/>
      <c r="F19" s="188"/>
      <c r="G19" s="189"/>
      <c r="H19" s="182"/>
      <c r="I19" s="212"/>
      <c r="J19" s="213"/>
      <c r="K19" s="214"/>
      <c r="L19" s="215"/>
      <c r="M19" s="177"/>
      <c r="N19" s="169"/>
      <c r="O19" s="169"/>
      <c r="P19" s="170"/>
      <c r="Q19" s="169"/>
      <c r="R19" s="169"/>
      <c r="S19" s="178"/>
      <c r="T19" s="179"/>
      <c r="U19" s="169"/>
      <c r="V19" s="180"/>
    </row>
    <row r="20" spans="1:23">
      <c r="A20" s="182"/>
      <c r="B20" s="188"/>
      <c r="C20" s="189"/>
      <c r="D20" s="187"/>
      <c r="E20" s="201"/>
      <c r="F20" s="202"/>
      <c r="G20" s="203"/>
      <c r="H20" s="204"/>
      <c r="I20" s="216"/>
      <c r="J20" s="217"/>
      <c r="K20" s="218"/>
      <c r="L20" s="211"/>
    </row>
    <row r="21" spans="1:23" s="161" customFormat="1" ht="60" customHeight="1">
      <c r="A21" s="719" t="s">
        <v>77</v>
      </c>
      <c r="B21" s="720" t="s">
        <v>117</v>
      </c>
      <c r="C21" s="721" t="s">
        <v>118</v>
      </c>
      <c r="D21" s="723" t="s">
        <v>119</v>
      </c>
      <c r="E21" s="720" t="s">
        <v>120</v>
      </c>
      <c r="F21" s="719" t="s">
        <v>121</v>
      </c>
      <c r="G21" s="736" t="s">
        <v>122</v>
      </c>
      <c r="H21" s="737" t="s">
        <v>123</v>
      </c>
      <c r="I21" s="738" t="s">
        <v>124</v>
      </c>
      <c r="J21" s="739" t="s">
        <v>125</v>
      </c>
      <c r="K21" s="740" t="s">
        <v>126</v>
      </c>
      <c r="L21" s="741" t="s">
        <v>127</v>
      </c>
      <c r="M21" s="742" t="s">
        <v>128</v>
      </c>
      <c r="N21" s="725" t="s">
        <v>129</v>
      </c>
      <c r="O21" s="726"/>
      <c r="P21" s="727"/>
      <c r="Q21" s="725" t="s">
        <v>130</v>
      </c>
      <c r="R21" s="726"/>
      <c r="S21" s="728"/>
      <c r="T21" s="726"/>
      <c r="U21" s="726"/>
      <c r="V21" s="729"/>
      <c r="W21" s="251"/>
    </row>
    <row r="22" spans="1:23" s="162" customFormat="1" ht="262.5" customHeight="1">
      <c r="A22" s="719"/>
      <c r="B22" s="720"/>
      <c r="C22" s="722"/>
      <c r="D22" s="724"/>
      <c r="E22" s="720"/>
      <c r="F22" s="719"/>
      <c r="G22" s="736"/>
      <c r="H22" s="737"/>
      <c r="I22" s="738"/>
      <c r="J22" s="739"/>
      <c r="K22" s="740"/>
      <c r="L22" s="741"/>
      <c r="M22" s="742"/>
      <c r="N22" s="191" t="s">
        <v>131</v>
      </c>
      <c r="O22" s="191" t="s">
        <v>132</v>
      </c>
      <c r="P22" s="191" t="s">
        <v>133</v>
      </c>
      <c r="Q22" s="191" t="s">
        <v>131</v>
      </c>
      <c r="R22" s="191" t="s">
        <v>134</v>
      </c>
      <c r="S22" s="205" t="s">
        <v>135</v>
      </c>
      <c r="T22" s="233" t="s">
        <v>136</v>
      </c>
      <c r="U22" s="234" t="s">
        <v>132</v>
      </c>
      <c r="V22" s="252" t="s">
        <v>133</v>
      </c>
      <c r="W22" s="251"/>
    </row>
    <row r="23" spans="1:23" s="163" customFormat="1" ht="170.25" customHeight="1">
      <c r="A23" s="192" t="s">
        <v>137</v>
      </c>
      <c r="B23" s="193"/>
      <c r="C23" s="194"/>
      <c r="D23" s="195"/>
      <c r="E23" s="206"/>
      <c r="F23" s="193"/>
      <c r="G23" s="194"/>
      <c r="H23" s="193"/>
      <c r="I23" s="219"/>
      <c r="J23" s="220"/>
      <c r="K23" s="221"/>
      <c r="L23" s="221"/>
      <c r="M23" s="195"/>
      <c r="N23" s="193"/>
      <c r="O23" s="193"/>
      <c r="P23" s="193"/>
      <c r="Q23" s="193"/>
      <c r="R23" s="193"/>
      <c r="S23" s="246"/>
      <c r="T23" s="193"/>
      <c r="U23" s="193"/>
      <c r="V23" s="253"/>
      <c r="W23" s="254"/>
    </row>
    <row r="24" spans="1:23" s="164" customFormat="1" ht="266.25" customHeight="1">
      <c r="A24" s="196">
        <v>1</v>
      </c>
      <c r="B24" s="197" t="s">
        <v>520</v>
      </c>
      <c r="C24" s="198" t="str">
        <f>VLOOKUP(B24,[14]AssetDetails_UEM!$A$3:$AH$1849,6,FALSE)</f>
        <v>Analyzers, Laboratory, Immunoassay, Chemiluminescent</v>
      </c>
      <c r="D24" s="429">
        <f>VLOOKUP(B24,[14]AssetDetails_UEM!$A$3:$AK$1849,22,FALSE)</f>
        <v>1443450</v>
      </c>
      <c r="E24" s="197" t="s">
        <v>560</v>
      </c>
      <c r="F24" s="197" t="s">
        <v>621</v>
      </c>
      <c r="G24" s="207" t="s">
        <v>654</v>
      </c>
      <c r="H24" s="208" t="s">
        <v>138</v>
      </c>
      <c r="I24" s="222" t="s">
        <v>740</v>
      </c>
      <c r="J24" s="223" t="s">
        <v>743</v>
      </c>
      <c r="K24" s="223" t="s">
        <v>802</v>
      </c>
      <c r="L24" s="223" t="s">
        <v>850</v>
      </c>
      <c r="M24" s="235">
        <f t="shared" ref="M24:M85" si="0">IF(D24&gt;44999.99,100,ROUNDUP((D24/4999.99)*10,-1))</f>
        <v>100</v>
      </c>
      <c r="N24" s="236" t="s">
        <v>139</v>
      </c>
      <c r="O24" s="237">
        <f>'[15]B1&amp; B2 UNSCHEDULED'!$O$24</f>
        <v>0</v>
      </c>
      <c r="P24" s="236"/>
      <c r="Q24" s="236" t="s">
        <v>139</v>
      </c>
      <c r="R24" s="247">
        <f t="shared" ref="R24:R58" si="1">IF(L24="",AKHIR-J24,L24-J24+1)</f>
        <v>1.0916666666671517</v>
      </c>
      <c r="S24" s="248">
        <f t="shared" ref="S24:S54" si="2">WORKDAY(J24,6,AKHIR)</f>
        <v>46090</v>
      </c>
      <c r="T24" s="196">
        <v>0</v>
      </c>
      <c r="U24" s="455">
        <f t="shared" ref="U24:U85" si="3">IF(Q24="N",0,M24*T24)</f>
        <v>0</v>
      </c>
      <c r="V24" s="256" t="s">
        <v>897</v>
      </c>
      <c r="W24" s="254"/>
    </row>
    <row r="25" spans="1:23" s="167" customFormat="1" ht="189.5" customHeight="1">
      <c r="A25" s="196">
        <v>2</v>
      </c>
      <c r="B25" s="197" t="s">
        <v>521</v>
      </c>
      <c r="C25" s="199" t="str">
        <f>VLOOKUP(B25,[14]AssetDetails_UEM!$A$3:$AH$1849,6,FALSE)</f>
        <v>Monitors, Physiologic, Vital Signs</v>
      </c>
      <c r="D25" s="430">
        <f>VLOOKUP(B25,[14]AssetDetails_UEM!$A$3:$AK$1849,22,FALSE)</f>
        <v>18765</v>
      </c>
      <c r="E25" s="197" t="s">
        <v>561</v>
      </c>
      <c r="F25" s="197" t="s">
        <v>622</v>
      </c>
      <c r="G25" s="207" t="s">
        <v>655</v>
      </c>
      <c r="H25" s="208" t="s">
        <v>138</v>
      </c>
      <c r="I25" s="222" t="s">
        <v>452</v>
      </c>
      <c r="J25" s="223" t="s">
        <v>744</v>
      </c>
      <c r="K25" s="223" t="s">
        <v>803</v>
      </c>
      <c r="L25" s="223" t="s">
        <v>851</v>
      </c>
      <c r="M25" s="238">
        <f t="shared" si="0"/>
        <v>40</v>
      </c>
      <c r="N25" s="239" t="s">
        <v>139</v>
      </c>
      <c r="O25" s="240">
        <f>'[15]B1&amp; B2 UNSCHEDULED'!$O$24</f>
        <v>0</v>
      </c>
      <c r="P25" s="239"/>
      <c r="Q25" s="239" t="s">
        <v>139</v>
      </c>
      <c r="R25" s="249">
        <f t="shared" si="1"/>
        <v>1.2645833333299379</v>
      </c>
      <c r="S25" s="438">
        <f t="shared" si="2"/>
        <v>46090</v>
      </c>
      <c r="T25" s="241">
        <v>0</v>
      </c>
      <c r="U25" s="456">
        <f t="shared" si="3"/>
        <v>0</v>
      </c>
      <c r="V25" s="439" t="s">
        <v>898</v>
      </c>
      <c r="W25" s="257"/>
    </row>
    <row r="26" spans="1:23" s="165" customFormat="1" ht="261.64999999999998" customHeight="1">
      <c r="A26" s="196">
        <v>3</v>
      </c>
      <c r="B26" s="197" t="s">
        <v>140</v>
      </c>
      <c r="C26" s="198" t="s">
        <v>1743</v>
      </c>
      <c r="D26" s="429" t="s">
        <v>140</v>
      </c>
      <c r="E26" s="197" t="s">
        <v>562</v>
      </c>
      <c r="F26" s="197" t="s">
        <v>623</v>
      </c>
      <c r="G26" s="207" t="s">
        <v>656</v>
      </c>
      <c r="H26" s="208" t="s">
        <v>138</v>
      </c>
      <c r="I26" s="222" t="s">
        <v>455</v>
      </c>
      <c r="J26" s="223" t="s">
        <v>745</v>
      </c>
      <c r="K26" s="223" t="s">
        <v>804</v>
      </c>
      <c r="L26" s="223" t="s">
        <v>852</v>
      </c>
      <c r="M26" s="235">
        <v>0</v>
      </c>
      <c r="N26" s="236" t="s">
        <v>139</v>
      </c>
      <c r="O26" s="237">
        <f>'[15]B1&amp; B2 UNSCHEDULED'!$O$24</f>
        <v>0</v>
      </c>
      <c r="P26" s="196"/>
      <c r="Q26" s="236" t="s">
        <v>139</v>
      </c>
      <c r="R26" s="247">
        <f t="shared" si="1"/>
        <v>2.2104166666686069</v>
      </c>
      <c r="S26" s="248">
        <f t="shared" si="2"/>
        <v>46090</v>
      </c>
      <c r="T26" s="196">
        <v>0</v>
      </c>
      <c r="U26" s="455">
        <f t="shared" si="3"/>
        <v>0</v>
      </c>
      <c r="V26" s="256" t="s">
        <v>899</v>
      </c>
      <c r="W26" s="254"/>
    </row>
    <row r="27" spans="1:23" s="165" customFormat="1" ht="288" customHeight="1">
      <c r="A27" s="196">
        <v>4</v>
      </c>
      <c r="B27" s="197" t="s">
        <v>520</v>
      </c>
      <c r="C27" s="198" t="str">
        <f>VLOOKUP(B27,[14]AssetDetails_UEM!$A$3:$AH$1849,6,FALSE)</f>
        <v>Analyzers, Laboratory, Immunoassay, Chemiluminescent</v>
      </c>
      <c r="D27" s="429">
        <f>VLOOKUP(B27,[14]AssetDetails_UEM!$A$3:$AK$1849,22,FALSE)</f>
        <v>1443450</v>
      </c>
      <c r="E27" s="197" t="s">
        <v>563</v>
      </c>
      <c r="F27" s="197" t="s">
        <v>621</v>
      </c>
      <c r="G27" s="207" t="s">
        <v>657</v>
      </c>
      <c r="H27" s="208" t="s">
        <v>138</v>
      </c>
      <c r="I27" s="222" t="s">
        <v>461</v>
      </c>
      <c r="J27" s="223" t="s">
        <v>746</v>
      </c>
      <c r="K27" s="223" t="s">
        <v>805</v>
      </c>
      <c r="L27" s="223" t="s">
        <v>853</v>
      </c>
      <c r="M27" s="235">
        <f t="shared" si="0"/>
        <v>100</v>
      </c>
      <c r="N27" s="236" t="s">
        <v>139</v>
      </c>
      <c r="O27" s="237">
        <f>'[15]B1&amp; B2 UNSCHEDULED'!$O$24</f>
        <v>0</v>
      </c>
      <c r="P27" s="236"/>
      <c r="Q27" s="236" t="s">
        <v>139</v>
      </c>
      <c r="R27" s="247">
        <f t="shared" si="1"/>
        <v>1.5631944444467081</v>
      </c>
      <c r="S27" s="248">
        <f t="shared" si="2"/>
        <v>46091</v>
      </c>
      <c r="T27" s="196">
        <v>0</v>
      </c>
      <c r="U27" s="455">
        <f t="shared" si="3"/>
        <v>0</v>
      </c>
      <c r="V27" s="256" t="s">
        <v>900</v>
      </c>
      <c r="W27" s="254"/>
    </row>
    <row r="28" spans="1:23" s="167" customFormat="1" ht="236.5" customHeight="1">
      <c r="A28" s="196">
        <v>5</v>
      </c>
      <c r="B28" s="197" t="s">
        <v>522</v>
      </c>
      <c r="C28" s="199" t="str">
        <f>VLOOKUP(B28,[14]AssetDetails_UEM!$A$3:$AH$1849,6,FALSE)</f>
        <v>Radiographic Units, Mobile</v>
      </c>
      <c r="D28" s="430">
        <f>VLOOKUP(B28,[14]AssetDetails_UEM!$A$3:$AK$1849,22,FALSE)</f>
        <v>1149550</v>
      </c>
      <c r="E28" s="197" t="s">
        <v>564</v>
      </c>
      <c r="F28" s="197" t="s">
        <v>624</v>
      </c>
      <c r="G28" s="207" t="s">
        <v>658</v>
      </c>
      <c r="H28" s="208" t="s">
        <v>138</v>
      </c>
      <c r="I28" s="222" t="s">
        <v>145</v>
      </c>
      <c r="J28" s="223" t="s">
        <v>747</v>
      </c>
      <c r="K28" s="223" t="s">
        <v>806</v>
      </c>
      <c r="L28" s="223" t="s">
        <v>854</v>
      </c>
      <c r="M28" s="238">
        <f t="shared" si="0"/>
        <v>100</v>
      </c>
      <c r="N28" s="239" t="s">
        <v>139</v>
      </c>
      <c r="O28" s="240">
        <f>'[15]B1&amp; B2 UNSCHEDULED'!$O$24</f>
        <v>0</v>
      </c>
      <c r="P28" s="239"/>
      <c r="Q28" s="239" t="s">
        <v>139</v>
      </c>
      <c r="R28" s="249">
        <f t="shared" si="1"/>
        <v>1.0222222222218988</v>
      </c>
      <c r="S28" s="438">
        <f t="shared" si="2"/>
        <v>46091</v>
      </c>
      <c r="T28" s="241">
        <v>0</v>
      </c>
      <c r="U28" s="456">
        <f t="shared" si="3"/>
        <v>0</v>
      </c>
      <c r="V28" s="439" t="s">
        <v>901</v>
      </c>
      <c r="W28" s="257"/>
    </row>
    <row r="29" spans="1:23" s="164" customFormat="1" ht="212.5" customHeight="1">
      <c r="A29" s="196">
        <v>6</v>
      </c>
      <c r="B29" s="197" t="s">
        <v>523</v>
      </c>
      <c r="C29" s="198" t="str">
        <f>VLOOKUP(B29,[14]AssetDetails_UEM!$A$3:$AH$1849,6,FALSE)</f>
        <v>Physiologic Monitoring Systems, Acute Care</v>
      </c>
      <c r="D29" s="429">
        <f>VLOOKUP(B29,[14]AssetDetails_UEM!$A$3:$AK$1849,22,FALSE)</f>
        <v>119690</v>
      </c>
      <c r="E29" s="197" t="s">
        <v>565</v>
      </c>
      <c r="F29" s="197" t="s">
        <v>445</v>
      </c>
      <c r="G29" s="207" t="s">
        <v>659</v>
      </c>
      <c r="H29" s="208" t="s">
        <v>138</v>
      </c>
      <c r="I29" s="222" t="s">
        <v>463</v>
      </c>
      <c r="J29" s="223" t="s">
        <v>748</v>
      </c>
      <c r="K29" s="223" t="s">
        <v>807</v>
      </c>
      <c r="L29" s="223" t="s">
        <v>855</v>
      </c>
      <c r="M29" s="235">
        <f t="shared" si="0"/>
        <v>100</v>
      </c>
      <c r="N29" s="236" t="s">
        <v>139</v>
      </c>
      <c r="O29" s="237">
        <f>'[15]B1&amp; B2 UNSCHEDULED'!$O$24</f>
        <v>0</v>
      </c>
      <c r="P29" s="236"/>
      <c r="Q29" s="236" t="s">
        <v>139</v>
      </c>
      <c r="R29" s="247">
        <f t="shared" si="1"/>
        <v>1.1548611111138598</v>
      </c>
      <c r="S29" s="248">
        <f t="shared" si="2"/>
        <v>46092</v>
      </c>
      <c r="T29" s="196">
        <v>0</v>
      </c>
      <c r="U29" s="455">
        <f t="shared" si="3"/>
        <v>0</v>
      </c>
      <c r="V29" s="256" t="s">
        <v>902</v>
      </c>
      <c r="W29" s="254"/>
    </row>
    <row r="30" spans="1:23" s="164" customFormat="1" ht="252.75" customHeight="1">
      <c r="A30" s="196">
        <v>7</v>
      </c>
      <c r="B30" s="197" t="s">
        <v>524</v>
      </c>
      <c r="C30" s="198" t="str">
        <f>VLOOKUP(B30,[14]AssetDetails_UEM!$A$3:$AH$1849,6,FALSE)</f>
        <v>Mattress Systems, Alternating-Pressure</v>
      </c>
      <c r="D30" s="429">
        <f>VLOOKUP(B30,[14]AssetDetails_UEM!$A$3:$AK$1849,22,FALSE)</f>
        <v>4000</v>
      </c>
      <c r="E30" s="197" t="s">
        <v>566</v>
      </c>
      <c r="F30" s="197" t="s">
        <v>625</v>
      </c>
      <c r="G30" s="207" t="s">
        <v>660</v>
      </c>
      <c r="H30" s="208" t="s">
        <v>138</v>
      </c>
      <c r="I30" s="222" t="s">
        <v>142</v>
      </c>
      <c r="J30" s="223" t="s">
        <v>749</v>
      </c>
      <c r="K30" s="433">
        <v>46084.78125</v>
      </c>
      <c r="L30" s="223" t="s">
        <v>856</v>
      </c>
      <c r="M30" s="235">
        <f t="shared" si="0"/>
        <v>10</v>
      </c>
      <c r="N30" s="236" t="s">
        <v>139</v>
      </c>
      <c r="O30" s="237">
        <f>'[15]B1&amp; B2 UNSCHEDULED'!$O$24</f>
        <v>0</v>
      </c>
      <c r="P30" s="196"/>
      <c r="Q30" s="236" t="s">
        <v>139</v>
      </c>
      <c r="R30" s="247">
        <f t="shared" si="1"/>
        <v>2.6423611111094942</v>
      </c>
      <c r="S30" s="248">
        <f t="shared" si="2"/>
        <v>46092</v>
      </c>
      <c r="T30" s="196">
        <v>0</v>
      </c>
      <c r="U30" s="455">
        <f t="shared" si="3"/>
        <v>0</v>
      </c>
      <c r="V30" s="256" t="s">
        <v>903</v>
      </c>
      <c r="W30" s="254"/>
    </row>
    <row r="31" spans="1:23" s="166" customFormat="1" ht="269.14999999999998" customHeight="1">
      <c r="A31" s="196">
        <v>8</v>
      </c>
      <c r="B31" s="197" t="s">
        <v>525</v>
      </c>
      <c r="C31" s="198" t="str">
        <f>VLOOKUP(B31,[14]AssetDetails_UEM!$A$3:$AH$1849,6,FALSE)</f>
        <v>Physiologic Monitoring Systems, Acute Care</v>
      </c>
      <c r="D31" s="429">
        <f>VLOOKUP(B31,[14]AssetDetails_UEM!$A$3:$AK$1849,22,FALSE)</f>
        <v>44510</v>
      </c>
      <c r="E31" s="197" t="s">
        <v>567</v>
      </c>
      <c r="F31" s="197" t="s">
        <v>149</v>
      </c>
      <c r="G31" s="207" t="s">
        <v>661</v>
      </c>
      <c r="H31" s="208" t="s">
        <v>138</v>
      </c>
      <c r="I31" s="222" t="s">
        <v>843</v>
      </c>
      <c r="J31" s="223" t="s">
        <v>750</v>
      </c>
      <c r="K31" s="223" t="s">
        <v>808</v>
      </c>
      <c r="L31" s="223" t="s">
        <v>857</v>
      </c>
      <c r="M31" s="235">
        <f t="shared" si="0"/>
        <v>90</v>
      </c>
      <c r="N31" s="236" t="s">
        <v>139</v>
      </c>
      <c r="O31" s="237">
        <f>'[15]B1&amp; B2 UNSCHEDULED'!$O$24</f>
        <v>0</v>
      </c>
      <c r="P31" s="236"/>
      <c r="Q31" s="236" t="s">
        <v>139</v>
      </c>
      <c r="R31" s="247">
        <f t="shared" si="1"/>
        <v>1.0659722222189885</v>
      </c>
      <c r="S31" s="248">
        <f t="shared" si="2"/>
        <v>46093</v>
      </c>
      <c r="T31" s="196">
        <v>0</v>
      </c>
      <c r="U31" s="455">
        <f t="shared" si="3"/>
        <v>0</v>
      </c>
      <c r="V31" s="256" t="s">
        <v>904</v>
      </c>
      <c r="W31" s="254"/>
    </row>
    <row r="32" spans="1:23" s="164" customFormat="1" ht="409.5">
      <c r="A32" s="196">
        <v>9</v>
      </c>
      <c r="B32" s="197" t="s">
        <v>526</v>
      </c>
      <c r="C32" s="198" t="str">
        <f>VLOOKUP(B32,[14]AssetDetails_UEM!$A$3:$AH$1849,6,FALSE)</f>
        <v>Sphygmomanometers, Electronic, Automatic</v>
      </c>
      <c r="D32" s="429">
        <f>VLOOKUP(B32,[14]AssetDetails_UEM!$A$3:$AK$1849,22,FALSE)</f>
        <v>4510</v>
      </c>
      <c r="E32" s="197" t="s">
        <v>568</v>
      </c>
      <c r="F32" s="197" t="s">
        <v>626</v>
      </c>
      <c r="G32" s="207" t="s">
        <v>662</v>
      </c>
      <c r="H32" s="208" t="s">
        <v>138</v>
      </c>
      <c r="I32" s="222" t="s">
        <v>502</v>
      </c>
      <c r="J32" s="223" t="s">
        <v>751</v>
      </c>
      <c r="K32" s="223" t="s">
        <v>809</v>
      </c>
      <c r="L32" s="223" t="s">
        <v>858</v>
      </c>
      <c r="M32" s="235">
        <f t="shared" si="0"/>
        <v>10</v>
      </c>
      <c r="N32" s="236" t="s">
        <v>139</v>
      </c>
      <c r="O32" s="237">
        <f>'[15]B1&amp; B2 UNSCHEDULED'!$O$24</f>
        <v>0</v>
      </c>
      <c r="P32" s="236"/>
      <c r="Q32" s="236" t="s">
        <v>139</v>
      </c>
      <c r="R32" s="247">
        <v>5</v>
      </c>
      <c r="S32" s="248">
        <f t="shared" si="2"/>
        <v>46093</v>
      </c>
      <c r="T32" s="196">
        <v>0</v>
      </c>
      <c r="U32" s="455">
        <f t="shared" si="3"/>
        <v>0</v>
      </c>
      <c r="V32" s="256" t="s">
        <v>905</v>
      </c>
      <c r="W32" s="254"/>
    </row>
    <row r="33" spans="1:23" s="164" customFormat="1" ht="226.5" customHeight="1">
      <c r="A33" s="196">
        <v>10</v>
      </c>
      <c r="B33" s="197" t="s">
        <v>527</v>
      </c>
      <c r="C33" s="198" t="str">
        <f>VLOOKUP(B33,[14]AssetDetails_UEM!$A$3:$AH$1849,6,FALSE)</f>
        <v>Tables, Operating</v>
      </c>
      <c r="D33" s="429">
        <f>VLOOKUP(B33,[14]AssetDetails_UEM!$A$3:$AK$1849,22,FALSE)</f>
        <v>239350</v>
      </c>
      <c r="E33" s="197" t="s">
        <v>569</v>
      </c>
      <c r="F33" s="197" t="s">
        <v>627</v>
      </c>
      <c r="G33" s="207" t="s">
        <v>663</v>
      </c>
      <c r="H33" s="208" t="s">
        <v>138</v>
      </c>
      <c r="I33" s="222" t="s">
        <v>453</v>
      </c>
      <c r="J33" s="223" t="s">
        <v>752</v>
      </c>
      <c r="K33" s="433">
        <v>46085.416666666664</v>
      </c>
      <c r="L33" s="223" t="s">
        <v>856</v>
      </c>
      <c r="M33" s="235">
        <f t="shared" si="0"/>
        <v>100</v>
      </c>
      <c r="N33" s="236" t="s">
        <v>139</v>
      </c>
      <c r="O33" s="237">
        <f>'[15]B1&amp; B2 UNSCHEDULED'!$O$24</f>
        <v>0</v>
      </c>
      <c r="P33" s="236"/>
      <c r="Q33" s="236" t="s">
        <v>139</v>
      </c>
      <c r="R33" s="247">
        <f t="shared" si="1"/>
        <v>2.0062499999985448</v>
      </c>
      <c r="S33" s="248">
        <f t="shared" si="2"/>
        <v>46093</v>
      </c>
      <c r="T33" s="196">
        <v>0</v>
      </c>
      <c r="U33" s="455">
        <f t="shared" si="3"/>
        <v>0</v>
      </c>
      <c r="V33" s="256" t="s">
        <v>906</v>
      </c>
      <c r="W33" s="254"/>
    </row>
    <row r="34" spans="1:23" s="164" customFormat="1" ht="159">
      <c r="A34" s="196">
        <v>11</v>
      </c>
      <c r="B34" s="197" t="s">
        <v>528</v>
      </c>
      <c r="C34" s="198" t="str">
        <f>VLOOKUP(B34,[14]AssetDetails_UEM!$A$3:$AH$1849,6,FALSE)</f>
        <v>Mattress Systems, Alternating-Pressure</v>
      </c>
      <c r="D34" s="429">
        <f>VLOOKUP(B34,[14]AssetDetails_UEM!$A$3:$AK$1849,22,FALSE)</f>
        <v>28630</v>
      </c>
      <c r="E34" s="197" t="s">
        <v>570</v>
      </c>
      <c r="F34" s="197" t="s">
        <v>147</v>
      </c>
      <c r="G34" s="207" t="s">
        <v>664</v>
      </c>
      <c r="H34" s="208" t="s">
        <v>138</v>
      </c>
      <c r="I34" s="222" t="s">
        <v>844</v>
      </c>
      <c r="J34" s="223" t="s">
        <v>753</v>
      </c>
      <c r="K34" s="223" t="s">
        <v>810</v>
      </c>
      <c r="L34" s="223" t="s">
        <v>859</v>
      </c>
      <c r="M34" s="235">
        <f t="shared" si="0"/>
        <v>60</v>
      </c>
      <c r="N34" s="236" t="s">
        <v>139</v>
      </c>
      <c r="O34" s="237">
        <f>'[15]B1&amp; B2 UNSCHEDULED'!$O$24</f>
        <v>0</v>
      </c>
      <c r="P34" s="236"/>
      <c r="Q34" s="236" t="s">
        <v>139</v>
      </c>
      <c r="R34" s="247">
        <f t="shared" si="1"/>
        <v>1.0597222222204437</v>
      </c>
      <c r="S34" s="248">
        <f t="shared" si="2"/>
        <v>46093</v>
      </c>
      <c r="T34" s="196">
        <v>0</v>
      </c>
      <c r="U34" s="455">
        <f t="shared" si="3"/>
        <v>0</v>
      </c>
      <c r="V34" s="256" t="s">
        <v>907</v>
      </c>
      <c r="W34" s="254"/>
    </row>
    <row r="35" spans="1:23" s="566" customFormat="1" ht="293.25" customHeight="1">
      <c r="A35" s="196">
        <v>12</v>
      </c>
      <c r="B35" s="197" t="s">
        <v>520</v>
      </c>
      <c r="C35" s="198" t="str">
        <f>VLOOKUP(B35,[14]AssetDetails_UEM!$A$3:$AH$1849,6,FALSE)</f>
        <v>Analyzers, Laboratory, Immunoassay, Chemiluminescent</v>
      </c>
      <c r="D35" s="429">
        <f>VLOOKUP(B35,[14]AssetDetails_UEM!$A$3:$AK$1849,22,FALSE)</f>
        <v>1443450</v>
      </c>
      <c r="E35" s="197" t="s">
        <v>719</v>
      </c>
      <c r="F35" s="197" t="s">
        <v>621</v>
      </c>
      <c r="G35" s="207" t="s">
        <v>728</v>
      </c>
      <c r="H35" s="208" t="s">
        <v>138</v>
      </c>
      <c r="I35" s="222" t="s">
        <v>454</v>
      </c>
      <c r="J35" s="223" t="s">
        <v>734</v>
      </c>
      <c r="K35" s="433">
        <v>46085.541666666664</v>
      </c>
      <c r="L35" s="433">
        <v>46093.541666666664</v>
      </c>
      <c r="M35" s="235">
        <f>IF(D35&gt;44999.99,100,ROUNDUP((D35/4999.99)*10,-1))</f>
        <v>100</v>
      </c>
      <c r="N35" s="236" t="s">
        <v>139</v>
      </c>
      <c r="O35" s="564">
        <f>'[15]B1&amp; B2 UNSCHEDULED'!$O$24</f>
        <v>0</v>
      </c>
      <c r="P35" s="196"/>
      <c r="Q35" s="236" t="s">
        <v>139</v>
      </c>
      <c r="R35" s="247">
        <v>7</v>
      </c>
      <c r="S35" s="248">
        <f>WORKDAY(J35,6,AKHIR)</f>
        <v>46093</v>
      </c>
      <c r="T35" s="196">
        <v>0</v>
      </c>
      <c r="U35" s="455">
        <f>IF(Q35="N",0,M35*T35)</f>
        <v>0</v>
      </c>
      <c r="V35" s="256" t="s">
        <v>1668</v>
      </c>
      <c r="W35" s="565"/>
    </row>
    <row r="36" spans="1:23" s="164" customFormat="1" ht="241.5" customHeight="1">
      <c r="A36" s="196">
        <v>13</v>
      </c>
      <c r="B36" s="197" t="s">
        <v>529</v>
      </c>
      <c r="C36" s="198" t="str">
        <f>VLOOKUP(B36,[14]AssetDetails_UEM!$A$3:$AH$1849,6,FALSE)</f>
        <v>Analyzers, Laboratory, Hematology, Cell Counting, Automated</v>
      </c>
      <c r="D36" s="429">
        <f>VLOOKUP(B36,[14]AssetDetails_UEM!$A$3:$AK$1849,22,FALSE)</f>
        <v>565350</v>
      </c>
      <c r="E36" s="197" t="s">
        <v>571</v>
      </c>
      <c r="F36" s="197" t="s">
        <v>628</v>
      </c>
      <c r="G36" s="207" t="s">
        <v>665</v>
      </c>
      <c r="H36" s="208" t="s">
        <v>713</v>
      </c>
      <c r="I36" s="222" t="s">
        <v>951</v>
      </c>
      <c r="J36" s="223" t="s">
        <v>754</v>
      </c>
      <c r="K36" s="433">
        <v>46086.416666666664</v>
      </c>
      <c r="L36" s="223" t="s">
        <v>860</v>
      </c>
      <c r="M36" s="235">
        <f t="shared" si="0"/>
        <v>100</v>
      </c>
      <c r="N36" s="236" t="s">
        <v>139</v>
      </c>
      <c r="O36" s="237">
        <f>'[15]B1&amp; B2 UNSCHEDULED'!$O$24</f>
        <v>0</v>
      </c>
      <c r="P36" s="236"/>
      <c r="Q36" s="236" t="s">
        <v>139</v>
      </c>
      <c r="R36" s="247">
        <f t="shared" si="1"/>
        <v>1.0479166666700621</v>
      </c>
      <c r="S36" s="248">
        <f t="shared" si="2"/>
        <v>46094</v>
      </c>
      <c r="T36" s="196">
        <v>0</v>
      </c>
      <c r="U36" s="455">
        <f t="shared" si="3"/>
        <v>0</v>
      </c>
      <c r="V36" s="256" t="s">
        <v>908</v>
      </c>
      <c r="W36" s="254"/>
    </row>
    <row r="37" spans="1:23" s="164" customFormat="1" ht="265">
      <c r="A37" s="196">
        <v>14</v>
      </c>
      <c r="B37" s="197" t="s">
        <v>530</v>
      </c>
      <c r="C37" s="198" t="str">
        <f>VLOOKUP(B37,[14]AssetDetails_UEM!$A$3:$AH$1849,6,FALSE)</f>
        <v>Scanning Systems, Computed Tomography/ Positron Emission Tomography</v>
      </c>
      <c r="D37" s="429">
        <f>VLOOKUP(B37,[14]AssetDetails_UEM!$A$3:$AK$1849,22,FALSE)</f>
        <v>3410390</v>
      </c>
      <c r="E37" s="197" t="s">
        <v>572</v>
      </c>
      <c r="F37" s="197" t="s">
        <v>629</v>
      </c>
      <c r="G37" s="207" t="s">
        <v>666</v>
      </c>
      <c r="H37" s="208" t="s">
        <v>138</v>
      </c>
      <c r="I37" s="222" t="s">
        <v>142</v>
      </c>
      <c r="J37" s="223" t="s">
        <v>755</v>
      </c>
      <c r="K37" s="223" t="s">
        <v>811</v>
      </c>
      <c r="L37" s="223" t="s">
        <v>861</v>
      </c>
      <c r="M37" s="235">
        <f t="shared" si="0"/>
        <v>100</v>
      </c>
      <c r="N37" s="236" t="s">
        <v>139</v>
      </c>
      <c r="O37" s="237">
        <f>'[15]B1&amp; B2 UNSCHEDULED'!$O$24</f>
        <v>0</v>
      </c>
      <c r="P37" s="236"/>
      <c r="Q37" s="236" t="s">
        <v>139</v>
      </c>
      <c r="R37" s="247">
        <f t="shared" si="1"/>
        <v>1.0208333333357587</v>
      </c>
      <c r="S37" s="248">
        <f t="shared" si="2"/>
        <v>46094</v>
      </c>
      <c r="T37" s="196">
        <v>0</v>
      </c>
      <c r="U37" s="455">
        <f t="shared" si="3"/>
        <v>0</v>
      </c>
      <c r="V37" s="256" t="s">
        <v>909</v>
      </c>
      <c r="W37" s="254"/>
    </row>
    <row r="38" spans="1:23" s="167" customFormat="1" ht="264" customHeight="1">
      <c r="A38" s="196">
        <v>15</v>
      </c>
      <c r="B38" s="197" t="s">
        <v>531</v>
      </c>
      <c r="C38" s="199" t="str">
        <f>VLOOKUP(B38,[14]AssetDetails_UEM!$A$3:$AH$1849,6,FALSE)</f>
        <v>Radiographic Systems, Digital</v>
      </c>
      <c r="D38" s="430">
        <f>VLOOKUP(B38,[14]AssetDetails_UEM!$A$3:$AK$1849,22,FALSE)</f>
        <v>1958605</v>
      </c>
      <c r="E38" s="197" t="s">
        <v>573</v>
      </c>
      <c r="F38" s="197" t="s">
        <v>630</v>
      </c>
      <c r="G38" s="207" t="s">
        <v>667</v>
      </c>
      <c r="H38" s="208" t="s">
        <v>138</v>
      </c>
      <c r="I38" s="222" t="s">
        <v>146</v>
      </c>
      <c r="J38" s="433">
        <v>46087.375</v>
      </c>
      <c r="K38" s="223" t="s">
        <v>812</v>
      </c>
      <c r="L38" s="223" t="s">
        <v>757</v>
      </c>
      <c r="M38" s="238">
        <f t="shared" si="0"/>
        <v>100</v>
      </c>
      <c r="N38" s="239" t="s">
        <v>139</v>
      </c>
      <c r="O38" s="240">
        <f>'[15]B1&amp; B2 UNSCHEDULED'!$O$24</f>
        <v>0</v>
      </c>
      <c r="P38" s="241"/>
      <c r="Q38" s="239" t="s">
        <v>139</v>
      </c>
      <c r="R38" s="249">
        <f>IF(L38="",AKHIR-J38,L38-J38+1)</f>
        <v>1.0416666666642413</v>
      </c>
      <c r="S38" s="248">
        <f t="shared" si="2"/>
        <v>46097</v>
      </c>
      <c r="T38" s="196">
        <v>0</v>
      </c>
      <c r="U38" s="455">
        <f t="shared" si="3"/>
        <v>0</v>
      </c>
      <c r="V38" s="256" t="s">
        <v>910</v>
      </c>
      <c r="W38" s="257"/>
    </row>
    <row r="39" spans="1:23" s="164" customFormat="1" ht="265">
      <c r="A39" s="196">
        <v>16</v>
      </c>
      <c r="B39" s="197" t="s">
        <v>143</v>
      </c>
      <c r="C39" s="198" t="str">
        <f>VLOOKUP(B39,[14]AssetDetails_UEM!$A$3:$AH$1849,6,FALSE)</f>
        <v>Linear Accelerators</v>
      </c>
      <c r="D39" s="429">
        <f>VLOOKUP(B39,[14]AssetDetails_UEM!$A$3:$AK$1849,22,FALSE)</f>
        <v>12049370</v>
      </c>
      <c r="E39" s="197" t="s">
        <v>574</v>
      </c>
      <c r="F39" s="197" t="s">
        <v>631</v>
      </c>
      <c r="G39" s="207" t="s">
        <v>668</v>
      </c>
      <c r="H39" s="208" t="s">
        <v>138</v>
      </c>
      <c r="I39" s="222" t="s">
        <v>454</v>
      </c>
      <c r="J39" s="223" t="s">
        <v>756</v>
      </c>
      <c r="K39" s="223" t="s">
        <v>813</v>
      </c>
      <c r="L39" s="223" t="s">
        <v>862</v>
      </c>
      <c r="M39" s="235">
        <f t="shared" si="0"/>
        <v>100</v>
      </c>
      <c r="N39" s="236" t="s">
        <v>139</v>
      </c>
      <c r="O39" s="237">
        <f>'[15]B1&amp; B2 UNSCHEDULED'!$O$24</f>
        <v>0</v>
      </c>
      <c r="P39" s="236"/>
      <c r="Q39" s="236" t="s">
        <v>139</v>
      </c>
      <c r="R39" s="247">
        <f t="shared" si="1"/>
        <v>1.0770833333299379</v>
      </c>
      <c r="S39" s="248">
        <f t="shared" si="2"/>
        <v>46097</v>
      </c>
      <c r="T39" s="196">
        <v>0</v>
      </c>
      <c r="U39" s="455">
        <f t="shared" si="3"/>
        <v>0</v>
      </c>
      <c r="V39" s="256" t="s">
        <v>911</v>
      </c>
      <c r="W39" s="254"/>
    </row>
    <row r="40" spans="1:23" s="164" customFormat="1" ht="265">
      <c r="A40" s="196">
        <v>17</v>
      </c>
      <c r="B40" s="197" t="s">
        <v>532</v>
      </c>
      <c r="C40" s="198" t="str">
        <f>VLOOKUP(B40,[14]AssetDetails_UEM!$A$3:$AH$1849,6,FALSE)</f>
        <v>Linear Accelerators</v>
      </c>
      <c r="D40" s="429">
        <f>VLOOKUP(B40,[14]AssetDetails_UEM!$A$3:$AK$1849,22,FALSE)</f>
        <v>21961900</v>
      </c>
      <c r="E40" s="197" t="s">
        <v>576</v>
      </c>
      <c r="F40" s="197" t="s">
        <v>633</v>
      </c>
      <c r="G40" s="207" t="s">
        <v>669</v>
      </c>
      <c r="H40" s="208" t="s">
        <v>138</v>
      </c>
      <c r="I40" s="222" t="s">
        <v>448</v>
      </c>
      <c r="J40" s="223" t="s">
        <v>758</v>
      </c>
      <c r="K40" s="223" t="s">
        <v>814</v>
      </c>
      <c r="L40" s="223" t="s">
        <v>863</v>
      </c>
      <c r="M40" s="235">
        <f t="shared" si="0"/>
        <v>100</v>
      </c>
      <c r="N40" s="236" t="s">
        <v>139</v>
      </c>
      <c r="O40" s="237">
        <f>'[15]B1&amp; B2 UNSCHEDULED'!$O$24</f>
        <v>0</v>
      </c>
      <c r="P40" s="236"/>
      <c r="Q40" s="236" t="s">
        <v>139</v>
      </c>
      <c r="R40" s="247">
        <v>4</v>
      </c>
      <c r="S40" s="248">
        <f t="shared" si="2"/>
        <v>46097</v>
      </c>
      <c r="T40" s="196">
        <v>0</v>
      </c>
      <c r="U40" s="455">
        <f t="shared" si="3"/>
        <v>0</v>
      </c>
      <c r="V40" s="256" t="s">
        <v>912</v>
      </c>
      <c r="W40" s="254"/>
    </row>
    <row r="41" spans="1:23" s="167" customFormat="1" ht="339.5" customHeight="1">
      <c r="A41" s="196">
        <v>18</v>
      </c>
      <c r="B41" s="197" t="s">
        <v>533</v>
      </c>
      <c r="C41" s="199" t="str">
        <f>VLOOKUP(B41,[14]AssetDetails_UEM!$A$3:$AH$1849,6,FALSE)</f>
        <v>Infusion Pumps, General-Purpose</v>
      </c>
      <c r="D41" s="430">
        <f>VLOOKUP(B41,[14]AssetDetails_UEM!$A$3:$AK$1849,22,FALSE)</f>
        <v>3500</v>
      </c>
      <c r="E41" s="197" t="s">
        <v>577</v>
      </c>
      <c r="F41" s="197" t="s">
        <v>634</v>
      </c>
      <c r="G41" s="207" t="s">
        <v>670</v>
      </c>
      <c r="H41" s="208" t="s">
        <v>138</v>
      </c>
      <c r="I41" s="222" t="s">
        <v>449</v>
      </c>
      <c r="J41" s="223" t="s">
        <v>759</v>
      </c>
      <c r="K41" s="433">
        <v>46087.694444444445</v>
      </c>
      <c r="L41" s="223" t="s">
        <v>864</v>
      </c>
      <c r="M41" s="238">
        <f t="shared" si="0"/>
        <v>10</v>
      </c>
      <c r="N41" s="239" t="s">
        <v>139</v>
      </c>
      <c r="O41" s="240">
        <f>'[15]B1&amp; B2 UNSCHEDULED'!$O$24</f>
        <v>0</v>
      </c>
      <c r="P41" s="241"/>
      <c r="Q41" s="239" t="s">
        <v>139</v>
      </c>
      <c r="R41" s="249">
        <v>2</v>
      </c>
      <c r="S41" s="438">
        <f t="shared" si="2"/>
        <v>46097</v>
      </c>
      <c r="T41" s="241">
        <v>0</v>
      </c>
      <c r="U41" s="456">
        <f t="shared" si="3"/>
        <v>0</v>
      </c>
      <c r="V41" s="439" t="s">
        <v>913</v>
      </c>
      <c r="W41" s="257"/>
    </row>
    <row r="42" spans="1:23" s="167" customFormat="1" ht="362" customHeight="1">
      <c r="A42" s="196">
        <v>19</v>
      </c>
      <c r="B42" s="197" t="s">
        <v>140</v>
      </c>
      <c r="C42" s="198" t="s">
        <v>148</v>
      </c>
      <c r="D42" s="430">
        <v>0</v>
      </c>
      <c r="E42" s="567" t="s">
        <v>1700</v>
      </c>
      <c r="F42" s="567" t="s">
        <v>1699</v>
      </c>
      <c r="G42" s="570" t="s">
        <v>1706</v>
      </c>
      <c r="H42" s="208" t="s">
        <v>138</v>
      </c>
      <c r="I42" s="545" t="s">
        <v>144</v>
      </c>
      <c r="J42" s="550" t="s">
        <v>1696</v>
      </c>
      <c r="K42" s="572" t="s">
        <v>1697</v>
      </c>
      <c r="L42" s="550" t="s">
        <v>1698</v>
      </c>
      <c r="M42" s="238">
        <f t="shared" si="0"/>
        <v>0</v>
      </c>
      <c r="N42" s="239" t="s">
        <v>139</v>
      </c>
      <c r="O42" s="240">
        <f>'[15]B1&amp; B2 UNSCHEDULED'!$O$24</f>
        <v>0</v>
      </c>
      <c r="P42" s="544"/>
      <c r="Q42" s="239" t="s">
        <v>139</v>
      </c>
      <c r="R42" s="249">
        <v>2</v>
      </c>
      <c r="S42" s="438">
        <f t="shared" si="2"/>
        <v>46097</v>
      </c>
      <c r="T42" s="241">
        <v>0</v>
      </c>
      <c r="U42" s="456">
        <f t="shared" si="3"/>
        <v>0</v>
      </c>
      <c r="V42" s="573" t="s">
        <v>1701</v>
      </c>
      <c r="W42" s="257"/>
    </row>
    <row r="43" spans="1:23" s="167" customFormat="1" ht="212.25" customHeight="1">
      <c r="A43" s="196">
        <v>20</v>
      </c>
      <c r="B43" s="197" t="s">
        <v>534</v>
      </c>
      <c r="C43" s="199" t="str">
        <f>VLOOKUP(B43,[14]AssetDetails_UEM!$A$3:$AH$1849,6,FALSE)</f>
        <v>Pumps, Enteral Feeding</v>
      </c>
      <c r="D43" s="430">
        <f>VLOOKUP(B43,[14]AssetDetails_UEM!$A$3:$AK$1849,22,FALSE)</f>
        <v>6615</v>
      </c>
      <c r="E43" s="197" t="s">
        <v>578</v>
      </c>
      <c r="F43" s="197" t="s">
        <v>635</v>
      </c>
      <c r="G43" s="207" t="s">
        <v>671</v>
      </c>
      <c r="H43" s="208" t="s">
        <v>138</v>
      </c>
      <c r="I43" s="222" t="s">
        <v>451</v>
      </c>
      <c r="J43" s="223" t="s">
        <v>760</v>
      </c>
      <c r="K43" s="223" t="s">
        <v>815</v>
      </c>
      <c r="L43" s="223" t="s">
        <v>865</v>
      </c>
      <c r="M43" s="238">
        <f t="shared" si="0"/>
        <v>20</v>
      </c>
      <c r="N43" s="239" t="s">
        <v>139</v>
      </c>
      <c r="O43" s="240">
        <f>'[15]B1&amp; B2 UNSCHEDULED'!$O$24</f>
        <v>0</v>
      </c>
      <c r="P43" s="241"/>
      <c r="Q43" s="239" t="s">
        <v>139</v>
      </c>
      <c r="R43" s="249">
        <v>5</v>
      </c>
      <c r="S43" s="438">
        <f t="shared" si="2"/>
        <v>46097</v>
      </c>
      <c r="T43" s="241">
        <v>0</v>
      </c>
      <c r="U43" s="456">
        <f t="shared" si="3"/>
        <v>0</v>
      </c>
      <c r="V43" s="439" t="s">
        <v>914</v>
      </c>
      <c r="W43" s="257"/>
    </row>
    <row r="44" spans="1:23" s="447" customFormat="1" ht="226" customHeight="1">
      <c r="A44" s="196">
        <v>21</v>
      </c>
      <c r="B44" s="197" t="s">
        <v>535</v>
      </c>
      <c r="C44" s="199" t="str">
        <f>VLOOKUP(B44,[14]AssetDetails_UEM!$A$3:$AH$1849,6,FALSE)</f>
        <v>Pumps, Enteral Feeding</v>
      </c>
      <c r="D44" s="430">
        <f>VLOOKUP(B44,[14]AssetDetails_UEM!$A$3:$AK$1849,22,FALSE)</f>
        <v>6615</v>
      </c>
      <c r="E44" s="197" t="s">
        <v>579</v>
      </c>
      <c r="F44" s="197" t="s">
        <v>636</v>
      </c>
      <c r="G44" s="207" t="s">
        <v>672</v>
      </c>
      <c r="H44" s="208" t="s">
        <v>138</v>
      </c>
      <c r="I44" s="222" t="s">
        <v>146</v>
      </c>
      <c r="J44" s="223" t="s">
        <v>761</v>
      </c>
      <c r="K44" s="223" t="s">
        <v>815</v>
      </c>
      <c r="L44" s="223" t="s">
        <v>866</v>
      </c>
      <c r="M44" s="238">
        <f t="shared" si="0"/>
        <v>20</v>
      </c>
      <c r="N44" s="239" t="s">
        <v>139</v>
      </c>
      <c r="O44" s="445">
        <f>'[15]B1&amp; B2 UNSCHEDULED'!$O$24</f>
        <v>0</v>
      </c>
      <c r="P44" s="241"/>
      <c r="Q44" s="239" t="s">
        <v>139</v>
      </c>
      <c r="R44" s="249">
        <v>3</v>
      </c>
      <c r="S44" s="438">
        <f t="shared" si="2"/>
        <v>46097</v>
      </c>
      <c r="T44" s="241">
        <v>0</v>
      </c>
      <c r="U44" s="456">
        <f t="shared" si="3"/>
        <v>0</v>
      </c>
      <c r="V44" s="439" t="s">
        <v>915</v>
      </c>
      <c r="W44" s="446"/>
    </row>
    <row r="45" spans="1:23" s="166" customFormat="1" ht="255" customHeight="1">
      <c r="A45" s="196">
        <v>22</v>
      </c>
      <c r="B45" s="197" t="s">
        <v>143</v>
      </c>
      <c r="C45" s="198" t="str">
        <f>VLOOKUP(B45,[14]AssetDetails_UEM!$A$3:$AH$1849,6,FALSE)</f>
        <v>Linear Accelerators</v>
      </c>
      <c r="D45" s="429">
        <f>VLOOKUP(B45,[14]AssetDetails_UEM!$A$3:$AK$1849,22,FALSE)</f>
        <v>12049370</v>
      </c>
      <c r="E45" s="197" t="s">
        <v>580</v>
      </c>
      <c r="F45" s="197" t="s">
        <v>637</v>
      </c>
      <c r="G45" s="207" t="s">
        <v>673</v>
      </c>
      <c r="H45" s="208" t="s">
        <v>138</v>
      </c>
      <c r="I45" s="222" t="s">
        <v>146</v>
      </c>
      <c r="J45" s="223" t="s">
        <v>762</v>
      </c>
      <c r="K45" s="223" t="s">
        <v>816</v>
      </c>
      <c r="L45" s="223" t="s">
        <v>867</v>
      </c>
      <c r="M45" s="235">
        <f t="shared" si="0"/>
        <v>100</v>
      </c>
      <c r="N45" s="236" t="s">
        <v>139</v>
      </c>
      <c r="O45" s="237">
        <f>'[15]B1&amp; B2 UNSCHEDULED'!$O$24</f>
        <v>0</v>
      </c>
      <c r="P45" s="196"/>
      <c r="Q45" s="236" t="s">
        <v>139</v>
      </c>
      <c r="R45" s="247">
        <f t="shared" si="1"/>
        <v>1.1458333333357587</v>
      </c>
      <c r="S45" s="248">
        <f t="shared" si="2"/>
        <v>46098</v>
      </c>
      <c r="T45" s="196">
        <v>0</v>
      </c>
      <c r="U45" s="455">
        <f t="shared" si="3"/>
        <v>0</v>
      </c>
      <c r="V45" s="256" t="s">
        <v>916</v>
      </c>
      <c r="W45" s="254"/>
    </row>
    <row r="46" spans="1:23" s="167" customFormat="1" ht="285" customHeight="1">
      <c r="A46" s="196">
        <v>23</v>
      </c>
      <c r="B46" s="197" t="s">
        <v>143</v>
      </c>
      <c r="C46" s="199" t="str">
        <f>VLOOKUP(B46,[14]AssetDetails_UEM!$A$3:$AH$1849,6,FALSE)</f>
        <v>Linear Accelerators</v>
      </c>
      <c r="D46" s="430">
        <f>VLOOKUP(B46,[14]AssetDetails_UEM!$A$3:$AK$1849,22,FALSE)</f>
        <v>12049370</v>
      </c>
      <c r="E46" s="197" t="s">
        <v>581</v>
      </c>
      <c r="F46" s="197" t="s">
        <v>637</v>
      </c>
      <c r="G46" s="207" t="s">
        <v>674</v>
      </c>
      <c r="H46" s="208" t="s">
        <v>138</v>
      </c>
      <c r="I46" s="222" t="s">
        <v>502</v>
      </c>
      <c r="J46" s="223" t="s">
        <v>763</v>
      </c>
      <c r="K46" s="223" t="s">
        <v>817</v>
      </c>
      <c r="L46" s="223" t="s">
        <v>818</v>
      </c>
      <c r="M46" s="238">
        <f t="shared" si="0"/>
        <v>100</v>
      </c>
      <c r="N46" s="239" t="s">
        <v>139</v>
      </c>
      <c r="O46" s="240">
        <f>'[15]B1&amp; B2 UNSCHEDULED'!$O$24</f>
        <v>0</v>
      </c>
      <c r="P46" s="241"/>
      <c r="Q46" s="239" t="s">
        <v>139</v>
      </c>
      <c r="R46" s="249">
        <f t="shared" si="1"/>
        <v>1.1375000000043656</v>
      </c>
      <c r="S46" s="438">
        <f t="shared" si="2"/>
        <v>46099</v>
      </c>
      <c r="T46" s="241">
        <v>0</v>
      </c>
      <c r="U46" s="456">
        <f t="shared" si="3"/>
        <v>0</v>
      </c>
      <c r="V46" s="439" t="s">
        <v>917</v>
      </c>
      <c r="W46" s="257"/>
    </row>
    <row r="47" spans="1:23" s="164" customFormat="1" ht="180" customHeight="1">
      <c r="A47" s="196">
        <v>24</v>
      </c>
      <c r="B47" s="197" t="s">
        <v>536</v>
      </c>
      <c r="C47" s="198" t="str">
        <f>VLOOKUP(B47,[14]AssetDetails_UEM!$A$3:$AH$1849,6,FALSE)</f>
        <v>Oximeters, Pulse</v>
      </c>
      <c r="D47" s="429">
        <f>VLOOKUP(B47,[14]AssetDetails_UEM!$A$3:$AK$1849,22,FALSE)</f>
        <v>5410</v>
      </c>
      <c r="E47" s="197" t="s">
        <v>582</v>
      </c>
      <c r="F47" s="197" t="s">
        <v>638</v>
      </c>
      <c r="G47" s="207" t="s">
        <v>675</v>
      </c>
      <c r="H47" s="208" t="s">
        <v>138</v>
      </c>
      <c r="I47" s="222" t="s">
        <v>956</v>
      </c>
      <c r="J47" s="223" t="s">
        <v>764</v>
      </c>
      <c r="K47" s="433">
        <v>46091.416666666664</v>
      </c>
      <c r="L47" s="223" t="s">
        <v>818</v>
      </c>
      <c r="M47" s="235">
        <f t="shared" si="0"/>
        <v>20</v>
      </c>
      <c r="N47" s="236" t="s">
        <v>139</v>
      </c>
      <c r="O47" s="237">
        <f>'[15]B1&amp; B2 UNSCHEDULED'!$O$24</f>
        <v>0</v>
      </c>
      <c r="P47" s="196"/>
      <c r="Q47" s="236" t="s">
        <v>139</v>
      </c>
      <c r="R47" s="247">
        <f t="shared" si="1"/>
        <v>1.0673611111124046</v>
      </c>
      <c r="S47" s="248">
        <f t="shared" si="2"/>
        <v>46099</v>
      </c>
      <c r="T47" s="196">
        <v>0</v>
      </c>
      <c r="U47" s="455">
        <f t="shared" si="3"/>
        <v>0</v>
      </c>
      <c r="V47" s="256" t="s">
        <v>918</v>
      </c>
      <c r="W47" s="254"/>
    </row>
    <row r="48" spans="1:23" s="164" customFormat="1" ht="327" customHeight="1">
      <c r="A48" s="196">
        <v>25</v>
      </c>
      <c r="B48" s="197" t="s">
        <v>143</v>
      </c>
      <c r="C48" s="198" t="str">
        <f>VLOOKUP(B48,[14]AssetDetails_UEM!$A$3:$AH$1849,6,FALSE)</f>
        <v>Linear Accelerators</v>
      </c>
      <c r="D48" s="429">
        <f>VLOOKUP(B48,[14]AssetDetails_UEM!$A$3:$AK$1849,22,FALSE)</f>
        <v>12049370</v>
      </c>
      <c r="E48" s="197" t="s">
        <v>583</v>
      </c>
      <c r="F48" s="197" t="s">
        <v>637</v>
      </c>
      <c r="G48" s="207" t="s">
        <v>676</v>
      </c>
      <c r="H48" s="208" t="s">
        <v>138</v>
      </c>
      <c r="I48" s="222" t="s">
        <v>142</v>
      </c>
      <c r="J48" s="223" t="s">
        <v>765</v>
      </c>
      <c r="K48" s="223" t="s">
        <v>818</v>
      </c>
      <c r="L48" s="223" t="s">
        <v>868</v>
      </c>
      <c r="M48" s="235">
        <f t="shared" si="0"/>
        <v>100</v>
      </c>
      <c r="N48" s="236" t="s">
        <v>139</v>
      </c>
      <c r="O48" s="237">
        <f>'[15]B1&amp; B2 UNSCHEDULED'!$O$24</f>
        <v>0</v>
      </c>
      <c r="P48" s="196"/>
      <c r="Q48" s="236" t="s">
        <v>139</v>
      </c>
      <c r="R48" s="247">
        <f t="shared" si="1"/>
        <v>1.0694444444452529</v>
      </c>
      <c r="S48" s="248">
        <f t="shared" si="2"/>
        <v>46099</v>
      </c>
      <c r="T48" s="196">
        <v>0</v>
      </c>
      <c r="U48" s="455">
        <f t="shared" si="3"/>
        <v>0</v>
      </c>
      <c r="V48" s="256" t="s">
        <v>919</v>
      </c>
      <c r="W48" s="254"/>
    </row>
    <row r="49" spans="1:23" s="167" customFormat="1" ht="318">
      <c r="A49" s="196">
        <v>26</v>
      </c>
      <c r="B49" s="197" t="s">
        <v>957</v>
      </c>
      <c r="C49" s="199" t="str">
        <f>VLOOKUP(B49,[14]AssetDetails_UEM!$A$3:$AH$1849,6,FALSE)</f>
        <v>Infusion Pumps, Syringe</v>
      </c>
      <c r="D49" s="430">
        <f>VLOOKUP(B49,[14]AssetDetails_UEM!$A$3:$AK$1849,22,FALSE)</f>
        <v>10225</v>
      </c>
      <c r="E49" s="197" t="s">
        <v>584</v>
      </c>
      <c r="F49" s="197" t="s">
        <v>626</v>
      </c>
      <c r="G49" s="207" t="s">
        <v>677</v>
      </c>
      <c r="H49" s="208" t="s">
        <v>713</v>
      </c>
      <c r="I49" s="222" t="s">
        <v>142</v>
      </c>
      <c r="J49" s="223" t="s">
        <v>766</v>
      </c>
      <c r="K49" s="433">
        <v>46091.423611111109</v>
      </c>
      <c r="L49" s="223" t="s">
        <v>767</v>
      </c>
      <c r="M49" s="238">
        <f t="shared" si="0"/>
        <v>30</v>
      </c>
      <c r="N49" s="239" t="s">
        <v>139</v>
      </c>
      <c r="O49" s="240">
        <f>'[15]B1&amp; B2 UNSCHEDULED'!$O$24</f>
        <v>0</v>
      </c>
      <c r="P49" s="241"/>
      <c r="Q49" s="239" t="s">
        <v>139</v>
      </c>
      <c r="R49" s="249">
        <f t="shared" si="1"/>
        <v>1.0833333333357587</v>
      </c>
      <c r="S49" s="438">
        <f t="shared" si="2"/>
        <v>46099</v>
      </c>
      <c r="T49" s="241">
        <v>0</v>
      </c>
      <c r="U49" s="456">
        <f t="shared" si="3"/>
        <v>0</v>
      </c>
      <c r="V49" s="439" t="s">
        <v>920</v>
      </c>
      <c r="W49" s="257"/>
    </row>
    <row r="50" spans="1:23" s="164" customFormat="1" ht="318">
      <c r="A50" s="196">
        <v>27</v>
      </c>
      <c r="B50" s="197" t="s">
        <v>958</v>
      </c>
      <c r="C50" s="198" t="str">
        <f>VLOOKUP(B50,[14]AssetDetails_UEM!$A$3:$AH$1849,6,FALSE)</f>
        <v>Infusion Pumps, Syringe</v>
      </c>
      <c r="D50" s="429">
        <f>VLOOKUP(B50,[14]AssetDetails_UEM!$A$3:$AK$1849,22,FALSE)</f>
        <v>10225</v>
      </c>
      <c r="E50" s="197" t="s">
        <v>585</v>
      </c>
      <c r="F50" s="197" t="s">
        <v>639</v>
      </c>
      <c r="G50" s="207" t="s">
        <v>677</v>
      </c>
      <c r="H50" s="208" t="s">
        <v>713</v>
      </c>
      <c r="I50" s="222" t="s">
        <v>142</v>
      </c>
      <c r="J50" s="223" t="s">
        <v>767</v>
      </c>
      <c r="K50" s="433">
        <v>46091.506944444445</v>
      </c>
      <c r="L50" s="223" t="s">
        <v>869</v>
      </c>
      <c r="M50" s="235">
        <f t="shared" si="0"/>
        <v>30</v>
      </c>
      <c r="N50" s="236" t="s">
        <v>139</v>
      </c>
      <c r="O50" s="237">
        <f>'[15]B1&amp; B2 UNSCHEDULED'!$O$24</f>
        <v>0</v>
      </c>
      <c r="P50" s="196"/>
      <c r="Q50" s="236" t="s">
        <v>139</v>
      </c>
      <c r="R50" s="247">
        <f t="shared" si="1"/>
        <v>1.0833333333357587</v>
      </c>
      <c r="S50" s="248">
        <f t="shared" si="2"/>
        <v>46099</v>
      </c>
      <c r="T50" s="196">
        <v>0</v>
      </c>
      <c r="U50" s="455">
        <f t="shared" si="3"/>
        <v>0</v>
      </c>
      <c r="V50" s="256" t="s">
        <v>921</v>
      </c>
      <c r="W50" s="254"/>
    </row>
    <row r="51" spans="1:23" s="166" customFormat="1" ht="291.64999999999998" customHeight="1">
      <c r="A51" s="196">
        <v>28</v>
      </c>
      <c r="B51" s="197" t="s">
        <v>537</v>
      </c>
      <c r="C51" s="198" t="str">
        <f>VLOOKUP(B51,[14]AssetDetails_UEM!$A$3:$AH$1849,6,FALSE)</f>
        <v>Oximeters, Pulse</v>
      </c>
      <c r="D51" s="429">
        <f>VLOOKUP(B51,[14]AssetDetails_UEM!$A$3:$AK$1849,22,FALSE)</f>
        <v>5410</v>
      </c>
      <c r="E51" s="197" t="s">
        <v>586</v>
      </c>
      <c r="F51" s="197" t="s">
        <v>640</v>
      </c>
      <c r="G51" s="207" t="s">
        <v>678</v>
      </c>
      <c r="H51" s="208" t="s">
        <v>138</v>
      </c>
      <c r="I51" s="222" t="s">
        <v>145</v>
      </c>
      <c r="J51" s="223" t="s">
        <v>768</v>
      </c>
      <c r="K51" s="433">
        <v>46091.71875</v>
      </c>
      <c r="L51" s="223" t="s">
        <v>870</v>
      </c>
      <c r="M51" s="235">
        <f t="shared" si="0"/>
        <v>20</v>
      </c>
      <c r="N51" s="236" t="s">
        <v>139</v>
      </c>
      <c r="O51" s="237">
        <f>'[15]B1&amp; B2 UNSCHEDULED'!$O$24</f>
        <v>0</v>
      </c>
      <c r="P51" s="196"/>
      <c r="Q51" s="236" t="s">
        <v>139</v>
      </c>
      <c r="R51" s="247">
        <f t="shared" si="1"/>
        <v>1.0256944444408873</v>
      </c>
      <c r="S51" s="248">
        <f t="shared" si="2"/>
        <v>46099</v>
      </c>
      <c r="T51" s="196">
        <v>0</v>
      </c>
      <c r="U51" s="455">
        <f t="shared" si="3"/>
        <v>0</v>
      </c>
      <c r="V51" s="256" t="s">
        <v>922</v>
      </c>
      <c r="W51" s="254"/>
    </row>
    <row r="52" spans="1:23" s="166" customFormat="1" ht="212">
      <c r="A52" s="196">
        <v>29</v>
      </c>
      <c r="B52" s="197" t="s">
        <v>526</v>
      </c>
      <c r="C52" s="198" t="str">
        <f>VLOOKUP(B52,[14]AssetDetails_UEM!$A$3:$AH$1849,6,FALSE)</f>
        <v>Sphygmomanometers, Electronic, Automatic</v>
      </c>
      <c r="D52" s="429">
        <f>VLOOKUP(B52,[14]AssetDetails_UEM!$A$3:$AK$1849,22,FALSE)</f>
        <v>4510</v>
      </c>
      <c r="E52" s="197" t="s">
        <v>587</v>
      </c>
      <c r="F52" s="197" t="s">
        <v>626</v>
      </c>
      <c r="G52" s="207" t="s">
        <v>679</v>
      </c>
      <c r="H52" s="208" t="s">
        <v>138</v>
      </c>
      <c r="I52" s="222" t="s">
        <v>450</v>
      </c>
      <c r="J52" s="223" t="s">
        <v>769</v>
      </c>
      <c r="K52" s="223" t="s">
        <v>819</v>
      </c>
      <c r="L52" s="223" t="s">
        <v>871</v>
      </c>
      <c r="M52" s="235">
        <f t="shared" si="0"/>
        <v>10</v>
      </c>
      <c r="N52" s="236" t="s">
        <v>139</v>
      </c>
      <c r="O52" s="237">
        <f>'[15]B1&amp; B2 UNSCHEDULED'!$O$24</f>
        <v>0</v>
      </c>
      <c r="P52" s="196"/>
      <c r="Q52" s="236" t="s">
        <v>139</v>
      </c>
      <c r="R52" s="247">
        <f t="shared" si="1"/>
        <v>1.047222222223354</v>
      </c>
      <c r="S52" s="248">
        <f t="shared" si="2"/>
        <v>46100</v>
      </c>
      <c r="T52" s="196">
        <v>0</v>
      </c>
      <c r="U52" s="455">
        <f t="shared" si="3"/>
        <v>0</v>
      </c>
      <c r="V52" s="256" t="s">
        <v>923</v>
      </c>
      <c r="W52" s="254"/>
    </row>
    <row r="53" spans="1:23" s="167" customFormat="1" ht="212">
      <c r="A53" s="196">
        <v>30</v>
      </c>
      <c r="B53" s="197" t="s">
        <v>538</v>
      </c>
      <c r="C53" s="199" t="str">
        <f>VLOOKUP(B53,[14]AssetDetails_UEM!$A$3:$AH$1849,6,FALSE)</f>
        <v>Warming Units, Patient, Radiant, Adult</v>
      </c>
      <c r="D53" s="430">
        <f>VLOOKUP(B53,[14]AssetDetails_UEM!$A$3:$AK$1849,22,FALSE)</f>
        <v>12630</v>
      </c>
      <c r="E53" s="197" t="s">
        <v>588</v>
      </c>
      <c r="F53" s="197" t="s">
        <v>159</v>
      </c>
      <c r="G53" s="207" t="s">
        <v>680</v>
      </c>
      <c r="H53" s="208" t="s">
        <v>138</v>
      </c>
      <c r="I53" s="222" t="s">
        <v>450</v>
      </c>
      <c r="J53" s="223" t="s">
        <v>770</v>
      </c>
      <c r="K53" s="433">
        <v>46092.385416666664</v>
      </c>
      <c r="L53" s="223" t="s">
        <v>871</v>
      </c>
      <c r="M53" s="238">
        <f t="shared" si="0"/>
        <v>30</v>
      </c>
      <c r="N53" s="239" t="s">
        <v>139</v>
      </c>
      <c r="O53" s="240">
        <f>'[15]B1&amp; B2 UNSCHEDULED'!$O$24</f>
        <v>0</v>
      </c>
      <c r="P53" s="241"/>
      <c r="Q53" s="239" t="s">
        <v>139</v>
      </c>
      <c r="R53" s="249">
        <f t="shared" si="1"/>
        <v>1.015972222223354</v>
      </c>
      <c r="S53" s="248">
        <f t="shared" si="2"/>
        <v>46100</v>
      </c>
      <c r="T53" s="241">
        <v>0</v>
      </c>
      <c r="U53" s="455">
        <f t="shared" si="3"/>
        <v>0</v>
      </c>
      <c r="V53" s="256" t="s">
        <v>924</v>
      </c>
      <c r="W53" s="257"/>
    </row>
    <row r="54" spans="1:23" s="167" customFormat="1" ht="286.5" customHeight="1">
      <c r="A54" s="196">
        <v>31</v>
      </c>
      <c r="B54" s="434" t="s">
        <v>539</v>
      </c>
      <c r="C54" s="199" t="str">
        <f>VLOOKUP(B54,[14]AssetDetails_UEM!$A$3:$AH$1849,6,FALSE)</f>
        <v>Ventilators, Intensive Care</v>
      </c>
      <c r="D54" s="430">
        <f>VLOOKUP(B54,[14]AssetDetails_UEM!$A$3:$AK$1849,22,FALSE)</f>
        <v>151560</v>
      </c>
      <c r="E54" s="434" t="s">
        <v>589</v>
      </c>
      <c r="F54" s="434" t="s">
        <v>636</v>
      </c>
      <c r="G54" s="435" t="s">
        <v>681</v>
      </c>
      <c r="H54" s="436" t="s">
        <v>138</v>
      </c>
      <c r="I54" s="222" t="s">
        <v>452</v>
      </c>
      <c r="J54" s="437" t="s">
        <v>771</v>
      </c>
      <c r="K54" s="440">
        <v>46092.625</v>
      </c>
      <c r="L54" s="437" t="s">
        <v>872</v>
      </c>
      <c r="M54" s="238">
        <f t="shared" si="0"/>
        <v>100</v>
      </c>
      <c r="N54" s="239" t="s">
        <v>139</v>
      </c>
      <c r="O54" s="240">
        <f>'[15]B1&amp; B2 UNSCHEDULED'!$O$24</f>
        <v>0</v>
      </c>
      <c r="P54" s="241"/>
      <c r="Q54" s="239" t="s">
        <v>139</v>
      </c>
      <c r="R54" s="249">
        <f t="shared" si="1"/>
        <v>1.038888888891961</v>
      </c>
      <c r="S54" s="438">
        <f t="shared" si="2"/>
        <v>46100</v>
      </c>
      <c r="T54" s="241">
        <v>0</v>
      </c>
      <c r="U54" s="456">
        <f t="shared" si="3"/>
        <v>0</v>
      </c>
      <c r="V54" s="439" t="s">
        <v>925</v>
      </c>
      <c r="W54" s="257"/>
    </row>
    <row r="55" spans="1:23" s="164" customFormat="1" ht="266.5" customHeight="1">
      <c r="A55" s="196">
        <v>32</v>
      </c>
      <c r="B55" s="197" t="s">
        <v>540</v>
      </c>
      <c r="C55" s="198" t="str">
        <f>VLOOKUP(B55,[14]AssetDetails_UEM!$A$3:$AH$1849,6,FALSE)</f>
        <v>Infusion Pumps, Syringe</v>
      </c>
      <c r="D55" s="429">
        <f>VLOOKUP(B55,[14]AssetDetails_UEM!$A$3:$AK$1849,22,FALSE)</f>
        <v>10225</v>
      </c>
      <c r="E55" s="197" t="s">
        <v>590</v>
      </c>
      <c r="F55" s="197" t="s">
        <v>627</v>
      </c>
      <c r="G55" s="207" t="s">
        <v>682</v>
      </c>
      <c r="H55" s="208" t="s">
        <v>138</v>
      </c>
      <c r="I55" s="222" t="s">
        <v>454</v>
      </c>
      <c r="J55" s="223" t="s">
        <v>772</v>
      </c>
      <c r="K55" s="433">
        <v>46092.614583333336</v>
      </c>
      <c r="L55" s="223" t="s">
        <v>873</v>
      </c>
      <c r="M55" s="235">
        <f t="shared" si="0"/>
        <v>30</v>
      </c>
      <c r="N55" s="236" t="s">
        <v>139</v>
      </c>
      <c r="O55" s="237">
        <f>'[15]B1&amp; B2 UNSCHEDULED'!$O$24</f>
        <v>0</v>
      </c>
      <c r="P55" s="196"/>
      <c r="Q55" s="236" t="s">
        <v>139</v>
      </c>
      <c r="R55" s="247">
        <f t="shared" si="1"/>
        <v>1.0041666666656965</v>
      </c>
      <c r="S55" s="248">
        <f t="shared" ref="S55:S85" si="4">WORKDAY(J55,6,AKHIR)</f>
        <v>46100</v>
      </c>
      <c r="T55" s="196">
        <v>0</v>
      </c>
      <c r="U55" s="455">
        <f t="shared" si="3"/>
        <v>0</v>
      </c>
      <c r="V55" s="256" t="s">
        <v>926</v>
      </c>
      <c r="W55" s="254"/>
    </row>
    <row r="56" spans="1:23" s="167" customFormat="1" ht="372.75" customHeight="1">
      <c r="A56" s="196">
        <v>33</v>
      </c>
      <c r="B56" s="197" t="s">
        <v>532</v>
      </c>
      <c r="C56" s="199" t="str">
        <f>VLOOKUP(B56,[14]AssetDetails_UEM!$A$3:$AH$1849,6,FALSE)</f>
        <v>Linear Accelerators</v>
      </c>
      <c r="D56" s="430">
        <f>VLOOKUP(B56,[14]AssetDetails_UEM!$A$3:$AK$1849,22,FALSE)</f>
        <v>21961900</v>
      </c>
      <c r="E56" s="197" t="s">
        <v>591</v>
      </c>
      <c r="F56" s="197" t="s">
        <v>633</v>
      </c>
      <c r="G56" s="207" t="s">
        <v>683</v>
      </c>
      <c r="H56" s="208" t="s">
        <v>138</v>
      </c>
      <c r="I56" s="222" t="s">
        <v>845</v>
      </c>
      <c r="J56" s="223" t="s">
        <v>773</v>
      </c>
      <c r="K56" s="223" t="s">
        <v>820</v>
      </c>
      <c r="L56" s="223" t="s">
        <v>866</v>
      </c>
      <c r="M56" s="238">
        <f t="shared" si="0"/>
        <v>100</v>
      </c>
      <c r="N56" s="239" t="s">
        <v>139</v>
      </c>
      <c r="O56" s="240">
        <f>'[15]B1&amp; B2 UNSCHEDULED'!$O$24</f>
        <v>0</v>
      </c>
      <c r="P56" s="241"/>
      <c r="Q56" s="239" t="s">
        <v>139</v>
      </c>
      <c r="R56" s="249">
        <f t="shared" si="1"/>
        <v>1.0513888888890506</v>
      </c>
      <c r="S56" s="438">
        <f t="shared" si="4"/>
        <v>46100</v>
      </c>
      <c r="T56" s="241">
        <v>0</v>
      </c>
      <c r="U56" s="456">
        <f t="shared" si="3"/>
        <v>0</v>
      </c>
      <c r="V56" s="439" t="s">
        <v>927</v>
      </c>
      <c r="W56" s="257"/>
    </row>
    <row r="57" spans="1:23" s="167" customFormat="1" ht="249" customHeight="1">
      <c r="A57" s="196">
        <v>34</v>
      </c>
      <c r="B57" s="197" t="s">
        <v>541</v>
      </c>
      <c r="C57" s="199" t="str">
        <f>VLOOKUP(B57,[14]AssetDetails_UEM!$A$3:$AH$1849,6,FALSE)</f>
        <v>Analyzers, Laboratory, Clinical Chemistry, Automated</v>
      </c>
      <c r="D57" s="430">
        <f>VLOOKUP(B57,[14]AssetDetails_UEM!$A$3:$AK$1849,22,FALSE)</f>
        <v>421005</v>
      </c>
      <c r="E57" s="197" t="s">
        <v>592</v>
      </c>
      <c r="F57" s="197" t="s">
        <v>621</v>
      </c>
      <c r="G57" s="207" t="s">
        <v>684</v>
      </c>
      <c r="H57" s="208" t="s">
        <v>138</v>
      </c>
      <c r="I57" s="222" t="s">
        <v>144</v>
      </c>
      <c r="J57" s="223" t="s">
        <v>774</v>
      </c>
      <c r="K57" s="223" t="s">
        <v>821</v>
      </c>
      <c r="L57" s="223" t="s">
        <v>874</v>
      </c>
      <c r="M57" s="238">
        <f t="shared" si="0"/>
        <v>100</v>
      </c>
      <c r="N57" s="239" t="s">
        <v>139</v>
      </c>
      <c r="O57" s="240">
        <f>'[15]B1&amp; B2 UNSCHEDULED'!$O$24</f>
        <v>0</v>
      </c>
      <c r="P57" s="241"/>
      <c r="Q57" s="239" t="s">
        <v>139</v>
      </c>
      <c r="R57" s="249">
        <f t="shared" si="1"/>
        <v>1.0555555555547471</v>
      </c>
      <c r="S57" s="438">
        <f t="shared" si="4"/>
        <v>46101</v>
      </c>
      <c r="T57" s="241">
        <v>0</v>
      </c>
      <c r="U57" s="456">
        <f t="shared" si="3"/>
        <v>0</v>
      </c>
      <c r="V57" s="439" t="s">
        <v>896</v>
      </c>
      <c r="W57" s="257"/>
    </row>
    <row r="58" spans="1:23" s="167" customFormat="1" ht="356" customHeight="1">
      <c r="A58" s="196">
        <v>35</v>
      </c>
      <c r="B58" s="197" t="s">
        <v>542</v>
      </c>
      <c r="C58" s="199" t="str">
        <f>VLOOKUP(B58,[14]AssetDetails_UEM!$A$3:$AH$1849,6,FALSE)</f>
        <v>Infusion Pumps, General-Purpose</v>
      </c>
      <c r="D58" s="430">
        <f>VLOOKUP(B58,[14]AssetDetails_UEM!$A$3:$AK$1849,22,FALSE)</f>
        <v>10825</v>
      </c>
      <c r="E58" s="197" t="s">
        <v>593</v>
      </c>
      <c r="F58" s="197" t="s">
        <v>635</v>
      </c>
      <c r="G58" s="207" t="s">
        <v>685</v>
      </c>
      <c r="H58" s="208" t="s">
        <v>138</v>
      </c>
      <c r="I58" s="222" t="s">
        <v>843</v>
      </c>
      <c r="J58" s="223" t="s">
        <v>775</v>
      </c>
      <c r="K58" s="223" t="s">
        <v>822</v>
      </c>
      <c r="L58" s="223" t="s">
        <v>875</v>
      </c>
      <c r="M58" s="238">
        <f t="shared" si="0"/>
        <v>30</v>
      </c>
      <c r="N58" s="239" t="s">
        <v>139</v>
      </c>
      <c r="O58" s="240">
        <f>'[15]B1&amp; B2 UNSCHEDULED'!$O$24</f>
        <v>0</v>
      </c>
      <c r="P58" s="241"/>
      <c r="Q58" s="239" t="s">
        <v>139</v>
      </c>
      <c r="R58" s="249">
        <f t="shared" si="1"/>
        <v>1.1701388888905058</v>
      </c>
      <c r="S58" s="438">
        <f t="shared" si="4"/>
        <v>46101</v>
      </c>
      <c r="T58" s="241">
        <v>0</v>
      </c>
      <c r="U58" s="456">
        <f t="shared" si="3"/>
        <v>0</v>
      </c>
      <c r="V58" s="439" t="s">
        <v>928</v>
      </c>
      <c r="W58" s="257"/>
    </row>
    <row r="59" spans="1:23" s="167" customFormat="1" ht="217.5" customHeight="1">
      <c r="A59" s="196">
        <v>36</v>
      </c>
      <c r="B59" s="197" t="s">
        <v>543</v>
      </c>
      <c r="C59" s="199" t="str">
        <f>VLOOKUP(B59,[14]AssetDetails_UEM!$A$3:$AH$1849,6,FALSE)</f>
        <v>Electrocardiographs, Multichannel, Interpretative</v>
      </c>
      <c r="D59" s="430">
        <f>VLOOKUP(B59,[14]AssetDetails_UEM!$A$3:$AK$1849,22,FALSE)</f>
        <v>25260</v>
      </c>
      <c r="E59" s="197" t="s">
        <v>594</v>
      </c>
      <c r="F59" s="197" t="s">
        <v>641</v>
      </c>
      <c r="G59" s="207" t="s">
        <v>686</v>
      </c>
      <c r="H59" s="208" t="s">
        <v>138</v>
      </c>
      <c r="I59" s="222" t="s">
        <v>846</v>
      </c>
      <c r="J59" s="223" t="s">
        <v>776</v>
      </c>
      <c r="K59" s="223" t="s">
        <v>823</v>
      </c>
      <c r="L59" s="223" t="s">
        <v>876</v>
      </c>
      <c r="M59" s="238">
        <f t="shared" si="0"/>
        <v>60</v>
      </c>
      <c r="N59" s="239" t="s">
        <v>139</v>
      </c>
      <c r="O59" s="240">
        <f>'[15]B1&amp; B2 UNSCHEDULED'!$O$24</f>
        <v>0</v>
      </c>
      <c r="P59" s="241"/>
      <c r="Q59" s="239" t="s">
        <v>139</v>
      </c>
      <c r="R59" s="249">
        <v>3</v>
      </c>
      <c r="S59" s="248">
        <f t="shared" si="4"/>
        <v>46104</v>
      </c>
      <c r="T59" s="241">
        <v>0</v>
      </c>
      <c r="U59" s="455">
        <f t="shared" si="3"/>
        <v>0</v>
      </c>
      <c r="V59" s="256" t="s">
        <v>929</v>
      </c>
      <c r="W59" s="257"/>
    </row>
    <row r="60" spans="1:23" s="167" customFormat="1" ht="238" customHeight="1">
      <c r="A60" s="196">
        <v>37</v>
      </c>
      <c r="B60" s="197" t="s">
        <v>544</v>
      </c>
      <c r="C60" s="199" t="str">
        <f>VLOOKUP(B60,[14]AssetDetails_UEM!$A$3:$AH$1849,6,FALSE)</f>
        <v>Mattress Systems, Alternating-Pressure</v>
      </c>
      <c r="D60" s="430">
        <f>VLOOKUP(B60,[14]AssetDetails_UEM!$A$3:$AK$1849,22,FALSE)</f>
        <v>28630</v>
      </c>
      <c r="E60" s="197" t="s">
        <v>595</v>
      </c>
      <c r="F60" s="197" t="s">
        <v>190</v>
      </c>
      <c r="G60" s="207" t="s">
        <v>687</v>
      </c>
      <c r="H60" s="208" t="s">
        <v>138</v>
      </c>
      <c r="I60" s="222" t="s">
        <v>847</v>
      </c>
      <c r="J60" s="223" t="s">
        <v>777</v>
      </c>
      <c r="K60" s="223" t="s">
        <v>824</v>
      </c>
      <c r="L60" s="223" t="s">
        <v>877</v>
      </c>
      <c r="M60" s="238">
        <f t="shared" si="0"/>
        <v>60</v>
      </c>
      <c r="N60" s="239" t="s">
        <v>139</v>
      </c>
      <c r="O60" s="240">
        <f>'[15]B1&amp; B2 UNSCHEDULED'!$O$24</f>
        <v>0</v>
      </c>
      <c r="P60" s="241"/>
      <c r="Q60" s="239" t="s">
        <v>139</v>
      </c>
      <c r="R60" s="249">
        <f t="shared" ref="R60:R74" si="5">IF(L60="",AKHIR-J60,L60-J60+1)</f>
        <v>1.0729166666715173</v>
      </c>
      <c r="S60" s="248">
        <f t="shared" si="4"/>
        <v>46104</v>
      </c>
      <c r="T60" s="241">
        <v>0</v>
      </c>
      <c r="U60" s="455">
        <f t="shared" si="3"/>
        <v>0</v>
      </c>
      <c r="V60" s="256" t="s">
        <v>930</v>
      </c>
      <c r="W60" s="257"/>
    </row>
    <row r="61" spans="1:23" s="167" customFormat="1" ht="268.5" customHeight="1">
      <c r="A61" s="196">
        <v>38</v>
      </c>
      <c r="B61" s="197" t="s">
        <v>143</v>
      </c>
      <c r="C61" s="199" t="str">
        <f>VLOOKUP(B61,[14]AssetDetails_UEM!$A$3:$AH$1849,6,FALSE)</f>
        <v>Linear Accelerators</v>
      </c>
      <c r="D61" s="430">
        <f>VLOOKUP(B61,[14]AssetDetails_UEM!$A$3:$AK$1849,22,FALSE)</f>
        <v>12049370</v>
      </c>
      <c r="E61" s="197" t="s">
        <v>596</v>
      </c>
      <c r="F61" s="197" t="s">
        <v>637</v>
      </c>
      <c r="G61" s="207" t="s">
        <v>688</v>
      </c>
      <c r="H61" s="208" t="s">
        <v>138</v>
      </c>
      <c r="I61" s="222" t="s">
        <v>844</v>
      </c>
      <c r="J61" s="223" t="s">
        <v>778</v>
      </c>
      <c r="K61" s="223" t="s">
        <v>825</v>
      </c>
      <c r="L61" s="223" t="s">
        <v>878</v>
      </c>
      <c r="M61" s="238">
        <f t="shared" si="0"/>
        <v>100</v>
      </c>
      <c r="N61" s="239" t="s">
        <v>139</v>
      </c>
      <c r="O61" s="240">
        <f>'[15]B1&amp; B2 UNSCHEDULED'!$O$24</f>
        <v>0</v>
      </c>
      <c r="P61" s="241"/>
      <c r="Q61" s="239" t="s">
        <v>139</v>
      </c>
      <c r="R61" s="249">
        <f t="shared" si="5"/>
        <v>1.0680555555518367</v>
      </c>
      <c r="S61" s="438">
        <f t="shared" si="4"/>
        <v>46105</v>
      </c>
      <c r="T61" s="241">
        <v>0</v>
      </c>
      <c r="U61" s="456">
        <f t="shared" si="3"/>
        <v>0</v>
      </c>
      <c r="V61" s="439" t="s">
        <v>931</v>
      </c>
      <c r="W61" s="257"/>
    </row>
    <row r="62" spans="1:23" s="166" customFormat="1" ht="165" customHeight="1">
      <c r="A62" s="196">
        <v>39</v>
      </c>
      <c r="B62" s="197" t="s">
        <v>545</v>
      </c>
      <c r="C62" s="198" t="s">
        <v>148</v>
      </c>
      <c r="D62" s="429" t="s">
        <v>465</v>
      </c>
      <c r="E62" s="197" t="s">
        <v>597</v>
      </c>
      <c r="F62" s="197" t="s">
        <v>642</v>
      </c>
      <c r="G62" s="207" t="s">
        <v>689</v>
      </c>
      <c r="H62" s="208" t="s">
        <v>138</v>
      </c>
      <c r="I62" s="222" t="s">
        <v>463</v>
      </c>
      <c r="J62" s="223" t="s">
        <v>779</v>
      </c>
      <c r="K62" s="223" t="s">
        <v>826</v>
      </c>
      <c r="L62" s="223" t="s">
        <v>879</v>
      </c>
      <c r="M62" s="235">
        <f t="shared" si="0"/>
        <v>100</v>
      </c>
      <c r="N62" s="236" t="s">
        <v>139</v>
      </c>
      <c r="O62" s="237">
        <f>'[15]B1&amp; B2 UNSCHEDULED'!$O$24</f>
        <v>0</v>
      </c>
      <c r="P62" s="196"/>
      <c r="Q62" s="236" t="s">
        <v>139</v>
      </c>
      <c r="R62" s="247">
        <f t="shared" si="5"/>
        <v>1.0298611111138598</v>
      </c>
      <c r="S62" s="248">
        <f t="shared" si="4"/>
        <v>46105</v>
      </c>
      <c r="T62" s="196">
        <v>0</v>
      </c>
      <c r="U62" s="455">
        <f t="shared" si="3"/>
        <v>0</v>
      </c>
      <c r="V62" s="256" t="s">
        <v>932</v>
      </c>
      <c r="W62" s="254"/>
    </row>
    <row r="63" spans="1:23" s="165" customFormat="1" ht="170" customHeight="1">
      <c r="A63" s="196">
        <v>40</v>
      </c>
      <c r="B63" s="197" t="s">
        <v>529</v>
      </c>
      <c r="C63" s="198" t="str">
        <f>VLOOKUP(B63,[14]AssetDetails_UEM!$A$3:$AH$1849,6,FALSE)</f>
        <v>Analyzers, Laboratory, Hematology, Cell Counting, Automated</v>
      </c>
      <c r="D63" s="429">
        <f>VLOOKUP(B63,[14]AssetDetails_UEM!$A$3:$AK$1849,22,FALSE)</f>
        <v>565350</v>
      </c>
      <c r="E63" s="197" t="s">
        <v>598</v>
      </c>
      <c r="F63" s="197" t="s">
        <v>628</v>
      </c>
      <c r="G63" s="207" t="s">
        <v>690</v>
      </c>
      <c r="H63" s="208" t="s">
        <v>138</v>
      </c>
      <c r="I63" s="222" t="s">
        <v>142</v>
      </c>
      <c r="J63" s="223" t="s">
        <v>780</v>
      </c>
      <c r="K63" s="223" t="s">
        <v>827</v>
      </c>
      <c r="L63" s="223" t="s">
        <v>880</v>
      </c>
      <c r="M63" s="235">
        <f t="shared" si="0"/>
        <v>100</v>
      </c>
      <c r="N63" s="236" t="s">
        <v>139</v>
      </c>
      <c r="O63" s="237">
        <f>'[15]B1&amp; B2 UNSCHEDULED'!$O$24</f>
        <v>0</v>
      </c>
      <c r="P63" s="196"/>
      <c r="Q63" s="236" t="s">
        <v>139</v>
      </c>
      <c r="R63" s="247">
        <f t="shared" si="5"/>
        <v>1.2152777777810115</v>
      </c>
      <c r="S63" s="248">
        <f t="shared" si="4"/>
        <v>46105</v>
      </c>
      <c r="T63" s="196">
        <v>0</v>
      </c>
      <c r="U63" s="455">
        <f t="shared" si="3"/>
        <v>0</v>
      </c>
      <c r="V63" s="256" t="s">
        <v>933</v>
      </c>
      <c r="W63" s="254"/>
    </row>
    <row r="64" spans="1:23" s="165" customFormat="1" ht="317.5" customHeight="1">
      <c r="A64" s="196">
        <v>41</v>
      </c>
      <c r="B64" s="197" t="s">
        <v>532</v>
      </c>
      <c r="C64" s="198" t="str">
        <f>VLOOKUP(B64,[14]AssetDetails_UEM!$A$3:$AH$1849,6,FALSE)</f>
        <v>Linear Accelerators</v>
      </c>
      <c r="D64" s="429">
        <f>VLOOKUP(B64,[14]AssetDetails_UEM!$A$3:$AK$1849,22,FALSE)</f>
        <v>21961900</v>
      </c>
      <c r="E64" s="197" t="s">
        <v>599</v>
      </c>
      <c r="F64" s="197" t="s">
        <v>633</v>
      </c>
      <c r="G64" s="207" t="s">
        <v>691</v>
      </c>
      <c r="H64" s="208" t="s">
        <v>138</v>
      </c>
      <c r="I64" s="222" t="s">
        <v>459</v>
      </c>
      <c r="J64" s="223" t="s">
        <v>781</v>
      </c>
      <c r="K64" s="223" t="s">
        <v>828</v>
      </c>
      <c r="L64" s="223" t="s">
        <v>881</v>
      </c>
      <c r="M64" s="235">
        <f t="shared" si="0"/>
        <v>100</v>
      </c>
      <c r="N64" s="236" t="s">
        <v>139</v>
      </c>
      <c r="O64" s="237">
        <f>'[15]B1&amp; B2 UNSCHEDULED'!$O$24</f>
        <v>0</v>
      </c>
      <c r="P64" s="196"/>
      <c r="Q64" s="236" t="s">
        <v>139</v>
      </c>
      <c r="R64" s="247">
        <f t="shared" si="5"/>
        <v>1.0881944444481633</v>
      </c>
      <c r="S64" s="248">
        <f t="shared" si="4"/>
        <v>46105</v>
      </c>
      <c r="T64" s="196">
        <v>0</v>
      </c>
      <c r="U64" s="455">
        <f t="shared" si="3"/>
        <v>0</v>
      </c>
      <c r="V64" s="256" t="s">
        <v>934</v>
      </c>
      <c r="W64" s="254"/>
    </row>
    <row r="65" spans="1:23" s="167" customFormat="1" ht="191.25" customHeight="1">
      <c r="A65" s="196">
        <v>42</v>
      </c>
      <c r="B65" s="197" t="s">
        <v>546</v>
      </c>
      <c r="C65" s="199" t="str">
        <f>VLOOKUP(B65,[14]AssetDetails_UEM!$A$3:$AH$1849,6,FALSE)</f>
        <v>Radiographic Systems, Digital</v>
      </c>
      <c r="D65" s="430">
        <f>VLOOKUP(B65,[14]AssetDetails_UEM!$A$3:$AK$1849,22,FALSE)</f>
        <v>1958605</v>
      </c>
      <c r="E65" s="197" t="s">
        <v>600</v>
      </c>
      <c r="F65" s="197" t="s">
        <v>643</v>
      </c>
      <c r="G65" s="207" t="s">
        <v>692</v>
      </c>
      <c r="H65" s="208" t="s">
        <v>138</v>
      </c>
      <c r="I65" s="222" t="s">
        <v>463</v>
      </c>
      <c r="J65" s="223" t="s">
        <v>782</v>
      </c>
      <c r="K65" s="223" t="s">
        <v>829</v>
      </c>
      <c r="L65" s="223" t="s">
        <v>876</v>
      </c>
      <c r="M65" s="238">
        <f t="shared" si="0"/>
        <v>100</v>
      </c>
      <c r="N65" s="239" t="s">
        <v>139</v>
      </c>
      <c r="O65" s="240">
        <f>'[15]B1&amp; B2 UNSCHEDULED'!$O$24</f>
        <v>0</v>
      </c>
      <c r="P65" s="241"/>
      <c r="Q65" s="239" t="s">
        <v>139</v>
      </c>
      <c r="R65" s="249">
        <f t="shared" si="5"/>
        <v>1.078472222223354</v>
      </c>
      <c r="S65" s="438">
        <f t="shared" si="4"/>
        <v>46106</v>
      </c>
      <c r="T65" s="241">
        <v>0</v>
      </c>
      <c r="U65" s="456">
        <f t="shared" si="3"/>
        <v>0</v>
      </c>
      <c r="V65" s="439" t="s">
        <v>935</v>
      </c>
      <c r="W65" s="257"/>
    </row>
    <row r="66" spans="1:23" s="167" customFormat="1" ht="226.5" customHeight="1">
      <c r="A66" s="196">
        <v>43</v>
      </c>
      <c r="B66" s="197" t="s">
        <v>186</v>
      </c>
      <c r="C66" s="258" t="str">
        <f>VLOOKUP(B66,[14]AssetDetails_UEM!$A$3:$AH$1849,6,FALSE)</f>
        <v>Radiographic/Fluoroscopic Units, Mobile</v>
      </c>
      <c r="D66" s="431">
        <f>VLOOKUP(B66,[14]AssetDetails_UEM!$A$3:$AK$1849,22,FALSE)</f>
        <v>399000</v>
      </c>
      <c r="E66" s="197" t="s">
        <v>601</v>
      </c>
      <c r="F66" s="197" t="s">
        <v>159</v>
      </c>
      <c r="G66" s="207" t="s">
        <v>693</v>
      </c>
      <c r="H66" s="208" t="s">
        <v>138</v>
      </c>
      <c r="I66" s="222" t="s">
        <v>142</v>
      </c>
      <c r="J66" s="223" t="s">
        <v>783</v>
      </c>
      <c r="K66" s="223" t="s">
        <v>830</v>
      </c>
      <c r="L66" s="223" t="s">
        <v>882</v>
      </c>
      <c r="M66" s="238">
        <f t="shared" si="0"/>
        <v>100</v>
      </c>
      <c r="N66" s="239" t="s">
        <v>139</v>
      </c>
      <c r="O66" s="240">
        <f>'[15]B1&amp; B2 UNSCHEDULED'!$O$24</f>
        <v>0</v>
      </c>
      <c r="P66" s="241"/>
      <c r="Q66" s="239" t="s">
        <v>139</v>
      </c>
      <c r="R66" s="249">
        <f t="shared" si="5"/>
        <v>1.0868055555547471</v>
      </c>
      <c r="S66" s="248">
        <f t="shared" si="4"/>
        <v>46106</v>
      </c>
      <c r="T66" s="241">
        <v>0</v>
      </c>
      <c r="U66" s="455">
        <f t="shared" si="3"/>
        <v>0</v>
      </c>
      <c r="V66" s="256" t="s">
        <v>936</v>
      </c>
      <c r="W66" s="257"/>
    </row>
    <row r="67" spans="1:23" s="167" customFormat="1" ht="253" customHeight="1">
      <c r="A67" s="241">
        <v>44</v>
      </c>
      <c r="B67" s="547" t="s">
        <v>409</v>
      </c>
      <c r="C67" s="199" t="str">
        <f>VLOOKUP(B67,[14]AssetDetails_UEM!$A$3:$AH$1849,6,FALSE)</f>
        <v>Infusion Pumps, General-Purpose</v>
      </c>
      <c r="D67" s="430">
        <f>VLOOKUP(B67,[14]AssetDetails_UEM!$A$3:$AK$1849,22,FALSE)</f>
        <v>10825</v>
      </c>
      <c r="E67" s="547" t="s">
        <v>721</v>
      </c>
      <c r="F67" s="547" t="s">
        <v>638</v>
      </c>
      <c r="G67" s="548" t="s">
        <v>730</v>
      </c>
      <c r="H67" s="436" t="s">
        <v>138</v>
      </c>
      <c r="I67" s="581" t="s">
        <v>1705</v>
      </c>
      <c r="J67" s="549" t="s">
        <v>736</v>
      </c>
      <c r="K67" s="549" t="s">
        <v>736</v>
      </c>
      <c r="L67" s="551">
        <v>46107.416666666664</v>
      </c>
      <c r="M67" s="238">
        <f>IF(D67&gt;44999.99,100,ROUNDUP((D67/4999.99)*10,-1))</f>
        <v>30</v>
      </c>
      <c r="N67" s="239" t="s">
        <v>139</v>
      </c>
      <c r="O67" s="240">
        <f>'[15]B1&amp; B2 UNSCHEDULED'!$O$24</f>
        <v>0</v>
      </c>
      <c r="P67" s="544"/>
      <c r="Q67" s="239" t="s">
        <v>158</v>
      </c>
      <c r="R67" s="249">
        <v>7</v>
      </c>
      <c r="S67" s="438">
        <v>46111</v>
      </c>
      <c r="T67" s="241">
        <v>0</v>
      </c>
      <c r="U67" s="456">
        <f t="shared" si="3"/>
        <v>0</v>
      </c>
      <c r="V67" s="573" t="s">
        <v>1737</v>
      </c>
      <c r="W67" s="257"/>
    </row>
    <row r="68" spans="1:23" s="167" customFormat="1" ht="315.5" customHeight="1">
      <c r="A68" s="196">
        <v>45</v>
      </c>
      <c r="B68" s="197" t="s">
        <v>532</v>
      </c>
      <c r="C68" s="258" t="str">
        <f>VLOOKUP(B68,[14]AssetDetails_UEM!$A$3:$AH$1849,6,FALSE)</f>
        <v>Linear Accelerators</v>
      </c>
      <c r="D68" s="431">
        <f>VLOOKUP(B68,[14]AssetDetails_UEM!$A$3:$AK$1849,22,FALSE)</f>
        <v>21961900</v>
      </c>
      <c r="E68" s="197" t="s">
        <v>602</v>
      </c>
      <c r="F68" s="197" t="s">
        <v>633</v>
      </c>
      <c r="G68" s="207" t="s">
        <v>694</v>
      </c>
      <c r="H68" s="208" t="s">
        <v>138</v>
      </c>
      <c r="I68" s="222" t="s">
        <v>453</v>
      </c>
      <c r="J68" s="223" t="s">
        <v>784</v>
      </c>
      <c r="K68" s="223" t="s">
        <v>831</v>
      </c>
      <c r="L68" s="223" t="s">
        <v>883</v>
      </c>
      <c r="M68" s="238">
        <f t="shared" si="0"/>
        <v>100</v>
      </c>
      <c r="N68" s="239" t="s">
        <v>139</v>
      </c>
      <c r="O68" s="240">
        <f>'[15]B1&amp; B2 UNSCHEDULED'!$O$24</f>
        <v>0</v>
      </c>
      <c r="P68" s="241"/>
      <c r="Q68" s="239" t="s">
        <v>139</v>
      </c>
      <c r="R68" s="249">
        <f t="shared" si="5"/>
        <v>1.0597222222277196</v>
      </c>
      <c r="S68" s="438">
        <f t="shared" si="4"/>
        <v>46107</v>
      </c>
      <c r="T68" s="241">
        <v>0</v>
      </c>
      <c r="U68" s="456">
        <f t="shared" si="3"/>
        <v>0</v>
      </c>
      <c r="V68" s="439" t="s">
        <v>937</v>
      </c>
      <c r="W68" s="257"/>
    </row>
    <row r="69" spans="1:23" s="167" customFormat="1" ht="275" customHeight="1">
      <c r="A69" s="196">
        <v>46</v>
      </c>
      <c r="B69" s="197" t="s">
        <v>217</v>
      </c>
      <c r="C69" s="199" t="str">
        <f>VLOOKUP(B69,[14]AssetDetails_UEM!$A$3:$AH$1849,6,FALSE)</f>
        <v>Scanning Systems, Computed Tomography</v>
      </c>
      <c r="D69" s="430">
        <f>VLOOKUP(B69,[14]AssetDetails_UEM!$A$3:$AK$1849,22,FALSE)</f>
        <v>3557530</v>
      </c>
      <c r="E69" s="197" t="s">
        <v>603</v>
      </c>
      <c r="F69" s="197" t="s">
        <v>447</v>
      </c>
      <c r="G69" s="207" t="s">
        <v>695</v>
      </c>
      <c r="H69" s="208" t="s">
        <v>138</v>
      </c>
      <c r="I69" s="222" t="s">
        <v>464</v>
      </c>
      <c r="J69" s="223" t="s">
        <v>785</v>
      </c>
      <c r="K69" s="223" t="s">
        <v>832</v>
      </c>
      <c r="L69" s="223" t="s">
        <v>884</v>
      </c>
      <c r="M69" s="238">
        <f t="shared" si="0"/>
        <v>100</v>
      </c>
      <c r="N69" s="239" t="s">
        <v>139</v>
      </c>
      <c r="O69" s="240">
        <f>'[15]B1&amp; B2 UNSCHEDULED'!$O$24</f>
        <v>0</v>
      </c>
      <c r="P69" s="241"/>
      <c r="Q69" s="239" t="s">
        <v>139</v>
      </c>
      <c r="R69" s="249">
        <f t="shared" si="5"/>
        <v>1.0305555555532919</v>
      </c>
      <c r="S69" s="438">
        <f t="shared" si="4"/>
        <v>46107</v>
      </c>
      <c r="T69" s="241">
        <v>0</v>
      </c>
      <c r="U69" s="456">
        <f t="shared" si="3"/>
        <v>0</v>
      </c>
      <c r="V69" s="439" t="s">
        <v>938</v>
      </c>
      <c r="W69" s="257"/>
    </row>
    <row r="70" spans="1:23" s="166" customFormat="1" ht="300" customHeight="1">
      <c r="A70" s="196">
        <v>47</v>
      </c>
      <c r="B70" s="197" t="s">
        <v>215</v>
      </c>
      <c r="C70" s="198" t="str">
        <f>VLOOKUP(B70,[14]AssetDetails_UEM!$A$3:$AH$1849,6,FALSE)</f>
        <v>Scanning Systems, Computed Tomography</v>
      </c>
      <c r="D70" s="429">
        <f>VLOOKUP(B70,[14]AssetDetails_UEM!$A$3:$AK$1849,22,FALSE)</f>
        <v>3557530</v>
      </c>
      <c r="E70" s="197" t="s">
        <v>604</v>
      </c>
      <c r="F70" s="197" t="s">
        <v>442</v>
      </c>
      <c r="G70" s="207" t="s">
        <v>696</v>
      </c>
      <c r="H70" s="208" t="s">
        <v>138</v>
      </c>
      <c r="I70" s="222" t="s">
        <v>145</v>
      </c>
      <c r="J70" s="223" t="s">
        <v>786</v>
      </c>
      <c r="K70" s="223" t="s">
        <v>832</v>
      </c>
      <c r="L70" s="223" t="s">
        <v>884</v>
      </c>
      <c r="M70" s="235">
        <f t="shared" si="0"/>
        <v>100</v>
      </c>
      <c r="N70" s="236" t="s">
        <v>139</v>
      </c>
      <c r="O70" s="237">
        <f>'[15]B1&amp; B2 UNSCHEDULED'!$O$24</f>
        <v>0</v>
      </c>
      <c r="P70" s="196"/>
      <c r="Q70" s="236" t="s">
        <v>139</v>
      </c>
      <c r="R70" s="247">
        <f t="shared" si="5"/>
        <v>1.0291666666671517</v>
      </c>
      <c r="S70" s="248">
        <f t="shared" si="4"/>
        <v>46107</v>
      </c>
      <c r="T70" s="196">
        <v>0</v>
      </c>
      <c r="U70" s="455">
        <f t="shared" si="3"/>
        <v>0</v>
      </c>
      <c r="V70" s="256" t="s">
        <v>939</v>
      </c>
      <c r="W70" s="254"/>
    </row>
    <row r="71" spans="1:23" s="166" customFormat="1" ht="181" customHeight="1">
      <c r="A71" s="196">
        <v>48</v>
      </c>
      <c r="B71" s="197" t="s">
        <v>547</v>
      </c>
      <c r="C71" s="198" t="str">
        <f>VLOOKUP(B71,[14]AssetDetails_UEM!$A$3:$AH$1849,6,FALSE)</f>
        <v>Scanning Systems, Ultrasonic, General-Purpose</v>
      </c>
      <c r="D71" s="429">
        <f>VLOOKUP(B71,[14]AssetDetails_UEM!$A$3:$AK$1849,22,FALSE)</f>
        <v>125000</v>
      </c>
      <c r="E71" s="197" t="s">
        <v>605</v>
      </c>
      <c r="F71" s="197" t="s">
        <v>644</v>
      </c>
      <c r="G71" s="207" t="s">
        <v>697</v>
      </c>
      <c r="H71" s="208" t="s">
        <v>138</v>
      </c>
      <c r="I71" s="222" t="s">
        <v>848</v>
      </c>
      <c r="J71" s="223" t="s">
        <v>787</v>
      </c>
      <c r="K71" s="223" t="s">
        <v>833</v>
      </c>
      <c r="L71" s="223" t="s">
        <v>885</v>
      </c>
      <c r="M71" s="235">
        <f t="shared" si="0"/>
        <v>100</v>
      </c>
      <c r="N71" s="236" t="s">
        <v>139</v>
      </c>
      <c r="O71" s="237">
        <f>'[15]B1&amp; B2 UNSCHEDULED'!$O$24</f>
        <v>0</v>
      </c>
      <c r="P71" s="196"/>
      <c r="Q71" s="236" t="s">
        <v>139</v>
      </c>
      <c r="R71" s="247">
        <f t="shared" si="5"/>
        <v>1.0763888888905058</v>
      </c>
      <c r="S71" s="248">
        <f t="shared" si="4"/>
        <v>46107</v>
      </c>
      <c r="T71" s="196">
        <v>0</v>
      </c>
      <c r="U71" s="455">
        <f t="shared" si="3"/>
        <v>0</v>
      </c>
      <c r="V71" s="256" t="s">
        <v>940</v>
      </c>
      <c r="W71" s="254"/>
    </row>
    <row r="72" spans="1:23" s="167" customFormat="1" ht="214.5" customHeight="1">
      <c r="A72" s="196">
        <v>49</v>
      </c>
      <c r="B72" s="197" t="s">
        <v>548</v>
      </c>
      <c r="C72" s="198" t="str">
        <f>VLOOKUP(B72,[14]AssetDetails_UEM!$A$3:$AH$1849,6,FALSE)</f>
        <v>Sphygmomanometers, Electronic, Automatic</v>
      </c>
      <c r="D72" s="429">
        <f>VLOOKUP(B72,[14]AssetDetails_UEM!$A$3:$AK$1849,22,FALSE)</f>
        <v>4510</v>
      </c>
      <c r="E72" s="197" t="s">
        <v>606</v>
      </c>
      <c r="F72" s="197" t="s">
        <v>645</v>
      </c>
      <c r="G72" s="207" t="s">
        <v>698</v>
      </c>
      <c r="H72" s="208" t="s">
        <v>138</v>
      </c>
      <c r="I72" s="222" t="s">
        <v>849</v>
      </c>
      <c r="J72" s="223" t="s">
        <v>788</v>
      </c>
      <c r="K72" s="223" t="s">
        <v>834</v>
      </c>
      <c r="L72" s="223" t="s">
        <v>886</v>
      </c>
      <c r="M72" s="238">
        <f t="shared" si="0"/>
        <v>10</v>
      </c>
      <c r="N72" s="239" t="s">
        <v>139</v>
      </c>
      <c r="O72" s="240">
        <f>'[15]B1&amp; B2 UNSCHEDULED'!$O$24</f>
        <v>0</v>
      </c>
      <c r="P72" s="241"/>
      <c r="Q72" s="239" t="s">
        <v>139</v>
      </c>
      <c r="R72" s="249">
        <f t="shared" si="5"/>
        <v>1.1652777777781012</v>
      </c>
      <c r="S72" s="248">
        <f t="shared" si="4"/>
        <v>46107</v>
      </c>
      <c r="T72" s="241">
        <v>0</v>
      </c>
      <c r="U72" s="455">
        <f t="shared" si="3"/>
        <v>0</v>
      </c>
      <c r="V72" s="256" t="s">
        <v>941</v>
      </c>
      <c r="W72" s="257"/>
    </row>
    <row r="73" spans="1:23" s="166" customFormat="1" ht="247.5" customHeight="1">
      <c r="A73" s="196">
        <v>50</v>
      </c>
      <c r="B73" s="197" t="s">
        <v>549</v>
      </c>
      <c r="C73" s="260" t="s">
        <v>959</v>
      </c>
      <c r="D73" s="432">
        <v>10494120</v>
      </c>
      <c r="E73" s="197" t="s">
        <v>607</v>
      </c>
      <c r="F73" s="197" t="s">
        <v>646</v>
      </c>
      <c r="G73" s="207" t="s">
        <v>699</v>
      </c>
      <c r="H73" s="208" t="s">
        <v>714</v>
      </c>
      <c r="I73" s="222" t="s">
        <v>146</v>
      </c>
      <c r="J73" s="223" t="s">
        <v>789</v>
      </c>
      <c r="K73" s="223" t="s">
        <v>835</v>
      </c>
      <c r="L73" s="223" t="s">
        <v>887</v>
      </c>
      <c r="M73" s="235">
        <f t="shared" si="0"/>
        <v>100</v>
      </c>
      <c r="N73" s="236" t="s">
        <v>139</v>
      </c>
      <c r="O73" s="237">
        <f>'[15]B1&amp; B2 UNSCHEDULED'!$O$24</f>
        <v>0</v>
      </c>
      <c r="P73" s="196"/>
      <c r="Q73" s="236" t="s">
        <v>139</v>
      </c>
      <c r="R73" s="249">
        <f t="shared" si="5"/>
        <v>1.1666666666642413</v>
      </c>
      <c r="S73" s="248">
        <f t="shared" si="4"/>
        <v>46107</v>
      </c>
      <c r="T73" s="196">
        <v>0</v>
      </c>
      <c r="U73" s="455">
        <f t="shared" si="3"/>
        <v>0</v>
      </c>
      <c r="V73" s="256" t="s">
        <v>942</v>
      </c>
      <c r="W73" s="254"/>
    </row>
    <row r="74" spans="1:23" s="166" customFormat="1" ht="265" customHeight="1">
      <c r="A74" s="196">
        <v>51</v>
      </c>
      <c r="B74" s="567" t="s">
        <v>532</v>
      </c>
      <c r="C74" s="568" t="s">
        <v>148</v>
      </c>
      <c r="D74" s="569">
        <v>21961900</v>
      </c>
      <c r="E74" s="567" t="s">
        <v>1690</v>
      </c>
      <c r="F74" s="567" t="s">
        <v>633</v>
      </c>
      <c r="G74" s="570" t="s">
        <v>1691</v>
      </c>
      <c r="H74" s="208" t="s">
        <v>138</v>
      </c>
      <c r="I74" s="545" t="s">
        <v>450</v>
      </c>
      <c r="J74" s="550" t="s">
        <v>1693</v>
      </c>
      <c r="K74" s="550" t="s">
        <v>1692</v>
      </c>
      <c r="L74" s="550" t="s">
        <v>1694</v>
      </c>
      <c r="M74" s="235">
        <f t="shared" si="0"/>
        <v>100</v>
      </c>
      <c r="N74" s="236" t="s">
        <v>139</v>
      </c>
      <c r="O74" s="237">
        <f>'[15]B1&amp; B2 UNSCHEDULED'!$O$24</f>
        <v>0</v>
      </c>
      <c r="P74" s="546"/>
      <c r="Q74" s="236" t="s">
        <v>139</v>
      </c>
      <c r="R74" s="249">
        <f t="shared" si="5"/>
        <v>1.0333333333328483</v>
      </c>
      <c r="S74" s="248">
        <f t="shared" si="4"/>
        <v>46108</v>
      </c>
      <c r="T74" s="196">
        <v>0</v>
      </c>
      <c r="U74" s="455">
        <f t="shared" si="3"/>
        <v>0</v>
      </c>
      <c r="V74" s="571" t="s">
        <v>1695</v>
      </c>
      <c r="W74" s="254"/>
    </row>
    <row r="75" spans="1:23" s="167" customFormat="1" ht="241" customHeight="1">
      <c r="A75" s="196">
        <v>52</v>
      </c>
      <c r="B75" s="197" t="s">
        <v>550</v>
      </c>
      <c r="C75" s="199" t="str">
        <f>VLOOKUP(B75,[14]AssetDetails_UEM!$A$3:$AH$1849,6,FALSE)</f>
        <v>Electrocardiographs, Multichannel, Interpretative</v>
      </c>
      <c r="D75" s="430">
        <f>VLOOKUP(B75,[14]AssetDetails_UEM!$A$3:$AK$1849,22,FALSE)</f>
        <v>25260</v>
      </c>
      <c r="E75" s="197" t="s">
        <v>608</v>
      </c>
      <c r="F75" s="197" t="s">
        <v>647</v>
      </c>
      <c r="G75" s="207" t="s">
        <v>700</v>
      </c>
      <c r="H75" s="208" t="s">
        <v>138</v>
      </c>
      <c r="I75" s="222" t="s">
        <v>144</v>
      </c>
      <c r="J75" s="223" t="s">
        <v>790</v>
      </c>
      <c r="K75" s="223" t="s">
        <v>836</v>
      </c>
      <c r="L75" s="223" t="s">
        <v>888</v>
      </c>
      <c r="M75" s="238">
        <f t="shared" si="0"/>
        <v>60</v>
      </c>
      <c r="N75" s="236" t="s">
        <v>139</v>
      </c>
      <c r="O75" s="240">
        <f>'[15]B1&amp; B2 UNSCHEDULED'!$O$24</f>
        <v>0</v>
      </c>
      <c r="P75" s="241"/>
      <c r="Q75" s="239" t="s">
        <v>139</v>
      </c>
      <c r="R75" s="249">
        <f t="shared" ref="R75:R85" si="6">IF(L75="",AKHIR-J75,L75-J75+1)</f>
        <v>1.0451388888832298</v>
      </c>
      <c r="S75" s="438">
        <f t="shared" si="4"/>
        <v>46108</v>
      </c>
      <c r="T75" s="241">
        <v>0</v>
      </c>
      <c r="U75" s="456">
        <f t="shared" si="3"/>
        <v>0</v>
      </c>
      <c r="V75" s="439" t="s">
        <v>943</v>
      </c>
      <c r="W75" s="257"/>
    </row>
    <row r="76" spans="1:23" s="167" customFormat="1" ht="232" customHeight="1">
      <c r="A76" s="196">
        <v>53</v>
      </c>
      <c r="B76" s="197" t="s">
        <v>551</v>
      </c>
      <c r="C76" s="199" t="str">
        <f>VLOOKUP(B76,[14]AssetDetails_UEM!$A$3:$AH$1849,6,FALSE)</f>
        <v>Mattress Systems, Alternating-Pressure</v>
      </c>
      <c r="D76" s="430">
        <f>VLOOKUP(B76,[14]AssetDetails_UEM!$A$3:$AK$1849,22,FALSE)</f>
        <v>28630</v>
      </c>
      <c r="E76" s="197" t="s">
        <v>609</v>
      </c>
      <c r="F76" s="197" t="s">
        <v>648</v>
      </c>
      <c r="G76" s="207" t="s">
        <v>701</v>
      </c>
      <c r="H76" s="208" t="s">
        <v>138</v>
      </c>
      <c r="I76" s="222" t="s">
        <v>464</v>
      </c>
      <c r="J76" s="223" t="s">
        <v>791</v>
      </c>
      <c r="K76" s="433">
        <v>46103.925694444442</v>
      </c>
      <c r="L76" s="223" t="s">
        <v>889</v>
      </c>
      <c r="M76" s="238">
        <f t="shared" si="0"/>
        <v>60</v>
      </c>
      <c r="N76" s="239" t="s">
        <v>139</v>
      </c>
      <c r="O76" s="240">
        <f>'[15]B1&amp; B2 UNSCHEDULED'!$O$24</f>
        <v>0</v>
      </c>
      <c r="P76" s="241"/>
      <c r="Q76" s="239" t="s">
        <v>139</v>
      </c>
      <c r="R76" s="249">
        <f t="shared" si="6"/>
        <v>1.0423611111109494</v>
      </c>
      <c r="S76" s="438">
        <f t="shared" si="4"/>
        <v>46111</v>
      </c>
      <c r="T76" s="241">
        <v>0</v>
      </c>
      <c r="U76" s="456">
        <f t="shared" si="3"/>
        <v>0</v>
      </c>
      <c r="V76" s="439" t="s">
        <v>944</v>
      </c>
      <c r="W76" s="257"/>
    </row>
    <row r="77" spans="1:23" s="165" customFormat="1" ht="350" customHeight="1">
      <c r="A77" s="196">
        <v>54</v>
      </c>
      <c r="B77" s="197" t="s">
        <v>143</v>
      </c>
      <c r="C77" s="198" t="str">
        <f>VLOOKUP(B77,[14]AssetDetails_UEM!$A$3:$AH$1849,6,FALSE)</f>
        <v>Linear Accelerators</v>
      </c>
      <c r="D77" s="429">
        <f>VLOOKUP(B77,[14]AssetDetails_UEM!$A$3:$AK$1849,22,FALSE)</f>
        <v>12049370</v>
      </c>
      <c r="E77" s="197" t="s">
        <v>610</v>
      </c>
      <c r="F77" s="197" t="s">
        <v>637</v>
      </c>
      <c r="G77" s="207" t="s">
        <v>702</v>
      </c>
      <c r="H77" s="208" t="s">
        <v>138</v>
      </c>
      <c r="I77" s="222" t="s">
        <v>740</v>
      </c>
      <c r="J77" s="223" t="s">
        <v>792</v>
      </c>
      <c r="K77" s="223" t="s">
        <v>837</v>
      </c>
      <c r="L77" s="223" t="s">
        <v>890</v>
      </c>
      <c r="M77" s="235">
        <f t="shared" si="0"/>
        <v>100</v>
      </c>
      <c r="N77" s="236" t="s">
        <v>139</v>
      </c>
      <c r="O77" s="237">
        <f>'[15]B1&amp; B2 UNSCHEDULED'!$O$24</f>
        <v>0</v>
      </c>
      <c r="P77" s="196"/>
      <c r="Q77" s="236" t="s">
        <v>139</v>
      </c>
      <c r="R77" s="247">
        <f t="shared" si="6"/>
        <v>1.0499999999956344</v>
      </c>
      <c r="S77" s="248">
        <f t="shared" si="4"/>
        <v>46114</v>
      </c>
      <c r="T77" s="196">
        <v>0</v>
      </c>
      <c r="U77" s="455">
        <f t="shared" si="3"/>
        <v>0</v>
      </c>
      <c r="V77" s="256" t="s">
        <v>945</v>
      </c>
      <c r="W77" s="254"/>
    </row>
    <row r="78" spans="1:23" s="168" customFormat="1" ht="308.5" customHeight="1">
      <c r="A78" s="196">
        <v>55</v>
      </c>
      <c r="B78" s="197" t="s">
        <v>143</v>
      </c>
      <c r="C78" s="260" t="str">
        <f>VLOOKUP(B78,[14]AssetDetails_UEM!$A$3:$AH$1849,6,FALSE)</f>
        <v>Linear Accelerators</v>
      </c>
      <c r="D78" s="432">
        <f>VLOOKUP(B78,[14]AssetDetails_UEM!$A$3:$AK$1849,22,FALSE)</f>
        <v>12049370</v>
      </c>
      <c r="E78" s="197" t="s">
        <v>611</v>
      </c>
      <c r="F78" s="197" t="s">
        <v>637</v>
      </c>
      <c r="G78" s="207" t="s">
        <v>703</v>
      </c>
      <c r="H78" s="208" t="s">
        <v>138</v>
      </c>
      <c r="I78" s="222" t="s">
        <v>454</v>
      </c>
      <c r="J78" s="223" t="s">
        <v>793</v>
      </c>
      <c r="K78" s="223" t="s">
        <v>838</v>
      </c>
      <c r="L78" s="223" t="s">
        <v>891</v>
      </c>
      <c r="M78" s="235">
        <f t="shared" si="0"/>
        <v>100</v>
      </c>
      <c r="N78" s="236" t="s">
        <v>139</v>
      </c>
      <c r="O78" s="237">
        <f>'[15]B1&amp; B2 UNSCHEDULED'!$O$24</f>
        <v>0</v>
      </c>
      <c r="P78" s="196"/>
      <c r="Q78" s="236" t="s">
        <v>139</v>
      </c>
      <c r="R78" s="247">
        <f t="shared" si="6"/>
        <v>1.0493055555562023</v>
      </c>
      <c r="S78" s="248">
        <f t="shared" si="4"/>
        <v>46114</v>
      </c>
      <c r="T78" s="196">
        <v>0</v>
      </c>
      <c r="U78" s="455">
        <f t="shared" si="3"/>
        <v>0</v>
      </c>
      <c r="V78" s="256" t="s">
        <v>946</v>
      </c>
      <c r="W78" s="280"/>
    </row>
    <row r="79" spans="1:23" s="167" customFormat="1" ht="280.5" customHeight="1">
      <c r="A79" s="196">
        <v>56</v>
      </c>
      <c r="B79" s="197" t="s">
        <v>552</v>
      </c>
      <c r="C79" s="258" t="str">
        <f>VLOOKUP(B79,[14]AssetDetails_UEM!$A$3:$AH$1849,6,FALSE)</f>
        <v>Chairs, Examination/Treatment, Dentistry</v>
      </c>
      <c r="D79" s="431">
        <f>VLOOKUP(B79,[14]AssetDetails_UEM!$A$3:$AK$1849,22,FALSE)</f>
        <v>72000</v>
      </c>
      <c r="E79" s="197" t="s">
        <v>612</v>
      </c>
      <c r="F79" s="197" t="s">
        <v>501</v>
      </c>
      <c r="G79" s="207" t="s">
        <v>704</v>
      </c>
      <c r="H79" s="208" t="s">
        <v>138</v>
      </c>
      <c r="I79" s="222" t="s">
        <v>174</v>
      </c>
      <c r="J79" s="223" t="s">
        <v>794</v>
      </c>
      <c r="K79" s="223" t="s">
        <v>839</v>
      </c>
      <c r="L79" s="223" t="s">
        <v>892</v>
      </c>
      <c r="M79" s="238">
        <f t="shared" si="0"/>
        <v>100</v>
      </c>
      <c r="N79" s="239" t="s">
        <v>139</v>
      </c>
      <c r="O79" s="240">
        <f>'[15]B1&amp; B2 UNSCHEDULED'!$O$24</f>
        <v>0</v>
      </c>
      <c r="P79" s="241"/>
      <c r="Q79" s="239" t="s">
        <v>139</v>
      </c>
      <c r="R79" s="249">
        <f t="shared" si="6"/>
        <v>1.0263888888875954</v>
      </c>
      <c r="S79" s="438">
        <f t="shared" si="4"/>
        <v>46118</v>
      </c>
      <c r="T79" s="241">
        <v>0</v>
      </c>
      <c r="U79" s="456">
        <f t="shared" si="3"/>
        <v>0</v>
      </c>
      <c r="V79" s="439" t="s">
        <v>947</v>
      </c>
      <c r="W79" s="257"/>
    </row>
    <row r="80" spans="1:23" s="167" customFormat="1" ht="221" customHeight="1">
      <c r="A80" s="241">
        <v>57</v>
      </c>
      <c r="B80" s="434" t="s">
        <v>553</v>
      </c>
      <c r="C80" s="258" t="s">
        <v>148</v>
      </c>
      <c r="D80" s="431" t="s">
        <v>465</v>
      </c>
      <c r="E80" s="434" t="s">
        <v>613</v>
      </c>
      <c r="F80" s="434" t="s">
        <v>649</v>
      </c>
      <c r="G80" s="435" t="s">
        <v>705</v>
      </c>
      <c r="H80" s="436" t="s">
        <v>714</v>
      </c>
      <c r="I80" s="581" t="s">
        <v>1702</v>
      </c>
      <c r="J80" s="437" t="s">
        <v>795</v>
      </c>
      <c r="K80" s="440">
        <v>46108.434027777781</v>
      </c>
      <c r="L80" s="440">
        <v>46108.510416666664</v>
      </c>
      <c r="M80" s="238">
        <f t="shared" si="0"/>
        <v>100</v>
      </c>
      <c r="N80" s="239" t="s">
        <v>139</v>
      </c>
      <c r="O80" s="240">
        <f>'[15]B1&amp; B2 UNSCHEDULED'!$O$24</f>
        <v>0</v>
      </c>
      <c r="P80" s="241"/>
      <c r="Q80" s="239" t="s">
        <v>139</v>
      </c>
      <c r="R80" s="249">
        <f t="shared" si="6"/>
        <v>1.09375</v>
      </c>
      <c r="S80" s="438">
        <f t="shared" si="4"/>
        <v>46119</v>
      </c>
      <c r="T80" s="241">
        <v>0</v>
      </c>
      <c r="U80" s="456">
        <f t="shared" si="3"/>
        <v>0</v>
      </c>
      <c r="V80" s="439" t="s">
        <v>1703</v>
      </c>
      <c r="W80" s="257"/>
    </row>
    <row r="81" spans="1:197" s="165" customFormat="1" ht="210" customHeight="1">
      <c r="A81" s="196">
        <v>58</v>
      </c>
      <c r="B81" s="197" t="s">
        <v>554</v>
      </c>
      <c r="C81" s="198" t="str">
        <f>VLOOKUP(B81,[14]AssetDetails_UEM!$A$3:$AH$1849,6,FALSE)</f>
        <v>Scanning Systems, Computed Tomography</v>
      </c>
      <c r="D81" s="429">
        <f>VLOOKUP(B81,[14]AssetDetails_UEM!$A$3:$AK$1849,22,FALSE)</f>
        <v>4605710</v>
      </c>
      <c r="E81" s="197" t="s">
        <v>614</v>
      </c>
      <c r="F81" s="197" t="s">
        <v>650</v>
      </c>
      <c r="G81" s="207" t="s">
        <v>706</v>
      </c>
      <c r="H81" s="208" t="s">
        <v>714</v>
      </c>
      <c r="I81" s="222" t="s">
        <v>142</v>
      </c>
      <c r="J81" s="223" t="s">
        <v>795</v>
      </c>
      <c r="K81" s="223" t="s">
        <v>840</v>
      </c>
      <c r="L81" s="223" t="s">
        <v>893</v>
      </c>
      <c r="M81" s="235">
        <f t="shared" si="0"/>
        <v>100</v>
      </c>
      <c r="N81" s="236" t="s">
        <v>139</v>
      </c>
      <c r="O81" s="237">
        <f>'[15]B1&amp; B2 UNSCHEDULED'!$O$24</f>
        <v>0</v>
      </c>
      <c r="P81" s="196"/>
      <c r="Q81" s="236" t="s">
        <v>139</v>
      </c>
      <c r="R81" s="247">
        <f t="shared" si="6"/>
        <v>1.1666666666715173</v>
      </c>
      <c r="S81" s="248">
        <f t="shared" si="4"/>
        <v>46119</v>
      </c>
      <c r="T81" s="196">
        <v>0</v>
      </c>
      <c r="U81" s="455">
        <f t="shared" si="3"/>
        <v>0</v>
      </c>
      <c r="V81" s="256" t="s">
        <v>948</v>
      </c>
      <c r="W81" s="254"/>
    </row>
    <row r="82" spans="1:197" s="167" customFormat="1" ht="409.6" customHeight="1">
      <c r="A82" s="196">
        <v>59</v>
      </c>
      <c r="B82" s="197" t="s">
        <v>556</v>
      </c>
      <c r="C82" s="199" t="str">
        <f>VLOOKUP(B82,[14]AssetDetails_UEM!$A$3:$AH$1849,6,FALSE)</f>
        <v>Infusion Pumps, Syringe</v>
      </c>
      <c r="D82" s="430">
        <f>VLOOKUP(B82,[14]AssetDetails_UEM!$A$3:$AK$1849,22,FALSE)</f>
        <v>10225</v>
      </c>
      <c r="E82" s="197" t="s">
        <v>616</v>
      </c>
      <c r="F82" s="197" t="s">
        <v>149</v>
      </c>
      <c r="G82" s="207" t="s">
        <v>708</v>
      </c>
      <c r="H82" s="208" t="s">
        <v>138</v>
      </c>
      <c r="I82" s="222" t="s">
        <v>174</v>
      </c>
      <c r="J82" s="223" t="s">
        <v>797</v>
      </c>
      <c r="K82" s="223" t="s">
        <v>841</v>
      </c>
      <c r="L82" s="223" t="s">
        <v>894</v>
      </c>
      <c r="M82" s="238">
        <f t="shared" si="0"/>
        <v>30</v>
      </c>
      <c r="N82" s="239" t="s">
        <v>139</v>
      </c>
      <c r="O82" s="240">
        <f>'[15]B1&amp; B2 UNSCHEDULED'!$O$24</f>
        <v>0</v>
      </c>
      <c r="P82" s="241"/>
      <c r="Q82" s="239" t="s">
        <v>139</v>
      </c>
      <c r="R82" s="249">
        <f t="shared" si="6"/>
        <v>1.0923611111138598</v>
      </c>
      <c r="S82" s="438">
        <f t="shared" si="4"/>
        <v>46119</v>
      </c>
      <c r="T82" s="241">
        <v>0</v>
      </c>
      <c r="U82" s="456">
        <f t="shared" si="3"/>
        <v>0</v>
      </c>
      <c r="V82" s="439" t="s">
        <v>949</v>
      </c>
      <c r="W82" s="257"/>
    </row>
    <row r="83" spans="1:197" s="165" customFormat="1" ht="217.5" customHeight="1">
      <c r="A83" s="196">
        <v>60</v>
      </c>
      <c r="B83" s="197" t="s">
        <v>558</v>
      </c>
      <c r="C83" s="198" t="str">
        <f>VLOOKUP(B83,[14]AssetDetails_UEM!$A$3:$AH$1849,6,FALSE)</f>
        <v>Infusion Pumps, Patient-Controlled Analgesic</v>
      </c>
      <c r="D83" s="429">
        <f>VLOOKUP(B83,[14]AssetDetails_UEM!$A$3:$AK$1849,22,FALSE)</f>
        <v>16840</v>
      </c>
      <c r="E83" s="197" t="s">
        <v>618</v>
      </c>
      <c r="F83" s="197" t="s">
        <v>653</v>
      </c>
      <c r="G83" s="207" t="s">
        <v>710</v>
      </c>
      <c r="H83" s="208" t="s">
        <v>138</v>
      </c>
      <c r="I83" s="222" t="s">
        <v>144</v>
      </c>
      <c r="J83" s="223" t="s">
        <v>799</v>
      </c>
      <c r="K83" s="223" t="s">
        <v>842</v>
      </c>
      <c r="L83" s="223" t="s">
        <v>895</v>
      </c>
      <c r="M83" s="235">
        <f t="shared" si="0"/>
        <v>40</v>
      </c>
      <c r="N83" s="236" t="s">
        <v>139</v>
      </c>
      <c r="O83" s="237">
        <f>'[15]B1&amp; B2 UNSCHEDULED'!$O$24</f>
        <v>0</v>
      </c>
      <c r="P83" s="196"/>
      <c r="Q83" s="236" t="s">
        <v>139</v>
      </c>
      <c r="R83" s="247">
        <f t="shared" si="6"/>
        <v>1.0659722222189885</v>
      </c>
      <c r="S83" s="248">
        <f t="shared" si="4"/>
        <v>46120</v>
      </c>
      <c r="T83" s="196">
        <v>0</v>
      </c>
      <c r="U83" s="455">
        <f t="shared" si="3"/>
        <v>0</v>
      </c>
      <c r="V83" s="256" t="s">
        <v>950</v>
      </c>
      <c r="W83" s="254"/>
    </row>
    <row r="84" spans="1:197" s="166" customFormat="1" ht="278.5" customHeight="1">
      <c r="A84" s="196">
        <v>61</v>
      </c>
      <c r="B84" s="197" t="s">
        <v>559</v>
      </c>
      <c r="C84" s="198" t="s">
        <v>460</v>
      </c>
      <c r="D84" s="429">
        <v>9380</v>
      </c>
      <c r="E84" s="197" t="s">
        <v>619</v>
      </c>
      <c r="F84" s="197" t="s">
        <v>640</v>
      </c>
      <c r="G84" s="207" t="s">
        <v>711</v>
      </c>
      <c r="H84" s="208" t="s">
        <v>138</v>
      </c>
      <c r="I84" s="222" t="s">
        <v>1672</v>
      </c>
      <c r="J84" s="223" t="s">
        <v>800</v>
      </c>
      <c r="K84" s="223" t="s">
        <v>1671</v>
      </c>
      <c r="L84" s="223" t="s">
        <v>1673</v>
      </c>
      <c r="M84" s="235">
        <f t="shared" si="0"/>
        <v>20</v>
      </c>
      <c r="N84" s="236" t="s">
        <v>139</v>
      </c>
      <c r="O84" s="237">
        <f>'[15]B1&amp; B2 UNSCHEDULED'!$O$24</f>
        <v>0</v>
      </c>
      <c r="P84" s="196"/>
      <c r="Q84" s="236" t="s">
        <v>139</v>
      </c>
      <c r="R84" s="247">
        <f t="shared" si="6"/>
        <v>1.0958333333328483</v>
      </c>
      <c r="S84" s="248">
        <f t="shared" si="4"/>
        <v>46120</v>
      </c>
      <c r="T84" s="196">
        <v>0</v>
      </c>
      <c r="U84" s="455">
        <f t="shared" si="3"/>
        <v>0</v>
      </c>
      <c r="V84" s="256" t="s">
        <v>1674</v>
      </c>
      <c r="W84" s="254"/>
    </row>
    <row r="85" spans="1:197" s="166" customFormat="1" ht="217" customHeight="1">
      <c r="A85" s="196">
        <v>62</v>
      </c>
      <c r="B85" s="197" t="s">
        <v>537</v>
      </c>
      <c r="C85" s="198" t="str">
        <f>VLOOKUP(B85,[14]AssetDetails_UEM!$A$3:$AH$1849,6,FALSE)</f>
        <v>Oximeters, Pulse</v>
      </c>
      <c r="D85" s="429">
        <f>VLOOKUP(B85,[14]AssetDetails_UEM!$A$3:$AK$1849,22,FALSE)</f>
        <v>5410</v>
      </c>
      <c r="E85" s="197" t="s">
        <v>620</v>
      </c>
      <c r="F85" s="197" t="s">
        <v>640</v>
      </c>
      <c r="G85" s="207" t="s">
        <v>712</v>
      </c>
      <c r="H85" s="208" t="s">
        <v>138</v>
      </c>
      <c r="I85" s="222" t="s">
        <v>1675</v>
      </c>
      <c r="J85" s="223" t="s">
        <v>801</v>
      </c>
      <c r="K85" s="223" t="s">
        <v>1671</v>
      </c>
      <c r="L85" s="223" t="s">
        <v>1676</v>
      </c>
      <c r="M85" s="235">
        <f t="shared" si="0"/>
        <v>20</v>
      </c>
      <c r="N85" s="236" t="s">
        <v>139</v>
      </c>
      <c r="O85" s="237">
        <f>'[15]B1&amp; B2 UNSCHEDULED'!$O$24</f>
        <v>0</v>
      </c>
      <c r="P85" s="196"/>
      <c r="Q85" s="236" t="s">
        <v>139</v>
      </c>
      <c r="R85" s="247">
        <f t="shared" si="6"/>
        <v>1.0680555555518367</v>
      </c>
      <c r="S85" s="248">
        <f t="shared" si="4"/>
        <v>46120</v>
      </c>
      <c r="T85" s="196">
        <v>0</v>
      </c>
      <c r="U85" s="455">
        <f t="shared" si="3"/>
        <v>0</v>
      </c>
      <c r="V85" s="256" t="s">
        <v>1677</v>
      </c>
      <c r="W85" s="254"/>
    </row>
    <row r="86" spans="1:197" s="166" customFormat="1" ht="174" customHeight="1">
      <c r="A86" s="261" t="s">
        <v>152</v>
      </c>
      <c r="B86" s="262"/>
      <c r="C86" s="262"/>
      <c r="D86" s="262"/>
      <c r="E86" s="262"/>
      <c r="F86" s="262"/>
      <c r="G86" s="267"/>
      <c r="H86" s="267"/>
      <c r="I86" s="267"/>
      <c r="J86" s="730"/>
      <c r="K86" s="730"/>
      <c r="L86" s="730"/>
      <c r="M86" s="730"/>
      <c r="N86" s="730"/>
      <c r="O86" s="730"/>
      <c r="P86" s="730"/>
      <c r="Q86" s="443"/>
      <c r="R86" s="443"/>
      <c r="S86" s="443"/>
      <c r="T86" s="443"/>
      <c r="U86" s="443"/>
      <c r="V86" s="444"/>
      <c r="W86" s="254"/>
    </row>
    <row r="87" spans="1:197" s="167" customFormat="1" ht="273" customHeight="1">
      <c r="A87" s="241">
        <v>1</v>
      </c>
      <c r="B87" s="434" t="s">
        <v>715</v>
      </c>
      <c r="C87" s="199" t="str">
        <f>VLOOKUP(B87,[14]AssetDetails_UEM!$A$3:$AH$1849,6,FALSE)</f>
        <v>Physiologic Monitoring Systems, Acute Care</v>
      </c>
      <c r="D87" s="430" t="str">
        <f>VLOOKUP(B87,[14]AssetDetails_UEM!$A$3:$AK$1849,22,FALSE)</f>
        <v>RM100,00.00</v>
      </c>
      <c r="E87" s="434" t="s">
        <v>718</v>
      </c>
      <c r="F87" s="434" t="s">
        <v>629</v>
      </c>
      <c r="G87" s="435" t="s">
        <v>727</v>
      </c>
      <c r="H87" s="436" t="s">
        <v>138</v>
      </c>
      <c r="I87" s="222" t="s">
        <v>142</v>
      </c>
      <c r="J87" s="437" t="s">
        <v>733</v>
      </c>
      <c r="K87" s="440">
        <v>46084.631944444445</v>
      </c>
      <c r="L87" s="599">
        <v>46112.958344907405</v>
      </c>
      <c r="M87" s="238">
        <f>IF(D87&gt;44999.99,100,ROUNDUP((D87/4999.99)*10,-1))</f>
        <v>100</v>
      </c>
      <c r="N87" s="239" t="s">
        <v>139</v>
      </c>
      <c r="O87" s="240">
        <f>'[15]B1&amp; B2 UNSCHEDULED'!$O$24</f>
        <v>0</v>
      </c>
      <c r="P87" s="239"/>
      <c r="Q87" s="239" t="s">
        <v>158</v>
      </c>
      <c r="R87" s="249">
        <f t="shared" ref="R87:R90" si="7">IF(L87="",AKHIR-J87,L87-J87+1)</f>
        <v>29.333344907405262</v>
      </c>
      <c r="S87" s="438">
        <f t="shared" ref="S87" si="8">WORKDAY(J87,6,AKHIR)</f>
        <v>46092</v>
      </c>
      <c r="T87" s="241">
        <v>20</v>
      </c>
      <c r="U87" s="456">
        <v>0</v>
      </c>
      <c r="V87" s="571" t="s">
        <v>1749</v>
      </c>
      <c r="W87" s="257"/>
    </row>
    <row r="88" spans="1:197" s="166" customFormat="1" ht="212">
      <c r="A88" s="241">
        <v>2</v>
      </c>
      <c r="B88" s="547" t="s">
        <v>522</v>
      </c>
      <c r="C88" s="198" t="str">
        <f>VLOOKUP(B88,[14]AssetDetails_UEM!$A$3:$AH$1849,6,FALSE)</f>
        <v>Radiographic Units, Mobile</v>
      </c>
      <c r="D88" s="429">
        <f>VLOOKUP(B88,[14]AssetDetails_UEM!$A$3:$AK$1849,22,FALSE)</f>
        <v>1149550</v>
      </c>
      <c r="E88" s="547" t="s">
        <v>720</v>
      </c>
      <c r="F88" s="547" t="s">
        <v>624</v>
      </c>
      <c r="G88" s="548" t="s">
        <v>729</v>
      </c>
      <c r="H88" s="208" t="s">
        <v>138</v>
      </c>
      <c r="I88" s="222" t="s">
        <v>142</v>
      </c>
      <c r="J88" s="549" t="s">
        <v>735</v>
      </c>
      <c r="K88" s="551">
        <v>46097.590277777781</v>
      </c>
      <c r="L88" s="599">
        <v>46112.958344907405</v>
      </c>
      <c r="M88" s="235">
        <f t="shared" ref="M88:M90" si="9">IF(D88&gt;44999.99,100,ROUNDUP((D88/4999.99)*10,-1))</f>
        <v>100</v>
      </c>
      <c r="N88" s="236" t="s">
        <v>139</v>
      </c>
      <c r="O88" s="237">
        <f>'[15]B1&amp; B2 UNSCHEDULED'!$O$24</f>
        <v>0</v>
      </c>
      <c r="P88" s="546"/>
      <c r="Q88" s="236" t="s">
        <v>158</v>
      </c>
      <c r="R88" s="247">
        <f t="shared" si="7"/>
        <v>16.375011574069504</v>
      </c>
      <c r="S88" s="248">
        <f>WORKDAY(J88,6,AKHIR)+2</f>
        <v>46107</v>
      </c>
      <c r="T88" s="546">
        <v>5</v>
      </c>
      <c r="U88" s="456">
        <f t="shared" ref="U88:U89" si="10">IF(Q88="N",0,M88*T88)</f>
        <v>500</v>
      </c>
      <c r="V88" s="573" t="s">
        <v>1730</v>
      </c>
      <c r="W88" s="254" t="s">
        <v>1750</v>
      </c>
    </row>
    <row r="89" spans="1:197" s="166" customFormat="1" ht="338.15" customHeight="1">
      <c r="A89" s="241">
        <v>3</v>
      </c>
      <c r="B89" s="547" t="s">
        <v>716</v>
      </c>
      <c r="C89" s="198" t="str">
        <f>VLOOKUP(B89,[14]AssetDetails_UEM!$A$3:$AH$1849,6,FALSE)</f>
        <v>Sphygmomanometers, Electronic, Automatic</v>
      </c>
      <c r="D89" s="429">
        <f>VLOOKUP(B89,[14]AssetDetails_UEM!$A$3:$AK$1849,22,FALSE)</f>
        <v>336</v>
      </c>
      <c r="E89" s="547" t="s">
        <v>722</v>
      </c>
      <c r="F89" s="547" t="s">
        <v>725</v>
      </c>
      <c r="G89" s="548" t="s">
        <v>731</v>
      </c>
      <c r="H89" s="208" t="s">
        <v>138</v>
      </c>
      <c r="I89" s="222" t="s">
        <v>741</v>
      </c>
      <c r="J89" s="549" t="s">
        <v>737</v>
      </c>
      <c r="K89" s="551">
        <v>46105.673611111109</v>
      </c>
      <c r="L89" s="599">
        <v>46112.958344907405</v>
      </c>
      <c r="M89" s="235">
        <f t="shared" si="9"/>
        <v>10</v>
      </c>
      <c r="N89" s="236" t="s">
        <v>139</v>
      </c>
      <c r="O89" s="237">
        <f>'[15]B1&amp; B2 UNSCHEDULED'!$O$24</f>
        <v>0</v>
      </c>
      <c r="P89" s="546"/>
      <c r="Q89" s="236" t="s">
        <v>139</v>
      </c>
      <c r="R89" s="247">
        <f t="shared" si="7"/>
        <v>8.2889004629614647</v>
      </c>
      <c r="S89" s="248">
        <f>WORKDAY(J89,5,AKHIR)</f>
        <v>46113</v>
      </c>
      <c r="T89" s="546">
        <v>0</v>
      </c>
      <c r="U89" s="456">
        <f t="shared" si="10"/>
        <v>0</v>
      </c>
      <c r="V89" s="573" t="s">
        <v>1746</v>
      </c>
      <c r="W89" s="254" t="s">
        <v>742</v>
      </c>
    </row>
    <row r="90" spans="1:197" s="166" customFormat="1" ht="293.25" customHeight="1">
      <c r="A90" s="241">
        <v>4</v>
      </c>
      <c r="B90" s="547" t="s">
        <v>717</v>
      </c>
      <c r="C90" s="198" t="str">
        <f>VLOOKUP(B90,[14]AssetDetails_UEM!$A$3:$AH$1849,6,FALSE)</f>
        <v>Washers, Flexible Endoscope</v>
      </c>
      <c r="D90" s="429">
        <f>VLOOKUP(B90,[14]AssetDetails_UEM!$A$3:$AK$1849,22,FALSE)</f>
        <v>126300</v>
      </c>
      <c r="E90" s="547" t="s">
        <v>723</v>
      </c>
      <c r="F90" s="547" t="s">
        <v>726</v>
      </c>
      <c r="G90" s="548" t="s">
        <v>732</v>
      </c>
      <c r="H90" s="208" t="s">
        <v>138</v>
      </c>
      <c r="I90" s="222" t="s">
        <v>449</v>
      </c>
      <c r="J90" s="549" t="s">
        <v>738</v>
      </c>
      <c r="K90" s="551">
        <v>46106.510416666664</v>
      </c>
      <c r="L90" s="599">
        <v>46112.958344907405</v>
      </c>
      <c r="M90" s="235">
        <f t="shared" si="9"/>
        <v>100</v>
      </c>
      <c r="N90" s="236" t="s">
        <v>139</v>
      </c>
      <c r="O90" s="237">
        <f>'[15]B1&amp; B2 UNSCHEDULED'!$O$24</f>
        <v>0</v>
      </c>
      <c r="P90" s="546"/>
      <c r="Q90" s="236" t="s">
        <v>139</v>
      </c>
      <c r="R90" s="247">
        <f t="shared" si="7"/>
        <v>7.4597337962914025</v>
      </c>
      <c r="S90" s="248">
        <f>WORKDAY(J90,5,AKHIR)</f>
        <v>46114</v>
      </c>
      <c r="T90" s="546">
        <v>0</v>
      </c>
      <c r="U90" s="456">
        <f t="shared" ref="U90" si="11">IF(Q90="N",0,M90*T90)</f>
        <v>0</v>
      </c>
      <c r="V90" s="573" t="s">
        <v>1736</v>
      </c>
      <c r="W90" s="254"/>
    </row>
    <row r="91" spans="1:197" s="167" customFormat="1" ht="264.64999999999998" customHeight="1">
      <c r="A91" s="241">
        <v>5</v>
      </c>
      <c r="B91" s="434" t="s">
        <v>536</v>
      </c>
      <c r="C91" s="199" t="str">
        <f>VLOOKUP(B91,[14]AssetDetails_UEM!$A$3:$AH$1849,6,FALSE)</f>
        <v>Oximeters, Pulse</v>
      </c>
      <c r="D91" s="430">
        <f>VLOOKUP(B91,[14]AssetDetails_UEM!$A$3:$AK$1849,22,FALSE)</f>
        <v>5410</v>
      </c>
      <c r="E91" s="434" t="s">
        <v>724</v>
      </c>
      <c r="F91" s="434" t="s">
        <v>638</v>
      </c>
      <c r="G91" s="435" t="s">
        <v>675</v>
      </c>
      <c r="H91" s="436" t="s">
        <v>138</v>
      </c>
      <c r="I91" s="581" t="s">
        <v>150</v>
      </c>
      <c r="J91" s="437" t="s">
        <v>739</v>
      </c>
      <c r="K91" s="437" t="s">
        <v>1669</v>
      </c>
      <c r="L91" s="437" t="s">
        <v>1670</v>
      </c>
      <c r="M91" s="238">
        <f>IF(D91&gt;44999.99,100,ROUNDUP((D91/4999.99)*10,-1))</f>
        <v>20</v>
      </c>
      <c r="N91" s="239" t="s">
        <v>139</v>
      </c>
      <c r="O91" s="240">
        <f>'[15]B1&amp; B2 UNSCHEDULED'!$O$24</f>
        <v>0</v>
      </c>
      <c r="P91" s="241"/>
      <c r="Q91" s="239" t="s">
        <v>139</v>
      </c>
      <c r="R91" s="249">
        <v>5</v>
      </c>
      <c r="S91" s="438">
        <v>46115</v>
      </c>
      <c r="T91" s="241">
        <v>0</v>
      </c>
      <c r="U91" s="456">
        <f>IF(Q91="N",0,M91*T91)</f>
        <v>0</v>
      </c>
      <c r="V91" s="439" t="s">
        <v>1732</v>
      </c>
      <c r="W91" s="257"/>
    </row>
    <row r="92" spans="1:197" s="167" customFormat="1" ht="212">
      <c r="A92" s="241">
        <v>6</v>
      </c>
      <c r="B92" s="434" t="s">
        <v>555</v>
      </c>
      <c r="C92" s="258" t="str">
        <f>VLOOKUP(B92,[14]AssetDetails_UEM!$A$3:$AH$1849,6,FALSE)</f>
        <v>Physiologic Monitoring Systems, Acute Care</v>
      </c>
      <c r="D92" s="430">
        <f>VLOOKUP(B92,[14]AssetDetails_UEM!$A$3:$AK$1849,22,FALSE)</f>
        <v>105850</v>
      </c>
      <c r="E92" s="434" t="s">
        <v>615</v>
      </c>
      <c r="F92" s="434" t="s">
        <v>651</v>
      </c>
      <c r="G92" s="435" t="s">
        <v>707</v>
      </c>
      <c r="H92" s="436" t="s">
        <v>138</v>
      </c>
      <c r="I92" s="581" t="s">
        <v>1704</v>
      </c>
      <c r="J92" s="437" t="s">
        <v>796</v>
      </c>
      <c r="K92" s="440">
        <v>46108.375</v>
      </c>
      <c r="L92" s="582">
        <v>46114.666666666664</v>
      </c>
      <c r="M92" s="238">
        <f>IF(D92&gt;44999.99,100,ROUNDUP((D92/4999.99)*10,-1))</f>
        <v>100</v>
      </c>
      <c r="N92" s="239" t="s">
        <v>139</v>
      </c>
      <c r="O92" s="240">
        <f>'[15]B1&amp; B2 UNSCHEDULED'!$O$24</f>
        <v>0</v>
      </c>
      <c r="P92" s="241"/>
      <c r="Q92" s="239" t="s">
        <v>139</v>
      </c>
      <c r="R92" s="249">
        <v>5</v>
      </c>
      <c r="S92" s="438">
        <v>46116</v>
      </c>
      <c r="T92" s="241">
        <v>0</v>
      </c>
      <c r="U92" s="456">
        <f>IF(Q92="N",0,M92*T92)</f>
        <v>0</v>
      </c>
      <c r="V92" s="439" t="s">
        <v>1734</v>
      </c>
      <c r="W92" s="257"/>
    </row>
    <row r="93" spans="1:197" s="167" customFormat="1" ht="264.64999999999998" customHeight="1">
      <c r="A93" s="241">
        <v>7</v>
      </c>
      <c r="B93" s="434" t="s">
        <v>557</v>
      </c>
      <c r="C93" s="258" t="str">
        <f>VLOOKUP(B93,[14]AssetDetails_UEM!$A$3:$AH$1849,6,FALSE)</f>
        <v>Analyzers, Laboratory, Hematology, Platelet Aggregation</v>
      </c>
      <c r="D93" s="430">
        <f>VLOOKUP(B93,[14]AssetDetails_UEM!$A$3:$AK$1849,22,FALSE)</f>
        <v>42100</v>
      </c>
      <c r="E93" s="434" t="s">
        <v>617</v>
      </c>
      <c r="F93" s="434" t="s">
        <v>652</v>
      </c>
      <c r="G93" s="435" t="s">
        <v>709</v>
      </c>
      <c r="H93" s="436" t="s">
        <v>138</v>
      </c>
      <c r="I93" s="581" t="s">
        <v>1704</v>
      </c>
      <c r="J93" s="437" t="s">
        <v>798</v>
      </c>
      <c r="K93" s="437" t="s">
        <v>798</v>
      </c>
      <c r="L93" s="440">
        <v>46119.666666666664</v>
      </c>
      <c r="M93" s="238">
        <f>IF(D93&gt;44999.99,100,ROUNDUP((D93/4999.99)*10,-1))</f>
        <v>90</v>
      </c>
      <c r="N93" s="239" t="s">
        <v>139</v>
      </c>
      <c r="O93" s="240">
        <f>'[15]B1&amp; B2 UNSCHEDULED'!$O$24</f>
        <v>0</v>
      </c>
      <c r="P93" s="241"/>
      <c r="Q93" s="239" t="s">
        <v>139</v>
      </c>
      <c r="R93" s="249">
        <v>7</v>
      </c>
      <c r="S93" s="438">
        <f>WORKDAY(J93,5,AKHIR)</f>
        <v>46119</v>
      </c>
      <c r="T93" s="241">
        <v>0</v>
      </c>
      <c r="U93" s="456">
        <f>IF(Q93="N",0,M93*T93)</f>
        <v>0</v>
      </c>
      <c r="V93" s="439" t="s">
        <v>1744</v>
      </c>
      <c r="W93" s="257"/>
    </row>
    <row r="94" spans="1:197" s="166" customFormat="1" ht="195" customHeight="1">
      <c r="A94" s="448" t="s">
        <v>156</v>
      </c>
      <c r="B94" s="449"/>
      <c r="C94" s="449"/>
      <c r="D94" s="449"/>
      <c r="E94" s="449"/>
      <c r="F94" s="449"/>
      <c r="G94" s="450"/>
      <c r="H94" s="450"/>
      <c r="I94" s="450"/>
      <c r="J94" s="451"/>
      <c r="K94" s="452"/>
      <c r="L94" s="452"/>
      <c r="M94" s="452"/>
      <c r="N94" s="452"/>
      <c r="O94" s="452"/>
      <c r="P94" s="452"/>
      <c r="Q94" s="452"/>
      <c r="R94" s="452"/>
      <c r="S94" s="452"/>
      <c r="T94" s="452"/>
      <c r="U94" s="452"/>
      <c r="V94" s="453"/>
      <c r="W94" s="254"/>
    </row>
    <row r="95" spans="1:197" s="166" customFormat="1" ht="409" customHeight="1">
      <c r="A95" s="196">
        <v>1</v>
      </c>
      <c r="B95" s="263" t="s">
        <v>164</v>
      </c>
      <c r="C95" s="198" t="str">
        <f>VLOOKUP(B95,[14]AssetDetails_UEM!$A$3:$AH$1849,6,FALSE)</f>
        <v>Infusion Pumps, General-Purpose</v>
      </c>
      <c r="D95" s="429">
        <f>VLOOKUP(B95,[14]AssetDetails_UEM!$A$3:$AK$1849,22,FALSE)</f>
        <v>10825</v>
      </c>
      <c r="E95" s="255" t="s">
        <v>165</v>
      </c>
      <c r="F95" s="255" t="s">
        <v>147</v>
      </c>
      <c r="G95" s="268" t="s">
        <v>166</v>
      </c>
      <c r="H95" s="208" t="s">
        <v>138</v>
      </c>
      <c r="I95" s="222" t="s">
        <v>167</v>
      </c>
      <c r="J95" s="271" t="s">
        <v>168</v>
      </c>
      <c r="K95" s="270">
        <v>45970.861111111109</v>
      </c>
      <c r="L95" s="582">
        <v>46099.4375</v>
      </c>
      <c r="M95" s="235">
        <f>IF(D95&gt;44999.99,100,ROUNDUP((D95/4999.99)*10,-1))</f>
        <v>30</v>
      </c>
      <c r="N95" s="236" t="s">
        <v>139</v>
      </c>
      <c r="O95" s="237">
        <f>'[15]B1&amp; B2 UNSCHEDULED'!$O$24</f>
        <v>0</v>
      </c>
      <c r="P95" s="196"/>
      <c r="Q95" s="236" t="s">
        <v>158</v>
      </c>
      <c r="R95" s="247">
        <f>IF(L95="",AKHIR-J95,L95-J95+1)</f>
        <v>129.6027777777781</v>
      </c>
      <c r="S95" s="248">
        <f>WORKDAY(J95,6,AKHIR)+1</f>
        <v>45979</v>
      </c>
      <c r="T95" s="196">
        <v>28</v>
      </c>
      <c r="U95" s="455">
        <v>0</v>
      </c>
      <c r="V95" s="256" t="s">
        <v>1687</v>
      </c>
      <c r="W95" s="254" t="s">
        <v>1751</v>
      </c>
    </row>
    <row r="96" spans="1:197" s="166" customFormat="1" ht="409.5">
      <c r="A96" s="196">
        <v>2</v>
      </c>
      <c r="B96" s="434" t="s">
        <v>436</v>
      </c>
      <c r="C96" s="199" t="str">
        <f>VLOOKUP(B96,[14]AssetDetails_UEM!$A$3:$AH$1849,6,FALSE)</f>
        <v>Sphygmomanometers, Electronic, Automatic</v>
      </c>
      <c r="D96" s="430">
        <f>VLOOKUP(B96,[14]AssetDetails_UEM!$A$3:$AK$1849,22,FALSE)</f>
        <v>4510</v>
      </c>
      <c r="E96" s="434" t="s">
        <v>456</v>
      </c>
      <c r="F96" s="434" t="s">
        <v>444</v>
      </c>
      <c r="G96" s="435" t="s">
        <v>462</v>
      </c>
      <c r="H96" s="436" t="s">
        <v>138</v>
      </c>
      <c r="I96" s="222" t="s">
        <v>150</v>
      </c>
      <c r="J96" s="437" t="s">
        <v>439</v>
      </c>
      <c r="K96" s="440">
        <v>46058.854166666664</v>
      </c>
      <c r="L96" s="437" t="s">
        <v>1681</v>
      </c>
      <c r="M96" s="238">
        <f>IF(D96&gt;44999.99,100,ROUNDUP((D96/4999.99)*10,-1))</f>
        <v>10</v>
      </c>
      <c r="N96" s="239" t="s">
        <v>139</v>
      </c>
      <c r="O96" s="240">
        <f>'[15]B1&amp; B2 UNSCHEDULED'!$O$24</f>
        <v>0</v>
      </c>
      <c r="P96" s="239"/>
      <c r="Q96" s="239" t="s">
        <v>158</v>
      </c>
      <c r="R96" s="249">
        <f>IF(L96="",AKHIR-J96,L96-J96+1)</f>
        <v>56.827777777776646</v>
      </c>
      <c r="S96" s="438">
        <f>WORKDAY(J96,6,AKHIR)</f>
        <v>46066</v>
      </c>
      <c r="T96" s="241">
        <v>15</v>
      </c>
      <c r="U96" s="456">
        <v>0</v>
      </c>
      <c r="V96" s="256" t="s">
        <v>1748</v>
      </c>
      <c r="W96" s="254" t="s">
        <v>1752</v>
      </c>
      <c r="X96" s="168"/>
      <c r="Y96" s="168"/>
      <c r="Z96" s="168"/>
      <c r="AA96" s="168"/>
      <c r="AB96" s="168"/>
      <c r="AC96" s="168"/>
      <c r="AD96" s="168"/>
      <c r="AE96" s="168"/>
      <c r="AF96" s="168"/>
      <c r="AG96" s="168"/>
      <c r="AH96" s="168"/>
      <c r="AI96" s="168"/>
      <c r="AJ96" s="168"/>
      <c r="AK96" s="168"/>
      <c r="AL96" s="168"/>
      <c r="AM96" s="168"/>
      <c r="AN96" s="168"/>
      <c r="AO96" s="168"/>
      <c r="AP96" s="168"/>
      <c r="AQ96" s="168"/>
      <c r="AR96" s="168"/>
      <c r="AS96" s="168"/>
      <c r="AT96" s="168"/>
      <c r="AU96" s="168"/>
      <c r="AV96" s="168"/>
      <c r="AW96" s="168"/>
      <c r="AX96" s="168"/>
      <c r="AY96" s="168"/>
      <c r="AZ96" s="168"/>
      <c r="BA96" s="168"/>
      <c r="BB96" s="168"/>
      <c r="BC96" s="168"/>
      <c r="BD96" s="168"/>
      <c r="BE96" s="168"/>
      <c r="BF96" s="168"/>
      <c r="BG96" s="168"/>
      <c r="BH96" s="168"/>
      <c r="BI96" s="168"/>
      <c r="BJ96" s="168"/>
      <c r="BK96" s="168"/>
      <c r="BL96" s="168"/>
      <c r="BM96" s="168"/>
      <c r="BN96" s="168"/>
      <c r="BO96" s="168"/>
      <c r="BP96" s="168"/>
      <c r="BQ96" s="168"/>
      <c r="BR96" s="168"/>
      <c r="BS96" s="168"/>
      <c r="BT96" s="168"/>
      <c r="BU96" s="168"/>
      <c r="BV96" s="168"/>
      <c r="BW96" s="168"/>
      <c r="BX96" s="168"/>
      <c r="BY96" s="168"/>
      <c r="BZ96" s="168"/>
      <c r="CA96" s="168"/>
      <c r="CB96" s="168"/>
      <c r="CC96" s="168"/>
      <c r="CD96" s="168"/>
      <c r="CE96" s="168"/>
      <c r="CF96" s="168"/>
      <c r="CG96" s="168"/>
      <c r="CH96" s="168"/>
      <c r="CI96" s="168"/>
      <c r="CJ96" s="168"/>
      <c r="CK96" s="168"/>
      <c r="CL96" s="168"/>
      <c r="CM96" s="168"/>
      <c r="CN96" s="168"/>
      <c r="CO96" s="168"/>
      <c r="CP96" s="168"/>
      <c r="CQ96" s="168"/>
      <c r="CR96" s="168"/>
      <c r="CS96" s="168"/>
      <c r="CT96" s="168"/>
      <c r="CU96" s="168"/>
      <c r="CV96" s="168"/>
      <c r="CW96" s="168"/>
      <c r="CX96" s="168"/>
      <c r="CY96" s="168"/>
      <c r="CZ96" s="168"/>
      <c r="DA96" s="168"/>
      <c r="DB96" s="168"/>
      <c r="DC96" s="168"/>
      <c r="DD96" s="168"/>
      <c r="DE96" s="168"/>
      <c r="DF96" s="168"/>
      <c r="DG96" s="168"/>
      <c r="DH96" s="168"/>
      <c r="DI96" s="168"/>
      <c r="DJ96" s="168"/>
      <c r="DK96" s="168"/>
      <c r="DL96" s="168"/>
      <c r="DM96" s="168"/>
      <c r="DN96" s="168"/>
      <c r="DO96" s="168"/>
      <c r="DP96" s="168"/>
      <c r="DQ96" s="168"/>
      <c r="DR96" s="168"/>
      <c r="DS96" s="168"/>
      <c r="DT96" s="168"/>
      <c r="DU96" s="168"/>
      <c r="DV96" s="168"/>
      <c r="DW96" s="168"/>
      <c r="DX96" s="168"/>
      <c r="DY96" s="168"/>
      <c r="DZ96" s="168"/>
      <c r="EA96" s="168"/>
      <c r="EB96" s="168"/>
      <c r="EC96" s="168"/>
      <c r="ED96" s="168"/>
      <c r="EE96" s="168"/>
      <c r="EF96" s="168"/>
      <c r="EG96" s="168"/>
      <c r="EH96" s="168"/>
      <c r="EI96" s="168"/>
      <c r="EJ96" s="168"/>
      <c r="EK96" s="168"/>
      <c r="EL96" s="168"/>
      <c r="EM96" s="168"/>
      <c r="EN96" s="168"/>
      <c r="EO96" s="168"/>
      <c r="EP96" s="168"/>
      <c r="EQ96" s="168"/>
      <c r="ER96" s="168"/>
      <c r="ES96" s="168"/>
      <c r="ET96" s="168"/>
      <c r="EU96" s="168"/>
      <c r="EV96" s="168"/>
      <c r="EW96" s="168"/>
      <c r="EX96" s="168"/>
      <c r="EY96" s="168"/>
      <c r="EZ96" s="168"/>
      <c r="FA96" s="168"/>
      <c r="FB96" s="168"/>
      <c r="FC96" s="168"/>
      <c r="FD96" s="168"/>
      <c r="FE96" s="168"/>
      <c r="FF96" s="168"/>
      <c r="FG96" s="168"/>
      <c r="FH96" s="168"/>
      <c r="FI96" s="168"/>
      <c r="FJ96" s="168"/>
      <c r="FK96" s="168"/>
      <c r="FL96" s="168"/>
      <c r="FM96" s="168"/>
      <c r="FN96" s="168"/>
      <c r="FO96" s="168"/>
      <c r="FP96" s="168"/>
      <c r="FQ96" s="168"/>
      <c r="FR96" s="168"/>
      <c r="FS96" s="168"/>
      <c r="FT96" s="168"/>
      <c r="FU96" s="168"/>
      <c r="FV96" s="168"/>
      <c r="FW96" s="168"/>
      <c r="FX96" s="168"/>
      <c r="FY96" s="168"/>
      <c r="FZ96" s="168"/>
      <c r="GA96" s="168"/>
      <c r="GB96" s="168"/>
      <c r="GC96" s="168"/>
      <c r="GD96" s="168"/>
      <c r="GE96" s="168"/>
      <c r="GF96" s="168"/>
      <c r="GG96" s="168"/>
      <c r="GH96" s="168"/>
      <c r="GI96" s="168"/>
      <c r="GJ96" s="168"/>
      <c r="GK96" s="168"/>
      <c r="GL96" s="168"/>
      <c r="GM96" s="168"/>
      <c r="GN96" s="168"/>
      <c r="GO96" s="168"/>
    </row>
    <row r="97" spans="1:197" s="168" customFormat="1" ht="226.5" customHeight="1">
      <c r="A97" s="192" t="s">
        <v>163</v>
      </c>
      <c r="B97" s="193"/>
      <c r="C97" s="193"/>
      <c r="D97" s="193"/>
      <c r="E97" s="193"/>
      <c r="F97" s="193"/>
      <c r="G97" s="194"/>
      <c r="H97" s="193"/>
      <c r="I97" s="193"/>
      <c r="J97" s="731"/>
      <c r="K97" s="731"/>
      <c r="L97" s="731"/>
      <c r="M97" s="221"/>
      <c r="N97" s="221"/>
      <c r="O97" s="221"/>
      <c r="P97" s="221"/>
      <c r="Q97" s="221"/>
      <c r="R97" s="221"/>
      <c r="S97" s="221"/>
      <c r="T97" s="221"/>
      <c r="U97" s="221"/>
      <c r="V97" s="543"/>
      <c r="W97" s="254"/>
    </row>
    <row r="98" spans="1:197" s="168" customFormat="1" ht="226.5" customHeight="1">
      <c r="A98" s="196">
        <v>1</v>
      </c>
      <c r="B98" s="263" t="s">
        <v>169</v>
      </c>
      <c r="C98" s="198" t="str">
        <f>VLOOKUP(B98,[14]AssetDetails_UEM!$A$3:$AH$1849,6,FALSE)</f>
        <v>Infusion Pumps, General-Purpose</v>
      </c>
      <c r="D98" s="429">
        <f>VLOOKUP(B98,[14]AssetDetails_UEM!$A$3:$AK$1849,22,FALSE)</f>
        <v>10825</v>
      </c>
      <c r="E98" s="255" t="s">
        <v>170</v>
      </c>
      <c r="F98" s="255" t="s">
        <v>149</v>
      </c>
      <c r="G98" s="268" t="s">
        <v>171</v>
      </c>
      <c r="H98" s="208" t="s">
        <v>157</v>
      </c>
      <c r="I98" s="222" t="s">
        <v>141</v>
      </c>
      <c r="J98" s="271" t="s">
        <v>172</v>
      </c>
      <c r="K98" s="270">
        <v>45972.875011574099</v>
      </c>
      <c r="L98" s="599">
        <v>46112.958344907405</v>
      </c>
      <c r="M98" s="235">
        <f t="shared" ref="M98:M100" si="12">IF(D98&gt;44999.99,100,ROUNDUP((D98/4999.99)*10,-1))</f>
        <v>30</v>
      </c>
      <c r="N98" s="236" t="s">
        <v>139</v>
      </c>
      <c r="O98" s="237">
        <f>'[15]B1&amp; B2 UNSCHEDULED'!$O$24</f>
        <v>0</v>
      </c>
      <c r="P98" s="196"/>
      <c r="Q98" s="236" t="s">
        <v>158</v>
      </c>
      <c r="R98" s="247">
        <f t="shared" ref="R98:R100" si="13">IF(L98="",AKHIR-J98,L98-J98+1)</f>
        <v>141.10417824074102</v>
      </c>
      <c r="S98" s="248">
        <f>WORKDAY(J98,6,AKHIR)</f>
        <v>45980</v>
      </c>
      <c r="T98" s="196">
        <v>31</v>
      </c>
      <c r="U98" s="455">
        <v>0</v>
      </c>
      <c r="V98" s="439" t="s">
        <v>1745</v>
      </c>
      <c r="W98" s="254"/>
    </row>
    <row r="99" spans="1:197" s="166" customFormat="1" ht="231.65" customHeight="1">
      <c r="A99" s="196">
        <v>2</v>
      </c>
      <c r="B99" s="255" t="s">
        <v>182</v>
      </c>
      <c r="C99" s="198" t="s">
        <v>162</v>
      </c>
      <c r="D99" s="429">
        <v>3500</v>
      </c>
      <c r="E99" s="255" t="s">
        <v>183</v>
      </c>
      <c r="F99" s="255" t="s">
        <v>151</v>
      </c>
      <c r="G99" s="198" t="s">
        <v>184</v>
      </c>
      <c r="H99" s="255" t="s">
        <v>157</v>
      </c>
      <c r="I99" s="273" t="s">
        <v>145</v>
      </c>
      <c r="J99" s="269">
        <v>46009.720833333296</v>
      </c>
      <c r="K99" s="274" t="s">
        <v>185</v>
      </c>
      <c r="L99" s="599">
        <v>46112.958344907405</v>
      </c>
      <c r="M99" s="235">
        <f t="shared" si="12"/>
        <v>10</v>
      </c>
      <c r="N99" s="196" t="s">
        <v>139</v>
      </c>
      <c r="O99" s="237">
        <f>'[15]B1&amp; B2 UNSCHEDULED'!$O$24</f>
        <v>0</v>
      </c>
      <c r="P99" s="196"/>
      <c r="Q99" s="236" t="s">
        <v>158</v>
      </c>
      <c r="R99" s="247">
        <f t="shared" si="13"/>
        <v>104.23751157410879</v>
      </c>
      <c r="S99" s="279">
        <v>46020</v>
      </c>
      <c r="T99" s="278">
        <v>31</v>
      </c>
      <c r="U99" s="455">
        <v>0</v>
      </c>
      <c r="V99" s="603" t="s">
        <v>1733</v>
      </c>
      <c r="W99" s="254"/>
    </row>
    <row r="100" spans="1:197" s="166" customFormat="1" ht="181.5" customHeight="1">
      <c r="A100" s="196">
        <v>3</v>
      </c>
      <c r="B100" s="259" t="s">
        <v>188</v>
      </c>
      <c r="C100" s="260" t="s">
        <v>162</v>
      </c>
      <c r="D100" s="432">
        <v>10825</v>
      </c>
      <c r="E100" s="259" t="s">
        <v>189</v>
      </c>
      <c r="F100" s="259" t="s">
        <v>190</v>
      </c>
      <c r="G100" s="260" t="s">
        <v>191</v>
      </c>
      <c r="H100" s="255" t="s">
        <v>157</v>
      </c>
      <c r="I100" s="273" t="s">
        <v>192</v>
      </c>
      <c r="J100" s="272" t="s">
        <v>193</v>
      </c>
      <c r="K100" s="274" t="s">
        <v>194</v>
      </c>
      <c r="L100" s="599">
        <v>46112.958344907405</v>
      </c>
      <c r="M100" s="235">
        <f t="shared" si="12"/>
        <v>30</v>
      </c>
      <c r="N100" s="196" t="s">
        <v>139</v>
      </c>
      <c r="O100" s="237">
        <f>'[15]B1&amp; B2 UNSCHEDULED'!$O$24</f>
        <v>0</v>
      </c>
      <c r="P100" s="196"/>
      <c r="Q100" s="354" t="s">
        <v>139</v>
      </c>
      <c r="R100" s="247">
        <f t="shared" si="13"/>
        <v>95.37778935184906</v>
      </c>
      <c r="S100" s="279">
        <v>46028</v>
      </c>
      <c r="T100" s="278">
        <v>31</v>
      </c>
      <c r="U100" s="455">
        <f t="shared" ref="U99:U102" si="14">IF(Q100="N",0,M100*T100)</f>
        <v>0</v>
      </c>
      <c r="V100" s="596" t="s">
        <v>1731</v>
      </c>
      <c r="W100" s="280" t="s">
        <v>1753</v>
      </c>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c r="AU100" s="168"/>
      <c r="AV100" s="168"/>
      <c r="AW100" s="168"/>
      <c r="AX100" s="168"/>
      <c r="AY100" s="168"/>
      <c r="AZ100" s="168"/>
      <c r="BA100" s="168"/>
      <c r="BB100" s="168"/>
      <c r="BC100" s="168"/>
      <c r="BD100" s="168"/>
      <c r="BE100" s="168"/>
      <c r="BF100" s="168"/>
      <c r="BG100" s="168"/>
      <c r="BH100" s="168"/>
      <c r="BI100" s="168"/>
      <c r="BJ100" s="168"/>
      <c r="BK100" s="168"/>
      <c r="BL100" s="168"/>
      <c r="BM100" s="168"/>
      <c r="BN100" s="168"/>
      <c r="BO100" s="168"/>
      <c r="BP100" s="168"/>
      <c r="BQ100" s="168"/>
      <c r="BR100" s="168"/>
      <c r="BS100" s="168"/>
      <c r="BT100" s="168"/>
      <c r="BU100" s="168"/>
      <c r="BV100" s="168"/>
      <c r="BW100" s="168"/>
      <c r="BX100" s="168"/>
      <c r="BY100" s="168"/>
      <c r="BZ100" s="168"/>
      <c r="CA100" s="168"/>
      <c r="CB100" s="168"/>
      <c r="CC100" s="168"/>
      <c r="CD100" s="168"/>
      <c r="CE100" s="168"/>
      <c r="CF100" s="168"/>
      <c r="CG100" s="168"/>
      <c r="CH100" s="168"/>
      <c r="CI100" s="168"/>
      <c r="CJ100" s="168"/>
      <c r="CK100" s="168"/>
      <c r="CL100" s="168"/>
      <c r="CM100" s="168"/>
      <c r="CN100" s="168"/>
      <c r="CO100" s="168"/>
      <c r="CP100" s="168"/>
      <c r="CQ100" s="168"/>
      <c r="CR100" s="168"/>
      <c r="CS100" s="168"/>
      <c r="CT100" s="168"/>
      <c r="CU100" s="168"/>
      <c r="CV100" s="168"/>
      <c r="CW100" s="168"/>
      <c r="CX100" s="168"/>
      <c r="CY100" s="168"/>
      <c r="CZ100" s="168"/>
      <c r="DA100" s="168"/>
      <c r="DB100" s="168"/>
      <c r="DC100" s="168"/>
      <c r="DD100" s="168"/>
      <c r="DE100" s="168"/>
      <c r="DF100" s="168"/>
      <c r="DG100" s="168"/>
      <c r="DH100" s="168"/>
      <c r="DI100" s="168"/>
      <c r="DJ100" s="168"/>
      <c r="DK100" s="168"/>
      <c r="DL100" s="168"/>
      <c r="DM100" s="168"/>
      <c r="DN100" s="168"/>
      <c r="DO100" s="168"/>
      <c r="DP100" s="168"/>
      <c r="DQ100" s="168"/>
      <c r="DR100" s="168"/>
      <c r="DS100" s="168"/>
      <c r="DT100" s="168"/>
      <c r="DU100" s="168"/>
      <c r="DV100" s="168"/>
      <c r="DW100" s="168"/>
      <c r="DX100" s="168"/>
      <c r="DY100" s="168"/>
      <c r="DZ100" s="168"/>
      <c r="EA100" s="168"/>
      <c r="EB100" s="168"/>
      <c r="EC100" s="168"/>
      <c r="ED100" s="168"/>
      <c r="EE100" s="168"/>
      <c r="EF100" s="168"/>
      <c r="EG100" s="168"/>
      <c r="EH100" s="168"/>
      <c r="EI100" s="168"/>
      <c r="EJ100" s="168"/>
      <c r="EK100" s="168"/>
      <c r="EL100" s="168"/>
      <c r="EM100" s="168"/>
      <c r="EN100" s="168"/>
      <c r="EO100" s="168"/>
      <c r="EP100" s="168"/>
      <c r="EQ100" s="168"/>
      <c r="ER100" s="168"/>
      <c r="ES100" s="168"/>
      <c r="ET100" s="168"/>
      <c r="EU100" s="168"/>
      <c r="EV100" s="168"/>
      <c r="EW100" s="168"/>
      <c r="EX100" s="168"/>
      <c r="EY100" s="168"/>
      <c r="EZ100" s="168"/>
      <c r="FA100" s="168"/>
      <c r="FB100" s="168"/>
      <c r="FC100" s="168"/>
      <c r="FD100" s="168"/>
      <c r="FE100" s="168"/>
      <c r="FF100" s="168"/>
      <c r="FG100" s="168"/>
      <c r="FH100" s="168"/>
      <c r="FI100" s="168"/>
      <c r="FJ100" s="168"/>
      <c r="FK100" s="168"/>
      <c r="FL100" s="168"/>
      <c r="FM100" s="168"/>
      <c r="FN100" s="168"/>
      <c r="FO100" s="168"/>
      <c r="FP100" s="168"/>
      <c r="FQ100" s="168"/>
      <c r="FR100" s="168"/>
      <c r="FS100" s="168"/>
      <c r="FT100" s="168"/>
      <c r="FU100" s="168"/>
      <c r="FV100" s="168"/>
      <c r="FW100" s="168"/>
      <c r="FX100" s="168"/>
      <c r="FY100" s="168"/>
      <c r="FZ100" s="168"/>
      <c r="GA100" s="168"/>
      <c r="GB100" s="168"/>
      <c r="GC100" s="168"/>
      <c r="GD100" s="168"/>
      <c r="GE100" s="168"/>
      <c r="GF100" s="168"/>
      <c r="GG100" s="168"/>
      <c r="GH100" s="168"/>
      <c r="GI100" s="168"/>
      <c r="GJ100" s="168"/>
      <c r="GK100" s="168"/>
      <c r="GL100" s="168"/>
      <c r="GM100" s="168"/>
      <c r="GN100" s="168"/>
      <c r="GO100" s="168"/>
    </row>
    <row r="101" spans="1:197" s="166" customFormat="1" ht="273.75" customHeight="1">
      <c r="A101" s="196">
        <v>4</v>
      </c>
      <c r="B101" s="197" t="s">
        <v>437</v>
      </c>
      <c r="C101" s="198" t="str">
        <f>VLOOKUP(B101,[14]AssetDetails_UEM!$A$3:$AH$1849,6,FALSE)</f>
        <v>Ventilators, Intensive Care</v>
      </c>
      <c r="D101" s="429">
        <f>VLOOKUP(B101,[14]AssetDetails_UEM!$A$3:$AK$1849,22,FALSE)</f>
        <v>151560</v>
      </c>
      <c r="E101" s="197" t="s">
        <v>457</v>
      </c>
      <c r="F101" s="197" t="s">
        <v>445</v>
      </c>
      <c r="G101" s="207" t="s">
        <v>467</v>
      </c>
      <c r="H101" s="208" t="s">
        <v>138</v>
      </c>
      <c r="I101" s="222" t="s">
        <v>142</v>
      </c>
      <c r="J101" s="223" t="s">
        <v>440</v>
      </c>
      <c r="K101" s="433">
        <v>46062.381944444445</v>
      </c>
      <c r="L101" s="599">
        <v>46112.958344907405</v>
      </c>
      <c r="M101" s="235">
        <f>IF(D101&gt;44999.99,100,ROUNDUP((D101/4999.99)*10,-1))</f>
        <v>100</v>
      </c>
      <c r="N101" s="236" t="s">
        <v>139</v>
      </c>
      <c r="O101" s="237">
        <f>'[15]B1&amp; B2 UNSCHEDULED'!$O$24</f>
        <v>0</v>
      </c>
      <c r="P101" s="196"/>
      <c r="Q101" s="236" t="s">
        <v>158</v>
      </c>
      <c r="R101" s="247">
        <f>IF(L101="",AKHIR-J101,L101-J101+1)</f>
        <v>51.583344907405262</v>
      </c>
      <c r="S101" s="248">
        <f>WORKDAY(J101,6,AKHIR)</f>
        <v>46070</v>
      </c>
      <c r="T101" s="196">
        <v>0</v>
      </c>
      <c r="U101" s="455">
        <f t="shared" si="14"/>
        <v>0</v>
      </c>
      <c r="V101" s="439" t="s">
        <v>515</v>
      </c>
      <c r="W101" s="254" t="s">
        <v>1756</v>
      </c>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c r="BJ101" s="168"/>
      <c r="BK101" s="168"/>
      <c r="BL101" s="168"/>
      <c r="BM101" s="168"/>
      <c r="BN101" s="168"/>
      <c r="BO101" s="168"/>
      <c r="BP101" s="168"/>
      <c r="BQ101" s="168"/>
      <c r="BR101" s="168"/>
      <c r="BS101" s="168"/>
      <c r="BT101" s="168"/>
      <c r="BU101" s="168"/>
      <c r="BV101" s="168"/>
      <c r="BW101" s="168"/>
      <c r="BX101" s="168"/>
      <c r="BY101" s="168"/>
      <c r="BZ101" s="168"/>
      <c r="CA101" s="168"/>
      <c r="CB101" s="168"/>
      <c r="CC101" s="168"/>
      <c r="CD101" s="168"/>
      <c r="CE101" s="168"/>
      <c r="CF101" s="168"/>
      <c r="CG101" s="168"/>
      <c r="CH101" s="168"/>
      <c r="CI101" s="168"/>
      <c r="CJ101" s="168"/>
      <c r="CK101" s="168"/>
      <c r="CL101" s="168"/>
      <c r="CM101" s="168"/>
      <c r="CN101" s="168"/>
      <c r="CO101" s="168"/>
      <c r="CP101" s="168"/>
      <c r="CQ101" s="168"/>
      <c r="CR101" s="168"/>
      <c r="CS101" s="168"/>
      <c r="CT101" s="168"/>
      <c r="CU101" s="168"/>
      <c r="CV101" s="168"/>
      <c r="CW101" s="168"/>
      <c r="CX101" s="168"/>
      <c r="CY101" s="168"/>
      <c r="CZ101" s="168"/>
      <c r="DA101" s="168"/>
      <c r="DB101" s="168"/>
      <c r="DC101" s="168"/>
      <c r="DD101" s="168"/>
      <c r="DE101" s="168"/>
      <c r="DF101" s="168"/>
      <c r="DG101" s="168"/>
      <c r="DH101" s="168"/>
      <c r="DI101" s="168"/>
      <c r="DJ101" s="168"/>
      <c r="DK101" s="168"/>
      <c r="DL101" s="168"/>
      <c r="DM101" s="168"/>
      <c r="DN101" s="168"/>
      <c r="DO101" s="168"/>
      <c r="DP101" s="168"/>
      <c r="DQ101" s="168"/>
      <c r="DR101" s="168"/>
      <c r="DS101" s="168"/>
      <c r="DT101" s="168"/>
      <c r="DU101" s="168"/>
      <c r="DV101" s="168"/>
      <c r="DW101" s="168"/>
      <c r="DX101" s="168"/>
      <c r="DY101" s="168"/>
      <c r="DZ101" s="168"/>
      <c r="EA101" s="168"/>
      <c r="EB101" s="168"/>
      <c r="EC101" s="168"/>
      <c r="ED101" s="168"/>
      <c r="EE101" s="168"/>
      <c r="EF101" s="168"/>
      <c r="EG101" s="168"/>
      <c r="EH101" s="168"/>
      <c r="EI101" s="168"/>
      <c r="EJ101" s="168"/>
      <c r="EK101" s="168"/>
      <c r="EL101" s="168"/>
      <c r="EM101" s="168"/>
      <c r="EN101" s="168"/>
      <c r="EO101" s="168"/>
      <c r="EP101" s="168"/>
      <c r="EQ101" s="168"/>
      <c r="ER101" s="168"/>
      <c r="ES101" s="168"/>
      <c r="ET101" s="168"/>
      <c r="EU101" s="168"/>
      <c r="EV101" s="168"/>
      <c r="EW101" s="168"/>
      <c r="EX101" s="168"/>
      <c r="EY101" s="168"/>
      <c r="EZ101" s="168"/>
      <c r="FA101" s="168"/>
      <c r="FB101" s="168"/>
      <c r="FC101" s="168"/>
      <c r="FD101" s="168"/>
      <c r="FE101" s="168"/>
      <c r="FF101" s="168"/>
      <c r="FG101" s="168"/>
      <c r="FH101" s="168"/>
      <c r="FI101" s="168"/>
      <c r="FJ101" s="168"/>
      <c r="FK101" s="168"/>
      <c r="FL101" s="168"/>
      <c r="FM101" s="168"/>
      <c r="FN101" s="168"/>
      <c r="FO101" s="168"/>
      <c r="FP101" s="168"/>
      <c r="FQ101" s="168"/>
      <c r="FR101" s="168"/>
      <c r="FS101" s="168"/>
      <c r="FT101" s="168"/>
      <c r="FU101" s="168"/>
      <c r="FV101" s="168"/>
      <c r="FW101" s="168"/>
      <c r="FX101" s="168"/>
      <c r="FY101" s="168"/>
      <c r="FZ101" s="168"/>
      <c r="GA101" s="168"/>
      <c r="GB101" s="168"/>
      <c r="GC101" s="168"/>
      <c r="GD101" s="168"/>
      <c r="GE101" s="168"/>
      <c r="GF101" s="168"/>
      <c r="GG101" s="168"/>
      <c r="GH101" s="168"/>
      <c r="GI101" s="168"/>
      <c r="GJ101" s="168"/>
      <c r="GK101" s="168"/>
      <c r="GL101" s="168"/>
      <c r="GM101" s="168"/>
      <c r="GN101" s="168"/>
      <c r="GO101" s="168"/>
    </row>
    <row r="102" spans="1:197" s="166" customFormat="1" ht="285" customHeight="1">
      <c r="A102" s="196">
        <v>5</v>
      </c>
      <c r="B102" s="197" t="s">
        <v>438</v>
      </c>
      <c r="C102" s="198" t="str">
        <f>VLOOKUP(B102,[14]AssetDetails_UEM!$A$3:$AH$1849,6,FALSE)</f>
        <v>Ventilators, Intensive Care</v>
      </c>
      <c r="D102" s="429">
        <f>VLOOKUP(B102,[14]AssetDetails_UEM!$A$3:$AK$1849,22,FALSE)</f>
        <v>151560</v>
      </c>
      <c r="E102" s="197" t="s">
        <v>458</v>
      </c>
      <c r="F102" s="197" t="s">
        <v>446</v>
      </c>
      <c r="G102" s="207" t="s">
        <v>466</v>
      </c>
      <c r="H102" s="208" t="s">
        <v>138</v>
      </c>
      <c r="I102" s="222" t="s">
        <v>142</v>
      </c>
      <c r="J102" s="223" t="s">
        <v>441</v>
      </c>
      <c r="K102" s="433">
        <v>46073.423611111109</v>
      </c>
      <c r="L102" s="599">
        <v>46112.958344907405</v>
      </c>
      <c r="M102" s="235">
        <f>IF(D102&gt;44999.99,100,ROUNDUP((D102/4999.99)*10,-1))</f>
        <v>100</v>
      </c>
      <c r="N102" s="236" t="s">
        <v>139</v>
      </c>
      <c r="O102" s="237">
        <f>'[15]B1&amp; B2 UNSCHEDULED'!$O$24</f>
        <v>0</v>
      </c>
      <c r="P102" s="196"/>
      <c r="Q102" s="236" t="s">
        <v>158</v>
      </c>
      <c r="R102" s="247">
        <f>IF(L102="",AKHIR-J102,L102-J102+1)</f>
        <v>40.541678240741021</v>
      </c>
      <c r="S102" s="248">
        <f>WORKDAY(J102,6,AKHIR)</f>
        <v>46083</v>
      </c>
      <c r="T102" s="196">
        <v>0</v>
      </c>
      <c r="U102" s="455">
        <f t="shared" si="14"/>
        <v>0</v>
      </c>
      <c r="V102" s="439" t="s">
        <v>516</v>
      </c>
      <c r="W102" s="254" t="s">
        <v>1756</v>
      </c>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c r="AU102" s="168"/>
      <c r="AV102" s="168"/>
      <c r="AW102" s="168"/>
      <c r="AX102" s="168"/>
      <c r="AY102" s="168"/>
      <c r="AZ102" s="168"/>
      <c r="BA102" s="168"/>
      <c r="BB102" s="168"/>
      <c r="BC102" s="168"/>
      <c r="BD102" s="168"/>
      <c r="BE102" s="168"/>
      <c r="BF102" s="168"/>
      <c r="BG102" s="168"/>
      <c r="BH102" s="168"/>
      <c r="BI102" s="168"/>
      <c r="BJ102" s="168"/>
      <c r="BK102" s="168"/>
      <c r="BL102" s="168"/>
      <c r="BM102" s="168"/>
      <c r="BN102" s="168"/>
      <c r="BO102" s="168"/>
      <c r="BP102" s="168"/>
      <c r="BQ102" s="168"/>
      <c r="BR102" s="168"/>
      <c r="BS102" s="168"/>
      <c r="BT102" s="168"/>
      <c r="BU102" s="168"/>
      <c r="BV102" s="168"/>
      <c r="BW102" s="168"/>
      <c r="BX102" s="168"/>
      <c r="BY102" s="168"/>
      <c r="BZ102" s="168"/>
      <c r="CA102" s="168"/>
      <c r="CB102" s="168"/>
      <c r="CC102" s="168"/>
      <c r="CD102" s="168"/>
      <c r="CE102" s="168"/>
      <c r="CF102" s="168"/>
      <c r="CG102" s="168"/>
      <c r="CH102" s="168"/>
      <c r="CI102" s="168"/>
      <c r="CJ102" s="168"/>
      <c r="CK102" s="168"/>
      <c r="CL102" s="168"/>
      <c r="CM102" s="168"/>
      <c r="CN102" s="168"/>
      <c r="CO102" s="168"/>
      <c r="CP102" s="168"/>
      <c r="CQ102" s="168"/>
      <c r="CR102" s="168"/>
      <c r="CS102" s="168"/>
      <c r="CT102" s="168"/>
      <c r="CU102" s="168"/>
      <c r="CV102" s="168"/>
      <c r="CW102" s="168"/>
      <c r="CX102" s="168"/>
      <c r="CY102" s="168"/>
      <c r="CZ102" s="168"/>
      <c r="DA102" s="168"/>
      <c r="DB102" s="168"/>
      <c r="DC102" s="168"/>
      <c r="DD102" s="168"/>
      <c r="DE102" s="168"/>
      <c r="DF102" s="168"/>
      <c r="DG102" s="168"/>
      <c r="DH102" s="168"/>
      <c r="DI102" s="168"/>
      <c r="DJ102" s="168"/>
      <c r="DK102" s="168"/>
      <c r="DL102" s="168"/>
      <c r="DM102" s="168"/>
      <c r="DN102" s="168"/>
      <c r="DO102" s="168"/>
      <c r="DP102" s="168"/>
      <c r="DQ102" s="168"/>
      <c r="DR102" s="168"/>
      <c r="DS102" s="168"/>
      <c r="DT102" s="168"/>
      <c r="DU102" s="168"/>
      <c r="DV102" s="168"/>
      <c r="DW102" s="168"/>
      <c r="DX102" s="168"/>
      <c r="DY102" s="168"/>
      <c r="DZ102" s="168"/>
      <c r="EA102" s="168"/>
      <c r="EB102" s="168"/>
      <c r="EC102" s="168"/>
      <c r="ED102" s="168"/>
      <c r="EE102" s="168"/>
      <c r="EF102" s="168"/>
      <c r="EG102" s="168"/>
      <c r="EH102" s="168"/>
      <c r="EI102" s="168"/>
      <c r="EJ102" s="168"/>
      <c r="EK102" s="168"/>
      <c r="EL102" s="168"/>
      <c r="EM102" s="168"/>
      <c r="EN102" s="168"/>
      <c r="EO102" s="168"/>
      <c r="EP102" s="168"/>
      <c r="EQ102" s="168"/>
      <c r="ER102" s="168"/>
      <c r="ES102" s="168"/>
      <c r="ET102" s="168"/>
      <c r="EU102" s="168"/>
      <c r="EV102" s="168"/>
      <c r="EW102" s="168"/>
      <c r="EX102" s="168"/>
      <c r="EY102" s="168"/>
      <c r="EZ102" s="168"/>
      <c r="FA102" s="168"/>
      <c r="FB102" s="168"/>
      <c r="FC102" s="168"/>
      <c r="FD102" s="168"/>
      <c r="FE102" s="168"/>
      <c r="FF102" s="168"/>
      <c r="FG102" s="168"/>
      <c r="FH102" s="168"/>
      <c r="FI102" s="168"/>
      <c r="FJ102" s="168"/>
      <c r="FK102" s="168"/>
      <c r="FL102" s="168"/>
      <c r="FM102" s="168"/>
      <c r="FN102" s="168"/>
      <c r="FO102" s="168"/>
      <c r="FP102" s="168"/>
      <c r="FQ102" s="168"/>
      <c r="FR102" s="168"/>
      <c r="FS102" s="168"/>
      <c r="FT102" s="168"/>
      <c r="FU102" s="168"/>
      <c r="FV102" s="168"/>
      <c r="FW102" s="168"/>
      <c r="FX102" s="168"/>
      <c r="FY102" s="168"/>
      <c r="FZ102" s="168"/>
      <c r="GA102" s="168"/>
      <c r="GB102" s="168"/>
      <c r="GC102" s="168"/>
      <c r="GD102" s="168"/>
      <c r="GE102" s="168"/>
      <c r="GF102" s="168"/>
      <c r="GG102" s="168"/>
      <c r="GH102" s="168"/>
      <c r="GI102" s="168"/>
      <c r="GJ102" s="168"/>
      <c r="GK102" s="168"/>
      <c r="GL102" s="168"/>
      <c r="GM102" s="168"/>
      <c r="GN102" s="168"/>
      <c r="GO102" s="168"/>
    </row>
    <row r="103" spans="1:197" s="168" customFormat="1" ht="240" customHeight="1">
      <c r="A103" s="264"/>
      <c r="B103" s="265"/>
      <c r="C103" s="265"/>
      <c r="D103" s="266"/>
      <c r="E103" s="265"/>
      <c r="F103" s="732"/>
      <c r="G103" s="732"/>
      <c r="H103" s="732"/>
      <c r="I103" s="275"/>
      <c r="J103" s="276"/>
      <c r="K103" s="277"/>
      <c r="L103" s="733"/>
      <c r="M103" s="733"/>
      <c r="N103" s="733"/>
      <c r="O103" s="457" t="s">
        <v>198</v>
      </c>
      <c r="P103" s="734" t="s">
        <v>199</v>
      </c>
      <c r="Q103" s="734"/>
      <c r="R103" s="734"/>
      <c r="S103" s="735"/>
      <c r="T103" s="734"/>
      <c r="U103" s="441">
        <f>SUM(U24:U102)</f>
        <v>500</v>
      </c>
      <c r="V103" s="442"/>
      <c r="W103" s="280"/>
    </row>
    <row r="104" spans="1:197" s="168" customFormat="1" ht="234" customHeight="1">
      <c r="A104" s="169"/>
      <c r="B104" s="170"/>
      <c r="C104" s="171"/>
      <c r="D104" s="172"/>
      <c r="E104" s="170"/>
      <c r="F104" s="170"/>
      <c r="G104" s="171"/>
      <c r="H104" s="169"/>
      <c r="I104" s="173"/>
      <c r="J104" s="174"/>
      <c r="K104" s="277"/>
      <c r="L104" s="176"/>
      <c r="M104" s="177"/>
      <c r="N104" s="169"/>
      <c r="O104" s="169"/>
      <c r="P104" s="170"/>
      <c r="Q104" s="169"/>
      <c r="R104" s="169"/>
      <c r="S104" s="178"/>
      <c r="T104" s="179"/>
      <c r="U104" s="169"/>
      <c r="V104" s="180">
        <f>38-17</f>
        <v>21</v>
      </c>
      <c r="W104" s="254"/>
      <c r="X104" s="166"/>
      <c r="Y104" s="166"/>
      <c r="Z104" s="166"/>
      <c r="AA104" s="166"/>
      <c r="AB104" s="166"/>
      <c r="AC104" s="166"/>
      <c r="AD104" s="166"/>
      <c r="AE104" s="166"/>
      <c r="AF104" s="166"/>
      <c r="AG104" s="166"/>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c r="BP104" s="166"/>
      <c r="BQ104" s="166"/>
      <c r="BR104" s="166"/>
      <c r="BS104" s="166"/>
      <c r="BT104" s="166"/>
      <c r="BU104" s="166"/>
      <c r="BV104" s="166"/>
      <c r="BW104" s="166"/>
      <c r="BX104" s="166"/>
      <c r="BY104" s="166"/>
      <c r="BZ104" s="166"/>
      <c r="CA104" s="166"/>
      <c r="CB104" s="166"/>
      <c r="CC104" s="166"/>
      <c r="CD104" s="166"/>
      <c r="CE104" s="166"/>
      <c r="CF104" s="166"/>
      <c r="CG104" s="166"/>
      <c r="CH104" s="166"/>
      <c r="CI104" s="166"/>
      <c r="CJ104" s="166"/>
      <c r="CK104" s="166"/>
      <c r="CL104" s="166"/>
      <c r="CM104" s="166"/>
      <c r="CN104" s="166"/>
      <c r="CO104" s="166"/>
      <c r="CP104" s="166"/>
      <c r="CQ104" s="166"/>
      <c r="CR104" s="166"/>
      <c r="CS104" s="166"/>
      <c r="CT104" s="166"/>
      <c r="CU104" s="166"/>
      <c r="CV104" s="166"/>
      <c r="CW104" s="166"/>
      <c r="CX104" s="166"/>
      <c r="CY104" s="166"/>
      <c r="CZ104" s="166"/>
      <c r="DA104" s="166"/>
      <c r="DB104" s="166"/>
      <c r="DC104" s="166"/>
      <c r="DD104" s="166"/>
      <c r="DE104" s="166"/>
      <c r="DF104" s="166"/>
      <c r="DG104" s="166"/>
      <c r="DH104" s="166"/>
      <c r="DI104" s="166"/>
      <c r="DJ104" s="166"/>
      <c r="DK104" s="166"/>
      <c r="DL104" s="166"/>
      <c r="DM104" s="166"/>
      <c r="DN104" s="166"/>
      <c r="DO104" s="166"/>
      <c r="DP104" s="166"/>
      <c r="DQ104" s="166"/>
      <c r="DR104" s="166"/>
      <c r="DS104" s="166"/>
      <c r="DT104" s="166"/>
      <c r="DU104" s="166"/>
      <c r="DV104" s="166"/>
      <c r="DW104" s="166"/>
      <c r="DX104" s="166"/>
      <c r="DY104" s="166"/>
      <c r="DZ104" s="166"/>
      <c r="EA104" s="166"/>
      <c r="EB104" s="166"/>
      <c r="EC104" s="166"/>
      <c r="ED104" s="166"/>
      <c r="EE104" s="166"/>
      <c r="EF104" s="166"/>
      <c r="EG104" s="166"/>
      <c r="EH104" s="166"/>
      <c r="EI104" s="166"/>
      <c r="EJ104" s="166"/>
      <c r="EK104" s="166"/>
      <c r="EL104" s="166"/>
      <c r="EM104" s="166"/>
      <c r="EN104" s="166"/>
      <c r="EO104" s="166"/>
      <c r="EP104" s="166"/>
      <c r="EQ104" s="166"/>
      <c r="ER104" s="166"/>
      <c r="ES104" s="166"/>
      <c r="ET104" s="166"/>
      <c r="EU104" s="166"/>
      <c r="EV104" s="166"/>
      <c r="EW104" s="166"/>
      <c r="EX104" s="166"/>
      <c r="EY104" s="166"/>
      <c r="EZ104" s="166"/>
      <c r="FA104" s="166"/>
      <c r="FB104" s="166"/>
      <c r="FC104" s="166"/>
      <c r="FD104" s="166"/>
      <c r="FE104" s="166"/>
      <c r="FF104" s="166"/>
      <c r="FG104" s="166"/>
      <c r="FH104" s="166"/>
      <c r="FI104" s="166"/>
      <c r="FJ104" s="166"/>
      <c r="FK104" s="166"/>
      <c r="FL104" s="166"/>
      <c r="FM104" s="166"/>
      <c r="FN104" s="166"/>
      <c r="FO104" s="166"/>
      <c r="FP104" s="166"/>
      <c r="FQ104" s="166"/>
      <c r="FR104" s="166"/>
      <c r="FS104" s="166"/>
      <c r="FT104" s="166"/>
      <c r="FU104" s="166"/>
      <c r="FV104" s="166"/>
      <c r="FW104" s="166"/>
      <c r="FX104" s="166"/>
      <c r="FY104" s="166"/>
      <c r="FZ104" s="166"/>
      <c r="GA104" s="166"/>
      <c r="GB104" s="166"/>
      <c r="GC104" s="166"/>
      <c r="GD104" s="166"/>
      <c r="GE104" s="166"/>
      <c r="GF104" s="166"/>
      <c r="GG104" s="166"/>
      <c r="GH104" s="166"/>
      <c r="GI104" s="166"/>
      <c r="GJ104" s="166"/>
      <c r="GK104" s="166"/>
      <c r="GL104" s="166"/>
      <c r="GM104" s="166"/>
      <c r="GN104" s="166"/>
      <c r="GO104" s="166"/>
    </row>
    <row r="105" spans="1:197" s="166" customFormat="1" ht="293.5" customHeight="1">
      <c r="A105" s="169"/>
      <c r="B105" s="170"/>
      <c r="C105" s="171"/>
      <c r="D105" s="172"/>
      <c r="E105" s="170"/>
      <c r="F105" s="170"/>
      <c r="G105" s="171"/>
      <c r="H105" s="169"/>
      <c r="I105" s="173"/>
      <c r="J105" s="174"/>
      <c r="K105" s="277"/>
      <c r="L105" s="176"/>
      <c r="M105" s="177"/>
      <c r="N105" s="169"/>
      <c r="O105" s="169"/>
      <c r="P105" s="170"/>
      <c r="Q105" s="169"/>
      <c r="R105" s="169"/>
      <c r="S105" s="178"/>
      <c r="T105" s="179"/>
      <c r="U105" s="169"/>
      <c r="V105" s="180"/>
      <c r="W105" s="254"/>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c r="BP105" s="167"/>
      <c r="BQ105" s="167"/>
      <c r="BR105" s="167"/>
      <c r="BS105" s="167"/>
      <c r="BT105" s="167"/>
      <c r="BU105" s="167"/>
      <c r="BV105" s="167"/>
      <c r="BW105" s="167"/>
      <c r="BX105" s="167"/>
      <c r="BY105" s="167"/>
      <c r="BZ105" s="167"/>
      <c r="CA105" s="167"/>
      <c r="CB105" s="167"/>
      <c r="CC105" s="167"/>
      <c r="CD105" s="167"/>
      <c r="CE105" s="167"/>
      <c r="CF105" s="167"/>
      <c r="CG105" s="167"/>
      <c r="CH105" s="167"/>
      <c r="CI105" s="167"/>
      <c r="CJ105" s="167"/>
      <c r="CK105" s="167"/>
      <c r="CL105" s="167"/>
      <c r="CM105" s="167"/>
      <c r="CN105" s="167"/>
      <c r="CO105" s="167"/>
      <c r="CP105" s="167"/>
      <c r="CQ105" s="167"/>
      <c r="CR105" s="167"/>
      <c r="CS105" s="167"/>
      <c r="CT105" s="167"/>
      <c r="CU105" s="167"/>
      <c r="CV105" s="167"/>
      <c r="CW105" s="167"/>
      <c r="CX105" s="167"/>
      <c r="CY105" s="167"/>
      <c r="CZ105" s="167"/>
      <c r="DA105" s="167"/>
      <c r="DB105" s="167"/>
      <c r="DC105" s="167"/>
      <c r="DD105" s="167"/>
      <c r="DE105" s="167"/>
      <c r="DF105" s="167"/>
      <c r="DG105" s="167"/>
      <c r="DH105" s="167"/>
      <c r="DI105" s="167"/>
      <c r="DJ105" s="167"/>
      <c r="DK105" s="167"/>
      <c r="DL105" s="167"/>
      <c r="DM105" s="167"/>
      <c r="DN105" s="167"/>
      <c r="DO105" s="167"/>
      <c r="DP105" s="167"/>
      <c r="DQ105" s="167"/>
      <c r="DR105" s="167"/>
      <c r="DS105" s="167"/>
      <c r="DT105" s="167"/>
      <c r="DU105" s="167"/>
      <c r="DV105" s="167"/>
      <c r="DW105" s="167"/>
      <c r="DX105" s="167"/>
      <c r="DY105" s="167"/>
      <c r="DZ105" s="167"/>
      <c r="EA105" s="167"/>
      <c r="EB105" s="167"/>
      <c r="EC105" s="167"/>
      <c r="ED105" s="167"/>
      <c r="EE105" s="167"/>
      <c r="EF105" s="167"/>
      <c r="EG105" s="167"/>
      <c r="EH105" s="167"/>
      <c r="EI105" s="167"/>
      <c r="EJ105" s="167"/>
      <c r="EK105" s="167"/>
      <c r="EL105" s="167"/>
      <c r="EM105" s="167"/>
      <c r="EN105" s="167"/>
      <c r="EO105" s="167"/>
      <c r="EP105" s="167"/>
      <c r="EQ105" s="167"/>
      <c r="ER105" s="167"/>
      <c r="ES105" s="167"/>
      <c r="ET105" s="167"/>
      <c r="EU105" s="167"/>
      <c r="EV105" s="167"/>
      <c r="EW105" s="167"/>
      <c r="EX105" s="167"/>
      <c r="EY105" s="167"/>
      <c r="EZ105" s="167"/>
      <c r="FA105" s="167"/>
      <c r="FB105" s="167"/>
      <c r="FC105" s="167"/>
      <c r="FD105" s="167"/>
      <c r="FE105" s="167"/>
      <c r="FF105" s="167"/>
      <c r="FG105" s="167"/>
      <c r="FH105" s="167"/>
      <c r="FI105" s="167"/>
      <c r="FJ105" s="167"/>
      <c r="FK105" s="167"/>
      <c r="FL105" s="167"/>
      <c r="FM105" s="167"/>
      <c r="FN105" s="167"/>
      <c r="FO105" s="167"/>
      <c r="FP105" s="167"/>
      <c r="FQ105" s="167"/>
      <c r="FR105" s="167"/>
      <c r="FS105" s="167"/>
      <c r="FT105" s="167"/>
      <c r="FU105" s="167"/>
      <c r="FV105" s="167"/>
      <c r="FW105" s="167"/>
      <c r="FX105" s="167"/>
      <c r="FY105" s="167"/>
      <c r="FZ105" s="167"/>
      <c r="GA105" s="167"/>
      <c r="GB105" s="167"/>
      <c r="GC105" s="167"/>
      <c r="GD105" s="167"/>
      <c r="GE105" s="167"/>
      <c r="GF105" s="167"/>
      <c r="GG105" s="167"/>
      <c r="GH105" s="167"/>
      <c r="GI105" s="167"/>
      <c r="GJ105" s="167"/>
      <c r="GK105" s="167"/>
      <c r="GL105" s="167"/>
      <c r="GM105" s="167"/>
      <c r="GN105" s="167"/>
      <c r="GO105" s="167"/>
    </row>
    <row r="106" spans="1:197" s="167" customFormat="1" ht="110.25" customHeight="1">
      <c r="A106" s="169"/>
      <c r="B106" s="170"/>
      <c r="C106" s="171"/>
      <c r="D106" s="172"/>
      <c r="E106" s="170"/>
      <c r="F106" s="170"/>
      <c r="G106" s="171"/>
      <c r="H106" s="169"/>
      <c r="I106" s="173"/>
      <c r="J106" s="174"/>
      <c r="K106" s="277"/>
      <c r="L106" s="176"/>
      <c r="M106" s="177"/>
      <c r="N106" s="169"/>
      <c r="O106" s="169"/>
      <c r="P106" s="170"/>
      <c r="Q106" s="169"/>
      <c r="R106" s="169"/>
      <c r="S106" s="178"/>
      <c r="T106" s="179"/>
      <c r="U106" s="169"/>
      <c r="V106" s="180"/>
      <c r="W106" s="280"/>
      <c r="X106" s="168"/>
      <c r="Y106" s="168"/>
      <c r="Z106" s="168"/>
      <c r="AA106" s="168"/>
      <c r="AB106" s="168"/>
      <c r="AC106" s="168"/>
      <c r="AD106" s="168"/>
      <c r="AE106" s="168"/>
      <c r="AF106" s="168"/>
      <c r="AG106" s="168"/>
      <c r="AH106" s="168"/>
      <c r="AI106" s="168"/>
      <c r="AJ106" s="168"/>
      <c r="AK106" s="168"/>
      <c r="AL106" s="168"/>
      <c r="AM106" s="168"/>
      <c r="AN106" s="168"/>
      <c r="AO106" s="168"/>
      <c r="AP106" s="168"/>
      <c r="AQ106" s="168"/>
      <c r="AR106" s="168"/>
      <c r="AS106" s="168"/>
      <c r="AT106" s="168"/>
      <c r="AU106" s="168"/>
      <c r="AV106" s="168"/>
      <c r="AW106" s="168"/>
      <c r="AX106" s="168"/>
      <c r="AY106" s="168"/>
      <c r="AZ106" s="168"/>
      <c r="BA106" s="168"/>
      <c r="BB106" s="168"/>
      <c r="BC106" s="168"/>
      <c r="BD106" s="168"/>
      <c r="BE106" s="168"/>
      <c r="BF106" s="168"/>
      <c r="BG106" s="168"/>
      <c r="BH106" s="168"/>
      <c r="BI106" s="168"/>
      <c r="BJ106" s="168"/>
      <c r="BK106" s="168"/>
      <c r="BL106" s="168"/>
      <c r="BM106" s="168"/>
      <c r="BN106" s="168"/>
      <c r="BO106" s="168"/>
      <c r="BP106" s="168"/>
      <c r="BQ106" s="168"/>
      <c r="BR106" s="168"/>
      <c r="BS106" s="168"/>
      <c r="BT106" s="168"/>
      <c r="BU106" s="168"/>
      <c r="BV106" s="168"/>
      <c r="BW106" s="168"/>
      <c r="BX106" s="168"/>
      <c r="BY106" s="168"/>
      <c r="BZ106" s="168"/>
      <c r="CA106" s="168"/>
      <c r="CB106" s="168"/>
      <c r="CC106" s="168"/>
      <c r="CD106" s="168"/>
      <c r="CE106" s="168"/>
      <c r="CF106" s="168"/>
      <c r="CG106" s="168"/>
      <c r="CH106" s="168"/>
      <c r="CI106" s="168"/>
      <c r="CJ106" s="168"/>
      <c r="CK106" s="168"/>
      <c r="CL106" s="168"/>
      <c r="CM106" s="168"/>
      <c r="CN106" s="168"/>
      <c r="CO106" s="168"/>
      <c r="CP106" s="168"/>
      <c r="CQ106" s="168"/>
      <c r="CR106" s="168"/>
      <c r="CS106" s="168"/>
      <c r="CT106" s="168"/>
      <c r="CU106" s="168"/>
      <c r="CV106" s="168"/>
      <c r="CW106" s="168"/>
      <c r="CX106" s="168"/>
      <c r="CY106" s="168"/>
      <c r="CZ106" s="168"/>
      <c r="DA106" s="168"/>
      <c r="DB106" s="168"/>
      <c r="DC106" s="168"/>
      <c r="DD106" s="168"/>
      <c r="DE106" s="168"/>
      <c r="DF106" s="168"/>
      <c r="DG106" s="168"/>
      <c r="DH106" s="168"/>
      <c r="DI106" s="168"/>
      <c r="DJ106" s="168"/>
      <c r="DK106" s="168"/>
      <c r="DL106" s="168"/>
      <c r="DM106" s="168"/>
      <c r="DN106" s="168"/>
      <c r="DO106" s="168"/>
      <c r="DP106" s="168"/>
      <c r="DQ106" s="168"/>
      <c r="DR106" s="168"/>
      <c r="DS106" s="168"/>
      <c r="DT106" s="168"/>
      <c r="DU106" s="168"/>
      <c r="DV106" s="168"/>
      <c r="DW106" s="168"/>
      <c r="DX106" s="168"/>
      <c r="DY106" s="168"/>
      <c r="DZ106" s="168"/>
      <c r="EA106" s="168"/>
      <c r="EB106" s="168"/>
      <c r="EC106" s="168"/>
      <c r="ED106" s="168"/>
      <c r="EE106" s="168"/>
      <c r="EF106" s="168"/>
      <c r="EG106" s="168"/>
      <c r="EH106" s="168"/>
      <c r="EI106" s="168"/>
      <c r="EJ106" s="168"/>
      <c r="EK106" s="168"/>
      <c r="EL106" s="168"/>
      <c r="EM106" s="168"/>
      <c r="EN106" s="168"/>
      <c r="EO106" s="168"/>
      <c r="EP106" s="168"/>
      <c r="EQ106" s="168"/>
      <c r="ER106" s="168"/>
      <c r="ES106" s="168"/>
      <c r="ET106" s="168"/>
      <c r="EU106" s="168"/>
      <c r="EV106" s="168"/>
      <c r="EW106" s="168"/>
      <c r="EX106" s="168"/>
      <c r="EY106" s="168"/>
      <c r="EZ106" s="168"/>
      <c r="FA106" s="168"/>
      <c r="FB106" s="168"/>
      <c r="FC106" s="168"/>
      <c r="FD106" s="168"/>
      <c r="FE106" s="168"/>
      <c r="FF106" s="168"/>
      <c r="FG106" s="168"/>
      <c r="FH106" s="168"/>
      <c r="FI106" s="168"/>
      <c r="FJ106" s="168"/>
      <c r="FK106" s="168"/>
      <c r="FL106" s="168"/>
      <c r="FM106" s="168"/>
      <c r="FN106" s="168"/>
      <c r="FO106" s="168"/>
      <c r="FP106" s="168"/>
      <c r="FQ106" s="168"/>
      <c r="FR106" s="168"/>
      <c r="FS106" s="168"/>
      <c r="FT106" s="168"/>
      <c r="FU106" s="168"/>
      <c r="FV106" s="168"/>
      <c r="FW106" s="168"/>
      <c r="FX106" s="168"/>
      <c r="FY106" s="168"/>
      <c r="FZ106" s="168"/>
      <c r="GA106" s="168"/>
      <c r="GB106" s="168"/>
      <c r="GC106" s="168"/>
      <c r="GD106" s="168"/>
      <c r="GE106" s="168"/>
      <c r="GF106" s="168"/>
      <c r="GG106" s="168"/>
      <c r="GH106" s="168"/>
      <c r="GI106" s="168"/>
      <c r="GJ106" s="168"/>
      <c r="GK106" s="168"/>
      <c r="GL106" s="168"/>
      <c r="GM106" s="168"/>
      <c r="GN106" s="168"/>
      <c r="GO106" s="168"/>
    </row>
    <row r="107" spans="1:197" s="168" customFormat="1" ht="181.5" customHeight="1">
      <c r="A107" s="169"/>
      <c r="B107" s="170"/>
      <c r="C107" s="171"/>
      <c r="D107" s="172"/>
      <c r="E107" s="170"/>
      <c r="F107" s="170"/>
      <c r="G107" s="171"/>
      <c r="H107" s="169"/>
      <c r="I107" s="173"/>
      <c r="J107" s="174"/>
      <c r="K107" s="277"/>
      <c r="L107" s="176"/>
      <c r="M107" s="177"/>
      <c r="N107" s="169"/>
      <c r="O107" s="169"/>
      <c r="P107" s="170"/>
      <c r="Q107" s="169"/>
      <c r="R107" s="169"/>
      <c r="S107" s="178"/>
      <c r="T107" s="179"/>
      <c r="U107" s="169"/>
      <c r="V107" s="180"/>
      <c r="W107" s="280"/>
    </row>
    <row r="108" spans="1:197" s="168" customFormat="1" ht="239.15" customHeight="1">
      <c r="A108" s="169"/>
      <c r="B108" s="170"/>
      <c r="C108" s="171"/>
      <c r="D108" s="172"/>
      <c r="E108" s="170" t="s">
        <v>200</v>
      </c>
      <c r="F108" s="170"/>
      <c r="G108" s="171"/>
      <c r="H108" s="169"/>
      <c r="I108" s="173"/>
      <c r="J108" s="174"/>
      <c r="K108" s="277"/>
      <c r="L108" s="176"/>
      <c r="M108" s="177"/>
      <c r="N108" s="169"/>
      <c r="O108" s="169"/>
      <c r="P108" s="170"/>
      <c r="Q108" s="169"/>
      <c r="R108" s="169"/>
      <c r="S108" s="178"/>
      <c r="T108" s="179"/>
      <c r="U108" s="169"/>
      <c r="V108" s="180"/>
      <c r="W108" s="280"/>
    </row>
    <row r="109" spans="1:197" s="168" customFormat="1" ht="181.5" customHeight="1">
      <c r="A109" s="169"/>
      <c r="B109" s="170"/>
      <c r="C109" s="171"/>
      <c r="D109" s="172"/>
      <c r="E109" s="170"/>
      <c r="F109" s="170"/>
      <c r="G109" s="171"/>
      <c r="H109" s="169"/>
      <c r="I109" s="173"/>
      <c r="J109" s="174"/>
      <c r="K109" s="281"/>
      <c r="L109" s="176"/>
      <c r="M109" s="177"/>
      <c r="N109" s="169"/>
      <c r="O109" s="169"/>
      <c r="P109" s="170"/>
      <c r="Q109" s="169"/>
      <c r="R109" s="169"/>
      <c r="S109" s="178"/>
      <c r="T109" s="179"/>
      <c r="U109" s="169"/>
      <c r="V109" s="180"/>
      <c r="W109" s="280"/>
      <c r="X109" s="166"/>
      <c r="Y109" s="166"/>
      <c r="Z109" s="166"/>
      <c r="AA109" s="166"/>
      <c r="AB109" s="166"/>
      <c r="AC109" s="166"/>
      <c r="AD109" s="166"/>
      <c r="AE109" s="166"/>
      <c r="AF109" s="166"/>
      <c r="AG109" s="166"/>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c r="BP109" s="166"/>
      <c r="BQ109" s="166"/>
      <c r="BR109" s="166"/>
      <c r="BS109" s="166"/>
      <c r="BT109" s="166"/>
      <c r="BU109" s="166"/>
      <c r="BV109" s="166"/>
      <c r="BW109" s="166"/>
      <c r="BX109" s="166"/>
      <c r="BY109" s="166"/>
      <c r="BZ109" s="166"/>
      <c r="CA109" s="166"/>
      <c r="CB109" s="166"/>
      <c r="CC109" s="166"/>
      <c r="CD109" s="166"/>
      <c r="CE109" s="166"/>
      <c r="CF109" s="166"/>
      <c r="CG109" s="166"/>
      <c r="CH109" s="166"/>
      <c r="CI109" s="166"/>
      <c r="CJ109" s="166"/>
      <c r="CK109" s="166"/>
      <c r="CL109" s="166"/>
      <c r="CM109" s="166"/>
      <c r="CN109" s="166"/>
      <c r="CO109" s="166"/>
      <c r="CP109" s="166"/>
      <c r="CQ109" s="166"/>
      <c r="CR109" s="166"/>
      <c r="CS109" s="166"/>
      <c r="CT109" s="166"/>
      <c r="CU109" s="166"/>
      <c r="CV109" s="166"/>
      <c r="CW109" s="166"/>
      <c r="CX109" s="166"/>
      <c r="CY109" s="166"/>
      <c r="CZ109" s="166"/>
      <c r="DA109" s="166"/>
      <c r="DB109" s="166"/>
      <c r="DC109" s="166"/>
      <c r="DD109" s="166"/>
      <c r="DE109" s="166"/>
      <c r="DF109" s="166"/>
      <c r="DG109" s="166"/>
      <c r="DH109" s="166"/>
      <c r="DI109" s="166"/>
      <c r="DJ109" s="166"/>
      <c r="DK109" s="166"/>
      <c r="DL109" s="166"/>
      <c r="DM109" s="166"/>
      <c r="DN109" s="166"/>
      <c r="DO109" s="166"/>
      <c r="DP109" s="166"/>
      <c r="DQ109" s="166"/>
      <c r="DR109" s="166"/>
      <c r="DS109" s="166"/>
      <c r="DT109" s="166"/>
      <c r="DU109" s="166"/>
      <c r="DV109" s="166"/>
      <c r="DW109" s="166"/>
      <c r="DX109" s="166"/>
      <c r="DY109" s="166"/>
      <c r="DZ109" s="166"/>
      <c r="EA109" s="166"/>
      <c r="EB109" s="166"/>
      <c r="EC109" s="166"/>
      <c r="ED109" s="166"/>
      <c r="EE109" s="166"/>
      <c r="EF109" s="166"/>
      <c r="EG109" s="166"/>
      <c r="EH109" s="166"/>
      <c r="EI109" s="166"/>
      <c r="EJ109" s="166"/>
      <c r="EK109" s="166"/>
      <c r="EL109" s="166"/>
      <c r="EM109" s="166"/>
      <c r="EN109" s="166"/>
      <c r="EO109" s="166"/>
      <c r="EP109" s="166"/>
      <c r="EQ109" s="166"/>
      <c r="ER109" s="166"/>
      <c r="ES109" s="166"/>
      <c r="ET109" s="166"/>
      <c r="EU109" s="166"/>
      <c r="EV109" s="166"/>
      <c r="EW109" s="166"/>
      <c r="EX109" s="166"/>
      <c r="EY109" s="166"/>
      <c r="EZ109" s="166"/>
      <c r="FA109" s="166"/>
      <c r="FB109" s="166"/>
      <c r="FC109" s="166"/>
      <c r="FD109" s="166"/>
      <c r="FE109" s="166"/>
      <c r="FF109" s="166"/>
      <c r="FG109" s="166"/>
      <c r="FH109" s="166"/>
      <c r="FI109" s="166"/>
      <c r="FJ109" s="166"/>
      <c r="FK109" s="166"/>
      <c r="FL109" s="166"/>
      <c r="FM109" s="166"/>
      <c r="FN109" s="166"/>
      <c r="FO109" s="166"/>
      <c r="FP109" s="166"/>
      <c r="FQ109" s="166"/>
      <c r="FR109" s="166"/>
      <c r="FS109" s="166"/>
      <c r="FT109" s="166"/>
      <c r="FU109" s="166"/>
      <c r="FV109" s="166"/>
      <c r="FW109" s="166"/>
      <c r="FX109" s="166"/>
      <c r="FY109" s="166"/>
      <c r="FZ109" s="166"/>
      <c r="GA109" s="166"/>
      <c r="GB109" s="166"/>
      <c r="GC109" s="166"/>
      <c r="GD109" s="166"/>
      <c r="GE109" s="166"/>
      <c r="GF109" s="166"/>
      <c r="GG109" s="166"/>
      <c r="GH109" s="166"/>
      <c r="GI109" s="166"/>
      <c r="GJ109" s="166"/>
      <c r="GK109" s="166"/>
      <c r="GL109" s="166"/>
      <c r="GM109" s="166"/>
      <c r="GN109" s="166"/>
      <c r="GO109" s="166"/>
    </row>
    <row r="110" spans="1:197" s="166" customFormat="1" ht="181.5" customHeight="1">
      <c r="A110" s="169"/>
      <c r="B110" s="170"/>
      <c r="C110" s="171"/>
      <c r="D110" s="172"/>
      <c r="E110" s="170"/>
      <c r="F110" s="170"/>
      <c r="G110" s="171"/>
      <c r="H110" s="169"/>
      <c r="I110" s="173"/>
      <c r="J110" s="174"/>
      <c r="K110" s="282"/>
      <c r="L110" s="176"/>
      <c r="M110" s="177"/>
      <c r="N110" s="169"/>
      <c r="O110" s="169"/>
      <c r="P110" s="170"/>
      <c r="Q110" s="169"/>
      <c r="R110" s="169"/>
      <c r="S110" s="178"/>
      <c r="T110" s="179"/>
      <c r="U110" s="169"/>
      <c r="V110" s="180"/>
      <c r="W110" s="280"/>
    </row>
    <row r="111" spans="1:197" s="166" customFormat="1" ht="214" customHeight="1">
      <c r="A111" s="169"/>
      <c r="B111" s="170"/>
      <c r="C111" s="171"/>
      <c r="D111" s="172"/>
      <c r="E111" s="170"/>
      <c r="F111" s="170"/>
      <c r="G111" s="171"/>
      <c r="H111" s="169"/>
      <c r="I111" s="173"/>
      <c r="J111" s="174"/>
      <c r="K111" s="283"/>
      <c r="L111" s="176"/>
      <c r="M111" s="177"/>
      <c r="N111" s="169"/>
      <c r="O111" s="169"/>
      <c r="P111" s="170"/>
      <c r="Q111" s="169"/>
      <c r="R111" s="169"/>
      <c r="S111" s="178"/>
      <c r="T111" s="179"/>
      <c r="U111" s="169"/>
      <c r="V111" s="180"/>
      <c r="W111" s="280"/>
      <c r="X111" s="164"/>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c r="GG111" s="164"/>
      <c r="GH111" s="164"/>
      <c r="GI111" s="164"/>
      <c r="GJ111" s="164"/>
      <c r="GK111" s="164"/>
      <c r="GL111" s="164"/>
      <c r="GM111" s="164"/>
      <c r="GN111" s="164"/>
      <c r="GO111" s="164"/>
    </row>
    <row r="112" spans="1:197" s="164" customFormat="1" ht="239.15" customHeight="1">
      <c r="A112" s="169"/>
      <c r="B112" s="170"/>
      <c r="C112" s="171"/>
      <c r="D112" s="172"/>
      <c r="E112" s="170"/>
      <c r="F112" s="170"/>
      <c r="G112" s="171"/>
      <c r="H112" s="169"/>
      <c r="I112" s="173"/>
      <c r="J112" s="174"/>
      <c r="K112" s="284"/>
      <c r="L112" s="176"/>
      <c r="M112" s="177"/>
      <c r="N112" s="169"/>
      <c r="O112" s="169"/>
      <c r="P112" s="170"/>
      <c r="Q112" s="169"/>
      <c r="R112" s="169"/>
      <c r="S112" s="178"/>
      <c r="T112" s="179"/>
      <c r="U112" s="169"/>
      <c r="V112" s="180"/>
      <c r="W112" s="280"/>
      <c r="X112" s="166"/>
      <c r="Y112" s="166"/>
      <c r="Z112" s="166"/>
      <c r="AA112" s="166"/>
      <c r="AB112" s="166"/>
      <c r="AC112" s="166"/>
      <c r="AD112" s="166"/>
      <c r="AE112" s="166"/>
      <c r="AF112" s="166"/>
      <c r="AG112" s="166"/>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6"/>
      <c r="BS112" s="166"/>
      <c r="BT112" s="166"/>
      <c r="BU112" s="166"/>
      <c r="BV112" s="166"/>
      <c r="BW112" s="166"/>
      <c r="BX112" s="166"/>
      <c r="BY112" s="166"/>
      <c r="BZ112" s="166"/>
      <c r="CA112" s="166"/>
      <c r="CB112" s="166"/>
      <c r="CC112" s="166"/>
      <c r="CD112" s="166"/>
      <c r="CE112" s="166"/>
      <c r="CF112" s="166"/>
      <c r="CG112" s="166"/>
      <c r="CH112" s="166"/>
      <c r="CI112" s="166"/>
      <c r="CJ112" s="166"/>
      <c r="CK112" s="166"/>
      <c r="CL112" s="166"/>
      <c r="CM112" s="166"/>
      <c r="CN112" s="166"/>
      <c r="CO112" s="166"/>
      <c r="CP112" s="166"/>
      <c r="CQ112" s="166"/>
      <c r="CR112" s="166"/>
      <c r="CS112" s="166"/>
      <c r="CT112" s="166"/>
      <c r="CU112" s="166"/>
      <c r="CV112" s="166"/>
      <c r="CW112" s="166"/>
      <c r="CX112" s="166"/>
      <c r="CY112" s="166"/>
      <c r="CZ112" s="166"/>
      <c r="DA112" s="166"/>
      <c r="DB112" s="166"/>
      <c r="DC112" s="166"/>
      <c r="DD112" s="166"/>
      <c r="DE112" s="166"/>
      <c r="DF112" s="166"/>
      <c r="DG112" s="166"/>
      <c r="DH112" s="166"/>
      <c r="DI112" s="166"/>
      <c r="DJ112" s="166"/>
      <c r="DK112" s="166"/>
      <c r="DL112" s="166"/>
      <c r="DM112" s="166"/>
      <c r="DN112" s="166"/>
      <c r="DO112" s="166"/>
      <c r="DP112" s="166"/>
      <c r="DQ112" s="166"/>
      <c r="DR112" s="166"/>
      <c r="DS112" s="166"/>
      <c r="DT112" s="166"/>
      <c r="DU112" s="166"/>
      <c r="DV112" s="166"/>
      <c r="DW112" s="166"/>
      <c r="DX112" s="166"/>
      <c r="DY112" s="166"/>
      <c r="DZ112" s="166"/>
      <c r="EA112" s="166"/>
      <c r="EB112" s="166"/>
      <c r="EC112" s="166"/>
      <c r="ED112" s="166"/>
      <c r="EE112" s="166"/>
      <c r="EF112" s="166"/>
      <c r="EG112" s="166"/>
      <c r="EH112" s="166"/>
      <c r="EI112" s="166"/>
      <c r="EJ112" s="166"/>
      <c r="EK112" s="166"/>
      <c r="EL112" s="166"/>
      <c r="EM112" s="166"/>
      <c r="EN112" s="166"/>
      <c r="EO112" s="166"/>
      <c r="EP112" s="166"/>
      <c r="EQ112" s="166"/>
      <c r="ER112" s="166"/>
      <c r="ES112" s="166"/>
      <c r="ET112" s="166"/>
      <c r="EU112" s="166"/>
      <c r="EV112" s="166"/>
      <c r="EW112" s="166"/>
      <c r="EX112" s="166"/>
      <c r="EY112" s="166"/>
      <c r="EZ112" s="166"/>
      <c r="FA112" s="166"/>
      <c r="FB112" s="166"/>
      <c r="FC112" s="166"/>
      <c r="FD112" s="166"/>
      <c r="FE112" s="166"/>
      <c r="FF112" s="166"/>
      <c r="FG112" s="166"/>
      <c r="FH112" s="166"/>
      <c r="FI112" s="166"/>
      <c r="FJ112" s="166"/>
      <c r="FK112" s="166"/>
      <c r="FL112" s="166"/>
      <c r="FM112" s="166"/>
      <c r="FN112" s="166"/>
      <c r="FO112" s="166"/>
      <c r="FP112" s="166"/>
      <c r="FQ112" s="166"/>
      <c r="FR112" s="166"/>
      <c r="FS112" s="166"/>
      <c r="FT112" s="166"/>
      <c r="FU112" s="166"/>
      <c r="FV112" s="166"/>
      <c r="FW112" s="166"/>
      <c r="FX112" s="166"/>
      <c r="FY112" s="166"/>
      <c r="FZ112" s="166"/>
      <c r="GA112" s="166"/>
      <c r="GB112" s="166"/>
      <c r="GC112" s="166"/>
      <c r="GD112" s="166"/>
      <c r="GE112" s="166"/>
      <c r="GF112" s="166"/>
      <c r="GG112" s="166"/>
      <c r="GH112" s="166"/>
      <c r="GI112" s="166"/>
      <c r="GJ112" s="166"/>
      <c r="GK112" s="166"/>
      <c r="GL112" s="166"/>
      <c r="GM112" s="166"/>
      <c r="GN112" s="166"/>
      <c r="GO112" s="166"/>
    </row>
    <row r="113" spans="1:197" s="166" customFormat="1" ht="240" customHeight="1">
      <c r="A113" s="169"/>
      <c r="B113" s="170"/>
      <c r="C113" s="171"/>
      <c r="D113" s="172"/>
      <c r="E113" s="170"/>
      <c r="F113" s="170"/>
      <c r="G113" s="171"/>
      <c r="H113" s="169"/>
      <c r="I113" s="173"/>
      <c r="J113" s="174"/>
      <c r="K113" s="284"/>
      <c r="L113" s="176"/>
      <c r="M113" s="177"/>
      <c r="N113" s="169"/>
      <c r="O113" s="169"/>
      <c r="P113" s="170"/>
      <c r="Q113" s="169"/>
      <c r="R113" s="169"/>
      <c r="S113" s="178"/>
      <c r="T113" s="179"/>
      <c r="U113" s="169"/>
      <c r="V113" s="180"/>
      <c r="W113" s="280"/>
      <c r="X113" s="165"/>
      <c r="Y113" s="165"/>
      <c r="Z113" s="165"/>
      <c r="AA113" s="165"/>
      <c r="AB113" s="165"/>
      <c r="AC113" s="165"/>
      <c r="AD113" s="165"/>
      <c r="AE113" s="165"/>
      <c r="AF113" s="165"/>
      <c r="AG113" s="165"/>
      <c r="AH113" s="165"/>
      <c r="AI113" s="165"/>
      <c r="AJ113" s="165"/>
      <c r="AK113" s="165"/>
      <c r="AL113" s="165"/>
      <c r="AM113" s="165"/>
      <c r="AN113" s="165"/>
      <c r="AO113" s="165"/>
      <c r="AP113" s="165"/>
      <c r="AQ113" s="165"/>
      <c r="AR113" s="165"/>
      <c r="AS113" s="165"/>
      <c r="AT113" s="165"/>
      <c r="AU113" s="165"/>
      <c r="AV113" s="165"/>
      <c r="AW113" s="165"/>
      <c r="AX113" s="165"/>
      <c r="AY113" s="165"/>
      <c r="AZ113" s="165"/>
      <c r="BA113" s="165"/>
      <c r="BB113" s="165"/>
      <c r="BC113" s="165"/>
      <c r="BD113" s="165"/>
      <c r="BE113" s="165"/>
      <c r="BF113" s="165"/>
      <c r="BG113" s="165"/>
      <c r="BH113" s="165"/>
      <c r="BI113" s="165"/>
      <c r="BJ113" s="165"/>
      <c r="BK113" s="165"/>
      <c r="BL113" s="165"/>
      <c r="BM113" s="165"/>
      <c r="BN113" s="165"/>
      <c r="BO113" s="165"/>
      <c r="BP113" s="165"/>
      <c r="BQ113" s="165"/>
      <c r="BR113" s="165"/>
      <c r="BS113" s="165"/>
      <c r="BT113" s="165"/>
      <c r="BU113" s="165"/>
      <c r="BV113" s="165"/>
      <c r="BW113" s="165"/>
      <c r="BX113" s="165"/>
      <c r="BY113" s="165"/>
      <c r="BZ113" s="165"/>
      <c r="CA113" s="165"/>
      <c r="CB113" s="165"/>
      <c r="CC113" s="165"/>
      <c r="CD113" s="165"/>
      <c r="CE113" s="165"/>
      <c r="CF113" s="165"/>
      <c r="CG113" s="165"/>
      <c r="CH113" s="165"/>
      <c r="CI113" s="165"/>
      <c r="CJ113" s="165"/>
      <c r="CK113" s="165"/>
      <c r="CL113" s="165"/>
      <c r="CM113" s="165"/>
      <c r="CN113" s="165"/>
      <c r="CO113" s="165"/>
      <c r="CP113" s="165"/>
      <c r="CQ113" s="165"/>
      <c r="CR113" s="165"/>
      <c r="CS113" s="165"/>
      <c r="CT113" s="165"/>
      <c r="CU113" s="165"/>
      <c r="CV113" s="165"/>
      <c r="CW113" s="165"/>
      <c r="CX113" s="165"/>
      <c r="CY113" s="165"/>
      <c r="CZ113" s="165"/>
      <c r="DA113" s="165"/>
      <c r="DB113" s="165"/>
      <c r="DC113" s="165"/>
      <c r="DD113" s="165"/>
      <c r="DE113" s="165"/>
      <c r="DF113" s="165"/>
      <c r="DG113" s="165"/>
      <c r="DH113" s="165"/>
      <c r="DI113" s="165"/>
      <c r="DJ113" s="165"/>
      <c r="DK113" s="165"/>
      <c r="DL113" s="165"/>
      <c r="DM113" s="165"/>
      <c r="DN113" s="165"/>
      <c r="DO113" s="165"/>
      <c r="DP113" s="165"/>
      <c r="DQ113" s="165"/>
      <c r="DR113" s="165"/>
      <c r="DS113" s="165"/>
      <c r="DT113" s="165"/>
      <c r="DU113" s="165"/>
      <c r="DV113" s="165"/>
      <c r="DW113" s="165"/>
      <c r="DX113" s="165"/>
      <c r="DY113" s="165"/>
      <c r="DZ113" s="165"/>
      <c r="EA113" s="165"/>
      <c r="EB113" s="165"/>
      <c r="EC113" s="165"/>
      <c r="ED113" s="165"/>
      <c r="EE113" s="165"/>
      <c r="EF113" s="165"/>
      <c r="EG113" s="165"/>
      <c r="EH113" s="165"/>
      <c r="EI113" s="165"/>
      <c r="EJ113" s="165"/>
      <c r="EK113" s="165"/>
      <c r="EL113" s="165"/>
      <c r="EM113" s="165"/>
      <c r="EN113" s="165"/>
      <c r="EO113" s="165"/>
      <c r="EP113" s="165"/>
      <c r="EQ113" s="165"/>
      <c r="ER113" s="165"/>
      <c r="ES113" s="165"/>
      <c r="ET113" s="165"/>
      <c r="EU113" s="165"/>
      <c r="EV113" s="165"/>
      <c r="EW113" s="165"/>
      <c r="EX113" s="165"/>
      <c r="EY113" s="165"/>
      <c r="EZ113" s="165"/>
      <c r="FA113" s="165"/>
      <c r="FB113" s="165"/>
      <c r="FC113" s="165"/>
      <c r="FD113" s="165"/>
      <c r="FE113" s="165"/>
      <c r="FF113" s="165"/>
      <c r="FG113" s="165"/>
      <c r="FH113" s="165"/>
      <c r="FI113" s="165"/>
      <c r="FJ113" s="165"/>
      <c r="FK113" s="165"/>
      <c r="FL113" s="165"/>
      <c r="FM113" s="165"/>
      <c r="FN113" s="165"/>
      <c r="FO113" s="165"/>
      <c r="FP113" s="165"/>
      <c r="FQ113" s="165"/>
      <c r="FR113" s="165"/>
      <c r="FS113" s="165"/>
      <c r="FT113" s="165"/>
      <c r="FU113" s="165"/>
      <c r="FV113" s="165"/>
      <c r="FW113" s="165"/>
      <c r="FX113" s="165"/>
      <c r="FY113" s="165"/>
      <c r="FZ113" s="165"/>
      <c r="GA113" s="165"/>
      <c r="GB113" s="165"/>
      <c r="GC113" s="165"/>
      <c r="GD113" s="165"/>
      <c r="GE113" s="165"/>
      <c r="GF113" s="165"/>
      <c r="GG113" s="165"/>
      <c r="GH113" s="165"/>
      <c r="GI113" s="165"/>
      <c r="GJ113" s="165"/>
      <c r="GK113" s="165"/>
      <c r="GL113" s="165"/>
      <c r="GM113" s="165"/>
      <c r="GN113" s="165"/>
      <c r="GO113" s="165"/>
    </row>
    <row r="114" spans="1:197" s="165" customFormat="1" ht="264.64999999999998" customHeight="1">
      <c r="A114" s="169"/>
      <c r="B114" s="170"/>
      <c r="C114" s="171"/>
      <c r="D114" s="172"/>
      <c r="E114" s="170"/>
      <c r="F114" s="170"/>
      <c r="G114" s="171"/>
      <c r="H114" s="169"/>
      <c r="I114" s="173"/>
      <c r="J114" s="174"/>
      <c r="K114" s="284"/>
      <c r="L114" s="176"/>
      <c r="M114" s="177"/>
      <c r="N114" s="169"/>
      <c r="O114" s="169"/>
      <c r="P114" s="170"/>
      <c r="Q114" s="169"/>
      <c r="R114" s="169"/>
      <c r="S114" s="178"/>
      <c r="T114" s="179"/>
      <c r="U114" s="169"/>
      <c r="V114" s="180"/>
      <c r="W114" s="254"/>
    </row>
    <row r="115" spans="1:197" s="165" customFormat="1" ht="201.65" customHeight="1">
      <c r="A115" s="169"/>
      <c r="B115" s="170"/>
      <c r="C115" s="171"/>
      <c r="D115" s="172"/>
      <c r="E115" s="170"/>
      <c r="F115" s="170"/>
      <c r="G115" s="171"/>
      <c r="H115" s="169"/>
      <c r="I115" s="173"/>
      <c r="J115" s="174"/>
      <c r="K115" s="282"/>
      <c r="L115" s="176"/>
      <c r="M115" s="177"/>
      <c r="N115" s="169"/>
      <c r="O115" s="169"/>
      <c r="P115" s="170"/>
      <c r="Q115" s="169"/>
      <c r="R115" s="169"/>
      <c r="S115" s="178"/>
      <c r="T115" s="179"/>
      <c r="U115" s="169"/>
      <c r="V115" s="180"/>
      <c r="W115" s="254"/>
      <c r="X115" s="166"/>
      <c r="Y115" s="166"/>
      <c r="Z115" s="166"/>
      <c r="AA115" s="166"/>
      <c r="AB115" s="166"/>
      <c r="AC115" s="166"/>
      <c r="AD115" s="166"/>
      <c r="AE115" s="166"/>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c r="CD115" s="166"/>
      <c r="CE115" s="166"/>
      <c r="CF115" s="166"/>
      <c r="CG115" s="166"/>
      <c r="CH115" s="166"/>
      <c r="CI115" s="166"/>
      <c r="CJ115" s="166"/>
      <c r="CK115" s="166"/>
      <c r="CL115" s="166"/>
      <c r="CM115" s="166"/>
      <c r="CN115" s="166"/>
      <c r="CO115" s="166"/>
      <c r="CP115" s="166"/>
      <c r="CQ115" s="166"/>
      <c r="CR115" s="166"/>
      <c r="CS115" s="166"/>
      <c r="CT115" s="166"/>
      <c r="CU115" s="166"/>
      <c r="CV115" s="166"/>
      <c r="CW115" s="166"/>
      <c r="CX115" s="166"/>
      <c r="CY115" s="166"/>
      <c r="CZ115" s="166"/>
      <c r="DA115" s="166"/>
      <c r="DB115" s="166"/>
      <c r="DC115" s="166"/>
      <c r="DD115" s="166"/>
      <c r="DE115" s="166"/>
      <c r="DF115" s="166"/>
      <c r="DG115" s="166"/>
      <c r="DH115" s="166"/>
      <c r="DI115" s="166"/>
      <c r="DJ115" s="166"/>
      <c r="DK115" s="166"/>
      <c r="DL115" s="166"/>
      <c r="DM115" s="166"/>
      <c r="DN115" s="166"/>
      <c r="DO115" s="166"/>
      <c r="DP115" s="166"/>
      <c r="DQ115" s="166"/>
      <c r="DR115" s="166"/>
      <c r="DS115" s="166"/>
      <c r="DT115" s="166"/>
      <c r="DU115" s="166"/>
      <c r="DV115" s="166"/>
      <c r="DW115" s="166"/>
      <c r="DX115" s="166"/>
      <c r="DY115" s="166"/>
      <c r="DZ115" s="166"/>
      <c r="EA115" s="166"/>
      <c r="EB115" s="166"/>
      <c r="EC115" s="166"/>
      <c r="ED115" s="166"/>
      <c r="EE115" s="166"/>
      <c r="EF115" s="166"/>
      <c r="EG115" s="166"/>
      <c r="EH115" s="166"/>
      <c r="EI115" s="166"/>
      <c r="EJ115" s="166"/>
      <c r="EK115" s="166"/>
      <c r="EL115" s="166"/>
      <c r="EM115" s="166"/>
      <c r="EN115" s="166"/>
      <c r="EO115" s="166"/>
      <c r="EP115" s="166"/>
      <c r="EQ115" s="166"/>
      <c r="ER115" s="166"/>
      <c r="ES115" s="166"/>
      <c r="ET115" s="166"/>
      <c r="EU115" s="166"/>
      <c r="EV115" s="166"/>
      <c r="EW115" s="166"/>
      <c r="EX115" s="166"/>
      <c r="EY115" s="166"/>
      <c r="EZ115" s="166"/>
      <c r="FA115" s="166"/>
      <c r="FB115" s="166"/>
      <c r="FC115" s="166"/>
      <c r="FD115" s="166"/>
      <c r="FE115" s="166"/>
      <c r="FF115" s="166"/>
      <c r="FG115" s="166"/>
      <c r="FH115" s="166"/>
      <c r="FI115" s="166"/>
      <c r="FJ115" s="166"/>
      <c r="FK115" s="166"/>
      <c r="FL115" s="166"/>
      <c r="FM115" s="166"/>
      <c r="FN115" s="166"/>
      <c r="FO115" s="166"/>
      <c r="FP115" s="166"/>
      <c r="FQ115" s="166"/>
      <c r="FR115" s="166"/>
      <c r="FS115" s="166"/>
      <c r="FT115" s="166"/>
      <c r="FU115" s="166"/>
      <c r="FV115" s="166"/>
      <c r="FW115" s="166"/>
      <c r="FX115" s="166"/>
      <c r="FY115" s="166"/>
      <c r="FZ115" s="166"/>
      <c r="GA115" s="166"/>
      <c r="GB115" s="166"/>
      <c r="GC115" s="166"/>
      <c r="GD115" s="166"/>
      <c r="GE115" s="166"/>
      <c r="GF115" s="166"/>
      <c r="GG115" s="166"/>
      <c r="GH115" s="166"/>
      <c r="GI115" s="166"/>
      <c r="GJ115" s="166"/>
      <c r="GK115" s="166"/>
      <c r="GL115" s="166"/>
      <c r="GM115" s="166"/>
      <c r="GN115" s="166"/>
      <c r="GO115" s="166"/>
    </row>
    <row r="116" spans="1:197" s="166" customFormat="1" ht="181.5" customHeight="1">
      <c r="A116" s="169"/>
      <c r="B116" s="170"/>
      <c r="C116" s="171"/>
      <c r="D116" s="172"/>
      <c r="E116" s="170"/>
      <c r="F116" s="170"/>
      <c r="G116" s="171"/>
      <c r="H116" s="169"/>
      <c r="I116" s="173"/>
      <c r="J116" s="174"/>
      <c r="K116" s="282"/>
      <c r="L116" s="176"/>
      <c r="M116" s="177"/>
      <c r="N116" s="169"/>
      <c r="O116" s="169"/>
      <c r="P116" s="170"/>
      <c r="Q116" s="169"/>
      <c r="R116" s="169"/>
      <c r="S116" s="178"/>
      <c r="T116" s="179"/>
      <c r="U116" s="169"/>
      <c r="V116" s="180"/>
      <c r="W116" s="286"/>
      <c r="X116" s="168"/>
      <c r="Y116" s="168"/>
      <c r="Z116" s="168"/>
      <c r="AA116" s="168"/>
      <c r="AB116" s="168"/>
      <c r="AC116" s="168"/>
      <c r="AD116" s="168"/>
      <c r="AE116" s="168"/>
      <c r="AF116" s="168"/>
      <c r="AG116" s="168"/>
      <c r="AH116" s="168"/>
      <c r="AI116" s="168"/>
      <c r="AJ116" s="168"/>
      <c r="AK116" s="168"/>
      <c r="AL116" s="168"/>
      <c r="AM116" s="168"/>
      <c r="AN116" s="168"/>
      <c r="AO116" s="168"/>
      <c r="AP116" s="168"/>
      <c r="AQ116" s="168"/>
      <c r="AR116" s="168"/>
      <c r="AS116" s="168"/>
      <c r="AT116" s="168"/>
      <c r="AU116" s="168"/>
      <c r="AV116" s="168"/>
      <c r="AW116" s="168"/>
      <c r="AX116" s="168"/>
      <c r="AY116" s="168"/>
      <c r="AZ116" s="168"/>
      <c r="BA116" s="168"/>
      <c r="BB116" s="168"/>
      <c r="BC116" s="168"/>
      <c r="BD116" s="168"/>
      <c r="BE116" s="168"/>
      <c r="BF116" s="168"/>
      <c r="BG116" s="168"/>
      <c r="BH116" s="168"/>
      <c r="BI116" s="168"/>
      <c r="BJ116" s="168"/>
      <c r="BK116" s="168"/>
      <c r="BL116" s="168"/>
      <c r="BM116" s="168"/>
      <c r="BN116" s="168"/>
      <c r="BO116" s="168"/>
      <c r="BP116" s="168"/>
      <c r="BQ116" s="168"/>
      <c r="BR116" s="168"/>
      <c r="BS116" s="168"/>
      <c r="BT116" s="168"/>
      <c r="BU116" s="168"/>
      <c r="BV116" s="168"/>
      <c r="BW116" s="168"/>
      <c r="BX116" s="168"/>
      <c r="BY116" s="168"/>
      <c r="BZ116" s="168"/>
      <c r="CA116" s="168"/>
      <c r="CB116" s="168"/>
      <c r="CC116" s="168"/>
      <c r="CD116" s="168"/>
      <c r="CE116" s="168"/>
      <c r="CF116" s="168"/>
      <c r="CG116" s="168"/>
      <c r="CH116" s="168"/>
      <c r="CI116" s="168"/>
      <c r="CJ116" s="168"/>
      <c r="CK116" s="168"/>
      <c r="CL116" s="168"/>
      <c r="CM116" s="168"/>
      <c r="CN116" s="168"/>
      <c r="CO116" s="168"/>
      <c r="CP116" s="168"/>
      <c r="CQ116" s="168"/>
      <c r="CR116" s="168"/>
      <c r="CS116" s="168"/>
      <c r="CT116" s="168"/>
      <c r="CU116" s="168"/>
      <c r="CV116" s="168"/>
      <c r="CW116" s="168"/>
      <c r="CX116" s="168"/>
      <c r="CY116" s="168"/>
      <c r="CZ116" s="168"/>
      <c r="DA116" s="168"/>
      <c r="DB116" s="168"/>
      <c r="DC116" s="168"/>
      <c r="DD116" s="168"/>
      <c r="DE116" s="168"/>
      <c r="DF116" s="168"/>
      <c r="DG116" s="168"/>
      <c r="DH116" s="168"/>
      <c r="DI116" s="168"/>
      <c r="DJ116" s="168"/>
      <c r="DK116" s="168"/>
      <c r="DL116" s="168"/>
      <c r="DM116" s="168"/>
      <c r="DN116" s="168"/>
      <c r="DO116" s="168"/>
      <c r="DP116" s="168"/>
      <c r="DQ116" s="168"/>
      <c r="DR116" s="168"/>
      <c r="DS116" s="168"/>
      <c r="DT116" s="168"/>
      <c r="DU116" s="168"/>
      <c r="DV116" s="168"/>
      <c r="DW116" s="168"/>
      <c r="DX116" s="168"/>
      <c r="DY116" s="168"/>
      <c r="DZ116" s="168"/>
      <c r="EA116" s="168"/>
      <c r="EB116" s="168"/>
      <c r="EC116" s="168"/>
      <c r="ED116" s="168"/>
      <c r="EE116" s="168"/>
      <c r="EF116" s="168"/>
      <c r="EG116" s="168"/>
      <c r="EH116" s="168"/>
      <c r="EI116" s="168"/>
      <c r="EJ116" s="168"/>
      <c r="EK116" s="168"/>
      <c r="EL116" s="168"/>
      <c r="EM116" s="168"/>
      <c r="EN116" s="168"/>
      <c r="EO116" s="168"/>
      <c r="EP116" s="168"/>
      <c r="EQ116" s="168"/>
      <c r="ER116" s="168"/>
      <c r="ES116" s="168"/>
      <c r="ET116" s="168"/>
      <c r="EU116" s="168"/>
      <c r="EV116" s="168"/>
      <c r="EW116" s="168"/>
      <c r="EX116" s="168"/>
      <c r="EY116" s="168"/>
      <c r="EZ116" s="168"/>
      <c r="FA116" s="168"/>
      <c r="FB116" s="168"/>
      <c r="FC116" s="168"/>
      <c r="FD116" s="168"/>
      <c r="FE116" s="168"/>
      <c r="FF116" s="168"/>
      <c r="FG116" s="168"/>
      <c r="FH116" s="168"/>
      <c r="FI116" s="168"/>
      <c r="FJ116" s="168"/>
      <c r="FK116" s="168"/>
      <c r="FL116" s="168"/>
      <c r="FM116" s="168"/>
      <c r="FN116" s="168"/>
      <c r="FO116" s="168"/>
      <c r="FP116" s="168"/>
      <c r="FQ116" s="168"/>
      <c r="FR116" s="168"/>
      <c r="FS116" s="168"/>
      <c r="FT116" s="168"/>
      <c r="FU116" s="168"/>
      <c r="FV116" s="168"/>
      <c r="FW116" s="168"/>
      <c r="FX116" s="168"/>
      <c r="FY116" s="168"/>
      <c r="FZ116" s="168"/>
      <c r="GA116" s="168"/>
      <c r="GB116" s="168"/>
      <c r="GC116" s="168"/>
      <c r="GD116" s="168"/>
      <c r="GE116" s="168"/>
      <c r="GF116" s="168"/>
      <c r="GG116" s="168"/>
      <c r="GH116" s="168"/>
      <c r="GI116" s="168"/>
      <c r="GJ116" s="168"/>
      <c r="GK116" s="168"/>
      <c r="GL116" s="168"/>
      <c r="GM116" s="168"/>
      <c r="GN116" s="168"/>
      <c r="GO116" s="168"/>
    </row>
    <row r="117" spans="1:197" s="168" customFormat="1" ht="279" customHeight="1">
      <c r="A117" s="169"/>
      <c r="B117" s="170"/>
      <c r="C117" s="171"/>
      <c r="D117" s="172"/>
      <c r="E117" s="170"/>
      <c r="F117" s="170"/>
      <c r="G117" s="171"/>
      <c r="H117" s="169"/>
      <c r="I117" s="173"/>
      <c r="J117" s="174"/>
      <c r="K117" s="284"/>
      <c r="L117" s="176"/>
      <c r="M117" s="177"/>
      <c r="N117" s="169"/>
      <c r="O117" s="169"/>
      <c r="P117" s="170"/>
      <c r="Q117" s="169"/>
      <c r="R117" s="169"/>
      <c r="S117" s="178"/>
      <c r="T117" s="179"/>
      <c r="U117" s="169"/>
      <c r="V117" s="180"/>
      <c r="W117" s="286"/>
    </row>
    <row r="118" spans="1:197" s="168" customFormat="1" ht="279" customHeight="1">
      <c r="A118" s="169"/>
      <c r="B118" s="170"/>
      <c r="C118" s="171"/>
      <c r="D118" s="172"/>
      <c r="E118" s="170"/>
      <c r="F118" s="170"/>
      <c r="G118" s="171"/>
      <c r="H118" s="169"/>
      <c r="I118" s="173"/>
      <c r="J118" s="174"/>
      <c r="K118" s="277"/>
      <c r="L118" s="176"/>
      <c r="M118" s="177"/>
      <c r="N118" s="169"/>
      <c r="O118" s="169"/>
      <c r="P118" s="170"/>
      <c r="Q118" s="169"/>
      <c r="R118" s="169"/>
      <c r="S118" s="178"/>
      <c r="T118" s="179"/>
      <c r="U118" s="169"/>
      <c r="V118" s="180"/>
      <c r="W118" s="286"/>
    </row>
    <row r="119" spans="1:197" s="168" customFormat="1" ht="279" customHeight="1">
      <c r="A119" s="169"/>
      <c r="B119" s="170"/>
      <c r="C119" s="171"/>
      <c r="D119" s="172"/>
      <c r="E119" s="170"/>
      <c r="F119" s="170"/>
      <c r="G119" s="171"/>
      <c r="H119" s="169"/>
      <c r="I119" s="173"/>
      <c r="J119" s="174"/>
      <c r="K119" s="284"/>
      <c r="L119" s="176"/>
      <c r="M119" s="177"/>
      <c r="N119" s="169"/>
      <c r="O119" s="169"/>
      <c r="P119" s="170"/>
      <c r="Q119" s="169"/>
      <c r="R119" s="169"/>
      <c r="S119" s="178"/>
      <c r="T119" s="179"/>
      <c r="U119" s="169"/>
      <c r="V119" s="180"/>
      <c r="W119" s="286"/>
    </row>
    <row r="120" spans="1:197" s="168" customFormat="1" ht="279" customHeight="1">
      <c r="A120" s="169"/>
      <c r="B120" s="170"/>
      <c r="C120" s="171"/>
      <c r="D120" s="172"/>
      <c r="E120" s="170"/>
      <c r="F120" s="170"/>
      <c r="G120" s="171"/>
      <c r="H120" s="169"/>
      <c r="I120" s="173"/>
      <c r="J120" s="174"/>
      <c r="K120" s="282"/>
      <c r="L120" s="176"/>
      <c r="M120" s="177"/>
      <c r="N120" s="169"/>
      <c r="O120" s="169"/>
      <c r="P120" s="170"/>
      <c r="Q120" s="169"/>
      <c r="R120" s="169"/>
      <c r="S120" s="178"/>
      <c r="T120" s="179"/>
      <c r="U120" s="169"/>
      <c r="V120" s="180"/>
      <c r="W120" s="286"/>
    </row>
    <row r="121" spans="1:197" s="168" customFormat="1" ht="279" customHeight="1">
      <c r="A121" s="169"/>
      <c r="B121" s="170"/>
      <c r="C121" s="171"/>
      <c r="D121" s="172"/>
      <c r="E121" s="170"/>
      <c r="F121" s="170"/>
      <c r="G121" s="171"/>
      <c r="H121" s="169"/>
      <c r="I121" s="173"/>
      <c r="J121" s="174"/>
      <c r="K121" s="282"/>
      <c r="L121" s="176"/>
      <c r="M121" s="177"/>
      <c r="N121" s="169"/>
      <c r="O121" s="169"/>
      <c r="P121" s="170"/>
      <c r="Q121" s="169"/>
      <c r="R121" s="169"/>
      <c r="S121" s="178"/>
      <c r="T121" s="179"/>
      <c r="U121" s="169"/>
      <c r="V121" s="180"/>
      <c r="W121" s="286"/>
    </row>
    <row r="122" spans="1:197" s="168" customFormat="1" ht="279" customHeight="1">
      <c r="A122" s="169"/>
      <c r="B122" s="170"/>
      <c r="C122" s="171"/>
      <c r="D122" s="172"/>
      <c r="E122" s="170"/>
      <c r="F122" s="170"/>
      <c r="G122" s="171"/>
      <c r="H122" s="169"/>
      <c r="I122" s="173"/>
      <c r="J122" s="174"/>
      <c r="K122" s="282"/>
      <c r="L122" s="176"/>
      <c r="M122" s="177"/>
      <c r="N122" s="169"/>
      <c r="O122" s="169"/>
      <c r="P122" s="170"/>
      <c r="Q122" s="169"/>
      <c r="R122" s="169"/>
      <c r="S122" s="178"/>
      <c r="T122" s="179"/>
      <c r="U122" s="169"/>
      <c r="V122" s="180"/>
      <c r="W122" s="286"/>
    </row>
    <row r="123" spans="1:197" s="168" customFormat="1" ht="279" customHeight="1">
      <c r="A123" s="169"/>
      <c r="B123" s="170"/>
      <c r="C123" s="171"/>
      <c r="D123" s="172"/>
      <c r="E123" s="170"/>
      <c r="F123" s="170"/>
      <c r="G123" s="171"/>
      <c r="H123" s="169"/>
      <c r="I123" s="173"/>
      <c r="J123" s="174"/>
      <c r="K123" s="282"/>
      <c r="L123" s="176"/>
      <c r="M123" s="177"/>
      <c r="N123" s="169"/>
      <c r="O123" s="169"/>
      <c r="P123" s="170"/>
      <c r="Q123" s="169"/>
      <c r="R123" s="169"/>
      <c r="S123" s="178"/>
      <c r="T123" s="179"/>
      <c r="U123" s="169"/>
      <c r="V123" s="180"/>
      <c r="W123" s="286"/>
    </row>
    <row r="124" spans="1:197" s="168" customFormat="1" ht="279" customHeight="1">
      <c r="A124" s="169"/>
      <c r="B124" s="170"/>
      <c r="C124" s="171"/>
      <c r="D124" s="172"/>
      <c r="E124" s="170"/>
      <c r="F124" s="170"/>
      <c r="G124" s="171"/>
      <c r="H124" s="169"/>
      <c r="I124" s="173"/>
      <c r="J124" s="174"/>
      <c r="K124" s="283"/>
      <c r="L124" s="176"/>
      <c r="M124" s="177"/>
      <c r="N124" s="169"/>
      <c r="O124" s="169"/>
      <c r="P124" s="170"/>
      <c r="Q124" s="169"/>
      <c r="R124" s="169"/>
      <c r="S124" s="178"/>
      <c r="T124" s="179"/>
      <c r="U124" s="169"/>
      <c r="V124" s="180"/>
      <c r="W124" s="286"/>
    </row>
    <row r="125" spans="1:197" s="168" customFormat="1" ht="279" customHeight="1">
      <c r="A125" s="169"/>
      <c r="B125" s="170"/>
      <c r="C125" s="171"/>
      <c r="D125" s="172"/>
      <c r="E125" s="170"/>
      <c r="F125" s="170"/>
      <c r="G125" s="171"/>
      <c r="H125" s="169"/>
      <c r="I125" s="173"/>
      <c r="J125" s="174"/>
      <c r="K125" s="282"/>
      <c r="L125" s="176"/>
      <c r="M125" s="177"/>
      <c r="N125" s="169"/>
      <c r="O125" s="169"/>
      <c r="P125" s="170"/>
      <c r="Q125" s="169"/>
      <c r="R125" s="169"/>
      <c r="S125" s="178"/>
      <c r="T125" s="179"/>
      <c r="U125" s="169"/>
      <c r="V125" s="180"/>
      <c r="W125" s="286"/>
    </row>
    <row r="126" spans="1:197" s="168" customFormat="1" ht="279" customHeight="1">
      <c r="A126" s="169"/>
      <c r="B126" s="170"/>
      <c r="C126" s="171"/>
      <c r="D126" s="172"/>
      <c r="E126" s="170"/>
      <c r="F126" s="170"/>
      <c r="G126" s="171"/>
      <c r="H126" s="169"/>
      <c r="I126" s="173"/>
      <c r="J126" s="174"/>
      <c r="K126" s="282"/>
      <c r="L126" s="176"/>
      <c r="M126" s="177"/>
      <c r="N126" s="169"/>
      <c r="O126" s="169"/>
      <c r="P126" s="170"/>
      <c r="Q126" s="169"/>
      <c r="R126" s="169"/>
      <c r="S126" s="178"/>
      <c r="T126" s="179"/>
      <c r="U126" s="169"/>
      <c r="V126" s="180"/>
      <c r="W126" s="286"/>
    </row>
    <row r="127" spans="1:197" s="168" customFormat="1" ht="279" customHeight="1">
      <c r="A127" s="169"/>
      <c r="B127" s="170"/>
      <c r="C127" s="171"/>
      <c r="D127" s="172"/>
      <c r="E127" s="170"/>
      <c r="F127" s="170"/>
      <c r="G127" s="171"/>
      <c r="H127" s="169"/>
      <c r="I127" s="173"/>
      <c r="J127" s="174"/>
      <c r="K127" s="283"/>
      <c r="L127" s="176"/>
      <c r="M127" s="177"/>
      <c r="N127" s="169"/>
      <c r="O127" s="169"/>
      <c r="P127" s="170"/>
      <c r="Q127" s="169"/>
      <c r="R127" s="169"/>
      <c r="S127" s="178"/>
      <c r="T127" s="179"/>
      <c r="U127" s="169"/>
      <c r="V127" s="180"/>
      <c r="W127" s="286"/>
    </row>
    <row r="128" spans="1:197" s="168" customFormat="1" ht="279" customHeight="1">
      <c r="A128" s="169"/>
      <c r="B128" s="170"/>
      <c r="C128" s="171"/>
      <c r="D128" s="172"/>
      <c r="E128" s="170"/>
      <c r="F128" s="170"/>
      <c r="G128" s="171"/>
      <c r="H128" s="169"/>
      <c r="I128" s="173"/>
      <c r="J128" s="174"/>
      <c r="K128" s="283"/>
      <c r="L128" s="176"/>
      <c r="M128" s="177"/>
      <c r="N128" s="169"/>
      <c r="O128" s="169"/>
      <c r="P128" s="170"/>
      <c r="Q128" s="169"/>
      <c r="R128" s="169"/>
      <c r="S128" s="178"/>
      <c r="T128" s="179"/>
      <c r="U128" s="169"/>
      <c r="V128" s="180"/>
      <c r="W128" s="287"/>
      <c r="X128" s="181"/>
      <c r="Y128" s="181"/>
      <c r="Z128" s="181"/>
      <c r="AA128" s="181"/>
      <c r="AB128" s="181"/>
      <c r="AC128" s="181"/>
      <c r="AD128" s="181"/>
      <c r="AE128" s="181"/>
      <c r="AF128" s="181"/>
      <c r="AG128" s="181"/>
      <c r="AH128" s="181"/>
      <c r="AI128" s="181"/>
      <c r="AJ128" s="181"/>
      <c r="AK128" s="181"/>
      <c r="AL128" s="181"/>
      <c r="AM128" s="181"/>
      <c r="AN128" s="181"/>
      <c r="AO128" s="181"/>
      <c r="AP128" s="181"/>
      <c r="AQ128" s="181"/>
      <c r="AR128" s="181"/>
      <c r="AS128" s="181"/>
      <c r="AT128" s="181"/>
      <c r="AU128" s="181"/>
      <c r="AV128" s="181"/>
      <c r="AW128" s="181"/>
      <c r="AX128" s="181"/>
      <c r="AY128" s="181"/>
      <c r="AZ128" s="181"/>
      <c r="BA128" s="181"/>
      <c r="BB128" s="181"/>
      <c r="BC128" s="181"/>
      <c r="BD128" s="181"/>
      <c r="BE128" s="181"/>
      <c r="BF128" s="181"/>
      <c r="BG128" s="181"/>
      <c r="BH128" s="181"/>
      <c r="BI128" s="181"/>
      <c r="BJ128" s="181"/>
      <c r="BK128" s="181"/>
      <c r="BL128" s="181"/>
      <c r="BM128" s="181"/>
      <c r="BN128" s="181"/>
      <c r="BO128" s="181"/>
      <c r="BP128" s="181"/>
      <c r="BQ128" s="181"/>
      <c r="BR128" s="181"/>
      <c r="BS128" s="181"/>
      <c r="BT128" s="181"/>
      <c r="BU128" s="181"/>
      <c r="BV128" s="181"/>
      <c r="BW128" s="181"/>
      <c r="BX128" s="181"/>
      <c r="BY128" s="181"/>
      <c r="BZ128" s="181"/>
      <c r="CA128" s="181"/>
      <c r="CB128" s="181"/>
      <c r="CC128" s="181"/>
      <c r="CD128" s="181"/>
      <c r="CE128" s="181"/>
      <c r="CF128" s="181"/>
      <c r="CG128" s="181"/>
      <c r="CH128" s="181"/>
      <c r="CI128" s="181"/>
      <c r="CJ128" s="181"/>
      <c r="CK128" s="181"/>
      <c r="CL128" s="181"/>
      <c r="CM128" s="181"/>
      <c r="CN128" s="181"/>
      <c r="CO128" s="181"/>
      <c r="CP128" s="181"/>
      <c r="CQ128" s="181"/>
      <c r="CR128" s="181"/>
      <c r="CS128" s="181"/>
      <c r="CT128" s="181"/>
      <c r="CU128" s="181"/>
      <c r="CV128" s="181"/>
      <c r="CW128" s="181"/>
      <c r="CX128" s="181"/>
      <c r="CY128" s="181"/>
      <c r="CZ128" s="181"/>
      <c r="DA128" s="181"/>
      <c r="DB128" s="181"/>
      <c r="DC128" s="181"/>
      <c r="DD128" s="181"/>
      <c r="DE128" s="181"/>
      <c r="DF128" s="181"/>
      <c r="DG128" s="181"/>
      <c r="DH128" s="181"/>
      <c r="DI128" s="181"/>
      <c r="DJ128" s="181"/>
      <c r="DK128" s="181"/>
      <c r="DL128" s="181"/>
      <c r="DM128" s="181"/>
      <c r="DN128" s="181"/>
      <c r="DO128" s="181"/>
      <c r="DP128" s="181"/>
      <c r="DQ128" s="181"/>
      <c r="DR128" s="181"/>
      <c r="DS128" s="181"/>
      <c r="DT128" s="181"/>
      <c r="DU128" s="181"/>
      <c r="DV128" s="181"/>
      <c r="DW128" s="181"/>
      <c r="DX128" s="181"/>
      <c r="DY128" s="181"/>
      <c r="DZ128" s="181"/>
      <c r="EA128" s="181"/>
      <c r="EB128" s="181"/>
      <c r="EC128" s="181"/>
      <c r="ED128" s="181"/>
      <c r="EE128" s="181"/>
      <c r="EF128" s="181"/>
      <c r="EG128" s="181"/>
      <c r="EH128" s="181"/>
      <c r="EI128" s="181"/>
      <c r="EJ128" s="181"/>
      <c r="EK128" s="181"/>
      <c r="EL128" s="181"/>
      <c r="EM128" s="181"/>
      <c r="EN128" s="181"/>
      <c r="EO128" s="181"/>
      <c r="EP128" s="181"/>
      <c r="EQ128" s="181"/>
      <c r="ER128" s="181"/>
      <c r="ES128" s="181"/>
      <c r="ET128" s="181"/>
      <c r="EU128" s="181"/>
      <c r="EV128" s="181"/>
      <c r="EW128" s="181"/>
      <c r="EX128" s="181"/>
      <c r="EY128" s="181"/>
      <c r="EZ128" s="181"/>
      <c r="FA128" s="181"/>
      <c r="FB128" s="181"/>
      <c r="FC128" s="181"/>
      <c r="FD128" s="181"/>
      <c r="FE128" s="181"/>
      <c r="FF128" s="181"/>
      <c r="FG128" s="181"/>
      <c r="FH128" s="181"/>
      <c r="FI128" s="181"/>
      <c r="FJ128" s="181"/>
      <c r="FK128" s="181"/>
      <c r="FL128" s="181"/>
      <c r="FM128" s="181"/>
      <c r="FN128" s="181"/>
      <c r="FO128" s="181"/>
      <c r="FP128" s="181"/>
      <c r="FQ128" s="181"/>
      <c r="FR128" s="181"/>
      <c r="FS128" s="181"/>
      <c r="FT128" s="181"/>
      <c r="FU128" s="181"/>
      <c r="FV128" s="181"/>
      <c r="FW128" s="181"/>
      <c r="FX128" s="181"/>
      <c r="FY128" s="181"/>
      <c r="FZ128" s="181"/>
      <c r="GA128" s="181"/>
      <c r="GB128" s="181"/>
      <c r="GC128" s="181"/>
      <c r="GD128" s="181"/>
      <c r="GE128" s="181"/>
      <c r="GF128" s="181"/>
      <c r="GG128" s="181"/>
      <c r="GH128" s="181"/>
      <c r="GI128" s="181"/>
      <c r="GJ128" s="181"/>
      <c r="GK128" s="181"/>
      <c r="GL128" s="181"/>
      <c r="GM128" s="181"/>
      <c r="GN128" s="181"/>
      <c r="GO128" s="181"/>
    </row>
    <row r="129" spans="11:11" ht="100" customHeight="1">
      <c r="K129" s="283"/>
    </row>
    <row r="130" spans="11:11" ht="53">
      <c r="K130" s="283"/>
    </row>
    <row r="131" spans="11:11" ht="53">
      <c r="K131" s="283"/>
    </row>
    <row r="132" spans="11:11" ht="53">
      <c r="K132" s="283"/>
    </row>
    <row r="133" spans="11:11" ht="53">
      <c r="K133" s="283"/>
    </row>
    <row r="134" spans="11:11" ht="53">
      <c r="K134" s="283"/>
    </row>
    <row r="135" spans="11:11" ht="53">
      <c r="K135" s="283"/>
    </row>
    <row r="136" spans="11:11" ht="53">
      <c r="K136" s="283"/>
    </row>
    <row r="137" spans="11:11" ht="53">
      <c r="K137" s="283"/>
    </row>
    <row r="138" spans="11:11" ht="53">
      <c r="K138" s="283"/>
    </row>
    <row r="139" spans="11:11" ht="53">
      <c r="K139" s="283"/>
    </row>
    <row r="140" spans="11:11" ht="53">
      <c r="K140" s="283"/>
    </row>
    <row r="141" spans="11:11" ht="53">
      <c r="K141" s="283"/>
    </row>
    <row r="142" spans="11:11" ht="53">
      <c r="K142" s="283"/>
    </row>
    <row r="143" spans="11:11" ht="53">
      <c r="K143" s="283"/>
    </row>
    <row r="144" spans="11:11" ht="53">
      <c r="K144" s="283"/>
    </row>
    <row r="145" spans="11:11" ht="53">
      <c r="K145" s="283"/>
    </row>
    <row r="146" spans="11:11" ht="53">
      <c r="K146" s="283"/>
    </row>
    <row r="147" spans="11:11" ht="53">
      <c r="K147" s="283"/>
    </row>
    <row r="148" spans="11:11" ht="53">
      <c r="K148" s="283"/>
    </row>
    <row r="149" spans="11:11" ht="53">
      <c r="K149" s="283"/>
    </row>
    <row r="150" spans="11:11" ht="53">
      <c r="K150" s="283"/>
    </row>
    <row r="151" spans="11:11" ht="53">
      <c r="K151" s="283"/>
    </row>
    <row r="152" spans="11:11" ht="53">
      <c r="K152" s="283"/>
    </row>
    <row r="153" spans="11:11" ht="53">
      <c r="K153" s="283"/>
    </row>
    <row r="154" spans="11:11" ht="53">
      <c r="K154" s="283"/>
    </row>
    <row r="155" spans="11:11" ht="53">
      <c r="K155" s="283"/>
    </row>
    <row r="156" spans="11:11" ht="53">
      <c r="K156" s="283"/>
    </row>
    <row r="157" spans="11:11" ht="53">
      <c r="K157" s="283"/>
    </row>
    <row r="158" spans="11:11" ht="53">
      <c r="K158" s="285"/>
    </row>
    <row r="159" spans="11:11" ht="53">
      <c r="K159" s="277"/>
    </row>
    <row r="160" spans="11:11" ht="53">
      <c r="K160" s="282"/>
    </row>
    <row r="161" spans="11:11" ht="53">
      <c r="K161" s="282"/>
    </row>
    <row r="162" spans="11:11" ht="53">
      <c r="K162" s="282"/>
    </row>
    <row r="163" spans="11:11" ht="53">
      <c r="K163" s="282"/>
    </row>
    <row r="164" spans="11:11" ht="53">
      <c r="K164" s="282"/>
    </row>
    <row r="165" spans="11:11" ht="53">
      <c r="K165" s="282"/>
    </row>
    <row r="166" spans="11:11" ht="53">
      <c r="K166" s="285"/>
    </row>
    <row r="167" spans="11:11" ht="53">
      <c r="K167" s="282"/>
    </row>
    <row r="168" spans="11:11" ht="53">
      <c r="K168" s="282"/>
    </row>
    <row r="169" spans="11:11" ht="53">
      <c r="K169" s="282"/>
    </row>
    <row r="170" spans="11:11" ht="53">
      <c r="K170" s="282"/>
    </row>
    <row r="171" spans="11:11" ht="53">
      <c r="K171" s="282"/>
    </row>
    <row r="172" spans="11:11" ht="53">
      <c r="K172" s="282"/>
    </row>
    <row r="173" spans="11:11" ht="53">
      <c r="K173" s="282"/>
    </row>
    <row r="174" spans="11:11" ht="53">
      <c r="K174" s="282"/>
    </row>
    <row r="175" spans="11:11" ht="53">
      <c r="K175" s="282"/>
    </row>
    <row r="176" spans="11:11" ht="53">
      <c r="K176" s="282"/>
    </row>
    <row r="177" spans="11:11" ht="53">
      <c r="K177" s="282"/>
    </row>
    <row r="178" spans="11:11" ht="53">
      <c r="K178" s="282"/>
    </row>
    <row r="179" spans="11:11" ht="53">
      <c r="K179" s="282"/>
    </row>
    <row r="180" spans="11:11" ht="53">
      <c r="K180" s="282"/>
    </row>
    <row r="181" spans="11:11" ht="53">
      <c r="K181" s="285"/>
    </row>
    <row r="182" spans="11:11" ht="53">
      <c r="K182" s="284"/>
    </row>
    <row r="183" spans="11:11" ht="53">
      <c r="K183" s="282"/>
    </row>
    <row r="184" spans="11:11" ht="53">
      <c r="K184" s="282"/>
    </row>
    <row r="185" spans="11:11" ht="53">
      <c r="K185" s="282"/>
    </row>
    <row r="186" spans="11:11" ht="53">
      <c r="K186" s="282"/>
    </row>
    <row r="187" spans="11:11" ht="53">
      <c r="K187" s="282"/>
    </row>
    <row r="188" spans="11:11" ht="53">
      <c r="K188" s="282"/>
    </row>
    <row r="189" spans="11:11" ht="53">
      <c r="K189" s="282"/>
    </row>
    <row r="190" spans="11:11" ht="53">
      <c r="K190" s="288"/>
    </row>
  </sheetData>
  <autoFilter ref="A22:W129" xr:uid="{00000000-0009-0000-0000-000003000000}"/>
  <mergeCells count="42">
    <mergeCell ref="A1:V1"/>
    <mergeCell ref="A2:V2"/>
    <mergeCell ref="A3:V3"/>
    <mergeCell ref="A4:V4"/>
    <mergeCell ref="A6:B6"/>
    <mergeCell ref="C6:G6"/>
    <mergeCell ref="I6:L6"/>
    <mergeCell ref="M6:O6"/>
    <mergeCell ref="Q6:S6"/>
    <mergeCell ref="A8:B8"/>
    <mergeCell ref="C8:G8"/>
    <mergeCell ref="I8:L8"/>
    <mergeCell ref="M8:O8"/>
    <mergeCell ref="Q8:S8"/>
    <mergeCell ref="A10:B10"/>
    <mergeCell ref="C10:G10"/>
    <mergeCell ref="I10:L10"/>
    <mergeCell ref="M10:N10"/>
    <mergeCell ref="A12:B12"/>
    <mergeCell ref="C12:G12"/>
    <mergeCell ref="I12:L12"/>
    <mergeCell ref="M12:N12"/>
    <mergeCell ref="N21:P21"/>
    <mergeCell ref="Q21:V21"/>
    <mergeCell ref="J86:P86"/>
    <mergeCell ref="J97:L97"/>
    <mergeCell ref="F103:H103"/>
    <mergeCell ref="L103:N103"/>
    <mergeCell ref="P103:T103"/>
    <mergeCell ref="F21:F22"/>
    <mergeCell ref="G21:G22"/>
    <mergeCell ref="H21:H22"/>
    <mergeCell ref="I21:I22"/>
    <mergeCell ref="J21:J22"/>
    <mergeCell ref="K21:K22"/>
    <mergeCell ref="L21:L22"/>
    <mergeCell ref="M21:M22"/>
    <mergeCell ref="A21:A22"/>
    <mergeCell ref="B21:B22"/>
    <mergeCell ref="C21:C22"/>
    <mergeCell ref="D21:D22"/>
    <mergeCell ref="E21:E22"/>
  </mergeCells>
  <phoneticPr fontId="116" type="noConversion"/>
  <printOptions horizontalCentered="1"/>
  <pageMargins left="0.25" right="0.25" top="0.75" bottom="0.75" header="0.3" footer="0.3"/>
  <pageSetup paperSize="9" scale="10" fitToHeight="0" orientation="landscape" r:id="rId1"/>
  <drawing r:id="rId2"/>
  <legacyDrawing r:id="rId3"/>
  <oleObjects>
    <mc:AlternateContent xmlns:mc="http://schemas.openxmlformats.org/markup-compatibility/2006">
      <mc:Choice Requires="x14">
        <oleObject progId="PBrush" shapeId="56321" r:id="rId4">
          <objectPr defaultSize="0" altText="" r:id="rId5">
            <anchor moveWithCells="1" sizeWithCells="1">
              <from>
                <xdr:col>4</xdr:col>
                <xdr:colOff>0</xdr:colOff>
                <xdr:row>1</xdr:row>
                <xdr:rowOff>0</xdr:rowOff>
              </from>
              <to>
                <xdr:col>4</xdr:col>
                <xdr:colOff>0</xdr:colOff>
                <xdr:row>1</xdr:row>
                <xdr:rowOff>0</xdr:rowOff>
              </to>
            </anchor>
          </objectPr>
        </oleObject>
      </mc:Choice>
      <mc:Fallback>
        <oleObject progId="PBrush" shapeId="5632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7B0E-F6A2-4D6D-A0FC-2C82E7939114}">
  <sheetPr>
    <pageSetUpPr fitToPage="1"/>
  </sheetPr>
  <dimension ref="A1:AG489"/>
  <sheetViews>
    <sheetView view="pageBreakPreview" topLeftCell="C262" zoomScale="40" zoomScaleNormal="10" zoomScaleSheetLayoutView="40" zoomScalePageLayoutView="33" workbookViewId="0">
      <selection activeCell="L265" sqref="L265"/>
    </sheetView>
  </sheetViews>
  <sheetFormatPr defaultColWidth="9.1796875" defaultRowHeight="59.25" customHeight="1"/>
  <cols>
    <col min="1" max="1" width="13.81640625" style="355" customWidth="1"/>
    <col min="2" max="2" width="34.81640625" style="418" customWidth="1"/>
    <col min="3" max="3" width="50.1796875" style="419" customWidth="1"/>
    <col min="4" max="4" width="43.453125" style="388" customWidth="1"/>
    <col min="5" max="5" width="49.1796875" style="388" bestFit="1" customWidth="1"/>
    <col min="6" max="6" width="27.1796875" style="388" customWidth="1"/>
    <col min="7" max="7" width="53.54296875" style="420" bestFit="1" customWidth="1"/>
    <col min="8" max="8" width="57.453125" style="421" customWidth="1"/>
    <col min="9" max="9" width="54.1796875" style="421" customWidth="1"/>
    <col min="10" max="10" width="22.54296875" style="421" customWidth="1"/>
    <col min="11" max="11" width="27.1796875" style="422" bestFit="1" customWidth="1"/>
    <col min="12" max="12" width="26.1796875" style="422" customWidth="1"/>
    <col min="13" max="13" width="55.1796875" style="423" customWidth="1"/>
    <col min="14" max="14" width="29.1796875" style="355" customWidth="1"/>
    <col min="15" max="16384" width="9.1796875" style="355"/>
  </cols>
  <sheetData>
    <row r="1" spans="1:13" ht="27" customHeight="1">
      <c r="A1" s="122"/>
      <c r="B1" s="640"/>
      <c r="C1" s="640"/>
      <c r="D1" s="792"/>
      <c r="E1" s="640"/>
      <c r="F1" s="640"/>
      <c r="G1" s="640"/>
      <c r="H1" s="640"/>
      <c r="I1" s="640"/>
      <c r="J1" s="640"/>
      <c r="K1" s="640"/>
      <c r="L1" s="640"/>
      <c r="M1" s="141"/>
    </row>
    <row r="2" spans="1:13" ht="69" customHeight="1">
      <c r="A2" s="640"/>
      <c r="B2" s="640"/>
      <c r="C2" s="640"/>
      <c r="D2" s="640"/>
      <c r="E2" s="640"/>
      <c r="F2" s="640"/>
      <c r="G2" s="640"/>
      <c r="H2" s="640"/>
      <c r="I2" s="640"/>
      <c r="J2" s="640"/>
      <c r="K2" s="640"/>
      <c r="L2" s="640"/>
      <c r="M2" s="640"/>
    </row>
    <row r="3" spans="1:13" ht="27" customHeight="1">
      <c r="A3" s="640" t="s">
        <v>64</v>
      </c>
      <c r="B3" s="640"/>
      <c r="C3" s="640"/>
      <c r="D3" s="792"/>
      <c r="E3" s="640"/>
      <c r="F3" s="640"/>
      <c r="G3" s="640"/>
      <c r="H3" s="640"/>
      <c r="I3" s="640"/>
      <c r="J3" s="640"/>
      <c r="K3" s="640"/>
      <c r="L3" s="640"/>
      <c r="M3" s="640"/>
    </row>
    <row r="4" spans="1:13" ht="38.25" customHeight="1">
      <c r="A4" s="639" t="s">
        <v>201</v>
      </c>
      <c r="B4" s="639"/>
      <c r="C4" s="639"/>
      <c r="D4" s="793"/>
      <c r="E4" s="639"/>
      <c r="F4" s="639"/>
      <c r="G4" s="639"/>
      <c r="H4" s="639"/>
      <c r="I4" s="639"/>
      <c r="J4" s="639"/>
      <c r="K4" s="639"/>
      <c r="L4" s="639"/>
      <c r="M4" s="639"/>
    </row>
    <row r="5" spans="1:13" ht="27" customHeight="1">
      <c r="A5" s="640" t="s">
        <v>202</v>
      </c>
      <c r="B5" s="640"/>
      <c r="C5" s="640"/>
      <c r="D5" s="640"/>
      <c r="E5" s="640"/>
      <c r="F5" s="640"/>
      <c r="G5" s="640"/>
      <c r="H5" s="640"/>
      <c r="I5" s="640"/>
      <c r="J5" s="640"/>
      <c r="K5" s="640"/>
      <c r="L5" s="640"/>
      <c r="M5" s="640"/>
    </row>
    <row r="6" spans="1:13" ht="27" customHeight="1">
      <c r="A6" s="123"/>
      <c r="B6" s="124"/>
      <c r="C6" s="124"/>
      <c r="D6" s="125"/>
      <c r="E6" s="130"/>
      <c r="F6" s="130"/>
      <c r="G6" s="131"/>
      <c r="H6" s="132"/>
      <c r="I6" s="132"/>
      <c r="J6" s="132"/>
      <c r="K6" s="136"/>
      <c r="L6" s="100"/>
      <c r="M6" s="141"/>
    </row>
    <row r="7" spans="1:13" ht="27" customHeight="1">
      <c r="A7" s="788" t="s">
        <v>66</v>
      </c>
      <c r="B7" s="789"/>
      <c r="C7" s="781" t="s">
        <v>100</v>
      </c>
      <c r="D7" s="782"/>
      <c r="E7" s="783"/>
      <c r="F7" s="130"/>
      <c r="G7" s="131"/>
      <c r="H7" s="784" t="s">
        <v>70</v>
      </c>
      <c r="I7" s="784"/>
      <c r="J7" s="790">
        <v>46082</v>
      </c>
      <c r="K7" s="791"/>
      <c r="L7" s="357"/>
      <c r="M7" s="358"/>
    </row>
    <row r="8" spans="1:13" ht="12.75" customHeight="1">
      <c r="A8" s="359"/>
      <c r="B8" s="360"/>
      <c r="C8" s="361"/>
      <c r="D8" s="362"/>
      <c r="E8" s="363"/>
      <c r="F8" s="363"/>
      <c r="G8" s="364"/>
      <c r="H8" s="365"/>
      <c r="I8" s="365"/>
      <c r="J8" s="366"/>
      <c r="K8" s="367"/>
      <c r="L8" s="368"/>
      <c r="M8" s="369"/>
    </row>
    <row r="9" spans="1:13" ht="48.65" customHeight="1">
      <c r="A9" s="359"/>
      <c r="B9" s="356" t="s">
        <v>203</v>
      </c>
      <c r="C9" s="781" t="s">
        <v>104</v>
      </c>
      <c r="D9" s="782"/>
      <c r="E9" s="783"/>
      <c r="F9" s="130"/>
      <c r="G9" s="784" t="s">
        <v>108</v>
      </c>
      <c r="H9" s="784"/>
      <c r="I9" s="785"/>
      <c r="J9" s="786">
        <f>BEMSdar!E11</f>
        <v>1329813.1567499998</v>
      </c>
      <c r="K9" s="787"/>
      <c r="L9" s="370"/>
      <c r="M9" s="371"/>
    </row>
    <row r="10" spans="1:13" ht="15" customHeight="1">
      <c r="A10" s="359"/>
      <c r="B10" s="360"/>
      <c r="C10" s="361"/>
      <c r="D10" s="362"/>
      <c r="E10" s="363"/>
      <c r="F10" s="363"/>
      <c r="G10" s="364"/>
      <c r="H10" s="365"/>
      <c r="I10" s="365"/>
      <c r="J10" s="366"/>
      <c r="K10" s="367"/>
      <c r="L10" s="368"/>
      <c r="M10" s="369"/>
    </row>
    <row r="11" spans="1:13" ht="46.5" customHeight="1">
      <c r="A11" s="359"/>
      <c r="B11" s="356" t="s">
        <v>204</v>
      </c>
      <c r="C11" s="781" t="s">
        <v>107</v>
      </c>
      <c r="D11" s="782"/>
      <c r="E11" s="783"/>
      <c r="F11" s="130"/>
      <c r="G11" s="784" t="s">
        <v>110</v>
      </c>
      <c r="H11" s="784"/>
      <c r="I11" s="785"/>
      <c r="J11" s="786">
        <f>BEMSdar!E13</f>
        <v>34097.773249999998</v>
      </c>
      <c r="K11" s="787"/>
      <c r="L11" s="370"/>
      <c r="M11" s="371"/>
    </row>
    <row r="12" spans="1:13" s="380" customFormat="1" ht="27" customHeight="1">
      <c r="A12" s="372"/>
      <c r="B12" s="373"/>
      <c r="C12" s="361"/>
      <c r="D12" s="362"/>
      <c r="E12" s="363"/>
      <c r="F12" s="363"/>
      <c r="G12" s="364"/>
      <c r="H12" s="374"/>
      <c r="I12" s="375"/>
      <c r="J12" s="376"/>
      <c r="K12" s="377"/>
      <c r="L12" s="378"/>
      <c r="M12" s="379"/>
    </row>
    <row r="13" spans="1:13" s="386" customFormat="1" ht="17.25" customHeight="1">
      <c r="A13" s="381" t="s">
        <v>111</v>
      </c>
      <c r="B13" s="373"/>
      <c r="C13" s="360"/>
      <c r="D13" s="382"/>
      <c r="E13" s="382"/>
      <c r="F13" s="382"/>
      <c r="G13" s="383"/>
      <c r="H13" s="365"/>
      <c r="I13" s="365"/>
      <c r="J13" s="365"/>
      <c r="K13" s="384"/>
      <c r="L13" s="384"/>
      <c r="M13" s="385"/>
    </row>
    <row r="14" spans="1:13" s="386" customFormat="1" ht="17.25" customHeight="1">
      <c r="A14" s="381" t="s">
        <v>112</v>
      </c>
      <c r="B14" s="373"/>
      <c r="C14" s="360"/>
      <c r="D14" s="382"/>
      <c r="E14" s="382"/>
      <c r="F14" s="382"/>
      <c r="G14" s="383"/>
      <c r="H14" s="365"/>
      <c r="I14" s="365"/>
      <c r="J14" s="365"/>
      <c r="K14" s="384"/>
      <c r="L14" s="384"/>
      <c r="M14" s="385"/>
    </row>
    <row r="15" spans="1:13" s="386" customFormat="1" ht="17.25" customHeight="1">
      <c r="A15" s="381" t="s">
        <v>205</v>
      </c>
      <c r="B15" s="373"/>
      <c r="C15" s="360"/>
      <c r="D15" s="382"/>
      <c r="E15" s="382"/>
      <c r="F15" s="382"/>
      <c r="G15" s="383"/>
      <c r="H15" s="365"/>
      <c r="I15" s="365"/>
      <c r="J15" s="365"/>
      <c r="K15" s="384"/>
      <c r="L15" s="384"/>
      <c r="M15" s="385"/>
    </row>
    <row r="16" spans="1:13" s="386" customFormat="1" ht="17.25" customHeight="1">
      <c r="A16" s="381" t="s">
        <v>206</v>
      </c>
      <c r="B16" s="373"/>
      <c r="C16" s="360"/>
      <c r="D16" s="382"/>
      <c r="E16" s="382"/>
      <c r="F16" s="382"/>
      <c r="G16" s="383"/>
      <c r="H16" s="365"/>
      <c r="I16" s="365"/>
      <c r="J16" s="365"/>
      <c r="K16" s="384"/>
      <c r="L16" s="384"/>
      <c r="M16" s="385"/>
    </row>
    <row r="17" spans="1:14" s="386" customFormat="1" ht="17.25" customHeight="1">
      <c r="A17" s="381" t="s">
        <v>207</v>
      </c>
      <c r="B17" s="373"/>
      <c r="C17" s="360"/>
      <c r="D17" s="382"/>
      <c r="E17" s="382"/>
      <c r="F17" s="382"/>
      <c r="G17" s="383"/>
      <c r="H17" s="365"/>
      <c r="I17" s="365"/>
      <c r="J17" s="365"/>
      <c r="K17" s="384"/>
      <c r="L17" s="384"/>
      <c r="M17" s="385"/>
    </row>
    <row r="18" spans="1:14" ht="17.25" customHeight="1">
      <c r="A18" s="387"/>
      <c r="B18" s="373"/>
      <c r="C18" s="360"/>
      <c r="E18" s="389"/>
      <c r="F18" s="133"/>
      <c r="G18" s="390"/>
      <c r="H18" s="391"/>
      <c r="I18" s="391"/>
      <c r="J18" s="365"/>
      <c r="K18" s="377"/>
      <c r="L18" s="377"/>
      <c r="M18" s="385"/>
    </row>
    <row r="19" spans="1:14" s="116" customFormat="1" ht="36" customHeight="1">
      <c r="A19" s="771" t="s">
        <v>77</v>
      </c>
      <c r="B19" s="772" t="s">
        <v>117</v>
      </c>
      <c r="C19" s="773" t="s">
        <v>118</v>
      </c>
      <c r="D19" s="774" t="s">
        <v>119</v>
      </c>
      <c r="E19" s="776" t="s">
        <v>120</v>
      </c>
      <c r="F19" s="771" t="s">
        <v>121</v>
      </c>
      <c r="G19" s="777" t="s">
        <v>208</v>
      </c>
      <c r="H19" s="778" t="s">
        <v>209</v>
      </c>
      <c r="I19" s="778" t="s">
        <v>210</v>
      </c>
      <c r="J19" s="779" t="s">
        <v>131</v>
      </c>
      <c r="K19" s="780" t="s">
        <v>128</v>
      </c>
      <c r="L19" s="771" t="s">
        <v>211</v>
      </c>
      <c r="M19" s="771"/>
      <c r="N19" s="142"/>
    </row>
    <row r="20" spans="1:14" s="116" customFormat="1" ht="64.5" customHeight="1">
      <c r="A20" s="771"/>
      <c r="B20" s="772"/>
      <c r="C20" s="773"/>
      <c r="D20" s="775"/>
      <c r="E20" s="776"/>
      <c r="F20" s="771"/>
      <c r="G20" s="777"/>
      <c r="H20" s="778"/>
      <c r="I20" s="778"/>
      <c r="J20" s="779"/>
      <c r="K20" s="780"/>
      <c r="L20" s="126" t="s">
        <v>132</v>
      </c>
      <c r="M20" s="126" t="s">
        <v>133</v>
      </c>
      <c r="N20" s="142"/>
    </row>
    <row r="21" spans="1:14" s="117" customFormat="1" ht="78" customHeight="1">
      <c r="A21" s="764" t="s">
        <v>212</v>
      </c>
      <c r="B21" s="765"/>
      <c r="C21" s="765"/>
      <c r="D21" s="765"/>
      <c r="E21" s="765"/>
      <c r="F21" s="134"/>
      <c r="G21" s="135"/>
      <c r="H21" s="392"/>
      <c r="I21" s="392"/>
      <c r="J21" s="137"/>
      <c r="K21" s="138"/>
      <c r="L21" s="138"/>
      <c r="M21" s="393"/>
      <c r="N21" s="143"/>
    </row>
    <row r="22" spans="1:14" s="118" customFormat="1" ht="144">
      <c r="A22" s="394">
        <v>1</v>
      </c>
      <c r="B22" s="394" t="s">
        <v>960</v>
      </c>
      <c r="C22" s="395" t="s">
        <v>1143</v>
      </c>
      <c r="D22" s="127">
        <f>VLOOKUP(B22,[14]AssetDetails_UEM!$A$3:$X$1848,22,FALSE)</f>
        <v>60150</v>
      </c>
      <c r="E22" s="394" t="s">
        <v>1161</v>
      </c>
      <c r="F22" s="394" t="s">
        <v>1358</v>
      </c>
      <c r="G22" s="454">
        <v>46083</v>
      </c>
      <c r="H22" s="396" t="s">
        <v>1425</v>
      </c>
      <c r="I22" s="397" t="s">
        <v>140</v>
      </c>
      <c r="J22" s="139" t="s">
        <v>139</v>
      </c>
      <c r="K22" s="398">
        <f t="shared" ref="K22:K83" si="0">ROUNDUP((D22/4999.99)*10,-1)</f>
        <v>130</v>
      </c>
      <c r="L22" s="399">
        <f t="shared" ref="L22:L83" si="1">IF(J22="N",0,K22)</f>
        <v>0</v>
      </c>
      <c r="M22" s="395" t="s">
        <v>1550</v>
      </c>
      <c r="N22" s="144"/>
    </row>
    <row r="23" spans="1:14" s="118" customFormat="1" ht="108">
      <c r="A23" s="394">
        <v>2</v>
      </c>
      <c r="B23" s="394" t="s">
        <v>961</v>
      </c>
      <c r="C23" s="395" t="s">
        <v>481</v>
      </c>
      <c r="D23" s="127">
        <f>VLOOKUP(B23,[14]AssetDetails_UEM!$A$3:$X$1848,22,FALSE)</f>
        <v>25260</v>
      </c>
      <c r="E23" s="394" t="s">
        <v>1162</v>
      </c>
      <c r="F23" s="394" t="s">
        <v>1359</v>
      </c>
      <c r="G23" s="454" t="s">
        <v>1404</v>
      </c>
      <c r="H23" s="396" t="s">
        <v>1426</v>
      </c>
      <c r="I23" s="397" t="s">
        <v>140</v>
      </c>
      <c r="J23" s="139" t="s">
        <v>139</v>
      </c>
      <c r="K23" s="398">
        <f t="shared" si="0"/>
        <v>60</v>
      </c>
      <c r="L23" s="399">
        <f t="shared" si="1"/>
        <v>0</v>
      </c>
      <c r="M23" s="395" t="s">
        <v>1551</v>
      </c>
      <c r="N23" s="144"/>
    </row>
    <row r="24" spans="1:14" s="118" customFormat="1" ht="130" customHeight="1">
      <c r="A24" s="394">
        <v>3</v>
      </c>
      <c r="B24" s="394" t="s">
        <v>962</v>
      </c>
      <c r="C24" s="395" t="s">
        <v>481</v>
      </c>
      <c r="D24" s="127">
        <f>VLOOKUP(B24,[14]AssetDetails_UEM!$A$3:$X$1848,22,FALSE)</f>
        <v>25260</v>
      </c>
      <c r="E24" s="394" t="s">
        <v>1163</v>
      </c>
      <c r="F24" s="394" t="s">
        <v>1360</v>
      </c>
      <c r="G24" s="454" t="s">
        <v>1404</v>
      </c>
      <c r="H24" s="396" t="s">
        <v>1427</v>
      </c>
      <c r="I24" s="397" t="s">
        <v>140</v>
      </c>
      <c r="J24" s="139" t="s">
        <v>139</v>
      </c>
      <c r="K24" s="398">
        <f t="shared" si="0"/>
        <v>60</v>
      </c>
      <c r="L24" s="399">
        <f t="shared" si="1"/>
        <v>0</v>
      </c>
      <c r="M24" s="395" t="s">
        <v>1552</v>
      </c>
      <c r="N24" s="144"/>
    </row>
    <row r="25" spans="1:14" s="118" customFormat="1" ht="150" customHeight="1">
      <c r="A25" s="394">
        <v>4</v>
      </c>
      <c r="B25" s="394" t="s">
        <v>963</v>
      </c>
      <c r="C25" s="395" t="s">
        <v>391</v>
      </c>
      <c r="D25" s="127">
        <f>VLOOKUP(B25,[14]AssetDetails_UEM!$A$3:$X$1848,22,FALSE)</f>
        <v>8000</v>
      </c>
      <c r="E25" s="394" t="s">
        <v>1164</v>
      </c>
      <c r="F25" s="394" t="s">
        <v>1361</v>
      </c>
      <c r="G25" s="454" t="s">
        <v>1404</v>
      </c>
      <c r="H25" s="396" t="s">
        <v>1428</v>
      </c>
      <c r="I25" s="397" t="s">
        <v>140</v>
      </c>
      <c r="J25" s="139" t="s">
        <v>139</v>
      </c>
      <c r="K25" s="398">
        <f t="shared" si="0"/>
        <v>20</v>
      </c>
      <c r="L25" s="399">
        <f t="shared" si="1"/>
        <v>0</v>
      </c>
      <c r="M25" s="395" t="s">
        <v>1553</v>
      </c>
      <c r="N25" s="144"/>
    </row>
    <row r="26" spans="1:14" s="400" customFormat="1" ht="130.5" customHeight="1">
      <c r="A26" s="394">
        <v>5</v>
      </c>
      <c r="B26" s="394" t="s">
        <v>964</v>
      </c>
      <c r="C26" s="395" t="s">
        <v>484</v>
      </c>
      <c r="D26" s="127">
        <f>VLOOKUP(B26,[14]AssetDetails_UEM!$A$3:$X$1848,22,FALSE)</f>
        <v>144345</v>
      </c>
      <c r="E26" s="394" t="s">
        <v>1165</v>
      </c>
      <c r="F26" s="394" t="s">
        <v>627</v>
      </c>
      <c r="G26" s="454" t="s">
        <v>1404</v>
      </c>
      <c r="H26" s="396" t="s">
        <v>1429</v>
      </c>
      <c r="I26" s="397" t="s">
        <v>140</v>
      </c>
      <c r="J26" s="139" t="s">
        <v>139</v>
      </c>
      <c r="K26" s="398">
        <f t="shared" si="0"/>
        <v>290</v>
      </c>
      <c r="L26" s="399">
        <f t="shared" si="1"/>
        <v>0</v>
      </c>
      <c r="M26" s="395" t="s">
        <v>1554</v>
      </c>
    </row>
    <row r="27" spans="1:14" s="118" customFormat="1" ht="130.5" customHeight="1">
      <c r="A27" s="394">
        <v>6</v>
      </c>
      <c r="B27" s="394" t="s">
        <v>965</v>
      </c>
      <c r="C27" s="395" t="s">
        <v>284</v>
      </c>
      <c r="D27" s="127">
        <f>VLOOKUP(B27,[14]AssetDetails_UEM!$A$3:$X$1848,22,FALSE)</f>
        <v>4510</v>
      </c>
      <c r="E27" s="394" t="s">
        <v>1166</v>
      </c>
      <c r="F27" s="394" t="s">
        <v>639</v>
      </c>
      <c r="G27" s="454" t="s">
        <v>1405</v>
      </c>
      <c r="H27" s="396" t="s">
        <v>1430</v>
      </c>
      <c r="I27" s="397" t="s">
        <v>140</v>
      </c>
      <c r="J27" s="139" t="s">
        <v>139</v>
      </c>
      <c r="K27" s="398">
        <f t="shared" si="0"/>
        <v>10</v>
      </c>
      <c r="L27" s="399">
        <f t="shared" si="1"/>
        <v>0</v>
      </c>
      <c r="M27" s="395" t="s">
        <v>1555</v>
      </c>
      <c r="N27" s="144"/>
    </row>
    <row r="28" spans="1:14" s="118" customFormat="1" ht="164.25" customHeight="1">
      <c r="A28" s="394">
        <v>7</v>
      </c>
      <c r="B28" s="394" t="s">
        <v>423</v>
      </c>
      <c r="C28" s="395" t="s">
        <v>284</v>
      </c>
      <c r="D28" s="127">
        <f>VLOOKUP(B28,[14]AssetDetails_UEM!$A$3:$X$1848,22,FALSE)</f>
        <v>4510</v>
      </c>
      <c r="E28" s="394" t="s">
        <v>1167</v>
      </c>
      <c r="F28" s="394" t="s">
        <v>639</v>
      </c>
      <c r="G28" s="454" t="s">
        <v>1405</v>
      </c>
      <c r="H28" s="396" t="s">
        <v>1431</v>
      </c>
      <c r="I28" s="397" t="s">
        <v>140</v>
      </c>
      <c r="J28" s="139" t="s">
        <v>139</v>
      </c>
      <c r="K28" s="398">
        <f t="shared" si="0"/>
        <v>10</v>
      </c>
      <c r="L28" s="399">
        <f t="shared" si="1"/>
        <v>0</v>
      </c>
      <c r="M28" s="395" t="s">
        <v>1556</v>
      </c>
      <c r="N28" s="144"/>
    </row>
    <row r="29" spans="1:14" s="118" customFormat="1" ht="173" customHeight="1">
      <c r="A29" s="394">
        <v>8</v>
      </c>
      <c r="B29" s="394" t="s">
        <v>966</v>
      </c>
      <c r="C29" s="395" t="s">
        <v>473</v>
      </c>
      <c r="D29" s="127">
        <f>VLOOKUP(B29,[14]AssetDetails_UEM!$A$3:$X$1848,22,FALSE)</f>
        <v>44510</v>
      </c>
      <c r="E29" s="394" t="s">
        <v>1168</v>
      </c>
      <c r="F29" s="394" t="s">
        <v>1362</v>
      </c>
      <c r="G29" s="454" t="s">
        <v>1405</v>
      </c>
      <c r="H29" s="396" t="s">
        <v>1432</v>
      </c>
      <c r="I29" s="397" t="s">
        <v>140</v>
      </c>
      <c r="J29" s="139" t="s">
        <v>139</v>
      </c>
      <c r="K29" s="398">
        <f t="shared" si="0"/>
        <v>90</v>
      </c>
      <c r="L29" s="399">
        <f t="shared" si="1"/>
        <v>0</v>
      </c>
      <c r="M29" s="395" t="s">
        <v>1557</v>
      </c>
      <c r="N29" s="144"/>
    </row>
    <row r="30" spans="1:14" s="118" customFormat="1" ht="144">
      <c r="A30" s="394">
        <v>9</v>
      </c>
      <c r="B30" s="394" t="s">
        <v>967</v>
      </c>
      <c r="C30" s="395" t="s">
        <v>473</v>
      </c>
      <c r="D30" s="127">
        <f>VLOOKUP(B30,[14]AssetDetails_UEM!$A$3:$X$1848,22,FALSE)</f>
        <v>44510</v>
      </c>
      <c r="E30" s="394" t="s">
        <v>1169</v>
      </c>
      <c r="F30" s="394" t="s">
        <v>1362</v>
      </c>
      <c r="G30" s="454" t="s">
        <v>1405</v>
      </c>
      <c r="H30" s="396" t="s">
        <v>1433</v>
      </c>
      <c r="I30" s="397" t="s">
        <v>140</v>
      </c>
      <c r="J30" s="139" t="s">
        <v>139</v>
      </c>
      <c r="K30" s="398">
        <f t="shared" si="0"/>
        <v>90</v>
      </c>
      <c r="L30" s="399">
        <f t="shared" si="1"/>
        <v>0</v>
      </c>
      <c r="M30" s="395" t="s">
        <v>1558</v>
      </c>
      <c r="N30" s="144"/>
    </row>
    <row r="31" spans="1:14" s="118" customFormat="1" ht="144">
      <c r="A31" s="394">
        <v>10</v>
      </c>
      <c r="B31" s="394" t="s">
        <v>968</v>
      </c>
      <c r="C31" s="395" t="s">
        <v>473</v>
      </c>
      <c r="D31" s="127">
        <f>VLOOKUP(B31,[14]AssetDetails_UEM!$A$3:$X$1848,22,FALSE)</f>
        <v>44510</v>
      </c>
      <c r="E31" s="394" t="s">
        <v>1170</v>
      </c>
      <c r="F31" s="394" t="s">
        <v>1362</v>
      </c>
      <c r="G31" s="454" t="s">
        <v>1405</v>
      </c>
      <c r="H31" s="396" t="s">
        <v>1434</v>
      </c>
      <c r="I31" s="397" t="s">
        <v>140</v>
      </c>
      <c r="J31" s="139" t="s">
        <v>139</v>
      </c>
      <c r="K31" s="398">
        <f t="shared" si="0"/>
        <v>90</v>
      </c>
      <c r="L31" s="399">
        <f t="shared" si="1"/>
        <v>0</v>
      </c>
      <c r="M31" s="395" t="s">
        <v>1559</v>
      </c>
      <c r="N31" s="144"/>
    </row>
    <row r="32" spans="1:14" s="118" customFormat="1" ht="144">
      <c r="A32" s="394">
        <v>11</v>
      </c>
      <c r="B32" s="394" t="s">
        <v>969</v>
      </c>
      <c r="C32" s="395" t="s">
        <v>473</v>
      </c>
      <c r="D32" s="127">
        <f>VLOOKUP(B32,[14]AssetDetails_UEM!$A$3:$X$1848,22,FALSE)</f>
        <v>119690</v>
      </c>
      <c r="E32" s="394" t="s">
        <v>1171</v>
      </c>
      <c r="F32" s="394" t="s">
        <v>1363</v>
      </c>
      <c r="G32" s="454" t="s">
        <v>1405</v>
      </c>
      <c r="H32" s="396" t="s">
        <v>1435</v>
      </c>
      <c r="I32" s="397" t="s">
        <v>140</v>
      </c>
      <c r="J32" s="139" t="s">
        <v>139</v>
      </c>
      <c r="K32" s="398">
        <f t="shared" si="0"/>
        <v>240</v>
      </c>
      <c r="L32" s="399">
        <f t="shared" si="1"/>
        <v>0</v>
      </c>
      <c r="M32" s="395" t="s">
        <v>1560</v>
      </c>
      <c r="N32" s="144"/>
    </row>
    <row r="33" spans="1:14" s="118" customFormat="1" ht="143.15" customHeight="1">
      <c r="A33" s="394">
        <v>12</v>
      </c>
      <c r="B33" s="394" t="s">
        <v>970</v>
      </c>
      <c r="C33" s="395" t="s">
        <v>474</v>
      </c>
      <c r="D33" s="128">
        <f>VLOOKUP(B33,[14]AssetDetails_UEM!$A$3:$X$1848,22,FALSE)</f>
        <v>15515</v>
      </c>
      <c r="E33" s="394" t="s">
        <v>1172</v>
      </c>
      <c r="F33" s="394" t="s">
        <v>1362</v>
      </c>
      <c r="G33" s="454" t="s">
        <v>1405</v>
      </c>
      <c r="H33" s="396" t="s">
        <v>1431</v>
      </c>
      <c r="I33" s="397" t="s">
        <v>140</v>
      </c>
      <c r="J33" s="139" t="s">
        <v>139</v>
      </c>
      <c r="K33" s="398">
        <f t="shared" si="0"/>
        <v>40</v>
      </c>
      <c r="L33" s="399">
        <f t="shared" si="1"/>
        <v>0</v>
      </c>
      <c r="M33" s="395" t="s">
        <v>1560</v>
      </c>
      <c r="N33" s="144"/>
    </row>
    <row r="34" spans="1:14" s="118" customFormat="1" ht="144">
      <c r="A34" s="394">
        <v>13</v>
      </c>
      <c r="B34" s="394" t="s">
        <v>971</v>
      </c>
      <c r="C34" s="395" t="s">
        <v>474</v>
      </c>
      <c r="D34" s="127">
        <f>VLOOKUP(B34,[14]AssetDetails_UEM!$A$3:$X$1848,22,FALSE)</f>
        <v>15515</v>
      </c>
      <c r="E34" s="394" t="s">
        <v>1173</v>
      </c>
      <c r="F34" s="394" t="s">
        <v>1362</v>
      </c>
      <c r="G34" s="454" t="s">
        <v>1405</v>
      </c>
      <c r="H34" s="396" t="s">
        <v>1430</v>
      </c>
      <c r="I34" s="397" t="s">
        <v>140</v>
      </c>
      <c r="J34" s="139" t="s">
        <v>139</v>
      </c>
      <c r="K34" s="398">
        <f t="shared" si="0"/>
        <v>40</v>
      </c>
      <c r="L34" s="399">
        <f t="shared" si="1"/>
        <v>0</v>
      </c>
      <c r="M34" s="395" t="s">
        <v>1558</v>
      </c>
      <c r="N34" s="144"/>
    </row>
    <row r="35" spans="1:14" s="118" customFormat="1" ht="180">
      <c r="A35" s="394">
        <v>14</v>
      </c>
      <c r="B35" s="394" t="s">
        <v>972</v>
      </c>
      <c r="C35" s="395" t="s">
        <v>483</v>
      </c>
      <c r="D35" s="127">
        <f>VLOOKUP(B35,[14]AssetDetails_UEM!$A$3:$X$1848,22,FALSE)</f>
        <v>10225</v>
      </c>
      <c r="E35" s="394" t="s">
        <v>1174</v>
      </c>
      <c r="F35" s="394" t="s">
        <v>1364</v>
      </c>
      <c r="G35" s="454" t="s">
        <v>1406</v>
      </c>
      <c r="H35" s="396" t="s">
        <v>1436</v>
      </c>
      <c r="I35" s="397" t="s">
        <v>140</v>
      </c>
      <c r="J35" s="139" t="s">
        <v>139</v>
      </c>
      <c r="K35" s="398">
        <f t="shared" si="0"/>
        <v>30</v>
      </c>
      <c r="L35" s="399">
        <f t="shared" si="1"/>
        <v>0</v>
      </c>
      <c r="M35" s="395" t="s">
        <v>1561</v>
      </c>
      <c r="N35" s="144"/>
    </row>
    <row r="36" spans="1:14" s="118" customFormat="1" ht="142" customHeight="1">
      <c r="A36" s="394">
        <v>15</v>
      </c>
      <c r="B36" s="394" t="s">
        <v>973</v>
      </c>
      <c r="C36" s="395" t="s">
        <v>162</v>
      </c>
      <c r="D36" s="127">
        <f>VLOOKUP(B36,[14]AssetDetails_UEM!$A$3:$X$1848,22,FALSE)</f>
        <v>10825</v>
      </c>
      <c r="E36" s="394" t="s">
        <v>1175</v>
      </c>
      <c r="F36" s="394" t="s">
        <v>1365</v>
      </c>
      <c r="G36" s="454" t="s">
        <v>1406</v>
      </c>
      <c r="H36" s="396" t="s">
        <v>859</v>
      </c>
      <c r="I36" s="397" t="s">
        <v>140</v>
      </c>
      <c r="J36" s="139" t="s">
        <v>139</v>
      </c>
      <c r="K36" s="398">
        <f t="shared" si="0"/>
        <v>30</v>
      </c>
      <c r="L36" s="399">
        <f t="shared" si="1"/>
        <v>0</v>
      </c>
      <c r="M36" s="395" t="s">
        <v>1562</v>
      </c>
      <c r="N36" s="144"/>
    </row>
    <row r="37" spans="1:14" s="118" customFormat="1" ht="147" customHeight="1">
      <c r="A37" s="394">
        <v>16</v>
      </c>
      <c r="B37" s="394" t="s">
        <v>526</v>
      </c>
      <c r="C37" s="395" t="s">
        <v>284</v>
      </c>
      <c r="D37" s="127">
        <f>VLOOKUP(B37,[14]AssetDetails_UEM!$A$3:$X$1848,22,FALSE)</f>
        <v>4510</v>
      </c>
      <c r="E37" s="394" t="s">
        <v>1176</v>
      </c>
      <c r="F37" s="394" t="s">
        <v>626</v>
      </c>
      <c r="G37" s="454" t="s">
        <v>1406</v>
      </c>
      <c r="H37" s="396" t="s">
        <v>1437</v>
      </c>
      <c r="I37" s="397" t="s">
        <v>140</v>
      </c>
      <c r="J37" s="139" t="s">
        <v>139</v>
      </c>
      <c r="K37" s="398">
        <f t="shared" si="0"/>
        <v>10</v>
      </c>
      <c r="L37" s="399">
        <f t="shared" si="1"/>
        <v>0</v>
      </c>
      <c r="M37" s="395" t="s">
        <v>1563</v>
      </c>
      <c r="N37" s="144"/>
    </row>
    <row r="38" spans="1:14" s="118" customFormat="1" ht="147" customHeight="1">
      <c r="A38" s="394">
        <v>17</v>
      </c>
      <c r="B38" s="394" t="s">
        <v>974</v>
      </c>
      <c r="C38" s="395" t="s">
        <v>284</v>
      </c>
      <c r="D38" s="127">
        <f>VLOOKUP(B38,[14]AssetDetails_UEM!$A$3:$X$1848,22,FALSE)</f>
        <v>4510</v>
      </c>
      <c r="E38" s="394" t="s">
        <v>1177</v>
      </c>
      <c r="F38" s="394" t="s">
        <v>626</v>
      </c>
      <c r="G38" s="590">
        <v>46085</v>
      </c>
      <c r="H38" s="591" t="s">
        <v>1438</v>
      </c>
      <c r="I38" s="592">
        <v>46092</v>
      </c>
      <c r="J38" s="139" t="s">
        <v>139</v>
      </c>
      <c r="K38" s="398">
        <f t="shared" si="0"/>
        <v>10</v>
      </c>
      <c r="L38" s="399">
        <f t="shared" si="1"/>
        <v>0</v>
      </c>
      <c r="M38" s="395" t="s">
        <v>1708</v>
      </c>
      <c r="N38" s="144"/>
    </row>
    <row r="39" spans="1:14" s="118" customFormat="1" ht="147" customHeight="1">
      <c r="A39" s="394">
        <v>18</v>
      </c>
      <c r="B39" s="394" t="s">
        <v>975</v>
      </c>
      <c r="C39" s="395" t="s">
        <v>483</v>
      </c>
      <c r="D39" s="127">
        <f>VLOOKUP(B39,[14]AssetDetails_UEM!$A$3:$X$1848,22,FALSE)</f>
        <v>10225</v>
      </c>
      <c r="E39" s="394" t="s">
        <v>1178</v>
      </c>
      <c r="F39" s="394" t="s">
        <v>1366</v>
      </c>
      <c r="G39" s="454" t="s">
        <v>1406</v>
      </c>
      <c r="H39" s="396" t="s">
        <v>810</v>
      </c>
      <c r="I39" s="397" t="s">
        <v>140</v>
      </c>
      <c r="J39" s="139" t="s">
        <v>139</v>
      </c>
      <c r="K39" s="398">
        <f t="shared" si="0"/>
        <v>30</v>
      </c>
      <c r="L39" s="399">
        <f t="shared" si="1"/>
        <v>0</v>
      </c>
      <c r="M39" s="395" t="s">
        <v>1564</v>
      </c>
      <c r="N39" s="144"/>
    </row>
    <row r="40" spans="1:14" s="118" customFormat="1" ht="114" customHeight="1">
      <c r="A40" s="394">
        <v>19</v>
      </c>
      <c r="B40" s="394" t="s">
        <v>976</v>
      </c>
      <c r="C40" s="395" t="s">
        <v>483</v>
      </c>
      <c r="D40" s="127">
        <f>VLOOKUP(B40,[14]AssetDetails_UEM!$A$3:$X$1848,22,FALSE)</f>
        <v>10225</v>
      </c>
      <c r="E40" s="394" t="s">
        <v>1179</v>
      </c>
      <c r="F40" s="394" t="s">
        <v>1366</v>
      </c>
      <c r="G40" s="454" t="s">
        <v>1406</v>
      </c>
      <c r="H40" s="396" t="s">
        <v>1439</v>
      </c>
      <c r="I40" s="397" t="s">
        <v>140</v>
      </c>
      <c r="J40" s="139" t="s">
        <v>139</v>
      </c>
      <c r="K40" s="398">
        <f t="shared" si="0"/>
        <v>30</v>
      </c>
      <c r="L40" s="399">
        <f t="shared" si="1"/>
        <v>0</v>
      </c>
      <c r="M40" s="395" t="s">
        <v>1553</v>
      </c>
      <c r="N40" s="144"/>
    </row>
    <row r="41" spans="1:14" s="118" customFormat="1" ht="137.15" customHeight="1">
      <c r="A41" s="394">
        <v>20</v>
      </c>
      <c r="B41" s="394" t="s">
        <v>977</v>
      </c>
      <c r="C41" s="395" t="s">
        <v>483</v>
      </c>
      <c r="D41" s="128">
        <f>VLOOKUP(B41,[14]AssetDetails_UEM!$A$3:$X$1848,22,FALSE)</f>
        <v>10225</v>
      </c>
      <c r="E41" s="394" t="s">
        <v>1180</v>
      </c>
      <c r="F41" s="394" t="s">
        <v>1366</v>
      </c>
      <c r="G41" s="454" t="s">
        <v>1406</v>
      </c>
      <c r="H41" s="396" t="s">
        <v>859</v>
      </c>
      <c r="I41" s="397" t="s">
        <v>140</v>
      </c>
      <c r="J41" s="139" t="s">
        <v>139</v>
      </c>
      <c r="K41" s="398">
        <f t="shared" si="0"/>
        <v>30</v>
      </c>
      <c r="L41" s="399">
        <f t="shared" si="1"/>
        <v>0</v>
      </c>
      <c r="M41" s="395" t="s">
        <v>1553</v>
      </c>
      <c r="N41" s="144"/>
    </row>
    <row r="42" spans="1:14" s="118" customFormat="1" ht="123" customHeight="1">
      <c r="A42" s="394">
        <v>21</v>
      </c>
      <c r="B42" s="394" t="s">
        <v>978</v>
      </c>
      <c r="C42" s="395" t="s">
        <v>483</v>
      </c>
      <c r="D42" s="127">
        <f>VLOOKUP(B42,[14]AssetDetails_UEM!$A$3:$X$1848,22,FALSE)</f>
        <v>10225</v>
      </c>
      <c r="E42" s="394" t="s">
        <v>1181</v>
      </c>
      <c r="F42" s="394" t="s">
        <v>1366</v>
      </c>
      <c r="G42" s="454" t="s">
        <v>1406</v>
      </c>
      <c r="H42" s="396" t="s">
        <v>809</v>
      </c>
      <c r="I42" s="397" t="s">
        <v>140</v>
      </c>
      <c r="J42" s="139" t="s">
        <v>139</v>
      </c>
      <c r="K42" s="398">
        <f t="shared" si="0"/>
        <v>30</v>
      </c>
      <c r="L42" s="399">
        <f t="shared" si="1"/>
        <v>0</v>
      </c>
      <c r="M42" s="395" t="s">
        <v>1565</v>
      </c>
      <c r="N42" s="144"/>
    </row>
    <row r="43" spans="1:14" s="118" customFormat="1" ht="133.5" customHeight="1">
      <c r="A43" s="394">
        <v>22</v>
      </c>
      <c r="B43" s="394" t="s">
        <v>979</v>
      </c>
      <c r="C43" s="395" t="s">
        <v>483</v>
      </c>
      <c r="D43" s="127">
        <f>VLOOKUP(B43,[14]AssetDetails_UEM!$A$3:$X$1848,22,FALSE)</f>
        <v>10225</v>
      </c>
      <c r="E43" s="394" t="s">
        <v>1182</v>
      </c>
      <c r="F43" s="394" t="s">
        <v>1366</v>
      </c>
      <c r="G43" s="454" t="s">
        <v>1406</v>
      </c>
      <c r="H43" s="396" t="s">
        <v>1440</v>
      </c>
      <c r="I43" s="397" t="s">
        <v>140</v>
      </c>
      <c r="J43" s="139" t="s">
        <v>139</v>
      </c>
      <c r="K43" s="398">
        <f t="shared" si="0"/>
        <v>30</v>
      </c>
      <c r="L43" s="399">
        <f t="shared" si="1"/>
        <v>0</v>
      </c>
      <c r="M43" s="395" t="s">
        <v>1565</v>
      </c>
      <c r="N43" s="144"/>
    </row>
    <row r="44" spans="1:14" s="118" customFormat="1" ht="144.5" customHeight="1">
      <c r="A44" s="394">
        <v>23</v>
      </c>
      <c r="B44" s="394" t="s">
        <v>980</v>
      </c>
      <c r="C44" s="395" t="s">
        <v>473</v>
      </c>
      <c r="D44" s="127">
        <f>VLOOKUP(B44,[14]AssetDetails_UEM!$A$3:$X$1848,22,FALSE)</f>
        <v>44510</v>
      </c>
      <c r="E44" s="394" t="s">
        <v>1183</v>
      </c>
      <c r="F44" s="394" t="s">
        <v>1362</v>
      </c>
      <c r="G44" s="454" t="s">
        <v>1406</v>
      </c>
      <c r="H44" s="396" t="s">
        <v>810</v>
      </c>
      <c r="I44" s="397" t="s">
        <v>140</v>
      </c>
      <c r="J44" s="139" t="s">
        <v>139</v>
      </c>
      <c r="K44" s="398">
        <f>ROUNDUP((D44/4999.99)*10,-1)</f>
        <v>90</v>
      </c>
      <c r="L44" s="399">
        <f t="shared" si="1"/>
        <v>0</v>
      </c>
      <c r="M44" s="395" t="s">
        <v>1560</v>
      </c>
      <c r="N44" s="144"/>
    </row>
    <row r="45" spans="1:14" s="118" customFormat="1" ht="140.5" customHeight="1">
      <c r="A45" s="394">
        <v>24</v>
      </c>
      <c r="B45" s="394" t="s">
        <v>981</v>
      </c>
      <c r="C45" s="395" t="s">
        <v>219</v>
      </c>
      <c r="D45" s="127">
        <f>VLOOKUP(B45,[14]AssetDetails_UEM!$A$3:$X$1848,22,FALSE)</f>
        <v>10705</v>
      </c>
      <c r="E45" s="394" t="s">
        <v>1184</v>
      </c>
      <c r="F45" s="394" t="s">
        <v>1367</v>
      </c>
      <c r="G45" s="454" t="s">
        <v>1408</v>
      </c>
      <c r="H45" s="396" t="s">
        <v>1441</v>
      </c>
      <c r="I45" s="397" t="s">
        <v>140</v>
      </c>
      <c r="J45" s="139" t="s">
        <v>139</v>
      </c>
      <c r="K45" s="398">
        <f t="shared" ref="K45" si="2">ROUNDUP((D45/4999.99)*10,-1)</f>
        <v>30</v>
      </c>
      <c r="L45" s="399">
        <f t="shared" si="1"/>
        <v>0</v>
      </c>
      <c r="M45" s="395" t="s">
        <v>1566</v>
      </c>
      <c r="N45" s="144"/>
    </row>
    <row r="46" spans="1:14" s="118" customFormat="1" ht="144">
      <c r="A46" s="394">
        <v>25</v>
      </c>
      <c r="B46" s="394" t="s">
        <v>982</v>
      </c>
      <c r="C46" s="395" t="s">
        <v>162</v>
      </c>
      <c r="D46" s="127">
        <f>VLOOKUP(B46,[14]AssetDetails_UEM!$A$3:$X$1848,22,FALSE)</f>
        <v>10825</v>
      </c>
      <c r="E46" s="394" t="s">
        <v>1185</v>
      </c>
      <c r="F46" s="394" t="s">
        <v>1365</v>
      </c>
      <c r="G46" s="587">
        <v>46086</v>
      </c>
      <c r="H46" s="588" t="s">
        <v>818</v>
      </c>
      <c r="I46" s="589">
        <v>46093</v>
      </c>
      <c r="J46" s="139" t="s">
        <v>139</v>
      </c>
      <c r="K46" s="398">
        <f t="shared" si="0"/>
        <v>30</v>
      </c>
      <c r="L46" s="399">
        <f t="shared" si="1"/>
        <v>0</v>
      </c>
      <c r="M46" s="395" t="s">
        <v>1709</v>
      </c>
      <c r="N46" s="144"/>
    </row>
    <row r="47" spans="1:14" s="118" customFormat="1" ht="171" customHeight="1">
      <c r="A47" s="394">
        <v>26</v>
      </c>
      <c r="B47" s="394" t="s">
        <v>983</v>
      </c>
      <c r="C47" s="395" t="s">
        <v>483</v>
      </c>
      <c r="D47" s="127">
        <f>VLOOKUP(B47,[14]AssetDetails_UEM!$A$3:$X$1848,22,FALSE)</f>
        <v>10225</v>
      </c>
      <c r="E47" s="394" t="s">
        <v>1186</v>
      </c>
      <c r="F47" s="394" t="s">
        <v>149</v>
      </c>
      <c r="G47" s="587">
        <v>46086</v>
      </c>
      <c r="H47" s="588" t="s">
        <v>1442</v>
      </c>
      <c r="I47" s="589">
        <v>46093</v>
      </c>
      <c r="J47" s="139" t="s">
        <v>139</v>
      </c>
      <c r="K47" s="398">
        <f t="shared" si="0"/>
        <v>30</v>
      </c>
      <c r="L47" s="399">
        <f t="shared" si="1"/>
        <v>0</v>
      </c>
      <c r="M47" s="395" t="s">
        <v>1708</v>
      </c>
      <c r="N47" s="144"/>
    </row>
    <row r="48" spans="1:14" s="118" customFormat="1" ht="147" customHeight="1">
      <c r="A48" s="394">
        <v>27</v>
      </c>
      <c r="B48" s="394" t="s">
        <v>984</v>
      </c>
      <c r="C48" s="395" t="s">
        <v>416</v>
      </c>
      <c r="D48" s="127">
        <f>VLOOKUP(B48,[14]AssetDetails_UEM!$A$3:$X$1848,22,FALSE)</f>
        <v>28630</v>
      </c>
      <c r="E48" s="394" t="s">
        <v>1187</v>
      </c>
      <c r="F48" s="394" t="s">
        <v>147</v>
      </c>
      <c r="G48" s="454" t="s">
        <v>1408</v>
      </c>
      <c r="H48" s="396" t="s">
        <v>1443</v>
      </c>
      <c r="I48" s="397" t="s">
        <v>140</v>
      </c>
      <c r="J48" s="139" t="s">
        <v>139</v>
      </c>
      <c r="K48" s="398">
        <f t="shared" si="0"/>
        <v>60</v>
      </c>
      <c r="L48" s="399">
        <f t="shared" si="1"/>
        <v>0</v>
      </c>
      <c r="M48" s="395" t="s">
        <v>1566</v>
      </c>
      <c r="N48" s="144"/>
    </row>
    <row r="49" spans="1:14" s="118" customFormat="1" ht="121" customHeight="1">
      <c r="A49" s="394">
        <v>28</v>
      </c>
      <c r="B49" s="394" t="s">
        <v>985</v>
      </c>
      <c r="C49" s="395" t="s">
        <v>416</v>
      </c>
      <c r="D49" s="127">
        <f>VLOOKUP(B49,[14]AssetDetails_UEM!$A$3:$X$1848,22,FALSE)</f>
        <v>28630</v>
      </c>
      <c r="E49" s="394" t="s">
        <v>1188</v>
      </c>
      <c r="F49" s="394" t="s">
        <v>147</v>
      </c>
      <c r="G49" s="454" t="s">
        <v>1408</v>
      </c>
      <c r="H49" s="396" t="s">
        <v>1444</v>
      </c>
      <c r="I49" s="397" t="s">
        <v>140</v>
      </c>
      <c r="J49" s="139" t="s">
        <v>139</v>
      </c>
      <c r="K49" s="398">
        <f t="shared" si="0"/>
        <v>60</v>
      </c>
      <c r="L49" s="399">
        <f t="shared" si="1"/>
        <v>0</v>
      </c>
      <c r="M49" s="395" t="s">
        <v>1566</v>
      </c>
      <c r="N49" s="144"/>
    </row>
    <row r="50" spans="1:14" s="118" customFormat="1" ht="127" customHeight="1">
      <c r="A50" s="394">
        <v>29</v>
      </c>
      <c r="B50" s="394" t="s">
        <v>986</v>
      </c>
      <c r="C50" s="395" t="s">
        <v>416</v>
      </c>
      <c r="D50" s="127">
        <f>VLOOKUP(B50,[14]AssetDetails_UEM!$A$3:$X$1848,22,FALSE)</f>
        <v>28630</v>
      </c>
      <c r="E50" s="394" t="s">
        <v>1189</v>
      </c>
      <c r="F50" s="394" t="s">
        <v>147</v>
      </c>
      <c r="G50" s="454" t="s">
        <v>1408</v>
      </c>
      <c r="H50" s="396" t="s">
        <v>1445</v>
      </c>
      <c r="I50" s="397" t="s">
        <v>140</v>
      </c>
      <c r="J50" s="139" t="s">
        <v>139</v>
      </c>
      <c r="K50" s="398">
        <f t="shared" si="0"/>
        <v>60</v>
      </c>
      <c r="L50" s="399">
        <f t="shared" si="1"/>
        <v>0</v>
      </c>
      <c r="M50" s="395" t="s">
        <v>1566</v>
      </c>
      <c r="N50" s="144"/>
    </row>
    <row r="51" spans="1:14" s="118" customFormat="1" ht="132" customHeight="1">
      <c r="A51" s="394">
        <v>30</v>
      </c>
      <c r="B51" s="394" t="s">
        <v>987</v>
      </c>
      <c r="C51" s="395" t="s">
        <v>416</v>
      </c>
      <c r="D51" s="127">
        <f>VLOOKUP(B51,[14]AssetDetails_UEM!$A$3:$X$1848,22,FALSE)</f>
        <v>28630</v>
      </c>
      <c r="E51" s="394" t="s">
        <v>1190</v>
      </c>
      <c r="F51" s="394" t="s">
        <v>147</v>
      </c>
      <c r="G51" s="454" t="s">
        <v>1408</v>
      </c>
      <c r="H51" s="396" t="s">
        <v>860</v>
      </c>
      <c r="I51" s="397" t="s">
        <v>140</v>
      </c>
      <c r="J51" s="139" t="s">
        <v>139</v>
      </c>
      <c r="K51" s="398">
        <f t="shared" si="0"/>
        <v>60</v>
      </c>
      <c r="L51" s="399">
        <f t="shared" si="1"/>
        <v>0</v>
      </c>
      <c r="M51" s="395" t="s">
        <v>1566</v>
      </c>
      <c r="N51" s="144"/>
    </row>
    <row r="52" spans="1:14" s="118" customFormat="1" ht="123" customHeight="1">
      <c r="A52" s="394">
        <v>31</v>
      </c>
      <c r="B52" s="394" t="s">
        <v>528</v>
      </c>
      <c r="C52" s="395" t="s">
        <v>416</v>
      </c>
      <c r="D52" s="127">
        <f>VLOOKUP(B52,[14]AssetDetails_UEM!$A$3:$X$1848,22,FALSE)</f>
        <v>28630</v>
      </c>
      <c r="E52" s="394" t="s">
        <v>1191</v>
      </c>
      <c r="F52" s="394" t="s">
        <v>147</v>
      </c>
      <c r="G52" s="454" t="s">
        <v>1408</v>
      </c>
      <c r="H52" s="396" t="s">
        <v>856</v>
      </c>
      <c r="I52" s="397" t="s">
        <v>140</v>
      </c>
      <c r="J52" s="139" t="s">
        <v>139</v>
      </c>
      <c r="K52" s="398">
        <f t="shared" si="0"/>
        <v>60</v>
      </c>
      <c r="L52" s="399">
        <f t="shared" si="1"/>
        <v>0</v>
      </c>
      <c r="M52" s="395" t="s">
        <v>1567</v>
      </c>
      <c r="N52" s="144"/>
    </row>
    <row r="53" spans="1:14" s="118" customFormat="1" ht="135" customHeight="1">
      <c r="A53" s="394">
        <v>32</v>
      </c>
      <c r="B53" s="394" t="s">
        <v>988</v>
      </c>
      <c r="C53" s="395" t="s">
        <v>416</v>
      </c>
      <c r="D53" s="127">
        <f>VLOOKUP(B53,[14]AssetDetails_UEM!$A$3:$X$1848,22,FALSE)</f>
        <v>28630</v>
      </c>
      <c r="E53" s="394" t="s">
        <v>1192</v>
      </c>
      <c r="F53" s="394" t="s">
        <v>147</v>
      </c>
      <c r="G53" s="454" t="s">
        <v>1408</v>
      </c>
      <c r="H53" s="396" t="s">
        <v>861</v>
      </c>
      <c r="I53" s="397" t="s">
        <v>140</v>
      </c>
      <c r="J53" s="139" t="s">
        <v>139</v>
      </c>
      <c r="K53" s="398">
        <f t="shared" si="0"/>
        <v>60</v>
      </c>
      <c r="L53" s="399">
        <f t="shared" si="1"/>
        <v>0</v>
      </c>
      <c r="M53" s="395" t="s">
        <v>1568</v>
      </c>
      <c r="N53" s="144"/>
    </row>
    <row r="54" spans="1:14" s="118" customFormat="1" ht="108">
      <c r="A54" s="394">
        <v>33</v>
      </c>
      <c r="B54" s="394" t="s">
        <v>989</v>
      </c>
      <c r="C54" s="395" t="s">
        <v>1144</v>
      </c>
      <c r="D54" s="127">
        <f>VLOOKUP(B54,[14]AssetDetails_UEM!$A$3:$X$1848,22,FALSE)</f>
        <v>5050</v>
      </c>
      <c r="E54" s="394" t="s">
        <v>1193</v>
      </c>
      <c r="F54" s="394" t="s">
        <v>648</v>
      </c>
      <c r="G54" s="454" t="s">
        <v>1408</v>
      </c>
      <c r="H54" s="396" t="s">
        <v>1445</v>
      </c>
      <c r="I54" s="397" t="s">
        <v>140</v>
      </c>
      <c r="J54" s="139" t="s">
        <v>139</v>
      </c>
      <c r="K54" s="398">
        <f t="shared" si="0"/>
        <v>20</v>
      </c>
      <c r="L54" s="399">
        <f t="shared" si="1"/>
        <v>0</v>
      </c>
      <c r="M54" s="395" t="s">
        <v>1569</v>
      </c>
      <c r="N54" s="144"/>
    </row>
    <row r="55" spans="1:14" s="118" customFormat="1" ht="108">
      <c r="A55" s="394">
        <v>34</v>
      </c>
      <c r="B55" s="394" t="s">
        <v>990</v>
      </c>
      <c r="C55" s="395" t="s">
        <v>1144</v>
      </c>
      <c r="D55" s="127">
        <f>VLOOKUP(B55,[14]AssetDetails_UEM!$A$3:$X$1848,22,FALSE)</f>
        <v>5050</v>
      </c>
      <c r="E55" s="394" t="s">
        <v>1194</v>
      </c>
      <c r="F55" s="394" t="s">
        <v>648</v>
      </c>
      <c r="G55" s="454" t="s">
        <v>1408</v>
      </c>
      <c r="H55" s="396" t="s">
        <v>1443</v>
      </c>
      <c r="I55" s="397" t="s">
        <v>140</v>
      </c>
      <c r="J55" s="139" t="s">
        <v>139</v>
      </c>
      <c r="K55" s="398">
        <f t="shared" si="0"/>
        <v>20</v>
      </c>
      <c r="L55" s="399">
        <f t="shared" si="1"/>
        <v>0</v>
      </c>
      <c r="M55" s="395" t="s">
        <v>1562</v>
      </c>
      <c r="N55" s="144"/>
    </row>
    <row r="56" spans="1:14" s="118" customFormat="1" ht="144">
      <c r="A56" s="394">
        <v>35</v>
      </c>
      <c r="B56" s="394" t="s">
        <v>991</v>
      </c>
      <c r="C56" s="395" t="s">
        <v>474</v>
      </c>
      <c r="D56" s="127">
        <f>VLOOKUP(B56,[14]AssetDetails_UEM!$A$3:$X$1848,22,FALSE)</f>
        <v>15515</v>
      </c>
      <c r="E56" s="394" t="s">
        <v>1195</v>
      </c>
      <c r="F56" s="394" t="s">
        <v>1368</v>
      </c>
      <c r="G56" s="454" t="s">
        <v>1408</v>
      </c>
      <c r="H56" s="396" t="s">
        <v>1446</v>
      </c>
      <c r="I56" s="397" t="s">
        <v>140</v>
      </c>
      <c r="J56" s="139" t="s">
        <v>139</v>
      </c>
      <c r="K56" s="398">
        <f t="shared" si="0"/>
        <v>40</v>
      </c>
      <c r="L56" s="399">
        <f t="shared" si="1"/>
        <v>0</v>
      </c>
      <c r="M56" s="395" t="s">
        <v>1570</v>
      </c>
      <c r="N56" s="144"/>
    </row>
    <row r="57" spans="1:14" s="118" customFormat="1" ht="168" customHeight="1">
      <c r="A57" s="394">
        <v>36</v>
      </c>
      <c r="B57" s="394" t="s">
        <v>992</v>
      </c>
      <c r="C57" s="395" t="s">
        <v>474</v>
      </c>
      <c r="D57" s="127">
        <f>VLOOKUP(B57,[14]AssetDetails_UEM!$A$3:$X$1848,22,FALSE)</f>
        <v>15515</v>
      </c>
      <c r="E57" s="394" t="s">
        <v>1196</v>
      </c>
      <c r="F57" s="394" t="s">
        <v>1368</v>
      </c>
      <c r="G57" s="454" t="s">
        <v>1408</v>
      </c>
      <c r="H57" s="396" t="s">
        <v>861</v>
      </c>
      <c r="I57" s="397" t="s">
        <v>140</v>
      </c>
      <c r="J57" s="139" t="s">
        <v>139</v>
      </c>
      <c r="K57" s="398">
        <f t="shared" si="0"/>
        <v>40</v>
      </c>
      <c r="L57" s="399">
        <f t="shared" si="1"/>
        <v>0</v>
      </c>
      <c r="M57" s="395" t="s">
        <v>1571</v>
      </c>
      <c r="N57" s="144"/>
    </row>
    <row r="58" spans="1:14" s="119" customFormat="1" ht="126" customHeight="1">
      <c r="A58" s="394">
        <v>37</v>
      </c>
      <c r="B58" s="394" t="s">
        <v>993</v>
      </c>
      <c r="C58" s="395" t="s">
        <v>1144</v>
      </c>
      <c r="D58" s="129">
        <f>VLOOKUP(B58,[14]AssetDetails_UEM!$A$3:$X$1848,22,FALSE)</f>
        <v>10585</v>
      </c>
      <c r="E58" s="394" t="s">
        <v>1197</v>
      </c>
      <c r="F58" s="394" t="s">
        <v>647</v>
      </c>
      <c r="G58" s="454" t="s">
        <v>1408</v>
      </c>
      <c r="H58" s="396" t="s">
        <v>1444</v>
      </c>
      <c r="I58" s="403" t="s">
        <v>140</v>
      </c>
      <c r="J58" s="140" t="s">
        <v>139</v>
      </c>
      <c r="K58" s="404">
        <f>ROUNDUP((D58/4999.99)*10,-1)</f>
        <v>30</v>
      </c>
      <c r="L58" s="405">
        <f>IF(J58="N",0,K58)</f>
        <v>0</v>
      </c>
      <c r="M58" s="402" t="s">
        <v>1562</v>
      </c>
      <c r="N58" s="145"/>
    </row>
    <row r="59" spans="1:14" s="118" customFormat="1" ht="142.5" customHeight="1">
      <c r="A59" s="394">
        <v>38</v>
      </c>
      <c r="B59" s="394" t="s">
        <v>994</v>
      </c>
      <c r="C59" s="395" t="s">
        <v>474</v>
      </c>
      <c r="D59" s="127">
        <f>VLOOKUP(B59,[14]AssetDetails_UEM!$A$3:$X$1848,22,FALSE)</f>
        <v>15515</v>
      </c>
      <c r="E59" s="394" t="s">
        <v>1198</v>
      </c>
      <c r="F59" s="394" t="s">
        <v>445</v>
      </c>
      <c r="G59" s="454" t="s">
        <v>1410</v>
      </c>
      <c r="H59" s="396" t="s">
        <v>1447</v>
      </c>
      <c r="I59" s="397" t="s">
        <v>140</v>
      </c>
      <c r="J59" s="139" t="s">
        <v>139</v>
      </c>
      <c r="K59" s="398">
        <f t="shared" si="0"/>
        <v>40</v>
      </c>
      <c r="L59" s="399">
        <f t="shared" si="1"/>
        <v>0</v>
      </c>
      <c r="M59" s="395" t="s">
        <v>1560</v>
      </c>
      <c r="N59" s="144"/>
    </row>
    <row r="60" spans="1:14" s="118" customFormat="1" ht="108">
      <c r="A60" s="394">
        <v>39</v>
      </c>
      <c r="B60" s="394" t="s">
        <v>995</v>
      </c>
      <c r="C60" s="395" t="s">
        <v>162</v>
      </c>
      <c r="D60" s="127">
        <f>VLOOKUP(B60,[14]AssetDetails_UEM!$A$3:$X$1848,22,FALSE)</f>
        <v>10825</v>
      </c>
      <c r="E60" s="394" t="s">
        <v>1199</v>
      </c>
      <c r="F60" s="394" t="s">
        <v>1366</v>
      </c>
      <c r="G60" s="454" t="s">
        <v>1410</v>
      </c>
      <c r="H60" s="396" t="s">
        <v>1448</v>
      </c>
      <c r="I60" s="397" t="s">
        <v>140</v>
      </c>
      <c r="J60" s="139" t="s">
        <v>139</v>
      </c>
      <c r="K60" s="398">
        <f t="shared" si="0"/>
        <v>30</v>
      </c>
      <c r="L60" s="399">
        <f t="shared" si="1"/>
        <v>0</v>
      </c>
      <c r="M60" s="395" t="s">
        <v>1553</v>
      </c>
      <c r="N60" s="144"/>
    </row>
    <row r="61" spans="1:14" s="118" customFormat="1" ht="108">
      <c r="A61" s="394">
        <v>40</v>
      </c>
      <c r="B61" s="394" t="s">
        <v>996</v>
      </c>
      <c r="C61" s="395" t="s">
        <v>162</v>
      </c>
      <c r="D61" s="127">
        <f>VLOOKUP(B61,[14]AssetDetails_UEM!$A$3:$X$1848,22,FALSE)</f>
        <v>10825</v>
      </c>
      <c r="E61" s="394" t="s">
        <v>1200</v>
      </c>
      <c r="F61" s="394" t="s">
        <v>1366</v>
      </c>
      <c r="G61" s="454" t="s">
        <v>1410</v>
      </c>
      <c r="H61" s="396" t="s">
        <v>757</v>
      </c>
      <c r="I61" s="397" t="s">
        <v>140</v>
      </c>
      <c r="J61" s="139" t="s">
        <v>139</v>
      </c>
      <c r="K61" s="398">
        <f t="shared" si="0"/>
        <v>30</v>
      </c>
      <c r="L61" s="399">
        <f t="shared" si="1"/>
        <v>0</v>
      </c>
      <c r="M61" s="395" t="s">
        <v>1572</v>
      </c>
      <c r="N61" s="144"/>
    </row>
    <row r="62" spans="1:14" s="118" customFormat="1" ht="144">
      <c r="A62" s="394">
        <v>41</v>
      </c>
      <c r="B62" s="394" t="s">
        <v>997</v>
      </c>
      <c r="C62" s="395" t="s">
        <v>475</v>
      </c>
      <c r="D62" s="127">
        <f>VLOOKUP(B62,[14]AssetDetails_UEM!$A$3:$X$1848,22,FALSE)</f>
        <v>132310</v>
      </c>
      <c r="E62" s="394" t="s">
        <v>1201</v>
      </c>
      <c r="F62" s="394" t="s">
        <v>1369</v>
      </c>
      <c r="G62" s="454" t="s">
        <v>1410</v>
      </c>
      <c r="H62" s="396" t="s">
        <v>1449</v>
      </c>
      <c r="I62" s="397" t="s">
        <v>140</v>
      </c>
      <c r="J62" s="139" t="s">
        <v>139</v>
      </c>
      <c r="K62" s="398">
        <f t="shared" si="0"/>
        <v>270</v>
      </c>
      <c r="L62" s="399">
        <f t="shared" si="1"/>
        <v>0</v>
      </c>
      <c r="M62" s="395" t="s">
        <v>1558</v>
      </c>
      <c r="N62" s="144"/>
    </row>
    <row r="63" spans="1:14" s="118" customFormat="1" ht="191.25" customHeight="1">
      <c r="A63" s="394">
        <v>42</v>
      </c>
      <c r="B63" s="394" t="s">
        <v>998</v>
      </c>
      <c r="C63" s="395" t="s">
        <v>284</v>
      </c>
      <c r="D63" s="127">
        <f>VLOOKUP(B63,[14]AssetDetails_UEM!$A$3:$X$1848,22,FALSE)</f>
        <v>4510</v>
      </c>
      <c r="E63" s="394" t="s">
        <v>1202</v>
      </c>
      <c r="F63" s="394" t="s">
        <v>161</v>
      </c>
      <c r="G63" s="454" t="s">
        <v>1410</v>
      </c>
      <c r="H63" s="396" t="s">
        <v>1450</v>
      </c>
      <c r="I63" s="397" t="s">
        <v>140</v>
      </c>
      <c r="J63" s="139" t="s">
        <v>139</v>
      </c>
      <c r="K63" s="398">
        <f t="shared" si="0"/>
        <v>10</v>
      </c>
      <c r="L63" s="399">
        <f t="shared" si="1"/>
        <v>0</v>
      </c>
      <c r="M63" s="395" t="s">
        <v>1573</v>
      </c>
      <c r="N63" s="144"/>
    </row>
    <row r="64" spans="1:14" s="118" customFormat="1" ht="213" customHeight="1">
      <c r="A64" s="394">
        <v>43</v>
      </c>
      <c r="B64" s="394" t="s">
        <v>999</v>
      </c>
      <c r="C64" s="395" t="s">
        <v>197</v>
      </c>
      <c r="D64" s="127">
        <f>VLOOKUP(B64,[14]AssetDetails_UEM!$A$3:$X$1848,22,FALSE)</f>
        <v>80000</v>
      </c>
      <c r="E64" s="394" t="s">
        <v>1203</v>
      </c>
      <c r="F64" s="394" t="s">
        <v>247</v>
      </c>
      <c r="G64" s="587">
        <v>46090</v>
      </c>
      <c r="H64" s="588" t="s">
        <v>766</v>
      </c>
      <c r="I64" s="589">
        <v>46097</v>
      </c>
      <c r="J64" s="139" t="s">
        <v>139</v>
      </c>
      <c r="K64" s="398">
        <f t="shared" si="0"/>
        <v>170</v>
      </c>
      <c r="L64" s="399">
        <f t="shared" si="1"/>
        <v>0</v>
      </c>
      <c r="M64" s="395" t="s">
        <v>1707</v>
      </c>
      <c r="N64" s="144"/>
    </row>
    <row r="65" spans="1:14" s="118" customFormat="1" ht="183" customHeight="1">
      <c r="A65" s="394">
        <v>44</v>
      </c>
      <c r="B65" s="394" t="s">
        <v>1000</v>
      </c>
      <c r="C65" s="395" t="s">
        <v>473</v>
      </c>
      <c r="D65" s="127">
        <f>VLOOKUP(B65,[14]AssetDetails_UEM!$A$3:$X$1848,22,FALSE)</f>
        <v>44510</v>
      </c>
      <c r="E65" s="394" t="s">
        <v>1204</v>
      </c>
      <c r="F65" s="394" t="s">
        <v>1368</v>
      </c>
      <c r="G65" s="454" t="s">
        <v>1412</v>
      </c>
      <c r="H65" s="396" t="s">
        <v>1451</v>
      </c>
      <c r="I65" s="397" t="s">
        <v>140</v>
      </c>
      <c r="J65" s="139" t="s">
        <v>139</v>
      </c>
      <c r="K65" s="398">
        <f t="shared" si="0"/>
        <v>90</v>
      </c>
      <c r="L65" s="399">
        <f t="shared" si="1"/>
        <v>0</v>
      </c>
      <c r="M65" s="395" t="s">
        <v>1571</v>
      </c>
      <c r="N65" s="144"/>
    </row>
    <row r="66" spans="1:14" s="119" customFormat="1" ht="160" customHeight="1">
      <c r="A66" s="394">
        <v>45</v>
      </c>
      <c r="B66" s="394" t="s">
        <v>1001</v>
      </c>
      <c r="C66" s="395" t="s">
        <v>473</v>
      </c>
      <c r="D66" s="129">
        <f>VLOOKUP(B66,[14]AssetDetails_UEM!$A$3:$X$1848,22,FALSE)</f>
        <v>20000</v>
      </c>
      <c r="E66" s="394" t="s">
        <v>1205</v>
      </c>
      <c r="F66" s="394" t="s">
        <v>650</v>
      </c>
      <c r="G66" s="454" t="s">
        <v>1412</v>
      </c>
      <c r="H66" s="396" t="s">
        <v>1442</v>
      </c>
      <c r="I66" s="403" t="s">
        <v>140</v>
      </c>
      <c r="J66" s="140" t="s">
        <v>139</v>
      </c>
      <c r="K66" s="404">
        <f t="shared" si="0"/>
        <v>50</v>
      </c>
      <c r="L66" s="405">
        <f t="shared" si="1"/>
        <v>0</v>
      </c>
      <c r="M66" s="395" t="s">
        <v>1571</v>
      </c>
      <c r="N66" s="145"/>
    </row>
    <row r="67" spans="1:14" s="118" customFormat="1" ht="103" customHeight="1">
      <c r="A67" s="394">
        <v>46</v>
      </c>
      <c r="B67" s="394" t="s">
        <v>1002</v>
      </c>
      <c r="C67" s="395" t="s">
        <v>473</v>
      </c>
      <c r="D67" s="127">
        <f>VLOOKUP(B67,[14]AssetDetails_UEM!$A$3:$X$1848,22,FALSE)</f>
        <v>20000</v>
      </c>
      <c r="E67" s="394" t="s">
        <v>1206</v>
      </c>
      <c r="F67" s="394" t="s">
        <v>221</v>
      </c>
      <c r="G67" s="454" t="s">
        <v>1412</v>
      </c>
      <c r="H67" s="396" t="s">
        <v>1452</v>
      </c>
      <c r="I67" s="397" t="s">
        <v>140</v>
      </c>
      <c r="J67" s="139" t="s">
        <v>139</v>
      </c>
      <c r="K67" s="398">
        <f t="shared" si="0"/>
        <v>50</v>
      </c>
      <c r="L67" s="399">
        <f t="shared" si="1"/>
        <v>0</v>
      </c>
      <c r="M67" s="395" t="s">
        <v>1571</v>
      </c>
      <c r="N67" s="144"/>
    </row>
    <row r="68" spans="1:14" s="118" customFormat="1" ht="108">
      <c r="A68" s="394">
        <v>47</v>
      </c>
      <c r="B68" s="394" t="s">
        <v>1003</v>
      </c>
      <c r="C68" s="395" t="s">
        <v>1145</v>
      </c>
      <c r="D68" s="127">
        <f>VLOOKUP(B68,[14]AssetDetails_UEM!$A$3:$X$1848,22,FALSE)</f>
        <v>1149550</v>
      </c>
      <c r="E68" s="394" t="s">
        <v>1207</v>
      </c>
      <c r="F68" s="394" t="s">
        <v>624</v>
      </c>
      <c r="G68" s="587">
        <v>46091</v>
      </c>
      <c r="H68" s="588" t="s">
        <v>1453</v>
      </c>
      <c r="I68" s="589">
        <v>46098</v>
      </c>
      <c r="J68" s="139" t="s">
        <v>139</v>
      </c>
      <c r="K68" s="398">
        <f t="shared" si="0"/>
        <v>2300</v>
      </c>
      <c r="L68" s="399">
        <f t="shared" si="1"/>
        <v>0</v>
      </c>
      <c r="M68" s="395" t="s">
        <v>1710</v>
      </c>
      <c r="N68" s="144"/>
    </row>
    <row r="69" spans="1:14" s="118" customFormat="1" ht="108">
      <c r="A69" s="394">
        <v>48</v>
      </c>
      <c r="B69" s="394" t="s">
        <v>522</v>
      </c>
      <c r="C69" s="395" t="s">
        <v>1145</v>
      </c>
      <c r="D69" s="127">
        <f>VLOOKUP(B69,[14]AssetDetails_UEM!$A$3:$X$1848,22,FALSE)</f>
        <v>1149550</v>
      </c>
      <c r="E69" s="394" t="s">
        <v>1208</v>
      </c>
      <c r="F69" s="394" t="s">
        <v>624</v>
      </c>
      <c r="G69" s="587">
        <v>46091</v>
      </c>
      <c r="H69" s="587">
        <v>46097.375</v>
      </c>
      <c r="I69" s="589">
        <v>46098</v>
      </c>
      <c r="J69" s="139" t="s">
        <v>139</v>
      </c>
      <c r="K69" s="398">
        <f t="shared" si="0"/>
        <v>2300</v>
      </c>
      <c r="L69" s="399">
        <f t="shared" si="1"/>
        <v>0</v>
      </c>
      <c r="M69" s="395" t="s">
        <v>1711</v>
      </c>
      <c r="N69" s="144"/>
    </row>
    <row r="70" spans="1:14" s="118" customFormat="1" ht="108">
      <c r="A70" s="394">
        <v>49</v>
      </c>
      <c r="B70" s="394" t="s">
        <v>1004</v>
      </c>
      <c r="C70" s="395" t="s">
        <v>474</v>
      </c>
      <c r="D70" s="127">
        <f>VLOOKUP(B70,[14]AssetDetails_UEM!$A$3:$X$1848,22,FALSE)</f>
        <v>15515</v>
      </c>
      <c r="E70" s="394" t="s">
        <v>1209</v>
      </c>
      <c r="F70" s="394" t="s">
        <v>446</v>
      </c>
      <c r="G70" s="454" t="s">
        <v>1414</v>
      </c>
      <c r="H70" s="396" t="s">
        <v>1454</v>
      </c>
      <c r="I70" s="397" t="s">
        <v>140</v>
      </c>
      <c r="J70" s="139" t="s">
        <v>139</v>
      </c>
      <c r="K70" s="398">
        <f t="shared" si="0"/>
        <v>40</v>
      </c>
      <c r="L70" s="399">
        <f t="shared" si="1"/>
        <v>0</v>
      </c>
      <c r="M70" s="395" t="s">
        <v>1574</v>
      </c>
      <c r="N70" s="144"/>
    </row>
    <row r="71" spans="1:14" s="118" customFormat="1" ht="108">
      <c r="A71" s="394">
        <v>50</v>
      </c>
      <c r="B71" s="394" t="s">
        <v>1005</v>
      </c>
      <c r="C71" s="395" t="s">
        <v>474</v>
      </c>
      <c r="D71" s="127">
        <f>VLOOKUP(B71,[14]AssetDetails_UEM!$A$3:$X$1848,22,FALSE)</f>
        <v>15515</v>
      </c>
      <c r="E71" s="394" t="s">
        <v>1210</v>
      </c>
      <c r="F71" s="394" t="s">
        <v>1370</v>
      </c>
      <c r="G71" s="454" t="s">
        <v>1414</v>
      </c>
      <c r="H71" s="396" t="s">
        <v>1455</v>
      </c>
      <c r="I71" s="397" t="s">
        <v>140</v>
      </c>
      <c r="J71" s="139" t="s">
        <v>139</v>
      </c>
      <c r="K71" s="398">
        <f t="shared" si="0"/>
        <v>40</v>
      </c>
      <c r="L71" s="399">
        <f t="shared" si="1"/>
        <v>0</v>
      </c>
      <c r="M71" s="395" t="s">
        <v>1574</v>
      </c>
      <c r="N71" s="144"/>
    </row>
    <row r="72" spans="1:14" s="118" customFormat="1" ht="108">
      <c r="A72" s="394">
        <v>51</v>
      </c>
      <c r="B72" s="394" t="s">
        <v>1006</v>
      </c>
      <c r="C72" s="395" t="s">
        <v>284</v>
      </c>
      <c r="D72" s="127">
        <f>VLOOKUP(B72,[14]AssetDetails_UEM!$A$3:$X$1848,22,FALSE)</f>
        <v>4510</v>
      </c>
      <c r="E72" s="394" t="s">
        <v>1211</v>
      </c>
      <c r="F72" s="394" t="s">
        <v>651</v>
      </c>
      <c r="G72" s="454" t="s">
        <v>1414</v>
      </c>
      <c r="H72" s="396" t="s">
        <v>1456</v>
      </c>
      <c r="I72" s="397" t="s">
        <v>140</v>
      </c>
      <c r="J72" s="139" t="s">
        <v>139</v>
      </c>
      <c r="K72" s="398">
        <f t="shared" si="0"/>
        <v>10</v>
      </c>
      <c r="L72" s="399">
        <f t="shared" si="1"/>
        <v>0</v>
      </c>
      <c r="M72" s="395" t="s">
        <v>1574</v>
      </c>
      <c r="N72" s="144"/>
    </row>
    <row r="73" spans="1:14" s="118" customFormat="1" ht="69" customHeight="1">
      <c r="A73" s="394">
        <v>52</v>
      </c>
      <c r="B73" s="394" t="s">
        <v>1007</v>
      </c>
      <c r="C73" s="395" t="s">
        <v>483</v>
      </c>
      <c r="D73" s="127">
        <f>VLOOKUP(B73,[14]AssetDetails_UEM!$A$3:$X$1848,22,FALSE)</f>
        <v>10225</v>
      </c>
      <c r="E73" s="394" t="s">
        <v>1212</v>
      </c>
      <c r="F73" s="394" t="s">
        <v>1365</v>
      </c>
      <c r="G73" s="454" t="s">
        <v>1414</v>
      </c>
      <c r="H73" s="396" t="s">
        <v>767</v>
      </c>
      <c r="I73" s="397" t="s">
        <v>140</v>
      </c>
      <c r="J73" s="139" t="s">
        <v>139</v>
      </c>
      <c r="K73" s="398">
        <f t="shared" si="0"/>
        <v>30</v>
      </c>
      <c r="L73" s="399">
        <f t="shared" si="1"/>
        <v>0</v>
      </c>
      <c r="M73" s="395" t="s">
        <v>1562</v>
      </c>
      <c r="N73" s="144"/>
    </row>
    <row r="74" spans="1:14" s="118" customFormat="1" ht="128.15" customHeight="1">
      <c r="A74" s="394">
        <v>53</v>
      </c>
      <c r="B74" s="394" t="s">
        <v>1008</v>
      </c>
      <c r="C74" s="395" t="s">
        <v>162</v>
      </c>
      <c r="D74" s="127">
        <f>VLOOKUP(B74,[14]AssetDetails_UEM!$A$3:$X$1848,22,FALSE)</f>
        <v>10825</v>
      </c>
      <c r="E74" s="394" t="s">
        <v>1213</v>
      </c>
      <c r="F74" s="394" t="s">
        <v>1366</v>
      </c>
      <c r="G74" s="454" t="s">
        <v>1414</v>
      </c>
      <c r="H74" s="396" t="s">
        <v>766</v>
      </c>
      <c r="I74" s="397" t="s">
        <v>140</v>
      </c>
      <c r="J74" s="139" t="s">
        <v>139</v>
      </c>
      <c r="K74" s="398">
        <f t="shared" si="0"/>
        <v>30</v>
      </c>
      <c r="L74" s="399">
        <f t="shared" si="1"/>
        <v>0</v>
      </c>
      <c r="M74" s="395" t="s">
        <v>1553</v>
      </c>
      <c r="N74" s="144"/>
    </row>
    <row r="75" spans="1:14" s="118" customFormat="1" ht="108" customHeight="1">
      <c r="A75" s="394">
        <v>54</v>
      </c>
      <c r="B75" s="394" t="s">
        <v>1009</v>
      </c>
      <c r="C75" s="395" t="s">
        <v>162</v>
      </c>
      <c r="D75" s="127">
        <f>VLOOKUP(B75,[14]AssetDetails_UEM!$A$3:$X$1848,22,FALSE)</f>
        <v>10825</v>
      </c>
      <c r="E75" s="394" t="s">
        <v>1214</v>
      </c>
      <c r="F75" s="394" t="s">
        <v>1371</v>
      </c>
      <c r="G75" s="454" t="s">
        <v>1414</v>
      </c>
      <c r="H75" s="396" t="s">
        <v>1457</v>
      </c>
      <c r="I75" s="397" t="s">
        <v>140</v>
      </c>
      <c r="J75" s="139" t="s">
        <v>139</v>
      </c>
      <c r="K75" s="398">
        <f t="shared" si="0"/>
        <v>30</v>
      </c>
      <c r="L75" s="399">
        <f t="shared" si="1"/>
        <v>0</v>
      </c>
      <c r="M75" s="395" t="s">
        <v>1553</v>
      </c>
      <c r="N75" s="144"/>
    </row>
    <row r="76" spans="1:14" s="118" customFormat="1" ht="129" customHeight="1">
      <c r="A76" s="394">
        <v>55</v>
      </c>
      <c r="B76" s="394" t="s">
        <v>1010</v>
      </c>
      <c r="C76" s="395" t="s">
        <v>476</v>
      </c>
      <c r="D76" s="127">
        <f>VLOOKUP(B76,[14]AssetDetails_UEM!$A$3:$X$1848,22,FALSE)</f>
        <v>12630</v>
      </c>
      <c r="E76" s="394" t="s">
        <v>1215</v>
      </c>
      <c r="F76" s="394" t="s">
        <v>159</v>
      </c>
      <c r="G76" s="454" t="s">
        <v>1414</v>
      </c>
      <c r="H76" s="396" t="s">
        <v>1458</v>
      </c>
      <c r="I76" s="397" t="s">
        <v>140</v>
      </c>
      <c r="J76" s="139" t="s">
        <v>139</v>
      </c>
      <c r="K76" s="398">
        <f t="shared" si="0"/>
        <v>30</v>
      </c>
      <c r="L76" s="399">
        <f t="shared" si="1"/>
        <v>0</v>
      </c>
      <c r="M76" s="395" t="s">
        <v>1574</v>
      </c>
      <c r="N76" s="144"/>
    </row>
    <row r="77" spans="1:14" s="119" customFormat="1" ht="112.5" customHeight="1">
      <c r="A77" s="394">
        <v>56</v>
      </c>
      <c r="B77" s="394" t="s">
        <v>1011</v>
      </c>
      <c r="C77" s="395" t="s">
        <v>476</v>
      </c>
      <c r="D77" s="129">
        <f>VLOOKUP(B77,[14]AssetDetails_UEM!$A$3:$X$1848,22,FALSE)</f>
        <v>12630</v>
      </c>
      <c r="E77" s="394" t="s">
        <v>1216</v>
      </c>
      <c r="F77" s="394" t="s">
        <v>159</v>
      </c>
      <c r="G77" s="454" t="s">
        <v>1414</v>
      </c>
      <c r="H77" s="396" t="s">
        <v>868</v>
      </c>
      <c r="I77" s="397" t="s">
        <v>140</v>
      </c>
      <c r="J77" s="140" t="s">
        <v>139</v>
      </c>
      <c r="K77" s="404">
        <f>ROUNDUP((D77/4999.99)*10,-1)</f>
        <v>30</v>
      </c>
      <c r="L77" s="405">
        <f>IF(J77="N",0,K77)</f>
        <v>0</v>
      </c>
      <c r="M77" s="402" t="s">
        <v>1574</v>
      </c>
      <c r="N77" s="145"/>
    </row>
    <row r="78" spans="1:14" s="118" customFormat="1" ht="108">
      <c r="A78" s="394">
        <v>57</v>
      </c>
      <c r="B78" s="394" t="s">
        <v>1012</v>
      </c>
      <c r="C78" s="395" t="s">
        <v>476</v>
      </c>
      <c r="D78" s="127">
        <f>VLOOKUP(B78,[14]AssetDetails_UEM!$A$3:$X$1848,22,FALSE)</f>
        <v>12630</v>
      </c>
      <c r="E78" s="394" t="s">
        <v>1217</v>
      </c>
      <c r="F78" s="394" t="s">
        <v>159</v>
      </c>
      <c r="G78" s="454" t="s">
        <v>1414</v>
      </c>
      <c r="H78" s="396" t="s">
        <v>868</v>
      </c>
      <c r="I78" s="397" t="s">
        <v>140</v>
      </c>
      <c r="J78" s="139" t="s">
        <v>139</v>
      </c>
      <c r="K78" s="398">
        <f t="shared" si="0"/>
        <v>30</v>
      </c>
      <c r="L78" s="399">
        <f t="shared" si="1"/>
        <v>0</v>
      </c>
      <c r="M78" s="395" t="s">
        <v>1574</v>
      </c>
      <c r="N78" s="144"/>
    </row>
    <row r="79" spans="1:14" s="118" customFormat="1" ht="108">
      <c r="A79" s="394">
        <v>58</v>
      </c>
      <c r="B79" s="394" t="s">
        <v>538</v>
      </c>
      <c r="C79" s="395" t="s">
        <v>476</v>
      </c>
      <c r="D79" s="127">
        <f>VLOOKUP(B79,[14]AssetDetails_UEM!$A$3:$X$1848,22,FALSE)</f>
        <v>12630</v>
      </c>
      <c r="E79" s="394" t="s">
        <v>1218</v>
      </c>
      <c r="F79" s="394" t="s">
        <v>159</v>
      </c>
      <c r="G79" s="454" t="s">
        <v>1414</v>
      </c>
      <c r="H79" s="396" t="s">
        <v>1459</v>
      </c>
      <c r="I79" s="397" t="s">
        <v>140</v>
      </c>
      <c r="J79" s="139" t="s">
        <v>139</v>
      </c>
      <c r="K79" s="398">
        <f t="shared" si="0"/>
        <v>30</v>
      </c>
      <c r="L79" s="399">
        <f t="shared" si="1"/>
        <v>0</v>
      </c>
      <c r="M79" s="395" t="s">
        <v>1574</v>
      </c>
      <c r="N79" s="144"/>
    </row>
    <row r="80" spans="1:14" s="118" customFormat="1" ht="144">
      <c r="A80" s="394">
        <v>59</v>
      </c>
      <c r="B80" s="394" t="s">
        <v>1013</v>
      </c>
      <c r="C80" s="395" t="s">
        <v>391</v>
      </c>
      <c r="D80" s="127">
        <f>VLOOKUP(B80,[14]AssetDetails_UEM!$A$3:$X$1848,22,FALSE)</f>
        <v>8000</v>
      </c>
      <c r="E80" s="394" t="s">
        <v>1219</v>
      </c>
      <c r="F80" s="394" t="s">
        <v>1372</v>
      </c>
      <c r="G80" s="454" t="s">
        <v>1414</v>
      </c>
      <c r="H80" s="396" t="s">
        <v>858</v>
      </c>
      <c r="I80" s="397" t="s">
        <v>140</v>
      </c>
      <c r="J80" s="139" t="s">
        <v>139</v>
      </c>
      <c r="K80" s="398">
        <f t="shared" si="0"/>
        <v>20</v>
      </c>
      <c r="L80" s="399">
        <f t="shared" si="1"/>
        <v>0</v>
      </c>
      <c r="M80" s="395" t="s">
        <v>1571</v>
      </c>
      <c r="N80" s="144"/>
    </row>
    <row r="81" spans="1:14" s="118" customFormat="1" ht="168.75" customHeight="1">
      <c r="A81" s="394">
        <v>60</v>
      </c>
      <c r="B81" s="394" t="s">
        <v>1014</v>
      </c>
      <c r="C81" s="395" t="s">
        <v>391</v>
      </c>
      <c r="D81" s="128">
        <f>VLOOKUP(B81,[14]AssetDetails_UEM!$A$3:$X$1848,22,FALSE)</f>
        <v>8000</v>
      </c>
      <c r="E81" s="394" t="s">
        <v>1220</v>
      </c>
      <c r="F81" s="394" t="s">
        <v>1372</v>
      </c>
      <c r="G81" s="454" t="s">
        <v>1414</v>
      </c>
      <c r="H81" s="396" t="s">
        <v>1460</v>
      </c>
      <c r="I81" s="397" t="s">
        <v>140</v>
      </c>
      <c r="J81" s="139" t="s">
        <v>139</v>
      </c>
      <c r="K81" s="398">
        <f t="shared" si="0"/>
        <v>20</v>
      </c>
      <c r="L81" s="399">
        <f t="shared" si="1"/>
        <v>0</v>
      </c>
      <c r="M81" s="395" t="s">
        <v>1571</v>
      </c>
      <c r="N81" s="144"/>
    </row>
    <row r="82" spans="1:14" s="118" customFormat="1" ht="107.5" customHeight="1">
      <c r="A82" s="394">
        <v>61</v>
      </c>
      <c r="B82" s="394" t="s">
        <v>1015</v>
      </c>
      <c r="C82" s="395" t="s">
        <v>473</v>
      </c>
      <c r="D82" s="127">
        <f>VLOOKUP(B82,[14]AssetDetails_UEM!$A$3:$X$1848,22,FALSE)</f>
        <v>87400</v>
      </c>
      <c r="E82" s="394" t="s">
        <v>1221</v>
      </c>
      <c r="F82" s="394" t="s">
        <v>1373</v>
      </c>
      <c r="G82" s="454" t="s">
        <v>1414</v>
      </c>
      <c r="H82" s="396" t="s">
        <v>1461</v>
      </c>
      <c r="I82" s="397" t="s">
        <v>140</v>
      </c>
      <c r="J82" s="139" t="s">
        <v>139</v>
      </c>
      <c r="K82" s="398">
        <f t="shared" si="0"/>
        <v>180</v>
      </c>
      <c r="L82" s="399">
        <f t="shared" si="1"/>
        <v>0</v>
      </c>
      <c r="M82" s="395" t="s">
        <v>1571</v>
      </c>
      <c r="N82" s="144"/>
    </row>
    <row r="83" spans="1:14" s="118" customFormat="1" ht="107.5" customHeight="1">
      <c r="A83" s="394">
        <v>62</v>
      </c>
      <c r="B83" s="394" t="s">
        <v>1016</v>
      </c>
      <c r="C83" s="395" t="s">
        <v>473</v>
      </c>
      <c r="D83" s="127">
        <f>VLOOKUP(B83,[14]AssetDetails_UEM!$A$3:$X$1848,22,FALSE)</f>
        <v>87400</v>
      </c>
      <c r="E83" s="394" t="s">
        <v>1222</v>
      </c>
      <c r="F83" s="394" t="s">
        <v>1373</v>
      </c>
      <c r="G83" s="454" t="s">
        <v>1414</v>
      </c>
      <c r="H83" s="396" t="s">
        <v>1462</v>
      </c>
      <c r="I83" s="397" t="s">
        <v>140</v>
      </c>
      <c r="J83" s="139" t="s">
        <v>139</v>
      </c>
      <c r="K83" s="398">
        <f t="shared" si="0"/>
        <v>180</v>
      </c>
      <c r="L83" s="399">
        <f t="shared" si="1"/>
        <v>0</v>
      </c>
      <c r="M83" s="395" t="s">
        <v>1575</v>
      </c>
      <c r="N83" s="144"/>
    </row>
    <row r="84" spans="1:14" s="118" customFormat="1" ht="107.5" customHeight="1">
      <c r="A84" s="394">
        <v>63</v>
      </c>
      <c r="B84" s="394" t="s">
        <v>1017</v>
      </c>
      <c r="C84" s="395" t="s">
        <v>473</v>
      </c>
      <c r="D84" s="127">
        <f>VLOOKUP(B84,[14]AssetDetails_UEM!$A$3:$X$1848,22,FALSE)</f>
        <v>44510</v>
      </c>
      <c r="E84" s="394" t="s">
        <v>1223</v>
      </c>
      <c r="F84" s="394" t="s">
        <v>1368</v>
      </c>
      <c r="G84" s="454" t="s">
        <v>1414</v>
      </c>
      <c r="H84" s="396" t="s">
        <v>1463</v>
      </c>
      <c r="I84" s="397" t="s">
        <v>140</v>
      </c>
      <c r="J84" s="139" t="s">
        <v>139</v>
      </c>
      <c r="K84" s="398">
        <f t="shared" ref="K84:K148" si="3">ROUNDUP((D84/4999.99)*10,-1)</f>
        <v>90</v>
      </c>
      <c r="L84" s="399">
        <f t="shared" ref="L84:L148" si="4">IF(J84="N",0,K84)</f>
        <v>0</v>
      </c>
      <c r="M84" s="395" t="s">
        <v>1576</v>
      </c>
      <c r="N84" s="144"/>
    </row>
    <row r="85" spans="1:14" s="118" customFormat="1" ht="180">
      <c r="A85" s="394">
        <v>64</v>
      </c>
      <c r="B85" s="394" t="s">
        <v>196</v>
      </c>
      <c r="C85" s="395" t="s">
        <v>197</v>
      </c>
      <c r="D85" s="127">
        <f>VLOOKUP(B85,[14]AssetDetails_UEM!$A$3:$X$1848,22,FALSE)</f>
        <v>83100</v>
      </c>
      <c r="E85" s="394" t="s">
        <v>1224</v>
      </c>
      <c r="F85" s="394" t="s">
        <v>1374</v>
      </c>
      <c r="G85" s="587" t="s">
        <v>1414</v>
      </c>
      <c r="H85" s="588" t="s">
        <v>867</v>
      </c>
      <c r="I85" s="588" t="s">
        <v>867</v>
      </c>
      <c r="J85" s="139" t="s">
        <v>139</v>
      </c>
      <c r="K85" s="398">
        <f t="shared" si="3"/>
        <v>170</v>
      </c>
      <c r="L85" s="399">
        <f t="shared" si="4"/>
        <v>0</v>
      </c>
      <c r="M85" s="395" t="s">
        <v>1712</v>
      </c>
      <c r="N85" s="144"/>
    </row>
    <row r="86" spans="1:14" s="118" customFormat="1" ht="107.5" customHeight="1">
      <c r="A86" s="394">
        <v>65</v>
      </c>
      <c r="B86" s="394" t="s">
        <v>1018</v>
      </c>
      <c r="C86" s="395" t="s">
        <v>479</v>
      </c>
      <c r="D86" s="127">
        <f>VLOOKUP(B86,[14]AssetDetails_UEM!$A$3:$X$1848,22,FALSE)</f>
        <v>100000</v>
      </c>
      <c r="E86" s="394" t="s">
        <v>1225</v>
      </c>
      <c r="F86" s="394" t="s">
        <v>650</v>
      </c>
      <c r="G86" s="454" t="s">
        <v>1407</v>
      </c>
      <c r="H86" s="396" t="s">
        <v>1464</v>
      </c>
      <c r="I86" s="397" t="s">
        <v>140</v>
      </c>
      <c r="J86" s="139" t="s">
        <v>139</v>
      </c>
      <c r="K86" s="398">
        <f t="shared" si="3"/>
        <v>210</v>
      </c>
      <c r="L86" s="399">
        <f t="shared" si="4"/>
        <v>0</v>
      </c>
      <c r="M86" s="395" t="s">
        <v>1576</v>
      </c>
      <c r="N86" s="144"/>
    </row>
    <row r="87" spans="1:14" s="406" customFormat="1" ht="107.5" customHeight="1">
      <c r="A87" s="394">
        <v>66</v>
      </c>
      <c r="B87" s="394" t="s">
        <v>1019</v>
      </c>
      <c r="C87" s="395" t="s">
        <v>1146</v>
      </c>
      <c r="D87" s="127">
        <f>VLOOKUP(B87,[14]AssetDetails_UEM!$A$3:$X$1848,22,FALSE)</f>
        <v>15515</v>
      </c>
      <c r="E87" s="394" t="s">
        <v>1226</v>
      </c>
      <c r="F87" s="394" t="s">
        <v>627</v>
      </c>
      <c r="G87" s="454" t="s">
        <v>1407</v>
      </c>
      <c r="H87" s="396" t="s">
        <v>1465</v>
      </c>
      <c r="I87" s="397" t="s">
        <v>140</v>
      </c>
      <c r="J87" s="139" t="s">
        <v>139</v>
      </c>
      <c r="K87" s="398">
        <f t="shared" si="3"/>
        <v>40</v>
      </c>
      <c r="L87" s="399">
        <f t="shared" si="4"/>
        <v>0</v>
      </c>
      <c r="M87" s="395" t="s">
        <v>1574</v>
      </c>
    </row>
    <row r="88" spans="1:14" s="406" customFormat="1" ht="142.5" customHeight="1">
      <c r="A88" s="394">
        <v>67</v>
      </c>
      <c r="B88" s="394" t="s">
        <v>1020</v>
      </c>
      <c r="C88" s="395" t="s">
        <v>1146</v>
      </c>
      <c r="D88" s="127">
        <f>VLOOKUP(B88,[14]AssetDetails_UEM!$A$3:$X$1848,22,FALSE)</f>
        <v>15515</v>
      </c>
      <c r="E88" s="394" t="s">
        <v>1227</v>
      </c>
      <c r="F88" s="394" t="s">
        <v>1369</v>
      </c>
      <c r="G88" s="454" t="s">
        <v>1407</v>
      </c>
      <c r="H88" s="396" t="s">
        <v>1466</v>
      </c>
      <c r="I88" s="397" t="s">
        <v>140</v>
      </c>
      <c r="J88" s="139" t="s">
        <v>139</v>
      </c>
      <c r="K88" s="398">
        <f t="shared" si="3"/>
        <v>40</v>
      </c>
      <c r="L88" s="399">
        <f t="shared" si="4"/>
        <v>0</v>
      </c>
      <c r="M88" s="395" t="s">
        <v>1574</v>
      </c>
    </row>
    <row r="89" spans="1:14" s="406" customFormat="1" ht="172.5" customHeight="1">
      <c r="A89" s="394">
        <v>68</v>
      </c>
      <c r="B89" s="394" t="s">
        <v>1021</v>
      </c>
      <c r="C89" s="395" t="s">
        <v>480</v>
      </c>
      <c r="D89" s="127">
        <f>VLOOKUP(B89,[14]AssetDetails_UEM!$A$3:$X$1848,22,FALSE)</f>
        <v>15395</v>
      </c>
      <c r="E89" s="394" t="s">
        <v>1228</v>
      </c>
      <c r="F89" s="394" t="s">
        <v>1369</v>
      </c>
      <c r="G89" s="454" t="s">
        <v>1407</v>
      </c>
      <c r="H89" s="396" t="s">
        <v>1467</v>
      </c>
      <c r="I89" s="397" t="s">
        <v>140</v>
      </c>
      <c r="J89" s="139" t="s">
        <v>139</v>
      </c>
      <c r="K89" s="398">
        <f t="shared" si="3"/>
        <v>40</v>
      </c>
      <c r="L89" s="399">
        <f t="shared" si="4"/>
        <v>0</v>
      </c>
      <c r="M89" s="395" t="s">
        <v>1574</v>
      </c>
    </row>
    <row r="90" spans="1:14" s="406" customFormat="1" ht="172.5" customHeight="1">
      <c r="A90" s="394">
        <v>69</v>
      </c>
      <c r="B90" s="394" t="s">
        <v>1022</v>
      </c>
      <c r="C90" s="395" t="s">
        <v>479</v>
      </c>
      <c r="D90" s="127">
        <f>VLOOKUP(B90,[14]AssetDetails_UEM!$A$3:$X$1848,22,FALSE)</f>
        <v>100000</v>
      </c>
      <c r="E90" s="394" t="s">
        <v>1229</v>
      </c>
      <c r="F90" s="394" t="s">
        <v>221</v>
      </c>
      <c r="G90" s="454" t="s">
        <v>1409</v>
      </c>
      <c r="H90" s="396" t="s">
        <v>1468</v>
      </c>
      <c r="I90" s="397" t="s">
        <v>140</v>
      </c>
      <c r="J90" s="139" t="s">
        <v>139</v>
      </c>
      <c r="K90" s="398">
        <f t="shared" si="3"/>
        <v>210</v>
      </c>
      <c r="L90" s="399">
        <f t="shared" si="4"/>
        <v>0</v>
      </c>
      <c r="M90" s="395" t="s">
        <v>1576</v>
      </c>
    </row>
    <row r="91" spans="1:14" s="406" customFormat="1" ht="172.5" customHeight="1">
      <c r="A91" s="394">
        <v>70</v>
      </c>
      <c r="B91" s="394" t="s">
        <v>1023</v>
      </c>
      <c r="C91" s="395" t="s">
        <v>219</v>
      </c>
      <c r="D91" s="127">
        <f>VLOOKUP(B91,[14]AssetDetails_UEM!$A$3:$X$1848,22,FALSE)</f>
        <v>5052</v>
      </c>
      <c r="E91" s="394" t="s">
        <v>1230</v>
      </c>
      <c r="F91" s="394" t="s">
        <v>1375</v>
      </c>
      <c r="G91" s="454" t="s">
        <v>1409</v>
      </c>
      <c r="H91" s="396" t="s">
        <v>1469</v>
      </c>
      <c r="I91" s="397" t="s">
        <v>140</v>
      </c>
      <c r="J91" s="139" t="s">
        <v>139</v>
      </c>
      <c r="K91" s="398">
        <f t="shared" si="3"/>
        <v>20</v>
      </c>
      <c r="L91" s="399">
        <f t="shared" si="4"/>
        <v>0</v>
      </c>
      <c r="M91" s="395" t="s">
        <v>1577</v>
      </c>
    </row>
    <row r="92" spans="1:14" s="406" customFormat="1" ht="147.5" customHeight="1">
      <c r="A92" s="394">
        <v>71</v>
      </c>
      <c r="B92" s="394" t="s">
        <v>1024</v>
      </c>
      <c r="C92" s="395" t="s">
        <v>219</v>
      </c>
      <c r="D92" s="127">
        <f>VLOOKUP(B92,[14]AssetDetails_UEM!$A$3:$X$1848,22,FALSE)</f>
        <v>10705</v>
      </c>
      <c r="E92" s="394" t="s">
        <v>1231</v>
      </c>
      <c r="F92" s="394" t="s">
        <v>190</v>
      </c>
      <c r="G92" s="454" t="s">
        <v>1409</v>
      </c>
      <c r="H92" s="396" t="s">
        <v>1470</v>
      </c>
      <c r="I92" s="397" t="s">
        <v>140</v>
      </c>
      <c r="J92" s="139" t="s">
        <v>139</v>
      </c>
      <c r="K92" s="398">
        <f t="shared" si="3"/>
        <v>30</v>
      </c>
      <c r="L92" s="399">
        <f t="shared" si="4"/>
        <v>0</v>
      </c>
      <c r="M92" s="395" t="s">
        <v>1566</v>
      </c>
    </row>
    <row r="93" spans="1:14" s="406" customFormat="1" ht="161" customHeight="1">
      <c r="A93" s="394">
        <v>72</v>
      </c>
      <c r="B93" s="394" t="s">
        <v>1025</v>
      </c>
      <c r="C93" s="395" t="s">
        <v>426</v>
      </c>
      <c r="D93" s="127">
        <f>VLOOKUP(B93,[14]AssetDetails_UEM!$A$3:$X$1848,22,FALSE)</f>
        <v>155000</v>
      </c>
      <c r="E93" s="394" t="s">
        <v>1232</v>
      </c>
      <c r="F93" s="394" t="s">
        <v>221</v>
      </c>
      <c r="G93" s="454" t="s">
        <v>1409</v>
      </c>
      <c r="H93" s="396" t="s">
        <v>1471</v>
      </c>
      <c r="I93" s="397" t="s">
        <v>140</v>
      </c>
      <c r="J93" s="139" t="s">
        <v>139</v>
      </c>
      <c r="K93" s="398">
        <f t="shared" si="3"/>
        <v>320</v>
      </c>
      <c r="L93" s="399">
        <f t="shared" si="4"/>
        <v>0</v>
      </c>
      <c r="M93" s="395" t="s">
        <v>1574</v>
      </c>
    </row>
    <row r="94" spans="1:14" s="406" customFormat="1" ht="172.5" customHeight="1">
      <c r="A94" s="394">
        <v>73</v>
      </c>
      <c r="B94" s="394" t="s">
        <v>1026</v>
      </c>
      <c r="C94" s="395" t="s">
        <v>473</v>
      </c>
      <c r="D94" s="127">
        <f>VLOOKUP(B94,[14]AssetDetails_UEM!$A$3:$X$1848,22,FALSE)</f>
        <v>119690</v>
      </c>
      <c r="E94" s="394" t="s">
        <v>1233</v>
      </c>
      <c r="F94" s="394" t="s">
        <v>1376</v>
      </c>
      <c r="G94" s="454" t="s">
        <v>1409</v>
      </c>
      <c r="H94" s="396" t="s">
        <v>1472</v>
      </c>
      <c r="I94" s="397" t="s">
        <v>140</v>
      </c>
      <c r="J94" s="139" t="s">
        <v>139</v>
      </c>
      <c r="K94" s="398">
        <f t="shared" si="3"/>
        <v>240</v>
      </c>
      <c r="L94" s="399">
        <f t="shared" si="4"/>
        <v>0</v>
      </c>
      <c r="M94" s="395" t="s">
        <v>1574</v>
      </c>
    </row>
    <row r="95" spans="1:14" s="406" customFormat="1" ht="160" customHeight="1">
      <c r="A95" s="394">
        <v>74</v>
      </c>
      <c r="B95" s="394" t="s">
        <v>1027</v>
      </c>
      <c r="C95" s="395" t="s">
        <v>1147</v>
      </c>
      <c r="D95" s="127" t="e">
        <f>VLOOKUP(B95,[14]AssetDetails_UEM!$A$3:$X$1848,22,FALSE)</f>
        <v>#N/A</v>
      </c>
      <c r="E95" s="394" t="s">
        <v>1234</v>
      </c>
      <c r="F95" s="394" t="s">
        <v>646</v>
      </c>
      <c r="G95" s="454" t="s">
        <v>1409</v>
      </c>
      <c r="H95" s="396" t="s">
        <v>1473</v>
      </c>
      <c r="I95" s="397" t="s">
        <v>140</v>
      </c>
      <c r="J95" s="139" t="s">
        <v>139</v>
      </c>
      <c r="K95" s="398" t="e">
        <f t="shared" si="3"/>
        <v>#N/A</v>
      </c>
      <c r="L95" s="399">
        <f t="shared" si="4"/>
        <v>0</v>
      </c>
      <c r="M95" s="395" t="s">
        <v>1575</v>
      </c>
    </row>
    <row r="96" spans="1:14" s="406" customFormat="1" ht="140" customHeight="1">
      <c r="A96" s="394">
        <v>75</v>
      </c>
      <c r="B96" s="394" t="s">
        <v>1028</v>
      </c>
      <c r="C96" s="395" t="s">
        <v>162</v>
      </c>
      <c r="D96" s="127">
        <f>VLOOKUP(B96,[14]AssetDetails_UEM!$A$3:$X$1848,22,FALSE)</f>
        <v>10825</v>
      </c>
      <c r="E96" s="394" t="s">
        <v>1235</v>
      </c>
      <c r="F96" s="394" t="s">
        <v>638</v>
      </c>
      <c r="G96" s="454" t="s">
        <v>1415</v>
      </c>
      <c r="H96" s="396" t="s">
        <v>1474</v>
      </c>
      <c r="I96" s="397" t="s">
        <v>140</v>
      </c>
      <c r="J96" s="139" t="s">
        <v>139</v>
      </c>
      <c r="K96" s="398">
        <f t="shared" si="3"/>
        <v>30</v>
      </c>
      <c r="L96" s="399">
        <f t="shared" si="4"/>
        <v>0</v>
      </c>
      <c r="M96" s="395" t="s">
        <v>1566</v>
      </c>
    </row>
    <row r="97" spans="1:13" s="406" customFormat="1" ht="172.5" customHeight="1">
      <c r="A97" s="394">
        <v>76</v>
      </c>
      <c r="B97" s="394" t="s">
        <v>1029</v>
      </c>
      <c r="C97" s="395" t="s">
        <v>219</v>
      </c>
      <c r="D97" s="127">
        <f>VLOOKUP(B97,[14]AssetDetails_UEM!$A$3:$X$1848,22,FALSE)</f>
        <v>5052</v>
      </c>
      <c r="E97" s="394" t="s">
        <v>1236</v>
      </c>
      <c r="F97" s="394" t="s">
        <v>1377</v>
      </c>
      <c r="G97" s="454" t="s">
        <v>1415</v>
      </c>
      <c r="H97" s="396" t="s">
        <v>1475</v>
      </c>
      <c r="I97" s="397" t="s">
        <v>140</v>
      </c>
      <c r="J97" s="139" t="s">
        <v>139</v>
      </c>
      <c r="K97" s="398">
        <f t="shared" si="3"/>
        <v>20</v>
      </c>
      <c r="L97" s="399">
        <f t="shared" si="4"/>
        <v>0</v>
      </c>
      <c r="M97" s="395" t="s">
        <v>1575</v>
      </c>
    </row>
    <row r="98" spans="1:13" s="406" customFormat="1" ht="172.5" customHeight="1">
      <c r="A98" s="394">
        <v>77</v>
      </c>
      <c r="B98" s="394" t="s">
        <v>1030</v>
      </c>
      <c r="C98" s="395" t="s">
        <v>284</v>
      </c>
      <c r="D98" s="127">
        <f>VLOOKUP(B98,[14]AssetDetails_UEM!$A$3:$X$1848,22,FALSE)</f>
        <v>4510</v>
      </c>
      <c r="E98" s="394" t="s">
        <v>1237</v>
      </c>
      <c r="F98" s="394" t="s">
        <v>1378</v>
      </c>
      <c r="G98" s="454" t="s">
        <v>1415</v>
      </c>
      <c r="H98" s="396" t="s">
        <v>865</v>
      </c>
      <c r="I98" s="397" t="s">
        <v>140</v>
      </c>
      <c r="J98" s="139" t="s">
        <v>139</v>
      </c>
      <c r="K98" s="398">
        <f t="shared" si="3"/>
        <v>10</v>
      </c>
      <c r="L98" s="399">
        <f t="shared" si="4"/>
        <v>0</v>
      </c>
      <c r="M98" s="395" t="s">
        <v>1576</v>
      </c>
    </row>
    <row r="99" spans="1:13" s="406" customFormat="1" ht="172.5" customHeight="1">
      <c r="A99" s="394">
        <v>78</v>
      </c>
      <c r="B99" s="394" t="s">
        <v>1031</v>
      </c>
      <c r="C99" s="395" t="s">
        <v>284</v>
      </c>
      <c r="D99" s="127">
        <f>VLOOKUP(B99,[14]AssetDetails_UEM!$A$3:$X$1848,22,FALSE)</f>
        <v>4510</v>
      </c>
      <c r="E99" s="394" t="s">
        <v>1238</v>
      </c>
      <c r="F99" s="394" t="s">
        <v>1378</v>
      </c>
      <c r="G99" s="454" t="s">
        <v>1415</v>
      </c>
      <c r="H99" s="396" t="s">
        <v>1476</v>
      </c>
      <c r="I99" s="397" t="s">
        <v>140</v>
      </c>
      <c r="J99" s="139" t="s">
        <v>139</v>
      </c>
      <c r="K99" s="398">
        <f t="shared" si="3"/>
        <v>10</v>
      </c>
      <c r="L99" s="399">
        <f t="shared" si="4"/>
        <v>0</v>
      </c>
      <c r="M99" s="395" t="s">
        <v>1576</v>
      </c>
    </row>
    <row r="100" spans="1:13" s="406" customFormat="1" ht="172.5" customHeight="1">
      <c r="A100" s="394">
        <v>79</v>
      </c>
      <c r="B100" s="394" t="s">
        <v>1032</v>
      </c>
      <c r="C100" s="395" t="s">
        <v>1148</v>
      </c>
      <c r="D100" s="127">
        <f>VLOOKUP(B100,[14]AssetDetails_UEM!$A$3:$X$1848,22,FALSE)</f>
        <v>18765</v>
      </c>
      <c r="E100" s="394" t="s">
        <v>1239</v>
      </c>
      <c r="F100" s="394" t="s">
        <v>1379</v>
      </c>
      <c r="G100" s="454" t="s">
        <v>1415</v>
      </c>
      <c r="H100" s="396" t="s">
        <v>824</v>
      </c>
      <c r="I100" s="397" t="s">
        <v>140</v>
      </c>
      <c r="J100" s="139" t="s">
        <v>139</v>
      </c>
      <c r="K100" s="398">
        <f t="shared" si="3"/>
        <v>40</v>
      </c>
      <c r="L100" s="399">
        <f t="shared" si="4"/>
        <v>0</v>
      </c>
      <c r="M100" s="395" t="s">
        <v>1576</v>
      </c>
    </row>
    <row r="101" spans="1:13" s="406" customFormat="1" ht="172.5" customHeight="1">
      <c r="A101" s="394">
        <v>80</v>
      </c>
      <c r="B101" s="394" t="s">
        <v>1033</v>
      </c>
      <c r="C101" s="395" t="s">
        <v>162</v>
      </c>
      <c r="D101" s="127">
        <f>VLOOKUP(B101,[14]AssetDetails_UEM!$A$3:$X$1848,22,FALSE)</f>
        <v>10825</v>
      </c>
      <c r="E101" s="394" t="s">
        <v>1240</v>
      </c>
      <c r="F101" s="394" t="s">
        <v>1366</v>
      </c>
      <c r="G101" s="454" t="s">
        <v>1415</v>
      </c>
      <c r="H101" s="396" t="s">
        <v>1477</v>
      </c>
      <c r="I101" s="397" t="s">
        <v>140</v>
      </c>
      <c r="J101" s="139" t="s">
        <v>139</v>
      </c>
      <c r="K101" s="398">
        <f t="shared" si="3"/>
        <v>30</v>
      </c>
      <c r="L101" s="399">
        <f t="shared" si="4"/>
        <v>0</v>
      </c>
      <c r="M101" s="395" t="s">
        <v>1553</v>
      </c>
    </row>
    <row r="102" spans="1:13" s="406" customFormat="1" ht="172.5" customHeight="1">
      <c r="A102" s="394">
        <v>81</v>
      </c>
      <c r="B102" s="394" t="s">
        <v>1034</v>
      </c>
      <c r="C102" s="395" t="s">
        <v>1149</v>
      </c>
      <c r="D102" s="127">
        <f>VLOOKUP(B102,[14]AssetDetails_UEM!$A$3:$X$1848,22,FALSE)</f>
        <v>505</v>
      </c>
      <c r="E102" s="394" t="s">
        <v>1241</v>
      </c>
      <c r="F102" s="394" t="s">
        <v>725</v>
      </c>
      <c r="G102" s="454" t="s">
        <v>1415</v>
      </c>
      <c r="H102" s="396" t="s">
        <v>1478</v>
      </c>
      <c r="I102" s="397" t="s">
        <v>140</v>
      </c>
      <c r="J102" s="139" t="s">
        <v>139</v>
      </c>
      <c r="K102" s="398">
        <f t="shared" si="3"/>
        <v>10</v>
      </c>
      <c r="L102" s="399">
        <f t="shared" si="4"/>
        <v>0</v>
      </c>
      <c r="M102" s="395" t="s">
        <v>1578</v>
      </c>
    </row>
    <row r="103" spans="1:13" s="406" customFormat="1" ht="172.5" customHeight="1">
      <c r="A103" s="394">
        <v>82</v>
      </c>
      <c r="B103" s="394" t="s">
        <v>1035</v>
      </c>
      <c r="C103" s="395" t="s">
        <v>162</v>
      </c>
      <c r="D103" s="127">
        <f>VLOOKUP(B103,[14]AssetDetails_UEM!$A$3:$X$1848,22,FALSE)</f>
        <v>10825</v>
      </c>
      <c r="E103" s="394" t="s">
        <v>1242</v>
      </c>
      <c r="F103" s="394" t="s">
        <v>149</v>
      </c>
      <c r="G103" s="454" t="s">
        <v>1411</v>
      </c>
      <c r="H103" s="396" t="s">
        <v>879</v>
      </c>
      <c r="I103" s="397" t="s">
        <v>140</v>
      </c>
      <c r="J103" s="139" t="s">
        <v>139</v>
      </c>
      <c r="K103" s="398">
        <f t="shared" si="3"/>
        <v>30</v>
      </c>
      <c r="L103" s="399">
        <f t="shared" si="4"/>
        <v>0</v>
      </c>
      <c r="M103" s="395" t="s">
        <v>1578</v>
      </c>
    </row>
    <row r="104" spans="1:13" s="406" customFormat="1" ht="207.65" customHeight="1">
      <c r="A104" s="394">
        <v>83</v>
      </c>
      <c r="B104" s="394" t="s">
        <v>1036</v>
      </c>
      <c r="C104" s="395" t="s">
        <v>219</v>
      </c>
      <c r="D104" s="127">
        <f>VLOOKUP(B104,[14]AssetDetails_UEM!$A$3:$X$1848,22,FALSE)</f>
        <v>5052</v>
      </c>
      <c r="E104" s="394" t="s">
        <v>1243</v>
      </c>
      <c r="F104" s="394" t="s">
        <v>1380</v>
      </c>
      <c r="G104" s="454" t="s">
        <v>1411</v>
      </c>
      <c r="H104" s="396" t="s">
        <v>1479</v>
      </c>
      <c r="I104" s="397" t="s">
        <v>140</v>
      </c>
      <c r="J104" s="139" t="s">
        <v>139</v>
      </c>
      <c r="K104" s="398">
        <f t="shared" si="3"/>
        <v>20</v>
      </c>
      <c r="L104" s="399">
        <f t="shared" si="4"/>
        <v>0</v>
      </c>
      <c r="M104" s="395" t="s">
        <v>1579</v>
      </c>
    </row>
    <row r="105" spans="1:13" s="406" customFormat="1" ht="172.5" customHeight="1">
      <c r="A105" s="394">
        <v>84</v>
      </c>
      <c r="B105" s="394" t="s">
        <v>1037</v>
      </c>
      <c r="C105" s="395" t="s">
        <v>219</v>
      </c>
      <c r="D105" s="127">
        <f>VLOOKUP(B105,[14]AssetDetails_UEM!$A$3:$X$1848,22,FALSE)</f>
        <v>10705</v>
      </c>
      <c r="E105" s="394" t="s">
        <v>1244</v>
      </c>
      <c r="F105" s="394" t="s">
        <v>147</v>
      </c>
      <c r="G105" s="454" t="s">
        <v>1411</v>
      </c>
      <c r="H105" s="396" t="s">
        <v>1480</v>
      </c>
      <c r="I105" s="397" t="s">
        <v>140</v>
      </c>
      <c r="J105" s="139" t="s">
        <v>139</v>
      </c>
      <c r="K105" s="398">
        <f t="shared" si="3"/>
        <v>30</v>
      </c>
      <c r="L105" s="399">
        <f t="shared" si="4"/>
        <v>0</v>
      </c>
      <c r="M105" s="395" t="s">
        <v>1580</v>
      </c>
    </row>
    <row r="106" spans="1:13" s="406" customFormat="1" ht="172.5" customHeight="1">
      <c r="A106" s="394">
        <v>85</v>
      </c>
      <c r="B106" s="394" t="s">
        <v>1038</v>
      </c>
      <c r="C106" s="395" t="s">
        <v>416</v>
      </c>
      <c r="D106" s="127">
        <f>VLOOKUP(B106,[14]AssetDetails_UEM!$A$3:$X$1848,22,FALSE)</f>
        <v>28630</v>
      </c>
      <c r="E106" s="394" t="s">
        <v>1245</v>
      </c>
      <c r="F106" s="394" t="s">
        <v>190</v>
      </c>
      <c r="G106" s="454" t="s">
        <v>1413</v>
      </c>
      <c r="H106" s="396" t="s">
        <v>876</v>
      </c>
      <c r="I106" s="397" t="s">
        <v>140</v>
      </c>
      <c r="J106" s="139" t="s">
        <v>139</v>
      </c>
      <c r="K106" s="398">
        <f t="shared" si="3"/>
        <v>60</v>
      </c>
      <c r="L106" s="399">
        <f t="shared" si="4"/>
        <v>0</v>
      </c>
      <c r="M106" s="395" t="s">
        <v>1581</v>
      </c>
    </row>
    <row r="107" spans="1:13" s="406" customFormat="1" ht="172.5" customHeight="1">
      <c r="A107" s="394">
        <v>86</v>
      </c>
      <c r="B107" s="394" t="s">
        <v>154</v>
      </c>
      <c r="C107" s="395" t="s">
        <v>162</v>
      </c>
      <c r="D107" s="127">
        <f>VLOOKUP(B107,[14]AssetDetails_UEM!$A$3:$X$1848,22,FALSE)</f>
        <v>10825</v>
      </c>
      <c r="E107" s="394" t="s">
        <v>1246</v>
      </c>
      <c r="F107" s="394" t="s">
        <v>1366</v>
      </c>
      <c r="G107" s="454" t="s">
        <v>1413</v>
      </c>
      <c r="H107" s="396" t="s">
        <v>1481</v>
      </c>
      <c r="I107" s="397" t="s">
        <v>140</v>
      </c>
      <c r="J107" s="139" t="s">
        <v>139</v>
      </c>
      <c r="K107" s="398">
        <f t="shared" si="3"/>
        <v>30</v>
      </c>
      <c r="L107" s="399">
        <f t="shared" si="4"/>
        <v>0</v>
      </c>
      <c r="M107" s="395" t="s">
        <v>1582</v>
      </c>
    </row>
    <row r="108" spans="1:13" s="406" customFormat="1" ht="172.5" customHeight="1">
      <c r="A108" s="394">
        <v>87</v>
      </c>
      <c r="B108" s="394" t="s">
        <v>1039</v>
      </c>
      <c r="C108" s="395" t="s">
        <v>162</v>
      </c>
      <c r="D108" s="127">
        <f>VLOOKUP(B108,[14]AssetDetails_UEM!$A$3:$X$1848,22,FALSE)</f>
        <v>10825</v>
      </c>
      <c r="E108" s="394" t="s">
        <v>1247</v>
      </c>
      <c r="F108" s="394" t="s">
        <v>1366</v>
      </c>
      <c r="G108" s="454" t="s">
        <v>1413</v>
      </c>
      <c r="H108" s="396" t="s">
        <v>1482</v>
      </c>
      <c r="I108" s="397" t="s">
        <v>140</v>
      </c>
      <c r="J108" s="139" t="s">
        <v>139</v>
      </c>
      <c r="K108" s="398">
        <f t="shared" si="3"/>
        <v>30</v>
      </c>
      <c r="L108" s="399">
        <f t="shared" si="4"/>
        <v>0</v>
      </c>
      <c r="M108" s="395" t="s">
        <v>1582</v>
      </c>
    </row>
    <row r="109" spans="1:13" s="406" customFormat="1" ht="172.5" customHeight="1">
      <c r="A109" s="394">
        <v>88</v>
      </c>
      <c r="B109" s="394" t="s">
        <v>1040</v>
      </c>
      <c r="C109" s="395" t="s">
        <v>162</v>
      </c>
      <c r="D109" s="127">
        <f>VLOOKUP(B109,[14]AssetDetails_UEM!$A$3:$X$1848,22,FALSE)</f>
        <v>10825</v>
      </c>
      <c r="E109" s="394" t="s">
        <v>1248</v>
      </c>
      <c r="F109" s="394" t="s">
        <v>1381</v>
      </c>
      <c r="G109" s="454" t="s">
        <v>1413</v>
      </c>
      <c r="H109" s="396" t="s">
        <v>1483</v>
      </c>
      <c r="I109" s="397" t="s">
        <v>140</v>
      </c>
      <c r="J109" s="139" t="s">
        <v>139</v>
      </c>
      <c r="K109" s="398">
        <f t="shared" si="3"/>
        <v>30</v>
      </c>
      <c r="L109" s="399">
        <f t="shared" si="4"/>
        <v>0</v>
      </c>
      <c r="M109" s="395" t="s">
        <v>1582</v>
      </c>
    </row>
    <row r="110" spans="1:13" s="406" customFormat="1" ht="172.5" customHeight="1">
      <c r="A110" s="394">
        <v>89</v>
      </c>
      <c r="B110" s="394" t="s">
        <v>1041</v>
      </c>
      <c r="C110" s="395" t="s">
        <v>162</v>
      </c>
      <c r="D110" s="127">
        <f>VLOOKUP(B110,[14]AssetDetails_UEM!$A$3:$X$1848,22,FALSE)</f>
        <v>10825</v>
      </c>
      <c r="E110" s="394" t="s">
        <v>1249</v>
      </c>
      <c r="F110" s="394" t="s">
        <v>1381</v>
      </c>
      <c r="G110" s="454" t="s">
        <v>1413</v>
      </c>
      <c r="H110" s="396" t="s">
        <v>1484</v>
      </c>
      <c r="I110" s="397" t="s">
        <v>140</v>
      </c>
      <c r="J110" s="139" t="s">
        <v>139</v>
      </c>
      <c r="K110" s="398">
        <f t="shared" si="3"/>
        <v>30</v>
      </c>
      <c r="L110" s="399">
        <f t="shared" si="4"/>
        <v>0</v>
      </c>
      <c r="M110" s="395" t="s">
        <v>1583</v>
      </c>
    </row>
    <row r="111" spans="1:13" s="406" customFormat="1" ht="172.5" customHeight="1">
      <c r="A111" s="394">
        <v>90</v>
      </c>
      <c r="B111" s="394" t="s">
        <v>1042</v>
      </c>
      <c r="C111" s="395" t="s">
        <v>162</v>
      </c>
      <c r="D111" s="127">
        <f>VLOOKUP(B111,[14]AssetDetails_UEM!$A$3:$X$1848,22,FALSE)</f>
        <v>10825</v>
      </c>
      <c r="E111" s="394" t="s">
        <v>1250</v>
      </c>
      <c r="F111" s="394" t="s">
        <v>1381</v>
      </c>
      <c r="G111" s="454" t="s">
        <v>1413</v>
      </c>
      <c r="H111" s="396" t="s">
        <v>1484</v>
      </c>
      <c r="I111" s="397" t="s">
        <v>140</v>
      </c>
      <c r="J111" s="139" t="s">
        <v>139</v>
      </c>
      <c r="K111" s="398">
        <f t="shared" si="3"/>
        <v>30</v>
      </c>
      <c r="L111" s="399">
        <f t="shared" si="4"/>
        <v>0</v>
      </c>
      <c r="M111" s="395" t="s">
        <v>1582</v>
      </c>
    </row>
    <row r="112" spans="1:13" s="406" customFormat="1" ht="172.5" customHeight="1">
      <c r="A112" s="394">
        <v>91</v>
      </c>
      <c r="B112" s="394" t="s">
        <v>1043</v>
      </c>
      <c r="C112" s="395" t="s">
        <v>162</v>
      </c>
      <c r="D112" s="127">
        <f>VLOOKUP(B112,[14]AssetDetails_UEM!$A$3:$X$1848,22,FALSE)</f>
        <v>10825</v>
      </c>
      <c r="E112" s="394" t="s">
        <v>1251</v>
      </c>
      <c r="F112" s="394" t="s">
        <v>1381</v>
      </c>
      <c r="G112" s="454" t="s">
        <v>1413</v>
      </c>
      <c r="H112" s="396" t="s">
        <v>1485</v>
      </c>
      <c r="I112" s="397" t="s">
        <v>140</v>
      </c>
      <c r="J112" s="139" t="s">
        <v>139</v>
      </c>
      <c r="K112" s="398">
        <f t="shared" si="3"/>
        <v>30</v>
      </c>
      <c r="L112" s="399">
        <f t="shared" si="4"/>
        <v>0</v>
      </c>
      <c r="M112" s="395" t="s">
        <v>1582</v>
      </c>
    </row>
    <row r="113" spans="1:13" s="406" customFormat="1" ht="172.5" customHeight="1">
      <c r="A113" s="394">
        <v>92</v>
      </c>
      <c r="B113" s="394" t="s">
        <v>1044</v>
      </c>
      <c r="C113" s="395" t="s">
        <v>284</v>
      </c>
      <c r="D113" s="127">
        <f>VLOOKUP(B113,[14]AssetDetails_UEM!$A$3:$X$1848,22,FALSE)</f>
        <v>336</v>
      </c>
      <c r="E113" s="394" t="s">
        <v>1252</v>
      </c>
      <c r="F113" s="394" t="s">
        <v>501</v>
      </c>
      <c r="G113" s="454" t="s">
        <v>1413</v>
      </c>
      <c r="H113" s="396" t="s">
        <v>1482</v>
      </c>
      <c r="I113" s="397" t="s">
        <v>140</v>
      </c>
      <c r="J113" s="139" t="s">
        <v>139</v>
      </c>
      <c r="K113" s="398">
        <f t="shared" si="3"/>
        <v>10</v>
      </c>
      <c r="L113" s="399">
        <f t="shared" si="4"/>
        <v>0</v>
      </c>
      <c r="M113" s="395" t="s">
        <v>1578</v>
      </c>
    </row>
    <row r="114" spans="1:13" s="406" customFormat="1" ht="150" customHeight="1">
      <c r="A114" s="394">
        <v>93</v>
      </c>
      <c r="B114" s="394" t="s">
        <v>1045</v>
      </c>
      <c r="C114" s="395" t="s">
        <v>284</v>
      </c>
      <c r="D114" s="127">
        <f>VLOOKUP(B114,[14]AssetDetails_UEM!$A$3:$X$1848,22,FALSE)</f>
        <v>336</v>
      </c>
      <c r="E114" s="394" t="s">
        <v>1253</v>
      </c>
      <c r="F114" s="394" t="s">
        <v>1382</v>
      </c>
      <c r="G114" s="454" t="s">
        <v>1413</v>
      </c>
      <c r="H114" s="396" t="s">
        <v>1484</v>
      </c>
      <c r="I114" s="397" t="s">
        <v>140</v>
      </c>
      <c r="J114" s="139" t="s">
        <v>139</v>
      </c>
      <c r="K114" s="398">
        <f t="shared" si="3"/>
        <v>10</v>
      </c>
      <c r="L114" s="399">
        <f t="shared" si="4"/>
        <v>0</v>
      </c>
      <c r="M114" s="395" t="s">
        <v>1595</v>
      </c>
    </row>
    <row r="115" spans="1:13" s="406" customFormat="1" ht="147.5" customHeight="1">
      <c r="A115" s="394">
        <v>94</v>
      </c>
      <c r="B115" s="394" t="s">
        <v>1046</v>
      </c>
      <c r="C115" s="395" t="s">
        <v>1150</v>
      </c>
      <c r="D115" s="127">
        <f>VLOOKUP(B115,[14]AssetDetails_UEM!$A$3:$X$1848,22,FALSE)</f>
        <v>43410</v>
      </c>
      <c r="E115" s="394" t="s">
        <v>1254</v>
      </c>
      <c r="F115" s="394" t="s">
        <v>161</v>
      </c>
      <c r="G115" s="454" t="s">
        <v>1413</v>
      </c>
      <c r="H115" s="396" t="s">
        <v>1486</v>
      </c>
      <c r="I115" s="397" t="s">
        <v>140</v>
      </c>
      <c r="J115" s="139" t="s">
        <v>139</v>
      </c>
      <c r="K115" s="398">
        <f t="shared" si="3"/>
        <v>90</v>
      </c>
      <c r="L115" s="399">
        <f t="shared" si="4"/>
        <v>0</v>
      </c>
      <c r="M115" s="395" t="s">
        <v>1584</v>
      </c>
    </row>
    <row r="116" spans="1:13" s="406" customFormat="1" ht="175" customHeight="1">
      <c r="A116" s="394">
        <v>95</v>
      </c>
      <c r="B116" s="394" t="s">
        <v>1047</v>
      </c>
      <c r="C116" s="395" t="s">
        <v>478</v>
      </c>
      <c r="D116" s="127">
        <f>VLOOKUP(B116,[14]AssetDetails_UEM!$A$3:$X$1848,22,FALSE)</f>
        <v>5390</v>
      </c>
      <c r="E116" s="394" t="s">
        <v>1255</v>
      </c>
      <c r="F116" s="394" t="s">
        <v>161</v>
      </c>
      <c r="G116" s="454" t="s">
        <v>1413</v>
      </c>
      <c r="H116" s="396" t="s">
        <v>1485</v>
      </c>
      <c r="I116" s="397" t="s">
        <v>140</v>
      </c>
      <c r="J116" s="139" t="s">
        <v>139</v>
      </c>
      <c r="K116" s="398">
        <f t="shared" si="3"/>
        <v>20</v>
      </c>
      <c r="L116" s="399">
        <f t="shared" si="4"/>
        <v>0</v>
      </c>
      <c r="M116" s="395" t="s">
        <v>1585</v>
      </c>
    </row>
    <row r="117" spans="1:13" s="406" customFormat="1" ht="219" customHeight="1">
      <c r="A117" s="394">
        <v>96</v>
      </c>
      <c r="B117" s="394" t="s">
        <v>1048</v>
      </c>
      <c r="C117" s="395" t="s">
        <v>477</v>
      </c>
      <c r="D117" s="127">
        <f>VLOOKUP(B117,[14]AssetDetails_UEM!$A$3:$X$1848,22,FALSE)</f>
        <v>45200</v>
      </c>
      <c r="E117" s="394" t="s">
        <v>1256</v>
      </c>
      <c r="F117" s="394" t="s">
        <v>161</v>
      </c>
      <c r="G117" s="454" t="s">
        <v>1413</v>
      </c>
      <c r="H117" s="396" t="s">
        <v>1487</v>
      </c>
      <c r="I117" s="397" t="s">
        <v>140</v>
      </c>
      <c r="J117" s="139" t="s">
        <v>139</v>
      </c>
      <c r="K117" s="398">
        <f t="shared" si="3"/>
        <v>100</v>
      </c>
      <c r="L117" s="399">
        <f t="shared" si="4"/>
        <v>0</v>
      </c>
      <c r="M117" s="395" t="s">
        <v>1585</v>
      </c>
    </row>
    <row r="118" spans="1:13" s="406" customFormat="1" ht="172.5" customHeight="1">
      <c r="A118" s="394">
        <v>97</v>
      </c>
      <c r="B118" s="394" t="s">
        <v>1049</v>
      </c>
      <c r="C118" s="395" t="s">
        <v>1151</v>
      </c>
      <c r="D118" s="127">
        <f>VLOOKUP(B118,[14]AssetDetails_UEM!$A$3:$X$1848,22,FALSE)</f>
        <v>8000</v>
      </c>
      <c r="E118" s="394" t="s">
        <v>1257</v>
      </c>
      <c r="F118" s="394" t="s">
        <v>161</v>
      </c>
      <c r="G118" s="454" t="s">
        <v>1413</v>
      </c>
      <c r="H118" s="396" t="s">
        <v>1482</v>
      </c>
      <c r="I118" s="397" t="s">
        <v>140</v>
      </c>
      <c r="J118" s="139" t="s">
        <v>139</v>
      </c>
      <c r="K118" s="398">
        <f t="shared" si="3"/>
        <v>20</v>
      </c>
      <c r="L118" s="399">
        <f t="shared" si="4"/>
        <v>0</v>
      </c>
      <c r="M118" s="395" t="s">
        <v>1586</v>
      </c>
    </row>
    <row r="119" spans="1:13" s="406" customFormat="1" ht="153.5" customHeight="1">
      <c r="A119" s="394">
        <v>98</v>
      </c>
      <c r="B119" s="394" t="s">
        <v>1050</v>
      </c>
      <c r="C119" s="395" t="s">
        <v>1151</v>
      </c>
      <c r="D119" s="127">
        <f>VLOOKUP(B119,[14]AssetDetails_UEM!$A$3:$X$1848,22,FALSE)</f>
        <v>3000</v>
      </c>
      <c r="E119" s="394" t="s">
        <v>1258</v>
      </c>
      <c r="F119" s="394" t="s">
        <v>161</v>
      </c>
      <c r="G119" s="454" t="s">
        <v>1413</v>
      </c>
      <c r="H119" s="396" t="s">
        <v>1488</v>
      </c>
      <c r="I119" s="397" t="s">
        <v>140</v>
      </c>
      <c r="J119" s="139" t="s">
        <v>139</v>
      </c>
      <c r="K119" s="398">
        <f t="shared" si="3"/>
        <v>10</v>
      </c>
      <c r="L119" s="399">
        <f t="shared" si="4"/>
        <v>0</v>
      </c>
      <c r="M119" s="395" t="s">
        <v>1587</v>
      </c>
    </row>
    <row r="120" spans="1:13" s="406" customFormat="1" ht="130" customHeight="1">
      <c r="A120" s="394">
        <v>99</v>
      </c>
      <c r="B120" s="394" t="s">
        <v>1051</v>
      </c>
      <c r="C120" s="395" t="s">
        <v>1152</v>
      </c>
      <c r="D120" s="127">
        <f>VLOOKUP(B120,[14]AssetDetails_UEM!$A$3:$X$1848,22,FALSE)</f>
        <v>2000</v>
      </c>
      <c r="E120" s="394" t="s">
        <v>1259</v>
      </c>
      <c r="F120" s="394" t="s">
        <v>161</v>
      </c>
      <c r="G120" s="454" t="s">
        <v>1413</v>
      </c>
      <c r="H120" s="396" t="s">
        <v>1484</v>
      </c>
      <c r="I120" s="397" t="s">
        <v>140</v>
      </c>
      <c r="J120" s="139" t="s">
        <v>139</v>
      </c>
      <c r="K120" s="398">
        <f t="shared" si="3"/>
        <v>10</v>
      </c>
      <c r="L120" s="399">
        <f t="shared" si="4"/>
        <v>0</v>
      </c>
      <c r="M120" s="395" t="s">
        <v>1588</v>
      </c>
    </row>
    <row r="121" spans="1:13" s="406" customFormat="1" ht="148.5" customHeight="1">
      <c r="A121" s="394">
        <v>100</v>
      </c>
      <c r="B121" s="394" t="s">
        <v>1052</v>
      </c>
      <c r="C121" s="395" t="s">
        <v>162</v>
      </c>
      <c r="D121" s="127">
        <f>VLOOKUP(B121,[14]AssetDetails_UEM!$A$3:$X$1848,22,FALSE)</f>
        <v>3500</v>
      </c>
      <c r="E121" s="394" t="s">
        <v>1260</v>
      </c>
      <c r="F121" s="394" t="s">
        <v>1383</v>
      </c>
      <c r="G121" s="454" t="s">
        <v>1413</v>
      </c>
      <c r="H121" s="396" t="s">
        <v>1489</v>
      </c>
      <c r="I121" s="397" t="s">
        <v>140</v>
      </c>
      <c r="J121" s="139" t="s">
        <v>139</v>
      </c>
      <c r="K121" s="398">
        <f t="shared" si="3"/>
        <v>10</v>
      </c>
      <c r="L121" s="399">
        <f t="shared" si="4"/>
        <v>0</v>
      </c>
      <c r="M121" s="395" t="s">
        <v>1582</v>
      </c>
    </row>
    <row r="122" spans="1:13" s="406" customFormat="1" ht="148.5" customHeight="1">
      <c r="A122" s="394">
        <v>101</v>
      </c>
      <c r="B122" s="394" t="s">
        <v>1053</v>
      </c>
      <c r="C122" s="395" t="s">
        <v>162</v>
      </c>
      <c r="D122" s="127">
        <f>VLOOKUP(B122,[14]AssetDetails_UEM!$A$3:$X$1848,22,FALSE)</f>
        <v>3500</v>
      </c>
      <c r="E122" s="394" t="s">
        <v>1261</v>
      </c>
      <c r="F122" s="394" t="s">
        <v>147</v>
      </c>
      <c r="G122" s="454" t="s">
        <v>1413</v>
      </c>
      <c r="H122" s="396" t="s">
        <v>1487</v>
      </c>
      <c r="I122" s="397" t="s">
        <v>140</v>
      </c>
      <c r="J122" s="139" t="s">
        <v>139</v>
      </c>
      <c r="K122" s="398">
        <f t="shared" si="3"/>
        <v>10</v>
      </c>
      <c r="L122" s="399">
        <f t="shared" si="4"/>
        <v>0</v>
      </c>
      <c r="M122" s="395" t="s">
        <v>1589</v>
      </c>
    </row>
    <row r="123" spans="1:13" s="406" customFormat="1" ht="148.5" customHeight="1">
      <c r="A123" s="394">
        <v>102</v>
      </c>
      <c r="B123" s="394" t="s">
        <v>1054</v>
      </c>
      <c r="C123" s="395" t="s">
        <v>162</v>
      </c>
      <c r="D123" s="127">
        <f>VLOOKUP(B123,[14]AssetDetails_UEM!$A$3:$X$1848,22,FALSE)</f>
        <v>3500</v>
      </c>
      <c r="E123" s="394" t="s">
        <v>1262</v>
      </c>
      <c r="F123" s="394" t="s">
        <v>190</v>
      </c>
      <c r="G123" s="454" t="s">
        <v>1413</v>
      </c>
      <c r="H123" s="396" t="s">
        <v>1482</v>
      </c>
      <c r="I123" s="397" t="s">
        <v>140</v>
      </c>
      <c r="J123" s="139" t="s">
        <v>139</v>
      </c>
      <c r="K123" s="398">
        <f t="shared" si="3"/>
        <v>10</v>
      </c>
      <c r="L123" s="399">
        <f t="shared" si="4"/>
        <v>0</v>
      </c>
      <c r="M123" s="395" t="s">
        <v>1581</v>
      </c>
    </row>
    <row r="124" spans="1:13" s="406" customFormat="1" ht="150" customHeight="1">
      <c r="A124" s="394">
        <v>103</v>
      </c>
      <c r="B124" s="394" t="s">
        <v>415</v>
      </c>
      <c r="C124" s="395" t="s">
        <v>416</v>
      </c>
      <c r="D124" s="127">
        <f>VLOOKUP(B124,[14]AssetDetails_UEM!$A$3:$X$1848,22,FALSE)</f>
        <v>28630</v>
      </c>
      <c r="E124" s="394" t="s">
        <v>1263</v>
      </c>
      <c r="F124" s="394" t="s">
        <v>149</v>
      </c>
      <c r="G124" s="454" t="s">
        <v>1416</v>
      </c>
      <c r="H124" s="396" t="s">
        <v>1490</v>
      </c>
      <c r="I124" s="397" t="s">
        <v>140</v>
      </c>
      <c r="J124" s="139" t="s">
        <v>139</v>
      </c>
      <c r="K124" s="398">
        <f t="shared" si="3"/>
        <v>60</v>
      </c>
      <c r="L124" s="399">
        <f t="shared" si="4"/>
        <v>0</v>
      </c>
      <c r="M124" s="395" t="s">
        <v>1595</v>
      </c>
    </row>
    <row r="125" spans="1:13" s="462" customFormat="1" ht="158.5" customHeight="1">
      <c r="A125" s="394">
        <v>104</v>
      </c>
      <c r="B125" s="394" t="s">
        <v>1055</v>
      </c>
      <c r="C125" s="395" t="s">
        <v>284</v>
      </c>
      <c r="D125" s="129">
        <f>VLOOKUP(B125,[14]AssetDetails_UEM!$A$3:$X$1848,22,FALSE)</f>
        <v>4510</v>
      </c>
      <c r="E125" s="394" t="s">
        <v>1264</v>
      </c>
      <c r="F125" s="394" t="s">
        <v>1384</v>
      </c>
      <c r="G125" s="454" t="s">
        <v>1416</v>
      </c>
      <c r="H125" s="396" t="s">
        <v>1491</v>
      </c>
      <c r="I125" s="403" t="s">
        <v>140</v>
      </c>
      <c r="J125" s="140" t="s">
        <v>139</v>
      </c>
      <c r="K125" s="404">
        <f t="shared" si="3"/>
        <v>10</v>
      </c>
      <c r="L125" s="405">
        <f t="shared" si="4"/>
        <v>0</v>
      </c>
      <c r="M125" s="402" t="s">
        <v>1590</v>
      </c>
    </row>
    <row r="126" spans="1:13" s="462" customFormat="1" ht="150" customHeight="1">
      <c r="A126" s="394">
        <v>105</v>
      </c>
      <c r="B126" s="394" t="s">
        <v>1056</v>
      </c>
      <c r="C126" s="395" t="s">
        <v>284</v>
      </c>
      <c r="D126" s="129">
        <f>VLOOKUP(B126,[14]AssetDetails_UEM!$A$3:$X$1848,22,FALSE)</f>
        <v>4510</v>
      </c>
      <c r="E126" s="394" t="s">
        <v>1265</v>
      </c>
      <c r="F126" s="394" t="s">
        <v>1384</v>
      </c>
      <c r="G126" s="454" t="s">
        <v>1416</v>
      </c>
      <c r="H126" s="396" t="s">
        <v>1492</v>
      </c>
      <c r="I126" s="403" t="s">
        <v>140</v>
      </c>
      <c r="J126" s="140" t="s">
        <v>139</v>
      </c>
      <c r="K126" s="404">
        <f t="shared" si="3"/>
        <v>10</v>
      </c>
      <c r="L126" s="405">
        <f t="shared" si="4"/>
        <v>0</v>
      </c>
      <c r="M126" s="402" t="s">
        <v>1581</v>
      </c>
    </row>
    <row r="127" spans="1:13" s="406" customFormat="1" ht="150" customHeight="1">
      <c r="A127" s="394">
        <v>106</v>
      </c>
      <c r="B127" s="394" t="s">
        <v>1057</v>
      </c>
      <c r="C127" s="395" t="s">
        <v>1148</v>
      </c>
      <c r="D127" s="127">
        <f>VLOOKUP(B127,[14]AssetDetails_UEM!$A$3:$X$1848,22,FALSE)</f>
        <v>7770</v>
      </c>
      <c r="E127" s="394" t="s">
        <v>1266</v>
      </c>
      <c r="F127" s="394" t="s">
        <v>1375</v>
      </c>
      <c r="G127" s="454" t="s">
        <v>1416</v>
      </c>
      <c r="H127" s="396" t="s">
        <v>831</v>
      </c>
      <c r="I127" s="397" t="s">
        <v>140</v>
      </c>
      <c r="J127" s="139" t="s">
        <v>139</v>
      </c>
      <c r="K127" s="398">
        <f t="shared" si="3"/>
        <v>20</v>
      </c>
      <c r="L127" s="399">
        <f t="shared" si="4"/>
        <v>0</v>
      </c>
      <c r="M127" s="395" t="s">
        <v>1581</v>
      </c>
    </row>
    <row r="128" spans="1:13" s="406" customFormat="1" ht="151" customHeight="1">
      <c r="A128" s="394">
        <v>107</v>
      </c>
      <c r="B128" s="394" t="s">
        <v>1058</v>
      </c>
      <c r="C128" s="395" t="s">
        <v>1148</v>
      </c>
      <c r="D128" s="127">
        <f>VLOOKUP(B128,[14]AssetDetails_UEM!$A$3:$X$1848,22,FALSE)</f>
        <v>18765</v>
      </c>
      <c r="E128" s="394" t="s">
        <v>1267</v>
      </c>
      <c r="F128" s="394" t="s">
        <v>1375</v>
      </c>
      <c r="G128" s="454" t="s">
        <v>1416</v>
      </c>
      <c r="H128" s="396" t="s">
        <v>1493</v>
      </c>
      <c r="I128" s="397" t="s">
        <v>140</v>
      </c>
      <c r="J128" s="139" t="s">
        <v>139</v>
      </c>
      <c r="K128" s="398">
        <f t="shared" si="3"/>
        <v>40</v>
      </c>
      <c r="L128" s="399">
        <f t="shared" si="4"/>
        <v>0</v>
      </c>
      <c r="M128" s="395" t="s">
        <v>1590</v>
      </c>
    </row>
    <row r="129" spans="1:13" s="406" customFormat="1" ht="129.5" customHeight="1">
      <c r="A129" s="394">
        <v>108</v>
      </c>
      <c r="B129" s="394" t="s">
        <v>1059</v>
      </c>
      <c r="C129" s="395" t="s">
        <v>284</v>
      </c>
      <c r="D129" s="127">
        <f>VLOOKUP(B129,[14]AssetDetails_UEM!$A$3:$X$1848,22,FALSE)</f>
        <v>7770</v>
      </c>
      <c r="E129" s="394" t="s">
        <v>1268</v>
      </c>
      <c r="F129" s="394" t="s">
        <v>1380</v>
      </c>
      <c r="G129" s="454" t="s">
        <v>1416</v>
      </c>
      <c r="H129" s="396" t="s">
        <v>789</v>
      </c>
      <c r="I129" s="397" t="s">
        <v>140</v>
      </c>
      <c r="J129" s="139" t="s">
        <v>139</v>
      </c>
      <c r="K129" s="398">
        <f t="shared" si="3"/>
        <v>20</v>
      </c>
      <c r="L129" s="399">
        <f t="shared" si="4"/>
        <v>0</v>
      </c>
      <c r="M129" s="395" t="s">
        <v>1581</v>
      </c>
    </row>
    <row r="130" spans="1:13" s="406" customFormat="1" ht="153.5" customHeight="1">
      <c r="A130" s="394">
        <v>109</v>
      </c>
      <c r="B130" s="394" t="s">
        <v>1060</v>
      </c>
      <c r="C130" s="395" t="s">
        <v>473</v>
      </c>
      <c r="D130" s="127">
        <f>VLOOKUP(B130,[14]AssetDetails_UEM!$A$3:$X$1848,22,FALSE)</f>
        <v>44510</v>
      </c>
      <c r="E130" s="394" t="s">
        <v>1269</v>
      </c>
      <c r="F130" s="394" t="s">
        <v>147</v>
      </c>
      <c r="G130" s="454" t="s">
        <v>1416</v>
      </c>
      <c r="H130" s="396" t="s">
        <v>1494</v>
      </c>
      <c r="I130" s="397" t="s">
        <v>140</v>
      </c>
      <c r="J130" s="139" t="s">
        <v>139</v>
      </c>
      <c r="K130" s="398">
        <f t="shared" si="3"/>
        <v>90</v>
      </c>
      <c r="L130" s="399">
        <f t="shared" si="4"/>
        <v>0</v>
      </c>
      <c r="M130" s="395" t="s">
        <v>1581</v>
      </c>
    </row>
    <row r="131" spans="1:13" s="406" customFormat="1" ht="147" customHeight="1">
      <c r="A131" s="394">
        <v>110</v>
      </c>
      <c r="B131" s="554" t="s">
        <v>1061</v>
      </c>
      <c r="C131" s="539" t="s">
        <v>473</v>
      </c>
      <c r="D131" s="127">
        <f>VLOOKUP(B131,[14]AssetDetails_UEM!$A$3:$X$1848,22,FALSE)</f>
        <v>87400</v>
      </c>
      <c r="E131" s="554" t="s">
        <v>1270</v>
      </c>
      <c r="F131" s="554" t="s">
        <v>159</v>
      </c>
      <c r="G131" s="540" t="s">
        <v>1416</v>
      </c>
      <c r="H131" s="555" t="s">
        <v>831</v>
      </c>
      <c r="I131" s="397" t="s">
        <v>140</v>
      </c>
      <c r="J131" s="139" t="s">
        <v>139</v>
      </c>
      <c r="K131" s="398">
        <f t="shared" si="3"/>
        <v>180</v>
      </c>
      <c r="L131" s="399">
        <f t="shared" si="4"/>
        <v>0</v>
      </c>
      <c r="M131" s="539" t="s">
        <v>1591</v>
      </c>
    </row>
    <row r="132" spans="1:13" s="406" customFormat="1" ht="147.5" customHeight="1">
      <c r="A132" s="394">
        <v>111</v>
      </c>
      <c r="B132" s="554" t="s">
        <v>1062</v>
      </c>
      <c r="C132" s="539" t="s">
        <v>473</v>
      </c>
      <c r="D132" s="127">
        <f>VLOOKUP(B132,[14]AssetDetails_UEM!$A$3:$X$1848,22,FALSE)</f>
        <v>87400</v>
      </c>
      <c r="E132" s="554" t="s">
        <v>1271</v>
      </c>
      <c r="F132" s="554" t="s">
        <v>159</v>
      </c>
      <c r="G132" s="540" t="s">
        <v>1416</v>
      </c>
      <c r="H132" s="555" t="s">
        <v>1495</v>
      </c>
      <c r="I132" s="397" t="s">
        <v>140</v>
      </c>
      <c r="J132" s="139" t="s">
        <v>139</v>
      </c>
      <c r="K132" s="398">
        <f t="shared" si="3"/>
        <v>180</v>
      </c>
      <c r="L132" s="399">
        <f t="shared" si="4"/>
        <v>0</v>
      </c>
      <c r="M132" s="539" t="s">
        <v>1591</v>
      </c>
    </row>
    <row r="133" spans="1:13" s="406" customFormat="1" ht="141" customHeight="1">
      <c r="A133" s="394">
        <v>112</v>
      </c>
      <c r="B133" s="554" t="s">
        <v>1063</v>
      </c>
      <c r="C133" s="539" t="s">
        <v>162</v>
      </c>
      <c r="D133" s="127">
        <f>VLOOKUP(B133,[14]AssetDetails_UEM!$A$3:$X$1848,22,FALSE)</f>
        <v>3500</v>
      </c>
      <c r="E133" s="554" t="s">
        <v>1272</v>
      </c>
      <c r="F133" s="554" t="s">
        <v>640</v>
      </c>
      <c r="G133" s="540" t="s">
        <v>1416</v>
      </c>
      <c r="H133" s="555" t="s">
        <v>886</v>
      </c>
      <c r="I133" s="397" t="s">
        <v>140</v>
      </c>
      <c r="J133" s="139" t="s">
        <v>139</v>
      </c>
      <c r="K133" s="398">
        <f t="shared" si="3"/>
        <v>10</v>
      </c>
      <c r="L133" s="399">
        <f t="shared" si="4"/>
        <v>0</v>
      </c>
      <c r="M133" s="539" t="s">
        <v>1592</v>
      </c>
    </row>
    <row r="134" spans="1:13" s="406" customFormat="1" ht="141" customHeight="1">
      <c r="A134" s="394">
        <v>113</v>
      </c>
      <c r="B134" s="554" t="s">
        <v>1064</v>
      </c>
      <c r="C134" s="539" t="s">
        <v>162</v>
      </c>
      <c r="D134" s="127">
        <f>VLOOKUP(B134,[14]AssetDetails_UEM!$A$3:$X$1848,22,FALSE)</f>
        <v>3500</v>
      </c>
      <c r="E134" s="554" t="s">
        <v>1273</v>
      </c>
      <c r="F134" s="554" t="s">
        <v>638</v>
      </c>
      <c r="G134" s="540" t="s">
        <v>1416</v>
      </c>
      <c r="H134" s="555" t="s">
        <v>1496</v>
      </c>
      <c r="I134" s="397" t="s">
        <v>140</v>
      </c>
      <c r="J134" s="139" t="s">
        <v>139</v>
      </c>
      <c r="K134" s="398">
        <f t="shared" si="3"/>
        <v>10</v>
      </c>
      <c r="L134" s="399">
        <f t="shared" si="4"/>
        <v>0</v>
      </c>
      <c r="M134" s="539" t="s">
        <v>1566</v>
      </c>
    </row>
    <row r="135" spans="1:13" s="406" customFormat="1" ht="143.5" customHeight="1">
      <c r="A135" s="394">
        <v>114</v>
      </c>
      <c r="B135" s="554" t="s">
        <v>1065</v>
      </c>
      <c r="C135" s="539" t="s">
        <v>162</v>
      </c>
      <c r="D135" s="127">
        <f>VLOOKUP(B135,[14]AssetDetails_UEM!$A$3:$X$1848,22,FALSE)</f>
        <v>3500</v>
      </c>
      <c r="E135" s="554" t="s">
        <v>1274</v>
      </c>
      <c r="F135" s="554" t="s">
        <v>648</v>
      </c>
      <c r="G135" s="540" t="s">
        <v>1416</v>
      </c>
      <c r="H135" s="555" t="s">
        <v>1495</v>
      </c>
      <c r="I135" s="397" t="s">
        <v>140</v>
      </c>
      <c r="J135" s="139" t="s">
        <v>139</v>
      </c>
      <c r="K135" s="398">
        <f t="shared" si="3"/>
        <v>10</v>
      </c>
      <c r="L135" s="399">
        <f t="shared" si="4"/>
        <v>0</v>
      </c>
      <c r="M135" s="539" t="s">
        <v>1578</v>
      </c>
    </row>
    <row r="136" spans="1:13" s="406" customFormat="1" ht="143.5" customHeight="1">
      <c r="A136" s="394">
        <v>115</v>
      </c>
      <c r="B136" s="554" t="s">
        <v>1613</v>
      </c>
      <c r="C136" s="539" t="s">
        <v>162</v>
      </c>
      <c r="D136" s="127">
        <f>VLOOKUP(B136,[14]AssetDetails_UEM!$A$3:$X$1848,22,FALSE)</f>
        <v>3500</v>
      </c>
      <c r="E136" s="554" t="s">
        <v>1614</v>
      </c>
      <c r="F136" s="554" t="s">
        <v>648</v>
      </c>
      <c r="G136" s="593">
        <v>46099</v>
      </c>
      <c r="H136" s="594" t="s">
        <v>1615</v>
      </c>
      <c r="I136" s="460">
        <v>46107</v>
      </c>
      <c r="J136" s="139" t="s">
        <v>139</v>
      </c>
      <c r="K136" s="398">
        <f t="shared" si="3"/>
        <v>10</v>
      </c>
      <c r="L136" s="399">
        <f t="shared" si="4"/>
        <v>0</v>
      </c>
      <c r="M136" s="539" t="s">
        <v>1713</v>
      </c>
    </row>
    <row r="137" spans="1:13" s="406" customFormat="1" ht="143.5" customHeight="1">
      <c r="A137" s="394">
        <v>116</v>
      </c>
      <c r="B137" s="604" t="s">
        <v>1066</v>
      </c>
      <c r="C137" s="539" t="s">
        <v>1153</v>
      </c>
      <c r="D137" s="127" t="e">
        <f>VLOOKUP(B137,[14]AssetDetails_UEM!$A$3:$X$1848,22,FALSE)</f>
        <v>#N/A</v>
      </c>
      <c r="E137" s="554" t="s">
        <v>1275</v>
      </c>
      <c r="F137" s="554" t="s">
        <v>646</v>
      </c>
      <c r="G137" s="593" t="s">
        <v>1416</v>
      </c>
      <c r="H137" s="594" t="s">
        <v>1497</v>
      </c>
      <c r="I137" s="460">
        <v>46107</v>
      </c>
      <c r="J137" s="139" t="s">
        <v>139</v>
      </c>
      <c r="K137" s="398" t="e">
        <f t="shared" si="3"/>
        <v>#N/A</v>
      </c>
      <c r="L137" s="399">
        <f t="shared" si="4"/>
        <v>0</v>
      </c>
      <c r="M137" s="539" t="s">
        <v>1714</v>
      </c>
    </row>
    <row r="138" spans="1:13" s="406" customFormat="1" ht="162" customHeight="1">
      <c r="A138" s="394">
        <v>117</v>
      </c>
      <c r="B138" s="604" t="s">
        <v>1067</v>
      </c>
      <c r="C138" s="539" t="s">
        <v>162</v>
      </c>
      <c r="D138" s="127" t="e">
        <f>VLOOKUP(B138,[14]AssetDetails_UEM!$A$3:$X$1848,22,FALSE)</f>
        <v>#N/A</v>
      </c>
      <c r="E138" s="554" t="s">
        <v>1276</v>
      </c>
      <c r="F138" s="554" t="s">
        <v>646</v>
      </c>
      <c r="G138" s="593" t="s">
        <v>1416</v>
      </c>
      <c r="H138" s="594" t="s">
        <v>1497</v>
      </c>
      <c r="I138" s="460">
        <v>46107</v>
      </c>
      <c r="J138" s="139" t="s">
        <v>139</v>
      </c>
      <c r="K138" s="398" t="e">
        <f t="shared" si="3"/>
        <v>#N/A</v>
      </c>
      <c r="L138" s="399">
        <f t="shared" si="4"/>
        <v>0</v>
      </c>
      <c r="M138" s="539" t="s">
        <v>1714</v>
      </c>
    </row>
    <row r="139" spans="1:13" s="406" customFormat="1" ht="162" customHeight="1">
      <c r="A139" s="394">
        <v>118</v>
      </c>
      <c r="B139" s="604" t="s">
        <v>1068</v>
      </c>
      <c r="C139" s="539" t="s">
        <v>483</v>
      </c>
      <c r="D139" s="127" t="e">
        <f>VLOOKUP(B139,[14]AssetDetails_UEM!$A$3:$X$1848,22,FALSE)</f>
        <v>#N/A</v>
      </c>
      <c r="E139" s="554" t="s">
        <v>1277</v>
      </c>
      <c r="F139" s="554" t="s">
        <v>646</v>
      </c>
      <c r="G139" s="593" t="s">
        <v>1416</v>
      </c>
      <c r="H139" s="594" t="s">
        <v>1497</v>
      </c>
      <c r="I139" s="460">
        <v>46107</v>
      </c>
      <c r="J139" s="139" t="s">
        <v>139</v>
      </c>
      <c r="K139" s="398" t="e">
        <f t="shared" si="3"/>
        <v>#N/A</v>
      </c>
      <c r="L139" s="399">
        <f t="shared" si="4"/>
        <v>0</v>
      </c>
      <c r="M139" s="539" t="s">
        <v>1715</v>
      </c>
    </row>
    <row r="140" spans="1:13" s="406" customFormat="1" ht="160" customHeight="1">
      <c r="A140" s="394">
        <v>119</v>
      </c>
      <c r="B140" s="604" t="s">
        <v>1069</v>
      </c>
      <c r="C140" s="539" t="s">
        <v>483</v>
      </c>
      <c r="D140" s="127" t="e">
        <f>VLOOKUP(B140,[14]AssetDetails_UEM!$A$3:$X$1848,22,FALSE)</f>
        <v>#N/A</v>
      </c>
      <c r="E140" s="554" t="s">
        <v>1278</v>
      </c>
      <c r="F140" s="554" t="s">
        <v>646</v>
      </c>
      <c r="G140" s="593" t="s">
        <v>1416</v>
      </c>
      <c r="H140" s="594" t="s">
        <v>1497</v>
      </c>
      <c r="I140" s="460">
        <v>46107</v>
      </c>
      <c r="J140" s="139" t="s">
        <v>139</v>
      </c>
      <c r="K140" s="398" t="e">
        <f t="shared" si="3"/>
        <v>#N/A</v>
      </c>
      <c r="L140" s="399">
        <f t="shared" si="4"/>
        <v>0</v>
      </c>
      <c r="M140" s="539" t="s">
        <v>1716</v>
      </c>
    </row>
    <row r="141" spans="1:13" s="406" customFormat="1" ht="160" customHeight="1">
      <c r="A141" s="394">
        <v>120</v>
      </c>
      <c r="B141" s="604" t="s">
        <v>1070</v>
      </c>
      <c r="C141" s="539" t="s">
        <v>483</v>
      </c>
      <c r="D141" s="127" t="e">
        <f>VLOOKUP(B141,[14]AssetDetails_UEM!$A$3:$X$1848,22,FALSE)</f>
        <v>#N/A</v>
      </c>
      <c r="E141" s="554" t="s">
        <v>1279</v>
      </c>
      <c r="F141" s="554" t="s">
        <v>646</v>
      </c>
      <c r="G141" s="593" t="s">
        <v>1416</v>
      </c>
      <c r="H141" s="594" t="s">
        <v>1497</v>
      </c>
      <c r="I141" s="460">
        <v>46107</v>
      </c>
      <c r="J141" s="139" t="s">
        <v>139</v>
      </c>
      <c r="K141" s="398" t="e">
        <f t="shared" si="3"/>
        <v>#N/A</v>
      </c>
      <c r="L141" s="399">
        <f t="shared" si="4"/>
        <v>0</v>
      </c>
      <c r="M141" s="539" t="s">
        <v>1716</v>
      </c>
    </row>
    <row r="142" spans="1:13" s="406" customFormat="1" ht="146" customHeight="1">
      <c r="A142" s="394">
        <v>121</v>
      </c>
      <c r="B142" s="554" t="s">
        <v>1071</v>
      </c>
      <c r="C142" s="539" t="s">
        <v>483</v>
      </c>
      <c r="D142" s="127">
        <f>VLOOKUP(B142,[14]AssetDetails_UEM!$A$3:$X$1848,22,FALSE)</f>
        <v>10225</v>
      </c>
      <c r="E142" s="554" t="s">
        <v>1280</v>
      </c>
      <c r="F142" s="554" t="s">
        <v>1365</v>
      </c>
      <c r="G142" s="540" t="s">
        <v>1417</v>
      </c>
      <c r="H142" s="555" t="s">
        <v>1498</v>
      </c>
      <c r="I142" s="397" t="s">
        <v>140</v>
      </c>
      <c r="J142" s="139" t="s">
        <v>139</v>
      </c>
      <c r="K142" s="398">
        <f t="shared" si="3"/>
        <v>30</v>
      </c>
      <c r="L142" s="399">
        <f t="shared" si="4"/>
        <v>0</v>
      </c>
      <c r="M142" s="539" t="s">
        <v>1593</v>
      </c>
    </row>
    <row r="143" spans="1:13" s="406" customFormat="1" ht="141" customHeight="1">
      <c r="A143" s="394">
        <v>122</v>
      </c>
      <c r="B143" s="554" t="s">
        <v>1072</v>
      </c>
      <c r="C143" s="539" t="s">
        <v>483</v>
      </c>
      <c r="D143" s="127">
        <f>VLOOKUP(B143,[14]AssetDetails_UEM!$A$3:$X$1848,22,FALSE)</f>
        <v>10225</v>
      </c>
      <c r="E143" s="554" t="s">
        <v>1281</v>
      </c>
      <c r="F143" s="554" t="s">
        <v>1381</v>
      </c>
      <c r="G143" s="540" t="s">
        <v>1417</v>
      </c>
      <c r="H143" s="555" t="s">
        <v>1499</v>
      </c>
      <c r="I143" s="397" t="s">
        <v>140</v>
      </c>
      <c r="J143" s="139" t="s">
        <v>139</v>
      </c>
      <c r="K143" s="398">
        <f t="shared" si="3"/>
        <v>30</v>
      </c>
      <c r="L143" s="399">
        <f t="shared" si="4"/>
        <v>0</v>
      </c>
      <c r="M143" s="539" t="s">
        <v>1582</v>
      </c>
    </row>
    <row r="144" spans="1:13" s="406" customFormat="1" ht="152.5" customHeight="1">
      <c r="A144" s="394">
        <v>123</v>
      </c>
      <c r="B144" s="554" t="s">
        <v>1073</v>
      </c>
      <c r="C144" s="539" t="s">
        <v>473</v>
      </c>
      <c r="D144" s="127">
        <f>VLOOKUP(B144,[14]AssetDetails_UEM!$A$3:$X$1848,22,FALSE)</f>
        <v>87400</v>
      </c>
      <c r="E144" s="554" t="s">
        <v>1282</v>
      </c>
      <c r="F144" s="554" t="s">
        <v>159</v>
      </c>
      <c r="G144" s="540" t="s">
        <v>1417</v>
      </c>
      <c r="H144" s="555" t="s">
        <v>1500</v>
      </c>
      <c r="I144" s="397" t="s">
        <v>140</v>
      </c>
      <c r="J144" s="139" t="s">
        <v>139</v>
      </c>
      <c r="K144" s="398">
        <f t="shared" si="3"/>
        <v>180</v>
      </c>
      <c r="L144" s="399">
        <f t="shared" si="4"/>
        <v>0</v>
      </c>
      <c r="M144" s="539" t="s">
        <v>1572</v>
      </c>
    </row>
    <row r="145" spans="1:13" s="406" customFormat="1" ht="152.5" customHeight="1">
      <c r="A145" s="394">
        <v>124</v>
      </c>
      <c r="B145" s="554" t="s">
        <v>1074</v>
      </c>
      <c r="C145" s="539" t="s">
        <v>473</v>
      </c>
      <c r="D145" s="127">
        <f>VLOOKUP(B145,[14]AssetDetails_UEM!$A$3:$X$1848,22,FALSE)</f>
        <v>87400</v>
      </c>
      <c r="E145" s="554" t="s">
        <v>1283</v>
      </c>
      <c r="F145" s="554" t="s">
        <v>159</v>
      </c>
      <c r="G145" s="540" t="s">
        <v>1417</v>
      </c>
      <c r="H145" s="555" t="s">
        <v>1501</v>
      </c>
      <c r="I145" s="397" t="s">
        <v>140</v>
      </c>
      <c r="J145" s="139" t="s">
        <v>139</v>
      </c>
      <c r="K145" s="398">
        <f t="shared" si="3"/>
        <v>180</v>
      </c>
      <c r="L145" s="399">
        <f t="shared" si="4"/>
        <v>0</v>
      </c>
      <c r="M145" s="539" t="s">
        <v>1572</v>
      </c>
    </row>
    <row r="146" spans="1:13" s="406" customFormat="1" ht="150" customHeight="1">
      <c r="A146" s="394">
        <v>125</v>
      </c>
      <c r="B146" s="554" t="s">
        <v>1075</v>
      </c>
      <c r="C146" s="539" t="s">
        <v>473</v>
      </c>
      <c r="D146" s="127">
        <f>VLOOKUP(B146,[14]AssetDetails_UEM!$A$3:$X$1848,22,FALSE)</f>
        <v>44510</v>
      </c>
      <c r="E146" s="554" t="s">
        <v>1284</v>
      </c>
      <c r="F146" s="554" t="s">
        <v>1385</v>
      </c>
      <c r="G146" s="540" t="s">
        <v>1417</v>
      </c>
      <c r="H146" s="555" t="s">
        <v>1502</v>
      </c>
      <c r="I146" s="397" t="s">
        <v>140</v>
      </c>
      <c r="J146" s="139" t="s">
        <v>139</v>
      </c>
      <c r="K146" s="398">
        <f t="shared" si="3"/>
        <v>90</v>
      </c>
      <c r="L146" s="399">
        <f t="shared" si="4"/>
        <v>0</v>
      </c>
      <c r="M146" s="539" t="s">
        <v>1594</v>
      </c>
    </row>
    <row r="147" spans="1:13" s="406" customFormat="1" ht="150" customHeight="1">
      <c r="A147" s="394">
        <v>126</v>
      </c>
      <c r="B147" s="554" t="s">
        <v>1076</v>
      </c>
      <c r="C147" s="539" t="s">
        <v>473</v>
      </c>
      <c r="D147" s="127">
        <f>VLOOKUP(B147,[14]AssetDetails_UEM!$A$3:$X$1848,22,FALSE)</f>
        <v>44510</v>
      </c>
      <c r="E147" s="554" t="s">
        <v>1285</v>
      </c>
      <c r="F147" s="554" t="s">
        <v>1385</v>
      </c>
      <c r="G147" s="540" t="s">
        <v>1417</v>
      </c>
      <c r="H147" s="555" t="s">
        <v>1503</v>
      </c>
      <c r="I147" s="397" t="s">
        <v>140</v>
      </c>
      <c r="J147" s="139" t="s">
        <v>139</v>
      </c>
      <c r="K147" s="398">
        <f t="shared" si="3"/>
        <v>90</v>
      </c>
      <c r="L147" s="399">
        <f t="shared" si="4"/>
        <v>0</v>
      </c>
      <c r="M147" s="539" t="s">
        <v>1584</v>
      </c>
    </row>
    <row r="148" spans="1:13" s="406" customFormat="1" ht="158.5" customHeight="1">
      <c r="A148" s="394">
        <v>127</v>
      </c>
      <c r="B148" s="554" t="s">
        <v>1077</v>
      </c>
      <c r="C148" s="539" t="s">
        <v>1154</v>
      </c>
      <c r="D148" s="127">
        <f>VLOOKUP(B148,[14]AssetDetails_UEM!$A$3:$X$1848,22,FALSE)</f>
        <v>66000</v>
      </c>
      <c r="E148" s="554" t="s">
        <v>1286</v>
      </c>
      <c r="F148" s="554" t="s">
        <v>161</v>
      </c>
      <c r="G148" s="540" t="s">
        <v>1417</v>
      </c>
      <c r="H148" s="555" t="s">
        <v>1504</v>
      </c>
      <c r="I148" s="397" t="s">
        <v>140</v>
      </c>
      <c r="J148" s="139" t="s">
        <v>139</v>
      </c>
      <c r="K148" s="398">
        <f t="shared" si="3"/>
        <v>140</v>
      </c>
      <c r="L148" s="399">
        <f t="shared" si="4"/>
        <v>0</v>
      </c>
      <c r="M148" s="539" t="s">
        <v>1595</v>
      </c>
    </row>
    <row r="149" spans="1:13" s="406" customFormat="1" ht="158.5" customHeight="1">
      <c r="A149" s="394">
        <v>128</v>
      </c>
      <c r="B149" s="554" t="s">
        <v>1078</v>
      </c>
      <c r="C149" s="539" t="s">
        <v>162</v>
      </c>
      <c r="D149" s="127">
        <f>VLOOKUP(B149,[14]AssetDetails_UEM!$A$3:$X$1848,22,FALSE)</f>
        <v>3500</v>
      </c>
      <c r="E149" s="554" t="s">
        <v>1287</v>
      </c>
      <c r="F149" s="554" t="s">
        <v>1383</v>
      </c>
      <c r="G149" s="540" t="s">
        <v>1417</v>
      </c>
      <c r="H149" s="555" t="s">
        <v>1502</v>
      </c>
      <c r="I149" s="397" t="s">
        <v>140</v>
      </c>
      <c r="J149" s="139" t="s">
        <v>139</v>
      </c>
      <c r="K149" s="398">
        <f t="shared" ref="K149:K212" si="5">ROUNDUP((D149/4999.99)*10,-1)</f>
        <v>10</v>
      </c>
      <c r="L149" s="399">
        <f t="shared" ref="L149:L212" si="6">IF(J149="N",0,K149)</f>
        <v>0</v>
      </c>
      <c r="M149" s="539" t="s">
        <v>1582</v>
      </c>
    </row>
    <row r="150" spans="1:13" s="406" customFormat="1" ht="153.5" customHeight="1">
      <c r="A150" s="394">
        <v>129</v>
      </c>
      <c r="B150" s="554" t="s">
        <v>1079</v>
      </c>
      <c r="C150" s="539" t="s">
        <v>162</v>
      </c>
      <c r="D150" s="127">
        <f>VLOOKUP(B150,[14]AssetDetails_UEM!$A$3:$X$1848,22,FALSE)</f>
        <v>3500</v>
      </c>
      <c r="E150" s="554" t="s">
        <v>1288</v>
      </c>
      <c r="F150" s="554" t="s">
        <v>1383</v>
      </c>
      <c r="G150" s="540" t="s">
        <v>1417</v>
      </c>
      <c r="H150" s="555" t="s">
        <v>1504</v>
      </c>
      <c r="I150" s="397" t="s">
        <v>140</v>
      </c>
      <c r="J150" s="139" t="s">
        <v>139</v>
      </c>
      <c r="K150" s="398">
        <f t="shared" si="5"/>
        <v>10</v>
      </c>
      <c r="L150" s="399">
        <f t="shared" si="6"/>
        <v>0</v>
      </c>
      <c r="M150" s="539" t="s">
        <v>1583</v>
      </c>
    </row>
    <row r="151" spans="1:13" s="406" customFormat="1" ht="153.5" customHeight="1">
      <c r="A151" s="394">
        <v>130</v>
      </c>
      <c r="B151" s="554" t="s">
        <v>1080</v>
      </c>
      <c r="C151" s="539" t="s">
        <v>162</v>
      </c>
      <c r="D151" s="127">
        <f>VLOOKUP(B151,[14]AssetDetails_UEM!$A$3:$X$1848,22,FALSE)</f>
        <v>3500</v>
      </c>
      <c r="E151" s="554" t="s">
        <v>1289</v>
      </c>
      <c r="F151" s="554" t="s">
        <v>1365</v>
      </c>
      <c r="G151" s="540" t="s">
        <v>1417</v>
      </c>
      <c r="H151" s="555" t="s">
        <v>1503</v>
      </c>
      <c r="I151" s="397" t="s">
        <v>140</v>
      </c>
      <c r="J151" s="139" t="s">
        <v>139</v>
      </c>
      <c r="K151" s="398">
        <f t="shared" si="5"/>
        <v>10</v>
      </c>
      <c r="L151" s="399">
        <f t="shared" si="6"/>
        <v>0</v>
      </c>
      <c r="M151" s="539" t="s">
        <v>1569</v>
      </c>
    </row>
    <row r="152" spans="1:13" s="406" customFormat="1" ht="153.5" customHeight="1">
      <c r="A152" s="394">
        <v>131</v>
      </c>
      <c r="B152" s="554" t="s">
        <v>1081</v>
      </c>
      <c r="C152" s="539" t="s">
        <v>162</v>
      </c>
      <c r="D152" s="127">
        <f>VLOOKUP(B152,[14]AssetDetails_UEM!$A$3:$X$1848,22,FALSE)</f>
        <v>3500</v>
      </c>
      <c r="E152" s="554" t="s">
        <v>1290</v>
      </c>
      <c r="F152" s="554" t="s">
        <v>1365</v>
      </c>
      <c r="G152" s="540" t="s">
        <v>1417</v>
      </c>
      <c r="H152" s="555" t="s">
        <v>1502</v>
      </c>
      <c r="I152" s="397" t="s">
        <v>140</v>
      </c>
      <c r="J152" s="139" t="s">
        <v>139</v>
      </c>
      <c r="K152" s="398">
        <f t="shared" si="5"/>
        <v>10</v>
      </c>
      <c r="L152" s="399">
        <f t="shared" si="6"/>
        <v>0</v>
      </c>
      <c r="M152" s="539" t="s">
        <v>1593</v>
      </c>
    </row>
    <row r="153" spans="1:13" s="406" customFormat="1" ht="153.5" customHeight="1">
      <c r="A153" s="394">
        <v>132</v>
      </c>
      <c r="B153" s="554" t="s">
        <v>1082</v>
      </c>
      <c r="C153" s="539" t="s">
        <v>162</v>
      </c>
      <c r="D153" s="127">
        <f>VLOOKUP(B153,[14]AssetDetails_UEM!$A$3:$X$1848,22,FALSE)</f>
        <v>3500</v>
      </c>
      <c r="E153" s="554" t="s">
        <v>1291</v>
      </c>
      <c r="F153" s="554" t="s">
        <v>638</v>
      </c>
      <c r="G153" s="540" t="s">
        <v>1417</v>
      </c>
      <c r="H153" s="555" t="s">
        <v>1500</v>
      </c>
      <c r="I153" s="397" t="s">
        <v>140</v>
      </c>
      <c r="J153" s="139" t="s">
        <v>139</v>
      </c>
      <c r="K153" s="398">
        <f t="shared" si="5"/>
        <v>10</v>
      </c>
      <c r="L153" s="399">
        <f t="shared" si="6"/>
        <v>0</v>
      </c>
      <c r="M153" s="539" t="s">
        <v>1566</v>
      </c>
    </row>
    <row r="154" spans="1:13" s="406" customFormat="1" ht="160" customHeight="1">
      <c r="A154" s="394">
        <v>133</v>
      </c>
      <c r="B154" s="554" t="s">
        <v>1083</v>
      </c>
      <c r="C154" s="539" t="s">
        <v>473</v>
      </c>
      <c r="D154" s="127">
        <f>VLOOKUP(B154,[14]AssetDetails_UEM!$A$3:$X$1848,22,FALSE)</f>
        <v>22000</v>
      </c>
      <c r="E154" s="554" t="s">
        <v>1292</v>
      </c>
      <c r="F154" s="554" t="s">
        <v>1386</v>
      </c>
      <c r="G154" s="540" t="s">
        <v>1418</v>
      </c>
      <c r="H154" s="555" t="s">
        <v>1505</v>
      </c>
      <c r="I154" s="397" t="s">
        <v>140</v>
      </c>
      <c r="J154" s="139" t="s">
        <v>139</v>
      </c>
      <c r="K154" s="398">
        <f t="shared" si="5"/>
        <v>50</v>
      </c>
      <c r="L154" s="399">
        <f t="shared" si="6"/>
        <v>0</v>
      </c>
      <c r="M154" s="539" t="s">
        <v>1596</v>
      </c>
    </row>
    <row r="155" spans="1:13" s="406" customFormat="1" ht="160" customHeight="1">
      <c r="A155" s="394">
        <v>134</v>
      </c>
      <c r="B155" s="554" t="s">
        <v>1084</v>
      </c>
      <c r="C155" s="539" t="s">
        <v>1155</v>
      </c>
      <c r="D155" s="127">
        <f>VLOOKUP(B155,[14]AssetDetails_UEM!$A$3:$X$1848,22,FALSE)</f>
        <v>168400</v>
      </c>
      <c r="E155" s="554" t="s">
        <v>1293</v>
      </c>
      <c r="F155" s="554" t="s">
        <v>1358</v>
      </c>
      <c r="G155" s="540" t="s">
        <v>1419</v>
      </c>
      <c r="H155" s="555" t="s">
        <v>1506</v>
      </c>
      <c r="I155" s="397" t="s">
        <v>140</v>
      </c>
      <c r="J155" s="139" t="s">
        <v>139</v>
      </c>
      <c r="K155" s="398">
        <f t="shared" si="5"/>
        <v>340</v>
      </c>
      <c r="L155" s="399">
        <f t="shared" si="6"/>
        <v>0</v>
      </c>
      <c r="M155" s="539" t="s">
        <v>1597</v>
      </c>
    </row>
    <row r="156" spans="1:13" s="406" customFormat="1" ht="137.5" customHeight="1">
      <c r="A156" s="394">
        <v>135</v>
      </c>
      <c r="B156" s="554" t="s">
        <v>1085</v>
      </c>
      <c r="C156" s="539" t="s">
        <v>219</v>
      </c>
      <c r="D156" s="127">
        <f>VLOOKUP(B156,[14]AssetDetails_UEM!$A$3:$X$1848,22,FALSE)</f>
        <v>5052</v>
      </c>
      <c r="E156" s="554" t="s">
        <v>1294</v>
      </c>
      <c r="F156" s="554" t="s">
        <v>1387</v>
      </c>
      <c r="G156" s="540" t="s">
        <v>1419</v>
      </c>
      <c r="H156" s="555" t="s">
        <v>1507</v>
      </c>
      <c r="I156" s="397" t="s">
        <v>140</v>
      </c>
      <c r="J156" s="139" t="s">
        <v>139</v>
      </c>
      <c r="K156" s="398">
        <f t="shared" si="5"/>
        <v>20</v>
      </c>
      <c r="L156" s="399">
        <f t="shared" si="6"/>
        <v>0</v>
      </c>
      <c r="M156" s="539" t="s">
        <v>1595</v>
      </c>
    </row>
    <row r="157" spans="1:13" s="406" customFormat="1" ht="137.5" customHeight="1">
      <c r="A157" s="394">
        <v>136</v>
      </c>
      <c r="B157" s="554" t="s">
        <v>1086</v>
      </c>
      <c r="C157" s="539" t="s">
        <v>219</v>
      </c>
      <c r="D157" s="127">
        <f>VLOOKUP(B157,[14]AssetDetails_UEM!$A$3:$X$1848,22,FALSE)</f>
        <v>10705</v>
      </c>
      <c r="E157" s="554" t="s">
        <v>1295</v>
      </c>
      <c r="F157" s="554" t="s">
        <v>149</v>
      </c>
      <c r="G157" s="540" t="s">
        <v>1419</v>
      </c>
      <c r="H157" s="555" t="s">
        <v>1508</v>
      </c>
      <c r="I157" s="397" t="s">
        <v>140</v>
      </c>
      <c r="J157" s="139" t="s">
        <v>139</v>
      </c>
      <c r="K157" s="398">
        <f t="shared" si="5"/>
        <v>30</v>
      </c>
      <c r="L157" s="399">
        <f t="shared" si="6"/>
        <v>0</v>
      </c>
      <c r="M157" s="539" t="s">
        <v>1578</v>
      </c>
    </row>
    <row r="158" spans="1:13" s="406" customFormat="1" ht="125" customHeight="1">
      <c r="A158" s="394">
        <v>137</v>
      </c>
      <c r="B158" s="554" t="s">
        <v>1087</v>
      </c>
      <c r="C158" s="539" t="s">
        <v>416</v>
      </c>
      <c r="D158" s="127">
        <f>VLOOKUP(B158,[14]AssetDetails_UEM!$A$3:$X$1848,22,FALSE)</f>
        <v>28630</v>
      </c>
      <c r="E158" s="554" t="s">
        <v>1296</v>
      </c>
      <c r="F158" s="554" t="s">
        <v>190</v>
      </c>
      <c r="G158" s="540" t="s">
        <v>1419</v>
      </c>
      <c r="H158" s="555" t="s">
        <v>1509</v>
      </c>
      <c r="I158" s="397" t="s">
        <v>140</v>
      </c>
      <c r="J158" s="139" t="s">
        <v>139</v>
      </c>
      <c r="K158" s="398">
        <f t="shared" si="5"/>
        <v>60</v>
      </c>
      <c r="L158" s="399">
        <f t="shared" si="6"/>
        <v>0</v>
      </c>
      <c r="M158" s="539" t="s">
        <v>1581</v>
      </c>
    </row>
    <row r="159" spans="1:13" s="406" customFormat="1" ht="125" customHeight="1">
      <c r="A159" s="394">
        <v>138</v>
      </c>
      <c r="B159" s="554" t="s">
        <v>1088</v>
      </c>
      <c r="C159" s="539" t="s">
        <v>416</v>
      </c>
      <c r="D159" s="127">
        <f>VLOOKUP(B159,[14]AssetDetails_UEM!$A$3:$X$1848,22,FALSE)</f>
        <v>28630</v>
      </c>
      <c r="E159" s="554" t="s">
        <v>1297</v>
      </c>
      <c r="F159" s="554" t="s">
        <v>190</v>
      </c>
      <c r="G159" s="540" t="s">
        <v>1419</v>
      </c>
      <c r="H159" s="555" t="s">
        <v>1506</v>
      </c>
      <c r="I159" s="397" t="s">
        <v>140</v>
      </c>
      <c r="J159" s="139" t="s">
        <v>139</v>
      </c>
      <c r="K159" s="398">
        <f t="shared" si="5"/>
        <v>60</v>
      </c>
      <c r="L159" s="399">
        <f t="shared" si="6"/>
        <v>0</v>
      </c>
      <c r="M159" s="539" t="s">
        <v>1581</v>
      </c>
    </row>
    <row r="160" spans="1:13" s="406" customFormat="1" ht="125" customHeight="1">
      <c r="A160" s="394">
        <v>139</v>
      </c>
      <c r="B160" s="554" t="s">
        <v>544</v>
      </c>
      <c r="C160" s="539" t="s">
        <v>416</v>
      </c>
      <c r="D160" s="127">
        <f>VLOOKUP(B160,[14]AssetDetails_UEM!$A$3:$X$1848,22,FALSE)</f>
        <v>28630</v>
      </c>
      <c r="E160" s="554" t="s">
        <v>1298</v>
      </c>
      <c r="F160" s="554" t="s">
        <v>190</v>
      </c>
      <c r="G160" s="540" t="s">
        <v>1419</v>
      </c>
      <c r="H160" s="555" t="s">
        <v>1510</v>
      </c>
      <c r="I160" s="397" t="s">
        <v>140</v>
      </c>
      <c r="J160" s="139" t="s">
        <v>139</v>
      </c>
      <c r="K160" s="398">
        <f t="shared" si="5"/>
        <v>60</v>
      </c>
      <c r="L160" s="399">
        <f t="shared" si="6"/>
        <v>0</v>
      </c>
      <c r="M160" s="539" t="s">
        <v>1581</v>
      </c>
    </row>
    <row r="161" spans="1:13" s="406" customFormat="1" ht="134" customHeight="1">
      <c r="A161" s="394">
        <v>140</v>
      </c>
      <c r="B161" s="554" t="s">
        <v>176</v>
      </c>
      <c r="C161" s="539" t="s">
        <v>284</v>
      </c>
      <c r="D161" s="127">
        <f>VLOOKUP(B161,[14]AssetDetails_UEM!$A$3:$X$1848,22,FALSE)</f>
        <v>4510</v>
      </c>
      <c r="E161" s="554" t="s">
        <v>1299</v>
      </c>
      <c r="F161" s="554" t="s">
        <v>1388</v>
      </c>
      <c r="G161" s="540" t="s">
        <v>1419</v>
      </c>
      <c r="H161" s="555" t="s">
        <v>1511</v>
      </c>
      <c r="I161" s="397" t="s">
        <v>140</v>
      </c>
      <c r="J161" s="139" t="s">
        <v>139</v>
      </c>
      <c r="K161" s="398">
        <f t="shared" si="5"/>
        <v>10</v>
      </c>
      <c r="L161" s="399">
        <f t="shared" si="6"/>
        <v>0</v>
      </c>
      <c r="M161" s="539" t="s">
        <v>1581</v>
      </c>
    </row>
    <row r="162" spans="1:13" s="406" customFormat="1" ht="134" customHeight="1">
      <c r="A162" s="394">
        <v>141</v>
      </c>
      <c r="B162" s="554" t="s">
        <v>153</v>
      </c>
      <c r="C162" s="539" t="s">
        <v>284</v>
      </c>
      <c r="D162" s="127">
        <f>VLOOKUP(B162,[14]AssetDetails_UEM!$A$3:$X$1848,22,FALSE)</f>
        <v>4510</v>
      </c>
      <c r="E162" s="554" t="s">
        <v>1300</v>
      </c>
      <c r="F162" s="554" t="s">
        <v>1388</v>
      </c>
      <c r="G162" s="540" t="s">
        <v>1419</v>
      </c>
      <c r="H162" s="555" t="s">
        <v>1512</v>
      </c>
      <c r="I162" s="397" t="s">
        <v>140</v>
      </c>
      <c r="J162" s="139" t="s">
        <v>139</v>
      </c>
      <c r="K162" s="398">
        <f t="shared" si="5"/>
        <v>10</v>
      </c>
      <c r="L162" s="399">
        <f t="shared" si="6"/>
        <v>0</v>
      </c>
      <c r="M162" s="539" t="s">
        <v>1581</v>
      </c>
    </row>
    <row r="163" spans="1:13" s="406" customFormat="1" ht="134" customHeight="1">
      <c r="A163" s="394">
        <v>142</v>
      </c>
      <c r="B163" s="554" t="s">
        <v>1089</v>
      </c>
      <c r="C163" s="539" t="s">
        <v>476</v>
      </c>
      <c r="D163" s="127">
        <f>VLOOKUP(B163,[14]AssetDetails_UEM!$A$3:$X$1848,22,FALSE)</f>
        <v>12630</v>
      </c>
      <c r="E163" s="554" t="s">
        <v>1301</v>
      </c>
      <c r="F163" s="554" t="s">
        <v>1389</v>
      </c>
      <c r="G163" s="593">
        <v>46105</v>
      </c>
      <c r="H163" s="594" t="s">
        <v>1513</v>
      </c>
      <c r="I163" s="595">
        <v>46112</v>
      </c>
      <c r="J163" s="139" t="s">
        <v>139</v>
      </c>
      <c r="K163" s="398">
        <f t="shared" si="5"/>
        <v>30</v>
      </c>
      <c r="L163" s="399">
        <f t="shared" si="6"/>
        <v>0</v>
      </c>
      <c r="M163" s="539" t="s">
        <v>1719</v>
      </c>
    </row>
    <row r="164" spans="1:13" s="406" customFormat="1" ht="232" customHeight="1">
      <c r="A164" s="394">
        <v>143</v>
      </c>
      <c r="B164" s="554" t="s">
        <v>555</v>
      </c>
      <c r="C164" s="539" t="s">
        <v>473</v>
      </c>
      <c r="D164" s="127">
        <f>VLOOKUP(B164,[14]AssetDetails_UEM!$A$3:$X$1848,22,FALSE)</f>
        <v>105850</v>
      </c>
      <c r="E164" s="554" t="s">
        <v>1302</v>
      </c>
      <c r="F164" s="554" t="s">
        <v>651</v>
      </c>
      <c r="G164" s="540" t="s">
        <v>1421</v>
      </c>
      <c r="H164" s="555" t="s">
        <v>890</v>
      </c>
      <c r="I164" s="397" t="s">
        <v>140</v>
      </c>
      <c r="J164" s="139" t="s">
        <v>139</v>
      </c>
      <c r="K164" s="398">
        <f t="shared" si="5"/>
        <v>220</v>
      </c>
      <c r="L164" s="399">
        <f t="shared" si="6"/>
        <v>0</v>
      </c>
      <c r="M164" s="539" t="s">
        <v>1585</v>
      </c>
    </row>
    <row r="165" spans="1:13" s="406" customFormat="1" ht="184.5" customHeight="1">
      <c r="A165" s="394">
        <v>144</v>
      </c>
      <c r="B165" s="554" t="s">
        <v>1090</v>
      </c>
      <c r="C165" s="539" t="s">
        <v>219</v>
      </c>
      <c r="D165" s="127">
        <f>VLOOKUP(B165,[14]AssetDetails_UEM!$A$3:$X$1848,22,FALSE)</f>
        <v>5052</v>
      </c>
      <c r="E165" s="554" t="s">
        <v>1303</v>
      </c>
      <c r="F165" s="554" t="s">
        <v>1390</v>
      </c>
      <c r="G165" s="540" t="s">
        <v>1421</v>
      </c>
      <c r="H165" s="555" t="s">
        <v>1514</v>
      </c>
      <c r="I165" s="397" t="s">
        <v>140</v>
      </c>
      <c r="J165" s="139" t="s">
        <v>139</v>
      </c>
      <c r="K165" s="398">
        <f t="shared" si="5"/>
        <v>20</v>
      </c>
      <c r="L165" s="399">
        <f t="shared" si="6"/>
        <v>0</v>
      </c>
      <c r="M165" s="539" t="s">
        <v>1595</v>
      </c>
    </row>
    <row r="166" spans="1:13" s="406" customFormat="1" ht="140.5" customHeight="1">
      <c r="A166" s="394">
        <v>145</v>
      </c>
      <c r="B166" s="554" t="s">
        <v>1091</v>
      </c>
      <c r="C166" s="539" t="s">
        <v>219</v>
      </c>
      <c r="D166" s="127">
        <f>VLOOKUP(B166,[14]AssetDetails_UEM!$A$3:$X$1848,22,FALSE)</f>
        <v>10705</v>
      </c>
      <c r="E166" s="554" t="s">
        <v>1304</v>
      </c>
      <c r="F166" s="554" t="s">
        <v>1365</v>
      </c>
      <c r="G166" s="540" t="s">
        <v>1421</v>
      </c>
      <c r="H166" s="555" t="s">
        <v>1515</v>
      </c>
      <c r="I166" s="397" t="s">
        <v>140</v>
      </c>
      <c r="J166" s="139" t="s">
        <v>139</v>
      </c>
      <c r="K166" s="398">
        <f t="shared" si="5"/>
        <v>30</v>
      </c>
      <c r="L166" s="399">
        <f t="shared" si="6"/>
        <v>0</v>
      </c>
      <c r="M166" s="539" t="s">
        <v>1595</v>
      </c>
    </row>
    <row r="167" spans="1:13" s="406" customFormat="1" ht="140" customHeight="1">
      <c r="A167" s="394">
        <v>146</v>
      </c>
      <c r="B167" s="554" t="s">
        <v>957</v>
      </c>
      <c r="C167" s="539" t="s">
        <v>483</v>
      </c>
      <c r="D167" s="127">
        <f>VLOOKUP(B167,[14]AssetDetails_UEM!$A$3:$X$1848,22,FALSE)</f>
        <v>10225</v>
      </c>
      <c r="E167" s="554" t="s">
        <v>1305</v>
      </c>
      <c r="F167" s="554" t="s">
        <v>147</v>
      </c>
      <c r="G167" s="540" t="s">
        <v>1421</v>
      </c>
      <c r="H167" s="555" t="s">
        <v>1516</v>
      </c>
      <c r="I167" s="397" t="s">
        <v>140</v>
      </c>
      <c r="J167" s="139" t="s">
        <v>139</v>
      </c>
      <c r="K167" s="398">
        <f t="shared" si="5"/>
        <v>30</v>
      </c>
      <c r="L167" s="399">
        <f t="shared" si="6"/>
        <v>0</v>
      </c>
      <c r="M167" s="539" t="s">
        <v>1581</v>
      </c>
    </row>
    <row r="168" spans="1:13" s="406" customFormat="1" ht="124" customHeight="1">
      <c r="A168" s="394">
        <v>147</v>
      </c>
      <c r="B168" s="554" t="s">
        <v>1092</v>
      </c>
      <c r="C168" s="539" t="s">
        <v>483</v>
      </c>
      <c r="D168" s="127">
        <f>VLOOKUP(B168,[14]AssetDetails_UEM!$A$3:$X$1848,22,FALSE)</f>
        <v>10225</v>
      </c>
      <c r="E168" s="554" t="s">
        <v>1306</v>
      </c>
      <c r="F168" s="554" t="s">
        <v>1366</v>
      </c>
      <c r="G168" s="540" t="s">
        <v>1421</v>
      </c>
      <c r="H168" s="555" t="s">
        <v>1517</v>
      </c>
      <c r="I168" s="397" t="s">
        <v>140</v>
      </c>
      <c r="J168" s="139" t="s">
        <v>139</v>
      </c>
      <c r="K168" s="398">
        <f t="shared" si="5"/>
        <v>30</v>
      </c>
      <c r="L168" s="399">
        <f t="shared" si="6"/>
        <v>0</v>
      </c>
      <c r="M168" s="539" t="s">
        <v>1553</v>
      </c>
    </row>
    <row r="169" spans="1:13" s="406" customFormat="1" ht="149" customHeight="1">
      <c r="A169" s="394">
        <v>148</v>
      </c>
      <c r="B169" s="554" t="s">
        <v>1093</v>
      </c>
      <c r="C169" s="539" t="s">
        <v>284</v>
      </c>
      <c r="D169" s="127">
        <f>VLOOKUP(B169,[14]AssetDetails_UEM!$A$3:$X$1848,22,FALSE)</f>
        <v>336</v>
      </c>
      <c r="E169" s="554" t="s">
        <v>1307</v>
      </c>
      <c r="F169" s="554" t="s">
        <v>1391</v>
      </c>
      <c r="G169" s="540" t="s">
        <v>1421</v>
      </c>
      <c r="H169" s="555" t="s">
        <v>837</v>
      </c>
      <c r="I169" s="397" t="s">
        <v>140</v>
      </c>
      <c r="J169" s="139" t="s">
        <v>139</v>
      </c>
      <c r="K169" s="398">
        <f t="shared" si="5"/>
        <v>10</v>
      </c>
      <c r="L169" s="399">
        <f t="shared" si="6"/>
        <v>0</v>
      </c>
      <c r="M169" s="539" t="s">
        <v>1595</v>
      </c>
    </row>
    <row r="170" spans="1:13" s="406" customFormat="1" ht="159" customHeight="1">
      <c r="A170" s="394">
        <v>149</v>
      </c>
      <c r="B170" s="554" t="s">
        <v>1094</v>
      </c>
      <c r="C170" s="539" t="s">
        <v>284</v>
      </c>
      <c r="D170" s="127">
        <f>VLOOKUP(B170,[14]AssetDetails_UEM!$A$3:$X$1848,22,FALSE)</f>
        <v>336</v>
      </c>
      <c r="E170" s="554" t="s">
        <v>1308</v>
      </c>
      <c r="F170" s="554" t="s">
        <v>1392</v>
      </c>
      <c r="G170" s="540" t="s">
        <v>1421</v>
      </c>
      <c r="H170" s="555" t="s">
        <v>1518</v>
      </c>
      <c r="I170" s="397" t="s">
        <v>140</v>
      </c>
      <c r="J170" s="139" t="s">
        <v>139</v>
      </c>
      <c r="K170" s="398">
        <f t="shared" si="5"/>
        <v>10</v>
      </c>
      <c r="L170" s="399">
        <f t="shared" si="6"/>
        <v>0</v>
      </c>
      <c r="M170" s="539" t="s">
        <v>1595</v>
      </c>
    </row>
    <row r="171" spans="1:13" s="406" customFormat="1" ht="216">
      <c r="A171" s="394">
        <v>150</v>
      </c>
      <c r="B171" s="554" t="s">
        <v>1095</v>
      </c>
      <c r="C171" s="539" t="s">
        <v>1144</v>
      </c>
      <c r="D171" s="127">
        <f>VLOOKUP(B171,[14]AssetDetails_UEM!$A$3:$X$1848,22,FALSE)</f>
        <v>10585</v>
      </c>
      <c r="E171" s="554" t="s">
        <v>1309</v>
      </c>
      <c r="F171" s="554" t="s">
        <v>1393</v>
      </c>
      <c r="G171" s="540" t="s">
        <v>1421</v>
      </c>
      <c r="H171" s="555" t="s">
        <v>1519</v>
      </c>
      <c r="I171" s="397" t="s">
        <v>140</v>
      </c>
      <c r="J171" s="139" t="s">
        <v>139</v>
      </c>
      <c r="K171" s="398">
        <f t="shared" si="5"/>
        <v>30</v>
      </c>
      <c r="L171" s="399">
        <f t="shared" si="6"/>
        <v>0</v>
      </c>
      <c r="M171" s="539" t="s">
        <v>1598</v>
      </c>
    </row>
    <row r="172" spans="1:13" s="406" customFormat="1" ht="216">
      <c r="A172" s="394">
        <v>151</v>
      </c>
      <c r="B172" s="554" t="s">
        <v>1096</v>
      </c>
      <c r="C172" s="539" t="s">
        <v>1144</v>
      </c>
      <c r="D172" s="127">
        <f>VLOOKUP(B172,[14]AssetDetails_UEM!$A$3:$X$1848,22,FALSE)</f>
        <v>10585</v>
      </c>
      <c r="E172" s="554" t="s">
        <v>1310</v>
      </c>
      <c r="F172" s="554" t="s">
        <v>1370</v>
      </c>
      <c r="G172" s="540" t="s">
        <v>1421</v>
      </c>
      <c r="H172" s="555" t="s">
        <v>1520</v>
      </c>
      <c r="I172" s="397" t="s">
        <v>140</v>
      </c>
      <c r="J172" s="139" t="s">
        <v>139</v>
      </c>
      <c r="K172" s="398">
        <f t="shared" si="5"/>
        <v>30</v>
      </c>
      <c r="L172" s="399">
        <f t="shared" si="6"/>
        <v>0</v>
      </c>
      <c r="M172" s="539" t="s">
        <v>1598</v>
      </c>
    </row>
    <row r="173" spans="1:13" s="406" customFormat="1" ht="216">
      <c r="A173" s="394">
        <v>152</v>
      </c>
      <c r="B173" s="554" t="s">
        <v>1097</v>
      </c>
      <c r="C173" s="539" t="s">
        <v>1144</v>
      </c>
      <c r="D173" s="127">
        <f>VLOOKUP(B173,[14]AssetDetails_UEM!$A$3:$X$1848,22,FALSE)</f>
        <v>10585</v>
      </c>
      <c r="E173" s="554" t="s">
        <v>1311</v>
      </c>
      <c r="F173" s="554" t="s">
        <v>635</v>
      </c>
      <c r="G173" s="540" t="s">
        <v>1421</v>
      </c>
      <c r="H173" s="555" t="s">
        <v>1521</v>
      </c>
      <c r="I173" s="397" t="s">
        <v>140</v>
      </c>
      <c r="J173" s="139" t="s">
        <v>139</v>
      </c>
      <c r="K173" s="398">
        <f t="shared" si="5"/>
        <v>30</v>
      </c>
      <c r="L173" s="399">
        <f t="shared" si="6"/>
        <v>0</v>
      </c>
      <c r="M173" s="539" t="s">
        <v>1598</v>
      </c>
    </row>
    <row r="174" spans="1:13" s="406" customFormat="1" ht="252">
      <c r="A174" s="394">
        <v>153</v>
      </c>
      <c r="B174" s="554" t="s">
        <v>1098</v>
      </c>
      <c r="C174" s="539" t="s">
        <v>1144</v>
      </c>
      <c r="D174" s="127">
        <f>VLOOKUP(B174,[14]AssetDetails_UEM!$A$3:$X$1848,22,FALSE)</f>
        <v>10585</v>
      </c>
      <c r="E174" s="554" t="s">
        <v>1312</v>
      </c>
      <c r="F174" s="554" t="s">
        <v>1394</v>
      </c>
      <c r="G174" s="540" t="s">
        <v>1421</v>
      </c>
      <c r="H174" s="555" t="s">
        <v>1522</v>
      </c>
      <c r="I174" s="397" t="s">
        <v>140</v>
      </c>
      <c r="J174" s="139" t="s">
        <v>139</v>
      </c>
      <c r="K174" s="398">
        <f t="shared" si="5"/>
        <v>30</v>
      </c>
      <c r="L174" s="399">
        <f t="shared" si="6"/>
        <v>0</v>
      </c>
      <c r="M174" s="539" t="s">
        <v>1599</v>
      </c>
    </row>
    <row r="175" spans="1:13" s="406" customFormat="1" ht="216">
      <c r="A175" s="394">
        <v>154</v>
      </c>
      <c r="B175" s="554" t="s">
        <v>1099</v>
      </c>
      <c r="C175" s="539" t="s">
        <v>1144</v>
      </c>
      <c r="D175" s="127">
        <f>VLOOKUP(B175,[14]AssetDetails_UEM!$A$3:$X$1848,22,FALSE)</f>
        <v>10585</v>
      </c>
      <c r="E175" s="554" t="s">
        <v>1313</v>
      </c>
      <c r="F175" s="554" t="s">
        <v>446</v>
      </c>
      <c r="G175" s="540" t="s">
        <v>1421</v>
      </c>
      <c r="H175" s="555" t="s">
        <v>891</v>
      </c>
      <c r="I175" s="397" t="s">
        <v>140</v>
      </c>
      <c r="J175" s="139" t="s">
        <v>139</v>
      </c>
      <c r="K175" s="398">
        <f t="shared" si="5"/>
        <v>30</v>
      </c>
      <c r="L175" s="399">
        <f t="shared" si="6"/>
        <v>0</v>
      </c>
      <c r="M175" s="539" t="s">
        <v>1598</v>
      </c>
    </row>
    <row r="176" spans="1:13" s="406" customFormat="1" ht="108">
      <c r="A176" s="394">
        <v>155</v>
      </c>
      <c r="B176" s="554" t="s">
        <v>1100</v>
      </c>
      <c r="C176" s="539" t="s">
        <v>475</v>
      </c>
      <c r="D176" s="127">
        <f>VLOOKUP(B176,[14]AssetDetails_UEM!$A$3:$X$1848,22,FALSE)</f>
        <v>36000</v>
      </c>
      <c r="E176" s="554" t="s">
        <v>1314</v>
      </c>
      <c r="F176" s="554" t="s">
        <v>501</v>
      </c>
      <c r="G176" s="540" t="s">
        <v>1421</v>
      </c>
      <c r="H176" s="555" t="s">
        <v>1523</v>
      </c>
      <c r="I176" s="397" t="s">
        <v>140</v>
      </c>
      <c r="J176" s="139" t="s">
        <v>139</v>
      </c>
      <c r="K176" s="398">
        <f t="shared" si="5"/>
        <v>80</v>
      </c>
      <c r="L176" s="399">
        <f t="shared" si="6"/>
        <v>0</v>
      </c>
      <c r="M176" s="539" t="s">
        <v>1595</v>
      </c>
    </row>
    <row r="177" spans="1:13" s="406" customFormat="1" ht="159" customHeight="1">
      <c r="A177" s="394">
        <v>156</v>
      </c>
      <c r="B177" s="554" t="s">
        <v>1101</v>
      </c>
      <c r="C177" s="539" t="s">
        <v>1156</v>
      </c>
      <c r="D177" s="127">
        <f>VLOOKUP(B177,[14]AssetDetails_UEM!$A$3:$X$1848,22,FALSE)</f>
        <v>4500</v>
      </c>
      <c r="E177" s="554" t="s">
        <v>1315</v>
      </c>
      <c r="F177" s="554" t="s">
        <v>501</v>
      </c>
      <c r="G177" s="540" t="s">
        <v>1421</v>
      </c>
      <c r="H177" s="555" t="s">
        <v>1524</v>
      </c>
      <c r="I177" s="397" t="s">
        <v>140</v>
      </c>
      <c r="J177" s="139" t="s">
        <v>139</v>
      </c>
      <c r="K177" s="398">
        <f t="shared" si="5"/>
        <v>10</v>
      </c>
      <c r="L177" s="399">
        <f t="shared" si="6"/>
        <v>0</v>
      </c>
      <c r="M177" s="539" t="s">
        <v>1595</v>
      </c>
    </row>
    <row r="178" spans="1:13" s="406" customFormat="1" ht="159" customHeight="1">
      <c r="A178" s="394">
        <v>157</v>
      </c>
      <c r="B178" s="554" t="s">
        <v>1102</v>
      </c>
      <c r="C178" s="539" t="s">
        <v>1157</v>
      </c>
      <c r="D178" s="127">
        <f>VLOOKUP(B178,[14]AssetDetails_UEM!$A$3:$X$1848,22,FALSE)</f>
        <v>7500</v>
      </c>
      <c r="E178" s="554" t="s">
        <v>1316</v>
      </c>
      <c r="F178" s="554" t="s">
        <v>501</v>
      </c>
      <c r="G178" s="540" t="s">
        <v>1421</v>
      </c>
      <c r="H178" s="555" t="s">
        <v>1525</v>
      </c>
      <c r="I178" s="397" t="s">
        <v>140</v>
      </c>
      <c r="J178" s="139" t="s">
        <v>139</v>
      </c>
      <c r="K178" s="398">
        <f t="shared" si="5"/>
        <v>20</v>
      </c>
      <c r="L178" s="399">
        <f t="shared" si="6"/>
        <v>0</v>
      </c>
      <c r="M178" s="539" t="s">
        <v>1578</v>
      </c>
    </row>
    <row r="179" spans="1:13" s="406" customFormat="1" ht="159" customHeight="1">
      <c r="A179" s="394">
        <v>158</v>
      </c>
      <c r="B179" s="554" t="s">
        <v>1103</v>
      </c>
      <c r="C179" s="539" t="s">
        <v>1154</v>
      </c>
      <c r="D179" s="127">
        <f>VLOOKUP(B179,[14]AssetDetails_UEM!$A$3:$X$1848,22,FALSE)</f>
        <v>125900</v>
      </c>
      <c r="E179" s="554" t="s">
        <v>1317</v>
      </c>
      <c r="F179" s="554" t="s">
        <v>161</v>
      </c>
      <c r="G179" s="540" t="s">
        <v>1421</v>
      </c>
      <c r="H179" s="555" t="s">
        <v>1517</v>
      </c>
      <c r="I179" s="397" t="s">
        <v>140</v>
      </c>
      <c r="J179" s="139" t="s">
        <v>139</v>
      </c>
      <c r="K179" s="398">
        <f t="shared" si="5"/>
        <v>260</v>
      </c>
      <c r="L179" s="399">
        <f t="shared" si="6"/>
        <v>0</v>
      </c>
      <c r="M179" s="539" t="s">
        <v>1595</v>
      </c>
    </row>
    <row r="180" spans="1:13" s="406" customFormat="1" ht="159" customHeight="1">
      <c r="A180" s="394">
        <v>159</v>
      </c>
      <c r="B180" s="554" t="s">
        <v>1104</v>
      </c>
      <c r="C180" s="539" t="s">
        <v>1154</v>
      </c>
      <c r="D180" s="127">
        <f>VLOOKUP(B180,[14]AssetDetails_UEM!$A$3:$X$1848,22,FALSE)</f>
        <v>125900</v>
      </c>
      <c r="E180" s="554" t="s">
        <v>1318</v>
      </c>
      <c r="F180" s="554" t="s">
        <v>161</v>
      </c>
      <c r="G180" s="540" t="s">
        <v>1421</v>
      </c>
      <c r="H180" s="555" t="s">
        <v>1526</v>
      </c>
      <c r="I180" s="397" t="s">
        <v>140</v>
      </c>
      <c r="J180" s="139" t="s">
        <v>139</v>
      </c>
      <c r="K180" s="398">
        <f t="shared" si="5"/>
        <v>260</v>
      </c>
      <c r="L180" s="399">
        <f t="shared" si="6"/>
        <v>0</v>
      </c>
      <c r="M180" s="539" t="s">
        <v>1595</v>
      </c>
    </row>
    <row r="181" spans="1:13" s="406" customFormat="1" ht="159" customHeight="1">
      <c r="A181" s="394">
        <v>160</v>
      </c>
      <c r="B181" s="554" t="s">
        <v>1105</v>
      </c>
      <c r="C181" s="539" t="s">
        <v>162</v>
      </c>
      <c r="D181" s="127">
        <f>VLOOKUP(B181,[14]AssetDetails_UEM!$A$3:$X$1848,22,FALSE)</f>
        <v>3500</v>
      </c>
      <c r="E181" s="554" t="s">
        <v>1319</v>
      </c>
      <c r="F181" s="554" t="s">
        <v>151</v>
      </c>
      <c r="G181" s="540" t="s">
        <v>1421</v>
      </c>
      <c r="H181" s="555" t="s">
        <v>1527</v>
      </c>
      <c r="I181" s="397" t="s">
        <v>140</v>
      </c>
      <c r="J181" s="139" t="s">
        <v>139</v>
      </c>
      <c r="K181" s="398">
        <f t="shared" si="5"/>
        <v>10</v>
      </c>
      <c r="L181" s="399">
        <f t="shared" si="6"/>
        <v>0</v>
      </c>
      <c r="M181" s="539" t="s">
        <v>1565</v>
      </c>
    </row>
    <row r="182" spans="1:13" s="406" customFormat="1" ht="159" customHeight="1">
      <c r="A182" s="394">
        <v>161</v>
      </c>
      <c r="B182" s="554" t="s">
        <v>1106</v>
      </c>
      <c r="C182" s="539" t="s">
        <v>162</v>
      </c>
      <c r="D182" s="127">
        <f>VLOOKUP(B182,[14]AssetDetails_UEM!$A$3:$X$1848,22,FALSE)</f>
        <v>3500</v>
      </c>
      <c r="E182" s="554" t="s">
        <v>1320</v>
      </c>
      <c r="F182" s="554" t="s">
        <v>151</v>
      </c>
      <c r="G182" s="540" t="s">
        <v>1421</v>
      </c>
      <c r="H182" s="555" t="s">
        <v>1528</v>
      </c>
      <c r="I182" s="397" t="s">
        <v>140</v>
      </c>
      <c r="J182" s="139" t="s">
        <v>139</v>
      </c>
      <c r="K182" s="398">
        <f t="shared" si="5"/>
        <v>10</v>
      </c>
      <c r="L182" s="399">
        <f t="shared" si="6"/>
        <v>0</v>
      </c>
      <c r="M182" s="539" t="s">
        <v>1565</v>
      </c>
    </row>
    <row r="183" spans="1:13" s="406" customFormat="1" ht="159" customHeight="1">
      <c r="A183" s="394">
        <v>162</v>
      </c>
      <c r="B183" s="554" t="s">
        <v>1107</v>
      </c>
      <c r="C183" s="539" t="s">
        <v>162</v>
      </c>
      <c r="D183" s="127">
        <f>VLOOKUP(B183,[14]AssetDetails_UEM!$A$3:$X$1848,22,FALSE)</f>
        <v>3500</v>
      </c>
      <c r="E183" s="554" t="s">
        <v>1321</v>
      </c>
      <c r="F183" s="554" t="s">
        <v>151</v>
      </c>
      <c r="G183" s="540" t="s">
        <v>1421</v>
      </c>
      <c r="H183" s="555" t="s">
        <v>1515</v>
      </c>
      <c r="I183" s="397" t="s">
        <v>140</v>
      </c>
      <c r="J183" s="139" t="s">
        <v>139</v>
      </c>
      <c r="K183" s="398">
        <f t="shared" si="5"/>
        <v>10</v>
      </c>
      <c r="L183" s="399">
        <f t="shared" si="6"/>
        <v>0</v>
      </c>
      <c r="M183" s="539" t="s">
        <v>1565</v>
      </c>
    </row>
    <row r="184" spans="1:13" s="406" customFormat="1" ht="159" customHeight="1">
      <c r="A184" s="394">
        <v>163</v>
      </c>
      <c r="B184" s="554" t="s">
        <v>1108</v>
      </c>
      <c r="C184" s="539" t="s">
        <v>162</v>
      </c>
      <c r="D184" s="127">
        <f>VLOOKUP(B184,[14]AssetDetails_UEM!$A$3:$X$1848,22,FALSE)</f>
        <v>3500</v>
      </c>
      <c r="E184" s="554" t="s">
        <v>1322</v>
      </c>
      <c r="F184" s="554" t="s">
        <v>151</v>
      </c>
      <c r="G184" s="540" t="s">
        <v>1421</v>
      </c>
      <c r="H184" s="555" t="s">
        <v>1529</v>
      </c>
      <c r="I184" s="397" t="s">
        <v>140</v>
      </c>
      <c r="J184" s="139" t="s">
        <v>139</v>
      </c>
      <c r="K184" s="398">
        <f t="shared" si="5"/>
        <v>10</v>
      </c>
      <c r="L184" s="399">
        <f t="shared" si="6"/>
        <v>0</v>
      </c>
      <c r="M184" s="539" t="s">
        <v>1565</v>
      </c>
    </row>
    <row r="185" spans="1:13" s="406" customFormat="1" ht="159" customHeight="1">
      <c r="A185" s="394">
        <v>164</v>
      </c>
      <c r="B185" s="554" t="s">
        <v>1109</v>
      </c>
      <c r="C185" s="539" t="s">
        <v>162</v>
      </c>
      <c r="D185" s="127">
        <f>VLOOKUP(B185,[14]AssetDetails_UEM!$A$3:$X$1848,22,FALSE)</f>
        <v>3500</v>
      </c>
      <c r="E185" s="554" t="s">
        <v>1323</v>
      </c>
      <c r="F185" s="554" t="s">
        <v>149</v>
      </c>
      <c r="G185" s="540" t="s">
        <v>1421</v>
      </c>
      <c r="H185" s="555" t="s">
        <v>1525</v>
      </c>
      <c r="I185" s="397" t="s">
        <v>140</v>
      </c>
      <c r="J185" s="139" t="s">
        <v>139</v>
      </c>
      <c r="K185" s="398">
        <f t="shared" si="5"/>
        <v>10</v>
      </c>
      <c r="L185" s="399">
        <f t="shared" si="6"/>
        <v>0</v>
      </c>
      <c r="M185" s="539" t="s">
        <v>1595</v>
      </c>
    </row>
    <row r="186" spans="1:13" s="406" customFormat="1" ht="159" customHeight="1">
      <c r="A186" s="394">
        <v>165</v>
      </c>
      <c r="B186" s="554" t="s">
        <v>1110</v>
      </c>
      <c r="C186" s="539" t="s">
        <v>426</v>
      </c>
      <c r="D186" s="127">
        <f>VLOOKUP(B186,[14]AssetDetails_UEM!$A$3:$X$1848,22,FALSE)</f>
        <v>335000</v>
      </c>
      <c r="E186" s="554" t="s">
        <v>1324</v>
      </c>
      <c r="F186" s="554" t="s">
        <v>221</v>
      </c>
      <c r="G186" s="540" t="s">
        <v>1421</v>
      </c>
      <c r="H186" s="555" t="s">
        <v>1518</v>
      </c>
      <c r="I186" s="397" t="s">
        <v>140</v>
      </c>
      <c r="J186" s="139" t="s">
        <v>139</v>
      </c>
      <c r="K186" s="398">
        <f t="shared" si="5"/>
        <v>680</v>
      </c>
      <c r="L186" s="399">
        <f t="shared" si="6"/>
        <v>0</v>
      </c>
      <c r="M186" s="539" t="s">
        <v>1600</v>
      </c>
    </row>
    <row r="187" spans="1:13" s="406" customFormat="1" ht="172.5" customHeight="1">
      <c r="A187" s="394">
        <v>166</v>
      </c>
      <c r="B187" s="554" t="s">
        <v>1111</v>
      </c>
      <c r="C187" s="539" t="s">
        <v>1158</v>
      </c>
      <c r="D187" s="127">
        <f>VLOOKUP(B187,[14]AssetDetails_UEM!$A$3:$X$1848,22,FALSE)</f>
        <v>13470</v>
      </c>
      <c r="E187" s="554" t="s">
        <v>1325</v>
      </c>
      <c r="F187" s="554" t="s">
        <v>648</v>
      </c>
      <c r="G187" s="540" t="s">
        <v>1422</v>
      </c>
      <c r="H187" s="555" t="s">
        <v>1530</v>
      </c>
      <c r="I187" s="397" t="s">
        <v>140</v>
      </c>
      <c r="J187" s="139" t="s">
        <v>139</v>
      </c>
      <c r="K187" s="398">
        <f t="shared" si="5"/>
        <v>30</v>
      </c>
      <c r="L187" s="399">
        <f t="shared" si="6"/>
        <v>0</v>
      </c>
      <c r="M187" s="539" t="s">
        <v>1595</v>
      </c>
    </row>
    <row r="188" spans="1:13" s="406" customFormat="1" ht="172.5" customHeight="1">
      <c r="A188" s="394">
        <v>167</v>
      </c>
      <c r="B188" s="554" t="s">
        <v>1112</v>
      </c>
      <c r="C188" s="539" t="s">
        <v>284</v>
      </c>
      <c r="D188" s="127">
        <f>VLOOKUP(B188,[14]AssetDetails_UEM!$A$3:$X$1848,22,FALSE)</f>
        <v>4510</v>
      </c>
      <c r="E188" s="554" t="s">
        <v>1326</v>
      </c>
      <c r="F188" s="554" t="s">
        <v>1395</v>
      </c>
      <c r="G188" s="540" t="s">
        <v>1422</v>
      </c>
      <c r="H188" s="555" t="s">
        <v>1531</v>
      </c>
      <c r="I188" s="397" t="s">
        <v>140</v>
      </c>
      <c r="J188" s="139" t="s">
        <v>139</v>
      </c>
      <c r="K188" s="398">
        <f t="shared" si="5"/>
        <v>10</v>
      </c>
      <c r="L188" s="399">
        <f t="shared" si="6"/>
        <v>0</v>
      </c>
      <c r="M188" s="539" t="s">
        <v>1601</v>
      </c>
    </row>
    <row r="189" spans="1:13" s="406" customFormat="1" ht="172.5" customHeight="1">
      <c r="A189" s="394">
        <v>168</v>
      </c>
      <c r="B189" s="554" t="s">
        <v>1113</v>
      </c>
      <c r="C189" s="539" t="s">
        <v>284</v>
      </c>
      <c r="D189" s="127">
        <f>VLOOKUP(B189,[14]AssetDetails_UEM!$A$3:$X$1848,22,FALSE)</f>
        <v>4510</v>
      </c>
      <c r="E189" s="554" t="s">
        <v>1327</v>
      </c>
      <c r="F189" s="554" t="s">
        <v>1395</v>
      </c>
      <c r="G189" s="540" t="s">
        <v>1422</v>
      </c>
      <c r="H189" s="555" t="s">
        <v>1532</v>
      </c>
      <c r="I189" s="397" t="s">
        <v>140</v>
      </c>
      <c r="J189" s="139" t="s">
        <v>139</v>
      </c>
      <c r="K189" s="398">
        <f t="shared" si="5"/>
        <v>10</v>
      </c>
      <c r="L189" s="399">
        <f t="shared" si="6"/>
        <v>0</v>
      </c>
      <c r="M189" s="539" t="s">
        <v>1601</v>
      </c>
    </row>
    <row r="190" spans="1:13" s="406" customFormat="1" ht="172.5" customHeight="1">
      <c r="A190" s="394">
        <v>169</v>
      </c>
      <c r="B190" s="554" t="s">
        <v>1114</v>
      </c>
      <c r="C190" s="539" t="s">
        <v>162</v>
      </c>
      <c r="D190" s="127">
        <f>VLOOKUP(B190,[14]AssetDetails_UEM!$A$3:$X$1848,22,FALSE)</f>
        <v>10825</v>
      </c>
      <c r="E190" s="554" t="s">
        <v>1328</v>
      </c>
      <c r="F190" s="554" t="s">
        <v>149</v>
      </c>
      <c r="G190" s="540" t="s">
        <v>1423</v>
      </c>
      <c r="H190" s="555" t="s">
        <v>893</v>
      </c>
      <c r="I190" s="397" t="s">
        <v>140</v>
      </c>
      <c r="J190" s="139" t="s">
        <v>139</v>
      </c>
      <c r="K190" s="398">
        <f t="shared" si="5"/>
        <v>30</v>
      </c>
      <c r="L190" s="399">
        <f t="shared" si="6"/>
        <v>0</v>
      </c>
      <c r="M190" s="539" t="s">
        <v>1595</v>
      </c>
    </row>
    <row r="191" spans="1:13" s="406" customFormat="1" ht="172.5" customHeight="1">
      <c r="A191" s="394">
        <v>170</v>
      </c>
      <c r="B191" s="554" t="s">
        <v>1115</v>
      </c>
      <c r="C191" s="539" t="s">
        <v>162</v>
      </c>
      <c r="D191" s="127">
        <f>VLOOKUP(B191,[14]AssetDetails_UEM!$A$3:$X$1848,22,FALSE)</f>
        <v>10825</v>
      </c>
      <c r="E191" s="554" t="s">
        <v>1329</v>
      </c>
      <c r="F191" s="554" t="s">
        <v>149</v>
      </c>
      <c r="G191" s="540" t="s">
        <v>1423</v>
      </c>
      <c r="H191" s="555" t="s">
        <v>1533</v>
      </c>
      <c r="I191" s="397" t="s">
        <v>140</v>
      </c>
      <c r="J191" s="139" t="s">
        <v>139</v>
      </c>
      <c r="K191" s="398">
        <f t="shared" si="5"/>
        <v>30</v>
      </c>
      <c r="L191" s="399">
        <f t="shared" si="6"/>
        <v>0</v>
      </c>
      <c r="M191" s="539" t="s">
        <v>1595</v>
      </c>
    </row>
    <row r="192" spans="1:13" s="406" customFormat="1" ht="152.5" customHeight="1">
      <c r="A192" s="394">
        <v>171</v>
      </c>
      <c r="B192" s="554" t="s">
        <v>958</v>
      </c>
      <c r="C192" s="539" t="s">
        <v>483</v>
      </c>
      <c r="D192" s="127">
        <f>VLOOKUP(B192,[14]AssetDetails_UEM!$A$3:$X$1848,22,FALSE)</f>
        <v>10225</v>
      </c>
      <c r="E192" s="554" t="s">
        <v>1330</v>
      </c>
      <c r="F192" s="554" t="s">
        <v>147</v>
      </c>
      <c r="G192" s="540" t="s">
        <v>1423</v>
      </c>
      <c r="H192" s="555" t="s">
        <v>893</v>
      </c>
      <c r="I192" s="397" t="s">
        <v>140</v>
      </c>
      <c r="J192" s="139" t="s">
        <v>139</v>
      </c>
      <c r="K192" s="398">
        <f t="shared" si="5"/>
        <v>30</v>
      </c>
      <c r="L192" s="399">
        <f t="shared" si="6"/>
        <v>0</v>
      </c>
      <c r="M192" s="539" t="s">
        <v>1566</v>
      </c>
    </row>
    <row r="193" spans="1:13" s="406" customFormat="1" ht="155" customHeight="1">
      <c r="A193" s="394">
        <v>172</v>
      </c>
      <c r="B193" s="554" t="s">
        <v>1116</v>
      </c>
      <c r="C193" s="539" t="s">
        <v>473</v>
      </c>
      <c r="D193" s="127">
        <f>VLOOKUP(B193,[14]AssetDetails_UEM!$A$3:$X$1848,22,FALSE)</f>
        <v>54100</v>
      </c>
      <c r="E193" s="554" t="s">
        <v>1331</v>
      </c>
      <c r="F193" s="554" t="s">
        <v>1396</v>
      </c>
      <c r="G193" s="540" t="s">
        <v>1423</v>
      </c>
      <c r="H193" s="555" t="s">
        <v>795</v>
      </c>
      <c r="I193" s="397" t="s">
        <v>140</v>
      </c>
      <c r="J193" s="139" t="s">
        <v>139</v>
      </c>
      <c r="K193" s="398">
        <f t="shared" si="5"/>
        <v>110</v>
      </c>
      <c r="L193" s="399">
        <f t="shared" si="6"/>
        <v>0</v>
      </c>
      <c r="M193" s="539" t="s">
        <v>1602</v>
      </c>
    </row>
    <row r="194" spans="1:13" s="406" customFormat="1" ht="172.5" customHeight="1">
      <c r="A194" s="394">
        <v>173</v>
      </c>
      <c r="B194" s="554" t="s">
        <v>1117</v>
      </c>
      <c r="C194" s="539" t="s">
        <v>1159</v>
      </c>
      <c r="D194" s="127">
        <f>VLOOKUP(B194,[14]AssetDetails_UEM!$A$3:$X$1848,22,FALSE)</f>
        <v>2170</v>
      </c>
      <c r="E194" s="554" t="s">
        <v>1332</v>
      </c>
      <c r="F194" s="554" t="s">
        <v>443</v>
      </c>
      <c r="G194" s="540" t="s">
        <v>1423</v>
      </c>
      <c r="H194" s="555" t="s">
        <v>1534</v>
      </c>
      <c r="I194" s="397" t="s">
        <v>140</v>
      </c>
      <c r="J194" s="139" t="s">
        <v>139</v>
      </c>
      <c r="K194" s="398">
        <f t="shared" si="5"/>
        <v>10</v>
      </c>
      <c r="L194" s="399">
        <f t="shared" si="6"/>
        <v>0</v>
      </c>
      <c r="M194" s="539" t="s">
        <v>1747</v>
      </c>
    </row>
    <row r="195" spans="1:13" s="406" customFormat="1" ht="156" customHeight="1">
      <c r="A195" s="394">
        <v>174</v>
      </c>
      <c r="B195" s="554" t="s">
        <v>1118</v>
      </c>
      <c r="C195" s="539" t="s">
        <v>1160</v>
      </c>
      <c r="D195" s="127">
        <f>VLOOKUP(B195,[14]AssetDetails_UEM!$A$3:$X$1848,22,FALSE)</f>
        <v>24060</v>
      </c>
      <c r="E195" s="554" t="s">
        <v>1333</v>
      </c>
      <c r="F195" s="554" t="s">
        <v>1397</v>
      </c>
      <c r="G195" s="540" t="s">
        <v>1423</v>
      </c>
      <c r="H195" s="555" t="s">
        <v>795</v>
      </c>
      <c r="I195" s="397" t="s">
        <v>140</v>
      </c>
      <c r="J195" s="139" t="s">
        <v>139</v>
      </c>
      <c r="K195" s="398">
        <f t="shared" si="5"/>
        <v>50</v>
      </c>
      <c r="L195" s="399">
        <f t="shared" si="6"/>
        <v>0</v>
      </c>
      <c r="M195" s="539" t="s">
        <v>1603</v>
      </c>
    </row>
    <row r="196" spans="1:13" s="406" customFormat="1" ht="141" customHeight="1">
      <c r="A196" s="394">
        <v>175</v>
      </c>
      <c r="B196" s="554" t="s">
        <v>1119</v>
      </c>
      <c r="C196" s="539" t="s">
        <v>1160</v>
      </c>
      <c r="D196" s="127">
        <f>VLOOKUP(B196,[14]AssetDetails_UEM!$A$3:$X$1848,22,FALSE)</f>
        <v>24060</v>
      </c>
      <c r="E196" s="554" t="s">
        <v>1334</v>
      </c>
      <c r="F196" s="554" t="s">
        <v>1397</v>
      </c>
      <c r="G196" s="540" t="s">
        <v>1423</v>
      </c>
      <c r="H196" s="555" t="s">
        <v>1535</v>
      </c>
      <c r="I196" s="397" t="s">
        <v>140</v>
      </c>
      <c r="J196" s="139" t="s">
        <v>139</v>
      </c>
      <c r="K196" s="398">
        <f t="shared" si="5"/>
        <v>50</v>
      </c>
      <c r="L196" s="399">
        <f t="shared" si="6"/>
        <v>0</v>
      </c>
      <c r="M196" s="539" t="s">
        <v>1603</v>
      </c>
    </row>
    <row r="197" spans="1:13" s="406" customFormat="1" ht="152.5" customHeight="1">
      <c r="A197" s="394">
        <v>176</v>
      </c>
      <c r="B197" s="554" t="s">
        <v>1120</v>
      </c>
      <c r="C197" s="539" t="s">
        <v>1160</v>
      </c>
      <c r="D197" s="127">
        <f>VLOOKUP(B197,[14]AssetDetails_UEM!$A$3:$X$1848,22,FALSE)</f>
        <v>24060</v>
      </c>
      <c r="E197" s="554" t="s">
        <v>1335</v>
      </c>
      <c r="F197" s="554" t="s">
        <v>1397</v>
      </c>
      <c r="G197" s="540" t="s">
        <v>1423</v>
      </c>
      <c r="H197" s="555" t="s">
        <v>1534</v>
      </c>
      <c r="I197" s="397" t="s">
        <v>140</v>
      </c>
      <c r="J197" s="139" t="s">
        <v>139</v>
      </c>
      <c r="K197" s="398">
        <f t="shared" si="5"/>
        <v>50</v>
      </c>
      <c r="L197" s="399">
        <f t="shared" si="6"/>
        <v>0</v>
      </c>
      <c r="M197" s="539" t="s">
        <v>1604</v>
      </c>
    </row>
    <row r="198" spans="1:13" s="406" customFormat="1" ht="172.5" customHeight="1">
      <c r="A198" s="394">
        <v>177</v>
      </c>
      <c r="B198" s="554" t="s">
        <v>1121</v>
      </c>
      <c r="C198" s="539" t="s">
        <v>1144</v>
      </c>
      <c r="D198" s="127">
        <f>VLOOKUP(B198,[14]AssetDetails_UEM!$A$3:$X$1848,22,FALSE)</f>
        <v>10585</v>
      </c>
      <c r="E198" s="554" t="s">
        <v>1336</v>
      </c>
      <c r="F198" s="554" t="s">
        <v>1398</v>
      </c>
      <c r="G198" s="540" t="s">
        <v>1423</v>
      </c>
      <c r="H198" s="555" t="s">
        <v>1535</v>
      </c>
      <c r="I198" s="397" t="s">
        <v>140</v>
      </c>
      <c r="J198" s="139" t="s">
        <v>139</v>
      </c>
      <c r="K198" s="398">
        <f t="shared" si="5"/>
        <v>30</v>
      </c>
      <c r="L198" s="399">
        <f t="shared" si="6"/>
        <v>0</v>
      </c>
      <c r="M198" s="539" t="s">
        <v>1605</v>
      </c>
    </row>
    <row r="199" spans="1:13" s="406" customFormat="1" ht="172.5" customHeight="1">
      <c r="A199" s="394">
        <v>178</v>
      </c>
      <c r="B199" s="554" t="s">
        <v>1122</v>
      </c>
      <c r="C199" s="539" t="s">
        <v>1144</v>
      </c>
      <c r="D199" s="127">
        <f>VLOOKUP(B199,[14]AssetDetails_UEM!$A$3:$X$1848,22,FALSE)</f>
        <v>10585</v>
      </c>
      <c r="E199" s="554" t="s">
        <v>1337</v>
      </c>
      <c r="F199" s="554" t="s">
        <v>1364</v>
      </c>
      <c r="G199" s="540" t="s">
        <v>1423</v>
      </c>
      <c r="H199" s="555" t="s">
        <v>1536</v>
      </c>
      <c r="I199" s="397" t="s">
        <v>140</v>
      </c>
      <c r="J199" s="139" t="s">
        <v>139</v>
      </c>
      <c r="K199" s="398">
        <f t="shared" si="5"/>
        <v>30</v>
      </c>
      <c r="L199" s="399">
        <f t="shared" si="6"/>
        <v>0</v>
      </c>
      <c r="M199" s="539" t="s">
        <v>1606</v>
      </c>
    </row>
    <row r="200" spans="1:13" s="406" customFormat="1" ht="180">
      <c r="A200" s="394">
        <v>179</v>
      </c>
      <c r="B200" s="554" t="s">
        <v>1123</v>
      </c>
      <c r="C200" s="539" t="s">
        <v>197</v>
      </c>
      <c r="D200" s="127">
        <f>VLOOKUP(B200,[14]AssetDetails_UEM!$A$3:$X$1848,22,FALSE)</f>
        <v>83100</v>
      </c>
      <c r="E200" s="554" t="s">
        <v>1338</v>
      </c>
      <c r="F200" s="554" t="s">
        <v>1399</v>
      </c>
      <c r="G200" s="540" t="s">
        <v>1423</v>
      </c>
      <c r="H200" s="555" t="s">
        <v>1537</v>
      </c>
      <c r="I200" s="397" t="s">
        <v>140</v>
      </c>
      <c r="J200" s="139" t="s">
        <v>139</v>
      </c>
      <c r="K200" s="398">
        <f t="shared" si="5"/>
        <v>170</v>
      </c>
      <c r="L200" s="399">
        <f t="shared" si="6"/>
        <v>0</v>
      </c>
      <c r="M200" s="539" t="s">
        <v>1607</v>
      </c>
    </row>
    <row r="201" spans="1:13" s="406" customFormat="1" ht="182.5" customHeight="1">
      <c r="A201" s="394">
        <v>180</v>
      </c>
      <c r="B201" s="554" t="s">
        <v>1124</v>
      </c>
      <c r="C201" s="539" t="s">
        <v>1144</v>
      </c>
      <c r="D201" s="127">
        <f>VLOOKUP(B201,[14]AssetDetails_UEM!$A$3:$X$1848,22,FALSE)</f>
        <v>10585</v>
      </c>
      <c r="E201" s="554" t="s">
        <v>1339</v>
      </c>
      <c r="F201" s="554" t="s">
        <v>1400</v>
      </c>
      <c r="G201" s="540" t="s">
        <v>1423</v>
      </c>
      <c r="H201" s="555" t="s">
        <v>1536</v>
      </c>
      <c r="I201" s="397" t="s">
        <v>140</v>
      </c>
      <c r="J201" s="139" t="s">
        <v>139</v>
      </c>
      <c r="K201" s="398">
        <f t="shared" si="5"/>
        <v>30</v>
      </c>
      <c r="L201" s="399">
        <f t="shared" si="6"/>
        <v>0</v>
      </c>
      <c r="M201" s="539" t="s">
        <v>1608</v>
      </c>
    </row>
    <row r="202" spans="1:13" s="406" customFormat="1" ht="216">
      <c r="A202" s="394">
        <v>181</v>
      </c>
      <c r="B202" s="554" t="s">
        <v>1125</v>
      </c>
      <c r="C202" s="539" t="s">
        <v>1144</v>
      </c>
      <c r="D202" s="127">
        <f>VLOOKUP(B202,[14]AssetDetails_UEM!$A$3:$X$1848,22,FALSE)</f>
        <v>10585</v>
      </c>
      <c r="E202" s="554" t="s">
        <v>1340</v>
      </c>
      <c r="F202" s="554" t="s">
        <v>445</v>
      </c>
      <c r="G202" s="540" t="s">
        <v>1423</v>
      </c>
      <c r="H202" s="555" t="s">
        <v>1537</v>
      </c>
      <c r="I202" s="397" t="s">
        <v>140</v>
      </c>
      <c r="J202" s="139" t="s">
        <v>139</v>
      </c>
      <c r="K202" s="398">
        <f t="shared" si="5"/>
        <v>30</v>
      </c>
      <c r="L202" s="399">
        <f t="shared" si="6"/>
        <v>0</v>
      </c>
      <c r="M202" s="539" t="s">
        <v>1608</v>
      </c>
    </row>
    <row r="203" spans="1:13" s="406" customFormat="1" ht="216">
      <c r="A203" s="394">
        <v>182</v>
      </c>
      <c r="B203" s="554" t="s">
        <v>1126</v>
      </c>
      <c r="C203" s="539" t="s">
        <v>1143</v>
      </c>
      <c r="D203" s="127">
        <f>VLOOKUP(B203,[14]AssetDetails_UEM!$A$3:$X$1848,22,FALSE)</f>
        <v>60150</v>
      </c>
      <c r="E203" s="554" t="s">
        <v>1341</v>
      </c>
      <c r="F203" s="554" t="s">
        <v>1358</v>
      </c>
      <c r="G203" s="540" t="s">
        <v>1424</v>
      </c>
      <c r="H203" s="555" t="s">
        <v>1538</v>
      </c>
      <c r="I203" s="397" t="s">
        <v>140</v>
      </c>
      <c r="J203" s="139" t="s">
        <v>139</v>
      </c>
      <c r="K203" s="398">
        <f t="shared" si="5"/>
        <v>130</v>
      </c>
      <c r="L203" s="399">
        <f t="shared" si="6"/>
        <v>0</v>
      </c>
      <c r="M203" s="539" t="s">
        <v>1609</v>
      </c>
    </row>
    <row r="204" spans="1:13" s="406" customFormat="1" ht="128.5" customHeight="1">
      <c r="A204" s="394">
        <v>183</v>
      </c>
      <c r="B204" s="554" t="s">
        <v>1127</v>
      </c>
      <c r="C204" s="539" t="s">
        <v>1144</v>
      </c>
      <c r="D204" s="127">
        <f>VLOOKUP(B204,[14]AssetDetails_UEM!$A$3:$X$1848,22,FALSE)</f>
        <v>5050</v>
      </c>
      <c r="E204" s="554" t="s">
        <v>1342</v>
      </c>
      <c r="F204" s="554" t="s">
        <v>1367</v>
      </c>
      <c r="G204" s="540" t="s">
        <v>1424</v>
      </c>
      <c r="H204" s="555" t="s">
        <v>1539</v>
      </c>
      <c r="I204" s="397" t="s">
        <v>140</v>
      </c>
      <c r="J204" s="139" t="s">
        <v>139</v>
      </c>
      <c r="K204" s="398">
        <f t="shared" si="5"/>
        <v>20</v>
      </c>
      <c r="L204" s="399">
        <f t="shared" si="6"/>
        <v>0</v>
      </c>
      <c r="M204" s="539" t="s">
        <v>1581</v>
      </c>
    </row>
    <row r="205" spans="1:13" s="406" customFormat="1" ht="128.5" customHeight="1">
      <c r="A205" s="394">
        <v>184</v>
      </c>
      <c r="B205" s="554" t="s">
        <v>1128</v>
      </c>
      <c r="C205" s="539" t="s">
        <v>1144</v>
      </c>
      <c r="D205" s="127">
        <f>VLOOKUP(B205,[14]AssetDetails_UEM!$A$3:$X$1848,22,FALSE)</f>
        <v>5050</v>
      </c>
      <c r="E205" s="554" t="s">
        <v>1343</v>
      </c>
      <c r="F205" s="554" t="s">
        <v>1360</v>
      </c>
      <c r="G205" s="540" t="s">
        <v>1424</v>
      </c>
      <c r="H205" s="555" t="s">
        <v>1513</v>
      </c>
      <c r="I205" s="397" t="s">
        <v>140</v>
      </c>
      <c r="J205" s="139" t="s">
        <v>139</v>
      </c>
      <c r="K205" s="398">
        <f t="shared" si="5"/>
        <v>20</v>
      </c>
      <c r="L205" s="399">
        <f t="shared" si="6"/>
        <v>0</v>
      </c>
      <c r="M205" s="539" t="s">
        <v>1566</v>
      </c>
    </row>
    <row r="206" spans="1:13" s="406" customFormat="1" ht="128.5" customHeight="1">
      <c r="A206" s="394">
        <v>185</v>
      </c>
      <c r="B206" s="554" t="s">
        <v>1129</v>
      </c>
      <c r="C206" s="539" t="s">
        <v>284</v>
      </c>
      <c r="D206" s="127">
        <f>VLOOKUP(B206,[14]AssetDetails_UEM!$A$3:$X$1848,22,FALSE)</f>
        <v>4510</v>
      </c>
      <c r="E206" s="554" t="s">
        <v>1344</v>
      </c>
      <c r="F206" s="554" t="s">
        <v>1401</v>
      </c>
      <c r="G206" s="540" t="s">
        <v>1424</v>
      </c>
      <c r="H206" s="555" t="s">
        <v>1540</v>
      </c>
      <c r="I206" s="397" t="s">
        <v>140</v>
      </c>
      <c r="J206" s="139" t="s">
        <v>139</v>
      </c>
      <c r="K206" s="398">
        <f t="shared" si="5"/>
        <v>10</v>
      </c>
      <c r="L206" s="399">
        <f t="shared" si="6"/>
        <v>0</v>
      </c>
      <c r="M206" s="539" t="s">
        <v>1581</v>
      </c>
    </row>
    <row r="207" spans="1:13" s="406" customFormat="1" ht="152.5" customHeight="1">
      <c r="A207" s="394">
        <v>186</v>
      </c>
      <c r="B207" s="554" t="s">
        <v>1130</v>
      </c>
      <c r="C207" s="539" t="s">
        <v>284</v>
      </c>
      <c r="D207" s="127">
        <f>VLOOKUP(B207,[14]AssetDetails_UEM!$A$3:$X$1848,22,FALSE)</f>
        <v>4510</v>
      </c>
      <c r="E207" s="554" t="s">
        <v>1345</v>
      </c>
      <c r="F207" s="554" t="s">
        <v>1401</v>
      </c>
      <c r="G207" s="540" t="s">
        <v>1424</v>
      </c>
      <c r="H207" s="555" t="s">
        <v>1541</v>
      </c>
      <c r="I207" s="397" t="s">
        <v>140</v>
      </c>
      <c r="J207" s="139" t="s">
        <v>139</v>
      </c>
      <c r="K207" s="398">
        <f t="shared" si="5"/>
        <v>10</v>
      </c>
      <c r="L207" s="399">
        <f t="shared" si="6"/>
        <v>0</v>
      </c>
      <c r="M207" s="539" t="s">
        <v>1581</v>
      </c>
    </row>
    <row r="208" spans="1:13" s="406" customFormat="1" ht="140" customHeight="1">
      <c r="A208" s="394">
        <v>187</v>
      </c>
      <c r="B208" s="554" t="s">
        <v>1131</v>
      </c>
      <c r="C208" s="539" t="s">
        <v>473</v>
      </c>
      <c r="D208" s="127">
        <f>VLOOKUP(B208,[14]AssetDetails_UEM!$A$3:$X$1848,22,FALSE)</f>
        <v>44510</v>
      </c>
      <c r="E208" s="554" t="s">
        <v>1346</v>
      </c>
      <c r="F208" s="554" t="s">
        <v>1402</v>
      </c>
      <c r="G208" s="540" t="s">
        <v>1424</v>
      </c>
      <c r="H208" s="555" t="s">
        <v>1542</v>
      </c>
      <c r="I208" s="397" t="s">
        <v>140</v>
      </c>
      <c r="J208" s="139" t="s">
        <v>139</v>
      </c>
      <c r="K208" s="398">
        <f t="shared" si="5"/>
        <v>90</v>
      </c>
      <c r="L208" s="399">
        <f t="shared" si="6"/>
        <v>0</v>
      </c>
      <c r="M208" s="539" t="s">
        <v>1553</v>
      </c>
    </row>
    <row r="209" spans="1:14" s="406" customFormat="1" ht="151" customHeight="1">
      <c r="A209" s="394">
        <v>188</v>
      </c>
      <c r="B209" s="554" t="s">
        <v>1132</v>
      </c>
      <c r="C209" s="539" t="s">
        <v>473</v>
      </c>
      <c r="D209" s="127">
        <f>VLOOKUP(B209,[14]AssetDetails_UEM!$A$3:$X$1848,22,FALSE)</f>
        <v>44510</v>
      </c>
      <c r="E209" s="554" t="s">
        <v>1347</v>
      </c>
      <c r="F209" s="554" t="s">
        <v>1383</v>
      </c>
      <c r="G209" s="540" t="s">
        <v>1424</v>
      </c>
      <c r="H209" s="555" t="s">
        <v>1543</v>
      </c>
      <c r="I209" s="397" t="s">
        <v>140</v>
      </c>
      <c r="J209" s="139" t="s">
        <v>139</v>
      </c>
      <c r="K209" s="398">
        <f t="shared" si="5"/>
        <v>90</v>
      </c>
      <c r="L209" s="399">
        <f t="shared" si="6"/>
        <v>0</v>
      </c>
      <c r="M209" s="539" t="s">
        <v>1553</v>
      </c>
    </row>
    <row r="210" spans="1:14" s="406" customFormat="1" ht="135" customHeight="1">
      <c r="A210" s="394">
        <v>189</v>
      </c>
      <c r="B210" s="554" t="s">
        <v>1133</v>
      </c>
      <c r="C210" s="539" t="s">
        <v>1154</v>
      </c>
      <c r="D210" s="127">
        <f>VLOOKUP(B210,[14]AssetDetails_UEM!$A$3:$X$1848,22,FALSE)</f>
        <v>118230</v>
      </c>
      <c r="E210" s="554" t="s">
        <v>1348</v>
      </c>
      <c r="F210" s="554" t="s">
        <v>161</v>
      </c>
      <c r="G210" s="540" t="s">
        <v>1424</v>
      </c>
      <c r="H210" s="555" t="s">
        <v>1513</v>
      </c>
      <c r="I210" s="397" t="s">
        <v>140</v>
      </c>
      <c r="J210" s="139" t="s">
        <v>139</v>
      </c>
      <c r="K210" s="398">
        <f t="shared" si="5"/>
        <v>240</v>
      </c>
      <c r="L210" s="399">
        <f t="shared" si="6"/>
        <v>0</v>
      </c>
      <c r="M210" s="539" t="s">
        <v>1578</v>
      </c>
    </row>
    <row r="211" spans="1:14" s="406" customFormat="1" ht="172.5" customHeight="1">
      <c r="A211" s="394">
        <v>190</v>
      </c>
      <c r="B211" s="554" t="s">
        <v>1134</v>
      </c>
      <c r="C211" s="539" t="s">
        <v>219</v>
      </c>
      <c r="D211" s="127">
        <f>VLOOKUP(B211,[14]AssetDetails_UEM!$A$3:$X$1848,22,FALSE)</f>
        <v>4000</v>
      </c>
      <c r="E211" s="554" t="s">
        <v>1349</v>
      </c>
      <c r="F211" s="554" t="s">
        <v>161</v>
      </c>
      <c r="G211" s="540" t="s">
        <v>1424</v>
      </c>
      <c r="H211" s="555" t="s">
        <v>1542</v>
      </c>
      <c r="I211" s="397" t="s">
        <v>140</v>
      </c>
      <c r="J211" s="139" t="s">
        <v>139</v>
      </c>
      <c r="K211" s="398">
        <f t="shared" si="5"/>
        <v>10</v>
      </c>
      <c r="L211" s="399">
        <f t="shared" si="6"/>
        <v>0</v>
      </c>
      <c r="M211" s="539" t="s">
        <v>1610</v>
      </c>
    </row>
    <row r="212" spans="1:14" s="406" customFormat="1" ht="172.5" customHeight="1">
      <c r="A212" s="394">
        <v>191</v>
      </c>
      <c r="B212" s="554" t="s">
        <v>1135</v>
      </c>
      <c r="C212" s="539" t="s">
        <v>416</v>
      </c>
      <c r="D212" s="127">
        <f>VLOOKUP(B212,[14]AssetDetails_UEM!$A$3:$X$1848,22,FALSE)</f>
        <v>28630</v>
      </c>
      <c r="E212" s="554" t="s">
        <v>1350</v>
      </c>
      <c r="F212" s="554" t="s">
        <v>190</v>
      </c>
      <c r="G212" s="540" t="s">
        <v>1420</v>
      </c>
      <c r="H212" s="555" t="s">
        <v>1544</v>
      </c>
      <c r="I212" s="397" t="s">
        <v>140</v>
      </c>
      <c r="J212" s="139" t="s">
        <v>139</v>
      </c>
      <c r="K212" s="398">
        <f t="shared" si="5"/>
        <v>60</v>
      </c>
      <c r="L212" s="399">
        <f t="shared" si="6"/>
        <v>0</v>
      </c>
      <c r="M212" s="539" t="s">
        <v>1581</v>
      </c>
    </row>
    <row r="213" spans="1:14" s="406" customFormat="1" ht="172.5" customHeight="1">
      <c r="A213" s="394">
        <v>192</v>
      </c>
      <c r="B213" s="554" t="s">
        <v>1136</v>
      </c>
      <c r="C213" s="539" t="s">
        <v>416</v>
      </c>
      <c r="D213" s="127">
        <f>VLOOKUP(B213,[14]AssetDetails_UEM!$A$3:$X$1848,22,FALSE)</f>
        <v>28630</v>
      </c>
      <c r="E213" s="554" t="s">
        <v>1351</v>
      </c>
      <c r="F213" s="554" t="s">
        <v>190</v>
      </c>
      <c r="G213" s="540" t="s">
        <v>1420</v>
      </c>
      <c r="H213" s="555" t="s">
        <v>1545</v>
      </c>
      <c r="I213" s="397" t="s">
        <v>140</v>
      </c>
      <c r="J213" s="139" t="s">
        <v>139</v>
      </c>
      <c r="K213" s="398">
        <f t="shared" ref="K213:K220" si="7">ROUNDUP((D213/4999.99)*10,-1)</f>
        <v>60</v>
      </c>
      <c r="L213" s="399">
        <f t="shared" ref="L213:L220" si="8">IF(J213="N",0,K213)</f>
        <v>0</v>
      </c>
      <c r="M213" s="539" t="s">
        <v>1581</v>
      </c>
    </row>
    <row r="214" spans="1:14" s="406" customFormat="1" ht="172.5" customHeight="1">
      <c r="A214" s="394">
        <v>193</v>
      </c>
      <c r="B214" s="554" t="s">
        <v>1137</v>
      </c>
      <c r="C214" s="539" t="s">
        <v>481</v>
      </c>
      <c r="D214" s="127">
        <f>VLOOKUP(B214,[14]AssetDetails_UEM!$A$3:$X$1848,22,FALSE)</f>
        <v>25260</v>
      </c>
      <c r="E214" s="554" t="s">
        <v>1352</v>
      </c>
      <c r="F214" s="554" t="s">
        <v>1375</v>
      </c>
      <c r="G214" s="540" t="s">
        <v>1420</v>
      </c>
      <c r="H214" s="555" t="s">
        <v>1546</v>
      </c>
      <c r="I214" s="397" t="s">
        <v>140</v>
      </c>
      <c r="J214" s="139" t="s">
        <v>139</v>
      </c>
      <c r="K214" s="398">
        <f t="shared" si="7"/>
        <v>60</v>
      </c>
      <c r="L214" s="399">
        <f t="shared" si="8"/>
        <v>0</v>
      </c>
      <c r="M214" s="539" t="s">
        <v>1581</v>
      </c>
    </row>
    <row r="215" spans="1:14" s="406" customFormat="1" ht="172.5" customHeight="1">
      <c r="A215" s="394">
        <v>194</v>
      </c>
      <c r="B215" s="554" t="s">
        <v>1138</v>
      </c>
      <c r="C215" s="539" t="s">
        <v>483</v>
      </c>
      <c r="D215" s="127">
        <f>VLOOKUP(B215,[14]AssetDetails_UEM!$A$3:$X$1848,22,FALSE)</f>
        <v>10225</v>
      </c>
      <c r="E215" s="554" t="s">
        <v>1353</v>
      </c>
      <c r="F215" s="554" t="s">
        <v>147</v>
      </c>
      <c r="G215" s="540" t="s">
        <v>1420</v>
      </c>
      <c r="H215" s="555" t="s">
        <v>1546</v>
      </c>
      <c r="I215" s="397" t="s">
        <v>140</v>
      </c>
      <c r="J215" s="139" t="s">
        <v>139</v>
      </c>
      <c r="K215" s="398">
        <f t="shared" si="7"/>
        <v>30</v>
      </c>
      <c r="L215" s="399">
        <f t="shared" si="8"/>
        <v>0</v>
      </c>
      <c r="M215" s="539" t="s">
        <v>1566</v>
      </c>
    </row>
    <row r="216" spans="1:14" s="406" customFormat="1" ht="172.5" customHeight="1">
      <c r="A216" s="394">
        <v>195</v>
      </c>
      <c r="B216" s="554" t="s">
        <v>1720</v>
      </c>
      <c r="C216" s="539" t="s">
        <v>481</v>
      </c>
      <c r="D216" s="127">
        <f>VLOOKUP(B216,[14]AssetDetails_UEM!$A$3:$X$1848,22,FALSE)</f>
        <v>25260</v>
      </c>
      <c r="E216" s="554" t="s">
        <v>1721</v>
      </c>
      <c r="F216" s="554" t="s">
        <v>1380</v>
      </c>
      <c r="G216" s="540" t="s">
        <v>1420</v>
      </c>
      <c r="H216" s="555" t="s">
        <v>1722</v>
      </c>
      <c r="I216" s="397" t="s">
        <v>140</v>
      </c>
      <c r="J216" s="139" t="s">
        <v>139</v>
      </c>
      <c r="K216" s="398">
        <f t="shared" si="7"/>
        <v>60</v>
      </c>
      <c r="L216" s="399">
        <f t="shared" si="8"/>
        <v>0</v>
      </c>
      <c r="M216" s="539" t="s">
        <v>1566</v>
      </c>
    </row>
    <row r="217" spans="1:14" s="406" customFormat="1" ht="172.5" customHeight="1">
      <c r="A217" s="394">
        <v>196</v>
      </c>
      <c r="B217" s="554" t="s">
        <v>1139</v>
      </c>
      <c r="C217" s="539" t="s">
        <v>482</v>
      </c>
      <c r="D217" s="127">
        <f>VLOOKUP(B217,[14]AssetDetails_UEM!$A$3:$X$1848,22,FALSE)</f>
        <v>11120</v>
      </c>
      <c r="E217" s="554" t="s">
        <v>1354</v>
      </c>
      <c r="F217" s="554" t="s">
        <v>1403</v>
      </c>
      <c r="G217" s="540" t="s">
        <v>1420</v>
      </c>
      <c r="H217" s="555" t="s">
        <v>1547</v>
      </c>
      <c r="I217" s="397" t="s">
        <v>140</v>
      </c>
      <c r="J217" s="139" t="s">
        <v>139</v>
      </c>
      <c r="K217" s="398">
        <f t="shared" si="7"/>
        <v>30</v>
      </c>
      <c r="L217" s="399">
        <f t="shared" si="8"/>
        <v>0</v>
      </c>
      <c r="M217" s="539" t="s">
        <v>1611</v>
      </c>
    </row>
    <row r="218" spans="1:14" s="406" customFormat="1" ht="172.5" customHeight="1">
      <c r="A218" s="394">
        <v>197</v>
      </c>
      <c r="B218" s="554" t="s">
        <v>1140</v>
      </c>
      <c r="C218" s="539" t="s">
        <v>482</v>
      </c>
      <c r="D218" s="127">
        <f>VLOOKUP(B218,[14]AssetDetails_UEM!$A$3:$X$1848,22,FALSE)</f>
        <v>11120</v>
      </c>
      <c r="E218" s="554" t="s">
        <v>1355</v>
      </c>
      <c r="F218" s="554" t="s">
        <v>1396</v>
      </c>
      <c r="G218" s="540" t="s">
        <v>1420</v>
      </c>
      <c r="H218" s="555" t="s">
        <v>1548</v>
      </c>
      <c r="I218" s="397" t="s">
        <v>140</v>
      </c>
      <c r="J218" s="139" t="s">
        <v>139</v>
      </c>
      <c r="K218" s="398">
        <f t="shared" si="7"/>
        <v>30</v>
      </c>
      <c r="L218" s="399">
        <f t="shared" si="8"/>
        <v>0</v>
      </c>
      <c r="M218" s="539" t="s">
        <v>1602</v>
      </c>
    </row>
    <row r="219" spans="1:14" s="406" customFormat="1" ht="172.5" customHeight="1">
      <c r="A219" s="394">
        <v>198</v>
      </c>
      <c r="B219" s="554" t="s">
        <v>1141</v>
      </c>
      <c r="C219" s="539" t="s">
        <v>480</v>
      </c>
      <c r="D219" s="127">
        <f>VLOOKUP(B219,[14]AssetDetails_UEM!$A$3:$X$1848,22,FALSE)</f>
        <v>15395</v>
      </c>
      <c r="E219" s="554" t="s">
        <v>1356</v>
      </c>
      <c r="F219" s="554" t="s">
        <v>1358</v>
      </c>
      <c r="G219" s="540">
        <v>46092</v>
      </c>
      <c r="H219" s="555" t="s">
        <v>1549</v>
      </c>
      <c r="I219" s="397" t="s">
        <v>140</v>
      </c>
      <c r="J219" s="139" t="s">
        <v>139</v>
      </c>
      <c r="K219" s="398">
        <f t="shared" si="7"/>
        <v>40</v>
      </c>
      <c r="L219" s="399">
        <f t="shared" si="8"/>
        <v>0</v>
      </c>
      <c r="M219" s="539" t="s">
        <v>1612</v>
      </c>
    </row>
    <row r="220" spans="1:14" s="406" customFormat="1" ht="172.5" customHeight="1">
      <c r="A220" s="394">
        <v>199</v>
      </c>
      <c r="B220" s="554" t="s">
        <v>1142</v>
      </c>
      <c r="C220" s="539" t="s">
        <v>162</v>
      </c>
      <c r="D220" s="127">
        <f>VLOOKUP(B220,[14]AssetDetails_UEM!$A$3:$X$1848,22,FALSE)</f>
        <v>10825</v>
      </c>
      <c r="E220" s="554" t="s">
        <v>1357</v>
      </c>
      <c r="F220" s="554" t="s">
        <v>149</v>
      </c>
      <c r="G220" s="593">
        <v>46092</v>
      </c>
      <c r="H220" s="594" t="s">
        <v>1482</v>
      </c>
      <c r="I220" s="460">
        <v>46099</v>
      </c>
      <c r="J220" s="139" t="s">
        <v>139</v>
      </c>
      <c r="K220" s="398">
        <f t="shared" si="7"/>
        <v>30</v>
      </c>
      <c r="L220" s="399">
        <f t="shared" si="8"/>
        <v>0</v>
      </c>
      <c r="M220" s="539" t="s">
        <v>1723</v>
      </c>
    </row>
    <row r="221" spans="1:14" s="406" customFormat="1" ht="153.75" customHeight="1">
      <c r="A221" s="766" t="s">
        <v>220</v>
      </c>
      <c r="B221" s="766"/>
      <c r="C221" s="766"/>
      <c r="D221" s="146"/>
      <c r="E221" s="146"/>
      <c r="F221" s="146"/>
      <c r="G221" s="146"/>
      <c r="H221" s="149"/>
      <c r="I221" s="149"/>
      <c r="J221" s="149"/>
      <c r="K221" s="149"/>
      <c r="L221" s="149"/>
      <c r="M221" s="149"/>
    </row>
    <row r="222" spans="1:14" s="118" customFormat="1" ht="126" customHeight="1">
      <c r="A222" s="394">
        <v>1</v>
      </c>
      <c r="B222" s="394" t="s">
        <v>1626</v>
      </c>
      <c r="C222" s="395" t="s">
        <v>474</v>
      </c>
      <c r="D222" s="127">
        <f>VLOOKUP(B222,[14]AssetDetails_UEM!$A$3:$X$1848,22,FALSE)</f>
        <v>15515</v>
      </c>
      <c r="E222" s="394" t="s">
        <v>1645</v>
      </c>
      <c r="F222" s="394" t="s">
        <v>1389</v>
      </c>
      <c r="G222" s="454">
        <v>46086</v>
      </c>
      <c r="H222" s="459" t="s">
        <v>198</v>
      </c>
      <c r="I222" s="460">
        <v>46121</v>
      </c>
      <c r="J222" s="139" t="s">
        <v>139</v>
      </c>
      <c r="K222" s="398">
        <f t="shared" ref="K222:K240" si="9">ROUNDUP((D222/4999.99)*10,-1)</f>
        <v>40</v>
      </c>
      <c r="L222" s="399">
        <f t="shared" ref="L222:L240" si="10">IF(J222="N",0,K222)</f>
        <v>0</v>
      </c>
      <c r="M222" s="395" t="s">
        <v>1724</v>
      </c>
      <c r="N222" s="144"/>
    </row>
    <row r="223" spans="1:14" s="118" customFormat="1" ht="217">
      <c r="A223" s="394">
        <v>2</v>
      </c>
      <c r="B223" s="394" t="s">
        <v>1627</v>
      </c>
      <c r="C223" s="395" t="s">
        <v>517</v>
      </c>
      <c r="D223" s="127">
        <f>VLOOKUP(B223,[14]AssetDetails_UEM!$A$3:$X$1848,22,FALSE)</f>
        <v>1000</v>
      </c>
      <c r="E223" s="394" t="s">
        <v>1646</v>
      </c>
      <c r="F223" s="394" t="s">
        <v>1663</v>
      </c>
      <c r="G223" s="454">
        <v>46093</v>
      </c>
      <c r="H223" s="459" t="s">
        <v>198</v>
      </c>
      <c r="I223" s="460">
        <v>46114</v>
      </c>
      <c r="J223" s="139" t="s">
        <v>139</v>
      </c>
      <c r="K223" s="398">
        <f t="shared" si="9"/>
        <v>10</v>
      </c>
      <c r="L223" s="399">
        <f t="shared" si="10"/>
        <v>0</v>
      </c>
      <c r="M223" s="395" t="s">
        <v>1727</v>
      </c>
      <c r="N223" s="144" t="s">
        <v>1755</v>
      </c>
    </row>
    <row r="224" spans="1:14" s="118" customFormat="1" ht="144">
      <c r="A224" s="394">
        <v>3</v>
      </c>
      <c r="B224" s="394" t="s">
        <v>1628</v>
      </c>
      <c r="C224" s="395" t="s">
        <v>517</v>
      </c>
      <c r="D224" s="127">
        <f>VLOOKUP(B224,[14]AssetDetails_UEM!$A$3:$X$1848,22,FALSE)</f>
        <v>1000</v>
      </c>
      <c r="E224" s="394" t="s">
        <v>1647</v>
      </c>
      <c r="F224" s="394" t="s">
        <v>1663</v>
      </c>
      <c r="G224" s="454">
        <v>46093</v>
      </c>
      <c r="H224" s="459" t="s">
        <v>198</v>
      </c>
      <c r="I224" s="460">
        <v>46114</v>
      </c>
      <c r="J224" s="139" t="s">
        <v>139</v>
      </c>
      <c r="K224" s="398">
        <f t="shared" si="9"/>
        <v>10</v>
      </c>
      <c r="L224" s="399">
        <f t="shared" si="10"/>
        <v>0</v>
      </c>
      <c r="M224" s="395" t="s">
        <v>1727</v>
      </c>
      <c r="N224" s="144"/>
    </row>
    <row r="225" spans="1:13" s="406" customFormat="1" ht="144">
      <c r="A225" s="394">
        <v>4</v>
      </c>
      <c r="B225" s="394" t="s">
        <v>1629</v>
      </c>
      <c r="C225" s="395" t="s">
        <v>517</v>
      </c>
      <c r="D225" s="127">
        <f>VLOOKUP(B225,[14]AssetDetails_UEM!$A$3:$X$1848,22,FALSE)</f>
        <v>1000</v>
      </c>
      <c r="E225" s="394" t="s">
        <v>1648</v>
      </c>
      <c r="F225" s="394" t="s">
        <v>1663</v>
      </c>
      <c r="G225" s="454">
        <v>46093</v>
      </c>
      <c r="H225" s="459" t="s">
        <v>198</v>
      </c>
      <c r="I225" s="460">
        <v>46114</v>
      </c>
      <c r="J225" s="139" t="s">
        <v>139</v>
      </c>
      <c r="K225" s="398">
        <f t="shared" si="9"/>
        <v>10</v>
      </c>
      <c r="L225" s="399">
        <f t="shared" si="10"/>
        <v>0</v>
      </c>
      <c r="M225" s="395" t="s">
        <v>1727</v>
      </c>
    </row>
    <row r="226" spans="1:13" s="406" customFormat="1" ht="144">
      <c r="A226" s="394">
        <v>5</v>
      </c>
      <c r="B226" s="394" t="s">
        <v>1630</v>
      </c>
      <c r="C226" s="395" t="s">
        <v>517</v>
      </c>
      <c r="D226" s="127">
        <f>VLOOKUP(B226,[14]AssetDetails_UEM!$A$3:$X$1848,22,FALSE)</f>
        <v>1000</v>
      </c>
      <c r="E226" s="394" t="s">
        <v>1649</v>
      </c>
      <c r="F226" s="394" t="s">
        <v>1663</v>
      </c>
      <c r="G226" s="454">
        <v>46093</v>
      </c>
      <c r="H226" s="459" t="s">
        <v>198</v>
      </c>
      <c r="I226" s="460">
        <v>46114</v>
      </c>
      <c r="J226" s="139" t="s">
        <v>139</v>
      </c>
      <c r="K226" s="398">
        <f t="shared" si="9"/>
        <v>10</v>
      </c>
      <c r="L226" s="399">
        <f t="shared" si="10"/>
        <v>0</v>
      </c>
      <c r="M226" s="395" t="s">
        <v>1727</v>
      </c>
    </row>
    <row r="227" spans="1:13" s="406" customFormat="1" ht="144">
      <c r="A227" s="394">
        <v>6</v>
      </c>
      <c r="B227" s="554" t="s">
        <v>1631</v>
      </c>
      <c r="C227" s="395" t="s">
        <v>517</v>
      </c>
      <c r="D227" s="127">
        <f>VLOOKUP(B227,[14]AssetDetails_UEM!$A$3:$X$1848,22,FALSE)</f>
        <v>1000</v>
      </c>
      <c r="E227" s="554" t="s">
        <v>1650</v>
      </c>
      <c r="F227" s="554" t="s">
        <v>1663</v>
      </c>
      <c r="G227" s="540">
        <v>46093</v>
      </c>
      <c r="H227" s="459" t="s">
        <v>198</v>
      </c>
      <c r="I227" s="460">
        <v>46114</v>
      </c>
      <c r="J227" s="139" t="s">
        <v>139</v>
      </c>
      <c r="K227" s="398">
        <f t="shared" si="9"/>
        <v>10</v>
      </c>
      <c r="L227" s="399">
        <f t="shared" si="10"/>
        <v>0</v>
      </c>
      <c r="M227" s="395" t="s">
        <v>1727</v>
      </c>
    </row>
    <row r="228" spans="1:13" s="406" customFormat="1" ht="144">
      <c r="A228" s="394">
        <v>7</v>
      </c>
      <c r="B228" s="554" t="s">
        <v>1632</v>
      </c>
      <c r="C228" s="395" t="s">
        <v>517</v>
      </c>
      <c r="D228" s="127">
        <f>VLOOKUP(B228,[14]AssetDetails_UEM!$A$3:$X$1848,22,FALSE)</f>
        <v>1000</v>
      </c>
      <c r="E228" s="554" t="s">
        <v>1651</v>
      </c>
      <c r="F228" s="554" t="s">
        <v>1663</v>
      </c>
      <c r="G228" s="540">
        <v>46093</v>
      </c>
      <c r="H228" s="459" t="s">
        <v>198</v>
      </c>
      <c r="I228" s="460">
        <v>46114</v>
      </c>
      <c r="J228" s="139" t="s">
        <v>139</v>
      </c>
      <c r="K228" s="398">
        <f t="shared" si="9"/>
        <v>10</v>
      </c>
      <c r="L228" s="399">
        <f t="shared" si="10"/>
        <v>0</v>
      </c>
      <c r="M228" s="395" t="s">
        <v>1727</v>
      </c>
    </row>
    <row r="229" spans="1:13" s="406" customFormat="1" ht="144">
      <c r="A229" s="394">
        <v>8</v>
      </c>
      <c r="B229" s="554" t="s">
        <v>1633</v>
      </c>
      <c r="C229" s="395" t="s">
        <v>517</v>
      </c>
      <c r="D229" s="127">
        <f>VLOOKUP(B229,[14]AssetDetails_UEM!$A$3:$X$1848,22,FALSE)</f>
        <v>1000</v>
      </c>
      <c r="E229" s="554" t="s">
        <v>1652</v>
      </c>
      <c r="F229" s="554" t="s">
        <v>1663</v>
      </c>
      <c r="G229" s="540">
        <v>46093</v>
      </c>
      <c r="H229" s="459" t="s">
        <v>198</v>
      </c>
      <c r="I229" s="460">
        <v>46114</v>
      </c>
      <c r="J229" s="139" t="s">
        <v>139</v>
      </c>
      <c r="K229" s="398">
        <f t="shared" si="9"/>
        <v>10</v>
      </c>
      <c r="L229" s="399">
        <f t="shared" si="10"/>
        <v>0</v>
      </c>
      <c r="M229" s="395" t="s">
        <v>1727</v>
      </c>
    </row>
    <row r="230" spans="1:13" s="406" customFormat="1" ht="144">
      <c r="A230" s="394">
        <v>9</v>
      </c>
      <c r="B230" s="554" t="s">
        <v>1634</v>
      </c>
      <c r="C230" s="395" t="s">
        <v>517</v>
      </c>
      <c r="D230" s="127">
        <f>VLOOKUP(B230,[14]AssetDetails_UEM!$A$3:$X$1848,22,FALSE)</f>
        <v>1000</v>
      </c>
      <c r="E230" s="554" t="s">
        <v>1653</v>
      </c>
      <c r="F230" s="554" t="s">
        <v>1663</v>
      </c>
      <c r="G230" s="540">
        <v>46093</v>
      </c>
      <c r="H230" s="459" t="s">
        <v>198</v>
      </c>
      <c r="I230" s="460">
        <v>46114</v>
      </c>
      <c r="J230" s="139" t="s">
        <v>139</v>
      </c>
      <c r="K230" s="398">
        <f t="shared" si="9"/>
        <v>10</v>
      </c>
      <c r="L230" s="399">
        <f t="shared" si="10"/>
        <v>0</v>
      </c>
      <c r="M230" s="395" t="s">
        <v>1727</v>
      </c>
    </row>
    <row r="231" spans="1:13" s="406" customFormat="1" ht="144">
      <c r="A231" s="394">
        <v>10</v>
      </c>
      <c r="B231" s="554" t="s">
        <v>1635</v>
      </c>
      <c r="C231" s="395" t="s">
        <v>517</v>
      </c>
      <c r="D231" s="127">
        <f>VLOOKUP(B231,[14]AssetDetails_UEM!$A$3:$X$1848,22,FALSE)</f>
        <v>1000</v>
      </c>
      <c r="E231" s="554" t="s">
        <v>1654</v>
      </c>
      <c r="F231" s="554" t="s">
        <v>1663</v>
      </c>
      <c r="G231" s="540">
        <v>46093</v>
      </c>
      <c r="H231" s="459" t="s">
        <v>198</v>
      </c>
      <c r="I231" s="460">
        <v>46114</v>
      </c>
      <c r="J231" s="139" t="s">
        <v>139</v>
      </c>
      <c r="K231" s="398">
        <f t="shared" si="9"/>
        <v>10</v>
      </c>
      <c r="L231" s="399">
        <f t="shared" si="10"/>
        <v>0</v>
      </c>
      <c r="M231" s="395" t="s">
        <v>1727</v>
      </c>
    </row>
    <row r="232" spans="1:13" s="406" customFormat="1" ht="144">
      <c r="A232" s="394">
        <v>11</v>
      </c>
      <c r="B232" s="554" t="s">
        <v>1636</v>
      </c>
      <c r="C232" s="395" t="s">
        <v>517</v>
      </c>
      <c r="D232" s="127">
        <f>VLOOKUP(B232,[14]AssetDetails_UEM!$A$3:$X$1848,22,FALSE)</f>
        <v>1000</v>
      </c>
      <c r="E232" s="554" t="s">
        <v>1655</v>
      </c>
      <c r="F232" s="554" t="s">
        <v>1663</v>
      </c>
      <c r="G232" s="540">
        <v>46093</v>
      </c>
      <c r="H232" s="459" t="s">
        <v>198</v>
      </c>
      <c r="I232" s="460">
        <v>46114</v>
      </c>
      <c r="J232" s="139" t="s">
        <v>139</v>
      </c>
      <c r="K232" s="398">
        <f t="shared" si="9"/>
        <v>10</v>
      </c>
      <c r="L232" s="399">
        <f t="shared" si="10"/>
        <v>0</v>
      </c>
      <c r="M232" s="395" t="s">
        <v>1727</v>
      </c>
    </row>
    <row r="233" spans="1:13" s="406" customFormat="1" ht="144">
      <c r="A233" s="394">
        <v>12</v>
      </c>
      <c r="B233" s="554" t="s">
        <v>1637</v>
      </c>
      <c r="C233" s="395" t="s">
        <v>517</v>
      </c>
      <c r="D233" s="127">
        <f>VLOOKUP(B233,[14]AssetDetails_UEM!$A$3:$X$1848,22,FALSE)</f>
        <v>2204</v>
      </c>
      <c r="E233" s="554" t="s">
        <v>1656</v>
      </c>
      <c r="F233" s="554" t="s">
        <v>1664</v>
      </c>
      <c r="G233" s="540">
        <v>46093</v>
      </c>
      <c r="H233" s="459" t="s">
        <v>198</v>
      </c>
      <c r="I233" s="460">
        <v>46114</v>
      </c>
      <c r="J233" s="139" t="s">
        <v>139</v>
      </c>
      <c r="K233" s="398">
        <f t="shared" si="9"/>
        <v>10</v>
      </c>
      <c r="L233" s="399">
        <f t="shared" si="10"/>
        <v>0</v>
      </c>
      <c r="M233" s="395" t="s">
        <v>1727</v>
      </c>
    </row>
    <row r="234" spans="1:13" s="406" customFormat="1" ht="144">
      <c r="A234" s="394">
        <v>13</v>
      </c>
      <c r="B234" s="554" t="s">
        <v>1638</v>
      </c>
      <c r="C234" s="395" t="s">
        <v>1643</v>
      </c>
      <c r="D234" s="127">
        <f>VLOOKUP(B234,[14]AssetDetails_UEM!$A$3:$X$1848,22,FALSE)</f>
        <v>105860</v>
      </c>
      <c r="E234" s="554" t="s">
        <v>1657</v>
      </c>
      <c r="F234" s="554" t="s">
        <v>1665</v>
      </c>
      <c r="G234" s="540">
        <v>46098</v>
      </c>
      <c r="H234" s="459" t="s">
        <v>198</v>
      </c>
      <c r="I234" s="460">
        <v>46119</v>
      </c>
      <c r="J234" s="139" t="s">
        <v>1754</v>
      </c>
      <c r="K234" s="398">
        <f t="shared" si="9"/>
        <v>220</v>
      </c>
      <c r="L234" s="399">
        <f t="shared" si="10"/>
        <v>220</v>
      </c>
      <c r="M234" s="539" t="s">
        <v>1725</v>
      </c>
    </row>
    <row r="235" spans="1:13" s="609" customFormat="1" ht="172.5" customHeight="1">
      <c r="A235" s="461">
        <v>14</v>
      </c>
      <c r="B235" s="604" t="s">
        <v>1616</v>
      </c>
      <c r="C235" s="606" t="s">
        <v>1617</v>
      </c>
      <c r="D235" s="129">
        <f>VLOOKUP(B235,[14]AssetDetails_UEM!$A$3:$X$1848,22,FALSE)</f>
        <v>10825</v>
      </c>
      <c r="E235" s="604" t="s">
        <v>1618</v>
      </c>
      <c r="F235" s="604" t="s">
        <v>149</v>
      </c>
      <c r="G235" s="607">
        <v>46100</v>
      </c>
      <c r="H235" s="608" t="s">
        <v>1619</v>
      </c>
      <c r="I235" s="557">
        <v>46121</v>
      </c>
      <c r="J235" s="140" t="s">
        <v>139</v>
      </c>
      <c r="K235" s="404">
        <f>ROUNDUP((D235/4999.99)*10,-1)</f>
        <v>30</v>
      </c>
      <c r="L235" s="405">
        <f>IF(J235="N",0,K235)</f>
        <v>0</v>
      </c>
      <c r="M235" s="606" t="s">
        <v>1717</v>
      </c>
    </row>
    <row r="236" spans="1:13" s="406" customFormat="1" ht="144">
      <c r="A236" s="394">
        <v>15</v>
      </c>
      <c r="B236" s="554" t="s">
        <v>1639</v>
      </c>
      <c r="C236" s="395" t="s">
        <v>1643</v>
      </c>
      <c r="D236" s="127">
        <f>VLOOKUP(B236,[14]AssetDetails_UEM!$A$3:$X$1848,22,FALSE)</f>
        <v>105860</v>
      </c>
      <c r="E236" s="554" t="s">
        <v>1658</v>
      </c>
      <c r="F236" s="554" t="s">
        <v>1665</v>
      </c>
      <c r="G236" s="540">
        <v>46101</v>
      </c>
      <c r="H236" s="459" t="s">
        <v>198</v>
      </c>
      <c r="I236" s="460">
        <v>46119</v>
      </c>
      <c r="J236" s="139" t="s">
        <v>1754</v>
      </c>
      <c r="K236" s="398">
        <f t="shared" si="9"/>
        <v>220</v>
      </c>
      <c r="L236" s="399">
        <f t="shared" si="10"/>
        <v>220</v>
      </c>
      <c r="M236" s="539" t="s">
        <v>1725</v>
      </c>
    </row>
    <row r="237" spans="1:13" s="406" customFormat="1" ht="144">
      <c r="A237" s="394">
        <v>16</v>
      </c>
      <c r="B237" s="554" t="s">
        <v>1640</v>
      </c>
      <c r="C237" s="395" t="s">
        <v>517</v>
      </c>
      <c r="D237" s="127">
        <f>VLOOKUP(B237,[14]AssetDetails_UEM!$A$3:$X$1848,22,FALSE)</f>
        <v>1323</v>
      </c>
      <c r="E237" s="554" t="s">
        <v>1659</v>
      </c>
      <c r="F237" s="554" t="s">
        <v>1666</v>
      </c>
      <c r="G237" s="540">
        <v>46101</v>
      </c>
      <c r="H237" s="459" t="s">
        <v>198</v>
      </c>
      <c r="I237" s="558">
        <v>46114</v>
      </c>
      <c r="J237" s="139" t="s">
        <v>139</v>
      </c>
      <c r="K237" s="398">
        <f t="shared" si="9"/>
        <v>10</v>
      </c>
      <c r="L237" s="399">
        <f t="shared" si="10"/>
        <v>0</v>
      </c>
      <c r="M237" s="395" t="s">
        <v>1727</v>
      </c>
    </row>
    <row r="238" spans="1:13" s="406" customFormat="1" ht="144">
      <c r="A238" s="394">
        <v>17</v>
      </c>
      <c r="B238" s="554" t="s">
        <v>1641</v>
      </c>
      <c r="C238" s="395" t="s">
        <v>517</v>
      </c>
      <c r="D238" s="127">
        <f>VLOOKUP(B238,[14]AssetDetails_UEM!$A$3:$X$1848,22,FALSE)</f>
        <v>1323</v>
      </c>
      <c r="E238" s="554" t="s">
        <v>1660</v>
      </c>
      <c r="F238" s="554" t="s">
        <v>1666</v>
      </c>
      <c r="G238" s="540">
        <v>46101</v>
      </c>
      <c r="H238" s="459" t="s">
        <v>198</v>
      </c>
      <c r="I238" s="558">
        <v>46114</v>
      </c>
      <c r="J238" s="139" t="s">
        <v>139</v>
      </c>
      <c r="K238" s="398">
        <f t="shared" si="9"/>
        <v>10</v>
      </c>
      <c r="L238" s="399">
        <f t="shared" si="10"/>
        <v>0</v>
      </c>
      <c r="M238" s="395" t="s">
        <v>1727</v>
      </c>
    </row>
    <row r="239" spans="1:13" s="609" customFormat="1" ht="144">
      <c r="A239" s="461">
        <v>18</v>
      </c>
      <c r="B239" s="604" t="s">
        <v>1620</v>
      </c>
      <c r="C239" s="606" t="s">
        <v>162</v>
      </c>
      <c r="D239" s="129">
        <f>VLOOKUP(B239,[14]AssetDetails_UEM!$A$3:$X$1848,22,FALSE)</f>
        <v>10825</v>
      </c>
      <c r="E239" s="604" t="s">
        <v>1621</v>
      </c>
      <c r="F239" s="604" t="s">
        <v>1365</v>
      </c>
      <c r="G239" s="607">
        <v>46105</v>
      </c>
      <c r="H239" s="608" t="s">
        <v>1622</v>
      </c>
      <c r="I239" s="610">
        <v>46126</v>
      </c>
      <c r="J239" s="140" t="s">
        <v>139</v>
      </c>
      <c r="K239" s="404">
        <f>ROUNDUP((D239/4999.99)*10,-1)</f>
        <v>30</v>
      </c>
      <c r="L239" s="405">
        <f>IF(J239="N",0,K239)</f>
        <v>0</v>
      </c>
      <c r="M239" s="606" t="s">
        <v>1718</v>
      </c>
    </row>
    <row r="240" spans="1:13" s="406" customFormat="1" ht="216">
      <c r="A240" s="394">
        <v>19</v>
      </c>
      <c r="B240" s="554" t="s">
        <v>716</v>
      </c>
      <c r="C240" s="395" t="s">
        <v>284</v>
      </c>
      <c r="D240" s="127">
        <f>VLOOKUP(B240,[14]AssetDetails_UEM!$A$3:$X$1848,22,FALSE)</f>
        <v>336</v>
      </c>
      <c r="E240" s="554" t="s">
        <v>1661</v>
      </c>
      <c r="F240" s="554" t="s">
        <v>725</v>
      </c>
      <c r="G240" s="540">
        <v>46105</v>
      </c>
      <c r="H240" s="459" t="s">
        <v>198</v>
      </c>
      <c r="I240" s="558">
        <v>46126</v>
      </c>
      <c r="J240" s="139" t="s">
        <v>139</v>
      </c>
      <c r="K240" s="398">
        <f t="shared" si="9"/>
        <v>10</v>
      </c>
      <c r="L240" s="399">
        <f t="shared" si="10"/>
        <v>0</v>
      </c>
      <c r="M240" s="539" t="s">
        <v>1738</v>
      </c>
    </row>
    <row r="241" spans="1:33" s="406" customFormat="1" ht="153.75" customHeight="1">
      <c r="A241" s="394">
        <v>20</v>
      </c>
      <c r="B241" s="394" t="s">
        <v>1642</v>
      </c>
      <c r="C241" s="395" t="s">
        <v>1644</v>
      </c>
      <c r="D241" s="127">
        <f>VLOOKUP(B241,[14]AssetDetails_UEM!$A$3:$X$1848,22,FALSE)</f>
        <v>58988</v>
      </c>
      <c r="E241" s="394" t="s">
        <v>1662</v>
      </c>
      <c r="F241" s="394" t="s">
        <v>1667</v>
      </c>
      <c r="G241" s="454">
        <v>46108</v>
      </c>
      <c r="H241" s="459" t="s">
        <v>198</v>
      </c>
      <c r="I241" s="558">
        <v>46129</v>
      </c>
      <c r="J241" s="139" t="s">
        <v>139</v>
      </c>
      <c r="K241" s="398">
        <f>ROUNDUP((D241/4999.99)*10,-1)</f>
        <v>120</v>
      </c>
      <c r="L241" s="399">
        <f>IF(J241="N",0,K241)</f>
        <v>0</v>
      </c>
      <c r="M241" s="395" t="s">
        <v>1726</v>
      </c>
    </row>
    <row r="242" spans="1:33" s="609" customFormat="1" ht="180">
      <c r="A242" s="461">
        <v>21</v>
      </c>
      <c r="B242" s="604" t="s">
        <v>1623</v>
      </c>
      <c r="C242" s="606" t="s">
        <v>162</v>
      </c>
      <c r="D242" s="129">
        <f>VLOOKUP(B242,[14]AssetDetails_UEM!$A$3:$X$1848,22,FALSE)</f>
        <v>10825</v>
      </c>
      <c r="E242" s="604" t="s">
        <v>1624</v>
      </c>
      <c r="F242" s="604" t="s">
        <v>149</v>
      </c>
      <c r="G242" s="607">
        <v>46092</v>
      </c>
      <c r="H242" s="608" t="s">
        <v>1625</v>
      </c>
      <c r="I242" s="557">
        <v>46113</v>
      </c>
      <c r="J242" s="140" t="s">
        <v>139</v>
      </c>
      <c r="K242" s="404">
        <f>ROUNDUP((D242/4999.99)*10,-1)</f>
        <v>30</v>
      </c>
      <c r="L242" s="405">
        <f>IF(J242="N",0,K242)</f>
        <v>0</v>
      </c>
      <c r="M242" s="606" t="s">
        <v>1723</v>
      </c>
    </row>
    <row r="243" spans="1:33" s="406" customFormat="1" ht="147.75" customHeight="1">
      <c r="A243" s="767" t="s">
        <v>222</v>
      </c>
      <c r="B243" s="768"/>
      <c r="C243" s="768"/>
      <c r="D243" s="768"/>
      <c r="E243" s="768"/>
      <c r="F243" s="407"/>
      <c r="G243" s="408"/>
      <c r="H243" s="409"/>
      <c r="I243" s="410"/>
      <c r="J243" s="410"/>
      <c r="K243" s="151"/>
      <c r="L243" s="151"/>
      <c r="M243" s="156"/>
    </row>
    <row r="244" spans="1:33" s="406" customFormat="1" ht="250.5" customHeight="1">
      <c r="A244" s="394">
        <v>1</v>
      </c>
      <c r="B244" s="395" t="s">
        <v>229</v>
      </c>
      <c r="C244" s="401" t="s">
        <v>225</v>
      </c>
      <c r="D244" s="127">
        <f>VLOOKUP(B244,[14]AssetDetails_UEM!$A$3:$X$1848,22,FALSE)</f>
        <v>30000</v>
      </c>
      <c r="E244" s="413" t="s">
        <v>230</v>
      </c>
      <c r="F244" s="413" t="s">
        <v>224</v>
      </c>
      <c r="G244" s="454">
        <v>45807</v>
      </c>
      <c r="H244" s="458">
        <v>46086.583333333336</v>
      </c>
      <c r="I244" s="460">
        <v>46094</v>
      </c>
      <c r="J244" s="139" t="s">
        <v>139</v>
      </c>
      <c r="K244" s="398">
        <f>ROUNDUP((D244/4999.99)*10,-1)</f>
        <v>70</v>
      </c>
      <c r="L244" s="399">
        <f>IF(J244="N",0,K244)</f>
        <v>0</v>
      </c>
      <c r="M244" s="541" t="s">
        <v>519</v>
      </c>
      <c r="N244" s="542"/>
    </row>
    <row r="245" spans="1:33" s="118" customFormat="1" ht="140.25" customHeight="1">
      <c r="A245" s="394">
        <v>2</v>
      </c>
      <c r="B245" s="395" t="s">
        <v>186</v>
      </c>
      <c r="C245" s="411" t="s">
        <v>187</v>
      </c>
      <c r="D245" s="127">
        <f>VLOOKUP(B245,[14]AssetDetails_UEM!$A$3:$X$1848,22,FALSE)</f>
        <v>399000</v>
      </c>
      <c r="E245" s="412" t="s">
        <v>250</v>
      </c>
      <c r="F245" s="412" t="s">
        <v>159</v>
      </c>
      <c r="G245" s="454">
        <v>46008</v>
      </c>
      <c r="H245" s="458">
        <v>46094.479166666664</v>
      </c>
      <c r="I245" s="460">
        <v>46094</v>
      </c>
      <c r="J245" s="154" t="s">
        <v>139</v>
      </c>
      <c r="K245" s="398">
        <f>ROUNDUP((D245/4999.99)*10,-1)</f>
        <v>800</v>
      </c>
      <c r="L245" s="399">
        <f>IF(J245="N",0,K245)</f>
        <v>0</v>
      </c>
      <c r="M245" s="395" t="s">
        <v>518</v>
      </c>
      <c r="N245" s="144" t="s">
        <v>513</v>
      </c>
    </row>
    <row r="246" spans="1:33" s="118" customFormat="1" ht="114.75" customHeight="1">
      <c r="A246" s="767" t="s">
        <v>223</v>
      </c>
      <c r="B246" s="768"/>
      <c r="C246" s="768"/>
      <c r="D246" s="768"/>
      <c r="E246" s="768"/>
      <c r="F246" s="151"/>
      <c r="G246" s="152"/>
      <c r="H246" s="153"/>
      <c r="I246" s="409"/>
      <c r="J246" s="409"/>
      <c r="K246" s="151"/>
      <c r="L246" s="151"/>
      <c r="M246" s="151"/>
      <c r="N246" s="144"/>
    </row>
    <row r="247" spans="1:33" s="118" customFormat="1" ht="252">
      <c r="A247" s="394">
        <v>1</v>
      </c>
      <c r="B247" s="395" t="s">
        <v>178</v>
      </c>
      <c r="C247" s="401" t="s">
        <v>225</v>
      </c>
      <c r="D247" s="147">
        <f>VLOOKUP(B247,[14]AssetDetails_UEM!$A$3:$X$1848,22,FALSE)</f>
        <v>142000</v>
      </c>
      <c r="E247" s="413" t="s">
        <v>226</v>
      </c>
      <c r="F247" s="413" t="s">
        <v>179</v>
      </c>
      <c r="G247" s="454">
        <v>45939</v>
      </c>
      <c r="H247" s="414" t="s">
        <v>198</v>
      </c>
      <c r="I247" s="557">
        <v>46122</v>
      </c>
      <c r="J247" s="155" t="s">
        <v>139</v>
      </c>
      <c r="K247" s="398">
        <f t="shared" ref="K247:K263" si="11">ROUNDUP((D247/4999.99)*10,-1)</f>
        <v>290</v>
      </c>
      <c r="L247" s="399">
        <f t="shared" ref="L247:L263" si="12">IF(J247="N",0,K247)</f>
        <v>0</v>
      </c>
      <c r="M247" s="395" t="s">
        <v>1739</v>
      </c>
      <c r="N247" s="144"/>
    </row>
    <row r="248" spans="1:33" s="118" customFormat="1" ht="144">
      <c r="A248" s="394">
        <v>2</v>
      </c>
      <c r="B248" s="395" t="s">
        <v>227</v>
      </c>
      <c r="C248" s="401" t="s">
        <v>225</v>
      </c>
      <c r="D248" s="147">
        <f>VLOOKUP(B248,[14]AssetDetails_UEM!$A$3:$X$1848,22,FALSE)</f>
        <v>40000</v>
      </c>
      <c r="E248" s="413" t="s">
        <v>228</v>
      </c>
      <c r="F248" s="413" t="s">
        <v>224</v>
      </c>
      <c r="G248" s="454">
        <v>45707</v>
      </c>
      <c r="H248" s="397" t="s">
        <v>198</v>
      </c>
      <c r="I248" s="557">
        <v>46122</v>
      </c>
      <c r="J248" s="139" t="s">
        <v>139</v>
      </c>
      <c r="K248" s="398">
        <f t="shared" si="11"/>
        <v>90</v>
      </c>
      <c r="L248" s="399">
        <f t="shared" si="12"/>
        <v>0</v>
      </c>
      <c r="M248" s="395" t="s">
        <v>1740</v>
      </c>
      <c r="N248" s="144"/>
    </row>
    <row r="249" spans="1:33" s="118" customFormat="1" ht="144">
      <c r="A249" s="394">
        <v>3</v>
      </c>
      <c r="B249" s="395" t="s">
        <v>231</v>
      </c>
      <c r="C249" s="401" t="s">
        <v>225</v>
      </c>
      <c r="D249" s="147">
        <f>VLOOKUP(B249,[14]AssetDetails_UEM!$A$3:$X$1848,22,FALSE)</f>
        <v>40000</v>
      </c>
      <c r="E249" s="413" t="s">
        <v>232</v>
      </c>
      <c r="F249" s="413" t="s">
        <v>224</v>
      </c>
      <c r="G249" s="454">
        <v>45898</v>
      </c>
      <c r="H249" s="150" t="s">
        <v>198</v>
      </c>
      <c r="I249" s="557">
        <v>46122</v>
      </c>
      <c r="J249" s="139" t="s">
        <v>139</v>
      </c>
      <c r="K249" s="398">
        <f t="shared" si="11"/>
        <v>90</v>
      </c>
      <c r="L249" s="399">
        <f t="shared" si="12"/>
        <v>0</v>
      </c>
      <c r="M249" s="395" t="s">
        <v>1741</v>
      </c>
      <c r="N249" s="144"/>
    </row>
    <row r="250" spans="1:33" s="406" customFormat="1" ht="108">
      <c r="A250" s="394">
        <v>4</v>
      </c>
      <c r="B250" s="395" t="s">
        <v>233</v>
      </c>
      <c r="C250" s="401" t="s">
        <v>225</v>
      </c>
      <c r="D250" s="147">
        <f>VLOOKUP(B250,[14]AssetDetails_UEM!$A$3:$X$1848,22,FALSE)</f>
        <v>40000</v>
      </c>
      <c r="E250" s="413" t="s">
        <v>234</v>
      </c>
      <c r="F250" s="413" t="s">
        <v>224</v>
      </c>
      <c r="G250" s="454">
        <v>45898</v>
      </c>
      <c r="H250" s="150" t="s">
        <v>198</v>
      </c>
      <c r="I250" s="557">
        <v>46122</v>
      </c>
      <c r="J250" s="154" t="s">
        <v>139</v>
      </c>
      <c r="K250" s="398">
        <f t="shared" si="11"/>
        <v>90</v>
      </c>
      <c r="L250" s="399">
        <f t="shared" si="12"/>
        <v>0</v>
      </c>
      <c r="M250" s="395" t="s">
        <v>1742</v>
      </c>
    </row>
    <row r="251" spans="1:33" s="406" customFormat="1" ht="144">
      <c r="A251" s="394">
        <v>5</v>
      </c>
      <c r="B251" s="395" t="s">
        <v>235</v>
      </c>
      <c r="C251" s="401" t="s">
        <v>225</v>
      </c>
      <c r="D251" s="147">
        <f>VLOOKUP(B251,[14]AssetDetails_UEM!$A$3:$X$1848,22,FALSE)</f>
        <v>40000</v>
      </c>
      <c r="E251" s="413" t="s">
        <v>236</v>
      </c>
      <c r="F251" s="413" t="s">
        <v>224</v>
      </c>
      <c r="G251" s="454">
        <v>45898</v>
      </c>
      <c r="H251" s="150" t="s">
        <v>198</v>
      </c>
      <c r="I251" s="557">
        <v>46122</v>
      </c>
      <c r="J251" s="154" t="s">
        <v>139</v>
      </c>
      <c r="K251" s="398">
        <f t="shared" si="11"/>
        <v>90</v>
      </c>
      <c r="L251" s="399">
        <f t="shared" si="12"/>
        <v>0</v>
      </c>
      <c r="M251" s="395" t="s">
        <v>1740</v>
      </c>
    </row>
    <row r="252" spans="1:33" s="118" customFormat="1" ht="149.5" customHeight="1">
      <c r="A252" s="394">
        <v>6</v>
      </c>
      <c r="B252" s="395" t="s">
        <v>237</v>
      </c>
      <c r="C252" s="401" t="s">
        <v>225</v>
      </c>
      <c r="D252" s="147">
        <f>VLOOKUP(B252,[14]AssetDetails_UEM!$A$3:$X$1848,22,FALSE)</f>
        <v>40000</v>
      </c>
      <c r="E252" s="413" t="s">
        <v>238</v>
      </c>
      <c r="F252" s="413" t="s">
        <v>224</v>
      </c>
      <c r="G252" s="454">
        <v>45665</v>
      </c>
      <c r="H252" s="150" t="s">
        <v>198</v>
      </c>
      <c r="I252" s="557">
        <v>46122</v>
      </c>
      <c r="J252" s="154" t="s">
        <v>139</v>
      </c>
      <c r="K252" s="398">
        <f t="shared" si="11"/>
        <v>90</v>
      </c>
      <c r="L252" s="399">
        <f t="shared" si="12"/>
        <v>0</v>
      </c>
      <c r="M252" s="395" t="s">
        <v>1740</v>
      </c>
      <c r="N252" s="144"/>
      <c r="AG252" s="118" t="s">
        <v>1684</v>
      </c>
    </row>
    <row r="253" spans="1:33" s="406" customFormat="1" ht="158.15" customHeight="1">
      <c r="A253" s="394">
        <v>7</v>
      </c>
      <c r="B253" s="395" t="s">
        <v>239</v>
      </c>
      <c r="C253" s="401" t="s">
        <v>225</v>
      </c>
      <c r="D253" s="147">
        <f>VLOOKUP(B253,[14]AssetDetails_UEM!$A$3:$X$1848,22,FALSE)</f>
        <v>100000</v>
      </c>
      <c r="E253" s="413" t="s">
        <v>240</v>
      </c>
      <c r="F253" s="413" t="s">
        <v>224</v>
      </c>
      <c r="G253" s="454">
        <v>45911</v>
      </c>
      <c r="H253" s="150" t="s">
        <v>198</v>
      </c>
      <c r="I253" s="557">
        <v>46122</v>
      </c>
      <c r="J253" s="154" t="s">
        <v>139</v>
      </c>
      <c r="K253" s="398">
        <f t="shared" si="11"/>
        <v>210</v>
      </c>
      <c r="L253" s="399">
        <f t="shared" si="12"/>
        <v>0</v>
      </c>
      <c r="M253" s="395" t="s">
        <v>1740</v>
      </c>
    </row>
    <row r="254" spans="1:33" s="118" customFormat="1" ht="144">
      <c r="A254" s="394">
        <v>8</v>
      </c>
      <c r="B254" s="395" t="s">
        <v>241</v>
      </c>
      <c r="C254" s="401" t="s">
        <v>225</v>
      </c>
      <c r="D254" s="147">
        <f>VLOOKUP(B254,[14]AssetDetails_UEM!$A$3:$X$1848,22,FALSE)</f>
        <v>100000</v>
      </c>
      <c r="E254" s="413" t="s">
        <v>242</v>
      </c>
      <c r="F254" s="413" t="s">
        <v>224</v>
      </c>
      <c r="G254" s="454">
        <v>45918</v>
      </c>
      <c r="H254" s="150" t="s">
        <v>198</v>
      </c>
      <c r="I254" s="557">
        <v>46122</v>
      </c>
      <c r="J254" s="154" t="s">
        <v>139</v>
      </c>
      <c r="K254" s="398">
        <f t="shared" si="11"/>
        <v>210</v>
      </c>
      <c r="L254" s="399">
        <f t="shared" si="12"/>
        <v>0</v>
      </c>
      <c r="M254" s="395" t="s">
        <v>1740</v>
      </c>
      <c r="N254" s="144"/>
    </row>
    <row r="255" spans="1:33" s="118" customFormat="1" ht="142.5" customHeight="1">
      <c r="A255" s="394">
        <v>9</v>
      </c>
      <c r="B255" s="395" t="s">
        <v>243</v>
      </c>
      <c r="C255" s="411" t="s">
        <v>225</v>
      </c>
      <c r="D255" s="147">
        <f>VLOOKUP(B255,[14]AssetDetails_UEM!$A$3:$X$1848,22,FALSE)</f>
        <v>500000</v>
      </c>
      <c r="E255" s="412" t="s">
        <v>244</v>
      </c>
      <c r="F255" s="412" t="s">
        <v>224</v>
      </c>
      <c r="G255" s="454">
        <v>45918</v>
      </c>
      <c r="H255" s="150" t="s">
        <v>198</v>
      </c>
      <c r="I255" s="557">
        <v>46122</v>
      </c>
      <c r="J255" s="154" t="s">
        <v>139</v>
      </c>
      <c r="K255" s="398">
        <f t="shared" si="11"/>
        <v>1010</v>
      </c>
      <c r="L255" s="399">
        <f t="shared" si="12"/>
        <v>0</v>
      </c>
      <c r="M255" s="395" t="s">
        <v>1740</v>
      </c>
      <c r="N255" s="144"/>
    </row>
    <row r="256" spans="1:33" s="118" customFormat="1" ht="180" customHeight="1">
      <c r="A256" s="394">
        <v>10</v>
      </c>
      <c r="B256" s="395" t="s">
        <v>245</v>
      </c>
      <c r="C256" s="411" t="s">
        <v>225</v>
      </c>
      <c r="D256" s="147">
        <f>VLOOKUP(B256,[14]AssetDetails_UEM!$A$3:$X$1848,22,FALSE)</f>
        <v>100000</v>
      </c>
      <c r="E256" s="412" t="s">
        <v>246</v>
      </c>
      <c r="F256" s="412" t="s">
        <v>224</v>
      </c>
      <c r="G256" s="454">
        <v>45918</v>
      </c>
      <c r="H256" s="150" t="s">
        <v>198</v>
      </c>
      <c r="I256" s="557">
        <v>46122</v>
      </c>
      <c r="J256" s="154" t="s">
        <v>139</v>
      </c>
      <c r="K256" s="398">
        <f t="shared" si="11"/>
        <v>210</v>
      </c>
      <c r="L256" s="399">
        <f t="shared" si="12"/>
        <v>0</v>
      </c>
      <c r="M256" s="395" t="s">
        <v>1740</v>
      </c>
      <c r="N256" s="144"/>
    </row>
    <row r="257" spans="1:14" s="605" customFormat="1" ht="296" customHeight="1">
      <c r="A257" s="461">
        <v>11</v>
      </c>
      <c r="B257" s="402" t="s">
        <v>248</v>
      </c>
      <c r="C257" s="583" t="s">
        <v>225</v>
      </c>
      <c r="D257" s="611">
        <f>VLOOKUP(B257,[14]AssetDetails_UEM!$A$3:$X$1848,22,FALSE)</f>
        <v>117000</v>
      </c>
      <c r="E257" s="584" t="s">
        <v>249</v>
      </c>
      <c r="F257" s="584" t="s">
        <v>218</v>
      </c>
      <c r="G257" s="556">
        <v>45996</v>
      </c>
      <c r="H257" s="585" t="s">
        <v>198</v>
      </c>
      <c r="I257" s="403">
        <v>46094</v>
      </c>
      <c r="J257" s="586" t="s">
        <v>139</v>
      </c>
      <c r="K257" s="404">
        <f t="shared" si="11"/>
        <v>240</v>
      </c>
      <c r="L257" s="405">
        <f t="shared" si="12"/>
        <v>0</v>
      </c>
      <c r="M257" s="402" t="s">
        <v>514</v>
      </c>
      <c r="N257" s="157"/>
    </row>
    <row r="258" spans="1:14" s="118" customFormat="1" ht="108">
      <c r="A258" s="394">
        <v>12</v>
      </c>
      <c r="B258" s="395" t="s">
        <v>493</v>
      </c>
      <c r="C258" s="395" t="s">
        <v>494</v>
      </c>
      <c r="D258" s="127">
        <f>VLOOKUP(B258,[14]AssetDetails_UEM!$A$3:$X$1848,22,FALSE)</f>
        <v>6810</v>
      </c>
      <c r="E258" s="394" t="s">
        <v>495</v>
      </c>
      <c r="F258" s="394" t="s">
        <v>224</v>
      </c>
      <c r="G258" s="454">
        <v>46066</v>
      </c>
      <c r="H258" s="459" t="s">
        <v>198</v>
      </c>
      <c r="I258" s="557">
        <v>46129</v>
      </c>
      <c r="J258" s="139" t="s">
        <v>139</v>
      </c>
      <c r="K258" s="398">
        <f t="shared" si="11"/>
        <v>20</v>
      </c>
      <c r="L258" s="399">
        <f t="shared" si="12"/>
        <v>0</v>
      </c>
      <c r="M258" s="395" t="s">
        <v>1728</v>
      </c>
      <c r="N258" s="144"/>
    </row>
    <row r="259" spans="1:14" s="118" customFormat="1" ht="144">
      <c r="A259" s="394">
        <v>13</v>
      </c>
      <c r="B259" s="395" t="s">
        <v>468</v>
      </c>
      <c r="C259" s="395" t="s">
        <v>479</v>
      </c>
      <c r="D259" s="127">
        <f>VLOOKUP(B259,[14]AssetDetails_UEM!$A$3:$X$1848,22,FALSE)</f>
        <v>100000</v>
      </c>
      <c r="E259" s="394" t="s">
        <v>485</v>
      </c>
      <c r="F259" s="394" t="s">
        <v>447</v>
      </c>
      <c r="G259" s="454">
        <v>46066</v>
      </c>
      <c r="H259" s="459" t="s">
        <v>198</v>
      </c>
      <c r="I259" s="557">
        <v>46129</v>
      </c>
      <c r="J259" s="139" t="s">
        <v>139</v>
      </c>
      <c r="K259" s="398">
        <f t="shared" si="11"/>
        <v>210</v>
      </c>
      <c r="L259" s="399">
        <f t="shared" si="12"/>
        <v>0</v>
      </c>
      <c r="M259" s="395" t="s">
        <v>1729</v>
      </c>
      <c r="N259" s="144"/>
    </row>
    <row r="260" spans="1:14" s="118" customFormat="1" ht="144">
      <c r="A260" s="394">
        <v>14</v>
      </c>
      <c r="B260" s="395" t="s">
        <v>469</v>
      </c>
      <c r="C260" s="395" t="s">
        <v>479</v>
      </c>
      <c r="D260" s="127">
        <f>VLOOKUP(B260,[14]AssetDetails_UEM!$A$3:$X$1848,22,FALSE)</f>
        <v>100000</v>
      </c>
      <c r="E260" s="394" t="s">
        <v>486</v>
      </c>
      <c r="F260" s="394" t="s">
        <v>442</v>
      </c>
      <c r="G260" s="454">
        <v>46066</v>
      </c>
      <c r="H260" s="459" t="s">
        <v>198</v>
      </c>
      <c r="I260" s="557">
        <v>46129</v>
      </c>
      <c r="J260" s="139" t="s">
        <v>139</v>
      </c>
      <c r="K260" s="398">
        <f t="shared" si="11"/>
        <v>210</v>
      </c>
      <c r="L260" s="399">
        <f t="shared" si="12"/>
        <v>0</v>
      </c>
      <c r="M260" s="395" t="s">
        <v>1729</v>
      </c>
      <c r="N260" s="144"/>
    </row>
    <row r="261" spans="1:14" s="406" customFormat="1" ht="120.5" customHeight="1">
      <c r="A261" s="394">
        <v>15</v>
      </c>
      <c r="B261" s="395" t="s">
        <v>235</v>
      </c>
      <c r="C261" s="395" t="s">
        <v>225</v>
      </c>
      <c r="D261" s="127">
        <f>VLOOKUP(B261,[14]AssetDetails_UEM!$A$3:$X$1848,22,FALSE)</f>
        <v>40000</v>
      </c>
      <c r="E261" s="394" t="s">
        <v>487</v>
      </c>
      <c r="F261" s="394" t="s">
        <v>224</v>
      </c>
      <c r="G261" s="454" t="s">
        <v>491</v>
      </c>
      <c r="H261" s="459" t="s">
        <v>198</v>
      </c>
      <c r="I261" s="557">
        <v>46126</v>
      </c>
      <c r="J261" s="139" t="s">
        <v>139</v>
      </c>
      <c r="K261" s="398">
        <f t="shared" si="11"/>
        <v>90</v>
      </c>
      <c r="L261" s="399">
        <f t="shared" si="12"/>
        <v>0</v>
      </c>
      <c r="M261" s="402" t="s">
        <v>496</v>
      </c>
    </row>
    <row r="262" spans="1:14" s="406" customFormat="1" ht="120.5" customHeight="1">
      <c r="A262" s="394">
        <v>16</v>
      </c>
      <c r="B262" s="395" t="s">
        <v>470</v>
      </c>
      <c r="C262" s="395" t="s">
        <v>225</v>
      </c>
      <c r="D262" s="127">
        <f>VLOOKUP(B262,[14]AssetDetails_UEM!$A$3:$X$1848,22,FALSE)</f>
        <v>48000</v>
      </c>
      <c r="E262" s="394" t="s">
        <v>488</v>
      </c>
      <c r="F262" s="394" t="s">
        <v>224</v>
      </c>
      <c r="G262" s="454" t="s">
        <v>490</v>
      </c>
      <c r="H262" s="459" t="s">
        <v>198</v>
      </c>
      <c r="I262" s="557">
        <v>46122</v>
      </c>
      <c r="J262" s="139" t="s">
        <v>139</v>
      </c>
      <c r="K262" s="398">
        <f t="shared" si="11"/>
        <v>100</v>
      </c>
      <c r="L262" s="399">
        <f t="shared" si="12"/>
        <v>0</v>
      </c>
      <c r="M262" s="402" t="s">
        <v>496</v>
      </c>
    </row>
    <row r="263" spans="1:14" s="406" customFormat="1" ht="120.5" customHeight="1">
      <c r="A263" s="394">
        <v>17</v>
      </c>
      <c r="B263" s="395" t="s">
        <v>471</v>
      </c>
      <c r="C263" s="395" t="s">
        <v>225</v>
      </c>
      <c r="D263" s="127">
        <f>VLOOKUP(B263,[14]AssetDetails_UEM!$A$3:$X$1848,22,FALSE)</f>
        <v>40000</v>
      </c>
      <c r="E263" s="394" t="s">
        <v>489</v>
      </c>
      <c r="F263" s="394" t="s">
        <v>224</v>
      </c>
      <c r="G263" s="454" t="s">
        <v>492</v>
      </c>
      <c r="H263" s="459" t="s">
        <v>198</v>
      </c>
      <c r="I263" s="557">
        <v>46128</v>
      </c>
      <c r="J263" s="139" t="s">
        <v>139</v>
      </c>
      <c r="K263" s="398">
        <f t="shared" si="11"/>
        <v>90</v>
      </c>
      <c r="L263" s="399">
        <f t="shared" si="12"/>
        <v>0</v>
      </c>
      <c r="M263" s="402" t="s">
        <v>496</v>
      </c>
    </row>
    <row r="264" spans="1:14" s="118" customFormat="1" ht="151.5" customHeight="1">
      <c r="A264" s="415"/>
      <c r="B264" s="416"/>
      <c r="C264" s="416"/>
      <c r="D264" s="148"/>
      <c r="E264" s="415"/>
      <c r="F264" s="415"/>
      <c r="G264" s="769" t="s">
        <v>251</v>
      </c>
      <c r="H264" s="769"/>
      <c r="I264" s="769"/>
      <c r="J264" s="769"/>
      <c r="K264" s="770"/>
      <c r="L264" s="417">
        <f>SUM(L222:L263)</f>
        <v>440</v>
      </c>
      <c r="M264" s="416"/>
      <c r="N264" s="144"/>
    </row>
    <row r="265" spans="1:14" s="118" customFormat="1" ht="138.75" customHeight="1">
      <c r="A265" s="355"/>
      <c r="B265" s="418"/>
      <c r="C265" s="419"/>
      <c r="D265" s="388"/>
      <c r="E265" s="388"/>
      <c r="F265" s="388"/>
      <c r="G265" s="420"/>
      <c r="H265" s="421"/>
      <c r="I265" s="421"/>
      <c r="J265" s="421"/>
      <c r="K265" s="422"/>
      <c r="L265" s="422"/>
      <c r="M265" s="423"/>
      <c r="N265" s="144"/>
    </row>
    <row r="266" spans="1:14" s="118" customFormat="1" ht="151.5" customHeight="1">
      <c r="A266" s="355"/>
      <c r="B266" s="418"/>
      <c r="C266" s="419"/>
      <c r="D266" s="388"/>
      <c r="E266" s="388"/>
      <c r="F266" s="388"/>
      <c r="G266" s="420"/>
      <c r="H266" s="421"/>
      <c r="I266" s="421"/>
      <c r="J266" s="421"/>
      <c r="K266" s="422"/>
      <c r="L266" s="422"/>
      <c r="M266" s="423"/>
      <c r="N266" s="144"/>
    </row>
    <row r="267" spans="1:14" s="118" customFormat="1" ht="135" customHeight="1">
      <c r="A267" s="355"/>
      <c r="B267" s="418"/>
      <c r="C267" s="419"/>
      <c r="D267" s="388"/>
      <c r="E267" s="388"/>
      <c r="F267" s="388"/>
      <c r="G267" s="420"/>
      <c r="H267" s="421"/>
      <c r="I267" s="421"/>
      <c r="J267" s="421"/>
      <c r="K267" s="422"/>
      <c r="L267" s="422"/>
      <c r="M267" s="423"/>
      <c r="N267" s="144"/>
    </row>
    <row r="268" spans="1:14" s="118" customFormat="1" ht="112.5" customHeight="1">
      <c r="A268" s="355"/>
      <c r="B268" s="418"/>
      <c r="C268" s="419"/>
      <c r="D268" s="388"/>
      <c r="E268" s="388"/>
      <c r="F268" s="388"/>
      <c r="G268" s="420"/>
      <c r="H268" s="421"/>
      <c r="I268" s="421"/>
      <c r="J268" s="421"/>
      <c r="K268" s="422"/>
      <c r="L268" s="422"/>
      <c r="M268" s="423"/>
      <c r="N268" s="144"/>
    </row>
    <row r="269" spans="1:14" s="118" customFormat="1" ht="87.75" customHeight="1">
      <c r="A269" s="355"/>
      <c r="B269" s="418"/>
      <c r="C269" s="419"/>
      <c r="D269" s="388"/>
      <c r="E269" s="388"/>
      <c r="F269" s="388"/>
      <c r="G269" s="420"/>
      <c r="H269" s="421"/>
      <c r="I269" s="421"/>
      <c r="J269" s="421"/>
      <c r="K269" s="422"/>
      <c r="L269" s="422"/>
      <c r="M269" s="423"/>
      <c r="N269" s="144"/>
    </row>
    <row r="270" spans="1:14" s="118" customFormat="1" ht="74.150000000000006" customHeight="1">
      <c r="A270" s="355"/>
      <c r="B270" s="418"/>
      <c r="C270" s="419"/>
      <c r="D270" s="388"/>
      <c r="E270" s="388"/>
      <c r="F270" s="388"/>
      <c r="G270" s="420"/>
      <c r="H270" s="421"/>
      <c r="I270" s="421"/>
      <c r="J270" s="421"/>
      <c r="K270" s="422"/>
      <c r="L270" s="422"/>
      <c r="M270" s="423"/>
      <c r="N270" s="157"/>
    </row>
    <row r="271" spans="1:14" s="118" customFormat="1" ht="74.150000000000006" customHeight="1">
      <c r="A271" s="355"/>
      <c r="B271" s="418"/>
      <c r="C271" s="419"/>
      <c r="D271" s="388"/>
      <c r="E271" s="388"/>
      <c r="F271" s="388"/>
      <c r="G271" s="420"/>
      <c r="H271" s="421"/>
      <c r="I271" s="421"/>
      <c r="J271" s="421"/>
      <c r="K271" s="422"/>
      <c r="L271" s="422"/>
      <c r="M271" s="423"/>
      <c r="N271" s="157"/>
    </row>
    <row r="272" spans="1:14" s="120" customFormat="1" ht="74.150000000000006" customHeight="1">
      <c r="A272" s="355"/>
      <c r="B272" s="418"/>
      <c r="C272" s="419"/>
      <c r="D272" s="388"/>
      <c r="E272" s="388"/>
      <c r="F272" s="388"/>
      <c r="G272" s="420"/>
      <c r="H272" s="421"/>
      <c r="I272" s="421"/>
      <c r="J272" s="421"/>
      <c r="K272" s="422"/>
      <c r="L272" s="422"/>
      <c r="M272" s="423"/>
      <c r="N272" s="157"/>
    </row>
    <row r="273" spans="1:14" s="118" customFormat="1" ht="74.150000000000006" customHeight="1">
      <c r="A273" s="355"/>
      <c r="B273" s="418"/>
      <c r="C273" s="419"/>
      <c r="D273" s="388"/>
      <c r="E273" s="388"/>
      <c r="F273" s="388"/>
      <c r="G273" s="420"/>
      <c r="H273" s="421"/>
      <c r="I273" s="421"/>
      <c r="J273" s="421"/>
      <c r="K273" s="422"/>
      <c r="L273" s="422"/>
      <c r="M273" s="423"/>
      <c r="N273" s="157"/>
    </row>
    <row r="274" spans="1:14" s="118" customFormat="1" ht="74.150000000000006" customHeight="1">
      <c r="A274" s="355"/>
      <c r="B274" s="418"/>
      <c r="C274" s="419"/>
      <c r="D274" s="388"/>
      <c r="E274" s="388"/>
      <c r="F274" s="388"/>
      <c r="G274" s="420"/>
      <c r="H274" s="421"/>
      <c r="I274" s="421"/>
      <c r="J274" s="421"/>
      <c r="K274" s="422"/>
      <c r="L274" s="422"/>
      <c r="M274" s="423"/>
      <c r="N274" s="157"/>
    </row>
    <row r="275" spans="1:14" s="118" customFormat="1" ht="74.150000000000006" customHeight="1">
      <c r="A275" s="355"/>
      <c r="B275" s="418"/>
      <c r="C275" s="419"/>
      <c r="D275" s="388"/>
      <c r="E275" s="388"/>
      <c r="F275" s="388"/>
      <c r="G275" s="420"/>
      <c r="H275" s="421"/>
      <c r="I275" s="421"/>
      <c r="J275" s="421"/>
      <c r="K275" s="422"/>
      <c r="L275" s="422"/>
      <c r="M275" s="423"/>
      <c r="N275" s="157"/>
    </row>
    <row r="276" spans="1:14" s="118" customFormat="1" ht="104.15" customHeight="1">
      <c r="A276" s="355"/>
      <c r="B276" s="418"/>
      <c r="C276" s="419"/>
      <c r="D276" s="388"/>
      <c r="E276" s="388"/>
      <c r="F276" s="388"/>
      <c r="G276" s="420"/>
      <c r="H276" s="421"/>
      <c r="I276" s="421"/>
      <c r="J276" s="421"/>
      <c r="K276" s="422"/>
      <c r="L276" s="422"/>
      <c r="M276" s="423"/>
      <c r="N276" s="157"/>
    </row>
    <row r="277" spans="1:14" s="118" customFormat="1" ht="74.150000000000006" customHeight="1">
      <c r="A277" s="355"/>
      <c r="B277" s="418"/>
      <c r="C277" s="419"/>
      <c r="D277" s="388"/>
      <c r="E277" s="388"/>
      <c r="F277" s="388"/>
      <c r="G277" s="420"/>
      <c r="H277" s="421"/>
      <c r="I277" s="421"/>
      <c r="J277" s="421"/>
      <c r="K277" s="422"/>
      <c r="L277" s="422"/>
      <c r="M277" s="423"/>
      <c r="N277" s="157"/>
    </row>
    <row r="278" spans="1:14" s="118" customFormat="1" ht="74.150000000000006" customHeight="1">
      <c r="A278" s="355"/>
      <c r="B278" s="418"/>
      <c r="C278" s="419"/>
      <c r="D278" s="388"/>
      <c r="E278" s="388"/>
      <c r="F278" s="388"/>
      <c r="G278" s="420"/>
      <c r="H278" s="421"/>
      <c r="I278" s="421"/>
      <c r="J278" s="421"/>
      <c r="K278" s="422"/>
      <c r="L278" s="422"/>
      <c r="M278" s="423"/>
      <c r="N278" s="157"/>
    </row>
    <row r="279" spans="1:14" s="118" customFormat="1" ht="74.150000000000006" customHeight="1">
      <c r="A279" s="355"/>
      <c r="B279" s="418"/>
      <c r="C279" s="419"/>
      <c r="D279" s="388"/>
      <c r="E279" s="388"/>
      <c r="F279" s="388"/>
      <c r="G279" s="420"/>
      <c r="H279" s="421"/>
      <c r="I279" s="421"/>
      <c r="J279" s="421"/>
      <c r="K279" s="422"/>
      <c r="L279" s="422"/>
      <c r="M279" s="423"/>
      <c r="N279" s="157"/>
    </row>
    <row r="280" spans="1:14" s="118" customFormat="1" ht="74.150000000000006" customHeight="1">
      <c r="A280" s="355"/>
      <c r="B280" s="418"/>
      <c r="C280" s="419"/>
      <c r="D280" s="388"/>
      <c r="E280" s="388"/>
      <c r="F280" s="388"/>
      <c r="G280" s="420"/>
      <c r="H280" s="421"/>
      <c r="I280" s="421"/>
      <c r="J280" s="421"/>
      <c r="K280" s="422"/>
      <c r="L280" s="422"/>
      <c r="M280" s="423"/>
      <c r="N280" s="157"/>
    </row>
    <row r="281" spans="1:14" s="118" customFormat="1" ht="125.15" customHeight="1">
      <c r="A281" s="355"/>
      <c r="B281" s="418"/>
      <c r="C281" s="419"/>
      <c r="D281" s="388"/>
      <c r="E281" s="388"/>
      <c r="F281" s="388"/>
      <c r="G281" s="420"/>
      <c r="H281" s="421"/>
      <c r="I281" s="421"/>
      <c r="J281" s="421"/>
      <c r="K281" s="422"/>
      <c r="L281" s="422"/>
      <c r="M281" s="423"/>
      <c r="N281" s="144"/>
    </row>
    <row r="282" spans="1:14" s="118" customFormat="1" ht="74.150000000000006" customHeight="1">
      <c r="A282" s="355"/>
      <c r="B282" s="418"/>
      <c r="C282" s="419"/>
      <c r="D282" s="388"/>
      <c r="E282" s="388"/>
      <c r="F282" s="388"/>
      <c r="G282" s="420"/>
      <c r="H282" s="421"/>
      <c r="I282" s="421"/>
      <c r="J282" s="421"/>
      <c r="K282" s="422"/>
      <c r="L282" s="422"/>
      <c r="M282" s="423"/>
      <c r="N282" s="144"/>
    </row>
    <row r="283" spans="1:14" s="117" customFormat="1" ht="74.150000000000006" customHeight="1">
      <c r="A283" s="355"/>
      <c r="B283" s="418"/>
      <c r="C283" s="419"/>
      <c r="D283" s="388"/>
      <c r="E283" s="388"/>
      <c r="F283" s="388"/>
      <c r="G283" s="420"/>
      <c r="H283" s="421"/>
      <c r="I283" s="421"/>
      <c r="J283" s="421"/>
      <c r="K283" s="422"/>
      <c r="L283" s="422"/>
      <c r="M283" s="423"/>
    </row>
    <row r="284" spans="1:14" s="117" customFormat="1" ht="74.150000000000006" customHeight="1">
      <c r="A284" s="355"/>
      <c r="B284" s="418"/>
      <c r="C284" s="419"/>
      <c r="D284" s="388"/>
      <c r="E284" s="388"/>
      <c r="F284" s="388"/>
      <c r="G284" s="420"/>
      <c r="H284" s="421"/>
      <c r="I284" s="421"/>
      <c r="J284" s="421"/>
      <c r="K284" s="422"/>
      <c r="L284" s="422"/>
      <c r="M284" s="423"/>
    </row>
    <row r="285" spans="1:14" s="117" customFormat="1" ht="74.150000000000006" customHeight="1">
      <c r="A285" s="355"/>
      <c r="B285" s="418"/>
      <c r="C285" s="419"/>
      <c r="D285" s="388"/>
      <c r="E285" s="388"/>
      <c r="F285" s="388"/>
      <c r="G285" s="420"/>
      <c r="H285" s="421"/>
      <c r="I285" s="421"/>
      <c r="J285" s="421"/>
      <c r="K285" s="422"/>
      <c r="L285" s="422"/>
      <c r="M285" s="423"/>
    </row>
    <row r="286" spans="1:14" s="117" customFormat="1" ht="74.150000000000006" customHeight="1">
      <c r="A286" s="355"/>
      <c r="B286" s="418"/>
      <c r="C286" s="419"/>
      <c r="D286" s="388"/>
      <c r="E286" s="388"/>
      <c r="F286" s="388"/>
      <c r="G286" s="420"/>
      <c r="H286" s="421"/>
      <c r="I286" s="421"/>
      <c r="J286" s="421"/>
      <c r="K286" s="422"/>
      <c r="L286" s="422"/>
      <c r="M286" s="423"/>
    </row>
    <row r="287" spans="1:14" s="117" customFormat="1" ht="74.150000000000006" customHeight="1">
      <c r="A287" s="355"/>
      <c r="B287" s="418"/>
      <c r="C287" s="419"/>
      <c r="D287" s="388"/>
      <c r="E287" s="388"/>
      <c r="F287" s="388"/>
      <c r="G287" s="420"/>
      <c r="H287" s="421"/>
      <c r="I287" s="421"/>
      <c r="J287" s="421"/>
      <c r="K287" s="422"/>
      <c r="L287" s="422"/>
      <c r="M287" s="423"/>
    </row>
    <row r="288" spans="1:14" s="117" customFormat="1" ht="74.150000000000006" customHeight="1">
      <c r="A288" s="355"/>
      <c r="B288" s="418"/>
      <c r="C288" s="419"/>
      <c r="D288" s="388"/>
      <c r="E288" s="388"/>
      <c r="F288" s="388"/>
      <c r="G288" s="420"/>
      <c r="H288" s="421"/>
      <c r="I288" s="421"/>
      <c r="J288" s="421"/>
      <c r="K288" s="422"/>
      <c r="L288" s="422"/>
      <c r="M288" s="423"/>
    </row>
    <row r="289" spans="1:13" s="117" customFormat="1" ht="74.150000000000006" customHeight="1">
      <c r="A289" s="355"/>
      <c r="B289" s="418"/>
      <c r="C289" s="419"/>
      <c r="D289" s="388"/>
      <c r="E289" s="388"/>
      <c r="F289" s="388"/>
      <c r="G289" s="420"/>
      <c r="H289" s="421"/>
      <c r="I289" s="421"/>
      <c r="J289" s="421"/>
      <c r="K289" s="422"/>
      <c r="L289" s="422"/>
      <c r="M289" s="423"/>
    </row>
    <row r="290" spans="1:13" s="117" customFormat="1" ht="74.150000000000006" customHeight="1">
      <c r="A290" s="355"/>
      <c r="B290" s="418"/>
      <c r="C290" s="419"/>
      <c r="D290" s="388"/>
      <c r="E290" s="388"/>
      <c r="F290" s="388"/>
      <c r="G290" s="420"/>
      <c r="H290" s="421"/>
      <c r="I290" s="421"/>
      <c r="J290" s="421"/>
      <c r="K290" s="422"/>
      <c r="L290" s="422"/>
      <c r="M290" s="423"/>
    </row>
    <row r="291" spans="1:13" s="117" customFormat="1" ht="74.150000000000006" customHeight="1">
      <c r="A291" s="355"/>
      <c r="B291" s="418"/>
      <c r="C291" s="419"/>
      <c r="D291" s="388"/>
      <c r="E291" s="388"/>
      <c r="F291" s="388"/>
      <c r="G291" s="420"/>
      <c r="H291" s="421"/>
      <c r="I291" s="421"/>
      <c r="J291" s="421"/>
      <c r="K291" s="422"/>
      <c r="L291" s="422"/>
      <c r="M291" s="423"/>
    </row>
    <row r="292" spans="1:13" s="117" customFormat="1" ht="74.150000000000006" customHeight="1">
      <c r="A292" s="355"/>
      <c r="B292" s="418"/>
      <c r="C292" s="419"/>
      <c r="D292" s="388"/>
      <c r="E292" s="388"/>
      <c r="F292" s="388"/>
      <c r="G292" s="420"/>
      <c r="H292" s="421"/>
      <c r="I292" s="421"/>
      <c r="J292" s="421"/>
      <c r="K292" s="422"/>
      <c r="L292" s="422"/>
      <c r="M292" s="423"/>
    </row>
    <row r="293" spans="1:13" s="117" customFormat="1" ht="74.150000000000006" customHeight="1">
      <c r="A293" s="355"/>
      <c r="B293" s="418"/>
      <c r="C293" s="419"/>
      <c r="D293" s="388"/>
      <c r="E293" s="388"/>
      <c r="F293" s="388"/>
      <c r="G293" s="420"/>
      <c r="H293" s="421"/>
      <c r="I293" s="421"/>
      <c r="J293" s="421"/>
      <c r="K293" s="422"/>
      <c r="L293" s="422"/>
      <c r="M293" s="423"/>
    </row>
    <row r="294" spans="1:13" s="117" customFormat="1" ht="74.150000000000006" customHeight="1">
      <c r="A294" s="355"/>
      <c r="B294" s="418"/>
      <c r="C294" s="419"/>
      <c r="D294" s="388"/>
      <c r="E294" s="388"/>
      <c r="F294" s="388"/>
      <c r="G294" s="420"/>
      <c r="H294" s="421"/>
      <c r="I294" s="421"/>
      <c r="J294" s="421"/>
      <c r="K294" s="422"/>
      <c r="L294" s="422"/>
      <c r="M294" s="423"/>
    </row>
    <row r="295" spans="1:13" s="117" customFormat="1" ht="74.150000000000006" customHeight="1">
      <c r="A295" s="355"/>
      <c r="B295" s="418"/>
      <c r="C295" s="419"/>
      <c r="D295" s="388"/>
      <c r="E295" s="388"/>
      <c r="F295" s="388"/>
      <c r="G295" s="420"/>
      <c r="H295" s="421"/>
      <c r="I295" s="421"/>
      <c r="J295" s="421"/>
      <c r="K295" s="422"/>
      <c r="L295" s="422"/>
      <c r="M295" s="423"/>
    </row>
    <row r="296" spans="1:13" s="117" customFormat="1" ht="74.150000000000006" customHeight="1">
      <c r="A296" s="355"/>
      <c r="B296" s="418"/>
      <c r="C296" s="419"/>
      <c r="D296" s="388"/>
      <c r="E296" s="388"/>
      <c r="F296" s="388"/>
      <c r="G296" s="420"/>
      <c r="H296" s="421"/>
      <c r="I296" s="421"/>
      <c r="J296" s="421"/>
      <c r="K296" s="422"/>
      <c r="L296" s="422"/>
      <c r="M296" s="423"/>
    </row>
    <row r="297" spans="1:13" s="117" customFormat="1" ht="74.150000000000006" customHeight="1">
      <c r="A297" s="355"/>
      <c r="B297" s="418"/>
      <c r="C297" s="419"/>
      <c r="D297" s="388"/>
      <c r="E297" s="388"/>
      <c r="F297" s="388"/>
      <c r="G297" s="420"/>
      <c r="H297" s="421"/>
      <c r="I297" s="421"/>
      <c r="J297" s="421"/>
      <c r="K297" s="422"/>
      <c r="L297" s="422"/>
      <c r="M297" s="423"/>
    </row>
    <row r="298" spans="1:13" s="117" customFormat="1" ht="74.150000000000006" customHeight="1">
      <c r="A298" s="355"/>
      <c r="B298" s="418"/>
      <c r="C298" s="419"/>
      <c r="D298" s="388"/>
      <c r="E298" s="388"/>
      <c r="F298" s="388"/>
      <c r="G298" s="420"/>
      <c r="H298" s="421"/>
      <c r="I298" s="421"/>
      <c r="J298" s="421"/>
      <c r="K298" s="422"/>
      <c r="L298" s="422"/>
      <c r="M298" s="423"/>
    </row>
    <row r="299" spans="1:13" s="117" customFormat="1" ht="74.150000000000006" customHeight="1">
      <c r="A299" s="355"/>
      <c r="B299" s="418"/>
      <c r="C299" s="419"/>
      <c r="D299" s="388"/>
      <c r="E299" s="388"/>
      <c r="F299" s="388"/>
      <c r="G299" s="420"/>
      <c r="H299" s="421"/>
      <c r="I299" s="421"/>
      <c r="J299" s="421"/>
      <c r="K299" s="422"/>
      <c r="L299" s="422"/>
      <c r="M299" s="423"/>
    </row>
    <row r="300" spans="1:13" s="117" customFormat="1" ht="74.150000000000006" customHeight="1">
      <c r="A300" s="355"/>
      <c r="B300" s="418"/>
      <c r="C300" s="419"/>
      <c r="D300" s="388"/>
      <c r="E300" s="388"/>
      <c r="F300" s="388"/>
      <c r="G300" s="420"/>
      <c r="H300" s="421"/>
      <c r="I300" s="421"/>
      <c r="J300" s="421"/>
      <c r="K300" s="422"/>
      <c r="L300" s="422"/>
      <c r="M300" s="423"/>
    </row>
    <row r="301" spans="1:13" s="117" customFormat="1" ht="74.150000000000006" customHeight="1">
      <c r="A301" s="355"/>
      <c r="B301" s="418"/>
      <c r="C301" s="419"/>
      <c r="D301" s="388"/>
      <c r="E301" s="388"/>
      <c r="F301" s="388"/>
      <c r="G301" s="420"/>
      <c r="H301" s="421"/>
      <c r="I301" s="421"/>
      <c r="J301" s="421"/>
      <c r="K301" s="422"/>
      <c r="L301" s="422"/>
      <c r="M301" s="423"/>
    </row>
    <row r="302" spans="1:13" s="117" customFormat="1" ht="74.150000000000006" customHeight="1">
      <c r="A302" s="355"/>
      <c r="B302" s="418"/>
      <c r="C302" s="419"/>
      <c r="D302" s="388"/>
      <c r="E302" s="388"/>
      <c r="F302" s="388"/>
      <c r="G302" s="420"/>
      <c r="H302" s="421"/>
      <c r="I302" s="421"/>
      <c r="J302" s="421"/>
      <c r="K302" s="422"/>
      <c r="L302" s="422"/>
      <c r="M302" s="423"/>
    </row>
    <row r="303" spans="1:13" s="117" customFormat="1" ht="74.150000000000006" customHeight="1">
      <c r="A303" s="355"/>
      <c r="B303" s="418"/>
      <c r="C303" s="419"/>
      <c r="D303" s="388"/>
      <c r="E303" s="388"/>
      <c r="F303" s="388"/>
      <c r="G303" s="420"/>
      <c r="H303" s="421"/>
      <c r="I303" s="421"/>
      <c r="J303" s="421"/>
      <c r="K303" s="422"/>
      <c r="L303" s="422"/>
      <c r="M303" s="423"/>
    </row>
    <row r="304" spans="1:13" s="117" customFormat="1" ht="74.150000000000006" customHeight="1">
      <c r="A304" s="355"/>
      <c r="B304" s="418"/>
      <c r="C304" s="419"/>
      <c r="D304" s="388"/>
      <c r="E304" s="388"/>
      <c r="F304" s="388"/>
      <c r="G304" s="420"/>
      <c r="H304" s="421"/>
      <c r="I304" s="421"/>
      <c r="J304" s="421"/>
      <c r="K304" s="422"/>
      <c r="L304" s="422"/>
      <c r="M304" s="423"/>
    </row>
    <row r="305" spans="1:14" s="117" customFormat="1" ht="74.150000000000006" customHeight="1">
      <c r="A305" s="355"/>
      <c r="B305" s="418"/>
      <c r="C305" s="419"/>
      <c r="D305" s="388"/>
      <c r="E305" s="388"/>
      <c r="F305" s="388"/>
      <c r="G305" s="420"/>
      <c r="H305" s="421"/>
      <c r="I305" s="421"/>
      <c r="J305" s="421"/>
      <c r="K305" s="422"/>
      <c r="L305" s="422"/>
      <c r="M305" s="423"/>
    </row>
    <row r="306" spans="1:14" s="117" customFormat="1" ht="74.150000000000006" customHeight="1">
      <c r="A306" s="355"/>
      <c r="B306" s="418"/>
      <c r="C306" s="419"/>
      <c r="D306" s="388"/>
      <c r="E306" s="388"/>
      <c r="F306" s="388"/>
      <c r="G306" s="420"/>
      <c r="H306" s="421"/>
      <c r="I306" s="421"/>
      <c r="J306" s="421"/>
      <c r="K306" s="422"/>
      <c r="L306" s="422"/>
      <c r="M306" s="423"/>
    </row>
    <row r="307" spans="1:14" s="117" customFormat="1" ht="74.150000000000006" customHeight="1">
      <c r="A307" s="355"/>
      <c r="B307" s="418"/>
      <c r="C307" s="419"/>
      <c r="D307" s="388"/>
      <c r="E307" s="388"/>
      <c r="F307" s="388"/>
      <c r="G307" s="420"/>
      <c r="H307" s="421"/>
      <c r="I307" s="421"/>
      <c r="J307" s="421"/>
      <c r="K307" s="422"/>
      <c r="L307" s="422"/>
      <c r="M307" s="423"/>
    </row>
    <row r="308" spans="1:14" s="117" customFormat="1" ht="74.150000000000006" customHeight="1">
      <c r="A308" s="355"/>
      <c r="B308" s="418"/>
      <c r="C308" s="419"/>
      <c r="D308" s="388"/>
      <c r="E308" s="388"/>
      <c r="F308" s="388"/>
      <c r="G308" s="420"/>
      <c r="H308" s="421"/>
      <c r="I308" s="421"/>
      <c r="J308" s="421"/>
      <c r="K308" s="422"/>
      <c r="L308" s="422"/>
      <c r="M308" s="423"/>
    </row>
    <row r="309" spans="1:14" s="117" customFormat="1" ht="74.150000000000006" customHeight="1">
      <c r="A309" s="355"/>
      <c r="B309" s="418"/>
      <c r="C309" s="419"/>
      <c r="D309" s="388"/>
      <c r="E309" s="388"/>
      <c r="F309" s="388"/>
      <c r="G309" s="420"/>
      <c r="H309" s="421"/>
      <c r="I309" s="421"/>
      <c r="J309" s="421"/>
      <c r="K309" s="422"/>
      <c r="L309" s="422"/>
      <c r="M309" s="423"/>
    </row>
    <row r="310" spans="1:14" s="117" customFormat="1" ht="74.150000000000006" customHeight="1">
      <c r="A310" s="355"/>
      <c r="B310" s="418"/>
      <c r="C310" s="419"/>
      <c r="D310" s="388"/>
      <c r="E310" s="388"/>
      <c r="F310" s="388"/>
      <c r="G310" s="420"/>
      <c r="H310" s="421"/>
      <c r="I310" s="421"/>
      <c r="J310" s="421"/>
      <c r="K310" s="422"/>
      <c r="L310" s="422"/>
      <c r="M310" s="423"/>
    </row>
    <row r="311" spans="1:14" s="117" customFormat="1" ht="74.150000000000006" customHeight="1">
      <c r="A311" s="355"/>
      <c r="B311" s="418"/>
      <c r="C311" s="419"/>
      <c r="D311" s="388"/>
      <c r="E311" s="388"/>
      <c r="F311" s="388"/>
      <c r="G311" s="420"/>
      <c r="H311" s="421"/>
      <c r="I311" s="421"/>
      <c r="J311" s="421"/>
      <c r="K311" s="422"/>
      <c r="L311" s="422"/>
      <c r="M311" s="423"/>
    </row>
    <row r="312" spans="1:14" s="117" customFormat="1" ht="74.150000000000006" customHeight="1">
      <c r="A312" s="355"/>
      <c r="B312" s="418"/>
      <c r="C312" s="419"/>
      <c r="D312" s="388"/>
      <c r="E312" s="388"/>
      <c r="F312" s="388"/>
      <c r="G312" s="420"/>
      <c r="H312" s="421"/>
      <c r="I312" s="421"/>
      <c r="J312" s="421"/>
      <c r="K312" s="422"/>
      <c r="L312" s="422"/>
      <c r="M312" s="423"/>
    </row>
    <row r="313" spans="1:14" s="117" customFormat="1" ht="74.150000000000006" customHeight="1">
      <c r="A313" s="355"/>
      <c r="B313" s="418"/>
      <c r="C313" s="419"/>
      <c r="D313" s="388"/>
      <c r="E313" s="388"/>
      <c r="F313" s="388"/>
      <c r="G313" s="420"/>
      <c r="H313" s="421"/>
      <c r="I313" s="421"/>
      <c r="J313" s="421"/>
      <c r="K313" s="422"/>
      <c r="L313" s="422"/>
      <c r="M313" s="423"/>
    </row>
    <row r="314" spans="1:14" s="117" customFormat="1" ht="74.150000000000006" customHeight="1">
      <c r="A314" s="355"/>
      <c r="B314" s="418"/>
      <c r="C314" s="419"/>
      <c r="D314" s="388"/>
      <c r="E314" s="388"/>
      <c r="F314" s="388"/>
      <c r="G314" s="420"/>
      <c r="H314" s="421"/>
      <c r="I314" s="421"/>
      <c r="J314" s="421"/>
      <c r="K314" s="422"/>
      <c r="L314" s="422"/>
      <c r="M314" s="423"/>
    </row>
    <row r="315" spans="1:14" s="117" customFormat="1" ht="74.150000000000006" customHeight="1">
      <c r="A315" s="355"/>
      <c r="B315" s="418"/>
      <c r="C315" s="419"/>
      <c r="D315" s="388"/>
      <c r="E315" s="388"/>
      <c r="F315" s="388"/>
      <c r="G315" s="420"/>
      <c r="H315" s="421"/>
      <c r="I315" s="421"/>
      <c r="J315" s="421"/>
      <c r="K315" s="422"/>
      <c r="L315" s="422"/>
      <c r="M315" s="423"/>
    </row>
    <row r="316" spans="1:14" s="423" customFormat="1" ht="74.150000000000006" customHeight="1">
      <c r="A316" s="355"/>
      <c r="B316" s="418"/>
      <c r="C316" s="419"/>
      <c r="D316" s="388"/>
      <c r="E316" s="388"/>
      <c r="F316" s="388"/>
      <c r="G316" s="420"/>
      <c r="H316" s="421"/>
      <c r="I316" s="421"/>
      <c r="J316" s="421"/>
      <c r="K316" s="422"/>
      <c r="L316" s="422"/>
      <c r="N316" s="355"/>
    </row>
    <row r="317" spans="1:14" s="423" customFormat="1" ht="74.150000000000006" customHeight="1">
      <c r="A317" s="355"/>
      <c r="B317" s="418"/>
      <c r="C317" s="419"/>
      <c r="D317" s="388"/>
      <c r="E317" s="388"/>
      <c r="F317" s="388"/>
      <c r="G317" s="420"/>
      <c r="H317" s="421"/>
      <c r="I317" s="421"/>
      <c r="J317" s="421"/>
      <c r="K317" s="422"/>
      <c r="L317" s="422"/>
      <c r="N317" s="355"/>
    </row>
    <row r="318" spans="1:14" s="423" customFormat="1" ht="74.150000000000006" customHeight="1">
      <c r="A318" s="355"/>
      <c r="B318" s="418"/>
      <c r="C318" s="419"/>
      <c r="D318" s="388"/>
      <c r="E318" s="388"/>
      <c r="F318" s="388"/>
      <c r="G318" s="420"/>
      <c r="H318" s="421"/>
      <c r="I318" s="421"/>
      <c r="J318" s="421"/>
      <c r="K318" s="422"/>
      <c r="L318" s="422"/>
      <c r="N318" s="355"/>
    </row>
    <row r="319" spans="1:14" s="423" customFormat="1" ht="74.150000000000006" customHeight="1">
      <c r="A319" s="355"/>
      <c r="B319" s="418"/>
      <c r="C319" s="419"/>
      <c r="D319" s="388"/>
      <c r="E319" s="388"/>
      <c r="F319" s="388"/>
      <c r="G319" s="420"/>
      <c r="H319" s="421"/>
      <c r="I319" s="421"/>
      <c r="J319" s="421"/>
      <c r="K319" s="422"/>
      <c r="L319" s="422"/>
      <c r="N319" s="355"/>
    </row>
    <row r="320" spans="1:14" s="423" customFormat="1" ht="74.150000000000006" customHeight="1">
      <c r="A320" s="355"/>
      <c r="B320" s="418"/>
      <c r="C320" s="419"/>
      <c r="D320" s="388"/>
      <c r="E320" s="388"/>
      <c r="F320" s="388"/>
      <c r="G320" s="420"/>
      <c r="H320" s="421"/>
      <c r="I320" s="421"/>
      <c r="J320" s="421"/>
      <c r="K320" s="422"/>
      <c r="L320" s="422"/>
      <c r="N320" s="355"/>
    </row>
    <row r="321" spans="1:14" s="423" customFormat="1" ht="74.150000000000006" customHeight="1">
      <c r="A321" s="355"/>
      <c r="B321" s="418"/>
      <c r="C321" s="419"/>
      <c r="D321" s="388"/>
      <c r="E321" s="388"/>
      <c r="F321" s="388"/>
      <c r="G321" s="420"/>
      <c r="H321" s="421"/>
      <c r="I321" s="421"/>
      <c r="J321" s="421"/>
      <c r="K321" s="422"/>
      <c r="L321" s="422"/>
      <c r="N321" s="355"/>
    </row>
    <row r="322" spans="1:14" s="406" customFormat="1" ht="74.150000000000006" customHeight="1">
      <c r="A322" s="355"/>
      <c r="B322" s="418"/>
      <c r="C322" s="419"/>
      <c r="D322" s="388"/>
      <c r="E322" s="388"/>
      <c r="F322" s="388"/>
      <c r="G322" s="420"/>
      <c r="H322" s="421"/>
      <c r="I322" s="421"/>
      <c r="J322" s="421"/>
      <c r="K322" s="422"/>
      <c r="L322" s="422"/>
      <c r="M322" s="423"/>
    </row>
    <row r="323" spans="1:14" ht="74.150000000000006" customHeight="1"/>
    <row r="324" spans="1:14" s="117" customFormat="1" ht="78" customHeight="1">
      <c r="A324" s="355"/>
      <c r="B324" s="418"/>
      <c r="C324" s="419"/>
      <c r="D324" s="388"/>
      <c r="E324" s="388"/>
      <c r="F324" s="388"/>
      <c r="G324" s="420"/>
      <c r="H324" s="421"/>
      <c r="I324" s="421"/>
      <c r="J324" s="421"/>
      <c r="K324" s="422"/>
      <c r="L324" s="422"/>
      <c r="M324" s="423"/>
    </row>
    <row r="325" spans="1:14" s="117" customFormat="1" ht="75" customHeight="1">
      <c r="A325" s="355"/>
      <c r="B325" s="418"/>
      <c r="C325" s="419"/>
      <c r="D325" s="388"/>
      <c r="E325" s="388"/>
      <c r="F325" s="388"/>
      <c r="G325" s="420"/>
      <c r="H325" s="421"/>
      <c r="I325" s="421"/>
      <c r="J325" s="421"/>
      <c r="K325" s="422"/>
      <c r="L325" s="422"/>
      <c r="M325" s="423"/>
    </row>
    <row r="326" spans="1:14" s="117" customFormat="1" ht="75" customHeight="1">
      <c r="A326" s="355"/>
      <c r="B326" s="418"/>
      <c r="C326" s="419"/>
      <c r="D326" s="388"/>
      <c r="E326" s="388"/>
      <c r="F326" s="388"/>
      <c r="G326" s="420"/>
      <c r="H326" s="421"/>
      <c r="I326" s="421"/>
      <c r="J326" s="421"/>
      <c r="K326" s="422"/>
      <c r="L326" s="422"/>
      <c r="M326" s="423"/>
    </row>
    <row r="327" spans="1:14" s="117" customFormat="1" ht="75" customHeight="1">
      <c r="A327" s="355"/>
      <c r="B327" s="418"/>
      <c r="C327" s="419"/>
      <c r="D327" s="388"/>
      <c r="E327" s="388"/>
      <c r="F327" s="388"/>
      <c r="G327" s="420"/>
      <c r="H327" s="421"/>
      <c r="I327" s="421"/>
      <c r="J327" s="421"/>
      <c r="K327" s="422"/>
      <c r="L327" s="422"/>
      <c r="M327" s="423"/>
    </row>
    <row r="328" spans="1:14" s="117" customFormat="1" ht="75" customHeight="1">
      <c r="A328" s="355"/>
      <c r="B328" s="418"/>
      <c r="C328" s="419"/>
      <c r="D328" s="388"/>
      <c r="E328" s="388"/>
      <c r="F328" s="388"/>
      <c r="G328" s="420"/>
      <c r="H328" s="421"/>
      <c r="I328" s="421"/>
      <c r="J328" s="421"/>
      <c r="K328" s="422"/>
      <c r="L328" s="422"/>
      <c r="M328" s="423"/>
    </row>
    <row r="329" spans="1:14" s="117" customFormat="1" ht="75" customHeight="1">
      <c r="A329" s="355"/>
      <c r="B329" s="418"/>
      <c r="C329" s="419"/>
      <c r="D329" s="388"/>
      <c r="E329" s="388"/>
      <c r="F329" s="388"/>
      <c r="G329" s="420"/>
      <c r="H329" s="421"/>
      <c r="I329" s="421"/>
      <c r="J329" s="421"/>
      <c r="K329" s="422"/>
      <c r="L329" s="422"/>
      <c r="M329" s="423"/>
    </row>
    <row r="330" spans="1:14" s="117" customFormat="1" ht="75" customHeight="1">
      <c r="A330" s="355"/>
      <c r="B330" s="418"/>
      <c r="C330" s="419"/>
      <c r="D330" s="388"/>
      <c r="E330" s="388"/>
      <c r="F330" s="388"/>
      <c r="G330" s="420"/>
      <c r="H330" s="421"/>
      <c r="I330" s="421"/>
      <c r="J330" s="421"/>
      <c r="K330" s="422"/>
      <c r="L330" s="422"/>
      <c r="M330" s="423"/>
    </row>
    <row r="331" spans="1:14" s="117" customFormat="1" ht="75" customHeight="1">
      <c r="A331" s="355"/>
      <c r="B331" s="418"/>
      <c r="C331" s="419"/>
      <c r="D331" s="388"/>
      <c r="E331" s="388"/>
      <c r="F331" s="388"/>
      <c r="G331" s="420"/>
      <c r="H331" s="421"/>
      <c r="I331" s="421"/>
      <c r="J331" s="421"/>
      <c r="K331" s="422"/>
      <c r="L331" s="422"/>
      <c r="M331" s="423"/>
    </row>
    <row r="332" spans="1:14" s="117" customFormat="1" ht="75" customHeight="1">
      <c r="A332" s="355"/>
      <c r="B332" s="418"/>
      <c r="C332" s="419"/>
      <c r="D332" s="388"/>
      <c r="E332" s="388"/>
      <c r="F332" s="388"/>
      <c r="G332" s="420"/>
      <c r="H332" s="421"/>
      <c r="I332" s="421"/>
      <c r="J332" s="421"/>
      <c r="K332" s="422"/>
      <c r="L332" s="422"/>
      <c r="M332" s="423"/>
    </row>
    <row r="333" spans="1:14" s="117" customFormat="1" ht="75" customHeight="1">
      <c r="A333" s="355"/>
      <c r="B333" s="418"/>
      <c r="C333" s="419"/>
      <c r="D333" s="388"/>
      <c r="E333" s="388"/>
      <c r="F333" s="388"/>
      <c r="G333" s="420"/>
      <c r="H333" s="421"/>
      <c r="I333" s="421"/>
      <c r="J333" s="421"/>
      <c r="K333" s="422"/>
      <c r="L333" s="422"/>
      <c r="M333" s="423"/>
    </row>
    <row r="334" spans="1:14" s="117" customFormat="1" ht="75" customHeight="1">
      <c r="A334" s="355"/>
      <c r="B334" s="418"/>
      <c r="C334" s="419"/>
      <c r="D334" s="388"/>
      <c r="E334" s="388"/>
      <c r="F334" s="388"/>
      <c r="G334" s="420"/>
      <c r="H334" s="421"/>
      <c r="I334" s="421"/>
      <c r="J334" s="421"/>
      <c r="K334" s="422"/>
      <c r="L334" s="422"/>
      <c r="M334" s="423"/>
    </row>
    <row r="335" spans="1:14" s="117" customFormat="1" ht="75" customHeight="1">
      <c r="A335" s="355"/>
      <c r="B335" s="418"/>
      <c r="C335" s="419"/>
      <c r="D335" s="388"/>
      <c r="E335" s="388"/>
      <c r="F335" s="388"/>
      <c r="G335" s="420"/>
      <c r="H335" s="421"/>
      <c r="I335" s="421"/>
      <c r="J335" s="421"/>
      <c r="K335" s="422"/>
      <c r="L335" s="422"/>
      <c r="M335" s="423"/>
    </row>
    <row r="336" spans="1:14" s="117" customFormat="1" ht="75" customHeight="1">
      <c r="A336" s="355"/>
      <c r="B336" s="418"/>
      <c r="C336" s="419"/>
      <c r="D336" s="388"/>
      <c r="E336" s="388"/>
      <c r="F336" s="388"/>
      <c r="G336" s="420"/>
      <c r="H336" s="421"/>
      <c r="I336" s="421"/>
      <c r="J336" s="421"/>
      <c r="K336" s="422"/>
      <c r="L336" s="422"/>
      <c r="M336" s="423"/>
    </row>
    <row r="337" spans="1:13" s="117" customFormat="1" ht="75" customHeight="1">
      <c r="A337" s="355"/>
      <c r="B337" s="418"/>
      <c r="C337" s="419"/>
      <c r="D337" s="388"/>
      <c r="E337" s="388"/>
      <c r="F337" s="388"/>
      <c r="G337" s="420"/>
      <c r="H337" s="421"/>
      <c r="I337" s="421"/>
      <c r="J337" s="421"/>
      <c r="K337" s="422"/>
      <c r="L337" s="422"/>
      <c r="M337" s="423"/>
    </row>
    <row r="338" spans="1:13" s="117" customFormat="1" ht="75" customHeight="1">
      <c r="A338" s="355"/>
      <c r="B338" s="418"/>
      <c r="C338" s="419"/>
      <c r="D338" s="388"/>
      <c r="E338" s="388"/>
      <c r="F338" s="388"/>
      <c r="G338" s="420"/>
      <c r="H338" s="421"/>
      <c r="I338" s="421"/>
      <c r="J338" s="421"/>
      <c r="K338" s="422"/>
      <c r="L338" s="422"/>
      <c r="M338" s="423"/>
    </row>
    <row r="339" spans="1:13" s="117" customFormat="1" ht="75" customHeight="1">
      <c r="A339" s="355"/>
      <c r="B339" s="418"/>
      <c r="C339" s="419"/>
      <c r="D339" s="388"/>
      <c r="E339" s="388"/>
      <c r="F339" s="388"/>
      <c r="G339" s="420"/>
      <c r="H339" s="421"/>
      <c r="I339" s="421"/>
      <c r="J339" s="421"/>
      <c r="K339" s="422"/>
      <c r="L339" s="422"/>
      <c r="M339" s="423"/>
    </row>
    <row r="340" spans="1:13" s="117" customFormat="1" ht="75" customHeight="1">
      <c r="A340" s="355"/>
      <c r="B340" s="418"/>
      <c r="C340" s="419"/>
      <c r="D340" s="388"/>
      <c r="E340" s="388"/>
      <c r="F340" s="388"/>
      <c r="G340" s="420"/>
      <c r="H340" s="421"/>
      <c r="I340" s="421"/>
      <c r="J340" s="421"/>
      <c r="K340" s="422"/>
      <c r="L340" s="422"/>
      <c r="M340" s="423"/>
    </row>
    <row r="341" spans="1:13" s="117" customFormat="1" ht="75" customHeight="1">
      <c r="A341" s="355"/>
      <c r="B341" s="418"/>
      <c r="C341" s="419"/>
      <c r="D341" s="388"/>
      <c r="E341" s="388"/>
      <c r="F341" s="388"/>
      <c r="G341" s="420"/>
      <c r="H341" s="421"/>
      <c r="I341" s="421"/>
      <c r="J341" s="421"/>
      <c r="K341" s="422"/>
      <c r="L341" s="422"/>
      <c r="M341" s="423"/>
    </row>
    <row r="342" spans="1:13" s="117" customFormat="1" ht="75" customHeight="1">
      <c r="A342" s="355"/>
      <c r="B342" s="418"/>
      <c r="C342" s="419"/>
      <c r="D342" s="388"/>
      <c r="E342" s="388"/>
      <c r="F342" s="388"/>
      <c r="G342" s="420"/>
      <c r="H342" s="421"/>
      <c r="I342" s="421"/>
      <c r="J342" s="421"/>
      <c r="K342" s="422"/>
      <c r="L342" s="422"/>
      <c r="M342" s="423"/>
    </row>
    <row r="343" spans="1:13" s="117" customFormat="1" ht="75" customHeight="1">
      <c r="A343" s="355"/>
      <c r="B343" s="418"/>
      <c r="C343" s="419"/>
      <c r="D343" s="388"/>
      <c r="E343" s="388"/>
      <c r="F343" s="388"/>
      <c r="G343" s="420"/>
      <c r="H343" s="421"/>
      <c r="I343" s="421"/>
      <c r="J343" s="421"/>
      <c r="K343" s="422"/>
      <c r="L343" s="422"/>
      <c r="M343" s="423"/>
    </row>
    <row r="344" spans="1:13" s="117" customFormat="1" ht="75" customHeight="1">
      <c r="A344" s="355"/>
      <c r="B344" s="418"/>
      <c r="C344" s="419"/>
      <c r="D344" s="388"/>
      <c r="E344" s="388"/>
      <c r="F344" s="388"/>
      <c r="G344" s="420"/>
      <c r="H344" s="421"/>
      <c r="I344" s="421"/>
      <c r="J344" s="421"/>
      <c r="K344" s="422"/>
      <c r="L344" s="422"/>
      <c r="M344" s="423"/>
    </row>
    <row r="345" spans="1:13" s="117" customFormat="1" ht="78" customHeight="1">
      <c r="A345" s="355"/>
      <c r="B345" s="418"/>
      <c r="C345" s="419"/>
      <c r="D345" s="388"/>
      <c r="E345" s="388"/>
      <c r="F345" s="388"/>
      <c r="G345" s="420"/>
      <c r="H345" s="421"/>
      <c r="I345" s="421"/>
      <c r="J345" s="421"/>
      <c r="K345" s="422"/>
      <c r="L345" s="422"/>
      <c r="M345" s="423"/>
    </row>
    <row r="346" spans="1:13" s="117" customFormat="1" ht="76" customHeight="1">
      <c r="A346" s="355"/>
      <c r="B346" s="418"/>
      <c r="C346" s="419"/>
      <c r="D346" s="388"/>
      <c r="E346" s="388"/>
      <c r="F346" s="388"/>
      <c r="G346" s="420"/>
      <c r="H346" s="421"/>
      <c r="I346" s="421"/>
      <c r="J346" s="421"/>
      <c r="K346" s="422"/>
      <c r="L346" s="422"/>
      <c r="M346" s="423"/>
    </row>
    <row r="347" spans="1:13" s="117" customFormat="1" ht="76" customHeight="1">
      <c r="A347" s="355"/>
      <c r="B347" s="418"/>
      <c r="C347" s="419"/>
      <c r="D347" s="388"/>
      <c r="E347" s="388"/>
      <c r="F347" s="388"/>
      <c r="G347" s="420"/>
      <c r="H347" s="421"/>
      <c r="I347" s="421"/>
      <c r="J347" s="421"/>
      <c r="K347" s="422"/>
      <c r="L347" s="422"/>
      <c r="M347" s="423"/>
    </row>
    <row r="348" spans="1:13" s="117" customFormat="1" ht="76" customHeight="1">
      <c r="A348" s="355"/>
      <c r="B348" s="418"/>
      <c r="C348" s="419"/>
      <c r="D348" s="388"/>
      <c r="E348" s="388"/>
      <c r="F348" s="388"/>
      <c r="G348" s="420"/>
      <c r="H348" s="421"/>
      <c r="I348" s="421"/>
      <c r="J348" s="421"/>
      <c r="K348" s="422"/>
      <c r="L348" s="422"/>
      <c r="M348" s="423"/>
    </row>
    <row r="349" spans="1:13" s="117" customFormat="1" ht="76" customHeight="1">
      <c r="A349" s="355"/>
      <c r="B349" s="418"/>
      <c r="C349" s="419"/>
      <c r="D349" s="388"/>
      <c r="E349" s="388"/>
      <c r="F349" s="388"/>
      <c r="G349" s="420"/>
      <c r="H349" s="421"/>
      <c r="I349" s="421"/>
      <c r="J349" s="421"/>
      <c r="K349" s="422"/>
      <c r="L349" s="422"/>
      <c r="M349" s="423"/>
    </row>
    <row r="350" spans="1:13" s="117" customFormat="1" ht="76" customHeight="1">
      <c r="A350" s="355"/>
      <c r="B350" s="418"/>
      <c r="C350" s="419"/>
      <c r="D350" s="388"/>
      <c r="E350" s="388"/>
      <c r="F350" s="388"/>
      <c r="G350" s="420"/>
      <c r="H350" s="421"/>
      <c r="I350" s="421"/>
      <c r="J350" s="421"/>
      <c r="K350" s="422"/>
      <c r="L350" s="422"/>
      <c r="M350" s="423"/>
    </row>
    <row r="351" spans="1:13" s="117" customFormat="1" ht="76" customHeight="1">
      <c r="A351" s="355"/>
      <c r="B351" s="418"/>
      <c r="C351" s="419"/>
      <c r="D351" s="388"/>
      <c r="E351" s="388"/>
      <c r="F351" s="388"/>
      <c r="G351" s="420"/>
      <c r="H351" s="421"/>
      <c r="I351" s="421"/>
      <c r="J351" s="421"/>
      <c r="K351" s="422"/>
      <c r="L351" s="422"/>
      <c r="M351" s="423"/>
    </row>
    <row r="352" spans="1:13" s="117" customFormat="1" ht="76" customHeight="1">
      <c r="A352" s="355"/>
      <c r="B352" s="418"/>
      <c r="C352" s="419"/>
      <c r="D352" s="388"/>
      <c r="E352" s="388"/>
      <c r="F352" s="388"/>
      <c r="G352" s="420"/>
      <c r="H352" s="421"/>
      <c r="I352" s="421"/>
      <c r="J352" s="421"/>
      <c r="K352" s="422"/>
      <c r="L352" s="422"/>
      <c r="M352" s="423"/>
    </row>
    <row r="353" spans="1:13" s="117" customFormat="1" ht="76" customHeight="1">
      <c r="A353" s="355"/>
      <c r="B353" s="418"/>
      <c r="C353" s="419"/>
      <c r="D353" s="388"/>
      <c r="E353" s="388"/>
      <c r="F353" s="388"/>
      <c r="G353" s="420"/>
      <c r="H353" s="421"/>
      <c r="I353" s="421"/>
      <c r="J353" s="421"/>
      <c r="K353" s="422"/>
      <c r="L353" s="422"/>
      <c r="M353" s="423"/>
    </row>
    <row r="354" spans="1:13" s="117" customFormat="1" ht="76" customHeight="1">
      <c r="A354" s="355"/>
      <c r="B354" s="418"/>
      <c r="C354" s="419"/>
      <c r="D354" s="388"/>
      <c r="E354" s="388"/>
      <c r="F354" s="388"/>
      <c r="G354" s="420"/>
      <c r="H354" s="421"/>
      <c r="I354" s="421"/>
      <c r="J354" s="421"/>
      <c r="K354" s="422"/>
      <c r="L354" s="422"/>
      <c r="M354" s="423"/>
    </row>
    <row r="355" spans="1:13" s="117" customFormat="1" ht="76" customHeight="1">
      <c r="A355" s="355"/>
      <c r="B355" s="418"/>
      <c r="C355" s="419"/>
      <c r="D355" s="388"/>
      <c r="E355" s="388"/>
      <c r="F355" s="388"/>
      <c r="G355" s="420"/>
      <c r="H355" s="421"/>
      <c r="I355" s="421"/>
      <c r="J355" s="421"/>
      <c r="K355" s="422"/>
      <c r="L355" s="422"/>
      <c r="M355" s="423"/>
    </row>
    <row r="356" spans="1:13" s="117" customFormat="1" ht="76" customHeight="1">
      <c r="A356" s="355"/>
      <c r="B356" s="418"/>
      <c r="C356" s="419"/>
      <c r="D356" s="388"/>
      <c r="E356" s="388"/>
      <c r="F356" s="388"/>
      <c r="G356" s="420"/>
      <c r="H356" s="421"/>
      <c r="I356" s="421"/>
      <c r="J356" s="421"/>
      <c r="K356" s="422"/>
      <c r="L356" s="422"/>
      <c r="M356" s="423"/>
    </row>
    <row r="357" spans="1:13" s="117" customFormat="1" ht="76" customHeight="1">
      <c r="A357" s="355"/>
      <c r="B357" s="418"/>
      <c r="C357" s="419"/>
      <c r="D357" s="388"/>
      <c r="E357" s="388"/>
      <c r="F357" s="388"/>
      <c r="G357" s="420"/>
      <c r="H357" s="421"/>
      <c r="I357" s="421"/>
      <c r="J357" s="421"/>
      <c r="K357" s="422"/>
      <c r="L357" s="422"/>
      <c r="M357" s="423"/>
    </row>
    <row r="358" spans="1:13" s="117" customFormat="1" ht="76" customHeight="1">
      <c r="A358" s="355"/>
      <c r="B358" s="418"/>
      <c r="C358" s="419"/>
      <c r="D358" s="388"/>
      <c r="E358" s="388"/>
      <c r="F358" s="388"/>
      <c r="G358" s="420"/>
      <c r="H358" s="421"/>
      <c r="I358" s="421"/>
      <c r="J358" s="421"/>
      <c r="K358" s="422"/>
      <c r="L358" s="422"/>
      <c r="M358" s="423"/>
    </row>
    <row r="359" spans="1:13" s="117" customFormat="1" ht="76" customHeight="1">
      <c r="A359" s="355"/>
      <c r="B359" s="418"/>
      <c r="C359" s="419"/>
      <c r="D359" s="388"/>
      <c r="E359" s="388"/>
      <c r="F359" s="388"/>
      <c r="G359" s="420"/>
      <c r="H359" s="421"/>
      <c r="I359" s="421"/>
      <c r="J359" s="421"/>
      <c r="K359" s="422"/>
      <c r="L359" s="422"/>
      <c r="M359" s="423"/>
    </row>
    <row r="360" spans="1:13" s="117" customFormat="1" ht="76" customHeight="1">
      <c r="A360" s="355"/>
      <c r="B360" s="418"/>
      <c r="C360" s="419"/>
      <c r="D360" s="388"/>
      <c r="E360" s="388"/>
      <c r="F360" s="388"/>
      <c r="G360" s="420"/>
      <c r="H360" s="421"/>
      <c r="I360" s="421"/>
      <c r="J360" s="421"/>
      <c r="K360" s="422"/>
      <c r="L360" s="422"/>
      <c r="M360" s="423"/>
    </row>
    <row r="361" spans="1:13" s="117" customFormat="1" ht="76" customHeight="1">
      <c r="A361" s="355"/>
      <c r="B361" s="418"/>
      <c r="C361" s="419"/>
      <c r="D361" s="388"/>
      <c r="E361" s="388"/>
      <c r="F361" s="388"/>
      <c r="G361" s="420"/>
      <c r="H361" s="421"/>
      <c r="I361" s="421"/>
      <c r="J361" s="421"/>
      <c r="K361" s="422"/>
      <c r="L361" s="422"/>
      <c r="M361" s="423"/>
    </row>
    <row r="362" spans="1:13" s="117" customFormat="1" ht="76" customHeight="1">
      <c r="A362" s="355"/>
      <c r="B362" s="418"/>
      <c r="C362" s="419"/>
      <c r="D362" s="388"/>
      <c r="E362" s="388"/>
      <c r="F362" s="388"/>
      <c r="G362" s="420"/>
      <c r="H362" s="421"/>
      <c r="I362" s="421"/>
      <c r="J362" s="421"/>
      <c r="K362" s="422"/>
      <c r="L362" s="422"/>
      <c r="M362" s="423"/>
    </row>
    <row r="363" spans="1:13" s="117" customFormat="1" ht="78" customHeight="1">
      <c r="A363" s="355"/>
      <c r="B363" s="418"/>
      <c r="C363" s="419"/>
      <c r="D363" s="388"/>
      <c r="E363" s="388"/>
      <c r="F363" s="388"/>
      <c r="G363" s="420"/>
      <c r="H363" s="421"/>
      <c r="I363" s="421"/>
      <c r="J363" s="421"/>
      <c r="K363" s="422"/>
      <c r="L363" s="422"/>
      <c r="M363" s="423"/>
    </row>
    <row r="364" spans="1:13" s="117" customFormat="1" ht="90" customHeight="1">
      <c r="A364" s="355"/>
      <c r="B364" s="418"/>
      <c r="C364" s="419"/>
      <c r="D364" s="388"/>
      <c r="E364" s="388"/>
      <c r="F364" s="388"/>
      <c r="G364" s="420"/>
      <c r="H364" s="421"/>
      <c r="I364" s="421"/>
      <c r="J364" s="421"/>
      <c r="K364" s="422"/>
      <c r="L364" s="422"/>
      <c r="M364" s="423"/>
    </row>
    <row r="365" spans="1:13" s="117" customFormat="1" ht="90" customHeight="1">
      <c r="A365" s="355"/>
      <c r="B365" s="418"/>
      <c r="C365" s="419"/>
      <c r="D365" s="388"/>
      <c r="E365" s="388"/>
      <c r="F365" s="388"/>
      <c r="G365" s="420"/>
      <c r="H365" s="421"/>
      <c r="I365" s="421"/>
      <c r="J365" s="421"/>
      <c r="K365" s="422"/>
      <c r="L365" s="422"/>
      <c r="M365" s="423"/>
    </row>
    <row r="366" spans="1:13" s="117" customFormat="1" ht="90" customHeight="1">
      <c r="A366" s="355"/>
      <c r="B366" s="418"/>
      <c r="C366" s="419"/>
      <c r="D366" s="388"/>
      <c r="E366" s="388"/>
      <c r="F366" s="388"/>
      <c r="G366" s="420"/>
      <c r="H366" s="421"/>
      <c r="I366" s="421"/>
      <c r="J366" s="421"/>
      <c r="K366" s="422"/>
      <c r="L366" s="422"/>
      <c r="M366" s="423"/>
    </row>
    <row r="367" spans="1:13" s="117" customFormat="1" ht="90" customHeight="1">
      <c r="A367" s="355"/>
      <c r="B367" s="418"/>
      <c r="C367" s="419"/>
      <c r="D367" s="388"/>
      <c r="E367" s="388"/>
      <c r="F367" s="388"/>
      <c r="G367" s="420"/>
      <c r="H367" s="421"/>
      <c r="I367" s="421"/>
      <c r="J367" s="421"/>
      <c r="K367" s="422"/>
      <c r="L367" s="422"/>
      <c r="M367" s="423"/>
    </row>
    <row r="368" spans="1:13" s="117" customFormat="1" ht="90" customHeight="1">
      <c r="A368" s="355"/>
      <c r="B368" s="418"/>
      <c r="C368" s="419"/>
      <c r="D368" s="388"/>
      <c r="E368" s="388"/>
      <c r="F368" s="388"/>
      <c r="G368" s="420"/>
      <c r="H368" s="421"/>
      <c r="I368" s="421"/>
      <c r="J368" s="421"/>
      <c r="K368" s="422"/>
      <c r="L368" s="422"/>
      <c r="M368" s="423"/>
    </row>
    <row r="369" spans="1:13" s="117" customFormat="1" ht="90" customHeight="1">
      <c r="A369" s="355"/>
      <c r="B369" s="418"/>
      <c r="C369" s="419"/>
      <c r="D369" s="388"/>
      <c r="E369" s="388"/>
      <c r="F369" s="388"/>
      <c r="G369" s="420"/>
      <c r="H369" s="421"/>
      <c r="I369" s="421"/>
      <c r="J369" s="421"/>
      <c r="K369" s="422"/>
      <c r="L369" s="422"/>
      <c r="M369" s="423"/>
    </row>
    <row r="370" spans="1:13" s="117" customFormat="1" ht="90" customHeight="1">
      <c r="A370" s="355"/>
      <c r="B370" s="418"/>
      <c r="C370" s="419"/>
      <c r="D370" s="388"/>
      <c r="E370" s="388"/>
      <c r="F370" s="388"/>
      <c r="G370" s="420"/>
      <c r="H370" s="421"/>
      <c r="I370" s="421"/>
      <c r="J370" s="421"/>
      <c r="K370" s="422"/>
      <c r="L370" s="422"/>
      <c r="M370" s="423"/>
    </row>
    <row r="371" spans="1:13" s="117" customFormat="1" ht="90" customHeight="1">
      <c r="A371" s="355"/>
      <c r="B371" s="418"/>
      <c r="C371" s="419"/>
      <c r="D371" s="388"/>
      <c r="E371" s="388"/>
      <c r="F371" s="388"/>
      <c r="G371" s="420"/>
      <c r="H371" s="421"/>
      <c r="I371" s="421"/>
      <c r="J371" s="421"/>
      <c r="K371" s="422"/>
      <c r="L371" s="422"/>
      <c r="M371" s="423"/>
    </row>
    <row r="372" spans="1:13" s="117" customFormat="1" ht="155.15" customHeight="1">
      <c r="A372" s="355"/>
      <c r="B372" s="418"/>
      <c r="C372" s="419"/>
      <c r="D372" s="388"/>
      <c r="E372" s="388"/>
      <c r="F372" s="388"/>
      <c r="G372" s="420"/>
      <c r="H372" s="421"/>
      <c r="I372" s="421"/>
      <c r="J372" s="421"/>
      <c r="K372" s="422"/>
      <c r="L372" s="422"/>
      <c r="M372" s="423"/>
    </row>
    <row r="373" spans="1:13" s="121" customFormat="1" ht="208" customHeight="1">
      <c r="A373" s="355"/>
      <c r="B373" s="418"/>
      <c r="C373" s="419"/>
      <c r="D373" s="388"/>
      <c r="E373" s="388"/>
      <c r="F373" s="388"/>
      <c r="G373" s="420"/>
      <c r="H373" s="421"/>
      <c r="I373" s="421"/>
      <c r="J373" s="421"/>
      <c r="K373" s="422"/>
      <c r="L373" s="422"/>
      <c r="M373" s="423"/>
    </row>
    <row r="374" spans="1:13" s="121" customFormat="1" ht="105" customHeight="1">
      <c r="A374" s="355"/>
      <c r="B374" s="418"/>
      <c r="C374" s="419"/>
      <c r="D374" s="388"/>
      <c r="E374" s="388"/>
      <c r="F374" s="388"/>
      <c r="G374" s="420"/>
      <c r="H374" s="421"/>
      <c r="I374" s="421"/>
      <c r="J374" s="421"/>
      <c r="K374" s="422"/>
      <c r="L374" s="422"/>
      <c r="M374" s="423"/>
    </row>
    <row r="375" spans="1:13" s="117" customFormat="1" ht="136" customHeight="1">
      <c r="A375" s="355"/>
      <c r="B375" s="418"/>
      <c r="C375" s="419"/>
      <c r="D375" s="388"/>
      <c r="E375" s="388"/>
      <c r="F375" s="388"/>
      <c r="G375" s="420"/>
      <c r="H375" s="421"/>
      <c r="I375" s="421"/>
      <c r="J375" s="421"/>
      <c r="K375" s="422"/>
      <c r="L375" s="422"/>
      <c r="M375" s="423"/>
    </row>
    <row r="376" spans="1:13" s="117" customFormat="1" ht="124" customHeight="1">
      <c r="A376" s="355"/>
      <c r="B376" s="418"/>
      <c r="C376" s="419"/>
      <c r="D376" s="388"/>
      <c r="E376" s="388"/>
      <c r="F376" s="388"/>
      <c r="G376" s="420"/>
      <c r="H376" s="421"/>
      <c r="I376" s="421"/>
      <c r="J376" s="421"/>
      <c r="K376" s="422"/>
      <c r="L376" s="422"/>
      <c r="M376" s="423"/>
    </row>
    <row r="377" spans="1:13" s="117" customFormat="1" ht="129" customHeight="1">
      <c r="A377" s="355"/>
      <c r="B377" s="418"/>
      <c r="C377" s="419"/>
      <c r="D377" s="388"/>
      <c r="E377" s="388"/>
      <c r="F377" s="388"/>
      <c r="G377" s="420"/>
      <c r="H377" s="421"/>
      <c r="I377" s="421"/>
      <c r="J377" s="421"/>
      <c r="K377" s="422"/>
      <c r="L377" s="422"/>
      <c r="M377" s="423"/>
    </row>
    <row r="378" spans="1:13" s="117" customFormat="1" ht="130" customHeight="1">
      <c r="A378" s="355"/>
      <c r="B378" s="418"/>
      <c r="C378" s="419"/>
      <c r="D378" s="388"/>
      <c r="E378" s="388"/>
      <c r="F378" s="388"/>
      <c r="G378" s="420"/>
      <c r="H378" s="421"/>
      <c r="I378" s="421"/>
      <c r="J378" s="421"/>
      <c r="K378" s="422"/>
      <c r="L378" s="422"/>
      <c r="M378" s="423"/>
    </row>
    <row r="379" spans="1:13" s="117" customFormat="1" ht="167.15" customHeight="1">
      <c r="A379" s="355"/>
      <c r="B379" s="418"/>
      <c r="C379" s="419"/>
      <c r="D379" s="388"/>
      <c r="E379" s="388"/>
      <c r="F379" s="388"/>
      <c r="G379" s="420"/>
      <c r="H379" s="421"/>
      <c r="I379" s="421"/>
      <c r="J379" s="421"/>
      <c r="K379" s="422"/>
      <c r="L379" s="422"/>
      <c r="M379" s="423"/>
    </row>
    <row r="380" spans="1:13" s="117" customFormat="1" ht="90" customHeight="1">
      <c r="A380" s="355"/>
      <c r="B380" s="418"/>
      <c r="C380" s="419"/>
      <c r="D380" s="388"/>
      <c r="E380" s="388"/>
      <c r="F380" s="388"/>
      <c r="G380" s="420"/>
      <c r="H380" s="421"/>
      <c r="I380" s="421"/>
      <c r="J380" s="421"/>
      <c r="K380" s="422"/>
      <c r="L380" s="422"/>
      <c r="M380" s="423"/>
    </row>
    <row r="381" spans="1:13" s="424" customFormat="1" ht="59.25" customHeight="1">
      <c r="A381" s="355"/>
      <c r="B381" s="418"/>
      <c r="C381" s="419"/>
      <c r="D381" s="388"/>
      <c r="E381" s="388"/>
      <c r="F381" s="388"/>
      <c r="G381" s="420"/>
      <c r="H381" s="421"/>
      <c r="I381" s="421"/>
      <c r="J381" s="421"/>
      <c r="K381" s="422"/>
      <c r="L381" s="422"/>
      <c r="M381" s="423"/>
    </row>
    <row r="390" spans="1:14" s="425" customFormat="1" ht="59.25" customHeight="1">
      <c r="A390" s="355"/>
      <c r="B390" s="418"/>
      <c r="C390" s="419"/>
      <c r="D390" s="388"/>
      <c r="E390" s="388"/>
      <c r="F390" s="388"/>
      <c r="G390" s="420"/>
      <c r="H390" s="421"/>
      <c r="I390" s="421"/>
      <c r="J390" s="421"/>
      <c r="K390" s="422"/>
      <c r="L390" s="422"/>
      <c r="M390" s="423"/>
      <c r="N390" s="355"/>
    </row>
    <row r="391" spans="1:14" s="425" customFormat="1" ht="59.25" customHeight="1">
      <c r="A391" s="355"/>
      <c r="B391" s="418"/>
      <c r="C391" s="419"/>
      <c r="D391" s="388"/>
      <c r="E391" s="388"/>
      <c r="F391" s="388"/>
      <c r="G391" s="420"/>
      <c r="H391" s="421"/>
      <c r="I391" s="421"/>
      <c r="J391" s="421"/>
      <c r="K391" s="422"/>
      <c r="L391" s="422"/>
      <c r="M391" s="423"/>
      <c r="N391" s="355"/>
    </row>
    <row r="392" spans="1:14" s="425" customFormat="1" ht="59.25" customHeight="1">
      <c r="A392" s="355"/>
      <c r="B392" s="418"/>
      <c r="C392" s="419"/>
      <c r="D392" s="388"/>
      <c r="E392" s="388"/>
      <c r="F392" s="388"/>
      <c r="G392" s="420"/>
      <c r="H392" s="421"/>
      <c r="I392" s="421"/>
      <c r="J392" s="421"/>
      <c r="K392" s="422"/>
      <c r="L392" s="422"/>
      <c r="M392" s="423"/>
      <c r="N392" s="355"/>
    </row>
    <row r="393" spans="1:14" s="425" customFormat="1" ht="59.25" customHeight="1">
      <c r="A393" s="355"/>
      <c r="B393" s="418"/>
      <c r="C393" s="419"/>
      <c r="D393" s="388"/>
      <c r="E393" s="388"/>
      <c r="F393" s="388"/>
      <c r="G393" s="420"/>
      <c r="H393" s="421"/>
      <c r="I393" s="421"/>
      <c r="J393" s="421"/>
      <c r="K393" s="422"/>
      <c r="L393" s="422"/>
      <c r="M393" s="423"/>
      <c r="N393" s="355"/>
    </row>
    <row r="394" spans="1:14" s="425" customFormat="1" ht="59.25" customHeight="1">
      <c r="A394" s="355"/>
      <c r="B394" s="418"/>
      <c r="C394" s="419"/>
      <c r="D394" s="388"/>
      <c r="E394" s="388"/>
      <c r="F394" s="388"/>
      <c r="G394" s="420"/>
      <c r="H394" s="421"/>
      <c r="I394" s="421"/>
      <c r="J394" s="421"/>
      <c r="K394" s="422"/>
      <c r="L394" s="422"/>
      <c r="M394" s="423"/>
      <c r="N394" s="355"/>
    </row>
    <row r="395" spans="1:14" s="425" customFormat="1" ht="59.25" customHeight="1">
      <c r="A395" s="355"/>
      <c r="B395" s="418"/>
      <c r="C395" s="419"/>
      <c r="D395" s="388"/>
      <c r="E395" s="388"/>
      <c r="F395" s="388"/>
      <c r="G395" s="420"/>
      <c r="H395" s="421"/>
      <c r="I395" s="421"/>
      <c r="J395" s="421"/>
      <c r="K395" s="422"/>
      <c r="L395" s="422"/>
      <c r="M395" s="423"/>
      <c r="N395" s="355"/>
    </row>
    <row r="396" spans="1:14" s="425" customFormat="1" ht="59.25" customHeight="1">
      <c r="A396" s="355"/>
      <c r="B396" s="418"/>
      <c r="C396" s="419"/>
      <c r="D396" s="388"/>
      <c r="E396" s="388"/>
      <c r="F396" s="388"/>
      <c r="G396" s="420"/>
      <c r="H396" s="421"/>
      <c r="I396" s="421"/>
      <c r="J396" s="421"/>
      <c r="K396" s="422"/>
      <c r="L396" s="422"/>
      <c r="M396" s="423"/>
      <c r="N396" s="355"/>
    </row>
    <row r="397" spans="1:14" s="425" customFormat="1" ht="59.25" customHeight="1">
      <c r="A397" s="355"/>
      <c r="B397" s="418"/>
      <c r="C397" s="419"/>
      <c r="D397" s="388"/>
      <c r="E397" s="388"/>
      <c r="F397" s="388"/>
      <c r="G397" s="420"/>
      <c r="H397" s="421"/>
      <c r="I397" s="421"/>
      <c r="J397" s="421"/>
      <c r="K397" s="422"/>
      <c r="L397" s="422"/>
      <c r="M397" s="423"/>
      <c r="N397" s="355"/>
    </row>
    <row r="398" spans="1:14" s="425" customFormat="1" ht="59.25" customHeight="1">
      <c r="A398" s="355"/>
      <c r="B398" s="418"/>
      <c r="C398" s="419"/>
      <c r="D398" s="388"/>
      <c r="E398" s="388"/>
      <c r="F398" s="388"/>
      <c r="G398" s="420"/>
      <c r="H398" s="421"/>
      <c r="I398" s="421"/>
      <c r="J398" s="421"/>
      <c r="K398" s="422"/>
      <c r="L398" s="422"/>
      <c r="M398" s="423"/>
      <c r="N398" s="355"/>
    </row>
    <row r="399" spans="1:14" s="425" customFormat="1" ht="59.25" customHeight="1">
      <c r="A399" s="355"/>
      <c r="B399" s="418"/>
      <c r="C399" s="419"/>
      <c r="D399" s="388"/>
      <c r="E399" s="388"/>
      <c r="F399" s="388"/>
      <c r="G399" s="420"/>
      <c r="H399" s="421"/>
      <c r="I399" s="421"/>
      <c r="J399" s="421"/>
      <c r="K399" s="422"/>
      <c r="L399" s="422"/>
      <c r="M399" s="423"/>
      <c r="N399" s="355"/>
    </row>
    <row r="400" spans="1:14" s="425" customFormat="1" ht="59.25" customHeight="1">
      <c r="A400" s="355"/>
      <c r="B400" s="418"/>
      <c r="C400" s="419"/>
      <c r="D400" s="388"/>
      <c r="E400" s="388"/>
      <c r="F400" s="388"/>
      <c r="G400" s="420"/>
      <c r="H400" s="421"/>
      <c r="I400" s="421"/>
      <c r="J400" s="421"/>
      <c r="K400" s="422"/>
      <c r="L400" s="422"/>
      <c r="M400" s="423"/>
      <c r="N400" s="355"/>
    </row>
    <row r="401" spans="1:14" s="425" customFormat="1" ht="59.25" customHeight="1">
      <c r="A401" s="355"/>
      <c r="B401" s="418"/>
      <c r="C401" s="419"/>
      <c r="D401" s="388"/>
      <c r="E401" s="388"/>
      <c r="F401" s="388"/>
      <c r="G401" s="420"/>
      <c r="H401" s="421"/>
      <c r="I401" s="421"/>
      <c r="J401" s="421"/>
      <c r="K401" s="422"/>
      <c r="L401" s="422"/>
      <c r="M401" s="423"/>
      <c r="N401" s="355"/>
    </row>
    <row r="402" spans="1:14" s="425" customFormat="1" ht="59.25" customHeight="1">
      <c r="A402" s="355"/>
      <c r="B402" s="418"/>
      <c r="C402" s="419"/>
      <c r="D402" s="388"/>
      <c r="E402" s="388"/>
      <c r="F402" s="388"/>
      <c r="G402" s="420"/>
      <c r="H402" s="421"/>
      <c r="I402" s="421"/>
      <c r="J402" s="421"/>
      <c r="K402" s="422"/>
      <c r="L402" s="422"/>
      <c r="M402" s="423"/>
      <c r="N402" s="355"/>
    </row>
    <row r="403" spans="1:14" s="425" customFormat="1" ht="59.25" customHeight="1">
      <c r="A403" s="355"/>
      <c r="B403" s="418"/>
      <c r="C403" s="419"/>
      <c r="D403" s="388"/>
      <c r="E403" s="388"/>
      <c r="F403" s="388"/>
      <c r="G403" s="420"/>
      <c r="H403" s="421"/>
      <c r="I403" s="421"/>
      <c r="J403" s="421"/>
      <c r="K403" s="422"/>
      <c r="L403" s="422"/>
      <c r="M403" s="423"/>
      <c r="N403" s="355"/>
    </row>
    <row r="404" spans="1:14" s="425" customFormat="1" ht="59.25" customHeight="1">
      <c r="A404" s="355"/>
      <c r="B404" s="418"/>
      <c r="C404" s="419"/>
      <c r="D404" s="388"/>
      <c r="E404" s="388"/>
      <c r="F404" s="388"/>
      <c r="G404" s="420"/>
      <c r="H404" s="421"/>
      <c r="I404" s="421"/>
      <c r="J404" s="421"/>
      <c r="K404" s="422"/>
      <c r="L404" s="422"/>
      <c r="M404" s="423"/>
      <c r="N404" s="355"/>
    </row>
    <row r="405" spans="1:14" s="425" customFormat="1" ht="59.25" customHeight="1">
      <c r="A405" s="355"/>
      <c r="B405" s="418"/>
      <c r="C405" s="419"/>
      <c r="D405" s="388"/>
      <c r="E405" s="388"/>
      <c r="F405" s="388"/>
      <c r="G405" s="420"/>
      <c r="H405" s="421"/>
      <c r="I405" s="421"/>
      <c r="J405" s="421"/>
      <c r="K405" s="422"/>
      <c r="L405" s="422"/>
      <c r="M405" s="423"/>
      <c r="N405" s="355"/>
    </row>
    <row r="406" spans="1:14" s="425" customFormat="1" ht="59.25" customHeight="1">
      <c r="A406" s="355"/>
      <c r="B406" s="418"/>
      <c r="C406" s="419"/>
      <c r="D406" s="388"/>
      <c r="E406" s="388"/>
      <c r="F406" s="388"/>
      <c r="G406" s="420"/>
      <c r="H406" s="421"/>
      <c r="I406" s="421"/>
      <c r="J406" s="421"/>
      <c r="K406" s="422"/>
      <c r="L406" s="422"/>
      <c r="M406" s="423"/>
      <c r="N406" s="355"/>
    </row>
    <row r="407" spans="1:14" s="425" customFormat="1" ht="59.25" customHeight="1">
      <c r="A407" s="355"/>
      <c r="B407" s="418"/>
      <c r="C407" s="419"/>
      <c r="D407" s="388"/>
      <c r="E407" s="388"/>
      <c r="F407" s="388"/>
      <c r="G407" s="420"/>
      <c r="H407" s="421"/>
      <c r="I407" s="421"/>
      <c r="J407" s="421"/>
      <c r="K407" s="422"/>
      <c r="L407" s="422"/>
      <c r="M407" s="423"/>
      <c r="N407" s="355"/>
    </row>
    <row r="408" spans="1:14" s="425" customFormat="1" ht="59.25" customHeight="1">
      <c r="A408" s="355"/>
      <c r="B408" s="418"/>
      <c r="C408" s="419"/>
      <c r="D408" s="388"/>
      <c r="E408" s="388"/>
      <c r="F408" s="388"/>
      <c r="G408" s="420"/>
      <c r="H408" s="421"/>
      <c r="I408" s="421"/>
      <c r="J408" s="421"/>
      <c r="K408" s="422"/>
      <c r="L408" s="422"/>
      <c r="M408" s="423"/>
      <c r="N408" s="355"/>
    </row>
    <row r="409" spans="1:14" s="425" customFormat="1" ht="59.25" customHeight="1">
      <c r="A409" s="355"/>
      <c r="B409" s="418"/>
      <c r="C409" s="419"/>
      <c r="D409" s="388"/>
      <c r="E409" s="388"/>
      <c r="F409" s="388"/>
      <c r="G409" s="420"/>
      <c r="H409" s="421"/>
      <c r="I409" s="421"/>
      <c r="J409" s="421"/>
      <c r="K409" s="422"/>
      <c r="L409" s="422"/>
      <c r="M409" s="423"/>
      <c r="N409" s="355"/>
    </row>
    <row r="410" spans="1:14" s="425" customFormat="1" ht="59.25" customHeight="1">
      <c r="A410" s="355"/>
      <c r="B410" s="418"/>
      <c r="C410" s="419"/>
      <c r="D410" s="388"/>
      <c r="E410" s="388"/>
      <c r="F410" s="388"/>
      <c r="G410" s="420"/>
      <c r="H410" s="421"/>
      <c r="I410" s="421"/>
      <c r="J410" s="421"/>
      <c r="K410" s="422"/>
      <c r="L410" s="422"/>
      <c r="M410" s="423"/>
      <c r="N410" s="355"/>
    </row>
    <row r="411" spans="1:14" s="425" customFormat="1" ht="59.25" customHeight="1">
      <c r="A411" s="355"/>
      <c r="B411" s="418"/>
      <c r="C411" s="419"/>
      <c r="D411" s="388"/>
      <c r="E411" s="388"/>
      <c r="F411" s="388"/>
      <c r="G411" s="420"/>
      <c r="H411" s="421"/>
      <c r="I411" s="421"/>
      <c r="J411" s="421"/>
      <c r="K411" s="422"/>
      <c r="L411" s="422"/>
      <c r="M411" s="423"/>
      <c r="N411" s="355"/>
    </row>
    <row r="412" spans="1:14" s="425" customFormat="1" ht="59.25" customHeight="1">
      <c r="A412" s="355"/>
      <c r="B412" s="418"/>
      <c r="C412" s="419"/>
      <c r="D412" s="388"/>
      <c r="E412" s="388"/>
      <c r="F412" s="388"/>
      <c r="G412" s="420"/>
      <c r="H412" s="421"/>
      <c r="I412" s="421"/>
      <c r="J412" s="421"/>
      <c r="K412" s="422"/>
      <c r="L412" s="422"/>
      <c r="M412" s="423"/>
      <c r="N412" s="355"/>
    </row>
    <row r="413" spans="1:14" s="425" customFormat="1" ht="59.25" customHeight="1">
      <c r="A413" s="355"/>
      <c r="B413" s="418"/>
      <c r="C413" s="419"/>
      <c r="D413" s="388"/>
      <c r="E413" s="388"/>
      <c r="F413" s="388"/>
      <c r="G413" s="420"/>
      <c r="H413" s="421"/>
      <c r="I413" s="421"/>
      <c r="J413" s="421"/>
      <c r="K413" s="422"/>
      <c r="L413" s="422"/>
      <c r="M413" s="423"/>
      <c r="N413" s="355"/>
    </row>
    <row r="414" spans="1:14" s="425" customFormat="1" ht="59.25" customHeight="1">
      <c r="A414" s="355"/>
      <c r="B414" s="418"/>
      <c r="C414" s="419"/>
      <c r="D414" s="388"/>
      <c r="E414" s="388"/>
      <c r="F414" s="388"/>
      <c r="G414" s="420"/>
      <c r="H414" s="421"/>
      <c r="I414" s="421"/>
      <c r="J414" s="421"/>
      <c r="K414" s="422"/>
      <c r="L414" s="422"/>
      <c r="M414" s="423"/>
      <c r="N414" s="355"/>
    </row>
    <row r="415" spans="1:14" s="425" customFormat="1" ht="59.25" customHeight="1">
      <c r="A415" s="355"/>
      <c r="B415" s="418"/>
      <c r="C415" s="419"/>
      <c r="D415" s="388"/>
      <c r="E415" s="388"/>
      <c r="F415" s="388"/>
      <c r="G415" s="420"/>
      <c r="H415" s="421"/>
      <c r="I415" s="421"/>
      <c r="J415" s="421"/>
      <c r="K415" s="422"/>
      <c r="L415" s="422"/>
      <c r="M415" s="423"/>
      <c r="N415" s="355"/>
    </row>
    <row r="416" spans="1:14" s="425" customFormat="1" ht="59.25" customHeight="1">
      <c r="A416" s="355"/>
      <c r="B416" s="418"/>
      <c r="C416" s="419"/>
      <c r="D416" s="388"/>
      <c r="E416" s="388"/>
      <c r="F416" s="388"/>
      <c r="G416" s="420"/>
      <c r="H416" s="421"/>
      <c r="I416" s="421"/>
      <c r="J416" s="421"/>
      <c r="K416" s="422"/>
      <c r="L416" s="422"/>
      <c r="M416" s="423"/>
      <c r="N416" s="355"/>
    </row>
    <row r="417" spans="1:14" s="425" customFormat="1" ht="59.25" customHeight="1">
      <c r="A417" s="355"/>
      <c r="B417" s="418"/>
      <c r="C417" s="419"/>
      <c r="D417" s="388"/>
      <c r="E417" s="388"/>
      <c r="F417" s="388"/>
      <c r="G417" s="420"/>
      <c r="H417" s="421"/>
      <c r="I417" s="421"/>
      <c r="J417" s="421"/>
      <c r="K417" s="422"/>
      <c r="L417" s="422"/>
      <c r="M417" s="423"/>
      <c r="N417" s="355"/>
    </row>
    <row r="418" spans="1:14" s="425" customFormat="1" ht="59.25" customHeight="1">
      <c r="A418" s="355"/>
      <c r="B418" s="418"/>
      <c r="C418" s="419"/>
      <c r="D418" s="388"/>
      <c r="E418" s="388"/>
      <c r="F418" s="388"/>
      <c r="G418" s="420"/>
      <c r="H418" s="421"/>
      <c r="I418" s="421"/>
      <c r="J418" s="421"/>
      <c r="K418" s="422"/>
      <c r="L418" s="422"/>
      <c r="M418" s="423"/>
      <c r="N418" s="355"/>
    </row>
    <row r="419" spans="1:14" s="425" customFormat="1" ht="59.25" customHeight="1">
      <c r="A419" s="355"/>
      <c r="B419" s="418"/>
      <c r="C419" s="419"/>
      <c r="D419" s="388"/>
      <c r="E419" s="388"/>
      <c r="F419" s="388"/>
      <c r="G419" s="420"/>
      <c r="H419" s="421"/>
      <c r="I419" s="421"/>
      <c r="J419" s="421"/>
      <c r="K419" s="422"/>
      <c r="L419" s="422"/>
      <c r="M419" s="423"/>
      <c r="N419" s="355"/>
    </row>
    <row r="420" spans="1:14" s="425" customFormat="1" ht="59.25" customHeight="1">
      <c r="A420" s="355"/>
      <c r="B420" s="418"/>
      <c r="C420" s="419"/>
      <c r="D420" s="388"/>
      <c r="E420" s="388"/>
      <c r="F420" s="388"/>
      <c r="G420" s="420"/>
      <c r="H420" s="421"/>
      <c r="I420" s="421"/>
      <c r="J420" s="421"/>
      <c r="K420" s="422"/>
      <c r="L420" s="422"/>
      <c r="M420" s="423"/>
      <c r="N420" s="355"/>
    </row>
    <row r="421" spans="1:14" s="425" customFormat="1" ht="59.25" customHeight="1">
      <c r="A421" s="355"/>
      <c r="B421" s="418"/>
      <c r="C421" s="419"/>
      <c r="D421" s="388"/>
      <c r="E421" s="388"/>
      <c r="F421" s="388"/>
      <c r="G421" s="420"/>
      <c r="H421" s="158"/>
      <c r="I421" s="421"/>
      <c r="J421" s="421"/>
      <c r="K421" s="422"/>
      <c r="L421" s="422"/>
      <c r="M421" s="423"/>
      <c r="N421" s="355"/>
    </row>
    <row r="422" spans="1:14" s="425" customFormat="1" ht="59.25" customHeight="1">
      <c r="A422" s="355"/>
      <c r="B422" s="418"/>
      <c r="C422" s="419"/>
      <c r="D422" s="388"/>
      <c r="E422" s="388"/>
      <c r="F422" s="388"/>
      <c r="G422" s="420"/>
      <c r="H422" s="421"/>
      <c r="I422" s="421"/>
      <c r="J422" s="421"/>
      <c r="K422" s="422"/>
      <c r="L422" s="422"/>
      <c r="M422" s="423"/>
      <c r="N422" s="355"/>
    </row>
    <row r="423" spans="1:14" s="425" customFormat="1" ht="59.25" customHeight="1">
      <c r="A423" s="355"/>
      <c r="B423" s="418"/>
      <c r="C423" s="419"/>
      <c r="D423" s="388"/>
      <c r="E423" s="388"/>
      <c r="F423" s="388"/>
      <c r="G423" s="420"/>
      <c r="H423" s="421"/>
      <c r="I423" s="158"/>
      <c r="J423" s="421"/>
      <c r="K423" s="422"/>
      <c r="L423" s="422"/>
      <c r="M423" s="423"/>
      <c r="N423" s="355"/>
    </row>
    <row r="424" spans="1:14" s="425" customFormat="1" ht="59.25" customHeight="1">
      <c r="A424" s="355"/>
      <c r="B424" s="418"/>
      <c r="C424" s="419"/>
      <c r="D424" s="388"/>
      <c r="E424" s="388"/>
      <c r="F424" s="388"/>
      <c r="G424" s="420"/>
      <c r="H424" s="421"/>
      <c r="I424" s="421"/>
      <c r="J424" s="421"/>
      <c r="K424" s="422"/>
      <c r="L424" s="422"/>
      <c r="M424" s="423"/>
      <c r="N424" s="355"/>
    </row>
    <row r="425" spans="1:14" s="425" customFormat="1" ht="59.25" customHeight="1">
      <c r="A425" s="355"/>
      <c r="B425" s="418"/>
      <c r="C425" s="419"/>
      <c r="D425" s="388"/>
      <c r="E425" s="388"/>
      <c r="F425" s="388"/>
      <c r="G425" s="420"/>
      <c r="H425" s="421"/>
      <c r="I425" s="421"/>
      <c r="J425" s="421"/>
      <c r="K425" s="422"/>
      <c r="L425" s="422"/>
      <c r="M425" s="423"/>
      <c r="N425" s="355"/>
    </row>
    <row r="426" spans="1:14" s="425" customFormat="1" ht="59.25" customHeight="1">
      <c r="A426" s="355"/>
      <c r="B426" s="418"/>
      <c r="C426" s="419"/>
      <c r="D426" s="388"/>
      <c r="E426" s="388"/>
      <c r="F426" s="388"/>
      <c r="G426" s="420"/>
      <c r="H426" s="421"/>
      <c r="I426" s="421"/>
      <c r="J426" s="421"/>
      <c r="K426" s="422"/>
      <c r="L426" s="422"/>
      <c r="M426" s="423"/>
      <c r="N426" s="355"/>
    </row>
    <row r="427" spans="1:14" s="425" customFormat="1" ht="59.25" customHeight="1">
      <c r="A427" s="355"/>
      <c r="B427" s="418"/>
      <c r="C427" s="419"/>
      <c r="D427" s="388"/>
      <c r="E427" s="388"/>
      <c r="F427" s="388"/>
      <c r="G427" s="420"/>
      <c r="H427" s="421"/>
      <c r="I427" s="421"/>
      <c r="J427" s="421"/>
      <c r="K427" s="422"/>
      <c r="L427" s="422"/>
      <c r="M427" s="423"/>
      <c r="N427" s="355"/>
    </row>
    <row r="428" spans="1:14" s="425" customFormat="1" ht="59.25" customHeight="1">
      <c r="A428" s="355"/>
      <c r="B428" s="418"/>
      <c r="C428" s="419"/>
      <c r="D428" s="388"/>
      <c r="E428" s="388"/>
      <c r="F428" s="388"/>
      <c r="G428" s="420"/>
      <c r="H428" s="421"/>
      <c r="I428" s="421"/>
      <c r="J428" s="421"/>
      <c r="K428" s="422"/>
      <c r="L428" s="422"/>
      <c r="M428" s="423"/>
      <c r="N428" s="355"/>
    </row>
    <row r="429" spans="1:14" s="425" customFormat="1" ht="59.25" customHeight="1">
      <c r="A429" s="355"/>
      <c r="B429" s="418"/>
      <c r="C429" s="419"/>
      <c r="D429" s="388"/>
      <c r="E429" s="388"/>
      <c r="F429" s="388"/>
      <c r="G429" s="420"/>
      <c r="H429" s="421"/>
      <c r="I429" s="421"/>
      <c r="J429" s="421"/>
      <c r="K429" s="422"/>
      <c r="L429" s="422"/>
      <c r="M429" s="423"/>
      <c r="N429" s="355"/>
    </row>
    <row r="430" spans="1:14" s="425" customFormat="1" ht="59.25" customHeight="1">
      <c r="A430" s="355"/>
      <c r="B430" s="418"/>
      <c r="C430" s="419"/>
      <c r="D430" s="388"/>
      <c r="E430" s="388"/>
      <c r="F430" s="388"/>
      <c r="G430" s="420"/>
      <c r="H430" s="421"/>
      <c r="I430" s="421"/>
      <c r="J430" s="421"/>
      <c r="K430" s="422"/>
      <c r="L430" s="422"/>
      <c r="M430" s="423"/>
      <c r="N430" s="355"/>
    </row>
    <row r="431" spans="1:14" s="425" customFormat="1" ht="59.25" customHeight="1">
      <c r="A431" s="355"/>
      <c r="B431" s="418"/>
      <c r="C431" s="419"/>
      <c r="D431" s="388"/>
      <c r="E431" s="388"/>
      <c r="F431" s="388"/>
      <c r="G431" s="420"/>
      <c r="H431" s="421"/>
      <c r="I431" s="421"/>
      <c r="J431" s="421"/>
      <c r="K431" s="422"/>
      <c r="L431" s="422"/>
      <c r="M431" s="423"/>
      <c r="N431" s="355"/>
    </row>
    <row r="432" spans="1:14" s="425" customFormat="1" ht="59.25" customHeight="1">
      <c r="A432" s="355"/>
      <c r="B432" s="418"/>
      <c r="C432" s="419"/>
      <c r="D432" s="388"/>
      <c r="E432" s="388"/>
      <c r="F432" s="388"/>
      <c r="G432" s="420"/>
      <c r="H432" s="421"/>
      <c r="I432" s="421"/>
      <c r="J432" s="421"/>
      <c r="K432" s="422"/>
      <c r="L432" s="422"/>
      <c r="M432" s="423"/>
      <c r="N432" s="355"/>
    </row>
    <row r="433" spans="1:14" s="425" customFormat="1" ht="59.25" customHeight="1">
      <c r="A433" s="355"/>
      <c r="B433" s="418"/>
      <c r="C433" s="419"/>
      <c r="D433" s="388"/>
      <c r="E433" s="388"/>
      <c r="F433" s="388"/>
      <c r="G433" s="420"/>
      <c r="H433" s="421"/>
      <c r="I433" s="421"/>
      <c r="J433" s="421"/>
      <c r="K433" s="422"/>
      <c r="L433" s="422"/>
      <c r="M433" s="423"/>
      <c r="N433" s="355"/>
    </row>
    <row r="434" spans="1:14" s="425" customFormat="1" ht="59.25" customHeight="1">
      <c r="A434" s="355"/>
      <c r="B434" s="418"/>
      <c r="C434" s="419"/>
      <c r="D434" s="388"/>
      <c r="E434" s="388"/>
      <c r="F434" s="388"/>
      <c r="G434" s="420"/>
      <c r="H434" s="421"/>
      <c r="I434" s="421"/>
      <c r="J434" s="421"/>
      <c r="K434" s="422"/>
      <c r="L434" s="422"/>
      <c r="M434" s="423"/>
      <c r="N434" s="355"/>
    </row>
    <row r="435" spans="1:14" s="425" customFormat="1" ht="59.25" customHeight="1">
      <c r="A435" s="355"/>
      <c r="B435" s="418"/>
      <c r="C435" s="419"/>
      <c r="D435" s="388"/>
      <c r="E435" s="388"/>
      <c r="F435" s="388"/>
      <c r="G435" s="420"/>
      <c r="H435" s="421"/>
      <c r="I435" s="421"/>
      <c r="J435" s="421"/>
      <c r="K435" s="422"/>
      <c r="L435" s="422"/>
      <c r="M435" s="423"/>
      <c r="N435" s="355"/>
    </row>
    <row r="436" spans="1:14" s="425" customFormat="1" ht="59.25" customHeight="1">
      <c r="A436" s="355"/>
      <c r="B436" s="418"/>
      <c r="C436" s="419"/>
      <c r="D436" s="388"/>
      <c r="E436" s="388"/>
      <c r="F436" s="388"/>
      <c r="G436" s="420"/>
      <c r="H436" s="421"/>
      <c r="I436" s="421"/>
      <c r="J436" s="421"/>
      <c r="K436" s="422"/>
      <c r="L436" s="422"/>
      <c r="M436" s="423"/>
      <c r="N436" s="355"/>
    </row>
    <row r="437" spans="1:14" s="425" customFormat="1" ht="59.25" customHeight="1">
      <c r="A437" s="355"/>
      <c r="B437" s="418"/>
      <c r="C437" s="419"/>
      <c r="D437" s="388"/>
      <c r="E437" s="388"/>
      <c r="F437" s="388"/>
      <c r="G437" s="420"/>
      <c r="H437" s="421"/>
      <c r="I437" s="421"/>
      <c r="J437" s="421"/>
      <c r="K437" s="422"/>
      <c r="L437" s="422"/>
      <c r="M437" s="423"/>
      <c r="N437" s="355"/>
    </row>
    <row r="438" spans="1:14" s="425" customFormat="1" ht="59.25" customHeight="1">
      <c r="A438" s="355"/>
      <c r="B438" s="418"/>
      <c r="C438" s="419"/>
      <c r="D438" s="388"/>
      <c r="E438" s="388"/>
      <c r="F438" s="388"/>
      <c r="G438" s="420"/>
      <c r="H438" s="421"/>
      <c r="I438" s="421"/>
      <c r="J438" s="421"/>
      <c r="K438" s="422"/>
      <c r="L438" s="422"/>
      <c r="M438" s="423"/>
      <c r="N438" s="355"/>
    </row>
    <row r="439" spans="1:14" s="425" customFormat="1" ht="59.25" customHeight="1">
      <c r="A439" s="355"/>
      <c r="B439" s="418"/>
      <c r="C439" s="419"/>
      <c r="D439" s="388"/>
      <c r="E439" s="388"/>
      <c r="F439" s="388"/>
      <c r="G439" s="420"/>
      <c r="H439" s="421"/>
      <c r="I439" s="421"/>
      <c r="J439" s="421"/>
      <c r="K439" s="422"/>
      <c r="L439" s="422"/>
      <c r="M439" s="423"/>
      <c r="N439" s="355"/>
    </row>
    <row r="440" spans="1:14" s="425" customFormat="1" ht="59.25" customHeight="1">
      <c r="A440" s="355"/>
      <c r="B440" s="418"/>
      <c r="C440" s="419"/>
      <c r="D440" s="388"/>
      <c r="E440" s="388"/>
      <c r="F440" s="388"/>
      <c r="G440" s="420"/>
      <c r="H440" s="392"/>
      <c r="I440" s="421"/>
      <c r="J440" s="421"/>
      <c r="K440" s="422"/>
      <c r="L440" s="422"/>
      <c r="M440" s="423"/>
      <c r="N440" s="355"/>
    </row>
    <row r="441" spans="1:14" s="425" customFormat="1" ht="59.25" customHeight="1">
      <c r="A441" s="355"/>
      <c r="B441" s="418"/>
      <c r="C441" s="419"/>
      <c r="D441" s="388"/>
      <c r="E441" s="388"/>
      <c r="F441" s="388"/>
      <c r="G441" s="420"/>
      <c r="H441" s="421"/>
      <c r="I441" s="421"/>
      <c r="J441" s="421"/>
      <c r="K441" s="422"/>
      <c r="L441" s="422"/>
      <c r="M441" s="423"/>
      <c r="N441" s="355"/>
    </row>
    <row r="442" spans="1:14" s="425" customFormat="1" ht="59.25" customHeight="1">
      <c r="A442" s="355"/>
      <c r="B442" s="418"/>
      <c r="C442" s="419"/>
      <c r="D442" s="388"/>
      <c r="E442" s="388"/>
      <c r="F442" s="388"/>
      <c r="G442" s="420"/>
      <c r="H442" s="426"/>
      <c r="I442" s="158"/>
      <c r="J442" s="421"/>
      <c r="K442" s="422"/>
      <c r="L442" s="422"/>
      <c r="M442" s="423"/>
      <c r="N442" s="355"/>
    </row>
    <row r="443" spans="1:14" s="425" customFormat="1" ht="59.25" customHeight="1">
      <c r="A443" s="355"/>
      <c r="B443" s="418"/>
      <c r="C443" s="419"/>
      <c r="D443" s="388"/>
      <c r="E443" s="388"/>
      <c r="F443" s="388"/>
      <c r="G443" s="420"/>
      <c r="H443" s="158"/>
      <c r="I443" s="427"/>
      <c r="J443" s="421"/>
      <c r="K443" s="422"/>
      <c r="L443" s="422"/>
      <c r="M443" s="423"/>
      <c r="N443" s="355"/>
    </row>
    <row r="444" spans="1:14" s="425" customFormat="1" ht="59.25" customHeight="1">
      <c r="A444" s="355"/>
      <c r="B444" s="418"/>
      <c r="C444" s="419"/>
      <c r="D444" s="388"/>
      <c r="E444" s="388"/>
      <c r="F444" s="388"/>
      <c r="G444" s="420"/>
      <c r="H444" s="426"/>
      <c r="I444" s="426"/>
      <c r="J444" s="421"/>
      <c r="K444" s="422"/>
      <c r="L444" s="422"/>
      <c r="M444" s="423"/>
      <c r="N444" s="355"/>
    </row>
    <row r="445" spans="1:14" s="425" customFormat="1" ht="59.25" customHeight="1">
      <c r="A445" s="355"/>
      <c r="B445" s="418"/>
      <c r="C445" s="419"/>
      <c r="D445" s="388"/>
      <c r="E445" s="388"/>
      <c r="F445" s="388"/>
      <c r="G445" s="420"/>
      <c r="H445" s="426"/>
      <c r="I445" s="158"/>
      <c r="J445" s="421"/>
      <c r="K445" s="422"/>
      <c r="L445" s="422"/>
      <c r="M445" s="423"/>
      <c r="N445" s="355"/>
    </row>
    <row r="446" spans="1:14" s="425" customFormat="1" ht="59.25" customHeight="1">
      <c r="A446" s="355"/>
      <c r="B446" s="418"/>
      <c r="C446" s="419"/>
      <c r="D446" s="388"/>
      <c r="E446" s="388"/>
      <c r="F446" s="388"/>
      <c r="G446" s="420"/>
      <c r="H446" s="426"/>
      <c r="I446" s="427"/>
      <c r="J446" s="421"/>
      <c r="K446" s="422"/>
      <c r="L446" s="422"/>
      <c r="M446" s="423"/>
      <c r="N446" s="355"/>
    </row>
    <row r="447" spans="1:14" s="425" customFormat="1" ht="59.25" customHeight="1">
      <c r="A447" s="355"/>
      <c r="B447" s="418"/>
      <c r="C447" s="419"/>
      <c r="D447" s="388"/>
      <c r="E447" s="388"/>
      <c r="F447" s="388"/>
      <c r="G447" s="420"/>
      <c r="H447" s="426"/>
      <c r="I447" s="427"/>
      <c r="J447" s="421"/>
      <c r="K447" s="422"/>
      <c r="L447" s="422"/>
      <c r="M447" s="423"/>
      <c r="N447" s="355"/>
    </row>
    <row r="448" spans="1:14" s="425" customFormat="1" ht="59.25" customHeight="1">
      <c r="A448" s="355"/>
      <c r="B448" s="418"/>
      <c r="C448" s="419"/>
      <c r="D448" s="388"/>
      <c r="E448" s="388"/>
      <c r="F448" s="388"/>
      <c r="G448" s="420"/>
      <c r="H448" s="426"/>
      <c r="I448" s="427"/>
      <c r="J448" s="421"/>
      <c r="K448" s="422"/>
      <c r="L448" s="422"/>
      <c r="M448" s="423"/>
      <c r="N448" s="355"/>
    </row>
    <row r="449" spans="1:14" s="425" customFormat="1" ht="59.25" customHeight="1">
      <c r="A449" s="355"/>
      <c r="B449" s="418"/>
      <c r="C449" s="419"/>
      <c r="D449" s="388"/>
      <c r="E449" s="388"/>
      <c r="F449" s="388"/>
      <c r="G449" s="420"/>
      <c r="H449" s="426"/>
      <c r="I449" s="427"/>
      <c r="J449" s="421"/>
      <c r="K449" s="422"/>
      <c r="L449" s="422"/>
      <c r="M449" s="423"/>
      <c r="N449" s="355"/>
    </row>
    <row r="450" spans="1:14" s="425" customFormat="1" ht="59.25" customHeight="1">
      <c r="A450" s="355"/>
      <c r="B450" s="418"/>
      <c r="C450" s="419"/>
      <c r="D450" s="388"/>
      <c r="E450" s="388"/>
      <c r="F450" s="388"/>
      <c r="G450" s="420"/>
      <c r="H450" s="426"/>
      <c r="I450" s="427"/>
      <c r="J450" s="421"/>
      <c r="K450" s="422"/>
      <c r="L450" s="422"/>
      <c r="M450" s="423"/>
      <c r="N450" s="355"/>
    </row>
    <row r="451" spans="1:14" s="425" customFormat="1" ht="59.25" customHeight="1">
      <c r="A451" s="355"/>
      <c r="B451" s="418"/>
      <c r="C451" s="419"/>
      <c r="D451" s="388"/>
      <c r="E451" s="388"/>
      <c r="F451" s="388"/>
      <c r="G451" s="420"/>
      <c r="H451" s="426"/>
      <c r="I451" s="427"/>
      <c r="J451" s="421"/>
      <c r="K451" s="422"/>
      <c r="L451" s="422"/>
      <c r="M451" s="423"/>
      <c r="N451" s="355"/>
    </row>
    <row r="452" spans="1:14" s="425" customFormat="1" ht="59.25" customHeight="1">
      <c r="A452" s="355"/>
      <c r="B452" s="418"/>
      <c r="C452" s="419"/>
      <c r="D452" s="388"/>
      <c r="E452" s="388"/>
      <c r="F452" s="388"/>
      <c r="G452" s="420"/>
      <c r="H452" s="426"/>
      <c r="I452" s="427"/>
      <c r="J452" s="421"/>
      <c r="K452" s="422"/>
      <c r="L452" s="422"/>
      <c r="M452" s="423"/>
      <c r="N452" s="355"/>
    </row>
    <row r="453" spans="1:14" s="425" customFormat="1" ht="59.25" customHeight="1">
      <c r="A453" s="355"/>
      <c r="B453" s="418"/>
      <c r="C453" s="419"/>
      <c r="D453" s="388"/>
      <c r="E453" s="388"/>
      <c r="F453" s="388"/>
      <c r="G453" s="420"/>
      <c r="H453" s="426"/>
      <c r="I453" s="427"/>
      <c r="J453" s="421"/>
      <c r="K453" s="422"/>
      <c r="L453" s="422"/>
      <c r="M453" s="423"/>
      <c r="N453" s="355"/>
    </row>
    <row r="454" spans="1:14" s="425" customFormat="1" ht="59.25" customHeight="1">
      <c r="A454" s="355"/>
      <c r="B454" s="418"/>
      <c r="C454" s="419"/>
      <c r="D454" s="388"/>
      <c r="E454" s="388"/>
      <c r="F454" s="388"/>
      <c r="G454" s="420"/>
      <c r="H454" s="426"/>
      <c r="I454" s="427"/>
      <c r="J454" s="421"/>
      <c r="K454" s="422"/>
      <c r="L454" s="422"/>
      <c r="M454" s="423"/>
      <c r="N454" s="355"/>
    </row>
    <row r="455" spans="1:14" s="425" customFormat="1" ht="59.25" customHeight="1">
      <c r="A455" s="355"/>
      <c r="B455" s="418"/>
      <c r="C455" s="419"/>
      <c r="D455" s="388"/>
      <c r="E455" s="388"/>
      <c r="F455" s="388"/>
      <c r="G455" s="420"/>
      <c r="H455" s="421"/>
      <c r="I455" s="427"/>
      <c r="J455" s="421"/>
      <c r="K455" s="422"/>
      <c r="L455" s="422"/>
      <c r="M455" s="423"/>
      <c r="N455" s="355"/>
    </row>
    <row r="456" spans="1:14" s="425" customFormat="1" ht="59.25" customHeight="1">
      <c r="A456" s="355"/>
      <c r="B456" s="418"/>
      <c r="C456" s="419"/>
      <c r="D456" s="388"/>
      <c r="E456" s="388"/>
      <c r="F456" s="388"/>
      <c r="G456" s="420"/>
      <c r="H456" s="421"/>
      <c r="I456" s="427"/>
      <c r="J456" s="421"/>
      <c r="K456" s="422"/>
      <c r="L456" s="422"/>
      <c r="M456" s="423"/>
      <c r="N456" s="355"/>
    </row>
    <row r="457" spans="1:14" s="425" customFormat="1" ht="59.25" customHeight="1">
      <c r="A457" s="355"/>
      <c r="B457" s="418"/>
      <c r="C457" s="419"/>
      <c r="D457" s="388"/>
      <c r="E457" s="388"/>
      <c r="F457" s="388"/>
      <c r="G457" s="420"/>
      <c r="H457" s="421"/>
      <c r="I457" s="427"/>
      <c r="J457" s="421"/>
      <c r="K457" s="422"/>
      <c r="L457" s="422"/>
      <c r="M457" s="423"/>
      <c r="N457" s="355"/>
    </row>
    <row r="458" spans="1:14" s="425" customFormat="1" ht="59.25" customHeight="1">
      <c r="A458" s="355"/>
      <c r="B458" s="418"/>
      <c r="C458" s="419"/>
      <c r="D458" s="388"/>
      <c r="E458" s="388"/>
      <c r="F458" s="388"/>
      <c r="G458" s="420"/>
      <c r="H458" s="421"/>
      <c r="I458" s="427"/>
      <c r="J458" s="421"/>
      <c r="K458" s="422"/>
      <c r="L458" s="422"/>
      <c r="M458" s="423"/>
      <c r="N458" s="355"/>
    </row>
    <row r="459" spans="1:14" s="425" customFormat="1" ht="59.25" customHeight="1">
      <c r="A459" s="355"/>
      <c r="B459" s="418"/>
      <c r="C459" s="419"/>
      <c r="D459" s="388"/>
      <c r="E459" s="388"/>
      <c r="F459" s="388"/>
      <c r="G459" s="420"/>
      <c r="H459" s="421"/>
      <c r="I459" s="427"/>
      <c r="J459" s="421"/>
      <c r="K459" s="422"/>
      <c r="L459" s="422"/>
      <c r="M459" s="423"/>
      <c r="N459" s="355"/>
    </row>
    <row r="460" spans="1:14" s="425" customFormat="1" ht="59.25" customHeight="1">
      <c r="A460" s="355"/>
      <c r="B460" s="418"/>
      <c r="C460" s="419"/>
      <c r="D460" s="388"/>
      <c r="E460" s="388"/>
      <c r="F460" s="388"/>
      <c r="G460" s="420"/>
      <c r="H460" s="421"/>
      <c r="I460" s="427"/>
      <c r="J460" s="421"/>
      <c r="K460" s="422"/>
      <c r="L460" s="422"/>
      <c r="M460" s="423"/>
      <c r="N460" s="355"/>
    </row>
    <row r="461" spans="1:14" s="425" customFormat="1" ht="59.25" customHeight="1">
      <c r="A461" s="355"/>
      <c r="B461" s="418"/>
      <c r="C461" s="419"/>
      <c r="D461" s="388"/>
      <c r="E461" s="388"/>
      <c r="F461" s="388"/>
      <c r="G461" s="420"/>
      <c r="H461" s="421"/>
      <c r="I461" s="427"/>
      <c r="J461" s="421"/>
      <c r="K461" s="422"/>
      <c r="L461" s="422"/>
      <c r="M461" s="423"/>
      <c r="N461" s="355"/>
    </row>
    <row r="462" spans="1:14" s="425" customFormat="1" ht="59.25" customHeight="1">
      <c r="A462" s="355"/>
      <c r="B462" s="418"/>
      <c r="C462" s="419"/>
      <c r="D462" s="388"/>
      <c r="E462" s="388"/>
      <c r="F462" s="388"/>
      <c r="G462" s="420"/>
      <c r="H462" s="421"/>
      <c r="I462" s="427"/>
      <c r="J462" s="421"/>
      <c r="K462" s="422"/>
      <c r="L462" s="422"/>
      <c r="M462" s="423"/>
      <c r="N462" s="355"/>
    </row>
    <row r="463" spans="1:14" s="425" customFormat="1" ht="59.25" customHeight="1">
      <c r="A463" s="355"/>
      <c r="B463" s="418"/>
      <c r="C463" s="419"/>
      <c r="D463" s="388"/>
      <c r="E463" s="388"/>
      <c r="F463" s="388"/>
      <c r="G463" s="420"/>
      <c r="H463" s="421"/>
      <c r="I463" s="427"/>
      <c r="J463" s="421"/>
      <c r="K463" s="422"/>
      <c r="L463" s="422"/>
      <c r="M463" s="423"/>
      <c r="N463" s="355"/>
    </row>
    <row r="464" spans="1:14" s="425" customFormat="1" ht="59.25" customHeight="1">
      <c r="A464" s="355"/>
      <c r="B464" s="418"/>
      <c r="C464" s="419"/>
      <c r="D464" s="388"/>
      <c r="E464" s="388"/>
      <c r="F464" s="388"/>
      <c r="G464" s="420"/>
      <c r="H464" s="421"/>
      <c r="I464" s="427"/>
      <c r="J464" s="421"/>
      <c r="K464" s="422"/>
      <c r="L464" s="422"/>
      <c r="M464" s="423"/>
      <c r="N464" s="355"/>
    </row>
    <row r="465" spans="1:14" s="425" customFormat="1" ht="59.25" customHeight="1">
      <c r="A465" s="355"/>
      <c r="B465" s="418"/>
      <c r="C465" s="419"/>
      <c r="D465" s="388"/>
      <c r="E465" s="388"/>
      <c r="F465" s="388"/>
      <c r="G465" s="420"/>
      <c r="H465" s="421"/>
      <c r="I465" s="427"/>
      <c r="J465" s="421"/>
      <c r="K465" s="422"/>
      <c r="L465" s="422"/>
      <c r="M465" s="423"/>
      <c r="N465" s="355"/>
    </row>
    <row r="466" spans="1:14" s="425" customFormat="1" ht="59.25" customHeight="1">
      <c r="A466" s="355"/>
      <c r="B466" s="418"/>
      <c r="C466" s="419"/>
      <c r="D466" s="388"/>
      <c r="E466" s="388"/>
      <c r="F466" s="388"/>
      <c r="G466" s="420"/>
      <c r="H466" s="421"/>
      <c r="I466" s="427"/>
      <c r="J466" s="421"/>
      <c r="K466" s="422"/>
      <c r="L466" s="422"/>
      <c r="M466" s="423"/>
      <c r="N466" s="355"/>
    </row>
    <row r="467" spans="1:14" s="425" customFormat="1" ht="59.25" customHeight="1">
      <c r="A467" s="355"/>
      <c r="B467" s="418"/>
      <c r="C467" s="419"/>
      <c r="D467" s="388"/>
      <c r="E467" s="388"/>
      <c r="F467" s="388"/>
      <c r="G467" s="420"/>
      <c r="H467" s="421"/>
      <c r="I467" s="427"/>
      <c r="J467" s="421"/>
      <c r="K467" s="422"/>
      <c r="L467" s="422"/>
      <c r="M467" s="423"/>
      <c r="N467" s="355"/>
    </row>
    <row r="468" spans="1:14" s="425" customFormat="1" ht="59.25" customHeight="1">
      <c r="A468" s="355"/>
      <c r="B468" s="418"/>
      <c r="C468" s="419"/>
      <c r="D468" s="388"/>
      <c r="E468" s="388"/>
      <c r="F468" s="388"/>
      <c r="G468" s="420"/>
      <c r="H468" s="421"/>
      <c r="I468" s="427"/>
      <c r="J468" s="421"/>
      <c r="K468" s="422"/>
      <c r="L468" s="422"/>
      <c r="M468" s="423"/>
      <c r="N468" s="355"/>
    </row>
    <row r="469" spans="1:14" s="425" customFormat="1" ht="59.25" customHeight="1">
      <c r="A469" s="355"/>
      <c r="B469" s="418"/>
      <c r="C469" s="419"/>
      <c r="D469" s="388"/>
      <c r="E469" s="388"/>
      <c r="F469" s="388"/>
      <c r="G469" s="420"/>
      <c r="H469" s="428"/>
      <c r="I469" s="427"/>
      <c r="J469" s="421"/>
      <c r="K469" s="422"/>
      <c r="L469" s="422"/>
      <c r="M469" s="423"/>
      <c r="N469" s="355"/>
    </row>
    <row r="470" spans="1:14" s="425" customFormat="1" ht="59.25" customHeight="1">
      <c r="A470" s="355"/>
      <c r="B470" s="418"/>
      <c r="C470" s="419"/>
      <c r="D470" s="388"/>
      <c r="E470" s="388"/>
      <c r="F470" s="388"/>
      <c r="G470" s="420"/>
      <c r="H470" s="421"/>
      <c r="I470" s="427"/>
      <c r="J470" s="421"/>
      <c r="K470" s="422"/>
      <c r="L470" s="422"/>
      <c r="M470" s="423"/>
      <c r="N470" s="355"/>
    </row>
    <row r="471" spans="1:14" s="425" customFormat="1" ht="59.25" customHeight="1">
      <c r="A471" s="355"/>
      <c r="B471" s="418"/>
      <c r="C471" s="419"/>
      <c r="D471" s="388"/>
      <c r="E471" s="388"/>
      <c r="F471" s="388"/>
      <c r="G471" s="420"/>
      <c r="H471" s="421"/>
      <c r="I471" s="428"/>
      <c r="J471" s="421"/>
      <c r="K471" s="422"/>
      <c r="L471" s="422"/>
      <c r="M471" s="423"/>
      <c r="N471" s="355"/>
    </row>
    <row r="472" spans="1:14" s="425" customFormat="1" ht="59.25" customHeight="1">
      <c r="A472" s="355"/>
      <c r="B472" s="418"/>
      <c r="C472" s="419"/>
      <c r="D472" s="388"/>
      <c r="E472" s="388"/>
      <c r="F472" s="388"/>
      <c r="G472" s="420"/>
      <c r="H472" s="421"/>
      <c r="I472" s="421"/>
      <c r="J472" s="421"/>
      <c r="K472" s="422"/>
      <c r="L472" s="422"/>
      <c r="M472" s="423"/>
      <c r="N472" s="355"/>
    </row>
    <row r="473" spans="1:14" s="425" customFormat="1" ht="59.25" customHeight="1">
      <c r="A473" s="355"/>
      <c r="B473" s="418"/>
      <c r="C473" s="419"/>
      <c r="D473" s="388"/>
      <c r="E473" s="388"/>
      <c r="F473" s="388"/>
      <c r="G473" s="420"/>
      <c r="H473" s="421"/>
      <c r="I473" s="421"/>
      <c r="J473" s="421"/>
      <c r="K473" s="422"/>
      <c r="L473" s="422"/>
      <c r="M473" s="423"/>
      <c r="N473" s="355"/>
    </row>
    <row r="474" spans="1:14" s="425" customFormat="1" ht="59.25" customHeight="1">
      <c r="A474" s="355"/>
      <c r="B474" s="418"/>
      <c r="C474" s="419"/>
      <c r="D474" s="388"/>
      <c r="E474" s="388"/>
      <c r="F474" s="388"/>
      <c r="G474" s="420"/>
      <c r="H474" s="421"/>
      <c r="I474" s="421"/>
      <c r="J474" s="421"/>
      <c r="K474" s="422"/>
      <c r="L474" s="422"/>
      <c r="M474" s="423"/>
      <c r="N474" s="355"/>
    </row>
    <row r="475" spans="1:14" s="425" customFormat="1" ht="59.25" customHeight="1">
      <c r="A475" s="355"/>
      <c r="B475" s="418"/>
      <c r="C475" s="419"/>
      <c r="D475" s="388"/>
      <c r="E475" s="388"/>
      <c r="F475" s="388"/>
      <c r="G475" s="420"/>
      <c r="H475" s="421"/>
      <c r="I475" s="421"/>
      <c r="J475" s="421"/>
      <c r="K475" s="422"/>
      <c r="L475" s="422"/>
      <c r="M475" s="423"/>
      <c r="N475" s="355"/>
    </row>
    <row r="476" spans="1:14" s="425" customFormat="1" ht="59.25" customHeight="1">
      <c r="A476" s="355"/>
      <c r="B476" s="418"/>
      <c r="C476" s="419"/>
      <c r="D476" s="388"/>
      <c r="E476" s="388"/>
      <c r="F476" s="388"/>
      <c r="G476" s="420"/>
      <c r="H476" s="421"/>
      <c r="I476" s="421"/>
      <c r="J476" s="421"/>
      <c r="K476" s="422"/>
      <c r="L476" s="422"/>
      <c r="M476" s="423"/>
      <c r="N476" s="355"/>
    </row>
    <row r="477" spans="1:14" s="425" customFormat="1" ht="59.25" customHeight="1">
      <c r="A477" s="355"/>
      <c r="B477" s="418"/>
      <c r="C477" s="419"/>
      <c r="D477" s="388"/>
      <c r="E477" s="388"/>
      <c r="F477" s="388"/>
      <c r="G477" s="420"/>
      <c r="H477" s="421"/>
      <c r="I477" s="421"/>
      <c r="J477" s="421"/>
      <c r="K477" s="422"/>
      <c r="L477" s="422"/>
      <c r="M477" s="423"/>
      <c r="N477" s="355"/>
    </row>
    <row r="478" spans="1:14" s="425" customFormat="1" ht="59.25" customHeight="1">
      <c r="A478" s="355"/>
      <c r="B478" s="418"/>
      <c r="C478" s="419"/>
      <c r="D478" s="388"/>
      <c r="E478" s="388"/>
      <c r="F478" s="388"/>
      <c r="G478" s="420"/>
      <c r="H478" s="421"/>
      <c r="I478" s="421"/>
      <c r="J478" s="421"/>
      <c r="K478" s="422"/>
      <c r="L478" s="422"/>
      <c r="M478" s="423"/>
      <c r="N478" s="355"/>
    </row>
    <row r="479" spans="1:14" s="425" customFormat="1" ht="59.25" customHeight="1">
      <c r="A479" s="355"/>
      <c r="B479" s="418"/>
      <c r="C479" s="419"/>
      <c r="D479" s="388"/>
      <c r="E479" s="388"/>
      <c r="F479" s="388"/>
      <c r="G479" s="420"/>
      <c r="H479" s="421"/>
      <c r="I479" s="421"/>
      <c r="J479" s="421"/>
      <c r="K479" s="422"/>
      <c r="L479" s="422"/>
      <c r="M479" s="423"/>
      <c r="N479" s="355"/>
    </row>
    <row r="480" spans="1:14" s="425" customFormat="1" ht="59.25" customHeight="1">
      <c r="A480" s="355"/>
      <c r="B480" s="418"/>
      <c r="C480" s="419"/>
      <c r="D480" s="388"/>
      <c r="E480" s="388"/>
      <c r="F480" s="388"/>
      <c r="G480" s="420"/>
      <c r="H480" s="421"/>
      <c r="I480" s="421"/>
      <c r="J480" s="421"/>
      <c r="K480" s="422"/>
      <c r="L480" s="422"/>
      <c r="M480" s="423"/>
      <c r="N480" s="355"/>
    </row>
    <row r="481" spans="1:14" s="425" customFormat="1" ht="59.25" customHeight="1">
      <c r="A481" s="355"/>
      <c r="B481" s="418"/>
      <c r="C481" s="419"/>
      <c r="D481" s="388"/>
      <c r="E481" s="388"/>
      <c r="F481" s="388"/>
      <c r="G481" s="420"/>
      <c r="H481" s="421"/>
      <c r="I481" s="421"/>
      <c r="J481" s="421"/>
      <c r="K481" s="422"/>
      <c r="L481" s="422"/>
      <c r="M481" s="423"/>
      <c r="N481" s="355"/>
    </row>
    <row r="482" spans="1:14" s="425" customFormat="1" ht="59.25" customHeight="1">
      <c r="A482" s="355"/>
      <c r="B482" s="418"/>
      <c r="C482" s="419"/>
      <c r="D482" s="388"/>
      <c r="E482" s="388"/>
      <c r="F482" s="388"/>
      <c r="G482" s="420"/>
      <c r="H482" s="421"/>
      <c r="I482" s="421"/>
      <c r="J482" s="421"/>
      <c r="K482" s="422"/>
      <c r="L482" s="422"/>
      <c r="M482" s="423"/>
      <c r="N482" s="355"/>
    </row>
    <row r="483" spans="1:14" s="425" customFormat="1" ht="59.25" customHeight="1">
      <c r="A483" s="355"/>
      <c r="B483" s="418"/>
      <c r="C483" s="419"/>
      <c r="D483" s="388"/>
      <c r="E483" s="388"/>
      <c r="F483" s="388"/>
      <c r="G483" s="420"/>
      <c r="H483" s="421"/>
      <c r="I483" s="421"/>
      <c r="J483" s="421"/>
      <c r="K483" s="422"/>
      <c r="L483" s="422"/>
      <c r="M483" s="423"/>
      <c r="N483" s="355"/>
    </row>
    <row r="484" spans="1:14" s="425" customFormat="1" ht="59.25" customHeight="1">
      <c r="A484" s="355"/>
      <c r="B484" s="418"/>
      <c r="C484" s="419"/>
      <c r="D484" s="388"/>
      <c r="E484" s="388"/>
      <c r="F484" s="388"/>
      <c r="G484" s="420"/>
      <c r="H484" s="421"/>
      <c r="I484" s="421"/>
      <c r="J484" s="421"/>
      <c r="K484" s="422"/>
      <c r="L484" s="422"/>
      <c r="M484" s="423"/>
      <c r="N484" s="355"/>
    </row>
    <row r="485" spans="1:14" s="425" customFormat="1" ht="59.25" customHeight="1">
      <c r="A485" s="355"/>
      <c r="B485" s="418"/>
      <c r="C485" s="419"/>
      <c r="D485" s="388"/>
      <c r="E485" s="388"/>
      <c r="F485" s="388"/>
      <c r="G485" s="420"/>
      <c r="H485" s="421"/>
      <c r="I485" s="421"/>
      <c r="J485" s="421"/>
      <c r="K485" s="422"/>
      <c r="L485" s="422"/>
      <c r="M485" s="423"/>
      <c r="N485" s="355"/>
    </row>
    <row r="486" spans="1:14" s="425" customFormat="1" ht="59.25" customHeight="1">
      <c r="A486" s="355"/>
      <c r="B486" s="418"/>
      <c r="C486" s="419"/>
      <c r="D486" s="388"/>
      <c r="E486" s="388"/>
      <c r="F486" s="388"/>
      <c r="G486" s="420"/>
      <c r="H486" s="421"/>
      <c r="I486" s="421"/>
      <c r="J486" s="421"/>
      <c r="K486" s="422"/>
      <c r="L486" s="422"/>
      <c r="M486" s="423"/>
      <c r="N486" s="355"/>
    </row>
    <row r="487" spans="1:14" s="425" customFormat="1" ht="59.25" customHeight="1">
      <c r="A487" s="355"/>
      <c r="B487" s="418"/>
      <c r="C487" s="419"/>
      <c r="D487" s="388"/>
      <c r="E487" s="388"/>
      <c r="F487" s="388"/>
      <c r="G487" s="420"/>
      <c r="H487" s="421"/>
      <c r="I487" s="421"/>
      <c r="J487" s="421"/>
      <c r="K487" s="422"/>
      <c r="L487" s="422"/>
      <c r="M487" s="423"/>
      <c r="N487" s="355"/>
    </row>
    <row r="488" spans="1:14" s="425" customFormat="1" ht="59.25" customHeight="1">
      <c r="A488" s="355"/>
      <c r="B488" s="418"/>
      <c r="C488" s="419"/>
      <c r="D488" s="388"/>
      <c r="E488" s="388"/>
      <c r="F488" s="388"/>
      <c r="G488" s="420"/>
      <c r="H488" s="421"/>
      <c r="I488" s="421"/>
      <c r="J488" s="421"/>
      <c r="K488" s="422"/>
      <c r="L488" s="422"/>
      <c r="M488" s="423"/>
      <c r="N488" s="355"/>
    </row>
    <row r="489" spans="1:14" s="425" customFormat="1" ht="59.25" customHeight="1">
      <c r="A489" s="355"/>
      <c r="B489" s="418"/>
      <c r="C489" s="419"/>
      <c r="D489" s="388"/>
      <c r="E489" s="388"/>
      <c r="F489" s="388"/>
      <c r="G489" s="420"/>
      <c r="H489" s="421"/>
      <c r="I489" s="421"/>
      <c r="J489" s="421"/>
      <c r="K489" s="422"/>
      <c r="L489" s="422"/>
      <c r="M489" s="423"/>
      <c r="N489" s="355"/>
    </row>
  </sheetData>
  <autoFilter ref="A19:M264" xr:uid="{1D0A7B0E-F6A2-4D6D-A0FC-2C82E7939114}">
    <filterColumn colId="11" showButton="0"/>
  </autoFilter>
  <mergeCells count="32">
    <mergeCell ref="A7:B7"/>
    <mergeCell ref="C7:E7"/>
    <mergeCell ref="H7:I7"/>
    <mergeCell ref="J7:K7"/>
    <mergeCell ref="B1:L1"/>
    <mergeCell ref="A2:M2"/>
    <mergeCell ref="A3:M3"/>
    <mergeCell ref="A4:M4"/>
    <mergeCell ref="A5:M5"/>
    <mergeCell ref="C9:E9"/>
    <mergeCell ref="G9:I9"/>
    <mergeCell ref="J9:K9"/>
    <mergeCell ref="C11:E11"/>
    <mergeCell ref="G11:I11"/>
    <mergeCell ref="J11:K11"/>
    <mergeCell ref="L19:M19"/>
    <mergeCell ref="A19:A20"/>
    <mergeCell ref="B19:B20"/>
    <mergeCell ref="C19:C20"/>
    <mergeCell ref="D19:D20"/>
    <mergeCell ref="E19:E20"/>
    <mergeCell ref="F19:F20"/>
    <mergeCell ref="G19:G20"/>
    <mergeCell ref="H19:H20"/>
    <mergeCell ref="I19:I20"/>
    <mergeCell ref="J19:J20"/>
    <mergeCell ref="K19:K20"/>
    <mergeCell ref="A21:E21"/>
    <mergeCell ref="A221:C221"/>
    <mergeCell ref="A243:E243"/>
    <mergeCell ref="A246:E246"/>
    <mergeCell ref="G264:K264"/>
  </mergeCells>
  <phoneticPr fontId="116" type="noConversion"/>
  <printOptions horizontalCentered="1"/>
  <pageMargins left="0.4" right="0.2" top="0.40748031499999998" bottom="0.15748031496063" header="0.15748031496063" footer="0.15748031496063"/>
  <pageSetup paperSize="9" scale="2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ECCC-0D89-4A12-837F-C0B606107D59}">
  <sheetPr>
    <pageSetUpPr fitToPage="1"/>
  </sheetPr>
  <dimension ref="A1:XFD124"/>
  <sheetViews>
    <sheetView topLeftCell="A40" zoomScale="50" zoomScaleNormal="50" workbookViewId="0">
      <selection activeCell="O6" sqref="N6:T7"/>
    </sheetView>
  </sheetViews>
  <sheetFormatPr defaultColWidth="9.1796875" defaultRowHeight="14.5"/>
  <cols>
    <col min="1" max="1" width="8.453125" style="523" customWidth="1"/>
    <col min="2" max="2" width="20.81640625" style="523" customWidth="1"/>
    <col min="3" max="3" width="12.54296875" style="524" customWidth="1"/>
    <col min="4" max="4" width="26.1796875" style="523" customWidth="1"/>
    <col min="5" max="5" width="20.453125" style="524" customWidth="1"/>
    <col min="6" max="6" width="9.54296875" style="523" customWidth="1"/>
    <col min="7" max="7" width="10.453125" style="524" bestFit="1" customWidth="1"/>
    <col min="8" max="8" width="10.81640625" style="524" customWidth="1"/>
    <col min="9" max="10" width="10.81640625" style="525" customWidth="1"/>
    <col min="11" max="15" width="10.81640625" style="524" customWidth="1"/>
    <col min="16" max="19" width="9.54296875" style="524" customWidth="1"/>
    <col min="20" max="20" width="25.26953125" style="524" customWidth="1"/>
    <col min="21" max="24" width="8.453125" style="524" customWidth="1"/>
    <col min="25" max="25" width="16.54296875" style="524" customWidth="1"/>
    <col min="26" max="26" width="15.81640625" style="524" customWidth="1"/>
    <col min="27" max="27" width="16.1796875" style="526" customWidth="1"/>
    <col min="28" max="28" width="35" style="523" customWidth="1"/>
    <col min="29" max="29" width="9.1796875" style="523"/>
    <col min="30" max="30" width="26.54296875" style="523" customWidth="1"/>
    <col min="31" max="16384" width="9.1796875" style="523"/>
  </cols>
  <sheetData>
    <row r="1" spans="1:28" s="469" customFormat="1" ht="96.75" customHeight="1">
      <c r="A1" s="639" t="s">
        <v>64</v>
      </c>
      <c r="B1" s="639"/>
      <c r="C1" s="639"/>
      <c r="D1" s="639"/>
      <c r="E1" s="639"/>
      <c r="F1" s="639"/>
      <c r="G1" s="639"/>
      <c r="H1" s="639"/>
      <c r="I1" s="639"/>
      <c r="J1" s="639"/>
      <c r="K1" s="639"/>
      <c r="L1" s="639"/>
      <c r="M1" s="639"/>
      <c r="N1" s="639"/>
      <c r="O1" s="639"/>
      <c r="P1" s="639"/>
      <c r="Q1" s="639"/>
      <c r="R1" s="639"/>
      <c r="S1" s="639"/>
      <c r="T1" s="639"/>
      <c r="U1" s="639"/>
      <c r="V1" s="639"/>
      <c r="W1" s="639"/>
      <c r="X1" s="639"/>
      <c r="Y1" s="639"/>
      <c r="Z1" s="639"/>
      <c r="AA1" s="639"/>
      <c r="AB1" s="639"/>
    </row>
    <row r="2" spans="1:28" s="469" customFormat="1" ht="44.25" customHeight="1">
      <c r="A2" s="639" t="s">
        <v>252</v>
      </c>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row>
    <row r="3" spans="1:28" s="469" customFormat="1" ht="25.5" customHeight="1">
      <c r="A3" s="640" t="s">
        <v>253</v>
      </c>
      <c r="B3" s="640"/>
      <c r="C3" s="640"/>
      <c r="D3" s="640"/>
      <c r="E3" s="640"/>
      <c r="F3" s="640"/>
      <c r="G3" s="640"/>
      <c r="H3" s="640"/>
      <c r="I3" s="640"/>
      <c r="J3" s="640"/>
      <c r="K3" s="640"/>
      <c r="L3" s="640"/>
      <c r="M3" s="640"/>
      <c r="N3" s="640"/>
      <c r="O3" s="640"/>
      <c r="P3" s="640"/>
      <c r="Q3" s="640"/>
      <c r="R3" s="640"/>
      <c r="S3" s="640"/>
      <c r="T3" s="640"/>
      <c r="U3" s="640"/>
      <c r="V3" s="640"/>
      <c r="W3" s="640"/>
      <c r="X3" s="640"/>
      <c r="Y3" s="640"/>
      <c r="Z3" s="640"/>
      <c r="AA3" s="640"/>
      <c r="AB3" s="640"/>
    </row>
    <row r="4" spans="1:28" s="469" customFormat="1" ht="17.25" customHeight="1">
      <c r="A4" s="470"/>
      <c r="B4" s="102"/>
      <c r="C4" s="71"/>
      <c r="D4" s="71"/>
      <c r="E4" s="71"/>
      <c r="F4" s="71"/>
      <c r="G4" s="71"/>
      <c r="H4" s="71"/>
      <c r="I4" s="107"/>
      <c r="J4" s="107"/>
      <c r="K4" s="71"/>
      <c r="L4" s="71"/>
      <c r="M4" s="71"/>
      <c r="N4" s="71"/>
      <c r="O4" s="71"/>
      <c r="P4" s="71"/>
      <c r="Q4" s="71"/>
      <c r="R4" s="71"/>
      <c r="S4" s="71"/>
      <c r="T4" s="471"/>
      <c r="U4" s="471"/>
      <c r="V4" s="471"/>
      <c r="W4" s="471"/>
      <c r="X4" s="471"/>
      <c r="Y4" s="471"/>
      <c r="Z4" s="471"/>
      <c r="AA4" s="471"/>
      <c r="AB4" s="470"/>
    </row>
    <row r="5" spans="1:28" s="475" customFormat="1" ht="24.75" customHeight="1">
      <c r="A5" s="472"/>
      <c r="B5" s="473" t="s">
        <v>66</v>
      </c>
      <c r="C5" s="629" t="s">
        <v>100</v>
      </c>
      <c r="D5" s="630"/>
      <c r="E5" s="631"/>
      <c r="F5" s="630"/>
      <c r="G5" s="630"/>
      <c r="H5" s="632"/>
      <c r="I5" s="474"/>
      <c r="J5" s="641"/>
      <c r="K5" s="641"/>
      <c r="L5" s="641"/>
      <c r="M5" s="641"/>
      <c r="N5" s="642" t="s">
        <v>254</v>
      </c>
      <c r="O5" s="643"/>
      <c r="P5" s="643"/>
      <c r="Q5" s="643"/>
      <c r="R5" s="643"/>
      <c r="S5" s="643"/>
      <c r="T5" s="643"/>
      <c r="U5" s="644">
        <v>46082</v>
      </c>
      <c r="V5" s="644"/>
      <c r="W5" s="644"/>
      <c r="X5" s="644"/>
      <c r="Y5" s="644"/>
      <c r="Z5" s="644"/>
      <c r="AA5" s="644"/>
      <c r="AB5" s="472"/>
    </row>
    <row r="6" spans="1:28" s="475" customFormat="1" ht="9" customHeight="1">
      <c r="A6" s="472"/>
      <c r="B6" s="473"/>
      <c r="C6" s="478"/>
      <c r="D6" s="476"/>
      <c r="E6" s="477"/>
      <c r="F6" s="476"/>
      <c r="G6" s="476"/>
      <c r="H6" s="476"/>
      <c r="I6" s="474"/>
      <c r="J6" s="474"/>
      <c r="K6" s="478"/>
      <c r="L6" s="478"/>
      <c r="M6" s="478"/>
      <c r="N6" s="473"/>
      <c r="O6" s="473"/>
      <c r="P6" s="473"/>
      <c r="Q6" s="473"/>
      <c r="R6" s="473"/>
      <c r="S6" s="473"/>
      <c r="T6" s="473"/>
      <c r="U6" s="473"/>
      <c r="V6" s="473"/>
      <c r="W6" s="473"/>
      <c r="X6" s="473"/>
      <c r="Y6" s="478"/>
      <c r="Z6" s="473"/>
      <c r="AA6" s="473"/>
      <c r="AB6" s="472"/>
    </row>
    <row r="7" spans="1:28" s="475" customFormat="1" ht="27.75" customHeight="1">
      <c r="A7" s="472"/>
      <c r="B7" s="473" t="s">
        <v>203</v>
      </c>
      <c r="C7" s="629" t="s">
        <v>104</v>
      </c>
      <c r="D7" s="630"/>
      <c r="E7" s="631"/>
      <c r="F7" s="630"/>
      <c r="G7" s="630"/>
      <c r="H7" s="632"/>
      <c r="I7" s="474"/>
      <c r="J7" s="633"/>
      <c r="K7" s="633"/>
      <c r="L7" s="633"/>
      <c r="M7" s="633"/>
      <c r="N7" s="634" t="s">
        <v>255</v>
      </c>
      <c r="O7" s="634"/>
      <c r="P7" s="634"/>
      <c r="Q7" s="634"/>
      <c r="R7" s="634"/>
      <c r="S7" s="634"/>
      <c r="T7" s="634"/>
      <c r="U7" s="635">
        <f>[13]BEMSdar!E11</f>
        <v>1437864.7725</v>
      </c>
      <c r="V7" s="636"/>
      <c r="W7" s="636"/>
      <c r="X7" s="636"/>
      <c r="Y7" s="636"/>
      <c r="Z7" s="636"/>
      <c r="AA7" s="637"/>
      <c r="AB7" s="472"/>
    </row>
    <row r="8" spans="1:28" s="475" customFormat="1" ht="9" customHeight="1">
      <c r="A8" s="472"/>
      <c r="B8" s="473"/>
      <c r="C8" s="478"/>
      <c r="D8" s="476"/>
      <c r="E8" s="477"/>
      <c r="F8" s="476"/>
      <c r="G8" s="476"/>
      <c r="H8" s="476"/>
      <c r="I8" s="474"/>
      <c r="J8" s="474"/>
      <c r="K8" s="478"/>
      <c r="L8" s="478"/>
      <c r="M8" s="478"/>
      <c r="N8" s="479"/>
      <c r="O8" s="479"/>
      <c r="P8" s="479"/>
      <c r="Q8" s="479"/>
      <c r="R8" s="479"/>
      <c r="S8" s="479"/>
      <c r="T8" s="479"/>
      <c r="U8" s="473"/>
      <c r="V8" s="473"/>
      <c r="W8" s="473"/>
      <c r="X8" s="473"/>
      <c r="Y8" s="478"/>
      <c r="Z8" s="473"/>
      <c r="AA8" s="473"/>
      <c r="AB8" s="472"/>
    </row>
    <row r="9" spans="1:28" s="475" customFormat="1" ht="33" customHeight="1">
      <c r="A9" s="472"/>
      <c r="B9" s="473" t="s">
        <v>204</v>
      </c>
      <c r="C9" s="629" t="s">
        <v>107</v>
      </c>
      <c r="D9" s="630"/>
      <c r="E9" s="631"/>
      <c r="F9" s="630"/>
      <c r="G9" s="630"/>
      <c r="H9" s="632"/>
      <c r="I9" s="474"/>
      <c r="J9" s="633"/>
      <c r="K9" s="633"/>
      <c r="L9" s="633"/>
      <c r="M9" s="633"/>
      <c r="N9" s="634" t="s">
        <v>256</v>
      </c>
      <c r="O9" s="634"/>
      <c r="P9" s="634"/>
      <c r="Q9" s="634"/>
      <c r="R9" s="634"/>
      <c r="S9" s="634"/>
      <c r="T9" s="634"/>
      <c r="U9" s="638">
        <f>[13]BEMSdar!E13</f>
        <v>36868.327499999999</v>
      </c>
      <c r="V9" s="638"/>
      <c r="W9" s="638"/>
      <c r="X9" s="638"/>
      <c r="Y9" s="638"/>
      <c r="Z9" s="638"/>
      <c r="AA9" s="638"/>
      <c r="AB9" s="472"/>
    </row>
    <row r="10" spans="1:28" s="489" customFormat="1" ht="22.5" customHeight="1">
      <c r="A10" s="480"/>
      <c r="B10" s="480"/>
      <c r="C10" s="484"/>
      <c r="D10" s="481"/>
      <c r="E10" s="482"/>
      <c r="F10" s="483"/>
      <c r="G10" s="484"/>
      <c r="H10" s="484"/>
      <c r="I10" s="485"/>
      <c r="J10" s="486"/>
      <c r="K10" s="484"/>
      <c r="L10" s="487"/>
      <c r="M10" s="488"/>
      <c r="N10" s="484"/>
      <c r="O10" s="484"/>
      <c r="P10" s="484"/>
      <c r="Q10" s="484"/>
      <c r="R10" s="484"/>
      <c r="S10" s="484"/>
      <c r="T10" s="484"/>
      <c r="U10" s="478"/>
      <c r="V10" s="484"/>
      <c r="W10" s="484"/>
      <c r="X10" s="484"/>
      <c r="Y10" s="484"/>
      <c r="Z10" s="484"/>
      <c r="AA10" s="484"/>
      <c r="AB10" s="480"/>
    </row>
    <row r="11" spans="1:28" s="475" customFormat="1" ht="17.5">
      <c r="A11" s="627" t="s">
        <v>111</v>
      </c>
      <c r="B11" s="627"/>
      <c r="C11" s="627"/>
      <c r="D11" s="627"/>
      <c r="E11" s="628"/>
      <c r="F11" s="627"/>
      <c r="G11" s="627"/>
      <c r="H11" s="627"/>
      <c r="I11" s="627"/>
      <c r="J11" s="627"/>
      <c r="K11" s="627"/>
      <c r="L11" s="627"/>
      <c r="M11" s="627"/>
      <c r="N11" s="478"/>
      <c r="O11" s="478"/>
      <c r="P11" s="490"/>
      <c r="Q11" s="478"/>
      <c r="R11" s="478"/>
      <c r="S11" s="478"/>
      <c r="T11" s="478"/>
      <c r="U11" s="478"/>
      <c r="V11" s="478"/>
      <c r="W11" s="478"/>
      <c r="X11" s="478"/>
      <c r="Y11" s="478"/>
      <c r="Z11" s="478"/>
      <c r="AA11" s="478"/>
      <c r="AB11" s="472"/>
    </row>
    <row r="12" spans="1:28" s="475" customFormat="1" ht="17.5">
      <c r="A12" s="627" t="s">
        <v>112</v>
      </c>
      <c r="B12" s="627"/>
      <c r="C12" s="627"/>
      <c r="D12" s="627"/>
      <c r="E12" s="628"/>
      <c r="F12" s="627"/>
      <c r="G12" s="627"/>
      <c r="H12" s="627"/>
      <c r="I12" s="627"/>
      <c r="J12" s="627"/>
      <c r="K12" s="627"/>
      <c r="L12" s="627"/>
      <c r="M12" s="627"/>
      <c r="N12" s="478"/>
      <c r="O12" s="478"/>
      <c r="P12" s="490"/>
      <c r="Q12" s="478"/>
      <c r="R12" s="478"/>
      <c r="S12" s="478"/>
      <c r="T12" s="478"/>
      <c r="U12" s="478"/>
      <c r="V12" s="478"/>
      <c r="W12" s="478"/>
      <c r="X12" s="478"/>
      <c r="Y12" s="478"/>
      <c r="Z12" s="478"/>
      <c r="AA12" s="478"/>
      <c r="AB12" s="472"/>
    </row>
    <row r="13" spans="1:28" s="475" customFormat="1" ht="17.5">
      <c r="A13" s="627" t="s">
        <v>257</v>
      </c>
      <c r="B13" s="627"/>
      <c r="C13" s="627"/>
      <c r="D13" s="627"/>
      <c r="E13" s="628"/>
      <c r="F13" s="627"/>
      <c r="G13" s="627"/>
      <c r="H13" s="627"/>
      <c r="I13" s="627"/>
      <c r="J13" s="627"/>
      <c r="K13" s="627"/>
      <c r="L13" s="627"/>
      <c r="M13" s="627"/>
      <c r="N13" s="478"/>
      <c r="O13" s="478"/>
      <c r="P13" s="490"/>
      <c r="Q13" s="478"/>
      <c r="R13" s="478"/>
      <c r="S13" s="478"/>
      <c r="T13" s="478"/>
      <c r="U13" s="478"/>
      <c r="V13" s="478"/>
      <c r="W13" s="478"/>
      <c r="X13" s="478"/>
      <c r="Y13" s="478"/>
      <c r="Z13" s="478"/>
      <c r="AA13" s="478"/>
      <c r="AB13" s="472"/>
    </row>
    <row r="14" spans="1:28" s="475" customFormat="1" ht="17.5">
      <c r="A14" s="627" t="s">
        <v>258</v>
      </c>
      <c r="B14" s="627"/>
      <c r="C14" s="627"/>
      <c r="D14" s="627"/>
      <c r="E14" s="628"/>
      <c r="F14" s="627"/>
      <c r="G14" s="627"/>
      <c r="H14" s="627"/>
      <c r="I14" s="627"/>
      <c r="J14" s="627"/>
      <c r="K14" s="627"/>
      <c r="L14" s="627"/>
      <c r="M14" s="627"/>
      <c r="N14" s="478"/>
      <c r="O14" s="478"/>
      <c r="P14" s="490"/>
      <c r="Q14" s="478"/>
      <c r="R14" s="478"/>
      <c r="S14" s="478"/>
      <c r="T14" s="478"/>
      <c r="U14" s="478"/>
      <c r="V14" s="478"/>
      <c r="W14" s="478"/>
      <c r="X14" s="478"/>
      <c r="Y14" s="478"/>
      <c r="Z14" s="478"/>
      <c r="AA14" s="478"/>
      <c r="AB14" s="472"/>
    </row>
    <row r="15" spans="1:28" s="475" customFormat="1" ht="15" customHeight="1">
      <c r="A15" s="627" t="s">
        <v>207</v>
      </c>
      <c r="B15" s="627"/>
      <c r="C15" s="627"/>
      <c r="D15" s="627"/>
      <c r="E15" s="628"/>
      <c r="F15" s="627"/>
      <c r="G15" s="627"/>
      <c r="H15" s="627"/>
      <c r="I15" s="627"/>
      <c r="J15" s="627"/>
      <c r="K15" s="627"/>
      <c r="L15" s="627"/>
      <c r="M15" s="627"/>
      <c r="N15" s="478"/>
      <c r="O15" s="478"/>
      <c r="P15" s="490"/>
      <c r="Q15" s="478"/>
      <c r="R15" s="478"/>
      <c r="S15" s="478"/>
      <c r="T15" s="478"/>
      <c r="U15" s="478"/>
      <c r="V15" s="478"/>
      <c r="W15" s="478"/>
      <c r="X15" s="478"/>
      <c r="Y15" s="478"/>
      <c r="Z15" s="478"/>
      <c r="AA15" s="478"/>
      <c r="AB15" s="472"/>
    </row>
    <row r="16" spans="1:28" s="492" customFormat="1" ht="17.5">
      <c r="A16" s="491"/>
      <c r="C16" s="493"/>
      <c r="D16" s="491"/>
      <c r="E16" s="493"/>
      <c r="F16" s="491"/>
      <c r="G16" s="493"/>
      <c r="H16" s="493"/>
      <c r="I16" s="494"/>
      <c r="J16" s="494"/>
      <c r="K16" s="493"/>
      <c r="L16" s="493"/>
      <c r="M16" s="493"/>
      <c r="N16" s="493"/>
      <c r="O16" s="493"/>
      <c r="P16" s="493"/>
      <c r="Q16" s="493"/>
      <c r="R16" s="493"/>
      <c r="S16" s="493"/>
      <c r="T16" s="493"/>
      <c r="U16" s="493"/>
      <c r="V16" s="493"/>
      <c r="W16" s="493"/>
      <c r="X16" s="493"/>
      <c r="Y16" s="493"/>
      <c r="Z16" s="493"/>
      <c r="AA16" s="495"/>
      <c r="AB16" s="491"/>
    </row>
    <row r="17" spans="1:28" s="492" customFormat="1" ht="49" customHeight="1">
      <c r="A17" s="623" t="s">
        <v>259</v>
      </c>
      <c r="B17" s="623" t="s">
        <v>117</v>
      </c>
      <c r="C17" s="623" t="s">
        <v>260</v>
      </c>
      <c r="D17" s="623" t="s">
        <v>261</v>
      </c>
      <c r="E17" s="625" t="s">
        <v>262</v>
      </c>
      <c r="F17" s="619" t="s">
        <v>503</v>
      </c>
      <c r="G17" s="619" t="s">
        <v>263</v>
      </c>
      <c r="H17" s="621" t="s">
        <v>264</v>
      </c>
      <c r="I17" s="621"/>
      <c r="J17" s="621"/>
      <c r="K17" s="621"/>
      <c r="L17" s="621"/>
      <c r="M17" s="621"/>
      <c r="N17" s="621"/>
      <c r="O17" s="621"/>
      <c r="P17" s="621"/>
      <c r="Q17" s="621"/>
      <c r="R17" s="621"/>
      <c r="S17" s="621"/>
      <c r="T17" s="622" t="s">
        <v>265</v>
      </c>
      <c r="U17" s="622" t="s">
        <v>266</v>
      </c>
      <c r="V17" s="622"/>
      <c r="W17" s="622" t="s">
        <v>267</v>
      </c>
      <c r="X17" s="622"/>
      <c r="Y17" s="612" t="s">
        <v>132</v>
      </c>
      <c r="Z17" s="612"/>
      <c r="AA17" s="613" t="s">
        <v>268</v>
      </c>
      <c r="AB17" s="614" t="s">
        <v>269</v>
      </c>
    </row>
    <row r="18" spans="1:28" s="500" customFormat="1" ht="20.5" customHeight="1">
      <c r="A18" s="624"/>
      <c r="B18" s="624"/>
      <c r="C18" s="624"/>
      <c r="D18" s="624"/>
      <c r="E18" s="626"/>
      <c r="F18" s="620"/>
      <c r="G18" s="620"/>
      <c r="H18" s="497" t="s">
        <v>270</v>
      </c>
      <c r="I18" s="499" t="s">
        <v>271</v>
      </c>
      <c r="J18" s="499" t="s">
        <v>272</v>
      </c>
      <c r="K18" s="497" t="s">
        <v>273</v>
      </c>
      <c r="L18" s="497" t="s">
        <v>274</v>
      </c>
      <c r="M18" s="497" t="s">
        <v>275</v>
      </c>
      <c r="N18" s="497" t="s">
        <v>276</v>
      </c>
      <c r="O18" s="497" t="s">
        <v>277</v>
      </c>
      <c r="P18" s="497" t="s">
        <v>278</v>
      </c>
      <c r="Q18" s="497" t="s">
        <v>279</v>
      </c>
      <c r="R18" s="497" t="s">
        <v>280</v>
      </c>
      <c r="S18" s="497" t="s">
        <v>281</v>
      </c>
      <c r="T18" s="622"/>
      <c r="U18" s="496" t="s">
        <v>282</v>
      </c>
      <c r="V18" s="496" t="s">
        <v>283</v>
      </c>
      <c r="W18" s="496" t="s">
        <v>282</v>
      </c>
      <c r="X18" s="496" t="s">
        <v>283</v>
      </c>
      <c r="Y18" s="497" t="s">
        <v>282</v>
      </c>
      <c r="Z18" s="498" t="s">
        <v>283</v>
      </c>
      <c r="AA18" s="613"/>
      <c r="AB18" s="614"/>
    </row>
    <row r="19" spans="1:28" s="511" customFormat="1" ht="65.150000000000006" customHeight="1">
      <c r="A19" s="501">
        <v>1</v>
      </c>
      <c r="B19" s="502" t="s">
        <v>153</v>
      </c>
      <c r="C19" s="501" t="s">
        <v>497</v>
      </c>
      <c r="D19" s="503" t="s">
        <v>284</v>
      </c>
      <c r="E19" s="534">
        <v>4510</v>
      </c>
      <c r="F19" s="535">
        <v>13</v>
      </c>
      <c r="G19" s="536">
        <v>88</v>
      </c>
      <c r="H19" s="537">
        <v>99.8273296782843</v>
      </c>
      <c r="I19" s="537">
        <v>99.78</v>
      </c>
      <c r="J19" s="562" t="s">
        <v>198</v>
      </c>
      <c r="K19" s="537"/>
      <c r="L19" s="537"/>
      <c r="M19" s="506"/>
      <c r="N19" s="537"/>
      <c r="O19" s="537"/>
      <c r="P19" s="537"/>
      <c r="Q19" s="537"/>
      <c r="R19" s="537"/>
      <c r="S19" s="537"/>
      <c r="T19" s="507">
        <f>ROUNDUP((E19/4999.99)*10,-1)</f>
        <v>10</v>
      </c>
      <c r="U19" s="508" t="s">
        <v>139</v>
      </c>
      <c r="V19" s="508" t="s">
        <v>139</v>
      </c>
      <c r="W19" s="508" t="s">
        <v>139</v>
      </c>
      <c r="X19" s="508" t="s">
        <v>139</v>
      </c>
      <c r="Y19" s="509">
        <f>IF(W19="Y",T19,0)</f>
        <v>0</v>
      </c>
      <c r="Z19" s="509">
        <f>IF(X19="Y",T19*2,0)</f>
        <v>0</v>
      </c>
      <c r="AA19" s="509">
        <f>Y19+Z19</f>
        <v>0</v>
      </c>
      <c r="AB19" s="510"/>
    </row>
    <row r="20" spans="1:28" s="511" customFormat="1" ht="65.150000000000006" customHeight="1">
      <c r="A20" s="501">
        <v>2</v>
      </c>
      <c r="B20" s="502" t="s">
        <v>154</v>
      </c>
      <c r="C20" s="501" t="s">
        <v>499</v>
      </c>
      <c r="D20" s="503" t="s">
        <v>162</v>
      </c>
      <c r="E20" s="512">
        <v>10825</v>
      </c>
      <c r="F20" s="535">
        <v>13</v>
      </c>
      <c r="G20" s="536">
        <v>88</v>
      </c>
      <c r="H20" s="537">
        <v>99.961970644887998</v>
      </c>
      <c r="I20" s="537">
        <v>99.93</v>
      </c>
      <c r="J20" s="562" t="s">
        <v>198</v>
      </c>
      <c r="K20" s="537"/>
      <c r="L20" s="537"/>
      <c r="M20" s="506"/>
      <c r="N20" s="537"/>
      <c r="O20" s="537"/>
      <c r="P20" s="537"/>
      <c r="Q20" s="537"/>
      <c r="R20" s="537"/>
      <c r="S20" s="537"/>
      <c r="T20" s="507">
        <f t="shared" ref="T20:T34" si="0">ROUNDUP((E20/4999.99)*10,-1)</f>
        <v>30</v>
      </c>
      <c r="U20" s="513" t="s">
        <v>139</v>
      </c>
      <c r="V20" s="508" t="s">
        <v>139</v>
      </c>
      <c r="W20" s="514" t="s">
        <v>139</v>
      </c>
      <c r="X20" s="514" t="s">
        <v>139</v>
      </c>
      <c r="Y20" s="509">
        <f t="shared" ref="Y20:Y34" si="1">IF(W20="Y",T20,0)</f>
        <v>0</v>
      </c>
      <c r="Z20" s="509">
        <f>IF(X20="Y",T20*2,0)</f>
        <v>0</v>
      </c>
      <c r="AA20" s="509">
        <f t="shared" ref="AA20:AA34" si="2">Y20+Z20</f>
        <v>0</v>
      </c>
      <c r="AB20" s="515"/>
    </row>
    <row r="21" spans="1:28" s="511" customFormat="1" ht="65.150000000000006" customHeight="1">
      <c r="A21" s="501">
        <v>3</v>
      </c>
      <c r="B21" s="502" t="s">
        <v>155</v>
      </c>
      <c r="C21" s="501" t="s">
        <v>499</v>
      </c>
      <c r="D21" s="503" t="s">
        <v>162</v>
      </c>
      <c r="E21" s="512">
        <v>5800</v>
      </c>
      <c r="F21" s="501">
        <v>8</v>
      </c>
      <c r="G21" s="536">
        <v>95</v>
      </c>
      <c r="H21" s="537">
        <v>99.962034016285202</v>
      </c>
      <c r="I21" s="537">
        <v>99.93</v>
      </c>
      <c r="J21" s="562" t="s">
        <v>198</v>
      </c>
      <c r="K21" s="537"/>
      <c r="L21" s="537"/>
      <c r="M21" s="506"/>
      <c r="N21" s="537"/>
      <c r="O21" s="537"/>
      <c r="P21" s="537"/>
      <c r="Q21" s="537"/>
      <c r="R21" s="537"/>
      <c r="S21" s="537"/>
      <c r="T21" s="507">
        <f t="shared" si="0"/>
        <v>20</v>
      </c>
      <c r="U21" s="513" t="s">
        <v>158</v>
      </c>
      <c r="V21" s="508" t="s">
        <v>158</v>
      </c>
      <c r="W21" s="514" t="s">
        <v>139</v>
      </c>
      <c r="X21" s="514" t="s">
        <v>139</v>
      </c>
      <c r="Y21" s="509">
        <f t="shared" si="1"/>
        <v>0</v>
      </c>
      <c r="Z21" s="509">
        <f t="shared" ref="Z21:Z34" si="3">IF(X21="Y",T21*2,0)</f>
        <v>0</v>
      </c>
      <c r="AA21" s="509">
        <f t="shared" si="2"/>
        <v>0</v>
      </c>
      <c r="AB21" s="515"/>
    </row>
    <row r="22" spans="1:28" s="511" customFormat="1" ht="65.150000000000006" customHeight="1">
      <c r="A22" s="501">
        <v>4</v>
      </c>
      <c r="B22" s="502" t="s">
        <v>164</v>
      </c>
      <c r="C22" s="502" t="s">
        <v>499</v>
      </c>
      <c r="D22" s="516" t="s">
        <v>162</v>
      </c>
      <c r="E22" s="512">
        <v>10825</v>
      </c>
      <c r="F22" s="504">
        <v>13</v>
      </c>
      <c r="G22" s="533">
        <v>88</v>
      </c>
      <c r="H22" s="505">
        <v>99.65</v>
      </c>
      <c r="I22" s="505">
        <v>99.68</v>
      </c>
      <c r="J22" s="505">
        <v>98.553172180229538</v>
      </c>
      <c r="K22" s="505"/>
      <c r="L22" s="505"/>
      <c r="M22" s="506"/>
      <c r="N22" s="505"/>
      <c r="O22" s="505"/>
      <c r="P22" s="505"/>
      <c r="Q22" s="505"/>
      <c r="R22" s="505"/>
      <c r="S22" s="505"/>
      <c r="T22" s="507">
        <f t="shared" si="0"/>
        <v>30</v>
      </c>
      <c r="U22" s="513" t="s">
        <v>139</v>
      </c>
      <c r="V22" s="508" t="s">
        <v>139</v>
      </c>
      <c r="W22" s="514" t="s">
        <v>139</v>
      </c>
      <c r="X22" s="514" t="s">
        <v>139</v>
      </c>
      <c r="Y22" s="509">
        <f t="shared" si="1"/>
        <v>0</v>
      </c>
      <c r="Z22" s="509">
        <f t="shared" si="3"/>
        <v>0</v>
      </c>
      <c r="AA22" s="509">
        <f t="shared" si="2"/>
        <v>0</v>
      </c>
      <c r="AB22" s="515"/>
    </row>
    <row r="23" spans="1:28" s="511" customFormat="1" ht="65.150000000000006" customHeight="1">
      <c r="A23" s="501">
        <v>5</v>
      </c>
      <c r="B23" s="502" t="s">
        <v>169</v>
      </c>
      <c r="C23" s="502" t="s">
        <v>499</v>
      </c>
      <c r="D23" s="516" t="s">
        <v>162</v>
      </c>
      <c r="E23" s="512">
        <v>10825</v>
      </c>
      <c r="F23" s="504">
        <v>13</v>
      </c>
      <c r="G23" s="533">
        <v>88</v>
      </c>
      <c r="H23" s="505">
        <v>99.65</v>
      </c>
      <c r="I23" s="505">
        <v>99.68</v>
      </c>
      <c r="J23" s="505">
        <v>99.330997729885453</v>
      </c>
      <c r="K23" s="505"/>
      <c r="L23" s="505"/>
      <c r="M23" s="506"/>
      <c r="N23" s="505" t="s">
        <v>1684</v>
      </c>
      <c r="O23" s="505"/>
      <c r="P23" s="505"/>
      <c r="Q23" s="505"/>
      <c r="R23" s="505"/>
      <c r="S23" s="505"/>
      <c r="T23" s="507">
        <f t="shared" si="0"/>
        <v>30</v>
      </c>
      <c r="U23" s="513" t="s">
        <v>139</v>
      </c>
      <c r="V23" s="508" t="s">
        <v>139</v>
      </c>
      <c r="W23" s="514" t="s">
        <v>139</v>
      </c>
      <c r="X23" s="514" t="s">
        <v>139</v>
      </c>
      <c r="Y23" s="509">
        <f t="shared" si="1"/>
        <v>0</v>
      </c>
      <c r="Z23" s="509">
        <f t="shared" si="3"/>
        <v>0</v>
      </c>
      <c r="AA23" s="509">
        <f t="shared" si="2"/>
        <v>0</v>
      </c>
      <c r="AB23" s="515"/>
    </row>
    <row r="24" spans="1:28" s="511" customFormat="1" ht="65.150000000000006" customHeight="1">
      <c r="A24" s="501">
        <v>6</v>
      </c>
      <c r="B24" s="502" t="s">
        <v>173</v>
      </c>
      <c r="C24" s="502" t="s">
        <v>499</v>
      </c>
      <c r="D24" s="516" t="s">
        <v>162</v>
      </c>
      <c r="E24" s="512">
        <v>10825</v>
      </c>
      <c r="F24" s="504">
        <v>13</v>
      </c>
      <c r="G24" s="533">
        <v>88</v>
      </c>
      <c r="H24" s="505">
        <v>99.65</v>
      </c>
      <c r="I24" s="505">
        <v>99.45</v>
      </c>
      <c r="J24" s="563" t="s">
        <v>198</v>
      </c>
      <c r="K24" s="505"/>
      <c r="L24" s="505"/>
      <c r="M24" s="506"/>
      <c r="N24" s="505"/>
      <c r="O24" s="505"/>
      <c r="P24" s="505"/>
      <c r="Q24" s="505"/>
      <c r="R24" s="505"/>
      <c r="S24" s="505"/>
      <c r="T24" s="507">
        <f t="shared" si="0"/>
        <v>30</v>
      </c>
      <c r="U24" s="513" t="s">
        <v>139</v>
      </c>
      <c r="V24" s="508" t="s">
        <v>139</v>
      </c>
      <c r="W24" s="514" t="s">
        <v>139</v>
      </c>
      <c r="X24" s="514" t="s">
        <v>139</v>
      </c>
      <c r="Y24" s="509">
        <f t="shared" si="1"/>
        <v>0</v>
      </c>
      <c r="Z24" s="509">
        <f t="shared" si="3"/>
        <v>0</v>
      </c>
      <c r="AA24" s="509">
        <f t="shared" si="2"/>
        <v>0</v>
      </c>
      <c r="AB24" s="515"/>
    </row>
    <row r="25" spans="1:28" s="511" customFormat="1" ht="84">
      <c r="A25" s="501">
        <v>7</v>
      </c>
      <c r="B25" s="501" t="s">
        <v>175</v>
      </c>
      <c r="C25" s="501" t="s">
        <v>504</v>
      </c>
      <c r="D25" s="516" t="s">
        <v>505</v>
      </c>
      <c r="E25" s="512">
        <v>138350</v>
      </c>
      <c r="F25" s="535">
        <v>13</v>
      </c>
      <c r="G25" s="538">
        <v>88</v>
      </c>
      <c r="H25" s="537">
        <v>99.65</v>
      </c>
      <c r="I25" s="537">
        <v>99.56</v>
      </c>
      <c r="J25" s="562" t="s">
        <v>198</v>
      </c>
      <c r="K25" s="537"/>
      <c r="L25" s="537"/>
      <c r="M25" s="506"/>
      <c r="N25" s="537"/>
      <c r="O25" s="537"/>
      <c r="P25" s="537"/>
      <c r="Q25" s="537"/>
      <c r="R25" s="537"/>
      <c r="S25" s="537"/>
      <c r="T25" s="507">
        <f t="shared" si="0"/>
        <v>280</v>
      </c>
      <c r="U25" s="517" t="s">
        <v>139</v>
      </c>
      <c r="V25" s="518" t="s">
        <v>139</v>
      </c>
      <c r="W25" s="519" t="s">
        <v>139</v>
      </c>
      <c r="X25" s="519" t="s">
        <v>139</v>
      </c>
      <c r="Y25" s="509">
        <f t="shared" si="1"/>
        <v>0</v>
      </c>
      <c r="Z25" s="509">
        <f t="shared" si="3"/>
        <v>0</v>
      </c>
      <c r="AA25" s="509">
        <f t="shared" si="2"/>
        <v>0</v>
      </c>
      <c r="AB25" s="515"/>
    </row>
    <row r="26" spans="1:28" s="511" customFormat="1" ht="65.150000000000006" customHeight="1">
      <c r="A26" s="501">
        <v>8</v>
      </c>
      <c r="B26" s="501" t="s">
        <v>176</v>
      </c>
      <c r="C26" s="501" t="s">
        <v>497</v>
      </c>
      <c r="D26" s="516" t="s">
        <v>284</v>
      </c>
      <c r="E26" s="512">
        <v>4510</v>
      </c>
      <c r="F26" s="535">
        <v>13</v>
      </c>
      <c r="G26" s="536">
        <v>88</v>
      </c>
      <c r="H26" s="537">
        <v>99.65</v>
      </c>
      <c r="I26" s="537">
        <v>99.53</v>
      </c>
      <c r="J26" s="562" t="s">
        <v>198</v>
      </c>
      <c r="K26" s="537"/>
      <c r="L26" s="537"/>
      <c r="M26" s="506"/>
      <c r="N26" s="537"/>
      <c r="O26" s="537"/>
      <c r="P26" s="537"/>
      <c r="Q26" s="537"/>
      <c r="R26" s="537"/>
      <c r="S26" s="537"/>
      <c r="T26" s="507">
        <f t="shared" si="0"/>
        <v>10</v>
      </c>
      <c r="U26" s="513" t="s">
        <v>139</v>
      </c>
      <c r="V26" s="508" t="s">
        <v>139</v>
      </c>
      <c r="W26" s="514" t="s">
        <v>139</v>
      </c>
      <c r="X26" s="514" t="s">
        <v>139</v>
      </c>
      <c r="Y26" s="509">
        <f t="shared" si="1"/>
        <v>0</v>
      </c>
      <c r="Z26" s="509">
        <f t="shared" si="3"/>
        <v>0</v>
      </c>
      <c r="AA26" s="509">
        <f t="shared" si="2"/>
        <v>0</v>
      </c>
      <c r="AB26" s="515"/>
    </row>
    <row r="27" spans="1:28" s="511" customFormat="1" ht="65.150000000000006" customHeight="1">
      <c r="A27" s="501">
        <v>9</v>
      </c>
      <c r="B27" s="501" t="s">
        <v>177</v>
      </c>
      <c r="C27" s="501" t="s">
        <v>506</v>
      </c>
      <c r="D27" s="516" t="s">
        <v>507</v>
      </c>
      <c r="E27" s="512">
        <v>5000</v>
      </c>
      <c r="F27" s="535">
        <v>13</v>
      </c>
      <c r="G27" s="536">
        <v>85</v>
      </c>
      <c r="H27" s="537">
        <v>99.65</v>
      </c>
      <c r="I27" s="537">
        <v>99.35</v>
      </c>
      <c r="J27" s="562" t="s">
        <v>198</v>
      </c>
      <c r="K27" s="537"/>
      <c r="L27" s="537"/>
      <c r="M27" s="506"/>
      <c r="N27" s="537"/>
      <c r="O27" s="537"/>
      <c r="P27" s="537"/>
      <c r="Q27" s="537"/>
      <c r="R27" s="537"/>
      <c r="S27" s="537"/>
      <c r="T27" s="507">
        <f t="shared" si="0"/>
        <v>20</v>
      </c>
      <c r="U27" s="513" t="s">
        <v>139</v>
      </c>
      <c r="V27" s="508" t="s">
        <v>139</v>
      </c>
      <c r="W27" s="514" t="s">
        <v>139</v>
      </c>
      <c r="X27" s="514" t="s">
        <v>139</v>
      </c>
      <c r="Y27" s="509">
        <f t="shared" si="1"/>
        <v>0</v>
      </c>
      <c r="Z27" s="509">
        <f t="shared" si="3"/>
        <v>0</v>
      </c>
      <c r="AA27" s="509">
        <f t="shared" si="2"/>
        <v>0</v>
      </c>
      <c r="AB27" s="515"/>
    </row>
    <row r="28" spans="1:28" s="511" customFormat="1" ht="65.150000000000006" customHeight="1">
      <c r="A28" s="501">
        <v>10</v>
      </c>
      <c r="B28" s="501" t="s">
        <v>178</v>
      </c>
      <c r="C28" s="501" t="s">
        <v>508</v>
      </c>
      <c r="D28" s="516" t="s">
        <v>509</v>
      </c>
      <c r="E28" s="512">
        <v>142000</v>
      </c>
      <c r="F28" s="535">
        <v>4</v>
      </c>
      <c r="G28" s="536">
        <v>96</v>
      </c>
      <c r="H28" s="537">
        <v>99.65</v>
      </c>
      <c r="I28" s="537">
        <v>99.39</v>
      </c>
      <c r="J28" s="562" t="s">
        <v>198</v>
      </c>
      <c r="K28" s="537"/>
      <c r="L28" s="537"/>
      <c r="M28" s="506"/>
      <c r="N28" s="537"/>
      <c r="O28" s="537"/>
      <c r="P28" s="537"/>
      <c r="Q28" s="537"/>
      <c r="R28" s="537"/>
      <c r="S28" s="537"/>
      <c r="T28" s="507">
        <f t="shared" si="0"/>
        <v>290</v>
      </c>
      <c r="U28" s="513" t="s">
        <v>139</v>
      </c>
      <c r="V28" s="508" t="s">
        <v>139</v>
      </c>
      <c r="W28" s="514" t="s">
        <v>139</v>
      </c>
      <c r="X28" s="514" t="s">
        <v>139</v>
      </c>
      <c r="Y28" s="509">
        <f t="shared" si="1"/>
        <v>0</v>
      </c>
      <c r="Z28" s="509">
        <f t="shared" si="3"/>
        <v>0</v>
      </c>
      <c r="AA28" s="509">
        <f t="shared" si="2"/>
        <v>0</v>
      </c>
      <c r="AB28" s="515"/>
    </row>
    <row r="29" spans="1:28" s="511" customFormat="1" ht="66" customHeight="1">
      <c r="A29" s="501">
        <v>11</v>
      </c>
      <c r="B29" s="501" t="s">
        <v>180</v>
      </c>
      <c r="C29" s="501" t="s">
        <v>510</v>
      </c>
      <c r="D29" s="516" t="s">
        <v>181</v>
      </c>
      <c r="E29" s="512">
        <v>80000</v>
      </c>
      <c r="F29" s="501">
        <v>13</v>
      </c>
      <c r="G29" s="536">
        <v>88</v>
      </c>
      <c r="H29" s="537">
        <v>99.65</v>
      </c>
      <c r="I29" s="537">
        <v>99.35</v>
      </c>
      <c r="J29" s="562" t="s">
        <v>198</v>
      </c>
      <c r="K29" s="537"/>
      <c r="L29" s="537"/>
      <c r="M29" s="506"/>
      <c r="N29" s="537"/>
      <c r="O29" s="537"/>
      <c r="P29" s="537"/>
      <c r="Q29" s="537"/>
      <c r="R29" s="537"/>
      <c r="S29" s="537"/>
      <c r="T29" s="507">
        <f t="shared" si="0"/>
        <v>170</v>
      </c>
      <c r="U29" s="513" t="s">
        <v>158</v>
      </c>
      <c r="V29" s="508" t="s">
        <v>158</v>
      </c>
      <c r="W29" s="514" t="s">
        <v>139</v>
      </c>
      <c r="X29" s="514" t="s">
        <v>139</v>
      </c>
      <c r="Y29" s="509">
        <f t="shared" si="1"/>
        <v>0</v>
      </c>
      <c r="Z29" s="509">
        <f t="shared" si="3"/>
        <v>0</v>
      </c>
      <c r="AA29" s="509">
        <f t="shared" si="2"/>
        <v>0</v>
      </c>
      <c r="AB29" s="515"/>
    </row>
    <row r="30" spans="1:28" s="520" customFormat="1" ht="65.150000000000006" customHeight="1">
      <c r="A30" s="501">
        <v>12</v>
      </c>
      <c r="B30" s="502" t="s">
        <v>182</v>
      </c>
      <c r="C30" s="502" t="s">
        <v>499</v>
      </c>
      <c r="D30" s="516" t="s">
        <v>162</v>
      </c>
      <c r="E30" s="512">
        <v>3500</v>
      </c>
      <c r="F30" s="504">
        <v>5</v>
      </c>
      <c r="G30" s="533">
        <v>95</v>
      </c>
      <c r="H30" s="505">
        <v>99.65</v>
      </c>
      <c r="I30" s="505">
        <v>99.68</v>
      </c>
      <c r="J30" s="505">
        <v>99.330997729885453</v>
      </c>
      <c r="K30" s="505"/>
      <c r="L30" s="505"/>
      <c r="M30" s="506"/>
      <c r="N30" s="505"/>
      <c r="O30" s="505"/>
      <c r="P30" s="505"/>
      <c r="Q30" s="505"/>
      <c r="R30" s="505"/>
      <c r="S30" s="505"/>
      <c r="T30" s="507">
        <f t="shared" si="0"/>
        <v>10</v>
      </c>
      <c r="U30" s="513" t="s">
        <v>139</v>
      </c>
      <c r="V30" s="508" t="s">
        <v>139</v>
      </c>
      <c r="W30" s="514" t="s">
        <v>139</v>
      </c>
      <c r="X30" s="514" t="s">
        <v>139</v>
      </c>
      <c r="Y30" s="509">
        <f t="shared" si="1"/>
        <v>0</v>
      </c>
      <c r="Z30" s="509">
        <f t="shared" si="3"/>
        <v>0</v>
      </c>
      <c r="AA30" s="509">
        <f t="shared" si="2"/>
        <v>0</v>
      </c>
      <c r="AB30" s="515"/>
    </row>
    <row r="31" spans="1:28" s="520" customFormat="1" ht="65.150000000000006" customHeight="1">
      <c r="A31" s="501">
        <v>13</v>
      </c>
      <c r="B31" s="502" t="s">
        <v>186</v>
      </c>
      <c r="C31" s="502" t="s">
        <v>511</v>
      </c>
      <c r="D31" s="516" t="s">
        <v>187</v>
      </c>
      <c r="E31" s="512">
        <v>399000</v>
      </c>
      <c r="F31" s="504">
        <v>10</v>
      </c>
      <c r="G31" s="533">
        <v>88</v>
      </c>
      <c r="H31" s="505">
        <v>99.65</v>
      </c>
      <c r="I31" s="532" t="s">
        <v>198</v>
      </c>
      <c r="J31" s="563" t="s">
        <v>198</v>
      </c>
      <c r="K31" s="505"/>
      <c r="L31" s="505"/>
      <c r="M31" s="506"/>
      <c r="N31" s="505"/>
      <c r="O31" s="505"/>
      <c r="P31" s="505"/>
      <c r="Q31" s="505"/>
      <c r="R31" s="505"/>
      <c r="S31" s="505"/>
      <c r="T31" s="507">
        <f t="shared" si="0"/>
        <v>800</v>
      </c>
      <c r="U31" s="513" t="s">
        <v>139</v>
      </c>
      <c r="V31" s="508" t="s">
        <v>139</v>
      </c>
      <c r="W31" s="514" t="s">
        <v>139</v>
      </c>
      <c r="X31" s="514" t="s">
        <v>139</v>
      </c>
      <c r="Y31" s="509">
        <f t="shared" si="1"/>
        <v>0</v>
      </c>
      <c r="Z31" s="509">
        <f t="shared" si="3"/>
        <v>0</v>
      </c>
      <c r="AA31" s="509">
        <f t="shared" si="2"/>
        <v>0</v>
      </c>
      <c r="AB31" s="515"/>
    </row>
    <row r="32" spans="1:28" s="520" customFormat="1" ht="65.150000000000006" customHeight="1">
      <c r="A32" s="501">
        <v>14</v>
      </c>
      <c r="B32" s="502" t="s">
        <v>188</v>
      </c>
      <c r="C32" s="502" t="s">
        <v>499</v>
      </c>
      <c r="D32" s="516" t="s">
        <v>162</v>
      </c>
      <c r="E32" s="512">
        <v>10825</v>
      </c>
      <c r="F32" s="504">
        <v>13</v>
      </c>
      <c r="G32" s="533">
        <v>88</v>
      </c>
      <c r="H32" s="505">
        <v>99.65</v>
      </c>
      <c r="I32" s="505">
        <v>99.68</v>
      </c>
      <c r="J32" s="505">
        <v>99.330997729885453</v>
      </c>
      <c r="K32" s="505"/>
      <c r="L32" s="505"/>
      <c r="M32" s="506"/>
      <c r="N32" s="505"/>
      <c r="O32" s="505"/>
      <c r="P32" s="505"/>
      <c r="Q32" s="505"/>
      <c r="R32" s="505"/>
      <c r="S32" s="505"/>
      <c r="T32" s="507">
        <f t="shared" si="0"/>
        <v>30</v>
      </c>
      <c r="U32" s="513" t="s">
        <v>158</v>
      </c>
      <c r="V32" s="513" t="s">
        <v>139</v>
      </c>
      <c r="W32" s="513" t="s">
        <v>139</v>
      </c>
      <c r="X32" s="513" t="s">
        <v>139</v>
      </c>
      <c r="Y32" s="509">
        <f t="shared" si="1"/>
        <v>0</v>
      </c>
      <c r="Z32" s="509">
        <f t="shared" si="3"/>
        <v>0</v>
      </c>
      <c r="AA32" s="509">
        <f t="shared" si="2"/>
        <v>0</v>
      </c>
      <c r="AB32" s="515"/>
    </row>
    <row r="33" spans="1:28" s="511" customFormat="1" ht="65.150000000000006" customHeight="1">
      <c r="A33" s="501">
        <v>15</v>
      </c>
      <c r="B33" s="501" t="s">
        <v>195</v>
      </c>
      <c r="C33" s="501" t="s">
        <v>499</v>
      </c>
      <c r="D33" s="516" t="s">
        <v>162</v>
      </c>
      <c r="E33" s="512">
        <v>10825</v>
      </c>
      <c r="F33" s="535">
        <v>13</v>
      </c>
      <c r="G33" s="536">
        <v>88</v>
      </c>
      <c r="H33" s="537">
        <v>99.65</v>
      </c>
      <c r="I33" s="537">
        <v>99.61</v>
      </c>
      <c r="J33" s="562" t="s">
        <v>198</v>
      </c>
      <c r="K33" s="537"/>
      <c r="L33" s="537"/>
      <c r="M33" s="506"/>
      <c r="N33" s="537"/>
      <c r="O33" s="537"/>
      <c r="P33" s="537"/>
      <c r="Q33" s="537"/>
      <c r="R33" s="537"/>
      <c r="S33" s="537"/>
      <c r="T33" s="507">
        <f t="shared" si="0"/>
        <v>30</v>
      </c>
      <c r="U33" s="513" t="s">
        <v>139</v>
      </c>
      <c r="V33" s="508" t="s">
        <v>139</v>
      </c>
      <c r="W33" s="514" t="s">
        <v>139</v>
      </c>
      <c r="X33" s="514" t="s">
        <v>139</v>
      </c>
      <c r="Y33" s="509">
        <f t="shared" si="1"/>
        <v>0</v>
      </c>
      <c r="Z33" s="509">
        <f t="shared" si="3"/>
        <v>0</v>
      </c>
      <c r="AA33" s="509">
        <f t="shared" si="2"/>
        <v>0</v>
      </c>
      <c r="AB33" s="515"/>
    </row>
    <row r="34" spans="1:28" s="511" customFormat="1" ht="65.150000000000006" customHeight="1">
      <c r="A34" s="501">
        <v>16</v>
      </c>
      <c r="B34" s="501" t="s">
        <v>196</v>
      </c>
      <c r="C34" s="501" t="s">
        <v>512</v>
      </c>
      <c r="D34" s="516" t="s">
        <v>197</v>
      </c>
      <c r="E34" s="512">
        <v>83100</v>
      </c>
      <c r="F34" s="535">
        <v>13</v>
      </c>
      <c r="G34" s="536">
        <v>85</v>
      </c>
      <c r="H34" s="537">
        <v>99.65</v>
      </c>
      <c r="I34" s="537">
        <v>99.51</v>
      </c>
      <c r="J34" s="562" t="s">
        <v>198</v>
      </c>
      <c r="K34" s="537"/>
      <c r="L34" s="537"/>
      <c r="M34" s="506"/>
      <c r="N34" s="537"/>
      <c r="O34" s="537"/>
      <c r="P34" s="537"/>
      <c r="Q34" s="537"/>
      <c r="R34" s="537"/>
      <c r="S34" s="537"/>
      <c r="T34" s="507">
        <f t="shared" si="0"/>
        <v>170</v>
      </c>
      <c r="U34" s="513" t="s">
        <v>139</v>
      </c>
      <c r="V34" s="508" t="s">
        <v>139</v>
      </c>
      <c r="W34" s="514" t="s">
        <v>139</v>
      </c>
      <c r="X34" s="514" t="s">
        <v>139</v>
      </c>
      <c r="Y34" s="509">
        <f t="shared" si="1"/>
        <v>0</v>
      </c>
      <c r="Z34" s="509">
        <f t="shared" si="3"/>
        <v>0</v>
      </c>
      <c r="AA34" s="509">
        <f t="shared" si="2"/>
        <v>0</v>
      </c>
      <c r="AB34" s="515"/>
    </row>
    <row r="35" spans="1:28" s="99" customFormat="1" ht="65.150000000000006" customHeight="1">
      <c r="A35" s="501">
        <v>17</v>
      </c>
      <c r="B35" s="103" t="s">
        <v>436</v>
      </c>
      <c r="C35" s="103" t="s">
        <v>497</v>
      </c>
      <c r="D35" s="503" t="s">
        <v>284</v>
      </c>
      <c r="E35" s="104">
        <v>4510</v>
      </c>
      <c r="F35" s="105">
        <v>12</v>
      </c>
      <c r="G35" s="463">
        <v>88</v>
      </c>
      <c r="H35" s="464" t="s">
        <v>198</v>
      </c>
      <c r="I35" s="464">
        <v>99.8</v>
      </c>
      <c r="J35" s="106">
        <v>99.385529487706464</v>
      </c>
      <c r="K35" s="106"/>
      <c r="L35" s="106"/>
      <c r="M35" s="108"/>
      <c r="N35" s="106"/>
      <c r="O35" s="106"/>
      <c r="P35" s="106"/>
      <c r="Q35" s="106"/>
      <c r="R35" s="106"/>
      <c r="S35" s="106"/>
      <c r="T35" s="109">
        <f>ROUNDUP((E35/4999.99)*10,-1)</f>
        <v>10</v>
      </c>
      <c r="U35" s="110" t="s">
        <v>139</v>
      </c>
      <c r="V35" s="110" t="s">
        <v>139</v>
      </c>
      <c r="W35" s="110" t="s">
        <v>139</v>
      </c>
      <c r="X35" s="110" t="s">
        <v>139</v>
      </c>
      <c r="Y35" s="113">
        <f>IF(W35="Y",T35,0)</f>
        <v>0</v>
      </c>
      <c r="Z35" s="113">
        <f>IF(X35="Y",T35*2,0)</f>
        <v>0</v>
      </c>
      <c r="AA35" s="113">
        <f>Y35+Z35</f>
        <v>0</v>
      </c>
      <c r="AB35" s="114"/>
    </row>
    <row r="36" spans="1:28" s="99" customFormat="1" ht="65.150000000000006" customHeight="1">
      <c r="A36" s="501">
        <v>18</v>
      </c>
      <c r="B36" s="103" t="s">
        <v>437</v>
      </c>
      <c r="C36" s="103" t="s">
        <v>498</v>
      </c>
      <c r="D36" s="503" t="s">
        <v>472</v>
      </c>
      <c r="E36" s="104">
        <v>151560</v>
      </c>
      <c r="F36" s="105">
        <v>12</v>
      </c>
      <c r="G36" s="463">
        <v>88</v>
      </c>
      <c r="H36" s="464" t="s">
        <v>198</v>
      </c>
      <c r="I36" s="464">
        <v>99.78</v>
      </c>
      <c r="J36" s="106">
        <v>99.425417498239796</v>
      </c>
      <c r="K36" s="106"/>
      <c r="L36" s="106"/>
      <c r="M36" s="108"/>
      <c r="N36" s="106"/>
      <c r="O36" s="106"/>
      <c r="P36" s="106"/>
      <c r="Q36" s="106"/>
      <c r="R36" s="106"/>
      <c r="S36" s="106"/>
      <c r="T36" s="109">
        <f>ROUNDUP((E36/4999.99)*10,-1)</f>
        <v>310</v>
      </c>
      <c r="U36" s="111" t="s">
        <v>139</v>
      </c>
      <c r="V36" s="110" t="s">
        <v>139</v>
      </c>
      <c r="W36" s="112" t="s">
        <v>139</v>
      </c>
      <c r="X36" s="112" t="s">
        <v>139</v>
      </c>
      <c r="Y36" s="113">
        <f>IF(W36="Y",T36,0)</f>
        <v>0</v>
      </c>
      <c r="Z36" s="113">
        <f>IF(X36="Y",T36*2,0)</f>
        <v>0</v>
      </c>
      <c r="AA36" s="113">
        <f>Y36+Z36</f>
        <v>0</v>
      </c>
      <c r="AB36" s="115"/>
    </row>
    <row r="37" spans="1:28" s="99" customFormat="1" ht="64" customHeight="1">
      <c r="A37" s="501">
        <v>19</v>
      </c>
      <c r="B37" s="103" t="s">
        <v>438</v>
      </c>
      <c r="C37" s="103" t="s">
        <v>498</v>
      </c>
      <c r="D37" s="503" t="s">
        <v>472</v>
      </c>
      <c r="E37" s="104">
        <v>151560</v>
      </c>
      <c r="F37" s="105">
        <v>12</v>
      </c>
      <c r="G37" s="463">
        <v>88</v>
      </c>
      <c r="H37" s="464" t="s">
        <v>198</v>
      </c>
      <c r="I37" s="464">
        <v>99.9</v>
      </c>
      <c r="J37" s="106">
        <v>99.5501759513689</v>
      </c>
      <c r="K37" s="106"/>
      <c r="L37" s="106"/>
      <c r="M37" s="108"/>
      <c r="N37" s="106"/>
      <c r="O37" s="106"/>
      <c r="P37" s="106"/>
      <c r="Q37" s="106"/>
      <c r="R37" s="106"/>
      <c r="S37" s="106"/>
      <c r="T37" s="109">
        <f>ROUNDUP((E37/4999.99)*10,-1)</f>
        <v>310</v>
      </c>
      <c r="U37" s="111" t="s">
        <v>158</v>
      </c>
      <c r="V37" s="110" t="s">
        <v>158</v>
      </c>
      <c r="W37" s="112" t="s">
        <v>139</v>
      </c>
      <c r="X37" s="112" t="s">
        <v>139</v>
      </c>
      <c r="Y37" s="113">
        <f>IF(W37="Y",T37,0)</f>
        <v>0</v>
      </c>
      <c r="Z37" s="113">
        <f>IF(X37="Y",T37*2,0)</f>
        <v>0</v>
      </c>
      <c r="AA37" s="113">
        <f>Y37+Z37</f>
        <v>0</v>
      </c>
      <c r="AB37" s="115"/>
    </row>
    <row r="38" spans="1:28" s="99" customFormat="1" ht="63">
      <c r="A38" s="501">
        <v>20</v>
      </c>
      <c r="B38" s="103" t="s">
        <v>715</v>
      </c>
      <c r="C38" s="103" t="s">
        <v>1686</v>
      </c>
      <c r="D38" s="503" t="s">
        <v>473</v>
      </c>
      <c r="E38" s="560">
        <v>100000</v>
      </c>
      <c r="F38" s="103">
        <v>2</v>
      </c>
      <c r="G38" s="463">
        <v>99</v>
      </c>
      <c r="H38" s="561" t="s">
        <v>198</v>
      </c>
      <c r="I38" s="561" t="s">
        <v>198</v>
      </c>
      <c r="J38" s="106">
        <v>99.677138176310763</v>
      </c>
      <c r="K38" s="106"/>
      <c r="L38" s="106"/>
      <c r="M38" s="108"/>
      <c r="N38" s="106"/>
      <c r="O38" s="106"/>
      <c r="P38" s="106"/>
      <c r="Q38" s="106"/>
      <c r="R38" s="106"/>
      <c r="S38" s="106"/>
      <c r="T38" s="109">
        <f>ROUNDUP((E38/4999.99)*10,-1)</f>
        <v>210</v>
      </c>
      <c r="U38" s="111" t="s">
        <v>139</v>
      </c>
      <c r="V38" s="111" t="s">
        <v>139</v>
      </c>
      <c r="W38" s="112" t="s">
        <v>139</v>
      </c>
      <c r="X38" s="112" t="s">
        <v>139</v>
      </c>
      <c r="Y38" s="113">
        <f t="shared" ref="Y38:Y41" si="4">IF(W38="Y",T38,0)</f>
        <v>0</v>
      </c>
      <c r="Z38" s="113">
        <f t="shared" ref="Z38:Z41" si="5">IF(X38="Y",T38*2,0)</f>
        <v>0</v>
      </c>
      <c r="AA38" s="113">
        <f t="shared" ref="AA38:AA41" si="6">Y38+Z38</f>
        <v>0</v>
      </c>
      <c r="AB38" s="115"/>
    </row>
    <row r="39" spans="1:28" s="99" customFormat="1" ht="65.150000000000006" customHeight="1">
      <c r="A39" s="501">
        <v>21</v>
      </c>
      <c r="B39" s="103" t="s">
        <v>522</v>
      </c>
      <c r="C39" s="103" t="s">
        <v>1683</v>
      </c>
      <c r="D39" s="503" t="s">
        <v>1145</v>
      </c>
      <c r="E39" s="104">
        <v>1149550</v>
      </c>
      <c r="F39" s="103">
        <v>13</v>
      </c>
      <c r="G39" s="463">
        <v>88</v>
      </c>
      <c r="H39" s="561" t="s">
        <v>198</v>
      </c>
      <c r="I39" s="561" t="s">
        <v>198</v>
      </c>
      <c r="J39" s="106">
        <v>99.824327732485671</v>
      </c>
      <c r="K39" s="106"/>
      <c r="L39" s="106"/>
      <c r="M39" s="108"/>
      <c r="N39" s="106"/>
      <c r="O39" s="106"/>
      <c r="P39" s="106"/>
      <c r="Q39" s="106"/>
      <c r="R39" s="106"/>
      <c r="S39" s="106"/>
      <c r="T39" s="109">
        <f t="shared" ref="T39:T42" si="7">ROUNDUP((E39/4999.99)*10,-1)</f>
        <v>2300</v>
      </c>
      <c r="U39" s="111" t="s">
        <v>139</v>
      </c>
      <c r="V39" s="111" t="s">
        <v>139</v>
      </c>
      <c r="W39" s="112" t="s">
        <v>139</v>
      </c>
      <c r="X39" s="112" t="s">
        <v>139</v>
      </c>
      <c r="Y39" s="113">
        <f t="shared" si="4"/>
        <v>0</v>
      </c>
      <c r="Z39" s="113">
        <f t="shared" si="5"/>
        <v>0</v>
      </c>
      <c r="AA39" s="113">
        <f t="shared" si="6"/>
        <v>0</v>
      </c>
      <c r="AB39" s="115"/>
    </row>
    <row r="40" spans="1:28" s="99" customFormat="1" ht="65.150000000000006" customHeight="1">
      <c r="A40" s="501">
        <v>22</v>
      </c>
      <c r="B40" s="103" t="s">
        <v>716</v>
      </c>
      <c r="C40" s="103" t="s">
        <v>497</v>
      </c>
      <c r="D40" s="503" t="s">
        <v>284</v>
      </c>
      <c r="E40" s="104">
        <v>336</v>
      </c>
      <c r="F40" s="103">
        <v>13</v>
      </c>
      <c r="G40" s="463">
        <v>88</v>
      </c>
      <c r="H40" s="561" t="s">
        <v>198</v>
      </c>
      <c r="I40" s="561" t="s">
        <v>198</v>
      </c>
      <c r="J40" s="106">
        <v>99.916395741608596</v>
      </c>
      <c r="K40" s="106"/>
      <c r="L40" s="106"/>
      <c r="M40" s="108"/>
      <c r="N40" s="106"/>
      <c r="O40" s="106"/>
      <c r="P40" s="106"/>
      <c r="Q40" s="106"/>
      <c r="R40" s="106"/>
      <c r="S40" s="106"/>
      <c r="T40" s="109">
        <f t="shared" si="7"/>
        <v>10</v>
      </c>
      <c r="U40" s="111" t="s">
        <v>158</v>
      </c>
      <c r="V40" s="111" t="s">
        <v>139</v>
      </c>
      <c r="W40" s="112" t="s">
        <v>139</v>
      </c>
      <c r="X40" s="112" t="s">
        <v>139</v>
      </c>
      <c r="Y40" s="113">
        <f t="shared" si="4"/>
        <v>0</v>
      </c>
      <c r="Z40" s="113">
        <f t="shared" si="5"/>
        <v>0</v>
      </c>
      <c r="AA40" s="113">
        <f t="shared" si="6"/>
        <v>0</v>
      </c>
      <c r="AB40" s="115"/>
    </row>
    <row r="41" spans="1:28" s="99" customFormat="1" ht="65.150000000000006" customHeight="1">
      <c r="A41" s="501">
        <v>23</v>
      </c>
      <c r="B41" s="103" t="s">
        <v>717</v>
      </c>
      <c r="C41" s="103" t="s">
        <v>1685</v>
      </c>
      <c r="D41" s="503" t="s">
        <v>1682</v>
      </c>
      <c r="E41" s="104">
        <v>126300</v>
      </c>
      <c r="F41" s="103">
        <v>13</v>
      </c>
      <c r="G41" s="463">
        <v>85</v>
      </c>
      <c r="H41" s="561" t="s">
        <v>198</v>
      </c>
      <c r="I41" s="561" t="s">
        <v>198</v>
      </c>
      <c r="J41" s="106">
        <v>99.925846187994267</v>
      </c>
      <c r="K41" s="106"/>
      <c r="L41" s="106"/>
      <c r="M41" s="108"/>
      <c r="N41" s="106"/>
      <c r="O41" s="106"/>
      <c r="P41" s="106"/>
      <c r="Q41" s="106"/>
      <c r="R41" s="106"/>
      <c r="S41" s="106"/>
      <c r="T41" s="109">
        <f t="shared" si="7"/>
        <v>260</v>
      </c>
      <c r="U41" s="111" t="s">
        <v>139</v>
      </c>
      <c r="V41" s="111" t="s">
        <v>139</v>
      </c>
      <c r="W41" s="112" t="s">
        <v>139</v>
      </c>
      <c r="X41" s="112" t="s">
        <v>139</v>
      </c>
      <c r="Y41" s="113">
        <f t="shared" si="4"/>
        <v>0</v>
      </c>
      <c r="Z41" s="113">
        <f t="shared" si="5"/>
        <v>0</v>
      </c>
      <c r="AA41" s="113">
        <f t="shared" si="6"/>
        <v>0</v>
      </c>
      <c r="AB41" s="115"/>
    </row>
    <row r="42" spans="1:28" s="99" customFormat="1" ht="65.150000000000006" customHeight="1">
      <c r="A42" s="501">
        <v>24</v>
      </c>
      <c r="B42" s="575" t="s">
        <v>536</v>
      </c>
      <c r="C42" s="575" t="s">
        <v>1735</v>
      </c>
      <c r="D42" s="576" t="s">
        <v>482</v>
      </c>
      <c r="E42" s="577">
        <v>5410</v>
      </c>
      <c r="F42" s="575">
        <v>13</v>
      </c>
      <c r="G42" s="578">
        <v>88</v>
      </c>
      <c r="H42" s="561" t="s">
        <v>198</v>
      </c>
      <c r="I42" s="561" t="s">
        <v>198</v>
      </c>
      <c r="J42" s="579">
        <v>99.935425097510006</v>
      </c>
      <c r="K42" s="579"/>
      <c r="L42" s="579"/>
      <c r="M42" s="580"/>
      <c r="N42" s="579"/>
      <c r="O42" s="579"/>
      <c r="P42" s="579"/>
      <c r="Q42" s="579"/>
      <c r="R42" s="579"/>
      <c r="S42" s="579"/>
      <c r="T42" s="109">
        <f t="shared" si="7"/>
        <v>20</v>
      </c>
      <c r="U42" s="600" t="s">
        <v>158</v>
      </c>
      <c r="V42" s="111" t="s">
        <v>139</v>
      </c>
      <c r="W42" s="112" t="s">
        <v>139</v>
      </c>
      <c r="X42" s="112" t="s">
        <v>139</v>
      </c>
      <c r="Y42" s="601"/>
      <c r="Z42" s="601"/>
      <c r="AA42" s="601"/>
      <c r="AB42" s="574"/>
    </row>
    <row r="43" spans="1:28" s="99" customFormat="1" ht="82.5" customHeight="1">
      <c r="A43" s="501">
        <v>25</v>
      </c>
      <c r="B43" s="575" t="s">
        <v>555</v>
      </c>
      <c r="C43" s="575" t="s">
        <v>1686</v>
      </c>
      <c r="D43" s="576" t="s">
        <v>473</v>
      </c>
      <c r="E43" s="577">
        <v>105850</v>
      </c>
      <c r="F43" s="575">
        <v>13</v>
      </c>
      <c r="G43" s="578">
        <v>88</v>
      </c>
      <c r="H43" s="561" t="s">
        <v>198</v>
      </c>
      <c r="I43" s="561" t="s">
        <v>198</v>
      </c>
      <c r="J43" s="579">
        <v>99.946763832905845</v>
      </c>
      <c r="K43" s="579"/>
      <c r="L43" s="579"/>
      <c r="M43" s="580"/>
      <c r="N43" s="579"/>
      <c r="O43" s="579"/>
      <c r="P43" s="579"/>
      <c r="Q43" s="579"/>
      <c r="R43" s="579"/>
      <c r="S43" s="579"/>
      <c r="T43" s="109">
        <f>ROUNDUP((E43/4999.99)*10,-1)</f>
        <v>220</v>
      </c>
      <c r="U43" s="111" t="s">
        <v>139</v>
      </c>
      <c r="V43" s="111" t="s">
        <v>139</v>
      </c>
      <c r="W43" s="112" t="s">
        <v>139</v>
      </c>
      <c r="X43" s="112" t="s">
        <v>139</v>
      </c>
      <c r="Y43" s="113">
        <f>IF(W43="Y",T43,0)</f>
        <v>0</v>
      </c>
      <c r="Z43" s="113">
        <f>IF(X43="Y",T43*2,0)</f>
        <v>0</v>
      </c>
      <c r="AA43" s="113">
        <f>Y43+Z43</f>
        <v>0</v>
      </c>
      <c r="AB43" s="574"/>
    </row>
    <row r="44" spans="1:28" s="99" customFormat="1" ht="84">
      <c r="A44" s="501">
        <v>26</v>
      </c>
      <c r="B44" s="103" t="s">
        <v>557</v>
      </c>
      <c r="C44" s="103" t="s">
        <v>1689</v>
      </c>
      <c r="D44" s="503" t="s">
        <v>1688</v>
      </c>
      <c r="E44" s="104">
        <v>42100</v>
      </c>
      <c r="F44" s="103">
        <v>13</v>
      </c>
      <c r="G44" s="463">
        <v>85</v>
      </c>
      <c r="H44" s="561" t="s">
        <v>198</v>
      </c>
      <c r="I44" s="561" t="s">
        <v>198</v>
      </c>
      <c r="J44" s="106">
        <v>99.981896986561637</v>
      </c>
      <c r="K44" s="106"/>
      <c r="L44" s="106"/>
      <c r="M44" s="108"/>
      <c r="N44" s="106"/>
      <c r="O44" s="106"/>
      <c r="P44" s="106"/>
      <c r="Q44" s="106"/>
      <c r="R44" s="106"/>
      <c r="S44" s="106"/>
      <c r="T44" s="109">
        <f>ROUNDUP((E44/4999.99)*10,-1)</f>
        <v>90</v>
      </c>
      <c r="U44" s="111" t="s">
        <v>139</v>
      </c>
      <c r="V44" s="111" t="s">
        <v>139</v>
      </c>
      <c r="W44" s="112" t="s">
        <v>139</v>
      </c>
      <c r="X44" s="112" t="s">
        <v>139</v>
      </c>
      <c r="Y44" s="113">
        <f>IF(W44="Y",T44,0)</f>
        <v>0</v>
      </c>
      <c r="Z44" s="113">
        <f>IF(X44="Y",T44*2,0)</f>
        <v>0</v>
      </c>
      <c r="AA44" s="113">
        <f>Y44+Z44</f>
        <v>0</v>
      </c>
      <c r="AB44" s="115"/>
    </row>
    <row r="45" spans="1:28" s="520" customFormat="1" ht="65.150000000000006" customHeight="1">
      <c r="A45" s="615" t="s">
        <v>285</v>
      </c>
      <c r="B45" s="616"/>
      <c r="C45" s="616"/>
      <c r="D45" s="616"/>
      <c r="E45" s="617"/>
      <c r="F45" s="616"/>
      <c r="G45" s="616"/>
      <c r="H45" s="616"/>
      <c r="I45" s="616"/>
      <c r="J45" s="616"/>
      <c r="K45" s="616"/>
      <c r="L45" s="616"/>
      <c r="M45" s="616"/>
      <c r="N45" s="616"/>
      <c r="O45" s="616"/>
      <c r="P45" s="616"/>
      <c r="Q45" s="616"/>
      <c r="R45" s="616"/>
      <c r="S45" s="616"/>
      <c r="T45" s="616"/>
      <c r="U45" s="616"/>
      <c r="V45" s="616"/>
      <c r="W45" s="616"/>
      <c r="X45" s="616"/>
      <c r="Y45" s="616"/>
      <c r="Z45" s="618"/>
      <c r="AA45" s="521">
        <f>SUM(AA19:AA34)</f>
        <v>0</v>
      </c>
      <c r="AB45" s="522"/>
    </row>
    <row r="46" spans="1:28" s="527" customFormat="1" ht="65.150000000000006" customHeight="1">
      <c r="A46" s="523"/>
      <c r="B46" s="523"/>
      <c r="C46" s="524"/>
      <c r="D46" s="523"/>
      <c r="E46" s="524"/>
      <c r="F46" s="523"/>
      <c r="G46" s="524"/>
      <c r="H46" s="524"/>
      <c r="I46" s="525"/>
      <c r="J46" s="525"/>
      <c r="K46" s="524"/>
      <c r="L46" s="524"/>
      <c r="M46" s="524"/>
      <c r="N46" s="524"/>
      <c r="O46" s="524"/>
      <c r="P46" s="524"/>
      <c r="Q46" s="524"/>
      <c r="R46" s="602" t="s">
        <v>1684</v>
      </c>
      <c r="S46" s="524"/>
      <c r="T46" s="524"/>
      <c r="U46" s="524"/>
      <c r="V46" s="524"/>
      <c r="W46" s="524"/>
      <c r="X46" s="524"/>
      <c r="Y46" s="524"/>
      <c r="Z46" s="524"/>
      <c r="AA46" s="526"/>
      <c r="AB46" s="523"/>
    </row>
    <row r="47" spans="1:28" s="527" customFormat="1" ht="65.150000000000006" customHeight="1">
      <c r="A47" s="523"/>
      <c r="B47" s="523"/>
      <c r="C47" s="524"/>
      <c r="D47" s="523"/>
      <c r="E47" s="524"/>
      <c r="F47" s="523"/>
      <c r="G47" s="524"/>
      <c r="H47" s="524"/>
      <c r="I47" s="525"/>
      <c r="J47" s="525"/>
      <c r="K47" s="524"/>
      <c r="L47" s="524"/>
      <c r="M47" s="524"/>
      <c r="N47" s="524"/>
      <c r="O47" s="524"/>
      <c r="P47" s="524"/>
      <c r="Q47" s="524"/>
      <c r="R47" s="524"/>
      <c r="S47" s="524"/>
      <c r="T47" s="524"/>
      <c r="U47" s="524"/>
      <c r="V47" s="524"/>
      <c r="W47" s="524"/>
      <c r="X47" s="524"/>
      <c r="Y47" s="524"/>
      <c r="Z47" s="524"/>
      <c r="AA47" s="526"/>
      <c r="AB47" s="523"/>
    </row>
    <row r="48" spans="1:28" s="527" customFormat="1" ht="65.150000000000006" customHeight="1">
      <c r="A48" s="523"/>
      <c r="B48" s="523"/>
      <c r="C48" s="524"/>
      <c r="D48" s="523"/>
      <c r="E48" s="524"/>
      <c r="F48" s="523"/>
      <c r="G48" s="524"/>
      <c r="H48" s="524"/>
      <c r="I48" s="525"/>
      <c r="J48" s="525"/>
      <c r="K48" s="524"/>
      <c r="L48" s="524"/>
      <c r="M48" s="524"/>
      <c r="N48" s="524"/>
      <c r="O48" s="524"/>
      <c r="P48" s="524"/>
      <c r="Q48" s="524"/>
      <c r="R48" s="524"/>
      <c r="S48" s="524"/>
      <c r="T48" s="524"/>
      <c r="U48" s="524"/>
      <c r="V48" s="524"/>
      <c r="W48" s="524"/>
      <c r="X48" s="524"/>
      <c r="Y48" s="524"/>
      <c r="Z48" s="524"/>
      <c r="AA48" s="526"/>
      <c r="AB48" s="523"/>
    </row>
    <row r="49" spans="1:28" s="527" customFormat="1" ht="65.150000000000006" customHeight="1">
      <c r="A49" s="523"/>
      <c r="B49" s="523"/>
      <c r="C49" s="524"/>
      <c r="D49" s="523"/>
      <c r="E49" s="524"/>
      <c r="F49" s="523"/>
      <c r="G49" s="524"/>
      <c r="H49" s="524"/>
      <c r="I49" s="525"/>
      <c r="J49" s="525"/>
      <c r="K49" s="524"/>
      <c r="L49" s="524"/>
      <c r="M49" s="524"/>
      <c r="N49" s="524"/>
      <c r="O49" s="524"/>
      <c r="P49" s="524"/>
      <c r="Q49" s="524"/>
      <c r="R49" s="524"/>
      <c r="S49" s="524"/>
      <c r="T49" s="524"/>
      <c r="U49" s="524"/>
      <c r="V49" s="524"/>
      <c r="W49" s="524"/>
      <c r="X49" s="524"/>
      <c r="Y49" s="524"/>
      <c r="Z49" s="524"/>
      <c r="AA49" s="526"/>
      <c r="AB49" s="523"/>
    </row>
    <row r="50" spans="1:28" s="527" customFormat="1" ht="65.150000000000006" customHeight="1">
      <c r="A50" s="523"/>
      <c r="B50" s="523"/>
      <c r="C50" s="524"/>
      <c r="D50" s="523"/>
      <c r="E50" s="524"/>
      <c r="F50" s="523"/>
      <c r="G50" s="524"/>
      <c r="H50" s="524"/>
      <c r="I50" s="525"/>
      <c r="J50" s="525"/>
      <c r="K50" s="524"/>
      <c r="L50" s="524"/>
      <c r="M50" s="524"/>
      <c r="N50" s="524"/>
      <c r="O50" s="524"/>
      <c r="P50" s="524"/>
      <c r="Q50" s="524"/>
      <c r="R50" s="524"/>
      <c r="S50" s="524"/>
      <c r="T50" s="524"/>
      <c r="U50" s="524"/>
      <c r="V50" s="524"/>
      <c r="W50" s="524"/>
      <c r="X50" s="524"/>
      <c r="Y50" s="524"/>
      <c r="Z50" s="524"/>
      <c r="AA50" s="526"/>
      <c r="AB50" s="523"/>
    </row>
    <row r="51" spans="1:28" s="527" customFormat="1" ht="65.150000000000006" customHeight="1">
      <c r="A51" s="523"/>
      <c r="B51" s="523"/>
      <c r="C51" s="524"/>
      <c r="D51" s="523"/>
      <c r="E51" s="524"/>
      <c r="F51" s="523"/>
      <c r="G51" s="524"/>
      <c r="H51" s="524"/>
      <c r="I51" s="525"/>
      <c r="J51" s="525"/>
      <c r="K51" s="524"/>
      <c r="L51" s="524"/>
      <c r="M51" s="524"/>
      <c r="N51" s="524"/>
      <c r="O51" s="524"/>
      <c r="P51" s="524"/>
      <c r="Q51" s="524"/>
      <c r="R51" s="524"/>
      <c r="S51" s="524"/>
      <c r="T51" s="524"/>
      <c r="U51" s="524"/>
      <c r="V51" s="524"/>
      <c r="W51" s="524"/>
      <c r="X51" s="524"/>
      <c r="Y51" s="524"/>
      <c r="Z51" s="524"/>
      <c r="AA51" s="526"/>
      <c r="AB51" s="523"/>
    </row>
    <row r="52" spans="1:28" s="527" customFormat="1" ht="65.150000000000006" customHeight="1">
      <c r="A52" s="523"/>
      <c r="B52" s="523"/>
      <c r="C52" s="524"/>
      <c r="D52" s="523"/>
      <c r="E52" s="524"/>
      <c r="F52" s="523"/>
      <c r="G52" s="524"/>
      <c r="H52" s="524"/>
      <c r="I52" s="525"/>
      <c r="J52" s="525"/>
      <c r="K52" s="524"/>
      <c r="L52" s="524"/>
      <c r="M52" s="524"/>
      <c r="N52" s="524"/>
      <c r="O52" s="524"/>
      <c r="P52" s="524"/>
      <c r="Q52" s="524"/>
      <c r="R52" s="524"/>
      <c r="S52" s="524"/>
      <c r="T52" s="524"/>
      <c r="U52" s="524"/>
      <c r="V52" s="524"/>
      <c r="W52" s="524"/>
      <c r="X52" s="524"/>
      <c r="Y52" s="524"/>
      <c r="Z52" s="524"/>
      <c r="AA52" s="526"/>
      <c r="AB52" s="523"/>
    </row>
    <row r="53" spans="1:28" s="520" customFormat="1" ht="65.150000000000006" customHeight="1">
      <c r="A53" s="523"/>
      <c r="B53" s="523"/>
      <c r="C53" s="524"/>
      <c r="D53" s="523"/>
      <c r="E53" s="524"/>
      <c r="F53" s="523"/>
      <c r="G53" s="524"/>
      <c r="H53" s="524"/>
      <c r="I53" s="525"/>
      <c r="J53" s="525"/>
      <c r="K53" s="524"/>
      <c r="L53" s="524"/>
      <c r="M53" s="524"/>
      <c r="N53" s="524"/>
      <c r="O53" s="524"/>
      <c r="P53" s="524"/>
      <c r="Q53" s="524"/>
      <c r="R53" s="524"/>
      <c r="S53" s="524"/>
      <c r="T53" s="524"/>
      <c r="U53" s="524"/>
      <c r="V53" s="524"/>
      <c r="W53" s="524"/>
      <c r="X53" s="524"/>
      <c r="Y53" s="524"/>
      <c r="Z53" s="524"/>
      <c r="AA53" s="526"/>
      <c r="AB53" s="523"/>
    </row>
    <row r="54" spans="1:28" s="520" customFormat="1" ht="108" customHeight="1">
      <c r="A54" s="523"/>
      <c r="B54" s="523"/>
      <c r="C54" s="524"/>
      <c r="D54" s="523"/>
      <c r="E54" s="524"/>
      <c r="F54" s="523"/>
      <c r="G54" s="524"/>
      <c r="H54" s="524"/>
      <c r="I54" s="525"/>
      <c r="J54" s="525"/>
      <c r="K54" s="524"/>
      <c r="L54" s="524"/>
      <c r="M54" s="524"/>
      <c r="N54" s="524"/>
      <c r="O54" s="524"/>
      <c r="P54" s="524"/>
      <c r="Q54" s="524"/>
      <c r="R54" s="524"/>
      <c r="S54" s="524"/>
      <c r="T54" s="524"/>
      <c r="U54" s="524"/>
      <c r="V54" s="524"/>
      <c r="W54" s="524"/>
      <c r="X54" s="524"/>
      <c r="Y54" s="524"/>
      <c r="Z54" s="524"/>
      <c r="AA54" s="526"/>
      <c r="AB54" s="523"/>
    </row>
    <row r="55" spans="1:28" s="520" customFormat="1" ht="65.150000000000006" customHeight="1">
      <c r="A55" s="523"/>
      <c r="B55" s="523"/>
      <c r="C55" s="524"/>
      <c r="D55" s="523"/>
      <c r="E55" s="524"/>
      <c r="F55" s="523"/>
      <c r="G55" s="524"/>
      <c r="H55" s="524"/>
      <c r="I55" s="525"/>
      <c r="J55" s="525"/>
      <c r="K55" s="524"/>
      <c r="L55" s="524"/>
      <c r="M55" s="524"/>
      <c r="N55" s="524"/>
      <c r="O55" s="524"/>
      <c r="P55" s="524"/>
      <c r="Q55" s="524"/>
      <c r="R55" s="524"/>
      <c r="S55" s="524"/>
      <c r="T55" s="524"/>
      <c r="U55" s="524"/>
      <c r="V55" s="524"/>
      <c r="W55" s="524"/>
      <c r="X55" s="524"/>
      <c r="Y55" s="524"/>
      <c r="Z55" s="524"/>
      <c r="AA55" s="526"/>
      <c r="AB55" s="523"/>
    </row>
    <row r="56" spans="1:28" s="520" customFormat="1" ht="112" customHeight="1">
      <c r="A56" s="523"/>
      <c r="B56" s="523"/>
      <c r="C56" s="524"/>
      <c r="D56" s="523"/>
      <c r="E56" s="524"/>
      <c r="F56" s="523"/>
      <c r="G56" s="524"/>
      <c r="H56" s="524"/>
      <c r="I56" s="525"/>
      <c r="J56" s="525"/>
      <c r="K56" s="524"/>
      <c r="L56" s="524"/>
      <c r="M56" s="524"/>
      <c r="N56" s="524"/>
      <c r="O56" s="524"/>
      <c r="P56" s="524"/>
      <c r="Q56" s="524"/>
      <c r="R56" s="524"/>
      <c r="S56" s="524"/>
      <c r="T56" s="524"/>
      <c r="U56" s="524"/>
      <c r="V56" s="524"/>
      <c r="W56" s="524"/>
      <c r="X56" s="524"/>
      <c r="Y56" s="524"/>
      <c r="Z56" s="524"/>
      <c r="AA56" s="526"/>
      <c r="AB56" s="523"/>
    </row>
    <row r="57" spans="1:28" s="520" customFormat="1" ht="100" customHeight="1">
      <c r="A57" s="523"/>
      <c r="B57" s="523"/>
      <c r="C57" s="524"/>
      <c r="D57" s="523"/>
      <c r="E57" s="524"/>
      <c r="F57" s="523"/>
      <c r="G57" s="524"/>
      <c r="H57" s="524"/>
      <c r="I57" s="525"/>
      <c r="J57" s="525"/>
      <c r="K57" s="524"/>
      <c r="L57" s="524"/>
      <c r="M57" s="524"/>
      <c r="N57" s="524"/>
      <c r="O57" s="524"/>
      <c r="P57" s="524"/>
      <c r="Q57" s="524"/>
      <c r="R57" s="524"/>
      <c r="S57" s="524"/>
      <c r="T57" s="524"/>
      <c r="U57" s="524"/>
      <c r="V57" s="524"/>
      <c r="W57" s="524"/>
      <c r="X57" s="524"/>
      <c r="Y57" s="524"/>
      <c r="Z57" s="524"/>
      <c r="AA57" s="526"/>
      <c r="AB57" s="523"/>
    </row>
    <row r="58" spans="1:28" s="520" customFormat="1" ht="108" customHeight="1">
      <c r="A58" s="523"/>
      <c r="B58" s="523"/>
      <c r="C58" s="524"/>
      <c r="D58" s="523"/>
      <c r="E58" s="524"/>
      <c r="F58" s="523"/>
      <c r="G58" s="524"/>
      <c r="H58" s="524"/>
      <c r="I58" s="525"/>
      <c r="J58" s="525"/>
      <c r="K58" s="524"/>
      <c r="L58" s="524"/>
      <c r="M58" s="524"/>
      <c r="N58" s="524"/>
      <c r="O58" s="524"/>
      <c r="P58" s="524"/>
      <c r="Q58" s="524"/>
      <c r="R58" s="524"/>
      <c r="S58" s="524"/>
      <c r="T58" s="524"/>
      <c r="U58" s="524"/>
      <c r="V58" s="524"/>
      <c r="W58" s="524"/>
      <c r="X58" s="524"/>
      <c r="Y58" s="524"/>
      <c r="Z58" s="524"/>
      <c r="AA58" s="526"/>
      <c r="AB58" s="523"/>
    </row>
    <row r="59" spans="1:28" s="520" customFormat="1" ht="102.65" customHeight="1">
      <c r="A59" s="523"/>
      <c r="B59" s="523"/>
      <c r="C59" s="524"/>
      <c r="D59" s="523"/>
      <c r="E59" s="524"/>
      <c r="F59" s="523"/>
      <c r="G59" s="524"/>
      <c r="H59" s="524"/>
      <c r="I59" s="525"/>
      <c r="J59" s="525"/>
      <c r="K59" s="524"/>
      <c r="L59" s="524"/>
      <c r="M59" s="524"/>
      <c r="N59" s="524"/>
      <c r="O59" s="524"/>
      <c r="P59" s="524"/>
      <c r="Q59" s="524"/>
      <c r="R59" s="524"/>
      <c r="S59" s="524"/>
      <c r="T59" s="524"/>
      <c r="U59" s="524"/>
      <c r="V59" s="524"/>
      <c r="W59" s="524"/>
      <c r="X59" s="524"/>
      <c r="Y59" s="524"/>
      <c r="Z59" s="524"/>
      <c r="AA59" s="526"/>
      <c r="AB59" s="523"/>
    </row>
    <row r="60" spans="1:28" s="520" customFormat="1" ht="94" customHeight="1">
      <c r="A60" s="523"/>
      <c r="B60" s="523"/>
      <c r="C60" s="524"/>
      <c r="D60" s="523"/>
      <c r="E60" s="524"/>
      <c r="F60" s="523"/>
      <c r="G60" s="524"/>
      <c r="H60" s="524"/>
      <c r="I60" s="525"/>
      <c r="J60" s="525"/>
      <c r="K60" s="524"/>
      <c r="L60" s="524"/>
      <c r="M60" s="524"/>
      <c r="N60" s="524"/>
      <c r="O60" s="524"/>
      <c r="P60" s="524"/>
      <c r="Q60" s="524"/>
      <c r="R60" s="524"/>
      <c r="S60" s="524"/>
      <c r="T60" s="524"/>
      <c r="U60" s="524"/>
      <c r="V60" s="524"/>
      <c r="W60" s="524"/>
      <c r="X60" s="524"/>
      <c r="Y60" s="524"/>
      <c r="Z60" s="524"/>
      <c r="AA60" s="526"/>
      <c r="AB60" s="523"/>
    </row>
    <row r="61" spans="1:28" s="520" customFormat="1" ht="65.150000000000006" customHeight="1">
      <c r="A61" s="523"/>
      <c r="B61" s="523"/>
      <c r="C61" s="524"/>
      <c r="D61" s="523"/>
      <c r="E61" s="524"/>
      <c r="F61" s="523"/>
      <c r="G61" s="524"/>
      <c r="H61" s="524"/>
      <c r="I61" s="525"/>
      <c r="J61" s="525"/>
      <c r="K61" s="524"/>
      <c r="L61" s="524"/>
      <c r="M61" s="524"/>
      <c r="N61" s="524"/>
      <c r="O61" s="524"/>
      <c r="P61" s="524"/>
      <c r="Q61" s="524"/>
      <c r="R61" s="524"/>
      <c r="S61" s="524"/>
      <c r="T61" s="524"/>
      <c r="U61" s="524"/>
      <c r="V61" s="524"/>
      <c r="W61" s="524"/>
      <c r="X61" s="524"/>
      <c r="Y61" s="524"/>
      <c r="Z61" s="524"/>
      <c r="AA61" s="526"/>
      <c r="AB61" s="523"/>
    </row>
    <row r="62" spans="1:28" s="520" customFormat="1" ht="65.150000000000006" customHeight="1">
      <c r="A62" s="523"/>
      <c r="B62" s="523"/>
      <c r="C62" s="524"/>
      <c r="D62" s="523"/>
      <c r="E62" s="524"/>
      <c r="F62" s="523"/>
      <c r="G62" s="524"/>
      <c r="H62" s="524"/>
      <c r="I62" s="525"/>
      <c r="J62" s="525"/>
      <c r="K62" s="524"/>
      <c r="L62" s="524"/>
      <c r="M62" s="524"/>
      <c r="N62" s="524"/>
      <c r="O62" s="524"/>
      <c r="P62" s="524"/>
      <c r="Q62" s="524"/>
      <c r="R62" s="524"/>
      <c r="S62" s="524"/>
      <c r="T62" s="524"/>
      <c r="U62" s="524"/>
      <c r="V62" s="524"/>
      <c r="W62" s="524"/>
      <c r="X62" s="524"/>
      <c r="Y62" s="524"/>
      <c r="Z62" s="524"/>
      <c r="AA62" s="526"/>
      <c r="AB62" s="523"/>
    </row>
    <row r="63" spans="1:28" s="520" customFormat="1" ht="65.150000000000006" customHeight="1">
      <c r="A63" s="523"/>
      <c r="B63" s="523"/>
      <c r="C63" s="524"/>
      <c r="D63" s="523"/>
      <c r="E63" s="524"/>
      <c r="F63" s="523"/>
      <c r="G63" s="524"/>
      <c r="H63" s="524"/>
      <c r="I63" s="525"/>
      <c r="J63" s="525"/>
      <c r="K63" s="524"/>
      <c r="L63" s="524"/>
      <c r="M63" s="524"/>
      <c r="N63" s="524"/>
      <c r="O63" s="524"/>
      <c r="P63" s="524"/>
      <c r="Q63" s="524"/>
      <c r="R63" s="524"/>
      <c r="S63" s="524"/>
      <c r="T63" s="524"/>
      <c r="U63" s="524"/>
      <c r="V63" s="524"/>
      <c r="W63" s="524"/>
      <c r="X63" s="524"/>
      <c r="Y63" s="524"/>
      <c r="Z63" s="524"/>
      <c r="AA63" s="526"/>
      <c r="AB63" s="523"/>
    </row>
    <row r="64" spans="1:28" s="520" customFormat="1" ht="65.150000000000006" customHeight="1">
      <c r="A64" s="523"/>
      <c r="B64" s="523"/>
      <c r="C64" s="524"/>
      <c r="D64" s="523"/>
      <c r="E64" s="524"/>
      <c r="F64" s="523"/>
      <c r="G64" s="524"/>
      <c r="H64" s="524"/>
      <c r="I64" s="525"/>
      <c r="J64" s="525"/>
      <c r="K64" s="524"/>
      <c r="L64" s="524"/>
      <c r="M64" s="524"/>
      <c r="N64" s="524"/>
      <c r="O64" s="524"/>
      <c r="P64" s="524"/>
      <c r="Q64" s="524"/>
      <c r="R64" s="524"/>
      <c r="S64" s="524"/>
      <c r="T64" s="524"/>
      <c r="U64" s="524"/>
      <c r="V64" s="524"/>
      <c r="W64" s="524"/>
      <c r="X64" s="524"/>
      <c r="Y64" s="524"/>
      <c r="Z64" s="524"/>
      <c r="AA64" s="526"/>
      <c r="AB64" s="523"/>
    </row>
    <row r="65" spans="1:28" s="520" customFormat="1" ht="65.150000000000006" customHeight="1">
      <c r="A65" s="523"/>
      <c r="B65" s="523"/>
      <c r="C65" s="524"/>
      <c r="D65" s="523"/>
      <c r="E65" s="524"/>
      <c r="F65" s="523"/>
      <c r="G65" s="524"/>
      <c r="H65" s="524"/>
      <c r="I65" s="525"/>
      <c r="J65" s="525"/>
      <c r="K65" s="524"/>
      <c r="L65" s="524"/>
      <c r="M65" s="524"/>
      <c r="N65" s="524"/>
      <c r="O65" s="524"/>
      <c r="P65" s="524"/>
      <c r="Q65" s="524"/>
      <c r="R65" s="524"/>
      <c r="S65" s="524"/>
      <c r="T65" s="524"/>
      <c r="U65" s="524"/>
      <c r="V65" s="524"/>
      <c r="W65" s="524"/>
      <c r="X65" s="524"/>
      <c r="Y65" s="524"/>
      <c r="Z65" s="524"/>
      <c r="AA65" s="526"/>
      <c r="AB65" s="523"/>
    </row>
    <row r="66" spans="1:28" s="520" customFormat="1" ht="65.150000000000006" customHeight="1">
      <c r="A66" s="523"/>
      <c r="B66" s="523"/>
      <c r="C66" s="524"/>
      <c r="D66" s="523"/>
      <c r="E66" s="524"/>
      <c r="F66" s="523"/>
      <c r="G66" s="524"/>
      <c r="H66" s="524"/>
      <c r="I66" s="525"/>
      <c r="J66" s="525"/>
      <c r="K66" s="524"/>
      <c r="L66" s="524"/>
      <c r="M66" s="524"/>
      <c r="N66" s="524"/>
      <c r="O66" s="524"/>
      <c r="P66" s="524"/>
      <c r="Q66" s="524"/>
      <c r="R66" s="524"/>
      <c r="S66" s="524"/>
      <c r="T66" s="524"/>
      <c r="U66" s="524"/>
      <c r="V66" s="524"/>
      <c r="W66" s="524"/>
      <c r="X66" s="524"/>
      <c r="Y66" s="524"/>
      <c r="Z66" s="524"/>
      <c r="AA66" s="526"/>
      <c r="AB66" s="523"/>
    </row>
    <row r="67" spans="1:28" s="520" customFormat="1" ht="65.150000000000006" customHeight="1">
      <c r="A67" s="523"/>
      <c r="B67" s="523"/>
      <c r="C67" s="524"/>
      <c r="D67" s="523"/>
      <c r="E67" s="524"/>
      <c r="F67" s="523"/>
      <c r="G67" s="524"/>
      <c r="H67" s="524"/>
      <c r="I67" s="525"/>
      <c r="J67" s="525"/>
      <c r="K67" s="524"/>
      <c r="L67" s="524"/>
      <c r="M67" s="524"/>
      <c r="N67" s="524"/>
      <c r="O67" s="524"/>
      <c r="P67" s="524"/>
      <c r="Q67" s="524"/>
      <c r="R67" s="524"/>
      <c r="S67" s="524"/>
      <c r="T67" s="524"/>
      <c r="U67" s="524"/>
      <c r="V67" s="524"/>
      <c r="W67" s="524"/>
      <c r="X67" s="524"/>
      <c r="Y67" s="524"/>
      <c r="Z67" s="524"/>
      <c r="AA67" s="526"/>
      <c r="AB67" s="523"/>
    </row>
    <row r="68" spans="1:28" s="520" customFormat="1" ht="65.150000000000006" customHeight="1">
      <c r="A68" s="523"/>
      <c r="B68" s="523"/>
      <c r="C68" s="524"/>
      <c r="D68" s="523"/>
      <c r="E68" s="524"/>
      <c r="F68" s="523"/>
      <c r="G68" s="524"/>
      <c r="H68" s="524"/>
      <c r="I68" s="525"/>
      <c r="J68" s="525"/>
      <c r="K68" s="524"/>
      <c r="L68" s="524"/>
      <c r="M68" s="524"/>
      <c r="N68" s="524"/>
      <c r="O68" s="524"/>
      <c r="P68" s="524"/>
      <c r="Q68" s="524"/>
      <c r="R68" s="524"/>
      <c r="S68" s="524"/>
      <c r="T68" s="524"/>
      <c r="U68" s="524"/>
      <c r="V68" s="524"/>
      <c r="W68" s="524"/>
      <c r="X68" s="524"/>
      <c r="Y68" s="524"/>
      <c r="Z68" s="524"/>
      <c r="AA68" s="526"/>
      <c r="AB68" s="523"/>
    </row>
    <row r="69" spans="1:28" s="520" customFormat="1" ht="65.150000000000006" customHeight="1">
      <c r="A69" s="523"/>
      <c r="B69" s="523"/>
      <c r="C69" s="524"/>
      <c r="D69" s="523"/>
      <c r="E69" s="524"/>
      <c r="F69" s="523"/>
      <c r="G69" s="524"/>
      <c r="H69" s="524"/>
      <c r="I69" s="525"/>
      <c r="J69" s="525"/>
      <c r="K69" s="524"/>
      <c r="L69" s="524"/>
      <c r="M69" s="524"/>
      <c r="N69" s="524"/>
      <c r="O69" s="524"/>
      <c r="P69" s="524"/>
      <c r="Q69" s="524"/>
      <c r="R69" s="524"/>
      <c r="S69" s="524"/>
      <c r="T69" s="524"/>
      <c r="U69" s="524"/>
      <c r="V69" s="524"/>
      <c r="W69" s="524"/>
      <c r="X69" s="524"/>
      <c r="Y69" s="524"/>
      <c r="Z69" s="524"/>
      <c r="AA69" s="526"/>
      <c r="AB69" s="523"/>
    </row>
    <row r="70" spans="1:28" s="520" customFormat="1" ht="65.150000000000006" customHeight="1">
      <c r="A70" s="523"/>
      <c r="B70" s="523"/>
      <c r="C70" s="524"/>
      <c r="D70" s="523"/>
      <c r="E70" s="524"/>
      <c r="F70" s="523"/>
      <c r="G70" s="524"/>
      <c r="H70" s="524"/>
      <c r="I70" s="525"/>
      <c r="J70" s="525"/>
      <c r="K70" s="524"/>
      <c r="L70" s="524"/>
      <c r="M70" s="524"/>
      <c r="N70" s="524"/>
      <c r="O70" s="524"/>
      <c r="P70" s="524"/>
      <c r="Q70" s="524"/>
      <c r="R70" s="524"/>
      <c r="S70" s="524"/>
      <c r="T70" s="524"/>
      <c r="U70" s="524"/>
      <c r="V70" s="524"/>
      <c r="W70" s="524"/>
      <c r="X70" s="524"/>
      <c r="Y70" s="524"/>
      <c r="Z70" s="524"/>
      <c r="AA70" s="526"/>
      <c r="AB70" s="523"/>
    </row>
    <row r="71" spans="1:28" s="527" customFormat="1" ht="65.150000000000006" customHeight="1">
      <c r="A71" s="523"/>
      <c r="B71" s="523"/>
      <c r="C71" s="524"/>
      <c r="D71" s="523"/>
      <c r="E71" s="524"/>
      <c r="F71" s="523"/>
      <c r="G71" s="524"/>
      <c r="H71" s="524"/>
      <c r="I71" s="525"/>
      <c r="J71" s="525"/>
      <c r="K71" s="524"/>
      <c r="L71" s="524"/>
      <c r="M71" s="524"/>
      <c r="N71" s="505"/>
      <c r="O71" s="524"/>
      <c r="P71" s="524"/>
      <c r="Q71" s="524"/>
      <c r="R71" s="524"/>
      <c r="S71" s="524"/>
      <c r="T71" s="524"/>
      <c r="U71" s="524"/>
      <c r="V71" s="524"/>
      <c r="W71" s="524"/>
      <c r="X71" s="524"/>
      <c r="Y71" s="524"/>
      <c r="Z71" s="524"/>
      <c r="AA71" s="526"/>
      <c r="AB71" s="523"/>
    </row>
    <row r="72" spans="1:28" s="527" customFormat="1" ht="65.150000000000006" customHeight="1">
      <c r="A72" s="523"/>
      <c r="B72" s="523"/>
      <c r="C72" s="524"/>
      <c r="D72" s="523"/>
      <c r="E72" s="524"/>
      <c r="F72" s="523"/>
      <c r="G72" s="524"/>
      <c r="H72" s="524"/>
      <c r="I72" s="525"/>
      <c r="J72" s="525"/>
      <c r="K72" s="524"/>
      <c r="L72" s="524"/>
      <c r="M72" s="524"/>
      <c r="N72" s="524"/>
      <c r="O72" s="524"/>
      <c r="P72" s="524"/>
      <c r="Q72" s="524"/>
      <c r="R72" s="524"/>
      <c r="S72" s="524"/>
      <c r="T72" s="524"/>
      <c r="U72" s="524"/>
      <c r="V72" s="524"/>
      <c r="W72" s="524"/>
      <c r="X72" s="524"/>
      <c r="Y72" s="524"/>
      <c r="Z72" s="524"/>
      <c r="AA72" s="526"/>
      <c r="AB72" s="523"/>
    </row>
    <row r="73" spans="1:28" s="527" customFormat="1" ht="65.150000000000006" customHeight="1">
      <c r="A73" s="523"/>
      <c r="B73" s="523"/>
      <c r="C73" s="524"/>
      <c r="D73" s="523"/>
      <c r="E73" s="524"/>
      <c r="F73" s="523"/>
      <c r="G73" s="524"/>
      <c r="H73" s="524"/>
      <c r="I73" s="525"/>
      <c r="J73" s="525"/>
      <c r="K73" s="524"/>
      <c r="L73" s="524"/>
      <c r="M73" s="524"/>
      <c r="N73" s="524"/>
      <c r="O73" s="524"/>
      <c r="P73" s="524"/>
      <c r="Q73" s="524"/>
      <c r="R73" s="524"/>
      <c r="S73" s="524"/>
      <c r="T73" s="524"/>
      <c r="U73" s="524"/>
      <c r="V73" s="524"/>
      <c r="W73" s="524"/>
      <c r="X73" s="524"/>
      <c r="Y73" s="524"/>
      <c r="Z73" s="524"/>
      <c r="AA73" s="526"/>
      <c r="AB73" s="523"/>
    </row>
    <row r="74" spans="1:28" s="527" customFormat="1" ht="65.150000000000006" customHeight="1">
      <c r="A74" s="523"/>
      <c r="B74" s="523"/>
      <c r="C74" s="524"/>
      <c r="D74" s="523"/>
      <c r="E74" s="524"/>
      <c r="F74" s="523"/>
      <c r="G74" s="524"/>
      <c r="H74" s="524"/>
      <c r="I74" s="525"/>
      <c r="J74" s="525"/>
      <c r="K74" s="524"/>
      <c r="L74" s="524"/>
      <c r="M74" s="524"/>
      <c r="N74" s="524"/>
      <c r="O74" s="524"/>
      <c r="P74" s="524"/>
      <c r="Q74" s="524"/>
      <c r="R74" s="524"/>
      <c r="S74" s="524"/>
      <c r="T74" s="524"/>
      <c r="U74" s="524"/>
      <c r="V74" s="524"/>
      <c r="W74" s="524"/>
      <c r="X74" s="524"/>
      <c r="Y74" s="524"/>
      <c r="Z74" s="524"/>
      <c r="AA74" s="526"/>
      <c r="AB74" s="523"/>
    </row>
    <row r="75" spans="1:28" s="527" customFormat="1" ht="65.150000000000006" customHeight="1">
      <c r="A75" s="523"/>
      <c r="B75" s="523"/>
      <c r="C75" s="524"/>
      <c r="D75" s="523"/>
      <c r="E75" s="524"/>
      <c r="F75" s="523"/>
      <c r="G75" s="524"/>
      <c r="H75" s="524"/>
      <c r="I75" s="525"/>
      <c r="J75" s="525"/>
      <c r="K75" s="524"/>
      <c r="L75" s="524"/>
      <c r="M75" s="524"/>
      <c r="N75" s="524"/>
      <c r="O75" s="524"/>
      <c r="P75" s="524"/>
      <c r="Q75" s="524"/>
      <c r="R75" s="524"/>
      <c r="S75" s="524"/>
      <c r="T75" s="524"/>
      <c r="U75" s="524"/>
      <c r="V75" s="524"/>
      <c r="W75" s="524"/>
      <c r="X75" s="524"/>
      <c r="Y75" s="524"/>
      <c r="Z75" s="524"/>
      <c r="AA75" s="526"/>
      <c r="AB75" s="523"/>
    </row>
    <row r="76" spans="1:28" s="520" customFormat="1" ht="65.150000000000006" customHeight="1">
      <c r="A76" s="523"/>
      <c r="B76" s="523"/>
      <c r="C76" s="524"/>
      <c r="D76" s="523"/>
      <c r="E76" s="524"/>
      <c r="F76" s="523"/>
      <c r="G76" s="524"/>
      <c r="H76" s="524"/>
      <c r="I76" s="525"/>
      <c r="J76" s="525"/>
      <c r="K76" s="524"/>
      <c r="L76" s="524"/>
      <c r="M76" s="524"/>
      <c r="N76" s="524"/>
      <c r="O76" s="524"/>
      <c r="P76" s="524"/>
      <c r="Q76" s="524"/>
      <c r="R76" s="524"/>
      <c r="S76" s="524"/>
      <c r="T76" s="524"/>
      <c r="U76" s="524"/>
      <c r="V76" s="524"/>
      <c r="W76" s="524"/>
      <c r="X76" s="524"/>
      <c r="Y76" s="524"/>
      <c r="Z76" s="524"/>
      <c r="AA76" s="526"/>
      <c r="AB76" s="523"/>
    </row>
    <row r="77" spans="1:28" s="520" customFormat="1" ht="65.150000000000006" customHeight="1">
      <c r="A77" s="523"/>
      <c r="B77" s="523"/>
      <c r="C77" s="524"/>
      <c r="D77" s="523"/>
      <c r="E77" s="524"/>
      <c r="F77" s="523"/>
      <c r="G77" s="524"/>
      <c r="H77" s="524"/>
      <c r="I77" s="525"/>
      <c r="J77" s="525"/>
      <c r="K77" s="524"/>
      <c r="L77" s="524"/>
      <c r="M77" s="524"/>
      <c r="N77" s="524"/>
      <c r="O77" s="524"/>
      <c r="P77" s="524"/>
      <c r="Q77" s="524"/>
      <c r="R77" s="524"/>
      <c r="S77" s="524"/>
      <c r="T77" s="524"/>
      <c r="U77" s="524"/>
      <c r="V77" s="524"/>
      <c r="W77" s="524"/>
      <c r="X77" s="524"/>
      <c r="Y77" s="524"/>
      <c r="Z77" s="524"/>
      <c r="AA77" s="526"/>
      <c r="AB77" s="523"/>
    </row>
    <row r="78" spans="1:28" s="520" customFormat="1" ht="65.150000000000006" customHeight="1">
      <c r="A78" s="523"/>
      <c r="B78" s="523"/>
      <c r="C78" s="524"/>
      <c r="D78" s="523"/>
      <c r="E78" s="524"/>
      <c r="F78" s="523"/>
      <c r="G78" s="524"/>
      <c r="H78" s="524"/>
      <c r="I78" s="525"/>
      <c r="J78" s="525"/>
      <c r="K78" s="524"/>
      <c r="L78" s="524"/>
      <c r="M78" s="524"/>
      <c r="N78" s="524"/>
      <c r="O78" s="524"/>
      <c r="P78" s="524"/>
      <c r="Q78" s="524"/>
      <c r="R78" s="524"/>
      <c r="S78" s="524"/>
      <c r="T78" s="524"/>
      <c r="U78" s="524"/>
      <c r="V78" s="524"/>
      <c r="W78" s="524"/>
      <c r="X78" s="524"/>
      <c r="Y78" s="524"/>
      <c r="Z78" s="524"/>
      <c r="AA78" s="526"/>
      <c r="AB78" s="523"/>
    </row>
    <row r="79" spans="1:28" s="520" customFormat="1" ht="65.150000000000006" customHeight="1">
      <c r="A79" s="523"/>
      <c r="B79" s="523"/>
      <c r="C79" s="524"/>
      <c r="D79" s="523"/>
      <c r="E79" s="524"/>
      <c r="F79" s="523"/>
      <c r="G79" s="524"/>
      <c r="H79" s="524"/>
      <c r="I79" s="525"/>
      <c r="J79" s="525"/>
      <c r="K79" s="524"/>
      <c r="L79" s="524"/>
      <c r="M79" s="524"/>
      <c r="N79" s="524"/>
      <c r="O79" s="524"/>
      <c r="P79" s="524"/>
      <c r="Q79" s="524"/>
      <c r="R79" s="524"/>
      <c r="S79" s="524"/>
      <c r="T79" s="524"/>
      <c r="U79" s="524"/>
      <c r="V79" s="524"/>
      <c r="W79" s="524"/>
      <c r="X79" s="524"/>
      <c r="Y79" s="524"/>
      <c r="Z79" s="524"/>
      <c r="AA79" s="526"/>
      <c r="AB79" s="523"/>
    </row>
    <row r="80" spans="1:28" s="520" customFormat="1" ht="65.150000000000006" customHeight="1">
      <c r="A80" s="523"/>
      <c r="B80" s="523"/>
      <c r="C80" s="524"/>
      <c r="D80" s="523"/>
      <c r="E80" s="524"/>
      <c r="F80" s="523"/>
      <c r="G80" s="524"/>
      <c r="H80" s="524"/>
      <c r="I80" s="525"/>
      <c r="J80" s="525"/>
      <c r="K80" s="524"/>
      <c r="L80" s="524"/>
      <c r="M80" s="524"/>
      <c r="N80" s="524"/>
      <c r="O80" s="524"/>
      <c r="P80" s="524"/>
      <c r="Q80" s="524"/>
      <c r="R80" s="524"/>
      <c r="S80" s="524"/>
      <c r="T80" s="524"/>
      <c r="U80" s="524"/>
      <c r="V80" s="524"/>
      <c r="W80" s="524"/>
      <c r="X80" s="524"/>
      <c r="Y80" s="524"/>
      <c r="Z80" s="524"/>
      <c r="AA80" s="526"/>
      <c r="AB80" s="523"/>
    </row>
    <row r="81" spans="1:28" s="520" customFormat="1" ht="65.150000000000006" customHeight="1">
      <c r="A81" s="523"/>
      <c r="B81" s="523"/>
      <c r="C81" s="524"/>
      <c r="D81" s="523"/>
      <c r="E81" s="524"/>
      <c r="F81" s="523"/>
      <c r="G81" s="524"/>
      <c r="H81" s="524"/>
      <c r="I81" s="525"/>
      <c r="J81" s="525"/>
      <c r="K81" s="524"/>
      <c r="L81" s="524"/>
      <c r="M81" s="524"/>
      <c r="N81" s="524"/>
      <c r="O81" s="524"/>
      <c r="P81" s="524"/>
      <c r="Q81" s="524"/>
      <c r="R81" s="524"/>
      <c r="S81" s="524"/>
      <c r="T81" s="524"/>
      <c r="U81" s="524"/>
      <c r="V81" s="524"/>
      <c r="W81" s="524"/>
      <c r="X81" s="524"/>
      <c r="Y81" s="524"/>
      <c r="Z81" s="524"/>
      <c r="AA81" s="526"/>
      <c r="AB81" s="523"/>
    </row>
    <row r="82" spans="1:28" s="520" customFormat="1" ht="65.150000000000006" customHeight="1">
      <c r="A82" s="523"/>
      <c r="B82" s="523"/>
      <c r="C82" s="524"/>
      <c r="D82" s="523"/>
      <c r="E82" s="524"/>
      <c r="F82" s="523"/>
      <c r="G82" s="524"/>
      <c r="H82" s="524"/>
      <c r="I82" s="525"/>
      <c r="J82" s="525"/>
      <c r="K82" s="524"/>
      <c r="L82" s="524"/>
      <c r="M82" s="524"/>
      <c r="N82" s="524"/>
      <c r="O82" s="524"/>
      <c r="P82" s="524"/>
      <c r="Q82" s="524"/>
      <c r="R82" s="524"/>
      <c r="S82" s="524"/>
      <c r="T82" s="524"/>
      <c r="U82" s="524"/>
      <c r="V82" s="524"/>
      <c r="W82" s="524"/>
      <c r="X82" s="524"/>
      <c r="Y82" s="524"/>
      <c r="Z82" s="524"/>
      <c r="AA82" s="526"/>
      <c r="AB82" s="523"/>
    </row>
    <row r="83" spans="1:28" s="520" customFormat="1" ht="65.150000000000006" customHeight="1">
      <c r="A83" s="523"/>
      <c r="B83" s="523"/>
      <c r="C83" s="524"/>
      <c r="D83" s="523"/>
      <c r="E83" s="524"/>
      <c r="F83" s="523"/>
      <c r="G83" s="524"/>
      <c r="H83" s="524"/>
      <c r="I83" s="525"/>
      <c r="J83" s="525"/>
      <c r="K83" s="524"/>
      <c r="L83" s="524"/>
      <c r="M83" s="524"/>
      <c r="N83" s="524"/>
      <c r="O83" s="524"/>
      <c r="P83" s="524"/>
      <c r="Q83" s="524"/>
      <c r="R83" s="524"/>
      <c r="S83" s="524"/>
      <c r="T83" s="524"/>
      <c r="U83" s="524"/>
      <c r="V83" s="524"/>
      <c r="W83" s="524"/>
      <c r="X83" s="524"/>
      <c r="Y83" s="524"/>
      <c r="Z83" s="524"/>
      <c r="AA83" s="526"/>
      <c r="AB83" s="523"/>
    </row>
    <row r="84" spans="1:28" s="520" customFormat="1" ht="65.150000000000006" customHeight="1">
      <c r="A84" s="523"/>
      <c r="B84" s="523"/>
      <c r="C84" s="524"/>
      <c r="D84" s="523"/>
      <c r="E84" s="524"/>
      <c r="F84" s="523"/>
      <c r="G84" s="524"/>
      <c r="H84" s="524"/>
      <c r="I84" s="525"/>
      <c r="J84" s="525"/>
      <c r="K84" s="524"/>
      <c r="L84" s="524"/>
      <c r="M84" s="524"/>
      <c r="N84" s="524"/>
      <c r="O84" s="524"/>
      <c r="P84" s="524"/>
      <c r="Q84" s="524"/>
      <c r="R84" s="524"/>
      <c r="S84" s="524"/>
      <c r="T84" s="524"/>
      <c r="U84" s="524"/>
      <c r="V84" s="524"/>
      <c r="W84" s="524"/>
      <c r="X84" s="524"/>
      <c r="Y84" s="524"/>
      <c r="Z84" s="524"/>
      <c r="AA84" s="526"/>
      <c r="AB84" s="523"/>
    </row>
    <row r="85" spans="1:28" s="520" customFormat="1" ht="65.150000000000006" customHeight="1">
      <c r="A85" s="523"/>
      <c r="B85" s="523"/>
      <c r="C85" s="524"/>
      <c r="D85" s="523"/>
      <c r="E85" s="524"/>
      <c r="F85" s="523"/>
      <c r="G85" s="524"/>
      <c r="H85" s="524"/>
      <c r="I85" s="525"/>
      <c r="J85" s="525"/>
      <c r="K85" s="524"/>
      <c r="L85" s="524"/>
      <c r="M85" s="524"/>
      <c r="N85" s="524"/>
      <c r="O85" s="524"/>
      <c r="P85" s="524"/>
      <c r="Q85" s="524"/>
      <c r="R85" s="524"/>
      <c r="S85" s="524"/>
      <c r="T85" s="524"/>
      <c r="U85" s="524"/>
      <c r="V85" s="524"/>
      <c r="W85" s="524"/>
      <c r="X85" s="524"/>
      <c r="Y85" s="524"/>
      <c r="Z85" s="524"/>
      <c r="AA85" s="526"/>
      <c r="AB85" s="523"/>
    </row>
    <row r="86" spans="1:28" s="520" customFormat="1" ht="65.150000000000006" customHeight="1">
      <c r="A86" s="523"/>
      <c r="B86" s="523"/>
      <c r="C86" s="524"/>
      <c r="D86" s="523"/>
      <c r="E86" s="524"/>
      <c r="F86" s="523"/>
      <c r="G86" s="524"/>
      <c r="H86" s="524"/>
      <c r="I86" s="525"/>
      <c r="J86" s="525"/>
      <c r="K86" s="524"/>
      <c r="L86" s="524"/>
      <c r="M86" s="524"/>
      <c r="N86" s="524"/>
      <c r="O86" s="524"/>
      <c r="P86" s="524"/>
      <c r="Q86" s="524"/>
      <c r="R86" s="524"/>
      <c r="S86" s="524"/>
      <c r="T86" s="524"/>
      <c r="U86" s="524"/>
      <c r="V86" s="524"/>
      <c r="W86" s="524"/>
      <c r="X86" s="524"/>
      <c r="Y86" s="524"/>
      <c r="Z86" s="524"/>
      <c r="AA86" s="526"/>
      <c r="AB86" s="523"/>
    </row>
    <row r="87" spans="1:28" s="520" customFormat="1" ht="65.150000000000006" customHeight="1">
      <c r="A87" s="523"/>
      <c r="B87" s="523"/>
      <c r="C87" s="524"/>
      <c r="D87" s="523"/>
      <c r="E87" s="524"/>
      <c r="F87" s="523"/>
      <c r="G87" s="524"/>
      <c r="H87" s="524"/>
      <c r="I87" s="525"/>
      <c r="J87" s="525"/>
      <c r="K87" s="524"/>
      <c r="L87" s="524"/>
      <c r="M87" s="524"/>
      <c r="N87" s="524"/>
      <c r="O87" s="524"/>
      <c r="P87" s="524"/>
      <c r="Q87" s="524"/>
      <c r="R87" s="524"/>
      <c r="S87" s="524"/>
      <c r="T87" s="524"/>
      <c r="U87" s="524"/>
      <c r="V87" s="524"/>
      <c r="W87" s="524"/>
      <c r="X87" s="524"/>
      <c r="Y87" s="524"/>
      <c r="Z87" s="524"/>
      <c r="AA87" s="526"/>
      <c r="AB87" s="523"/>
    </row>
    <row r="88" spans="1:28" s="520" customFormat="1" ht="65.150000000000006" customHeight="1">
      <c r="A88" s="523"/>
      <c r="B88" s="523"/>
      <c r="C88" s="524"/>
      <c r="D88" s="523"/>
      <c r="E88" s="524"/>
      <c r="F88" s="523"/>
      <c r="G88" s="524"/>
      <c r="H88" s="524"/>
      <c r="I88" s="525"/>
      <c r="J88" s="525"/>
      <c r="K88" s="524"/>
      <c r="L88" s="524"/>
      <c r="M88" s="524"/>
      <c r="N88" s="524"/>
      <c r="O88" s="524"/>
      <c r="P88" s="524"/>
      <c r="Q88" s="524"/>
      <c r="R88" s="524"/>
      <c r="S88" s="524"/>
      <c r="T88" s="524"/>
      <c r="U88" s="524"/>
      <c r="V88" s="524"/>
      <c r="W88" s="524"/>
      <c r="X88" s="524"/>
      <c r="Y88" s="524"/>
      <c r="Z88" s="524"/>
      <c r="AA88" s="526"/>
      <c r="AB88" s="523"/>
    </row>
    <row r="89" spans="1:28" s="520" customFormat="1" ht="65.150000000000006" customHeight="1">
      <c r="A89" s="523"/>
      <c r="B89" s="523"/>
      <c r="C89" s="524"/>
      <c r="D89" s="523"/>
      <c r="E89" s="524"/>
      <c r="F89" s="523"/>
      <c r="G89" s="524"/>
      <c r="H89" s="524"/>
      <c r="I89" s="525"/>
      <c r="J89" s="525"/>
      <c r="K89" s="524"/>
      <c r="L89" s="524"/>
      <c r="M89" s="524"/>
      <c r="N89" s="524"/>
      <c r="O89" s="524"/>
      <c r="P89" s="524"/>
      <c r="Q89" s="524"/>
      <c r="R89" s="524"/>
      <c r="S89" s="524"/>
      <c r="T89" s="524"/>
      <c r="U89" s="524"/>
      <c r="V89" s="524"/>
      <c r="W89" s="524"/>
      <c r="X89" s="524"/>
      <c r="Y89" s="524"/>
      <c r="Z89" s="524"/>
      <c r="AA89" s="526"/>
      <c r="AB89" s="523"/>
    </row>
    <row r="90" spans="1:28" s="520" customFormat="1" ht="63" customHeight="1">
      <c r="A90" s="523"/>
      <c r="B90" s="523"/>
      <c r="C90" s="524"/>
      <c r="D90" s="523"/>
      <c r="E90" s="524"/>
      <c r="F90" s="523"/>
      <c r="G90" s="524"/>
      <c r="H90" s="524"/>
      <c r="I90" s="525"/>
      <c r="J90" s="525"/>
      <c r="K90" s="524"/>
      <c r="L90" s="524"/>
      <c r="M90" s="524"/>
      <c r="N90" s="524"/>
      <c r="O90" s="524"/>
      <c r="P90" s="524"/>
      <c r="Q90" s="524"/>
      <c r="R90" s="524"/>
      <c r="S90" s="524"/>
      <c r="T90" s="524"/>
      <c r="U90" s="524"/>
      <c r="V90" s="524"/>
      <c r="W90" s="524"/>
      <c r="X90" s="524"/>
      <c r="Y90" s="524"/>
      <c r="Z90" s="524"/>
      <c r="AA90" s="526"/>
      <c r="AB90" s="523"/>
    </row>
    <row r="91" spans="1:28" s="527" customFormat="1" ht="63" customHeight="1">
      <c r="A91" s="523"/>
      <c r="B91" s="523"/>
      <c r="C91" s="524"/>
      <c r="D91" s="523"/>
      <c r="E91" s="524"/>
      <c r="F91" s="523"/>
      <c r="G91" s="524"/>
      <c r="H91" s="524"/>
      <c r="I91" s="525"/>
      <c r="J91" s="525"/>
      <c r="K91" s="524"/>
      <c r="L91" s="524"/>
      <c r="M91" s="524"/>
      <c r="N91" s="524"/>
      <c r="O91" s="524"/>
      <c r="P91" s="524"/>
      <c r="Q91" s="524"/>
      <c r="R91" s="524"/>
      <c r="S91" s="524"/>
      <c r="T91" s="524"/>
      <c r="U91" s="524"/>
      <c r="V91" s="524"/>
      <c r="W91" s="524"/>
      <c r="X91" s="524"/>
      <c r="Y91" s="524"/>
      <c r="Z91" s="524"/>
      <c r="AA91" s="526"/>
      <c r="AB91" s="523"/>
    </row>
    <row r="92" spans="1:28" s="527" customFormat="1" ht="63" customHeight="1">
      <c r="A92" s="523"/>
      <c r="B92" s="523"/>
      <c r="C92" s="524"/>
      <c r="D92" s="523"/>
      <c r="E92" s="524"/>
      <c r="F92" s="523"/>
      <c r="G92" s="524"/>
      <c r="H92" s="524"/>
      <c r="I92" s="525"/>
      <c r="J92" s="525"/>
      <c r="K92" s="524"/>
      <c r="L92" s="524"/>
      <c r="M92" s="524"/>
      <c r="N92" s="524"/>
      <c r="O92" s="524"/>
      <c r="P92" s="524"/>
      <c r="Q92" s="524"/>
      <c r="R92" s="524"/>
      <c r="S92" s="524"/>
      <c r="T92" s="524"/>
      <c r="U92" s="524"/>
      <c r="V92" s="524"/>
      <c r="W92" s="524"/>
      <c r="X92" s="524"/>
      <c r="Y92" s="524"/>
      <c r="Z92" s="524"/>
      <c r="AA92" s="526"/>
      <c r="AB92" s="523"/>
    </row>
    <row r="93" spans="1:28" s="520" customFormat="1" ht="65.150000000000006" customHeight="1">
      <c r="A93" s="523"/>
      <c r="B93" s="523"/>
      <c r="C93" s="524"/>
      <c r="D93" s="523"/>
      <c r="E93" s="524"/>
      <c r="F93" s="523"/>
      <c r="G93" s="524"/>
      <c r="H93" s="524"/>
      <c r="I93" s="525" t="s">
        <v>1675</v>
      </c>
      <c r="J93" s="525"/>
      <c r="K93" s="524" t="s">
        <v>1671</v>
      </c>
      <c r="L93" s="524" t="s">
        <v>1676</v>
      </c>
      <c r="M93" s="524"/>
      <c r="N93" s="524"/>
      <c r="O93" s="524"/>
      <c r="P93" s="524"/>
      <c r="Q93" s="524"/>
      <c r="R93" s="524"/>
      <c r="S93" s="524"/>
      <c r="T93" s="524"/>
      <c r="U93" s="524"/>
      <c r="V93" s="524" t="s">
        <v>1677</v>
      </c>
      <c r="W93" s="524"/>
      <c r="X93" s="524"/>
      <c r="Y93" s="524"/>
      <c r="Z93" s="524"/>
      <c r="AA93" s="526"/>
      <c r="AB93" s="523"/>
    </row>
    <row r="94" spans="1:28" s="520" customFormat="1" ht="65.150000000000006" customHeight="1">
      <c r="A94" s="523"/>
      <c r="B94" s="523"/>
      <c r="C94" s="524"/>
      <c r="D94" s="523"/>
      <c r="E94" s="524"/>
      <c r="F94" s="523"/>
      <c r="G94" s="524"/>
      <c r="H94" s="524"/>
      <c r="I94" s="525"/>
      <c r="J94" s="525"/>
      <c r="K94" s="524"/>
      <c r="L94" s="524"/>
      <c r="M94" s="524"/>
      <c r="N94" s="524"/>
      <c r="O94" s="524"/>
      <c r="P94" s="524"/>
      <c r="Q94" s="524"/>
      <c r="R94" s="524"/>
      <c r="S94" s="524"/>
      <c r="T94" s="524"/>
      <c r="U94" s="524"/>
      <c r="V94" s="524"/>
      <c r="W94" s="524"/>
      <c r="X94" s="524"/>
      <c r="Y94" s="524"/>
      <c r="Z94" s="524"/>
      <c r="AA94" s="526"/>
      <c r="AB94" s="523"/>
    </row>
    <row r="95" spans="1:28" s="520" customFormat="1" ht="94" customHeight="1">
      <c r="A95" s="523"/>
      <c r="B95" s="523"/>
      <c r="C95" s="524"/>
      <c r="D95" s="523"/>
      <c r="E95" s="524"/>
      <c r="F95" s="523"/>
      <c r="G95" s="524"/>
      <c r="H95" s="524"/>
      <c r="I95" s="525"/>
      <c r="J95" s="525"/>
      <c r="K95" s="524"/>
      <c r="L95" s="524"/>
      <c r="M95" s="524"/>
      <c r="N95" s="524"/>
      <c r="O95" s="524"/>
      <c r="P95" s="524"/>
      <c r="Q95" s="524"/>
      <c r="R95" s="524"/>
      <c r="S95" s="524"/>
      <c r="T95" s="524"/>
      <c r="U95" s="524"/>
      <c r="V95" s="524"/>
      <c r="W95" s="524"/>
      <c r="X95" s="524"/>
      <c r="Y95" s="524"/>
      <c r="Z95" s="524"/>
      <c r="AA95" s="526"/>
      <c r="AB95" s="523"/>
    </row>
    <row r="96" spans="1:28" s="520" customFormat="1" ht="84" customHeight="1">
      <c r="A96" s="523"/>
      <c r="B96" s="523"/>
      <c r="C96" s="524"/>
      <c r="D96" s="523"/>
      <c r="E96" s="524"/>
      <c r="F96" s="523"/>
      <c r="G96" s="524"/>
      <c r="H96" s="524"/>
      <c r="I96" s="525"/>
      <c r="J96" s="525"/>
      <c r="K96" s="524"/>
      <c r="L96" s="524"/>
      <c r="M96" s="524"/>
      <c r="N96" s="524"/>
      <c r="O96" s="524"/>
      <c r="P96" s="524"/>
      <c r="Q96" s="524"/>
      <c r="R96" s="524"/>
      <c r="S96" s="524"/>
      <c r="T96" s="524"/>
      <c r="U96" s="524"/>
      <c r="V96" s="559" t="s">
        <v>1678</v>
      </c>
      <c r="W96" s="524"/>
      <c r="X96" s="524"/>
      <c r="Y96" s="524"/>
      <c r="Z96" s="524"/>
      <c r="AA96" s="526"/>
      <c r="AB96" s="523"/>
    </row>
    <row r="97" spans="1:16384" s="520" customFormat="1" ht="65.150000000000006" customHeight="1">
      <c r="A97" s="523"/>
      <c r="B97" s="523"/>
      <c r="C97" s="524"/>
      <c r="D97" s="523"/>
      <c r="E97" s="524"/>
      <c r="F97" s="523"/>
      <c r="G97" s="524"/>
      <c r="H97" s="524"/>
      <c r="I97" s="525"/>
      <c r="J97" s="525"/>
      <c r="K97" s="524"/>
      <c r="L97" s="524"/>
      <c r="M97" s="524"/>
      <c r="N97" s="524"/>
      <c r="O97" s="524"/>
      <c r="P97" s="524"/>
      <c r="Q97" s="524"/>
      <c r="R97" s="524"/>
      <c r="S97" s="524"/>
      <c r="T97" s="524"/>
      <c r="U97" s="524"/>
      <c r="V97" s="559" t="s">
        <v>1680</v>
      </c>
      <c r="W97" s="524"/>
      <c r="X97" s="524"/>
      <c r="Y97" s="524"/>
      <c r="Z97" s="524"/>
      <c r="AA97" s="526"/>
      <c r="AB97" s="523"/>
    </row>
    <row r="98" spans="1:16384" s="520" customFormat="1" ht="65.150000000000006" customHeight="1">
      <c r="A98" s="523"/>
      <c r="B98" s="523"/>
      <c r="C98" s="524"/>
      <c r="D98" s="523"/>
      <c r="E98" s="524"/>
      <c r="F98" s="523"/>
      <c r="G98" s="524"/>
      <c r="H98" s="524"/>
      <c r="I98" s="525"/>
      <c r="J98" s="525"/>
      <c r="K98" s="524"/>
      <c r="L98" s="524"/>
      <c r="M98" s="524"/>
      <c r="N98" s="524"/>
      <c r="O98" s="524"/>
      <c r="P98" s="524"/>
      <c r="Q98" s="524"/>
      <c r="R98" s="524"/>
      <c r="S98" s="524"/>
      <c r="T98" s="524"/>
      <c r="U98" s="524"/>
      <c r="V98" s="559" t="s">
        <v>1679</v>
      </c>
      <c r="W98" s="524"/>
      <c r="X98" s="524"/>
      <c r="Y98" s="524"/>
      <c r="Z98" s="524"/>
      <c r="AA98" s="526"/>
      <c r="AB98" s="523"/>
    </row>
    <row r="99" spans="1:16384" s="520" customFormat="1" ht="65.150000000000006" customHeight="1">
      <c r="A99" s="523"/>
      <c r="B99" s="523"/>
      <c r="C99" s="524"/>
      <c r="D99" s="523"/>
      <c r="E99" s="524"/>
      <c r="F99" s="523"/>
      <c r="G99" s="524"/>
      <c r="H99" s="524"/>
      <c r="I99" s="525"/>
      <c r="J99" s="525"/>
      <c r="K99" s="524"/>
      <c r="L99" s="524"/>
      <c r="M99" s="524"/>
      <c r="N99" s="524"/>
      <c r="O99" s="524"/>
      <c r="P99" s="524"/>
      <c r="Q99" s="524"/>
      <c r="R99" s="524"/>
      <c r="S99" s="524"/>
      <c r="T99" s="524"/>
      <c r="U99" s="524"/>
      <c r="V99" s="524"/>
      <c r="W99" s="524"/>
      <c r="X99" s="524"/>
      <c r="Y99" s="524"/>
      <c r="Z99" s="524"/>
      <c r="AA99" s="526"/>
      <c r="AB99" s="523"/>
    </row>
    <row r="100" spans="1:16384" s="520" customFormat="1" ht="65.150000000000006" customHeight="1">
      <c r="A100" s="523"/>
      <c r="B100" s="523"/>
      <c r="C100" s="524"/>
      <c r="D100" s="523"/>
      <c r="E100" s="524"/>
      <c r="F100" s="523"/>
      <c r="G100" s="524"/>
      <c r="H100" s="524"/>
      <c r="I100" s="525"/>
      <c r="J100" s="525"/>
      <c r="K100" s="524"/>
      <c r="L100" s="524"/>
      <c r="M100" s="524"/>
      <c r="N100" s="524"/>
      <c r="O100" s="524"/>
      <c r="P100" s="524"/>
      <c r="Q100" s="524"/>
      <c r="R100" s="524"/>
      <c r="S100" s="524"/>
      <c r="T100" s="524"/>
      <c r="U100" s="524"/>
      <c r="V100" s="524"/>
      <c r="W100" s="524"/>
      <c r="X100" s="524"/>
      <c r="Y100" s="524"/>
      <c r="Z100" s="524"/>
      <c r="AA100" s="526"/>
      <c r="AB100" s="523"/>
    </row>
    <row r="101" spans="1:16384" s="520" customFormat="1" ht="65.150000000000006" customHeight="1">
      <c r="A101" s="523"/>
      <c r="B101" s="523"/>
      <c r="C101" s="524"/>
      <c r="D101" s="523"/>
      <c r="E101" s="524"/>
      <c r="F101" s="523"/>
      <c r="G101" s="524"/>
      <c r="H101" s="524"/>
      <c r="I101" s="525"/>
      <c r="J101" s="525"/>
      <c r="K101" s="524"/>
      <c r="L101" s="524"/>
      <c r="M101" s="524"/>
      <c r="N101" s="524"/>
      <c r="O101" s="524"/>
      <c r="P101" s="524"/>
      <c r="Q101" s="524"/>
      <c r="R101" s="524"/>
      <c r="S101" s="524"/>
      <c r="T101" s="524"/>
      <c r="U101" s="524"/>
      <c r="V101" s="524"/>
      <c r="W101" s="524"/>
      <c r="X101" s="524"/>
      <c r="Y101" s="524"/>
      <c r="Z101" s="524"/>
      <c r="AA101" s="526"/>
      <c r="AB101" s="523"/>
    </row>
    <row r="102" spans="1:16384" s="520" customFormat="1" ht="65.150000000000006" customHeight="1">
      <c r="A102" s="523"/>
      <c r="B102" s="523"/>
      <c r="C102" s="524"/>
      <c r="D102" s="523"/>
      <c r="E102" s="524"/>
      <c r="F102" s="523"/>
      <c r="G102" s="524"/>
      <c r="H102" s="524"/>
      <c r="I102" s="525"/>
      <c r="J102" s="525"/>
      <c r="K102" s="524"/>
      <c r="L102" s="524"/>
      <c r="M102" s="524"/>
      <c r="N102" s="524"/>
      <c r="O102" s="524"/>
      <c r="P102" s="524"/>
      <c r="Q102" s="524"/>
      <c r="R102" s="524"/>
      <c r="S102" s="524"/>
      <c r="T102" s="524"/>
      <c r="U102" s="524"/>
      <c r="V102" s="524"/>
      <c r="W102" s="524"/>
      <c r="X102" s="524"/>
      <c r="Y102" s="524"/>
      <c r="Z102" s="524"/>
      <c r="AA102" s="526"/>
      <c r="AB102" s="523"/>
      <c r="AC102" s="528"/>
      <c r="AD102" s="529"/>
      <c r="AE102" s="528"/>
      <c r="AF102" s="529"/>
      <c r="AG102" s="528" t="s">
        <v>213</v>
      </c>
      <c r="AH102" s="529" t="str">
        <f>VLOOKUP(AG102,[14]AssetDetails_UEM!$A$3:$AH$1849,6,FALSE)</f>
        <v>Electrosurgical Units, Monopolar/Bipolar</v>
      </c>
      <c r="AI102" s="528" t="s">
        <v>213</v>
      </c>
      <c r="AJ102" s="529" t="str">
        <f>VLOOKUP(AI102,[14]AssetDetails_UEM!$A$3:$AH$1849,6,FALSE)</f>
        <v>Electrosurgical Units, Monopolar/Bipolar</v>
      </c>
      <c r="AK102" s="528" t="s">
        <v>213</v>
      </c>
      <c r="AL102" s="529" t="str">
        <f>VLOOKUP(AK102,[14]AssetDetails_UEM!$A$3:$AH$1849,6,FALSE)</f>
        <v>Electrosurgical Units, Monopolar/Bipolar</v>
      </c>
      <c r="AM102" s="528" t="s">
        <v>213</v>
      </c>
      <c r="AN102" s="529" t="str">
        <f>VLOOKUP(AM102,[14]AssetDetails_UEM!$A$3:$AH$1849,6,FALSE)</f>
        <v>Electrosurgical Units, Monopolar/Bipolar</v>
      </c>
      <c r="AO102" s="528" t="s">
        <v>213</v>
      </c>
      <c r="AP102" s="529" t="str">
        <f>VLOOKUP(AO102,[14]AssetDetails_UEM!$A$3:$AH$1849,6,FALSE)</f>
        <v>Electrosurgical Units, Monopolar/Bipolar</v>
      </c>
      <c r="AQ102" s="528" t="s">
        <v>213</v>
      </c>
      <c r="AR102" s="529" t="str">
        <f>VLOOKUP(AQ102,[14]AssetDetails_UEM!$A$3:$AH$1849,6,FALSE)</f>
        <v>Electrosurgical Units, Monopolar/Bipolar</v>
      </c>
      <c r="AS102" s="528" t="s">
        <v>213</v>
      </c>
      <c r="AT102" s="529" t="str">
        <f>VLOOKUP(AS102,[14]AssetDetails_UEM!$A$3:$AH$1849,6,FALSE)</f>
        <v>Electrosurgical Units, Monopolar/Bipolar</v>
      </c>
      <c r="AU102" s="528" t="s">
        <v>213</v>
      </c>
      <c r="AV102" s="529" t="str">
        <f>VLOOKUP(AU102,[14]AssetDetails_UEM!$A$3:$AH$1849,6,FALSE)</f>
        <v>Electrosurgical Units, Monopolar/Bipolar</v>
      </c>
      <c r="AW102" s="528" t="s">
        <v>213</v>
      </c>
      <c r="AX102" s="529" t="str">
        <f>VLOOKUP(AW102,[14]AssetDetails_UEM!$A$3:$AH$1849,6,FALSE)</f>
        <v>Electrosurgical Units, Monopolar/Bipolar</v>
      </c>
      <c r="AY102" s="528" t="s">
        <v>213</v>
      </c>
      <c r="AZ102" s="529" t="str">
        <f>VLOOKUP(AY102,[14]AssetDetails_UEM!$A$3:$AH$1849,6,FALSE)</f>
        <v>Electrosurgical Units, Monopolar/Bipolar</v>
      </c>
      <c r="BA102" s="528" t="s">
        <v>213</v>
      </c>
      <c r="BB102" s="529" t="str">
        <f>VLOOKUP(BA102,[14]AssetDetails_UEM!$A$3:$AH$1849,6,FALSE)</f>
        <v>Electrosurgical Units, Monopolar/Bipolar</v>
      </c>
      <c r="BC102" s="528" t="s">
        <v>213</v>
      </c>
      <c r="BD102" s="529" t="str">
        <f>VLOOKUP(BC102,[14]AssetDetails_UEM!$A$3:$AH$1849,6,FALSE)</f>
        <v>Electrosurgical Units, Monopolar/Bipolar</v>
      </c>
      <c r="BE102" s="528" t="s">
        <v>213</v>
      </c>
      <c r="BF102" s="529" t="str">
        <f>VLOOKUP(BE102,[14]AssetDetails_UEM!$A$3:$AH$1849,6,FALSE)</f>
        <v>Electrosurgical Units, Monopolar/Bipolar</v>
      </c>
      <c r="BG102" s="528" t="s">
        <v>213</v>
      </c>
      <c r="BH102" s="529" t="str">
        <f>VLOOKUP(BG102,[14]AssetDetails_UEM!$A$3:$AH$1849,6,FALSE)</f>
        <v>Electrosurgical Units, Monopolar/Bipolar</v>
      </c>
      <c r="BI102" s="528" t="s">
        <v>213</v>
      </c>
      <c r="BJ102" s="529" t="str">
        <f>VLOOKUP(BI102,[14]AssetDetails_UEM!$A$3:$AH$1849,6,FALSE)</f>
        <v>Electrosurgical Units, Monopolar/Bipolar</v>
      </c>
      <c r="BK102" s="528" t="s">
        <v>213</v>
      </c>
      <c r="BL102" s="529" t="str">
        <f>VLOOKUP(BK102,[14]AssetDetails_UEM!$A$3:$AH$1849,6,FALSE)</f>
        <v>Electrosurgical Units, Monopolar/Bipolar</v>
      </c>
      <c r="BM102" s="528" t="s">
        <v>213</v>
      </c>
      <c r="BN102" s="529" t="str">
        <f>VLOOKUP(BM102,[14]AssetDetails_UEM!$A$3:$AH$1849,6,FALSE)</f>
        <v>Electrosurgical Units, Monopolar/Bipolar</v>
      </c>
      <c r="BO102" s="528" t="s">
        <v>213</v>
      </c>
      <c r="BP102" s="529" t="str">
        <f>VLOOKUP(BO102,[14]AssetDetails_UEM!$A$3:$AH$1849,6,FALSE)</f>
        <v>Electrosurgical Units, Monopolar/Bipolar</v>
      </c>
      <c r="BQ102" s="528" t="s">
        <v>213</v>
      </c>
      <c r="BR102" s="529" t="str">
        <f>VLOOKUP(BQ102,[14]AssetDetails_UEM!$A$3:$AH$1849,6,FALSE)</f>
        <v>Electrosurgical Units, Monopolar/Bipolar</v>
      </c>
      <c r="BS102" s="528" t="s">
        <v>213</v>
      </c>
      <c r="BT102" s="529" t="str">
        <f>VLOOKUP(BS102,[14]AssetDetails_UEM!$A$3:$AH$1849,6,FALSE)</f>
        <v>Electrosurgical Units, Monopolar/Bipolar</v>
      </c>
      <c r="BU102" s="528" t="s">
        <v>213</v>
      </c>
      <c r="BV102" s="529" t="str">
        <f>VLOOKUP(BU102,[14]AssetDetails_UEM!$A$3:$AH$1849,6,FALSE)</f>
        <v>Electrosurgical Units, Monopolar/Bipolar</v>
      </c>
      <c r="BW102" s="528" t="s">
        <v>213</v>
      </c>
      <c r="BX102" s="529" t="str">
        <f>VLOOKUP(BW102,[14]AssetDetails_UEM!$A$3:$AH$1849,6,FALSE)</f>
        <v>Electrosurgical Units, Monopolar/Bipolar</v>
      </c>
      <c r="BY102" s="528" t="s">
        <v>213</v>
      </c>
      <c r="BZ102" s="529" t="str">
        <f>VLOOKUP(BY102,[14]AssetDetails_UEM!$A$3:$AH$1849,6,FALSE)</f>
        <v>Electrosurgical Units, Monopolar/Bipolar</v>
      </c>
      <c r="CA102" s="528" t="s">
        <v>213</v>
      </c>
      <c r="CB102" s="529" t="str">
        <f>VLOOKUP(CA102,[14]AssetDetails_UEM!$A$3:$AH$1849,6,FALSE)</f>
        <v>Electrosurgical Units, Monopolar/Bipolar</v>
      </c>
      <c r="CC102" s="528" t="s">
        <v>213</v>
      </c>
      <c r="CD102" s="529" t="str">
        <f>VLOOKUP(CC102,[14]AssetDetails_UEM!$A$3:$AH$1849,6,FALSE)</f>
        <v>Electrosurgical Units, Monopolar/Bipolar</v>
      </c>
      <c r="CE102" s="528" t="s">
        <v>213</v>
      </c>
      <c r="CF102" s="529" t="str">
        <f>VLOOKUP(CE102,[14]AssetDetails_UEM!$A$3:$AH$1849,6,FALSE)</f>
        <v>Electrosurgical Units, Monopolar/Bipolar</v>
      </c>
      <c r="CG102" s="528" t="s">
        <v>213</v>
      </c>
      <c r="CH102" s="529" t="str">
        <f>VLOOKUP(CG102,[14]AssetDetails_UEM!$A$3:$AH$1849,6,FALSE)</f>
        <v>Electrosurgical Units, Monopolar/Bipolar</v>
      </c>
      <c r="CI102" s="528" t="s">
        <v>213</v>
      </c>
      <c r="CJ102" s="529" t="str">
        <f>VLOOKUP(CI102,[14]AssetDetails_UEM!$A$3:$AH$1849,6,FALSE)</f>
        <v>Electrosurgical Units, Monopolar/Bipolar</v>
      </c>
      <c r="CK102" s="528" t="s">
        <v>213</v>
      </c>
      <c r="CL102" s="529" t="str">
        <f>VLOOKUP(CK102,[14]AssetDetails_UEM!$A$3:$AH$1849,6,FALSE)</f>
        <v>Electrosurgical Units, Monopolar/Bipolar</v>
      </c>
      <c r="CM102" s="528" t="s">
        <v>213</v>
      </c>
      <c r="CN102" s="529" t="str">
        <f>VLOOKUP(CM102,[14]AssetDetails_UEM!$A$3:$AH$1849,6,FALSE)</f>
        <v>Electrosurgical Units, Monopolar/Bipolar</v>
      </c>
      <c r="CO102" s="528" t="s">
        <v>213</v>
      </c>
      <c r="CP102" s="529" t="str">
        <f>VLOOKUP(CO102,[14]AssetDetails_UEM!$A$3:$AH$1849,6,FALSE)</f>
        <v>Electrosurgical Units, Monopolar/Bipolar</v>
      </c>
      <c r="CQ102" s="528" t="s">
        <v>213</v>
      </c>
      <c r="CR102" s="529" t="str">
        <f>VLOOKUP(CQ102,[14]AssetDetails_UEM!$A$3:$AH$1849,6,FALSE)</f>
        <v>Electrosurgical Units, Monopolar/Bipolar</v>
      </c>
      <c r="CS102" s="528" t="s">
        <v>213</v>
      </c>
      <c r="CT102" s="529" t="str">
        <f>VLOOKUP(CS102,[14]AssetDetails_UEM!$A$3:$AH$1849,6,FALSE)</f>
        <v>Electrosurgical Units, Monopolar/Bipolar</v>
      </c>
      <c r="CU102" s="528" t="s">
        <v>213</v>
      </c>
      <c r="CV102" s="529" t="str">
        <f>VLOOKUP(CU102,[14]AssetDetails_UEM!$A$3:$AH$1849,6,FALSE)</f>
        <v>Electrosurgical Units, Monopolar/Bipolar</v>
      </c>
      <c r="CW102" s="528" t="s">
        <v>213</v>
      </c>
      <c r="CX102" s="529" t="str">
        <f>VLOOKUP(CW102,[14]AssetDetails_UEM!$A$3:$AH$1849,6,FALSE)</f>
        <v>Electrosurgical Units, Monopolar/Bipolar</v>
      </c>
      <c r="CY102" s="528" t="s">
        <v>213</v>
      </c>
      <c r="CZ102" s="529" t="str">
        <f>VLOOKUP(CY102,[14]AssetDetails_UEM!$A$3:$AH$1849,6,FALSE)</f>
        <v>Electrosurgical Units, Monopolar/Bipolar</v>
      </c>
      <c r="DA102" s="528" t="s">
        <v>213</v>
      </c>
      <c r="DB102" s="529" t="str">
        <f>VLOOKUP(DA102,[14]AssetDetails_UEM!$A$3:$AH$1849,6,FALSE)</f>
        <v>Electrosurgical Units, Monopolar/Bipolar</v>
      </c>
      <c r="DC102" s="528" t="s">
        <v>213</v>
      </c>
      <c r="DD102" s="529" t="str">
        <f>VLOOKUP(DC102,[14]AssetDetails_UEM!$A$3:$AH$1849,6,FALSE)</f>
        <v>Electrosurgical Units, Monopolar/Bipolar</v>
      </c>
      <c r="DE102" s="528" t="s">
        <v>213</v>
      </c>
      <c r="DF102" s="529" t="str">
        <f>VLOOKUP(DE102,[14]AssetDetails_UEM!$A$3:$AH$1849,6,FALSE)</f>
        <v>Electrosurgical Units, Monopolar/Bipolar</v>
      </c>
      <c r="DG102" s="528" t="s">
        <v>213</v>
      </c>
      <c r="DH102" s="529" t="str">
        <f>VLOOKUP(DG102,[14]AssetDetails_UEM!$A$3:$AH$1849,6,FALSE)</f>
        <v>Electrosurgical Units, Monopolar/Bipolar</v>
      </c>
      <c r="DI102" s="528" t="s">
        <v>213</v>
      </c>
      <c r="DJ102" s="529" t="str">
        <f>VLOOKUP(DI102,[14]AssetDetails_UEM!$A$3:$AH$1849,6,FALSE)</f>
        <v>Electrosurgical Units, Monopolar/Bipolar</v>
      </c>
      <c r="DK102" s="528" t="s">
        <v>213</v>
      </c>
      <c r="DL102" s="529" t="str">
        <f>VLOOKUP(DK102,[14]AssetDetails_UEM!$A$3:$AH$1849,6,FALSE)</f>
        <v>Electrosurgical Units, Monopolar/Bipolar</v>
      </c>
      <c r="DM102" s="528" t="s">
        <v>213</v>
      </c>
      <c r="DN102" s="529" t="str">
        <f>VLOOKUP(DM102,[14]AssetDetails_UEM!$A$3:$AH$1849,6,FALSE)</f>
        <v>Electrosurgical Units, Monopolar/Bipolar</v>
      </c>
      <c r="DO102" s="528" t="s">
        <v>213</v>
      </c>
      <c r="DP102" s="529" t="str">
        <f>VLOOKUP(DO102,[14]AssetDetails_UEM!$A$3:$AH$1849,6,FALSE)</f>
        <v>Electrosurgical Units, Monopolar/Bipolar</v>
      </c>
      <c r="DQ102" s="528" t="s">
        <v>213</v>
      </c>
      <c r="DR102" s="529" t="str">
        <f>VLOOKUP(DQ102,[14]AssetDetails_UEM!$A$3:$AH$1849,6,FALSE)</f>
        <v>Electrosurgical Units, Monopolar/Bipolar</v>
      </c>
      <c r="DS102" s="528" t="s">
        <v>213</v>
      </c>
      <c r="DT102" s="529" t="str">
        <f>VLOOKUP(DS102,[14]AssetDetails_UEM!$A$3:$AH$1849,6,FALSE)</f>
        <v>Electrosurgical Units, Monopolar/Bipolar</v>
      </c>
      <c r="DU102" s="528" t="s">
        <v>213</v>
      </c>
      <c r="DV102" s="529" t="str">
        <f>VLOOKUP(DU102,[14]AssetDetails_UEM!$A$3:$AH$1849,6,FALSE)</f>
        <v>Electrosurgical Units, Monopolar/Bipolar</v>
      </c>
      <c r="DW102" s="528" t="s">
        <v>213</v>
      </c>
      <c r="DX102" s="529" t="str">
        <f>VLOOKUP(DW102,[14]AssetDetails_UEM!$A$3:$AH$1849,6,FALSE)</f>
        <v>Electrosurgical Units, Monopolar/Bipolar</v>
      </c>
      <c r="DY102" s="528" t="s">
        <v>213</v>
      </c>
      <c r="DZ102" s="529" t="str">
        <f>VLOOKUP(DY102,[14]AssetDetails_UEM!$A$3:$AH$1849,6,FALSE)</f>
        <v>Electrosurgical Units, Monopolar/Bipolar</v>
      </c>
      <c r="EA102" s="528" t="s">
        <v>213</v>
      </c>
      <c r="EB102" s="529" t="str">
        <f>VLOOKUP(EA102,[14]AssetDetails_UEM!$A$3:$AH$1849,6,FALSE)</f>
        <v>Electrosurgical Units, Monopolar/Bipolar</v>
      </c>
      <c r="EC102" s="528" t="s">
        <v>213</v>
      </c>
      <c r="ED102" s="529" t="str">
        <f>VLOOKUP(EC102,[14]AssetDetails_UEM!$A$3:$AH$1849,6,FALSE)</f>
        <v>Electrosurgical Units, Monopolar/Bipolar</v>
      </c>
      <c r="EE102" s="528" t="s">
        <v>213</v>
      </c>
      <c r="EF102" s="529" t="str">
        <f>VLOOKUP(EE102,[14]AssetDetails_UEM!$A$3:$AH$1849,6,FALSE)</f>
        <v>Electrosurgical Units, Monopolar/Bipolar</v>
      </c>
      <c r="EG102" s="528" t="s">
        <v>213</v>
      </c>
      <c r="EH102" s="529" t="str">
        <f>VLOOKUP(EG102,[14]AssetDetails_UEM!$A$3:$AH$1849,6,FALSE)</f>
        <v>Electrosurgical Units, Monopolar/Bipolar</v>
      </c>
      <c r="EI102" s="528" t="s">
        <v>213</v>
      </c>
      <c r="EJ102" s="529" t="str">
        <f>VLOOKUP(EI102,[14]AssetDetails_UEM!$A$3:$AH$1849,6,FALSE)</f>
        <v>Electrosurgical Units, Monopolar/Bipolar</v>
      </c>
      <c r="EK102" s="528" t="s">
        <v>213</v>
      </c>
      <c r="EL102" s="529" t="str">
        <f>VLOOKUP(EK102,[14]AssetDetails_UEM!$A$3:$AH$1849,6,FALSE)</f>
        <v>Electrosurgical Units, Monopolar/Bipolar</v>
      </c>
      <c r="EM102" s="528" t="s">
        <v>213</v>
      </c>
      <c r="EN102" s="529" t="str">
        <f>VLOOKUP(EM102,[14]AssetDetails_UEM!$A$3:$AH$1849,6,FALSE)</f>
        <v>Electrosurgical Units, Monopolar/Bipolar</v>
      </c>
      <c r="EO102" s="528" t="s">
        <v>213</v>
      </c>
      <c r="EP102" s="529" t="str">
        <f>VLOOKUP(EO102,[14]AssetDetails_UEM!$A$3:$AH$1849,6,FALSE)</f>
        <v>Electrosurgical Units, Monopolar/Bipolar</v>
      </c>
      <c r="EQ102" s="528" t="s">
        <v>213</v>
      </c>
      <c r="ER102" s="529" t="str">
        <f>VLOOKUP(EQ102,[14]AssetDetails_UEM!$A$3:$AH$1849,6,FALSE)</f>
        <v>Electrosurgical Units, Monopolar/Bipolar</v>
      </c>
      <c r="ES102" s="528" t="s">
        <v>213</v>
      </c>
      <c r="ET102" s="529" t="str">
        <f>VLOOKUP(ES102,[14]AssetDetails_UEM!$A$3:$AH$1849,6,FALSE)</f>
        <v>Electrosurgical Units, Monopolar/Bipolar</v>
      </c>
      <c r="EU102" s="528" t="s">
        <v>213</v>
      </c>
      <c r="EV102" s="529" t="str">
        <f>VLOOKUP(EU102,[14]AssetDetails_UEM!$A$3:$AH$1849,6,FALSE)</f>
        <v>Electrosurgical Units, Monopolar/Bipolar</v>
      </c>
      <c r="EW102" s="528" t="s">
        <v>213</v>
      </c>
      <c r="EX102" s="529" t="str">
        <f>VLOOKUP(EW102,[14]AssetDetails_UEM!$A$3:$AH$1849,6,FALSE)</f>
        <v>Electrosurgical Units, Monopolar/Bipolar</v>
      </c>
      <c r="EY102" s="528" t="s">
        <v>213</v>
      </c>
      <c r="EZ102" s="529" t="str">
        <f>VLOOKUP(EY102,[14]AssetDetails_UEM!$A$3:$AH$1849,6,FALSE)</f>
        <v>Electrosurgical Units, Monopolar/Bipolar</v>
      </c>
      <c r="FA102" s="528" t="s">
        <v>213</v>
      </c>
      <c r="FB102" s="529" t="str">
        <f>VLOOKUP(FA102,[14]AssetDetails_UEM!$A$3:$AH$1849,6,FALSE)</f>
        <v>Electrosurgical Units, Monopolar/Bipolar</v>
      </c>
      <c r="FC102" s="528" t="s">
        <v>213</v>
      </c>
      <c r="FD102" s="529" t="str">
        <f>VLOOKUP(FC102,[14]AssetDetails_UEM!$A$3:$AH$1849,6,FALSE)</f>
        <v>Electrosurgical Units, Monopolar/Bipolar</v>
      </c>
      <c r="FE102" s="528" t="s">
        <v>213</v>
      </c>
      <c r="FF102" s="529" t="str">
        <f>VLOOKUP(FE102,[14]AssetDetails_UEM!$A$3:$AH$1849,6,FALSE)</f>
        <v>Electrosurgical Units, Monopolar/Bipolar</v>
      </c>
      <c r="FG102" s="528" t="s">
        <v>213</v>
      </c>
      <c r="FH102" s="529" t="str">
        <f>VLOOKUP(FG102,[14]AssetDetails_UEM!$A$3:$AH$1849,6,FALSE)</f>
        <v>Electrosurgical Units, Monopolar/Bipolar</v>
      </c>
      <c r="FI102" s="528" t="s">
        <v>213</v>
      </c>
      <c r="FJ102" s="529" t="str">
        <f>VLOOKUP(FI102,[14]AssetDetails_UEM!$A$3:$AH$1849,6,FALSE)</f>
        <v>Electrosurgical Units, Monopolar/Bipolar</v>
      </c>
      <c r="FK102" s="528" t="s">
        <v>213</v>
      </c>
      <c r="FL102" s="529" t="str">
        <f>VLOOKUP(FK102,[14]AssetDetails_UEM!$A$3:$AH$1849,6,FALSE)</f>
        <v>Electrosurgical Units, Monopolar/Bipolar</v>
      </c>
      <c r="FM102" s="528" t="s">
        <v>213</v>
      </c>
      <c r="FN102" s="529" t="str">
        <f>VLOOKUP(FM102,[14]AssetDetails_UEM!$A$3:$AH$1849,6,FALSE)</f>
        <v>Electrosurgical Units, Monopolar/Bipolar</v>
      </c>
      <c r="FO102" s="528" t="s">
        <v>213</v>
      </c>
      <c r="FP102" s="529" t="str">
        <f>VLOOKUP(FO102,[14]AssetDetails_UEM!$A$3:$AH$1849,6,FALSE)</f>
        <v>Electrosurgical Units, Monopolar/Bipolar</v>
      </c>
      <c r="FQ102" s="528" t="s">
        <v>213</v>
      </c>
      <c r="FR102" s="529" t="str">
        <f>VLOOKUP(FQ102,[14]AssetDetails_UEM!$A$3:$AH$1849,6,FALSE)</f>
        <v>Electrosurgical Units, Monopolar/Bipolar</v>
      </c>
      <c r="FS102" s="528" t="s">
        <v>213</v>
      </c>
      <c r="FT102" s="529" t="str">
        <f>VLOOKUP(FS102,[14]AssetDetails_UEM!$A$3:$AH$1849,6,FALSE)</f>
        <v>Electrosurgical Units, Monopolar/Bipolar</v>
      </c>
      <c r="FU102" s="528" t="s">
        <v>213</v>
      </c>
      <c r="FV102" s="529" t="str">
        <f>VLOOKUP(FU102,[14]AssetDetails_UEM!$A$3:$AH$1849,6,FALSE)</f>
        <v>Electrosurgical Units, Monopolar/Bipolar</v>
      </c>
      <c r="FW102" s="528" t="s">
        <v>213</v>
      </c>
      <c r="FX102" s="529" t="str">
        <f>VLOOKUP(FW102,[14]AssetDetails_UEM!$A$3:$AH$1849,6,FALSE)</f>
        <v>Electrosurgical Units, Monopolar/Bipolar</v>
      </c>
      <c r="FY102" s="528" t="s">
        <v>213</v>
      </c>
      <c r="FZ102" s="529" t="str">
        <f>VLOOKUP(FY102,[14]AssetDetails_UEM!$A$3:$AH$1849,6,FALSE)</f>
        <v>Electrosurgical Units, Monopolar/Bipolar</v>
      </c>
      <c r="GA102" s="528" t="s">
        <v>213</v>
      </c>
      <c r="GB102" s="529" t="str">
        <f>VLOOKUP(GA102,[14]AssetDetails_UEM!$A$3:$AH$1849,6,FALSE)</f>
        <v>Electrosurgical Units, Monopolar/Bipolar</v>
      </c>
      <c r="GC102" s="528" t="s">
        <v>213</v>
      </c>
      <c r="GD102" s="529" t="str">
        <f>VLOOKUP(GC102,[14]AssetDetails_UEM!$A$3:$AH$1849,6,FALSE)</f>
        <v>Electrosurgical Units, Monopolar/Bipolar</v>
      </c>
      <c r="GE102" s="528" t="s">
        <v>213</v>
      </c>
      <c r="GF102" s="529" t="str">
        <f>VLOOKUP(GE102,[14]AssetDetails_UEM!$A$3:$AH$1849,6,FALSE)</f>
        <v>Electrosurgical Units, Monopolar/Bipolar</v>
      </c>
      <c r="GG102" s="528" t="s">
        <v>213</v>
      </c>
      <c r="GH102" s="529" t="str">
        <f>VLOOKUP(GG102,[14]AssetDetails_UEM!$A$3:$AH$1849,6,FALSE)</f>
        <v>Electrosurgical Units, Monopolar/Bipolar</v>
      </c>
      <c r="GI102" s="528" t="s">
        <v>213</v>
      </c>
      <c r="GJ102" s="529" t="str">
        <f>VLOOKUP(GI102,[14]AssetDetails_UEM!$A$3:$AH$1849,6,FALSE)</f>
        <v>Electrosurgical Units, Monopolar/Bipolar</v>
      </c>
      <c r="GK102" s="528" t="s">
        <v>213</v>
      </c>
      <c r="GL102" s="529" t="str">
        <f>VLOOKUP(GK102,[14]AssetDetails_UEM!$A$3:$AH$1849,6,FALSE)</f>
        <v>Electrosurgical Units, Monopolar/Bipolar</v>
      </c>
      <c r="GM102" s="528" t="s">
        <v>213</v>
      </c>
      <c r="GN102" s="529" t="str">
        <f>VLOOKUP(GM102,[14]AssetDetails_UEM!$A$3:$AH$1849,6,FALSE)</f>
        <v>Electrosurgical Units, Monopolar/Bipolar</v>
      </c>
      <c r="GO102" s="528" t="s">
        <v>213</v>
      </c>
      <c r="GP102" s="529" t="str">
        <f>VLOOKUP(GO102,[14]AssetDetails_UEM!$A$3:$AH$1849,6,FALSE)</f>
        <v>Electrosurgical Units, Monopolar/Bipolar</v>
      </c>
      <c r="GQ102" s="528" t="s">
        <v>213</v>
      </c>
      <c r="GR102" s="529" t="str">
        <f>VLOOKUP(GQ102,[14]AssetDetails_UEM!$A$3:$AH$1849,6,FALSE)</f>
        <v>Electrosurgical Units, Monopolar/Bipolar</v>
      </c>
      <c r="GS102" s="528" t="s">
        <v>213</v>
      </c>
      <c r="GT102" s="529" t="str">
        <f>VLOOKUP(GS102,[14]AssetDetails_UEM!$A$3:$AH$1849,6,FALSE)</f>
        <v>Electrosurgical Units, Monopolar/Bipolar</v>
      </c>
      <c r="GU102" s="528" t="s">
        <v>213</v>
      </c>
      <c r="GV102" s="529" t="str">
        <f>VLOOKUP(GU102,[14]AssetDetails_UEM!$A$3:$AH$1849,6,FALSE)</f>
        <v>Electrosurgical Units, Monopolar/Bipolar</v>
      </c>
      <c r="GW102" s="528" t="s">
        <v>213</v>
      </c>
      <c r="GX102" s="529" t="str">
        <f>VLOOKUP(GW102,[14]AssetDetails_UEM!$A$3:$AH$1849,6,FALSE)</f>
        <v>Electrosurgical Units, Monopolar/Bipolar</v>
      </c>
      <c r="GY102" s="528" t="s">
        <v>213</v>
      </c>
      <c r="GZ102" s="529" t="str">
        <f>VLOOKUP(GY102,[14]AssetDetails_UEM!$A$3:$AH$1849,6,FALSE)</f>
        <v>Electrosurgical Units, Monopolar/Bipolar</v>
      </c>
      <c r="HA102" s="528" t="s">
        <v>213</v>
      </c>
      <c r="HB102" s="529" t="str">
        <f>VLOOKUP(HA102,[14]AssetDetails_UEM!$A$3:$AH$1849,6,FALSE)</f>
        <v>Electrosurgical Units, Monopolar/Bipolar</v>
      </c>
      <c r="HC102" s="528" t="s">
        <v>213</v>
      </c>
      <c r="HD102" s="529" t="str">
        <f>VLOOKUP(HC102,[14]AssetDetails_UEM!$A$3:$AH$1849,6,FALSE)</f>
        <v>Electrosurgical Units, Monopolar/Bipolar</v>
      </c>
      <c r="HE102" s="528" t="s">
        <v>213</v>
      </c>
      <c r="HF102" s="529" t="str">
        <f>VLOOKUP(HE102,[14]AssetDetails_UEM!$A$3:$AH$1849,6,FALSE)</f>
        <v>Electrosurgical Units, Monopolar/Bipolar</v>
      </c>
      <c r="HG102" s="528" t="s">
        <v>213</v>
      </c>
      <c r="HH102" s="529" t="str">
        <f>VLOOKUP(HG102,[14]AssetDetails_UEM!$A$3:$AH$1849,6,FALSE)</f>
        <v>Electrosurgical Units, Monopolar/Bipolar</v>
      </c>
      <c r="HI102" s="528" t="s">
        <v>213</v>
      </c>
      <c r="HJ102" s="529" t="str">
        <f>VLOOKUP(HI102,[14]AssetDetails_UEM!$A$3:$AH$1849,6,FALSE)</f>
        <v>Electrosurgical Units, Monopolar/Bipolar</v>
      </c>
      <c r="HK102" s="528" t="s">
        <v>213</v>
      </c>
      <c r="HL102" s="529" t="str">
        <f>VLOOKUP(HK102,[14]AssetDetails_UEM!$A$3:$AH$1849,6,FALSE)</f>
        <v>Electrosurgical Units, Monopolar/Bipolar</v>
      </c>
      <c r="HM102" s="528" t="s">
        <v>213</v>
      </c>
      <c r="HN102" s="529" t="str">
        <f>VLOOKUP(HM102,[14]AssetDetails_UEM!$A$3:$AH$1849,6,FALSE)</f>
        <v>Electrosurgical Units, Monopolar/Bipolar</v>
      </c>
      <c r="HO102" s="528" t="s">
        <v>213</v>
      </c>
      <c r="HP102" s="529" t="str">
        <f>VLOOKUP(HO102,[14]AssetDetails_UEM!$A$3:$AH$1849,6,FALSE)</f>
        <v>Electrosurgical Units, Monopolar/Bipolar</v>
      </c>
      <c r="HQ102" s="528" t="s">
        <v>213</v>
      </c>
      <c r="HR102" s="529" t="str">
        <f>VLOOKUP(HQ102,[14]AssetDetails_UEM!$A$3:$AH$1849,6,FALSE)</f>
        <v>Electrosurgical Units, Monopolar/Bipolar</v>
      </c>
      <c r="HS102" s="528" t="s">
        <v>213</v>
      </c>
      <c r="HT102" s="529" t="str">
        <f>VLOOKUP(HS102,[14]AssetDetails_UEM!$A$3:$AH$1849,6,FALSE)</f>
        <v>Electrosurgical Units, Monopolar/Bipolar</v>
      </c>
      <c r="HU102" s="528" t="s">
        <v>213</v>
      </c>
      <c r="HV102" s="529" t="str">
        <f>VLOOKUP(HU102,[14]AssetDetails_UEM!$A$3:$AH$1849,6,FALSE)</f>
        <v>Electrosurgical Units, Monopolar/Bipolar</v>
      </c>
      <c r="HW102" s="528" t="s">
        <v>213</v>
      </c>
      <c r="HX102" s="529" t="str">
        <f>VLOOKUP(HW102,[14]AssetDetails_UEM!$A$3:$AH$1849,6,FALSE)</f>
        <v>Electrosurgical Units, Monopolar/Bipolar</v>
      </c>
      <c r="HY102" s="528" t="s">
        <v>213</v>
      </c>
      <c r="HZ102" s="529" t="str">
        <f>VLOOKUP(HY102,[14]AssetDetails_UEM!$A$3:$AH$1849,6,FALSE)</f>
        <v>Electrosurgical Units, Monopolar/Bipolar</v>
      </c>
      <c r="IA102" s="528" t="s">
        <v>213</v>
      </c>
      <c r="IB102" s="529" t="str">
        <f>VLOOKUP(IA102,[14]AssetDetails_UEM!$A$3:$AH$1849,6,FALSE)</f>
        <v>Electrosurgical Units, Monopolar/Bipolar</v>
      </c>
      <c r="IC102" s="528" t="s">
        <v>213</v>
      </c>
      <c r="ID102" s="529" t="str">
        <f>VLOOKUP(IC102,[14]AssetDetails_UEM!$A$3:$AH$1849,6,FALSE)</f>
        <v>Electrosurgical Units, Monopolar/Bipolar</v>
      </c>
      <c r="IE102" s="528" t="s">
        <v>213</v>
      </c>
      <c r="IF102" s="529" t="str">
        <f>VLOOKUP(IE102,[14]AssetDetails_UEM!$A$3:$AH$1849,6,FALSE)</f>
        <v>Electrosurgical Units, Monopolar/Bipolar</v>
      </c>
      <c r="IG102" s="528" t="s">
        <v>213</v>
      </c>
      <c r="IH102" s="529" t="str">
        <f>VLOOKUP(IG102,[14]AssetDetails_UEM!$A$3:$AH$1849,6,FALSE)</f>
        <v>Electrosurgical Units, Monopolar/Bipolar</v>
      </c>
      <c r="II102" s="528" t="s">
        <v>213</v>
      </c>
      <c r="IJ102" s="529" t="str">
        <f>VLOOKUP(II102,[14]AssetDetails_UEM!$A$3:$AH$1849,6,FALSE)</f>
        <v>Electrosurgical Units, Monopolar/Bipolar</v>
      </c>
      <c r="IK102" s="528" t="s">
        <v>213</v>
      </c>
      <c r="IL102" s="529" t="str">
        <f>VLOOKUP(IK102,[14]AssetDetails_UEM!$A$3:$AH$1849,6,FALSE)</f>
        <v>Electrosurgical Units, Monopolar/Bipolar</v>
      </c>
      <c r="IM102" s="528" t="s">
        <v>213</v>
      </c>
      <c r="IN102" s="529" t="str">
        <f>VLOOKUP(IM102,[14]AssetDetails_UEM!$A$3:$AH$1849,6,FALSE)</f>
        <v>Electrosurgical Units, Monopolar/Bipolar</v>
      </c>
      <c r="IO102" s="528" t="s">
        <v>213</v>
      </c>
      <c r="IP102" s="529" t="str">
        <f>VLOOKUP(IO102,[14]AssetDetails_UEM!$A$3:$AH$1849,6,FALSE)</f>
        <v>Electrosurgical Units, Monopolar/Bipolar</v>
      </c>
      <c r="IQ102" s="528" t="s">
        <v>213</v>
      </c>
      <c r="IR102" s="529" t="str">
        <f>VLOOKUP(IQ102,[14]AssetDetails_UEM!$A$3:$AH$1849,6,FALSE)</f>
        <v>Electrosurgical Units, Monopolar/Bipolar</v>
      </c>
      <c r="IS102" s="528" t="s">
        <v>213</v>
      </c>
      <c r="IT102" s="529" t="str">
        <f>VLOOKUP(IS102,[14]AssetDetails_UEM!$A$3:$AH$1849,6,FALSE)</f>
        <v>Electrosurgical Units, Monopolar/Bipolar</v>
      </c>
      <c r="IU102" s="528" t="s">
        <v>213</v>
      </c>
      <c r="IV102" s="529" t="str">
        <f>VLOOKUP(IU102,[14]AssetDetails_UEM!$A$3:$AH$1849,6,FALSE)</f>
        <v>Electrosurgical Units, Monopolar/Bipolar</v>
      </c>
      <c r="IW102" s="528" t="s">
        <v>213</v>
      </c>
      <c r="IX102" s="529" t="str">
        <f>VLOOKUP(IW102,[14]AssetDetails_UEM!$A$3:$AH$1849,6,FALSE)</f>
        <v>Electrosurgical Units, Monopolar/Bipolar</v>
      </c>
      <c r="IY102" s="528" t="s">
        <v>213</v>
      </c>
      <c r="IZ102" s="529" t="str">
        <f>VLOOKUP(IY102,[14]AssetDetails_UEM!$A$3:$AH$1849,6,FALSE)</f>
        <v>Electrosurgical Units, Monopolar/Bipolar</v>
      </c>
      <c r="JA102" s="528" t="s">
        <v>213</v>
      </c>
      <c r="JB102" s="529" t="str">
        <f>VLOOKUP(JA102,[14]AssetDetails_UEM!$A$3:$AH$1849,6,FALSE)</f>
        <v>Electrosurgical Units, Monopolar/Bipolar</v>
      </c>
      <c r="JC102" s="528" t="s">
        <v>213</v>
      </c>
      <c r="JD102" s="529" t="str">
        <f>VLOOKUP(JC102,[14]AssetDetails_UEM!$A$3:$AH$1849,6,FALSE)</f>
        <v>Electrosurgical Units, Monopolar/Bipolar</v>
      </c>
      <c r="JE102" s="528" t="s">
        <v>213</v>
      </c>
      <c r="JF102" s="529" t="str">
        <f>VLOOKUP(JE102,[14]AssetDetails_UEM!$A$3:$AH$1849,6,FALSE)</f>
        <v>Electrosurgical Units, Monopolar/Bipolar</v>
      </c>
      <c r="JG102" s="528" t="s">
        <v>213</v>
      </c>
      <c r="JH102" s="529" t="str">
        <f>VLOOKUP(JG102,[14]AssetDetails_UEM!$A$3:$AH$1849,6,FALSE)</f>
        <v>Electrosurgical Units, Monopolar/Bipolar</v>
      </c>
      <c r="JI102" s="528" t="s">
        <v>213</v>
      </c>
      <c r="JJ102" s="529" t="str">
        <f>VLOOKUP(JI102,[14]AssetDetails_UEM!$A$3:$AH$1849,6,FALSE)</f>
        <v>Electrosurgical Units, Monopolar/Bipolar</v>
      </c>
      <c r="JK102" s="528" t="s">
        <v>213</v>
      </c>
      <c r="JL102" s="529" t="str">
        <f>VLOOKUP(JK102,[14]AssetDetails_UEM!$A$3:$AH$1849,6,FALSE)</f>
        <v>Electrosurgical Units, Monopolar/Bipolar</v>
      </c>
      <c r="JM102" s="528" t="s">
        <v>213</v>
      </c>
      <c r="JN102" s="529" t="str">
        <f>VLOOKUP(JM102,[14]AssetDetails_UEM!$A$3:$AH$1849,6,FALSE)</f>
        <v>Electrosurgical Units, Monopolar/Bipolar</v>
      </c>
      <c r="JO102" s="528" t="s">
        <v>213</v>
      </c>
      <c r="JP102" s="529" t="str">
        <f>VLOOKUP(JO102,[14]AssetDetails_UEM!$A$3:$AH$1849,6,FALSE)</f>
        <v>Electrosurgical Units, Monopolar/Bipolar</v>
      </c>
      <c r="JQ102" s="528" t="s">
        <v>213</v>
      </c>
      <c r="JR102" s="529" t="str">
        <f>VLOOKUP(JQ102,[14]AssetDetails_UEM!$A$3:$AH$1849,6,FALSE)</f>
        <v>Electrosurgical Units, Monopolar/Bipolar</v>
      </c>
      <c r="JS102" s="528" t="s">
        <v>213</v>
      </c>
      <c r="JT102" s="529" t="str">
        <f>VLOOKUP(JS102,[14]AssetDetails_UEM!$A$3:$AH$1849,6,FALSE)</f>
        <v>Electrosurgical Units, Monopolar/Bipolar</v>
      </c>
      <c r="JU102" s="528" t="s">
        <v>213</v>
      </c>
      <c r="JV102" s="529" t="str">
        <f>VLOOKUP(JU102,[14]AssetDetails_UEM!$A$3:$AH$1849,6,FALSE)</f>
        <v>Electrosurgical Units, Monopolar/Bipolar</v>
      </c>
      <c r="JW102" s="528" t="s">
        <v>213</v>
      </c>
      <c r="JX102" s="529" t="str">
        <f>VLOOKUP(JW102,[14]AssetDetails_UEM!$A$3:$AH$1849,6,FALSE)</f>
        <v>Electrosurgical Units, Monopolar/Bipolar</v>
      </c>
      <c r="JY102" s="528" t="s">
        <v>213</v>
      </c>
      <c r="JZ102" s="529" t="str">
        <f>VLOOKUP(JY102,[14]AssetDetails_UEM!$A$3:$AH$1849,6,FALSE)</f>
        <v>Electrosurgical Units, Monopolar/Bipolar</v>
      </c>
      <c r="KA102" s="528" t="s">
        <v>213</v>
      </c>
      <c r="KB102" s="529" t="str">
        <f>VLOOKUP(KA102,[14]AssetDetails_UEM!$A$3:$AH$1849,6,FALSE)</f>
        <v>Electrosurgical Units, Monopolar/Bipolar</v>
      </c>
      <c r="KC102" s="528" t="s">
        <v>213</v>
      </c>
      <c r="KD102" s="529" t="str">
        <f>VLOOKUP(KC102,[14]AssetDetails_UEM!$A$3:$AH$1849,6,FALSE)</f>
        <v>Electrosurgical Units, Monopolar/Bipolar</v>
      </c>
      <c r="KE102" s="528" t="s">
        <v>213</v>
      </c>
      <c r="KF102" s="529" t="str">
        <f>VLOOKUP(KE102,[14]AssetDetails_UEM!$A$3:$AH$1849,6,FALSE)</f>
        <v>Electrosurgical Units, Monopolar/Bipolar</v>
      </c>
      <c r="KG102" s="528" t="s">
        <v>213</v>
      </c>
      <c r="KH102" s="529" t="str">
        <f>VLOOKUP(KG102,[14]AssetDetails_UEM!$A$3:$AH$1849,6,FALSE)</f>
        <v>Electrosurgical Units, Monopolar/Bipolar</v>
      </c>
      <c r="KI102" s="528" t="s">
        <v>213</v>
      </c>
      <c r="KJ102" s="529" t="str">
        <f>VLOOKUP(KI102,[14]AssetDetails_UEM!$A$3:$AH$1849,6,FALSE)</f>
        <v>Electrosurgical Units, Monopolar/Bipolar</v>
      </c>
      <c r="KK102" s="528" t="s">
        <v>213</v>
      </c>
      <c r="KL102" s="529" t="str">
        <f>VLOOKUP(KK102,[14]AssetDetails_UEM!$A$3:$AH$1849,6,FALSE)</f>
        <v>Electrosurgical Units, Monopolar/Bipolar</v>
      </c>
      <c r="KM102" s="528" t="s">
        <v>213</v>
      </c>
      <c r="KN102" s="529" t="str">
        <f>VLOOKUP(KM102,[14]AssetDetails_UEM!$A$3:$AH$1849,6,FALSE)</f>
        <v>Electrosurgical Units, Monopolar/Bipolar</v>
      </c>
      <c r="KO102" s="528" t="s">
        <v>213</v>
      </c>
      <c r="KP102" s="529" t="str">
        <f>VLOOKUP(KO102,[14]AssetDetails_UEM!$A$3:$AH$1849,6,FALSE)</f>
        <v>Electrosurgical Units, Monopolar/Bipolar</v>
      </c>
      <c r="KQ102" s="528" t="s">
        <v>213</v>
      </c>
      <c r="KR102" s="529" t="str">
        <f>VLOOKUP(KQ102,[14]AssetDetails_UEM!$A$3:$AH$1849,6,FALSE)</f>
        <v>Electrosurgical Units, Monopolar/Bipolar</v>
      </c>
      <c r="KS102" s="528" t="s">
        <v>213</v>
      </c>
      <c r="KT102" s="529" t="str">
        <f>VLOOKUP(KS102,[14]AssetDetails_UEM!$A$3:$AH$1849,6,FALSE)</f>
        <v>Electrosurgical Units, Monopolar/Bipolar</v>
      </c>
      <c r="KU102" s="528" t="s">
        <v>213</v>
      </c>
      <c r="KV102" s="529" t="str">
        <f>VLOOKUP(KU102,[14]AssetDetails_UEM!$A$3:$AH$1849,6,FALSE)</f>
        <v>Electrosurgical Units, Monopolar/Bipolar</v>
      </c>
      <c r="KW102" s="528" t="s">
        <v>213</v>
      </c>
      <c r="KX102" s="529" t="str">
        <f>VLOOKUP(KW102,[14]AssetDetails_UEM!$A$3:$AH$1849,6,FALSE)</f>
        <v>Electrosurgical Units, Monopolar/Bipolar</v>
      </c>
      <c r="KY102" s="528" t="s">
        <v>213</v>
      </c>
      <c r="KZ102" s="529" t="str">
        <f>VLOOKUP(KY102,[14]AssetDetails_UEM!$A$3:$AH$1849,6,FALSE)</f>
        <v>Electrosurgical Units, Monopolar/Bipolar</v>
      </c>
      <c r="LA102" s="528" t="s">
        <v>213</v>
      </c>
      <c r="LB102" s="529" t="str">
        <f>VLOOKUP(LA102,[14]AssetDetails_UEM!$A$3:$AH$1849,6,FALSE)</f>
        <v>Electrosurgical Units, Monopolar/Bipolar</v>
      </c>
      <c r="LC102" s="528" t="s">
        <v>213</v>
      </c>
      <c r="LD102" s="529" t="str">
        <f>VLOOKUP(LC102,[14]AssetDetails_UEM!$A$3:$AH$1849,6,FALSE)</f>
        <v>Electrosurgical Units, Monopolar/Bipolar</v>
      </c>
      <c r="LE102" s="528" t="s">
        <v>213</v>
      </c>
      <c r="LF102" s="529" t="str">
        <f>VLOOKUP(LE102,[14]AssetDetails_UEM!$A$3:$AH$1849,6,FALSE)</f>
        <v>Electrosurgical Units, Monopolar/Bipolar</v>
      </c>
      <c r="LG102" s="528" t="s">
        <v>213</v>
      </c>
      <c r="LH102" s="529" t="str">
        <f>VLOOKUP(LG102,[14]AssetDetails_UEM!$A$3:$AH$1849,6,FALSE)</f>
        <v>Electrosurgical Units, Monopolar/Bipolar</v>
      </c>
      <c r="LI102" s="528" t="s">
        <v>213</v>
      </c>
      <c r="LJ102" s="529" t="str">
        <f>VLOOKUP(LI102,[14]AssetDetails_UEM!$A$3:$AH$1849,6,FALSE)</f>
        <v>Electrosurgical Units, Monopolar/Bipolar</v>
      </c>
      <c r="LK102" s="528" t="s">
        <v>213</v>
      </c>
      <c r="LL102" s="529" t="str">
        <f>VLOOKUP(LK102,[14]AssetDetails_UEM!$A$3:$AH$1849,6,FALSE)</f>
        <v>Electrosurgical Units, Monopolar/Bipolar</v>
      </c>
      <c r="LM102" s="528" t="s">
        <v>213</v>
      </c>
      <c r="LN102" s="529" t="str">
        <f>VLOOKUP(LM102,[14]AssetDetails_UEM!$A$3:$AH$1849,6,FALSE)</f>
        <v>Electrosurgical Units, Monopolar/Bipolar</v>
      </c>
      <c r="LO102" s="528" t="s">
        <v>213</v>
      </c>
      <c r="LP102" s="529" t="str">
        <f>VLOOKUP(LO102,[14]AssetDetails_UEM!$A$3:$AH$1849,6,FALSE)</f>
        <v>Electrosurgical Units, Monopolar/Bipolar</v>
      </c>
      <c r="LQ102" s="528" t="s">
        <v>213</v>
      </c>
      <c r="LR102" s="529" t="str">
        <f>VLOOKUP(LQ102,[14]AssetDetails_UEM!$A$3:$AH$1849,6,FALSE)</f>
        <v>Electrosurgical Units, Monopolar/Bipolar</v>
      </c>
      <c r="LS102" s="528" t="s">
        <v>213</v>
      </c>
      <c r="LT102" s="529" t="str">
        <f>VLOOKUP(LS102,[14]AssetDetails_UEM!$A$3:$AH$1849,6,FALSE)</f>
        <v>Electrosurgical Units, Monopolar/Bipolar</v>
      </c>
      <c r="LU102" s="528" t="s">
        <v>213</v>
      </c>
      <c r="LV102" s="529" t="str">
        <f>VLOOKUP(LU102,[14]AssetDetails_UEM!$A$3:$AH$1849,6,FALSE)</f>
        <v>Electrosurgical Units, Monopolar/Bipolar</v>
      </c>
      <c r="LW102" s="528" t="s">
        <v>213</v>
      </c>
      <c r="LX102" s="529" t="str">
        <f>VLOOKUP(LW102,[14]AssetDetails_UEM!$A$3:$AH$1849,6,FALSE)</f>
        <v>Electrosurgical Units, Monopolar/Bipolar</v>
      </c>
      <c r="LY102" s="528" t="s">
        <v>213</v>
      </c>
      <c r="LZ102" s="529" t="str">
        <f>VLOOKUP(LY102,[14]AssetDetails_UEM!$A$3:$AH$1849,6,FALSE)</f>
        <v>Electrosurgical Units, Monopolar/Bipolar</v>
      </c>
      <c r="MA102" s="528" t="s">
        <v>213</v>
      </c>
      <c r="MB102" s="529" t="str">
        <f>VLOOKUP(MA102,[14]AssetDetails_UEM!$A$3:$AH$1849,6,FALSE)</f>
        <v>Electrosurgical Units, Monopolar/Bipolar</v>
      </c>
      <c r="MC102" s="528" t="s">
        <v>213</v>
      </c>
      <c r="MD102" s="529" t="str">
        <f>VLOOKUP(MC102,[14]AssetDetails_UEM!$A$3:$AH$1849,6,FALSE)</f>
        <v>Electrosurgical Units, Monopolar/Bipolar</v>
      </c>
      <c r="ME102" s="528" t="s">
        <v>213</v>
      </c>
      <c r="MF102" s="529" t="str">
        <f>VLOOKUP(ME102,[14]AssetDetails_UEM!$A$3:$AH$1849,6,FALSE)</f>
        <v>Electrosurgical Units, Monopolar/Bipolar</v>
      </c>
      <c r="MG102" s="528" t="s">
        <v>213</v>
      </c>
      <c r="MH102" s="529" t="str">
        <f>VLOOKUP(MG102,[14]AssetDetails_UEM!$A$3:$AH$1849,6,FALSE)</f>
        <v>Electrosurgical Units, Monopolar/Bipolar</v>
      </c>
      <c r="MI102" s="528" t="s">
        <v>213</v>
      </c>
      <c r="MJ102" s="529" t="str">
        <f>VLOOKUP(MI102,[14]AssetDetails_UEM!$A$3:$AH$1849,6,FALSE)</f>
        <v>Electrosurgical Units, Monopolar/Bipolar</v>
      </c>
      <c r="MK102" s="528" t="s">
        <v>213</v>
      </c>
      <c r="ML102" s="529" t="str">
        <f>VLOOKUP(MK102,[14]AssetDetails_UEM!$A$3:$AH$1849,6,FALSE)</f>
        <v>Electrosurgical Units, Monopolar/Bipolar</v>
      </c>
      <c r="MM102" s="528" t="s">
        <v>213</v>
      </c>
      <c r="MN102" s="529" t="str">
        <f>VLOOKUP(MM102,[14]AssetDetails_UEM!$A$3:$AH$1849,6,FALSE)</f>
        <v>Electrosurgical Units, Monopolar/Bipolar</v>
      </c>
      <c r="MO102" s="528" t="s">
        <v>213</v>
      </c>
      <c r="MP102" s="529" t="str">
        <f>VLOOKUP(MO102,[14]AssetDetails_UEM!$A$3:$AH$1849,6,FALSE)</f>
        <v>Electrosurgical Units, Monopolar/Bipolar</v>
      </c>
      <c r="MQ102" s="528" t="s">
        <v>213</v>
      </c>
      <c r="MR102" s="529" t="str">
        <f>VLOOKUP(MQ102,[14]AssetDetails_UEM!$A$3:$AH$1849,6,FALSE)</f>
        <v>Electrosurgical Units, Monopolar/Bipolar</v>
      </c>
      <c r="MS102" s="528" t="s">
        <v>213</v>
      </c>
      <c r="MT102" s="529" t="str">
        <f>VLOOKUP(MS102,[14]AssetDetails_UEM!$A$3:$AH$1849,6,FALSE)</f>
        <v>Electrosurgical Units, Monopolar/Bipolar</v>
      </c>
      <c r="MU102" s="528" t="s">
        <v>213</v>
      </c>
      <c r="MV102" s="529" t="str">
        <f>VLOOKUP(MU102,[14]AssetDetails_UEM!$A$3:$AH$1849,6,FALSE)</f>
        <v>Electrosurgical Units, Monopolar/Bipolar</v>
      </c>
      <c r="MW102" s="528" t="s">
        <v>213</v>
      </c>
      <c r="MX102" s="529" t="str">
        <f>VLOOKUP(MW102,[14]AssetDetails_UEM!$A$3:$AH$1849,6,FALSE)</f>
        <v>Electrosurgical Units, Monopolar/Bipolar</v>
      </c>
      <c r="MY102" s="528" t="s">
        <v>213</v>
      </c>
      <c r="MZ102" s="529" t="str">
        <f>VLOOKUP(MY102,[14]AssetDetails_UEM!$A$3:$AH$1849,6,FALSE)</f>
        <v>Electrosurgical Units, Monopolar/Bipolar</v>
      </c>
      <c r="NA102" s="528" t="s">
        <v>213</v>
      </c>
      <c r="NB102" s="529" t="str">
        <f>VLOOKUP(NA102,[14]AssetDetails_UEM!$A$3:$AH$1849,6,FALSE)</f>
        <v>Electrosurgical Units, Monopolar/Bipolar</v>
      </c>
      <c r="NC102" s="528" t="s">
        <v>213</v>
      </c>
      <c r="ND102" s="529" t="str">
        <f>VLOOKUP(NC102,[14]AssetDetails_UEM!$A$3:$AH$1849,6,FALSE)</f>
        <v>Electrosurgical Units, Monopolar/Bipolar</v>
      </c>
      <c r="NE102" s="528" t="s">
        <v>213</v>
      </c>
      <c r="NF102" s="529" t="str">
        <f>VLOOKUP(NE102,[14]AssetDetails_UEM!$A$3:$AH$1849,6,FALSE)</f>
        <v>Electrosurgical Units, Monopolar/Bipolar</v>
      </c>
      <c r="NG102" s="528" t="s">
        <v>213</v>
      </c>
      <c r="NH102" s="529" t="str">
        <f>VLOOKUP(NG102,[14]AssetDetails_UEM!$A$3:$AH$1849,6,FALSE)</f>
        <v>Electrosurgical Units, Monopolar/Bipolar</v>
      </c>
      <c r="NI102" s="528" t="s">
        <v>213</v>
      </c>
      <c r="NJ102" s="529" t="str">
        <f>VLOOKUP(NI102,[14]AssetDetails_UEM!$A$3:$AH$1849,6,FALSE)</f>
        <v>Electrosurgical Units, Monopolar/Bipolar</v>
      </c>
      <c r="NK102" s="528" t="s">
        <v>213</v>
      </c>
      <c r="NL102" s="529" t="str">
        <f>VLOOKUP(NK102,[14]AssetDetails_UEM!$A$3:$AH$1849,6,FALSE)</f>
        <v>Electrosurgical Units, Monopolar/Bipolar</v>
      </c>
      <c r="NM102" s="528" t="s">
        <v>213</v>
      </c>
      <c r="NN102" s="529" t="str">
        <f>VLOOKUP(NM102,[14]AssetDetails_UEM!$A$3:$AH$1849,6,FALSE)</f>
        <v>Electrosurgical Units, Monopolar/Bipolar</v>
      </c>
      <c r="NO102" s="528" t="s">
        <v>213</v>
      </c>
      <c r="NP102" s="529" t="str">
        <f>VLOOKUP(NO102,[14]AssetDetails_UEM!$A$3:$AH$1849,6,FALSE)</f>
        <v>Electrosurgical Units, Monopolar/Bipolar</v>
      </c>
      <c r="NQ102" s="528" t="s">
        <v>213</v>
      </c>
      <c r="NR102" s="529" t="str">
        <f>VLOOKUP(NQ102,[14]AssetDetails_UEM!$A$3:$AH$1849,6,FALSE)</f>
        <v>Electrosurgical Units, Monopolar/Bipolar</v>
      </c>
      <c r="NS102" s="528" t="s">
        <v>213</v>
      </c>
      <c r="NT102" s="529" t="str">
        <f>VLOOKUP(NS102,[14]AssetDetails_UEM!$A$3:$AH$1849,6,FALSE)</f>
        <v>Electrosurgical Units, Monopolar/Bipolar</v>
      </c>
      <c r="NU102" s="528" t="s">
        <v>213</v>
      </c>
      <c r="NV102" s="529" t="str">
        <f>VLOOKUP(NU102,[14]AssetDetails_UEM!$A$3:$AH$1849,6,FALSE)</f>
        <v>Electrosurgical Units, Monopolar/Bipolar</v>
      </c>
      <c r="NW102" s="528" t="s">
        <v>213</v>
      </c>
      <c r="NX102" s="529" t="str">
        <f>VLOOKUP(NW102,[14]AssetDetails_UEM!$A$3:$AH$1849,6,FALSE)</f>
        <v>Electrosurgical Units, Monopolar/Bipolar</v>
      </c>
      <c r="NY102" s="528" t="s">
        <v>213</v>
      </c>
      <c r="NZ102" s="529" t="str">
        <f>VLOOKUP(NY102,[14]AssetDetails_UEM!$A$3:$AH$1849,6,FALSE)</f>
        <v>Electrosurgical Units, Monopolar/Bipolar</v>
      </c>
      <c r="OA102" s="528" t="s">
        <v>213</v>
      </c>
      <c r="OB102" s="529" t="str">
        <f>VLOOKUP(OA102,[14]AssetDetails_UEM!$A$3:$AH$1849,6,FALSE)</f>
        <v>Electrosurgical Units, Monopolar/Bipolar</v>
      </c>
      <c r="OC102" s="528" t="s">
        <v>213</v>
      </c>
      <c r="OD102" s="529" t="str">
        <f>VLOOKUP(OC102,[14]AssetDetails_UEM!$A$3:$AH$1849,6,FALSE)</f>
        <v>Electrosurgical Units, Monopolar/Bipolar</v>
      </c>
      <c r="OE102" s="528" t="s">
        <v>213</v>
      </c>
      <c r="OF102" s="529" t="str">
        <f>VLOOKUP(OE102,[14]AssetDetails_UEM!$A$3:$AH$1849,6,FALSE)</f>
        <v>Electrosurgical Units, Monopolar/Bipolar</v>
      </c>
      <c r="OG102" s="528" t="s">
        <v>213</v>
      </c>
      <c r="OH102" s="529" t="str">
        <f>VLOOKUP(OG102,[14]AssetDetails_UEM!$A$3:$AH$1849,6,FALSE)</f>
        <v>Electrosurgical Units, Monopolar/Bipolar</v>
      </c>
      <c r="OI102" s="528" t="s">
        <v>213</v>
      </c>
      <c r="OJ102" s="529" t="str">
        <f>VLOOKUP(OI102,[14]AssetDetails_UEM!$A$3:$AH$1849,6,FALSE)</f>
        <v>Electrosurgical Units, Monopolar/Bipolar</v>
      </c>
      <c r="OK102" s="528" t="s">
        <v>213</v>
      </c>
      <c r="OL102" s="529" t="str">
        <f>VLOOKUP(OK102,[14]AssetDetails_UEM!$A$3:$AH$1849,6,FALSE)</f>
        <v>Electrosurgical Units, Monopolar/Bipolar</v>
      </c>
      <c r="OM102" s="528" t="s">
        <v>213</v>
      </c>
      <c r="ON102" s="529" t="str">
        <f>VLOOKUP(OM102,[14]AssetDetails_UEM!$A$3:$AH$1849,6,FALSE)</f>
        <v>Electrosurgical Units, Monopolar/Bipolar</v>
      </c>
      <c r="OO102" s="528" t="s">
        <v>213</v>
      </c>
      <c r="OP102" s="529" t="str">
        <f>VLOOKUP(OO102,[14]AssetDetails_UEM!$A$3:$AH$1849,6,FALSE)</f>
        <v>Electrosurgical Units, Monopolar/Bipolar</v>
      </c>
      <c r="OQ102" s="528" t="s">
        <v>213</v>
      </c>
      <c r="OR102" s="529" t="str">
        <f>VLOOKUP(OQ102,[14]AssetDetails_UEM!$A$3:$AH$1849,6,FALSE)</f>
        <v>Electrosurgical Units, Monopolar/Bipolar</v>
      </c>
      <c r="OS102" s="528" t="s">
        <v>213</v>
      </c>
      <c r="OT102" s="529" t="str">
        <f>VLOOKUP(OS102,[14]AssetDetails_UEM!$A$3:$AH$1849,6,FALSE)</f>
        <v>Electrosurgical Units, Monopolar/Bipolar</v>
      </c>
      <c r="OU102" s="528" t="s">
        <v>213</v>
      </c>
      <c r="OV102" s="529" t="str">
        <f>VLOOKUP(OU102,[14]AssetDetails_UEM!$A$3:$AH$1849,6,FALSE)</f>
        <v>Electrosurgical Units, Monopolar/Bipolar</v>
      </c>
      <c r="OW102" s="528" t="s">
        <v>213</v>
      </c>
      <c r="OX102" s="529" t="str">
        <f>VLOOKUP(OW102,[14]AssetDetails_UEM!$A$3:$AH$1849,6,FALSE)</f>
        <v>Electrosurgical Units, Monopolar/Bipolar</v>
      </c>
      <c r="OY102" s="528" t="s">
        <v>213</v>
      </c>
      <c r="OZ102" s="529" t="str">
        <f>VLOOKUP(OY102,[14]AssetDetails_UEM!$A$3:$AH$1849,6,FALSE)</f>
        <v>Electrosurgical Units, Monopolar/Bipolar</v>
      </c>
      <c r="PA102" s="528" t="s">
        <v>213</v>
      </c>
      <c r="PB102" s="529" t="str">
        <f>VLOOKUP(PA102,[14]AssetDetails_UEM!$A$3:$AH$1849,6,FALSE)</f>
        <v>Electrosurgical Units, Monopolar/Bipolar</v>
      </c>
      <c r="PC102" s="528" t="s">
        <v>213</v>
      </c>
      <c r="PD102" s="529" t="str">
        <f>VLOOKUP(PC102,[14]AssetDetails_UEM!$A$3:$AH$1849,6,FALSE)</f>
        <v>Electrosurgical Units, Monopolar/Bipolar</v>
      </c>
      <c r="PE102" s="528" t="s">
        <v>213</v>
      </c>
      <c r="PF102" s="529" t="str">
        <f>VLOOKUP(PE102,[14]AssetDetails_UEM!$A$3:$AH$1849,6,FALSE)</f>
        <v>Electrosurgical Units, Monopolar/Bipolar</v>
      </c>
      <c r="PG102" s="528" t="s">
        <v>213</v>
      </c>
      <c r="PH102" s="529" t="str">
        <f>VLOOKUP(PG102,[14]AssetDetails_UEM!$A$3:$AH$1849,6,FALSE)</f>
        <v>Electrosurgical Units, Monopolar/Bipolar</v>
      </c>
      <c r="PI102" s="528" t="s">
        <v>213</v>
      </c>
      <c r="PJ102" s="529" t="str">
        <f>VLOOKUP(PI102,[14]AssetDetails_UEM!$A$3:$AH$1849,6,FALSE)</f>
        <v>Electrosurgical Units, Monopolar/Bipolar</v>
      </c>
      <c r="PK102" s="528" t="s">
        <v>213</v>
      </c>
      <c r="PL102" s="529" t="str">
        <f>VLOOKUP(PK102,[14]AssetDetails_UEM!$A$3:$AH$1849,6,FALSE)</f>
        <v>Electrosurgical Units, Monopolar/Bipolar</v>
      </c>
      <c r="PM102" s="528" t="s">
        <v>213</v>
      </c>
      <c r="PN102" s="529" t="str">
        <f>VLOOKUP(PM102,[14]AssetDetails_UEM!$A$3:$AH$1849,6,FALSE)</f>
        <v>Electrosurgical Units, Monopolar/Bipolar</v>
      </c>
      <c r="PO102" s="528" t="s">
        <v>213</v>
      </c>
      <c r="PP102" s="529" t="str">
        <f>VLOOKUP(PO102,[14]AssetDetails_UEM!$A$3:$AH$1849,6,FALSE)</f>
        <v>Electrosurgical Units, Monopolar/Bipolar</v>
      </c>
      <c r="PQ102" s="528" t="s">
        <v>213</v>
      </c>
      <c r="PR102" s="529" t="str">
        <f>VLOOKUP(PQ102,[14]AssetDetails_UEM!$A$3:$AH$1849,6,FALSE)</f>
        <v>Electrosurgical Units, Monopolar/Bipolar</v>
      </c>
      <c r="PS102" s="528" t="s">
        <v>213</v>
      </c>
      <c r="PT102" s="529" t="str">
        <f>VLOOKUP(PS102,[14]AssetDetails_UEM!$A$3:$AH$1849,6,FALSE)</f>
        <v>Electrosurgical Units, Monopolar/Bipolar</v>
      </c>
      <c r="PU102" s="528" t="s">
        <v>213</v>
      </c>
      <c r="PV102" s="529" t="str">
        <f>VLOOKUP(PU102,[14]AssetDetails_UEM!$A$3:$AH$1849,6,FALSE)</f>
        <v>Electrosurgical Units, Monopolar/Bipolar</v>
      </c>
      <c r="PW102" s="528" t="s">
        <v>213</v>
      </c>
      <c r="PX102" s="529" t="str">
        <f>VLOOKUP(PW102,[14]AssetDetails_UEM!$A$3:$AH$1849,6,FALSE)</f>
        <v>Electrosurgical Units, Monopolar/Bipolar</v>
      </c>
      <c r="PY102" s="528" t="s">
        <v>213</v>
      </c>
      <c r="PZ102" s="529" t="str">
        <f>VLOOKUP(PY102,[14]AssetDetails_UEM!$A$3:$AH$1849,6,FALSE)</f>
        <v>Electrosurgical Units, Monopolar/Bipolar</v>
      </c>
      <c r="QA102" s="528" t="s">
        <v>213</v>
      </c>
      <c r="QB102" s="529" t="str">
        <f>VLOOKUP(QA102,[14]AssetDetails_UEM!$A$3:$AH$1849,6,FALSE)</f>
        <v>Electrosurgical Units, Monopolar/Bipolar</v>
      </c>
      <c r="QC102" s="528" t="s">
        <v>213</v>
      </c>
      <c r="QD102" s="529" t="str">
        <f>VLOOKUP(QC102,[14]AssetDetails_UEM!$A$3:$AH$1849,6,FALSE)</f>
        <v>Electrosurgical Units, Monopolar/Bipolar</v>
      </c>
      <c r="QE102" s="528" t="s">
        <v>213</v>
      </c>
      <c r="QF102" s="529" t="str">
        <f>VLOOKUP(QE102,[14]AssetDetails_UEM!$A$3:$AH$1849,6,FALSE)</f>
        <v>Electrosurgical Units, Monopolar/Bipolar</v>
      </c>
      <c r="QG102" s="528" t="s">
        <v>213</v>
      </c>
      <c r="QH102" s="529" t="str">
        <f>VLOOKUP(QG102,[14]AssetDetails_UEM!$A$3:$AH$1849,6,FALSE)</f>
        <v>Electrosurgical Units, Monopolar/Bipolar</v>
      </c>
      <c r="QI102" s="528" t="s">
        <v>213</v>
      </c>
      <c r="QJ102" s="529" t="str">
        <f>VLOOKUP(QI102,[14]AssetDetails_UEM!$A$3:$AH$1849,6,FALSE)</f>
        <v>Electrosurgical Units, Monopolar/Bipolar</v>
      </c>
      <c r="QK102" s="528" t="s">
        <v>213</v>
      </c>
      <c r="QL102" s="529" t="str">
        <f>VLOOKUP(QK102,[14]AssetDetails_UEM!$A$3:$AH$1849,6,FALSE)</f>
        <v>Electrosurgical Units, Monopolar/Bipolar</v>
      </c>
      <c r="QM102" s="528" t="s">
        <v>213</v>
      </c>
      <c r="QN102" s="529" t="str">
        <f>VLOOKUP(QM102,[14]AssetDetails_UEM!$A$3:$AH$1849,6,FALSE)</f>
        <v>Electrosurgical Units, Monopolar/Bipolar</v>
      </c>
      <c r="QO102" s="528" t="s">
        <v>213</v>
      </c>
      <c r="QP102" s="529" t="str">
        <f>VLOOKUP(QO102,[14]AssetDetails_UEM!$A$3:$AH$1849,6,FALSE)</f>
        <v>Electrosurgical Units, Monopolar/Bipolar</v>
      </c>
      <c r="QQ102" s="528" t="s">
        <v>213</v>
      </c>
      <c r="QR102" s="529" t="str">
        <f>VLOOKUP(QQ102,[14]AssetDetails_UEM!$A$3:$AH$1849,6,FALSE)</f>
        <v>Electrosurgical Units, Monopolar/Bipolar</v>
      </c>
      <c r="QS102" s="528" t="s">
        <v>213</v>
      </c>
      <c r="QT102" s="529" t="str">
        <f>VLOOKUP(QS102,[14]AssetDetails_UEM!$A$3:$AH$1849,6,FALSE)</f>
        <v>Electrosurgical Units, Monopolar/Bipolar</v>
      </c>
      <c r="QU102" s="528" t="s">
        <v>213</v>
      </c>
      <c r="QV102" s="529" t="str">
        <f>VLOOKUP(QU102,[14]AssetDetails_UEM!$A$3:$AH$1849,6,FALSE)</f>
        <v>Electrosurgical Units, Monopolar/Bipolar</v>
      </c>
      <c r="QW102" s="528" t="s">
        <v>213</v>
      </c>
      <c r="QX102" s="529" t="str">
        <f>VLOOKUP(QW102,[14]AssetDetails_UEM!$A$3:$AH$1849,6,FALSE)</f>
        <v>Electrosurgical Units, Monopolar/Bipolar</v>
      </c>
      <c r="QY102" s="528" t="s">
        <v>213</v>
      </c>
      <c r="QZ102" s="529" t="str">
        <f>VLOOKUP(QY102,[14]AssetDetails_UEM!$A$3:$AH$1849,6,FALSE)</f>
        <v>Electrosurgical Units, Monopolar/Bipolar</v>
      </c>
      <c r="RA102" s="528" t="s">
        <v>213</v>
      </c>
      <c r="RB102" s="529" t="str">
        <f>VLOOKUP(RA102,[14]AssetDetails_UEM!$A$3:$AH$1849,6,FALSE)</f>
        <v>Electrosurgical Units, Monopolar/Bipolar</v>
      </c>
      <c r="RC102" s="528" t="s">
        <v>213</v>
      </c>
      <c r="RD102" s="529" t="str">
        <f>VLOOKUP(RC102,[14]AssetDetails_UEM!$A$3:$AH$1849,6,FALSE)</f>
        <v>Electrosurgical Units, Monopolar/Bipolar</v>
      </c>
      <c r="RE102" s="528" t="s">
        <v>213</v>
      </c>
      <c r="RF102" s="529" t="str">
        <f>VLOOKUP(RE102,[14]AssetDetails_UEM!$A$3:$AH$1849,6,FALSE)</f>
        <v>Electrosurgical Units, Monopolar/Bipolar</v>
      </c>
      <c r="RG102" s="528" t="s">
        <v>213</v>
      </c>
      <c r="RH102" s="529" t="str">
        <f>VLOOKUP(RG102,[14]AssetDetails_UEM!$A$3:$AH$1849,6,FALSE)</f>
        <v>Electrosurgical Units, Monopolar/Bipolar</v>
      </c>
      <c r="RI102" s="528" t="s">
        <v>213</v>
      </c>
      <c r="RJ102" s="529" t="str">
        <f>VLOOKUP(RI102,[14]AssetDetails_UEM!$A$3:$AH$1849,6,FALSE)</f>
        <v>Electrosurgical Units, Monopolar/Bipolar</v>
      </c>
      <c r="RK102" s="528" t="s">
        <v>213</v>
      </c>
      <c r="RL102" s="529" t="str">
        <f>VLOOKUP(RK102,[14]AssetDetails_UEM!$A$3:$AH$1849,6,FALSE)</f>
        <v>Electrosurgical Units, Monopolar/Bipolar</v>
      </c>
      <c r="RM102" s="528" t="s">
        <v>213</v>
      </c>
      <c r="RN102" s="529" t="str">
        <f>VLOOKUP(RM102,[14]AssetDetails_UEM!$A$3:$AH$1849,6,FALSE)</f>
        <v>Electrosurgical Units, Monopolar/Bipolar</v>
      </c>
      <c r="RO102" s="528" t="s">
        <v>213</v>
      </c>
      <c r="RP102" s="529" t="str">
        <f>VLOOKUP(RO102,[14]AssetDetails_UEM!$A$3:$AH$1849,6,FALSE)</f>
        <v>Electrosurgical Units, Monopolar/Bipolar</v>
      </c>
      <c r="RQ102" s="528" t="s">
        <v>213</v>
      </c>
      <c r="RR102" s="529" t="str">
        <f>VLOOKUP(RQ102,[14]AssetDetails_UEM!$A$3:$AH$1849,6,FALSE)</f>
        <v>Electrosurgical Units, Monopolar/Bipolar</v>
      </c>
      <c r="RS102" s="528" t="s">
        <v>213</v>
      </c>
      <c r="RT102" s="529" t="str">
        <f>VLOOKUP(RS102,[14]AssetDetails_UEM!$A$3:$AH$1849,6,FALSE)</f>
        <v>Electrosurgical Units, Monopolar/Bipolar</v>
      </c>
      <c r="RU102" s="528" t="s">
        <v>213</v>
      </c>
      <c r="RV102" s="529" t="str">
        <f>VLOOKUP(RU102,[14]AssetDetails_UEM!$A$3:$AH$1849,6,FALSE)</f>
        <v>Electrosurgical Units, Monopolar/Bipolar</v>
      </c>
      <c r="RW102" s="528" t="s">
        <v>213</v>
      </c>
      <c r="RX102" s="529" t="str">
        <f>VLOOKUP(RW102,[14]AssetDetails_UEM!$A$3:$AH$1849,6,FALSE)</f>
        <v>Electrosurgical Units, Monopolar/Bipolar</v>
      </c>
      <c r="RY102" s="528" t="s">
        <v>213</v>
      </c>
      <c r="RZ102" s="529" t="str">
        <f>VLOOKUP(RY102,[14]AssetDetails_UEM!$A$3:$AH$1849,6,FALSE)</f>
        <v>Electrosurgical Units, Monopolar/Bipolar</v>
      </c>
      <c r="SA102" s="528" t="s">
        <v>213</v>
      </c>
      <c r="SB102" s="529" t="str">
        <f>VLOOKUP(SA102,[14]AssetDetails_UEM!$A$3:$AH$1849,6,FALSE)</f>
        <v>Electrosurgical Units, Monopolar/Bipolar</v>
      </c>
      <c r="SC102" s="528" t="s">
        <v>213</v>
      </c>
      <c r="SD102" s="529" t="str">
        <f>VLOOKUP(SC102,[14]AssetDetails_UEM!$A$3:$AH$1849,6,FALSE)</f>
        <v>Electrosurgical Units, Monopolar/Bipolar</v>
      </c>
      <c r="SE102" s="528" t="s">
        <v>213</v>
      </c>
      <c r="SF102" s="529" t="str">
        <f>VLOOKUP(SE102,[14]AssetDetails_UEM!$A$3:$AH$1849,6,FALSE)</f>
        <v>Electrosurgical Units, Monopolar/Bipolar</v>
      </c>
      <c r="SG102" s="528" t="s">
        <v>213</v>
      </c>
      <c r="SH102" s="529" t="str">
        <f>VLOOKUP(SG102,[14]AssetDetails_UEM!$A$3:$AH$1849,6,FALSE)</f>
        <v>Electrosurgical Units, Monopolar/Bipolar</v>
      </c>
      <c r="SI102" s="528" t="s">
        <v>213</v>
      </c>
      <c r="SJ102" s="529" t="str">
        <f>VLOOKUP(SI102,[14]AssetDetails_UEM!$A$3:$AH$1849,6,FALSE)</f>
        <v>Electrosurgical Units, Monopolar/Bipolar</v>
      </c>
      <c r="SK102" s="528" t="s">
        <v>213</v>
      </c>
      <c r="SL102" s="529" t="str">
        <f>VLOOKUP(SK102,[14]AssetDetails_UEM!$A$3:$AH$1849,6,FALSE)</f>
        <v>Electrosurgical Units, Monopolar/Bipolar</v>
      </c>
      <c r="SM102" s="528" t="s">
        <v>213</v>
      </c>
      <c r="SN102" s="529" t="str">
        <f>VLOOKUP(SM102,[14]AssetDetails_UEM!$A$3:$AH$1849,6,FALSE)</f>
        <v>Electrosurgical Units, Monopolar/Bipolar</v>
      </c>
      <c r="SO102" s="528" t="s">
        <v>213</v>
      </c>
      <c r="SP102" s="529" t="str">
        <f>VLOOKUP(SO102,[14]AssetDetails_UEM!$A$3:$AH$1849,6,FALSE)</f>
        <v>Electrosurgical Units, Monopolar/Bipolar</v>
      </c>
      <c r="SQ102" s="528" t="s">
        <v>213</v>
      </c>
      <c r="SR102" s="529" t="str">
        <f>VLOOKUP(SQ102,[14]AssetDetails_UEM!$A$3:$AH$1849,6,FALSE)</f>
        <v>Electrosurgical Units, Monopolar/Bipolar</v>
      </c>
      <c r="SS102" s="528" t="s">
        <v>213</v>
      </c>
      <c r="ST102" s="529" t="str">
        <f>VLOOKUP(SS102,[14]AssetDetails_UEM!$A$3:$AH$1849,6,FALSE)</f>
        <v>Electrosurgical Units, Monopolar/Bipolar</v>
      </c>
      <c r="SU102" s="528" t="s">
        <v>213</v>
      </c>
      <c r="SV102" s="529" t="str">
        <f>VLOOKUP(SU102,[14]AssetDetails_UEM!$A$3:$AH$1849,6,FALSE)</f>
        <v>Electrosurgical Units, Monopolar/Bipolar</v>
      </c>
      <c r="SW102" s="528" t="s">
        <v>213</v>
      </c>
      <c r="SX102" s="529" t="str">
        <f>VLOOKUP(SW102,[14]AssetDetails_UEM!$A$3:$AH$1849,6,FALSE)</f>
        <v>Electrosurgical Units, Monopolar/Bipolar</v>
      </c>
      <c r="SY102" s="528" t="s">
        <v>213</v>
      </c>
      <c r="SZ102" s="529" t="str">
        <f>VLOOKUP(SY102,[14]AssetDetails_UEM!$A$3:$AH$1849,6,FALSE)</f>
        <v>Electrosurgical Units, Monopolar/Bipolar</v>
      </c>
      <c r="TA102" s="528" t="s">
        <v>213</v>
      </c>
      <c r="TB102" s="529" t="str">
        <f>VLOOKUP(TA102,[14]AssetDetails_UEM!$A$3:$AH$1849,6,FALSE)</f>
        <v>Electrosurgical Units, Monopolar/Bipolar</v>
      </c>
      <c r="TC102" s="528" t="s">
        <v>213</v>
      </c>
      <c r="TD102" s="529" t="str">
        <f>VLOOKUP(TC102,[14]AssetDetails_UEM!$A$3:$AH$1849,6,FALSE)</f>
        <v>Electrosurgical Units, Monopolar/Bipolar</v>
      </c>
      <c r="TE102" s="528" t="s">
        <v>213</v>
      </c>
      <c r="TF102" s="529" t="str">
        <f>VLOOKUP(TE102,[14]AssetDetails_UEM!$A$3:$AH$1849,6,FALSE)</f>
        <v>Electrosurgical Units, Monopolar/Bipolar</v>
      </c>
      <c r="TG102" s="528" t="s">
        <v>213</v>
      </c>
      <c r="TH102" s="529" t="str">
        <f>VLOOKUP(TG102,[14]AssetDetails_UEM!$A$3:$AH$1849,6,FALSE)</f>
        <v>Electrosurgical Units, Monopolar/Bipolar</v>
      </c>
      <c r="TI102" s="528" t="s">
        <v>213</v>
      </c>
      <c r="TJ102" s="529" t="str">
        <f>VLOOKUP(TI102,[14]AssetDetails_UEM!$A$3:$AH$1849,6,FALSE)</f>
        <v>Electrosurgical Units, Monopolar/Bipolar</v>
      </c>
      <c r="TK102" s="528" t="s">
        <v>213</v>
      </c>
      <c r="TL102" s="529" t="str">
        <f>VLOOKUP(TK102,[14]AssetDetails_UEM!$A$3:$AH$1849,6,FALSE)</f>
        <v>Electrosurgical Units, Monopolar/Bipolar</v>
      </c>
      <c r="TM102" s="528" t="s">
        <v>213</v>
      </c>
      <c r="TN102" s="529" t="str">
        <f>VLOOKUP(TM102,[14]AssetDetails_UEM!$A$3:$AH$1849,6,FALSE)</f>
        <v>Electrosurgical Units, Monopolar/Bipolar</v>
      </c>
      <c r="TO102" s="528" t="s">
        <v>213</v>
      </c>
      <c r="TP102" s="529" t="str">
        <f>VLOOKUP(TO102,[14]AssetDetails_UEM!$A$3:$AH$1849,6,FALSE)</f>
        <v>Electrosurgical Units, Monopolar/Bipolar</v>
      </c>
      <c r="TQ102" s="528" t="s">
        <v>213</v>
      </c>
      <c r="TR102" s="529" t="str">
        <f>VLOOKUP(TQ102,[14]AssetDetails_UEM!$A$3:$AH$1849,6,FALSE)</f>
        <v>Electrosurgical Units, Monopolar/Bipolar</v>
      </c>
      <c r="TS102" s="528" t="s">
        <v>213</v>
      </c>
      <c r="TT102" s="529" t="str">
        <f>VLOOKUP(TS102,[14]AssetDetails_UEM!$A$3:$AH$1849,6,FALSE)</f>
        <v>Electrosurgical Units, Monopolar/Bipolar</v>
      </c>
      <c r="TU102" s="528" t="s">
        <v>213</v>
      </c>
      <c r="TV102" s="529" t="str">
        <f>VLOOKUP(TU102,[14]AssetDetails_UEM!$A$3:$AH$1849,6,FALSE)</f>
        <v>Electrosurgical Units, Monopolar/Bipolar</v>
      </c>
      <c r="TW102" s="528" t="s">
        <v>213</v>
      </c>
      <c r="TX102" s="529" t="str">
        <f>VLOOKUP(TW102,[14]AssetDetails_UEM!$A$3:$AH$1849,6,FALSE)</f>
        <v>Electrosurgical Units, Monopolar/Bipolar</v>
      </c>
      <c r="TY102" s="528" t="s">
        <v>213</v>
      </c>
      <c r="TZ102" s="529" t="str">
        <f>VLOOKUP(TY102,[14]AssetDetails_UEM!$A$3:$AH$1849,6,FALSE)</f>
        <v>Electrosurgical Units, Monopolar/Bipolar</v>
      </c>
      <c r="UA102" s="528" t="s">
        <v>213</v>
      </c>
      <c r="UB102" s="529" t="str">
        <f>VLOOKUP(UA102,[14]AssetDetails_UEM!$A$3:$AH$1849,6,FALSE)</f>
        <v>Electrosurgical Units, Monopolar/Bipolar</v>
      </c>
      <c r="UC102" s="528" t="s">
        <v>213</v>
      </c>
      <c r="UD102" s="529" t="str">
        <f>VLOOKUP(UC102,[14]AssetDetails_UEM!$A$3:$AH$1849,6,FALSE)</f>
        <v>Electrosurgical Units, Monopolar/Bipolar</v>
      </c>
      <c r="UE102" s="528" t="s">
        <v>213</v>
      </c>
      <c r="UF102" s="529" t="str">
        <f>VLOOKUP(UE102,[14]AssetDetails_UEM!$A$3:$AH$1849,6,FALSE)</f>
        <v>Electrosurgical Units, Monopolar/Bipolar</v>
      </c>
      <c r="UG102" s="528" t="s">
        <v>213</v>
      </c>
      <c r="UH102" s="529" t="str">
        <f>VLOOKUP(UG102,[14]AssetDetails_UEM!$A$3:$AH$1849,6,FALSE)</f>
        <v>Electrosurgical Units, Monopolar/Bipolar</v>
      </c>
      <c r="UI102" s="528" t="s">
        <v>213</v>
      </c>
      <c r="UJ102" s="529" t="str">
        <f>VLOOKUP(UI102,[14]AssetDetails_UEM!$A$3:$AH$1849,6,FALSE)</f>
        <v>Electrosurgical Units, Monopolar/Bipolar</v>
      </c>
      <c r="UK102" s="528" t="s">
        <v>213</v>
      </c>
      <c r="UL102" s="529" t="str">
        <f>VLOOKUP(UK102,[14]AssetDetails_UEM!$A$3:$AH$1849,6,FALSE)</f>
        <v>Electrosurgical Units, Monopolar/Bipolar</v>
      </c>
      <c r="UM102" s="528" t="s">
        <v>213</v>
      </c>
      <c r="UN102" s="529" t="str">
        <f>VLOOKUP(UM102,[14]AssetDetails_UEM!$A$3:$AH$1849,6,FALSE)</f>
        <v>Electrosurgical Units, Monopolar/Bipolar</v>
      </c>
      <c r="UO102" s="528" t="s">
        <v>213</v>
      </c>
      <c r="UP102" s="529" t="str">
        <f>VLOOKUP(UO102,[14]AssetDetails_UEM!$A$3:$AH$1849,6,FALSE)</f>
        <v>Electrosurgical Units, Monopolar/Bipolar</v>
      </c>
      <c r="UQ102" s="528" t="s">
        <v>213</v>
      </c>
      <c r="UR102" s="529" t="str">
        <f>VLOOKUP(UQ102,[14]AssetDetails_UEM!$A$3:$AH$1849,6,FALSE)</f>
        <v>Electrosurgical Units, Monopolar/Bipolar</v>
      </c>
      <c r="US102" s="528" t="s">
        <v>213</v>
      </c>
      <c r="UT102" s="529" t="str">
        <f>VLOOKUP(US102,[14]AssetDetails_UEM!$A$3:$AH$1849,6,FALSE)</f>
        <v>Electrosurgical Units, Monopolar/Bipolar</v>
      </c>
      <c r="UU102" s="528" t="s">
        <v>213</v>
      </c>
      <c r="UV102" s="529" t="str">
        <f>VLOOKUP(UU102,[14]AssetDetails_UEM!$A$3:$AH$1849,6,FALSE)</f>
        <v>Electrosurgical Units, Monopolar/Bipolar</v>
      </c>
      <c r="UW102" s="528" t="s">
        <v>213</v>
      </c>
      <c r="UX102" s="529" t="str">
        <f>VLOOKUP(UW102,[14]AssetDetails_UEM!$A$3:$AH$1849,6,FALSE)</f>
        <v>Electrosurgical Units, Monopolar/Bipolar</v>
      </c>
      <c r="UY102" s="528" t="s">
        <v>213</v>
      </c>
      <c r="UZ102" s="529" t="str">
        <f>VLOOKUP(UY102,[14]AssetDetails_UEM!$A$3:$AH$1849,6,FALSE)</f>
        <v>Electrosurgical Units, Monopolar/Bipolar</v>
      </c>
      <c r="VA102" s="528" t="s">
        <v>213</v>
      </c>
      <c r="VB102" s="529" t="str">
        <f>VLOOKUP(VA102,[14]AssetDetails_UEM!$A$3:$AH$1849,6,FALSE)</f>
        <v>Electrosurgical Units, Monopolar/Bipolar</v>
      </c>
      <c r="VC102" s="528" t="s">
        <v>213</v>
      </c>
      <c r="VD102" s="529" t="str">
        <f>VLOOKUP(VC102,[14]AssetDetails_UEM!$A$3:$AH$1849,6,FALSE)</f>
        <v>Electrosurgical Units, Monopolar/Bipolar</v>
      </c>
      <c r="VE102" s="528" t="s">
        <v>213</v>
      </c>
      <c r="VF102" s="529" t="str">
        <f>VLOOKUP(VE102,[14]AssetDetails_UEM!$A$3:$AH$1849,6,FALSE)</f>
        <v>Electrosurgical Units, Monopolar/Bipolar</v>
      </c>
      <c r="VG102" s="528" t="s">
        <v>213</v>
      </c>
      <c r="VH102" s="529" t="str">
        <f>VLOOKUP(VG102,[14]AssetDetails_UEM!$A$3:$AH$1849,6,FALSE)</f>
        <v>Electrosurgical Units, Monopolar/Bipolar</v>
      </c>
      <c r="VI102" s="528" t="s">
        <v>213</v>
      </c>
      <c r="VJ102" s="529" t="str">
        <f>VLOOKUP(VI102,[14]AssetDetails_UEM!$A$3:$AH$1849,6,FALSE)</f>
        <v>Electrosurgical Units, Monopolar/Bipolar</v>
      </c>
      <c r="VK102" s="528" t="s">
        <v>213</v>
      </c>
      <c r="VL102" s="529" t="str">
        <f>VLOOKUP(VK102,[14]AssetDetails_UEM!$A$3:$AH$1849,6,FALSE)</f>
        <v>Electrosurgical Units, Monopolar/Bipolar</v>
      </c>
      <c r="VM102" s="528" t="s">
        <v>213</v>
      </c>
      <c r="VN102" s="529" t="str">
        <f>VLOOKUP(VM102,[14]AssetDetails_UEM!$A$3:$AH$1849,6,FALSE)</f>
        <v>Electrosurgical Units, Monopolar/Bipolar</v>
      </c>
      <c r="VO102" s="528" t="s">
        <v>213</v>
      </c>
      <c r="VP102" s="529" t="str">
        <f>VLOOKUP(VO102,[14]AssetDetails_UEM!$A$3:$AH$1849,6,FALSE)</f>
        <v>Electrosurgical Units, Monopolar/Bipolar</v>
      </c>
      <c r="VQ102" s="528" t="s">
        <v>213</v>
      </c>
      <c r="VR102" s="529" t="str">
        <f>VLOOKUP(VQ102,[14]AssetDetails_UEM!$A$3:$AH$1849,6,FALSE)</f>
        <v>Electrosurgical Units, Monopolar/Bipolar</v>
      </c>
      <c r="VS102" s="528" t="s">
        <v>213</v>
      </c>
      <c r="VT102" s="529" t="str">
        <f>VLOOKUP(VS102,[14]AssetDetails_UEM!$A$3:$AH$1849,6,FALSE)</f>
        <v>Electrosurgical Units, Monopolar/Bipolar</v>
      </c>
      <c r="VU102" s="528" t="s">
        <v>213</v>
      </c>
      <c r="VV102" s="529" t="str">
        <f>VLOOKUP(VU102,[14]AssetDetails_UEM!$A$3:$AH$1849,6,FALSE)</f>
        <v>Electrosurgical Units, Monopolar/Bipolar</v>
      </c>
      <c r="VW102" s="528" t="s">
        <v>213</v>
      </c>
      <c r="VX102" s="529" t="str">
        <f>VLOOKUP(VW102,[14]AssetDetails_UEM!$A$3:$AH$1849,6,FALSE)</f>
        <v>Electrosurgical Units, Monopolar/Bipolar</v>
      </c>
      <c r="VY102" s="528" t="s">
        <v>213</v>
      </c>
      <c r="VZ102" s="529" t="str">
        <f>VLOOKUP(VY102,[14]AssetDetails_UEM!$A$3:$AH$1849,6,FALSE)</f>
        <v>Electrosurgical Units, Monopolar/Bipolar</v>
      </c>
      <c r="WA102" s="528" t="s">
        <v>213</v>
      </c>
      <c r="WB102" s="529" t="str">
        <f>VLOOKUP(WA102,[14]AssetDetails_UEM!$A$3:$AH$1849,6,FALSE)</f>
        <v>Electrosurgical Units, Monopolar/Bipolar</v>
      </c>
      <c r="WC102" s="528" t="s">
        <v>213</v>
      </c>
      <c r="WD102" s="529" t="str">
        <f>VLOOKUP(WC102,[14]AssetDetails_UEM!$A$3:$AH$1849,6,FALSE)</f>
        <v>Electrosurgical Units, Monopolar/Bipolar</v>
      </c>
      <c r="WE102" s="528" t="s">
        <v>213</v>
      </c>
      <c r="WF102" s="529" t="str">
        <f>VLOOKUP(WE102,[14]AssetDetails_UEM!$A$3:$AH$1849,6,FALSE)</f>
        <v>Electrosurgical Units, Monopolar/Bipolar</v>
      </c>
      <c r="WG102" s="528" t="s">
        <v>213</v>
      </c>
      <c r="WH102" s="529" t="str">
        <f>VLOOKUP(WG102,[14]AssetDetails_UEM!$A$3:$AH$1849,6,FALSE)</f>
        <v>Electrosurgical Units, Monopolar/Bipolar</v>
      </c>
      <c r="WI102" s="528" t="s">
        <v>213</v>
      </c>
      <c r="WJ102" s="529" t="str">
        <f>VLOOKUP(WI102,[14]AssetDetails_UEM!$A$3:$AH$1849,6,FALSE)</f>
        <v>Electrosurgical Units, Monopolar/Bipolar</v>
      </c>
      <c r="WK102" s="528" t="s">
        <v>213</v>
      </c>
      <c r="WL102" s="529" t="str">
        <f>VLOOKUP(WK102,[14]AssetDetails_UEM!$A$3:$AH$1849,6,FALSE)</f>
        <v>Electrosurgical Units, Monopolar/Bipolar</v>
      </c>
      <c r="WM102" s="528" t="s">
        <v>213</v>
      </c>
      <c r="WN102" s="529" t="str">
        <f>VLOOKUP(WM102,[14]AssetDetails_UEM!$A$3:$AH$1849,6,FALSE)</f>
        <v>Electrosurgical Units, Monopolar/Bipolar</v>
      </c>
      <c r="WO102" s="528" t="s">
        <v>213</v>
      </c>
      <c r="WP102" s="529" t="str">
        <f>VLOOKUP(WO102,[14]AssetDetails_UEM!$A$3:$AH$1849,6,FALSE)</f>
        <v>Electrosurgical Units, Monopolar/Bipolar</v>
      </c>
      <c r="WQ102" s="528" t="s">
        <v>213</v>
      </c>
      <c r="WR102" s="529" t="str">
        <f>VLOOKUP(WQ102,[14]AssetDetails_UEM!$A$3:$AH$1849,6,FALSE)</f>
        <v>Electrosurgical Units, Monopolar/Bipolar</v>
      </c>
      <c r="WS102" s="528" t="s">
        <v>213</v>
      </c>
      <c r="WT102" s="529" t="str">
        <f>VLOOKUP(WS102,[14]AssetDetails_UEM!$A$3:$AH$1849,6,FALSE)</f>
        <v>Electrosurgical Units, Monopolar/Bipolar</v>
      </c>
      <c r="WU102" s="528" t="s">
        <v>213</v>
      </c>
      <c r="WV102" s="529" t="str">
        <f>VLOOKUP(WU102,[14]AssetDetails_UEM!$A$3:$AH$1849,6,FALSE)</f>
        <v>Electrosurgical Units, Monopolar/Bipolar</v>
      </c>
      <c r="WW102" s="528" t="s">
        <v>213</v>
      </c>
      <c r="WX102" s="529" t="str">
        <f>VLOOKUP(WW102,[14]AssetDetails_UEM!$A$3:$AH$1849,6,FALSE)</f>
        <v>Electrosurgical Units, Monopolar/Bipolar</v>
      </c>
      <c r="WY102" s="528" t="s">
        <v>213</v>
      </c>
      <c r="WZ102" s="529" t="str">
        <f>VLOOKUP(WY102,[14]AssetDetails_UEM!$A$3:$AH$1849,6,FALSE)</f>
        <v>Electrosurgical Units, Monopolar/Bipolar</v>
      </c>
      <c r="XA102" s="528" t="s">
        <v>213</v>
      </c>
      <c r="XB102" s="529" t="str">
        <f>VLOOKUP(XA102,[14]AssetDetails_UEM!$A$3:$AH$1849,6,FALSE)</f>
        <v>Electrosurgical Units, Monopolar/Bipolar</v>
      </c>
      <c r="XC102" s="528" t="s">
        <v>213</v>
      </c>
      <c r="XD102" s="529" t="str">
        <f>VLOOKUP(XC102,[14]AssetDetails_UEM!$A$3:$AH$1849,6,FALSE)</f>
        <v>Electrosurgical Units, Monopolar/Bipolar</v>
      </c>
      <c r="XE102" s="528" t="s">
        <v>213</v>
      </c>
      <c r="XF102" s="529" t="str">
        <f>VLOOKUP(XE102,[14]AssetDetails_UEM!$A$3:$AH$1849,6,FALSE)</f>
        <v>Electrosurgical Units, Monopolar/Bipolar</v>
      </c>
      <c r="XG102" s="528" t="s">
        <v>213</v>
      </c>
      <c r="XH102" s="529" t="str">
        <f>VLOOKUP(XG102,[14]AssetDetails_UEM!$A$3:$AH$1849,6,FALSE)</f>
        <v>Electrosurgical Units, Monopolar/Bipolar</v>
      </c>
      <c r="XI102" s="528" t="s">
        <v>213</v>
      </c>
      <c r="XJ102" s="529" t="str">
        <f>VLOOKUP(XI102,[14]AssetDetails_UEM!$A$3:$AH$1849,6,FALSE)</f>
        <v>Electrosurgical Units, Monopolar/Bipolar</v>
      </c>
      <c r="XK102" s="528" t="s">
        <v>213</v>
      </c>
      <c r="XL102" s="529" t="str">
        <f>VLOOKUP(XK102,[14]AssetDetails_UEM!$A$3:$AH$1849,6,FALSE)</f>
        <v>Electrosurgical Units, Monopolar/Bipolar</v>
      </c>
      <c r="XM102" s="528" t="s">
        <v>213</v>
      </c>
      <c r="XN102" s="529" t="str">
        <f>VLOOKUP(XM102,[14]AssetDetails_UEM!$A$3:$AH$1849,6,FALSE)</f>
        <v>Electrosurgical Units, Monopolar/Bipolar</v>
      </c>
      <c r="XO102" s="528" t="s">
        <v>213</v>
      </c>
      <c r="XP102" s="529" t="str">
        <f>VLOOKUP(XO102,[14]AssetDetails_UEM!$A$3:$AH$1849,6,FALSE)</f>
        <v>Electrosurgical Units, Monopolar/Bipolar</v>
      </c>
      <c r="XQ102" s="528" t="s">
        <v>213</v>
      </c>
      <c r="XR102" s="529" t="str">
        <f>VLOOKUP(XQ102,[14]AssetDetails_UEM!$A$3:$AH$1849,6,FALSE)</f>
        <v>Electrosurgical Units, Monopolar/Bipolar</v>
      </c>
      <c r="XS102" s="528" t="s">
        <v>213</v>
      </c>
      <c r="XT102" s="529" t="str">
        <f>VLOOKUP(XS102,[14]AssetDetails_UEM!$A$3:$AH$1849,6,FALSE)</f>
        <v>Electrosurgical Units, Monopolar/Bipolar</v>
      </c>
      <c r="XU102" s="528" t="s">
        <v>213</v>
      </c>
      <c r="XV102" s="529" t="str">
        <f>VLOOKUP(XU102,[14]AssetDetails_UEM!$A$3:$AH$1849,6,FALSE)</f>
        <v>Electrosurgical Units, Monopolar/Bipolar</v>
      </c>
      <c r="XW102" s="528" t="s">
        <v>213</v>
      </c>
      <c r="XX102" s="529" t="str">
        <f>VLOOKUP(XW102,[14]AssetDetails_UEM!$A$3:$AH$1849,6,FALSE)</f>
        <v>Electrosurgical Units, Monopolar/Bipolar</v>
      </c>
      <c r="XY102" s="528" t="s">
        <v>213</v>
      </c>
      <c r="XZ102" s="529" t="str">
        <f>VLOOKUP(XY102,[14]AssetDetails_UEM!$A$3:$AH$1849,6,FALSE)</f>
        <v>Electrosurgical Units, Monopolar/Bipolar</v>
      </c>
      <c r="YA102" s="528" t="s">
        <v>213</v>
      </c>
      <c r="YB102" s="529" t="str">
        <f>VLOOKUP(YA102,[14]AssetDetails_UEM!$A$3:$AH$1849,6,FALSE)</f>
        <v>Electrosurgical Units, Monopolar/Bipolar</v>
      </c>
      <c r="YC102" s="528" t="s">
        <v>213</v>
      </c>
      <c r="YD102" s="529" t="str">
        <f>VLOOKUP(YC102,[14]AssetDetails_UEM!$A$3:$AH$1849,6,FALSE)</f>
        <v>Electrosurgical Units, Monopolar/Bipolar</v>
      </c>
      <c r="YE102" s="528" t="s">
        <v>213</v>
      </c>
      <c r="YF102" s="529" t="str">
        <f>VLOOKUP(YE102,[14]AssetDetails_UEM!$A$3:$AH$1849,6,FALSE)</f>
        <v>Electrosurgical Units, Monopolar/Bipolar</v>
      </c>
      <c r="YG102" s="528" t="s">
        <v>213</v>
      </c>
      <c r="YH102" s="529" t="str">
        <f>VLOOKUP(YG102,[14]AssetDetails_UEM!$A$3:$AH$1849,6,FALSE)</f>
        <v>Electrosurgical Units, Monopolar/Bipolar</v>
      </c>
      <c r="YI102" s="528" t="s">
        <v>213</v>
      </c>
      <c r="YJ102" s="529" t="str">
        <f>VLOOKUP(YI102,[14]AssetDetails_UEM!$A$3:$AH$1849,6,FALSE)</f>
        <v>Electrosurgical Units, Monopolar/Bipolar</v>
      </c>
      <c r="YK102" s="528" t="s">
        <v>213</v>
      </c>
      <c r="YL102" s="529" t="str">
        <f>VLOOKUP(YK102,[14]AssetDetails_UEM!$A$3:$AH$1849,6,FALSE)</f>
        <v>Electrosurgical Units, Monopolar/Bipolar</v>
      </c>
      <c r="YM102" s="528" t="s">
        <v>213</v>
      </c>
      <c r="YN102" s="529" t="str">
        <f>VLOOKUP(YM102,[14]AssetDetails_UEM!$A$3:$AH$1849,6,FALSE)</f>
        <v>Electrosurgical Units, Monopolar/Bipolar</v>
      </c>
      <c r="YO102" s="528" t="s">
        <v>213</v>
      </c>
      <c r="YP102" s="529" t="str">
        <f>VLOOKUP(YO102,[14]AssetDetails_UEM!$A$3:$AH$1849,6,FALSE)</f>
        <v>Electrosurgical Units, Monopolar/Bipolar</v>
      </c>
      <c r="YQ102" s="528" t="s">
        <v>213</v>
      </c>
      <c r="YR102" s="529" t="str">
        <f>VLOOKUP(YQ102,[14]AssetDetails_UEM!$A$3:$AH$1849,6,FALSE)</f>
        <v>Electrosurgical Units, Monopolar/Bipolar</v>
      </c>
      <c r="YS102" s="528" t="s">
        <v>213</v>
      </c>
      <c r="YT102" s="529" t="str">
        <f>VLOOKUP(YS102,[14]AssetDetails_UEM!$A$3:$AH$1849,6,FALSE)</f>
        <v>Electrosurgical Units, Monopolar/Bipolar</v>
      </c>
      <c r="YU102" s="528" t="s">
        <v>213</v>
      </c>
      <c r="YV102" s="529" t="str">
        <f>VLOOKUP(YU102,[14]AssetDetails_UEM!$A$3:$AH$1849,6,FALSE)</f>
        <v>Electrosurgical Units, Monopolar/Bipolar</v>
      </c>
      <c r="YW102" s="528" t="s">
        <v>213</v>
      </c>
      <c r="YX102" s="529" t="str">
        <f>VLOOKUP(YW102,[14]AssetDetails_UEM!$A$3:$AH$1849,6,FALSE)</f>
        <v>Electrosurgical Units, Monopolar/Bipolar</v>
      </c>
      <c r="YY102" s="528" t="s">
        <v>213</v>
      </c>
      <c r="YZ102" s="529" t="str">
        <f>VLOOKUP(YY102,[14]AssetDetails_UEM!$A$3:$AH$1849,6,FALSE)</f>
        <v>Electrosurgical Units, Monopolar/Bipolar</v>
      </c>
      <c r="ZA102" s="528" t="s">
        <v>213</v>
      </c>
      <c r="ZB102" s="529" t="str">
        <f>VLOOKUP(ZA102,[14]AssetDetails_UEM!$A$3:$AH$1849,6,FALSE)</f>
        <v>Electrosurgical Units, Monopolar/Bipolar</v>
      </c>
      <c r="ZC102" s="528" t="s">
        <v>213</v>
      </c>
      <c r="ZD102" s="529" t="str">
        <f>VLOOKUP(ZC102,[14]AssetDetails_UEM!$A$3:$AH$1849,6,FALSE)</f>
        <v>Electrosurgical Units, Monopolar/Bipolar</v>
      </c>
      <c r="ZE102" s="528" t="s">
        <v>213</v>
      </c>
      <c r="ZF102" s="529" t="str">
        <f>VLOOKUP(ZE102,[14]AssetDetails_UEM!$A$3:$AH$1849,6,FALSE)</f>
        <v>Electrosurgical Units, Monopolar/Bipolar</v>
      </c>
      <c r="ZG102" s="528" t="s">
        <v>213</v>
      </c>
      <c r="ZH102" s="529" t="str">
        <f>VLOOKUP(ZG102,[14]AssetDetails_UEM!$A$3:$AH$1849,6,FALSE)</f>
        <v>Electrosurgical Units, Monopolar/Bipolar</v>
      </c>
      <c r="ZI102" s="528" t="s">
        <v>213</v>
      </c>
      <c r="ZJ102" s="529" t="str">
        <f>VLOOKUP(ZI102,[14]AssetDetails_UEM!$A$3:$AH$1849,6,FALSE)</f>
        <v>Electrosurgical Units, Monopolar/Bipolar</v>
      </c>
      <c r="ZK102" s="528" t="s">
        <v>213</v>
      </c>
      <c r="ZL102" s="529" t="str">
        <f>VLOOKUP(ZK102,[14]AssetDetails_UEM!$A$3:$AH$1849,6,FALSE)</f>
        <v>Electrosurgical Units, Monopolar/Bipolar</v>
      </c>
      <c r="ZM102" s="528" t="s">
        <v>213</v>
      </c>
      <c r="ZN102" s="529" t="str">
        <f>VLOOKUP(ZM102,[14]AssetDetails_UEM!$A$3:$AH$1849,6,FALSE)</f>
        <v>Electrosurgical Units, Monopolar/Bipolar</v>
      </c>
      <c r="ZO102" s="528" t="s">
        <v>213</v>
      </c>
      <c r="ZP102" s="529" t="str">
        <f>VLOOKUP(ZO102,[14]AssetDetails_UEM!$A$3:$AH$1849,6,FALSE)</f>
        <v>Electrosurgical Units, Monopolar/Bipolar</v>
      </c>
      <c r="ZQ102" s="528" t="s">
        <v>213</v>
      </c>
      <c r="ZR102" s="529" t="str">
        <f>VLOOKUP(ZQ102,[14]AssetDetails_UEM!$A$3:$AH$1849,6,FALSE)</f>
        <v>Electrosurgical Units, Monopolar/Bipolar</v>
      </c>
      <c r="ZS102" s="528" t="s">
        <v>213</v>
      </c>
      <c r="ZT102" s="529" t="str">
        <f>VLOOKUP(ZS102,[14]AssetDetails_UEM!$A$3:$AH$1849,6,FALSE)</f>
        <v>Electrosurgical Units, Monopolar/Bipolar</v>
      </c>
      <c r="ZU102" s="528" t="s">
        <v>213</v>
      </c>
      <c r="ZV102" s="529" t="str">
        <f>VLOOKUP(ZU102,[14]AssetDetails_UEM!$A$3:$AH$1849,6,FALSE)</f>
        <v>Electrosurgical Units, Monopolar/Bipolar</v>
      </c>
      <c r="ZW102" s="528" t="s">
        <v>213</v>
      </c>
      <c r="ZX102" s="529" t="str">
        <f>VLOOKUP(ZW102,[14]AssetDetails_UEM!$A$3:$AH$1849,6,FALSE)</f>
        <v>Electrosurgical Units, Monopolar/Bipolar</v>
      </c>
      <c r="ZY102" s="528" t="s">
        <v>213</v>
      </c>
      <c r="ZZ102" s="529" t="str">
        <f>VLOOKUP(ZY102,[14]AssetDetails_UEM!$A$3:$AH$1849,6,FALSE)</f>
        <v>Electrosurgical Units, Monopolar/Bipolar</v>
      </c>
      <c r="AAA102" s="528" t="s">
        <v>213</v>
      </c>
      <c r="AAB102" s="529" t="str">
        <f>VLOOKUP(AAA102,[14]AssetDetails_UEM!$A$3:$AH$1849,6,FALSE)</f>
        <v>Electrosurgical Units, Monopolar/Bipolar</v>
      </c>
      <c r="AAC102" s="528" t="s">
        <v>213</v>
      </c>
      <c r="AAD102" s="529" t="str">
        <f>VLOOKUP(AAC102,[14]AssetDetails_UEM!$A$3:$AH$1849,6,FALSE)</f>
        <v>Electrosurgical Units, Monopolar/Bipolar</v>
      </c>
      <c r="AAE102" s="528" t="s">
        <v>213</v>
      </c>
      <c r="AAF102" s="529" t="str">
        <f>VLOOKUP(AAE102,[14]AssetDetails_UEM!$A$3:$AH$1849,6,FALSE)</f>
        <v>Electrosurgical Units, Monopolar/Bipolar</v>
      </c>
      <c r="AAG102" s="528" t="s">
        <v>213</v>
      </c>
      <c r="AAH102" s="529" t="str">
        <f>VLOOKUP(AAG102,[14]AssetDetails_UEM!$A$3:$AH$1849,6,FALSE)</f>
        <v>Electrosurgical Units, Monopolar/Bipolar</v>
      </c>
      <c r="AAI102" s="528" t="s">
        <v>213</v>
      </c>
      <c r="AAJ102" s="529" t="str">
        <f>VLOOKUP(AAI102,[14]AssetDetails_UEM!$A$3:$AH$1849,6,FALSE)</f>
        <v>Electrosurgical Units, Monopolar/Bipolar</v>
      </c>
      <c r="AAK102" s="528" t="s">
        <v>213</v>
      </c>
      <c r="AAL102" s="529" t="str">
        <f>VLOOKUP(AAK102,[14]AssetDetails_UEM!$A$3:$AH$1849,6,FALSE)</f>
        <v>Electrosurgical Units, Monopolar/Bipolar</v>
      </c>
      <c r="AAM102" s="528" t="s">
        <v>213</v>
      </c>
      <c r="AAN102" s="529" t="str">
        <f>VLOOKUP(AAM102,[14]AssetDetails_UEM!$A$3:$AH$1849,6,FALSE)</f>
        <v>Electrosurgical Units, Monopolar/Bipolar</v>
      </c>
      <c r="AAO102" s="528" t="s">
        <v>213</v>
      </c>
      <c r="AAP102" s="529" t="str">
        <f>VLOOKUP(AAO102,[14]AssetDetails_UEM!$A$3:$AH$1849,6,FALSE)</f>
        <v>Electrosurgical Units, Monopolar/Bipolar</v>
      </c>
      <c r="AAQ102" s="528" t="s">
        <v>213</v>
      </c>
      <c r="AAR102" s="529" t="str">
        <f>VLOOKUP(AAQ102,[14]AssetDetails_UEM!$A$3:$AH$1849,6,FALSE)</f>
        <v>Electrosurgical Units, Monopolar/Bipolar</v>
      </c>
      <c r="AAS102" s="528" t="s">
        <v>213</v>
      </c>
      <c r="AAT102" s="529" t="str">
        <f>VLOOKUP(AAS102,[14]AssetDetails_UEM!$A$3:$AH$1849,6,FALSE)</f>
        <v>Electrosurgical Units, Monopolar/Bipolar</v>
      </c>
      <c r="AAU102" s="528" t="s">
        <v>213</v>
      </c>
      <c r="AAV102" s="529" t="str">
        <f>VLOOKUP(AAU102,[14]AssetDetails_UEM!$A$3:$AH$1849,6,FALSE)</f>
        <v>Electrosurgical Units, Monopolar/Bipolar</v>
      </c>
      <c r="AAW102" s="528" t="s">
        <v>213</v>
      </c>
      <c r="AAX102" s="529" t="str">
        <f>VLOOKUP(AAW102,[14]AssetDetails_UEM!$A$3:$AH$1849,6,FALSE)</f>
        <v>Electrosurgical Units, Monopolar/Bipolar</v>
      </c>
      <c r="AAY102" s="528" t="s">
        <v>213</v>
      </c>
      <c r="AAZ102" s="529" t="str">
        <f>VLOOKUP(AAY102,[14]AssetDetails_UEM!$A$3:$AH$1849,6,FALSE)</f>
        <v>Electrosurgical Units, Monopolar/Bipolar</v>
      </c>
      <c r="ABA102" s="528" t="s">
        <v>213</v>
      </c>
      <c r="ABB102" s="529" t="str">
        <f>VLOOKUP(ABA102,[14]AssetDetails_UEM!$A$3:$AH$1849,6,FALSE)</f>
        <v>Electrosurgical Units, Monopolar/Bipolar</v>
      </c>
      <c r="ABC102" s="528" t="s">
        <v>213</v>
      </c>
      <c r="ABD102" s="529" t="str">
        <f>VLOOKUP(ABC102,[14]AssetDetails_UEM!$A$3:$AH$1849,6,FALSE)</f>
        <v>Electrosurgical Units, Monopolar/Bipolar</v>
      </c>
      <c r="ABE102" s="528" t="s">
        <v>213</v>
      </c>
      <c r="ABF102" s="529" t="str">
        <f>VLOOKUP(ABE102,[14]AssetDetails_UEM!$A$3:$AH$1849,6,FALSE)</f>
        <v>Electrosurgical Units, Monopolar/Bipolar</v>
      </c>
      <c r="ABG102" s="528" t="s">
        <v>213</v>
      </c>
      <c r="ABH102" s="529" t="str">
        <f>VLOOKUP(ABG102,[14]AssetDetails_UEM!$A$3:$AH$1849,6,FALSE)</f>
        <v>Electrosurgical Units, Monopolar/Bipolar</v>
      </c>
      <c r="ABI102" s="528" t="s">
        <v>213</v>
      </c>
      <c r="ABJ102" s="529" t="str">
        <f>VLOOKUP(ABI102,[14]AssetDetails_UEM!$A$3:$AH$1849,6,FALSE)</f>
        <v>Electrosurgical Units, Monopolar/Bipolar</v>
      </c>
      <c r="ABK102" s="528" t="s">
        <v>213</v>
      </c>
      <c r="ABL102" s="529" t="str">
        <f>VLOOKUP(ABK102,[14]AssetDetails_UEM!$A$3:$AH$1849,6,FALSE)</f>
        <v>Electrosurgical Units, Monopolar/Bipolar</v>
      </c>
      <c r="ABM102" s="528" t="s">
        <v>213</v>
      </c>
      <c r="ABN102" s="529" t="str">
        <f>VLOOKUP(ABM102,[14]AssetDetails_UEM!$A$3:$AH$1849,6,FALSE)</f>
        <v>Electrosurgical Units, Monopolar/Bipolar</v>
      </c>
      <c r="ABO102" s="528" t="s">
        <v>213</v>
      </c>
      <c r="ABP102" s="529" t="str">
        <f>VLOOKUP(ABO102,[14]AssetDetails_UEM!$A$3:$AH$1849,6,FALSE)</f>
        <v>Electrosurgical Units, Monopolar/Bipolar</v>
      </c>
      <c r="ABQ102" s="528" t="s">
        <v>213</v>
      </c>
      <c r="ABR102" s="529" t="str">
        <f>VLOOKUP(ABQ102,[14]AssetDetails_UEM!$A$3:$AH$1849,6,FALSE)</f>
        <v>Electrosurgical Units, Monopolar/Bipolar</v>
      </c>
      <c r="ABS102" s="528" t="s">
        <v>213</v>
      </c>
      <c r="ABT102" s="529" t="str">
        <f>VLOOKUP(ABS102,[14]AssetDetails_UEM!$A$3:$AH$1849,6,FALSE)</f>
        <v>Electrosurgical Units, Monopolar/Bipolar</v>
      </c>
      <c r="ABU102" s="528" t="s">
        <v>213</v>
      </c>
      <c r="ABV102" s="529" t="str">
        <f>VLOOKUP(ABU102,[14]AssetDetails_UEM!$A$3:$AH$1849,6,FALSE)</f>
        <v>Electrosurgical Units, Monopolar/Bipolar</v>
      </c>
      <c r="ABW102" s="528" t="s">
        <v>213</v>
      </c>
      <c r="ABX102" s="529" t="str">
        <f>VLOOKUP(ABW102,[14]AssetDetails_UEM!$A$3:$AH$1849,6,FALSE)</f>
        <v>Electrosurgical Units, Monopolar/Bipolar</v>
      </c>
      <c r="ABY102" s="528" t="s">
        <v>213</v>
      </c>
      <c r="ABZ102" s="529" t="str">
        <f>VLOOKUP(ABY102,[14]AssetDetails_UEM!$A$3:$AH$1849,6,FALSE)</f>
        <v>Electrosurgical Units, Monopolar/Bipolar</v>
      </c>
      <c r="ACA102" s="528" t="s">
        <v>213</v>
      </c>
      <c r="ACB102" s="529" t="str">
        <f>VLOOKUP(ACA102,[14]AssetDetails_UEM!$A$3:$AH$1849,6,FALSE)</f>
        <v>Electrosurgical Units, Monopolar/Bipolar</v>
      </c>
      <c r="ACC102" s="528" t="s">
        <v>213</v>
      </c>
      <c r="ACD102" s="529" t="str">
        <f>VLOOKUP(ACC102,[14]AssetDetails_UEM!$A$3:$AH$1849,6,FALSE)</f>
        <v>Electrosurgical Units, Monopolar/Bipolar</v>
      </c>
      <c r="ACE102" s="528" t="s">
        <v>213</v>
      </c>
      <c r="ACF102" s="529" t="str">
        <f>VLOOKUP(ACE102,[14]AssetDetails_UEM!$A$3:$AH$1849,6,FALSE)</f>
        <v>Electrosurgical Units, Monopolar/Bipolar</v>
      </c>
      <c r="ACG102" s="528" t="s">
        <v>213</v>
      </c>
      <c r="ACH102" s="529" t="str">
        <f>VLOOKUP(ACG102,[14]AssetDetails_UEM!$A$3:$AH$1849,6,FALSE)</f>
        <v>Electrosurgical Units, Monopolar/Bipolar</v>
      </c>
      <c r="ACI102" s="528" t="s">
        <v>213</v>
      </c>
      <c r="ACJ102" s="529" t="str">
        <f>VLOOKUP(ACI102,[14]AssetDetails_UEM!$A$3:$AH$1849,6,FALSE)</f>
        <v>Electrosurgical Units, Monopolar/Bipolar</v>
      </c>
      <c r="ACK102" s="528" t="s">
        <v>213</v>
      </c>
      <c r="ACL102" s="529" t="str">
        <f>VLOOKUP(ACK102,[14]AssetDetails_UEM!$A$3:$AH$1849,6,FALSE)</f>
        <v>Electrosurgical Units, Monopolar/Bipolar</v>
      </c>
      <c r="ACM102" s="528" t="s">
        <v>213</v>
      </c>
      <c r="ACN102" s="529" t="str">
        <f>VLOOKUP(ACM102,[14]AssetDetails_UEM!$A$3:$AH$1849,6,FALSE)</f>
        <v>Electrosurgical Units, Monopolar/Bipolar</v>
      </c>
      <c r="ACO102" s="528" t="s">
        <v>213</v>
      </c>
      <c r="ACP102" s="529" t="str">
        <f>VLOOKUP(ACO102,[14]AssetDetails_UEM!$A$3:$AH$1849,6,FALSE)</f>
        <v>Electrosurgical Units, Monopolar/Bipolar</v>
      </c>
      <c r="ACQ102" s="528" t="s">
        <v>213</v>
      </c>
      <c r="ACR102" s="529" t="str">
        <f>VLOOKUP(ACQ102,[14]AssetDetails_UEM!$A$3:$AH$1849,6,FALSE)</f>
        <v>Electrosurgical Units, Monopolar/Bipolar</v>
      </c>
      <c r="ACS102" s="528" t="s">
        <v>213</v>
      </c>
      <c r="ACT102" s="529" t="str">
        <f>VLOOKUP(ACS102,[14]AssetDetails_UEM!$A$3:$AH$1849,6,FALSE)</f>
        <v>Electrosurgical Units, Monopolar/Bipolar</v>
      </c>
      <c r="ACU102" s="528" t="s">
        <v>213</v>
      </c>
      <c r="ACV102" s="529" t="str">
        <f>VLOOKUP(ACU102,[14]AssetDetails_UEM!$A$3:$AH$1849,6,FALSE)</f>
        <v>Electrosurgical Units, Monopolar/Bipolar</v>
      </c>
      <c r="ACW102" s="528" t="s">
        <v>213</v>
      </c>
      <c r="ACX102" s="529" t="str">
        <f>VLOOKUP(ACW102,[14]AssetDetails_UEM!$A$3:$AH$1849,6,FALSE)</f>
        <v>Electrosurgical Units, Monopolar/Bipolar</v>
      </c>
      <c r="ACY102" s="528" t="s">
        <v>213</v>
      </c>
      <c r="ACZ102" s="529" t="str">
        <f>VLOOKUP(ACY102,[14]AssetDetails_UEM!$A$3:$AH$1849,6,FALSE)</f>
        <v>Electrosurgical Units, Monopolar/Bipolar</v>
      </c>
      <c r="ADA102" s="528" t="s">
        <v>213</v>
      </c>
      <c r="ADB102" s="529" t="str">
        <f>VLOOKUP(ADA102,[14]AssetDetails_UEM!$A$3:$AH$1849,6,FALSE)</f>
        <v>Electrosurgical Units, Monopolar/Bipolar</v>
      </c>
      <c r="ADC102" s="528" t="s">
        <v>213</v>
      </c>
      <c r="ADD102" s="529" t="str">
        <f>VLOOKUP(ADC102,[14]AssetDetails_UEM!$A$3:$AH$1849,6,FALSE)</f>
        <v>Electrosurgical Units, Monopolar/Bipolar</v>
      </c>
      <c r="ADE102" s="528" t="s">
        <v>213</v>
      </c>
      <c r="ADF102" s="529" t="str">
        <f>VLOOKUP(ADE102,[14]AssetDetails_UEM!$A$3:$AH$1849,6,FALSE)</f>
        <v>Electrosurgical Units, Monopolar/Bipolar</v>
      </c>
      <c r="ADG102" s="528" t="s">
        <v>213</v>
      </c>
      <c r="ADH102" s="529" t="str">
        <f>VLOOKUP(ADG102,[14]AssetDetails_UEM!$A$3:$AH$1849,6,FALSE)</f>
        <v>Electrosurgical Units, Monopolar/Bipolar</v>
      </c>
      <c r="ADI102" s="528" t="s">
        <v>213</v>
      </c>
      <c r="ADJ102" s="529" t="str">
        <f>VLOOKUP(ADI102,[14]AssetDetails_UEM!$A$3:$AH$1849,6,FALSE)</f>
        <v>Electrosurgical Units, Monopolar/Bipolar</v>
      </c>
      <c r="ADK102" s="528" t="s">
        <v>213</v>
      </c>
      <c r="ADL102" s="529" t="str">
        <f>VLOOKUP(ADK102,[14]AssetDetails_UEM!$A$3:$AH$1849,6,FALSE)</f>
        <v>Electrosurgical Units, Monopolar/Bipolar</v>
      </c>
      <c r="ADM102" s="528" t="s">
        <v>213</v>
      </c>
      <c r="ADN102" s="529" t="str">
        <f>VLOOKUP(ADM102,[14]AssetDetails_UEM!$A$3:$AH$1849,6,FALSE)</f>
        <v>Electrosurgical Units, Monopolar/Bipolar</v>
      </c>
      <c r="ADO102" s="528" t="s">
        <v>213</v>
      </c>
      <c r="ADP102" s="529" t="str">
        <f>VLOOKUP(ADO102,[14]AssetDetails_UEM!$A$3:$AH$1849,6,FALSE)</f>
        <v>Electrosurgical Units, Monopolar/Bipolar</v>
      </c>
      <c r="ADQ102" s="528" t="s">
        <v>213</v>
      </c>
      <c r="ADR102" s="529" t="str">
        <f>VLOOKUP(ADQ102,[14]AssetDetails_UEM!$A$3:$AH$1849,6,FALSE)</f>
        <v>Electrosurgical Units, Monopolar/Bipolar</v>
      </c>
      <c r="ADS102" s="528" t="s">
        <v>213</v>
      </c>
      <c r="ADT102" s="529" t="str">
        <f>VLOOKUP(ADS102,[14]AssetDetails_UEM!$A$3:$AH$1849,6,FALSE)</f>
        <v>Electrosurgical Units, Monopolar/Bipolar</v>
      </c>
      <c r="ADU102" s="528" t="s">
        <v>213</v>
      </c>
      <c r="ADV102" s="529" t="str">
        <f>VLOOKUP(ADU102,[14]AssetDetails_UEM!$A$3:$AH$1849,6,FALSE)</f>
        <v>Electrosurgical Units, Monopolar/Bipolar</v>
      </c>
      <c r="ADW102" s="528" t="s">
        <v>213</v>
      </c>
      <c r="ADX102" s="529" t="str">
        <f>VLOOKUP(ADW102,[14]AssetDetails_UEM!$A$3:$AH$1849,6,FALSE)</f>
        <v>Electrosurgical Units, Monopolar/Bipolar</v>
      </c>
      <c r="ADY102" s="528" t="s">
        <v>213</v>
      </c>
      <c r="ADZ102" s="529" t="str">
        <f>VLOOKUP(ADY102,[14]AssetDetails_UEM!$A$3:$AH$1849,6,FALSE)</f>
        <v>Electrosurgical Units, Monopolar/Bipolar</v>
      </c>
      <c r="AEA102" s="528" t="s">
        <v>213</v>
      </c>
      <c r="AEB102" s="529" t="str">
        <f>VLOOKUP(AEA102,[14]AssetDetails_UEM!$A$3:$AH$1849,6,FALSE)</f>
        <v>Electrosurgical Units, Monopolar/Bipolar</v>
      </c>
      <c r="AEC102" s="528" t="s">
        <v>213</v>
      </c>
      <c r="AED102" s="529" t="str">
        <f>VLOOKUP(AEC102,[14]AssetDetails_UEM!$A$3:$AH$1849,6,FALSE)</f>
        <v>Electrosurgical Units, Monopolar/Bipolar</v>
      </c>
      <c r="AEE102" s="528" t="s">
        <v>213</v>
      </c>
      <c r="AEF102" s="529" t="str">
        <f>VLOOKUP(AEE102,[14]AssetDetails_UEM!$A$3:$AH$1849,6,FALSE)</f>
        <v>Electrosurgical Units, Monopolar/Bipolar</v>
      </c>
      <c r="AEG102" s="528" t="s">
        <v>213</v>
      </c>
      <c r="AEH102" s="529" t="str">
        <f>VLOOKUP(AEG102,[14]AssetDetails_UEM!$A$3:$AH$1849,6,FALSE)</f>
        <v>Electrosurgical Units, Monopolar/Bipolar</v>
      </c>
      <c r="AEI102" s="528" t="s">
        <v>213</v>
      </c>
      <c r="AEJ102" s="529" t="str">
        <f>VLOOKUP(AEI102,[14]AssetDetails_UEM!$A$3:$AH$1849,6,FALSE)</f>
        <v>Electrosurgical Units, Monopolar/Bipolar</v>
      </c>
      <c r="AEK102" s="528" t="s">
        <v>213</v>
      </c>
      <c r="AEL102" s="529" t="str">
        <f>VLOOKUP(AEK102,[14]AssetDetails_UEM!$A$3:$AH$1849,6,FALSE)</f>
        <v>Electrosurgical Units, Monopolar/Bipolar</v>
      </c>
      <c r="AEM102" s="528" t="s">
        <v>213</v>
      </c>
      <c r="AEN102" s="529" t="str">
        <f>VLOOKUP(AEM102,[14]AssetDetails_UEM!$A$3:$AH$1849,6,FALSE)</f>
        <v>Electrosurgical Units, Monopolar/Bipolar</v>
      </c>
      <c r="AEO102" s="528" t="s">
        <v>213</v>
      </c>
      <c r="AEP102" s="529" t="str">
        <f>VLOOKUP(AEO102,[14]AssetDetails_UEM!$A$3:$AH$1849,6,FALSE)</f>
        <v>Electrosurgical Units, Monopolar/Bipolar</v>
      </c>
      <c r="AEQ102" s="528" t="s">
        <v>213</v>
      </c>
      <c r="AER102" s="529" t="str">
        <f>VLOOKUP(AEQ102,[14]AssetDetails_UEM!$A$3:$AH$1849,6,FALSE)</f>
        <v>Electrosurgical Units, Monopolar/Bipolar</v>
      </c>
      <c r="AES102" s="528" t="s">
        <v>213</v>
      </c>
      <c r="AET102" s="529" t="str">
        <f>VLOOKUP(AES102,[14]AssetDetails_UEM!$A$3:$AH$1849,6,FALSE)</f>
        <v>Electrosurgical Units, Monopolar/Bipolar</v>
      </c>
      <c r="AEU102" s="528" t="s">
        <v>213</v>
      </c>
      <c r="AEV102" s="529" t="str">
        <f>VLOOKUP(AEU102,[14]AssetDetails_UEM!$A$3:$AH$1849,6,FALSE)</f>
        <v>Electrosurgical Units, Monopolar/Bipolar</v>
      </c>
      <c r="AEW102" s="528" t="s">
        <v>213</v>
      </c>
      <c r="AEX102" s="529" t="str">
        <f>VLOOKUP(AEW102,[14]AssetDetails_UEM!$A$3:$AH$1849,6,FALSE)</f>
        <v>Electrosurgical Units, Monopolar/Bipolar</v>
      </c>
      <c r="AEY102" s="528" t="s">
        <v>213</v>
      </c>
      <c r="AEZ102" s="529" t="str">
        <f>VLOOKUP(AEY102,[14]AssetDetails_UEM!$A$3:$AH$1849,6,FALSE)</f>
        <v>Electrosurgical Units, Monopolar/Bipolar</v>
      </c>
      <c r="AFA102" s="528" t="s">
        <v>213</v>
      </c>
      <c r="AFB102" s="529" t="str">
        <f>VLOOKUP(AFA102,[14]AssetDetails_UEM!$A$3:$AH$1849,6,FALSE)</f>
        <v>Electrosurgical Units, Monopolar/Bipolar</v>
      </c>
      <c r="AFC102" s="528" t="s">
        <v>213</v>
      </c>
      <c r="AFD102" s="529" t="str">
        <f>VLOOKUP(AFC102,[14]AssetDetails_UEM!$A$3:$AH$1849,6,FALSE)</f>
        <v>Electrosurgical Units, Monopolar/Bipolar</v>
      </c>
      <c r="AFE102" s="528" t="s">
        <v>213</v>
      </c>
      <c r="AFF102" s="529" t="str">
        <f>VLOOKUP(AFE102,[14]AssetDetails_UEM!$A$3:$AH$1849,6,FALSE)</f>
        <v>Electrosurgical Units, Monopolar/Bipolar</v>
      </c>
      <c r="AFG102" s="528" t="s">
        <v>213</v>
      </c>
      <c r="AFH102" s="529" t="str">
        <f>VLOOKUP(AFG102,[14]AssetDetails_UEM!$A$3:$AH$1849,6,FALSE)</f>
        <v>Electrosurgical Units, Monopolar/Bipolar</v>
      </c>
      <c r="AFI102" s="528" t="s">
        <v>213</v>
      </c>
      <c r="AFJ102" s="529" t="str">
        <f>VLOOKUP(AFI102,[14]AssetDetails_UEM!$A$3:$AH$1849,6,FALSE)</f>
        <v>Electrosurgical Units, Monopolar/Bipolar</v>
      </c>
      <c r="AFK102" s="528" t="s">
        <v>213</v>
      </c>
      <c r="AFL102" s="529" t="str">
        <f>VLOOKUP(AFK102,[14]AssetDetails_UEM!$A$3:$AH$1849,6,FALSE)</f>
        <v>Electrosurgical Units, Monopolar/Bipolar</v>
      </c>
      <c r="AFM102" s="528" t="s">
        <v>213</v>
      </c>
      <c r="AFN102" s="529" t="str">
        <f>VLOOKUP(AFM102,[14]AssetDetails_UEM!$A$3:$AH$1849,6,FALSE)</f>
        <v>Electrosurgical Units, Monopolar/Bipolar</v>
      </c>
      <c r="AFO102" s="528" t="s">
        <v>213</v>
      </c>
      <c r="AFP102" s="529" t="str">
        <f>VLOOKUP(AFO102,[14]AssetDetails_UEM!$A$3:$AH$1849,6,FALSE)</f>
        <v>Electrosurgical Units, Monopolar/Bipolar</v>
      </c>
      <c r="AFQ102" s="528" t="s">
        <v>213</v>
      </c>
      <c r="AFR102" s="529" t="str">
        <f>VLOOKUP(AFQ102,[14]AssetDetails_UEM!$A$3:$AH$1849,6,FALSE)</f>
        <v>Electrosurgical Units, Monopolar/Bipolar</v>
      </c>
      <c r="AFS102" s="528" t="s">
        <v>213</v>
      </c>
      <c r="AFT102" s="529" t="str">
        <f>VLOOKUP(AFS102,[14]AssetDetails_UEM!$A$3:$AH$1849,6,FALSE)</f>
        <v>Electrosurgical Units, Monopolar/Bipolar</v>
      </c>
      <c r="AFU102" s="528" t="s">
        <v>213</v>
      </c>
      <c r="AFV102" s="529" t="str">
        <f>VLOOKUP(AFU102,[14]AssetDetails_UEM!$A$3:$AH$1849,6,FALSE)</f>
        <v>Electrosurgical Units, Monopolar/Bipolar</v>
      </c>
      <c r="AFW102" s="528" t="s">
        <v>213</v>
      </c>
      <c r="AFX102" s="529" t="str">
        <f>VLOOKUP(AFW102,[14]AssetDetails_UEM!$A$3:$AH$1849,6,FALSE)</f>
        <v>Electrosurgical Units, Monopolar/Bipolar</v>
      </c>
      <c r="AFY102" s="528" t="s">
        <v>213</v>
      </c>
      <c r="AFZ102" s="529" t="str">
        <f>VLOOKUP(AFY102,[14]AssetDetails_UEM!$A$3:$AH$1849,6,FALSE)</f>
        <v>Electrosurgical Units, Monopolar/Bipolar</v>
      </c>
      <c r="AGA102" s="528" t="s">
        <v>213</v>
      </c>
      <c r="AGB102" s="529" t="str">
        <f>VLOOKUP(AGA102,[14]AssetDetails_UEM!$A$3:$AH$1849,6,FALSE)</f>
        <v>Electrosurgical Units, Monopolar/Bipolar</v>
      </c>
      <c r="AGC102" s="528" t="s">
        <v>213</v>
      </c>
      <c r="AGD102" s="529" t="str">
        <f>VLOOKUP(AGC102,[14]AssetDetails_UEM!$A$3:$AH$1849,6,FALSE)</f>
        <v>Electrosurgical Units, Monopolar/Bipolar</v>
      </c>
      <c r="AGE102" s="528" t="s">
        <v>213</v>
      </c>
      <c r="AGF102" s="529" t="str">
        <f>VLOOKUP(AGE102,[14]AssetDetails_UEM!$A$3:$AH$1849,6,FALSE)</f>
        <v>Electrosurgical Units, Monopolar/Bipolar</v>
      </c>
      <c r="AGG102" s="528" t="s">
        <v>213</v>
      </c>
      <c r="AGH102" s="529" t="str">
        <f>VLOOKUP(AGG102,[14]AssetDetails_UEM!$A$3:$AH$1849,6,FALSE)</f>
        <v>Electrosurgical Units, Monopolar/Bipolar</v>
      </c>
      <c r="AGI102" s="528" t="s">
        <v>213</v>
      </c>
      <c r="AGJ102" s="529" t="str">
        <f>VLOOKUP(AGI102,[14]AssetDetails_UEM!$A$3:$AH$1849,6,FALSE)</f>
        <v>Electrosurgical Units, Monopolar/Bipolar</v>
      </c>
      <c r="AGK102" s="528" t="s">
        <v>213</v>
      </c>
      <c r="AGL102" s="529" t="str">
        <f>VLOOKUP(AGK102,[14]AssetDetails_UEM!$A$3:$AH$1849,6,FALSE)</f>
        <v>Electrosurgical Units, Monopolar/Bipolar</v>
      </c>
      <c r="AGM102" s="528" t="s">
        <v>213</v>
      </c>
      <c r="AGN102" s="529" t="str">
        <f>VLOOKUP(AGM102,[14]AssetDetails_UEM!$A$3:$AH$1849,6,FALSE)</f>
        <v>Electrosurgical Units, Monopolar/Bipolar</v>
      </c>
      <c r="AGO102" s="528" t="s">
        <v>213</v>
      </c>
      <c r="AGP102" s="529" t="str">
        <f>VLOOKUP(AGO102,[14]AssetDetails_UEM!$A$3:$AH$1849,6,FALSE)</f>
        <v>Electrosurgical Units, Monopolar/Bipolar</v>
      </c>
      <c r="AGQ102" s="528" t="s">
        <v>213</v>
      </c>
      <c r="AGR102" s="529" t="str">
        <f>VLOOKUP(AGQ102,[14]AssetDetails_UEM!$A$3:$AH$1849,6,FALSE)</f>
        <v>Electrosurgical Units, Monopolar/Bipolar</v>
      </c>
      <c r="AGS102" s="528" t="s">
        <v>213</v>
      </c>
      <c r="AGT102" s="529" t="str">
        <f>VLOOKUP(AGS102,[14]AssetDetails_UEM!$A$3:$AH$1849,6,FALSE)</f>
        <v>Electrosurgical Units, Monopolar/Bipolar</v>
      </c>
      <c r="AGU102" s="528" t="s">
        <v>213</v>
      </c>
      <c r="AGV102" s="529" t="str">
        <f>VLOOKUP(AGU102,[14]AssetDetails_UEM!$A$3:$AH$1849,6,FALSE)</f>
        <v>Electrosurgical Units, Monopolar/Bipolar</v>
      </c>
      <c r="AGW102" s="528" t="s">
        <v>213</v>
      </c>
      <c r="AGX102" s="529" t="str">
        <f>VLOOKUP(AGW102,[14]AssetDetails_UEM!$A$3:$AH$1849,6,FALSE)</f>
        <v>Electrosurgical Units, Monopolar/Bipolar</v>
      </c>
      <c r="AGY102" s="528" t="s">
        <v>213</v>
      </c>
      <c r="AGZ102" s="529" t="str">
        <f>VLOOKUP(AGY102,[14]AssetDetails_UEM!$A$3:$AH$1849,6,FALSE)</f>
        <v>Electrosurgical Units, Monopolar/Bipolar</v>
      </c>
      <c r="AHA102" s="528" t="s">
        <v>213</v>
      </c>
      <c r="AHB102" s="529" t="str">
        <f>VLOOKUP(AHA102,[14]AssetDetails_UEM!$A$3:$AH$1849,6,FALSE)</f>
        <v>Electrosurgical Units, Monopolar/Bipolar</v>
      </c>
      <c r="AHC102" s="528" t="s">
        <v>213</v>
      </c>
      <c r="AHD102" s="529" t="str">
        <f>VLOOKUP(AHC102,[14]AssetDetails_UEM!$A$3:$AH$1849,6,FALSE)</f>
        <v>Electrosurgical Units, Monopolar/Bipolar</v>
      </c>
      <c r="AHE102" s="528" t="s">
        <v>213</v>
      </c>
      <c r="AHF102" s="529" t="str">
        <f>VLOOKUP(AHE102,[14]AssetDetails_UEM!$A$3:$AH$1849,6,FALSE)</f>
        <v>Electrosurgical Units, Monopolar/Bipolar</v>
      </c>
      <c r="AHG102" s="528" t="s">
        <v>213</v>
      </c>
      <c r="AHH102" s="529" t="str">
        <f>VLOOKUP(AHG102,[14]AssetDetails_UEM!$A$3:$AH$1849,6,FALSE)</f>
        <v>Electrosurgical Units, Monopolar/Bipolar</v>
      </c>
      <c r="AHI102" s="528" t="s">
        <v>213</v>
      </c>
      <c r="AHJ102" s="529" t="str">
        <f>VLOOKUP(AHI102,[14]AssetDetails_UEM!$A$3:$AH$1849,6,FALSE)</f>
        <v>Electrosurgical Units, Monopolar/Bipolar</v>
      </c>
      <c r="AHK102" s="528" t="s">
        <v>213</v>
      </c>
      <c r="AHL102" s="529" t="str">
        <f>VLOOKUP(AHK102,[14]AssetDetails_UEM!$A$3:$AH$1849,6,FALSE)</f>
        <v>Electrosurgical Units, Monopolar/Bipolar</v>
      </c>
      <c r="AHM102" s="528" t="s">
        <v>213</v>
      </c>
      <c r="AHN102" s="529" t="str">
        <f>VLOOKUP(AHM102,[14]AssetDetails_UEM!$A$3:$AH$1849,6,FALSE)</f>
        <v>Electrosurgical Units, Monopolar/Bipolar</v>
      </c>
      <c r="AHO102" s="528" t="s">
        <v>213</v>
      </c>
      <c r="AHP102" s="529" t="str">
        <f>VLOOKUP(AHO102,[14]AssetDetails_UEM!$A$3:$AH$1849,6,FALSE)</f>
        <v>Electrosurgical Units, Monopolar/Bipolar</v>
      </c>
      <c r="AHQ102" s="528" t="s">
        <v>213</v>
      </c>
      <c r="AHR102" s="529" t="str">
        <f>VLOOKUP(AHQ102,[14]AssetDetails_UEM!$A$3:$AH$1849,6,FALSE)</f>
        <v>Electrosurgical Units, Monopolar/Bipolar</v>
      </c>
      <c r="AHS102" s="528" t="s">
        <v>213</v>
      </c>
      <c r="AHT102" s="529" t="str">
        <f>VLOOKUP(AHS102,[14]AssetDetails_UEM!$A$3:$AH$1849,6,FALSE)</f>
        <v>Electrosurgical Units, Monopolar/Bipolar</v>
      </c>
      <c r="AHU102" s="528" t="s">
        <v>213</v>
      </c>
      <c r="AHV102" s="529" t="str">
        <f>VLOOKUP(AHU102,[14]AssetDetails_UEM!$A$3:$AH$1849,6,FALSE)</f>
        <v>Electrosurgical Units, Monopolar/Bipolar</v>
      </c>
      <c r="AHW102" s="528" t="s">
        <v>213</v>
      </c>
      <c r="AHX102" s="529" t="str">
        <f>VLOOKUP(AHW102,[14]AssetDetails_UEM!$A$3:$AH$1849,6,FALSE)</f>
        <v>Electrosurgical Units, Monopolar/Bipolar</v>
      </c>
      <c r="AHY102" s="528" t="s">
        <v>213</v>
      </c>
      <c r="AHZ102" s="529" t="str">
        <f>VLOOKUP(AHY102,[14]AssetDetails_UEM!$A$3:$AH$1849,6,FALSE)</f>
        <v>Electrosurgical Units, Monopolar/Bipolar</v>
      </c>
      <c r="AIA102" s="528" t="s">
        <v>213</v>
      </c>
      <c r="AIB102" s="529" t="str">
        <f>VLOOKUP(AIA102,[14]AssetDetails_UEM!$A$3:$AH$1849,6,FALSE)</f>
        <v>Electrosurgical Units, Monopolar/Bipolar</v>
      </c>
      <c r="AIC102" s="528" t="s">
        <v>213</v>
      </c>
      <c r="AID102" s="529" t="str">
        <f>VLOOKUP(AIC102,[14]AssetDetails_UEM!$A$3:$AH$1849,6,FALSE)</f>
        <v>Electrosurgical Units, Monopolar/Bipolar</v>
      </c>
      <c r="AIE102" s="528" t="s">
        <v>213</v>
      </c>
      <c r="AIF102" s="529" t="str">
        <f>VLOOKUP(AIE102,[14]AssetDetails_UEM!$A$3:$AH$1849,6,FALSE)</f>
        <v>Electrosurgical Units, Monopolar/Bipolar</v>
      </c>
      <c r="AIG102" s="528" t="s">
        <v>213</v>
      </c>
      <c r="AIH102" s="529" t="str">
        <f>VLOOKUP(AIG102,[14]AssetDetails_UEM!$A$3:$AH$1849,6,FALSE)</f>
        <v>Electrosurgical Units, Monopolar/Bipolar</v>
      </c>
      <c r="AII102" s="528" t="s">
        <v>213</v>
      </c>
      <c r="AIJ102" s="529" t="str">
        <f>VLOOKUP(AII102,[14]AssetDetails_UEM!$A$3:$AH$1849,6,FALSE)</f>
        <v>Electrosurgical Units, Monopolar/Bipolar</v>
      </c>
      <c r="AIK102" s="528" t="s">
        <v>213</v>
      </c>
      <c r="AIL102" s="529" t="str">
        <f>VLOOKUP(AIK102,[14]AssetDetails_UEM!$A$3:$AH$1849,6,FALSE)</f>
        <v>Electrosurgical Units, Monopolar/Bipolar</v>
      </c>
      <c r="AIM102" s="528" t="s">
        <v>213</v>
      </c>
      <c r="AIN102" s="529" t="str">
        <f>VLOOKUP(AIM102,[14]AssetDetails_UEM!$A$3:$AH$1849,6,FALSE)</f>
        <v>Electrosurgical Units, Monopolar/Bipolar</v>
      </c>
      <c r="AIO102" s="528" t="s">
        <v>213</v>
      </c>
      <c r="AIP102" s="529" t="str">
        <f>VLOOKUP(AIO102,[14]AssetDetails_UEM!$A$3:$AH$1849,6,FALSE)</f>
        <v>Electrosurgical Units, Monopolar/Bipolar</v>
      </c>
      <c r="AIQ102" s="528" t="s">
        <v>213</v>
      </c>
      <c r="AIR102" s="529" t="str">
        <f>VLOOKUP(AIQ102,[14]AssetDetails_UEM!$A$3:$AH$1849,6,FALSE)</f>
        <v>Electrosurgical Units, Monopolar/Bipolar</v>
      </c>
      <c r="AIS102" s="528" t="s">
        <v>213</v>
      </c>
      <c r="AIT102" s="529" t="str">
        <f>VLOOKUP(AIS102,[14]AssetDetails_UEM!$A$3:$AH$1849,6,FALSE)</f>
        <v>Electrosurgical Units, Monopolar/Bipolar</v>
      </c>
      <c r="AIU102" s="528" t="s">
        <v>213</v>
      </c>
      <c r="AIV102" s="529" t="str">
        <f>VLOOKUP(AIU102,[14]AssetDetails_UEM!$A$3:$AH$1849,6,FALSE)</f>
        <v>Electrosurgical Units, Monopolar/Bipolar</v>
      </c>
      <c r="AIW102" s="528" t="s">
        <v>213</v>
      </c>
      <c r="AIX102" s="529" t="str">
        <f>VLOOKUP(AIW102,[14]AssetDetails_UEM!$A$3:$AH$1849,6,FALSE)</f>
        <v>Electrosurgical Units, Monopolar/Bipolar</v>
      </c>
      <c r="AIY102" s="528" t="s">
        <v>213</v>
      </c>
      <c r="AIZ102" s="529" t="str">
        <f>VLOOKUP(AIY102,[14]AssetDetails_UEM!$A$3:$AH$1849,6,FALSE)</f>
        <v>Electrosurgical Units, Monopolar/Bipolar</v>
      </c>
      <c r="AJA102" s="528" t="s">
        <v>213</v>
      </c>
      <c r="AJB102" s="529" t="str">
        <f>VLOOKUP(AJA102,[14]AssetDetails_UEM!$A$3:$AH$1849,6,FALSE)</f>
        <v>Electrosurgical Units, Monopolar/Bipolar</v>
      </c>
      <c r="AJC102" s="528" t="s">
        <v>213</v>
      </c>
      <c r="AJD102" s="529" t="str">
        <f>VLOOKUP(AJC102,[14]AssetDetails_UEM!$A$3:$AH$1849,6,FALSE)</f>
        <v>Electrosurgical Units, Monopolar/Bipolar</v>
      </c>
      <c r="AJE102" s="528" t="s">
        <v>213</v>
      </c>
      <c r="AJF102" s="529" t="str">
        <f>VLOOKUP(AJE102,[14]AssetDetails_UEM!$A$3:$AH$1849,6,FALSE)</f>
        <v>Electrosurgical Units, Monopolar/Bipolar</v>
      </c>
      <c r="AJG102" s="528" t="s">
        <v>213</v>
      </c>
      <c r="AJH102" s="529" t="str">
        <f>VLOOKUP(AJG102,[14]AssetDetails_UEM!$A$3:$AH$1849,6,FALSE)</f>
        <v>Electrosurgical Units, Monopolar/Bipolar</v>
      </c>
      <c r="AJI102" s="528" t="s">
        <v>213</v>
      </c>
      <c r="AJJ102" s="529" t="str">
        <f>VLOOKUP(AJI102,[14]AssetDetails_UEM!$A$3:$AH$1849,6,FALSE)</f>
        <v>Electrosurgical Units, Monopolar/Bipolar</v>
      </c>
      <c r="AJK102" s="528" t="s">
        <v>213</v>
      </c>
      <c r="AJL102" s="529" t="str">
        <f>VLOOKUP(AJK102,[14]AssetDetails_UEM!$A$3:$AH$1849,6,FALSE)</f>
        <v>Electrosurgical Units, Monopolar/Bipolar</v>
      </c>
      <c r="AJM102" s="528" t="s">
        <v>213</v>
      </c>
      <c r="AJN102" s="529" t="str">
        <f>VLOOKUP(AJM102,[14]AssetDetails_UEM!$A$3:$AH$1849,6,FALSE)</f>
        <v>Electrosurgical Units, Monopolar/Bipolar</v>
      </c>
      <c r="AJO102" s="528" t="s">
        <v>213</v>
      </c>
      <c r="AJP102" s="529" t="str">
        <f>VLOOKUP(AJO102,[14]AssetDetails_UEM!$A$3:$AH$1849,6,FALSE)</f>
        <v>Electrosurgical Units, Monopolar/Bipolar</v>
      </c>
      <c r="AJQ102" s="528" t="s">
        <v>213</v>
      </c>
      <c r="AJR102" s="529" t="str">
        <f>VLOOKUP(AJQ102,[14]AssetDetails_UEM!$A$3:$AH$1849,6,FALSE)</f>
        <v>Electrosurgical Units, Monopolar/Bipolar</v>
      </c>
      <c r="AJS102" s="528" t="s">
        <v>213</v>
      </c>
      <c r="AJT102" s="529" t="str">
        <f>VLOOKUP(AJS102,[14]AssetDetails_UEM!$A$3:$AH$1849,6,FALSE)</f>
        <v>Electrosurgical Units, Monopolar/Bipolar</v>
      </c>
      <c r="AJU102" s="528" t="s">
        <v>213</v>
      </c>
      <c r="AJV102" s="529" t="str">
        <f>VLOOKUP(AJU102,[14]AssetDetails_UEM!$A$3:$AH$1849,6,FALSE)</f>
        <v>Electrosurgical Units, Monopolar/Bipolar</v>
      </c>
      <c r="AJW102" s="528" t="s">
        <v>213</v>
      </c>
      <c r="AJX102" s="529" t="str">
        <f>VLOOKUP(AJW102,[14]AssetDetails_UEM!$A$3:$AH$1849,6,FALSE)</f>
        <v>Electrosurgical Units, Monopolar/Bipolar</v>
      </c>
      <c r="AJY102" s="528" t="s">
        <v>213</v>
      </c>
      <c r="AJZ102" s="529" t="str">
        <f>VLOOKUP(AJY102,[14]AssetDetails_UEM!$A$3:$AH$1849,6,FALSE)</f>
        <v>Electrosurgical Units, Monopolar/Bipolar</v>
      </c>
      <c r="AKA102" s="528" t="s">
        <v>213</v>
      </c>
      <c r="AKB102" s="529" t="str">
        <f>VLOOKUP(AKA102,[14]AssetDetails_UEM!$A$3:$AH$1849,6,FALSE)</f>
        <v>Electrosurgical Units, Monopolar/Bipolar</v>
      </c>
      <c r="AKC102" s="528" t="s">
        <v>213</v>
      </c>
      <c r="AKD102" s="529" t="str">
        <f>VLOOKUP(AKC102,[14]AssetDetails_UEM!$A$3:$AH$1849,6,FALSE)</f>
        <v>Electrosurgical Units, Monopolar/Bipolar</v>
      </c>
      <c r="AKE102" s="528" t="s">
        <v>213</v>
      </c>
      <c r="AKF102" s="529" t="str">
        <f>VLOOKUP(AKE102,[14]AssetDetails_UEM!$A$3:$AH$1849,6,FALSE)</f>
        <v>Electrosurgical Units, Monopolar/Bipolar</v>
      </c>
      <c r="AKG102" s="528" t="s">
        <v>213</v>
      </c>
      <c r="AKH102" s="529" t="str">
        <f>VLOOKUP(AKG102,[14]AssetDetails_UEM!$A$3:$AH$1849,6,FALSE)</f>
        <v>Electrosurgical Units, Monopolar/Bipolar</v>
      </c>
      <c r="AKI102" s="528" t="s">
        <v>213</v>
      </c>
      <c r="AKJ102" s="529" t="str">
        <f>VLOOKUP(AKI102,[14]AssetDetails_UEM!$A$3:$AH$1849,6,FALSE)</f>
        <v>Electrosurgical Units, Monopolar/Bipolar</v>
      </c>
      <c r="AKK102" s="528" t="s">
        <v>213</v>
      </c>
      <c r="AKL102" s="529" t="str">
        <f>VLOOKUP(AKK102,[14]AssetDetails_UEM!$A$3:$AH$1849,6,FALSE)</f>
        <v>Electrosurgical Units, Monopolar/Bipolar</v>
      </c>
      <c r="AKM102" s="528" t="s">
        <v>213</v>
      </c>
      <c r="AKN102" s="529" t="str">
        <f>VLOOKUP(AKM102,[14]AssetDetails_UEM!$A$3:$AH$1849,6,FALSE)</f>
        <v>Electrosurgical Units, Monopolar/Bipolar</v>
      </c>
      <c r="AKO102" s="528" t="s">
        <v>213</v>
      </c>
      <c r="AKP102" s="529" t="str">
        <f>VLOOKUP(AKO102,[14]AssetDetails_UEM!$A$3:$AH$1849,6,FALSE)</f>
        <v>Electrosurgical Units, Monopolar/Bipolar</v>
      </c>
      <c r="AKQ102" s="528" t="s">
        <v>213</v>
      </c>
      <c r="AKR102" s="529" t="str">
        <f>VLOOKUP(AKQ102,[14]AssetDetails_UEM!$A$3:$AH$1849,6,FALSE)</f>
        <v>Electrosurgical Units, Monopolar/Bipolar</v>
      </c>
      <c r="AKS102" s="528" t="s">
        <v>213</v>
      </c>
      <c r="AKT102" s="529" t="str">
        <f>VLOOKUP(AKS102,[14]AssetDetails_UEM!$A$3:$AH$1849,6,FALSE)</f>
        <v>Electrosurgical Units, Monopolar/Bipolar</v>
      </c>
      <c r="AKU102" s="528" t="s">
        <v>213</v>
      </c>
      <c r="AKV102" s="529" t="str">
        <f>VLOOKUP(AKU102,[14]AssetDetails_UEM!$A$3:$AH$1849,6,FALSE)</f>
        <v>Electrosurgical Units, Monopolar/Bipolar</v>
      </c>
      <c r="AKW102" s="528" t="s">
        <v>213</v>
      </c>
      <c r="AKX102" s="529" t="str">
        <f>VLOOKUP(AKW102,[14]AssetDetails_UEM!$A$3:$AH$1849,6,FALSE)</f>
        <v>Electrosurgical Units, Monopolar/Bipolar</v>
      </c>
      <c r="AKY102" s="528" t="s">
        <v>213</v>
      </c>
      <c r="AKZ102" s="529" t="str">
        <f>VLOOKUP(AKY102,[14]AssetDetails_UEM!$A$3:$AH$1849,6,FALSE)</f>
        <v>Electrosurgical Units, Monopolar/Bipolar</v>
      </c>
      <c r="ALA102" s="528" t="s">
        <v>213</v>
      </c>
      <c r="ALB102" s="529" t="str">
        <f>VLOOKUP(ALA102,[14]AssetDetails_UEM!$A$3:$AH$1849,6,FALSE)</f>
        <v>Electrosurgical Units, Monopolar/Bipolar</v>
      </c>
      <c r="ALC102" s="528" t="s">
        <v>213</v>
      </c>
      <c r="ALD102" s="529" t="str">
        <f>VLOOKUP(ALC102,[14]AssetDetails_UEM!$A$3:$AH$1849,6,FALSE)</f>
        <v>Electrosurgical Units, Monopolar/Bipolar</v>
      </c>
      <c r="ALE102" s="528" t="s">
        <v>213</v>
      </c>
      <c r="ALF102" s="529" t="str">
        <f>VLOOKUP(ALE102,[14]AssetDetails_UEM!$A$3:$AH$1849,6,FALSE)</f>
        <v>Electrosurgical Units, Monopolar/Bipolar</v>
      </c>
      <c r="ALG102" s="528" t="s">
        <v>213</v>
      </c>
      <c r="ALH102" s="529" t="str">
        <f>VLOOKUP(ALG102,[14]AssetDetails_UEM!$A$3:$AH$1849,6,FALSE)</f>
        <v>Electrosurgical Units, Monopolar/Bipolar</v>
      </c>
      <c r="ALI102" s="528" t="s">
        <v>213</v>
      </c>
      <c r="ALJ102" s="529" t="str">
        <f>VLOOKUP(ALI102,[14]AssetDetails_UEM!$A$3:$AH$1849,6,FALSE)</f>
        <v>Electrosurgical Units, Monopolar/Bipolar</v>
      </c>
      <c r="ALK102" s="528" t="s">
        <v>213</v>
      </c>
      <c r="ALL102" s="529" t="str">
        <f>VLOOKUP(ALK102,[14]AssetDetails_UEM!$A$3:$AH$1849,6,FALSE)</f>
        <v>Electrosurgical Units, Monopolar/Bipolar</v>
      </c>
      <c r="ALM102" s="528" t="s">
        <v>213</v>
      </c>
      <c r="ALN102" s="529" t="str">
        <f>VLOOKUP(ALM102,[14]AssetDetails_UEM!$A$3:$AH$1849,6,FALSE)</f>
        <v>Electrosurgical Units, Monopolar/Bipolar</v>
      </c>
      <c r="ALO102" s="528" t="s">
        <v>213</v>
      </c>
      <c r="ALP102" s="529" t="str">
        <f>VLOOKUP(ALO102,[14]AssetDetails_UEM!$A$3:$AH$1849,6,FALSE)</f>
        <v>Electrosurgical Units, Monopolar/Bipolar</v>
      </c>
      <c r="ALQ102" s="528" t="s">
        <v>213</v>
      </c>
      <c r="ALR102" s="529" t="str">
        <f>VLOOKUP(ALQ102,[14]AssetDetails_UEM!$A$3:$AH$1849,6,FALSE)</f>
        <v>Electrosurgical Units, Monopolar/Bipolar</v>
      </c>
      <c r="ALS102" s="528" t="s">
        <v>213</v>
      </c>
      <c r="ALT102" s="529" t="str">
        <f>VLOOKUP(ALS102,[14]AssetDetails_UEM!$A$3:$AH$1849,6,FALSE)</f>
        <v>Electrosurgical Units, Monopolar/Bipolar</v>
      </c>
      <c r="ALU102" s="528" t="s">
        <v>213</v>
      </c>
      <c r="ALV102" s="529" t="str">
        <f>VLOOKUP(ALU102,[14]AssetDetails_UEM!$A$3:$AH$1849,6,FALSE)</f>
        <v>Electrosurgical Units, Monopolar/Bipolar</v>
      </c>
      <c r="ALW102" s="528" t="s">
        <v>213</v>
      </c>
      <c r="ALX102" s="529" t="str">
        <f>VLOOKUP(ALW102,[14]AssetDetails_UEM!$A$3:$AH$1849,6,FALSE)</f>
        <v>Electrosurgical Units, Monopolar/Bipolar</v>
      </c>
      <c r="ALY102" s="528" t="s">
        <v>213</v>
      </c>
      <c r="ALZ102" s="529" t="str">
        <f>VLOOKUP(ALY102,[14]AssetDetails_UEM!$A$3:$AH$1849,6,FALSE)</f>
        <v>Electrosurgical Units, Monopolar/Bipolar</v>
      </c>
      <c r="AMA102" s="528" t="s">
        <v>213</v>
      </c>
      <c r="AMB102" s="529" t="str">
        <f>VLOOKUP(AMA102,[14]AssetDetails_UEM!$A$3:$AH$1849,6,FALSE)</f>
        <v>Electrosurgical Units, Monopolar/Bipolar</v>
      </c>
      <c r="AMC102" s="528" t="s">
        <v>213</v>
      </c>
      <c r="AMD102" s="529" t="str">
        <f>VLOOKUP(AMC102,[14]AssetDetails_UEM!$A$3:$AH$1849,6,FALSE)</f>
        <v>Electrosurgical Units, Monopolar/Bipolar</v>
      </c>
      <c r="AME102" s="528" t="s">
        <v>213</v>
      </c>
      <c r="AMF102" s="529" t="str">
        <f>VLOOKUP(AME102,[14]AssetDetails_UEM!$A$3:$AH$1849,6,FALSE)</f>
        <v>Electrosurgical Units, Monopolar/Bipolar</v>
      </c>
      <c r="AMG102" s="528" t="s">
        <v>213</v>
      </c>
      <c r="AMH102" s="529" t="str">
        <f>VLOOKUP(AMG102,[14]AssetDetails_UEM!$A$3:$AH$1849,6,FALSE)</f>
        <v>Electrosurgical Units, Monopolar/Bipolar</v>
      </c>
      <c r="AMI102" s="528" t="s">
        <v>213</v>
      </c>
      <c r="AMJ102" s="529" t="str">
        <f>VLOOKUP(AMI102,[14]AssetDetails_UEM!$A$3:$AH$1849,6,FALSE)</f>
        <v>Electrosurgical Units, Monopolar/Bipolar</v>
      </c>
      <c r="AMK102" s="528" t="s">
        <v>213</v>
      </c>
      <c r="AML102" s="529" t="str">
        <f>VLOOKUP(AMK102,[14]AssetDetails_UEM!$A$3:$AH$1849,6,FALSE)</f>
        <v>Electrosurgical Units, Monopolar/Bipolar</v>
      </c>
      <c r="AMM102" s="528" t="s">
        <v>213</v>
      </c>
      <c r="AMN102" s="529" t="str">
        <f>VLOOKUP(AMM102,[14]AssetDetails_UEM!$A$3:$AH$1849,6,FALSE)</f>
        <v>Electrosurgical Units, Monopolar/Bipolar</v>
      </c>
      <c r="AMO102" s="528" t="s">
        <v>213</v>
      </c>
      <c r="AMP102" s="529" t="str">
        <f>VLOOKUP(AMO102,[14]AssetDetails_UEM!$A$3:$AH$1849,6,FALSE)</f>
        <v>Electrosurgical Units, Monopolar/Bipolar</v>
      </c>
      <c r="AMQ102" s="528" t="s">
        <v>213</v>
      </c>
      <c r="AMR102" s="529" t="str">
        <f>VLOOKUP(AMQ102,[14]AssetDetails_UEM!$A$3:$AH$1849,6,FALSE)</f>
        <v>Electrosurgical Units, Monopolar/Bipolar</v>
      </c>
      <c r="AMS102" s="528" t="s">
        <v>213</v>
      </c>
      <c r="AMT102" s="529" t="str">
        <f>VLOOKUP(AMS102,[14]AssetDetails_UEM!$A$3:$AH$1849,6,FALSE)</f>
        <v>Electrosurgical Units, Monopolar/Bipolar</v>
      </c>
      <c r="AMU102" s="528" t="s">
        <v>213</v>
      </c>
      <c r="AMV102" s="529" t="str">
        <f>VLOOKUP(AMU102,[14]AssetDetails_UEM!$A$3:$AH$1849,6,FALSE)</f>
        <v>Electrosurgical Units, Monopolar/Bipolar</v>
      </c>
      <c r="AMW102" s="528" t="s">
        <v>213</v>
      </c>
      <c r="AMX102" s="529" t="str">
        <f>VLOOKUP(AMW102,[14]AssetDetails_UEM!$A$3:$AH$1849,6,FALSE)</f>
        <v>Electrosurgical Units, Monopolar/Bipolar</v>
      </c>
      <c r="AMY102" s="528" t="s">
        <v>213</v>
      </c>
      <c r="AMZ102" s="529" t="str">
        <f>VLOOKUP(AMY102,[14]AssetDetails_UEM!$A$3:$AH$1849,6,FALSE)</f>
        <v>Electrosurgical Units, Monopolar/Bipolar</v>
      </c>
      <c r="ANA102" s="528" t="s">
        <v>213</v>
      </c>
      <c r="ANB102" s="529" t="str">
        <f>VLOOKUP(ANA102,[14]AssetDetails_UEM!$A$3:$AH$1849,6,FALSE)</f>
        <v>Electrosurgical Units, Monopolar/Bipolar</v>
      </c>
      <c r="ANC102" s="528" t="s">
        <v>213</v>
      </c>
      <c r="AND102" s="529" t="str">
        <f>VLOOKUP(ANC102,[14]AssetDetails_UEM!$A$3:$AH$1849,6,FALSE)</f>
        <v>Electrosurgical Units, Monopolar/Bipolar</v>
      </c>
      <c r="ANE102" s="528" t="s">
        <v>213</v>
      </c>
      <c r="ANF102" s="529" t="str">
        <f>VLOOKUP(ANE102,[14]AssetDetails_UEM!$A$3:$AH$1849,6,FALSE)</f>
        <v>Electrosurgical Units, Monopolar/Bipolar</v>
      </c>
      <c r="ANG102" s="528" t="s">
        <v>213</v>
      </c>
      <c r="ANH102" s="529" t="str">
        <f>VLOOKUP(ANG102,[14]AssetDetails_UEM!$A$3:$AH$1849,6,FALSE)</f>
        <v>Electrosurgical Units, Monopolar/Bipolar</v>
      </c>
      <c r="ANI102" s="528" t="s">
        <v>213</v>
      </c>
      <c r="ANJ102" s="529" t="str">
        <f>VLOOKUP(ANI102,[14]AssetDetails_UEM!$A$3:$AH$1849,6,FALSE)</f>
        <v>Electrosurgical Units, Monopolar/Bipolar</v>
      </c>
      <c r="ANK102" s="528" t="s">
        <v>213</v>
      </c>
      <c r="ANL102" s="529" t="str">
        <f>VLOOKUP(ANK102,[14]AssetDetails_UEM!$A$3:$AH$1849,6,FALSE)</f>
        <v>Electrosurgical Units, Monopolar/Bipolar</v>
      </c>
      <c r="ANM102" s="528" t="s">
        <v>213</v>
      </c>
      <c r="ANN102" s="529" t="str">
        <f>VLOOKUP(ANM102,[14]AssetDetails_UEM!$A$3:$AH$1849,6,FALSE)</f>
        <v>Electrosurgical Units, Monopolar/Bipolar</v>
      </c>
      <c r="ANO102" s="528" t="s">
        <v>213</v>
      </c>
      <c r="ANP102" s="529" t="str">
        <f>VLOOKUP(ANO102,[14]AssetDetails_UEM!$A$3:$AH$1849,6,FALSE)</f>
        <v>Electrosurgical Units, Monopolar/Bipolar</v>
      </c>
      <c r="ANQ102" s="528" t="s">
        <v>213</v>
      </c>
      <c r="ANR102" s="529" t="str">
        <f>VLOOKUP(ANQ102,[14]AssetDetails_UEM!$A$3:$AH$1849,6,FALSE)</f>
        <v>Electrosurgical Units, Monopolar/Bipolar</v>
      </c>
      <c r="ANS102" s="528" t="s">
        <v>213</v>
      </c>
      <c r="ANT102" s="529" t="str">
        <f>VLOOKUP(ANS102,[14]AssetDetails_UEM!$A$3:$AH$1849,6,FALSE)</f>
        <v>Electrosurgical Units, Monopolar/Bipolar</v>
      </c>
      <c r="ANU102" s="528" t="s">
        <v>213</v>
      </c>
      <c r="ANV102" s="529" t="str">
        <f>VLOOKUP(ANU102,[14]AssetDetails_UEM!$A$3:$AH$1849,6,FALSE)</f>
        <v>Electrosurgical Units, Monopolar/Bipolar</v>
      </c>
      <c r="ANW102" s="528" t="s">
        <v>213</v>
      </c>
      <c r="ANX102" s="529" t="str">
        <f>VLOOKUP(ANW102,[14]AssetDetails_UEM!$A$3:$AH$1849,6,FALSE)</f>
        <v>Electrosurgical Units, Monopolar/Bipolar</v>
      </c>
      <c r="ANY102" s="528" t="s">
        <v>213</v>
      </c>
      <c r="ANZ102" s="529" t="str">
        <f>VLOOKUP(ANY102,[14]AssetDetails_UEM!$A$3:$AH$1849,6,FALSE)</f>
        <v>Electrosurgical Units, Monopolar/Bipolar</v>
      </c>
      <c r="AOA102" s="528" t="s">
        <v>213</v>
      </c>
      <c r="AOB102" s="529" t="str">
        <f>VLOOKUP(AOA102,[14]AssetDetails_UEM!$A$3:$AH$1849,6,FALSE)</f>
        <v>Electrosurgical Units, Monopolar/Bipolar</v>
      </c>
      <c r="AOC102" s="528" t="s">
        <v>213</v>
      </c>
      <c r="AOD102" s="529" t="str">
        <f>VLOOKUP(AOC102,[14]AssetDetails_UEM!$A$3:$AH$1849,6,FALSE)</f>
        <v>Electrosurgical Units, Monopolar/Bipolar</v>
      </c>
      <c r="AOE102" s="528" t="s">
        <v>213</v>
      </c>
      <c r="AOF102" s="529" t="str">
        <f>VLOOKUP(AOE102,[14]AssetDetails_UEM!$A$3:$AH$1849,6,FALSE)</f>
        <v>Electrosurgical Units, Monopolar/Bipolar</v>
      </c>
      <c r="AOG102" s="528" t="s">
        <v>213</v>
      </c>
      <c r="AOH102" s="529" t="str">
        <f>VLOOKUP(AOG102,[14]AssetDetails_UEM!$A$3:$AH$1849,6,FALSE)</f>
        <v>Electrosurgical Units, Monopolar/Bipolar</v>
      </c>
      <c r="AOI102" s="528" t="s">
        <v>213</v>
      </c>
      <c r="AOJ102" s="529" t="str">
        <f>VLOOKUP(AOI102,[14]AssetDetails_UEM!$A$3:$AH$1849,6,FALSE)</f>
        <v>Electrosurgical Units, Monopolar/Bipolar</v>
      </c>
      <c r="AOK102" s="528" t="s">
        <v>213</v>
      </c>
      <c r="AOL102" s="529" t="str">
        <f>VLOOKUP(AOK102,[14]AssetDetails_UEM!$A$3:$AH$1849,6,FALSE)</f>
        <v>Electrosurgical Units, Monopolar/Bipolar</v>
      </c>
      <c r="AOM102" s="528" t="s">
        <v>213</v>
      </c>
      <c r="AON102" s="529" t="str">
        <f>VLOOKUP(AOM102,[14]AssetDetails_UEM!$A$3:$AH$1849,6,FALSE)</f>
        <v>Electrosurgical Units, Monopolar/Bipolar</v>
      </c>
      <c r="AOO102" s="528" t="s">
        <v>213</v>
      </c>
      <c r="AOP102" s="529" t="str">
        <f>VLOOKUP(AOO102,[14]AssetDetails_UEM!$A$3:$AH$1849,6,FALSE)</f>
        <v>Electrosurgical Units, Monopolar/Bipolar</v>
      </c>
      <c r="AOQ102" s="528" t="s">
        <v>213</v>
      </c>
      <c r="AOR102" s="529" t="str">
        <f>VLOOKUP(AOQ102,[14]AssetDetails_UEM!$A$3:$AH$1849,6,FALSE)</f>
        <v>Electrosurgical Units, Monopolar/Bipolar</v>
      </c>
      <c r="AOS102" s="528" t="s">
        <v>213</v>
      </c>
      <c r="AOT102" s="529" t="str">
        <f>VLOOKUP(AOS102,[14]AssetDetails_UEM!$A$3:$AH$1849,6,FALSE)</f>
        <v>Electrosurgical Units, Monopolar/Bipolar</v>
      </c>
      <c r="AOU102" s="528" t="s">
        <v>213</v>
      </c>
      <c r="AOV102" s="529" t="str">
        <f>VLOOKUP(AOU102,[14]AssetDetails_UEM!$A$3:$AH$1849,6,FALSE)</f>
        <v>Electrosurgical Units, Monopolar/Bipolar</v>
      </c>
      <c r="AOW102" s="528" t="s">
        <v>213</v>
      </c>
      <c r="AOX102" s="529" t="str">
        <f>VLOOKUP(AOW102,[14]AssetDetails_UEM!$A$3:$AH$1849,6,FALSE)</f>
        <v>Electrosurgical Units, Monopolar/Bipolar</v>
      </c>
      <c r="AOY102" s="528" t="s">
        <v>213</v>
      </c>
      <c r="AOZ102" s="529" t="str">
        <f>VLOOKUP(AOY102,[14]AssetDetails_UEM!$A$3:$AH$1849,6,FALSE)</f>
        <v>Electrosurgical Units, Monopolar/Bipolar</v>
      </c>
      <c r="APA102" s="528" t="s">
        <v>213</v>
      </c>
      <c r="APB102" s="529" t="str">
        <f>VLOOKUP(APA102,[14]AssetDetails_UEM!$A$3:$AH$1849,6,FALSE)</f>
        <v>Electrosurgical Units, Monopolar/Bipolar</v>
      </c>
      <c r="APC102" s="528" t="s">
        <v>213</v>
      </c>
      <c r="APD102" s="529" t="str">
        <f>VLOOKUP(APC102,[14]AssetDetails_UEM!$A$3:$AH$1849,6,FALSE)</f>
        <v>Electrosurgical Units, Monopolar/Bipolar</v>
      </c>
      <c r="APE102" s="528" t="s">
        <v>213</v>
      </c>
      <c r="APF102" s="529" t="str">
        <f>VLOOKUP(APE102,[14]AssetDetails_UEM!$A$3:$AH$1849,6,FALSE)</f>
        <v>Electrosurgical Units, Monopolar/Bipolar</v>
      </c>
      <c r="APG102" s="528" t="s">
        <v>213</v>
      </c>
      <c r="APH102" s="529" t="str">
        <f>VLOOKUP(APG102,[14]AssetDetails_UEM!$A$3:$AH$1849,6,FALSE)</f>
        <v>Electrosurgical Units, Monopolar/Bipolar</v>
      </c>
      <c r="API102" s="528" t="s">
        <v>213</v>
      </c>
      <c r="APJ102" s="529" t="str">
        <f>VLOOKUP(API102,[14]AssetDetails_UEM!$A$3:$AH$1849,6,FALSE)</f>
        <v>Electrosurgical Units, Monopolar/Bipolar</v>
      </c>
      <c r="APK102" s="528" t="s">
        <v>213</v>
      </c>
      <c r="APL102" s="529" t="str">
        <f>VLOOKUP(APK102,[14]AssetDetails_UEM!$A$3:$AH$1849,6,FALSE)</f>
        <v>Electrosurgical Units, Monopolar/Bipolar</v>
      </c>
      <c r="APM102" s="528" t="s">
        <v>213</v>
      </c>
      <c r="APN102" s="529" t="str">
        <f>VLOOKUP(APM102,[14]AssetDetails_UEM!$A$3:$AH$1849,6,FALSE)</f>
        <v>Electrosurgical Units, Monopolar/Bipolar</v>
      </c>
      <c r="APO102" s="528" t="s">
        <v>213</v>
      </c>
      <c r="APP102" s="529" t="str">
        <f>VLOOKUP(APO102,[14]AssetDetails_UEM!$A$3:$AH$1849,6,FALSE)</f>
        <v>Electrosurgical Units, Monopolar/Bipolar</v>
      </c>
      <c r="APQ102" s="528" t="s">
        <v>213</v>
      </c>
      <c r="APR102" s="529" t="str">
        <f>VLOOKUP(APQ102,[14]AssetDetails_UEM!$A$3:$AH$1849,6,FALSE)</f>
        <v>Electrosurgical Units, Monopolar/Bipolar</v>
      </c>
      <c r="APS102" s="528" t="s">
        <v>213</v>
      </c>
      <c r="APT102" s="529" t="str">
        <f>VLOOKUP(APS102,[14]AssetDetails_UEM!$A$3:$AH$1849,6,FALSE)</f>
        <v>Electrosurgical Units, Monopolar/Bipolar</v>
      </c>
      <c r="APU102" s="528" t="s">
        <v>213</v>
      </c>
      <c r="APV102" s="529" t="str">
        <f>VLOOKUP(APU102,[14]AssetDetails_UEM!$A$3:$AH$1849,6,FALSE)</f>
        <v>Electrosurgical Units, Monopolar/Bipolar</v>
      </c>
      <c r="APW102" s="528" t="s">
        <v>213</v>
      </c>
      <c r="APX102" s="529" t="str">
        <f>VLOOKUP(APW102,[14]AssetDetails_UEM!$A$3:$AH$1849,6,FALSE)</f>
        <v>Electrosurgical Units, Monopolar/Bipolar</v>
      </c>
      <c r="APY102" s="528" t="s">
        <v>213</v>
      </c>
      <c r="APZ102" s="529" t="str">
        <f>VLOOKUP(APY102,[14]AssetDetails_UEM!$A$3:$AH$1849,6,FALSE)</f>
        <v>Electrosurgical Units, Monopolar/Bipolar</v>
      </c>
      <c r="AQA102" s="528" t="s">
        <v>213</v>
      </c>
      <c r="AQB102" s="529" t="str">
        <f>VLOOKUP(AQA102,[14]AssetDetails_UEM!$A$3:$AH$1849,6,FALSE)</f>
        <v>Electrosurgical Units, Monopolar/Bipolar</v>
      </c>
      <c r="AQC102" s="528" t="s">
        <v>213</v>
      </c>
      <c r="AQD102" s="529" t="str">
        <f>VLOOKUP(AQC102,[14]AssetDetails_UEM!$A$3:$AH$1849,6,FALSE)</f>
        <v>Electrosurgical Units, Monopolar/Bipolar</v>
      </c>
      <c r="AQE102" s="528" t="s">
        <v>213</v>
      </c>
      <c r="AQF102" s="529" t="str">
        <f>VLOOKUP(AQE102,[14]AssetDetails_UEM!$A$3:$AH$1849,6,FALSE)</f>
        <v>Electrosurgical Units, Monopolar/Bipolar</v>
      </c>
      <c r="AQG102" s="528" t="s">
        <v>213</v>
      </c>
      <c r="AQH102" s="529" t="str">
        <f>VLOOKUP(AQG102,[14]AssetDetails_UEM!$A$3:$AH$1849,6,FALSE)</f>
        <v>Electrosurgical Units, Monopolar/Bipolar</v>
      </c>
      <c r="AQI102" s="528" t="s">
        <v>213</v>
      </c>
      <c r="AQJ102" s="529" t="str">
        <f>VLOOKUP(AQI102,[14]AssetDetails_UEM!$A$3:$AH$1849,6,FALSE)</f>
        <v>Electrosurgical Units, Monopolar/Bipolar</v>
      </c>
      <c r="AQK102" s="528" t="s">
        <v>213</v>
      </c>
      <c r="AQL102" s="529" t="str">
        <f>VLOOKUP(AQK102,[14]AssetDetails_UEM!$A$3:$AH$1849,6,FALSE)</f>
        <v>Electrosurgical Units, Monopolar/Bipolar</v>
      </c>
      <c r="AQM102" s="528" t="s">
        <v>213</v>
      </c>
      <c r="AQN102" s="529" t="str">
        <f>VLOOKUP(AQM102,[14]AssetDetails_UEM!$A$3:$AH$1849,6,FALSE)</f>
        <v>Electrosurgical Units, Monopolar/Bipolar</v>
      </c>
      <c r="AQO102" s="528" t="s">
        <v>213</v>
      </c>
      <c r="AQP102" s="529" t="str">
        <f>VLOOKUP(AQO102,[14]AssetDetails_UEM!$A$3:$AH$1849,6,FALSE)</f>
        <v>Electrosurgical Units, Monopolar/Bipolar</v>
      </c>
      <c r="AQQ102" s="528" t="s">
        <v>213</v>
      </c>
      <c r="AQR102" s="529" t="str">
        <f>VLOOKUP(AQQ102,[14]AssetDetails_UEM!$A$3:$AH$1849,6,FALSE)</f>
        <v>Electrosurgical Units, Monopolar/Bipolar</v>
      </c>
      <c r="AQS102" s="528" t="s">
        <v>213</v>
      </c>
      <c r="AQT102" s="529" t="str">
        <f>VLOOKUP(AQS102,[14]AssetDetails_UEM!$A$3:$AH$1849,6,FALSE)</f>
        <v>Electrosurgical Units, Monopolar/Bipolar</v>
      </c>
      <c r="AQU102" s="528" t="s">
        <v>213</v>
      </c>
      <c r="AQV102" s="529" t="str">
        <f>VLOOKUP(AQU102,[14]AssetDetails_UEM!$A$3:$AH$1849,6,FALSE)</f>
        <v>Electrosurgical Units, Monopolar/Bipolar</v>
      </c>
      <c r="AQW102" s="528" t="s">
        <v>213</v>
      </c>
      <c r="AQX102" s="529" t="str">
        <f>VLOOKUP(AQW102,[14]AssetDetails_UEM!$A$3:$AH$1849,6,FALSE)</f>
        <v>Electrosurgical Units, Monopolar/Bipolar</v>
      </c>
      <c r="AQY102" s="528" t="s">
        <v>213</v>
      </c>
      <c r="AQZ102" s="529" t="str">
        <f>VLOOKUP(AQY102,[14]AssetDetails_UEM!$A$3:$AH$1849,6,FALSE)</f>
        <v>Electrosurgical Units, Monopolar/Bipolar</v>
      </c>
      <c r="ARA102" s="528" t="s">
        <v>213</v>
      </c>
      <c r="ARB102" s="529" t="str">
        <f>VLOOKUP(ARA102,[14]AssetDetails_UEM!$A$3:$AH$1849,6,FALSE)</f>
        <v>Electrosurgical Units, Monopolar/Bipolar</v>
      </c>
      <c r="ARC102" s="528" t="s">
        <v>213</v>
      </c>
      <c r="ARD102" s="529" t="str">
        <f>VLOOKUP(ARC102,[14]AssetDetails_UEM!$A$3:$AH$1849,6,FALSE)</f>
        <v>Electrosurgical Units, Monopolar/Bipolar</v>
      </c>
      <c r="ARE102" s="528" t="s">
        <v>213</v>
      </c>
      <c r="ARF102" s="529" t="str">
        <f>VLOOKUP(ARE102,[14]AssetDetails_UEM!$A$3:$AH$1849,6,FALSE)</f>
        <v>Electrosurgical Units, Monopolar/Bipolar</v>
      </c>
      <c r="ARG102" s="528" t="s">
        <v>213</v>
      </c>
      <c r="ARH102" s="529" t="str">
        <f>VLOOKUP(ARG102,[14]AssetDetails_UEM!$A$3:$AH$1849,6,FALSE)</f>
        <v>Electrosurgical Units, Monopolar/Bipolar</v>
      </c>
      <c r="ARI102" s="528" t="s">
        <v>213</v>
      </c>
      <c r="ARJ102" s="529" t="str">
        <f>VLOOKUP(ARI102,[14]AssetDetails_UEM!$A$3:$AH$1849,6,FALSE)</f>
        <v>Electrosurgical Units, Monopolar/Bipolar</v>
      </c>
      <c r="ARK102" s="528" t="s">
        <v>213</v>
      </c>
      <c r="ARL102" s="529" t="str">
        <f>VLOOKUP(ARK102,[14]AssetDetails_UEM!$A$3:$AH$1849,6,FALSE)</f>
        <v>Electrosurgical Units, Monopolar/Bipolar</v>
      </c>
      <c r="ARM102" s="528" t="s">
        <v>213</v>
      </c>
      <c r="ARN102" s="529" t="str">
        <f>VLOOKUP(ARM102,[14]AssetDetails_UEM!$A$3:$AH$1849,6,FALSE)</f>
        <v>Electrosurgical Units, Monopolar/Bipolar</v>
      </c>
      <c r="ARO102" s="528" t="s">
        <v>213</v>
      </c>
      <c r="ARP102" s="529" t="str">
        <f>VLOOKUP(ARO102,[14]AssetDetails_UEM!$A$3:$AH$1849,6,FALSE)</f>
        <v>Electrosurgical Units, Monopolar/Bipolar</v>
      </c>
      <c r="ARQ102" s="528" t="s">
        <v>213</v>
      </c>
      <c r="ARR102" s="529" t="str">
        <f>VLOOKUP(ARQ102,[14]AssetDetails_UEM!$A$3:$AH$1849,6,FALSE)</f>
        <v>Electrosurgical Units, Monopolar/Bipolar</v>
      </c>
      <c r="ARS102" s="528" t="s">
        <v>213</v>
      </c>
      <c r="ART102" s="529" t="str">
        <f>VLOOKUP(ARS102,[14]AssetDetails_UEM!$A$3:$AH$1849,6,FALSE)</f>
        <v>Electrosurgical Units, Monopolar/Bipolar</v>
      </c>
      <c r="ARU102" s="528" t="s">
        <v>213</v>
      </c>
      <c r="ARV102" s="529" t="str">
        <f>VLOOKUP(ARU102,[14]AssetDetails_UEM!$A$3:$AH$1849,6,FALSE)</f>
        <v>Electrosurgical Units, Monopolar/Bipolar</v>
      </c>
      <c r="ARW102" s="528" t="s">
        <v>213</v>
      </c>
      <c r="ARX102" s="529" t="str">
        <f>VLOOKUP(ARW102,[14]AssetDetails_UEM!$A$3:$AH$1849,6,FALSE)</f>
        <v>Electrosurgical Units, Monopolar/Bipolar</v>
      </c>
      <c r="ARY102" s="528" t="s">
        <v>213</v>
      </c>
      <c r="ARZ102" s="529" t="str">
        <f>VLOOKUP(ARY102,[14]AssetDetails_UEM!$A$3:$AH$1849,6,FALSE)</f>
        <v>Electrosurgical Units, Monopolar/Bipolar</v>
      </c>
      <c r="ASA102" s="528" t="s">
        <v>213</v>
      </c>
      <c r="ASB102" s="529" t="str">
        <f>VLOOKUP(ASA102,[14]AssetDetails_UEM!$A$3:$AH$1849,6,FALSE)</f>
        <v>Electrosurgical Units, Monopolar/Bipolar</v>
      </c>
      <c r="ASC102" s="528" t="s">
        <v>213</v>
      </c>
      <c r="ASD102" s="529" t="str">
        <f>VLOOKUP(ASC102,[14]AssetDetails_UEM!$A$3:$AH$1849,6,FALSE)</f>
        <v>Electrosurgical Units, Monopolar/Bipolar</v>
      </c>
      <c r="ASE102" s="528" t="s">
        <v>213</v>
      </c>
      <c r="ASF102" s="529" t="str">
        <f>VLOOKUP(ASE102,[14]AssetDetails_UEM!$A$3:$AH$1849,6,FALSE)</f>
        <v>Electrosurgical Units, Monopolar/Bipolar</v>
      </c>
      <c r="ASG102" s="528" t="s">
        <v>213</v>
      </c>
      <c r="ASH102" s="529" t="str">
        <f>VLOOKUP(ASG102,[14]AssetDetails_UEM!$A$3:$AH$1849,6,FALSE)</f>
        <v>Electrosurgical Units, Monopolar/Bipolar</v>
      </c>
      <c r="ASI102" s="528" t="s">
        <v>213</v>
      </c>
      <c r="ASJ102" s="529" t="str">
        <f>VLOOKUP(ASI102,[14]AssetDetails_UEM!$A$3:$AH$1849,6,FALSE)</f>
        <v>Electrosurgical Units, Monopolar/Bipolar</v>
      </c>
      <c r="ASK102" s="528" t="s">
        <v>213</v>
      </c>
      <c r="ASL102" s="529" t="str">
        <f>VLOOKUP(ASK102,[14]AssetDetails_UEM!$A$3:$AH$1849,6,FALSE)</f>
        <v>Electrosurgical Units, Monopolar/Bipolar</v>
      </c>
      <c r="ASM102" s="528" t="s">
        <v>213</v>
      </c>
      <c r="ASN102" s="529" t="str">
        <f>VLOOKUP(ASM102,[14]AssetDetails_UEM!$A$3:$AH$1849,6,FALSE)</f>
        <v>Electrosurgical Units, Monopolar/Bipolar</v>
      </c>
      <c r="ASO102" s="528" t="s">
        <v>213</v>
      </c>
      <c r="ASP102" s="529" t="str">
        <f>VLOOKUP(ASO102,[14]AssetDetails_UEM!$A$3:$AH$1849,6,FALSE)</f>
        <v>Electrosurgical Units, Monopolar/Bipolar</v>
      </c>
      <c r="ASQ102" s="528" t="s">
        <v>213</v>
      </c>
      <c r="ASR102" s="529" t="str">
        <f>VLOOKUP(ASQ102,[14]AssetDetails_UEM!$A$3:$AH$1849,6,FALSE)</f>
        <v>Electrosurgical Units, Monopolar/Bipolar</v>
      </c>
      <c r="ASS102" s="528" t="s">
        <v>213</v>
      </c>
      <c r="AST102" s="529" t="str">
        <f>VLOOKUP(ASS102,[14]AssetDetails_UEM!$A$3:$AH$1849,6,FALSE)</f>
        <v>Electrosurgical Units, Monopolar/Bipolar</v>
      </c>
      <c r="ASU102" s="528" t="s">
        <v>213</v>
      </c>
      <c r="ASV102" s="529" t="str">
        <f>VLOOKUP(ASU102,[14]AssetDetails_UEM!$A$3:$AH$1849,6,FALSE)</f>
        <v>Electrosurgical Units, Monopolar/Bipolar</v>
      </c>
      <c r="ASW102" s="528" t="s">
        <v>213</v>
      </c>
      <c r="ASX102" s="529" t="str">
        <f>VLOOKUP(ASW102,[14]AssetDetails_UEM!$A$3:$AH$1849,6,FALSE)</f>
        <v>Electrosurgical Units, Monopolar/Bipolar</v>
      </c>
      <c r="ASY102" s="528" t="s">
        <v>213</v>
      </c>
      <c r="ASZ102" s="529" t="str">
        <f>VLOOKUP(ASY102,[14]AssetDetails_UEM!$A$3:$AH$1849,6,FALSE)</f>
        <v>Electrosurgical Units, Monopolar/Bipolar</v>
      </c>
      <c r="ATA102" s="528" t="s">
        <v>213</v>
      </c>
      <c r="ATB102" s="529" t="str">
        <f>VLOOKUP(ATA102,[14]AssetDetails_UEM!$A$3:$AH$1849,6,FALSE)</f>
        <v>Electrosurgical Units, Monopolar/Bipolar</v>
      </c>
      <c r="ATC102" s="528" t="s">
        <v>213</v>
      </c>
      <c r="ATD102" s="529" t="str">
        <f>VLOOKUP(ATC102,[14]AssetDetails_UEM!$A$3:$AH$1849,6,FALSE)</f>
        <v>Electrosurgical Units, Monopolar/Bipolar</v>
      </c>
      <c r="ATE102" s="528" t="s">
        <v>213</v>
      </c>
      <c r="ATF102" s="529" t="str">
        <f>VLOOKUP(ATE102,[14]AssetDetails_UEM!$A$3:$AH$1849,6,FALSE)</f>
        <v>Electrosurgical Units, Monopolar/Bipolar</v>
      </c>
      <c r="ATG102" s="528" t="s">
        <v>213</v>
      </c>
      <c r="ATH102" s="529" t="str">
        <f>VLOOKUP(ATG102,[14]AssetDetails_UEM!$A$3:$AH$1849,6,FALSE)</f>
        <v>Electrosurgical Units, Monopolar/Bipolar</v>
      </c>
      <c r="ATI102" s="528" t="s">
        <v>213</v>
      </c>
      <c r="ATJ102" s="529" t="str">
        <f>VLOOKUP(ATI102,[14]AssetDetails_UEM!$A$3:$AH$1849,6,FALSE)</f>
        <v>Electrosurgical Units, Monopolar/Bipolar</v>
      </c>
      <c r="ATK102" s="528" t="s">
        <v>213</v>
      </c>
      <c r="ATL102" s="529" t="str">
        <f>VLOOKUP(ATK102,[14]AssetDetails_UEM!$A$3:$AH$1849,6,FALSE)</f>
        <v>Electrosurgical Units, Monopolar/Bipolar</v>
      </c>
      <c r="ATM102" s="528" t="s">
        <v>213</v>
      </c>
      <c r="ATN102" s="529" t="str">
        <f>VLOOKUP(ATM102,[14]AssetDetails_UEM!$A$3:$AH$1849,6,FALSE)</f>
        <v>Electrosurgical Units, Monopolar/Bipolar</v>
      </c>
      <c r="ATO102" s="528" t="s">
        <v>213</v>
      </c>
      <c r="ATP102" s="529" t="str">
        <f>VLOOKUP(ATO102,[14]AssetDetails_UEM!$A$3:$AH$1849,6,FALSE)</f>
        <v>Electrosurgical Units, Monopolar/Bipolar</v>
      </c>
      <c r="ATQ102" s="528" t="s">
        <v>213</v>
      </c>
      <c r="ATR102" s="529" t="str">
        <f>VLOOKUP(ATQ102,[14]AssetDetails_UEM!$A$3:$AH$1849,6,FALSE)</f>
        <v>Electrosurgical Units, Monopolar/Bipolar</v>
      </c>
      <c r="ATS102" s="528" t="s">
        <v>213</v>
      </c>
      <c r="ATT102" s="529" t="str">
        <f>VLOOKUP(ATS102,[14]AssetDetails_UEM!$A$3:$AH$1849,6,FALSE)</f>
        <v>Electrosurgical Units, Monopolar/Bipolar</v>
      </c>
      <c r="ATU102" s="528" t="s">
        <v>213</v>
      </c>
      <c r="ATV102" s="529" t="str">
        <f>VLOOKUP(ATU102,[14]AssetDetails_UEM!$A$3:$AH$1849,6,FALSE)</f>
        <v>Electrosurgical Units, Monopolar/Bipolar</v>
      </c>
      <c r="ATW102" s="528" t="s">
        <v>213</v>
      </c>
      <c r="ATX102" s="529" t="str">
        <f>VLOOKUP(ATW102,[14]AssetDetails_UEM!$A$3:$AH$1849,6,FALSE)</f>
        <v>Electrosurgical Units, Monopolar/Bipolar</v>
      </c>
      <c r="ATY102" s="528" t="s">
        <v>213</v>
      </c>
      <c r="ATZ102" s="529" t="str">
        <f>VLOOKUP(ATY102,[14]AssetDetails_UEM!$A$3:$AH$1849,6,FALSE)</f>
        <v>Electrosurgical Units, Monopolar/Bipolar</v>
      </c>
      <c r="AUA102" s="528" t="s">
        <v>213</v>
      </c>
      <c r="AUB102" s="529" t="str">
        <f>VLOOKUP(AUA102,[14]AssetDetails_UEM!$A$3:$AH$1849,6,FALSE)</f>
        <v>Electrosurgical Units, Monopolar/Bipolar</v>
      </c>
      <c r="AUC102" s="528" t="s">
        <v>213</v>
      </c>
      <c r="AUD102" s="529" t="str">
        <f>VLOOKUP(AUC102,[14]AssetDetails_UEM!$A$3:$AH$1849,6,FALSE)</f>
        <v>Electrosurgical Units, Monopolar/Bipolar</v>
      </c>
      <c r="AUE102" s="528" t="s">
        <v>213</v>
      </c>
      <c r="AUF102" s="529" t="str">
        <f>VLOOKUP(AUE102,[14]AssetDetails_UEM!$A$3:$AH$1849,6,FALSE)</f>
        <v>Electrosurgical Units, Monopolar/Bipolar</v>
      </c>
      <c r="AUG102" s="528" t="s">
        <v>213</v>
      </c>
      <c r="AUH102" s="529" t="str">
        <f>VLOOKUP(AUG102,[14]AssetDetails_UEM!$A$3:$AH$1849,6,FALSE)</f>
        <v>Electrosurgical Units, Monopolar/Bipolar</v>
      </c>
      <c r="AUI102" s="528" t="s">
        <v>213</v>
      </c>
      <c r="AUJ102" s="529" t="str">
        <f>VLOOKUP(AUI102,[14]AssetDetails_UEM!$A$3:$AH$1849,6,FALSE)</f>
        <v>Electrosurgical Units, Monopolar/Bipolar</v>
      </c>
      <c r="AUK102" s="528" t="s">
        <v>213</v>
      </c>
      <c r="AUL102" s="529" t="str">
        <f>VLOOKUP(AUK102,[14]AssetDetails_UEM!$A$3:$AH$1849,6,FALSE)</f>
        <v>Electrosurgical Units, Monopolar/Bipolar</v>
      </c>
      <c r="AUM102" s="528" t="s">
        <v>213</v>
      </c>
      <c r="AUN102" s="529" t="str">
        <f>VLOOKUP(AUM102,[14]AssetDetails_UEM!$A$3:$AH$1849,6,FALSE)</f>
        <v>Electrosurgical Units, Monopolar/Bipolar</v>
      </c>
      <c r="AUO102" s="528" t="s">
        <v>213</v>
      </c>
      <c r="AUP102" s="529" t="str">
        <f>VLOOKUP(AUO102,[14]AssetDetails_UEM!$A$3:$AH$1849,6,FALSE)</f>
        <v>Electrosurgical Units, Monopolar/Bipolar</v>
      </c>
      <c r="AUQ102" s="528" t="s">
        <v>213</v>
      </c>
      <c r="AUR102" s="529" t="str">
        <f>VLOOKUP(AUQ102,[14]AssetDetails_UEM!$A$3:$AH$1849,6,FALSE)</f>
        <v>Electrosurgical Units, Monopolar/Bipolar</v>
      </c>
      <c r="AUS102" s="528" t="s">
        <v>213</v>
      </c>
      <c r="AUT102" s="529" t="str">
        <f>VLOOKUP(AUS102,[14]AssetDetails_UEM!$A$3:$AH$1849,6,FALSE)</f>
        <v>Electrosurgical Units, Monopolar/Bipolar</v>
      </c>
      <c r="AUU102" s="528" t="s">
        <v>213</v>
      </c>
      <c r="AUV102" s="529" t="str">
        <f>VLOOKUP(AUU102,[14]AssetDetails_UEM!$A$3:$AH$1849,6,FALSE)</f>
        <v>Electrosurgical Units, Monopolar/Bipolar</v>
      </c>
      <c r="AUW102" s="528" t="s">
        <v>213</v>
      </c>
      <c r="AUX102" s="529" t="str">
        <f>VLOOKUP(AUW102,[14]AssetDetails_UEM!$A$3:$AH$1849,6,FALSE)</f>
        <v>Electrosurgical Units, Monopolar/Bipolar</v>
      </c>
      <c r="AUY102" s="528" t="s">
        <v>213</v>
      </c>
      <c r="AUZ102" s="529" t="str">
        <f>VLOOKUP(AUY102,[14]AssetDetails_UEM!$A$3:$AH$1849,6,FALSE)</f>
        <v>Electrosurgical Units, Monopolar/Bipolar</v>
      </c>
      <c r="AVA102" s="528" t="s">
        <v>213</v>
      </c>
      <c r="AVB102" s="529" t="str">
        <f>VLOOKUP(AVA102,[14]AssetDetails_UEM!$A$3:$AH$1849,6,FALSE)</f>
        <v>Electrosurgical Units, Monopolar/Bipolar</v>
      </c>
      <c r="AVC102" s="528" t="s">
        <v>213</v>
      </c>
      <c r="AVD102" s="529" t="str">
        <f>VLOOKUP(AVC102,[14]AssetDetails_UEM!$A$3:$AH$1849,6,FALSE)</f>
        <v>Electrosurgical Units, Monopolar/Bipolar</v>
      </c>
      <c r="AVE102" s="528" t="s">
        <v>213</v>
      </c>
      <c r="AVF102" s="529" t="str">
        <f>VLOOKUP(AVE102,[14]AssetDetails_UEM!$A$3:$AH$1849,6,FALSE)</f>
        <v>Electrosurgical Units, Monopolar/Bipolar</v>
      </c>
      <c r="AVG102" s="528" t="s">
        <v>213</v>
      </c>
      <c r="AVH102" s="529" t="str">
        <f>VLOOKUP(AVG102,[14]AssetDetails_UEM!$A$3:$AH$1849,6,FALSE)</f>
        <v>Electrosurgical Units, Monopolar/Bipolar</v>
      </c>
      <c r="AVI102" s="528" t="s">
        <v>213</v>
      </c>
      <c r="AVJ102" s="529" t="str">
        <f>VLOOKUP(AVI102,[14]AssetDetails_UEM!$A$3:$AH$1849,6,FALSE)</f>
        <v>Electrosurgical Units, Monopolar/Bipolar</v>
      </c>
      <c r="AVK102" s="528" t="s">
        <v>213</v>
      </c>
      <c r="AVL102" s="529" t="str">
        <f>VLOOKUP(AVK102,[14]AssetDetails_UEM!$A$3:$AH$1849,6,FALSE)</f>
        <v>Electrosurgical Units, Monopolar/Bipolar</v>
      </c>
      <c r="AVM102" s="528" t="s">
        <v>213</v>
      </c>
      <c r="AVN102" s="529" t="str">
        <f>VLOOKUP(AVM102,[14]AssetDetails_UEM!$A$3:$AH$1849,6,FALSE)</f>
        <v>Electrosurgical Units, Monopolar/Bipolar</v>
      </c>
      <c r="AVO102" s="528" t="s">
        <v>213</v>
      </c>
      <c r="AVP102" s="529" t="str">
        <f>VLOOKUP(AVO102,[14]AssetDetails_UEM!$A$3:$AH$1849,6,FALSE)</f>
        <v>Electrosurgical Units, Monopolar/Bipolar</v>
      </c>
      <c r="AVQ102" s="528" t="s">
        <v>213</v>
      </c>
      <c r="AVR102" s="529" t="str">
        <f>VLOOKUP(AVQ102,[14]AssetDetails_UEM!$A$3:$AH$1849,6,FALSE)</f>
        <v>Electrosurgical Units, Monopolar/Bipolar</v>
      </c>
      <c r="AVS102" s="528" t="s">
        <v>213</v>
      </c>
      <c r="AVT102" s="529" t="str">
        <f>VLOOKUP(AVS102,[14]AssetDetails_UEM!$A$3:$AH$1849,6,FALSE)</f>
        <v>Electrosurgical Units, Monopolar/Bipolar</v>
      </c>
      <c r="AVU102" s="528" t="s">
        <v>213</v>
      </c>
      <c r="AVV102" s="529" t="str">
        <f>VLOOKUP(AVU102,[14]AssetDetails_UEM!$A$3:$AH$1849,6,FALSE)</f>
        <v>Electrosurgical Units, Monopolar/Bipolar</v>
      </c>
      <c r="AVW102" s="528" t="s">
        <v>213</v>
      </c>
      <c r="AVX102" s="529" t="str">
        <f>VLOOKUP(AVW102,[14]AssetDetails_UEM!$A$3:$AH$1849,6,FALSE)</f>
        <v>Electrosurgical Units, Monopolar/Bipolar</v>
      </c>
      <c r="AVY102" s="528" t="s">
        <v>213</v>
      </c>
      <c r="AVZ102" s="529" t="str">
        <f>VLOOKUP(AVY102,[14]AssetDetails_UEM!$A$3:$AH$1849,6,FALSE)</f>
        <v>Electrosurgical Units, Monopolar/Bipolar</v>
      </c>
      <c r="AWA102" s="528" t="s">
        <v>213</v>
      </c>
      <c r="AWB102" s="529" t="str">
        <f>VLOOKUP(AWA102,[14]AssetDetails_UEM!$A$3:$AH$1849,6,FALSE)</f>
        <v>Electrosurgical Units, Monopolar/Bipolar</v>
      </c>
      <c r="AWC102" s="528" t="s">
        <v>213</v>
      </c>
      <c r="AWD102" s="529" t="str">
        <f>VLOOKUP(AWC102,[14]AssetDetails_UEM!$A$3:$AH$1849,6,FALSE)</f>
        <v>Electrosurgical Units, Monopolar/Bipolar</v>
      </c>
      <c r="AWE102" s="528" t="s">
        <v>213</v>
      </c>
      <c r="AWF102" s="529" t="str">
        <f>VLOOKUP(AWE102,[14]AssetDetails_UEM!$A$3:$AH$1849,6,FALSE)</f>
        <v>Electrosurgical Units, Monopolar/Bipolar</v>
      </c>
      <c r="AWG102" s="528" t="s">
        <v>213</v>
      </c>
      <c r="AWH102" s="529" t="str">
        <f>VLOOKUP(AWG102,[14]AssetDetails_UEM!$A$3:$AH$1849,6,FALSE)</f>
        <v>Electrosurgical Units, Monopolar/Bipolar</v>
      </c>
      <c r="AWI102" s="528" t="s">
        <v>213</v>
      </c>
      <c r="AWJ102" s="529" t="str">
        <f>VLOOKUP(AWI102,[14]AssetDetails_UEM!$A$3:$AH$1849,6,FALSE)</f>
        <v>Electrosurgical Units, Monopolar/Bipolar</v>
      </c>
      <c r="AWK102" s="528" t="s">
        <v>213</v>
      </c>
      <c r="AWL102" s="529" t="str">
        <f>VLOOKUP(AWK102,[14]AssetDetails_UEM!$A$3:$AH$1849,6,FALSE)</f>
        <v>Electrosurgical Units, Monopolar/Bipolar</v>
      </c>
      <c r="AWM102" s="528" t="s">
        <v>213</v>
      </c>
      <c r="AWN102" s="529" t="str">
        <f>VLOOKUP(AWM102,[14]AssetDetails_UEM!$A$3:$AH$1849,6,FALSE)</f>
        <v>Electrosurgical Units, Monopolar/Bipolar</v>
      </c>
      <c r="AWO102" s="528" t="s">
        <v>213</v>
      </c>
      <c r="AWP102" s="529" t="str">
        <f>VLOOKUP(AWO102,[14]AssetDetails_UEM!$A$3:$AH$1849,6,FALSE)</f>
        <v>Electrosurgical Units, Monopolar/Bipolar</v>
      </c>
      <c r="AWQ102" s="528" t="s">
        <v>213</v>
      </c>
      <c r="AWR102" s="529" t="str">
        <f>VLOOKUP(AWQ102,[14]AssetDetails_UEM!$A$3:$AH$1849,6,FALSE)</f>
        <v>Electrosurgical Units, Monopolar/Bipolar</v>
      </c>
      <c r="AWS102" s="528" t="s">
        <v>213</v>
      </c>
      <c r="AWT102" s="529" t="str">
        <f>VLOOKUP(AWS102,[14]AssetDetails_UEM!$A$3:$AH$1849,6,FALSE)</f>
        <v>Electrosurgical Units, Monopolar/Bipolar</v>
      </c>
      <c r="AWU102" s="528" t="s">
        <v>213</v>
      </c>
      <c r="AWV102" s="529" t="str">
        <f>VLOOKUP(AWU102,[14]AssetDetails_UEM!$A$3:$AH$1849,6,FALSE)</f>
        <v>Electrosurgical Units, Monopolar/Bipolar</v>
      </c>
      <c r="AWW102" s="528" t="s">
        <v>213</v>
      </c>
      <c r="AWX102" s="529" t="str">
        <f>VLOOKUP(AWW102,[14]AssetDetails_UEM!$A$3:$AH$1849,6,FALSE)</f>
        <v>Electrosurgical Units, Monopolar/Bipolar</v>
      </c>
      <c r="AWY102" s="528" t="s">
        <v>213</v>
      </c>
      <c r="AWZ102" s="529" t="str">
        <f>VLOOKUP(AWY102,[14]AssetDetails_UEM!$A$3:$AH$1849,6,FALSE)</f>
        <v>Electrosurgical Units, Monopolar/Bipolar</v>
      </c>
      <c r="AXA102" s="528" t="s">
        <v>213</v>
      </c>
      <c r="AXB102" s="529" t="str">
        <f>VLOOKUP(AXA102,[14]AssetDetails_UEM!$A$3:$AH$1849,6,FALSE)</f>
        <v>Electrosurgical Units, Monopolar/Bipolar</v>
      </c>
      <c r="AXC102" s="528" t="s">
        <v>213</v>
      </c>
      <c r="AXD102" s="529" t="str">
        <f>VLOOKUP(AXC102,[14]AssetDetails_UEM!$A$3:$AH$1849,6,FALSE)</f>
        <v>Electrosurgical Units, Monopolar/Bipolar</v>
      </c>
      <c r="AXE102" s="528" t="s">
        <v>213</v>
      </c>
      <c r="AXF102" s="529" t="str">
        <f>VLOOKUP(AXE102,[14]AssetDetails_UEM!$A$3:$AH$1849,6,FALSE)</f>
        <v>Electrosurgical Units, Monopolar/Bipolar</v>
      </c>
      <c r="AXG102" s="528" t="s">
        <v>213</v>
      </c>
      <c r="AXH102" s="529" t="str">
        <f>VLOOKUP(AXG102,[14]AssetDetails_UEM!$A$3:$AH$1849,6,FALSE)</f>
        <v>Electrosurgical Units, Monopolar/Bipolar</v>
      </c>
      <c r="AXI102" s="528" t="s">
        <v>213</v>
      </c>
      <c r="AXJ102" s="529" t="str">
        <f>VLOOKUP(AXI102,[14]AssetDetails_UEM!$A$3:$AH$1849,6,FALSE)</f>
        <v>Electrosurgical Units, Monopolar/Bipolar</v>
      </c>
      <c r="AXK102" s="528" t="s">
        <v>213</v>
      </c>
      <c r="AXL102" s="529" t="str">
        <f>VLOOKUP(AXK102,[14]AssetDetails_UEM!$A$3:$AH$1849,6,FALSE)</f>
        <v>Electrosurgical Units, Monopolar/Bipolar</v>
      </c>
      <c r="AXM102" s="528" t="s">
        <v>213</v>
      </c>
      <c r="AXN102" s="529" t="str">
        <f>VLOOKUP(AXM102,[14]AssetDetails_UEM!$A$3:$AH$1849,6,FALSE)</f>
        <v>Electrosurgical Units, Monopolar/Bipolar</v>
      </c>
      <c r="AXO102" s="528" t="s">
        <v>213</v>
      </c>
      <c r="AXP102" s="529" t="str">
        <f>VLOOKUP(AXO102,[14]AssetDetails_UEM!$A$3:$AH$1849,6,FALSE)</f>
        <v>Electrosurgical Units, Monopolar/Bipolar</v>
      </c>
      <c r="AXQ102" s="528" t="s">
        <v>213</v>
      </c>
      <c r="AXR102" s="529" t="str">
        <f>VLOOKUP(AXQ102,[14]AssetDetails_UEM!$A$3:$AH$1849,6,FALSE)</f>
        <v>Electrosurgical Units, Monopolar/Bipolar</v>
      </c>
      <c r="AXS102" s="528" t="s">
        <v>213</v>
      </c>
      <c r="AXT102" s="529" t="str">
        <f>VLOOKUP(AXS102,[14]AssetDetails_UEM!$A$3:$AH$1849,6,FALSE)</f>
        <v>Electrosurgical Units, Monopolar/Bipolar</v>
      </c>
      <c r="AXU102" s="528" t="s">
        <v>213</v>
      </c>
      <c r="AXV102" s="529" t="str">
        <f>VLOOKUP(AXU102,[14]AssetDetails_UEM!$A$3:$AH$1849,6,FALSE)</f>
        <v>Electrosurgical Units, Monopolar/Bipolar</v>
      </c>
      <c r="AXW102" s="528" t="s">
        <v>213</v>
      </c>
      <c r="AXX102" s="529" t="str">
        <f>VLOOKUP(AXW102,[14]AssetDetails_UEM!$A$3:$AH$1849,6,FALSE)</f>
        <v>Electrosurgical Units, Monopolar/Bipolar</v>
      </c>
      <c r="AXY102" s="528" t="s">
        <v>213</v>
      </c>
      <c r="AXZ102" s="529" t="str">
        <f>VLOOKUP(AXY102,[14]AssetDetails_UEM!$A$3:$AH$1849,6,FALSE)</f>
        <v>Electrosurgical Units, Monopolar/Bipolar</v>
      </c>
      <c r="AYA102" s="528" t="s">
        <v>213</v>
      </c>
      <c r="AYB102" s="529" t="str">
        <f>VLOOKUP(AYA102,[14]AssetDetails_UEM!$A$3:$AH$1849,6,FALSE)</f>
        <v>Electrosurgical Units, Monopolar/Bipolar</v>
      </c>
      <c r="AYC102" s="528" t="s">
        <v>213</v>
      </c>
      <c r="AYD102" s="529" t="str">
        <f>VLOOKUP(AYC102,[14]AssetDetails_UEM!$A$3:$AH$1849,6,FALSE)</f>
        <v>Electrosurgical Units, Monopolar/Bipolar</v>
      </c>
      <c r="AYE102" s="528" t="s">
        <v>213</v>
      </c>
      <c r="AYF102" s="529" t="str">
        <f>VLOOKUP(AYE102,[14]AssetDetails_UEM!$A$3:$AH$1849,6,FALSE)</f>
        <v>Electrosurgical Units, Monopolar/Bipolar</v>
      </c>
      <c r="AYG102" s="528" t="s">
        <v>213</v>
      </c>
      <c r="AYH102" s="529" t="str">
        <f>VLOOKUP(AYG102,[14]AssetDetails_UEM!$A$3:$AH$1849,6,FALSE)</f>
        <v>Electrosurgical Units, Monopolar/Bipolar</v>
      </c>
      <c r="AYI102" s="528" t="s">
        <v>213</v>
      </c>
      <c r="AYJ102" s="529" t="str">
        <f>VLOOKUP(AYI102,[14]AssetDetails_UEM!$A$3:$AH$1849,6,FALSE)</f>
        <v>Electrosurgical Units, Monopolar/Bipolar</v>
      </c>
      <c r="AYK102" s="528" t="s">
        <v>213</v>
      </c>
      <c r="AYL102" s="529" t="str">
        <f>VLOOKUP(AYK102,[14]AssetDetails_UEM!$A$3:$AH$1849,6,FALSE)</f>
        <v>Electrosurgical Units, Monopolar/Bipolar</v>
      </c>
      <c r="AYM102" s="528" t="s">
        <v>213</v>
      </c>
      <c r="AYN102" s="529" t="str">
        <f>VLOOKUP(AYM102,[14]AssetDetails_UEM!$A$3:$AH$1849,6,FALSE)</f>
        <v>Electrosurgical Units, Monopolar/Bipolar</v>
      </c>
      <c r="AYO102" s="528" t="s">
        <v>213</v>
      </c>
      <c r="AYP102" s="529" t="str">
        <f>VLOOKUP(AYO102,[14]AssetDetails_UEM!$A$3:$AH$1849,6,FALSE)</f>
        <v>Electrosurgical Units, Monopolar/Bipolar</v>
      </c>
      <c r="AYQ102" s="528" t="s">
        <v>213</v>
      </c>
      <c r="AYR102" s="529" t="str">
        <f>VLOOKUP(AYQ102,[14]AssetDetails_UEM!$A$3:$AH$1849,6,FALSE)</f>
        <v>Electrosurgical Units, Monopolar/Bipolar</v>
      </c>
      <c r="AYS102" s="528" t="s">
        <v>213</v>
      </c>
      <c r="AYT102" s="529" t="str">
        <f>VLOOKUP(AYS102,[14]AssetDetails_UEM!$A$3:$AH$1849,6,FALSE)</f>
        <v>Electrosurgical Units, Monopolar/Bipolar</v>
      </c>
      <c r="AYU102" s="528" t="s">
        <v>213</v>
      </c>
      <c r="AYV102" s="529" t="str">
        <f>VLOOKUP(AYU102,[14]AssetDetails_UEM!$A$3:$AH$1849,6,FALSE)</f>
        <v>Electrosurgical Units, Monopolar/Bipolar</v>
      </c>
      <c r="AYW102" s="528" t="s">
        <v>213</v>
      </c>
      <c r="AYX102" s="529" t="str">
        <f>VLOOKUP(AYW102,[14]AssetDetails_UEM!$A$3:$AH$1849,6,FALSE)</f>
        <v>Electrosurgical Units, Monopolar/Bipolar</v>
      </c>
      <c r="AYY102" s="528" t="s">
        <v>213</v>
      </c>
      <c r="AYZ102" s="529" t="str">
        <f>VLOOKUP(AYY102,[14]AssetDetails_UEM!$A$3:$AH$1849,6,FALSE)</f>
        <v>Electrosurgical Units, Monopolar/Bipolar</v>
      </c>
      <c r="AZA102" s="528" t="s">
        <v>213</v>
      </c>
      <c r="AZB102" s="529" t="str">
        <f>VLOOKUP(AZA102,[14]AssetDetails_UEM!$A$3:$AH$1849,6,FALSE)</f>
        <v>Electrosurgical Units, Monopolar/Bipolar</v>
      </c>
      <c r="AZC102" s="528" t="s">
        <v>213</v>
      </c>
      <c r="AZD102" s="529" t="str">
        <f>VLOOKUP(AZC102,[14]AssetDetails_UEM!$A$3:$AH$1849,6,FALSE)</f>
        <v>Electrosurgical Units, Monopolar/Bipolar</v>
      </c>
      <c r="AZE102" s="528" t="s">
        <v>213</v>
      </c>
      <c r="AZF102" s="529" t="str">
        <f>VLOOKUP(AZE102,[14]AssetDetails_UEM!$A$3:$AH$1849,6,FALSE)</f>
        <v>Electrosurgical Units, Monopolar/Bipolar</v>
      </c>
      <c r="AZG102" s="528" t="s">
        <v>213</v>
      </c>
      <c r="AZH102" s="529" t="str">
        <f>VLOOKUP(AZG102,[14]AssetDetails_UEM!$A$3:$AH$1849,6,FALSE)</f>
        <v>Electrosurgical Units, Monopolar/Bipolar</v>
      </c>
      <c r="AZI102" s="528" t="s">
        <v>213</v>
      </c>
      <c r="AZJ102" s="529" t="str">
        <f>VLOOKUP(AZI102,[14]AssetDetails_UEM!$A$3:$AH$1849,6,FALSE)</f>
        <v>Electrosurgical Units, Monopolar/Bipolar</v>
      </c>
      <c r="AZK102" s="528" t="s">
        <v>213</v>
      </c>
      <c r="AZL102" s="529" t="str">
        <f>VLOOKUP(AZK102,[14]AssetDetails_UEM!$A$3:$AH$1849,6,FALSE)</f>
        <v>Electrosurgical Units, Monopolar/Bipolar</v>
      </c>
      <c r="AZM102" s="528" t="s">
        <v>213</v>
      </c>
      <c r="AZN102" s="529" t="str">
        <f>VLOOKUP(AZM102,[14]AssetDetails_UEM!$A$3:$AH$1849,6,FALSE)</f>
        <v>Electrosurgical Units, Monopolar/Bipolar</v>
      </c>
      <c r="AZO102" s="528" t="s">
        <v>213</v>
      </c>
      <c r="AZP102" s="529" t="str">
        <f>VLOOKUP(AZO102,[14]AssetDetails_UEM!$A$3:$AH$1849,6,FALSE)</f>
        <v>Electrosurgical Units, Monopolar/Bipolar</v>
      </c>
      <c r="AZQ102" s="528" t="s">
        <v>213</v>
      </c>
      <c r="AZR102" s="529" t="str">
        <f>VLOOKUP(AZQ102,[14]AssetDetails_UEM!$A$3:$AH$1849,6,FALSE)</f>
        <v>Electrosurgical Units, Monopolar/Bipolar</v>
      </c>
      <c r="AZS102" s="528" t="s">
        <v>213</v>
      </c>
      <c r="AZT102" s="529" t="str">
        <f>VLOOKUP(AZS102,[14]AssetDetails_UEM!$A$3:$AH$1849,6,FALSE)</f>
        <v>Electrosurgical Units, Monopolar/Bipolar</v>
      </c>
      <c r="AZU102" s="528" t="s">
        <v>213</v>
      </c>
      <c r="AZV102" s="529" t="str">
        <f>VLOOKUP(AZU102,[14]AssetDetails_UEM!$A$3:$AH$1849,6,FALSE)</f>
        <v>Electrosurgical Units, Monopolar/Bipolar</v>
      </c>
      <c r="AZW102" s="528" t="s">
        <v>213</v>
      </c>
      <c r="AZX102" s="529" t="str">
        <f>VLOOKUP(AZW102,[14]AssetDetails_UEM!$A$3:$AH$1849,6,FALSE)</f>
        <v>Electrosurgical Units, Monopolar/Bipolar</v>
      </c>
      <c r="AZY102" s="528" t="s">
        <v>213</v>
      </c>
      <c r="AZZ102" s="529" t="str">
        <f>VLOOKUP(AZY102,[14]AssetDetails_UEM!$A$3:$AH$1849,6,FALSE)</f>
        <v>Electrosurgical Units, Monopolar/Bipolar</v>
      </c>
      <c r="BAA102" s="528" t="s">
        <v>213</v>
      </c>
      <c r="BAB102" s="529" t="str">
        <f>VLOOKUP(BAA102,[14]AssetDetails_UEM!$A$3:$AH$1849,6,FALSE)</f>
        <v>Electrosurgical Units, Monopolar/Bipolar</v>
      </c>
      <c r="BAC102" s="528" t="s">
        <v>213</v>
      </c>
      <c r="BAD102" s="529" t="str">
        <f>VLOOKUP(BAC102,[14]AssetDetails_UEM!$A$3:$AH$1849,6,FALSE)</f>
        <v>Electrosurgical Units, Monopolar/Bipolar</v>
      </c>
      <c r="BAE102" s="528" t="s">
        <v>213</v>
      </c>
      <c r="BAF102" s="529" t="str">
        <f>VLOOKUP(BAE102,[14]AssetDetails_UEM!$A$3:$AH$1849,6,FALSE)</f>
        <v>Electrosurgical Units, Monopolar/Bipolar</v>
      </c>
      <c r="BAG102" s="528" t="s">
        <v>213</v>
      </c>
      <c r="BAH102" s="529" t="str">
        <f>VLOOKUP(BAG102,[14]AssetDetails_UEM!$A$3:$AH$1849,6,FALSE)</f>
        <v>Electrosurgical Units, Monopolar/Bipolar</v>
      </c>
      <c r="BAI102" s="528" t="s">
        <v>213</v>
      </c>
      <c r="BAJ102" s="529" t="str">
        <f>VLOOKUP(BAI102,[14]AssetDetails_UEM!$A$3:$AH$1849,6,FALSE)</f>
        <v>Electrosurgical Units, Monopolar/Bipolar</v>
      </c>
      <c r="BAK102" s="528" t="s">
        <v>213</v>
      </c>
      <c r="BAL102" s="529" t="str">
        <f>VLOOKUP(BAK102,[14]AssetDetails_UEM!$A$3:$AH$1849,6,FALSE)</f>
        <v>Electrosurgical Units, Monopolar/Bipolar</v>
      </c>
      <c r="BAM102" s="528" t="s">
        <v>213</v>
      </c>
      <c r="BAN102" s="529" t="str">
        <f>VLOOKUP(BAM102,[14]AssetDetails_UEM!$A$3:$AH$1849,6,FALSE)</f>
        <v>Electrosurgical Units, Monopolar/Bipolar</v>
      </c>
      <c r="BAO102" s="528" t="s">
        <v>213</v>
      </c>
      <c r="BAP102" s="529" t="str">
        <f>VLOOKUP(BAO102,[14]AssetDetails_UEM!$A$3:$AH$1849,6,FALSE)</f>
        <v>Electrosurgical Units, Monopolar/Bipolar</v>
      </c>
      <c r="BAQ102" s="528" t="s">
        <v>213</v>
      </c>
      <c r="BAR102" s="529" t="str">
        <f>VLOOKUP(BAQ102,[14]AssetDetails_UEM!$A$3:$AH$1849,6,FALSE)</f>
        <v>Electrosurgical Units, Monopolar/Bipolar</v>
      </c>
      <c r="BAS102" s="528" t="s">
        <v>213</v>
      </c>
      <c r="BAT102" s="529" t="str">
        <f>VLOOKUP(BAS102,[14]AssetDetails_UEM!$A$3:$AH$1849,6,FALSE)</f>
        <v>Electrosurgical Units, Monopolar/Bipolar</v>
      </c>
      <c r="BAU102" s="528" t="s">
        <v>213</v>
      </c>
      <c r="BAV102" s="529" t="str">
        <f>VLOOKUP(BAU102,[14]AssetDetails_UEM!$A$3:$AH$1849,6,FALSE)</f>
        <v>Electrosurgical Units, Monopolar/Bipolar</v>
      </c>
      <c r="BAW102" s="528" t="s">
        <v>213</v>
      </c>
      <c r="BAX102" s="529" t="str">
        <f>VLOOKUP(BAW102,[14]AssetDetails_UEM!$A$3:$AH$1849,6,FALSE)</f>
        <v>Electrosurgical Units, Monopolar/Bipolar</v>
      </c>
      <c r="BAY102" s="528" t="s">
        <v>213</v>
      </c>
      <c r="BAZ102" s="529" t="str">
        <f>VLOOKUP(BAY102,[14]AssetDetails_UEM!$A$3:$AH$1849,6,FALSE)</f>
        <v>Electrosurgical Units, Monopolar/Bipolar</v>
      </c>
      <c r="BBA102" s="528" t="s">
        <v>213</v>
      </c>
      <c r="BBB102" s="529" t="str">
        <f>VLOOKUP(BBA102,[14]AssetDetails_UEM!$A$3:$AH$1849,6,FALSE)</f>
        <v>Electrosurgical Units, Monopolar/Bipolar</v>
      </c>
      <c r="BBC102" s="528" t="s">
        <v>213</v>
      </c>
      <c r="BBD102" s="529" t="str">
        <f>VLOOKUP(BBC102,[14]AssetDetails_UEM!$A$3:$AH$1849,6,FALSE)</f>
        <v>Electrosurgical Units, Monopolar/Bipolar</v>
      </c>
      <c r="BBE102" s="528" t="s">
        <v>213</v>
      </c>
      <c r="BBF102" s="529" t="str">
        <f>VLOOKUP(BBE102,[14]AssetDetails_UEM!$A$3:$AH$1849,6,FALSE)</f>
        <v>Electrosurgical Units, Monopolar/Bipolar</v>
      </c>
      <c r="BBG102" s="528" t="s">
        <v>213</v>
      </c>
      <c r="BBH102" s="529" t="str">
        <f>VLOOKUP(BBG102,[14]AssetDetails_UEM!$A$3:$AH$1849,6,FALSE)</f>
        <v>Electrosurgical Units, Monopolar/Bipolar</v>
      </c>
      <c r="BBI102" s="528" t="s">
        <v>213</v>
      </c>
      <c r="BBJ102" s="529" t="str">
        <f>VLOOKUP(BBI102,[14]AssetDetails_UEM!$A$3:$AH$1849,6,FALSE)</f>
        <v>Electrosurgical Units, Monopolar/Bipolar</v>
      </c>
      <c r="BBK102" s="528" t="s">
        <v>213</v>
      </c>
      <c r="BBL102" s="529" t="str">
        <f>VLOOKUP(BBK102,[14]AssetDetails_UEM!$A$3:$AH$1849,6,FALSE)</f>
        <v>Electrosurgical Units, Monopolar/Bipolar</v>
      </c>
      <c r="BBM102" s="528" t="s">
        <v>213</v>
      </c>
      <c r="BBN102" s="529" t="str">
        <f>VLOOKUP(BBM102,[14]AssetDetails_UEM!$A$3:$AH$1849,6,FALSE)</f>
        <v>Electrosurgical Units, Monopolar/Bipolar</v>
      </c>
      <c r="BBO102" s="528" t="s">
        <v>213</v>
      </c>
      <c r="BBP102" s="529" t="str">
        <f>VLOOKUP(BBO102,[14]AssetDetails_UEM!$A$3:$AH$1849,6,FALSE)</f>
        <v>Electrosurgical Units, Monopolar/Bipolar</v>
      </c>
      <c r="BBQ102" s="528" t="s">
        <v>213</v>
      </c>
      <c r="BBR102" s="529" t="str">
        <f>VLOOKUP(BBQ102,[14]AssetDetails_UEM!$A$3:$AH$1849,6,FALSE)</f>
        <v>Electrosurgical Units, Monopolar/Bipolar</v>
      </c>
      <c r="BBS102" s="528" t="s">
        <v>213</v>
      </c>
      <c r="BBT102" s="529" t="str">
        <f>VLOOKUP(BBS102,[14]AssetDetails_UEM!$A$3:$AH$1849,6,FALSE)</f>
        <v>Electrosurgical Units, Monopolar/Bipolar</v>
      </c>
      <c r="BBU102" s="528" t="s">
        <v>213</v>
      </c>
      <c r="BBV102" s="529" t="str">
        <f>VLOOKUP(BBU102,[14]AssetDetails_UEM!$A$3:$AH$1849,6,FALSE)</f>
        <v>Electrosurgical Units, Monopolar/Bipolar</v>
      </c>
      <c r="BBW102" s="528" t="s">
        <v>213</v>
      </c>
      <c r="BBX102" s="529" t="str">
        <f>VLOOKUP(BBW102,[14]AssetDetails_UEM!$A$3:$AH$1849,6,FALSE)</f>
        <v>Electrosurgical Units, Monopolar/Bipolar</v>
      </c>
      <c r="BBY102" s="528" t="s">
        <v>213</v>
      </c>
      <c r="BBZ102" s="529" t="str">
        <f>VLOOKUP(BBY102,[14]AssetDetails_UEM!$A$3:$AH$1849,6,FALSE)</f>
        <v>Electrosurgical Units, Monopolar/Bipolar</v>
      </c>
      <c r="BCA102" s="528" t="s">
        <v>213</v>
      </c>
      <c r="BCB102" s="529" t="str">
        <f>VLOOKUP(BCA102,[14]AssetDetails_UEM!$A$3:$AH$1849,6,FALSE)</f>
        <v>Electrosurgical Units, Monopolar/Bipolar</v>
      </c>
      <c r="BCC102" s="528" t="s">
        <v>213</v>
      </c>
      <c r="BCD102" s="529" t="str">
        <f>VLOOKUP(BCC102,[14]AssetDetails_UEM!$A$3:$AH$1849,6,FALSE)</f>
        <v>Electrosurgical Units, Monopolar/Bipolar</v>
      </c>
      <c r="BCE102" s="528" t="s">
        <v>213</v>
      </c>
      <c r="BCF102" s="529" t="str">
        <f>VLOOKUP(BCE102,[14]AssetDetails_UEM!$A$3:$AH$1849,6,FALSE)</f>
        <v>Electrosurgical Units, Monopolar/Bipolar</v>
      </c>
      <c r="BCG102" s="528" t="s">
        <v>213</v>
      </c>
      <c r="BCH102" s="529" t="str">
        <f>VLOOKUP(BCG102,[14]AssetDetails_UEM!$A$3:$AH$1849,6,FALSE)</f>
        <v>Electrosurgical Units, Monopolar/Bipolar</v>
      </c>
      <c r="BCI102" s="528" t="s">
        <v>213</v>
      </c>
      <c r="BCJ102" s="529" t="str">
        <f>VLOOKUP(BCI102,[14]AssetDetails_UEM!$A$3:$AH$1849,6,FALSE)</f>
        <v>Electrosurgical Units, Monopolar/Bipolar</v>
      </c>
      <c r="BCK102" s="528" t="s">
        <v>213</v>
      </c>
      <c r="BCL102" s="529" t="str">
        <f>VLOOKUP(BCK102,[14]AssetDetails_UEM!$A$3:$AH$1849,6,FALSE)</f>
        <v>Electrosurgical Units, Monopolar/Bipolar</v>
      </c>
      <c r="BCM102" s="528" t="s">
        <v>213</v>
      </c>
      <c r="BCN102" s="529" t="str">
        <f>VLOOKUP(BCM102,[14]AssetDetails_UEM!$A$3:$AH$1849,6,FALSE)</f>
        <v>Electrosurgical Units, Monopolar/Bipolar</v>
      </c>
      <c r="BCO102" s="528" t="s">
        <v>213</v>
      </c>
      <c r="BCP102" s="529" t="str">
        <f>VLOOKUP(BCO102,[14]AssetDetails_UEM!$A$3:$AH$1849,6,FALSE)</f>
        <v>Electrosurgical Units, Monopolar/Bipolar</v>
      </c>
      <c r="BCQ102" s="528" t="s">
        <v>213</v>
      </c>
      <c r="BCR102" s="529" t="str">
        <f>VLOOKUP(BCQ102,[14]AssetDetails_UEM!$A$3:$AH$1849,6,FALSE)</f>
        <v>Electrosurgical Units, Monopolar/Bipolar</v>
      </c>
      <c r="BCS102" s="528" t="s">
        <v>213</v>
      </c>
      <c r="BCT102" s="529" t="str">
        <f>VLOOKUP(BCS102,[14]AssetDetails_UEM!$A$3:$AH$1849,6,FALSE)</f>
        <v>Electrosurgical Units, Monopolar/Bipolar</v>
      </c>
      <c r="BCU102" s="528" t="s">
        <v>213</v>
      </c>
      <c r="BCV102" s="529" t="str">
        <f>VLOOKUP(BCU102,[14]AssetDetails_UEM!$A$3:$AH$1849,6,FALSE)</f>
        <v>Electrosurgical Units, Monopolar/Bipolar</v>
      </c>
      <c r="BCW102" s="528" t="s">
        <v>213</v>
      </c>
      <c r="BCX102" s="529" t="str">
        <f>VLOOKUP(BCW102,[14]AssetDetails_UEM!$A$3:$AH$1849,6,FALSE)</f>
        <v>Electrosurgical Units, Monopolar/Bipolar</v>
      </c>
      <c r="BCY102" s="528" t="s">
        <v>213</v>
      </c>
      <c r="BCZ102" s="529" t="str">
        <f>VLOOKUP(BCY102,[14]AssetDetails_UEM!$A$3:$AH$1849,6,FALSE)</f>
        <v>Electrosurgical Units, Monopolar/Bipolar</v>
      </c>
      <c r="BDA102" s="528" t="s">
        <v>213</v>
      </c>
      <c r="BDB102" s="529" t="str">
        <f>VLOOKUP(BDA102,[14]AssetDetails_UEM!$A$3:$AH$1849,6,FALSE)</f>
        <v>Electrosurgical Units, Monopolar/Bipolar</v>
      </c>
      <c r="BDC102" s="528" t="s">
        <v>213</v>
      </c>
      <c r="BDD102" s="529" t="str">
        <f>VLOOKUP(BDC102,[14]AssetDetails_UEM!$A$3:$AH$1849,6,FALSE)</f>
        <v>Electrosurgical Units, Monopolar/Bipolar</v>
      </c>
      <c r="BDE102" s="528" t="s">
        <v>213</v>
      </c>
      <c r="BDF102" s="529" t="str">
        <f>VLOOKUP(BDE102,[14]AssetDetails_UEM!$A$3:$AH$1849,6,FALSE)</f>
        <v>Electrosurgical Units, Monopolar/Bipolar</v>
      </c>
      <c r="BDG102" s="528" t="s">
        <v>213</v>
      </c>
      <c r="BDH102" s="529" t="str">
        <f>VLOOKUP(BDG102,[14]AssetDetails_UEM!$A$3:$AH$1849,6,FALSE)</f>
        <v>Electrosurgical Units, Monopolar/Bipolar</v>
      </c>
      <c r="BDI102" s="528" t="s">
        <v>213</v>
      </c>
      <c r="BDJ102" s="529" t="str">
        <f>VLOOKUP(BDI102,[14]AssetDetails_UEM!$A$3:$AH$1849,6,FALSE)</f>
        <v>Electrosurgical Units, Monopolar/Bipolar</v>
      </c>
      <c r="BDK102" s="528" t="s">
        <v>213</v>
      </c>
      <c r="BDL102" s="529" t="str">
        <f>VLOOKUP(BDK102,[14]AssetDetails_UEM!$A$3:$AH$1849,6,FALSE)</f>
        <v>Electrosurgical Units, Monopolar/Bipolar</v>
      </c>
      <c r="BDM102" s="528" t="s">
        <v>213</v>
      </c>
      <c r="BDN102" s="529" t="str">
        <f>VLOOKUP(BDM102,[14]AssetDetails_UEM!$A$3:$AH$1849,6,FALSE)</f>
        <v>Electrosurgical Units, Monopolar/Bipolar</v>
      </c>
      <c r="BDO102" s="528" t="s">
        <v>213</v>
      </c>
      <c r="BDP102" s="529" t="str">
        <f>VLOOKUP(BDO102,[14]AssetDetails_UEM!$A$3:$AH$1849,6,FALSE)</f>
        <v>Electrosurgical Units, Monopolar/Bipolar</v>
      </c>
      <c r="BDQ102" s="528" t="s">
        <v>213</v>
      </c>
      <c r="BDR102" s="529" t="str">
        <f>VLOOKUP(BDQ102,[14]AssetDetails_UEM!$A$3:$AH$1849,6,FALSE)</f>
        <v>Electrosurgical Units, Monopolar/Bipolar</v>
      </c>
      <c r="BDS102" s="528" t="s">
        <v>213</v>
      </c>
      <c r="BDT102" s="529" t="str">
        <f>VLOOKUP(BDS102,[14]AssetDetails_UEM!$A$3:$AH$1849,6,FALSE)</f>
        <v>Electrosurgical Units, Monopolar/Bipolar</v>
      </c>
      <c r="BDU102" s="528" t="s">
        <v>213</v>
      </c>
      <c r="BDV102" s="529" t="str">
        <f>VLOOKUP(BDU102,[14]AssetDetails_UEM!$A$3:$AH$1849,6,FALSE)</f>
        <v>Electrosurgical Units, Monopolar/Bipolar</v>
      </c>
      <c r="BDW102" s="528" t="s">
        <v>213</v>
      </c>
      <c r="BDX102" s="529" t="str">
        <f>VLOOKUP(BDW102,[14]AssetDetails_UEM!$A$3:$AH$1849,6,FALSE)</f>
        <v>Electrosurgical Units, Monopolar/Bipolar</v>
      </c>
      <c r="BDY102" s="528" t="s">
        <v>213</v>
      </c>
      <c r="BDZ102" s="529" t="str">
        <f>VLOOKUP(BDY102,[14]AssetDetails_UEM!$A$3:$AH$1849,6,FALSE)</f>
        <v>Electrosurgical Units, Monopolar/Bipolar</v>
      </c>
      <c r="BEA102" s="528" t="s">
        <v>213</v>
      </c>
      <c r="BEB102" s="529" t="str">
        <f>VLOOKUP(BEA102,[14]AssetDetails_UEM!$A$3:$AH$1849,6,FALSE)</f>
        <v>Electrosurgical Units, Monopolar/Bipolar</v>
      </c>
      <c r="BEC102" s="528" t="s">
        <v>213</v>
      </c>
      <c r="BED102" s="529" t="str">
        <f>VLOOKUP(BEC102,[14]AssetDetails_UEM!$A$3:$AH$1849,6,FALSE)</f>
        <v>Electrosurgical Units, Monopolar/Bipolar</v>
      </c>
      <c r="BEE102" s="528" t="s">
        <v>213</v>
      </c>
      <c r="BEF102" s="529" t="str">
        <f>VLOOKUP(BEE102,[14]AssetDetails_UEM!$A$3:$AH$1849,6,FALSE)</f>
        <v>Electrosurgical Units, Monopolar/Bipolar</v>
      </c>
      <c r="BEG102" s="528" t="s">
        <v>213</v>
      </c>
      <c r="BEH102" s="529" t="str">
        <f>VLOOKUP(BEG102,[14]AssetDetails_UEM!$A$3:$AH$1849,6,FALSE)</f>
        <v>Electrosurgical Units, Monopolar/Bipolar</v>
      </c>
      <c r="BEI102" s="528" t="s">
        <v>213</v>
      </c>
      <c r="BEJ102" s="529" t="str">
        <f>VLOOKUP(BEI102,[14]AssetDetails_UEM!$A$3:$AH$1849,6,FALSE)</f>
        <v>Electrosurgical Units, Monopolar/Bipolar</v>
      </c>
      <c r="BEK102" s="528" t="s">
        <v>213</v>
      </c>
      <c r="BEL102" s="529" t="str">
        <f>VLOOKUP(BEK102,[14]AssetDetails_UEM!$A$3:$AH$1849,6,FALSE)</f>
        <v>Electrosurgical Units, Monopolar/Bipolar</v>
      </c>
      <c r="BEM102" s="528" t="s">
        <v>213</v>
      </c>
      <c r="BEN102" s="529" t="str">
        <f>VLOOKUP(BEM102,[14]AssetDetails_UEM!$A$3:$AH$1849,6,FALSE)</f>
        <v>Electrosurgical Units, Monopolar/Bipolar</v>
      </c>
      <c r="BEO102" s="528" t="s">
        <v>213</v>
      </c>
      <c r="BEP102" s="529" t="str">
        <f>VLOOKUP(BEO102,[14]AssetDetails_UEM!$A$3:$AH$1849,6,FALSE)</f>
        <v>Electrosurgical Units, Monopolar/Bipolar</v>
      </c>
      <c r="BEQ102" s="528" t="s">
        <v>213</v>
      </c>
      <c r="BER102" s="529" t="str">
        <f>VLOOKUP(BEQ102,[14]AssetDetails_UEM!$A$3:$AH$1849,6,FALSE)</f>
        <v>Electrosurgical Units, Monopolar/Bipolar</v>
      </c>
      <c r="BES102" s="528" t="s">
        <v>213</v>
      </c>
      <c r="BET102" s="529" t="str">
        <f>VLOOKUP(BES102,[14]AssetDetails_UEM!$A$3:$AH$1849,6,FALSE)</f>
        <v>Electrosurgical Units, Monopolar/Bipolar</v>
      </c>
      <c r="BEU102" s="528" t="s">
        <v>213</v>
      </c>
      <c r="BEV102" s="529" t="str">
        <f>VLOOKUP(BEU102,[14]AssetDetails_UEM!$A$3:$AH$1849,6,FALSE)</f>
        <v>Electrosurgical Units, Monopolar/Bipolar</v>
      </c>
      <c r="BEW102" s="528" t="s">
        <v>213</v>
      </c>
      <c r="BEX102" s="529" t="str">
        <f>VLOOKUP(BEW102,[14]AssetDetails_UEM!$A$3:$AH$1849,6,FALSE)</f>
        <v>Electrosurgical Units, Monopolar/Bipolar</v>
      </c>
      <c r="BEY102" s="528" t="s">
        <v>213</v>
      </c>
      <c r="BEZ102" s="529" t="str">
        <f>VLOOKUP(BEY102,[14]AssetDetails_UEM!$A$3:$AH$1849,6,FALSE)</f>
        <v>Electrosurgical Units, Monopolar/Bipolar</v>
      </c>
      <c r="BFA102" s="528" t="s">
        <v>213</v>
      </c>
      <c r="BFB102" s="529" t="str">
        <f>VLOOKUP(BFA102,[14]AssetDetails_UEM!$A$3:$AH$1849,6,FALSE)</f>
        <v>Electrosurgical Units, Monopolar/Bipolar</v>
      </c>
      <c r="BFC102" s="528" t="s">
        <v>213</v>
      </c>
      <c r="BFD102" s="529" t="str">
        <f>VLOOKUP(BFC102,[14]AssetDetails_UEM!$A$3:$AH$1849,6,FALSE)</f>
        <v>Electrosurgical Units, Monopolar/Bipolar</v>
      </c>
      <c r="BFE102" s="528" t="s">
        <v>213</v>
      </c>
      <c r="BFF102" s="529" t="str">
        <f>VLOOKUP(BFE102,[14]AssetDetails_UEM!$A$3:$AH$1849,6,FALSE)</f>
        <v>Electrosurgical Units, Monopolar/Bipolar</v>
      </c>
      <c r="BFG102" s="528" t="s">
        <v>213</v>
      </c>
      <c r="BFH102" s="529" t="str">
        <f>VLOOKUP(BFG102,[14]AssetDetails_UEM!$A$3:$AH$1849,6,FALSE)</f>
        <v>Electrosurgical Units, Monopolar/Bipolar</v>
      </c>
      <c r="BFI102" s="528" t="s">
        <v>213</v>
      </c>
      <c r="BFJ102" s="529" t="str">
        <f>VLOOKUP(BFI102,[14]AssetDetails_UEM!$A$3:$AH$1849,6,FALSE)</f>
        <v>Electrosurgical Units, Monopolar/Bipolar</v>
      </c>
      <c r="BFK102" s="528" t="s">
        <v>213</v>
      </c>
      <c r="BFL102" s="529" t="str">
        <f>VLOOKUP(BFK102,[14]AssetDetails_UEM!$A$3:$AH$1849,6,FALSE)</f>
        <v>Electrosurgical Units, Monopolar/Bipolar</v>
      </c>
      <c r="BFM102" s="528" t="s">
        <v>213</v>
      </c>
      <c r="BFN102" s="529" t="str">
        <f>VLOOKUP(BFM102,[14]AssetDetails_UEM!$A$3:$AH$1849,6,FALSE)</f>
        <v>Electrosurgical Units, Monopolar/Bipolar</v>
      </c>
      <c r="BFO102" s="528" t="s">
        <v>213</v>
      </c>
      <c r="BFP102" s="529" t="str">
        <f>VLOOKUP(BFO102,[14]AssetDetails_UEM!$A$3:$AH$1849,6,FALSE)</f>
        <v>Electrosurgical Units, Monopolar/Bipolar</v>
      </c>
      <c r="BFQ102" s="528" t="s">
        <v>213</v>
      </c>
      <c r="BFR102" s="529" t="str">
        <f>VLOOKUP(BFQ102,[14]AssetDetails_UEM!$A$3:$AH$1849,6,FALSE)</f>
        <v>Electrosurgical Units, Monopolar/Bipolar</v>
      </c>
      <c r="BFS102" s="528" t="s">
        <v>213</v>
      </c>
      <c r="BFT102" s="529" t="str">
        <f>VLOOKUP(BFS102,[14]AssetDetails_UEM!$A$3:$AH$1849,6,FALSE)</f>
        <v>Electrosurgical Units, Monopolar/Bipolar</v>
      </c>
      <c r="BFU102" s="528" t="s">
        <v>213</v>
      </c>
      <c r="BFV102" s="529" t="str">
        <f>VLOOKUP(BFU102,[14]AssetDetails_UEM!$A$3:$AH$1849,6,FALSE)</f>
        <v>Electrosurgical Units, Monopolar/Bipolar</v>
      </c>
      <c r="BFW102" s="528" t="s">
        <v>213</v>
      </c>
      <c r="BFX102" s="529" t="str">
        <f>VLOOKUP(BFW102,[14]AssetDetails_UEM!$A$3:$AH$1849,6,FALSE)</f>
        <v>Electrosurgical Units, Monopolar/Bipolar</v>
      </c>
      <c r="BFY102" s="528" t="s">
        <v>213</v>
      </c>
      <c r="BFZ102" s="529" t="str">
        <f>VLOOKUP(BFY102,[14]AssetDetails_UEM!$A$3:$AH$1849,6,FALSE)</f>
        <v>Electrosurgical Units, Monopolar/Bipolar</v>
      </c>
      <c r="BGA102" s="528" t="s">
        <v>213</v>
      </c>
      <c r="BGB102" s="529" t="str">
        <f>VLOOKUP(BGA102,[14]AssetDetails_UEM!$A$3:$AH$1849,6,FALSE)</f>
        <v>Electrosurgical Units, Monopolar/Bipolar</v>
      </c>
      <c r="BGC102" s="528" t="s">
        <v>213</v>
      </c>
      <c r="BGD102" s="529" t="str">
        <f>VLOOKUP(BGC102,[14]AssetDetails_UEM!$A$3:$AH$1849,6,FALSE)</f>
        <v>Electrosurgical Units, Monopolar/Bipolar</v>
      </c>
      <c r="BGE102" s="528" t="s">
        <v>213</v>
      </c>
      <c r="BGF102" s="529" t="str">
        <f>VLOOKUP(BGE102,[14]AssetDetails_UEM!$A$3:$AH$1849,6,FALSE)</f>
        <v>Electrosurgical Units, Monopolar/Bipolar</v>
      </c>
      <c r="BGG102" s="528" t="s">
        <v>213</v>
      </c>
      <c r="BGH102" s="529" t="str">
        <f>VLOOKUP(BGG102,[14]AssetDetails_UEM!$A$3:$AH$1849,6,FALSE)</f>
        <v>Electrosurgical Units, Monopolar/Bipolar</v>
      </c>
      <c r="BGI102" s="528" t="s">
        <v>213</v>
      </c>
      <c r="BGJ102" s="529" t="str">
        <f>VLOOKUP(BGI102,[14]AssetDetails_UEM!$A$3:$AH$1849,6,FALSE)</f>
        <v>Electrosurgical Units, Monopolar/Bipolar</v>
      </c>
      <c r="BGK102" s="528" t="s">
        <v>213</v>
      </c>
      <c r="BGL102" s="529" t="str">
        <f>VLOOKUP(BGK102,[14]AssetDetails_UEM!$A$3:$AH$1849,6,FALSE)</f>
        <v>Electrosurgical Units, Monopolar/Bipolar</v>
      </c>
      <c r="BGM102" s="528" t="s">
        <v>213</v>
      </c>
      <c r="BGN102" s="529" t="str">
        <f>VLOOKUP(BGM102,[14]AssetDetails_UEM!$A$3:$AH$1849,6,FALSE)</f>
        <v>Electrosurgical Units, Monopolar/Bipolar</v>
      </c>
      <c r="BGO102" s="528" t="s">
        <v>213</v>
      </c>
      <c r="BGP102" s="529" t="str">
        <f>VLOOKUP(BGO102,[14]AssetDetails_UEM!$A$3:$AH$1849,6,FALSE)</f>
        <v>Electrosurgical Units, Monopolar/Bipolar</v>
      </c>
      <c r="BGQ102" s="528" t="s">
        <v>213</v>
      </c>
      <c r="BGR102" s="529" t="str">
        <f>VLOOKUP(BGQ102,[14]AssetDetails_UEM!$A$3:$AH$1849,6,FALSE)</f>
        <v>Electrosurgical Units, Monopolar/Bipolar</v>
      </c>
      <c r="BGS102" s="528" t="s">
        <v>213</v>
      </c>
      <c r="BGT102" s="529" t="str">
        <f>VLOOKUP(BGS102,[14]AssetDetails_UEM!$A$3:$AH$1849,6,FALSE)</f>
        <v>Electrosurgical Units, Monopolar/Bipolar</v>
      </c>
      <c r="BGU102" s="528" t="s">
        <v>213</v>
      </c>
      <c r="BGV102" s="529" t="str">
        <f>VLOOKUP(BGU102,[14]AssetDetails_UEM!$A$3:$AH$1849,6,FALSE)</f>
        <v>Electrosurgical Units, Monopolar/Bipolar</v>
      </c>
      <c r="BGW102" s="528" t="s">
        <v>213</v>
      </c>
      <c r="BGX102" s="529" t="str">
        <f>VLOOKUP(BGW102,[14]AssetDetails_UEM!$A$3:$AH$1849,6,FALSE)</f>
        <v>Electrosurgical Units, Monopolar/Bipolar</v>
      </c>
      <c r="BGY102" s="528" t="s">
        <v>213</v>
      </c>
      <c r="BGZ102" s="529" t="str">
        <f>VLOOKUP(BGY102,[14]AssetDetails_UEM!$A$3:$AH$1849,6,FALSE)</f>
        <v>Electrosurgical Units, Monopolar/Bipolar</v>
      </c>
      <c r="BHA102" s="528" t="s">
        <v>213</v>
      </c>
      <c r="BHB102" s="529" t="str">
        <f>VLOOKUP(BHA102,[14]AssetDetails_UEM!$A$3:$AH$1849,6,FALSE)</f>
        <v>Electrosurgical Units, Monopolar/Bipolar</v>
      </c>
      <c r="BHC102" s="528" t="s">
        <v>213</v>
      </c>
      <c r="BHD102" s="529" t="str">
        <f>VLOOKUP(BHC102,[14]AssetDetails_UEM!$A$3:$AH$1849,6,FALSE)</f>
        <v>Electrosurgical Units, Monopolar/Bipolar</v>
      </c>
      <c r="BHE102" s="528" t="s">
        <v>213</v>
      </c>
      <c r="BHF102" s="529" t="str">
        <f>VLOOKUP(BHE102,[14]AssetDetails_UEM!$A$3:$AH$1849,6,FALSE)</f>
        <v>Electrosurgical Units, Monopolar/Bipolar</v>
      </c>
      <c r="BHG102" s="528" t="s">
        <v>213</v>
      </c>
      <c r="BHH102" s="529" t="str">
        <f>VLOOKUP(BHG102,[14]AssetDetails_UEM!$A$3:$AH$1849,6,FALSE)</f>
        <v>Electrosurgical Units, Monopolar/Bipolar</v>
      </c>
      <c r="BHI102" s="528" t="s">
        <v>213</v>
      </c>
      <c r="BHJ102" s="529" t="str">
        <f>VLOOKUP(BHI102,[14]AssetDetails_UEM!$A$3:$AH$1849,6,FALSE)</f>
        <v>Electrosurgical Units, Monopolar/Bipolar</v>
      </c>
      <c r="BHK102" s="528" t="s">
        <v>213</v>
      </c>
      <c r="BHL102" s="529" t="str">
        <f>VLOOKUP(BHK102,[14]AssetDetails_UEM!$A$3:$AH$1849,6,FALSE)</f>
        <v>Electrosurgical Units, Monopolar/Bipolar</v>
      </c>
      <c r="BHM102" s="528" t="s">
        <v>213</v>
      </c>
      <c r="BHN102" s="529" t="str">
        <f>VLOOKUP(BHM102,[14]AssetDetails_UEM!$A$3:$AH$1849,6,FALSE)</f>
        <v>Electrosurgical Units, Monopolar/Bipolar</v>
      </c>
      <c r="BHO102" s="528" t="s">
        <v>213</v>
      </c>
      <c r="BHP102" s="529" t="str">
        <f>VLOOKUP(BHO102,[14]AssetDetails_UEM!$A$3:$AH$1849,6,FALSE)</f>
        <v>Electrosurgical Units, Monopolar/Bipolar</v>
      </c>
      <c r="BHQ102" s="528" t="s">
        <v>213</v>
      </c>
      <c r="BHR102" s="529" t="str">
        <f>VLOOKUP(BHQ102,[14]AssetDetails_UEM!$A$3:$AH$1849,6,FALSE)</f>
        <v>Electrosurgical Units, Monopolar/Bipolar</v>
      </c>
      <c r="BHS102" s="528" t="s">
        <v>213</v>
      </c>
      <c r="BHT102" s="529" t="str">
        <f>VLOOKUP(BHS102,[14]AssetDetails_UEM!$A$3:$AH$1849,6,FALSE)</f>
        <v>Electrosurgical Units, Monopolar/Bipolar</v>
      </c>
      <c r="BHU102" s="528" t="s">
        <v>213</v>
      </c>
      <c r="BHV102" s="529" t="str">
        <f>VLOOKUP(BHU102,[14]AssetDetails_UEM!$A$3:$AH$1849,6,FALSE)</f>
        <v>Electrosurgical Units, Monopolar/Bipolar</v>
      </c>
      <c r="BHW102" s="528" t="s">
        <v>213</v>
      </c>
      <c r="BHX102" s="529" t="str">
        <f>VLOOKUP(BHW102,[14]AssetDetails_UEM!$A$3:$AH$1849,6,FALSE)</f>
        <v>Electrosurgical Units, Monopolar/Bipolar</v>
      </c>
      <c r="BHY102" s="528" t="s">
        <v>213</v>
      </c>
      <c r="BHZ102" s="529" t="str">
        <f>VLOOKUP(BHY102,[14]AssetDetails_UEM!$A$3:$AH$1849,6,FALSE)</f>
        <v>Electrosurgical Units, Monopolar/Bipolar</v>
      </c>
      <c r="BIA102" s="528" t="s">
        <v>213</v>
      </c>
      <c r="BIB102" s="529" t="str">
        <f>VLOOKUP(BIA102,[14]AssetDetails_UEM!$A$3:$AH$1849,6,FALSE)</f>
        <v>Electrosurgical Units, Monopolar/Bipolar</v>
      </c>
      <c r="BIC102" s="528" t="s">
        <v>213</v>
      </c>
      <c r="BID102" s="529" t="str">
        <f>VLOOKUP(BIC102,[14]AssetDetails_UEM!$A$3:$AH$1849,6,FALSE)</f>
        <v>Electrosurgical Units, Monopolar/Bipolar</v>
      </c>
      <c r="BIE102" s="528" t="s">
        <v>213</v>
      </c>
      <c r="BIF102" s="529" t="str">
        <f>VLOOKUP(BIE102,[14]AssetDetails_UEM!$A$3:$AH$1849,6,FALSE)</f>
        <v>Electrosurgical Units, Monopolar/Bipolar</v>
      </c>
      <c r="BIG102" s="528" t="s">
        <v>213</v>
      </c>
      <c r="BIH102" s="529" t="str">
        <f>VLOOKUP(BIG102,[14]AssetDetails_UEM!$A$3:$AH$1849,6,FALSE)</f>
        <v>Electrosurgical Units, Monopolar/Bipolar</v>
      </c>
      <c r="BII102" s="528" t="s">
        <v>213</v>
      </c>
      <c r="BIJ102" s="529" t="str">
        <f>VLOOKUP(BII102,[14]AssetDetails_UEM!$A$3:$AH$1849,6,FALSE)</f>
        <v>Electrosurgical Units, Monopolar/Bipolar</v>
      </c>
      <c r="BIK102" s="528" t="s">
        <v>213</v>
      </c>
      <c r="BIL102" s="529" t="str">
        <f>VLOOKUP(BIK102,[14]AssetDetails_UEM!$A$3:$AH$1849,6,FALSE)</f>
        <v>Electrosurgical Units, Monopolar/Bipolar</v>
      </c>
      <c r="BIM102" s="528" t="s">
        <v>213</v>
      </c>
      <c r="BIN102" s="529" t="str">
        <f>VLOOKUP(BIM102,[14]AssetDetails_UEM!$A$3:$AH$1849,6,FALSE)</f>
        <v>Electrosurgical Units, Monopolar/Bipolar</v>
      </c>
      <c r="BIO102" s="528" t="s">
        <v>213</v>
      </c>
      <c r="BIP102" s="529" t="str">
        <f>VLOOKUP(BIO102,[14]AssetDetails_UEM!$A$3:$AH$1849,6,FALSE)</f>
        <v>Electrosurgical Units, Monopolar/Bipolar</v>
      </c>
      <c r="BIQ102" s="528" t="s">
        <v>213</v>
      </c>
      <c r="BIR102" s="529" t="str">
        <f>VLOOKUP(BIQ102,[14]AssetDetails_UEM!$A$3:$AH$1849,6,FALSE)</f>
        <v>Electrosurgical Units, Monopolar/Bipolar</v>
      </c>
      <c r="BIS102" s="528" t="s">
        <v>213</v>
      </c>
      <c r="BIT102" s="529" t="str">
        <f>VLOOKUP(BIS102,[14]AssetDetails_UEM!$A$3:$AH$1849,6,FALSE)</f>
        <v>Electrosurgical Units, Monopolar/Bipolar</v>
      </c>
      <c r="BIU102" s="528" t="s">
        <v>213</v>
      </c>
      <c r="BIV102" s="529" t="str">
        <f>VLOOKUP(BIU102,[14]AssetDetails_UEM!$A$3:$AH$1849,6,FALSE)</f>
        <v>Electrosurgical Units, Monopolar/Bipolar</v>
      </c>
      <c r="BIW102" s="528" t="s">
        <v>213</v>
      </c>
      <c r="BIX102" s="529" t="str">
        <f>VLOOKUP(BIW102,[14]AssetDetails_UEM!$A$3:$AH$1849,6,FALSE)</f>
        <v>Electrosurgical Units, Monopolar/Bipolar</v>
      </c>
      <c r="BIY102" s="528" t="s">
        <v>213</v>
      </c>
      <c r="BIZ102" s="529" t="str">
        <f>VLOOKUP(BIY102,[14]AssetDetails_UEM!$A$3:$AH$1849,6,FALSE)</f>
        <v>Electrosurgical Units, Monopolar/Bipolar</v>
      </c>
      <c r="BJA102" s="528" t="s">
        <v>213</v>
      </c>
      <c r="BJB102" s="529" t="str">
        <f>VLOOKUP(BJA102,[14]AssetDetails_UEM!$A$3:$AH$1849,6,FALSE)</f>
        <v>Electrosurgical Units, Monopolar/Bipolar</v>
      </c>
      <c r="BJC102" s="528" t="s">
        <v>213</v>
      </c>
      <c r="BJD102" s="529" t="str">
        <f>VLOOKUP(BJC102,[14]AssetDetails_UEM!$A$3:$AH$1849,6,FALSE)</f>
        <v>Electrosurgical Units, Monopolar/Bipolar</v>
      </c>
      <c r="BJE102" s="528" t="s">
        <v>213</v>
      </c>
      <c r="BJF102" s="529" t="str">
        <f>VLOOKUP(BJE102,[14]AssetDetails_UEM!$A$3:$AH$1849,6,FALSE)</f>
        <v>Electrosurgical Units, Monopolar/Bipolar</v>
      </c>
      <c r="BJG102" s="528" t="s">
        <v>213</v>
      </c>
      <c r="BJH102" s="529" t="str">
        <f>VLOOKUP(BJG102,[14]AssetDetails_UEM!$A$3:$AH$1849,6,FALSE)</f>
        <v>Electrosurgical Units, Monopolar/Bipolar</v>
      </c>
      <c r="BJI102" s="528" t="s">
        <v>213</v>
      </c>
      <c r="BJJ102" s="529" t="str">
        <f>VLOOKUP(BJI102,[14]AssetDetails_UEM!$A$3:$AH$1849,6,FALSE)</f>
        <v>Electrosurgical Units, Monopolar/Bipolar</v>
      </c>
      <c r="BJK102" s="528" t="s">
        <v>213</v>
      </c>
      <c r="BJL102" s="529" t="str">
        <f>VLOOKUP(BJK102,[14]AssetDetails_UEM!$A$3:$AH$1849,6,FALSE)</f>
        <v>Electrosurgical Units, Monopolar/Bipolar</v>
      </c>
      <c r="BJM102" s="528" t="s">
        <v>213</v>
      </c>
      <c r="BJN102" s="529" t="str">
        <f>VLOOKUP(BJM102,[14]AssetDetails_UEM!$A$3:$AH$1849,6,FALSE)</f>
        <v>Electrosurgical Units, Monopolar/Bipolar</v>
      </c>
      <c r="BJO102" s="528" t="s">
        <v>213</v>
      </c>
      <c r="BJP102" s="529" t="str">
        <f>VLOOKUP(BJO102,[14]AssetDetails_UEM!$A$3:$AH$1849,6,FALSE)</f>
        <v>Electrosurgical Units, Monopolar/Bipolar</v>
      </c>
      <c r="BJQ102" s="528" t="s">
        <v>213</v>
      </c>
      <c r="BJR102" s="529" t="str">
        <f>VLOOKUP(BJQ102,[14]AssetDetails_UEM!$A$3:$AH$1849,6,FALSE)</f>
        <v>Electrosurgical Units, Monopolar/Bipolar</v>
      </c>
      <c r="BJS102" s="528" t="s">
        <v>213</v>
      </c>
      <c r="BJT102" s="529" t="str">
        <f>VLOOKUP(BJS102,[14]AssetDetails_UEM!$A$3:$AH$1849,6,FALSE)</f>
        <v>Electrosurgical Units, Monopolar/Bipolar</v>
      </c>
      <c r="BJU102" s="528" t="s">
        <v>213</v>
      </c>
      <c r="BJV102" s="529" t="str">
        <f>VLOOKUP(BJU102,[14]AssetDetails_UEM!$A$3:$AH$1849,6,FALSE)</f>
        <v>Electrosurgical Units, Monopolar/Bipolar</v>
      </c>
      <c r="BJW102" s="528" t="s">
        <v>213</v>
      </c>
      <c r="BJX102" s="529" t="str">
        <f>VLOOKUP(BJW102,[14]AssetDetails_UEM!$A$3:$AH$1849,6,FALSE)</f>
        <v>Electrosurgical Units, Monopolar/Bipolar</v>
      </c>
      <c r="BJY102" s="528" t="s">
        <v>213</v>
      </c>
      <c r="BJZ102" s="529" t="str">
        <f>VLOOKUP(BJY102,[14]AssetDetails_UEM!$A$3:$AH$1849,6,FALSE)</f>
        <v>Electrosurgical Units, Monopolar/Bipolar</v>
      </c>
      <c r="BKA102" s="528" t="s">
        <v>213</v>
      </c>
      <c r="BKB102" s="529" t="str">
        <f>VLOOKUP(BKA102,[14]AssetDetails_UEM!$A$3:$AH$1849,6,FALSE)</f>
        <v>Electrosurgical Units, Monopolar/Bipolar</v>
      </c>
      <c r="BKC102" s="528" t="s">
        <v>213</v>
      </c>
      <c r="BKD102" s="529" t="str">
        <f>VLOOKUP(BKC102,[14]AssetDetails_UEM!$A$3:$AH$1849,6,FALSE)</f>
        <v>Electrosurgical Units, Monopolar/Bipolar</v>
      </c>
      <c r="BKE102" s="528" t="s">
        <v>213</v>
      </c>
      <c r="BKF102" s="529" t="str">
        <f>VLOOKUP(BKE102,[14]AssetDetails_UEM!$A$3:$AH$1849,6,FALSE)</f>
        <v>Electrosurgical Units, Monopolar/Bipolar</v>
      </c>
      <c r="BKG102" s="528" t="s">
        <v>213</v>
      </c>
      <c r="BKH102" s="529" t="str">
        <f>VLOOKUP(BKG102,[14]AssetDetails_UEM!$A$3:$AH$1849,6,FALSE)</f>
        <v>Electrosurgical Units, Monopolar/Bipolar</v>
      </c>
      <c r="BKI102" s="528" t="s">
        <v>213</v>
      </c>
      <c r="BKJ102" s="529" t="str">
        <f>VLOOKUP(BKI102,[14]AssetDetails_UEM!$A$3:$AH$1849,6,FALSE)</f>
        <v>Electrosurgical Units, Monopolar/Bipolar</v>
      </c>
      <c r="BKK102" s="528" t="s">
        <v>213</v>
      </c>
      <c r="BKL102" s="529" t="str">
        <f>VLOOKUP(BKK102,[14]AssetDetails_UEM!$A$3:$AH$1849,6,FALSE)</f>
        <v>Electrosurgical Units, Monopolar/Bipolar</v>
      </c>
      <c r="BKM102" s="528" t="s">
        <v>213</v>
      </c>
      <c r="BKN102" s="529" t="str">
        <f>VLOOKUP(BKM102,[14]AssetDetails_UEM!$A$3:$AH$1849,6,FALSE)</f>
        <v>Electrosurgical Units, Monopolar/Bipolar</v>
      </c>
      <c r="BKO102" s="528" t="s">
        <v>213</v>
      </c>
      <c r="BKP102" s="529" t="str">
        <f>VLOOKUP(BKO102,[14]AssetDetails_UEM!$A$3:$AH$1849,6,FALSE)</f>
        <v>Electrosurgical Units, Monopolar/Bipolar</v>
      </c>
      <c r="BKQ102" s="528" t="s">
        <v>213</v>
      </c>
      <c r="BKR102" s="529" t="str">
        <f>VLOOKUP(BKQ102,[14]AssetDetails_UEM!$A$3:$AH$1849,6,FALSE)</f>
        <v>Electrosurgical Units, Monopolar/Bipolar</v>
      </c>
      <c r="BKS102" s="528" t="s">
        <v>213</v>
      </c>
      <c r="BKT102" s="529" t="str">
        <f>VLOOKUP(BKS102,[14]AssetDetails_UEM!$A$3:$AH$1849,6,FALSE)</f>
        <v>Electrosurgical Units, Monopolar/Bipolar</v>
      </c>
      <c r="BKU102" s="528" t="s">
        <v>213</v>
      </c>
      <c r="BKV102" s="529" t="str">
        <f>VLOOKUP(BKU102,[14]AssetDetails_UEM!$A$3:$AH$1849,6,FALSE)</f>
        <v>Electrosurgical Units, Monopolar/Bipolar</v>
      </c>
      <c r="BKW102" s="528" t="s">
        <v>213</v>
      </c>
      <c r="BKX102" s="529" t="str">
        <f>VLOOKUP(BKW102,[14]AssetDetails_UEM!$A$3:$AH$1849,6,FALSE)</f>
        <v>Electrosurgical Units, Monopolar/Bipolar</v>
      </c>
      <c r="BKY102" s="528" t="s">
        <v>213</v>
      </c>
      <c r="BKZ102" s="529" t="str">
        <f>VLOOKUP(BKY102,[14]AssetDetails_UEM!$A$3:$AH$1849,6,FALSE)</f>
        <v>Electrosurgical Units, Monopolar/Bipolar</v>
      </c>
      <c r="BLA102" s="528" t="s">
        <v>213</v>
      </c>
      <c r="BLB102" s="529" t="str">
        <f>VLOOKUP(BLA102,[14]AssetDetails_UEM!$A$3:$AH$1849,6,FALSE)</f>
        <v>Electrosurgical Units, Monopolar/Bipolar</v>
      </c>
      <c r="BLC102" s="528" t="s">
        <v>213</v>
      </c>
      <c r="BLD102" s="529" t="str">
        <f>VLOOKUP(BLC102,[14]AssetDetails_UEM!$A$3:$AH$1849,6,FALSE)</f>
        <v>Electrosurgical Units, Monopolar/Bipolar</v>
      </c>
      <c r="BLE102" s="528" t="s">
        <v>213</v>
      </c>
      <c r="BLF102" s="529" t="str">
        <f>VLOOKUP(BLE102,[14]AssetDetails_UEM!$A$3:$AH$1849,6,FALSE)</f>
        <v>Electrosurgical Units, Monopolar/Bipolar</v>
      </c>
      <c r="BLG102" s="528" t="s">
        <v>213</v>
      </c>
      <c r="BLH102" s="529" t="str">
        <f>VLOOKUP(BLG102,[14]AssetDetails_UEM!$A$3:$AH$1849,6,FALSE)</f>
        <v>Electrosurgical Units, Monopolar/Bipolar</v>
      </c>
      <c r="BLI102" s="528" t="s">
        <v>213</v>
      </c>
      <c r="BLJ102" s="529" t="str">
        <f>VLOOKUP(BLI102,[14]AssetDetails_UEM!$A$3:$AH$1849,6,FALSE)</f>
        <v>Electrosurgical Units, Monopolar/Bipolar</v>
      </c>
      <c r="BLK102" s="528" t="s">
        <v>213</v>
      </c>
      <c r="BLL102" s="529" t="str">
        <f>VLOOKUP(BLK102,[14]AssetDetails_UEM!$A$3:$AH$1849,6,FALSE)</f>
        <v>Electrosurgical Units, Monopolar/Bipolar</v>
      </c>
      <c r="BLM102" s="528" t="s">
        <v>213</v>
      </c>
      <c r="BLN102" s="529" t="str">
        <f>VLOOKUP(BLM102,[14]AssetDetails_UEM!$A$3:$AH$1849,6,FALSE)</f>
        <v>Electrosurgical Units, Monopolar/Bipolar</v>
      </c>
      <c r="BLO102" s="528" t="s">
        <v>213</v>
      </c>
      <c r="BLP102" s="529" t="str">
        <f>VLOOKUP(BLO102,[14]AssetDetails_UEM!$A$3:$AH$1849,6,FALSE)</f>
        <v>Electrosurgical Units, Monopolar/Bipolar</v>
      </c>
      <c r="BLQ102" s="528" t="s">
        <v>213</v>
      </c>
      <c r="BLR102" s="529" t="str">
        <f>VLOOKUP(BLQ102,[14]AssetDetails_UEM!$A$3:$AH$1849,6,FALSE)</f>
        <v>Electrosurgical Units, Monopolar/Bipolar</v>
      </c>
      <c r="BLS102" s="528" t="s">
        <v>213</v>
      </c>
      <c r="BLT102" s="529" t="str">
        <f>VLOOKUP(BLS102,[14]AssetDetails_UEM!$A$3:$AH$1849,6,FALSE)</f>
        <v>Electrosurgical Units, Monopolar/Bipolar</v>
      </c>
      <c r="BLU102" s="528" t="s">
        <v>213</v>
      </c>
      <c r="BLV102" s="529" t="str">
        <f>VLOOKUP(BLU102,[14]AssetDetails_UEM!$A$3:$AH$1849,6,FALSE)</f>
        <v>Electrosurgical Units, Monopolar/Bipolar</v>
      </c>
      <c r="BLW102" s="528" t="s">
        <v>213</v>
      </c>
      <c r="BLX102" s="529" t="str">
        <f>VLOOKUP(BLW102,[14]AssetDetails_UEM!$A$3:$AH$1849,6,FALSE)</f>
        <v>Electrosurgical Units, Monopolar/Bipolar</v>
      </c>
      <c r="BLY102" s="528" t="s">
        <v>213</v>
      </c>
      <c r="BLZ102" s="529" t="str">
        <f>VLOOKUP(BLY102,[14]AssetDetails_UEM!$A$3:$AH$1849,6,FALSE)</f>
        <v>Electrosurgical Units, Monopolar/Bipolar</v>
      </c>
      <c r="BMA102" s="528" t="s">
        <v>213</v>
      </c>
      <c r="BMB102" s="529" t="str">
        <f>VLOOKUP(BMA102,[14]AssetDetails_UEM!$A$3:$AH$1849,6,FALSE)</f>
        <v>Electrosurgical Units, Monopolar/Bipolar</v>
      </c>
      <c r="BMC102" s="528" t="s">
        <v>213</v>
      </c>
      <c r="BMD102" s="529" t="str">
        <f>VLOOKUP(BMC102,[14]AssetDetails_UEM!$A$3:$AH$1849,6,FALSE)</f>
        <v>Electrosurgical Units, Monopolar/Bipolar</v>
      </c>
      <c r="BME102" s="528" t="s">
        <v>213</v>
      </c>
      <c r="BMF102" s="529" t="str">
        <f>VLOOKUP(BME102,[14]AssetDetails_UEM!$A$3:$AH$1849,6,FALSE)</f>
        <v>Electrosurgical Units, Monopolar/Bipolar</v>
      </c>
      <c r="BMG102" s="528" t="s">
        <v>213</v>
      </c>
      <c r="BMH102" s="529" t="str">
        <f>VLOOKUP(BMG102,[14]AssetDetails_UEM!$A$3:$AH$1849,6,FALSE)</f>
        <v>Electrosurgical Units, Monopolar/Bipolar</v>
      </c>
      <c r="BMI102" s="528" t="s">
        <v>213</v>
      </c>
      <c r="BMJ102" s="529" t="str">
        <f>VLOOKUP(BMI102,[14]AssetDetails_UEM!$A$3:$AH$1849,6,FALSE)</f>
        <v>Electrosurgical Units, Monopolar/Bipolar</v>
      </c>
      <c r="BMK102" s="528" t="s">
        <v>213</v>
      </c>
      <c r="BML102" s="529" t="str">
        <f>VLOOKUP(BMK102,[14]AssetDetails_UEM!$A$3:$AH$1849,6,FALSE)</f>
        <v>Electrosurgical Units, Monopolar/Bipolar</v>
      </c>
      <c r="BMM102" s="528" t="s">
        <v>213</v>
      </c>
      <c r="BMN102" s="529" t="str">
        <f>VLOOKUP(BMM102,[14]AssetDetails_UEM!$A$3:$AH$1849,6,FALSE)</f>
        <v>Electrosurgical Units, Monopolar/Bipolar</v>
      </c>
      <c r="BMO102" s="528" t="s">
        <v>213</v>
      </c>
      <c r="BMP102" s="529" t="str">
        <f>VLOOKUP(BMO102,[14]AssetDetails_UEM!$A$3:$AH$1849,6,FALSE)</f>
        <v>Electrosurgical Units, Monopolar/Bipolar</v>
      </c>
      <c r="BMQ102" s="528" t="s">
        <v>213</v>
      </c>
      <c r="BMR102" s="529" t="str">
        <f>VLOOKUP(BMQ102,[14]AssetDetails_UEM!$A$3:$AH$1849,6,FALSE)</f>
        <v>Electrosurgical Units, Monopolar/Bipolar</v>
      </c>
      <c r="BMS102" s="528" t="s">
        <v>213</v>
      </c>
      <c r="BMT102" s="529" t="str">
        <f>VLOOKUP(BMS102,[14]AssetDetails_UEM!$A$3:$AH$1849,6,FALSE)</f>
        <v>Electrosurgical Units, Monopolar/Bipolar</v>
      </c>
      <c r="BMU102" s="528" t="s">
        <v>213</v>
      </c>
      <c r="BMV102" s="529" t="str">
        <f>VLOOKUP(BMU102,[14]AssetDetails_UEM!$A$3:$AH$1849,6,FALSE)</f>
        <v>Electrosurgical Units, Monopolar/Bipolar</v>
      </c>
      <c r="BMW102" s="528" t="s">
        <v>213</v>
      </c>
      <c r="BMX102" s="529" t="str">
        <f>VLOOKUP(BMW102,[14]AssetDetails_UEM!$A$3:$AH$1849,6,FALSE)</f>
        <v>Electrosurgical Units, Monopolar/Bipolar</v>
      </c>
      <c r="BMY102" s="528" t="s">
        <v>213</v>
      </c>
      <c r="BMZ102" s="529" t="str">
        <f>VLOOKUP(BMY102,[14]AssetDetails_UEM!$A$3:$AH$1849,6,FALSE)</f>
        <v>Electrosurgical Units, Monopolar/Bipolar</v>
      </c>
      <c r="BNA102" s="528" t="s">
        <v>213</v>
      </c>
      <c r="BNB102" s="529" t="str">
        <f>VLOOKUP(BNA102,[14]AssetDetails_UEM!$A$3:$AH$1849,6,FALSE)</f>
        <v>Electrosurgical Units, Monopolar/Bipolar</v>
      </c>
      <c r="BNC102" s="528" t="s">
        <v>213</v>
      </c>
      <c r="BND102" s="529" t="str">
        <f>VLOOKUP(BNC102,[14]AssetDetails_UEM!$A$3:$AH$1849,6,FALSE)</f>
        <v>Electrosurgical Units, Monopolar/Bipolar</v>
      </c>
      <c r="BNE102" s="528" t="s">
        <v>213</v>
      </c>
      <c r="BNF102" s="529" t="str">
        <f>VLOOKUP(BNE102,[14]AssetDetails_UEM!$A$3:$AH$1849,6,FALSE)</f>
        <v>Electrosurgical Units, Monopolar/Bipolar</v>
      </c>
      <c r="BNG102" s="528" t="s">
        <v>213</v>
      </c>
      <c r="BNH102" s="529" t="str">
        <f>VLOOKUP(BNG102,[14]AssetDetails_UEM!$A$3:$AH$1849,6,FALSE)</f>
        <v>Electrosurgical Units, Monopolar/Bipolar</v>
      </c>
      <c r="BNI102" s="528" t="s">
        <v>213</v>
      </c>
      <c r="BNJ102" s="529" t="str">
        <f>VLOOKUP(BNI102,[14]AssetDetails_UEM!$A$3:$AH$1849,6,FALSE)</f>
        <v>Electrosurgical Units, Monopolar/Bipolar</v>
      </c>
      <c r="BNK102" s="528" t="s">
        <v>213</v>
      </c>
      <c r="BNL102" s="529" t="str">
        <f>VLOOKUP(BNK102,[14]AssetDetails_UEM!$A$3:$AH$1849,6,FALSE)</f>
        <v>Electrosurgical Units, Monopolar/Bipolar</v>
      </c>
      <c r="BNM102" s="528" t="s">
        <v>213</v>
      </c>
      <c r="BNN102" s="529" t="str">
        <f>VLOOKUP(BNM102,[14]AssetDetails_UEM!$A$3:$AH$1849,6,FALSE)</f>
        <v>Electrosurgical Units, Monopolar/Bipolar</v>
      </c>
      <c r="BNO102" s="528" t="s">
        <v>213</v>
      </c>
      <c r="BNP102" s="529" t="str">
        <f>VLOOKUP(BNO102,[14]AssetDetails_UEM!$A$3:$AH$1849,6,FALSE)</f>
        <v>Electrosurgical Units, Monopolar/Bipolar</v>
      </c>
      <c r="BNQ102" s="528" t="s">
        <v>213</v>
      </c>
      <c r="BNR102" s="529" t="str">
        <f>VLOOKUP(BNQ102,[14]AssetDetails_UEM!$A$3:$AH$1849,6,FALSE)</f>
        <v>Electrosurgical Units, Monopolar/Bipolar</v>
      </c>
      <c r="BNS102" s="528" t="s">
        <v>213</v>
      </c>
      <c r="BNT102" s="529" t="str">
        <f>VLOOKUP(BNS102,[14]AssetDetails_UEM!$A$3:$AH$1849,6,FALSE)</f>
        <v>Electrosurgical Units, Monopolar/Bipolar</v>
      </c>
      <c r="BNU102" s="528" t="s">
        <v>213</v>
      </c>
      <c r="BNV102" s="529" t="str">
        <f>VLOOKUP(BNU102,[14]AssetDetails_UEM!$A$3:$AH$1849,6,FALSE)</f>
        <v>Electrosurgical Units, Monopolar/Bipolar</v>
      </c>
      <c r="BNW102" s="528" t="s">
        <v>213</v>
      </c>
      <c r="BNX102" s="529" t="str">
        <f>VLOOKUP(BNW102,[14]AssetDetails_UEM!$A$3:$AH$1849,6,FALSE)</f>
        <v>Electrosurgical Units, Monopolar/Bipolar</v>
      </c>
      <c r="BNY102" s="528" t="s">
        <v>213</v>
      </c>
      <c r="BNZ102" s="529" t="str">
        <f>VLOOKUP(BNY102,[14]AssetDetails_UEM!$A$3:$AH$1849,6,FALSE)</f>
        <v>Electrosurgical Units, Monopolar/Bipolar</v>
      </c>
      <c r="BOA102" s="528" t="s">
        <v>213</v>
      </c>
      <c r="BOB102" s="529" t="str">
        <f>VLOOKUP(BOA102,[14]AssetDetails_UEM!$A$3:$AH$1849,6,FALSE)</f>
        <v>Electrosurgical Units, Monopolar/Bipolar</v>
      </c>
      <c r="BOC102" s="528" t="s">
        <v>213</v>
      </c>
      <c r="BOD102" s="529" t="str">
        <f>VLOOKUP(BOC102,[14]AssetDetails_UEM!$A$3:$AH$1849,6,FALSE)</f>
        <v>Electrosurgical Units, Monopolar/Bipolar</v>
      </c>
      <c r="BOE102" s="528" t="s">
        <v>213</v>
      </c>
      <c r="BOF102" s="529" t="str">
        <f>VLOOKUP(BOE102,[14]AssetDetails_UEM!$A$3:$AH$1849,6,FALSE)</f>
        <v>Electrosurgical Units, Monopolar/Bipolar</v>
      </c>
      <c r="BOG102" s="528" t="s">
        <v>213</v>
      </c>
      <c r="BOH102" s="529" t="str">
        <f>VLOOKUP(BOG102,[14]AssetDetails_UEM!$A$3:$AH$1849,6,FALSE)</f>
        <v>Electrosurgical Units, Monopolar/Bipolar</v>
      </c>
      <c r="BOI102" s="528" t="s">
        <v>213</v>
      </c>
      <c r="BOJ102" s="529" t="str">
        <f>VLOOKUP(BOI102,[14]AssetDetails_UEM!$A$3:$AH$1849,6,FALSE)</f>
        <v>Electrosurgical Units, Monopolar/Bipolar</v>
      </c>
      <c r="BOK102" s="528" t="s">
        <v>213</v>
      </c>
      <c r="BOL102" s="529" t="str">
        <f>VLOOKUP(BOK102,[14]AssetDetails_UEM!$A$3:$AH$1849,6,FALSE)</f>
        <v>Electrosurgical Units, Monopolar/Bipolar</v>
      </c>
      <c r="BOM102" s="528" t="s">
        <v>213</v>
      </c>
      <c r="BON102" s="529" t="str">
        <f>VLOOKUP(BOM102,[14]AssetDetails_UEM!$A$3:$AH$1849,6,FALSE)</f>
        <v>Electrosurgical Units, Monopolar/Bipolar</v>
      </c>
      <c r="BOO102" s="528" t="s">
        <v>213</v>
      </c>
      <c r="BOP102" s="529" t="str">
        <f>VLOOKUP(BOO102,[14]AssetDetails_UEM!$A$3:$AH$1849,6,FALSE)</f>
        <v>Electrosurgical Units, Monopolar/Bipolar</v>
      </c>
      <c r="BOQ102" s="528" t="s">
        <v>213</v>
      </c>
      <c r="BOR102" s="529" t="str">
        <f>VLOOKUP(BOQ102,[14]AssetDetails_UEM!$A$3:$AH$1849,6,FALSE)</f>
        <v>Electrosurgical Units, Monopolar/Bipolar</v>
      </c>
      <c r="BOS102" s="528" t="s">
        <v>213</v>
      </c>
      <c r="BOT102" s="529" t="str">
        <f>VLOOKUP(BOS102,[14]AssetDetails_UEM!$A$3:$AH$1849,6,FALSE)</f>
        <v>Electrosurgical Units, Monopolar/Bipolar</v>
      </c>
      <c r="BOU102" s="528" t="s">
        <v>213</v>
      </c>
      <c r="BOV102" s="529" t="str">
        <f>VLOOKUP(BOU102,[14]AssetDetails_UEM!$A$3:$AH$1849,6,FALSE)</f>
        <v>Electrosurgical Units, Monopolar/Bipolar</v>
      </c>
      <c r="BOW102" s="528" t="s">
        <v>213</v>
      </c>
      <c r="BOX102" s="529" t="str">
        <f>VLOOKUP(BOW102,[14]AssetDetails_UEM!$A$3:$AH$1849,6,FALSE)</f>
        <v>Electrosurgical Units, Monopolar/Bipolar</v>
      </c>
      <c r="BOY102" s="528" t="s">
        <v>213</v>
      </c>
      <c r="BOZ102" s="529" t="str">
        <f>VLOOKUP(BOY102,[14]AssetDetails_UEM!$A$3:$AH$1849,6,FALSE)</f>
        <v>Electrosurgical Units, Monopolar/Bipolar</v>
      </c>
      <c r="BPA102" s="528" t="s">
        <v>213</v>
      </c>
      <c r="BPB102" s="529" t="str">
        <f>VLOOKUP(BPA102,[14]AssetDetails_UEM!$A$3:$AH$1849,6,FALSE)</f>
        <v>Electrosurgical Units, Monopolar/Bipolar</v>
      </c>
      <c r="BPC102" s="528" t="s">
        <v>213</v>
      </c>
      <c r="BPD102" s="529" t="str">
        <f>VLOOKUP(BPC102,[14]AssetDetails_UEM!$A$3:$AH$1849,6,FALSE)</f>
        <v>Electrosurgical Units, Monopolar/Bipolar</v>
      </c>
      <c r="BPE102" s="528" t="s">
        <v>213</v>
      </c>
      <c r="BPF102" s="529" t="str">
        <f>VLOOKUP(BPE102,[14]AssetDetails_UEM!$A$3:$AH$1849,6,FALSE)</f>
        <v>Electrosurgical Units, Monopolar/Bipolar</v>
      </c>
      <c r="BPG102" s="528" t="s">
        <v>213</v>
      </c>
      <c r="BPH102" s="529" t="str">
        <f>VLOOKUP(BPG102,[14]AssetDetails_UEM!$A$3:$AH$1849,6,FALSE)</f>
        <v>Electrosurgical Units, Monopolar/Bipolar</v>
      </c>
      <c r="BPI102" s="528" t="s">
        <v>213</v>
      </c>
      <c r="BPJ102" s="529" t="str">
        <f>VLOOKUP(BPI102,[14]AssetDetails_UEM!$A$3:$AH$1849,6,FALSE)</f>
        <v>Electrosurgical Units, Monopolar/Bipolar</v>
      </c>
      <c r="BPK102" s="528" t="s">
        <v>213</v>
      </c>
      <c r="BPL102" s="529" t="str">
        <f>VLOOKUP(BPK102,[14]AssetDetails_UEM!$A$3:$AH$1849,6,FALSE)</f>
        <v>Electrosurgical Units, Monopolar/Bipolar</v>
      </c>
      <c r="BPM102" s="528" t="s">
        <v>213</v>
      </c>
      <c r="BPN102" s="529" t="str">
        <f>VLOOKUP(BPM102,[14]AssetDetails_UEM!$A$3:$AH$1849,6,FALSE)</f>
        <v>Electrosurgical Units, Monopolar/Bipolar</v>
      </c>
      <c r="BPO102" s="528" t="s">
        <v>213</v>
      </c>
      <c r="BPP102" s="529" t="str">
        <f>VLOOKUP(BPO102,[14]AssetDetails_UEM!$A$3:$AH$1849,6,FALSE)</f>
        <v>Electrosurgical Units, Monopolar/Bipolar</v>
      </c>
      <c r="BPQ102" s="528" t="s">
        <v>213</v>
      </c>
      <c r="BPR102" s="529" t="str">
        <f>VLOOKUP(BPQ102,[14]AssetDetails_UEM!$A$3:$AH$1849,6,FALSE)</f>
        <v>Electrosurgical Units, Monopolar/Bipolar</v>
      </c>
      <c r="BPS102" s="528" t="s">
        <v>213</v>
      </c>
      <c r="BPT102" s="529" t="str">
        <f>VLOOKUP(BPS102,[14]AssetDetails_UEM!$A$3:$AH$1849,6,FALSE)</f>
        <v>Electrosurgical Units, Monopolar/Bipolar</v>
      </c>
      <c r="BPU102" s="528" t="s">
        <v>213</v>
      </c>
      <c r="BPV102" s="529" t="str">
        <f>VLOOKUP(BPU102,[14]AssetDetails_UEM!$A$3:$AH$1849,6,FALSE)</f>
        <v>Electrosurgical Units, Monopolar/Bipolar</v>
      </c>
      <c r="BPW102" s="528" t="s">
        <v>213</v>
      </c>
      <c r="BPX102" s="529" t="str">
        <f>VLOOKUP(BPW102,[14]AssetDetails_UEM!$A$3:$AH$1849,6,FALSE)</f>
        <v>Electrosurgical Units, Monopolar/Bipolar</v>
      </c>
      <c r="BPY102" s="528" t="s">
        <v>213</v>
      </c>
      <c r="BPZ102" s="529" t="str">
        <f>VLOOKUP(BPY102,[14]AssetDetails_UEM!$A$3:$AH$1849,6,FALSE)</f>
        <v>Electrosurgical Units, Monopolar/Bipolar</v>
      </c>
      <c r="BQA102" s="528" t="s">
        <v>213</v>
      </c>
      <c r="BQB102" s="529" t="str">
        <f>VLOOKUP(BQA102,[14]AssetDetails_UEM!$A$3:$AH$1849,6,FALSE)</f>
        <v>Electrosurgical Units, Monopolar/Bipolar</v>
      </c>
      <c r="BQC102" s="528" t="s">
        <v>213</v>
      </c>
      <c r="BQD102" s="529" t="str">
        <f>VLOOKUP(BQC102,[14]AssetDetails_UEM!$A$3:$AH$1849,6,FALSE)</f>
        <v>Electrosurgical Units, Monopolar/Bipolar</v>
      </c>
      <c r="BQE102" s="528" t="s">
        <v>213</v>
      </c>
      <c r="BQF102" s="529" t="str">
        <f>VLOOKUP(BQE102,[14]AssetDetails_UEM!$A$3:$AH$1849,6,FALSE)</f>
        <v>Electrosurgical Units, Monopolar/Bipolar</v>
      </c>
      <c r="BQG102" s="528" t="s">
        <v>213</v>
      </c>
      <c r="BQH102" s="529" t="str">
        <f>VLOOKUP(BQG102,[14]AssetDetails_UEM!$A$3:$AH$1849,6,FALSE)</f>
        <v>Electrosurgical Units, Monopolar/Bipolar</v>
      </c>
      <c r="BQI102" s="528" t="s">
        <v>213</v>
      </c>
      <c r="BQJ102" s="529" t="str">
        <f>VLOOKUP(BQI102,[14]AssetDetails_UEM!$A$3:$AH$1849,6,FALSE)</f>
        <v>Electrosurgical Units, Monopolar/Bipolar</v>
      </c>
      <c r="BQK102" s="528" t="s">
        <v>213</v>
      </c>
      <c r="BQL102" s="529" t="str">
        <f>VLOOKUP(BQK102,[14]AssetDetails_UEM!$A$3:$AH$1849,6,FALSE)</f>
        <v>Electrosurgical Units, Monopolar/Bipolar</v>
      </c>
      <c r="BQM102" s="528" t="s">
        <v>213</v>
      </c>
      <c r="BQN102" s="529" t="str">
        <f>VLOOKUP(BQM102,[14]AssetDetails_UEM!$A$3:$AH$1849,6,FALSE)</f>
        <v>Electrosurgical Units, Monopolar/Bipolar</v>
      </c>
      <c r="BQO102" s="528" t="s">
        <v>213</v>
      </c>
      <c r="BQP102" s="529" t="str">
        <f>VLOOKUP(BQO102,[14]AssetDetails_UEM!$A$3:$AH$1849,6,FALSE)</f>
        <v>Electrosurgical Units, Monopolar/Bipolar</v>
      </c>
      <c r="BQQ102" s="528" t="s">
        <v>213</v>
      </c>
      <c r="BQR102" s="529" t="str">
        <f>VLOOKUP(BQQ102,[14]AssetDetails_UEM!$A$3:$AH$1849,6,FALSE)</f>
        <v>Electrosurgical Units, Monopolar/Bipolar</v>
      </c>
      <c r="BQS102" s="528" t="s">
        <v>213</v>
      </c>
      <c r="BQT102" s="529" t="str">
        <f>VLOOKUP(BQS102,[14]AssetDetails_UEM!$A$3:$AH$1849,6,FALSE)</f>
        <v>Electrosurgical Units, Monopolar/Bipolar</v>
      </c>
      <c r="BQU102" s="528" t="s">
        <v>213</v>
      </c>
      <c r="BQV102" s="529" t="str">
        <f>VLOOKUP(BQU102,[14]AssetDetails_UEM!$A$3:$AH$1849,6,FALSE)</f>
        <v>Electrosurgical Units, Monopolar/Bipolar</v>
      </c>
      <c r="BQW102" s="528" t="s">
        <v>213</v>
      </c>
      <c r="BQX102" s="529" t="str">
        <f>VLOOKUP(BQW102,[14]AssetDetails_UEM!$A$3:$AH$1849,6,FALSE)</f>
        <v>Electrosurgical Units, Monopolar/Bipolar</v>
      </c>
      <c r="BQY102" s="528" t="s">
        <v>213</v>
      </c>
      <c r="BQZ102" s="529" t="str">
        <f>VLOOKUP(BQY102,[14]AssetDetails_UEM!$A$3:$AH$1849,6,FALSE)</f>
        <v>Electrosurgical Units, Monopolar/Bipolar</v>
      </c>
      <c r="BRA102" s="528" t="s">
        <v>213</v>
      </c>
      <c r="BRB102" s="529" t="str">
        <f>VLOOKUP(BRA102,[14]AssetDetails_UEM!$A$3:$AH$1849,6,FALSE)</f>
        <v>Electrosurgical Units, Monopolar/Bipolar</v>
      </c>
      <c r="BRC102" s="528" t="s">
        <v>213</v>
      </c>
      <c r="BRD102" s="529" t="str">
        <f>VLOOKUP(BRC102,[14]AssetDetails_UEM!$A$3:$AH$1849,6,FALSE)</f>
        <v>Electrosurgical Units, Monopolar/Bipolar</v>
      </c>
      <c r="BRE102" s="528" t="s">
        <v>213</v>
      </c>
      <c r="BRF102" s="529" t="str">
        <f>VLOOKUP(BRE102,[14]AssetDetails_UEM!$A$3:$AH$1849,6,FALSE)</f>
        <v>Electrosurgical Units, Monopolar/Bipolar</v>
      </c>
      <c r="BRG102" s="528" t="s">
        <v>213</v>
      </c>
      <c r="BRH102" s="529" t="str">
        <f>VLOOKUP(BRG102,[14]AssetDetails_UEM!$A$3:$AH$1849,6,FALSE)</f>
        <v>Electrosurgical Units, Monopolar/Bipolar</v>
      </c>
      <c r="BRI102" s="528" t="s">
        <v>213</v>
      </c>
      <c r="BRJ102" s="529" t="str">
        <f>VLOOKUP(BRI102,[14]AssetDetails_UEM!$A$3:$AH$1849,6,FALSE)</f>
        <v>Electrosurgical Units, Monopolar/Bipolar</v>
      </c>
      <c r="BRK102" s="528" t="s">
        <v>213</v>
      </c>
      <c r="BRL102" s="529" t="str">
        <f>VLOOKUP(BRK102,[14]AssetDetails_UEM!$A$3:$AH$1849,6,FALSE)</f>
        <v>Electrosurgical Units, Monopolar/Bipolar</v>
      </c>
      <c r="BRM102" s="528" t="s">
        <v>213</v>
      </c>
      <c r="BRN102" s="529" t="str">
        <f>VLOOKUP(BRM102,[14]AssetDetails_UEM!$A$3:$AH$1849,6,FALSE)</f>
        <v>Electrosurgical Units, Monopolar/Bipolar</v>
      </c>
      <c r="BRO102" s="528" t="s">
        <v>213</v>
      </c>
      <c r="BRP102" s="529" t="str">
        <f>VLOOKUP(BRO102,[14]AssetDetails_UEM!$A$3:$AH$1849,6,FALSE)</f>
        <v>Electrosurgical Units, Monopolar/Bipolar</v>
      </c>
      <c r="BRQ102" s="528" t="s">
        <v>213</v>
      </c>
      <c r="BRR102" s="529" t="str">
        <f>VLOOKUP(BRQ102,[14]AssetDetails_UEM!$A$3:$AH$1849,6,FALSE)</f>
        <v>Electrosurgical Units, Monopolar/Bipolar</v>
      </c>
      <c r="BRS102" s="528" t="s">
        <v>213</v>
      </c>
      <c r="BRT102" s="529" t="str">
        <f>VLOOKUP(BRS102,[14]AssetDetails_UEM!$A$3:$AH$1849,6,FALSE)</f>
        <v>Electrosurgical Units, Monopolar/Bipolar</v>
      </c>
      <c r="BRU102" s="528" t="s">
        <v>213</v>
      </c>
      <c r="BRV102" s="529" t="str">
        <f>VLOOKUP(BRU102,[14]AssetDetails_UEM!$A$3:$AH$1849,6,FALSE)</f>
        <v>Electrosurgical Units, Monopolar/Bipolar</v>
      </c>
      <c r="BRW102" s="528" t="s">
        <v>213</v>
      </c>
      <c r="BRX102" s="529" t="str">
        <f>VLOOKUP(BRW102,[14]AssetDetails_UEM!$A$3:$AH$1849,6,FALSE)</f>
        <v>Electrosurgical Units, Monopolar/Bipolar</v>
      </c>
      <c r="BRY102" s="528" t="s">
        <v>213</v>
      </c>
      <c r="BRZ102" s="529" t="str">
        <f>VLOOKUP(BRY102,[14]AssetDetails_UEM!$A$3:$AH$1849,6,FALSE)</f>
        <v>Electrosurgical Units, Monopolar/Bipolar</v>
      </c>
      <c r="BSA102" s="528" t="s">
        <v>213</v>
      </c>
      <c r="BSB102" s="529" t="str">
        <f>VLOOKUP(BSA102,[14]AssetDetails_UEM!$A$3:$AH$1849,6,FALSE)</f>
        <v>Electrosurgical Units, Monopolar/Bipolar</v>
      </c>
      <c r="BSC102" s="528" t="s">
        <v>213</v>
      </c>
      <c r="BSD102" s="529" t="str">
        <f>VLOOKUP(BSC102,[14]AssetDetails_UEM!$A$3:$AH$1849,6,FALSE)</f>
        <v>Electrosurgical Units, Monopolar/Bipolar</v>
      </c>
      <c r="BSE102" s="528" t="s">
        <v>213</v>
      </c>
      <c r="BSF102" s="529" t="str">
        <f>VLOOKUP(BSE102,[14]AssetDetails_UEM!$A$3:$AH$1849,6,FALSE)</f>
        <v>Electrosurgical Units, Monopolar/Bipolar</v>
      </c>
      <c r="BSG102" s="528" t="s">
        <v>213</v>
      </c>
      <c r="BSH102" s="529" t="str">
        <f>VLOOKUP(BSG102,[14]AssetDetails_UEM!$A$3:$AH$1849,6,FALSE)</f>
        <v>Electrosurgical Units, Monopolar/Bipolar</v>
      </c>
      <c r="BSI102" s="528" t="s">
        <v>213</v>
      </c>
      <c r="BSJ102" s="529" t="str">
        <f>VLOOKUP(BSI102,[14]AssetDetails_UEM!$A$3:$AH$1849,6,FALSE)</f>
        <v>Electrosurgical Units, Monopolar/Bipolar</v>
      </c>
      <c r="BSK102" s="528" t="s">
        <v>213</v>
      </c>
      <c r="BSL102" s="529" t="str">
        <f>VLOOKUP(BSK102,[14]AssetDetails_UEM!$A$3:$AH$1849,6,FALSE)</f>
        <v>Electrosurgical Units, Monopolar/Bipolar</v>
      </c>
      <c r="BSM102" s="528" t="s">
        <v>213</v>
      </c>
      <c r="BSN102" s="529" t="str">
        <f>VLOOKUP(BSM102,[14]AssetDetails_UEM!$A$3:$AH$1849,6,FALSE)</f>
        <v>Electrosurgical Units, Monopolar/Bipolar</v>
      </c>
      <c r="BSO102" s="528" t="s">
        <v>213</v>
      </c>
      <c r="BSP102" s="529" t="str">
        <f>VLOOKUP(BSO102,[14]AssetDetails_UEM!$A$3:$AH$1849,6,FALSE)</f>
        <v>Electrosurgical Units, Monopolar/Bipolar</v>
      </c>
      <c r="BSQ102" s="528" t="s">
        <v>213</v>
      </c>
      <c r="BSR102" s="529" t="str">
        <f>VLOOKUP(BSQ102,[14]AssetDetails_UEM!$A$3:$AH$1849,6,FALSE)</f>
        <v>Electrosurgical Units, Monopolar/Bipolar</v>
      </c>
      <c r="BSS102" s="528" t="s">
        <v>213</v>
      </c>
      <c r="BST102" s="529" t="str">
        <f>VLOOKUP(BSS102,[14]AssetDetails_UEM!$A$3:$AH$1849,6,FALSE)</f>
        <v>Electrosurgical Units, Monopolar/Bipolar</v>
      </c>
      <c r="BSU102" s="528" t="s">
        <v>213</v>
      </c>
      <c r="BSV102" s="529" t="str">
        <f>VLOOKUP(BSU102,[14]AssetDetails_UEM!$A$3:$AH$1849,6,FALSE)</f>
        <v>Electrosurgical Units, Monopolar/Bipolar</v>
      </c>
      <c r="BSW102" s="528" t="s">
        <v>213</v>
      </c>
      <c r="BSX102" s="529" t="str">
        <f>VLOOKUP(BSW102,[14]AssetDetails_UEM!$A$3:$AH$1849,6,FALSE)</f>
        <v>Electrosurgical Units, Monopolar/Bipolar</v>
      </c>
      <c r="BSY102" s="528" t="s">
        <v>213</v>
      </c>
      <c r="BSZ102" s="529" t="str">
        <f>VLOOKUP(BSY102,[14]AssetDetails_UEM!$A$3:$AH$1849,6,FALSE)</f>
        <v>Electrosurgical Units, Monopolar/Bipolar</v>
      </c>
      <c r="BTA102" s="528" t="s">
        <v>213</v>
      </c>
      <c r="BTB102" s="529" t="str">
        <f>VLOOKUP(BTA102,[14]AssetDetails_UEM!$A$3:$AH$1849,6,FALSE)</f>
        <v>Electrosurgical Units, Monopolar/Bipolar</v>
      </c>
      <c r="BTC102" s="528" t="s">
        <v>213</v>
      </c>
      <c r="BTD102" s="529" t="str">
        <f>VLOOKUP(BTC102,[14]AssetDetails_UEM!$A$3:$AH$1849,6,FALSE)</f>
        <v>Electrosurgical Units, Monopolar/Bipolar</v>
      </c>
      <c r="BTE102" s="528" t="s">
        <v>213</v>
      </c>
      <c r="BTF102" s="529" t="str">
        <f>VLOOKUP(BTE102,[14]AssetDetails_UEM!$A$3:$AH$1849,6,FALSE)</f>
        <v>Electrosurgical Units, Monopolar/Bipolar</v>
      </c>
      <c r="BTG102" s="528" t="s">
        <v>213</v>
      </c>
      <c r="BTH102" s="529" t="str">
        <f>VLOOKUP(BTG102,[14]AssetDetails_UEM!$A$3:$AH$1849,6,FALSE)</f>
        <v>Electrosurgical Units, Monopolar/Bipolar</v>
      </c>
      <c r="BTI102" s="528" t="s">
        <v>213</v>
      </c>
      <c r="BTJ102" s="529" t="str">
        <f>VLOOKUP(BTI102,[14]AssetDetails_UEM!$A$3:$AH$1849,6,FALSE)</f>
        <v>Electrosurgical Units, Monopolar/Bipolar</v>
      </c>
      <c r="BTK102" s="528" t="s">
        <v>213</v>
      </c>
      <c r="BTL102" s="529" t="str">
        <f>VLOOKUP(BTK102,[14]AssetDetails_UEM!$A$3:$AH$1849,6,FALSE)</f>
        <v>Electrosurgical Units, Monopolar/Bipolar</v>
      </c>
      <c r="BTM102" s="528" t="s">
        <v>213</v>
      </c>
      <c r="BTN102" s="529" t="str">
        <f>VLOOKUP(BTM102,[14]AssetDetails_UEM!$A$3:$AH$1849,6,FALSE)</f>
        <v>Electrosurgical Units, Monopolar/Bipolar</v>
      </c>
      <c r="BTO102" s="528" t="s">
        <v>213</v>
      </c>
      <c r="BTP102" s="529" t="str">
        <f>VLOOKUP(BTO102,[14]AssetDetails_UEM!$A$3:$AH$1849,6,FALSE)</f>
        <v>Electrosurgical Units, Monopolar/Bipolar</v>
      </c>
      <c r="BTQ102" s="528" t="s">
        <v>213</v>
      </c>
      <c r="BTR102" s="529" t="str">
        <f>VLOOKUP(BTQ102,[14]AssetDetails_UEM!$A$3:$AH$1849,6,FALSE)</f>
        <v>Electrosurgical Units, Monopolar/Bipolar</v>
      </c>
      <c r="BTS102" s="528" t="s">
        <v>213</v>
      </c>
      <c r="BTT102" s="529" t="str">
        <f>VLOOKUP(BTS102,[14]AssetDetails_UEM!$A$3:$AH$1849,6,FALSE)</f>
        <v>Electrosurgical Units, Monopolar/Bipolar</v>
      </c>
      <c r="BTU102" s="528" t="s">
        <v>213</v>
      </c>
      <c r="BTV102" s="529" t="str">
        <f>VLOOKUP(BTU102,[14]AssetDetails_UEM!$A$3:$AH$1849,6,FALSE)</f>
        <v>Electrosurgical Units, Monopolar/Bipolar</v>
      </c>
      <c r="BTW102" s="528" t="s">
        <v>213</v>
      </c>
      <c r="BTX102" s="529" t="str">
        <f>VLOOKUP(BTW102,[14]AssetDetails_UEM!$A$3:$AH$1849,6,FALSE)</f>
        <v>Electrosurgical Units, Monopolar/Bipolar</v>
      </c>
      <c r="BTY102" s="528" t="s">
        <v>213</v>
      </c>
      <c r="BTZ102" s="529" t="str">
        <f>VLOOKUP(BTY102,[14]AssetDetails_UEM!$A$3:$AH$1849,6,FALSE)</f>
        <v>Electrosurgical Units, Monopolar/Bipolar</v>
      </c>
      <c r="BUA102" s="528" t="s">
        <v>213</v>
      </c>
      <c r="BUB102" s="529" t="str">
        <f>VLOOKUP(BUA102,[14]AssetDetails_UEM!$A$3:$AH$1849,6,FALSE)</f>
        <v>Electrosurgical Units, Monopolar/Bipolar</v>
      </c>
      <c r="BUC102" s="528" t="s">
        <v>213</v>
      </c>
      <c r="BUD102" s="529" t="str">
        <f>VLOOKUP(BUC102,[14]AssetDetails_UEM!$A$3:$AH$1849,6,FALSE)</f>
        <v>Electrosurgical Units, Monopolar/Bipolar</v>
      </c>
      <c r="BUE102" s="528" t="s">
        <v>213</v>
      </c>
      <c r="BUF102" s="529" t="str">
        <f>VLOOKUP(BUE102,[14]AssetDetails_UEM!$A$3:$AH$1849,6,FALSE)</f>
        <v>Electrosurgical Units, Monopolar/Bipolar</v>
      </c>
      <c r="BUG102" s="528" t="s">
        <v>213</v>
      </c>
      <c r="BUH102" s="529" t="str">
        <f>VLOOKUP(BUG102,[14]AssetDetails_UEM!$A$3:$AH$1849,6,FALSE)</f>
        <v>Electrosurgical Units, Monopolar/Bipolar</v>
      </c>
      <c r="BUI102" s="528" t="s">
        <v>213</v>
      </c>
      <c r="BUJ102" s="529" t="str">
        <f>VLOOKUP(BUI102,[14]AssetDetails_UEM!$A$3:$AH$1849,6,FALSE)</f>
        <v>Electrosurgical Units, Monopolar/Bipolar</v>
      </c>
      <c r="BUK102" s="528" t="s">
        <v>213</v>
      </c>
      <c r="BUL102" s="529" t="str">
        <f>VLOOKUP(BUK102,[14]AssetDetails_UEM!$A$3:$AH$1849,6,FALSE)</f>
        <v>Electrosurgical Units, Monopolar/Bipolar</v>
      </c>
      <c r="BUM102" s="528" t="s">
        <v>213</v>
      </c>
      <c r="BUN102" s="529" t="str">
        <f>VLOOKUP(BUM102,[14]AssetDetails_UEM!$A$3:$AH$1849,6,FALSE)</f>
        <v>Electrosurgical Units, Monopolar/Bipolar</v>
      </c>
      <c r="BUO102" s="528" t="s">
        <v>213</v>
      </c>
      <c r="BUP102" s="529" t="str">
        <f>VLOOKUP(BUO102,[14]AssetDetails_UEM!$A$3:$AH$1849,6,FALSE)</f>
        <v>Electrosurgical Units, Monopolar/Bipolar</v>
      </c>
      <c r="BUQ102" s="528" t="s">
        <v>213</v>
      </c>
      <c r="BUR102" s="529" t="str">
        <f>VLOOKUP(BUQ102,[14]AssetDetails_UEM!$A$3:$AH$1849,6,FALSE)</f>
        <v>Electrosurgical Units, Monopolar/Bipolar</v>
      </c>
      <c r="BUS102" s="528" t="s">
        <v>213</v>
      </c>
      <c r="BUT102" s="529" t="str">
        <f>VLOOKUP(BUS102,[14]AssetDetails_UEM!$A$3:$AH$1849,6,FALSE)</f>
        <v>Electrosurgical Units, Monopolar/Bipolar</v>
      </c>
      <c r="BUU102" s="528" t="s">
        <v>213</v>
      </c>
      <c r="BUV102" s="529" t="str">
        <f>VLOOKUP(BUU102,[14]AssetDetails_UEM!$A$3:$AH$1849,6,FALSE)</f>
        <v>Electrosurgical Units, Monopolar/Bipolar</v>
      </c>
      <c r="BUW102" s="528" t="s">
        <v>213</v>
      </c>
      <c r="BUX102" s="529" t="str">
        <f>VLOOKUP(BUW102,[14]AssetDetails_UEM!$A$3:$AH$1849,6,FALSE)</f>
        <v>Electrosurgical Units, Monopolar/Bipolar</v>
      </c>
      <c r="BUY102" s="528" t="s">
        <v>213</v>
      </c>
      <c r="BUZ102" s="529" t="str">
        <f>VLOOKUP(BUY102,[14]AssetDetails_UEM!$A$3:$AH$1849,6,FALSE)</f>
        <v>Electrosurgical Units, Monopolar/Bipolar</v>
      </c>
      <c r="BVA102" s="528" t="s">
        <v>213</v>
      </c>
      <c r="BVB102" s="529" t="str">
        <f>VLOOKUP(BVA102,[14]AssetDetails_UEM!$A$3:$AH$1849,6,FALSE)</f>
        <v>Electrosurgical Units, Monopolar/Bipolar</v>
      </c>
      <c r="BVC102" s="528" t="s">
        <v>213</v>
      </c>
      <c r="BVD102" s="529" t="str">
        <f>VLOOKUP(BVC102,[14]AssetDetails_UEM!$A$3:$AH$1849,6,FALSE)</f>
        <v>Electrosurgical Units, Monopolar/Bipolar</v>
      </c>
      <c r="BVE102" s="528" t="s">
        <v>213</v>
      </c>
      <c r="BVF102" s="529" t="str">
        <f>VLOOKUP(BVE102,[14]AssetDetails_UEM!$A$3:$AH$1849,6,FALSE)</f>
        <v>Electrosurgical Units, Monopolar/Bipolar</v>
      </c>
      <c r="BVG102" s="528" t="s">
        <v>213</v>
      </c>
      <c r="BVH102" s="529" t="str">
        <f>VLOOKUP(BVG102,[14]AssetDetails_UEM!$A$3:$AH$1849,6,FALSE)</f>
        <v>Electrosurgical Units, Monopolar/Bipolar</v>
      </c>
      <c r="BVI102" s="528" t="s">
        <v>213</v>
      </c>
      <c r="BVJ102" s="529" t="str">
        <f>VLOOKUP(BVI102,[14]AssetDetails_UEM!$A$3:$AH$1849,6,FALSE)</f>
        <v>Electrosurgical Units, Monopolar/Bipolar</v>
      </c>
      <c r="BVK102" s="528" t="s">
        <v>213</v>
      </c>
      <c r="BVL102" s="529" t="str">
        <f>VLOOKUP(BVK102,[14]AssetDetails_UEM!$A$3:$AH$1849,6,FALSE)</f>
        <v>Electrosurgical Units, Monopolar/Bipolar</v>
      </c>
      <c r="BVM102" s="528" t="s">
        <v>213</v>
      </c>
      <c r="BVN102" s="529" t="str">
        <f>VLOOKUP(BVM102,[14]AssetDetails_UEM!$A$3:$AH$1849,6,FALSE)</f>
        <v>Electrosurgical Units, Monopolar/Bipolar</v>
      </c>
      <c r="BVO102" s="528" t="s">
        <v>213</v>
      </c>
      <c r="BVP102" s="529" t="str">
        <f>VLOOKUP(BVO102,[14]AssetDetails_UEM!$A$3:$AH$1849,6,FALSE)</f>
        <v>Electrosurgical Units, Monopolar/Bipolar</v>
      </c>
      <c r="BVQ102" s="528" t="s">
        <v>213</v>
      </c>
      <c r="BVR102" s="529" t="str">
        <f>VLOOKUP(BVQ102,[14]AssetDetails_UEM!$A$3:$AH$1849,6,FALSE)</f>
        <v>Electrosurgical Units, Monopolar/Bipolar</v>
      </c>
      <c r="BVS102" s="528" t="s">
        <v>213</v>
      </c>
      <c r="BVT102" s="529" t="str">
        <f>VLOOKUP(BVS102,[14]AssetDetails_UEM!$A$3:$AH$1849,6,FALSE)</f>
        <v>Electrosurgical Units, Monopolar/Bipolar</v>
      </c>
      <c r="BVU102" s="528" t="s">
        <v>213</v>
      </c>
      <c r="BVV102" s="529" t="str">
        <f>VLOOKUP(BVU102,[14]AssetDetails_UEM!$A$3:$AH$1849,6,FALSE)</f>
        <v>Electrosurgical Units, Monopolar/Bipolar</v>
      </c>
      <c r="BVW102" s="528" t="s">
        <v>213</v>
      </c>
      <c r="BVX102" s="529" t="str">
        <f>VLOOKUP(BVW102,[14]AssetDetails_UEM!$A$3:$AH$1849,6,FALSE)</f>
        <v>Electrosurgical Units, Monopolar/Bipolar</v>
      </c>
      <c r="BVY102" s="528" t="s">
        <v>213</v>
      </c>
      <c r="BVZ102" s="529" t="str">
        <f>VLOOKUP(BVY102,[14]AssetDetails_UEM!$A$3:$AH$1849,6,FALSE)</f>
        <v>Electrosurgical Units, Monopolar/Bipolar</v>
      </c>
      <c r="BWA102" s="528" t="s">
        <v>213</v>
      </c>
      <c r="BWB102" s="529" t="str">
        <f>VLOOKUP(BWA102,[14]AssetDetails_UEM!$A$3:$AH$1849,6,FALSE)</f>
        <v>Electrosurgical Units, Monopolar/Bipolar</v>
      </c>
      <c r="BWC102" s="528" t="s">
        <v>213</v>
      </c>
      <c r="BWD102" s="529" t="str">
        <f>VLOOKUP(BWC102,[14]AssetDetails_UEM!$A$3:$AH$1849,6,FALSE)</f>
        <v>Electrosurgical Units, Monopolar/Bipolar</v>
      </c>
      <c r="BWE102" s="528" t="s">
        <v>213</v>
      </c>
      <c r="BWF102" s="529" t="str">
        <f>VLOOKUP(BWE102,[14]AssetDetails_UEM!$A$3:$AH$1849,6,FALSE)</f>
        <v>Electrosurgical Units, Monopolar/Bipolar</v>
      </c>
      <c r="BWG102" s="528" t="s">
        <v>213</v>
      </c>
      <c r="BWH102" s="529" t="str">
        <f>VLOOKUP(BWG102,[14]AssetDetails_UEM!$A$3:$AH$1849,6,FALSE)</f>
        <v>Electrosurgical Units, Monopolar/Bipolar</v>
      </c>
      <c r="BWI102" s="528" t="s">
        <v>213</v>
      </c>
      <c r="BWJ102" s="529" t="str">
        <f>VLOOKUP(BWI102,[14]AssetDetails_UEM!$A$3:$AH$1849,6,FALSE)</f>
        <v>Electrosurgical Units, Monopolar/Bipolar</v>
      </c>
      <c r="BWK102" s="528" t="s">
        <v>213</v>
      </c>
      <c r="BWL102" s="529" t="str">
        <f>VLOOKUP(BWK102,[14]AssetDetails_UEM!$A$3:$AH$1849,6,FALSE)</f>
        <v>Electrosurgical Units, Monopolar/Bipolar</v>
      </c>
      <c r="BWM102" s="528" t="s">
        <v>213</v>
      </c>
      <c r="BWN102" s="529" t="str">
        <f>VLOOKUP(BWM102,[14]AssetDetails_UEM!$A$3:$AH$1849,6,FALSE)</f>
        <v>Electrosurgical Units, Monopolar/Bipolar</v>
      </c>
      <c r="BWO102" s="528" t="s">
        <v>213</v>
      </c>
      <c r="BWP102" s="529" t="str">
        <f>VLOOKUP(BWO102,[14]AssetDetails_UEM!$A$3:$AH$1849,6,FALSE)</f>
        <v>Electrosurgical Units, Monopolar/Bipolar</v>
      </c>
      <c r="BWQ102" s="528" t="s">
        <v>213</v>
      </c>
      <c r="BWR102" s="529" t="str">
        <f>VLOOKUP(BWQ102,[14]AssetDetails_UEM!$A$3:$AH$1849,6,FALSE)</f>
        <v>Electrosurgical Units, Monopolar/Bipolar</v>
      </c>
      <c r="BWS102" s="528" t="s">
        <v>213</v>
      </c>
      <c r="BWT102" s="529" t="str">
        <f>VLOOKUP(BWS102,[14]AssetDetails_UEM!$A$3:$AH$1849,6,FALSE)</f>
        <v>Electrosurgical Units, Monopolar/Bipolar</v>
      </c>
      <c r="BWU102" s="528" t="s">
        <v>213</v>
      </c>
      <c r="BWV102" s="529" t="str">
        <f>VLOOKUP(BWU102,[14]AssetDetails_UEM!$A$3:$AH$1849,6,FALSE)</f>
        <v>Electrosurgical Units, Monopolar/Bipolar</v>
      </c>
      <c r="BWW102" s="528" t="s">
        <v>213</v>
      </c>
      <c r="BWX102" s="529" t="str">
        <f>VLOOKUP(BWW102,[14]AssetDetails_UEM!$A$3:$AH$1849,6,FALSE)</f>
        <v>Electrosurgical Units, Monopolar/Bipolar</v>
      </c>
      <c r="BWY102" s="528" t="s">
        <v>213</v>
      </c>
      <c r="BWZ102" s="529" t="str">
        <f>VLOOKUP(BWY102,[14]AssetDetails_UEM!$A$3:$AH$1849,6,FALSE)</f>
        <v>Electrosurgical Units, Monopolar/Bipolar</v>
      </c>
      <c r="BXA102" s="528" t="s">
        <v>213</v>
      </c>
      <c r="BXB102" s="529" t="str">
        <f>VLOOKUP(BXA102,[14]AssetDetails_UEM!$A$3:$AH$1849,6,FALSE)</f>
        <v>Electrosurgical Units, Monopolar/Bipolar</v>
      </c>
      <c r="BXC102" s="528" t="s">
        <v>213</v>
      </c>
      <c r="BXD102" s="529" t="str">
        <f>VLOOKUP(BXC102,[14]AssetDetails_UEM!$A$3:$AH$1849,6,FALSE)</f>
        <v>Electrosurgical Units, Monopolar/Bipolar</v>
      </c>
      <c r="BXE102" s="528" t="s">
        <v>213</v>
      </c>
      <c r="BXF102" s="529" t="str">
        <f>VLOOKUP(BXE102,[14]AssetDetails_UEM!$A$3:$AH$1849,6,FALSE)</f>
        <v>Electrosurgical Units, Monopolar/Bipolar</v>
      </c>
      <c r="BXG102" s="528" t="s">
        <v>213</v>
      </c>
      <c r="BXH102" s="529" t="str">
        <f>VLOOKUP(BXG102,[14]AssetDetails_UEM!$A$3:$AH$1849,6,FALSE)</f>
        <v>Electrosurgical Units, Monopolar/Bipolar</v>
      </c>
      <c r="BXI102" s="528" t="s">
        <v>213</v>
      </c>
      <c r="BXJ102" s="529" t="str">
        <f>VLOOKUP(BXI102,[14]AssetDetails_UEM!$A$3:$AH$1849,6,FALSE)</f>
        <v>Electrosurgical Units, Monopolar/Bipolar</v>
      </c>
      <c r="BXK102" s="528" t="s">
        <v>213</v>
      </c>
      <c r="BXL102" s="529" t="str">
        <f>VLOOKUP(BXK102,[14]AssetDetails_UEM!$A$3:$AH$1849,6,FALSE)</f>
        <v>Electrosurgical Units, Monopolar/Bipolar</v>
      </c>
      <c r="BXM102" s="528" t="s">
        <v>213</v>
      </c>
      <c r="BXN102" s="529" t="str">
        <f>VLOOKUP(BXM102,[14]AssetDetails_UEM!$A$3:$AH$1849,6,FALSE)</f>
        <v>Electrosurgical Units, Monopolar/Bipolar</v>
      </c>
      <c r="BXO102" s="528" t="s">
        <v>213</v>
      </c>
      <c r="BXP102" s="529" t="str">
        <f>VLOOKUP(BXO102,[14]AssetDetails_UEM!$A$3:$AH$1849,6,FALSE)</f>
        <v>Electrosurgical Units, Monopolar/Bipolar</v>
      </c>
      <c r="BXQ102" s="528" t="s">
        <v>213</v>
      </c>
      <c r="BXR102" s="529" t="str">
        <f>VLOOKUP(BXQ102,[14]AssetDetails_UEM!$A$3:$AH$1849,6,FALSE)</f>
        <v>Electrosurgical Units, Monopolar/Bipolar</v>
      </c>
      <c r="BXS102" s="528" t="s">
        <v>213</v>
      </c>
      <c r="BXT102" s="529" t="str">
        <f>VLOOKUP(BXS102,[14]AssetDetails_UEM!$A$3:$AH$1849,6,FALSE)</f>
        <v>Electrosurgical Units, Monopolar/Bipolar</v>
      </c>
      <c r="BXU102" s="528" t="s">
        <v>213</v>
      </c>
      <c r="BXV102" s="529" t="str">
        <f>VLOOKUP(BXU102,[14]AssetDetails_UEM!$A$3:$AH$1849,6,FALSE)</f>
        <v>Electrosurgical Units, Monopolar/Bipolar</v>
      </c>
      <c r="BXW102" s="528" t="s">
        <v>213</v>
      </c>
      <c r="BXX102" s="529" t="str">
        <f>VLOOKUP(BXW102,[14]AssetDetails_UEM!$A$3:$AH$1849,6,FALSE)</f>
        <v>Electrosurgical Units, Monopolar/Bipolar</v>
      </c>
      <c r="BXY102" s="528" t="s">
        <v>213</v>
      </c>
      <c r="BXZ102" s="529" t="str">
        <f>VLOOKUP(BXY102,[14]AssetDetails_UEM!$A$3:$AH$1849,6,FALSE)</f>
        <v>Electrosurgical Units, Monopolar/Bipolar</v>
      </c>
      <c r="BYA102" s="528" t="s">
        <v>213</v>
      </c>
      <c r="BYB102" s="529" t="str">
        <f>VLOOKUP(BYA102,[14]AssetDetails_UEM!$A$3:$AH$1849,6,FALSE)</f>
        <v>Electrosurgical Units, Monopolar/Bipolar</v>
      </c>
      <c r="BYC102" s="528" t="s">
        <v>213</v>
      </c>
      <c r="BYD102" s="529" t="str">
        <f>VLOOKUP(BYC102,[14]AssetDetails_UEM!$A$3:$AH$1849,6,FALSE)</f>
        <v>Electrosurgical Units, Monopolar/Bipolar</v>
      </c>
      <c r="BYE102" s="528" t="s">
        <v>213</v>
      </c>
      <c r="BYF102" s="529" t="str">
        <f>VLOOKUP(BYE102,[14]AssetDetails_UEM!$A$3:$AH$1849,6,FALSE)</f>
        <v>Electrosurgical Units, Monopolar/Bipolar</v>
      </c>
      <c r="BYG102" s="528" t="s">
        <v>213</v>
      </c>
      <c r="BYH102" s="529" t="str">
        <f>VLOOKUP(BYG102,[14]AssetDetails_UEM!$A$3:$AH$1849,6,FALSE)</f>
        <v>Electrosurgical Units, Monopolar/Bipolar</v>
      </c>
      <c r="BYI102" s="528" t="s">
        <v>213</v>
      </c>
      <c r="BYJ102" s="529" t="str">
        <f>VLOOKUP(BYI102,[14]AssetDetails_UEM!$A$3:$AH$1849,6,FALSE)</f>
        <v>Electrosurgical Units, Monopolar/Bipolar</v>
      </c>
      <c r="BYK102" s="528" t="s">
        <v>213</v>
      </c>
      <c r="BYL102" s="529" t="str">
        <f>VLOOKUP(BYK102,[14]AssetDetails_UEM!$A$3:$AH$1849,6,FALSE)</f>
        <v>Electrosurgical Units, Monopolar/Bipolar</v>
      </c>
      <c r="BYM102" s="528" t="s">
        <v>213</v>
      </c>
      <c r="BYN102" s="529" t="str">
        <f>VLOOKUP(BYM102,[14]AssetDetails_UEM!$A$3:$AH$1849,6,FALSE)</f>
        <v>Electrosurgical Units, Monopolar/Bipolar</v>
      </c>
      <c r="BYO102" s="528" t="s">
        <v>213</v>
      </c>
      <c r="BYP102" s="529" t="str">
        <f>VLOOKUP(BYO102,[14]AssetDetails_UEM!$A$3:$AH$1849,6,FALSE)</f>
        <v>Electrosurgical Units, Monopolar/Bipolar</v>
      </c>
      <c r="BYQ102" s="528" t="s">
        <v>213</v>
      </c>
      <c r="BYR102" s="529" t="str">
        <f>VLOOKUP(BYQ102,[14]AssetDetails_UEM!$A$3:$AH$1849,6,FALSE)</f>
        <v>Electrosurgical Units, Monopolar/Bipolar</v>
      </c>
      <c r="BYS102" s="528" t="s">
        <v>213</v>
      </c>
      <c r="BYT102" s="529" t="str">
        <f>VLOOKUP(BYS102,[14]AssetDetails_UEM!$A$3:$AH$1849,6,FALSE)</f>
        <v>Electrosurgical Units, Monopolar/Bipolar</v>
      </c>
      <c r="BYU102" s="528" t="s">
        <v>213</v>
      </c>
      <c r="BYV102" s="529" t="str">
        <f>VLOOKUP(BYU102,[14]AssetDetails_UEM!$A$3:$AH$1849,6,FALSE)</f>
        <v>Electrosurgical Units, Monopolar/Bipolar</v>
      </c>
      <c r="BYW102" s="528" t="s">
        <v>213</v>
      </c>
      <c r="BYX102" s="529" t="str">
        <f>VLOOKUP(BYW102,[14]AssetDetails_UEM!$A$3:$AH$1849,6,FALSE)</f>
        <v>Electrosurgical Units, Monopolar/Bipolar</v>
      </c>
      <c r="BYY102" s="528" t="s">
        <v>213</v>
      </c>
      <c r="BYZ102" s="529" t="str">
        <f>VLOOKUP(BYY102,[14]AssetDetails_UEM!$A$3:$AH$1849,6,FALSE)</f>
        <v>Electrosurgical Units, Monopolar/Bipolar</v>
      </c>
      <c r="BZA102" s="528" t="s">
        <v>213</v>
      </c>
      <c r="BZB102" s="529" t="str">
        <f>VLOOKUP(BZA102,[14]AssetDetails_UEM!$A$3:$AH$1849,6,FALSE)</f>
        <v>Electrosurgical Units, Monopolar/Bipolar</v>
      </c>
      <c r="BZC102" s="528" t="s">
        <v>213</v>
      </c>
      <c r="BZD102" s="529" t="str">
        <f>VLOOKUP(BZC102,[14]AssetDetails_UEM!$A$3:$AH$1849,6,FALSE)</f>
        <v>Electrosurgical Units, Monopolar/Bipolar</v>
      </c>
      <c r="BZE102" s="528" t="s">
        <v>213</v>
      </c>
      <c r="BZF102" s="529" t="str">
        <f>VLOOKUP(BZE102,[14]AssetDetails_UEM!$A$3:$AH$1849,6,FALSE)</f>
        <v>Electrosurgical Units, Monopolar/Bipolar</v>
      </c>
      <c r="BZG102" s="528" t="s">
        <v>213</v>
      </c>
      <c r="BZH102" s="529" t="str">
        <f>VLOOKUP(BZG102,[14]AssetDetails_UEM!$A$3:$AH$1849,6,FALSE)</f>
        <v>Electrosurgical Units, Monopolar/Bipolar</v>
      </c>
      <c r="BZI102" s="528" t="s">
        <v>213</v>
      </c>
      <c r="BZJ102" s="529" t="str">
        <f>VLOOKUP(BZI102,[14]AssetDetails_UEM!$A$3:$AH$1849,6,FALSE)</f>
        <v>Electrosurgical Units, Monopolar/Bipolar</v>
      </c>
      <c r="BZK102" s="528" t="s">
        <v>213</v>
      </c>
      <c r="BZL102" s="529" t="str">
        <f>VLOOKUP(BZK102,[14]AssetDetails_UEM!$A$3:$AH$1849,6,FALSE)</f>
        <v>Electrosurgical Units, Monopolar/Bipolar</v>
      </c>
      <c r="BZM102" s="528" t="s">
        <v>213</v>
      </c>
      <c r="BZN102" s="529" t="str">
        <f>VLOOKUP(BZM102,[14]AssetDetails_UEM!$A$3:$AH$1849,6,FALSE)</f>
        <v>Electrosurgical Units, Monopolar/Bipolar</v>
      </c>
      <c r="BZO102" s="528" t="s">
        <v>213</v>
      </c>
      <c r="BZP102" s="529" t="str">
        <f>VLOOKUP(BZO102,[14]AssetDetails_UEM!$A$3:$AH$1849,6,FALSE)</f>
        <v>Electrosurgical Units, Monopolar/Bipolar</v>
      </c>
      <c r="BZQ102" s="528" t="s">
        <v>213</v>
      </c>
      <c r="BZR102" s="529" t="str">
        <f>VLOOKUP(BZQ102,[14]AssetDetails_UEM!$A$3:$AH$1849,6,FALSE)</f>
        <v>Electrosurgical Units, Monopolar/Bipolar</v>
      </c>
      <c r="BZS102" s="528" t="s">
        <v>213</v>
      </c>
      <c r="BZT102" s="529" t="str">
        <f>VLOOKUP(BZS102,[14]AssetDetails_UEM!$A$3:$AH$1849,6,FALSE)</f>
        <v>Electrosurgical Units, Monopolar/Bipolar</v>
      </c>
      <c r="BZU102" s="528" t="s">
        <v>213</v>
      </c>
      <c r="BZV102" s="529" t="str">
        <f>VLOOKUP(BZU102,[14]AssetDetails_UEM!$A$3:$AH$1849,6,FALSE)</f>
        <v>Electrosurgical Units, Monopolar/Bipolar</v>
      </c>
      <c r="BZW102" s="528" t="s">
        <v>213</v>
      </c>
      <c r="BZX102" s="529" t="str">
        <f>VLOOKUP(BZW102,[14]AssetDetails_UEM!$A$3:$AH$1849,6,FALSE)</f>
        <v>Electrosurgical Units, Monopolar/Bipolar</v>
      </c>
      <c r="BZY102" s="528" t="s">
        <v>213</v>
      </c>
      <c r="BZZ102" s="529" t="str">
        <f>VLOOKUP(BZY102,[14]AssetDetails_UEM!$A$3:$AH$1849,6,FALSE)</f>
        <v>Electrosurgical Units, Monopolar/Bipolar</v>
      </c>
      <c r="CAA102" s="528" t="s">
        <v>213</v>
      </c>
      <c r="CAB102" s="529" t="str">
        <f>VLOOKUP(CAA102,[14]AssetDetails_UEM!$A$3:$AH$1849,6,FALSE)</f>
        <v>Electrosurgical Units, Monopolar/Bipolar</v>
      </c>
      <c r="CAC102" s="528" t="s">
        <v>213</v>
      </c>
      <c r="CAD102" s="529" t="str">
        <f>VLOOKUP(CAC102,[14]AssetDetails_UEM!$A$3:$AH$1849,6,FALSE)</f>
        <v>Electrosurgical Units, Monopolar/Bipolar</v>
      </c>
      <c r="CAE102" s="528" t="s">
        <v>213</v>
      </c>
      <c r="CAF102" s="529" t="str">
        <f>VLOOKUP(CAE102,[14]AssetDetails_UEM!$A$3:$AH$1849,6,FALSE)</f>
        <v>Electrosurgical Units, Monopolar/Bipolar</v>
      </c>
      <c r="CAG102" s="528" t="s">
        <v>213</v>
      </c>
      <c r="CAH102" s="529" t="str">
        <f>VLOOKUP(CAG102,[14]AssetDetails_UEM!$A$3:$AH$1849,6,FALSE)</f>
        <v>Electrosurgical Units, Monopolar/Bipolar</v>
      </c>
      <c r="CAI102" s="528" t="s">
        <v>213</v>
      </c>
      <c r="CAJ102" s="529" t="str">
        <f>VLOOKUP(CAI102,[14]AssetDetails_UEM!$A$3:$AH$1849,6,FALSE)</f>
        <v>Electrosurgical Units, Monopolar/Bipolar</v>
      </c>
      <c r="CAK102" s="528" t="s">
        <v>213</v>
      </c>
      <c r="CAL102" s="529" t="str">
        <f>VLOOKUP(CAK102,[14]AssetDetails_UEM!$A$3:$AH$1849,6,FALSE)</f>
        <v>Electrosurgical Units, Monopolar/Bipolar</v>
      </c>
      <c r="CAM102" s="528" t="s">
        <v>213</v>
      </c>
      <c r="CAN102" s="529" t="str">
        <f>VLOOKUP(CAM102,[14]AssetDetails_UEM!$A$3:$AH$1849,6,FALSE)</f>
        <v>Electrosurgical Units, Monopolar/Bipolar</v>
      </c>
      <c r="CAO102" s="528" t="s">
        <v>213</v>
      </c>
      <c r="CAP102" s="529" t="str">
        <f>VLOOKUP(CAO102,[14]AssetDetails_UEM!$A$3:$AH$1849,6,FALSE)</f>
        <v>Electrosurgical Units, Monopolar/Bipolar</v>
      </c>
      <c r="CAQ102" s="528" t="s">
        <v>213</v>
      </c>
      <c r="CAR102" s="529" t="str">
        <f>VLOOKUP(CAQ102,[14]AssetDetails_UEM!$A$3:$AH$1849,6,FALSE)</f>
        <v>Electrosurgical Units, Monopolar/Bipolar</v>
      </c>
      <c r="CAS102" s="528" t="s">
        <v>213</v>
      </c>
      <c r="CAT102" s="529" t="str">
        <f>VLOOKUP(CAS102,[14]AssetDetails_UEM!$A$3:$AH$1849,6,FALSE)</f>
        <v>Electrosurgical Units, Monopolar/Bipolar</v>
      </c>
      <c r="CAU102" s="528" t="s">
        <v>213</v>
      </c>
      <c r="CAV102" s="529" t="str">
        <f>VLOOKUP(CAU102,[14]AssetDetails_UEM!$A$3:$AH$1849,6,FALSE)</f>
        <v>Electrosurgical Units, Monopolar/Bipolar</v>
      </c>
      <c r="CAW102" s="528" t="s">
        <v>213</v>
      </c>
      <c r="CAX102" s="529" t="str">
        <f>VLOOKUP(CAW102,[14]AssetDetails_UEM!$A$3:$AH$1849,6,FALSE)</f>
        <v>Electrosurgical Units, Monopolar/Bipolar</v>
      </c>
      <c r="CAY102" s="528" t="s">
        <v>213</v>
      </c>
      <c r="CAZ102" s="529" t="str">
        <f>VLOOKUP(CAY102,[14]AssetDetails_UEM!$A$3:$AH$1849,6,FALSE)</f>
        <v>Electrosurgical Units, Monopolar/Bipolar</v>
      </c>
      <c r="CBA102" s="528" t="s">
        <v>213</v>
      </c>
      <c r="CBB102" s="529" t="str">
        <f>VLOOKUP(CBA102,[14]AssetDetails_UEM!$A$3:$AH$1849,6,FALSE)</f>
        <v>Electrosurgical Units, Monopolar/Bipolar</v>
      </c>
      <c r="CBC102" s="528" t="s">
        <v>213</v>
      </c>
      <c r="CBD102" s="529" t="str">
        <f>VLOOKUP(CBC102,[14]AssetDetails_UEM!$A$3:$AH$1849,6,FALSE)</f>
        <v>Electrosurgical Units, Monopolar/Bipolar</v>
      </c>
      <c r="CBE102" s="528" t="s">
        <v>213</v>
      </c>
      <c r="CBF102" s="529" t="str">
        <f>VLOOKUP(CBE102,[14]AssetDetails_UEM!$A$3:$AH$1849,6,FALSE)</f>
        <v>Electrosurgical Units, Monopolar/Bipolar</v>
      </c>
      <c r="CBG102" s="528" t="s">
        <v>213</v>
      </c>
      <c r="CBH102" s="529" t="str">
        <f>VLOOKUP(CBG102,[14]AssetDetails_UEM!$A$3:$AH$1849,6,FALSE)</f>
        <v>Electrosurgical Units, Monopolar/Bipolar</v>
      </c>
      <c r="CBI102" s="528" t="s">
        <v>213</v>
      </c>
      <c r="CBJ102" s="529" t="str">
        <f>VLOOKUP(CBI102,[14]AssetDetails_UEM!$A$3:$AH$1849,6,FALSE)</f>
        <v>Electrosurgical Units, Monopolar/Bipolar</v>
      </c>
      <c r="CBK102" s="528" t="s">
        <v>213</v>
      </c>
      <c r="CBL102" s="529" t="str">
        <f>VLOOKUP(CBK102,[14]AssetDetails_UEM!$A$3:$AH$1849,6,FALSE)</f>
        <v>Electrosurgical Units, Monopolar/Bipolar</v>
      </c>
      <c r="CBM102" s="528" t="s">
        <v>213</v>
      </c>
      <c r="CBN102" s="529" t="str">
        <f>VLOOKUP(CBM102,[14]AssetDetails_UEM!$A$3:$AH$1849,6,FALSE)</f>
        <v>Electrosurgical Units, Monopolar/Bipolar</v>
      </c>
      <c r="CBO102" s="528" t="s">
        <v>213</v>
      </c>
      <c r="CBP102" s="529" t="str">
        <f>VLOOKUP(CBO102,[14]AssetDetails_UEM!$A$3:$AH$1849,6,FALSE)</f>
        <v>Electrosurgical Units, Monopolar/Bipolar</v>
      </c>
      <c r="CBQ102" s="528" t="s">
        <v>213</v>
      </c>
      <c r="CBR102" s="529" t="str">
        <f>VLOOKUP(CBQ102,[14]AssetDetails_UEM!$A$3:$AH$1849,6,FALSE)</f>
        <v>Electrosurgical Units, Monopolar/Bipolar</v>
      </c>
      <c r="CBS102" s="528" t="s">
        <v>213</v>
      </c>
      <c r="CBT102" s="529" t="str">
        <f>VLOOKUP(CBS102,[14]AssetDetails_UEM!$A$3:$AH$1849,6,FALSE)</f>
        <v>Electrosurgical Units, Monopolar/Bipolar</v>
      </c>
      <c r="CBU102" s="528" t="s">
        <v>213</v>
      </c>
      <c r="CBV102" s="529" t="str">
        <f>VLOOKUP(CBU102,[14]AssetDetails_UEM!$A$3:$AH$1849,6,FALSE)</f>
        <v>Electrosurgical Units, Monopolar/Bipolar</v>
      </c>
      <c r="CBW102" s="528" t="s">
        <v>213</v>
      </c>
      <c r="CBX102" s="529" t="str">
        <f>VLOOKUP(CBW102,[14]AssetDetails_UEM!$A$3:$AH$1849,6,FALSE)</f>
        <v>Electrosurgical Units, Monopolar/Bipolar</v>
      </c>
      <c r="CBY102" s="528" t="s">
        <v>213</v>
      </c>
      <c r="CBZ102" s="529" t="str">
        <f>VLOOKUP(CBY102,[14]AssetDetails_UEM!$A$3:$AH$1849,6,FALSE)</f>
        <v>Electrosurgical Units, Monopolar/Bipolar</v>
      </c>
      <c r="CCA102" s="528" t="s">
        <v>213</v>
      </c>
      <c r="CCB102" s="529" t="str">
        <f>VLOOKUP(CCA102,[14]AssetDetails_UEM!$A$3:$AH$1849,6,FALSE)</f>
        <v>Electrosurgical Units, Monopolar/Bipolar</v>
      </c>
      <c r="CCC102" s="528" t="s">
        <v>213</v>
      </c>
      <c r="CCD102" s="529" t="str">
        <f>VLOOKUP(CCC102,[14]AssetDetails_UEM!$A$3:$AH$1849,6,FALSE)</f>
        <v>Electrosurgical Units, Monopolar/Bipolar</v>
      </c>
      <c r="CCE102" s="528" t="s">
        <v>213</v>
      </c>
      <c r="CCF102" s="529" t="str">
        <f>VLOOKUP(CCE102,[14]AssetDetails_UEM!$A$3:$AH$1849,6,FALSE)</f>
        <v>Electrosurgical Units, Monopolar/Bipolar</v>
      </c>
      <c r="CCG102" s="528" t="s">
        <v>213</v>
      </c>
      <c r="CCH102" s="529" t="str">
        <f>VLOOKUP(CCG102,[14]AssetDetails_UEM!$A$3:$AH$1849,6,FALSE)</f>
        <v>Electrosurgical Units, Monopolar/Bipolar</v>
      </c>
      <c r="CCI102" s="528" t="s">
        <v>213</v>
      </c>
      <c r="CCJ102" s="529" t="str">
        <f>VLOOKUP(CCI102,[14]AssetDetails_UEM!$A$3:$AH$1849,6,FALSE)</f>
        <v>Electrosurgical Units, Monopolar/Bipolar</v>
      </c>
      <c r="CCK102" s="528" t="s">
        <v>213</v>
      </c>
      <c r="CCL102" s="529" t="str">
        <f>VLOOKUP(CCK102,[14]AssetDetails_UEM!$A$3:$AH$1849,6,FALSE)</f>
        <v>Electrosurgical Units, Monopolar/Bipolar</v>
      </c>
      <c r="CCM102" s="528" t="s">
        <v>213</v>
      </c>
      <c r="CCN102" s="529" t="str">
        <f>VLOOKUP(CCM102,[14]AssetDetails_UEM!$A$3:$AH$1849,6,FALSE)</f>
        <v>Electrosurgical Units, Monopolar/Bipolar</v>
      </c>
      <c r="CCO102" s="528" t="s">
        <v>213</v>
      </c>
      <c r="CCP102" s="529" t="str">
        <f>VLOOKUP(CCO102,[14]AssetDetails_UEM!$A$3:$AH$1849,6,FALSE)</f>
        <v>Electrosurgical Units, Monopolar/Bipolar</v>
      </c>
      <c r="CCQ102" s="528" t="s">
        <v>213</v>
      </c>
      <c r="CCR102" s="529" t="str">
        <f>VLOOKUP(CCQ102,[14]AssetDetails_UEM!$A$3:$AH$1849,6,FALSE)</f>
        <v>Electrosurgical Units, Monopolar/Bipolar</v>
      </c>
      <c r="CCS102" s="528" t="s">
        <v>213</v>
      </c>
      <c r="CCT102" s="529" t="str">
        <f>VLOOKUP(CCS102,[14]AssetDetails_UEM!$A$3:$AH$1849,6,FALSE)</f>
        <v>Electrosurgical Units, Monopolar/Bipolar</v>
      </c>
      <c r="CCU102" s="528" t="s">
        <v>213</v>
      </c>
      <c r="CCV102" s="529" t="str">
        <f>VLOOKUP(CCU102,[14]AssetDetails_UEM!$A$3:$AH$1849,6,FALSE)</f>
        <v>Electrosurgical Units, Monopolar/Bipolar</v>
      </c>
      <c r="CCW102" s="528" t="s">
        <v>213</v>
      </c>
      <c r="CCX102" s="529" t="str">
        <f>VLOOKUP(CCW102,[14]AssetDetails_UEM!$A$3:$AH$1849,6,FALSE)</f>
        <v>Electrosurgical Units, Monopolar/Bipolar</v>
      </c>
      <c r="CCY102" s="528" t="s">
        <v>213</v>
      </c>
      <c r="CCZ102" s="529" t="str">
        <f>VLOOKUP(CCY102,[14]AssetDetails_UEM!$A$3:$AH$1849,6,FALSE)</f>
        <v>Electrosurgical Units, Monopolar/Bipolar</v>
      </c>
      <c r="CDA102" s="528" t="s">
        <v>213</v>
      </c>
      <c r="CDB102" s="529" t="str">
        <f>VLOOKUP(CDA102,[14]AssetDetails_UEM!$A$3:$AH$1849,6,FALSE)</f>
        <v>Electrosurgical Units, Monopolar/Bipolar</v>
      </c>
      <c r="CDC102" s="528" t="s">
        <v>213</v>
      </c>
      <c r="CDD102" s="529" t="str">
        <f>VLOOKUP(CDC102,[14]AssetDetails_UEM!$A$3:$AH$1849,6,FALSE)</f>
        <v>Electrosurgical Units, Monopolar/Bipolar</v>
      </c>
      <c r="CDE102" s="528" t="s">
        <v>213</v>
      </c>
      <c r="CDF102" s="529" t="str">
        <f>VLOOKUP(CDE102,[14]AssetDetails_UEM!$A$3:$AH$1849,6,FALSE)</f>
        <v>Electrosurgical Units, Monopolar/Bipolar</v>
      </c>
      <c r="CDG102" s="528" t="s">
        <v>213</v>
      </c>
      <c r="CDH102" s="529" t="str">
        <f>VLOOKUP(CDG102,[14]AssetDetails_UEM!$A$3:$AH$1849,6,FALSE)</f>
        <v>Electrosurgical Units, Monopolar/Bipolar</v>
      </c>
      <c r="CDI102" s="528" t="s">
        <v>213</v>
      </c>
      <c r="CDJ102" s="529" t="str">
        <f>VLOOKUP(CDI102,[14]AssetDetails_UEM!$A$3:$AH$1849,6,FALSE)</f>
        <v>Electrosurgical Units, Monopolar/Bipolar</v>
      </c>
      <c r="CDK102" s="528" t="s">
        <v>213</v>
      </c>
      <c r="CDL102" s="529" t="str">
        <f>VLOOKUP(CDK102,[14]AssetDetails_UEM!$A$3:$AH$1849,6,FALSE)</f>
        <v>Electrosurgical Units, Monopolar/Bipolar</v>
      </c>
      <c r="CDM102" s="528" t="s">
        <v>213</v>
      </c>
      <c r="CDN102" s="529" t="str">
        <f>VLOOKUP(CDM102,[14]AssetDetails_UEM!$A$3:$AH$1849,6,FALSE)</f>
        <v>Electrosurgical Units, Monopolar/Bipolar</v>
      </c>
      <c r="CDO102" s="528" t="s">
        <v>213</v>
      </c>
      <c r="CDP102" s="529" t="str">
        <f>VLOOKUP(CDO102,[14]AssetDetails_UEM!$A$3:$AH$1849,6,FALSE)</f>
        <v>Electrosurgical Units, Monopolar/Bipolar</v>
      </c>
      <c r="CDQ102" s="528" t="s">
        <v>213</v>
      </c>
      <c r="CDR102" s="529" t="str">
        <f>VLOOKUP(CDQ102,[14]AssetDetails_UEM!$A$3:$AH$1849,6,FALSE)</f>
        <v>Electrosurgical Units, Monopolar/Bipolar</v>
      </c>
      <c r="CDS102" s="528" t="s">
        <v>213</v>
      </c>
      <c r="CDT102" s="529" t="str">
        <f>VLOOKUP(CDS102,[14]AssetDetails_UEM!$A$3:$AH$1849,6,FALSE)</f>
        <v>Electrosurgical Units, Monopolar/Bipolar</v>
      </c>
      <c r="CDU102" s="528" t="s">
        <v>213</v>
      </c>
      <c r="CDV102" s="529" t="str">
        <f>VLOOKUP(CDU102,[14]AssetDetails_UEM!$A$3:$AH$1849,6,FALSE)</f>
        <v>Electrosurgical Units, Monopolar/Bipolar</v>
      </c>
      <c r="CDW102" s="528" t="s">
        <v>213</v>
      </c>
      <c r="CDX102" s="529" t="str">
        <f>VLOOKUP(CDW102,[14]AssetDetails_UEM!$A$3:$AH$1849,6,FALSE)</f>
        <v>Electrosurgical Units, Monopolar/Bipolar</v>
      </c>
      <c r="CDY102" s="528" t="s">
        <v>213</v>
      </c>
      <c r="CDZ102" s="529" t="str">
        <f>VLOOKUP(CDY102,[14]AssetDetails_UEM!$A$3:$AH$1849,6,FALSE)</f>
        <v>Electrosurgical Units, Monopolar/Bipolar</v>
      </c>
      <c r="CEA102" s="528" t="s">
        <v>213</v>
      </c>
      <c r="CEB102" s="529" t="str">
        <f>VLOOKUP(CEA102,[14]AssetDetails_UEM!$A$3:$AH$1849,6,FALSE)</f>
        <v>Electrosurgical Units, Monopolar/Bipolar</v>
      </c>
      <c r="CEC102" s="528" t="s">
        <v>213</v>
      </c>
      <c r="CED102" s="529" t="str">
        <f>VLOOKUP(CEC102,[14]AssetDetails_UEM!$A$3:$AH$1849,6,FALSE)</f>
        <v>Electrosurgical Units, Monopolar/Bipolar</v>
      </c>
      <c r="CEE102" s="528" t="s">
        <v>213</v>
      </c>
      <c r="CEF102" s="529" t="str">
        <f>VLOOKUP(CEE102,[14]AssetDetails_UEM!$A$3:$AH$1849,6,FALSE)</f>
        <v>Electrosurgical Units, Monopolar/Bipolar</v>
      </c>
      <c r="CEG102" s="528" t="s">
        <v>213</v>
      </c>
      <c r="CEH102" s="529" t="str">
        <f>VLOOKUP(CEG102,[14]AssetDetails_UEM!$A$3:$AH$1849,6,FALSE)</f>
        <v>Electrosurgical Units, Monopolar/Bipolar</v>
      </c>
      <c r="CEI102" s="528" t="s">
        <v>213</v>
      </c>
      <c r="CEJ102" s="529" t="str">
        <f>VLOOKUP(CEI102,[14]AssetDetails_UEM!$A$3:$AH$1849,6,FALSE)</f>
        <v>Electrosurgical Units, Monopolar/Bipolar</v>
      </c>
      <c r="CEK102" s="528" t="s">
        <v>213</v>
      </c>
      <c r="CEL102" s="529" t="str">
        <f>VLOOKUP(CEK102,[14]AssetDetails_UEM!$A$3:$AH$1849,6,FALSE)</f>
        <v>Electrosurgical Units, Monopolar/Bipolar</v>
      </c>
      <c r="CEM102" s="528" t="s">
        <v>213</v>
      </c>
      <c r="CEN102" s="529" t="str">
        <f>VLOOKUP(CEM102,[14]AssetDetails_UEM!$A$3:$AH$1849,6,FALSE)</f>
        <v>Electrosurgical Units, Monopolar/Bipolar</v>
      </c>
      <c r="CEO102" s="528" t="s">
        <v>213</v>
      </c>
      <c r="CEP102" s="529" t="str">
        <f>VLOOKUP(CEO102,[14]AssetDetails_UEM!$A$3:$AH$1849,6,FALSE)</f>
        <v>Electrosurgical Units, Monopolar/Bipolar</v>
      </c>
      <c r="CEQ102" s="528" t="s">
        <v>213</v>
      </c>
      <c r="CER102" s="529" t="str">
        <f>VLOOKUP(CEQ102,[14]AssetDetails_UEM!$A$3:$AH$1849,6,FALSE)</f>
        <v>Electrosurgical Units, Monopolar/Bipolar</v>
      </c>
      <c r="CES102" s="528" t="s">
        <v>213</v>
      </c>
      <c r="CET102" s="529" t="str">
        <f>VLOOKUP(CES102,[14]AssetDetails_UEM!$A$3:$AH$1849,6,FALSE)</f>
        <v>Electrosurgical Units, Monopolar/Bipolar</v>
      </c>
      <c r="CEU102" s="528" t="s">
        <v>213</v>
      </c>
      <c r="CEV102" s="529" t="str">
        <f>VLOOKUP(CEU102,[14]AssetDetails_UEM!$A$3:$AH$1849,6,FALSE)</f>
        <v>Electrosurgical Units, Monopolar/Bipolar</v>
      </c>
      <c r="CEW102" s="528" t="s">
        <v>213</v>
      </c>
      <c r="CEX102" s="529" t="str">
        <f>VLOOKUP(CEW102,[14]AssetDetails_UEM!$A$3:$AH$1849,6,FALSE)</f>
        <v>Electrosurgical Units, Monopolar/Bipolar</v>
      </c>
      <c r="CEY102" s="528" t="s">
        <v>213</v>
      </c>
      <c r="CEZ102" s="529" t="str">
        <f>VLOOKUP(CEY102,[14]AssetDetails_UEM!$A$3:$AH$1849,6,FALSE)</f>
        <v>Electrosurgical Units, Monopolar/Bipolar</v>
      </c>
      <c r="CFA102" s="528" t="s">
        <v>213</v>
      </c>
      <c r="CFB102" s="529" t="str">
        <f>VLOOKUP(CFA102,[14]AssetDetails_UEM!$A$3:$AH$1849,6,FALSE)</f>
        <v>Electrosurgical Units, Monopolar/Bipolar</v>
      </c>
      <c r="CFC102" s="528" t="s">
        <v>213</v>
      </c>
      <c r="CFD102" s="529" t="str">
        <f>VLOOKUP(CFC102,[14]AssetDetails_UEM!$A$3:$AH$1849,6,FALSE)</f>
        <v>Electrosurgical Units, Monopolar/Bipolar</v>
      </c>
      <c r="CFE102" s="528" t="s">
        <v>213</v>
      </c>
      <c r="CFF102" s="529" t="str">
        <f>VLOOKUP(CFE102,[14]AssetDetails_UEM!$A$3:$AH$1849,6,FALSE)</f>
        <v>Electrosurgical Units, Monopolar/Bipolar</v>
      </c>
      <c r="CFG102" s="528" t="s">
        <v>213</v>
      </c>
      <c r="CFH102" s="529" t="str">
        <f>VLOOKUP(CFG102,[14]AssetDetails_UEM!$A$3:$AH$1849,6,FALSE)</f>
        <v>Electrosurgical Units, Monopolar/Bipolar</v>
      </c>
      <c r="CFI102" s="528" t="s">
        <v>213</v>
      </c>
      <c r="CFJ102" s="529" t="str">
        <f>VLOOKUP(CFI102,[14]AssetDetails_UEM!$A$3:$AH$1849,6,FALSE)</f>
        <v>Electrosurgical Units, Monopolar/Bipolar</v>
      </c>
      <c r="CFK102" s="528" t="s">
        <v>213</v>
      </c>
      <c r="CFL102" s="529" t="str">
        <f>VLOOKUP(CFK102,[14]AssetDetails_UEM!$A$3:$AH$1849,6,FALSE)</f>
        <v>Electrosurgical Units, Monopolar/Bipolar</v>
      </c>
      <c r="CFM102" s="528" t="s">
        <v>213</v>
      </c>
      <c r="CFN102" s="529" t="str">
        <f>VLOOKUP(CFM102,[14]AssetDetails_UEM!$A$3:$AH$1849,6,FALSE)</f>
        <v>Electrosurgical Units, Monopolar/Bipolar</v>
      </c>
      <c r="CFO102" s="528" t="s">
        <v>213</v>
      </c>
      <c r="CFP102" s="529" t="str">
        <f>VLOOKUP(CFO102,[14]AssetDetails_UEM!$A$3:$AH$1849,6,FALSE)</f>
        <v>Electrosurgical Units, Monopolar/Bipolar</v>
      </c>
      <c r="CFQ102" s="528" t="s">
        <v>213</v>
      </c>
      <c r="CFR102" s="529" t="str">
        <f>VLOOKUP(CFQ102,[14]AssetDetails_UEM!$A$3:$AH$1849,6,FALSE)</f>
        <v>Electrosurgical Units, Monopolar/Bipolar</v>
      </c>
      <c r="CFS102" s="528" t="s">
        <v>213</v>
      </c>
      <c r="CFT102" s="529" t="str">
        <f>VLOOKUP(CFS102,[14]AssetDetails_UEM!$A$3:$AH$1849,6,FALSE)</f>
        <v>Electrosurgical Units, Monopolar/Bipolar</v>
      </c>
      <c r="CFU102" s="528" t="s">
        <v>213</v>
      </c>
      <c r="CFV102" s="529" t="str">
        <f>VLOOKUP(CFU102,[14]AssetDetails_UEM!$A$3:$AH$1849,6,FALSE)</f>
        <v>Electrosurgical Units, Monopolar/Bipolar</v>
      </c>
      <c r="CFW102" s="528" t="s">
        <v>213</v>
      </c>
      <c r="CFX102" s="529" t="str">
        <f>VLOOKUP(CFW102,[14]AssetDetails_UEM!$A$3:$AH$1849,6,FALSE)</f>
        <v>Electrosurgical Units, Monopolar/Bipolar</v>
      </c>
      <c r="CFY102" s="528" t="s">
        <v>213</v>
      </c>
      <c r="CFZ102" s="529" t="str">
        <f>VLOOKUP(CFY102,[14]AssetDetails_UEM!$A$3:$AH$1849,6,FALSE)</f>
        <v>Electrosurgical Units, Monopolar/Bipolar</v>
      </c>
      <c r="CGA102" s="528" t="s">
        <v>213</v>
      </c>
      <c r="CGB102" s="529" t="str">
        <f>VLOOKUP(CGA102,[14]AssetDetails_UEM!$A$3:$AH$1849,6,FALSE)</f>
        <v>Electrosurgical Units, Monopolar/Bipolar</v>
      </c>
      <c r="CGC102" s="528" t="s">
        <v>213</v>
      </c>
      <c r="CGD102" s="529" t="str">
        <f>VLOOKUP(CGC102,[14]AssetDetails_UEM!$A$3:$AH$1849,6,FALSE)</f>
        <v>Electrosurgical Units, Monopolar/Bipolar</v>
      </c>
      <c r="CGE102" s="528" t="s">
        <v>213</v>
      </c>
      <c r="CGF102" s="529" t="str">
        <f>VLOOKUP(CGE102,[14]AssetDetails_UEM!$A$3:$AH$1849,6,FALSE)</f>
        <v>Electrosurgical Units, Monopolar/Bipolar</v>
      </c>
      <c r="CGG102" s="528" t="s">
        <v>213</v>
      </c>
      <c r="CGH102" s="529" t="str">
        <f>VLOOKUP(CGG102,[14]AssetDetails_UEM!$A$3:$AH$1849,6,FALSE)</f>
        <v>Electrosurgical Units, Monopolar/Bipolar</v>
      </c>
      <c r="CGI102" s="528" t="s">
        <v>213</v>
      </c>
      <c r="CGJ102" s="529" t="str">
        <f>VLOOKUP(CGI102,[14]AssetDetails_UEM!$A$3:$AH$1849,6,FALSE)</f>
        <v>Electrosurgical Units, Monopolar/Bipolar</v>
      </c>
      <c r="CGK102" s="528" t="s">
        <v>213</v>
      </c>
      <c r="CGL102" s="529" t="str">
        <f>VLOOKUP(CGK102,[14]AssetDetails_UEM!$A$3:$AH$1849,6,FALSE)</f>
        <v>Electrosurgical Units, Monopolar/Bipolar</v>
      </c>
      <c r="CGM102" s="528" t="s">
        <v>213</v>
      </c>
      <c r="CGN102" s="529" t="str">
        <f>VLOOKUP(CGM102,[14]AssetDetails_UEM!$A$3:$AH$1849,6,FALSE)</f>
        <v>Electrosurgical Units, Monopolar/Bipolar</v>
      </c>
      <c r="CGO102" s="528" t="s">
        <v>213</v>
      </c>
      <c r="CGP102" s="529" t="str">
        <f>VLOOKUP(CGO102,[14]AssetDetails_UEM!$A$3:$AH$1849,6,FALSE)</f>
        <v>Electrosurgical Units, Monopolar/Bipolar</v>
      </c>
      <c r="CGQ102" s="528" t="s">
        <v>213</v>
      </c>
      <c r="CGR102" s="529" t="str">
        <f>VLOOKUP(CGQ102,[14]AssetDetails_UEM!$A$3:$AH$1849,6,FALSE)</f>
        <v>Electrosurgical Units, Monopolar/Bipolar</v>
      </c>
      <c r="CGS102" s="528" t="s">
        <v>213</v>
      </c>
      <c r="CGT102" s="529" t="str">
        <f>VLOOKUP(CGS102,[14]AssetDetails_UEM!$A$3:$AH$1849,6,FALSE)</f>
        <v>Electrosurgical Units, Monopolar/Bipolar</v>
      </c>
      <c r="CGU102" s="528" t="s">
        <v>213</v>
      </c>
      <c r="CGV102" s="529" t="str">
        <f>VLOOKUP(CGU102,[14]AssetDetails_UEM!$A$3:$AH$1849,6,FALSE)</f>
        <v>Electrosurgical Units, Monopolar/Bipolar</v>
      </c>
      <c r="CGW102" s="528" t="s">
        <v>213</v>
      </c>
      <c r="CGX102" s="529" t="str">
        <f>VLOOKUP(CGW102,[14]AssetDetails_UEM!$A$3:$AH$1849,6,FALSE)</f>
        <v>Electrosurgical Units, Monopolar/Bipolar</v>
      </c>
      <c r="CGY102" s="528" t="s">
        <v>213</v>
      </c>
      <c r="CGZ102" s="529" t="str">
        <f>VLOOKUP(CGY102,[14]AssetDetails_UEM!$A$3:$AH$1849,6,FALSE)</f>
        <v>Electrosurgical Units, Monopolar/Bipolar</v>
      </c>
      <c r="CHA102" s="528" t="s">
        <v>213</v>
      </c>
      <c r="CHB102" s="529" t="str">
        <f>VLOOKUP(CHA102,[14]AssetDetails_UEM!$A$3:$AH$1849,6,FALSE)</f>
        <v>Electrosurgical Units, Monopolar/Bipolar</v>
      </c>
      <c r="CHC102" s="528" t="s">
        <v>213</v>
      </c>
      <c r="CHD102" s="529" t="str">
        <f>VLOOKUP(CHC102,[14]AssetDetails_UEM!$A$3:$AH$1849,6,FALSE)</f>
        <v>Electrosurgical Units, Monopolar/Bipolar</v>
      </c>
      <c r="CHE102" s="528" t="s">
        <v>213</v>
      </c>
      <c r="CHF102" s="529" t="str">
        <f>VLOOKUP(CHE102,[14]AssetDetails_UEM!$A$3:$AH$1849,6,FALSE)</f>
        <v>Electrosurgical Units, Monopolar/Bipolar</v>
      </c>
      <c r="CHG102" s="528" t="s">
        <v>213</v>
      </c>
      <c r="CHH102" s="529" t="str">
        <f>VLOOKUP(CHG102,[14]AssetDetails_UEM!$A$3:$AH$1849,6,FALSE)</f>
        <v>Electrosurgical Units, Monopolar/Bipolar</v>
      </c>
      <c r="CHI102" s="528" t="s">
        <v>213</v>
      </c>
      <c r="CHJ102" s="529" t="str">
        <f>VLOOKUP(CHI102,[14]AssetDetails_UEM!$A$3:$AH$1849,6,FALSE)</f>
        <v>Electrosurgical Units, Monopolar/Bipolar</v>
      </c>
      <c r="CHK102" s="528" t="s">
        <v>213</v>
      </c>
      <c r="CHL102" s="529" t="str">
        <f>VLOOKUP(CHK102,[14]AssetDetails_UEM!$A$3:$AH$1849,6,FALSE)</f>
        <v>Electrosurgical Units, Monopolar/Bipolar</v>
      </c>
      <c r="CHM102" s="528" t="s">
        <v>213</v>
      </c>
      <c r="CHN102" s="529" t="str">
        <f>VLOOKUP(CHM102,[14]AssetDetails_UEM!$A$3:$AH$1849,6,FALSE)</f>
        <v>Electrosurgical Units, Monopolar/Bipolar</v>
      </c>
      <c r="CHO102" s="528" t="s">
        <v>213</v>
      </c>
      <c r="CHP102" s="529" t="str">
        <f>VLOOKUP(CHO102,[14]AssetDetails_UEM!$A$3:$AH$1849,6,FALSE)</f>
        <v>Electrosurgical Units, Monopolar/Bipolar</v>
      </c>
      <c r="CHQ102" s="528" t="s">
        <v>213</v>
      </c>
      <c r="CHR102" s="529" t="str">
        <f>VLOOKUP(CHQ102,[14]AssetDetails_UEM!$A$3:$AH$1849,6,FALSE)</f>
        <v>Electrosurgical Units, Monopolar/Bipolar</v>
      </c>
      <c r="CHS102" s="528" t="s">
        <v>213</v>
      </c>
      <c r="CHT102" s="529" t="str">
        <f>VLOOKUP(CHS102,[14]AssetDetails_UEM!$A$3:$AH$1849,6,FALSE)</f>
        <v>Electrosurgical Units, Monopolar/Bipolar</v>
      </c>
      <c r="CHU102" s="528" t="s">
        <v>213</v>
      </c>
      <c r="CHV102" s="529" t="str">
        <f>VLOOKUP(CHU102,[14]AssetDetails_UEM!$A$3:$AH$1849,6,FALSE)</f>
        <v>Electrosurgical Units, Monopolar/Bipolar</v>
      </c>
      <c r="CHW102" s="528" t="s">
        <v>213</v>
      </c>
      <c r="CHX102" s="529" t="str">
        <f>VLOOKUP(CHW102,[14]AssetDetails_UEM!$A$3:$AH$1849,6,FALSE)</f>
        <v>Electrosurgical Units, Monopolar/Bipolar</v>
      </c>
      <c r="CHY102" s="528" t="s">
        <v>213</v>
      </c>
      <c r="CHZ102" s="529" t="str">
        <f>VLOOKUP(CHY102,[14]AssetDetails_UEM!$A$3:$AH$1849,6,FALSE)</f>
        <v>Electrosurgical Units, Monopolar/Bipolar</v>
      </c>
      <c r="CIA102" s="528" t="s">
        <v>213</v>
      </c>
      <c r="CIB102" s="529" t="str">
        <f>VLOOKUP(CIA102,[14]AssetDetails_UEM!$A$3:$AH$1849,6,FALSE)</f>
        <v>Electrosurgical Units, Monopolar/Bipolar</v>
      </c>
      <c r="CIC102" s="528" t="s">
        <v>213</v>
      </c>
      <c r="CID102" s="529" t="str">
        <f>VLOOKUP(CIC102,[14]AssetDetails_UEM!$A$3:$AH$1849,6,FALSE)</f>
        <v>Electrosurgical Units, Monopolar/Bipolar</v>
      </c>
      <c r="CIE102" s="528" t="s">
        <v>213</v>
      </c>
      <c r="CIF102" s="529" t="str">
        <f>VLOOKUP(CIE102,[14]AssetDetails_UEM!$A$3:$AH$1849,6,FALSE)</f>
        <v>Electrosurgical Units, Monopolar/Bipolar</v>
      </c>
      <c r="CIG102" s="528" t="s">
        <v>213</v>
      </c>
      <c r="CIH102" s="529" t="str">
        <f>VLOOKUP(CIG102,[14]AssetDetails_UEM!$A$3:$AH$1849,6,FALSE)</f>
        <v>Electrosurgical Units, Monopolar/Bipolar</v>
      </c>
      <c r="CII102" s="528" t="s">
        <v>213</v>
      </c>
      <c r="CIJ102" s="529" t="str">
        <f>VLOOKUP(CII102,[14]AssetDetails_UEM!$A$3:$AH$1849,6,FALSE)</f>
        <v>Electrosurgical Units, Monopolar/Bipolar</v>
      </c>
      <c r="CIK102" s="528" t="s">
        <v>213</v>
      </c>
      <c r="CIL102" s="529" t="str">
        <f>VLOOKUP(CIK102,[14]AssetDetails_UEM!$A$3:$AH$1849,6,FALSE)</f>
        <v>Electrosurgical Units, Monopolar/Bipolar</v>
      </c>
      <c r="CIM102" s="528" t="s">
        <v>213</v>
      </c>
      <c r="CIN102" s="529" t="str">
        <f>VLOOKUP(CIM102,[14]AssetDetails_UEM!$A$3:$AH$1849,6,FALSE)</f>
        <v>Electrosurgical Units, Monopolar/Bipolar</v>
      </c>
      <c r="CIO102" s="528" t="s">
        <v>213</v>
      </c>
      <c r="CIP102" s="529" t="str">
        <f>VLOOKUP(CIO102,[14]AssetDetails_UEM!$A$3:$AH$1849,6,FALSE)</f>
        <v>Electrosurgical Units, Monopolar/Bipolar</v>
      </c>
      <c r="CIQ102" s="528" t="s">
        <v>213</v>
      </c>
      <c r="CIR102" s="529" t="str">
        <f>VLOOKUP(CIQ102,[14]AssetDetails_UEM!$A$3:$AH$1849,6,FALSE)</f>
        <v>Electrosurgical Units, Monopolar/Bipolar</v>
      </c>
      <c r="CIS102" s="528" t="s">
        <v>213</v>
      </c>
      <c r="CIT102" s="529" t="str">
        <f>VLOOKUP(CIS102,[14]AssetDetails_UEM!$A$3:$AH$1849,6,FALSE)</f>
        <v>Electrosurgical Units, Monopolar/Bipolar</v>
      </c>
      <c r="CIU102" s="528" t="s">
        <v>213</v>
      </c>
      <c r="CIV102" s="529" t="str">
        <f>VLOOKUP(CIU102,[14]AssetDetails_UEM!$A$3:$AH$1849,6,FALSE)</f>
        <v>Electrosurgical Units, Monopolar/Bipolar</v>
      </c>
      <c r="CIW102" s="528" t="s">
        <v>213</v>
      </c>
      <c r="CIX102" s="529" t="str">
        <f>VLOOKUP(CIW102,[14]AssetDetails_UEM!$A$3:$AH$1849,6,FALSE)</f>
        <v>Electrosurgical Units, Monopolar/Bipolar</v>
      </c>
      <c r="CIY102" s="528" t="s">
        <v>213</v>
      </c>
      <c r="CIZ102" s="529" t="str">
        <f>VLOOKUP(CIY102,[14]AssetDetails_UEM!$A$3:$AH$1849,6,FALSE)</f>
        <v>Electrosurgical Units, Monopolar/Bipolar</v>
      </c>
      <c r="CJA102" s="528" t="s">
        <v>213</v>
      </c>
      <c r="CJB102" s="529" t="str">
        <f>VLOOKUP(CJA102,[14]AssetDetails_UEM!$A$3:$AH$1849,6,FALSE)</f>
        <v>Electrosurgical Units, Monopolar/Bipolar</v>
      </c>
      <c r="CJC102" s="528" t="s">
        <v>213</v>
      </c>
      <c r="CJD102" s="529" t="str">
        <f>VLOOKUP(CJC102,[14]AssetDetails_UEM!$A$3:$AH$1849,6,FALSE)</f>
        <v>Electrosurgical Units, Monopolar/Bipolar</v>
      </c>
      <c r="CJE102" s="528" t="s">
        <v>213</v>
      </c>
      <c r="CJF102" s="529" t="str">
        <f>VLOOKUP(CJE102,[14]AssetDetails_UEM!$A$3:$AH$1849,6,FALSE)</f>
        <v>Electrosurgical Units, Monopolar/Bipolar</v>
      </c>
      <c r="CJG102" s="528" t="s">
        <v>213</v>
      </c>
      <c r="CJH102" s="529" t="str">
        <f>VLOOKUP(CJG102,[14]AssetDetails_UEM!$A$3:$AH$1849,6,FALSE)</f>
        <v>Electrosurgical Units, Monopolar/Bipolar</v>
      </c>
      <c r="CJI102" s="528" t="s">
        <v>213</v>
      </c>
      <c r="CJJ102" s="529" t="str">
        <f>VLOOKUP(CJI102,[14]AssetDetails_UEM!$A$3:$AH$1849,6,FALSE)</f>
        <v>Electrosurgical Units, Monopolar/Bipolar</v>
      </c>
      <c r="CJK102" s="528" t="s">
        <v>213</v>
      </c>
      <c r="CJL102" s="529" t="str">
        <f>VLOOKUP(CJK102,[14]AssetDetails_UEM!$A$3:$AH$1849,6,FALSE)</f>
        <v>Electrosurgical Units, Monopolar/Bipolar</v>
      </c>
      <c r="CJM102" s="528" t="s">
        <v>213</v>
      </c>
      <c r="CJN102" s="529" t="str">
        <f>VLOOKUP(CJM102,[14]AssetDetails_UEM!$A$3:$AH$1849,6,FALSE)</f>
        <v>Electrosurgical Units, Monopolar/Bipolar</v>
      </c>
      <c r="CJO102" s="528" t="s">
        <v>213</v>
      </c>
      <c r="CJP102" s="529" t="str">
        <f>VLOOKUP(CJO102,[14]AssetDetails_UEM!$A$3:$AH$1849,6,FALSE)</f>
        <v>Electrosurgical Units, Monopolar/Bipolar</v>
      </c>
      <c r="CJQ102" s="528" t="s">
        <v>213</v>
      </c>
      <c r="CJR102" s="529" t="str">
        <f>VLOOKUP(CJQ102,[14]AssetDetails_UEM!$A$3:$AH$1849,6,FALSE)</f>
        <v>Electrosurgical Units, Monopolar/Bipolar</v>
      </c>
      <c r="CJS102" s="528" t="s">
        <v>213</v>
      </c>
      <c r="CJT102" s="529" t="str">
        <f>VLOOKUP(CJS102,[14]AssetDetails_UEM!$A$3:$AH$1849,6,FALSE)</f>
        <v>Electrosurgical Units, Monopolar/Bipolar</v>
      </c>
      <c r="CJU102" s="528" t="s">
        <v>213</v>
      </c>
      <c r="CJV102" s="529" t="str">
        <f>VLOOKUP(CJU102,[14]AssetDetails_UEM!$A$3:$AH$1849,6,FALSE)</f>
        <v>Electrosurgical Units, Monopolar/Bipolar</v>
      </c>
      <c r="CJW102" s="528" t="s">
        <v>213</v>
      </c>
      <c r="CJX102" s="529" t="str">
        <f>VLOOKUP(CJW102,[14]AssetDetails_UEM!$A$3:$AH$1849,6,FALSE)</f>
        <v>Electrosurgical Units, Monopolar/Bipolar</v>
      </c>
      <c r="CJY102" s="528" t="s">
        <v>213</v>
      </c>
      <c r="CJZ102" s="529" t="str">
        <f>VLOOKUP(CJY102,[14]AssetDetails_UEM!$A$3:$AH$1849,6,FALSE)</f>
        <v>Electrosurgical Units, Monopolar/Bipolar</v>
      </c>
      <c r="CKA102" s="528" t="s">
        <v>213</v>
      </c>
      <c r="CKB102" s="529" t="str">
        <f>VLOOKUP(CKA102,[14]AssetDetails_UEM!$A$3:$AH$1849,6,FALSE)</f>
        <v>Electrosurgical Units, Monopolar/Bipolar</v>
      </c>
      <c r="CKC102" s="528" t="s">
        <v>213</v>
      </c>
      <c r="CKD102" s="529" t="str">
        <f>VLOOKUP(CKC102,[14]AssetDetails_UEM!$A$3:$AH$1849,6,FALSE)</f>
        <v>Electrosurgical Units, Monopolar/Bipolar</v>
      </c>
      <c r="CKE102" s="528" t="s">
        <v>213</v>
      </c>
      <c r="CKF102" s="529" t="str">
        <f>VLOOKUP(CKE102,[14]AssetDetails_UEM!$A$3:$AH$1849,6,FALSE)</f>
        <v>Electrosurgical Units, Monopolar/Bipolar</v>
      </c>
      <c r="CKG102" s="528" t="s">
        <v>213</v>
      </c>
      <c r="CKH102" s="529" t="str">
        <f>VLOOKUP(CKG102,[14]AssetDetails_UEM!$A$3:$AH$1849,6,FALSE)</f>
        <v>Electrosurgical Units, Monopolar/Bipolar</v>
      </c>
      <c r="CKI102" s="528" t="s">
        <v>213</v>
      </c>
      <c r="CKJ102" s="529" t="str">
        <f>VLOOKUP(CKI102,[14]AssetDetails_UEM!$A$3:$AH$1849,6,FALSE)</f>
        <v>Electrosurgical Units, Monopolar/Bipolar</v>
      </c>
      <c r="CKK102" s="528" t="s">
        <v>213</v>
      </c>
      <c r="CKL102" s="529" t="str">
        <f>VLOOKUP(CKK102,[14]AssetDetails_UEM!$A$3:$AH$1849,6,FALSE)</f>
        <v>Electrosurgical Units, Monopolar/Bipolar</v>
      </c>
      <c r="CKM102" s="528" t="s">
        <v>213</v>
      </c>
      <c r="CKN102" s="529" t="str">
        <f>VLOOKUP(CKM102,[14]AssetDetails_UEM!$A$3:$AH$1849,6,FALSE)</f>
        <v>Electrosurgical Units, Monopolar/Bipolar</v>
      </c>
      <c r="CKO102" s="528" t="s">
        <v>213</v>
      </c>
      <c r="CKP102" s="529" t="str">
        <f>VLOOKUP(CKO102,[14]AssetDetails_UEM!$A$3:$AH$1849,6,FALSE)</f>
        <v>Electrosurgical Units, Monopolar/Bipolar</v>
      </c>
      <c r="CKQ102" s="528" t="s">
        <v>213</v>
      </c>
      <c r="CKR102" s="529" t="str">
        <f>VLOOKUP(CKQ102,[14]AssetDetails_UEM!$A$3:$AH$1849,6,FALSE)</f>
        <v>Electrosurgical Units, Monopolar/Bipolar</v>
      </c>
      <c r="CKS102" s="528" t="s">
        <v>213</v>
      </c>
      <c r="CKT102" s="529" t="str">
        <f>VLOOKUP(CKS102,[14]AssetDetails_UEM!$A$3:$AH$1849,6,FALSE)</f>
        <v>Electrosurgical Units, Monopolar/Bipolar</v>
      </c>
      <c r="CKU102" s="528" t="s">
        <v>213</v>
      </c>
      <c r="CKV102" s="529" t="str">
        <f>VLOOKUP(CKU102,[14]AssetDetails_UEM!$A$3:$AH$1849,6,FALSE)</f>
        <v>Electrosurgical Units, Monopolar/Bipolar</v>
      </c>
      <c r="CKW102" s="528" t="s">
        <v>213</v>
      </c>
      <c r="CKX102" s="529" t="str">
        <f>VLOOKUP(CKW102,[14]AssetDetails_UEM!$A$3:$AH$1849,6,FALSE)</f>
        <v>Electrosurgical Units, Monopolar/Bipolar</v>
      </c>
      <c r="CKY102" s="528" t="s">
        <v>213</v>
      </c>
      <c r="CKZ102" s="529" t="str">
        <f>VLOOKUP(CKY102,[14]AssetDetails_UEM!$A$3:$AH$1849,6,FALSE)</f>
        <v>Electrosurgical Units, Monopolar/Bipolar</v>
      </c>
      <c r="CLA102" s="528" t="s">
        <v>213</v>
      </c>
      <c r="CLB102" s="529" t="str">
        <f>VLOOKUP(CLA102,[14]AssetDetails_UEM!$A$3:$AH$1849,6,FALSE)</f>
        <v>Electrosurgical Units, Monopolar/Bipolar</v>
      </c>
      <c r="CLC102" s="528" t="s">
        <v>213</v>
      </c>
      <c r="CLD102" s="529" t="str">
        <f>VLOOKUP(CLC102,[14]AssetDetails_UEM!$A$3:$AH$1849,6,FALSE)</f>
        <v>Electrosurgical Units, Monopolar/Bipolar</v>
      </c>
      <c r="CLE102" s="528" t="s">
        <v>213</v>
      </c>
      <c r="CLF102" s="529" t="str">
        <f>VLOOKUP(CLE102,[14]AssetDetails_UEM!$A$3:$AH$1849,6,FALSE)</f>
        <v>Electrosurgical Units, Monopolar/Bipolar</v>
      </c>
      <c r="CLG102" s="528" t="s">
        <v>213</v>
      </c>
      <c r="CLH102" s="529" t="str">
        <f>VLOOKUP(CLG102,[14]AssetDetails_UEM!$A$3:$AH$1849,6,FALSE)</f>
        <v>Electrosurgical Units, Monopolar/Bipolar</v>
      </c>
      <c r="CLI102" s="528" t="s">
        <v>213</v>
      </c>
      <c r="CLJ102" s="529" t="str">
        <f>VLOOKUP(CLI102,[14]AssetDetails_UEM!$A$3:$AH$1849,6,FALSE)</f>
        <v>Electrosurgical Units, Monopolar/Bipolar</v>
      </c>
      <c r="CLK102" s="528" t="s">
        <v>213</v>
      </c>
      <c r="CLL102" s="529" t="str">
        <f>VLOOKUP(CLK102,[14]AssetDetails_UEM!$A$3:$AH$1849,6,FALSE)</f>
        <v>Electrosurgical Units, Monopolar/Bipolar</v>
      </c>
      <c r="CLM102" s="528" t="s">
        <v>213</v>
      </c>
      <c r="CLN102" s="529" t="str">
        <f>VLOOKUP(CLM102,[14]AssetDetails_UEM!$A$3:$AH$1849,6,FALSE)</f>
        <v>Electrosurgical Units, Monopolar/Bipolar</v>
      </c>
      <c r="CLO102" s="528" t="s">
        <v>213</v>
      </c>
      <c r="CLP102" s="529" t="str">
        <f>VLOOKUP(CLO102,[14]AssetDetails_UEM!$A$3:$AH$1849,6,FALSE)</f>
        <v>Electrosurgical Units, Monopolar/Bipolar</v>
      </c>
      <c r="CLQ102" s="528" t="s">
        <v>213</v>
      </c>
      <c r="CLR102" s="529" t="str">
        <f>VLOOKUP(CLQ102,[14]AssetDetails_UEM!$A$3:$AH$1849,6,FALSE)</f>
        <v>Electrosurgical Units, Monopolar/Bipolar</v>
      </c>
      <c r="CLS102" s="528" t="s">
        <v>213</v>
      </c>
      <c r="CLT102" s="529" t="str">
        <f>VLOOKUP(CLS102,[14]AssetDetails_UEM!$A$3:$AH$1849,6,FALSE)</f>
        <v>Electrosurgical Units, Monopolar/Bipolar</v>
      </c>
      <c r="CLU102" s="528" t="s">
        <v>213</v>
      </c>
      <c r="CLV102" s="529" t="str">
        <f>VLOOKUP(CLU102,[14]AssetDetails_UEM!$A$3:$AH$1849,6,FALSE)</f>
        <v>Electrosurgical Units, Monopolar/Bipolar</v>
      </c>
      <c r="CLW102" s="528" t="s">
        <v>213</v>
      </c>
      <c r="CLX102" s="529" t="str">
        <f>VLOOKUP(CLW102,[14]AssetDetails_UEM!$A$3:$AH$1849,6,FALSE)</f>
        <v>Electrosurgical Units, Monopolar/Bipolar</v>
      </c>
      <c r="CLY102" s="528" t="s">
        <v>213</v>
      </c>
      <c r="CLZ102" s="529" t="str">
        <f>VLOOKUP(CLY102,[14]AssetDetails_UEM!$A$3:$AH$1849,6,FALSE)</f>
        <v>Electrosurgical Units, Monopolar/Bipolar</v>
      </c>
      <c r="CMA102" s="528" t="s">
        <v>213</v>
      </c>
      <c r="CMB102" s="529" t="str">
        <f>VLOOKUP(CMA102,[14]AssetDetails_UEM!$A$3:$AH$1849,6,FALSE)</f>
        <v>Electrosurgical Units, Monopolar/Bipolar</v>
      </c>
      <c r="CMC102" s="528" t="s">
        <v>213</v>
      </c>
      <c r="CMD102" s="529" t="str">
        <f>VLOOKUP(CMC102,[14]AssetDetails_UEM!$A$3:$AH$1849,6,FALSE)</f>
        <v>Electrosurgical Units, Monopolar/Bipolar</v>
      </c>
      <c r="CME102" s="528" t="s">
        <v>213</v>
      </c>
      <c r="CMF102" s="529" t="str">
        <f>VLOOKUP(CME102,[14]AssetDetails_UEM!$A$3:$AH$1849,6,FALSE)</f>
        <v>Electrosurgical Units, Monopolar/Bipolar</v>
      </c>
      <c r="CMG102" s="528" t="s">
        <v>213</v>
      </c>
      <c r="CMH102" s="529" t="str">
        <f>VLOOKUP(CMG102,[14]AssetDetails_UEM!$A$3:$AH$1849,6,FALSE)</f>
        <v>Electrosurgical Units, Monopolar/Bipolar</v>
      </c>
      <c r="CMI102" s="528" t="s">
        <v>213</v>
      </c>
      <c r="CMJ102" s="529" t="str">
        <f>VLOOKUP(CMI102,[14]AssetDetails_UEM!$A$3:$AH$1849,6,FALSE)</f>
        <v>Electrosurgical Units, Monopolar/Bipolar</v>
      </c>
      <c r="CMK102" s="528" t="s">
        <v>213</v>
      </c>
      <c r="CML102" s="529" t="str">
        <f>VLOOKUP(CMK102,[14]AssetDetails_UEM!$A$3:$AH$1849,6,FALSE)</f>
        <v>Electrosurgical Units, Monopolar/Bipolar</v>
      </c>
      <c r="CMM102" s="528" t="s">
        <v>213</v>
      </c>
      <c r="CMN102" s="529" t="str">
        <f>VLOOKUP(CMM102,[14]AssetDetails_UEM!$A$3:$AH$1849,6,FALSE)</f>
        <v>Electrosurgical Units, Monopolar/Bipolar</v>
      </c>
      <c r="CMO102" s="528" t="s">
        <v>213</v>
      </c>
      <c r="CMP102" s="529" t="str">
        <f>VLOOKUP(CMO102,[14]AssetDetails_UEM!$A$3:$AH$1849,6,FALSE)</f>
        <v>Electrosurgical Units, Monopolar/Bipolar</v>
      </c>
      <c r="CMQ102" s="528" t="s">
        <v>213</v>
      </c>
      <c r="CMR102" s="529" t="str">
        <f>VLOOKUP(CMQ102,[14]AssetDetails_UEM!$A$3:$AH$1849,6,FALSE)</f>
        <v>Electrosurgical Units, Monopolar/Bipolar</v>
      </c>
      <c r="CMS102" s="528" t="s">
        <v>213</v>
      </c>
      <c r="CMT102" s="529" t="str">
        <f>VLOOKUP(CMS102,[14]AssetDetails_UEM!$A$3:$AH$1849,6,FALSE)</f>
        <v>Electrosurgical Units, Monopolar/Bipolar</v>
      </c>
      <c r="CMU102" s="528" t="s">
        <v>213</v>
      </c>
      <c r="CMV102" s="529" t="str">
        <f>VLOOKUP(CMU102,[14]AssetDetails_UEM!$A$3:$AH$1849,6,FALSE)</f>
        <v>Electrosurgical Units, Monopolar/Bipolar</v>
      </c>
      <c r="CMW102" s="528" t="s">
        <v>213</v>
      </c>
      <c r="CMX102" s="529" t="str">
        <f>VLOOKUP(CMW102,[14]AssetDetails_UEM!$A$3:$AH$1849,6,FALSE)</f>
        <v>Electrosurgical Units, Monopolar/Bipolar</v>
      </c>
      <c r="CMY102" s="528" t="s">
        <v>213</v>
      </c>
      <c r="CMZ102" s="529" t="str">
        <f>VLOOKUP(CMY102,[14]AssetDetails_UEM!$A$3:$AH$1849,6,FALSE)</f>
        <v>Electrosurgical Units, Monopolar/Bipolar</v>
      </c>
      <c r="CNA102" s="528" t="s">
        <v>213</v>
      </c>
      <c r="CNB102" s="529" t="str">
        <f>VLOOKUP(CNA102,[14]AssetDetails_UEM!$A$3:$AH$1849,6,FALSE)</f>
        <v>Electrosurgical Units, Monopolar/Bipolar</v>
      </c>
      <c r="CNC102" s="528" t="s">
        <v>213</v>
      </c>
      <c r="CND102" s="529" t="str">
        <f>VLOOKUP(CNC102,[14]AssetDetails_UEM!$A$3:$AH$1849,6,FALSE)</f>
        <v>Electrosurgical Units, Monopolar/Bipolar</v>
      </c>
      <c r="CNE102" s="528" t="s">
        <v>213</v>
      </c>
      <c r="CNF102" s="529" t="str">
        <f>VLOOKUP(CNE102,[14]AssetDetails_UEM!$A$3:$AH$1849,6,FALSE)</f>
        <v>Electrosurgical Units, Monopolar/Bipolar</v>
      </c>
      <c r="CNG102" s="528" t="s">
        <v>213</v>
      </c>
      <c r="CNH102" s="529" t="str">
        <f>VLOOKUP(CNG102,[14]AssetDetails_UEM!$A$3:$AH$1849,6,FALSE)</f>
        <v>Electrosurgical Units, Monopolar/Bipolar</v>
      </c>
      <c r="CNI102" s="528" t="s">
        <v>213</v>
      </c>
      <c r="CNJ102" s="529" t="str">
        <f>VLOOKUP(CNI102,[14]AssetDetails_UEM!$A$3:$AH$1849,6,FALSE)</f>
        <v>Electrosurgical Units, Monopolar/Bipolar</v>
      </c>
      <c r="CNK102" s="528" t="s">
        <v>213</v>
      </c>
      <c r="CNL102" s="529" t="str">
        <f>VLOOKUP(CNK102,[14]AssetDetails_UEM!$A$3:$AH$1849,6,FALSE)</f>
        <v>Electrosurgical Units, Monopolar/Bipolar</v>
      </c>
      <c r="CNM102" s="528" t="s">
        <v>213</v>
      </c>
      <c r="CNN102" s="529" t="str">
        <f>VLOOKUP(CNM102,[14]AssetDetails_UEM!$A$3:$AH$1849,6,FALSE)</f>
        <v>Electrosurgical Units, Monopolar/Bipolar</v>
      </c>
      <c r="CNO102" s="528" t="s">
        <v>213</v>
      </c>
      <c r="CNP102" s="529" t="str">
        <f>VLOOKUP(CNO102,[14]AssetDetails_UEM!$A$3:$AH$1849,6,FALSE)</f>
        <v>Electrosurgical Units, Monopolar/Bipolar</v>
      </c>
      <c r="CNQ102" s="528" t="s">
        <v>213</v>
      </c>
      <c r="CNR102" s="529" t="str">
        <f>VLOOKUP(CNQ102,[14]AssetDetails_UEM!$A$3:$AH$1849,6,FALSE)</f>
        <v>Electrosurgical Units, Monopolar/Bipolar</v>
      </c>
      <c r="CNS102" s="528" t="s">
        <v>213</v>
      </c>
      <c r="CNT102" s="529" t="str">
        <f>VLOOKUP(CNS102,[14]AssetDetails_UEM!$A$3:$AH$1849,6,FALSE)</f>
        <v>Electrosurgical Units, Monopolar/Bipolar</v>
      </c>
      <c r="CNU102" s="528" t="s">
        <v>213</v>
      </c>
      <c r="CNV102" s="529" t="str">
        <f>VLOOKUP(CNU102,[14]AssetDetails_UEM!$A$3:$AH$1849,6,FALSE)</f>
        <v>Electrosurgical Units, Monopolar/Bipolar</v>
      </c>
      <c r="CNW102" s="528" t="s">
        <v>213</v>
      </c>
      <c r="CNX102" s="529" t="str">
        <f>VLOOKUP(CNW102,[14]AssetDetails_UEM!$A$3:$AH$1849,6,FALSE)</f>
        <v>Electrosurgical Units, Monopolar/Bipolar</v>
      </c>
      <c r="CNY102" s="528" t="s">
        <v>213</v>
      </c>
      <c r="CNZ102" s="529" t="str">
        <f>VLOOKUP(CNY102,[14]AssetDetails_UEM!$A$3:$AH$1849,6,FALSE)</f>
        <v>Electrosurgical Units, Monopolar/Bipolar</v>
      </c>
      <c r="COA102" s="528" t="s">
        <v>213</v>
      </c>
      <c r="COB102" s="529" t="str">
        <f>VLOOKUP(COA102,[14]AssetDetails_UEM!$A$3:$AH$1849,6,FALSE)</f>
        <v>Electrosurgical Units, Monopolar/Bipolar</v>
      </c>
      <c r="COC102" s="528" t="s">
        <v>213</v>
      </c>
      <c r="COD102" s="529" t="str">
        <f>VLOOKUP(COC102,[14]AssetDetails_UEM!$A$3:$AH$1849,6,FALSE)</f>
        <v>Electrosurgical Units, Monopolar/Bipolar</v>
      </c>
      <c r="COE102" s="528" t="s">
        <v>213</v>
      </c>
      <c r="COF102" s="529" t="str">
        <f>VLOOKUP(COE102,[14]AssetDetails_UEM!$A$3:$AH$1849,6,FALSE)</f>
        <v>Electrosurgical Units, Monopolar/Bipolar</v>
      </c>
      <c r="COG102" s="528" t="s">
        <v>213</v>
      </c>
      <c r="COH102" s="529" t="str">
        <f>VLOOKUP(COG102,[14]AssetDetails_UEM!$A$3:$AH$1849,6,FALSE)</f>
        <v>Electrosurgical Units, Monopolar/Bipolar</v>
      </c>
      <c r="COI102" s="528" t="s">
        <v>213</v>
      </c>
      <c r="COJ102" s="529" t="str">
        <f>VLOOKUP(COI102,[14]AssetDetails_UEM!$A$3:$AH$1849,6,FALSE)</f>
        <v>Electrosurgical Units, Monopolar/Bipolar</v>
      </c>
      <c r="COK102" s="528" t="s">
        <v>213</v>
      </c>
      <c r="COL102" s="529" t="str">
        <f>VLOOKUP(COK102,[14]AssetDetails_UEM!$A$3:$AH$1849,6,FALSE)</f>
        <v>Electrosurgical Units, Monopolar/Bipolar</v>
      </c>
      <c r="COM102" s="528" t="s">
        <v>213</v>
      </c>
      <c r="CON102" s="529" t="str">
        <f>VLOOKUP(COM102,[14]AssetDetails_UEM!$A$3:$AH$1849,6,FALSE)</f>
        <v>Electrosurgical Units, Monopolar/Bipolar</v>
      </c>
      <c r="COO102" s="528" t="s">
        <v>213</v>
      </c>
      <c r="COP102" s="529" t="str">
        <f>VLOOKUP(COO102,[14]AssetDetails_UEM!$A$3:$AH$1849,6,FALSE)</f>
        <v>Electrosurgical Units, Monopolar/Bipolar</v>
      </c>
      <c r="COQ102" s="528" t="s">
        <v>213</v>
      </c>
      <c r="COR102" s="529" t="str">
        <f>VLOOKUP(COQ102,[14]AssetDetails_UEM!$A$3:$AH$1849,6,FALSE)</f>
        <v>Electrosurgical Units, Monopolar/Bipolar</v>
      </c>
      <c r="COS102" s="528" t="s">
        <v>213</v>
      </c>
      <c r="COT102" s="529" t="str">
        <f>VLOOKUP(COS102,[14]AssetDetails_UEM!$A$3:$AH$1849,6,FALSE)</f>
        <v>Electrosurgical Units, Monopolar/Bipolar</v>
      </c>
      <c r="COU102" s="528" t="s">
        <v>213</v>
      </c>
      <c r="COV102" s="529" t="str">
        <f>VLOOKUP(COU102,[14]AssetDetails_UEM!$A$3:$AH$1849,6,FALSE)</f>
        <v>Electrosurgical Units, Monopolar/Bipolar</v>
      </c>
      <c r="COW102" s="528" t="s">
        <v>213</v>
      </c>
      <c r="COX102" s="529" t="str">
        <f>VLOOKUP(COW102,[14]AssetDetails_UEM!$A$3:$AH$1849,6,FALSE)</f>
        <v>Electrosurgical Units, Monopolar/Bipolar</v>
      </c>
      <c r="COY102" s="528" t="s">
        <v>213</v>
      </c>
      <c r="COZ102" s="529" t="str">
        <f>VLOOKUP(COY102,[14]AssetDetails_UEM!$A$3:$AH$1849,6,FALSE)</f>
        <v>Electrosurgical Units, Monopolar/Bipolar</v>
      </c>
      <c r="CPA102" s="528" t="s">
        <v>213</v>
      </c>
      <c r="CPB102" s="529" t="str">
        <f>VLOOKUP(CPA102,[14]AssetDetails_UEM!$A$3:$AH$1849,6,FALSE)</f>
        <v>Electrosurgical Units, Monopolar/Bipolar</v>
      </c>
      <c r="CPC102" s="528" t="s">
        <v>213</v>
      </c>
      <c r="CPD102" s="529" t="str">
        <f>VLOOKUP(CPC102,[14]AssetDetails_UEM!$A$3:$AH$1849,6,FALSE)</f>
        <v>Electrosurgical Units, Monopolar/Bipolar</v>
      </c>
      <c r="CPE102" s="528" t="s">
        <v>213</v>
      </c>
      <c r="CPF102" s="529" t="str">
        <f>VLOOKUP(CPE102,[14]AssetDetails_UEM!$A$3:$AH$1849,6,FALSE)</f>
        <v>Electrosurgical Units, Monopolar/Bipolar</v>
      </c>
      <c r="CPG102" s="528" t="s">
        <v>213</v>
      </c>
      <c r="CPH102" s="529" t="str">
        <f>VLOOKUP(CPG102,[14]AssetDetails_UEM!$A$3:$AH$1849,6,FALSE)</f>
        <v>Electrosurgical Units, Monopolar/Bipolar</v>
      </c>
      <c r="CPI102" s="528" t="s">
        <v>213</v>
      </c>
      <c r="CPJ102" s="529" t="str">
        <f>VLOOKUP(CPI102,[14]AssetDetails_UEM!$A$3:$AH$1849,6,FALSE)</f>
        <v>Electrosurgical Units, Monopolar/Bipolar</v>
      </c>
      <c r="CPK102" s="528" t="s">
        <v>213</v>
      </c>
      <c r="CPL102" s="529" t="str">
        <f>VLOOKUP(CPK102,[14]AssetDetails_UEM!$A$3:$AH$1849,6,FALSE)</f>
        <v>Electrosurgical Units, Monopolar/Bipolar</v>
      </c>
      <c r="CPM102" s="528" t="s">
        <v>213</v>
      </c>
      <c r="CPN102" s="529" t="str">
        <f>VLOOKUP(CPM102,[14]AssetDetails_UEM!$A$3:$AH$1849,6,FALSE)</f>
        <v>Electrosurgical Units, Monopolar/Bipolar</v>
      </c>
      <c r="CPO102" s="528" t="s">
        <v>213</v>
      </c>
      <c r="CPP102" s="529" t="str">
        <f>VLOOKUP(CPO102,[14]AssetDetails_UEM!$A$3:$AH$1849,6,FALSE)</f>
        <v>Electrosurgical Units, Monopolar/Bipolar</v>
      </c>
      <c r="CPQ102" s="528" t="s">
        <v>213</v>
      </c>
      <c r="CPR102" s="529" t="str">
        <f>VLOOKUP(CPQ102,[14]AssetDetails_UEM!$A$3:$AH$1849,6,FALSE)</f>
        <v>Electrosurgical Units, Monopolar/Bipolar</v>
      </c>
      <c r="CPS102" s="528" t="s">
        <v>213</v>
      </c>
      <c r="CPT102" s="529" t="str">
        <f>VLOOKUP(CPS102,[14]AssetDetails_UEM!$A$3:$AH$1849,6,FALSE)</f>
        <v>Electrosurgical Units, Monopolar/Bipolar</v>
      </c>
      <c r="CPU102" s="528" t="s">
        <v>213</v>
      </c>
      <c r="CPV102" s="529" t="str">
        <f>VLOOKUP(CPU102,[14]AssetDetails_UEM!$A$3:$AH$1849,6,FALSE)</f>
        <v>Electrosurgical Units, Monopolar/Bipolar</v>
      </c>
      <c r="CPW102" s="528" t="s">
        <v>213</v>
      </c>
      <c r="CPX102" s="529" t="str">
        <f>VLOOKUP(CPW102,[14]AssetDetails_UEM!$A$3:$AH$1849,6,FALSE)</f>
        <v>Electrosurgical Units, Monopolar/Bipolar</v>
      </c>
      <c r="CPY102" s="528" t="s">
        <v>213</v>
      </c>
      <c r="CPZ102" s="529" t="str">
        <f>VLOOKUP(CPY102,[14]AssetDetails_UEM!$A$3:$AH$1849,6,FALSE)</f>
        <v>Electrosurgical Units, Monopolar/Bipolar</v>
      </c>
      <c r="CQA102" s="528" t="s">
        <v>213</v>
      </c>
      <c r="CQB102" s="529" t="str">
        <f>VLOOKUP(CQA102,[14]AssetDetails_UEM!$A$3:$AH$1849,6,FALSE)</f>
        <v>Electrosurgical Units, Monopolar/Bipolar</v>
      </c>
      <c r="CQC102" s="528" t="s">
        <v>213</v>
      </c>
      <c r="CQD102" s="529" t="str">
        <f>VLOOKUP(CQC102,[14]AssetDetails_UEM!$A$3:$AH$1849,6,FALSE)</f>
        <v>Electrosurgical Units, Monopolar/Bipolar</v>
      </c>
      <c r="CQE102" s="528" t="s">
        <v>213</v>
      </c>
      <c r="CQF102" s="529" t="str">
        <f>VLOOKUP(CQE102,[14]AssetDetails_UEM!$A$3:$AH$1849,6,FALSE)</f>
        <v>Electrosurgical Units, Monopolar/Bipolar</v>
      </c>
      <c r="CQG102" s="528" t="s">
        <v>213</v>
      </c>
      <c r="CQH102" s="529" t="str">
        <f>VLOOKUP(CQG102,[14]AssetDetails_UEM!$A$3:$AH$1849,6,FALSE)</f>
        <v>Electrosurgical Units, Monopolar/Bipolar</v>
      </c>
      <c r="CQI102" s="528" t="s">
        <v>213</v>
      </c>
      <c r="CQJ102" s="529" t="str">
        <f>VLOOKUP(CQI102,[14]AssetDetails_UEM!$A$3:$AH$1849,6,FALSE)</f>
        <v>Electrosurgical Units, Monopolar/Bipolar</v>
      </c>
      <c r="CQK102" s="528" t="s">
        <v>213</v>
      </c>
      <c r="CQL102" s="529" t="str">
        <f>VLOOKUP(CQK102,[14]AssetDetails_UEM!$A$3:$AH$1849,6,FALSE)</f>
        <v>Electrosurgical Units, Monopolar/Bipolar</v>
      </c>
      <c r="CQM102" s="528" t="s">
        <v>213</v>
      </c>
      <c r="CQN102" s="529" t="str">
        <f>VLOOKUP(CQM102,[14]AssetDetails_UEM!$A$3:$AH$1849,6,FALSE)</f>
        <v>Electrosurgical Units, Monopolar/Bipolar</v>
      </c>
      <c r="CQO102" s="528" t="s">
        <v>213</v>
      </c>
      <c r="CQP102" s="529" t="str">
        <f>VLOOKUP(CQO102,[14]AssetDetails_UEM!$A$3:$AH$1849,6,FALSE)</f>
        <v>Electrosurgical Units, Monopolar/Bipolar</v>
      </c>
      <c r="CQQ102" s="528" t="s">
        <v>213</v>
      </c>
      <c r="CQR102" s="529" t="str">
        <f>VLOOKUP(CQQ102,[14]AssetDetails_UEM!$A$3:$AH$1849,6,FALSE)</f>
        <v>Electrosurgical Units, Monopolar/Bipolar</v>
      </c>
      <c r="CQS102" s="528" t="s">
        <v>213</v>
      </c>
      <c r="CQT102" s="529" t="str">
        <f>VLOOKUP(CQS102,[14]AssetDetails_UEM!$A$3:$AH$1849,6,FALSE)</f>
        <v>Electrosurgical Units, Monopolar/Bipolar</v>
      </c>
      <c r="CQU102" s="528" t="s">
        <v>213</v>
      </c>
      <c r="CQV102" s="529" t="str">
        <f>VLOOKUP(CQU102,[14]AssetDetails_UEM!$A$3:$AH$1849,6,FALSE)</f>
        <v>Electrosurgical Units, Monopolar/Bipolar</v>
      </c>
      <c r="CQW102" s="528" t="s">
        <v>213</v>
      </c>
      <c r="CQX102" s="529" t="str">
        <f>VLOOKUP(CQW102,[14]AssetDetails_UEM!$A$3:$AH$1849,6,FALSE)</f>
        <v>Electrosurgical Units, Monopolar/Bipolar</v>
      </c>
      <c r="CQY102" s="528" t="s">
        <v>213</v>
      </c>
      <c r="CQZ102" s="529" t="str">
        <f>VLOOKUP(CQY102,[14]AssetDetails_UEM!$A$3:$AH$1849,6,FALSE)</f>
        <v>Electrosurgical Units, Monopolar/Bipolar</v>
      </c>
      <c r="CRA102" s="528" t="s">
        <v>213</v>
      </c>
      <c r="CRB102" s="529" t="str">
        <f>VLOOKUP(CRA102,[14]AssetDetails_UEM!$A$3:$AH$1849,6,FALSE)</f>
        <v>Electrosurgical Units, Monopolar/Bipolar</v>
      </c>
      <c r="CRC102" s="528" t="s">
        <v>213</v>
      </c>
      <c r="CRD102" s="529" t="str">
        <f>VLOOKUP(CRC102,[14]AssetDetails_UEM!$A$3:$AH$1849,6,FALSE)</f>
        <v>Electrosurgical Units, Monopolar/Bipolar</v>
      </c>
      <c r="CRE102" s="528" t="s">
        <v>213</v>
      </c>
      <c r="CRF102" s="529" t="str">
        <f>VLOOKUP(CRE102,[14]AssetDetails_UEM!$A$3:$AH$1849,6,FALSE)</f>
        <v>Electrosurgical Units, Monopolar/Bipolar</v>
      </c>
      <c r="CRG102" s="528" t="s">
        <v>213</v>
      </c>
      <c r="CRH102" s="529" t="str">
        <f>VLOOKUP(CRG102,[14]AssetDetails_UEM!$A$3:$AH$1849,6,FALSE)</f>
        <v>Electrosurgical Units, Monopolar/Bipolar</v>
      </c>
      <c r="CRI102" s="528" t="s">
        <v>213</v>
      </c>
      <c r="CRJ102" s="529" t="str">
        <f>VLOOKUP(CRI102,[14]AssetDetails_UEM!$A$3:$AH$1849,6,FALSE)</f>
        <v>Electrosurgical Units, Monopolar/Bipolar</v>
      </c>
      <c r="CRK102" s="528" t="s">
        <v>213</v>
      </c>
      <c r="CRL102" s="529" t="str">
        <f>VLOOKUP(CRK102,[14]AssetDetails_UEM!$A$3:$AH$1849,6,FALSE)</f>
        <v>Electrosurgical Units, Monopolar/Bipolar</v>
      </c>
      <c r="CRM102" s="528" t="s">
        <v>213</v>
      </c>
      <c r="CRN102" s="529" t="str">
        <f>VLOOKUP(CRM102,[14]AssetDetails_UEM!$A$3:$AH$1849,6,FALSE)</f>
        <v>Electrosurgical Units, Monopolar/Bipolar</v>
      </c>
      <c r="CRO102" s="528" t="s">
        <v>213</v>
      </c>
      <c r="CRP102" s="529" t="str">
        <f>VLOOKUP(CRO102,[14]AssetDetails_UEM!$A$3:$AH$1849,6,FALSE)</f>
        <v>Electrosurgical Units, Monopolar/Bipolar</v>
      </c>
      <c r="CRQ102" s="528" t="s">
        <v>213</v>
      </c>
      <c r="CRR102" s="529" t="str">
        <f>VLOOKUP(CRQ102,[14]AssetDetails_UEM!$A$3:$AH$1849,6,FALSE)</f>
        <v>Electrosurgical Units, Monopolar/Bipolar</v>
      </c>
      <c r="CRS102" s="528" t="s">
        <v>213</v>
      </c>
      <c r="CRT102" s="529" t="str">
        <f>VLOOKUP(CRS102,[14]AssetDetails_UEM!$A$3:$AH$1849,6,FALSE)</f>
        <v>Electrosurgical Units, Monopolar/Bipolar</v>
      </c>
      <c r="CRU102" s="528" t="s">
        <v>213</v>
      </c>
      <c r="CRV102" s="529" t="str">
        <f>VLOOKUP(CRU102,[14]AssetDetails_UEM!$A$3:$AH$1849,6,FALSE)</f>
        <v>Electrosurgical Units, Monopolar/Bipolar</v>
      </c>
      <c r="CRW102" s="528" t="s">
        <v>213</v>
      </c>
      <c r="CRX102" s="529" t="str">
        <f>VLOOKUP(CRW102,[14]AssetDetails_UEM!$A$3:$AH$1849,6,FALSE)</f>
        <v>Electrosurgical Units, Monopolar/Bipolar</v>
      </c>
      <c r="CRY102" s="528" t="s">
        <v>213</v>
      </c>
      <c r="CRZ102" s="529" t="str">
        <f>VLOOKUP(CRY102,[14]AssetDetails_UEM!$A$3:$AH$1849,6,FALSE)</f>
        <v>Electrosurgical Units, Monopolar/Bipolar</v>
      </c>
      <c r="CSA102" s="528" t="s">
        <v>213</v>
      </c>
      <c r="CSB102" s="529" t="str">
        <f>VLOOKUP(CSA102,[14]AssetDetails_UEM!$A$3:$AH$1849,6,FALSE)</f>
        <v>Electrosurgical Units, Monopolar/Bipolar</v>
      </c>
      <c r="CSC102" s="528" t="s">
        <v>213</v>
      </c>
      <c r="CSD102" s="529" t="str">
        <f>VLOOKUP(CSC102,[14]AssetDetails_UEM!$A$3:$AH$1849,6,FALSE)</f>
        <v>Electrosurgical Units, Monopolar/Bipolar</v>
      </c>
      <c r="CSE102" s="528" t="s">
        <v>213</v>
      </c>
      <c r="CSF102" s="529" t="str">
        <f>VLOOKUP(CSE102,[14]AssetDetails_UEM!$A$3:$AH$1849,6,FALSE)</f>
        <v>Electrosurgical Units, Monopolar/Bipolar</v>
      </c>
      <c r="CSG102" s="528" t="s">
        <v>213</v>
      </c>
      <c r="CSH102" s="529" t="str">
        <f>VLOOKUP(CSG102,[14]AssetDetails_UEM!$A$3:$AH$1849,6,FALSE)</f>
        <v>Electrosurgical Units, Monopolar/Bipolar</v>
      </c>
      <c r="CSI102" s="528" t="s">
        <v>213</v>
      </c>
      <c r="CSJ102" s="529" t="str">
        <f>VLOOKUP(CSI102,[14]AssetDetails_UEM!$A$3:$AH$1849,6,FALSE)</f>
        <v>Electrosurgical Units, Monopolar/Bipolar</v>
      </c>
      <c r="CSK102" s="528" t="s">
        <v>213</v>
      </c>
      <c r="CSL102" s="529" t="str">
        <f>VLOOKUP(CSK102,[14]AssetDetails_UEM!$A$3:$AH$1849,6,FALSE)</f>
        <v>Electrosurgical Units, Monopolar/Bipolar</v>
      </c>
      <c r="CSM102" s="528" t="s">
        <v>213</v>
      </c>
      <c r="CSN102" s="529" t="str">
        <f>VLOOKUP(CSM102,[14]AssetDetails_UEM!$A$3:$AH$1849,6,FALSE)</f>
        <v>Electrosurgical Units, Monopolar/Bipolar</v>
      </c>
      <c r="CSO102" s="528" t="s">
        <v>213</v>
      </c>
      <c r="CSP102" s="529" t="str">
        <f>VLOOKUP(CSO102,[14]AssetDetails_UEM!$A$3:$AH$1849,6,FALSE)</f>
        <v>Electrosurgical Units, Monopolar/Bipolar</v>
      </c>
      <c r="CSQ102" s="528" t="s">
        <v>213</v>
      </c>
      <c r="CSR102" s="529" t="str">
        <f>VLOOKUP(CSQ102,[14]AssetDetails_UEM!$A$3:$AH$1849,6,FALSE)</f>
        <v>Electrosurgical Units, Monopolar/Bipolar</v>
      </c>
      <c r="CSS102" s="528" t="s">
        <v>213</v>
      </c>
      <c r="CST102" s="529" t="str">
        <f>VLOOKUP(CSS102,[14]AssetDetails_UEM!$A$3:$AH$1849,6,FALSE)</f>
        <v>Electrosurgical Units, Monopolar/Bipolar</v>
      </c>
      <c r="CSU102" s="528" t="s">
        <v>213</v>
      </c>
      <c r="CSV102" s="529" t="str">
        <f>VLOOKUP(CSU102,[14]AssetDetails_UEM!$A$3:$AH$1849,6,FALSE)</f>
        <v>Electrosurgical Units, Monopolar/Bipolar</v>
      </c>
      <c r="CSW102" s="528" t="s">
        <v>213</v>
      </c>
      <c r="CSX102" s="529" t="str">
        <f>VLOOKUP(CSW102,[14]AssetDetails_UEM!$A$3:$AH$1849,6,FALSE)</f>
        <v>Electrosurgical Units, Monopolar/Bipolar</v>
      </c>
      <c r="CSY102" s="528" t="s">
        <v>213</v>
      </c>
      <c r="CSZ102" s="529" t="str">
        <f>VLOOKUP(CSY102,[14]AssetDetails_UEM!$A$3:$AH$1849,6,FALSE)</f>
        <v>Electrosurgical Units, Monopolar/Bipolar</v>
      </c>
      <c r="CTA102" s="528" t="s">
        <v>213</v>
      </c>
      <c r="CTB102" s="529" t="str">
        <f>VLOOKUP(CTA102,[14]AssetDetails_UEM!$A$3:$AH$1849,6,FALSE)</f>
        <v>Electrosurgical Units, Monopolar/Bipolar</v>
      </c>
      <c r="CTC102" s="528" t="s">
        <v>213</v>
      </c>
      <c r="CTD102" s="529" t="str">
        <f>VLOOKUP(CTC102,[14]AssetDetails_UEM!$A$3:$AH$1849,6,FALSE)</f>
        <v>Electrosurgical Units, Monopolar/Bipolar</v>
      </c>
      <c r="CTE102" s="528" t="s">
        <v>213</v>
      </c>
      <c r="CTF102" s="529" t="str">
        <f>VLOOKUP(CTE102,[14]AssetDetails_UEM!$A$3:$AH$1849,6,FALSE)</f>
        <v>Electrosurgical Units, Monopolar/Bipolar</v>
      </c>
      <c r="CTG102" s="528" t="s">
        <v>213</v>
      </c>
      <c r="CTH102" s="529" t="str">
        <f>VLOOKUP(CTG102,[14]AssetDetails_UEM!$A$3:$AH$1849,6,FALSE)</f>
        <v>Electrosurgical Units, Monopolar/Bipolar</v>
      </c>
      <c r="CTI102" s="528" t="s">
        <v>213</v>
      </c>
      <c r="CTJ102" s="529" t="str">
        <f>VLOOKUP(CTI102,[14]AssetDetails_UEM!$A$3:$AH$1849,6,FALSE)</f>
        <v>Electrosurgical Units, Monopolar/Bipolar</v>
      </c>
      <c r="CTK102" s="528" t="s">
        <v>213</v>
      </c>
      <c r="CTL102" s="529" t="str">
        <f>VLOOKUP(CTK102,[14]AssetDetails_UEM!$A$3:$AH$1849,6,FALSE)</f>
        <v>Electrosurgical Units, Monopolar/Bipolar</v>
      </c>
      <c r="CTM102" s="528" t="s">
        <v>213</v>
      </c>
      <c r="CTN102" s="529" t="str">
        <f>VLOOKUP(CTM102,[14]AssetDetails_UEM!$A$3:$AH$1849,6,FALSE)</f>
        <v>Electrosurgical Units, Monopolar/Bipolar</v>
      </c>
      <c r="CTO102" s="528" t="s">
        <v>213</v>
      </c>
      <c r="CTP102" s="529" t="str">
        <f>VLOOKUP(CTO102,[14]AssetDetails_UEM!$A$3:$AH$1849,6,FALSE)</f>
        <v>Electrosurgical Units, Monopolar/Bipolar</v>
      </c>
      <c r="CTQ102" s="528" t="s">
        <v>213</v>
      </c>
      <c r="CTR102" s="529" t="str">
        <f>VLOOKUP(CTQ102,[14]AssetDetails_UEM!$A$3:$AH$1849,6,FALSE)</f>
        <v>Electrosurgical Units, Monopolar/Bipolar</v>
      </c>
      <c r="CTS102" s="528" t="s">
        <v>213</v>
      </c>
      <c r="CTT102" s="529" t="str">
        <f>VLOOKUP(CTS102,[14]AssetDetails_UEM!$A$3:$AH$1849,6,FALSE)</f>
        <v>Electrosurgical Units, Monopolar/Bipolar</v>
      </c>
      <c r="CTU102" s="528" t="s">
        <v>213</v>
      </c>
      <c r="CTV102" s="529" t="str">
        <f>VLOOKUP(CTU102,[14]AssetDetails_UEM!$A$3:$AH$1849,6,FALSE)</f>
        <v>Electrosurgical Units, Monopolar/Bipolar</v>
      </c>
      <c r="CTW102" s="528" t="s">
        <v>213</v>
      </c>
      <c r="CTX102" s="529" t="str">
        <f>VLOOKUP(CTW102,[14]AssetDetails_UEM!$A$3:$AH$1849,6,FALSE)</f>
        <v>Electrosurgical Units, Monopolar/Bipolar</v>
      </c>
      <c r="CTY102" s="528" t="s">
        <v>213</v>
      </c>
      <c r="CTZ102" s="529" t="str">
        <f>VLOOKUP(CTY102,[14]AssetDetails_UEM!$A$3:$AH$1849,6,FALSE)</f>
        <v>Electrosurgical Units, Monopolar/Bipolar</v>
      </c>
      <c r="CUA102" s="528" t="s">
        <v>213</v>
      </c>
      <c r="CUB102" s="529" t="str">
        <f>VLOOKUP(CUA102,[14]AssetDetails_UEM!$A$3:$AH$1849,6,FALSE)</f>
        <v>Electrosurgical Units, Monopolar/Bipolar</v>
      </c>
      <c r="CUC102" s="528" t="s">
        <v>213</v>
      </c>
      <c r="CUD102" s="529" t="str">
        <f>VLOOKUP(CUC102,[14]AssetDetails_UEM!$A$3:$AH$1849,6,FALSE)</f>
        <v>Electrosurgical Units, Monopolar/Bipolar</v>
      </c>
      <c r="CUE102" s="528" t="s">
        <v>213</v>
      </c>
      <c r="CUF102" s="529" t="str">
        <f>VLOOKUP(CUE102,[14]AssetDetails_UEM!$A$3:$AH$1849,6,FALSE)</f>
        <v>Electrosurgical Units, Monopolar/Bipolar</v>
      </c>
      <c r="CUG102" s="528" t="s">
        <v>213</v>
      </c>
      <c r="CUH102" s="529" t="str">
        <f>VLOOKUP(CUG102,[14]AssetDetails_UEM!$A$3:$AH$1849,6,FALSE)</f>
        <v>Electrosurgical Units, Monopolar/Bipolar</v>
      </c>
      <c r="CUI102" s="528" t="s">
        <v>213</v>
      </c>
      <c r="CUJ102" s="529" t="str">
        <f>VLOOKUP(CUI102,[14]AssetDetails_UEM!$A$3:$AH$1849,6,FALSE)</f>
        <v>Electrosurgical Units, Monopolar/Bipolar</v>
      </c>
      <c r="CUK102" s="528" t="s">
        <v>213</v>
      </c>
      <c r="CUL102" s="529" t="str">
        <f>VLOOKUP(CUK102,[14]AssetDetails_UEM!$A$3:$AH$1849,6,FALSE)</f>
        <v>Electrosurgical Units, Monopolar/Bipolar</v>
      </c>
      <c r="CUM102" s="528" t="s">
        <v>213</v>
      </c>
      <c r="CUN102" s="529" t="str">
        <f>VLOOKUP(CUM102,[14]AssetDetails_UEM!$A$3:$AH$1849,6,FALSE)</f>
        <v>Electrosurgical Units, Monopolar/Bipolar</v>
      </c>
      <c r="CUO102" s="528" t="s">
        <v>213</v>
      </c>
      <c r="CUP102" s="529" t="str">
        <f>VLOOKUP(CUO102,[14]AssetDetails_UEM!$A$3:$AH$1849,6,FALSE)</f>
        <v>Electrosurgical Units, Monopolar/Bipolar</v>
      </c>
      <c r="CUQ102" s="528" t="s">
        <v>213</v>
      </c>
      <c r="CUR102" s="529" t="str">
        <f>VLOOKUP(CUQ102,[14]AssetDetails_UEM!$A$3:$AH$1849,6,FALSE)</f>
        <v>Electrosurgical Units, Monopolar/Bipolar</v>
      </c>
      <c r="CUS102" s="528" t="s">
        <v>213</v>
      </c>
      <c r="CUT102" s="529" t="str">
        <f>VLOOKUP(CUS102,[14]AssetDetails_UEM!$A$3:$AH$1849,6,FALSE)</f>
        <v>Electrosurgical Units, Monopolar/Bipolar</v>
      </c>
      <c r="CUU102" s="528" t="s">
        <v>213</v>
      </c>
      <c r="CUV102" s="529" t="str">
        <f>VLOOKUP(CUU102,[14]AssetDetails_UEM!$A$3:$AH$1849,6,FALSE)</f>
        <v>Electrosurgical Units, Monopolar/Bipolar</v>
      </c>
      <c r="CUW102" s="528" t="s">
        <v>213</v>
      </c>
      <c r="CUX102" s="529" t="str">
        <f>VLOOKUP(CUW102,[14]AssetDetails_UEM!$A$3:$AH$1849,6,FALSE)</f>
        <v>Electrosurgical Units, Monopolar/Bipolar</v>
      </c>
      <c r="CUY102" s="528" t="s">
        <v>213</v>
      </c>
      <c r="CUZ102" s="529" t="str">
        <f>VLOOKUP(CUY102,[14]AssetDetails_UEM!$A$3:$AH$1849,6,FALSE)</f>
        <v>Electrosurgical Units, Monopolar/Bipolar</v>
      </c>
      <c r="CVA102" s="528" t="s">
        <v>213</v>
      </c>
      <c r="CVB102" s="529" t="str">
        <f>VLOOKUP(CVA102,[14]AssetDetails_UEM!$A$3:$AH$1849,6,FALSE)</f>
        <v>Electrosurgical Units, Monopolar/Bipolar</v>
      </c>
      <c r="CVC102" s="528" t="s">
        <v>213</v>
      </c>
      <c r="CVD102" s="529" t="str">
        <f>VLOOKUP(CVC102,[14]AssetDetails_UEM!$A$3:$AH$1849,6,FALSE)</f>
        <v>Electrosurgical Units, Monopolar/Bipolar</v>
      </c>
      <c r="CVE102" s="528" t="s">
        <v>213</v>
      </c>
      <c r="CVF102" s="529" t="str">
        <f>VLOOKUP(CVE102,[14]AssetDetails_UEM!$A$3:$AH$1849,6,FALSE)</f>
        <v>Electrosurgical Units, Monopolar/Bipolar</v>
      </c>
      <c r="CVG102" s="528" t="s">
        <v>213</v>
      </c>
      <c r="CVH102" s="529" t="str">
        <f>VLOOKUP(CVG102,[14]AssetDetails_UEM!$A$3:$AH$1849,6,FALSE)</f>
        <v>Electrosurgical Units, Monopolar/Bipolar</v>
      </c>
      <c r="CVI102" s="528" t="s">
        <v>213</v>
      </c>
      <c r="CVJ102" s="529" t="str">
        <f>VLOOKUP(CVI102,[14]AssetDetails_UEM!$A$3:$AH$1849,6,FALSE)</f>
        <v>Electrosurgical Units, Monopolar/Bipolar</v>
      </c>
      <c r="CVK102" s="528" t="s">
        <v>213</v>
      </c>
      <c r="CVL102" s="529" t="str">
        <f>VLOOKUP(CVK102,[14]AssetDetails_UEM!$A$3:$AH$1849,6,FALSE)</f>
        <v>Electrosurgical Units, Monopolar/Bipolar</v>
      </c>
      <c r="CVM102" s="528" t="s">
        <v>213</v>
      </c>
      <c r="CVN102" s="529" t="str">
        <f>VLOOKUP(CVM102,[14]AssetDetails_UEM!$A$3:$AH$1849,6,FALSE)</f>
        <v>Electrosurgical Units, Monopolar/Bipolar</v>
      </c>
      <c r="CVO102" s="528" t="s">
        <v>213</v>
      </c>
      <c r="CVP102" s="529" t="str">
        <f>VLOOKUP(CVO102,[14]AssetDetails_UEM!$A$3:$AH$1849,6,FALSE)</f>
        <v>Electrosurgical Units, Monopolar/Bipolar</v>
      </c>
      <c r="CVQ102" s="528" t="s">
        <v>213</v>
      </c>
      <c r="CVR102" s="529" t="str">
        <f>VLOOKUP(CVQ102,[14]AssetDetails_UEM!$A$3:$AH$1849,6,FALSE)</f>
        <v>Electrosurgical Units, Monopolar/Bipolar</v>
      </c>
      <c r="CVS102" s="528" t="s">
        <v>213</v>
      </c>
      <c r="CVT102" s="529" t="str">
        <f>VLOOKUP(CVS102,[14]AssetDetails_UEM!$A$3:$AH$1849,6,FALSE)</f>
        <v>Electrosurgical Units, Monopolar/Bipolar</v>
      </c>
      <c r="CVU102" s="528" t="s">
        <v>213</v>
      </c>
      <c r="CVV102" s="529" t="str">
        <f>VLOOKUP(CVU102,[14]AssetDetails_UEM!$A$3:$AH$1849,6,FALSE)</f>
        <v>Electrosurgical Units, Monopolar/Bipolar</v>
      </c>
      <c r="CVW102" s="528" t="s">
        <v>213</v>
      </c>
      <c r="CVX102" s="529" t="str">
        <f>VLOOKUP(CVW102,[14]AssetDetails_UEM!$A$3:$AH$1849,6,FALSE)</f>
        <v>Electrosurgical Units, Monopolar/Bipolar</v>
      </c>
      <c r="CVY102" s="528" t="s">
        <v>213</v>
      </c>
      <c r="CVZ102" s="529" t="str">
        <f>VLOOKUP(CVY102,[14]AssetDetails_UEM!$A$3:$AH$1849,6,FALSE)</f>
        <v>Electrosurgical Units, Monopolar/Bipolar</v>
      </c>
      <c r="CWA102" s="528" t="s">
        <v>213</v>
      </c>
      <c r="CWB102" s="529" t="str">
        <f>VLOOKUP(CWA102,[14]AssetDetails_UEM!$A$3:$AH$1849,6,FALSE)</f>
        <v>Electrosurgical Units, Monopolar/Bipolar</v>
      </c>
      <c r="CWC102" s="528" t="s">
        <v>213</v>
      </c>
      <c r="CWD102" s="529" t="str">
        <f>VLOOKUP(CWC102,[14]AssetDetails_UEM!$A$3:$AH$1849,6,FALSE)</f>
        <v>Electrosurgical Units, Monopolar/Bipolar</v>
      </c>
      <c r="CWE102" s="528" t="s">
        <v>213</v>
      </c>
      <c r="CWF102" s="529" t="str">
        <f>VLOOKUP(CWE102,[14]AssetDetails_UEM!$A$3:$AH$1849,6,FALSE)</f>
        <v>Electrosurgical Units, Monopolar/Bipolar</v>
      </c>
      <c r="CWG102" s="528" t="s">
        <v>213</v>
      </c>
      <c r="CWH102" s="529" t="str">
        <f>VLOOKUP(CWG102,[14]AssetDetails_UEM!$A$3:$AH$1849,6,FALSE)</f>
        <v>Electrosurgical Units, Monopolar/Bipolar</v>
      </c>
      <c r="CWI102" s="528" t="s">
        <v>213</v>
      </c>
      <c r="CWJ102" s="529" t="str">
        <f>VLOOKUP(CWI102,[14]AssetDetails_UEM!$A$3:$AH$1849,6,FALSE)</f>
        <v>Electrosurgical Units, Monopolar/Bipolar</v>
      </c>
      <c r="CWK102" s="528" t="s">
        <v>213</v>
      </c>
      <c r="CWL102" s="529" t="str">
        <f>VLOOKUP(CWK102,[14]AssetDetails_UEM!$A$3:$AH$1849,6,FALSE)</f>
        <v>Electrosurgical Units, Monopolar/Bipolar</v>
      </c>
      <c r="CWM102" s="528" t="s">
        <v>213</v>
      </c>
      <c r="CWN102" s="529" t="str">
        <f>VLOOKUP(CWM102,[14]AssetDetails_UEM!$A$3:$AH$1849,6,FALSE)</f>
        <v>Electrosurgical Units, Monopolar/Bipolar</v>
      </c>
      <c r="CWO102" s="528" t="s">
        <v>213</v>
      </c>
      <c r="CWP102" s="529" t="str">
        <f>VLOOKUP(CWO102,[14]AssetDetails_UEM!$A$3:$AH$1849,6,FALSE)</f>
        <v>Electrosurgical Units, Monopolar/Bipolar</v>
      </c>
      <c r="CWQ102" s="528" t="s">
        <v>213</v>
      </c>
      <c r="CWR102" s="529" t="str">
        <f>VLOOKUP(CWQ102,[14]AssetDetails_UEM!$A$3:$AH$1849,6,FALSE)</f>
        <v>Electrosurgical Units, Monopolar/Bipolar</v>
      </c>
      <c r="CWS102" s="528" t="s">
        <v>213</v>
      </c>
      <c r="CWT102" s="529" t="str">
        <f>VLOOKUP(CWS102,[14]AssetDetails_UEM!$A$3:$AH$1849,6,FALSE)</f>
        <v>Electrosurgical Units, Monopolar/Bipolar</v>
      </c>
      <c r="CWU102" s="528" t="s">
        <v>213</v>
      </c>
      <c r="CWV102" s="529" t="str">
        <f>VLOOKUP(CWU102,[14]AssetDetails_UEM!$A$3:$AH$1849,6,FALSE)</f>
        <v>Electrosurgical Units, Monopolar/Bipolar</v>
      </c>
      <c r="CWW102" s="528" t="s">
        <v>213</v>
      </c>
      <c r="CWX102" s="529" t="str">
        <f>VLOOKUP(CWW102,[14]AssetDetails_UEM!$A$3:$AH$1849,6,FALSE)</f>
        <v>Electrosurgical Units, Monopolar/Bipolar</v>
      </c>
      <c r="CWY102" s="528" t="s">
        <v>213</v>
      </c>
      <c r="CWZ102" s="529" t="str">
        <f>VLOOKUP(CWY102,[14]AssetDetails_UEM!$A$3:$AH$1849,6,FALSE)</f>
        <v>Electrosurgical Units, Monopolar/Bipolar</v>
      </c>
      <c r="CXA102" s="528" t="s">
        <v>213</v>
      </c>
      <c r="CXB102" s="529" t="str">
        <f>VLOOKUP(CXA102,[14]AssetDetails_UEM!$A$3:$AH$1849,6,FALSE)</f>
        <v>Electrosurgical Units, Monopolar/Bipolar</v>
      </c>
      <c r="CXC102" s="528" t="s">
        <v>213</v>
      </c>
      <c r="CXD102" s="529" t="str">
        <f>VLOOKUP(CXC102,[14]AssetDetails_UEM!$A$3:$AH$1849,6,FALSE)</f>
        <v>Electrosurgical Units, Monopolar/Bipolar</v>
      </c>
      <c r="CXE102" s="528" t="s">
        <v>213</v>
      </c>
      <c r="CXF102" s="529" t="str">
        <f>VLOOKUP(CXE102,[14]AssetDetails_UEM!$A$3:$AH$1849,6,FALSE)</f>
        <v>Electrosurgical Units, Monopolar/Bipolar</v>
      </c>
      <c r="CXG102" s="528" t="s">
        <v>213</v>
      </c>
      <c r="CXH102" s="529" t="str">
        <f>VLOOKUP(CXG102,[14]AssetDetails_UEM!$A$3:$AH$1849,6,FALSE)</f>
        <v>Electrosurgical Units, Monopolar/Bipolar</v>
      </c>
      <c r="CXI102" s="528" t="s">
        <v>213</v>
      </c>
      <c r="CXJ102" s="529" t="str">
        <f>VLOOKUP(CXI102,[14]AssetDetails_UEM!$A$3:$AH$1849,6,FALSE)</f>
        <v>Electrosurgical Units, Monopolar/Bipolar</v>
      </c>
      <c r="CXK102" s="528" t="s">
        <v>213</v>
      </c>
      <c r="CXL102" s="529" t="str">
        <f>VLOOKUP(CXK102,[14]AssetDetails_UEM!$A$3:$AH$1849,6,FALSE)</f>
        <v>Electrosurgical Units, Monopolar/Bipolar</v>
      </c>
      <c r="CXM102" s="528" t="s">
        <v>213</v>
      </c>
      <c r="CXN102" s="529" t="str">
        <f>VLOOKUP(CXM102,[14]AssetDetails_UEM!$A$3:$AH$1849,6,FALSE)</f>
        <v>Electrosurgical Units, Monopolar/Bipolar</v>
      </c>
      <c r="CXO102" s="528" t="s">
        <v>213</v>
      </c>
      <c r="CXP102" s="529" t="str">
        <f>VLOOKUP(CXO102,[14]AssetDetails_UEM!$A$3:$AH$1849,6,FALSE)</f>
        <v>Electrosurgical Units, Monopolar/Bipolar</v>
      </c>
      <c r="CXQ102" s="528" t="s">
        <v>213</v>
      </c>
      <c r="CXR102" s="529" t="str">
        <f>VLOOKUP(CXQ102,[14]AssetDetails_UEM!$A$3:$AH$1849,6,FALSE)</f>
        <v>Electrosurgical Units, Monopolar/Bipolar</v>
      </c>
      <c r="CXS102" s="528" t="s">
        <v>213</v>
      </c>
      <c r="CXT102" s="529" t="str">
        <f>VLOOKUP(CXS102,[14]AssetDetails_UEM!$A$3:$AH$1849,6,FALSE)</f>
        <v>Electrosurgical Units, Monopolar/Bipolar</v>
      </c>
      <c r="CXU102" s="528" t="s">
        <v>213</v>
      </c>
      <c r="CXV102" s="529" t="str">
        <f>VLOOKUP(CXU102,[14]AssetDetails_UEM!$A$3:$AH$1849,6,FALSE)</f>
        <v>Electrosurgical Units, Monopolar/Bipolar</v>
      </c>
      <c r="CXW102" s="528" t="s">
        <v>213</v>
      </c>
      <c r="CXX102" s="529" t="str">
        <f>VLOOKUP(CXW102,[14]AssetDetails_UEM!$A$3:$AH$1849,6,FALSE)</f>
        <v>Electrosurgical Units, Monopolar/Bipolar</v>
      </c>
      <c r="CXY102" s="528" t="s">
        <v>213</v>
      </c>
      <c r="CXZ102" s="529" t="str">
        <f>VLOOKUP(CXY102,[14]AssetDetails_UEM!$A$3:$AH$1849,6,FALSE)</f>
        <v>Electrosurgical Units, Monopolar/Bipolar</v>
      </c>
      <c r="CYA102" s="528" t="s">
        <v>213</v>
      </c>
      <c r="CYB102" s="529" t="str">
        <f>VLOOKUP(CYA102,[14]AssetDetails_UEM!$A$3:$AH$1849,6,FALSE)</f>
        <v>Electrosurgical Units, Monopolar/Bipolar</v>
      </c>
      <c r="CYC102" s="528" t="s">
        <v>213</v>
      </c>
      <c r="CYD102" s="529" t="str">
        <f>VLOOKUP(CYC102,[14]AssetDetails_UEM!$A$3:$AH$1849,6,FALSE)</f>
        <v>Electrosurgical Units, Monopolar/Bipolar</v>
      </c>
      <c r="CYE102" s="528" t="s">
        <v>213</v>
      </c>
      <c r="CYF102" s="529" t="str">
        <f>VLOOKUP(CYE102,[14]AssetDetails_UEM!$A$3:$AH$1849,6,FALSE)</f>
        <v>Electrosurgical Units, Monopolar/Bipolar</v>
      </c>
      <c r="CYG102" s="528" t="s">
        <v>213</v>
      </c>
      <c r="CYH102" s="529" t="str">
        <f>VLOOKUP(CYG102,[14]AssetDetails_UEM!$A$3:$AH$1849,6,FALSE)</f>
        <v>Electrosurgical Units, Monopolar/Bipolar</v>
      </c>
      <c r="CYI102" s="528" t="s">
        <v>213</v>
      </c>
      <c r="CYJ102" s="529" t="str">
        <f>VLOOKUP(CYI102,[14]AssetDetails_UEM!$A$3:$AH$1849,6,FALSE)</f>
        <v>Electrosurgical Units, Monopolar/Bipolar</v>
      </c>
      <c r="CYK102" s="528" t="s">
        <v>213</v>
      </c>
      <c r="CYL102" s="529" t="str">
        <f>VLOOKUP(CYK102,[14]AssetDetails_UEM!$A$3:$AH$1849,6,FALSE)</f>
        <v>Electrosurgical Units, Monopolar/Bipolar</v>
      </c>
      <c r="CYM102" s="528" t="s">
        <v>213</v>
      </c>
      <c r="CYN102" s="529" t="str">
        <f>VLOOKUP(CYM102,[14]AssetDetails_UEM!$A$3:$AH$1849,6,FALSE)</f>
        <v>Electrosurgical Units, Monopolar/Bipolar</v>
      </c>
      <c r="CYO102" s="528" t="s">
        <v>213</v>
      </c>
      <c r="CYP102" s="529" t="str">
        <f>VLOOKUP(CYO102,[14]AssetDetails_UEM!$A$3:$AH$1849,6,FALSE)</f>
        <v>Electrosurgical Units, Monopolar/Bipolar</v>
      </c>
      <c r="CYQ102" s="528" t="s">
        <v>213</v>
      </c>
      <c r="CYR102" s="529" t="str">
        <f>VLOOKUP(CYQ102,[14]AssetDetails_UEM!$A$3:$AH$1849,6,FALSE)</f>
        <v>Electrosurgical Units, Monopolar/Bipolar</v>
      </c>
      <c r="CYS102" s="528" t="s">
        <v>213</v>
      </c>
      <c r="CYT102" s="529" t="str">
        <f>VLOOKUP(CYS102,[14]AssetDetails_UEM!$A$3:$AH$1849,6,FALSE)</f>
        <v>Electrosurgical Units, Monopolar/Bipolar</v>
      </c>
      <c r="CYU102" s="528" t="s">
        <v>213</v>
      </c>
      <c r="CYV102" s="529" t="str">
        <f>VLOOKUP(CYU102,[14]AssetDetails_UEM!$A$3:$AH$1849,6,FALSE)</f>
        <v>Electrosurgical Units, Monopolar/Bipolar</v>
      </c>
      <c r="CYW102" s="528" t="s">
        <v>213</v>
      </c>
      <c r="CYX102" s="529" t="str">
        <f>VLOOKUP(CYW102,[14]AssetDetails_UEM!$A$3:$AH$1849,6,FALSE)</f>
        <v>Electrosurgical Units, Monopolar/Bipolar</v>
      </c>
      <c r="CYY102" s="528" t="s">
        <v>213</v>
      </c>
      <c r="CYZ102" s="529" t="str">
        <f>VLOOKUP(CYY102,[14]AssetDetails_UEM!$A$3:$AH$1849,6,FALSE)</f>
        <v>Electrosurgical Units, Monopolar/Bipolar</v>
      </c>
      <c r="CZA102" s="528" t="s">
        <v>213</v>
      </c>
      <c r="CZB102" s="529" t="str">
        <f>VLOOKUP(CZA102,[14]AssetDetails_UEM!$A$3:$AH$1849,6,FALSE)</f>
        <v>Electrosurgical Units, Monopolar/Bipolar</v>
      </c>
      <c r="CZC102" s="528" t="s">
        <v>213</v>
      </c>
      <c r="CZD102" s="529" t="str">
        <f>VLOOKUP(CZC102,[14]AssetDetails_UEM!$A$3:$AH$1849,6,FALSE)</f>
        <v>Electrosurgical Units, Monopolar/Bipolar</v>
      </c>
      <c r="CZE102" s="528" t="s">
        <v>213</v>
      </c>
      <c r="CZF102" s="529" t="str">
        <f>VLOOKUP(CZE102,[14]AssetDetails_UEM!$A$3:$AH$1849,6,FALSE)</f>
        <v>Electrosurgical Units, Monopolar/Bipolar</v>
      </c>
      <c r="CZG102" s="528" t="s">
        <v>213</v>
      </c>
      <c r="CZH102" s="529" t="str">
        <f>VLOOKUP(CZG102,[14]AssetDetails_UEM!$A$3:$AH$1849,6,FALSE)</f>
        <v>Electrosurgical Units, Monopolar/Bipolar</v>
      </c>
      <c r="CZI102" s="528" t="s">
        <v>213</v>
      </c>
      <c r="CZJ102" s="529" t="str">
        <f>VLOOKUP(CZI102,[14]AssetDetails_UEM!$A$3:$AH$1849,6,FALSE)</f>
        <v>Electrosurgical Units, Monopolar/Bipolar</v>
      </c>
      <c r="CZK102" s="528" t="s">
        <v>213</v>
      </c>
      <c r="CZL102" s="529" t="str">
        <f>VLOOKUP(CZK102,[14]AssetDetails_UEM!$A$3:$AH$1849,6,FALSE)</f>
        <v>Electrosurgical Units, Monopolar/Bipolar</v>
      </c>
      <c r="CZM102" s="528" t="s">
        <v>213</v>
      </c>
      <c r="CZN102" s="529" t="str">
        <f>VLOOKUP(CZM102,[14]AssetDetails_UEM!$A$3:$AH$1849,6,FALSE)</f>
        <v>Electrosurgical Units, Monopolar/Bipolar</v>
      </c>
      <c r="CZO102" s="528" t="s">
        <v>213</v>
      </c>
      <c r="CZP102" s="529" t="str">
        <f>VLOOKUP(CZO102,[14]AssetDetails_UEM!$A$3:$AH$1849,6,FALSE)</f>
        <v>Electrosurgical Units, Monopolar/Bipolar</v>
      </c>
      <c r="CZQ102" s="528" t="s">
        <v>213</v>
      </c>
      <c r="CZR102" s="529" t="str">
        <f>VLOOKUP(CZQ102,[14]AssetDetails_UEM!$A$3:$AH$1849,6,FALSE)</f>
        <v>Electrosurgical Units, Monopolar/Bipolar</v>
      </c>
      <c r="CZS102" s="528" t="s">
        <v>213</v>
      </c>
      <c r="CZT102" s="529" t="str">
        <f>VLOOKUP(CZS102,[14]AssetDetails_UEM!$A$3:$AH$1849,6,FALSE)</f>
        <v>Electrosurgical Units, Monopolar/Bipolar</v>
      </c>
      <c r="CZU102" s="528" t="s">
        <v>213</v>
      </c>
      <c r="CZV102" s="529" t="str">
        <f>VLOOKUP(CZU102,[14]AssetDetails_UEM!$A$3:$AH$1849,6,FALSE)</f>
        <v>Electrosurgical Units, Monopolar/Bipolar</v>
      </c>
      <c r="CZW102" s="528" t="s">
        <v>213</v>
      </c>
      <c r="CZX102" s="529" t="str">
        <f>VLOOKUP(CZW102,[14]AssetDetails_UEM!$A$3:$AH$1849,6,FALSE)</f>
        <v>Electrosurgical Units, Monopolar/Bipolar</v>
      </c>
      <c r="CZY102" s="528" t="s">
        <v>213</v>
      </c>
      <c r="CZZ102" s="529" t="str">
        <f>VLOOKUP(CZY102,[14]AssetDetails_UEM!$A$3:$AH$1849,6,FALSE)</f>
        <v>Electrosurgical Units, Monopolar/Bipolar</v>
      </c>
      <c r="DAA102" s="528" t="s">
        <v>213</v>
      </c>
      <c r="DAB102" s="529" t="str">
        <f>VLOOKUP(DAA102,[14]AssetDetails_UEM!$A$3:$AH$1849,6,FALSE)</f>
        <v>Electrosurgical Units, Monopolar/Bipolar</v>
      </c>
      <c r="DAC102" s="528" t="s">
        <v>213</v>
      </c>
      <c r="DAD102" s="529" t="str">
        <f>VLOOKUP(DAC102,[14]AssetDetails_UEM!$A$3:$AH$1849,6,FALSE)</f>
        <v>Electrosurgical Units, Monopolar/Bipolar</v>
      </c>
      <c r="DAE102" s="528" t="s">
        <v>213</v>
      </c>
      <c r="DAF102" s="529" t="str">
        <f>VLOOKUP(DAE102,[14]AssetDetails_UEM!$A$3:$AH$1849,6,FALSE)</f>
        <v>Electrosurgical Units, Monopolar/Bipolar</v>
      </c>
      <c r="DAG102" s="528" t="s">
        <v>213</v>
      </c>
      <c r="DAH102" s="529" t="str">
        <f>VLOOKUP(DAG102,[14]AssetDetails_UEM!$A$3:$AH$1849,6,FALSE)</f>
        <v>Electrosurgical Units, Monopolar/Bipolar</v>
      </c>
      <c r="DAI102" s="528" t="s">
        <v>213</v>
      </c>
      <c r="DAJ102" s="529" t="str">
        <f>VLOOKUP(DAI102,[14]AssetDetails_UEM!$A$3:$AH$1849,6,FALSE)</f>
        <v>Electrosurgical Units, Monopolar/Bipolar</v>
      </c>
      <c r="DAK102" s="528" t="s">
        <v>213</v>
      </c>
      <c r="DAL102" s="529" t="str">
        <f>VLOOKUP(DAK102,[14]AssetDetails_UEM!$A$3:$AH$1849,6,FALSE)</f>
        <v>Electrosurgical Units, Monopolar/Bipolar</v>
      </c>
      <c r="DAM102" s="528" t="s">
        <v>213</v>
      </c>
      <c r="DAN102" s="529" t="str">
        <f>VLOOKUP(DAM102,[14]AssetDetails_UEM!$A$3:$AH$1849,6,FALSE)</f>
        <v>Electrosurgical Units, Monopolar/Bipolar</v>
      </c>
      <c r="DAO102" s="528" t="s">
        <v>213</v>
      </c>
      <c r="DAP102" s="529" t="str">
        <f>VLOOKUP(DAO102,[14]AssetDetails_UEM!$A$3:$AH$1849,6,FALSE)</f>
        <v>Electrosurgical Units, Monopolar/Bipolar</v>
      </c>
      <c r="DAQ102" s="528" t="s">
        <v>213</v>
      </c>
      <c r="DAR102" s="529" t="str">
        <f>VLOOKUP(DAQ102,[14]AssetDetails_UEM!$A$3:$AH$1849,6,FALSE)</f>
        <v>Electrosurgical Units, Monopolar/Bipolar</v>
      </c>
      <c r="DAS102" s="528" t="s">
        <v>213</v>
      </c>
      <c r="DAT102" s="529" t="str">
        <f>VLOOKUP(DAS102,[14]AssetDetails_UEM!$A$3:$AH$1849,6,FALSE)</f>
        <v>Electrosurgical Units, Monopolar/Bipolar</v>
      </c>
      <c r="DAU102" s="528" t="s">
        <v>213</v>
      </c>
      <c r="DAV102" s="529" t="str">
        <f>VLOOKUP(DAU102,[14]AssetDetails_UEM!$A$3:$AH$1849,6,FALSE)</f>
        <v>Electrosurgical Units, Monopolar/Bipolar</v>
      </c>
      <c r="DAW102" s="528" t="s">
        <v>213</v>
      </c>
      <c r="DAX102" s="529" t="str">
        <f>VLOOKUP(DAW102,[14]AssetDetails_UEM!$A$3:$AH$1849,6,FALSE)</f>
        <v>Electrosurgical Units, Monopolar/Bipolar</v>
      </c>
      <c r="DAY102" s="528" t="s">
        <v>213</v>
      </c>
      <c r="DAZ102" s="529" t="str">
        <f>VLOOKUP(DAY102,[14]AssetDetails_UEM!$A$3:$AH$1849,6,FALSE)</f>
        <v>Electrosurgical Units, Monopolar/Bipolar</v>
      </c>
      <c r="DBA102" s="528" t="s">
        <v>213</v>
      </c>
      <c r="DBB102" s="529" t="str">
        <f>VLOOKUP(DBA102,[14]AssetDetails_UEM!$A$3:$AH$1849,6,FALSE)</f>
        <v>Electrosurgical Units, Monopolar/Bipolar</v>
      </c>
      <c r="DBC102" s="528" t="s">
        <v>213</v>
      </c>
      <c r="DBD102" s="529" t="str">
        <f>VLOOKUP(DBC102,[14]AssetDetails_UEM!$A$3:$AH$1849,6,FALSE)</f>
        <v>Electrosurgical Units, Monopolar/Bipolar</v>
      </c>
      <c r="DBE102" s="528" t="s">
        <v>213</v>
      </c>
      <c r="DBF102" s="529" t="str">
        <f>VLOOKUP(DBE102,[14]AssetDetails_UEM!$A$3:$AH$1849,6,FALSE)</f>
        <v>Electrosurgical Units, Monopolar/Bipolar</v>
      </c>
      <c r="DBG102" s="528" t="s">
        <v>213</v>
      </c>
      <c r="DBH102" s="529" t="str">
        <f>VLOOKUP(DBG102,[14]AssetDetails_UEM!$A$3:$AH$1849,6,FALSE)</f>
        <v>Electrosurgical Units, Monopolar/Bipolar</v>
      </c>
      <c r="DBI102" s="528" t="s">
        <v>213</v>
      </c>
      <c r="DBJ102" s="529" t="str">
        <f>VLOOKUP(DBI102,[14]AssetDetails_UEM!$A$3:$AH$1849,6,FALSE)</f>
        <v>Electrosurgical Units, Monopolar/Bipolar</v>
      </c>
      <c r="DBK102" s="528" t="s">
        <v>213</v>
      </c>
      <c r="DBL102" s="529" t="str">
        <f>VLOOKUP(DBK102,[14]AssetDetails_UEM!$A$3:$AH$1849,6,FALSE)</f>
        <v>Electrosurgical Units, Monopolar/Bipolar</v>
      </c>
      <c r="DBM102" s="528" t="s">
        <v>213</v>
      </c>
      <c r="DBN102" s="529" t="str">
        <f>VLOOKUP(DBM102,[14]AssetDetails_UEM!$A$3:$AH$1849,6,FALSE)</f>
        <v>Electrosurgical Units, Monopolar/Bipolar</v>
      </c>
      <c r="DBO102" s="528" t="s">
        <v>213</v>
      </c>
      <c r="DBP102" s="529" t="str">
        <f>VLOOKUP(DBO102,[14]AssetDetails_UEM!$A$3:$AH$1849,6,FALSE)</f>
        <v>Electrosurgical Units, Monopolar/Bipolar</v>
      </c>
      <c r="DBQ102" s="528" t="s">
        <v>213</v>
      </c>
      <c r="DBR102" s="529" t="str">
        <f>VLOOKUP(DBQ102,[14]AssetDetails_UEM!$A$3:$AH$1849,6,FALSE)</f>
        <v>Electrosurgical Units, Monopolar/Bipolar</v>
      </c>
      <c r="DBS102" s="528" t="s">
        <v>213</v>
      </c>
      <c r="DBT102" s="529" t="str">
        <f>VLOOKUP(DBS102,[14]AssetDetails_UEM!$A$3:$AH$1849,6,FALSE)</f>
        <v>Electrosurgical Units, Monopolar/Bipolar</v>
      </c>
      <c r="DBU102" s="528" t="s">
        <v>213</v>
      </c>
      <c r="DBV102" s="529" t="str">
        <f>VLOOKUP(DBU102,[14]AssetDetails_UEM!$A$3:$AH$1849,6,FALSE)</f>
        <v>Electrosurgical Units, Monopolar/Bipolar</v>
      </c>
      <c r="DBW102" s="528" t="s">
        <v>213</v>
      </c>
      <c r="DBX102" s="529" t="str">
        <f>VLOOKUP(DBW102,[14]AssetDetails_UEM!$A$3:$AH$1849,6,FALSE)</f>
        <v>Electrosurgical Units, Monopolar/Bipolar</v>
      </c>
      <c r="DBY102" s="528" t="s">
        <v>213</v>
      </c>
      <c r="DBZ102" s="529" t="str">
        <f>VLOOKUP(DBY102,[14]AssetDetails_UEM!$A$3:$AH$1849,6,FALSE)</f>
        <v>Electrosurgical Units, Monopolar/Bipolar</v>
      </c>
      <c r="DCA102" s="528" t="s">
        <v>213</v>
      </c>
      <c r="DCB102" s="529" t="str">
        <f>VLOOKUP(DCA102,[14]AssetDetails_UEM!$A$3:$AH$1849,6,FALSE)</f>
        <v>Electrosurgical Units, Monopolar/Bipolar</v>
      </c>
      <c r="DCC102" s="528" t="s">
        <v>213</v>
      </c>
      <c r="DCD102" s="529" t="str">
        <f>VLOOKUP(DCC102,[14]AssetDetails_UEM!$A$3:$AH$1849,6,FALSE)</f>
        <v>Electrosurgical Units, Monopolar/Bipolar</v>
      </c>
      <c r="DCE102" s="528" t="s">
        <v>213</v>
      </c>
      <c r="DCF102" s="529" t="str">
        <f>VLOOKUP(DCE102,[14]AssetDetails_UEM!$A$3:$AH$1849,6,FALSE)</f>
        <v>Electrosurgical Units, Monopolar/Bipolar</v>
      </c>
      <c r="DCG102" s="528" t="s">
        <v>213</v>
      </c>
      <c r="DCH102" s="529" t="str">
        <f>VLOOKUP(DCG102,[14]AssetDetails_UEM!$A$3:$AH$1849,6,FALSE)</f>
        <v>Electrosurgical Units, Monopolar/Bipolar</v>
      </c>
      <c r="DCI102" s="528" t="s">
        <v>213</v>
      </c>
      <c r="DCJ102" s="529" t="str">
        <f>VLOOKUP(DCI102,[14]AssetDetails_UEM!$A$3:$AH$1849,6,FALSE)</f>
        <v>Electrosurgical Units, Monopolar/Bipolar</v>
      </c>
      <c r="DCK102" s="528" t="s">
        <v>213</v>
      </c>
      <c r="DCL102" s="529" t="str">
        <f>VLOOKUP(DCK102,[14]AssetDetails_UEM!$A$3:$AH$1849,6,FALSE)</f>
        <v>Electrosurgical Units, Monopolar/Bipolar</v>
      </c>
      <c r="DCM102" s="528" t="s">
        <v>213</v>
      </c>
      <c r="DCN102" s="529" t="str">
        <f>VLOOKUP(DCM102,[14]AssetDetails_UEM!$A$3:$AH$1849,6,FALSE)</f>
        <v>Electrosurgical Units, Monopolar/Bipolar</v>
      </c>
      <c r="DCO102" s="528" t="s">
        <v>213</v>
      </c>
      <c r="DCP102" s="529" t="str">
        <f>VLOOKUP(DCO102,[14]AssetDetails_UEM!$A$3:$AH$1849,6,FALSE)</f>
        <v>Electrosurgical Units, Monopolar/Bipolar</v>
      </c>
      <c r="DCQ102" s="528" t="s">
        <v>213</v>
      </c>
      <c r="DCR102" s="529" t="str">
        <f>VLOOKUP(DCQ102,[14]AssetDetails_UEM!$A$3:$AH$1849,6,FALSE)</f>
        <v>Electrosurgical Units, Monopolar/Bipolar</v>
      </c>
      <c r="DCS102" s="528" t="s">
        <v>213</v>
      </c>
      <c r="DCT102" s="529" t="str">
        <f>VLOOKUP(DCS102,[14]AssetDetails_UEM!$A$3:$AH$1849,6,FALSE)</f>
        <v>Electrosurgical Units, Monopolar/Bipolar</v>
      </c>
      <c r="DCU102" s="528" t="s">
        <v>213</v>
      </c>
      <c r="DCV102" s="529" t="str">
        <f>VLOOKUP(DCU102,[14]AssetDetails_UEM!$A$3:$AH$1849,6,FALSE)</f>
        <v>Electrosurgical Units, Monopolar/Bipolar</v>
      </c>
      <c r="DCW102" s="528" t="s">
        <v>213</v>
      </c>
      <c r="DCX102" s="529" t="str">
        <f>VLOOKUP(DCW102,[14]AssetDetails_UEM!$A$3:$AH$1849,6,FALSE)</f>
        <v>Electrosurgical Units, Monopolar/Bipolar</v>
      </c>
      <c r="DCY102" s="528" t="s">
        <v>213</v>
      </c>
      <c r="DCZ102" s="529" t="str">
        <f>VLOOKUP(DCY102,[14]AssetDetails_UEM!$A$3:$AH$1849,6,FALSE)</f>
        <v>Electrosurgical Units, Monopolar/Bipolar</v>
      </c>
      <c r="DDA102" s="528" t="s">
        <v>213</v>
      </c>
      <c r="DDB102" s="529" t="str">
        <f>VLOOKUP(DDA102,[14]AssetDetails_UEM!$A$3:$AH$1849,6,FALSE)</f>
        <v>Electrosurgical Units, Monopolar/Bipolar</v>
      </c>
      <c r="DDC102" s="528" t="s">
        <v>213</v>
      </c>
      <c r="DDD102" s="529" t="str">
        <f>VLOOKUP(DDC102,[14]AssetDetails_UEM!$A$3:$AH$1849,6,FALSE)</f>
        <v>Electrosurgical Units, Monopolar/Bipolar</v>
      </c>
      <c r="DDE102" s="528" t="s">
        <v>213</v>
      </c>
      <c r="DDF102" s="529" t="str">
        <f>VLOOKUP(DDE102,[14]AssetDetails_UEM!$A$3:$AH$1849,6,FALSE)</f>
        <v>Electrosurgical Units, Monopolar/Bipolar</v>
      </c>
      <c r="DDG102" s="528" t="s">
        <v>213</v>
      </c>
      <c r="DDH102" s="529" t="str">
        <f>VLOOKUP(DDG102,[14]AssetDetails_UEM!$A$3:$AH$1849,6,FALSE)</f>
        <v>Electrosurgical Units, Monopolar/Bipolar</v>
      </c>
      <c r="DDI102" s="528" t="s">
        <v>213</v>
      </c>
      <c r="DDJ102" s="529" t="str">
        <f>VLOOKUP(DDI102,[14]AssetDetails_UEM!$A$3:$AH$1849,6,FALSE)</f>
        <v>Electrosurgical Units, Monopolar/Bipolar</v>
      </c>
      <c r="DDK102" s="528" t="s">
        <v>213</v>
      </c>
      <c r="DDL102" s="529" t="str">
        <f>VLOOKUP(DDK102,[14]AssetDetails_UEM!$A$3:$AH$1849,6,FALSE)</f>
        <v>Electrosurgical Units, Monopolar/Bipolar</v>
      </c>
      <c r="DDM102" s="528" t="s">
        <v>213</v>
      </c>
      <c r="DDN102" s="529" t="str">
        <f>VLOOKUP(DDM102,[14]AssetDetails_UEM!$A$3:$AH$1849,6,FALSE)</f>
        <v>Electrosurgical Units, Monopolar/Bipolar</v>
      </c>
      <c r="DDO102" s="528" t="s">
        <v>213</v>
      </c>
      <c r="DDP102" s="529" t="str">
        <f>VLOOKUP(DDO102,[14]AssetDetails_UEM!$A$3:$AH$1849,6,FALSE)</f>
        <v>Electrosurgical Units, Monopolar/Bipolar</v>
      </c>
      <c r="DDQ102" s="528" t="s">
        <v>213</v>
      </c>
      <c r="DDR102" s="529" t="str">
        <f>VLOOKUP(DDQ102,[14]AssetDetails_UEM!$A$3:$AH$1849,6,FALSE)</f>
        <v>Electrosurgical Units, Monopolar/Bipolar</v>
      </c>
      <c r="DDS102" s="528" t="s">
        <v>213</v>
      </c>
      <c r="DDT102" s="529" t="str">
        <f>VLOOKUP(DDS102,[14]AssetDetails_UEM!$A$3:$AH$1849,6,FALSE)</f>
        <v>Electrosurgical Units, Monopolar/Bipolar</v>
      </c>
      <c r="DDU102" s="528" t="s">
        <v>213</v>
      </c>
      <c r="DDV102" s="529" t="str">
        <f>VLOOKUP(DDU102,[14]AssetDetails_UEM!$A$3:$AH$1849,6,FALSE)</f>
        <v>Electrosurgical Units, Monopolar/Bipolar</v>
      </c>
      <c r="DDW102" s="528" t="s">
        <v>213</v>
      </c>
      <c r="DDX102" s="529" t="str">
        <f>VLOOKUP(DDW102,[14]AssetDetails_UEM!$A$3:$AH$1849,6,FALSE)</f>
        <v>Electrosurgical Units, Monopolar/Bipolar</v>
      </c>
      <c r="DDY102" s="528" t="s">
        <v>213</v>
      </c>
      <c r="DDZ102" s="529" t="str">
        <f>VLOOKUP(DDY102,[14]AssetDetails_UEM!$A$3:$AH$1849,6,FALSE)</f>
        <v>Electrosurgical Units, Monopolar/Bipolar</v>
      </c>
      <c r="DEA102" s="528" t="s">
        <v>213</v>
      </c>
      <c r="DEB102" s="529" t="str">
        <f>VLOOKUP(DEA102,[14]AssetDetails_UEM!$A$3:$AH$1849,6,FALSE)</f>
        <v>Electrosurgical Units, Monopolar/Bipolar</v>
      </c>
      <c r="DEC102" s="528" t="s">
        <v>213</v>
      </c>
      <c r="DED102" s="529" t="str">
        <f>VLOOKUP(DEC102,[14]AssetDetails_UEM!$A$3:$AH$1849,6,FALSE)</f>
        <v>Electrosurgical Units, Monopolar/Bipolar</v>
      </c>
      <c r="DEE102" s="528" t="s">
        <v>213</v>
      </c>
      <c r="DEF102" s="529" t="str">
        <f>VLOOKUP(DEE102,[14]AssetDetails_UEM!$A$3:$AH$1849,6,FALSE)</f>
        <v>Electrosurgical Units, Monopolar/Bipolar</v>
      </c>
      <c r="DEG102" s="528" t="s">
        <v>213</v>
      </c>
      <c r="DEH102" s="529" t="str">
        <f>VLOOKUP(DEG102,[14]AssetDetails_UEM!$A$3:$AH$1849,6,FALSE)</f>
        <v>Electrosurgical Units, Monopolar/Bipolar</v>
      </c>
      <c r="DEI102" s="528" t="s">
        <v>213</v>
      </c>
      <c r="DEJ102" s="529" t="str">
        <f>VLOOKUP(DEI102,[14]AssetDetails_UEM!$A$3:$AH$1849,6,FALSE)</f>
        <v>Electrosurgical Units, Monopolar/Bipolar</v>
      </c>
      <c r="DEK102" s="528" t="s">
        <v>213</v>
      </c>
      <c r="DEL102" s="529" t="str">
        <f>VLOOKUP(DEK102,[14]AssetDetails_UEM!$A$3:$AH$1849,6,FALSE)</f>
        <v>Electrosurgical Units, Monopolar/Bipolar</v>
      </c>
      <c r="DEM102" s="528" t="s">
        <v>213</v>
      </c>
      <c r="DEN102" s="529" t="str">
        <f>VLOOKUP(DEM102,[14]AssetDetails_UEM!$A$3:$AH$1849,6,FALSE)</f>
        <v>Electrosurgical Units, Monopolar/Bipolar</v>
      </c>
      <c r="DEO102" s="528" t="s">
        <v>213</v>
      </c>
      <c r="DEP102" s="529" t="str">
        <f>VLOOKUP(DEO102,[14]AssetDetails_UEM!$A$3:$AH$1849,6,FALSE)</f>
        <v>Electrosurgical Units, Monopolar/Bipolar</v>
      </c>
      <c r="DEQ102" s="528" t="s">
        <v>213</v>
      </c>
      <c r="DER102" s="529" t="str">
        <f>VLOOKUP(DEQ102,[14]AssetDetails_UEM!$A$3:$AH$1849,6,FALSE)</f>
        <v>Electrosurgical Units, Monopolar/Bipolar</v>
      </c>
      <c r="DES102" s="528" t="s">
        <v>213</v>
      </c>
      <c r="DET102" s="529" t="str">
        <f>VLOOKUP(DES102,[14]AssetDetails_UEM!$A$3:$AH$1849,6,FALSE)</f>
        <v>Electrosurgical Units, Monopolar/Bipolar</v>
      </c>
      <c r="DEU102" s="528" t="s">
        <v>213</v>
      </c>
      <c r="DEV102" s="529" t="str">
        <f>VLOOKUP(DEU102,[14]AssetDetails_UEM!$A$3:$AH$1849,6,FALSE)</f>
        <v>Electrosurgical Units, Monopolar/Bipolar</v>
      </c>
      <c r="DEW102" s="528" t="s">
        <v>213</v>
      </c>
      <c r="DEX102" s="529" t="str">
        <f>VLOOKUP(DEW102,[14]AssetDetails_UEM!$A$3:$AH$1849,6,FALSE)</f>
        <v>Electrosurgical Units, Monopolar/Bipolar</v>
      </c>
      <c r="DEY102" s="528" t="s">
        <v>213</v>
      </c>
      <c r="DEZ102" s="529" t="str">
        <f>VLOOKUP(DEY102,[14]AssetDetails_UEM!$A$3:$AH$1849,6,FALSE)</f>
        <v>Electrosurgical Units, Monopolar/Bipolar</v>
      </c>
      <c r="DFA102" s="528" t="s">
        <v>213</v>
      </c>
      <c r="DFB102" s="529" t="str">
        <f>VLOOKUP(DFA102,[14]AssetDetails_UEM!$A$3:$AH$1849,6,FALSE)</f>
        <v>Electrosurgical Units, Monopolar/Bipolar</v>
      </c>
      <c r="DFC102" s="528" t="s">
        <v>213</v>
      </c>
      <c r="DFD102" s="529" t="str">
        <f>VLOOKUP(DFC102,[14]AssetDetails_UEM!$A$3:$AH$1849,6,FALSE)</f>
        <v>Electrosurgical Units, Monopolar/Bipolar</v>
      </c>
      <c r="DFE102" s="528" t="s">
        <v>213</v>
      </c>
      <c r="DFF102" s="529" t="str">
        <f>VLOOKUP(DFE102,[14]AssetDetails_UEM!$A$3:$AH$1849,6,FALSE)</f>
        <v>Electrosurgical Units, Monopolar/Bipolar</v>
      </c>
      <c r="DFG102" s="528" t="s">
        <v>213</v>
      </c>
      <c r="DFH102" s="529" t="str">
        <f>VLOOKUP(DFG102,[14]AssetDetails_UEM!$A$3:$AH$1849,6,FALSE)</f>
        <v>Electrosurgical Units, Monopolar/Bipolar</v>
      </c>
      <c r="DFI102" s="528" t="s">
        <v>213</v>
      </c>
      <c r="DFJ102" s="529" t="str">
        <f>VLOOKUP(DFI102,[14]AssetDetails_UEM!$A$3:$AH$1849,6,FALSE)</f>
        <v>Electrosurgical Units, Monopolar/Bipolar</v>
      </c>
      <c r="DFK102" s="528" t="s">
        <v>213</v>
      </c>
      <c r="DFL102" s="529" t="str">
        <f>VLOOKUP(DFK102,[14]AssetDetails_UEM!$A$3:$AH$1849,6,FALSE)</f>
        <v>Electrosurgical Units, Monopolar/Bipolar</v>
      </c>
      <c r="DFM102" s="528" t="s">
        <v>213</v>
      </c>
      <c r="DFN102" s="529" t="str">
        <f>VLOOKUP(DFM102,[14]AssetDetails_UEM!$A$3:$AH$1849,6,FALSE)</f>
        <v>Electrosurgical Units, Monopolar/Bipolar</v>
      </c>
      <c r="DFO102" s="528" t="s">
        <v>213</v>
      </c>
      <c r="DFP102" s="529" t="str">
        <f>VLOOKUP(DFO102,[14]AssetDetails_UEM!$A$3:$AH$1849,6,FALSE)</f>
        <v>Electrosurgical Units, Monopolar/Bipolar</v>
      </c>
      <c r="DFQ102" s="528" t="s">
        <v>213</v>
      </c>
      <c r="DFR102" s="529" t="str">
        <f>VLOOKUP(DFQ102,[14]AssetDetails_UEM!$A$3:$AH$1849,6,FALSE)</f>
        <v>Electrosurgical Units, Monopolar/Bipolar</v>
      </c>
      <c r="DFS102" s="528" t="s">
        <v>213</v>
      </c>
      <c r="DFT102" s="529" t="str">
        <f>VLOOKUP(DFS102,[14]AssetDetails_UEM!$A$3:$AH$1849,6,FALSE)</f>
        <v>Electrosurgical Units, Monopolar/Bipolar</v>
      </c>
      <c r="DFU102" s="528" t="s">
        <v>213</v>
      </c>
      <c r="DFV102" s="529" t="str">
        <f>VLOOKUP(DFU102,[14]AssetDetails_UEM!$A$3:$AH$1849,6,FALSE)</f>
        <v>Electrosurgical Units, Monopolar/Bipolar</v>
      </c>
      <c r="DFW102" s="528" t="s">
        <v>213</v>
      </c>
      <c r="DFX102" s="529" t="str">
        <f>VLOOKUP(DFW102,[14]AssetDetails_UEM!$A$3:$AH$1849,6,FALSE)</f>
        <v>Electrosurgical Units, Monopolar/Bipolar</v>
      </c>
      <c r="DFY102" s="528" t="s">
        <v>213</v>
      </c>
      <c r="DFZ102" s="529" t="str">
        <f>VLOOKUP(DFY102,[14]AssetDetails_UEM!$A$3:$AH$1849,6,FALSE)</f>
        <v>Electrosurgical Units, Monopolar/Bipolar</v>
      </c>
      <c r="DGA102" s="528" t="s">
        <v>213</v>
      </c>
      <c r="DGB102" s="529" t="str">
        <f>VLOOKUP(DGA102,[14]AssetDetails_UEM!$A$3:$AH$1849,6,FALSE)</f>
        <v>Electrosurgical Units, Monopolar/Bipolar</v>
      </c>
      <c r="DGC102" s="528" t="s">
        <v>213</v>
      </c>
      <c r="DGD102" s="529" t="str">
        <f>VLOOKUP(DGC102,[14]AssetDetails_UEM!$A$3:$AH$1849,6,FALSE)</f>
        <v>Electrosurgical Units, Monopolar/Bipolar</v>
      </c>
      <c r="DGE102" s="528" t="s">
        <v>213</v>
      </c>
      <c r="DGF102" s="529" t="str">
        <f>VLOOKUP(DGE102,[14]AssetDetails_UEM!$A$3:$AH$1849,6,FALSE)</f>
        <v>Electrosurgical Units, Monopolar/Bipolar</v>
      </c>
      <c r="DGG102" s="528" t="s">
        <v>213</v>
      </c>
      <c r="DGH102" s="529" t="str">
        <f>VLOOKUP(DGG102,[14]AssetDetails_UEM!$A$3:$AH$1849,6,FALSE)</f>
        <v>Electrosurgical Units, Monopolar/Bipolar</v>
      </c>
      <c r="DGI102" s="528" t="s">
        <v>213</v>
      </c>
      <c r="DGJ102" s="529" t="str">
        <f>VLOOKUP(DGI102,[14]AssetDetails_UEM!$A$3:$AH$1849,6,FALSE)</f>
        <v>Electrosurgical Units, Monopolar/Bipolar</v>
      </c>
      <c r="DGK102" s="528" t="s">
        <v>213</v>
      </c>
      <c r="DGL102" s="529" t="str">
        <f>VLOOKUP(DGK102,[14]AssetDetails_UEM!$A$3:$AH$1849,6,FALSE)</f>
        <v>Electrosurgical Units, Monopolar/Bipolar</v>
      </c>
      <c r="DGM102" s="528" t="s">
        <v>213</v>
      </c>
      <c r="DGN102" s="529" t="str">
        <f>VLOOKUP(DGM102,[14]AssetDetails_UEM!$A$3:$AH$1849,6,FALSE)</f>
        <v>Electrosurgical Units, Monopolar/Bipolar</v>
      </c>
      <c r="DGO102" s="528" t="s">
        <v>213</v>
      </c>
      <c r="DGP102" s="529" t="str">
        <f>VLOOKUP(DGO102,[14]AssetDetails_UEM!$A$3:$AH$1849,6,FALSE)</f>
        <v>Electrosurgical Units, Monopolar/Bipolar</v>
      </c>
      <c r="DGQ102" s="528" t="s">
        <v>213</v>
      </c>
      <c r="DGR102" s="529" t="str">
        <f>VLOOKUP(DGQ102,[14]AssetDetails_UEM!$A$3:$AH$1849,6,FALSE)</f>
        <v>Electrosurgical Units, Monopolar/Bipolar</v>
      </c>
      <c r="DGS102" s="528" t="s">
        <v>213</v>
      </c>
      <c r="DGT102" s="529" t="str">
        <f>VLOOKUP(DGS102,[14]AssetDetails_UEM!$A$3:$AH$1849,6,FALSE)</f>
        <v>Electrosurgical Units, Monopolar/Bipolar</v>
      </c>
      <c r="DGU102" s="528" t="s">
        <v>213</v>
      </c>
      <c r="DGV102" s="529" t="str">
        <f>VLOOKUP(DGU102,[14]AssetDetails_UEM!$A$3:$AH$1849,6,FALSE)</f>
        <v>Electrosurgical Units, Monopolar/Bipolar</v>
      </c>
      <c r="DGW102" s="528" t="s">
        <v>213</v>
      </c>
      <c r="DGX102" s="529" t="str">
        <f>VLOOKUP(DGW102,[14]AssetDetails_UEM!$A$3:$AH$1849,6,FALSE)</f>
        <v>Electrosurgical Units, Monopolar/Bipolar</v>
      </c>
      <c r="DGY102" s="528" t="s">
        <v>213</v>
      </c>
      <c r="DGZ102" s="529" t="str">
        <f>VLOOKUP(DGY102,[14]AssetDetails_UEM!$A$3:$AH$1849,6,FALSE)</f>
        <v>Electrosurgical Units, Monopolar/Bipolar</v>
      </c>
      <c r="DHA102" s="528" t="s">
        <v>213</v>
      </c>
      <c r="DHB102" s="529" t="str">
        <f>VLOOKUP(DHA102,[14]AssetDetails_UEM!$A$3:$AH$1849,6,FALSE)</f>
        <v>Electrosurgical Units, Monopolar/Bipolar</v>
      </c>
      <c r="DHC102" s="528" t="s">
        <v>213</v>
      </c>
      <c r="DHD102" s="529" t="str">
        <f>VLOOKUP(DHC102,[14]AssetDetails_UEM!$A$3:$AH$1849,6,FALSE)</f>
        <v>Electrosurgical Units, Monopolar/Bipolar</v>
      </c>
      <c r="DHE102" s="528" t="s">
        <v>213</v>
      </c>
      <c r="DHF102" s="529" t="str">
        <f>VLOOKUP(DHE102,[14]AssetDetails_UEM!$A$3:$AH$1849,6,FALSE)</f>
        <v>Electrosurgical Units, Monopolar/Bipolar</v>
      </c>
      <c r="DHG102" s="528" t="s">
        <v>213</v>
      </c>
      <c r="DHH102" s="529" t="str">
        <f>VLOOKUP(DHG102,[14]AssetDetails_UEM!$A$3:$AH$1849,6,FALSE)</f>
        <v>Electrosurgical Units, Monopolar/Bipolar</v>
      </c>
      <c r="DHI102" s="528" t="s">
        <v>213</v>
      </c>
      <c r="DHJ102" s="529" t="str">
        <f>VLOOKUP(DHI102,[14]AssetDetails_UEM!$A$3:$AH$1849,6,FALSE)</f>
        <v>Electrosurgical Units, Monopolar/Bipolar</v>
      </c>
      <c r="DHK102" s="528" t="s">
        <v>213</v>
      </c>
      <c r="DHL102" s="529" t="str">
        <f>VLOOKUP(DHK102,[14]AssetDetails_UEM!$A$3:$AH$1849,6,FALSE)</f>
        <v>Electrosurgical Units, Monopolar/Bipolar</v>
      </c>
      <c r="DHM102" s="528" t="s">
        <v>213</v>
      </c>
      <c r="DHN102" s="529" t="str">
        <f>VLOOKUP(DHM102,[14]AssetDetails_UEM!$A$3:$AH$1849,6,FALSE)</f>
        <v>Electrosurgical Units, Monopolar/Bipolar</v>
      </c>
      <c r="DHO102" s="528" t="s">
        <v>213</v>
      </c>
      <c r="DHP102" s="529" t="str">
        <f>VLOOKUP(DHO102,[14]AssetDetails_UEM!$A$3:$AH$1849,6,FALSE)</f>
        <v>Electrosurgical Units, Monopolar/Bipolar</v>
      </c>
      <c r="DHQ102" s="528" t="s">
        <v>213</v>
      </c>
      <c r="DHR102" s="529" t="str">
        <f>VLOOKUP(DHQ102,[14]AssetDetails_UEM!$A$3:$AH$1849,6,FALSE)</f>
        <v>Electrosurgical Units, Monopolar/Bipolar</v>
      </c>
      <c r="DHS102" s="528" t="s">
        <v>213</v>
      </c>
      <c r="DHT102" s="529" t="str">
        <f>VLOOKUP(DHS102,[14]AssetDetails_UEM!$A$3:$AH$1849,6,FALSE)</f>
        <v>Electrosurgical Units, Monopolar/Bipolar</v>
      </c>
      <c r="DHU102" s="528" t="s">
        <v>213</v>
      </c>
      <c r="DHV102" s="529" t="str">
        <f>VLOOKUP(DHU102,[14]AssetDetails_UEM!$A$3:$AH$1849,6,FALSE)</f>
        <v>Electrosurgical Units, Monopolar/Bipolar</v>
      </c>
      <c r="DHW102" s="528" t="s">
        <v>213</v>
      </c>
      <c r="DHX102" s="529" t="str">
        <f>VLOOKUP(DHW102,[14]AssetDetails_UEM!$A$3:$AH$1849,6,FALSE)</f>
        <v>Electrosurgical Units, Monopolar/Bipolar</v>
      </c>
      <c r="DHY102" s="528" t="s">
        <v>213</v>
      </c>
      <c r="DHZ102" s="529" t="str">
        <f>VLOOKUP(DHY102,[14]AssetDetails_UEM!$A$3:$AH$1849,6,FALSE)</f>
        <v>Electrosurgical Units, Monopolar/Bipolar</v>
      </c>
      <c r="DIA102" s="528" t="s">
        <v>213</v>
      </c>
      <c r="DIB102" s="529" t="str">
        <f>VLOOKUP(DIA102,[14]AssetDetails_UEM!$A$3:$AH$1849,6,FALSE)</f>
        <v>Electrosurgical Units, Monopolar/Bipolar</v>
      </c>
      <c r="DIC102" s="528" t="s">
        <v>213</v>
      </c>
      <c r="DID102" s="529" t="str">
        <f>VLOOKUP(DIC102,[14]AssetDetails_UEM!$A$3:$AH$1849,6,FALSE)</f>
        <v>Electrosurgical Units, Monopolar/Bipolar</v>
      </c>
      <c r="DIE102" s="528" t="s">
        <v>213</v>
      </c>
      <c r="DIF102" s="529" t="str">
        <f>VLOOKUP(DIE102,[14]AssetDetails_UEM!$A$3:$AH$1849,6,FALSE)</f>
        <v>Electrosurgical Units, Monopolar/Bipolar</v>
      </c>
      <c r="DIG102" s="528" t="s">
        <v>213</v>
      </c>
      <c r="DIH102" s="529" t="str">
        <f>VLOOKUP(DIG102,[14]AssetDetails_UEM!$A$3:$AH$1849,6,FALSE)</f>
        <v>Electrosurgical Units, Monopolar/Bipolar</v>
      </c>
      <c r="DII102" s="528" t="s">
        <v>213</v>
      </c>
      <c r="DIJ102" s="529" t="str">
        <f>VLOOKUP(DII102,[14]AssetDetails_UEM!$A$3:$AH$1849,6,FALSE)</f>
        <v>Electrosurgical Units, Monopolar/Bipolar</v>
      </c>
      <c r="DIK102" s="528" t="s">
        <v>213</v>
      </c>
      <c r="DIL102" s="529" t="str">
        <f>VLOOKUP(DIK102,[14]AssetDetails_UEM!$A$3:$AH$1849,6,FALSE)</f>
        <v>Electrosurgical Units, Monopolar/Bipolar</v>
      </c>
      <c r="DIM102" s="528" t="s">
        <v>213</v>
      </c>
      <c r="DIN102" s="529" t="str">
        <f>VLOOKUP(DIM102,[14]AssetDetails_UEM!$A$3:$AH$1849,6,FALSE)</f>
        <v>Electrosurgical Units, Monopolar/Bipolar</v>
      </c>
      <c r="DIO102" s="528" t="s">
        <v>213</v>
      </c>
      <c r="DIP102" s="529" t="str">
        <f>VLOOKUP(DIO102,[14]AssetDetails_UEM!$A$3:$AH$1849,6,FALSE)</f>
        <v>Electrosurgical Units, Monopolar/Bipolar</v>
      </c>
      <c r="DIQ102" s="528" t="s">
        <v>213</v>
      </c>
      <c r="DIR102" s="529" t="str">
        <f>VLOOKUP(DIQ102,[14]AssetDetails_UEM!$A$3:$AH$1849,6,FALSE)</f>
        <v>Electrosurgical Units, Monopolar/Bipolar</v>
      </c>
      <c r="DIS102" s="528" t="s">
        <v>213</v>
      </c>
      <c r="DIT102" s="529" t="str">
        <f>VLOOKUP(DIS102,[14]AssetDetails_UEM!$A$3:$AH$1849,6,FALSE)</f>
        <v>Electrosurgical Units, Monopolar/Bipolar</v>
      </c>
      <c r="DIU102" s="528" t="s">
        <v>213</v>
      </c>
      <c r="DIV102" s="529" t="str">
        <f>VLOOKUP(DIU102,[14]AssetDetails_UEM!$A$3:$AH$1849,6,FALSE)</f>
        <v>Electrosurgical Units, Monopolar/Bipolar</v>
      </c>
      <c r="DIW102" s="528" t="s">
        <v>213</v>
      </c>
      <c r="DIX102" s="529" t="str">
        <f>VLOOKUP(DIW102,[14]AssetDetails_UEM!$A$3:$AH$1849,6,FALSE)</f>
        <v>Electrosurgical Units, Monopolar/Bipolar</v>
      </c>
      <c r="DIY102" s="528" t="s">
        <v>213</v>
      </c>
      <c r="DIZ102" s="529" t="str">
        <f>VLOOKUP(DIY102,[14]AssetDetails_UEM!$A$3:$AH$1849,6,FALSE)</f>
        <v>Electrosurgical Units, Monopolar/Bipolar</v>
      </c>
      <c r="DJA102" s="528" t="s">
        <v>213</v>
      </c>
      <c r="DJB102" s="529" t="str">
        <f>VLOOKUP(DJA102,[14]AssetDetails_UEM!$A$3:$AH$1849,6,FALSE)</f>
        <v>Electrosurgical Units, Monopolar/Bipolar</v>
      </c>
      <c r="DJC102" s="528" t="s">
        <v>213</v>
      </c>
      <c r="DJD102" s="529" t="str">
        <f>VLOOKUP(DJC102,[14]AssetDetails_UEM!$A$3:$AH$1849,6,FALSE)</f>
        <v>Electrosurgical Units, Monopolar/Bipolar</v>
      </c>
      <c r="DJE102" s="528" t="s">
        <v>213</v>
      </c>
      <c r="DJF102" s="529" t="str">
        <f>VLOOKUP(DJE102,[14]AssetDetails_UEM!$A$3:$AH$1849,6,FALSE)</f>
        <v>Electrosurgical Units, Monopolar/Bipolar</v>
      </c>
      <c r="DJG102" s="528" t="s">
        <v>213</v>
      </c>
      <c r="DJH102" s="529" t="str">
        <f>VLOOKUP(DJG102,[14]AssetDetails_UEM!$A$3:$AH$1849,6,FALSE)</f>
        <v>Electrosurgical Units, Monopolar/Bipolar</v>
      </c>
      <c r="DJI102" s="528" t="s">
        <v>213</v>
      </c>
      <c r="DJJ102" s="529" t="str">
        <f>VLOOKUP(DJI102,[14]AssetDetails_UEM!$A$3:$AH$1849,6,FALSE)</f>
        <v>Electrosurgical Units, Monopolar/Bipolar</v>
      </c>
      <c r="DJK102" s="528" t="s">
        <v>213</v>
      </c>
      <c r="DJL102" s="529" t="str">
        <f>VLOOKUP(DJK102,[14]AssetDetails_UEM!$A$3:$AH$1849,6,FALSE)</f>
        <v>Electrosurgical Units, Monopolar/Bipolar</v>
      </c>
      <c r="DJM102" s="528" t="s">
        <v>213</v>
      </c>
      <c r="DJN102" s="529" t="str">
        <f>VLOOKUP(DJM102,[14]AssetDetails_UEM!$A$3:$AH$1849,6,FALSE)</f>
        <v>Electrosurgical Units, Monopolar/Bipolar</v>
      </c>
      <c r="DJO102" s="528" t="s">
        <v>213</v>
      </c>
      <c r="DJP102" s="529" t="str">
        <f>VLOOKUP(DJO102,[14]AssetDetails_UEM!$A$3:$AH$1849,6,FALSE)</f>
        <v>Electrosurgical Units, Monopolar/Bipolar</v>
      </c>
      <c r="DJQ102" s="528" t="s">
        <v>213</v>
      </c>
      <c r="DJR102" s="529" t="str">
        <f>VLOOKUP(DJQ102,[14]AssetDetails_UEM!$A$3:$AH$1849,6,FALSE)</f>
        <v>Electrosurgical Units, Monopolar/Bipolar</v>
      </c>
      <c r="DJS102" s="528" t="s">
        <v>213</v>
      </c>
      <c r="DJT102" s="529" t="str">
        <f>VLOOKUP(DJS102,[14]AssetDetails_UEM!$A$3:$AH$1849,6,FALSE)</f>
        <v>Electrosurgical Units, Monopolar/Bipolar</v>
      </c>
      <c r="DJU102" s="528" t="s">
        <v>213</v>
      </c>
      <c r="DJV102" s="529" t="str">
        <f>VLOOKUP(DJU102,[14]AssetDetails_UEM!$A$3:$AH$1849,6,FALSE)</f>
        <v>Electrosurgical Units, Monopolar/Bipolar</v>
      </c>
      <c r="DJW102" s="528" t="s">
        <v>213</v>
      </c>
      <c r="DJX102" s="529" t="str">
        <f>VLOOKUP(DJW102,[14]AssetDetails_UEM!$A$3:$AH$1849,6,FALSE)</f>
        <v>Electrosurgical Units, Monopolar/Bipolar</v>
      </c>
      <c r="DJY102" s="528" t="s">
        <v>213</v>
      </c>
      <c r="DJZ102" s="529" t="str">
        <f>VLOOKUP(DJY102,[14]AssetDetails_UEM!$A$3:$AH$1849,6,FALSE)</f>
        <v>Electrosurgical Units, Monopolar/Bipolar</v>
      </c>
      <c r="DKA102" s="528" t="s">
        <v>213</v>
      </c>
      <c r="DKB102" s="529" t="str">
        <f>VLOOKUP(DKA102,[14]AssetDetails_UEM!$A$3:$AH$1849,6,FALSE)</f>
        <v>Electrosurgical Units, Monopolar/Bipolar</v>
      </c>
      <c r="DKC102" s="528" t="s">
        <v>213</v>
      </c>
      <c r="DKD102" s="529" t="str">
        <f>VLOOKUP(DKC102,[14]AssetDetails_UEM!$A$3:$AH$1849,6,FALSE)</f>
        <v>Electrosurgical Units, Monopolar/Bipolar</v>
      </c>
      <c r="DKE102" s="528" t="s">
        <v>213</v>
      </c>
      <c r="DKF102" s="529" t="str">
        <f>VLOOKUP(DKE102,[14]AssetDetails_UEM!$A$3:$AH$1849,6,FALSE)</f>
        <v>Electrosurgical Units, Monopolar/Bipolar</v>
      </c>
      <c r="DKG102" s="528" t="s">
        <v>213</v>
      </c>
      <c r="DKH102" s="529" t="str">
        <f>VLOOKUP(DKG102,[14]AssetDetails_UEM!$A$3:$AH$1849,6,FALSE)</f>
        <v>Electrosurgical Units, Monopolar/Bipolar</v>
      </c>
      <c r="DKI102" s="528" t="s">
        <v>213</v>
      </c>
      <c r="DKJ102" s="529" t="str">
        <f>VLOOKUP(DKI102,[14]AssetDetails_UEM!$A$3:$AH$1849,6,FALSE)</f>
        <v>Electrosurgical Units, Monopolar/Bipolar</v>
      </c>
      <c r="DKK102" s="528" t="s">
        <v>213</v>
      </c>
      <c r="DKL102" s="529" t="str">
        <f>VLOOKUP(DKK102,[14]AssetDetails_UEM!$A$3:$AH$1849,6,FALSE)</f>
        <v>Electrosurgical Units, Monopolar/Bipolar</v>
      </c>
      <c r="DKM102" s="528" t="s">
        <v>213</v>
      </c>
      <c r="DKN102" s="529" t="str">
        <f>VLOOKUP(DKM102,[14]AssetDetails_UEM!$A$3:$AH$1849,6,FALSE)</f>
        <v>Electrosurgical Units, Monopolar/Bipolar</v>
      </c>
      <c r="DKO102" s="528" t="s">
        <v>213</v>
      </c>
      <c r="DKP102" s="529" t="str">
        <f>VLOOKUP(DKO102,[14]AssetDetails_UEM!$A$3:$AH$1849,6,FALSE)</f>
        <v>Electrosurgical Units, Monopolar/Bipolar</v>
      </c>
      <c r="DKQ102" s="528" t="s">
        <v>213</v>
      </c>
      <c r="DKR102" s="529" t="str">
        <f>VLOOKUP(DKQ102,[14]AssetDetails_UEM!$A$3:$AH$1849,6,FALSE)</f>
        <v>Electrosurgical Units, Monopolar/Bipolar</v>
      </c>
      <c r="DKS102" s="528" t="s">
        <v>213</v>
      </c>
      <c r="DKT102" s="529" t="str">
        <f>VLOOKUP(DKS102,[14]AssetDetails_UEM!$A$3:$AH$1849,6,FALSE)</f>
        <v>Electrosurgical Units, Monopolar/Bipolar</v>
      </c>
      <c r="DKU102" s="528" t="s">
        <v>213</v>
      </c>
      <c r="DKV102" s="529" t="str">
        <f>VLOOKUP(DKU102,[14]AssetDetails_UEM!$A$3:$AH$1849,6,FALSE)</f>
        <v>Electrosurgical Units, Monopolar/Bipolar</v>
      </c>
      <c r="DKW102" s="528" t="s">
        <v>213</v>
      </c>
      <c r="DKX102" s="529" t="str">
        <f>VLOOKUP(DKW102,[14]AssetDetails_UEM!$A$3:$AH$1849,6,FALSE)</f>
        <v>Electrosurgical Units, Monopolar/Bipolar</v>
      </c>
      <c r="DKY102" s="528" t="s">
        <v>213</v>
      </c>
      <c r="DKZ102" s="529" t="str">
        <f>VLOOKUP(DKY102,[14]AssetDetails_UEM!$A$3:$AH$1849,6,FALSE)</f>
        <v>Electrosurgical Units, Monopolar/Bipolar</v>
      </c>
      <c r="DLA102" s="528" t="s">
        <v>213</v>
      </c>
      <c r="DLB102" s="529" t="str">
        <f>VLOOKUP(DLA102,[14]AssetDetails_UEM!$A$3:$AH$1849,6,FALSE)</f>
        <v>Electrosurgical Units, Monopolar/Bipolar</v>
      </c>
      <c r="DLC102" s="528" t="s">
        <v>213</v>
      </c>
      <c r="DLD102" s="529" t="str">
        <f>VLOOKUP(DLC102,[14]AssetDetails_UEM!$A$3:$AH$1849,6,FALSE)</f>
        <v>Electrosurgical Units, Monopolar/Bipolar</v>
      </c>
      <c r="DLE102" s="528" t="s">
        <v>213</v>
      </c>
      <c r="DLF102" s="529" t="str">
        <f>VLOOKUP(DLE102,[14]AssetDetails_UEM!$A$3:$AH$1849,6,FALSE)</f>
        <v>Electrosurgical Units, Monopolar/Bipolar</v>
      </c>
      <c r="DLG102" s="528" t="s">
        <v>213</v>
      </c>
      <c r="DLH102" s="529" t="str">
        <f>VLOOKUP(DLG102,[14]AssetDetails_UEM!$A$3:$AH$1849,6,FALSE)</f>
        <v>Electrosurgical Units, Monopolar/Bipolar</v>
      </c>
      <c r="DLI102" s="528" t="s">
        <v>213</v>
      </c>
      <c r="DLJ102" s="529" t="str">
        <f>VLOOKUP(DLI102,[14]AssetDetails_UEM!$A$3:$AH$1849,6,FALSE)</f>
        <v>Electrosurgical Units, Monopolar/Bipolar</v>
      </c>
      <c r="DLK102" s="528" t="s">
        <v>213</v>
      </c>
      <c r="DLL102" s="529" t="str">
        <f>VLOOKUP(DLK102,[14]AssetDetails_UEM!$A$3:$AH$1849,6,FALSE)</f>
        <v>Electrosurgical Units, Monopolar/Bipolar</v>
      </c>
      <c r="DLM102" s="528" t="s">
        <v>213</v>
      </c>
      <c r="DLN102" s="529" t="str">
        <f>VLOOKUP(DLM102,[14]AssetDetails_UEM!$A$3:$AH$1849,6,FALSE)</f>
        <v>Electrosurgical Units, Monopolar/Bipolar</v>
      </c>
      <c r="DLO102" s="528" t="s">
        <v>213</v>
      </c>
      <c r="DLP102" s="529" t="str">
        <f>VLOOKUP(DLO102,[14]AssetDetails_UEM!$A$3:$AH$1849,6,FALSE)</f>
        <v>Electrosurgical Units, Monopolar/Bipolar</v>
      </c>
      <c r="DLQ102" s="528" t="s">
        <v>213</v>
      </c>
      <c r="DLR102" s="529" t="str">
        <f>VLOOKUP(DLQ102,[14]AssetDetails_UEM!$A$3:$AH$1849,6,FALSE)</f>
        <v>Electrosurgical Units, Monopolar/Bipolar</v>
      </c>
      <c r="DLS102" s="528" t="s">
        <v>213</v>
      </c>
      <c r="DLT102" s="529" t="str">
        <f>VLOOKUP(DLS102,[14]AssetDetails_UEM!$A$3:$AH$1849,6,FALSE)</f>
        <v>Electrosurgical Units, Monopolar/Bipolar</v>
      </c>
      <c r="DLU102" s="528" t="s">
        <v>213</v>
      </c>
      <c r="DLV102" s="529" t="str">
        <f>VLOOKUP(DLU102,[14]AssetDetails_UEM!$A$3:$AH$1849,6,FALSE)</f>
        <v>Electrosurgical Units, Monopolar/Bipolar</v>
      </c>
      <c r="DLW102" s="528" t="s">
        <v>213</v>
      </c>
      <c r="DLX102" s="529" t="str">
        <f>VLOOKUP(DLW102,[14]AssetDetails_UEM!$A$3:$AH$1849,6,FALSE)</f>
        <v>Electrosurgical Units, Monopolar/Bipolar</v>
      </c>
      <c r="DLY102" s="528" t="s">
        <v>213</v>
      </c>
      <c r="DLZ102" s="529" t="str">
        <f>VLOOKUP(DLY102,[14]AssetDetails_UEM!$A$3:$AH$1849,6,FALSE)</f>
        <v>Electrosurgical Units, Monopolar/Bipolar</v>
      </c>
      <c r="DMA102" s="528" t="s">
        <v>213</v>
      </c>
      <c r="DMB102" s="529" t="str">
        <f>VLOOKUP(DMA102,[14]AssetDetails_UEM!$A$3:$AH$1849,6,FALSE)</f>
        <v>Electrosurgical Units, Monopolar/Bipolar</v>
      </c>
      <c r="DMC102" s="528" t="s">
        <v>213</v>
      </c>
      <c r="DMD102" s="529" t="str">
        <f>VLOOKUP(DMC102,[14]AssetDetails_UEM!$A$3:$AH$1849,6,FALSE)</f>
        <v>Electrosurgical Units, Monopolar/Bipolar</v>
      </c>
      <c r="DME102" s="528" t="s">
        <v>213</v>
      </c>
      <c r="DMF102" s="529" t="str">
        <f>VLOOKUP(DME102,[14]AssetDetails_UEM!$A$3:$AH$1849,6,FALSE)</f>
        <v>Electrosurgical Units, Monopolar/Bipolar</v>
      </c>
      <c r="DMG102" s="528" t="s">
        <v>213</v>
      </c>
      <c r="DMH102" s="529" t="str">
        <f>VLOOKUP(DMG102,[14]AssetDetails_UEM!$A$3:$AH$1849,6,FALSE)</f>
        <v>Electrosurgical Units, Monopolar/Bipolar</v>
      </c>
      <c r="DMI102" s="528" t="s">
        <v>213</v>
      </c>
      <c r="DMJ102" s="529" t="str">
        <f>VLOOKUP(DMI102,[14]AssetDetails_UEM!$A$3:$AH$1849,6,FALSE)</f>
        <v>Electrosurgical Units, Monopolar/Bipolar</v>
      </c>
      <c r="DMK102" s="528" t="s">
        <v>213</v>
      </c>
      <c r="DML102" s="529" t="str">
        <f>VLOOKUP(DMK102,[14]AssetDetails_UEM!$A$3:$AH$1849,6,FALSE)</f>
        <v>Electrosurgical Units, Monopolar/Bipolar</v>
      </c>
      <c r="DMM102" s="528" t="s">
        <v>213</v>
      </c>
      <c r="DMN102" s="529" t="str">
        <f>VLOOKUP(DMM102,[14]AssetDetails_UEM!$A$3:$AH$1849,6,FALSE)</f>
        <v>Electrosurgical Units, Monopolar/Bipolar</v>
      </c>
      <c r="DMO102" s="528" t="s">
        <v>213</v>
      </c>
      <c r="DMP102" s="529" t="str">
        <f>VLOOKUP(DMO102,[14]AssetDetails_UEM!$A$3:$AH$1849,6,FALSE)</f>
        <v>Electrosurgical Units, Monopolar/Bipolar</v>
      </c>
      <c r="DMQ102" s="528" t="s">
        <v>213</v>
      </c>
      <c r="DMR102" s="529" t="str">
        <f>VLOOKUP(DMQ102,[14]AssetDetails_UEM!$A$3:$AH$1849,6,FALSE)</f>
        <v>Electrosurgical Units, Monopolar/Bipolar</v>
      </c>
      <c r="DMS102" s="528" t="s">
        <v>213</v>
      </c>
      <c r="DMT102" s="529" t="str">
        <f>VLOOKUP(DMS102,[14]AssetDetails_UEM!$A$3:$AH$1849,6,FALSE)</f>
        <v>Electrosurgical Units, Monopolar/Bipolar</v>
      </c>
      <c r="DMU102" s="528" t="s">
        <v>213</v>
      </c>
      <c r="DMV102" s="529" t="str">
        <f>VLOOKUP(DMU102,[14]AssetDetails_UEM!$A$3:$AH$1849,6,FALSE)</f>
        <v>Electrosurgical Units, Monopolar/Bipolar</v>
      </c>
      <c r="DMW102" s="528" t="s">
        <v>213</v>
      </c>
      <c r="DMX102" s="529" t="str">
        <f>VLOOKUP(DMW102,[14]AssetDetails_UEM!$A$3:$AH$1849,6,FALSE)</f>
        <v>Electrosurgical Units, Monopolar/Bipolar</v>
      </c>
      <c r="DMY102" s="528" t="s">
        <v>213</v>
      </c>
      <c r="DMZ102" s="529" t="str">
        <f>VLOOKUP(DMY102,[14]AssetDetails_UEM!$A$3:$AH$1849,6,FALSE)</f>
        <v>Electrosurgical Units, Monopolar/Bipolar</v>
      </c>
      <c r="DNA102" s="528" t="s">
        <v>213</v>
      </c>
      <c r="DNB102" s="529" t="str">
        <f>VLOOKUP(DNA102,[14]AssetDetails_UEM!$A$3:$AH$1849,6,FALSE)</f>
        <v>Electrosurgical Units, Monopolar/Bipolar</v>
      </c>
      <c r="DNC102" s="528" t="s">
        <v>213</v>
      </c>
      <c r="DND102" s="529" t="str">
        <f>VLOOKUP(DNC102,[14]AssetDetails_UEM!$A$3:$AH$1849,6,FALSE)</f>
        <v>Electrosurgical Units, Monopolar/Bipolar</v>
      </c>
      <c r="DNE102" s="528" t="s">
        <v>213</v>
      </c>
      <c r="DNF102" s="529" t="str">
        <f>VLOOKUP(DNE102,[14]AssetDetails_UEM!$A$3:$AH$1849,6,FALSE)</f>
        <v>Electrosurgical Units, Monopolar/Bipolar</v>
      </c>
      <c r="DNG102" s="528" t="s">
        <v>213</v>
      </c>
      <c r="DNH102" s="529" t="str">
        <f>VLOOKUP(DNG102,[14]AssetDetails_UEM!$A$3:$AH$1849,6,FALSE)</f>
        <v>Electrosurgical Units, Monopolar/Bipolar</v>
      </c>
      <c r="DNI102" s="528" t="s">
        <v>213</v>
      </c>
      <c r="DNJ102" s="529" t="str">
        <f>VLOOKUP(DNI102,[14]AssetDetails_UEM!$A$3:$AH$1849,6,FALSE)</f>
        <v>Electrosurgical Units, Monopolar/Bipolar</v>
      </c>
      <c r="DNK102" s="528" t="s">
        <v>213</v>
      </c>
      <c r="DNL102" s="529" t="str">
        <f>VLOOKUP(DNK102,[14]AssetDetails_UEM!$A$3:$AH$1849,6,FALSE)</f>
        <v>Electrosurgical Units, Monopolar/Bipolar</v>
      </c>
      <c r="DNM102" s="528" t="s">
        <v>213</v>
      </c>
      <c r="DNN102" s="529" t="str">
        <f>VLOOKUP(DNM102,[14]AssetDetails_UEM!$A$3:$AH$1849,6,FALSE)</f>
        <v>Electrosurgical Units, Monopolar/Bipolar</v>
      </c>
      <c r="DNO102" s="528" t="s">
        <v>213</v>
      </c>
      <c r="DNP102" s="529" t="str">
        <f>VLOOKUP(DNO102,[14]AssetDetails_UEM!$A$3:$AH$1849,6,FALSE)</f>
        <v>Electrosurgical Units, Monopolar/Bipolar</v>
      </c>
      <c r="DNQ102" s="528" t="s">
        <v>213</v>
      </c>
      <c r="DNR102" s="529" t="str">
        <f>VLOOKUP(DNQ102,[14]AssetDetails_UEM!$A$3:$AH$1849,6,FALSE)</f>
        <v>Electrosurgical Units, Monopolar/Bipolar</v>
      </c>
      <c r="DNS102" s="528" t="s">
        <v>213</v>
      </c>
      <c r="DNT102" s="529" t="str">
        <f>VLOOKUP(DNS102,[14]AssetDetails_UEM!$A$3:$AH$1849,6,FALSE)</f>
        <v>Electrosurgical Units, Monopolar/Bipolar</v>
      </c>
      <c r="DNU102" s="528" t="s">
        <v>213</v>
      </c>
      <c r="DNV102" s="529" t="str">
        <f>VLOOKUP(DNU102,[14]AssetDetails_UEM!$A$3:$AH$1849,6,FALSE)</f>
        <v>Electrosurgical Units, Monopolar/Bipolar</v>
      </c>
      <c r="DNW102" s="528" t="s">
        <v>213</v>
      </c>
      <c r="DNX102" s="529" t="str">
        <f>VLOOKUP(DNW102,[14]AssetDetails_UEM!$A$3:$AH$1849,6,FALSE)</f>
        <v>Electrosurgical Units, Monopolar/Bipolar</v>
      </c>
      <c r="DNY102" s="528" t="s">
        <v>213</v>
      </c>
      <c r="DNZ102" s="529" t="str">
        <f>VLOOKUP(DNY102,[14]AssetDetails_UEM!$A$3:$AH$1849,6,FALSE)</f>
        <v>Electrosurgical Units, Monopolar/Bipolar</v>
      </c>
      <c r="DOA102" s="528" t="s">
        <v>213</v>
      </c>
      <c r="DOB102" s="529" t="str">
        <f>VLOOKUP(DOA102,[14]AssetDetails_UEM!$A$3:$AH$1849,6,FALSE)</f>
        <v>Electrosurgical Units, Monopolar/Bipolar</v>
      </c>
      <c r="DOC102" s="528" t="s">
        <v>213</v>
      </c>
      <c r="DOD102" s="529" t="str">
        <f>VLOOKUP(DOC102,[14]AssetDetails_UEM!$A$3:$AH$1849,6,FALSE)</f>
        <v>Electrosurgical Units, Monopolar/Bipolar</v>
      </c>
      <c r="DOE102" s="528" t="s">
        <v>213</v>
      </c>
      <c r="DOF102" s="529" t="str">
        <f>VLOOKUP(DOE102,[14]AssetDetails_UEM!$A$3:$AH$1849,6,FALSE)</f>
        <v>Electrosurgical Units, Monopolar/Bipolar</v>
      </c>
      <c r="DOG102" s="528" t="s">
        <v>213</v>
      </c>
      <c r="DOH102" s="529" t="str">
        <f>VLOOKUP(DOG102,[14]AssetDetails_UEM!$A$3:$AH$1849,6,FALSE)</f>
        <v>Electrosurgical Units, Monopolar/Bipolar</v>
      </c>
      <c r="DOI102" s="528" t="s">
        <v>213</v>
      </c>
      <c r="DOJ102" s="529" t="str">
        <f>VLOOKUP(DOI102,[14]AssetDetails_UEM!$A$3:$AH$1849,6,FALSE)</f>
        <v>Electrosurgical Units, Monopolar/Bipolar</v>
      </c>
      <c r="DOK102" s="528" t="s">
        <v>213</v>
      </c>
      <c r="DOL102" s="529" t="str">
        <f>VLOOKUP(DOK102,[14]AssetDetails_UEM!$A$3:$AH$1849,6,FALSE)</f>
        <v>Electrosurgical Units, Monopolar/Bipolar</v>
      </c>
      <c r="DOM102" s="528" t="s">
        <v>213</v>
      </c>
      <c r="DON102" s="529" t="str">
        <f>VLOOKUP(DOM102,[14]AssetDetails_UEM!$A$3:$AH$1849,6,FALSE)</f>
        <v>Electrosurgical Units, Monopolar/Bipolar</v>
      </c>
      <c r="DOO102" s="528" t="s">
        <v>213</v>
      </c>
      <c r="DOP102" s="529" t="str">
        <f>VLOOKUP(DOO102,[14]AssetDetails_UEM!$A$3:$AH$1849,6,FALSE)</f>
        <v>Electrosurgical Units, Monopolar/Bipolar</v>
      </c>
      <c r="DOQ102" s="528" t="s">
        <v>213</v>
      </c>
      <c r="DOR102" s="529" t="str">
        <f>VLOOKUP(DOQ102,[14]AssetDetails_UEM!$A$3:$AH$1849,6,FALSE)</f>
        <v>Electrosurgical Units, Monopolar/Bipolar</v>
      </c>
      <c r="DOS102" s="528" t="s">
        <v>213</v>
      </c>
      <c r="DOT102" s="529" t="str">
        <f>VLOOKUP(DOS102,[14]AssetDetails_UEM!$A$3:$AH$1849,6,FALSE)</f>
        <v>Electrosurgical Units, Monopolar/Bipolar</v>
      </c>
      <c r="DOU102" s="528" t="s">
        <v>213</v>
      </c>
      <c r="DOV102" s="529" t="str">
        <f>VLOOKUP(DOU102,[14]AssetDetails_UEM!$A$3:$AH$1849,6,FALSE)</f>
        <v>Electrosurgical Units, Monopolar/Bipolar</v>
      </c>
      <c r="DOW102" s="528" t="s">
        <v>213</v>
      </c>
      <c r="DOX102" s="529" t="str">
        <f>VLOOKUP(DOW102,[14]AssetDetails_UEM!$A$3:$AH$1849,6,FALSE)</f>
        <v>Electrosurgical Units, Monopolar/Bipolar</v>
      </c>
      <c r="DOY102" s="528" t="s">
        <v>213</v>
      </c>
      <c r="DOZ102" s="529" t="str">
        <f>VLOOKUP(DOY102,[14]AssetDetails_UEM!$A$3:$AH$1849,6,FALSE)</f>
        <v>Electrosurgical Units, Monopolar/Bipolar</v>
      </c>
      <c r="DPA102" s="528" t="s">
        <v>213</v>
      </c>
      <c r="DPB102" s="529" t="str">
        <f>VLOOKUP(DPA102,[14]AssetDetails_UEM!$A$3:$AH$1849,6,FALSE)</f>
        <v>Electrosurgical Units, Monopolar/Bipolar</v>
      </c>
      <c r="DPC102" s="528" t="s">
        <v>213</v>
      </c>
      <c r="DPD102" s="529" t="str">
        <f>VLOOKUP(DPC102,[14]AssetDetails_UEM!$A$3:$AH$1849,6,FALSE)</f>
        <v>Electrosurgical Units, Monopolar/Bipolar</v>
      </c>
      <c r="DPE102" s="528" t="s">
        <v>213</v>
      </c>
      <c r="DPF102" s="529" t="str">
        <f>VLOOKUP(DPE102,[14]AssetDetails_UEM!$A$3:$AH$1849,6,FALSE)</f>
        <v>Electrosurgical Units, Monopolar/Bipolar</v>
      </c>
      <c r="DPG102" s="528" t="s">
        <v>213</v>
      </c>
      <c r="DPH102" s="529" t="str">
        <f>VLOOKUP(DPG102,[14]AssetDetails_UEM!$A$3:$AH$1849,6,FALSE)</f>
        <v>Electrosurgical Units, Monopolar/Bipolar</v>
      </c>
      <c r="DPI102" s="528" t="s">
        <v>213</v>
      </c>
      <c r="DPJ102" s="529" t="str">
        <f>VLOOKUP(DPI102,[14]AssetDetails_UEM!$A$3:$AH$1849,6,FALSE)</f>
        <v>Electrosurgical Units, Monopolar/Bipolar</v>
      </c>
      <c r="DPK102" s="528" t="s">
        <v>213</v>
      </c>
      <c r="DPL102" s="529" t="str">
        <f>VLOOKUP(DPK102,[14]AssetDetails_UEM!$A$3:$AH$1849,6,FALSE)</f>
        <v>Electrosurgical Units, Monopolar/Bipolar</v>
      </c>
      <c r="DPM102" s="528" t="s">
        <v>213</v>
      </c>
      <c r="DPN102" s="529" t="str">
        <f>VLOOKUP(DPM102,[14]AssetDetails_UEM!$A$3:$AH$1849,6,FALSE)</f>
        <v>Electrosurgical Units, Monopolar/Bipolar</v>
      </c>
      <c r="DPO102" s="528" t="s">
        <v>213</v>
      </c>
      <c r="DPP102" s="529" t="str">
        <f>VLOOKUP(DPO102,[14]AssetDetails_UEM!$A$3:$AH$1849,6,FALSE)</f>
        <v>Electrosurgical Units, Monopolar/Bipolar</v>
      </c>
      <c r="DPQ102" s="528" t="s">
        <v>213</v>
      </c>
      <c r="DPR102" s="529" t="str">
        <f>VLOOKUP(DPQ102,[14]AssetDetails_UEM!$A$3:$AH$1849,6,FALSE)</f>
        <v>Electrosurgical Units, Monopolar/Bipolar</v>
      </c>
      <c r="DPS102" s="528" t="s">
        <v>213</v>
      </c>
      <c r="DPT102" s="529" t="str">
        <f>VLOOKUP(DPS102,[14]AssetDetails_UEM!$A$3:$AH$1849,6,FALSE)</f>
        <v>Electrosurgical Units, Monopolar/Bipolar</v>
      </c>
      <c r="DPU102" s="528" t="s">
        <v>213</v>
      </c>
      <c r="DPV102" s="529" t="str">
        <f>VLOOKUP(DPU102,[14]AssetDetails_UEM!$A$3:$AH$1849,6,FALSE)</f>
        <v>Electrosurgical Units, Monopolar/Bipolar</v>
      </c>
      <c r="DPW102" s="528" t="s">
        <v>213</v>
      </c>
      <c r="DPX102" s="529" t="str">
        <f>VLOOKUP(DPW102,[14]AssetDetails_UEM!$A$3:$AH$1849,6,FALSE)</f>
        <v>Electrosurgical Units, Monopolar/Bipolar</v>
      </c>
      <c r="DPY102" s="528" t="s">
        <v>213</v>
      </c>
      <c r="DPZ102" s="529" t="str">
        <f>VLOOKUP(DPY102,[14]AssetDetails_UEM!$A$3:$AH$1849,6,FALSE)</f>
        <v>Electrosurgical Units, Monopolar/Bipolar</v>
      </c>
      <c r="DQA102" s="528" t="s">
        <v>213</v>
      </c>
      <c r="DQB102" s="529" t="str">
        <f>VLOOKUP(DQA102,[14]AssetDetails_UEM!$A$3:$AH$1849,6,FALSE)</f>
        <v>Electrosurgical Units, Monopolar/Bipolar</v>
      </c>
      <c r="DQC102" s="528" t="s">
        <v>213</v>
      </c>
      <c r="DQD102" s="529" t="str">
        <f>VLOOKUP(DQC102,[14]AssetDetails_UEM!$A$3:$AH$1849,6,FALSE)</f>
        <v>Electrosurgical Units, Monopolar/Bipolar</v>
      </c>
      <c r="DQE102" s="528" t="s">
        <v>213</v>
      </c>
      <c r="DQF102" s="529" t="str">
        <f>VLOOKUP(DQE102,[14]AssetDetails_UEM!$A$3:$AH$1849,6,FALSE)</f>
        <v>Electrosurgical Units, Monopolar/Bipolar</v>
      </c>
      <c r="DQG102" s="528" t="s">
        <v>213</v>
      </c>
      <c r="DQH102" s="529" t="str">
        <f>VLOOKUP(DQG102,[14]AssetDetails_UEM!$A$3:$AH$1849,6,FALSE)</f>
        <v>Electrosurgical Units, Monopolar/Bipolar</v>
      </c>
      <c r="DQI102" s="528" t="s">
        <v>213</v>
      </c>
      <c r="DQJ102" s="529" t="str">
        <f>VLOOKUP(DQI102,[14]AssetDetails_UEM!$A$3:$AH$1849,6,FALSE)</f>
        <v>Electrosurgical Units, Monopolar/Bipolar</v>
      </c>
      <c r="DQK102" s="528" t="s">
        <v>213</v>
      </c>
      <c r="DQL102" s="529" t="str">
        <f>VLOOKUP(DQK102,[14]AssetDetails_UEM!$A$3:$AH$1849,6,FALSE)</f>
        <v>Electrosurgical Units, Monopolar/Bipolar</v>
      </c>
      <c r="DQM102" s="528" t="s">
        <v>213</v>
      </c>
      <c r="DQN102" s="529" t="str">
        <f>VLOOKUP(DQM102,[14]AssetDetails_UEM!$A$3:$AH$1849,6,FALSE)</f>
        <v>Electrosurgical Units, Monopolar/Bipolar</v>
      </c>
      <c r="DQO102" s="528" t="s">
        <v>213</v>
      </c>
      <c r="DQP102" s="529" t="str">
        <f>VLOOKUP(DQO102,[14]AssetDetails_UEM!$A$3:$AH$1849,6,FALSE)</f>
        <v>Electrosurgical Units, Monopolar/Bipolar</v>
      </c>
      <c r="DQQ102" s="528" t="s">
        <v>213</v>
      </c>
      <c r="DQR102" s="529" t="str">
        <f>VLOOKUP(DQQ102,[14]AssetDetails_UEM!$A$3:$AH$1849,6,FALSE)</f>
        <v>Electrosurgical Units, Monopolar/Bipolar</v>
      </c>
      <c r="DQS102" s="528" t="s">
        <v>213</v>
      </c>
      <c r="DQT102" s="529" t="str">
        <f>VLOOKUP(DQS102,[14]AssetDetails_UEM!$A$3:$AH$1849,6,FALSE)</f>
        <v>Electrosurgical Units, Monopolar/Bipolar</v>
      </c>
      <c r="DQU102" s="528" t="s">
        <v>213</v>
      </c>
      <c r="DQV102" s="529" t="str">
        <f>VLOOKUP(DQU102,[14]AssetDetails_UEM!$A$3:$AH$1849,6,FALSE)</f>
        <v>Electrosurgical Units, Monopolar/Bipolar</v>
      </c>
      <c r="DQW102" s="528" t="s">
        <v>213</v>
      </c>
      <c r="DQX102" s="529" t="str">
        <f>VLOOKUP(DQW102,[14]AssetDetails_UEM!$A$3:$AH$1849,6,FALSE)</f>
        <v>Electrosurgical Units, Monopolar/Bipolar</v>
      </c>
      <c r="DQY102" s="528" t="s">
        <v>213</v>
      </c>
      <c r="DQZ102" s="529" t="str">
        <f>VLOOKUP(DQY102,[14]AssetDetails_UEM!$A$3:$AH$1849,6,FALSE)</f>
        <v>Electrosurgical Units, Monopolar/Bipolar</v>
      </c>
      <c r="DRA102" s="528" t="s">
        <v>213</v>
      </c>
      <c r="DRB102" s="529" t="str">
        <f>VLOOKUP(DRA102,[14]AssetDetails_UEM!$A$3:$AH$1849,6,FALSE)</f>
        <v>Electrosurgical Units, Monopolar/Bipolar</v>
      </c>
      <c r="DRC102" s="528" t="s">
        <v>213</v>
      </c>
      <c r="DRD102" s="529" t="str">
        <f>VLOOKUP(DRC102,[14]AssetDetails_UEM!$A$3:$AH$1849,6,FALSE)</f>
        <v>Electrosurgical Units, Monopolar/Bipolar</v>
      </c>
      <c r="DRE102" s="528" t="s">
        <v>213</v>
      </c>
      <c r="DRF102" s="529" t="str">
        <f>VLOOKUP(DRE102,[14]AssetDetails_UEM!$A$3:$AH$1849,6,FALSE)</f>
        <v>Electrosurgical Units, Monopolar/Bipolar</v>
      </c>
      <c r="DRG102" s="528" t="s">
        <v>213</v>
      </c>
      <c r="DRH102" s="529" t="str">
        <f>VLOOKUP(DRG102,[14]AssetDetails_UEM!$A$3:$AH$1849,6,FALSE)</f>
        <v>Electrosurgical Units, Monopolar/Bipolar</v>
      </c>
      <c r="DRI102" s="528" t="s">
        <v>213</v>
      </c>
      <c r="DRJ102" s="529" t="str">
        <f>VLOOKUP(DRI102,[14]AssetDetails_UEM!$A$3:$AH$1849,6,FALSE)</f>
        <v>Electrosurgical Units, Monopolar/Bipolar</v>
      </c>
      <c r="DRK102" s="528" t="s">
        <v>213</v>
      </c>
      <c r="DRL102" s="529" t="str">
        <f>VLOOKUP(DRK102,[14]AssetDetails_UEM!$A$3:$AH$1849,6,FALSE)</f>
        <v>Electrosurgical Units, Monopolar/Bipolar</v>
      </c>
      <c r="DRM102" s="528" t="s">
        <v>213</v>
      </c>
      <c r="DRN102" s="529" t="str">
        <f>VLOOKUP(DRM102,[14]AssetDetails_UEM!$A$3:$AH$1849,6,FALSE)</f>
        <v>Electrosurgical Units, Monopolar/Bipolar</v>
      </c>
      <c r="DRO102" s="528" t="s">
        <v>213</v>
      </c>
      <c r="DRP102" s="529" t="str">
        <f>VLOOKUP(DRO102,[14]AssetDetails_UEM!$A$3:$AH$1849,6,FALSE)</f>
        <v>Electrosurgical Units, Monopolar/Bipolar</v>
      </c>
      <c r="DRQ102" s="528" t="s">
        <v>213</v>
      </c>
      <c r="DRR102" s="529" t="str">
        <f>VLOOKUP(DRQ102,[14]AssetDetails_UEM!$A$3:$AH$1849,6,FALSE)</f>
        <v>Electrosurgical Units, Monopolar/Bipolar</v>
      </c>
      <c r="DRS102" s="528" t="s">
        <v>213</v>
      </c>
      <c r="DRT102" s="529" t="str">
        <f>VLOOKUP(DRS102,[14]AssetDetails_UEM!$A$3:$AH$1849,6,FALSE)</f>
        <v>Electrosurgical Units, Monopolar/Bipolar</v>
      </c>
      <c r="DRU102" s="528" t="s">
        <v>213</v>
      </c>
      <c r="DRV102" s="529" t="str">
        <f>VLOOKUP(DRU102,[14]AssetDetails_UEM!$A$3:$AH$1849,6,FALSE)</f>
        <v>Electrosurgical Units, Monopolar/Bipolar</v>
      </c>
      <c r="DRW102" s="528" t="s">
        <v>213</v>
      </c>
      <c r="DRX102" s="529" t="str">
        <f>VLOOKUP(DRW102,[14]AssetDetails_UEM!$A$3:$AH$1849,6,FALSE)</f>
        <v>Electrosurgical Units, Monopolar/Bipolar</v>
      </c>
      <c r="DRY102" s="528" t="s">
        <v>213</v>
      </c>
      <c r="DRZ102" s="529" t="str">
        <f>VLOOKUP(DRY102,[14]AssetDetails_UEM!$A$3:$AH$1849,6,FALSE)</f>
        <v>Electrosurgical Units, Monopolar/Bipolar</v>
      </c>
      <c r="DSA102" s="528" t="s">
        <v>213</v>
      </c>
      <c r="DSB102" s="529" t="str">
        <f>VLOOKUP(DSA102,[14]AssetDetails_UEM!$A$3:$AH$1849,6,FALSE)</f>
        <v>Electrosurgical Units, Monopolar/Bipolar</v>
      </c>
      <c r="DSC102" s="528" t="s">
        <v>213</v>
      </c>
      <c r="DSD102" s="529" t="str">
        <f>VLOOKUP(DSC102,[14]AssetDetails_UEM!$A$3:$AH$1849,6,FALSE)</f>
        <v>Electrosurgical Units, Monopolar/Bipolar</v>
      </c>
      <c r="DSE102" s="528" t="s">
        <v>213</v>
      </c>
      <c r="DSF102" s="529" t="str">
        <f>VLOOKUP(DSE102,[14]AssetDetails_UEM!$A$3:$AH$1849,6,FALSE)</f>
        <v>Electrosurgical Units, Monopolar/Bipolar</v>
      </c>
      <c r="DSG102" s="528" t="s">
        <v>213</v>
      </c>
      <c r="DSH102" s="529" t="str">
        <f>VLOOKUP(DSG102,[14]AssetDetails_UEM!$A$3:$AH$1849,6,FALSE)</f>
        <v>Electrosurgical Units, Monopolar/Bipolar</v>
      </c>
      <c r="DSI102" s="528" t="s">
        <v>213</v>
      </c>
      <c r="DSJ102" s="529" t="str">
        <f>VLOOKUP(DSI102,[14]AssetDetails_UEM!$A$3:$AH$1849,6,FALSE)</f>
        <v>Electrosurgical Units, Monopolar/Bipolar</v>
      </c>
      <c r="DSK102" s="528" t="s">
        <v>213</v>
      </c>
      <c r="DSL102" s="529" t="str">
        <f>VLOOKUP(DSK102,[14]AssetDetails_UEM!$A$3:$AH$1849,6,FALSE)</f>
        <v>Electrosurgical Units, Monopolar/Bipolar</v>
      </c>
      <c r="DSM102" s="528" t="s">
        <v>213</v>
      </c>
      <c r="DSN102" s="529" t="str">
        <f>VLOOKUP(DSM102,[14]AssetDetails_UEM!$A$3:$AH$1849,6,FALSE)</f>
        <v>Electrosurgical Units, Monopolar/Bipolar</v>
      </c>
      <c r="DSO102" s="528" t="s">
        <v>213</v>
      </c>
      <c r="DSP102" s="529" t="str">
        <f>VLOOKUP(DSO102,[14]AssetDetails_UEM!$A$3:$AH$1849,6,FALSE)</f>
        <v>Electrosurgical Units, Monopolar/Bipolar</v>
      </c>
      <c r="DSQ102" s="528" t="s">
        <v>213</v>
      </c>
      <c r="DSR102" s="529" t="str">
        <f>VLOOKUP(DSQ102,[14]AssetDetails_UEM!$A$3:$AH$1849,6,FALSE)</f>
        <v>Electrosurgical Units, Monopolar/Bipolar</v>
      </c>
      <c r="DSS102" s="528" t="s">
        <v>213</v>
      </c>
      <c r="DST102" s="529" t="str">
        <f>VLOOKUP(DSS102,[14]AssetDetails_UEM!$A$3:$AH$1849,6,FALSE)</f>
        <v>Electrosurgical Units, Monopolar/Bipolar</v>
      </c>
      <c r="DSU102" s="528" t="s">
        <v>213</v>
      </c>
      <c r="DSV102" s="529" t="str">
        <f>VLOOKUP(DSU102,[14]AssetDetails_UEM!$A$3:$AH$1849,6,FALSE)</f>
        <v>Electrosurgical Units, Monopolar/Bipolar</v>
      </c>
      <c r="DSW102" s="528" t="s">
        <v>213</v>
      </c>
      <c r="DSX102" s="529" t="str">
        <f>VLOOKUP(DSW102,[14]AssetDetails_UEM!$A$3:$AH$1849,6,FALSE)</f>
        <v>Electrosurgical Units, Monopolar/Bipolar</v>
      </c>
      <c r="DSY102" s="528" t="s">
        <v>213</v>
      </c>
      <c r="DSZ102" s="529" t="str">
        <f>VLOOKUP(DSY102,[14]AssetDetails_UEM!$A$3:$AH$1849,6,FALSE)</f>
        <v>Electrosurgical Units, Monopolar/Bipolar</v>
      </c>
      <c r="DTA102" s="528" t="s">
        <v>213</v>
      </c>
      <c r="DTB102" s="529" t="str">
        <f>VLOOKUP(DTA102,[14]AssetDetails_UEM!$A$3:$AH$1849,6,FALSE)</f>
        <v>Electrosurgical Units, Monopolar/Bipolar</v>
      </c>
      <c r="DTC102" s="528" t="s">
        <v>213</v>
      </c>
      <c r="DTD102" s="529" t="str">
        <f>VLOOKUP(DTC102,[14]AssetDetails_UEM!$A$3:$AH$1849,6,FALSE)</f>
        <v>Electrosurgical Units, Monopolar/Bipolar</v>
      </c>
      <c r="DTE102" s="528" t="s">
        <v>213</v>
      </c>
      <c r="DTF102" s="529" t="str">
        <f>VLOOKUP(DTE102,[14]AssetDetails_UEM!$A$3:$AH$1849,6,FALSE)</f>
        <v>Electrosurgical Units, Monopolar/Bipolar</v>
      </c>
      <c r="DTG102" s="528" t="s">
        <v>213</v>
      </c>
      <c r="DTH102" s="529" t="str">
        <f>VLOOKUP(DTG102,[14]AssetDetails_UEM!$A$3:$AH$1849,6,FALSE)</f>
        <v>Electrosurgical Units, Monopolar/Bipolar</v>
      </c>
      <c r="DTI102" s="528" t="s">
        <v>213</v>
      </c>
      <c r="DTJ102" s="529" t="str">
        <f>VLOOKUP(DTI102,[14]AssetDetails_UEM!$A$3:$AH$1849,6,FALSE)</f>
        <v>Electrosurgical Units, Monopolar/Bipolar</v>
      </c>
      <c r="DTK102" s="528" t="s">
        <v>213</v>
      </c>
      <c r="DTL102" s="529" t="str">
        <f>VLOOKUP(DTK102,[14]AssetDetails_UEM!$A$3:$AH$1849,6,FALSE)</f>
        <v>Electrosurgical Units, Monopolar/Bipolar</v>
      </c>
      <c r="DTM102" s="528" t="s">
        <v>213</v>
      </c>
      <c r="DTN102" s="529" t="str">
        <f>VLOOKUP(DTM102,[14]AssetDetails_UEM!$A$3:$AH$1849,6,FALSE)</f>
        <v>Electrosurgical Units, Monopolar/Bipolar</v>
      </c>
      <c r="DTO102" s="528" t="s">
        <v>213</v>
      </c>
      <c r="DTP102" s="529" t="str">
        <f>VLOOKUP(DTO102,[14]AssetDetails_UEM!$A$3:$AH$1849,6,FALSE)</f>
        <v>Electrosurgical Units, Monopolar/Bipolar</v>
      </c>
      <c r="DTQ102" s="528" t="s">
        <v>213</v>
      </c>
      <c r="DTR102" s="529" t="str">
        <f>VLOOKUP(DTQ102,[14]AssetDetails_UEM!$A$3:$AH$1849,6,FALSE)</f>
        <v>Electrosurgical Units, Monopolar/Bipolar</v>
      </c>
      <c r="DTS102" s="528" t="s">
        <v>213</v>
      </c>
      <c r="DTT102" s="529" t="str">
        <f>VLOOKUP(DTS102,[14]AssetDetails_UEM!$A$3:$AH$1849,6,FALSE)</f>
        <v>Electrosurgical Units, Monopolar/Bipolar</v>
      </c>
      <c r="DTU102" s="528" t="s">
        <v>213</v>
      </c>
      <c r="DTV102" s="529" t="str">
        <f>VLOOKUP(DTU102,[14]AssetDetails_UEM!$A$3:$AH$1849,6,FALSE)</f>
        <v>Electrosurgical Units, Monopolar/Bipolar</v>
      </c>
      <c r="DTW102" s="528" t="s">
        <v>213</v>
      </c>
      <c r="DTX102" s="529" t="str">
        <f>VLOOKUP(DTW102,[14]AssetDetails_UEM!$A$3:$AH$1849,6,FALSE)</f>
        <v>Electrosurgical Units, Monopolar/Bipolar</v>
      </c>
      <c r="DTY102" s="528" t="s">
        <v>213</v>
      </c>
      <c r="DTZ102" s="529" t="str">
        <f>VLOOKUP(DTY102,[14]AssetDetails_UEM!$A$3:$AH$1849,6,FALSE)</f>
        <v>Electrosurgical Units, Monopolar/Bipolar</v>
      </c>
      <c r="DUA102" s="528" t="s">
        <v>213</v>
      </c>
      <c r="DUB102" s="529" t="str">
        <f>VLOOKUP(DUA102,[14]AssetDetails_UEM!$A$3:$AH$1849,6,FALSE)</f>
        <v>Electrosurgical Units, Monopolar/Bipolar</v>
      </c>
      <c r="DUC102" s="528" t="s">
        <v>213</v>
      </c>
      <c r="DUD102" s="529" t="str">
        <f>VLOOKUP(DUC102,[14]AssetDetails_UEM!$A$3:$AH$1849,6,FALSE)</f>
        <v>Electrosurgical Units, Monopolar/Bipolar</v>
      </c>
      <c r="DUE102" s="528" t="s">
        <v>213</v>
      </c>
      <c r="DUF102" s="529" t="str">
        <f>VLOOKUP(DUE102,[14]AssetDetails_UEM!$A$3:$AH$1849,6,FALSE)</f>
        <v>Electrosurgical Units, Monopolar/Bipolar</v>
      </c>
      <c r="DUG102" s="528" t="s">
        <v>213</v>
      </c>
      <c r="DUH102" s="529" t="str">
        <f>VLOOKUP(DUG102,[14]AssetDetails_UEM!$A$3:$AH$1849,6,FALSE)</f>
        <v>Electrosurgical Units, Monopolar/Bipolar</v>
      </c>
      <c r="DUI102" s="528" t="s">
        <v>213</v>
      </c>
      <c r="DUJ102" s="529" t="str">
        <f>VLOOKUP(DUI102,[14]AssetDetails_UEM!$A$3:$AH$1849,6,FALSE)</f>
        <v>Electrosurgical Units, Monopolar/Bipolar</v>
      </c>
      <c r="DUK102" s="528" t="s">
        <v>213</v>
      </c>
      <c r="DUL102" s="529" t="str">
        <f>VLOOKUP(DUK102,[14]AssetDetails_UEM!$A$3:$AH$1849,6,FALSE)</f>
        <v>Electrosurgical Units, Monopolar/Bipolar</v>
      </c>
      <c r="DUM102" s="528" t="s">
        <v>213</v>
      </c>
      <c r="DUN102" s="529" t="str">
        <f>VLOOKUP(DUM102,[14]AssetDetails_UEM!$A$3:$AH$1849,6,FALSE)</f>
        <v>Electrosurgical Units, Monopolar/Bipolar</v>
      </c>
      <c r="DUO102" s="528" t="s">
        <v>213</v>
      </c>
      <c r="DUP102" s="529" t="str">
        <f>VLOOKUP(DUO102,[14]AssetDetails_UEM!$A$3:$AH$1849,6,FALSE)</f>
        <v>Electrosurgical Units, Monopolar/Bipolar</v>
      </c>
      <c r="DUQ102" s="528" t="s">
        <v>213</v>
      </c>
      <c r="DUR102" s="529" t="str">
        <f>VLOOKUP(DUQ102,[14]AssetDetails_UEM!$A$3:$AH$1849,6,FALSE)</f>
        <v>Electrosurgical Units, Monopolar/Bipolar</v>
      </c>
      <c r="DUS102" s="528" t="s">
        <v>213</v>
      </c>
      <c r="DUT102" s="529" t="str">
        <f>VLOOKUP(DUS102,[14]AssetDetails_UEM!$A$3:$AH$1849,6,FALSE)</f>
        <v>Electrosurgical Units, Monopolar/Bipolar</v>
      </c>
      <c r="DUU102" s="528" t="s">
        <v>213</v>
      </c>
      <c r="DUV102" s="529" t="str">
        <f>VLOOKUP(DUU102,[14]AssetDetails_UEM!$A$3:$AH$1849,6,FALSE)</f>
        <v>Electrosurgical Units, Monopolar/Bipolar</v>
      </c>
      <c r="DUW102" s="528" t="s">
        <v>213</v>
      </c>
      <c r="DUX102" s="529" t="str">
        <f>VLOOKUP(DUW102,[14]AssetDetails_UEM!$A$3:$AH$1849,6,FALSE)</f>
        <v>Electrosurgical Units, Monopolar/Bipolar</v>
      </c>
      <c r="DUY102" s="528" t="s">
        <v>213</v>
      </c>
      <c r="DUZ102" s="529" t="str">
        <f>VLOOKUP(DUY102,[14]AssetDetails_UEM!$A$3:$AH$1849,6,FALSE)</f>
        <v>Electrosurgical Units, Monopolar/Bipolar</v>
      </c>
      <c r="DVA102" s="528" t="s">
        <v>213</v>
      </c>
      <c r="DVB102" s="529" t="str">
        <f>VLOOKUP(DVA102,[14]AssetDetails_UEM!$A$3:$AH$1849,6,FALSE)</f>
        <v>Electrosurgical Units, Monopolar/Bipolar</v>
      </c>
      <c r="DVC102" s="528" t="s">
        <v>213</v>
      </c>
      <c r="DVD102" s="529" t="str">
        <f>VLOOKUP(DVC102,[14]AssetDetails_UEM!$A$3:$AH$1849,6,FALSE)</f>
        <v>Electrosurgical Units, Monopolar/Bipolar</v>
      </c>
      <c r="DVE102" s="528" t="s">
        <v>213</v>
      </c>
      <c r="DVF102" s="529" t="str">
        <f>VLOOKUP(DVE102,[14]AssetDetails_UEM!$A$3:$AH$1849,6,FALSE)</f>
        <v>Electrosurgical Units, Monopolar/Bipolar</v>
      </c>
      <c r="DVG102" s="528" t="s">
        <v>213</v>
      </c>
      <c r="DVH102" s="529" t="str">
        <f>VLOOKUP(DVG102,[14]AssetDetails_UEM!$A$3:$AH$1849,6,FALSE)</f>
        <v>Electrosurgical Units, Monopolar/Bipolar</v>
      </c>
      <c r="DVI102" s="528" t="s">
        <v>213</v>
      </c>
      <c r="DVJ102" s="529" t="str">
        <f>VLOOKUP(DVI102,[14]AssetDetails_UEM!$A$3:$AH$1849,6,FALSE)</f>
        <v>Electrosurgical Units, Monopolar/Bipolar</v>
      </c>
      <c r="DVK102" s="528" t="s">
        <v>213</v>
      </c>
      <c r="DVL102" s="529" t="str">
        <f>VLOOKUP(DVK102,[14]AssetDetails_UEM!$A$3:$AH$1849,6,FALSE)</f>
        <v>Electrosurgical Units, Monopolar/Bipolar</v>
      </c>
      <c r="DVM102" s="528" t="s">
        <v>213</v>
      </c>
      <c r="DVN102" s="529" t="str">
        <f>VLOOKUP(DVM102,[14]AssetDetails_UEM!$A$3:$AH$1849,6,FALSE)</f>
        <v>Electrosurgical Units, Monopolar/Bipolar</v>
      </c>
      <c r="DVO102" s="528" t="s">
        <v>213</v>
      </c>
      <c r="DVP102" s="529" t="str">
        <f>VLOOKUP(DVO102,[14]AssetDetails_UEM!$A$3:$AH$1849,6,FALSE)</f>
        <v>Electrosurgical Units, Monopolar/Bipolar</v>
      </c>
      <c r="DVQ102" s="528" t="s">
        <v>213</v>
      </c>
      <c r="DVR102" s="529" t="str">
        <f>VLOOKUP(DVQ102,[14]AssetDetails_UEM!$A$3:$AH$1849,6,FALSE)</f>
        <v>Electrosurgical Units, Monopolar/Bipolar</v>
      </c>
      <c r="DVS102" s="528" t="s">
        <v>213</v>
      </c>
      <c r="DVT102" s="529" t="str">
        <f>VLOOKUP(DVS102,[14]AssetDetails_UEM!$A$3:$AH$1849,6,FALSE)</f>
        <v>Electrosurgical Units, Monopolar/Bipolar</v>
      </c>
      <c r="DVU102" s="528" t="s">
        <v>213</v>
      </c>
      <c r="DVV102" s="529" t="str">
        <f>VLOOKUP(DVU102,[14]AssetDetails_UEM!$A$3:$AH$1849,6,FALSE)</f>
        <v>Electrosurgical Units, Monopolar/Bipolar</v>
      </c>
      <c r="DVW102" s="528" t="s">
        <v>213</v>
      </c>
      <c r="DVX102" s="529" t="str">
        <f>VLOOKUP(DVW102,[14]AssetDetails_UEM!$A$3:$AH$1849,6,FALSE)</f>
        <v>Electrosurgical Units, Monopolar/Bipolar</v>
      </c>
      <c r="DVY102" s="528" t="s">
        <v>213</v>
      </c>
      <c r="DVZ102" s="529" t="str">
        <f>VLOOKUP(DVY102,[14]AssetDetails_UEM!$A$3:$AH$1849,6,FALSE)</f>
        <v>Electrosurgical Units, Monopolar/Bipolar</v>
      </c>
      <c r="DWA102" s="528" t="s">
        <v>213</v>
      </c>
      <c r="DWB102" s="529" t="str">
        <f>VLOOKUP(DWA102,[14]AssetDetails_UEM!$A$3:$AH$1849,6,FALSE)</f>
        <v>Electrosurgical Units, Monopolar/Bipolar</v>
      </c>
      <c r="DWC102" s="528" t="s">
        <v>213</v>
      </c>
      <c r="DWD102" s="529" t="str">
        <f>VLOOKUP(DWC102,[14]AssetDetails_UEM!$A$3:$AH$1849,6,FALSE)</f>
        <v>Electrosurgical Units, Monopolar/Bipolar</v>
      </c>
      <c r="DWE102" s="528" t="s">
        <v>213</v>
      </c>
      <c r="DWF102" s="529" t="str">
        <f>VLOOKUP(DWE102,[14]AssetDetails_UEM!$A$3:$AH$1849,6,FALSE)</f>
        <v>Electrosurgical Units, Monopolar/Bipolar</v>
      </c>
      <c r="DWG102" s="528" t="s">
        <v>213</v>
      </c>
      <c r="DWH102" s="529" t="str">
        <f>VLOOKUP(DWG102,[14]AssetDetails_UEM!$A$3:$AH$1849,6,FALSE)</f>
        <v>Electrosurgical Units, Monopolar/Bipolar</v>
      </c>
      <c r="DWI102" s="528" t="s">
        <v>213</v>
      </c>
      <c r="DWJ102" s="529" t="str">
        <f>VLOOKUP(DWI102,[14]AssetDetails_UEM!$A$3:$AH$1849,6,FALSE)</f>
        <v>Electrosurgical Units, Monopolar/Bipolar</v>
      </c>
      <c r="DWK102" s="528" t="s">
        <v>213</v>
      </c>
      <c r="DWL102" s="529" t="str">
        <f>VLOOKUP(DWK102,[14]AssetDetails_UEM!$A$3:$AH$1849,6,FALSE)</f>
        <v>Electrosurgical Units, Monopolar/Bipolar</v>
      </c>
      <c r="DWM102" s="528" t="s">
        <v>213</v>
      </c>
      <c r="DWN102" s="529" t="str">
        <f>VLOOKUP(DWM102,[14]AssetDetails_UEM!$A$3:$AH$1849,6,FALSE)</f>
        <v>Electrosurgical Units, Monopolar/Bipolar</v>
      </c>
      <c r="DWO102" s="528" t="s">
        <v>213</v>
      </c>
      <c r="DWP102" s="529" t="str">
        <f>VLOOKUP(DWO102,[14]AssetDetails_UEM!$A$3:$AH$1849,6,FALSE)</f>
        <v>Electrosurgical Units, Monopolar/Bipolar</v>
      </c>
      <c r="DWQ102" s="528" t="s">
        <v>213</v>
      </c>
      <c r="DWR102" s="529" t="str">
        <f>VLOOKUP(DWQ102,[14]AssetDetails_UEM!$A$3:$AH$1849,6,FALSE)</f>
        <v>Electrosurgical Units, Monopolar/Bipolar</v>
      </c>
      <c r="DWS102" s="528" t="s">
        <v>213</v>
      </c>
      <c r="DWT102" s="529" t="str">
        <f>VLOOKUP(DWS102,[14]AssetDetails_UEM!$A$3:$AH$1849,6,FALSE)</f>
        <v>Electrosurgical Units, Monopolar/Bipolar</v>
      </c>
      <c r="DWU102" s="528" t="s">
        <v>213</v>
      </c>
      <c r="DWV102" s="529" t="str">
        <f>VLOOKUP(DWU102,[14]AssetDetails_UEM!$A$3:$AH$1849,6,FALSE)</f>
        <v>Electrosurgical Units, Monopolar/Bipolar</v>
      </c>
      <c r="DWW102" s="528" t="s">
        <v>213</v>
      </c>
      <c r="DWX102" s="529" t="str">
        <f>VLOOKUP(DWW102,[14]AssetDetails_UEM!$A$3:$AH$1849,6,FALSE)</f>
        <v>Electrosurgical Units, Monopolar/Bipolar</v>
      </c>
      <c r="DWY102" s="528" t="s">
        <v>213</v>
      </c>
      <c r="DWZ102" s="529" t="str">
        <f>VLOOKUP(DWY102,[14]AssetDetails_UEM!$A$3:$AH$1849,6,FALSE)</f>
        <v>Electrosurgical Units, Monopolar/Bipolar</v>
      </c>
      <c r="DXA102" s="528" t="s">
        <v>213</v>
      </c>
      <c r="DXB102" s="529" t="str">
        <f>VLOOKUP(DXA102,[14]AssetDetails_UEM!$A$3:$AH$1849,6,FALSE)</f>
        <v>Electrosurgical Units, Monopolar/Bipolar</v>
      </c>
      <c r="DXC102" s="528" t="s">
        <v>213</v>
      </c>
      <c r="DXD102" s="529" t="str">
        <f>VLOOKUP(DXC102,[14]AssetDetails_UEM!$A$3:$AH$1849,6,FALSE)</f>
        <v>Electrosurgical Units, Monopolar/Bipolar</v>
      </c>
      <c r="DXE102" s="528" t="s">
        <v>213</v>
      </c>
      <c r="DXF102" s="529" t="str">
        <f>VLOOKUP(DXE102,[14]AssetDetails_UEM!$A$3:$AH$1849,6,FALSE)</f>
        <v>Electrosurgical Units, Monopolar/Bipolar</v>
      </c>
      <c r="DXG102" s="528" t="s">
        <v>213</v>
      </c>
      <c r="DXH102" s="529" t="str">
        <f>VLOOKUP(DXG102,[14]AssetDetails_UEM!$A$3:$AH$1849,6,FALSE)</f>
        <v>Electrosurgical Units, Monopolar/Bipolar</v>
      </c>
      <c r="DXI102" s="528" t="s">
        <v>213</v>
      </c>
      <c r="DXJ102" s="529" t="str">
        <f>VLOOKUP(DXI102,[14]AssetDetails_UEM!$A$3:$AH$1849,6,FALSE)</f>
        <v>Electrosurgical Units, Monopolar/Bipolar</v>
      </c>
      <c r="DXK102" s="528" t="s">
        <v>213</v>
      </c>
      <c r="DXL102" s="529" t="str">
        <f>VLOOKUP(DXK102,[14]AssetDetails_UEM!$A$3:$AH$1849,6,FALSE)</f>
        <v>Electrosurgical Units, Monopolar/Bipolar</v>
      </c>
      <c r="DXM102" s="528" t="s">
        <v>213</v>
      </c>
      <c r="DXN102" s="529" t="str">
        <f>VLOOKUP(DXM102,[14]AssetDetails_UEM!$A$3:$AH$1849,6,FALSE)</f>
        <v>Electrosurgical Units, Monopolar/Bipolar</v>
      </c>
      <c r="DXO102" s="528" t="s">
        <v>213</v>
      </c>
      <c r="DXP102" s="529" t="str">
        <f>VLOOKUP(DXO102,[14]AssetDetails_UEM!$A$3:$AH$1849,6,FALSE)</f>
        <v>Electrosurgical Units, Monopolar/Bipolar</v>
      </c>
      <c r="DXQ102" s="528" t="s">
        <v>213</v>
      </c>
      <c r="DXR102" s="529" t="str">
        <f>VLOOKUP(DXQ102,[14]AssetDetails_UEM!$A$3:$AH$1849,6,FALSE)</f>
        <v>Electrosurgical Units, Monopolar/Bipolar</v>
      </c>
      <c r="DXS102" s="528" t="s">
        <v>213</v>
      </c>
      <c r="DXT102" s="529" t="str">
        <f>VLOOKUP(DXS102,[14]AssetDetails_UEM!$A$3:$AH$1849,6,FALSE)</f>
        <v>Electrosurgical Units, Monopolar/Bipolar</v>
      </c>
      <c r="DXU102" s="528" t="s">
        <v>213</v>
      </c>
      <c r="DXV102" s="529" t="str">
        <f>VLOOKUP(DXU102,[14]AssetDetails_UEM!$A$3:$AH$1849,6,FALSE)</f>
        <v>Electrosurgical Units, Monopolar/Bipolar</v>
      </c>
      <c r="DXW102" s="528" t="s">
        <v>213</v>
      </c>
      <c r="DXX102" s="529" t="str">
        <f>VLOOKUP(DXW102,[14]AssetDetails_UEM!$A$3:$AH$1849,6,FALSE)</f>
        <v>Electrosurgical Units, Monopolar/Bipolar</v>
      </c>
      <c r="DXY102" s="528" t="s">
        <v>213</v>
      </c>
      <c r="DXZ102" s="529" t="str">
        <f>VLOOKUP(DXY102,[14]AssetDetails_UEM!$A$3:$AH$1849,6,FALSE)</f>
        <v>Electrosurgical Units, Monopolar/Bipolar</v>
      </c>
      <c r="DYA102" s="528" t="s">
        <v>213</v>
      </c>
      <c r="DYB102" s="529" t="str">
        <f>VLOOKUP(DYA102,[14]AssetDetails_UEM!$A$3:$AH$1849,6,FALSE)</f>
        <v>Electrosurgical Units, Monopolar/Bipolar</v>
      </c>
      <c r="DYC102" s="528" t="s">
        <v>213</v>
      </c>
      <c r="DYD102" s="529" t="str">
        <f>VLOOKUP(DYC102,[14]AssetDetails_UEM!$A$3:$AH$1849,6,FALSE)</f>
        <v>Electrosurgical Units, Monopolar/Bipolar</v>
      </c>
      <c r="DYE102" s="528" t="s">
        <v>213</v>
      </c>
      <c r="DYF102" s="529" t="str">
        <f>VLOOKUP(DYE102,[14]AssetDetails_UEM!$A$3:$AH$1849,6,FALSE)</f>
        <v>Electrosurgical Units, Monopolar/Bipolar</v>
      </c>
      <c r="DYG102" s="528" t="s">
        <v>213</v>
      </c>
      <c r="DYH102" s="529" t="str">
        <f>VLOOKUP(DYG102,[14]AssetDetails_UEM!$A$3:$AH$1849,6,FALSE)</f>
        <v>Electrosurgical Units, Monopolar/Bipolar</v>
      </c>
      <c r="DYI102" s="528" t="s">
        <v>213</v>
      </c>
      <c r="DYJ102" s="529" t="str">
        <f>VLOOKUP(DYI102,[14]AssetDetails_UEM!$A$3:$AH$1849,6,FALSE)</f>
        <v>Electrosurgical Units, Monopolar/Bipolar</v>
      </c>
      <c r="DYK102" s="528" t="s">
        <v>213</v>
      </c>
      <c r="DYL102" s="529" t="str">
        <f>VLOOKUP(DYK102,[14]AssetDetails_UEM!$A$3:$AH$1849,6,FALSE)</f>
        <v>Electrosurgical Units, Monopolar/Bipolar</v>
      </c>
      <c r="DYM102" s="528" t="s">
        <v>213</v>
      </c>
      <c r="DYN102" s="529" t="str">
        <f>VLOOKUP(DYM102,[14]AssetDetails_UEM!$A$3:$AH$1849,6,FALSE)</f>
        <v>Electrosurgical Units, Monopolar/Bipolar</v>
      </c>
      <c r="DYO102" s="528" t="s">
        <v>213</v>
      </c>
      <c r="DYP102" s="529" t="str">
        <f>VLOOKUP(DYO102,[14]AssetDetails_UEM!$A$3:$AH$1849,6,FALSE)</f>
        <v>Electrosurgical Units, Monopolar/Bipolar</v>
      </c>
      <c r="DYQ102" s="528" t="s">
        <v>213</v>
      </c>
      <c r="DYR102" s="529" t="str">
        <f>VLOOKUP(DYQ102,[14]AssetDetails_UEM!$A$3:$AH$1849,6,FALSE)</f>
        <v>Electrosurgical Units, Monopolar/Bipolar</v>
      </c>
      <c r="DYS102" s="528" t="s">
        <v>213</v>
      </c>
      <c r="DYT102" s="529" t="str">
        <f>VLOOKUP(DYS102,[14]AssetDetails_UEM!$A$3:$AH$1849,6,FALSE)</f>
        <v>Electrosurgical Units, Monopolar/Bipolar</v>
      </c>
      <c r="DYU102" s="528" t="s">
        <v>213</v>
      </c>
      <c r="DYV102" s="529" t="str">
        <f>VLOOKUP(DYU102,[14]AssetDetails_UEM!$A$3:$AH$1849,6,FALSE)</f>
        <v>Electrosurgical Units, Monopolar/Bipolar</v>
      </c>
      <c r="DYW102" s="528" t="s">
        <v>213</v>
      </c>
      <c r="DYX102" s="529" t="str">
        <f>VLOOKUP(DYW102,[14]AssetDetails_UEM!$A$3:$AH$1849,6,FALSE)</f>
        <v>Electrosurgical Units, Monopolar/Bipolar</v>
      </c>
      <c r="DYY102" s="528" t="s">
        <v>213</v>
      </c>
      <c r="DYZ102" s="529" t="str">
        <f>VLOOKUP(DYY102,[14]AssetDetails_UEM!$A$3:$AH$1849,6,FALSE)</f>
        <v>Electrosurgical Units, Monopolar/Bipolar</v>
      </c>
      <c r="DZA102" s="528" t="s">
        <v>213</v>
      </c>
      <c r="DZB102" s="529" t="str">
        <f>VLOOKUP(DZA102,[14]AssetDetails_UEM!$A$3:$AH$1849,6,FALSE)</f>
        <v>Electrosurgical Units, Monopolar/Bipolar</v>
      </c>
      <c r="DZC102" s="528" t="s">
        <v>213</v>
      </c>
      <c r="DZD102" s="529" t="str">
        <f>VLOOKUP(DZC102,[14]AssetDetails_UEM!$A$3:$AH$1849,6,FALSE)</f>
        <v>Electrosurgical Units, Monopolar/Bipolar</v>
      </c>
      <c r="DZE102" s="528" t="s">
        <v>213</v>
      </c>
      <c r="DZF102" s="529" t="str">
        <f>VLOOKUP(DZE102,[14]AssetDetails_UEM!$A$3:$AH$1849,6,FALSE)</f>
        <v>Electrosurgical Units, Monopolar/Bipolar</v>
      </c>
      <c r="DZG102" s="528" t="s">
        <v>213</v>
      </c>
      <c r="DZH102" s="529" t="str">
        <f>VLOOKUP(DZG102,[14]AssetDetails_UEM!$A$3:$AH$1849,6,FALSE)</f>
        <v>Electrosurgical Units, Monopolar/Bipolar</v>
      </c>
      <c r="DZI102" s="528" t="s">
        <v>213</v>
      </c>
      <c r="DZJ102" s="529" t="str">
        <f>VLOOKUP(DZI102,[14]AssetDetails_UEM!$A$3:$AH$1849,6,FALSE)</f>
        <v>Electrosurgical Units, Monopolar/Bipolar</v>
      </c>
      <c r="DZK102" s="528" t="s">
        <v>213</v>
      </c>
      <c r="DZL102" s="529" t="str">
        <f>VLOOKUP(DZK102,[14]AssetDetails_UEM!$A$3:$AH$1849,6,FALSE)</f>
        <v>Electrosurgical Units, Monopolar/Bipolar</v>
      </c>
      <c r="DZM102" s="528" t="s">
        <v>213</v>
      </c>
      <c r="DZN102" s="529" t="str">
        <f>VLOOKUP(DZM102,[14]AssetDetails_UEM!$A$3:$AH$1849,6,FALSE)</f>
        <v>Electrosurgical Units, Monopolar/Bipolar</v>
      </c>
      <c r="DZO102" s="528" t="s">
        <v>213</v>
      </c>
      <c r="DZP102" s="529" t="str">
        <f>VLOOKUP(DZO102,[14]AssetDetails_UEM!$A$3:$AH$1849,6,FALSE)</f>
        <v>Electrosurgical Units, Monopolar/Bipolar</v>
      </c>
      <c r="DZQ102" s="528" t="s">
        <v>213</v>
      </c>
      <c r="DZR102" s="529" t="str">
        <f>VLOOKUP(DZQ102,[14]AssetDetails_UEM!$A$3:$AH$1849,6,FALSE)</f>
        <v>Electrosurgical Units, Monopolar/Bipolar</v>
      </c>
      <c r="DZS102" s="528" t="s">
        <v>213</v>
      </c>
      <c r="DZT102" s="529" t="str">
        <f>VLOOKUP(DZS102,[14]AssetDetails_UEM!$A$3:$AH$1849,6,FALSE)</f>
        <v>Electrosurgical Units, Monopolar/Bipolar</v>
      </c>
      <c r="DZU102" s="528" t="s">
        <v>213</v>
      </c>
      <c r="DZV102" s="529" t="str">
        <f>VLOOKUP(DZU102,[14]AssetDetails_UEM!$A$3:$AH$1849,6,FALSE)</f>
        <v>Electrosurgical Units, Monopolar/Bipolar</v>
      </c>
      <c r="DZW102" s="528" t="s">
        <v>213</v>
      </c>
      <c r="DZX102" s="529" t="str">
        <f>VLOOKUP(DZW102,[14]AssetDetails_UEM!$A$3:$AH$1849,6,FALSE)</f>
        <v>Electrosurgical Units, Monopolar/Bipolar</v>
      </c>
      <c r="DZY102" s="528" t="s">
        <v>213</v>
      </c>
      <c r="DZZ102" s="529" t="str">
        <f>VLOOKUP(DZY102,[14]AssetDetails_UEM!$A$3:$AH$1849,6,FALSE)</f>
        <v>Electrosurgical Units, Monopolar/Bipolar</v>
      </c>
      <c r="EAA102" s="528" t="s">
        <v>213</v>
      </c>
      <c r="EAB102" s="529" t="str">
        <f>VLOOKUP(EAA102,[14]AssetDetails_UEM!$A$3:$AH$1849,6,FALSE)</f>
        <v>Electrosurgical Units, Monopolar/Bipolar</v>
      </c>
      <c r="EAC102" s="528" t="s">
        <v>213</v>
      </c>
      <c r="EAD102" s="529" t="str">
        <f>VLOOKUP(EAC102,[14]AssetDetails_UEM!$A$3:$AH$1849,6,FALSE)</f>
        <v>Electrosurgical Units, Monopolar/Bipolar</v>
      </c>
      <c r="EAE102" s="528" t="s">
        <v>213</v>
      </c>
      <c r="EAF102" s="529" t="str">
        <f>VLOOKUP(EAE102,[14]AssetDetails_UEM!$A$3:$AH$1849,6,FALSE)</f>
        <v>Electrosurgical Units, Monopolar/Bipolar</v>
      </c>
      <c r="EAG102" s="528" t="s">
        <v>213</v>
      </c>
      <c r="EAH102" s="529" t="str">
        <f>VLOOKUP(EAG102,[14]AssetDetails_UEM!$A$3:$AH$1849,6,FALSE)</f>
        <v>Electrosurgical Units, Monopolar/Bipolar</v>
      </c>
      <c r="EAI102" s="528" t="s">
        <v>213</v>
      </c>
      <c r="EAJ102" s="529" t="str">
        <f>VLOOKUP(EAI102,[14]AssetDetails_UEM!$A$3:$AH$1849,6,FALSE)</f>
        <v>Electrosurgical Units, Monopolar/Bipolar</v>
      </c>
      <c r="EAK102" s="528" t="s">
        <v>213</v>
      </c>
      <c r="EAL102" s="529" t="str">
        <f>VLOOKUP(EAK102,[14]AssetDetails_UEM!$A$3:$AH$1849,6,FALSE)</f>
        <v>Electrosurgical Units, Monopolar/Bipolar</v>
      </c>
      <c r="EAM102" s="528" t="s">
        <v>213</v>
      </c>
      <c r="EAN102" s="529" t="str">
        <f>VLOOKUP(EAM102,[14]AssetDetails_UEM!$A$3:$AH$1849,6,FALSE)</f>
        <v>Electrosurgical Units, Monopolar/Bipolar</v>
      </c>
      <c r="EAO102" s="528" t="s">
        <v>213</v>
      </c>
      <c r="EAP102" s="529" t="str">
        <f>VLOOKUP(EAO102,[14]AssetDetails_UEM!$A$3:$AH$1849,6,FALSE)</f>
        <v>Electrosurgical Units, Monopolar/Bipolar</v>
      </c>
      <c r="EAQ102" s="528" t="s">
        <v>213</v>
      </c>
      <c r="EAR102" s="529" t="str">
        <f>VLOOKUP(EAQ102,[14]AssetDetails_UEM!$A$3:$AH$1849,6,FALSE)</f>
        <v>Electrosurgical Units, Monopolar/Bipolar</v>
      </c>
      <c r="EAS102" s="528" t="s">
        <v>213</v>
      </c>
      <c r="EAT102" s="529" t="str">
        <f>VLOOKUP(EAS102,[14]AssetDetails_UEM!$A$3:$AH$1849,6,FALSE)</f>
        <v>Electrosurgical Units, Monopolar/Bipolar</v>
      </c>
      <c r="EAU102" s="528" t="s">
        <v>213</v>
      </c>
      <c r="EAV102" s="529" t="str">
        <f>VLOOKUP(EAU102,[14]AssetDetails_UEM!$A$3:$AH$1849,6,FALSE)</f>
        <v>Electrosurgical Units, Monopolar/Bipolar</v>
      </c>
      <c r="EAW102" s="528" t="s">
        <v>213</v>
      </c>
      <c r="EAX102" s="529" t="str">
        <f>VLOOKUP(EAW102,[14]AssetDetails_UEM!$A$3:$AH$1849,6,FALSE)</f>
        <v>Electrosurgical Units, Monopolar/Bipolar</v>
      </c>
      <c r="EAY102" s="528" t="s">
        <v>213</v>
      </c>
      <c r="EAZ102" s="529" t="str">
        <f>VLOOKUP(EAY102,[14]AssetDetails_UEM!$A$3:$AH$1849,6,FALSE)</f>
        <v>Electrosurgical Units, Monopolar/Bipolar</v>
      </c>
      <c r="EBA102" s="528" t="s">
        <v>213</v>
      </c>
      <c r="EBB102" s="529" t="str">
        <f>VLOOKUP(EBA102,[14]AssetDetails_UEM!$A$3:$AH$1849,6,FALSE)</f>
        <v>Electrosurgical Units, Monopolar/Bipolar</v>
      </c>
      <c r="EBC102" s="528" t="s">
        <v>213</v>
      </c>
      <c r="EBD102" s="529" t="str">
        <f>VLOOKUP(EBC102,[14]AssetDetails_UEM!$A$3:$AH$1849,6,FALSE)</f>
        <v>Electrosurgical Units, Monopolar/Bipolar</v>
      </c>
      <c r="EBE102" s="528" t="s">
        <v>213</v>
      </c>
      <c r="EBF102" s="529" t="str">
        <f>VLOOKUP(EBE102,[14]AssetDetails_UEM!$A$3:$AH$1849,6,FALSE)</f>
        <v>Electrosurgical Units, Monopolar/Bipolar</v>
      </c>
      <c r="EBG102" s="528" t="s">
        <v>213</v>
      </c>
      <c r="EBH102" s="529" t="str">
        <f>VLOOKUP(EBG102,[14]AssetDetails_UEM!$A$3:$AH$1849,6,FALSE)</f>
        <v>Electrosurgical Units, Monopolar/Bipolar</v>
      </c>
      <c r="EBI102" s="528" t="s">
        <v>213</v>
      </c>
      <c r="EBJ102" s="529" t="str">
        <f>VLOOKUP(EBI102,[14]AssetDetails_UEM!$A$3:$AH$1849,6,FALSE)</f>
        <v>Electrosurgical Units, Monopolar/Bipolar</v>
      </c>
      <c r="EBK102" s="528" t="s">
        <v>213</v>
      </c>
      <c r="EBL102" s="529" t="str">
        <f>VLOOKUP(EBK102,[14]AssetDetails_UEM!$A$3:$AH$1849,6,FALSE)</f>
        <v>Electrosurgical Units, Monopolar/Bipolar</v>
      </c>
      <c r="EBM102" s="528" t="s">
        <v>213</v>
      </c>
      <c r="EBN102" s="529" t="str">
        <f>VLOOKUP(EBM102,[14]AssetDetails_UEM!$A$3:$AH$1849,6,FALSE)</f>
        <v>Electrosurgical Units, Monopolar/Bipolar</v>
      </c>
      <c r="EBO102" s="528" t="s">
        <v>213</v>
      </c>
      <c r="EBP102" s="529" t="str">
        <f>VLOOKUP(EBO102,[14]AssetDetails_UEM!$A$3:$AH$1849,6,FALSE)</f>
        <v>Electrosurgical Units, Monopolar/Bipolar</v>
      </c>
      <c r="EBQ102" s="528" t="s">
        <v>213</v>
      </c>
      <c r="EBR102" s="529" t="str">
        <f>VLOOKUP(EBQ102,[14]AssetDetails_UEM!$A$3:$AH$1849,6,FALSE)</f>
        <v>Electrosurgical Units, Monopolar/Bipolar</v>
      </c>
      <c r="EBS102" s="528" t="s">
        <v>213</v>
      </c>
      <c r="EBT102" s="529" t="str">
        <f>VLOOKUP(EBS102,[14]AssetDetails_UEM!$A$3:$AH$1849,6,FALSE)</f>
        <v>Electrosurgical Units, Monopolar/Bipolar</v>
      </c>
      <c r="EBU102" s="528" t="s">
        <v>213</v>
      </c>
      <c r="EBV102" s="529" t="str">
        <f>VLOOKUP(EBU102,[14]AssetDetails_UEM!$A$3:$AH$1849,6,FALSE)</f>
        <v>Electrosurgical Units, Monopolar/Bipolar</v>
      </c>
      <c r="EBW102" s="528" t="s">
        <v>213</v>
      </c>
      <c r="EBX102" s="529" t="str">
        <f>VLOOKUP(EBW102,[14]AssetDetails_UEM!$A$3:$AH$1849,6,FALSE)</f>
        <v>Electrosurgical Units, Monopolar/Bipolar</v>
      </c>
      <c r="EBY102" s="528" t="s">
        <v>213</v>
      </c>
      <c r="EBZ102" s="529" t="str">
        <f>VLOOKUP(EBY102,[14]AssetDetails_UEM!$A$3:$AH$1849,6,FALSE)</f>
        <v>Electrosurgical Units, Monopolar/Bipolar</v>
      </c>
      <c r="ECA102" s="528" t="s">
        <v>213</v>
      </c>
      <c r="ECB102" s="529" t="str">
        <f>VLOOKUP(ECA102,[14]AssetDetails_UEM!$A$3:$AH$1849,6,FALSE)</f>
        <v>Electrosurgical Units, Monopolar/Bipolar</v>
      </c>
      <c r="ECC102" s="528" t="s">
        <v>213</v>
      </c>
      <c r="ECD102" s="529" t="str">
        <f>VLOOKUP(ECC102,[14]AssetDetails_UEM!$A$3:$AH$1849,6,FALSE)</f>
        <v>Electrosurgical Units, Monopolar/Bipolar</v>
      </c>
      <c r="ECE102" s="528" t="s">
        <v>213</v>
      </c>
      <c r="ECF102" s="529" t="str">
        <f>VLOOKUP(ECE102,[14]AssetDetails_UEM!$A$3:$AH$1849,6,FALSE)</f>
        <v>Electrosurgical Units, Monopolar/Bipolar</v>
      </c>
      <c r="ECG102" s="528" t="s">
        <v>213</v>
      </c>
      <c r="ECH102" s="529" t="str">
        <f>VLOOKUP(ECG102,[14]AssetDetails_UEM!$A$3:$AH$1849,6,FALSE)</f>
        <v>Electrosurgical Units, Monopolar/Bipolar</v>
      </c>
      <c r="ECI102" s="528" t="s">
        <v>213</v>
      </c>
      <c r="ECJ102" s="529" t="str">
        <f>VLOOKUP(ECI102,[14]AssetDetails_UEM!$A$3:$AH$1849,6,FALSE)</f>
        <v>Electrosurgical Units, Monopolar/Bipolar</v>
      </c>
      <c r="ECK102" s="528" t="s">
        <v>213</v>
      </c>
      <c r="ECL102" s="529" t="str">
        <f>VLOOKUP(ECK102,[14]AssetDetails_UEM!$A$3:$AH$1849,6,FALSE)</f>
        <v>Electrosurgical Units, Monopolar/Bipolar</v>
      </c>
      <c r="ECM102" s="528" t="s">
        <v>213</v>
      </c>
      <c r="ECN102" s="529" t="str">
        <f>VLOOKUP(ECM102,[14]AssetDetails_UEM!$A$3:$AH$1849,6,FALSE)</f>
        <v>Electrosurgical Units, Monopolar/Bipolar</v>
      </c>
      <c r="ECO102" s="528" t="s">
        <v>213</v>
      </c>
      <c r="ECP102" s="529" t="str">
        <f>VLOOKUP(ECO102,[14]AssetDetails_UEM!$A$3:$AH$1849,6,FALSE)</f>
        <v>Electrosurgical Units, Monopolar/Bipolar</v>
      </c>
      <c r="ECQ102" s="528" t="s">
        <v>213</v>
      </c>
      <c r="ECR102" s="529" t="str">
        <f>VLOOKUP(ECQ102,[14]AssetDetails_UEM!$A$3:$AH$1849,6,FALSE)</f>
        <v>Electrosurgical Units, Monopolar/Bipolar</v>
      </c>
      <c r="ECS102" s="528" t="s">
        <v>213</v>
      </c>
      <c r="ECT102" s="529" t="str">
        <f>VLOOKUP(ECS102,[14]AssetDetails_UEM!$A$3:$AH$1849,6,FALSE)</f>
        <v>Electrosurgical Units, Monopolar/Bipolar</v>
      </c>
      <c r="ECU102" s="528" t="s">
        <v>213</v>
      </c>
      <c r="ECV102" s="529" t="str">
        <f>VLOOKUP(ECU102,[14]AssetDetails_UEM!$A$3:$AH$1849,6,FALSE)</f>
        <v>Electrosurgical Units, Monopolar/Bipolar</v>
      </c>
      <c r="ECW102" s="528" t="s">
        <v>213</v>
      </c>
      <c r="ECX102" s="529" t="str">
        <f>VLOOKUP(ECW102,[14]AssetDetails_UEM!$A$3:$AH$1849,6,FALSE)</f>
        <v>Electrosurgical Units, Monopolar/Bipolar</v>
      </c>
      <c r="ECY102" s="528" t="s">
        <v>213</v>
      </c>
      <c r="ECZ102" s="529" t="str">
        <f>VLOOKUP(ECY102,[14]AssetDetails_UEM!$A$3:$AH$1849,6,FALSE)</f>
        <v>Electrosurgical Units, Monopolar/Bipolar</v>
      </c>
      <c r="EDA102" s="528" t="s">
        <v>213</v>
      </c>
      <c r="EDB102" s="529" t="str">
        <f>VLOOKUP(EDA102,[14]AssetDetails_UEM!$A$3:$AH$1849,6,FALSE)</f>
        <v>Electrosurgical Units, Monopolar/Bipolar</v>
      </c>
      <c r="EDC102" s="528" t="s">
        <v>213</v>
      </c>
      <c r="EDD102" s="529" t="str">
        <f>VLOOKUP(EDC102,[14]AssetDetails_UEM!$A$3:$AH$1849,6,FALSE)</f>
        <v>Electrosurgical Units, Monopolar/Bipolar</v>
      </c>
      <c r="EDE102" s="528" t="s">
        <v>213</v>
      </c>
      <c r="EDF102" s="529" t="str">
        <f>VLOOKUP(EDE102,[14]AssetDetails_UEM!$A$3:$AH$1849,6,FALSE)</f>
        <v>Electrosurgical Units, Monopolar/Bipolar</v>
      </c>
      <c r="EDG102" s="528" t="s">
        <v>213</v>
      </c>
      <c r="EDH102" s="529" t="str">
        <f>VLOOKUP(EDG102,[14]AssetDetails_UEM!$A$3:$AH$1849,6,FALSE)</f>
        <v>Electrosurgical Units, Monopolar/Bipolar</v>
      </c>
      <c r="EDI102" s="528" t="s">
        <v>213</v>
      </c>
      <c r="EDJ102" s="529" t="str">
        <f>VLOOKUP(EDI102,[14]AssetDetails_UEM!$A$3:$AH$1849,6,FALSE)</f>
        <v>Electrosurgical Units, Monopolar/Bipolar</v>
      </c>
      <c r="EDK102" s="528" t="s">
        <v>213</v>
      </c>
      <c r="EDL102" s="529" t="str">
        <f>VLOOKUP(EDK102,[14]AssetDetails_UEM!$A$3:$AH$1849,6,FALSE)</f>
        <v>Electrosurgical Units, Monopolar/Bipolar</v>
      </c>
      <c r="EDM102" s="528" t="s">
        <v>213</v>
      </c>
      <c r="EDN102" s="529" t="str">
        <f>VLOOKUP(EDM102,[14]AssetDetails_UEM!$A$3:$AH$1849,6,FALSE)</f>
        <v>Electrosurgical Units, Monopolar/Bipolar</v>
      </c>
      <c r="EDO102" s="528" t="s">
        <v>213</v>
      </c>
      <c r="EDP102" s="529" t="str">
        <f>VLOOKUP(EDO102,[14]AssetDetails_UEM!$A$3:$AH$1849,6,FALSE)</f>
        <v>Electrosurgical Units, Monopolar/Bipolar</v>
      </c>
      <c r="EDQ102" s="528" t="s">
        <v>213</v>
      </c>
      <c r="EDR102" s="529" t="str">
        <f>VLOOKUP(EDQ102,[14]AssetDetails_UEM!$A$3:$AH$1849,6,FALSE)</f>
        <v>Electrosurgical Units, Monopolar/Bipolar</v>
      </c>
      <c r="EDS102" s="528" t="s">
        <v>213</v>
      </c>
      <c r="EDT102" s="529" t="str">
        <f>VLOOKUP(EDS102,[14]AssetDetails_UEM!$A$3:$AH$1849,6,FALSE)</f>
        <v>Electrosurgical Units, Monopolar/Bipolar</v>
      </c>
      <c r="EDU102" s="528" t="s">
        <v>213</v>
      </c>
      <c r="EDV102" s="529" t="str">
        <f>VLOOKUP(EDU102,[14]AssetDetails_UEM!$A$3:$AH$1849,6,FALSE)</f>
        <v>Electrosurgical Units, Monopolar/Bipolar</v>
      </c>
      <c r="EDW102" s="528" t="s">
        <v>213</v>
      </c>
      <c r="EDX102" s="529" t="str">
        <f>VLOOKUP(EDW102,[14]AssetDetails_UEM!$A$3:$AH$1849,6,FALSE)</f>
        <v>Electrosurgical Units, Monopolar/Bipolar</v>
      </c>
      <c r="EDY102" s="528" t="s">
        <v>213</v>
      </c>
      <c r="EDZ102" s="529" t="str">
        <f>VLOOKUP(EDY102,[14]AssetDetails_UEM!$A$3:$AH$1849,6,FALSE)</f>
        <v>Electrosurgical Units, Monopolar/Bipolar</v>
      </c>
      <c r="EEA102" s="528" t="s">
        <v>213</v>
      </c>
      <c r="EEB102" s="529" t="str">
        <f>VLOOKUP(EEA102,[14]AssetDetails_UEM!$A$3:$AH$1849,6,FALSE)</f>
        <v>Electrosurgical Units, Monopolar/Bipolar</v>
      </c>
      <c r="EEC102" s="528" t="s">
        <v>213</v>
      </c>
      <c r="EED102" s="529" t="str">
        <f>VLOOKUP(EEC102,[14]AssetDetails_UEM!$A$3:$AH$1849,6,FALSE)</f>
        <v>Electrosurgical Units, Monopolar/Bipolar</v>
      </c>
      <c r="EEE102" s="528" t="s">
        <v>213</v>
      </c>
      <c r="EEF102" s="529" t="str">
        <f>VLOOKUP(EEE102,[14]AssetDetails_UEM!$A$3:$AH$1849,6,FALSE)</f>
        <v>Electrosurgical Units, Monopolar/Bipolar</v>
      </c>
      <c r="EEG102" s="528" t="s">
        <v>213</v>
      </c>
      <c r="EEH102" s="529" t="str">
        <f>VLOOKUP(EEG102,[14]AssetDetails_UEM!$A$3:$AH$1849,6,FALSE)</f>
        <v>Electrosurgical Units, Monopolar/Bipolar</v>
      </c>
      <c r="EEI102" s="528" t="s">
        <v>213</v>
      </c>
      <c r="EEJ102" s="529" t="str">
        <f>VLOOKUP(EEI102,[14]AssetDetails_UEM!$A$3:$AH$1849,6,FALSE)</f>
        <v>Electrosurgical Units, Monopolar/Bipolar</v>
      </c>
      <c r="EEK102" s="528" t="s">
        <v>213</v>
      </c>
      <c r="EEL102" s="529" t="str">
        <f>VLOOKUP(EEK102,[14]AssetDetails_UEM!$A$3:$AH$1849,6,FALSE)</f>
        <v>Electrosurgical Units, Monopolar/Bipolar</v>
      </c>
      <c r="EEM102" s="528" t="s">
        <v>213</v>
      </c>
      <c r="EEN102" s="529" t="str">
        <f>VLOOKUP(EEM102,[14]AssetDetails_UEM!$A$3:$AH$1849,6,FALSE)</f>
        <v>Electrosurgical Units, Monopolar/Bipolar</v>
      </c>
      <c r="EEO102" s="528" t="s">
        <v>213</v>
      </c>
      <c r="EEP102" s="529" t="str">
        <f>VLOOKUP(EEO102,[14]AssetDetails_UEM!$A$3:$AH$1849,6,FALSE)</f>
        <v>Electrosurgical Units, Monopolar/Bipolar</v>
      </c>
      <c r="EEQ102" s="528" t="s">
        <v>213</v>
      </c>
      <c r="EER102" s="529" t="str">
        <f>VLOOKUP(EEQ102,[14]AssetDetails_UEM!$A$3:$AH$1849,6,FALSE)</f>
        <v>Electrosurgical Units, Monopolar/Bipolar</v>
      </c>
      <c r="EES102" s="528" t="s">
        <v>213</v>
      </c>
      <c r="EET102" s="529" t="str">
        <f>VLOOKUP(EES102,[14]AssetDetails_UEM!$A$3:$AH$1849,6,FALSE)</f>
        <v>Electrosurgical Units, Monopolar/Bipolar</v>
      </c>
      <c r="EEU102" s="528" t="s">
        <v>213</v>
      </c>
      <c r="EEV102" s="529" t="str">
        <f>VLOOKUP(EEU102,[14]AssetDetails_UEM!$A$3:$AH$1849,6,FALSE)</f>
        <v>Electrosurgical Units, Monopolar/Bipolar</v>
      </c>
      <c r="EEW102" s="528" t="s">
        <v>213</v>
      </c>
      <c r="EEX102" s="529" t="str">
        <f>VLOOKUP(EEW102,[14]AssetDetails_UEM!$A$3:$AH$1849,6,FALSE)</f>
        <v>Electrosurgical Units, Monopolar/Bipolar</v>
      </c>
      <c r="EEY102" s="528" t="s">
        <v>213</v>
      </c>
      <c r="EEZ102" s="529" t="str">
        <f>VLOOKUP(EEY102,[14]AssetDetails_UEM!$A$3:$AH$1849,6,FALSE)</f>
        <v>Electrosurgical Units, Monopolar/Bipolar</v>
      </c>
      <c r="EFA102" s="528" t="s">
        <v>213</v>
      </c>
      <c r="EFB102" s="529" t="str">
        <f>VLOOKUP(EFA102,[14]AssetDetails_UEM!$A$3:$AH$1849,6,FALSE)</f>
        <v>Electrosurgical Units, Monopolar/Bipolar</v>
      </c>
      <c r="EFC102" s="528" t="s">
        <v>213</v>
      </c>
      <c r="EFD102" s="529" t="str">
        <f>VLOOKUP(EFC102,[14]AssetDetails_UEM!$A$3:$AH$1849,6,FALSE)</f>
        <v>Electrosurgical Units, Monopolar/Bipolar</v>
      </c>
      <c r="EFE102" s="528" t="s">
        <v>213</v>
      </c>
      <c r="EFF102" s="529" t="str">
        <f>VLOOKUP(EFE102,[14]AssetDetails_UEM!$A$3:$AH$1849,6,FALSE)</f>
        <v>Electrosurgical Units, Monopolar/Bipolar</v>
      </c>
      <c r="EFG102" s="528" t="s">
        <v>213</v>
      </c>
      <c r="EFH102" s="529" t="str">
        <f>VLOOKUP(EFG102,[14]AssetDetails_UEM!$A$3:$AH$1849,6,FALSE)</f>
        <v>Electrosurgical Units, Monopolar/Bipolar</v>
      </c>
      <c r="EFI102" s="528" t="s">
        <v>213</v>
      </c>
      <c r="EFJ102" s="529" t="str">
        <f>VLOOKUP(EFI102,[14]AssetDetails_UEM!$A$3:$AH$1849,6,FALSE)</f>
        <v>Electrosurgical Units, Monopolar/Bipolar</v>
      </c>
      <c r="EFK102" s="528" t="s">
        <v>213</v>
      </c>
      <c r="EFL102" s="529" t="str">
        <f>VLOOKUP(EFK102,[14]AssetDetails_UEM!$A$3:$AH$1849,6,FALSE)</f>
        <v>Electrosurgical Units, Monopolar/Bipolar</v>
      </c>
      <c r="EFM102" s="528" t="s">
        <v>213</v>
      </c>
      <c r="EFN102" s="529" t="str">
        <f>VLOOKUP(EFM102,[14]AssetDetails_UEM!$A$3:$AH$1849,6,FALSE)</f>
        <v>Electrosurgical Units, Monopolar/Bipolar</v>
      </c>
      <c r="EFO102" s="528" t="s">
        <v>213</v>
      </c>
      <c r="EFP102" s="529" t="str">
        <f>VLOOKUP(EFO102,[14]AssetDetails_UEM!$A$3:$AH$1849,6,FALSE)</f>
        <v>Electrosurgical Units, Monopolar/Bipolar</v>
      </c>
      <c r="EFQ102" s="528" t="s">
        <v>213</v>
      </c>
      <c r="EFR102" s="529" t="str">
        <f>VLOOKUP(EFQ102,[14]AssetDetails_UEM!$A$3:$AH$1849,6,FALSE)</f>
        <v>Electrosurgical Units, Monopolar/Bipolar</v>
      </c>
      <c r="EFS102" s="528" t="s">
        <v>213</v>
      </c>
      <c r="EFT102" s="529" t="str">
        <f>VLOOKUP(EFS102,[14]AssetDetails_UEM!$A$3:$AH$1849,6,FALSE)</f>
        <v>Electrosurgical Units, Monopolar/Bipolar</v>
      </c>
      <c r="EFU102" s="528" t="s">
        <v>213</v>
      </c>
      <c r="EFV102" s="529" t="str">
        <f>VLOOKUP(EFU102,[14]AssetDetails_UEM!$A$3:$AH$1849,6,FALSE)</f>
        <v>Electrosurgical Units, Monopolar/Bipolar</v>
      </c>
      <c r="EFW102" s="528" t="s">
        <v>213</v>
      </c>
      <c r="EFX102" s="529" t="str">
        <f>VLOOKUP(EFW102,[14]AssetDetails_UEM!$A$3:$AH$1849,6,FALSE)</f>
        <v>Electrosurgical Units, Monopolar/Bipolar</v>
      </c>
      <c r="EFY102" s="528" t="s">
        <v>213</v>
      </c>
      <c r="EFZ102" s="529" t="str">
        <f>VLOOKUP(EFY102,[14]AssetDetails_UEM!$A$3:$AH$1849,6,FALSE)</f>
        <v>Electrosurgical Units, Monopolar/Bipolar</v>
      </c>
      <c r="EGA102" s="528" t="s">
        <v>213</v>
      </c>
      <c r="EGB102" s="529" t="str">
        <f>VLOOKUP(EGA102,[14]AssetDetails_UEM!$A$3:$AH$1849,6,FALSE)</f>
        <v>Electrosurgical Units, Monopolar/Bipolar</v>
      </c>
      <c r="EGC102" s="528" t="s">
        <v>213</v>
      </c>
      <c r="EGD102" s="529" t="str">
        <f>VLOOKUP(EGC102,[14]AssetDetails_UEM!$A$3:$AH$1849,6,FALSE)</f>
        <v>Electrosurgical Units, Monopolar/Bipolar</v>
      </c>
      <c r="EGE102" s="528" t="s">
        <v>213</v>
      </c>
      <c r="EGF102" s="529" t="str">
        <f>VLOOKUP(EGE102,[14]AssetDetails_UEM!$A$3:$AH$1849,6,FALSE)</f>
        <v>Electrosurgical Units, Monopolar/Bipolar</v>
      </c>
      <c r="EGG102" s="528" t="s">
        <v>213</v>
      </c>
      <c r="EGH102" s="529" t="str">
        <f>VLOOKUP(EGG102,[14]AssetDetails_UEM!$A$3:$AH$1849,6,FALSE)</f>
        <v>Electrosurgical Units, Monopolar/Bipolar</v>
      </c>
      <c r="EGI102" s="528" t="s">
        <v>213</v>
      </c>
      <c r="EGJ102" s="529" t="str">
        <f>VLOOKUP(EGI102,[14]AssetDetails_UEM!$A$3:$AH$1849,6,FALSE)</f>
        <v>Electrosurgical Units, Monopolar/Bipolar</v>
      </c>
      <c r="EGK102" s="528" t="s">
        <v>213</v>
      </c>
      <c r="EGL102" s="529" t="str">
        <f>VLOOKUP(EGK102,[14]AssetDetails_UEM!$A$3:$AH$1849,6,FALSE)</f>
        <v>Electrosurgical Units, Monopolar/Bipolar</v>
      </c>
      <c r="EGM102" s="528" t="s">
        <v>213</v>
      </c>
      <c r="EGN102" s="529" t="str">
        <f>VLOOKUP(EGM102,[14]AssetDetails_UEM!$A$3:$AH$1849,6,FALSE)</f>
        <v>Electrosurgical Units, Monopolar/Bipolar</v>
      </c>
      <c r="EGO102" s="528" t="s">
        <v>213</v>
      </c>
      <c r="EGP102" s="529" t="str">
        <f>VLOOKUP(EGO102,[14]AssetDetails_UEM!$A$3:$AH$1849,6,FALSE)</f>
        <v>Electrosurgical Units, Monopolar/Bipolar</v>
      </c>
      <c r="EGQ102" s="528" t="s">
        <v>213</v>
      </c>
      <c r="EGR102" s="529" t="str">
        <f>VLOOKUP(EGQ102,[14]AssetDetails_UEM!$A$3:$AH$1849,6,FALSE)</f>
        <v>Electrosurgical Units, Monopolar/Bipolar</v>
      </c>
      <c r="EGS102" s="528" t="s">
        <v>213</v>
      </c>
      <c r="EGT102" s="529" t="str">
        <f>VLOOKUP(EGS102,[14]AssetDetails_UEM!$A$3:$AH$1849,6,FALSE)</f>
        <v>Electrosurgical Units, Monopolar/Bipolar</v>
      </c>
      <c r="EGU102" s="528" t="s">
        <v>213</v>
      </c>
      <c r="EGV102" s="529" t="str">
        <f>VLOOKUP(EGU102,[14]AssetDetails_UEM!$A$3:$AH$1849,6,FALSE)</f>
        <v>Electrosurgical Units, Monopolar/Bipolar</v>
      </c>
      <c r="EGW102" s="528" t="s">
        <v>213</v>
      </c>
      <c r="EGX102" s="529" t="str">
        <f>VLOOKUP(EGW102,[14]AssetDetails_UEM!$A$3:$AH$1849,6,FALSE)</f>
        <v>Electrosurgical Units, Monopolar/Bipolar</v>
      </c>
      <c r="EGY102" s="528" t="s">
        <v>213</v>
      </c>
      <c r="EGZ102" s="529" t="str">
        <f>VLOOKUP(EGY102,[14]AssetDetails_UEM!$A$3:$AH$1849,6,FALSE)</f>
        <v>Electrosurgical Units, Monopolar/Bipolar</v>
      </c>
      <c r="EHA102" s="528" t="s">
        <v>213</v>
      </c>
      <c r="EHB102" s="529" t="str">
        <f>VLOOKUP(EHA102,[14]AssetDetails_UEM!$A$3:$AH$1849,6,FALSE)</f>
        <v>Electrosurgical Units, Monopolar/Bipolar</v>
      </c>
      <c r="EHC102" s="528" t="s">
        <v>213</v>
      </c>
      <c r="EHD102" s="529" t="str">
        <f>VLOOKUP(EHC102,[14]AssetDetails_UEM!$A$3:$AH$1849,6,FALSE)</f>
        <v>Electrosurgical Units, Monopolar/Bipolar</v>
      </c>
      <c r="EHE102" s="528" t="s">
        <v>213</v>
      </c>
      <c r="EHF102" s="529" t="str">
        <f>VLOOKUP(EHE102,[14]AssetDetails_UEM!$A$3:$AH$1849,6,FALSE)</f>
        <v>Electrosurgical Units, Monopolar/Bipolar</v>
      </c>
      <c r="EHG102" s="528" t="s">
        <v>213</v>
      </c>
      <c r="EHH102" s="529" t="str">
        <f>VLOOKUP(EHG102,[14]AssetDetails_UEM!$A$3:$AH$1849,6,FALSE)</f>
        <v>Electrosurgical Units, Monopolar/Bipolar</v>
      </c>
      <c r="EHI102" s="528" t="s">
        <v>213</v>
      </c>
      <c r="EHJ102" s="529" t="str">
        <f>VLOOKUP(EHI102,[14]AssetDetails_UEM!$A$3:$AH$1849,6,FALSE)</f>
        <v>Electrosurgical Units, Monopolar/Bipolar</v>
      </c>
      <c r="EHK102" s="528" t="s">
        <v>213</v>
      </c>
      <c r="EHL102" s="529" t="str">
        <f>VLOOKUP(EHK102,[14]AssetDetails_UEM!$A$3:$AH$1849,6,FALSE)</f>
        <v>Electrosurgical Units, Monopolar/Bipolar</v>
      </c>
      <c r="EHM102" s="528" t="s">
        <v>213</v>
      </c>
      <c r="EHN102" s="529" t="str">
        <f>VLOOKUP(EHM102,[14]AssetDetails_UEM!$A$3:$AH$1849,6,FALSE)</f>
        <v>Electrosurgical Units, Monopolar/Bipolar</v>
      </c>
      <c r="EHO102" s="528" t="s">
        <v>213</v>
      </c>
      <c r="EHP102" s="529" t="str">
        <f>VLOOKUP(EHO102,[14]AssetDetails_UEM!$A$3:$AH$1849,6,FALSE)</f>
        <v>Electrosurgical Units, Monopolar/Bipolar</v>
      </c>
      <c r="EHQ102" s="528" t="s">
        <v>213</v>
      </c>
      <c r="EHR102" s="529" t="str">
        <f>VLOOKUP(EHQ102,[14]AssetDetails_UEM!$A$3:$AH$1849,6,FALSE)</f>
        <v>Electrosurgical Units, Monopolar/Bipolar</v>
      </c>
      <c r="EHS102" s="528" t="s">
        <v>213</v>
      </c>
      <c r="EHT102" s="529" t="str">
        <f>VLOOKUP(EHS102,[14]AssetDetails_UEM!$A$3:$AH$1849,6,FALSE)</f>
        <v>Electrosurgical Units, Monopolar/Bipolar</v>
      </c>
      <c r="EHU102" s="528" t="s">
        <v>213</v>
      </c>
      <c r="EHV102" s="529" t="str">
        <f>VLOOKUP(EHU102,[14]AssetDetails_UEM!$A$3:$AH$1849,6,FALSE)</f>
        <v>Electrosurgical Units, Monopolar/Bipolar</v>
      </c>
      <c r="EHW102" s="528" t="s">
        <v>213</v>
      </c>
      <c r="EHX102" s="529" t="str">
        <f>VLOOKUP(EHW102,[14]AssetDetails_UEM!$A$3:$AH$1849,6,FALSE)</f>
        <v>Electrosurgical Units, Monopolar/Bipolar</v>
      </c>
      <c r="EHY102" s="528" t="s">
        <v>213</v>
      </c>
      <c r="EHZ102" s="529" t="str">
        <f>VLOOKUP(EHY102,[14]AssetDetails_UEM!$A$3:$AH$1849,6,FALSE)</f>
        <v>Electrosurgical Units, Monopolar/Bipolar</v>
      </c>
      <c r="EIA102" s="528" t="s">
        <v>213</v>
      </c>
      <c r="EIB102" s="529" t="str">
        <f>VLOOKUP(EIA102,[14]AssetDetails_UEM!$A$3:$AH$1849,6,FALSE)</f>
        <v>Electrosurgical Units, Monopolar/Bipolar</v>
      </c>
      <c r="EIC102" s="528" t="s">
        <v>213</v>
      </c>
      <c r="EID102" s="529" t="str">
        <f>VLOOKUP(EIC102,[14]AssetDetails_UEM!$A$3:$AH$1849,6,FALSE)</f>
        <v>Electrosurgical Units, Monopolar/Bipolar</v>
      </c>
      <c r="EIE102" s="528" t="s">
        <v>213</v>
      </c>
      <c r="EIF102" s="529" t="str">
        <f>VLOOKUP(EIE102,[14]AssetDetails_UEM!$A$3:$AH$1849,6,FALSE)</f>
        <v>Electrosurgical Units, Monopolar/Bipolar</v>
      </c>
      <c r="EIG102" s="528" t="s">
        <v>213</v>
      </c>
      <c r="EIH102" s="529" t="str">
        <f>VLOOKUP(EIG102,[14]AssetDetails_UEM!$A$3:$AH$1849,6,FALSE)</f>
        <v>Electrosurgical Units, Monopolar/Bipolar</v>
      </c>
      <c r="EII102" s="528" t="s">
        <v>213</v>
      </c>
      <c r="EIJ102" s="529" t="str">
        <f>VLOOKUP(EII102,[14]AssetDetails_UEM!$A$3:$AH$1849,6,FALSE)</f>
        <v>Electrosurgical Units, Monopolar/Bipolar</v>
      </c>
      <c r="EIK102" s="528" t="s">
        <v>213</v>
      </c>
      <c r="EIL102" s="529" t="str">
        <f>VLOOKUP(EIK102,[14]AssetDetails_UEM!$A$3:$AH$1849,6,FALSE)</f>
        <v>Electrosurgical Units, Monopolar/Bipolar</v>
      </c>
      <c r="EIM102" s="528" t="s">
        <v>213</v>
      </c>
      <c r="EIN102" s="529" t="str">
        <f>VLOOKUP(EIM102,[14]AssetDetails_UEM!$A$3:$AH$1849,6,FALSE)</f>
        <v>Electrosurgical Units, Monopolar/Bipolar</v>
      </c>
      <c r="EIO102" s="528" t="s">
        <v>213</v>
      </c>
      <c r="EIP102" s="529" t="str">
        <f>VLOOKUP(EIO102,[14]AssetDetails_UEM!$A$3:$AH$1849,6,FALSE)</f>
        <v>Electrosurgical Units, Monopolar/Bipolar</v>
      </c>
      <c r="EIQ102" s="528" t="s">
        <v>213</v>
      </c>
      <c r="EIR102" s="529" t="str">
        <f>VLOOKUP(EIQ102,[14]AssetDetails_UEM!$A$3:$AH$1849,6,FALSE)</f>
        <v>Electrosurgical Units, Monopolar/Bipolar</v>
      </c>
      <c r="EIS102" s="528" t="s">
        <v>213</v>
      </c>
      <c r="EIT102" s="529" t="str">
        <f>VLOOKUP(EIS102,[14]AssetDetails_UEM!$A$3:$AH$1849,6,FALSE)</f>
        <v>Electrosurgical Units, Monopolar/Bipolar</v>
      </c>
      <c r="EIU102" s="528" t="s">
        <v>213</v>
      </c>
      <c r="EIV102" s="529" t="str">
        <f>VLOOKUP(EIU102,[14]AssetDetails_UEM!$A$3:$AH$1849,6,FALSE)</f>
        <v>Electrosurgical Units, Monopolar/Bipolar</v>
      </c>
      <c r="EIW102" s="528" t="s">
        <v>213</v>
      </c>
      <c r="EIX102" s="529" t="str">
        <f>VLOOKUP(EIW102,[14]AssetDetails_UEM!$A$3:$AH$1849,6,FALSE)</f>
        <v>Electrosurgical Units, Monopolar/Bipolar</v>
      </c>
      <c r="EIY102" s="528" t="s">
        <v>213</v>
      </c>
      <c r="EIZ102" s="529" t="str">
        <f>VLOOKUP(EIY102,[14]AssetDetails_UEM!$A$3:$AH$1849,6,FALSE)</f>
        <v>Electrosurgical Units, Monopolar/Bipolar</v>
      </c>
      <c r="EJA102" s="528" t="s">
        <v>213</v>
      </c>
      <c r="EJB102" s="529" t="str">
        <f>VLOOKUP(EJA102,[14]AssetDetails_UEM!$A$3:$AH$1849,6,FALSE)</f>
        <v>Electrosurgical Units, Monopolar/Bipolar</v>
      </c>
      <c r="EJC102" s="528" t="s">
        <v>213</v>
      </c>
      <c r="EJD102" s="529" t="str">
        <f>VLOOKUP(EJC102,[14]AssetDetails_UEM!$A$3:$AH$1849,6,FALSE)</f>
        <v>Electrosurgical Units, Monopolar/Bipolar</v>
      </c>
      <c r="EJE102" s="528" t="s">
        <v>213</v>
      </c>
      <c r="EJF102" s="529" t="str">
        <f>VLOOKUP(EJE102,[14]AssetDetails_UEM!$A$3:$AH$1849,6,FALSE)</f>
        <v>Electrosurgical Units, Monopolar/Bipolar</v>
      </c>
      <c r="EJG102" s="528" t="s">
        <v>213</v>
      </c>
      <c r="EJH102" s="529" t="str">
        <f>VLOOKUP(EJG102,[14]AssetDetails_UEM!$A$3:$AH$1849,6,FALSE)</f>
        <v>Electrosurgical Units, Monopolar/Bipolar</v>
      </c>
      <c r="EJI102" s="528" t="s">
        <v>213</v>
      </c>
      <c r="EJJ102" s="529" t="str">
        <f>VLOOKUP(EJI102,[14]AssetDetails_UEM!$A$3:$AH$1849,6,FALSE)</f>
        <v>Electrosurgical Units, Monopolar/Bipolar</v>
      </c>
      <c r="EJK102" s="528" t="s">
        <v>213</v>
      </c>
      <c r="EJL102" s="529" t="str">
        <f>VLOOKUP(EJK102,[14]AssetDetails_UEM!$A$3:$AH$1849,6,FALSE)</f>
        <v>Electrosurgical Units, Monopolar/Bipolar</v>
      </c>
      <c r="EJM102" s="528" t="s">
        <v>213</v>
      </c>
      <c r="EJN102" s="529" t="str">
        <f>VLOOKUP(EJM102,[14]AssetDetails_UEM!$A$3:$AH$1849,6,FALSE)</f>
        <v>Electrosurgical Units, Monopolar/Bipolar</v>
      </c>
      <c r="EJO102" s="528" t="s">
        <v>213</v>
      </c>
      <c r="EJP102" s="529" t="str">
        <f>VLOOKUP(EJO102,[14]AssetDetails_UEM!$A$3:$AH$1849,6,FALSE)</f>
        <v>Electrosurgical Units, Monopolar/Bipolar</v>
      </c>
      <c r="EJQ102" s="528" t="s">
        <v>213</v>
      </c>
      <c r="EJR102" s="529" t="str">
        <f>VLOOKUP(EJQ102,[14]AssetDetails_UEM!$A$3:$AH$1849,6,FALSE)</f>
        <v>Electrosurgical Units, Monopolar/Bipolar</v>
      </c>
      <c r="EJS102" s="528" t="s">
        <v>213</v>
      </c>
      <c r="EJT102" s="529" t="str">
        <f>VLOOKUP(EJS102,[14]AssetDetails_UEM!$A$3:$AH$1849,6,FALSE)</f>
        <v>Electrosurgical Units, Monopolar/Bipolar</v>
      </c>
      <c r="EJU102" s="528" t="s">
        <v>213</v>
      </c>
      <c r="EJV102" s="529" t="str">
        <f>VLOOKUP(EJU102,[14]AssetDetails_UEM!$A$3:$AH$1849,6,FALSE)</f>
        <v>Electrosurgical Units, Monopolar/Bipolar</v>
      </c>
      <c r="EJW102" s="528" t="s">
        <v>213</v>
      </c>
      <c r="EJX102" s="529" t="str">
        <f>VLOOKUP(EJW102,[14]AssetDetails_UEM!$A$3:$AH$1849,6,FALSE)</f>
        <v>Electrosurgical Units, Monopolar/Bipolar</v>
      </c>
      <c r="EJY102" s="528" t="s">
        <v>213</v>
      </c>
      <c r="EJZ102" s="529" t="str">
        <f>VLOOKUP(EJY102,[14]AssetDetails_UEM!$A$3:$AH$1849,6,FALSE)</f>
        <v>Electrosurgical Units, Monopolar/Bipolar</v>
      </c>
      <c r="EKA102" s="528" t="s">
        <v>213</v>
      </c>
      <c r="EKB102" s="529" t="str">
        <f>VLOOKUP(EKA102,[14]AssetDetails_UEM!$A$3:$AH$1849,6,FALSE)</f>
        <v>Electrosurgical Units, Monopolar/Bipolar</v>
      </c>
      <c r="EKC102" s="528" t="s">
        <v>213</v>
      </c>
      <c r="EKD102" s="529" t="str">
        <f>VLOOKUP(EKC102,[14]AssetDetails_UEM!$A$3:$AH$1849,6,FALSE)</f>
        <v>Electrosurgical Units, Monopolar/Bipolar</v>
      </c>
      <c r="EKE102" s="528" t="s">
        <v>213</v>
      </c>
      <c r="EKF102" s="529" t="str">
        <f>VLOOKUP(EKE102,[14]AssetDetails_UEM!$A$3:$AH$1849,6,FALSE)</f>
        <v>Electrosurgical Units, Monopolar/Bipolar</v>
      </c>
      <c r="EKG102" s="528" t="s">
        <v>213</v>
      </c>
      <c r="EKH102" s="529" t="str">
        <f>VLOOKUP(EKG102,[14]AssetDetails_UEM!$A$3:$AH$1849,6,FALSE)</f>
        <v>Electrosurgical Units, Monopolar/Bipolar</v>
      </c>
      <c r="EKI102" s="528" t="s">
        <v>213</v>
      </c>
      <c r="EKJ102" s="529" t="str">
        <f>VLOOKUP(EKI102,[14]AssetDetails_UEM!$A$3:$AH$1849,6,FALSE)</f>
        <v>Electrosurgical Units, Monopolar/Bipolar</v>
      </c>
      <c r="EKK102" s="528" t="s">
        <v>213</v>
      </c>
      <c r="EKL102" s="529" t="str">
        <f>VLOOKUP(EKK102,[14]AssetDetails_UEM!$A$3:$AH$1849,6,FALSE)</f>
        <v>Electrosurgical Units, Monopolar/Bipolar</v>
      </c>
      <c r="EKM102" s="528" t="s">
        <v>213</v>
      </c>
      <c r="EKN102" s="529" t="str">
        <f>VLOOKUP(EKM102,[14]AssetDetails_UEM!$A$3:$AH$1849,6,FALSE)</f>
        <v>Electrosurgical Units, Monopolar/Bipolar</v>
      </c>
      <c r="EKO102" s="528" t="s">
        <v>213</v>
      </c>
      <c r="EKP102" s="529" t="str">
        <f>VLOOKUP(EKO102,[14]AssetDetails_UEM!$A$3:$AH$1849,6,FALSE)</f>
        <v>Electrosurgical Units, Monopolar/Bipolar</v>
      </c>
      <c r="EKQ102" s="528" t="s">
        <v>213</v>
      </c>
      <c r="EKR102" s="529" t="str">
        <f>VLOOKUP(EKQ102,[14]AssetDetails_UEM!$A$3:$AH$1849,6,FALSE)</f>
        <v>Electrosurgical Units, Monopolar/Bipolar</v>
      </c>
      <c r="EKS102" s="528" t="s">
        <v>213</v>
      </c>
      <c r="EKT102" s="529" t="str">
        <f>VLOOKUP(EKS102,[14]AssetDetails_UEM!$A$3:$AH$1849,6,FALSE)</f>
        <v>Electrosurgical Units, Monopolar/Bipolar</v>
      </c>
      <c r="EKU102" s="528" t="s">
        <v>213</v>
      </c>
      <c r="EKV102" s="529" t="str">
        <f>VLOOKUP(EKU102,[14]AssetDetails_UEM!$A$3:$AH$1849,6,FALSE)</f>
        <v>Electrosurgical Units, Monopolar/Bipolar</v>
      </c>
      <c r="EKW102" s="528" t="s">
        <v>213</v>
      </c>
      <c r="EKX102" s="529" t="str">
        <f>VLOOKUP(EKW102,[14]AssetDetails_UEM!$A$3:$AH$1849,6,FALSE)</f>
        <v>Electrosurgical Units, Monopolar/Bipolar</v>
      </c>
      <c r="EKY102" s="528" t="s">
        <v>213</v>
      </c>
      <c r="EKZ102" s="529" t="str">
        <f>VLOOKUP(EKY102,[14]AssetDetails_UEM!$A$3:$AH$1849,6,FALSE)</f>
        <v>Electrosurgical Units, Monopolar/Bipolar</v>
      </c>
      <c r="ELA102" s="528" t="s">
        <v>213</v>
      </c>
      <c r="ELB102" s="529" t="str">
        <f>VLOOKUP(ELA102,[14]AssetDetails_UEM!$A$3:$AH$1849,6,FALSE)</f>
        <v>Electrosurgical Units, Monopolar/Bipolar</v>
      </c>
      <c r="ELC102" s="528" t="s">
        <v>213</v>
      </c>
      <c r="ELD102" s="529" t="str">
        <f>VLOOKUP(ELC102,[14]AssetDetails_UEM!$A$3:$AH$1849,6,FALSE)</f>
        <v>Electrosurgical Units, Monopolar/Bipolar</v>
      </c>
      <c r="ELE102" s="528" t="s">
        <v>213</v>
      </c>
      <c r="ELF102" s="529" t="str">
        <f>VLOOKUP(ELE102,[14]AssetDetails_UEM!$A$3:$AH$1849,6,FALSE)</f>
        <v>Electrosurgical Units, Monopolar/Bipolar</v>
      </c>
      <c r="ELG102" s="528" t="s">
        <v>213</v>
      </c>
      <c r="ELH102" s="529" t="str">
        <f>VLOOKUP(ELG102,[14]AssetDetails_UEM!$A$3:$AH$1849,6,FALSE)</f>
        <v>Electrosurgical Units, Monopolar/Bipolar</v>
      </c>
      <c r="ELI102" s="528" t="s">
        <v>213</v>
      </c>
      <c r="ELJ102" s="529" t="str">
        <f>VLOOKUP(ELI102,[14]AssetDetails_UEM!$A$3:$AH$1849,6,FALSE)</f>
        <v>Electrosurgical Units, Monopolar/Bipolar</v>
      </c>
      <c r="ELK102" s="528" t="s">
        <v>213</v>
      </c>
      <c r="ELL102" s="529" t="str">
        <f>VLOOKUP(ELK102,[14]AssetDetails_UEM!$A$3:$AH$1849,6,FALSE)</f>
        <v>Electrosurgical Units, Monopolar/Bipolar</v>
      </c>
      <c r="ELM102" s="528" t="s">
        <v>213</v>
      </c>
      <c r="ELN102" s="529" t="str">
        <f>VLOOKUP(ELM102,[14]AssetDetails_UEM!$A$3:$AH$1849,6,FALSE)</f>
        <v>Electrosurgical Units, Monopolar/Bipolar</v>
      </c>
      <c r="ELO102" s="528" t="s">
        <v>213</v>
      </c>
      <c r="ELP102" s="529" t="str">
        <f>VLOOKUP(ELO102,[14]AssetDetails_UEM!$A$3:$AH$1849,6,FALSE)</f>
        <v>Electrosurgical Units, Monopolar/Bipolar</v>
      </c>
      <c r="ELQ102" s="528" t="s">
        <v>213</v>
      </c>
      <c r="ELR102" s="529" t="str">
        <f>VLOOKUP(ELQ102,[14]AssetDetails_UEM!$A$3:$AH$1849,6,FALSE)</f>
        <v>Electrosurgical Units, Monopolar/Bipolar</v>
      </c>
      <c r="ELS102" s="528" t="s">
        <v>213</v>
      </c>
      <c r="ELT102" s="529" t="str">
        <f>VLOOKUP(ELS102,[14]AssetDetails_UEM!$A$3:$AH$1849,6,FALSE)</f>
        <v>Electrosurgical Units, Monopolar/Bipolar</v>
      </c>
      <c r="ELU102" s="528" t="s">
        <v>213</v>
      </c>
      <c r="ELV102" s="529" t="str">
        <f>VLOOKUP(ELU102,[14]AssetDetails_UEM!$A$3:$AH$1849,6,FALSE)</f>
        <v>Electrosurgical Units, Monopolar/Bipolar</v>
      </c>
      <c r="ELW102" s="528" t="s">
        <v>213</v>
      </c>
      <c r="ELX102" s="529" t="str">
        <f>VLOOKUP(ELW102,[14]AssetDetails_UEM!$A$3:$AH$1849,6,FALSE)</f>
        <v>Electrosurgical Units, Monopolar/Bipolar</v>
      </c>
      <c r="ELY102" s="528" t="s">
        <v>213</v>
      </c>
      <c r="ELZ102" s="529" t="str">
        <f>VLOOKUP(ELY102,[14]AssetDetails_UEM!$A$3:$AH$1849,6,FALSE)</f>
        <v>Electrosurgical Units, Monopolar/Bipolar</v>
      </c>
      <c r="EMA102" s="528" t="s">
        <v>213</v>
      </c>
      <c r="EMB102" s="529" t="str">
        <f>VLOOKUP(EMA102,[14]AssetDetails_UEM!$A$3:$AH$1849,6,FALSE)</f>
        <v>Electrosurgical Units, Monopolar/Bipolar</v>
      </c>
      <c r="EMC102" s="528" t="s">
        <v>213</v>
      </c>
      <c r="EMD102" s="529" t="str">
        <f>VLOOKUP(EMC102,[14]AssetDetails_UEM!$A$3:$AH$1849,6,FALSE)</f>
        <v>Electrosurgical Units, Monopolar/Bipolar</v>
      </c>
      <c r="EME102" s="528" t="s">
        <v>213</v>
      </c>
      <c r="EMF102" s="529" t="str">
        <f>VLOOKUP(EME102,[14]AssetDetails_UEM!$A$3:$AH$1849,6,FALSE)</f>
        <v>Electrosurgical Units, Monopolar/Bipolar</v>
      </c>
      <c r="EMG102" s="528" t="s">
        <v>213</v>
      </c>
      <c r="EMH102" s="529" t="str">
        <f>VLOOKUP(EMG102,[14]AssetDetails_UEM!$A$3:$AH$1849,6,FALSE)</f>
        <v>Electrosurgical Units, Monopolar/Bipolar</v>
      </c>
      <c r="EMI102" s="528" t="s">
        <v>213</v>
      </c>
      <c r="EMJ102" s="529" t="str">
        <f>VLOOKUP(EMI102,[14]AssetDetails_UEM!$A$3:$AH$1849,6,FALSE)</f>
        <v>Electrosurgical Units, Monopolar/Bipolar</v>
      </c>
      <c r="EMK102" s="528" t="s">
        <v>213</v>
      </c>
      <c r="EML102" s="529" t="str">
        <f>VLOOKUP(EMK102,[14]AssetDetails_UEM!$A$3:$AH$1849,6,FALSE)</f>
        <v>Electrosurgical Units, Monopolar/Bipolar</v>
      </c>
      <c r="EMM102" s="528" t="s">
        <v>213</v>
      </c>
      <c r="EMN102" s="529" t="str">
        <f>VLOOKUP(EMM102,[14]AssetDetails_UEM!$A$3:$AH$1849,6,FALSE)</f>
        <v>Electrosurgical Units, Monopolar/Bipolar</v>
      </c>
      <c r="EMO102" s="528" t="s">
        <v>213</v>
      </c>
      <c r="EMP102" s="529" t="str">
        <f>VLOOKUP(EMO102,[14]AssetDetails_UEM!$A$3:$AH$1849,6,FALSE)</f>
        <v>Electrosurgical Units, Monopolar/Bipolar</v>
      </c>
      <c r="EMQ102" s="528" t="s">
        <v>213</v>
      </c>
      <c r="EMR102" s="529" t="str">
        <f>VLOOKUP(EMQ102,[14]AssetDetails_UEM!$A$3:$AH$1849,6,FALSE)</f>
        <v>Electrosurgical Units, Monopolar/Bipolar</v>
      </c>
      <c r="EMS102" s="528" t="s">
        <v>213</v>
      </c>
      <c r="EMT102" s="529" t="str">
        <f>VLOOKUP(EMS102,[14]AssetDetails_UEM!$A$3:$AH$1849,6,FALSE)</f>
        <v>Electrosurgical Units, Monopolar/Bipolar</v>
      </c>
      <c r="EMU102" s="528" t="s">
        <v>213</v>
      </c>
      <c r="EMV102" s="529" t="str">
        <f>VLOOKUP(EMU102,[14]AssetDetails_UEM!$A$3:$AH$1849,6,FALSE)</f>
        <v>Electrosurgical Units, Monopolar/Bipolar</v>
      </c>
      <c r="EMW102" s="528" t="s">
        <v>213</v>
      </c>
      <c r="EMX102" s="529" t="str">
        <f>VLOOKUP(EMW102,[14]AssetDetails_UEM!$A$3:$AH$1849,6,FALSE)</f>
        <v>Electrosurgical Units, Monopolar/Bipolar</v>
      </c>
      <c r="EMY102" s="528" t="s">
        <v>213</v>
      </c>
      <c r="EMZ102" s="529" t="str">
        <f>VLOOKUP(EMY102,[14]AssetDetails_UEM!$A$3:$AH$1849,6,FALSE)</f>
        <v>Electrosurgical Units, Monopolar/Bipolar</v>
      </c>
      <c r="ENA102" s="528" t="s">
        <v>213</v>
      </c>
      <c r="ENB102" s="529" t="str">
        <f>VLOOKUP(ENA102,[14]AssetDetails_UEM!$A$3:$AH$1849,6,FALSE)</f>
        <v>Electrosurgical Units, Monopolar/Bipolar</v>
      </c>
      <c r="ENC102" s="528" t="s">
        <v>213</v>
      </c>
      <c r="END102" s="529" t="str">
        <f>VLOOKUP(ENC102,[14]AssetDetails_UEM!$A$3:$AH$1849,6,FALSE)</f>
        <v>Electrosurgical Units, Monopolar/Bipolar</v>
      </c>
      <c r="ENE102" s="528" t="s">
        <v>213</v>
      </c>
      <c r="ENF102" s="529" t="str">
        <f>VLOOKUP(ENE102,[14]AssetDetails_UEM!$A$3:$AH$1849,6,FALSE)</f>
        <v>Electrosurgical Units, Monopolar/Bipolar</v>
      </c>
      <c r="ENG102" s="528" t="s">
        <v>213</v>
      </c>
      <c r="ENH102" s="529" t="str">
        <f>VLOOKUP(ENG102,[14]AssetDetails_UEM!$A$3:$AH$1849,6,FALSE)</f>
        <v>Electrosurgical Units, Monopolar/Bipolar</v>
      </c>
      <c r="ENI102" s="528" t="s">
        <v>213</v>
      </c>
      <c r="ENJ102" s="529" t="str">
        <f>VLOOKUP(ENI102,[14]AssetDetails_UEM!$A$3:$AH$1849,6,FALSE)</f>
        <v>Electrosurgical Units, Monopolar/Bipolar</v>
      </c>
      <c r="ENK102" s="528" t="s">
        <v>213</v>
      </c>
      <c r="ENL102" s="529" t="str">
        <f>VLOOKUP(ENK102,[14]AssetDetails_UEM!$A$3:$AH$1849,6,FALSE)</f>
        <v>Electrosurgical Units, Monopolar/Bipolar</v>
      </c>
      <c r="ENM102" s="528" t="s">
        <v>213</v>
      </c>
      <c r="ENN102" s="529" t="str">
        <f>VLOOKUP(ENM102,[14]AssetDetails_UEM!$A$3:$AH$1849,6,FALSE)</f>
        <v>Electrosurgical Units, Monopolar/Bipolar</v>
      </c>
      <c r="ENO102" s="528" t="s">
        <v>213</v>
      </c>
      <c r="ENP102" s="529" t="str">
        <f>VLOOKUP(ENO102,[14]AssetDetails_UEM!$A$3:$AH$1849,6,FALSE)</f>
        <v>Electrosurgical Units, Monopolar/Bipolar</v>
      </c>
      <c r="ENQ102" s="528" t="s">
        <v>213</v>
      </c>
      <c r="ENR102" s="529" t="str">
        <f>VLOOKUP(ENQ102,[14]AssetDetails_UEM!$A$3:$AH$1849,6,FALSE)</f>
        <v>Electrosurgical Units, Monopolar/Bipolar</v>
      </c>
      <c r="ENS102" s="528" t="s">
        <v>213</v>
      </c>
      <c r="ENT102" s="529" t="str">
        <f>VLOOKUP(ENS102,[14]AssetDetails_UEM!$A$3:$AH$1849,6,FALSE)</f>
        <v>Electrosurgical Units, Monopolar/Bipolar</v>
      </c>
      <c r="ENU102" s="528" t="s">
        <v>213</v>
      </c>
      <c r="ENV102" s="529" t="str">
        <f>VLOOKUP(ENU102,[14]AssetDetails_UEM!$A$3:$AH$1849,6,FALSE)</f>
        <v>Electrosurgical Units, Monopolar/Bipolar</v>
      </c>
      <c r="ENW102" s="528" t="s">
        <v>213</v>
      </c>
      <c r="ENX102" s="529" t="str">
        <f>VLOOKUP(ENW102,[14]AssetDetails_UEM!$A$3:$AH$1849,6,FALSE)</f>
        <v>Electrosurgical Units, Monopolar/Bipolar</v>
      </c>
      <c r="ENY102" s="528" t="s">
        <v>213</v>
      </c>
      <c r="ENZ102" s="529" t="str">
        <f>VLOOKUP(ENY102,[14]AssetDetails_UEM!$A$3:$AH$1849,6,FALSE)</f>
        <v>Electrosurgical Units, Monopolar/Bipolar</v>
      </c>
      <c r="EOA102" s="528" t="s">
        <v>213</v>
      </c>
      <c r="EOB102" s="529" t="str">
        <f>VLOOKUP(EOA102,[14]AssetDetails_UEM!$A$3:$AH$1849,6,FALSE)</f>
        <v>Electrosurgical Units, Monopolar/Bipolar</v>
      </c>
      <c r="EOC102" s="528" t="s">
        <v>213</v>
      </c>
      <c r="EOD102" s="529" t="str">
        <f>VLOOKUP(EOC102,[14]AssetDetails_UEM!$A$3:$AH$1849,6,FALSE)</f>
        <v>Electrosurgical Units, Monopolar/Bipolar</v>
      </c>
      <c r="EOE102" s="528" t="s">
        <v>213</v>
      </c>
      <c r="EOF102" s="529" t="str">
        <f>VLOOKUP(EOE102,[14]AssetDetails_UEM!$A$3:$AH$1849,6,FALSE)</f>
        <v>Electrosurgical Units, Monopolar/Bipolar</v>
      </c>
      <c r="EOG102" s="528" t="s">
        <v>213</v>
      </c>
      <c r="EOH102" s="529" t="str">
        <f>VLOOKUP(EOG102,[14]AssetDetails_UEM!$A$3:$AH$1849,6,FALSE)</f>
        <v>Electrosurgical Units, Monopolar/Bipolar</v>
      </c>
      <c r="EOI102" s="528" t="s">
        <v>213</v>
      </c>
      <c r="EOJ102" s="529" t="str">
        <f>VLOOKUP(EOI102,[14]AssetDetails_UEM!$A$3:$AH$1849,6,FALSE)</f>
        <v>Electrosurgical Units, Monopolar/Bipolar</v>
      </c>
      <c r="EOK102" s="528" t="s">
        <v>213</v>
      </c>
      <c r="EOL102" s="529" t="str">
        <f>VLOOKUP(EOK102,[14]AssetDetails_UEM!$A$3:$AH$1849,6,FALSE)</f>
        <v>Electrosurgical Units, Monopolar/Bipolar</v>
      </c>
      <c r="EOM102" s="528" t="s">
        <v>213</v>
      </c>
      <c r="EON102" s="529" t="str">
        <f>VLOOKUP(EOM102,[14]AssetDetails_UEM!$A$3:$AH$1849,6,FALSE)</f>
        <v>Electrosurgical Units, Monopolar/Bipolar</v>
      </c>
      <c r="EOO102" s="528" t="s">
        <v>213</v>
      </c>
      <c r="EOP102" s="529" t="str">
        <f>VLOOKUP(EOO102,[14]AssetDetails_UEM!$A$3:$AH$1849,6,FALSE)</f>
        <v>Electrosurgical Units, Monopolar/Bipolar</v>
      </c>
      <c r="EOQ102" s="528" t="s">
        <v>213</v>
      </c>
      <c r="EOR102" s="529" t="str">
        <f>VLOOKUP(EOQ102,[14]AssetDetails_UEM!$A$3:$AH$1849,6,FALSE)</f>
        <v>Electrosurgical Units, Monopolar/Bipolar</v>
      </c>
      <c r="EOS102" s="528" t="s">
        <v>213</v>
      </c>
      <c r="EOT102" s="529" t="str">
        <f>VLOOKUP(EOS102,[14]AssetDetails_UEM!$A$3:$AH$1849,6,FALSE)</f>
        <v>Electrosurgical Units, Monopolar/Bipolar</v>
      </c>
      <c r="EOU102" s="528" t="s">
        <v>213</v>
      </c>
      <c r="EOV102" s="529" t="str">
        <f>VLOOKUP(EOU102,[14]AssetDetails_UEM!$A$3:$AH$1849,6,FALSE)</f>
        <v>Electrosurgical Units, Monopolar/Bipolar</v>
      </c>
      <c r="EOW102" s="528" t="s">
        <v>213</v>
      </c>
      <c r="EOX102" s="529" t="str">
        <f>VLOOKUP(EOW102,[14]AssetDetails_UEM!$A$3:$AH$1849,6,FALSE)</f>
        <v>Electrosurgical Units, Monopolar/Bipolar</v>
      </c>
      <c r="EOY102" s="528" t="s">
        <v>213</v>
      </c>
      <c r="EOZ102" s="529" t="str">
        <f>VLOOKUP(EOY102,[14]AssetDetails_UEM!$A$3:$AH$1849,6,FALSE)</f>
        <v>Electrosurgical Units, Monopolar/Bipolar</v>
      </c>
      <c r="EPA102" s="528" t="s">
        <v>213</v>
      </c>
      <c r="EPB102" s="529" t="str">
        <f>VLOOKUP(EPA102,[14]AssetDetails_UEM!$A$3:$AH$1849,6,FALSE)</f>
        <v>Electrosurgical Units, Monopolar/Bipolar</v>
      </c>
      <c r="EPC102" s="528" t="s">
        <v>213</v>
      </c>
      <c r="EPD102" s="529" t="str">
        <f>VLOOKUP(EPC102,[14]AssetDetails_UEM!$A$3:$AH$1849,6,FALSE)</f>
        <v>Electrosurgical Units, Monopolar/Bipolar</v>
      </c>
      <c r="EPE102" s="528" t="s">
        <v>213</v>
      </c>
      <c r="EPF102" s="529" t="str">
        <f>VLOOKUP(EPE102,[14]AssetDetails_UEM!$A$3:$AH$1849,6,FALSE)</f>
        <v>Electrosurgical Units, Monopolar/Bipolar</v>
      </c>
      <c r="EPG102" s="528" t="s">
        <v>213</v>
      </c>
      <c r="EPH102" s="529" t="str">
        <f>VLOOKUP(EPG102,[14]AssetDetails_UEM!$A$3:$AH$1849,6,FALSE)</f>
        <v>Electrosurgical Units, Monopolar/Bipolar</v>
      </c>
      <c r="EPI102" s="528" t="s">
        <v>213</v>
      </c>
      <c r="EPJ102" s="529" t="str">
        <f>VLOOKUP(EPI102,[14]AssetDetails_UEM!$A$3:$AH$1849,6,FALSE)</f>
        <v>Electrosurgical Units, Monopolar/Bipolar</v>
      </c>
      <c r="EPK102" s="528" t="s">
        <v>213</v>
      </c>
      <c r="EPL102" s="529" t="str">
        <f>VLOOKUP(EPK102,[14]AssetDetails_UEM!$A$3:$AH$1849,6,FALSE)</f>
        <v>Electrosurgical Units, Monopolar/Bipolar</v>
      </c>
      <c r="EPM102" s="528" t="s">
        <v>213</v>
      </c>
      <c r="EPN102" s="529" t="str">
        <f>VLOOKUP(EPM102,[14]AssetDetails_UEM!$A$3:$AH$1849,6,FALSE)</f>
        <v>Electrosurgical Units, Monopolar/Bipolar</v>
      </c>
      <c r="EPO102" s="528" t="s">
        <v>213</v>
      </c>
      <c r="EPP102" s="529" t="str">
        <f>VLOOKUP(EPO102,[14]AssetDetails_UEM!$A$3:$AH$1849,6,FALSE)</f>
        <v>Electrosurgical Units, Monopolar/Bipolar</v>
      </c>
      <c r="EPQ102" s="528" t="s">
        <v>213</v>
      </c>
      <c r="EPR102" s="529" t="str">
        <f>VLOOKUP(EPQ102,[14]AssetDetails_UEM!$A$3:$AH$1849,6,FALSE)</f>
        <v>Electrosurgical Units, Monopolar/Bipolar</v>
      </c>
      <c r="EPS102" s="528" t="s">
        <v>213</v>
      </c>
      <c r="EPT102" s="529" t="str">
        <f>VLOOKUP(EPS102,[14]AssetDetails_UEM!$A$3:$AH$1849,6,FALSE)</f>
        <v>Electrosurgical Units, Monopolar/Bipolar</v>
      </c>
      <c r="EPU102" s="528" t="s">
        <v>213</v>
      </c>
      <c r="EPV102" s="529" t="str">
        <f>VLOOKUP(EPU102,[14]AssetDetails_UEM!$A$3:$AH$1849,6,FALSE)</f>
        <v>Electrosurgical Units, Monopolar/Bipolar</v>
      </c>
      <c r="EPW102" s="528" t="s">
        <v>213</v>
      </c>
      <c r="EPX102" s="529" t="str">
        <f>VLOOKUP(EPW102,[14]AssetDetails_UEM!$A$3:$AH$1849,6,FALSE)</f>
        <v>Electrosurgical Units, Monopolar/Bipolar</v>
      </c>
      <c r="EPY102" s="528" t="s">
        <v>213</v>
      </c>
      <c r="EPZ102" s="529" t="str">
        <f>VLOOKUP(EPY102,[14]AssetDetails_UEM!$A$3:$AH$1849,6,FALSE)</f>
        <v>Electrosurgical Units, Monopolar/Bipolar</v>
      </c>
      <c r="EQA102" s="528" t="s">
        <v>213</v>
      </c>
      <c r="EQB102" s="529" t="str">
        <f>VLOOKUP(EQA102,[14]AssetDetails_UEM!$A$3:$AH$1849,6,FALSE)</f>
        <v>Electrosurgical Units, Monopolar/Bipolar</v>
      </c>
      <c r="EQC102" s="528" t="s">
        <v>213</v>
      </c>
      <c r="EQD102" s="529" t="str">
        <f>VLOOKUP(EQC102,[14]AssetDetails_UEM!$A$3:$AH$1849,6,FALSE)</f>
        <v>Electrosurgical Units, Monopolar/Bipolar</v>
      </c>
      <c r="EQE102" s="528" t="s">
        <v>213</v>
      </c>
      <c r="EQF102" s="529" t="str">
        <f>VLOOKUP(EQE102,[14]AssetDetails_UEM!$A$3:$AH$1849,6,FALSE)</f>
        <v>Electrosurgical Units, Monopolar/Bipolar</v>
      </c>
      <c r="EQG102" s="528" t="s">
        <v>213</v>
      </c>
      <c r="EQH102" s="529" t="str">
        <f>VLOOKUP(EQG102,[14]AssetDetails_UEM!$A$3:$AH$1849,6,FALSE)</f>
        <v>Electrosurgical Units, Monopolar/Bipolar</v>
      </c>
      <c r="EQI102" s="528" t="s">
        <v>213</v>
      </c>
      <c r="EQJ102" s="529" t="str">
        <f>VLOOKUP(EQI102,[14]AssetDetails_UEM!$A$3:$AH$1849,6,FALSE)</f>
        <v>Electrosurgical Units, Monopolar/Bipolar</v>
      </c>
      <c r="EQK102" s="528" t="s">
        <v>213</v>
      </c>
      <c r="EQL102" s="529" t="str">
        <f>VLOOKUP(EQK102,[14]AssetDetails_UEM!$A$3:$AH$1849,6,FALSE)</f>
        <v>Electrosurgical Units, Monopolar/Bipolar</v>
      </c>
      <c r="EQM102" s="528" t="s">
        <v>213</v>
      </c>
      <c r="EQN102" s="529" t="str">
        <f>VLOOKUP(EQM102,[14]AssetDetails_UEM!$A$3:$AH$1849,6,FALSE)</f>
        <v>Electrosurgical Units, Monopolar/Bipolar</v>
      </c>
      <c r="EQO102" s="528" t="s">
        <v>213</v>
      </c>
      <c r="EQP102" s="529" t="str">
        <f>VLOOKUP(EQO102,[14]AssetDetails_UEM!$A$3:$AH$1849,6,FALSE)</f>
        <v>Electrosurgical Units, Monopolar/Bipolar</v>
      </c>
      <c r="EQQ102" s="528" t="s">
        <v>213</v>
      </c>
      <c r="EQR102" s="529" t="str">
        <f>VLOOKUP(EQQ102,[14]AssetDetails_UEM!$A$3:$AH$1849,6,FALSE)</f>
        <v>Electrosurgical Units, Monopolar/Bipolar</v>
      </c>
      <c r="EQS102" s="528" t="s">
        <v>213</v>
      </c>
      <c r="EQT102" s="529" t="str">
        <f>VLOOKUP(EQS102,[14]AssetDetails_UEM!$A$3:$AH$1849,6,FALSE)</f>
        <v>Electrosurgical Units, Monopolar/Bipolar</v>
      </c>
      <c r="EQU102" s="528" t="s">
        <v>213</v>
      </c>
      <c r="EQV102" s="529" t="str">
        <f>VLOOKUP(EQU102,[14]AssetDetails_UEM!$A$3:$AH$1849,6,FALSE)</f>
        <v>Electrosurgical Units, Monopolar/Bipolar</v>
      </c>
      <c r="EQW102" s="528" t="s">
        <v>213</v>
      </c>
      <c r="EQX102" s="529" t="str">
        <f>VLOOKUP(EQW102,[14]AssetDetails_UEM!$A$3:$AH$1849,6,FALSE)</f>
        <v>Electrosurgical Units, Monopolar/Bipolar</v>
      </c>
      <c r="EQY102" s="528" t="s">
        <v>213</v>
      </c>
      <c r="EQZ102" s="529" t="str">
        <f>VLOOKUP(EQY102,[14]AssetDetails_UEM!$A$3:$AH$1849,6,FALSE)</f>
        <v>Electrosurgical Units, Monopolar/Bipolar</v>
      </c>
      <c r="ERA102" s="528" t="s">
        <v>213</v>
      </c>
      <c r="ERB102" s="529" t="str">
        <f>VLOOKUP(ERA102,[14]AssetDetails_UEM!$A$3:$AH$1849,6,FALSE)</f>
        <v>Electrosurgical Units, Monopolar/Bipolar</v>
      </c>
      <c r="ERC102" s="528" t="s">
        <v>213</v>
      </c>
      <c r="ERD102" s="529" t="str">
        <f>VLOOKUP(ERC102,[14]AssetDetails_UEM!$A$3:$AH$1849,6,FALSE)</f>
        <v>Electrosurgical Units, Monopolar/Bipolar</v>
      </c>
      <c r="ERE102" s="528" t="s">
        <v>213</v>
      </c>
      <c r="ERF102" s="529" t="str">
        <f>VLOOKUP(ERE102,[14]AssetDetails_UEM!$A$3:$AH$1849,6,FALSE)</f>
        <v>Electrosurgical Units, Monopolar/Bipolar</v>
      </c>
      <c r="ERG102" s="528" t="s">
        <v>213</v>
      </c>
      <c r="ERH102" s="529" t="str">
        <f>VLOOKUP(ERG102,[14]AssetDetails_UEM!$A$3:$AH$1849,6,FALSE)</f>
        <v>Electrosurgical Units, Monopolar/Bipolar</v>
      </c>
      <c r="ERI102" s="528" t="s">
        <v>213</v>
      </c>
      <c r="ERJ102" s="529" t="str">
        <f>VLOOKUP(ERI102,[14]AssetDetails_UEM!$A$3:$AH$1849,6,FALSE)</f>
        <v>Electrosurgical Units, Monopolar/Bipolar</v>
      </c>
      <c r="ERK102" s="528" t="s">
        <v>213</v>
      </c>
      <c r="ERL102" s="529" t="str">
        <f>VLOOKUP(ERK102,[14]AssetDetails_UEM!$A$3:$AH$1849,6,FALSE)</f>
        <v>Electrosurgical Units, Monopolar/Bipolar</v>
      </c>
      <c r="ERM102" s="528" t="s">
        <v>213</v>
      </c>
      <c r="ERN102" s="529" t="str">
        <f>VLOOKUP(ERM102,[14]AssetDetails_UEM!$A$3:$AH$1849,6,FALSE)</f>
        <v>Electrosurgical Units, Monopolar/Bipolar</v>
      </c>
      <c r="ERO102" s="528" t="s">
        <v>213</v>
      </c>
      <c r="ERP102" s="529" t="str">
        <f>VLOOKUP(ERO102,[14]AssetDetails_UEM!$A$3:$AH$1849,6,FALSE)</f>
        <v>Electrosurgical Units, Monopolar/Bipolar</v>
      </c>
      <c r="ERQ102" s="528" t="s">
        <v>213</v>
      </c>
      <c r="ERR102" s="529" t="str">
        <f>VLOOKUP(ERQ102,[14]AssetDetails_UEM!$A$3:$AH$1849,6,FALSE)</f>
        <v>Electrosurgical Units, Monopolar/Bipolar</v>
      </c>
      <c r="ERS102" s="528" t="s">
        <v>213</v>
      </c>
      <c r="ERT102" s="529" t="str">
        <f>VLOOKUP(ERS102,[14]AssetDetails_UEM!$A$3:$AH$1849,6,FALSE)</f>
        <v>Electrosurgical Units, Monopolar/Bipolar</v>
      </c>
      <c r="ERU102" s="528" t="s">
        <v>213</v>
      </c>
      <c r="ERV102" s="529" t="str">
        <f>VLOOKUP(ERU102,[14]AssetDetails_UEM!$A$3:$AH$1849,6,FALSE)</f>
        <v>Electrosurgical Units, Monopolar/Bipolar</v>
      </c>
      <c r="ERW102" s="528" t="s">
        <v>213</v>
      </c>
      <c r="ERX102" s="529" t="str">
        <f>VLOOKUP(ERW102,[14]AssetDetails_UEM!$A$3:$AH$1849,6,FALSE)</f>
        <v>Electrosurgical Units, Monopolar/Bipolar</v>
      </c>
      <c r="ERY102" s="528" t="s">
        <v>213</v>
      </c>
      <c r="ERZ102" s="529" t="str">
        <f>VLOOKUP(ERY102,[14]AssetDetails_UEM!$A$3:$AH$1849,6,FALSE)</f>
        <v>Electrosurgical Units, Monopolar/Bipolar</v>
      </c>
      <c r="ESA102" s="528" t="s">
        <v>213</v>
      </c>
      <c r="ESB102" s="529" t="str">
        <f>VLOOKUP(ESA102,[14]AssetDetails_UEM!$A$3:$AH$1849,6,FALSE)</f>
        <v>Electrosurgical Units, Monopolar/Bipolar</v>
      </c>
      <c r="ESC102" s="528" t="s">
        <v>213</v>
      </c>
      <c r="ESD102" s="529" t="str">
        <f>VLOOKUP(ESC102,[14]AssetDetails_UEM!$A$3:$AH$1849,6,FALSE)</f>
        <v>Electrosurgical Units, Monopolar/Bipolar</v>
      </c>
      <c r="ESE102" s="528" t="s">
        <v>213</v>
      </c>
      <c r="ESF102" s="529" t="str">
        <f>VLOOKUP(ESE102,[14]AssetDetails_UEM!$A$3:$AH$1849,6,FALSE)</f>
        <v>Electrosurgical Units, Monopolar/Bipolar</v>
      </c>
      <c r="ESG102" s="528" t="s">
        <v>213</v>
      </c>
      <c r="ESH102" s="529" t="str">
        <f>VLOOKUP(ESG102,[14]AssetDetails_UEM!$A$3:$AH$1849,6,FALSE)</f>
        <v>Electrosurgical Units, Monopolar/Bipolar</v>
      </c>
      <c r="ESI102" s="528" t="s">
        <v>213</v>
      </c>
      <c r="ESJ102" s="529" t="str">
        <f>VLOOKUP(ESI102,[14]AssetDetails_UEM!$A$3:$AH$1849,6,FALSE)</f>
        <v>Electrosurgical Units, Monopolar/Bipolar</v>
      </c>
      <c r="ESK102" s="528" t="s">
        <v>213</v>
      </c>
      <c r="ESL102" s="529" t="str">
        <f>VLOOKUP(ESK102,[14]AssetDetails_UEM!$A$3:$AH$1849,6,FALSE)</f>
        <v>Electrosurgical Units, Monopolar/Bipolar</v>
      </c>
      <c r="ESM102" s="528" t="s">
        <v>213</v>
      </c>
      <c r="ESN102" s="529" t="str">
        <f>VLOOKUP(ESM102,[14]AssetDetails_UEM!$A$3:$AH$1849,6,FALSE)</f>
        <v>Electrosurgical Units, Monopolar/Bipolar</v>
      </c>
      <c r="ESO102" s="528" t="s">
        <v>213</v>
      </c>
      <c r="ESP102" s="529" t="str">
        <f>VLOOKUP(ESO102,[14]AssetDetails_UEM!$A$3:$AH$1849,6,FALSE)</f>
        <v>Electrosurgical Units, Monopolar/Bipolar</v>
      </c>
      <c r="ESQ102" s="528" t="s">
        <v>213</v>
      </c>
      <c r="ESR102" s="529" t="str">
        <f>VLOOKUP(ESQ102,[14]AssetDetails_UEM!$A$3:$AH$1849,6,FALSE)</f>
        <v>Electrosurgical Units, Monopolar/Bipolar</v>
      </c>
      <c r="ESS102" s="528" t="s">
        <v>213</v>
      </c>
      <c r="EST102" s="529" t="str">
        <f>VLOOKUP(ESS102,[14]AssetDetails_UEM!$A$3:$AH$1849,6,FALSE)</f>
        <v>Electrosurgical Units, Monopolar/Bipolar</v>
      </c>
      <c r="ESU102" s="528" t="s">
        <v>213</v>
      </c>
      <c r="ESV102" s="529" t="str">
        <f>VLOOKUP(ESU102,[14]AssetDetails_UEM!$A$3:$AH$1849,6,FALSE)</f>
        <v>Electrosurgical Units, Monopolar/Bipolar</v>
      </c>
      <c r="ESW102" s="528" t="s">
        <v>213</v>
      </c>
      <c r="ESX102" s="529" t="str">
        <f>VLOOKUP(ESW102,[14]AssetDetails_UEM!$A$3:$AH$1849,6,FALSE)</f>
        <v>Electrosurgical Units, Monopolar/Bipolar</v>
      </c>
      <c r="ESY102" s="528" t="s">
        <v>213</v>
      </c>
      <c r="ESZ102" s="529" t="str">
        <f>VLOOKUP(ESY102,[14]AssetDetails_UEM!$A$3:$AH$1849,6,FALSE)</f>
        <v>Electrosurgical Units, Monopolar/Bipolar</v>
      </c>
      <c r="ETA102" s="528" t="s">
        <v>213</v>
      </c>
      <c r="ETB102" s="529" t="str">
        <f>VLOOKUP(ETA102,[14]AssetDetails_UEM!$A$3:$AH$1849,6,FALSE)</f>
        <v>Electrosurgical Units, Monopolar/Bipolar</v>
      </c>
      <c r="ETC102" s="528" t="s">
        <v>213</v>
      </c>
      <c r="ETD102" s="529" t="str">
        <f>VLOOKUP(ETC102,[14]AssetDetails_UEM!$A$3:$AH$1849,6,FALSE)</f>
        <v>Electrosurgical Units, Monopolar/Bipolar</v>
      </c>
      <c r="ETE102" s="528" t="s">
        <v>213</v>
      </c>
      <c r="ETF102" s="529" t="str">
        <f>VLOOKUP(ETE102,[14]AssetDetails_UEM!$A$3:$AH$1849,6,FALSE)</f>
        <v>Electrosurgical Units, Monopolar/Bipolar</v>
      </c>
      <c r="ETG102" s="528" t="s">
        <v>213</v>
      </c>
      <c r="ETH102" s="529" t="str">
        <f>VLOOKUP(ETG102,[14]AssetDetails_UEM!$A$3:$AH$1849,6,FALSE)</f>
        <v>Electrosurgical Units, Monopolar/Bipolar</v>
      </c>
      <c r="ETI102" s="528" t="s">
        <v>213</v>
      </c>
      <c r="ETJ102" s="529" t="str">
        <f>VLOOKUP(ETI102,[14]AssetDetails_UEM!$A$3:$AH$1849,6,FALSE)</f>
        <v>Electrosurgical Units, Monopolar/Bipolar</v>
      </c>
      <c r="ETK102" s="528" t="s">
        <v>213</v>
      </c>
      <c r="ETL102" s="529" t="str">
        <f>VLOOKUP(ETK102,[14]AssetDetails_UEM!$A$3:$AH$1849,6,FALSE)</f>
        <v>Electrosurgical Units, Monopolar/Bipolar</v>
      </c>
      <c r="ETM102" s="528" t="s">
        <v>213</v>
      </c>
      <c r="ETN102" s="529" t="str">
        <f>VLOOKUP(ETM102,[14]AssetDetails_UEM!$A$3:$AH$1849,6,FALSE)</f>
        <v>Electrosurgical Units, Monopolar/Bipolar</v>
      </c>
      <c r="ETO102" s="528" t="s">
        <v>213</v>
      </c>
      <c r="ETP102" s="529" t="str">
        <f>VLOOKUP(ETO102,[14]AssetDetails_UEM!$A$3:$AH$1849,6,FALSE)</f>
        <v>Electrosurgical Units, Monopolar/Bipolar</v>
      </c>
      <c r="ETQ102" s="528" t="s">
        <v>213</v>
      </c>
      <c r="ETR102" s="529" t="str">
        <f>VLOOKUP(ETQ102,[14]AssetDetails_UEM!$A$3:$AH$1849,6,FALSE)</f>
        <v>Electrosurgical Units, Monopolar/Bipolar</v>
      </c>
      <c r="ETS102" s="528" t="s">
        <v>213</v>
      </c>
      <c r="ETT102" s="529" t="str">
        <f>VLOOKUP(ETS102,[14]AssetDetails_UEM!$A$3:$AH$1849,6,FALSE)</f>
        <v>Electrosurgical Units, Monopolar/Bipolar</v>
      </c>
      <c r="ETU102" s="528" t="s">
        <v>213</v>
      </c>
      <c r="ETV102" s="529" t="str">
        <f>VLOOKUP(ETU102,[14]AssetDetails_UEM!$A$3:$AH$1849,6,FALSE)</f>
        <v>Electrosurgical Units, Monopolar/Bipolar</v>
      </c>
      <c r="ETW102" s="528" t="s">
        <v>213</v>
      </c>
      <c r="ETX102" s="529" t="str">
        <f>VLOOKUP(ETW102,[14]AssetDetails_UEM!$A$3:$AH$1849,6,FALSE)</f>
        <v>Electrosurgical Units, Monopolar/Bipolar</v>
      </c>
      <c r="ETY102" s="528" t="s">
        <v>213</v>
      </c>
      <c r="ETZ102" s="529" t="str">
        <f>VLOOKUP(ETY102,[14]AssetDetails_UEM!$A$3:$AH$1849,6,FALSE)</f>
        <v>Electrosurgical Units, Monopolar/Bipolar</v>
      </c>
      <c r="EUA102" s="528" t="s">
        <v>213</v>
      </c>
      <c r="EUB102" s="529" t="str">
        <f>VLOOKUP(EUA102,[14]AssetDetails_UEM!$A$3:$AH$1849,6,FALSE)</f>
        <v>Electrosurgical Units, Monopolar/Bipolar</v>
      </c>
      <c r="EUC102" s="528" t="s">
        <v>213</v>
      </c>
      <c r="EUD102" s="529" t="str">
        <f>VLOOKUP(EUC102,[14]AssetDetails_UEM!$A$3:$AH$1849,6,FALSE)</f>
        <v>Electrosurgical Units, Monopolar/Bipolar</v>
      </c>
      <c r="EUE102" s="528" t="s">
        <v>213</v>
      </c>
      <c r="EUF102" s="529" t="str">
        <f>VLOOKUP(EUE102,[14]AssetDetails_UEM!$A$3:$AH$1849,6,FALSE)</f>
        <v>Electrosurgical Units, Monopolar/Bipolar</v>
      </c>
      <c r="EUG102" s="528" t="s">
        <v>213</v>
      </c>
      <c r="EUH102" s="529" t="str">
        <f>VLOOKUP(EUG102,[14]AssetDetails_UEM!$A$3:$AH$1849,6,FALSE)</f>
        <v>Electrosurgical Units, Monopolar/Bipolar</v>
      </c>
      <c r="EUI102" s="528" t="s">
        <v>213</v>
      </c>
      <c r="EUJ102" s="529" t="str">
        <f>VLOOKUP(EUI102,[14]AssetDetails_UEM!$A$3:$AH$1849,6,FALSE)</f>
        <v>Electrosurgical Units, Monopolar/Bipolar</v>
      </c>
      <c r="EUK102" s="528" t="s">
        <v>213</v>
      </c>
      <c r="EUL102" s="529" t="str">
        <f>VLOOKUP(EUK102,[14]AssetDetails_UEM!$A$3:$AH$1849,6,FALSE)</f>
        <v>Electrosurgical Units, Monopolar/Bipolar</v>
      </c>
      <c r="EUM102" s="528" t="s">
        <v>213</v>
      </c>
      <c r="EUN102" s="529" t="str">
        <f>VLOOKUP(EUM102,[14]AssetDetails_UEM!$A$3:$AH$1849,6,FALSE)</f>
        <v>Electrosurgical Units, Monopolar/Bipolar</v>
      </c>
      <c r="EUO102" s="528" t="s">
        <v>213</v>
      </c>
      <c r="EUP102" s="529" t="str">
        <f>VLOOKUP(EUO102,[14]AssetDetails_UEM!$A$3:$AH$1849,6,FALSE)</f>
        <v>Electrosurgical Units, Monopolar/Bipolar</v>
      </c>
      <c r="EUQ102" s="528" t="s">
        <v>213</v>
      </c>
      <c r="EUR102" s="529" t="str">
        <f>VLOOKUP(EUQ102,[14]AssetDetails_UEM!$A$3:$AH$1849,6,FALSE)</f>
        <v>Electrosurgical Units, Monopolar/Bipolar</v>
      </c>
      <c r="EUS102" s="528" t="s">
        <v>213</v>
      </c>
      <c r="EUT102" s="529" t="str">
        <f>VLOOKUP(EUS102,[14]AssetDetails_UEM!$A$3:$AH$1849,6,FALSE)</f>
        <v>Electrosurgical Units, Monopolar/Bipolar</v>
      </c>
      <c r="EUU102" s="528" t="s">
        <v>213</v>
      </c>
      <c r="EUV102" s="529" t="str">
        <f>VLOOKUP(EUU102,[14]AssetDetails_UEM!$A$3:$AH$1849,6,FALSE)</f>
        <v>Electrosurgical Units, Monopolar/Bipolar</v>
      </c>
      <c r="EUW102" s="528" t="s">
        <v>213</v>
      </c>
      <c r="EUX102" s="529" t="str">
        <f>VLOOKUP(EUW102,[14]AssetDetails_UEM!$A$3:$AH$1849,6,FALSE)</f>
        <v>Electrosurgical Units, Monopolar/Bipolar</v>
      </c>
      <c r="EUY102" s="528" t="s">
        <v>213</v>
      </c>
      <c r="EUZ102" s="529" t="str">
        <f>VLOOKUP(EUY102,[14]AssetDetails_UEM!$A$3:$AH$1849,6,FALSE)</f>
        <v>Electrosurgical Units, Monopolar/Bipolar</v>
      </c>
      <c r="EVA102" s="528" t="s">
        <v>213</v>
      </c>
      <c r="EVB102" s="529" t="str">
        <f>VLOOKUP(EVA102,[14]AssetDetails_UEM!$A$3:$AH$1849,6,FALSE)</f>
        <v>Electrosurgical Units, Monopolar/Bipolar</v>
      </c>
      <c r="EVC102" s="528" t="s">
        <v>213</v>
      </c>
      <c r="EVD102" s="529" t="str">
        <f>VLOOKUP(EVC102,[14]AssetDetails_UEM!$A$3:$AH$1849,6,FALSE)</f>
        <v>Electrosurgical Units, Monopolar/Bipolar</v>
      </c>
      <c r="EVE102" s="528" t="s">
        <v>213</v>
      </c>
      <c r="EVF102" s="529" t="str">
        <f>VLOOKUP(EVE102,[14]AssetDetails_UEM!$A$3:$AH$1849,6,FALSE)</f>
        <v>Electrosurgical Units, Monopolar/Bipolar</v>
      </c>
      <c r="EVG102" s="528" t="s">
        <v>213</v>
      </c>
      <c r="EVH102" s="529" t="str">
        <f>VLOOKUP(EVG102,[14]AssetDetails_UEM!$A$3:$AH$1849,6,FALSE)</f>
        <v>Electrosurgical Units, Monopolar/Bipolar</v>
      </c>
      <c r="EVI102" s="528" t="s">
        <v>213</v>
      </c>
      <c r="EVJ102" s="529" t="str">
        <f>VLOOKUP(EVI102,[14]AssetDetails_UEM!$A$3:$AH$1849,6,FALSE)</f>
        <v>Electrosurgical Units, Monopolar/Bipolar</v>
      </c>
      <c r="EVK102" s="528" t="s">
        <v>213</v>
      </c>
      <c r="EVL102" s="529" t="str">
        <f>VLOOKUP(EVK102,[14]AssetDetails_UEM!$A$3:$AH$1849,6,FALSE)</f>
        <v>Electrosurgical Units, Monopolar/Bipolar</v>
      </c>
      <c r="EVM102" s="528" t="s">
        <v>213</v>
      </c>
      <c r="EVN102" s="529" t="str">
        <f>VLOOKUP(EVM102,[14]AssetDetails_UEM!$A$3:$AH$1849,6,FALSE)</f>
        <v>Electrosurgical Units, Monopolar/Bipolar</v>
      </c>
      <c r="EVO102" s="528" t="s">
        <v>213</v>
      </c>
      <c r="EVP102" s="529" t="str">
        <f>VLOOKUP(EVO102,[14]AssetDetails_UEM!$A$3:$AH$1849,6,FALSE)</f>
        <v>Electrosurgical Units, Monopolar/Bipolar</v>
      </c>
      <c r="EVQ102" s="528" t="s">
        <v>213</v>
      </c>
      <c r="EVR102" s="529" t="str">
        <f>VLOOKUP(EVQ102,[14]AssetDetails_UEM!$A$3:$AH$1849,6,FALSE)</f>
        <v>Electrosurgical Units, Monopolar/Bipolar</v>
      </c>
      <c r="EVS102" s="528" t="s">
        <v>213</v>
      </c>
      <c r="EVT102" s="529" t="str">
        <f>VLOOKUP(EVS102,[14]AssetDetails_UEM!$A$3:$AH$1849,6,FALSE)</f>
        <v>Electrosurgical Units, Monopolar/Bipolar</v>
      </c>
      <c r="EVU102" s="528" t="s">
        <v>213</v>
      </c>
      <c r="EVV102" s="529" t="str">
        <f>VLOOKUP(EVU102,[14]AssetDetails_UEM!$A$3:$AH$1849,6,FALSE)</f>
        <v>Electrosurgical Units, Monopolar/Bipolar</v>
      </c>
      <c r="EVW102" s="528" t="s">
        <v>213</v>
      </c>
      <c r="EVX102" s="529" t="str">
        <f>VLOOKUP(EVW102,[14]AssetDetails_UEM!$A$3:$AH$1849,6,FALSE)</f>
        <v>Electrosurgical Units, Monopolar/Bipolar</v>
      </c>
      <c r="EVY102" s="528" t="s">
        <v>213</v>
      </c>
      <c r="EVZ102" s="529" t="str">
        <f>VLOOKUP(EVY102,[14]AssetDetails_UEM!$A$3:$AH$1849,6,FALSE)</f>
        <v>Electrosurgical Units, Monopolar/Bipolar</v>
      </c>
      <c r="EWA102" s="528" t="s">
        <v>213</v>
      </c>
      <c r="EWB102" s="529" t="str">
        <f>VLOOKUP(EWA102,[14]AssetDetails_UEM!$A$3:$AH$1849,6,FALSE)</f>
        <v>Electrosurgical Units, Monopolar/Bipolar</v>
      </c>
      <c r="EWC102" s="528" t="s">
        <v>213</v>
      </c>
      <c r="EWD102" s="529" t="str">
        <f>VLOOKUP(EWC102,[14]AssetDetails_UEM!$A$3:$AH$1849,6,FALSE)</f>
        <v>Electrosurgical Units, Monopolar/Bipolar</v>
      </c>
      <c r="EWE102" s="528" t="s">
        <v>213</v>
      </c>
      <c r="EWF102" s="529" t="str">
        <f>VLOOKUP(EWE102,[14]AssetDetails_UEM!$A$3:$AH$1849,6,FALSE)</f>
        <v>Electrosurgical Units, Monopolar/Bipolar</v>
      </c>
      <c r="EWG102" s="528" t="s">
        <v>213</v>
      </c>
      <c r="EWH102" s="529" t="str">
        <f>VLOOKUP(EWG102,[14]AssetDetails_UEM!$A$3:$AH$1849,6,FALSE)</f>
        <v>Electrosurgical Units, Monopolar/Bipolar</v>
      </c>
      <c r="EWI102" s="528" t="s">
        <v>213</v>
      </c>
      <c r="EWJ102" s="529" t="str">
        <f>VLOOKUP(EWI102,[14]AssetDetails_UEM!$A$3:$AH$1849,6,FALSE)</f>
        <v>Electrosurgical Units, Monopolar/Bipolar</v>
      </c>
      <c r="EWK102" s="528" t="s">
        <v>213</v>
      </c>
      <c r="EWL102" s="529" t="str">
        <f>VLOOKUP(EWK102,[14]AssetDetails_UEM!$A$3:$AH$1849,6,FALSE)</f>
        <v>Electrosurgical Units, Monopolar/Bipolar</v>
      </c>
      <c r="EWM102" s="528" t="s">
        <v>213</v>
      </c>
      <c r="EWN102" s="529" t="str">
        <f>VLOOKUP(EWM102,[14]AssetDetails_UEM!$A$3:$AH$1849,6,FALSE)</f>
        <v>Electrosurgical Units, Monopolar/Bipolar</v>
      </c>
      <c r="EWO102" s="528" t="s">
        <v>213</v>
      </c>
      <c r="EWP102" s="529" t="str">
        <f>VLOOKUP(EWO102,[14]AssetDetails_UEM!$A$3:$AH$1849,6,FALSE)</f>
        <v>Electrosurgical Units, Monopolar/Bipolar</v>
      </c>
      <c r="EWQ102" s="528" t="s">
        <v>213</v>
      </c>
      <c r="EWR102" s="529" t="str">
        <f>VLOOKUP(EWQ102,[14]AssetDetails_UEM!$A$3:$AH$1849,6,FALSE)</f>
        <v>Electrosurgical Units, Monopolar/Bipolar</v>
      </c>
      <c r="EWS102" s="528" t="s">
        <v>213</v>
      </c>
      <c r="EWT102" s="529" t="str">
        <f>VLOOKUP(EWS102,[14]AssetDetails_UEM!$A$3:$AH$1849,6,FALSE)</f>
        <v>Electrosurgical Units, Monopolar/Bipolar</v>
      </c>
      <c r="EWU102" s="528" t="s">
        <v>213</v>
      </c>
      <c r="EWV102" s="529" t="str">
        <f>VLOOKUP(EWU102,[14]AssetDetails_UEM!$A$3:$AH$1849,6,FALSE)</f>
        <v>Electrosurgical Units, Monopolar/Bipolar</v>
      </c>
      <c r="EWW102" s="528" t="s">
        <v>213</v>
      </c>
      <c r="EWX102" s="529" t="str">
        <f>VLOOKUP(EWW102,[14]AssetDetails_UEM!$A$3:$AH$1849,6,FALSE)</f>
        <v>Electrosurgical Units, Monopolar/Bipolar</v>
      </c>
      <c r="EWY102" s="528" t="s">
        <v>213</v>
      </c>
      <c r="EWZ102" s="529" t="str">
        <f>VLOOKUP(EWY102,[14]AssetDetails_UEM!$A$3:$AH$1849,6,FALSE)</f>
        <v>Electrosurgical Units, Monopolar/Bipolar</v>
      </c>
      <c r="EXA102" s="528" t="s">
        <v>213</v>
      </c>
      <c r="EXB102" s="529" t="str">
        <f>VLOOKUP(EXA102,[14]AssetDetails_UEM!$A$3:$AH$1849,6,FALSE)</f>
        <v>Electrosurgical Units, Monopolar/Bipolar</v>
      </c>
      <c r="EXC102" s="528" t="s">
        <v>213</v>
      </c>
      <c r="EXD102" s="529" t="str">
        <f>VLOOKUP(EXC102,[14]AssetDetails_UEM!$A$3:$AH$1849,6,FALSE)</f>
        <v>Electrosurgical Units, Monopolar/Bipolar</v>
      </c>
      <c r="EXE102" s="528" t="s">
        <v>213</v>
      </c>
      <c r="EXF102" s="529" t="str">
        <f>VLOOKUP(EXE102,[14]AssetDetails_UEM!$A$3:$AH$1849,6,FALSE)</f>
        <v>Electrosurgical Units, Monopolar/Bipolar</v>
      </c>
      <c r="EXG102" s="528" t="s">
        <v>213</v>
      </c>
      <c r="EXH102" s="529" t="str">
        <f>VLOOKUP(EXG102,[14]AssetDetails_UEM!$A$3:$AH$1849,6,FALSE)</f>
        <v>Electrosurgical Units, Monopolar/Bipolar</v>
      </c>
      <c r="EXI102" s="528" t="s">
        <v>213</v>
      </c>
      <c r="EXJ102" s="529" t="str">
        <f>VLOOKUP(EXI102,[14]AssetDetails_UEM!$A$3:$AH$1849,6,FALSE)</f>
        <v>Electrosurgical Units, Monopolar/Bipolar</v>
      </c>
      <c r="EXK102" s="528" t="s">
        <v>213</v>
      </c>
      <c r="EXL102" s="529" t="str">
        <f>VLOOKUP(EXK102,[14]AssetDetails_UEM!$A$3:$AH$1849,6,FALSE)</f>
        <v>Electrosurgical Units, Monopolar/Bipolar</v>
      </c>
      <c r="EXM102" s="528" t="s">
        <v>213</v>
      </c>
      <c r="EXN102" s="529" t="str">
        <f>VLOOKUP(EXM102,[14]AssetDetails_UEM!$A$3:$AH$1849,6,FALSE)</f>
        <v>Electrosurgical Units, Monopolar/Bipolar</v>
      </c>
      <c r="EXO102" s="528" t="s">
        <v>213</v>
      </c>
      <c r="EXP102" s="529" t="str">
        <f>VLOOKUP(EXO102,[14]AssetDetails_UEM!$A$3:$AH$1849,6,FALSE)</f>
        <v>Electrosurgical Units, Monopolar/Bipolar</v>
      </c>
      <c r="EXQ102" s="528" t="s">
        <v>213</v>
      </c>
      <c r="EXR102" s="529" t="str">
        <f>VLOOKUP(EXQ102,[14]AssetDetails_UEM!$A$3:$AH$1849,6,FALSE)</f>
        <v>Electrosurgical Units, Monopolar/Bipolar</v>
      </c>
      <c r="EXS102" s="528" t="s">
        <v>213</v>
      </c>
      <c r="EXT102" s="529" t="str">
        <f>VLOOKUP(EXS102,[14]AssetDetails_UEM!$A$3:$AH$1849,6,FALSE)</f>
        <v>Electrosurgical Units, Monopolar/Bipolar</v>
      </c>
      <c r="EXU102" s="528" t="s">
        <v>213</v>
      </c>
      <c r="EXV102" s="529" t="str">
        <f>VLOOKUP(EXU102,[14]AssetDetails_UEM!$A$3:$AH$1849,6,FALSE)</f>
        <v>Electrosurgical Units, Monopolar/Bipolar</v>
      </c>
      <c r="EXW102" s="528" t="s">
        <v>213</v>
      </c>
      <c r="EXX102" s="529" t="str">
        <f>VLOOKUP(EXW102,[14]AssetDetails_UEM!$A$3:$AH$1849,6,FALSE)</f>
        <v>Electrosurgical Units, Monopolar/Bipolar</v>
      </c>
      <c r="EXY102" s="528" t="s">
        <v>213</v>
      </c>
      <c r="EXZ102" s="529" t="str">
        <f>VLOOKUP(EXY102,[14]AssetDetails_UEM!$A$3:$AH$1849,6,FALSE)</f>
        <v>Electrosurgical Units, Monopolar/Bipolar</v>
      </c>
      <c r="EYA102" s="528" t="s">
        <v>213</v>
      </c>
      <c r="EYB102" s="529" t="str">
        <f>VLOOKUP(EYA102,[14]AssetDetails_UEM!$A$3:$AH$1849,6,FALSE)</f>
        <v>Electrosurgical Units, Monopolar/Bipolar</v>
      </c>
      <c r="EYC102" s="528" t="s">
        <v>213</v>
      </c>
      <c r="EYD102" s="529" t="str">
        <f>VLOOKUP(EYC102,[14]AssetDetails_UEM!$A$3:$AH$1849,6,FALSE)</f>
        <v>Electrosurgical Units, Monopolar/Bipolar</v>
      </c>
      <c r="EYE102" s="528" t="s">
        <v>213</v>
      </c>
      <c r="EYF102" s="529" t="str">
        <f>VLOOKUP(EYE102,[14]AssetDetails_UEM!$A$3:$AH$1849,6,FALSE)</f>
        <v>Electrosurgical Units, Monopolar/Bipolar</v>
      </c>
      <c r="EYG102" s="528" t="s">
        <v>213</v>
      </c>
      <c r="EYH102" s="529" t="str">
        <f>VLOOKUP(EYG102,[14]AssetDetails_UEM!$A$3:$AH$1849,6,FALSE)</f>
        <v>Electrosurgical Units, Monopolar/Bipolar</v>
      </c>
      <c r="EYI102" s="528" t="s">
        <v>213</v>
      </c>
      <c r="EYJ102" s="529" t="str">
        <f>VLOOKUP(EYI102,[14]AssetDetails_UEM!$A$3:$AH$1849,6,FALSE)</f>
        <v>Electrosurgical Units, Monopolar/Bipolar</v>
      </c>
      <c r="EYK102" s="528" t="s">
        <v>213</v>
      </c>
      <c r="EYL102" s="529" t="str">
        <f>VLOOKUP(EYK102,[14]AssetDetails_UEM!$A$3:$AH$1849,6,FALSE)</f>
        <v>Electrosurgical Units, Monopolar/Bipolar</v>
      </c>
      <c r="EYM102" s="528" t="s">
        <v>213</v>
      </c>
      <c r="EYN102" s="529" t="str">
        <f>VLOOKUP(EYM102,[14]AssetDetails_UEM!$A$3:$AH$1849,6,FALSE)</f>
        <v>Electrosurgical Units, Monopolar/Bipolar</v>
      </c>
      <c r="EYO102" s="528" t="s">
        <v>213</v>
      </c>
      <c r="EYP102" s="529" t="str">
        <f>VLOOKUP(EYO102,[14]AssetDetails_UEM!$A$3:$AH$1849,6,FALSE)</f>
        <v>Electrosurgical Units, Monopolar/Bipolar</v>
      </c>
      <c r="EYQ102" s="528" t="s">
        <v>213</v>
      </c>
      <c r="EYR102" s="529" t="str">
        <f>VLOOKUP(EYQ102,[14]AssetDetails_UEM!$A$3:$AH$1849,6,FALSE)</f>
        <v>Electrosurgical Units, Monopolar/Bipolar</v>
      </c>
      <c r="EYS102" s="528" t="s">
        <v>213</v>
      </c>
      <c r="EYT102" s="529" t="str">
        <f>VLOOKUP(EYS102,[14]AssetDetails_UEM!$A$3:$AH$1849,6,FALSE)</f>
        <v>Electrosurgical Units, Monopolar/Bipolar</v>
      </c>
      <c r="EYU102" s="528" t="s">
        <v>213</v>
      </c>
      <c r="EYV102" s="529" t="str">
        <f>VLOOKUP(EYU102,[14]AssetDetails_UEM!$A$3:$AH$1849,6,FALSE)</f>
        <v>Electrosurgical Units, Monopolar/Bipolar</v>
      </c>
      <c r="EYW102" s="528" t="s">
        <v>213</v>
      </c>
      <c r="EYX102" s="529" t="str">
        <f>VLOOKUP(EYW102,[14]AssetDetails_UEM!$A$3:$AH$1849,6,FALSE)</f>
        <v>Electrosurgical Units, Monopolar/Bipolar</v>
      </c>
      <c r="EYY102" s="528" t="s">
        <v>213</v>
      </c>
      <c r="EYZ102" s="529" t="str">
        <f>VLOOKUP(EYY102,[14]AssetDetails_UEM!$A$3:$AH$1849,6,FALSE)</f>
        <v>Electrosurgical Units, Monopolar/Bipolar</v>
      </c>
      <c r="EZA102" s="528" t="s">
        <v>213</v>
      </c>
      <c r="EZB102" s="529" t="str">
        <f>VLOOKUP(EZA102,[14]AssetDetails_UEM!$A$3:$AH$1849,6,FALSE)</f>
        <v>Electrosurgical Units, Monopolar/Bipolar</v>
      </c>
      <c r="EZC102" s="528" t="s">
        <v>213</v>
      </c>
      <c r="EZD102" s="529" t="str">
        <f>VLOOKUP(EZC102,[14]AssetDetails_UEM!$A$3:$AH$1849,6,FALSE)</f>
        <v>Electrosurgical Units, Monopolar/Bipolar</v>
      </c>
      <c r="EZE102" s="528" t="s">
        <v>213</v>
      </c>
      <c r="EZF102" s="529" t="str">
        <f>VLOOKUP(EZE102,[14]AssetDetails_UEM!$A$3:$AH$1849,6,FALSE)</f>
        <v>Electrosurgical Units, Monopolar/Bipolar</v>
      </c>
      <c r="EZG102" s="528" t="s">
        <v>213</v>
      </c>
      <c r="EZH102" s="529" t="str">
        <f>VLOOKUP(EZG102,[14]AssetDetails_UEM!$A$3:$AH$1849,6,FALSE)</f>
        <v>Electrosurgical Units, Monopolar/Bipolar</v>
      </c>
      <c r="EZI102" s="528" t="s">
        <v>213</v>
      </c>
      <c r="EZJ102" s="529" t="str">
        <f>VLOOKUP(EZI102,[14]AssetDetails_UEM!$A$3:$AH$1849,6,FALSE)</f>
        <v>Electrosurgical Units, Monopolar/Bipolar</v>
      </c>
      <c r="EZK102" s="528" t="s">
        <v>213</v>
      </c>
      <c r="EZL102" s="529" t="str">
        <f>VLOOKUP(EZK102,[14]AssetDetails_UEM!$A$3:$AH$1849,6,FALSE)</f>
        <v>Electrosurgical Units, Monopolar/Bipolar</v>
      </c>
      <c r="EZM102" s="528" t="s">
        <v>213</v>
      </c>
      <c r="EZN102" s="529" t="str">
        <f>VLOOKUP(EZM102,[14]AssetDetails_UEM!$A$3:$AH$1849,6,FALSE)</f>
        <v>Electrosurgical Units, Monopolar/Bipolar</v>
      </c>
      <c r="EZO102" s="528" t="s">
        <v>213</v>
      </c>
      <c r="EZP102" s="529" t="str">
        <f>VLOOKUP(EZO102,[14]AssetDetails_UEM!$A$3:$AH$1849,6,FALSE)</f>
        <v>Electrosurgical Units, Monopolar/Bipolar</v>
      </c>
      <c r="EZQ102" s="528" t="s">
        <v>213</v>
      </c>
      <c r="EZR102" s="529" t="str">
        <f>VLOOKUP(EZQ102,[14]AssetDetails_UEM!$A$3:$AH$1849,6,FALSE)</f>
        <v>Electrosurgical Units, Monopolar/Bipolar</v>
      </c>
      <c r="EZS102" s="528" t="s">
        <v>213</v>
      </c>
      <c r="EZT102" s="529" t="str">
        <f>VLOOKUP(EZS102,[14]AssetDetails_UEM!$A$3:$AH$1849,6,FALSE)</f>
        <v>Electrosurgical Units, Monopolar/Bipolar</v>
      </c>
      <c r="EZU102" s="528" t="s">
        <v>213</v>
      </c>
      <c r="EZV102" s="529" t="str">
        <f>VLOOKUP(EZU102,[14]AssetDetails_UEM!$A$3:$AH$1849,6,FALSE)</f>
        <v>Electrosurgical Units, Monopolar/Bipolar</v>
      </c>
      <c r="EZW102" s="528" t="s">
        <v>213</v>
      </c>
      <c r="EZX102" s="529" t="str">
        <f>VLOOKUP(EZW102,[14]AssetDetails_UEM!$A$3:$AH$1849,6,FALSE)</f>
        <v>Electrosurgical Units, Monopolar/Bipolar</v>
      </c>
      <c r="EZY102" s="528" t="s">
        <v>213</v>
      </c>
      <c r="EZZ102" s="529" t="str">
        <f>VLOOKUP(EZY102,[14]AssetDetails_UEM!$A$3:$AH$1849,6,FALSE)</f>
        <v>Electrosurgical Units, Monopolar/Bipolar</v>
      </c>
      <c r="FAA102" s="528" t="s">
        <v>213</v>
      </c>
      <c r="FAB102" s="529" t="str">
        <f>VLOOKUP(FAA102,[14]AssetDetails_UEM!$A$3:$AH$1849,6,FALSE)</f>
        <v>Electrosurgical Units, Monopolar/Bipolar</v>
      </c>
      <c r="FAC102" s="528" t="s">
        <v>213</v>
      </c>
      <c r="FAD102" s="529" t="str">
        <f>VLOOKUP(FAC102,[14]AssetDetails_UEM!$A$3:$AH$1849,6,FALSE)</f>
        <v>Electrosurgical Units, Monopolar/Bipolar</v>
      </c>
      <c r="FAE102" s="528" t="s">
        <v>213</v>
      </c>
      <c r="FAF102" s="529" t="str">
        <f>VLOOKUP(FAE102,[14]AssetDetails_UEM!$A$3:$AH$1849,6,FALSE)</f>
        <v>Electrosurgical Units, Monopolar/Bipolar</v>
      </c>
      <c r="FAG102" s="528" t="s">
        <v>213</v>
      </c>
      <c r="FAH102" s="529" t="str">
        <f>VLOOKUP(FAG102,[14]AssetDetails_UEM!$A$3:$AH$1849,6,FALSE)</f>
        <v>Electrosurgical Units, Monopolar/Bipolar</v>
      </c>
      <c r="FAI102" s="528" t="s">
        <v>213</v>
      </c>
      <c r="FAJ102" s="529" t="str">
        <f>VLOOKUP(FAI102,[14]AssetDetails_UEM!$A$3:$AH$1849,6,FALSE)</f>
        <v>Electrosurgical Units, Monopolar/Bipolar</v>
      </c>
      <c r="FAK102" s="528" t="s">
        <v>213</v>
      </c>
      <c r="FAL102" s="529" t="str">
        <f>VLOOKUP(FAK102,[14]AssetDetails_UEM!$A$3:$AH$1849,6,FALSE)</f>
        <v>Electrosurgical Units, Monopolar/Bipolar</v>
      </c>
      <c r="FAM102" s="528" t="s">
        <v>213</v>
      </c>
      <c r="FAN102" s="529" t="str">
        <f>VLOOKUP(FAM102,[14]AssetDetails_UEM!$A$3:$AH$1849,6,FALSE)</f>
        <v>Electrosurgical Units, Monopolar/Bipolar</v>
      </c>
      <c r="FAO102" s="528" t="s">
        <v>213</v>
      </c>
      <c r="FAP102" s="529" t="str">
        <f>VLOOKUP(FAO102,[14]AssetDetails_UEM!$A$3:$AH$1849,6,FALSE)</f>
        <v>Electrosurgical Units, Monopolar/Bipolar</v>
      </c>
      <c r="FAQ102" s="528" t="s">
        <v>213</v>
      </c>
      <c r="FAR102" s="529" t="str">
        <f>VLOOKUP(FAQ102,[14]AssetDetails_UEM!$A$3:$AH$1849,6,FALSE)</f>
        <v>Electrosurgical Units, Monopolar/Bipolar</v>
      </c>
      <c r="FAS102" s="528" t="s">
        <v>213</v>
      </c>
      <c r="FAT102" s="529" t="str">
        <f>VLOOKUP(FAS102,[14]AssetDetails_UEM!$A$3:$AH$1849,6,FALSE)</f>
        <v>Electrosurgical Units, Monopolar/Bipolar</v>
      </c>
      <c r="FAU102" s="528" t="s">
        <v>213</v>
      </c>
      <c r="FAV102" s="529" t="str">
        <f>VLOOKUP(FAU102,[14]AssetDetails_UEM!$A$3:$AH$1849,6,FALSE)</f>
        <v>Electrosurgical Units, Monopolar/Bipolar</v>
      </c>
      <c r="FAW102" s="528" t="s">
        <v>213</v>
      </c>
      <c r="FAX102" s="529" t="str">
        <f>VLOOKUP(FAW102,[14]AssetDetails_UEM!$A$3:$AH$1849,6,FALSE)</f>
        <v>Electrosurgical Units, Monopolar/Bipolar</v>
      </c>
      <c r="FAY102" s="528" t="s">
        <v>213</v>
      </c>
      <c r="FAZ102" s="529" t="str">
        <f>VLOOKUP(FAY102,[14]AssetDetails_UEM!$A$3:$AH$1849,6,FALSE)</f>
        <v>Electrosurgical Units, Monopolar/Bipolar</v>
      </c>
      <c r="FBA102" s="528" t="s">
        <v>213</v>
      </c>
      <c r="FBB102" s="529" t="str">
        <f>VLOOKUP(FBA102,[14]AssetDetails_UEM!$A$3:$AH$1849,6,FALSE)</f>
        <v>Electrosurgical Units, Monopolar/Bipolar</v>
      </c>
      <c r="FBC102" s="528" t="s">
        <v>213</v>
      </c>
      <c r="FBD102" s="529" t="str">
        <f>VLOOKUP(FBC102,[14]AssetDetails_UEM!$A$3:$AH$1849,6,FALSE)</f>
        <v>Electrosurgical Units, Monopolar/Bipolar</v>
      </c>
      <c r="FBE102" s="528" t="s">
        <v>213</v>
      </c>
      <c r="FBF102" s="529" t="str">
        <f>VLOOKUP(FBE102,[14]AssetDetails_UEM!$A$3:$AH$1849,6,FALSE)</f>
        <v>Electrosurgical Units, Monopolar/Bipolar</v>
      </c>
      <c r="FBG102" s="528" t="s">
        <v>213</v>
      </c>
      <c r="FBH102" s="529" t="str">
        <f>VLOOKUP(FBG102,[14]AssetDetails_UEM!$A$3:$AH$1849,6,FALSE)</f>
        <v>Electrosurgical Units, Monopolar/Bipolar</v>
      </c>
      <c r="FBI102" s="528" t="s">
        <v>213</v>
      </c>
      <c r="FBJ102" s="529" t="str">
        <f>VLOOKUP(FBI102,[14]AssetDetails_UEM!$A$3:$AH$1849,6,FALSE)</f>
        <v>Electrosurgical Units, Monopolar/Bipolar</v>
      </c>
      <c r="FBK102" s="528" t="s">
        <v>213</v>
      </c>
      <c r="FBL102" s="529" t="str">
        <f>VLOOKUP(FBK102,[14]AssetDetails_UEM!$A$3:$AH$1849,6,FALSE)</f>
        <v>Electrosurgical Units, Monopolar/Bipolar</v>
      </c>
      <c r="FBM102" s="528" t="s">
        <v>213</v>
      </c>
      <c r="FBN102" s="529" t="str">
        <f>VLOOKUP(FBM102,[14]AssetDetails_UEM!$A$3:$AH$1849,6,FALSE)</f>
        <v>Electrosurgical Units, Monopolar/Bipolar</v>
      </c>
      <c r="FBO102" s="528" t="s">
        <v>213</v>
      </c>
      <c r="FBP102" s="529" t="str">
        <f>VLOOKUP(FBO102,[14]AssetDetails_UEM!$A$3:$AH$1849,6,FALSE)</f>
        <v>Electrosurgical Units, Monopolar/Bipolar</v>
      </c>
      <c r="FBQ102" s="528" t="s">
        <v>213</v>
      </c>
      <c r="FBR102" s="529" t="str">
        <f>VLOOKUP(FBQ102,[14]AssetDetails_UEM!$A$3:$AH$1849,6,FALSE)</f>
        <v>Electrosurgical Units, Monopolar/Bipolar</v>
      </c>
      <c r="FBS102" s="528" t="s">
        <v>213</v>
      </c>
      <c r="FBT102" s="529" t="str">
        <f>VLOOKUP(FBS102,[14]AssetDetails_UEM!$A$3:$AH$1849,6,FALSE)</f>
        <v>Electrosurgical Units, Monopolar/Bipolar</v>
      </c>
      <c r="FBU102" s="528" t="s">
        <v>213</v>
      </c>
      <c r="FBV102" s="529" t="str">
        <f>VLOOKUP(FBU102,[14]AssetDetails_UEM!$A$3:$AH$1849,6,FALSE)</f>
        <v>Electrosurgical Units, Monopolar/Bipolar</v>
      </c>
      <c r="FBW102" s="528" t="s">
        <v>213</v>
      </c>
      <c r="FBX102" s="529" t="str">
        <f>VLOOKUP(FBW102,[14]AssetDetails_UEM!$A$3:$AH$1849,6,FALSE)</f>
        <v>Electrosurgical Units, Monopolar/Bipolar</v>
      </c>
      <c r="FBY102" s="528" t="s">
        <v>213</v>
      </c>
      <c r="FBZ102" s="529" t="str">
        <f>VLOOKUP(FBY102,[14]AssetDetails_UEM!$A$3:$AH$1849,6,FALSE)</f>
        <v>Electrosurgical Units, Monopolar/Bipolar</v>
      </c>
      <c r="FCA102" s="528" t="s">
        <v>213</v>
      </c>
      <c r="FCB102" s="529" t="str">
        <f>VLOOKUP(FCA102,[14]AssetDetails_UEM!$A$3:$AH$1849,6,FALSE)</f>
        <v>Electrosurgical Units, Monopolar/Bipolar</v>
      </c>
      <c r="FCC102" s="528" t="s">
        <v>213</v>
      </c>
      <c r="FCD102" s="529" t="str">
        <f>VLOOKUP(FCC102,[14]AssetDetails_UEM!$A$3:$AH$1849,6,FALSE)</f>
        <v>Electrosurgical Units, Monopolar/Bipolar</v>
      </c>
      <c r="FCE102" s="528" t="s">
        <v>213</v>
      </c>
      <c r="FCF102" s="529" t="str">
        <f>VLOOKUP(FCE102,[14]AssetDetails_UEM!$A$3:$AH$1849,6,FALSE)</f>
        <v>Electrosurgical Units, Monopolar/Bipolar</v>
      </c>
      <c r="FCG102" s="528" t="s">
        <v>213</v>
      </c>
      <c r="FCH102" s="529" t="str">
        <f>VLOOKUP(FCG102,[14]AssetDetails_UEM!$A$3:$AH$1849,6,FALSE)</f>
        <v>Electrosurgical Units, Monopolar/Bipolar</v>
      </c>
      <c r="FCI102" s="528" t="s">
        <v>213</v>
      </c>
      <c r="FCJ102" s="529" t="str">
        <f>VLOOKUP(FCI102,[14]AssetDetails_UEM!$A$3:$AH$1849,6,FALSE)</f>
        <v>Electrosurgical Units, Monopolar/Bipolar</v>
      </c>
      <c r="FCK102" s="528" t="s">
        <v>213</v>
      </c>
      <c r="FCL102" s="529" t="str">
        <f>VLOOKUP(FCK102,[14]AssetDetails_UEM!$A$3:$AH$1849,6,FALSE)</f>
        <v>Electrosurgical Units, Monopolar/Bipolar</v>
      </c>
      <c r="FCM102" s="528" t="s">
        <v>213</v>
      </c>
      <c r="FCN102" s="529" t="str">
        <f>VLOOKUP(FCM102,[14]AssetDetails_UEM!$A$3:$AH$1849,6,FALSE)</f>
        <v>Electrosurgical Units, Monopolar/Bipolar</v>
      </c>
      <c r="FCO102" s="528" t="s">
        <v>213</v>
      </c>
      <c r="FCP102" s="529" t="str">
        <f>VLOOKUP(FCO102,[14]AssetDetails_UEM!$A$3:$AH$1849,6,FALSE)</f>
        <v>Electrosurgical Units, Monopolar/Bipolar</v>
      </c>
      <c r="FCQ102" s="528" t="s">
        <v>213</v>
      </c>
      <c r="FCR102" s="529" t="str">
        <f>VLOOKUP(FCQ102,[14]AssetDetails_UEM!$A$3:$AH$1849,6,FALSE)</f>
        <v>Electrosurgical Units, Monopolar/Bipolar</v>
      </c>
      <c r="FCS102" s="528" t="s">
        <v>213</v>
      </c>
      <c r="FCT102" s="529" t="str">
        <f>VLOOKUP(FCS102,[14]AssetDetails_UEM!$A$3:$AH$1849,6,FALSE)</f>
        <v>Electrosurgical Units, Monopolar/Bipolar</v>
      </c>
      <c r="FCU102" s="528" t="s">
        <v>213</v>
      </c>
      <c r="FCV102" s="529" t="str">
        <f>VLOOKUP(FCU102,[14]AssetDetails_UEM!$A$3:$AH$1849,6,FALSE)</f>
        <v>Electrosurgical Units, Monopolar/Bipolar</v>
      </c>
      <c r="FCW102" s="528" t="s">
        <v>213</v>
      </c>
      <c r="FCX102" s="529" t="str">
        <f>VLOOKUP(FCW102,[14]AssetDetails_UEM!$A$3:$AH$1849,6,FALSE)</f>
        <v>Electrosurgical Units, Monopolar/Bipolar</v>
      </c>
      <c r="FCY102" s="528" t="s">
        <v>213</v>
      </c>
      <c r="FCZ102" s="529" t="str">
        <f>VLOOKUP(FCY102,[14]AssetDetails_UEM!$A$3:$AH$1849,6,FALSE)</f>
        <v>Electrosurgical Units, Monopolar/Bipolar</v>
      </c>
      <c r="FDA102" s="528" t="s">
        <v>213</v>
      </c>
      <c r="FDB102" s="529" t="str">
        <f>VLOOKUP(FDA102,[14]AssetDetails_UEM!$A$3:$AH$1849,6,FALSE)</f>
        <v>Electrosurgical Units, Monopolar/Bipolar</v>
      </c>
      <c r="FDC102" s="528" t="s">
        <v>213</v>
      </c>
      <c r="FDD102" s="529" t="str">
        <f>VLOOKUP(FDC102,[14]AssetDetails_UEM!$A$3:$AH$1849,6,FALSE)</f>
        <v>Electrosurgical Units, Monopolar/Bipolar</v>
      </c>
      <c r="FDE102" s="528" t="s">
        <v>213</v>
      </c>
      <c r="FDF102" s="529" t="str">
        <f>VLOOKUP(FDE102,[14]AssetDetails_UEM!$A$3:$AH$1849,6,FALSE)</f>
        <v>Electrosurgical Units, Monopolar/Bipolar</v>
      </c>
      <c r="FDG102" s="528" t="s">
        <v>213</v>
      </c>
      <c r="FDH102" s="529" t="str">
        <f>VLOOKUP(FDG102,[14]AssetDetails_UEM!$A$3:$AH$1849,6,FALSE)</f>
        <v>Electrosurgical Units, Monopolar/Bipolar</v>
      </c>
      <c r="FDI102" s="528" t="s">
        <v>213</v>
      </c>
      <c r="FDJ102" s="529" t="str">
        <f>VLOOKUP(FDI102,[14]AssetDetails_UEM!$A$3:$AH$1849,6,FALSE)</f>
        <v>Electrosurgical Units, Monopolar/Bipolar</v>
      </c>
      <c r="FDK102" s="528" t="s">
        <v>213</v>
      </c>
      <c r="FDL102" s="529" t="str">
        <f>VLOOKUP(FDK102,[14]AssetDetails_UEM!$A$3:$AH$1849,6,FALSE)</f>
        <v>Electrosurgical Units, Monopolar/Bipolar</v>
      </c>
      <c r="FDM102" s="528" t="s">
        <v>213</v>
      </c>
      <c r="FDN102" s="529" t="str">
        <f>VLOOKUP(FDM102,[14]AssetDetails_UEM!$A$3:$AH$1849,6,FALSE)</f>
        <v>Electrosurgical Units, Monopolar/Bipolar</v>
      </c>
      <c r="FDO102" s="528" t="s">
        <v>213</v>
      </c>
      <c r="FDP102" s="529" t="str">
        <f>VLOOKUP(FDO102,[14]AssetDetails_UEM!$A$3:$AH$1849,6,FALSE)</f>
        <v>Electrosurgical Units, Monopolar/Bipolar</v>
      </c>
      <c r="FDQ102" s="528" t="s">
        <v>213</v>
      </c>
      <c r="FDR102" s="529" t="str">
        <f>VLOOKUP(FDQ102,[14]AssetDetails_UEM!$A$3:$AH$1849,6,FALSE)</f>
        <v>Electrosurgical Units, Monopolar/Bipolar</v>
      </c>
      <c r="FDS102" s="528" t="s">
        <v>213</v>
      </c>
      <c r="FDT102" s="529" t="str">
        <f>VLOOKUP(FDS102,[14]AssetDetails_UEM!$A$3:$AH$1849,6,FALSE)</f>
        <v>Electrosurgical Units, Monopolar/Bipolar</v>
      </c>
      <c r="FDU102" s="528" t="s">
        <v>213</v>
      </c>
      <c r="FDV102" s="529" t="str">
        <f>VLOOKUP(FDU102,[14]AssetDetails_UEM!$A$3:$AH$1849,6,FALSE)</f>
        <v>Electrosurgical Units, Monopolar/Bipolar</v>
      </c>
      <c r="FDW102" s="528" t="s">
        <v>213</v>
      </c>
      <c r="FDX102" s="529" t="str">
        <f>VLOOKUP(FDW102,[14]AssetDetails_UEM!$A$3:$AH$1849,6,FALSE)</f>
        <v>Electrosurgical Units, Monopolar/Bipolar</v>
      </c>
      <c r="FDY102" s="528" t="s">
        <v>213</v>
      </c>
      <c r="FDZ102" s="529" t="str">
        <f>VLOOKUP(FDY102,[14]AssetDetails_UEM!$A$3:$AH$1849,6,FALSE)</f>
        <v>Electrosurgical Units, Monopolar/Bipolar</v>
      </c>
      <c r="FEA102" s="528" t="s">
        <v>213</v>
      </c>
      <c r="FEB102" s="529" t="str">
        <f>VLOOKUP(FEA102,[14]AssetDetails_UEM!$A$3:$AH$1849,6,FALSE)</f>
        <v>Electrosurgical Units, Monopolar/Bipolar</v>
      </c>
      <c r="FEC102" s="528" t="s">
        <v>213</v>
      </c>
      <c r="FED102" s="529" t="str">
        <f>VLOOKUP(FEC102,[14]AssetDetails_UEM!$A$3:$AH$1849,6,FALSE)</f>
        <v>Electrosurgical Units, Monopolar/Bipolar</v>
      </c>
      <c r="FEE102" s="528" t="s">
        <v>213</v>
      </c>
      <c r="FEF102" s="529" t="str">
        <f>VLOOKUP(FEE102,[14]AssetDetails_UEM!$A$3:$AH$1849,6,FALSE)</f>
        <v>Electrosurgical Units, Monopolar/Bipolar</v>
      </c>
      <c r="FEG102" s="528" t="s">
        <v>213</v>
      </c>
      <c r="FEH102" s="529" t="str">
        <f>VLOOKUP(FEG102,[14]AssetDetails_UEM!$A$3:$AH$1849,6,FALSE)</f>
        <v>Electrosurgical Units, Monopolar/Bipolar</v>
      </c>
      <c r="FEI102" s="528" t="s">
        <v>213</v>
      </c>
      <c r="FEJ102" s="529" t="str">
        <f>VLOOKUP(FEI102,[14]AssetDetails_UEM!$A$3:$AH$1849,6,FALSE)</f>
        <v>Electrosurgical Units, Monopolar/Bipolar</v>
      </c>
      <c r="FEK102" s="528" t="s">
        <v>213</v>
      </c>
      <c r="FEL102" s="529" t="str">
        <f>VLOOKUP(FEK102,[14]AssetDetails_UEM!$A$3:$AH$1849,6,FALSE)</f>
        <v>Electrosurgical Units, Monopolar/Bipolar</v>
      </c>
      <c r="FEM102" s="528" t="s">
        <v>213</v>
      </c>
      <c r="FEN102" s="529" t="str">
        <f>VLOOKUP(FEM102,[14]AssetDetails_UEM!$A$3:$AH$1849,6,FALSE)</f>
        <v>Electrosurgical Units, Monopolar/Bipolar</v>
      </c>
      <c r="FEO102" s="528" t="s">
        <v>213</v>
      </c>
      <c r="FEP102" s="529" t="str">
        <f>VLOOKUP(FEO102,[14]AssetDetails_UEM!$A$3:$AH$1849,6,FALSE)</f>
        <v>Electrosurgical Units, Monopolar/Bipolar</v>
      </c>
      <c r="FEQ102" s="528" t="s">
        <v>213</v>
      </c>
      <c r="FER102" s="529" t="str">
        <f>VLOOKUP(FEQ102,[14]AssetDetails_UEM!$A$3:$AH$1849,6,FALSE)</f>
        <v>Electrosurgical Units, Monopolar/Bipolar</v>
      </c>
      <c r="FES102" s="528" t="s">
        <v>213</v>
      </c>
      <c r="FET102" s="529" t="str">
        <f>VLOOKUP(FES102,[14]AssetDetails_UEM!$A$3:$AH$1849,6,FALSE)</f>
        <v>Electrosurgical Units, Monopolar/Bipolar</v>
      </c>
      <c r="FEU102" s="528" t="s">
        <v>213</v>
      </c>
      <c r="FEV102" s="529" t="str">
        <f>VLOOKUP(FEU102,[14]AssetDetails_UEM!$A$3:$AH$1849,6,FALSE)</f>
        <v>Electrosurgical Units, Monopolar/Bipolar</v>
      </c>
      <c r="FEW102" s="528" t="s">
        <v>213</v>
      </c>
      <c r="FEX102" s="529" t="str">
        <f>VLOOKUP(FEW102,[14]AssetDetails_UEM!$A$3:$AH$1849,6,FALSE)</f>
        <v>Electrosurgical Units, Monopolar/Bipolar</v>
      </c>
      <c r="FEY102" s="528" t="s">
        <v>213</v>
      </c>
      <c r="FEZ102" s="529" t="str">
        <f>VLOOKUP(FEY102,[14]AssetDetails_UEM!$A$3:$AH$1849,6,FALSE)</f>
        <v>Electrosurgical Units, Monopolar/Bipolar</v>
      </c>
      <c r="FFA102" s="528" t="s">
        <v>213</v>
      </c>
      <c r="FFB102" s="529" t="str">
        <f>VLOOKUP(FFA102,[14]AssetDetails_UEM!$A$3:$AH$1849,6,FALSE)</f>
        <v>Electrosurgical Units, Monopolar/Bipolar</v>
      </c>
      <c r="FFC102" s="528" t="s">
        <v>213</v>
      </c>
      <c r="FFD102" s="529" t="str">
        <f>VLOOKUP(FFC102,[14]AssetDetails_UEM!$A$3:$AH$1849,6,FALSE)</f>
        <v>Electrosurgical Units, Monopolar/Bipolar</v>
      </c>
      <c r="FFE102" s="528" t="s">
        <v>213</v>
      </c>
      <c r="FFF102" s="529" t="str">
        <f>VLOOKUP(FFE102,[14]AssetDetails_UEM!$A$3:$AH$1849,6,FALSE)</f>
        <v>Electrosurgical Units, Monopolar/Bipolar</v>
      </c>
      <c r="FFG102" s="528" t="s">
        <v>213</v>
      </c>
      <c r="FFH102" s="529" t="str">
        <f>VLOOKUP(FFG102,[14]AssetDetails_UEM!$A$3:$AH$1849,6,FALSE)</f>
        <v>Electrosurgical Units, Monopolar/Bipolar</v>
      </c>
      <c r="FFI102" s="528" t="s">
        <v>213</v>
      </c>
      <c r="FFJ102" s="529" t="str">
        <f>VLOOKUP(FFI102,[14]AssetDetails_UEM!$A$3:$AH$1849,6,FALSE)</f>
        <v>Electrosurgical Units, Monopolar/Bipolar</v>
      </c>
      <c r="FFK102" s="528" t="s">
        <v>213</v>
      </c>
      <c r="FFL102" s="529" t="str">
        <f>VLOOKUP(FFK102,[14]AssetDetails_UEM!$A$3:$AH$1849,6,FALSE)</f>
        <v>Electrosurgical Units, Monopolar/Bipolar</v>
      </c>
      <c r="FFM102" s="528" t="s">
        <v>213</v>
      </c>
      <c r="FFN102" s="529" t="str">
        <f>VLOOKUP(FFM102,[14]AssetDetails_UEM!$A$3:$AH$1849,6,FALSE)</f>
        <v>Electrosurgical Units, Monopolar/Bipolar</v>
      </c>
      <c r="FFO102" s="528" t="s">
        <v>213</v>
      </c>
      <c r="FFP102" s="529" t="str">
        <f>VLOOKUP(FFO102,[14]AssetDetails_UEM!$A$3:$AH$1849,6,FALSE)</f>
        <v>Electrosurgical Units, Monopolar/Bipolar</v>
      </c>
      <c r="FFQ102" s="528" t="s">
        <v>213</v>
      </c>
      <c r="FFR102" s="529" t="str">
        <f>VLOOKUP(FFQ102,[14]AssetDetails_UEM!$A$3:$AH$1849,6,FALSE)</f>
        <v>Electrosurgical Units, Monopolar/Bipolar</v>
      </c>
      <c r="FFS102" s="528" t="s">
        <v>213</v>
      </c>
      <c r="FFT102" s="529" t="str">
        <f>VLOOKUP(FFS102,[14]AssetDetails_UEM!$A$3:$AH$1849,6,FALSE)</f>
        <v>Electrosurgical Units, Monopolar/Bipolar</v>
      </c>
      <c r="FFU102" s="528" t="s">
        <v>213</v>
      </c>
      <c r="FFV102" s="529" t="str">
        <f>VLOOKUP(FFU102,[14]AssetDetails_UEM!$A$3:$AH$1849,6,FALSE)</f>
        <v>Electrosurgical Units, Monopolar/Bipolar</v>
      </c>
      <c r="FFW102" s="528" t="s">
        <v>213</v>
      </c>
      <c r="FFX102" s="529" t="str">
        <f>VLOOKUP(FFW102,[14]AssetDetails_UEM!$A$3:$AH$1849,6,FALSE)</f>
        <v>Electrosurgical Units, Monopolar/Bipolar</v>
      </c>
      <c r="FFY102" s="528" t="s">
        <v>213</v>
      </c>
      <c r="FFZ102" s="529" t="str">
        <f>VLOOKUP(FFY102,[14]AssetDetails_UEM!$A$3:$AH$1849,6,FALSE)</f>
        <v>Electrosurgical Units, Monopolar/Bipolar</v>
      </c>
      <c r="FGA102" s="528" t="s">
        <v>213</v>
      </c>
      <c r="FGB102" s="529" t="str">
        <f>VLOOKUP(FGA102,[14]AssetDetails_UEM!$A$3:$AH$1849,6,FALSE)</f>
        <v>Electrosurgical Units, Monopolar/Bipolar</v>
      </c>
      <c r="FGC102" s="528" t="s">
        <v>213</v>
      </c>
      <c r="FGD102" s="529" t="str">
        <f>VLOOKUP(FGC102,[14]AssetDetails_UEM!$A$3:$AH$1849,6,FALSE)</f>
        <v>Electrosurgical Units, Monopolar/Bipolar</v>
      </c>
      <c r="FGE102" s="528" t="s">
        <v>213</v>
      </c>
      <c r="FGF102" s="529" t="str">
        <f>VLOOKUP(FGE102,[14]AssetDetails_UEM!$A$3:$AH$1849,6,FALSE)</f>
        <v>Electrosurgical Units, Monopolar/Bipolar</v>
      </c>
      <c r="FGG102" s="528" t="s">
        <v>213</v>
      </c>
      <c r="FGH102" s="529" t="str">
        <f>VLOOKUP(FGG102,[14]AssetDetails_UEM!$A$3:$AH$1849,6,FALSE)</f>
        <v>Electrosurgical Units, Monopolar/Bipolar</v>
      </c>
      <c r="FGI102" s="528" t="s">
        <v>213</v>
      </c>
      <c r="FGJ102" s="529" t="str">
        <f>VLOOKUP(FGI102,[14]AssetDetails_UEM!$A$3:$AH$1849,6,FALSE)</f>
        <v>Electrosurgical Units, Monopolar/Bipolar</v>
      </c>
      <c r="FGK102" s="528" t="s">
        <v>213</v>
      </c>
      <c r="FGL102" s="529" t="str">
        <f>VLOOKUP(FGK102,[14]AssetDetails_UEM!$A$3:$AH$1849,6,FALSE)</f>
        <v>Electrosurgical Units, Monopolar/Bipolar</v>
      </c>
      <c r="FGM102" s="528" t="s">
        <v>213</v>
      </c>
      <c r="FGN102" s="529" t="str">
        <f>VLOOKUP(FGM102,[14]AssetDetails_UEM!$A$3:$AH$1849,6,FALSE)</f>
        <v>Electrosurgical Units, Monopolar/Bipolar</v>
      </c>
      <c r="FGO102" s="528" t="s">
        <v>213</v>
      </c>
      <c r="FGP102" s="529" t="str">
        <f>VLOOKUP(FGO102,[14]AssetDetails_UEM!$A$3:$AH$1849,6,FALSE)</f>
        <v>Electrosurgical Units, Monopolar/Bipolar</v>
      </c>
      <c r="FGQ102" s="528" t="s">
        <v>213</v>
      </c>
      <c r="FGR102" s="529" t="str">
        <f>VLOOKUP(FGQ102,[14]AssetDetails_UEM!$A$3:$AH$1849,6,FALSE)</f>
        <v>Electrosurgical Units, Monopolar/Bipolar</v>
      </c>
      <c r="FGS102" s="528" t="s">
        <v>213</v>
      </c>
      <c r="FGT102" s="529" t="str">
        <f>VLOOKUP(FGS102,[14]AssetDetails_UEM!$A$3:$AH$1849,6,FALSE)</f>
        <v>Electrosurgical Units, Monopolar/Bipolar</v>
      </c>
      <c r="FGU102" s="528" t="s">
        <v>213</v>
      </c>
      <c r="FGV102" s="529" t="str">
        <f>VLOOKUP(FGU102,[14]AssetDetails_UEM!$A$3:$AH$1849,6,FALSE)</f>
        <v>Electrosurgical Units, Monopolar/Bipolar</v>
      </c>
      <c r="FGW102" s="528" t="s">
        <v>213</v>
      </c>
      <c r="FGX102" s="529" t="str">
        <f>VLOOKUP(FGW102,[14]AssetDetails_UEM!$A$3:$AH$1849,6,FALSE)</f>
        <v>Electrosurgical Units, Monopolar/Bipolar</v>
      </c>
      <c r="FGY102" s="528" t="s">
        <v>213</v>
      </c>
      <c r="FGZ102" s="529" t="str">
        <f>VLOOKUP(FGY102,[14]AssetDetails_UEM!$A$3:$AH$1849,6,FALSE)</f>
        <v>Electrosurgical Units, Monopolar/Bipolar</v>
      </c>
      <c r="FHA102" s="528" t="s">
        <v>213</v>
      </c>
      <c r="FHB102" s="529" t="str">
        <f>VLOOKUP(FHA102,[14]AssetDetails_UEM!$A$3:$AH$1849,6,FALSE)</f>
        <v>Electrosurgical Units, Monopolar/Bipolar</v>
      </c>
      <c r="FHC102" s="528" t="s">
        <v>213</v>
      </c>
      <c r="FHD102" s="529" t="str">
        <f>VLOOKUP(FHC102,[14]AssetDetails_UEM!$A$3:$AH$1849,6,FALSE)</f>
        <v>Electrosurgical Units, Monopolar/Bipolar</v>
      </c>
      <c r="FHE102" s="528" t="s">
        <v>213</v>
      </c>
      <c r="FHF102" s="529" t="str">
        <f>VLOOKUP(FHE102,[14]AssetDetails_UEM!$A$3:$AH$1849,6,FALSE)</f>
        <v>Electrosurgical Units, Monopolar/Bipolar</v>
      </c>
      <c r="FHG102" s="528" t="s">
        <v>213</v>
      </c>
      <c r="FHH102" s="529" t="str">
        <f>VLOOKUP(FHG102,[14]AssetDetails_UEM!$A$3:$AH$1849,6,FALSE)</f>
        <v>Electrosurgical Units, Monopolar/Bipolar</v>
      </c>
      <c r="FHI102" s="528" t="s">
        <v>213</v>
      </c>
      <c r="FHJ102" s="529" t="str">
        <f>VLOOKUP(FHI102,[14]AssetDetails_UEM!$A$3:$AH$1849,6,FALSE)</f>
        <v>Electrosurgical Units, Monopolar/Bipolar</v>
      </c>
      <c r="FHK102" s="528" t="s">
        <v>213</v>
      </c>
      <c r="FHL102" s="529" t="str">
        <f>VLOOKUP(FHK102,[14]AssetDetails_UEM!$A$3:$AH$1849,6,FALSE)</f>
        <v>Electrosurgical Units, Monopolar/Bipolar</v>
      </c>
      <c r="FHM102" s="528" t="s">
        <v>213</v>
      </c>
      <c r="FHN102" s="529" t="str">
        <f>VLOOKUP(FHM102,[14]AssetDetails_UEM!$A$3:$AH$1849,6,FALSE)</f>
        <v>Electrosurgical Units, Monopolar/Bipolar</v>
      </c>
      <c r="FHO102" s="528" t="s">
        <v>213</v>
      </c>
      <c r="FHP102" s="529" t="str">
        <f>VLOOKUP(FHO102,[14]AssetDetails_UEM!$A$3:$AH$1849,6,FALSE)</f>
        <v>Electrosurgical Units, Monopolar/Bipolar</v>
      </c>
      <c r="FHQ102" s="528" t="s">
        <v>213</v>
      </c>
      <c r="FHR102" s="529" t="str">
        <f>VLOOKUP(FHQ102,[14]AssetDetails_UEM!$A$3:$AH$1849,6,FALSE)</f>
        <v>Electrosurgical Units, Monopolar/Bipolar</v>
      </c>
      <c r="FHS102" s="528" t="s">
        <v>213</v>
      </c>
      <c r="FHT102" s="529" t="str">
        <f>VLOOKUP(FHS102,[14]AssetDetails_UEM!$A$3:$AH$1849,6,FALSE)</f>
        <v>Electrosurgical Units, Monopolar/Bipolar</v>
      </c>
      <c r="FHU102" s="528" t="s">
        <v>213</v>
      </c>
      <c r="FHV102" s="529" t="str">
        <f>VLOOKUP(FHU102,[14]AssetDetails_UEM!$A$3:$AH$1849,6,FALSE)</f>
        <v>Electrosurgical Units, Monopolar/Bipolar</v>
      </c>
      <c r="FHW102" s="528" t="s">
        <v>213</v>
      </c>
      <c r="FHX102" s="529" t="str">
        <f>VLOOKUP(FHW102,[14]AssetDetails_UEM!$A$3:$AH$1849,6,FALSE)</f>
        <v>Electrosurgical Units, Monopolar/Bipolar</v>
      </c>
      <c r="FHY102" s="528" t="s">
        <v>213</v>
      </c>
      <c r="FHZ102" s="529" t="str">
        <f>VLOOKUP(FHY102,[14]AssetDetails_UEM!$A$3:$AH$1849,6,FALSE)</f>
        <v>Electrosurgical Units, Monopolar/Bipolar</v>
      </c>
      <c r="FIA102" s="528" t="s">
        <v>213</v>
      </c>
      <c r="FIB102" s="529" t="str">
        <f>VLOOKUP(FIA102,[14]AssetDetails_UEM!$A$3:$AH$1849,6,FALSE)</f>
        <v>Electrosurgical Units, Monopolar/Bipolar</v>
      </c>
      <c r="FIC102" s="528" t="s">
        <v>213</v>
      </c>
      <c r="FID102" s="529" t="str">
        <f>VLOOKUP(FIC102,[14]AssetDetails_UEM!$A$3:$AH$1849,6,FALSE)</f>
        <v>Electrosurgical Units, Monopolar/Bipolar</v>
      </c>
      <c r="FIE102" s="528" t="s">
        <v>213</v>
      </c>
      <c r="FIF102" s="529" t="str">
        <f>VLOOKUP(FIE102,[14]AssetDetails_UEM!$A$3:$AH$1849,6,FALSE)</f>
        <v>Electrosurgical Units, Monopolar/Bipolar</v>
      </c>
      <c r="FIG102" s="528" t="s">
        <v>213</v>
      </c>
      <c r="FIH102" s="529" t="str">
        <f>VLOOKUP(FIG102,[14]AssetDetails_UEM!$A$3:$AH$1849,6,FALSE)</f>
        <v>Electrosurgical Units, Monopolar/Bipolar</v>
      </c>
      <c r="FII102" s="528" t="s">
        <v>213</v>
      </c>
      <c r="FIJ102" s="529" t="str">
        <f>VLOOKUP(FII102,[14]AssetDetails_UEM!$A$3:$AH$1849,6,FALSE)</f>
        <v>Electrosurgical Units, Monopolar/Bipolar</v>
      </c>
      <c r="FIK102" s="528" t="s">
        <v>213</v>
      </c>
      <c r="FIL102" s="529" t="str">
        <f>VLOOKUP(FIK102,[14]AssetDetails_UEM!$A$3:$AH$1849,6,FALSE)</f>
        <v>Electrosurgical Units, Monopolar/Bipolar</v>
      </c>
      <c r="FIM102" s="528" t="s">
        <v>213</v>
      </c>
      <c r="FIN102" s="529" t="str">
        <f>VLOOKUP(FIM102,[14]AssetDetails_UEM!$A$3:$AH$1849,6,FALSE)</f>
        <v>Electrosurgical Units, Monopolar/Bipolar</v>
      </c>
      <c r="FIO102" s="528" t="s">
        <v>213</v>
      </c>
      <c r="FIP102" s="529" t="str">
        <f>VLOOKUP(FIO102,[14]AssetDetails_UEM!$A$3:$AH$1849,6,FALSE)</f>
        <v>Electrosurgical Units, Monopolar/Bipolar</v>
      </c>
      <c r="FIQ102" s="528" t="s">
        <v>213</v>
      </c>
      <c r="FIR102" s="529" t="str">
        <f>VLOOKUP(FIQ102,[14]AssetDetails_UEM!$A$3:$AH$1849,6,FALSE)</f>
        <v>Electrosurgical Units, Monopolar/Bipolar</v>
      </c>
      <c r="FIS102" s="528" t="s">
        <v>213</v>
      </c>
      <c r="FIT102" s="529" t="str">
        <f>VLOOKUP(FIS102,[14]AssetDetails_UEM!$A$3:$AH$1849,6,FALSE)</f>
        <v>Electrosurgical Units, Monopolar/Bipolar</v>
      </c>
      <c r="FIU102" s="528" t="s">
        <v>213</v>
      </c>
      <c r="FIV102" s="529" t="str">
        <f>VLOOKUP(FIU102,[14]AssetDetails_UEM!$A$3:$AH$1849,6,FALSE)</f>
        <v>Electrosurgical Units, Monopolar/Bipolar</v>
      </c>
      <c r="FIW102" s="528" t="s">
        <v>213</v>
      </c>
      <c r="FIX102" s="529" t="str">
        <f>VLOOKUP(FIW102,[14]AssetDetails_UEM!$A$3:$AH$1849,6,FALSE)</f>
        <v>Electrosurgical Units, Monopolar/Bipolar</v>
      </c>
      <c r="FIY102" s="528" t="s">
        <v>213</v>
      </c>
      <c r="FIZ102" s="529" t="str">
        <f>VLOOKUP(FIY102,[14]AssetDetails_UEM!$A$3:$AH$1849,6,FALSE)</f>
        <v>Electrosurgical Units, Monopolar/Bipolar</v>
      </c>
      <c r="FJA102" s="528" t="s">
        <v>213</v>
      </c>
      <c r="FJB102" s="529" t="str">
        <f>VLOOKUP(FJA102,[14]AssetDetails_UEM!$A$3:$AH$1849,6,FALSE)</f>
        <v>Electrosurgical Units, Monopolar/Bipolar</v>
      </c>
      <c r="FJC102" s="528" t="s">
        <v>213</v>
      </c>
      <c r="FJD102" s="529" t="str">
        <f>VLOOKUP(FJC102,[14]AssetDetails_UEM!$A$3:$AH$1849,6,FALSE)</f>
        <v>Electrosurgical Units, Monopolar/Bipolar</v>
      </c>
      <c r="FJE102" s="528" t="s">
        <v>213</v>
      </c>
      <c r="FJF102" s="529" t="str">
        <f>VLOOKUP(FJE102,[14]AssetDetails_UEM!$A$3:$AH$1849,6,FALSE)</f>
        <v>Electrosurgical Units, Monopolar/Bipolar</v>
      </c>
      <c r="FJG102" s="528" t="s">
        <v>213</v>
      </c>
      <c r="FJH102" s="529" t="str">
        <f>VLOOKUP(FJG102,[14]AssetDetails_UEM!$A$3:$AH$1849,6,FALSE)</f>
        <v>Electrosurgical Units, Monopolar/Bipolar</v>
      </c>
      <c r="FJI102" s="528" t="s">
        <v>213</v>
      </c>
      <c r="FJJ102" s="529" t="str">
        <f>VLOOKUP(FJI102,[14]AssetDetails_UEM!$A$3:$AH$1849,6,FALSE)</f>
        <v>Electrosurgical Units, Monopolar/Bipolar</v>
      </c>
      <c r="FJK102" s="528" t="s">
        <v>213</v>
      </c>
      <c r="FJL102" s="529" t="str">
        <f>VLOOKUP(FJK102,[14]AssetDetails_UEM!$A$3:$AH$1849,6,FALSE)</f>
        <v>Electrosurgical Units, Monopolar/Bipolar</v>
      </c>
      <c r="FJM102" s="528" t="s">
        <v>213</v>
      </c>
      <c r="FJN102" s="529" t="str">
        <f>VLOOKUP(FJM102,[14]AssetDetails_UEM!$A$3:$AH$1849,6,FALSE)</f>
        <v>Electrosurgical Units, Monopolar/Bipolar</v>
      </c>
      <c r="FJO102" s="528" t="s">
        <v>213</v>
      </c>
      <c r="FJP102" s="529" t="str">
        <f>VLOOKUP(FJO102,[14]AssetDetails_UEM!$A$3:$AH$1849,6,FALSE)</f>
        <v>Electrosurgical Units, Monopolar/Bipolar</v>
      </c>
      <c r="FJQ102" s="528" t="s">
        <v>213</v>
      </c>
      <c r="FJR102" s="529" t="str">
        <f>VLOOKUP(FJQ102,[14]AssetDetails_UEM!$A$3:$AH$1849,6,FALSE)</f>
        <v>Electrosurgical Units, Monopolar/Bipolar</v>
      </c>
      <c r="FJS102" s="528" t="s">
        <v>213</v>
      </c>
      <c r="FJT102" s="529" t="str">
        <f>VLOOKUP(FJS102,[14]AssetDetails_UEM!$A$3:$AH$1849,6,FALSE)</f>
        <v>Electrosurgical Units, Monopolar/Bipolar</v>
      </c>
      <c r="FJU102" s="528" t="s">
        <v>213</v>
      </c>
      <c r="FJV102" s="529" t="str">
        <f>VLOOKUP(FJU102,[14]AssetDetails_UEM!$A$3:$AH$1849,6,FALSE)</f>
        <v>Electrosurgical Units, Monopolar/Bipolar</v>
      </c>
      <c r="FJW102" s="528" t="s">
        <v>213</v>
      </c>
      <c r="FJX102" s="529" t="str">
        <f>VLOOKUP(FJW102,[14]AssetDetails_UEM!$A$3:$AH$1849,6,FALSE)</f>
        <v>Electrosurgical Units, Monopolar/Bipolar</v>
      </c>
      <c r="FJY102" s="528" t="s">
        <v>213</v>
      </c>
      <c r="FJZ102" s="529" t="str">
        <f>VLOOKUP(FJY102,[14]AssetDetails_UEM!$A$3:$AH$1849,6,FALSE)</f>
        <v>Electrosurgical Units, Monopolar/Bipolar</v>
      </c>
      <c r="FKA102" s="528" t="s">
        <v>213</v>
      </c>
      <c r="FKB102" s="529" t="str">
        <f>VLOOKUP(FKA102,[14]AssetDetails_UEM!$A$3:$AH$1849,6,FALSE)</f>
        <v>Electrosurgical Units, Monopolar/Bipolar</v>
      </c>
      <c r="FKC102" s="528" t="s">
        <v>213</v>
      </c>
      <c r="FKD102" s="529" t="str">
        <f>VLOOKUP(FKC102,[14]AssetDetails_UEM!$A$3:$AH$1849,6,FALSE)</f>
        <v>Electrosurgical Units, Monopolar/Bipolar</v>
      </c>
      <c r="FKE102" s="528" t="s">
        <v>213</v>
      </c>
      <c r="FKF102" s="529" t="str">
        <f>VLOOKUP(FKE102,[14]AssetDetails_UEM!$A$3:$AH$1849,6,FALSE)</f>
        <v>Electrosurgical Units, Monopolar/Bipolar</v>
      </c>
      <c r="FKG102" s="528" t="s">
        <v>213</v>
      </c>
      <c r="FKH102" s="529" t="str">
        <f>VLOOKUP(FKG102,[14]AssetDetails_UEM!$A$3:$AH$1849,6,FALSE)</f>
        <v>Electrosurgical Units, Monopolar/Bipolar</v>
      </c>
      <c r="FKI102" s="528" t="s">
        <v>213</v>
      </c>
      <c r="FKJ102" s="529" t="str">
        <f>VLOOKUP(FKI102,[14]AssetDetails_UEM!$A$3:$AH$1849,6,FALSE)</f>
        <v>Electrosurgical Units, Monopolar/Bipolar</v>
      </c>
      <c r="FKK102" s="528" t="s">
        <v>213</v>
      </c>
      <c r="FKL102" s="529" t="str">
        <f>VLOOKUP(FKK102,[14]AssetDetails_UEM!$A$3:$AH$1849,6,FALSE)</f>
        <v>Electrosurgical Units, Monopolar/Bipolar</v>
      </c>
      <c r="FKM102" s="528" t="s">
        <v>213</v>
      </c>
      <c r="FKN102" s="529" t="str">
        <f>VLOOKUP(FKM102,[14]AssetDetails_UEM!$A$3:$AH$1849,6,FALSE)</f>
        <v>Electrosurgical Units, Monopolar/Bipolar</v>
      </c>
      <c r="FKO102" s="528" t="s">
        <v>213</v>
      </c>
      <c r="FKP102" s="529" t="str">
        <f>VLOOKUP(FKO102,[14]AssetDetails_UEM!$A$3:$AH$1849,6,FALSE)</f>
        <v>Electrosurgical Units, Monopolar/Bipolar</v>
      </c>
      <c r="FKQ102" s="528" t="s">
        <v>213</v>
      </c>
      <c r="FKR102" s="529" t="str">
        <f>VLOOKUP(FKQ102,[14]AssetDetails_UEM!$A$3:$AH$1849,6,FALSE)</f>
        <v>Electrosurgical Units, Monopolar/Bipolar</v>
      </c>
      <c r="FKS102" s="528" t="s">
        <v>213</v>
      </c>
      <c r="FKT102" s="529" t="str">
        <f>VLOOKUP(FKS102,[14]AssetDetails_UEM!$A$3:$AH$1849,6,FALSE)</f>
        <v>Electrosurgical Units, Monopolar/Bipolar</v>
      </c>
      <c r="FKU102" s="528" t="s">
        <v>213</v>
      </c>
      <c r="FKV102" s="529" t="str">
        <f>VLOOKUP(FKU102,[14]AssetDetails_UEM!$A$3:$AH$1849,6,FALSE)</f>
        <v>Electrosurgical Units, Monopolar/Bipolar</v>
      </c>
      <c r="FKW102" s="528" t="s">
        <v>213</v>
      </c>
      <c r="FKX102" s="529" t="str">
        <f>VLOOKUP(FKW102,[14]AssetDetails_UEM!$A$3:$AH$1849,6,FALSE)</f>
        <v>Electrosurgical Units, Monopolar/Bipolar</v>
      </c>
      <c r="FKY102" s="528" t="s">
        <v>213</v>
      </c>
      <c r="FKZ102" s="529" t="str">
        <f>VLOOKUP(FKY102,[14]AssetDetails_UEM!$A$3:$AH$1849,6,FALSE)</f>
        <v>Electrosurgical Units, Monopolar/Bipolar</v>
      </c>
      <c r="FLA102" s="528" t="s">
        <v>213</v>
      </c>
      <c r="FLB102" s="529" t="str">
        <f>VLOOKUP(FLA102,[14]AssetDetails_UEM!$A$3:$AH$1849,6,FALSE)</f>
        <v>Electrosurgical Units, Monopolar/Bipolar</v>
      </c>
      <c r="FLC102" s="528" t="s">
        <v>213</v>
      </c>
      <c r="FLD102" s="529" t="str">
        <f>VLOOKUP(FLC102,[14]AssetDetails_UEM!$A$3:$AH$1849,6,FALSE)</f>
        <v>Electrosurgical Units, Monopolar/Bipolar</v>
      </c>
      <c r="FLE102" s="528" t="s">
        <v>213</v>
      </c>
      <c r="FLF102" s="529" t="str">
        <f>VLOOKUP(FLE102,[14]AssetDetails_UEM!$A$3:$AH$1849,6,FALSE)</f>
        <v>Electrosurgical Units, Monopolar/Bipolar</v>
      </c>
      <c r="FLG102" s="528" t="s">
        <v>213</v>
      </c>
      <c r="FLH102" s="529" t="str">
        <f>VLOOKUP(FLG102,[14]AssetDetails_UEM!$A$3:$AH$1849,6,FALSE)</f>
        <v>Electrosurgical Units, Monopolar/Bipolar</v>
      </c>
      <c r="FLI102" s="528" t="s">
        <v>213</v>
      </c>
      <c r="FLJ102" s="529" t="str">
        <f>VLOOKUP(FLI102,[14]AssetDetails_UEM!$A$3:$AH$1849,6,FALSE)</f>
        <v>Electrosurgical Units, Monopolar/Bipolar</v>
      </c>
      <c r="FLK102" s="528" t="s">
        <v>213</v>
      </c>
      <c r="FLL102" s="529" t="str">
        <f>VLOOKUP(FLK102,[14]AssetDetails_UEM!$A$3:$AH$1849,6,FALSE)</f>
        <v>Electrosurgical Units, Monopolar/Bipolar</v>
      </c>
      <c r="FLM102" s="528" t="s">
        <v>213</v>
      </c>
      <c r="FLN102" s="529" t="str">
        <f>VLOOKUP(FLM102,[14]AssetDetails_UEM!$A$3:$AH$1849,6,FALSE)</f>
        <v>Electrosurgical Units, Monopolar/Bipolar</v>
      </c>
      <c r="FLO102" s="528" t="s">
        <v>213</v>
      </c>
      <c r="FLP102" s="529" t="str">
        <f>VLOOKUP(FLO102,[14]AssetDetails_UEM!$A$3:$AH$1849,6,FALSE)</f>
        <v>Electrosurgical Units, Monopolar/Bipolar</v>
      </c>
      <c r="FLQ102" s="528" t="s">
        <v>213</v>
      </c>
      <c r="FLR102" s="529" t="str">
        <f>VLOOKUP(FLQ102,[14]AssetDetails_UEM!$A$3:$AH$1849,6,FALSE)</f>
        <v>Electrosurgical Units, Monopolar/Bipolar</v>
      </c>
      <c r="FLS102" s="528" t="s">
        <v>213</v>
      </c>
      <c r="FLT102" s="529" t="str">
        <f>VLOOKUP(FLS102,[14]AssetDetails_UEM!$A$3:$AH$1849,6,FALSE)</f>
        <v>Electrosurgical Units, Monopolar/Bipolar</v>
      </c>
      <c r="FLU102" s="528" t="s">
        <v>213</v>
      </c>
      <c r="FLV102" s="529" t="str">
        <f>VLOOKUP(FLU102,[14]AssetDetails_UEM!$A$3:$AH$1849,6,FALSE)</f>
        <v>Electrosurgical Units, Monopolar/Bipolar</v>
      </c>
      <c r="FLW102" s="528" t="s">
        <v>213</v>
      </c>
      <c r="FLX102" s="529" t="str">
        <f>VLOOKUP(FLW102,[14]AssetDetails_UEM!$A$3:$AH$1849,6,FALSE)</f>
        <v>Electrosurgical Units, Monopolar/Bipolar</v>
      </c>
      <c r="FLY102" s="528" t="s">
        <v>213</v>
      </c>
      <c r="FLZ102" s="529" t="str">
        <f>VLOOKUP(FLY102,[14]AssetDetails_UEM!$A$3:$AH$1849,6,FALSE)</f>
        <v>Electrosurgical Units, Monopolar/Bipolar</v>
      </c>
      <c r="FMA102" s="528" t="s">
        <v>213</v>
      </c>
      <c r="FMB102" s="529" t="str">
        <f>VLOOKUP(FMA102,[14]AssetDetails_UEM!$A$3:$AH$1849,6,FALSE)</f>
        <v>Electrosurgical Units, Monopolar/Bipolar</v>
      </c>
      <c r="FMC102" s="528" t="s">
        <v>213</v>
      </c>
      <c r="FMD102" s="529" t="str">
        <f>VLOOKUP(FMC102,[14]AssetDetails_UEM!$A$3:$AH$1849,6,FALSE)</f>
        <v>Electrosurgical Units, Monopolar/Bipolar</v>
      </c>
      <c r="FME102" s="528" t="s">
        <v>213</v>
      </c>
      <c r="FMF102" s="529" t="str">
        <f>VLOOKUP(FME102,[14]AssetDetails_UEM!$A$3:$AH$1849,6,FALSE)</f>
        <v>Electrosurgical Units, Monopolar/Bipolar</v>
      </c>
      <c r="FMG102" s="528" t="s">
        <v>213</v>
      </c>
      <c r="FMH102" s="529" t="str">
        <f>VLOOKUP(FMG102,[14]AssetDetails_UEM!$A$3:$AH$1849,6,FALSE)</f>
        <v>Electrosurgical Units, Monopolar/Bipolar</v>
      </c>
      <c r="FMI102" s="528" t="s">
        <v>213</v>
      </c>
      <c r="FMJ102" s="529" t="str">
        <f>VLOOKUP(FMI102,[14]AssetDetails_UEM!$A$3:$AH$1849,6,FALSE)</f>
        <v>Electrosurgical Units, Monopolar/Bipolar</v>
      </c>
      <c r="FMK102" s="528" t="s">
        <v>213</v>
      </c>
      <c r="FML102" s="529" t="str">
        <f>VLOOKUP(FMK102,[14]AssetDetails_UEM!$A$3:$AH$1849,6,FALSE)</f>
        <v>Electrosurgical Units, Monopolar/Bipolar</v>
      </c>
      <c r="FMM102" s="528" t="s">
        <v>213</v>
      </c>
      <c r="FMN102" s="529" t="str">
        <f>VLOOKUP(FMM102,[14]AssetDetails_UEM!$A$3:$AH$1849,6,FALSE)</f>
        <v>Electrosurgical Units, Monopolar/Bipolar</v>
      </c>
      <c r="FMO102" s="528" t="s">
        <v>213</v>
      </c>
      <c r="FMP102" s="529" t="str">
        <f>VLOOKUP(FMO102,[14]AssetDetails_UEM!$A$3:$AH$1849,6,FALSE)</f>
        <v>Electrosurgical Units, Monopolar/Bipolar</v>
      </c>
      <c r="FMQ102" s="528" t="s">
        <v>213</v>
      </c>
      <c r="FMR102" s="529" t="str">
        <f>VLOOKUP(FMQ102,[14]AssetDetails_UEM!$A$3:$AH$1849,6,FALSE)</f>
        <v>Electrosurgical Units, Monopolar/Bipolar</v>
      </c>
      <c r="FMS102" s="528" t="s">
        <v>213</v>
      </c>
      <c r="FMT102" s="529" t="str">
        <f>VLOOKUP(FMS102,[14]AssetDetails_UEM!$A$3:$AH$1849,6,FALSE)</f>
        <v>Electrosurgical Units, Monopolar/Bipolar</v>
      </c>
      <c r="FMU102" s="528" t="s">
        <v>213</v>
      </c>
      <c r="FMV102" s="529" t="str">
        <f>VLOOKUP(FMU102,[14]AssetDetails_UEM!$A$3:$AH$1849,6,FALSE)</f>
        <v>Electrosurgical Units, Monopolar/Bipolar</v>
      </c>
      <c r="FMW102" s="528" t="s">
        <v>213</v>
      </c>
      <c r="FMX102" s="529" t="str">
        <f>VLOOKUP(FMW102,[14]AssetDetails_UEM!$A$3:$AH$1849,6,FALSE)</f>
        <v>Electrosurgical Units, Monopolar/Bipolar</v>
      </c>
      <c r="FMY102" s="528" t="s">
        <v>213</v>
      </c>
      <c r="FMZ102" s="529" t="str">
        <f>VLOOKUP(FMY102,[14]AssetDetails_UEM!$A$3:$AH$1849,6,FALSE)</f>
        <v>Electrosurgical Units, Monopolar/Bipolar</v>
      </c>
      <c r="FNA102" s="528" t="s">
        <v>213</v>
      </c>
      <c r="FNB102" s="529" t="str">
        <f>VLOOKUP(FNA102,[14]AssetDetails_UEM!$A$3:$AH$1849,6,FALSE)</f>
        <v>Electrosurgical Units, Monopolar/Bipolar</v>
      </c>
      <c r="FNC102" s="528" t="s">
        <v>213</v>
      </c>
      <c r="FND102" s="529" t="str">
        <f>VLOOKUP(FNC102,[14]AssetDetails_UEM!$A$3:$AH$1849,6,FALSE)</f>
        <v>Electrosurgical Units, Monopolar/Bipolar</v>
      </c>
      <c r="FNE102" s="528" t="s">
        <v>213</v>
      </c>
      <c r="FNF102" s="529" t="str">
        <f>VLOOKUP(FNE102,[14]AssetDetails_UEM!$A$3:$AH$1849,6,FALSE)</f>
        <v>Electrosurgical Units, Monopolar/Bipolar</v>
      </c>
      <c r="FNG102" s="528" t="s">
        <v>213</v>
      </c>
      <c r="FNH102" s="529" t="str">
        <f>VLOOKUP(FNG102,[14]AssetDetails_UEM!$A$3:$AH$1849,6,FALSE)</f>
        <v>Electrosurgical Units, Monopolar/Bipolar</v>
      </c>
      <c r="FNI102" s="528" t="s">
        <v>213</v>
      </c>
      <c r="FNJ102" s="529" t="str">
        <f>VLOOKUP(FNI102,[14]AssetDetails_UEM!$A$3:$AH$1849,6,FALSE)</f>
        <v>Electrosurgical Units, Monopolar/Bipolar</v>
      </c>
      <c r="FNK102" s="528" t="s">
        <v>213</v>
      </c>
      <c r="FNL102" s="529" t="str">
        <f>VLOOKUP(FNK102,[14]AssetDetails_UEM!$A$3:$AH$1849,6,FALSE)</f>
        <v>Electrosurgical Units, Monopolar/Bipolar</v>
      </c>
      <c r="FNM102" s="528" t="s">
        <v>213</v>
      </c>
      <c r="FNN102" s="529" t="str">
        <f>VLOOKUP(FNM102,[14]AssetDetails_UEM!$A$3:$AH$1849,6,FALSE)</f>
        <v>Electrosurgical Units, Monopolar/Bipolar</v>
      </c>
      <c r="FNO102" s="528" t="s">
        <v>213</v>
      </c>
      <c r="FNP102" s="529" t="str">
        <f>VLOOKUP(FNO102,[14]AssetDetails_UEM!$A$3:$AH$1849,6,FALSE)</f>
        <v>Electrosurgical Units, Monopolar/Bipolar</v>
      </c>
      <c r="FNQ102" s="528" t="s">
        <v>213</v>
      </c>
      <c r="FNR102" s="529" t="str">
        <f>VLOOKUP(FNQ102,[14]AssetDetails_UEM!$A$3:$AH$1849,6,FALSE)</f>
        <v>Electrosurgical Units, Monopolar/Bipolar</v>
      </c>
      <c r="FNS102" s="528" t="s">
        <v>213</v>
      </c>
      <c r="FNT102" s="529" t="str">
        <f>VLOOKUP(FNS102,[14]AssetDetails_UEM!$A$3:$AH$1849,6,FALSE)</f>
        <v>Electrosurgical Units, Monopolar/Bipolar</v>
      </c>
      <c r="FNU102" s="528" t="s">
        <v>213</v>
      </c>
      <c r="FNV102" s="529" t="str">
        <f>VLOOKUP(FNU102,[14]AssetDetails_UEM!$A$3:$AH$1849,6,FALSE)</f>
        <v>Electrosurgical Units, Monopolar/Bipolar</v>
      </c>
      <c r="FNW102" s="528" t="s">
        <v>213</v>
      </c>
      <c r="FNX102" s="529" t="str">
        <f>VLOOKUP(FNW102,[14]AssetDetails_UEM!$A$3:$AH$1849,6,FALSE)</f>
        <v>Electrosurgical Units, Monopolar/Bipolar</v>
      </c>
      <c r="FNY102" s="528" t="s">
        <v>213</v>
      </c>
      <c r="FNZ102" s="529" t="str">
        <f>VLOOKUP(FNY102,[14]AssetDetails_UEM!$A$3:$AH$1849,6,FALSE)</f>
        <v>Electrosurgical Units, Monopolar/Bipolar</v>
      </c>
      <c r="FOA102" s="528" t="s">
        <v>213</v>
      </c>
      <c r="FOB102" s="529" t="str">
        <f>VLOOKUP(FOA102,[14]AssetDetails_UEM!$A$3:$AH$1849,6,FALSE)</f>
        <v>Electrosurgical Units, Monopolar/Bipolar</v>
      </c>
      <c r="FOC102" s="528" t="s">
        <v>213</v>
      </c>
      <c r="FOD102" s="529" t="str">
        <f>VLOOKUP(FOC102,[14]AssetDetails_UEM!$A$3:$AH$1849,6,FALSE)</f>
        <v>Electrosurgical Units, Monopolar/Bipolar</v>
      </c>
      <c r="FOE102" s="528" t="s">
        <v>213</v>
      </c>
      <c r="FOF102" s="529" t="str">
        <f>VLOOKUP(FOE102,[14]AssetDetails_UEM!$A$3:$AH$1849,6,FALSE)</f>
        <v>Electrosurgical Units, Monopolar/Bipolar</v>
      </c>
      <c r="FOG102" s="528" t="s">
        <v>213</v>
      </c>
      <c r="FOH102" s="529" t="str">
        <f>VLOOKUP(FOG102,[14]AssetDetails_UEM!$A$3:$AH$1849,6,FALSE)</f>
        <v>Electrosurgical Units, Monopolar/Bipolar</v>
      </c>
      <c r="FOI102" s="528" t="s">
        <v>213</v>
      </c>
      <c r="FOJ102" s="529" t="str">
        <f>VLOOKUP(FOI102,[14]AssetDetails_UEM!$A$3:$AH$1849,6,FALSE)</f>
        <v>Electrosurgical Units, Monopolar/Bipolar</v>
      </c>
      <c r="FOK102" s="528" t="s">
        <v>213</v>
      </c>
      <c r="FOL102" s="529" t="str">
        <f>VLOOKUP(FOK102,[14]AssetDetails_UEM!$A$3:$AH$1849,6,FALSE)</f>
        <v>Electrosurgical Units, Monopolar/Bipolar</v>
      </c>
      <c r="FOM102" s="528" t="s">
        <v>213</v>
      </c>
      <c r="FON102" s="529" t="str">
        <f>VLOOKUP(FOM102,[14]AssetDetails_UEM!$A$3:$AH$1849,6,FALSE)</f>
        <v>Electrosurgical Units, Monopolar/Bipolar</v>
      </c>
      <c r="FOO102" s="528" t="s">
        <v>213</v>
      </c>
      <c r="FOP102" s="529" t="str">
        <f>VLOOKUP(FOO102,[14]AssetDetails_UEM!$A$3:$AH$1849,6,FALSE)</f>
        <v>Electrosurgical Units, Monopolar/Bipolar</v>
      </c>
      <c r="FOQ102" s="528" t="s">
        <v>213</v>
      </c>
      <c r="FOR102" s="529" t="str">
        <f>VLOOKUP(FOQ102,[14]AssetDetails_UEM!$A$3:$AH$1849,6,FALSE)</f>
        <v>Electrosurgical Units, Monopolar/Bipolar</v>
      </c>
      <c r="FOS102" s="528" t="s">
        <v>213</v>
      </c>
      <c r="FOT102" s="529" t="str">
        <f>VLOOKUP(FOS102,[14]AssetDetails_UEM!$A$3:$AH$1849,6,FALSE)</f>
        <v>Electrosurgical Units, Monopolar/Bipolar</v>
      </c>
      <c r="FOU102" s="528" t="s">
        <v>213</v>
      </c>
      <c r="FOV102" s="529" t="str">
        <f>VLOOKUP(FOU102,[14]AssetDetails_UEM!$A$3:$AH$1849,6,FALSE)</f>
        <v>Electrosurgical Units, Monopolar/Bipolar</v>
      </c>
      <c r="FOW102" s="528" t="s">
        <v>213</v>
      </c>
      <c r="FOX102" s="529" t="str">
        <f>VLOOKUP(FOW102,[14]AssetDetails_UEM!$A$3:$AH$1849,6,FALSE)</f>
        <v>Electrosurgical Units, Monopolar/Bipolar</v>
      </c>
      <c r="FOY102" s="528" t="s">
        <v>213</v>
      </c>
      <c r="FOZ102" s="529" t="str">
        <f>VLOOKUP(FOY102,[14]AssetDetails_UEM!$A$3:$AH$1849,6,FALSE)</f>
        <v>Electrosurgical Units, Monopolar/Bipolar</v>
      </c>
      <c r="FPA102" s="528" t="s">
        <v>213</v>
      </c>
      <c r="FPB102" s="529" t="str">
        <f>VLOOKUP(FPA102,[14]AssetDetails_UEM!$A$3:$AH$1849,6,FALSE)</f>
        <v>Electrosurgical Units, Monopolar/Bipolar</v>
      </c>
      <c r="FPC102" s="528" t="s">
        <v>213</v>
      </c>
      <c r="FPD102" s="529" t="str">
        <f>VLOOKUP(FPC102,[14]AssetDetails_UEM!$A$3:$AH$1849,6,FALSE)</f>
        <v>Electrosurgical Units, Monopolar/Bipolar</v>
      </c>
      <c r="FPE102" s="528" t="s">
        <v>213</v>
      </c>
      <c r="FPF102" s="529" t="str">
        <f>VLOOKUP(FPE102,[14]AssetDetails_UEM!$A$3:$AH$1849,6,FALSE)</f>
        <v>Electrosurgical Units, Monopolar/Bipolar</v>
      </c>
      <c r="FPG102" s="528" t="s">
        <v>213</v>
      </c>
      <c r="FPH102" s="529" t="str">
        <f>VLOOKUP(FPG102,[14]AssetDetails_UEM!$A$3:$AH$1849,6,FALSE)</f>
        <v>Electrosurgical Units, Monopolar/Bipolar</v>
      </c>
      <c r="FPI102" s="528" t="s">
        <v>213</v>
      </c>
      <c r="FPJ102" s="529" t="str">
        <f>VLOOKUP(FPI102,[14]AssetDetails_UEM!$A$3:$AH$1849,6,FALSE)</f>
        <v>Electrosurgical Units, Monopolar/Bipolar</v>
      </c>
      <c r="FPK102" s="528" t="s">
        <v>213</v>
      </c>
      <c r="FPL102" s="529" t="str">
        <f>VLOOKUP(FPK102,[14]AssetDetails_UEM!$A$3:$AH$1849,6,FALSE)</f>
        <v>Electrosurgical Units, Monopolar/Bipolar</v>
      </c>
      <c r="FPM102" s="528" t="s">
        <v>213</v>
      </c>
      <c r="FPN102" s="529" t="str">
        <f>VLOOKUP(FPM102,[14]AssetDetails_UEM!$A$3:$AH$1849,6,FALSE)</f>
        <v>Electrosurgical Units, Monopolar/Bipolar</v>
      </c>
      <c r="FPO102" s="528" t="s">
        <v>213</v>
      </c>
      <c r="FPP102" s="529" t="str">
        <f>VLOOKUP(FPO102,[14]AssetDetails_UEM!$A$3:$AH$1849,6,FALSE)</f>
        <v>Electrosurgical Units, Monopolar/Bipolar</v>
      </c>
      <c r="FPQ102" s="528" t="s">
        <v>213</v>
      </c>
      <c r="FPR102" s="529" t="str">
        <f>VLOOKUP(FPQ102,[14]AssetDetails_UEM!$A$3:$AH$1849,6,FALSE)</f>
        <v>Electrosurgical Units, Monopolar/Bipolar</v>
      </c>
      <c r="FPS102" s="528" t="s">
        <v>213</v>
      </c>
      <c r="FPT102" s="529" t="str">
        <f>VLOOKUP(FPS102,[14]AssetDetails_UEM!$A$3:$AH$1849,6,FALSE)</f>
        <v>Electrosurgical Units, Monopolar/Bipolar</v>
      </c>
      <c r="FPU102" s="528" t="s">
        <v>213</v>
      </c>
      <c r="FPV102" s="529" t="str">
        <f>VLOOKUP(FPU102,[14]AssetDetails_UEM!$A$3:$AH$1849,6,FALSE)</f>
        <v>Electrosurgical Units, Monopolar/Bipolar</v>
      </c>
      <c r="FPW102" s="528" t="s">
        <v>213</v>
      </c>
      <c r="FPX102" s="529" t="str">
        <f>VLOOKUP(FPW102,[14]AssetDetails_UEM!$A$3:$AH$1849,6,FALSE)</f>
        <v>Electrosurgical Units, Monopolar/Bipolar</v>
      </c>
      <c r="FPY102" s="528" t="s">
        <v>213</v>
      </c>
      <c r="FPZ102" s="529" t="str">
        <f>VLOOKUP(FPY102,[14]AssetDetails_UEM!$A$3:$AH$1849,6,FALSE)</f>
        <v>Electrosurgical Units, Monopolar/Bipolar</v>
      </c>
      <c r="FQA102" s="528" t="s">
        <v>213</v>
      </c>
      <c r="FQB102" s="529" t="str">
        <f>VLOOKUP(FQA102,[14]AssetDetails_UEM!$A$3:$AH$1849,6,FALSE)</f>
        <v>Electrosurgical Units, Monopolar/Bipolar</v>
      </c>
      <c r="FQC102" s="528" t="s">
        <v>213</v>
      </c>
      <c r="FQD102" s="529" t="str">
        <f>VLOOKUP(FQC102,[14]AssetDetails_UEM!$A$3:$AH$1849,6,FALSE)</f>
        <v>Electrosurgical Units, Monopolar/Bipolar</v>
      </c>
      <c r="FQE102" s="528" t="s">
        <v>213</v>
      </c>
      <c r="FQF102" s="529" t="str">
        <f>VLOOKUP(FQE102,[14]AssetDetails_UEM!$A$3:$AH$1849,6,FALSE)</f>
        <v>Electrosurgical Units, Monopolar/Bipolar</v>
      </c>
      <c r="FQG102" s="528" t="s">
        <v>213</v>
      </c>
      <c r="FQH102" s="529" t="str">
        <f>VLOOKUP(FQG102,[14]AssetDetails_UEM!$A$3:$AH$1849,6,FALSE)</f>
        <v>Electrosurgical Units, Monopolar/Bipolar</v>
      </c>
      <c r="FQI102" s="528" t="s">
        <v>213</v>
      </c>
      <c r="FQJ102" s="529" t="str">
        <f>VLOOKUP(FQI102,[14]AssetDetails_UEM!$A$3:$AH$1849,6,FALSE)</f>
        <v>Electrosurgical Units, Monopolar/Bipolar</v>
      </c>
      <c r="FQK102" s="528" t="s">
        <v>213</v>
      </c>
      <c r="FQL102" s="529" t="str">
        <f>VLOOKUP(FQK102,[14]AssetDetails_UEM!$A$3:$AH$1849,6,FALSE)</f>
        <v>Electrosurgical Units, Monopolar/Bipolar</v>
      </c>
      <c r="FQM102" s="528" t="s">
        <v>213</v>
      </c>
      <c r="FQN102" s="529" t="str">
        <f>VLOOKUP(FQM102,[14]AssetDetails_UEM!$A$3:$AH$1849,6,FALSE)</f>
        <v>Electrosurgical Units, Monopolar/Bipolar</v>
      </c>
      <c r="FQO102" s="528" t="s">
        <v>213</v>
      </c>
      <c r="FQP102" s="529" t="str">
        <f>VLOOKUP(FQO102,[14]AssetDetails_UEM!$A$3:$AH$1849,6,FALSE)</f>
        <v>Electrosurgical Units, Monopolar/Bipolar</v>
      </c>
      <c r="FQQ102" s="528" t="s">
        <v>213</v>
      </c>
      <c r="FQR102" s="529" t="str">
        <f>VLOOKUP(FQQ102,[14]AssetDetails_UEM!$A$3:$AH$1849,6,FALSE)</f>
        <v>Electrosurgical Units, Monopolar/Bipolar</v>
      </c>
      <c r="FQS102" s="528" t="s">
        <v>213</v>
      </c>
      <c r="FQT102" s="529" t="str">
        <f>VLOOKUP(FQS102,[14]AssetDetails_UEM!$A$3:$AH$1849,6,FALSE)</f>
        <v>Electrosurgical Units, Monopolar/Bipolar</v>
      </c>
      <c r="FQU102" s="528" t="s">
        <v>213</v>
      </c>
      <c r="FQV102" s="529" t="str">
        <f>VLOOKUP(FQU102,[14]AssetDetails_UEM!$A$3:$AH$1849,6,FALSE)</f>
        <v>Electrosurgical Units, Monopolar/Bipolar</v>
      </c>
      <c r="FQW102" s="528" t="s">
        <v>213</v>
      </c>
      <c r="FQX102" s="529" t="str">
        <f>VLOOKUP(FQW102,[14]AssetDetails_UEM!$A$3:$AH$1849,6,FALSE)</f>
        <v>Electrosurgical Units, Monopolar/Bipolar</v>
      </c>
      <c r="FQY102" s="528" t="s">
        <v>213</v>
      </c>
      <c r="FQZ102" s="529" t="str">
        <f>VLOOKUP(FQY102,[14]AssetDetails_UEM!$A$3:$AH$1849,6,FALSE)</f>
        <v>Electrosurgical Units, Monopolar/Bipolar</v>
      </c>
      <c r="FRA102" s="528" t="s">
        <v>213</v>
      </c>
      <c r="FRB102" s="529" t="str">
        <f>VLOOKUP(FRA102,[14]AssetDetails_UEM!$A$3:$AH$1849,6,FALSE)</f>
        <v>Electrosurgical Units, Monopolar/Bipolar</v>
      </c>
      <c r="FRC102" s="528" t="s">
        <v>213</v>
      </c>
      <c r="FRD102" s="529" t="str">
        <f>VLOOKUP(FRC102,[14]AssetDetails_UEM!$A$3:$AH$1849,6,FALSE)</f>
        <v>Electrosurgical Units, Monopolar/Bipolar</v>
      </c>
      <c r="FRE102" s="528" t="s">
        <v>213</v>
      </c>
      <c r="FRF102" s="529" t="str">
        <f>VLOOKUP(FRE102,[14]AssetDetails_UEM!$A$3:$AH$1849,6,FALSE)</f>
        <v>Electrosurgical Units, Monopolar/Bipolar</v>
      </c>
      <c r="FRG102" s="528" t="s">
        <v>213</v>
      </c>
      <c r="FRH102" s="529" t="str">
        <f>VLOOKUP(FRG102,[14]AssetDetails_UEM!$A$3:$AH$1849,6,FALSE)</f>
        <v>Electrosurgical Units, Monopolar/Bipolar</v>
      </c>
      <c r="FRI102" s="528" t="s">
        <v>213</v>
      </c>
      <c r="FRJ102" s="529" t="str">
        <f>VLOOKUP(FRI102,[14]AssetDetails_UEM!$A$3:$AH$1849,6,FALSE)</f>
        <v>Electrosurgical Units, Monopolar/Bipolar</v>
      </c>
      <c r="FRK102" s="528" t="s">
        <v>213</v>
      </c>
      <c r="FRL102" s="529" t="str">
        <f>VLOOKUP(FRK102,[14]AssetDetails_UEM!$A$3:$AH$1849,6,FALSE)</f>
        <v>Electrosurgical Units, Monopolar/Bipolar</v>
      </c>
      <c r="FRM102" s="528" t="s">
        <v>213</v>
      </c>
      <c r="FRN102" s="529" t="str">
        <f>VLOOKUP(FRM102,[14]AssetDetails_UEM!$A$3:$AH$1849,6,FALSE)</f>
        <v>Electrosurgical Units, Monopolar/Bipolar</v>
      </c>
      <c r="FRO102" s="528" t="s">
        <v>213</v>
      </c>
      <c r="FRP102" s="529" t="str">
        <f>VLOOKUP(FRO102,[14]AssetDetails_UEM!$A$3:$AH$1849,6,FALSE)</f>
        <v>Electrosurgical Units, Monopolar/Bipolar</v>
      </c>
      <c r="FRQ102" s="528" t="s">
        <v>213</v>
      </c>
      <c r="FRR102" s="529" t="str">
        <f>VLOOKUP(FRQ102,[14]AssetDetails_UEM!$A$3:$AH$1849,6,FALSE)</f>
        <v>Electrosurgical Units, Monopolar/Bipolar</v>
      </c>
      <c r="FRS102" s="528" t="s">
        <v>213</v>
      </c>
      <c r="FRT102" s="529" t="str">
        <f>VLOOKUP(FRS102,[14]AssetDetails_UEM!$A$3:$AH$1849,6,FALSE)</f>
        <v>Electrosurgical Units, Monopolar/Bipolar</v>
      </c>
      <c r="FRU102" s="528" t="s">
        <v>213</v>
      </c>
      <c r="FRV102" s="529" t="str">
        <f>VLOOKUP(FRU102,[14]AssetDetails_UEM!$A$3:$AH$1849,6,FALSE)</f>
        <v>Electrosurgical Units, Monopolar/Bipolar</v>
      </c>
      <c r="FRW102" s="528" t="s">
        <v>213</v>
      </c>
      <c r="FRX102" s="529" t="str">
        <f>VLOOKUP(FRW102,[14]AssetDetails_UEM!$A$3:$AH$1849,6,FALSE)</f>
        <v>Electrosurgical Units, Monopolar/Bipolar</v>
      </c>
      <c r="FRY102" s="528" t="s">
        <v>213</v>
      </c>
      <c r="FRZ102" s="529" t="str">
        <f>VLOOKUP(FRY102,[14]AssetDetails_UEM!$A$3:$AH$1849,6,FALSE)</f>
        <v>Electrosurgical Units, Monopolar/Bipolar</v>
      </c>
      <c r="FSA102" s="528" t="s">
        <v>213</v>
      </c>
      <c r="FSB102" s="529" t="str">
        <f>VLOOKUP(FSA102,[14]AssetDetails_UEM!$A$3:$AH$1849,6,FALSE)</f>
        <v>Electrosurgical Units, Monopolar/Bipolar</v>
      </c>
      <c r="FSC102" s="528" t="s">
        <v>213</v>
      </c>
      <c r="FSD102" s="529" t="str">
        <f>VLOOKUP(FSC102,[14]AssetDetails_UEM!$A$3:$AH$1849,6,FALSE)</f>
        <v>Electrosurgical Units, Monopolar/Bipolar</v>
      </c>
      <c r="FSE102" s="528" t="s">
        <v>213</v>
      </c>
      <c r="FSF102" s="529" t="str">
        <f>VLOOKUP(FSE102,[14]AssetDetails_UEM!$A$3:$AH$1849,6,FALSE)</f>
        <v>Electrosurgical Units, Monopolar/Bipolar</v>
      </c>
      <c r="FSG102" s="528" t="s">
        <v>213</v>
      </c>
      <c r="FSH102" s="529" t="str">
        <f>VLOOKUP(FSG102,[14]AssetDetails_UEM!$A$3:$AH$1849,6,FALSE)</f>
        <v>Electrosurgical Units, Monopolar/Bipolar</v>
      </c>
      <c r="FSI102" s="528" t="s">
        <v>213</v>
      </c>
      <c r="FSJ102" s="529" t="str">
        <f>VLOOKUP(FSI102,[14]AssetDetails_UEM!$A$3:$AH$1849,6,FALSE)</f>
        <v>Electrosurgical Units, Monopolar/Bipolar</v>
      </c>
      <c r="FSK102" s="528" t="s">
        <v>213</v>
      </c>
      <c r="FSL102" s="529" t="str">
        <f>VLOOKUP(FSK102,[14]AssetDetails_UEM!$A$3:$AH$1849,6,FALSE)</f>
        <v>Electrosurgical Units, Monopolar/Bipolar</v>
      </c>
      <c r="FSM102" s="528" t="s">
        <v>213</v>
      </c>
      <c r="FSN102" s="529" t="str">
        <f>VLOOKUP(FSM102,[14]AssetDetails_UEM!$A$3:$AH$1849,6,FALSE)</f>
        <v>Electrosurgical Units, Monopolar/Bipolar</v>
      </c>
      <c r="FSO102" s="528" t="s">
        <v>213</v>
      </c>
      <c r="FSP102" s="529" t="str">
        <f>VLOOKUP(FSO102,[14]AssetDetails_UEM!$A$3:$AH$1849,6,FALSE)</f>
        <v>Electrosurgical Units, Monopolar/Bipolar</v>
      </c>
      <c r="FSQ102" s="528" t="s">
        <v>213</v>
      </c>
      <c r="FSR102" s="529" t="str">
        <f>VLOOKUP(FSQ102,[14]AssetDetails_UEM!$A$3:$AH$1849,6,FALSE)</f>
        <v>Electrosurgical Units, Monopolar/Bipolar</v>
      </c>
      <c r="FSS102" s="528" t="s">
        <v>213</v>
      </c>
      <c r="FST102" s="529" t="str">
        <f>VLOOKUP(FSS102,[14]AssetDetails_UEM!$A$3:$AH$1849,6,FALSE)</f>
        <v>Electrosurgical Units, Monopolar/Bipolar</v>
      </c>
      <c r="FSU102" s="528" t="s">
        <v>213</v>
      </c>
      <c r="FSV102" s="529" t="str">
        <f>VLOOKUP(FSU102,[14]AssetDetails_UEM!$A$3:$AH$1849,6,FALSE)</f>
        <v>Electrosurgical Units, Monopolar/Bipolar</v>
      </c>
      <c r="FSW102" s="528" t="s">
        <v>213</v>
      </c>
      <c r="FSX102" s="529" t="str">
        <f>VLOOKUP(FSW102,[14]AssetDetails_UEM!$A$3:$AH$1849,6,FALSE)</f>
        <v>Electrosurgical Units, Monopolar/Bipolar</v>
      </c>
      <c r="FSY102" s="528" t="s">
        <v>213</v>
      </c>
      <c r="FSZ102" s="529" t="str">
        <f>VLOOKUP(FSY102,[14]AssetDetails_UEM!$A$3:$AH$1849,6,FALSE)</f>
        <v>Electrosurgical Units, Monopolar/Bipolar</v>
      </c>
      <c r="FTA102" s="528" t="s">
        <v>213</v>
      </c>
      <c r="FTB102" s="529" t="str">
        <f>VLOOKUP(FTA102,[14]AssetDetails_UEM!$A$3:$AH$1849,6,FALSE)</f>
        <v>Electrosurgical Units, Monopolar/Bipolar</v>
      </c>
      <c r="FTC102" s="528" t="s">
        <v>213</v>
      </c>
      <c r="FTD102" s="529" t="str">
        <f>VLOOKUP(FTC102,[14]AssetDetails_UEM!$A$3:$AH$1849,6,FALSE)</f>
        <v>Electrosurgical Units, Monopolar/Bipolar</v>
      </c>
      <c r="FTE102" s="528" t="s">
        <v>213</v>
      </c>
      <c r="FTF102" s="529" t="str">
        <f>VLOOKUP(FTE102,[14]AssetDetails_UEM!$A$3:$AH$1849,6,FALSE)</f>
        <v>Electrosurgical Units, Monopolar/Bipolar</v>
      </c>
      <c r="FTG102" s="528" t="s">
        <v>213</v>
      </c>
      <c r="FTH102" s="529" t="str">
        <f>VLOOKUP(FTG102,[14]AssetDetails_UEM!$A$3:$AH$1849,6,FALSE)</f>
        <v>Electrosurgical Units, Monopolar/Bipolar</v>
      </c>
      <c r="FTI102" s="528" t="s">
        <v>213</v>
      </c>
      <c r="FTJ102" s="529" t="str">
        <f>VLOOKUP(FTI102,[14]AssetDetails_UEM!$A$3:$AH$1849,6,FALSE)</f>
        <v>Electrosurgical Units, Monopolar/Bipolar</v>
      </c>
      <c r="FTK102" s="528" t="s">
        <v>213</v>
      </c>
      <c r="FTL102" s="529" t="str">
        <f>VLOOKUP(FTK102,[14]AssetDetails_UEM!$A$3:$AH$1849,6,FALSE)</f>
        <v>Electrosurgical Units, Monopolar/Bipolar</v>
      </c>
      <c r="FTM102" s="528" t="s">
        <v>213</v>
      </c>
      <c r="FTN102" s="529" t="str">
        <f>VLOOKUP(FTM102,[14]AssetDetails_UEM!$A$3:$AH$1849,6,FALSE)</f>
        <v>Electrosurgical Units, Monopolar/Bipolar</v>
      </c>
      <c r="FTO102" s="528" t="s">
        <v>213</v>
      </c>
      <c r="FTP102" s="529" t="str">
        <f>VLOOKUP(FTO102,[14]AssetDetails_UEM!$A$3:$AH$1849,6,FALSE)</f>
        <v>Electrosurgical Units, Monopolar/Bipolar</v>
      </c>
      <c r="FTQ102" s="528" t="s">
        <v>213</v>
      </c>
      <c r="FTR102" s="529" t="str">
        <f>VLOOKUP(FTQ102,[14]AssetDetails_UEM!$A$3:$AH$1849,6,FALSE)</f>
        <v>Electrosurgical Units, Monopolar/Bipolar</v>
      </c>
      <c r="FTS102" s="528" t="s">
        <v>213</v>
      </c>
      <c r="FTT102" s="529" t="str">
        <f>VLOOKUP(FTS102,[14]AssetDetails_UEM!$A$3:$AH$1849,6,FALSE)</f>
        <v>Electrosurgical Units, Monopolar/Bipolar</v>
      </c>
      <c r="FTU102" s="528" t="s">
        <v>213</v>
      </c>
      <c r="FTV102" s="529" t="str">
        <f>VLOOKUP(FTU102,[14]AssetDetails_UEM!$A$3:$AH$1849,6,FALSE)</f>
        <v>Electrosurgical Units, Monopolar/Bipolar</v>
      </c>
      <c r="FTW102" s="528" t="s">
        <v>213</v>
      </c>
      <c r="FTX102" s="529" t="str">
        <f>VLOOKUP(FTW102,[14]AssetDetails_UEM!$A$3:$AH$1849,6,FALSE)</f>
        <v>Electrosurgical Units, Monopolar/Bipolar</v>
      </c>
      <c r="FTY102" s="528" t="s">
        <v>213</v>
      </c>
      <c r="FTZ102" s="529" t="str">
        <f>VLOOKUP(FTY102,[14]AssetDetails_UEM!$A$3:$AH$1849,6,FALSE)</f>
        <v>Electrosurgical Units, Monopolar/Bipolar</v>
      </c>
      <c r="FUA102" s="528" t="s">
        <v>213</v>
      </c>
      <c r="FUB102" s="529" t="str">
        <f>VLOOKUP(FUA102,[14]AssetDetails_UEM!$A$3:$AH$1849,6,FALSE)</f>
        <v>Electrosurgical Units, Monopolar/Bipolar</v>
      </c>
      <c r="FUC102" s="528" t="s">
        <v>213</v>
      </c>
      <c r="FUD102" s="529" t="str">
        <f>VLOOKUP(FUC102,[14]AssetDetails_UEM!$A$3:$AH$1849,6,FALSE)</f>
        <v>Electrosurgical Units, Monopolar/Bipolar</v>
      </c>
      <c r="FUE102" s="528" t="s">
        <v>213</v>
      </c>
      <c r="FUF102" s="529" t="str">
        <f>VLOOKUP(FUE102,[14]AssetDetails_UEM!$A$3:$AH$1849,6,FALSE)</f>
        <v>Electrosurgical Units, Monopolar/Bipolar</v>
      </c>
      <c r="FUG102" s="528" t="s">
        <v>213</v>
      </c>
      <c r="FUH102" s="529" t="str">
        <f>VLOOKUP(FUG102,[14]AssetDetails_UEM!$A$3:$AH$1849,6,FALSE)</f>
        <v>Electrosurgical Units, Monopolar/Bipolar</v>
      </c>
      <c r="FUI102" s="528" t="s">
        <v>213</v>
      </c>
      <c r="FUJ102" s="529" t="str">
        <f>VLOOKUP(FUI102,[14]AssetDetails_UEM!$A$3:$AH$1849,6,FALSE)</f>
        <v>Electrosurgical Units, Monopolar/Bipolar</v>
      </c>
      <c r="FUK102" s="528" t="s">
        <v>213</v>
      </c>
      <c r="FUL102" s="529" t="str">
        <f>VLOOKUP(FUK102,[14]AssetDetails_UEM!$A$3:$AH$1849,6,FALSE)</f>
        <v>Electrosurgical Units, Monopolar/Bipolar</v>
      </c>
      <c r="FUM102" s="528" t="s">
        <v>213</v>
      </c>
      <c r="FUN102" s="529" t="str">
        <f>VLOOKUP(FUM102,[14]AssetDetails_UEM!$A$3:$AH$1849,6,FALSE)</f>
        <v>Electrosurgical Units, Monopolar/Bipolar</v>
      </c>
      <c r="FUO102" s="528" t="s">
        <v>213</v>
      </c>
      <c r="FUP102" s="529" t="str">
        <f>VLOOKUP(FUO102,[14]AssetDetails_UEM!$A$3:$AH$1849,6,FALSE)</f>
        <v>Electrosurgical Units, Monopolar/Bipolar</v>
      </c>
      <c r="FUQ102" s="528" t="s">
        <v>213</v>
      </c>
      <c r="FUR102" s="529" t="str">
        <f>VLOOKUP(FUQ102,[14]AssetDetails_UEM!$A$3:$AH$1849,6,FALSE)</f>
        <v>Electrosurgical Units, Monopolar/Bipolar</v>
      </c>
      <c r="FUS102" s="528" t="s">
        <v>213</v>
      </c>
      <c r="FUT102" s="529" t="str">
        <f>VLOOKUP(FUS102,[14]AssetDetails_UEM!$A$3:$AH$1849,6,FALSE)</f>
        <v>Electrosurgical Units, Monopolar/Bipolar</v>
      </c>
      <c r="FUU102" s="528" t="s">
        <v>213</v>
      </c>
      <c r="FUV102" s="529" t="str">
        <f>VLOOKUP(FUU102,[14]AssetDetails_UEM!$A$3:$AH$1849,6,FALSE)</f>
        <v>Electrosurgical Units, Monopolar/Bipolar</v>
      </c>
      <c r="FUW102" s="528" t="s">
        <v>213</v>
      </c>
      <c r="FUX102" s="529" t="str">
        <f>VLOOKUP(FUW102,[14]AssetDetails_UEM!$A$3:$AH$1849,6,FALSE)</f>
        <v>Electrosurgical Units, Monopolar/Bipolar</v>
      </c>
      <c r="FUY102" s="528" t="s">
        <v>213</v>
      </c>
      <c r="FUZ102" s="529" t="str">
        <f>VLOOKUP(FUY102,[14]AssetDetails_UEM!$A$3:$AH$1849,6,FALSE)</f>
        <v>Electrosurgical Units, Monopolar/Bipolar</v>
      </c>
      <c r="FVA102" s="528" t="s">
        <v>213</v>
      </c>
      <c r="FVB102" s="529" t="str">
        <f>VLOOKUP(FVA102,[14]AssetDetails_UEM!$A$3:$AH$1849,6,FALSE)</f>
        <v>Electrosurgical Units, Monopolar/Bipolar</v>
      </c>
      <c r="FVC102" s="528" t="s">
        <v>213</v>
      </c>
      <c r="FVD102" s="529" t="str">
        <f>VLOOKUP(FVC102,[14]AssetDetails_UEM!$A$3:$AH$1849,6,FALSE)</f>
        <v>Electrosurgical Units, Monopolar/Bipolar</v>
      </c>
      <c r="FVE102" s="528" t="s">
        <v>213</v>
      </c>
      <c r="FVF102" s="529" t="str">
        <f>VLOOKUP(FVE102,[14]AssetDetails_UEM!$A$3:$AH$1849,6,FALSE)</f>
        <v>Electrosurgical Units, Monopolar/Bipolar</v>
      </c>
      <c r="FVG102" s="528" t="s">
        <v>213</v>
      </c>
      <c r="FVH102" s="529" t="str">
        <f>VLOOKUP(FVG102,[14]AssetDetails_UEM!$A$3:$AH$1849,6,FALSE)</f>
        <v>Electrosurgical Units, Monopolar/Bipolar</v>
      </c>
      <c r="FVI102" s="528" t="s">
        <v>213</v>
      </c>
      <c r="FVJ102" s="529" t="str">
        <f>VLOOKUP(FVI102,[14]AssetDetails_UEM!$A$3:$AH$1849,6,FALSE)</f>
        <v>Electrosurgical Units, Monopolar/Bipolar</v>
      </c>
      <c r="FVK102" s="528" t="s">
        <v>213</v>
      </c>
      <c r="FVL102" s="529" t="str">
        <f>VLOOKUP(FVK102,[14]AssetDetails_UEM!$A$3:$AH$1849,6,FALSE)</f>
        <v>Electrosurgical Units, Monopolar/Bipolar</v>
      </c>
      <c r="FVM102" s="528" t="s">
        <v>213</v>
      </c>
      <c r="FVN102" s="529" t="str">
        <f>VLOOKUP(FVM102,[14]AssetDetails_UEM!$A$3:$AH$1849,6,FALSE)</f>
        <v>Electrosurgical Units, Monopolar/Bipolar</v>
      </c>
      <c r="FVO102" s="528" t="s">
        <v>213</v>
      </c>
      <c r="FVP102" s="529" t="str">
        <f>VLOOKUP(FVO102,[14]AssetDetails_UEM!$A$3:$AH$1849,6,FALSE)</f>
        <v>Electrosurgical Units, Monopolar/Bipolar</v>
      </c>
      <c r="FVQ102" s="528" t="s">
        <v>213</v>
      </c>
      <c r="FVR102" s="529" t="str">
        <f>VLOOKUP(FVQ102,[14]AssetDetails_UEM!$A$3:$AH$1849,6,FALSE)</f>
        <v>Electrosurgical Units, Monopolar/Bipolar</v>
      </c>
      <c r="FVS102" s="528" t="s">
        <v>213</v>
      </c>
      <c r="FVT102" s="529" t="str">
        <f>VLOOKUP(FVS102,[14]AssetDetails_UEM!$A$3:$AH$1849,6,FALSE)</f>
        <v>Electrosurgical Units, Monopolar/Bipolar</v>
      </c>
      <c r="FVU102" s="528" t="s">
        <v>213</v>
      </c>
      <c r="FVV102" s="529" t="str">
        <f>VLOOKUP(FVU102,[14]AssetDetails_UEM!$A$3:$AH$1849,6,FALSE)</f>
        <v>Electrosurgical Units, Monopolar/Bipolar</v>
      </c>
      <c r="FVW102" s="528" t="s">
        <v>213</v>
      </c>
      <c r="FVX102" s="529" t="str">
        <f>VLOOKUP(FVW102,[14]AssetDetails_UEM!$A$3:$AH$1849,6,FALSE)</f>
        <v>Electrosurgical Units, Monopolar/Bipolar</v>
      </c>
      <c r="FVY102" s="528" t="s">
        <v>213</v>
      </c>
      <c r="FVZ102" s="529" t="str">
        <f>VLOOKUP(FVY102,[14]AssetDetails_UEM!$A$3:$AH$1849,6,FALSE)</f>
        <v>Electrosurgical Units, Monopolar/Bipolar</v>
      </c>
      <c r="FWA102" s="528" t="s">
        <v>213</v>
      </c>
      <c r="FWB102" s="529" t="str">
        <f>VLOOKUP(FWA102,[14]AssetDetails_UEM!$A$3:$AH$1849,6,FALSE)</f>
        <v>Electrosurgical Units, Monopolar/Bipolar</v>
      </c>
      <c r="FWC102" s="528" t="s">
        <v>213</v>
      </c>
      <c r="FWD102" s="529" t="str">
        <f>VLOOKUP(FWC102,[14]AssetDetails_UEM!$A$3:$AH$1849,6,FALSE)</f>
        <v>Electrosurgical Units, Monopolar/Bipolar</v>
      </c>
      <c r="FWE102" s="528" t="s">
        <v>213</v>
      </c>
      <c r="FWF102" s="529" t="str">
        <f>VLOOKUP(FWE102,[14]AssetDetails_UEM!$A$3:$AH$1849,6,FALSE)</f>
        <v>Electrosurgical Units, Monopolar/Bipolar</v>
      </c>
      <c r="FWG102" s="528" t="s">
        <v>213</v>
      </c>
      <c r="FWH102" s="529" t="str">
        <f>VLOOKUP(FWG102,[14]AssetDetails_UEM!$A$3:$AH$1849,6,FALSE)</f>
        <v>Electrosurgical Units, Monopolar/Bipolar</v>
      </c>
      <c r="FWI102" s="528" t="s">
        <v>213</v>
      </c>
      <c r="FWJ102" s="529" t="str">
        <f>VLOOKUP(FWI102,[14]AssetDetails_UEM!$A$3:$AH$1849,6,FALSE)</f>
        <v>Electrosurgical Units, Monopolar/Bipolar</v>
      </c>
      <c r="FWK102" s="528" t="s">
        <v>213</v>
      </c>
      <c r="FWL102" s="529" t="str">
        <f>VLOOKUP(FWK102,[14]AssetDetails_UEM!$A$3:$AH$1849,6,FALSE)</f>
        <v>Electrosurgical Units, Monopolar/Bipolar</v>
      </c>
      <c r="FWM102" s="528" t="s">
        <v>213</v>
      </c>
      <c r="FWN102" s="529" t="str">
        <f>VLOOKUP(FWM102,[14]AssetDetails_UEM!$A$3:$AH$1849,6,FALSE)</f>
        <v>Electrosurgical Units, Monopolar/Bipolar</v>
      </c>
      <c r="FWO102" s="528" t="s">
        <v>213</v>
      </c>
      <c r="FWP102" s="529" t="str">
        <f>VLOOKUP(FWO102,[14]AssetDetails_UEM!$A$3:$AH$1849,6,FALSE)</f>
        <v>Electrosurgical Units, Monopolar/Bipolar</v>
      </c>
      <c r="FWQ102" s="528" t="s">
        <v>213</v>
      </c>
      <c r="FWR102" s="529" t="str">
        <f>VLOOKUP(FWQ102,[14]AssetDetails_UEM!$A$3:$AH$1849,6,FALSE)</f>
        <v>Electrosurgical Units, Monopolar/Bipolar</v>
      </c>
      <c r="FWS102" s="528" t="s">
        <v>213</v>
      </c>
      <c r="FWT102" s="529" t="str">
        <f>VLOOKUP(FWS102,[14]AssetDetails_UEM!$A$3:$AH$1849,6,FALSE)</f>
        <v>Electrosurgical Units, Monopolar/Bipolar</v>
      </c>
      <c r="FWU102" s="528" t="s">
        <v>213</v>
      </c>
      <c r="FWV102" s="529" t="str">
        <f>VLOOKUP(FWU102,[14]AssetDetails_UEM!$A$3:$AH$1849,6,FALSE)</f>
        <v>Electrosurgical Units, Monopolar/Bipolar</v>
      </c>
      <c r="FWW102" s="528" t="s">
        <v>213</v>
      </c>
      <c r="FWX102" s="529" t="str">
        <f>VLOOKUP(FWW102,[14]AssetDetails_UEM!$A$3:$AH$1849,6,FALSE)</f>
        <v>Electrosurgical Units, Monopolar/Bipolar</v>
      </c>
      <c r="FWY102" s="528" t="s">
        <v>213</v>
      </c>
      <c r="FWZ102" s="529" t="str">
        <f>VLOOKUP(FWY102,[14]AssetDetails_UEM!$A$3:$AH$1849,6,FALSE)</f>
        <v>Electrosurgical Units, Monopolar/Bipolar</v>
      </c>
      <c r="FXA102" s="528" t="s">
        <v>213</v>
      </c>
      <c r="FXB102" s="529" t="str">
        <f>VLOOKUP(FXA102,[14]AssetDetails_UEM!$A$3:$AH$1849,6,FALSE)</f>
        <v>Electrosurgical Units, Monopolar/Bipolar</v>
      </c>
      <c r="FXC102" s="528" t="s">
        <v>213</v>
      </c>
      <c r="FXD102" s="529" t="str">
        <f>VLOOKUP(FXC102,[14]AssetDetails_UEM!$A$3:$AH$1849,6,FALSE)</f>
        <v>Electrosurgical Units, Monopolar/Bipolar</v>
      </c>
      <c r="FXE102" s="528" t="s">
        <v>213</v>
      </c>
      <c r="FXF102" s="529" t="str">
        <f>VLOOKUP(FXE102,[14]AssetDetails_UEM!$A$3:$AH$1849,6,FALSE)</f>
        <v>Electrosurgical Units, Monopolar/Bipolar</v>
      </c>
      <c r="FXG102" s="528" t="s">
        <v>213</v>
      </c>
      <c r="FXH102" s="529" t="str">
        <f>VLOOKUP(FXG102,[14]AssetDetails_UEM!$A$3:$AH$1849,6,FALSE)</f>
        <v>Electrosurgical Units, Monopolar/Bipolar</v>
      </c>
      <c r="FXI102" s="528" t="s">
        <v>213</v>
      </c>
      <c r="FXJ102" s="529" t="str">
        <f>VLOOKUP(FXI102,[14]AssetDetails_UEM!$A$3:$AH$1849,6,FALSE)</f>
        <v>Electrosurgical Units, Monopolar/Bipolar</v>
      </c>
      <c r="FXK102" s="528" t="s">
        <v>213</v>
      </c>
      <c r="FXL102" s="529" t="str">
        <f>VLOOKUP(FXK102,[14]AssetDetails_UEM!$A$3:$AH$1849,6,FALSE)</f>
        <v>Electrosurgical Units, Monopolar/Bipolar</v>
      </c>
      <c r="FXM102" s="528" t="s">
        <v>213</v>
      </c>
      <c r="FXN102" s="529" t="str">
        <f>VLOOKUP(FXM102,[14]AssetDetails_UEM!$A$3:$AH$1849,6,FALSE)</f>
        <v>Electrosurgical Units, Monopolar/Bipolar</v>
      </c>
      <c r="FXO102" s="528" t="s">
        <v>213</v>
      </c>
      <c r="FXP102" s="529" t="str">
        <f>VLOOKUP(FXO102,[14]AssetDetails_UEM!$A$3:$AH$1849,6,FALSE)</f>
        <v>Electrosurgical Units, Monopolar/Bipolar</v>
      </c>
      <c r="FXQ102" s="528" t="s">
        <v>213</v>
      </c>
      <c r="FXR102" s="529" t="str">
        <f>VLOOKUP(FXQ102,[14]AssetDetails_UEM!$A$3:$AH$1849,6,FALSE)</f>
        <v>Electrosurgical Units, Monopolar/Bipolar</v>
      </c>
      <c r="FXS102" s="528" t="s">
        <v>213</v>
      </c>
      <c r="FXT102" s="529" t="str">
        <f>VLOOKUP(FXS102,[14]AssetDetails_UEM!$A$3:$AH$1849,6,FALSE)</f>
        <v>Electrosurgical Units, Monopolar/Bipolar</v>
      </c>
      <c r="FXU102" s="528" t="s">
        <v>213</v>
      </c>
      <c r="FXV102" s="529" t="str">
        <f>VLOOKUP(FXU102,[14]AssetDetails_UEM!$A$3:$AH$1849,6,FALSE)</f>
        <v>Electrosurgical Units, Monopolar/Bipolar</v>
      </c>
      <c r="FXW102" s="528" t="s">
        <v>213</v>
      </c>
      <c r="FXX102" s="529" t="str">
        <f>VLOOKUP(FXW102,[14]AssetDetails_UEM!$A$3:$AH$1849,6,FALSE)</f>
        <v>Electrosurgical Units, Monopolar/Bipolar</v>
      </c>
      <c r="FXY102" s="528" t="s">
        <v>213</v>
      </c>
      <c r="FXZ102" s="529" t="str">
        <f>VLOOKUP(FXY102,[14]AssetDetails_UEM!$A$3:$AH$1849,6,FALSE)</f>
        <v>Electrosurgical Units, Monopolar/Bipolar</v>
      </c>
      <c r="FYA102" s="528" t="s">
        <v>213</v>
      </c>
      <c r="FYB102" s="529" t="str">
        <f>VLOOKUP(FYA102,[14]AssetDetails_UEM!$A$3:$AH$1849,6,FALSE)</f>
        <v>Electrosurgical Units, Monopolar/Bipolar</v>
      </c>
      <c r="FYC102" s="528" t="s">
        <v>213</v>
      </c>
      <c r="FYD102" s="529" t="str">
        <f>VLOOKUP(FYC102,[14]AssetDetails_UEM!$A$3:$AH$1849,6,FALSE)</f>
        <v>Electrosurgical Units, Monopolar/Bipolar</v>
      </c>
      <c r="FYE102" s="528" t="s">
        <v>213</v>
      </c>
      <c r="FYF102" s="529" t="str">
        <f>VLOOKUP(FYE102,[14]AssetDetails_UEM!$A$3:$AH$1849,6,FALSE)</f>
        <v>Electrosurgical Units, Monopolar/Bipolar</v>
      </c>
      <c r="FYG102" s="528" t="s">
        <v>213</v>
      </c>
      <c r="FYH102" s="529" t="str">
        <f>VLOOKUP(FYG102,[14]AssetDetails_UEM!$A$3:$AH$1849,6,FALSE)</f>
        <v>Electrosurgical Units, Monopolar/Bipolar</v>
      </c>
      <c r="FYI102" s="528" t="s">
        <v>213</v>
      </c>
      <c r="FYJ102" s="529" t="str">
        <f>VLOOKUP(FYI102,[14]AssetDetails_UEM!$A$3:$AH$1849,6,FALSE)</f>
        <v>Electrosurgical Units, Monopolar/Bipolar</v>
      </c>
      <c r="FYK102" s="528" t="s">
        <v>213</v>
      </c>
      <c r="FYL102" s="529" t="str">
        <f>VLOOKUP(FYK102,[14]AssetDetails_UEM!$A$3:$AH$1849,6,FALSE)</f>
        <v>Electrosurgical Units, Monopolar/Bipolar</v>
      </c>
      <c r="FYM102" s="528" t="s">
        <v>213</v>
      </c>
      <c r="FYN102" s="529" t="str">
        <f>VLOOKUP(FYM102,[14]AssetDetails_UEM!$A$3:$AH$1849,6,FALSE)</f>
        <v>Electrosurgical Units, Monopolar/Bipolar</v>
      </c>
      <c r="FYO102" s="528" t="s">
        <v>213</v>
      </c>
      <c r="FYP102" s="529" t="str">
        <f>VLOOKUP(FYO102,[14]AssetDetails_UEM!$A$3:$AH$1849,6,FALSE)</f>
        <v>Electrosurgical Units, Monopolar/Bipolar</v>
      </c>
      <c r="FYQ102" s="528" t="s">
        <v>213</v>
      </c>
      <c r="FYR102" s="529" t="str">
        <f>VLOOKUP(FYQ102,[14]AssetDetails_UEM!$A$3:$AH$1849,6,FALSE)</f>
        <v>Electrosurgical Units, Monopolar/Bipolar</v>
      </c>
      <c r="FYS102" s="528" t="s">
        <v>213</v>
      </c>
      <c r="FYT102" s="529" t="str">
        <f>VLOOKUP(FYS102,[14]AssetDetails_UEM!$A$3:$AH$1849,6,FALSE)</f>
        <v>Electrosurgical Units, Monopolar/Bipolar</v>
      </c>
      <c r="FYU102" s="528" t="s">
        <v>213</v>
      </c>
      <c r="FYV102" s="529" t="str">
        <f>VLOOKUP(FYU102,[14]AssetDetails_UEM!$A$3:$AH$1849,6,FALSE)</f>
        <v>Electrosurgical Units, Monopolar/Bipolar</v>
      </c>
      <c r="FYW102" s="528" t="s">
        <v>213</v>
      </c>
      <c r="FYX102" s="529" t="str">
        <f>VLOOKUP(FYW102,[14]AssetDetails_UEM!$A$3:$AH$1849,6,FALSE)</f>
        <v>Electrosurgical Units, Monopolar/Bipolar</v>
      </c>
      <c r="FYY102" s="528" t="s">
        <v>213</v>
      </c>
      <c r="FYZ102" s="529" t="str">
        <f>VLOOKUP(FYY102,[14]AssetDetails_UEM!$A$3:$AH$1849,6,FALSE)</f>
        <v>Electrosurgical Units, Monopolar/Bipolar</v>
      </c>
      <c r="FZA102" s="528" t="s">
        <v>213</v>
      </c>
      <c r="FZB102" s="529" t="str">
        <f>VLOOKUP(FZA102,[14]AssetDetails_UEM!$A$3:$AH$1849,6,FALSE)</f>
        <v>Electrosurgical Units, Monopolar/Bipolar</v>
      </c>
      <c r="FZC102" s="528" t="s">
        <v>213</v>
      </c>
      <c r="FZD102" s="529" t="str">
        <f>VLOOKUP(FZC102,[14]AssetDetails_UEM!$A$3:$AH$1849,6,FALSE)</f>
        <v>Electrosurgical Units, Monopolar/Bipolar</v>
      </c>
      <c r="FZE102" s="528" t="s">
        <v>213</v>
      </c>
      <c r="FZF102" s="529" t="str">
        <f>VLOOKUP(FZE102,[14]AssetDetails_UEM!$A$3:$AH$1849,6,FALSE)</f>
        <v>Electrosurgical Units, Monopolar/Bipolar</v>
      </c>
      <c r="FZG102" s="528" t="s">
        <v>213</v>
      </c>
      <c r="FZH102" s="529" t="str">
        <f>VLOOKUP(FZG102,[14]AssetDetails_UEM!$A$3:$AH$1849,6,FALSE)</f>
        <v>Electrosurgical Units, Monopolar/Bipolar</v>
      </c>
      <c r="FZI102" s="528" t="s">
        <v>213</v>
      </c>
      <c r="FZJ102" s="529" t="str">
        <f>VLOOKUP(FZI102,[14]AssetDetails_UEM!$A$3:$AH$1849,6,FALSE)</f>
        <v>Electrosurgical Units, Monopolar/Bipolar</v>
      </c>
      <c r="FZK102" s="528" t="s">
        <v>213</v>
      </c>
      <c r="FZL102" s="529" t="str">
        <f>VLOOKUP(FZK102,[14]AssetDetails_UEM!$A$3:$AH$1849,6,FALSE)</f>
        <v>Electrosurgical Units, Monopolar/Bipolar</v>
      </c>
      <c r="FZM102" s="528" t="s">
        <v>213</v>
      </c>
      <c r="FZN102" s="529" t="str">
        <f>VLOOKUP(FZM102,[14]AssetDetails_UEM!$A$3:$AH$1849,6,FALSE)</f>
        <v>Electrosurgical Units, Monopolar/Bipolar</v>
      </c>
      <c r="FZO102" s="528" t="s">
        <v>213</v>
      </c>
      <c r="FZP102" s="529" t="str">
        <f>VLOOKUP(FZO102,[14]AssetDetails_UEM!$A$3:$AH$1849,6,FALSE)</f>
        <v>Electrosurgical Units, Monopolar/Bipolar</v>
      </c>
      <c r="FZQ102" s="528" t="s">
        <v>213</v>
      </c>
      <c r="FZR102" s="529" t="str">
        <f>VLOOKUP(FZQ102,[14]AssetDetails_UEM!$A$3:$AH$1849,6,FALSE)</f>
        <v>Electrosurgical Units, Monopolar/Bipolar</v>
      </c>
      <c r="FZS102" s="528" t="s">
        <v>213</v>
      </c>
      <c r="FZT102" s="529" t="str">
        <f>VLOOKUP(FZS102,[14]AssetDetails_UEM!$A$3:$AH$1849,6,FALSE)</f>
        <v>Electrosurgical Units, Monopolar/Bipolar</v>
      </c>
      <c r="FZU102" s="528" t="s">
        <v>213</v>
      </c>
      <c r="FZV102" s="529" t="str">
        <f>VLOOKUP(FZU102,[14]AssetDetails_UEM!$A$3:$AH$1849,6,FALSE)</f>
        <v>Electrosurgical Units, Monopolar/Bipolar</v>
      </c>
      <c r="FZW102" s="528" t="s">
        <v>213</v>
      </c>
      <c r="FZX102" s="529" t="str">
        <f>VLOOKUP(FZW102,[14]AssetDetails_UEM!$A$3:$AH$1849,6,FALSE)</f>
        <v>Electrosurgical Units, Monopolar/Bipolar</v>
      </c>
      <c r="FZY102" s="528" t="s">
        <v>213</v>
      </c>
      <c r="FZZ102" s="529" t="str">
        <f>VLOOKUP(FZY102,[14]AssetDetails_UEM!$A$3:$AH$1849,6,FALSE)</f>
        <v>Electrosurgical Units, Monopolar/Bipolar</v>
      </c>
      <c r="GAA102" s="528" t="s">
        <v>213</v>
      </c>
      <c r="GAB102" s="529" t="str">
        <f>VLOOKUP(GAA102,[14]AssetDetails_UEM!$A$3:$AH$1849,6,FALSE)</f>
        <v>Electrosurgical Units, Monopolar/Bipolar</v>
      </c>
      <c r="GAC102" s="528" t="s">
        <v>213</v>
      </c>
      <c r="GAD102" s="529" t="str">
        <f>VLOOKUP(GAC102,[14]AssetDetails_UEM!$A$3:$AH$1849,6,FALSE)</f>
        <v>Electrosurgical Units, Monopolar/Bipolar</v>
      </c>
      <c r="GAE102" s="528" t="s">
        <v>213</v>
      </c>
      <c r="GAF102" s="529" t="str">
        <f>VLOOKUP(GAE102,[14]AssetDetails_UEM!$A$3:$AH$1849,6,FALSE)</f>
        <v>Electrosurgical Units, Monopolar/Bipolar</v>
      </c>
      <c r="GAG102" s="528" t="s">
        <v>213</v>
      </c>
      <c r="GAH102" s="529" t="str">
        <f>VLOOKUP(GAG102,[14]AssetDetails_UEM!$A$3:$AH$1849,6,FALSE)</f>
        <v>Electrosurgical Units, Monopolar/Bipolar</v>
      </c>
      <c r="GAI102" s="528" t="s">
        <v>213</v>
      </c>
      <c r="GAJ102" s="529" t="str">
        <f>VLOOKUP(GAI102,[14]AssetDetails_UEM!$A$3:$AH$1849,6,FALSE)</f>
        <v>Electrosurgical Units, Monopolar/Bipolar</v>
      </c>
      <c r="GAK102" s="528" t="s">
        <v>213</v>
      </c>
      <c r="GAL102" s="529" t="str">
        <f>VLOOKUP(GAK102,[14]AssetDetails_UEM!$A$3:$AH$1849,6,FALSE)</f>
        <v>Electrosurgical Units, Monopolar/Bipolar</v>
      </c>
      <c r="GAM102" s="528" t="s">
        <v>213</v>
      </c>
      <c r="GAN102" s="529" t="str">
        <f>VLOOKUP(GAM102,[14]AssetDetails_UEM!$A$3:$AH$1849,6,FALSE)</f>
        <v>Electrosurgical Units, Monopolar/Bipolar</v>
      </c>
      <c r="GAO102" s="528" t="s">
        <v>213</v>
      </c>
      <c r="GAP102" s="529" t="str">
        <f>VLOOKUP(GAO102,[14]AssetDetails_UEM!$A$3:$AH$1849,6,FALSE)</f>
        <v>Electrosurgical Units, Monopolar/Bipolar</v>
      </c>
      <c r="GAQ102" s="528" t="s">
        <v>213</v>
      </c>
      <c r="GAR102" s="529" t="str">
        <f>VLOOKUP(GAQ102,[14]AssetDetails_UEM!$A$3:$AH$1849,6,FALSE)</f>
        <v>Electrosurgical Units, Monopolar/Bipolar</v>
      </c>
      <c r="GAS102" s="528" t="s">
        <v>213</v>
      </c>
      <c r="GAT102" s="529" t="str">
        <f>VLOOKUP(GAS102,[14]AssetDetails_UEM!$A$3:$AH$1849,6,FALSE)</f>
        <v>Electrosurgical Units, Monopolar/Bipolar</v>
      </c>
      <c r="GAU102" s="528" t="s">
        <v>213</v>
      </c>
      <c r="GAV102" s="529" t="str">
        <f>VLOOKUP(GAU102,[14]AssetDetails_UEM!$A$3:$AH$1849,6,FALSE)</f>
        <v>Electrosurgical Units, Monopolar/Bipolar</v>
      </c>
      <c r="GAW102" s="528" t="s">
        <v>213</v>
      </c>
      <c r="GAX102" s="529" t="str">
        <f>VLOOKUP(GAW102,[14]AssetDetails_UEM!$A$3:$AH$1849,6,FALSE)</f>
        <v>Electrosurgical Units, Monopolar/Bipolar</v>
      </c>
      <c r="GAY102" s="528" t="s">
        <v>213</v>
      </c>
      <c r="GAZ102" s="529" t="str">
        <f>VLOOKUP(GAY102,[14]AssetDetails_UEM!$A$3:$AH$1849,6,FALSE)</f>
        <v>Electrosurgical Units, Monopolar/Bipolar</v>
      </c>
      <c r="GBA102" s="528" t="s">
        <v>213</v>
      </c>
      <c r="GBB102" s="529" t="str">
        <f>VLOOKUP(GBA102,[14]AssetDetails_UEM!$A$3:$AH$1849,6,FALSE)</f>
        <v>Electrosurgical Units, Monopolar/Bipolar</v>
      </c>
      <c r="GBC102" s="528" t="s">
        <v>213</v>
      </c>
      <c r="GBD102" s="529" t="str">
        <f>VLOOKUP(GBC102,[14]AssetDetails_UEM!$A$3:$AH$1849,6,FALSE)</f>
        <v>Electrosurgical Units, Monopolar/Bipolar</v>
      </c>
      <c r="GBE102" s="528" t="s">
        <v>213</v>
      </c>
      <c r="GBF102" s="529" t="str">
        <f>VLOOKUP(GBE102,[14]AssetDetails_UEM!$A$3:$AH$1849,6,FALSE)</f>
        <v>Electrosurgical Units, Monopolar/Bipolar</v>
      </c>
      <c r="GBG102" s="528" t="s">
        <v>213</v>
      </c>
      <c r="GBH102" s="529" t="str">
        <f>VLOOKUP(GBG102,[14]AssetDetails_UEM!$A$3:$AH$1849,6,FALSE)</f>
        <v>Electrosurgical Units, Monopolar/Bipolar</v>
      </c>
      <c r="GBI102" s="528" t="s">
        <v>213</v>
      </c>
      <c r="GBJ102" s="529" t="str">
        <f>VLOOKUP(GBI102,[14]AssetDetails_UEM!$A$3:$AH$1849,6,FALSE)</f>
        <v>Electrosurgical Units, Monopolar/Bipolar</v>
      </c>
      <c r="GBK102" s="528" t="s">
        <v>213</v>
      </c>
      <c r="GBL102" s="529" t="str">
        <f>VLOOKUP(GBK102,[14]AssetDetails_UEM!$A$3:$AH$1849,6,FALSE)</f>
        <v>Electrosurgical Units, Monopolar/Bipolar</v>
      </c>
      <c r="GBM102" s="528" t="s">
        <v>213</v>
      </c>
      <c r="GBN102" s="529" t="str">
        <f>VLOOKUP(GBM102,[14]AssetDetails_UEM!$A$3:$AH$1849,6,FALSE)</f>
        <v>Electrosurgical Units, Monopolar/Bipolar</v>
      </c>
      <c r="GBO102" s="528" t="s">
        <v>213</v>
      </c>
      <c r="GBP102" s="529" t="str">
        <f>VLOOKUP(GBO102,[14]AssetDetails_UEM!$A$3:$AH$1849,6,FALSE)</f>
        <v>Electrosurgical Units, Monopolar/Bipolar</v>
      </c>
      <c r="GBQ102" s="528" t="s">
        <v>213</v>
      </c>
      <c r="GBR102" s="529" t="str">
        <f>VLOOKUP(GBQ102,[14]AssetDetails_UEM!$A$3:$AH$1849,6,FALSE)</f>
        <v>Electrosurgical Units, Monopolar/Bipolar</v>
      </c>
      <c r="GBS102" s="528" t="s">
        <v>213</v>
      </c>
      <c r="GBT102" s="529" t="str">
        <f>VLOOKUP(GBS102,[14]AssetDetails_UEM!$A$3:$AH$1849,6,FALSE)</f>
        <v>Electrosurgical Units, Monopolar/Bipolar</v>
      </c>
      <c r="GBU102" s="528" t="s">
        <v>213</v>
      </c>
      <c r="GBV102" s="529" t="str">
        <f>VLOOKUP(GBU102,[14]AssetDetails_UEM!$A$3:$AH$1849,6,FALSE)</f>
        <v>Electrosurgical Units, Monopolar/Bipolar</v>
      </c>
      <c r="GBW102" s="528" t="s">
        <v>213</v>
      </c>
      <c r="GBX102" s="529" t="str">
        <f>VLOOKUP(GBW102,[14]AssetDetails_UEM!$A$3:$AH$1849,6,FALSE)</f>
        <v>Electrosurgical Units, Monopolar/Bipolar</v>
      </c>
      <c r="GBY102" s="528" t="s">
        <v>213</v>
      </c>
      <c r="GBZ102" s="529" t="str">
        <f>VLOOKUP(GBY102,[14]AssetDetails_UEM!$A$3:$AH$1849,6,FALSE)</f>
        <v>Electrosurgical Units, Monopolar/Bipolar</v>
      </c>
      <c r="GCA102" s="528" t="s">
        <v>213</v>
      </c>
      <c r="GCB102" s="529" t="str">
        <f>VLOOKUP(GCA102,[14]AssetDetails_UEM!$A$3:$AH$1849,6,FALSE)</f>
        <v>Electrosurgical Units, Monopolar/Bipolar</v>
      </c>
      <c r="GCC102" s="528" t="s">
        <v>213</v>
      </c>
      <c r="GCD102" s="529" t="str">
        <f>VLOOKUP(GCC102,[14]AssetDetails_UEM!$A$3:$AH$1849,6,FALSE)</f>
        <v>Electrosurgical Units, Monopolar/Bipolar</v>
      </c>
      <c r="GCE102" s="528" t="s">
        <v>213</v>
      </c>
      <c r="GCF102" s="529" t="str">
        <f>VLOOKUP(GCE102,[14]AssetDetails_UEM!$A$3:$AH$1849,6,FALSE)</f>
        <v>Electrosurgical Units, Monopolar/Bipolar</v>
      </c>
      <c r="GCG102" s="528" t="s">
        <v>213</v>
      </c>
      <c r="GCH102" s="529" t="str">
        <f>VLOOKUP(GCG102,[14]AssetDetails_UEM!$A$3:$AH$1849,6,FALSE)</f>
        <v>Electrosurgical Units, Monopolar/Bipolar</v>
      </c>
      <c r="GCI102" s="528" t="s">
        <v>213</v>
      </c>
      <c r="GCJ102" s="529" t="str">
        <f>VLOOKUP(GCI102,[14]AssetDetails_UEM!$A$3:$AH$1849,6,FALSE)</f>
        <v>Electrosurgical Units, Monopolar/Bipolar</v>
      </c>
      <c r="GCK102" s="528" t="s">
        <v>213</v>
      </c>
      <c r="GCL102" s="529" t="str">
        <f>VLOOKUP(GCK102,[14]AssetDetails_UEM!$A$3:$AH$1849,6,FALSE)</f>
        <v>Electrosurgical Units, Monopolar/Bipolar</v>
      </c>
      <c r="GCM102" s="528" t="s">
        <v>213</v>
      </c>
      <c r="GCN102" s="529" t="str">
        <f>VLOOKUP(GCM102,[14]AssetDetails_UEM!$A$3:$AH$1849,6,FALSE)</f>
        <v>Electrosurgical Units, Monopolar/Bipolar</v>
      </c>
      <c r="GCO102" s="528" t="s">
        <v>213</v>
      </c>
      <c r="GCP102" s="529" t="str">
        <f>VLOOKUP(GCO102,[14]AssetDetails_UEM!$A$3:$AH$1849,6,FALSE)</f>
        <v>Electrosurgical Units, Monopolar/Bipolar</v>
      </c>
      <c r="GCQ102" s="528" t="s">
        <v>213</v>
      </c>
      <c r="GCR102" s="529" t="str">
        <f>VLOOKUP(GCQ102,[14]AssetDetails_UEM!$A$3:$AH$1849,6,FALSE)</f>
        <v>Electrosurgical Units, Monopolar/Bipolar</v>
      </c>
      <c r="GCS102" s="528" t="s">
        <v>213</v>
      </c>
      <c r="GCT102" s="529" t="str">
        <f>VLOOKUP(GCS102,[14]AssetDetails_UEM!$A$3:$AH$1849,6,FALSE)</f>
        <v>Electrosurgical Units, Monopolar/Bipolar</v>
      </c>
      <c r="GCU102" s="528" t="s">
        <v>213</v>
      </c>
      <c r="GCV102" s="529" t="str">
        <f>VLOOKUP(GCU102,[14]AssetDetails_UEM!$A$3:$AH$1849,6,FALSE)</f>
        <v>Electrosurgical Units, Monopolar/Bipolar</v>
      </c>
      <c r="GCW102" s="528" t="s">
        <v>213</v>
      </c>
      <c r="GCX102" s="529" t="str">
        <f>VLOOKUP(GCW102,[14]AssetDetails_UEM!$A$3:$AH$1849,6,FALSE)</f>
        <v>Electrosurgical Units, Monopolar/Bipolar</v>
      </c>
      <c r="GCY102" s="528" t="s">
        <v>213</v>
      </c>
      <c r="GCZ102" s="529" t="str">
        <f>VLOOKUP(GCY102,[14]AssetDetails_UEM!$A$3:$AH$1849,6,FALSE)</f>
        <v>Electrosurgical Units, Monopolar/Bipolar</v>
      </c>
      <c r="GDA102" s="528" t="s">
        <v>213</v>
      </c>
      <c r="GDB102" s="529" t="str">
        <f>VLOOKUP(GDA102,[14]AssetDetails_UEM!$A$3:$AH$1849,6,FALSE)</f>
        <v>Electrosurgical Units, Monopolar/Bipolar</v>
      </c>
      <c r="GDC102" s="528" t="s">
        <v>213</v>
      </c>
      <c r="GDD102" s="529" t="str">
        <f>VLOOKUP(GDC102,[14]AssetDetails_UEM!$A$3:$AH$1849,6,FALSE)</f>
        <v>Electrosurgical Units, Monopolar/Bipolar</v>
      </c>
      <c r="GDE102" s="528" t="s">
        <v>213</v>
      </c>
      <c r="GDF102" s="529" t="str">
        <f>VLOOKUP(GDE102,[14]AssetDetails_UEM!$A$3:$AH$1849,6,FALSE)</f>
        <v>Electrosurgical Units, Monopolar/Bipolar</v>
      </c>
      <c r="GDG102" s="528" t="s">
        <v>213</v>
      </c>
      <c r="GDH102" s="529" t="str">
        <f>VLOOKUP(GDG102,[14]AssetDetails_UEM!$A$3:$AH$1849,6,FALSE)</f>
        <v>Electrosurgical Units, Monopolar/Bipolar</v>
      </c>
      <c r="GDI102" s="528" t="s">
        <v>213</v>
      </c>
      <c r="GDJ102" s="529" t="str">
        <f>VLOOKUP(GDI102,[14]AssetDetails_UEM!$A$3:$AH$1849,6,FALSE)</f>
        <v>Electrosurgical Units, Monopolar/Bipolar</v>
      </c>
      <c r="GDK102" s="528" t="s">
        <v>213</v>
      </c>
      <c r="GDL102" s="529" t="str">
        <f>VLOOKUP(GDK102,[14]AssetDetails_UEM!$A$3:$AH$1849,6,FALSE)</f>
        <v>Electrosurgical Units, Monopolar/Bipolar</v>
      </c>
      <c r="GDM102" s="528" t="s">
        <v>213</v>
      </c>
      <c r="GDN102" s="529" t="str">
        <f>VLOOKUP(GDM102,[14]AssetDetails_UEM!$A$3:$AH$1849,6,FALSE)</f>
        <v>Electrosurgical Units, Monopolar/Bipolar</v>
      </c>
      <c r="GDO102" s="528" t="s">
        <v>213</v>
      </c>
      <c r="GDP102" s="529" t="str">
        <f>VLOOKUP(GDO102,[14]AssetDetails_UEM!$A$3:$AH$1849,6,FALSE)</f>
        <v>Electrosurgical Units, Monopolar/Bipolar</v>
      </c>
      <c r="GDQ102" s="528" t="s">
        <v>213</v>
      </c>
      <c r="GDR102" s="529" t="str">
        <f>VLOOKUP(GDQ102,[14]AssetDetails_UEM!$A$3:$AH$1849,6,FALSE)</f>
        <v>Electrosurgical Units, Monopolar/Bipolar</v>
      </c>
      <c r="GDS102" s="528" t="s">
        <v>213</v>
      </c>
      <c r="GDT102" s="529" t="str">
        <f>VLOOKUP(GDS102,[14]AssetDetails_UEM!$A$3:$AH$1849,6,FALSE)</f>
        <v>Electrosurgical Units, Monopolar/Bipolar</v>
      </c>
      <c r="GDU102" s="528" t="s">
        <v>213</v>
      </c>
      <c r="GDV102" s="529" t="str">
        <f>VLOOKUP(GDU102,[14]AssetDetails_UEM!$A$3:$AH$1849,6,FALSE)</f>
        <v>Electrosurgical Units, Monopolar/Bipolar</v>
      </c>
      <c r="GDW102" s="528" t="s">
        <v>213</v>
      </c>
      <c r="GDX102" s="529" t="str">
        <f>VLOOKUP(GDW102,[14]AssetDetails_UEM!$A$3:$AH$1849,6,FALSE)</f>
        <v>Electrosurgical Units, Monopolar/Bipolar</v>
      </c>
      <c r="GDY102" s="528" t="s">
        <v>213</v>
      </c>
      <c r="GDZ102" s="529" t="str">
        <f>VLOOKUP(GDY102,[14]AssetDetails_UEM!$A$3:$AH$1849,6,FALSE)</f>
        <v>Electrosurgical Units, Monopolar/Bipolar</v>
      </c>
      <c r="GEA102" s="528" t="s">
        <v>213</v>
      </c>
      <c r="GEB102" s="529" t="str">
        <f>VLOOKUP(GEA102,[14]AssetDetails_UEM!$A$3:$AH$1849,6,FALSE)</f>
        <v>Electrosurgical Units, Monopolar/Bipolar</v>
      </c>
      <c r="GEC102" s="528" t="s">
        <v>213</v>
      </c>
      <c r="GED102" s="529" t="str">
        <f>VLOOKUP(GEC102,[14]AssetDetails_UEM!$A$3:$AH$1849,6,FALSE)</f>
        <v>Electrosurgical Units, Monopolar/Bipolar</v>
      </c>
      <c r="GEE102" s="528" t="s">
        <v>213</v>
      </c>
      <c r="GEF102" s="529" t="str">
        <f>VLOOKUP(GEE102,[14]AssetDetails_UEM!$A$3:$AH$1849,6,FALSE)</f>
        <v>Electrosurgical Units, Monopolar/Bipolar</v>
      </c>
      <c r="GEG102" s="528" t="s">
        <v>213</v>
      </c>
      <c r="GEH102" s="529" t="str">
        <f>VLOOKUP(GEG102,[14]AssetDetails_UEM!$A$3:$AH$1849,6,FALSE)</f>
        <v>Electrosurgical Units, Monopolar/Bipolar</v>
      </c>
      <c r="GEI102" s="528" t="s">
        <v>213</v>
      </c>
      <c r="GEJ102" s="529" t="str">
        <f>VLOOKUP(GEI102,[14]AssetDetails_UEM!$A$3:$AH$1849,6,FALSE)</f>
        <v>Electrosurgical Units, Monopolar/Bipolar</v>
      </c>
      <c r="GEK102" s="528" t="s">
        <v>213</v>
      </c>
      <c r="GEL102" s="529" t="str">
        <f>VLOOKUP(GEK102,[14]AssetDetails_UEM!$A$3:$AH$1849,6,FALSE)</f>
        <v>Electrosurgical Units, Monopolar/Bipolar</v>
      </c>
      <c r="GEM102" s="528" t="s">
        <v>213</v>
      </c>
      <c r="GEN102" s="529" t="str">
        <f>VLOOKUP(GEM102,[14]AssetDetails_UEM!$A$3:$AH$1849,6,FALSE)</f>
        <v>Electrosurgical Units, Monopolar/Bipolar</v>
      </c>
      <c r="GEO102" s="528" t="s">
        <v>213</v>
      </c>
      <c r="GEP102" s="529" t="str">
        <f>VLOOKUP(GEO102,[14]AssetDetails_UEM!$A$3:$AH$1849,6,FALSE)</f>
        <v>Electrosurgical Units, Monopolar/Bipolar</v>
      </c>
      <c r="GEQ102" s="528" t="s">
        <v>213</v>
      </c>
      <c r="GER102" s="529" t="str">
        <f>VLOOKUP(GEQ102,[14]AssetDetails_UEM!$A$3:$AH$1849,6,FALSE)</f>
        <v>Electrosurgical Units, Monopolar/Bipolar</v>
      </c>
      <c r="GES102" s="528" t="s">
        <v>213</v>
      </c>
      <c r="GET102" s="529" t="str">
        <f>VLOOKUP(GES102,[14]AssetDetails_UEM!$A$3:$AH$1849,6,FALSE)</f>
        <v>Electrosurgical Units, Monopolar/Bipolar</v>
      </c>
      <c r="GEU102" s="528" t="s">
        <v>213</v>
      </c>
      <c r="GEV102" s="529" t="str">
        <f>VLOOKUP(GEU102,[14]AssetDetails_UEM!$A$3:$AH$1849,6,FALSE)</f>
        <v>Electrosurgical Units, Monopolar/Bipolar</v>
      </c>
      <c r="GEW102" s="528" t="s">
        <v>213</v>
      </c>
      <c r="GEX102" s="529" t="str">
        <f>VLOOKUP(GEW102,[14]AssetDetails_UEM!$A$3:$AH$1849,6,FALSE)</f>
        <v>Electrosurgical Units, Monopolar/Bipolar</v>
      </c>
      <c r="GEY102" s="528" t="s">
        <v>213</v>
      </c>
      <c r="GEZ102" s="529" t="str">
        <f>VLOOKUP(GEY102,[14]AssetDetails_UEM!$A$3:$AH$1849,6,FALSE)</f>
        <v>Electrosurgical Units, Monopolar/Bipolar</v>
      </c>
      <c r="GFA102" s="528" t="s">
        <v>213</v>
      </c>
      <c r="GFB102" s="529" t="str">
        <f>VLOOKUP(GFA102,[14]AssetDetails_UEM!$A$3:$AH$1849,6,FALSE)</f>
        <v>Electrosurgical Units, Monopolar/Bipolar</v>
      </c>
      <c r="GFC102" s="528" t="s">
        <v>213</v>
      </c>
      <c r="GFD102" s="529" t="str">
        <f>VLOOKUP(GFC102,[14]AssetDetails_UEM!$A$3:$AH$1849,6,FALSE)</f>
        <v>Electrosurgical Units, Monopolar/Bipolar</v>
      </c>
      <c r="GFE102" s="528" t="s">
        <v>213</v>
      </c>
      <c r="GFF102" s="529" t="str">
        <f>VLOOKUP(GFE102,[14]AssetDetails_UEM!$A$3:$AH$1849,6,FALSE)</f>
        <v>Electrosurgical Units, Monopolar/Bipolar</v>
      </c>
      <c r="GFG102" s="528" t="s">
        <v>213</v>
      </c>
      <c r="GFH102" s="529" t="str">
        <f>VLOOKUP(GFG102,[14]AssetDetails_UEM!$A$3:$AH$1849,6,FALSE)</f>
        <v>Electrosurgical Units, Monopolar/Bipolar</v>
      </c>
      <c r="GFI102" s="528" t="s">
        <v>213</v>
      </c>
      <c r="GFJ102" s="529" t="str">
        <f>VLOOKUP(GFI102,[14]AssetDetails_UEM!$A$3:$AH$1849,6,FALSE)</f>
        <v>Electrosurgical Units, Monopolar/Bipolar</v>
      </c>
      <c r="GFK102" s="528" t="s">
        <v>213</v>
      </c>
      <c r="GFL102" s="529" t="str">
        <f>VLOOKUP(GFK102,[14]AssetDetails_UEM!$A$3:$AH$1849,6,FALSE)</f>
        <v>Electrosurgical Units, Monopolar/Bipolar</v>
      </c>
      <c r="GFM102" s="528" t="s">
        <v>213</v>
      </c>
      <c r="GFN102" s="529" t="str">
        <f>VLOOKUP(GFM102,[14]AssetDetails_UEM!$A$3:$AH$1849,6,FALSE)</f>
        <v>Electrosurgical Units, Monopolar/Bipolar</v>
      </c>
      <c r="GFO102" s="528" t="s">
        <v>213</v>
      </c>
      <c r="GFP102" s="529" t="str">
        <f>VLOOKUP(GFO102,[14]AssetDetails_UEM!$A$3:$AH$1849,6,FALSE)</f>
        <v>Electrosurgical Units, Monopolar/Bipolar</v>
      </c>
      <c r="GFQ102" s="528" t="s">
        <v>213</v>
      </c>
      <c r="GFR102" s="529" t="str">
        <f>VLOOKUP(GFQ102,[14]AssetDetails_UEM!$A$3:$AH$1849,6,FALSE)</f>
        <v>Electrosurgical Units, Monopolar/Bipolar</v>
      </c>
      <c r="GFS102" s="528" t="s">
        <v>213</v>
      </c>
      <c r="GFT102" s="529" t="str">
        <f>VLOOKUP(GFS102,[14]AssetDetails_UEM!$A$3:$AH$1849,6,FALSE)</f>
        <v>Electrosurgical Units, Monopolar/Bipolar</v>
      </c>
      <c r="GFU102" s="528" t="s">
        <v>213</v>
      </c>
      <c r="GFV102" s="529" t="str">
        <f>VLOOKUP(GFU102,[14]AssetDetails_UEM!$A$3:$AH$1849,6,FALSE)</f>
        <v>Electrosurgical Units, Monopolar/Bipolar</v>
      </c>
      <c r="GFW102" s="528" t="s">
        <v>213</v>
      </c>
      <c r="GFX102" s="529" t="str">
        <f>VLOOKUP(GFW102,[14]AssetDetails_UEM!$A$3:$AH$1849,6,FALSE)</f>
        <v>Electrosurgical Units, Monopolar/Bipolar</v>
      </c>
      <c r="GFY102" s="528" t="s">
        <v>213</v>
      </c>
      <c r="GFZ102" s="529" t="str">
        <f>VLOOKUP(GFY102,[14]AssetDetails_UEM!$A$3:$AH$1849,6,FALSE)</f>
        <v>Electrosurgical Units, Monopolar/Bipolar</v>
      </c>
      <c r="GGA102" s="528" t="s">
        <v>213</v>
      </c>
      <c r="GGB102" s="529" t="str">
        <f>VLOOKUP(GGA102,[14]AssetDetails_UEM!$A$3:$AH$1849,6,FALSE)</f>
        <v>Electrosurgical Units, Monopolar/Bipolar</v>
      </c>
      <c r="GGC102" s="528" t="s">
        <v>213</v>
      </c>
      <c r="GGD102" s="529" t="str">
        <f>VLOOKUP(GGC102,[14]AssetDetails_UEM!$A$3:$AH$1849,6,FALSE)</f>
        <v>Electrosurgical Units, Monopolar/Bipolar</v>
      </c>
      <c r="GGE102" s="528" t="s">
        <v>213</v>
      </c>
      <c r="GGF102" s="529" t="str">
        <f>VLOOKUP(GGE102,[14]AssetDetails_UEM!$A$3:$AH$1849,6,FALSE)</f>
        <v>Electrosurgical Units, Monopolar/Bipolar</v>
      </c>
      <c r="GGG102" s="528" t="s">
        <v>213</v>
      </c>
      <c r="GGH102" s="529" t="str">
        <f>VLOOKUP(GGG102,[14]AssetDetails_UEM!$A$3:$AH$1849,6,FALSE)</f>
        <v>Electrosurgical Units, Monopolar/Bipolar</v>
      </c>
      <c r="GGI102" s="528" t="s">
        <v>213</v>
      </c>
      <c r="GGJ102" s="529" t="str">
        <f>VLOOKUP(GGI102,[14]AssetDetails_UEM!$A$3:$AH$1849,6,FALSE)</f>
        <v>Electrosurgical Units, Monopolar/Bipolar</v>
      </c>
      <c r="GGK102" s="528" t="s">
        <v>213</v>
      </c>
      <c r="GGL102" s="529" t="str">
        <f>VLOOKUP(GGK102,[14]AssetDetails_UEM!$A$3:$AH$1849,6,FALSE)</f>
        <v>Electrosurgical Units, Monopolar/Bipolar</v>
      </c>
      <c r="GGM102" s="528" t="s">
        <v>213</v>
      </c>
      <c r="GGN102" s="529" t="str">
        <f>VLOOKUP(GGM102,[14]AssetDetails_UEM!$A$3:$AH$1849,6,FALSE)</f>
        <v>Electrosurgical Units, Monopolar/Bipolar</v>
      </c>
      <c r="GGO102" s="528" t="s">
        <v>213</v>
      </c>
      <c r="GGP102" s="529" t="str">
        <f>VLOOKUP(GGO102,[14]AssetDetails_UEM!$A$3:$AH$1849,6,FALSE)</f>
        <v>Electrosurgical Units, Monopolar/Bipolar</v>
      </c>
      <c r="GGQ102" s="528" t="s">
        <v>213</v>
      </c>
      <c r="GGR102" s="529" t="str">
        <f>VLOOKUP(GGQ102,[14]AssetDetails_UEM!$A$3:$AH$1849,6,FALSE)</f>
        <v>Electrosurgical Units, Monopolar/Bipolar</v>
      </c>
      <c r="GGS102" s="528" t="s">
        <v>213</v>
      </c>
      <c r="GGT102" s="529" t="str">
        <f>VLOOKUP(GGS102,[14]AssetDetails_UEM!$A$3:$AH$1849,6,FALSE)</f>
        <v>Electrosurgical Units, Monopolar/Bipolar</v>
      </c>
      <c r="GGU102" s="528" t="s">
        <v>213</v>
      </c>
      <c r="GGV102" s="529" t="str">
        <f>VLOOKUP(GGU102,[14]AssetDetails_UEM!$A$3:$AH$1849,6,FALSE)</f>
        <v>Electrosurgical Units, Monopolar/Bipolar</v>
      </c>
      <c r="GGW102" s="528" t="s">
        <v>213</v>
      </c>
      <c r="GGX102" s="529" t="str">
        <f>VLOOKUP(GGW102,[14]AssetDetails_UEM!$A$3:$AH$1849,6,FALSE)</f>
        <v>Electrosurgical Units, Monopolar/Bipolar</v>
      </c>
      <c r="GGY102" s="528" t="s">
        <v>213</v>
      </c>
      <c r="GGZ102" s="529" t="str">
        <f>VLOOKUP(GGY102,[14]AssetDetails_UEM!$A$3:$AH$1849,6,FALSE)</f>
        <v>Electrosurgical Units, Monopolar/Bipolar</v>
      </c>
      <c r="GHA102" s="528" t="s">
        <v>213</v>
      </c>
      <c r="GHB102" s="529" t="str">
        <f>VLOOKUP(GHA102,[14]AssetDetails_UEM!$A$3:$AH$1849,6,FALSE)</f>
        <v>Electrosurgical Units, Monopolar/Bipolar</v>
      </c>
      <c r="GHC102" s="528" t="s">
        <v>213</v>
      </c>
      <c r="GHD102" s="529" t="str">
        <f>VLOOKUP(GHC102,[14]AssetDetails_UEM!$A$3:$AH$1849,6,FALSE)</f>
        <v>Electrosurgical Units, Monopolar/Bipolar</v>
      </c>
      <c r="GHE102" s="528" t="s">
        <v>213</v>
      </c>
      <c r="GHF102" s="529" t="str">
        <f>VLOOKUP(GHE102,[14]AssetDetails_UEM!$A$3:$AH$1849,6,FALSE)</f>
        <v>Electrosurgical Units, Monopolar/Bipolar</v>
      </c>
      <c r="GHG102" s="528" t="s">
        <v>213</v>
      </c>
      <c r="GHH102" s="529" t="str">
        <f>VLOOKUP(GHG102,[14]AssetDetails_UEM!$A$3:$AH$1849,6,FALSE)</f>
        <v>Electrosurgical Units, Monopolar/Bipolar</v>
      </c>
      <c r="GHI102" s="528" t="s">
        <v>213</v>
      </c>
      <c r="GHJ102" s="529" t="str">
        <f>VLOOKUP(GHI102,[14]AssetDetails_UEM!$A$3:$AH$1849,6,FALSE)</f>
        <v>Electrosurgical Units, Monopolar/Bipolar</v>
      </c>
      <c r="GHK102" s="528" t="s">
        <v>213</v>
      </c>
      <c r="GHL102" s="529" t="str">
        <f>VLOOKUP(GHK102,[14]AssetDetails_UEM!$A$3:$AH$1849,6,FALSE)</f>
        <v>Electrosurgical Units, Monopolar/Bipolar</v>
      </c>
      <c r="GHM102" s="528" t="s">
        <v>213</v>
      </c>
      <c r="GHN102" s="529" t="str">
        <f>VLOOKUP(GHM102,[14]AssetDetails_UEM!$A$3:$AH$1849,6,FALSE)</f>
        <v>Electrosurgical Units, Monopolar/Bipolar</v>
      </c>
      <c r="GHO102" s="528" t="s">
        <v>213</v>
      </c>
      <c r="GHP102" s="529" t="str">
        <f>VLOOKUP(GHO102,[14]AssetDetails_UEM!$A$3:$AH$1849,6,FALSE)</f>
        <v>Electrosurgical Units, Monopolar/Bipolar</v>
      </c>
      <c r="GHQ102" s="528" t="s">
        <v>213</v>
      </c>
      <c r="GHR102" s="529" t="str">
        <f>VLOOKUP(GHQ102,[14]AssetDetails_UEM!$A$3:$AH$1849,6,FALSE)</f>
        <v>Electrosurgical Units, Monopolar/Bipolar</v>
      </c>
      <c r="GHS102" s="528" t="s">
        <v>213</v>
      </c>
      <c r="GHT102" s="529" t="str">
        <f>VLOOKUP(GHS102,[14]AssetDetails_UEM!$A$3:$AH$1849,6,FALSE)</f>
        <v>Electrosurgical Units, Monopolar/Bipolar</v>
      </c>
      <c r="GHU102" s="528" t="s">
        <v>213</v>
      </c>
      <c r="GHV102" s="529" t="str">
        <f>VLOOKUP(GHU102,[14]AssetDetails_UEM!$A$3:$AH$1849,6,FALSE)</f>
        <v>Electrosurgical Units, Monopolar/Bipolar</v>
      </c>
      <c r="GHW102" s="528" t="s">
        <v>213</v>
      </c>
      <c r="GHX102" s="529" t="str">
        <f>VLOOKUP(GHW102,[14]AssetDetails_UEM!$A$3:$AH$1849,6,FALSE)</f>
        <v>Electrosurgical Units, Monopolar/Bipolar</v>
      </c>
      <c r="GHY102" s="528" t="s">
        <v>213</v>
      </c>
      <c r="GHZ102" s="529" t="str">
        <f>VLOOKUP(GHY102,[14]AssetDetails_UEM!$A$3:$AH$1849,6,FALSE)</f>
        <v>Electrosurgical Units, Monopolar/Bipolar</v>
      </c>
      <c r="GIA102" s="528" t="s">
        <v>213</v>
      </c>
      <c r="GIB102" s="529" t="str">
        <f>VLOOKUP(GIA102,[14]AssetDetails_UEM!$A$3:$AH$1849,6,FALSE)</f>
        <v>Electrosurgical Units, Monopolar/Bipolar</v>
      </c>
      <c r="GIC102" s="528" t="s">
        <v>213</v>
      </c>
      <c r="GID102" s="529" t="str">
        <f>VLOOKUP(GIC102,[14]AssetDetails_UEM!$A$3:$AH$1849,6,FALSE)</f>
        <v>Electrosurgical Units, Monopolar/Bipolar</v>
      </c>
      <c r="GIE102" s="528" t="s">
        <v>213</v>
      </c>
      <c r="GIF102" s="529" t="str">
        <f>VLOOKUP(GIE102,[14]AssetDetails_UEM!$A$3:$AH$1849,6,FALSE)</f>
        <v>Electrosurgical Units, Monopolar/Bipolar</v>
      </c>
      <c r="GIG102" s="528" t="s">
        <v>213</v>
      </c>
      <c r="GIH102" s="529" t="str">
        <f>VLOOKUP(GIG102,[14]AssetDetails_UEM!$A$3:$AH$1849,6,FALSE)</f>
        <v>Electrosurgical Units, Monopolar/Bipolar</v>
      </c>
      <c r="GII102" s="528" t="s">
        <v>213</v>
      </c>
      <c r="GIJ102" s="529" t="str">
        <f>VLOOKUP(GII102,[14]AssetDetails_UEM!$A$3:$AH$1849,6,FALSE)</f>
        <v>Electrosurgical Units, Monopolar/Bipolar</v>
      </c>
      <c r="GIK102" s="528" t="s">
        <v>213</v>
      </c>
      <c r="GIL102" s="529" t="str">
        <f>VLOOKUP(GIK102,[14]AssetDetails_UEM!$A$3:$AH$1849,6,FALSE)</f>
        <v>Electrosurgical Units, Monopolar/Bipolar</v>
      </c>
      <c r="GIM102" s="528" t="s">
        <v>213</v>
      </c>
      <c r="GIN102" s="529" t="str">
        <f>VLOOKUP(GIM102,[14]AssetDetails_UEM!$A$3:$AH$1849,6,FALSE)</f>
        <v>Electrosurgical Units, Monopolar/Bipolar</v>
      </c>
      <c r="GIO102" s="528" t="s">
        <v>213</v>
      </c>
      <c r="GIP102" s="529" t="str">
        <f>VLOOKUP(GIO102,[14]AssetDetails_UEM!$A$3:$AH$1849,6,FALSE)</f>
        <v>Electrosurgical Units, Monopolar/Bipolar</v>
      </c>
      <c r="GIQ102" s="528" t="s">
        <v>213</v>
      </c>
      <c r="GIR102" s="529" t="str">
        <f>VLOOKUP(GIQ102,[14]AssetDetails_UEM!$A$3:$AH$1849,6,FALSE)</f>
        <v>Electrosurgical Units, Monopolar/Bipolar</v>
      </c>
      <c r="GIS102" s="528" t="s">
        <v>213</v>
      </c>
      <c r="GIT102" s="529" t="str">
        <f>VLOOKUP(GIS102,[14]AssetDetails_UEM!$A$3:$AH$1849,6,FALSE)</f>
        <v>Electrosurgical Units, Monopolar/Bipolar</v>
      </c>
      <c r="GIU102" s="528" t="s">
        <v>213</v>
      </c>
      <c r="GIV102" s="529" t="str">
        <f>VLOOKUP(GIU102,[14]AssetDetails_UEM!$A$3:$AH$1849,6,FALSE)</f>
        <v>Electrosurgical Units, Monopolar/Bipolar</v>
      </c>
      <c r="GIW102" s="528" t="s">
        <v>213</v>
      </c>
      <c r="GIX102" s="529" t="str">
        <f>VLOOKUP(GIW102,[14]AssetDetails_UEM!$A$3:$AH$1849,6,FALSE)</f>
        <v>Electrosurgical Units, Monopolar/Bipolar</v>
      </c>
      <c r="GIY102" s="528" t="s">
        <v>213</v>
      </c>
      <c r="GIZ102" s="529" t="str">
        <f>VLOOKUP(GIY102,[14]AssetDetails_UEM!$A$3:$AH$1849,6,FALSE)</f>
        <v>Electrosurgical Units, Monopolar/Bipolar</v>
      </c>
      <c r="GJA102" s="528" t="s">
        <v>213</v>
      </c>
      <c r="GJB102" s="529" t="str">
        <f>VLOOKUP(GJA102,[14]AssetDetails_UEM!$A$3:$AH$1849,6,FALSE)</f>
        <v>Electrosurgical Units, Monopolar/Bipolar</v>
      </c>
      <c r="GJC102" s="528" t="s">
        <v>213</v>
      </c>
      <c r="GJD102" s="529" t="str">
        <f>VLOOKUP(GJC102,[14]AssetDetails_UEM!$A$3:$AH$1849,6,FALSE)</f>
        <v>Electrosurgical Units, Monopolar/Bipolar</v>
      </c>
      <c r="GJE102" s="528" t="s">
        <v>213</v>
      </c>
      <c r="GJF102" s="529" t="str">
        <f>VLOOKUP(GJE102,[14]AssetDetails_UEM!$A$3:$AH$1849,6,FALSE)</f>
        <v>Electrosurgical Units, Monopolar/Bipolar</v>
      </c>
      <c r="GJG102" s="528" t="s">
        <v>213</v>
      </c>
      <c r="GJH102" s="529" t="str">
        <f>VLOOKUP(GJG102,[14]AssetDetails_UEM!$A$3:$AH$1849,6,FALSE)</f>
        <v>Electrosurgical Units, Monopolar/Bipolar</v>
      </c>
      <c r="GJI102" s="528" t="s">
        <v>213</v>
      </c>
      <c r="GJJ102" s="529" t="str">
        <f>VLOOKUP(GJI102,[14]AssetDetails_UEM!$A$3:$AH$1849,6,FALSE)</f>
        <v>Electrosurgical Units, Monopolar/Bipolar</v>
      </c>
      <c r="GJK102" s="528" t="s">
        <v>213</v>
      </c>
      <c r="GJL102" s="529" t="str">
        <f>VLOOKUP(GJK102,[14]AssetDetails_UEM!$A$3:$AH$1849,6,FALSE)</f>
        <v>Electrosurgical Units, Monopolar/Bipolar</v>
      </c>
      <c r="GJM102" s="528" t="s">
        <v>213</v>
      </c>
      <c r="GJN102" s="529" t="str">
        <f>VLOOKUP(GJM102,[14]AssetDetails_UEM!$A$3:$AH$1849,6,FALSE)</f>
        <v>Electrosurgical Units, Monopolar/Bipolar</v>
      </c>
      <c r="GJO102" s="528" t="s">
        <v>213</v>
      </c>
      <c r="GJP102" s="529" t="str">
        <f>VLOOKUP(GJO102,[14]AssetDetails_UEM!$A$3:$AH$1849,6,FALSE)</f>
        <v>Electrosurgical Units, Monopolar/Bipolar</v>
      </c>
      <c r="GJQ102" s="528" t="s">
        <v>213</v>
      </c>
      <c r="GJR102" s="529" t="str">
        <f>VLOOKUP(GJQ102,[14]AssetDetails_UEM!$A$3:$AH$1849,6,FALSE)</f>
        <v>Electrosurgical Units, Monopolar/Bipolar</v>
      </c>
      <c r="GJS102" s="528" t="s">
        <v>213</v>
      </c>
      <c r="GJT102" s="529" t="str">
        <f>VLOOKUP(GJS102,[14]AssetDetails_UEM!$A$3:$AH$1849,6,FALSE)</f>
        <v>Electrosurgical Units, Monopolar/Bipolar</v>
      </c>
      <c r="GJU102" s="528" t="s">
        <v>213</v>
      </c>
      <c r="GJV102" s="529" t="str">
        <f>VLOOKUP(GJU102,[14]AssetDetails_UEM!$A$3:$AH$1849,6,FALSE)</f>
        <v>Electrosurgical Units, Monopolar/Bipolar</v>
      </c>
      <c r="GJW102" s="528" t="s">
        <v>213</v>
      </c>
      <c r="GJX102" s="529" t="str">
        <f>VLOOKUP(GJW102,[14]AssetDetails_UEM!$A$3:$AH$1849,6,FALSE)</f>
        <v>Electrosurgical Units, Monopolar/Bipolar</v>
      </c>
      <c r="GJY102" s="528" t="s">
        <v>213</v>
      </c>
      <c r="GJZ102" s="529" t="str">
        <f>VLOOKUP(GJY102,[14]AssetDetails_UEM!$A$3:$AH$1849,6,FALSE)</f>
        <v>Electrosurgical Units, Monopolar/Bipolar</v>
      </c>
      <c r="GKA102" s="528" t="s">
        <v>213</v>
      </c>
      <c r="GKB102" s="529" t="str">
        <f>VLOOKUP(GKA102,[14]AssetDetails_UEM!$A$3:$AH$1849,6,FALSE)</f>
        <v>Electrosurgical Units, Monopolar/Bipolar</v>
      </c>
      <c r="GKC102" s="528" t="s">
        <v>213</v>
      </c>
      <c r="GKD102" s="529" t="str">
        <f>VLOOKUP(GKC102,[14]AssetDetails_UEM!$A$3:$AH$1849,6,FALSE)</f>
        <v>Electrosurgical Units, Monopolar/Bipolar</v>
      </c>
      <c r="GKE102" s="528" t="s">
        <v>213</v>
      </c>
      <c r="GKF102" s="529" t="str">
        <f>VLOOKUP(GKE102,[14]AssetDetails_UEM!$A$3:$AH$1849,6,FALSE)</f>
        <v>Electrosurgical Units, Monopolar/Bipolar</v>
      </c>
      <c r="GKG102" s="528" t="s">
        <v>213</v>
      </c>
      <c r="GKH102" s="529" t="str">
        <f>VLOOKUP(GKG102,[14]AssetDetails_UEM!$A$3:$AH$1849,6,FALSE)</f>
        <v>Electrosurgical Units, Monopolar/Bipolar</v>
      </c>
      <c r="GKI102" s="528" t="s">
        <v>213</v>
      </c>
      <c r="GKJ102" s="529" t="str">
        <f>VLOOKUP(GKI102,[14]AssetDetails_UEM!$A$3:$AH$1849,6,FALSE)</f>
        <v>Electrosurgical Units, Monopolar/Bipolar</v>
      </c>
      <c r="GKK102" s="528" t="s">
        <v>213</v>
      </c>
      <c r="GKL102" s="529" t="str">
        <f>VLOOKUP(GKK102,[14]AssetDetails_UEM!$A$3:$AH$1849,6,FALSE)</f>
        <v>Electrosurgical Units, Monopolar/Bipolar</v>
      </c>
      <c r="GKM102" s="528" t="s">
        <v>213</v>
      </c>
      <c r="GKN102" s="529" t="str">
        <f>VLOOKUP(GKM102,[14]AssetDetails_UEM!$A$3:$AH$1849,6,FALSE)</f>
        <v>Electrosurgical Units, Monopolar/Bipolar</v>
      </c>
      <c r="GKO102" s="528" t="s">
        <v>213</v>
      </c>
      <c r="GKP102" s="529" t="str">
        <f>VLOOKUP(GKO102,[14]AssetDetails_UEM!$A$3:$AH$1849,6,FALSE)</f>
        <v>Electrosurgical Units, Monopolar/Bipolar</v>
      </c>
      <c r="GKQ102" s="528" t="s">
        <v>213</v>
      </c>
      <c r="GKR102" s="529" t="str">
        <f>VLOOKUP(GKQ102,[14]AssetDetails_UEM!$A$3:$AH$1849,6,FALSE)</f>
        <v>Electrosurgical Units, Monopolar/Bipolar</v>
      </c>
      <c r="GKS102" s="528" t="s">
        <v>213</v>
      </c>
      <c r="GKT102" s="529" t="str">
        <f>VLOOKUP(GKS102,[14]AssetDetails_UEM!$A$3:$AH$1849,6,FALSE)</f>
        <v>Electrosurgical Units, Monopolar/Bipolar</v>
      </c>
      <c r="GKU102" s="528" t="s">
        <v>213</v>
      </c>
      <c r="GKV102" s="529" t="str">
        <f>VLOOKUP(GKU102,[14]AssetDetails_UEM!$A$3:$AH$1849,6,FALSE)</f>
        <v>Electrosurgical Units, Monopolar/Bipolar</v>
      </c>
      <c r="GKW102" s="528" t="s">
        <v>213</v>
      </c>
      <c r="GKX102" s="529" t="str">
        <f>VLOOKUP(GKW102,[14]AssetDetails_UEM!$A$3:$AH$1849,6,FALSE)</f>
        <v>Electrosurgical Units, Monopolar/Bipolar</v>
      </c>
      <c r="GKY102" s="528" t="s">
        <v>213</v>
      </c>
      <c r="GKZ102" s="529" t="str">
        <f>VLOOKUP(GKY102,[14]AssetDetails_UEM!$A$3:$AH$1849,6,FALSE)</f>
        <v>Electrosurgical Units, Monopolar/Bipolar</v>
      </c>
      <c r="GLA102" s="528" t="s">
        <v>213</v>
      </c>
      <c r="GLB102" s="529" t="str">
        <f>VLOOKUP(GLA102,[14]AssetDetails_UEM!$A$3:$AH$1849,6,FALSE)</f>
        <v>Electrosurgical Units, Monopolar/Bipolar</v>
      </c>
      <c r="GLC102" s="528" t="s">
        <v>213</v>
      </c>
      <c r="GLD102" s="529" t="str">
        <f>VLOOKUP(GLC102,[14]AssetDetails_UEM!$A$3:$AH$1849,6,FALSE)</f>
        <v>Electrosurgical Units, Monopolar/Bipolar</v>
      </c>
      <c r="GLE102" s="528" t="s">
        <v>213</v>
      </c>
      <c r="GLF102" s="529" t="str">
        <f>VLOOKUP(GLE102,[14]AssetDetails_UEM!$A$3:$AH$1849,6,FALSE)</f>
        <v>Electrosurgical Units, Monopolar/Bipolar</v>
      </c>
      <c r="GLG102" s="528" t="s">
        <v>213</v>
      </c>
      <c r="GLH102" s="529" t="str">
        <f>VLOOKUP(GLG102,[14]AssetDetails_UEM!$A$3:$AH$1849,6,FALSE)</f>
        <v>Electrosurgical Units, Monopolar/Bipolar</v>
      </c>
      <c r="GLI102" s="528" t="s">
        <v>213</v>
      </c>
      <c r="GLJ102" s="529" t="str">
        <f>VLOOKUP(GLI102,[14]AssetDetails_UEM!$A$3:$AH$1849,6,FALSE)</f>
        <v>Electrosurgical Units, Monopolar/Bipolar</v>
      </c>
      <c r="GLK102" s="528" t="s">
        <v>213</v>
      </c>
      <c r="GLL102" s="529" t="str">
        <f>VLOOKUP(GLK102,[14]AssetDetails_UEM!$A$3:$AH$1849,6,FALSE)</f>
        <v>Electrosurgical Units, Monopolar/Bipolar</v>
      </c>
      <c r="GLM102" s="528" t="s">
        <v>213</v>
      </c>
      <c r="GLN102" s="529" t="str">
        <f>VLOOKUP(GLM102,[14]AssetDetails_UEM!$A$3:$AH$1849,6,FALSE)</f>
        <v>Electrosurgical Units, Monopolar/Bipolar</v>
      </c>
      <c r="GLO102" s="528" t="s">
        <v>213</v>
      </c>
      <c r="GLP102" s="529" t="str">
        <f>VLOOKUP(GLO102,[14]AssetDetails_UEM!$A$3:$AH$1849,6,FALSE)</f>
        <v>Electrosurgical Units, Monopolar/Bipolar</v>
      </c>
      <c r="GLQ102" s="528" t="s">
        <v>213</v>
      </c>
      <c r="GLR102" s="529" t="str">
        <f>VLOOKUP(GLQ102,[14]AssetDetails_UEM!$A$3:$AH$1849,6,FALSE)</f>
        <v>Electrosurgical Units, Monopolar/Bipolar</v>
      </c>
      <c r="GLS102" s="528" t="s">
        <v>213</v>
      </c>
      <c r="GLT102" s="529" t="str">
        <f>VLOOKUP(GLS102,[14]AssetDetails_UEM!$A$3:$AH$1849,6,FALSE)</f>
        <v>Electrosurgical Units, Monopolar/Bipolar</v>
      </c>
      <c r="GLU102" s="528" t="s">
        <v>213</v>
      </c>
      <c r="GLV102" s="529" t="str">
        <f>VLOOKUP(GLU102,[14]AssetDetails_UEM!$A$3:$AH$1849,6,FALSE)</f>
        <v>Electrosurgical Units, Monopolar/Bipolar</v>
      </c>
      <c r="GLW102" s="528" t="s">
        <v>213</v>
      </c>
      <c r="GLX102" s="529" t="str">
        <f>VLOOKUP(GLW102,[14]AssetDetails_UEM!$A$3:$AH$1849,6,FALSE)</f>
        <v>Electrosurgical Units, Monopolar/Bipolar</v>
      </c>
      <c r="GLY102" s="528" t="s">
        <v>213</v>
      </c>
      <c r="GLZ102" s="529" t="str">
        <f>VLOOKUP(GLY102,[14]AssetDetails_UEM!$A$3:$AH$1849,6,FALSE)</f>
        <v>Electrosurgical Units, Monopolar/Bipolar</v>
      </c>
      <c r="GMA102" s="528" t="s">
        <v>213</v>
      </c>
      <c r="GMB102" s="529" t="str">
        <f>VLOOKUP(GMA102,[14]AssetDetails_UEM!$A$3:$AH$1849,6,FALSE)</f>
        <v>Electrosurgical Units, Monopolar/Bipolar</v>
      </c>
      <c r="GMC102" s="528" t="s">
        <v>213</v>
      </c>
      <c r="GMD102" s="529" t="str">
        <f>VLOOKUP(GMC102,[14]AssetDetails_UEM!$A$3:$AH$1849,6,FALSE)</f>
        <v>Electrosurgical Units, Monopolar/Bipolar</v>
      </c>
      <c r="GME102" s="528" t="s">
        <v>213</v>
      </c>
      <c r="GMF102" s="529" t="str">
        <f>VLOOKUP(GME102,[14]AssetDetails_UEM!$A$3:$AH$1849,6,FALSE)</f>
        <v>Electrosurgical Units, Monopolar/Bipolar</v>
      </c>
      <c r="GMG102" s="528" t="s">
        <v>213</v>
      </c>
      <c r="GMH102" s="529" t="str">
        <f>VLOOKUP(GMG102,[14]AssetDetails_UEM!$A$3:$AH$1849,6,FALSE)</f>
        <v>Electrosurgical Units, Monopolar/Bipolar</v>
      </c>
      <c r="GMI102" s="528" t="s">
        <v>213</v>
      </c>
      <c r="GMJ102" s="529" t="str">
        <f>VLOOKUP(GMI102,[14]AssetDetails_UEM!$A$3:$AH$1849,6,FALSE)</f>
        <v>Electrosurgical Units, Monopolar/Bipolar</v>
      </c>
      <c r="GMK102" s="528" t="s">
        <v>213</v>
      </c>
      <c r="GML102" s="529" t="str">
        <f>VLOOKUP(GMK102,[14]AssetDetails_UEM!$A$3:$AH$1849,6,FALSE)</f>
        <v>Electrosurgical Units, Monopolar/Bipolar</v>
      </c>
      <c r="GMM102" s="528" t="s">
        <v>213</v>
      </c>
      <c r="GMN102" s="529" t="str">
        <f>VLOOKUP(GMM102,[14]AssetDetails_UEM!$A$3:$AH$1849,6,FALSE)</f>
        <v>Electrosurgical Units, Monopolar/Bipolar</v>
      </c>
      <c r="GMO102" s="528" t="s">
        <v>213</v>
      </c>
      <c r="GMP102" s="529" t="str">
        <f>VLOOKUP(GMO102,[14]AssetDetails_UEM!$A$3:$AH$1849,6,FALSE)</f>
        <v>Electrosurgical Units, Monopolar/Bipolar</v>
      </c>
      <c r="GMQ102" s="528" t="s">
        <v>213</v>
      </c>
      <c r="GMR102" s="529" t="str">
        <f>VLOOKUP(GMQ102,[14]AssetDetails_UEM!$A$3:$AH$1849,6,FALSE)</f>
        <v>Electrosurgical Units, Monopolar/Bipolar</v>
      </c>
      <c r="GMS102" s="528" t="s">
        <v>213</v>
      </c>
      <c r="GMT102" s="529" t="str">
        <f>VLOOKUP(GMS102,[14]AssetDetails_UEM!$A$3:$AH$1849,6,FALSE)</f>
        <v>Electrosurgical Units, Monopolar/Bipolar</v>
      </c>
      <c r="GMU102" s="528" t="s">
        <v>213</v>
      </c>
      <c r="GMV102" s="529" t="str">
        <f>VLOOKUP(GMU102,[14]AssetDetails_UEM!$A$3:$AH$1849,6,FALSE)</f>
        <v>Electrosurgical Units, Monopolar/Bipolar</v>
      </c>
      <c r="GMW102" s="528" t="s">
        <v>213</v>
      </c>
      <c r="GMX102" s="529" t="str">
        <f>VLOOKUP(GMW102,[14]AssetDetails_UEM!$A$3:$AH$1849,6,FALSE)</f>
        <v>Electrosurgical Units, Monopolar/Bipolar</v>
      </c>
      <c r="GMY102" s="528" t="s">
        <v>213</v>
      </c>
      <c r="GMZ102" s="529" t="str">
        <f>VLOOKUP(GMY102,[14]AssetDetails_UEM!$A$3:$AH$1849,6,FALSE)</f>
        <v>Electrosurgical Units, Monopolar/Bipolar</v>
      </c>
      <c r="GNA102" s="528" t="s">
        <v>213</v>
      </c>
      <c r="GNB102" s="529" t="str">
        <f>VLOOKUP(GNA102,[14]AssetDetails_UEM!$A$3:$AH$1849,6,FALSE)</f>
        <v>Electrosurgical Units, Monopolar/Bipolar</v>
      </c>
      <c r="GNC102" s="528" t="s">
        <v>213</v>
      </c>
      <c r="GND102" s="529" t="str">
        <f>VLOOKUP(GNC102,[14]AssetDetails_UEM!$A$3:$AH$1849,6,FALSE)</f>
        <v>Electrosurgical Units, Monopolar/Bipolar</v>
      </c>
      <c r="GNE102" s="528" t="s">
        <v>213</v>
      </c>
      <c r="GNF102" s="529" t="str">
        <f>VLOOKUP(GNE102,[14]AssetDetails_UEM!$A$3:$AH$1849,6,FALSE)</f>
        <v>Electrosurgical Units, Monopolar/Bipolar</v>
      </c>
      <c r="GNG102" s="528" t="s">
        <v>213</v>
      </c>
      <c r="GNH102" s="529" t="str">
        <f>VLOOKUP(GNG102,[14]AssetDetails_UEM!$A$3:$AH$1849,6,FALSE)</f>
        <v>Electrosurgical Units, Monopolar/Bipolar</v>
      </c>
      <c r="GNI102" s="528" t="s">
        <v>213</v>
      </c>
      <c r="GNJ102" s="529" t="str">
        <f>VLOOKUP(GNI102,[14]AssetDetails_UEM!$A$3:$AH$1849,6,FALSE)</f>
        <v>Electrosurgical Units, Monopolar/Bipolar</v>
      </c>
      <c r="GNK102" s="528" t="s">
        <v>213</v>
      </c>
      <c r="GNL102" s="529" t="str">
        <f>VLOOKUP(GNK102,[14]AssetDetails_UEM!$A$3:$AH$1849,6,FALSE)</f>
        <v>Electrosurgical Units, Monopolar/Bipolar</v>
      </c>
      <c r="GNM102" s="528" t="s">
        <v>213</v>
      </c>
      <c r="GNN102" s="529" t="str">
        <f>VLOOKUP(GNM102,[14]AssetDetails_UEM!$A$3:$AH$1849,6,FALSE)</f>
        <v>Electrosurgical Units, Monopolar/Bipolar</v>
      </c>
      <c r="GNO102" s="528" t="s">
        <v>213</v>
      </c>
      <c r="GNP102" s="529" t="str">
        <f>VLOOKUP(GNO102,[14]AssetDetails_UEM!$A$3:$AH$1849,6,FALSE)</f>
        <v>Electrosurgical Units, Monopolar/Bipolar</v>
      </c>
      <c r="GNQ102" s="528" t="s">
        <v>213</v>
      </c>
      <c r="GNR102" s="529" t="str">
        <f>VLOOKUP(GNQ102,[14]AssetDetails_UEM!$A$3:$AH$1849,6,FALSE)</f>
        <v>Electrosurgical Units, Monopolar/Bipolar</v>
      </c>
      <c r="GNS102" s="528" t="s">
        <v>213</v>
      </c>
      <c r="GNT102" s="529" t="str">
        <f>VLOOKUP(GNS102,[14]AssetDetails_UEM!$A$3:$AH$1849,6,FALSE)</f>
        <v>Electrosurgical Units, Monopolar/Bipolar</v>
      </c>
      <c r="GNU102" s="528" t="s">
        <v>213</v>
      </c>
      <c r="GNV102" s="529" t="str">
        <f>VLOOKUP(GNU102,[14]AssetDetails_UEM!$A$3:$AH$1849,6,FALSE)</f>
        <v>Electrosurgical Units, Monopolar/Bipolar</v>
      </c>
      <c r="GNW102" s="528" t="s">
        <v>213</v>
      </c>
      <c r="GNX102" s="529" t="str">
        <f>VLOOKUP(GNW102,[14]AssetDetails_UEM!$A$3:$AH$1849,6,FALSE)</f>
        <v>Electrosurgical Units, Monopolar/Bipolar</v>
      </c>
      <c r="GNY102" s="528" t="s">
        <v>213</v>
      </c>
      <c r="GNZ102" s="529" t="str">
        <f>VLOOKUP(GNY102,[14]AssetDetails_UEM!$A$3:$AH$1849,6,FALSE)</f>
        <v>Electrosurgical Units, Monopolar/Bipolar</v>
      </c>
      <c r="GOA102" s="528" t="s">
        <v>213</v>
      </c>
      <c r="GOB102" s="529" t="str">
        <f>VLOOKUP(GOA102,[14]AssetDetails_UEM!$A$3:$AH$1849,6,FALSE)</f>
        <v>Electrosurgical Units, Monopolar/Bipolar</v>
      </c>
      <c r="GOC102" s="528" t="s">
        <v>213</v>
      </c>
      <c r="GOD102" s="529" t="str">
        <f>VLOOKUP(GOC102,[14]AssetDetails_UEM!$A$3:$AH$1849,6,FALSE)</f>
        <v>Electrosurgical Units, Monopolar/Bipolar</v>
      </c>
      <c r="GOE102" s="528" t="s">
        <v>213</v>
      </c>
      <c r="GOF102" s="529" t="str">
        <f>VLOOKUP(GOE102,[14]AssetDetails_UEM!$A$3:$AH$1849,6,FALSE)</f>
        <v>Electrosurgical Units, Monopolar/Bipolar</v>
      </c>
      <c r="GOG102" s="528" t="s">
        <v>213</v>
      </c>
      <c r="GOH102" s="529" t="str">
        <f>VLOOKUP(GOG102,[14]AssetDetails_UEM!$A$3:$AH$1849,6,FALSE)</f>
        <v>Electrosurgical Units, Monopolar/Bipolar</v>
      </c>
      <c r="GOI102" s="528" t="s">
        <v>213</v>
      </c>
      <c r="GOJ102" s="529" t="str">
        <f>VLOOKUP(GOI102,[14]AssetDetails_UEM!$A$3:$AH$1849,6,FALSE)</f>
        <v>Electrosurgical Units, Monopolar/Bipolar</v>
      </c>
      <c r="GOK102" s="528" t="s">
        <v>213</v>
      </c>
      <c r="GOL102" s="529" t="str">
        <f>VLOOKUP(GOK102,[14]AssetDetails_UEM!$A$3:$AH$1849,6,FALSE)</f>
        <v>Electrosurgical Units, Monopolar/Bipolar</v>
      </c>
      <c r="GOM102" s="528" t="s">
        <v>213</v>
      </c>
      <c r="GON102" s="529" t="str">
        <f>VLOOKUP(GOM102,[14]AssetDetails_UEM!$A$3:$AH$1849,6,FALSE)</f>
        <v>Electrosurgical Units, Monopolar/Bipolar</v>
      </c>
      <c r="GOO102" s="528" t="s">
        <v>213</v>
      </c>
      <c r="GOP102" s="529" t="str">
        <f>VLOOKUP(GOO102,[14]AssetDetails_UEM!$A$3:$AH$1849,6,FALSE)</f>
        <v>Electrosurgical Units, Monopolar/Bipolar</v>
      </c>
      <c r="GOQ102" s="528" t="s">
        <v>213</v>
      </c>
      <c r="GOR102" s="529" t="str">
        <f>VLOOKUP(GOQ102,[14]AssetDetails_UEM!$A$3:$AH$1849,6,FALSE)</f>
        <v>Electrosurgical Units, Monopolar/Bipolar</v>
      </c>
      <c r="GOS102" s="528" t="s">
        <v>213</v>
      </c>
      <c r="GOT102" s="529" t="str">
        <f>VLOOKUP(GOS102,[14]AssetDetails_UEM!$A$3:$AH$1849,6,FALSE)</f>
        <v>Electrosurgical Units, Monopolar/Bipolar</v>
      </c>
      <c r="GOU102" s="528" t="s">
        <v>213</v>
      </c>
      <c r="GOV102" s="529" t="str">
        <f>VLOOKUP(GOU102,[14]AssetDetails_UEM!$A$3:$AH$1849,6,FALSE)</f>
        <v>Electrosurgical Units, Monopolar/Bipolar</v>
      </c>
      <c r="GOW102" s="528" t="s">
        <v>213</v>
      </c>
      <c r="GOX102" s="529" t="str">
        <f>VLOOKUP(GOW102,[14]AssetDetails_UEM!$A$3:$AH$1849,6,FALSE)</f>
        <v>Electrosurgical Units, Monopolar/Bipolar</v>
      </c>
      <c r="GOY102" s="528" t="s">
        <v>213</v>
      </c>
      <c r="GOZ102" s="529" t="str">
        <f>VLOOKUP(GOY102,[14]AssetDetails_UEM!$A$3:$AH$1849,6,FALSE)</f>
        <v>Electrosurgical Units, Monopolar/Bipolar</v>
      </c>
      <c r="GPA102" s="528" t="s">
        <v>213</v>
      </c>
      <c r="GPB102" s="529" t="str">
        <f>VLOOKUP(GPA102,[14]AssetDetails_UEM!$A$3:$AH$1849,6,FALSE)</f>
        <v>Electrosurgical Units, Monopolar/Bipolar</v>
      </c>
      <c r="GPC102" s="528" t="s">
        <v>213</v>
      </c>
      <c r="GPD102" s="529" t="str">
        <f>VLOOKUP(GPC102,[14]AssetDetails_UEM!$A$3:$AH$1849,6,FALSE)</f>
        <v>Electrosurgical Units, Monopolar/Bipolar</v>
      </c>
      <c r="GPE102" s="528" t="s">
        <v>213</v>
      </c>
      <c r="GPF102" s="529" t="str">
        <f>VLOOKUP(GPE102,[14]AssetDetails_UEM!$A$3:$AH$1849,6,FALSE)</f>
        <v>Electrosurgical Units, Monopolar/Bipolar</v>
      </c>
      <c r="GPG102" s="528" t="s">
        <v>213</v>
      </c>
      <c r="GPH102" s="529" t="str">
        <f>VLOOKUP(GPG102,[14]AssetDetails_UEM!$A$3:$AH$1849,6,FALSE)</f>
        <v>Electrosurgical Units, Monopolar/Bipolar</v>
      </c>
      <c r="GPI102" s="528" t="s">
        <v>213</v>
      </c>
      <c r="GPJ102" s="529" t="str">
        <f>VLOOKUP(GPI102,[14]AssetDetails_UEM!$A$3:$AH$1849,6,FALSE)</f>
        <v>Electrosurgical Units, Monopolar/Bipolar</v>
      </c>
      <c r="GPK102" s="528" t="s">
        <v>213</v>
      </c>
      <c r="GPL102" s="529" t="str">
        <f>VLOOKUP(GPK102,[14]AssetDetails_UEM!$A$3:$AH$1849,6,FALSE)</f>
        <v>Electrosurgical Units, Monopolar/Bipolar</v>
      </c>
      <c r="GPM102" s="528" t="s">
        <v>213</v>
      </c>
      <c r="GPN102" s="529" t="str">
        <f>VLOOKUP(GPM102,[14]AssetDetails_UEM!$A$3:$AH$1849,6,FALSE)</f>
        <v>Electrosurgical Units, Monopolar/Bipolar</v>
      </c>
      <c r="GPO102" s="528" t="s">
        <v>213</v>
      </c>
      <c r="GPP102" s="529" t="str">
        <f>VLOOKUP(GPO102,[14]AssetDetails_UEM!$A$3:$AH$1849,6,FALSE)</f>
        <v>Electrosurgical Units, Monopolar/Bipolar</v>
      </c>
      <c r="GPQ102" s="528" t="s">
        <v>213</v>
      </c>
      <c r="GPR102" s="529" t="str">
        <f>VLOOKUP(GPQ102,[14]AssetDetails_UEM!$A$3:$AH$1849,6,FALSE)</f>
        <v>Electrosurgical Units, Monopolar/Bipolar</v>
      </c>
      <c r="GPS102" s="528" t="s">
        <v>213</v>
      </c>
      <c r="GPT102" s="529" t="str">
        <f>VLOOKUP(GPS102,[14]AssetDetails_UEM!$A$3:$AH$1849,6,FALSE)</f>
        <v>Electrosurgical Units, Monopolar/Bipolar</v>
      </c>
      <c r="GPU102" s="528" t="s">
        <v>213</v>
      </c>
      <c r="GPV102" s="529" t="str">
        <f>VLOOKUP(GPU102,[14]AssetDetails_UEM!$A$3:$AH$1849,6,FALSE)</f>
        <v>Electrosurgical Units, Monopolar/Bipolar</v>
      </c>
      <c r="GPW102" s="528" t="s">
        <v>213</v>
      </c>
      <c r="GPX102" s="529" t="str">
        <f>VLOOKUP(GPW102,[14]AssetDetails_UEM!$A$3:$AH$1849,6,FALSE)</f>
        <v>Electrosurgical Units, Monopolar/Bipolar</v>
      </c>
      <c r="GPY102" s="528" t="s">
        <v>213</v>
      </c>
      <c r="GPZ102" s="529" t="str">
        <f>VLOOKUP(GPY102,[14]AssetDetails_UEM!$A$3:$AH$1849,6,FALSE)</f>
        <v>Electrosurgical Units, Monopolar/Bipolar</v>
      </c>
      <c r="GQA102" s="528" t="s">
        <v>213</v>
      </c>
      <c r="GQB102" s="529" t="str">
        <f>VLOOKUP(GQA102,[14]AssetDetails_UEM!$A$3:$AH$1849,6,FALSE)</f>
        <v>Electrosurgical Units, Monopolar/Bipolar</v>
      </c>
      <c r="GQC102" s="528" t="s">
        <v>213</v>
      </c>
      <c r="GQD102" s="529" t="str">
        <f>VLOOKUP(GQC102,[14]AssetDetails_UEM!$A$3:$AH$1849,6,FALSE)</f>
        <v>Electrosurgical Units, Monopolar/Bipolar</v>
      </c>
      <c r="GQE102" s="528" t="s">
        <v>213</v>
      </c>
      <c r="GQF102" s="529" t="str">
        <f>VLOOKUP(GQE102,[14]AssetDetails_UEM!$A$3:$AH$1849,6,FALSE)</f>
        <v>Electrosurgical Units, Monopolar/Bipolar</v>
      </c>
      <c r="GQG102" s="528" t="s">
        <v>213</v>
      </c>
      <c r="GQH102" s="529" t="str">
        <f>VLOOKUP(GQG102,[14]AssetDetails_UEM!$A$3:$AH$1849,6,FALSE)</f>
        <v>Electrosurgical Units, Monopolar/Bipolar</v>
      </c>
      <c r="GQI102" s="528" t="s">
        <v>213</v>
      </c>
      <c r="GQJ102" s="529" t="str">
        <f>VLOOKUP(GQI102,[14]AssetDetails_UEM!$A$3:$AH$1849,6,FALSE)</f>
        <v>Electrosurgical Units, Monopolar/Bipolar</v>
      </c>
      <c r="GQK102" s="528" t="s">
        <v>213</v>
      </c>
      <c r="GQL102" s="529" t="str">
        <f>VLOOKUP(GQK102,[14]AssetDetails_UEM!$A$3:$AH$1849,6,FALSE)</f>
        <v>Electrosurgical Units, Monopolar/Bipolar</v>
      </c>
      <c r="GQM102" s="528" t="s">
        <v>213</v>
      </c>
      <c r="GQN102" s="529" t="str">
        <f>VLOOKUP(GQM102,[14]AssetDetails_UEM!$A$3:$AH$1849,6,FALSE)</f>
        <v>Electrosurgical Units, Monopolar/Bipolar</v>
      </c>
      <c r="GQO102" s="528" t="s">
        <v>213</v>
      </c>
      <c r="GQP102" s="529" t="str">
        <f>VLOOKUP(GQO102,[14]AssetDetails_UEM!$A$3:$AH$1849,6,FALSE)</f>
        <v>Electrosurgical Units, Monopolar/Bipolar</v>
      </c>
      <c r="GQQ102" s="528" t="s">
        <v>213</v>
      </c>
      <c r="GQR102" s="529" t="str">
        <f>VLOOKUP(GQQ102,[14]AssetDetails_UEM!$A$3:$AH$1849,6,FALSE)</f>
        <v>Electrosurgical Units, Monopolar/Bipolar</v>
      </c>
      <c r="GQS102" s="528" t="s">
        <v>213</v>
      </c>
      <c r="GQT102" s="529" t="str">
        <f>VLOOKUP(GQS102,[14]AssetDetails_UEM!$A$3:$AH$1849,6,FALSE)</f>
        <v>Electrosurgical Units, Monopolar/Bipolar</v>
      </c>
      <c r="GQU102" s="528" t="s">
        <v>213</v>
      </c>
      <c r="GQV102" s="529" t="str">
        <f>VLOOKUP(GQU102,[14]AssetDetails_UEM!$A$3:$AH$1849,6,FALSE)</f>
        <v>Electrosurgical Units, Monopolar/Bipolar</v>
      </c>
      <c r="GQW102" s="528" t="s">
        <v>213</v>
      </c>
      <c r="GQX102" s="529" t="str">
        <f>VLOOKUP(GQW102,[14]AssetDetails_UEM!$A$3:$AH$1849,6,FALSE)</f>
        <v>Electrosurgical Units, Monopolar/Bipolar</v>
      </c>
      <c r="GQY102" s="528" t="s">
        <v>213</v>
      </c>
      <c r="GQZ102" s="529" t="str">
        <f>VLOOKUP(GQY102,[14]AssetDetails_UEM!$A$3:$AH$1849,6,FALSE)</f>
        <v>Electrosurgical Units, Monopolar/Bipolar</v>
      </c>
      <c r="GRA102" s="528" t="s">
        <v>213</v>
      </c>
      <c r="GRB102" s="529" t="str">
        <f>VLOOKUP(GRA102,[14]AssetDetails_UEM!$A$3:$AH$1849,6,FALSE)</f>
        <v>Electrosurgical Units, Monopolar/Bipolar</v>
      </c>
      <c r="GRC102" s="528" t="s">
        <v>213</v>
      </c>
      <c r="GRD102" s="529" t="str">
        <f>VLOOKUP(GRC102,[14]AssetDetails_UEM!$A$3:$AH$1849,6,FALSE)</f>
        <v>Electrosurgical Units, Monopolar/Bipolar</v>
      </c>
      <c r="GRE102" s="528" t="s">
        <v>213</v>
      </c>
      <c r="GRF102" s="529" t="str">
        <f>VLOOKUP(GRE102,[14]AssetDetails_UEM!$A$3:$AH$1849,6,FALSE)</f>
        <v>Electrosurgical Units, Monopolar/Bipolar</v>
      </c>
      <c r="GRG102" s="528" t="s">
        <v>213</v>
      </c>
      <c r="GRH102" s="529" t="str">
        <f>VLOOKUP(GRG102,[14]AssetDetails_UEM!$A$3:$AH$1849,6,FALSE)</f>
        <v>Electrosurgical Units, Monopolar/Bipolar</v>
      </c>
      <c r="GRI102" s="528" t="s">
        <v>213</v>
      </c>
      <c r="GRJ102" s="529" t="str">
        <f>VLOOKUP(GRI102,[14]AssetDetails_UEM!$A$3:$AH$1849,6,FALSE)</f>
        <v>Electrosurgical Units, Monopolar/Bipolar</v>
      </c>
      <c r="GRK102" s="528" t="s">
        <v>213</v>
      </c>
      <c r="GRL102" s="529" t="str">
        <f>VLOOKUP(GRK102,[14]AssetDetails_UEM!$A$3:$AH$1849,6,FALSE)</f>
        <v>Electrosurgical Units, Monopolar/Bipolar</v>
      </c>
      <c r="GRM102" s="528" t="s">
        <v>213</v>
      </c>
      <c r="GRN102" s="529" t="str">
        <f>VLOOKUP(GRM102,[14]AssetDetails_UEM!$A$3:$AH$1849,6,FALSE)</f>
        <v>Electrosurgical Units, Monopolar/Bipolar</v>
      </c>
      <c r="GRO102" s="528" t="s">
        <v>213</v>
      </c>
      <c r="GRP102" s="529" t="str">
        <f>VLOOKUP(GRO102,[14]AssetDetails_UEM!$A$3:$AH$1849,6,FALSE)</f>
        <v>Electrosurgical Units, Monopolar/Bipolar</v>
      </c>
      <c r="GRQ102" s="528" t="s">
        <v>213</v>
      </c>
      <c r="GRR102" s="529" t="str">
        <f>VLOOKUP(GRQ102,[14]AssetDetails_UEM!$A$3:$AH$1849,6,FALSE)</f>
        <v>Electrosurgical Units, Monopolar/Bipolar</v>
      </c>
      <c r="GRS102" s="528" t="s">
        <v>213</v>
      </c>
      <c r="GRT102" s="529" t="str">
        <f>VLOOKUP(GRS102,[14]AssetDetails_UEM!$A$3:$AH$1849,6,FALSE)</f>
        <v>Electrosurgical Units, Monopolar/Bipolar</v>
      </c>
      <c r="GRU102" s="528" t="s">
        <v>213</v>
      </c>
      <c r="GRV102" s="529" t="str">
        <f>VLOOKUP(GRU102,[14]AssetDetails_UEM!$A$3:$AH$1849,6,FALSE)</f>
        <v>Electrosurgical Units, Monopolar/Bipolar</v>
      </c>
      <c r="GRW102" s="528" t="s">
        <v>213</v>
      </c>
      <c r="GRX102" s="529" t="str">
        <f>VLOOKUP(GRW102,[14]AssetDetails_UEM!$A$3:$AH$1849,6,FALSE)</f>
        <v>Electrosurgical Units, Monopolar/Bipolar</v>
      </c>
      <c r="GRY102" s="528" t="s">
        <v>213</v>
      </c>
      <c r="GRZ102" s="529" t="str">
        <f>VLOOKUP(GRY102,[14]AssetDetails_UEM!$A$3:$AH$1849,6,FALSE)</f>
        <v>Electrosurgical Units, Monopolar/Bipolar</v>
      </c>
      <c r="GSA102" s="528" t="s">
        <v>213</v>
      </c>
      <c r="GSB102" s="529" t="str">
        <f>VLOOKUP(GSA102,[14]AssetDetails_UEM!$A$3:$AH$1849,6,FALSE)</f>
        <v>Electrosurgical Units, Monopolar/Bipolar</v>
      </c>
      <c r="GSC102" s="528" t="s">
        <v>213</v>
      </c>
      <c r="GSD102" s="529" t="str">
        <f>VLOOKUP(GSC102,[14]AssetDetails_UEM!$A$3:$AH$1849,6,FALSE)</f>
        <v>Electrosurgical Units, Monopolar/Bipolar</v>
      </c>
      <c r="GSE102" s="528" t="s">
        <v>213</v>
      </c>
      <c r="GSF102" s="529" t="str">
        <f>VLOOKUP(GSE102,[14]AssetDetails_UEM!$A$3:$AH$1849,6,FALSE)</f>
        <v>Electrosurgical Units, Monopolar/Bipolar</v>
      </c>
      <c r="GSG102" s="528" t="s">
        <v>213</v>
      </c>
      <c r="GSH102" s="529" t="str">
        <f>VLOOKUP(GSG102,[14]AssetDetails_UEM!$A$3:$AH$1849,6,FALSE)</f>
        <v>Electrosurgical Units, Monopolar/Bipolar</v>
      </c>
      <c r="GSI102" s="528" t="s">
        <v>213</v>
      </c>
      <c r="GSJ102" s="529" t="str">
        <f>VLOOKUP(GSI102,[14]AssetDetails_UEM!$A$3:$AH$1849,6,FALSE)</f>
        <v>Electrosurgical Units, Monopolar/Bipolar</v>
      </c>
      <c r="GSK102" s="528" t="s">
        <v>213</v>
      </c>
      <c r="GSL102" s="529" t="str">
        <f>VLOOKUP(GSK102,[14]AssetDetails_UEM!$A$3:$AH$1849,6,FALSE)</f>
        <v>Electrosurgical Units, Monopolar/Bipolar</v>
      </c>
      <c r="GSM102" s="528" t="s">
        <v>213</v>
      </c>
      <c r="GSN102" s="529" t="str">
        <f>VLOOKUP(GSM102,[14]AssetDetails_UEM!$A$3:$AH$1849,6,FALSE)</f>
        <v>Electrosurgical Units, Monopolar/Bipolar</v>
      </c>
      <c r="GSO102" s="528" t="s">
        <v>213</v>
      </c>
      <c r="GSP102" s="529" t="str">
        <f>VLOOKUP(GSO102,[14]AssetDetails_UEM!$A$3:$AH$1849,6,FALSE)</f>
        <v>Electrosurgical Units, Monopolar/Bipolar</v>
      </c>
      <c r="GSQ102" s="528" t="s">
        <v>213</v>
      </c>
      <c r="GSR102" s="529" t="str">
        <f>VLOOKUP(GSQ102,[14]AssetDetails_UEM!$A$3:$AH$1849,6,FALSE)</f>
        <v>Electrosurgical Units, Monopolar/Bipolar</v>
      </c>
      <c r="GSS102" s="528" t="s">
        <v>213</v>
      </c>
      <c r="GST102" s="529" t="str">
        <f>VLOOKUP(GSS102,[14]AssetDetails_UEM!$A$3:$AH$1849,6,FALSE)</f>
        <v>Electrosurgical Units, Monopolar/Bipolar</v>
      </c>
      <c r="GSU102" s="528" t="s">
        <v>213</v>
      </c>
      <c r="GSV102" s="529" t="str">
        <f>VLOOKUP(GSU102,[14]AssetDetails_UEM!$A$3:$AH$1849,6,FALSE)</f>
        <v>Electrosurgical Units, Monopolar/Bipolar</v>
      </c>
      <c r="GSW102" s="528" t="s">
        <v>213</v>
      </c>
      <c r="GSX102" s="529" t="str">
        <f>VLOOKUP(GSW102,[14]AssetDetails_UEM!$A$3:$AH$1849,6,FALSE)</f>
        <v>Electrosurgical Units, Monopolar/Bipolar</v>
      </c>
      <c r="GSY102" s="528" t="s">
        <v>213</v>
      </c>
      <c r="GSZ102" s="529" t="str">
        <f>VLOOKUP(GSY102,[14]AssetDetails_UEM!$A$3:$AH$1849,6,FALSE)</f>
        <v>Electrosurgical Units, Monopolar/Bipolar</v>
      </c>
      <c r="GTA102" s="528" t="s">
        <v>213</v>
      </c>
      <c r="GTB102" s="529" t="str">
        <f>VLOOKUP(GTA102,[14]AssetDetails_UEM!$A$3:$AH$1849,6,FALSE)</f>
        <v>Electrosurgical Units, Monopolar/Bipolar</v>
      </c>
      <c r="GTC102" s="528" t="s">
        <v>213</v>
      </c>
      <c r="GTD102" s="529" t="str">
        <f>VLOOKUP(GTC102,[14]AssetDetails_UEM!$A$3:$AH$1849,6,FALSE)</f>
        <v>Electrosurgical Units, Monopolar/Bipolar</v>
      </c>
      <c r="GTE102" s="528" t="s">
        <v>213</v>
      </c>
      <c r="GTF102" s="529" t="str">
        <f>VLOOKUP(GTE102,[14]AssetDetails_UEM!$A$3:$AH$1849,6,FALSE)</f>
        <v>Electrosurgical Units, Monopolar/Bipolar</v>
      </c>
      <c r="GTG102" s="528" t="s">
        <v>213</v>
      </c>
      <c r="GTH102" s="529" t="str">
        <f>VLOOKUP(GTG102,[14]AssetDetails_UEM!$A$3:$AH$1849,6,FALSE)</f>
        <v>Electrosurgical Units, Monopolar/Bipolar</v>
      </c>
      <c r="GTI102" s="528" t="s">
        <v>213</v>
      </c>
      <c r="GTJ102" s="529" t="str">
        <f>VLOOKUP(GTI102,[14]AssetDetails_UEM!$A$3:$AH$1849,6,FALSE)</f>
        <v>Electrosurgical Units, Monopolar/Bipolar</v>
      </c>
      <c r="GTK102" s="528" t="s">
        <v>213</v>
      </c>
      <c r="GTL102" s="529" t="str">
        <f>VLOOKUP(GTK102,[14]AssetDetails_UEM!$A$3:$AH$1849,6,FALSE)</f>
        <v>Electrosurgical Units, Monopolar/Bipolar</v>
      </c>
      <c r="GTM102" s="528" t="s">
        <v>213</v>
      </c>
      <c r="GTN102" s="529" t="str">
        <f>VLOOKUP(GTM102,[14]AssetDetails_UEM!$A$3:$AH$1849,6,FALSE)</f>
        <v>Electrosurgical Units, Monopolar/Bipolar</v>
      </c>
      <c r="GTO102" s="528" t="s">
        <v>213</v>
      </c>
      <c r="GTP102" s="529" t="str">
        <f>VLOOKUP(GTO102,[14]AssetDetails_UEM!$A$3:$AH$1849,6,FALSE)</f>
        <v>Electrosurgical Units, Monopolar/Bipolar</v>
      </c>
      <c r="GTQ102" s="528" t="s">
        <v>213</v>
      </c>
      <c r="GTR102" s="529" t="str">
        <f>VLOOKUP(GTQ102,[14]AssetDetails_UEM!$A$3:$AH$1849,6,FALSE)</f>
        <v>Electrosurgical Units, Monopolar/Bipolar</v>
      </c>
      <c r="GTS102" s="528" t="s">
        <v>213</v>
      </c>
      <c r="GTT102" s="529" t="str">
        <f>VLOOKUP(GTS102,[14]AssetDetails_UEM!$A$3:$AH$1849,6,FALSE)</f>
        <v>Electrosurgical Units, Monopolar/Bipolar</v>
      </c>
      <c r="GTU102" s="528" t="s">
        <v>213</v>
      </c>
      <c r="GTV102" s="529" t="str">
        <f>VLOOKUP(GTU102,[14]AssetDetails_UEM!$A$3:$AH$1849,6,FALSE)</f>
        <v>Electrosurgical Units, Monopolar/Bipolar</v>
      </c>
      <c r="GTW102" s="528" t="s">
        <v>213</v>
      </c>
      <c r="GTX102" s="529" t="str">
        <f>VLOOKUP(GTW102,[14]AssetDetails_UEM!$A$3:$AH$1849,6,FALSE)</f>
        <v>Electrosurgical Units, Monopolar/Bipolar</v>
      </c>
      <c r="GTY102" s="528" t="s">
        <v>213</v>
      </c>
      <c r="GTZ102" s="529" t="str">
        <f>VLOOKUP(GTY102,[14]AssetDetails_UEM!$A$3:$AH$1849,6,FALSE)</f>
        <v>Electrosurgical Units, Monopolar/Bipolar</v>
      </c>
      <c r="GUA102" s="528" t="s">
        <v>213</v>
      </c>
      <c r="GUB102" s="529" t="str">
        <f>VLOOKUP(GUA102,[14]AssetDetails_UEM!$A$3:$AH$1849,6,FALSE)</f>
        <v>Electrosurgical Units, Monopolar/Bipolar</v>
      </c>
      <c r="GUC102" s="528" t="s">
        <v>213</v>
      </c>
      <c r="GUD102" s="529" t="str">
        <f>VLOOKUP(GUC102,[14]AssetDetails_UEM!$A$3:$AH$1849,6,FALSE)</f>
        <v>Electrosurgical Units, Monopolar/Bipolar</v>
      </c>
      <c r="GUE102" s="528" t="s">
        <v>213</v>
      </c>
      <c r="GUF102" s="529" t="str">
        <f>VLOOKUP(GUE102,[14]AssetDetails_UEM!$A$3:$AH$1849,6,FALSE)</f>
        <v>Electrosurgical Units, Monopolar/Bipolar</v>
      </c>
      <c r="GUG102" s="528" t="s">
        <v>213</v>
      </c>
      <c r="GUH102" s="529" t="str">
        <f>VLOOKUP(GUG102,[14]AssetDetails_UEM!$A$3:$AH$1849,6,FALSE)</f>
        <v>Electrosurgical Units, Monopolar/Bipolar</v>
      </c>
      <c r="GUI102" s="528" t="s">
        <v>213</v>
      </c>
      <c r="GUJ102" s="529" t="str">
        <f>VLOOKUP(GUI102,[14]AssetDetails_UEM!$A$3:$AH$1849,6,FALSE)</f>
        <v>Electrosurgical Units, Monopolar/Bipolar</v>
      </c>
      <c r="GUK102" s="528" t="s">
        <v>213</v>
      </c>
      <c r="GUL102" s="529" t="str">
        <f>VLOOKUP(GUK102,[14]AssetDetails_UEM!$A$3:$AH$1849,6,FALSE)</f>
        <v>Electrosurgical Units, Monopolar/Bipolar</v>
      </c>
      <c r="GUM102" s="528" t="s">
        <v>213</v>
      </c>
      <c r="GUN102" s="529" t="str">
        <f>VLOOKUP(GUM102,[14]AssetDetails_UEM!$A$3:$AH$1849,6,FALSE)</f>
        <v>Electrosurgical Units, Monopolar/Bipolar</v>
      </c>
      <c r="GUO102" s="528" t="s">
        <v>213</v>
      </c>
      <c r="GUP102" s="529" t="str">
        <f>VLOOKUP(GUO102,[14]AssetDetails_UEM!$A$3:$AH$1849,6,FALSE)</f>
        <v>Electrosurgical Units, Monopolar/Bipolar</v>
      </c>
      <c r="GUQ102" s="528" t="s">
        <v>213</v>
      </c>
      <c r="GUR102" s="529" t="str">
        <f>VLOOKUP(GUQ102,[14]AssetDetails_UEM!$A$3:$AH$1849,6,FALSE)</f>
        <v>Electrosurgical Units, Monopolar/Bipolar</v>
      </c>
      <c r="GUS102" s="528" t="s">
        <v>213</v>
      </c>
      <c r="GUT102" s="529" t="str">
        <f>VLOOKUP(GUS102,[14]AssetDetails_UEM!$A$3:$AH$1849,6,FALSE)</f>
        <v>Electrosurgical Units, Monopolar/Bipolar</v>
      </c>
      <c r="GUU102" s="528" t="s">
        <v>213</v>
      </c>
      <c r="GUV102" s="529" t="str">
        <f>VLOOKUP(GUU102,[14]AssetDetails_UEM!$A$3:$AH$1849,6,FALSE)</f>
        <v>Electrosurgical Units, Monopolar/Bipolar</v>
      </c>
      <c r="GUW102" s="528" t="s">
        <v>213</v>
      </c>
      <c r="GUX102" s="529" t="str">
        <f>VLOOKUP(GUW102,[14]AssetDetails_UEM!$A$3:$AH$1849,6,FALSE)</f>
        <v>Electrosurgical Units, Monopolar/Bipolar</v>
      </c>
      <c r="GUY102" s="528" t="s">
        <v>213</v>
      </c>
      <c r="GUZ102" s="529" t="str">
        <f>VLOOKUP(GUY102,[14]AssetDetails_UEM!$A$3:$AH$1849,6,FALSE)</f>
        <v>Electrosurgical Units, Monopolar/Bipolar</v>
      </c>
      <c r="GVA102" s="528" t="s">
        <v>213</v>
      </c>
      <c r="GVB102" s="529" t="str">
        <f>VLOOKUP(GVA102,[14]AssetDetails_UEM!$A$3:$AH$1849,6,FALSE)</f>
        <v>Electrosurgical Units, Monopolar/Bipolar</v>
      </c>
      <c r="GVC102" s="528" t="s">
        <v>213</v>
      </c>
      <c r="GVD102" s="529" t="str">
        <f>VLOOKUP(GVC102,[14]AssetDetails_UEM!$A$3:$AH$1849,6,FALSE)</f>
        <v>Electrosurgical Units, Monopolar/Bipolar</v>
      </c>
      <c r="GVE102" s="528" t="s">
        <v>213</v>
      </c>
      <c r="GVF102" s="529" t="str">
        <f>VLOOKUP(GVE102,[14]AssetDetails_UEM!$A$3:$AH$1849,6,FALSE)</f>
        <v>Electrosurgical Units, Monopolar/Bipolar</v>
      </c>
      <c r="GVG102" s="528" t="s">
        <v>213</v>
      </c>
      <c r="GVH102" s="529" t="str">
        <f>VLOOKUP(GVG102,[14]AssetDetails_UEM!$A$3:$AH$1849,6,FALSE)</f>
        <v>Electrosurgical Units, Monopolar/Bipolar</v>
      </c>
      <c r="GVI102" s="528" t="s">
        <v>213</v>
      </c>
      <c r="GVJ102" s="529" t="str">
        <f>VLOOKUP(GVI102,[14]AssetDetails_UEM!$A$3:$AH$1849,6,FALSE)</f>
        <v>Electrosurgical Units, Monopolar/Bipolar</v>
      </c>
      <c r="GVK102" s="528" t="s">
        <v>213</v>
      </c>
      <c r="GVL102" s="529" t="str">
        <f>VLOOKUP(GVK102,[14]AssetDetails_UEM!$A$3:$AH$1849,6,FALSE)</f>
        <v>Electrosurgical Units, Monopolar/Bipolar</v>
      </c>
      <c r="GVM102" s="528" t="s">
        <v>213</v>
      </c>
      <c r="GVN102" s="529" t="str">
        <f>VLOOKUP(GVM102,[14]AssetDetails_UEM!$A$3:$AH$1849,6,FALSE)</f>
        <v>Electrosurgical Units, Monopolar/Bipolar</v>
      </c>
      <c r="GVO102" s="528" t="s">
        <v>213</v>
      </c>
      <c r="GVP102" s="529" t="str">
        <f>VLOOKUP(GVO102,[14]AssetDetails_UEM!$A$3:$AH$1849,6,FALSE)</f>
        <v>Electrosurgical Units, Monopolar/Bipolar</v>
      </c>
      <c r="GVQ102" s="528" t="s">
        <v>213</v>
      </c>
      <c r="GVR102" s="529" t="str">
        <f>VLOOKUP(GVQ102,[14]AssetDetails_UEM!$A$3:$AH$1849,6,FALSE)</f>
        <v>Electrosurgical Units, Monopolar/Bipolar</v>
      </c>
      <c r="GVS102" s="528" t="s">
        <v>213</v>
      </c>
      <c r="GVT102" s="529" t="str">
        <f>VLOOKUP(GVS102,[14]AssetDetails_UEM!$A$3:$AH$1849,6,FALSE)</f>
        <v>Electrosurgical Units, Monopolar/Bipolar</v>
      </c>
      <c r="GVU102" s="528" t="s">
        <v>213</v>
      </c>
      <c r="GVV102" s="529" t="str">
        <f>VLOOKUP(GVU102,[14]AssetDetails_UEM!$A$3:$AH$1849,6,FALSE)</f>
        <v>Electrosurgical Units, Monopolar/Bipolar</v>
      </c>
      <c r="GVW102" s="528" t="s">
        <v>213</v>
      </c>
      <c r="GVX102" s="529" t="str">
        <f>VLOOKUP(GVW102,[14]AssetDetails_UEM!$A$3:$AH$1849,6,FALSE)</f>
        <v>Electrosurgical Units, Monopolar/Bipolar</v>
      </c>
      <c r="GVY102" s="528" t="s">
        <v>213</v>
      </c>
      <c r="GVZ102" s="529" t="str">
        <f>VLOOKUP(GVY102,[14]AssetDetails_UEM!$A$3:$AH$1849,6,FALSE)</f>
        <v>Electrosurgical Units, Monopolar/Bipolar</v>
      </c>
      <c r="GWA102" s="528" t="s">
        <v>213</v>
      </c>
      <c r="GWB102" s="529" t="str">
        <f>VLOOKUP(GWA102,[14]AssetDetails_UEM!$A$3:$AH$1849,6,FALSE)</f>
        <v>Electrosurgical Units, Monopolar/Bipolar</v>
      </c>
      <c r="GWC102" s="528" t="s">
        <v>213</v>
      </c>
      <c r="GWD102" s="529" t="str">
        <f>VLOOKUP(GWC102,[14]AssetDetails_UEM!$A$3:$AH$1849,6,FALSE)</f>
        <v>Electrosurgical Units, Monopolar/Bipolar</v>
      </c>
      <c r="GWE102" s="528" t="s">
        <v>213</v>
      </c>
      <c r="GWF102" s="529" t="str">
        <f>VLOOKUP(GWE102,[14]AssetDetails_UEM!$A$3:$AH$1849,6,FALSE)</f>
        <v>Electrosurgical Units, Monopolar/Bipolar</v>
      </c>
      <c r="GWG102" s="528" t="s">
        <v>213</v>
      </c>
      <c r="GWH102" s="529" t="str">
        <f>VLOOKUP(GWG102,[14]AssetDetails_UEM!$A$3:$AH$1849,6,FALSE)</f>
        <v>Electrosurgical Units, Monopolar/Bipolar</v>
      </c>
      <c r="GWI102" s="528" t="s">
        <v>213</v>
      </c>
      <c r="GWJ102" s="529" t="str">
        <f>VLOOKUP(GWI102,[14]AssetDetails_UEM!$A$3:$AH$1849,6,FALSE)</f>
        <v>Electrosurgical Units, Monopolar/Bipolar</v>
      </c>
      <c r="GWK102" s="528" t="s">
        <v>213</v>
      </c>
      <c r="GWL102" s="529" t="str">
        <f>VLOOKUP(GWK102,[14]AssetDetails_UEM!$A$3:$AH$1849,6,FALSE)</f>
        <v>Electrosurgical Units, Monopolar/Bipolar</v>
      </c>
      <c r="GWM102" s="528" t="s">
        <v>213</v>
      </c>
      <c r="GWN102" s="529" t="str">
        <f>VLOOKUP(GWM102,[14]AssetDetails_UEM!$A$3:$AH$1849,6,FALSE)</f>
        <v>Electrosurgical Units, Monopolar/Bipolar</v>
      </c>
      <c r="GWO102" s="528" t="s">
        <v>213</v>
      </c>
      <c r="GWP102" s="529" t="str">
        <f>VLOOKUP(GWO102,[14]AssetDetails_UEM!$A$3:$AH$1849,6,FALSE)</f>
        <v>Electrosurgical Units, Monopolar/Bipolar</v>
      </c>
      <c r="GWQ102" s="528" t="s">
        <v>213</v>
      </c>
      <c r="GWR102" s="529" t="str">
        <f>VLOOKUP(GWQ102,[14]AssetDetails_UEM!$A$3:$AH$1849,6,FALSE)</f>
        <v>Electrosurgical Units, Monopolar/Bipolar</v>
      </c>
      <c r="GWS102" s="528" t="s">
        <v>213</v>
      </c>
      <c r="GWT102" s="529" t="str">
        <f>VLOOKUP(GWS102,[14]AssetDetails_UEM!$A$3:$AH$1849,6,FALSE)</f>
        <v>Electrosurgical Units, Monopolar/Bipolar</v>
      </c>
      <c r="GWU102" s="528" t="s">
        <v>213</v>
      </c>
      <c r="GWV102" s="529" t="str">
        <f>VLOOKUP(GWU102,[14]AssetDetails_UEM!$A$3:$AH$1849,6,FALSE)</f>
        <v>Electrosurgical Units, Monopolar/Bipolar</v>
      </c>
      <c r="GWW102" s="528" t="s">
        <v>213</v>
      </c>
      <c r="GWX102" s="529" t="str">
        <f>VLOOKUP(GWW102,[14]AssetDetails_UEM!$A$3:$AH$1849,6,FALSE)</f>
        <v>Electrosurgical Units, Monopolar/Bipolar</v>
      </c>
      <c r="GWY102" s="528" t="s">
        <v>213</v>
      </c>
      <c r="GWZ102" s="529" t="str">
        <f>VLOOKUP(GWY102,[14]AssetDetails_UEM!$A$3:$AH$1849,6,FALSE)</f>
        <v>Electrosurgical Units, Monopolar/Bipolar</v>
      </c>
      <c r="GXA102" s="528" t="s">
        <v>213</v>
      </c>
      <c r="GXB102" s="529" t="str">
        <f>VLOOKUP(GXA102,[14]AssetDetails_UEM!$A$3:$AH$1849,6,FALSE)</f>
        <v>Electrosurgical Units, Monopolar/Bipolar</v>
      </c>
      <c r="GXC102" s="528" t="s">
        <v>213</v>
      </c>
      <c r="GXD102" s="529" t="str">
        <f>VLOOKUP(GXC102,[14]AssetDetails_UEM!$A$3:$AH$1849,6,FALSE)</f>
        <v>Electrosurgical Units, Monopolar/Bipolar</v>
      </c>
      <c r="GXE102" s="528" t="s">
        <v>213</v>
      </c>
      <c r="GXF102" s="529" t="str">
        <f>VLOOKUP(GXE102,[14]AssetDetails_UEM!$A$3:$AH$1849,6,FALSE)</f>
        <v>Electrosurgical Units, Monopolar/Bipolar</v>
      </c>
      <c r="GXG102" s="528" t="s">
        <v>213</v>
      </c>
      <c r="GXH102" s="529" t="str">
        <f>VLOOKUP(GXG102,[14]AssetDetails_UEM!$A$3:$AH$1849,6,FALSE)</f>
        <v>Electrosurgical Units, Monopolar/Bipolar</v>
      </c>
      <c r="GXI102" s="528" t="s">
        <v>213</v>
      </c>
      <c r="GXJ102" s="529" t="str">
        <f>VLOOKUP(GXI102,[14]AssetDetails_UEM!$A$3:$AH$1849,6,FALSE)</f>
        <v>Electrosurgical Units, Monopolar/Bipolar</v>
      </c>
      <c r="GXK102" s="528" t="s">
        <v>213</v>
      </c>
      <c r="GXL102" s="529" t="str">
        <f>VLOOKUP(GXK102,[14]AssetDetails_UEM!$A$3:$AH$1849,6,FALSE)</f>
        <v>Electrosurgical Units, Monopolar/Bipolar</v>
      </c>
      <c r="GXM102" s="528" t="s">
        <v>213</v>
      </c>
      <c r="GXN102" s="529" t="str">
        <f>VLOOKUP(GXM102,[14]AssetDetails_UEM!$A$3:$AH$1849,6,FALSE)</f>
        <v>Electrosurgical Units, Monopolar/Bipolar</v>
      </c>
      <c r="GXO102" s="528" t="s">
        <v>213</v>
      </c>
      <c r="GXP102" s="529" t="str">
        <f>VLOOKUP(GXO102,[14]AssetDetails_UEM!$A$3:$AH$1849,6,FALSE)</f>
        <v>Electrosurgical Units, Monopolar/Bipolar</v>
      </c>
      <c r="GXQ102" s="528" t="s">
        <v>213</v>
      </c>
      <c r="GXR102" s="529" t="str">
        <f>VLOOKUP(GXQ102,[14]AssetDetails_UEM!$A$3:$AH$1849,6,FALSE)</f>
        <v>Electrosurgical Units, Monopolar/Bipolar</v>
      </c>
      <c r="GXS102" s="528" t="s">
        <v>213</v>
      </c>
      <c r="GXT102" s="529" t="str">
        <f>VLOOKUP(GXS102,[14]AssetDetails_UEM!$A$3:$AH$1849,6,FALSE)</f>
        <v>Electrosurgical Units, Monopolar/Bipolar</v>
      </c>
      <c r="GXU102" s="528" t="s">
        <v>213</v>
      </c>
      <c r="GXV102" s="529" t="str">
        <f>VLOOKUP(GXU102,[14]AssetDetails_UEM!$A$3:$AH$1849,6,FALSE)</f>
        <v>Electrosurgical Units, Monopolar/Bipolar</v>
      </c>
      <c r="GXW102" s="528" t="s">
        <v>213</v>
      </c>
      <c r="GXX102" s="529" t="str">
        <f>VLOOKUP(GXW102,[14]AssetDetails_UEM!$A$3:$AH$1849,6,FALSE)</f>
        <v>Electrosurgical Units, Monopolar/Bipolar</v>
      </c>
      <c r="GXY102" s="528" t="s">
        <v>213</v>
      </c>
      <c r="GXZ102" s="529" t="str">
        <f>VLOOKUP(GXY102,[14]AssetDetails_UEM!$A$3:$AH$1849,6,FALSE)</f>
        <v>Electrosurgical Units, Monopolar/Bipolar</v>
      </c>
      <c r="GYA102" s="528" t="s">
        <v>213</v>
      </c>
      <c r="GYB102" s="529" t="str">
        <f>VLOOKUP(GYA102,[14]AssetDetails_UEM!$A$3:$AH$1849,6,FALSE)</f>
        <v>Electrosurgical Units, Monopolar/Bipolar</v>
      </c>
      <c r="GYC102" s="528" t="s">
        <v>213</v>
      </c>
      <c r="GYD102" s="529" t="str">
        <f>VLOOKUP(GYC102,[14]AssetDetails_UEM!$A$3:$AH$1849,6,FALSE)</f>
        <v>Electrosurgical Units, Monopolar/Bipolar</v>
      </c>
      <c r="GYE102" s="528" t="s">
        <v>213</v>
      </c>
      <c r="GYF102" s="529" t="str">
        <f>VLOOKUP(GYE102,[14]AssetDetails_UEM!$A$3:$AH$1849,6,FALSE)</f>
        <v>Electrosurgical Units, Monopolar/Bipolar</v>
      </c>
      <c r="GYG102" s="528" t="s">
        <v>213</v>
      </c>
      <c r="GYH102" s="529" t="str">
        <f>VLOOKUP(GYG102,[14]AssetDetails_UEM!$A$3:$AH$1849,6,FALSE)</f>
        <v>Electrosurgical Units, Monopolar/Bipolar</v>
      </c>
      <c r="GYI102" s="528" t="s">
        <v>213</v>
      </c>
      <c r="GYJ102" s="529" t="str">
        <f>VLOOKUP(GYI102,[14]AssetDetails_UEM!$A$3:$AH$1849,6,FALSE)</f>
        <v>Electrosurgical Units, Monopolar/Bipolar</v>
      </c>
      <c r="GYK102" s="528" t="s">
        <v>213</v>
      </c>
      <c r="GYL102" s="529" t="str">
        <f>VLOOKUP(GYK102,[14]AssetDetails_UEM!$A$3:$AH$1849,6,FALSE)</f>
        <v>Electrosurgical Units, Monopolar/Bipolar</v>
      </c>
      <c r="GYM102" s="528" t="s">
        <v>213</v>
      </c>
      <c r="GYN102" s="529" t="str">
        <f>VLOOKUP(GYM102,[14]AssetDetails_UEM!$A$3:$AH$1849,6,FALSE)</f>
        <v>Electrosurgical Units, Monopolar/Bipolar</v>
      </c>
      <c r="GYO102" s="528" t="s">
        <v>213</v>
      </c>
      <c r="GYP102" s="529" t="str">
        <f>VLOOKUP(GYO102,[14]AssetDetails_UEM!$A$3:$AH$1849,6,FALSE)</f>
        <v>Electrosurgical Units, Monopolar/Bipolar</v>
      </c>
      <c r="GYQ102" s="528" t="s">
        <v>213</v>
      </c>
      <c r="GYR102" s="529" t="str">
        <f>VLOOKUP(GYQ102,[14]AssetDetails_UEM!$A$3:$AH$1849,6,FALSE)</f>
        <v>Electrosurgical Units, Monopolar/Bipolar</v>
      </c>
      <c r="GYS102" s="528" t="s">
        <v>213</v>
      </c>
      <c r="GYT102" s="529" t="str">
        <f>VLOOKUP(GYS102,[14]AssetDetails_UEM!$A$3:$AH$1849,6,FALSE)</f>
        <v>Electrosurgical Units, Monopolar/Bipolar</v>
      </c>
      <c r="GYU102" s="528" t="s">
        <v>213</v>
      </c>
      <c r="GYV102" s="529" t="str">
        <f>VLOOKUP(GYU102,[14]AssetDetails_UEM!$A$3:$AH$1849,6,FALSE)</f>
        <v>Electrosurgical Units, Monopolar/Bipolar</v>
      </c>
      <c r="GYW102" s="528" t="s">
        <v>213</v>
      </c>
      <c r="GYX102" s="529" t="str">
        <f>VLOOKUP(GYW102,[14]AssetDetails_UEM!$A$3:$AH$1849,6,FALSE)</f>
        <v>Electrosurgical Units, Monopolar/Bipolar</v>
      </c>
      <c r="GYY102" s="528" t="s">
        <v>213</v>
      </c>
      <c r="GYZ102" s="529" t="str">
        <f>VLOOKUP(GYY102,[14]AssetDetails_UEM!$A$3:$AH$1849,6,FALSE)</f>
        <v>Electrosurgical Units, Monopolar/Bipolar</v>
      </c>
      <c r="GZA102" s="528" t="s">
        <v>213</v>
      </c>
      <c r="GZB102" s="529" t="str">
        <f>VLOOKUP(GZA102,[14]AssetDetails_UEM!$A$3:$AH$1849,6,FALSE)</f>
        <v>Electrosurgical Units, Monopolar/Bipolar</v>
      </c>
      <c r="GZC102" s="528" t="s">
        <v>213</v>
      </c>
      <c r="GZD102" s="529" t="str">
        <f>VLOOKUP(GZC102,[14]AssetDetails_UEM!$A$3:$AH$1849,6,FALSE)</f>
        <v>Electrosurgical Units, Monopolar/Bipolar</v>
      </c>
      <c r="GZE102" s="528" t="s">
        <v>213</v>
      </c>
      <c r="GZF102" s="529" t="str">
        <f>VLOOKUP(GZE102,[14]AssetDetails_UEM!$A$3:$AH$1849,6,FALSE)</f>
        <v>Electrosurgical Units, Monopolar/Bipolar</v>
      </c>
      <c r="GZG102" s="528" t="s">
        <v>213</v>
      </c>
      <c r="GZH102" s="529" t="str">
        <f>VLOOKUP(GZG102,[14]AssetDetails_UEM!$A$3:$AH$1849,6,FALSE)</f>
        <v>Electrosurgical Units, Monopolar/Bipolar</v>
      </c>
      <c r="GZI102" s="528" t="s">
        <v>213</v>
      </c>
      <c r="GZJ102" s="529" t="str">
        <f>VLOOKUP(GZI102,[14]AssetDetails_UEM!$A$3:$AH$1849,6,FALSE)</f>
        <v>Electrosurgical Units, Monopolar/Bipolar</v>
      </c>
      <c r="GZK102" s="528" t="s">
        <v>213</v>
      </c>
      <c r="GZL102" s="529" t="str">
        <f>VLOOKUP(GZK102,[14]AssetDetails_UEM!$A$3:$AH$1849,6,FALSE)</f>
        <v>Electrosurgical Units, Monopolar/Bipolar</v>
      </c>
      <c r="GZM102" s="528" t="s">
        <v>213</v>
      </c>
      <c r="GZN102" s="529" t="str">
        <f>VLOOKUP(GZM102,[14]AssetDetails_UEM!$A$3:$AH$1849,6,FALSE)</f>
        <v>Electrosurgical Units, Monopolar/Bipolar</v>
      </c>
      <c r="GZO102" s="528" t="s">
        <v>213</v>
      </c>
      <c r="GZP102" s="529" t="str">
        <f>VLOOKUP(GZO102,[14]AssetDetails_UEM!$A$3:$AH$1849,6,FALSE)</f>
        <v>Electrosurgical Units, Monopolar/Bipolar</v>
      </c>
      <c r="GZQ102" s="528" t="s">
        <v>213</v>
      </c>
      <c r="GZR102" s="529" t="str">
        <f>VLOOKUP(GZQ102,[14]AssetDetails_UEM!$A$3:$AH$1849,6,FALSE)</f>
        <v>Electrosurgical Units, Monopolar/Bipolar</v>
      </c>
      <c r="GZS102" s="528" t="s">
        <v>213</v>
      </c>
      <c r="GZT102" s="529" t="str">
        <f>VLOOKUP(GZS102,[14]AssetDetails_UEM!$A$3:$AH$1849,6,FALSE)</f>
        <v>Electrosurgical Units, Monopolar/Bipolar</v>
      </c>
      <c r="GZU102" s="528" t="s">
        <v>213</v>
      </c>
      <c r="GZV102" s="529" t="str">
        <f>VLOOKUP(GZU102,[14]AssetDetails_UEM!$A$3:$AH$1849,6,FALSE)</f>
        <v>Electrosurgical Units, Monopolar/Bipolar</v>
      </c>
      <c r="GZW102" s="528" t="s">
        <v>213</v>
      </c>
      <c r="GZX102" s="529" t="str">
        <f>VLOOKUP(GZW102,[14]AssetDetails_UEM!$A$3:$AH$1849,6,FALSE)</f>
        <v>Electrosurgical Units, Monopolar/Bipolar</v>
      </c>
      <c r="GZY102" s="528" t="s">
        <v>213</v>
      </c>
      <c r="GZZ102" s="529" t="str">
        <f>VLOOKUP(GZY102,[14]AssetDetails_UEM!$A$3:$AH$1849,6,FALSE)</f>
        <v>Electrosurgical Units, Monopolar/Bipolar</v>
      </c>
      <c r="HAA102" s="528" t="s">
        <v>213</v>
      </c>
      <c r="HAB102" s="529" t="str">
        <f>VLOOKUP(HAA102,[14]AssetDetails_UEM!$A$3:$AH$1849,6,FALSE)</f>
        <v>Electrosurgical Units, Monopolar/Bipolar</v>
      </c>
      <c r="HAC102" s="528" t="s">
        <v>213</v>
      </c>
      <c r="HAD102" s="529" t="str">
        <f>VLOOKUP(HAC102,[14]AssetDetails_UEM!$A$3:$AH$1849,6,FALSE)</f>
        <v>Electrosurgical Units, Monopolar/Bipolar</v>
      </c>
      <c r="HAE102" s="528" t="s">
        <v>213</v>
      </c>
      <c r="HAF102" s="529" t="str">
        <f>VLOOKUP(HAE102,[14]AssetDetails_UEM!$A$3:$AH$1849,6,FALSE)</f>
        <v>Electrosurgical Units, Monopolar/Bipolar</v>
      </c>
      <c r="HAG102" s="528" t="s">
        <v>213</v>
      </c>
      <c r="HAH102" s="529" t="str">
        <f>VLOOKUP(HAG102,[14]AssetDetails_UEM!$A$3:$AH$1849,6,FALSE)</f>
        <v>Electrosurgical Units, Monopolar/Bipolar</v>
      </c>
      <c r="HAI102" s="528" t="s">
        <v>213</v>
      </c>
      <c r="HAJ102" s="529" t="str">
        <f>VLOOKUP(HAI102,[14]AssetDetails_UEM!$A$3:$AH$1849,6,FALSE)</f>
        <v>Electrosurgical Units, Monopolar/Bipolar</v>
      </c>
      <c r="HAK102" s="528" t="s">
        <v>213</v>
      </c>
      <c r="HAL102" s="529" t="str">
        <f>VLOOKUP(HAK102,[14]AssetDetails_UEM!$A$3:$AH$1849,6,FALSE)</f>
        <v>Electrosurgical Units, Monopolar/Bipolar</v>
      </c>
      <c r="HAM102" s="528" t="s">
        <v>213</v>
      </c>
      <c r="HAN102" s="529" t="str">
        <f>VLOOKUP(HAM102,[14]AssetDetails_UEM!$A$3:$AH$1849,6,FALSE)</f>
        <v>Electrosurgical Units, Monopolar/Bipolar</v>
      </c>
      <c r="HAO102" s="528" t="s">
        <v>213</v>
      </c>
      <c r="HAP102" s="529" t="str">
        <f>VLOOKUP(HAO102,[14]AssetDetails_UEM!$A$3:$AH$1849,6,FALSE)</f>
        <v>Electrosurgical Units, Monopolar/Bipolar</v>
      </c>
      <c r="HAQ102" s="528" t="s">
        <v>213</v>
      </c>
      <c r="HAR102" s="529" t="str">
        <f>VLOOKUP(HAQ102,[14]AssetDetails_UEM!$A$3:$AH$1849,6,FALSE)</f>
        <v>Electrosurgical Units, Monopolar/Bipolar</v>
      </c>
      <c r="HAS102" s="528" t="s">
        <v>213</v>
      </c>
      <c r="HAT102" s="529" t="str">
        <f>VLOOKUP(HAS102,[14]AssetDetails_UEM!$A$3:$AH$1849,6,FALSE)</f>
        <v>Electrosurgical Units, Monopolar/Bipolar</v>
      </c>
      <c r="HAU102" s="528" t="s">
        <v>213</v>
      </c>
      <c r="HAV102" s="529" t="str">
        <f>VLOOKUP(HAU102,[14]AssetDetails_UEM!$A$3:$AH$1849,6,FALSE)</f>
        <v>Electrosurgical Units, Monopolar/Bipolar</v>
      </c>
      <c r="HAW102" s="528" t="s">
        <v>213</v>
      </c>
      <c r="HAX102" s="529" t="str">
        <f>VLOOKUP(HAW102,[14]AssetDetails_UEM!$A$3:$AH$1849,6,FALSE)</f>
        <v>Electrosurgical Units, Monopolar/Bipolar</v>
      </c>
      <c r="HAY102" s="528" t="s">
        <v>213</v>
      </c>
      <c r="HAZ102" s="529" t="str">
        <f>VLOOKUP(HAY102,[14]AssetDetails_UEM!$A$3:$AH$1849,6,FALSE)</f>
        <v>Electrosurgical Units, Monopolar/Bipolar</v>
      </c>
      <c r="HBA102" s="528" t="s">
        <v>213</v>
      </c>
      <c r="HBB102" s="529" t="str">
        <f>VLOOKUP(HBA102,[14]AssetDetails_UEM!$A$3:$AH$1849,6,FALSE)</f>
        <v>Electrosurgical Units, Monopolar/Bipolar</v>
      </c>
      <c r="HBC102" s="528" t="s">
        <v>213</v>
      </c>
      <c r="HBD102" s="529" t="str">
        <f>VLOOKUP(HBC102,[14]AssetDetails_UEM!$A$3:$AH$1849,6,FALSE)</f>
        <v>Electrosurgical Units, Monopolar/Bipolar</v>
      </c>
      <c r="HBE102" s="528" t="s">
        <v>213</v>
      </c>
      <c r="HBF102" s="529" t="str">
        <f>VLOOKUP(HBE102,[14]AssetDetails_UEM!$A$3:$AH$1849,6,FALSE)</f>
        <v>Electrosurgical Units, Monopolar/Bipolar</v>
      </c>
      <c r="HBG102" s="528" t="s">
        <v>213</v>
      </c>
      <c r="HBH102" s="529" t="str">
        <f>VLOOKUP(HBG102,[14]AssetDetails_UEM!$A$3:$AH$1849,6,FALSE)</f>
        <v>Electrosurgical Units, Monopolar/Bipolar</v>
      </c>
      <c r="HBI102" s="528" t="s">
        <v>213</v>
      </c>
      <c r="HBJ102" s="529" t="str">
        <f>VLOOKUP(HBI102,[14]AssetDetails_UEM!$A$3:$AH$1849,6,FALSE)</f>
        <v>Electrosurgical Units, Monopolar/Bipolar</v>
      </c>
      <c r="HBK102" s="528" t="s">
        <v>213</v>
      </c>
      <c r="HBL102" s="529" t="str">
        <f>VLOOKUP(HBK102,[14]AssetDetails_UEM!$A$3:$AH$1849,6,FALSE)</f>
        <v>Electrosurgical Units, Monopolar/Bipolar</v>
      </c>
      <c r="HBM102" s="528" t="s">
        <v>213</v>
      </c>
      <c r="HBN102" s="529" t="str">
        <f>VLOOKUP(HBM102,[14]AssetDetails_UEM!$A$3:$AH$1849,6,FALSE)</f>
        <v>Electrosurgical Units, Monopolar/Bipolar</v>
      </c>
      <c r="HBO102" s="528" t="s">
        <v>213</v>
      </c>
      <c r="HBP102" s="529" t="str">
        <f>VLOOKUP(HBO102,[14]AssetDetails_UEM!$A$3:$AH$1849,6,FALSE)</f>
        <v>Electrosurgical Units, Monopolar/Bipolar</v>
      </c>
      <c r="HBQ102" s="528" t="s">
        <v>213</v>
      </c>
      <c r="HBR102" s="529" t="str">
        <f>VLOOKUP(HBQ102,[14]AssetDetails_UEM!$A$3:$AH$1849,6,FALSE)</f>
        <v>Electrosurgical Units, Monopolar/Bipolar</v>
      </c>
      <c r="HBS102" s="528" t="s">
        <v>213</v>
      </c>
      <c r="HBT102" s="529" t="str">
        <f>VLOOKUP(HBS102,[14]AssetDetails_UEM!$A$3:$AH$1849,6,FALSE)</f>
        <v>Electrosurgical Units, Monopolar/Bipolar</v>
      </c>
      <c r="HBU102" s="528" t="s">
        <v>213</v>
      </c>
      <c r="HBV102" s="529" t="str">
        <f>VLOOKUP(HBU102,[14]AssetDetails_UEM!$A$3:$AH$1849,6,FALSE)</f>
        <v>Electrosurgical Units, Monopolar/Bipolar</v>
      </c>
      <c r="HBW102" s="528" t="s">
        <v>213</v>
      </c>
      <c r="HBX102" s="529" t="str">
        <f>VLOOKUP(HBW102,[14]AssetDetails_UEM!$A$3:$AH$1849,6,FALSE)</f>
        <v>Electrosurgical Units, Monopolar/Bipolar</v>
      </c>
      <c r="HBY102" s="528" t="s">
        <v>213</v>
      </c>
      <c r="HBZ102" s="529" t="str">
        <f>VLOOKUP(HBY102,[14]AssetDetails_UEM!$A$3:$AH$1849,6,FALSE)</f>
        <v>Electrosurgical Units, Monopolar/Bipolar</v>
      </c>
      <c r="HCA102" s="528" t="s">
        <v>213</v>
      </c>
      <c r="HCB102" s="529" t="str">
        <f>VLOOKUP(HCA102,[14]AssetDetails_UEM!$A$3:$AH$1849,6,FALSE)</f>
        <v>Electrosurgical Units, Monopolar/Bipolar</v>
      </c>
      <c r="HCC102" s="528" t="s">
        <v>213</v>
      </c>
      <c r="HCD102" s="529" t="str">
        <f>VLOOKUP(HCC102,[14]AssetDetails_UEM!$A$3:$AH$1849,6,FALSE)</f>
        <v>Electrosurgical Units, Monopolar/Bipolar</v>
      </c>
      <c r="HCE102" s="528" t="s">
        <v>213</v>
      </c>
      <c r="HCF102" s="529" t="str">
        <f>VLOOKUP(HCE102,[14]AssetDetails_UEM!$A$3:$AH$1849,6,FALSE)</f>
        <v>Electrosurgical Units, Monopolar/Bipolar</v>
      </c>
      <c r="HCG102" s="528" t="s">
        <v>213</v>
      </c>
      <c r="HCH102" s="529" t="str">
        <f>VLOOKUP(HCG102,[14]AssetDetails_UEM!$A$3:$AH$1849,6,FALSE)</f>
        <v>Electrosurgical Units, Monopolar/Bipolar</v>
      </c>
      <c r="HCI102" s="528" t="s">
        <v>213</v>
      </c>
      <c r="HCJ102" s="529" t="str">
        <f>VLOOKUP(HCI102,[14]AssetDetails_UEM!$A$3:$AH$1849,6,FALSE)</f>
        <v>Electrosurgical Units, Monopolar/Bipolar</v>
      </c>
      <c r="HCK102" s="528" t="s">
        <v>213</v>
      </c>
      <c r="HCL102" s="529" t="str">
        <f>VLOOKUP(HCK102,[14]AssetDetails_UEM!$A$3:$AH$1849,6,FALSE)</f>
        <v>Electrosurgical Units, Monopolar/Bipolar</v>
      </c>
      <c r="HCM102" s="528" t="s">
        <v>213</v>
      </c>
      <c r="HCN102" s="529" t="str">
        <f>VLOOKUP(HCM102,[14]AssetDetails_UEM!$A$3:$AH$1849,6,FALSE)</f>
        <v>Electrosurgical Units, Monopolar/Bipolar</v>
      </c>
      <c r="HCO102" s="528" t="s">
        <v>213</v>
      </c>
      <c r="HCP102" s="529" t="str">
        <f>VLOOKUP(HCO102,[14]AssetDetails_UEM!$A$3:$AH$1849,6,FALSE)</f>
        <v>Electrosurgical Units, Monopolar/Bipolar</v>
      </c>
      <c r="HCQ102" s="528" t="s">
        <v>213</v>
      </c>
      <c r="HCR102" s="529" t="str">
        <f>VLOOKUP(HCQ102,[14]AssetDetails_UEM!$A$3:$AH$1849,6,FALSE)</f>
        <v>Electrosurgical Units, Monopolar/Bipolar</v>
      </c>
      <c r="HCS102" s="528" t="s">
        <v>213</v>
      </c>
      <c r="HCT102" s="529" t="str">
        <f>VLOOKUP(HCS102,[14]AssetDetails_UEM!$A$3:$AH$1849,6,FALSE)</f>
        <v>Electrosurgical Units, Monopolar/Bipolar</v>
      </c>
      <c r="HCU102" s="528" t="s">
        <v>213</v>
      </c>
      <c r="HCV102" s="529" t="str">
        <f>VLOOKUP(HCU102,[14]AssetDetails_UEM!$A$3:$AH$1849,6,FALSE)</f>
        <v>Electrosurgical Units, Monopolar/Bipolar</v>
      </c>
      <c r="HCW102" s="528" t="s">
        <v>213</v>
      </c>
      <c r="HCX102" s="529" t="str">
        <f>VLOOKUP(HCW102,[14]AssetDetails_UEM!$A$3:$AH$1849,6,FALSE)</f>
        <v>Electrosurgical Units, Monopolar/Bipolar</v>
      </c>
      <c r="HCY102" s="528" t="s">
        <v>213</v>
      </c>
      <c r="HCZ102" s="529" t="str">
        <f>VLOOKUP(HCY102,[14]AssetDetails_UEM!$A$3:$AH$1849,6,FALSE)</f>
        <v>Electrosurgical Units, Monopolar/Bipolar</v>
      </c>
      <c r="HDA102" s="528" t="s">
        <v>213</v>
      </c>
      <c r="HDB102" s="529" t="str">
        <f>VLOOKUP(HDA102,[14]AssetDetails_UEM!$A$3:$AH$1849,6,FALSE)</f>
        <v>Electrosurgical Units, Monopolar/Bipolar</v>
      </c>
      <c r="HDC102" s="528" t="s">
        <v>213</v>
      </c>
      <c r="HDD102" s="529" t="str">
        <f>VLOOKUP(HDC102,[14]AssetDetails_UEM!$A$3:$AH$1849,6,FALSE)</f>
        <v>Electrosurgical Units, Monopolar/Bipolar</v>
      </c>
      <c r="HDE102" s="528" t="s">
        <v>213</v>
      </c>
      <c r="HDF102" s="529" t="str">
        <f>VLOOKUP(HDE102,[14]AssetDetails_UEM!$A$3:$AH$1849,6,FALSE)</f>
        <v>Electrosurgical Units, Monopolar/Bipolar</v>
      </c>
      <c r="HDG102" s="528" t="s">
        <v>213</v>
      </c>
      <c r="HDH102" s="529" t="str">
        <f>VLOOKUP(HDG102,[14]AssetDetails_UEM!$A$3:$AH$1849,6,FALSE)</f>
        <v>Electrosurgical Units, Monopolar/Bipolar</v>
      </c>
      <c r="HDI102" s="528" t="s">
        <v>213</v>
      </c>
      <c r="HDJ102" s="529" t="str">
        <f>VLOOKUP(HDI102,[14]AssetDetails_UEM!$A$3:$AH$1849,6,FALSE)</f>
        <v>Electrosurgical Units, Monopolar/Bipolar</v>
      </c>
      <c r="HDK102" s="528" t="s">
        <v>213</v>
      </c>
      <c r="HDL102" s="529" t="str">
        <f>VLOOKUP(HDK102,[14]AssetDetails_UEM!$A$3:$AH$1849,6,FALSE)</f>
        <v>Electrosurgical Units, Monopolar/Bipolar</v>
      </c>
      <c r="HDM102" s="528" t="s">
        <v>213</v>
      </c>
      <c r="HDN102" s="529" t="str">
        <f>VLOOKUP(HDM102,[14]AssetDetails_UEM!$A$3:$AH$1849,6,FALSE)</f>
        <v>Electrosurgical Units, Monopolar/Bipolar</v>
      </c>
      <c r="HDO102" s="528" t="s">
        <v>213</v>
      </c>
      <c r="HDP102" s="529" t="str">
        <f>VLOOKUP(HDO102,[14]AssetDetails_UEM!$A$3:$AH$1849,6,FALSE)</f>
        <v>Electrosurgical Units, Monopolar/Bipolar</v>
      </c>
      <c r="HDQ102" s="528" t="s">
        <v>213</v>
      </c>
      <c r="HDR102" s="529" t="str">
        <f>VLOOKUP(HDQ102,[14]AssetDetails_UEM!$A$3:$AH$1849,6,FALSE)</f>
        <v>Electrosurgical Units, Monopolar/Bipolar</v>
      </c>
      <c r="HDS102" s="528" t="s">
        <v>213</v>
      </c>
      <c r="HDT102" s="529" t="str">
        <f>VLOOKUP(HDS102,[14]AssetDetails_UEM!$A$3:$AH$1849,6,FALSE)</f>
        <v>Electrosurgical Units, Monopolar/Bipolar</v>
      </c>
      <c r="HDU102" s="528" t="s">
        <v>213</v>
      </c>
      <c r="HDV102" s="529" t="str">
        <f>VLOOKUP(HDU102,[14]AssetDetails_UEM!$A$3:$AH$1849,6,FALSE)</f>
        <v>Electrosurgical Units, Monopolar/Bipolar</v>
      </c>
      <c r="HDW102" s="528" t="s">
        <v>213</v>
      </c>
      <c r="HDX102" s="529" t="str">
        <f>VLOOKUP(HDW102,[14]AssetDetails_UEM!$A$3:$AH$1849,6,FALSE)</f>
        <v>Electrosurgical Units, Monopolar/Bipolar</v>
      </c>
      <c r="HDY102" s="528" t="s">
        <v>213</v>
      </c>
      <c r="HDZ102" s="529" t="str">
        <f>VLOOKUP(HDY102,[14]AssetDetails_UEM!$A$3:$AH$1849,6,FALSE)</f>
        <v>Electrosurgical Units, Monopolar/Bipolar</v>
      </c>
      <c r="HEA102" s="528" t="s">
        <v>213</v>
      </c>
      <c r="HEB102" s="529" t="str">
        <f>VLOOKUP(HEA102,[14]AssetDetails_UEM!$A$3:$AH$1849,6,FALSE)</f>
        <v>Electrosurgical Units, Monopolar/Bipolar</v>
      </c>
      <c r="HEC102" s="528" t="s">
        <v>213</v>
      </c>
      <c r="HED102" s="529" t="str">
        <f>VLOOKUP(HEC102,[14]AssetDetails_UEM!$A$3:$AH$1849,6,FALSE)</f>
        <v>Electrosurgical Units, Monopolar/Bipolar</v>
      </c>
      <c r="HEE102" s="528" t="s">
        <v>213</v>
      </c>
      <c r="HEF102" s="529" t="str">
        <f>VLOOKUP(HEE102,[14]AssetDetails_UEM!$A$3:$AH$1849,6,FALSE)</f>
        <v>Electrosurgical Units, Monopolar/Bipolar</v>
      </c>
      <c r="HEG102" s="528" t="s">
        <v>213</v>
      </c>
      <c r="HEH102" s="529" t="str">
        <f>VLOOKUP(HEG102,[14]AssetDetails_UEM!$A$3:$AH$1849,6,FALSE)</f>
        <v>Electrosurgical Units, Monopolar/Bipolar</v>
      </c>
      <c r="HEI102" s="528" t="s">
        <v>213</v>
      </c>
      <c r="HEJ102" s="529" t="str">
        <f>VLOOKUP(HEI102,[14]AssetDetails_UEM!$A$3:$AH$1849,6,FALSE)</f>
        <v>Electrosurgical Units, Monopolar/Bipolar</v>
      </c>
      <c r="HEK102" s="528" t="s">
        <v>213</v>
      </c>
      <c r="HEL102" s="529" t="str">
        <f>VLOOKUP(HEK102,[14]AssetDetails_UEM!$A$3:$AH$1849,6,FALSE)</f>
        <v>Electrosurgical Units, Monopolar/Bipolar</v>
      </c>
      <c r="HEM102" s="528" t="s">
        <v>213</v>
      </c>
      <c r="HEN102" s="529" t="str">
        <f>VLOOKUP(HEM102,[14]AssetDetails_UEM!$A$3:$AH$1849,6,FALSE)</f>
        <v>Electrosurgical Units, Monopolar/Bipolar</v>
      </c>
      <c r="HEO102" s="528" t="s">
        <v>213</v>
      </c>
      <c r="HEP102" s="529" t="str">
        <f>VLOOKUP(HEO102,[14]AssetDetails_UEM!$A$3:$AH$1849,6,FALSE)</f>
        <v>Electrosurgical Units, Monopolar/Bipolar</v>
      </c>
      <c r="HEQ102" s="528" t="s">
        <v>213</v>
      </c>
      <c r="HER102" s="529" t="str">
        <f>VLOOKUP(HEQ102,[14]AssetDetails_UEM!$A$3:$AH$1849,6,FALSE)</f>
        <v>Electrosurgical Units, Monopolar/Bipolar</v>
      </c>
      <c r="HES102" s="528" t="s">
        <v>213</v>
      </c>
      <c r="HET102" s="529" t="str">
        <f>VLOOKUP(HES102,[14]AssetDetails_UEM!$A$3:$AH$1849,6,FALSE)</f>
        <v>Electrosurgical Units, Monopolar/Bipolar</v>
      </c>
      <c r="HEU102" s="528" t="s">
        <v>213</v>
      </c>
      <c r="HEV102" s="529" t="str">
        <f>VLOOKUP(HEU102,[14]AssetDetails_UEM!$A$3:$AH$1849,6,FALSE)</f>
        <v>Electrosurgical Units, Monopolar/Bipolar</v>
      </c>
      <c r="HEW102" s="528" t="s">
        <v>213</v>
      </c>
      <c r="HEX102" s="529" t="str">
        <f>VLOOKUP(HEW102,[14]AssetDetails_UEM!$A$3:$AH$1849,6,FALSE)</f>
        <v>Electrosurgical Units, Monopolar/Bipolar</v>
      </c>
      <c r="HEY102" s="528" t="s">
        <v>213</v>
      </c>
      <c r="HEZ102" s="529" t="str">
        <f>VLOOKUP(HEY102,[14]AssetDetails_UEM!$A$3:$AH$1849,6,FALSE)</f>
        <v>Electrosurgical Units, Monopolar/Bipolar</v>
      </c>
      <c r="HFA102" s="528" t="s">
        <v>213</v>
      </c>
      <c r="HFB102" s="529" t="str">
        <f>VLOOKUP(HFA102,[14]AssetDetails_UEM!$A$3:$AH$1849,6,FALSE)</f>
        <v>Electrosurgical Units, Monopolar/Bipolar</v>
      </c>
      <c r="HFC102" s="528" t="s">
        <v>213</v>
      </c>
      <c r="HFD102" s="529" t="str">
        <f>VLOOKUP(HFC102,[14]AssetDetails_UEM!$A$3:$AH$1849,6,FALSE)</f>
        <v>Electrosurgical Units, Monopolar/Bipolar</v>
      </c>
      <c r="HFE102" s="528" t="s">
        <v>213</v>
      </c>
      <c r="HFF102" s="529" t="str">
        <f>VLOOKUP(HFE102,[14]AssetDetails_UEM!$A$3:$AH$1849,6,FALSE)</f>
        <v>Electrosurgical Units, Monopolar/Bipolar</v>
      </c>
      <c r="HFG102" s="528" t="s">
        <v>213</v>
      </c>
      <c r="HFH102" s="529" t="str">
        <f>VLOOKUP(HFG102,[14]AssetDetails_UEM!$A$3:$AH$1849,6,FALSE)</f>
        <v>Electrosurgical Units, Monopolar/Bipolar</v>
      </c>
      <c r="HFI102" s="528" t="s">
        <v>213</v>
      </c>
      <c r="HFJ102" s="529" t="str">
        <f>VLOOKUP(HFI102,[14]AssetDetails_UEM!$A$3:$AH$1849,6,FALSE)</f>
        <v>Electrosurgical Units, Monopolar/Bipolar</v>
      </c>
      <c r="HFK102" s="528" t="s">
        <v>213</v>
      </c>
      <c r="HFL102" s="529" t="str">
        <f>VLOOKUP(HFK102,[14]AssetDetails_UEM!$A$3:$AH$1849,6,FALSE)</f>
        <v>Electrosurgical Units, Monopolar/Bipolar</v>
      </c>
      <c r="HFM102" s="528" t="s">
        <v>213</v>
      </c>
      <c r="HFN102" s="529" t="str">
        <f>VLOOKUP(HFM102,[14]AssetDetails_UEM!$A$3:$AH$1849,6,FALSE)</f>
        <v>Electrosurgical Units, Monopolar/Bipolar</v>
      </c>
      <c r="HFO102" s="528" t="s">
        <v>213</v>
      </c>
      <c r="HFP102" s="529" t="str">
        <f>VLOOKUP(HFO102,[14]AssetDetails_UEM!$A$3:$AH$1849,6,FALSE)</f>
        <v>Electrosurgical Units, Monopolar/Bipolar</v>
      </c>
      <c r="HFQ102" s="528" t="s">
        <v>213</v>
      </c>
      <c r="HFR102" s="529" t="str">
        <f>VLOOKUP(HFQ102,[14]AssetDetails_UEM!$A$3:$AH$1849,6,FALSE)</f>
        <v>Electrosurgical Units, Monopolar/Bipolar</v>
      </c>
      <c r="HFS102" s="528" t="s">
        <v>213</v>
      </c>
      <c r="HFT102" s="529" t="str">
        <f>VLOOKUP(HFS102,[14]AssetDetails_UEM!$A$3:$AH$1849,6,FALSE)</f>
        <v>Electrosurgical Units, Monopolar/Bipolar</v>
      </c>
      <c r="HFU102" s="528" t="s">
        <v>213</v>
      </c>
      <c r="HFV102" s="529" t="str">
        <f>VLOOKUP(HFU102,[14]AssetDetails_UEM!$A$3:$AH$1849,6,FALSE)</f>
        <v>Electrosurgical Units, Monopolar/Bipolar</v>
      </c>
      <c r="HFW102" s="528" t="s">
        <v>213</v>
      </c>
      <c r="HFX102" s="529" t="str">
        <f>VLOOKUP(HFW102,[14]AssetDetails_UEM!$A$3:$AH$1849,6,FALSE)</f>
        <v>Electrosurgical Units, Monopolar/Bipolar</v>
      </c>
      <c r="HFY102" s="528" t="s">
        <v>213</v>
      </c>
      <c r="HFZ102" s="529" t="str">
        <f>VLOOKUP(HFY102,[14]AssetDetails_UEM!$A$3:$AH$1849,6,FALSE)</f>
        <v>Electrosurgical Units, Monopolar/Bipolar</v>
      </c>
      <c r="HGA102" s="528" t="s">
        <v>213</v>
      </c>
      <c r="HGB102" s="529" t="str">
        <f>VLOOKUP(HGA102,[14]AssetDetails_UEM!$A$3:$AH$1849,6,FALSE)</f>
        <v>Electrosurgical Units, Monopolar/Bipolar</v>
      </c>
      <c r="HGC102" s="528" t="s">
        <v>213</v>
      </c>
      <c r="HGD102" s="529" t="str">
        <f>VLOOKUP(HGC102,[14]AssetDetails_UEM!$A$3:$AH$1849,6,FALSE)</f>
        <v>Electrosurgical Units, Monopolar/Bipolar</v>
      </c>
      <c r="HGE102" s="528" t="s">
        <v>213</v>
      </c>
      <c r="HGF102" s="529" t="str">
        <f>VLOOKUP(HGE102,[14]AssetDetails_UEM!$A$3:$AH$1849,6,FALSE)</f>
        <v>Electrosurgical Units, Monopolar/Bipolar</v>
      </c>
      <c r="HGG102" s="528" t="s">
        <v>213</v>
      </c>
      <c r="HGH102" s="529" t="str">
        <f>VLOOKUP(HGG102,[14]AssetDetails_UEM!$A$3:$AH$1849,6,FALSE)</f>
        <v>Electrosurgical Units, Monopolar/Bipolar</v>
      </c>
      <c r="HGI102" s="528" t="s">
        <v>213</v>
      </c>
      <c r="HGJ102" s="529" t="str">
        <f>VLOOKUP(HGI102,[14]AssetDetails_UEM!$A$3:$AH$1849,6,FALSE)</f>
        <v>Electrosurgical Units, Monopolar/Bipolar</v>
      </c>
      <c r="HGK102" s="528" t="s">
        <v>213</v>
      </c>
      <c r="HGL102" s="529" t="str">
        <f>VLOOKUP(HGK102,[14]AssetDetails_UEM!$A$3:$AH$1849,6,FALSE)</f>
        <v>Electrosurgical Units, Monopolar/Bipolar</v>
      </c>
      <c r="HGM102" s="528" t="s">
        <v>213</v>
      </c>
      <c r="HGN102" s="529" t="str">
        <f>VLOOKUP(HGM102,[14]AssetDetails_UEM!$A$3:$AH$1849,6,FALSE)</f>
        <v>Electrosurgical Units, Monopolar/Bipolar</v>
      </c>
      <c r="HGO102" s="528" t="s">
        <v>213</v>
      </c>
      <c r="HGP102" s="529" t="str">
        <f>VLOOKUP(HGO102,[14]AssetDetails_UEM!$A$3:$AH$1849,6,FALSE)</f>
        <v>Electrosurgical Units, Monopolar/Bipolar</v>
      </c>
      <c r="HGQ102" s="528" t="s">
        <v>213</v>
      </c>
      <c r="HGR102" s="529" t="str">
        <f>VLOOKUP(HGQ102,[14]AssetDetails_UEM!$A$3:$AH$1849,6,FALSE)</f>
        <v>Electrosurgical Units, Monopolar/Bipolar</v>
      </c>
      <c r="HGS102" s="528" t="s">
        <v>213</v>
      </c>
      <c r="HGT102" s="529" t="str">
        <f>VLOOKUP(HGS102,[14]AssetDetails_UEM!$A$3:$AH$1849,6,FALSE)</f>
        <v>Electrosurgical Units, Monopolar/Bipolar</v>
      </c>
      <c r="HGU102" s="528" t="s">
        <v>213</v>
      </c>
      <c r="HGV102" s="529" t="str">
        <f>VLOOKUP(HGU102,[14]AssetDetails_UEM!$A$3:$AH$1849,6,FALSE)</f>
        <v>Electrosurgical Units, Monopolar/Bipolar</v>
      </c>
      <c r="HGW102" s="528" t="s">
        <v>213</v>
      </c>
      <c r="HGX102" s="529" t="str">
        <f>VLOOKUP(HGW102,[14]AssetDetails_UEM!$A$3:$AH$1849,6,FALSE)</f>
        <v>Electrosurgical Units, Monopolar/Bipolar</v>
      </c>
      <c r="HGY102" s="528" t="s">
        <v>213</v>
      </c>
      <c r="HGZ102" s="529" t="str">
        <f>VLOOKUP(HGY102,[14]AssetDetails_UEM!$A$3:$AH$1849,6,FALSE)</f>
        <v>Electrosurgical Units, Monopolar/Bipolar</v>
      </c>
      <c r="HHA102" s="528" t="s">
        <v>213</v>
      </c>
      <c r="HHB102" s="529" t="str">
        <f>VLOOKUP(HHA102,[14]AssetDetails_UEM!$A$3:$AH$1849,6,FALSE)</f>
        <v>Electrosurgical Units, Monopolar/Bipolar</v>
      </c>
      <c r="HHC102" s="528" t="s">
        <v>213</v>
      </c>
      <c r="HHD102" s="529" t="str">
        <f>VLOOKUP(HHC102,[14]AssetDetails_UEM!$A$3:$AH$1849,6,FALSE)</f>
        <v>Electrosurgical Units, Monopolar/Bipolar</v>
      </c>
      <c r="HHE102" s="528" t="s">
        <v>213</v>
      </c>
      <c r="HHF102" s="529" t="str">
        <f>VLOOKUP(HHE102,[14]AssetDetails_UEM!$A$3:$AH$1849,6,FALSE)</f>
        <v>Electrosurgical Units, Monopolar/Bipolar</v>
      </c>
      <c r="HHG102" s="528" t="s">
        <v>213</v>
      </c>
      <c r="HHH102" s="529" t="str">
        <f>VLOOKUP(HHG102,[14]AssetDetails_UEM!$A$3:$AH$1849,6,FALSE)</f>
        <v>Electrosurgical Units, Monopolar/Bipolar</v>
      </c>
      <c r="HHI102" s="528" t="s">
        <v>213</v>
      </c>
      <c r="HHJ102" s="529" t="str">
        <f>VLOOKUP(HHI102,[14]AssetDetails_UEM!$A$3:$AH$1849,6,FALSE)</f>
        <v>Electrosurgical Units, Monopolar/Bipolar</v>
      </c>
      <c r="HHK102" s="528" t="s">
        <v>213</v>
      </c>
      <c r="HHL102" s="529" t="str">
        <f>VLOOKUP(HHK102,[14]AssetDetails_UEM!$A$3:$AH$1849,6,FALSE)</f>
        <v>Electrosurgical Units, Monopolar/Bipolar</v>
      </c>
      <c r="HHM102" s="528" t="s">
        <v>213</v>
      </c>
      <c r="HHN102" s="529" t="str">
        <f>VLOOKUP(HHM102,[14]AssetDetails_UEM!$A$3:$AH$1849,6,FALSE)</f>
        <v>Electrosurgical Units, Monopolar/Bipolar</v>
      </c>
      <c r="HHO102" s="528" t="s">
        <v>213</v>
      </c>
      <c r="HHP102" s="529" t="str">
        <f>VLOOKUP(HHO102,[14]AssetDetails_UEM!$A$3:$AH$1849,6,FALSE)</f>
        <v>Electrosurgical Units, Monopolar/Bipolar</v>
      </c>
      <c r="HHQ102" s="528" t="s">
        <v>213</v>
      </c>
      <c r="HHR102" s="529" t="str">
        <f>VLOOKUP(HHQ102,[14]AssetDetails_UEM!$A$3:$AH$1849,6,FALSE)</f>
        <v>Electrosurgical Units, Monopolar/Bipolar</v>
      </c>
      <c r="HHS102" s="528" t="s">
        <v>213</v>
      </c>
      <c r="HHT102" s="529" t="str">
        <f>VLOOKUP(HHS102,[14]AssetDetails_UEM!$A$3:$AH$1849,6,FALSE)</f>
        <v>Electrosurgical Units, Monopolar/Bipolar</v>
      </c>
      <c r="HHU102" s="528" t="s">
        <v>213</v>
      </c>
      <c r="HHV102" s="529" t="str">
        <f>VLOOKUP(HHU102,[14]AssetDetails_UEM!$A$3:$AH$1849,6,FALSE)</f>
        <v>Electrosurgical Units, Monopolar/Bipolar</v>
      </c>
      <c r="HHW102" s="528" t="s">
        <v>213</v>
      </c>
      <c r="HHX102" s="529" t="str">
        <f>VLOOKUP(HHW102,[14]AssetDetails_UEM!$A$3:$AH$1849,6,FALSE)</f>
        <v>Electrosurgical Units, Monopolar/Bipolar</v>
      </c>
      <c r="HHY102" s="528" t="s">
        <v>213</v>
      </c>
      <c r="HHZ102" s="529" t="str">
        <f>VLOOKUP(HHY102,[14]AssetDetails_UEM!$A$3:$AH$1849,6,FALSE)</f>
        <v>Electrosurgical Units, Monopolar/Bipolar</v>
      </c>
      <c r="HIA102" s="528" t="s">
        <v>213</v>
      </c>
      <c r="HIB102" s="529" t="str">
        <f>VLOOKUP(HIA102,[14]AssetDetails_UEM!$A$3:$AH$1849,6,FALSE)</f>
        <v>Electrosurgical Units, Monopolar/Bipolar</v>
      </c>
      <c r="HIC102" s="528" t="s">
        <v>213</v>
      </c>
      <c r="HID102" s="529" t="str">
        <f>VLOOKUP(HIC102,[14]AssetDetails_UEM!$A$3:$AH$1849,6,FALSE)</f>
        <v>Electrosurgical Units, Monopolar/Bipolar</v>
      </c>
      <c r="HIE102" s="528" t="s">
        <v>213</v>
      </c>
      <c r="HIF102" s="529" t="str">
        <f>VLOOKUP(HIE102,[14]AssetDetails_UEM!$A$3:$AH$1849,6,FALSE)</f>
        <v>Electrosurgical Units, Monopolar/Bipolar</v>
      </c>
      <c r="HIG102" s="528" t="s">
        <v>213</v>
      </c>
      <c r="HIH102" s="529" t="str">
        <f>VLOOKUP(HIG102,[14]AssetDetails_UEM!$A$3:$AH$1849,6,FALSE)</f>
        <v>Electrosurgical Units, Monopolar/Bipolar</v>
      </c>
      <c r="HII102" s="528" t="s">
        <v>213</v>
      </c>
      <c r="HIJ102" s="529" t="str">
        <f>VLOOKUP(HII102,[14]AssetDetails_UEM!$A$3:$AH$1849,6,FALSE)</f>
        <v>Electrosurgical Units, Monopolar/Bipolar</v>
      </c>
      <c r="HIK102" s="528" t="s">
        <v>213</v>
      </c>
      <c r="HIL102" s="529" t="str">
        <f>VLOOKUP(HIK102,[14]AssetDetails_UEM!$A$3:$AH$1849,6,FALSE)</f>
        <v>Electrosurgical Units, Monopolar/Bipolar</v>
      </c>
      <c r="HIM102" s="528" t="s">
        <v>213</v>
      </c>
      <c r="HIN102" s="529" t="str">
        <f>VLOOKUP(HIM102,[14]AssetDetails_UEM!$A$3:$AH$1849,6,FALSE)</f>
        <v>Electrosurgical Units, Monopolar/Bipolar</v>
      </c>
      <c r="HIO102" s="528" t="s">
        <v>213</v>
      </c>
      <c r="HIP102" s="529" t="str">
        <f>VLOOKUP(HIO102,[14]AssetDetails_UEM!$A$3:$AH$1849,6,FALSE)</f>
        <v>Electrosurgical Units, Monopolar/Bipolar</v>
      </c>
      <c r="HIQ102" s="528" t="s">
        <v>213</v>
      </c>
      <c r="HIR102" s="529" t="str">
        <f>VLOOKUP(HIQ102,[14]AssetDetails_UEM!$A$3:$AH$1849,6,FALSE)</f>
        <v>Electrosurgical Units, Monopolar/Bipolar</v>
      </c>
      <c r="HIS102" s="528" t="s">
        <v>213</v>
      </c>
      <c r="HIT102" s="529" t="str">
        <f>VLOOKUP(HIS102,[14]AssetDetails_UEM!$A$3:$AH$1849,6,FALSE)</f>
        <v>Electrosurgical Units, Monopolar/Bipolar</v>
      </c>
      <c r="HIU102" s="528" t="s">
        <v>213</v>
      </c>
      <c r="HIV102" s="529" t="str">
        <f>VLOOKUP(HIU102,[14]AssetDetails_UEM!$A$3:$AH$1849,6,FALSE)</f>
        <v>Electrosurgical Units, Monopolar/Bipolar</v>
      </c>
      <c r="HIW102" s="528" t="s">
        <v>213</v>
      </c>
      <c r="HIX102" s="529" t="str">
        <f>VLOOKUP(HIW102,[14]AssetDetails_UEM!$A$3:$AH$1849,6,FALSE)</f>
        <v>Electrosurgical Units, Monopolar/Bipolar</v>
      </c>
      <c r="HIY102" s="528" t="s">
        <v>213</v>
      </c>
      <c r="HIZ102" s="529" t="str">
        <f>VLOOKUP(HIY102,[14]AssetDetails_UEM!$A$3:$AH$1849,6,FALSE)</f>
        <v>Electrosurgical Units, Monopolar/Bipolar</v>
      </c>
      <c r="HJA102" s="528" t="s">
        <v>213</v>
      </c>
      <c r="HJB102" s="529" t="str">
        <f>VLOOKUP(HJA102,[14]AssetDetails_UEM!$A$3:$AH$1849,6,FALSE)</f>
        <v>Electrosurgical Units, Monopolar/Bipolar</v>
      </c>
      <c r="HJC102" s="528" t="s">
        <v>213</v>
      </c>
      <c r="HJD102" s="529" t="str">
        <f>VLOOKUP(HJC102,[14]AssetDetails_UEM!$A$3:$AH$1849,6,FALSE)</f>
        <v>Electrosurgical Units, Monopolar/Bipolar</v>
      </c>
      <c r="HJE102" s="528" t="s">
        <v>213</v>
      </c>
      <c r="HJF102" s="529" t="str">
        <f>VLOOKUP(HJE102,[14]AssetDetails_UEM!$A$3:$AH$1849,6,FALSE)</f>
        <v>Electrosurgical Units, Monopolar/Bipolar</v>
      </c>
      <c r="HJG102" s="528" t="s">
        <v>213</v>
      </c>
      <c r="HJH102" s="529" t="str">
        <f>VLOOKUP(HJG102,[14]AssetDetails_UEM!$A$3:$AH$1849,6,FALSE)</f>
        <v>Electrosurgical Units, Monopolar/Bipolar</v>
      </c>
      <c r="HJI102" s="528" t="s">
        <v>213</v>
      </c>
      <c r="HJJ102" s="529" t="str">
        <f>VLOOKUP(HJI102,[14]AssetDetails_UEM!$A$3:$AH$1849,6,FALSE)</f>
        <v>Electrosurgical Units, Monopolar/Bipolar</v>
      </c>
      <c r="HJK102" s="528" t="s">
        <v>213</v>
      </c>
      <c r="HJL102" s="529" t="str">
        <f>VLOOKUP(HJK102,[14]AssetDetails_UEM!$A$3:$AH$1849,6,FALSE)</f>
        <v>Electrosurgical Units, Monopolar/Bipolar</v>
      </c>
      <c r="HJM102" s="528" t="s">
        <v>213</v>
      </c>
      <c r="HJN102" s="529" t="str">
        <f>VLOOKUP(HJM102,[14]AssetDetails_UEM!$A$3:$AH$1849,6,FALSE)</f>
        <v>Electrosurgical Units, Monopolar/Bipolar</v>
      </c>
      <c r="HJO102" s="528" t="s">
        <v>213</v>
      </c>
      <c r="HJP102" s="529" t="str">
        <f>VLOOKUP(HJO102,[14]AssetDetails_UEM!$A$3:$AH$1849,6,FALSE)</f>
        <v>Electrosurgical Units, Monopolar/Bipolar</v>
      </c>
      <c r="HJQ102" s="528" t="s">
        <v>213</v>
      </c>
      <c r="HJR102" s="529" t="str">
        <f>VLOOKUP(HJQ102,[14]AssetDetails_UEM!$A$3:$AH$1849,6,FALSE)</f>
        <v>Electrosurgical Units, Monopolar/Bipolar</v>
      </c>
      <c r="HJS102" s="528" t="s">
        <v>213</v>
      </c>
      <c r="HJT102" s="529" t="str">
        <f>VLOOKUP(HJS102,[14]AssetDetails_UEM!$A$3:$AH$1849,6,FALSE)</f>
        <v>Electrosurgical Units, Monopolar/Bipolar</v>
      </c>
      <c r="HJU102" s="528" t="s">
        <v>213</v>
      </c>
      <c r="HJV102" s="529" t="str">
        <f>VLOOKUP(HJU102,[14]AssetDetails_UEM!$A$3:$AH$1849,6,FALSE)</f>
        <v>Electrosurgical Units, Monopolar/Bipolar</v>
      </c>
      <c r="HJW102" s="528" t="s">
        <v>213</v>
      </c>
      <c r="HJX102" s="529" t="str">
        <f>VLOOKUP(HJW102,[14]AssetDetails_UEM!$A$3:$AH$1849,6,FALSE)</f>
        <v>Electrosurgical Units, Monopolar/Bipolar</v>
      </c>
      <c r="HJY102" s="528" t="s">
        <v>213</v>
      </c>
      <c r="HJZ102" s="529" t="str">
        <f>VLOOKUP(HJY102,[14]AssetDetails_UEM!$A$3:$AH$1849,6,FALSE)</f>
        <v>Electrosurgical Units, Monopolar/Bipolar</v>
      </c>
      <c r="HKA102" s="528" t="s">
        <v>213</v>
      </c>
      <c r="HKB102" s="529" t="str">
        <f>VLOOKUP(HKA102,[14]AssetDetails_UEM!$A$3:$AH$1849,6,FALSE)</f>
        <v>Electrosurgical Units, Monopolar/Bipolar</v>
      </c>
      <c r="HKC102" s="528" t="s">
        <v>213</v>
      </c>
      <c r="HKD102" s="529" t="str">
        <f>VLOOKUP(HKC102,[14]AssetDetails_UEM!$A$3:$AH$1849,6,FALSE)</f>
        <v>Electrosurgical Units, Monopolar/Bipolar</v>
      </c>
      <c r="HKE102" s="528" t="s">
        <v>213</v>
      </c>
      <c r="HKF102" s="529" t="str">
        <f>VLOOKUP(HKE102,[14]AssetDetails_UEM!$A$3:$AH$1849,6,FALSE)</f>
        <v>Electrosurgical Units, Monopolar/Bipolar</v>
      </c>
      <c r="HKG102" s="528" t="s">
        <v>213</v>
      </c>
      <c r="HKH102" s="529" t="str">
        <f>VLOOKUP(HKG102,[14]AssetDetails_UEM!$A$3:$AH$1849,6,FALSE)</f>
        <v>Electrosurgical Units, Monopolar/Bipolar</v>
      </c>
      <c r="HKI102" s="528" t="s">
        <v>213</v>
      </c>
      <c r="HKJ102" s="529" t="str">
        <f>VLOOKUP(HKI102,[14]AssetDetails_UEM!$A$3:$AH$1849,6,FALSE)</f>
        <v>Electrosurgical Units, Monopolar/Bipolar</v>
      </c>
      <c r="HKK102" s="528" t="s">
        <v>213</v>
      </c>
      <c r="HKL102" s="529" t="str">
        <f>VLOOKUP(HKK102,[14]AssetDetails_UEM!$A$3:$AH$1849,6,FALSE)</f>
        <v>Electrosurgical Units, Monopolar/Bipolar</v>
      </c>
      <c r="HKM102" s="528" t="s">
        <v>213</v>
      </c>
      <c r="HKN102" s="529" t="str">
        <f>VLOOKUP(HKM102,[14]AssetDetails_UEM!$A$3:$AH$1849,6,FALSE)</f>
        <v>Electrosurgical Units, Monopolar/Bipolar</v>
      </c>
      <c r="HKO102" s="528" t="s">
        <v>213</v>
      </c>
      <c r="HKP102" s="529" t="str">
        <f>VLOOKUP(HKO102,[14]AssetDetails_UEM!$A$3:$AH$1849,6,FALSE)</f>
        <v>Electrosurgical Units, Monopolar/Bipolar</v>
      </c>
      <c r="HKQ102" s="528" t="s">
        <v>213</v>
      </c>
      <c r="HKR102" s="529" t="str">
        <f>VLOOKUP(HKQ102,[14]AssetDetails_UEM!$A$3:$AH$1849,6,FALSE)</f>
        <v>Electrosurgical Units, Monopolar/Bipolar</v>
      </c>
      <c r="HKS102" s="528" t="s">
        <v>213</v>
      </c>
      <c r="HKT102" s="529" t="str">
        <f>VLOOKUP(HKS102,[14]AssetDetails_UEM!$A$3:$AH$1849,6,FALSE)</f>
        <v>Electrosurgical Units, Monopolar/Bipolar</v>
      </c>
      <c r="HKU102" s="528" t="s">
        <v>213</v>
      </c>
      <c r="HKV102" s="529" t="str">
        <f>VLOOKUP(HKU102,[14]AssetDetails_UEM!$A$3:$AH$1849,6,FALSE)</f>
        <v>Electrosurgical Units, Monopolar/Bipolar</v>
      </c>
      <c r="HKW102" s="528" t="s">
        <v>213</v>
      </c>
      <c r="HKX102" s="529" t="str">
        <f>VLOOKUP(HKW102,[14]AssetDetails_UEM!$A$3:$AH$1849,6,FALSE)</f>
        <v>Electrosurgical Units, Monopolar/Bipolar</v>
      </c>
      <c r="HKY102" s="528" t="s">
        <v>213</v>
      </c>
      <c r="HKZ102" s="529" t="str">
        <f>VLOOKUP(HKY102,[14]AssetDetails_UEM!$A$3:$AH$1849,6,FALSE)</f>
        <v>Electrosurgical Units, Monopolar/Bipolar</v>
      </c>
      <c r="HLA102" s="528" t="s">
        <v>213</v>
      </c>
      <c r="HLB102" s="529" t="str">
        <f>VLOOKUP(HLA102,[14]AssetDetails_UEM!$A$3:$AH$1849,6,FALSE)</f>
        <v>Electrosurgical Units, Monopolar/Bipolar</v>
      </c>
      <c r="HLC102" s="528" t="s">
        <v>213</v>
      </c>
      <c r="HLD102" s="529" t="str">
        <f>VLOOKUP(HLC102,[14]AssetDetails_UEM!$A$3:$AH$1849,6,FALSE)</f>
        <v>Electrosurgical Units, Monopolar/Bipolar</v>
      </c>
      <c r="HLE102" s="528" t="s">
        <v>213</v>
      </c>
      <c r="HLF102" s="529" t="str">
        <f>VLOOKUP(HLE102,[14]AssetDetails_UEM!$A$3:$AH$1849,6,FALSE)</f>
        <v>Electrosurgical Units, Monopolar/Bipolar</v>
      </c>
      <c r="HLG102" s="528" t="s">
        <v>213</v>
      </c>
      <c r="HLH102" s="529" t="str">
        <f>VLOOKUP(HLG102,[14]AssetDetails_UEM!$A$3:$AH$1849,6,FALSE)</f>
        <v>Electrosurgical Units, Monopolar/Bipolar</v>
      </c>
      <c r="HLI102" s="528" t="s">
        <v>213</v>
      </c>
      <c r="HLJ102" s="529" t="str">
        <f>VLOOKUP(HLI102,[14]AssetDetails_UEM!$A$3:$AH$1849,6,FALSE)</f>
        <v>Electrosurgical Units, Monopolar/Bipolar</v>
      </c>
      <c r="HLK102" s="528" t="s">
        <v>213</v>
      </c>
      <c r="HLL102" s="529" t="str">
        <f>VLOOKUP(HLK102,[14]AssetDetails_UEM!$A$3:$AH$1849,6,FALSE)</f>
        <v>Electrosurgical Units, Monopolar/Bipolar</v>
      </c>
      <c r="HLM102" s="528" t="s">
        <v>213</v>
      </c>
      <c r="HLN102" s="529" t="str">
        <f>VLOOKUP(HLM102,[14]AssetDetails_UEM!$A$3:$AH$1849,6,FALSE)</f>
        <v>Electrosurgical Units, Monopolar/Bipolar</v>
      </c>
      <c r="HLO102" s="528" t="s">
        <v>213</v>
      </c>
      <c r="HLP102" s="529" t="str">
        <f>VLOOKUP(HLO102,[14]AssetDetails_UEM!$A$3:$AH$1849,6,FALSE)</f>
        <v>Electrosurgical Units, Monopolar/Bipolar</v>
      </c>
      <c r="HLQ102" s="528" t="s">
        <v>213</v>
      </c>
      <c r="HLR102" s="529" t="str">
        <f>VLOOKUP(HLQ102,[14]AssetDetails_UEM!$A$3:$AH$1849,6,FALSE)</f>
        <v>Electrosurgical Units, Monopolar/Bipolar</v>
      </c>
      <c r="HLS102" s="528" t="s">
        <v>213</v>
      </c>
      <c r="HLT102" s="529" t="str">
        <f>VLOOKUP(HLS102,[14]AssetDetails_UEM!$A$3:$AH$1849,6,FALSE)</f>
        <v>Electrosurgical Units, Monopolar/Bipolar</v>
      </c>
      <c r="HLU102" s="528" t="s">
        <v>213</v>
      </c>
      <c r="HLV102" s="529" t="str">
        <f>VLOOKUP(HLU102,[14]AssetDetails_UEM!$A$3:$AH$1849,6,FALSE)</f>
        <v>Electrosurgical Units, Monopolar/Bipolar</v>
      </c>
      <c r="HLW102" s="528" t="s">
        <v>213</v>
      </c>
      <c r="HLX102" s="529" t="str">
        <f>VLOOKUP(HLW102,[14]AssetDetails_UEM!$A$3:$AH$1849,6,FALSE)</f>
        <v>Electrosurgical Units, Monopolar/Bipolar</v>
      </c>
      <c r="HLY102" s="528" t="s">
        <v>213</v>
      </c>
      <c r="HLZ102" s="529" t="str">
        <f>VLOOKUP(HLY102,[14]AssetDetails_UEM!$A$3:$AH$1849,6,FALSE)</f>
        <v>Electrosurgical Units, Monopolar/Bipolar</v>
      </c>
      <c r="HMA102" s="528" t="s">
        <v>213</v>
      </c>
      <c r="HMB102" s="529" t="str">
        <f>VLOOKUP(HMA102,[14]AssetDetails_UEM!$A$3:$AH$1849,6,FALSE)</f>
        <v>Electrosurgical Units, Monopolar/Bipolar</v>
      </c>
      <c r="HMC102" s="528" t="s">
        <v>213</v>
      </c>
      <c r="HMD102" s="529" t="str">
        <f>VLOOKUP(HMC102,[14]AssetDetails_UEM!$A$3:$AH$1849,6,FALSE)</f>
        <v>Electrosurgical Units, Monopolar/Bipolar</v>
      </c>
      <c r="HME102" s="528" t="s">
        <v>213</v>
      </c>
      <c r="HMF102" s="529" t="str">
        <f>VLOOKUP(HME102,[14]AssetDetails_UEM!$A$3:$AH$1849,6,FALSE)</f>
        <v>Electrosurgical Units, Monopolar/Bipolar</v>
      </c>
      <c r="HMG102" s="528" t="s">
        <v>213</v>
      </c>
      <c r="HMH102" s="529" t="str">
        <f>VLOOKUP(HMG102,[14]AssetDetails_UEM!$A$3:$AH$1849,6,FALSE)</f>
        <v>Electrosurgical Units, Monopolar/Bipolar</v>
      </c>
      <c r="HMI102" s="528" t="s">
        <v>213</v>
      </c>
      <c r="HMJ102" s="529" t="str">
        <f>VLOOKUP(HMI102,[14]AssetDetails_UEM!$A$3:$AH$1849,6,FALSE)</f>
        <v>Electrosurgical Units, Monopolar/Bipolar</v>
      </c>
      <c r="HMK102" s="528" t="s">
        <v>213</v>
      </c>
      <c r="HML102" s="529" t="str">
        <f>VLOOKUP(HMK102,[14]AssetDetails_UEM!$A$3:$AH$1849,6,FALSE)</f>
        <v>Electrosurgical Units, Monopolar/Bipolar</v>
      </c>
      <c r="HMM102" s="528" t="s">
        <v>213</v>
      </c>
      <c r="HMN102" s="529" t="str">
        <f>VLOOKUP(HMM102,[14]AssetDetails_UEM!$A$3:$AH$1849,6,FALSE)</f>
        <v>Electrosurgical Units, Monopolar/Bipolar</v>
      </c>
      <c r="HMO102" s="528" t="s">
        <v>213</v>
      </c>
      <c r="HMP102" s="529" t="str">
        <f>VLOOKUP(HMO102,[14]AssetDetails_UEM!$A$3:$AH$1849,6,FALSE)</f>
        <v>Electrosurgical Units, Monopolar/Bipolar</v>
      </c>
      <c r="HMQ102" s="528" t="s">
        <v>213</v>
      </c>
      <c r="HMR102" s="529" t="str">
        <f>VLOOKUP(HMQ102,[14]AssetDetails_UEM!$A$3:$AH$1849,6,FALSE)</f>
        <v>Electrosurgical Units, Monopolar/Bipolar</v>
      </c>
      <c r="HMS102" s="528" t="s">
        <v>213</v>
      </c>
      <c r="HMT102" s="529" t="str">
        <f>VLOOKUP(HMS102,[14]AssetDetails_UEM!$A$3:$AH$1849,6,FALSE)</f>
        <v>Electrosurgical Units, Monopolar/Bipolar</v>
      </c>
      <c r="HMU102" s="528" t="s">
        <v>213</v>
      </c>
      <c r="HMV102" s="529" t="str">
        <f>VLOOKUP(HMU102,[14]AssetDetails_UEM!$A$3:$AH$1849,6,FALSE)</f>
        <v>Electrosurgical Units, Monopolar/Bipolar</v>
      </c>
      <c r="HMW102" s="528" t="s">
        <v>213</v>
      </c>
      <c r="HMX102" s="529" t="str">
        <f>VLOOKUP(HMW102,[14]AssetDetails_UEM!$A$3:$AH$1849,6,FALSE)</f>
        <v>Electrosurgical Units, Monopolar/Bipolar</v>
      </c>
      <c r="HMY102" s="528" t="s">
        <v>213</v>
      </c>
      <c r="HMZ102" s="529" t="str">
        <f>VLOOKUP(HMY102,[14]AssetDetails_UEM!$A$3:$AH$1849,6,FALSE)</f>
        <v>Electrosurgical Units, Monopolar/Bipolar</v>
      </c>
      <c r="HNA102" s="528" t="s">
        <v>213</v>
      </c>
      <c r="HNB102" s="529" t="str">
        <f>VLOOKUP(HNA102,[14]AssetDetails_UEM!$A$3:$AH$1849,6,FALSE)</f>
        <v>Electrosurgical Units, Monopolar/Bipolar</v>
      </c>
      <c r="HNC102" s="528" t="s">
        <v>213</v>
      </c>
      <c r="HND102" s="529" t="str">
        <f>VLOOKUP(HNC102,[14]AssetDetails_UEM!$A$3:$AH$1849,6,FALSE)</f>
        <v>Electrosurgical Units, Monopolar/Bipolar</v>
      </c>
      <c r="HNE102" s="528" t="s">
        <v>213</v>
      </c>
      <c r="HNF102" s="529" t="str">
        <f>VLOOKUP(HNE102,[14]AssetDetails_UEM!$A$3:$AH$1849,6,FALSE)</f>
        <v>Electrosurgical Units, Monopolar/Bipolar</v>
      </c>
      <c r="HNG102" s="528" t="s">
        <v>213</v>
      </c>
      <c r="HNH102" s="529" t="str">
        <f>VLOOKUP(HNG102,[14]AssetDetails_UEM!$A$3:$AH$1849,6,FALSE)</f>
        <v>Electrosurgical Units, Monopolar/Bipolar</v>
      </c>
      <c r="HNI102" s="528" t="s">
        <v>213</v>
      </c>
      <c r="HNJ102" s="529" t="str">
        <f>VLOOKUP(HNI102,[14]AssetDetails_UEM!$A$3:$AH$1849,6,FALSE)</f>
        <v>Electrosurgical Units, Monopolar/Bipolar</v>
      </c>
      <c r="HNK102" s="528" t="s">
        <v>213</v>
      </c>
      <c r="HNL102" s="529" t="str">
        <f>VLOOKUP(HNK102,[14]AssetDetails_UEM!$A$3:$AH$1849,6,FALSE)</f>
        <v>Electrosurgical Units, Monopolar/Bipolar</v>
      </c>
      <c r="HNM102" s="528" t="s">
        <v>213</v>
      </c>
      <c r="HNN102" s="529" t="str">
        <f>VLOOKUP(HNM102,[14]AssetDetails_UEM!$A$3:$AH$1849,6,FALSE)</f>
        <v>Electrosurgical Units, Monopolar/Bipolar</v>
      </c>
      <c r="HNO102" s="528" t="s">
        <v>213</v>
      </c>
      <c r="HNP102" s="529" t="str">
        <f>VLOOKUP(HNO102,[14]AssetDetails_UEM!$A$3:$AH$1849,6,FALSE)</f>
        <v>Electrosurgical Units, Monopolar/Bipolar</v>
      </c>
      <c r="HNQ102" s="528" t="s">
        <v>213</v>
      </c>
      <c r="HNR102" s="529" t="str">
        <f>VLOOKUP(HNQ102,[14]AssetDetails_UEM!$A$3:$AH$1849,6,FALSE)</f>
        <v>Electrosurgical Units, Monopolar/Bipolar</v>
      </c>
      <c r="HNS102" s="528" t="s">
        <v>213</v>
      </c>
      <c r="HNT102" s="529" t="str">
        <f>VLOOKUP(HNS102,[14]AssetDetails_UEM!$A$3:$AH$1849,6,FALSE)</f>
        <v>Electrosurgical Units, Monopolar/Bipolar</v>
      </c>
      <c r="HNU102" s="528" t="s">
        <v>213</v>
      </c>
      <c r="HNV102" s="529" t="str">
        <f>VLOOKUP(HNU102,[14]AssetDetails_UEM!$A$3:$AH$1849,6,FALSE)</f>
        <v>Electrosurgical Units, Monopolar/Bipolar</v>
      </c>
      <c r="HNW102" s="528" t="s">
        <v>213</v>
      </c>
      <c r="HNX102" s="529" t="str">
        <f>VLOOKUP(HNW102,[14]AssetDetails_UEM!$A$3:$AH$1849,6,FALSE)</f>
        <v>Electrosurgical Units, Monopolar/Bipolar</v>
      </c>
      <c r="HNY102" s="528" t="s">
        <v>213</v>
      </c>
      <c r="HNZ102" s="529" t="str">
        <f>VLOOKUP(HNY102,[14]AssetDetails_UEM!$A$3:$AH$1849,6,FALSE)</f>
        <v>Electrosurgical Units, Monopolar/Bipolar</v>
      </c>
      <c r="HOA102" s="528" t="s">
        <v>213</v>
      </c>
      <c r="HOB102" s="529" t="str">
        <f>VLOOKUP(HOA102,[14]AssetDetails_UEM!$A$3:$AH$1849,6,FALSE)</f>
        <v>Electrosurgical Units, Monopolar/Bipolar</v>
      </c>
      <c r="HOC102" s="528" t="s">
        <v>213</v>
      </c>
      <c r="HOD102" s="529" t="str">
        <f>VLOOKUP(HOC102,[14]AssetDetails_UEM!$A$3:$AH$1849,6,FALSE)</f>
        <v>Electrosurgical Units, Monopolar/Bipolar</v>
      </c>
      <c r="HOE102" s="528" t="s">
        <v>213</v>
      </c>
      <c r="HOF102" s="529" t="str">
        <f>VLOOKUP(HOE102,[14]AssetDetails_UEM!$A$3:$AH$1849,6,FALSE)</f>
        <v>Electrosurgical Units, Monopolar/Bipolar</v>
      </c>
      <c r="HOG102" s="528" t="s">
        <v>213</v>
      </c>
      <c r="HOH102" s="529" t="str">
        <f>VLOOKUP(HOG102,[14]AssetDetails_UEM!$A$3:$AH$1849,6,FALSE)</f>
        <v>Electrosurgical Units, Monopolar/Bipolar</v>
      </c>
      <c r="HOI102" s="528" t="s">
        <v>213</v>
      </c>
      <c r="HOJ102" s="529" t="str">
        <f>VLOOKUP(HOI102,[14]AssetDetails_UEM!$A$3:$AH$1849,6,FALSE)</f>
        <v>Electrosurgical Units, Monopolar/Bipolar</v>
      </c>
      <c r="HOK102" s="528" t="s">
        <v>213</v>
      </c>
      <c r="HOL102" s="529" t="str">
        <f>VLOOKUP(HOK102,[14]AssetDetails_UEM!$A$3:$AH$1849,6,FALSE)</f>
        <v>Electrosurgical Units, Monopolar/Bipolar</v>
      </c>
      <c r="HOM102" s="528" t="s">
        <v>213</v>
      </c>
      <c r="HON102" s="529" t="str">
        <f>VLOOKUP(HOM102,[14]AssetDetails_UEM!$A$3:$AH$1849,6,FALSE)</f>
        <v>Electrosurgical Units, Monopolar/Bipolar</v>
      </c>
      <c r="HOO102" s="528" t="s">
        <v>213</v>
      </c>
      <c r="HOP102" s="529" t="str">
        <f>VLOOKUP(HOO102,[14]AssetDetails_UEM!$A$3:$AH$1849,6,FALSE)</f>
        <v>Electrosurgical Units, Monopolar/Bipolar</v>
      </c>
      <c r="HOQ102" s="528" t="s">
        <v>213</v>
      </c>
      <c r="HOR102" s="529" t="str">
        <f>VLOOKUP(HOQ102,[14]AssetDetails_UEM!$A$3:$AH$1849,6,FALSE)</f>
        <v>Electrosurgical Units, Monopolar/Bipolar</v>
      </c>
      <c r="HOS102" s="528" t="s">
        <v>213</v>
      </c>
      <c r="HOT102" s="529" t="str">
        <f>VLOOKUP(HOS102,[14]AssetDetails_UEM!$A$3:$AH$1849,6,FALSE)</f>
        <v>Electrosurgical Units, Monopolar/Bipolar</v>
      </c>
      <c r="HOU102" s="528" t="s">
        <v>213</v>
      </c>
      <c r="HOV102" s="529" t="str">
        <f>VLOOKUP(HOU102,[14]AssetDetails_UEM!$A$3:$AH$1849,6,FALSE)</f>
        <v>Electrosurgical Units, Monopolar/Bipolar</v>
      </c>
      <c r="HOW102" s="528" t="s">
        <v>213</v>
      </c>
      <c r="HOX102" s="529" t="str">
        <f>VLOOKUP(HOW102,[14]AssetDetails_UEM!$A$3:$AH$1849,6,FALSE)</f>
        <v>Electrosurgical Units, Monopolar/Bipolar</v>
      </c>
      <c r="HOY102" s="528" t="s">
        <v>213</v>
      </c>
      <c r="HOZ102" s="529" t="str">
        <f>VLOOKUP(HOY102,[14]AssetDetails_UEM!$A$3:$AH$1849,6,FALSE)</f>
        <v>Electrosurgical Units, Monopolar/Bipolar</v>
      </c>
      <c r="HPA102" s="528" t="s">
        <v>213</v>
      </c>
      <c r="HPB102" s="529" t="str">
        <f>VLOOKUP(HPA102,[14]AssetDetails_UEM!$A$3:$AH$1849,6,FALSE)</f>
        <v>Electrosurgical Units, Monopolar/Bipolar</v>
      </c>
      <c r="HPC102" s="528" t="s">
        <v>213</v>
      </c>
      <c r="HPD102" s="529" t="str">
        <f>VLOOKUP(HPC102,[14]AssetDetails_UEM!$A$3:$AH$1849,6,FALSE)</f>
        <v>Electrosurgical Units, Monopolar/Bipolar</v>
      </c>
      <c r="HPE102" s="528" t="s">
        <v>213</v>
      </c>
      <c r="HPF102" s="529" t="str">
        <f>VLOOKUP(HPE102,[14]AssetDetails_UEM!$A$3:$AH$1849,6,FALSE)</f>
        <v>Electrosurgical Units, Monopolar/Bipolar</v>
      </c>
      <c r="HPG102" s="528" t="s">
        <v>213</v>
      </c>
      <c r="HPH102" s="529" t="str">
        <f>VLOOKUP(HPG102,[14]AssetDetails_UEM!$A$3:$AH$1849,6,FALSE)</f>
        <v>Electrosurgical Units, Monopolar/Bipolar</v>
      </c>
      <c r="HPI102" s="528" t="s">
        <v>213</v>
      </c>
      <c r="HPJ102" s="529" t="str">
        <f>VLOOKUP(HPI102,[14]AssetDetails_UEM!$A$3:$AH$1849,6,FALSE)</f>
        <v>Electrosurgical Units, Monopolar/Bipolar</v>
      </c>
      <c r="HPK102" s="528" t="s">
        <v>213</v>
      </c>
      <c r="HPL102" s="529" t="str">
        <f>VLOOKUP(HPK102,[14]AssetDetails_UEM!$A$3:$AH$1849,6,FALSE)</f>
        <v>Electrosurgical Units, Monopolar/Bipolar</v>
      </c>
      <c r="HPM102" s="528" t="s">
        <v>213</v>
      </c>
      <c r="HPN102" s="529" t="str">
        <f>VLOOKUP(HPM102,[14]AssetDetails_UEM!$A$3:$AH$1849,6,FALSE)</f>
        <v>Electrosurgical Units, Monopolar/Bipolar</v>
      </c>
      <c r="HPO102" s="528" t="s">
        <v>213</v>
      </c>
      <c r="HPP102" s="529" t="str">
        <f>VLOOKUP(HPO102,[14]AssetDetails_UEM!$A$3:$AH$1849,6,FALSE)</f>
        <v>Electrosurgical Units, Monopolar/Bipolar</v>
      </c>
      <c r="HPQ102" s="528" t="s">
        <v>213</v>
      </c>
      <c r="HPR102" s="529" t="str">
        <f>VLOOKUP(HPQ102,[14]AssetDetails_UEM!$A$3:$AH$1849,6,FALSE)</f>
        <v>Electrosurgical Units, Monopolar/Bipolar</v>
      </c>
      <c r="HPS102" s="528" t="s">
        <v>213</v>
      </c>
      <c r="HPT102" s="529" t="str">
        <f>VLOOKUP(HPS102,[14]AssetDetails_UEM!$A$3:$AH$1849,6,FALSE)</f>
        <v>Electrosurgical Units, Monopolar/Bipolar</v>
      </c>
      <c r="HPU102" s="528" t="s">
        <v>213</v>
      </c>
      <c r="HPV102" s="529" t="str">
        <f>VLOOKUP(HPU102,[14]AssetDetails_UEM!$A$3:$AH$1849,6,FALSE)</f>
        <v>Electrosurgical Units, Monopolar/Bipolar</v>
      </c>
      <c r="HPW102" s="528" t="s">
        <v>213</v>
      </c>
      <c r="HPX102" s="529" t="str">
        <f>VLOOKUP(HPW102,[14]AssetDetails_UEM!$A$3:$AH$1849,6,FALSE)</f>
        <v>Electrosurgical Units, Monopolar/Bipolar</v>
      </c>
      <c r="HPY102" s="528" t="s">
        <v>213</v>
      </c>
      <c r="HPZ102" s="529" t="str">
        <f>VLOOKUP(HPY102,[14]AssetDetails_UEM!$A$3:$AH$1849,6,FALSE)</f>
        <v>Electrosurgical Units, Monopolar/Bipolar</v>
      </c>
      <c r="HQA102" s="528" t="s">
        <v>213</v>
      </c>
      <c r="HQB102" s="529" t="str">
        <f>VLOOKUP(HQA102,[14]AssetDetails_UEM!$A$3:$AH$1849,6,FALSE)</f>
        <v>Electrosurgical Units, Monopolar/Bipolar</v>
      </c>
      <c r="HQC102" s="528" t="s">
        <v>213</v>
      </c>
      <c r="HQD102" s="529" t="str">
        <f>VLOOKUP(HQC102,[14]AssetDetails_UEM!$A$3:$AH$1849,6,FALSE)</f>
        <v>Electrosurgical Units, Monopolar/Bipolar</v>
      </c>
      <c r="HQE102" s="528" t="s">
        <v>213</v>
      </c>
      <c r="HQF102" s="529" t="str">
        <f>VLOOKUP(HQE102,[14]AssetDetails_UEM!$A$3:$AH$1849,6,FALSE)</f>
        <v>Electrosurgical Units, Monopolar/Bipolar</v>
      </c>
      <c r="HQG102" s="528" t="s">
        <v>213</v>
      </c>
      <c r="HQH102" s="529" t="str">
        <f>VLOOKUP(HQG102,[14]AssetDetails_UEM!$A$3:$AH$1849,6,FALSE)</f>
        <v>Electrosurgical Units, Monopolar/Bipolar</v>
      </c>
      <c r="HQI102" s="528" t="s">
        <v>213</v>
      </c>
      <c r="HQJ102" s="529" t="str">
        <f>VLOOKUP(HQI102,[14]AssetDetails_UEM!$A$3:$AH$1849,6,FALSE)</f>
        <v>Electrosurgical Units, Monopolar/Bipolar</v>
      </c>
      <c r="HQK102" s="528" t="s">
        <v>213</v>
      </c>
      <c r="HQL102" s="529" t="str">
        <f>VLOOKUP(HQK102,[14]AssetDetails_UEM!$A$3:$AH$1849,6,FALSE)</f>
        <v>Electrosurgical Units, Monopolar/Bipolar</v>
      </c>
      <c r="HQM102" s="528" t="s">
        <v>213</v>
      </c>
      <c r="HQN102" s="529" t="str">
        <f>VLOOKUP(HQM102,[14]AssetDetails_UEM!$A$3:$AH$1849,6,FALSE)</f>
        <v>Electrosurgical Units, Monopolar/Bipolar</v>
      </c>
      <c r="HQO102" s="528" t="s">
        <v>213</v>
      </c>
      <c r="HQP102" s="529" t="str">
        <f>VLOOKUP(HQO102,[14]AssetDetails_UEM!$A$3:$AH$1849,6,FALSE)</f>
        <v>Electrosurgical Units, Monopolar/Bipolar</v>
      </c>
      <c r="HQQ102" s="528" t="s">
        <v>213</v>
      </c>
      <c r="HQR102" s="529" t="str">
        <f>VLOOKUP(HQQ102,[14]AssetDetails_UEM!$A$3:$AH$1849,6,FALSE)</f>
        <v>Electrosurgical Units, Monopolar/Bipolar</v>
      </c>
      <c r="HQS102" s="528" t="s">
        <v>213</v>
      </c>
      <c r="HQT102" s="529" t="str">
        <f>VLOOKUP(HQS102,[14]AssetDetails_UEM!$A$3:$AH$1849,6,FALSE)</f>
        <v>Electrosurgical Units, Monopolar/Bipolar</v>
      </c>
      <c r="HQU102" s="528" t="s">
        <v>213</v>
      </c>
      <c r="HQV102" s="529" t="str">
        <f>VLOOKUP(HQU102,[14]AssetDetails_UEM!$A$3:$AH$1849,6,FALSE)</f>
        <v>Electrosurgical Units, Monopolar/Bipolar</v>
      </c>
      <c r="HQW102" s="528" t="s">
        <v>213</v>
      </c>
      <c r="HQX102" s="529" t="str">
        <f>VLOOKUP(HQW102,[14]AssetDetails_UEM!$A$3:$AH$1849,6,FALSE)</f>
        <v>Electrosurgical Units, Monopolar/Bipolar</v>
      </c>
      <c r="HQY102" s="528" t="s">
        <v>213</v>
      </c>
      <c r="HQZ102" s="529" t="str">
        <f>VLOOKUP(HQY102,[14]AssetDetails_UEM!$A$3:$AH$1849,6,FALSE)</f>
        <v>Electrosurgical Units, Monopolar/Bipolar</v>
      </c>
      <c r="HRA102" s="528" t="s">
        <v>213</v>
      </c>
      <c r="HRB102" s="529" t="str">
        <f>VLOOKUP(HRA102,[14]AssetDetails_UEM!$A$3:$AH$1849,6,FALSE)</f>
        <v>Electrosurgical Units, Monopolar/Bipolar</v>
      </c>
      <c r="HRC102" s="528" t="s">
        <v>213</v>
      </c>
      <c r="HRD102" s="529" t="str">
        <f>VLOOKUP(HRC102,[14]AssetDetails_UEM!$A$3:$AH$1849,6,FALSE)</f>
        <v>Electrosurgical Units, Monopolar/Bipolar</v>
      </c>
      <c r="HRE102" s="528" t="s">
        <v>213</v>
      </c>
      <c r="HRF102" s="529" t="str">
        <f>VLOOKUP(HRE102,[14]AssetDetails_UEM!$A$3:$AH$1849,6,FALSE)</f>
        <v>Electrosurgical Units, Monopolar/Bipolar</v>
      </c>
      <c r="HRG102" s="528" t="s">
        <v>213</v>
      </c>
      <c r="HRH102" s="529" t="str">
        <f>VLOOKUP(HRG102,[14]AssetDetails_UEM!$A$3:$AH$1849,6,FALSE)</f>
        <v>Electrosurgical Units, Monopolar/Bipolar</v>
      </c>
      <c r="HRI102" s="528" t="s">
        <v>213</v>
      </c>
      <c r="HRJ102" s="529" t="str">
        <f>VLOOKUP(HRI102,[14]AssetDetails_UEM!$A$3:$AH$1849,6,FALSE)</f>
        <v>Electrosurgical Units, Monopolar/Bipolar</v>
      </c>
      <c r="HRK102" s="528" t="s">
        <v>213</v>
      </c>
      <c r="HRL102" s="529" t="str">
        <f>VLOOKUP(HRK102,[14]AssetDetails_UEM!$A$3:$AH$1849,6,FALSE)</f>
        <v>Electrosurgical Units, Monopolar/Bipolar</v>
      </c>
      <c r="HRM102" s="528" t="s">
        <v>213</v>
      </c>
      <c r="HRN102" s="529" t="str">
        <f>VLOOKUP(HRM102,[14]AssetDetails_UEM!$A$3:$AH$1849,6,FALSE)</f>
        <v>Electrosurgical Units, Monopolar/Bipolar</v>
      </c>
      <c r="HRO102" s="528" t="s">
        <v>213</v>
      </c>
      <c r="HRP102" s="529" t="str">
        <f>VLOOKUP(HRO102,[14]AssetDetails_UEM!$A$3:$AH$1849,6,FALSE)</f>
        <v>Electrosurgical Units, Monopolar/Bipolar</v>
      </c>
      <c r="HRQ102" s="528" t="s">
        <v>213</v>
      </c>
      <c r="HRR102" s="529" t="str">
        <f>VLOOKUP(HRQ102,[14]AssetDetails_UEM!$A$3:$AH$1849,6,FALSE)</f>
        <v>Electrosurgical Units, Monopolar/Bipolar</v>
      </c>
      <c r="HRS102" s="528" t="s">
        <v>213</v>
      </c>
      <c r="HRT102" s="529" t="str">
        <f>VLOOKUP(HRS102,[14]AssetDetails_UEM!$A$3:$AH$1849,6,FALSE)</f>
        <v>Electrosurgical Units, Monopolar/Bipolar</v>
      </c>
      <c r="HRU102" s="528" t="s">
        <v>213</v>
      </c>
      <c r="HRV102" s="529" t="str">
        <f>VLOOKUP(HRU102,[14]AssetDetails_UEM!$A$3:$AH$1849,6,FALSE)</f>
        <v>Electrosurgical Units, Monopolar/Bipolar</v>
      </c>
      <c r="HRW102" s="528" t="s">
        <v>213</v>
      </c>
      <c r="HRX102" s="529" t="str">
        <f>VLOOKUP(HRW102,[14]AssetDetails_UEM!$A$3:$AH$1849,6,FALSE)</f>
        <v>Electrosurgical Units, Monopolar/Bipolar</v>
      </c>
      <c r="HRY102" s="528" t="s">
        <v>213</v>
      </c>
      <c r="HRZ102" s="529" t="str">
        <f>VLOOKUP(HRY102,[14]AssetDetails_UEM!$A$3:$AH$1849,6,FALSE)</f>
        <v>Electrosurgical Units, Monopolar/Bipolar</v>
      </c>
      <c r="HSA102" s="528" t="s">
        <v>213</v>
      </c>
      <c r="HSB102" s="529" t="str">
        <f>VLOOKUP(HSA102,[14]AssetDetails_UEM!$A$3:$AH$1849,6,FALSE)</f>
        <v>Electrosurgical Units, Monopolar/Bipolar</v>
      </c>
      <c r="HSC102" s="528" t="s">
        <v>213</v>
      </c>
      <c r="HSD102" s="529" t="str">
        <f>VLOOKUP(HSC102,[14]AssetDetails_UEM!$A$3:$AH$1849,6,FALSE)</f>
        <v>Electrosurgical Units, Monopolar/Bipolar</v>
      </c>
      <c r="HSE102" s="528" t="s">
        <v>213</v>
      </c>
      <c r="HSF102" s="529" t="str">
        <f>VLOOKUP(HSE102,[14]AssetDetails_UEM!$A$3:$AH$1849,6,FALSE)</f>
        <v>Electrosurgical Units, Monopolar/Bipolar</v>
      </c>
      <c r="HSG102" s="528" t="s">
        <v>213</v>
      </c>
      <c r="HSH102" s="529" t="str">
        <f>VLOOKUP(HSG102,[14]AssetDetails_UEM!$A$3:$AH$1849,6,FALSE)</f>
        <v>Electrosurgical Units, Monopolar/Bipolar</v>
      </c>
      <c r="HSI102" s="528" t="s">
        <v>213</v>
      </c>
      <c r="HSJ102" s="529" t="str">
        <f>VLOOKUP(HSI102,[14]AssetDetails_UEM!$A$3:$AH$1849,6,FALSE)</f>
        <v>Electrosurgical Units, Monopolar/Bipolar</v>
      </c>
      <c r="HSK102" s="528" t="s">
        <v>213</v>
      </c>
      <c r="HSL102" s="529" t="str">
        <f>VLOOKUP(HSK102,[14]AssetDetails_UEM!$A$3:$AH$1849,6,FALSE)</f>
        <v>Electrosurgical Units, Monopolar/Bipolar</v>
      </c>
      <c r="HSM102" s="528" t="s">
        <v>213</v>
      </c>
      <c r="HSN102" s="529" t="str">
        <f>VLOOKUP(HSM102,[14]AssetDetails_UEM!$A$3:$AH$1849,6,FALSE)</f>
        <v>Electrosurgical Units, Monopolar/Bipolar</v>
      </c>
      <c r="HSO102" s="528" t="s">
        <v>213</v>
      </c>
      <c r="HSP102" s="529" t="str">
        <f>VLOOKUP(HSO102,[14]AssetDetails_UEM!$A$3:$AH$1849,6,FALSE)</f>
        <v>Electrosurgical Units, Monopolar/Bipolar</v>
      </c>
      <c r="HSQ102" s="528" t="s">
        <v>213</v>
      </c>
      <c r="HSR102" s="529" t="str">
        <f>VLOOKUP(HSQ102,[14]AssetDetails_UEM!$A$3:$AH$1849,6,FALSE)</f>
        <v>Electrosurgical Units, Monopolar/Bipolar</v>
      </c>
      <c r="HSS102" s="528" t="s">
        <v>213</v>
      </c>
      <c r="HST102" s="529" t="str">
        <f>VLOOKUP(HSS102,[14]AssetDetails_UEM!$A$3:$AH$1849,6,FALSE)</f>
        <v>Electrosurgical Units, Monopolar/Bipolar</v>
      </c>
      <c r="HSU102" s="528" t="s">
        <v>213</v>
      </c>
      <c r="HSV102" s="529" t="str">
        <f>VLOOKUP(HSU102,[14]AssetDetails_UEM!$A$3:$AH$1849,6,FALSE)</f>
        <v>Electrosurgical Units, Monopolar/Bipolar</v>
      </c>
      <c r="HSW102" s="528" t="s">
        <v>213</v>
      </c>
      <c r="HSX102" s="529" t="str">
        <f>VLOOKUP(HSW102,[14]AssetDetails_UEM!$A$3:$AH$1849,6,FALSE)</f>
        <v>Electrosurgical Units, Monopolar/Bipolar</v>
      </c>
      <c r="HSY102" s="528" t="s">
        <v>213</v>
      </c>
      <c r="HSZ102" s="529" t="str">
        <f>VLOOKUP(HSY102,[14]AssetDetails_UEM!$A$3:$AH$1849,6,FALSE)</f>
        <v>Electrosurgical Units, Monopolar/Bipolar</v>
      </c>
      <c r="HTA102" s="528" t="s">
        <v>213</v>
      </c>
      <c r="HTB102" s="529" t="str">
        <f>VLOOKUP(HTA102,[14]AssetDetails_UEM!$A$3:$AH$1849,6,FALSE)</f>
        <v>Electrosurgical Units, Monopolar/Bipolar</v>
      </c>
      <c r="HTC102" s="528" t="s">
        <v>213</v>
      </c>
      <c r="HTD102" s="529" t="str">
        <f>VLOOKUP(HTC102,[14]AssetDetails_UEM!$A$3:$AH$1849,6,FALSE)</f>
        <v>Electrosurgical Units, Monopolar/Bipolar</v>
      </c>
      <c r="HTE102" s="528" t="s">
        <v>213</v>
      </c>
      <c r="HTF102" s="529" t="str">
        <f>VLOOKUP(HTE102,[14]AssetDetails_UEM!$A$3:$AH$1849,6,FALSE)</f>
        <v>Electrosurgical Units, Monopolar/Bipolar</v>
      </c>
      <c r="HTG102" s="528" t="s">
        <v>213</v>
      </c>
      <c r="HTH102" s="529" t="str">
        <f>VLOOKUP(HTG102,[14]AssetDetails_UEM!$A$3:$AH$1849,6,FALSE)</f>
        <v>Electrosurgical Units, Monopolar/Bipolar</v>
      </c>
      <c r="HTI102" s="528" t="s">
        <v>213</v>
      </c>
      <c r="HTJ102" s="529" t="str">
        <f>VLOOKUP(HTI102,[14]AssetDetails_UEM!$A$3:$AH$1849,6,FALSE)</f>
        <v>Electrosurgical Units, Monopolar/Bipolar</v>
      </c>
      <c r="HTK102" s="528" t="s">
        <v>213</v>
      </c>
      <c r="HTL102" s="529" t="str">
        <f>VLOOKUP(HTK102,[14]AssetDetails_UEM!$A$3:$AH$1849,6,FALSE)</f>
        <v>Electrosurgical Units, Monopolar/Bipolar</v>
      </c>
      <c r="HTM102" s="528" t="s">
        <v>213</v>
      </c>
      <c r="HTN102" s="529" t="str">
        <f>VLOOKUP(HTM102,[14]AssetDetails_UEM!$A$3:$AH$1849,6,FALSE)</f>
        <v>Electrosurgical Units, Monopolar/Bipolar</v>
      </c>
      <c r="HTO102" s="528" t="s">
        <v>213</v>
      </c>
      <c r="HTP102" s="529" t="str">
        <f>VLOOKUP(HTO102,[14]AssetDetails_UEM!$A$3:$AH$1849,6,FALSE)</f>
        <v>Electrosurgical Units, Monopolar/Bipolar</v>
      </c>
      <c r="HTQ102" s="528" t="s">
        <v>213</v>
      </c>
      <c r="HTR102" s="529" t="str">
        <f>VLOOKUP(HTQ102,[14]AssetDetails_UEM!$A$3:$AH$1849,6,FALSE)</f>
        <v>Electrosurgical Units, Monopolar/Bipolar</v>
      </c>
      <c r="HTS102" s="528" t="s">
        <v>213</v>
      </c>
      <c r="HTT102" s="529" t="str">
        <f>VLOOKUP(HTS102,[14]AssetDetails_UEM!$A$3:$AH$1849,6,FALSE)</f>
        <v>Electrosurgical Units, Monopolar/Bipolar</v>
      </c>
      <c r="HTU102" s="528" t="s">
        <v>213</v>
      </c>
      <c r="HTV102" s="529" t="str">
        <f>VLOOKUP(HTU102,[14]AssetDetails_UEM!$A$3:$AH$1849,6,FALSE)</f>
        <v>Electrosurgical Units, Monopolar/Bipolar</v>
      </c>
      <c r="HTW102" s="528" t="s">
        <v>213</v>
      </c>
      <c r="HTX102" s="529" t="str">
        <f>VLOOKUP(HTW102,[14]AssetDetails_UEM!$A$3:$AH$1849,6,FALSE)</f>
        <v>Electrosurgical Units, Monopolar/Bipolar</v>
      </c>
      <c r="HTY102" s="528" t="s">
        <v>213</v>
      </c>
      <c r="HTZ102" s="529" t="str">
        <f>VLOOKUP(HTY102,[14]AssetDetails_UEM!$A$3:$AH$1849,6,FALSE)</f>
        <v>Electrosurgical Units, Monopolar/Bipolar</v>
      </c>
      <c r="HUA102" s="528" t="s">
        <v>213</v>
      </c>
      <c r="HUB102" s="529" t="str">
        <f>VLOOKUP(HUA102,[14]AssetDetails_UEM!$A$3:$AH$1849,6,FALSE)</f>
        <v>Electrosurgical Units, Monopolar/Bipolar</v>
      </c>
      <c r="HUC102" s="528" t="s">
        <v>213</v>
      </c>
      <c r="HUD102" s="529" t="str">
        <f>VLOOKUP(HUC102,[14]AssetDetails_UEM!$A$3:$AH$1849,6,FALSE)</f>
        <v>Electrosurgical Units, Monopolar/Bipolar</v>
      </c>
      <c r="HUE102" s="528" t="s">
        <v>213</v>
      </c>
      <c r="HUF102" s="529" t="str">
        <f>VLOOKUP(HUE102,[14]AssetDetails_UEM!$A$3:$AH$1849,6,FALSE)</f>
        <v>Electrosurgical Units, Monopolar/Bipolar</v>
      </c>
      <c r="HUG102" s="528" t="s">
        <v>213</v>
      </c>
      <c r="HUH102" s="529" t="str">
        <f>VLOOKUP(HUG102,[14]AssetDetails_UEM!$A$3:$AH$1849,6,FALSE)</f>
        <v>Electrosurgical Units, Monopolar/Bipolar</v>
      </c>
      <c r="HUI102" s="528" t="s">
        <v>213</v>
      </c>
      <c r="HUJ102" s="529" t="str">
        <f>VLOOKUP(HUI102,[14]AssetDetails_UEM!$A$3:$AH$1849,6,FALSE)</f>
        <v>Electrosurgical Units, Monopolar/Bipolar</v>
      </c>
      <c r="HUK102" s="528" t="s">
        <v>213</v>
      </c>
      <c r="HUL102" s="529" t="str">
        <f>VLOOKUP(HUK102,[14]AssetDetails_UEM!$A$3:$AH$1849,6,FALSE)</f>
        <v>Electrosurgical Units, Monopolar/Bipolar</v>
      </c>
      <c r="HUM102" s="528" t="s">
        <v>213</v>
      </c>
      <c r="HUN102" s="529" t="str">
        <f>VLOOKUP(HUM102,[14]AssetDetails_UEM!$A$3:$AH$1849,6,FALSE)</f>
        <v>Electrosurgical Units, Monopolar/Bipolar</v>
      </c>
      <c r="HUO102" s="528" t="s">
        <v>213</v>
      </c>
      <c r="HUP102" s="529" t="str">
        <f>VLOOKUP(HUO102,[14]AssetDetails_UEM!$A$3:$AH$1849,6,FALSE)</f>
        <v>Electrosurgical Units, Monopolar/Bipolar</v>
      </c>
      <c r="HUQ102" s="528" t="s">
        <v>213</v>
      </c>
      <c r="HUR102" s="529" t="str">
        <f>VLOOKUP(HUQ102,[14]AssetDetails_UEM!$A$3:$AH$1849,6,FALSE)</f>
        <v>Electrosurgical Units, Monopolar/Bipolar</v>
      </c>
      <c r="HUS102" s="528" t="s">
        <v>213</v>
      </c>
      <c r="HUT102" s="529" t="str">
        <f>VLOOKUP(HUS102,[14]AssetDetails_UEM!$A$3:$AH$1849,6,FALSE)</f>
        <v>Electrosurgical Units, Monopolar/Bipolar</v>
      </c>
      <c r="HUU102" s="528" t="s">
        <v>213</v>
      </c>
      <c r="HUV102" s="529" t="str">
        <f>VLOOKUP(HUU102,[14]AssetDetails_UEM!$A$3:$AH$1849,6,FALSE)</f>
        <v>Electrosurgical Units, Monopolar/Bipolar</v>
      </c>
      <c r="HUW102" s="528" t="s">
        <v>213</v>
      </c>
      <c r="HUX102" s="529" t="str">
        <f>VLOOKUP(HUW102,[14]AssetDetails_UEM!$A$3:$AH$1849,6,FALSE)</f>
        <v>Electrosurgical Units, Monopolar/Bipolar</v>
      </c>
      <c r="HUY102" s="528" t="s">
        <v>213</v>
      </c>
      <c r="HUZ102" s="529" t="str">
        <f>VLOOKUP(HUY102,[14]AssetDetails_UEM!$A$3:$AH$1849,6,FALSE)</f>
        <v>Electrosurgical Units, Monopolar/Bipolar</v>
      </c>
      <c r="HVA102" s="528" t="s">
        <v>213</v>
      </c>
      <c r="HVB102" s="529" t="str">
        <f>VLOOKUP(HVA102,[14]AssetDetails_UEM!$A$3:$AH$1849,6,FALSE)</f>
        <v>Electrosurgical Units, Monopolar/Bipolar</v>
      </c>
      <c r="HVC102" s="528" t="s">
        <v>213</v>
      </c>
      <c r="HVD102" s="529" t="str">
        <f>VLOOKUP(HVC102,[14]AssetDetails_UEM!$A$3:$AH$1849,6,FALSE)</f>
        <v>Electrosurgical Units, Monopolar/Bipolar</v>
      </c>
      <c r="HVE102" s="528" t="s">
        <v>213</v>
      </c>
      <c r="HVF102" s="529" t="str">
        <f>VLOOKUP(HVE102,[14]AssetDetails_UEM!$A$3:$AH$1849,6,FALSE)</f>
        <v>Electrosurgical Units, Monopolar/Bipolar</v>
      </c>
      <c r="HVG102" s="528" t="s">
        <v>213</v>
      </c>
      <c r="HVH102" s="529" t="str">
        <f>VLOOKUP(HVG102,[14]AssetDetails_UEM!$A$3:$AH$1849,6,FALSE)</f>
        <v>Electrosurgical Units, Monopolar/Bipolar</v>
      </c>
      <c r="HVI102" s="528" t="s">
        <v>213</v>
      </c>
      <c r="HVJ102" s="529" t="str">
        <f>VLOOKUP(HVI102,[14]AssetDetails_UEM!$A$3:$AH$1849,6,FALSE)</f>
        <v>Electrosurgical Units, Monopolar/Bipolar</v>
      </c>
      <c r="HVK102" s="528" t="s">
        <v>213</v>
      </c>
      <c r="HVL102" s="529" t="str">
        <f>VLOOKUP(HVK102,[14]AssetDetails_UEM!$A$3:$AH$1849,6,FALSE)</f>
        <v>Electrosurgical Units, Monopolar/Bipolar</v>
      </c>
      <c r="HVM102" s="528" t="s">
        <v>213</v>
      </c>
      <c r="HVN102" s="529" t="str">
        <f>VLOOKUP(HVM102,[14]AssetDetails_UEM!$A$3:$AH$1849,6,FALSE)</f>
        <v>Electrosurgical Units, Monopolar/Bipolar</v>
      </c>
      <c r="HVO102" s="528" t="s">
        <v>213</v>
      </c>
      <c r="HVP102" s="529" t="str">
        <f>VLOOKUP(HVO102,[14]AssetDetails_UEM!$A$3:$AH$1849,6,FALSE)</f>
        <v>Electrosurgical Units, Monopolar/Bipolar</v>
      </c>
      <c r="HVQ102" s="528" t="s">
        <v>213</v>
      </c>
      <c r="HVR102" s="529" t="str">
        <f>VLOOKUP(HVQ102,[14]AssetDetails_UEM!$A$3:$AH$1849,6,FALSE)</f>
        <v>Electrosurgical Units, Monopolar/Bipolar</v>
      </c>
      <c r="HVS102" s="528" t="s">
        <v>213</v>
      </c>
      <c r="HVT102" s="529" t="str">
        <f>VLOOKUP(HVS102,[14]AssetDetails_UEM!$A$3:$AH$1849,6,FALSE)</f>
        <v>Electrosurgical Units, Monopolar/Bipolar</v>
      </c>
      <c r="HVU102" s="528" t="s">
        <v>213</v>
      </c>
      <c r="HVV102" s="529" t="str">
        <f>VLOOKUP(HVU102,[14]AssetDetails_UEM!$A$3:$AH$1849,6,FALSE)</f>
        <v>Electrosurgical Units, Monopolar/Bipolar</v>
      </c>
      <c r="HVW102" s="528" t="s">
        <v>213</v>
      </c>
      <c r="HVX102" s="529" t="str">
        <f>VLOOKUP(HVW102,[14]AssetDetails_UEM!$A$3:$AH$1849,6,FALSE)</f>
        <v>Electrosurgical Units, Monopolar/Bipolar</v>
      </c>
      <c r="HVY102" s="528" t="s">
        <v>213</v>
      </c>
      <c r="HVZ102" s="529" t="str">
        <f>VLOOKUP(HVY102,[14]AssetDetails_UEM!$A$3:$AH$1849,6,FALSE)</f>
        <v>Electrosurgical Units, Monopolar/Bipolar</v>
      </c>
      <c r="HWA102" s="528" t="s">
        <v>213</v>
      </c>
      <c r="HWB102" s="529" t="str">
        <f>VLOOKUP(HWA102,[14]AssetDetails_UEM!$A$3:$AH$1849,6,FALSE)</f>
        <v>Electrosurgical Units, Monopolar/Bipolar</v>
      </c>
      <c r="HWC102" s="528" t="s">
        <v>213</v>
      </c>
      <c r="HWD102" s="529" t="str">
        <f>VLOOKUP(HWC102,[14]AssetDetails_UEM!$A$3:$AH$1849,6,FALSE)</f>
        <v>Electrosurgical Units, Monopolar/Bipolar</v>
      </c>
      <c r="HWE102" s="528" t="s">
        <v>213</v>
      </c>
      <c r="HWF102" s="529" t="str">
        <f>VLOOKUP(HWE102,[14]AssetDetails_UEM!$A$3:$AH$1849,6,FALSE)</f>
        <v>Electrosurgical Units, Monopolar/Bipolar</v>
      </c>
      <c r="HWG102" s="528" t="s">
        <v>213</v>
      </c>
      <c r="HWH102" s="529" t="str">
        <f>VLOOKUP(HWG102,[14]AssetDetails_UEM!$A$3:$AH$1849,6,FALSE)</f>
        <v>Electrosurgical Units, Monopolar/Bipolar</v>
      </c>
      <c r="HWI102" s="528" t="s">
        <v>213</v>
      </c>
      <c r="HWJ102" s="529" t="str">
        <f>VLOOKUP(HWI102,[14]AssetDetails_UEM!$A$3:$AH$1849,6,FALSE)</f>
        <v>Electrosurgical Units, Monopolar/Bipolar</v>
      </c>
      <c r="HWK102" s="528" t="s">
        <v>213</v>
      </c>
      <c r="HWL102" s="529" t="str">
        <f>VLOOKUP(HWK102,[14]AssetDetails_UEM!$A$3:$AH$1849,6,FALSE)</f>
        <v>Electrosurgical Units, Monopolar/Bipolar</v>
      </c>
      <c r="HWM102" s="528" t="s">
        <v>213</v>
      </c>
      <c r="HWN102" s="529" t="str">
        <f>VLOOKUP(HWM102,[14]AssetDetails_UEM!$A$3:$AH$1849,6,FALSE)</f>
        <v>Electrosurgical Units, Monopolar/Bipolar</v>
      </c>
      <c r="HWO102" s="528" t="s">
        <v>213</v>
      </c>
      <c r="HWP102" s="529" t="str">
        <f>VLOOKUP(HWO102,[14]AssetDetails_UEM!$A$3:$AH$1849,6,FALSE)</f>
        <v>Electrosurgical Units, Monopolar/Bipolar</v>
      </c>
      <c r="HWQ102" s="528" t="s">
        <v>213</v>
      </c>
      <c r="HWR102" s="529" t="str">
        <f>VLOOKUP(HWQ102,[14]AssetDetails_UEM!$A$3:$AH$1849,6,FALSE)</f>
        <v>Electrosurgical Units, Monopolar/Bipolar</v>
      </c>
      <c r="HWS102" s="528" t="s">
        <v>213</v>
      </c>
      <c r="HWT102" s="529" t="str">
        <f>VLOOKUP(HWS102,[14]AssetDetails_UEM!$A$3:$AH$1849,6,FALSE)</f>
        <v>Electrosurgical Units, Monopolar/Bipolar</v>
      </c>
      <c r="HWU102" s="528" t="s">
        <v>213</v>
      </c>
      <c r="HWV102" s="529" t="str">
        <f>VLOOKUP(HWU102,[14]AssetDetails_UEM!$A$3:$AH$1849,6,FALSE)</f>
        <v>Electrosurgical Units, Monopolar/Bipolar</v>
      </c>
      <c r="HWW102" s="528" t="s">
        <v>213</v>
      </c>
      <c r="HWX102" s="529" t="str">
        <f>VLOOKUP(HWW102,[14]AssetDetails_UEM!$A$3:$AH$1849,6,FALSE)</f>
        <v>Electrosurgical Units, Monopolar/Bipolar</v>
      </c>
      <c r="HWY102" s="528" t="s">
        <v>213</v>
      </c>
      <c r="HWZ102" s="529" t="str">
        <f>VLOOKUP(HWY102,[14]AssetDetails_UEM!$A$3:$AH$1849,6,FALSE)</f>
        <v>Electrosurgical Units, Monopolar/Bipolar</v>
      </c>
      <c r="HXA102" s="528" t="s">
        <v>213</v>
      </c>
      <c r="HXB102" s="529" t="str">
        <f>VLOOKUP(HXA102,[14]AssetDetails_UEM!$A$3:$AH$1849,6,FALSE)</f>
        <v>Electrosurgical Units, Monopolar/Bipolar</v>
      </c>
      <c r="HXC102" s="528" t="s">
        <v>213</v>
      </c>
      <c r="HXD102" s="529" t="str">
        <f>VLOOKUP(HXC102,[14]AssetDetails_UEM!$A$3:$AH$1849,6,FALSE)</f>
        <v>Electrosurgical Units, Monopolar/Bipolar</v>
      </c>
      <c r="HXE102" s="528" t="s">
        <v>213</v>
      </c>
      <c r="HXF102" s="529" t="str">
        <f>VLOOKUP(HXE102,[14]AssetDetails_UEM!$A$3:$AH$1849,6,FALSE)</f>
        <v>Electrosurgical Units, Monopolar/Bipolar</v>
      </c>
      <c r="HXG102" s="528" t="s">
        <v>213</v>
      </c>
      <c r="HXH102" s="529" t="str">
        <f>VLOOKUP(HXG102,[14]AssetDetails_UEM!$A$3:$AH$1849,6,FALSE)</f>
        <v>Electrosurgical Units, Monopolar/Bipolar</v>
      </c>
      <c r="HXI102" s="528" t="s">
        <v>213</v>
      </c>
      <c r="HXJ102" s="529" t="str">
        <f>VLOOKUP(HXI102,[14]AssetDetails_UEM!$A$3:$AH$1849,6,FALSE)</f>
        <v>Electrosurgical Units, Monopolar/Bipolar</v>
      </c>
      <c r="HXK102" s="528" t="s">
        <v>213</v>
      </c>
      <c r="HXL102" s="529" t="str">
        <f>VLOOKUP(HXK102,[14]AssetDetails_UEM!$A$3:$AH$1849,6,FALSE)</f>
        <v>Electrosurgical Units, Monopolar/Bipolar</v>
      </c>
      <c r="HXM102" s="528" t="s">
        <v>213</v>
      </c>
      <c r="HXN102" s="529" t="str">
        <f>VLOOKUP(HXM102,[14]AssetDetails_UEM!$A$3:$AH$1849,6,FALSE)</f>
        <v>Electrosurgical Units, Monopolar/Bipolar</v>
      </c>
      <c r="HXO102" s="528" t="s">
        <v>213</v>
      </c>
      <c r="HXP102" s="529" t="str">
        <f>VLOOKUP(HXO102,[14]AssetDetails_UEM!$A$3:$AH$1849,6,FALSE)</f>
        <v>Electrosurgical Units, Monopolar/Bipolar</v>
      </c>
      <c r="HXQ102" s="528" t="s">
        <v>213</v>
      </c>
      <c r="HXR102" s="529" t="str">
        <f>VLOOKUP(HXQ102,[14]AssetDetails_UEM!$A$3:$AH$1849,6,FALSE)</f>
        <v>Electrosurgical Units, Monopolar/Bipolar</v>
      </c>
      <c r="HXS102" s="528" t="s">
        <v>213</v>
      </c>
      <c r="HXT102" s="529" t="str">
        <f>VLOOKUP(HXS102,[14]AssetDetails_UEM!$A$3:$AH$1849,6,FALSE)</f>
        <v>Electrosurgical Units, Monopolar/Bipolar</v>
      </c>
      <c r="HXU102" s="528" t="s">
        <v>213</v>
      </c>
      <c r="HXV102" s="529" t="str">
        <f>VLOOKUP(HXU102,[14]AssetDetails_UEM!$A$3:$AH$1849,6,FALSE)</f>
        <v>Electrosurgical Units, Monopolar/Bipolar</v>
      </c>
      <c r="HXW102" s="528" t="s">
        <v>213</v>
      </c>
      <c r="HXX102" s="529" t="str">
        <f>VLOOKUP(HXW102,[14]AssetDetails_UEM!$A$3:$AH$1849,6,FALSE)</f>
        <v>Electrosurgical Units, Monopolar/Bipolar</v>
      </c>
      <c r="HXY102" s="528" t="s">
        <v>213</v>
      </c>
      <c r="HXZ102" s="529" t="str">
        <f>VLOOKUP(HXY102,[14]AssetDetails_UEM!$A$3:$AH$1849,6,FALSE)</f>
        <v>Electrosurgical Units, Monopolar/Bipolar</v>
      </c>
      <c r="HYA102" s="528" t="s">
        <v>213</v>
      </c>
      <c r="HYB102" s="529" t="str">
        <f>VLOOKUP(HYA102,[14]AssetDetails_UEM!$A$3:$AH$1849,6,FALSE)</f>
        <v>Electrosurgical Units, Monopolar/Bipolar</v>
      </c>
      <c r="HYC102" s="528" t="s">
        <v>213</v>
      </c>
      <c r="HYD102" s="529" t="str">
        <f>VLOOKUP(HYC102,[14]AssetDetails_UEM!$A$3:$AH$1849,6,FALSE)</f>
        <v>Electrosurgical Units, Monopolar/Bipolar</v>
      </c>
      <c r="HYE102" s="528" t="s">
        <v>213</v>
      </c>
      <c r="HYF102" s="529" t="str">
        <f>VLOOKUP(HYE102,[14]AssetDetails_UEM!$A$3:$AH$1849,6,FALSE)</f>
        <v>Electrosurgical Units, Monopolar/Bipolar</v>
      </c>
      <c r="HYG102" s="528" t="s">
        <v>213</v>
      </c>
      <c r="HYH102" s="529" t="str">
        <f>VLOOKUP(HYG102,[14]AssetDetails_UEM!$A$3:$AH$1849,6,FALSE)</f>
        <v>Electrosurgical Units, Monopolar/Bipolar</v>
      </c>
      <c r="HYI102" s="528" t="s">
        <v>213</v>
      </c>
      <c r="HYJ102" s="529" t="str">
        <f>VLOOKUP(HYI102,[14]AssetDetails_UEM!$A$3:$AH$1849,6,FALSE)</f>
        <v>Electrosurgical Units, Monopolar/Bipolar</v>
      </c>
      <c r="HYK102" s="528" t="s">
        <v>213</v>
      </c>
      <c r="HYL102" s="529" t="str">
        <f>VLOOKUP(HYK102,[14]AssetDetails_UEM!$A$3:$AH$1849,6,FALSE)</f>
        <v>Electrosurgical Units, Monopolar/Bipolar</v>
      </c>
      <c r="HYM102" s="528" t="s">
        <v>213</v>
      </c>
      <c r="HYN102" s="529" t="str">
        <f>VLOOKUP(HYM102,[14]AssetDetails_UEM!$A$3:$AH$1849,6,FALSE)</f>
        <v>Electrosurgical Units, Monopolar/Bipolar</v>
      </c>
      <c r="HYO102" s="528" t="s">
        <v>213</v>
      </c>
      <c r="HYP102" s="529" t="str">
        <f>VLOOKUP(HYO102,[14]AssetDetails_UEM!$A$3:$AH$1849,6,FALSE)</f>
        <v>Electrosurgical Units, Monopolar/Bipolar</v>
      </c>
      <c r="HYQ102" s="528" t="s">
        <v>213</v>
      </c>
      <c r="HYR102" s="529" t="str">
        <f>VLOOKUP(HYQ102,[14]AssetDetails_UEM!$A$3:$AH$1849,6,FALSE)</f>
        <v>Electrosurgical Units, Monopolar/Bipolar</v>
      </c>
      <c r="HYS102" s="528" t="s">
        <v>213</v>
      </c>
      <c r="HYT102" s="529" t="str">
        <f>VLOOKUP(HYS102,[14]AssetDetails_UEM!$A$3:$AH$1849,6,FALSE)</f>
        <v>Electrosurgical Units, Monopolar/Bipolar</v>
      </c>
      <c r="HYU102" s="528" t="s">
        <v>213</v>
      </c>
      <c r="HYV102" s="529" t="str">
        <f>VLOOKUP(HYU102,[14]AssetDetails_UEM!$A$3:$AH$1849,6,FALSE)</f>
        <v>Electrosurgical Units, Monopolar/Bipolar</v>
      </c>
      <c r="HYW102" s="528" t="s">
        <v>213</v>
      </c>
      <c r="HYX102" s="529" t="str">
        <f>VLOOKUP(HYW102,[14]AssetDetails_UEM!$A$3:$AH$1849,6,FALSE)</f>
        <v>Electrosurgical Units, Monopolar/Bipolar</v>
      </c>
      <c r="HYY102" s="528" t="s">
        <v>213</v>
      </c>
      <c r="HYZ102" s="529" t="str">
        <f>VLOOKUP(HYY102,[14]AssetDetails_UEM!$A$3:$AH$1849,6,FALSE)</f>
        <v>Electrosurgical Units, Monopolar/Bipolar</v>
      </c>
      <c r="HZA102" s="528" t="s">
        <v>213</v>
      </c>
      <c r="HZB102" s="529" t="str">
        <f>VLOOKUP(HZA102,[14]AssetDetails_UEM!$A$3:$AH$1849,6,FALSE)</f>
        <v>Electrosurgical Units, Monopolar/Bipolar</v>
      </c>
      <c r="HZC102" s="528" t="s">
        <v>213</v>
      </c>
      <c r="HZD102" s="529" t="str">
        <f>VLOOKUP(HZC102,[14]AssetDetails_UEM!$A$3:$AH$1849,6,FALSE)</f>
        <v>Electrosurgical Units, Monopolar/Bipolar</v>
      </c>
      <c r="HZE102" s="528" t="s">
        <v>213</v>
      </c>
      <c r="HZF102" s="529" t="str">
        <f>VLOOKUP(HZE102,[14]AssetDetails_UEM!$A$3:$AH$1849,6,FALSE)</f>
        <v>Electrosurgical Units, Monopolar/Bipolar</v>
      </c>
      <c r="HZG102" s="528" t="s">
        <v>213</v>
      </c>
      <c r="HZH102" s="529" t="str">
        <f>VLOOKUP(HZG102,[14]AssetDetails_UEM!$A$3:$AH$1849,6,FALSE)</f>
        <v>Electrosurgical Units, Monopolar/Bipolar</v>
      </c>
      <c r="HZI102" s="528" t="s">
        <v>213</v>
      </c>
      <c r="HZJ102" s="529" t="str">
        <f>VLOOKUP(HZI102,[14]AssetDetails_UEM!$A$3:$AH$1849,6,FALSE)</f>
        <v>Electrosurgical Units, Monopolar/Bipolar</v>
      </c>
      <c r="HZK102" s="528" t="s">
        <v>213</v>
      </c>
      <c r="HZL102" s="529" t="str">
        <f>VLOOKUP(HZK102,[14]AssetDetails_UEM!$A$3:$AH$1849,6,FALSE)</f>
        <v>Electrosurgical Units, Monopolar/Bipolar</v>
      </c>
      <c r="HZM102" s="528" t="s">
        <v>213</v>
      </c>
      <c r="HZN102" s="529" t="str">
        <f>VLOOKUP(HZM102,[14]AssetDetails_UEM!$A$3:$AH$1849,6,FALSE)</f>
        <v>Electrosurgical Units, Monopolar/Bipolar</v>
      </c>
      <c r="HZO102" s="528" t="s">
        <v>213</v>
      </c>
      <c r="HZP102" s="529" t="str">
        <f>VLOOKUP(HZO102,[14]AssetDetails_UEM!$A$3:$AH$1849,6,FALSE)</f>
        <v>Electrosurgical Units, Monopolar/Bipolar</v>
      </c>
      <c r="HZQ102" s="528" t="s">
        <v>213</v>
      </c>
      <c r="HZR102" s="529" t="str">
        <f>VLOOKUP(HZQ102,[14]AssetDetails_UEM!$A$3:$AH$1849,6,FALSE)</f>
        <v>Electrosurgical Units, Monopolar/Bipolar</v>
      </c>
      <c r="HZS102" s="528" t="s">
        <v>213</v>
      </c>
      <c r="HZT102" s="529" t="str">
        <f>VLOOKUP(HZS102,[14]AssetDetails_UEM!$A$3:$AH$1849,6,FALSE)</f>
        <v>Electrosurgical Units, Monopolar/Bipolar</v>
      </c>
      <c r="HZU102" s="528" t="s">
        <v>213</v>
      </c>
      <c r="HZV102" s="529" t="str">
        <f>VLOOKUP(HZU102,[14]AssetDetails_UEM!$A$3:$AH$1849,6,FALSE)</f>
        <v>Electrosurgical Units, Monopolar/Bipolar</v>
      </c>
      <c r="HZW102" s="528" t="s">
        <v>213</v>
      </c>
      <c r="HZX102" s="529" t="str">
        <f>VLOOKUP(HZW102,[14]AssetDetails_UEM!$A$3:$AH$1849,6,FALSE)</f>
        <v>Electrosurgical Units, Monopolar/Bipolar</v>
      </c>
      <c r="HZY102" s="528" t="s">
        <v>213</v>
      </c>
      <c r="HZZ102" s="529" t="str">
        <f>VLOOKUP(HZY102,[14]AssetDetails_UEM!$A$3:$AH$1849,6,FALSE)</f>
        <v>Electrosurgical Units, Monopolar/Bipolar</v>
      </c>
      <c r="IAA102" s="528" t="s">
        <v>213</v>
      </c>
      <c r="IAB102" s="529" t="str">
        <f>VLOOKUP(IAA102,[14]AssetDetails_UEM!$A$3:$AH$1849,6,FALSE)</f>
        <v>Electrosurgical Units, Monopolar/Bipolar</v>
      </c>
      <c r="IAC102" s="528" t="s">
        <v>213</v>
      </c>
      <c r="IAD102" s="529" t="str">
        <f>VLOOKUP(IAC102,[14]AssetDetails_UEM!$A$3:$AH$1849,6,FALSE)</f>
        <v>Electrosurgical Units, Monopolar/Bipolar</v>
      </c>
      <c r="IAE102" s="528" t="s">
        <v>213</v>
      </c>
      <c r="IAF102" s="529" t="str">
        <f>VLOOKUP(IAE102,[14]AssetDetails_UEM!$A$3:$AH$1849,6,FALSE)</f>
        <v>Electrosurgical Units, Monopolar/Bipolar</v>
      </c>
      <c r="IAG102" s="528" t="s">
        <v>213</v>
      </c>
      <c r="IAH102" s="529" t="str">
        <f>VLOOKUP(IAG102,[14]AssetDetails_UEM!$A$3:$AH$1849,6,FALSE)</f>
        <v>Electrosurgical Units, Monopolar/Bipolar</v>
      </c>
      <c r="IAI102" s="528" t="s">
        <v>213</v>
      </c>
      <c r="IAJ102" s="529" t="str">
        <f>VLOOKUP(IAI102,[14]AssetDetails_UEM!$A$3:$AH$1849,6,FALSE)</f>
        <v>Electrosurgical Units, Monopolar/Bipolar</v>
      </c>
      <c r="IAK102" s="528" t="s">
        <v>213</v>
      </c>
      <c r="IAL102" s="529" t="str">
        <f>VLOOKUP(IAK102,[14]AssetDetails_UEM!$A$3:$AH$1849,6,FALSE)</f>
        <v>Electrosurgical Units, Monopolar/Bipolar</v>
      </c>
      <c r="IAM102" s="528" t="s">
        <v>213</v>
      </c>
      <c r="IAN102" s="529" t="str">
        <f>VLOOKUP(IAM102,[14]AssetDetails_UEM!$A$3:$AH$1849,6,FALSE)</f>
        <v>Electrosurgical Units, Monopolar/Bipolar</v>
      </c>
      <c r="IAO102" s="528" t="s">
        <v>213</v>
      </c>
      <c r="IAP102" s="529" t="str">
        <f>VLOOKUP(IAO102,[14]AssetDetails_UEM!$A$3:$AH$1849,6,FALSE)</f>
        <v>Electrosurgical Units, Monopolar/Bipolar</v>
      </c>
      <c r="IAQ102" s="528" t="s">
        <v>213</v>
      </c>
      <c r="IAR102" s="529" t="str">
        <f>VLOOKUP(IAQ102,[14]AssetDetails_UEM!$A$3:$AH$1849,6,FALSE)</f>
        <v>Electrosurgical Units, Monopolar/Bipolar</v>
      </c>
      <c r="IAS102" s="528" t="s">
        <v>213</v>
      </c>
      <c r="IAT102" s="529" t="str">
        <f>VLOOKUP(IAS102,[14]AssetDetails_UEM!$A$3:$AH$1849,6,FALSE)</f>
        <v>Electrosurgical Units, Monopolar/Bipolar</v>
      </c>
      <c r="IAU102" s="528" t="s">
        <v>213</v>
      </c>
      <c r="IAV102" s="529" t="str">
        <f>VLOOKUP(IAU102,[14]AssetDetails_UEM!$A$3:$AH$1849,6,FALSE)</f>
        <v>Electrosurgical Units, Monopolar/Bipolar</v>
      </c>
      <c r="IAW102" s="528" t="s">
        <v>213</v>
      </c>
      <c r="IAX102" s="529" t="str">
        <f>VLOOKUP(IAW102,[14]AssetDetails_UEM!$A$3:$AH$1849,6,FALSE)</f>
        <v>Electrosurgical Units, Monopolar/Bipolar</v>
      </c>
      <c r="IAY102" s="528" t="s">
        <v>213</v>
      </c>
      <c r="IAZ102" s="529" t="str">
        <f>VLOOKUP(IAY102,[14]AssetDetails_UEM!$A$3:$AH$1849,6,FALSE)</f>
        <v>Electrosurgical Units, Monopolar/Bipolar</v>
      </c>
      <c r="IBA102" s="528" t="s">
        <v>213</v>
      </c>
      <c r="IBB102" s="529" t="str">
        <f>VLOOKUP(IBA102,[14]AssetDetails_UEM!$A$3:$AH$1849,6,FALSE)</f>
        <v>Electrosurgical Units, Monopolar/Bipolar</v>
      </c>
      <c r="IBC102" s="528" t="s">
        <v>213</v>
      </c>
      <c r="IBD102" s="529" t="str">
        <f>VLOOKUP(IBC102,[14]AssetDetails_UEM!$A$3:$AH$1849,6,FALSE)</f>
        <v>Electrosurgical Units, Monopolar/Bipolar</v>
      </c>
      <c r="IBE102" s="528" t="s">
        <v>213</v>
      </c>
      <c r="IBF102" s="529" t="str">
        <f>VLOOKUP(IBE102,[14]AssetDetails_UEM!$A$3:$AH$1849,6,FALSE)</f>
        <v>Electrosurgical Units, Monopolar/Bipolar</v>
      </c>
      <c r="IBG102" s="528" t="s">
        <v>213</v>
      </c>
      <c r="IBH102" s="529" t="str">
        <f>VLOOKUP(IBG102,[14]AssetDetails_UEM!$A$3:$AH$1849,6,FALSE)</f>
        <v>Electrosurgical Units, Monopolar/Bipolar</v>
      </c>
      <c r="IBI102" s="528" t="s">
        <v>213</v>
      </c>
      <c r="IBJ102" s="529" t="str">
        <f>VLOOKUP(IBI102,[14]AssetDetails_UEM!$A$3:$AH$1849,6,FALSE)</f>
        <v>Electrosurgical Units, Monopolar/Bipolar</v>
      </c>
      <c r="IBK102" s="528" t="s">
        <v>213</v>
      </c>
      <c r="IBL102" s="529" t="str">
        <f>VLOOKUP(IBK102,[14]AssetDetails_UEM!$A$3:$AH$1849,6,FALSE)</f>
        <v>Electrosurgical Units, Monopolar/Bipolar</v>
      </c>
      <c r="IBM102" s="528" t="s">
        <v>213</v>
      </c>
      <c r="IBN102" s="529" t="str">
        <f>VLOOKUP(IBM102,[14]AssetDetails_UEM!$A$3:$AH$1849,6,FALSE)</f>
        <v>Electrosurgical Units, Monopolar/Bipolar</v>
      </c>
      <c r="IBO102" s="528" t="s">
        <v>213</v>
      </c>
      <c r="IBP102" s="529" t="str">
        <f>VLOOKUP(IBO102,[14]AssetDetails_UEM!$A$3:$AH$1849,6,FALSE)</f>
        <v>Electrosurgical Units, Monopolar/Bipolar</v>
      </c>
      <c r="IBQ102" s="528" t="s">
        <v>213</v>
      </c>
      <c r="IBR102" s="529" t="str">
        <f>VLOOKUP(IBQ102,[14]AssetDetails_UEM!$A$3:$AH$1849,6,FALSE)</f>
        <v>Electrosurgical Units, Monopolar/Bipolar</v>
      </c>
      <c r="IBS102" s="528" t="s">
        <v>213</v>
      </c>
      <c r="IBT102" s="529" t="str">
        <f>VLOOKUP(IBS102,[14]AssetDetails_UEM!$A$3:$AH$1849,6,FALSE)</f>
        <v>Electrosurgical Units, Monopolar/Bipolar</v>
      </c>
      <c r="IBU102" s="528" t="s">
        <v>213</v>
      </c>
      <c r="IBV102" s="529" t="str">
        <f>VLOOKUP(IBU102,[14]AssetDetails_UEM!$A$3:$AH$1849,6,FALSE)</f>
        <v>Electrosurgical Units, Monopolar/Bipolar</v>
      </c>
      <c r="IBW102" s="528" t="s">
        <v>213</v>
      </c>
      <c r="IBX102" s="529" t="str">
        <f>VLOOKUP(IBW102,[14]AssetDetails_UEM!$A$3:$AH$1849,6,FALSE)</f>
        <v>Electrosurgical Units, Monopolar/Bipolar</v>
      </c>
      <c r="IBY102" s="528" t="s">
        <v>213</v>
      </c>
      <c r="IBZ102" s="529" t="str">
        <f>VLOOKUP(IBY102,[14]AssetDetails_UEM!$A$3:$AH$1849,6,FALSE)</f>
        <v>Electrosurgical Units, Monopolar/Bipolar</v>
      </c>
      <c r="ICA102" s="528" t="s">
        <v>213</v>
      </c>
      <c r="ICB102" s="529" t="str">
        <f>VLOOKUP(ICA102,[14]AssetDetails_UEM!$A$3:$AH$1849,6,FALSE)</f>
        <v>Electrosurgical Units, Monopolar/Bipolar</v>
      </c>
      <c r="ICC102" s="528" t="s">
        <v>213</v>
      </c>
      <c r="ICD102" s="529" t="str">
        <f>VLOOKUP(ICC102,[14]AssetDetails_UEM!$A$3:$AH$1849,6,FALSE)</f>
        <v>Electrosurgical Units, Monopolar/Bipolar</v>
      </c>
      <c r="ICE102" s="528" t="s">
        <v>213</v>
      </c>
      <c r="ICF102" s="529" t="str">
        <f>VLOOKUP(ICE102,[14]AssetDetails_UEM!$A$3:$AH$1849,6,FALSE)</f>
        <v>Electrosurgical Units, Monopolar/Bipolar</v>
      </c>
      <c r="ICG102" s="528" t="s">
        <v>213</v>
      </c>
      <c r="ICH102" s="529" t="str">
        <f>VLOOKUP(ICG102,[14]AssetDetails_UEM!$A$3:$AH$1849,6,FALSE)</f>
        <v>Electrosurgical Units, Monopolar/Bipolar</v>
      </c>
      <c r="ICI102" s="528" t="s">
        <v>213</v>
      </c>
      <c r="ICJ102" s="529" t="str">
        <f>VLOOKUP(ICI102,[14]AssetDetails_UEM!$A$3:$AH$1849,6,FALSE)</f>
        <v>Electrosurgical Units, Monopolar/Bipolar</v>
      </c>
      <c r="ICK102" s="528" t="s">
        <v>213</v>
      </c>
      <c r="ICL102" s="529" t="str">
        <f>VLOOKUP(ICK102,[14]AssetDetails_UEM!$A$3:$AH$1849,6,FALSE)</f>
        <v>Electrosurgical Units, Monopolar/Bipolar</v>
      </c>
      <c r="ICM102" s="528" t="s">
        <v>213</v>
      </c>
      <c r="ICN102" s="529" t="str">
        <f>VLOOKUP(ICM102,[14]AssetDetails_UEM!$A$3:$AH$1849,6,FALSE)</f>
        <v>Electrosurgical Units, Monopolar/Bipolar</v>
      </c>
      <c r="ICO102" s="528" t="s">
        <v>213</v>
      </c>
      <c r="ICP102" s="529" t="str">
        <f>VLOOKUP(ICO102,[14]AssetDetails_UEM!$A$3:$AH$1849,6,FALSE)</f>
        <v>Electrosurgical Units, Monopolar/Bipolar</v>
      </c>
      <c r="ICQ102" s="528" t="s">
        <v>213</v>
      </c>
      <c r="ICR102" s="529" t="str">
        <f>VLOOKUP(ICQ102,[14]AssetDetails_UEM!$A$3:$AH$1849,6,FALSE)</f>
        <v>Electrosurgical Units, Monopolar/Bipolar</v>
      </c>
      <c r="ICS102" s="528" t="s">
        <v>213</v>
      </c>
      <c r="ICT102" s="529" t="str">
        <f>VLOOKUP(ICS102,[14]AssetDetails_UEM!$A$3:$AH$1849,6,FALSE)</f>
        <v>Electrosurgical Units, Monopolar/Bipolar</v>
      </c>
      <c r="ICU102" s="528" t="s">
        <v>213</v>
      </c>
      <c r="ICV102" s="529" t="str">
        <f>VLOOKUP(ICU102,[14]AssetDetails_UEM!$A$3:$AH$1849,6,FALSE)</f>
        <v>Electrosurgical Units, Monopolar/Bipolar</v>
      </c>
      <c r="ICW102" s="528" t="s">
        <v>213</v>
      </c>
      <c r="ICX102" s="529" t="str">
        <f>VLOOKUP(ICW102,[14]AssetDetails_UEM!$A$3:$AH$1849,6,FALSE)</f>
        <v>Electrosurgical Units, Monopolar/Bipolar</v>
      </c>
      <c r="ICY102" s="528" t="s">
        <v>213</v>
      </c>
      <c r="ICZ102" s="529" t="str">
        <f>VLOOKUP(ICY102,[14]AssetDetails_UEM!$A$3:$AH$1849,6,FALSE)</f>
        <v>Electrosurgical Units, Monopolar/Bipolar</v>
      </c>
      <c r="IDA102" s="528" t="s">
        <v>213</v>
      </c>
      <c r="IDB102" s="529" t="str">
        <f>VLOOKUP(IDA102,[14]AssetDetails_UEM!$A$3:$AH$1849,6,FALSE)</f>
        <v>Electrosurgical Units, Monopolar/Bipolar</v>
      </c>
      <c r="IDC102" s="528" t="s">
        <v>213</v>
      </c>
      <c r="IDD102" s="529" t="str">
        <f>VLOOKUP(IDC102,[14]AssetDetails_UEM!$A$3:$AH$1849,6,FALSE)</f>
        <v>Electrosurgical Units, Monopolar/Bipolar</v>
      </c>
      <c r="IDE102" s="528" t="s">
        <v>213</v>
      </c>
      <c r="IDF102" s="529" t="str">
        <f>VLOOKUP(IDE102,[14]AssetDetails_UEM!$A$3:$AH$1849,6,FALSE)</f>
        <v>Electrosurgical Units, Monopolar/Bipolar</v>
      </c>
      <c r="IDG102" s="528" t="s">
        <v>213</v>
      </c>
      <c r="IDH102" s="529" t="str">
        <f>VLOOKUP(IDG102,[14]AssetDetails_UEM!$A$3:$AH$1849,6,FALSE)</f>
        <v>Electrosurgical Units, Monopolar/Bipolar</v>
      </c>
      <c r="IDI102" s="528" t="s">
        <v>213</v>
      </c>
      <c r="IDJ102" s="529" t="str">
        <f>VLOOKUP(IDI102,[14]AssetDetails_UEM!$A$3:$AH$1849,6,FALSE)</f>
        <v>Electrosurgical Units, Monopolar/Bipolar</v>
      </c>
      <c r="IDK102" s="528" t="s">
        <v>213</v>
      </c>
      <c r="IDL102" s="529" t="str">
        <f>VLOOKUP(IDK102,[14]AssetDetails_UEM!$A$3:$AH$1849,6,FALSE)</f>
        <v>Electrosurgical Units, Monopolar/Bipolar</v>
      </c>
      <c r="IDM102" s="528" t="s">
        <v>213</v>
      </c>
      <c r="IDN102" s="529" t="str">
        <f>VLOOKUP(IDM102,[14]AssetDetails_UEM!$A$3:$AH$1849,6,FALSE)</f>
        <v>Electrosurgical Units, Monopolar/Bipolar</v>
      </c>
      <c r="IDO102" s="528" t="s">
        <v>213</v>
      </c>
      <c r="IDP102" s="529" t="str">
        <f>VLOOKUP(IDO102,[14]AssetDetails_UEM!$A$3:$AH$1849,6,FALSE)</f>
        <v>Electrosurgical Units, Monopolar/Bipolar</v>
      </c>
      <c r="IDQ102" s="528" t="s">
        <v>213</v>
      </c>
      <c r="IDR102" s="529" t="str">
        <f>VLOOKUP(IDQ102,[14]AssetDetails_UEM!$A$3:$AH$1849,6,FALSE)</f>
        <v>Electrosurgical Units, Monopolar/Bipolar</v>
      </c>
      <c r="IDS102" s="528" t="s">
        <v>213</v>
      </c>
      <c r="IDT102" s="529" t="str">
        <f>VLOOKUP(IDS102,[14]AssetDetails_UEM!$A$3:$AH$1849,6,FALSE)</f>
        <v>Electrosurgical Units, Monopolar/Bipolar</v>
      </c>
      <c r="IDU102" s="528" t="s">
        <v>213</v>
      </c>
      <c r="IDV102" s="529" t="str">
        <f>VLOOKUP(IDU102,[14]AssetDetails_UEM!$A$3:$AH$1849,6,FALSE)</f>
        <v>Electrosurgical Units, Monopolar/Bipolar</v>
      </c>
      <c r="IDW102" s="528" t="s">
        <v>213</v>
      </c>
      <c r="IDX102" s="529" t="str">
        <f>VLOOKUP(IDW102,[14]AssetDetails_UEM!$A$3:$AH$1849,6,FALSE)</f>
        <v>Electrosurgical Units, Monopolar/Bipolar</v>
      </c>
      <c r="IDY102" s="528" t="s">
        <v>213</v>
      </c>
      <c r="IDZ102" s="529" t="str">
        <f>VLOOKUP(IDY102,[14]AssetDetails_UEM!$A$3:$AH$1849,6,FALSE)</f>
        <v>Electrosurgical Units, Monopolar/Bipolar</v>
      </c>
      <c r="IEA102" s="528" t="s">
        <v>213</v>
      </c>
      <c r="IEB102" s="529" t="str">
        <f>VLOOKUP(IEA102,[14]AssetDetails_UEM!$A$3:$AH$1849,6,FALSE)</f>
        <v>Electrosurgical Units, Monopolar/Bipolar</v>
      </c>
      <c r="IEC102" s="528" t="s">
        <v>213</v>
      </c>
      <c r="IED102" s="529" t="str">
        <f>VLOOKUP(IEC102,[14]AssetDetails_UEM!$A$3:$AH$1849,6,FALSE)</f>
        <v>Electrosurgical Units, Monopolar/Bipolar</v>
      </c>
      <c r="IEE102" s="528" t="s">
        <v>213</v>
      </c>
      <c r="IEF102" s="529" t="str">
        <f>VLOOKUP(IEE102,[14]AssetDetails_UEM!$A$3:$AH$1849,6,FALSE)</f>
        <v>Electrosurgical Units, Monopolar/Bipolar</v>
      </c>
      <c r="IEG102" s="528" t="s">
        <v>213</v>
      </c>
      <c r="IEH102" s="529" t="str">
        <f>VLOOKUP(IEG102,[14]AssetDetails_UEM!$A$3:$AH$1849,6,FALSE)</f>
        <v>Electrosurgical Units, Monopolar/Bipolar</v>
      </c>
      <c r="IEI102" s="528" t="s">
        <v>213</v>
      </c>
      <c r="IEJ102" s="529" t="str">
        <f>VLOOKUP(IEI102,[14]AssetDetails_UEM!$A$3:$AH$1849,6,FALSE)</f>
        <v>Electrosurgical Units, Monopolar/Bipolar</v>
      </c>
      <c r="IEK102" s="528" t="s">
        <v>213</v>
      </c>
      <c r="IEL102" s="529" t="str">
        <f>VLOOKUP(IEK102,[14]AssetDetails_UEM!$A$3:$AH$1849,6,FALSE)</f>
        <v>Electrosurgical Units, Monopolar/Bipolar</v>
      </c>
      <c r="IEM102" s="528" t="s">
        <v>213</v>
      </c>
      <c r="IEN102" s="529" t="str">
        <f>VLOOKUP(IEM102,[14]AssetDetails_UEM!$A$3:$AH$1849,6,FALSE)</f>
        <v>Electrosurgical Units, Monopolar/Bipolar</v>
      </c>
      <c r="IEO102" s="528" t="s">
        <v>213</v>
      </c>
      <c r="IEP102" s="529" t="str">
        <f>VLOOKUP(IEO102,[14]AssetDetails_UEM!$A$3:$AH$1849,6,FALSE)</f>
        <v>Electrosurgical Units, Monopolar/Bipolar</v>
      </c>
      <c r="IEQ102" s="528" t="s">
        <v>213</v>
      </c>
      <c r="IER102" s="529" t="str">
        <f>VLOOKUP(IEQ102,[14]AssetDetails_UEM!$A$3:$AH$1849,6,FALSE)</f>
        <v>Electrosurgical Units, Monopolar/Bipolar</v>
      </c>
      <c r="IES102" s="528" t="s">
        <v>213</v>
      </c>
      <c r="IET102" s="529" t="str">
        <f>VLOOKUP(IES102,[14]AssetDetails_UEM!$A$3:$AH$1849,6,FALSE)</f>
        <v>Electrosurgical Units, Monopolar/Bipolar</v>
      </c>
      <c r="IEU102" s="528" t="s">
        <v>213</v>
      </c>
      <c r="IEV102" s="529" t="str">
        <f>VLOOKUP(IEU102,[14]AssetDetails_UEM!$A$3:$AH$1849,6,FALSE)</f>
        <v>Electrosurgical Units, Monopolar/Bipolar</v>
      </c>
      <c r="IEW102" s="528" t="s">
        <v>213</v>
      </c>
      <c r="IEX102" s="529" t="str">
        <f>VLOOKUP(IEW102,[14]AssetDetails_UEM!$A$3:$AH$1849,6,FALSE)</f>
        <v>Electrosurgical Units, Monopolar/Bipolar</v>
      </c>
      <c r="IEY102" s="528" t="s">
        <v>213</v>
      </c>
      <c r="IEZ102" s="529" t="str">
        <f>VLOOKUP(IEY102,[14]AssetDetails_UEM!$A$3:$AH$1849,6,FALSE)</f>
        <v>Electrosurgical Units, Monopolar/Bipolar</v>
      </c>
      <c r="IFA102" s="528" t="s">
        <v>213</v>
      </c>
      <c r="IFB102" s="529" t="str">
        <f>VLOOKUP(IFA102,[14]AssetDetails_UEM!$A$3:$AH$1849,6,FALSE)</f>
        <v>Electrosurgical Units, Monopolar/Bipolar</v>
      </c>
      <c r="IFC102" s="528" t="s">
        <v>213</v>
      </c>
      <c r="IFD102" s="529" t="str">
        <f>VLOOKUP(IFC102,[14]AssetDetails_UEM!$A$3:$AH$1849,6,FALSE)</f>
        <v>Electrosurgical Units, Monopolar/Bipolar</v>
      </c>
      <c r="IFE102" s="528" t="s">
        <v>213</v>
      </c>
      <c r="IFF102" s="529" t="str">
        <f>VLOOKUP(IFE102,[14]AssetDetails_UEM!$A$3:$AH$1849,6,FALSE)</f>
        <v>Electrosurgical Units, Monopolar/Bipolar</v>
      </c>
      <c r="IFG102" s="528" t="s">
        <v>213</v>
      </c>
      <c r="IFH102" s="529" t="str">
        <f>VLOOKUP(IFG102,[14]AssetDetails_UEM!$A$3:$AH$1849,6,FALSE)</f>
        <v>Electrosurgical Units, Monopolar/Bipolar</v>
      </c>
      <c r="IFI102" s="528" t="s">
        <v>213</v>
      </c>
      <c r="IFJ102" s="529" t="str">
        <f>VLOOKUP(IFI102,[14]AssetDetails_UEM!$A$3:$AH$1849,6,FALSE)</f>
        <v>Electrosurgical Units, Monopolar/Bipolar</v>
      </c>
      <c r="IFK102" s="528" t="s">
        <v>213</v>
      </c>
      <c r="IFL102" s="529" t="str">
        <f>VLOOKUP(IFK102,[14]AssetDetails_UEM!$A$3:$AH$1849,6,FALSE)</f>
        <v>Electrosurgical Units, Monopolar/Bipolar</v>
      </c>
      <c r="IFM102" s="528" t="s">
        <v>213</v>
      </c>
      <c r="IFN102" s="529" t="str">
        <f>VLOOKUP(IFM102,[14]AssetDetails_UEM!$A$3:$AH$1849,6,FALSE)</f>
        <v>Electrosurgical Units, Monopolar/Bipolar</v>
      </c>
      <c r="IFO102" s="528" t="s">
        <v>213</v>
      </c>
      <c r="IFP102" s="529" t="str">
        <f>VLOOKUP(IFO102,[14]AssetDetails_UEM!$A$3:$AH$1849,6,FALSE)</f>
        <v>Electrosurgical Units, Monopolar/Bipolar</v>
      </c>
      <c r="IFQ102" s="528" t="s">
        <v>213</v>
      </c>
      <c r="IFR102" s="529" t="str">
        <f>VLOOKUP(IFQ102,[14]AssetDetails_UEM!$A$3:$AH$1849,6,FALSE)</f>
        <v>Electrosurgical Units, Monopolar/Bipolar</v>
      </c>
      <c r="IFS102" s="528" t="s">
        <v>213</v>
      </c>
      <c r="IFT102" s="529" t="str">
        <f>VLOOKUP(IFS102,[14]AssetDetails_UEM!$A$3:$AH$1849,6,FALSE)</f>
        <v>Electrosurgical Units, Monopolar/Bipolar</v>
      </c>
      <c r="IFU102" s="528" t="s">
        <v>213</v>
      </c>
      <c r="IFV102" s="529" t="str">
        <f>VLOOKUP(IFU102,[14]AssetDetails_UEM!$A$3:$AH$1849,6,FALSE)</f>
        <v>Electrosurgical Units, Monopolar/Bipolar</v>
      </c>
      <c r="IFW102" s="528" t="s">
        <v>213</v>
      </c>
      <c r="IFX102" s="529" t="str">
        <f>VLOOKUP(IFW102,[14]AssetDetails_UEM!$A$3:$AH$1849,6,FALSE)</f>
        <v>Electrosurgical Units, Monopolar/Bipolar</v>
      </c>
      <c r="IFY102" s="528" t="s">
        <v>213</v>
      </c>
      <c r="IFZ102" s="529" t="str">
        <f>VLOOKUP(IFY102,[14]AssetDetails_UEM!$A$3:$AH$1849,6,FALSE)</f>
        <v>Electrosurgical Units, Monopolar/Bipolar</v>
      </c>
      <c r="IGA102" s="528" t="s">
        <v>213</v>
      </c>
      <c r="IGB102" s="529" t="str">
        <f>VLOOKUP(IGA102,[14]AssetDetails_UEM!$A$3:$AH$1849,6,FALSE)</f>
        <v>Electrosurgical Units, Monopolar/Bipolar</v>
      </c>
      <c r="IGC102" s="528" t="s">
        <v>213</v>
      </c>
      <c r="IGD102" s="529" t="str">
        <f>VLOOKUP(IGC102,[14]AssetDetails_UEM!$A$3:$AH$1849,6,FALSE)</f>
        <v>Electrosurgical Units, Monopolar/Bipolar</v>
      </c>
      <c r="IGE102" s="528" t="s">
        <v>213</v>
      </c>
      <c r="IGF102" s="529" t="str">
        <f>VLOOKUP(IGE102,[14]AssetDetails_UEM!$A$3:$AH$1849,6,FALSE)</f>
        <v>Electrosurgical Units, Monopolar/Bipolar</v>
      </c>
      <c r="IGG102" s="528" t="s">
        <v>213</v>
      </c>
      <c r="IGH102" s="529" t="str">
        <f>VLOOKUP(IGG102,[14]AssetDetails_UEM!$A$3:$AH$1849,6,FALSE)</f>
        <v>Electrosurgical Units, Monopolar/Bipolar</v>
      </c>
      <c r="IGI102" s="528" t="s">
        <v>213</v>
      </c>
      <c r="IGJ102" s="529" t="str">
        <f>VLOOKUP(IGI102,[14]AssetDetails_UEM!$A$3:$AH$1849,6,FALSE)</f>
        <v>Electrosurgical Units, Monopolar/Bipolar</v>
      </c>
      <c r="IGK102" s="528" t="s">
        <v>213</v>
      </c>
      <c r="IGL102" s="529" t="str">
        <f>VLOOKUP(IGK102,[14]AssetDetails_UEM!$A$3:$AH$1849,6,FALSE)</f>
        <v>Electrosurgical Units, Monopolar/Bipolar</v>
      </c>
      <c r="IGM102" s="528" t="s">
        <v>213</v>
      </c>
      <c r="IGN102" s="529" t="str">
        <f>VLOOKUP(IGM102,[14]AssetDetails_UEM!$A$3:$AH$1849,6,FALSE)</f>
        <v>Electrosurgical Units, Monopolar/Bipolar</v>
      </c>
      <c r="IGO102" s="528" t="s">
        <v>213</v>
      </c>
      <c r="IGP102" s="529" t="str">
        <f>VLOOKUP(IGO102,[14]AssetDetails_UEM!$A$3:$AH$1849,6,FALSE)</f>
        <v>Electrosurgical Units, Monopolar/Bipolar</v>
      </c>
      <c r="IGQ102" s="528" t="s">
        <v>213</v>
      </c>
      <c r="IGR102" s="529" t="str">
        <f>VLOOKUP(IGQ102,[14]AssetDetails_UEM!$A$3:$AH$1849,6,FALSE)</f>
        <v>Electrosurgical Units, Monopolar/Bipolar</v>
      </c>
      <c r="IGS102" s="528" t="s">
        <v>213</v>
      </c>
      <c r="IGT102" s="529" t="str">
        <f>VLOOKUP(IGS102,[14]AssetDetails_UEM!$A$3:$AH$1849,6,FALSE)</f>
        <v>Electrosurgical Units, Monopolar/Bipolar</v>
      </c>
      <c r="IGU102" s="528" t="s">
        <v>213</v>
      </c>
      <c r="IGV102" s="529" t="str">
        <f>VLOOKUP(IGU102,[14]AssetDetails_UEM!$A$3:$AH$1849,6,FALSE)</f>
        <v>Electrosurgical Units, Monopolar/Bipolar</v>
      </c>
      <c r="IGW102" s="528" t="s">
        <v>213</v>
      </c>
      <c r="IGX102" s="529" t="str">
        <f>VLOOKUP(IGW102,[14]AssetDetails_UEM!$A$3:$AH$1849,6,FALSE)</f>
        <v>Electrosurgical Units, Monopolar/Bipolar</v>
      </c>
      <c r="IGY102" s="528" t="s">
        <v>213</v>
      </c>
      <c r="IGZ102" s="529" t="str">
        <f>VLOOKUP(IGY102,[14]AssetDetails_UEM!$A$3:$AH$1849,6,FALSE)</f>
        <v>Electrosurgical Units, Monopolar/Bipolar</v>
      </c>
      <c r="IHA102" s="528" t="s">
        <v>213</v>
      </c>
      <c r="IHB102" s="529" t="str">
        <f>VLOOKUP(IHA102,[14]AssetDetails_UEM!$A$3:$AH$1849,6,FALSE)</f>
        <v>Electrosurgical Units, Monopolar/Bipolar</v>
      </c>
      <c r="IHC102" s="528" t="s">
        <v>213</v>
      </c>
      <c r="IHD102" s="529" t="str">
        <f>VLOOKUP(IHC102,[14]AssetDetails_UEM!$A$3:$AH$1849,6,FALSE)</f>
        <v>Electrosurgical Units, Monopolar/Bipolar</v>
      </c>
      <c r="IHE102" s="528" t="s">
        <v>213</v>
      </c>
      <c r="IHF102" s="529" t="str">
        <f>VLOOKUP(IHE102,[14]AssetDetails_UEM!$A$3:$AH$1849,6,FALSE)</f>
        <v>Electrosurgical Units, Monopolar/Bipolar</v>
      </c>
      <c r="IHG102" s="528" t="s">
        <v>213</v>
      </c>
      <c r="IHH102" s="529" t="str">
        <f>VLOOKUP(IHG102,[14]AssetDetails_UEM!$A$3:$AH$1849,6,FALSE)</f>
        <v>Electrosurgical Units, Monopolar/Bipolar</v>
      </c>
      <c r="IHI102" s="528" t="s">
        <v>213</v>
      </c>
      <c r="IHJ102" s="529" t="str">
        <f>VLOOKUP(IHI102,[14]AssetDetails_UEM!$A$3:$AH$1849,6,FALSE)</f>
        <v>Electrosurgical Units, Monopolar/Bipolar</v>
      </c>
      <c r="IHK102" s="528" t="s">
        <v>213</v>
      </c>
      <c r="IHL102" s="529" t="str">
        <f>VLOOKUP(IHK102,[14]AssetDetails_UEM!$A$3:$AH$1849,6,FALSE)</f>
        <v>Electrosurgical Units, Monopolar/Bipolar</v>
      </c>
      <c r="IHM102" s="528" t="s">
        <v>213</v>
      </c>
      <c r="IHN102" s="529" t="str">
        <f>VLOOKUP(IHM102,[14]AssetDetails_UEM!$A$3:$AH$1849,6,FALSE)</f>
        <v>Electrosurgical Units, Monopolar/Bipolar</v>
      </c>
      <c r="IHO102" s="528" t="s">
        <v>213</v>
      </c>
      <c r="IHP102" s="529" t="str">
        <f>VLOOKUP(IHO102,[14]AssetDetails_UEM!$A$3:$AH$1849,6,FALSE)</f>
        <v>Electrosurgical Units, Monopolar/Bipolar</v>
      </c>
      <c r="IHQ102" s="528" t="s">
        <v>213</v>
      </c>
      <c r="IHR102" s="529" t="str">
        <f>VLOOKUP(IHQ102,[14]AssetDetails_UEM!$A$3:$AH$1849,6,FALSE)</f>
        <v>Electrosurgical Units, Monopolar/Bipolar</v>
      </c>
      <c r="IHS102" s="528" t="s">
        <v>213</v>
      </c>
      <c r="IHT102" s="529" t="str">
        <f>VLOOKUP(IHS102,[14]AssetDetails_UEM!$A$3:$AH$1849,6,FALSE)</f>
        <v>Electrosurgical Units, Monopolar/Bipolar</v>
      </c>
      <c r="IHU102" s="528" t="s">
        <v>213</v>
      </c>
      <c r="IHV102" s="529" t="str">
        <f>VLOOKUP(IHU102,[14]AssetDetails_UEM!$A$3:$AH$1849,6,FALSE)</f>
        <v>Electrosurgical Units, Monopolar/Bipolar</v>
      </c>
      <c r="IHW102" s="528" t="s">
        <v>213</v>
      </c>
      <c r="IHX102" s="529" t="str">
        <f>VLOOKUP(IHW102,[14]AssetDetails_UEM!$A$3:$AH$1849,6,FALSE)</f>
        <v>Electrosurgical Units, Monopolar/Bipolar</v>
      </c>
      <c r="IHY102" s="528" t="s">
        <v>213</v>
      </c>
      <c r="IHZ102" s="529" t="str">
        <f>VLOOKUP(IHY102,[14]AssetDetails_UEM!$A$3:$AH$1849,6,FALSE)</f>
        <v>Electrosurgical Units, Monopolar/Bipolar</v>
      </c>
      <c r="IIA102" s="528" t="s">
        <v>213</v>
      </c>
      <c r="IIB102" s="529" t="str">
        <f>VLOOKUP(IIA102,[14]AssetDetails_UEM!$A$3:$AH$1849,6,FALSE)</f>
        <v>Electrosurgical Units, Monopolar/Bipolar</v>
      </c>
      <c r="IIC102" s="528" t="s">
        <v>213</v>
      </c>
      <c r="IID102" s="529" t="str">
        <f>VLOOKUP(IIC102,[14]AssetDetails_UEM!$A$3:$AH$1849,6,FALSE)</f>
        <v>Electrosurgical Units, Monopolar/Bipolar</v>
      </c>
      <c r="IIE102" s="528" t="s">
        <v>213</v>
      </c>
      <c r="IIF102" s="529" t="str">
        <f>VLOOKUP(IIE102,[14]AssetDetails_UEM!$A$3:$AH$1849,6,FALSE)</f>
        <v>Electrosurgical Units, Monopolar/Bipolar</v>
      </c>
      <c r="IIG102" s="528" t="s">
        <v>213</v>
      </c>
      <c r="IIH102" s="529" t="str">
        <f>VLOOKUP(IIG102,[14]AssetDetails_UEM!$A$3:$AH$1849,6,FALSE)</f>
        <v>Electrosurgical Units, Monopolar/Bipolar</v>
      </c>
      <c r="III102" s="528" t="s">
        <v>213</v>
      </c>
      <c r="IIJ102" s="529" t="str">
        <f>VLOOKUP(III102,[14]AssetDetails_UEM!$A$3:$AH$1849,6,FALSE)</f>
        <v>Electrosurgical Units, Monopolar/Bipolar</v>
      </c>
      <c r="IIK102" s="528" t="s">
        <v>213</v>
      </c>
      <c r="IIL102" s="529" t="str">
        <f>VLOOKUP(IIK102,[14]AssetDetails_UEM!$A$3:$AH$1849,6,FALSE)</f>
        <v>Electrosurgical Units, Monopolar/Bipolar</v>
      </c>
      <c r="IIM102" s="528" t="s">
        <v>213</v>
      </c>
      <c r="IIN102" s="529" t="str">
        <f>VLOOKUP(IIM102,[14]AssetDetails_UEM!$A$3:$AH$1849,6,FALSE)</f>
        <v>Electrosurgical Units, Monopolar/Bipolar</v>
      </c>
      <c r="IIO102" s="528" t="s">
        <v>213</v>
      </c>
      <c r="IIP102" s="529" t="str">
        <f>VLOOKUP(IIO102,[14]AssetDetails_UEM!$A$3:$AH$1849,6,FALSE)</f>
        <v>Electrosurgical Units, Monopolar/Bipolar</v>
      </c>
      <c r="IIQ102" s="528" t="s">
        <v>213</v>
      </c>
      <c r="IIR102" s="529" t="str">
        <f>VLOOKUP(IIQ102,[14]AssetDetails_UEM!$A$3:$AH$1849,6,FALSE)</f>
        <v>Electrosurgical Units, Monopolar/Bipolar</v>
      </c>
      <c r="IIS102" s="528" t="s">
        <v>213</v>
      </c>
      <c r="IIT102" s="529" t="str">
        <f>VLOOKUP(IIS102,[14]AssetDetails_UEM!$A$3:$AH$1849,6,FALSE)</f>
        <v>Electrosurgical Units, Monopolar/Bipolar</v>
      </c>
      <c r="IIU102" s="528" t="s">
        <v>213</v>
      </c>
      <c r="IIV102" s="529" t="str">
        <f>VLOOKUP(IIU102,[14]AssetDetails_UEM!$A$3:$AH$1849,6,FALSE)</f>
        <v>Electrosurgical Units, Monopolar/Bipolar</v>
      </c>
      <c r="IIW102" s="528" t="s">
        <v>213</v>
      </c>
      <c r="IIX102" s="529" t="str">
        <f>VLOOKUP(IIW102,[14]AssetDetails_UEM!$A$3:$AH$1849,6,FALSE)</f>
        <v>Electrosurgical Units, Monopolar/Bipolar</v>
      </c>
      <c r="IIY102" s="528" t="s">
        <v>213</v>
      </c>
      <c r="IIZ102" s="529" t="str">
        <f>VLOOKUP(IIY102,[14]AssetDetails_UEM!$A$3:$AH$1849,6,FALSE)</f>
        <v>Electrosurgical Units, Monopolar/Bipolar</v>
      </c>
      <c r="IJA102" s="528" t="s">
        <v>213</v>
      </c>
      <c r="IJB102" s="529" t="str">
        <f>VLOOKUP(IJA102,[14]AssetDetails_UEM!$A$3:$AH$1849,6,FALSE)</f>
        <v>Electrosurgical Units, Monopolar/Bipolar</v>
      </c>
      <c r="IJC102" s="528" t="s">
        <v>213</v>
      </c>
      <c r="IJD102" s="529" t="str">
        <f>VLOOKUP(IJC102,[14]AssetDetails_UEM!$A$3:$AH$1849,6,FALSE)</f>
        <v>Electrosurgical Units, Monopolar/Bipolar</v>
      </c>
      <c r="IJE102" s="528" t="s">
        <v>213</v>
      </c>
      <c r="IJF102" s="529" t="str">
        <f>VLOOKUP(IJE102,[14]AssetDetails_UEM!$A$3:$AH$1849,6,FALSE)</f>
        <v>Electrosurgical Units, Monopolar/Bipolar</v>
      </c>
      <c r="IJG102" s="528" t="s">
        <v>213</v>
      </c>
      <c r="IJH102" s="529" t="str">
        <f>VLOOKUP(IJG102,[14]AssetDetails_UEM!$A$3:$AH$1849,6,FALSE)</f>
        <v>Electrosurgical Units, Monopolar/Bipolar</v>
      </c>
      <c r="IJI102" s="528" t="s">
        <v>213</v>
      </c>
      <c r="IJJ102" s="529" t="str">
        <f>VLOOKUP(IJI102,[14]AssetDetails_UEM!$A$3:$AH$1849,6,FALSE)</f>
        <v>Electrosurgical Units, Monopolar/Bipolar</v>
      </c>
      <c r="IJK102" s="528" t="s">
        <v>213</v>
      </c>
      <c r="IJL102" s="529" t="str">
        <f>VLOOKUP(IJK102,[14]AssetDetails_UEM!$A$3:$AH$1849,6,FALSE)</f>
        <v>Electrosurgical Units, Monopolar/Bipolar</v>
      </c>
      <c r="IJM102" s="528" t="s">
        <v>213</v>
      </c>
      <c r="IJN102" s="529" t="str">
        <f>VLOOKUP(IJM102,[14]AssetDetails_UEM!$A$3:$AH$1849,6,FALSE)</f>
        <v>Electrosurgical Units, Monopolar/Bipolar</v>
      </c>
      <c r="IJO102" s="528" t="s">
        <v>213</v>
      </c>
      <c r="IJP102" s="529" t="str">
        <f>VLOOKUP(IJO102,[14]AssetDetails_UEM!$A$3:$AH$1849,6,FALSE)</f>
        <v>Electrosurgical Units, Monopolar/Bipolar</v>
      </c>
      <c r="IJQ102" s="528" t="s">
        <v>213</v>
      </c>
      <c r="IJR102" s="529" t="str">
        <f>VLOOKUP(IJQ102,[14]AssetDetails_UEM!$A$3:$AH$1849,6,FALSE)</f>
        <v>Electrosurgical Units, Monopolar/Bipolar</v>
      </c>
      <c r="IJS102" s="528" t="s">
        <v>213</v>
      </c>
      <c r="IJT102" s="529" t="str">
        <f>VLOOKUP(IJS102,[14]AssetDetails_UEM!$A$3:$AH$1849,6,FALSE)</f>
        <v>Electrosurgical Units, Monopolar/Bipolar</v>
      </c>
      <c r="IJU102" s="528" t="s">
        <v>213</v>
      </c>
      <c r="IJV102" s="529" t="str">
        <f>VLOOKUP(IJU102,[14]AssetDetails_UEM!$A$3:$AH$1849,6,FALSE)</f>
        <v>Electrosurgical Units, Monopolar/Bipolar</v>
      </c>
      <c r="IJW102" s="528" t="s">
        <v>213</v>
      </c>
      <c r="IJX102" s="529" t="str">
        <f>VLOOKUP(IJW102,[14]AssetDetails_UEM!$A$3:$AH$1849,6,FALSE)</f>
        <v>Electrosurgical Units, Monopolar/Bipolar</v>
      </c>
      <c r="IJY102" s="528" t="s">
        <v>213</v>
      </c>
      <c r="IJZ102" s="529" t="str">
        <f>VLOOKUP(IJY102,[14]AssetDetails_UEM!$A$3:$AH$1849,6,FALSE)</f>
        <v>Electrosurgical Units, Monopolar/Bipolar</v>
      </c>
      <c r="IKA102" s="528" t="s">
        <v>213</v>
      </c>
      <c r="IKB102" s="529" t="str">
        <f>VLOOKUP(IKA102,[14]AssetDetails_UEM!$A$3:$AH$1849,6,FALSE)</f>
        <v>Electrosurgical Units, Monopolar/Bipolar</v>
      </c>
      <c r="IKC102" s="528" t="s">
        <v>213</v>
      </c>
      <c r="IKD102" s="529" t="str">
        <f>VLOOKUP(IKC102,[14]AssetDetails_UEM!$A$3:$AH$1849,6,FALSE)</f>
        <v>Electrosurgical Units, Monopolar/Bipolar</v>
      </c>
      <c r="IKE102" s="528" t="s">
        <v>213</v>
      </c>
      <c r="IKF102" s="529" t="str">
        <f>VLOOKUP(IKE102,[14]AssetDetails_UEM!$A$3:$AH$1849,6,FALSE)</f>
        <v>Electrosurgical Units, Monopolar/Bipolar</v>
      </c>
      <c r="IKG102" s="528" t="s">
        <v>213</v>
      </c>
      <c r="IKH102" s="529" t="str">
        <f>VLOOKUP(IKG102,[14]AssetDetails_UEM!$A$3:$AH$1849,6,FALSE)</f>
        <v>Electrosurgical Units, Monopolar/Bipolar</v>
      </c>
      <c r="IKI102" s="528" t="s">
        <v>213</v>
      </c>
      <c r="IKJ102" s="529" t="str">
        <f>VLOOKUP(IKI102,[14]AssetDetails_UEM!$A$3:$AH$1849,6,FALSE)</f>
        <v>Electrosurgical Units, Monopolar/Bipolar</v>
      </c>
      <c r="IKK102" s="528" t="s">
        <v>213</v>
      </c>
      <c r="IKL102" s="529" t="str">
        <f>VLOOKUP(IKK102,[14]AssetDetails_UEM!$A$3:$AH$1849,6,FALSE)</f>
        <v>Electrosurgical Units, Monopolar/Bipolar</v>
      </c>
      <c r="IKM102" s="528" t="s">
        <v>213</v>
      </c>
      <c r="IKN102" s="529" t="str">
        <f>VLOOKUP(IKM102,[14]AssetDetails_UEM!$A$3:$AH$1849,6,FALSE)</f>
        <v>Electrosurgical Units, Monopolar/Bipolar</v>
      </c>
      <c r="IKO102" s="528" t="s">
        <v>213</v>
      </c>
      <c r="IKP102" s="529" t="str">
        <f>VLOOKUP(IKO102,[14]AssetDetails_UEM!$A$3:$AH$1849,6,FALSE)</f>
        <v>Electrosurgical Units, Monopolar/Bipolar</v>
      </c>
      <c r="IKQ102" s="528" t="s">
        <v>213</v>
      </c>
      <c r="IKR102" s="529" t="str">
        <f>VLOOKUP(IKQ102,[14]AssetDetails_UEM!$A$3:$AH$1849,6,FALSE)</f>
        <v>Electrosurgical Units, Monopolar/Bipolar</v>
      </c>
      <c r="IKS102" s="528" t="s">
        <v>213</v>
      </c>
      <c r="IKT102" s="529" t="str">
        <f>VLOOKUP(IKS102,[14]AssetDetails_UEM!$A$3:$AH$1849,6,FALSE)</f>
        <v>Electrosurgical Units, Monopolar/Bipolar</v>
      </c>
      <c r="IKU102" s="528" t="s">
        <v>213</v>
      </c>
      <c r="IKV102" s="529" t="str">
        <f>VLOOKUP(IKU102,[14]AssetDetails_UEM!$A$3:$AH$1849,6,FALSE)</f>
        <v>Electrosurgical Units, Monopolar/Bipolar</v>
      </c>
      <c r="IKW102" s="528" t="s">
        <v>213</v>
      </c>
      <c r="IKX102" s="529" t="str">
        <f>VLOOKUP(IKW102,[14]AssetDetails_UEM!$A$3:$AH$1849,6,FALSE)</f>
        <v>Electrosurgical Units, Monopolar/Bipolar</v>
      </c>
      <c r="IKY102" s="528" t="s">
        <v>213</v>
      </c>
      <c r="IKZ102" s="529" t="str">
        <f>VLOOKUP(IKY102,[14]AssetDetails_UEM!$A$3:$AH$1849,6,FALSE)</f>
        <v>Electrosurgical Units, Monopolar/Bipolar</v>
      </c>
      <c r="ILA102" s="528" t="s">
        <v>213</v>
      </c>
      <c r="ILB102" s="529" t="str">
        <f>VLOOKUP(ILA102,[14]AssetDetails_UEM!$A$3:$AH$1849,6,FALSE)</f>
        <v>Electrosurgical Units, Monopolar/Bipolar</v>
      </c>
      <c r="ILC102" s="528" t="s">
        <v>213</v>
      </c>
      <c r="ILD102" s="529" t="str">
        <f>VLOOKUP(ILC102,[14]AssetDetails_UEM!$A$3:$AH$1849,6,FALSE)</f>
        <v>Electrosurgical Units, Monopolar/Bipolar</v>
      </c>
      <c r="ILE102" s="528" t="s">
        <v>213</v>
      </c>
      <c r="ILF102" s="529" t="str">
        <f>VLOOKUP(ILE102,[14]AssetDetails_UEM!$A$3:$AH$1849,6,FALSE)</f>
        <v>Electrosurgical Units, Monopolar/Bipolar</v>
      </c>
      <c r="ILG102" s="528" t="s">
        <v>213</v>
      </c>
      <c r="ILH102" s="529" t="str">
        <f>VLOOKUP(ILG102,[14]AssetDetails_UEM!$A$3:$AH$1849,6,FALSE)</f>
        <v>Electrosurgical Units, Monopolar/Bipolar</v>
      </c>
      <c r="ILI102" s="528" t="s">
        <v>213</v>
      </c>
      <c r="ILJ102" s="529" t="str">
        <f>VLOOKUP(ILI102,[14]AssetDetails_UEM!$A$3:$AH$1849,6,FALSE)</f>
        <v>Electrosurgical Units, Monopolar/Bipolar</v>
      </c>
      <c r="ILK102" s="528" t="s">
        <v>213</v>
      </c>
      <c r="ILL102" s="529" t="str">
        <f>VLOOKUP(ILK102,[14]AssetDetails_UEM!$A$3:$AH$1849,6,FALSE)</f>
        <v>Electrosurgical Units, Monopolar/Bipolar</v>
      </c>
      <c r="ILM102" s="528" t="s">
        <v>213</v>
      </c>
      <c r="ILN102" s="529" t="str">
        <f>VLOOKUP(ILM102,[14]AssetDetails_UEM!$A$3:$AH$1849,6,FALSE)</f>
        <v>Electrosurgical Units, Monopolar/Bipolar</v>
      </c>
      <c r="ILO102" s="528" t="s">
        <v>213</v>
      </c>
      <c r="ILP102" s="529" t="str">
        <f>VLOOKUP(ILO102,[14]AssetDetails_UEM!$A$3:$AH$1849,6,FALSE)</f>
        <v>Electrosurgical Units, Monopolar/Bipolar</v>
      </c>
      <c r="ILQ102" s="528" t="s">
        <v>213</v>
      </c>
      <c r="ILR102" s="529" t="str">
        <f>VLOOKUP(ILQ102,[14]AssetDetails_UEM!$A$3:$AH$1849,6,FALSE)</f>
        <v>Electrosurgical Units, Monopolar/Bipolar</v>
      </c>
      <c r="ILS102" s="528" t="s">
        <v>213</v>
      </c>
      <c r="ILT102" s="529" t="str">
        <f>VLOOKUP(ILS102,[14]AssetDetails_UEM!$A$3:$AH$1849,6,FALSE)</f>
        <v>Electrosurgical Units, Monopolar/Bipolar</v>
      </c>
      <c r="ILU102" s="528" t="s">
        <v>213</v>
      </c>
      <c r="ILV102" s="529" t="str">
        <f>VLOOKUP(ILU102,[14]AssetDetails_UEM!$A$3:$AH$1849,6,FALSE)</f>
        <v>Electrosurgical Units, Monopolar/Bipolar</v>
      </c>
      <c r="ILW102" s="528" t="s">
        <v>213</v>
      </c>
      <c r="ILX102" s="529" t="str">
        <f>VLOOKUP(ILW102,[14]AssetDetails_UEM!$A$3:$AH$1849,6,FALSE)</f>
        <v>Electrosurgical Units, Monopolar/Bipolar</v>
      </c>
      <c r="ILY102" s="528" t="s">
        <v>213</v>
      </c>
      <c r="ILZ102" s="529" t="str">
        <f>VLOOKUP(ILY102,[14]AssetDetails_UEM!$A$3:$AH$1849,6,FALSE)</f>
        <v>Electrosurgical Units, Monopolar/Bipolar</v>
      </c>
      <c r="IMA102" s="528" t="s">
        <v>213</v>
      </c>
      <c r="IMB102" s="529" t="str">
        <f>VLOOKUP(IMA102,[14]AssetDetails_UEM!$A$3:$AH$1849,6,FALSE)</f>
        <v>Electrosurgical Units, Monopolar/Bipolar</v>
      </c>
      <c r="IMC102" s="528" t="s">
        <v>213</v>
      </c>
      <c r="IMD102" s="529" t="str">
        <f>VLOOKUP(IMC102,[14]AssetDetails_UEM!$A$3:$AH$1849,6,FALSE)</f>
        <v>Electrosurgical Units, Monopolar/Bipolar</v>
      </c>
      <c r="IME102" s="528" t="s">
        <v>213</v>
      </c>
      <c r="IMF102" s="529" t="str">
        <f>VLOOKUP(IME102,[14]AssetDetails_UEM!$A$3:$AH$1849,6,FALSE)</f>
        <v>Electrosurgical Units, Monopolar/Bipolar</v>
      </c>
      <c r="IMG102" s="528" t="s">
        <v>213</v>
      </c>
      <c r="IMH102" s="529" t="str">
        <f>VLOOKUP(IMG102,[14]AssetDetails_UEM!$A$3:$AH$1849,6,FALSE)</f>
        <v>Electrosurgical Units, Monopolar/Bipolar</v>
      </c>
      <c r="IMI102" s="528" t="s">
        <v>213</v>
      </c>
      <c r="IMJ102" s="529" t="str">
        <f>VLOOKUP(IMI102,[14]AssetDetails_UEM!$A$3:$AH$1849,6,FALSE)</f>
        <v>Electrosurgical Units, Monopolar/Bipolar</v>
      </c>
      <c r="IMK102" s="528" t="s">
        <v>213</v>
      </c>
      <c r="IML102" s="529" t="str">
        <f>VLOOKUP(IMK102,[14]AssetDetails_UEM!$A$3:$AH$1849,6,FALSE)</f>
        <v>Electrosurgical Units, Monopolar/Bipolar</v>
      </c>
      <c r="IMM102" s="528" t="s">
        <v>213</v>
      </c>
      <c r="IMN102" s="529" t="str">
        <f>VLOOKUP(IMM102,[14]AssetDetails_UEM!$A$3:$AH$1849,6,FALSE)</f>
        <v>Electrosurgical Units, Monopolar/Bipolar</v>
      </c>
      <c r="IMO102" s="528" t="s">
        <v>213</v>
      </c>
      <c r="IMP102" s="529" t="str">
        <f>VLOOKUP(IMO102,[14]AssetDetails_UEM!$A$3:$AH$1849,6,FALSE)</f>
        <v>Electrosurgical Units, Monopolar/Bipolar</v>
      </c>
      <c r="IMQ102" s="528" t="s">
        <v>213</v>
      </c>
      <c r="IMR102" s="529" t="str">
        <f>VLOOKUP(IMQ102,[14]AssetDetails_UEM!$A$3:$AH$1849,6,FALSE)</f>
        <v>Electrosurgical Units, Monopolar/Bipolar</v>
      </c>
      <c r="IMS102" s="528" t="s">
        <v>213</v>
      </c>
      <c r="IMT102" s="529" t="str">
        <f>VLOOKUP(IMS102,[14]AssetDetails_UEM!$A$3:$AH$1849,6,FALSE)</f>
        <v>Electrosurgical Units, Monopolar/Bipolar</v>
      </c>
      <c r="IMU102" s="528" t="s">
        <v>213</v>
      </c>
      <c r="IMV102" s="529" t="str">
        <f>VLOOKUP(IMU102,[14]AssetDetails_UEM!$A$3:$AH$1849,6,FALSE)</f>
        <v>Electrosurgical Units, Monopolar/Bipolar</v>
      </c>
      <c r="IMW102" s="528" t="s">
        <v>213</v>
      </c>
      <c r="IMX102" s="529" t="str">
        <f>VLOOKUP(IMW102,[14]AssetDetails_UEM!$A$3:$AH$1849,6,FALSE)</f>
        <v>Electrosurgical Units, Monopolar/Bipolar</v>
      </c>
      <c r="IMY102" s="528" t="s">
        <v>213</v>
      </c>
      <c r="IMZ102" s="529" t="str">
        <f>VLOOKUP(IMY102,[14]AssetDetails_UEM!$A$3:$AH$1849,6,FALSE)</f>
        <v>Electrosurgical Units, Monopolar/Bipolar</v>
      </c>
      <c r="INA102" s="528" t="s">
        <v>213</v>
      </c>
      <c r="INB102" s="529" t="str">
        <f>VLOOKUP(INA102,[14]AssetDetails_UEM!$A$3:$AH$1849,6,FALSE)</f>
        <v>Electrosurgical Units, Monopolar/Bipolar</v>
      </c>
      <c r="INC102" s="528" t="s">
        <v>213</v>
      </c>
      <c r="IND102" s="529" t="str">
        <f>VLOOKUP(INC102,[14]AssetDetails_UEM!$A$3:$AH$1849,6,FALSE)</f>
        <v>Electrosurgical Units, Monopolar/Bipolar</v>
      </c>
      <c r="INE102" s="528" t="s">
        <v>213</v>
      </c>
      <c r="INF102" s="529" t="str">
        <f>VLOOKUP(INE102,[14]AssetDetails_UEM!$A$3:$AH$1849,6,FALSE)</f>
        <v>Electrosurgical Units, Monopolar/Bipolar</v>
      </c>
      <c r="ING102" s="528" t="s">
        <v>213</v>
      </c>
      <c r="INH102" s="529" t="str">
        <f>VLOOKUP(ING102,[14]AssetDetails_UEM!$A$3:$AH$1849,6,FALSE)</f>
        <v>Electrosurgical Units, Monopolar/Bipolar</v>
      </c>
      <c r="INI102" s="528" t="s">
        <v>213</v>
      </c>
      <c r="INJ102" s="529" t="str">
        <f>VLOOKUP(INI102,[14]AssetDetails_UEM!$A$3:$AH$1849,6,FALSE)</f>
        <v>Electrosurgical Units, Monopolar/Bipolar</v>
      </c>
      <c r="INK102" s="528" t="s">
        <v>213</v>
      </c>
      <c r="INL102" s="529" t="str">
        <f>VLOOKUP(INK102,[14]AssetDetails_UEM!$A$3:$AH$1849,6,FALSE)</f>
        <v>Electrosurgical Units, Monopolar/Bipolar</v>
      </c>
      <c r="INM102" s="528" t="s">
        <v>213</v>
      </c>
      <c r="INN102" s="529" t="str">
        <f>VLOOKUP(INM102,[14]AssetDetails_UEM!$A$3:$AH$1849,6,FALSE)</f>
        <v>Electrosurgical Units, Monopolar/Bipolar</v>
      </c>
      <c r="INO102" s="528" t="s">
        <v>213</v>
      </c>
      <c r="INP102" s="529" t="str">
        <f>VLOOKUP(INO102,[14]AssetDetails_UEM!$A$3:$AH$1849,6,FALSE)</f>
        <v>Electrosurgical Units, Monopolar/Bipolar</v>
      </c>
      <c r="INQ102" s="528" t="s">
        <v>213</v>
      </c>
      <c r="INR102" s="529" t="str">
        <f>VLOOKUP(INQ102,[14]AssetDetails_UEM!$A$3:$AH$1849,6,FALSE)</f>
        <v>Electrosurgical Units, Monopolar/Bipolar</v>
      </c>
      <c r="INS102" s="528" t="s">
        <v>213</v>
      </c>
      <c r="INT102" s="529" t="str">
        <f>VLOOKUP(INS102,[14]AssetDetails_UEM!$A$3:$AH$1849,6,FALSE)</f>
        <v>Electrosurgical Units, Monopolar/Bipolar</v>
      </c>
      <c r="INU102" s="528" t="s">
        <v>213</v>
      </c>
      <c r="INV102" s="529" t="str">
        <f>VLOOKUP(INU102,[14]AssetDetails_UEM!$A$3:$AH$1849,6,FALSE)</f>
        <v>Electrosurgical Units, Monopolar/Bipolar</v>
      </c>
      <c r="INW102" s="528" t="s">
        <v>213</v>
      </c>
      <c r="INX102" s="529" t="str">
        <f>VLOOKUP(INW102,[14]AssetDetails_UEM!$A$3:$AH$1849,6,FALSE)</f>
        <v>Electrosurgical Units, Monopolar/Bipolar</v>
      </c>
      <c r="INY102" s="528" t="s">
        <v>213</v>
      </c>
      <c r="INZ102" s="529" t="str">
        <f>VLOOKUP(INY102,[14]AssetDetails_UEM!$A$3:$AH$1849,6,FALSE)</f>
        <v>Electrosurgical Units, Monopolar/Bipolar</v>
      </c>
      <c r="IOA102" s="528" t="s">
        <v>213</v>
      </c>
      <c r="IOB102" s="529" t="str">
        <f>VLOOKUP(IOA102,[14]AssetDetails_UEM!$A$3:$AH$1849,6,FALSE)</f>
        <v>Electrosurgical Units, Monopolar/Bipolar</v>
      </c>
      <c r="IOC102" s="528" t="s">
        <v>213</v>
      </c>
      <c r="IOD102" s="529" t="str">
        <f>VLOOKUP(IOC102,[14]AssetDetails_UEM!$A$3:$AH$1849,6,FALSE)</f>
        <v>Electrosurgical Units, Monopolar/Bipolar</v>
      </c>
      <c r="IOE102" s="528" t="s">
        <v>213</v>
      </c>
      <c r="IOF102" s="529" t="str">
        <f>VLOOKUP(IOE102,[14]AssetDetails_UEM!$A$3:$AH$1849,6,FALSE)</f>
        <v>Electrosurgical Units, Monopolar/Bipolar</v>
      </c>
      <c r="IOG102" s="528" t="s">
        <v>213</v>
      </c>
      <c r="IOH102" s="529" t="str">
        <f>VLOOKUP(IOG102,[14]AssetDetails_UEM!$A$3:$AH$1849,6,FALSE)</f>
        <v>Electrosurgical Units, Monopolar/Bipolar</v>
      </c>
      <c r="IOI102" s="528" t="s">
        <v>213</v>
      </c>
      <c r="IOJ102" s="529" t="str">
        <f>VLOOKUP(IOI102,[14]AssetDetails_UEM!$A$3:$AH$1849,6,FALSE)</f>
        <v>Electrosurgical Units, Monopolar/Bipolar</v>
      </c>
      <c r="IOK102" s="528" t="s">
        <v>213</v>
      </c>
      <c r="IOL102" s="529" t="str">
        <f>VLOOKUP(IOK102,[14]AssetDetails_UEM!$A$3:$AH$1849,6,FALSE)</f>
        <v>Electrosurgical Units, Monopolar/Bipolar</v>
      </c>
      <c r="IOM102" s="528" t="s">
        <v>213</v>
      </c>
      <c r="ION102" s="529" t="str">
        <f>VLOOKUP(IOM102,[14]AssetDetails_UEM!$A$3:$AH$1849,6,FALSE)</f>
        <v>Electrosurgical Units, Monopolar/Bipolar</v>
      </c>
      <c r="IOO102" s="528" t="s">
        <v>213</v>
      </c>
      <c r="IOP102" s="529" t="str">
        <f>VLOOKUP(IOO102,[14]AssetDetails_UEM!$A$3:$AH$1849,6,FALSE)</f>
        <v>Electrosurgical Units, Monopolar/Bipolar</v>
      </c>
      <c r="IOQ102" s="528" t="s">
        <v>213</v>
      </c>
      <c r="IOR102" s="529" t="str">
        <f>VLOOKUP(IOQ102,[14]AssetDetails_UEM!$A$3:$AH$1849,6,FALSE)</f>
        <v>Electrosurgical Units, Monopolar/Bipolar</v>
      </c>
      <c r="IOS102" s="528" t="s">
        <v>213</v>
      </c>
      <c r="IOT102" s="529" t="str">
        <f>VLOOKUP(IOS102,[14]AssetDetails_UEM!$A$3:$AH$1849,6,FALSE)</f>
        <v>Electrosurgical Units, Monopolar/Bipolar</v>
      </c>
      <c r="IOU102" s="528" t="s">
        <v>213</v>
      </c>
      <c r="IOV102" s="529" t="str">
        <f>VLOOKUP(IOU102,[14]AssetDetails_UEM!$A$3:$AH$1849,6,FALSE)</f>
        <v>Electrosurgical Units, Monopolar/Bipolar</v>
      </c>
      <c r="IOW102" s="528" t="s">
        <v>213</v>
      </c>
      <c r="IOX102" s="529" t="str">
        <f>VLOOKUP(IOW102,[14]AssetDetails_UEM!$A$3:$AH$1849,6,FALSE)</f>
        <v>Electrosurgical Units, Monopolar/Bipolar</v>
      </c>
      <c r="IOY102" s="528" t="s">
        <v>213</v>
      </c>
      <c r="IOZ102" s="529" t="str">
        <f>VLOOKUP(IOY102,[14]AssetDetails_UEM!$A$3:$AH$1849,6,FALSE)</f>
        <v>Electrosurgical Units, Monopolar/Bipolar</v>
      </c>
      <c r="IPA102" s="528" t="s">
        <v>213</v>
      </c>
      <c r="IPB102" s="529" t="str">
        <f>VLOOKUP(IPA102,[14]AssetDetails_UEM!$A$3:$AH$1849,6,FALSE)</f>
        <v>Electrosurgical Units, Monopolar/Bipolar</v>
      </c>
      <c r="IPC102" s="528" t="s">
        <v>213</v>
      </c>
      <c r="IPD102" s="529" t="str">
        <f>VLOOKUP(IPC102,[14]AssetDetails_UEM!$A$3:$AH$1849,6,FALSE)</f>
        <v>Electrosurgical Units, Monopolar/Bipolar</v>
      </c>
      <c r="IPE102" s="528" t="s">
        <v>213</v>
      </c>
      <c r="IPF102" s="529" t="str">
        <f>VLOOKUP(IPE102,[14]AssetDetails_UEM!$A$3:$AH$1849,6,FALSE)</f>
        <v>Electrosurgical Units, Monopolar/Bipolar</v>
      </c>
      <c r="IPG102" s="528" t="s">
        <v>213</v>
      </c>
      <c r="IPH102" s="529" t="str">
        <f>VLOOKUP(IPG102,[14]AssetDetails_UEM!$A$3:$AH$1849,6,FALSE)</f>
        <v>Electrosurgical Units, Monopolar/Bipolar</v>
      </c>
      <c r="IPI102" s="528" t="s">
        <v>213</v>
      </c>
      <c r="IPJ102" s="529" t="str">
        <f>VLOOKUP(IPI102,[14]AssetDetails_UEM!$A$3:$AH$1849,6,FALSE)</f>
        <v>Electrosurgical Units, Monopolar/Bipolar</v>
      </c>
      <c r="IPK102" s="528" t="s">
        <v>213</v>
      </c>
      <c r="IPL102" s="529" t="str">
        <f>VLOOKUP(IPK102,[14]AssetDetails_UEM!$A$3:$AH$1849,6,FALSE)</f>
        <v>Electrosurgical Units, Monopolar/Bipolar</v>
      </c>
      <c r="IPM102" s="528" t="s">
        <v>213</v>
      </c>
      <c r="IPN102" s="529" t="str">
        <f>VLOOKUP(IPM102,[14]AssetDetails_UEM!$A$3:$AH$1849,6,FALSE)</f>
        <v>Electrosurgical Units, Monopolar/Bipolar</v>
      </c>
      <c r="IPO102" s="528" t="s">
        <v>213</v>
      </c>
      <c r="IPP102" s="529" t="str">
        <f>VLOOKUP(IPO102,[14]AssetDetails_UEM!$A$3:$AH$1849,6,FALSE)</f>
        <v>Electrosurgical Units, Monopolar/Bipolar</v>
      </c>
      <c r="IPQ102" s="528" t="s">
        <v>213</v>
      </c>
      <c r="IPR102" s="529" t="str">
        <f>VLOOKUP(IPQ102,[14]AssetDetails_UEM!$A$3:$AH$1849,6,FALSE)</f>
        <v>Electrosurgical Units, Monopolar/Bipolar</v>
      </c>
      <c r="IPS102" s="528" t="s">
        <v>213</v>
      </c>
      <c r="IPT102" s="529" t="str">
        <f>VLOOKUP(IPS102,[14]AssetDetails_UEM!$A$3:$AH$1849,6,FALSE)</f>
        <v>Electrosurgical Units, Monopolar/Bipolar</v>
      </c>
      <c r="IPU102" s="528" t="s">
        <v>213</v>
      </c>
      <c r="IPV102" s="529" t="str">
        <f>VLOOKUP(IPU102,[14]AssetDetails_UEM!$A$3:$AH$1849,6,FALSE)</f>
        <v>Electrosurgical Units, Monopolar/Bipolar</v>
      </c>
      <c r="IPW102" s="528" t="s">
        <v>213</v>
      </c>
      <c r="IPX102" s="529" t="str">
        <f>VLOOKUP(IPW102,[14]AssetDetails_UEM!$A$3:$AH$1849,6,FALSE)</f>
        <v>Electrosurgical Units, Monopolar/Bipolar</v>
      </c>
      <c r="IPY102" s="528" t="s">
        <v>213</v>
      </c>
      <c r="IPZ102" s="529" t="str">
        <f>VLOOKUP(IPY102,[14]AssetDetails_UEM!$A$3:$AH$1849,6,FALSE)</f>
        <v>Electrosurgical Units, Monopolar/Bipolar</v>
      </c>
      <c r="IQA102" s="528" t="s">
        <v>213</v>
      </c>
      <c r="IQB102" s="529" t="str">
        <f>VLOOKUP(IQA102,[14]AssetDetails_UEM!$A$3:$AH$1849,6,FALSE)</f>
        <v>Electrosurgical Units, Monopolar/Bipolar</v>
      </c>
      <c r="IQC102" s="528" t="s">
        <v>213</v>
      </c>
      <c r="IQD102" s="529" t="str">
        <f>VLOOKUP(IQC102,[14]AssetDetails_UEM!$A$3:$AH$1849,6,FALSE)</f>
        <v>Electrosurgical Units, Monopolar/Bipolar</v>
      </c>
      <c r="IQE102" s="528" t="s">
        <v>213</v>
      </c>
      <c r="IQF102" s="529" t="str">
        <f>VLOOKUP(IQE102,[14]AssetDetails_UEM!$A$3:$AH$1849,6,FALSE)</f>
        <v>Electrosurgical Units, Monopolar/Bipolar</v>
      </c>
      <c r="IQG102" s="528" t="s">
        <v>213</v>
      </c>
      <c r="IQH102" s="529" t="str">
        <f>VLOOKUP(IQG102,[14]AssetDetails_UEM!$A$3:$AH$1849,6,FALSE)</f>
        <v>Electrosurgical Units, Monopolar/Bipolar</v>
      </c>
      <c r="IQI102" s="528" t="s">
        <v>213</v>
      </c>
      <c r="IQJ102" s="529" t="str">
        <f>VLOOKUP(IQI102,[14]AssetDetails_UEM!$A$3:$AH$1849,6,FALSE)</f>
        <v>Electrosurgical Units, Monopolar/Bipolar</v>
      </c>
      <c r="IQK102" s="528" t="s">
        <v>213</v>
      </c>
      <c r="IQL102" s="529" t="str">
        <f>VLOOKUP(IQK102,[14]AssetDetails_UEM!$A$3:$AH$1849,6,FALSE)</f>
        <v>Electrosurgical Units, Monopolar/Bipolar</v>
      </c>
      <c r="IQM102" s="528" t="s">
        <v>213</v>
      </c>
      <c r="IQN102" s="529" t="str">
        <f>VLOOKUP(IQM102,[14]AssetDetails_UEM!$A$3:$AH$1849,6,FALSE)</f>
        <v>Electrosurgical Units, Monopolar/Bipolar</v>
      </c>
      <c r="IQO102" s="528" t="s">
        <v>213</v>
      </c>
      <c r="IQP102" s="529" t="str">
        <f>VLOOKUP(IQO102,[14]AssetDetails_UEM!$A$3:$AH$1849,6,FALSE)</f>
        <v>Electrosurgical Units, Monopolar/Bipolar</v>
      </c>
      <c r="IQQ102" s="528" t="s">
        <v>213</v>
      </c>
      <c r="IQR102" s="529" t="str">
        <f>VLOOKUP(IQQ102,[14]AssetDetails_UEM!$A$3:$AH$1849,6,FALSE)</f>
        <v>Electrosurgical Units, Monopolar/Bipolar</v>
      </c>
      <c r="IQS102" s="528" t="s">
        <v>213</v>
      </c>
      <c r="IQT102" s="529" t="str">
        <f>VLOOKUP(IQS102,[14]AssetDetails_UEM!$A$3:$AH$1849,6,FALSE)</f>
        <v>Electrosurgical Units, Monopolar/Bipolar</v>
      </c>
      <c r="IQU102" s="528" t="s">
        <v>213</v>
      </c>
      <c r="IQV102" s="529" t="str">
        <f>VLOOKUP(IQU102,[14]AssetDetails_UEM!$A$3:$AH$1849,6,FALSE)</f>
        <v>Electrosurgical Units, Monopolar/Bipolar</v>
      </c>
      <c r="IQW102" s="528" t="s">
        <v>213</v>
      </c>
      <c r="IQX102" s="529" t="str">
        <f>VLOOKUP(IQW102,[14]AssetDetails_UEM!$A$3:$AH$1849,6,FALSE)</f>
        <v>Electrosurgical Units, Monopolar/Bipolar</v>
      </c>
      <c r="IQY102" s="528" t="s">
        <v>213</v>
      </c>
      <c r="IQZ102" s="529" t="str">
        <f>VLOOKUP(IQY102,[14]AssetDetails_UEM!$A$3:$AH$1849,6,FALSE)</f>
        <v>Electrosurgical Units, Monopolar/Bipolar</v>
      </c>
      <c r="IRA102" s="528" t="s">
        <v>213</v>
      </c>
      <c r="IRB102" s="529" t="str">
        <f>VLOOKUP(IRA102,[14]AssetDetails_UEM!$A$3:$AH$1849,6,FALSE)</f>
        <v>Electrosurgical Units, Monopolar/Bipolar</v>
      </c>
      <c r="IRC102" s="528" t="s">
        <v>213</v>
      </c>
      <c r="IRD102" s="529" t="str">
        <f>VLOOKUP(IRC102,[14]AssetDetails_UEM!$A$3:$AH$1849,6,FALSE)</f>
        <v>Electrosurgical Units, Monopolar/Bipolar</v>
      </c>
      <c r="IRE102" s="528" t="s">
        <v>213</v>
      </c>
      <c r="IRF102" s="529" t="str">
        <f>VLOOKUP(IRE102,[14]AssetDetails_UEM!$A$3:$AH$1849,6,FALSE)</f>
        <v>Electrosurgical Units, Monopolar/Bipolar</v>
      </c>
      <c r="IRG102" s="528" t="s">
        <v>213</v>
      </c>
      <c r="IRH102" s="529" t="str">
        <f>VLOOKUP(IRG102,[14]AssetDetails_UEM!$A$3:$AH$1849,6,FALSE)</f>
        <v>Electrosurgical Units, Monopolar/Bipolar</v>
      </c>
      <c r="IRI102" s="528" t="s">
        <v>213</v>
      </c>
      <c r="IRJ102" s="529" t="str">
        <f>VLOOKUP(IRI102,[14]AssetDetails_UEM!$A$3:$AH$1849,6,FALSE)</f>
        <v>Electrosurgical Units, Monopolar/Bipolar</v>
      </c>
      <c r="IRK102" s="528" t="s">
        <v>213</v>
      </c>
      <c r="IRL102" s="529" t="str">
        <f>VLOOKUP(IRK102,[14]AssetDetails_UEM!$A$3:$AH$1849,6,FALSE)</f>
        <v>Electrosurgical Units, Monopolar/Bipolar</v>
      </c>
      <c r="IRM102" s="528" t="s">
        <v>213</v>
      </c>
      <c r="IRN102" s="529" t="str">
        <f>VLOOKUP(IRM102,[14]AssetDetails_UEM!$A$3:$AH$1849,6,FALSE)</f>
        <v>Electrosurgical Units, Monopolar/Bipolar</v>
      </c>
      <c r="IRO102" s="528" t="s">
        <v>213</v>
      </c>
      <c r="IRP102" s="529" t="str">
        <f>VLOOKUP(IRO102,[14]AssetDetails_UEM!$A$3:$AH$1849,6,FALSE)</f>
        <v>Electrosurgical Units, Monopolar/Bipolar</v>
      </c>
      <c r="IRQ102" s="528" t="s">
        <v>213</v>
      </c>
      <c r="IRR102" s="529" t="str">
        <f>VLOOKUP(IRQ102,[14]AssetDetails_UEM!$A$3:$AH$1849,6,FALSE)</f>
        <v>Electrosurgical Units, Monopolar/Bipolar</v>
      </c>
      <c r="IRS102" s="528" t="s">
        <v>213</v>
      </c>
      <c r="IRT102" s="529" t="str">
        <f>VLOOKUP(IRS102,[14]AssetDetails_UEM!$A$3:$AH$1849,6,FALSE)</f>
        <v>Electrosurgical Units, Monopolar/Bipolar</v>
      </c>
      <c r="IRU102" s="528" t="s">
        <v>213</v>
      </c>
      <c r="IRV102" s="529" t="str">
        <f>VLOOKUP(IRU102,[14]AssetDetails_UEM!$A$3:$AH$1849,6,FALSE)</f>
        <v>Electrosurgical Units, Monopolar/Bipolar</v>
      </c>
      <c r="IRW102" s="528" t="s">
        <v>213</v>
      </c>
      <c r="IRX102" s="529" t="str">
        <f>VLOOKUP(IRW102,[14]AssetDetails_UEM!$A$3:$AH$1849,6,FALSE)</f>
        <v>Electrosurgical Units, Monopolar/Bipolar</v>
      </c>
      <c r="IRY102" s="528" t="s">
        <v>213</v>
      </c>
      <c r="IRZ102" s="529" t="str">
        <f>VLOOKUP(IRY102,[14]AssetDetails_UEM!$A$3:$AH$1849,6,FALSE)</f>
        <v>Electrosurgical Units, Monopolar/Bipolar</v>
      </c>
      <c r="ISA102" s="528" t="s">
        <v>213</v>
      </c>
      <c r="ISB102" s="529" t="str">
        <f>VLOOKUP(ISA102,[14]AssetDetails_UEM!$A$3:$AH$1849,6,FALSE)</f>
        <v>Electrosurgical Units, Monopolar/Bipolar</v>
      </c>
      <c r="ISC102" s="528" t="s">
        <v>213</v>
      </c>
      <c r="ISD102" s="529" t="str">
        <f>VLOOKUP(ISC102,[14]AssetDetails_UEM!$A$3:$AH$1849,6,FALSE)</f>
        <v>Electrosurgical Units, Monopolar/Bipolar</v>
      </c>
      <c r="ISE102" s="528" t="s">
        <v>213</v>
      </c>
      <c r="ISF102" s="529" t="str">
        <f>VLOOKUP(ISE102,[14]AssetDetails_UEM!$A$3:$AH$1849,6,FALSE)</f>
        <v>Electrosurgical Units, Monopolar/Bipolar</v>
      </c>
      <c r="ISG102" s="528" t="s">
        <v>213</v>
      </c>
      <c r="ISH102" s="529" t="str">
        <f>VLOOKUP(ISG102,[14]AssetDetails_UEM!$A$3:$AH$1849,6,FALSE)</f>
        <v>Electrosurgical Units, Monopolar/Bipolar</v>
      </c>
      <c r="ISI102" s="528" t="s">
        <v>213</v>
      </c>
      <c r="ISJ102" s="529" t="str">
        <f>VLOOKUP(ISI102,[14]AssetDetails_UEM!$A$3:$AH$1849,6,FALSE)</f>
        <v>Electrosurgical Units, Monopolar/Bipolar</v>
      </c>
      <c r="ISK102" s="528" t="s">
        <v>213</v>
      </c>
      <c r="ISL102" s="529" t="str">
        <f>VLOOKUP(ISK102,[14]AssetDetails_UEM!$A$3:$AH$1849,6,FALSE)</f>
        <v>Electrosurgical Units, Monopolar/Bipolar</v>
      </c>
      <c r="ISM102" s="528" t="s">
        <v>213</v>
      </c>
      <c r="ISN102" s="529" t="str">
        <f>VLOOKUP(ISM102,[14]AssetDetails_UEM!$A$3:$AH$1849,6,FALSE)</f>
        <v>Electrosurgical Units, Monopolar/Bipolar</v>
      </c>
      <c r="ISO102" s="528" t="s">
        <v>213</v>
      </c>
      <c r="ISP102" s="529" t="str">
        <f>VLOOKUP(ISO102,[14]AssetDetails_UEM!$A$3:$AH$1849,6,FALSE)</f>
        <v>Electrosurgical Units, Monopolar/Bipolar</v>
      </c>
      <c r="ISQ102" s="528" t="s">
        <v>213</v>
      </c>
      <c r="ISR102" s="529" t="str">
        <f>VLOOKUP(ISQ102,[14]AssetDetails_UEM!$A$3:$AH$1849,6,FALSE)</f>
        <v>Electrosurgical Units, Monopolar/Bipolar</v>
      </c>
      <c r="ISS102" s="528" t="s">
        <v>213</v>
      </c>
      <c r="IST102" s="529" t="str">
        <f>VLOOKUP(ISS102,[14]AssetDetails_UEM!$A$3:$AH$1849,6,FALSE)</f>
        <v>Electrosurgical Units, Monopolar/Bipolar</v>
      </c>
      <c r="ISU102" s="528" t="s">
        <v>213</v>
      </c>
      <c r="ISV102" s="529" t="str">
        <f>VLOOKUP(ISU102,[14]AssetDetails_UEM!$A$3:$AH$1849,6,FALSE)</f>
        <v>Electrosurgical Units, Monopolar/Bipolar</v>
      </c>
      <c r="ISW102" s="528" t="s">
        <v>213</v>
      </c>
      <c r="ISX102" s="529" t="str">
        <f>VLOOKUP(ISW102,[14]AssetDetails_UEM!$A$3:$AH$1849,6,FALSE)</f>
        <v>Electrosurgical Units, Monopolar/Bipolar</v>
      </c>
      <c r="ISY102" s="528" t="s">
        <v>213</v>
      </c>
      <c r="ISZ102" s="529" t="str">
        <f>VLOOKUP(ISY102,[14]AssetDetails_UEM!$A$3:$AH$1849,6,FALSE)</f>
        <v>Electrosurgical Units, Monopolar/Bipolar</v>
      </c>
      <c r="ITA102" s="528" t="s">
        <v>213</v>
      </c>
      <c r="ITB102" s="529" t="str">
        <f>VLOOKUP(ITA102,[14]AssetDetails_UEM!$A$3:$AH$1849,6,FALSE)</f>
        <v>Electrosurgical Units, Monopolar/Bipolar</v>
      </c>
      <c r="ITC102" s="528" t="s">
        <v>213</v>
      </c>
      <c r="ITD102" s="529" t="str">
        <f>VLOOKUP(ITC102,[14]AssetDetails_UEM!$A$3:$AH$1849,6,FALSE)</f>
        <v>Electrosurgical Units, Monopolar/Bipolar</v>
      </c>
      <c r="ITE102" s="528" t="s">
        <v>213</v>
      </c>
      <c r="ITF102" s="529" t="str">
        <f>VLOOKUP(ITE102,[14]AssetDetails_UEM!$A$3:$AH$1849,6,FALSE)</f>
        <v>Electrosurgical Units, Monopolar/Bipolar</v>
      </c>
      <c r="ITG102" s="528" t="s">
        <v>213</v>
      </c>
      <c r="ITH102" s="529" t="str">
        <f>VLOOKUP(ITG102,[14]AssetDetails_UEM!$A$3:$AH$1849,6,FALSE)</f>
        <v>Electrosurgical Units, Monopolar/Bipolar</v>
      </c>
      <c r="ITI102" s="528" t="s">
        <v>213</v>
      </c>
      <c r="ITJ102" s="529" t="str">
        <f>VLOOKUP(ITI102,[14]AssetDetails_UEM!$A$3:$AH$1849,6,FALSE)</f>
        <v>Electrosurgical Units, Monopolar/Bipolar</v>
      </c>
      <c r="ITK102" s="528" t="s">
        <v>213</v>
      </c>
      <c r="ITL102" s="529" t="str">
        <f>VLOOKUP(ITK102,[14]AssetDetails_UEM!$A$3:$AH$1849,6,FALSE)</f>
        <v>Electrosurgical Units, Monopolar/Bipolar</v>
      </c>
      <c r="ITM102" s="528" t="s">
        <v>213</v>
      </c>
      <c r="ITN102" s="529" t="str">
        <f>VLOOKUP(ITM102,[14]AssetDetails_UEM!$A$3:$AH$1849,6,FALSE)</f>
        <v>Electrosurgical Units, Monopolar/Bipolar</v>
      </c>
      <c r="ITO102" s="528" t="s">
        <v>213</v>
      </c>
      <c r="ITP102" s="529" t="str">
        <f>VLOOKUP(ITO102,[14]AssetDetails_UEM!$A$3:$AH$1849,6,FALSE)</f>
        <v>Electrosurgical Units, Monopolar/Bipolar</v>
      </c>
      <c r="ITQ102" s="528" t="s">
        <v>213</v>
      </c>
      <c r="ITR102" s="529" t="str">
        <f>VLOOKUP(ITQ102,[14]AssetDetails_UEM!$A$3:$AH$1849,6,FALSE)</f>
        <v>Electrosurgical Units, Monopolar/Bipolar</v>
      </c>
      <c r="ITS102" s="528" t="s">
        <v>213</v>
      </c>
      <c r="ITT102" s="529" t="str">
        <f>VLOOKUP(ITS102,[14]AssetDetails_UEM!$A$3:$AH$1849,6,FALSE)</f>
        <v>Electrosurgical Units, Monopolar/Bipolar</v>
      </c>
      <c r="ITU102" s="528" t="s">
        <v>213</v>
      </c>
      <c r="ITV102" s="529" t="str">
        <f>VLOOKUP(ITU102,[14]AssetDetails_UEM!$A$3:$AH$1849,6,FALSE)</f>
        <v>Electrosurgical Units, Monopolar/Bipolar</v>
      </c>
      <c r="ITW102" s="528" t="s">
        <v>213</v>
      </c>
      <c r="ITX102" s="529" t="str">
        <f>VLOOKUP(ITW102,[14]AssetDetails_UEM!$A$3:$AH$1849,6,FALSE)</f>
        <v>Electrosurgical Units, Monopolar/Bipolar</v>
      </c>
      <c r="ITY102" s="528" t="s">
        <v>213</v>
      </c>
      <c r="ITZ102" s="529" t="str">
        <f>VLOOKUP(ITY102,[14]AssetDetails_UEM!$A$3:$AH$1849,6,FALSE)</f>
        <v>Electrosurgical Units, Monopolar/Bipolar</v>
      </c>
      <c r="IUA102" s="528" t="s">
        <v>213</v>
      </c>
      <c r="IUB102" s="529" t="str">
        <f>VLOOKUP(IUA102,[14]AssetDetails_UEM!$A$3:$AH$1849,6,FALSE)</f>
        <v>Electrosurgical Units, Monopolar/Bipolar</v>
      </c>
      <c r="IUC102" s="528" t="s">
        <v>213</v>
      </c>
      <c r="IUD102" s="529" t="str">
        <f>VLOOKUP(IUC102,[14]AssetDetails_UEM!$A$3:$AH$1849,6,FALSE)</f>
        <v>Electrosurgical Units, Monopolar/Bipolar</v>
      </c>
      <c r="IUE102" s="528" t="s">
        <v>213</v>
      </c>
      <c r="IUF102" s="529" t="str">
        <f>VLOOKUP(IUE102,[14]AssetDetails_UEM!$A$3:$AH$1849,6,FALSE)</f>
        <v>Electrosurgical Units, Monopolar/Bipolar</v>
      </c>
      <c r="IUG102" s="528" t="s">
        <v>213</v>
      </c>
      <c r="IUH102" s="529" t="str">
        <f>VLOOKUP(IUG102,[14]AssetDetails_UEM!$A$3:$AH$1849,6,FALSE)</f>
        <v>Electrosurgical Units, Monopolar/Bipolar</v>
      </c>
      <c r="IUI102" s="528" t="s">
        <v>213</v>
      </c>
      <c r="IUJ102" s="529" t="str">
        <f>VLOOKUP(IUI102,[14]AssetDetails_UEM!$A$3:$AH$1849,6,FALSE)</f>
        <v>Electrosurgical Units, Monopolar/Bipolar</v>
      </c>
      <c r="IUK102" s="528" t="s">
        <v>213</v>
      </c>
      <c r="IUL102" s="529" t="str">
        <f>VLOOKUP(IUK102,[14]AssetDetails_UEM!$A$3:$AH$1849,6,FALSE)</f>
        <v>Electrosurgical Units, Monopolar/Bipolar</v>
      </c>
      <c r="IUM102" s="528" t="s">
        <v>213</v>
      </c>
      <c r="IUN102" s="529" t="str">
        <f>VLOOKUP(IUM102,[14]AssetDetails_UEM!$A$3:$AH$1849,6,FALSE)</f>
        <v>Electrosurgical Units, Monopolar/Bipolar</v>
      </c>
      <c r="IUO102" s="528" t="s">
        <v>213</v>
      </c>
      <c r="IUP102" s="529" t="str">
        <f>VLOOKUP(IUO102,[14]AssetDetails_UEM!$A$3:$AH$1849,6,FALSE)</f>
        <v>Electrosurgical Units, Monopolar/Bipolar</v>
      </c>
      <c r="IUQ102" s="528" t="s">
        <v>213</v>
      </c>
      <c r="IUR102" s="529" t="str">
        <f>VLOOKUP(IUQ102,[14]AssetDetails_UEM!$A$3:$AH$1849,6,FALSE)</f>
        <v>Electrosurgical Units, Monopolar/Bipolar</v>
      </c>
      <c r="IUS102" s="528" t="s">
        <v>213</v>
      </c>
      <c r="IUT102" s="529" t="str">
        <f>VLOOKUP(IUS102,[14]AssetDetails_UEM!$A$3:$AH$1849,6,FALSE)</f>
        <v>Electrosurgical Units, Monopolar/Bipolar</v>
      </c>
      <c r="IUU102" s="528" t="s">
        <v>213</v>
      </c>
      <c r="IUV102" s="529" t="str">
        <f>VLOOKUP(IUU102,[14]AssetDetails_UEM!$A$3:$AH$1849,6,FALSE)</f>
        <v>Electrosurgical Units, Monopolar/Bipolar</v>
      </c>
      <c r="IUW102" s="528" t="s">
        <v>213</v>
      </c>
      <c r="IUX102" s="529" t="str">
        <f>VLOOKUP(IUW102,[14]AssetDetails_UEM!$A$3:$AH$1849,6,FALSE)</f>
        <v>Electrosurgical Units, Monopolar/Bipolar</v>
      </c>
      <c r="IUY102" s="528" t="s">
        <v>213</v>
      </c>
      <c r="IUZ102" s="529" t="str">
        <f>VLOOKUP(IUY102,[14]AssetDetails_UEM!$A$3:$AH$1849,6,FALSE)</f>
        <v>Electrosurgical Units, Monopolar/Bipolar</v>
      </c>
      <c r="IVA102" s="528" t="s">
        <v>213</v>
      </c>
      <c r="IVB102" s="529" t="str">
        <f>VLOOKUP(IVA102,[14]AssetDetails_UEM!$A$3:$AH$1849,6,FALSE)</f>
        <v>Electrosurgical Units, Monopolar/Bipolar</v>
      </c>
      <c r="IVC102" s="528" t="s">
        <v>213</v>
      </c>
      <c r="IVD102" s="529" t="str">
        <f>VLOOKUP(IVC102,[14]AssetDetails_UEM!$A$3:$AH$1849,6,FALSE)</f>
        <v>Electrosurgical Units, Monopolar/Bipolar</v>
      </c>
      <c r="IVE102" s="528" t="s">
        <v>213</v>
      </c>
      <c r="IVF102" s="529" t="str">
        <f>VLOOKUP(IVE102,[14]AssetDetails_UEM!$A$3:$AH$1849,6,FALSE)</f>
        <v>Electrosurgical Units, Monopolar/Bipolar</v>
      </c>
      <c r="IVG102" s="528" t="s">
        <v>213</v>
      </c>
      <c r="IVH102" s="529" t="str">
        <f>VLOOKUP(IVG102,[14]AssetDetails_UEM!$A$3:$AH$1849,6,FALSE)</f>
        <v>Electrosurgical Units, Monopolar/Bipolar</v>
      </c>
      <c r="IVI102" s="528" t="s">
        <v>213</v>
      </c>
      <c r="IVJ102" s="529" t="str">
        <f>VLOOKUP(IVI102,[14]AssetDetails_UEM!$A$3:$AH$1849,6,FALSE)</f>
        <v>Electrosurgical Units, Monopolar/Bipolar</v>
      </c>
      <c r="IVK102" s="528" t="s">
        <v>213</v>
      </c>
      <c r="IVL102" s="529" t="str">
        <f>VLOOKUP(IVK102,[14]AssetDetails_UEM!$A$3:$AH$1849,6,FALSE)</f>
        <v>Electrosurgical Units, Monopolar/Bipolar</v>
      </c>
      <c r="IVM102" s="528" t="s">
        <v>213</v>
      </c>
      <c r="IVN102" s="529" t="str">
        <f>VLOOKUP(IVM102,[14]AssetDetails_UEM!$A$3:$AH$1849,6,FALSE)</f>
        <v>Electrosurgical Units, Monopolar/Bipolar</v>
      </c>
      <c r="IVO102" s="528" t="s">
        <v>213</v>
      </c>
      <c r="IVP102" s="529" t="str">
        <f>VLOOKUP(IVO102,[14]AssetDetails_UEM!$A$3:$AH$1849,6,FALSE)</f>
        <v>Electrosurgical Units, Monopolar/Bipolar</v>
      </c>
      <c r="IVQ102" s="528" t="s">
        <v>213</v>
      </c>
      <c r="IVR102" s="529" t="str">
        <f>VLOOKUP(IVQ102,[14]AssetDetails_UEM!$A$3:$AH$1849,6,FALSE)</f>
        <v>Electrosurgical Units, Monopolar/Bipolar</v>
      </c>
      <c r="IVS102" s="528" t="s">
        <v>213</v>
      </c>
      <c r="IVT102" s="529" t="str">
        <f>VLOOKUP(IVS102,[14]AssetDetails_UEM!$A$3:$AH$1849,6,FALSE)</f>
        <v>Electrosurgical Units, Monopolar/Bipolar</v>
      </c>
      <c r="IVU102" s="528" t="s">
        <v>213</v>
      </c>
      <c r="IVV102" s="529" t="str">
        <f>VLOOKUP(IVU102,[14]AssetDetails_UEM!$A$3:$AH$1849,6,FALSE)</f>
        <v>Electrosurgical Units, Monopolar/Bipolar</v>
      </c>
      <c r="IVW102" s="528" t="s">
        <v>213</v>
      </c>
      <c r="IVX102" s="529" t="str">
        <f>VLOOKUP(IVW102,[14]AssetDetails_UEM!$A$3:$AH$1849,6,FALSE)</f>
        <v>Electrosurgical Units, Monopolar/Bipolar</v>
      </c>
      <c r="IVY102" s="528" t="s">
        <v>213</v>
      </c>
      <c r="IVZ102" s="529" t="str">
        <f>VLOOKUP(IVY102,[14]AssetDetails_UEM!$A$3:$AH$1849,6,FALSE)</f>
        <v>Electrosurgical Units, Monopolar/Bipolar</v>
      </c>
      <c r="IWA102" s="528" t="s">
        <v>213</v>
      </c>
      <c r="IWB102" s="529" t="str">
        <f>VLOOKUP(IWA102,[14]AssetDetails_UEM!$A$3:$AH$1849,6,FALSE)</f>
        <v>Electrosurgical Units, Monopolar/Bipolar</v>
      </c>
      <c r="IWC102" s="528" t="s">
        <v>213</v>
      </c>
      <c r="IWD102" s="529" t="str">
        <f>VLOOKUP(IWC102,[14]AssetDetails_UEM!$A$3:$AH$1849,6,FALSE)</f>
        <v>Electrosurgical Units, Monopolar/Bipolar</v>
      </c>
      <c r="IWE102" s="528" t="s">
        <v>213</v>
      </c>
      <c r="IWF102" s="529" t="str">
        <f>VLOOKUP(IWE102,[14]AssetDetails_UEM!$A$3:$AH$1849,6,FALSE)</f>
        <v>Electrosurgical Units, Monopolar/Bipolar</v>
      </c>
      <c r="IWG102" s="528" t="s">
        <v>213</v>
      </c>
      <c r="IWH102" s="529" t="str">
        <f>VLOOKUP(IWG102,[14]AssetDetails_UEM!$A$3:$AH$1849,6,FALSE)</f>
        <v>Electrosurgical Units, Monopolar/Bipolar</v>
      </c>
      <c r="IWI102" s="528" t="s">
        <v>213</v>
      </c>
      <c r="IWJ102" s="529" t="str">
        <f>VLOOKUP(IWI102,[14]AssetDetails_UEM!$A$3:$AH$1849,6,FALSE)</f>
        <v>Electrosurgical Units, Monopolar/Bipolar</v>
      </c>
      <c r="IWK102" s="528" t="s">
        <v>213</v>
      </c>
      <c r="IWL102" s="529" t="str">
        <f>VLOOKUP(IWK102,[14]AssetDetails_UEM!$A$3:$AH$1849,6,FALSE)</f>
        <v>Electrosurgical Units, Monopolar/Bipolar</v>
      </c>
      <c r="IWM102" s="528" t="s">
        <v>213</v>
      </c>
      <c r="IWN102" s="529" t="str">
        <f>VLOOKUP(IWM102,[14]AssetDetails_UEM!$A$3:$AH$1849,6,FALSE)</f>
        <v>Electrosurgical Units, Monopolar/Bipolar</v>
      </c>
      <c r="IWO102" s="528" t="s">
        <v>213</v>
      </c>
      <c r="IWP102" s="529" t="str">
        <f>VLOOKUP(IWO102,[14]AssetDetails_UEM!$A$3:$AH$1849,6,FALSE)</f>
        <v>Electrosurgical Units, Monopolar/Bipolar</v>
      </c>
      <c r="IWQ102" s="528" t="s">
        <v>213</v>
      </c>
      <c r="IWR102" s="529" t="str">
        <f>VLOOKUP(IWQ102,[14]AssetDetails_UEM!$A$3:$AH$1849,6,FALSE)</f>
        <v>Electrosurgical Units, Monopolar/Bipolar</v>
      </c>
      <c r="IWS102" s="528" t="s">
        <v>213</v>
      </c>
      <c r="IWT102" s="529" t="str">
        <f>VLOOKUP(IWS102,[14]AssetDetails_UEM!$A$3:$AH$1849,6,FALSE)</f>
        <v>Electrosurgical Units, Monopolar/Bipolar</v>
      </c>
      <c r="IWU102" s="528" t="s">
        <v>213</v>
      </c>
      <c r="IWV102" s="529" t="str">
        <f>VLOOKUP(IWU102,[14]AssetDetails_UEM!$A$3:$AH$1849,6,FALSE)</f>
        <v>Electrosurgical Units, Monopolar/Bipolar</v>
      </c>
      <c r="IWW102" s="528" t="s">
        <v>213</v>
      </c>
      <c r="IWX102" s="529" t="str">
        <f>VLOOKUP(IWW102,[14]AssetDetails_UEM!$A$3:$AH$1849,6,FALSE)</f>
        <v>Electrosurgical Units, Monopolar/Bipolar</v>
      </c>
      <c r="IWY102" s="528" t="s">
        <v>213</v>
      </c>
      <c r="IWZ102" s="529" t="str">
        <f>VLOOKUP(IWY102,[14]AssetDetails_UEM!$A$3:$AH$1849,6,FALSE)</f>
        <v>Electrosurgical Units, Monopolar/Bipolar</v>
      </c>
      <c r="IXA102" s="528" t="s">
        <v>213</v>
      </c>
      <c r="IXB102" s="529" t="str">
        <f>VLOOKUP(IXA102,[14]AssetDetails_UEM!$A$3:$AH$1849,6,FALSE)</f>
        <v>Electrosurgical Units, Monopolar/Bipolar</v>
      </c>
      <c r="IXC102" s="528" t="s">
        <v>213</v>
      </c>
      <c r="IXD102" s="529" t="str">
        <f>VLOOKUP(IXC102,[14]AssetDetails_UEM!$A$3:$AH$1849,6,FALSE)</f>
        <v>Electrosurgical Units, Monopolar/Bipolar</v>
      </c>
      <c r="IXE102" s="528" t="s">
        <v>213</v>
      </c>
      <c r="IXF102" s="529" t="str">
        <f>VLOOKUP(IXE102,[14]AssetDetails_UEM!$A$3:$AH$1849,6,FALSE)</f>
        <v>Electrosurgical Units, Monopolar/Bipolar</v>
      </c>
      <c r="IXG102" s="528" t="s">
        <v>213</v>
      </c>
      <c r="IXH102" s="529" t="str">
        <f>VLOOKUP(IXG102,[14]AssetDetails_UEM!$A$3:$AH$1849,6,FALSE)</f>
        <v>Electrosurgical Units, Monopolar/Bipolar</v>
      </c>
      <c r="IXI102" s="528" t="s">
        <v>213</v>
      </c>
      <c r="IXJ102" s="529" t="str">
        <f>VLOOKUP(IXI102,[14]AssetDetails_UEM!$A$3:$AH$1849,6,FALSE)</f>
        <v>Electrosurgical Units, Monopolar/Bipolar</v>
      </c>
      <c r="IXK102" s="528" t="s">
        <v>213</v>
      </c>
      <c r="IXL102" s="529" t="str">
        <f>VLOOKUP(IXK102,[14]AssetDetails_UEM!$A$3:$AH$1849,6,FALSE)</f>
        <v>Electrosurgical Units, Monopolar/Bipolar</v>
      </c>
      <c r="IXM102" s="528" t="s">
        <v>213</v>
      </c>
      <c r="IXN102" s="529" t="str">
        <f>VLOOKUP(IXM102,[14]AssetDetails_UEM!$A$3:$AH$1849,6,FALSE)</f>
        <v>Electrosurgical Units, Monopolar/Bipolar</v>
      </c>
      <c r="IXO102" s="528" t="s">
        <v>213</v>
      </c>
      <c r="IXP102" s="529" t="str">
        <f>VLOOKUP(IXO102,[14]AssetDetails_UEM!$A$3:$AH$1849,6,FALSE)</f>
        <v>Electrosurgical Units, Monopolar/Bipolar</v>
      </c>
      <c r="IXQ102" s="528" t="s">
        <v>213</v>
      </c>
      <c r="IXR102" s="529" t="str">
        <f>VLOOKUP(IXQ102,[14]AssetDetails_UEM!$A$3:$AH$1849,6,FALSE)</f>
        <v>Electrosurgical Units, Monopolar/Bipolar</v>
      </c>
      <c r="IXS102" s="528" t="s">
        <v>213</v>
      </c>
      <c r="IXT102" s="529" t="str">
        <f>VLOOKUP(IXS102,[14]AssetDetails_UEM!$A$3:$AH$1849,6,FALSE)</f>
        <v>Electrosurgical Units, Monopolar/Bipolar</v>
      </c>
      <c r="IXU102" s="528" t="s">
        <v>213</v>
      </c>
      <c r="IXV102" s="529" t="str">
        <f>VLOOKUP(IXU102,[14]AssetDetails_UEM!$A$3:$AH$1849,6,FALSE)</f>
        <v>Electrosurgical Units, Monopolar/Bipolar</v>
      </c>
      <c r="IXW102" s="528" t="s">
        <v>213</v>
      </c>
      <c r="IXX102" s="529" t="str">
        <f>VLOOKUP(IXW102,[14]AssetDetails_UEM!$A$3:$AH$1849,6,FALSE)</f>
        <v>Electrosurgical Units, Monopolar/Bipolar</v>
      </c>
      <c r="IXY102" s="528" t="s">
        <v>213</v>
      </c>
      <c r="IXZ102" s="529" t="str">
        <f>VLOOKUP(IXY102,[14]AssetDetails_UEM!$A$3:$AH$1849,6,FALSE)</f>
        <v>Electrosurgical Units, Monopolar/Bipolar</v>
      </c>
      <c r="IYA102" s="528" t="s">
        <v>213</v>
      </c>
      <c r="IYB102" s="529" t="str">
        <f>VLOOKUP(IYA102,[14]AssetDetails_UEM!$A$3:$AH$1849,6,FALSE)</f>
        <v>Electrosurgical Units, Monopolar/Bipolar</v>
      </c>
      <c r="IYC102" s="528" t="s">
        <v>213</v>
      </c>
      <c r="IYD102" s="529" t="str">
        <f>VLOOKUP(IYC102,[14]AssetDetails_UEM!$A$3:$AH$1849,6,FALSE)</f>
        <v>Electrosurgical Units, Monopolar/Bipolar</v>
      </c>
      <c r="IYE102" s="528" t="s">
        <v>213</v>
      </c>
      <c r="IYF102" s="529" t="str">
        <f>VLOOKUP(IYE102,[14]AssetDetails_UEM!$A$3:$AH$1849,6,FALSE)</f>
        <v>Electrosurgical Units, Monopolar/Bipolar</v>
      </c>
      <c r="IYG102" s="528" t="s">
        <v>213</v>
      </c>
      <c r="IYH102" s="529" t="str">
        <f>VLOOKUP(IYG102,[14]AssetDetails_UEM!$A$3:$AH$1849,6,FALSE)</f>
        <v>Electrosurgical Units, Monopolar/Bipolar</v>
      </c>
      <c r="IYI102" s="528" t="s">
        <v>213</v>
      </c>
      <c r="IYJ102" s="529" t="str">
        <f>VLOOKUP(IYI102,[14]AssetDetails_UEM!$A$3:$AH$1849,6,FALSE)</f>
        <v>Electrosurgical Units, Monopolar/Bipolar</v>
      </c>
      <c r="IYK102" s="528" t="s">
        <v>213</v>
      </c>
      <c r="IYL102" s="529" t="str">
        <f>VLOOKUP(IYK102,[14]AssetDetails_UEM!$A$3:$AH$1849,6,FALSE)</f>
        <v>Electrosurgical Units, Monopolar/Bipolar</v>
      </c>
      <c r="IYM102" s="528" t="s">
        <v>213</v>
      </c>
      <c r="IYN102" s="529" t="str">
        <f>VLOOKUP(IYM102,[14]AssetDetails_UEM!$A$3:$AH$1849,6,FALSE)</f>
        <v>Electrosurgical Units, Monopolar/Bipolar</v>
      </c>
      <c r="IYO102" s="528" t="s">
        <v>213</v>
      </c>
      <c r="IYP102" s="529" t="str">
        <f>VLOOKUP(IYO102,[14]AssetDetails_UEM!$A$3:$AH$1849,6,FALSE)</f>
        <v>Electrosurgical Units, Monopolar/Bipolar</v>
      </c>
      <c r="IYQ102" s="528" t="s">
        <v>213</v>
      </c>
      <c r="IYR102" s="529" t="str">
        <f>VLOOKUP(IYQ102,[14]AssetDetails_UEM!$A$3:$AH$1849,6,FALSE)</f>
        <v>Electrosurgical Units, Monopolar/Bipolar</v>
      </c>
      <c r="IYS102" s="528" t="s">
        <v>213</v>
      </c>
      <c r="IYT102" s="529" t="str">
        <f>VLOOKUP(IYS102,[14]AssetDetails_UEM!$A$3:$AH$1849,6,FALSE)</f>
        <v>Electrosurgical Units, Monopolar/Bipolar</v>
      </c>
      <c r="IYU102" s="528" t="s">
        <v>213</v>
      </c>
      <c r="IYV102" s="529" t="str">
        <f>VLOOKUP(IYU102,[14]AssetDetails_UEM!$A$3:$AH$1849,6,FALSE)</f>
        <v>Electrosurgical Units, Monopolar/Bipolar</v>
      </c>
      <c r="IYW102" s="528" t="s">
        <v>213</v>
      </c>
      <c r="IYX102" s="529" t="str">
        <f>VLOOKUP(IYW102,[14]AssetDetails_UEM!$A$3:$AH$1849,6,FALSE)</f>
        <v>Electrosurgical Units, Monopolar/Bipolar</v>
      </c>
      <c r="IYY102" s="528" t="s">
        <v>213</v>
      </c>
      <c r="IYZ102" s="529" t="str">
        <f>VLOOKUP(IYY102,[14]AssetDetails_UEM!$A$3:$AH$1849,6,FALSE)</f>
        <v>Electrosurgical Units, Monopolar/Bipolar</v>
      </c>
      <c r="IZA102" s="528" t="s">
        <v>213</v>
      </c>
      <c r="IZB102" s="529" t="str">
        <f>VLOOKUP(IZA102,[14]AssetDetails_UEM!$A$3:$AH$1849,6,FALSE)</f>
        <v>Electrosurgical Units, Monopolar/Bipolar</v>
      </c>
      <c r="IZC102" s="528" t="s">
        <v>213</v>
      </c>
      <c r="IZD102" s="529" t="str">
        <f>VLOOKUP(IZC102,[14]AssetDetails_UEM!$A$3:$AH$1849,6,FALSE)</f>
        <v>Electrosurgical Units, Monopolar/Bipolar</v>
      </c>
      <c r="IZE102" s="528" t="s">
        <v>213</v>
      </c>
      <c r="IZF102" s="529" t="str">
        <f>VLOOKUP(IZE102,[14]AssetDetails_UEM!$A$3:$AH$1849,6,FALSE)</f>
        <v>Electrosurgical Units, Monopolar/Bipolar</v>
      </c>
      <c r="IZG102" s="528" t="s">
        <v>213</v>
      </c>
      <c r="IZH102" s="529" t="str">
        <f>VLOOKUP(IZG102,[14]AssetDetails_UEM!$A$3:$AH$1849,6,FALSE)</f>
        <v>Electrosurgical Units, Monopolar/Bipolar</v>
      </c>
      <c r="IZI102" s="528" t="s">
        <v>213</v>
      </c>
      <c r="IZJ102" s="529" t="str">
        <f>VLOOKUP(IZI102,[14]AssetDetails_UEM!$A$3:$AH$1849,6,FALSE)</f>
        <v>Electrosurgical Units, Monopolar/Bipolar</v>
      </c>
      <c r="IZK102" s="528" t="s">
        <v>213</v>
      </c>
      <c r="IZL102" s="529" t="str">
        <f>VLOOKUP(IZK102,[14]AssetDetails_UEM!$A$3:$AH$1849,6,FALSE)</f>
        <v>Electrosurgical Units, Monopolar/Bipolar</v>
      </c>
      <c r="IZM102" s="528" t="s">
        <v>213</v>
      </c>
      <c r="IZN102" s="529" t="str">
        <f>VLOOKUP(IZM102,[14]AssetDetails_UEM!$A$3:$AH$1849,6,FALSE)</f>
        <v>Electrosurgical Units, Monopolar/Bipolar</v>
      </c>
      <c r="IZO102" s="528" t="s">
        <v>213</v>
      </c>
      <c r="IZP102" s="529" t="str">
        <f>VLOOKUP(IZO102,[14]AssetDetails_UEM!$A$3:$AH$1849,6,FALSE)</f>
        <v>Electrosurgical Units, Monopolar/Bipolar</v>
      </c>
      <c r="IZQ102" s="528" t="s">
        <v>213</v>
      </c>
      <c r="IZR102" s="529" t="str">
        <f>VLOOKUP(IZQ102,[14]AssetDetails_UEM!$A$3:$AH$1849,6,FALSE)</f>
        <v>Electrosurgical Units, Monopolar/Bipolar</v>
      </c>
      <c r="IZS102" s="528" t="s">
        <v>213</v>
      </c>
      <c r="IZT102" s="529" t="str">
        <f>VLOOKUP(IZS102,[14]AssetDetails_UEM!$A$3:$AH$1849,6,FALSE)</f>
        <v>Electrosurgical Units, Monopolar/Bipolar</v>
      </c>
      <c r="IZU102" s="528" t="s">
        <v>213</v>
      </c>
      <c r="IZV102" s="529" t="str">
        <f>VLOOKUP(IZU102,[14]AssetDetails_UEM!$A$3:$AH$1849,6,FALSE)</f>
        <v>Electrosurgical Units, Monopolar/Bipolar</v>
      </c>
      <c r="IZW102" s="528" t="s">
        <v>213</v>
      </c>
      <c r="IZX102" s="529" t="str">
        <f>VLOOKUP(IZW102,[14]AssetDetails_UEM!$A$3:$AH$1849,6,FALSE)</f>
        <v>Electrosurgical Units, Monopolar/Bipolar</v>
      </c>
      <c r="IZY102" s="528" t="s">
        <v>213</v>
      </c>
      <c r="IZZ102" s="529" t="str">
        <f>VLOOKUP(IZY102,[14]AssetDetails_UEM!$A$3:$AH$1849,6,FALSE)</f>
        <v>Electrosurgical Units, Monopolar/Bipolar</v>
      </c>
      <c r="JAA102" s="528" t="s">
        <v>213</v>
      </c>
      <c r="JAB102" s="529" t="str">
        <f>VLOOKUP(JAA102,[14]AssetDetails_UEM!$A$3:$AH$1849,6,FALSE)</f>
        <v>Electrosurgical Units, Monopolar/Bipolar</v>
      </c>
      <c r="JAC102" s="528" t="s">
        <v>213</v>
      </c>
      <c r="JAD102" s="529" t="str">
        <f>VLOOKUP(JAC102,[14]AssetDetails_UEM!$A$3:$AH$1849,6,FALSE)</f>
        <v>Electrosurgical Units, Monopolar/Bipolar</v>
      </c>
      <c r="JAE102" s="528" t="s">
        <v>213</v>
      </c>
      <c r="JAF102" s="529" t="str">
        <f>VLOOKUP(JAE102,[14]AssetDetails_UEM!$A$3:$AH$1849,6,FALSE)</f>
        <v>Electrosurgical Units, Monopolar/Bipolar</v>
      </c>
      <c r="JAG102" s="528" t="s">
        <v>213</v>
      </c>
      <c r="JAH102" s="529" t="str">
        <f>VLOOKUP(JAG102,[14]AssetDetails_UEM!$A$3:$AH$1849,6,FALSE)</f>
        <v>Electrosurgical Units, Monopolar/Bipolar</v>
      </c>
      <c r="JAI102" s="528" t="s">
        <v>213</v>
      </c>
      <c r="JAJ102" s="529" t="str">
        <f>VLOOKUP(JAI102,[14]AssetDetails_UEM!$A$3:$AH$1849,6,FALSE)</f>
        <v>Electrosurgical Units, Monopolar/Bipolar</v>
      </c>
      <c r="JAK102" s="528" t="s">
        <v>213</v>
      </c>
      <c r="JAL102" s="529" t="str">
        <f>VLOOKUP(JAK102,[14]AssetDetails_UEM!$A$3:$AH$1849,6,FALSE)</f>
        <v>Electrosurgical Units, Monopolar/Bipolar</v>
      </c>
      <c r="JAM102" s="528" t="s">
        <v>213</v>
      </c>
      <c r="JAN102" s="529" t="str">
        <f>VLOOKUP(JAM102,[14]AssetDetails_UEM!$A$3:$AH$1849,6,FALSE)</f>
        <v>Electrosurgical Units, Monopolar/Bipolar</v>
      </c>
      <c r="JAO102" s="528" t="s">
        <v>213</v>
      </c>
      <c r="JAP102" s="529" t="str">
        <f>VLOOKUP(JAO102,[14]AssetDetails_UEM!$A$3:$AH$1849,6,FALSE)</f>
        <v>Electrosurgical Units, Monopolar/Bipolar</v>
      </c>
      <c r="JAQ102" s="528" t="s">
        <v>213</v>
      </c>
      <c r="JAR102" s="529" t="str">
        <f>VLOOKUP(JAQ102,[14]AssetDetails_UEM!$A$3:$AH$1849,6,FALSE)</f>
        <v>Electrosurgical Units, Monopolar/Bipolar</v>
      </c>
      <c r="JAS102" s="528" t="s">
        <v>213</v>
      </c>
      <c r="JAT102" s="529" t="str">
        <f>VLOOKUP(JAS102,[14]AssetDetails_UEM!$A$3:$AH$1849,6,FALSE)</f>
        <v>Electrosurgical Units, Monopolar/Bipolar</v>
      </c>
      <c r="JAU102" s="528" t="s">
        <v>213</v>
      </c>
      <c r="JAV102" s="529" t="str">
        <f>VLOOKUP(JAU102,[14]AssetDetails_UEM!$A$3:$AH$1849,6,FALSE)</f>
        <v>Electrosurgical Units, Monopolar/Bipolar</v>
      </c>
      <c r="JAW102" s="528" t="s">
        <v>213</v>
      </c>
      <c r="JAX102" s="529" t="str">
        <f>VLOOKUP(JAW102,[14]AssetDetails_UEM!$A$3:$AH$1849,6,FALSE)</f>
        <v>Electrosurgical Units, Monopolar/Bipolar</v>
      </c>
      <c r="JAY102" s="528" t="s">
        <v>213</v>
      </c>
      <c r="JAZ102" s="529" t="str">
        <f>VLOOKUP(JAY102,[14]AssetDetails_UEM!$A$3:$AH$1849,6,FALSE)</f>
        <v>Electrosurgical Units, Monopolar/Bipolar</v>
      </c>
      <c r="JBA102" s="528" t="s">
        <v>213</v>
      </c>
      <c r="JBB102" s="529" t="str">
        <f>VLOOKUP(JBA102,[14]AssetDetails_UEM!$A$3:$AH$1849,6,FALSE)</f>
        <v>Electrosurgical Units, Monopolar/Bipolar</v>
      </c>
      <c r="JBC102" s="528" t="s">
        <v>213</v>
      </c>
      <c r="JBD102" s="529" t="str">
        <f>VLOOKUP(JBC102,[14]AssetDetails_UEM!$A$3:$AH$1849,6,FALSE)</f>
        <v>Electrosurgical Units, Monopolar/Bipolar</v>
      </c>
      <c r="JBE102" s="528" t="s">
        <v>213</v>
      </c>
      <c r="JBF102" s="529" t="str">
        <f>VLOOKUP(JBE102,[14]AssetDetails_UEM!$A$3:$AH$1849,6,FALSE)</f>
        <v>Electrosurgical Units, Monopolar/Bipolar</v>
      </c>
      <c r="JBG102" s="528" t="s">
        <v>213</v>
      </c>
      <c r="JBH102" s="529" t="str">
        <f>VLOOKUP(JBG102,[14]AssetDetails_UEM!$A$3:$AH$1849,6,FALSE)</f>
        <v>Electrosurgical Units, Monopolar/Bipolar</v>
      </c>
      <c r="JBI102" s="528" t="s">
        <v>213</v>
      </c>
      <c r="JBJ102" s="529" t="str">
        <f>VLOOKUP(JBI102,[14]AssetDetails_UEM!$A$3:$AH$1849,6,FALSE)</f>
        <v>Electrosurgical Units, Monopolar/Bipolar</v>
      </c>
      <c r="JBK102" s="528" t="s">
        <v>213</v>
      </c>
      <c r="JBL102" s="529" t="str">
        <f>VLOOKUP(JBK102,[14]AssetDetails_UEM!$A$3:$AH$1849,6,FALSE)</f>
        <v>Electrosurgical Units, Monopolar/Bipolar</v>
      </c>
      <c r="JBM102" s="528" t="s">
        <v>213</v>
      </c>
      <c r="JBN102" s="529" t="str">
        <f>VLOOKUP(JBM102,[14]AssetDetails_UEM!$A$3:$AH$1849,6,FALSE)</f>
        <v>Electrosurgical Units, Monopolar/Bipolar</v>
      </c>
      <c r="JBO102" s="528" t="s">
        <v>213</v>
      </c>
      <c r="JBP102" s="529" t="str">
        <f>VLOOKUP(JBO102,[14]AssetDetails_UEM!$A$3:$AH$1849,6,FALSE)</f>
        <v>Electrosurgical Units, Monopolar/Bipolar</v>
      </c>
      <c r="JBQ102" s="528" t="s">
        <v>213</v>
      </c>
      <c r="JBR102" s="529" t="str">
        <f>VLOOKUP(JBQ102,[14]AssetDetails_UEM!$A$3:$AH$1849,6,FALSE)</f>
        <v>Electrosurgical Units, Monopolar/Bipolar</v>
      </c>
      <c r="JBS102" s="528" t="s">
        <v>213</v>
      </c>
      <c r="JBT102" s="529" t="str">
        <f>VLOOKUP(JBS102,[14]AssetDetails_UEM!$A$3:$AH$1849,6,FALSE)</f>
        <v>Electrosurgical Units, Monopolar/Bipolar</v>
      </c>
      <c r="JBU102" s="528" t="s">
        <v>213</v>
      </c>
      <c r="JBV102" s="529" t="str">
        <f>VLOOKUP(JBU102,[14]AssetDetails_UEM!$A$3:$AH$1849,6,FALSE)</f>
        <v>Electrosurgical Units, Monopolar/Bipolar</v>
      </c>
      <c r="JBW102" s="528" t="s">
        <v>213</v>
      </c>
      <c r="JBX102" s="529" t="str">
        <f>VLOOKUP(JBW102,[14]AssetDetails_UEM!$A$3:$AH$1849,6,FALSE)</f>
        <v>Electrosurgical Units, Monopolar/Bipolar</v>
      </c>
      <c r="JBY102" s="528" t="s">
        <v>213</v>
      </c>
      <c r="JBZ102" s="529" t="str">
        <f>VLOOKUP(JBY102,[14]AssetDetails_UEM!$A$3:$AH$1849,6,FALSE)</f>
        <v>Electrosurgical Units, Monopolar/Bipolar</v>
      </c>
      <c r="JCA102" s="528" t="s">
        <v>213</v>
      </c>
      <c r="JCB102" s="529" t="str">
        <f>VLOOKUP(JCA102,[14]AssetDetails_UEM!$A$3:$AH$1849,6,FALSE)</f>
        <v>Electrosurgical Units, Monopolar/Bipolar</v>
      </c>
      <c r="JCC102" s="528" t="s">
        <v>213</v>
      </c>
      <c r="JCD102" s="529" t="str">
        <f>VLOOKUP(JCC102,[14]AssetDetails_UEM!$A$3:$AH$1849,6,FALSE)</f>
        <v>Electrosurgical Units, Monopolar/Bipolar</v>
      </c>
      <c r="JCE102" s="528" t="s">
        <v>213</v>
      </c>
      <c r="JCF102" s="529" t="str">
        <f>VLOOKUP(JCE102,[14]AssetDetails_UEM!$A$3:$AH$1849,6,FALSE)</f>
        <v>Electrosurgical Units, Monopolar/Bipolar</v>
      </c>
      <c r="JCG102" s="528" t="s">
        <v>213</v>
      </c>
      <c r="JCH102" s="529" t="str">
        <f>VLOOKUP(JCG102,[14]AssetDetails_UEM!$A$3:$AH$1849,6,FALSE)</f>
        <v>Electrosurgical Units, Monopolar/Bipolar</v>
      </c>
      <c r="JCI102" s="528" t="s">
        <v>213</v>
      </c>
      <c r="JCJ102" s="529" t="str">
        <f>VLOOKUP(JCI102,[14]AssetDetails_UEM!$A$3:$AH$1849,6,FALSE)</f>
        <v>Electrosurgical Units, Monopolar/Bipolar</v>
      </c>
      <c r="JCK102" s="528" t="s">
        <v>213</v>
      </c>
      <c r="JCL102" s="529" t="str">
        <f>VLOOKUP(JCK102,[14]AssetDetails_UEM!$A$3:$AH$1849,6,FALSE)</f>
        <v>Electrosurgical Units, Monopolar/Bipolar</v>
      </c>
      <c r="JCM102" s="528" t="s">
        <v>213</v>
      </c>
      <c r="JCN102" s="529" t="str">
        <f>VLOOKUP(JCM102,[14]AssetDetails_UEM!$A$3:$AH$1849,6,FALSE)</f>
        <v>Electrosurgical Units, Monopolar/Bipolar</v>
      </c>
      <c r="JCO102" s="528" t="s">
        <v>213</v>
      </c>
      <c r="JCP102" s="529" t="str">
        <f>VLOOKUP(JCO102,[14]AssetDetails_UEM!$A$3:$AH$1849,6,FALSE)</f>
        <v>Electrosurgical Units, Monopolar/Bipolar</v>
      </c>
      <c r="JCQ102" s="528" t="s">
        <v>213</v>
      </c>
      <c r="JCR102" s="529" t="str">
        <f>VLOOKUP(JCQ102,[14]AssetDetails_UEM!$A$3:$AH$1849,6,FALSE)</f>
        <v>Electrosurgical Units, Monopolar/Bipolar</v>
      </c>
      <c r="JCS102" s="528" t="s">
        <v>213</v>
      </c>
      <c r="JCT102" s="529" t="str">
        <f>VLOOKUP(JCS102,[14]AssetDetails_UEM!$A$3:$AH$1849,6,FALSE)</f>
        <v>Electrosurgical Units, Monopolar/Bipolar</v>
      </c>
      <c r="JCU102" s="528" t="s">
        <v>213</v>
      </c>
      <c r="JCV102" s="529" t="str">
        <f>VLOOKUP(JCU102,[14]AssetDetails_UEM!$A$3:$AH$1849,6,FALSE)</f>
        <v>Electrosurgical Units, Monopolar/Bipolar</v>
      </c>
      <c r="JCW102" s="528" t="s">
        <v>213</v>
      </c>
      <c r="JCX102" s="529" t="str">
        <f>VLOOKUP(JCW102,[14]AssetDetails_UEM!$A$3:$AH$1849,6,FALSE)</f>
        <v>Electrosurgical Units, Monopolar/Bipolar</v>
      </c>
      <c r="JCY102" s="528" t="s">
        <v>213</v>
      </c>
      <c r="JCZ102" s="529" t="str">
        <f>VLOOKUP(JCY102,[14]AssetDetails_UEM!$A$3:$AH$1849,6,FALSE)</f>
        <v>Electrosurgical Units, Monopolar/Bipolar</v>
      </c>
      <c r="JDA102" s="528" t="s">
        <v>213</v>
      </c>
      <c r="JDB102" s="529" t="str">
        <f>VLOOKUP(JDA102,[14]AssetDetails_UEM!$A$3:$AH$1849,6,FALSE)</f>
        <v>Electrosurgical Units, Monopolar/Bipolar</v>
      </c>
      <c r="JDC102" s="528" t="s">
        <v>213</v>
      </c>
      <c r="JDD102" s="529" t="str">
        <f>VLOOKUP(JDC102,[14]AssetDetails_UEM!$A$3:$AH$1849,6,FALSE)</f>
        <v>Electrosurgical Units, Monopolar/Bipolar</v>
      </c>
      <c r="JDE102" s="528" t="s">
        <v>213</v>
      </c>
      <c r="JDF102" s="529" t="str">
        <f>VLOOKUP(JDE102,[14]AssetDetails_UEM!$A$3:$AH$1849,6,FALSE)</f>
        <v>Electrosurgical Units, Monopolar/Bipolar</v>
      </c>
      <c r="JDG102" s="528" t="s">
        <v>213</v>
      </c>
      <c r="JDH102" s="529" t="str">
        <f>VLOOKUP(JDG102,[14]AssetDetails_UEM!$A$3:$AH$1849,6,FALSE)</f>
        <v>Electrosurgical Units, Monopolar/Bipolar</v>
      </c>
      <c r="JDI102" s="528" t="s">
        <v>213</v>
      </c>
      <c r="JDJ102" s="529" t="str">
        <f>VLOOKUP(JDI102,[14]AssetDetails_UEM!$A$3:$AH$1849,6,FALSE)</f>
        <v>Electrosurgical Units, Monopolar/Bipolar</v>
      </c>
      <c r="JDK102" s="528" t="s">
        <v>213</v>
      </c>
      <c r="JDL102" s="529" t="str">
        <f>VLOOKUP(JDK102,[14]AssetDetails_UEM!$A$3:$AH$1849,6,FALSE)</f>
        <v>Electrosurgical Units, Monopolar/Bipolar</v>
      </c>
      <c r="JDM102" s="528" t="s">
        <v>213</v>
      </c>
      <c r="JDN102" s="529" t="str">
        <f>VLOOKUP(JDM102,[14]AssetDetails_UEM!$A$3:$AH$1849,6,FALSE)</f>
        <v>Electrosurgical Units, Monopolar/Bipolar</v>
      </c>
      <c r="JDO102" s="528" t="s">
        <v>213</v>
      </c>
      <c r="JDP102" s="529" t="str">
        <f>VLOOKUP(JDO102,[14]AssetDetails_UEM!$A$3:$AH$1849,6,FALSE)</f>
        <v>Electrosurgical Units, Monopolar/Bipolar</v>
      </c>
      <c r="JDQ102" s="528" t="s">
        <v>213</v>
      </c>
      <c r="JDR102" s="529" t="str">
        <f>VLOOKUP(JDQ102,[14]AssetDetails_UEM!$A$3:$AH$1849,6,FALSE)</f>
        <v>Electrosurgical Units, Monopolar/Bipolar</v>
      </c>
      <c r="JDS102" s="528" t="s">
        <v>213</v>
      </c>
      <c r="JDT102" s="529" t="str">
        <f>VLOOKUP(JDS102,[14]AssetDetails_UEM!$A$3:$AH$1849,6,FALSE)</f>
        <v>Electrosurgical Units, Monopolar/Bipolar</v>
      </c>
      <c r="JDU102" s="528" t="s">
        <v>213</v>
      </c>
      <c r="JDV102" s="529" t="str">
        <f>VLOOKUP(JDU102,[14]AssetDetails_UEM!$A$3:$AH$1849,6,FALSE)</f>
        <v>Electrosurgical Units, Monopolar/Bipolar</v>
      </c>
      <c r="JDW102" s="528" t="s">
        <v>213</v>
      </c>
      <c r="JDX102" s="529" t="str">
        <f>VLOOKUP(JDW102,[14]AssetDetails_UEM!$A$3:$AH$1849,6,FALSE)</f>
        <v>Electrosurgical Units, Monopolar/Bipolar</v>
      </c>
      <c r="JDY102" s="528" t="s">
        <v>213</v>
      </c>
      <c r="JDZ102" s="529" t="str">
        <f>VLOOKUP(JDY102,[14]AssetDetails_UEM!$A$3:$AH$1849,6,FALSE)</f>
        <v>Electrosurgical Units, Monopolar/Bipolar</v>
      </c>
      <c r="JEA102" s="528" t="s">
        <v>213</v>
      </c>
      <c r="JEB102" s="529" t="str">
        <f>VLOOKUP(JEA102,[14]AssetDetails_UEM!$A$3:$AH$1849,6,FALSE)</f>
        <v>Electrosurgical Units, Monopolar/Bipolar</v>
      </c>
      <c r="JEC102" s="528" t="s">
        <v>213</v>
      </c>
      <c r="JED102" s="529" t="str">
        <f>VLOOKUP(JEC102,[14]AssetDetails_UEM!$A$3:$AH$1849,6,FALSE)</f>
        <v>Electrosurgical Units, Monopolar/Bipolar</v>
      </c>
      <c r="JEE102" s="528" t="s">
        <v>213</v>
      </c>
      <c r="JEF102" s="529" t="str">
        <f>VLOOKUP(JEE102,[14]AssetDetails_UEM!$A$3:$AH$1849,6,FALSE)</f>
        <v>Electrosurgical Units, Monopolar/Bipolar</v>
      </c>
      <c r="JEG102" s="528" t="s">
        <v>213</v>
      </c>
      <c r="JEH102" s="529" t="str">
        <f>VLOOKUP(JEG102,[14]AssetDetails_UEM!$A$3:$AH$1849,6,FALSE)</f>
        <v>Electrosurgical Units, Monopolar/Bipolar</v>
      </c>
      <c r="JEI102" s="528" t="s">
        <v>213</v>
      </c>
      <c r="JEJ102" s="529" t="str">
        <f>VLOOKUP(JEI102,[14]AssetDetails_UEM!$A$3:$AH$1849,6,FALSE)</f>
        <v>Electrosurgical Units, Monopolar/Bipolar</v>
      </c>
      <c r="JEK102" s="528" t="s">
        <v>213</v>
      </c>
      <c r="JEL102" s="529" t="str">
        <f>VLOOKUP(JEK102,[14]AssetDetails_UEM!$A$3:$AH$1849,6,FALSE)</f>
        <v>Electrosurgical Units, Monopolar/Bipolar</v>
      </c>
      <c r="JEM102" s="528" t="s">
        <v>213</v>
      </c>
      <c r="JEN102" s="529" t="str">
        <f>VLOOKUP(JEM102,[14]AssetDetails_UEM!$A$3:$AH$1849,6,FALSE)</f>
        <v>Electrosurgical Units, Monopolar/Bipolar</v>
      </c>
      <c r="JEO102" s="528" t="s">
        <v>213</v>
      </c>
      <c r="JEP102" s="529" t="str">
        <f>VLOOKUP(JEO102,[14]AssetDetails_UEM!$A$3:$AH$1849,6,FALSE)</f>
        <v>Electrosurgical Units, Monopolar/Bipolar</v>
      </c>
      <c r="JEQ102" s="528" t="s">
        <v>213</v>
      </c>
      <c r="JER102" s="529" t="str">
        <f>VLOOKUP(JEQ102,[14]AssetDetails_UEM!$A$3:$AH$1849,6,FALSE)</f>
        <v>Electrosurgical Units, Monopolar/Bipolar</v>
      </c>
      <c r="JES102" s="528" t="s">
        <v>213</v>
      </c>
      <c r="JET102" s="529" t="str">
        <f>VLOOKUP(JES102,[14]AssetDetails_UEM!$A$3:$AH$1849,6,FALSE)</f>
        <v>Electrosurgical Units, Monopolar/Bipolar</v>
      </c>
      <c r="JEU102" s="528" t="s">
        <v>213</v>
      </c>
      <c r="JEV102" s="529" t="str">
        <f>VLOOKUP(JEU102,[14]AssetDetails_UEM!$A$3:$AH$1849,6,FALSE)</f>
        <v>Electrosurgical Units, Monopolar/Bipolar</v>
      </c>
      <c r="JEW102" s="528" t="s">
        <v>213</v>
      </c>
      <c r="JEX102" s="529" t="str">
        <f>VLOOKUP(JEW102,[14]AssetDetails_UEM!$A$3:$AH$1849,6,FALSE)</f>
        <v>Electrosurgical Units, Monopolar/Bipolar</v>
      </c>
      <c r="JEY102" s="528" t="s">
        <v>213</v>
      </c>
      <c r="JEZ102" s="529" t="str">
        <f>VLOOKUP(JEY102,[14]AssetDetails_UEM!$A$3:$AH$1849,6,FALSE)</f>
        <v>Electrosurgical Units, Monopolar/Bipolar</v>
      </c>
      <c r="JFA102" s="528" t="s">
        <v>213</v>
      </c>
      <c r="JFB102" s="529" t="str">
        <f>VLOOKUP(JFA102,[14]AssetDetails_UEM!$A$3:$AH$1849,6,FALSE)</f>
        <v>Electrosurgical Units, Monopolar/Bipolar</v>
      </c>
      <c r="JFC102" s="528" t="s">
        <v>213</v>
      </c>
      <c r="JFD102" s="529" t="str">
        <f>VLOOKUP(JFC102,[14]AssetDetails_UEM!$A$3:$AH$1849,6,FALSE)</f>
        <v>Electrosurgical Units, Monopolar/Bipolar</v>
      </c>
      <c r="JFE102" s="528" t="s">
        <v>213</v>
      </c>
      <c r="JFF102" s="529" t="str">
        <f>VLOOKUP(JFE102,[14]AssetDetails_UEM!$A$3:$AH$1849,6,FALSE)</f>
        <v>Electrosurgical Units, Monopolar/Bipolar</v>
      </c>
      <c r="JFG102" s="528" t="s">
        <v>213</v>
      </c>
      <c r="JFH102" s="529" t="str">
        <f>VLOOKUP(JFG102,[14]AssetDetails_UEM!$A$3:$AH$1849,6,FALSE)</f>
        <v>Electrosurgical Units, Monopolar/Bipolar</v>
      </c>
      <c r="JFI102" s="528" t="s">
        <v>213</v>
      </c>
      <c r="JFJ102" s="529" t="str">
        <f>VLOOKUP(JFI102,[14]AssetDetails_UEM!$A$3:$AH$1849,6,FALSE)</f>
        <v>Electrosurgical Units, Monopolar/Bipolar</v>
      </c>
      <c r="JFK102" s="528" t="s">
        <v>213</v>
      </c>
      <c r="JFL102" s="529" t="str">
        <f>VLOOKUP(JFK102,[14]AssetDetails_UEM!$A$3:$AH$1849,6,FALSE)</f>
        <v>Electrosurgical Units, Monopolar/Bipolar</v>
      </c>
      <c r="JFM102" s="528" t="s">
        <v>213</v>
      </c>
      <c r="JFN102" s="529" t="str">
        <f>VLOOKUP(JFM102,[14]AssetDetails_UEM!$A$3:$AH$1849,6,FALSE)</f>
        <v>Electrosurgical Units, Monopolar/Bipolar</v>
      </c>
      <c r="JFO102" s="528" t="s">
        <v>213</v>
      </c>
      <c r="JFP102" s="529" t="str">
        <f>VLOOKUP(JFO102,[14]AssetDetails_UEM!$A$3:$AH$1849,6,FALSE)</f>
        <v>Electrosurgical Units, Monopolar/Bipolar</v>
      </c>
      <c r="JFQ102" s="528" t="s">
        <v>213</v>
      </c>
      <c r="JFR102" s="529" t="str">
        <f>VLOOKUP(JFQ102,[14]AssetDetails_UEM!$A$3:$AH$1849,6,FALSE)</f>
        <v>Electrosurgical Units, Monopolar/Bipolar</v>
      </c>
      <c r="JFS102" s="528" t="s">
        <v>213</v>
      </c>
      <c r="JFT102" s="529" t="str">
        <f>VLOOKUP(JFS102,[14]AssetDetails_UEM!$A$3:$AH$1849,6,FALSE)</f>
        <v>Electrosurgical Units, Monopolar/Bipolar</v>
      </c>
      <c r="JFU102" s="528" t="s">
        <v>213</v>
      </c>
      <c r="JFV102" s="529" t="str">
        <f>VLOOKUP(JFU102,[14]AssetDetails_UEM!$A$3:$AH$1849,6,FALSE)</f>
        <v>Electrosurgical Units, Monopolar/Bipolar</v>
      </c>
      <c r="JFW102" s="528" t="s">
        <v>213</v>
      </c>
      <c r="JFX102" s="529" t="str">
        <f>VLOOKUP(JFW102,[14]AssetDetails_UEM!$A$3:$AH$1849,6,FALSE)</f>
        <v>Electrosurgical Units, Monopolar/Bipolar</v>
      </c>
      <c r="JFY102" s="528" t="s">
        <v>213</v>
      </c>
      <c r="JFZ102" s="529" t="str">
        <f>VLOOKUP(JFY102,[14]AssetDetails_UEM!$A$3:$AH$1849,6,FALSE)</f>
        <v>Electrosurgical Units, Monopolar/Bipolar</v>
      </c>
      <c r="JGA102" s="528" t="s">
        <v>213</v>
      </c>
      <c r="JGB102" s="529" t="str">
        <f>VLOOKUP(JGA102,[14]AssetDetails_UEM!$A$3:$AH$1849,6,FALSE)</f>
        <v>Electrosurgical Units, Monopolar/Bipolar</v>
      </c>
      <c r="JGC102" s="528" t="s">
        <v>213</v>
      </c>
      <c r="JGD102" s="529" t="str">
        <f>VLOOKUP(JGC102,[14]AssetDetails_UEM!$A$3:$AH$1849,6,FALSE)</f>
        <v>Electrosurgical Units, Monopolar/Bipolar</v>
      </c>
      <c r="JGE102" s="528" t="s">
        <v>213</v>
      </c>
      <c r="JGF102" s="529" t="str">
        <f>VLOOKUP(JGE102,[14]AssetDetails_UEM!$A$3:$AH$1849,6,FALSE)</f>
        <v>Electrosurgical Units, Monopolar/Bipolar</v>
      </c>
      <c r="JGG102" s="528" t="s">
        <v>213</v>
      </c>
      <c r="JGH102" s="529" t="str">
        <f>VLOOKUP(JGG102,[14]AssetDetails_UEM!$A$3:$AH$1849,6,FALSE)</f>
        <v>Electrosurgical Units, Monopolar/Bipolar</v>
      </c>
      <c r="JGI102" s="528" t="s">
        <v>213</v>
      </c>
      <c r="JGJ102" s="529" t="str">
        <f>VLOOKUP(JGI102,[14]AssetDetails_UEM!$A$3:$AH$1849,6,FALSE)</f>
        <v>Electrosurgical Units, Monopolar/Bipolar</v>
      </c>
      <c r="JGK102" s="528" t="s">
        <v>213</v>
      </c>
      <c r="JGL102" s="529" t="str">
        <f>VLOOKUP(JGK102,[14]AssetDetails_UEM!$A$3:$AH$1849,6,FALSE)</f>
        <v>Electrosurgical Units, Monopolar/Bipolar</v>
      </c>
      <c r="JGM102" s="528" t="s">
        <v>213</v>
      </c>
      <c r="JGN102" s="529" t="str">
        <f>VLOOKUP(JGM102,[14]AssetDetails_UEM!$A$3:$AH$1849,6,FALSE)</f>
        <v>Electrosurgical Units, Monopolar/Bipolar</v>
      </c>
      <c r="JGO102" s="528" t="s">
        <v>213</v>
      </c>
      <c r="JGP102" s="529" t="str">
        <f>VLOOKUP(JGO102,[14]AssetDetails_UEM!$A$3:$AH$1849,6,FALSE)</f>
        <v>Electrosurgical Units, Monopolar/Bipolar</v>
      </c>
      <c r="JGQ102" s="528" t="s">
        <v>213</v>
      </c>
      <c r="JGR102" s="529" t="str">
        <f>VLOOKUP(JGQ102,[14]AssetDetails_UEM!$A$3:$AH$1849,6,FALSE)</f>
        <v>Electrosurgical Units, Monopolar/Bipolar</v>
      </c>
      <c r="JGS102" s="528" t="s">
        <v>213</v>
      </c>
      <c r="JGT102" s="529" t="str">
        <f>VLOOKUP(JGS102,[14]AssetDetails_UEM!$A$3:$AH$1849,6,FALSE)</f>
        <v>Electrosurgical Units, Monopolar/Bipolar</v>
      </c>
      <c r="JGU102" s="528" t="s">
        <v>213</v>
      </c>
      <c r="JGV102" s="529" t="str">
        <f>VLOOKUP(JGU102,[14]AssetDetails_UEM!$A$3:$AH$1849,6,FALSE)</f>
        <v>Electrosurgical Units, Monopolar/Bipolar</v>
      </c>
      <c r="JGW102" s="528" t="s">
        <v>213</v>
      </c>
      <c r="JGX102" s="529" t="str">
        <f>VLOOKUP(JGW102,[14]AssetDetails_UEM!$A$3:$AH$1849,6,FALSE)</f>
        <v>Electrosurgical Units, Monopolar/Bipolar</v>
      </c>
      <c r="JGY102" s="528" t="s">
        <v>213</v>
      </c>
      <c r="JGZ102" s="529" t="str">
        <f>VLOOKUP(JGY102,[14]AssetDetails_UEM!$A$3:$AH$1849,6,FALSE)</f>
        <v>Electrosurgical Units, Monopolar/Bipolar</v>
      </c>
      <c r="JHA102" s="528" t="s">
        <v>213</v>
      </c>
      <c r="JHB102" s="529" t="str">
        <f>VLOOKUP(JHA102,[14]AssetDetails_UEM!$A$3:$AH$1849,6,FALSE)</f>
        <v>Electrosurgical Units, Monopolar/Bipolar</v>
      </c>
      <c r="JHC102" s="528" t="s">
        <v>213</v>
      </c>
      <c r="JHD102" s="529" t="str">
        <f>VLOOKUP(JHC102,[14]AssetDetails_UEM!$A$3:$AH$1849,6,FALSE)</f>
        <v>Electrosurgical Units, Monopolar/Bipolar</v>
      </c>
      <c r="JHE102" s="528" t="s">
        <v>213</v>
      </c>
      <c r="JHF102" s="529" t="str">
        <f>VLOOKUP(JHE102,[14]AssetDetails_UEM!$A$3:$AH$1849,6,FALSE)</f>
        <v>Electrosurgical Units, Monopolar/Bipolar</v>
      </c>
      <c r="JHG102" s="528" t="s">
        <v>213</v>
      </c>
      <c r="JHH102" s="529" t="str">
        <f>VLOOKUP(JHG102,[14]AssetDetails_UEM!$A$3:$AH$1849,6,FALSE)</f>
        <v>Electrosurgical Units, Monopolar/Bipolar</v>
      </c>
      <c r="JHI102" s="528" t="s">
        <v>213</v>
      </c>
      <c r="JHJ102" s="529" t="str">
        <f>VLOOKUP(JHI102,[14]AssetDetails_UEM!$A$3:$AH$1849,6,FALSE)</f>
        <v>Electrosurgical Units, Monopolar/Bipolar</v>
      </c>
      <c r="JHK102" s="528" t="s">
        <v>213</v>
      </c>
      <c r="JHL102" s="529" t="str">
        <f>VLOOKUP(JHK102,[14]AssetDetails_UEM!$A$3:$AH$1849,6,FALSE)</f>
        <v>Electrosurgical Units, Monopolar/Bipolar</v>
      </c>
      <c r="JHM102" s="528" t="s">
        <v>213</v>
      </c>
      <c r="JHN102" s="529" t="str">
        <f>VLOOKUP(JHM102,[14]AssetDetails_UEM!$A$3:$AH$1849,6,FALSE)</f>
        <v>Electrosurgical Units, Monopolar/Bipolar</v>
      </c>
      <c r="JHO102" s="528" t="s">
        <v>213</v>
      </c>
      <c r="JHP102" s="529" t="str">
        <f>VLOOKUP(JHO102,[14]AssetDetails_UEM!$A$3:$AH$1849,6,FALSE)</f>
        <v>Electrosurgical Units, Monopolar/Bipolar</v>
      </c>
      <c r="JHQ102" s="528" t="s">
        <v>213</v>
      </c>
      <c r="JHR102" s="529" t="str">
        <f>VLOOKUP(JHQ102,[14]AssetDetails_UEM!$A$3:$AH$1849,6,FALSE)</f>
        <v>Electrosurgical Units, Monopolar/Bipolar</v>
      </c>
      <c r="JHS102" s="528" t="s">
        <v>213</v>
      </c>
      <c r="JHT102" s="529" t="str">
        <f>VLOOKUP(JHS102,[14]AssetDetails_UEM!$A$3:$AH$1849,6,FALSE)</f>
        <v>Electrosurgical Units, Monopolar/Bipolar</v>
      </c>
      <c r="JHU102" s="528" t="s">
        <v>213</v>
      </c>
      <c r="JHV102" s="529" t="str">
        <f>VLOOKUP(JHU102,[14]AssetDetails_UEM!$A$3:$AH$1849,6,FALSE)</f>
        <v>Electrosurgical Units, Monopolar/Bipolar</v>
      </c>
      <c r="JHW102" s="528" t="s">
        <v>213</v>
      </c>
      <c r="JHX102" s="529" t="str">
        <f>VLOOKUP(JHW102,[14]AssetDetails_UEM!$A$3:$AH$1849,6,FALSE)</f>
        <v>Electrosurgical Units, Monopolar/Bipolar</v>
      </c>
      <c r="JHY102" s="528" t="s">
        <v>213</v>
      </c>
      <c r="JHZ102" s="529" t="str">
        <f>VLOOKUP(JHY102,[14]AssetDetails_UEM!$A$3:$AH$1849,6,FALSE)</f>
        <v>Electrosurgical Units, Monopolar/Bipolar</v>
      </c>
      <c r="JIA102" s="528" t="s">
        <v>213</v>
      </c>
      <c r="JIB102" s="529" t="str">
        <f>VLOOKUP(JIA102,[14]AssetDetails_UEM!$A$3:$AH$1849,6,FALSE)</f>
        <v>Electrosurgical Units, Monopolar/Bipolar</v>
      </c>
      <c r="JIC102" s="528" t="s">
        <v>213</v>
      </c>
      <c r="JID102" s="529" t="str">
        <f>VLOOKUP(JIC102,[14]AssetDetails_UEM!$A$3:$AH$1849,6,FALSE)</f>
        <v>Electrosurgical Units, Monopolar/Bipolar</v>
      </c>
      <c r="JIE102" s="528" t="s">
        <v>213</v>
      </c>
      <c r="JIF102" s="529" t="str">
        <f>VLOOKUP(JIE102,[14]AssetDetails_UEM!$A$3:$AH$1849,6,FALSE)</f>
        <v>Electrosurgical Units, Monopolar/Bipolar</v>
      </c>
      <c r="JIG102" s="528" t="s">
        <v>213</v>
      </c>
      <c r="JIH102" s="529" t="str">
        <f>VLOOKUP(JIG102,[14]AssetDetails_UEM!$A$3:$AH$1849,6,FALSE)</f>
        <v>Electrosurgical Units, Monopolar/Bipolar</v>
      </c>
      <c r="JII102" s="528" t="s">
        <v>213</v>
      </c>
      <c r="JIJ102" s="529" t="str">
        <f>VLOOKUP(JII102,[14]AssetDetails_UEM!$A$3:$AH$1849,6,FALSE)</f>
        <v>Electrosurgical Units, Monopolar/Bipolar</v>
      </c>
      <c r="JIK102" s="528" t="s">
        <v>213</v>
      </c>
      <c r="JIL102" s="529" t="str">
        <f>VLOOKUP(JIK102,[14]AssetDetails_UEM!$A$3:$AH$1849,6,FALSE)</f>
        <v>Electrosurgical Units, Monopolar/Bipolar</v>
      </c>
      <c r="JIM102" s="528" t="s">
        <v>213</v>
      </c>
      <c r="JIN102" s="529" t="str">
        <f>VLOOKUP(JIM102,[14]AssetDetails_UEM!$A$3:$AH$1849,6,FALSE)</f>
        <v>Electrosurgical Units, Monopolar/Bipolar</v>
      </c>
      <c r="JIO102" s="528" t="s">
        <v>213</v>
      </c>
      <c r="JIP102" s="529" t="str">
        <f>VLOOKUP(JIO102,[14]AssetDetails_UEM!$A$3:$AH$1849,6,FALSE)</f>
        <v>Electrosurgical Units, Monopolar/Bipolar</v>
      </c>
      <c r="JIQ102" s="528" t="s">
        <v>213</v>
      </c>
      <c r="JIR102" s="529" t="str">
        <f>VLOOKUP(JIQ102,[14]AssetDetails_UEM!$A$3:$AH$1849,6,FALSE)</f>
        <v>Electrosurgical Units, Monopolar/Bipolar</v>
      </c>
      <c r="JIS102" s="528" t="s">
        <v>213</v>
      </c>
      <c r="JIT102" s="529" t="str">
        <f>VLOOKUP(JIS102,[14]AssetDetails_UEM!$A$3:$AH$1849,6,FALSE)</f>
        <v>Electrosurgical Units, Monopolar/Bipolar</v>
      </c>
      <c r="JIU102" s="528" t="s">
        <v>213</v>
      </c>
      <c r="JIV102" s="529" t="str">
        <f>VLOOKUP(JIU102,[14]AssetDetails_UEM!$A$3:$AH$1849,6,FALSE)</f>
        <v>Electrosurgical Units, Monopolar/Bipolar</v>
      </c>
      <c r="JIW102" s="528" t="s">
        <v>213</v>
      </c>
      <c r="JIX102" s="529" t="str">
        <f>VLOOKUP(JIW102,[14]AssetDetails_UEM!$A$3:$AH$1849,6,FALSE)</f>
        <v>Electrosurgical Units, Monopolar/Bipolar</v>
      </c>
      <c r="JIY102" s="528" t="s">
        <v>213</v>
      </c>
      <c r="JIZ102" s="529" t="str">
        <f>VLOOKUP(JIY102,[14]AssetDetails_UEM!$A$3:$AH$1849,6,FALSE)</f>
        <v>Electrosurgical Units, Monopolar/Bipolar</v>
      </c>
      <c r="JJA102" s="528" t="s">
        <v>213</v>
      </c>
      <c r="JJB102" s="529" t="str">
        <f>VLOOKUP(JJA102,[14]AssetDetails_UEM!$A$3:$AH$1849,6,FALSE)</f>
        <v>Electrosurgical Units, Monopolar/Bipolar</v>
      </c>
      <c r="JJC102" s="528" t="s">
        <v>213</v>
      </c>
      <c r="JJD102" s="529" t="str">
        <f>VLOOKUP(JJC102,[14]AssetDetails_UEM!$A$3:$AH$1849,6,FALSE)</f>
        <v>Electrosurgical Units, Monopolar/Bipolar</v>
      </c>
      <c r="JJE102" s="528" t="s">
        <v>213</v>
      </c>
      <c r="JJF102" s="529" t="str">
        <f>VLOOKUP(JJE102,[14]AssetDetails_UEM!$A$3:$AH$1849,6,FALSE)</f>
        <v>Electrosurgical Units, Monopolar/Bipolar</v>
      </c>
      <c r="JJG102" s="528" t="s">
        <v>213</v>
      </c>
      <c r="JJH102" s="529" t="str">
        <f>VLOOKUP(JJG102,[14]AssetDetails_UEM!$A$3:$AH$1849,6,FALSE)</f>
        <v>Electrosurgical Units, Monopolar/Bipolar</v>
      </c>
      <c r="JJI102" s="528" t="s">
        <v>213</v>
      </c>
      <c r="JJJ102" s="529" t="str">
        <f>VLOOKUP(JJI102,[14]AssetDetails_UEM!$A$3:$AH$1849,6,FALSE)</f>
        <v>Electrosurgical Units, Monopolar/Bipolar</v>
      </c>
      <c r="JJK102" s="528" t="s">
        <v>213</v>
      </c>
      <c r="JJL102" s="529" t="str">
        <f>VLOOKUP(JJK102,[14]AssetDetails_UEM!$A$3:$AH$1849,6,FALSE)</f>
        <v>Electrosurgical Units, Monopolar/Bipolar</v>
      </c>
      <c r="JJM102" s="528" t="s">
        <v>213</v>
      </c>
      <c r="JJN102" s="529" t="str">
        <f>VLOOKUP(JJM102,[14]AssetDetails_UEM!$A$3:$AH$1849,6,FALSE)</f>
        <v>Electrosurgical Units, Monopolar/Bipolar</v>
      </c>
      <c r="JJO102" s="528" t="s">
        <v>213</v>
      </c>
      <c r="JJP102" s="529" t="str">
        <f>VLOOKUP(JJO102,[14]AssetDetails_UEM!$A$3:$AH$1849,6,FALSE)</f>
        <v>Electrosurgical Units, Monopolar/Bipolar</v>
      </c>
      <c r="JJQ102" s="528" t="s">
        <v>213</v>
      </c>
      <c r="JJR102" s="529" t="str">
        <f>VLOOKUP(JJQ102,[14]AssetDetails_UEM!$A$3:$AH$1849,6,FALSE)</f>
        <v>Electrosurgical Units, Monopolar/Bipolar</v>
      </c>
      <c r="JJS102" s="528" t="s">
        <v>213</v>
      </c>
      <c r="JJT102" s="529" t="str">
        <f>VLOOKUP(JJS102,[14]AssetDetails_UEM!$A$3:$AH$1849,6,FALSE)</f>
        <v>Electrosurgical Units, Monopolar/Bipolar</v>
      </c>
      <c r="JJU102" s="528" t="s">
        <v>213</v>
      </c>
      <c r="JJV102" s="529" t="str">
        <f>VLOOKUP(JJU102,[14]AssetDetails_UEM!$A$3:$AH$1849,6,FALSE)</f>
        <v>Electrosurgical Units, Monopolar/Bipolar</v>
      </c>
      <c r="JJW102" s="528" t="s">
        <v>213</v>
      </c>
      <c r="JJX102" s="529" t="str">
        <f>VLOOKUP(JJW102,[14]AssetDetails_UEM!$A$3:$AH$1849,6,FALSE)</f>
        <v>Electrosurgical Units, Monopolar/Bipolar</v>
      </c>
      <c r="JJY102" s="528" t="s">
        <v>213</v>
      </c>
      <c r="JJZ102" s="529" t="str">
        <f>VLOOKUP(JJY102,[14]AssetDetails_UEM!$A$3:$AH$1849,6,FALSE)</f>
        <v>Electrosurgical Units, Monopolar/Bipolar</v>
      </c>
      <c r="JKA102" s="528" t="s">
        <v>213</v>
      </c>
      <c r="JKB102" s="529" t="str">
        <f>VLOOKUP(JKA102,[14]AssetDetails_UEM!$A$3:$AH$1849,6,FALSE)</f>
        <v>Electrosurgical Units, Monopolar/Bipolar</v>
      </c>
      <c r="JKC102" s="528" t="s">
        <v>213</v>
      </c>
      <c r="JKD102" s="529" t="str">
        <f>VLOOKUP(JKC102,[14]AssetDetails_UEM!$A$3:$AH$1849,6,FALSE)</f>
        <v>Electrosurgical Units, Monopolar/Bipolar</v>
      </c>
      <c r="JKE102" s="528" t="s">
        <v>213</v>
      </c>
      <c r="JKF102" s="529" t="str">
        <f>VLOOKUP(JKE102,[14]AssetDetails_UEM!$A$3:$AH$1849,6,FALSE)</f>
        <v>Electrosurgical Units, Monopolar/Bipolar</v>
      </c>
      <c r="JKG102" s="528" t="s">
        <v>213</v>
      </c>
      <c r="JKH102" s="529" t="str">
        <f>VLOOKUP(JKG102,[14]AssetDetails_UEM!$A$3:$AH$1849,6,FALSE)</f>
        <v>Electrosurgical Units, Monopolar/Bipolar</v>
      </c>
      <c r="JKI102" s="528" t="s">
        <v>213</v>
      </c>
      <c r="JKJ102" s="529" t="str">
        <f>VLOOKUP(JKI102,[14]AssetDetails_UEM!$A$3:$AH$1849,6,FALSE)</f>
        <v>Electrosurgical Units, Monopolar/Bipolar</v>
      </c>
      <c r="JKK102" s="528" t="s">
        <v>213</v>
      </c>
      <c r="JKL102" s="529" t="str">
        <f>VLOOKUP(JKK102,[14]AssetDetails_UEM!$A$3:$AH$1849,6,FALSE)</f>
        <v>Electrosurgical Units, Monopolar/Bipolar</v>
      </c>
      <c r="JKM102" s="528" t="s">
        <v>213</v>
      </c>
      <c r="JKN102" s="529" t="str">
        <f>VLOOKUP(JKM102,[14]AssetDetails_UEM!$A$3:$AH$1849,6,FALSE)</f>
        <v>Electrosurgical Units, Monopolar/Bipolar</v>
      </c>
      <c r="JKO102" s="528" t="s">
        <v>213</v>
      </c>
      <c r="JKP102" s="529" t="str">
        <f>VLOOKUP(JKO102,[14]AssetDetails_UEM!$A$3:$AH$1849,6,FALSE)</f>
        <v>Electrosurgical Units, Monopolar/Bipolar</v>
      </c>
      <c r="JKQ102" s="528" t="s">
        <v>213</v>
      </c>
      <c r="JKR102" s="529" t="str">
        <f>VLOOKUP(JKQ102,[14]AssetDetails_UEM!$A$3:$AH$1849,6,FALSE)</f>
        <v>Electrosurgical Units, Monopolar/Bipolar</v>
      </c>
      <c r="JKS102" s="528" t="s">
        <v>213</v>
      </c>
      <c r="JKT102" s="529" t="str">
        <f>VLOOKUP(JKS102,[14]AssetDetails_UEM!$A$3:$AH$1849,6,FALSE)</f>
        <v>Electrosurgical Units, Monopolar/Bipolar</v>
      </c>
      <c r="JKU102" s="528" t="s">
        <v>213</v>
      </c>
      <c r="JKV102" s="529" t="str">
        <f>VLOOKUP(JKU102,[14]AssetDetails_UEM!$A$3:$AH$1849,6,FALSE)</f>
        <v>Electrosurgical Units, Monopolar/Bipolar</v>
      </c>
      <c r="JKW102" s="528" t="s">
        <v>213</v>
      </c>
      <c r="JKX102" s="529" t="str">
        <f>VLOOKUP(JKW102,[14]AssetDetails_UEM!$A$3:$AH$1849,6,FALSE)</f>
        <v>Electrosurgical Units, Monopolar/Bipolar</v>
      </c>
      <c r="JKY102" s="528" t="s">
        <v>213</v>
      </c>
      <c r="JKZ102" s="529" t="str">
        <f>VLOOKUP(JKY102,[14]AssetDetails_UEM!$A$3:$AH$1849,6,FALSE)</f>
        <v>Electrosurgical Units, Monopolar/Bipolar</v>
      </c>
      <c r="JLA102" s="528" t="s">
        <v>213</v>
      </c>
      <c r="JLB102" s="529" t="str">
        <f>VLOOKUP(JLA102,[14]AssetDetails_UEM!$A$3:$AH$1849,6,FALSE)</f>
        <v>Electrosurgical Units, Monopolar/Bipolar</v>
      </c>
      <c r="JLC102" s="528" t="s">
        <v>213</v>
      </c>
      <c r="JLD102" s="529" t="str">
        <f>VLOOKUP(JLC102,[14]AssetDetails_UEM!$A$3:$AH$1849,6,FALSE)</f>
        <v>Electrosurgical Units, Monopolar/Bipolar</v>
      </c>
      <c r="JLE102" s="528" t="s">
        <v>213</v>
      </c>
      <c r="JLF102" s="529" t="str">
        <f>VLOOKUP(JLE102,[14]AssetDetails_UEM!$A$3:$AH$1849,6,FALSE)</f>
        <v>Electrosurgical Units, Monopolar/Bipolar</v>
      </c>
      <c r="JLG102" s="528" t="s">
        <v>213</v>
      </c>
      <c r="JLH102" s="529" t="str">
        <f>VLOOKUP(JLG102,[14]AssetDetails_UEM!$A$3:$AH$1849,6,FALSE)</f>
        <v>Electrosurgical Units, Monopolar/Bipolar</v>
      </c>
      <c r="JLI102" s="528" t="s">
        <v>213</v>
      </c>
      <c r="JLJ102" s="529" t="str">
        <f>VLOOKUP(JLI102,[14]AssetDetails_UEM!$A$3:$AH$1849,6,FALSE)</f>
        <v>Electrosurgical Units, Monopolar/Bipolar</v>
      </c>
      <c r="JLK102" s="528" t="s">
        <v>213</v>
      </c>
      <c r="JLL102" s="529" t="str">
        <f>VLOOKUP(JLK102,[14]AssetDetails_UEM!$A$3:$AH$1849,6,FALSE)</f>
        <v>Electrosurgical Units, Monopolar/Bipolar</v>
      </c>
      <c r="JLM102" s="528" t="s">
        <v>213</v>
      </c>
      <c r="JLN102" s="529" t="str">
        <f>VLOOKUP(JLM102,[14]AssetDetails_UEM!$A$3:$AH$1849,6,FALSE)</f>
        <v>Electrosurgical Units, Monopolar/Bipolar</v>
      </c>
      <c r="JLO102" s="528" t="s">
        <v>213</v>
      </c>
      <c r="JLP102" s="529" t="str">
        <f>VLOOKUP(JLO102,[14]AssetDetails_UEM!$A$3:$AH$1849,6,FALSE)</f>
        <v>Electrosurgical Units, Monopolar/Bipolar</v>
      </c>
      <c r="JLQ102" s="528" t="s">
        <v>213</v>
      </c>
      <c r="JLR102" s="529" t="str">
        <f>VLOOKUP(JLQ102,[14]AssetDetails_UEM!$A$3:$AH$1849,6,FALSE)</f>
        <v>Electrosurgical Units, Monopolar/Bipolar</v>
      </c>
      <c r="JLS102" s="528" t="s">
        <v>213</v>
      </c>
      <c r="JLT102" s="529" t="str">
        <f>VLOOKUP(JLS102,[14]AssetDetails_UEM!$A$3:$AH$1849,6,FALSE)</f>
        <v>Electrosurgical Units, Monopolar/Bipolar</v>
      </c>
      <c r="JLU102" s="528" t="s">
        <v>213</v>
      </c>
      <c r="JLV102" s="529" t="str">
        <f>VLOOKUP(JLU102,[14]AssetDetails_UEM!$A$3:$AH$1849,6,FALSE)</f>
        <v>Electrosurgical Units, Monopolar/Bipolar</v>
      </c>
      <c r="JLW102" s="528" t="s">
        <v>213</v>
      </c>
      <c r="JLX102" s="529" t="str">
        <f>VLOOKUP(JLW102,[14]AssetDetails_UEM!$A$3:$AH$1849,6,FALSE)</f>
        <v>Electrosurgical Units, Monopolar/Bipolar</v>
      </c>
      <c r="JLY102" s="528" t="s">
        <v>213</v>
      </c>
      <c r="JLZ102" s="529" t="str">
        <f>VLOOKUP(JLY102,[14]AssetDetails_UEM!$A$3:$AH$1849,6,FALSE)</f>
        <v>Electrosurgical Units, Monopolar/Bipolar</v>
      </c>
      <c r="JMA102" s="528" t="s">
        <v>213</v>
      </c>
      <c r="JMB102" s="529" t="str">
        <f>VLOOKUP(JMA102,[14]AssetDetails_UEM!$A$3:$AH$1849,6,FALSE)</f>
        <v>Electrosurgical Units, Monopolar/Bipolar</v>
      </c>
      <c r="JMC102" s="528" t="s">
        <v>213</v>
      </c>
      <c r="JMD102" s="529" t="str">
        <f>VLOOKUP(JMC102,[14]AssetDetails_UEM!$A$3:$AH$1849,6,FALSE)</f>
        <v>Electrosurgical Units, Monopolar/Bipolar</v>
      </c>
      <c r="JME102" s="528" t="s">
        <v>213</v>
      </c>
      <c r="JMF102" s="529" t="str">
        <f>VLOOKUP(JME102,[14]AssetDetails_UEM!$A$3:$AH$1849,6,FALSE)</f>
        <v>Electrosurgical Units, Monopolar/Bipolar</v>
      </c>
      <c r="JMG102" s="528" t="s">
        <v>213</v>
      </c>
      <c r="JMH102" s="529" t="str">
        <f>VLOOKUP(JMG102,[14]AssetDetails_UEM!$A$3:$AH$1849,6,FALSE)</f>
        <v>Electrosurgical Units, Monopolar/Bipolar</v>
      </c>
      <c r="JMI102" s="528" t="s">
        <v>213</v>
      </c>
      <c r="JMJ102" s="529" t="str">
        <f>VLOOKUP(JMI102,[14]AssetDetails_UEM!$A$3:$AH$1849,6,FALSE)</f>
        <v>Electrosurgical Units, Monopolar/Bipolar</v>
      </c>
      <c r="JMK102" s="528" t="s">
        <v>213</v>
      </c>
      <c r="JML102" s="529" t="str">
        <f>VLOOKUP(JMK102,[14]AssetDetails_UEM!$A$3:$AH$1849,6,FALSE)</f>
        <v>Electrosurgical Units, Monopolar/Bipolar</v>
      </c>
      <c r="JMM102" s="528" t="s">
        <v>213</v>
      </c>
      <c r="JMN102" s="529" t="str">
        <f>VLOOKUP(JMM102,[14]AssetDetails_UEM!$A$3:$AH$1849,6,FALSE)</f>
        <v>Electrosurgical Units, Monopolar/Bipolar</v>
      </c>
      <c r="JMO102" s="528" t="s">
        <v>213</v>
      </c>
      <c r="JMP102" s="529" t="str">
        <f>VLOOKUP(JMO102,[14]AssetDetails_UEM!$A$3:$AH$1849,6,FALSE)</f>
        <v>Electrosurgical Units, Monopolar/Bipolar</v>
      </c>
      <c r="JMQ102" s="528" t="s">
        <v>213</v>
      </c>
      <c r="JMR102" s="529" t="str">
        <f>VLOOKUP(JMQ102,[14]AssetDetails_UEM!$A$3:$AH$1849,6,FALSE)</f>
        <v>Electrosurgical Units, Monopolar/Bipolar</v>
      </c>
      <c r="JMS102" s="528" t="s">
        <v>213</v>
      </c>
      <c r="JMT102" s="529" t="str">
        <f>VLOOKUP(JMS102,[14]AssetDetails_UEM!$A$3:$AH$1849,6,FALSE)</f>
        <v>Electrosurgical Units, Monopolar/Bipolar</v>
      </c>
      <c r="JMU102" s="528" t="s">
        <v>213</v>
      </c>
      <c r="JMV102" s="529" t="str">
        <f>VLOOKUP(JMU102,[14]AssetDetails_UEM!$A$3:$AH$1849,6,FALSE)</f>
        <v>Electrosurgical Units, Monopolar/Bipolar</v>
      </c>
      <c r="JMW102" s="528" t="s">
        <v>213</v>
      </c>
      <c r="JMX102" s="529" t="str">
        <f>VLOOKUP(JMW102,[14]AssetDetails_UEM!$A$3:$AH$1849,6,FALSE)</f>
        <v>Electrosurgical Units, Monopolar/Bipolar</v>
      </c>
      <c r="JMY102" s="528" t="s">
        <v>213</v>
      </c>
      <c r="JMZ102" s="529" t="str">
        <f>VLOOKUP(JMY102,[14]AssetDetails_UEM!$A$3:$AH$1849,6,FALSE)</f>
        <v>Electrosurgical Units, Monopolar/Bipolar</v>
      </c>
      <c r="JNA102" s="528" t="s">
        <v>213</v>
      </c>
      <c r="JNB102" s="529" t="str">
        <f>VLOOKUP(JNA102,[14]AssetDetails_UEM!$A$3:$AH$1849,6,FALSE)</f>
        <v>Electrosurgical Units, Monopolar/Bipolar</v>
      </c>
      <c r="JNC102" s="528" t="s">
        <v>213</v>
      </c>
      <c r="JND102" s="529" t="str">
        <f>VLOOKUP(JNC102,[14]AssetDetails_UEM!$A$3:$AH$1849,6,FALSE)</f>
        <v>Electrosurgical Units, Monopolar/Bipolar</v>
      </c>
      <c r="JNE102" s="528" t="s">
        <v>213</v>
      </c>
      <c r="JNF102" s="529" t="str">
        <f>VLOOKUP(JNE102,[14]AssetDetails_UEM!$A$3:$AH$1849,6,FALSE)</f>
        <v>Electrosurgical Units, Monopolar/Bipolar</v>
      </c>
      <c r="JNG102" s="528" t="s">
        <v>213</v>
      </c>
      <c r="JNH102" s="529" t="str">
        <f>VLOOKUP(JNG102,[14]AssetDetails_UEM!$A$3:$AH$1849,6,FALSE)</f>
        <v>Electrosurgical Units, Monopolar/Bipolar</v>
      </c>
      <c r="JNI102" s="528" t="s">
        <v>213</v>
      </c>
      <c r="JNJ102" s="529" t="str">
        <f>VLOOKUP(JNI102,[14]AssetDetails_UEM!$A$3:$AH$1849,6,FALSE)</f>
        <v>Electrosurgical Units, Monopolar/Bipolar</v>
      </c>
      <c r="JNK102" s="528" t="s">
        <v>213</v>
      </c>
      <c r="JNL102" s="529" t="str">
        <f>VLOOKUP(JNK102,[14]AssetDetails_UEM!$A$3:$AH$1849,6,FALSE)</f>
        <v>Electrosurgical Units, Monopolar/Bipolar</v>
      </c>
      <c r="JNM102" s="528" t="s">
        <v>213</v>
      </c>
      <c r="JNN102" s="529" t="str">
        <f>VLOOKUP(JNM102,[14]AssetDetails_UEM!$A$3:$AH$1849,6,FALSE)</f>
        <v>Electrosurgical Units, Monopolar/Bipolar</v>
      </c>
      <c r="JNO102" s="528" t="s">
        <v>213</v>
      </c>
      <c r="JNP102" s="529" t="str">
        <f>VLOOKUP(JNO102,[14]AssetDetails_UEM!$A$3:$AH$1849,6,FALSE)</f>
        <v>Electrosurgical Units, Monopolar/Bipolar</v>
      </c>
      <c r="JNQ102" s="528" t="s">
        <v>213</v>
      </c>
      <c r="JNR102" s="529" t="str">
        <f>VLOOKUP(JNQ102,[14]AssetDetails_UEM!$A$3:$AH$1849,6,FALSE)</f>
        <v>Electrosurgical Units, Monopolar/Bipolar</v>
      </c>
      <c r="JNS102" s="528" t="s">
        <v>213</v>
      </c>
      <c r="JNT102" s="529" t="str">
        <f>VLOOKUP(JNS102,[14]AssetDetails_UEM!$A$3:$AH$1849,6,FALSE)</f>
        <v>Electrosurgical Units, Monopolar/Bipolar</v>
      </c>
      <c r="JNU102" s="528" t="s">
        <v>213</v>
      </c>
      <c r="JNV102" s="529" t="str">
        <f>VLOOKUP(JNU102,[14]AssetDetails_UEM!$A$3:$AH$1849,6,FALSE)</f>
        <v>Electrosurgical Units, Monopolar/Bipolar</v>
      </c>
      <c r="JNW102" s="528" t="s">
        <v>213</v>
      </c>
      <c r="JNX102" s="529" t="str">
        <f>VLOOKUP(JNW102,[14]AssetDetails_UEM!$A$3:$AH$1849,6,FALSE)</f>
        <v>Electrosurgical Units, Monopolar/Bipolar</v>
      </c>
      <c r="JNY102" s="528" t="s">
        <v>213</v>
      </c>
      <c r="JNZ102" s="529" t="str">
        <f>VLOOKUP(JNY102,[14]AssetDetails_UEM!$A$3:$AH$1849,6,FALSE)</f>
        <v>Electrosurgical Units, Monopolar/Bipolar</v>
      </c>
      <c r="JOA102" s="528" t="s">
        <v>213</v>
      </c>
      <c r="JOB102" s="529" t="str">
        <f>VLOOKUP(JOA102,[14]AssetDetails_UEM!$A$3:$AH$1849,6,FALSE)</f>
        <v>Electrosurgical Units, Monopolar/Bipolar</v>
      </c>
      <c r="JOC102" s="528" t="s">
        <v>213</v>
      </c>
      <c r="JOD102" s="529" t="str">
        <f>VLOOKUP(JOC102,[14]AssetDetails_UEM!$A$3:$AH$1849,6,FALSE)</f>
        <v>Electrosurgical Units, Monopolar/Bipolar</v>
      </c>
      <c r="JOE102" s="528" t="s">
        <v>213</v>
      </c>
      <c r="JOF102" s="529" t="str">
        <f>VLOOKUP(JOE102,[14]AssetDetails_UEM!$A$3:$AH$1849,6,FALSE)</f>
        <v>Electrosurgical Units, Monopolar/Bipolar</v>
      </c>
      <c r="JOG102" s="528" t="s">
        <v>213</v>
      </c>
      <c r="JOH102" s="529" t="str">
        <f>VLOOKUP(JOG102,[14]AssetDetails_UEM!$A$3:$AH$1849,6,FALSE)</f>
        <v>Electrosurgical Units, Monopolar/Bipolar</v>
      </c>
      <c r="JOI102" s="528" t="s">
        <v>213</v>
      </c>
      <c r="JOJ102" s="529" t="str">
        <f>VLOOKUP(JOI102,[14]AssetDetails_UEM!$A$3:$AH$1849,6,FALSE)</f>
        <v>Electrosurgical Units, Monopolar/Bipolar</v>
      </c>
      <c r="JOK102" s="528" t="s">
        <v>213</v>
      </c>
      <c r="JOL102" s="529" t="str">
        <f>VLOOKUP(JOK102,[14]AssetDetails_UEM!$A$3:$AH$1849,6,FALSE)</f>
        <v>Electrosurgical Units, Monopolar/Bipolar</v>
      </c>
      <c r="JOM102" s="528" t="s">
        <v>213</v>
      </c>
      <c r="JON102" s="529" t="str">
        <f>VLOOKUP(JOM102,[14]AssetDetails_UEM!$A$3:$AH$1849,6,FALSE)</f>
        <v>Electrosurgical Units, Monopolar/Bipolar</v>
      </c>
      <c r="JOO102" s="528" t="s">
        <v>213</v>
      </c>
      <c r="JOP102" s="529" t="str">
        <f>VLOOKUP(JOO102,[14]AssetDetails_UEM!$A$3:$AH$1849,6,FALSE)</f>
        <v>Electrosurgical Units, Monopolar/Bipolar</v>
      </c>
      <c r="JOQ102" s="528" t="s">
        <v>213</v>
      </c>
      <c r="JOR102" s="529" t="str">
        <f>VLOOKUP(JOQ102,[14]AssetDetails_UEM!$A$3:$AH$1849,6,FALSE)</f>
        <v>Electrosurgical Units, Monopolar/Bipolar</v>
      </c>
      <c r="JOS102" s="528" t="s">
        <v>213</v>
      </c>
      <c r="JOT102" s="529" t="str">
        <f>VLOOKUP(JOS102,[14]AssetDetails_UEM!$A$3:$AH$1849,6,FALSE)</f>
        <v>Electrosurgical Units, Monopolar/Bipolar</v>
      </c>
      <c r="JOU102" s="528" t="s">
        <v>213</v>
      </c>
      <c r="JOV102" s="529" t="str">
        <f>VLOOKUP(JOU102,[14]AssetDetails_UEM!$A$3:$AH$1849,6,FALSE)</f>
        <v>Electrosurgical Units, Monopolar/Bipolar</v>
      </c>
      <c r="JOW102" s="528" t="s">
        <v>213</v>
      </c>
      <c r="JOX102" s="529" t="str">
        <f>VLOOKUP(JOW102,[14]AssetDetails_UEM!$A$3:$AH$1849,6,FALSE)</f>
        <v>Electrosurgical Units, Monopolar/Bipolar</v>
      </c>
      <c r="JOY102" s="528" t="s">
        <v>213</v>
      </c>
      <c r="JOZ102" s="529" t="str">
        <f>VLOOKUP(JOY102,[14]AssetDetails_UEM!$A$3:$AH$1849,6,FALSE)</f>
        <v>Electrosurgical Units, Monopolar/Bipolar</v>
      </c>
      <c r="JPA102" s="528" t="s">
        <v>213</v>
      </c>
      <c r="JPB102" s="529" t="str">
        <f>VLOOKUP(JPA102,[14]AssetDetails_UEM!$A$3:$AH$1849,6,FALSE)</f>
        <v>Electrosurgical Units, Monopolar/Bipolar</v>
      </c>
      <c r="JPC102" s="528" t="s">
        <v>213</v>
      </c>
      <c r="JPD102" s="529" t="str">
        <f>VLOOKUP(JPC102,[14]AssetDetails_UEM!$A$3:$AH$1849,6,FALSE)</f>
        <v>Electrosurgical Units, Monopolar/Bipolar</v>
      </c>
      <c r="JPE102" s="528" t="s">
        <v>213</v>
      </c>
      <c r="JPF102" s="529" t="str">
        <f>VLOOKUP(JPE102,[14]AssetDetails_UEM!$A$3:$AH$1849,6,FALSE)</f>
        <v>Electrosurgical Units, Monopolar/Bipolar</v>
      </c>
      <c r="JPG102" s="528" t="s">
        <v>213</v>
      </c>
      <c r="JPH102" s="529" t="str">
        <f>VLOOKUP(JPG102,[14]AssetDetails_UEM!$A$3:$AH$1849,6,FALSE)</f>
        <v>Electrosurgical Units, Monopolar/Bipolar</v>
      </c>
      <c r="JPI102" s="528" t="s">
        <v>213</v>
      </c>
      <c r="JPJ102" s="529" t="str">
        <f>VLOOKUP(JPI102,[14]AssetDetails_UEM!$A$3:$AH$1849,6,FALSE)</f>
        <v>Electrosurgical Units, Monopolar/Bipolar</v>
      </c>
      <c r="JPK102" s="528" t="s">
        <v>213</v>
      </c>
      <c r="JPL102" s="529" t="str">
        <f>VLOOKUP(JPK102,[14]AssetDetails_UEM!$A$3:$AH$1849,6,FALSE)</f>
        <v>Electrosurgical Units, Monopolar/Bipolar</v>
      </c>
      <c r="JPM102" s="528" t="s">
        <v>213</v>
      </c>
      <c r="JPN102" s="529" t="str">
        <f>VLOOKUP(JPM102,[14]AssetDetails_UEM!$A$3:$AH$1849,6,FALSE)</f>
        <v>Electrosurgical Units, Monopolar/Bipolar</v>
      </c>
      <c r="JPO102" s="528" t="s">
        <v>213</v>
      </c>
      <c r="JPP102" s="529" t="str">
        <f>VLOOKUP(JPO102,[14]AssetDetails_UEM!$A$3:$AH$1849,6,FALSE)</f>
        <v>Electrosurgical Units, Monopolar/Bipolar</v>
      </c>
      <c r="JPQ102" s="528" t="s">
        <v>213</v>
      </c>
      <c r="JPR102" s="529" t="str">
        <f>VLOOKUP(JPQ102,[14]AssetDetails_UEM!$A$3:$AH$1849,6,FALSE)</f>
        <v>Electrosurgical Units, Monopolar/Bipolar</v>
      </c>
      <c r="JPS102" s="528" t="s">
        <v>213</v>
      </c>
      <c r="JPT102" s="529" t="str">
        <f>VLOOKUP(JPS102,[14]AssetDetails_UEM!$A$3:$AH$1849,6,FALSE)</f>
        <v>Electrosurgical Units, Monopolar/Bipolar</v>
      </c>
      <c r="JPU102" s="528" t="s">
        <v>213</v>
      </c>
      <c r="JPV102" s="529" t="str">
        <f>VLOOKUP(JPU102,[14]AssetDetails_UEM!$A$3:$AH$1849,6,FALSE)</f>
        <v>Electrosurgical Units, Monopolar/Bipolar</v>
      </c>
      <c r="JPW102" s="528" t="s">
        <v>213</v>
      </c>
      <c r="JPX102" s="529" t="str">
        <f>VLOOKUP(JPW102,[14]AssetDetails_UEM!$A$3:$AH$1849,6,FALSE)</f>
        <v>Electrosurgical Units, Monopolar/Bipolar</v>
      </c>
      <c r="JPY102" s="528" t="s">
        <v>213</v>
      </c>
      <c r="JPZ102" s="529" t="str">
        <f>VLOOKUP(JPY102,[14]AssetDetails_UEM!$A$3:$AH$1849,6,FALSE)</f>
        <v>Electrosurgical Units, Monopolar/Bipolar</v>
      </c>
      <c r="JQA102" s="528" t="s">
        <v>213</v>
      </c>
      <c r="JQB102" s="529" t="str">
        <f>VLOOKUP(JQA102,[14]AssetDetails_UEM!$A$3:$AH$1849,6,FALSE)</f>
        <v>Electrosurgical Units, Monopolar/Bipolar</v>
      </c>
      <c r="JQC102" s="528" t="s">
        <v>213</v>
      </c>
      <c r="JQD102" s="529" t="str">
        <f>VLOOKUP(JQC102,[14]AssetDetails_UEM!$A$3:$AH$1849,6,FALSE)</f>
        <v>Electrosurgical Units, Monopolar/Bipolar</v>
      </c>
      <c r="JQE102" s="528" t="s">
        <v>213</v>
      </c>
      <c r="JQF102" s="529" t="str">
        <f>VLOOKUP(JQE102,[14]AssetDetails_UEM!$A$3:$AH$1849,6,FALSE)</f>
        <v>Electrosurgical Units, Monopolar/Bipolar</v>
      </c>
      <c r="JQG102" s="528" t="s">
        <v>213</v>
      </c>
      <c r="JQH102" s="529" t="str">
        <f>VLOOKUP(JQG102,[14]AssetDetails_UEM!$A$3:$AH$1849,6,FALSE)</f>
        <v>Electrosurgical Units, Monopolar/Bipolar</v>
      </c>
      <c r="JQI102" s="528" t="s">
        <v>213</v>
      </c>
      <c r="JQJ102" s="529" t="str">
        <f>VLOOKUP(JQI102,[14]AssetDetails_UEM!$A$3:$AH$1849,6,FALSE)</f>
        <v>Electrosurgical Units, Monopolar/Bipolar</v>
      </c>
      <c r="JQK102" s="528" t="s">
        <v>213</v>
      </c>
      <c r="JQL102" s="529" t="str">
        <f>VLOOKUP(JQK102,[14]AssetDetails_UEM!$A$3:$AH$1849,6,FALSE)</f>
        <v>Electrosurgical Units, Monopolar/Bipolar</v>
      </c>
      <c r="JQM102" s="528" t="s">
        <v>213</v>
      </c>
      <c r="JQN102" s="529" t="str">
        <f>VLOOKUP(JQM102,[14]AssetDetails_UEM!$A$3:$AH$1849,6,FALSE)</f>
        <v>Electrosurgical Units, Monopolar/Bipolar</v>
      </c>
      <c r="JQO102" s="528" t="s">
        <v>213</v>
      </c>
      <c r="JQP102" s="529" t="str">
        <f>VLOOKUP(JQO102,[14]AssetDetails_UEM!$A$3:$AH$1849,6,FALSE)</f>
        <v>Electrosurgical Units, Monopolar/Bipolar</v>
      </c>
      <c r="JQQ102" s="528" t="s">
        <v>213</v>
      </c>
      <c r="JQR102" s="529" t="str">
        <f>VLOOKUP(JQQ102,[14]AssetDetails_UEM!$A$3:$AH$1849,6,FALSE)</f>
        <v>Electrosurgical Units, Monopolar/Bipolar</v>
      </c>
      <c r="JQS102" s="528" t="s">
        <v>213</v>
      </c>
      <c r="JQT102" s="529" t="str">
        <f>VLOOKUP(JQS102,[14]AssetDetails_UEM!$A$3:$AH$1849,6,FALSE)</f>
        <v>Electrosurgical Units, Monopolar/Bipolar</v>
      </c>
      <c r="JQU102" s="528" t="s">
        <v>213</v>
      </c>
      <c r="JQV102" s="529" t="str">
        <f>VLOOKUP(JQU102,[14]AssetDetails_UEM!$A$3:$AH$1849,6,FALSE)</f>
        <v>Electrosurgical Units, Monopolar/Bipolar</v>
      </c>
      <c r="JQW102" s="528" t="s">
        <v>213</v>
      </c>
      <c r="JQX102" s="529" t="str">
        <f>VLOOKUP(JQW102,[14]AssetDetails_UEM!$A$3:$AH$1849,6,FALSE)</f>
        <v>Electrosurgical Units, Monopolar/Bipolar</v>
      </c>
      <c r="JQY102" s="528" t="s">
        <v>213</v>
      </c>
      <c r="JQZ102" s="529" t="str">
        <f>VLOOKUP(JQY102,[14]AssetDetails_UEM!$A$3:$AH$1849,6,FALSE)</f>
        <v>Electrosurgical Units, Monopolar/Bipolar</v>
      </c>
      <c r="JRA102" s="528" t="s">
        <v>213</v>
      </c>
      <c r="JRB102" s="529" t="str">
        <f>VLOOKUP(JRA102,[14]AssetDetails_UEM!$A$3:$AH$1849,6,FALSE)</f>
        <v>Electrosurgical Units, Monopolar/Bipolar</v>
      </c>
      <c r="JRC102" s="528" t="s">
        <v>213</v>
      </c>
      <c r="JRD102" s="529" t="str">
        <f>VLOOKUP(JRC102,[14]AssetDetails_UEM!$A$3:$AH$1849,6,FALSE)</f>
        <v>Electrosurgical Units, Monopolar/Bipolar</v>
      </c>
      <c r="JRE102" s="528" t="s">
        <v>213</v>
      </c>
      <c r="JRF102" s="529" t="str">
        <f>VLOOKUP(JRE102,[14]AssetDetails_UEM!$A$3:$AH$1849,6,FALSE)</f>
        <v>Electrosurgical Units, Monopolar/Bipolar</v>
      </c>
      <c r="JRG102" s="528" t="s">
        <v>213</v>
      </c>
      <c r="JRH102" s="529" t="str">
        <f>VLOOKUP(JRG102,[14]AssetDetails_UEM!$A$3:$AH$1849,6,FALSE)</f>
        <v>Electrosurgical Units, Monopolar/Bipolar</v>
      </c>
      <c r="JRI102" s="528" t="s">
        <v>213</v>
      </c>
      <c r="JRJ102" s="529" t="str">
        <f>VLOOKUP(JRI102,[14]AssetDetails_UEM!$A$3:$AH$1849,6,FALSE)</f>
        <v>Electrosurgical Units, Monopolar/Bipolar</v>
      </c>
      <c r="JRK102" s="528" t="s">
        <v>213</v>
      </c>
      <c r="JRL102" s="529" t="str">
        <f>VLOOKUP(JRK102,[14]AssetDetails_UEM!$A$3:$AH$1849,6,FALSE)</f>
        <v>Electrosurgical Units, Monopolar/Bipolar</v>
      </c>
      <c r="JRM102" s="528" t="s">
        <v>213</v>
      </c>
      <c r="JRN102" s="529" t="str">
        <f>VLOOKUP(JRM102,[14]AssetDetails_UEM!$A$3:$AH$1849,6,FALSE)</f>
        <v>Electrosurgical Units, Monopolar/Bipolar</v>
      </c>
      <c r="JRO102" s="528" t="s">
        <v>213</v>
      </c>
      <c r="JRP102" s="529" t="str">
        <f>VLOOKUP(JRO102,[14]AssetDetails_UEM!$A$3:$AH$1849,6,FALSE)</f>
        <v>Electrosurgical Units, Monopolar/Bipolar</v>
      </c>
      <c r="JRQ102" s="528" t="s">
        <v>213</v>
      </c>
      <c r="JRR102" s="529" t="str">
        <f>VLOOKUP(JRQ102,[14]AssetDetails_UEM!$A$3:$AH$1849,6,FALSE)</f>
        <v>Electrosurgical Units, Monopolar/Bipolar</v>
      </c>
      <c r="JRS102" s="528" t="s">
        <v>213</v>
      </c>
      <c r="JRT102" s="529" t="str">
        <f>VLOOKUP(JRS102,[14]AssetDetails_UEM!$A$3:$AH$1849,6,FALSE)</f>
        <v>Electrosurgical Units, Monopolar/Bipolar</v>
      </c>
      <c r="JRU102" s="528" t="s">
        <v>213</v>
      </c>
      <c r="JRV102" s="529" t="str">
        <f>VLOOKUP(JRU102,[14]AssetDetails_UEM!$A$3:$AH$1849,6,FALSE)</f>
        <v>Electrosurgical Units, Monopolar/Bipolar</v>
      </c>
      <c r="JRW102" s="528" t="s">
        <v>213</v>
      </c>
      <c r="JRX102" s="529" t="str">
        <f>VLOOKUP(JRW102,[14]AssetDetails_UEM!$A$3:$AH$1849,6,FALSE)</f>
        <v>Electrosurgical Units, Monopolar/Bipolar</v>
      </c>
      <c r="JRY102" s="528" t="s">
        <v>213</v>
      </c>
      <c r="JRZ102" s="529" t="str">
        <f>VLOOKUP(JRY102,[14]AssetDetails_UEM!$A$3:$AH$1849,6,FALSE)</f>
        <v>Electrosurgical Units, Monopolar/Bipolar</v>
      </c>
      <c r="JSA102" s="528" t="s">
        <v>213</v>
      </c>
      <c r="JSB102" s="529" t="str">
        <f>VLOOKUP(JSA102,[14]AssetDetails_UEM!$A$3:$AH$1849,6,FALSE)</f>
        <v>Electrosurgical Units, Monopolar/Bipolar</v>
      </c>
      <c r="JSC102" s="528" t="s">
        <v>213</v>
      </c>
      <c r="JSD102" s="529" t="str">
        <f>VLOOKUP(JSC102,[14]AssetDetails_UEM!$A$3:$AH$1849,6,FALSE)</f>
        <v>Electrosurgical Units, Monopolar/Bipolar</v>
      </c>
      <c r="JSE102" s="528" t="s">
        <v>213</v>
      </c>
      <c r="JSF102" s="529" t="str">
        <f>VLOOKUP(JSE102,[14]AssetDetails_UEM!$A$3:$AH$1849,6,FALSE)</f>
        <v>Electrosurgical Units, Monopolar/Bipolar</v>
      </c>
      <c r="JSG102" s="528" t="s">
        <v>213</v>
      </c>
      <c r="JSH102" s="529" t="str">
        <f>VLOOKUP(JSG102,[14]AssetDetails_UEM!$A$3:$AH$1849,6,FALSE)</f>
        <v>Electrosurgical Units, Monopolar/Bipolar</v>
      </c>
      <c r="JSI102" s="528" t="s">
        <v>213</v>
      </c>
      <c r="JSJ102" s="529" t="str">
        <f>VLOOKUP(JSI102,[14]AssetDetails_UEM!$A$3:$AH$1849,6,FALSE)</f>
        <v>Electrosurgical Units, Monopolar/Bipolar</v>
      </c>
      <c r="JSK102" s="528" t="s">
        <v>213</v>
      </c>
      <c r="JSL102" s="529" t="str">
        <f>VLOOKUP(JSK102,[14]AssetDetails_UEM!$A$3:$AH$1849,6,FALSE)</f>
        <v>Electrosurgical Units, Monopolar/Bipolar</v>
      </c>
      <c r="JSM102" s="528" t="s">
        <v>213</v>
      </c>
      <c r="JSN102" s="529" t="str">
        <f>VLOOKUP(JSM102,[14]AssetDetails_UEM!$A$3:$AH$1849,6,FALSE)</f>
        <v>Electrosurgical Units, Monopolar/Bipolar</v>
      </c>
      <c r="JSO102" s="528" t="s">
        <v>213</v>
      </c>
      <c r="JSP102" s="529" t="str">
        <f>VLOOKUP(JSO102,[14]AssetDetails_UEM!$A$3:$AH$1849,6,FALSE)</f>
        <v>Electrosurgical Units, Monopolar/Bipolar</v>
      </c>
      <c r="JSQ102" s="528" t="s">
        <v>213</v>
      </c>
      <c r="JSR102" s="529" t="str">
        <f>VLOOKUP(JSQ102,[14]AssetDetails_UEM!$A$3:$AH$1849,6,FALSE)</f>
        <v>Electrosurgical Units, Monopolar/Bipolar</v>
      </c>
      <c r="JSS102" s="528" t="s">
        <v>213</v>
      </c>
      <c r="JST102" s="529" t="str">
        <f>VLOOKUP(JSS102,[14]AssetDetails_UEM!$A$3:$AH$1849,6,FALSE)</f>
        <v>Electrosurgical Units, Monopolar/Bipolar</v>
      </c>
      <c r="JSU102" s="528" t="s">
        <v>213</v>
      </c>
      <c r="JSV102" s="529" t="str">
        <f>VLOOKUP(JSU102,[14]AssetDetails_UEM!$A$3:$AH$1849,6,FALSE)</f>
        <v>Electrosurgical Units, Monopolar/Bipolar</v>
      </c>
      <c r="JSW102" s="528" t="s">
        <v>213</v>
      </c>
      <c r="JSX102" s="529" t="str">
        <f>VLOOKUP(JSW102,[14]AssetDetails_UEM!$A$3:$AH$1849,6,FALSE)</f>
        <v>Electrosurgical Units, Monopolar/Bipolar</v>
      </c>
      <c r="JSY102" s="528" t="s">
        <v>213</v>
      </c>
      <c r="JSZ102" s="529" t="str">
        <f>VLOOKUP(JSY102,[14]AssetDetails_UEM!$A$3:$AH$1849,6,FALSE)</f>
        <v>Electrosurgical Units, Monopolar/Bipolar</v>
      </c>
      <c r="JTA102" s="528" t="s">
        <v>213</v>
      </c>
      <c r="JTB102" s="529" t="str">
        <f>VLOOKUP(JTA102,[14]AssetDetails_UEM!$A$3:$AH$1849,6,FALSE)</f>
        <v>Electrosurgical Units, Monopolar/Bipolar</v>
      </c>
      <c r="JTC102" s="528" t="s">
        <v>213</v>
      </c>
      <c r="JTD102" s="529" t="str">
        <f>VLOOKUP(JTC102,[14]AssetDetails_UEM!$A$3:$AH$1849,6,FALSE)</f>
        <v>Electrosurgical Units, Monopolar/Bipolar</v>
      </c>
      <c r="JTE102" s="528" t="s">
        <v>213</v>
      </c>
      <c r="JTF102" s="529" t="str">
        <f>VLOOKUP(JTE102,[14]AssetDetails_UEM!$A$3:$AH$1849,6,FALSE)</f>
        <v>Electrosurgical Units, Monopolar/Bipolar</v>
      </c>
      <c r="JTG102" s="528" t="s">
        <v>213</v>
      </c>
      <c r="JTH102" s="529" t="str">
        <f>VLOOKUP(JTG102,[14]AssetDetails_UEM!$A$3:$AH$1849,6,FALSE)</f>
        <v>Electrosurgical Units, Monopolar/Bipolar</v>
      </c>
      <c r="JTI102" s="528" t="s">
        <v>213</v>
      </c>
      <c r="JTJ102" s="529" t="str">
        <f>VLOOKUP(JTI102,[14]AssetDetails_UEM!$A$3:$AH$1849,6,FALSE)</f>
        <v>Electrosurgical Units, Monopolar/Bipolar</v>
      </c>
      <c r="JTK102" s="528" t="s">
        <v>213</v>
      </c>
      <c r="JTL102" s="529" t="str">
        <f>VLOOKUP(JTK102,[14]AssetDetails_UEM!$A$3:$AH$1849,6,FALSE)</f>
        <v>Electrosurgical Units, Monopolar/Bipolar</v>
      </c>
      <c r="JTM102" s="528" t="s">
        <v>213</v>
      </c>
      <c r="JTN102" s="529" t="str">
        <f>VLOOKUP(JTM102,[14]AssetDetails_UEM!$A$3:$AH$1849,6,FALSE)</f>
        <v>Electrosurgical Units, Monopolar/Bipolar</v>
      </c>
      <c r="JTO102" s="528" t="s">
        <v>213</v>
      </c>
      <c r="JTP102" s="529" t="str">
        <f>VLOOKUP(JTO102,[14]AssetDetails_UEM!$A$3:$AH$1849,6,FALSE)</f>
        <v>Electrosurgical Units, Monopolar/Bipolar</v>
      </c>
      <c r="JTQ102" s="528" t="s">
        <v>213</v>
      </c>
      <c r="JTR102" s="529" t="str">
        <f>VLOOKUP(JTQ102,[14]AssetDetails_UEM!$A$3:$AH$1849,6,FALSE)</f>
        <v>Electrosurgical Units, Monopolar/Bipolar</v>
      </c>
      <c r="JTS102" s="528" t="s">
        <v>213</v>
      </c>
      <c r="JTT102" s="529" t="str">
        <f>VLOOKUP(JTS102,[14]AssetDetails_UEM!$A$3:$AH$1849,6,FALSE)</f>
        <v>Electrosurgical Units, Monopolar/Bipolar</v>
      </c>
      <c r="JTU102" s="528" t="s">
        <v>213</v>
      </c>
      <c r="JTV102" s="529" t="str">
        <f>VLOOKUP(JTU102,[14]AssetDetails_UEM!$A$3:$AH$1849,6,FALSE)</f>
        <v>Electrosurgical Units, Monopolar/Bipolar</v>
      </c>
      <c r="JTW102" s="528" t="s">
        <v>213</v>
      </c>
      <c r="JTX102" s="529" t="str">
        <f>VLOOKUP(JTW102,[14]AssetDetails_UEM!$A$3:$AH$1849,6,FALSE)</f>
        <v>Electrosurgical Units, Monopolar/Bipolar</v>
      </c>
      <c r="JTY102" s="528" t="s">
        <v>213</v>
      </c>
      <c r="JTZ102" s="529" t="str">
        <f>VLOOKUP(JTY102,[14]AssetDetails_UEM!$A$3:$AH$1849,6,FALSE)</f>
        <v>Electrosurgical Units, Monopolar/Bipolar</v>
      </c>
      <c r="JUA102" s="528" t="s">
        <v>213</v>
      </c>
      <c r="JUB102" s="529" t="str">
        <f>VLOOKUP(JUA102,[14]AssetDetails_UEM!$A$3:$AH$1849,6,FALSE)</f>
        <v>Electrosurgical Units, Monopolar/Bipolar</v>
      </c>
      <c r="JUC102" s="528" t="s">
        <v>213</v>
      </c>
      <c r="JUD102" s="529" t="str">
        <f>VLOOKUP(JUC102,[14]AssetDetails_UEM!$A$3:$AH$1849,6,FALSE)</f>
        <v>Electrosurgical Units, Monopolar/Bipolar</v>
      </c>
      <c r="JUE102" s="528" t="s">
        <v>213</v>
      </c>
      <c r="JUF102" s="529" t="str">
        <f>VLOOKUP(JUE102,[14]AssetDetails_UEM!$A$3:$AH$1849,6,FALSE)</f>
        <v>Electrosurgical Units, Monopolar/Bipolar</v>
      </c>
      <c r="JUG102" s="528" t="s">
        <v>213</v>
      </c>
      <c r="JUH102" s="529" t="str">
        <f>VLOOKUP(JUG102,[14]AssetDetails_UEM!$A$3:$AH$1849,6,FALSE)</f>
        <v>Electrosurgical Units, Monopolar/Bipolar</v>
      </c>
      <c r="JUI102" s="528" t="s">
        <v>213</v>
      </c>
      <c r="JUJ102" s="529" t="str">
        <f>VLOOKUP(JUI102,[14]AssetDetails_UEM!$A$3:$AH$1849,6,FALSE)</f>
        <v>Electrosurgical Units, Monopolar/Bipolar</v>
      </c>
      <c r="JUK102" s="528" t="s">
        <v>213</v>
      </c>
      <c r="JUL102" s="529" t="str">
        <f>VLOOKUP(JUK102,[14]AssetDetails_UEM!$A$3:$AH$1849,6,FALSE)</f>
        <v>Electrosurgical Units, Monopolar/Bipolar</v>
      </c>
      <c r="JUM102" s="528" t="s">
        <v>213</v>
      </c>
      <c r="JUN102" s="529" t="str">
        <f>VLOOKUP(JUM102,[14]AssetDetails_UEM!$A$3:$AH$1849,6,FALSE)</f>
        <v>Electrosurgical Units, Monopolar/Bipolar</v>
      </c>
      <c r="JUO102" s="528" t="s">
        <v>213</v>
      </c>
      <c r="JUP102" s="529" t="str">
        <f>VLOOKUP(JUO102,[14]AssetDetails_UEM!$A$3:$AH$1849,6,FALSE)</f>
        <v>Electrosurgical Units, Monopolar/Bipolar</v>
      </c>
      <c r="JUQ102" s="528" t="s">
        <v>213</v>
      </c>
      <c r="JUR102" s="529" t="str">
        <f>VLOOKUP(JUQ102,[14]AssetDetails_UEM!$A$3:$AH$1849,6,FALSE)</f>
        <v>Electrosurgical Units, Monopolar/Bipolar</v>
      </c>
      <c r="JUS102" s="528" t="s">
        <v>213</v>
      </c>
      <c r="JUT102" s="529" t="str">
        <f>VLOOKUP(JUS102,[14]AssetDetails_UEM!$A$3:$AH$1849,6,FALSE)</f>
        <v>Electrosurgical Units, Monopolar/Bipolar</v>
      </c>
      <c r="JUU102" s="528" t="s">
        <v>213</v>
      </c>
      <c r="JUV102" s="529" t="str">
        <f>VLOOKUP(JUU102,[14]AssetDetails_UEM!$A$3:$AH$1849,6,FALSE)</f>
        <v>Electrosurgical Units, Monopolar/Bipolar</v>
      </c>
      <c r="JUW102" s="528" t="s">
        <v>213</v>
      </c>
      <c r="JUX102" s="529" t="str">
        <f>VLOOKUP(JUW102,[14]AssetDetails_UEM!$A$3:$AH$1849,6,FALSE)</f>
        <v>Electrosurgical Units, Monopolar/Bipolar</v>
      </c>
      <c r="JUY102" s="528" t="s">
        <v>213</v>
      </c>
      <c r="JUZ102" s="529" t="str">
        <f>VLOOKUP(JUY102,[14]AssetDetails_UEM!$A$3:$AH$1849,6,FALSE)</f>
        <v>Electrosurgical Units, Monopolar/Bipolar</v>
      </c>
      <c r="JVA102" s="528" t="s">
        <v>213</v>
      </c>
      <c r="JVB102" s="529" t="str">
        <f>VLOOKUP(JVA102,[14]AssetDetails_UEM!$A$3:$AH$1849,6,FALSE)</f>
        <v>Electrosurgical Units, Monopolar/Bipolar</v>
      </c>
      <c r="JVC102" s="528" t="s">
        <v>213</v>
      </c>
      <c r="JVD102" s="529" t="str">
        <f>VLOOKUP(JVC102,[14]AssetDetails_UEM!$A$3:$AH$1849,6,FALSE)</f>
        <v>Electrosurgical Units, Monopolar/Bipolar</v>
      </c>
      <c r="JVE102" s="528" t="s">
        <v>213</v>
      </c>
      <c r="JVF102" s="529" t="str">
        <f>VLOOKUP(JVE102,[14]AssetDetails_UEM!$A$3:$AH$1849,6,FALSE)</f>
        <v>Electrosurgical Units, Monopolar/Bipolar</v>
      </c>
      <c r="JVG102" s="528" t="s">
        <v>213</v>
      </c>
      <c r="JVH102" s="529" t="str">
        <f>VLOOKUP(JVG102,[14]AssetDetails_UEM!$A$3:$AH$1849,6,FALSE)</f>
        <v>Electrosurgical Units, Monopolar/Bipolar</v>
      </c>
      <c r="JVI102" s="528" t="s">
        <v>213</v>
      </c>
      <c r="JVJ102" s="529" t="str">
        <f>VLOOKUP(JVI102,[14]AssetDetails_UEM!$A$3:$AH$1849,6,FALSE)</f>
        <v>Electrosurgical Units, Monopolar/Bipolar</v>
      </c>
      <c r="JVK102" s="528" t="s">
        <v>213</v>
      </c>
      <c r="JVL102" s="529" t="str">
        <f>VLOOKUP(JVK102,[14]AssetDetails_UEM!$A$3:$AH$1849,6,FALSE)</f>
        <v>Electrosurgical Units, Monopolar/Bipolar</v>
      </c>
      <c r="JVM102" s="528" t="s">
        <v>213</v>
      </c>
      <c r="JVN102" s="529" t="str">
        <f>VLOOKUP(JVM102,[14]AssetDetails_UEM!$A$3:$AH$1849,6,FALSE)</f>
        <v>Electrosurgical Units, Monopolar/Bipolar</v>
      </c>
      <c r="JVO102" s="528" t="s">
        <v>213</v>
      </c>
      <c r="JVP102" s="529" t="str">
        <f>VLOOKUP(JVO102,[14]AssetDetails_UEM!$A$3:$AH$1849,6,FALSE)</f>
        <v>Electrosurgical Units, Monopolar/Bipolar</v>
      </c>
      <c r="JVQ102" s="528" t="s">
        <v>213</v>
      </c>
      <c r="JVR102" s="529" t="str">
        <f>VLOOKUP(JVQ102,[14]AssetDetails_UEM!$A$3:$AH$1849,6,FALSE)</f>
        <v>Electrosurgical Units, Monopolar/Bipolar</v>
      </c>
      <c r="JVS102" s="528" t="s">
        <v>213</v>
      </c>
      <c r="JVT102" s="529" t="str">
        <f>VLOOKUP(JVS102,[14]AssetDetails_UEM!$A$3:$AH$1849,6,FALSE)</f>
        <v>Electrosurgical Units, Monopolar/Bipolar</v>
      </c>
      <c r="JVU102" s="528" t="s">
        <v>213</v>
      </c>
      <c r="JVV102" s="529" t="str">
        <f>VLOOKUP(JVU102,[14]AssetDetails_UEM!$A$3:$AH$1849,6,FALSE)</f>
        <v>Electrosurgical Units, Monopolar/Bipolar</v>
      </c>
      <c r="JVW102" s="528" t="s">
        <v>213</v>
      </c>
      <c r="JVX102" s="529" t="str">
        <f>VLOOKUP(JVW102,[14]AssetDetails_UEM!$A$3:$AH$1849,6,FALSE)</f>
        <v>Electrosurgical Units, Monopolar/Bipolar</v>
      </c>
      <c r="JVY102" s="528" t="s">
        <v>213</v>
      </c>
      <c r="JVZ102" s="529" t="str">
        <f>VLOOKUP(JVY102,[14]AssetDetails_UEM!$A$3:$AH$1849,6,FALSE)</f>
        <v>Electrosurgical Units, Monopolar/Bipolar</v>
      </c>
      <c r="JWA102" s="528" t="s">
        <v>213</v>
      </c>
      <c r="JWB102" s="529" t="str">
        <f>VLOOKUP(JWA102,[14]AssetDetails_UEM!$A$3:$AH$1849,6,FALSE)</f>
        <v>Electrosurgical Units, Monopolar/Bipolar</v>
      </c>
      <c r="JWC102" s="528" t="s">
        <v>213</v>
      </c>
      <c r="JWD102" s="529" t="str">
        <f>VLOOKUP(JWC102,[14]AssetDetails_UEM!$A$3:$AH$1849,6,FALSE)</f>
        <v>Electrosurgical Units, Monopolar/Bipolar</v>
      </c>
      <c r="JWE102" s="528" t="s">
        <v>213</v>
      </c>
      <c r="JWF102" s="529" t="str">
        <f>VLOOKUP(JWE102,[14]AssetDetails_UEM!$A$3:$AH$1849,6,FALSE)</f>
        <v>Electrosurgical Units, Monopolar/Bipolar</v>
      </c>
      <c r="JWG102" s="528" t="s">
        <v>213</v>
      </c>
      <c r="JWH102" s="529" t="str">
        <f>VLOOKUP(JWG102,[14]AssetDetails_UEM!$A$3:$AH$1849,6,FALSE)</f>
        <v>Electrosurgical Units, Monopolar/Bipolar</v>
      </c>
      <c r="JWI102" s="528" t="s">
        <v>213</v>
      </c>
      <c r="JWJ102" s="529" t="str">
        <f>VLOOKUP(JWI102,[14]AssetDetails_UEM!$A$3:$AH$1849,6,FALSE)</f>
        <v>Electrosurgical Units, Monopolar/Bipolar</v>
      </c>
      <c r="JWK102" s="528" t="s">
        <v>213</v>
      </c>
      <c r="JWL102" s="529" t="str">
        <f>VLOOKUP(JWK102,[14]AssetDetails_UEM!$A$3:$AH$1849,6,FALSE)</f>
        <v>Electrosurgical Units, Monopolar/Bipolar</v>
      </c>
      <c r="JWM102" s="528" t="s">
        <v>213</v>
      </c>
      <c r="JWN102" s="529" t="str">
        <f>VLOOKUP(JWM102,[14]AssetDetails_UEM!$A$3:$AH$1849,6,FALSE)</f>
        <v>Electrosurgical Units, Monopolar/Bipolar</v>
      </c>
      <c r="JWO102" s="528" t="s">
        <v>213</v>
      </c>
      <c r="JWP102" s="529" t="str">
        <f>VLOOKUP(JWO102,[14]AssetDetails_UEM!$A$3:$AH$1849,6,FALSE)</f>
        <v>Electrosurgical Units, Monopolar/Bipolar</v>
      </c>
      <c r="JWQ102" s="528" t="s">
        <v>213</v>
      </c>
      <c r="JWR102" s="529" t="str">
        <f>VLOOKUP(JWQ102,[14]AssetDetails_UEM!$A$3:$AH$1849,6,FALSE)</f>
        <v>Electrosurgical Units, Monopolar/Bipolar</v>
      </c>
      <c r="JWS102" s="528" t="s">
        <v>213</v>
      </c>
      <c r="JWT102" s="529" t="str">
        <f>VLOOKUP(JWS102,[14]AssetDetails_UEM!$A$3:$AH$1849,6,FALSE)</f>
        <v>Electrosurgical Units, Monopolar/Bipolar</v>
      </c>
      <c r="JWU102" s="528" t="s">
        <v>213</v>
      </c>
      <c r="JWV102" s="529" t="str">
        <f>VLOOKUP(JWU102,[14]AssetDetails_UEM!$A$3:$AH$1849,6,FALSE)</f>
        <v>Electrosurgical Units, Monopolar/Bipolar</v>
      </c>
      <c r="JWW102" s="528" t="s">
        <v>213</v>
      </c>
      <c r="JWX102" s="529" t="str">
        <f>VLOOKUP(JWW102,[14]AssetDetails_UEM!$A$3:$AH$1849,6,FALSE)</f>
        <v>Electrosurgical Units, Monopolar/Bipolar</v>
      </c>
      <c r="JWY102" s="528" t="s">
        <v>213</v>
      </c>
      <c r="JWZ102" s="529" t="str">
        <f>VLOOKUP(JWY102,[14]AssetDetails_UEM!$A$3:$AH$1849,6,FALSE)</f>
        <v>Electrosurgical Units, Monopolar/Bipolar</v>
      </c>
      <c r="JXA102" s="528" t="s">
        <v>213</v>
      </c>
      <c r="JXB102" s="529" t="str">
        <f>VLOOKUP(JXA102,[14]AssetDetails_UEM!$A$3:$AH$1849,6,FALSE)</f>
        <v>Electrosurgical Units, Monopolar/Bipolar</v>
      </c>
      <c r="JXC102" s="528" t="s">
        <v>213</v>
      </c>
      <c r="JXD102" s="529" t="str">
        <f>VLOOKUP(JXC102,[14]AssetDetails_UEM!$A$3:$AH$1849,6,FALSE)</f>
        <v>Electrosurgical Units, Monopolar/Bipolar</v>
      </c>
      <c r="JXE102" s="528" t="s">
        <v>213</v>
      </c>
      <c r="JXF102" s="529" t="str">
        <f>VLOOKUP(JXE102,[14]AssetDetails_UEM!$A$3:$AH$1849,6,FALSE)</f>
        <v>Electrosurgical Units, Monopolar/Bipolar</v>
      </c>
      <c r="JXG102" s="528" t="s">
        <v>213</v>
      </c>
      <c r="JXH102" s="529" t="str">
        <f>VLOOKUP(JXG102,[14]AssetDetails_UEM!$A$3:$AH$1849,6,FALSE)</f>
        <v>Electrosurgical Units, Monopolar/Bipolar</v>
      </c>
      <c r="JXI102" s="528" t="s">
        <v>213</v>
      </c>
      <c r="JXJ102" s="529" t="str">
        <f>VLOOKUP(JXI102,[14]AssetDetails_UEM!$A$3:$AH$1849,6,FALSE)</f>
        <v>Electrosurgical Units, Monopolar/Bipolar</v>
      </c>
      <c r="JXK102" s="528" t="s">
        <v>213</v>
      </c>
      <c r="JXL102" s="529" t="str">
        <f>VLOOKUP(JXK102,[14]AssetDetails_UEM!$A$3:$AH$1849,6,FALSE)</f>
        <v>Electrosurgical Units, Monopolar/Bipolar</v>
      </c>
      <c r="JXM102" s="528" t="s">
        <v>213</v>
      </c>
      <c r="JXN102" s="529" t="str">
        <f>VLOOKUP(JXM102,[14]AssetDetails_UEM!$A$3:$AH$1849,6,FALSE)</f>
        <v>Electrosurgical Units, Monopolar/Bipolar</v>
      </c>
      <c r="JXO102" s="528" t="s">
        <v>213</v>
      </c>
      <c r="JXP102" s="529" t="str">
        <f>VLOOKUP(JXO102,[14]AssetDetails_UEM!$A$3:$AH$1849,6,FALSE)</f>
        <v>Electrosurgical Units, Monopolar/Bipolar</v>
      </c>
      <c r="JXQ102" s="528" t="s">
        <v>213</v>
      </c>
      <c r="JXR102" s="529" t="str">
        <f>VLOOKUP(JXQ102,[14]AssetDetails_UEM!$A$3:$AH$1849,6,FALSE)</f>
        <v>Electrosurgical Units, Monopolar/Bipolar</v>
      </c>
      <c r="JXS102" s="528" t="s">
        <v>213</v>
      </c>
      <c r="JXT102" s="529" t="str">
        <f>VLOOKUP(JXS102,[14]AssetDetails_UEM!$A$3:$AH$1849,6,FALSE)</f>
        <v>Electrosurgical Units, Monopolar/Bipolar</v>
      </c>
      <c r="JXU102" s="528" t="s">
        <v>213</v>
      </c>
      <c r="JXV102" s="529" t="str">
        <f>VLOOKUP(JXU102,[14]AssetDetails_UEM!$A$3:$AH$1849,6,FALSE)</f>
        <v>Electrosurgical Units, Monopolar/Bipolar</v>
      </c>
      <c r="JXW102" s="528" t="s">
        <v>213</v>
      </c>
      <c r="JXX102" s="529" t="str">
        <f>VLOOKUP(JXW102,[14]AssetDetails_UEM!$A$3:$AH$1849,6,FALSE)</f>
        <v>Electrosurgical Units, Monopolar/Bipolar</v>
      </c>
      <c r="JXY102" s="528" t="s">
        <v>213</v>
      </c>
      <c r="JXZ102" s="529" t="str">
        <f>VLOOKUP(JXY102,[14]AssetDetails_UEM!$A$3:$AH$1849,6,FALSE)</f>
        <v>Electrosurgical Units, Monopolar/Bipolar</v>
      </c>
      <c r="JYA102" s="528" t="s">
        <v>213</v>
      </c>
      <c r="JYB102" s="529" t="str">
        <f>VLOOKUP(JYA102,[14]AssetDetails_UEM!$A$3:$AH$1849,6,FALSE)</f>
        <v>Electrosurgical Units, Monopolar/Bipolar</v>
      </c>
      <c r="JYC102" s="528" t="s">
        <v>213</v>
      </c>
      <c r="JYD102" s="529" t="str">
        <f>VLOOKUP(JYC102,[14]AssetDetails_UEM!$A$3:$AH$1849,6,FALSE)</f>
        <v>Electrosurgical Units, Monopolar/Bipolar</v>
      </c>
      <c r="JYE102" s="528" t="s">
        <v>213</v>
      </c>
      <c r="JYF102" s="529" t="str">
        <f>VLOOKUP(JYE102,[14]AssetDetails_UEM!$A$3:$AH$1849,6,FALSE)</f>
        <v>Electrosurgical Units, Monopolar/Bipolar</v>
      </c>
      <c r="JYG102" s="528" t="s">
        <v>213</v>
      </c>
      <c r="JYH102" s="529" t="str">
        <f>VLOOKUP(JYG102,[14]AssetDetails_UEM!$A$3:$AH$1849,6,FALSE)</f>
        <v>Electrosurgical Units, Monopolar/Bipolar</v>
      </c>
      <c r="JYI102" s="528" t="s">
        <v>213</v>
      </c>
      <c r="JYJ102" s="529" t="str">
        <f>VLOOKUP(JYI102,[14]AssetDetails_UEM!$A$3:$AH$1849,6,FALSE)</f>
        <v>Electrosurgical Units, Monopolar/Bipolar</v>
      </c>
      <c r="JYK102" s="528" t="s">
        <v>213</v>
      </c>
      <c r="JYL102" s="529" t="str">
        <f>VLOOKUP(JYK102,[14]AssetDetails_UEM!$A$3:$AH$1849,6,FALSE)</f>
        <v>Electrosurgical Units, Monopolar/Bipolar</v>
      </c>
      <c r="JYM102" s="528" t="s">
        <v>213</v>
      </c>
      <c r="JYN102" s="529" t="str">
        <f>VLOOKUP(JYM102,[14]AssetDetails_UEM!$A$3:$AH$1849,6,FALSE)</f>
        <v>Electrosurgical Units, Monopolar/Bipolar</v>
      </c>
      <c r="JYO102" s="528" t="s">
        <v>213</v>
      </c>
      <c r="JYP102" s="529" t="str">
        <f>VLOOKUP(JYO102,[14]AssetDetails_UEM!$A$3:$AH$1849,6,FALSE)</f>
        <v>Electrosurgical Units, Monopolar/Bipolar</v>
      </c>
      <c r="JYQ102" s="528" t="s">
        <v>213</v>
      </c>
      <c r="JYR102" s="529" t="str">
        <f>VLOOKUP(JYQ102,[14]AssetDetails_UEM!$A$3:$AH$1849,6,FALSE)</f>
        <v>Electrosurgical Units, Monopolar/Bipolar</v>
      </c>
      <c r="JYS102" s="528" t="s">
        <v>213</v>
      </c>
      <c r="JYT102" s="529" t="str">
        <f>VLOOKUP(JYS102,[14]AssetDetails_UEM!$A$3:$AH$1849,6,FALSE)</f>
        <v>Electrosurgical Units, Monopolar/Bipolar</v>
      </c>
      <c r="JYU102" s="528" t="s">
        <v>213</v>
      </c>
      <c r="JYV102" s="529" t="str">
        <f>VLOOKUP(JYU102,[14]AssetDetails_UEM!$A$3:$AH$1849,6,FALSE)</f>
        <v>Electrosurgical Units, Monopolar/Bipolar</v>
      </c>
      <c r="JYW102" s="528" t="s">
        <v>213</v>
      </c>
      <c r="JYX102" s="529" t="str">
        <f>VLOOKUP(JYW102,[14]AssetDetails_UEM!$A$3:$AH$1849,6,FALSE)</f>
        <v>Electrosurgical Units, Monopolar/Bipolar</v>
      </c>
      <c r="JYY102" s="528" t="s">
        <v>213</v>
      </c>
      <c r="JYZ102" s="529" t="str">
        <f>VLOOKUP(JYY102,[14]AssetDetails_UEM!$A$3:$AH$1849,6,FALSE)</f>
        <v>Electrosurgical Units, Monopolar/Bipolar</v>
      </c>
      <c r="JZA102" s="528" t="s">
        <v>213</v>
      </c>
      <c r="JZB102" s="529" t="str">
        <f>VLOOKUP(JZA102,[14]AssetDetails_UEM!$A$3:$AH$1849,6,FALSE)</f>
        <v>Electrosurgical Units, Monopolar/Bipolar</v>
      </c>
      <c r="JZC102" s="528" t="s">
        <v>213</v>
      </c>
      <c r="JZD102" s="529" t="str">
        <f>VLOOKUP(JZC102,[14]AssetDetails_UEM!$A$3:$AH$1849,6,FALSE)</f>
        <v>Electrosurgical Units, Monopolar/Bipolar</v>
      </c>
      <c r="JZE102" s="528" t="s">
        <v>213</v>
      </c>
      <c r="JZF102" s="529" t="str">
        <f>VLOOKUP(JZE102,[14]AssetDetails_UEM!$A$3:$AH$1849,6,FALSE)</f>
        <v>Electrosurgical Units, Monopolar/Bipolar</v>
      </c>
      <c r="JZG102" s="528" t="s">
        <v>213</v>
      </c>
      <c r="JZH102" s="529" t="str">
        <f>VLOOKUP(JZG102,[14]AssetDetails_UEM!$A$3:$AH$1849,6,FALSE)</f>
        <v>Electrosurgical Units, Monopolar/Bipolar</v>
      </c>
      <c r="JZI102" s="528" t="s">
        <v>213</v>
      </c>
      <c r="JZJ102" s="529" t="str">
        <f>VLOOKUP(JZI102,[14]AssetDetails_UEM!$A$3:$AH$1849,6,FALSE)</f>
        <v>Electrosurgical Units, Monopolar/Bipolar</v>
      </c>
      <c r="JZK102" s="528" t="s">
        <v>213</v>
      </c>
      <c r="JZL102" s="529" t="str">
        <f>VLOOKUP(JZK102,[14]AssetDetails_UEM!$A$3:$AH$1849,6,FALSE)</f>
        <v>Electrosurgical Units, Monopolar/Bipolar</v>
      </c>
      <c r="JZM102" s="528" t="s">
        <v>213</v>
      </c>
      <c r="JZN102" s="529" t="str">
        <f>VLOOKUP(JZM102,[14]AssetDetails_UEM!$A$3:$AH$1849,6,FALSE)</f>
        <v>Electrosurgical Units, Monopolar/Bipolar</v>
      </c>
      <c r="JZO102" s="528" t="s">
        <v>213</v>
      </c>
      <c r="JZP102" s="529" t="str">
        <f>VLOOKUP(JZO102,[14]AssetDetails_UEM!$A$3:$AH$1849,6,FALSE)</f>
        <v>Electrosurgical Units, Monopolar/Bipolar</v>
      </c>
      <c r="JZQ102" s="528" t="s">
        <v>213</v>
      </c>
      <c r="JZR102" s="529" t="str">
        <f>VLOOKUP(JZQ102,[14]AssetDetails_UEM!$A$3:$AH$1849,6,FALSE)</f>
        <v>Electrosurgical Units, Monopolar/Bipolar</v>
      </c>
      <c r="JZS102" s="528" t="s">
        <v>213</v>
      </c>
      <c r="JZT102" s="529" t="str">
        <f>VLOOKUP(JZS102,[14]AssetDetails_UEM!$A$3:$AH$1849,6,FALSE)</f>
        <v>Electrosurgical Units, Monopolar/Bipolar</v>
      </c>
      <c r="JZU102" s="528" t="s">
        <v>213</v>
      </c>
      <c r="JZV102" s="529" t="str">
        <f>VLOOKUP(JZU102,[14]AssetDetails_UEM!$A$3:$AH$1849,6,FALSE)</f>
        <v>Electrosurgical Units, Monopolar/Bipolar</v>
      </c>
      <c r="JZW102" s="528" t="s">
        <v>213</v>
      </c>
      <c r="JZX102" s="529" t="str">
        <f>VLOOKUP(JZW102,[14]AssetDetails_UEM!$A$3:$AH$1849,6,FALSE)</f>
        <v>Electrosurgical Units, Monopolar/Bipolar</v>
      </c>
      <c r="JZY102" s="528" t="s">
        <v>213</v>
      </c>
      <c r="JZZ102" s="529" t="str">
        <f>VLOOKUP(JZY102,[14]AssetDetails_UEM!$A$3:$AH$1849,6,FALSE)</f>
        <v>Electrosurgical Units, Monopolar/Bipolar</v>
      </c>
      <c r="KAA102" s="528" t="s">
        <v>213</v>
      </c>
      <c r="KAB102" s="529" t="str">
        <f>VLOOKUP(KAA102,[14]AssetDetails_UEM!$A$3:$AH$1849,6,FALSE)</f>
        <v>Electrosurgical Units, Monopolar/Bipolar</v>
      </c>
      <c r="KAC102" s="528" t="s">
        <v>213</v>
      </c>
      <c r="KAD102" s="529" t="str">
        <f>VLOOKUP(KAC102,[14]AssetDetails_UEM!$A$3:$AH$1849,6,FALSE)</f>
        <v>Electrosurgical Units, Monopolar/Bipolar</v>
      </c>
      <c r="KAE102" s="528" t="s">
        <v>213</v>
      </c>
      <c r="KAF102" s="529" t="str">
        <f>VLOOKUP(KAE102,[14]AssetDetails_UEM!$A$3:$AH$1849,6,FALSE)</f>
        <v>Electrosurgical Units, Monopolar/Bipolar</v>
      </c>
      <c r="KAG102" s="528" t="s">
        <v>213</v>
      </c>
      <c r="KAH102" s="529" t="str">
        <f>VLOOKUP(KAG102,[14]AssetDetails_UEM!$A$3:$AH$1849,6,FALSE)</f>
        <v>Electrosurgical Units, Monopolar/Bipolar</v>
      </c>
      <c r="KAI102" s="528" t="s">
        <v>213</v>
      </c>
      <c r="KAJ102" s="529" t="str">
        <f>VLOOKUP(KAI102,[14]AssetDetails_UEM!$A$3:$AH$1849,6,FALSE)</f>
        <v>Electrosurgical Units, Monopolar/Bipolar</v>
      </c>
      <c r="KAK102" s="528" t="s">
        <v>213</v>
      </c>
      <c r="KAL102" s="529" t="str">
        <f>VLOOKUP(KAK102,[14]AssetDetails_UEM!$A$3:$AH$1849,6,FALSE)</f>
        <v>Electrosurgical Units, Monopolar/Bipolar</v>
      </c>
      <c r="KAM102" s="528" t="s">
        <v>213</v>
      </c>
      <c r="KAN102" s="529" t="str">
        <f>VLOOKUP(KAM102,[14]AssetDetails_UEM!$A$3:$AH$1849,6,FALSE)</f>
        <v>Electrosurgical Units, Monopolar/Bipolar</v>
      </c>
      <c r="KAO102" s="528" t="s">
        <v>213</v>
      </c>
      <c r="KAP102" s="529" t="str">
        <f>VLOOKUP(KAO102,[14]AssetDetails_UEM!$A$3:$AH$1849,6,FALSE)</f>
        <v>Electrosurgical Units, Monopolar/Bipolar</v>
      </c>
      <c r="KAQ102" s="528" t="s">
        <v>213</v>
      </c>
      <c r="KAR102" s="529" t="str">
        <f>VLOOKUP(KAQ102,[14]AssetDetails_UEM!$A$3:$AH$1849,6,FALSE)</f>
        <v>Electrosurgical Units, Monopolar/Bipolar</v>
      </c>
      <c r="KAS102" s="528" t="s">
        <v>213</v>
      </c>
      <c r="KAT102" s="529" t="str">
        <f>VLOOKUP(KAS102,[14]AssetDetails_UEM!$A$3:$AH$1849,6,FALSE)</f>
        <v>Electrosurgical Units, Monopolar/Bipolar</v>
      </c>
      <c r="KAU102" s="528" t="s">
        <v>213</v>
      </c>
      <c r="KAV102" s="529" t="str">
        <f>VLOOKUP(KAU102,[14]AssetDetails_UEM!$A$3:$AH$1849,6,FALSE)</f>
        <v>Electrosurgical Units, Monopolar/Bipolar</v>
      </c>
      <c r="KAW102" s="528" t="s">
        <v>213</v>
      </c>
      <c r="KAX102" s="529" t="str">
        <f>VLOOKUP(KAW102,[14]AssetDetails_UEM!$A$3:$AH$1849,6,FALSE)</f>
        <v>Electrosurgical Units, Monopolar/Bipolar</v>
      </c>
      <c r="KAY102" s="528" t="s">
        <v>213</v>
      </c>
      <c r="KAZ102" s="529" t="str">
        <f>VLOOKUP(KAY102,[14]AssetDetails_UEM!$A$3:$AH$1849,6,FALSE)</f>
        <v>Electrosurgical Units, Monopolar/Bipolar</v>
      </c>
      <c r="KBA102" s="528" t="s">
        <v>213</v>
      </c>
      <c r="KBB102" s="529" t="str">
        <f>VLOOKUP(KBA102,[14]AssetDetails_UEM!$A$3:$AH$1849,6,FALSE)</f>
        <v>Electrosurgical Units, Monopolar/Bipolar</v>
      </c>
      <c r="KBC102" s="528" t="s">
        <v>213</v>
      </c>
      <c r="KBD102" s="529" t="str">
        <f>VLOOKUP(KBC102,[14]AssetDetails_UEM!$A$3:$AH$1849,6,FALSE)</f>
        <v>Electrosurgical Units, Monopolar/Bipolar</v>
      </c>
      <c r="KBE102" s="528" t="s">
        <v>213</v>
      </c>
      <c r="KBF102" s="529" t="str">
        <f>VLOOKUP(KBE102,[14]AssetDetails_UEM!$A$3:$AH$1849,6,FALSE)</f>
        <v>Electrosurgical Units, Monopolar/Bipolar</v>
      </c>
      <c r="KBG102" s="528" t="s">
        <v>213</v>
      </c>
      <c r="KBH102" s="529" t="str">
        <f>VLOOKUP(KBG102,[14]AssetDetails_UEM!$A$3:$AH$1849,6,FALSE)</f>
        <v>Electrosurgical Units, Monopolar/Bipolar</v>
      </c>
      <c r="KBI102" s="528" t="s">
        <v>213</v>
      </c>
      <c r="KBJ102" s="529" t="str">
        <f>VLOOKUP(KBI102,[14]AssetDetails_UEM!$A$3:$AH$1849,6,FALSE)</f>
        <v>Electrosurgical Units, Monopolar/Bipolar</v>
      </c>
      <c r="KBK102" s="528" t="s">
        <v>213</v>
      </c>
      <c r="KBL102" s="529" t="str">
        <f>VLOOKUP(KBK102,[14]AssetDetails_UEM!$A$3:$AH$1849,6,FALSE)</f>
        <v>Electrosurgical Units, Monopolar/Bipolar</v>
      </c>
      <c r="KBM102" s="528" t="s">
        <v>213</v>
      </c>
      <c r="KBN102" s="529" t="str">
        <f>VLOOKUP(KBM102,[14]AssetDetails_UEM!$A$3:$AH$1849,6,FALSE)</f>
        <v>Electrosurgical Units, Monopolar/Bipolar</v>
      </c>
      <c r="KBO102" s="528" t="s">
        <v>213</v>
      </c>
      <c r="KBP102" s="529" t="str">
        <f>VLOOKUP(KBO102,[14]AssetDetails_UEM!$A$3:$AH$1849,6,FALSE)</f>
        <v>Electrosurgical Units, Monopolar/Bipolar</v>
      </c>
      <c r="KBQ102" s="528" t="s">
        <v>213</v>
      </c>
      <c r="KBR102" s="529" t="str">
        <f>VLOOKUP(KBQ102,[14]AssetDetails_UEM!$A$3:$AH$1849,6,FALSE)</f>
        <v>Electrosurgical Units, Monopolar/Bipolar</v>
      </c>
      <c r="KBS102" s="528" t="s">
        <v>213</v>
      </c>
      <c r="KBT102" s="529" t="str">
        <f>VLOOKUP(KBS102,[14]AssetDetails_UEM!$A$3:$AH$1849,6,FALSE)</f>
        <v>Electrosurgical Units, Monopolar/Bipolar</v>
      </c>
      <c r="KBU102" s="528" t="s">
        <v>213</v>
      </c>
      <c r="KBV102" s="529" t="str">
        <f>VLOOKUP(KBU102,[14]AssetDetails_UEM!$A$3:$AH$1849,6,FALSE)</f>
        <v>Electrosurgical Units, Monopolar/Bipolar</v>
      </c>
      <c r="KBW102" s="528" t="s">
        <v>213</v>
      </c>
      <c r="KBX102" s="529" t="str">
        <f>VLOOKUP(KBW102,[14]AssetDetails_UEM!$A$3:$AH$1849,6,FALSE)</f>
        <v>Electrosurgical Units, Monopolar/Bipolar</v>
      </c>
      <c r="KBY102" s="528" t="s">
        <v>213</v>
      </c>
      <c r="KBZ102" s="529" t="str">
        <f>VLOOKUP(KBY102,[14]AssetDetails_UEM!$A$3:$AH$1849,6,FALSE)</f>
        <v>Electrosurgical Units, Monopolar/Bipolar</v>
      </c>
      <c r="KCA102" s="528" t="s">
        <v>213</v>
      </c>
      <c r="KCB102" s="529" t="str">
        <f>VLOOKUP(KCA102,[14]AssetDetails_UEM!$A$3:$AH$1849,6,FALSE)</f>
        <v>Electrosurgical Units, Monopolar/Bipolar</v>
      </c>
      <c r="KCC102" s="528" t="s">
        <v>213</v>
      </c>
      <c r="KCD102" s="529" t="str">
        <f>VLOOKUP(KCC102,[14]AssetDetails_UEM!$A$3:$AH$1849,6,FALSE)</f>
        <v>Electrosurgical Units, Monopolar/Bipolar</v>
      </c>
      <c r="KCE102" s="528" t="s">
        <v>213</v>
      </c>
      <c r="KCF102" s="529" t="str">
        <f>VLOOKUP(KCE102,[14]AssetDetails_UEM!$A$3:$AH$1849,6,FALSE)</f>
        <v>Electrosurgical Units, Monopolar/Bipolar</v>
      </c>
      <c r="KCG102" s="528" t="s">
        <v>213</v>
      </c>
      <c r="KCH102" s="529" t="str">
        <f>VLOOKUP(KCG102,[14]AssetDetails_UEM!$A$3:$AH$1849,6,FALSE)</f>
        <v>Electrosurgical Units, Monopolar/Bipolar</v>
      </c>
      <c r="KCI102" s="528" t="s">
        <v>213</v>
      </c>
      <c r="KCJ102" s="529" t="str">
        <f>VLOOKUP(KCI102,[14]AssetDetails_UEM!$A$3:$AH$1849,6,FALSE)</f>
        <v>Electrosurgical Units, Monopolar/Bipolar</v>
      </c>
      <c r="KCK102" s="528" t="s">
        <v>213</v>
      </c>
      <c r="KCL102" s="529" t="str">
        <f>VLOOKUP(KCK102,[14]AssetDetails_UEM!$A$3:$AH$1849,6,FALSE)</f>
        <v>Electrosurgical Units, Monopolar/Bipolar</v>
      </c>
      <c r="KCM102" s="528" t="s">
        <v>213</v>
      </c>
      <c r="KCN102" s="529" t="str">
        <f>VLOOKUP(KCM102,[14]AssetDetails_UEM!$A$3:$AH$1849,6,FALSE)</f>
        <v>Electrosurgical Units, Monopolar/Bipolar</v>
      </c>
      <c r="KCO102" s="528" t="s">
        <v>213</v>
      </c>
      <c r="KCP102" s="529" t="str">
        <f>VLOOKUP(KCO102,[14]AssetDetails_UEM!$A$3:$AH$1849,6,FALSE)</f>
        <v>Electrosurgical Units, Monopolar/Bipolar</v>
      </c>
      <c r="KCQ102" s="528" t="s">
        <v>213</v>
      </c>
      <c r="KCR102" s="529" t="str">
        <f>VLOOKUP(KCQ102,[14]AssetDetails_UEM!$A$3:$AH$1849,6,FALSE)</f>
        <v>Electrosurgical Units, Monopolar/Bipolar</v>
      </c>
      <c r="KCS102" s="528" t="s">
        <v>213</v>
      </c>
      <c r="KCT102" s="529" t="str">
        <f>VLOOKUP(KCS102,[14]AssetDetails_UEM!$A$3:$AH$1849,6,FALSE)</f>
        <v>Electrosurgical Units, Monopolar/Bipolar</v>
      </c>
      <c r="KCU102" s="528" t="s">
        <v>213</v>
      </c>
      <c r="KCV102" s="529" t="str">
        <f>VLOOKUP(KCU102,[14]AssetDetails_UEM!$A$3:$AH$1849,6,FALSE)</f>
        <v>Electrosurgical Units, Monopolar/Bipolar</v>
      </c>
      <c r="KCW102" s="528" t="s">
        <v>213</v>
      </c>
      <c r="KCX102" s="529" t="str">
        <f>VLOOKUP(KCW102,[14]AssetDetails_UEM!$A$3:$AH$1849,6,FALSE)</f>
        <v>Electrosurgical Units, Monopolar/Bipolar</v>
      </c>
      <c r="KCY102" s="528" t="s">
        <v>213</v>
      </c>
      <c r="KCZ102" s="529" t="str">
        <f>VLOOKUP(KCY102,[14]AssetDetails_UEM!$A$3:$AH$1849,6,FALSE)</f>
        <v>Electrosurgical Units, Monopolar/Bipolar</v>
      </c>
      <c r="KDA102" s="528" t="s">
        <v>213</v>
      </c>
      <c r="KDB102" s="529" t="str">
        <f>VLOOKUP(KDA102,[14]AssetDetails_UEM!$A$3:$AH$1849,6,FALSE)</f>
        <v>Electrosurgical Units, Monopolar/Bipolar</v>
      </c>
      <c r="KDC102" s="528" t="s">
        <v>213</v>
      </c>
      <c r="KDD102" s="529" t="str">
        <f>VLOOKUP(KDC102,[14]AssetDetails_UEM!$A$3:$AH$1849,6,FALSE)</f>
        <v>Electrosurgical Units, Monopolar/Bipolar</v>
      </c>
      <c r="KDE102" s="528" t="s">
        <v>213</v>
      </c>
      <c r="KDF102" s="529" t="str">
        <f>VLOOKUP(KDE102,[14]AssetDetails_UEM!$A$3:$AH$1849,6,FALSE)</f>
        <v>Electrosurgical Units, Monopolar/Bipolar</v>
      </c>
      <c r="KDG102" s="528" t="s">
        <v>213</v>
      </c>
      <c r="KDH102" s="529" t="str">
        <f>VLOOKUP(KDG102,[14]AssetDetails_UEM!$A$3:$AH$1849,6,FALSE)</f>
        <v>Electrosurgical Units, Monopolar/Bipolar</v>
      </c>
      <c r="KDI102" s="528" t="s">
        <v>213</v>
      </c>
      <c r="KDJ102" s="529" t="str">
        <f>VLOOKUP(KDI102,[14]AssetDetails_UEM!$A$3:$AH$1849,6,FALSE)</f>
        <v>Electrosurgical Units, Monopolar/Bipolar</v>
      </c>
      <c r="KDK102" s="528" t="s">
        <v>213</v>
      </c>
      <c r="KDL102" s="529" t="str">
        <f>VLOOKUP(KDK102,[14]AssetDetails_UEM!$A$3:$AH$1849,6,FALSE)</f>
        <v>Electrosurgical Units, Monopolar/Bipolar</v>
      </c>
      <c r="KDM102" s="528" t="s">
        <v>213</v>
      </c>
      <c r="KDN102" s="529" t="str">
        <f>VLOOKUP(KDM102,[14]AssetDetails_UEM!$A$3:$AH$1849,6,FALSE)</f>
        <v>Electrosurgical Units, Monopolar/Bipolar</v>
      </c>
      <c r="KDO102" s="528" t="s">
        <v>213</v>
      </c>
      <c r="KDP102" s="529" t="str">
        <f>VLOOKUP(KDO102,[14]AssetDetails_UEM!$A$3:$AH$1849,6,FALSE)</f>
        <v>Electrosurgical Units, Monopolar/Bipolar</v>
      </c>
      <c r="KDQ102" s="528" t="s">
        <v>213</v>
      </c>
      <c r="KDR102" s="529" t="str">
        <f>VLOOKUP(KDQ102,[14]AssetDetails_UEM!$A$3:$AH$1849,6,FALSE)</f>
        <v>Electrosurgical Units, Monopolar/Bipolar</v>
      </c>
      <c r="KDS102" s="528" t="s">
        <v>213</v>
      </c>
      <c r="KDT102" s="529" t="str">
        <f>VLOOKUP(KDS102,[14]AssetDetails_UEM!$A$3:$AH$1849,6,FALSE)</f>
        <v>Electrosurgical Units, Monopolar/Bipolar</v>
      </c>
      <c r="KDU102" s="528" t="s">
        <v>213</v>
      </c>
      <c r="KDV102" s="529" t="str">
        <f>VLOOKUP(KDU102,[14]AssetDetails_UEM!$A$3:$AH$1849,6,FALSE)</f>
        <v>Electrosurgical Units, Monopolar/Bipolar</v>
      </c>
      <c r="KDW102" s="528" t="s">
        <v>213</v>
      </c>
      <c r="KDX102" s="529" t="str">
        <f>VLOOKUP(KDW102,[14]AssetDetails_UEM!$A$3:$AH$1849,6,FALSE)</f>
        <v>Electrosurgical Units, Monopolar/Bipolar</v>
      </c>
      <c r="KDY102" s="528" t="s">
        <v>213</v>
      </c>
      <c r="KDZ102" s="529" t="str">
        <f>VLOOKUP(KDY102,[14]AssetDetails_UEM!$A$3:$AH$1849,6,FALSE)</f>
        <v>Electrosurgical Units, Monopolar/Bipolar</v>
      </c>
      <c r="KEA102" s="528" t="s">
        <v>213</v>
      </c>
      <c r="KEB102" s="529" t="str">
        <f>VLOOKUP(KEA102,[14]AssetDetails_UEM!$A$3:$AH$1849,6,FALSE)</f>
        <v>Electrosurgical Units, Monopolar/Bipolar</v>
      </c>
      <c r="KEC102" s="528" t="s">
        <v>213</v>
      </c>
      <c r="KED102" s="529" t="str">
        <f>VLOOKUP(KEC102,[14]AssetDetails_UEM!$A$3:$AH$1849,6,FALSE)</f>
        <v>Electrosurgical Units, Monopolar/Bipolar</v>
      </c>
      <c r="KEE102" s="528" t="s">
        <v>213</v>
      </c>
      <c r="KEF102" s="529" t="str">
        <f>VLOOKUP(KEE102,[14]AssetDetails_UEM!$A$3:$AH$1849,6,FALSE)</f>
        <v>Electrosurgical Units, Monopolar/Bipolar</v>
      </c>
      <c r="KEG102" s="528" t="s">
        <v>213</v>
      </c>
      <c r="KEH102" s="529" t="str">
        <f>VLOOKUP(KEG102,[14]AssetDetails_UEM!$A$3:$AH$1849,6,FALSE)</f>
        <v>Electrosurgical Units, Monopolar/Bipolar</v>
      </c>
      <c r="KEI102" s="528" t="s">
        <v>213</v>
      </c>
      <c r="KEJ102" s="529" t="str">
        <f>VLOOKUP(KEI102,[14]AssetDetails_UEM!$A$3:$AH$1849,6,FALSE)</f>
        <v>Electrosurgical Units, Monopolar/Bipolar</v>
      </c>
      <c r="KEK102" s="528" t="s">
        <v>213</v>
      </c>
      <c r="KEL102" s="529" t="str">
        <f>VLOOKUP(KEK102,[14]AssetDetails_UEM!$A$3:$AH$1849,6,FALSE)</f>
        <v>Electrosurgical Units, Monopolar/Bipolar</v>
      </c>
      <c r="KEM102" s="528" t="s">
        <v>213</v>
      </c>
      <c r="KEN102" s="529" t="str">
        <f>VLOOKUP(KEM102,[14]AssetDetails_UEM!$A$3:$AH$1849,6,FALSE)</f>
        <v>Electrosurgical Units, Monopolar/Bipolar</v>
      </c>
      <c r="KEO102" s="528" t="s">
        <v>213</v>
      </c>
      <c r="KEP102" s="529" t="str">
        <f>VLOOKUP(KEO102,[14]AssetDetails_UEM!$A$3:$AH$1849,6,FALSE)</f>
        <v>Electrosurgical Units, Monopolar/Bipolar</v>
      </c>
      <c r="KEQ102" s="528" t="s">
        <v>213</v>
      </c>
      <c r="KER102" s="529" t="str">
        <f>VLOOKUP(KEQ102,[14]AssetDetails_UEM!$A$3:$AH$1849,6,FALSE)</f>
        <v>Electrosurgical Units, Monopolar/Bipolar</v>
      </c>
      <c r="KES102" s="528" t="s">
        <v>213</v>
      </c>
      <c r="KET102" s="529" t="str">
        <f>VLOOKUP(KES102,[14]AssetDetails_UEM!$A$3:$AH$1849,6,FALSE)</f>
        <v>Electrosurgical Units, Monopolar/Bipolar</v>
      </c>
      <c r="KEU102" s="528" t="s">
        <v>213</v>
      </c>
      <c r="KEV102" s="529" t="str">
        <f>VLOOKUP(KEU102,[14]AssetDetails_UEM!$A$3:$AH$1849,6,FALSE)</f>
        <v>Electrosurgical Units, Monopolar/Bipolar</v>
      </c>
      <c r="KEW102" s="528" t="s">
        <v>213</v>
      </c>
      <c r="KEX102" s="529" t="str">
        <f>VLOOKUP(KEW102,[14]AssetDetails_UEM!$A$3:$AH$1849,6,FALSE)</f>
        <v>Electrosurgical Units, Monopolar/Bipolar</v>
      </c>
      <c r="KEY102" s="528" t="s">
        <v>213</v>
      </c>
      <c r="KEZ102" s="529" t="str">
        <f>VLOOKUP(KEY102,[14]AssetDetails_UEM!$A$3:$AH$1849,6,FALSE)</f>
        <v>Electrosurgical Units, Monopolar/Bipolar</v>
      </c>
      <c r="KFA102" s="528" t="s">
        <v>213</v>
      </c>
      <c r="KFB102" s="529" t="str">
        <f>VLOOKUP(KFA102,[14]AssetDetails_UEM!$A$3:$AH$1849,6,FALSE)</f>
        <v>Electrosurgical Units, Monopolar/Bipolar</v>
      </c>
      <c r="KFC102" s="528" t="s">
        <v>213</v>
      </c>
      <c r="KFD102" s="529" t="str">
        <f>VLOOKUP(KFC102,[14]AssetDetails_UEM!$A$3:$AH$1849,6,FALSE)</f>
        <v>Electrosurgical Units, Monopolar/Bipolar</v>
      </c>
      <c r="KFE102" s="528" t="s">
        <v>213</v>
      </c>
      <c r="KFF102" s="529" t="str">
        <f>VLOOKUP(KFE102,[14]AssetDetails_UEM!$A$3:$AH$1849,6,FALSE)</f>
        <v>Electrosurgical Units, Monopolar/Bipolar</v>
      </c>
      <c r="KFG102" s="528" t="s">
        <v>213</v>
      </c>
      <c r="KFH102" s="529" t="str">
        <f>VLOOKUP(KFG102,[14]AssetDetails_UEM!$A$3:$AH$1849,6,FALSE)</f>
        <v>Electrosurgical Units, Monopolar/Bipolar</v>
      </c>
      <c r="KFI102" s="528" t="s">
        <v>213</v>
      </c>
      <c r="KFJ102" s="529" t="str">
        <f>VLOOKUP(KFI102,[14]AssetDetails_UEM!$A$3:$AH$1849,6,FALSE)</f>
        <v>Electrosurgical Units, Monopolar/Bipolar</v>
      </c>
      <c r="KFK102" s="528" t="s">
        <v>213</v>
      </c>
      <c r="KFL102" s="529" t="str">
        <f>VLOOKUP(KFK102,[14]AssetDetails_UEM!$A$3:$AH$1849,6,FALSE)</f>
        <v>Electrosurgical Units, Monopolar/Bipolar</v>
      </c>
      <c r="KFM102" s="528" t="s">
        <v>213</v>
      </c>
      <c r="KFN102" s="529" t="str">
        <f>VLOOKUP(KFM102,[14]AssetDetails_UEM!$A$3:$AH$1849,6,FALSE)</f>
        <v>Electrosurgical Units, Monopolar/Bipolar</v>
      </c>
      <c r="KFO102" s="528" t="s">
        <v>213</v>
      </c>
      <c r="KFP102" s="529" t="str">
        <f>VLOOKUP(KFO102,[14]AssetDetails_UEM!$A$3:$AH$1849,6,FALSE)</f>
        <v>Electrosurgical Units, Monopolar/Bipolar</v>
      </c>
      <c r="KFQ102" s="528" t="s">
        <v>213</v>
      </c>
      <c r="KFR102" s="529" t="str">
        <f>VLOOKUP(KFQ102,[14]AssetDetails_UEM!$A$3:$AH$1849,6,FALSE)</f>
        <v>Electrosurgical Units, Monopolar/Bipolar</v>
      </c>
      <c r="KFS102" s="528" t="s">
        <v>213</v>
      </c>
      <c r="KFT102" s="529" t="str">
        <f>VLOOKUP(KFS102,[14]AssetDetails_UEM!$A$3:$AH$1849,6,FALSE)</f>
        <v>Electrosurgical Units, Monopolar/Bipolar</v>
      </c>
      <c r="KFU102" s="528" t="s">
        <v>213</v>
      </c>
      <c r="KFV102" s="529" t="str">
        <f>VLOOKUP(KFU102,[14]AssetDetails_UEM!$A$3:$AH$1849,6,FALSE)</f>
        <v>Electrosurgical Units, Monopolar/Bipolar</v>
      </c>
      <c r="KFW102" s="528" t="s">
        <v>213</v>
      </c>
      <c r="KFX102" s="529" t="str">
        <f>VLOOKUP(KFW102,[14]AssetDetails_UEM!$A$3:$AH$1849,6,FALSE)</f>
        <v>Electrosurgical Units, Monopolar/Bipolar</v>
      </c>
      <c r="KFY102" s="528" t="s">
        <v>213</v>
      </c>
      <c r="KFZ102" s="529" t="str">
        <f>VLOOKUP(KFY102,[14]AssetDetails_UEM!$A$3:$AH$1849,6,FALSE)</f>
        <v>Electrosurgical Units, Monopolar/Bipolar</v>
      </c>
      <c r="KGA102" s="528" t="s">
        <v>213</v>
      </c>
      <c r="KGB102" s="529" t="str">
        <f>VLOOKUP(KGA102,[14]AssetDetails_UEM!$A$3:$AH$1849,6,FALSE)</f>
        <v>Electrosurgical Units, Monopolar/Bipolar</v>
      </c>
      <c r="KGC102" s="528" t="s">
        <v>213</v>
      </c>
      <c r="KGD102" s="529" t="str">
        <f>VLOOKUP(KGC102,[14]AssetDetails_UEM!$A$3:$AH$1849,6,FALSE)</f>
        <v>Electrosurgical Units, Monopolar/Bipolar</v>
      </c>
      <c r="KGE102" s="528" t="s">
        <v>213</v>
      </c>
      <c r="KGF102" s="529" t="str">
        <f>VLOOKUP(KGE102,[14]AssetDetails_UEM!$A$3:$AH$1849,6,FALSE)</f>
        <v>Electrosurgical Units, Monopolar/Bipolar</v>
      </c>
      <c r="KGG102" s="528" t="s">
        <v>213</v>
      </c>
      <c r="KGH102" s="529" t="str">
        <f>VLOOKUP(KGG102,[14]AssetDetails_UEM!$A$3:$AH$1849,6,FALSE)</f>
        <v>Electrosurgical Units, Monopolar/Bipolar</v>
      </c>
      <c r="KGI102" s="528" t="s">
        <v>213</v>
      </c>
      <c r="KGJ102" s="529" t="str">
        <f>VLOOKUP(KGI102,[14]AssetDetails_UEM!$A$3:$AH$1849,6,FALSE)</f>
        <v>Electrosurgical Units, Monopolar/Bipolar</v>
      </c>
      <c r="KGK102" s="528" t="s">
        <v>213</v>
      </c>
      <c r="KGL102" s="529" t="str">
        <f>VLOOKUP(KGK102,[14]AssetDetails_UEM!$A$3:$AH$1849,6,FALSE)</f>
        <v>Electrosurgical Units, Monopolar/Bipolar</v>
      </c>
      <c r="KGM102" s="528" t="s">
        <v>213</v>
      </c>
      <c r="KGN102" s="529" t="str">
        <f>VLOOKUP(KGM102,[14]AssetDetails_UEM!$A$3:$AH$1849,6,FALSE)</f>
        <v>Electrosurgical Units, Monopolar/Bipolar</v>
      </c>
      <c r="KGO102" s="528" t="s">
        <v>213</v>
      </c>
      <c r="KGP102" s="529" t="str">
        <f>VLOOKUP(KGO102,[14]AssetDetails_UEM!$A$3:$AH$1849,6,FALSE)</f>
        <v>Electrosurgical Units, Monopolar/Bipolar</v>
      </c>
      <c r="KGQ102" s="528" t="s">
        <v>213</v>
      </c>
      <c r="KGR102" s="529" t="str">
        <f>VLOOKUP(KGQ102,[14]AssetDetails_UEM!$A$3:$AH$1849,6,FALSE)</f>
        <v>Electrosurgical Units, Monopolar/Bipolar</v>
      </c>
      <c r="KGS102" s="528" t="s">
        <v>213</v>
      </c>
      <c r="KGT102" s="529" t="str">
        <f>VLOOKUP(KGS102,[14]AssetDetails_UEM!$A$3:$AH$1849,6,FALSE)</f>
        <v>Electrosurgical Units, Monopolar/Bipolar</v>
      </c>
      <c r="KGU102" s="528" t="s">
        <v>213</v>
      </c>
      <c r="KGV102" s="529" t="str">
        <f>VLOOKUP(KGU102,[14]AssetDetails_UEM!$A$3:$AH$1849,6,FALSE)</f>
        <v>Electrosurgical Units, Monopolar/Bipolar</v>
      </c>
      <c r="KGW102" s="528" t="s">
        <v>213</v>
      </c>
      <c r="KGX102" s="529" t="str">
        <f>VLOOKUP(KGW102,[14]AssetDetails_UEM!$A$3:$AH$1849,6,FALSE)</f>
        <v>Electrosurgical Units, Monopolar/Bipolar</v>
      </c>
      <c r="KGY102" s="528" t="s">
        <v>213</v>
      </c>
      <c r="KGZ102" s="529" t="str">
        <f>VLOOKUP(KGY102,[14]AssetDetails_UEM!$A$3:$AH$1849,6,FALSE)</f>
        <v>Electrosurgical Units, Monopolar/Bipolar</v>
      </c>
      <c r="KHA102" s="528" t="s">
        <v>213</v>
      </c>
      <c r="KHB102" s="529" t="str">
        <f>VLOOKUP(KHA102,[14]AssetDetails_UEM!$A$3:$AH$1849,6,FALSE)</f>
        <v>Electrosurgical Units, Monopolar/Bipolar</v>
      </c>
      <c r="KHC102" s="528" t="s">
        <v>213</v>
      </c>
      <c r="KHD102" s="529" t="str">
        <f>VLOOKUP(KHC102,[14]AssetDetails_UEM!$A$3:$AH$1849,6,FALSE)</f>
        <v>Electrosurgical Units, Monopolar/Bipolar</v>
      </c>
      <c r="KHE102" s="528" t="s">
        <v>213</v>
      </c>
      <c r="KHF102" s="529" t="str">
        <f>VLOOKUP(KHE102,[14]AssetDetails_UEM!$A$3:$AH$1849,6,FALSE)</f>
        <v>Electrosurgical Units, Monopolar/Bipolar</v>
      </c>
      <c r="KHG102" s="528" t="s">
        <v>213</v>
      </c>
      <c r="KHH102" s="529" t="str">
        <f>VLOOKUP(KHG102,[14]AssetDetails_UEM!$A$3:$AH$1849,6,FALSE)</f>
        <v>Electrosurgical Units, Monopolar/Bipolar</v>
      </c>
      <c r="KHI102" s="528" t="s">
        <v>213</v>
      </c>
      <c r="KHJ102" s="529" t="str">
        <f>VLOOKUP(KHI102,[14]AssetDetails_UEM!$A$3:$AH$1849,6,FALSE)</f>
        <v>Electrosurgical Units, Monopolar/Bipolar</v>
      </c>
      <c r="KHK102" s="528" t="s">
        <v>213</v>
      </c>
      <c r="KHL102" s="529" t="str">
        <f>VLOOKUP(KHK102,[14]AssetDetails_UEM!$A$3:$AH$1849,6,FALSE)</f>
        <v>Electrosurgical Units, Monopolar/Bipolar</v>
      </c>
      <c r="KHM102" s="528" t="s">
        <v>213</v>
      </c>
      <c r="KHN102" s="529" t="str">
        <f>VLOOKUP(KHM102,[14]AssetDetails_UEM!$A$3:$AH$1849,6,FALSE)</f>
        <v>Electrosurgical Units, Monopolar/Bipolar</v>
      </c>
      <c r="KHO102" s="528" t="s">
        <v>213</v>
      </c>
      <c r="KHP102" s="529" t="str">
        <f>VLOOKUP(KHO102,[14]AssetDetails_UEM!$A$3:$AH$1849,6,FALSE)</f>
        <v>Electrosurgical Units, Monopolar/Bipolar</v>
      </c>
      <c r="KHQ102" s="528" t="s">
        <v>213</v>
      </c>
      <c r="KHR102" s="529" t="str">
        <f>VLOOKUP(KHQ102,[14]AssetDetails_UEM!$A$3:$AH$1849,6,FALSE)</f>
        <v>Electrosurgical Units, Monopolar/Bipolar</v>
      </c>
      <c r="KHS102" s="528" t="s">
        <v>213</v>
      </c>
      <c r="KHT102" s="529" t="str">
        <f>VLOOKUP(KHS102,[14]AssetDetails_UEM!$A$3:$AH$1849,6,FALSE)</f>
        <v>Electrosurgical Units, Monopolar/Bipolar</v>
      </c>
      <c r="KHU102" s="528" t="s">
        <v>213</v>
      </c>
      <c r="KHV102" s="529" t="str">
        <f>VLOOKUP(KHU102,[14]AssetDetails_UEM!$A$3:$AH$1849,6,FALSE)</f>
        <v>Electrosurgical Units, Monopolar/Bipolar</v>
      </c>
      <c r="KHW102" s="528" t="s">
        <v>213</v>
      </c>
      <c r="KHX102" s="529" t="str">
        <f>VLOOKUP(KHW102,[14]AssetDetails_UEM!$A$3:$AH$1849,6,FALSE)</f>
        <v>Electrosurgical Units, Monopolar/Bipolar</v>
      </c>
      <c r="KHY102" s="528" t="s">
        <v>213</v>
      </c>
      <c r="KHZ102" s="529" t="str">
        <f>VLOOKUP(KHY102,[14]AssetDetails_UEM!$A$3:$AH$1849,6,FALSE)</f>
        <v>Electrosurgical Units, Monopolar/Bipolar</v>
      </c>
      <c r="KIA102" s="528" t="s">
        <v>213</v>
      </c>
      <c r="KIB102" s="529" t="str">
        <f>VLOOKUP(KIA102,[14]AssetDetails_UEM!$A$3:$AH$1849,6,FALSE)</f>
        <v>Electrosurgical Units, Monopolar/Bipolar</v>
      </c>
      <c r="KIC102" s="528" t="s">
        <v>213</v>
      </c>
      <c r="KID102" s="529" t="str">
        <f>VLOOKUP(KIC102,[14]AssetDetails_UEM!$A$3:$AH$1849,6,FALSE)</f>
        <v>Electrosurgical Units, Monopolar/Bipolar</v>
      </c>
      <c r="KIE102" s="528" t="s">
        <v>213</v>
      </c>
      <c r="KIF102" s="529" t="str">
        <f>VLOOKUP(KIE102,[14]AssetDetails_UEM!$A$3:$AH$1849,6,FALSE)</f>
        <v>Electrosurgical Units, Monopolar/Bipolar</v>
      </c>
      <c r="KIG102" s="528" t="s">
        <v>213</v>
      </c>
      <c r="KIH102" s="529" t="str">
        <f>VLOOKUP(KIG102,[14]AssetDetails_UEM!$A$3:$AH$1849,6,FALSE)</f>
        <v>Electrosurgical Units, Monopolar/Bipolar</v>
      </c>
      <c r="KII102" s="528" t="s">
        <v>213</v>
      </c>
      <c r="KIJ102" s="529" t="str">
        <f>VLOOKUP(KII102,[14]AssetDetails_UEM!$A$3:$AH$1849,6,FALSE)</f>
        <v>Electrosurgical Units, Monopolar/Bipolar</v>
      </c>
      <c r="KIK102" s="528" t="s">
        <v>213</v>
      </c>
      <c r="KIL102" s="529" t="str">
        <f>VLOOKUP(KIK102,[14]AssetDetails_UEM!$A$3:$AH$1849,6,FALSE)</f>
        <v>Electrosurgical Units, Monopolar/Bipolar</v>
      </c>
      <c r="KIM102" s="528" t="s">
        <v>213</v>
      </c>
      <c r="KIN102" s="529" t="str">
        <f>VLOOKUP(KIM102,[14]AssetDetails_UEM!$A$3:$AH$1849,6,FALSE)</f>
        <v>Electrosurgical Units, Monopolar/Bipolar</v>
      </c>
      <c r="KIO102" s="528" t="s">
        <v>213</v>
      </c>
      <c r="KIP102" s="529" t="str">
        <f>VLOOKUP(KIO102,[14]AssetDetails_UEM!$A$3:$AH$1849,6,FALSE)</f>
        <v>Electrosurgical Units, Monopolar/Bipolar</v>
      </c>
      <c r="KIQ102" s="528" t="s">
        <v>213</v>
      </c>
      <c r="KIR102" s="529" t="str">
        <f>VLOOKUP(KIQ102,[14]AssetDetails_UEM!$A$3:$AH$1849,6,FALSE)</f>
        <v>Electrosurgical Units, Monopolar/Bipolar</v>
      </c>
      <c r="KIS102" s="528" t="s">
        <v>213</v>
      </c>
      <c r="KIT102" s="529" t="str">
        <f>VLOOKUP(KIS102,[14]AssetDetails_UEM!$A$3:$AH$1849,6,FALSE)</f>
        <v>Electrosurgical Units, Monopolar/Bipolar</v>
      </c>
      <c r="KIU102" s="528" t="s">
        <v>213</v>
      </c>
      <c r="KIV102" s="529" t="str">
        <f>VLOOKUP(KIU102,[14]AssetDetails_UEM!$A$3:$AH$1849,6,FALSE)</f>
        <v>Electrosurgical Units, Monopolar/Bipolar</v>
      </c>
      <c r="KIW102" s="528" t="s">
        <v>213</v>
      </c>
      <c r="KIX102" s="529" t="str">
        <f>VLOOKUP(KIW102,[14]AssetDetails_UEM!$A$3:$AH$1849,6,FALSE)</f>
        <v>Electrosurgical Units, Monopolar/Bipolar</v>
      </c>
      <c r="KIY102" s="528" t="s">
        <v>213</v>
      </c>
      <c r="KIZ102" s="529" t="str">
        <f>VLOOKUP(KIY102,[14]AssetDetails_UEM!$A$3:$AH$1849,6,FALSE)</f>
        <v>Electrosurgical Units, Monopolar/Bipolar</v>
      </c>
      <c r="KJA102" s="528" t="s">
        <v>213</v>
      </c>
      <c r="KJB102" s="529" t="str">
        <f>VLOOKUP(KJA102,[14]AssetDetails_UEM!$A$3:$AH$1849,6,FALSE)</f>
        <v>Electrosurgical Units, Monopolar/Bipolar</v>
      </c>
      <c r="KJC102" s="528" t="s">
        <v>213</v>
      </c>
      <c r="KJD102" s="529" t="str">
        <f>VLOOKUP(KJC102,[14]AssetDetails_UEM!$A$3:$AH$1849,6,FALSE)</f>
        <v>Electrosurgical Units, Monopolar/Bipolar</v>
      </c>
      <c r="KJE102" s="528" t="s">
        <v>213</v>
      </c>
      <c r="KJF102" s="529" t="str">
        <f>VLOOKUP(KJE102,[14]AssetDetails_UEM!$A$3:$AH$1849,6,FALSE)</f>
        <v>Electrosurgical Units, Monopolar/Bipolar</v>
      </c>
      <c r="KJG102" s="528" t="s">
        <v>213</v>
      </c>
      <c r="KJH102" s="529" t="str">
        <f>VLOOKUP(KJG102,[14]AssetDetails_UEM!$A$3:$AH$1849,6,FALSE)</f>
        <v>Electrosurgical Units, Monopolar/Bipolar</v>
      </c>
      <c r="KJI102" s="528" t="s">
        <v>213</v>
      </c>
      <c r="KJJ102" s="529" t="str">
        <f>VLOOKUP(KJI102,[14]AssetDetails_UEM!$A$3:$AH$1849,6,FALSE)</f>
        <v>Electrosurgical Units, Monopolar/Bipolar</v>
      </c>
      <c r="KJK102" s="528" t="s">
        <v>213</v>
      </c>
      <c r="KJL102" s="529" t="str">
        <f>VLOOKUP(KJK102,[14]AssetDetails_UEM!$A$3:$AH$1849,6,FALSE)</f>
        <v>Electrosurgical Units, Monopolar/Bipolar</v>
      </c>
      <c r="KJM102" s="528" t="s">
        <v>213</v>
      </c>
      <c r="KJN102" s="529" t="str">
        <f>VLOOKUP(KJM102,[14]AssetDetails_UEM!$A$3:$AH$1849,6,FALSE)</f>
        <v>Electrosurgical Units, Monopolar/Bipolar</v>
      </c>
      <c r="KJO102" s="528" t="s">
        <v>213</v>
      </c>
      <c r="KJP102" s="529" t="str">
        <f>VLOOKUP(KJO102,[14]AssetDetails_UEM!$A$3:$AH$1849,6,FALSE)</f>
        <v>Electrosurgical Units, Monopolar/Bipolar</v>
      </c>
      <c r="KJQ102" s="528" t="s">
        <v>213</v>
      </c>
      <c r="KJR102" s="529" t="str">
        <f>VLOOKUP(KJQ102,[14]AssetDetails_UEM!$A$3:$AH$1849,6,FALSE)</f>
        <v>Electrosurgical Units, Monopolar/Bipolar</v>
      </c>
      <c r="KJS102" s="528" t="s">
        <v>213</v>
      </c>
      <c r="KJT102" s="529" t="str">
        <f>VLOOKUP(KJS102,[14]AssetDetails_UEM!$A$3:$AH$1849,6,FALSE)</f>
        <v>Electrosurgical Units, Monopolar/Bipolar</v>
      </c>
      <c r="KJU102" s="528" t="s">
        <v>213</v>
      </c>
      <c r="KJV102" s="529" t="str">
        <f>VLOOKUP(KJU102,[14]AssetDetails_UEM!$A$3:$AH$1849,6,FALSE)</f>
        <v>Electrosurgical Units, Monopolar/Bipolar</v>
      </c>
      <c r="KJW102" s="528" t="s">
        <v>213</v>
      </c>
      <c r="KJX102" s="529" t="str">
        <f>VLOOKUP(KJW102,[14]AssetDetails_UEM!$A$3:$AH$1849,6,FALSE)</f>
        <v>Electrosurgical Units, Monopolar/Bipolar</v>
      </c>
      <c r="KJY102" s="528" t="s">
        <v>213</v>
      </c>
      <c r="KJZ102" s="529" t="str">
        <f>VLOOKUP(KJY102,[14]AssetDetails_UEM!$A$3:$AH$1849,6,FALSE)</f>
        <v>Electrosurgical Units, Monopolar/Bipolar</v>
      </c>
      <c r="KKA102" s="528" t="s">
        <v>213</v>
      </c>
      <c r="KKB102" s="529" t="str">
        <f>VLOOKUP(KKA102,[14]AssetDetails_UEM!$A$3:$AH$1849,6,FALSE)</f>
        <v>Electrosurgical Units, Monopolar/Bipolar</v>
      </c>
      <c r="KKC102" s="528" t="s">
        <v>213</v>
      </c>
      <c r="KKD102" s="529" t="str">
        <f>VLOOKUP(KKC102,[14]AssetDetails_UEM!$A$3:$AH$1849,6,FALSE)</f>
        <v>Electrosurgical Units, Monopolar/Bipolar</v>
      </c>
      <c r="KKE102" s="528" t="s">
        <v>213</v>
      </c>
      <c r="KKF102" s="529" t="str">
        <f>VLOOKUP(KKE102,[14]AssetDetails_UEM!$A$3:$AH$1849,6,FALSE)</f>
        <v>Electrosurgical Units, Monopolar/Bipolar</v>
      </c>
      <c r="KKG102" s="528" t="s">
        <v>213</v>
      </c>
      <c r="KKH102" s="529" t="str">
        <f>VLOOKUP(KKG102,[14]AssetDetails_UEM!$A$3:$AH$1849,6,FALSE)</f>
        <v>Electrosurgical Units, Monopolar/Bipolar</v>
      </c>
      <c r="KKI102" s="528" t="s">
        <v>213</v>
      </c>
      <c r="KKJ102" s="529" t="str">
        <f>VLOOKUP(KKI102,[14]AssetDetails_UEM!$A$3:$AH$1849,6,FALSE)</f>
        <v>Electrosurgical Units, Monopolar/Bipolar</v>
      </c>
      <c r="KKK102" s="528" t="s">
        <v>213</v>
      </c>
      <c r="KKL102" s="529" t="str">
        <f>VLOOKUP(KKK102,[14]AssetDetails_UEM!$A$3:$AH$1849,6,FALSE)</f>
        <v>Electrosurgical Units, Monopolar/Bipolar</v>
      </c>
      <c r="KKM102" s="528" t="s">
        <v>213</v>
      </c>
      <c r="KKN102" s="529" t="str">
        <f>VLOOKUP(KKM102,[14]AssetDetails_UEM!$A$3:$AH$1849,6,FALSE)</f>
        <v>Electrosurgical Units, Monopolar/Bipolar</v>
      </c>
      <c r="KKO102" s="528" t="s">
        <v>213</v>
      </c>
      <c r="KKP102" s="529" t="str">
        <f>VLOOKUP(KKO102,[14]AssetDetails_UEM!$A$3:$AH$1849,6,FALSE)</f>
        <v>Electrosurgical Units, Monopolar/Bipolar</v>
      </c>
      <c r="KKQ102" s="528" t="s">
        <v>213</v>
      </c>
      <c r="KKR102" s="529" t="str">
        <f>VLOOKUP(KKQ102,[14]AssetDetails_UEM!$A$3:$AH$1849,6,FALSE)</f>
        <v>Electrosurgical Units, Monopolar/Bipolar</v>
      </c>
      <c r="KKS102" s="528" t="s">
        <v>213</v>
      </c>
      <c r="KKT102" s="529" t="str">
        <f>VLOOKUP(KKS102,[14]AssetDetails_UEM!$A$3:$AH$1849,6,FALSE)</f>
        <v>Electrosurgical Units, Monopolar/Bipolar</v>
      </c>
      <c r="KKU102" s="528" t="s">
        <v>213</v>
      </c>
      <c r="KKV102" s="529" t="str">
        <f>VLOOKUP(KKU102,[14]AssetDetails_UEM!$A$3:$AH$1849,6,FALSE)</f>
        <v>Electrosurgical Units, Monopolar/Bipolar</v>
      </c>
      <c r="KKW102" s="528" t="s">
        <v>213</v>
      </c>
      <c r="KKX102" s="529" t="str">
        <f>VLOOKUP(KKW102,[14]AssetDetails_UEM!$A$3:$AH$1849,6,FALSE)</f>
        <v>Electrosurgical Units, Monopolar/Bipolar</v>
      </c>
      <c r="KKY102" s="528" t="s">
        <v>213</v>
      </c>
      <c r="KKZ102" s="529" t="str">
        <f>VLOOKUP(KKY102,[14]AssetDetails_UEM!$A$3:$AH$1849,6,FALSE)</f>
        <v>Electrosurgical Units, Monopolar/Bipolar</v>
      </c>
      <c r="KLA102" s="528" t="s">
        <v>213</v>
      </c>
      <c r="KLB102" s="529" t="str">
        <f>VLOOKUP(KLA102,[14]AssetDetails_UEM!$A$3:$AH$1849,6,FALSE)</f>
        <v>Electrosurgical Units, Monopolar/Bipolar</v>
      </c>
      <c r="KLC102" s="528" t="s">
        <v>213</v>
      </c>
      <c r="KLD102" s="529" t="str">
        <f>VLOOKUP(KLC102,[14]AssetDetails_UEM!$A$3:$AH$1849,6,FALSE)</f>
        <v>Electrosurgical Units, Monopolar/Bipolar</v>
      </c>
      <c r="KLE102" s="528" t="s">
        <v>213</v>
      </c>
      <c r="KLF102" s="529" t="str">
        <f>VLOOKUP(KLE102,[14]AssetDetails_UEM!$A$3:$AH$1849,6,FALSE)</f>
        <v>Electrosurgical Units, Monopolar/Bipolar</v>
      </c>
      <c r="KLG102" s="528" t="s">
        <v>213</v>
      </c>
      <c r="KLH102" s="529" t="str">
        <f>VLOOKUP(KLG102,[14]AssetDetails_UEM!$A$3:$AH$1849,6,FALSE)</f>
        <v>Electrosurgical Units, Monopolar/Bipolar</v>
      </c>
      <c r="KLI102" s="528" t="s">
        <v>213</v>
      </c>
      <c r="KLJ102" s="529" t="str">
        <f>VLOOKUP(KLI102,[14]AssetDetails_UEM!$A$3:$AH$1849,6,FALSE)</f>
        <v>Electrosurgical Units, Monopolar/Bipolar</v>
      </c>
      <c r="KLK102" s="528" t="s">
        <v>213</v>
      </c>
      <c r="KLL102" s="529" t="str">
        <f>VLOOKUP(KLK102,[14]AssetDetails_UEM!$A$3:$AH$1849,6,FALSE)</f>
        <v>Electrosurgical Units, Monopolar/Bipolar</v>
      </c>
      <c r="KLM102" s="528" t="s">
        <v>213</v>
      </c>
      <c r="KLN102" s="529" t="str">
        <f>VLOOKUP(KLM102,[14]AssetDetails_UEM!$A$3:$AH$1849,6,FALSE)</f>
        <v>Electrosurgical Units, Monopolar/Bipolar</v>
      </c>
      <c r="KLO102" s="528" t="s">
        <v>213</v>
      </c>
      <c r="KLP102" s="529" t="str">
        <f>VLOOKUP(KLO102,[14]AssetDetails_UEM!$A$3:$AH$1849,6,FALSE)</f>
        <v>Electrosurgical Units, Monopolar/Bipolar</v>
      </c>
      <c r="KLQ102" s="528" t="s">
        <v>213</v>
      </c>
      <c r="KLR102" s="529" t="str">
        <f>VLOOKUP(KLQ102,[14]AssetDetails_UEM!$A$3:$AH$1849,6,FALSE)</f>
        <v>Electrosurgical Units, Monopolar/Bipolar</v>
      </c>
      <c r="KLS102" s="528" t="s">
        <v>213</v>
      </c>
      <c r="KLT102" s="529" t="str">
        <f>VLOOKUP(KLS102,[14]AssetDetails_UEM!$A$3:$AH$1849,6,FALSE)</f>
        <v>Electrosurgical Units, Monopolar/Bipolar</v>
      </c>
      <c r="KLU102" s="528" t="s">
        <v>213</v>
      </c>
      <c r="KLV102" s="529" t="str">
        <f>VLOOKUP(KLU102,[14]AssetDetails_UEM!$A$3:$AH$1849,6,FALSE)</f>
        <v>Electrosurgical Units, Monopolar/Bipolar</v>
      </c>
      <c r="KLW102" s="528" t="s">
        <v>213</v>
      </c>
      <c r="KLX102" s="529" t="str">
        <f>VLOOKUP(KLW102,[14]AssetDetails_UEM!$A$3:$AH$1849,6,FALSE)</f>
        <v>Electrosurgical Units, Monopolar/Bipolar</v>
      </c>
      <c r="KLY102" s="528" t="s">
        <v>213</v>
      </c>
      <c r="KLZ102" s="529" t="str">
        <f>VLOOKUP(KLY102,[14]AssetDetails_UEM!$A$3:$AH$1849,6,FALSE)</f>
        <v>Electrosurgical Units, Monopolar/Bipolar</v>
      </c>
      <c r="KMA102" s="528" t="s">
        <v>213</v>
      </c>
      <c r="KMB102" s="529" t="str">
        <f>VLOOKUP(KMA102,[14]AssetDetails_UEM!$A$3:$AH$1849,6,FALSE)</f>
        <v>Electrosurgical Units, Monopolar/Bipolar</v>
      </c>
      <c r="KMC102" s="528" t="s">
        <v>213</v>
      </c>
      <c r="KMD102" s="529" t="str">
        <f>VLOOKUP(KMC102,[14]AssetDetails_UEM!$A$3:$AH$1849,6,FALSE)</f>
        <v>Electrosurgical Units, Monopolar/Bipolar</v>
      </c>
      <c r="KME102" s="528" t="s">
        <v>213</v>
      </c>
      <c r="KMF102" s="529" t="str">
        <f>VLOOKUP(KME102,[14]AssetDetails_UEM!$A$3:$AH$1849,6,FALSE)</f>
        <v>Electrosurgical Units, Monopolar/Bipolar</v>
      </c>
      <c r="KMG102" s="528" t="s">
        <v>213</v>
      </c>
      <c r="KMH102" s="529" t="str">
        <f>VLOOKUP(KMG102,[14]AssetDetails_UEM!$A$3:$AH$1849,6,FALSE)</f>
        <v>Electrosurgical Units, Monopolar/Bipolar</v>
      </c>
      <c r="KMI102" s="528" t="s">
        <v>213</v>
      </c>
      <c r="KMJ102" s="529" t="str">
        <f>VLOOKUP(KMI102,[14]AssetDetails_UEM!$A$3:$AH$1849,6,FALSE)</f>
        <v>Electrosurgical Units, Monopolar/Bipolar</v>
      </c>
      <c r="KMK102" s="528" t="s">
        <v>213</v>
      </c>
      <c r="KML102" s="529" t="str">
        <f>VLOOKUP(KMK102,[14]AssetDetails_UEM!$A$3:$AH$1849,6,FALSE)</f>
        <v>Electrosurgical Units, Monopolar/Bipolar</v>
      </c>
      <c r="KMM102" s="528" t="s">
        <v>213</v>
      </c>
      <c r="KMN102" s="529" t="str">
        <f>VLOOKUP(KMM102,[14]AssetDetails_UEM!$A$3:$AH$1849,6,FALSE)</f>
        <v>Electrosurgical Units, Monopolar/Bipolar</v>
      </c>
      <c r="KMO102" s="528" t="s">
        <v>213</v>
      </c>
      <c r="KMP102" s="529" t="str">
        <f>VLOOKUP(KMO102,[14]AssetDetails_UEM!$A$3:$AH$1849,6,FALSE)</f>
        <v>Electrosurgical Units, Monopolar/Bipolar</v>
      </c>
      <c r="KMQ102" s="528" t="s">
        <v>213</v>
      </c>
      <c r="KMR102" s="529" t="str">
        <f>VLOOKUP(KMQ102,[14]AssetDetails_UEM!$A$3:$AH$1849,6,FALSE)</f>
        <v>Electrosurgical Units, Monopolar/Bipolar</v>
      </c>
      <c r="KMS102" s="528" t="s">
        <v>213</v>
      </c>
      <c r="KMT102" s="529" t="str">
        <f>VLOOKUP(KMS102,[14]AssetDetails_UEM!$A$3:$AH$1849,6,FALSE)</f>
        <v>Electrosurgical Units, Monopolar/Bipolar</v>
      </c>
      <c r="KMU102" s="528" t="s">
        <v>213</v>
      </c>
      <c r="KMV102" s="529" t="str">
        <f>VLOOKUP(KMU102,[14]AssetDetails_UEM!$A$3:$AH$1849,6,FALSE)</f>
        <v>Electrosurgical Units, Monopolar/Bipolar</v>
      </c>
      <c r="KMW102" s="528" t="s">
        <v>213</v>
      </c>
      <c r="KMX102" s="529" t="str">
        <f>VLOOKUP(KMW102,[14]AssetDetails_UEM!$A$3:$AH$1849,6,FALSE)</f>
        <v>Electrosurgical Units, Monopolar/Bipolar</v>
      </c>
      <c r="KMY102" s="528" t="s">
        <v>213</v>
      </c>
      <c r="KMZ102" s="529" t="str">
        <f>VLOOKUP(KMY102,[14]AssetDetails_UEM!$A$3:$AH$1849,6,FALSE)</f>
        <v>Electrosurgical Units, Monopolar/Bipolar</v>
      </c>
      <c r="KNA102" s="528" t="s">
        <v>213</v>
      </c>
      <c r="KNB102" s="529" t="str">
        <f>VLOOKUP(KNA102,[14]AssetDetails_UEM!$A$3:$AH$1849,6,FALSE)</f>
        <v>Electrosurgical Units, Monopolar/Bipolar</v>
      </c>
      <c r="KNC102" s="528" t="s">
        <v>213</v>
      </c>
      <c r="KND102" s="529" t="str">
        <f>VLOOKUP(KNC102,[14]AssetDetails_UEM!$A$3:$AH$1849,6,FALSE)</f>
        <v>Electrosurgical Units, Monopolar/Bipolar</v>
      </c>
      <c r="KNE102" s="528" t="s">
        <v>213</v>
      </c>
      <c r="KNF102" s="529" t="str">
        <f>VLOOKUP(KNE102,[14]AssetDetails_UEM!$A$3:$AH$1849,6,FALSE)</f>
        <v>Electrosurgical Units, Monopolar/Bipolar</v>
      </c>
      <c r="KNG102" s="528" t="s">
        <v>213</v>
      </c>
      <c r="KNH102" s="529" t="str">
        <f>VLOOKUP(KNG102,[14]AssetDetails_UEM!$A$3:$AH$1849,6,FALSE)</f>
        <v>Electrosurgical Units, Monopolar/Bipolar</v>
      </c>
      <c r="KNI102" s="528" t="s">
        <v>213</v>
      </c>
      <c r="KNJ102" s="529" t="str">
        <f>VLOOKUP(KNI102,[14]AssetDetails_UEM!$A$3:$AH$1849,6,FALSE)</f>
        <v>Electrosurgical Units, Monopolar/Bipolar</v>
      </c>
      <c r="KNK102" s="528" t="s">
        <v>213</v>
      </c>
      <c r="KNL102" s="529" t="str">
        <f>VLOOKUP(KNK102,[14]AssetDetails_UEM!$A$3:$AH$1849,6,FALSE)</f>
        <v>Electrosurgical Units, Monopolar/Bipolar</v>
      </c>
      <c r="KNM102" s="528" t="s">
        <v>213</v>
      </c>
      <c r="KNN102" s="529" t="str">
        <f>VLOOKUP(KNM102,[14]AssetDetails_UEM!$A$3:$AH$1849,6,FALSE)</f>
        <v>Electrosurgical Units, Monopolar/Bipolar</v>
      </c>
      <c r="KNO102" s="528" t="s">
        <v>213</v>
      </c>
      <c r="KNP102" s="529" t="str">
        <f>VLOOKUP(KNO102,[14]AssetDetails_UEM!$A$3:$AH$1849,6,FALSE)</f>
        <v>Electrosurgical Units, Monopolar/Bipolar</v>
      </c>
      <c r="KNQ102" s="528" t="s">
        <v>213</v>
      </c>
      <c r="KNR102" s="529" t="str">
        <f>VLOOKUP(KNQ102,[14]AssetDetails_UEM!$A$3:$AH$1849,6,FALSE)</f>
        <v>Electrosurgical Units, Monopolar/Bipolar</v>
      </c>
      <c r="KNS102" s="528" t="s">
        <v>213</v>
      </c>
      <c r="KNT102" s="529" t="str">
        <f>VLOOKUP(KNS102,[14]AssetDetails_UEM!$A$3:$AH$1849,6,FALSE)</f>
        <v>Electrosurgical Units, Monopolar/Bipolar</v>
      </c>
      <c r="KNU102" s="528" t="s">
        <v>213</v>
      </c>
      <c r="KNV102" s="529" t="str">
        <f>VLOOKUP(KNU102,[14]AssetDetails_UEM!$A$3:$AH$1849,6,FALSE)</f>
        <v>Electrosurgical Units, Monopolar/Bipolar</v>
      </c>
      <c r="KNW102" s="528" t="s">
        <v>213</v>
      </c>
      <c r="KNX102" s="529" t="str">
        <f>VLOOKUP(KNW102,[14]AssetDetails_UEM!$A$3:$AH$1849,6,FALSE)</f>
        <v>Electrosurgical Units, Monopolar/Bipolar</v>
      </c>
      <c r="KNY102" s="528" t="s">
        <v>213</v>
      </c>
      <c r="KNZ102" s="529" t="str">
        <f>VLOOKUP(KNY102,[14]AssetDetails_UEM!$A$3:$AH$1849,6,FALSE)</f>
        <v>Electrosurgical Units, Monopolar/Bipolar</v>
      </c>
      <c r="KOA102" s="528" t="s">
        <v>213</v>
      </c>
      <c r="KOB102" s="529" t="str">
        <f>VLOOKUP(KOA102,[14]AssetDetails_UEM!$A$3:$AH$1849,6,FALSE)</f>
        <v>Electrosurgical Units, Monopolar/Bipolar</v>
      </c>
      <c r="KOC102" s="528" t="s">
        <v>213</v>
      </c>
      <c r="KOD102" s="529" t="str">
        <f>VLOOKUP(KOC102,[14]AssetDetails_UEM!$A$3:$AH$1849,6,FALSE)</f>
        <v>Electrosurgical Units, Monopolar/Bipolar</v>
      </c>
      <c r="KOE102" s="528" t="s">
        <v>213</v>
      </c>
      <c r="KOF102" s="529" t="str">
        <f>VLOOKUP(KOE102,[14]AssetDetails_UEM!$A$3:$AH$1849,6,FALSE)</f>
        <v>Electrosurgical Units, Monopolar/Bipolar</v>
      </c>
      <c r="KOG102" s="528" t="s">
        <v>213</v>
      </c>
      <c r="KOH102" s="529" t="str">
        <f>VLOOKUP(KOG102,[14]AssetDetails_UEM!$A$3:$AH$1849,6,FALSE)</f>
        <v>Electrosurgical Units, Monopolar/Bipolar</v>
      </c>
      <c r="KOI102" s="528" t="s">
        <v>213</v>
      </c>
      <c r="KOJ102" s="529" t="str">
        <f>VLOOKUP(KOI102,[14]AssetDetails_UEM!$A$3:$AH$1849,6,FALSE)</f>
        <v>Electrosurgical Units, Monopolar/Bipolar</v>
      </c>
      <c r="KOK102" s="528" t="s">
        <v>213</v>
      </c>
      <c r="KOL102" s="529" t="str">
        <f>VLOOKUP(KOK102,[14]AssetDetails_UEM!$A$3:$AH$1849,6,FALSE)</f>
        <v>Electrosurgical Units, Monopolar/Bipolar</v>
      </c>
      <c r="KOM102" s="528" t="s">
        <v>213</v>
      </c>
      <c r="KON102" s="529" t="str">
        <f>VLOOKUP(KOM102,[14]AssetDetails_UEM!$A$3:$AH$1849,6,FALSE)</f>
        <v>Electrosurgical Units, Monopolar/Bipolar</v>
      </c>
      <c r="KOO102" s="528" t="s">
        <v>213</v>
      </c>
      <c r="KOP102" s="529" t="str">
        <f>VLOOKUP(KOO102,[14]AssetDetails_UEM!$A$3:$AH$1849,6,FALSE)</f>
        <v>Electrosurgical Units, Monopolar/Bipolar</v>
      </c>
      <c r="KOQ102" s="528" t="s">
        <v>213</v>
      </c>
      <c r="KOR102" s="529" t="str">
        <f>VLOOKUP(KOQ102,[14]AssetDetails_UEM!$A$3:$AH$1849,6,FALSE)</f>
        <v>Electrosurgical Units, Monopolar/Bipolar</v>
      </c>
      <c r="KOS102" s="528" t="s">
        <v>213</v>
      </c>
      <c r="KOT102" s="529" t="str">
        <f>VLOOKUP(KOS102,[14]AssetDetails_UEM!$A$3:$AH$1849,6,FALSE)</f>
        <v>Electrosurgical Units, Monopolar/Bipolar</v>
      </c>
      <c r="KOU102" s="528" t="s">
        <v>213</v>
      </c>
      <c r="KOV102" s="529" t="str">
        <f>VLOOKUP(KOU102,[14]AssetDetails_UEM!$A$3:$AH$1849,6,FALSE)</f>
        <v>Electrosurgical Units, Monopolar/Bipolar</v>
      </c>
      <c r="KOW102" s="528" t="s">
        <v>213</v>
      </c>
      <c r="KOX102" s="529" t="str">
        <f>VLOOKUP(KOW102,[14]AssetDetails_UEM!$A$3:$AH$1849,6,FALSE)</f>
        <v>Electrosurgical Units, Monopolar/Bipolar</v>
      </c>
      <c r="KOY102" s="528" t="s">
        <v>213</v>
      </c>
      <c r="KOZ102" s="529" t="str">
        <f>VLOOKUP(KOY102,[14]AssetDetails_UEM!$A$3:$AH$1849,6,FALSE)</f>
        <v>Electrosurgical Units, Monopolar/Bipolar</v>
      </c>
      <c r="KPA102" s="528" t="s">
        <v>213</v>
      </c>
      <c r="KPB102" s="529" t="str">
        <f>VLOOKUP(KPA102,[14]AssetDetails_UEM!$A$3:$AH$1849,6,FALSE)</f>
        <v>Electrosurgical Units, Monopolar/Bipolar</v>
      </c>
      <c r="KPC102" s="528" t="s">
        <v>213</v>
      </c>
      <c r="KPD102" s="529" t="str">
        <f>VLOOKUP(KPC102,[14]AssetDetails_UEM!$A$3:$AH$1849,6,FALSE)</f>
        <v>Electrosurgical Units, Monopolar/Bipolar</v>
      </c>
      <c r="KPE102" s="528" t="s">
        <v>213</v>
      </c>
      <c r="KPF102" s="529" t="str">
        <f>VLOOKUP(KPE102,[14]AssetDetails_UEM!$A$3:$AH$1849,6,FALSE)</f>
        <v>Electrosurgical Units, Monopolar/Bipolar</v>
      </c>
      <c r="KPG102" s="528" t="s">
        <v>213</v>
      </c>
      <c r="KPH102" s="529" t="str">
        <f>VLOOKUP(KPG102,[14]AssetDetails_UEM!$A$3:$AH$1849,6,FALSE)</f>
        <v>Electrosurgical Units, Monopolar/Bipolar</v>
      </c>
      <c r="KPI102" s="528" t="s">
        <v>213</v>
      </c>
      <c r="KPJ102" s="529" t="str">
        <f>VLOOKUP(KPI102,[14]AssetDetails_UEM!$A$3:$AH$1849,6,FALSE)</f>
        <v>Electrosurgical Units, Monopolar/Bipolar</v>
      </c>
      <c r="KPK102" s="528" t="s">
        <v>213</v>
      </c>
      <c r="KPL102" s="529" t="str">
        <f>VLOOKUP(KPK102,[14]AssetDetails_UEM!$A$3:$AH$1849,6,FALSE)</f>
        <v>Electrosurgical Units, Monopolar/Bipolar</v>
      </c>
      <c r="KPM102" s="528" t="s">
        <v>213</v>
      </c>
      <c r="KPN102" s="529" t="str">
        <f>VLOOKUP(KPM102,[14]AssetDetails_UEM!$A$3:$AH$1849,6,FALSE)</f>
        <v>Electrosurgical Units, Monopolar/Bipolar</v>
      </c>
      <c r="KPO102" s="528" t="s">
        <v>213</v>
      </c>
      <c r="KPP102" s="529" t="str">
        <f>VLOOKUP(KPO102,[14]AssetDetails_UEM!$A$3:$AH$1849,6,FALSE)</f>
        <v>Electrosurgical Units, Monopolar/Bipolar</v>
      </c>
      <c r="KPQ102" s="528" t="s">
        <v>213</v>
      </c>
      <c r="KPR102" s="529" t="str">
        <f>VLOOKUP(KPQ102,[14]AssetDetails_UEM!$A$3:$AH$1849,6,FALSE)</f>
        <v>Electrosurgical Units, Monopolar/Bipolar</v>
      </c>
      <c r="KPS102" s="528" t="s">
        <v>213</v>
      </c>
      <c r="KPT102" s="529" t="str">
        <f>VLOOKUP(KPS102,[14]AssetDetails_UEM!$A$3:$AH$1849,6,FALSE)</f>
        <v>Electrosurgical Units, Monopolar/Bipolar</v>
      </c>
      <c r="KPU102" s="528" t="s">
        <v>213</v>
      </c>
      <c r="KPV102" s="529" t="str">
        <f>VLOOKUP(KPU102,[14]AssetDetails_UEM!$A$3:$AH$1849,6,FALSE)</f>
        <v>Electrosurgical Units, Monopolar/Bipolar</v>
      </c>
      <c r="KPW102" s="528" t="s">
        <v>213</v>
      </c>
      <c r="KPX102" s="529" t="str">
        <f>VLOOKUP(KPW102,[14]AssetDetails_UEM!$A$3:$AH$1849,6,FALSE)</f>
        <v>Electrosurgical Units, Monopolar/Bipolar</v>
      </c>
      <c r="KPY102" s="528" t="s">
        <v>213</v>
      </c>
      <c r="KPZ102" s="529" t="str">
        <f>VLOOKUP(KPY102,[14]AssetDetails_UEM!$A$3:$AH$1849,6,FALSE)</f>
        <v>Electrosurgical Units, Monopolar/Bipolar</v>
      </c>
      <c r="KQA102" s="528" t="s">
        <v>213</v>
      </c>
      <c r="KQB102" s="529" t="str">
        <f>VLOOKUP(KQA102,[14]AssetDetails_UEM!$A$3:$AH$1849,6,FALSE)</f>
        <v>Electrosurgical Units, Monopolar/Bipolar</v>
      </c>
      <c r="KQC102" s="528" t="s">
        <v>213</v>
      </c>
      <c r="KQD102" s="529" t="str">
        <f>VLOOKUP(KQC102,[14]AssetDetails_UEM!$A$3:$AH$1849,6,FALSE)</f>
        <v>Electrosurgical Units, Monopolar/Bipolar</v>
      </c>
      <c r="KQE102" s="528" t="s">
        <v>213</v>
      </c>
      <c r="KQF102" s="529" t="str">
        <f>VLOOKUP(KQE102,[14]AssetDetails_UEM!$A$3:$AH$1849,6,FALSE)</f>
        <v>Electrosurgical Units, Monopolar/Bipolar</v>
      </c>
      <c r="KQG102" s="528" t="s">
        <v>213</v>
      </c>
      <c r="KQH102" s="529" t="str">
        <f>VLOOKUP(KQG102,[14]AssetDetails_UEM!$A$3:$AH$1849,6,FALSE)</f>
        <v>Electrosurgical Units, Monopolar/Bipolar</v>
      </c>
      <c r="KQI102" s="528" t="s">
        <v>213</v>
      </c>
      <c r="KQJ102" s="529" t="str">
        <f>VLOOKUP(KQI102,[14]AssetDetails_UEM!$A$3:$AH$1849,6,FALSE)</f>
        <v>Electrosurgical Units, Monopolar/Bipolar</v>
      </c>
      <c r="KQK102" s="528" t="s">
        <v>213</v>
      </c>
      <c r="KQL102" s="529" t="str">
        <f>VLOOKUP(KQK102,[14]AssetDetails_UEM!$A$3:$AH$1849,6,FALSE)</f>
        <v>Electrosurgical Units, Monopolar/Bipolar</v>
      </c>
      <c r="KQM102" s="528" t="s">
        <v>213</v>
      </c>
      <c r="KQN102" s="529" t="str">
        <f>VLOOKUP(KQM102,[14]AssetDetails_UEM!$A$3:$AH$1849,6,FALSE)</f>
        <v>Electrosurgical Units, Monopolar/Bipolar</v>
      </c>
      <c r="KQO102" s="528" t="s">
        <v>213</v>
      </c>
      <c r="KQP102" s="529" t="str">
        <f>VLOOKUP(KQO102,[14]AssetDetails_UEM!$A$3:$AH$1849,6,FALSE)</f>
        <v>Electrosurgical Units, Monopolar/Bipolar</v>
      </c>
      <c r="KQQ102" s="528" t="s">
        <v>213</v>
      </c>
      <c r="KQR102" s="529" t="str">
        <f>VLOOKUP(KQQ102,[14]AssetDetails_UEM!$A$3:$AH$1849,6,FALSE)</f>
        <v>Electrosurgical Units, Monopolar/Bipolar</v>
      </c>
      <c r="KQS102" s="528" t="s">
        <v>213</v>
      </c>
      <c r="KQT102" s="529" t="str">
        <f>VLOOKUP(KQS102,[14]AssetDetails_UEM!$A$3:$AH$1849,6,FALSE)</f>
        <v>Electrosurgical Units, Monopolar/Bipolar</v>
      </c>
      <c r="KQU102" s="528" t="s">
        <v>213</v>
      </c>
      <c r="KQV102" s="529" t="str">
        <f>VLOOKUP(KQU102,[14]AssetDetails_UEM!$A$3:$AH$1849,6,FALSE)</f>
        <v>Electrosurgical Units, Monopolar/Bipolar</v>
      </c>
      <c r="KQW102" s="528" t="s">
        <v>213</v>
      </c>
      <c r="KQX102" s="529" t="str">
        <f>VLOOKUP(KQW102,[14]AssetDetails_UEM!$A$3:$AH$1849,6,FALSE)</f>
        <v>Electrosurgical Units, Monopolar/Bipolar</v>
      </c>
      <c r="KQY102" s="528" t="s">
        <v>213</v>
      </c>
      <c r="KQZ102" s="529" t="str">
        <f>VLOOKUP(KQY102,[14]AssetDetails_UEM!$A$3:$AH$1849,6,FALSE)</f>
        <v>Electrosurgical Units, Monopolar/Bipolar</v>
      </c>
      <c r="KRA102" s="528" t="s">
        <v>213</v>
      </c>
      <c r="KRB102" s="529" t="str">
        <f>VLOOKUP(KRA102,[14]AssetDetails_UEM!$A$3:$AH$1849,6,FALSE)</f>
        <v>Electrosurgical Units, Monopolar/Bipolar</v>
      </c>
      <c r="KRC102" s="528" t="s">
        <v>213</v>
      </c>
      <c r="KRD102" s="529" t="str">
        <f>VLOOKUP(KRC102,[14]AssetDetails_UEM!$A$3:$AH$1849,6,FALSE)</f>
        <v>Electrosurgical Units, Monopolar/Bipolar</v>
      </c>
      <c r="KRE102" s="528" t="s">
        <v>213</v>
      </c>
      <c r="KRF102" s="529" t="str">
        <f>VLOOKUP(KRE102,[14]AssetDetails_UEM!$A$3:$AH$1849,6,FALSE)</f>
        <v>Electrosurgical Units, Monopolar/Bipolar</v>
      </c>
      <c r="KRG102" s="528" t="s">
        <v>213</v>
      </c>
      <c r="KRH102" s="529" t="str">
        <f>VLOOKUP(KRG102,[14]AssetDetails_UEM!$A$3:$AH$1849,6,FALSE)</f>
        <v>Electrosurgical Units, Monopolar/Bipolar</v>
      </c>
      <c r="KRI102" s="528" t="s">
        <v>213</v>
      </c>
      <c r="KRJ102" s="529" t="str">
        <f>VLOOKUP(KRI102,[14]AssetDetails_UEM!$A$3:$AH$1849,6,FALSE)</f>
        <v>Electrosurgical Units, Monopolar/Bipolar</v>
      </c>
      <c r="KRK102" s="528" t="s">
        <v>213</v>
      </c>
      <c r="KRL102" s="529" t="str">
        <f>VLOOKUP(KRK102,[14]AssetDetails_UEM!$A$3:$AH$1849,6,FALSE)</f>
        <v>Electrosurgical Units, Monopolar/Bipolar</v>
      </c>
      <c r="KRM102" s="528" t="s">
        <v>213</v>
      </c>
      <c r="KRN102" s="529" t="str">
        <f>VLOOKUP(KRM102,[14]AssetDetails_UEM!$A$3:$AH$1849,6,FALSE)</f>
        <v>Electrosurgical Units, Monopolar/Bipolar</v>
      </c>
      <c r="KRO102" s="528" t="s">
        <v>213</v>
      </c>
      <c r="KRP102" s="529" t="str">
        <f>VLOOKUP(KRO102,[14]AssetDetails_UEM!$A$3:$AH$1849,6,FALSE)</f>
        <v>Electrosurgical Units, Monopolar/Bipolar</v>
      </c>
      <c r="KRQ102" s="528" t="s">
        <v>213</v>
      </c>
      <c r="KRR102" s="529" t="str">
        <f>VLOOKUP(KRQ102,[14]AssetDetails_UEM!$A$3:$AH$1849,6,FALSE)</f>
        <v>Electrosurgical Units, Monopolar/Bipolar</v>
      </c>
      <c r="KRS102" s="528" t="s">
        <v>213</v>
      </c>
      <c r="KRT102" s="529" t="str">
        <f>VLOOKUP(KRS102,[14]AssetDetails_UEM!$A$3:$AH$1849,6,FALSE)</f>
        <v>Electrosurgical Units, Monopolar/Bipolar</v>
      </c>
      <c r="KRU102" s="528" t="s">
        <v>213</v>
      </c>
      <c r="KRV102" s="529" t="str">
        <f>VLOOKUP(KRU102,[14]AssetDetails_UEM!$A$3:$AH$1849,6,FALSE)</f>
        <v>Electrosurgical Units, Monopolar/Bipolar</v>
      </c>
      <c r="KRW102" s="528" t="s">
        <v>213</v>
      </c>
      <c r="KRX102" s="529" t="str">
        <f>VLOOKUP(KRW102,[14]AssetDetails_UEM!$A$3:$AH$1849,6,FALSE)</f>
        <v>Electrosurgical Units, Monopolar/Bipolar</v>
      </c>
      <c r="KRY102" s="528" t="s">
        <v>213</v>
      </c>
      <c r="KRZ102" s="529" t="str">
        <f>VLOOKUP(KRY102,[14]AssetDetails_UEM!$A$3:$AH$1849,6,FALSE)</f>
        <v>Electrosurgical Units, Monopolar/Bipolar</v>
      </c>
      <c r="KSA102" s="528" t="s">
        <v>213</v>
      </c>
      <c r="KSB102" s="529" t="str">
        <f>VLOOKUP(KSA102,[14]AssetDetails_UEM!$A$3:$AH$1849,6,FALSE)</f>
        <v>Electrosurgical Units, Monopolar/Bipolar</v>
      </c>
      <c r="KSC102" s="528" t="s">
        <v>213</v>
      </c>
      <c r="KSD102" s="529" t="str">
        <f>VLOOKUP(KSC102,[14]AssetDetails_UEM!$A$3:$AH$1849,6,FALSE)</f>
        <v>Electrosurgical Units, Monopolar/Bipolar</v>
      </c>
      <c r="KSE102" s="528" t="s">
        <v>213</v>
      </c>
      <c r="KSF102" s="529" t="str">
        <f>VLOOKUP(KSE102,[14]AssetDetails_UEM!$A$3:$AH$1849,6,FALSE)</f>
        <v>Electrosurgical Units, Monopolar/Bipolar</v>
      </c>
      <c r="KSG102" s="528" t="s">
        <v>213</v>
      </c>
      <c r="KSH102" s="529" t="str">
        <f>VLOOKUP(KSG102,[14]AssetDetails_UEM!$A$3:$AH$1849,6,FALSE)</f>
        <v>Electrosurgical Units, Monopolar/Bipolar</v>
      </c>
      <c r="KSI102" s="528" t="s">
        <v>213</v>
      </c>
      <c r="KSJ102" s="529" t="str">
        <f>VLOOKUP(KSI102,[14]AssetDetails_UEM!$A$3:$AH$1849,6,FALSE)</f>
        <v>Electrosurgical Units, Monopolar/Bipolar</v>
      </c>
      <c r="KSK102" s="528" t="s">
        <v>213</v>
      </c>
      <c r="KSL102" s="529" t="str">
        <f>VLOOKUP(KSK102,[14]AssetDetails_UEM!$A$3:$AH$1849,6,FALSE)</f>
        <v>Electrosurgical Units, Monopolar/Bipolar</v>
      </c>
      <c r="KSM102" s="528" t="s">
        <v>213</v>
      </c>
      <c r="KSN102" s="529" t="str">
        <f>VLOOKUP(KSM102,[14]AssetDetails_UEM!$A$3:$AH$1849,6,FALSE)</f>
        <v>Electrosurgical Units, Monopolar/Bipolar</v>
      </c>
      <c r="KSO102" s="528" t="s">
        <v>213</v>
      </c>
      <c r="KSP102" s="529" t="str">
        <f>VLOOKUP(KSO102,[14]AssetDetails_UEM!$A$3:$AH$1849,6,FALSE)</f>
        <v>Electrosurgical Units, Monopolar/Bipolar</v>
      </c>
      <c r="KSQ102" s="528" t="s">
        <v>213</v>
      </c>
      <c r="KSR102" s="529" t="str">
        <f>VLOOKUP(KSQ102,[14]AssetDetails_UEM!$A$3:$AH$1849,6,FALSE)</f>
        <v>Electrosurgical Units, Monopolar/Bipolar</v>
      </c>
      <c r="KSS102" s="528" t="s">
        <v>213</v>
      </c>
      <c r="KST102" s="529" t="str">
        <f>VLOOKUP(KSS102,[14]AssetDetails_UEM!$A$3:$AH$1849,6,FALSE)</f>
        <v>Electrosurgical Units, Monopolar/Bipolar</v>
      </c>
      <c r="KSU102" s="528" t="s">
        <v>213</v>
      </c>
      <c r="KSV102" s="529" t="str">
        <f>VLOOKUP(KSU102,[14]AssetDetails_UEM!$A$3:$AH$1849,6,FALSE)</f>
        <v>Electrosurgical Units, Monopolar/Bipolar</v>
      </c>
      <c r="KSW102" s="528" t="s">
        <v>213</v>
      </c>
      <c r="KSX102" s="529" t="str">
        <f>VLOOKUP(KSW102,[14]AssetDetails_UEM!$A$3:$AH$1849,6,FALSE)</f>
        <v>Electrosurgical Units, Monopolar/Bipolar</v>
      </c>
      <c r="KSY102" s="528" t="s">
        <v>213</v>
      </c>
      <c r="KSZ102" s="529" t="str">
        <f>VLOOKUP(KSY102,[14]AssetDetails_UEM!$A$3:$AH$1849,6,FALSE)</f>
        <v>Electrosurgical Units, Monopolar/Bipolar</v>
      </c>
      <c r="KTA102" s="528" t="s">
        <v>213</v>
      </c>
      <c r="KTB102" s="529" t="str">
        <f>VLOOKUP(KTA102,[14]AssetDetails_UEM!$A$3:$AH$1849,6,FALSE)</f>
        <v>Electrosurgical Units, Monopolar/Bipolar</v>
      </c>
      <c r="KTC102" s="528" t="s">
        <v>213</v>
      </c>
      <c r="KTD102" s="529" t="str">
        <f>VLOOKUP(KTC102,[14]AssetDetails_UEM!$A$3:$AH$1849,6,FALSE)</f>
        <v>Electrosurgical Units, Monopolar/Bipolar</v>
      </c>
      <c r="KTE102" s="528" t="s">
        <v>213</v>
      </c>
      <c r="KTF102" s="529" t="str">
        <f>VLOOKUP(KTE102,[14]AssetDetails_UEM!$A$3:$AH$1849,6,FALSE)</f>
        <v>Electrosurgical Units, Monopolar/Bipolar</v>
      </c>
      <c r="KTG102" s="528" t="s">
        <v>213</v>
      </c>
      <c r="KTH102" s="529" t="str">
        <f>VLOOKUP(KTG102,[14]AssetDetails_UEM!$A$3:$AH$1849,6,FALSE)</f>
        <v>Electrosurgical Units, Monopolar/Bipolar</v>
      </c>
      <c r="KTI102" s="528" t="s">
        <v>213</v>
      </c>
      <c r="KTJ102" s="529" t="str">
        <f>VLOOKUP(KTI102,[14]AssetDetails_UEM!$A$3:$AH$1849,6,FALSE)</f>
        <v>Electrosurgical Units, Monopolar/Bipolar</v>
      </c>
      <c r="KTK102" s="528" t="s">
        <v>213</v>
      </c>
      <c r="KTL102" s="529" t="str">
        <f>VLOOKUP(KTK102,[14]AssetDetails_UEM!$A$3:$AH$1849,6,FALSE)</f>
        <v>Electrosurgical Units, Monopolar/Bipolar</v>
      </c>
      <c r="KTM102" s="528" t="s">
        <v>213</v>
      </c>
      <c r="KTN102" s="529" t="str">
        <f>VLOOKUP(KTM102,[14]AssetDetails_UEM!$A$3:$AH$1849,6,FALSE)</f>
        <v>Electrosurgical Units, Monopolar/Bipolar</v>
      </c>
      <c r="KTO102" s="528" t="s">
        <v>213</v>
      </c>
      <c r="KTP102" s="529" t="str">
        <f>VLOOKUP(KTO102,[14]AssetDetails_UEM!$A$3:$AH$1849,6,FALSE)</f>
        <v>Electrosurgical Units, Monopolar/Bipolar</v>
      </c>
      <c r="KTQ102" s="528" t="s">
        <v>213</v>
      </c>
      <c r="KTR102" s="529" t="str">
        <f>VLOOKUP(KTQ102,[14]AssetDetails_UEM!$A$3:$AH$1849,6,FALSE)</f>
        <v>Electrosurgical Units, Monopolar/Bipolar</v>
      </c>
      <c r="KTS102" s="528" t="s">
        <v>213</v>
      </c>
      <c r="KTT102" s="529" t="str">
        <f>VLOOKUP(KTS102,[14]AssetDetails_UEM!$A$3:$AH$1849,6,FALSE)</f>
        <v>Electrosurgical Units, Monopolar/Bipolar</v>
      </c>
      <c r="KTU102" s="528" t="s">
        <v>213</v>
      </c>
      <c r="KTV102" s="529" t="str">
        <f>VLOOKUP(KTU102,[14]AssetDetails_UEM!$A$3:$AH$1849,6,FALSE)</f>
        <v>Electrosurgical Units, Monopolar/Bipolar</v>
      </c>
      <c r="KTW102" s="528" t="s">
        <v>213</v>
      </c>
      <c r="KTX102" s="529" t="str">
        <f>VLOOKUP(KTW102,[14]AssetDetails_UEM!$A$3:$AH$1849,6,FALSE)</f>
        <v>Electrosurgical Units, Monopolar/Bipolar</v>
      </c>
      <c r="KTY102" s="528" t="s">
        <v>213</v>
      </c>
      <c r="KTZ102" s="529" t="str">
        <f>VLOOKUP(KTY102,[14]AssetDetails_UEM!$A$3:$AH$1849,6,FALSE)</f>
        <v>Electrosurgical Units, Monopolar/Bipolar</v>
      </c>
      <c r="KUA102" s="528" t="s">
        <v>213</v>
      </c>
      <c r="KUB102" s="529" t="str">
        <f>VLOOKUP(KUA102,[14]AssetDetails_UEM!$A$3:$AH$1849,6,FALSE)</f>
        <v>Electrosurgical Units, Monopolar/Bipolar</v>
      </c>
      <c r="KUC102" s="528" t="s">
        <v>213</v>
      </c>
      <c r="KUD102" s="529" t="str">
        <f>VLOOKUP(KUC102,[14]AssetDetails_UEM!$A$3:$AH$1849,6,FALSE)</f>
        <v>Electrosurgical Units, Monopolar/Bipolar</v>
      </c>
      <c r="KUE102" s="528" t="s">
        <v>213</v>
      </c>
      <c r="KUF102" s="529" t="str">
        <f>VLOOKUP(KUE102,[14]AssetDetails_UEM!$A$3:$AH$1849,6,FALSE)</f>
        <v>Electrosurgical Units, Monopolar/Bipolar</v>
      </c>
      <c r="KUG102" s="528" t="s">
        <v>213</v>
      </c>
      <c r="KUH102" s="529" t="str">
        <f>VLOOKUP(KUG102,[14]AssetDetails_UEM!$A$3:$AH$1849,6,FALSE)</f>
        <v>Electrosurgical Units, Monopolar/Bipolar</v>
      </c>
      <c r="KUI102" s="528" t="s">
        <v>213</v>
      </c>
      <c r="KUJ102" s="529" t="str">
        <f>VLOOKUP(KUI102,[14]AssetDetails_UEM!$A$3:$AH$1849,6,FALSE)</f>
        <v>Electrosurgical Units, Monopolar/Bipolar</v>
      </c>
      <c r="KUK102" s="528" t="s">
        <v>213</v>
      </c>
      <c r="KUL102" s="529" t="str">
        <f>VLOOKUP(KUK102,[14]AssetDetails_UEM!$A$3:$AH$1849,6,FALSE)</f>
        <v>Electrosurgical Units, Monopolar/Bipolar</v>
      </c>
      <c r="KUM102" s="528" t="s">
        <v>213</v>
      </c>
      <c r="KUN102" s="529" t="str">
        <f>VLOOKUP(KUM102,[14]AssetDetails_UEM!$A$3:$AH$1849,6,FALSE)</f>
        <v>Electrosurgical Units, Monopolar/Bipolar</v>
      </c>
      <c r="KUO102" s="528" t="s">
        <v>213</v>
      </c>
      <c r="KUP102" s="529" t="str">
        <f>VLOOKUP(KUO102,[14]AssetDetails_UEM!$A$3:$AH$1849,6,FALSE)</f>
        <v>Electrosurgical Units, Monopolar/Bipolar</v>
      </c>
      <c r="KUQ102" s="528" t="s">
        <v>213</v>
      </c>
      <c r="KUR102" s="529" t="str">
        <f>VLOOKUP(KUQ102,[14]AssetDetails_UEM!$A$3:$AH$1849,6,FALSE)</f>
        <v>Electrosurgical Units, Monopolar/Bipolar</v>
      </c>
      <c r="KUS102" s="528" t="s">
        <v>213</v>
      </c>
      <c r="KUT102" s="529" t="str">
        <f>VLOOKUP(KUS102,[14]AssetDetails_UEM!$A$3:$AH$1849,6,FALSE)</f>
        <v>Electrosurgical Units, Monopolar/Bipolar</v>
      </c>
      <c r="KUU102" s="528" t="s">
        <v>213</v>
      </c>
      <c r="KUV102" s="529" t="str">
        <f>VLOOKUP(KUU102,[14]AssetDetails_UEM!$A$3:$AH$1849,6,FALSE)</f>
        <v>Electrosurgical Units, Monopolar/Bipolar</v>
      </c>
      <c r="KUW102" s="528" t="s">
        <v>213</v>
      </c>
      <c r="KUX102" s="529" t="str">
        <f>VLOOKUP(KUW102,[14]AssetDetails_UEM!$A$3:$AH$1849,6,FALSE)</f>
        <v>Electrosurgical Units, Monopolar/Bipolar</v>
      </c>
      <c r="KUY102" s="528" t="s">
        <v>213</v>
      </c>
      <c r="KUZ102" s="529" t="str">
        <f>VLOOKUP(KUY102,[14]AssetDetails_UEM!$A$3:$AH$1849,6,FALSE)</f>
        <v>Electrosurgical Units, Monopolar/Bipolar</v>
      </c>
      <c r="KVA102" s="528" t="s">
        <v>213</v>
      </c>
      <c r="KVB102" s="529" t="str">
        <f>VLOOKUP(KVA102,[14]AssetDetails_UEM!$A$3:$AH$1849,6,FALSE)</f>
        <v>Electrosurgical Units, Monopolar/Bipolar</v>
      </c>
      <c r="KVC102" s="528" t="s">
        <v>213</v>
      </c>
      <c r="KVD102" s="529" t="str">
        <f>VLOOKUP(KVC102,[14]AssetDetails_UEM!$A$3:$AH$1849,6,FALSE)</f>
        <v>Electrosurgical Units, Monopolar/Bipolar</v>
      </c>
      <c r="KVE102" s="528" t="s">
        <v>213</v>
      </c>
      <c r="KVF102" s="529" t="str">
        <f>VLOOKUP(KVE102,[14]AssetDetails_UEM!$A$3:$AH$1849,6,FALSE)</f>
        <v>Electrosurgical Units, Monopolar/Bipolar</v>
      </c>
      <c r="KVG102" s="528" t="s">
        <v>213</v>
      </c>
      <c r="KVH102" s="529" t="str">
        <f>VLOOKUP(KVG102,[14]AssetDetails_UEM!$A$3:$AH$1849,6,FALSE)</f>
        <v>Electrosurgical Units, Monopolar/Bipolar</v>
      </c>
      <c r="KVI102" s="528" t="s">
        <v>213</v>
      </c>
      <c r="KVJ102" s="529" t="str">
        <f>VLOOKUP(KVI102,[14]AssetDetails_UEM!$A$3:$AH$1849,6,FALSE)</f>
        <v>Electrosurgical Units, Monopolar/Bipolar</v>
      </c>
      <c r="KVK102" s="528" t="s">
        <v>213</v>
      </c>
      <c r="KVL102" s="529" t="str">
        <f>VLOOKUP(KVK102,[14]AssetDetails_UEM!$A$3:$AH$1849,6,FALSE)</f>
        <v>Electrosurgical Units, Monopolar/Bipolar</v>
      </c>
      <c r="KVM102" s="528" t="s">
        <v>213</v>
      </c>
      <c r="KVN102" s="529" t="str">
        <f>VLOOKUP(KVM102,[14]AssetDetails_UEM!$A$3:$AH$1849,6,FALSE)</f>
        <v>Electrosurgical Units, Monopolar/Bipolar</v>
      </c>
      <c r="KVO102" s="528" t="s">
        <v>213</v>
      </c>
      <c r="KVP102" s="529" t="str">
        <f>VLOOKUP(KVO102,[14]AssetDetails_UEM!$A$3:$AH$1849,6,FALSE)</f>
        <v>Electrosurgical Units, Monopolar/Bipolar</v>
      </c>
      <c r="KVQ102" s="528" t="s">
        <v>213</v>
      </c>
      <c r="KVR102" s="529" t="str">
        <f>VLOOKUP(KVQ102,[14]AssetDetails_UEM!$A$3:$AH$1849,6,FALSE)</f>
        <v>Electrosurgical Units, Monopolar/Bipolar</v>
      </c>
      <c r="KVS102" s="528" t="s">
        <v>213</v>
      </c>
      <c r="KVT102" s="529" t="str">
        <f>VLOOKUP(KVS102,[14]AssetDetails_UEM!$A$3:$AH$1849,6,FALSE)</f>
        <v>Electrosurgical Units, Monopolar/Bipolar</v>
      </c>
      <c r="KVU102" s="528" t="s">
        <v>213</v>
      </c>
      <c r="KVV102" s="529" t="str">
        <f>VLOOKUP(KVU102,[14]AssetDetails_UEM!$A$3:$AH$1849,6,FALSE)</f>
        <v>Electrosurgical Units, Monopolar/Bipolar</v>
      </c>
      <c r="KVW102" s="528" t="s">
        <v>213</v>
      </c>
      <c r="KVX102" s="529" t="str">
        <f>VLOOKUP(KVW102,[14]AssetDetails_UEM!$A$3:$AH$1849,6,FALSE)</f>
        <v>Electrosurgical Units, Monopolar/Bipolar</v>
      </c>
      <c r="KVY102" s="528" t="s">
        <v>213</v>
      </c>
      <c r="KVZ102" s="529" t="str">
        <f>VLOOKUP(KVY102,[14]AssetDetails_UEM!$A$3:$AH$1849,6,FALSE)</f>
        <v>Electrosurgical Units, Monopolar/Bipolar</v>
      </c>
      <c r="KWA102" s="528" t="s">
        <v>213</v>
      </c>
      <c r="KWB102" s="529" t="str">
        <f>VLOOKUP(KWA102,[14]AssetDetails_UEM!$A$3:$AH$1849,6,FALSE)</f>
        <v>Electrosurgical Units, Monopolar/Bipolar</v>
      </c>
      <c r="KWC102" s="528" t="s">
        <v>213</v>
      </c>
      <c r="KWD102" s="529" t="str">
        <f>VLOOKUP(KWC102,[14]AssetDetails_UEM!$A$3:$AH$1849,6,FALSE)</f>
        <v>Electrosurgical Units, Monopolar/Bipolar</v>
      </c>
      <c r="KWE102" s="528" t="s">
        <v>213</v>
      </c>
      <c r="KWF102" s="529" t="str">
        <f>VLOOKUP(KWE102,[14]AssetDetails_UEM!$A$3:$AH$1849,6,FALSE)</f>
        <v>Electrosurgical Units, Monopolar/Bipolar</v>
      </c>
      <c r="KWG102" s="528" t="s">
        <v>213</v>
      </c>
      <c r="KWH102" s="529" t="str">
        <f>VLOOKUP(KWG102,[14]AssetDetails_UEM!$A$3:$AH$1849,6,FALSE)</f>
        <v>Electrosurgical Units, Monopolar/Bipolar</v>
      </c>
      <c r="KWI102" s="528" t="s">
        <v>213</v>
      </c>
      <c r="KWJ102" s="529" t="str">
        <f>VLOOKUP(KWI102,[14]AssetDetails_UEM!$A$3:$AH$1849,6,FALSE)</f>
        <v>Electrosurgical Units, Monopolar/Bipolar</v>
      </c>
      <c r="KWK102" s="528" t="s">
        <v>213</v>
      </c>
      <c r="KWL102" s="529" t="str">
        <f>VLOOKUP(KWK102,[14]AssetDetails_UEM!$A$3:$AH$1849,6,FALSE)</f>
        <v>Electrosurgical Units, Monopolar/Bipolar</v>
      </c>
      <c r="KWM102" s="528" t="s">
        <v>213</v>
      </c>
      <c r="KWN102" s="529" t="str">
        <f>VLOOKUP(KWM102,[14]AssetDetails_UEM!$A$3:$AH$1849,6,FALSE)</f>
        <v>Electrosurgical Units, Monopolar/Bipolar</v>
      </c>
      <c r="KWO102" s="528" t="s">
        <v>213</v>
      </c>
      <c r="KWP102" s="529" t="str">
        <f>VLOOKUP(KWO102,[14]AssetDetails_UEM!$A$3:$AH$1849,6,FALSE)</f>
        <v>Electrosurgical Units, Monopolar/Bipolar</v>
      </c>
      <c r="KWQ102" s="528" t="s">
        <v>213</v>
      </c>
      <c r="KWR102" s="529" t="str">
        <f>VLOOKUP(KWQ102,[14]AssetDetails_UEM!$A$3:$AH$1849,6,FALSE)</f>
        <v>Electrosurgical Units, Monopolar/Bipolar</v>
      </c>
      <c r="KWS102" s="528" t="s">
        <v>213</v>
      </c>
      <c r="KWT102" s="529" t="str">
        <f>VLOOKUP(KWS102,[14]AssetDetails_UEM!$A$3:$AH$1849,6,FALSE)</f>
        <v>Electrosurgical Units, Monopolar/Bipolar</v>
      </c>
      <c r="KWU102" s="528" t="s">
        <v>213</v>
      </c>
      <c r="KWV102" s="529" t="str">
        <f>VLOOKUP(KWU102,[14]AssetDetails_UEM!$A$3:$AH$1849,6,FALSE)</f>
        <v>Electrosurgical Units, Monopolar/Bipolar</v>
      </c>
      <c r="KWW102" s="528" t="s">
        <v>213</v>
      </c>
      <c r="KWX102" s="529" t="str">
        <f>VLOOKUP(KWW102,[14]AssetDetails_UEM!$A$3:$AH$1849,6,FALSE)</f>
        <v>Electrosurgical Units, Monopolar/Bipolar</v>
      </c>
      <c r="KWY102" s="528" t="s">
        <v>213</v>
      </c>
      <c r="KWZ102" s="529" t="str">
        <f>VLOOKUP(KWY102,[14]AssetDetails_UEM!$A$3:$AH$1849,6,FALSE)</f>
        <v>Electrosurgical Units, Monopolar/Bipolar</v>
      </c>
      <c r="KXA102" s="528" t="s">
        <v>213</v>
      </c>
      <c r="KXB102" s="529" t="str">
        <f>VLOOKUP(KXA102,[14]AssetDetails_UEM!$A$3:$AH$1849,6,FALSE)</f>
        <v>Electrosurgical Units, Monopolar/Bipolar</v>
      </c>
      <c r="KXC102" s="528" t="s">
        <v>213</v>
      </c>
      <c r="KXD102" s="529" t="str">
        <f>VLOOKUP(KXC102,[14]AssetDetails_UEM!$A$3:$AH$1849,6,FALSE)</f>
        <v>Electrosurgical Units, Monopolar/Bipolar</v>
      </c>
      <c r="KXE102" s="528" t="s">
        <v>213</v>
      </c>
      <c r="KXF102" s="529" t="str">
        <f>VLOOKUP(KXE102,[14]AssetDetails_UEM!$A$3:$AH$1849,6,FALSE)</f>
        <v>Electrosurgical Units, Monopolar/Bipolar</v>
      </c>
      <c r="KXG102" s="528" t="s">
        <v>213</v>
      </c>
      <c r="KXH102" s="529" t="str">
        <f>VLOOKUP(KXG102,[14]AssetDetails_UEM!$A$3:$AH$1849,6,FALSE)</f>
        <v>Electrosurgical Units, Monopolar/Bipolar</v>
      </c>
      <c r="KXI102" s="528" t="s">
        <v>213</v>
      </c>
      <c r="KXJ102" s="529" t="str">
        <f>VLOOKUP(KXI102,[14]AssetDetails_UEM!$A$3:$AH$1849,6,FALSE)</f>
        <v>Electrosurgical Units, Monopolar/Bipolar</v>
      </c>
      <c r="KXK102" s="528" t="s">
        <v>213</v>
      </c>
      <c r="KXL102" s="529" t="str">
        <f>VLOOKUP(KXK102,[14]AssetDetails_UEM!$A$3:$AH$1849,6,FALSE)</f>
        <v>Electrosurgical Units, Monopolar/Bipolar</v>
      </c>
      <c r="KXM102" s="528" t="s">
        <v>213</v>
      </c>
      <c r="KXN102" s="529" t="str">
        <f>VLOOKUP(KXM102,[14]AssetDetails_UEM!$A$3:$AH$1849,6,FALSE)</f>
        <v>Electrosurgical Units, Monopolar/Bipolar</v>
      </c>
      <c r="KXO102" s="528" t="s">
        <v>213</v>
      </c>
      <c r="KXP102" s="529" t="str">
        <f>VLOOKUP(KXO102,[14]AssetDetails_UEM!$A$3:$AH$1849,6,FALSE)</f>
        <v>Electrosurgical Units, Monopolar/Bipolar</v>
      </c>
      <c r="KXQ102" s="528" t="s">
        <v>213</v>
      </c>
      <c r="KXR102" s="529" t="str">
        <f>VLOOKUP(KXQ102,[14]AssetDetails_UEM!$A$3:$AH$1849,6,FALSE)</f>
        <v>Electrosurgical Units, Monopolar/Bipolar</v>
      </c>
      <c r="KXS102" s="528" t="s">
        <v>213</v>
      </c>
      <c r="KXT102" s="529" t="str">
        <f>VLOOKUP(KXS102,[14]AssetDetails_UEM!$A$3:$AH$1849,6,FALSE)</f>
        <v>Electrosurgical Units, Monopolar/Bipolar</v>
      </c>
      <c r="KXU102" s="528" t="s">
        <v>213</v>
      </c>
      <c r="KXV102" s="529" t="str">
        <f>VLOOKUP(KXU102,[14]AssetDetails_UEM!$A$3:$AH$1849,6,FALSE)</f>
        <v>Electrosurgical Units, Monopolar/Bipolar</v>
      </c>
      <c r="KXW102" s="528" t="s">
        <v>213</v>
      </c>
      <c r="KXX102" s="529" t="str">
        <f>VLOOKUP(KXW102,[14]AssetDetails_UEM!$A$3:$AH$1849,6,FALSE)</f>
        <v>Electrosurgical Units, Monopolar/Bipolar</v>
      </c>
      <c r="KXY102" s="528" t="s">
        <v>213</v>
      </c>
      <c r="KXZ102" s="529" t="str">
        <f>VLOOKUP(KXY102,[14]AssetDetails_UEM!$A$3:$AH$1849,6,FALSE)</f>
        <v>Electrosurgical Units, Monopolar/Bipolar</v>
      </c>
      <c r="KYA102" s="528" t="s">
        <v>213</v>
      </c>
      <c r="KYB102" s="529" t="str">
        <f>VLOOKUP(KYA102,[14]AssetDetails_UEM!$A$3:$AH$1849,6,FALSE)</f>
        <v>Electrosurgical Units, Monopolar/Bipolar</v>
      </c>
      <c r="KYC102" s="528" t="s">
        <v>213</v>
      </c>
      <c r="KYD102" s="529" t="str">
        <f>VLOOKUP(KYC102,[14]AssetDetails_UEM!$A$3:$AH$1849,6,FALSE)</f>
        <v>Electrosurgical Units, Monopolar/Bipolar</v>
      </c>
      <c r="KYE102" s="528" t="s">
        <v>213</v>
      </c>
      <c r="KYF102" s="529" t="str">
        <f>VLOOKUP(KYE102,[14]AssetDetails_UEM!$A$3:$AH$1849,6,FALSE)</f>
        <v>Electrosurgical Units, Monopolar/Bipolar</v>
      </c>
      <c r="KYG102" s="528" t="s">
        <v>213</v>
      </c>
      <c r="KYH102" s="529" t="str">
        <f>VLOOKUP(KYG102,[14]AssetDetails_UEM!$A$3:$AH$1849,6,FALSE)</f>
        <v>Electrosurgical Units, Monopolar/Bipolar</v>
      </c>
      <c r="KYI102" s="528" t="s">
        <v>213</v>
      </c>
      <c r="KYJ102" s="529" t="str">
        <f>VLOOKUP(KYI102,[14]AssetDetails_UEM!$A$3:$AH$1849,6,FALSE)</f>
        <v>Electrosurgical Units, Monopolar/Bipolar</v>
      </c>
      <c r="KYK102" s="528" t="s">
        <v>213</v>
      </c>
      <c r="KYL102" s="529" t="str">
        <f>VLOOKUP(KYK102,[14]AssetDetails_UEM!$A$3:$AH$1849,6,FALSE)</f>
        <v>Electrosurgical Units, Monopolar/Bipolar</v>
      </c>
      <c r="KYM102" s="528" t="s">
        <v>213</v>
      </c>
      <c r="KYN102" s="529" t="str">
        <f>VLOOKUP(KYM102,[14]AssetDetails_UEM!$A$3:$AH$1849,6,FALSE)</f>
        <v>Electrosurgical Units, Monopolar/Bipolar</v>
      </c>
      <c r="KYO102" s="528" t="s">
        <v>213</v>
      </c>
      <c r="KYP102" s="529" t="str">
        <f>VLOOKUP(KYO102,[14]AssetDetails_UEM!$A$3:$AH$1849,6,FALSE)</f>
        <v>Electrosurgical Units, Monopolar/Bipolar</v>
      </c>
      <c r="KYQ102" s="528" t="s">
        <v>213</v>
      </c>
      <c r="KYR102" s="529" t="str">
        <f>VLOOKUP(KYQ102,[14]AssetDetails_UEM!$A$3:$AH$1849,6,FALSE)</f>
        <v>Electrosurgical Units, Monopolar/Bipolar</v>
      </c>
      <c r="KYS102" s="528" t="s">
        <v>213</v>
      </c>
      <c r="KYT102" s="529" t="str">
        <f>VLOOKUP(KYS102,[14]AssetDetails_UEM!$A$3:$AH$1849,6,FALSE)</f>
        <v>Electrosurgical Units, Monopolar/Bipolar</v>
      </c>
      <c r="KYU102" s="528" t="s">
        <v>213</v>
      </c>
      <c r="KYV102" s="529" t="str">
        <f>VLOOKUP(KYU102,[14]AssetDetails_UEM!$A$3:$AH$1849,6,FALSE)</f>
        <v>Electrosurgical Units, Monopolar/Bipolar</v>
      </c>
      <c r="KYW102" s="528" t="s">
        <v>213</v>
      </c>
      <c r="KYX102" s="529" t="str">
        <f>VLOOKUP(KYW102,[14]AssetDetails_UEM!$A$3:$AH$1849,6,FALSE)</f>
        <v>Electrosurgical Units, Monopolar/Bipolar</v>
      </c>
      <c r="KYY102" s="528" t="s">
        <v>213</v>
      </c>
      <c r="KYZ102" s="529" t="str">
        <f>VLOOKUP(KYY102,[14]AssetDetails_UEM!$A$3:$AH$1849,6,FALSE)</f>
        <v>Electrosurgical Units, Monopolar/Bipolar</v>
      </c>
      <c r="KZA102" s="528" t="s">
        <v>213</v>
      </c>
      <c r="KZB102" s="529" t="str">
        <f>VLOOKUP(KZA102,[14]AssetDetails_UEM!$A$3:$AH$1849,6,FALSE)</f>
        <v>Electrosurgical Units, Monopolar/Bipolar</v>
      </c>
      <c r="KZC102" s="528" t="s">
        <v>213</v>
      </c>
      <c r="KZD102" s="529" t="str">
        <f>VLOOKUP(KZC102,[14]AssetDetails_UEM!$A$3:$AH$1849,6,FALSE)</f>
        <v>Electrosurgical Units, Monopolar/Bipolar</v>
      </c>
      <c r="KZE102" s="528" t="s">
        <v>213</v>
      </c>
      <c r="KZF102" s="529" t="str">
        <f>VLOOKUP(KZE102,[14]AssetDetails_UEM!$A$3:$AH$1849,6,FALSE)</f>
        <v>Electrosurgical Units, Monopolar/Bipolar</v>
      </c>
      <c r="KZG102" s="528" t="s">
        <v>213</v>
      </c>
      <c r="KZH102" s="529" t="str">
        <f>VLOOKUP(KZG102,[14]AssetDetails_UEM!$A$3:$AH$1849,6,FALSE)</f>
        <v>Electrosurgical Units, Monopolar/Bipolar</v>
      </c>
      <c r="KZI102" s="528" t="s">
        <v>213</v>
      </c>
      <c r="KZJ102" s="529" t="str">
        <f>VLOOKUP(KZI102,[14]AssetDetails_UEM!$A$3:$AH$1849,6,FALSE)</f>
        <v>Electrosurgical Units, Monopolar/Bipolar</v>
      </c>
      <c r="KZK102" s="528" t="s">
        <v>213</v>
      </c>
      <c r="KZL102" s="529" t="str">
        <f>VLOOKUP(KZK102,[14]AssetDetails_UEM!$A$3:$AH$1849,6,FALSE)</f>
        <v>Electrosurgical Units, Monopolar/Bipolar</v>
      </c>
      <c r="KZM102" s="528" t="s">
        <v>213</v>
      </c>
      <c r="KZN102" s="529" t="str">
        <f>VLOOKUP(KZM102,[14]AssetDetails_UEM!$A$3:$AH$1849,6,FALSE)</f>
        <v>Electrosurgical Units, Monopolar/Bipolar</v>
      </c>
      <c r="KZO102" s="528" t="s">
        <v>213</v>
      </c>
      <c r="KZP102" s="529" t="str">
        <f>VLOOKUP(KZO102,[14]AssetDetails_UEM!$A$3:$AH$1849,6,FALSE)</f>
        <v>Electrosurgical Units, Monopolar/Bipolar</v>
      </c>
      <c r="KZQ102" s="528" t="s">
        <v>213</v>
      </c>
      <c r="KZR102" s="529" t="str">
        <f>VLOOKUP(KZQ102,[14]AssetDetails_UEM!$A$3:$AH$1849,6,FALSE)</f>
        <v>Electrosurgical Units, Monopolar/Bipolar</v>
      </c>
      <c r="KZS102" s="528" t="s">
        <v>213</v>
      </c>
      <c r="KZT102" s="529" t="str">
        <f>VLOOKUP(KZS102,[14]AssetDetails_UEM!$A$3:$AH$1849,6,FALSE)</f>
        <v>Electrosurgical Units, Monopolar/Bipolar</v>
      </c>
      <c r="KZU102" s="528" t="s">
        <v>213</v>
      </c>
      <c r="KZV102" s="529" t="str">
        <f>VLOOKUP(KZU102,[14]AssetDetails_UEM!$A$3:$AH$1849,6,FALSE)</f>
        <v>Electrosurgical Units, Monopolar/Bipolar</v>
      </c>
      <c r="KZW102" s="528" t="s">
        <v>213</v>
      </c>
      <c r="KZX102" s="529" t="str">
        <f>VLOOKUP(KZW102,[14]AssetDetails_UEM!$A$3:$AH$1849,6,FALSE)</f>
        <v>Electrosurgical Units, Monopolar/Bipolar</v>
      </c>
      <c r="KZY102" s="528" t="s">
        <v>213</v>
      </c>
      <c r="KZZ102" s="529" t="str">
        <f>VLOOKUP(KZY102,[14]AssetDetails_UEM!$A$3:$AH$1849,6,FALSE)</f>
        <v>Electrosurgical Units, Monopolar/Bipolar</v>
      </c>
      <c r="LAA102" s="528" t="s">
        <v>213</v>
      </c>
      <c r="LAB102" s="529" t="str">
        <f>VLOOKUP(LAA102,[14]AssetDetails_UEM!$A$3:$AH$1849,6,FALSE)</f>
        <v>Electrosurgical Units, Monopolar/Bipolar</v>
      </c>
      <c r="LAC102" s="528" t="s">
        <v>213</v>
      </c>
      <c r="LAD102" s="529" t="str">
        <f>VLOOKUP(LAC102,[14]AssetDetails_UEM!$A$3:$AH$1849,6,FALSE)</f>
        <v>Electrosurgical Units, Monopolar/Bipolar</v>
      </c>
      <c r="LAE102" s="528" t="s">
        <v>213</v>
      </c>
      <c r="LAF102" s="529" t="str">
        <f>VLOOKUP(LAE102,[14]AssetDetails_UEM!$A$3:$AH$1849,6,FALSE)</f>
        <v>Electrosurgical Units, Monopolar/Bipolar</v>
      </c>
      <c r="LAG102" s="528" t="s">
        <v>213</v>
      </c>
      <c r="LAH102" s="529" t="str">
        <f>VLOOKUP(LAG102,[14]AssetDetails_UEM!$A$3:$AH$1849,6,FALSE)</f>
        <v>Electrosurgical Units, Monopolar/Bipolar</v>
      </c>
      <c r="LAI102" s="528" t="s">
        <v>213</v>
      </c>
      <c r="LAJ102" s="529" t="str">
        <f>VLOOKUP(LAI102,[14]AssetDetails_UEM!$A$3:$AH$1849,6,FALSE)</f>
        <v>Electrosurgical Units, Monopolar/Bipolar</v>
      </c>
      <c r="LAK102" s="528" t="s">
        <v>213</v>
      </c>
      <c r="LAL102" s="529" t="str">
        <f>VLOOKUP(LAK102,[14]AssetDetails_UEM!$A$3:$AH$1849,6,FALSE)</f>
        <v>Electrosurgical Units, Monopolar/Bipolar</v>
      </c>
      <c r="LAM102" s="528" t="s">
        <v>213</v>
      </c>
      <c r="LAN102" s="529" t="str">
        <f>VLOOKUP(LAM102,[14]AssetDetails_UEM!$A$3:$AH$1849,6,FALSE)</f>
        <v>Electrosurgical Units, Monopolar/Bipolar</v>
      </c>
      <c r="LAO102" s="528" t="s">
        <v>213</v>
      </c>
      <c r="LAP102" s="529" t="str">
        <f>VLOOKUP(LAO102,[14]AssetDetails_UEM!$A$3:$AH$1849,6,FALSE)</f>
        <v>Electrosurgical Units, Monopolar/Bipolar</v>
      </c>
      <c r="LAQ102" s="528" t="s">
        <v>213</v>
      </c>
      <c r="LAR102" s="529" t="str">
        <f>VLOOKUP(LAQ102,[14]AssetDetails_UEM!$A$3:$AH$1849,6,FALSE)</f>
        <v>Electrosurgical Units, Monopolar/Bipolar</v>
      </c>
      <c r="LAS102" s="528" t="s">
        <v>213</v>
      </c>
      <c r="LAT102" s="529" t="str">
        <f>VLOOKUP(LAS102,[14]AssetDetails_UEM!$A$3:$AH$1849,6,FALSE)</f>
        <v>Electrosurgical Units, Monopolar/Bipolar</v>
      </c>
      <c r="LAU102" s="528" t="s">
        <v>213</v>
      </c>
      <c r="LAV102" s="529" t="str">
        <f>VLOOKUP(LAU102,[14]AssetDetails_UEM!$A$3:$AH$1849,6,FALSE)</f>
        <v>Electrosurgical Units, Monopolar/Bipolar</v>
      </c>
      <c r="LAW102" s="528" t="s">
        <v>213</v>
      </c>
      <c r="LAX102" s="529" t="str">
        <f>VLOOKUP(LAW102,[14]AssetDetails_UEM!$A$3:$AH$1849,6,FALSE)</f>
        <v>Electrosurgical Units, Monopolar/Bipolar</v>
      </c>
      <c r="LAY102" s="528" t="s">
        <v>213</v>
      </c>
      <c r="LAZ102" s="529" t="str">
        <f>VLOOKUP(LAY102,[14]AssetDetails_UEM!$A$3:$AH$1849,6,FALSE)</f>
        <v>Electrosurgical Units, Monopolar/Bipolar</v>
      </c>
      <c r="LBA102" s="528" t="s">
        <v>213</v>
      </c>
      <c r="LBB102" s="529" t="str">
        <f>VLOOKUP(LBA102,[14]AssetDetails_UEM!$A$3:$AH$1849,6,FALSE)</f>
        <v>Electrosurgical Units, Monopolar/Bipolar</v>
      </c>
      <c r="LBC102" s="528" t="s">
        <v>213</v>
      </c>
      <c r="LBD102" s="529" t="str">
        <f>VLOOKUP(LBC102,[14]AssetDetails_UEM!$A$3:$AH$1849,6,FALSE)</f>
        <v>Electrosurgical Units, Monopolar/Bipolar</v>
      </c>
      <c r="LBE102" s="528" t="s">
        <v>213</v>
      </c>
      <c r="LBF102" s="529" t="str">
        <f>VLOOKUP(LBE102,[14]AssetDetails_UEM!$A$3:$AH$1849,6,FALSE)</f>
        <v>Electrosurgical Units, Monopolar/Bipolar</v>
      </c>
      <c r="LBG102" s="528" t="s">
        <v>213</v>
      </c>
      <c r="LBH102" s="529" t="str">
        <f>VLOOKUP(LBG102,[14]AssetDetails_UEM!$A$3:$AH$1849,6,FALSE)</f>
        <v>Electrosurgical Units, Monopolar/Bipolar</v>
      </c>
      <c r="LBI102" s="528" t="s">
        <v>213</v>
      </c>
      <c r="LBJ102" s="529" t="str">
        <f>VLOOKUP(LBI102,[14]AssetDetails_UEM!$A$3:$AH$1849,6,FALSE)</f>
        <v>Electrosurgical Units, Monopolar/Bipolar</v>
      </c>
      <c r="LBK102" s="528" t="s">
        <v>213</v>
      </c>
      <c r="LBL102" s="529" t="str">
        <f>VLOOKUP(LBK102,[14]AssetDetails_UEM!$A$3:$AH$1849,6,FALSE)</f>
        <v>Electrosurgical Units, Monopolar/Bipolar</v>
      </c>
      <c r="LBM102" s="528" t="s">
        <v>213</v>
      </c>
      <c r="LBN102" s="529" t="str">
        <f>VLOOKUP(LBM102,[14]AssetDetails_UEM!$A$3:$AH$1849,6,FALSE)</f>
        <v>Electrosurgical Units, Monopolar/Bipolar</v>
      </c>
      <c r="LBO102" s="528" t="s">
        <v>213</v>
      </c>
      <c r="LBP102" s="529" t="str">
        <f>VLOOKUP(LBO102,[14]AssetDetails_UEM!$A$3:$AH$1849,6,FALSE)</f>
        <v>Electrosurgical Units, Monopolar/Bipolar</v>
      </c>
      <c r="LBQ102" s="528" t="s">
        <v>213</v>
      </c>
      <c r="LBR102" s="529" t="str">
        <f>VLOOKUP(LBQ102,[14]AssetDetails_UEM!$A$3:$AH$1849,6,FALSE)</f>
        <v>Electrosurgical Units, Monopolar/Bipolar</v>
      </c>
      <c r="LBS102" s="528" t="s">
        <v>213</v>
      </c>
      <c r="LBT102" s="529" t="str">
        <f>VLOOKUP(LBS102,[14]AssetDetails_UEM!$A$3:$AH$1849,6,FALSE)</f>
        <v>Electrosurgical Units, Monopolar/Bipolar</v>
      </c>
      <c r="LBU102" s="528" t="s">
        <v>213</v>
      </c>
      <c r="LBV102" s="529" t="str">
        <f>VLOOKUP(LBU102,[14]AssetDetails_UEM!$A$3:$AH$1849,6,FALSE)</f>
        <v>Electrosurgical Units, Monopolar/Bipolar</v>
      </c>
      <c r="LBW102" s="528" t="s">
        <v>213</v>
      </c>
      <c r="LBX102" s="529" t="str">
        <f>VLOOKUP(LBW102,[14]AssetDetails_UEM!$A$3:$AH$1849,6,FALSE)</f>
        <v>Electrosurgical Units, Monopolar/Bipolar</v>
      </c>
      <c r="LBY102" s="528" t="s">
        <v>213</v>
      </c>
      <c r="LBZ102" s="529" t="str">
        <f>VLOOKUP(LBY102,[14]AssetDetails_UEM!$A$3:$AH$1849,6,FALSE)</f>
        <v>Electrosurgical Units, Monopolar/Bipolar</v>
      </c>
      <c r="LCA102" s="528" t="s">
        <v>213</v>
      </c>
      <c r="LCB102" s="529" t="str">
        <f>VLOOKUP(LCA102,[14]AssetDetails_UEM!$A$3:$AH$1849,6,FALSE)</f>
        <v>Electrosurgical Units, Monopolar/Bipolar</v>
      </c>
      <c r="LCC102" s="528" t="s">
        <v>213</v>
      </c>
      <c r="LCD102" s="529" t="str">
        <f>VLOOKUP(LCC102,[14]AssetDetails_UEM!$A$3:$AH$1849,6,FALSE)</f>
        <v>Electrosurgical Units, Monopolar/Bipolar</v>
      </c>
      <c r="LCE102" s="528" t="s">
        <v>213</v>
      </c>
      <c r="LCF102" s="529" t="str">
        <f>VLOOKUP(LCE102,[14]AssetDetails_UEM!$A$3:$AH$1849,6,FALSE)</f>
        <v>Electrosurgical Units, Monopolar/Bipolar</v>
      </c>
      <c r="LCG102" s="528" t="s">
        <v>213</v>
      </c>
      <c r="LCH102" s="529" t="str">
        <f>VLOOKUP(LCG102,[14]AssetDetails_UEM!$A$3:$AH$1849,6,FALSE)</f>
        <v>Electrosurgical Units, Monopolar/Bipolar</v>
      </c>
      <c r="LCI102" s="528" t="s">
        <v>213</v>
      </c>
      <c r="LCJ102" s="529" t="str">
        <f>VLOOKUP(LCI102,[14]AssetDetails_UEM!$A$3:$AH$1849,6,FALSE)</f>
        <v>Electrosurgical Units, Monopolar/Bipolar</v>
      </c>
      <c r="LCK102" s="528" t="s">
        <v>213</v>
      </c>
      <c r="LCL102" s="529" t="str">
        <f>VLOOKUP(LCK102,[14]AssetDetails_UEM!$A$3:$AH$1849,6,FALSE)</f>
        <v>Electrosurgical Units, Monopolar/Bipolar</v>
      </c>
      <c r="LCM102" s="528" t="s">
        <v>213</v>
      </c>
      <c r="LCN102" s="529" t="str">
        <f>VLOOKUP(LCM102,[14]AssetDetails_UEM!$A$3:$AH$1849,6,FALSE)</f>
        <v>Electrosurgical Units, Monopolar/Bipolar</v>
      </c>
      <c r="LCO102" s="528" t="s">
        <v>213</v>
      </c>
      <c r="LCP102" s="529" t="str">
        <f>VLOOKUP(LCO102,[14]AssetDetails_UEM!$A$3:$AH$1849,6,FALSE)</f>
        <v>Electrosurgical Units, Monopolar/Bipolar</v>
      </c>
      <c r="LCQ102" s="528" t="s">
        <v>213</v>
      </c>
      <c r="LCR102" s="529" t="str">
        <f>VLOOKUP(LCQ102,[14]AssetDetails_UEM!$A$3:$AH$1849,6,FALSE)</f>
        <v>Electrosurgical Units, Monopolar/Bipolar</v>
      </c>
      <c r="LCS102" s="528" t="s">
        <v>213</v>
      </c>
      <c r="LCT102" s="529" t="str">
        <f>VLOOKUP(LCS102,[14]AssetDetails_UEM!$A$3:$AH$1849,6,FALSE)</f>
        <v>Electrosurgical Units, Monopolar/Bipolar</v>
      </c>
      <c r="LCU102" s="528" t="s">
        <v>213</v>
      </c>
      <c r="LCV102" s="529" t="str">
        <f>VLOOKUP(LCU102,[14]AssetDetails_UEM!$A$3:$AH$1849,6,FALSE)</f>
        <v>Electrosurgical Units, Monopolar/Bipolar</v>
      </c>
      <c r="LCW102" s="528" t="s">
        <v>213</v>
      </c>
      <c r="LCX102" s="529" t="str">
        <f>VLOOKUP(LCW102,[14]AssetDetails_UEM!$A$3:$AH$1849,6,FALSE)</f>
        <v>Electrosurgical Units, Monopolar/Bipolar</v>
      </c>
      <c r="LCY102" s="528" t="s">
        <v>213</v>
      </c>
      <c r="LCZ102" s="529" t="str">
        <f>VLOOKUP(LCY102,[14]AssetDetails_UEM!$A$3:$AH$1849,6,FALSE)</f>
        <v>Electrosurgical Units, Monopolar/Bipolar</v>
      </c>
      <c r="LDA102" s="528" t="s">
        <v>213</v>
      </c>
      <c r="LDB102" s="529" t="str">
        <f>VLOOKUP(LDA102,[14]AssetDetails_UEM!$A$3:$AH$1849,6,FALSE)</f>
        <v>Electrosurgical Units, Monopolar/Bipolar</v>
      </c>
      <c r="LDC102" s="528" t="s">
        <v>213</v>
      </c>
      <c r="LDD102" s="529" t="str">
        <f>VLOOKUP(LDC102,[14]AssetDetails_UEM!$A$3:$AH$1849,6,FALSE)</f>
        <v>Electrosurgical Units, Monopolar/Bipolar</v>
      </c>
      <c r="LDE102" s="528" t="s">
        <v>213</v>
      </c>
      <c r="LDF102" s="529" t="str">
        <f>VLOOKUP(LDE102,[14]AssetDetails_UEM!$A$3:$AH$1849,6,FALSE)</f>
        <v>Electrosurgical Units, Monopolar/Bipolar</v>
      </c>
      <c r="LDG102" s="528" t="s">
        <v>213</v>
      </c>
      <c r="LDH102" s="529" t="str">
        <f>VLOOKUP(LDG102,[14]AssetDetails_UEM!$A$3:$AH$1849,6,FALSE)</f>
        <v>Electrosurgical Units, Monopolar/Bipolar</v>
      </c>
      <c r="LDI102" s="528" t="s">
        <v>213</v>
      </c>
      <c r="LDJ102" s="529" t="str">
        <f>VLOOKUP(LDI102,[14]AssetDetails_UEM!$A$3:$AH$1849,6,FALSE)</f>
        <v>Electrosurgical Units, Monopolar/Bipolar</v>
      </c>
      <c r="LDK102" s="528" t="s">
        <v>213</v>
      </c>
      <c r="LDL102" s="529" t="str">
        <f>VLOOKUP(LDK102,[14]AssetDetails_UEM!$A$3:$AH$1849,6,FALSE)</f>
        <v>Electrosurgical Units, Monopolar/Bipolar</v>
      </c>
      <c r="LDM102" s="528" t="s">
        <v>213</v>
      </c>
      <c r="LDN102" s="529" t="str">
        <f>VLOOKUP(LDM102,[14]AssetDetails_UEM!$A$3:$AH$1849,6,FALSE)</f>
        <v>Electrosurgical Units, Monopolar/Bipolar</v>
      </c>
      <c r="LDO102" s="528" t="s">
        <v>213</v>
      </c>
      <c r="LDP102" s="529" t="str">
        <f>VLOOKUP(LDO102,[14]AssetDetails_UEM!$A$3:$AH$1849,6,FALSE)</f>
        <v>Electrosurgical Units, Monopolar/Bipolar</v>
      </c>
      <c r="LDQ102" s="528" t="s">
        <v>213</v>
      </c>
      <c r="LDR102" s="529" t="str">
        <f>VLOOKUP(LDQ102,[14]AssetDetails_UEM!$A$3:$AH$1849,6,FALSE)</f>
        <v>Electrosurgical Units, Monopolar/Bipolar</v>
      </c>
      <c r="LDS102" s="528" t="s">
        <v>213</v>
      </c>
      <c r="LDT102" s="529" t="str">
        <f>VLOOKUP(LDS102,[14]AssetDetails_UEM!$A$3:$AH$1849,6,FALSE)</f>
        <v>Electrosurgical Units, Monopolar/Bipolar</v>
      </c>
      <c r="LDU102" s="528" t="s">
        <v>213</v>
      </c>
      <c r="LDV102" s="529" t="str">
        <f>VLOOKUP(LDU102,[14]AssetDetails_UEM!$A$3:$AH$1849,6,FALSE)</f>
        <v>Electrosurgical Units, Monopolar/Bipolar</v>
      </c>
      <c r="LDW102" s="528" t="s">
        <v>213</v>
      </c>
      <c r="LDX102" s="529" t="str">
        <f>VLOOKUP(LDW102,[14]AssetDetails_UEM!$A$3:$AH$1849,6,FALSE)</f>
        <v>Electrosurgical Units, Monopolar/Bipolar</v>
      </c>
      <c r="LDY102" s="528" t="s">
        <v>213</v>
      </c>
      <c r="LDZ102" s="529" t="str">
        <f>VLOOKUP(LDY102,[14]AssetDetails_UEM!$A$3:$AH$1849,6,FALSE)</f>
        <v>Electrosurgical Units, Monopolar/Bipolar</v>
      </c>
      <c r="LEA102" s="528" t="s">
        <v>213</v>
      </c>
      <c r="LEB102" s="529" t="str">
        <f>VLOOKUP(LEA102,[14]AssetDetails_UEM!$A$3:$AH$1849,6,FALSE)</f>
        <v>Electrosurgical Units, Monopolar/Bipolar</v>
      </c>
      <c r="LEC102" s="528" t="s">
        <v>213</v>
      </c>
      <c r="LED102" s="529" t="str">
        <f>VLOOKUP(LEC102,[14]AssetDetails_UEM!$A$3:$AH$1849,6,FALSE)</f>
        <v>Electrosurgical Units, Monopolar/Bipolar</v>
      </c>
      <c r="LEE102" s="528" t="s">
        <v>213</v>
      </c>
      <c r="LEF102" s="529" t="str">
        <f>VLOOKUP(LEE102,[14]AssetDetails_UEM!$A$3:$AH$1849,6,FALSE)</f>
        <v>Electrosurgical Units, Monopolar/Bipolar</v>
      </c>
      <c r="LEG102" s="528" t="s">
        <v>213</v>
      </c>
      <c r="LEH102" s="529" t="str">
        <f>VLOOKUP(LEG102,[14]AssetDetails_UEM!$A$3:$AH$1849,6,FALSE)</f>
        <v>Electrosurgical Units, Monopolar/Bipolar</v>
      </c>
      <c r="LEI102" s="528" t="s">
        <v>213</v>
      </c>
      <c r="LEJ102" s="529" t="str">
        <f>VLOOKUP(LEI102,[14]AssetDetails_UEM!$A$3:$AH$1849,6,FALSE)</f>
        <v>Electrosurgical Units, Monopolar/Bipolar</v>
      </c>
      <c r="LEK102" s="528" t="s">
        <v>213</v>
      </c>
      <c r="LEL102" s="529" t="str">
        <f>VLOOKUP(LEK102,[14]AssetDetails_UEM!$A$3:$AH$1849,6,FALSE)</f>
        <v>Electrosurgical Units, Monopolar/Bipolar</v>
      </c>
      <c r="LEM102" s="528" t="s">
        <v>213</v>
      </c>
      <c r="LEN102" s="529" t="str">
        <f>VLOOKUP(LEM102,[14]AssetDetails_UEM!$A$3:$AH$1849,6,FALSE)</f>
        <v>Electrosurgical Units, Monopolar/Bipolar</v>
      </c>
      <c r="LEO102" s="528" t="s">
        <v>213</v>
      </c>
      <c r="LEP102" s="529" t="str">
        <f>VLOOKUP(LEO102,[14]AssetDetails_UEM!$A$3:$AH$1849,6,FALSE)</f>
        <v>Electrosurgical Units, Monopolar/Bipolar</v>
      </c>
      <c r="LEQ102" s="528" t="s">
        <v>213</v>
      </c>
      <c r="LER102" s="529" t="str">
        <f>VLOOKUP(LEQ102,[14]AssetDetails_UEM!$A$3:$AH$1849,6,FALSE)</f>
        <v>Electrosurgical Units, Monopolar/Bipolar</v>
      </c>
      <c r="LES102" s="528" t="s">
        <v>213</v>
      </c>
      <c r="LET102" s="529" t="str">
        <f>VLOOKUP(LES102,[14]AssetDetails_UEM!$A$3:$AH$1849,6,FALSE)</f>
        <v>Electrosurgical Units, Monopolar/Bipolar</v>
      </c>
      <c r="LEU102" s="528" t="s">
        <v>213</v>
      </c>
      <c r="LEV102" s="529" t="str">
        <f>VLOOKUP(LEU102,[14]AssetDetails_UEM!$A$3:$AH$1849,6,FALSE)</f>
        <v>Electrosurgical Units, Monopolar/Bipolar</v>
      </c>
      <c r="LEW102" s="528" t="s">
        <v>213</v>
      </c>
      <c r="LEX102" s="529" t="str">
        <f>VLOOKUP(LEW102,[14]AssetDetails_UEM!$A$3:$AH$1849,6,FALSE)</f>
        <v>Electrosurgical Units, Monopolar/Bipolar</v>
      </c>
      <c r="LEY102" s="528" t="s">
        <v>213</v>
      </c>
      <c r="LEZ102" s="529" t="str">
        <f>VLOOKUP(LEY102,[14]AssetDetails_UEM!$A$3:$AH$1849,6,FALSE)</f>
        <v>Electrosurgical Units, Monopolar/Bipolar</v>
      </c>
      <c r="LFA102" s="528" t="s">
        <v>213</v>
      </c>
      <c r="LFB102" s="529" t="str">
        <f>VLOOKUP(LFA102,[14]AssetDetails_UEM!$A$3:$AH$1849,6,FALSE)</f>
        <v>Electrosurgical Units, Monopolar/Bipolar</v>
      </c>
      <c r="LFC102" s="528" t="s">
        <v>213</v>
      </c>
      <c r="LFD102" s="529" t="str">
        <f>VLOOKUP(LFC102,[14]AssetDetails_UEM!$A$3:$AH$1849,6,FALSE)</f>
        <v>Electrosurgical Units, Monopolar/Bipolar</v>
      </c>
      <c r="LFE102" s="528" t="s">
        <v>213</v>
      </c>
      <c r="LFF102" s="529" t="str">
        <f>VLOOKUP(LFE102,[14]AssetDetails_UEM!$A$3:$AH$1849,6,FALSE)</f>
        <v>Electrosurgical Units, Monopolar/Bipolar</v>
      </c>
      <c r="LFG102" s="528" t="s">
        <v>213</v>
      </c>
      <c r="LFH102" s="529" t="str">
        <f>VLOOKUP(LFG102,[14]AssetDetails_UEM!$A$3:$AH$1849,6,FALSE)</f>
        <v>Electrosurgical Units, Monopolar/Bipolar</v>
      </c>
      <c r="LFI102" s="528" t="s">
        <v>213</v>
      </c>
      <c r="LFJ102" s="529" t="str">
        <f>VLOOKUP(LFI102,[14]AssetDetails_UEM!$A$3:$AH$1849,6,FALSE)</f>
        <v>Electrosurgical Units, Monopolar/Bipolar</v>
      </c>
      <c r="LFK102" s="528" t="s">
        <v>213</v>
      </c>
      <c r="LFL102" s="529" t="str">
        <f>VLOOKUP(LFK102,[14]AssetDetails_UEM!$A$3:$AH$1849,6,FALSE)</f>
        <v>Electrosurgical Units, Monopolar/Bipolar</v>
      </c>
      <c r="LFM102" s="528" t="s">
        <v>213</v>
      </c>
      <c r="LFN102" s="529" t="str">
        <f>VLOOKUP(LFM102,[14]AssetDetails_UEM!$A$3:$AH$1849,6,FALSE)</f>
        <v>Electrosurgical Units, Monopolar/Bipolar</v>
      </c>
      <c r="LFO102" s="528" t="s">
        <v>213</v>
      </c>
      <c r="LFP102" s="529" t="str">
        <f>VLOOKUP(LFO102,[14]AssetDetails_UEM!$A$3:$AH$1849,6,FALSE)</f>
        <v>Electrosurgical Units, Monopolar/Bipolar</v>
      </c>
      <c r="LFQ102" s="528" t="s">
        <v>213</v>
      </c>
      <c r="LFR102" s="529" t="str">
        <f>VLOOKUP(LFQ102,[14]AssetDetails_UEM!$A$3:$AH$1849,6,FALSE)</f>
        <v>Electrosurgical Units, Monopolar/Bipolar</v>
      </c>
      <c r="LFS102" s="528" t="s">
        <v>213</v>
      </c>
      <c r="LFT102" s="529" t="str">
        <f>VLOOKUP(LFS102,[14]AssetDetails_UEM!$A$3:$AH$1849,6,FALSE)</f>
        <v>Electrosurgical Units, Monopolar/Bipolar</v>
      </c>
      <c r="LFU102" s="528" t="s">
        <v>213</v>
      </c>
      <c r="LFV102" s="529" t="str">
        <f>VLOOKUP(LFU102,[14]AssetDetails_UEM!$A$3:$AH$1849,6,FALSE)</f>
        <v>Electrosurgical Units, Monopolar/Bipolar</v>
      </c>
      <c r="LFW102" s="528" t="s">
        <v>213</v>
      </c>
      <c r="LFX102" s="529" t="str">
        <f>VLOOKUP(LFW102,[14]AssetDetails_UEM!$A$3:$AH$1849,6,FALSE)</f>
        <v>Electrosurgical Units, Monopolar/Bipolar</v>
      </c>
      <c r="LFY102" s="528" t="s">
        <v>213</v>
      </c>
      <c r="LFZ102" s="529" t="str">
        <f>VLOOKUP(LFY102,[14]AssetDetails_UEM!$A$3:$AH$1849,6,FALSE)</f>
        <v>Electrosurgical Units, Monopolar/Bipolar</v>
      </c>
      <c r="LGA102" s="528" t="s">
        <v>213</v>
      </c>
      <c r="LGB102" s="529" t="str">
        <f>VLOOKUP(LGA102,[14]AssetDetails_UEM!$A$3:$AH$1849,6,FALSE)</f>
        <v>Electrosurgical Units, Monopolar/Bipolar</v>
      </c>
      <c r="LGC102" s="528" t="s">
        <v>213</v>
      </c>
      <c r="LGD102" s="529" t="str">
        <f>VLOOKUP(LGC102,[14]AssetDetails_UEM!$A$3:$AH$1849,6,FALSE)</f>
        <v>Electrosurgical Units, Monopolar/Bipolar</v>
      </c>
      <c r="LGE102" s="528" t="s">
        <v>213</v>
      </c>
      <c r="LGF102" s="529" t="str">
        <f>VLOOKUP(LGE102,[14]AssetDetails_UEM!$A$3:$AH$1849,6,FALSE)</f>
        <v>Electrosurgical Units, Monopolar/Bipolar</v>
      </c>
      <c r="LGG102" s="528" t="s">
        <v>213</v>
      </c>
      <c r="LGH102" s="529" t="str">
        <f>VLOOKUP(LGG102,[14]AssetDetails_UEM!$A$3:$AH$1849,6,FALSE)</f>
        <v>Electrosurgical Units, Monopolar/Bipolar</v>
      </c>
      <c r="LGI102" s="528" t="s">
        <v>213</v>
      </c>
      <c r="LGJ102" s="529" t="str">
        <f>VLOOKUP(LGI102,[14]AssetDetails_UEM!$A$3:$AH$1849,6,FALSE)</f>
        <v>Electrosurgical Units, Monopolar/Bipolar</v>
      </c>
      <c r="LGK102" s="528" t="s">
        <v>213</v>
      </c>
      <c r="LGL102" s="529" t="str">
        <f>VLOOKUP(LGK102,[14]AssetDetails_UEM!$A$3:$AH$1849,6,FALSE)</f>
        <v>Electrosurgical Units, Monopolar/Bipolar</v>
      </c>
      <c r="LGM102" s="528" t="s">
        <v>213</v>
      </c>
      <c r="LGN102" s="529" t="str">
        <f>VLOOKUP(LGM102,[14]AssetDetails_UEM!$A$3:$AH$1849,6,FALSE)</f>
        <v>Electrosurgical Units, Monopolar/Bipolar</v>
      </c>
      <c r="LGO102" s="528" t="s">
        <v>213</v>
      </c>
      <c r="LGP102" s="529" t="str">
        <f>VLOOKUP(LGO102,[14]AssetDetails_UEM!$A$3:$AH$1849,6,FALSE)</f>
        <v>Electrosurgical Units, Monopolar/Bipolar</v>
      </c>
      <c r="LGQ102" s="528" t="s">
        <v>213</v>
      </c>
      <c r="LGR102" s="529" t="str">
        <f>VLOOKUP(LGQ102,[14]AssetDetails_UEM!$A$3:$AH$1849,6,FALSE)</f>
        <v>Electrosurgical Units, Monopolar/Bipolar</v>
      </c>
      <c r="LGS102" s="528" t="s">
        <v>213</v>
      </c>
      <c r="LGT102" s="529" t="str">
        <f>VLOOKUP(LGS102,[14]AssetDetails_UEM!$A$3:$AH$1849,6,FALSE)</f>
        <v>Electrosurgical Units, Monopolar/Bipolar</v>
      </c>
      <c r="LGU102" s="528" t="s">
        <v>213</v>
      </c>
      <c r="LGV102" s="529" t="str">
        <f>VLOOKUP(LGU102,[14]AssetDetails_UEM!$A$3:$AH$1849,6,FALSE)</f>
        <v>Electrosurgical Units, Monopolar/Bipolar</v>
      </c>
      <c r="LGW102" s="528" t="s">
        <v>213</v>
      </c>
      <c r="LGX102" s="529" t="str">
        <f>VLOOKUP(LGW102,[14]AssetDetails_UEM!$A$3:$AH$1849,6,FALSE)</f>
        <v>Electrosurgical Units, Monopolar/Bipolar</v>
      </c>
      <c r="LGY102" s="528" t="s">
        <v>213</v>
      </c>
      <c r="LGZ102" s="529" t="str">
        <f>VLOOKUP(LGY102,[14]AssetDetails_UEM!$A$3:$AH$1849,6,FALSE)</f>
        <v>Electrosurgical Units, Monopolar/Bipolar</v>
      </c>
      <c r="LHA102" s="528" t="s">
        <v>213</v>
      </c>
      <c r="LHB102" s="529" t="str">
        <f>VLOOKUP(LHA102,[14]AssetDetails_UEM!$A$3:$AH$1849,6,FALSE)</f>
        <v>Electrosurgical Units, Monopolar/Bipolar</v>
      </c>
      <c r="LHC102" s="528" t="s">
        <v>213</v>
      </c>
      <c r="LHD102" s="529" t="str">
        <f>VLOOKUP(LHC102,[14]AssetDetails_UEM!$A$3:$AH$1849,6,FALSE)</f>
        <v>Electrosurgical Units, Monopolar/Bipolar</v>
      </c>
      <c r="LHE102" s="528" t="s">
        <v>213</v>
      </c>
      <c r="LHF102" s="529" t="str">
        <f>VLOOKUP(LHE102,[14]AssetDetails_UEM!$A$3:$AH$1849,6,FALSE)</f>
        <v>Electrosurgical Units, Monopolar/Bipolar</v>
      </c>
      <c r="LHG102" s="528" t="s">
        <v>213</v>
      </c>
      <c r="LHH102" s="529" t="str">
        <f>VLOOKUP(LHG102,[14]AssetDetails_UEM!$A$3:$AH$1849,6,FALSE)</f>
        <v>Electrosurgical Units, Monopolar/Bipolar</v>
      </c>
      <c r="LHI102" s="528" t="s">
        <v>213</v>
      </c>
      <c r="LHJ102" s="529" t="str">
        <f>VLOOKUP(LHI102,[14]AssetDetails_UEM!$A$3:$AH$1849,6,FALSE)</f>
        <v>Electrosurgical Units, Monopolar/Bipolar</v>
      </c>
      <c r="LHK102" s="528" t="s">
        <v>213</v>
      </c>
      <c r="LHL102" s="529" t="str">
        <f>VLOOKUP(LHK102,[14]AssetDetails_UEM!$A$3:$AH$1849,6,FALSE)</f>
        <v>Electrosurgical Units, Monopolar/Bipolar</v>
      </c>
      <c r="LHM102" s="528" t="s">
        <v>213</v>
      </c>
      <c r="LHN102" s="529" t="str">
        <f>VLOOKUP(LHM102,[14]AssetDetails_UEM!$A$3:$AH$1849,6,FALSE)</f>
        <v>Electrosurgical Units, Monopolar/Bipolar</v>
      </c>
      <c r="LHO102" s="528" t="s">
        <v>213</v>
      </c>
      <c r="LHP102" s="529" t="str">
        <f>VLOOKUP(LHO102,[14]AssetDetails_UEM!$A$3:$AH$1849,6,FALSE)</f>
        <v>Electrosurgical Units, Monopolar/Bipolar</v>
      </c>
      <c r="LHQ102" s="528" t="s">
        <v>213</v>
      </c>
      <c r="LHR102" s="529" t="str">
        <f>VLOOKUP(LHQ102,[14]AssetDetails_UEM!$A$3:$AH$1849,6,FALSE)</f>
        <v>Electrosurgical Units, Monopolar/Bipolar</v>
      </c>
      <c r="LHS102" s="528" t="s">
        <v>213</v>
      </c>
      <c r="LHT102" s="529" t="str">
        <f>VLOOKUP(LHS102,[14]AssetDetails_UEM!$A$3:$AH$1849,6,FALSE)</f>
        <v>Electrosurgical Units, Monopolar/Bipolar</v>
      </c>
      <c r="LHU102" s="528" t="s">
        <v>213</v>
      </c>
      <c r="LHV102" s="529" t="str">
        <f>VLOOKUP(LHU102,[14]AssetDetails_UEM!$A$3:$AH$1849,6,FALSE)</f>
        <v>Electrosurgical Units, Monopolar/Bipolar</v>
      </c>
      <c r="LHW102" s="528" t="s">
        <v>213</v>
      </c>
      <c r="LHX102" s="529" t="str">
        <f>VLOOKUP(LHW102,[14]AssetDetails_UEM!$A$3:$AH$1849,6,FALSE)</f>
        <v>Electrosurgical Units, Monopolar/Bipolar</v>
      </c>
      <c r="LHY102" s="528" t="s">
        <v>213</v>
      </c>
      <c r="LHZ102" s="529" t="str">
        <f>VLOOKUP(LHY102,[14]AssetDetails_UEM!$A$3:$AH$1849,6,FALSE)</f>
        <v>Electrosurgical Units, Monopolar/Bipolar</v>
      </c>
      <c r="LIA102" s="528" t="s">
        <v>213</v>
      </c>
      <c r="LIB102" s="529" t="str">
        <f>VLOOKUP(LIA102,[14]AssetDetails_UEM!$A$3:$AH$1849,6,FALSE)</f>
        <v>Electrosurgical Units, Monopolar/Bipolar</v>
      </c>
      <c r="LIC102" s="528" t="s">
        <v>213</v>
      </c>
      <c r="LID102" s="529" t="str">
        <f>VLOOKUP(LIC102,[14]AssetDetails_UEM!$A$3:$AH$1849,6,FALSE)</f>
        <v>Electrosurgical Units, Monopolar/Bipolar</v>
      </c>
      <c r="LIE102" s="528" t="s">
        <v>213</v>
      </c>
      <c r="LIF102" s="529" t="str">
        <f>VLOOKUP(LIE102,[14]AssetDetails_UEM!$A$3:$AH$1849,6,FALSE)</f>
        <v>Electrosurgical Units, Monopolar/Bipolar</v>
      </c>
      <c r="LIG102" s="528" t="s">
        <v>213</v>
      </c>
      <c r="LIH102" s="529" t="str">
        <f>VLOOKUP(LIG102,[14]AssetDetails_UEM!$A$3:$AH$1849,6,FALSE)</f>
        <v>Electrosurgical Units, Monopolar/Bipolar</v>
      </c>
      <c r="LII102" s="528" t="s">
        <v>213</v>
      </c>
      <c r="LIJ102" s="529" t="str">
        <f>VLOOKUP(LII102,[14]AssetDetails_UEM!$A$3:$AH$1849,6,FALSE)</f>
        <v>Electrosurgical Units, Monopolar/Bipolar</v>
      </c>
      <c r="LIK102" s="528" t="s">
        <v>213</v>
      </c>
      <c r="LIL102" s="529" t="str">
        <f>VLOOKUP(LIK102,[14]AssetDetails_UEM!$A$3:$AH$1849,6,FALSE)</f>
        <v>Electrosurgical Units, Monopolar/Bipolar</v>
      </c>
      <c r="LIM102" s="528" t="s">
        <v>213</v>
      </c>
      <c r="LIN102" s="529" t="str">
        <f>VLOOKUP(LIM102,[14]AssetDetails_UEM!$A$3:$AH$1849,6,FALSE)</f>
        <v>Electrosurgical Units, Monopolar/Bipolar</v>
      </c>
      <c r="LIO102" s="528" t="s">
        <v>213</v>
      </c>
      <c r="LIP102" s="529" t="str">
        <f>VLOOKUP(LIO102,[14]AssetDetails_UEM!$A$3:$AH$1849,6,FALSE)</f>
        <v>Electrosurgical Units, Monopolar/Bipolar</v>
      </c>
      <c r="LIQ102" s="528" t="s">
        <v>213</v>
      </c>
      <c r="LIR102" s="529" t="str">
        <f>VLOOKUP(LIQ102,[14]AssetDetails_UEM!$A$3:$AH$1849,6,FALSE)</f>
        <v>Electrosurgical Units, Monopolar/Bipolar</v>
      </c>
      <c r="LIS102" s="528" t="s">
        <v>213</v>
      </c>
      <c r="LIT102" s="529" t="str">
        <f>VLOOKUP(LIS102,[14]AssetDetails_UEM!$A$3:$AH$1849,6,FALSE)</f>
        <v>Electrosurgical Units, Monopolar/Bipolar</v>
      </c>
      <c r="LIU102" s="528" t="s">
        <v>213</v>
      </c>
      <c r="LIV102" s="529" t="str">
        <f>VLOOKUP(LIU102,[14]AssetDetails_UEM!$A$3:$AH$1849,6,FALSE)</f>
        <v>Electrosurgical Units, Monopolar/Bipolar</v>
      </c>
      <c r="LIW102" s="528" t="s">
        <v>213</v>
      </c>
      <c r="LIX102" s="529" t="str">
        <f>VLOOKUP(LIW102,[14]AssetDetails_UEM!$A$3:$AH$1849,6,FALSE)</f>
        <v>Electrosurgical Units, Monopolar/Bipolar</v>
      </c>
      <c r="LIY102" s="528" t="s">
        <v>213</v>
      </c>
      <c r="LIZ102" s="529" t="str">
        <f>VLOOKUP(LIY102,[14]AssetDetails_UEM!$A$3:$AH$1849,6,FALSE)</f>
        <v>Electrosurgical Units, Monopolar/Bipolar</v>
      </c>
      <c r="LJA102" s="528" t="s">
        <v>213</v>
      </c>
      <c r="LJB102" s="529" t="str">
        <f>VLOOKUP(LJA102,[14]AssetDetails_UEM!$A$3:$AH$1849,6,FALSE)</f>
        <v>Electrosurgical Units, Monopolar/Bipolar</v>
      </c>
      <c r="LJC102" s="528" t="s">
        <v>213</v>
      </c>
      <c r="LJD102" s="529" t="str">
        <f>VLOOKUP(LJC102,[14]AssetDetails_UEM!$A$3:$AH$1849,6,FALSE)</f>
        <v>Electrosurgical Units, Monopolar/Bipolar</v>
      </c>
      <c r="LJE102" s="528" t="s">
        <v>213</v>
      </c>
      <c r="LJF102" s="529" t="str">
        <f>VLOOKUP(LJE102,[14]AssetDetails_UEM!$A$3:$AH$1849,6,FALSE)</f>
        <v>Electrosurgical Units, Monopolar/Bipolar</v>
      </c>
      <c r="LJG102" s="528" t="s">
        <v>213</v>
      </c>
      <c r="LJH102" s="529" t="str">
        <f>VLOOKUP(LJG102,[14]AssetDetails_UEM!$A$3:$AH$1849,6,FALSE)</f>
        <v>Electrosurgical Units, Monopolar/Bipolar</v>
      </c>
      <c r="LJI102" s="528" t="s">
        <v>213</v>
      </c>
      <c r="LJJ102" s="529" t="str">
        <f>VLOOKUP(LJI102,[14]AssetDetails_UEM!$A$3:$AH$1849,6,FALSE)</f>
        <v>Electrosurgical Units, Monopolar/Bipolar</v>
      </c>
      <c r="LJK102" s="528" t="s">
        <v>213</v>
      </c>
      <c r="LJL102" s="529" t="str">
        <f>VLOOKUP(LJK102,[14]AssetDetails_UEM!$A$3:$AH$1849,6,FALSE)</f>
        <v>Electrosurgical Units, Monopolar/Bipolar</v>
      </c>
      <c r="LJM102" s="528" t="s">
        <v>213</v>
      </c>
      <c r="LJN102" s="529" t="str">
        <f>VLOOKUP(LJM102,[14]AssetDetails_UEM!$A$3:$AH$1849,6,FALSE)</f>
        <v>Electrosurgical Units, Monopolar/Bipolar</v>
      </c>
      <c r="LJO102" s="528" t="s">
        <v>213</v>
      </c>
      <c r="LJP102" s="529" t="str">
        <f>VLOOKUP(LJO102,[14]AssetDetails_UEM!$A$3:$AH$1849,6,FALSE)</f>
        <v>Electrosurgical Units, Monopolar/Bipolar</v>
      </c>
      <c r="LJQ102" s="528" t="s">
        <v>213</v>
      </c>
      <c r="LJR102" s="529" t="str">
        <f>VLOOKUP(LJQ102,[14]AssetDetails_UEM!$A$3:$AH$1849,6,FALSE)</f>
        <v>Electrosurgical Units, Monopolar/Bipolar</v>
      </c>
      <c r="LJS102" s="528" t="s">
        <v>213</v>
      </c>
      <c r="LJT102" s="529" t="str">
        <f>VLOOKUP(LJS102,[14]AssetDetails_UEM!$A$3:$AH$1849,6,FALSE)</f>
        <v>Electrosurgical Units, Monopolar/Bipolar</v>
      </c>
      <c r="LJU102" s="528" t="s">
        <v>213</v>
      </c>
      <c r="LJV102" s="529" t="str">
        <f>VLOOKUP(LJU102,[14]AssetDetails_UEM!$A$3:$AH$1849,6,FALSE)</f>
        <v>Electrosurgical Units, Monopolar/Bipolar</v>
      </c>
      <c r="LJW102" s="528" t="s">
        <v>213</v>
      </c>
      <c r="LJX102" s="529" t="str">
        <f>VLOOKUP(LJW102,[14]AssetDetails_UEM!$A$3:$AH$1849,6,FALSE)</f>
        <v>Electrosurgical Units, Monopolar/Bipolar</v>
      </c>
      <c r="LJY102" s="528" t="s">
        <v>213</v>
      </c>
      <c r="LJZ102" s="529" t="str">
        <f>VLOOKUP(LJY102,[14]AssetDetails_UEM!$A$3:$AH$1849,6,FALSE)</f>
        <v>Electrosurgical Units, Monopolar/Bipolar</v>
      </c>
      <c r="LKA102" s="528" t="s">
        <v>213</v>
      </c>
      <c r="LKB102" s="529" t="str">
        <f>VLOOKUP(LKA102,[14]AssetDetails_UEM!$A$3:$AH$1849,6,FALSE)</f>
        <v>Electrosurgical Units, Monopolar/Bipolar</v>
      </c>
      <c r="LKC102" s="528" t="s">
        <v>213</v>
      </c>
      <c r="LKD102" s="529" t="str">
        <f>VLOOKUP(LKC102,[14]AssetDetails_UEM!$A$3:$AH$1849,6,FALSE)</f>
        <v>Electrosurgical Units, Monopolar/Bipolar</v>
      </c>
      <c r="LKE102" s="528" t="s">
        <v>213</v>
      </c>
      <c r="LKF102" s="529" t="str">
        <f>VLOOKUP(LKE102,[14]AssetDetails_UEM!$A$3:$AH$1849,6,FALSE)</f>
        <v>Electrosurgical Units, Monopolar/Bipolar</v>
      </c>
      <c r="LKG102" s="528" t="s">
        <v>213</v>
      </c>
      <c r="LKH102" s="529" t="str">
        <f>VLOOKUP(LKG102,[14]AssetDetails_UEM!$A$3:$AH$1849,6,FALSE)</f>
        <v>Electrosurgical Units, Monopolar/Bipolar</v>
      </c>
      <c r="LKI102" s="528" t="s">
        <v>213</v>
      </c>
      <c r="LKJ102" s="529" t="str">
        <f>VLOOKUP(LKI102,[14]AssetDetails_UEM!$A$3:$AH$1849,6,FALSE)</f>
        <v>Electrosurgical Units, Monopolar/Bipolar</v>
      </c>
      <c r="LKK102" s="528" t="s">
        <v>213</v>
      </c>
      <c r="LKL102" s="529" t="str">
        <f>VLOOKUP(LKK102,[14]AssetDetails_UEM!$A$3:$AH$1849,6,FALSE)</f>
        <v>Electrosurgical Units, Monopolar/Bipolar</v>
      </c>
      <c r="LKM102" s="528" t="s">
        <v>213</v>
      </c>
      <c r="LKN102" s="529" t="str">
        <f>VLOOKUP(LKM102,[14]AssetDetails_UEM!$A$3:$AH$1849,6,FALSE)</f>
        <v>Electrosurgical Units, Monopolar/Bipolar</v>
      </c>
      <c r="LKO102" s="528" t="s">
        <v>213</v>
      </c>
      <c r="LKP102" s="529" t="str">
        <f>VLOOKUP(LKO102,[14]AssetDetails_UEM!$A$3:$AH$1849,6,FALSE)</f>
        <v>Electrosurgical Units, Monopolar/Bipolar</v>
      </c>
      <c r="LKQ102" s="528" t="s">
        <v>213</v>
      </c>
      <c r="LKR102" s="529" t="str">
        <f>VLOOKUP(LKQ102,[14]AssetDetails_UEM!$A$3:$AH$1849,6,FALSE)</f>
        <v>Electrosurgical Units, Monopolar/Bipolar</v>
      </c>
      <c r="LKS102" s="528" t="s">
        <v>213</v>
      </c>
      <c r="LKT102" s="529" t="str">
        <f>VLOOKUP(LKS102,[14]AssetDetails_UEM!$A$3:$AH$1849,6,FALSE)</f>
        <v>Electrosurgical Units, Monopolar/Bipolar</v>
      </c>
      <c r="LKU102" s="528" t="s">
        <v>213</v>
      </c>
      <c r="LKV102" s="529" t="str">
        <f>VLOOKUP(LKU102,[14]AssetDetails_UEM!$A$3:$AH$1849,6,FALSE)</f>
        <v>Electrosurgical Units, Monopolar/Bipolar</v>
      </c>
      <c r="LKW102" s="528" t="s">
        <v>213</v>
      </c>
      <c r="LKX102" s="529" t="str">
        <f>VLOOKUP(LKW102,[14]AssetDetails_UEM!$A$3:$AH$1849,6,FALSE)</f>
        <v>Electrosurgical Units, Monopolar/Bipolar</v>
      </c>
      <c r="LKY102" s="528" t="s">
        <v>213</v>
      </c>
      <c r="LKZ102" s="529" t="str">
        <f>VLOOKUP(LKY102,[14]AssetDetails_UEM!$A$3:$AH$1849,6,FALSE)</f>
        <v>Electrosurgical Units, Monopolar/Bipolar</v>
      </c>
      <c r="LLA102" s="528" t="s">
        <v>213</v>
      </c>
      <c r="LLB102" s="529" t="str">
        <f>VLOOKUP(LLA102,[14]AssetDetails_UEM!$A$3:$AH$1849,6,FALSE)</f>
        <v>Electrosurgical Units, Monopolar/Bipolar</v>
      </c>
      <c r="LLC102" s="528" t="s">
        <v>213</v>
      </c>
      <c r="LLD102" s="529" t="str">
        <f>VLOOKUP(LLC102,[14]AssetDetails_UEM!$A$3:$AH$1849,6,FALSE)</f>
        <v>Electrosurgical Units, Monopolar/Bipolar</v>
      </c>
      <c r="LLE102" s="528" t="s">
        <v>213</v>
      </c>
      <c r="LLF102" s="529" t="str">
        <f>VLOOKUP(LLE102,[14]AssetDetails_UEM!$A$3:$AH$1849,6,FALSE)</f>
        <v>Electrosurgical Units, Monopolar/Bipolar</v>
      </c>
      <c r="LLG102" s="528" t="s">
        <v>213</v>
      </c>
      <c r="LLH102" s="529" t="str">
        <f>VLOOKUP(LLG102,[14]AssetDetails_UEM!$A$3:$AH$1849,6,FALSE)</f>
        <v>Electrosurgical Units, Monopolar/Bipolar</v>
      </c>
      <c r="LLI102" s="528" t="s">
        <v>213</v>
      </c>
      <c r="LLJ102" s="529" t="str">
        <f>VLOOKUP(LLI102,[14]AssetDetails_UEM!$A$3:$AH$1849,6,FALSE)</f>
        <v>Electrosurgical Units, Monopolar/Bipolar</v>
      </c>
      <c r="LLK102" s="528" t="s">
        <v>213</v>
      </c>
      <c r="LLL102" s="529" t="str">
        <f>VLOOKUP(LLK102,[14]AssetDetails_UEM!$A$3:$AH$1849,6,FALSE)</f>
        <v>Electrosurgical Units, Monopolar/Bipolar</v>
      </c>
      <c r="LLM102" s="528" t="s">
        <v>213</v>
      </c>
      <c r="LLN102" s="529" t="str">
        <f>VLOOKUP(LLM102,[14]AssetDetails_UEM!$A$3:$AH$1849,6,FALSE)</f>
        <v>Electrosurgical Units, Monopolar/Bipolar</v>
      </c>
      <c r="LLO102" s="528" t="s">
        <v>213</v>
      </c>
      <c r="LLP102" s="529" t="str">
        <f>VLOOKUP(LLO102,[14]AssetDetails_UEM!$A$3:$AH$1849,6,FALSE)</f>
        <v>Electrosurgical Units, Monopolar/Bipolar</v>
      </c>
      <c r="LLQ102" s="528" t="s">
        <v>213</v>
      </c>
      <c r="LLR102" s="529" t="str">
        <f>VLOOKUP(LLQ102,[14]AssetDetails_UEM!$A$3:$AH$1849,6,FALSE)</f>
        <v>Electrosurgical Units, Monopolar/Bipolar</v>
      </c>
      <c r="LLS102" s="528" t="s">
        <v>213</v>
      </c>
      <c r="LLT102" s="529" t="str">
        <f>VLOOKUP(LLS102,[14]AssetDetails_UEM!$A$3:$AH$1849,6,FALSE)</f>
        <v>Electrosurgical Units, Monopolar/Bipolar</v>
      </c>
      <c r="LLU102" s="528" t="s">
        <v>213</v>
      </c>
      <c r="LLV102" s="529" t="str">
        <f>VLOOKUP(LLU102,[14]AssetDetails_UEM!$A$3:$AH$1849,6,FALSE)</f>
        <v>Electrosurgical Units, Monopolar/Bipolar</v>
      </c>
      <c r="LLW102" s="528" t="s">
        <v>213</v>
      </c>
      <c r="LLX102" s="529" t="str">
        <f>VLOOKUP(LLW102,[14]AssetDetails_UEM!$A$3:$AH$1849,6,FALSE)</f>
        <v>Electrosurgical Units, Monopolar/Bipolar</v>
      </c>
      <c r="LLY102" s="528" t="s">
        <v>213</v>
      </c>
      <c r="LLZ102" s="529" t="str">
        <f>VLOOKUP(LLY102,[14]AssetDetails_UEM!$A$3:$AH$1849,6,FALSE)</f>
        <v>Electrosurgical Units, Monopolar/Bipolar</v>
      </c>
      <c r="LMA102" s="528" t="s">
        <v>213</v>
      </c>
      <c r="LMB102" s="529" t="str">
        <f>VLOOKUP(LMA102,[14]AssetDetails_UEM!$A$3:$AH$1849,6,FALSE)</f>
        <v>Electrosurgical Units, Monopolar/Bipolar</v>
      </c>
      <c r="LMC102" s="528" t="s">
        <v>213</v>
      </c>
      <c r="LMD102" s="529" t="str">
        <f>VLOOKUP(LMC102,[14]AssetDetails_UEM!$A$3:$AH$1849,6,FALSE)</f>
        <v>Electrosurgical Units, Monopolar/Bipolar</v>
      </c>
      <c r="LME102" s="528" t="s">
        <v>213</v>
      </c>
      <c r="LMF102" s="529" t="str">
        <f>VLOOKUP(LME102,[14]AssetDetails_UEM!$A$3:$AH$1849,6,FALSE)</f>
        <v>Electrosurgical Units, Monopolar/Bipolar</v>
      </c>
      <c r="LMG102" s="528" t="s">
        <v>213</v>
      </c>
      <c r="LMH102" s="529" t="str">
        <f>VLOOKUP(LMG102,[14]AssetDetails_UEM!$A$3:$AH$1849,6,FALSE)</f>
        <v>Electrosurgical Units, Monopolar/Bipolar</v>
      </c>
      <c r="LMI102" s="528" t="s">
        <v>213</v>
      </c>
      <c r="LMJ102" s="529" t="str">
        <f>VLOOKUP(LMI102,[14]AssetDetails_UEM!$A$3:$AH$1849,6,FALSE)</f>
        <v>Electrosurgical Units, Monopolar/Bipolar</v>
      </c>
      <c r="LMK102" s="528" t="s">
        <v>213</v>
      </c>
      <c r="LML102" s="529" t="str">
        <f>VLOOKUP(LMK102,[14]AssetDetails_UEM!$A$3:$AH$1849,6,FALSE)</f>
        <v>Electrosurgical Units, Monopolar/Bipolar</v>
      </c>
      <c r="LMM102" s="528" t="s">
        <v>213</v>
      </c>
      <c r="LMN102" s="529" t="str">
        <f>VLOOKUP(LMM102,[14]AssetDetails_UEM!$A$3:$AH$1849,6,FALSE)</f>
        <v>Electrosurgical Units, Monopolar/Bipolar</v>
      </c>
      <c r="LMO102" s="528" t="s">
        <v>213</v>
      </c>
      <c r="LMP102" s="529" t="str">
        <f>VLOOKUP(LMO102,[14]AssetDetails_UEM!$A$3:$AH$1849,6,FALSE)</f>
        <v>Electrosurgical Units, Monopolar/Bipolar</v>
      </c>
      <c r="LMQ102" s="528" t="s">
        <v>213</v>
      </c>
      <c r="LMR102" s="529" t="str">
        <f>VLOOKUP(LMQ102,[14]AssetDetails_UEM!$A$3:$AH$1849,6,FALSE)</f>
        <v>Electrosurgical Units, Monopolar/Bipolar</v>
      </c>
      <c r="LMS102" s="528" t="s">
        <v>213</v>
      </c>
      <c r="LMT102" s="529" t="str">
        <f>VLOOKUP(LMS102,[14]AssetDetails_UEM!$A$3:$AH$1849,6,FALSE)</f>
        <v>Electrosurgical Units, Monopolar/Bipolar</v>
      </c>
      <c r="LMU102" s="528" t="s">
        <v>213</v>
      </c>
      <c r="LMV102" s="529" t="str">
        <f>VLOOKUP(LMU102,[14]AssetDetails_UEM!$A$3:$AH$1849,6,FALSE)</f>
        <v>Electrosurgical Units, Monopolar/Bipolar</v>
      </c>
      <c r="LMW102" s="528" t="s">
        <v>213</v>
      </c>
      <c r="LMX102" s="529" t="str">
        <f>VLOOKUP(LMW102,[14]AssetDetails_UEM!$A$3:$AH$1849,6,FALSE)</f>
        <v>Electrosurgical Units, Monopolar/Bipolar</v>
      </c>
      <c r="LMY102" s="528" t="s">
        <v>213</v>
      </c>
      <c r="LMZ102" s="529" t="str">
        <f>VLOOKUP(LMY102,[14]AssetDetails_UEM!$A$3:$AH$1849,6,FALSE)</f>
        <v>Electrosurgical Units, Monopolar/Bipolar</v>
      </c>
      <c r="LNA102" s="528" t="s">
        <v>213</v>
      </c>
      <c r="LNB102" s="529" t="str">
        <f>VLOOKUP(LNA102,[14]AssetDetails_UEM!$A$3:$AH$1849,6,FALSE)</f>
        <v>Electrosurgical Units, Monopolar/Bipolar</v>
      </c>
      <c r="LNC102" s="528" t="s">
        <v>213</v>
      </c>
      <c r="LND102" s="529" t="str">
        <f>VLOOKUP(LNC102,[14]AssetDetails_UEM!$A$3:$AH$1849,6,FALSE)</f>
        <v>Electrosurgical Units, Monopolar/Bipolar</v>
      </c>
      <c r="LNE102" s="528" t="s">
        <v>213</v>
      </c>
      <c r="LNF102" s="529" t="str">
        <f>VLOOKUP(LNE102,[14]AssetDetails_UEM!$A$3:$AH$1849,6,FALSE)</f>
        <v>Electrosurgical Units, Monopolar/Bipolar</v>
      </c>
      <c r="LNG102" s="528" t="s">
        <v>213</v>
      </c>
      <c r="LNH102" s="529" t="str">
        <f>VLOOKUP(LNG102,[14]AssetDetails_UEM!$A$3:$AH$1849,6,FALSE)</f>
        <v>Electrosurgical Units, Monopolar/Bipolar</v>
      </c>
      <c r="LNI102" s="528" t="s">
        <v>213</v>
      </c>
      <c r="LNJ102" s="529" t="str">
        <f>VLOOKUP(LNI102,[14]AssetDetails_UEM!$A$3:$AH$1849,6,FALSE)</f>
        <v>Electrosurgical Units, Monopolar/Bipolar</v>
      </c>
      <c r="LNK102" s="528" t="s">
        <v>213</v>
      </c>
      <c r="LNL102" s="529" t="str">
        <f>VLOOKUP(LNK102,[14]AssetDetails_UEM!$A$3:$AH$1849,6,FALSE)</f>
        <v>Electrosurgical Units, Monopolar/Bipolar</v>
      </c>
      <c r="LNM102" s="528" t="s">
        <v>213</v>
      </c>
      <c r="LNN102" s="529" t="str">
        <f>VLOOKUP(LNM102,[14]AssetDetails_UEM!$A$3:$AH$1849,6,FALSE)</f>
        <v>Electrosurgical Units, Monopolar/Bipolar</v>
      </c>
      <c r="LNO102" s="528" t="s">
        <v>213</v>
      </c>
      <c r="LNP102" s="529" t="str">
        <f>VLOOKUP(LNO102,[14]AssetDetails_UEM!$A$3:$AH$1849,6,FALSE)</f>
        <v>Electrosurgical Units, Monopolar/Bipolar</v>
      </c>
      <c r="LNQ102" s="528" t="s">
        <v>213</v>
      </c>
      <c r="LNR102" s="529" t="str">
        <f>VLOOKUP(LNQ102,[14]AssetDetails_UEM!$A$3:$AH$1849,6,FALSE)</f>
        <v>Electrosurgical Units, Monopolar/Bipolar</v>
      </c>
      <c r="LNS102" s="528" t="s">
        <v>213</v>
      </c>
      <c r="LNT102" s="529" t="str">
        <f>VLOOKUP(LNS102,[14]AssetDetails_UEM!$A$3:$AH$1849,6,FALSE)</f>
        <v>Electrosurgical Units, Monopolar/Bipolar</v>
      </c>
      <c r="LNU102" s="528" t="s">
        <v>213</v>
      </c>
      <c r="LNV102" s="529" t="str">
        <f>VLOOKUP(LNU102,[14]AssetDetails_UEM!$A$3:$AH$1849,6,FALSE)</f>
        <v>Electrosurgical Units, Monopolar/Bipolar</v>
      </c>
      <c r="LNW102" s="528" t="s">
        <v>213</v>
      </c>
      <c r="LNX102" s="529" t="str">
        <f>VLOOKUP(LNW102,[14]AssetDetails_UEM!$A$3:$AH$1849,6,FALSE)</f>
        <v>Electrosurgical Units, Monopolar/Bipolar</v>
      </c>
      <c r="LNY102" s="528" t="s">
        <v>213</v>
      </c>
      <c r="LNZ102" s="529" t="str">
        <f>VLOOKUP(LNY102,[14]AssetDetails_UEM!$A$3:$AH$1849,6,FALSE)</f>
        <v>Electrosurgical Units, Monopolar/Bipolar</v>
      </c>
      <c r="LOA102" s="528" t="s">
        <v>213</v>
      </c>
      <c r="LOB102" s="529" t="str">
        <f>VLOOKUP(LOA102,[14]AssetDetails_UEM!$A$3:$AH$1849,6,FALSE)</f>
        <v>Electrosurgical Units, Monopolar/Bipolar</v>
      </c>
      <c r="LOC102" s="528" t="s">
        <v>213</v>
      </c>
      <c r="LOD102" s="529" t="str">
        <f>VLOOKUP(LOC102,[14]AssetDetails_UEM!$A$3:$AH$1849,6,FALSE)</f>
        <v>Electrosurgical Units, Monopolar/Bipolar</v>
      </c>
      <c r="LOE102" s="528" t="s">
        <v>213</v>
      </c>
      <c r="LOF102" s="529" t="str">
        <f>VLOOKUP(LOE102,[14]AssetDetails_UEM!$A$3:$AH$1849,6,FALSE)</f>
        <v>Electrosurgical Units, Monopolar/Bipolar</v>
      </c>
      <c r="LOG102" s="528" t="s">
        <v>213</v>
      </c>
      <c r="LOH102" s="529" t="str">
        <f>VLOOKUP(LOG102,[14]AssetDetails_UEM!$A$3:$AH$1849,6,FALSE)</f>
        <v>Electrosurgical Units, Monopolar/Bipolar</v>
      </c>
      <c r="LOI102" s="528" t="s">
        <v>213</v>
      </c>
      <c r="LOJ102" s="529" t="str">
        <f>VLOOKUP(LOI102,[14]AssetDetails_UEM!$A$3:$AH$1849,6,FALSE)</f>
        <v>Electrosurgical Units, Monopolar/Bipolar</v>
      </c>
      <c r="LOK102" s="528" t="s">
        <v>213</v>
      </c>
      <c r="LOL102" s="529" t="str">
        <f>VLOOKUP(LOK102,[14]AssetDetails_UEM!$A$3:$AH$1849,6,FALSE)</f>
        <v>Electrosurgical Units, Monopolar/Bipolar</v>
      </c>
      <c r="LOM102" s="528" t="s">
        <v>213</v>
      </c>
      <c r="LON102" s="529" t="str">
        <f>VLOOKUP(LOM102,[14]AssetDetails_UEM!$A$3:$AH$1849,6,FALSE)</f>
        <v>Electrosurgical Units, Monopolar/Bipolar</v>
      </c>
      <c r="LOO102" s="528" t="s">
        <v>213</v>
      </c>
      <c r="LOP102" s="529" t="str">
        <f>VLOOKUP(LOO102,[14]AssetDetails_UEM!$A$3:$AH$1849,6,FALSE)</f>
        <v>Electrosurgical Units, Monopolar/Bipolar</v>
      </c>
      <c r="LOQ102" s="528" t="s">
        <v>213</v>
      </c>
      <c r="LOR102" s="529" t="str">
        <f>VLOOKUP(LOQ102,[14]AssetDetails_UEM!$A$3:$AH$1849,6,FALSE)</f>
        <v>Electrosurgical Units, Monopolar/Bipolar</v>
      </c>
      <c r="LOS102" s="528" t="s">
        <v>213</v>
      </c>
      <c r="LOT102" s="529" t="str">
        <f>VLOOKUP(LOS102,[14]AssetDetails_UEM!$A$3:$AH$1849,6,FALSE)</f>
        <v>Electrosurgical Units, Monopolar/Bipolar</v>
      </c>
      <c r="LOU102" s="528" t="s">
        <v>213</v>
      </c>
      <c r="LOV102" s="529" t="str">
        <f>VLOOKUP(LOU102,[14]AssetDetails_UEM!$A$3:$AH$1849,6,FALSE)</f>
        <v>Electrosurgical Units, Monopolar/Bipolar</v>
      </c>
      <c r="LOW102" s="528" t="s">
        <v>213</v>
      </c>
      <c r="LOX102" s="529" t="str">
        <f>VLOOKUP(LOW102,[14]AssetDetails_UEM!$A$3:$AH$1849,6,FALSE)</f>
        <v>Electrosurgical Units, Monopolar/Bipolar</v>
      </c>
      <c r="LOY102" s="528" t="s">
        <v>213</v>
      </c>
      <c r="LOZ102" s="529" t="str">
        <f>VLOOKUP(LOY102,[14]AssetDetails_UEM!$A$3:$AH$1849,6,FALSE)</f>
        <v>Electrosurgical Units, Monopolar/Bipolar</v>
      </c>
      <c r="LPA102" s="528" t="s">
        <v>213</v>
      </c>
      <c r="LPB102" s="529" t="str">
        <f>VLOOKUP(LPA102,[14]AssetDetails_UEM!$A$3:$AH$1849,6,FALSE)</f>
        <v>Electrosurgical Units, Monopolar/Bipolar</v>
      </c>
      <c r="LPC102" s="528" t="s">
        <v>213</v>
      </c>
      <c r="LPD102" s="529" t="str">
        <f>VLOOKUP(LPC102,[14]AssetDetails_UEM!$A$3:$AH$1849,6,FALSE)</f>
        <v>Electrosurgical Units, Monopolar/Bipolar</v>
      </c>
      <c r="LPE102" s="528" t="s">
        <v>213</v>
      </c>
      <c r="LPF102" s="529" t="str">
        <f>VLOOKUP(LPE102,[14]AssetDetails_UEM!$A$3:$AH$1849,6,FALSE)</f>
        <v>Electrosurgical Units, Monopolar/Bipolar</v>
      </c>
      <c r="LPG102" s="528" t="s">
        <v>213</v>
      </c>
      <c r="LPH102" s="529" t="str">
        <f>VLOOKUP(LPG102,[14]AssetDetails_UEM!$A$3:$AH$1849,6,FALSE)</f>
        <v>Electrosurgical Units, Monopolar/Bipolar</v>
      </c>
      <c r="LPI102" s="528" t="s">
        <v>213</v>
      </c>
      <c r="LPJ102" s="529" t="str">
        <f>VLOOKUP(LPI102,[14]AssetDetails_UEM!$A$3:$AH$1849,6,FALSE)</f>
        <v>Electrosurgical Units, Monopolar/Bipolar</v>
      </c>
      <c r="LPK102" s="528" t="s">
        <v>213</v>
      </c>
      <c r="LPL102" s="529" t="str">
        <f>VLOOKUP(LPK102,[14]AssetDetails_UEM!$A$3:$AH$1849,6,FALSE)</f>
        <v>Electrosurgical Units, Monopolar/Bipolar</v>
      </c>
      <c r="LPM102" s="528" t="s">
        <v>213</v>
      </c>
      <c r="LPN102" s="529" t="str">
        <f>VLOOKUP(LPM102,[14]AssetDetails_UEM!$A$3:$AH$1849,6,FALSE)</f>
        <v>Electrosurgical Units, Monopolar/Bipolar</v>
      </c>
      <c r="LPO102" s="528" t="s">
        <v>213</v>
      </c>
      <c r="LPP102" s="529" t="str">
        <f>VLOOKUP(LPO102,[14]AssetDetails_UEM!$A$3:$AH$1849,6,FALSE)</f>
        <v>Electrosurgical Units, Monopolar/Bipolar</v>
      </c>
      <c r="LPQ102" s="528" t="s">
        <v>213</v>
      </c>
      <c r="LPR102" s="529" t="str">
        <f>VLOOKUP(LPQ102,[14]AssetDetails_UEM!$A$3:$AH$1849,6,FALSE)</f>
        <v>Electrosurgical Units, Monopolar/Bipolar</v>
      </c>
      <c r="LPS102" s="528" t="s">
        <v>213</v>
      </c>
      <c r="LPT102" s="529" t="str">
        <f>VLOOKUP(LPS102,[14]AssetDetails_UEM!$A$3:$AH$1849,6,FALSE)</f>
        <v>Electrosurgical Units, Monopolar/Bipolar</v>
      </c>
      <c r="LPU102" s="528" t="s">
        <v>213</v>
      </c>
      <c r="LPV102" s="529" t="str">
        <f>VLOOKUP(LPU102,[14]AssetDetails_UEM!$A$3:$AH$1849,6,FALSE)</f>
        <v>Electrosurgical Units, Monopolar/Bipolar</v>
      </c>
      <c r="LPW102" s="528" t="s">
        <v>213</v>
      </c>
      <c r="LPX102" s="529" t="str">
        <f>VLOOKUP(LPW102,[14]AssetDetails_UEM!$A$3:$AH$1849,6,FALSE)</f>
        <v>Electrosurgical Units, Monopolar/Bipolar</v>
      </c>
      <c r="LPY102" s="528" t="s">
        <v>213</v>
      </c>
      <c r="LPZ102" s="529" t="str">
        <f>VLOOKUP(LPY102,[14]AssetDetails_UEM!$A$3:$AH$1849,6,FALSE)</f>
        <v>Electrosurgical Units, Monopolar/Bipolar</v>
      </c>
      <c r="LQA102" s="528" t="s">
        <v>213</v>
      </c>
      <c r="LQB102" s="529" t="str">
        <f>VLOOKUP(LQA102,[14]AssetDetails_UEM!$A$3:$AH$1849,6,FALSE)</f>
        <v>Electrosurgical Units, Monopolar/Bipolar</v>
      </c>
      <c r="LQC102" s="528" t="s">
        <v>213</v>
      </c>
      <c r="LQD102" s="529" t="str">
        <f>VLOOKUP(LQC102,[14]AssetDetails_UEM!$A$3:$AH$1849,6,FALSE)</f>
        <v>Electrosurgical Units, Monopolar/Bipolar</v>
      </c>
      <c r="LQE102" s="528" t="s">
        <v>213</v>
      </c>
      <c r="LQF102" s="529" t="str">
        <f>VLOOKUP(LQE102,[14]AssetDetails_UEM!$A$3:$AH$1849,6,FALSE)</f>
        <v>Electrosurgical Units, Monopolar/Bipolar</v>
      </c>
      <c r="LQG102" s="528" t="s">
        <v>213</v>
      </c>
      <c r="LQH102" s="529" t="str">
        <f>VLOOKUP(LQG102,[14]AssetDetails_UEM!$A$3:$AH$1849,6,FALSE)</f>
        <v>Electrosurgical Units, Monopolar/Bipolar</v>
      </c>
      <c r="LQI102" s="528" t="s">
        <v>213</v>
      </c>
      <c r="LQJ102" s="529" t="str">
        <f>VLOOKUP(LQI102,[14]AssetDetails_UEM!$A$3:$AH$1849,6,FALSE)</f>
        <v>Electrosurgical Units, Monopolar/Bipolar</v>
      </c>
      <c r="LQK102" s="528" t="s">
        <v>213</v>
      </c>
      <c r="LQL102" s="529" t="str">
        <f>VLOOKUP(LQK102,[14]AssetDetails_UEM!$A$3:$AH$1849,6,FALSE)</f>
        <v>Electrosurgical Units, Monopolar/Bipolar</v>
      </c>
      <c r="LQM102" s="528" t="s">
        <v>213</v>
      </c>
      <c r="LQN102" s="529" t="str">
        <f>VLOOKUP(LQM102,[14]AssetDetails_UEM!$A$3:$AH$1849,6,FALSE)</f>
        <v>Electrosurgical Units, Monopolar/Bipolar</v>
      </c>
      <c r="LQO102" s="528" t="s">
        <v>213</v>
      </c>
      <c r="LQP102" s="529" t="str">
        <f>VLOOKUP(LQO102,[14]AssetDetails_UEM!$A$3:$AH$1849,6,FALSE)</f>
        <v>Electrosurgical Units, Monopolar/Bipolar</v>
      </c>
      <c r="LQQ102" s="528" t="s">
        <v>213</v>
      </c>
      <c r="LQR102" s="529" t="str">
        <f>VLOOKUP(LQQ102,[14]AssetDetails_UEM!$A$3:$AH$1849,6,FALSE)</f>
        <v>Electrosurgical Units, Monopolar/Bipolar</v>
      </c>
      <c r="LQS102" s="528" t="s">
        <v>213</v>
      </c>
      <c r="LQT102" s="529" t="str">
        <f>VLOOKUP(LQS102,[14]AssetDetails_UEM!$A$3:$AH$1849,6,FALSE)</f>
        <v>Electrosurgical Units, Monopolar/Bipolar</v>
      </c>
      <c r="LQU102" s="528" t="s">
        <v>213</v>
      </c>
      <c r="LQV102" s="529" t="str">
        <f>VLOOKUP(LQU102,[14]AssetDetails_UEM!$A$3:$AH$1849,6,FALSE)</f>
        <v>Electrosurgical Units, Monopolar/Bipolar</v>
      </c>
      <c r="LQW102" s="528" t="s">
        <v>213</v>
      </c>
      <c r="LQX102" s="529" t="str">
        <f>VLOOKUP(LQW102,[14]AssetDetails_UEM!$A$3:$AH$1849,6,FALSE)</f>
        <v>Electrosurgical Units, Monopolar/Bipolar</v>
      </c>
      <c r="LQY102" s="528" t="s">
        <v>213</v>
      </c>
      <c r="LQZ102" s="529" t="str">
        <f>VLOOKUP(LQY102,[14]AssetDetails_UEM!$A$3:$AH$1849,6,FALSE)</f>
        <v>Electrosurgical Units, Monopolar/Bipolar</v>
      </c>
      <c r="LRA102" s="528" t="s">
        <v>213</v>
      </c>
      <c r="LRB102" s="529" t="str">
        <f>VLOOKUP(LRA102,[14]AssetDetails_UEM!$A$3:$AH$1849,6,FALSE)</f>
        <v>Electrosurgical Units, Monopolar/Bipolar</v>
      </c>
      <c r="LRC102" s="528" t="s">
        <v>213</v>
      </c>
      <c r="LRD102" s="529" t="str">
        <f>VLOOKUP(LRC102,[14]AssetDetails_UEM!$A$3:$AH$1849,6,FALSE)</f>
        <v>Electrosurgical Units, Monopolar/Bipolar</v>
      </c>
      <c r="LRE102" s="528" t="s">
        <v>213</v>
      </c>
      <c r="LRF102" s="529" t="str">
        <f>VLOOKUP(LRE102,[14]AssetDetails_UEM!$A$3:$AH$1849,6,FALSE)</f>
        <v>Electrosurgical Units, Monopolar/Bipolar</v>
      </c>
      <c r="LRG102" s="528" t="s">
        <v>213</v>
      </c>
      <c r="LRH102" s="529" t="str">
        <f>VLOOKUP(LRG102,[14]AssetDetails_UEM!$A$3:$AH$1849,6,FALSE)</f>
        <v>Electrosurgical Units, Monopolar/Bipolar</v>
      </c>
      <c r="LRI102" s="528" t="s">
        <v>213</v>
      </c>
      <c r="LRJ102" s="529" t="str">
        <f>VLOOKUP(LRI102,[14]AssetDetails_UEM!$A$3:$AH$1849,6,FALSE)</f>
        <v>Electrosurgical Units, Monopolar/Bipolar</v>
      </c>
      <c r="LRK102" s="528" t="s">
        <v>213</v>
      </c>
      <c r="LRL102" s="529" t="str">
        <f>VLOOKUP(LRK102,[14]AssetDetails_UEM!$A$3:$AH$1849,6,FALSE)</f>
        <v>Electrosurgical Units, Monopolar/Bipolar</v>
      </c>
      <c r="LRM102" s="528" t="s">
        <v>213</v>
      </c>
      <c r="LRN102" s="529" t="str">
        <f>VLOOKUP(LRM102,[14]AssetDetails_UEM!$A$3:$AH$1849,6,FALSE)</f>
        <v>Electrosurgical Units, Monopolar/Bipolar</v>
      </c>
      <c r="LRO102" s="528" t="s">
        <v>213</v>
      </c>
      <c r="LRP102" s="529" t="str">
        <f>VLOOKUP(LRO102,[14]AssetDetails_UEM!$A$3:$AH$1849,6,FALSE)</f>
        <v>Electrosurgical Units, Monopolar/Bipolar</v>
      </c>
      <c r="LRQ102" s="528" t="s">
        <v>213</v>
      </c>
      <c r="LRR102" s="529" t="str">
        <f>VLOOKUP(LRQ102,[14]AssetDetails_UEM!$A$3:$AH$1849,6,FALSE)</f>
        <v>Electrosurgical Units, Monopolar/Bipolar</v>
      </c>
      <c r="LRS102" s="528" t="s">
        <v>213</v>
      </c>
      <c r="LRT102" s="529" t="str">
        <f>VLOOKUP(LRS102,[14]AssetDetails_UEM!$A$3:$AH$1849,6,FALSE)</f>
        <v>Electrosurgical Units, Monopolar/Bipolar</v>
      </c>
      <c r="LRU102" s="528" t="s">
        <v>213</v>
      </c>
      <c r="LRV102" s="529" t="str">
        <f>VLOOKUP(LRU102,[14]AssetDetails_UEM!$A$3:$AH$1849,6,FALSE)</f>
        <v>Electrosurgical Units, Monopolar/Bipolar</v>
      </c>
      <c r="LRW102" s="528" t="s">
        <v>213</v>
      </c>
      <c r="LRX102" s="529" t="str">
        <f>VLOOKUP(LRW102,[14]AssetDetails_UEM!$A$3:$AH$1849,6,FALSE)</f>
        <v>Electrosurgical Units, Monopolar/Bipolar</v>
      </c>
      <c r="LRY102" s="528" t="s">
        <v>213</v>
      </c>
      <c r="LRZ102" s="529" t="str">
        <f>VLOOKUP(LRY102,[14]AssetDetails_UEM!$A$3:$AH$1849,6,FALSE)</f>
        <v>Electrosurgical Units, Monopolar/Bipolar</v>
      </c>
      <c r="LSA102" s="528" t="s">
        <v>213</v>
      </c>
      <c r="LSB102" s="529" t="str">
        <f>VLOOKUP(LSA102,[14]AssetDetails_UEM!$A$3:$AH$1849,6,FALSE)</f>
        <v>Electrosurgical Units, Monopolar/Bipolar</v>
      </c>
      <c r="LSC102" s="528" t="s">
        <v>213</v>
      </c>
      <c r="LSD102" s="529" t="str">
        <f>VLOOKUP(LSC102,[14]AssetDetails_UEM!$A$3:$AH$1849,6,FALSE)</f>
        <v>Electrosurgical Units, Monopolar/Bipolar</v>
      </c>
      <c r="LSE102" s="528" t="s">
        <v>213</v>
      </c>
      <c r="LSF102" s="529" t="str">
        <f>VLOOKUP(LSE102,[14]AssetDetails_UEM!$A$3:$AH$1849,6,FALSE)</f>
        <v>Electrosurgical Units, Monopolar/Bipolar</v>
      </c>
      <c r="LSG102" s="528" t="s">
        <v>213</v>
      </c>
      <c r="LSH102" s="529" t="str">
        <f>VLOOKUP(LSG102,[14]AssetDetails_UEM!$A$3:$AH$1849,6,FALSE)</f>
        <v>Electrosurgical Units, Monopolar/Bipolar</v>
      </c>
      <c r="LSI102" s="528" t="s">
        <v>213</v>
      </c>
      <c r="LSJ102" s="529" t="str">
        <f>VLOOKUP(LSI102,[14]AssetDetails_UEM!$A$3:$AH$1849,6,FALSE)</f>
        <v>Electrosurgical Units, Monopolar/Bipolar</v>
      </c>
      <c r="LSK102" s="528" t="s">
        <v>213</v>
      </c>
      <c r="LSL102" s="529" t="str">
        <f>VLOOKUP(LSK102,[14]AssetDetails_UEM!$A$3:$AH$1849,6,FALSE)</f>
        <v>Electrosurgical Units, Monopolar/Bipolar</v>
      </c>
      <c r="LSM102" s="528" t="s">
        <v>213</v>
      </c>
      <c r="LSN102" s="529" t="str">
        <f>VLOOKUP(LSM102,[14]AssetDetails_UEM!$A$3:$AH$1849,6,FALSE)</f>
        <v>Electrosurgical Units, Monopolar/Bipolar</v>
      </c>
      <c r="LSO102" s="528" t="s">
        <v>213</v>
      </c>
      <c r="LSP102" s="529" t="str">
        <f>VLOOKUP(LSO102,[14]AssetDetails_UEM!$A$3:$AH$1849,6,FALSE)</f>
        <v>Electrosurgical Units, Monopolar/Bipolar</v>
      </c>
      <c r="LSQ102" s="528" t="s">
        <v>213</v>
      </c>
      <c r="LSR102" s="529" t="str">
        <f>VLOOKUP(LSQ102,[14]AssetDetails_UEM!$A$3:$AH$1849,6,FALSE)</f>
        <v>Electrosurgical Units, Monopolar/Bipolar</v>
      </c>
      <c r="LSS102" s="528" t="s">
        <v>213</v>
      </c>
      <c r="LST102" s="529" t="str">
        <f>VLOOKUP(LSS102,[14]AssetDetails_UEM!$A$3:$AH$1849,6,FALSE)</f>
        <v>Electrosurgical Units, Monopolar/Bipolar</v>
      </c>
      <c r="LSU102" s="528" t="s">
        <v>213</v>
      </c>
      <c r="LSV102" s="529" t="str">
        <f>VLOOKUP(LSU102,[14]AssetDetails_UEM!$A$3:$AH$1849,6,FALSE)</f>
        <v>Electrosurgical Units, Monopolar/Bipolar</v>
      </c>
      <c r="LSW102" s="528" t="s">
        <v>213</v>
      </c>
      <c r="LSX102" s="529" t="str">
        <f>VLOOKUP(LSW102,[14]AssetDetails_UEM!$A$3:$AH$1849,6,FALSE)</f>
        <v>Electrosurgical Units, Monopolar/Bipolar</v>
      </c>
      <c r="LSY102" s="528" t="s">
        <v>213</v>
      </c>
      <c r="LSZ102" s="529" t="str">
        <f>VLOOKUP(LSY102,[14]AssetDetails_UEM!$A$3:$AH$1849,6,FALSE)</f>
        <v>Electrosurgical Units, Monopolar/Bipolar</v>
      </c>
      <c r="LTA102" s="528" t="s">
        <v>213</v>
      </c>
      <c r="LTB102" s="529" t="str">
        <f>VLOOKUP(LTA102,[14]AssetDetails_UEM!$A$3:$AH$1849,6,FALSE)</f>
        <v>Electrosurgical Units, Monopolar/Bipolar</v>
      </c>
      <c r="LTC102" s="528" t="s">
        <v>213</v>
      </c>
      <c r="LTD102" s="529" t="str">
        <f>VLOOKUP(LTC102,[14]AssetDetails_UEM!$A$3:$AH$1849,6,FALSE)</f>
        <v>Electrosurgical Units, Monopolar/Bipolar</v>
      </c>
      <c r="LTE102" s="528" t="s">
        <v>213</v>
      </c>
      <c r="LTF102" s="529" t="str">
        <f>VLOOKUP(LTE102,[14]AssetDetails_UEM!$A$3:$AH$1849,6,FALSE)</f>
        <v>Electrosurgical Units, Monopolar/Bipolar</v>
      </c>
      <c r="LTG102" s="528" t="s">
        <v>213</v>
      </c>
      <c r="LTH102" s="529" t="str">
        <f>VLOOKUP(LTG102,[14]AssetDetails_UEM!$A$3:$AH$1849,6,FALSE)</f>
        <v>Electrosurgical Units, Monopolar/Bipolar</v>
      </c>
      <c r="LTI102" s="528" t="s">
        <v>213</v>
      </c>
      <c r="LTJ102" s="529" t="str">
        <f>VLOOKUP(LTI102,[14]AssetDetails_UEM!$A$3:$AH$1849,6,FALSE)</f>
        <v>Electrosurgical Units, Monopolar/Bipolar</v>
      </c>
      <c r="LTK102" s="528" t="s">
        <v>213</v>
      </c>
      <c r="LTL102" s="529" t="str">
        <f>VLOOKUP(LTK102,[14]AssetDetails_UEM!$A$3:$AH$1849,6,FALSE)</f>
        <v>Electrosurgical Units, Monopolar/Bipolar</v>
      </c>
      <c r="LTM102" s="528" t="s">
        <v>213</v>
      </c>
      <c r="LTN102" s="529" t="str">
        <f>VLOOKUP(LTM102,[14]AssetDetails_UEM!$A$3:$AH$1849,6,FALSE)</f>
        <v>Electrosurgical Units, Monopolar/Bipolar</v>
      </c>
      <c r="LTO102" s="528" t="s">
        <v>213</v>
      </c>
      <c r="LTP102" s="529" t="str">
        <f>VLOOKUP(LTO102,[14]AssetDetails_UEM!$A$3:$AH$1849,6,FALSE)</f>
        <v>Electrosurgical Units, Monopolar/Bipolar</v>
      </c>
      <c r="LTQ102" s="528" t="s">
        <v>213</v>
      </c>
      <c r="LTR102" s="529" t="str">
        <f>VLOOKUP(LTQ102,[14]AssetDetails_UEM!$A$3:$AH$1849,6,FALSE)</f>
        <v>Electrosurgical Units, Monopolar/Bipolar</v>
      </c>
      <c r="LTS102" s="528" t="s">
        <v>213</v>
      </c>
      <c r="LTT102" s="529" t="str">
        <f>VLOOKUP(LTS102,[14]AssetDetails_UEM!$A$3:$AH$1849,6,FALSE)</f>
        <v>Electrosurgical Units, Monopolar/Bipolar</v>
      </c>
      <c r="LTU102" s="528" t="s">
        <v>213</v>
      </c>
      <c r="LTV102" s="529" t="str">
        <f>VLOOKUP(LTU102,[14]AssetDetails_UEM!$A$3:$AH$1849,6,FALSE)</f>
        <v>Electrosurgical Units, Monopolar/Bipolar</v>
      </c>
      <c r="LTW102" s="528" t="s">
        <v>213</v>
      </c>
      <c r="LTX102" s="529" t="str">
        <f>VLOOKUP(LTW102,[14]AssetDetails_UEM!$A$3:$AH$1849,6,FALSE)</f>
        <v>Electrosurgical Units, Monopolar/Bipolar</v>
      </c>
      <c r="LTY102" s="528" t="s">
        <v>213</v>
      </c>
      <c r="LTZ102" s="529" t="str">
        <f>VLOOKUP(LTY102,[14]AssetDetails_UEM!$A$3:$AH$1849,6,FALSE)</f>
        <v>Electrosurgical Units, Monopolar/Bipolar</v>
      </c>
      <c r="LUA102" s="528" t="s">
        <v>213</v>
      </c>
      <c r="LUB102" s="529" t="str">
        <f>VLOOKUP(LUA102,[14]AssetDetails_UEM!$A$3:$AH$1849,6,FALSE)</f>
        <v>Electrosurgical Units, Monopolar/Bipolar</v>
      </c>
      <c r="LUC102" s="528" t="s">
        <v>213</v>
      </c>
      <c r="LUD102" s="529" t="str">
        <f>VLOOKUP(LUC102,[14]AssetDetails_UEM!$A$3:$AH$1849,6,FALSE)</f>
        <v>Electrosurgical Units, Monopolar/Bipolar</v>
      </c>
      <c r="LUE102" s="528" t="s">
        <v>213</v>
      </c>
      <c r="LUF102" s="529" t="str">
        <f>VLOOKUP(LUE102,[14]AssetDetails_UEM!$A$3:$AH$1849,6,FALSE)</f>
        <v>Electrosurgical Units, Monopolar/Bipolar</v>
      </c>
      <c r="LUG102" s="528" t="s">
        <v>213</v>
      </c>
      <c r="LUH102" s="529" t="str">
        <f>VLOOKUP(LUG102,[14]AssetDetails_UEM!$A$3:$AH$1849,6,FALSE)</f>
        <v>Electrosurgical Units, Monopolar/Bipolar</v>
      </c>
      <c r="LUI102" s="528" t="s">
        <v>213</v>
      </c>
      <c r="LUJ102" s="529" t="str">
        <f>VLOOKUP(LUI102,[14]AssetDetails_UEM!$A$3:$AH$1849,6,FALSE)</f>
        <v>Electrosurgical Units, Monopolar/Bipolar</v>
      </c>
      <c r="LUK102" s="528" t="s">
        <v>213</v>
      </c>
      <c r="LUL102" s="529" t="str">
        <f>VLOOKUP(LUK102,[14]AssetDetails_UEM!$A$3:$AH$1849,6,FALSE)</f>
        <v>Electrosurgical Units, Monopolar/Bipolar</v>
      </c>
      <c r="LUM102" s="528" t="s">
        <v>213</v>
      </c>
      <c r="LUN102" s="529" t="str">
        <f>VLOOKUP(LUM102,[14]AssetDetails_UEM!$A$3:$AH$1849,6,FALSE)</f>
        <v>Electrosurgical Units, Monopolar/Bipolar</v>
      </c>
      <c r="LUO102" s="528" t="s">
        <v>213</v>
      </c>
      <c r="LUP102" s="529" t="str">
        <f>VLOOKUP(LUO102,[14]AssetDetails_UEM!$A$3:$AH$1849,6,FALSE)</f>
        <v>Electrosurgical Units, Monopolar/Bipolar</v>
      </c>
      <c r="LUQ102" s="528" t="s">
        <v>213</v>
      </c>
      <c r="LUR102" s="529" t="str">
        <f>VLOOKUP(LUQ102,[14]AssetDetails_UEM!$A$3:$AH$1849,6,FALSE)</f>
        <v>Electrosurgical Units, Monopolar/Bipolar</v>
      </c>
      <c r="LUS102" s="528" t="s">
        <v>213</v>
      </c>
      <c r="LUT102" s="529" t="str">
        <f>VLOOKUP(LUS102,[14]AssetDetails_UEM!$A$3:$AH$1849,6,FALSE)</f>
        <v>Electrosurgical Units, Monopolar/Bipolar</v>
      </c>
      <c r="LUU102" s="528" t="s">
        <v>213</v>
      </c>
      <c r="LUV102" s="529" t="str">
        <f>VLOOKUP(LUU102,[14]AssetDetails_UEM!$A$3:$AH$1849,6,FALSE)</f>
        <v>Electrosurgical Units, Monopolar/Bipolar</v>
      </c>
      <c r="LUW102" s="528" t="s">
        <v>213</v>
      </c>
      <c r="LUX102" s="529" t="str">
        <f>VLOOKUP(LUW102,[14]AssetDetails_UEM!$A$3:$AH$1849,6,FALSE)</f>
        <v>Electrosurgical Units, Monopolar/Bipolar</v>
      </c>
      <c r="LUY102" s="528" t="s">
        <v>213</v>
      </c>
      <c r="LUZ102" s="529" t="str">
        <f>VLOOKUP(LUY102,[14]AssetDetails_UEM!$A$3:$AH$1849,6,FALSE)</f>
        <v>Electrosurgical Units, Monopolar/Bipolar</v>
      </c>
      <c r="LVA102" s="528" t="s">
        <v>213</v>
      </c>
      <c r="LVB102" s="529" t="str">
        <f>VLOOKUP(LVA102,[14]AssetDetails_UEM!$A$3:$AH$1849,6,FALSE)</f>
        <v>Electrosurgical Units, Monopolar/Bipolar</v>
      </c>
      <c r="LVC102" s="528" t="s">
        <v>213</v>
      </c>
      <c r="LVD102" s="529" t="str">
        <f>VLOOKUP(LVC102,[14]AssetDetails_UEM!$A$3:$AH$1849,6,FALSE)</f>
        <v>Electrosurgical Units, Monopolar/Bipolar</v>
      </c>
      <c r="LVE102" s="528" t="s">
        <v>213</v>
      </c>
      <c r="LVF102" s="529" t="str">
        <f>VLOOKUP(LVE102,[14]AssetDetails_UEM!$A$3:$AH$1849,6,FALSE)</f>
        <v>Electrosurgical Units, Monopolar/Bipolar</v>
      </c>
      <c r="LVG102" s="528" t="s">
        <v>213</v>
      </c>
      <c r="LVH102" s="529" t="str">
        <f>VLOOKUP(LVG102,[14]AssetDetails_UEM!$A$3:$AH$1849,6,FALSE)</f>
        <v>Electrosurgical Units, Monopolar/Bipolar</v>
      </c>
      <c r="LVI102" s="528" t="s">
        <v>213</v>
      </c>
      <c r="LVJ102" s="529" t="str">
        <f>VLOOKUP(LVI102,[14]AssetDetails_UEM!$A$3:$AH$1849,6,FALSE)</f>
        <v>Electrosurgical Units, Monopolar/Bipolar</v>
      </c>
      <c r="LVK102" s="528" t="s">
        <v>213</v>
      </c>
      <c r="LVL102" s="529" t="str">
        <f>VLOOKUP(LVK102,[14]AssetDetails_UEM!$A$3:$AH$1849,6,FALSE)</f>
        <v>Electrosurgical Units, Monopolar/Bipolar</v>
      </c>
      <c r="LVM102" s="528" t="s">
        <v>213</v>
      </c>
      <c r="LVN102" s="529" t="str">
        <f>VLOOKUP(LVM102,[14]AssetDetails_UEM!$A$3:$AH$1849,6,FALSE)</f>
        <v>Electrosurgical Units, Monopolar/Bipolar</v>
      </c>
      <c r="LVO102" s="528" t="s">
        <v>213</v>
      </c>
      <c r="LVP102" s="529" t="str">
        <f>VLOOKUP(LVO102,[14]AssetDetails_UEM!$A$3:$AH$1849,6,FALSE)</f>
        <v>Electrosurgical Units, Monopolar/Bipolar</v>
      </c>
      <c r="LVQ102" s="528" t="s">
        <v>213</v>
      </c>
      <c r="LVR102" s="529" t="str">
        <f>VLOOKUP(LVQ102,[14]AssetDetails_UEM!$A$3:$AH$1849,6,FALSE)</f>
        <v>Electrosurgical Units, Monopolar/Bipolar</v>
      </c>
      <c r="LVS102" s="528" t="s">
        <v>213</v>
      </c>
      <c r="LVT102" s="529" t="str">
        <f>VLOOKUP(LVS102,[14]AssetDetails_UEM!$A$3:$AH$1849,6,FALSE)</f>
        <v>Electrosurgical Units, Monopolar/Bipolar</v>
      </c>
      <c r="LVU102" s="528" t="s">
        <v>213</v>
      </c>
      <c r="LVV102" s="529" t="str">
        <f>VLOOKUP(LVU102,[14]AssetDetails_UEM!$A$3:$AH$1849,6,FALSE)</f>
        <v>Electrosurgical Units, Monopolar/Bipolar</v>
      </c>
      <c r="LVW102" s="528" t="s">
        <v>213</v>
      </c>
      <c r="LVX102" s="529" t="str">
        <f>VLOOKUP(LVW102,[14]AssetDetails_UEM!$A$3:$AH$1849,6,FALSE)</f>
        <v>Electrosurgical Units, Monopolar/Bipolar</v>
      </c>
      <c r="LVY102" s="528" t="s">
        <v>213</v>
      </c>
      <c r="LVZ102" s="529" t="str">
        <f>VLOOKUP(LVY102,[14]AssetDetails_UEM!$A$3:$AH$1849,6,FALSE)</f>
        <v>Electrosurgical Units, Monopolar/Bipolar</v>
      </c>
      <c r="LWA102" s="528" t="s">
        <v>213</v>
      </c>
      <c r="LWB102" s="529" t="str">
        <f>VLOOKUP(LWA102,[14]AssetDetails_UEM!$A$3:$AH$1849,6,FALSE)</f>
        <v>Electrosurgical Units, Monopolar/Bipolar</v>
      </c>
      <c r="LWC102" s="528" t="s">
        <v>213</v>
      </c>
      <c r="LWD102" s="529" t="str">
        <f>VLOOKUP(LWC102,[14]AssetDetails_UEM!$A$3:$AH$1849,6,FALSE)</f>
        <v>Electrosurgical Units, Monopolar/Bipolar</v>
      </c>
      <c r="LWE102" s="528" t="s">
        <v>213</v>
      </c>
      <c r="LWF102" s="529" t="str">
        <f>VLOOKUP(LWE102,[14]AssetDetails_UEM!$A$3:$AH$1849,6,FALSE)</f>
        <v>Electrosurgical Units, Monopolar/Bipolar</v>
      </c>
      <c r="LWG102" s="528" t="s">
        <v>213</v>
      </c>
      <c r="LWH102" s="529" t="str">
        <f>VLOOKUP(LWG102,[14]AssetDetails_UEM!$A$3:$AH$1849,6,FALSE)</f>
        <v>Electrosurgical Units, Monopolar/Bipolar</v>
      </c>
      <c r="LWI102" s="528" t="s">
        <v>213</v>
      </c>
      <c r="LWJ102" s="529" t="str">
        <f>VLOOKUP(LWI102,[14]AssetDetails_UEM!$A$3:$AH$1849,6,FALSE)</f>
        <v>Electrosurgical Units, Monopolar/Bipolar</v>
      </c>
      <c r="LWK102" s="528" t="s">
        <v>213</v>
      </c>
      <c r="LWL102" s="529" t="str">
        <f>VLOOKUP(LWK102,[14]AssetDetails_UEM!$A$3:$AH$1849,6,FALSE)</f>
        <v>Electrosurgical Units, Monopolar/Bipolar</v>
      </c>
      <c r="LWM102" s="528" t="s">
        <v>213</v>
      </c>
      <c r="LWN102" s="529" t="str">
        <f>VLOOKUP(LWM102,[14]AssetDetails_UEM!$A$3:$AH$1849,6,FALSE)</f>
        <v>Electrosurgical Units, Monopolar/Bipolar</v>
      </c>
      <c r="LWO102" s="528" t="s">
        <v>213</v>
      </c>
      <c r="LWP102" s="529" t="str">
        <f>VLOOKUP(LWO102,[14]AssetDetails_UEM!$A$3:$AH$1849,6,FALSE)</f>
        <v>Electrosurgical Units, Monopolar/Bipolar</v>
      </c>
      <c r="LWQ102" s="528" t="s">
        <v>213</v>
      </c>
      <c r="LWR102" s="529" t="str">
        <f>VLOOKUP(LWQ102,[14]AssetDetails_UEM!$A$3:$AH$1849,6,FALSE)</f>
        <v>Electrosurgical Units, Monopolar/Bipolar</v>
      </c>
      <c r="LWS102" s="528" t="s">
        <v>213</v>
      </c>
      <c r="LWT102" s="529" t="str">
        <f>VLOOKUP(LWS102,[14]AssetDetails_UEM!$A$3:$AH$1849,6,FALSE)</f>
        <v>Electrosurgical Units, Monopolar/Bipolar</v>
      </c>
      <c r="LWU102" s="528" t="s">
        <v>213</v>
      </c>
      <c r="LWV102" s="529" t="str">
        <f>VLOOKUP(LWU102,[14]AssetDetails_UEM!$A$3:$AH$1849,6,FALSE)</f>
        <v>Electrosurgical Units, Monopolar/Bipolar</v>
      </c>
      <c r="LWW102" s="528" t="s">
        <v>213</v>
      </c>
      <c r="LWX102" s="529" t="str">
        <f>VLOOKUP(LWW102,[14]AssetDetails_UEM!$A$3:$AH$1849,6,FALSE)</f>
        <v>Electrosurgical Units, Monopolar/Bipolar</v>
      </c>
      <c r="LWY102" s="528" t="s">
        <v>213</v>
      </c>
      <c r="LWZ102" s="529" t="str">
        <f>VLOOKUP(LWY102,[14]AssetDetails_UEM!$A$3:$AH$1849,6,FALSE)</f>
        <v>Electrosurgical Units, Monopolar/Bipolar</v>
      </c>
      <c r="LXA102" s="528" t="s">
        <v>213</v>
      </c>
      <c r="LXB102" s="529" t="str">
        <f>VLOOKUP(LXA102,[14]AssetDetails_UEM!$A$3:$AH$1849,6,FALSE)</f>
        <v>Electrosurgical Units, Monopolar/Bipolar</v>
      </c>
      <c r="LXC102" s="528" t="s">
        <v>213</v>
      </c>
      <c r="LXD102" s="529" t="str">
        <f>VLOOKUP(LXC102,[14]AssetDetails_UEM!$A$3:$AH$1849,6,FALSE)</f>
        <v>Electrosurgical Units, Monopolar/Bipolar</v>
      </c>
      <c r="LXE102" s="528" t="s">
        <v>213</v>
      </c>
      <c r="LXF102" s="529" t="str">
        <f>VLOOKUP(LXE102,[14]AssetDetails_UEM!$A$3:$AH$1849,6,FALSE)</f>
        <v>Electrosurgical Units, Monopolar/Bipolar</v>
      </c>
      <c r="LXG102" s="528" t="s">
        <v>213</v>
      </c>
      <c r="LXH102" s="529" t="str">
        <f>VLOOKUP(LXG102,[14]AssetDetails_UEM!$A$3:$AH$1849,6,FALSE)</f>
        <v>Electrosurgical Units, Monopolar/Bipolar</v>
      </c>
      <c r="LXI102" s="528" t="s">
        <v>213</v>
      </c>
      <c r="LXJ102" s="529" t="str">
        <f>VLOOKUP(LXI102,[14]AssetDetails_UEM!$A$3:$AH$1849,6,FALSE)</f>
        <v>Electrosurgical Units, Monopolar/Bipolar</v>
      </c>
      <c r="LXK102" s="528" t="s">
        <v>213</v>
      </c>
      <c r="LXL102" s="529" t="str">
        <f>VLOOKUP(LXK102,[14]AssetDetails_UEM!$A$3:$AH$1849,6,FALSE)</f>
        <v>Electrosurgical Units, Monopolar/Bipolar</v>
      </c>
      <c r="LXM102" s="528" t="s">
        <v>213</v>
      </c>
      <c r="LXN102" s="529" t="str">
        <f>VLOOKUP(LXM102,[14]AssetDetails_UEM!$A$3:$AH$1849,6,FALSE)</f>
        <v>Electrosurgical Units, Monopolar/Bipolar</v>
      </c>
      <c r="LXO102" s="528" t="s">
        <v>213</v>
      </c>
      <c r="LXP102" s="529" t="str">
        <f>VLOOKUP(LXO102,[14]AssetDetails_UEM!$A$3:$AH$1849,6,FALSE)</f>
        <v>Electrosurgical Units, Monopolar/Bipolar</v>
      </c>
      <c r="LXQ102" s="528" t="s">
        <v>213</v>
      </c>
      <c r="LXR102" s="529" t="str">
        <f>VLOOKUP(LXQ102,[14]AssetDetails_UEM!$A$3:$AH$1849,6,FALSE)</f>
        <v>Electrosurgical Units, Monopolar/Bipolar</v>
      </c>
      <c r="LXS102" s="528" t="s">
        <v>213</v>
      </c>
      <c r="LXT102" s="529" t="str">
        <f>VLOOKUP(LXS102,[14]AssetDetails_UEM!$A$3:$AH$1849,6,FALSE)</f>
        <v>Electrosurgical Units, Monopolar/Bipolar</v>
      </c>
      <c r="LXU102" s="528" t="s">
        <v>213</v>
      </c>
      <c r="LXV102" s="529" t="str">
        <f>VLOOKUP(LXU102,[14]AssetDetails_UEM!$A$3:$AH$1849,6,FALSE)</f>
        <v>Electrosurgical Units, Monopolar/Bipolar</v>
      </c>
      <c r="LXW102" s="528" t="s">
        <v>213</v>
      </c>
      <c r="LXX102" s="529" t="str">
        <f>VLOOKUP(LXW102,[14]AssetDetails_UEM!$A$3:$AH$1849,6,FALSE)</f>
        <v>Electrosurgical Units, Monopolar/Bipolar</v>
      </c>
      <c r="LXY102" s="528" t="s">
        <v>213</v>
      </c>
      <c r="LXZ102" s="529" t="str">
        <f>VLOOKUP(LXY102,[14]AssetDetails_UEM!$A$3:$AH$1849,6,FALSE)</f>
        <v>Electrosurgical Units, Monopolar/Bipolar</v>
      </c>
      <c r="LYA102" s="528" t="s">
        <v>213</v>
      </c>
      <c r="LYB102" s="529" t="str">
        <f>VLOOKUP(LYA102,[14]AssetDetails_UEM!$A$3:$AH$1849,6,FALSE)</f>
        <v>Electrosurgical Units, Monopolar/Bipolar</v>
      </c>
      <c r="LYC102" s="528" t="s">
        <v>213</v>
      </c>
      <c r="LYD102" s="529" t="str">
        <f>VLOOKUP(LYC102,[14]AssetDetails_UEM!$A$3:$AH$1849,6,FALSE)</f>
        <v>Electrosurgical Units, Monopolar/Bipolar</v>
      </c>
      <c r="LYE102" s="528" t="s">
        <v>213</v>
      </c>
      <c r="LYF102" s="529" t="str">
        <f>VLOOKUP(LYE102,[14]AssetDetails_UEM!$A$3:$AH$1849,6,FALSE)</f>
        <v>Electrosurgical Units, Monopolar/Bipolar</v>
      </c>
      <c r="LYG102" s="528" t="s">
        <v>213</v>
      </c>
      <c r="LYH102" s="529" t="str">
        <f>VLOOKUP(LYG102,[14]AssetDetails_UEM!$A$3:$AH$1849,6,FALSE)</f>
        <v>Electrosurgical Units, Monopolar/Bipolar</v>
      </c>
      <c r="LYI102" s="528" t="s">
        <v>213</v>
      </c>
      <c r="LYJ102" s="529" t="str">
        <f>VLOOKUP(LYI102,[14]AssetDetails_UEM!$A$3:$AH$1849,6,FALSE)</f>
        <v>Electrosurgical Units, Monopolar/Bipolar</v>
      </c>
      <c r="LYK102" s="528" t="s">
        <v>213</v>
      </c>
      <c r="LYL102" s="529" t="str">
        <f>VLOOKUP(LYK102,[14]AssetDetails_UEM!$A$3:$AH$1849,6,FALSE)</f>
        <v>Electrosurgical Units, Monopolar/Bipolar</v>
      </c>
      <c r="LYM102" s="528" t="s">
        <v>213</v>
      </c>
      <c r="LYN102" s="529" t="str">
        <f>VLOOKUP(LYM102,[14]AssetDetails_UEM!$A$3:$AH$1849,6,FALSE)</f>
        <v>Electrosurgical Units, Monopolar/Bipolar</v>
      </c>
      <c r="LYO102" s="528" t="s">
        <v>213</v>
      </c>
      <c r="LYP102" s="529" t="str">
        <f>VLOOKUP(LYO102,[14]AssetDetails_UEM!$A$3:$AH$1849,6,FALSE)</f>
        <v>Electrosurgical Units, Monopolar/Bipolar</v>
      </c>
      <c r="LYQ102" s="528" t="s">
        <v>213</v>
      </c>
      <c r="LYR102" s="529" t="str">
        <f>VLOOKUP(LYQ102,[14]AssetDetails_UEM!$A$3:$AH$1849,6,FALSE)</f>
        <v>Electrosurgical Units, Monopolar/Bipolar</v>
      </c>
      <c r="LYS102" s="528" t="s">
        <v>213</v>
      </c>
      <c r="LYT102" s="529" t="str">
        <f>VLOOKUP(LYS102,[14]AssetDetails_UEM!$A$3:$AH$1849,6,FALSE)</f>
        <v>Electrosurgical Units, Monopolar/Bipolar</v>
      </c>
      <c r="LYU102" s="528" t="s">
        <v>213</v>
      </c>
      <c r="LYV102" s="529" t="str">
        <f>VLOOKUP(LYU102,[14]AssetDetails_UEM!$A$3:$AH$1849,6,FALSE)</f>
        <v>Electrosurgical Units, Monopolar/Bipolar</v>
      </c>
      <c r="LYW102" s="528" t="s">
        <v>213</v>
      </c>
      <c r="LYX102" s="529" t="str">
        <f>VLOOKUP(LYW102,[14]AssetDetails_UEM!$A$3:$AH$1849,6,FALSE)</f>
        <v>Electrosurgical Units, Monopolar/Bipolar</v>
      </c>
      <c r="LYY102" s="528" t="s">
        <v>213</v>
      </c>
      <c r="LYZ102" s="529" t="str">
        <f>VLOOKUP(LYY102,[14]AssetDetails_UEM!$A$3:$AH$1849,6,FALSE)</f>
        <v>Electrosurgical Units, Monopolar/Bipolar</v>
      </c>
      <c r="LZA102" s="528" t="s">
        <v>213</v>
      </c>
      <c r="LZB102" s="529" t="str">
        <f>VLOOKUP(LZA102,[14]AssetDetails_UEM!$A$3:$AH$1849,6,FALSE)</f>
        <v>Electrosurgical Units, Monopolar/Bipolar</v>
      </c>
      <c r="LZC102" s="528" t="s">
        <v>213</v>
      </c>
      <c r="LZD102" s="529" t="str">
        <f>VLOOKUP(LZC102,[14]AssetDetails_UEM!$A$3:$AH$1849,6,FALSE)</f>
        <v>Electrosurgical Units, Monopolar/Bipolar</v>
      </c>
      <c r="LZE102" s="528" t="s">
        <v>213</v>
      </c>
      <c r="LZF102" s="529" t="str">
        <f>VLOOKUP(LZE102,[14]AssetDetails_UEM!$A$3:$AH$1849,6,FALSE)</f>
        <v>Electrosurgical Units, Monopolar/Bipolar</v>
      </c>
      <c r="LZG102" s="528" t="s">
        <v>213</v>
      </c>
      <c r="LZH102" s="529" t="str">
        <f>VLOOKUP(LZG102,[14]AssetDetails_UEM!$A$3:$AH$1849,6,FALSE)</f>
        <v>Electrosurgical Units, Monopolar/Bipolar</v>
      </c>
      <c r="LZI102" s="528" t="s">
        <v>213</v>
      </c>
      <c r="LZJ102" s="529" t="str">
        <f>VLOOKUP(LZI102,[14]AssetDetails_UEM!$A$3:$AH$1849,6,FALSE)</f>
        <v>Electrosurgical Units, Monopolar/Bipolar</v>
      </c>
      <c r="LZK102" s="528" t="s">
        <v>213</v>
      </c>
      <c r="LZL102" s="529" t="str">
        <f>VLOOKUP(LZK102,[14]AssetDetails_UEM!$A$3:$AH$1849,6,FALSE)</f>
        <v>Electrosurgical Units, Monopolar/Bipolar</v>
      </c>
      <c r="LZM102" s="528" t="s">
        <v>213</v>
      </c>
      <c r="LZN102" s="529" t="str">
        <f>VLOOKUP(LZM102,[14]AssetDetails_UEM!$A$3:$AH$1849,6,FALSE)</f>
        <v>Electrosurgical Units, Monopolar/Bipolar</v>
      </c>
      <c r="LZO102" s="528" t="s">
        <v>213</v>
      </c>
      <c r="LZP102" s="529" t="str">
        <f>VLOOKUP(LZO102,[14]AssetDetails_UEM!$A$3:$AH$1849,6,FALSE)</f>
        <v>Electrosurgical Units, Monopolar/Bipolar</v>
      </c>
      <c r="LZQ102" s="528" t="s">
        <v>213</v>
      </c>
      <c r="LZR102" s="529" t="str">
        <f>VLOOKUP(LZQ102,[14]AssetDetails_UEM!$A$3:$AH$1849,6,FALSE)</f>
        <v>Electrosurgical Units, Monopolar/Bipolar</v>
      </c>
      <c r="LZS102" s="528" t="s">
        <v>213</v>
      </c>
      <c r="LZT102" s="529" t="str">
        <f>VLOOKUP(LZS102,[14]AssetDetails_UEM!$A$3:$AH$1849,6,FALSE)</f>
        <v>Electrosurgical Units, Monopolar/Bipolar</v>
      </c>
      <c r="LZU102" s="528" t="s">
        <v>213</v>
      </c>
      <c r="LZV102" s="529" t="str">
        <f>VLOOKUP(LZU102,[14]AssetDetails_UEM!$A$3:$AH$1849,6,FALSE)</f>
        <v>Electrosurgical Units, Monopolar/Bipolar</v>
      </c>
      <c r="LZW102" s="528" t="s">
        <v>213</v>
      </c>
      <c r="LZX102" s="529" t="str">
        <f>VLOOKUP(LZW102,[14]AssetDetails_UEM!$A$3:$AH$1849,6,FALSE)</f>
        <v>Electrosurgical Units, Monopolar/Bipolar</v>
      </c>
      <c r="LZY102" s="528" t="s">
        <v>213</v>
      </c>
      <c r="LZZ102" s="529" t="str">
        <f>VLOOKUP(LZY102,[14]AssetDetails_UEM!$A$3:$AH$1849,6,FALSE)</f>
        <v>Electrosurgical Units, Monopolar/Bipolar</v>
      </c>
      <c r="MAA102" s="528" t="s">
        <v>213</v>
      </c>
      <c r="MAB102" s="529" t="str">
        <f>VLOOKUP(MAA102,[14]AssetDetails_UEM!$A$3:$AH$1849,6,FALSE)</f>
        <v>Electrosurgical Units, Monopolar/Bipolar</v>
      </c>
      <c r="MAC102" s="528" t="s">
        <v>213</v>
      </c>
      <c r="MAD102" s="529" t="str">
        <f>VLOOKUP(MAC102,[14]AssetDetails_UEM!$A$3:$AH$1849,6,FALSE)</f>
        <v>Electrosurgical Units, Monopolar/Bipolar</v>
      </c>
      <c r="MAE102" s="528" t="s">
        <v>213</v>
      </c>
      <c r="MAF102" s="529" t="str">
        <f>VLOOKUP(MAE102,[14]AssetDetails_UEM!$A$3:$AH$1849,6,FALSE)</f>
        <v>Electrosurgical Units, Monopolar/Bipolar</v>
      </c>
      <c r="MAG102" s="528" t="s">
        <v>213</v>
      </c>
      <c r="MAH102" s="529" t="str">
        <f>VLOOKUP(MAG102,[14]AssetDetails_UEM!$A$3:$AH$1849,6,FALSE)</f>
        <v>Electrosurgical Units, Monopolar/Bipolar</v>
      </c>
      <c r="MAI102" s="528" t="s">
        <v>213</v>
      </c>
      <c r="MAJ102" s="529" t="str">
        <f>VLOOKUP(MAI102,[14]AssetDetails_UEM!$A$3:$AH$1849,6,FALSE)</f>
        <v>Electrosurgical Units, Monopolar/Bipolar</v>
      </c>
      <c r="MAK102" s="528" t="s">
        <v>213</v>
      </c>
      <c r="MAL102" s="529" t="str">
        <f>VLOOKUP(MAK102,[14]AssetDetails_UEM!$A$3:$AH$1849,6,FALSE)</f>
        <v>Electrosurgical Units, Monopolar/Bipolar</v>
      </c>
      <c r="MAM102" s="528" t="s">
        <v>213</v>
      </c>
      <c r="MAN102" s="529" t="str">
        <f>VLOOKUP(MAM102,[14]AssetDetails_UEM!$A$3:$AH$1849,6,FALSE)</f>
        <v>Electrosurgical Units, Monopolar/Bipolar</v>
      </c>
      <c r="MAO102" s="528" t="s">
        <v>213</v>
      </c>
      <c r="MAP102" s="529" t="str">
        <f>VLOOKUP(MAO102,[14]AssetDetails_UEM!$A$3:$AH$1849,6,FALSE)</f>
        <v>Electrosurgical Units, Monopolar/Bipolar</v>
      </c>
      <c r="MAQ102" s="528" t="s">
        <v>213</v>
      </c>
      <c r="MAR102" s="529" t="str">
        <f>VLOOKUP(MAQ102,[14]AssetDetails_UEM!$A$3:$AH$1849,6,FALSE)</f>
        <v>Electrosurgical Units, Monopolar/Bipolar</v>
      </c>
      <c r="MAS102" s="528" t="s">
        <v>213</v>
      </c>
      <c r="MAT102" s="529" t="str">
        <f>VLOOKUP(MAS102,[14]AssetDetails_UEM!$A$3:$AH$1849,6,FALSE)</f>
        <v>Electrosurgical Units, Monopolar/Bipolar</v>
      </c>
      <c r="MAU102" s="528" t="s">
        <v>213</v>
      </c>
      <c r="MAV102" s="529" t="str">
        <f>VLOOKUP(MAU102,[14]AssetDetails_UEM!$A$3:$AH$1849,6,FALSE)</f>
        <v>Electrosurgical Units, Monopolar/Bipolar</v>
      </c>
      <c r="MAW102" s="528" t="s">
        <v>213</v>
      </c>
      <c r="MAX102" s="529" t="str">
        <f>VLOOKUP(MAW102,[14]AssetDetails_UEM!$A$3:$AH$1849,6,FALSE)</f>
        <v>Electrosurgical Units, Monopolar/Bipolar</v>
      </c>
      <c r="MAY102" s="528" t="s">
        <v>213</v>
      </c>
      <c r="MAZ102" s="529" t="str">
        <f>VLOOKUP(MAY102,[14]AssetDetails_UEM!$A$3:$AH$1849,6,FALSE)</f>
        <v>Electrosurgical Units, Monopolar/Bipolar</v>
      </c>
      <c r="MBA102" s="528" t="s">
        <v>213</v>
      </c>
      <c r="MBB102" s="529" t="str">
        <f>VLOOKUP(MBA102,[14]AssetDetails_UEM!$A$3:$AH$1849,6,FALSE)</f>
        <v>Electrosurgical Units, Monopolar/Bipolar</v>
      </c>
      <c r="MBC102" s="528" t="s">
        <v>213</v>
      </c>
      <c r="MBD102" s="529" t="str">
        <f>VLOOKUP(MBC102,[14]AssetDetails_UEM!$A$3:$AH$1849,6,FALSE)</f>
        <v>Electrosurgical Units, Monopolar/Bipolar</v>
      </c>
      <c r="MBE102" s="528" t="s">
        <v>213</v>
      </c>
      <c r="MBF102" s="529" t="str">
        <f>VLOOKUP(MBE102,[14]AssetDetails_UEM!$A$3:$AH$1849,6,FALSE)</f>
        <v>Electrosurgical Units, Monopolar/Bipolar</v>
      </c>
      <c r="MBG102" s="528" t="s">
        <v>213</v>
      </c>
      <c r="MBH102" s="529" t="str">
        <f>VLOOKUP(MBG102,[14]AssetDetails_UEM!$A$3:$AH$1849,6,FALSE)</f>
        <v>Electrosurgical Units, Monopolar/Bipolar</v>
      </c>
      <c r="MBI102" s="528" t="s">
        <v>213</v>
      </c>
      <c r="MBJ102" s="529" t="str">
        <f>VLOOKUP(MBI102,[14]AssetDetails_UEM!$A$3:$AH$1849,6,FALSE)</f>
        <v>Electrosurgical Units, Monopolar/Bipolar</v>
      </c>
      <c r="MBK102" s="528" t="s">
        <v>213</v>
      </c>
      <c r="MBL102" s="529" t="str">
        <f>VLOOKUP(MBK102,[14]AssetDetails_UEM!$A$3:$AH$1849,6,FALSE)</f>
        <v>Electrosurgical Units, Monopolar/Bipolar</v>
      </c>
      <c r="MBM102" s="528" t="s">
        <v>213</v>
      </c>
      <c r="MBN102" s="529" t="str">
        <f>VLOOKUP(MBM102,[14]AssetDetails_UEM!$A$3:$AH$1849,6,FALSE)</f>
        <v>Electrosurgical Units, Monopolar/Bipolar</v>
      </c>
      <c r="MBO102" s="528" t="s">
        <v>213</v>
      </c>
      <c r="MBP102" s="529" t="str">
        <f>VLOOKUP(MBO102,[14]AssetDetails_UEM!$A$3:$AH$1849,6,FALSE)</f>
        <v>Electrosurgical Units, Monopolar/Bipolar</v>
      </c>
      <c r="MBQ102" s="528" t="s">
        <v>213</v>
      </c>
      <c r="MBR102" s="529" t="str">
        <f>VLOOKUP(MBQ102,[14]AssetDetails_UEM!$A$3:$AH$1849,6,FALSE)</f>
        <v>Electrosurgical Units, Monopolar/Bipolar</v>
      </c>
      <c r="MBS102" s="528" t="s">
        <v>213</v>
      </c>
      <c r="MBT102" s="529" t="str">
        <f>VLOOKUP(MBS102,[14]AssetDetails_UEM!$A$3:$AH$1849,6,FALSE)</f>
        <v>Electrosurgical Units, Monopolar/Bipolar</v>
      </c>
      <c r="MBU102" s="528" t="s">
        <v>213</v>
      </c>
      <c r="MBV102" s="529" t="str">
        <f>VLOOKUP(MBU102,[14]AssetDetails_UEM!$A$3:$AH$1849,6,FALSE)</f>
        <v>Electrosurgical Units, Monopolar/Bipolar</v>
      </c>
      <c r="MBW102" s="528" t="s">
        <v>213</v>
      </c>
      <c r="MBX102" s="529" t="str">
        <f>VLOOKUP(MBW102,[14]AssetDetails_UEM!$A$3:$AH$1849,6,FALSE)</f>
        <v>Electrosurgical Units, Monopolar/Bipolar</v>
      </c>
      <c r="MBY102" s="528" t="s">
        <v>213</v>
      </c>
      <c r="MBZ102" s="529" t="str">
        <f>VLOOKUP(MBY102,[14]AssetDetails_UEM!$A$3:$AH$1849,6,FALSE)</f>
        <v>Electrosurgical Units, Monopolar/Bipolar</v>
      </c>
      <c r="MCA102" s="528" t="s">
        <v>213</v>
      </c>
      <c r="MCB102" s="529" t="str">
        <f>VLOOKUP(MCA102,[14]AssetDetails_UEM!$A$3:$AH$1849,6,FALSE)</f>
        <v>Electrosurgical Units, Monopolar/Bipolar</v>
      </c>
      <c r="MCC102" s="528" t="s">
        <v>213</v>
      </c>
      <c r="MCD102" s="529" t="str">
        <f>VLOOKUP(MCC102,[14]AssetDetails_UEM!$A$3:$AH$1849,6,FALSE)</f>
        <v>Electrosurgical Units, Monopolar/Bipolar</v>
      </c>
      <c r="MCE102" s="528" t="s">
        <v>213</v>
      </c>
      <c r="MCF102" s="529" t="str">
        <f>VLOOKUP(MCE102,[14]AssetDetails_UEM!$A$3:$AH$1849,6,FALSE)</f>
        <v>Electrosurgical Units, Monopolar/Bipolar</v>
      </c>
      <c r="MCG102" s="528" t="s">
        <v>213</v>
      </c>
      <c r="MCH102" s="529" t="str">
        <f>VLOOKUP(MCG102,[14]AssetDetails_UEM!$A$3:$AH$1849,6,FALSE)</f>
        <v>Electrosurgical Units, Monopolar/Bipolar</v>
      </c>
      <c r="MCI102" s="528" t="s">
        <v>213</v>
      </c>
      <c r="MCJ102" s="529" t="str">
        <f>VLOOKUP(MCI102,[14]AssetDetails_UEM!$A$3:$AH$1849,6,FALSE)</f>
        <v>Electrosurgical Units, Monopolar/Bipolar</v>
      </c>
      <c r="MCK102" s="528" t="s">
        <v>213</v>
      </c>
      <c r="MCL102" s="529" t="str">
        <f>VLOOKUP(MCK102,[14]AssetDetails_UEM!$A$3:$AH$1849,6,FALSE)</f>
        <v>Electrosurgical Units, Monopolar/Bipolar</v>
      </c>
      <c r="MCM102" s="528" t="s">
        <v>213</v>
      </c>
      <c r="MCN102" s="529" t="str">
        <f>VLOOKUP(MCM102,[14]AssetDetails_UEM!$A$3:$AH$1849,6,FALSE)</f>
        <v>Electrosurgical Units, Monopolar/Bipolar</v>
      </c>
      <c r="MCO102" s="528" t="s">
        <v>213</v>
      </c>
      <c r="MCP102" s="529" t="str">
        <f>VLOOKUP(MCO102,[14]AssetDetails_UEM!$A$3:$AH$1849,6,FALSE)</f>
        <v>Electrosurgical Units, Monopolar/Bipolar</v>
      </c>
      <c r="MCQ102" s="528" t="s">
        <v>213</v>
      </c>
      <c r="MCR102" s="529" t="str">
        <f>VLOOKUP(MCQ102,[14]AssetDetails_UEM!$A$3:$AH$1849,6,FALSE)</f>
        <v>Electrosurgical Units, Monopolar/Bipolar</v>
      </c>
      <c r="MCS102" s="528" t="s">
        <v>213</v>
      </c>
      <c r="MCT102" s="529" t="str">
        <f>VLOOKUP(MCS102,[14]AssetDetails_UEM!$A$3:$AH$1849,6,FALSE)</f>
        <v>Electrosurgical Units, Monopolar/Bipolar</v>
      </c>
      <c r="MCU102" s="528" t="s">
        <v>213</v>
      </c>
      <c r="MCV102" s="529" t="str">
        <f>VLOOKUP(MCU102,[14]AssetDetails_UEM!$A$3:$AH$1849,6,FALSE)</f>
        <v>Electrosurgical Units, Monopolar/Bipolar</v>
      </c>
      <c r="MCW102" s="528" t="s">
        <v>213</v>
      </c>
      <c r="MCX102" s="529" t="str">
        <f>VLOOKUP(MCW102,[14]AssetDetails_UEM!$A$3:$AH$1849,6,FALSE)</f>
        <v>Electrosurgical Units, Monopolar/Bipolar</v>
      </c>
      <c r="MCY102" s="528" t="s">
        <v>213</v>
      </c>
      <c r="MCZ102" s="529" t="str">
        <f>VLOOKUP(MCY102,[14]AssetDetails_UEM!$A$3:$AH$1849,6,FALSE)</f>
        <v>Electrosurgical Units, Monopolar/Bipolar</v>
      </c>
      <c r="MDA102" s="528" t="s">
        <v>213</v>
      </c>
      <c r="MDB102" s="529" t="str">
        <f>VLOOKUP(MDA102,[14]AssetDetails_UEM!$A$3:$AH$1849,6,FALSE)</f>
        <v>Electrosurgical Units, Monopolar/Bipolar</v>
      </c>
      <c r="MDC102" s="528" t="s">
        <v>213</v>
      </c>
      <c r="MDD102" s="529" t="str">
        <f>VLOOKUP(MDC102,[14]AssetDetails_UEM!$A$3:$AH$1849,6,FALSE)</f>
        <v>Electrosurgical Units, Monopolar/Bipolar</v>
      </c>
      <c r="MDE102" s="528" t="s">
        <v>213</v>
      </c>
      <c r="MDF102" s="529" t="str">
        <f>VLOOKUP(MDE102,[14]AssetDetails_UEM!$A$3:$AH$1849,6,FALSE)</f>
        <v>Electrosurgical Units, Monopolar/Bipolar</v>
      </c>
      <c r="MDG102" s="528" t="s">
        <v>213</v>
      </c>
      <c r="MDH102" s="529" t="str">
        <f>VLOOKUP(MDG102,[14]AssetDetails_UEM!$A$3:$AH$1849,6,FALSE)</f>
        <v>Electrosurgical Units, Monopolar/Bipolar</v>
      </c>
      <c r="MDI102" s="528" t="s">
        <v>213</v>
      </c>
      <c r="MDJ102" s="529" t="str">
        <f>VLOOKUP(MDI102,[14]AssetDetails_UEM!$A$3:$AH$1849,6,FALSE)</f>
        <v>Electrosurgical Units, Monopolar/Bipolar</v>
      </c>
      <c r="MDK102" s="528" t="s">
        <v>213</v>
      </c>
      <c r="MDL102" s="529" t="str">
        <f>VLOOKUP(MDK102,[14]AssetDetails_UEM!$A$3:$AH$1849,6,FALSE)</f>
        <v>Electrosurgical Units, Monopolar/Bipolar</v>
      </c>
      <c r="MDM102" s="528" t="s">
        <v>213</v>
      </c>
      <c r="MDN102" s="529" t="str">
        <f>VLOOKUP(MDM102,[14]AssetDetails_UEM!$A$3:$AH$1849,6,FALSE)</f>
        <v>Electrosurgical Units, Monopolar/Bipolar</v>
      </c>
      <c r="MDO102" s="528" t="s">
        <v>213</v>
      </c>
      <c r="MDP102" s="529" t="str">
        <f>VLOOKUP(MDO102,[14]AssetDetails_UEM!$A$3:$AH$1849,6,FALSE)</f>
        <v>Electrosurgical Units, Monopolar/Bipolar</v>
      </c>
      <c r="MDQ102" s="528" t="s">
        <v>213</v>
      </c>
      <c r="MDR102" s="529" t="str">
        <f>VLOOKUP(MDQ102,[14]AssetDetails_UEM!$A$3:$AH$1849,6,FALSE)</f>
        <v>Electrosurgical Units, Monopolar/Bipolar</v>
      </c>
      <c r="MDS102" s="528" t="s">
        <v>213</v>
      </c>
      <c r="MDT102" s="529" t="str">
        <f>VLOOKUP(MDS102,[14]AssetDetails_UEM!$A$3:$AH$1849,6,FALSE)</f>
        <v>Electrosurgical Units, Monopolar/Bipolar</v>
      </c>
      <c r="MDU102" s="528" t="s">
        <v>213</v>
      </c>
      <c r="MDV102" s="529" t="str">
        <f>VLOOKUP(MDU102,[14]AssetDetails_UEM!$A$3:$AH$1849,6,FALSE)</f>
        <v>Electrosurgical Units, Monopolar/Bipolar</v>
      </c>
      <c r="MDW102" s="528" t="s">
        <v>213</v>
      </c>
      <c r="MDX102" s="529" t="str">
        <f>VLOOKUP(MDW102,[14]AssetDetails_UEM!$A$3:$AH$1849,6,FALSE)</f>
        <v>Electrosurgical Units, Monopolar/Bipolar</v>
      </c>
      <c r="MDY102" s="528" t="s">
        <v>213</v>
      </c>
      <c r="MDZ102" s="529" t="str">
        <f>VLOOKUP(MDY102,[14]AssetDetails_UEM!$A$3:$AH$1849,6,FALSE)</f>
        <v>Electrosurgical Units, Monopolar/Bipolar</v>
      </c>
      <c r="MEA102" s="528" t="s">
        <v>213</v>
      </c>
      <c r="MEB102" s="529" t="str">
        <f>VLOOKUP(MEA102,[14]AssetDetails_UEM!$A$3:$AH$1849,6,FALSE)</f>
        <v>Electrosurgical Units, Monopolar/Bipolar</v>
      </c>
      <c r="MEC102" s="528" t="s">
        <v>213</v>
      </c>
      <c r="MED102" s="529" t="str">
        <f>VLOOKUP(MEC102,[14]AssetDetails_UEM!$A$3:$AH$1849,6,FALSE)</f>
        <v>Electrosurgical Units, Monopolar/Bipolar</v>
      </c>
      <c r="MEE102" s="528" t="s">
        <v>213</v>
      </c>
      <c r="MEF102" s="529" t="str">
        <f>VLOOKUP(MEE102,[14]AssetDetails_UEM!$A$3:$AH$1849,6,FALSE)</f>
        <v>Electrosurgical Units, Monopolar/Bipolar</v>
      </c>
      <c r="MEG102" s="528" t="s">
        <v>213</v>
      </c>
      <c r="MEH102" s="529" t="str">
        <f>VLOOKUP(MEG102,[14]AssetDetails_UEM!$A$3:$AH$1849,6,FALSE)</f>
        <v>Electrosurgical Units, Monopolar/Bipolar</v>
      </c>
      <c r="MEI102" s="528" t="s">
        <v>213</v>
      </c>
      <c r="MEJ102" s="529" t="str">
        <f>VLOOKUP(MEI102,[14]AssetDetails_UEM!$A$3:$AH$1849,6,FALSE)</f>
        <v>Electrosurgical Units, Monopolar/Bipolar</v>
      </c>
      <c r="MEK102" s="528" t="s">
        <v>213</v>
      </c>
      <c r="MEL102" s="529" t="str">
        <f>VLOOKUP(MEK102,[14]AssetDetails_UEM!$A$3:$AH$1849,6,FALSE)</f>
        <v>Electrosurgical Units, Monopolar/Bipolar</v>
      </c>
      <c r="MEM102" s="528" t="s">
        <v>213</v>
      </c>
      <c r="MEN102" s="529" t="str">
        <f>VLOOKUP(MEM102,[14]AssetDetails_UEM!$A$3:$AH$1849,6,FALSE)</f>
        <v>Electrosurgical Units, Monopolar/Bipolar</v>
      </c>
      <c r="MEO102" s="528" t="s">
        <v>213</v>
      </c>
      <c r="MEP102" s="529" t="str">
        <f>VLOOKUP(MEO102,[14]AssetDetails_UEM!$A$3:$AH$1849,6,FALSE)</f>
        <v>Electrosurgical Units, Monopolar/Bipolar</v>
      </c>
      <c r="MEQ102" s="528" t="s">
        <v>213</v>
      </c>
      <c r="MER102" s="529" t="str">
        <f>VLOOKUP(MEQ102,[14]AssetDetails_UEM!$A$3:$AH$1849,6,FALSE)</f>
        <v>Electrosurgical Units, Monopolar/Bipolar</v>
      </c>
      <c r="MES102" s="528" t="s">
        <v>213</v>
      </c>
      <c r="MET102" s="529" t="str">
        <f>VLOOKUP(MES102,[14]AssetDetails_UEM!$A$3:$AH$1849,6,FALSE)</f>
        <v>Electrosurgical Units, Monopolar/Bipolar</v>
      </c>
      <c r="MEU102" s="528" t="s">
        <v>213</v>
      </c>
      <c r="MEV102" s="529" t="str">
        <f>VLOOKUP(MEU102,[14]AssetDetails_UEM!$A$3:$AH$1849,6,FALSE)</f>
        <v>Electrosurgical Units, Monopolar/Bipolar</v>
      </c>
      <c r="MEW102" s="528" t="s">
        <v>213</v>
      </c>
      <c r="MEX102" s="529" t="str">
        <f>VLOOKUP(MEW102,[14]AssetDetails_UEM!$A$3:$AH$1849,6,FALSE)</f>
        <v>Electrosurgical Units, Monopolar/Bipolar</v>
      </c>
      <c r="MEY102" s="528" t="s">
        <v>213</v>
      </c>
      <c r="MEZ102" s="529" t="str">
        <f>VLOOKUP(MEY102,[14]AssetDetails_UEM!$A$3:$AH$1849,6,FALSE)</f>
        <v>Electrosurgical Units, Monopolar/Bipolar</v>
      </c>
      <c r="MFA102" s="528" t="s">
        <v>213</v>
      </c>
      <c r="MFB102" s="529" t="str">
        <f>VLOOKUP(MFA102,[14]AssetDetails_UEM!$A$3:$AH$1849,6,FALSE)</f>
        <v>Electrosurgical Units, Monopolar/Bipolar</v>
      </c>
      <c r="MFC102" s="528" t="s">
        <v>213</v>
      </c>
      <c r="MFD102" s="529" t="str">
        <f>VLOOKUP(MFC102,[14]AssetDetails_UEM!$A$3:$AH$1849,6,FALSE)</f>
        <v>Electrosurgical Units, Monopolar/Bipolar</v>
      </c>
      <c r="MFE102" s="528" t="s">
        <v>213</v>
      </c>
      <c r="MFF102" s="529" t="str">
        <f>VLOOKUP(MFE102,[14]AssetDetails_UEM!$A$3:$AH$1849,6,FALSE)</f>
        <v>Electrosurgical Units, Monopolar/Bipolar</v>
      </c>
      <c r="MFG102" s="528" t="s">
        <v>213</v>
      </c>
      <c r="MFH102" s="529" t="str">
        <f>VLOOKUP(MFG102,[14]AssetDetails_UEM!$A$3:$AH$1849,6,FALSE)</f>
        <v>Electrosurgical Units, Monopolar/Bipolar</v>
      </c>
      <c r="MFI102" s="528" t="s">
        <v>213</v>
      </c>
      <c r="MFJ102" s="529" t="str">
        <f>VLOOKUP(MFI102,[14]AssetDetails_UEM!$A$3:$AH$1849,6,FALSE)</f>
        <v>Electrosurgical Units, Monopolar/Bipolar</v>
      </c>
      <c r="MFK102" s="528" t="s">
        <v>213</v>
      </c>
      <c r="MFL102" s="529" t="str">
        <f>VLOOKUP(MFK102,[14]AssetDetails_UEM!$A$3:$AH$1849,6,FALSE)</f>
        <v>Electrosurgical Units, Monopolar/Bipolar</v>
      </c>
      <c r="MFM102" s="528" t="s">
        <v>213</v>
      </c>
      <c r="MFN102" s="529" t="str">
        <f>VLOOKUP(MFM102,[14]AssetDetails_UEM!$A$3:$AH$1849,6,FALSE)</f>
        <v>Electrosurgical Units, Monopolar/Bipolar</v>
      </c>
      <c r="MFO102" s="528" t="s">
        <v>213</v>
      </c>
      <c r="MFP102" s="529" t="str">
        <f>VLOOKUP(MFO102,[14]AssetDetails_UEM!$A$3:$AH$1849,6,FALSE)</f>
        <v>Electrosurgical Units, Monopolar/Bipolar</v>
      </c>
      <c r="MFQ102" s="528" t="s">
        <v>213</v>
      </c>
      <c r="MFR102" s="529" t="str">
        <f>VLOOKUP(MFQ102,[14]AssetDetails_UEM!$A$3:$AH$1849,6,FALSE)</f>
        <v>Electrosurgical Units, Monopolar/Bipolar</v>
      </c>
      <c r="MFS102" s="528" t="s">
        <v>213</v>
      </c>
      <c r="MFT102" s="529" t="str">
        <f>VLOOKUP(MFS102,[14]AssetDetails_UEM!$A$3:$AH$1849,6,FALSE)</f>
        <v>Electrosurgical Units, Monopolar/Bipolar</v>
      </c>
      <c r="MFU102" s="528" t="s">
        <v>213</v>
      </c>
      <c r="MFV102" s="529" t="str">
        <f>VLOOKUP(MFU102,[14]AssetDetails_UEM!$A$3:$AH$1849,6,FALSE)</f>
        <v>Electrosurgical Units, Monopolar/Bipolar</v>
      </c>
      <c r="MFW102" s="528" t="s">
        <v>213</v>
      </c>
      <c r="MFX102" s="529" t="str">
        <f>VLOOKUP(MFW102,[14]AssetDetails_UEM!$A$3:$AH$1849,6,FALSE)</f>
        <v>Electrosurgical Units, Monopolar/Bipolar</v>
      </c>
      <c r="MFY102" s="528" t="s">
        <v>213</v>
      </c>
      <c r="MFZ102" s="529" t="str">
        <f>VLOOKUP(MFY102,[14]AssetDetails_UEM!$A$3:$AH$1849,6,FALSE)</f>
        <v>Electrosurgical Units, Monopolar/Bipolar</v>
      </c>
      <c r="MGA102" s="528" t="s">
        <v>213</v>
      </c>
      <c r="MGB102" s="529" t="str">
        <f>VLOOKUP(MGA102,[14]AssetDetails_UEM!$A$3:$AH$1849,6,FALSE)</f>
        <v>Electrosurgical Units, Monopolar/Bipolar</v>
      </c>
      <c r="MGC102" s="528" t="s">
        <v>213</v>
      </c>
      <c r="MGD102" s="529" t="str">
        <f>VLOOKUP(MGC102,[14]AssetDetails_UEM!$A$3:$AH$1849,6,FALSE)</f>
        <v>Electrosurgical Units, Monopolar/Bipolar</v>
      </c>
      <c r="MGE102" s="528" t="s">
        <v>213</v>
      </c>
      <c r="MGF102" s="529" t="str">
        <f>VLOOKUP(MGE102,[14]AssetDetails_UEM!$A$3:$AH$1849,6,FALSE)</f>
        <v>Electrosurgical Units, Monopolar/Bipolar</v>
      </c>
      <c r="MGG102" s="528" t="s">
        <v>213</v>
      </c>
      <c r="MGH102" s="529" t="str">
        <f>VLOOKUP(MGG102,[14]AssetDetails_UEM!$A$3:$AH$1849,6,FALSE)</f>
        <v>Electrosurgical Units, Monopolar/Bipolar</v>
      </c>
      <c r="MGI102" s="528" t="s">
        <v>213</v>
      </c>
      <c r="MGJ102" s="529" t="str">
        <f>VLOOKUP(MGI102,[14]AssetDetails_UEM!$A$3:$AH$1849,6,FALSE)</f>
        <v>Electrosurgical Units, Monopolar/Bipolar</v>
      </c>
      <c r="MGK102" s="528" t="s">
        <v>213</v>
      </c>
      <c r="MGL102" s="529" t="str">
        <f>VLOOKUP(MGK102,[14]AssetDetails_UEM!$A$3:$AH$1849,6,FALSE)</f>
        <v>Electrosurgical Units, Monopolar/Bipolar</v>
      </c>
      <c r="MGM102" s="528" t="s">
        <v>213</v>
      </c>
      <c r="MGN102" s="529" t="str">
        <f>VLOOKUP(MGM102,[14]AssetDetails_UEM!$A$3:$AH$1849,6,FALSE)</f>
        <v>Electrosurgical Units, Monopolar/Bipolar</v>
      </c>
      <c r="MGO102" s="528" t="s">
        <v>213</v>
      </c>
      <c r="MGP102" s="529" t="str">
        <f>VLOOKUP(MGO102,[14]AssetDetails_UEM!$A$3:$AH$1849,6,FALSE)</f>
        <v>Electrosurgical Units, Monopolar/Bipolar</v>
      </c>
      <c r="MGQ102" s="528" t="s">
        <v>213</v>
      </c>
      <c r="MGR102" s="529" t="str">
        <f>VLOOKUP(MGQ102,[14]AssetDetails_UEM!$A$3:$AH$1849,6,FALSE)</f>
        <v>Electrosurgical Units, Monopolar/Bipolar</v>
      </c>
      <c r="MGS102" s="528" t="s">
        <v>213</v>
      </c>
      <c r="MGT102" s="529" t="str">
        <f>VLOOKUP(MGS102,[14]AssetDetails_UEM!$A$3:$AH$1849,6,FALSE)</f>
        <v>Electrosurgical Units, Monopolar/Bipolar</v>
      </c>
      <c r="MGU102" s="528" t="s">
        <v>213</v>
      </c>
      <c r="MGV102" s="529" t="str">
        <f>VLOOKUP(MGU102,[14]AssetDetails_UEM!$A$3:$AH$1849,6,FALSE)</f>
        <v>Electrosurgical Units, Monopolar/Bipolar</v>
      </c>
      <c r="MGW102" s="528" t="s">
        <v>213</v>
      </c>
      <c r="MGX102" s="529" t="str">
        <f>VLOOKUP(MGW102,[14]AssetDetails_UEM!$A$3:$AH$1849,6,FALSE)</f>
        <v>Electrosurgical Units, Monopolar/Bipolar</v>
      </c>
      <c r="MGY102" s="528" t="s">
        <v>213</v>
      </c>
      <c r="MGZ102" s="529" t="str">
        <f>VLOOKUP(MGY102,[14]AssetDetails_UEM!$A$3:$AH$1849,6,FALSE)</f>
        <v>Electrosurgical Units, Monopolar/Bipolar</v>
      </c>
      <c r="MHA102" s="528" t="s">
        <v>213</v>
      </c>
      <c r="MHB102" s="529" t="str">
        <f>VLOOKUP(MHA102,[14]AssetDetails_UEM!$A$3:$AH$1849,6,FALSE)</f>
        <v>Electrosurgical Units, Monopolar/Bipolar</v>
      </c>
      <c r="MHC102" s="528" t="s">
        <v>213</v>
      </c>
      <c r="MHD102" s="529" t="str">
        <f>VLOOKUP(MHC102,[14]AssetDetails_UEM!$A$3:$AH$1849,6,FALSE)</f>
        <v>Electrosurgical Units, Monopolar/Bipolar</v>
      </c>
      <c r="MHE102" s="528" t="s">
        <v>213</v>
      </c>
      <c r="MHF102" s="529" t="str">
        <f>VLOOKUP(MHE102,[14]AssetDetails_UEM!$A$3:$AH$1849,6,FALSE)</f>
        <v>Electrosurgical Units, Monopolar/Bipolar</v>
      </c>
      <c r="MHG102" s="528" t="s">
        <v>213</v>
      </c>
      <c r="MHH102" s="529" t="str">
        <f>VLOOKUP(MHG102,[14]AssetDetails_UEM!$A$3:$AH$1849,6,FALSE)</f>
        <v>Electrosurgical Units, Monopolar/Bipolar</v>
      </c>
      <c r="MHI102" s="528" t="s">
        <v>213</v>
      </c>
      <c r="MHJ102" s="529" t="str">
        <f>VLOOKUP(MHI102,[14]AssetDetails_UEM!$A$3:$AH$1849,6,FALSE)</f>
        <v>Electrosurgical Units, Monopolar/Bipolar</v>
      </c>
      <c r="MHK102" s="528" t="s">
        <v>213</v>
      </c>
      <c r="MHL102" s="529" t="str">
        <f>VLOOKUP(MHK102,[14]AssetDetails_UEM!$A$3:$AH$1849,6,FALSE)</f>
        <v>Electrosurgical Units, Monopolar/Bipolar</v>
      </c>
      <c r="MHM102" s="528" t="s">
        <v>213</v>
      </c>
      <c r="MHN102" s="529" t="str">
        <f>VLOOKUP(MHM102,[14]AssetDetails_UEM!$A$3:$AH$1849,6,FALSE)</f>
        <v>Electrosurgical Units, Monopolar/Bipolar</v>
      </c>
      <c r="MHO102" s="528" t="s">
        <v>213</v>
      </c>
      <c r="MHP102" s="529" t="str">
        <f>VLOOKUP(MHO102,[14]AssetDetails_UEM!$A$3:$AH$1849,6,FALSE)</f>
        <v>Electrosurgical Units, Monopolar/Bipolar</v>
      </c>
      <c r="MHQ102" s="528" t="s">
        <v>213</v>
      </c>
      <c r="MHR102" s="529" t="str">
        <f>VLOOKUP(MHQ102,[14]AssetDetails_UEM!$A$3:$AH$1849,6,FALSE)</f>
        <v>Electrosurgical Units, Monopolar/Bipolar</v>
      </c>
      <c r="MHS102" s="528" t="s">
        <v>213</v>
      </c>
      <c r="MHT102" s="529" t="str">
        <f>VLOOKUP(MHS102,[14]AssetDetails_UEM!$A$3:$AH$1849,6,FALSE)</f>
        <v>Electrosurgical Units, Monopolar/Bipolar</v>
      </c>
      <c r="MHU102" s="528" t="s">
        <v>213</v>
      </c>
      <c r="MHV102" s="529" t="str">
        <f>VLOOKUP(MHU102,[14]AssetDetails_UEM!$A$3:$AH$1849,6,FALSE)</f>
        <v>Electrosurgical Units, Monopolar/Bipolar</v>
      </c>
      <c r="MHW102" s="528" t="s">
        <v>213</v>
      </c>
      <c r="MHX102" s="529" t="str">
        <f>VLOOKUP(MHW102,[14]AssetDetails_UEM!$A$3:$AH$1849,6,FALSE)</f>
        <v>Electrosurgical Units, Monopolar/Bipolar</v>
      </c>
      <c r="MHY102" s="528" t="s">
        <v>213</v>
      </c>
      <c r="MHZ102" s="529" t="str">
        <f>VLOOKUP(MHY102,[14]AssetDetails_UEM!$A$3:$AH$1849,6,FALSE)</f>
        <v>Electrosurgical Units, Monopolar/Bipolar</v>
      </c>
      <c r="MIA102" s="528" t="s">
        <v>213</v>
      </c>
      <c r="MIB102" s="529" t="str">
        <f>VLOOKUP(MIA102,[14]AssetDetails_UEM!$A$3:$AH$1849,6,FALSE)</f>
        <v>Electrosurgical Units, Monopolar/Bipolar</v>
      </c>
      <c r="MIC102" s="528" t="s">
        <v>213</v>
      </c>
      <c r="MID102" s="529" t="str">
        <f>VLOOKUP(MIC102,[14]AssetDetails_UEM!$A$3:$AH$1849,6,FALSE)</f>
        <v>Electrosurgical Units, Monopolar/Bipolar</v>
      </c>
      <c r="MIE102" s="528" t="s">
        <v>213</v>
      </c>
      <c r="MIF102" s="529" t="str">
        <f>VLOOKUP(MIE102,[14]AssetDetails_UEM!$A$3:$AH$1849,6,FALSE)</f>
        <v>Electrosurgical Units, Monopolar/Bipolar</v>
      </c>
      <c r="MIG102" s="528" t="s">
        <v>213</v>
      </c>
      <c r="MIH102" s="529" t="str">
        <f>VLOOKUP(MIG102,[14]AssetDetails_UEM!$A$3:$AH$1849,6,FALSE)</f>
        <v>Electrosurgical Units, Monopolar/Bipolar</v>
      </c>
      <c r="MII102" s="528" t="s">
        <v>213</v>
      </c>
      <c r="MIJ102" s="529" t="str">
        <f>VLOOKUP(MII102,[14]AssetDetails_UEM!$A$3:$AH$1849,6,FALSE)</f>
        <v>Electrosurgical Units, Monopolar/Bipolar</v>
      </c>
      <c r="MIK102" s="528" t="s">
        <v>213</v>
      </c>
      <c r="MIL102" s="529" t="str">
        <f>VLOOKUP(MIK102,[14]AssetDetails_UEM!$A$3:$AH$1849,6,FALSE)</f>
        <v>Electrosurgical Units, Monopolar/Bipolar</v>
      </c>
      <c r="MIM102" s="528" t="s">
        <v>213</v>
      </c>
      <c r="MIN102" s="529" t="str">
        <f>VLOOKUP(MIM102,[14]AssetDetails_UEM!$A$3:$AH$1849,6,FALSE)</f>
        <v>Electrosurgical Units, Monopolar/Bipolar</v>
      </c>
      <c r="MIO102" s="528" t="s">
        <v>213</v>
      </c>
      <c r="MIP102" s="529" t="str">
        <f>VLOOKUP(MIO102,[14]AssetDetails_UEM!$A$3:$AH$1849,6,FALSE)</f>
        <v>Electrosurgical Units, Monopolar/Bipolar</v>
      </c>
      <c r="MIQ102" s="528" t="s">
        <v>213</v>
      </c>
      <c r="MIR102" s="529" t="str">
        <f>VLOOKUP(MIQ102,[14]AssetDetails_UEM!$A$3:$AH$1849,6,FALSE)</f>
        <v>Electrosurgical Units, Monopolar/Bipolar</v>
      </c>
      <c r="MIS102" s="528" t="s">
        <v>213</v>
      </c>
      <c r="MIT102" s="529" t="str">
        <f>VLOOKUP(MIS102,[14]AssetDetails_UEM!$A$3:$AH$1849,6,FALSE)</f>
        <v>Electrosurgical Units, Monopolar/Bipolar</v>
      </c>
      <c r="MIU102" s="528" t="s">
        <v>213</v>
      </c>
      <c r="MIV102" s="529" t="str">
        <f>VLOOKUP(MIU102,[14]AssetDetails_UEM!$A$3:$AH$1849,6,FALSE)</f>
        <v>Electrosurgical Units, Monopolar/Bipolar</v>
      </c>
      <c r="MIW102" s="528" t="s">
        <v>213</v>
      </c>
      <c r="MIX102" s="529" t="str">
        <f>VLOOKUP(MIW102,[14]AssetDetails_UEM!$A$3:$AH$1849,6,FALSE)</f>
        <v>Electrosurgical Units, Monopolar/Bipolar</v>
      </c>
      <c r="MIY102" s="528" t="s">
        <v>213</v>
      </c>
      <c r="MIZ102" s="529" t="str">
        <f>VLOOKUP(MIY102,[14]AssetDetails_UEM!$A$3:$AH$1849,6,FALSE)</f>
        <v>Electrosurgical Units, Monopolar/Bipolar</v>
      </c>
      <c r="MJA102" s="528" t="s">
        <v>213</v>
      </c>
      <c r="MJB102" s="529" t="str">
        <f>VLOOKUP(MJA102,[14]AssetDetails_UEM!$A$3:$AH$1849,6,FALSE)</f>
        <v>Electrosurgical Units, Monopolar/Bipolar</v>
      </c>
      <c r="MJC102" s="528" t="s">
        <v>213</v>
      </c>
      <c r="MJD102" s="529" t="str">
        <f>VLOOKUP(MJC102,[14]AssetDetails_UEM!$A$3:$AH$1849,6,FALSE)</f>
        <v>Electrosurgical Units, Monopolar/Bipolar</v>
      </c>
      <c r="MJE102" s="528" t="s">
        <v>213</v>
      </c>
      <c r="MJF102" s="529" t="str">
        <f>VLOOKUP(MJE102,[14]AssetDetails_UEM!$A$3:$AH$1849,6,FALSE)</f>
        <v>Electrosurgical Units, Monopolar/Bipolar</v>
      </c>
      <c r="MJG102" s="528" t="s">
        <v>213</v>
      </c>
      <c r="MJH102" s="529" t="str">
        <f>VLOOKUP(MJG102,[14]AssetDetails_UEM!$A$3:$AH$1849,6,FALSE)</f>
        <v>Electrosurgical Units, Monopolar/Bipolar</v>
      </c>
      <c r="MJI102" s="528" t="s">
        <v>213</v>
      </c>
      <c r="MJJ102" s="529" t="str">
        <f>VLOOKUP(MJI102,[14]AssetDetails_UEM!$A$3:$AH$1849,6,FALSE)</f>
        <v>Electrosurgical Units, Monopolar/Bipolar</v>
      </c>
      <c r="MJK102" s="528" t="s">
        <v>213</v>
      </c>
      <c r="MJL102" s="529" t="str">
        <f>VLOOKUP(MJK102,[14]AssetDetails_UEM!$A$3:$AH$1849,6,FALSE)</f>
        <v>Electrosurgical Units, Monopolar/Bipolar</v>
      </c>
      <c r="MJM102" s="528" t="s">
        <v>213</v>
      </c>
      <c r="MJN102" s="529" t="str">
        <f>VLOOKUP(MJM102,[14]AssetDetails_UEM!$A$3:$AH$1849,6,FALSE)</f>
        <v>Electrosurgical Units, Monopolar/Bipolar</v>
      </c>
      <c r="MJO102" s="528" t="s">
        <v>213</v>
      </c>
      <c r="MJP102" s="529" t="str">
        <f>VLOOKUP(MJO102,[14]AssetDetails_UEM!$A$3:$AH$1849,6,FALSE)</f>
        <v>Electrosurgical Units, Monopolar/Bipolar</v>
      </c>
      <c r="MJQ102" s="528" t="s">
        <v>213</v>
      </c>
      <c r="MJR102" s="529" t="str">
        <f>VLOOKUP(MJQ102,[14]AssetDetails_UEM!$A$3:$AH$1849,6,FALSE)</f>
        <v>Electrosurgical Units, Monopolar/Bipolar</v>
      </c>
      <c r="MJS102" s="528" t="s">
        <v>213</v>
      </c>
      <c r="MJT102" s="529" t="str">
        <f>VLOOKUP(MJS102,[14]AssetDetails_UEM!$A$3:$AH$1849,6,FALSE)</f>
        <v>Electrosurgical Units, Monopolar/Bipolar</v>
      </c>
      <c r="MJU102" s="528" t="s">
        <v>213</v>
      </c>
      <c r="MJV102" s="529" t="str">
        <f>VLOOKUP(MJU102,[14]AssetDetails_UEM!$A$3:$AH$1849,6,FALSE)</f>
        <v>Electrosurgical Units, Monopolar/Bipolar</v>
      </c>
      <c r="MJW102" s="528" t="s">
        <v>213</v>
      </c>
      <c r="MJX102" s="529" t="str">
        <f>VLOOKUP(MJW102,[14]AssetDetails_UEM!$A$3:$AH$1849,6,FALSE)</f>
        <v>Electrosurgical Units, Monopolar/Bipolar</v>
      </c>
      <c r="MJY102" s="528" t="s">
        <v>213</v>
      </c>
      <c r="MJZ102" s="529" t="str">
        <f>VLOOKUP(MJY102,[14]AssetDetails_UEM!$A$3:$AH$1849,6,FALSE)</f>
        <v>Electrosurgical Units, Monopolar/Bipolar</v>
      </c>
      <c r="MKA102" s="528" t="s">
        <v>213</v>
      </c>
      <c r="MKB102" s="529" t="str">
        <f>VLOOKUP(MKA102,[14]AssetDetails_UEM!$A$3:$AH$1849,6,FALSE)</f>
        <v>Electrosurgical Units, Monopolar/Bipolar</v>
      </c>
      <c r="MKC102" s="528" t="s">
        <v>213</v>
      </c>
      <c r="MKD102" s="529" t="str">
        <f>VLOOKUP(MKC102,[14]AssetDetails_UEM!$A$3:$AH$1849,6,FALSE)</f>
        <v>Electrosurgical Units, Monopolar/Bipolar</v>
      </c>
      <c r="MKE102" s="528" t="s">
        <v>213</v>
      </c>
      <c r="MKF102" s="529" t="str">
        <f>VLOOKUP(MKE102,[14]AssetDetails_UEM!$A$3:$AH$1849,6,FALSE)</f>
        <v>Electrosurgical Units, Monopolar/Bipolar</v>
      </c>
      <c r="MKG102" s="528" t="s">
        <v>213</v>
      </c>
      <c r="MKH102" s="529" t="str">
        <f>VLOOKUP(MKG102,[14]AssetDetails_UEM!$A$3:$AH$1849,6,FALSE)</f>
        <v>Electrosurgical Units, Monopolar/Bipolar</v>
      </c>
      <c r="MKI102" s="528" t="s">
        <v>213</v>
      </c>
      <c r="MKJ102" s="529" t="str">
        <f>VLOOKUP(MKI102,[14]AssetDetails_UEM!$A$3:$AH$1849,6,FALSE)</f>
        <v>Electrosurgical Units, Monopolar/Bipolar</v>
      </c>
      <c r="MKK102" s="528" t="s">
        <v>213</v>
      </c>
      <c r="MKL102" s="529" t="str">
        <f>VLOOKUP(MKK102,[14]AssetDetails_UEM!$A$3:$AH$1849,6,FALSE)</f>
        <v>Electrosurgical Units, Monopolar/Bipolar</v>
      </c>
      <c r="MKM102" s="528" t="s">
        <v>213</v>
      </c>
      <c r="MKN102" s="529" t="str">
        <f>VLOOKUP(MKM102,[14]AssetDetails_UEM!$A$3:$AH$1849,6,FALSE)</f>
        <v>Electrosurgical Units, Monopolar/Bipolar</v>
      </c>
      <c r="MKO102" s="528" t="s">
        <v>213</v>
      </c>
      <c r="MKP102" s="529" t="str">
        <f>VLOOKUP(MKO102,[14]AssetDetails_UEM!$A$3:$AH$1849,6,FALSE)</f>
        <v>Electrosurgical Units, Monopolar/Bipolar</v>
      </c>
      <c r="MKQ102" s="528" t="s">
        <v>213</v>
      </c>
      <c r="MKR102" s="529" t="str">
        <f>VLOOKUP(MKQ102,[14]AssetDetails_UEM!$A$3:$AH$1849,6,FALSE)</f>
        <v>Electrosurgical Units, Monopolar/Bipolar</v>
      </c>
      <c r="MKS102" s="528" t="s">
        <v>213</v>
      </c>
      <c r="MKT102" s="529" t="str">
        <f>VLOOKUP(MKS102,[14]AssetDetails_UEM!$A$3:$AH$1849,6,FALSE)</f>
        <v>Electrosurgical Units, Monopolar/Bipolar</v>
      </c>
      <c r="MKU102" s="528" t="s">
        <v>213</v>
      </c>
      <c r="MKV102" s="529" t="str">
        <f>VLOOKUP(MKU102,[14]AssetDetails_UEM!$A$3:$AH$1849,6,FALSE)</f>
        <v>Electrosurgical Units, Monopolar/Bipolar</v>
      </c>
      <c r="MKW102" s="528" t="s">
        <v>213</v>
      </c>
      <c r="MKX102" s="529" t="str">
        <f>VLOOKUP(MKW102,[14]AssetDetails_UEM!$A$3:$AH$1849,6,FALSE)</f>
        <v>Electrosurgical Units, Monopolar/Bipolar</v>
      </c>
      <c r="MKY102" s="528" t="s">
        <v>213</v>
      </c>
      <c r="MKZ102" s="529" t="str">
        <f>VLOOKUP(MKY102,[14]AssetDetails_UEM!$A$3:$AH$1849,6,FALSE)</f>
        <v>Electrosurgical Units, Monopolar/Bipolar</v>
      </c>
      <c r="MLA102" s="528" t="s">
        <v>213</v>
      </c>
      <c r="MLB102" s="529" t="str">
        <f>VLOOKUP(MLA102,[14]AssetDetails_UEM!$A$3:$AH$1849,6,FALSE)</f>
        <v>Electrosurgical Units, Monopolar/Bipolar</v>
      </c>
      <c r="MLC102" s="528" t="s">
        <v>213</v>
      </c>
      <c r="MLD102" s="529" t="str">
        <f>VLOOKUP(MLC102,[14]AssetDetails_UEM!$A$3:$AH$1849,6,FALSE)</f>
        <v>Electrosurgical Units, Monopolar/Bipolar</v>
      </c>
      <c r="MLE102" s="528" t="s">
        <v>213</v>
      </c>
      <c r="MLF102" s="529" t="str">
        <f>VLOOKUP(MLE102,[14]AssetDetails_UEM!$A$3:$AH$1849,6,FALSE)</f>
        <v>Electrosurgical Units, Monopolar/Bipolar</v>
      </c>
      <c r="MLG102" s="528" t="s">
        <v>213</v>
      </c>
      <c r="MLH102" s="529" t="str">
        <f>VLOOKUP(MLG102,[14]AssetDetails_UEM!$A$3:$AH$1849,6,FALSE)</f>
        <v>Electrosurgical Units, Monopolar/Bipolar</v>
      </c>
      <c r="MLI102" s="528" t="s">
        <v>213</v>
      </c>
      <c r="MLJ102" s="529" t="str">
        <f>VLOOKUP(MLI102,[14]AssetDetails_UEM!$A$3:$AH$1849,6,FALSE)</f>
        <v>Electrosurgical Units, Monopolar/Bipolar</v>
      </c>
      <c r="MLK102" s="528" t="s">
        <v>213</v>
      </c>
      <c r="MLL102" s="529" t="str">
        <f>VLOOKUP(MLK102,[14]AssetDetails_UEM!$A$3:$AH$1849,6,FALSE)</f>
        <v>Electrosurgical Units, Monopolar/Bipolar</v>
      </c>
      <c r="MLM102" s="528" t="s">
        <v>213</v>
      </c>
      <c r="MLN102" s="529" t="str">
        <f>VLOOKUP(MLM102,[14]AssetDetails_UEM!$A$3:$AH$1849,6,FALSE)</f>
        <v>Electrosurgical Units, Monopolar/Bipolar</v>
      </c>
      <c r="MLO102" s="528" t="s">
        <v>213</v>
      </c>
      <c r="MLP102" s="529" t="str">
        <f>VLOOKUP(MLO102,[14]AssetDetails_UEM!$A$3:$AH$1849,6,FALSE)</f>
        <v>Electrosurgical Units, Monopolar/Bipolar</v>
      </c>
      <c r="MLQ102" s="528" t="s">
        <v>213</v>
      </c>
      <c r="MLR102" s="529" t="str">
        <f>VLOOKUP(MLQ102,[14]AssetDetails_UEM!$A$3:$AH$1849,6,FALSE)</f>
        <v>Electrosurgical Units, Monopolar/Bipolar</v>
      </c>
      <c r="MLS102" s="528" t="s">
        <v>213</v>
      </c>
      <c r="MLT102" s="529" t="str">
        <f>VLOOKUP(MLS102,[14]AssetDetails_UEM!$A$3:$AH$1849,6,FALSE)</f>
        <v>Electrosurgical Units, Monopolar/Bipolar</v>
      </c>
      <c r="MLU102" s="528" t="s">
        <v>213</v>
      </c>
      <c r="MLV102" s="529" t="str">
        <f>VLOOKUP(MLU102,[14]AssetDetails_UEM!$A$3:$AH$1849,6,FALSE)</f>
        <v>Electrosurgical Units, Monopolar/Bipolar</v>
      </c>
      <c r="MLW102" s="528" t="s">
        <v>213</v>
      </c>
      <c r="MLX102" s="529" t="str">
        <f>VLOOKUP(MLW102,[14]AssetDetails_UEM!$A$3:$AH$1849,6,FALSE)</f>
        <v>Electrosurgical Units, Monopolar/Bipolar</v>
      </c>
      <c r="MLY102" s="528" t="s">
        <v>213</v>
      </c>
      <c r="MLZ102" s="529" t="str">
        <f>VLOOKUP(MLY102,[14]AssetDetails_UEM!$A$3:$AH$1849,6,FALSE)</f>
        <v>Electrosurgical Units, Monopolar/Bipolar</v>
      </c>
      <c r="MMA102" s="528" t="s">
        <v>213</v>
      </c>
      <c r="MMB102" s="529" t="str">
        <f>VLOOKUP(MMA102,[14]AssetDetails_UEM!$A$3:$AH$1849,6,FALSE)</f>
        <v>Electrosurgical Units, Monopolar/Bipolar</v>
      </c>
      <c r="MMC102" s="528" t="s">
        <v>213</v>
      </c>
      <c r="MMD102" s="529" t="str">
        <f>VLOOKUP(MMC102,[14]AssetDetails_UEM!$A$3:$AH$1849,6,FALSE)</f>
        <v>Electrosurgical Units, Monopolar/Bipolar</v>
      </c>
      <c r="MME102" s="528" t="s">
        <v>213</v>
      </c>
      <c r="MMF102" s="529" t="str">
        <f>VLOOKUP(MME102,[14]AssetDetails_UEM!$A$3:$AH$1849,6,FALSE)</f>
        <v>Electrosurgical Units, Monopolar/Bipolar</v>
      </c>
      <c r="MMG102" s="528" t="s">
        <v>213</v>
      </c>
      <c r="MMH102" s="529" t="str">
        <f>VLOOKUP(MMG102,[14]AssetDetails_UEM!$A$3:$AH$1849,6,FALSE)</f>
        <v>Electrosurgical Units, Monopolar/Bipolar</v>
      </c>
      <c r="MMI102" s="528" t="s">
        <v>213</v>
      </c>
      <c r="MMJ102" s="529" t="str">
        <f>VLOOKUP(MMI102,[14]AssetDetails_UEM!$A$3:$AH$1849,6,FALSE)</f>
        <v>Electrosurgical Units, Monopolar/Bipolar</v>
      </c>
      <c r="MMK102" s="528" t="s">
        <v>213</v>
      </c>
      <c r="MML102" s="529" t="str">
        <f>VLOOKUP(MMK102,[14]AssetDetails_UEM!$A$3:$AH$1849,6,FALSE)</f>
        <v>Electrosurgical Units, Monopolar/Bipolar</v>
      </c>
      <c r="MMM102" s="528" t="s">
        <v>213</v>
      </c>
      <c r="MMN102" s="529" t="str">
        <f>VLOOKUP(MMM102,[14]AssetDetails_UEM!$A$3:$AH$1849,6,FALSE)</f>
        <v>Electrosurgical Units, Monopolar/Bipolar</v>
      </c>
      <c r="MMO102" s="528" t="s">
        <v>213</v>
      </c>
      <c r="MMP102" s="529" t="str">
        <f>VLOOKUP(MMO102,[14]AssetDetails_UEM!$A$3:$AH$1849,6,FALSE)</f>
        <v>Electrosurgical Units, Monopolar/Bipolar</v>
      </c>
      <c r="MMQ102" s="528" t="s">
        <v>213</v>
      </c>
      <c r="MMR102" s="529" t="str">
        <f>VLOOKUP(MMQ102,[14]AssetDetails_UEM!$A$3:$AH$1849,6,FALSE)</f>
        <v>Electrosurgical Units, Monopolar/Bipolar</v>
      </c>
      <c r="MMS102" s="528" t="s">
        <v>213</v>
      </c>
      <c r="MMT102" s="529" t="str">
        <f>VLOOKUP(MMS102,[14]AssetDetails_UEM!$A$3:$AH$1849,6,FALSE)</f>
        <v>Electrosurgical Units, Monopolar/Bipolar</v>
      </c>
      <c r="MMU102" s="528" t="s">
        <v>213</v>
      </c>
      <c r="MMV102" s="529" t="str">
        <f>VLOOKUP(MMU102,[14]AssetDetails_UEM!$A$3:$AH$1849,6,FALSE)</f>
        <v>Electrosurgical Units, Monopolar/Bipolar</v>
      </c>
      <c r="MMW102" s="528" t="s">
        <v>213</v>
      </c>
      <c r="MMX102" s="529" t="str">
        <f>VLOOKUP(MMW102,[14]AssetDetails_UEM!$A$3:$AH$1849,6,FALSE)</f>
        <v>Electrosurgical Units, Monopolar/Bipolar</v>
      </c>
      <c r="MMY102" s="528" t="s">
        <v>213</v>
      </c>
      <c r="MMZ102" s="529" t="str">
        <f>VLOOKUP(MMY102,[14]AssetDetails_UEM!$A$3:$AH$1849,6,FALSE)</f>
        <v>Electrosurgical Units, Monopolar/Bipolar</v>
      </c>
      <c r="MNA102" s="528" t="s">
        <v>213</v>
      </c>
      <c r="MNB102" s="529" t="str">
        <f>VLOOKUP(MNA102,[14]AssetDetails_UEM!$A$3:$AH$1849,6,FALSE)</f>
        <v>Electrosurgical Units, Monopolar/Bipolar</v>
      </c>
      <c r="MNC102" s="528" t="s">
        <v>213</v>
      </c>
      <c r="MND102" s="529" t="str">
        <f>VLOOKUP(MNC102,[14]AssetDetails_UEM!$A$3:$AH$1849,6,FALSE)</f>
        <v>Electrosurgical Units, Monopolar/Bipolar</v>
      </c>
      <c r="MNE102" s="528" t="s">
        <v>213</v>
      </c>
      <c r="MNF102" s="529" t="str">
        <f>VLOOKUP(MNE102,[14]AssetDetails_UEM!$A$3:$AH$1849,6,FALSE)</f>
        <v>Electrosurgical Units, Monopolar/Bipolar</v>
      </c>
      <c r="MNG102" s="528" t="s">
        <v>213</v>
      </c>
      <c r="MNH102" s="529" t="str">
        <f>VLOOKUP(MNG102,[14]AssetDetails_UEM!$A$3:$AH$1849,6,FALSE)</f>
        <v>Electrosurgical Units, Monopolar/Bipolar</v>
      </c>
      <c r="MNI102" s="528" t="s">
        <v>213</v>
      </c>
      <c r="MNJ102" s="529" t="str">
        <f>VLOOKUP(MNI102,[14]AssetDetails_UEM!$A$3:$AH$1849,6,FALSE)</f>
        <v>Electrosurgical Units, Monopolar/Bipolar</v>
      </c>
      <c r="MNK102" s="528" t="s">
        <v>213</v>
      </c>
      <c r="MNL102" s="529" t="str">
        <f>VLOOKUP(MNK102,[14]AssetDetails_UEM!$A$3:$AH$1849,6,FALSE)</f>
        <v>Electrosurgical Units, Monopolar/Bipolar</v>
      </c>
      <c r="MNM102" s="528" t="s">
        <v>213</v>
      </c>
      <c r="MNN102" s="529" t="str">
        <f>VLOOKUP(MNM102,[14]AssetDetails_UEM!$A$3:$AH$1849,6,FALSE)</f>
        <v>Electrosurgical Units, Monopolar/Bipolar</v>
      </c>
      <c r="MNO102" s="528" t="s">
        <v>213</v>
      </c>
      <c r="MNP102" s="529" t="str">
        <f>VLOOKUP(MNO102,[14]AssetDetails_UEM!$A$3:$AH$1849,6,FALSE)</f>
        <v>Electrosurgical Units, Monopolar/Bipolar</v>
      </c>
      <c r="MNQ102" s="528" t="s">
        <v>213</v>
      </c>
      <c r="MNR102" s="529" t="str">
        <f>VLOOKUP(MNQ102,[14]AssetDetails_UEM!$A$3:$AH$1849,6,FALSE)</f>
        <v>Electrosurgical Units, Monopolar/Bipolar</v>
      </c>
      <c r="MNS102" s="528" t="s">
        <v>213</v>
      </c>
      <c r="MNT102" s="529" t="str">
        <f>VLOOKUP(MNS102,[14]AssetDetails_UEM!$A$3:$AH$1849,6,FALSE)</f>
        <v>Electrosurgical Units, Monopolar/Bipolar</v>
      </c>
      <c r="MNU102" s="528" t="s">
        <v>213</v>
      </c>
      <c r="MNV102" s="529" t="str">
        <f>VLOOKUP(MNU102,[14]AssetDetails_UEM!$A$3:$AH$1849,6,FALSE)</f>
        <v>Electrosurgical Units, Monopolar/Bipolar</v>
      </c>
      <c r="MNW102" s="528" t="s">
        <v>213</v>
      </c>
      <c r="MNX102" s="529" t="str">
        <f>VLOOKUP(MNW102,[14]AssetDetails_UEM!$A$3:$AH$1849,6,FALSE)</f>
        <v>Electrosurgical Units, Monopolar/Bipolar</v>
      </c>
      <c r="MNY102" s="528" t="s">
        <v>213</v>
      </c>
      <c r="MNZ102" s="529" t="str">
        <f>VLOOKUP(MNY102,[14]AssetDetails_UEM!$A$3:$AH$1849,6,FALSE)</f>
        <v>Electrosurgical Units, Monopolar/Bipolar</v>
      </c>
      <c r="MOA102" s="528" t="s">
        <v>213</v>
      </c>
      <c r="MOB102" s="529" t="str">
        <f>VLOOKUP(MOA102,[14]AssetDetails_UEM!$A$3:$AH$1849,6,FALSE)</f>
        <v>Electrosurgical Units, Monopolar/Bipolar</v>
      </c>
      <c r="MOC102" s="528" t="s">
        <v>213</v>
      </c>
      <c r="MOD102" s="529" t="str">
        <f>VLOOKUP(MOC102,[14]AssetDetails_UEM!$A$3:$AH$1849,6,FALSE)</f>
        <v>Electrosurgical Units, Monopolar/Bipolar</v>
      </c>
      <c r="MOE102" s="528" t="s">
        <v>213</v>
      </c>
      <c r="MOF102" s="529" t="str">
        <f>VLOOKUP(MOE102,[14]AssetDetails_UEM!$A$3:$AH$1849,6,FALSE)</f>
        <v>Electrosurgical Units, Monopolar/Bipolar</v>
      </c>
      <c r="MOG102" s="528" t="s">
        <v>213</v>
      </c>
      <c r="MOH102" s="529" t="str">
        <f>VLOOKUP(MOG102,[14]AssetDetails_UEM!$A$3:$AH$1849,6,FALSE)</f>
        <v>Electrosurgical Units, Monopolar/Bipolar</v>
      </c>
      <c r="MOI102" s="528" t="s">
        <v>213</v>
      </c>
      <c r="MOJ102" s="529" t="str">
        <f>VLOOKUP(MOI102,[14]AssetDetails_UEM!$A$3:$AH$1849,6,FALSE)</f>
        <v>Electrosurgical Units, Monopolar/Bipolar</v>
      </c>
      <c r="MOK102" s="528" t="s">
        <v>213</v>
      </c>
      <c r="MOL102" s="529" t="str">
        <f>VLOOKUP(MOK102,[14]AssetDetails_UEM!$A$3:$AH$1849,6,FALSE)</f>
        <v>Electrosurgical Units, Monopolar/Bipolar</v>
      </c>
      <c r="MOM102" s="528" t="s">
        <v>213</v>
      </c>
      <c r="MON102" s="529" t="str">
        <f>VLOOKUP(MOM102,[14]AssetDetails_UEM!$A$3:$AH$1849,6,FALSE)</f>
        <v>Electrosurgical Units, Monopolar/Bipolar</v>
      </c>
      <c r="MOO102" s="528" t="s">
        <v>213</v>
      </c>
      <c r="MOP102" s="529" t="str">
        <f>VLOOKUP(MOO102,[14]AssetDetails_UEM!$A$3:$AH$1849,6,FALSE)</f>
        <v>Electrosurgical Units, Monopolar/Bipolar</v>
      </c>
      <c r="MOQ102" s="528" t="s">
        <v>213</v>
      </c>
      <c r="MOR102" s="529" t="str">
        <f>VLOOKUP(MOQ102,[14]AssetDetails_UEM!$A$3:$AH$1849,6,FALSE)</f>
        <v>Electrosurgical Units, Monopolar/Bipolar</v>
      </c>
      <c r="MOS102" s="528" t="s">
        <v>213</v>
      </c>
      <c r="MOT102" s="529" t="str">
        <f>VLOOKUP(MOS102,[14]AssetDetails_UEM!$A$3:$AH$1849,6,FALSE)</f>
        <v>Electrosurgical Units, Monopolar/Bipolar</v>
      </c>
      <c r="MOU102" s="528" t="s">
        <v>213</v>
      </c>
      <c r="MOV102" s="529" t="str">
        <f>VLOOKUP(MOU102,[14]AssetDetails_UEM!$A$3:$AH$1849,6,FALSE)</f>
        <v>Electrosurgical Units, Monopolar/Bipolar</v>
      </c>
      <c r="MOW102" s="528" t="s">
        <v>213</v>
      </c>
      <c r="MOX102" s="529" t="str">
        <f>VLOOKUP(MOW102,[14]AssetDetails_UEM!$A$3:$AH$1849,6,FALSE)</f>
        <v>Electrosurgical Units, Monopolar/Bipolar</v>
      </c>
      <c r="MOY102" s="528" t="s">
        <v>213</v>
      </c>
      <c r="MOZ102" s="529" t="str">
        <f>VLOOKUP(MOY102,[14]AssetDetails_UEM!$A$3:$AH$1849,6,FALSE)</f>
        <v>Electrosurgical Units, Monopolar/Bipolar</v>
      </c>
      <c r="MPA102" s="528" t="s">
        <v>213</v>
      </c>
      <c r="MPB102" s="529" t="str">
        <f>VLOOKUP(MPA102,[14]AssetDetails_UEM!$A$3:$AH$1849,6,FALSE)</f>
        <v>Electrosurgical Units, Monopolar/Bipolar</v>
      </c>
      <c r="MPC102" s="528" t="s">
        <v>213</v>
      </c>
      <c r="MPD102" s="529" t="str">
        <f>VLOOKUP(MPC102,[14]AssetDetails_UEM!$A$3:$AH$1849,6,FALSE)</f>
        <v>Electrosurgical Units, Monopolar/Bipolar</v>
      </c>
      <c r="MPE102" s="528" t="s">
        <v>213</v>
      </c>
      <c r="MPF102" s="529" t="str">
        <f>VLOOKUP(MPE102,[14]AssetDetails_UEM!$A$3:$AH$1849,6,FALSE)</f>
        <v>Electrosurgical Units, Monopolar/Bipolar</v>
      </c>
      <c r="MPG102" s="528" t="s">
        <v>213</v>
      </c>
      <c r="MPH102" s="529" t="str">
        <f>VLOOKUP(MPG102,[14]AssetDetails_UEM!$A$3:$AH$1849,6,FALSE)</f>
        <v>Electrosurgical Units, Monopolar/Bipolar</v>
      </c>
      <c r="MPI102" s="528" t="s">
        <v>213</v>
      </c>
      <c r="MPJ102" s="529" t="str">
        <f>VLOOKUP(MPI102,[14]AssetDetails_UEM!$A$3:$AH$1849,6,FALSE)</f>
        <v>Electrosurgical Units, Monopolar/Bipolar</v>
      </c>
      <c r="MPK102" s="528" t="s">
        <v>213</v>
      </c>
      <c r="MPL102" s="529" t="str">
        <f>VLOOKUP(MPK102,[14]AssetDetails_UEM!$A$3:$AH$1849,6,FALSE)</f>
        <v>Electrosurgical Units, Monopolar/Bipolar</v>
      </c>
      <c r="MPM102" s="528" t="s">
        <v>213</v>
      </c>
      <c r="MPN102" s="529" t="str">
        <f>VLOOKUP(MPM102,[14]AssetDetails_UEM!$A$3:$AH$1849,6,FALSE)</f>
        <v>Electrosurgical Units, Monopolar/Bipolar</v>
      </c>
      <c r="MPO102" s="528" t="s">
        <v>213</v>
      </c>
      <c r="MPP102" s="529" t="str">
        <f>VLOOKUP(MPO102,[14]AssetDetails_UEM!$A$3:$AH$1849,6,FALSE)</f>
        <v>Electrosurgical Units, Monopolar/Bipolar</v>
      </c>
      <c r="MPQ102" s="528" t="s">
        <v>213</v>
      </c>
      <c r="MPR102" s="529" t="str">
        <f>VLOOKUP(MPQ102,[14]AssetDetails_UEM!$A$3:$AH$1849,6,FALSE)</f>
        <v>Electrosurgical Units, Monopolar/Bipolar</v>
      </c>
      <c r="MPS102" s="528" t="s">
        <v>213</v>
      </c>
      <c r="MPT102" s="529" t="str">
        <f>VLOOKUP(MPS102,[14]AssetDetails_UEM!$A$3:$AH$1849,6,FALSE)</f>
        <v>Electrosurgical Units, Monopolar/Bipolar</v>
      </c>
      <c r="MPU102" s="528" t="s">
        <v>213</v>
      </c>
      <c r="MPV102" s="529" t="str">
        <f>VLOOKUP(MPU102,[14]AssetDetails_UEM!$A$3:$AH$1849,6,FALSE)</f>
        <v>Electrosurgical Units, Monopolar/Bipolar</v>
      </c>
      <c r="MPW102" s="528" t="s">
        <v>213</v>
      </c>
      <c r="MPX102" s="529" t="str">
        <f>VLOOKUP(MPW102,[14]AssetDetails_UEM!$A$3:$AH$1849,6,FALSE)</f>
        <v>Electrosurgical Units, Monopolar/Bipolar</v>
      </c>
      <c r="MPY102" s="528" t="s">
        <v>213</v>
      </c>
      <c r="MPZ102" s="529" t="str">
        <f>VLOOKUP(MPY102,[14]AssetDetails_UEM!$A$3:$AH$1849,6,FALSE)</f>
        <v>Electrosurgical Units, Monopolar/Bipolar</v>
      </c>
      <c r="MQA102" s="528" t="s">
        <v>213</v>
      </c>
      <c r="MQB102" s="529" t="str">
        <f>VLOOKUP(MQA102,[14]AssetDetails_UEM!$A$3:$AH$1849,6,FALSE)</f>
        <v>Electrosurgical Units, Monopolar/Bipolar</v>
      </c>
      <c r="MQC102" s="528" t="s">
        <v>213</v>
      </c>
      <c r="MQD102" s="529" t="str">
        <f>VLOOKUP(MQC102,[14]AssetDetails_UEM!$A$3:$AH$1849,6,FALSE)</f>
        <v>Electrosurgical Units, Monopolar/Bipolar</v>
      </c>
      <c r="MQE102" s="528" t="s">
        <v>213</v>
      </c>
      <c r="MQF102" s="529" t="str">
        <f>VLOOKUP(MQE102,[14]AssetDetails_UEM!$A$3:$AH$1849,6,FALSE)</f>
        <v>Electrosurgical Units, Monopolar/Bipolar</v>
      </c>
      <c r="MQG102" s="528" t="s">
        <v>213</v>
      </c>
      <c r="MQH102" s="529" t="str">
        <f>VLOOKUP(MQG102,[14]AssetDetails_UEM!$A$3:$AH$1849,6,FALSE)</f>
        <v>Electrosurgical Units, Monopolar/Bipolar</v>
      </c>
      <c r="MQI102" s="528" t="s">
        <v>213</v>
      </c>
      <c r="MQJ102" s="529" t="str">
        <f>VLOOKUP(MQI102,[14]AssetDetails_UEM!$A$3:$AH$1849,6,FALSE)</f>
        <v>Electrosurgical Units, Monopolar/Bipolar</v>
      </c>
      <c r="MQK102" s="528" t="s">
        <v>213</v>
      </c>
      <c r="MQL102" s="529" t="str">
        <f>VLOOKUP(MQK102,[14]AssetDetails_UEM!$A$3:$AH$1849,6,FALSE)</f>
        <v>Electrosurgical Units, Monopolar/Bipolar</v>
      </c>
      <c r="MQM102" s="528" t="s">
        <v>213</v>
      </c>
      <c r="MQN102" s="529" t="str">
        <f>VLOOKUP(MQM102,[14]AssetDetails_UEM!$A$3:$AH$1849,6,FALSE)</f>
        <v>Electrosurgical Units, Monopolar/Bipolar</v>
      </c>
      <c r="MQO102" s="528" t="s">
        <v>213</v>
      </c>
      <c r="MQP102" s="529" t="str">
        <f>VLOOKUP(MQO102,[14]AssetDetails_UEM!$A$3:$AH$1849,6,FALSE)</f>
        <v>Electrosurgical Units, Monopolar/Bipolar</v>
      </c>
      <c r="MQQ102" s="528" t="s">
        <v>213</v>
      </c>
      <c r="MQR102" s="529" t="str">
        <f>VLOOKUP(MQQ102,[14]AssetDetails_UEM!$A$3:$AH$1849,6,FALSE)</f>
        <v>Electrosurgical Units, Monopolar/Bipolar</v>
      </c>
      <c r="MQS102" s="528" t="s">
        <v>213</v>
      </c>
      <c r="MQT102" s="529" t="str">
        <f>VLOOKUP(MQS102,[14]AssetDetails_UEM!$A$3:$AH$1849,6,FALSE)</f>
        <v>Electrosurgical Units, Monopolar/Bipolar</v>
      </c>
      <c r="MQU102" s="528" t="s">
        <v>213</v>
      </c>
      <c r="MQV102" s="529" t="str">
        <f>VLOOKUP(MQU102,[14]AssetDetails_UEM!$A$3:$AH$1849,6,FALSE)</f>
        <v>Electrosurgical Units, Monopolar/Bipolar</v>
      </c>
      <c r="MQW102" s="528" t="s">
        <v>213</v>
      </c>
      <c r="MQX102" s="529" t="str">
        <f>VLOOKUP(MQW102,[14]AssetDetails_UEM!$A$3:$AH$1849,6,FALSE)</f>
        <v>Electrosurgical Units, Monopolar/Bipolar</v>
      </c>
      <c r="MQY102" s="528" t="s">
        <v>213</v>
      </c>
      <c r="MQZ102" s="529" t="str">
        <f>VLOOKUP(MQY102,[14]AssetDetails_UEM!$A$3:$AH$1849,6,FALSE)</f>
        <v>Electrosurgical Units, Monopolar/Bipolar</v>
      </c>
      <c r="MRA102" s="528" t="s">
        <v>213</v>
      </c>
      <c r="MRB102" s="529" t="str">
        <f>VLOOKUP(MRA102,[14]AssetDetails_UEM!$A$3:$AH$1849,6,FALSE)</f>
        <v>Electrosurgical Units, Monopolar/Bipolar</v>
      </c>
      <c r="MRC102" s="528" t="s">
        <v>213</v>
      </c>
      <c r="MRD102" s="529" t="str">
        <f>VLOOKUP(MRC102,[14]AssetDetails_UEM!$A$3:$AH$1849,6,FALSE)</f>
        <v>Electrosurgical Units, Monopolar/Bipolar</v>
      </c>
      <c r="MRE102" s="528" t="s">
        <v>213</v>
      </c>
      <c r="MRF102" s="529" t="str">
        <f>VLOOKUP(MRE102,[14]AssetDetails_UEM!$A$3:$AH$1849,6,FALSE)</f>
        <v>Electrosurgical Units, Monopolar/Bipolar</v>
      </c>
      <c r="MRG102" s="528" t="s">
        <v>213</v>
      </c>
      <c r="MRH102" s="529" t="str">
        <f>VLOOKUP(MRG102,[14]AssetDetails_UEM!$A$3:$AH$1849,6,FALSE)</f>
        <v>Electrosurgical Units, Monopolar/Bipolar</v>
      </c>
      <c r="MRI102" s="528" t="s">
        <v>213</v>
      </c>
      <c r="MRJ102" s="529" t="str">
        <f>VLOOKUP(MRI102,[14]AssetDetails_UEM!$A$3:$AH$1849,6,FALSE)</f>
        <v>Electrosurgical Units, Monopolar/Bipolar</v>
      </c>
      <c r="MRK102" s="528" t="s">
        <v>213</v>
      </c>
      <c r="MRL102" s="529" t="str">
        <f>VLOOKUP(MRK102,[14]AssetDetails_UEM!$A$3:$AH$1849,6,FALSE)</f>
        <v>Electrosurgical Units, Monopolar/Bipolar</v>
      </c>
      <c r="MRM102" s="528" t="s">
        <v>213</v>
      </c>
      <c r="MRN102" s="529" t="str">
        <f>VLOOKUP(MRM102,[14]AssetDetails_UEM!$A$3:$AH$1849,6,FALSE)</f>
        <v>Electrosurgical Units, Monopolar/Bipolar</v>
      </c>
      <c r="MRO102" s="528" t="s">
        <v>213</v>
      </c>
      <c r="MRP102" s="529" t="str">
        <f>VLOOKUP(MRO102,[14]AssetDetails_UEM!$A$3:$AH$1849,6,FALSE)</f>
        <v>Electrosurgical Units, Monopolar/Bipolar</v>
      </c>
      <c r="MRQ102" s="528" t="s">
        <v>213</v>
      </c>
      <c r="MRR102" s="529" t="str">
        <f>VLOOKUP(MRQ102,[14]AssetDetails_UEM!$A$3:$AH$1849,6,FALSE)</f>
        <v>Electrosurgical Units, Monopolar/Bipolar</v>
      </c>
      <c r="MRS102" s="528" t="s">
        <v>213</v>
      </c>
      <c r="MRT102" s="529" t="str">
        <f>VLOOKUP(MRS102,[14]AssetDetails_UEM!$A$3:$AH$1849,6,FALSE)</f>
        <v>Electrosurgical Units, Monopolar/Bipolar</v>
      </c>
      <c r="MRU102" s="528" t="s">
        <v>213</v>
      </c>
      <c r="MRV102" s="529" t="str">
        <f>VLOOKUP(MRU102,[14]AssetDetails_UEM!$A$3:$AH$1849,6,FALSE)</f>
        <v>Electrosurgical Units, Monopolar/Bipolar</v>
      </c>
      <c r="MRW102" s="528" t="s">
        <v>213</v>
      </c>
      <c r="MRX102" s="529" t="str">
        <f>VLOOKUP(MRW102,[14]AssetDetails_UEM!$A$3:$AH$1849,6,FALSE)</f>
        <v>Electrosurgical Units, Monopolar/Bipolar</v>
      </c>
      <c r="MRY102" s="528" t="s">
        <v>213</v>
      </c>
      <c r="MRZ102" s="529" t="str">
        <f>VLOOKUP(MRY102,[14]AssetDetails_UEM!$A$3:$AH$1849,6,FALSE)</f>
        <v>Electrosurgical Units, Monopolar/Bipolar</v>
      </c>
      <c r="MSA102" s="528" t="s">
        <v>213</v>
      </c>
      <c r="MSB102" s="529" t="str">
        <f>VLOOKUP(MSA102,[14]AssetDetails_UEM!$A$3:$AH$1849,6,FALSE)</f>
        <v>Electrosurgical Units, Monopolar/Bipolar</v>
      </c>
      <c r="MSC102" s="528" t="s">
        <v>213</v>
      </c>
      <c r="MSD102" s="529" t="str">
        <f>VLOOKUP(MSC102,[14]AssetDetails_UEM!$A$3:$AH$1849,6,FALSE)</f>
        <v>Electrosurgical Units, Monopolar/Bipolar</v>
      </c>
      <c r="MSE102" s="528" t="s">
        <v>213</v>
      </c>
      <c r="MSF102" s="529" t="str">
        <f>VLOOKUP(MSE102,[14]AssetDetails_UEM!$A$3:$AH$1849,6,FALSE)</f>
        <v>Electrosurgical Units, Monopolar/Bipolar</v>
      </c>
      <c r="MSG102" s="528" t="s">
        <v>213</v>
      </c>
      <c r="MSH102" s="529" t="str">
        <f>VLOOKUP(MSG102,[14]AssetDetails_UEM!$A$3:$AH$1849,6,FALSE)</f>
        <v>Electrosurgical Units, Monopolar/Bipolar</v>
      </c>
      <c r="MSI102" s="528" t="s">
        <v>213</v>
      </c>
      <c r="MSJ102" s="529" t="str">
        <f>VLOOKUP(MSI102,[14]AssetDetails_UEM!$A$3:$AH$1849,6,FALSE)</f>
        <v>Electrosurgical Units, Monopolar/Bipolar</v>
      </c>
      <c r="MSK102" s="528" t="s">
        <v>213</v>
      </c>
      <c r="MSL102" s="529" t="str">
        <f>VLOOKUP(MSK102,[14]AssetDetails_UEM!$A$3:$AH$1849,6,FALSE)</f>
        <v>Electrosurgical Units, Monopolar/Bipolar</v>
      </c>
      <c r="MSM102" s="528" t="s">
        <v>213</v>
      </c>
      <c r="MSN102" s="529" t="str">
        <f>VLOOKUP(MSM102,[14]AssetDetails_UEM!$A$3:$AH$1849,6,FALSE)</f>
        <v>Electrosurgical Units, Monopolar/Bipolar</v>
      </c>
      <c r="MSO102" s="528" t="s">
        <v>213</v>
      </c>
      <c r="MSP102" s="529" t="str">
        <f>VLOOKUP(MSO102,[14]AssetDetails_UEM!$A$3:$AH$1849,6,FALSE)</f>
        <v>Electrosurgical Units, Monopolar/Bipolar</v>
      </c>
      <c r="MSQ102" s="528" t="s">
        <v>213</v>
      </c>
      <c r="MSR102" s="529" t="str">
        <f>VLOOKUP(MSQ102,[14]AssetDetails_UEM!$A$3:$AH$1849,6,FALSE)</f>
        <v>Electrosurgical Units, Monopolar/Bipolar</v>
      </c>
      <c r="MSS102" s="528" t="s">
        <v>213</v>
      </c>
      <c r="MST102" s="529" t="str">
        <f>VLOOKUP(MSS102,[14]AssetDetails_UEM!$A$3:$AH$1849,6,FALSE)</f>
        <v>Electrosurgical Units, Monopolar/Bipolar</v>
      </c>
      <c r="MSU102" s="528" t="s">
        <v>213</v>
      </c>
      <c r="MSV102" s="529" t="str">
        <f>VLOOKUP(MSU102,[14]AssetDetails_UEM!$A$3:$AH$1849,6,FALSE)</f>
        <v>Electrosurgical Units, Monopolar/Bipolar</v>
      </c>
      <c r="MSW102" s="528" t="s">
        <v>213</v>
      </c>
      <c r="MSX102" s="529" t="str">
        <f>VLOOKUP(MSW102,[14]AssetDetails_UEM!$A$3:$AH$1849,6,FALSE)</f>
        <v>Electrosurgical Units, Monopolar/Bipolar</v>
      </c>
      <c r="MSY102" s="528" t="s">
        <v>213</v>
      </c>
      <c r="MSZ102" s="529" t="str">
        <f>VLOOKUP(MSY102,[14]AssetDetails_UEM!$A$3:$AH$1849,6,FALSE)</f>
        <v>Electrosurgical Units, Monopolar/Bipolar</v>
      </c>
      <c r="MTA102" s="528" t="s">
        <v>213</v>
      </c>
      <c r="MTB102" s="529" t="str">
        <f>VLOOKUP(MTA102,[14]AssetDetails_UEM!$A$3:$AH$1849,6,FALSE)</f>
        <v>Electrosurgical Units, Monopolar/Bipolar</v>
      </c>
      <c r="MTC102" s="528" t="s">
        <v>213</v>
      </c>
      <c r="MTD102" s="529" t="str">
        <f>VLOOKUP(MTC102,[14]AssetDetails_UEM!$A$3:$AH$1849,6,FALSE)</f>
        <v>Electrosurgical Units, Monopolar/Bipolar</v>
      </c>
      <c r="MTE102" s="528" t="s">
        <v>213</v>
      </c>
      <c r="MTF102" s="529" t="str">
        <f>VLOOKUP(MTE102,[14]AssetDetails_UEM!$A$3:$AH$1849,6,FALSE)</f>
        <v>Electrosurgical Units, Monopolar/Bipolar</v>
      </c>
      <c r="MTG102" s="528" t="s">
        <v>213</v>
      </c>
      <c r="MTH102" s="529" t="str">
        <f>VLOOKUP(MTG102,[14]AssetDetails_UEM!$A$3:$AH$1849,6,FALSE)</f>
        <v>Electrosurgical Units, Monopolar/Bipolar</v>
      </c>
      <c r="MTI102" s="528" t="s">
        <v>213</v>
      </c>
      <c r="MTJ102" s="529" t="str">
        <f>VLOOKUP(MTI102,[14]AssetDetails_UEM!$A$3:$AH$1849,6,FALSE)</f>
        <v>Electrosurgical Units, Monopolar/Bipolar</v>
      </c>
      <c r="MTK102" s="528" t="s">
        <v>213</v>
      </c>
      <c r="MTL102" s="529" t="str">
        <f>VLOOKUP(MTK102,[14]AssetDetails_UEM!$A$3:$AH$1849,6,FALSE)</f>
        <v>Electrosurgical Units, Monopolar/Bipolar</v>
      </c>
      <c r="MTM102" s="528" t="s">
        <v>213</v>
      </c>
      <c r="MTN102" s="529" t="str">
        <f>VLOOKUP(MTM102,[14]AssetDetails_UEM!$A$3:$AH$1849,6,FALSE)</f>
        <v>Electrosurgical Units, Monopolar/Bipolar</v>
      </c>
      <c r="MTO102" s="528" t="s">
        <v>213</v>
      </c>
      <c r="MTP102" s="529" t="str">
        <f>VLOOKUP(MTO102,[14]AssetDetails_UEM!$A$3:$AH$1849,6,FALSE)</f>
        <v>Electrosurgical Units, Monopolar/Bipolar</v>
      </c>
      <c r="MTQ102" s="528" t="s">
        <v>213</v>
      </c>
      <c r="MTR102" s="529" t="str">
        <f>VLOOKUP(MTQ102,[14]AssetDetails_UEM!$A$3:$AH$1849,6,FALSE)</f>
        <v>Electrosurgical Units, Monopolar/Bipolar</v>
      </c>
      <c r="MTS102" s="528" t="s">
        <v>213</v>
      </c>
      <c r="MTT102" s="529" t="str">
        <f>VLOOKUP(MTS102,[14]AssetDetails_UEM!$A$3:$AH$1849,6,FALSE)</f>
        <v>Electrosurgical Units, Monopolar/Bipolar</v>
      </c>
      <c r="MTU102" s="528" t="s">
        <v>213</v>
      </c>
      <c r="MTV102" s="529" t="str">
        <f>VLOOKUP(MTU102,[14]AssetDetails_UEM!$A$3:$AH$1849,6,FALSE)</f>
        <v>Electrosurgical Units, Monopolar/Bipolar</v>
      </c>
      <c r="MTW102" s="528" t="s">
        <v>213</v>
      </c>
      <c r="MTX102" s="529" t="str">
        <f>VLOOKUP(MTW102,[14]AssetDetails_UEM!$A$3:$AH$1849,6,FALSE)</f>
        <v>Electrosurgical Units, Monopolar/Bipolar</v>
      </c>
      <c r="MTY102" s="528" t="s">
        <v>213</v>
      </c>
      <c r="MTZ102" s="529" t="str">
        <f>VLOOKUP(MTY102,[14]AssetDetails_UEM!$A$3:$AH$1849,6,FALSE)</f>
        <v>Electrosurgical Units, Monopolar/Bipolar</v>
      </c>
      <c r="MUA102" s="528" t="s">
        <v>213</v>
      </c>
      <c r="MUB102" s="529" t="str">
        <f>VLOOKUP(MUA102,[14]AssetDetails_UEM!$A$3:$AH$1849,6,FALSE)</f>
        <v>Electrosurgical Units, Monopolar/Bipolar</v>
      </c>
      <c r="MUC102" s="528" t="s">
        <v>213</v>
      </c>
      <c r="MUD102" s="529" t="str">
        <f>VLOOKUP(MUC102,[14]AssetDetails_UEM!$A$3:$AH$1849,6,FALSE)</f>
        <v>Electrosurgical Units, Monopolar/Bipolar</v>
      </c>
      <c r="MUE102" s="528" t="s">
        <v>213</v>
      </c>
      <c r="MUF102" s="529" t="str">
        <f>VLOOKUP(MUE102,[14]AssetDetails_UEM!$A$3:$AH$1849,6,FALSE)</f>
        <v>Electrosurgical Units, Monopolar/Bipolar</v>
      </c>
      <c r="MUG102" s="528" t="s">
        <v>213</v>
      </c>
      <c r="MUH102" s="529" t="str">
        <f>VLOOKUP(MUG102,[14]AssetDetails_UEM!$A$3:$AH$1849,6,FALSE)</f>
        <v>Electrosurgical Units, Monopolar/Bipolar</v>
      </c>
      <c r="MUI102" s="528" t="s">
        <v>213</v>
      </c>
      <c r="MUJ102" s="529" t="str">
        <f>VLOOKUP(MUI102,[14]AssetDetails_UEM!$A$3:$AH$1849,6,FALSE)</f>
        <v>Electrosurgical Units, Monopolar/Bipolar</v>
      </c>
      <c r="MUK102" s="528" t="s">
        <v>213</v>
      </c>
      <c r="MUL102" s="529" t="str">
        <f>VLOOKUP(MUK102,[14]AssetDetails_UEM!$A$3:$AH$1849,6,FALSE)</f>
        <v>Electrosurgical Units, Monopolar/Bipolar</v>
      </c>
      <c r="MUM102" s="528" t="s">
        <v>213</v>
      </c>
      <c r="MUN102" s="529" t="str">
        <f>VLOOKUP(MUM102,[14]AssetDetails_UEM!$A$3:$AH$1849,6,FALSE)</f>
        <v>Electrosurgical Units, Monopolar/Bipolar</v>
      </c>
      <c r="MUO102" s="528" t="s">
        <v>213</v>
      </c>
      <c r="MUP102" s="529" t="str">
        <f>VLOOKUP(MUO102,[14]AssetDetails_UEM!$A$3:$AH$1849,6,FALSE)</f>
        <v>Electrosurgical Units, Monopolar/Bipolar</v>
      </c>
      <c r="MUQ102" s="528" t="s">
        <v>213</v>
      </c>
      <c r="MUR102" s="529" t="str">
        <f>VLOOKUP(MUQ102,[14]AssetDetails_UEM!$A$3:$AH$1849,6,FALSE)</f>
        <v>Electrosurgical Units, Monopolar/Bipolar</v>
      </c>
      <c r="MUS102" s="528" t="s">
        <v>213</v>
      </c>
      <c r="MUT102" s="529" t="str">
        <f>VLOOKUP(MUS102,[14]AssetDetails_UEM!$A$3:$AH$1849,6,FALSE)</f>
        <v>Electrosurgical Units, Monopolar/Bipolar</v>
      </c>
      <c r="MUU102" s="528" t="s">
        <v>213</v>
      </c>
      <c r="MUV102" s="529" t="str">
        <f>VLOOKUP(MUU102,[14]AssetDetails_UEM!$A$3:$AH$1849,6,FALSE)</f>
        <v>Electrosurgical Units, Monopolar/Bipolar</v>
      </c>
      <c r="MUW102" s="528" t="s">
        <v>213</v>
      </c>
      <c r="MUX102" s="529" t="str">
        <f>VLOOKUP(MUW102,[14]AssetDetails_UEM!$A$3:$AH$1849,6,FALSE)</f>
        <v>Electrosurgical Units, Monopolar/Bipolar</v>
      </c>
      <c r="MUY102" s="528" t="s">
        <v>213</v>
      </c>
      <c r="MUZ102" s="529" t="str">
        <f>VLOOKUP(MUY102,[14]AssetDetails_UEM!$A$3:$AH$1849,6,FALSE)</f>
        <v>Electrosurgical Units, Monopolar/Bipolar</v>
      </c>
      <c r="MVA102" s="528" t="s">
        <v>213</v>
      </c>
      <c r="MVB102" s="529" t="str">
        <f>VLOOKUP(MVA102,[14]AssetDetails_UEM!$A$3:$AH$1849,6,FALSE)</f>
        <v>Electrosurgical Units, Monopolar/Bipolar</v>
      </c>
      <c r="MVC102" s="528" t="s">
        <v>213</v>
      </c>
      <c r="MVD102" s="529" t="str">
        <f>VLOOKUP(MVC102,[14]AssetDetails_UEM!$A$3:$AH$1849,6,FALSE)</f>
        <v>Electrosurgical Units, Monopolar/Bipolar</v>
      </c>
      <c r="MVE102" s="528" t="s">
        <v>213</v>
      </c>
      <c r="MVF102" s="529" t="str">
        <f>VLOOKUP(MVE102,[14]AssetDetails_UEM!$A$3:$AH$1849,6,FALSE)</f>
        <v>Electrosurgical Units, Monopolar/Bipolar</v>
      </c>
      <c r="MVG102" s="528" t="s">
        <v>213</v>
      </c>
      <c r="MVH102" s="529" t="str">
        <f>VLOOKUP(MVG102,[14]AssetDetails_UEM!$A$3:$AH$1849,6,FALSE)</f>
        <v>Electrosurgical Units, Monopolar/Bipolar</v>
      </c>
      <c r="MVI102" s="528" t="s">
        <v>213</v>
      </c>
      <c r="MVJ102" s="529" t="str">
        <f>VLOOKUP(MVI102,[14]AssetDetails_UEM!$A$3:$AH$1849,6,FALSE)</f>
        <v>Electrosurgical Units, Monopolar/Bipolar</v>
      </c>
      <c r="MVK102" s="528" t="s">
        <v>213</v>
      </c>
      <c r="MVL102" s="529" t="str">
        <f>VLOOKUP(MVK102,[14]AssetDetails_UEM!$A$3:$AH$1849,6,FALSE)</f>
        <v>Electrosurgical Units, Monopolar/Bipolar</v>
      </c>
      <c r="MVM102" s="528" t="s">
        <v>213</v>
      </c>
      <c r="MVN102" s="529" t="str">
        <f>VLOOKUP(MVM102,[14]AssetDetails_UEM!$A$3:$AH$1849,6,FALSE)</f>
        <v>Electrosurgical Units, Monopolar/Bipolar</v>
      </c>
      <c r="MVO102" s="528" t="s">
        <v>213</v>
      </c>
      <c r="MVP102" s="529" t="str">
        <f>VLOOKUP(MVO102,[14]AssetDetails_UEM!$A$3:$AH$1849,6,FALSE)</f>
        <v>Electrosurgical Units, Monopolar/Bipolar</v>
      </c>
      <c r="MVQ102" s="528" t="s">
        <v>213</v>
      </c>
      <c r="MVR102" s="529" t="str">
        <f>VLOOKUP(MVQ102,[14]AssetDetails_UEM!$A$3:$AH$1849,6,FALSE)</f>
        <v>Electrosurgical Units, Monopolar/Bipolar</v>
      </c>
      <c r="MVS102" s="528" t="s">
        <v>213</v>
      </c>
      <c r="MVT102" s="529" t="str">
        <f>VLOOKUP(MVS102,[14]AssetDetails_UEM!$A$3:$AH$1849,6,FALSE)</f>
        <v>Electrosurgical Units, Monopolar/Bipolar</v>
      </c>
      <c r="MVU102" s="528" t="s">
        <v>213</v>
      </c>
      <c r="MVV102" s="529" t="str">
        <f>VLOOKUP(MVU102,[14]AssetDetails_UEM!$A$3:$AH$1849,6,FALSE)</f>
        <v>Electrosurgical Units, Monopolar/Bipolar</v>
      </c>
      <c r="MVW102" s="528" t="s">
        <v>213</v>
      </c>
      <c r="MVX102" s="529" t="str">
        <f>VLOOKUP(MVW102,[14]AssetDetails_UEM!$A$3:$AH$1849,6,FALSE)</f>
        <v>Electrosurgical Units, Monopolar/Bipolar</v>
      </c>
      <c r="MVY102" s="528" t="s">
        <v>213</v>
      </c>
      <c r="MVZ102" s="529" t="str">
        <f>VLOOKUP(MVY102,[14]AssetDetails_UEM!$A$3:$AH$1849,6,FALSE)</f>
        <v>Electrosurgical Units, Monopolar/Bipolar</v>
      </c>
      <c r="MWA102" s="528" t="s">
        <v>213</v>
      </c>
      <c r="MWB102" s="529" t="str">
        <f>VLOOKUP(MWA102,[14]AssetDetails_UEM!$A$3:$AH$1849,6,FALSE)</f>
        <v>Electrosurgical Units, Monopolar/Bipolar</v>
      </c>
      <c r="MWC102" s="528" t="s">
        <v>213</v>
      </c>
      <c r="MWD102" s="529" t="str">
        <f>VLOOKUP(MWC102,[14]AssetDetails_UEM!$A$3:$AH$1849,6,FALSE)</f>
        <v>Electrosurgical Units, Monopolar/Bipolar</v>
      </c>
      <c r="MWE102" s="528" t="s">
        <v>213</v>
      </c>
      <c r="MWF102" s="529" t="str">
        <f>VLOOKUP(MWE102,[14]AssetDetails_UEM!$A$3:$AH$1849,6,FALSE)</f>
        <v>Electrosurgical Units, Monopolar/Bipolar</v>
      </c>
      <c r="MWG102" s="528" t="s">
        <v>213</v>
      </c>
      <c r="MWH102" s="529" t="str">
        <f>VLOOKUP(MWG102,[14]AssetDetails_UEM!$A$3:$AH$1849,6,FALSE)</f>
        <v>Electrosurgical Units, Monopolar/Bipolar</v>
      </c>
      <c r="MWI102" s="528" t="s">
        <v>213</v>
      </c>
      <c r="MWJ102" s="529" t="str">
        <f>VLOOKUP(MWI102,[14]AssetDetails_UEM!$A$3:$AH$1849,6,FALSE)</f>
        <v>Electrosurgical Units, Monopolar/Bipolar</v>
      </c>
      <c r="MWK102" s="528" t="s">
        <v>213</v>
      </c>
      <c r="MWL102" s="529" t="str">
        <f>VLOOKUP(MWK102,[14]AssetDetails_UEM!$A$3:$AH$1849,6,FALSE)</f>
        <v>Electrosurgical Units, Monopolar/Bipolar</v>
      </c>
      <c r="MWM102" s="528" t="s">
        <v>213</v>
      </c>
      <c r="MWN102" s="529" t="str">
        <f>VLOOKUP(MWM102,[14]AssetDetails_UEM!$A$3:$AH$1849,6,FALSE)</f>
        <v>Electrosurgical Units, Monopolar/Bipolar</v>
      </c>
      <c r="MWO102" s="528" t="s">
        <v>213</v>
      </c>
      <c r="MWP102" s="529" t="str">
        <f>VLOOKUP(MWO102,[14]AssetDetails_UEM!$A$3:$AH$1849,6,FALSE)</f>
        <v>Electrosurgical Units, Monopolar/Bipolar</v>
      </c>
      <c r="MWQ102" s="528" t="s">
        <v>213</v>
      </c>
      <c r="MWR102" s="529" t="str">
        <f>VLOOKUP(MWQ102,[14]AssetDetails_UEM!$A$3:$AH$1849,6,FALSE)</f>
        <v>Electrosurgical Units, Monopolar/Bipolar</v>
      </c>
      <c r="MWS102" s="528" t="s">
        <v>213</v>
      </c>
      <c r="MWT102" s="529" t="str">
        <f>VLOOKUP(MWS102,[14]AssetDetails_UEM!$A$3:$AH$1849,6,FALSE)</f>
        <v>Electrosurgical Units, Monopolar/Bipolar</v>
      </c>
      <c r="MWU102" s="528" t="s">
        <v>213</v>
      </c>
      <c r="MWV102" s="529" t="str">
        <f>VLOOKUP(MWU102,[14]AssetDetails_UEM!$A$3:$AH$1849,6,FALSE)</f>
        <v>Electrosurgical Units, Monopolar/Bipolar</v>
      </c>
      <c r="MWW102" s="528" t="s">
        <v>213</v>
      </c>
      <c r="MWX102" s="529" t="str">
        <f>VLOOKUP(MWW102,[14]AssetDetails_UEM!$A$3:$AH$1849,6,FALSE)</f>
        <v>Electrosurgical Units, Monopolar/Bipolar</v>
      </c>
      <c r="MWY102" s="528" t="s">
        <v>213</v>
      </c>
      <c r="MWZ102" s="529" t="str">
        <f>VLOOKUP(MWY102,[14]AssetDetails_UEM!$A$3:$AH$1849,6,FALSE)</f>
        <v>Electrosurgical Units, Monopolar/Bipolar</v>
      </c>
      <c r="MXA102" s="528" t="s">
        <v>213</v>
      </c>
      <c r="MXB102" s="529" t="str">
        <f>VLOOKUP(MXA102,[14]AssetDetails_UEM!$A$3:$AH$1849,6,FALSE)</f>
        <v>Electrosurgical Units, Monopolar/Bipolar</v>
      </c>
      <c r="MXC102" s="528" t="s">
        <v>213</v>
      </c>
      <c r="MXD102" s="529" t="str">
        <f>VLOOKUP(MXC102,[14]AssetDetails_UEM!$A$3:$AH$1849,6,FALSE)</f>
        <v>Electrosurgical Units, Monopolar/Bipolar</v>
      </c>
      <c r="MXE102" s="528" t="s">
        <v>213</v>
      </c>
      <c r="MXF102" s="529" t="str">
        <f>VLOOKUP(MXE102,[14]AssetDetails_UEM!$A$3:$AH$1849,6,FALSE)</f>
        <v>Electrosurgical Units, Monopolar/Bipolar</v>
      </c>
      <c r="MXG102" s="528" t="s">
        <v>213</v>
      </c>
      <c r="MXH102" s="529" t="str">
        <f>VLOOKUP(MXG102,[14]AssetDetails_UEM!$A$3:$AH$1849,6,FALSE)</f>
        <v>Electrosurgical Units, Monopolar/Bipolar</v>
      </c>
      <c r="MXI102" s="528" t="s">
        <v>213</v>
      </c>
      <c r="MXJ102" s="529" t="str">
        <f>VLOOKUP(MXI102,[14]AssetDetails_UEM!$A$3:$AH$1849,6,FALSE)</f>
        <v>Electrosurgical Units, Monopolar/Bipolar</v>
      </c>
      <c r="MXK102" s="528" t="s">
        <v>213</v>
      </c>
      <c r="MXL102" s="529" t="str">
        <f>VLOOKUP(MXK102,[14]AssetDetails_UEM!$A$3:$AH$1849,6,FALSE)</f>
        <v>Electrosurgical Units, Monopolar/Bipolar</v>
      </c>
      <c r="MXM102" s="528" t="s">
        <v>213</v>
      </c>
      <c r="MXN102" s="529" t="str">
        <f>VLOOKUP(MXM102,[14]AssetDetails_UEM!$A$3:$AH$1849,6,FALSE)</f>
        <v>Electrosurgical Units, Monopolar/Bipolar</v>
      </c>
      <c r="MXO102" s="528" t="s">
        <v>213</v>
      </c>
      <c r="MXP102" s="529" t="str">
        <f>VLOOKUP(MXO102,[14]AssetDetails_UEM!$A$3:$AH$1849,6,FALSE)</f>
        <v>Electrosurgical Units, Monopolar/Bipolar</v>
      </c>
      <c r="MXQ102" s="528" t="s">
        <v>213</v>
      </c>
      <c r="MXR102" s="529" t="str">
        <f>VLOOKUP(MXQ102,[14]AssetDetails_UEM!$A$3:$AH$1849,6,FALSE)</f>
        <v>Electrosurgical Units, Monopolar/Bipolar</v>
      </c>
      <c r="MXS102" s="528" t="s">
        <v>213</v>
      </c>
      <c r="MXT102" s="529" t="str">
        <f>VLOOKUP(MXS102,[14]AssetDetails_UEM!$A$3:$AH$1849,6,FALSE)</f>
        <v>Electrosurgical Units, Monopolar/Bipolar</v>
      </c>
      <c r="MXU102" s="528" t="s">
        <v>213</v>
      </c>
      <c r="MXV102" s="529" t="str">
        <f>VLOOKUP(MXU102,[14]AssetDetails_UEM!$A$3:$AH$1849,6,FALSE)</f>
        <v>Electrosurgical Units, Monopolar/Bipolar</v>
      </c>
      <c r="MXW102" s="528" t="s">
        <v>213</v>
      </c>
      <c r="MXX102" s="529" t="str">
        <f>VLOOKUP(MXW102,[14]AssetDetails_UEM!$A$3:$AH$1849,6,FALSE)</f>
        <v>Electrosurgical Units, Monopolar/Bipolar</v>
      </c>
      <c r="MXY102" s="528" t="s">
        <v>213</v>
      </c>
      <c r="MXZ102" s="529" t="str">
        <f>VLOOKUP(MXY102,[14]AssetDetails_UEM!$A$3:$AH$1849,6,FALSE)</f>
        <v>Electrosurgical Units, Monopolar/Bipolar</v>
      </c>
      <c r="MYA102" s="528" t="s">
        <v>213</v>
      </c>
      <c r="MYB102" s="529" t="str">
        <f>VLOOKUP(MYA102,[14]AssetDetails_UEM!$A$3:$AH$1849,6,FALSE)</f>
        <v>Electrosurgical Units, Monopolar/Bipolar</v>
      </c>
      <c r="MYC102" s="528" t="s">
        <v>213</v>
      </c>
      <c r="MYD102" s="529" t="str">
        <f>VLOOKUP(MYC102,[14]AssetDetails_UEM!$A$3:$AH$1849,6,FALSE)</f>
        <v>Electrosurgical Units, Monopolar/Bipolar</v>
      </c>
      <c r="MYE102" s="528" t="s">
        <v>213</v>
      </c>
      <c r="MYF102" s="529" t="str">
        <f>VLOOKUP(MYE102,[14]AssetDetails_UEM!$A$3:$AH$1849,6,FALSE)</f>
        <v>Electrosurgical Units, Monopolar/Bipolar</v>
      </c>
      <c r="MYG102" s="528" t="s">
        <v>213</v>
      </c>
      <c r="MYH102" s="529" t="str">
        <f>VLOOKUP(MYG102,[14]AssetDetails_UEM!$A$3:$AH$1849,6,FALSE)</f>
        <v>Electrosurgical Units, Monopolar/Bipolar</v>
      </c>
      <c r="MYI102" s="528" t="s">
        <v>213</v>
      </c>
      <c r="MYJ102" s="529" t="str">
        <f>VLOOKUP(MYI102,[14]AssetDetails_UEM!$A$3:$AH$1849,6,FALSE)</f>
        <v>Electrosurgical Units, Monopolar/Bipolar</v>
      </c>
      <c r="MYK102" s="528" t="s">
        <v>213</v>
      </c>
      <c r="MYL102" s="529" t="str">
        <f>VLOOKUP(MYK102,[14]AssetDetails_UEM!$A$3:$AH$1849,6,FALSE)</f>
        <v>Electrosurgical Units, Monopolar/Bipolar</v>
      </c>
      <c r="MYM102" s="528" t="s">
        <v>213</v>
      </c>
      <c r="MYN102" s="529" t="str">
        <f>VLOOKUP(MYM102,[14]AssetDetails_UEM!$A$3:$AH$1849,6,FALSE)</f>
        <v>Electrosurgical Units, Monopolar/Bipolar</v>
      </c>
      <c r="MYO102" s="528" t="s">
        <v>213</v>
      </c>
      <c r="MYP102" s="529" t="str">
        <f>VLOOKUP(MYO102,[14]AssetDetails_UEM!$A$3:$AH$1849,6,FALSE)</f>
        <v>Electrosurgical Units, Monopolar/Bipolar</v>
      </c>
      <c r="MYQ102" s="528" t="s">
        <v>213</v>
      </c>
      <c r="MYR102" s="529" t="str">
        <f>VLOOKUP(MYQ102,[14]AssetDetails_UEM!$A$3:$AH$1849,6,FALSE)</f>
        <v>Electrosurgical Units, Monopolar/Bipolar</v>
      </c>
      <c r="MYS102" s="528" t="s">
        <v>213</v>
      </c>
      <c r="MYT102" s="529" t="str">
        <f>VLOOKUP(MYS102,[14]AssetDetails_UEM!$A$3:$AH$1849,6,FALSE)</f>
        <v>Electrosurgical Units, Monopolar/Bipolar</v>
      </c>
      <c r="MYU102" s="528" t="s">
        <v>213</v>
      </c>
      <c r="MYV102" s="529" t="str">
        <f>VLOOKUP(MYU102,[14]AssetDetails_UEM!$A$3:$AH$1849,6,FALSE)</f>
        <v>Electrosurgical Units, Monopolar/Bipolar</v>
      </c>
      <c r="MYW102" s="528" t="s">
        <v>213</v>
      </c>
      <c r="MYX102" s="529" t="str">
        <f>VLOOKUP(MYW102,[14]AssetDetails_UEM!$A$3:$AH$1849,6,FALSE)</f>
        <v>Electrosurgical Units, Monopolar/Bipolar</v>
      </c>
      <c r="MYY102" s="528" t="s">
        <v>213</v>
      </c>
      <c r="MYZ102" s="529" t="str">
        <f>VLOOKUP(MYY102,[14]AssetDetails_UEM!$A$3:$AH$1849,6,FALSE)</f>
        <v>Electrosurgical Units, Monopolar/Bipolar</v>
      </c>
      <c r="MZA102" s="528" t="s">
        <v>213</v>
      </c>
      <c r="MZB102" s="529" t="str">
        <f>VLOOKUP(MZA102,[14]AssetDetails_UEM!$A$3:$AH$1849,6,FALSE)</f>
        <v>Electrosurgical Units, Monopolar/Bipolar</v>
      </c>
      <c r="MZC102" s="528" t="s">
        <v>213</v>
      </c>
      <c r="MZD102" s="529" t="str">
        <f>VLOOKUP(MZC102,[14]AssetDetails_UEM!$A$3:$AH$1849,6,FALSE)</f>
        <v>Electrosurgical Units, Monopolar/Bipolar</v>
      </c>
      <c r="MZE102" s="528" t="s">
        <v>213</v>
      </c>
      <c r="MZF102" s="529" t="str">
        <f>VLOOKUP(MZE102,[14]AssetDetails_UEM!$A$3:$AH$1849,6,FALSE)</f>
        <v>Electrosurgical Units, Monopolar/Bipolar</v>
      </c>
      <c r="MZG102" s="528" t="s">
        <v>213</v>
      </c>
      <c r="MZH102" s="529" t="str">
        <f>VLOOKUP(MZG102,[14]AssetDetails_UEM!$A$3:$AH$1849,6,FALSE)</f>
        <v>Electrosurgical Units, Monopolar/Bipolar</v>
      </c>
      <c r="MZI102" s="528" t="s">
        <v>213</v>
      </c>
      <c r="MZJ102" s="529" t="str">
        <f>VLOOKUP(MZI102,[14]AssetDetails_UEM!$A$3:$AH$1849,6,FALSE)</f>
        <v>Electrosurgical Units, Monopolar/Bipolar</v>
      </c>
      <c r="MZK102" s="528" t="s">
        <v>213</v>
      </c>
      <c r="MZL102" s="529" t="str">
        <f>VLOOKUP(MZK102,[14]AssetDetails_UEM!$A$3:$AH$1849,6,FALSE)</f>
        <v>Electrosurgical Units, Monopolar/Bipolar</v>
      </c>
      <c r="MZM102" s="528" t="s">
        <v>213</v>
      </c>
      <c r="MZN102" s="529" t="str">
        <f>VLOOKUP(MZM102,[14]AssetDetails_UEM!$A$3:$AH$1849,6,FALSE)</f>
        <v>Electrosurgical Units, Monopolar/Bipolar</v>
      </c>
      <c r="MZO102" s="528" t="s">
        <v>213</v>
      </c>
      <c r="MZP102" s="529" t="str">
        <f>VLOOKUP(MZO102,[14]AssetDetails_UEM!$A$3:$AH$1849,6,FALSE)</f>
        <v>Electrosurgical Units, Monopolar/Bipolar</v>
      </c>
      <c r="MZQ102" s="528" t="s">
        <v>213</v>
      </c>
      <c r="MZR102" s="529" t="str">
        <f>VLOOKUP(MZQ102,[14]AssetDetails_UEM!$A$3:$AH$1849,6,FALSE)</f>
        <v>Electrosurgical Units, Monopolar/Bipolar</v>
      </c>
      <c r="MZS102" s="528" t="s">
        <v>213</v>
      </c>
      <c r="MZT102" s="529" t="str">
        <f>VLOOKUP(MZS102,[14]AssetDetails_UEM!$A$3:$AH$1849,6,FALSE)</f>
        <v>Electrosurgical Units, Monopolar/Bipolar</v>
      </c>
      <c r="MZU102" s="528" t="s">
        <v>213</v>
      </c>
      <c r="MZV102" s="529" t="str">
        <f>VLOOKUP(MZU102,[14]AssetDetails_UEM!$A$3:$AH$1849,6,FALSE)</f>
        <v>Electrosurgical Units, Monopolar/Bipolar</v>
      </c>
      <c r="MZW102" s="528" t="s">
        <v>213</v>
      </c>
      <c r="MZX102" s="529" t="str">
        <f>VLOOKUP(MZW102,[14]AssetDetails_UEM!$A$3:$AH$1849,6,FALSE)</f>
        <v>Electrosurgical Units, Monopolar/Bipolar</v>
      </c>
      <c r="MZY102" s="528" t="s">
        <v>213</v>
      </c>
      <c r="MZZ102" s="529" t="str">
        <f>VLOOKUP(MZY102,[14]AssetDetails_UEM!$A$3:$AH$1849,6,FALSE)</f>
        <v>Electrosurgical Units, Monopolar/Bipolar</v>
      </c>
      <c r="NAA102" s="528" t="s">
        <v>213</v>
      </c>
      <c r="NAB102" s="529" t="str">
        <f>VLOOKUP(NAA102,[14]AssetDetails_UEM!$A$3:$AH$1849,6,FALSE)</f>
        <v>Electrosurgical Units, Monopolar/Bipolar</v>
      </c>
      <c r="NAC102" s="528" t="s">
        <v>213</v>
      </c>
      <c r="NAD102" s="529" t="str">
        <f>VLOOKUP(NAC102,[14]AssetDetails_UEM!$A$3:$AH$1849,6,FALSE)</f>
        <v>Electrosurgical Units, Monopolar/Bipolar</v>
      </c>
      <c r="NAE102" s="528" t="s">
        <v>213</v>
      </c>
      <c r="NAF102" s="529" t="str">
        <f>VLOOKUP(NAE102,[14]AssetDetails_UEM!$A$3:$AH$1849,6,FALSE)</f>
        <v>Electrosurgical Units, Monopolar/Bipolar</v>
      </c>
      <c r="NAG102" s="528" t="s">
        <v>213</v>
      </c>
      <c r="NAH102" s="529" t="str">
        <f>VLOOKUP(NAG102,[14]AssetDetails_UEM!$A$3:$AH$1849,6,FALSE)</f>
        <v>Electrosurgical Units, Monopolar/Bipolar</v>
      </c>
      <c r="NAI102" s="528" t="s">
        <v>213</v>
      </c>
      <c r="NAJ102" s="529" t="str">
        <f>VLOOKUP(NAI102,[14]AssetDetails_UEM!$A$3:$AH$1849,6,FALSE)</f>
        <v>Electrosurgical Units, Monopolar/Bipolar</v>
      </c>
      <c r="NAK102" s="528" t="s">
        <v>213</v>
      </c>
      <c r="NAL102" s="529" t="str">
        <f>VLOOKUP(NAK102,[14]AssetDetails_UEM!$A$3:$AH$1849,6,FALSE)</f>
        <v>Electrosurgical Units, Monopolar/Bipolar</v>
      </c>
      <c r="NAM102" s="528" t="s">
        <v>213</v>
      </c>
      <c r="NAN102" s="529" t="str">
        <f>VLOOKUP(NAM102,[14]AssetDetails_UEM!$A$3:$AH$1849,6,FALSE)</f>
        <v>Electrosurgical Units, Monopolar/Bipolar</v>
      </c>
      <c r="NAO102" s="528" t="s">
        <v>213</v>
      </c>
      <c r="NAP102" s="529" t="str">
        <f>VLOOKUP(NAO102,[14]AssetDetails_UEM!$A$3:$AH$1849,6,FALSE)</f>
        <v>Electrosurgical Units, Monopolar/Bipolar</v>
      </c>
      <c r="NAQ102" s="528" t="s">
        <v>213</v>
      </c>
      <c r="NAR102" s="529" t="str">
        <f>VLOOKUP(NAQ102,[14]AssetDetails_UEM!$A$3:$AH$1849,6,FALSE)</f>
        <v>Electrosurgical Units, Monopolar/Bipolar</v>
      </c>
      <c r="NAS102" s="528" t="s">
        <v>213</v>
      </c>
      <c r="NAT102" s="529" t="str">
        <f>VLOOKUP(NAS102,[14]AssetDetails_UEM!$A$3:$AH$1849,6,FALSE)</f>
        <v>Electrosurgical Units, Monopolar/Bipolar</v>
      </c>
      <c r="NAU102" s="528" t="s">
        <v>213</v>
      </c>
      <c r="NAV102" s="529" t="str">
        <f>VLOOKUP(NAU102,[14]AssetDetails_UEM!$A$3:$AH$1849,6,FALSE)</f>
        <v>Electrosurgical Units, Monopolar/Bipolar</v>
      </c>
      <c r="NAW102" s="528" t="s">
        <v>213</v>
      </c>
      <c r="NAX102" s="529" t="str">
        <f>VLOOKUP(NAW102,[14]AssetDetails_UEM!$A$3:$AH$1849,6,FALSE)</f>
        <v>Electrosurgical Units, Monopolar/Bipolar</v>
      </c>
      <c r="NAY102" s="528" t="s">
        <v>213</v>
      </c>
      <c r="NAZ102" s="529" t="str">
        <f>VLOOKUP(NAY102,[14]AssetDetails_UEM!$A$3:$AH$1849,6,FALSE)</f>
        <v>Electrosurgical Units, Monopolar/Bipolar</v>
      </c>
      <c r="NBA102" s="528" t="s">
        <v>213</v>
      </c>
      <c r="NBB102" s="529" t="str">
        <f>VLOOKUP(NBA102,[14]AssetDetails_UEM!$A$3:$AH$1849,6,FALSE)</f>
        <v>Electrosurgical Units, Monopolar/Bipolar</v>
      </c>
      <c r="NBC102" s="528" t="s">
        <v>213</v>
      </c>
      <c r="NBD102" s="529" t="str">
        <f>VLOOKUP(NBC102,[14]AssetDetails_UEM!$A$3:$AH$1849,6,FALSE)</f>
        <v>Electrosurgical Units, Monopolar/Bipolar</v>
      </c>
      <c r="NBE102" s="528" t="s">
        <v>213</v>
      </c>
      <c r="NBF102" s="529" t="str">
        <f>VLOOKUP(NBE102,[14]AssetDetails_UEM!$A$3:$AH$1849,6,FALSE)</f>
        <v>Electrosurgical Units, Monopolar/Bipolar</v>
      </c>
      <c r="NBG102" s="528" t="s">
        <v>213</v>
      </c>
      <c r="NBH102" s="529" t="str">
        <f>VLOOKUP(NBG102,[14]AssetDetails_UEM!$A$3:$AH$1849,6,FALSE)</f>
        <v>Electrosurgical Units, Monopolar/Bipolar</v>
      </c>
      <c r="NBI102" s="528" t="s">
        <v>213</v>
      </c>
      <c r="NBJ102" s="529" t="str">
        <f>VLOOKUP(NBI102,[14]AssetDetails_UEM!$A$3:$AH$1849,6,FALSE)</f>
        <v>Electrosurgical Units, Monopolar/Bipolar</v>
      </c>
      <c r="NBK102" s="528" t="s">
        <v>213</v>
      </c>
      <c r="NBL102" s="529" t="str">
        <f>VLOOKUP(NBK102,[14]AssetDetails_UEM!$A$3:$AH$1849,6,FALSE)</f>
        <v>Electrosurgical Units, Monopolar/Bipolar</v>
      </c>
      <c r="NBM102" s="528" t="s">
        <v>213</v>
      </c>
      <c r="NBN102" s="529" t="str">
        <f>VLOOKUP(NBM102,[14]AssetDetails_UEM!$A$3:$AH$1849,6,FALSE)</f>
        <v>Electrosurgical Units, Monopolar/Bipolar</v>
      </c>
      <c r="NBO102" s="528" t="s">
        <v>213</v>
      </c>
      <c r="NBP102" s="529" t="str">
        <f>VLOOKUP(NBO102,[14]AssetDetails_UEM!$A$3:$AH$1849,6,FALSE)</f>
        <v>Electrosurgical Units, Monopolar/Bipolar</v>
      </c>
      <c r="NBQ102" s="528" t="s">
        <v>213</v>
      </c>
      <c r="NBR102" s="529" t="str">
        <f>VLOOKUP(NBQ102,[14]AssetDetails_UEM!$A$3:$AH$1849,6,FALSE)</f>
        <v>Electrosurgical Units, Monopolar/Bipolar</v>
      </c>
      <c r="NBS102" s="528" t="s">
        <v>213</v>
      </c>
      <c r="NBT102" s="529" t="str">
        <f>VLOOKUP(NBS102,[14]AssetDetails_UEM!$A$3:$AH$1849,6,FALSE)</f>
        <v>Electrosurgical Units, Monopolar/Bipolar</v>
      </c>
      <c r="NBU102" s="528" t="s">
        <v>213</v>
      </c>
      <c r="NBV102" s="529" t="str">
        <f>VLOOKUP(NBU102,[14]AssetDetails_UEM!$A$3:$AH$1849,6,FALSE)</f>
        <v>Electrosurgical Units, Monopolar/Bipolar</v>
      </c>
      <c r="NBW102" s="528" t="s">
        <v>213</v>
      </c>
      <c r="NBX102" s="529" t="str">
        <f>VLOOKUP(NBW102,[14]AssetDetails_UEM!$A$3:$AH$1849,6,FALSE)</f>
        <v>Electrosurgical Units, Monopolar/Bipolar</v>
      </c>
      <c r="NBY102" s="528" t="s">
        <v>213</v>
      </c>
      <c r="NBZ102" s="529" t="str">
        <f>VLOOKUP(NBY102,[14]AssetDetails_UEM!$A$3:$AH$1849,6,FALSE)</f>
        <v>Electrosurgical Units, Monopolar/Bipolar</v>
      </c>
      <c r="NCA102" s="528" t="s">
        <v>213</v>
      </c>
      <c r="NCB102" s="529" t="str">
        <f>VLOOKUP(NCA102,[14]AssetDetails_UEM!$A$3:$AH$1849,6,FALSE)</f>
        <v>Electrosurgical Units, Monopolar/Bipolar</v>
      </c>
      <c r="NCC102" s="528" t="s">
        <v>213</v>
      </c>
      <c r="NCD102" s="529" t="str">
        <f>VLOOKUP(NCC102,[14]AssetDetails_UEM!$A$3:$AH$1849,6,FALSE)</f>
        <v>Electrosurgical Units, Monopolar/Bipolar</v>
      </c>
      <c r="NCE102" s="528" t="s">
        <v>213</v>
      </c>
      <c r="NCF102" s="529" t="str">
        <f>VLOOKUP(NCE102,[14]AssetDetails_UEM!$A$3:$AH$1849,6,FALSE)</f>
        <v>Electrosurgical Units, Monopolar/Bipolar</v>
      </c>
      <c r="NCG102" s="528" t="s">
        <v>213</v>
      </c>
      <c r="NCH102" s="529" t="str">
        <f>VLOOKUP(NCG102,[14]AssetDetails_UEM!$A$3:$AH$1849,6,FALSE)</f>
        <v>Electrosurgical Units, Monopolar/Bipolar</v>
      </c>
      <c r="NCI102" s="528" t="s">
        <v>213</v>
      </c>
      <c r="NCJ102" s="529" t="str">
        <f>VLOOKUP(NCI102,[14]AssetDetails_UEM!$A$3:$AH$1849,6,FALSE)</f>
        <v>Electrosurgical Units, Monopolar/Bipolar</v>
      </c>
      <c r="NCK102" s="528" t="s">
        <v>213</v>
      </c>
      <c r="NCL102" s="529" t="str">
        <f>VLOOKUP(NCK102,[14]AssetDetails_UEM!$A$3:$AH$1849,6,FALSE)</f>
        <v>Electrosurgical Units, Monopolar/Bipolar</v>
      </c>
      <c r="NCM102" s="528" t="s">
        <v>213</v>
      </c>
      <c r="NCN102" s="529" t="str">
        <f>VLOOKUP(NCM102,[14]AssetDetails_UEM!$A$3:$AH$1849,6,FALSE)</f>
        <v>Electrosurgical Units, Monopolar/Bipolar</v>
      </c>
      <c r="NCO102" s="528" t="s">
        <v>213</v>
      </c>
      <c r="NCP102" s="529" t="str">
        <f>VLOOKUP(NCO102,[14]AssetDetails_UEM!$A$3:$AH$1849,6,FALSE)</f>
        <v>Electrosurgical Units, Monopolar/Bipolar</v>
      </c>
      <c r="NCQ102" s="528" t="s">
        <v>213</v>
      </c>
      <c r="NCR102" s="529" t="str">
        <f>VLOOKUP(NCQ102,[14]AssetDetails_UEM!$A$3:$AH$1849,6,FALSE)</f>
        <v>Electrosurgical Units, Monopolar/Bipolar</v>
      </c>
      <c r="NCS102" s="528" t="s">
        <v>213</v>
      </c>
      <c r="NCT102" s="529" t="str">
        <f>VLOOKUP(NCS102,[14]AssetDetails_UEM!$A$3:$AH$1849,6,FALSE)</f>
        <v>Electrosurgical Units, Monopolar/Bipolar</v>
      </c>
      <c r="NCU102" s="528" t="s">
        <v>213</v>
      </c>
      <c r="NCV102" s="529" t="str">
        <f>VLOOKUP(NCU102,[14]AssetDetails_UEM!$A$3:$AH$1849,6,FALSE)</f>
        <v>Electrosurgical Units, Monopolar/Bipolar</v>
      </c>
      <c r="NCW102" s="528" t="s">
        <v>213</v>
      </c>
      <c r="NCX102" s="529" t="str">
        <f>VLOOKUP(NCW102,[14]AssetDetails_UEM!$A$3:$AH$1849,6,FALSE)</f>
        <v>Electrosurgical Units, Monopolar/Bipolar</v>
      </c>
      <c r="NCY102" s="528" t="s">
        <v>213</v>
      </c>
      <c r="NCZ102" s="529" t="str">
        <f>VLOOKUP(NCY102,[14]AssetDetails_UEM!$A$3:$AH$1849,6,FALSE)</f>
        <v>Electrosurgical Units, Monopolar/Bipolar</v>
      </c>
      <c r="NDA102" s="528" t="s">
        <v>213</v>
      </c>
      <c r="NDB102" s="529" t="str">
        <f>VLOOKUP(NDA102,[14]AssetDetails_UEM!$A$3:$AH$1849,6,FALSE)</f>
        <v>Electrosurgical Units, Monopolar/Bipolar</v>
      </c>
      <c r="NDC102" s="528" t="s">
        <v>213</v>
      </c>
      <c r="NDD102" s="529" t="str">
        <f>VLOOKUP(NDC102,[14]AssetDetails_UEM!$A$3:$AH$1849,6,FALSE)</f>
        <v>Electrosurgical Units, Monopolar/Bipolar</v>
      </c>
      <c r="NDE102" s="528" t="s">
        <v>213</v>
      </c>
      <c r="NDF102" s="529" t="str">
        <f>VLOOKUP(NDE102,[14]AssetDetails_UEM!$A$3:$AH$1849,6,FALSE)</f>
        <v>Electrosurgical Units, Monopolar/Bipolar</v>
      </c>
      <c r="NDG102" s="528" t="s">
        <v>213</v>
      </c>
      <c r="NDH102" s="529" t="str">
        <f>VLOOKUP(NDG102,[14]AssetDetails_UEM!$A$3:$AH$1849,6,FALSE)</f>
        <v>Electrosurgical Units, Monopolar/Bipolar</v>
      </c>
      <c r="NDI102" s="528" t="s">
        <v>213</v>
      </c>
      <c r="NDJ102" s="529" t="str">
        <f>VLOOKUP(NDI102,[14]AssetDetails_UEM!$A$3:$AH$1849,6,FALSE)</f>
        <v>Electrosurgical Units, Monopolar/Bipolar</v>
      </c>
      <c r="NDK102" s="528" t="s">
        <v>213</v>
      </c>
      <c r="NDL102" s="529" t="str">
        <f>VLOOKUP(NDK102,[14]AssetDetails_UEM!$A$3:$AH$1849,6,FALSE)</f>
        <v>Electrosurgical Units, Monopolar/Bipolar</v>
      </c>
      <c r="NDM102" s="528" t="s">
        <v>213</v>
      </c>
      <c r="NDN102" s="529" t="str">
        <f>VLOOKUP(NDM102,[14]AssetDetails_UEM!$A$3:$AH$1849,6,FALSE)</f>
        <v>Electrosurgical Units, Monopolar/Bipolar</v>
      </c>
      <c r="NDO102" s="528" t="s">
        <v>213</v>
      </c>
      <c r="NDP102" s="529" t="str">
        <f>VLOOKUP(NDO102,[14]AssetDetails_UEM!$A$3:$AH$1849,6,FALSE)</f>
        <v>Electrosurgical Units, Monopolar/Bipolar</v>
      </c>
      <c r="NDQ102" s="528" t="s">
        <v>213</v>
      </c>
      <c r="NDR102" s="529" t="str">
        <f>VLOOKUP(NDQ102,[14]AssetDetails_UEM!$A$3:$AH$1849,6,FALSE)</f>
        <v>Electrosurgical Units, Monopolar/Bipolar</v>
      </c>
      <c r="NDS102" s="528" t="s">
        <v>213</v>
      </c>
      <c r="NDT102" s="529" t="str">
        <f>VLOOKUP(NDS102,[14]AssetDetails_UEM!$A$3:$AH$1849,6,FALSE)</f>
        <v>Electrosurgical Units, Monopolar/Bipolar</v>
      </c>
      <c r="NDU102" s="528" t="s">
        <v>213</v>
      </c>
      <c r="NDV102" s="529" t="str">
        <f>VLOOKUP(NDU102,[14]AssetDetails_UEM!$A$3:$AH$1849,6,FALSE)</f>
        <v>Electrosurgical Units, Monopolar/Bipolar</v>
      </c>
      <c r="NDW102" s="528" t="s">
        <v>213</v>
      </c>
      <c r="NDX102" s="529" t="str">
        <f>VLOOKUP(NDW102,[14]AssetDetails_UEM!$A$3:$AH$1849,6,FALSE)</f>
        <v>Electrosurgical Units, Monopolar/Bipolar</v>
      </c>
      <c r="NDY102" s="528" t="s">
        <v>213</v>
      </c>
      <c r="NDZ102" s="529" t="str">
        <f>VLOOKUP(NDY102,[14]AssetDetails_UEM!$A$3:$AH$1849,6,FALSE)</f>
        <v>Electrosurgical Units, Monopolar/Bipolar</v>
      </c>
      <c r="NEA102" s="528" t="s">
        <v>213</v>
      </c>
      <c r="NEB102" s="529" t="str">
        <f>VLOOKUP(NEA102,[14]AssetDetails_UEM!$A$3:$AH$1849,6,FALSE)</f>
        <v>Electrosurgical Units, Monopolar/Bipolar</v>
      </c>
      <c r="NEC102" s="528" t="s">
        <v>213</v>
      </c>
      <c r="NED102" s="529" t="str">
        <f>VLOOKUP(NEC102,[14]AssetDetails_UEM!$A$3:$AH$1849,6,FALSE)</f>
        <v>Electrosurgical Units, Monopolar/Bipolar</v>
      </c>
      <c r="NEE102" s="528" t="s">
        <v>213</v>
      </c>
      <c r="NEF102" s="529" t="str">
        <f>VLOOKUP(NEE102,[14]AssetDetails_UEM!$A$3:$AH$1849,6,FALSE)</f>
        <v>Electrosurgical Units, Monopolar/Bipolar</v>
      </c>
      <c r="NEG102" s="528" t="s">
        <v>213</v>
      </c>
      <c r="NEH102" s="529" t="str">
        <f>VLOOKUP(NEG102,[14]AssetDetails_UEM!$A$3:$AH$1849,6,FALSE)</f>
        <v>Electrosurgical Units, Monopolar/Bipolar</v>
      </c>
      <c r="NEI102" s="528" t="s">
        <v>213</v>
      </c>
      <c r="NEJ102" s="529" t="str">
        <f>VLOOKUP(NEI102,[14]AssetDetails_UEM!$A$3:$AH$1849,6,FALSE)</f>
        <v>Electrosurgical Units, Monopolar/Bipolar</v>
      </c>
      <c r="NEK102" s="528" t="s">
        <v>213</v>
      </c>
      <c r="NEL102" s="529" t="str">
        <f>VLOOKUP(NEK102,[14]AssetDetails_UEM!$A$3:$AH$1849,6,FALSE)</f>
        <v>Electrosurgical Units, Monopolar/Bipolar</v>
      </c>
      <c r="NEM102" s="528" t="s">
        <v>213</v>
      </c>
      <c r="NEN102" s="529" t="str">
        <f>VLOOKUP(NEM102,[14]AssetDetails_UEM!$A$3:$AH$1849,6,FALSE)</f>
        <v>Electrosurgical Units, Monopolar/Bipolar</v>
      </c>
      <c r="NEO102" s="528" t="s">
        <v>213</v>
      </c>
      <c r="NEP102" s="529" t="str">
        <f>VLOOKUP(NEO102,[14]AssetDetails_UEM!$A$3:$AH$1849,6,FALSE)</f>
        <v>Electrosurgical Units, Monopolar/Bipolar</v>
      </c>
      <c r="NEQ102" s="528" t="s">
        <v>213</v>
      </c>
      <c r="NER102" s="529" t="str">
        <f>VLOOKUP(NEQ102,[14]AssetDetails_UEM!$A$3:$AH$1849,6,FALSE)</f>
        <v>Electrosurgical Units, Monopolar/Bipolar</v>
      </c>
      <c r="NES102" s="528" t="s">
        <v>213</v>
      </c>
      <c r="NET102" s="529" t="str">
        <f>VLOOKUP(NES102,[14]AssetDetails_UEM!$A$3:$AH$1849,6,FALSE)</f>
        <v>Electrosurgical Units, Monopolar/Bipolar</v>
      </c>
      <c r="NEU102" s="528" t="s">
        <v>213</v>
      </c>
      <c r="NEV102" s="529" t="str">
        <f>VLOOKUP(NEU102,[14]AssetDetails_UEM!$A$3:$AH$1849,6,FALSE)</f>
        <v>Electrosurgical Units, Monopolar/Bipolar</v>
      </c>
      <c r="NEW102" s="528" t="s">
        <v>213</v>
      </c>
      <c r="NEX102" s="529" t="str">
        <f>VLOOKUP(NEW102,[14]AssetDetails_UEM!$A$3:$AH$1849,6,FALSE)</f>
        <v>Electrosurgical Units, Monopolar/Bipolar</v>
      </c>
      <c r="NEY102" s="528" t="s">
        <v>213</v>
      </c>
      <c r="NEZ102" s="529" t="str">
        <f>VLOOKUP(NEY102,[14]AssetDetails_UEM!$A$3:$AH$1849,6,FALSE)</f>
        <v>Electrosurgical Units, Monopolar/Bipolar</v>
      </c>
      <c r="NFA102" s="528" t="s">
        <v>213</v>
      </c>
      <c r="NFB102" s="529" t="str">
        <f>VLOOKUP(NFA102,[14]AssetDetails_UEM!$A$3:$AH$1849,6,FALSE)</f>
        <v>Electrosurgical Units, Monopolar/Bipolar</v>
      </c>
      <c r="NFC102" s="528" t="s">
        <v>213</v>
      </c>
      <c r="NFD102" s="529" t="str">
        <f>VLOOKUP(NFC102,[14]AssetDetails_UEM!$A$3:$AH$1849,6,FALSE)</f>
        <v>Electrosurgical Units, Monopolar/Bipolar</v>
      </c>
      <c r="NFE102" s="528" t="s">
        <v>213</v>
      </c>
      <c r="NFF102" s="529" t="str">
        <f>VLOOKUP(NFE102,[14]AssetDetails_UEM!$A$3:$AH$1849,6,FALSE)</f>
        <v>Electrosurgical Units, Monopolar/Bipolar</v>
      </c>
      <c r="NFG102" s="528" t="s">
        <v>213</v>
      </c>
      <c r="NFH102" s="529" t="str">
        <f>VLOOKUP(NFG102,[14]AssetDetails_UEM!$A$3:$AH$1849,6,FALSE)</f>
        <v>Electrosurgical Units, Monopolar/Bipolar</v>
      </c>
      <c r="NFI102" s="528" t="s">
        <v>213</v>
      </c>
      <c r="NFJ102" s="529" t="str">
        <f>VLOOKUP(NFI102,[14]AssetDetails_UEM!$A$3:$AH$1849,6,FALSE)</f>
        <v>Electrosurgical Units, Monopolar/Bipolar</v>
      </c>
      <c r="NFK102" s="528" t="s">
        <v>213</v>
      </c>
      <c r="NFL102" s="529" t="str">
        <f>VLOOKUP(NFK102,[14]AssetDetails_UEM!$A$3:$AH$1849,6,FALSE)</f>
        <v>Electrosurgical Units, Monopolar/Bipolar</v>
      </c>
      <c r="NFM102" s="528" t="s">
        <v>213</v>
      </c>
      <c r="NFN102" s="529" t="str">
        <f>VLOOKUP(NFM102,[14]AssetDetails_UEM!$A$3:$AH$1849,6,FALSE)</f>
        <v>Electrosurgical Units, Monopolar/Bipolar</v>
      </c>
      <c r="NFO102" s="528" t="s">
        <v>213</v>
      </c>
      <c r="NFP102" s="529" t="str">
        <f>VLOOKUP(NFO102,[14]AssetDetails_UEM!$A$3:$AH$1849,6,FALSE)</f>
        <v>Electrosurgical Units, Monopolar/Bipolar</v>
      </c>
      <c r="NFQ102" s="528" t="s">
        <v>213</v>
      </c>
      <c r="NFR102" s="529" t="str">
        <f>VLOOKUP(NFQ102,[14]AssetDetails_UEM!$A$3:$AH$1849,6,FALSE)</f>
        <v>Electrosurgical Units, Monopolar/Bipolar</v>
      </c>
      <c r="NFS102" s="528" t="s">
        <v>213</v>
      </c>
      <c r="NFT102" s="529" t="str">
        <f>VLOOKUP(NFS102,[14]AssetDetails_UEM!$A$3:$AH$1849,6,FALSE)</f>
        <v>Electrosurgical Units, Monopolar/Bipolar</v>
      </c>
      <c r="NFU102" s="528" t="s">
        <v>213</v>
      </c>
      <c r="NFV102" s="529" t="str">
        <f>VLOOKUP(NFU102,[14]AssetDetails_UEM!$A$3:$AH$1849,6,FALSE)</f>
        <v>Electrosurgical Units, Monopolar/Bipolar</v>
      </c>
      <c r="NFW102" s="528" t="s">
        <v>213</v>
      </c>
      <c r="NFX102" s="529" t="str">
        <f>VLOOKUP(NFW102,[14]AssetDetails_UEM!$A$3:$AH$1849,6,FALSE)</f>
        <v>Electrosurgical Units, Monopolar/Bipolar</v>
      </c>
      <c r="NFY102" s="528" t="s">
        <v>213</v>
      </c>
      <c r="NFZ102" s="529" t="str">
        <f>VLOOKUP(NFY102,[14]AssetDetails_UEM!$A$3:$AH$1849,6,FALSE)</f>
        <v>Electrosurgical Units, Monopolar/Bipolar</v>
      </c>
      <c r="NGA102" s="528" t="s">
        <v>213</v>
      </c>
      <c r="NGB102" s="529" t="str">
        <f>VLOOKUP(NGA102,[14]AssetDetails_UEM!$A$3:$AH$1849,6,FALSE)</f>
        <v>Electrosurgical Units, Monopolar/Bipolar</v>
      </c>
      <c r="NGC102" s="528" t="s">
        <v>213</v>
      </c>
      <c r="NGD102" s="529" t="str">
        <f>VLOOKUP(NGC102,[14]AssetDetails_UEM!$A$3:$AH$1849,6,FALSE)</f>
        <v>Electrosurgical Units, Monopolar/Bipolar</v>
      </c>
      <c r="NGE102" s="528" t="s">
        <v>213</v>
      </c>
      <c r="NGF102" s="529" t="str">
        <f>VLOOKUP(NGE102,[14]AssetDetails_UEM!$A$3:$AH$1849,6,FALSE)</f>
        <v>Electrosurgical Units, Monopolar/Bipolar</v>
      </c>
      <c r="NGG102" s="528" t="s">
        <v>213</v>
      </c>
      <c r="NGH102" s="529" t="str">
        <f>VLOOKUP(NGG102,[14]AssetDetails_UEM!$A$3:$AH$1849,6,FALSE)</f>
        <v>Electrosurgical Units, Monopolar/Bipolar</v>
      </c>
      <c r="NGI102" s="528" t="s">
        <v>213</v>
      </c>
      <c r="NGJ102" s="529" t="str">
        <f>VLOOKUP(NGI102,[14]AssetDetails_UEM!$A$3:$AH$1849,6,FALSE)</f>
        <v>Electrosurgical Units, Monopolar/Bipolar</v>
      </c>
      <c r="NGK102" s="528" t="s">
        <v>213</v>
      </c>
      <c r="NGL102" s="529" t="str">
        <f>VLOOKUP(NGK102,[14]AssetDetails_UEM!$A$3:$AH$1849,6,FALSE)</f>
        <v>Electrosurgical Units, Monopolar/Bipolar</v>
      </c>
      <c r="NGM102" s="528" t="s">
        <v>213</v>
      </c>
      <c r="NGN102" s="529" t="str">
        <f>VLOOKUP(NGM102,[14]AssetDetails_UEM!$A$3:$AH$1849,6,FALSE)</f>
        <v>Electrosurgical Units, Monopolar/Bipolar</v>
      </c>
      <c r="NGO102" s="528" t="s">
        <v>213</v>
      </c>
      <c r="NGP102" s="529" t="str">
        <f>VLOOKUP(NGO102,[14]AssetDetails_UEM!$A$3:$AH$1849,6,FALSE)</f>
        <v>Electrosurgical Units, Monopolar/Bipolar</v>
      </c>
      <c r="NGQ102" s="528" t="s">
        <v>213</v>
      </c>
      <c r="NGR102" s="529" t="str">
        <f>VLOOKUP(NGQ102,[14]AssetDetails_UEM!$A$3:$AH$1849,6,FALSE)</f>
        <v>Electrosurgical Units, Monopolar/Bipolar</v>
      </c>
      <c r="NGS102" s="528" t="s">
        <v>213</v>
      </c>
      <c r="NGT102" s="529" t="str">
        <f>VLOOKUP(NGS102,[14]AssetDetails_UEM!$A$3:$AH$1849,6,FALSE)</f>
        <v>Electrosurgical Units, Monopolar/Bipolar</v>
      </c>
      <c r="NGU102" s="528" t="s">
        <v>213</v>
      </c>
      <c r="NGV102" s="529" t="str">
        <f>VLOOKUP(NGU102,[14]AssetDetails_UEM!$A$3:$AH$1849,6,FALSE)</f>
        <v>Electrosurgical Units, Monopolar/Bipolar</v>
      </c>
      <c r="NGW102" s="528" t="s">
        <v>213</v>
      </c>
      <c r="NGX102" s="529" t="str">
        <f>VLOOKUP(NGW102,[14]AssetDetails_UEM!$A$3:$AH$1849,6,FALSE)</f>
        <v>Electrosurgical Units, Monopolar/Bipolar</v>
      </c>
      <c r="NGY102" s="528" t="s">
        <v>213</v>
      </c>
      <c r="NGZ102" s="529" t="str">
        <f>VLOOKUP(NGY102,[14]AssetDetails_UEM!$A$3:$AH$1849,6,FALSE)</f>
        <v>Electrosurgical Units, Monopolar/Bipolar</v>
      </c>
      <c r="NHA102" s="528" t="s">
        <v>213</v>
      </c>
      <c r="NHB102" s="529" t="str">
        <f>VLOOKUP(NHA102,[14]AssetDetails_UEM!$A$3:$AH$1849,6,FALSE)</f>
        <v>Electrosurgical Units, Monopolar/Bipolar</v>
      </c>
      <c r="NHC102" s="528" t="s">
        <v>213</v>
      </c>
      <c r="NHD102" s="529" t="str">
        <f>VLOOKUP(NHC102,[14]AssetDetails_UEM!$A$3:$AH$1849,6,FALSE)</f>
        <v>Electrosurgical Units, Monopolar/Bipolar</v>
      </c>
      <c r="NHE102" s="528" t="s">
        <v>213</v>
      </c>
      <c r="NHF102" s="529" t="str">
        <f>VLOOKUP(NHE102,[14]AssetDetails_UEM!$A$3:$AH$1849,6,FALSE)</f>
        <v>Electrosurgical Units, Monopolar/Bipolar</v>
      </c>
      <c r="NHG102" s="528" t="s">
        <v>213</v>
      </c>
      <c r="NHH102" s="529" t="str">
        <f>VLOOKUP(NHG102,[14]AssetDetails_UEM!$A$3:$AH$1849,6,FALSE)</f>
        <v>Electrosurgical Units, Monopolar/Bipolar</v>
      </c>
      <c r="NHI102" s="528" t="s">
        <v>213</v>
      </c>
      <c r="NHJ102" s="529" t="str">
        <f>VLOOKUP(NHI102,[14]AssetDetails_UEM!$A$3:$AH$1849,6,FALSE)</f>
        <v>Electrosurgical Units, Monopolar/Bipolar</v>
      </c>
      <c r="NHK102" s="528" t="s">
        <v>213</v>
      </c>
      <c r="NHL102" s="529" t="str">
        <f>VLOOKUP(NHK102,[14]AssetDetails_UEM!$A$3:$AH$1849,6,FALSE)</f>
        <v>Electrosurgical Units, Monopolar/Bipolar</v>
      </c>
      <c r="NHM102" s="528" t="s">
        <v>213</v>
      </c>
      <c r="NHN102" s="529" t="str">
        <f>VLOOKUP(NHM102,[14]AssetDetails_UEM!$A$3:$AH$1849,6,FALSE)</f>
        <v>Electrosurgical Units, Monopolar/Bipolar</v>
      </c>
      <c r="NHO102" s="528" t="s">
        <v>213</v>
      </c>
      <c r="NHP102" s="529" t="str">
        <f>VLOOKUP(NHO102,[14]AssetDetails_UEM!$A$3:$AH$1849,6,FALSE)</f>
        <v>Electrosurgical Units, Monopolar/Bipolar</v>
      </c>
      <c r="NHQ102" s="528" t="s">
        <v>213</v>
      </c>
      <c r="NHR102" s="529" t="str">
        <f>VLOOKUP(NHQ102,[14]AssetDetails_UEM!$A$3:$AH$1849,6,FALSE)</f>
        <v>Electrosurgical Units, Monopolar/Bipolar</v>
      </c>
      <c r="NHS102" s="528" t="s">
        <v>213</v>
      </c>
      <c r="NHT102" s="529" t="str">
        <f>VLOOKUP(NHS102,[14]AssetDetails_UEM!$A$3:$AH$1849,6,FALSE)</f>
        <v>Electrosurgical Units, Monopolar/Bipolar</v>
      </c>
      <c r="NHU102" s="528" t="s">
        <v>213</v>
      </c>
      <c r="NHV102" s="529" t="str">
        <f>VLOOKUP(NHU102,[14]AssetDetails_UEM!$A$3:$AH$1849,6,FALSE)</f>
        <v>Electrosurgical Units, Monopolar/Bipolar</v>
      </c>
      <c r="NHW102" s="528" t="s">
        <v>213</v>
      </c>
      <c r="NHX102" s="529" t="str">
        <f>VLOOKUP(NHW102,[14]AssetDetails_UEM!$A$3:$AH$1849,6,FALSE)</f>
        <v>Electrosurgical Units, Monopolar/Bipolar</v>
      </c>
      <c r="NHY102" s="528" t="s">
        <v>213</v>
      </c>
      <c r="NHZ102" s="529" t="str">
        <f>VLOOKUP(NHY102,[14]AssetDetails_UEM!$A$3:$AH$1849,6,FALSE)</f>
        <v>Electrosurgical Units, Monopolar/Bipolar</v>
      </c>
      <c r="NIA102" s="528" t="s">
        <v>213</v>
      </c>
      <c r="NIB102" s="529" t="str">
        <f>VLOOKUP(NIA102,[14]AssetDetails_UEM!$A$3:$AH$1849,6,FALSE)</f>
        <v>Electrosurgical Units, Monopolar/Bipolar</v>
      </c>
      <c r="NIC102" s="528" t="s">
        <v>213</v>
      </c>
      <c r="NID102" s="529" t="str">
        <f>VLOOKUP(NIC102,[14]AssetDetails_UEM!$A$3:$AH$1849,6,FALSE)</f>
        <v>Electrosurgical Units, Monopolar/Bipolar</v>
      </c>
      <c r="NIE102" s="528" t="s">
        <v>213</v>
      </c>
      <c r="NIF102" s="529" t="str">
        <f>VLOOKUP(NIE102,[14]AssetDetails_UEM!$A$3:$AH$1849,6,FALSE)</f>
        <v>Electrosurgical Units, Monopolar/Bipolar</v>
      </c>
      <c r="NIG102" s="528" t="s">
        <v>213</v>
      </c>
      <c r="NIH102" s="529" t="str">
        <f>VLOOKUP(NIG102,[14]AssetDetails_UEM!$A$3:$AH$1849,6,FALSE)</f>
        <v>Electrosurgical Units, Monopolar/Bipolar</v>
      </c>
      <c r="NII102" s="528" t="s">
        <v>213</v>
      </c>
      <c r="NIJ102" s="529" t="str">
        <f>VLOOKUP(NII102,[14]AssetDetails_UEM!$A$3:$AH$1849,6,FALSE)</f>
        <v>Electrosurgical Units, Monopolar/Bipolar</v>
      </c>
      <c r="NIK102" s="528" t="s">
        <v>213</v>
      </c>
      <c r="NIL102" s="529" t="str">
        <f>VLOOKUP(NIK102,[14]AssetDetails_UEM!$A$3:$AH$1849,6,FALSE)</f>
        <v>Electrosurgical Units, Monopolar/Bipolar</v>
      </c>
      <c r="NIM102" s="528" t="s">
        <v>213</v>
      </c>
      <c r="NIN102" s="529" t="str">
        <f>VLOOKUP(NIM102,[14]AssetDetails_UEM!$A$3:$AH$1849,6,FALSE)</f>
        <v>Electrosurgical Units, Monopolar/Bipolar</v>
      </c>
      <c r="NIO102" s="528" t="s">
        <v>213</v>
      </c>
      <c r="NIP102" s="529" t="str">
        <f>VLOOKUP(NIO102,[14]AssetDetails_UEM!$A$3:$AH$1849,6,FALSE)</f>
        <v>Electrosurgical Units, Monopolar/Bipolar</v>
      </c>
      <c r="NIQ102" s="528" t="s">
        <v>213</v>
      </c>
      <c r="NIR102" s="529" t="str">
        <f>VLOOKUP(NIQ102,[14]AssetDetails_UEM!$A$3:$AH$1849,6,FALSE)</f>
        <v>Electrosurgical Units, Monopolar/Bipolar</v>
      </c>
      <c r="NIS102" s="528" t="s">
        <v>213</v>
      </c>
      <c r="NIT102" s="529" t="str">
        <f>VLOOKUP(NIS102,[14]AssetDetails_UEM!$A$3:$AH$1849,6,FALSE)</f>
        <v>Electrosurgical Units, Monopolar/Bipolar</v>
      </c>
      <c r="NIU102" s="528" t="s">
        <v>213</v>
      </c>
      <c r="NIV102" s="529" t="str">
        <f>VLOOKUP(NIU102,[14]AssetDetails_UEM!$A$3:$AH$1849,6,FALSE)</f>
        <v>Electrosurgical Units, Monopolar/Bipolar</v>
      </c>
      <c r="NIW102" s="528" t="s">
        <v>213</v>
      </c>
      <c r="NIX102" s="529" t="str">
        <f>VLOOKUP(NIW102,[14]AssetDetails_UEM!$A$3:$AH$1849,6,FALSE)</f>
        <v>Electrosurgical Units, Monopolar/Bipolar</v>
      </c>
      <c r="NIY102" s="528" t="s">
        <v>213</v>
      </c>
      <c r="NIZ102" s="529" t="str">
        <f>VLOOKUP(NIY102,[14]AssetDetails_UEM!$A$3:$AH$1849,6,FALSE)</f>
        <v>Electrosurgical Units, Monopolar/Bipolar</v>
      </c>
      <c r="NJA102" s="528" t="s">
        <v>213</v>
      </c>
      <c r="NJB102" s="529" t="str">
        <f>VLOOKUP(NJA102,[14]AssetDetails_UEM!$A$3:$AH$1849,6,FALSE)</f>
        <v>Electrosurgical Units, Monopolar/Bipolar</v>
      </c>
      <c r="NJC102" s="528" t="s">
        <v>213</v>
      </c>
      <c r="NJD102" s="529" t="str">
        <f>VLOOKUP(NJC102,[14]AssetDetails_UEM!$A$3:$AH$1849,6,FALSE)</f>
        <v>Electrosurgical Units, Monopolar/Bipolar</v>
      </c>
      <c r="NJE102" s="528" t="s">
        <v>213</v>
      </c>
      <c r="NJF102" s="529" t="str">
        <f>VLOOKUP(NJE102,[14]AssetDetails_UEM!$A$3:$AH$1849,6,FALSE)</f>
        <v>Electrosurgical Units, Monopolar/Bipolar</v>
      </c>
      <c r="NJG102" s="528" t="s">
        <v>213</v>
      </c>
      <c r="NJH102" s="529" t="str">
        <f>VLOOKUP(NJG102,[14]AssetDetails_UEM!$A$3:$AH$1849,6,FALSE)</f>
        <v>Electrosurgical Units, Monopolar/Bipolar</v>
      </c>
      <c r="NJI102" s="528" t="s">
        <v>213</v>
      </c>
      <c r="NJJ102" s="529" t="str">
        <f>VLOOKUP(NJI102,[14]AssetDetails_UEM!$A$3:$AH$1849,6,FALSE)</f>
        <v>Electrosurgical Units, Monopolar/Bipolar</v>
      </c>
      <c r="NJK102" s="528" t="s">
        <v>213</v>
      </c>
      <c r="NJL102" s="529" t="str">
        <f>VLOOKUP(NJK102,[14]AssetDetails_UEM!$A$3:$AH$1849,6,FALSE)</f>
        <v>Electrosurgical Units, Monopolar/Bipolar</v>
      </c>
      <c r="NJM102" s="528" t="s">
        <v>213</v>
      </c>
      <c r="NJN102" s="529" t="str">
        <f>VLOOKUP(NJM102,[14]AssetDetails_UEM!$A$3:$AH$1849,6,FALSE)</f>
        <v>Electrosurgical Units, Monopolar/Bipolar</v>
      </c>
      <c r="NJO102" s="528" t="s">
        <v>213</v>
      </c>
      <c r="NJP102" s="529" t="str">
        <f>VLOOKUP(NJO102,[14]AssetDetails_UEM!$A$3:$AH$1849,6,FALSE)</f>
        <v>Electrosurgical Units, Monopolar/Bipolar</v>
      </c>
      <c r="NJQ102" s="528" t="s">
        <v>213</v>
      </c>
      <c r="NJR102" s="529" t="str">
        <f>VLOOKUP(NJQ102,[14]AssetDetails_UEM!$A$3:$AH$1849,6,FALSE)</f>
        <v>Electrosurgical Units, Monopolar/Bipolar</v>
      </c>
      <c r="NJS102" s="528" t="s">
        <v>213</v>
      </c>
      <c r="NJT102" s="529" t="str">
        <f>VLOOKUP(NJS102,[14]AssetDetails_UEM!$A$3:$AH$1849,6,FALSE)</f>
        <v>Electrosurgical Units, Monopolar/Bipolar</v>
      </c>
      <c r="NJU102" s="528" t="s">
        <v>213</v>
      </c>
      <c r="NJV102" s="529" t="str">
        <f>VLOOKUP(NJU102,[14]AssetDetails_UEM!$A$3:$AH$1849,6,FALSE)</f>
        <v>Electrosurgical Units, Monopolar/Bipolar</v>
      </c>
      <c r="NJW102" s="528" t="s">
        <v>213</v>
      </c>
      <c r="NJX102" s="529" t="str">
        <f>VLOOKUP(NJW102,[14]AssetDetails_UEM!$A$3:$AH$1849,6,FALSE)</f>
        <v>Electrosurgical Units, Monopolar/Bipolar</v>
      </c>
      <c r="NJY102" s="528" t="s">
        <v>213</v>
      </c>
      <c r="NJZ102" s="529" t="str">
        <f>VLOOKUP(NJY102,[14]AssetDetails_UEM!$A$3:$AH$1849,6,FALSE)</f>
        <v>Electrosurgical Units, Monopolar/Bipolar</v>
      </c>
      <c r="NKA102" s="528" t="s">
        <v>213</v>
      </c>
      <c r="NKB102" s="529" t="str">
        <f>VLOOKUP(NKA102,[14]AssetDetails_UEM!$A$3:$AH$1849,6,FALSE)</f>
        <v>Electrosurgical Units, Monopolar/Bipolar</v>
      </c>
      <c r="NKC102" s="528" t="s">
        <v>213</v>
      </c>
      <c r="NKD102" s="529" t="str">
        <f>VLOOKUP(NKC102,[14]AssetDetails_UEM!$A$3:$AH$1849,6,FALSE)</f>
        <v>Electrosurgical Units, Monopolar/Bipolar</v>
      </c>
      <c r="NKE102" s="528" t="s">
        <v>213</v>
      </c>
      <c r="NKF102" s="529" t="str">
        <f>VLOOKUP(NKE102,[14]AssetDetails_UEM!$A$3:$AH$1849,6,FALSE)</f>
        <v>Electrosurgical Units, Monopolar/Bipolar</v>
      </c>
      <c r="NKG102" s="528" t="s">
        <v>213</v>
      </c>
      <c r="NKH102" s="529" t="str">
        <f>VLOOKUP(NKG102,[14]AssetDetails_UEM!$A$3:$AH$1849,6,FALSE)</f>
        <v>Electrosurgical Units, Monopolar/Bipolar</v>
      </c>
      <c r="NKI102" s="528" t="s">
        <v>213</v>
      </c>
      <c r="NKJ102" s="529" t="str">
        <f>VLOOKUP(NKI102,[14]AssetDetails_UEM!$A$3:$AH$1849,6,FALSE)</f>
        <v>Electrosurgical Units, Monopolar/Bipolar</v>
      </c>
      <c r="NKK102" s="528" t="s">
        <v>213</v>
      </c>
      <c r="NKL102" s="529" t="str">
        <f>VLOOKUP(NKK102,[14]AssetDetails_UEM!$A$3:$AH$1849,6,FALSE)</f>
        <v>Electrosurgical Units, Monopolar/Bipolar</v>
      </c>
      <c r="NKM102" s="528" t="s">
        <v>213</v>
      </c>
      <c r="NKN102" s="529" t="str">
        <f>VLOOKUP(NKM102,[14]AssetDetails_UEM!$A$3:$AH$1849,6,FALSE)</f>
        <v>Electrosurgical Units, Monopolar/Bipolar</v>
      </c>
      <c r="NKO102" s="528" t="s">
        <v>213</v>
      </c>
      <c r="NKP102" s="529" t="str">
        <f>VLOOKUP(NKO102,[14]AssetDetails_UEM!$A$3:$AH$1849,6,FALSE)</f>
        <v>Electrosurgical Units, Monopolar/Bipolar</v>
      </c>
      <c r="NKQ102" s="528" t="s">
        <v>213</v>
      </c>
      <c r="NKR102" s="529" t="str">
        <f>VLOOKUP(NKQ102,[14]AssetDetails_UEM!$A$3:$AH$1849,6,FALSE)</f>
        <v>Electrosurgical Units, Monopolar/Bipolar</v>
      </c>
      <c r="NKS102" s="528" t="s">
        <v>213</v>
      </c>
      <c r="NKT102" s="529" t="str">
        <f>VLOOKUP(NKS102,[14]AssetDetails_UEM!$A$3:$AH$1849,6,FALSE)</f>
        <v>Electrosurgical Units, Monopolar/Bipolar</v>
      </c>
      <c r="NKU102" s="528" t="s">
        <v>213</v>
      </c>
      <c r="NKV102" s="529" t="str">
        <f>VLOOKUP(NKU102,[14]AssetDetails_UEM!$A$3:$AH$1849,6,FALSE)</f>
        <v>Electrosurgical Units, Monopolar/Bipolar</v>
      </c>
      <c r="NKW102" s="528" t="s">
        <v>213</v>
      </c>
      <c r="NKX102" s="529" t="str">
        <f>VLOOKUP(NKW102,[14]AssetDetails_UEM!$A$3:$AH$1849,6,FALSE)</f>
        <v>Electrosurgical Units, Monopolar/Bipolar</v>
      </c>
      <c r="NKY102" s="528" t="s">
        <v>213</v>
      </c>
      <c r="NKZ102" s="529" t="str">
        <f>VLOOKUP(NKY102,[14]AssetDetails_UEM!$A$3:$AH$1849,6,FALSE)</f>
        <v>Electrosurgical Units, Monopolar/Bipolar</v>
      </c>
      <c r="NLA102" s="528" t="s">
        <v>213</v>
      </c>
      <c r="NLB102" s="529" t="str">
        <f>VLOOKUP(NLA102,[14]AssetDetails_UEM!$A$3:$AH$1849,6,FALSE)</f>
        <v>Electrosurgical Units, Monopolar/Bipolar</v>
      </c>
      <c r="NLC102" s="528" t="s">
        <v>213</v>
      </c>
      <c r="NLD102" s="529" t="str">
        <f>VLOOKUP(NLC102,[14]AssetDetails_UEM!$A$3:$AH$1849,6,FALSE)</f>
        <v>Electrosurgical Units, Monopolar/Bipolar</v>
      </c>
      <c r="NLE102" s="528" t="s">
        <v>213</v>
      </c>
      <c r="NLF102" s="529" t="str">
        <f>VLOOKUP(NLE102,[14]AssetDetails_UEM!$A$3:$AH$1849,6,FALSE)</f>
        <v>Electrosurgical Units, Monopolar/Bipolar</v>
      </c>
      <c r="NLG102" s="528" t="s">
        <v>213</v>
      </c>
      <c r="NLH102" s="529" t="str">
        <f>VLOOKUP(NLG102,[14]AssetDetails_UEM!$A$3:$AH$1849,6,FALSE)</f>
        <v>Electrosurgical Units, Monopolar/Bipolar</v>
      </c>
      <c r="NLI102" s="528" t="s">
        <v>213</v>
      </c>
      <c r="NLJ102" s="529" t="str">
        <f>VLOOKUP(NLI102,[14]AssetDetails_UEM!$A$3:$AH$1849,6,FALSE)</f>
        <v>Electrosurgical Units, Monopolar/Bipolar</v>
      </c>
      <c r="NLK102" s="528" t="s">
        <v>213</v>
      </c>
      <c r="NLL102" s="529" t="str">
        <f>VLOOKUP(NLK102,[14]AssetDetails_UEM!$A$3:$AH$1849,6,FALSE)</f>
        <v>Electrosurgical Units, Monopolar/Bipolar</v>
      </c>
      <c r="NLM102" s="528" t="s">
        <v>213</v>
      </c>
      <c r="NLN102" s="529" t="str">
        <f>VLOOKUP(NLM102,[14]AssetDetails_UEM!$A$3:$AH$1849,6,FALSE)</f>
        <v>Electrosurgical Units, Monopolar/Bipolar</v>
      </c>
      <c r="NLO102" s="528" t="s">
        <v>213</v>
      </c>
      <c r="NLP102" s="529" t="str">
        <f>VLOOKUP(NLO102,[14]AssetDetails_UEM!$A$3:$AH$1849,6,FALSE)</f>
        <v>Electrosurgical Units, Monopolar/Bipolar</v>
      </c>
      <c r="NLQ102" s="528" t="s">
        <v>213</v>
      </c>
      <c r="NLR102" s="529" t="str">
        <f>VLOOKUP(NLQ102,[14]AssetDetails_UEM!$A$3:$AH$1849,6,FALSE)</f>
        <v>Electrosurgical Units, Monopolar/Bipolar</v>
      </c>
      <c r="NLS102" s="528" t="s">
        <v>213</v>
      </c>
      <c r="NLT102" s="529" t="str">
        <f>VLOOKUP(NLS102,[14]AssetDetails_UEM!$A$3:$AH$1849,6,FALSE)</f>
        <v>Electrosurgical Units, Monopolar/Bipolar</v>
      </c>
      <c r="NLU102" s="528" t="s">
        <v>213</v>
      </c>
      <c r="NLV102" s="529" t="str">
        <f>VLOOKUP(NLU102,[14]AssetDetails_UEM!$A$3:$AH$1849,6,FALSE)</f>
        <v>Electrosurgical Units, Monopolar/Bipolar</v>
      </c>
      <c r="NLW102" s="528" t="s">
        <v>213</v>
      </c>
      <c r="NLX102" s="529" t="str">
        <f>VLOOKUP(NLW102,[14]AssetDetails_UEM!$A$3:$AH$1849,6,FALSE)</f>
        <v>Electrosurgical Units, Monopolar/Bipolar</v>
      </c>
      <c r="NLY102" s="528" t="s">
        <v>213</v>
      </c>
      <c r="NLZ102" s="529" t="str">
        <f>VLOOKUP(NLY102,[14]AssetDetails_UEM!$A$3:$AH$1849,6,FALSE)</f>
        <v>Electrosurgical Units, Monopolar/Bipolar</v>
      </c>
      <c r="NMA102" s="528" t="s">
        <v>213</v>
      </c>
      <c r="NMB102" s="529" t="str">
        <f>VLOOKUP(NMA102,[14]AssetDetails_UEM!$A$3:$AH$1849,6,FALSE)</f>
        <v>Electrosurgical Units, Monopolar/Bipolar</v>
      </c>
      <c r="NMC102" s="528" t="s">
        <v>213</v>
      </c>
      <c r="NMD102" s="529" t="str">
        <f>VLOOKUP(NMC102,[14]AssetDetails_UEM!$A$3:$AH$1849,6,FALSE)</f>
        <v>Electrosurgical Units, Monopolar/Bipolar</v>
      </c>
      <c r="NME102" s="528" t="s">
        <v>213</v>
      </c>
      <c r="NMF102" s="529" t="str">
        <f>VLOOKUP(NME102,[14]AssetDetails_UEM!$A$3:$AH$1849,6,FALSE)</f>
        <v>Electrosurgical Units, Monopolar/Bipolar</v>
      </c>
      <c r="NMG102" s="528" t="s">
        <v>213</v>
      </c>
      <c r="NMH102" s="529" t="str">
        <f>VLOOKUP(NMG102,[14]AssetDetails_UEM!$A$3:$AH$1849,6,FALSE)</f>
        <v>Electrosurgical Units, Monopolar/Bipolar</v>
      </c>
      <c r="NMI102" s="528" t="s">
        <v>213</v>
      </c>
      <c r="NMJ102" s="529" t="str">
        <f>VLOOKUP(NMI102,[14]AssetDetails_UEM!$A$3:$AH$1849,6,FALSE)</f>
        <v>Electrosurgical Units, Monopolar/Bipolar</v>
      </c>
      <c r="NMK102" s="528" t="s">
        <v>213</v>
      </c>
      <c r="NML102" s="529" t="str">
        <f>VLOOKUP(NMK102,[14]AssetDetails_UEM!$A$3:$AH$1849,6,FALSE)</f>
        <v>Electrosurgical Units, Monopolar/Bipolar</v>
      </c>
      <c r="NMM102" s="528" t="s">
        <v>213</v>
      </c>
      <c r="NMN102" s="529" t="str">
        <f>VLOOKUP(NMM102,[14]AssetDetails_UEM!$A$3:$AH$1849,6,FALSE)</f>
        <v>Electrosurgical Units, Monopolar/Bipolar</v>
      </c>
      <c r="NMO102" s="528" t="s">
        <v>213</v>
      </c>
      <c r="NMP102" s="529" t="str">
        <f>VLOOKUP(NMO102,[14]AssetDetails_UEM!$A$3:$AH$1849,6,FALSE)</f>
        <v>Electrosurgical Units, Monopolar/Bipolar</v>
      </c>
      <c r="NMQ102" s="528" t="s">
        <v>213</v>
      </c>
      <c r="NMR102" s="529" t="str">
        <f>VLOOKUP(NMQ102,[14]AssetDetails_UEM!$A$3:$AH$1849,6,FALSE)</f>
        <v>Electrosurgical Units, Monopolar/Bipolar</v>
      </c>
      <c r="NMS102" s="528" t="s">
        <v>213</v>
      </c>
      <c r="NMT102" s="529" t="str">
        <f>VLOOKUP(NMS102,[14]AssetDetails_UEM!$A$3:$AH$1849,6,FALSE)</f>
        <v>Electrosurgical Units, Monopolar/Bipolar</v>
      </c>
      <c r="NMU102" s="528" t="s">
        <v>213</v>
      </c>
      <c r="NMV102" s="529" t="str">
        <f>VLOOKUP(NMU102,[14]AssetDetails_UEM!$A$3:$AH$1849,6,FALSE)</f>
        <v>Electrosurgical Units, Monopolar/Bipolar</v>
      </c>
      <c r="NMW102" s="528" t="s">
        <v>213</v>
      </c>
      <c r="NMX102" s="529" t="str">
        <f>VLOOKUP(NMW102,[14]AssetDetails_UEM!$A$3:$AH$1849,6,FALSE)</f>
        <v>Electrosurgical Units, Monopolar/Bipolar</v>
      </c>
      <c r="NMY102" s="528" t="s">
        <v>213</v>
      </c>
      <c r="NMZ102" s="529" t="str">
        <f>VLOOKUP(NMY102,[14]AssetDetails_UEM!$A$3:$AH$1849,6,FALSE)</f>
        <v>Electrosurgical Units, Monopolar/Bipolar</v>
      </c>
      <c r="NNA102" s="528" t="s">
        <v>213</v>
      </c>
      <c r="NNB102" s="529" t="str">
        <f>VLOOKUP(NNA102,[14]AssetDetails_UEM!$A$3:$AH$1849,6,FALSE)</f>
        <v>Electrosurgical Units, Monopolar/Bipolar</v>
      </c>
      <c r="NNC102" s="528" t="s">
        <v>213</v>
      </c>
      <c r="NND102" s="529" t="str">
        <f>VLOOKUP(NNC102,[14]AssetDetails_UEM!$A$3:$AH$1849,6,FALSE)</f>
        <v>Electrosurgical Units, Monopolar/Bipolar</v>
      </c>
      <c r="NNE102" s="528" t="s">
        <v>213</v>
      </c>
      <c r="NNF102" s="529" t="str">
        <f>VLOOKUP(NNE102,[14]AssetDetails_UEM!$A$3:$AH$1849,6,FALSE)</f>
        <v>Electrosurgical Units, Monopolar/Bipolar</v>
      </c>
      <c r="NNG102" s="528" t="s">
        <v>213</v>
      </c>
      <c r="NNH102" s="529" t="str">
        <f>VLOOKUP(NNG102,[14]AssetDetails_UEM!$A$3:$AH$1849,6,FALSE)</f>
        <v>Electrosurgical Units, Monopolar/Bipolar</v>
      </c>
      <c r="NNI102" s="528" t="s">
        <v>213</v>
      </c>
      <c r="NNJ102" s="529" t="str">
        <f>VLOOKUP(NNI102,[14]AssetDetails_UEM!$A$3:$AH$1849,6,FALSE)</f>
        <v>Electrosurgical Units, Monopolar/Bipolar</v>
      </c>
      <c r="NNK102" s="528" t="s">
        <v>213</v>
      </c>
      <c r="NNL102" s="529" t="str">
        <f>VLOOKUP(NNK102,[14]AssetDetails_UEM!$A$3:$AH$1849,6,FALSE)</f>
        <v>Electrosurgical Units, Monopolar/Bipolar</v>
      </c>
      <c r="NNM102" s="528" t="s">
        <v>213</v>
      </c>
      <c r="NNN102" s="529" t="str">
        <f>VLOOKUP(NNM102,[14]AssetDetails_UEM!$A$3:$AH$1849,6,FALSE)</f>
        <v>Electrosurgical Units, Monopolar/Bipolar</v>
      </c>
      <c r="NNO102" s="528" t="s">
        <v>213</v>
      </c>
      <c r="NNP102" s="529" t="str">
        <f>VLOOKUP(NNO102,[14]AssetDetails_UEM!$A$3:$AH$1849,6,FALSE)</f>
        <v>Electrosurgical Units, Monopolar/Bipolar</v>
      </c>
      <c r="NNQ102" s="528" t="s">
        <v>213</v>
      </c>
      <c r="NNR102" s="529" t="str">
        <f>VLOOKUP(NNQ102,[14]AssetDetails_UEM!$A$3:$AH$1849,6,FALSE)</f>
        <v>Electrosurgical Units, Monopolar/Bipolar</v>
      </c>
      <c r="NNS102" s="528" t="s">
        <v>213</v>
      </c>
      <c r="NNT102" s="529" t="str">
        <f>VLOOKUP(NNS102,[14]AssetDetails_UEM!$A$3:$AH$1849,6,FALSE)</f>
        <v>Electrosurgical Units, Monopolar/Bipolar</v>
      </c>
      <c r="NNU102" s="528" t="s">
        <v>213</v>
      </c>
      <c r="NNV102" s="529" t="str">
        <f>VLOOKUP(NNU102,[14]AssetDetails_UEM!$A$3:$AH$1849,6,FALSE)</f>
        <v>Electrosurgical Units, Monopolar/Bipolar</v>
      </c>
      <c r="NNW102" s="528" t="s">
        <v>213</v>
      </c>
      <c r="NNX102" s="529" t="str">
        <f>VLOOKUP(NNW102,[14]AssetDetails_UEM!$A$3:$AH$1849,6,FALSE)</f>
        <v>Electrosurgical Units, Monopolar/Bipolar</v>
      </c>
      <c r="NNY102" s="528" t="s">
        <v>213</v>
      </c>
      <c r="NNZ102" s="529" t="str">
        <f>VLOOKUP(NNY102,[14]AssetDetails_UEM!$A$3:$AH$1849,6,FALSE)</f>
        <v>Electrosurgical Units, Monopolar/Bipolar</v>
      </c>
      <c r="NOA102" s="528" t="s">
        <v>213</v>
      </c>
      <c r="NOB102" s="529" t="str">
        <f>VLOOKUP(NOA102,[14]AssetDetails_UEM!$A$3:$AH$1849,6,FALSE)</f>
        <v>Electrosurgical Units, Monopolar/Bipolar</v>
      </c>
      <c r="NOC102" s="528" t="s">
        <v>213</v>
      </c>
      <c r="NOD102" s="529" t="str">
        <f>VLOOKUP(NOC102,[14]AssetDetails_UEM!$A$3:$AH$1849,6,FALSE)</f>
        <v>Electrosurgical Units, Monopolar/Bipolar</v>
      </c>
      <c r="NOE102" s="528" t="s">
        <v>213</v>
      </c>
      <c r="NOF102" s="529" t="str">
        <f>VLOOKUP(NOE102,[14]AssetDetails_UEM!$A$3:$AH$1849,6,FALSE)</f>
        <v>Electrosurgical Units, Monopolar/Bipolar</v>
      </c>
      <c r="NOG102" s="528" t="s">
        <v>213</v>
      </c>
      <c r="NOH102" s="529" t="str">
        <f>VLOOKUP(NOG102,[14]AssetDetails_UEM!$A$3:$AH$1849,6,FALSE)</f>
        <v>Electrosurgical Units, Monopolar/Bipolar</v>
      </c>
      <c r="NOI102" s="528" t="s">
        <v>213</v>
      </c>
      <c r="NOJ102" s="529" t="str">
        <f>VLOOKUP(NOI102,[14]AssetDetails_UEM!$A$3:$AH$1849,6,FALSE)</f>
        <v>Electrosurgical Units, Monopolar/Bipolar</v>
      </c>
      <c r="NOK102" s="528" t="s">
        <v>213</v>
      </c>
      <c r="NOL102" s="529" t="str">
        <f>VLOOKUP(NOK102,[14]AssetDetails_UEM!$A$3:$AH$1849,6,FALSE)</f>
        <v>Electrosurgical Units, Monopolar/Bipolar</v>
      </c>
      <c r="NOM102" s="528" t="s">
        <v>213</v>
      </c>
      <c r="NON102" s="529" t="str">
        <f>VLOOKUP(NOM102,[14]AssetDetails_UEM!$A$3:$AH$1849,6,FALSE)</f>
        <v>Electrosurgical Units, Monopolar/Bipolar</v>
      </c>
      <c r="NOO102" s="528" t="s">
        <v>213</v>
      </c>
      <c r="NOP102" s="529" t="str">
        <f>VLOOKUP(NOO102,[14]AssetDetails_UEM!$A$3:$AH$1849,6,FALSE)</f>
        <v>Electrosurgical Units, Monopolar/Bipolar</v>
      </c>
      <c r="NOQ102" s="528" t="s">
        <v>213</v>
      </c>
      <c r="NOR102" s="529" t="str">
        <f>VLOOKUP(NOQ102,[14]AssetDetails_UEM!$A$3:$AH$1849,6,FALSE)</f>
        <v>Electrosurgical Units, Monopolar/Bipolar</v>
      </c>
      <c r="NOS102" s="528" t="s">
        <v>213</v>
      </c>
      <c r="NOT102" s="529" t="str">
        <f>VLOOKUP(NOS102,[14]AssetDetails_UEM!$A$3:$AH$1849,6,FALSE)</f>
        <v>Electrosurgical Units, Monopolar/Bipolar</v>
      </c>
      <c r="NOU102" s="528" t="s">
        <v>213</v>
      </c>
      <c r="NOV102" s="529" t="str">
        <f>VLOOKUP(NOU102,[14]AssetDetails_UEM!$A$3:$AH$1849,6,FALSE)</f>
        <v>Electrosurgical Units, Monopolar/Bipolar</v>
      </c>
      <c r="NOW102" s="528" t="s">
        <v>213</v>
      </c>
      <c r="NOX102" s="529" t="str">
        <f>VLOOKUP(NOW102,[14]AssetDetails_UEM!$A$3:$AH$1849,6,FALSE)</f>
        <v>Electrosurgical Units, Monopolar/Bipolar</v>
      </c>
      <c r="NOY102" s="528" t="s">
        <v>213</v>
      </c>
      <c r="NOZ102" s="529" t="str">
        <f>VLOOKUP(NOY102,[14]AssetDetails_UEM!$A$3:$AH$1849,6,FALSE)</f>
        <v>Electrosurgical Units, Monopolar/Bipolar</v>
      </c>
      <c r="NPA102" s="528" t="s">
        <v>213</v>
      </c>
      <c r="NPB102" s="529" t="str">
        <f>VLOOKUP(NPA102,[14]AssetDetails_UEM!$A$3:$AH$1849,6,FALSE)</f>
        <v>Electrosurgical Units, Monopolar/Bipolar</v>
      </c>
      <c r="NPC102" s="528" t="s">
        <v>213</v>
      </c>
      <c r="NPD102" s="529" t="str">
        <f>VLOOKUP(NPC102,[14]AssetDetails_UEM!$A$3:$AH$1849,6,FALSE)</f>
        <v>Electrosurgical Units, Monopolar/Bipolar</v>
      </c>
      <c r="NPE102" s="528" t="s">
        <v>213</v>
      </c>
      <c r="NPF102" s="529" t="str">
        <f>VLOOKUP(NPE102,[14]AssetDetails_UEM!$A$3:$AH$1849,6,FALSE)</f>
        <v>Electrosurgical Units, Monopolar/Bipolar</v>
      </c>
      <c r="NPG102" s="528" t="s">
        <v>213</v>
      </c>
      <c r="NPH102" s="529" t="str">
        <f>VLOOKUP(NPG102,[14]AssetDetails_UEM!$A$3:$AH$1849,6,FALSE)</f>
        <v>Electrosurgical Units, Monopolar/Bipolar</v>
      </c>
      <c r="NPI102" s="528" t="s">
        <v>213</v>
      </c>
      <c r="NPJ102" s="529" t="str">
        <f>VLOOKUP(NPI102,[14]AssetDetails_UEM!$A$3:$AH$1849,6,FALSE)</f>
        <v>Electrosurgical Units, Monopolar/Bipolar</v>
      </c>
      <c r="NPK102" s="528" t="s">
        <v>213</v>
      </c>
      <c r="NPL102" s="529" t="str">
        <f>VLOOKUP(NPK102,[14]AssetDetails_UEM!$A$3:$AH$1849,6,FALSE)</f>
        <v>Electrosurgical Units, Monopolar/Bipolar</v>
      </c>
      <c r="NPM102" s="528" t="s">
        <v>213</v>
      </c>
      <c r="NPN102" s="529" t="str">
        <f>VLOOKUP(NPM102,[14]AssetDetails_UEM!$A$3:$AH$1849,6,FALSE)</f>
        <v>Electrosurgical Units, Monopolar/Bipolar</v>
      </c>
      <c r="NPO102" s="528" t="s">
        <v>213</v>
      </c>
      <c r="NPP102" s="529" t="str">
        <f>VLOOKUP(NPO102,[14]AssetDetails_UEM!$A$3:$AH$1849,6,FALSE)</f>
        <v>Electrosurgical Units, Monopolar/Bipolar</v>
      </c>
      <c r="NPQ102" s="528" t="s">
        <v>213</v>
      </c>
      <c r="NPR102" s="529" t="str">
        <f>VLOOKUP(NPQ102,[14]AssetDetails_UEM!$A$3:$AH$1849,6,FALSE)</f>
        <v>Electrosurgical Units, Monopolar/Bipolar</v>
      </c>
      <c r="NPS102" s="528" t="s">
        <v>213</v>
      </c>
      <c r="NPT102" s="529" t="str">
        <f>VLOOKUP(NPS102,[14]AssetDetails_UEM!$A$3:$AH$1849,6,FALSE)</f>
        <v>Electrosurgical Units, Monopolar/Bipolar</v>
      </c>
      <c r="NPU102" s="528" t="s">
        <v>213</v>
      </c>
      <c r="NPV102" s="529" t="str">
        <f>VLOOKUP(NPU102,[14]AssetDetails_UEM!$A$3:$AH$1849,6,FALSE)</f>
        <v>Electrosurgical Units, Monopolar/Bipolar</v>
      </c>
      <c r="NPW102" s="528" t="s">
        <v>213</v>
      </c>
      <c r="NPX102" s="529" t="str">
        <f>VLOOKUP(NPW102,[14]AssetDetails_UEM!$A$3:$AH$1849,6,FALSE)</f>
        <v>Electrosurgical Units, Monopolar/Bipolar</v>
      </c>
      <c r="NPY102" s="528" t="s">
        <v>213</v>
      </c>
      <c r="NPZ102" s="529" t="str">
        <f>VLOOKUP(NPY102,[14]AssetDetails_UEM!$A$3:$AH$1849,6,FALSE)</f>
        <v>Electrosurgical Units, Monopolar/Bipolar</v>
      </c>
      <c r="NQA102" s="528" t="s">
        <v>213</v>
      </c>
      <c r="NQB102" s="529" t="str">
        <f>VLOOKUP(NQA102,[14]AssetDetails_UEM!$A$3:$AH$1849,6,FALSE)</f>
        <v>Electrosurgical Units, Monopolar/Bipolar</v>
      </c>
      <c r="NQC102" s="528" t="s">
        <v>213</v>
      </c>
      <c r="NQD102" s="529" t="str">
        <f>VLOOKUP(NQC102,[14]AssetDetails_UEM!$A$3:$AH$1849,6,FALSE)</f>
        <v>Electrosurgical Units, Monopolar/Bipolar</v>
      </c>
      <c r="NQE102" s="528" t="s">
        <v>213</v>
      </c>
      <c r="NQF102" s="529" t="str">
        <f>VLOOKUP(NQE102,[14]AssetDetails_UEM!$A$3:$AH$1849,6,FALSE)</f>
        <v>Electrosurgical Units, Monopolar/Bipolar</v>
      </c>
      <c r="NQG102" s="528" t="s">
        <v>213</v>
      </c>
      <c r="NQH102" s="529" t="str">
        <f>VLOOKUP(NQG102,[14]AssetDetails_UEM!$A$3:$AH$1849,6,FALSE)</f>
        <v>Electrosurgical Units, Monopolar/Bipolar</v>
      </c>
      <c r="NQI102" s="528" t="s">
        <v>213</v>
      </c>
      <c r="NQJ102" s="529" t="str">
        <f>VLOOKUP(NQI102,[14]AssetDetails_UEM!$A$3:$AH$1849,6,FALSE)</f>
        <v>Electrosurgical Units, Monopolar/Bipolar</v>
      </c>
      <c r="NQK102" s="528" t="s">
        <v>213</v>
      </c>
      <c r="NQL102" s="529" t="str">
        <f>VLOOKUP(NQK102,[14]AssetDetails_UEM!$A$3:$AH$1849,6,FALSE)</f>
        <v>Electrosurgical Units, Monopolar/Bipolar</v>
      </c>
      <c r="NQM102" s="528" t="s">
        <v>213</v>
      </c>
      <c r="NQN102" s="529" t="str">
        <f>VLOOKUP(NQM102,[14]AssetDetails_UEM!$A$3:$AH$1849,6,FALSE)</f>
        <v>Electrosurgical Units, Monopolar/Bipolar</v>
      </c>
      <c r="NQO102" s="528" t="s">
        <v>213</v>
      </c>
      <c r="NQP102" s="529" t="str">
        <f>VLOOKUP(NQO102,[14]AssetDetails_UEM!$A$3:$AH$1849,6,FALSE)</f>
        <v>Electrosurgical Units, Monopolar/Bipolar</v>
      </c>
      <c r="NQQ102" s="528" t="s">
        <v>213</v>
      </c>
      <c r="NQR102" s="529" t="str">
        <f>VLOOKUP(NQQ102,[14]AssetDetails_UEM!$A$3:$AH$1849,6,FALSE)</f>
        <v>Electrosurgical Units, Monopolar/Bipolar</v>
      </c>
      <c r="NQS102" s="528" t="s">
        <v>213</v>
      </c>
      <c r="NQT102" s="529" t="str">
        <f>VLOOKUP(NQS102,[14]AssetDetails_UEM!$A$3:$AH$1849,6,FALSE)</f>
        <v>Electrosurgical Units, Monopolar/Bipolar</v>
      </c>
      <c r="NQU102" s="528" t="s">
        <v>213</v>
      </c>
      <c r="NQV102" s="529" t="str">
        <f>VLOOKUP(NQU102,[14]AssetDetails_UEM!$A$3:$AH$1849,6,FALSE)</f>
        <v>Electrosurgical Units, Monopolar/Bipolar</v>
      </c>
      <c r="NQW102" s="528" t="s">
        <v>213</v>
      </c>
      <c r="NQX102" s="529" t="str">
        <f>VLOOKUP(NQW102,[14]AssetDetails_UEM!$A$3:$AH$1849,6,FALSE)</f>
        <v>Electrosurgical Units, Monopolar/Bipolar</v>
      </c>
      <c r="NQY102" s="528" t="s">
        <v>213</v>
      </c>
      <c r="NQZ102" s="529" t="str">
        <f>VLOOKUP(NQY102,[14]AssetDetails_UEM!$A$3:$AH$1849,6,FALSE)</f>
        <v>Electrosurgical Units, Monopolar/Bipolar</v>
      </c>
      <c r="NRA102" s="528" t="s">
        <v>213</v>
      </c>
      <c r="NRB102" s="529" t="str">
        <f>VLOOKUP(NRA102,[14]AssetDetails_UEM!$A$3:$AH$1849,6,FALSE)</f>
        <v>Electrosurgical Units, Monopolar/Bipolar</v>
      </c>
      <c r="NRC102" s="528" t="s">
        <v>213</v>
      </c>
      <c r="NRD102" s="529" t="str">
        <f>VLOOKUP(NRC102,[14]AssetDetails_UEM!$A$3:$AH$1849,6,FALSE)</f>
        <v>Electrosurgical Units, Monopolar/Bipolar</v>
      </c>
      <c r="NRE102" s="528" t="s">
        <v>213</v>
      </c>
      <c r="NRF102" s="529" t="str">
        <f>VLOOKUP(NRE102,[14]AssetDetails_UEM!$A$3:$AH$1849,6,FALSE)</f>
        <v>Electrosurgical Units, Monopolar/Bipolar</v>
      </c>
      <c r="NRG102" s="528" t="s">
        <v>213</v>
      </c>
      <c r="NRH102" s="529" t="str">
        <f>VLOOKUP(NRG102,[14]AssetDetails_UEM!$A$3:$AH$1849,6,FALSE)</f>
        <v>Electrosurgical Units, Monopolar/Bipolar</v>
      </c>
      <c r="NRI102" s="528" t="s">
        <v>213</v>
      </c>
      <c r="NRJ102" s="529" t="str">
        <f>VLOOKUP(NRI102,[14]AssetDetails_UEM!$A$3:$AH$1849,6,FALSE)</f>
        <v>Electrosurgical Units, Monopolar/Bipolar</v>
      </c>
      <c r="NRK102" s="528" t="s">
        <v>213</v>
      </c>
      <c r="NRL102" s="529" t="str">
        <f>VLOOKUP(NRK102,[14]AssetDetails_UEM!$A$3:$AH$1849,6,FALSE)</f>
        <v>Electrosurgical Units, Monopolar/Bipolar</v>
      </c>
      <c r="NRM102" s="528" t="s">
        <v>213</v>
      </c>
      <c r="NRN102" s="529" t="str">
        <f>VLOOKUP(NRM102,[14]AssetDetails_UEM!$A$3:$AH$1849,6,FALSE)</f>
        <v>Electrosurgical Units, Monopolar/Bipolar</v>
      </c>
      <c r="NRO102" s="528" t="s">
        <v>213</v>
      </c>
      <c r="NRP102" s="529" t="str">
        <f>VLOOKUP(NRO102,[14]AssetDetails_UEM!$A$3:$AH$1849,6,FALSE)</f>
        <v>Electrosurgical Units, Monopolar/Bipolar</v>
      </c>
      <c r="NRQ102" s="528" t="s">
        <v>213</v>
      </c>
      <c r="NRR102" s="529" t="str">
        <f>VLOOKUP(NRQ102,[14]AssetDetails_UEM!$A$3:$AH$1849,6,FALSE)</f>
        <v>Electrosurgical Units, Monopolar/Bipolar</v>
      </c>
      <c r="NRS102" s="528" t="s">
        <v>213</v>
      </c>
      <c r="NRT102" s="529" t="str">
        <f>VLOOKUP(NRS102,[14]AssetDetails_UEM!$A$3:$AH$1849,6,FALSE)</f>
        <v>Electrosurgical Units, Monopolar/Bipolar</v>
      </c>
      <c r="NRU102" s="528" t="s">
        <v>213</v>
      </c>
      <c r="NRV102" s="529" t="str">
        <f>VLOOKUP(NRU102,[14]AssetDetails_UEM!$A$3:$AH$1849,6,FALSE)</f>
        <v>Electrosurgical Units, Monopolar/Bipolar</v>
      </c>
      <c r="NRW102" s="528" t="s">
        <v>213</v>
      </c>
      <c r="NRX102" s="529" t="str">
        <f>VLOOKUP(NRW102,[14]AssetDetails_UEM!$A$3:$AH$1849,6,FALSE)</f>
        <v>Electrosurgical Units, Monopolar/Bipolar</v>
      </c>
      <c r="NRY102" s="528" t="s">
        <v>213</v>
      </c>
      <c r="NRZ102" s="529" t="str">
        <f>VLOOKUP(NRY102,[14]AssetDetails_UEM!$A$3:$AH$1849,6,FALSE)</f>
        <v>Electrosurgical Units, Monopolar/Bipolar</v>
      </c>
      <c r="NSA102" s="528" t="s">
        <v>213</v>
      </c>
      <c r="NSB102" s="529" t="str">
        <f>VLOOKUP(NSA102,[14]AssetDetails_UEM!$A$3:$AH$1849,6,FALSE)</f>
        <v>Electrosurgical Units, Monopolar/Bipolar</v>
      </c>
      <c r="NSC102" s="528" t="s">
        <v>213</v>
      </c>
      <c r="NSD102" s="529" t="str">
        <f>VLOOKUP(NSC102,[14]AssetDetails_UEM!$A$3:$AH$1849,6,FALSE)</f>
        <v>Electrosurgical Units, Monopolar/Bipolar</v>
      </c>
      <c r="NSE102" s="528" t="s">
        <v>213</v>
      </c>
      <c r="NSF102" s="529" t="str">
        <f>VLOOKUP(NSE102,[14]AssetDetails_UEM!$A$3:$AH$1849,6,FALSE)</f>
        <v>Electrosurgical Units, Monopolar/Bipolar</v>
      </c>
      <c r="NSG102" s="528" t="s">
        <v>213</v>
      </c>
      <c r="NSH102" s="529" t="str">
        <f>VLOOKUP(NSG102,[14]AssetDetails_UEM!$A$3:$AH$1849,6,FALSE)</f>
        <v>Electrosurgical Units, Monopolar/Bipolar</v>
      </c>
      <c r="NSI102" s="528" t="s">
        <v>213</v>
      </c>
      <c r="NSJ102" s="529" t="str">
        <f>VLOOKUP(NSI102,[14]AssetDetails_UEM!$A$3:$AH$1849,6,FALSE)</f>
        <v>Electrosurgical Units, Monopolar/Bipolar</v>
      </c>
      <c r="NSK102" s="528" t="s">
        <v>213</v>
      </c>
      <c r="NSL102" s="529" t="str">
        <f>VLOOKUP(NSK102,[14]AssetDetails_UEM!$A$3:$AH$1849,6,FALSE)</f>
        <v>Electrosurgical Units, Monopolar/Bipolar</v>
      </c>
      <c r="NSM102" s="528" t="s">
        <v>213</v>
      </c>
      <c r="NSN102" s="529" t="str">
        <f>VLOOKUP(NSM102,[14]AssetDetails_UEM!$A$3:$AH$1849,6,FALSE)</f>
        <v>Electrosurgical Units, Monopolar/Bipolar</v>
      </c>
      <c r="NSO102" s="528" t="s">
        <v>213</v>
      </c>
      <c r="NSP102" s="529" t="str">
        <f>VLOOKUP(NSO102,[14]AssetDetails_UEM!$A$3:$AH$1849,6,FALSE)</f>
        <v>Electrosurgical Units, Monopolar/Bipolar</v>
      </c>
      <c r="NSQ102" s="528" t="s">
        <v>213</v>
      </c>
      <c r="NSR102" s="529" t="str">
        <f>VLOOKUP(NSQ102,[14]AssetDetails_UEM!$A$3:$AH$1849,6,FALSE)</f>
        <v>Electrosurgical Units, Monopolar/Bipolar</v>
      </c>
      <c r="NSS102" s="528" t="s">
        <v>213</v>
      </c>
      <c r="NST102" s="529" t="str">
        <f>VLOOKUP(NSS102,[14]AssetDetails_UEM!$A$3:$AH$1849,6,FALSE)</f>
        <v>Electrosurgical Units, Monopolar/Bipolar</v>
      </c>
      <c r="NSU102" s="528" t="s">
        <v>213</v>
      </c>
      <c r="NSV102" s="529" t="str">
        <f>VLOOKUP(NSU102,[14]AssetDetails_UEM!$A$3:$AH$1849,6,FALSE)</f>
        <v>Electrosurgical Units, Monopolar/Bipolar</v>
      </c>
      <c r="NSW102" s="528" t="s">
        <v>213</v>
      </c>
      <c r="NSX102" s="529" t="str">
        <f>VLOOKUP(NSW102,[14]AssetDetails_UEM!$A$3:$AH$1849,6,FALSE)</f>
        <v>Electrosurgical Units, Monopolar/Bipolar</v>
      </c>
      <c r="NSY102" s="528" t="s">
        <v>213</v>
      </c>
      <c r="NSZ102" s="529" t="str">
        <f>VLOOKUP(NSY102,[14]AssetDetails_UEM!$A$3:$AH$1849,6,FALSE)</f>
        <v>Electrosurgical Units, Monopolar/Bipolar</v>
      </c>
      <c r="NTA102" s="528" t="s">
        <v>213</v>
      </c>
      <c r="NTB102" s="529" t="str">
        <f>VLOOKUP(NTA102,[14]AssetDetails_UEM!$A$3:$AH$1849,6,FALSE)</f>
        <v>Electrosurgical Units, Monopolar/Bipolar</v>
      </c>
      <c r="NTC102" s="528" t="s">
        <v>213</v>
      </c>
      <c r="NTD102" s="529" t="str">
        <f>VLOOKUP(NTC102,[14]AssetDetails_UEM!$A$3:$AH$1849,6,FALSE)</f>
        <v>Electrosurgical Units, Monopolar/Bipolar</v>
      </c>
      <c r="NTE102" s="528" t="s">
        <v>213</v>
      </c>
      <c r="NTF102" s="529" t="str">
        <f>VLOOKUP(NTE102,[14]AssetDetails_UEM!$A$3:$AH$1849,6,FALSE)</f>
        <v>Electrosurgical Units, Monopolar/Bipolar</v>
      </c>
      <c r="NTG102" s="528" t="s">
        <v>213</v>
      </c>
      <c r="NTH102" s="529" t="str">
        <f>VLOOKUP(NTG102,[14]AssetDetails_UEM!$A$3:$AH$1849,6,FALSE)</f>
        <v>Electrosurgical Units, Monopolar/Bipolar</v>
      </c>
      <c r="NTI102" s="528" t="s">
        <v>213</v>
      </c>
      <c r="NTJ102" s="529" t="str">
        <f>VLOOKUP(NTI102,[14]AssetDetails_UEM!$A$3:$AH$1849,6,FALSE)</f>
        <v>Electrosurgical Units, Monopolar/Bipolar</v>
      </c>
      <c r="NTK102" s="528" t="s">
        <v>213</v>
      </c>
      <c r="NTL102" s="529" t="str">
        <f>VLOOKUP(NTK102,[14]AssetDetails_UEM!$A$3:$AH$1849,6,FALSE)</f>
        <v>Electrosurgical Units, Monopolar/Bipolar</v>
      </c>
      <c r="NTM102" s="528" t="s">
        <v>213</v>
      </c>
      <c r="NTN102" s="529" t="str">
        <f>VLOOKUP(NTM102,[14]AssetDetails_UEM!$A$3:$AH$1849,6,FALSE)</f>
        <v>Electrosurgical Units, Monopolar/Bipolar</v>
      </c>
      <c r="NTO102" s="528" t="s">
        <v>213</v>
      </c>
      <c r="NTP102" s="529" t="str">
        <f>VLOOKUP(NTO102,[14]AssetDetails_UEM!$A$3:$AH$1849,6,FALSE)</f>
        <v>Electrosurgical Units, Monopolar/Bipolar</v>
      </c>
      <c r="NTQ102" s="528" t="s">
        <v>213</v>
      </c>
      <c r="NTR102" s="529" t="str">
        <f>VLOOKUP(NTQ102,[14]AssetDetails_UEM!$A$3:$AH$1849,6,FALSE)</f>
        <v>Electrosurgical Units, Monopolar/Bipolar</v>
      </c>
      <c r="NTS102" s="528" t="s">
        <v>213</v>
      </c>
      <c r="NTT102" s="529" t="str">
        <f>VLOOKUP(NTS102,[14]AssetDetails_UEM!$A$3:$AH$1849,6,FALSE)</f>
        <v>Electrosurgical Units, Monopolar/Bipolar</v>
      </c>
      <c r="NTU102" s="528" t="s">
        <v>213</v>
      </c>
      <c r="NTV102" s="529" t="str">
        <f>VLOOKUP(NTU102,[14]AssetDetails_UEM!$A$3:$AH$1849,6,FALSE)</f>
        <v>Electrosurgical Units, Monopolar/Bipolar</v>
      </c>
      <c r="NTW102" s="528" t="s">
        <v>213</v>
      </c>
      <c r="NTX102" s="529" t="str">
        <f>VLOOKUP(NTW102,[14]AssetDetails_UEM!$A$3:$AH$1849,6,FALSE)</f>
        <v>Electrosurgical Units, Monopolar/Bipolar</v>
      </c>
      <c r="NTY102" s="528" t="s">
        <v>213</v>
      </c>
      <c r="NTZ102" s="529" t="str">
        <f>VLOOKUP(NTY102,[14]AssetDetails_UEM!$A$3:$AH$1849,6,FALSE)</f>
        <v>Electrosurgical Units, Monopolar/Bipolar</v>
      </c>
      <c r="NUA102" s="528" t="s">
        <v>213</v>
      </c>
      <c r="NUB102" s="529" t="str">
        <f>VLOOKUP(NUA102,[14]AssetDetails_UEM!$A$3:$AH$1849,6,FALSE)</f>
        <v>Electrosurgical Units, Monopolar/Bipolar</v>
      </c>
      <c r="NUC102" s="528" t="s">
        <v>213</v>
      </c>
      <c r="NUD102" s="529" t="str">
        <f>VLOOKUP(NUC102,[14]AssetDetails_UEM!$A$3:$AH$1849,6,FALSE)</f>
        <v>Electrosurgical Units, Monopolar/Bipolar</v>
      </c>
      <c r="NUE102" s="528" t="s">
        <v>213</v>
      </c>
      <c r="NUF102" s="529" t="str">
        <f>VLOOKUP(NUE102,[14]AssetDetails_UEM!$A$3:$AH$1849,6,FALSE)</f>
        <v>Electrosurgical Units, Monopolar/Bipolar</v>
      </c>
      <c r="NUG102" s="528" t="s">
        <v>213</v>
      </c>
      <c r="NUH102" s="529" t="str">
        <f>VLOOKUP(NUG102,[14]AssetDetails_UEM!$A$3:$AH$1849,6,FALSE)</f>
        <v>Electrosurgical Units, Monopolar/Bipolar</v>
      </c>
      <c r="NUI102" s="528" t="s">
        <v>213</v>
      </c>
      <c r="NUJ102" s="529" t="str">
        <f>VLOOKUP(NUI102,[14]AssetDetails_UEM!$A$3:$AH$1849,6,FALSE)</f>
        <v>Electrosurgical Units, Monopolar/Bipolar</v>
      </c>
      <c r="NUK102" s="528" t="s">
        <v>213</v>
      </c>
      <c r="NUL102" s="529" t="str">
        <f>VLOOKUP(NUK102,[14]AssetDetails_UEM!$A$3:$AH$1849,6,FALSE)</f>
        <v>Electrosurgical Units, Monopolar/Bipolar</v>
      </c>
      <c r="NUM102" s="528" t="s">
        <v>213</v>
      </c>
      <c r="NUN102" s="529" t="str">
        <f>VLOOKUP(NUM102,[14]AssetDetails_UEM!$A$3:$AH$1849,6,FALSE)</f>
        <v>Electrosurgical Units, Monopolar/Bipolar</v>
      </c>
      <c r="NUO102" s="528" t="s">
        <v>213</v>
      </c>
      <c r="NUP102" s="529" t="str">
        <f>VLOOKUP(NUO102,[14]AssetDetails_UEM!$A$3:$AH$1849,6,FALSE)</f>
        <v>Electrosurgical Units, Monopolar/Bipolar</v>
      </c>
      <c r="NUQ102" s="528" t="s">
        <v>213</v>
      </c>
      <c r="NUR102" s="529" t="str">
        <f>VLOOKUP(NUQ102,[14]AssetDetails_UEM!$A$3:$AH$1849,6,FALSE)</f>
        <v>Electrosurgical Units, Monopolar/Bipolar</v>
      </c>
      <c r="NUS102" s="528" t="s">
        <v>213</v>
      </c>
      <c r="NUT102" s="529" t="str">
        <f>VLOOKUP(NUS102,[14]AssetDetails_UEM!$A$3:$AH$1849,6,FALSE)</f>
        <v>Electrosurgical Units, Monopolar/Bipolar</v>
      </c>
      <c r="NUU102" s="528" t="s">
        <v>213</v>
      </c>
      <c r="NUV102" s="529" t="str">
        <f>VLOOKUP(NUU102,[14]AssetDetails_UEM!$A$3:$AH$1849,6,FALSE)</f>
        <v>Electrosurgical Units, Monopolar/Bipolar</v>
      </c>
      <c r="NUW102" s="528" t="s">
        <v>213</v>
      </c>
      <c r="NUX102" s="529" t="str">
        <f>VLOOKUP(NUW102,[14]AssetDetails_UEM!$A$3:$AH$1849,6,FALSE)</f>
        <v>Electrosurgical Units, Monopolar/Bipolar</v>
      </c>
      <c r="NUY102" s="528" t="s">
        <v>213</v>
      </c>
      <c r="NUZ102" s="529" t="str">
        <f>VLOOKUP(NUY102,[14]AssetDetails_UEM!$A$3:$AH$1849,6,FALSE)</f>
        <v>Electrosurgical Units, Monopolar/Bipolar</v>
      </c>
      <c r="NVA102" s="528" t="s">
        <v>213</v>
      </c>
      <c r="NVB102" s="529" t="str">
        <f>VLOOKUP(NVA102,[14]AssetDetails_UEM!$A$3:$AH$1849,6,FALSE)</f>
        <v>Electrosurgical Units, Monopolar/Bipolar</v>
      </c>
      <c r="NVC102" s="528" t="s">
        <v>213</v>
      </c>
      <c r="NVD102" s="529" t="str">
        <f>VLOOKUP(NVC102,[14]AssetDetails_UEM!$A$3:$AH$1849,6,FALSE)</f>
        <v>Electrosurgical Units, Monopolar/Bipolar</v>
      </c>
      <c r="NVE102" s="528" t="s">
        <v>213</v>
      </c>
      <c r="NVF102" s="529" t="str">
        <f>VLOOKUP(NVE102,[14]AssetDetails_UEM!$A$3:$AH$1849,6,FALSE)</f>
        <v>Electrosurgical Units, Monopolar/Bipolar</v>
      </c>
      <c r="NVG102" s="528" t="s">
        <v>213</v>
      </c>
      <c r="NVH102" s="529" t="str">
        <f>VLOOKUP(NVG102,[14]AssetDetails_UEM!$A$3:$AH$1849,6,FALSE)</f>
        <v>Electrosurgical Units, Monopolar/Bipolar</v>
      </c>
      <c r="NVI102" s="528" t="s">
        <v>213</v>
      </c>
      <c r="NVJ102" s="529" t="str">
        <f>VLOOKUP(NVI102,[14]AssetDetails_UEM!$A$3:$AH$1849,6,FALSE)</f>
        <v>Electrosurgical Units, Monopolar/Bipolar</v>
      </c>
      <c r="NVK102" s="528" t="s">
        <v>213</v>
      </c>
      <c r="NVL102" s="529" t="str">
        <f>VLOOKUP(NVK102,[14]AssetDetails_UEM!$A$3:$AH$1849,6,FALSE)</f>
        <v>Electrosurgical Units, Monopolar/Bipolar</v>
      </c>
      <c r="NVM102" s="528" t="s">
        <v>213</v>
      </c>
      <c r="NVN102" s="529" t="str">
        <f>VLOOKUP(NVM102,[14]AssetDetails_UEM!$A$3:$AH$1849,6,FALSE)</f>
        <v>Electrosurgical Units, Monopolar/Bipolar</v>
      </c>
      <c r="NVO102" s="528" t="s">
        <v>213</v>
      </c>
      <c r="NVP102" s="529" t="str">
        <f>VLOOKUP(NVO102,[14]AssetDetails_UEM!$A$3:$AH$1849,6,FALSE)</f>
        <v>Electrosurgical Units, Monopolar/Bipolar</v>
      </c>
      <c r="NVQ102" s="528" t="s">
        <v>213</v>
      </c>
      <c r="NVR102" s="529" t="str">
        <f>VLOOKUP(NVQ102,[14]AssetDetails_UEM!$A$3:$AH$1849,6,FALSE)</f>
        <v>Electrosurgical Units, Monopolar/Bipolar</v>
      </c>
      <c r="NVS102" s="528" t="s">
        <v>213</v>
      </c>
      <c r="NVT102" s="529" t="str">
        <f>VLOOKUP(NVS102,[14]AssetDetails_UEM!$A$3:$AH$1849,6,FALSE)</f>
        <v>Electrosurgical Units, Monopolar/Bipolar</v>
      </c>
      <c r="NVU102" s="528" t="s">
        <v>213</v>
      </c>
      <c r="NVV102" s="529" t="str">
        <f>VLOOKUP(NVU102,[14]AssetDetails_UEM!$A$3:$AH$1849,6,FALSE)</f>
        <v>Electrosurgical Units, Monopolar/Bipolar</v>
      </c>
      <c r="NVW102" s="528" t="s">
        <v>213</v>
      </c>
      <c r="NVX102" s="529" t="str">
        <f>VLOOKUP(NVW102,[14]AssetDetails_UEM!$A$3:$AH$1849,6,FALSE)</f>
        <v>Electrosurgical Units, Monopolar/Bipolar</v>
      </c>
      <c r="NVY102" s="528" t="s">
        <v>213</v>
      </c>
      <c r="NVZ102" s="529" t="str">
        <f>VLOOKUP(NVY102,[14]AssetDetails_UEM!$A$3:$AH$1849,6,FALSE)</f>
        <v>Electrosurgical Units, Monopolar/Bipolar</v>
      </c>
      <c r="NWA102" s="528" t="s">
        <v>213</v>
      </c>
      <c r="NWB102" s="529" t="str">
        <f>VLOOKUP(NWA102,[14]AssetDetails_UEM!$A$3:$AH$1849,6,FALSE)</f>
        <v>Electrosurgical Units, Monopolar/Bipolar</v>
      </c>
      <c r="NWC102" s="528" t="s">
        <v>213</v>
      </c>
      <c r="NWD102" s="529" t="str">
        <f>VLOOKUP(NWC102,[14]AssetDetails_UEM!$A$3:$AH$1849,6,FALSE)</f>
        <v>Electrosurgical Units, Monopolar/Bipolar</v>
      </c>
      <c r="NWE102" s="528" t="s">
        <v>213</v>
      </c>
      <c r="NWF102" s="529" t="str">
        <f>VLOOKUP(NWE102,[14]AssetDetails_UEM!$A$3:$AH$1849,6,FALSE)</f>
        <v>Electrosurgical Units, Monopolar/Bipolar</v>
      </c>
      <c r="NWG102" s="528" t="s">
        <v>213</v>
      </c>
      <c r="NWH102" s="529" t="str">
        <f>VLOOKUP(NWG102,[14]AssetDetails_UEM!$A$3:$AH$1849,6,FALSE)</f>
        <v>Electrosurgical Units, Monopolar/Bipolar</v>
      </c>
      <c r="NWI102" s="528" t="s">
        <v>213</v>
      </c>
      <c r="NWJ102" s="529" t="str">
        <f>VLOOKUP(NWI102,[14]AssetDetails_UEM!$A$3:$AH$1849,6,FALSE)</f>
        <v>Electrosurgical Units, Monopolar/Bipolar</v>
      </c>
      <c r="NWK102" s="528" t="s">
        <v>213</v>
      </c>
      <c r="NWL102" s="529" t="str">
        <f>VLOOKUP(NWK102,[14]AssetDetails_UEM!$A$3:$AH$1849,6,FALSE)</f>
        <v>Electrosurgical Units, Monopolar/Bipolar</v>
      </c>
      <c r="NWM102" s="528" t="s">
        <v>213</v>
      </c>
      <c r="NWN102" s="529" t="str">
        <f>VLOOKUP(NWM102,[14]AssetDetails_UEM!$A$3:$AH$1849,6,FALSE)</f>
        <v>Electrosurgical Units, Monopolar/Bipolar</v>
      </c>
      <c r="NWO102" s="528" t="s">
        <v>213</v>
      </c>
      <c r="NWP102" s="529" t="str">
        <f>VLOOKUP(NWO102,[14]AssetDetails_UEM!$A$3:$AH$1849,6,FALSE)</f>
        <v>Electrosurgical Units, Monopolar/Bipolar</v>
      </c>
      <c r="NWQ102" s="528" t="s">
        <v>213</v>
      </c>
      <c r="NWR102" s="529" t="str">
        <f>VLOOKUP(NWQ102,[14]AssetDetails_UEM!$A$3:$AH$1849,6,FALSE)</f>
        <v>Electrosurgical Units, Monopolar/Bipolar</v>
      </c>
      <c r="NWS102" s="528" t="s">
        <v>213</v>
      </c>
      <c r="NWT102" s="529" t="str">
        <f>VLOOKUP(NWS102,[14]AssetDetails_UEM!$A$3:$AH$1849,6,FALSE)</f>
        <v>Electrosurgical Units, Monopolar/Bipolar</v>
      </c>
      <c r="NWU102" s="528" t="s">
        <v>213</v>
      </c>
      <c r="NWV102" s="529" t="str">
        <f>VLOOKUP(NWU102,[14]AssetDetails_UEM!$A$3:$AH$1849,6,FALSE)</f>
        <v>Electrosurgical Units, Monopolar/Bipolar</v>
      </c>
      <c r="NWW102" s="528" t="s">
        <v>213</v>
      </c>
      <c r="NWX102" s="529" t="str">
        <f>VLOOKUP(NWW102,[14]AssetDetails_UEM!$A$3:$AH$1849,6,FALSE)</f>
        <v>Electrosurgical Units, Monopolar/Bipolar</v>
      </c>
      <c r="NWY102" s="528" t="s">
        <v>213</v>
      </c>
      <c r="NWZ102" s="529" t="str">
        <f>VLOOKUP(NWY102,[14]AssetDetails_UEM!$A$3:$AH$1849,6,FALSE)</f>
        <v>Electrosurgical Units, Monopolar/Bipolar</v>
      </c>
      <c r="NXA102" s="528" t="s">
        <v>213</v>
      </c>
      <c r="NXB102" s="529" t="str">
        <f>VLOOKUP(NXA102,[14]AssetDetails_UEM!$A$3:$AH$1849,6,FALSE)</f>
        <v>Electrosurgical Units, Monopolar/Bipolar</v>
      </c>
      <c r="NXC102" s="528" t="s">
        <v>213</v>
      </c>
      <c r="NXD102" s="529" t="str">
        <f>VLOOKUP(NXC102,[14]AssetDetails_UEM!$A$3:$AH$1849,6,FALSE)</f>
        <v>Electrosurgical Units, Monopolar/Bipolar</v>
      </c>
      <c r="NXE102" s="528" t="s">
        <v>213</v>
      </c>
      <c r="NXF102" s="529" t="str">
        <f>VLOOKUP(NXE102,[14]AssetDetails_UEM!$A$3:$AH$1849,6,FALSE)</f>
        <v>Electrosurgical Units, Monopolar/Bipolar</v>
      </c>
      <c r="NXG102" s="528" t="s">
        <v>213</v>
      </c>
      <c r="NXH102" s="529" t="str">
        <f>VLOOKUP(NXG102,[14]AssetDetails_UEM!$A$3:$AH$1849,6,FALSE)</f>
        <v>Electrosurgical Units, Monopolar/Bipolar</v>
      </c>
      <c r="NXI102" s="528" t="s">
        <v>213</v>
      </c>
      <c r="NXJ102" s="529" t="str">
        <f>VLOOKUP(NXI102,[14]AssetDetails_UEM!$A$3:$AH$1849,6,FALSE)</f>
        <v>Electrosurgical Units, Monopolar/Bipolar</v>
      </c>
      <c r="NXK102" s="528" t="s">
        <v>213</v>
      </c>
      <c r="NXL102" s="529" t="str">
        <f>VLOOKUP(NXK102,[14]AssetDetails_UEM!$A$3:$AH$1849,6,FALSE)</f>
        <v>Electrosurgical Units, Monopolar/Bipolar</v>
      </c>
      <c r="NXM102" s="528" t="s">
        <v>213</v>
      </c>
      <c r="NXN102" s="529" t="str">
        <f>VLOOKUP(NXM102,[14]AssetDetails_UEM!$A$3:$AH$1849,6,FALSE)</f>
        <v>Electrosurgical Units, Monopolar/Bipolar</v>
      </c>
      <c r="NXO102" s="528" t="s">
        <v>213</v>
      </c>
      <c r="NXP102" s="529" t="str">
        <f>VLOOKUP(NXO102,[14]AssetDetails_UEM!$A$3:$AH$1849,6,FALSE)</f>
        <v>Electrosurgical Units, Monopolar/Bipolar</v>
      </c>
      <c r="NXQ102" s="528" t="s">
        <v>213</v>
      </c>
      <c r="NXR102" s="529" t="str">
        <f>VLOOKUP(NXQ102,[14]AssetDetails_UEM!$A$3:$AH$1849,6,FALSE)</f>
        <v>Electrosurgical Units, Monopolar/Bipolar</v>
      </c>
      <c r="NXS102" s="528" t="s">
        <v>213</v>
      </c>
      <c r="NXT102" s="529" t="str">
        <f>VLOOKUP(NXS102,[14]AssetDetails_UEM!$A$3:$AH$1849,6,FALSE)</f>
        <v>Electrosurgical Units, Monopolar/Bipolar</v>
      </c>
      <c r="NXU102" s="528" t="s">
        <v>213</v>
      </c>
      <c r="NXV102" s="529" t="str">
        <f>VLOOKUP(NXU102,[14]AssetDetails_UEM!$A$3:$AH$1849,6,FALSE)</f>
        <v>Electrosurgical Units, Monopolar/Bipolar</v>
      </c>
      <c r="NXW102" s="528" t="s">
        <v>213</v>
      </c>
      <c r="NXX102" s="529" t="str">
        <f>VLOOKUP(NXW102,[14]AssetDetails_UEM!$A$3:$AH$1849,6,FALSE)</f>
        <v>Electrosurgical Units, Monopolar/Bipolar</v>
      </c>
      <c r="NXY102" s="528" t="s">
        <v>213</v>
      </c>
      <c r="NXZ102" s="529" t="str">
        <f>VLOOKUP(NXY102,[14]AssetDetails_UEM!$A$3:$AH$1849,6,FALSE)</f>
        <v>Electrosurgical Units, Monopolar/Bipolar</v>
      </c>
      <c r="NYA102" s="528" t="s">
        <v>213</v>
      </c>
      <c r="NYB102" s="529" t="str">
        <f>VLOOKUP(NYA102,[14]AssetDetails_UEM!$A$3:$AH$1849,6,FALSE)</f>
        <v>Electrosurgical Units, Monopolar/Bipolar</v>
      </c>
      <c r="NYC102" s="528" t="s">
        <v>213</v>
      </c>
      <c r="NYD102" s="529" t="str">
        <f>VLOOKUP(NYC102,[14]AssetDetails_UEM!$A$3:$AH$1849,6,FALSE)</f>
        <v>Electrosurgical Units, Monopolar/Bipolar</v>
      </c>
      <c r="NYE102" s="528" t="s">
        <v>213</v>
      </c>
      <c r="NYF102" s="529" t="str">
        <f>VLOOKUP(NYE102,[14]AssetDetails_UEM!$A$3:$AH$1849,6,FALSE)</f>
        <v>Electrosurgical Units, Monopolar/Bipolar</v>
      </c>
      <c r="NYG102" s="528" t="s">
        <v>213</v>
      </c>
      <c r="NYH102" s="529" t="str">
        <f>VLOOKUP(NYG102,[14]AssetDetails_UEM!$A$3:$AH$1849,6,FALSE)</f>
        <v>Electrosurgical Units, Monopolar/Bipolar</v>
      </c>
      <c r="NYI102" s="528" t="s">
        <v>213</v>
      </c>
      <c r="NYJ102" s="529" t="str">
        <f>VLOOKUP(NYI102,[14]AssetDetails_UEM!$A$3:$AH$1849,6,FALSE)</f>
        <v>Electrosurgical Units, Monopolar/Bipolar</v>
      </c>
      <c r="NYK102" s="528" t="s">
        <v>213</v>
      </c>
      <c r="NYL102" s="529" t="str">
        <f>VLOOKUP(NYK102,[14]AssetDetails_UEM!$A$3:$AH$1849,6,FALSE)</f>
        <v>Electrosurgical Units, Monopolar/Bipolar</v>
      </c>
      <c r="NYM102" s="528" t="s">
        <v>213</v>
      </c>
      <c r="NYN102" s="529" t="str">
        <f>VLOOKUP(NYM102,[14]AssetDetails_UEM!$A$3:$AH$1849,6,FALSE)</f>
        <v>Electrosurgical Units, Monopolar/Bipolar</v>
      </c>
      <c r="NYO102" s="528" t="s">
        <v>213</v>
      </c>
      <c r="NYP102" s="529" t="str">
        <f>VLOOKUP(NYO102,[14]AssetDetails_UEM!$A$3:$AH$1849,6,FALSE)</f>
        <v>Electrosurgical Units, Monopolar/Bipolar</v>
      </c>
      <c r="NYQ102" s="528" t="s">
        <v>213</v>
      </c>
      <c r="NYR102" s="529" t="str">
        <f>VLOOKUP(NYQ102,[14]AssetDetails_UEM!$A$3:$AH$1849,6,FALSE)</f>
        <v>Electrosurgical Units, Monopolar/Bipolar</v>
      </c>
      <c r="NYS102" s="528" t="s">
        <v>213</v>
      </c>
      <c r="NYT102" s="529" t="str">
        <f>VLOOKUP(NYS102,[14]AssetDetails_UEM!$A$3:$AH$1849,6,FALSE)</f>
        <v>Electrosurgical Units, Monopolar/Bipolar</v>
      </c>
      <c r="NYU102" s="528" t="s">
        <v>213</v>
      </c>
      <c r="NYV102" s="529" t="str">
        <f>VLOOKUP(NYU102,[14]AssetDetails_UEM!$A$3:$AH$1849,6,FALSE)</f>
        <v>Electrosurgical Units, Monopolar/Bipolar</v>
      </c>
      <c r="NYW102" s="528" t="s">
        <v>213</v>
      </c>
      <c r="NYX102" s="529" t="str">
        <f>VLOOKUP(NYW102,[14]AssetDetails_UEM!$A$3:$AH$1849,6,FALSE)</f>
        <v>Electrosurgical Units, Monopolar/Bipolar</v>
      </c>
      <c r="NYY102" s="528" t="s">
        <v>213</v>
      </c>
      <c r="NYZ102" s="529" t="str">
        <f>VLOOKUP(NYY102,[14]AssetDetails_UEM!$A$3:$AH$1849,6,FALSE)</f>
        <v>Electrosurgical Units, Monopolar/Bipolar</v>
      </c>
      <c r="NZA102" s="528" t="s">
        <v>213</v>
      </c>
      <c r="NZB102" s="529" t="str">
        <f>VLOOKUP(NZA102,[14]AssetDetails_UEM!$A$3:$AH$1849,6,FALSE)</f>
        <v>Electrosurgical Units, Monopolar/Bipolar</v>
      </c>
      <c r="NZC102" s="528" t="s">
        <v>213</v>
      </c>
      <c r="NZD102" s="529" t="str">
        <f>VLOOKUP(NZC102,[14]AssetDetails_UEM!$A$3:$AH$1849,6,FALSE)</f>
        <v>Electrosurgical Units, Monopolar/Bipolar</v>
      </c>
      <c r="NZE102" s="528" t="s">
        <v>213</v>
      </c>
      <c r="NZF102" s="529" t="str">
        <f>VLOOKUP(NZE102,[14]AssetDetails_UEM!$A$3:$AH$1849,6,FALSE)</f>
        <v>Electrosurgical Units, Monopolar/Bipolar</v>
      </c>
      <c r="NZG102" s="528" t="s">
        <v>213</v>
      </c>
      <c r="NZH102" s="529" t="str">
        <f>VLOOKUP(NZG102,[14]AssetDetails_UEM!$A$3:$AH$1849,6,FALSE)</f>
        <v>Electrosurgical Units, Monopolar/Bipolar</v>
      </c>
      <c r="NZI102" s="528" t="s">
        <v>213</v>
      </c>
      <c r="NZJ102" s="529" t="str">
        <f>VLOOKUP(NZI102,[14]AssetDetails_UEM!$A$3:$AH$1849,6,FALSE)</f>
        <v>Electrosurgical Units, Monopolar/Bipolar</v>
      </c>
      <c r="NZK102" s="528" t="s">
        <v>213</v>
      </c>
      <c r="NZL102" s="529" t="str">
        <f>VLOOKUP(NZK102,[14]AssetDetails_UEM!$A$3:$AH$1849,6,FALSE)</f>
        <v>Electrosurgical Units, Monopolar/Bipolar</v>
      </c>
      <c r="NZM102" s="528" t="s">
        <v>213</v>
      </c>
      <c r="NZN102" s="529" t="str">
        <f>VLOOKUP(NZM102,[14]AssetDetails_UEM!$A$3:$AH$1849,6,FALSE)</f>
        <v>Electrosurgical Units, Monopolar/Bipolar</v>
      </c>
      <c r="NZO102" s="528" t="s">
        <v>213</v>
      </c>
      <c r="NZP102" s="529" t="str">
        <f>VLOOKUP(NZO102,[14]AssetDetails_UEM!$A$3:$AH$1849,6,FALSE)</f>
        <v>Electrosurgical Units, Monopolar/Bipolar</v>
      </c>
      <c r="NZQ102" s="528" t="s">
        <v>213</v>
      </c>
      <c r="NZR102" s="529" t="str">
        <f>VLOOKUP(NZQ102,[14]AssetDetails_UEM!$A$3:$AH$1849,6,FALSE)</f>
        <v>Electrosurgical Units, Monopolar/Bipolar</v>
      </c>
      <c r="NZS102" s="528" t="s">
        <v>213</v>
      </c>
      <c r="NZT102" s="529" t="str">
        <f>VLOOKUP(NZS102,[14]AssetDetails_UEM!$A$3:$AH$1849,6,FALSE)</f>
        <v>Electrosurgical Units, Monopolar/Bipolar</v>
      </c>
      <c r="NZU102" s="528" t="s">
        <v>213</v>
      </c>
      <c r="NZV102" s="529" t="str">
        <f>VLOOKUP(NZU102,[14]AssetDetails_UEM!$A$3:$AH$1849,6,FALSE)</f>
        <v>Electrosurgical Units, Monopolar/Bipolar</v>
      </c>
      <c r="NZW102" s="528" t="s">
        <v>213</v>
      </c>
      <c r="NZX102" s="529" t="str">
        <f>VLOOKUP(NZW102,[14]AssetDetails_UEM!$A$3:$AH$1849,6,FALSE)</f>
        <v>Electrosurgical Units, Monopolar/Bipolar</v>
      </c>
      <c r="NZY102" s="528" t="s">
        <v>213</v>
      </c>
      <c r="NZZ102" s="529" t="str">
        <f>VLOOKUP(NZY102,[14]AssetDetails_UEM!$A$3:$AH$1849,6,FALSE)</f>
        <v>Electrosurgical Units, Monopolar/Bipolar</v>
      </c>
      <c r="OAA102" s="528" t="s">
        <v>213</v>
      </c>
      <c r="OAB102" s="529" t="str">
        <f>VLOOKUP(OAA102,[14]AssetDetails_UEM!$A$3:$AH$1849,6,FALSE)</f>
        <v>Electrosurgical Units, Monopolar/Bipolar</v>
      </c>
      <c r="OAC102" s="528" t="s">
        <v>213</v>
      </c>
      <c r="OAD102" s="529" t="str">
        <f>VLOOKUP(OAC102,[14]AssetDetails_UEM!$A$3:$AH$1849,6,FALSE)</f>
        <v>Electrosurgical Units, Monopolar/Bipolar</v>
      </c>
      <c r="OAE102" s="528" t="s">
        <v>213</v>
      </c>
      <c r="OAF102" s="529" t="str">
        <f>VLOOKUP(OAE102,[14]AssetDetails_UEM!$A$3:$AH$1849,6,FALSE)</f>
        <v>Electrosurgical Units, Monopolar/Bipolar</v>
      </c>
      <c r="OAG102" s="528" t="s">
        <v>213</v>
      </c>
      <c r="OAH102" s="529" t="str">
        <f>VLOOKUP(OAG102,[14]AssetDetails_UEM!$A$3:$AH$1849,6,FALSE)</f>
        <v>Electrosurgical Units, Monopolar/Bipolar</v>
      </c>
      <c r="OAI102" s="528" t="s">
        <v>213</v>
      </c>
      <c r="OAJ102" s="529" t="str">
        <f>VLOOKUP(OAI102,[14]AssetDetails_UEM!$A$3:$AH$1849,6,FALSE)</f>
        <v>Electrosurgical Units, Monopolar/Bipolar</v>
      </c>
      <c r="OAK102" s="528" t="s">
        <v>213</v>
      </c>
      <c r="OAL102" s="529" t="str">
        <f>VLOOKUP(OAK102,[14]AssetDetails_UEM!$A$3:$AH$1849,6,FALSE)</f>
        <v>Electrosurgical Units, Monopolar/Bipolar</v>
      </c>
      <c r="OAM102" s="528" t="s">
        <v>213</v>
      </c>
      <c r="OAN102" s="529" t="str">
        <f>VLOOKUP(OAM102,[14]AssetDetails_UEM!$A$3:$AH$1849,6,FALSE)</f>
        <v>Electrosurgical Units, Monopolar/Bipolar</v>
      </c>
      <c r="OAO102" s="528" t="s">
        <v>213</v>
      </c>
      <c r="OAP102" s="529" t="str">
        <f>VLOOKUP(OAO102,[14]AssetDetails_UEM!$A$3:$AH$1849,6,FALSE)</f>
        <v>Electrosurgical Units, Monopolar/Bipolar</v>
      </c>
      <c r="OAQ102" s="528" t="s">
        <v>213</v>
      </c>
      <c r="OAR102" s="529" t="str">
        <f>VLOOKUP(OAQ102,[14]AssetDetails_UEM!$A$3:$AH$1849,6,FALSE)</f>
        <v>Electrosurgical Units, Monopolar/Bipolar</v>
      </c>
      <c r="OAS102" s="528" t="s">
        <v>213</v>
      </c>
      <c r="OAT102" s="529" t="str">
        <f>VLOOKUP(OAS102,[14]AssetDetails_UEM!$A$3:$AH$1849,6,FALSE)</f>
        <v>Electrosurgical Units, Monopolar/Bipolar</v>
      </c>
      <c r="OAU102" s="528" t="s">
        <v>213</v>
      </c>
      <c r="OAV102" s="529" t="str">
        <f>VLOOKUP(OAU102,[14]AssetDetails_UEM!$A$3:$AH$1849,6,FALSE)</f>
        <v>Electrosurgical Units, Monopolar/Bipolar</v>
      </c>
      <c r="OAW102" s="528" t="s">
        <v>213</v>
      </c>
      <c r="OAX102" s="529" t="str">
        <f>VLOOKUP(OAW102,[14]AssetDetails_UEM!$A$3:$AH$1849,6,FALSE)</f>
        <v>Electrosurgical Units, Monopolar/Bipolar</v>
      </c>
      <c r="OAY102" s="528" t="s">
        <v>213</v>
      </c>
      <c r="OAZ102" s="529" t="str">
        <f>VLOOKUP(OAY102,[14]AssetDetails_UEM!$A$3:$AH$1849,6,FALSE)</f>
        <v>Electrosurgical Units, Monopolar/Bipolar</v>
      </c>
      <c r="OBA102" s="528" t="s">
        <v>213</v>
      </c>
      <c r="OBB102" s="529" t="str">
        <f>VLOOKUP(OBA102,[14]AssetDetails_UEM!$A$3:$AH$1849,6,FALSE)</f>
        <v>Electrosurgical Units, Monopolar/Bipolar</v>
      </c>
      <c r="OBC102" s="528" t="s">
        <v>213</v>
      </c>
      <c r="OBD102" s="529" t="str">
        <f>VLOOKUP(OBC102,[14]AssetDetails_UEM!$A$3:$AH$1849,6,FALSE)</f>
        <v>Electrosurgical Units, Monopolar/Bipolar</v>
      </c>
      <c r="OBE102" s="528" t="s">
        <v>213</v>
      </c>
      <c r="OBF102" s="529" t="str">
        <f>VLOOKUP(OBE102,[14]AssetDetails_UEM!$A$3:$AH$1849,6,FALSE)</f>
        <v>Electrosurgical Units, Monopolar/Bipolar</v>
      </c>
      <c r="OBG102" s="528" t="s">
        <v>213</v>
      </c>
      <c r="OBH102" s="529" t="str">
        <f>VLOOKUP(OBG102,[14]AssetDetails_UEM!$A$3:$AH$1849,6,FALSE)</f>
        <v>Electrosurgical Units, Monopolar/Bipolar</v>
      </c>
      <c r="OBI102" s="528" t="s">
        <v>213</v>
      </c>
      <c r="OBJ102" s="529" t="str">
        <f>VLOOKUP(OBI102,[14]AssetDetails_UEM!$A$3:$AH$1849,6,FALSE)</f>
        <v>Electrosurgical Units, Monopolar/Bipolar</v>
      </c>
      <c r="OBK102" s="528" t="s">
        <v>213</v>
      </c>
      <c r="OBL102" s="529" t="str">
        <f>VLOOKUP(OBK102,[14]AssetDetails_UEM!$A$3:$AH$1849,6,FALSE)</f>
        <v>Electrosurgical Units, Monopolar/Bipolar</v>
      </c>
      <c r="OBM102" s="528" t="s">
        <v>213</v>
      </c>
      <c r="OBN102" s="529" t="str">
        <f>VLOOKUP(OBM102,[14]AssetDetails_UEM!$A$3:$AH$1849,6,FALSE)</f>
        <v>Electrosurgical Units, Monopolar/Bipolar</v>
      </c>
      <c r="OBO102" s="528" t="s">
        <v>213</v>
      </c>
      <c r="OBP102" s="529" t="str">
        <f>VLOOKUP(OBO102,[14]AssetDetails_UEM!$A$3:$AH$1849,6,FALSE)</f>
        <v>Electrosurgical Units, Monopolar/Bipolar</v>
      </c>
      <c r="OBQ102" s="528" t="s">
        <v>213</v>
      </c>
      <c r="OBR102" s="529" t="str">
        <f>VLOOKUP(OBQ102,[14]AssetDetails_UEM!$A$3:$AH$1849,6,FALSE)</f>
        <v>Electrosurgical Units, Monopolar/Bipolar</v>
      </c>
      <c r="OBS102" s="528" t="s">
        <v>213</v>
      </c>
      <c r="OBT102" s="529" t="str">
        <f>VLOOKUP(OBS102,[14]AssetDetails_UEM!$A$3:$AH$1849,6,FALSE)</f>
        <v>Electrosurgical Units, Monopolar/Bipolar</v>
      </c>
      <c r="OBU102" s="528" t="s">
        <v>213</v>
      </c>
      <c r="OBV102" s="529" t="str">
        <f>VLOOKUP(OBU102,[14]AssetDetails_UEM!$A$3:$AH$1849,6,FALSE)</f>
        <v>Electrosurgical Units, Monopolar/Bipolar</v>
      </c>
      <c r="OBW102" s="528" t="s">
        <v>213</v>
      </c>
      <c r="OBX102" s="529" t="str">
        <f>VLOOKUP(OBW102,[14]AssetDetails_UEM!$A$3:$AH$1849,6,FALSE)</f>
        <v>Electrosurgical Units, Monopolar/Bipolar</v>
      </c>
      <c r="OBY102" s="528" t="s">
        <v>213</v>
      </c>
      <c r="OBZ102" s="529" t="str">
        <f>VLOOKUP(OBY102,[14]AssetDetails_UEM!$A$3:$AH$1849,6,FALSE)</f>
        <v>Electrosurgical Units, Monopolar/Bipolar</v>
      </c>
      <c r="OCA102" s="528" t="s">
        <v>213</v>
      </c>
      <c r="OCB102" s="529" t="str">
        <f>VLOOKUP(OCA102,[14]AssetDetails_UEM!$A$3:$AH$1849,6,FALSE)</f>
        <v>Electrosurgical Units, Monopolar/Bipolar</v>
      </c>
      <c r="OCC102" s="528" t="s">
        <v>213</v>
      </c>
      <c r="OCD102" s="529" t="str">
        <f>VLOOKUP(OCC102,[14]AssetDetails_UEM!$A$3:$AH$1849,6,FALSE)</f>
        <v>Electrosurgical Units, Monopolar/Bipolar</v>
      </c>
      <c r="OCE102" s="528" t="s">
        <v>213</v>
      </c>
      <c r="OCF102" s="529" t="str">
        <f>VLOOKUP(OCE102,[14]AssetDetails_UEM!$A$3:$AH$1849,6,FALSE)</f>
        <v>Electrosurgical Units, Monopolar/Bipolar</v>
      </c>
      <c r="OCG102" s="528" t="s">
        <v>213</v>
      </c>
      <c r="OCH102" s="529" t="str">
        <f>VLOOKUP(OCG102,[14]AssetDetails_UEM!$A$3:$AH$1849,6,FALSE)</f>
        <v>Electrosurgical Units, Monopolar/Bipolar</v>
      </c>
      <c r="OCI102" s="528" t="s">
        <v>213</v>
      </c>
      <c r="OCJ102" s="529" t="str">
        <f>VLOOKUP(OCI102,[14]AssetDetails_UEM!$A$3:$AH$1849,6,FALSE)</f>
        <v>Electrosurgical Units, Monopolar/Bipolar</v>
      </c>
      <c r="OCK102" s="528" t="s">
        <v>213</v>
      </c>
      <c r="OCL102" s="529" t="str">
        <f>VLOOKUP(OCK102,[14]AssetDetails_UEM!$A$3:$AH$1849,6,FALSE)</f>
        <v>Electrosurgical Units, Monopolar/Bipolar</v>
      </c>
      <c r="OCM102" s="528" t="s">
        <v>213</v>
      </c>
      <c r="OCN102" s="529" t="str">
        <f>VLOOKUP(OCM102,[14]AssetDetails_UEM!$A$3:$AH$1849,6,FALSE)</f>
        <v>Electrosurgical Units, Monopolar/Bipolar</v>
      </c>
      <c r="OCO102" s="528" t="s">
        <v>213</v>
      </c>
      <c r="OCP102" s="529" t="str">
        <f>VLOOKUP(OCO102,[14]AssetDetails_UEM!$A$3:$AH$1849,6,FALSE)</f>
        <v>Electrosurgical Units, Monopolar/Bipolar</v>
      </c>
      <c r="OCQ102" s="528" t="s">
        <v>213</v>
      </c>
      <c r="OCR102" s="529" t="str">
        <f>VLOOKUP(OCQ102,[14]AssetDetails_UEM!$A$3:$AH$1849,6,FALSE)</f>
        <v>Electrosurgical Units, Monopolar/Bipolar</v>
      </c>
      <c r="OCS102" s="528" t="s">
        <v>213</v>
      </c>
      <c r="OCT102" s="529" t="str">
        <f>VLOOKUP(OCS102,[14]AssetDetails_UEM!$A$3:$AH$1849,6,FALSE)</f>
        <v>Electrosurgical Units, Monopolar/Bipolar</v>
      </c>
      <c r="OCU102" s="528" t="s">
        <v>213</v>
      </c>
      <c r="OCV102" s="529" t="str">
        <f>VLOOKUP(OCU102,[14]AssetDetails_UEM!$A$3:$AH$1849,6,FALSE)</f>
        <v>Electrosurgical Units, Monopolar/Bipolar</v>
      </c>
      <c r="OCW102" s="528" t="s">
        <v>213</v>
      </c>
      <c r="OCX102" s="529" t="str">
        <f>VLOOKUP(OCW102,[14]AssetDetails_UEM!$A$3:$AH$1849,6,FALSE)</f>
        <v>Electrosurgical Units, Monopolar/Bipolar</v>
      </c>
      <c r="OCY102" s="528" t="s">
        <v>213</v>
      </c>
      <c r="OCZ102" s="529" t="str">
        <f>VLOOKUP(OCY102,[14]AssetDetails_UEM!$A$3:$AH$1849,6,FALSE)</f>
        <v>Electrosurgical Units, Monopolar/Bipolar</v>
      </c>
      <c r="ODA102" s="528" t="s">
        <v>213</v>
      </c>
      <c r="ODB102" s="529" t="str">
        <f>VLOOKUP(ODA102,[14]AssetDetails_UEM!$A$3:$AH$1849,6,FALSE)</f>
        <v>Electrosurgical Units, Monopolar/Bipolar</v>
      </c>
      <c r="ODC102" s="528" t="s">
        <v>213</v>
      </c>
      <c r="ODD102" s="529" t="str">
        <f>VLOOKUP(ODC102,[14]AssetDetails_UEM!$A$3:$AH$1849,6,FALSE)</f>
        <v>Electrosurgical Units, Monopolar/Bipolar</v>
      </c>
      <c r="ODE102" s="528" t="s">
        <v>213</v>
      </c>
      <c r="ODF102" s="529" t="str">
        <f>VLOOKUP(ODE102,[14]AssetDetails_UEM!$A$3:$AH$1849,6,FALSE)</f>
        <v>Electrosurgical Units, Monopolar/Bipolar</v>
      </c>
      <c r="ODG102" s="528" t="s">
        <v>213</v>
      </c>
      <c r="ODH102" s="529" t="str">
        <f>VLOOKUP(ODG102,[14]AssetDetails_UEM!$A$3:$AH$1849,6,FALSE)</f>
        <v>Electrosurgical Units, Monopolar/Bipolar</v>
      </c>
      <c r="ODI102" s="528" t="s">
        <v>213</v>
      </c>
      <c r="ODJ102" s="529" t="str">
        <f>VLOOKUP(ODI102,[14]AssetDetails_UEM!$A$3:$AH$1849,6,FALSE)</f>
        <v>Electrosurgical Units, Monopolar/Bipolar</v>
      </c>
      <c r="ODK102" s="528" t="s">
        <v>213</v>
      </c>
      <c r="ODL102" s="529" t="str">
        <f>VLOOKUP(ODK102,[14]AssetDetails_UEM!$A$3:$AH$1849,6,FALSE)</f>
        <v>Electrosurgical Units, Monopolar/Bipolar</v>
      </c>
      <c r="ODM102" s="528" t="s">
        <v>213</v>
      </c>
      <c r="ODN102" s="529" t="str">
        <f>VLOOKUP(ODM102,[14]AssetDetails_UEM!$A$3:$AH$1849,6,FALSE)</f>
        <v>Electrosurgical Units, Monopolar/Bipolar</v>
      </c>
      <c r="ODO102" s="528" t="s">
        <v>213</v>
      </c>
      <c r="ODP102" s="529" t="str">
        <f>VLOOKUP(ODO102,[14]AssetDetails_UEM!$A$3:$AH$1849,6,FALSE)</f>
        <v>Electrosurgical Units, Monopolar/Bipolar</v>
      </c>
      <c r="ODQ102" s="528" t="s">
        <v>213</v>
      </c>
      <c r="ODR102" s="529" t="str">
        <f>VLOOKUP(ODQ102,[14]AssetDetails_UEM!$A$3:$AH$1849,6,FALSE)</f>
        <v>Electrosurgical Units, Monopolar/Bipolar</v>
      </c>
      <c r="ODS102" s="528" t="s">
        <v>213</v>
      </c>
      <c r="ODT102" s="529" t="str">
        <f>VLOOKUP(ODS102,[14]AssetDetails_UEM!$A$3:$AH$1849,6,FALSE)</f>
        <v>Electrosurgical Units, Monopolar/Bipolar</v>
      </c>
      <c r="ODU102" s="528" t="s">
        <v>213</v>
      </c>
      <c r="ODV102" s="529" t="str">
        <f>VLOOKUP(ODU102,[14]AssetDetails_UEM!$A$3:$AH$1849,6,FALSE)</f>
        <v>Electrosurgical Units, Monopolar/Bipolar</v>
      </c>
      <c r="ODW102" s="528" t="s">
        <v>213</v>
      </c>
      <c r="ODX102" s="529" t="str">
        <f>VLOOKUP(ODW102,[14]AssetDetails_UEM!$A$3:$AH$1849,6,FALSE)</f>
        <v>Electrosurgical Units, Monopolar/Bipolar</v>
      </c>
      <c r="ODY102" s="528" t="s">
        <v>213</v>
      </c>
      <c r="ODZ102" s="529" t="str">
        <f>VLOOKUP(ODY102,[14]AssetDetails_UEM!$A$3:$AH$1849,6,FALSE)</f>
        <v>Electrosurgical Units, Monopolar/Bipolar</v>
      </c>
      <c r="OEA102" s="528" t="s">
        <v>213</v>
      </c>
      <c r="OEB102" s="529" t="str">
        <f>VLOOKUP(OEA102,[14]AssetDetails_UEM!$A$3:$AH$1849,6,FALSE)</f>
        <v>Electrosurgical Units, Monopolar/Bipolar</v>
      </c>
      <c r="OEC102" s="528" t="s">
        <v>213</v>
      </c>
      <c r="OED102" s="529" t="str">
        <f>VLOOKUP(OEC102,[14]AssetDetails_UEM!$A$3:$AH$1849,6,FALSE)</f>
        <v>Electrosurgical Units, Monopolar/Bipolar</v>
      </c>
      <c r="OEE102" s="528" t="s">
        <v>213</v>
      </c>
      <c r="OEF102" s="529" t="str">
        <f>VLOOKUP(OEE102,[14]AssetDetails_UEM!$A$3:$AH$1849,6,FALSE)</f>
        <v>Electrosurgical Units, Monopolar/Bipolar</v>
      </c>
      <c r="OEG102" s="528" t="s">
        <v>213</v>
      </c>
      <c r="OEH102" s="529" t="str">
        <f>VLOOKUP(OEG102,[14]AssetDetails_UEM!$A$3:$AH$1849,6,FALSE)</f>
        <v>Electrosurgical Units, Monopolar/Bipolar</v>
      </c>
      <c r="OEI102" s="528" t="s">
        <v>213</v>
      </c>
      <c r="OEJ102" s="529" t="str">
        <f>VLOOKUP(OEI102,[14]AssetDetails_UEM!$A$3:$AH$1849,6,FALSE)</f>
        <v>Electrosurgical Units, Monopolar/Bipolar</v>
      </c>
      <c r="OEK102" s="528" t="s">
        <v>213</v>
      </c>
      <c r="OEL102" s="529" t="str">
        <f>VLOOKUP(OEK102,[14]AssetDetails_UEM!$A$3:$AH$1849,6,FALSE)</f>
        <v>Electrosurgical Units, Monopolar/Bipolar</v>
      </c>
      <c r="OEM102" s="528" t="s">
        <v>213</v>
      </c>
      <c r="OEN102" s="529" t="str">
        <f>VLOOKUP(OEM102,[14]AssetDetails_UEM!$A$3:$AH$1849,6,FALSE)</f>
        <v>Electrosurgical Units, Monopolar/Bipolar</v>
      </c>
      <c r="OEO102" s="528" t="s">
        <v>213</v>
      </c>
      <c r="OEP102" s="529" t="str">
        <f>VLOOKUP(OEO102,[14]AssetDetails_UEM!$A$3:$AH$1849,6,FALSE)</f>
        <v>Electrosurgical Units, Monopolar/Bipolar</v>
      </c>
      <c r="OEQ102" s="528" t="s">
        <v>213</v>
      </c>
      <c r="OER102" s="529" t="str">
        <f>VLOOKUP(OEQ102,[14]AssetDetails_UEM!$A$3:$AH$1849,6,FALSE)</f>
        <v>Electrosurgical Units, Monopolar/Bipolar</v>
      </c>
      <c r="OES102" s="528" t="s">
        <v>213</v>
      </c>
      <c r="OET102" s="529" t="str">
        <f>VLOOKUP(OES102,[14]AssetDetails_UEM!$A$3:$AH$1849,6,FALSE)</f>
        <v>Electrosurgical Units, Monopolar/Bipolar</v>
      </c>
      <c r="OEU102" s="528" t="s">
        <v>213</v>
      </c>
      <c r="OEV102" s="529" t="str">
        <f>VLOOKUP(OEU102,[14]AssetDetails_UEM!$A$3:$AH$1849,6,FALSE)</f>
        <v>Electrosurgical Units, Monopolar/Bipolar</v>
      </c>
      <c r="OEW102" s="528" t="s">
        <v>213</v>
      </c>
      <c r="OEX102" s="529" t="str">
        <f>VLOOKUP(OEW102,[14]AssetDetails_UEM!$A$3:$AH$1849,6,FALSE)</f>
        <v>Electrosurgical Units, Monopolar/Bipolar</v>
      </c>
      <c r="OEY102" s="528" t="s">
        <v>213</v>
      </c>
      <c r="OEZ102" s="529" t="str">
        <f>VLOOKUP(OEY102,[14]AssetDetails_UEM!$A$3:$AH$1849,6,FALSE)</f>
        <v>Electrosurgical Units, Monopolar/Bipolar</v>
      </c>
      <c r="OFA102" s="528" t="s">
        <v>213</v>
      </c>
      <c r="OFB102" s="529" t="str">
        <f>VLOOKUP(OFA102,[14]AssetDetails_UEM!$A$3:$AH$1849,6,FALSE)</f>
        <v>Electrosurgical Units, Monopolar/Bipolar</v>
      </c>
      <c r="OFC102" s="528" t="s">
        <v>213</v>
      </c>
      <c r="OFD102" s="529" t="str">
        <f>VLOOKUP(OFC102,[14]AssetDetails_UEM!$A$3:$AH$1849,6,FALSE)</f>
        <v>Electrosurgical Units, Monopolar/Bipolar</v>
      </c>
      <c r="OFE102" s="528" t="s">
        <v>213</v>
      </c>
      <c r="OFF102" s="529" t="str">
        <f>VLOOKUP(OFE102,[14]AssetDetails_UEM!$A$3:$AH$1849,6,FALSE)</f>
        <v>Electrosurgical Units, Monopolar/Bipolar</v>
      </c>
      <c r="OFG102" s="528" t="s">
        <v>213</v>
      </c>
      <c r="OFH102" s="529" t="str">
        <f>VLOOKUP(OFG102,[14]AssetDetails_UEM!$A$3:$AH$1849,6,FALSE)</f>
        <v>Electrosurgical Units, Monopolar/Bipolar</v>
      </c>
      <c r="OFI102" s="528" t="s">
        <v>213</v>
      </c>
      <c r="OFJ102" s="529" t="str">
        <f>VLOOKUP(OFI102,[14]AssetDetails_UEM!$A$3:$AH$1849,6,FALSE)</f>
        <v>Electrosurgical Units, Monopolar/Bipolar</v>
      </c>
      <c r="OFK102" s="528" t="s">
        <v>213</v>
      </c>
      <c r="OFL102" s="529" t="str">
        <f>VLOOKUP(OFK102,[14]AssetDetails_UEM!$A$3:$AH$1849,6,FALSE)</f>
        <v>Electrosurgical Units, Monopolar/Bipolar</v>
      </c>
      <c r="OFM102" s="528" t="s">
        <v>213</v>
      </c>
      <c r="OFN102" s="529" t="str">
        <f>VLOOKUP(OFM102,[14]AssetDetails_UEM!$A$3:$AH$1849,6,FALSE)</f>
        <v>Electrosurgical Units, Monopolar/Bipolar</v>
      </c>
      <c r="OFO102" s="528" t="s">
        <v>213</v>
      </c>
      <c r="OFP102" s="529" t="str">
        <f>VLOOKUP(OFO102,[14]AssetDetails_UEM!$A$3:$AH$1849,6,FALSE)</f>
        <v>Electrosurgical Units, Monopolar/Bipolar</v>
      </c>
      <c r="OFQ102" s="528" t="s">
        <v>213</v>
      </c>
      <c r="OFR102" s="529" t="str">
        <f>VLOOKUP(OFQ102,[14]AssetDetails_UEM!$A$3:$AH$1849,6,FALSE)</f>
        <v>Electrosurgical Units, Monopolar/Bipolar</v>
      </c>
      <c r="OFS102" s="528" t="s">
        <v>213</v>
      </c>
      <c r="OFT102" s="529" t="str">
        <f>VLOOKUP(OFS102,[14]AssetDetails_UEM!$A$3:$AH$1849,6,FALSE)</f>
        <v>Electrosurgical Units, Monopolar/Bipolar</v>
      </c>
      <c r="OFU102" s="528" t="s">
        <v>213</v>
      </c>
      <c r="OFV102" s="529" t="str">
        <f>VLOOKUP(OFU102,[14]AssetDetails_UEM!$A$3:$AH$1849,6,FALSE)</f>
        <v>Electrosurgical Units, Monopolar/Bipolar</v>
      </c>
      <c r="OFW102" s="528" t="s">
        <v>213</v>
      </c>
      <c r="OFX102" s="529" t="str">
        <f>VLOOKUP(OFW102,[14]AssetDetails_UEM!$A$3:$AH$1849,6,FALSE)</f>
        <v>Electrosurgical Units, Monopolar/Bipolar</v>
      </c>
      <c r="OFY102" s="528" t="s">
        <v>213</v>
      </c>
      <c r="OFZ102" s="529" t="str">
        <f>VLOOKUP(OFY102,[14]AssetDetails_UEM!$A$3:$AH$1849,6,FALSE)</f>
        <v>Electrosurgical Units, Monopolar/Bipolar</v>
      </c>
      <c r="OGA102" s="528" t="s">
        <v>213</v>
      </c>
      <c r="OGB102" s="529" t="str">
        <f>VLOOKUP(OGA102,[14]AssetDetails_UEM!$A$3:$AH$1849,6,FALSE)</f>
        <v>Electrosurgical Units, Monopolar/Bipolar</v>
      </c>
      <c r="OGC102" s="528" t="s">
        <v>213</v>
      </c>
      <c r="OGD102" s="529" t="str">
        <f>VLOOKUP(OGC102,[14]AssetDetails_UEM!$A$3:$AH$1849,6,FALSE)</f>
        <v>Electrosurgical Units, Monopolar/Bipolar</v>
      </c>
      <c r="OGE102" s="528" t="s">
        <v>213</v>
      </c>
      <c r="OGF102" s="529" t="str">
        <f>VLOOKUP(OGE102,[14]AssetDetails_UEM!$A$3:$AH$1849,6,FALSE)</f>
        <v>Electrosurgical Units, Monopolar/Bipolar</v>
      </c>
      <c r="OGG102" s="528" t="s">
        <v>213</v>
      </c>
      <c r="OGH102" s="529" t="str">
        <f>VLOOKUP(OGG102,[14]AssetDetails_UEM!$A$3:$AH$1849,6,FALSE)</f>
        <v>Electrosurgical Units, Monopolar/Bipolar</v>
      </c>
      <c r="OGI102" s="528" t="s">
        <v>213</v>
      </c>
      <c r="OGJ102" s="529" t="str">
        <f>VLOOKUP(OGI102,[14]AssetDetails_UEM!$A$3:$AH$1849,6,FALSE)</f>
        <v>Electrosurgical Units, Monopolar/Bipolar</v>
      </c>
      <c r="OGK102" s="528" t="s">
        <v>213</v>
      </c>
      <c r="OGL102" s="529" t="str">
        <f>VLOOKUP(OGK102,[14]AssetDetails_UEM!$A$3:$AH$1849,6,FALSE)</f>
        <v>Electrosurgical Units, Monopolar/Bipolar</v>
      </c>
      <c r="OGM102" s="528" t="s">
        <v>213</v>
      </c>
      <c r="OGN102" s="529" t="str">
        <f>VLOOKUP(OGM102,[14]AssetDetails_UEM!$A$3:$AH$1849,6,FALSE)</f>
        <v>Electrosurgical Units, Monopolar/Bipolar</v>
      </c>
      <c r="OGO102" s="528" t="s">
        <v>213</v>
      </c>
      <c r="OGP102" s="529" t="str">
        <f>VLOOKUP(OGO102,[14]AssetDetails_UEM!$A$3:$AH$1849,6,FALSE)</f>
        <v>Electrosurgical Units, Monopolar/Bipolar</v>
      </c>
      <c r="OGQ102" s="528" t="s">
        <v>213</v>
      </c>
      <c r="OGR102" s="529" t="str">
        <f>VLOOKUP(OGQ102,[14]AssetDetails_UEM!$A$3:$AH$1849,6,FALSE)</f>
        <v>Electrosurgical Units, Monopolar/Bipolar</v>
      </c>
      <c r="OGS102" s="528" t="s">
        <v>213</v>
      </c>
      <c r="OGT102" s="529" t="str">
        <f>VLOOKUP(OGS102,[14]AssetDetails_UEM!$A$3:$AH$1849,6,FALSE)</f>
        <v>Electrosurgical Units, Monopolar/Bipolar</v>
      </c>
      <c r="OGU102" s="528" t="s">
        <v>213</v>
      </c>
      <c r="OGV102" s="529" t="str">
        <f>VLOOKUP(OGU102,[14]AssetDetails_UEM!$A$3:$AH$1849,6,FALSE)</f>
        <v>Electrosurgical Units, Monopolar/Bipolar</v>
      </c>
      <c r="OGW102" s="528" t="s">
        <v>213</v>
      </c>
      <c r="OGX102" s="529" t="str">
        <f>VLOOKUP(OGW102,[14]AssetDetails_UEM!$A$3:$AH$1849,6,FALSE)</f>
        <v>Electrosurgical Units, Monopolar/Bipolar</v>
      </c>
      <c r="OGY102" s="528" t="s">
        <v>213</v>
      </c>
      <c r="OGZ102" s="529" t="str">
        <f>VLOOKUP(OGY102,[14]AssetDetails_UEM!$A$3:$AH$1849,6,FALSE)</f>
        <v>Electrosurgical Units, Monopolar/Bipolar</v>
      </c>
      <c r="OHA102" s="528" t="s">
        <v>213</v>
      </c>
      <c r="OHB102" s="529" t="str">
        <f>VLOOKUP(OHA102,[14]AssetDetails_UEM!$A$3:$AH$1849,6,FALSE)</f>
        <v>Electrosurgical Units, Monopolar/Bipolar</v>
      </c>
      <c r="OHC102" s="528" t="s">
        <v>213</v>
      </c>
      <c r="OHD102" s="529" t="str">
        <f>VLOOKUP(OHC102,[14]AssetDetails_UEM!$A$3:$AH$1849,6,FALSE)</f>
        <v>Electrosurgical Units, Monopolar/Bipolar</v>
      </c>
      <c r="OHE102" s="528" t="s">
        <v>213</v>
      </c>
      <c r="OHF102" s="529" t="str">
        <f>VLOOKUP(OHE102,[14]AssetDetails_UEM!$A$3:$AH$1849,6,FALSE)</f>
        <v>Electrosurgical Units, Monopolar/Bipolar</v>
      </c>
      <c r="OHG102" s="528" t="s">
        <v>213</v>
      </c>
      <c r="OHH102" s="529" t="str">
        <f>VLOOKUP(OHG102,[14]AssetDetails_UEM!$A$3:$AH$1849,6,FALSE)</f>
        <v>Electrosurgical Units, Monopolar/Bipolar</v>
      </c>
      <c r="OHI102" s="528" t="s">
        <v>213</v>
      </c>
      <c r="OHJ102" s="529" t="str">
        <f>VLOOKUP(OHI102,[14]AssetDetails_UEM!$A$3:$AH$1849,6,FALSE)</f>
        <v>Electrosurgical Units, Monopolar/Bipolar</v>
      </c>
      <c r="OHK102" s="528" t="s">
        <v>213</v>
      </c>
      <c r="OHL102" s="529" t="str">
        <f>VLOOKUP(OHK102,[14]AssetDetails_UEM!$A$3:$AH$1849,6,FALSE)</f>
        <v>Electrosurgical Units, Monopolar/Bipolar</v>
      </c>
      <c r="OHM102" s="528" t="s">
        <v>213</v>
      </c>
      <c r="OHN102" s="529" t="str">
        <f>VLOOKUP(OHM102,[14]AssetDetails_UEM!$A$3:$AH$1849,6,FALSE)</f>
        <v>Electrosurgical Units, Monopolar/Bipolar</v>
      </c>
      <c r="OHO102" s="528" t="s">
        <v>213</v>
      </c>
      <c r="OHP102" s="529" t="str">
        <f>VLOOKUP(OHO102,[14]AssetDetails_UEM!$A$3:$AH$1849,6,FALSE)</f>
        <v>Electrosurgical Units, Monopolar/Bipolar</v>
      </c>
      <c r="OHQ102" s="528" t="s">
        <v>213</v>
      </c>
      <c r="OHR102" s="529" t="str">
        <f>VLOOKUP(OHQ102,[14]AssetDetails_UEM!$A$3:$AH$1849,6,FALSE)</f>
        <v>Electrosurgical Units, Monopolar/Bipolar</v>
      </c>
      <c r="OHS102" s="528" t="s">
        <v>213</v>
      </c>
      <c r="OHT102" s="529" t="str">
        <f>VLOOKUP(OHS102,[14]AssetDetails_UEM!$A$3:$AH$1849,6,FALSE)</f>
        <v>Electrosurgical Units, Monopolar/Bipolar</v>
      </c>
      <c r="OHU102" s="528" t="s">
        <v>213</v>
      </c>
      <c r="OHV102" s="529" t="str">
        <f>VLOOKUP(OHU102,[14]AssetDetails_UEM!$A$3:$AH$1849,6,FALSE)</f>
        <v>Electrosurgical Units, Monopolar/Bipolar</v>
      </c>
      <c r="OHW102" s="528" t="s">
        <v>213</v>
      </c>
      <c r="OHX102" s="529" t="str">
        <f>VLOOKUP(OHW102,[14]AssetDetails_UEM!$A$3:$AH$1849,6,FALSE)</f>
        <v>Electrosurgical Units, Monopolar/Bipolar</v>
      </c>
      <c r="OHY102" s="528" t="s">
        <v>213</v>
      </c>
      <c r="OHZ102" s="529" t="str">
        <f>VLOOKUP(OHY102,[14]AssetDetails_UEM!$A$3:$AH$1849,6,FALSE)</f>
        <v>Electrosurgical Units, Monopolar/Bipolar</v>
      </c>
      <c r="OIA102" s="528" t="s">
        <v>213</v>
      </c>
      <c r="OIB102" s="529" t="str">
        <f>VLOOKUP(OIA102,[14]AssetDetails_UEM!$A$3:$AH$1849,6,FALSE)</f>
        <v>Electrosurgical Units, Monopolar/Bipolar</v>
      </c>
      <c r="OIC102" s="528" t="s">
        <v>213</v>
      </c>
      <c r="OID102" s="529" t="str">
        <f>VLOOKUP(OIC102,[14]AssetDetails_UEM!$A$3:$AH$1849,6,FALSE)</f>
        <v>Electrosurgical Units, Monopolar/Bipolar</v>
      </c>
      <c r="OIE102" s="528" t="s">
        <v>213</v>
      </c>
      <c r="OIF102" s="529" t="str">
        <f>VLOOKUP(OIE102,[14]AssetDetails_UEM!$A$3:$AH$1849,6,FALSE)</f>
        <v>Electrosurgical Units, Monopolar/Bipolar</v>
      </c>
      <c r="OIG102" s="528" t="s">
        <v>213</v>
      </c>
      <c r="OIH102" s="529" t="str">
        <f>VLOOKUP(OIG102,[14]AssetDetails_UEM!$A$3:$AH$1849,6,FALSE)</f>
        <v>Electrosurgical Units, Monopolar/Bipolar</v>
      </c>
      <c r="OII102" s="528" t="s">
        <v>213</v>
      </c>
      <c r="OIJ102" s="529" t="str">
        <f>VLOOKUP(OII102,[14]AssetDetails_UEM!$A$3:$AH$1849,6,FALSE)</f>
        <v>Electrosurgical Units, Monopolar/Bipolar</v>
      </c>
      <c r="OIK102" s="528" t="s">
        <v>213</v>
      </c>
      <c r="OIL102" s="529" t="str">
        <f>VLOOKUP(OIK102,[14]AssetDetails_UEM!$A$3:$AH$1849,6,FALSE)</f>
        <v>Electrosurgical Units, Monopolar/Bipolar</v>
      </c>
      <c r="OIM102" s="528" t="s">
        <v>213</v>
      </c>
      <c r="OIN102" s="529" t="str">
        <f>VLOOKUP(OIM102,[14]AssetDetails_UEM!$A$3:$AH$1849,6,FALSE)</f>
        <v>Electrosurgical Units, Monopolar/Bipolar</v>
      </c>
      <c r="OIO102" s="528" t="s">
        <v>213</v>
      </c>
      <c r="OIP102" s="529" t="str">
        <f>VLOOKUP(OIO102,[14]AssetDetails_UEM!$A$3:$AH$1849,6,FALSE)</f>
        <v>Electrosurgical Units, Monopolar/Bipolar</v>
      </c>
      <c r="OIQ102" s="528" t="s">
        <v>213</v>
      </c>
      <c r="OIR102" s="529" t="str">
        <f>VLOOKUP(OIQ102,[14]AssetDetails_UEM!$A$3:$AH$1849,6,FALSE)</f>
        <v>Electrosurgical Units, Monopolar/Bipolar</v>
      </c>
      <c r="OIS102" s="528" t="s">
        <v>213</v>
      </c>
      <c r="OIT102" s="529" t="str">
        <f>VLOOKUP(OIS102,[14]AssetDetails_UEM!$A$3:$AH$1849,6,FALSE)</f>
        <v>Electrosurgical Units, Monopolar/Bipolar</v>
      </c>
      <c r="OIU102" s="528" t="s">
        <v>213</v>
      </c>
      <c r="OIV102" s="529" t="str">
        <f>VLOOKUP(OIU102,[14]AssetDetails_UEM!$A$3:$AH$1849,6,FALSE)</f>
        <v>Electrosurgical Units, Monopolar/Bipolar</v>
      </c>
      <c r="OIW102" s="528" t="s">
        <v>213</v>
      </c>
      <c r="OIX102" s="529" t="str">
        <f>VLOOKUP(OIW102,[14]AssetDetails_UEM!$A$3:$AH$1849,6,FALSE)</f>
        <v>Electrosurgical Units, Monopolar/Bipolar</v>
      </c>
      <c r="OIY102" s="528" t="s">
        <v>213</v>
      </c>
      <c r="OIZ102" s="529" t="str">
        <f>VLOOKUP(OIY102,[14]AssetDetails_UEM!$A$3:$AH$1849,6,FALSE)</f>
        <v>Electrosurgical Units, Monopolar/Bipolar</v>
      </c>
      <c r="OJA102" s="528" t="s">
        <v>213</v>
      </c>
      <c r="OJB102" s="529" t="str">
        <f>VLOOKUP(OJA102,[14]AssetDetails_UEM!$A$3:$AH$1849,6,FALSE)</f>
        <v>Electrosurgical Units, Monopolar/Bipolar</v>
      </c>
      <c r="OJC102" s="528" t="s">
        <v>213</v>
      </c>
      <c r="OJD102" s="529" t="str">
        <f>VLOOKUP(OJC102,[14]AssetDetails_UEM!$A$3:$AH$1849,6,FALSE)</f>
        <v>Electrosurgical Units, Monopolar/Bipolar</v>
      </c>
      <c r="OJE102" s="528" t="s">
        <v>213</v>
      </c>
      <c r="OJF102" s="529" t="str">
        <f>VLOOKUP(OJE102,[14]AssetDetails_UEM!$A$3:$AH$1849,6,FALSE)</f>
        <v>Electrosurgical Units, Monopolar/Bipolar</v>
      </c>
      <c r="OJG102" s="528" t="s">
        <v>213</v>
      </c>
      <c r="OJH102" s="529" t="str">
        <f>VLOOKUP(OJG102,[14]AssetDetails_UEM!$A$3:$AH$1849,6,FALSE)</f>
        <v>Electrosurgical Units, Monopolar/Bipolar</v>
      </c>
      <c r="OJI102" s="528" t="s">
        <v>213</v>
      </c>
      <c r="OJJ102" s="529" t="str">
        <f>VLOOKUP(OJI102,[14]AssetDetails_UEM!$A$3:$AH$1849,6,FALSE)</f>
        <v>Electrosurgical Units, Monopolar/Bipolar</v>
      </c>
      <c r="OJK102" s="528" t="s">
        <v>213</v>
      </c>
      <c r="OJL102" s="529" t="str">
        <f>VLOOKUP(OJK102,[14]AssetDetails_UEM!$A$3:$AH$1849,6,FALSE)</f>
        <v>Electrosurgical Units, Monopolar/Bipolar</v>
      </c>
      <c r="OJM102" s="528" t="s">
        <v>213</v>
      </c>
      <c r="OJN102" s="529" t="str">
        <f>VLOOKUP(OJM102,[14]AssetDetails_UEM!$A$3:$AH$1849,6,FALSE)</f>
        <v>Electrosurgical Units, Monopolar/Bipolar</v>
      </c>
      <c r="OJO102" s="528" t="s">
        <v>213</v>
      </c>
      <c r="OJP102" s="529" t="str">
        <f>VLOOKUP(OJO102,[14]AssetDetails_UEM!$A$3:$AH$1849,6,FALSE)</f>
        <v>Electrosurgical Units, Monopolar/Bipolar</v>
      </c>
      <c r="OJQ102" s="528" t="s">
        <v>213</v>
      </c>
      <c r="OJR102" s="529" t="str">
        <f>VLOOKUP(OJQ102,[14]AssetDetails_UEM!$A$3:$AH$1849,6,FALSE)</f>
        <v>Electrosurgical Units, Monopolar/Bipolar</v>
      </c>
      <c r="OJS102" s="528" t="s">
        <v>213</v>
      </c>
      <c r="OJT102" s="529" t="str">
        <f>VLOOKUP(OJS102,[14]AssetDetails_UEM!$A$3:$AH$1849,6,FALSE)</f>
        <v>Electrosurgical Units, Monopolar/Bipolar</v>
      </c>
      <c r="OJU102" s="528" t="s">
        <v>213</v>
      </c>
      <c r="OJV102" s="529" t="str">
        <f>VLOOKUP(OJU102,[14]AssetDetails_UEM!$A$3:$AH$1849,6,FALSE)</f>
        <v>Electrosurgical Units, Monopolar/Bipolar</v>
      </c>
      <c r="OJW102" s="528" t="s">
        <v>213</v>
      </c>
      <c r="OJX102" s="529" t="str">
        <f>VLOOKUP(OJW102,[14]AssetDetails_UEM!$A$3:$AH$1849,6,FALSE)</f>
        <v>Electrosurgical Units, Monopolar/Bipolar</v>
      </c>
      <c r="OJY102" s="528" t="s">
        <v>213</v>
      </c>
      <c r="OJZ102" s="529" t="str">
        <f>VLOOKUP(OJY102,[14]AssetDetails_UEM!$A$3:$AH$1849,6,FALSE)</f>
        <v>Electrosurgical Units, Monopolar/Bipolar</v>
      </c>
      <c r="OKA102" s="528" t="s">
        <v>213</v>
      </c>
      <c r="OKB102" s="529" t="str">
        <f>VLOOKUP(OKA102,[14]AssetDetails_UEM!$A$3:$AH$1849,6,FALSE)</f>
        <v>Electrosurgical Units, Monopolar/Bipolar</v>
      </c>
      <c r="OKC102" s="528" t="s">
        <v>213</v>
      </c>
      <c r="OKD102" s="529" t="str">
        <f>VLOOKUP(OKC102,[14]AssetDetails_UEM!$A$3:$AH$1849,6,FALSE)</f>
        <v>Electrosurgical Units, Monopolar/Bipolar</v>
      </c>
      <c r="OKE102" s="528" t="s">
        <v>213</v>
      </c>
      <c r="OKF102" s="529" t="str">
        <f>VLOOKUP(OKE102,[14]AssetDetails_UEM!$A$3:$AH$1849,6,FALSE)</f>
        <v>Electrosurgical Units, Monopolar/Bipolar</v>
      </c>
      <c r="OKG102" s="528" t="s">
        <v>213</v>
      </c>
      <c r="OKH102" s="529" t="str">
        <f>VLOOKUP(OKG102,[14]AssetDetails_UEM!$A$3:$AH$1849,6,FALSE)</f>
        <v>Electrosurgical Units, Monopolar/Bipolar</v>
      </c>
      <c r="OKI102" s="528" t="s">
        <v>213</v>
      </c>
      <c r="OKJ102" s="529" t="str">
        <f>VLOOKUP(OKI102,[14]AssetDetails_UEM!$A$3:$AH$1849,6,FALSE)</f>
        <v>Electrosurgical Units, Monopolar/Bipolar</v>
      </c>
      <c r="OKK102" s="528" t="s">
        <v>213</v>
      </c>
      <c r="OKL102" s="529" t="str">
        <f>VLOOKUP(OKK102,[14]AssetDetails_UEM!$A$3:$AH$1849,6,FALSE)</f>
        <v>Electrosurgical Units, Monopolar/Bipolar</v>
      </c>
      <c r="OKM102" s="528" t="s">
        <v>213</v>
      </c>
      <c r="OKN102" s="529" t="str">
        <f>VLOOKUP(OKM102,[14]AssetDetails_UEM!$A$3:$AH$1849,6,FALSE)</f>
        <v>Electrosurgical Units, Monopolar/Bipolar</v>
      </c>
      <c r="OKO102" s="528" t="s">
        <v>213</v>
      </c>
      <c r="OKP102" s="529" t="str">
        <f>VLOOKUP(OKO102,[14]AssetDetails_UEM!$A$3:$AH$1849,6,FALSE)</f>
        <v>Electrosurgical Units, Monopolar/Bipolar</v>
      </c>
      <c r="OKQ102" s="528" t="s">
        <v>213</v>
      </c>
      <c r="OKR102" s="529" t="str">
        <f>VLOOKUP(OKQ102,[14]AssetDetails_UEM!$A$3:$AH$1849,6,FALSE)</f>
        <v>Electrosurgical Units, Monopolar/Bipolar</v>
      </c>
      <c r="OKS102" s="528" t="s">
        <v>213</v>
      </c>
      <c r="OKT102" s="529" t="str">
        <f>VLOOKUP(OKS102,[14]AssetDetails_UEM!$A$3:$AH$1849,6,FALSE)</f>
        <v>Electrosurgical Units, Monopolar/Bipolar</v>
      </c>
      <c r="OKU102" s="528" t="s">
        <v>213</v>
      </c>
      <c r="OKV102" s="529" t="str">
        <f>VLOOKUP(OKU102,[14]AssetDetails_UEM!$A$3:$AH$1849,6,FALSE)</f>
        <v>Electrosurgical Units, Monopolar/Bipolar</v>
      </c>
      <c r="OKW102" s="528" t="s">
        <v>213</v>
      </c>
      <c r="OKX102" s="529" t="str">
        <f>VLOOKUP(OKW102,[14]AssetDetails_UEM!$A$3:$AH$1849,6,FALSE)</f>
        <v>Electrosurgical Units, Monopolar/Bipolar</v>
      </c>
      <c r="OKY102" s="528" t="s">
        <v>213</v>
      </c>
      <c r="OKZ102" s="529" t="str">
        <f>VLOOKUP(OKY102,[14]AssetDetails_UEM!$A$3:$AH$1849,6,FALSE)</f>
        <v>Electrosurgical Units, Monopolar/Bipolar</v>
      </c>
      <c r="OLA102" s="528" t="s">
        <v>213</v>
      </c>
      <c r="OLB102" s="529" t="str">
        <f>VLOOKUP(OLA102,[14]AssetDetails_UEM!$A$3:$AH$1849,6,FALSE)</f>
        <v>Electrosurgical Units, Monopolar/Bipolar</v>
      </c>
      <c r="OLC102" s="528" t="s">
        <v>213</v>
      </c>
      <c r="OLD102" s="529" t="str">
        <f>VLOOKUP(OLC102,[14]AssetDetails_UEM!$A$3:$AH$1849,6,FALSE)</f>
        <v>Electrosurgical Units, Monopolar/Bipolar</v>
      </c>
      <c r="OLE102" s="528" t="s">
        <v>213</v>
      </c>
      <c r="OLF102" s="529" t="str">
        <f>VLOOKUP(OLE102,[14]AssetDetails_UEM!$A$3:$AH$1849,6,FALSE)</f>
        <v>Electrosurgical Units, Monopolar/Bipolar</v>
      </c>
      <c r="OLG102" s="528" t="s">
        <v>213</v>
      </c>
      <c r="OLH102" s="529" t="str">
        <f>VLOOKUP(OLG102,[14]AssetDetails_UEM!$A$3:$AH$1849,6,FALSE)</f>
        <v>Electrosurgical Units, Monopolar/Bipolar</v>
      </c>
      <c r="OLI102" s="528" t="s">
        <v>213</v>
      </c>
      <c r="OLJ102" s="529" t="str">
        <f>VLOOKUP(OLI102,[14]AssetDetails_UEM!$A$3:$AH$1849,6,FALSE)</f>
        <v>Electrosurgical Units, Monopolar/Bipolar</v>
      </c>
      <c r="OLK102" s="528" t="s">
        <v>213</v>
      </c>
      <c r="OLL102" s="529" t="str">
        <f>VLOOKUP(OLK102,[14]AssetDetails_UEM!$A$3:$AH$1849,6,FALSE)</f>
        <v>Electrosurgical Units, Monopolar/Bipolar</v>
      </c>
      <c r="OLM102" s="528" t="s">
        <v>213</v>
      </c>
      <c r="OLN102" s="529" t="str">
        <f>VLOOKUP(OLM102,[14]AssetDetails_UEM!$A$3:$AH$1849,6,FALSE)</f>
        <v>Electrosurgical Units, Monopolar/Bipolar</v>
      </c>
      <c r="OLO102" s="528" t="s">
        <v>213</v>
      </c>
      <c r="OLP102" s="529" t="str">
        <f>VLOOKUP(OLO102,[14]AssetDetails_UEM!$A$3:$AH$1849,6,FALSE)</f>
        <v>Electrosurgical Units, Monopolar/Bipolar</v>
      </c>
      <c r="OLQ102" s="528" t="s">
        <v>213</v>
      </c>
      <c r="OLR102" s="529" t="str">
        <f>VLOOKUP(OLQ102,[14]AssetDetails_UEM!$A$3:$AH$1849,6,FALSE)</f>
        <v>Electrosurgical Units, Monopolar/Bipolar</v>
      </c>
      <c r="OLS102" s="528" t="s">
        <v>213</v>
      </c>
      <c r="OLT102" s="529" t="str">
        <f>VLOOKUP(OLS102,[14]AssetDetails_UEM!$A$3:$AH$1849,6,FALSE)</f>
        <v>Electrosurgical Units, Monopolar/Bipolar</v>
      </c>
      <c r="OLU102" s="528" t="s">
        <v>213</v>
      </c>
      <c r="OLV102" s="529" t="str">
        <f>VLOOKUP(OLU102,[14]AssetDetails_UEM!$A$3:$AH$1849,6,FALSE)</f>
        <v>Electrosurgical Units, Monopolar/Bipolar</v>
      </c>
      <c r="OLW102" s="528" t="s">
        <v>213</v>
      </c>
      <c r="OLX102" s="529" t="str">
        <f>VLOOKUP(OLW102,[14]AssetDetails_UEM!$A$3:$AH$1849,6,FALSE)</f>
        <v>Electrosurgical Units, Monopolar/Bipolar</v>
      </c>
      <c r="OLY102" s="528" t="s">
        <v>213</v>
      </c>
      <c r="OLZ102" s="529" t="str">
        <f>VLOOKUP(OLY102,[14]AssetDetails_UEM!$A$3:$AH$1849,6,FALSE)</f>
        <v>Electrosurgical Units, Monopolar/Bipolar</v>
      </c>
      <c r="OMA102" s="528" t="s">
        <v>213</v>
      </c>
      <c r="OMB102" s="529" t="str">
        <f>VLOOKUP(OMA102,[14]AssetDetails_UEM!$A$3:$AH$1849,6,FALSE)</f>
        <v>Electrosurgical Units, Monopolar/Bipolar</v>
      </c>
      <c r="OMC102" s="528" t="s">
        <v>213</v>
      </c>
      <c r="OMD102" s="529" t="str">
        <f>VLOOKUP(OMC102,[14]AssetDetails_UEM!$A$3:$AH$1849,6,FALSE)</f>
        <v>Electrosurgical Units, Monopolar/Bipolar</v>
      </c>
      <c r="OME102" s="528" t="s">
        <v>213</v>
      </c>
      <c r="OMF102" s="529" t="str">
        <f>VLOOKUP(OME102,[14]AssetDetails_UEM!$A$3:$AH$1849,6,FALSE)</f>
        <v>Electrosurgical Units, Monopolar/Bipolar</v>
      </c>
      <c r="OMG102" s="528" t="s">
        <v>213</v>
      </c>
      <c r="OMH102" s="529" t="str">
        <f>VLOOKUP(OMG102,[14]AssetDetails_UEM!$A$3:$AH$1849,6,FALSE)</f>
        <v>Electrosurgical Units, Monopolar/Bipolar</v>
      </c>
      <c r="OMI102" s="528" t="s">
        <v>213</v>
      </c>
      <c r="OMJ102" s="529" t="str">
        <f>VLOOKUP(OMI102,[14]AssetDetails_UEM!$A$3:$AH$1849,6,FALSE)</f>
        <v>Electrosurgical Units, Monopolar/Bipolar</v>
      </c>
      <c r="OMK102" s="528" t="s">
        <v>213</v>
      </c>
      <c r="OML102" s="529" t="str">
        <f>VLOOKUP(OMK102,[14]AssetDetails_UEM!$A$3:$AH$1849,6,FALSE)</f>
        <v>Electrosurgical Units, Monopolar/Bipolar</v>
      </c>
      <c r="OMM102" s="528" t="s">
        <v>213</v>
      </c>
      <c r="OMN102" s="529" t="str">
        <f>VLOOKUP(OMM102,[14]AssetDetails_UEM!$A$3:$AH$1849,6,FALSE)</f>
        <v>Electrosurgical Units, Monopolar/Bipolar</v>
      </c>
      <c r="OMO102" s="528" t="s">
        <v>213</v>
      </c>
      <c r="OMP102" s="529" t="str">
        <f>VLOOKUP(OMO102,[14]AssetDetails_UEM!$A$3:$AH$1849,6,FALSE)</f>
        <v>Electrosurgical Units, Monopolar/Bipolar</v>
      </c>
      <c r="OMQ102" s="528" t="s">
        <v>213</v>
      </c>
      <c r="OMR102" s="529" t="str">
        <f>VLOOKUP(OMQ102,[14]AssetDetails_UEM!$A$3:$AH$1849,6,FALSE)</f>
        <v>Electrosurgical Units, Monopolar/Bipolar</v>
      </c>
      <c r="OMS102" s="528" t="s">
        <v>213</v>
      </c>
      <c r="OMT102" s="529" t="str">
        <f>VLOOKUP(OMS102,[14]AssetDetails_UEM!$A$3:$AH$1849,6,FALSE)</f>
        <v>Electrosurgical Units, Monopolar/Bipolar</v>
      </c>
      <c r="OMU102" s="528" t="s">
        <v>213</v>
      </c>
      <c r="OMV102" s="529" t="str">
        <f>VLOOKUP(OMU102,[14]AssetDetails_UEM!$A$3:$AH$1849,6,FALSE)</f>
        <v>Electrosurgical Units, Monopolar/Bipolar</v>
      </c>
      <c r="OMW102" s="528" t="s">
        <v>213</v>
      </c>
      <c r="OMX102" s="529" t="str">
        <f>VLOOKUP(OMW102,[14]AssetDetails_UEM!$A$3:$AH$1849,6,FALSE)</f>
        <v>Electrosurgical Units, Monopolar/Bipolar</v>
      </c>
      <c r="OMY102" s="528" t="s">
        <v>213</v>
      </c>
      <c r="OMZ102" s="529" t="str">
        <f>VLOOKUP(OMY102,[14]AssetDetails_UEM!$A$3:$AH$1849,6,FALSE)</f>
        <v>Electrosurgical Units, Monopolar/Bipolar</v>
      </c>
      <c r="ONA102" s="528" t="s">
        <v>213</v>
      </c>
      <c r="ONB102" s="529" t="str">
        <f>VLOOKUP(ONA102,[14]AssetDetails_UEM!$A$3:$AH$1849,6,FALSE)</f>
        <v>Electrosurgical Units, Monopolar/Bipolar</v>
      </c>
      <c r="ONC102" s="528" t="s">
        <v>213</v>
      </c>
      <c r="OND102" s="529" t="str">
        <f>VLOOKUP(ONC102,[14]AssetDetails_UEM!$A$3:$AH$1849,6,FALSE)</f>
        <v>Electrosurgical Units, Monopolar/Bipolar</v>
      </c>
      <c r="ONE102" s="528" t="s">
        <v>213</v>
      </c>
      <c r="ONF102" s="529" t="str">
        <f>VLOOKUP(ONE102,[14]AssetDetails_UEM!$A$3:$AH$1849,6,FALSE)</f>
        <v>Electrosurgical Units, Monopolar/Bipolar</v>
      </c>
      <c r="ONG102" s="528" t="s">
        <v>213</v>
      </c>
      <c r="ONH102" s="529" t="str">
        <f>VLOOKUP(ONG102,[14]AssetDetails_UEM!$A$3:$AH$1849,6,FALSE)</f>
        <v>Electrosurgical Units, Monopolar/Bipolar</v>
      </c>
      <c r="ONI102" s="528" t="s">
        <v>213</v>
      </c>
      <c r="ONJ102" s="529" t="str">
        <f>VLOOKUP(ONI102,[14]AssetDetails_UEM!$A$3:$AH$1849,6,FALSE)</f>
        <v>Electrosurgical Units, Monopolar/Bipolar</v>
      </c>
      <c r="ONK102" s="528" t="s">
        <v>213</v>
      </c>
      <c r="ONL102" s="529" t="str">
        <f>VLOOKUP(ONK102,[14]AssetDetails_UEM!$A$3:$AH$1849,6,FALSE)</f>
        <v>Electrosurgical Units, Monopolar/Bipolar</v>
      </c>
      <c r="ONM102" s="528" t="s">
        <v>213</v>
      </c>
      <c r="ONN102" s="529" t="str">
        <f>VLOOKUP(ONM102,[14]AssetDetails_UEM!$A$3:$AH$1849,6,FALSE)</f>
        <v>Electrosurgical Units, Monopolar/Bipolar</v>
      </c>
      <c r="ONO102" s="528" t="s">
        <v>213</v>
      </c>
      <c r="ONP102" s="529" t="str">
        <f>VLOOKUP(ONO102,[14]AssetDetails_UEM!$A$3:$AH$1849,6,FALSE)</f>
        <v>Electrosurgical Units, Monopolar/Bipolar</v>
      </c>
      <c r="ONQ102" s="528" t="s">
        <v>213</v>
      </c>
      <c r="ONR102" s="529" t="str">
        <f>VLOOKUP(ONQ102,[14]AssetDetails_UEM!$A$3:$AH$1849,6,FALSE)</f>
        <v>Electrosurgical Units, Monopolar/Bipolar</v>
      </c>
      <c r="ONS102" s="528" t="s">
        <v>213</v>
      </c>
      <c r="ONT102" s="529" t="str">
        <f>VLOOKUP(ONS102,[14]AssetDetails_UEM!$A$3:$AH$1849,6,FALSE)</f>
        <v>Electrosurgical Units, Monopolar/Bipolar</v>
      </c>
      <c r="ONU102" s="528" t="s">
        <v>213</v>
      </c>
      <c r="ONV102" s="529" t="str">
        <f>VLOOKUP(ONU102,[14]AssetDetails_UEM!$A$3:$AH$1849,6,FALSE)</f>
        <v>Electrosurgical Units, Monopolar/Bipolar</v>
      </c>
      <c r="ONW102" s="528" t="s">
        <v>213</v>
      </c>
      <c r="ONX102" s="529" t="str">
        <f>VLOOKUP(ONW102,[14]AssetDetails_UEM!$A$3:$AH$1849,6,FALSE)</f>
        <v>Electrosurgical Units, Monopolar/Bipolar</v>
      </c>
      <c r="ONY102" s="528" t="s">
        <v>213</v>
      </c>
      <c r="ONZ102" s="529" t="str">
        <f>VLOOKUP(ONY102,[14]AssetDetails_UEM!$A$3:$AH$1849,6,FALSE)</f>
        <v>Electrosurgical Units, Monopolar/Bipolar</v>
      </c>
      <c r="OOA102" s="528" t="s">
        <v>213</v>
      </c>
      <c r="OOB102" s="529" t="str">
        <f>VLOOKUP(OOA102,[14]AssetDetails_UEM!$A$3:$AH$1849,6,FALSE)</f>
        <v>Electrosurgical Units, Monopolar/Bipolar</v>
      </c>
      <c r="OOC102" s="528" t="s">
        <v>213</v>
      </c>
      <c r="OOD102" s="529" t="str">
        <f>VLOOKUP(OOC102,[14]AssetDetails_UEM!$A$3:$AH$1849,6,FALSE)</f>
        <v>Electrosurgical Units, Monopolar/Bipolar</v>
      </c>
      <c r="OOE102" s="528" t="s">
        <v>213</v>
      </c>
      <c r="OOF102" s="529" t="str">
        <f>VLOOKUP(OOE102,[14]AssetDetails_UEM!$A$3:$AH$1849,6,FALSE)</f>
        <v>Electrosurgical Units, Monopolar/Bipolar</v>
      </c>
      <c r="OOG102" s="528" t="s">
        <v>213</v>
      </c>
      <c r="OOH102" s="529" t="str">
        <f>VLOOKUP(OOG102,[14]AssetDetails_UEM!$A$3:$AH$1849,6,FALSE)</f>
        <v>Electrosurgical Units, Monopolar/Bipolar</v>
      </c>
      <c r="OOI102" s="528" t="s">
        <v>213</v>
      </c>
      <c r="OOJ102" s="529" t="str">
        <f>VLOOKUP(OOI102,[14]AssetDetails_UEM!$A$3:$AH$1849,6,FALSE)</f>
        <v>Electrosurgical Units, Monopolar/Bipolar</v>
      </c>
      <c r="OOK102" s="528" t="s">
        <v>213</v>
      </c>
      <c r="OOL102" s="529" t="str">
        <f>VLOOKUP(OOK102,[14]AssetDetails_UEM!$A$3:$AH$1849,6,FALSE)</f>
        <v>Electrosurgical Units, Monopolar/Bipolar</v>
      </c>
      <c r="OOM102" s="528" t="s">
        <v>213</v>
      </c>
      <c r="OON102" s="529" t="str">
        <f>VLOOKUP(OOM102,[14]AssetDetails_UEM!$A$3:$AH$1849,6,FALSE)</f>
        <v>Electrosurgical Units, Monopolar/Bipolar</v>
      </c>
      <c r="OOO102" s="528" t="s">
        <v>213</v>
      </c>
      <c r="OOP102" s="529" t="str">
        <f>VLOOKUP(OOO102,[14]AssetDetails_UEM!$A$3:$AH$1849,6,FALSE)</f>
        <v>Electrosurgical Units, Monopolar/Bipolar</v>
      </c>
      <c r="OOQ102" s="528" t="s">
        <v>213</v>
      </c>
      <c r="OOR102" s="529" t="str">
        <f>VLOOKUP(OOQ102,[14]AssetDetails_UEM!$A$3:$AH$1849,6,FALSE)</f>
        <v>Electrosurgical Units, Monopolar/Bipolar</v>
      </c>
      <c r="OOS102" s="528" t="s">
        <v>213</v>
      </c>
      <c r="OOT102" s="529" t="str">
        <f>VLOOKUP(OOS102,[14]AssetDetails_UEM!$A$3:$AH$1849,6,FALSE)</f>
        <v>Electrosurgical Units, Monopolar/Bipolar</v>
      </c>
      <c r="OOU102" s="528" t="s">
        <v>213</v>
      </c>
      <c r="OOV102" s="529" t="str">
        <f>VLOOKUP(OOU102,[14]AssetDetails_UEM!$A$3:$AH$1849,6,FALSE)</f>
        <v>Electrosurgical Units, Monopolar/Bipolar</v>
      </c>
      <c r="OOW102" s="528" t="s">
        <v>213</v>
      </c>
      <c r="OOX102" s="529" t="str">
        <f>VLOOKUP(OOW102,[14]AssetDetails_UEM!$A$3:$AH$1849,6,FALSE)</f>
        <v>Electrosurgical Units, Monopolar/Bipolar</v>
      </c>
      <c r="OOY102" s="528" t="s">
        <v>213</v>
      </c>
      <c r="OOZ102" s="529" t="str">
        <f>VLOOKUP(OOY102,[14]AssetDetails_UEM!$A$3:$AH$1849,6,FALSE)</f>
        <v>Electrosurgical Units, Monopolar/Bipolar</v>
      </c>
      <c r="OPA102" s="528" t="s">
        <v>213</v>
      </c>
      <c r="OPB102" s="529" t="str">
        <f>VLOOKUP(OPA102,[14]AssetDetails_UEM!$A$3:$AH$1849,6,FALSE)</f>
        <v>Electrosurgical Units, Monopolar/Bipolar</v>
      </c>
      <c r="OPC102" s="528" t="s">
        <v>213</v>
      </c>
      <c r="OPD102" s="529" t="str">
        <f>VLOOKUP(OPC102,[14]AssetDetails_UEM!$A$3:$AH$1849,6,FALSE)</f>
        <v>Electrosurgical Units, Monopolar/Bipolar</v>
      </c>
      <c r="OPE102" s="528" t="s">
        <v>213</v>
      </c>
      <c r="OPF102" s="529" t="str">
        <f>VLOOKUP(OPE102,[14]AssetDetails_UEM!$A$3:$AH$1849,6,FALSE)</f>
        <v>Electrosurgical Units, Monopolar/Bipolar</v>
      </c>
      <c r="OPG102" s="528" t="s">
        <v>213</v>
      </c>
      <c r="OPH102" s="529" t="str">
        <f>VLOOKUP(OPG102,[14]AssetDetails_UEM!$A$3:$AH$1849,6,FALSE)</f>
        <v>Electrosurgical Units, Monopolar/Bipolar</v>
      </c>
      <c r="OPI102" s="528" t="s">
        <v>213</v>
      </c>
      <c r="OPJ102" s="529" t="str">
        <f>VLOOKUP(OPI102,[14]AssetDetails_UEM!$A$3:$AH$1849,6,FALSE)</f>
        <v>Electrosurgical Units, Monopolar/Bipolar</v>
      </c>
      <c r="OPK102" s="528" t="s">
        <v>213</v>
      </c>
      <c r="OPL102" s="529" t="str">
        <f>VLOOKUP(OPK102,[14]AssetDetails_UEM!$A$3:$AH$1849,6,FALSE)</f>
        <v>Electrosurgical Units, Monopolar/Bipolar</v>
      </c>
      <c r="OPM102" s="528" t="s">
        <v>213</v>
      </c>
      <c r="OPN102" s="529" t="str">
        <f>VLOOKUP(OPM102,[14]AssetDetails_UEM!$A$3:$AH$1849,6,FALSE)</f>
        <v>Electrosurgical Units, Monopolar/Bipolar</v>
      </c>
      <c r="OPO102" s="528" t="s">
        <v>213</v>
      </c>
      <c r="OPP102" s="529" t="str">
        <f>VLOOKUP(OPO102,[14]AssetDetails_UEM!$A$3:$AH$1849,6,FALSE)</f>
        <v>Electrosurgical Units, Monopolar/Bipolar</v>
      </c>
      <c r="OPQ102" s="528" t="s">
        <v>213</v>
      </c>
      <c r="OPR102" s="529" t="str">
        <f>VLOOKUP(OPQ102,[14]AssetDetails_UEM!$A$3:$AH$1849,6,FALSE)</f>
        <v>Electrosurgical Units, Monopolar/Bipolar</v>
      </c>
      <c r="OPS102" s="528" t="s">
        <v>213</v>
      </c>
      <c r="OPT102" s="529" t="str">
        <f>VLOOKUP(OPS102,[14]AssetDetails_UEM!$A$3:$AH$1849,6,FALSE)</f>
        <v>Electrosurgical Units, Monopolar/Bipolar</v>
      </c>
      <c r="OPU102" s="528" t="s">
        <v>213</v>
      </c>
      <c r="OPV102" s="529" t="str">
        <f>VLOOKUP(OPU102,[14]AssetDetails_UEM!$A$3:$AH$1849,6,FALSE)</f>
        <v>Electrosurgical Units, Monopolar/Bipolar</v>
      </c>
      <c r="OPW102" s="528" t="s">
        <v>213</v>
      </c>
      <c r="OPX102" s="529" t="str">
        <f>VLOOKUP(OPW102,[14]AssetDetails_UEM!$A$3:$AH$1849,6,FALSE)</f>
        <v>Electrosurgical Units, Monopolar/Bipolar</v>
      </c>
      <c r="OPY102" s="528" t="s">
        <v>213</v>
      </c>
      <c r="OPZ102" s="529" t="str">
        <f>VLOOKUP(OPY102,[14]AssetDetails_UEM!$A$3:$AH$1849,6,FALSE)</f>
        <v>Electrosurgical Units, Monopolar/Bipolar</v>
      </c>
      <c r="OQA102" s="528" t="s">
        <v>213</v>
      </c>
      <c r="OQB102" s="529" t="str">
        <f>VLOOKUP(OQA102,[14]AssetDetails_UEM!$A$3:$AH$1849,6,FALSE)</f>
        <v>Electrosurgical Units, Monopolar/Bipolar</v>
      </c>
      <c r="OQC102" s="528" t="s">
        <v>213</v>
      </c>
      <c r="OQD102" s="529" t="str">
        <f>VLOOKUP(OQC102,[14]AssetDetails_UEM!$A$3:$AH$1849,6,FALSE)</f>
        <v>Electrosurgical Units, Monopolar/Bipolar</v>
      </c>
      <c r="OQE102" s="528" t="s">
        <v>213</v>
      </c>
      <c r="OQF102" s="529" t="str">
        <f>VLOOKUP(OQE102,[14]AssetDetails_UEM!$A$3:$AH$1849,6,FALSE)</f>
        <v>Electrosurgical Units, Monopolar/Bipolar</v>
      </c>
      <c r="OQG102" s="528" t="s">
        <v>213</v>
      </c>
      <c r="OQH102" s="529" t="str">
        <f>VLOOKUP(OQG102,[14]AssetDetails_UEM!$A$3:$AH$1849,6,FALSE)</f>
        <v>Electrosurgical Units, Monopolar/Bipolar</v>
      </c>
      <c r="OQI102" s="528" t="s">
        <v>213</v>
      </c>
      <c r="OQJ102" s="529" t="str">
        <f>VLOOKUP(OQI102,[14]AssetDetails_UEM!$A$3:$AH$1849,6,FALSE)</f>
        <v>Electrosurgical Units, Monopolar/Bipolar</v>
      </c>
      <c r="OQK102" s="528" t="s">
        <v>213</v>
      </c>
      <c r="OQL102" s="529" t="str">
        <f>VLOOKUP(OQK102,[14]AssetDetails_UEM!$A$3:$AH$1849,6,FALSE)</f>
        <v>Electrosurgical Units, Monopolar/Bipolar</v>
      </c>
      <c r="OQM102" s="528" t="s">
        <v>213</v>
      </c>
      <c r="OQN102" s="529" t="str">
        <f>VLOOKUP(OQM102,[14]AssetDetails_UEM!$A$3:$AH$1849,6,FALSE)</f>
        <v>Electrosurgical Units, Monopolar/Bipolar</v>
      </c>
      <c r="OQO102" s="528" t="s">
        <v>213</v>
      </c>
      <c r="OQP102" s="529" t="str">
        <f>VLOOKUP(OQO102,[14]AssetDetails_UEM!$A$3:$AH$1849,6,FALSE)</f>
        <v>Electrosurgical Units, Monopolar/Bipolar</v>
      </c>
      <c r="OQQ102" s="528" t="s">
        <v>213</v>
      </c>
      <c r="OQR102" s="529" t="str">
        <f>VLOOKUP(OQQ102,[14]AssetDetails_UEM!$A$3:$AH$1849,6,FALSE)</f>
        <v>Electrosurgical Units, Monopolar/Bipolar</v>
      </c>
      <c r="OQS102" s="528" t="s">
        <v>213</v>
      </c>
      <c r="OQT102" s="529" t="str">
        <f>VLOOKUP(OQS102,[14]AssetDetails_UEM!$A$3:$AH$1849,6,FALSE)</f>
        <v>Electrosurgical Units, Monopolar/Bipolar</v>
      </c>
      <c r="OQU102" s="528" t="s">
        <v>213</v>
      </c>
      <c r="OQV102" s="529" t="str">
        <f>VLOOKUP(OQU102,[14]AssetDetails_UEM!$A$3:$AH$1849,6,FALSE)</f>
        <v>Electrosurgical Units, Monopolar/Bipolar</v>
      </c>
      <c r="OQW102" s="528" t="s">
        <v>213</v>
      </c>
      <c r="OQX102" s="529" t="str">
        <f>VLOOKUP(OQW102,[14]AssetDetails_UEM!$A$3:$AH$1849,6,FALSE)</f>
        <v>Electrosurgical Units, Monopolar/Bipolar</v>
      </c>
      <c r="OQY102" s="528" t="s">
        <v>213</v>
      </c>
      <c r="OQZ102" s="529" t="str">
        <f>VLOOKUP(OQY102,[14]AssetDetails_UEM!$A$3:$AH$1849,6,FALSE)</f>
        <v>Electrosurgical Units, Monopolar/Bipolar</v>
      </c>
      <c r="ORA102" s="528" t="s">
        <v>213</v>
      </c>
      <c r="ORB102" s="529" t="str">
        <f>VLOOKUP(ORA102,[14]AssetDetails_UEM!$A$3:$AH$1849,6,FALSE)</f>
        <v>Electrosurgical Units, Monopolar/Bipolar</v>
      </c>
      <c r="ORC102" s="528" t="s">
        <v>213</v>
      </c>
      <c r="ORD102" s="529" t="str">
        <f>VLOOKUP(ORC102,[14]AssetDetails_UEM!$A$3:$AH$1849,6,FALSE)</f>
        <v>Electrosurgical Units, Monopolar/Bipolar</v>
      </c>
      <c r="ORE102" s="528" t="s">
        <v>213</v>
      </c>
      <c r="ORF102" s="529" t="str">
        <f>VLOOKUP(ORE102,[14]AssetDetails_UEM!$A$3:$AH$1849,6,FALSE)</f>
        <v>Electrosurgical Units, Monopolar/Bipolar</v>
      </c>
      <c r="ORG102" s="528" t="s">
        <v>213</v>
      </c>
      <c r="ORH102" s="529" t="str">
        <f>VLOOKUP(ORG102,[14]AssetDetails_UEM!$A$3:$AH$1849,6,FALSE)</f>
        <v>Electrosurgical Units, Monopolar/Bipolar</v>
      </c>
      <c r="ORI102" s="528" t="s">
        <v>213</v>
      </c>
      <c r="ORJ102" s="529" t="str">
        <f>VLOOKUP(ORI102,[14]AssetDetails_UEM!$A$3:$AH$1849,6,FALSE)</f>
        <v>Electrosurgical Units, Monopolar/Bipolar</v>
      </c>
      <c r="ORK102" s="528" t="s">
        <v>213</v>
      </c>
      <c r="ORL102" s="529" t="str">
        <f>VLOOKUP(ORK102,[14]AssetDetails_UEM!$A$3:$AH$1849,6,FALSE)</f>
        <v>Electrosurgical Units, Monopolar/Bipolar</v>
      </c>
      <c r="ORM102" s="528" t="s">
        <v>213</v>
      </c>
      <c r="ORN102" s="529" t="str">
        <f>VLOOKUP(ORM102,[14]AssetDetails_UEM!$A$3:$AH$1849,6,FALSE)</f>
        <v>Electrosurgical Units, Monopolar/Bipolar</v>
      </c>
      <c r="ORO102" s="528" t="s">
        <v>213</v>
      </c>
      <c r="ORP102" s="529" t="str">
        <f>VLOOKUP(ORO102,[14]AssetDetails_UEM!$A$3:$AH$1849,6,FALSE)</f>
        <v>Electrosurgical Units, Monopolar/Bipolar</v>
      </c>
      <c r="ORQ102" s="528" t="s">
        <v>213</v>
      </c>
      <c r="ORR102" s="529" t="str">
        <f>VLOOKUP(ORQ102,[14]AssetDetails_UEM!$A$3:$AH$1849,6,FALSE)</f>
        <v>Electrosurgical Units, Monopolar/Bipolar</v>
      </c>
      <c r="ORS102" s="528" t="s">
        <v>213</v>
      </c>
      <c r="ORT102" s="529" t="str">
        <f>VLOOKUP(ORS102,[14]AssetDetails_UEM!$A$3:$AH$1849,6,FALSE)</f>
        <v>Electrosurgical Units, Monopolar/Bipolar</v>
      </c>
      <c r="ORU102" s="528" t="s">
        <v>213</v>
      </c>
      <c r="ORV102" s="529" t="str">
        <f>VLOOKUP(ORU102,[14]AssetDetails_UEM!$A$3:$AH$1849,6,FALSE)</f>
        <v>Electrosurgical Units, Monopolar/Bipolar</v>
      </c>
      <c r="ORW102" s="528" t="s">
        <v>213</v>
      </c>
      <c r="ORX102" s="529" t="str">
        <f>VLOOKUP(ORW102,[14]AssetDetails_UEM!$A$3:$AH$1849,6,FALSE)</f>
        <v>Electrosurgical Units, Monopolar/Bipolar</v>
      </c>
      <c r="ORY102" s="528" t="s">
        <v>213</v>
      </c>
      <c r="ORZ102" s="529" t="str">
        <f>VLOOKUP(ORY102,[14]AssetDetails_UEM!$A$3:$AH$1849,6,FALSE)</f>
        <v>Electrosurgical Units, Monopolar/Bipolar</v>
      </c>
      <c r="OSA102" s="528" t="s">
        <v>213</v>
      </c>
      <c r="OSB102" s="529" t="str">
        <f>VLOOKUP(OSA102,[14]AssetDetails_UEM!$A$3:$AH$1849,6,FALSE)</f>
        <v>Electrosurgical Units, Monopolar/Bipolar</v>
      </c>
      <c r="OSC102" s="528" t="s">
        <v>213</v>
      </c>
      <c r="OSD102" s="529" t="str">
        <f>VLOOKUP(OSC102,[14]AssetDetails_UEM!$A$3:$AH$1849,6,FALSE)</f>
        <v>Electrosurgical Units, Monopolar/Bipolar</v>
      </c>
      <c r="OSE102" s="528" t="s">
        <v>213</v>
      </c>
      <c r="OSF102" s="529" t="str">
        <f>VLOOKUP(OSE102,[14]AssetDetails_UEM!$A$3:$AH$1849,6,FALSE)</f>
        <v>Electrosurgical Units, Monopolar/Bipolar</v>
      </c>
      <c r="OSG102" s="528" t="s">
        <v>213</v>
      </c>
      <c r="OSH102" s="529" t="str">
        <f>VLOOKUP(OSG102,[14]AssetDetails_UEM!$A$3:$AH$1849,6,FALSE)</f>
        <v>Electrosurgical Units, Monopolar/Bipolar</v>
      </c>
      <c r="OSI102" s="528" t="s">
        <v>213</v>
      </c>
      <c r="OSJ102" s="529" t="str">
        <f>VLOOKUP(OSI102,[14]AssetDetails_UEM!$A$3:$AH$1849,6,FALSE)</f>
        <v>Electrosurgical Units, Monopolar/Bipolar</v>
      </c>
      <c r="OSK102" s="528" t="s">
        <v>213</v>
      </c>
      <c r="OSL102" s="529" t="str">
        <f>VLOOKUP(OSK102,[14]AssetDetails_UEM!$A$3:$AH$1849,6,FALSE)</f>
        <v>Electrosurgical Units, Monopolar/Bipolar</v>
      </c>
      <c r="OSM102" s="528" t="s">
        <v>213</v>
      </c>
      <c r="OSN102" s="529" t="str">
        <f>VLOOKUP(OSM102,[14]AssetDetails_UEM!$A$3:$AH$1849,6,FALSE)</f>
        <v>Electrosurgical Units, Monopolar/Bipolar</v>
      </c>
      <c r="OSO102" s="528" t="s">
        <v>213</v>
      </c>
      <c r="OSP102" s="529" t="str">
        <f>VLOOKUP(OSO102,[14]AssetDetails_UEM!$A$3:$AH$1849,6,FALSE)</f>
        <v>Electrosurgical Units, Monopolar/Bipolar</v>
      </c>
      <c r="OSQ102" s="528" t="s">
        <v>213</v>
      </c>
      <c r="OSR102" s="529" t="str">
        <f>VLOOKUP(OSQ102,[14]AssetDetails_UEM!$A$3:$AH$1849,6,FALSE)</f>
        <v>Electrosurgical Units, Monopolar/Bipolar</v>
      </c>
      <c r="OSS102" s="528" t="s">
        <v>213</v>
      </c>
      <c r="OST102" s="529" t="str">
        <f>VLOOKUP(OSS102,[14]AssetDetails_UEM!$A$3:$AH$1849,6,FALSE)</f>
        <v>Electrosurgical Units, Monopolar/Bipolar</v>
      </c>
      <c r="OSU102" s="528" t="s">
        <v>213</v>
      </c>
      <c r="OSV102" s="529" t="str">
        <f>VLOOKUP(OSU102,[14]AssetDetails_UEM!$A$3:$AH$1849,6,FALSE)</f>
        <v>Electrosurgical Units, Monopolar/Bipolar</v>
      </c>
      <c r="OSW102" s="528" t="s">
        <v>213</v>
      </c>
      <c r="OSX102" s="529" t="str">
        <f>VLOOKUP(OSW102,[14]AssetDetails_UEM!$A$3:$AH$1849,6,FALSE)</f>
        <v>Electrosurgical Units, Monopolar/Bipolar</v>
      </c>
      <c r="OSY102" s="528" t="s">
        <v>213</v>
      </c>
      <c r="OSZ102" s="529" t="str">
        <f>VLOOKUP(OSY102,[14]AssetDetails_UEM!$A$3:$AH$1849,6,FALSE)</f>
        <v>Electrosurgical Units, Monopolar/Bipolar</v>
      </c>
      <c r="OTA102" s="528" t="s">
        <v>213</v>
      </c>
      <c r="OTB102" s="529" t="str">
        <f>VLOOKUP(OTA102,[14]AssetDetails_UEM!$A$3:$AH$1849,6,FALSE)</f>
        <v>Electrosurgical Units, Monopolar/Bipolar</v>
      </c>
      <c r="OTC102" s="528" t="s">
        <v>213</v>
      </c>
      <c r="OTD102" s="529" t="str">
        <f>VLOOKUP(OTC102,[14]AssetDetails_UEM!$A$3:$AH$1849,6,FALSE)</f>
        <v>Electrosurgical Units, Monopolar/Bipolar</v>
      </c>
      <c r="OTE102" s="528" t="s">
        <v>213</v>
      </c>
      <c r="OTF102" s="529" t="str">
        <f>VLOOKUP(OTE102,[14]AssetDetails_UEM!$A$3:$AH$1849,6,FALSE)</f>
        <v>Electrosurgical Units, Monopolar/Bipolar</v>
      </c>
      <c r="OTG102" s="528" t="s">
        <v>213</v>
      </c>
      <c r="OTH102" s="529" t="str">
        <f>VLOOKUP(OTG102,[14]AssetDetails_UEM!$A$3:$AH$1849,6,FALSE)</f>
        <v>Electrosurgical Units, Monopolar/Bipolar</v>
      </c>
      <c r="OTI102" s="528" t="s">
        <v>213</v>
      </c>
      <c r="OTJ102" s="529" t="str">
        <f>VLOOKUP(OTI102,[14]AssetDetails_UEM!$A$3:$AH$1849,6,FALSE)</f>
        <v>Electrosurgical Units, Monopolar/Bipolar</v>
      </c>
      <c r="OTK102" s="528" t="s">
        <v>213</v>
      </c>
      <c r="OTL102" s="529" t="str">
        <f>VLOOKUP(OTK102,[14]AssetDetails_UEM!$A$3:$AH$1849,6,FALSE)</f>
        <v>Electrosurgical Units, Monopolar/Bipolar</v>
      </c>
      <c r="OTM102" s="528" t="s">
        <v>213</v>
      </c>
      <c r="OTN102" s="529" t="str">
        <f>VLOOKUP(OTM102,[14]AssetDetails_UEM!$A$3:$AH$1849,6,FALSE)</f>
        <v>Electrosurgical Units, Monopolar/Bipolar</v>
      </c>
      <c r="OTO102" s="528" t="s">
        <v>213</v>
      </c>
      <c r="OTP102" s="529" t="str">
        <f>VLOOKUP(OTO102,[14]AssetDetails_UEM!$A$3:$AH$1849,6,FALSE)</f>
        <v>Electrosurgical Units, Monopolar/Bipolar</v>
      </c>
      <c r="OTQ102" s="528" t="s">
        <v>213</v>
      </c>
      <c r="OTR102" s="529" t="str">
        <f>VLOOKUP(OTQ102,[14]AssetDetails_UEM!$A$3:$AH$1849,6,FALSE)</f>
        <v>Electrosurgical Units, Monopolar/Bipolar</v>
      </c>
      <c r="OTS102" s="528" t="s">
        <v>213</v>
      </c>
      <c r="OTT102" s="529" t="str">
        <f>VLOOKUP(OTS102,[14]AssetDetails_UEM!$A$3:$AH$1849,6,FALSE)</f>
        <v>Electrosurgical Units, Monopolar/Bipolar</v>
      </c>
      <c r="OTU102" s="528" t="s">
        <v>213</v>
      </c>
      <c r="OTV102" s="529" t="str">
        <f>VLOOKUP(OTU102,[14]AssetDetails_UEM!$A$3:$AH$1849,6,FALSE)</f>
        <v>Electrosurgical Units, Monopolar/Bipolar</v>
      </c>
      <c r="OTW102" s="528" t="s">
        <v>213</v>
      </c>
      <c r="OTX102" s="529" t="str">
        <f>VLOOKUP(OTW102,[14]AssetDetails_UEM!$A$3:$AH$1849,6,FALSE)</f>
        <v>Electrosurgical Units, Monopolar/Bipolar</v>
      </c>
      <c r="OTY102" s="528" t="s">
        <v>213</v>
      </c>
      <c r="OTZ102" s="529" t="str">
        <f>VLOOKUP(OTY102,[14]AssetDetails_UEM!$A$3:$AH$1849,6,FALSE)</f>
        <v>Electrosurgical Units, Monopolar/Bipolar</v>
      </c>
      <c r="OUA102" s="528" t="s">
        <v>213</v>
      </c>
      <c r="OUB102" s="529" t="str">
        <f>VLOOKUP(OUA102,[14]AssetDetails_UEM!$A$3:$AH$1849,6,FALSE)</f>
        <v>Electrosurgical Units, Monopolar/Bipolar</v>
      </c>
      <c r="OUC102" s="528" t="s">
        <v>213</v>
      </c>
      <c r="OUD102" s="529" t="str">
        <f>VLOOKUP(OUC102,[14]AssetDetails_UEM!$A$3:$AH$1849,6,FALSE)</f>
        <v>Electrosurgical Units, Monopolar/Bipolar</v>
      </c>
      <c r="OUE102" s="528" t="s">
        <v>213</v>
      </c>
      <c r="OUF102" s="529" t="str">
        <f>VLOOKUP(OUE102,[14]AssetDetails_UEM!$A$3:$AH$1849,6,FALSE)</f>
        <v>Electrosurgical Units, Monopolar/Bipolar</v>
      </c>
      <c r="OUG102" s="528" t="s">
        <v>213</v>
      </c>
      <c r="OUH102" s="529" t="str">
        <f>VLOOKUP(OUG102,[14]AssetDetails_UEM!$A$3:$AH$1849,6,FALSE)</f>
        <v>Electrosurgical Units, Monopolar/Bipolar</v>
      </c>
      <c r="OUI102" s="528" t="s">
        <v>213</v>
      </c>
      <c r="OUJ102" s="529" t="str">
        <f>VLOOKUP(OUI102,[14]AssetDetails_UEM!$A$3:$AH$1849,6,FALSE)</f>
        <v>Electrosurgical Units, Monopolar/Bipolar</v>
      </c>
      <c r="OUK102" s="528" t="s">
        <v>213</v>
      </c>
      <c r="OUL102" s="529" t="str">
        <f>VLOOKUP(OUK102,[14]AssetDetails_UEM!$A$3:$AH$1849,6,FALSE)</f>
        <v>Electrosurgical Units, Monopolar/Bipolar</v>
      </c>
      <c r="OUM102" s="528" t="s">
        <v>213</v>
      </c>
      <c r="OUN102" s="529" t="str">
        <f>VLOOKUP(OUM102,[14]AssetDetails_UEM!$A$3:$AH$1849,6,FALSE)</f>
        <v>Electrosurgical Units, Monopolar/Bipolar</v>
      </c>
      <c r="OUO102" s="528" t="s">
        <v>213</v>
      </c>
      <c r="OUP102" s="529" t="str">
        <f>VLOOKUP(OUO102,[14]AssetDetails_UEM!$A$3:$AH$1849,6,FALSE)</f>
        <v>Electrosurgical Units, Monopolar/Bipolar</v>
      </c>
      <c r="OUQ102" s="528" t="s">
        <v>213</v>
      </c>
      <c r="OUR102" s="529" t="str">
        <f>VLOOKUP(OUQ102,[14]AssetDetails_UEM!$A$3:$AH$1849,6,FALSE)</f>
        <v>Electrosurgical Units, Monopolar/Bipolar</v>
      </c>
      <c r="OUS102" s="528" t="s">
        <v>213</v>
      </c>
      <c r="OUT102" s="529" t="str">
        <f>VLOOKUP(OUS102,[14]AssetDetails_UEM!$A$3:$AH$1849,6,FALSE)</f>
        <v>Electrosurgical Units, Monopolar/Bipolar</v>
      </c>
      <c r="OUU102" s="528" t="s">
        <v>213</v>
      </c>
      <c r="OUV102" s="529" t="str">
        <f>VLOOKUP(OUU102,[14]AssetDetails_UEM!$A$3:$AH$1849,6,FALSE)</f>
        <v>Electrosurgical Units, Monopolar/Bipolar</v>
      </c>
      <c r="OUW102" s="528" t="s">
        <v>213</v>
      </c>
      <c r="OUX102" s="529" t="str">
        <f>VLOOKUP(OUW102,[14]AssetDetails_UEM!$A$3:$AH$1849,6,FALSE)</f>
        <v>Electrosurgical Units, Monopolar/Bipolar</v>
      </c>
      <c r="OUY102" s="528" t="s">
        <v>213</v>
      </c>
      <c r="OUZ102" s="529" t="str">
        <f>VLOOKUP(OUY102,[14]AssetDetails_UEM!$A$3:$AH$1849,6,FALSE)</f>
        <v>Electrosurgical Units, Monopolar/Bipolar</v>
      </c>
      <c r="OVA102" s="528" t="s">
        <v>213</v>
      </c>
      <c r="OVB102" s="529" t="str">
        <f>VLOOKUP(OVA102,[14]AssetDetails_UEM!$A$3:$AH$1849,6,FALSE)</f>
        <v>Electrosurgical Units, Monopolar/Bipolar</v>
      </c>
      <c r="OVC102" s="528" t="s">
        <v>213</v>
      </c>
      <c r="OVD102" s="529" t="str">
        <f>VLOOKUP(OVC102,[14]AssetDetails_UEM!$A$3:$AH$1849,6,FALSE)</f>
        <v>Electrosurgical Units, Monopolar/Bipolar</v>
      </c>
      <c r="OVE102" s="528" t="s">
        <v>213</v>
      </c>
      <c r="OVF102" s="529" t="str">
        <f>VLOOKUP(OVE102,[14]AssetDetails_UEM!$A$3:$AH$1849,6,FALSE)</f>
        <v>Electrosurgical Units, Monopolar/Bipolar</v>
      </c>
      <c r="OVG102" s="528" t="s">
        <v>213</v>
      </c>
      <c r="OVH102" s="529" t="str">
        <f>VLOOKUP(OVG102,[14]AssetDetails_UEM!$A$3:$AH$1849,6,FALSE)</f>
        <v>Electrosurgical Units, Monopolar/Bipolar</v>
      </c>
      <c r="OVI102" s="528" t="s">
        <v>213</v>
      </c>
      <c r="OVJ102" s="529" t="str">
        <f>VLOOKUP(OVI102,[14]AssetDetails_UEM!$A$3:$AH$1849,6,FALSE)</f>
        <v>Electrosurgical Units, Monopolar/Bipolar</v>
      </c>
      <c r="OVK102" s="528" t="s">
        <v>213</v>
      </c>
      <c r="OVL102" s="529" t="str">
        <f>VLOOKUP(OVK102,[14]AssetDetails_UEM!$A$3:$AH$1849,6,FALSE)</f>
        <v>Electrosurgical Units, Monopolar/Bipolar</v>
      </c>
      <c r="OVM102" s="528" t="s">
        <v>213</v>
      </c>
      <c r="OVN102" s="529" t="str">
        <f>VLOOKUP(OVM102,[14]AssetDetails_UEM!$A$3:$AH$1849,6,FALSE)</f>
        <v>Electrosurgical Units, Monopolar/Bipolar</v>
      </c>
      <c r="OVO102" s="528" t="s">
        <v>213</v>
      </c>
      <c r="OVP102" s="529" t="str">
        <f>VLOOKUP(OVO102,[14]AssetDetails_UEM!$A$3:$AH$1849,6,FALSE)</f>
        <v>Electrosurgical Units, Monopolar/Bipolar</v>
      </c>
      <c r="OVQ102" s="528" t="s">
        <v>213</v>
      </c>
      <c r="OVR102" s="529" t="str">
        <f>VLOOKUP(OVQ102,[14]AssetDetails_UEM!$A$3:$AH$1849,6,FALSE)</f>
        <v>Electrosurgical Units, Monopolar/Bipolar</v>
      </c>
      <c r="OVS102" s="528" t="s">
        <v>213</v>
      </c>
      <c r="OVT102" s="529" t="str">
        <f>VLOOKUP(OVS102,[14]AssetDetails_UEM!$A$3:$AH$1849,6,FALSE)</f>
        <v>Electrosurgical Units, Monopolar/Bipolar</v>
      </c>
      <c r="OVU102" s="528" t="s">
        <v>213</v>
      </c>
      <c r="OVV102" s="529" t="str">
        <f>VLOOKUP(OVU102,[14]AssetDetails_UEM!$A$3:$AH$1849,6,FALSE)</f>
        <v>Electrosurgical Units, Monopolar/Bipolar</v>
      </c>
      <c r="OVW102" s="528" t="s">
        <v>213</v>
      </c>
      <c r="OVX102" s="529" t="str">
        <f>VLOOKUP(OVW102,[14]AssetDetails_UEM!$A$3:$AH$1849,6,FALSE)</f>
        <v>Electrosurgical Units, Monopolar/Bipolar</v>
      </c>
      <c r="OVY102" s="528" t="s">
        <v>213</v>
      </c>
      <c r="OVZ102" s="529" t="str">
        <f>VLOOKUP(OVY102,[14]AssetDetails_UEM!$A$3:$AH$1849,6,FALSE)</f>
        <v>Electrosurgical Units, Monopolar/Bipolar</v>
      </c>
      <c r="OWA102" s="528" t="s">
        <v>213</v>
      </c>
      <c r="OWB102" s="529" t="str">
        <f>VLOOKUP(OWA102,[14]AssetDetails_UEM!$A$3:$AH$1849,6,FALSE)</f>
        <v>Electrosurgical Units, Monopolar/Bipolar</v>
      </c>
      <c r="OWC102" s="528" t="s">
        <v>213</v>
      </c>
      <c r="OWD102" s="529" t="str">
        <f>VLOOKUP(OWC102,[14]AssetDetails_UEM!$A$3:$AH$1849,6,FALSE)</f>
        <v>Electrosurgical Units, Monopolar/Bipolar</v>
      </c>
      <c r="OWE102" s="528" t="s">
        <v>213</v>
      </c>
      <c r="OWF102" s="529" t="str">
        <f>VLOOKUP(OWE102,[14]AssetDetails_UEM!$A$3:$AH$1849,6,FALSE)</f>
        <v>Electrosurgical Units, Monopolar/Bipolar</v>
      </c>
      <c r="OWG102" s="528" t="s">
        <v>213</v>
      </c>
      <c r="OWH102" s="529" t="str">
        <f>VLOOKUP(OWG102,[14]AssetDetails_UEM!$A$3:$AH$1849,6,FALSE)</f>
        <v>Electrosurgical Units, Monopolar/Bipolar</v>
      </c>
      <c r="OWI102" s="528" t="s">
        <v>213</v>
      </c>
      <c r="OWJ102" s="529" t="str">
        <f>VLOOKUP(OWI102,[14]AssetDetails_UEM!$A$3:$AH$1849,6,FALSE)</f>
        <v>Electrosurgical Units, Monopolar/Bipolar</v>
      </c>
      <c r="OWK102" s="528" t="s">
        <v>213</v>
      </c>
      <c r="OWL102" s="529" t="str">
        <f>VLOOKUP(OWK102,[14]AssetDetails_UEM!$A$3:$AH$1849,6,FALSE)</f>
        <v>Electrosurgical Units, Monopolar/Bipolar</v>
      </c>
      <c r="OWM102" s="528" t="s">
        <v>213</v>
      </c>
      <c r="OWN102" s="529" t="str">
        <f>VLOOKUP(OWM102,[14]AssetDetails_UEM!$A$3:$AH$1849,6,FALSE)</f>
        <v>Electrosurgical Units, Monopolar/Bipolar</v>
      </c>
      <c r="OWO102" s="528" t="s">
        <v>213</v>
      </c>
      <c r="OWP102" s="529" t="str">
        <f>VLOOKUP(OWO102,[14]AssetDetails_UEM!$A$3:$AH$1849,6,FALSE)</f>
        <v>Electrosurgical Units, Monopolar/Bipolar</v>
      </c>
      <c r="OWQ102" s="528" t="s">
        <v>213</v>
      </c>
      <c r="OWR102" s="529" t="str">
        <f>VLOOKUP(OWQ102,[14]AssetDetails_UEM!$A$3:$AH$1849,6,FALSE)</f>
        <v>Electrosurgical Units, Monopolar/Bipolar</v>
      </c>
      <c r="OWS102" s="528" t="s">
        <v>213</v>
      </c>
      <c r="OWT102" s="529" t="str">
        <f>VLOOKUP(OWS102,[14]AssetDetails_UEM!$A$3:$AH$1849,6,FALSE)</f>
        <v>Electrosurgical Units, Monopolar/Bipolar</v>
      </c>
      <c r="OWU102" s="528" t="s">
        <v>213</v>
      </c>
      <c r="OWV102" s="529" t="str">
        <f>VLOOKUP(OWU102,[14]AssetDetails_UEM!$A$3:$AH$1849,6,FALSE)</f>
        <v>Electrosurgical Units, Monopolar/Bipolar</v>
      </c>
      <c r="OWW102" s="528" t="s">
        <v>213</v>
      </c>
      <c r="OWX102" s="529" t="str">
        <f>VLOOKUP(OWW102,[14]AssetDetails_UEM!$A$3:$AH$1849,6,FALSE)</f>
        <v>Electrosurgical Units, Monopolar/Bipolar</v>
      </c>
      <c r="OWY102" s="528" t="s">
        <v>213</v>
      </c>
      <c r="OWZ102" s="529" t="str">
        <f>VLOOKUP(OWY102,[14]AssetDetails_UEM!$A$3:$AH$1849,6,FALSE)</f>
        <v>Electrosurgical Units, Monopolar/Bipolar</v>
      </c>
      <c r="OXA102" s="528" t="s">
        <v>213</v>
      </c>
      <c r="OXB102" s="529" t="str">
        <f>VLOOKUP(OXA102,[14]AssetDetails_UEM!$A$3:$AH$1849,6,FALSE)</f>
        <v>Electrosurgical Units, Monopolar/Bipolar</v>
      </c>
      <c r="OXC102" s="528" t="s">
        <v>213</v>
      </c>
      <c r="OXD102" s="529" t="str">
        <f>VLOOKUP(OXC102,[14]AssetDetails_UEM!$A$3:$AH$1849,6,FALSE)</f>
        <v>Electrosurgical Units, Monopolar/Bipolar</v>
      </c>
      <c r="OXE102" s="528" t="s">
        <v>213</v>
      </c>
      <c r="OXF102" s="529" t="str">
        <f>VLOOKUP(OXE102,[14]AssetDetails_UEM!$A$3:$AH$1849,6,FALSE)</f>
        <v>Electrosurgical Units, Monopolar/Bipolar</v>
      </c>
      <c r="OXG102" s="528" t="s">
        <v>213</v>
      </c>
      <c r="OXH102" s="529" t="str">
        <f>VLOOKUP(OXG102,[14]AssetDetails_UEM!$A$3:$AH$1849,6,FALSE)</f>
        <v>Electrosurgical Units, Monopolar/Bipolar</v>
      </c>
      <c r="OXI102" s="528" t="s">
        <v>213</v>
      </c>
      <c r="OXJ102" s="529" t="str">
        <f>VLOOKUP(OXI102,[14]AssetDetails_UEM!$A$3:$AH$1849,6,FALSE)</f>
        <v>Electrosurgical Units, Monopolar/Bipolar</v>
      </c>
      <c r="OXK102" s="528" t="s">
        <v>213</v>
      </c>
      <c r="OXL102" s="529" t="str">
        <f>VLOOKUP(OXK102,[14]AssetDetails_UEM!$A$3:$AH$1849,6,FALSE)</f>
        <v>Electrosurgical Units, Monopolar/Bipolar</v>
      </c>
      <c r="OXM102" s="528" t="s">
        <v>213</v>
      </c>
      <c r="OXN102" s="529" t="str">
        <f>VLOOKUP(OXM102,[14]AssetDetails_UEM!$A$3:$AH$1849,6,FALSE)</f>
        <v>Electrosurgical Units, Monopolar/Bipolar</v>
      </c>
      <c r="OXO102" s="528" t="s">
        <v>213</v>
      </c>
      <c r="OXP102" s="529" t="str">
        <f>VLOOKUP(OXO102,[14]AssetDetails_UEM!$A$3:$AH$1849,6,FALSE)</f>
        <v>Electrosurgical Units, Monopolar/Bipolar</v>
      </c>
      <c r="OXQ102" s="528" t="s">
        <v>213</v>
      </c>
      <c r="OXR102" s="529" t="str">
        <f>VLOOKUP(OXQ102,[14]AssetDetails_UEM!$A$3:$AH$1849,6,FALSE)</f>
        <v>Electrosurgical Units, Monopolar/Bipolar</v>
      </c>
      <c r="OXS102" s="528" t="s">
        <v>213</v>
      </c>
      <c r="OXT102" s="529" t="str">
        <f>VLOOKUP(OXS102,[14]AssetDetails_UEM!$A$3:$AH$1849,6,FALSE)</f>
        <v>Electrosurgical Units, Monopolar/Bipolar</v>
      </c>
      <c r="OXU102" s="528" t="s">
        <v>213</v>
      </c>
      <c r="OXV102" s="529" t="str">
        <f>VLOOKUP(OXU102,[14]AssetDetails_UEM!$A$3:$AH$1849,6,FALSE)</f>
        <v>Electrosurgical Units, Monopolar/Bipolar</v>
      </c>
      <c r="OXW102" s="528" t="s">
        <v>213</v>
      </c>
      <c r="OXX102" s="529" t="str">
        <f>VLOOKUP(OXW102,[14]AssetDetails_UEM!$A$3:$AH$1849,6,FALSE)</f>
        <v>Electrosurgical Units, Monopolar/Bipolar</v>
      </c>
      <c r="OXY102" s="528" t="s">
        <v>213</v>
      </c>
      <c r="OXZ102" s="529" t="str">
        <f>VLOOKUP(OXY102,[14]AssetDetails_UEM!$A$3:$AH$1849,6,FALSE)</f>
        <v>Electrosurgical Units, Monopolar/Bipolar</v>
      </c>
      <c r="OYA102" s="528" t="s">
        <v>213</v>
      </c>
      <c r="OYB102" s="529" t="str">
        <f>VLOOKUP(OYA102,[14]AssetDetails_UEM!$A$3:$AH$1849,6,FALSE)</f>
        <v>Electrosurgical Units, Monopolar/Bipolar</v>
      </c>
      <c r="OYC102" s="528" t="s">
        <v>213</v>
      </c>
      <c r="OYD102" s="529" t="str">
        <f>VLOOKUP(OYC102,[14]AssetDetails_UEM!$A$3:$AH$1849,6,FALSE)</f>
        <v>Electrosurgical Units, Monopolar/Bipolar</v>
      </c>
      <c r="OYE102" s="528" t="s">
        <v>213</v>
      </c>
      <c r="OYF102" s="529" t="str">
        <f>VLOOKUP(OYE102,[14]AssetDetails_UEM!$A$3:$AH$1849,6,FALSE)</f>
        <v>Electrosurgical Units, Monopolar/Bipolar</v>
      </c>
      <c r="OYG102" s="528" t="s">
        <v>213</v>
      </c>
      <c r="OYH102" s="529" t="str">
        <f>VLOOKUP(OYG102,[14]AssetDetails_UEM!$A$3:$AH$1849,6,FALSE)</f>
        <v>Electrosurgical Units, Monopolar/Bipolar</v>
      </c>
      <c r="OYI102" s="528" t="s">
        <v>213</v>
      </c>
      <c r="OYJ102" s="529" t="str">
        <f>VLOOKUP(OYI102,[14]AssetDetails_UEM!$A$3:$AH$1849,6,FALSE)</f>
        <v>Electrosurgical Units, Monopolar/Bipolar</v>
      </c>
      <c r="OYK102" s="528" t="s">
        <v>213</v>
      </c>
      <c r="OYL102" s="529" t="str">
        <f>VLOOKUP(OYK102,[14]AssetDetails_UEM!$A$3:$AH$1849,6,FALSE)</f>
        <v>Electrosurgical Units, Monopolar/Bipolar</v>
      </c>
      <c r="OYM102" s="528" t="s">
        <v>213</v>
      </c>
      <c r="OYN102" s="529" t="str">
        <f>VLOOKUP(OYM102,[14]AssetDetails_UEM!$A$3:$AH$1849,6,FALSE)</f>
        <v>Electrosurgical Units, Monopolar/Bipolar</v>
      </c>
      <c r="OYO102" s="528" t="s">
        <v>213</v>
      </c>
      <c r="OYP102" s="529" t="str">
        <f>VLOOKUP(OYO102,[14]AssetDetails_UEM!$A$3:$AH$1849,6,FALSE)</f>
        <v>Electrosurgical Units, Monopolar/Bipolar</v>
      </c>
      <c r="OYQ102" s="528" t="s">
        <v>213</v>
      </c>
      <c r="OYR102" s="529" t="str">
        <f>VLOOKUP(OYQ102,[14]AssetDetails_UEM!$A$3:$AH$1849,6,FALSE)</f>
        <v>Electrosurgical Units, Monopolar/Bipolar</v>
      </c>
      <c r="OYS102" s="528" t="s">
        <v>213</v>
      </c>
      <c r="OYT102" s="529" t="str">
        <f>VLOOKUP(OYS102,[14]AssetDetails_UEM!$A$3:$AH$1849,6,FALSE)</f>
        <v>Electrosurgical Units, Monopolar/Bipolar</v>
      </c>
      <c r="OYU102" s="528" t="s">
        <v>213</v>
      </c>
      <c r="OYV102" s="529" t="str">
        <f>VLOOKUP(OYU102,[14]AssetDetails_UEM!$A$3:$AH$1849,6,FALSE)</f>
        <v>Electrosurgical Units, Monopolar/Bipolar</v>
      </c>
      <c r="OYW102" s="528" t="s">
        <v>213</v>
      </c>
      <c r="OYX102" s="529" t="str">
        <f>VLOOKUP(OYW102,[14]AssetDetails_UEM!$A$3:$AH$1849,6,FALSE)</f>
        <v>Electrosurgical Units, Monopolar/Bipolar</v>
      </c>
      <c r="OYY102" s="528" t="s">
        <v>213</v>
      </c>
      <c r="OYZ102" s="529" t="str">
        <f>VLOOKUP(OYY102,[14]AssetDetails_UEM!$A$3:$AH$1849,6,FALSE)</f>
        <v>Electrosurgical Units, Monopolar/Bipolar</v>
      </c>
      <c r="OZA102" s="528" t="s">
        <v>213</v>
      </c>
      <c r="OZB102" s="529" t="str">
        <f>VLOOKUP(OZA102,[14]AssetDetails_UEM!$A$3:$AH$1849,6,FALSE)</f>
        <v>Electrosurgical Units, Monopolar/Bipolar</v>
      </c>
      <c r="OZC102" s="528" t="s">
        <v>213</v>
      </c>
      <c r="OZD102" s="529" t="str">
        <f>VLOOKUP(OZC102,[14]AssetDetails_UEM!$A$3:$AH$1849,6,FALSE)</f>
        <v>Electrosurgical Units, Monopolar/Bipolar</v>
      </c>
      <c r="OZE102" s="528" t="s">
        <v>213</v>
      </c>
      <c r="OZF102" s="529" t="str">
        <f>VLOOKUP(OZE102,[14]AssetDetails_UEM!$A$3:$AH$1849,6,FALSE)</f>
        <v>Electrosurgical Units, Monopolar/Bipolar</v>
      </c>
      <c r="OZG102" s="528" t="s">
        <v>213</v>
      </c>
      <c r="OZH102" s="529" t="str">
        <f>VLOOKUP(OZG102,[14]AssetDetails_UEM!$A$3:$AH$1849,6,FALSE)</f>
        <v>Electrosurgical Units, Monopolar/Bipolar</v>
      </c>
      <c r="OZI102" s="528" t="s">
        <v>213</v>
      </c>
      <c r="OZJ102" s="529" t="str">
        <f>VLOOKUP(OZI102,[14]AssetDetails_UEM!$A$3:$AH$1849,6,FALSE)</f>
        <v>Electrosurgical Units, Monopolar/Bipolar</v>
      </c>
      <c r="OZK102" s="528" t="s">
        <v>213</v>
      </c>
      <c r="OZL102" s="529" t="str">
        <f>VLOOKUP(OZK102,[14]AssetDetails_UEM!$A$3:$AH$1849,6,FALSE)</f>
        <v>Electrosurgical Units, Monopolar/Bipolar</v>
      </c>
      <c r="OZM102" s="528" t="s">
        <v>213</v>
      </c>
      <c r="OZN102" s="529" t="str">
        <f>VLOOKUP(OZM102,[14]AssetDetails_UEM!$A$3:$AH$1849,6,FALSE)</f>
        <v>Electrosurgical Units, Monopolar/Bipolar</v>
      </c>
      <c r="OZO102" s="528" t="s">
        <v>213</v>
      </c>
      <c r="OZP102" s="529" t="str">
        <f>VLOOKUP(OZO102,[14]AssetDetails_UEM!$A$3:$AH$1849,6,FALSE)</f>
        <v>Electrosurgical Units, Monopolar/Bipolar</v>
      </c>
      <c r="OZQ102" s="528" t="s">
        <v>213</v>
      </c>
      <c r="OZR102" s="529" t="str">
        <f>VLOOKUP(OZQ102,[14]AssetDetails_UEM!$A$3:$AH$1849,6,FALSE)</f>
        <v>Electrosurgical Units, Monopolar/Bipolar</v>
      </c>
      <c r="OZS102" s="528" t="s">
        <v>213</v>
      </c>
      <c r="OZT102" s="529" t="str">
        <f>VLOOKUP(OZS102,[14]AssetDetails_UEM!$A$3:$AH$1849,6,FALSE)</f>
        <v>Electrosurgical Units, Monopolar/Bipolar</v>
      </c>
      <c r="OZU102" s="528" t="s">
        <v>213</v>
      </c>
      <c r="OZV102" s="529" t="str">
        <f>VLOOKUP(OZU102,[14]AssetDetails_UEM!$A$3:$AH$1849,6,FALSE)</f>
        <v>Electrosurgical Units, Monopolar/Bipolar</v>
      </c>
      <c r="OZW102" s="528" t="s">
        <v>213</v>
      </c>
      <c r="OZX102" s="529" t="str">
        <f>VLOOKUP(OZW102,[14]AssetDetails_UEM!$A$3:$AH$1849,6,FALSE)</f>
        <v>Electrosurgical Units, Monopolar/Bipolar</v>
      </c>
      <c r="OZY102" s="528" t="s">
        <v>213</v>
      </c>
      <c r="OZZ102" s="529" t="str">
        <f>VLOOKUP(OZY102,[14]AssetDetails_UEM!$A$3:$AH$1849,6,FALSE)</f>
        <v>Electrosurgical Units, Monopolar/Bipolar</v>
      </c>
      <c r="PAA102" s="528" t="s">
        <v>213</v>
      </c>
      <c r="PAB102" s="529" t="str">
        <f>VLOOKUP(PAA102,[14]AssetDetails_UEM!$A$3:$AH$1849,6,FALSE)</f>
        <v>Electrosurgical Units, Monopolar/Bipolar</v>
      </c>
      <c r="PAC102" s="528" t="s">
        <v>213</v>
      </c>
      <c r="PAD102" s="529" t="str">
        <f>VLOOKUP(PAC102,[14]AssetDetails_UEM!$A$3:$AH$1849,6,FALSE)</f>
        <v>Electrosurgical Units, Monopolar/Bipolar</v>
      </c>
      <c r="PAE102" s="528" t="s">
        <v>213</v>
      </c>
      <c r="PAF102" s="529" t="str">
        <f>VLOOKUP(PAE102,[14]AssetDetails_UEM!$A$3:$AH$1849,6,FALSE)</f>
        <v>Electrosurgical Units, Monopolar/Bipolar</v>
      </c>
      <c r="PAG102" s="528" t="s">
        <v>213</v>
      </c>
      <c r="PAH102" s="529" t="str">
        <f>VLOOKUP(PAG102,[14]AssetDetails_UEM!$A$3:$AH$1849,6,FALSE)</f>
        <v>Electrosurgical Units, Monopolar/Bipolar</v>
      </c>
      <c r="PAI102" s="528" t="s">
        <v>213</v>
      </c>
      <c r="PAJ102" s="529" t="str">
        <f>VLOOKUP(PAI102,[14]AssetDetails_UEM!$A$3:$AH$1849,6,FALSE)</f>
        <v>Electrosurgical Units, Monopolar/Bipolar</v>
      </c>
      <c r="PAK102" s="528" t="s">
        <v>213</v>
      </c>
      <c r="PAL102" s="529" t="str">
        <f>VLOOKUP(PAK102,[14]AssetDetails_UEM!$A$3:$AH$1849,6,FALSE)</f>
        <v>Electrosurgical Units, Monopolar/Bipolar</v>
      </c>
      <c r="PAM102" s="528" t="s">
        <v>213</v>
      </c>
      <c r="PAN102" s="529" t="str">
        <f>VLOOKUP(PAM102,[14]AssetDetails_UEM!$A$3:$AH$1849,6,FALSE)</f>
        <v>Electrosurgical Units, Monopolar/Bipolar</v>
      </c>
      <c r="PAO102" s="528" t="s">
        <v>213</v>
      </c>
      <c r="PAP102" s="529" t="str">
        <f>VLOOKUP(PAO102,[14]AssetDetails_UEM!$A$3:$AH$1849,6,FALSE)</f>
        <v>Electrosurgical Units, Monopolar/Bipolar</v>
      </c>
      <c r="PAQ102" s="528" t="s">
        <v>213</v>
      </c>
      <c r="PAR102" s="529" t="str">
        <f>VLOOKUP(PAQ102,[14]AssetDetails_UEM!$A$3:$AH$1849,6,FALSE)</f>
        <v>Electrosurgical Units, Monopolar/Bipolar</v>
      </c>
      <c r="PAS102" s="528" t="s">
        <v>213</v>
      </c>
      <c r="PAT102" s="529" t="str">
        <f>VLOOKUP(PAS102,[14]AssetDetails_UEM!$A$3:$AH$1849,6,FALSE)</f>
        <v>Electrosurgical Units, Monopolar/Bipolar</v>
      </c>
      <c r="PAU102" s="528" t="s">
        <v>213</v>
      </c>
      <c r="PAV102" s="529" t="str">
        <f>VLOOKUP(PAU102,[14]AssetDetails_UEM!$A$3:$AH$1849,6,FALSE)</f>
        <v>Electrosurgical Units, Monopolar/Bipolar</v>
      </c>
      <c r="PAW102" s="528" t="s">
        <v>213</v>
      </c>
      <c r="PAX102" s="529" t="str">
        <f>VLOOKUP(PAW102,[14]AssetDetails_UEM!$A$3:$AH$1849,6,FALSE)</f>
        <v>Electrosurgical Units, Monopolar/Bipolar</v>
      </c>
      <c r="PAY102" s="528" t="s">
        <v>213</v>
      </c>
      <c r="PAZ102" s="529" t="str">
        <f>VLOOKUP(PAY102,[14]AssetDetails_UEM!$A$3:$AH$1849,6,FALSE)</f>
        <v>Electrosurgical Units, Monopolar/Bipolar</v>
      </c>
      <c r="PBA102" s="528" t="s">
        <v>213</v>
      </c>
      <c r="PBB102" s="529" t="str">
        <f>VLOOKUP(PBA102,[14]AssetDetails_UEM!$A$3:$AH$1849,6,FALSE)</f>
        <v>Electrosurgical Units, Monopolar/Bipolar</v>
      </c>
      <c r="PBC102" s="528" t="s">
        <v>213</v>
      </c>
      <c r="PBD102" s="529" t="str">
        <f>VLOOKUP(PBC102,[14]AssetDetails_UEM!$A$3:$AH$1849,6,FALSE)</f>
        <v>Electrosurgical Units, Monopolar/Bipolar</v>
      </c>
      <c r="PBE102" s="528" t="s">
        <v>213</v>
      </c>
      <c r="PBF102" s="529" t="str">
        <f>VLOOKUP(PBE102,[14]AssetDetails_UEM!$A$3:$AH$1849,6,FALSE)</f>
        <v>Electrosurgical Units, Monopolar/Bipolar</v>
      </c>
      <c r="PBG102" s="528" t="s">
        <v>213</v>
      </c>
      <c r="PBH102" s="529" t="str">
        <f>VLOOKUP(PBG102,[14]AssetDetails_UEM!$A$3:$AH$1849,6,FALSE)</f>
        <v>Electrosurgical Units, Monopolar/Bipolar</v>
      </c>
      <c r="PBI102" s="528" t="s">
        <v>213</v>
      </c>
      <c r="PBJ102" s="529" t="str">
        <f>VLOOKUP(PBI102,[14]AssetDetails_UEM!$A$3:$AH$1849,6,FALSE)</f>
        <v>Electrosurgical Units, Monopolar/Bipolar</v>
      </c>
      <c r="PBK102" s="528" t="s">
        <v>213</v>
      </c>
      <c r="PBL102" s="529" t="str">
        <f>VLOOKUP(PBK102,[14]AssetDetails_UEM!$A$3:$AH$1849,6,FALSE)</f>
        <v>Electrosurgical Units, Monopolar/Bipolar</v>
      </c>
      <c r="PBM102" s="528" t="s">
        <v>213</v>
      </c>
      <c r="PBN102" s="529" t="str">
        <f>VLOOKUP(PBM102,[14]AssetDetails_UEM!$A$3:$AH$1849,6,FALSE)</f>
        <v>Electrosurgical Units, Monopolar/Bipolar</v>
      </c>
      <c r="PBO102" s="528" t="s">
        <v>213</v>
      </c>
      <c r="PBP102" s="529" t="str">
        <f>VLOOKUP(PBO102,[14]AssetDetails_UEM!$A$3:$AH$1849,6,FALSE)</f>
        <v>Electrosurgical Units, Monopolar/Bipolar</v>
      </c>
      <c r="PBQ102" s="528" t="s">
        <v>213</v>
      </c>
      <c r="PBR102" s="529" t="str">
        <f>VLOOKUP(PBQ102,[14]AssetDetails_UEM!$A$3:$AH$1849,6,FALSE)</f>
        <v>Electrosurgical Units, Monopolar/Bipolar</v>
      </c>
      <c r="PBS102" s="528" t="s">
        <v>213</v>
      </c>
      <c r="PBT102" s="529" t="str">
        <f>VLOOKUP(PBS102,[14]AssetDetails_UEM!$A$3:$AH$1849,6,FALSE)</f>
        <v>Electrosurgical Units, Monopolar/Bipolar</v>
      </c>
      <c r="PBU102" s="528" t="s">
        <v>213</v>
      </c>
      <c r="PBV102" s="529" t="str">
        <f>VLOOKUP(PBU102,[14]AssetDetails_UEM!$A$3:$AH$1849,6,FALSE)</f>
        <v>Electrosurgical Units, Monopolar/Bipolar</v>
      </c>
      <c r="PBW102" s="528" t="s">
        <v>213</v>
      </c>
      <c r="PBX102" s="529" t="str">
        <f>VLOOKUP(PBW102,[14]AssetDetails_UEM!$A$3:$AH$1849,6,FALSE)</f>
        <v>Electrosurgical Units, Monopolar/Bipolar</v>
      </c>
      <c r="PBY102" s="528" t="s">
        <v>213</v>
      </c>
      <c r="PBZ102" s="529" t="str">
        <f>VLOOKUP(PBY102,[14]AssetDetails_UEM!$A$3:$AH$1849,6,FALSE)</f>
        <v>Electrosurgical Units, Monopolar/Bipolar</v>
      </c>
      <c r="PCA102" s="528" t="s">
        <v>213</v>
      </c>
      <c r="PCB102" s="529" t="str">
        <f>VLOOKUP(PCA102,[14]AssetDetails_UEM!$A$3:$AH$1849,6,FALSE)</f>
        <v>Electrosurgical Units, Monopolar/Bipolar</v>
      </c>
      <c r="PCC102" s="528" t="s">
        <v>213</v>
      </c>
      <c r="PCD102" s="529" t="str">
        <f>VLOOKUP(PCC102,[14]AssetDetails_UEM!$A$3:$AH$1849,6,FALSE)</f>
        <v>Electrosurgical Units, Monopolar/Bipolar</v>
      </c>
      <c r="PCE102" s="528" t="s">
        <v>213</v>
      </c>
      <c r="PCF102" s="529" t="str">
        <f>VLOOKUP(PCE102,[14]AssetDetails_UEM!$A$3:$AH$1849,6,FALSE)</f>
        <v>Electrosurgical Units, Monopolar/Bipolar</v>
      </c>
      <c r="PCG102" s="528" t="s">
        <v>213</v>
      </c>
      <c r="PCH102" s="529" t="str">
        <f>VLOOKUP(PCG102,[14]AssetDetails_UEM!$A$3:$AH$1849,6,FALSE)</f>
        <v>Electrosurgical Units, Monopolar/Bipolar</v>
      </c>
      <c r="PCI102" s="528" t="s">
        <v>213</v>
      </c>
      <c r="PCJ102" s="529" t="str">
        <f>VLOOKUP(PCI102,[14]AssetDetails_UEM!$A$3:$AH$1849,6,FALSE)</f>
        <v>Electrosurgical Units, Monopolar/Bipolar</v>
      </c>
      <c r="PCK102" s="528" t="s">
        <v>213</v>
      </c>
      <c r="PCL102" s="529" t="str">
        <f>VLOOKUP(PCK102,[14]AssetDetails_UEM!$A$3:$AH$1849,6,FALSE)</f>
        <v>Electrosurgical Units, Monopolar/Bipolar</v>
      </c>
      <c r="PCM102" s="528" t="s">
        <v>213</v>
      </c>
      <c r="PCN102" s="529" t="str">
        <f>VLOOKUP(PCM102,[14]AssetDetails_UEM!$A$3:$AH$1849,6,FALSE)</f>
        <v>Electrosurgical Units, Monopolar/Bipolar</v>
      </c>
      <c r="PCO102" s="528" t="s">
        <v>213</v>
      </c>
      <c r="PCP102" s="529" t="str">
        <f>VLOOKUP(PCO102,[14]AssetDetails_UEM!$A$3:$AH$1849,6,FALSE)</f>
        <v>Electrosurgical Units, Monopolar/Bipolar</v>
      </c>
      <c r="PCQ102" s="528" t="s">
        <v>213</v>
      </c>
      <c r="PCR102" s="529" t="str">
        <f>VLOOKUP(PCQ102,[14]AssetDetails_UEM!$A$3:$AH$1849,6,FALSE)</f>
        <v>Electrosurgical Units, Monopolar/Bipolar</v>
      </c>
      <c r="PCS102" s="528" t="s">
        <v>213</v>
      </c>
      <c r="PCT102" s="529" t="str">
        <f>VLOOKUP(PCS102,[14]AssetDetails_UEM!$A$3:$AH$1849,6,FALSE)</f>
        <v>Electrosurgical Units, Monopolar/Bipolar</v>
      </c>
      <c r="PCU102" s="528" t="s">
        <v>213</v>
      </c>
      <c r="PCV102" s="529" t="str">
        <f>VLOOKUP(PCU102,[14]AssetDetails_UEM!$A$3:$AH$1849,6,FALSE)</f>
        <v>Electrosurgical Units, Monopolar/Bipolar</v>
      </c>
      <c r="PCW102" s="528" t="s">
        <v>213</v>
      </c>
      <c r="PCX102" s="529" t="str">
        <f>VLOOKUP(PCW102,[14]AssetDetails_UEM!$A$3:$AH$1849,6,FALSE)</f>
        <v>Electrosurgical Units, Monopolar/Bipolar</v>
      </c>
      <c r="PCY102" s="528" t="s">
        <v>213</v>
      </c>
      <c r="PCZ102" s="529" t="str">
        <f>VLOOKUP(PCY102,[14]AssetDetails_UEM!$A$3:$AH$1849,6,FALSE)</f>
        <v>Electrosurgical Units, Monopolar/Bipolar</v>
      </c>
      <c r="PDA102" s="528" t="s">
        <v>213</v>
      </c>
      <c r="PDB102" s="529" t="str">
        <f>VLOOKUP(PDA102,[14]AssetDetails_UEM!$A$3:$AH$1849,6,FALSE)</f>
        <v>Electrosurgical Units, Monopolar/Bipolar</v>
      </c>
      <c r="PDC102" s="528" t="s">
        <v>213</v>
      </c>
      <c r="PDD102" s="529" t="str">
        <f>VLOOKUP(PDC102,[14]AssetDetails_UEM!$A$3:$AH$1849,6,FALSE)</f>
        <v>Electrosurgical Units, Monopolar/Bipolar</v>
      </c>
      <c r="PDE102" s="528" t="s">
        <v>213</v>
      </c>
      <c r="PDF102" s="529" t="str">
        <f>VLOOKUP(PDE102,[14]AssetDetails_UEM!$A$3:$AH$1849,6,FALSE)</f>
        <v>Electrosurgical Units, Monopolar/Bipolar</v>
      </c>
      <c r="PDG102" s="528" t="s">
        <v>213</v>
      </c>
      <c r="PDH102" s="529" t="str">
        <f>VLOOKUP(PDG102,[14]AssetDetails_UEM!$A$3:$AH$1849,6,FALSE)</f>
        <v>Electrosurgical Units, Monopolar/Bipolar</v>
      </c>
      <c r="PDI102" s="528" t="s">
        <v>213</v>
      </c>
      <c r="PDJ102" s="529" t="str">
        <f>VLOOKUP(PDI102,[14]AssetDetails_UEM!$A$3:$AH$1849,6,FALSE)</f>
        <v>Electrosurgical Units, Monopolar/Bipolar</v>
      </c>
      <c r="PDK102" s="528" t="s">
        <v>213</v>
      </c>
      <c r="PDL102" s="529" t="str">
        <f>VLOOKUP(PDK102,[14]AssetDetails_UEM!$A$3:$AH$1849,6,FALSE)</f>
        <v>Electrosurgical Units, Monopolar/Bipolar</v>
      </c>
      <c r="PDM102" s="528" t="s">
        <v>213</v>
      </c>
      <c r="PDN102" s="529" t="str">
        <f>VLOOKUP(PDM102,[14]AssetDetails_UEM!$A$3:$AH$1849,6,FALSE)</f>
        <v>Electrosurgical Units, Monopolar/Bipolar</v>
      </c>
      <c r="PDO102" s="528" t="s">
        <v>213</v>
      </c>
      <c r="PDP102" s="529" t="str">
        <f>VLOOKUP(PDO102,[14]AssetDetails_UEM!$A$3:$AH$1849,6,FALSE)</f>
        <v>Electrosurgical Units, Monopolar/Bipolar</v>
      </c>
      <c r="PDQ102" s="528" t="s">
        <v>213</v>
      </c>
      <c r="PDR102" s="529" t="str">
        <f>VLOOKUP(PDQ102,[14]AssetDetails_UEM!$A$3:$AH$1849,6,FALSE)</f>
        <v>Electrosurgical Units, Monopolar/Bipolar</v>
      </c>
      <c r="PDS102" s="528" t="s">
        <v>213</v>
      </c>
      <c r="PDT102" s="529" t="str">
        <f>VLOOKUP(PDS102,[14]AssetDetails_UEM!$A$3:$AH$1849,6,FALSE)</f>
        <v>Electrosurgical Units, Monopolar/Bipolar</v>
      </c>
      <c r="PDU102" s="528" t="s">
        <v>213</v>
      </c>
      <c r="PDV102" s="529" t="str">
        <f>VLOOKUP(PDU102,[14]AssetDetails_UEM!$A$3:$AH$1849,6,FALSE)</f>
        <v>Electrosurgical Units, Monopolar/Bipolar</v>
      </c>
      <c r="PDW102" s="528" t="s">
        <v>213</v>
      </c>
      <c r="PDX102" s="529" t="str">
        <f>VLOOKUP(PDW102,[14]AssetDetails_UEM!$A$3:$AH$1849,6,FALSE)</f>
        <v>Electrosurgical Units, Monopolar/Bipolar</v>
      </c>
      <c r="PDY102" s="528" t="s">
        <v>213</v>
      </c>
      <c r="PDZ102" s="529" t="str">
        <f>VLOOKUP(PDY102,[14]AssetDetails_UEM!$A$3:$AH$1849,6,FALSE)</f>
        <v>Electrosurgical Units, Monopolar/Bipolar</v>
      </c>
      <c r="PEA102" s="528" t="s">
        <v>213</v>
      </c>
      <c r="PEB102" s="529" t="str">
        <f>VLOOKUP(PEA102,[14]AssetDetails_UEM!$A$3:$AH$1849,6,FALSE)</f>
        <v>Electrosurgical Units, Monopolar/Bipolar</v>
      </c>
      <c r="PEC102" s="528" t="s">
        <v>213</v>
      </c>
      <c r="PED102" s="529" t="str">
        <f>VLOOKUP(PEC102,[14]AssetDetails_UEM!$A$3:$AH$1849,6,FALSE)</f>
        <v>Electrosurgical Units, Monopolar/Bipolar</v>
      </c>
      <c r="PEE102" s="528" t="s">
        <v>213</v>
      </c>
      <c r="PEF102" s="529" t="str">
        <f>VLOOKUP(PEE102,[14]AssetDetails_UEM!$A$3:$AH$1849,6,FALSE)</f>
        <v>Electrosurgical Units, Monopolar/Bipolar</v>
      </c>
      <c r="PEG102" s="528" t="s">
        <v>213</v>
      </c>
      <c r="PEH102" s="529" t="str">
        <f>VLOOKUP(PEG102,[14]AssetDetails_UEM!$A$3:$AH$1849,6,FALSE)</f>
        <v>Electrosurgical Units, Monopolar/Bipolar</v>
      </c>
      <c r="PEI102" s="528" t="s">
        <v>213</v>
      </c>
      <c r="PEJ102" s="529" t="str">
        <f>VLOOKUP(PEI102,[14]AssetDetails_UEM!$A$3:$AH$1849,6,FALSE)</f>
        <v>Electrosurgical Units, Monopolar/Bipolar</v>
      </c>
      <c r="PEK102" s="528" t="s">
        <v>213</v>
      </c>
      <c r="PEL102" s="529" t="str">
        <f>VLOOKUP(PEK102,[14]AssetDetails_UEM!$A$3:$AH$1849,6,FALSE)</f>
        <v>Electrosurgical Units, Monopolar/Bipolar</v>
      </c>
      <c r="PEM102" s="528" t="s">
        <v>213</v>
      </c>
      <c r="PEN102" s="529" t="str">
        <f>VLOOKUP(PEM102,[14]AssetDetails_UEM!$A$3:$AH$1849,6,FALSE)</f>
        <v>Electrosurgical Units, Monopolar/Bipolar</v>
      </c>
      <c r="PEO102" s="528" t="s">
        <v>213</v>
      </c>
      <c r="PEP102" s="529" t="str">
        <f>VLOOKUP(PEO102,[14]AssetDetails_UEM!$A$3:$AH$1849,6,FALSE)</f>
        <v>Electrosurgical Units, Monopolar/Bipolar</v>
      </c>
      <c r="PEQ102" s="528" t="s">
        <v>213</v>
      </c>
      <c r="PER102" s="529" t="str">
        <f>VLOOKUP(PEQ102,[14]AssetDetails_UEM!$A$3:$AH$1849,6,FALSE)</f>
        <v>Electrosurgical Units, Monopolar/Bipolar</v>
      </c>
      <c r="PES102" s="528" t="s">
        <v>213</v>
      </c>
      <c r="PET102" s="529" t="str">
        <f>VLOOKUP(PES102,[14]AssetDetails_UEM!$A$3:$AH$1849,6,FALSE)</f>
        <v>Electrosurgical Units, Monopolar/Bipolar</v>
      </c>
      <c r="PEU102" s="528" t="s">
        <v>213</v>
      </c>
      <c r="PEV102" s="529" t="str">
        <f>VLOOKUP(PEU102,[14]AssetDetails_UEM!$A$3:$AH$1849,6,FALSE)</f>
        <v>Electrosurgical Units, Monopolar/Bipolar</v>
      </c>
      <c r="PEW102" s="528" t="s">
        <v>213</v>
      </c>
      <c r="PEX102" s="529" t="str">
        <f>VLOOKUP(PEW102,[14]AssetDetails_UEM!$A$3:$AH$1849,6,FALSE)</f>
        <v>Electrosurgical Units, Monopolar/Bipolar</v>
      </c>
      <c r="PEY102" s="528" t="s">
        <v>213</v>
      </c>
      <c r="PEZ102" s="529" t="str">
        <f>VLOOKUP(PEY102,[14]AssetDetails_UEM!$A$3:$AH$1849,6,FALSE)</f>
        <v>Electrosurgical Units, Monopolar/Bipolar</v>
      </c>
      <c r="PFA102" s="528" t="s">
        <v>213</v>
      </c>
      <c r="PFB102" s="529" t="str">
        <f>VLOOKUP(PFA102,[14]AssetDetails_UEM!$A$3:$AH$1849,6,FALSE)</f>
        <v>Electrosurgical Units, Monopolar/Bipolar</v>
      </c>
      <c r="PFC102" s="528" t="s">
        <v>213</v>
      </c>
      <c r="PFD102" s="529" t="str">
        <f>VLOOKUP(PFC102,[14]AssetDetails_UEM!$A$3:$AH$1849,6,FALSE)</f>
        <v>Electrosurgical Units, Monopolar/Bipolar</v>
      </c>
      <c r="PFE102" s="528" t="s">
        <v>213</v>
      </c>
      <c r="PFF102" s="529" t="str">
        <f>VLOOKUP(PFE102,[14]AssetDetails_UEM!$A$3:$AH$1849,6,FALSE)</f>
        <v>Electrosurgical Units, Monopolar/Bipolar</v>
      </c>
      <c r="PFG102" s="528" t="s">
        <v>213</v>
      </c>
      <c r="PFH102" s="529" t="str">
        <f>VLOOKUP(PFG102,[14]AssetDetails_UEM!$A$3:$AH$1849,6,FALSE)</f>
        <v>Electrosurgical Units, Monopolar/Bipolar</v>
      </c>
      <c r="PFI102" s="528" t="s">
        <v>213</v>
      </c>
      <c r="PFJ102" s="529" t="str">
        <f>VLOOKUP(PFI102,[14]AssetDetails_UEM!$A$3:$AH$1849,6,FALSE)</f>
        <v>Electrosurgical Units, Monopolar/Bipolar</v>
      </c>
      <c r="PFK102" s="528" t="s">
        <v>213</v>
      </c>
      <c r="PFL102" s="529" t="str">
        <f>VLOOKUP(PFK102,[14]AssetDetails_UEM!$A$3:$AH$1849,6,FALSE)</f>
        <v>Electrosurgical Units, Monopolar/Bipolar</v>
      </c>
      <c r="PFM102" s="528" t="s">
        <v>213</v>
      </c>
      <c r="PFN102" s="529" t="str">
        <f>VLOOKUP(PFM102,[14]AssetDetails_UEM!$A$3:$AH$1849,6,FALSE)</f>
        <v>Electrosurgical Units, Monopolar/Bipolar</v>
      </c>
      <c r="PFO102" s="528" t="s">
        <v>213</v>
      </c>
      <c r="PFP102" s="529" t="str">
        <f>VLOOKUP(PFO102,[14]AssetDetails_UEM!$A$3:$AH$1849,6,FALSE)</f>
        <v>Electrosurgical Units, Monopolar/Bipolar</v>
      </c>
      <c r="PFQ102" s="528" t="s">
        <v>213</v>
      </c>
      <c r="PFR102" s="529" t="str">
        <f>VLOOKUP(PFQ102,[14]AssetDetails_UEM!$A$3:$AH$1849,6,FALSE)</f>
        <v>Electrosurgical Units, Monopolar/Bipolar</v>
      </c>
      <c r="PFS102" s="528" t="s">
        <v>213</v>
      </c>
      <c r="PFT102" s="529" t="str">
        <f>VLOOKUP(PFS102,[14]AssetDetails_UEM!$A$3:$AH$1849,6,FALSE)</f>
        <v>Electrosurgical Units, Monopolar/Bipolar</v>
      </c>
      <c r="PFU102" s="528" t="s">
        <v>213</v>
      </c>
      <c r="PFV102" s="529" t="str">
        <f>VLOOKUP(PFU102,[14]AssetDetails_UEM!$A$3:$AH$1849,6,FALSE)</f>
        <v>Electrosurgical Units, Monopolar/Bipolar</v>
      </c>
      <c r="PFW102" s="528" t="s">
        <v>213</v>
      </c>
      <c r="PFX102" s="529" t="str">
        <f>VLOOKUP(PFW102,[14]AssetDetails_UEM!$A$3:$AH$1849,6,FALSE)</f>
        <v>Electrosurgical Units, Monopolar/Bipolar</v>
      </c>
      <c r="PFY102" s="528" t="s">
        <v>213</v>
      </c>
      <c r="PFZ102" s="529" t="str">
        <f>VLOOKUP(PFY102,[14]AssetDetails_UEM!$A$3:$AH$1849,6,FALSE)</f>
        <v>Electrosurgical Units, Monopolar/Bipolar</v>
      </c>
      <c r="PGA102" s="528" t="s">
        <v>213</v>
      </c>
      <c r="PGB102" s="529" t="str">
        <f>VLOOKUP(PGA102,[14]AssetDetails_UEM!$A$3:$AH$1849,6,FALSE)</f>
        <v>Electrosurgical Units, Monopolar/Bipolar</v>
      </c>
      <c r="PGC102" s="528" t="s">
        <v>213</v>
      </c>
      <c r="PGD102" s="529" t="str">
        <f>VLOOKUP(PGC102,[14]AssetDetails_UEM!$A$3:$AH$1849,6,FALSE)</f>
        <v>Electrosurgical Units, Monopolar/Bipolar</v>
      </c>
      <c r="PGE102" s="528" t="s">
        <v>213</v>
      </c>
      <c r="PGF102" s="529" t="str">
        <f>VLOOKUP(PGE102,[14]AssetDetails_UEM!$A$3:$AH$1849,6,FALSE)</f>
        <v>Electrosurgical Units, Monopolar/Bipolar</v>
      </c>
      <c r="PGG102" s="528" t="s">
        <v>213</v>
      </c>
      <c r="PGH102" s="529" t="str">
        <f>VLOOKUP(PGG102,[14]AssetDetails_UEM!$A$3:$AH$1849,6,FALSE)</f>
        <v>Electrosurgical Units, Monopolar/Bipolar</v>
      </c>
      <c r="PGI102" s="528" t="s">
        <v>213</v>
      </c>
      <c r="PGJ102" s="529" t="str">
        <f>VLOOKUP(PGI102,[14]AssetDetails_UEM!$A$3:$AH$1849,6,FALSE)</f>
        <v>Electrosurgical Units, Monopolar/Bipolar</v>
      </c>
      <c r="PGK102" s="528" t="s">
        <v>213</v>
      </c>
      <c r="PGL102" s="529" t="str">
        <f>VLOOKUP(PGK102,[14]AssetDetails_UEM!$A$3:$AH$1849,6,FALSE)</f>
        <v>Electrosurgical Units, Monopolar/Bipolar</v>
      </c>
      <c r="PGM102" s="528" t="s">
        <v>213</v>
      </c>
      <c r="PGN102" s="529" t="str">
        <f>VLOOKUP(PGM102,[14]AssetDetails_UEM!$A$3:$AH$1849,6,FALSE)</f>
        <v>Electrosurgical Units, Monopolar/Bipolar</v>
      </c>
      <c r="PGO102" s="528" t="s">
        <v>213</v>
      </c>
      <c r="PGP102" s="529" t="str">
        <f>VLOOKUP(PGO102,[14]AssetDetails_UEM!$A$3:$AH$1849,6,FALSE)</f>
        <v>Electrosurgical Units, Monopolar/Bipolar</v>
      </c>
      <c r="PGQ102" s="528" t="s">
        <v>213</v>
      </c>
      <c r="PGR102" s="529" t="str">
        <f>VLOOKUP(PGQ102,[14]AssetDetails_UEM!$A$3:$AH$1849,6,FALSE)</f>
        <v>Electrosurgical Units, Monopolar/Bipolar</v>
      </c>
      <c r="PGS102" s="528" t="s">
        <v>213</v>
      </c>
      <c r="PGT102" s="529" t="str">
        <f>VLOOKUP(PGS102,[14]AssetDetails_UEM!$A$3:$AH$1849,6,FALSE)</f>
        <v>Electrosurgical Units, Monopolar/Bipolar</v>
      </c>
      <c r="PGU102" s="528" t="s">
        <v>213</v>
      </c>
      <c r="PGV102" s="529" t="str">
        <f>VLOOKUP(PGU102,[14]AssetDetails_UEM!$A$3:$AH$1849,6,FALSE)</f>
        <v>Electrosurgical Units, Monopolar/Bipolar</v>
      </c>
      <c r="PGW102" s="528" t="s">
        <v>213</v>
      </c>
      <c r="PGX102" s="529" t="str">
        <f>VLOOKUP(PGW102,[14]AssetDetails_UEM!$A$3:$AH$1849,6,FALSE)</f>
        <v>Electrosurgical Units, Monopolar/Bipolar</v>
      </c>
      <c r="PGY102" s="528" t="s">
        <v>213</v>
      </c>
      <c r="PGZ102" s="529" t="str">
        <f>VLOOKUP(PGY102,[14]AssetDetails_UEM!$A$3:$AH$1849,6,FALSE)</f>
        <v>Electrosurgical Units, Monopolar/Bipolar</v>
      </c>
      <c r="PHA102" s="528" t="s">
        <v>213</v>
      </c>
      <c r="PHB102" s="529" t="str">
        <f>VLOOKUP(PHA102,[14]AssetDetails_UEM!$A$3:$AH$1849,6,FALSE)</f>
        <v>Electrosurgical Units, Monopolar/Bipolar</v>
      </c>
      <c r="PHC102" s="528" t="s">
        <v>213</v>
      </c>
      <c r="PHD102" s="529" t="str">
        <f>VLOOKUP(PHC102,[14]AssetDetails_UEM!$A$3:$AH$1849,6,FALSE)</f>
        <v>Electrosurgical Units, Monopolar/Bipolar</v>
      </c>
      <c r="PHE102" s="528" t="s">
        <v>213</v>
      </c>
      <c r="PHF102" s="529" t="str">
        <f>VLOOKUP(PHE102,[14]AssetDetails_UEM!$A$3:$AH$1849,6,FALSE)</f>
        <v>Electrosurgical Units, Monopolar/Bipolar</v>
      </c>
      <c r="PHG102" s="528" t="s">
        <v>213</v>
      </c>
      <c r="PHH102" s="529" t="str">
        <f>VLOOKUP(PHG102,[14]AssetDetails_UEM!$A$3:$AH$1849,6,FALSE)</f>
        <v>Electrosurgical Units, Monopolar/Bipolar</v>
      </c>
      <c r="PHI102" s="528" t="s">
        <v>213</v>
      </c>
      <c r="PHJ102" s="529" t="str">
        <f>VLOOKUP(PHI102,[14]AssetDetails_UEM!$A$3:$AH$1849,6,FALSE)</f>
        <v>Electrosurgical Units, Monopolar/Bipolar</v>
      </c>
      <c r="PHK102" s="528" t="s">
        <v>213</v>
      </c>
      <c r="PHL102" s="529" t="str">
        <f>VLOOKUP(PHK102,[14]AssetDetails_UEM!$A$3:$AH$1849,6,FALSE)</f>
        <v>Electrosurgical Units, Monopolar/Bipolar</v>
      </c>
      <c r="PHM102" s="528" t="s">
        <v>213</v>
      </c>
      <c r="PHN102" s="529" t="str">
        <f>VLOOKUP(PHM102,[14]AssetDetails_UEM!$A$3:$AH$1849,6,FALSE)</f>
        <v>Electrosurgical Units, Monopolar/Bipolar</v>
      </c>
      <c r="PHO102" s="528" t="s">
        <v>213</v>
      </c>
      <c r="PHP102" s="529" t="str">
        <f>VLOOKUP(PHO102,[14]AssetDetails_UEM!$A$3:$AH$1849,6,FALSE)</f>
        <v>Electrosurgical Units, Monopolar/Bipolar</v>
      </c>
      <c r="PHQ102" s="528" t="s">
        <v>213</v>
      </c>
      <c r="PHR102" s="529" t="str">
        <f>VLOOKUP(PHQ102,[14]AssetDetails_UEM!$A$3:$AH$1849,6,FALSE)</f>
        <v>Electrosurgical Units, Monopolar/Bipolar</v>
      </c>
      <c r="PHS102" s="528" t="s">
        <v>213</v>
      </c>
      <c r="PHT102" s="529" t="str">
        <f>VLOOKUP(PHS102,[14]AssetDetails_UEM!$A$3:$AH$1849,6,FALSE)</f>
        <v>Electrosurgical Units, Monopolar/Bipolar</v>
      </c>
      <c r="PHU102" s="528" t="s">
        <v>213</v>
      </c>
      <c r="PHV102" s="529" t="str">
        <f>VLOOKUP(PHU102,[14]AssetDetails_UEM!$A$3:$AH$1849,6,FALSE)</f>
        <v>Electrosurgical Units, Monopolar/Bipolar</v>
      </c>
      <c r="PHW102" s="528" t="s">
        <v>213</v>
      </c>
      <c r="PHX102" s="529" t="str">
        <f>VLOOKUP(PHW102,[14]AssetDetails_UEM!$A$3:$AH$1849,6,FALSE)</f>
        <v>Electrosurgical Units, Monopolar/Bipolar</v>
      </c>
      <c r="PHY102" s="528" t="s">
        <v>213</v>
      </c>
      <c r="PHZ102" s="529" t="str">
        <f>VLOOKUP(PHY102,[14]AssetDetails_UEM!$A$3:$AH$1849,6,FALSE)</f>
        <v>Electrosurgical Units, Monopolar/Bipolar</v>
      </c>
      <c r="PIA102" s="528" t="s">
        <v>213</v>
      </c>
      <c r="PIB102" s="529" t="str">
        <f>VLOOKUP(PIA102,[14]AssetDetails_UEM!$A$3:$AH$1849,6,FALSE)</f>
        <v>Electrosurgical Units, Monopolar/Bipolar</v>
      </c>
      <c r="PIC102" s="528" t="s">
        <v>213</v>
      </c>
      <c r="PID102" s="529" t="str">
        <f>VLOOKUP(PIC102,[14]AssetDetails_UEM!$A$3:$AH$1849,6,FALSE)</f>
        <v>Electrosurgical Units, Monopolar/Bipolar</v>
      </c>
      <c r="PIE102" s="528" t="s">
        <v>213</v>
      </c>
      <c r="PIF102" s="529" t="str">
        <f>VLOOKUP(PIE102,[14]AssetDetails_UEM!$A$3:$AH$1849,6,FALSE)</f>
        <v>Electrosurgical Units, Monopolar/Bipolar</v>
      </c>
      <c r="PIG102" s="528" t="s">
        <v>213</v>
      </c>
      <c r="PIH102" s="529" t="str">
        <f>VLOOKUP(PIG102,[14]AssetDetails_UEM!$A$3:$AH$1849,6,FALSE)</f>
        <v>Electrosurgical Units, Monopolar/Bipolar</v>
      </c>
      <c r="PII102" s="528" t="s">
        <v>213</v>
      </c>
      <c r="PIJ102" s="529" t="str">
        <f>VLOOKUP(PII102,[14]AssetDetails_UEM!$A$3:$AH$1849,6,FALSE)</f>
        <v>Electrosurgical Units, Monopolar/Bipolar</v>
      </c>
      <c r="PIK102" s="528" t="s">
        <v>213</v>
      </c>
      <c r="PIL102" s="529" t="str">
        <f>VLOOKUP(PIK102,[14]AssetDetails_UEM!$A$3:$AH$1849,6,FALSE)</f>
        <v>Electrosurgical Units, Monopolar/Bipolar</v>
      </c>
      <c r="PIM102" s="528" t="s">
        <v>213</v>
      </c>
      <c r="PIN102" s="529" t="str">
        <f>VLOOKUP(PIM102,[14]AssetDetails_UEM!$A$3:$AH$1849,6,FALSE)</f>
        <v>Electrosurgical Units, Monopolar/Bipolar</v>
      </c>
      <c r="PIO102" s="528" t="s">
        <v>213</v>
      </c>
      <c r="PIP102" s="529" t="str">
        <f>VLOOKUP(PIO102,[14]AssetDetails_UEM!$A$3:$AH$1849,6,FALSE)</f>
        <v>Electrosurgical Units, Monopolar/Bipolar</v>
      </c>
      <c r="PIQ102" s="528" t="s">
        <v>213</v>
      </c>
      <c r="PIR102" s="529" t="str">
        <f>VLOOKUP(PIQ102,[14]AssetDetails_UEM!$A$3:$AH$1849,6,FALSE)</f>
        <v>Electrosurgical Units, Monopolar/Bipolar</v>
      </c>
      <c r="PIS102" s="528" t="s">
        <v>213</v>
      </c>
      <c r="PIT102" s="529" t="str">
        <f>VLOOKUP(PIS102,[14]AssetDetails_UEM!$A$3:$AH$1849,6,FALSE)</f>
        <v>Electrosurgical Units, Monopolar/Bipolar</v>
      </c>
      <c r="PIU102" s="528" t="s">
        <v>213</v>
      </c>
      <c r="PIV102" s="529" t="str">
        <f>VLOOKUP(PIU102,[14]AssetDetails_UEM!$A$3:$AH$1849,6,FALSE)</f>
        <v>Electrosurgical Units, Monopolar/Bipolar</v>
      </c>
      <c r="PIW102" s="528" t="s">
        <v>213</v>
      </c>
      <c r="PIX102" s="529" t="str">
        <f>VLOOKUP(PIW102,[14]AssetDetails_UEM!$A$3:$AH$1849,6,FALSE)</f>
        <v>Electrosurgical Units, Monopolar/Bipolar</v>
      </c>
      <c r="PIY102" s="528" t="s">
        <v>213</v>
      </c>
      <c r="PIZ102" s="529" t="str">
        <f>VLOOKUP(PIY102,[14]AssetDetails_UEM!$A$3:$AH$1849,6,FALSE)</f>
        <v>Electrosurgical Units, Monopolar/Bipolar</v>
      </c>
      <c r="PJA102" s="528" t="s">
        <v>213</v>
      </c>
      <c r="PJB102" s="529" t="str">
        <f>VLOOKUP(PJA102,[14]AssetDetails_UEM!$A$3:$AH$1849,6,FALSE)</f>
        <v>Electrosurgical Units, Monopolar/Bipolar</v>
      </c>
      <c r="PJC102" s="528" t="s">
        <v>213</v>
      </c>
      <c r="PJD102" s="529" t="str">
        <f>VLOOKUP(PJC102,[14]AssetDetails_UEM!$A$3:$AH$1849,6,FALSE)</f>
        <v>Electrosurgical Units, Monopolar/Bipolar</v>
      </c>
      <c r="PJE102" s="528" t="s">
        <v>213</v>
      </c>
      <c r="PJF102" s="529" t="str">
        <f>VLOOKUP(PJE102,[14]AssetDetails_UEM!$A$3:$AH$1849,6,FALSE)</f>
        <v>Electrosurgical Units, Monopolar/Bipolar</v>
      </c>
      <c r="PJG102" s="528" t="s">
        <v>213</v>
      </c>
      <c r="PJH102" s="529" t="str">
        <f>VLOOKUP(PJG102,[14]AssetDetails_UEM!$A$3:$AH$1849,6,FALSE)</f>
        <v>Electrosurgical Units, Monopolar/Bipolar</v>
      </c>
      <c r="PJI102" s="528" t="s">
        <v>213</v>
      </c>
      <c r="PJJ102" s="529" t="str">
        <f>VLOOKUP(PJI102,[14]AssetDetails_UEM!$A$3:$AH$1849,6,FALSE)</f>
        <v>Electrosurgical Units, Monopolar/Bipolar</v>
      </c>
      <c r="PJK102" s="528" t="s">
        <v>213</v>
      </c>
      <c r="PJL102" s="529" t="str">
        <f>VLOOKUP(PJK102,[14]AssetDetails_UEM!$A$3:$AH$1849,6,FALSE)</f>
        <v>Electrosurgical Units, Monopolar/Bipolar</v>
      </c>
      <c r="PJM102" s="528" t="s">
        <v>213</v>
      </c>
      <c r="PJN102" s="529" t="str">
        <f>VLOOKUP(PJM102,[14]AssetDetails_UEM!$A$3:$AH$1849,6,FALSE)</f>
        <v>Electrosurgical Units, Monopolar/Bipolar</v>
      </c>
      <c r="PJO102" s="528" t="s">
        <v>213</v>
      </c>
      <c r="PJP102" s="529" t="str">
        <f>VLOOKUP(PJO102,[14]AssetDetails_UEM!$A$3:$AH$1849,6,FALSE)</f>
        <v>Electrosurgical Units, Monopolar/Bipolar</v>
      </c>
      <c r="PJQ102" s="528" t="s">
        <v>213</v>
      </c>
      <c r="PJR102" s="529" t="str">
        <f>VLOOKUP(PJQ102,[14]AssetDetails_UEM!$A$3:$AH$1849,6,FALSE)</f>
        <v>Electrosurgical Units, Monopolar/Bipolar</v>
      </c>
      <c r="PJS102" s="528" t="s">
        <v>213</v>
      </c>
      <c r="PJT102" s="529" t="str">
        <f>VLOOKUP(PJS102,[14]AssetDetails_UEM!$A$3:$AH$1849,6,FALSE)</f>
        <v>Electrosurgical Units, Monopolar/Bipolar</v>
      </c>
      <c r="PJU102" s="528" t="s">
        <v>213</v>
      </c>
      <c r="PJV102" s="529" t="str">
        <f>VLOOKUP(PJU102,[14]AssetDetails_UEM!$A$3:$AH$1849,6,FALSE)</f>
        <v>Electrosurgical Units, Monopolar/Bipolar</v>
      </c>
      <c r="PJW102" s="528" t="s">
        <v>213</v>
      </c>
      <c r="PJX102" s="529" t="str">
        <f>VLOOKUP(PJW102,[14]AssetDetails_UEM!$A$3:$AH$1849,6,FALSE)</f>
        <v>Electrosurgical Units, Monopolar/Bipolar</v>
      </c>
      <c r="PJY102" s="528" t="s">
        <v>213</v>
      </c>
      <c r="PJZ102" s="529" t="str">
        <f>VLOOKUP(PJY102,[14]AssetDetails_UEM!$A$3:$AH$1849,6,FALSE)</f>
        <v>Electrosurgical Units, Monopolar/Bipolar</v>
      </c>
      <c r="PKA102" s="528" t="s">
        <v>213</v>
      </c>
      <c r="PKB102" s="529" t="str">
        <f>VLOOKUP(PKA102,[14]AssetDetails_UEM!$A$3:$AH$1849,6,FALSE)</f>
        <v>Electrosurgical Units, Monopolar/Bipolar</v>
      </c>
      <c r="PKC102" s="528" t="s">
        <v>213</v>
      </c>
      <c r="PKD102" s="529" t="str">
        <f>VLOOKUP(PKC102,[14]AssetDetails_UEM!$A$3:$AH$1849,6,FALSE)</f>
        <v>Electrosurgical Units, Monopolar/Bipolar</v>
      </c>
      <c r="PKE102" s="528" t="s">
        <v>213</v>
      </c>
      <c r="PKF102" s="529" t="str">
        <f>VLOOKUP(PKE102,[14]AssetDetails_UEM!$A$3:$AH$1849,6,FALSE)</f>
        <v>Electrosurgical Units, Monopolar/Bipolar</v>
      </c>
      <c r="PKG102" s="528" t="s">
        <v>213</v>
      </c>
      <c r="PKH102" s="529" t="str">
        <f>VLOOKUP(PKG102,[14]AssetDetails_UEM!$A$3:$AH$1849,6,FALSE)</f>
        <v>Electrosurgical Units, Monopolar/Bipolar</v>
      </c>
      <c r="PKI102" s="528" t="s">
        <v>213</v>
      </c>
      <c r="PKJ102" s="529" t="str">
        <f>VLOOKUP(PKI102,[14]AssetDetails_UEM!$A$3:$AH$1849,6,FALSE)</f>
        <v>Electrosurgical Units, Monopolar/Bipolar</v>
      </c>
      <c r="PKK102" s="528" t="s">
        <v>213</v>
      </c>
      <c r="PKL102" s="529" t="str">
        <f>VLOOKUP(PKK102,[14]AssetDetails_UEM!$A$3:$AH$1849,6,FALSE)</f>
        <v>Electrosurgical Units, Monopolar/Bipolar</v>
      </c>
      <c r="PKM102" s="528" t="s">
        <v>213</v>
      </c>
      <c r="PKN102" s="529" t="str">
        <f>VLOOKUP(PKM102,[14]AssetDetails_UEM!$A$3:$AH$1849,6,FALSE)</f>
        <v>Electrosurgical Units, Monopolar/Bipolar</v>
      </c>
      <c r="PKO102" s="528" t="s">
        <v>213</v>
      </c>
      <c r="PKP102" s="529" t="str">
        <f>VLOOKUP(PKO102,[14]AssetDetails_UEM!$A$3:$AH$1849,6,FALSE)</f>
        <v>Electrosurgical Units, Monopolar/Bipolar</v>
      </c>
      <c r="PKQ102" s="528" t="s">
        <v>213</v>
      </c>
      <c r="PKR102" s="529" t="str">
        <f>VLOOKUP(PKQ102,[14]AssetDetails_UEM!$A$3:$AH$1849,6,FALSE)</f>
        <v>Electrosurgical Units, Monopolar/Bipolar</v>
      </c>
      <c r="PKS102" s="528" t="s">
        <v>213</v>
      </c>
      <c r="PKT102" s="529" t="str">
        <f>VLOOKUP(PKS102,[14]AssetDetails_UEM!$A$3:$AH$1849,6,FALSE)</f>
        <v>Electrosurgical Units, Monopolar/Bipolar</v>
      </c>
      <c r="PKU102" s="528" t="s">
        <v>213</v>
      </c>
      <c r="PKV102" s="529" t="str">
        <f>VLOOKUP(PKU102,[14]AssetDetails_UEM!$A$3:$AH$1849,6,FALSE)</f>
        <v>Electrosurgical Units, Monopolar/Bipolar</v>
      </c>
      <c r="PKW102" s="528" t="s">
        <v>213</v>
      </c>
      <c r="PKX102" s="529" t="str">
        <f>VLOOKUP(PKW102,[14]AssetDetails_UEM!$A$3:$AH$1849,6,FALSE)</f>
        <v>Electrosurgical Units, Monopolar/Bipolar</v>
      </c>
      <c r="PKY102" s="528" t="s">
        <v>213</v>
      </c>
      <c r="PKZ102" s="529" t="str">
        <f>VLOOKUP(PKY102,[14]AssetDetails_UEM!$A$3:$AH$1849,6,FALSE)</f>
        <v>Electrosurgical Units, Monopolar/Bipolar</v>
      </c>
      <c r="PLA102" s="528" t="s">
        <v>213</v>
      </c>
      <c r="PLB102" s="529" t="str">
        <f>VLOOKUP(PLA102,[14]AssetDetails_UEM!$A$3:$AH$1849,6,FALSE)</f>
        <v>Electrosurgical Units, Monopolar/Bipolar</v>
      </c>
      <c r="PLC102" s="528" t="s">
        <v>213</v>
      </c>
      <c r="PLD102" s="529" t="str">
        <f>VLOOKUP(PLC102,[14]AssetDetails_UEM!$A$3:$AH$1849,6,FALSE)</f>
        <v>Electrosurgical Units, Monopolar/Bipolar</v>
      </c>
      <c r="PLE102" s="528" t="s">
        <v>213</v>
      </c>
      <c r="PLF102" s="529" t="str">
        <f>VLOOKUP(PLE102,[14]AssetDetails_UEM!$A$3:$AH$1849,6,FALSE)</f>
        <v>Electrosurgical Units, Monopolar/Bipolar</v>
      </c>
      <c r="PLG102" s="528" t="s">
        <v>213</v>
      </c>
      <c r="PLH102" s="529" t="str">
        <f>VLOOKUP(PLG102,[14]AssetDetails_UEM!$A$3:$AH$1849,6,FALSE)</f>
        <v>Electrosurgical Units, Monopolar/Bipolar</v>
      </c>
      <c r="PLI102" s="528" t="s">
        <v>213</v>
      </c>
      <c r="PLJ102" s="529" t="str">
        <f>VLOOKUP(PLI102,[14]AssetDetails_UEM!$A$3:$AH$1849,6,FALSE)</f>
        <v>Electrosurgical Units, Monopolar/Bipolar</v>
      </c>
      <c r="PLK102" s="528" t="s">
        <v>213</v>
      </c>
      <c r="PLL102" s="529" t="str">
        <f>VLOOKUP(PLK102,[14]AssetDetails_UEM!$A$3:$AH$1849,6,FALSE)</f>
        <v>Electrosurgical Units, Monopolar/Bipolar</v>
      </c>
      <c r="PLM102" s="528" t="s">
        <v>213</v>
      </c>
      <c r="PLN102" s="529" t="str">
        <f>VLOOKUP(PLM102,[14]AssetDetails_UEM!$A$3:$AH$1849,6,FALSE)</f>
        <v>Electrosurgical Units, Monopolar/Bipolar</v>
      </c>
      <c r="PLO102" s="528" t="s">
        <v>213</v>
      </c>
      <c r="PLP102" s="529" t="str">
        <f>VLOOKUP(PLO102,[14]AssetDetails_UEM!$A$3:$AH$1849,6,FALSE)</f>
        <v>Electrosurgical Units, Monopolar/Bipolar</v>
      </c>
      <c r="PLQ102" s="528" t="s">
        <v>213</v>
      </c>
      <c r="PLR102" s="529" t="str">
        <f>VLOOKUP(PLQ102,[14]AssetDetails_UEM!$A$3:$AH$1849,6,FALSE)</f>
        <v>Electrosurgical Units, Monopolar/Bipolar</v>
      </c>
      <c r="PLS102" s="528" t="s">
        <v>213</v>
      </c>
      <c r="PLT102" s="529" t="str">
        <f>VLOOKUP(PLS102,[14]AssetDetails_UEM!$A$3:$AH$1849,6,FALSE)</f>
        <v>Electrosurgical Units, Monopolar/Bipolar</v>
      </c>
      <c r="PLU102" s="528" t="s">
        <v>213</v>
      </c>
      <c r="PLV102" s="529" t="str">
        <f>VLOOKUP(PLU102,[14]AssetDetails_UEM!$A$3:$AH$1849,6,FALSE)</f>
        <v>Electrosurgical Units, Monopolar/Bipolar</v>
      </c>
      <c r="PLW102" s="528" t="s">
        <v>213</v>
      </c>
      <c r="PLX102" s="529" t="str">
        <f>VLOOKUP(PLW102,[14]AssetDetails_UEM!$A$3:$AH$1849,6,FALSE)</f>
        <v>Electrosurgical Units, Monopolar/Bipolar</v>
      </c>
      <c r="PLY102" s="528" t="s">
        <v>213</v>
      </c>
      <c r="PLZ102" s="529" t="str">
        <f>VLOOKUP(PLY102,[14]AssetDetails_UEM!$A$3:$AH$1849,6,FALSE)</f>
        <v>Electrosurgical Units, Monopolar/Bipolar</v>
      </c>
      <c r="PMA102" s="528" t="s">
        <v>213</v>
      </c>
      <c r="PMB102" s="529" t="str">
        <f>VLOOKUP(PMA102,[14]AssetDetails_UEM!$A$3:$AH$1849,6,FALSE)</f>
        <v>Electrosurgical Units, Monopolar/Bipolar</v>
      </c>
      <c r="PMC102" s="528" t="s">
        <v>213</v>
      </c>
      <c r="PMD102" s="529" t="str">
        <f>VLOOKUP(PMC102,[14]AssetDetails_UEM!$A$3:$AH$1849,6,FALSE)</f>
        <v>Electrosurgical Units, Monopolar/Bipolar</v>
      </c>
      <c r="PME102" s="528" t="s">
        <v>213</v>
      </c>
      <c r="PMF102" s="529" t="str">
        <f>VLOOKUP(PME102,[14]AssetDetails_UEM!$A$3:$AH$1849,6,FALSE)</f>
        <v>Electrosurgical Units, Monopolar/Bipolar</v>
      </c>
      <c r="PMG102" s="528" t="s">
        <v>213</v>
      </c>
      <c r="PMH102" s="529" t="str">
        <f>VLOOKUP(PMG102,[14]AssetDetails_UEM!$A$3:$AH$1849,6,FALSE)</f>
        <v>Electrosurgical Units, Monopolar/Bipolar</v>
      </c>
      <c r="PMI102" s="528" t="s">
        <v>213</v>
      </c>
      <c r="PMJ102" s="529" t="str">
        <f>VLOOKUP(PMI102,[14]AssetDetails_UEM!$A$3:$AH$1849,6,FALSE)</f>
        <v>Electrosurgical Units, Monopolar/Bipolar</v>
      </c>
      <c r="PMK102" s="528" t="s">
        <v>213</v>
      </c>
      <c r="PML102" s="529" t="str">
        <f>VLOOKUP(PMK102,[14]AssetDetails_UEM!$A$3:$AH$1849,6,FALSE)</f>
        <v>Electrosurgical Units, Monopolar/Bipolar</v>
      </c>
      <c r="PMM102" s="528" t="s">
        <v>213</v>
      </c>
      <c r="PMN102" s="529" t="str">
        <f>VLOOKUP(PMM102,[14]AssetDetails_UEM!$A$3:$AH$1849,6,FALSE)</f>
        <v>Electrosurgical Units, Monopolar/Bipolar</v>
      </c>
      <c r="PMO102" s="528" t="s">
        <v>213</v>
      </c>
      <c r="PMP102" s="529" t="str">
        <f>VLOOKUP(PMO102,[14]AssetDetails_UEM!$A$3:$AH$1849,6,FALSE)</f>
        <v>Electrosurgical Units, Monopolar/Bipolar</v>
      </c>
      <c r="PMQ102" s="528" t="s">
        <v>213</v>
      </c>
      <c r="PMR102" s="529" t="str">
        <f>VLOOKUP(PMQ102,[14]AssetDetails_UEM!$A$3:$AH$1849,6,FALSE)</f>
        <v>Electrosurgical Units, Monopolar/Bipolar</v>
      </c>
      <c r="PMS102" s="528" t="s">
        <v>213</v>
      </c>
      <c r="PMT102" s="529" t="str">
        <f>VLOOKUP(PMS102,[14]AssetDetails_UEM!$A$3:$AH$1849,6,FALSE)</f>
        <v>Electrosurgical Units, Monopolar/Bipolar</v>
      </c>
      <c r="PMU102" s="528" t="s">
        <v>213</v>
      </c>
      <c r="PMV102" s="529" t="str">
        <f>VLOOKUP(PMU102,[14]AssetDetails_UEM!$A$3:$AH$1849,6,FALSE)</f>
        <v>Electrosurgical Units, Monopolar/Bipolar</v>
      </c>
      <c r="PMW102" s="528" t="s">
        <v>213</v>
      </c>
      <c r="PMX102" s="529" t="str">
        <f>VLOOKUP(PMW102,[14]AssetDetails_UEM!$A$3:$AH$1849,6,FALSE)</f>
        <v>Electrosurgical Units, Monopolar/Bipolar</v>
      </c>
      <c r="PMY102" s="528" t="s">
        <v>213</v>
      </c>
      <c r="PMZ102" s="529" t="str">
        <f>VLOOKUP(PMY102,[14]AssetDetails_UEM!$A$3:$AH$1849,6,FALSE)</f>
        <v>Electrosurgical Units, Monopolar/Bipolar</v>
      </c>
      <c r="PNA102" s="528" t="s">
        <v>213</v>
      </c>
      <c r="PNB102" s="529" t="str">
        <f>VLOOKUP(PNA102,[14]AssetDetails_UEM!$A$3:$AH$1849,6,FALSE)</f>
        <v>Electrosurgical Units, Monopolar/Bipolar</v>
      </c>
      <c r="PNC102" s="528" t="s">
        <v>213</v>
      </c>
      <c r="PND102" s="529" t="str">
        <f>VLOOKUP(PNC102,[14]AssetDetails_UEM!$A$3:$AH$1849,6,FALSE)</f>
        <v>Electrosurgical Units, Monopolar/Bipolar</v>
      </c>
      <c r="PNE102" s="528" t="s">
        <v>213</v>
      </c>
      <c r="PNF102" s="529" t="str">
        <f>VLOOKUP(PNE102,[14]AssetDetails_UEM!$A$3:$AH$1849,6,FALSE)</f>
        <v>Electrosurgical Units, Monopolar/Bipolar</v>
      </c>
      <c r="PNG102" s="528" t="s">
        <v>213</v>
      </c>
      <c r="PNH102" s="529" t="str">
        <f>VLOOKUP(PNG102,[14]AssetDetails_UEM!$A$3:$AH$1849,6,FALSE)</f>
        <v>Electrosurgical Units, Monopolar/Bipolar</v>
      </c>
      <c r="PNI102" s="528" t="s">
        <v>213</v>
      </c>
      <c r="PNJ102" s="529" t="str">
        <f>VLOOKUP(PNI102,[14]AssetDetails_UEM!$A$3:$AH$1849,6,FALSE)</f>
        <v>Electrosurgical Units, Monopolar/Bipolar</v>
      </c>
      <c r="PNK102" s="528" t="s">
        <v>213</v>
      </c>
      <c r="PNL102" s="529" t="str">
        <f>VLOOKUP(PNK102,[14]AssetDetails_UEM!$A$3:$AH$1849,6,FALSE)</f>
        <v>Electrosurgical Units, Monopolar/Bipolar</v>
      </c>
      <c r="PNM102" s="528" t="s">
        <v>213</v>
      </c>
      <c r="PNN102" s="529" t="str">
        <f>VLOOKUP(PNM102,[14]AssetDetails_UEM!$A$3:$AH$1849,6,FALSE)</f>
        <v>Electrosurgical Units, Monopolar/Bipolar</v>
      </c>
      <c r="PNO102" s="528" t="s">
        <v>213</v>
      </c>
      <c r="PNP102" s="529" t="str">
        <f>VLOOKUP(PNO102,[14]AssetDetails_UEM!$A$3:$AH$1849,6,FALSE)</f>
        <v>Electrosurgical Units, Monopolar/Bipolar</v>
      </c>
      <c r="PNQ102" s="528" t="s">
        <v>213</v>
      </c>
      <c r="PNR102" s="529" t="str">
        <f>VLOOKUP(PNQ102,[14]AssetDetails_UEM!$A$3:$AH$1849,6,FALSE)</f>
        <v>Electrosurgical Units, Monopolar/Bipolar</v>
      </c>
      <c r="PNS102" s="528" t="s">
        <v>213</v>
      </c>
      <c r="PNT102" s="529" t="str">
        <f>VLOOKUP(PNS102,[14]AssetDetails_UEM!$A$3:$AH$1849,6,FALSE)</f>
        <v>Electrosurgical Units, Monopolar/Bipolar</v>
      </c>
      <c r="PNU102" s="528" t="s">
        <v>213</v>
      </c>
      <c r="PNV102" s="529" t="str">
        <f>VLOOKUP(PNU102,[14]AssetDetails_UEM!$A$3:$AH$1849,6,FALSE)</f>
        <v>Electrosurgical Units, Monopolar/Bipolar</v>
      </c>
      <c r="PNW102" s="528" t="s">
        <v>213</v>
      </c>
      <c r="PNX102" s="529" t="str">
        <f>VLOOKUP(PNW102,[14]AssetDetails_UEM!$A$3:$AH$1849,6,FALSE)</f>
        <v>Electrosurgical Units, Monopolar/Bipolar</v>
      </c>
      <c r="PNY102" s="528" t="s">
        <v>213</v>
      </c>
      <c r="PNZ102" s="529" t="str">
        <f>VLOOKUP(PNY102,[14]AssetDetails_UEM!$A$3:$AH$1849,6,FALSE)</f>
        <v>Electrosurgical Units, Monopolar/Bipolar</v>
      </c>
      <c r="POA102" s="528" t="s">
        <v>213</v>
      </c>
      <c r="POB102" s="529" t="str">
        <f>VLOOKUP(POA102,[14]AssetDetails_UEM!$A$3:$AH$1849,6,FALSE)</f>
        <v>Electrosurgical Units, Monopolar/Bipolar</v>
      </c>
      <c r="POC102" s="528" t="s">
        <v>213</v>
      </c>
      <c r="POD102" s="529" t="str">
        <f>VLOOKUP(POC102,[14]AssetDetails_UEM!$A$3:$AH$1849,6,FALSE)</f>
        <v>Electrosurgical Units, Monopolar/Bipolar</v>
      </c>
      <c r="POE102" s="528" t="s">
        <v>213</v>
      </c>
      <c r="POF102" s="529" t="str">
        <f>VLOOKUP(POE102,[14]AssetDetails_UEM!$A$3:$AH$1849,6,FALSE)</f>
        <v>Electrosurgical Units, Monopolar/Bipolar</v>
      </c>
      <c r="POG102" s="528" t="s">
        <v>213</v>
      </c>
      <c r="POH102" s="529" t="str">
        <f>VLOOKUP(POG102,[14]AssetDetails_UEM!$A$3:$AH$1849,6,FALSE)</f>
        <v>Electrosurgical Units, Monopolar/Bipolar</v>
      </c>
      <c r="POI102" s="528" t="s">
        <v>213</v>
      </c>
      <c r="POJ102" s="529" t="str">
        <f>VLOOKUP(POI102,[14]AssetDetails_UEM!$A$3:$AH$1849,6,FALSE)</f>
        <v>Electrosurgical Units, Monopolar/Bipolar</v>
      </c>
      <c r="POK102" s="528" t="s">
        <v>213</v>
      </c>
      <c r="POL102" s="529" t="str">
        <f>VLOOKUP(POK102,[14]AssetDetails_UEM!$A$3:$AH$1849,6,FALSE)</f>
        <v>Electrosurgical Units, Monopolar/Bipolar</v>
      </c>
      <c r="POM102" s="528" t="s">
        <v>213</v>
      </c>
      <c r="PON102" s="529" t="str">
        <f>VLOOKUP(POM102,[14]AssetDetails_UEM!$A$3:$AH$1849,6,FALSE)</f>
        <v>Electrosurgical Units, Monopolar/Bipolar</v>
      </c>
      <c r="POO102" s="528" t="s">
        <v>213</v>
      </c>
      <c r="POP102" s="529" t="str">
        <f>VLOOKUP(POO102,[14]AssetDetails_UEM!$A$3:$AH$1849,6,FALSE)</f>
        <v>Electrosurgical Units, Monopolar/Bipolar</v>
      </c>
      <c r="POQ102" s="528" t="s">
        <v>213</v>
      </c>
      <c r="POR102" s="529" t="str">
        <f>VLOOKUP(POQ102,[14]AssetDetails_UEM!$A$3:$AH$1849,6,FALSE)</f>
        <v>Electrosurgical Units, Monopolar/Bipolar</v>
      </c>
      <c r="POS102" s="528" t="s">
        <v>213</v>
      </c>
      <c r="POT102" s="529" t="str">
        <f>VLOOKUP(POS102,[14]AssetDetails_UEM!$A$3:$AH$1849,6,FALSE)</f>
        <v>Electrosurgical Units, Monopolar/Bipolar</v>
      </c>
      <c r="POU102" s="528" t="s">
        <v>213</v>
      </c>
      <c r="POV102" s="529" t="str">
        <f>VLOOKUP(POU102,[14]AssetDetails_UEM!$A$3:$AH$1849,6,FALSE)</f>
        <v>Electrosurgical Units, Monopolar/Bipolar</v>
      </c>
      <c r="POW102" s="528" t="s">
        <v>213</v>
      </c>
      <c r="POX102" s="529" t="str">
        <f>VLOOKUP(POW102,[14]AssetDetails_UEM!$A$3:$AH$1849,6,FALSE)</f>
        <v>Electrosurgical Units, Monopolar/Bipolar</v>
      </c>
      <c r="POY102" s="528" t="s">
        <v>213</v>
      </c>
      <c r="POZ102" s="529" t="str">
        <f>VLOOKUP(POY102,[14]AssetDetails_UEM!$A$3:$AH$1849,6,FALSE)</f>
        <v>Electrosurgical Units, Monopolar/Bipolar</v>
      </c>
      <c r="PPA102" s="528" t="s">
        <v>213</v>
      </c>
      <c r="PPB102" s="529" t="str">
        <f>VLOOKUP(PPA102,[14]AssetDetails_UEM!$A$3:$AH$1849,6,FALSE)</f>
        <v>Electrosurgical Units, Monopolar/Bipolar</v>
      </c>
      <c r="PPC102" s="528" t="s">
        <v>213</v>
      </c>
      <c r="PPD102" s="529" t="str">
        <f>VLOOKUP(PPC102,[14]AssetDetails_UEM!$A$3:$AH$1849,6,FALSE)</f>
        <v>Electrosurgical Units, Monopolar/Bipolar</v>
      </c>
      <c r="PPE102" s="528" t="s">
        <v>213</v>
      </c>
      <c r="PPF102" s="529" t="str">
        <f>VLOOKUP(PPE102,[14]AssetDetails_UEM!$A$3:$AH$1849,6,FALSE)</f>
        <v>Electrosurgical Units, Monopolar/Bipolar</v>
      </c>
      <c r="PPG102" s="528" t="s">
        <v>213</v>
      </c>
      <c r="PPH102" s="529" t="str">
        <f>VLOOKUP(PPG102,[14]AssetDetails_UEM!$A$3:$AH$1849,6,FALSE)</f>
        <v>Electrosurgical Units, Monopolar/Bipolar</v>
      </c>
      <c r="PPI102" s="528" t="s">
        <v>213</v>
      </c>
      <c r="PPJ102" s="529" t="str">
        <f>VLOOKUP(PPI102,[14]AssetDetails_UEM!$A$3:$AH$1849,6,FALSE)</f>
        <v>Electrosurgical Units, Monopolar/Bipolar</v>
      </c>
      <c r="PPK102" s="528" t="s">
        <v>213</v>
      </c>
      <c r="PPL102" s="529" t="str">
        <f>VLOOKUP(PPK102,[14]AssetDetails_UEM!$A$3:$AH$1849,6,FALSE)</f>
        <v>Electrosurgical Units, Monopolar/Bipolar</v>
      </c>
      <c r="PPM102" s="528" t="s">
        <v>213</v>
      </c>
      <c r="PPN102" s="529" t="str">
        <f>VLOOKUP(PPM102,[14]AssetDetails_UEM!$A$3:$AH$1849,6,FALSE)</f>
        <v>Electrosurgical Units, Monopolar/Bipolar</v>
      </c>
      <c r="PPO102" s="528" t="s">
        <v>213</v>
      </c>
      <c r="PPP102" s="529" t="str">
        <f>VLOOKUP(PPO102,[14]AssetDetails_UEM!$A$3:$AH$1849,6,FALSE)</f>
        <v>Electrosurgical Units, Monopolar/Bipolar</v>
      </c>
      <c r="PPQ102" s="528" t="s">
        <v>213</v>
      </c>
      <c r="PPR102" s="529" t="str">
        <f>VLOOKUP(PPQ102,[14]AssetDetails_UEM!$A$3:$AH$1849,6,FALSE)</f>
        <v>Electrosurgical Units, Monopolar/Bipolar</v>
      </c>
      <c r="PPS102" s="528" t="s">
        <v>213</v>
      </c>
      <c r="PPT102" s="529" t="str">
        <f>VLOOKUP(PPS102,[14]AssetDetails_UEM!$A$3:$AH$1849,6,FALSE)</f>
        <v>Electrosurgical Units, Monopolar/Bipolar</v>
      </c>
      <c r="PPU102" s="528" t="s">
        <v>213</v>
      </c>
      <c r="PPV102" s="529" t="str">
        <f>VLOOKUP(PPU102,[14]AssetDetails_UEM!$A$3:$AH$1849,6,FALSE)</f>
        <v>Electrosurgical Units, Monopolar/Bipolar</v>
      </c>
      <c r="PPW102" s="528" t="s">
        <v>213</v>
      </c>
      <c r="PPX102" s="529" t="str">
        <f>VLOOKUP(PPW102,[14]AssetDetails_UEM!$A$3:$AH$1849,6,FALSE)</f>
        <v>Electrosurgical Units, Monopolar/Bipolar</v>
      </c>
      <c r="PPY102" s="528" t="s">
        <v>213</v>
      </c>
      <c r="PPZ102" s="529" t="str">
        <f>VLOOKUP(PPY102,[14]AssetDetails_UEM!$A$3:$AH$1849,6,FALSE)</f>
        <v>Electrosurgical Units, Monopolar/Bipolar</v>
      </c>
      <c r="PQA102" s="528" t="s">
        <v>213</v>
      </c>
      <c r="PQB102" s="529" t="str">
        <f>VLOOKUP(PQA102,[14]AssetDetails_UEM!$A$3:$AH$1849,6,FALSE)</f>
        <v>Electrosurgical Units, Monopolar/Bipolar</v>
      </c>
      <c r="PQC102" s="528" t="s">
        <v>213</v>
      </c>
      <c r="PQD102" s="529" t="str">
        <f>VLOOKUP(PQC102,[14]AssetDetails_UEM!$A$3:$AH$1849,6,FALSE)</f>
        <v>Electrosurgical Units, Monopolar/Bipolar</v>
      </c>
      <c r="PQE102" s="528" t="s">
        <v>213</v>
      </c>
      <c r="PQF102" s="529" t="str">
        <f>VLOOKUP(PQE102,[14]AssetDetails_UEM!$A$3:$AH$1849,6,FALSE)</f>
        <v>Electrosurgical Units, Monopolar/Bipolar</v>
      </c>
      <c r="PQG102" s="528" t="s">
        <v>213</v>
      </c>
      <c r="PQH102" s="529" t="str">
        <f>VLOOKUP(PQG102,[14]AssetDetails_UEM!$A$3:$AH$1849,6,FALSE)</f>
        <v>Electrosurgical Units, Monopolar/Bipolar</v>
      </c>
      <c r="PQI102" s="528" t="s">
        <v>213</v>
      </c>
      <c r="PQJ102" s="529" t="str">
        <f>VLOOKUP(PQI102,[14]AssetDetails_UEM!$A$3:$AH$1849,6,FALSE)</f>
        <v>Electrosurgical Units, Monopolar/Bipolar</v>
      </c>
      <c r="PQK102" s="528" t="s">
        <v>213</v>
      </c>
      <c r="PQL102" s="529" t="str">
        <f>VLOOKUP(PQK102,[14]AssetDetails_UEM!$A$3:$AH$1849,6,FALSE)</f>
        <v>Electrosurgical Units, Monopolar/Bipolar</v>
      </c>
      <c r="PQM102" s="528" t="s">
        <v>213</v>
      </c>
      <c r="PQN102" s="529" t="str">
        <f>VLOOKUP(PQM102,[14]AssetDetails_UEM!$A$3:$AH$1849,6,FALSE)</f>
        <v>Electrosurgical Units, Monopolar/Bipolar</v>
      </c>
      <c r="PQO102" s="528" t="s">
        <v>213</v>
      </c>
      <c r="PQP102" s="529" t="str">
        <f>VLOOKUP(PQO102,[14]AssetDetails_UEM!$A$3:$AH$1849,6,FALSE)</f>
        <v>Electrosurgical Units, Monopolar/Bipolar</v>
      </c>
      <c r="PQQ102" s="528" t="s">
        <v>213</v>
      </c>
      <c r="PQR102" s="529" t="str">
        <f>VLOOKUP(PQQ102,[14]AssetDetails_UEM!$A$3:$AH$1849,6,FALSE)</f>
        <v>Electrosurgical Units, Monopolar/Bipolar</v>
      </c>
      <c r="PQS102" s="528" t="s">
        <v>213</v>
      </c>
      <c r="PQT102" s="529" t="str">
        <f>VLOOKUP(PQS102,[14]AssetDetails_UEM!$A$3:$AH$1849,6,FALSE)</f>
        <v>Electrosurgical Units, Monopolar/Bipolar</v>
      </c>
      <c r="PQU102" s="528" t="s">
        <v>213</v>
      </c>
      <c r="PQV102" s="529" t="str">
        <f>VLOOKUP(PQU102,[14]AssetDetails_UEM!$A$3:$AH$1849,6,FALSE)</f>
        <v>Electrosurgical Units, Monopolar/Bipolar</v>
      </c>
      <c r="PQW102" s="528" t="s">
        <v>213</v>
      </c>
      <c r="PQX102" s="529" t="str">
        <f>VLOOKUP(PQW102,[14]AssetDetails_UEM!$A$3:$AH$1849,6,FALSE)</f>
        <v>Electrosurgical Units, Monopolar/Bipolar</v>
      </c>
      <c r="PQY102" s="528" t="s">
        <v>213</v>
      </c>
      <c r="PQZ102" s="529" t="str">
        <f>VLOOKUP(PQY102,[14]AssetDetails_UEM!$A$3:$AH$1849,6,FALSE)</f>
        <v>Electrosurgical Units, Monopolar/Bipolar</v>
      </c>
      <c r="PRA102" s="528" t="s">
        <v>213</v>
      </c>
      <c r="PRB102" s="529" t="str">
        <f>VLOOKUP(PRA102,[14]AssetDetails_UEM!$A$3:$AH$1849,6,FALSE)</f>
        <v>Electrosurgical Units, Monopolar/Bipolar</v>
      </c>
      <c r="PRC102" s="528" t="s">
        <v>213</v>
      </c>
      <c r="PRD102" s="529" t="str">
        <f>VLOOKUP(PRC102,[14]AssetDetails_UEM!$A$3:$AH$1849,6,FALSE)</f>
        <v>Electrosurgical Units, Monopolar/Bipolar</v>
      </c>
      <c r="PRE102" s="528" t="s">
        <v>213</v>
      </c>
      <c r="PRF102" s="529" t="str">
        <f>VLOOKUP(PRE102,[14]AssetDetails_UEM!$A$3:$AH$1849,6,FALSE)</f>
        <v>Electrosurgical Units, Monopolar/Bipolar</v>
      </c>
      <c r="PRG102" s="528" t="s">
        <v>213</v>
      </c>
      <c r="PRH102" s="529" t="str">
        <f>VLOOKUP(PRG102,[14]AssetDetails_UEM!$A$3:$AH$1849,6,FALSE)</f>
        <v>Electrosurgical Units, Monopolar/Bipolar</v>
      </c>
      <c r="PRI102" s="528" t="s">
        <v>213</v>
      </c>
      <c r="PRJ102" s="529" t="str">
        <f>VLOOKUP(PRI102,[14]AssetDetails_UEM!$A$3:$AH$1849,6,FALSE)</f>
        <v>Electrosurgical Units, Monopolar/Bipolar</v>
      </c>
      <c r="PRK102" s="528" t="s">
        <v>213</v>
      </c>
      <c r="PRL102" s="529" t="str">
        <f>VLOOKUP(PRK102,[14]AssetDetails_UEM!$A$3:$AH$1849,6,FALSE)</f>
        <v>Electrosurgical Units, Monopolar/Bipolar</v>
      </c>
      <c r="PRM102" s="528" t="s">
        <v>213</v>
      </c>
      <c r="PRN102" s="529" t="str">
        <f>VLOOKUP(PRM102,[14]AssetDetails_UEM!$A$3:$AH$1849,6,FALSE)</f>
        <v>Electrosurgical Units, Monopolar/Bipolar</v>
      </c>
      <c r="PRO102" s="528" t="s">
        <v>213</v>
      </c>
      <c r="PRP102" s="529" t="str">
        <f>VLOOKUP(PRO102,[14]AssetDetails_UEM!$A$3:$AH$1849,6,FALSE)</f>
        <v>Electrosurgical Units, Monopolar/Bipolar</v>
      </c>
      <c r="PRQ102" s="528" t="s">
        <v>213</v>
      </c>
      <c r="PRR102" s="529" t="str">
        <f>VLOOKUP(PRQ102,[14]AssetDetails_UEM!$A$3:$AH$1849,6,FALSE)</f>
        <v>Electrosurgical Units, Monopolar/Bipolar</v>
      </c>
      <c r="PRS102" s="528" t="s">
        <v>213</v>
      </c>
      <c r="PRT102" s="529" t="str">
        <f>VLOOKUP(PRS102,[14]AssetDetails_UEM!$A$3:$AH$1849,6,FALSE)</f>
        <v>Electrosurgical Units, Monopolar/Bipolar</v>
      </c>
      <c r="PRU102" s="528" t="s">
        <v>213</v>
      </c>
      <c r="PRV102" s="529" t="str">
        <f>VLOOKUP(PRU102,[14]AssetDetails_UEM!$A$3:$AH$1849,6,FALSE)</f>
        <v>Electrosurgical Units, Monopolar/Bipolar</v>
      </c>
      <c r="PRW102" s="528" t="s">
        <v>213</v>
      </c>
      <c r="PRX102" s="529" t="str">
        <f>VLOOKUP(PRW102,[14]AssetDetails_UEM!$A$3:$AH$1849,6,FALSE)</f>
        <v>Electrosurgical Units, Monopolar/Bipolar</v>
      </c>
      <c r="PRY102" s="528" t="s">
        <v>213</v>
      </c>
      <c r="PRZ102" s="529" t="str">
        <f>VLOOKUP(PRY102,[14]AssetDetails_UEM!$A$3:$AH$1849,6,FALSE)</f>
        <v>Electrosurgical Units, Monopolar/Bipolar</v>
      </c>
      <c r="PSA102" s="528" t="s">
        <v>213</v>
      </c>
      <c r="PSB102" s="529" t="str">
        <f>VLOOKUP(PSA102,[14]AssetDetails_UEM!$A$3:$AH$1849,6,FALSE)</f>
        <v>Electrosurgical Units, Monopolar/Bipolar</v>
      </c>
      <c r="PSC102" s="528" t="s">
        <v>213</v>
      </c>
      <c r="PSD102" s="529" t="str">
        <f>VLOOKUP(PSC102,[14]AssetDetails_UEM!$A$3:$AH$1849,6,FALSE)</f>
        <v>Electrosurgical Units, Monopolar/Bipolar</v>
      </c>
      <c r="PSE102" s="528" t="s">
        <v>213</v>
      </c>
      <c r="PSF102" s="529" t="str">
        <f>VLOOKUP(PSE102,[14]AssetDetails_UEM!$A$3:$AH$1849,6,FALSE)</f>
        <v>Electrosurgical Units, Monopolar/Bipolar</v>
      </c>
      <c r="PSG102" s="528" t="s">
        <v>213</v>
      </c>
      <c r="PSH102" s="529" t="str">
        <f>VLOOKUP(PSG102,[14]AssetDetails_UEM!$A$3:$AH$1849,6,FALSE)</f>
        <v>Electrosurgical Units, Monopolar/Bipolar</v>
      </c>
      <c r="PSI102" s="528" t="s">
        <v>213</v>
      </c>
      <c r="PSJ102" s="529" t="str">
        <f>VLOOKUP(PSI102,[14]AssetDetails_UEM!$A$3:$AH$1849,6,FALSE)</f>
        <v>Electrosurgical Units, Monopolar/Bipolar</v>
      </c>
      <c r="PSK102" s="528" t="s">
        <v>213</v>
      </c>
      <c r="PSL102" s="529" t="str">
        <f>VLOOKUP(PSK102,[14]AssetDetails_UEM!$A$3:$AH$1849,6,FALSE)</f>
        <v>Electrosurgical Units, Monopolar/Bipolar</v>
      </c>
      <c r="PSM102" s="528" t="s">
        <v>213</v>
      </c>
      <c r="PSN102" s="529" t="str">
        <f>VLOOKUP(PSM102,[14]AssetDetails_UEM!$A$3:$AH$1849,6,FALSE)</f>
        <v>Electrosurgical Units, Monopolar/Bipolar</v>
      </c>
      <c r="PSO102" s="528" t="s">
        <v>213</v>
      </c>
      <c r="PSP102" s="529" t="str">
        <f>VLOOKUP(PSO102,[14]AssetDetails_UEM!$A$3:$AH$1849,6,FALSE)</f>
        <v>Electrosurgical Units, Monopolar/Bipolar</v>
      </c>
      <c r="PSQ102" s="528" t="s">
        <v>213</v>
      </c>
      <c r="PSR102" s="529" t="str">
        <f>VLOOKUP(PSQ102,[14]AssetDetails_UEM!$A$3:$AH$1849,6,FALSE)</f>
        <v>Electrosurgical Units, Monopolar/Bipolar</v>
      </c>
      <c r="PSS102" s="528" t="s">
        <v>213</v>
      </c>
      <c r="PST102" s="529" t="str">
        <f>VLOOKUP(PSS102,[14]AssetDetails_UEM!$A$3:$AH$1849,6,FALSE)</f>
        <v>Electrosurgical Units, Monopolar/Bipolar</v>
      </c>
      <c r="PSU102" s="528" t="s">
        <v>213</v>
      </c>
      <c r="PSV102" s="529" t="str">
        <f>VLOOKUP(PSU102,[14]AssetDetails_UEM!$A$3:$AH$1849,6,FALSE)</f>
        <v>Electrosurgical Units, Monopolar/Bipolar</v>
      </c>
      <c r="PSW102" s="528" t="s">
        <v>213</v>
      </c>
      <c r="PSX102" s="529" t="str">
        <f>VLOOKUP(PSW102,[14]AssetDetails_UEM!$A$3:$AH$1849,6,FALSE)</f>
        <v>Electrosurgical Units, Monopolar/Bipolar</v>
      </c>
      <c r="PSY102" s="528" t="s">
        <v>213</v>
      </c>
      <c r="PSZ102" s="529" t="str">
        <f>VLOOKUP(PSY102,[14]AssetDetails_UEM!$A$3:$AH$1849,6,FALSE)</f>
        <v>Electrosurgical Units, Monopolar/Bipolar</v>
      </c>
      <c r="PTA102" s="528" t="s">
        <v>213</v>
      </c>
      <c r="PTB102" s="529" t="str">
        <f>VLOOKUP(PTA102,[14]AssetDetails_UEM!$A$3:$AH$1849,6,FALSE)</f>
        <v>Electrosurgical Units, Monopolar/Bipolar</v>
      </c>
      <c r="PTC102" s="528" t="s">
        <v>213</v>
      </c>
      <c r="PTD102" s="529" t="str">
        <f>VLOOKUP(PTC102,[14]AssetDetails_UEM!$A$3:$AH$1849,6,FALSE)</f>
        <v>Electrosurgical Units, Monopolar/Bipolar</v>
      </c>
      <c r="PTE102" s="528" t="s">
        <v>213</v>
      </c>
      <c r="PTF102" s="529" t="str">
        <f>VLOOKUP(PTE102,[14]AssetDetails_UEM!$A$3:$AH$1849,6,FALSE)</f>
        <v>Electrosurgical Units, Monopolar/Bipolar</v>
      </c>
      <c r="PTG102" s="528" t="s">
        <v>213</v>
      </c>
      <c r="PTH102" s="529" t="str">
        <f>VLOOKUP(PTG102,[14]AssetDetails_UEM!$A$3:$AH$1849,6,FALSE)</f>
        <v>Electrosurgical Units, Monopolar/Bipolar</v>
      </c>
      <c r="PTI102" s="528" t="s">
        <v>213</v>
      </c>
      <c r="PTJ102" s="529" t="str">
        <f>VLOOKUP(PTI102,[14]AssetDetails_UEM!$A$3:$AH$1849,6,FALSE)</f>
        <v>Electrosurgical Units, Monopolar/Bipolar</v>
      </c>
      <c r="PTK102" s="528" t="s">
        <v>213</v>
      </c>
      <c r="PTL102" s="529" t="str">
        <f>VLOOKUP(PTK102,[14]AssetDetails_UEM!$A$3:$AH$1849,6,FALSE)</f>
        <v>Electrosurgical Units, Monopolar/Bipolar</v>
      </c>
      <c r="PTM102" s="528" t="s">
        <v>213</v>
      </c>
      <c r="PTN102" s="529" t="str">
        <f>VLOOKUP(PTM102,[14]AssetDetails_UEM!$A$3:$AH$1849,6,FALSE)</f>
        <v>Electrosurgical Units, Monopolar/Bipolar</v>
      </c>
      <c r="PTO102" s="528" t="s">
        <v>213</v>
      </c>
      <c r="PTP102" s="529" t="str">
        <f>VLOOKUP(PTO102,[14]AssetDetails_UEM!$A$3:$AH$1849,6,FALSE)</f>
        <v>Electrosurgical Units, Monopolar/Bipolar</v>
      </c>
      <c r="PTQ102" s="528" t="s">
        <v>213</v>
      </c>
      <c r="PTR102" s="529" t="str">
        <f>VLOOKUP(PTQ102,[14]AssetDetails_UEM!$A$3:$AH$1849,6,FALSE)</f>
        <v>Electrosurgical Units, Monopolar/Bipolar</v>
      </c>
      <c r="PTS102" s="528" t="s">
        <v>213</v>
      </c>
      <c r="PTT102" s="529" t="str">
        <f>VLOOKUP(PTS102,[14]AssetDetails_UEM!$A$3:$AH$1849,6,FALSE)</f>
        <v>Electrosurgical Units, Monopolar/Bipolar</v>
      </c>
      <c r="PTU102" s="528" t="s">
        <v>213</v>
      </c>
      <c r="PTV102" s="529" t="str">
        <f>VLOOKUP(PTU102,[14]AssetDetails_UEM!$A$3:$AH$1849,6,FALSE)</f>
        <v>Electrosurgical Units, Monopolar/Bipolar</v>
      </c>
      <c r="PTW102" s="528" t="s">
        <v>213</v>
      </c>
      <c r="PTX102" s="529" t="str">
        <f>VLOOKUP(PTW102,[14]AssetDetails_UEM!$A$3:$AH$1849,6,FALSE)</f>
        <v>Electrosurgical Units, Monopolar/Bipolar</v>
      </c>
      <c r="PTY102" s="528" t="s">
        <v>213</v>
      </c>
      <c r="PTZ102" s="529" t="str">
        <f>VLOOKUP(PTY102,[14]AssetDetails_UEM!$A$3:$AH$1849,6,FALSE)</f>
        <v>Electrosurgical Units, Monopolar/Bipolar</v>
      </c>
      <c r="PUA102" s="528" t="s">
        <v>213</v>
      </c>
      <c r="PUB102" s="529" t="str">
        <f>VLOOKUP(PUA102,[14]AssetDetails_UEM!$A$3:$AH$1849,6,FALSE)</f>
        <v>Electrosurgical Units, Monopolar/Bipolar</v>
      </c>
      <c r="PUC102" s="528" t="s">
        <v>213</v>
      </c>
      <c r="PUD102" s="529" t="str">
        <f>VLOOKUP(PUC102,[14]AssetDetails_UEM!$A$3:$AH$1849,6,FALSE)</f>
        <v>Electrosurgical Units, Monopolar/Bipolar</v>
      </c>
      <c r="PUE102" s="528" t="s">
        <v>213</v>
      </c>
      <c r="PUF102" s="529" t="str">
        <f>VLOOKUP(PUE102,[14]AssetDetails_UEM!$A$3:$AH$1849,6,FALSE)</f>
        <v>Electrosurgical Units, Monopolar/Bipolar</v>
      </c>
      <c r="PUG102" s="528" t="s">
        <v>213</v>
      </c>
      <c r="PUH102" s="529" t="str">
        <f>VLOOKUP(PUG102,[14]AssetDetails_UEM!$A$3:$AH$1849,6,FALSE)</f>
        <v>Electrosurgical Units, Monopolar/Bipolar</v>
      </c>
      <c r="PUI102" s="528" t="s">
        <v>213</v>
      </c>
      <c r="PUJ102" s="529" t="str">
        <f>VLOOKUP(PUI102,[14]AssetDetails_UEM!$A$3:$AH$1849,6,FALSE)</f>
        <v>Electrosurgical Units, Monopolar/Bipolar</v>
      </c>
      <c r="PUK102" s="528" t="s">
        <v>213</v>
      </c>
      <c r="PUL102" s="529" t="str">
        <f>VLOOKUP(PUK102,[14]AssetDetails_UEM!$A$3:$AH$1849,6,FALSE)</f>
        <v>Electrosurgical Units, Monopolar/Bipolar</v>
      </c>
      <c r="PUM102" s="528" t="s">
        <v>213</v>
      </c>
      <c r="PUN102" s="529" t="str">
        <f>VLOOKUP(PUM102,[14]AssetDetails_UEM!$A$3:$AH$1849,6,FALSE)</f>
        <v>Electrosurgical Units, Monopolar/Bipolar</v>
      </c>
      <c r="PUO102" s="528" t="s">
        <v>213</v>
      </c>
      <c r="PUP102" s="529" t="str">
        <f>VLOOKUP(PUO102,[14]AssetDetails_UEM!$A$3:$AH$1849,6,FALSE)</f>
        <v>Electrosurgical Units, Monopolar/Bipolar</v>
      </c>
      <c r="PUQ102" s="528" t="s">
        <v>213</v>
      </c>
      <c r="PUR102" s="529" t="str">
        <f>VLOOKUP(PUQ102,[14]AssetDetails_UEM!$A$3:$AH$1849,6,FALSE)</f>
        <v>Electrosurgical Units, Monopolar/Bipolar</v>
      </c>
      <c r="PUS102" s="528" t="s">
        <v>213</v>
      </c>
      <c r="PUT102" s="529" t="str">
        <f>VLOOKUP(PUS102,[14]AssetDetails_UEM!$A$3:$AH$1849,6,FALSE)</f>
        <v>Electrosurgical Units, Monopolar/Bipolar</v>
      </c>
      <c r="PUU102" s="528" t="s">
        <v>213</v>
      </c>
      <c r="PUV102" s="529" t="str">
        <f>VLOOKUP(PUU102,[14]AssetDetails_UEM!$A$3:$AH$1849,6,FALSE)</f>
        <v>Electrosurgical Units, Monopolar/Bipolar</v>
      </c>
      <c r="PUW102" s="528" t="s">
        <v>213</v>
      </c>
      <c r="PUX102" s="529" t="str">
        <f>VLOOKUP(PUW102,[14]AssetDetails_UEM!$A$3:$AH$1849,6,FALSE)</f>
        <v>Electrosurgical Units, Monopolar/Bipolar</v>
      </c>
      <c r="PUY102" s="528" t="s">
        <v>213</v>
      </c>
      <c r="PUZ102" s="529" t="str">
        <f>VLOOKUP(PUY102,[14]AssetDetails_UEM!$A$3:$AH$1849,6,FALSE)</f>
        <v>Electrosurgical Units, Monopolar/Bipolar</v>
      </c>
      <c r="PVA102" s="528" t="s">
        <v>213</v>
      </c>
      <c r="PVB102" s="529" t="str">
        <f>VLOOKUP(PVA102,[14]AssetDetails_UEM!$A$3:$AH$1849,6,FALSE)</f>
        <v>Electrosurgical Units, Monopolar/Bipolar</v>
      </c>
      <c r="PVC102" s="528" t="s">
        <v>213</v>
      </c>
      <c r="PVD102" s="529" t="str">
        <f>VLOOKUP(PVC102,[14]AssetDetails_UEM!$A$3:$AH$1849,6,FALSE)</f>
        <v>Electrosurgical Units, Monopolar/Bipolar</v>
      </c>
      <c r="PVE102" s="528" t="s">
        <v>213</v>
      </c>
      <c r="PVF102" s="529" t="str">
        <f>VLOOKUP(PVE102,[14]AssetDetails_UEM!$A$3:$AH$1849,6,FALSE)</f>
        <v>Electrosurgical Units, Monopolar/Bipolar</v>
      </c>
      <c r="PVG102" s="528" t="s">
        <v>213</v>
      </c>
      <c r="PVH102" s="529" t="str">
        <f>VLOOKUP(PVG102,[14]AssetDetails_UEM!$A$3:$AH$1849,6,FALSE)</f>
        <v>Electrosurgical Units, Monopolar/Bipolar</v>
      </c>
      <c r="PVI102" s="528" t="s">
        <v>213</v>
      </c>
      <c r="PVJ102" s="529" t="str">
        <f>VLOOKUP(PVI102,[14]AssetDetails_UEM!$A$3:$AH$1849,6,FALSE)</f>
        <v>Electrosurgical Units, Monopolar/Bipolar</v>
      </c>
      <c r="PVK102" s="528" t="s">
        <v>213</v>
      </c>
      <c r="PVL102" s="529" t="str">
        <f>VLOOKUP(PVK102,[14]AssetDetails_UEM!$A$3:$AH$1849,6,FALSE)</f>
        <v>Electrosurgical Units, Monopolar/Bipolar</v>
      </c>
      <c r="PVM102" s="528" t="s">
        <v>213</v>
      </c>
      <c r="PVN102" s="529" t="str">
        <f>VLOOKUP(PVM102,[14]AssetDetails_UEM!$A$3:$AH$1849,6,FALSE)</f>
        <v>Electrosurgical Units, Monopolar/Bipolar</v>
      </c>
      <c r="PVO102" s="528" t="s">
        <v>213</v>
      </c>
      <c r="PVP102" s="529" t="str">
        <f>VLOOKUP(PVO102,[14]AssetDetails_UEM!$A$3:$AH$1849,6,FALSE)</f>
        <v>Electrosurgical Units, Monopolar/Bipolar</v>
      </c>
      <c r="PVQ102" s="528" t="s">
        <v>213</v>
      </c>
      <c r="PVR102" s="529" t="str">
        <f>VLOOKUP(PVQ102,[14]AssetDetails_UEM!$A$3:$AH$1849,6,FALSE)</f>
        <v>Electrosurgical Units, Monopolar/Bipolar</v>
      </c>
      <c r="PVS102" s="528" t="s">
        <v>213</v>
      </c>
      <c r="PVT102" s="529" t="str">
        <f>VLOOKUP(PVS102,[14]AssetDetails_UEM!$A$3:$AH$1849,6,FALSE)</f>
        <v>Electrosurgical Units, Monopolar/Bipolar</v>
      </c>
      <c r="PVU102" s="528" t="s">
        <v>213</v>
      </c>
      <c r="PVV102" s="529" t="str">
        <f>VLOOKUP(PVU102,[14]AssetDetails_UEM!$A$3:$AH$1849,6,FALSE)</f>
        <v>Electrosurgical Units, Monopolar/Bipolar</v>
      </c>
      <c r="PVW102" s="528" t="s">
        <v>213</v>
      </c>
      <c r="PVX102" s="529" t="str">
        <f>VLOOKUP(PVW102,[14]AssetDetails_UEM!$A$3:$AH$1849,6,FALSE)</f>
        <v>Electrosurgical Units, Monopolar/Bipolar</v>
      </c>
      <c r="PVY102" s="528" t="s">
        <v>213</v>
      </c>
      <c r="PVZ102" s="529" t="str">
        <f>VLOOKUP(PVY102,[14]AssetDetails_UEM!$A$3:$AH$1849,6,FALSE)</f>
        <v>Electrosurgical Units, Monopolar/Bipolar</v>
      </c>
      <c r="PWA102" s="528" t="s">
        <v>213</v>
      </c>
      <c r="PWB102" s="529" t="str">
        <f>VLOOKUP(PWA102,[14]AssetDetails_UEM!$A$3:$AH$1849,6,FALSE)</f>
        <v>Electrosurgical Units, Monopolar/Bipolar</v>
      </c>
      <c r="PWC102" s="528" t="s">
        <v>213</v>
      </c>
      <c r="PWD102" s="529" t="str">
        <f>VLOOKUP(PWC102,[14]AssetDetails_UEM!$A$3:$AH$1849,6,FALSE)</f>
        <v>Electrosurgical Units, Monopolar/Bipolar</v>
      </c>
      <c r="PWE102" s="528" t="s">
        <v>213</v>
      </c>
      <c r="PWF102" s="529" t="str">
        <f>VLOOKUP(PWE102,[14]AssetDetails_UEM!$A$3:$AH$1849,6,FALSE)</f>
        <v>Electrosurgical Units, Monopolar/Bipolar</v>
      </c>
      <c r="PWG102" s="528" t="s">
        <v>213</v>
      </c>
      <c r="PWH102" s="529" t="str">
        <f>VLOOKUP(PWG102,[14]AssetDetails_UEM!$A$3:$AH$1849,6,FALSE)</f>
        <v>Electrosurgical Units, Monopolar/Bipolar</v>
      </c>
      <c r="PWI102" s="528" t="s">
        <v>213</v>
      </c>
      <c r="PWJ102" s="529" t="str">
        <f>VLOOKUP(PWI102,[14]AssetDetails_UEM!$A$3:$AH$1849,6,FALSE)</f>
        <v>Electrosurgical Units, Monopolar/Bipolar</v>
      </c>
      <c r="PWK102" s="528" t="s">
        <v>213</v>
      </c>
      <c r="PWL102" s="529" t="str">
        <f>VLOOKUP(PWK102,[14]AssetDetails_UEM!$A$3:$AH$1849,6,FALSE)</f>
        <v>Electrosurgical Units, Monopolar/Bipolar</v>
      </c>
      <c r="PWM102" s="528" t="s">
        <v>213</v>
      </c>
      <c r="PWN102" s="529" t="str">
        <f>VLOOKUP(PWM102,[14]AssetDetails_UEM!$A$3:$AH$1849,6,FALSE)</f>
        <v>Electrosurgical Units, Monopolar/Bipolar</v>
      </c>
      <c r="PWO102" s="528" t="s">
        <v>213</v>
      </c>
      <c r="PWP102" s="529" t="str">
        <f>VLOOKUP(PWO102,[14]AssetDetails_UEM!$A$3:$AH$1849,6,FALSE)</f>
        <v>Electrosurgical Units, Monopolar/Bipolar</v>
      </c>
      <c r="PWQ102" s="528" t="s">
        <v>213</v>
      </c>
      <c r="PWR102" s="529" t="str">
        <f>VLOOKUP(PWQ102,[14]AssetDetails_UEM!$A$3:$AH$1849,6,FALSE)</f>
        <v>Electrosurgical Units, Monopolar/Bipolar</v>
      </c>
      <c r="PWS102" s="528" t="s">
        <v>213</v>
      </c>
      <c r="PWT102" s="529" t="str">
        <f>VLOOKUP(PWS102,[14]AssetDetails_UEM!$A$3:$AH$1849,6,FALSE)</f>
        <v>Electrosurgical Units, Monopolar/Bipolar</v>
      </c>
      <c r="PWU102" s="528" t="s">
        <v>213</v>
      </c>
      <c r="PWV102" s="529" t="str">
        <f>VLOOKUP(PWU102,[14]AssetDetails_UEM!$A$3:$AH$1849,6,FALSE)</f>
        <v>Electrosurgical Units, Monopolar/Bipolar</v>
      </c>
      <c r="PWW102" s="528" t="s">
        <v>213</v>
      </c>
      <c r="PWX102" s="529" t="str">
        <f>VLOOKUP(PWW102,[14]AssetDetails_UEM!$A$3:$AH$1849,6,FALSE)</f>
        <v>Electrosurgical Units, Monopolar/Bipolar</v>
      </c>
      <c r="PWY102" s="528" t="s">
        <v>213</v>
      </c>
      <c r="PWZ102" s="529" t="str">
        <f>VLOOKUP(PWY102,[14]AssetDetails_UEM!$A$3:$AH$1849,6,FALSE)</f>
        <v>Electrosurgical Units, Monopolar/Bipolar</v>
      </c>
      <c r="PXA102" s="528" t="s">
        <v>213</v>
      </c>
      <c r="PXB102" s="529" t="str">
        <f>VLOOKUP(PXA102,[14]AssetDetails_UEM!$A$3:$AH$1849,6,FALSE)</f>
        <v>Electrosurgical Units, Monopolar/Bipolar</v>
      </c>
      <c r="PXC102" s="528" t="s">
        <v>213</v>
      </c>
      <c r="PXD102" s="529" t="str">
        <f>VLOOKUP(PXC102,[14]AssetDetails_UEM!$A$3:$AH$1849,6,FALSE)</f>
        <v>Electrosurgical Units, Monopolar/Bipolar</v>
      </c>
      <c r="PXE102" s="528" t="s">
        <v>213</v>
      </c>
      <c r="PXF102" s="529" t="str">
        <f>VLOOKUP(PXE102,[14]AssetDetails_UEM!$A$3:$AH$1849,6,FALSE)</f>
        <v>Electrosurgical Units, Monopolar/Bipolar</v>
      </c>
      <c r="PXG102" s="528" t="s">
        <v>213</v>
      </c>
      <c r="PXH102" s="529" t="str">
        <f>VLOOKUP(PXG102,[14]AssetDetails_UEM!$A$3:$AH$1849,6,FALSE)</f>
        <v>Electrosurgical Units, Monopolar/Bipolar</v>
      </c>
      <c r="PXI102" s="528" t="s">
        <v>213</v>
      </c>
      <c r="PXJ102" s="529" t="str">
        <f>VLOOKUP(PXI102,[14]AssetDetails_UEM!$A$3:$AH$1849,6,FALSE)</f>
        <v>Electrosurgical Units, Monopolar/Bipolar</v>
      </c>
      <c r="PXK102" s="528" t="s">
        <v>213</v>
      </c>
      <c r="PXL102" s="529" t="str">
        <f>VLOOKUP(PXK102,[14]AssetDetails_UEM!$A$3:$AH$1849,6,FALSE)</f>
        <v>Electrosurgical Units, Monopolar/Bipolar</v>
      </c>
      <c r="PXM102" s="528" t="s">
        <v>213</v>
      </c>
      <c r="PXN102" s="529" t="str">
        <f>VLOOKUP(PXM102,[14]AssetDetails_UEM!$A$3:$AH$1849,6,FALSE)</f>
        <v>Electrosurgical Units, Monopolar/Bipolar</v>
      </c>
      <c r="PXO102" s="528" t="s">
        <v>213</v>
      </c>
      <c r="PXP102" s="529" t="str">
        <f>VLOOKUP(PXO102,[14]AssetDetails_UEM!$A$3:$AH$1849,6,FALSE)</f>
        <v>Electrosurgical Units, Monopolar/Bipolar</v>
      </c>
      <c r="PXQ102" s="528" t="s">
        <v>213</v>
      </c>
      <c r="PXR102" s="529" t="str">
        <f>VLOOKUP(PXQ102,[14]AssetDetails_UEM!$A$3:$AH$1849,6,FALSE)</f>
        <v>Electrosurgical Units, Monopolar/Bipolar</v>
      </c>
      <c r="PXS102" s="528" t="s">
        <v>213</v>
      </c>
      <c r="PXT102" s="529" t="str">
        <f>VLOOKUP(PXS102,[14]AssetDetails_UEM!$A$3:$AH$1849,6,FALSE)</f>
        <v>Electrosurgical Units, Monopolar/Bipolar</v>
      </c>
      <c r="PXU102" s="528" t="s">
        <v>213</v>
      </c>
      <c r="PXV102" s="529" t="str">
        <f>VLOOKUP(PXU102,[14]AssetDetails_UEM!$A$3:$AH$1849,6,FALSE)</f>
        <v>Electrosurgical Units, Monopolar/Bipolar</v>
      </c>
      <c r="PXW102" s="528" t="s">
        <v>213</v>
      </c>
      <c r="PXX102" s="529" t="str">
        <f>VLOOKUP(PXW102,[14]AssetDetails_UEM!$A$3:$AH$1849,6,FALSE)</f>
        <v>Electrosurgical Units, Monopolar/Bipolar</v>
      </c>
      <c r="PXY102" s="528" t="s">
        <v>213</v>
      </c>
      <c r="PXZ102" s="529" t="str">
        <f>VLOOKUP(PXY102,[14]AssetDetails_UEM!$A$3:$AH$1849,6,FALSE)</f>
        <v>Electrosurgical Units, Monopolar/Bipolar</v>
      </c>
      <c r="PYA102" s="528" t="s">
        <v>213</v>
      </c>
      <c r="PYB102" s="529" t="str">
        <f>VLOOKUP(PYA102,[14]AssetDetails_UEM!$A$3:$AH$1849,6,FALSE)</f>
        <v>Electrosurgical Units, Monopolar/Bipolar</v>
      </c>
      <c r="PYC102" s="528" t="s">
        <v>213</v>
      </c>
      <c r="PYD102" s="529" t="str">
        <f>VLOOKUP(PYC102,[14]AssetDetails_UEM!$A$3:$AH$1849,6,FALSE)</f>
        <v>Electrosurgical Units, Monopolar/Bipolar</v>
      </c>
      <c r="PYE102" s="528" t="s">
        <v>213</v>
      </c>
      <c r="PYF102" s="529" t="str">
        <f>VLOOKUP(PYE102,[14]AssetDetails_UEM!$A$3:$AH$1849,6,FALSE)</f>
        <v>Electrosurgical Units, Monopolar/Bipolar</v>
      </c>
      <c r="PYG102" s="528" t="s">
        <v>213</v>
      </c>
      <c r="PYH102" s="529" t="str">
        <f>VLOOKUP(PYG102,[14]AssetDetails_UEM!$A$3:$AH$1849,6,FALSE)</f>
        <v>Electrosurgical Units, Monopolar/Bipolar</v>
      </c>
      <c r="PYI102" s="528" t="s">
        <v>213</v>
      </c>
      <c r="PYJ102" s="529" t="str">
        <f>VLOOKUP(PYI102,[14]AssetDetails_UEM!$A$3:$AH$1849,6,FALSE)</f>
        <v>Electrosurgical Units, Monopolar/Bipolar</v>
      </c>
      <c r="PYK102" s="528" t="s">
        <v>213</v>
      </c>
      <c r="PYL102" s="529" t="str">
        <f>VLOOKUP(PYK102,[14]AssetDetails_UEM!$A$3:$AH$1849,6,FALSE)</f>
        <v>Electrosurgical Units, Monopolar/Bipolar</v>
      </c>
      <c r="PYM102" s="528" t="s">
        <v>213</v>
      </c>
      <c r="PYN102" s="529" t="str">
        <f>VLOOKUP(PYM102,[14]AssetDetails_UEM!$A$3:$AH$1849,6,FALSE)</f>
        <v>Electrosurgical Units, Monopolar/Bipolar</v>
      </c>
      <c r="PYO102" s="528" t="s">
        <v>213</v>
      </c>
      <c r="PYP102" s="529" t="str">
        <f>VLOOKUP(PYO102,[14]AssetDetails_UEM!$A$3:$AH$1849,6,FALSE)</f>
        <v>Electrosurgical Units, Monopolar/Bipolar</v>
      </c>
      <c r="PYQ102" s="528" t="s">
        <v>213</v>
      </c>
      <c r="PYR102" s="529" t="str">
        <f>VLOOKUP(PYQ102,[14]AssetDetails_UEM!$A$3:$AH$1849,6,FALSE)</f>
        <v>Electrosurgical Units, Monopolar/Bipolar</v>
      </c>
      <c r="PYS102" s="528" t="s">
        <v>213</v>
      </c>
      <c r="PYT102" s="529" t="str">
        <f>VLOOKUP(PYS102,[14]AssetDetails_UEM!$A$3:$AH$1849,6,FALSE)</f>
        <v>Electrosurgical Units, Monopolar/Bipolar</v>
      </c>
      <c r="PYU102" s="528" t="s">
        <v>213</v>
      </c>
      <c r="PYV102" s="529" t="str">
        <f>VLOOKUP(PYU102,[14]AssetDetails_UEM!$A$3:$AH$1849,6,FALSE)</f>
        <v>Electrosurgical Units, Monopolar/Bipolar</v>
      </c>
      <c r="PYW102" s="528" t="s">
        <v>213</v>
      </c>
      <c r="PYX102" s="529" t="str">
        <f>VLOOKUP(PYW102,[14]AssetDetails_UEM!$A$3:$AH$1849,6,FALSE)</f>
        <v>Electrosurgical Units, Monopolar/Bipolar</v>
      </c>
      <c r="PYY102" s="528" t="s">
        <v>213</v>
      </c>
      <c r="PYZ102" s="529" t="str">
        <f>VLOOKUP(PYY102,[14]AssetDetails_UEM!$A$3:$AH$1849,6,FALSE)</f>
        <v>Electrosurgical Units, Monopolar/Bipolar</v>
      </c>
      <c r="PZA102" s="528" t="s">
        <v>213</v>
      </c>
      <c r="PZB102" s="529" t="str">
        <f>VLOOKUP(PZA102,[14]AssetDetails_UEM!$A$3:$AH$1849,6,FALSE)</f>
        <v>Electrosurgical Units, Monopolar/Bipolar</v>
      </c>
      <c r="PZC102" s="528" t="s">
        <v>213</v>
      </c>
      <c r="PZD102" s="529" t="str">
        <f>VLOOKUP(PZC102,[14]AssetDetails_UEM!$A$3:$AH$1849,6,FALSE)</f>
        <v>Electrosurgical Units, Monopolar/Bipolar</v>
      </c>
      <c r="PZE102" s="528" t="s">
        <v>213</v>
      </c>
      <c r="PZF102" s="529" t="str">
        <f>VLOOKUP(PZE102,[14]AssetDetails_UEM!$A$3:$AH$1849,6,FALSE)</f>
        <v>Electrosurgical Units, Monopolar/Bipolar</v>
      </c>
      <c r="PZG102" s="528" t="s">
        <v>213</v>
      </c>
      <c r="PZH102" s="529" t="str">
        <f>VLOOKUP(PZG102,[14]AssetDetails_UEM!$A$3:$AH$1849,6,FALSE)</f>
        <v>Electrosurgical Units, Monopolar/Bipolar</v>
      </c>
      <c r="PZI102" s="528" t="s">
        <v>213</v>
      </c>
      <c r="PZJ102" s="529" t="str">
        <f>VLOOKUP(PZI102,[14]AssetDetails_UEM!$A$3:$AH$1849,6,FALSE)</f>
        <v>Electrosurgical Units, Monopolar/Bipolar</v>
      </c>
      <c r="PZK102" s="528" t="s">
        <v>213</v>
      </c>
      <c r="PZL102" s="529" t="str">
        <f>VLOOKUP(PZK102,[14]AssetDetails_UEM!$A$3:$AH$1849,6,FALSE)</f>
        <v>Electrosurgical Units, Monopolar/Bipolar</v>
      </c>
      <c r="PZM102" s="528" t="s">
        <v>213</v>
      </c>
      <c r="PZN102" s="529" t="str">
        <f>VLOOKUP(PZM102,[14]AssetDetails_UEM!$A$3:$AH$1849,6,FALSE)</f>
        <v>Electrosurgical Units, Monopolar/Bipolar</v>
      </c>
      <c r="PZO102" s="528" t="s">
        <v>213</v>
      </c>
      <c r="PZP102" s="529" t="str">
        <f>VLOOKUP(PZO102,[14]AssetDetails_UEM!$A$3:$AH$1849,6,FALSE)</f>
        <v>Electrosurgical Units, Monopolar/Bipolar</v>
      </c>
      <c r="PZQ102" s="528" t="s">
        <v>213</v>
      </c>
      <c r="PZR102" s="529" t="str">
        <f>VLOOKUP(PZQ102,[14]AssetDetails_UEM!$A$3:$AH$1849,6,FALSE)</f>
        <v>Electrosurgical Units, Monopolar/Bipolar</v>
      </c>
      <c r="PZS102" s="528" t="s">
        <v>213</v>
      </c>
      <c r="PZT102" s="529" t="str">
        <f>VLOOKUP(PZS102,[14]AssetDetails_UEM!$A$3:$AH$1849,6,FALSE)</f>
        <v>Electrosurgical Units, Monopolar/Bipolar</v>
      </c>
      <c r="PZU102" s="528" t="s">
        <v>213</v>
      </c>
      <c r="PZV102" s="529" t="str">
        <f>VLOOKUP(PZU102,[14]AssetDetails_UEM!$A$3:$AH$1849,6,FALSE)</f>
        <v>Electrosurgical Units, Monopolar/Bipolar</v>
      </c>
      <c r="PZW102" s="528" t="s">
        <v>213</v>
      </c>
      <c r="PZX102" s="529" t="str">
        <f>VLOOKUP(PZW102,[14]AssetDetails_UEM!$A$3:$AH$1849,6,FALSE)</f>
        <v>Electrosurgical Units, Monopolar/Bipolar</v>
      </c>
      <c r="PZY102" s="528" t="s">
        <v>213</v>
      </c>
      <c r="PZZ102" s="529" t="str">
        <f>VLOOKUP(PZY102,[14]AssetDetails_UEM!$A$3:$AH$1849,6,FALSE)</f>
        <v>Electrosurgical Units, Monopolar/Bipolar</v>
      </c>
      <c r="QAA102" s="528" t="s">
        <v>213</v>
      </c>
      <c r="QAB102" s="529" t="str">
        <f>VLOOKUP(QAA102,[14]AssetDetails_UEM!$A$3:$AH$1849,6,FALSE)</f>
        <v>Electrosurgical Units, Monopolar/Bipolar</v>
      </c>
      <c r="QAC102" s="528" t="s">
        <v>213</v>
      </c>
      <c r="QAD102" s="529" t="str">
        <f>VLOOKUP(QAC102,[14]AssetDetails_UEM!$A$3:$AH$1849,6,FALSE)</f>
        <v>Electrosurgical Units, Monopolar/Bipolar</v>
      </c>
      <c r="QAE102" s="528" t="s">
        <v>213</v>
      </c>
      <c r="QAF102" s="529" t="str">
        <f>VLOOKUP(QAE102,[14]AssetDetails_UEM!$A$3:$AH$1849,6,FALSE)</f>
        <v>Electrosurgical Units, Monopolar/Bipolar</v>
      </c>
      <c r="QAG102" s="528" t="s">
        <v>213</v>
      </c>
      <c r="QAH102" s="529" t="str">
        <f>VLOOKUP(QAG102,[14]AssetDetails_UEM!$A$3:$AH$1849,6,FALSE)</f>
        <v>Electrosurgical Units, Monopolar/Bipolar</v>
      </c>
      <c r="QAI102" s="528" t="s">
        <v>213</v>
      </c>
      <c r="QAJ102" s="529" t="str">
        <f>VLOOKUP(QAI102,[14]AssetDetails_UEM!$A$3:$AH$1849,6,FALSE)</f>
        <v>Electrosurgical Units, Monopolar/Bipolar</v>
      </c>
      <c r="QAK102" s="528" t="s">
        <v>213</v>
      </c>
      <c r="QAL102" s="529" t="str">
        <f>VLOOKUP(QAK102,[14]AssetDetails_UEM!$A$3:$AH$1849,6,FALSE)</f>
        <v>Electrosurgical Units, Monopolar/Bipolar</v>
      </c>
      <c r="QAM102" s="528" t="s">
        <v>213</v>
      </c>
      <c r="QAN102" s="529" t="str">
        <f>VLOOKUP(QAM102,[14]AssetDetails_UEM!$A$3:$AH$1849,6,FALSE)</f>
        <v>Electrosurgical Units, Monopolar/Bipolar</v>
      </c>
      <c r="QAO102" s="528" t="s">
        <v>213</v>
      </c>
      <c r="QAP102" s="529" t="str">
        <f>VLOOKUP(QAO102,[14]AssetDetails_UEM!$A$3:$AH$1849,6,FALSE)</f>
        <v>Electrosurgical Units, Monopolar/Bipolar</v>
      </c>
      <c r="QAQ102" s="528" t="s">
        <v>213</v>
      </c>
      <c r="QAR102" s="529" t="str">
        <f>VLOOKUP(QAQ102,[14]AssetDetails_UEM!$A$3:$AH$1849,6,FALSE)</f>
        <v>Electrosurgical Units, Monopolar/Bipolar</v>
      </c>
      <c r="QAS102" s="528" t="s">
        <v>213</v>
      </c>
      <c r="QAT102" s="529" t="str">
        <f>VLOOKUP(QAS102,[14]AssetDetails_UEM!$A$3:$AH$1849,6,FALSE)</f>
        <v>Electrosurgical Units, Monopolar/Bipolar</v>
      </c>
      <c r="QAU102" s="528" t="s">
        <v>213</v>
      </c>
      <c r="QAV102" s="529" t="str">
        <f>VLOOKUP(QAU102,[14]AssetDetails_UEM!$A$3:$AH$1849,6,FALSE)</f>
        <v>Electrosurgical Units, Monopolar/Bipolar</v>
      </c>
      <c r="QAW102" s="528" t="s">
        <v>213</v>
      </c>
      <c r="QAX102" s="529" t="str">
        <f>VLOOKUP(QAW102,[14]AssetDetails_UEM!$A$3:$AH$1849,6,FALSE)</f>
        <v>Electrosurgical Units, Monopolar/Bipolar</v>
      </c>
      <c r="QAY102" s="528" t="s">
        <v>213</v>
      </c>
      <c r="QAZ102" s="529" t="str">
        <f>VLOOKUP(QAY102,[14]AssetDetails_UEM!$A$3:$AH$1849,6,FALSE)</f>
        <v>Electrosurgical Units, Monopolar/Bipolar</v>
      </c>
      <c r="QBA102" s="528" t="s">
        <v>213</v>
      </c>
      <c r="QBB102" s="529" t="str">
        <f>VLOOKUP(QBA102,[14]AssetDetails_UEM!$A$3:$AH$1849,6,FALSE)</f>
        <v>Electrosurgical Units, Monopolar/Bipolar</v>
      </c>
      <c r="QBC102" s="528" t="s">
        <v>213</v>
      </c>
      <c r="QBD102" s="529" t="str">
        <f>VLOOKUP(QBC102,[14]AssetDetails_UEM!$A$3:$AH$1849,6,FALSE)</f>
        <v>Electrosurgical Units, Monopolar/Bipolar</v>
      </c>
      <c r="QBE102" s="528" t="s">
        <v>213</v>
      </c>
      <c r="QBF102" s="529" t="str">
        <f>VLOOKUP(QBE102,[14]AssetDetails_UEM!$A$3:$AH$1849,6,FALSE)</f>
        <v>Electrosurgical Units, Monopolar/Bipolar</v>
      </c>
      <c r="QBG102" s="528" t="s">
        <v>213</v>
      </c>
      <c r="QBH102" s="529" t="str">
        <f>VLOOKUP(QBG102,[14]AssetDetails_UEM!$A$3:$AH$1849,6,FALSE)</f>
        <v>Electrosurgical Units, Monopolar/Bipolar</v>
      </c>
      <c r="QBI102" s="528" t="s">
        <v>213</v>
      </c>
      <c r="QBJ102" s="529" t="str">
        <f>VLOOKUP(QBI102,[14]AssetDetails_UEM!$A$3:$AH$1849,6,FALSE)</f>
        <v>Electrosurgical Units, Monopolar/Bipolar</v>
      </c>
      <c r="QBK102" s="528" t="s">
        <v>213</v>
      </c>
      <c r="QBL102" s="529" t="str">
        <f>VLOOKUP(QBK102,[14]AssetDetails_UEM!$A$3:$AH$1849,6,FALSE)</f>
        <v>Electrosurgical Units, Monopolar/Bipolar</v>
      </c>
      <c r="QBM102" s="528" t="s">
        <v>213</v>
      </c>
      <c r="QBN102" s="529" t="str">
        <f>VLOOKUP(QBM102,[14]AssetDetails_UEM!$A$3:$AH$1849,6,FALSE)</f>
        <v>Electrosurgical Units, Monopolar/Bipolar</v>
      </c>
      <c r="QBO102" s="528" t="s">
        <v>213</v>
      </c>
      <c r="QBP102" s="529" t="str">
        <f>VLOOKUP(QBO102,[14]AssetDetails_UEM!$A$3:$AH$1849,6,FALSE)</f>
        <v>Electrosurgical Units, Monopolar/Bipolar</v>
      </c>
      <c r="QBQ102" s="528" t="s">
        <v>213</v>
      </c>
      <c r="QBR102" s="529" t="str">
        <f>VLOOKUP(QBQ102,[14]AssetDetails_UEM!$A$3:$AH$1849,6,FALSE)</f>
        <v>Electrosurgical Units, Monopolar/Bipolar</v>
      </c>
      <c r="QBS102" s="528" t="s">
        <v>213</v>
      </c>
      <c r="QBT102" s="529" t="str">
        <f>VLOOKUP(QBS102,[14]AssetDetails_UEM!$A$3:$AH$1849,6,FALSE)</f>
        <v>Electrosurgical Units, Monopolar/Bipolar</v>
      </c>
      <c r="QBU102" s="528" t="s">
        <v>213</v>
      </c>
      <c r="QBV102" s="529" t="str">
        <f>VLOOKUP(QBU102,[14]AssetDetails_UEM!$A$3:$AH$1849,6,FALSE)</f>
        <v>Electrosurgical Units, Monopolar/Bipolar</v>
      </c>
      <c r="QBW102" s="528" t="s">
        <v>213</v>
      </c>
      <c r="QBX102" s="529" t="str">
        <f>VLOOKUP(QBW102,[14]AssetDetails_UEM!$A$3:$AH$1849,6,FALSE)</f>
        <v>Electrosurgical Units, Monopolar/Bipolar</v>
      </c>
      <c r="QBY102" s="528" t="s">
        <v>213</v>
      </c>
      <c r="QBZ102" s="529" t="str">
        <f>VLOOKUP(QBY102,[14]AssetDetails_UEM!$A$3:$AH$1849,6,FALSE)</f>
        <v>Electrosurgical Units, Monopolar/Bipolar</v>
      </c>
      <c r="QCA102" s="528" t="s">
        <v>213</v>
      </c>
      <c r="QCB102" s="529" t="str">
        <f>VLOOKUP(QCA102,[14]AssetDetails_UEM!$A$3:$AH$1849,6,FALSE)</f>
        <v>Electrosurgical Units, Monopolar/Bipolar</v>
      </c>
      <c r="QCC102" s="528" t="s">
        <v>213</v>
      </c>
      <c r="QCD102" s="529" t="str">
        <f>VLOOKUP(QCC102,[14]AssetDetails_UEM!$A$3:$AH$1849,6,FALSE)</f>
        <v>Electrosurgical Units, Monopolar/Bipolar</v>
      </c>
      <c r="QCE102" s="528" t="s">
        <v>213</v>
      </c>
      <c r="QCF102" s="529" t="str">
        <f>VLOOKUP(QCE102,[14]AssetDetails_UEM!$A$3:$AH$1849,6,FALSE)</f>
        <v>Electrosurgical Units, Monopolar/Bipolar</v>
      </c>
      <c r="QCG102" s="528" t="s">
        <v>213</v>
      </c>
      <c r="QCH102" s="529" t="str">
        <f>VLOOKUP(QCG102,[14]AssetDetails_UEM!$A$3:$AH$1849,6,FALSE)</f>
        <v>Electrosurgical Units, Monopolar/Bipolar</v>
      </c>
      <c r="QCI102" s="528" t="s">
        <v>213</v>
      </c>
      <c r="QCJ102" s="529" t="str">
        <f>VLOOKUP(QCI102,[14]AssetDetails_UEM!$A$3:$AH$1849,6,FALSE)</f>
        <v>Electrosurgical Units, Monopolar/Bipolar</v>
      </c>
      <c r="QCK102" s="528" t="s">
        <v>213</v>
      </c>
      <c r="QCL102" s="529" t="str">
        <f>VLOOKUP(QCK102,[14]AssetDetails_UEM!$A$3:$AH$1849,6,FALSE)</f>
        <v>Electrosurgical Units, Monopolar/Bipolar</v>
      </c>
      <c r="QCM102" s="528" t="s">
        <v>213</v>
      </c>
      <c r="QCN102" s="529" t="str">
        <f>VLOOKUP(QCM102,[14]AssetDetails_UEM!$A$3:$AH$1849,6,FALSE)</f>
        <v>Electrosurgical Units, Monopolar/Bipolar</v>
      </c>
      <c r="QCO102" s="528" t="s">
        <v>213</v>
      </c>
      <c r="QCP102" s="529" t="str">
        <f>VLOOKUP(QCO102,[14]AssetDetails_UEM!$A$3:$AH$1849,6,FALSE)</f>
        <v>Electrosurgical Units, Monopolar/Bipolar</v>
      </c>
      <c r="QCQ102" s="528" t="s">
        <v>213</v>
      </c>
      <c r="QCR102" s="529" t="str">
        <f>VLOOKUP(QCQ102,[14]AssetDetails_UEM!$A$3:$AH$1849,6,FALSE)</f>
        <v>Electrosurgical Units, Monopolar/Bipolar</v>
      </c>
      <c r="QCS102" s="528" t="s">
        <v>213</v>
      </c>
      <c r="QCT102" s="529" t="str">
        <f>VLOOKUP(QCS102,[14]AssetDetails_UEM!$A$3:$AH$1849,6,FALSE)</f>
        <v>Electrosurgical Units, Monopolar/Bipolar</v>
      </c>
      <c r="QCU102" s="528" t="s">
        <v>213</v>
      </c>
      <c r="QCV102" s="529" t="str">
        <f>VLOOKUP(QCU102,[14]AssetDetails_UEM!$A$3:$AH$1849,6,FALSE)</f>
        <v>Electrosurgical Units, Monopolar/Bipolar</v>
      </c>
      <c r="QCW102" s="528" t="s">
        <v>213</v>
      </c>
      <c r="QCX102" s="529" t="str">
        <f>VLOOKUP(QCW102,[14]AssetDetails_UEM!$A$3:$AH$1849,6,FALSE)</f>
        <v>Electrosurgical Units, Monopolar/Bipolar</v>
      </c>
      <c r="QCY102" s="528" t="s">
        <v>213</v>
      </c>
      <c r="QCZ102" s="529" t="str">
        <f>VLOOKUP(QCY102,[14]AssetDetails_UEM!$A$3:$AH$1849,6,FALSE)</f>
        <v>Electrosurgical Units, Monopolar/Bipolar</v>
      </c>
      <c r="QDA102" s="528" t="s">
        <v>213</v>
      </c>
      <c r="QDB102" s="529" t="str">
        <f>VLOOKUP(QDA102,[14]AssetDetails_UEM!$A$3:$AH$1849,6,FALSE)</f>
        <v>Electrosurgical Units, Monopolar/Bipolar</v>
      </c>
      <c r="QDC102" s="528" t="s">
        <v>213</v>
      </c>
      <c r="QDD102" s="529" t="str">
        <f>VLOOKUP(QDC102,[14]AssetDetails_UEM!$A$3:$AH$1849,6,FALSE)</f>
        <v>Electrosurgical Units, Monopolar/Bipolar</v>
      </c>
      <c r="QDE102" s="528" t="s">
        <v>213</v>
      </c>
      <c r="QDF102" s="529" t="str">
        <f>VLOOKUP(QDE102,[14]AssetDetails_UEM!$A$3:$AH$1849,6,FALSE)</f>
        <v>Electrosurgical Units, Monopolar/Bipolar</v>
      </c>
      <c r="QDG102" s="528" t="s">
        <v>213</v>
      </c>
      <c r="QDH102" s="529" t="str">
        <f>VLOOKUP(QDG102,[14]AssetDetails_UEM!$A$3:$AH$1849,6,FALSE)</f>
        <v>Electrosurgical Units, Monopolar/Bipolar</v>
      </c>
      <c r="QDI102" s="528" t="s">
        <v>213</v>
      </c>
      <c r="QDJ102" s="529" t="str">
        <f>VLOOKUP(QDI102,[14]AssetDetails_UEM!$A$3:$AH$1849,6,FALSE)</f>
        <v>Electrosurgical Units, Monopolar/Bipolar</v>
      </c>
      <c r="QDK102" s="528" t="s">
        <v>213</v>
      </c>
      <c r="QDL102" s="529" t="str">
        <f>VLOOKUP(QDK102,[14]AssetDetails_UEM!$A$3:$AH$1849,6,FALSE)</f>
        <v>Electrosurgical Units, Monopolar/Bipolar</v>
      </c>
      <c r="QDM102" s="528" t="s">
        <v>213</v>
      </c>
      <c r="QDN102" s="529" t="str">
        <f>VLOOKUP(QDM102,[14]AssetDetails_UEM!$A$3:$AH$1849,6,FALSE)</f>
        <v>Electrosurgical Units, Monopolar/Bipolar</v>
      </c>
      <c r="QDO102" s="528" t="s">
        <v>213</v>
      </c>
      <c r="QDP102" s="529" t="str">
        <f>VLOOKUP(QDO102,[14]AssetDetails_UEM!$A$3:$AH$1849,6,FALSE)</f>
        <v>Electrosurgical Units, Monopolar/Bipolar</v>
      </c>
      <c r="QDQ102" s="528" t="s">
        <v>213</v>
      </c>
      <c r="QDR102" s="529" t="str">
        <f>VLOOKUP(QDQ102,[14]AssetDetails_UEM!$A$3:$AH$1849,6,FALSE)</f>
        <v>Electrosurgical Units, Monopolar/Bipolar</v>
      </c>
      <c r="QDS102" s="528" t="s">
        <v>213</v>
      </c>
      <c r="QDT102" s="529" t="str">
        <f>VLOOKUP(QDS102,[14]AssetDetails_UEM!$A$3:$AH$1849,6,FALSE)</f>
        <v>Electrosurgical Units, Monopolar/Bipolar</v>
      </c>
      <c r="QDU102" s="528" t="s">
        <v>213</v>
      </c>
      <c r="QDV102" s="529" t="str">
        <f>VLOOKUP(QDU102,[14]AssetDetails_UEM!$A$3:$AH$1849,6,FALSE)</f>
        <v>Electrosurgical Units, Monopolar/Bipolar</v>
      </c>
      <c r="QDW102" s="528" t="s">
        <v>213</v>
      </c>
      <c r="QDX102" s="529" t="str">
        <f>VLOOKUP(QDW102,[14]AssetDetails_UEM!$A$3:$AH$1849,6,FALSE)</f>
        <v>Electrosurgical Units, Monopolar/Bipolar</v>
      </c>
      <c r="QDY102" s="528" t="s">
        <v>213</v>
      </c>
      <c r="QDZ102" s="529" t="str">
        <f>VLOOKUP(QDY102,[14]AssetDetails_UEM!$A$3:$AH$1849,6,FALSE)</f>
        <v>Electrosurgical Units, Monopolar/Bipolar</v>
      </c>
      <c r="QEA102" s="528" t="s">
        <v>213</v>
      </c>
      <c r="QEB102" s="529" t="str">
        <f>VLOOKUP(QEA102,[14]AssetDetails_UEM!$A$3:$AH$1849,6,FALSE)</f>
        <v>Electrosurgical Units, Monopolar/Bipolar</v>
      </c>
      <c r="QEC102" s="528" t="s">
        <v>213</v>
      </c>
      <c r="QED102" s="529" t="str">
        <f>VLOOKUP(QEC102,[14]AssetDetails_UEM!$A$3:$AH$1849,6,FALSE)</f>
        <v>Electrosurgical Units, Monopolar/Bipolar</v>
      </c>
      <c r="QEE102" s="528" t="s">
        <v>213</v>
      </c>
      <c r="QEF102" s="529" t="str">
        <f>VLOOKUP(QEE102,[14]AssetDetails_UEM!$A$3:$AH$1849,6,FALSE)</f>
        <v>Electrosurgical Units, Monopolar/Bipolar</v>
      </c>
      <c r="QEG102" s="528" t="s">
        <v>213</v>
      </c>
      <c r="QEH102" s="529" t="str">
        <f>VLOOKUP(QEG102,[14]AssetDetails_UEM!$A$3:$AH$1849,6,FALSE)</f>
        <v>Electrosurgical Units, Monopolar/Bipolar</v>
      </c>
      <c r="QEI102" s="528" t="s">
        <v>213</v>
      </c>
      <c r="QEJ102" s="529" t="str">
        <f>VLOOKUP(QEI102,[14]AssetDetails_UEM!$A$3:$AH$1849,6,FALSE)</f>
        <v>Electrosurgical Units, Monopolar/Bipolar</v>
      </c>
      <c r="QEK102" s="528" t="s">
        <v>213</v>
      </c>
      <c r="QEL102" s="529" t="str">
        <f>VLOOKUP(QEK102,[14]AssetDetails_UEM!$A$3:$AH$1849,6,FALSE)</f>
        <v>Electrosurgical Units, Monopolar/Bipolar</v>
      </c>
      <c r="QEM102" s="528" t="s">
        <v>213</v>
      </c>
      <c r="QEN102" s="529" t="str">
        <f>VLOOKUP(QEM102,[14]AssetDetails_UEM!$A$3:$AH$1849,6,FALSE)</f>
        <v>Electrosurgical Units, Monopolar/Bipolar</v>
      </c>
      <c r="QEO102" s="528" t="s">
        <v>213</v>
      </c>
      <c r="QEP102" s="529" t="str">
        <f>VLOOKUP(QEO102,[14]AssetDetails_UEM!$A$3:$AH$1849,6,FALSE)</f>
        <v>Electrosurgical Units, Monopolar/Bipolar</v>
      </c>
      <c r="QEQ102" s="528" t="s">
        <v>213</v>
      </c>
      <c r="QER102" s="529" t="str">
        <f>VLOOKUP(QEQ102,[14]AssetDetails_UEM!$A$3:$AH$1849,6,FALSE)</f>
        <v>Electrosurgical Units, Monopolar/Bipolar</v>
      </c>
      <c r="QES102" s="528" t="s">
        <v>213</v>
      </c>
      <c r="QET102" s="529" t="str">
        <f>VLOOKUP(QES102,[14]AssetDetails_UEM!$A$3:$AH$1849,6,FALSE)</f>
        <v>Electrosurgical Units, Monopolar/Bipolar</v>
      </c>
      <c r="QEU102" s="528" t="s">
        <v>213</v>
      </c>
      <c r="QEV102" s="529" t="str">
        <f>VLOOKUP(QEU102,[14]AssetDetails_UEM!$A$3:$AH$1849,6,FALSE)</f>
        <v>Electrosurgical Units, Monopolar/Bipolar</v>
      </c>
      <c r="QEW102" s="528" t="s">
        <v>213</v>
      </c>
      <c r="QEX102" s="529" t="str">
        <f>VLOOKUP(QEW102,[14]AssetDetails_UEM!$A$3:$AH$1849,6,FALSE)</f>
        <v>Electrosurgical Units, Monopolar/Bipolar</v>
      </c>
      <c r="QEY102" s="528" t="s">
        <v>213</v>
      </c>
      <c r="QEZ102" s="529" t="str">
        <f>VLOOKUP(QEY102,[14]AssetDetails_UEM!$A$3:$AH$1849,6,FALSE)</f>
        <v>Electrosurgical Units, Monopolar/Bipolar</v>
      </c>
      <c r="QFA102" s="528" t="s">
        <v>213</v>
      </c>
      <c r="QFB102" s="529" t="str">
        <f>VLOOKUP(QFA102,[14]AssetDetails_UEM!$A$3:$AH$1849,6,FALSE)</f>
        <v>Electrosurgical Units, Monopolar/Bipolar</v>
      </c>
      <c r="QFC102" s="528" t="s">
        <v>213</v>
      </c>
      <c r="QFD102" s="529" t="str">
        <f>VLOOKUP(QFC102,[14]AssetDetails_UEM!$A$3:$AH$1849,6,FALSE)</f>
        <v>Electrosurgical Units, Monopolar/Bipolar</v>
      </c>
      <c r="QFE102" s="528" t="s">
        <v>213</v>
      </c>
      <c r="QFF102" s="529" t="str">
        <f>VLOOKUP(QFE102,[14]AssetDetails_UEM!$A$3:$AH$1849,6,FALSE)</f>
        <v>Electrosurgical Units, Monopolar/Bipolar</v>
      </c>
      <c r="QFG102" s="528" t="s">
        <v>213</v>
      </c>
      <c r="QFH102" s="529" t="str">
        <f>VLOOKUP(QFG102,[14]AssetDetails_UEM!$A$3:$AH$1849,6,FALSE)</f>
        <v>Electrosurgical Units, Monopolar/Bipolar</v>
      </c>
      <c r="QFI102" s="528" t="s">
        <v>213</v>
      </c>
      <c r="QFJ102" s="529" t="str">
        <f>VLOOKUP(QFI102,[14]AssetDetails_UEM!$A$3:$AH$1849,6,FALSE)</f>
        <v>Electrosurgical Units, Monopolar/Bipolar</v>
      </c>
      <c r="QFK102" s="528" t="s">
        <v>213</v>
      </c>
      <c r="QFL102" s="529" t="str">
        <f>VLOOKUP(QFK102,[14]AssetDetails_UEM!$A$3:$AH$1849,6,FALSE)</f>
        <v>Electrosurgical Units, Monopolar/Bipolar</v>
      </c>
      <c r="QFM102" s="528" t="s">
        <v>213</v>
      </c>
      <c r="QFN102" s="529" t="str">
        <f>VLOOKUP(QFM102,[14]AssetDetails_UEM!$A$3:$AH$1849,6,FALSE)</f>
        <v>Electrosurgical Units, Monopolar/Bipolar</v>
      </c>
      <c r="QFO102" s="528" t="s">
        <v>213</v>
      </c>
      <c r="QFP102" s="529" t="str">
        <f>VLOOKUP(QFO102,[14]AssetDetails_UEM!$A$3:$AH$1849,6,FALSE)</f>
        <v>Electrosurgical Units, Monopolar/Bipolar</v>
      </c>
      <c r="QFQ102" s="528" t="s">
        <v>213</v>
      </c>
      <c r="QFR102" s="529" t="str">
        <f>VLOOKUP(QFQ102,[14]AssetDetails_UEM!$A$3:$AH$1849,6,FALSE)</f>
        <v>Electrosurgical Units, Monopolar/Bipolar</v>
      </c>
      <c r="QFS102" s="528" t="s">
        <v>213</v>
      </c>
      <c r="QFT102" s="529" t="str">
        <f>VLOOKUP(QFS102,[14]AssetDetails_UEM!$A$3:$AH$1849,6,FALSE)</f>
        <v>Electrosurgical Units, Monopolar/Bipolar</v>
      </c>
      <c r="QFU102" s="528" t="s">
        <v>213</v>
      </c>
      <c r="QFV102" s="529" t="str">
        <f>VLOOKUP(QFU102,[14]AssetDetails_UEM!$A$3:$AH$1849,6,FALSE)</f>
        <v>Electrosurgical Units, Monopolar/Bipolar</v>
      </c>
      <c r="QFW102" s="528" t="s">
        <v>213</v>
      </c>
      <c r="QFX102" s="529" t="str">
        <f>VLOOKUP(QFW102,[14]AssetDetails_UEM!$A$3:$AH$1849,6,FALSE)</f>
        <v>Electrosurgical Units, Monopolar/Bipolar</v>
      </c>
      <c r="QFY102" s="528" t="s">
        <v>213</v>
      </c>
      <c r="QFZ102" s="529" t="str">
        <f>VLOOKUP(QFY102,[14]AssetDetails_UEM!$A$3:$AH$1849,6,FALSE)</f>
        <v>Electrosurgical Units, Monopolar/Bipolar</v>
      </c>
      <c r="QGA102" s="528" t="s">
        <v>213</v>
      </c>
      <c r="QGB102" s="529" t="str">
        <f>VLOOKUP(QGA102,[14]AssetDetails_UEM!$A$3:$AH$1849,6,FALSE)</f>
        <v>Electrosurgical Units, Monopolar/Bipolar</v>
      </c>
      <c r="QGC102" s="528" t="s">
        <v>213</v>
      </c>
      <c r="QGD102" s="529" t="str">
        <f>VLOOKUP(QGC102,[14]AssetDetails_UEM!$A$3:$AH$1849,6,FALSE)</f>
        <v>Electrosurgical Units, Monopolar/Bipolar</v>
      </c>
      <c r="QGE102" s="528" t="s">
        <v>213</v>
      </c>
      <c r="QGF102" s="529" t="str">
        <f>VLOOKUP(QGE102,[14]AssetDetails_UEM!$A$3:$AH$1849,6,FALSE)</f>
        <v>Electrosurgical Units, Monopolar/Bipolar</v>
      </c>
      <c r="QGG102" s="528" t="s">
        <v>213</v>
      </c>
      <c r="QGH102" s="529" t="str">
        <f>VLOOKUP(QGG102,[14]AssetDetails_UEM!$A$3:$AH$1849,6,FALSE)</f>
        <v>Electrosurgical Units, Monopolar/Bipolar</v>
      </c>
      <c r="QGI102" s="528" t="s">
        <v>213</v>
      </c>
      <c r="QGJ102" s="529" t="str">
        <f>VLOOKUP(QGI102,[14]AssetDetails_UEM!$A$3:$AH$1849,6,FALSE)</f>
        <v>Electrosurgical Units, Monopolar/Bipolar</v>
      </c>
      <c r="QGK102" s="528" t="s">
        <v>213</v>
      </c>
      <c r="QGL102" s="529" t="str">
        <f>VLOOKUP(QGK102,[14]AssetDetails_UEM!$A$3:$AH$1849,6,FALSE)</f>
        <v>Electrosurgical Units, Monopolar/Bipolar</v>
      </c>
      <c r="QGM102" s="528" t="s">
        <v>213</v>
      </c>
      <c r="QGN102" s="529" t="str">
        <f>VLOOKUP(QGM102,[14]AssetDetails_UEM!$A$3:$AH$1849,6,FALSE)</f>
        <v>Electrosurgical Units, Monopolar/Bipolar</v>
      </c>
      <c r="QGO102" s="528" t="s">
        <v>213</v>
      </c>
      <c r="QGP102" s="529" t="str">
        <f>VLOOKUP(QGO102,[14]AssetDetails_UEM!$A$3:$AH$1849,6,FALSE)</f>
        <v>Electrosurgical Units, Monopolar/Bipolar</v>
      </c>
      <c r="QGQ102" s="528" t="s">
        <v>213</v>
      </c>
      <c r="QGR102" s="529" t="str">
        <f>VLOOKUP(QGQ102,[14]AssetDetails_UEM!$A$3:$AH$1849,6,FALSE)</f>
        <v>Electrosurgical Units, Monopolar/Bipolar</v>
      </c>
      <c r="QGS102" s="528" t="s">
        <v>213</v>
      </c>
      <c r="QGT102" s="529" t="str">
        <f>VLOOKUP(QGS102,[14]AssetDetails_UEM!$A$3:$AH$1849,6,FALSE)</f>
        <v>Electrosurgical Units, Monopolar/Bipolar</v>
      </c>
      <c r="QGU102" s="528" t="s">
        <v>213</v>
      </c>
      <c r="QGV102" s="529" t="str">
        <f>VLOOKUP(QGU102,[14]AssetDetails_UEM!$A$3:$AH$1849,6,FALSE)</f>
        <v>Electrosurgical Units, Monopolar/Bipolar</v>
      </c>
      <c r="QGW102" s="528" t="s">
        <v>213</v>
      </c>
      <c r="QGX102" s="529" t="str">
        <f>VLOOKUP(QGW102,[14]AssetDetails_UEM!$A$3:$AH$1849,6,FALSE)</f>
        <v>Electrosurgical Units, Monopolar/Bipolar</v>
      </c>
      <c r="QGY102" s="528" t="s">
        <v>213</v>
      </c>
      <c r="QGZ102" s="529" t="str">
        <f>VLOOKUP(QGY102,[14]AssetDetails_UEM!$A$3:$AH$1849,6,FALSE)</f>
        <v>Electrosurgical Units, Monopolar/Bipolar</v>
      </c>
      <c r="QHA102" s="528" t="s">
        <v>213</v>
      </c>
      <c r="QHB102" s="529" t="str">
        <f>VLOOKUP(QHA102,[14]AssetDetails_UEM!$A$3:$AH$1849,6,FALSE)</f>
        <v>Electrosurgical Units, Monopolar/Bipolar</v>
      </c>
      <c r="QHC102" s="528" t="s">
        <v>213</v>
      </c>
      <c r="QHD102" s="529" t="str">
        <f>VLOOKUP(QHC102,[14]AssetDetails_UEM!$A$3:$AH$1849,6,FALSE)</f>
        <v>Electrosurgical Units, Monopolar/Bipolar</v>
      </c>
      <c r="QHE102" s="528" t="s">
        <v>213</v>
      </c>
      <c r="QHF102" s="529" t="str">
        <f>VLOOKUP(QHE102,[14]AssetDetails_UEM!$A$3:$AH$1849,6,FALSE)</f>
        <v>Electrosurgical Units, Monopolar/Bipolar</v>
      </c>
      <c r="QHG102" s="528" t="s">
        <v>213</v>
      </c>
      <c r="QHH102" s="529" t="str">
        <f>VLOOKUP(QHG102,[14]AssetDetails_UEM!$A$3:$AH$1849,6,FALSE)</f>
        <v>Electrosurgical Units, Monopolar/Bipolar</v>
      </c>
      <c r="QHI102" s="528" t="s">
        <v>213</v>
      </c>
      <c r="QHJ102" s="529" t="str">
        <f>VLOOKUP(QHI102,[14]AssetDetails_UEM!$A$3:$AH$1849,6,FALSE)</f>
        <v>Electrosurgical Units, Monopolar/Bipolar</v>
      </c>
      <c r="QHK102" s="528" t="s">
        <v>213</v>
      </c>
      <c r="QHL102" s="529" t="str">
        <f>VLOOKUP(QHK102,[14]AssetDetails_UEM!$A$3:$AH$1849,6,FALSE)</f>
        <v>Electrosurgical Units, Monopolar/Bipolar</v>
      </c>
      <c r="QHM102" s="528" t="s">
        <v>213</v>
      </c>
      <c r="QHN102" s="529" t="str">
        <f>VLOOKUP(QHM102,[14]AssetDetails_UEM!$A$3:$AH$1849,6,FALSE)</f>
        <v>Electrosurgical Units, Monopolar/Bipolar</v>
      </c>
      <c r="QHO102" s="528" t="s">
        <v>213</v>
      </c>
      <c r="QHP102" s="529" t="str">
        <f>VLOOKUP(QHO102,[14]AssetDetails_UEM!$A$3:$AH$1849,6,FALSE)</f>
        <v>Electrosurgical Units, Monopolar/Bipolar</v>
      </c>
      <c r="QHQ102" s="528" t="s">
        <v>213</v>
      </c>
      <c r="QHR102" s="529" t="str">
        <f>VLOOKUP(QHQ102,[14]AssetDetails_UEM!$A$3:$AH$1849,6,FALSE)</f>
        <v>Electrosurgical Units, Monopolar/Bipolar</v>
      </c>
      <c r="QHS102" s="528" t="s">
        <v>213</v>
      </c>
      <c r="QHT102" s="529" t="str">
        <f>VLOOKUP(QHS102,[14]AssetDetails_UEM!$A$3:$AH$1849,6,FALSE)</f>
        <v>Electrosurgical Units, Monopolar/Bipolar</v>
      </c>
      <c r="QHU102" s="528" t="s">
        <v>213</v>
      </c>
      <c r="QHV102" s="529" t="str">
        <f>VLOOKUP(QHU102,[14]AssetDetails_UEM!$A$3:$AH$1849,6,FALSE)</f>
        <v>Electrosurgical Units, Monopolar/Bipolar</v>
      </c>
      <c r="QHW102" s="528" t="s">
        <v>213</v>
      </c>
      <c r="QHX102" s="529" t="str">
        <f>VLOOKUP(QHW102,[14]AssetDetails_UEM!$A$3:$AH$1849,6,FALSE)</f>
        <v>Electrosurgical Units, Monopolar/Bipolar</v>
      </c>
      <c r="QHY102" s="528" t="s">
        <v>213</v>
      </c>
      <c r="QHZ102" s="529" t="str">
        <f>VLOOKUP(QHY102,[14]AssetDetails_UEM!$A$3:$AH$1849,6,FALSE)</f>
        <v>Electrosurgical Units, Monopolar/Bipolar</v>
      </c>
      <c r="QIA102" s="528" t="s">
        <v>213</v>
      </c>
      <c r="QIB102" s="529" t="str">
        <f>VLOOKUP(QIA102,[14]AssetDetails_UEM!$A$3:$AH$1849,6,FALSE)</f>
        <v>Electrosurgical Units, Monopolar/Bipolar</v>
      </c>
      <c r="QIC102" s="528" t="s">
        <v>213</v>
      </c>
      <c r="QID102" s="529" t="str">
        <f>VLOOKUP(QIC102,[14]AssetDetails_UEM!$A$3:$AH$1849,6,FALSE)</f>
        <v>Electrosurgical Units, Monopolar/Bipolar</v>
      </c>
      <c r="QIE102" s="528" t="s">
        <v>213</v>
      </c>
      <c r="QIF102" s="529" t="str">
        <f>VLOOKUP(QIE102,[14]AssetDetails_UEM!$A$3:$AH$1849,6,FALSE)</f>
        <v>Electrosurgical Units, Monopolar/Bipolar</v>
      </c>
      <c r="QIG102" s="528" t="s">
        <v>213</v>
      </c>
      <c r="QIH102" s="529" t="str">
        <f>VLOOKUP(QIG102,[14]AssetDetails_UEM!$A$3:$AH$1849,6,FALSE)</f>
        <v>Electrosurgical Units, Monopolar/Bipolar</v>
      </c>
      <c r="QII102" s="528" t="s">
        <v>213</v>
      </c>
      <c r="QIJ102" s="529" t="str">
        <f>VLOOKUP(QII102,[14]AssetDetails_UEM!$A$3:$AH$1849,6,FALSE)</f>
        <v>Electrosurgical Units, Monopolar/Bipolar</v>
      </c>
      <c r="QIK102" s="528" t="s">
        <v>213</v>
      </c>
      <c r="QIL102" s="529" t="str">
        <f>VLOOKUP(QIK102,[14]AssetDetails_UEM!$A$3:$AH$1849,6,FALSE)</f>
        <v>Electrosurgical Units, Monopolar/Bipolar</v>
      </c>
      <c r="QIM102" s="528" t="s">
        <v>213</v>
      </c>
      <c r="QIN102" s="529" t="str">
        <f>VLOOKUP(QIM102,[14]AssetDetails_UEM!$A$3:$AH$1849,6,FALSE)</f>
        <v>Electrosurgical Units, Monopolar/Bipolar</v>
      </c>
      <c r="QIO102" s="528" t="s">
        <v>213</v>
      </c>
      <c r="QIP102" s="529" t="str">
        <f>VLOOKUP(QIO102,[14]AssetDetails_UEM!$A$3:$AH$1849,6,FALSE)</f>
        <v>Electrosurgical Units, Monopolar/Bipolar</v>
      </c>
      <c r="QIQ102" s="528" t="s">
        <v>213</v>
      </c>
      <c r="QIR102" s="529" t="str">
        <f>VLOOKUP(QIQ102,[14]AssetDetails_UEM!$A$3:$AH$1849,6,FALSE)</f>
        <v>Electrosurgical Units, Monopolar/Bipolar</v>
      </c>
      <c r="QIS102" s="528" t="s">
        <v>213</v>
      </c>
      <c r="QIT102" s="529" t="str">
        <f>VLOOKUP(QIS102,[14]AssetDetails_UEM!$A$3:$AH$1849,6,FALSE)</f>
        <v>Electrosurgical Units, Monopolar/Bipolar</v>
      </c>
      <c r="QIU102" s="528" t="s">
        <v>213</v>
      </c>
      <c r="QIV102" s="529" t="str">
        <f>VLOOKUP(QIU102,[14]AssetDetails_UEM!$A$3:$AH$1849,6,FALSE)</f>
        <v>Electrosurgical Units, Monopolar/Bipolar</v>
      </c>
      <c r="QIW102" s="528" t="s">
        <v>213</v>
      </c>
      <c r="QIX102" s="529" t="str">
        <f>VLOOKUP(QIW102,[14]AssetDetails_UEM!$A$3:$AH$1849,6,FALSE)</f>
        <v>Electrosurgical Units, Monopolar/Bipolar</v>
      </c>
      <c r="QIY102" s="528" t="s">
        <v>213</v>
      </c>
      <c r="QIZ102" s="529" t="str">
        <f>VLOOKUP(QIY102,[14]AssetDetails_UEM!$A$3:$AH$1849,6,FALSE)</f>
        <v>Electrosurgical Units, Monopolar/Bipolar</v>
      </c>
      <c r="QJA102" s="528" t="s">
        <v>213</v>
      </c>
      <c r="QJB102" s="529" t="str">
        <f>VLOOKUP(QJA102,[14]AssetDetails_UEM!$A$3:$AH$1849,6,FALSE)</f>
        <v>Electrosurgical Units, Monopolar/Bipolar</v>
      </c>
      <c r="QJC102" s="528" t="s">
        <v>213</v>
      </c>
      <c r="QJD102" s="529" t="str">
        <f>VLOOKUP(QJC102,[14]AssetDetails_UEM!$A$3:$AH$1849,6,FALSE)</f>
        <v>Electrosurgical Units, Monopolar/Bipolar</v>
      </c>
      <c r="QJE102" s="528" t="s">
        <v>213</v>
      </c>
      <c r="QJF102" s="529" t="str">
        <f>VLOOKUP(QJE102,[14]AssetDetails_UEM!$A$3:$AH$1849,6,FALSE)</f>
        <v>Electrosurgical Units, Monopolar/Bipolar</v>
      </c>
      <c r="QJG102" s="528" t="s">
        <v>213</v>
      </c>
      <c r="QJH102" s="529" t="str">
        <f>VLOOKUP(QJG102,[14]AssetDetails_UEM!$A$3:$AH$1849,6,FALSE)</f>
        <v>Electrosurgical Units, Monopolar/Bipolar</v>
      </c>
      <c r="QJI102" s="528" t="s">
        <v>213</v>
      </c>
      <c r="QJJ102" s="529" t="str">
        <f>VLOOKUP(QJI102,[14]AssetDetails_UEM!$A$3:$AH$1849,6,FALSE)</f>
        <v>Electrosurgical Units, Monopolar/Bipolar</v>
      </c>
      <c r="QJK102" s="528" t="s">
        <v>213</v>
      </c>
      <c r="QJL102" s="529" t="str">
        <f>VLOOKUP(QJK102,[14]AssetDetails_UEM!$A$3:$AH$1849,6,FALSE)</f>
        <v>Electrosurgical Units, Monopolar/Bipolar</v>
      </c>
      <c r="QJM102" s="528" t="s">
        <v>213</v>
      </c>
      <c r="QJN102" s="529" t="str">
        <f>VLOOKUP(QJM102,[14]AssetDetails_UEM!$A$3:$AH$1849,6,FALSE)</f>
        <v>Electrosurgical Units, Monopolar/Bipolar</v>
      </c>
      <c r="QJO102" s="528" t="s">
        <v>213</v>
      </c>
      <c r="QJP102" s="529" t="str">
        <f>VLOOKUP(QJO102,[14]AssetDetails_UEM!$A$3:$AH$1849,6,FALSE)</f>
        <v>Electrosurgical Units, Monopolar/Bipolar</v>
      </c>
      <c r="QJQ102" s="528" t="s">
        <v>213</v>
      </c>
      <c r="QJR102" s="529" t="str">
        <f>VLOOKUP(QJQ102,[14]AssetDetails_UEM!$A$3:$AH$1849,6,FALSE)</f>
        <v>Electrosurgical Units, Monopolar/Bipolar</v>
      </c>
      <c r="QJS102" s="528" t="s">
        <v>213</v>
      </c>
      <c r="QJT102" s="529" t="str">
        <f>VLOOKUP(QJS102,[14]AssetDetails_UEM!$A$3:$AH$1849,6,FALSE)</f>
        <v>Electrosurgical Units, Monopolar/Bipolar</v>
      </c>
      <c r="QJU102" s="528" t="s">
        <v>213</v>
      </c>
      <c r="QJV102" s="529" t="str">
        <f>VLOOKUP(QJU102,[14]AssetDetails_UEM!$A$3:$AH$1849,6,FALSE)</f>
        <v>Electrosurgical Units, Monopolar/Bipolar</v>
      </c>
      <c r="QJW102" s="528" t="s">
        <v>213</v>
      </c>
      <c r="QJX102" s="529" t="str">
        <f>VLOOKUP(QJW102,[14]AssetDetails_UEM!$A$3:$AH$1849,6,FALSE)</f>
        <v>Electrosurgical Units, Monopolar/Bipolar</v>
      </c>
      <c r="QJY102" s="528" t="s">
        <v>213</v>
      </c>
      <c r="QJZ102" s="529" t="str">
        <f>VLOOKUP(QJY102,[14]AssetDetails_UEM!$A$3:$AH$1849,6,FALSE)</f>
        <v>Electrosurgical Units, Monopolar/Bipolar</v>
      </c>
      <c r="QKA102" s="528" t="s">
        <v>213</v>
      </c>
      <c r="QKB102" s="529" t="str">
        <f>VLOOKUP(QKA102,[14]AssetDetails_UEM!$A$3:$AH$1849,6,FALSE)</f>
        <v>Electrosurgical Units, Monopolar/Bipolar</v>
      </c>
      <c r="QKC102" s="528" t="s">
        <v>213</v>
      </c>
      <c r="QKD102" s="529" t="str">
        <f>VLOOKUP(QKC102,[14]AssetDetails_UEM!$A$3:$AH$1849,6,FALSE)</f>
        <v>Electrosurgical Units, Monopolar/Bipolar</v>
      </c>
      <c r="QKE102" s="528" t="s">
        <v>213</v>
      </c>
      <c r="QKF102" s="529" t="str">
        <f>VLOOKUP(QKE102,[14]AssetDetails_UEM!$A$3:$AH$1849,6,FALSE)</f>
        <v>Electrosurgical Units, Monopolar/Bipolar</v>
      </c>
      <c r="QKG102" s="528" t="s">
        <v>213</v>
      </c>
      <c r="QKH102" s="529" t="str">
        <f>VLOOKUP(QKG102,[14]AssetDetails_UEM!$A$3:$AH$1849,6,FALSE)</f>
        <v>Electrosurgical Units, Monopolar/Bipolar</v>
      </c>
      <c r="QKI102" s="528" t="s">
        <v>213</v>
      </c>
      <c r="QKJ102" s="529" t="str">
        <f>VLOOKUP(QKI102,[14]AssetDetails_UEM!$A$3:$AH$1849,6,FALSE)</f>
        <v>Electrosurgical Units, Monopolar/Bipolar</v>
      </c>
      <c r="QKK102" s="528" t="s">
        <v>213</v>
      </c>
      <c r="QKL102" s="529" t="str">
        <f>VLOOKUP(QKK102,[14]AssetDetails_UEM!$A$3:$AH$1849,6,FALSE)</f>
        <v>Electrosurgical Units, Monopolar/Bipolar</v>
      </c>
      <c r="QKM102" s="528" t="s">
        <v>213</v>
      </c>
      <c r="QKN102" s="529" t="str">
        <f>VLOOKUP(QKM102,[14]AssetDetails_UEM!$A$3:$AH$1849,6,FALSE)</f>
        <v>Electrosurgical Units, Monopolar/Bipolar</v>
      </c>
      <c r="QKO102" s="528" t="s">
        <v>213</v>
      </c>
      <c r="QKP102" s="529" t="str">
        <f>VLOOKUP(QKO102,[14]AssetDetails_UEM!$A$3:$AH$1849,6,FALSE)</f>
        <v>Electrosurgical Units, Monopolar/Bipolar</v>
      </c>
      <c r="QKQ102" s="528" t="s">
        <v>213</v>
      </c>
      <c r="QKR102" s="529" t="str">
        <f>VLOOKUP(QKQ102,[14]AssetDetails_UEM!$A$3:$AH$1849,6,FALSE)</f>
        <v>Electrosurgical Units, Monopolar/Bipolar</v>
      </c>
      <c r="QKS102" s="528" t="s">
        <v>213</v>
      </c>
      <c r="QKT102" s="529" t="str">
        <f>VLOOKUP(QKS102,[14]AssetDetails_UEM!$A$3:$AH$1849,6,FALSE)</f>
        <v>Electrosurgical Units, Monopolar/Bipolar</v>
      </c>
      <c r="QKU102" s="528" t="s">
        <v>213</v>
      </c>
      <c r="QKV102" s="529" t="str">
        <f>VLOOKUP(QKU102,[14]AssetDetails_UEM!$A$3:$AH$1849,6,FALSE)</f>
        <v>Electrosurgical Units, Monopolar/Bipolar</v>
      </c>
      <c r="QKW102" s="528" t="s">
        <v>213</v>
      </c>
      <c r="QKX102" s="529" t="str">
        <f>VLOOKUP(QKW102,[14]AssetDetails_UEM!$A$3:$AH$1849,6,FALSE)</f>
        <v>Electrosurgical Units, Monopolar/Bipolar</v>
      </c>
      <c r="QKY102" s="528" t="s">
        <v>213</v>
      </c>
      <c r="QKZ102" s="529" t="str">
        <f>VLOOKUP(QKY102,[14]AssetDetails_UEM!$A$3:$AH$1849,6,FALSE)</f>
        <v>Electrosurgical Units, Monopolar/Bipolar</v>
      </c>
      <c r="QLA102" s="528" t="s">
        <v>213</v>
      </c>
      <c r="QLB102" s="529" t="str">
        <f>VLOOKUP(QLA102,[14]AssetDetails_UEM!$A$3:$AH$1849,6,FALSE)</f>
        <v>Electrosurgical Units, Monopolar/Bipolar</v>
      </c>
      <c r="QLC102" s="528" t="s">
        <v>213</v>
      </c>
      <c r="QLD102" s="529" t="str">
        <f>VLOOKUP(QLC102,[14]AssetDetails_UEM!$A$3:$AH$1849,6,FALSE)</f>
        <v>Electrosurgical Units, Monopolar/Bipolar</v>
      </c>
      <c r="QLE102" s="528" t="s">
        <v>213</v>
      </c>
      <c r="QLF102" s="529" t="str">
        <f>VLOOKUP(QLE102,[14]AssetDetails_UEM!$A$3:$AH$1849,6,FALSE)</f>
        <v>Electrosurgical Units, Monopolar/Bipolar</v>
      </c>
      <c r="QLG102" s="528" t="s">
        <v>213</v>
      </c>
      <c r="QLH102" s="529" t="str">
        <f>VLOOKUP(QLG102,[14]AssetDetails_UEM!$A$3:$AH$1849,6,FALSE)</f>
        <v>Electrosurgical Units, Monopolar/Bipolar</v>
      </c>
      <c r="QLI102" s="528" t="s">
        <v>213</v>
      </c>
      <c r="QLJ102" s="529" t="str">
        <f>VLOOKUP(QLI102,[14]AssetDetails_UEM!$A$3:$AH$1849,6,FALSE)</f>
        <v>Electrosurgical Units, Monopolar/Bipolar</v>
      </c>
      <c r="QLK102" s="528" t="s">
        <v>213</v>
      </c>
      <c r="QLL102" s="529" t="str">
        <f>VLOOKUP(QLK102,[14]AssetDetails_UEM!$A$3:$AH$1849,6,FALSE)</f>
        <v>Electrosurgical Units, Monopolar/Bipolar</v>
      </c>
      <c r="QLM102" s="528" t="s">
        <v>213</v>
      </c>
      <c r="QLN102" s="529" t="str">
        <f>VLOOKUP(QLM102,[14]AssetDetails_UEM!$A$3:$AH$1849,6,FALSE)</f>
        <v>Electrosurgical Units, Monopolar/Bipolar</v>
      </c>
      <c r="QLO102" s="528" t="s">
        <v>213</v>
      </c>
      <c r="QLP102" s="529" t="str">
        <f>VLOOKUP(QLO102,[14]AssetDetails_UEM!$A$3:$AH$1849,6,FALSE)</f>
        <v>Electrosurgical Units, Monopolar/Bipolar</v>
      </c>
      <c r="QLQ102" s="528" t="s">
        <v>213</v>
      </c>
      <c r="QLR102" s="529" t="str">
        <f>VLOOKUP(QLQ102,[14]AssetDetails_UEM!$A$3:$AH$1849,6,FALSE)</f>
        <v>Electrosurgical Units, Monopolar/Bipolar</v>
      </c>
      <c r="QLS102" s="528" t="s">
        <v>213</v>
      </c>
      <c r="QLT102" s="529" t="str">
        <f>VLOOKUP(QLS102,[14]AssetDetails_UEM!$A$3:$AH$1849,6,FALSE)</f>
        <v>Electrosurgical Units, Monopolar/Bipolar</v>
      </c>
      <c r="QLU102" s="528" t="s">
        <v>213</v>
      </c>
      <c r="QLV102" s="529" t="str">
        <f>VLOOKUP(QLU102,[14]AssetDetails_UEM!$A$3:$AH$1849,6,FALSE)</f>
        <v>Electrosurgical Units, Monopolar/Bipolar</v>
      </c>
      <c r="QLW102" s="528" t="s">
        <v>213</v>
      </c>
      <c r="QLX102" s="529" t="str">
        <f>VLOOKUP(QLW102,[14]AssetDetails_UEM!$A$3:$AH$1849,6,FALSE)</f>
        <v>Electrosurgical Units, Monopolar/Bipolar</v>
      </c>
      <c r="QLY102" s="528" t="s">
        <v>213</v>
      </c>
      <c r="QLZ102" s="529" t="str">
        <f>VLOOKUP(QLY102,[14]AssetDetails_UEM!$A$3:$AH$1849,6,FALSE)</f>
        <v>Electrosurgical Units, Monopolar/Bipolar</v>
      </c>
      <c r="QMA102" s="528" t="s">
        <v>213</v>
      </c>
      <c r="QMB102" s="529" t="str">
        <f>VLOOKUP(QMA102,[14]AssetDetails_UEM!$A$3:$AH$1849,6,FALSE)</f>
        <v>Electrosurgical Units, Monopolar/Bipolar</v>
      </c>
      <c r="QMC102" s="528" t="s">
        <v>213</v>
      </c>
      <c r="QMD102" s="529" t="str">
        <f>VLOOKUP(QMC102,[14]AssetDetails_UEM!$A$3:$AH$1849,6,FALSE)</f>
        <v>Electrosurgical Units, Monopolar/Bipolar</v>
      </c>
      <c r="QME102" s="528" t="s">
        <v>213</v>
      </c>
      <c r="QMF102" s="529" t="str">
        <f>VLOOKUP(QME102,[14]AssetDetails_UEM!$A$3:$AH$1849,6,FALSE)</f>
        <v>Electrosurgical Units, Monopolar/Bipolar</v>
      </c>
      <c r="QMG102" s="528" t="s">
        <v>213</v>
      </c>
      <c r="QMH102" s="529" t="str">
        <f>VLOOKUP(QMG102,[14]AssetDetails_UEM!$A$3:$AH$1849,6,FALSE)</f>
        <v>Electrosurgical Units, Monopolar/Bipolar</v>
      </c>
      <c r="QMI102" s="528" t="s">
        <v>213</v>
      </c>
      <c r="QMJ102" s="529" t="str">
        <f>VLOOKUP(QMI102,[14]AssetDetails_UEM!$A$3:$AH$1849,6,FALSE)</f>
        <v>Electrosurgical Units, Monopolar/Bipolar</v>
      </c>
      <c r="QMK102" s="528" t="s">
        <v>213</v>
      </c>
      <c r="QML102" s="529" t="str">
        <f>VLOOKUP(QMK102,[14]AssetDetails_UEM!$A$3:$AH$1849,6,FALSE)</f>
        <v>Electrosurgical Units, Monopolar/Bipolar</v>
      </c>
      <c r="QMM102" s="528" t="s">
        <v>213</v>
      </c>
      <c r="QMN102" s="529" t="str">
        <f>VLOOKUP(QMM102,[14]AssetDetails_UEM!$A$3:$AH$1849,6,FALSE)</f>
        <v>Electrosurgical Units, Monopolar/Bipolar</v>
      </c>
      <c r="QMO102" s="528" t="s">
        <v>213</v>
      </c>
      <c r="QMP102" s="529" t="str">
        <f>VLOOKUP(QMO102,[14]AssetDetails_UEM!$A$3:$AH$1849,6,FALSE)</f>
        <v>Electrosurgical Units, Monopolar/Bipolar</v>
      </c>
      <c r="QMQ102" s="528" t="s">
        <v>213</v>
      </c>
      <c r="QMR102" s="529" t="str">
        <f>VLOOKUP(QMQ102,[14]AssetDetails_UEM!$A$3:$AH$1849,6,FALSE)</f>
        <v>Electrosurgical Units, Monopolar/Bipolar</v>
      </c>
      <c r="QMS102" s="528" t="s">
        <v>213</v>
      </c>
      <c r="QMT102" s="529" t="str">
        <f>VLOOKUP(QMS102,[14]AssetDetails_UEM!$A$3:$AH$1849,6,FALSE)</f>
        <v>Electrosurgical Units, Monopolar/Bipolar</v>
      </c>
      <c r="QMU102" s="528" t="s">
        <v>213</v>
      </c>
      <c r="QMV102" s="529" t="str">
        <f>VLOOKUP(QMU102,[14]AssetDetails_UEM!$A$3:$AH$1849,6,FALSE)</f>
        <v>Electrosurgical Units, Monopolar/Bipolar</v>
      </c>
      <c r="QMW102" s="528" t="s">
        <v>213</v>
      </c>
      <c r="QMX102" s="529" t="str">
        <f>VLOOKUP(QMW102,[14]AssetDetails_UEM!$A$3:$AH$1849,6,FALSE)</f>
        <v>Electrosurgical Units, Monopolar/Bipolar</v>
      </c>
      <c r="QMY102" s="528" t="s">
        <v>213</v>
      </c>
      <c r="QMZ102" s="529" t="str">
        <f>VLOOKUP(QMY102,[14]AssetDetails_UEM!$A$3:$AH$1849,6,FALSE)</f>
        <v>Electrosurgical Units, Monopolar/Bipolar</v>
      </c>
      <c r="QNA102" s="528" t="s">
        <v>213</v>
      </c>
      <c r="QNB102" s="529" t="str">
        <f>VLOOKUP(QNA102,[14]AssetDetails_UEM!$A$3:$AH$1849,6,FALSE)</f>
        <v>Electrosurgical Units, Monopolar/Bipolar</v>
      </c>
      <c r="QNC102" s="528" t="s">
        <v>213</v>
      </c>
      <c r="QND102" s="529" t="str">
        <f>VLOOKUP(QNC102,[14]AssetDetails_UEM!$A$3:$AH$1849,6,FALSE)</f>
        <v>Electrosurgical Units, Monopolar/Bipolar</v>
      </c>
      <c r="QNE102" s="528" t="s">
        <v>213</v>
      </c>
      <c r="QNF102" s="529" t="str">
        <f>VLOOKUP(QNE102,[14]AssetDetails_UEM!$A$3:$AH$1849,6,FALSE)</f>
        <v>Electrosurgical Units, Monopolar/Bipolar</v>
      </c>
      <c r="QNG102" s="528" t="s">
        <v>213</v>
      </c>
      <c r="QNH102" s="529" t="str">
        <f>VLOOKUP(QNG102,[14]AssetDetails_UEM!$A$3:$AH$1849,6,FALSE)</f>
        <v>Electrosurgical Units, Monopolar/Bipolar</v>
      </c>
      <c r="QNI102" s="528" t="s">
        <v>213</v>
      </c>
      <c r="QNJ102" s="529" t="str">
        <f>VLOOKUP(QNI102,[14]AssetDetails_UEM!$A$3:$AH$1849,6,FALSE)</f>
        <v>Electrosurgical Units, Monopolar/Bipolar</v>
      </c>
      <c r="QNK102" s="528" t="s">
        <v>213</v>
      </c>
      <c r="QNL102" s="529" t="str">
        <f>VLOOKUP(QNK102,[14]AssetDetails_UEM!$A$3:$AH$1849,6,FALSE)</f>
        <v>Electrosurgical Units, Monopolar/Bipolar</v>
      </c>
      <c r="QNM102" s="528" t="s">
        <v>213</v>
      </c>
      <c r="QNN102" s="529" t="str">
        <f>VLOOKUP(QNM102,[14]AssetDetails_UEM!$A$3:$AH$1849,6,FALSE)</f>
        <v>Electrosurgical Units, Monopolar/Bipolar</v>
      </c>
      <c r="QNO102" s="528" t="s">
        <v>213</v>
      </c>
      <c r="QNP102" s="529" t="str">
        <f>VLOOKUP(QNO102,[14]AssetDetails_UEM!$A$3:$AH$1849,6,FALSE)</f>
        <v>Electrosurgical Units, Monopolar/Bipolar</v>
      </c>
      <c r="QNQ102" s="528" t="s">
        <v>213</v>
      </c>
      <c r="QNR102" s="529" t="str">
        <f>VLOOKUP(QNQ102,[14]AssetDetails_UEM!$A$3:$AH$1849,6,FALSE)</f>
        <v>Electrosurgical Units, Monopolar/Bipolar</v>
      </c>
      <c r="QNS102" s="528" t="s">
        <v>213</v>
      </c>
      <c r="QNT102" s="529" t="str">
        <f>VLOOKUP(QNS102,[14]AssetDetails_UEM!$A$3:$AH$1849,6,FALSE)</f>
        <v>Electrosurgical Units, Monopolar/Bipolar</v>
      </c>
      <c r="QNU102" s="528" t="s">
        <v>213</v>
      </c>
      <c r="QNV102" s="529" t="str">
        <f>VLOOKUP(QNU102,[14]AssetDetails_UEM!$A$3:$AH$1849,6,FALSE)</f>
        <v>Electrosurgical Units, Monopolar/Bipolar</v>
      </c>
      <c r="QNW102" s="528" t="s">
        <v>213</v>
      </c>
      <c r="QNX102" s="529" t="str">
        <f>VLOOKUP(QNW102,[14]AssetDetails_UEM!$A$3:$AH$1849,6,FALSE)</f>
        <v>Electrosurgical Units, Monopolar/Bipolar</v>
      </c>
      <c r="QNY102" s="528" t="s">
        <v>213</v>
      </c>
      <c r="QNZ102" s="529" t="str">
        <f>VLOOKUP(QNY102,[14]AssetDetails_UEM!$A$3:$AH$1849,6,FALSE)</f>
        <v>Electrosurgical Units, Monopolar/Bipolar</v>
      </c>
      <c r="QOA102" s="528" t="s">
        <v>213</v>
      </c>
      <c r="QOB102" s="529" t="str">
        <f>VLOOKUP(QOA102,[14]AssetDetails_UEM!$A$3:$AH$1849,6,FALSE)</f>
        <v>Electrosurgical Units, Monopolar/Bipolar</v>
      </c>
      <c r="QOC102" s="528" t="s">
        <v>213</v>
      </c>
      <c r="QOD102" s="529" t="str">
        <f>VLOOKUP(QOC102,[14]AssetDetails_UEM!$A$3:$AH$1849,6,FALSE)</f>
        <v>Electrosurgical Units, Monopolar/Bipolar</v>
      </c>
      <c r="QOE102" s="528" t="s">
        <v>213</v>
      </c>
      <c r="QOF102" s="529" t="str">
        <f>VLOOKUP(QOE102,[14]AssetDetails_UEM!$A$3:$AH$1849,6,FALSE)</f>
        <v>Electrosurgical Units, Monopolar/Bipolar</v>
      </c>
      <c r="QOG102" s="528" t="s">
        <v>213</v>
      </c>
      <c r="QOH102" s="529" t="str">
        <f>VLOOKUP(QOG102,[14]AssetDetails_UEM!$A$3:$AH$1849,6,FALSE)</f>
        <v>Electrosurgical Units, Monopolar/Bipolar</v>
      </c>
      <c r="QOI102" s="528" t="s">
        <v>213</v>
      </c>
      <c r="QOJ102" s="529" t="str">
        <f>VLOOKUP(QOI102,[14]AssetDetails_UEM!$A$3:$AH$1849,6,FALSE)</f>
        <v>Electrosurgical Units, Monopolar/Bipolar</v>
      </c>
      <c r="QOK102" s="528" t="s">
        <v>213</v>
      </c>
      <c r="QOL102" s="529" t="str">
        <f>VLOOKUP(QOK102,[14]AssetDetails_UEM!$A$3:$AH$1849,6,FALSE)</f>
        <v>Electrosurgical Units, Monopolar/Bipolar</v>
      </c>
      <c r="QOM102" s="528" t="s">
        <v>213</v>
      </c>
      <c r="QON102" s="529" t="str">
        <f>VLOOKUP(QOM102,[14]AssetDetails_UEM!$A$3:$AH$1849,6,FALSE)</f>
        <v>Electrosurgical Units, Monopolar/Bipolar</v>
      </c>
      <c r="QOO102" s="528" t="s">
        <v>213</v>
      </c>
      <c r="QOP102" s="529" t="str">
        <f>VLOOKUP(QOO102,[14]AssetDetails_UEM!$A$3:$AH$1849,6,FALSE)</f>
        <v>Electrosurgical Units, Monopolar/Bipolar</v>
      </c>
      <c r="QOQ102" s="528" t="s">
        <v>213</v>
      </c>
      <c r="QOR102" s="529" t="str">
        <f>VLOOKUP(QOQ102,[14]AssetDetails_UEM!$A$3:$AH$1849,6,FALSE)</f>
        <v>Electrosurgical Units, Monopolar/Bipolar</v>
      </c>
      <c r="QOS102" s="528" t="s">
        <v>213</v>
      </c>
      <c r="QOT102" s="529" t="str">
        <f>VLOOKUP(QOS102,[14]AssetDetails_UEM!$A$3:$AH$1849,6,FALSE)</f>
        <v>Electrosurgical Units, Monopolar/Bipolar</v>
      </c>
      <c r="QOU102" s="528" t="s">
        <v>213</v>
      </c>
      <c r="QOV102" s="529" t="str">
        <f>VLOOKUP(QOU102,[14]AssetDetails_UEM!$A$3:$AH$1849,6,FALSE)</f>
        <v>Electrosurgical Units, Monopolar/Bipolar</v>
      </c>
      <c r="QOW102" s="528" t="s">
        <v>213</v>
      </c>
      <c r="QOX102" s="529" t="str">
        <f>VLOOKUP(QOW102,[14]AssetDetails_UEM!$A$3:$AH$1849,6,FALSE)</f>
        <v>Electrosurgical Units, Monopolar/Bipolar</v>
      </c>
      <c r="QOY102" s="528" t="s">
        <v>213</v>
      </c>
      <c r="QOZ102" s="529" t="str">
        <f>VLOOKUP(QOY102,[14]AssetDetails_UEM!$A$3:$AH$1849,6,FALSE)</f>
        <v>Electrosurgical Units, Monopolar/Bipolar</v>
      </c>
      <c r="QPA102" s="528" t="s">
        <v>213</v>
      </c>
      <c r="QPB102" s="529" t="str">
        <f>VLOOKUP(QPA102,[14]AssetDetails_UEM!$A$3:$AH$1849,6,FALSE)</f>
        <v>Electrosurgical Units, Monopolar/Bipolar</v>
      </c>
      <c r="QPC102" s="528" t="s">
        <v>213</v>
      </c>
      <c r="QPD102" s="529" t="str">
        <f>VLOOKUP(QPC102,[14]AssetDetails_UEM!$A$3:$AH$1849,6,FALSE)</f>
        <v>Electrosurgical Units, Monopolar/Bipolar</v>
      </c>
      <c r="QPE102" s="528" t="s">
        <v>213</v>
      </c>
      <c r="QPF102" s="529" t="str">
        <f>VLOOKUP(QPE102,[14]AssetDetails_UEM!$A$3:$AH$1849,6,FALSE)</f>
        <v>Electrosurgical Units, Monopolar/Bipolar</v>
      </c>
      <c r="QPG102" s="528" t="s">
        <v>213</v>
      </c>
      <c r="QPH102" s="529" t="str">
        <f>VLOOKUP(QPG102,[14]AssetDetails_UEM!$A$3:$AH$1849,6,FALSE)</f>
        <v>Electrosurgical Units, Monopolar/Bipolar</v>
      </c>
      <c r="QPI102" s="528" t="s">
        <v>213</v>
      </c>
      <c r="QPJ102" s="529" t="str">
        <f>VLOOKUP(QPI102,[14]AssetDetails_UEM!$A$3:$AH$1849,6,FALSE)</f>
        <v>Electrosurgical Units, Monopolar/Bipolar</v>
      </c>
      <c r="QPK102" s="528" t="s">
        <v>213</v>
      </c>
      <c r="QPL102" s="529" t="str">
        <f>VLOOKUP(QPK102,[14]AssetDetails_UEM!$A$3:$AH$1849,6,FALSE)</f>
        <v>Electrosurgical Units, Monopolar/Bipolar</v>
      </c>
      <c r="QPM102" s="528" t="s">
        <v>213</v>
      </c>
      <c r="QPN102" s="529" t="str">
        <f>VLOOKUP(QPM102,[14]AssetDetails_UEM!$A$3:$AH$1849,6,FALSE)</f>
        <v>Electrosurgical Units, Monopolar/Bipolar</v>
      </c>
      <c r="QPO102" s="528" t="s">
        <v>213</v>
      </c>
      <c r="QPP102" s="529" t="str">
        <f>VLOOKUP(QPO102,[14]AssetDetails_UEM!$A$3:$AH$1849,6,FALSE)</f>
        <v>Electrosurgical Units, Monopolar/Bipolar</v>
      </c>
      <c r="QPQ102" s="528" t="s">
        <v>213</v>
      </c>
      <c r="QPR102" s="529" t="str">
        <f>VLOOKUP(QPQ102,[14]AssetDetails_UEM!$A$3:$AH$1849,6,FALSE)</f>
        <v>Electrosurgical Units, Monopolar/Bipolar</v>
      </c>
      <c r="QPS102" s="528" t="s">
        <v>213</v>
      </c>
      <c r="QPT102" s="529" t="str">
        <f>VLOOKUP(QPS102,[14]AssetDetails_UEM!$A$3:$AH$1849,6,FALSE)</f>
        <v>Electrosurgical Units, Monopolar/Bipolar</v>
      </c>
      <c r="QPU102" s="528" t="s">
        <v>213</v>
      </c>
      <c r="QPV102" s="529" t="str">
        <f>VLOOKUP(QPU102,[14]AssetDetails_UEM!$A$3:$AH$1849,6,FALSE)</f>
        <v>Electrosurgical Units, Monopolar/Bipolar</v>
      </c>
      <c r="QPW102" s="528" t="s">
        <v>213</v>
      </c>
      <c r="QPX102" s="529" t="str">
        <f>VLOOKUP(QPW102,[14]AssetDetails_UEM!$A$3:$AH$1849,6,FALSE)</f>
        <v>Electrosurgical Units, Monopolar/Bipolar</v>
      </c>
      <c r="QPY102" s="528" t="s">
        <v>213</v>
      </c>
      <c r="QPZ102" s="529" t="str">
        <f>VLOOKUP(QPY102,[14]AssetDetails_UEM!$A$3:$AH$1849,6,FALSE)</f>
        <v>Electrosurgical Units, Monopolar/Bipolar</v>
      </c>
      <c r="QQA102" s="528" t="s">
        <v>213</v>
      </c>
      <c r="QQB102" s="529" t="str">
        <f>VLOOKUP(QQA102,[14]AssetDetails_UEM!$A$3:$AH$1849,6,FALSE)</f>
        <v>Electrosurgical Units, Monopolar/Bipolar</v>
      </c>
      <c r="QQC102" s="528" t="s">
        <v>213</v>
      </c>
      <c r="QQD102" s="529" t="str">
        <f>VLOOKUP(QQC102,[14]AssetDetails_UEM!$A$3:$AH$1849,6,FALSE)</f>
        <v>Electrosurgical Units, Monopolar/Bipolar</v>
      </c>
      <c r="QQE102" s="528" t="s">
        <v>213</v>
      </c>
      <c r="QQF102" s="529" t="str">
        <f>VLOOKUP(QQE102,[14]AssetDetails_UEM!$A$3:$AH$1849,6,FALSE)</f>
        <v>Electrosurgical Units, Monopolar/Bipolar</v>
      </c>
      <c r="QQG102" s="528" t="s">
        <v>213</v>
      </c>
      <c r="QQH102" s="529" t="str">
        <f>VLOOKUP(QQG102,[14]AssetDetails_UEM!$A$3:$AH$1849,6,FALSE)</f>
        <v>Electrosurgical Units, Monopolar/Bipolar</v>
      </c>
      <c r="QQI102" s="528" t="s">
        <v>213</v>
      </c>
      <c r="QQJ102" s="529" t="str">
        <f>VLOOKUP(QQI102,[14]AssetDetails_UEM!$A$3:$AH$1849,6,FALSE)</f>
        <v>Electrosurgical Units, Monopolar/Bipolar</v>
      </c>
      <c r="QQK102" s="528" t="s">
        <v>213</v>
      </c>
      <c r="QQL102" s="529" t="str">
        <f>VLOOKUP(QQK102,[14]AssetDetails_UEM!$A$3:$AH$1849,6,FALSE)</f>
        <v>Electrosurgical Units, Monopolar/Bipolar</v>
      </c>
      <c r="QQM102" s="528" t="s">
        <v>213</v>
      </c>
      <c r="QQN102" s="529" t="str">
        <f>VLOOKUP(QQM102,[14]AssetDetails_UEM!$A$3:$AH$1849,6,FALSE)</f>
        <v>Electrosurgical Units, Monopolar/Bipolar</v>
      </c>
      <c r="QQO102" s="528" t="s">
        <v>213</v>
      </c>
      <c r="QQP102" s="529" t="str">
        <f>VLOOKUP(QQO102,[14]AssetDetails_UEM!$A$3:$AH$1849,6,FALSE)</f>
        <v>Electrosurgical Units, Monopolar/Bipolar</v>
      </c>
      <c r="QQQ102" s="528" t="s">
        <v>213</v>
      </c>
      <c r="QQR102" s="529" t="str">
        <f>VLOOKUP(QQQ102,[14]AssetDetails_UEM!$A$3:$AH$1849,6,FALSE)</f>
        <v>Electrosurgical Units, Monopolar/Bipolar</v>
      </c>
      <c r="QQS102" s="528" t="s">
        <v>213</v>
      </c>
      <c r="QQT102" s="529" t="str">
        <f>VLOOKUP(QQS102,[14]AssetDetails_UEM!$A$3:$AH$1849,6,FALSE)</f>
        <v>Electrosurgical Units, Monopolar/Bipolar</v>
      </c>
      <c r="QQU102" s="528" t="s">
        <v>213</v>
      </c>
      <c r="QQV102" s="529" t="str">
        <f>VLOOKUP(QQU102,[14]AssetDetails_UEM!$A$3:$AH$1849,6,FALSE)</f>
        <v>Electrosurgical Units, Monopolar/Bipolar</v>
      </c>
      <c r="QQW102" s="528" t="s">
        <v>213</v>
      </c>
      <c r="QQX102" s="529" t="str">
        <f>VLOOKUP(QQW102,[14]AssetDetails_UEM!$A$3:$AH$1849,6,FALSE)</f>
        <v>Electrosurgical Units, Monopolar/Bipolar</v>
      </c>
      <c r="QQY102" s="528" t="s">
        <v>213</v>
      </c>
      <c r="QQZ102" s="529" t="str">
        <f>VLOOKUP(QQY102,[14]AssetDetails_UEM!$A$3:$AH$1849,6,FALSE)</f>
        <v>Electrosurgical Units, Monopolar/Bipolar</v>
      </c>
      <c r="QRA102" s="528" t="s">
        <v>213</v>
      </c>
      <c r="QRB102" s="529" t="str">
        <f>VLOOKUP(QRA102,[14]AssetDetails_UEM!$A$3:$AH$1849,6,FALSE)</f>
        <v>Electrosurgical Units, Monopolar/Bipolar</v>
      </c>
      <c r="QRC102" s="528" t="s">
        <v>213</v>
      </c>
      <c r="QRD102" s="529" t="str">
        <f>VLOOKUP(QRC102,[14]AssetDetails_UEM!$A$3:$AH$1849,6,FALSE)</f>
        <v>Electrosurgical Units, Monopolar/Bipolar</v>
      </c>
      <c r="QRE102" s="528" t="s">
        <v>213</v>
      </c>
      <c r="QRF102" s="529" t="str">
        <f>VLOOKUP(QRE102,[14]AssetDetails_UEM!$A$3:$AH$1849,6,FALSE)</f>
        <v>Electrosurgical Units, Monopolar/Bipolar</v>
      </c>
      <c r="QRG102" s="528" t="s">
        <v>213</v>
      </c>
      <c r="QRH102" s="529" t="str">
        <f>VLOOKUP(QRG102,[14]AssetDetails_UEM!$A$3:$AH$1849,6,FALSE)</f>
        <v>Electrosurgical Units, Monopolar/Bipolar</v>
      </c>
      <c r="QRI102" s="528" t="s">
        <v>213</v>
      </c>
      <c r="QRJ102" s="529" t="str">
        <f>VLOOKUP(QRI102,[14]AssetDetails_UEM!$A$3:$AH$1849,6,FALSE)</f>
        <v>Electrosurgical Units, Monopolar/Bipolar</v>
      </c>
      <c r="QRK102" s="528" t="s">
        <v>213</v>
      </c>
      <c r="QRL102" s="529" t="str">
        <f>VLOOKUP(QRK102,[14]AssetDetails_UEM!$A$3:$AH$1849,6,FALSE)</f>
        <v>Electrosurgical Units, Monopolar/Bipolar</v>
      </c>
      <c r="QRM102" s="528" t="s">
        <v>213</v>
      </c>
      <c r="QRN102" s="529" t="str">
        <f>VLOOKUP(QRM102,[14]AssetDetails_UEM!$A$3:$AH$1849,6,FALSE)</f>
        <v>Electrosurgical Units, Monopolar/Bipolar</v>
      </c>
      <c r="QRO102" s="528" t="s">
        <v>213</v>
      </c>
      <c r="QRP102" s="529" t="str">
        <f>VLOOKUP(QRO102,[14]AssetDetails_UEM!$A$3:$AH$1849,6,FALSE)</f>
        <v>Electrosurgical Units, Monopolar/Bipolar</v>
      </c>
      <c r="QRQ102" s="528" t="s">
        <v>213</v>
      </c>
      <c r="QRR102" s="529" t="str">
        <f>VLOOKUP(QRQ102,[14]AssetDetails_UEM!$A$3:$AH$1849,6,FALSE)</f>
        <v>Electrosurgical Units, Monopolar/Bipolar</v>
      </c>
      <c r="QRS102" s="528" t="s">
        <v>213</v>
      </c>
      <c r="QRT102" s="529" t="str">
        <f>VLOOKUP(QRS102,[14]AssetDetails_UEM!$A$3:$AH$1849,6,FALSE)</f>
        <v>Electrosurgical Units, Monopolar/Bipolar</v>
      </c>
      <c r="QRU102" s="528" t="s">
        <v>213</v>
      </c>
      <c r="QRV102" s="529" t="str">
        <f>VLOOKUP(QRU102,[14]AssetDetails_UEM!$A$3:$AH$1849,6,FALSE)</f>
        <v>Electrosurgical Units, Monopolar/Bipolar</v>
      </c>
      <c r="QRW102" s="528" t="s">
        <v>213</v>
      </c>
      <c r="QRX102" s="529" t="str">
        <f>VLOOKUP(QRW102,[14]AssetDetails_UEM!$A$3:$AH$1849,6,FALSE)</f>
        <v>Electrosurgical Units, Monopolar/Bipolar</v>
      </c>
      <c r="QRY102" s="528" t="s">
        <v>213</v>
      </c>
      <c r="QRZ102" s="529" t="str">
        <f>VLOOKUP(QRY102,[14]AssetDetails_UEM!$A$3:$AH$1849,6,FALSE)</f>
        <v>Electrosurgical Units, Monopolar/Bipolar</v>
      </c>
      <c r="QSA102" s="528" t="s">
        <v>213</v>
      </c>
      <c r="QSB102" s="529" t="str">
        <f>VLOOKUP(QSA102,[14]AssetDetails_UEM!$A$3:$AH$1849,6,FALSE)</f>
        <v>Electrosurgical Units, Monopolar/Bipolar</v>
      </c>
      <c r="QSC102" s="528" t="s">
        <v>213</v>
      </c>
      <c r="QSD102" s="529" t="str">
        <f>VLOOKUP(QSC102,[14]AssetDetails_UEM!$A$3:$AH$1849,6,FALSE)</f>
        <v>Electrosurgical Units, Monopolar/Bipolar</v>
      </c>
      <c r="QSE102" s="528" t="s">
        <v>213</v>
      </c>
      <c r="QSF102" s="529" t="str">
        <f>VLOOKUP(QSE102,[14]AssetDetails_UEM!$A$3:$AH$1849,6,FALSE)</f>
        <v>Electrosurgical Units, Monopolar/Bipolar</v>
      </c>
      <c r="QSG102" s="528" t="s">
        <v>213</v>
      </c>
      <c r="QSH102" s="529" t="str">
        <f>VLOOKUP(QSG102,[14]AssetDetails_UEM!$A$3:$AH$1849,6,FALSE)</f>
        <v>Electrosurgical Units, Monopolar/Bipolar</v>
      </c>
      <c r="QSI102" s="528" t="s">
        <v>213</v>
      </c>
      <c r="QSJ102" s="529" t="str">
        <f>VLOOKUP(QSI102,[14]AssetDetails_UEM!$A$3:$AH$1849,6,FALSE)</f>
        <v>Electrosurgical Units, Monopolar/Bipolar</v>
      </c>
      <c r="QSK102" s="528" t="s">
        <v>213</v>
      </c>
      <c r="QSL102" s="529" t="str">
        <f>VLOOKUP(QSK102,[14]AssetDetails_UEM!$A$3:$AH$1849,6,FALSE)</f>
        <v>Electrosurgical Units, Monopolar/Bipolar</v>
      </c>
      <c r="QSM102" s="528" t="s">
        <v>213</v>
      </c>
      <c r="QSN102" s="529" t="str">
        <f>VLOOKUP(QSM102,[14]AssetDetails_UEM!$A$3:$AH$1849,6,FALSE)</f>
        <v>Electrosurgical Units, Monopolar/Bipolar</v>
      </c>
      <c r="QSO102" s="528" t="s">
        <v>213</v>
      </c>
      <c r="QSP102" s="529" t="str">
        <f>VLOOKUP(QSO102,[14]AssetDetails_UEM!$A$3:$AH$1849,6,FALSE)</f>
        <v>Electrosurgical Units, Monopolar/Bipolar</v>
      </c>
      <c r="QSQ102" s="528" t="s">
        <v>213</v>
      </c>
      <c r="QSR102" s="529" t="str">
        <f>VLOOKUP(QSQ102,[14]AssetDetails_UEM!$A$3:$AH$1849,6,FALSE)</f>
        <v>Electrosurgical Units, Monopolar/Bipolar</v>
      </c>
      <c r="QSS102" s="528" t="s">
        <v>213</v>
      </c>
      <c r="QST102" s="529" t="str">
        <f>VLOOKUP(QSS102,[14]AssetDetails_UEM!$A$3:$AH$1849,6,FALSE)</f>
        <v>Electrosurgical Units, Monopolar/Bipolar</v>
      </c>
      <c r="QSU102" s="528" t="s">
        <v>213</v>
      </c>
      <c r="QSV102" s="529" t="str">
        <f>VLOOKUP(QSU102,[14]AssetDetails_UEM!$A$3:$AH$1849,6,FALSE)</f>
        <v>Electrosurgical Units, Monopolar/Bipolar</v>
      </c>
      <c r="QSW102" s="528" t="s">
        <v>213</v>
      </c>
      <c r="QSX102" s="529" t="str">
        <f>VLOOKUP(QSW102,[14]AssetDetails_UEM!$A$3:$AH$1849,6,FALSE)</f>
        <v>Electrosurgical Units, Monopolar/Bipolar</v>
      </c>
      <c r="QSY102" s="528" t="s">
        <v>213</v>
      </c>
      <c r="QSZ102" s="529" t="str">
        <f>VLOOKUP(QSY102,[14]AssetDetails_UEM!$A$3:$AH$1849,6,FALSE)</f>
        <v>Electrosurgical Units, Monopolar/Bipolar</v>
      </c>
      <c r="QTA102" s="528" t="s">
        <v>213</v>
      </c>
      <c r="QTB102" s="529" t="str">
        <f>VLOOKUP(QTA102,[14]AssetDetails_UEM!$A$3:$AH$1849,6,FALSE)</f>
        <v>Electrosurgical Units, Monopolar/Bipolar</v>
      </c>
      <c r="QTC102" s="528" t="s">
        <v>213</v>
      </c>
      <c r="QTD102" s="529" t="str">
        <f>VLOOKUP(QTC102,[14]AssetDetails_UEM!$A$3:$AH$1849,6,FALSE)</f>
        <v>Electrosurgical Units, Monopolar/Bipolar</v>
      </c>
      <c r="QTE102" s="528" t="s">
        <v>213</v>
      </c>
      <c r="QTF102" s="529" t="str">
        <f>VLOOKUP(QTE102,[14]AssetDetails_UEM!$A$3:$AH$1849,6,FALSE)</f>
        <v>Electrosurgical Units, Monopolar/Bipolar</v>
      </c>
      <c r="QTG102" s="528" t="s">
        <v>213</v>
      </c>
      <c r="QTH102" s="529" t="str">
        <f>VLOOKUP(QTG102,[14]AssetDetails_UEM!$A$3:$AH$1849,6,FALSE)</f>
        <v>Electrosurgical Units, Monopolar/Bipolar</v>
      </c>
      <c r="QTI102" s="528" t="s">
        <v>213</v>
      </c>
      <c r="QTJ102" s="529" t="str">
        <f>VLOOKUP(QTI102,[14]AssetDetails_UEM!$A$3:$AH$1849,6,FALSE)</f>
        <v>Electrosurgical Units, Monopolar/Bipolar</v>
      </c>
      <c r="QTK102" s="528" t="s">
        <v>213</v>
      </c>
      <c r="QTL102" s="529" t="str">
        <f>VLOOKUP(QTK102,[14]AssetDetails_UEM!$A$3:$AH$1849,6,FALSE)</f>
        <v>Electrosurgical Units, Monopolar/Bipolar</v>
      </c>
      <c r="QTM102" s="528" t="s">
        <v>213</v>
      </c>
      <c r="QTN102" s="529" t="str">
        <f>VLOOKUP(QTM102,[14]AssetDetails_UEM!$A$3:$AH$1849,6,FALSE)</f>
        <v>Electrosurgical Units, Monopolar/Bipolar</v>
      </c>
      <c r="QTO102" s="528" t="s">
        <v>213</v>
      </c>
      <c r="QTP102" s="529" t="str">
        <f>VLOOKUP(QTO102,[14]AssetDetails_UEM!$A$3:$AH$1849,6,FALSE)</f>
        <v>Electrosurgical Units, Monopolar/Bipolar</v>
      </c>
      <c r="QTQ102" s="528" t="s">
        <v>213</v>
      </c>
      <c r="QTR102" s="529" t="str">
        <f>VLOOKUP(QTQ102,[14]AssetDetails_UEM!$A$3:$AH$1849,6,FALSE)</f>
        <v>Electrosurgical Units, Monopolar/Bipolar</v>
      </c>
      <c r="QTS102" s="528" t="s">
        <v>213</v>
      </c>
      <c r="QTT102" s="529" t="str">
        <f>VLOOKUP(QTS102,[14]AssetDetails_UEM!$A$3:$AH$1849,6,FALSE)</f>
        <v>Electrosurgical Units, Monopolar/Bipolar</v>
      </c>
      <c r="QTU102" s="528" t="s">
        <v>213</v>
      </c>
      <c r="QTV102" s="529" t="str">
        <f>VLOOKUP(QTU102,[14]AssetDetails_UEM!$A$3:$AH$1849,6,FALSE)</f>
        <v>Electrosurgical Units, Monopolar/Bipolar</v>
      </c>
      <c r="QTW102" s="528" t="s">
        <v>213</v>
      </c>
      <c r="QTX102" s="529" t="str">
        <f>VLOOKUP(QTW102,[14]AssetDetails_UEM!$A$3:$AH$1849,6,FALSE)</f>
        <v>Electrosurgical Units, Monopolar/Bipolar</v>
      </c>
      <c r="QTY102" s="528" t="s">
        <v>213</v>
      </c>
      <c r="QTZ102" s="529" t="str">
        <f>VLOOKUP(QTY102,[14]AssetDetails_UEM!$A$3:$AH$1849,6,FALSE)</f>
        <v>Electrosurgical Units, Monopolar/Bipolar</v>
      </c>
      <c r="QUA102" s="528" t="s">
        <v>213</v>
      </c>
      <c r="QUB102" s="529" t="str">
        <f>VLOOKUP(QUA102,[14]AssetDetails_UEM!$A$3:$AH$1849,6,FALSE)</f>
        <v>Electrosurgical Units, Monopolar/Bipolar</v>
      </c>
      <c r="QUC102" s="528" t="s">
        <v>213</v>
      </c>
      <c r="QUD102" s="529" t="str">
        <f>VLOOKUP(QUC102,[14]AssetDetails_UEM!$A$3:$AH$1849,6,FALSE)</f>
        <v>Electrosurgical Units, Monopolar/Bipolar</v>
      </c>
      <c r="QUE102" s="528" t="s">
        <v>213</v>
      </c>
      <c r="QUF102" s="529" t="str">
        <f>VLOOKUP(QUE102,[14]AssetDetails_UEM!$A$3:$AH$1849,6,FALSE)</f>
        <v>Electrosurgical Units, Monopolar/Bipolar</v>
      </c>
      <c r="QUG102" s="528" t="s">
        <v>213</v>
      </c>
      <c r="QUH102" s="529" t="str">
        <f>VLOOKUP(QUG102,[14]AssetDetails_UEM!$A$3:$AH$1849,6,FALSE)</f>
        <v>Electrosurgical Units, Monopolar/Bipolar</v>
      </c>
      <c r="QUI102" s="528" t="s">
        <v>213</v>
      </c>
      <c r="QUJ102" s="529" t="str">
        <f>VLOOKUP(QUI102,[14]AssetDetails_UEM!$A$3:$AH$1849,6,FALSE)</f>
        <v>Electrosurgical Units, Monopolar/Bipolar</v>
      </c>
      <c r="QUK102" s="528" t="s">
        <v>213</v>
      </c>
      <c r="QUL102" s="529" t="str">
        <f>VLOOKUP(QUK102,[14]AssetDetails_UEM!$A$3:$AH$1849,6,FALSE)</f>
        <v>Electrosurgical Units, Monopolar/Bipolar</v>
      </c>
      <c r="QUM102" s="528" t="s">
        <v>213</v>
      </c>
      <c r="QUN102" s="529" t="str">
        <f>VLOOKUP(QUM102,[14]AssetDetails_UEM!$A$3:$AH$1849,6,FALSE)</f>
        <v>Electrosurgical Units, Monopolar/Bipolar</v>
      </c>
      <c r="QUO102" s="528" t="s">
        <v>213</v>
      </c>
      <c r="QUP102" s="529" t="str">
        <f>VLOOKUP(QUO102,[14]AssetDetails_UEM!$A$3:$AH$1849,6,FALSE)</f>
        <v>Electrosurgical Units, Monopolar/Bipolar</v>
      </c>
      <c r="QUQ102" s="528" t="s">
        <v>213</v>
      </c>
      <c r="QUR102" s="529" t="str">
        <f>VLOOKUP(QUQ102,[14]AssetDetails_UEM!$A$3:$AH$1849,6,FALSE)</f>
        <v>Electrosurgical Units, Monopolar/Bipolar</v>
      </c>
      <c r="QUS102" s="528" t="s">
        <v>213</v>
      </c>
      <c r="QUT102" s="529" t="str">
        <f>VLOOKUP(QUS102,[14]AssetDetails_UEM!$A$3:$AH$1849,6,FALSE)</f>
        <v>Electrosurgical Units, Monopolar/Bipolar</v>
      </c>
      <c r="QUU102" s="528" t="s">
        <v>213</v>
      </c>
      <c r="QUV102" s="529" t="str">
        <f>VLOOKUP(QUU102,[14]AssetDetails_UEM!$A$3:$AH$1849,6,FALSE)</f>
        <v>Electrosurgical Units, Monopolar/Bipolar</v>
      </c>
      <c r="QUW102" s="528" t="s">
        <v>213</v>
      </c>
      <c r="QUX102" s="529" t="str">
        <f>VLOOKUP(QUW102,[14]AssetDetails_UEM!$A$3:$AH$1849,6,FALSE)</f>
        <v>Electrosurgical Units, Monopolar/Bipolar</v>
      </c>
      <c r="QUY102" s="528" t="s">
        <v>213</v>
      </c>
      <c r="QUZ102" s="529" t="str">
        <f>VLOOKUP(QUY102,[14]AssetDetails_UEM!$A$3:$AH$1849,6,FALSE)</f>
        <v>Electrosurgical Units, Monopolar/Bipolar</v>
      </c>
      <c r="QVA102" s="528" t="s">
        <v>213</v>
      </c>
      <c r="QVB102" s="529" t="str">
        <f>VLOOKUP(QVA102,[14]AssetDetails_UEM!$A$3:$AH$1849,6,FALSE)</f>
        <v>Electrosurgical Units, Monopolar/Bipolar</v>
      </c>
      <c r="QVC102" s="528" t="s">
        <v>213</v>
      </c>
      <c r="QVD102" s="529" t="str">
        <f>VLOOKUP(QVC102,[14]AssetDetails_UEM!$A$3:$AH$1849,6,FALSE)</f>
        <v>Electrosurgical Units, Monopolar/Bipolar</v>
      </c>
      <c r="QVE102" s="528" t="s">
        <v>213</v>
      </c>
      <c r="QVF102" s="529" t="str">
        <f>VLOOKUP(QVE102,[14]AssetDetails_UEM!$A$3:$AH$1849,6,FALSE)</f>
        <v>Electrosurgical Units, Monopolar/Bipolar</v>
      </c>
      <c r="QVG102" s="528" t="s">
        <v>213</v>
      </c>
      <c r="QVH102" s="529" t="str">
        <f>VLOOKUP(QVG102,[14]AssetDetails_UEM!$A$3:$AH$1849,6,FALSE)</f>
        <v>Electrosurgical Units, Monopolar/Bipolar</v>
      </c>
      <c r="QVI102" s="528" t="s">
        <v>213</v>
      </c>
      <c r="QVJ102" s="529" t="str">
        <f>VLOOKUP(QVI102,[14]AssetDetails_UEM!$A$3:$AH$1849,6,FALSE)</f>
        <v>Electrosurgical Units, Monopolar/Bipolar</v>
      </c>
      <c r="QVK102" s="528" t="s">
        <v>213</v>
      </c>
      <c r="QVL102" s="529" t="str">
        <f>VLOOKUP(QVK102,[14]AssetDetails_UEM!$A$3:$AH$1849,6,FALSE)</f>
        <v>Electrosurgical Units, Monopolar/Bipolar</v>
      </c>
      <c r="QVM102" s="528" t="s">
        <v>213</v>
      </c>
      <c r="QVN102" s="529" t="str">
        <f>VLOOKUP(QVM102,[14]AssetDetails_UEM!$A$3:$AH$1849,6,FALSE)</f>
        <v>Electrosurgical Units, Monopolar/Bipolar</v>
      </c>
      <c r="QVO102" s="528" t="s">
        <v>213</v>
      </c>
      <c r="QVP102" s="529" t="str">
        <f>VLOOKUP(QVO102,[14]AssetDetails_UEM!$A$3:$AH$1849,6,FALSE)</f>
        <v>Electrosurgical Units, Monopolar/Bipolar</v>
      </c>
      <c r="QVQ102" s="528" t="s">
        <v>213</v>
      </c>
      <c r="QVR102" s="529" t="str">
        <f>VLOOKUP(QVQ102,[14]AssetDetails_UEM!$A$3:$AH$1849,6,FALSE)</f>
        <v>Electrosurgical Units, Monopolar/Bipolar</v>
      </c>
      <c r="QVS102" s="528" t="s">
        <v>213</v>
      </c>
      <c r="QVT102" s="529" t="str">
        <f>VLOOKUP(QVS102,[14]AssetDetails_UEM!$A$3:$AH$1849,6,FALSE)</f>
        <v>Electrosurgical Units, Monopolar/Bipolar</v>
      </c>
      <c r="QVU102" s="528" t="s">
        <v>213</v>
      </c>
      <c r="QVV102" s="529" t="str">
        <f>VLOOKUP(QVU102,[14]AssetDetails_UEM!$A$3:$AH$1849,6,FALSE)</f>
        <v>Electrosurgical Units, Monopolar/Bipolar</v>
      </c>
      <c r="QVW102" s="528" t="s">
        <v>213</v>
      </c>
      <c r="QVX102" s="529" t="str">
        <f>VLOOKUP(QVW102,[14]AssetDetails_UEM!$A$3:$AH$1849,6,FALSE)</f>
        <v>Electrosurgical Units, Monopolar/Bipolar</v>
      </c>
      <c r="QVY102" s="528" t="s">
        <v>213</v>
      </c>
      <c r="QVZ102" s="529" t="str">
        <f>VLOOKUP(QVY102,[14]AssetDetails_UEM!$A$3:$AH$1849,6,FALSE)</f>
        <v>Electrosurgical Units, Monopolar/Bipolar</v>
      </c>
      <c r="QWA102" s="528" t="s">
        <v>213</v>
      </c>
      <c r="QWB102" s="529" t="str">
        <f>VLOOKUP(QWA102,[14]AssetDetails_UEM!$A$3:$AH$1849,6,FALSE)</f>
        <v>Electrosurgical Units, Monopolar/Bipolar</v>
      </c>
      <c r="QWC102" s="528" t="s">
        <v>213</v>
      </c>
      <c r="QWD102" s="529" t="str">
        <f>VLOOKUP(QWC102,[14]AssetDetails_UEM!$A$3:$AH$1849,6,FALSE)</f>
        <v>Electrosurgical Units, Monopolar/Bipolar</v>
      </c>
      <c r="QWE102" s="528" t="s">
        <v>213</v>
      </c>
      <c r="QWF102" s="529" t="str">
        <f>VLOOKUP(QWE102,[14]AssetDetails_UEM!$A$3:$AH$1849,6,FALSE)</f>
        <v>Electrosurgical Units, Monopolar/Bipolar</v>
      </c>
      <c r="QWG102" s="528" t="s">
        <v>213</v>
      </c>
      <c r="QWH102" s="529" t="str">
        <f>VLOOKUP(QWG102,[14]AssetDetails_UEM!$A$3:$AH$1849,6,FALSE)</f>
        <v>Electrosurgical Units, Monopolar/Bipolar</v>
      </c>
      <c r="QWI102" s="528" t="s">
        <v>213</v>
      </c>
      <c r="QWJ102" s="529" t="str">
        <f>VLOOKUP(QWI102,[14]AssetDetails_UEM!$A$3:$AH$1849,6,FALSE)</f>
        <v>Electrosurgical Units, Monopolar/Bipolar</v>
      </c>
      <c r="QWK102" s="528" t="s">
        <v>213</v>
      </c>
      <c r="QWL102" s="529" t="str">
        <f>VLOOKUP(QWK102,[14]AssetDetails_UEM!$A$3:$AH$1849,6,FALSE)</f>
        <v>Electrosurgical Units, Monopolar/Bipolar</v>
      </c>
      <c r="QWM102" s="528" t="s">
        <v>213</v>
      </c>
      <c r="QWN102" s="529" t="str">
        <f>VLOOKUP(QWM102,[14]AssetDetails_UEM!$A$3:$AH$1849,6,FALSE)</f>
        <v>Electrosurgical Units, Monopolar/Bipolar</v>
      </c>
      <c r="QWO102" s="528" t="s">
        <v>213</v>
      </c>
      <c r="QWP102" s="529" t="str">
        <f>VLOOKUP(QWO102,[14]AssetDetails_UEM!$A$3:$AH$1849,6,FALSE)</f>
        <v>Electrosurgical Units, Monopolar/Bipolar</v>
      </c>
      <c r="QWQ102" s="528" t="s">
        <v>213</v>
      </c>
      <c r="QWR102" s="529" t="str">
        <f>VLOOKUP(QWQ102,[14]AssetDetails_UEM!$A$3:$AH$1849,6,FALSE)</f>
        <v>Electrosurgical Units, Monopolar/Bipolar</v>
      </c>
      <c r="QWS102" s="528" t="s">
        <v>213</v>
      </c>
      <c r="QWT102" s="529" t="str">
        <f>VLOOKUP(QWS102,[14]AssetDetails_UEM!$A$3:$AH$1849,6,FALSE)</f>
        <v>Electrosurgical Units, Monopolar/Bipolar</v>
      </c>
      <c r="QWU102" s="528" t="s">
        <v>213</v>
      </c>
      <c r="QWV102" s="529" t="str">
        <f>VLOOKUP(QWU102,[14]AssetDetails_UEM!$A$3:$AH$1849,6,FALSE)</f>
        <v>Electrosurgical Units, Monopolar/Bipolar</v>
      </c>
      <c r="QWW102" s="528" t="s">
        <v>213</v>
      </c>
      <c r="QWX102" s="529" t="str">
        <f>VLOOKUP(QWW102,[14]AssetDetails_UEM!$A$3:$AH$1849,6,FALSE)</f>
        <v>Electrosurgical Units, Monopolar/Bipolar</v>
      </c>
      <c r="QWY102" s="528" t="s">
        <v>213</v>
      </c>
      <c r="QWZ102" s="529" t="str">
        <f>VLOOKUP(QWY102,[14]AssetDetails_UEM!$A$3:$AH$1849,6,FALSE)</f>
        <v>Electrosurgical Units, Monopolar/Bipolar</v>
      </c>
      <c r="QXA102" s="528" t="s">
        <v>213</v>
      </c>
      <c r="QXB102" s="529" t="str">
        <f>VLOOKUP(QXA102,[14]AssetDetails_UEM!$A$3:$AH$1849,6,FALSE)</f>
        <v>Electrosurgical Units, Monopolar/Bipolar</v>
      </c>
      <c r="QXC102" s="528" t="s">
        <v>213</v>
      </c>
      <c r="QXD102" s="529" t="str">
        <f>VLOOKUP(QXC102,[14]AssetDetails_UEM!$A$3:$AH$1849,6,FALSE)</f>
        <v>Electrosurgical Units, Monopolar/Bipolar</v>
      </c>
      <c r="QXE102" s="528" t="s">
        <v>213</v>
      </c>
      <c r="QXF102" s="529" t="str">
        <f>VLOOKUP(QXE102,[14]AssetDetails_UEM!$A$3:$AH$1849,6,FALSE)</f>
        <v>Electrosurgical Units, Monopolar/Bipolar</v>
      </c>
      <c r="QXG102" s="528" t="s">
        <v>213</v>
      </c>
      <c r="QXH102" s="529" t="str">
        <f>VLOOKUP(QXG102,[14]AssetDetails_UEM!$A$3:$AH$1849,6,FALSE)</f>
        <v>Electrosurgical Units, Monopolar/Bipolar</v>
      </c>
      <c r="QXI102" s="528" t="s">
        <v>213</v>
      </c>
      <c r="QXJ102" s="529" t="str">
        <f>VLOOKUP(QXI102,[14]AssetDetails_UEM!$A$3:$AH$1849,6,FALSE)</f>
        <v>Electrosurgical Units, Monopolar/Bipolar</v>
      </c>
      <c r="QXK102" s="528" t="s">
        <v>213</v>
      </c>
      <c r="QXL102" s="529" t="str">
        <f>VLOOKUP(QXK102,[14]AssetDetails_UEM!$A$3:$AH$1849,6,FALSE)</f>
        <v>Electrosurgical Units, Monopolar/Bipolar</v>
      </c>
      <c r="QXM102" s="528" t="s">
        <v>213</v>
      </c>
      <c r="QXN102" s="529" t="str">
        <f>VLOOKUP(QXM102,[14]AssetDetails_UEM!$A$3:$AH$1849,6,FALSE)</f>
        <v>Electrosurgical Units, Monopolar/Bipolar</v>
      </c>
      <c r="QXO102" s="528" t="s">
        <v>213</v>
      </c>
      <c r="QXP102" s="529" t="str">
        <f>VLOOKUP(QXO102,[14]AssetDetails_UEM!$A$3:$AH$1849,6,FALSE)</f>
        <v>Electrosurgical Units, Monopolar/Bipolar</v>
      </c>
      <c r="QXQ102" s="528" t="s">
        <v>213</v>
      </c>
      <c r="QXR102" s="529" t="str">
        <f>VLOOKUP(QXQ102,[14]AssetDetails_UEM!$A$3:$AH$1849,6,FALSE)</f>
        <v>Electrosurgical Units, Monopolar/Bipolar</v>
      </c>
      <c r="QXS102" s="528" t="s">
        <v>213</v>
      </c>
      <c r="QXT102" s="529" t="str">
        <f>VLOOKUP(QXS102,[14]AssetDetails_UEM!$A$3:$AH$1849,6,FALSE)</f>
        <v>Electrosurgical Units, Monopolar/Bipolar</v>
      </c>
      <c r="QXU102" s="528" t="s">
        <v>213</v>
      </c>
      <c r="QXV102" s="529" t="str">
        <f>VLOOKUP(QXU102,[14]AssetDetails_UEM!$A$3:$AH$1849,6,FALSE)</f>
        <v>Electrosurgical Units, Monopolar/Bipolar</v>
      </c>
      <c r="QXW102" s="528" t="s">
        <v>213</v>
      </c>
      <c r="QXX102" s="529" t="str">
        <f>VLOOKUP(QXW102,[14]AssetDetails_UEM!$A$3:$AH$1849,6,FALSE)</f>
        <v>Electrosurgical Units, Monopolar/Bipolar</v>
      </c>
      <c r="QXY102" s="528" t="s">
        <v>213</v>
      </c>
      <c r="QXZ102" s="529" t="str">
        <f>VLOOKUP(QXY102,[14]AssetDetails_UEM!$A$3:$AH$1849,6,FALSE)</f>
        <v>Electrosurgical Units, Monopolar/Bipolar</v>
      </c>
      <c r="QYA102" s="528" t="s">
        <v>213</v>
      </c>
      <c r="QYB102" s="529" t="str">
        <f>VLOOKUP(QYA102,[14]AssetDetails_UEM!$A$3:$AH$1849,6,FALSE)</f>
        <v>Electrosurgical Units, Monopolar/Bipolar</v>
      </c>
      <c r="QYC102" s="528" t="s">
        <v>213</v>
      </c>
      <c r="QYD102" s="529" t="str">
        <f>VLOOKUP(QYC102,[14]AssetDetails_UEM!$A$3:$AH$1849,6,FALSE)</f>
        <v>Electrosurgical Units, Monopolar/Bipolar</v>
      </c>
      <c r="QYE102" s="528" t="s">
        <v>213</v>
      </c>
      <c r="QYF102" s="529" t="str">
        <f>VLOOKUP(QYE102,[14]AssetDetails_UEM!$A$3:$AH$1849,6,FALSE)</f>
        <v>Electrosurgical Units, Monopolar/Bipolar</v>
      </c>
      <c r="QYG102" s="528" t="s">
        <v>213</v>
      </c>
      <c r="QYH102" s="529" t="str">
        <f>VLOOKUP(QYG102,[14]AssetDetails_UEM!$A$3:$AH$1849,6,FALSE)</f>
        <v>Electrosurgical Units, Monopolar/Bipolar</v>
      </c>
      <c r="QYI102" s="528" t="s">
        <v>213</v>
      </c>
      <c r="QYJ102" s="529" t="str">
        <f>VLOOKUP(QYI102,[14]AssetDetails_UEM!$A$3:$AH$1849,6,FALSE)</f>
        <v>Electrosurgical Units, Monopolar/Bipolar</v>
      </c>
      <c r="QYK102" s="528" t="s">
        <v>213</v>
      </c>
      <c r="QYL102" s="529" t="str">
        <f>VLOOKUP(QYK102,[14]AssetDetails_UEM!$A$3:$AH$1849,6,FALSE)</f>
        <v>Electrosurgical Units, Monopolar/Bipolar</v>
      </c>
      <c r="QYM102" s="528" t="s">
        <v>213</v>
      </c>
      <c r="QYN102" s="529" t="str">
        <f>VLOOKUP(QYM102,[14]AssetDetails_UEM!$A$3:$AH$1849,6,FALSE)</f>
        <v>Electrosurgical Units, Monopolar/Bipolar</v>
      </c>
      <c r="QYO102" s="528" t="s">
        <v>213</v>
      </c>
      <c r="QYP102" s="529" t="str">
        <f>VLOOKUP(QYO102,[14]AssetDetails_UEM!$A$3:$AH$1849,6,FALSE)</f>
        <v>Electrosurgical Units, Monopolar/Bipolar</v>
      </c>
      <c r="QYQ102" s="528" t="s">
        <v>213</v>
      </c>
      <c r="QYR102" s="529" t="str">
        <f>VLOOKUP(QYQ102,[14]AssetDetails_UEM!$A$3:$AH$1849,6,FALSE)</f>
        <v>Electrosurgical Units, Monopolar/Bipolar</v>
      </c>
      <c r="QYS102" s="528" t="s">
        <v>213</v>
      </c>
      <c r="QYT102" s="529" t="str">
        <f>VLOOKUP(QYS102,[14]AssetDetails_UEM!$A$3:$AH$1849,6,FALSE)</f>
        <v>Electrosurgical Units, Monopolar/Bipolar</v>
      </c>
      <c r="QYU102" s="528" t="s">
        <v>213</v>
      </c>
      <c r="QYV102" s="529" t="str">
        <f>VLOOKUP(QYU102,[14]AssetDetails_UEM!$A$3:$AH$1849,6,FALSE)</f>
        <v>Electrosurgical Units, Monopolar/Bipolar</v>
      </c>
      <c r="QYW102" s="528" t="s">
        <v>213</v>
      </c>
      <c r="QYX102" s="529" t="str">
        <f>VLOOKUP(QYW102,[14]AssetDetails_UEM!$A$3:$AH$1849,6,FALSE)</f>
        <v>Electrosurgical Units, Monopolar/Bipolar</v>
      </c>
      <c r="QYY102" s="528" t="s">
        <v>213</v>
      </c>
      <c r="QYZ102" s="529" t="str">
        <f>VLOOKUP(QYY102,[14]AssetDetails_UEM!$A$3:$AH$1849,6,FALSE)</f>
        <v>Electrosurgical Units, Monopolar/Bipolar</v>
      </c>
      <c r="QZA102" s="528" t="s">
        <v>213</v>
      </c>
      <c r="QZB102" s="529" t="str">
        <f>VLOOKUP(QZA102,[14]AssetDetails_UEM!$A$3:$AH$1849,6,FALSE)</f>
        <v>Electrosurgical Units, Monopolar/Bipolar</v>
      </c>
      <c r="QZC102" s="528" t="s">
        <v>213</v>
      </c>
      <c r="QZD102" s="529" t="str">
        <f>VLOOKUP(QZC102,[14]AssetDetails_UEM!$A$3:$AH$1849,6,FALSE)</f>
        <v>Electrosurgical Units, Monopolar/Bipolar</v>
      </c>
      <c r="QZE102" s="528" t="s">
        <v>213</v>
      </c>
      <c r="QZF102" s="529" t="str">
        <f>VLOOKUP(QZE102,[14]AssetDetails_UEM!$A$3:$AH$1849,6,FALSE)</f>
        <v>Electrosurgical Units, Monopolar/Bipolar</v>
      </c>
      <c r="QZG102" s="528" t="s">
        <v>213</v>
      </c>
      <c r="QZH102" s="529" t="str">
        <f>VLOOKUP(QZG102,[14]AssetDetails_UEM!$A$3:$AH$1849,6,FALSE)</f>
        <v>Electrosurgical Units, Monopolar/Bipolar</v>
      </c>
      <c r="QZI102" s="528" t="s">
        <v>213</v>
      </c>
      <c r="QZJ102" s="529" t="str">
        <f>VLOOKUP(QZI102,[14]AssetDetails_UEM!$A$3:$AH$1849,6,FALSE)</f>
        <v>Electrosurgical Units, Monopolar/Bipolar</v>
      </c>
      <c r="QZK102" s="528" t="s">
        <v>213</v>
      </c>
      <c r="QZL102" s="529" t="str">
        <f>VLOOKUP(QZK102,[14]AssetDetails_UEM!$A$3:$AH$1849,6,FALSE)</f>
        <v>Electrosurgical Units, Monopolar/Bipolar</v>
      </c>
      <c r="QZM102" s="528" t="s">
        <v>213</v>
      </c>
      <c r="QZN102" s="529" t="str">
        <f>VLOOKUP(QZM102,[14]AssetDetails_UEM!$A$3:$AH$1849,6,FALSE)</f>
        <v>Electrosurgical Units, Monopolar/Bipolar</v>
      </c>
      <c r="QZO102" s="528" t="s">
        <v>213</v>
      </c>
      <c r="QZP102" s="529" t="str">
        <f>VLOOKUP(QZO102,[14]AssetDetails_UEM!$A$3:$AH$1849,6,FALSE)</f>
        <v>Electrosurgical Units, Monopolar/Bipolar</v>
      </c>
      <c r="QZQ102" s="528" t="s">
        <v>213</v>
      </c>
      <c r="QZR102" s="529" t="str">
        <f>VLOOKUP(QZQ102,[14]AssetDetails_UEM!$A$3:$AH$1849,6,FALSE)</f>
        <v>Electrosurgical Units, Monopolar/Bipolar</v>
      </c>
      <c r="QZS102" s="528" t="s">
        <v>213</v>
      </c>
      <c r="QZT102" s="529" t="str">
        <f>VLOOKUP(QZS102,[14]AssetDetails_UEM!$A$3:$AH$1849,6,FALSE)</f>
        <v>Electrosurgical Units, Monopolar/Bipolar</v>
      </c>
      <c r="QZU102" s="528" t="s">
        <v>213</v>
      </c>
      <c r="QZV102" s="529" t="str">
        <f>VLOOKUP(QZU102,[14]AssetDetails_UEM!$A$3:$AH$1849,6,FALSE)</f>
        <v>Electrosurgical Units, Monopolar/Bipolar</v>
      </c>
      <c r="QZW102" s="528" t="s">
        <v>213</v>
      </c>
      <c r="QZX102" s="529" t="str">
        <f>VLOOKUP(QZW102,[14]AssetDetails_UEM!$A$3:$AH$1849,6,FALSE)</f>
        <v>Electrosurgical Units, Monopolar/Bipolar</v>
      </c>
      <c r="QZY102" s="528" t="s">
        <v>213</v>
      </c>
      <c r="QZZ102" s="529" t="str">
        <f>VLOOKUP(QZY102,[14]AssetDetails_UEM!$A$3:$AH$1849,6,FALSE)</f>
        <v>Electrosurgical Units, Monopolar/Bipolar</v>
      </c>
      <c r="RAA102" s="528" t="s">
        <v>213</v>
      </c>
      <c r="RAB102" s="529" t="str">
        <f>VLOOKUP(RAA102,[14]AssetDetails_UEM!$A$3:$AH$1849,6,FALSE)</f>
        <v>Electrosurgical Units, Monopolar/Bipolar</v>
      </c>
      <c r="RAC102" s="528" t="s">
        <v>213</v>
      </c>
      <c r="RAD102" s="529" t="str">
        <f>VLOOKUP(RAC102,[14]AssetDetails_UEM!$A$3:$AH$1849,6,FALSE)</f>
        <v>Electrosurgical Units, Monopolar/Bipolar</v>
      </c>
      <c r="RAE102" s="528" t="s">
        <v>213</v>
      </c>
      <c r="RAF102" s="529" t="str">
        <f>VLOOKUP(RAE102,[14]AssetDetails_UEM!$A$3:$AH$1849,6,FALSE)</f>
        <v>Electrosurgical Units, Monopolar/Bipolar</v>
      </c>
      <c r="RAG102" s="528" t="s">
        <v>213</v>
      </c>
      <c r="RAH102" s="529" t="str">
        <f>VLOOKUP(RAG102,[14]AssetDetails_UEM!$A$3:$AH$1849,6,FALSE)</f>
        <v>Electrosurgical Units, Monopolar/Bipolar</v>
      </c>
      <c r="RAI102" s="528" t="s">
        <v>213</v>
      </c>
      <c r="RAJ102" s="529" t="str">
        <f>VLOOKUP(RAI102,[14]AssetDetails_UEM!$A$3:$AH$1849,6,FALSE)</f>
        <v>Electrosurgical Units, Monopolar/Bipolar</v>
      </c>
      <c r="RAK102" s="528" t="s">
        <v>213</v>
      </c>
      <c r="RAL102" s="529" t="str">
        <f>VLOOKUP(RAK102,[14]AssetDetails_UEM!$A$3:$AH$1849,6,FALSE)</f>
        <v>Electrosurgical Units, Monopolar/Bipolar</v>
      </c>
      <c r="RAM102" s="528" t="s">
        <v>213</v>
      </c>
      <c r="RAN102" s="529" t="str">
        <f>VLOOKUP(RAM102,[14]AssetDetails_UEM!$A$3:$AH$1849,6,FALSE)</f>
        <v>Electrosurgical Units, Monopolar/Bipolar</v>
      </c>
      <c r="RAO102" s="528" t="s">
        <v>213</v>
      </c>
      <c r="RAP102" s="529" t="str">
        <f>VLOOKUP(RAO102,[14]AssetDetails_UEM!$A$3:$AH$1849,6,FALSE)</f>
        <v>Electrosurgical Units, Monopolar/Bipolar</v>
      </c>
      <c r="RAQ102" s="528" t="s">
        <v>213</v>
      </c>
      <c r="RAR102" s="529" t="str">
        <f>VLOOKUP(RAQ102,[14]AssetDetails_UEM!$A$3:$AH$1849,6,FALSE)</f>
        <v>Electrosurgical Units, Monopolar/Bipolar</v>
      </c>
      <c r="RAS102" s="528" t="s">
        <v>213</v>
      </c>
      <c r="RAT102" s="529" t="str">
        <f>VLOOKUP(RAS102,[14]AssetDetails_UEM!$A$3:$AH$1849,6,FALSE)</f>
        <v>Electrosurgical Units, Monopolar/Bipolar</v>
      </c>
      <c r="RAU102" s="528" t="s">
        <v>213</v>
      </c>
      <c r="RAV102" s="529" t="str">
        <f>VLOOKUP(RAU102,[14]AssetDetails_UEM!$A$3:$AH$1849,6,FALSE)</f>
        <v>Electrosurgical Units, Monopolar/Bipolar</v>
      </c>
      <c r="RAW102" s="528" t="s">
        <v>213</v>
      </c>
      <c r="RAX102" s="529" t="str">
        <f>VLOOKUP(RAW102,[14]AssetDetails_UEM!$A$3:$AH$1849,6,FALSE)</f>
        <v>Electrosurgical Units, Monopolar/Bipolar</v>
      </c>
      <c r="RAY102" s="528" t="s">
        <v>213</v>
      </c>
      <c r="RAZ102" s="529" t="str">
        <f>VLOOKUP(RAY102,[14]AssetDetails_UEM!$A$3:$AH$1849,6,FALSE)</f>
        <v>Electrosurgical Units, Monopolar/Bipolar</v>
      </c>
      <c r="RBA102" s="528" t="s">
        <v>213</v>
      </c>
      <c r="RBB102" s="529" t="str">
        <f>VLOOKUP(RBA102,[14]AssetDetails_UEM!$A$3:$AH$1849,6,FALSE)</f>
        <v>Electrosurgical Units, Monopolar/Bipolar</v>
      </c>
      <c r="RBC102" s="528" t="s">
        <v>213</v>
      </c>
      <c r="RBD102" s="529" t="str">
        <f>VLOOKUP(RBC102,[14]AssetDetails_UEM!$A$3:$AH$1849,6,FALSE)</f>
        <v>Electrosurgical Units, Monopolar/Bipolar</v>
      </c>
      <c r="RBE102" s="528" t="s">
        <v>213</v>
      </c>
      <c r="RBF102" s="529" t="str">
        <f>VLOOKUP(RBE102,[14]AssetDetails_UEM!$A$3:$AH$1849,6,FALSE)</f>
        <v>Electrosurgical Units, Monopolar/Bipolar</v>
      </c>
      <c r="RBG102" s="528" t="s">
        <v>213</v>
      </c>
      <c r="RBH102" s="529" t="str">
        <f>VLOOKUP(RBG102,[14]AssetDetails_UEM!$A$3:$AH$1849,6,FALSE)</f>
        <v>Electrosurgical Units, Monopolar/Bipolar</v>
      </c>
      <c r="RBI102" s="528" t="s">
        <v>213</v>
      </c>
      <c r="RBJ102" s="529" t="str">
        <f>VLOOKUP(RBI102,[14]AssetDetails_UEM!$A$3:$AH$1849,6,FALSE)</f>
        <v>Electrosurgical Units, Monopolar/Bipolar</v>
      </c>
      <c r="RBK102" s="528" t="s">
        <v>213</v>
      </c>
      <c r="RBL102" s="529" t="str">
        <f>VLOOKUP(RBK102,[14]AssetDetails_UEM!$A$3:$AH$1849,6,FALSE)</f>
        <v>Electrosurgical Units, Monopolar/Bipolar</v>
      </c>
      <c r="RBM102" s="528" t="s">
        <v>213</v>
      </c>
      <c r="RBN102" s="529" t="str">
        <f>VLOOKUP(RBM102,[14]AssetDetails_UEM!$A$3:$AH$1849,6,FALSE)</f>
        <v>Electrosurgical Units, Monopolar/Bipolar</v>
      </c>
      <c r="RBO102" s="528" t="s">
        <v>213</v>
      </c>
      <c r="RBP102" s="529" t="str">
        <f>VLOOKUP(RBO102,[14]AssetDetails_UEM!$A$3:$AH$1849,6,FALSE)</f>
        <v>Electrosurgical Units, Monopolar/Bipolar</v>
      </c>
      <c r="RBQ102" s="528" t="s">
        <v>213</v>
      </c>
      <c r="RBR102" s="529" t="str">
        <f>VLOOKUP(RBQ102,[14]AssetDetails_UEM!$A$3:$AH$1849,6,FALSE)</f>
        <v>Electrosurgical Units, Monopolar/Bipolar</v>
      </c>
      <c r="RBS102" s="528" t="s">
        <v>213</v>
      </c>
      <c r="RBT102" s="529" t="str">
        <f>VLOOKUP(RBS102,[14]AssetDetails_UEM!$A$3:$AH$1849,6,FALSE)</f>
        <v>Electrosurgical Units, Monopolar/Bipolar</v>
      </c>
      <c r="RBU102" s="528" t="s">
        <v>213</v>
      </c>
      <c r="RBV102" s="529" t="str">
        <f>VLOOKUP(RBU102,[14]AssetDetails_UEM!$A$3:$AH$1849,6,FALSE)</f>
        <v>Electrosurgical Units, Monopolar/Bipolar</v>
      </c>
      <c r="RBW102" s="528" t="s">
        <v>213</v>
      </c>
      <c r="RBX102" s="529" t="str">
        <f>VLOOKUP(RBW102,[14]AssetDetails_UEM!$A$3:$AH$1849,6,FALSE)</f>
        <v>Electrosurgical Units, Monopolar/Bipolar</v>
      </c>
      <c r="RBY102" s="528" t="s">
        <v>213</v>
      </c>
      <c r="RBZ102" s="529" t="str">
        <f>VLOOKUP(RBY102,[14]AssetDetails_UEM!$A$3:$AH$1849,6,FALSE)</f>
        <v>Electrosurgical Units, Monopolar/Bipolar</v>
      </c>
      <c r="RCA102" s="528" t="s">
        <v>213</v>
      </c>
      <c r="RCB102" s="529" t="str">
        <f>VLOOKUP(RCA102,[14]AssetDetails_UEM!$A$3:$AH$1849,6,FALSE)</f>
        <v>Electrosurgical Units, Monopolar/Bipolar</v>
      </c>
      <c r="RCC102" s="528" t="s">
        <v>213</v>
      </c>
      <c r="RCD102" s="529" t="str">
        <f>VLOOKUP(RCC102,[14]AssetDetails_UEM!$A$3:$AH$1849,6,FALSE)</f>
        <v>Electrosurgical Units, Monopolar/Bipolar</v>
      </c>
      <c r="RCE102" s="528" t="s">
        <v>213</v>
      </c>
      <c r="RCF102" s="529" t="str">
        <f>VLOOKUP(RCE102,[14]AssetDetails_UEM!$A$3:$AH$1849,6,FALSE)</f>
        <v>Electrosurgical Units, Monopolar/Bipolar</v>
      </c>
      <c r="RCG102" s="528" t="s">
        <v>213</v>
      </c>
      <c r="RCH102" s="529" t="str">
        <f>VLOOKUP(RCG102,[14]AssetDetails_UEM!$A$3:$AH$1849,6,FALSE)</f>
        <v>Electrosurgical Units, Monopolar/Bipolar</v>
      </c>
      <c r="RCI102" s="528" t="s">
        <v>213</v>
      </c>
      <c r="RCJ102" s="529" t="str">
        <f>VLOOKUP(RCI102,[14]AssetDetails_UEM!$A$3:$AH$1849,6,FALSE)</f>
        <v>Electrosurgical Units, Monopolar/Bipolar</v>
      </c>
      <c r="RCK102" s="528" t="s">
        <v>213</v>
      </c>
      <c r="RCL102" s="529" t="str">
        <f>VLOOKUP(RCK102,[14]AssetDetails_UEM!$A$3:$AH$1849,6,FALSE)</f>
        <v>Electrosurgical Units, Monopolar/Bipolar</v>
      </c>
      <c r="RCM102" s="528" t="s">
        <v>213</v>
      </c>
      <c r="RCN102" s="529" t="str">
        <f>VLOOKUP(RCM102,[14]AssetDetails_UEM!$A$3:$AH$1849,6,FALSE)</f>
        <v>Electrosurgical Units, Monopolar/Bipolar</v>
      </c>
      <c r="RCO102" s="528" t="s">
        <v>213</v>
      </c>
      <c r="RCP102" s="529" t="str">
        <f>VLOOKUP(RCO102,[14]AssetDetails_UEM!$A$3:$AH$1849,6,FALSE)</f>
        <v>Electrosurgical Units, Monopolar/Bipolar</v>
      </c>
      <c r="RCQ102" s="528" t="s">
        <v>213</v>
      </c>
      <c r="RCR102" s="529" t="str">
        <f>VLOOKUP(RCQ102,[14]AssetDetails_UEM!$A$3:$AH$1849,6,FALSE)</f>
        <v>Electrosurgical Units, Monopolar/Bipolar</v>
      </c>
      <c r="RCS102" s="528" t="s">
        <v>213</v>
      </c>
      <c r="RCT102" s="529" t="str">
        <f>VLOOKUP(RCS102,[14]AssetDetails_UEM!$A$3:$AH$1849,6,FALSE)</f>
        <v>Electrosurgical Units, Monopolar/Bipolar</v>
      </c>
      <c r="RCU102" s="528" t="s">
        <v>213</v>
      </c>
      <c r="RCV102" s="529" t="str">
        <f>VLOOKUP(RCU102,[14]AssetDetails_UEM!$A$3:$AH$1849,6,FALSE)</f>
        <v>Electrosurgical Units, Monopolar/Bipolar</v>
      </c>
      <c r="RCW102" s="528" t="s">
        <v>213</v>
      </c>
      <c r="RCX102" s="529" t="str">
        <f>VLOOKUP(RCW102,[14]AssetDetails_UEM!$A$3:$AH$1849,6,FALSE)</f>
        <v>Electrosurgical Units, Monopolar/Bipolar</v>
      </c>
      <c r="RCY102" s="528" t="s">
        <v>213</v>
      </c>
      <c r="RCZ102" s="529" t="str">
        <f>VLOOKUP(RCY102,[14]AssetDetails_UEM!$A$3:$AH$1849,6,FALSE)</f>
        <v>Electrosurgical Units, Monopolar/Bipolar</v>
      </c>
      <c r="RDA102" s="528" t="s">
        <v>213</v>
      </c>
      <c r="RDB102" s="529" t="str">
        <f>VLOOKUP(RDA102,[14]AssetDetails_UEM!$A$3:$AH$1849,6,FALSE)</f>
        <v>Electrosurgical Units, Monopolar/Bipolar</v>
      </c>
      <c r="RDC102" s="528" t="s">
        <v>213</v>
      </c>
      <c r="RDD102" s="529" t="str">
        <f>VLOOKUP(RDC102,[14]AssetDetails_UEM!$A$3:$AH$1849,6,FALSE)</f>
        <v>Electrosurgical Units, Monopolar/Bipolar</v>
      </c>
      <c r="RDE102" s="528" t="s">
        <v>213</v>
      </c>
      <c r="RDF102" s="529" t="str">
        <f>VLOOKUP(RDE102,[14]AssetDetails_UEM!$A$3:$AH$1849,6,FALSE)</f>
        <v>Electrosurgical Units, Monopolar/Bipolar</v>
      </c>
      <c r="RDG102" s="528" t="s">
        <v>213</v>
      </c>
      <c r="RDH102" s="529" t="str">
        <f>VLOOKUP(RDG102,[14]AssetDetails_UEM!$A$3:$AH$1849,6,FALSE)</f>
        <v>Electrosurgical Units, Monopolar/Bipolar</v>
      </c>
      <c r="RDI102" s="528" t="s">
        <v>213</v>
      </c>
      <c r="RDJ102" s="529" t="str">
        <f>VLOOKUP(RDI102,[14]AssetDetails_UEM!$A$3:$AH$1849,6,FALSE)</f>
        <v>Electrosurgical Units, Monopolar/Bipolar</v>
      </c>
      <c r="RDK102" s="528" t="s">
        <v>213</v>
      </c>
      <c r="RDL102" s="529" t="str">
        <f>VLOOKUP(RDK102,[14]AssetDetails_UEM!$A$3:$AH$1849,6,FALSE)</f>
        <v>Electrosurgical Units, Monopolar/Bipolar</v>
      </c>
      <c r="RDM102" s="528" t="s">
        <v>213</v>
      </c>
      <c r="RDN102" s="529" t="str">
        <f>VLOOKUP(RDM102,[14]AssetDetails_UEM!$A$3:$AH$1849,6,FALSE)</f>
        <v>Electrosurgical Units, Monopolar/Bipolar</v>
      </c>
      <c r="RDO102" s="528" t="s">
        <v>213</v>
      </c>
      <c r="RDP102" s="529" t="str">
        <f>VLOOKUP(RDO102,[14]AssetDetails_UEM!$A$3:$AH$1849,6,FALSE)</f>
        <v>Electrosurgical Units, Monopolar/Bipolar</v>
      </c>
      <c r="RDQ102" s="528" t="s">
        <v>213</v>
      </c>
      <c r="RDR102" s="529" t="str">
        <f>VLOOKUP(RDQ102,[14]AssetDetails_UEM!$A$3:$AH$1849,6,FALSE)</f>
        <v>Electrosurgical Units, Monopolar/Bipolar</v>
      </c>
      <c r="RDS102" s="528" t="s">
        <v>213</v>
      </c>
      <c r="RDT102" s="529" t="str">
        <f>VLOOKUP(RDS102,[14]AssetDetails_UEM!$A$3:$AH$1849,6,FALSE)</f>
        <v>Electrosurgical Units, Monopolar/Bipolar</v>
      </c>
      <c r="RDU102" s="528" t="s">
        <v>213</v>
      </c>
      <c r="RDV102" s="529" t="str">
        <f>VLOOKUP(RDU102,[14]AssetDetails_UEM!$A$3:$AH$1849,6,FALSE)</f>
        <v>Electrosurgical Units, Monopolar/Bipolar</v>
      </c>
      <c r="RDW102" s="528" t="s">
        <v>213</v>
      </c>
      <c r="RDX102" s="529" t="str">
        <f>VLOOKUP(RDW102,[14]AssetDetails_UEM!$A$3:$AH$1849,6,FALSE)</f>
        <v>Electrosurgical Units, Monopolar/Bipolar</v>
      </c>
      <c r="RDY102" s="528" t="s">
        <v>213</v>
      </c>
      <c r="RDZ102" s="529" t="str">
        <f>VLOOKUP(RDY102,[14]AssetDetails_UEM!$A$3:$AH$1849,6,FALSE)</f>
        <v>Electrosurgical Units, Monopolar/Bipolar</v>
      </c>
      <c r="REA102" s="528" t="s">
        <v>213</v>
      </c>
      <c r="REB102" s="529" t="str">
        <f>VLOOKUP(REA102,[14]AssetDetails_UEM!$A$3:$AH$1849,6,FALSE)</f>
        <v>Electrosurgical Units, Monopolar/Bipolar</v>
      </c>
      <c r="REC102" s="528" t="s">
        <v>213</v>
      </c>
      <c r="RED102" s="529" t="str">
        <f>VLOOKUP(REC102,[14]AssetDetails_UEM!$A$3:$AH$1849,6,FALSE)</f>
        <v>Electrosurgical Units, Monopolar/Bipolar</v>
      </c>
      <c r="REE102" s="528" t="s">
        <v>213</v>
      </c>
      <c r="REF102" s="529" t="str">
        <f>VLOOKUP(REE102,[14]AssetDetails_UEM!$A$3:$AH$1849,6,FALSE)</f>
        <v>Electrosurgical Units, Monopolar/Bipolar</v>
      </c>
      <c r="REG102" s="528" t="s">
        <v>213</v>
      </c>
      <c r="REH102" s="529" t="str">
        <f>VLOOKUP(REG102,[14]AssetDetails_UEM!$A$3:$AH$1849,6,FALSE)</f>
        <v>Electrosurgical Units, Monopolar/Bipolar</v>
      </c>
      <c r="REI102" s="528" t="s">
        <v>213</v>
      </c>
      <c r="REJ102" s="529" t="str">
        <f>VLOOKUP(REI102,[14]AssetDetails_UEM!$A$3:$AH$1849,6,FALSE)</f>
        <v>Electrosurgical Units, Monopolar/Bipolar</v>
      </c>
      <c r="REK102" s="528" t="s">
        <v>213</v>
      </c>
      <c r="REL102" s="529" t="str">
        <f>VLOOKUP(REK102,[14]AssetDetails_UEM!$A$3:$AH$1849,6,FALSE)</f>
        <v>Electrosurgical Units, Monopolar/Bipolar</v>
      </c>
      <c r="REM102" s="528" t="s">
        <v>213</v>
      </c>
      <c r="REN102" s="529" t="str">
        <f>VLOOKUP(REM102,[14]AssetDetails_UEM!$A$3:$AH$1849,6,FALSE)</f>
        <v>Electrosurgical Units, Monopolar/Bipolar</v>
      </c>
      <c r="REO102" s="528" t="s">
        <v>213</v>
      </c>
      <c r="REP102" s="529" t="str">
        <f>VLOOKUP(REO102,[14]AssetDetails_UEM!$A$3:$AH$1849,6,FALSE)</f>
        <v>Electrosurgical Units, Monopolar/Bipolar</v>
      </c>
      <c r="REQ102" s="528" t="s">
        <v>213</v>
      </c>
      <c r="RER102" s="529" t="str">
        <f>VLOOKUP(REQ102,[14]AssetDetails_UEM!$A$3:$AH$1849,6,FALSE)</f>
        <v>Electrosurgical Units, Monopolar/Bipolar</v>
      </c>
      <c r="RES102" s="528" t="s">
        <v>213</v>
      </c>
      <c r="RET102" s="529" t="str">
        <f>VLOOKUP(RES102,[14]AssetDetails_UEM!$A$3:$AH$1849,6,FALSE)</f>
        <v>Electrosurgical Units, Monopolar/Bipolar</v>
      </c>
      <c r="REU102" s="528" t="s">
        <v>213</v>
      </c>
      <c r="REV102" s="529" t="str">
        <f>VLOOKUP(REU102,[14]AssetDetails_UEM!$A$3:$AH$1849,6,FALSE)</f>
        <v>Electrosurgical Units, Monopolar/Bipolar</v>
      </c>
      <c r="REW102" s="528" t="s">
        <v>213</v>
      </c>
      <c r="REX102" s="529" t="str">
        <f>VLOOKUP(REW102,[14]AssetDetails_UEM!$A$3:$AH$1849,6,FALSE)</f>
        <v>Electrosurgical Units, Monopolar/Bipolar</v>
      </c>
      <c r="REY102" s="528" t="s">
        <v>213</v>
      </c>
      <c r="REZ102" s="529" t="str">
        <f>VLOOKUP(REY102,[14]AssetDetails_UEM!$A$3:$AH$1849,6,FALSE)</f>
        <v>Electrosurgical Units, Monopolar/Bipolar</v>
      </c>
      <c r="RFA102" s="528" t="s">
        <v>213</v>
      </c>
      <c r="RFB102" s="529" t="str">
        <f>VLOOKUP(RFA102,[14]AssetDetails_UEM!$A$3:$AH$1849,6,FALSE)</f>
        <v>Electrosurgical Units, Monopolar/Bipolar</v>
      </c>
      <c r="RFC102" s="528" t="s">
        <v>213</v>
      </c>
      <c r="RFD102" s="529" t="str">
        <f>VLOOKUP(RFC102,[14]AssetDetails_UEM!$A$3:$AH$1849,6,FALSE)</f>
        <v>Electrosurgical Units, Monopolar/Bipolar</v>
      </c>
      <c r="RFE102" s="528" t="s">
        <v>213</v>
      </c>
      <c r="RFF102" s="529" t="str">
        <f>VLOOKUP(RFE102,[14]AssetDetails_UEM!$A$3:$AH$1849,6,FALSE)</f>
        <v>Electrosurgical Units, Monopolar/Bipolar</v>
      </c>
      <c r="RFG102" s="528" t="s">
        <v>213</v>
      </c>
      <c r="RFH102" s="529" t="str">
        <f>VLOOKUP(RFG102,[14]AssetDetails_UEM!$A$3:$AH$1849,6,FALSE)</f>
        <v>Electrosurgical Units, Monopolar/Bipolar</v>
      </c>
      <c r="RFI102" s="528" t="s">
        <v>213</v>
      </c>
      <c r="RFJ102" s="529" t="str">
        <f>VLOOKUP(RFI102,[14]AssetDetails_UEM!$A$3:$AH$1849,6,FALSE)</f>
        <v>Electrosurgical Units, Monopolar/Bipolar</v>
      </c>
      <c r="RFK102" s="528" t="s">
        <v>213</v>
      </c>
      <c r="RFL102" s="529" t="str">
        <f>VLOOKUP(RFK102,[14]AssetDetails_UEM!$A$3:$AH$1849,6,FALSE)</f>
        <v>Electrosurgical Units, Monopolar/Bipolar</v>
      </c>
      <c r="RFM102" s="528" t="s">
        <v>213</v>
      </c>
      <c r="RFN102" s="529" t="str">
        <f>VLOOKUP(RFM102,[14]AssetDetails_UEM!$A$3:$AH$1849,6,FALSE)</f>
        <v>Electrosurgical Units, Monopolar/Bipolar</v>
      </c>
      <c r="RFO102" s="528" t="s">
        <v>213</v>
      </c>
      <c r="RFP102" s="529" t="str">
        <f>VLOOKUP(RFO102,[14]AssetDetails_UEM!$A$3:$AH$1849,6,FALSE)</f>
        <v>Electrosurgical Units, Monopolar/Bipolar</v>
      </c>
      <c r="RFQ102" s="528" t="s">
        <v>213</v>
      </c>
      <c r="RFR102" s="529" t="str">
        <f>VLOOKUP(RFQ102,[14]AssetDetails_UEM!$A$3:$AH$1849,6,FALSE)</f>
        <v>Electrosurgical Units, Monopolar/Bipolar</v>
      </c>
      <c r="RFS102" s="528" t="s">
        <v>213</v>
      </c>
      <c r="RFT102" s="529" t="str">
        <f>VLOOKUP(RFS102,[14]AssetDetails_UEM!$A$3:$AH$1849,6,FALSE)</f>
        <v>Electrosurgical Units, Monopolar/Bipolar</v>
      </c>
      <c r="RFU102" s="528" t="s">
        <v>213</v>
      </c>
      <c r="RFV102" s="529" t="str">
        <f>VLOOKUP(RFU102,[14]AssetDetails_UEM!$A$3:$AH$1849,6,FALSE)</f>
        <v>Electrosurgical Units, Monopolar/Bipolar</v>
      </c>
      <c r="RFW102" s="528" t="s">
        <v>213</v>
      </c>
      <c r="RFX102" s="529" t="str">
        <f>VLOOKUP(RFW102,[14]AssetDetails_UEM!$A$3:$AH$1849,6,FALSE)</f>
        <v>Electrosurgical Units, Monopolar/Bipolar</v>
      </c>
      <c r="RFY102" s="528" t="s">
        <v>213</v>
      </c>
      <c r="RFZ102" s="529" t="str">
        <f>VLOOKUP(RFY102,[14]AssetDetails_UEM!$A$3:$AH$1849,6,FALSE)</f>
        <v>Electrosurgical Units, Monopolar/Bipolar</v>
      </c>
      <c r="RGA102" s="528" t="s">
        <v>213</v>
      </c>
      <c r="RGB102" s="529" t="str">
        <f>VLOOKUP(RGA102,[14]AssetDetails_UEM!$A$3:$AH$1849,6,FALSE)</f>
        <v>Electrosurgical Units, Monopolar/Bipolar</v>
      </c>
      <c r="RGC102" s="528" t="s">
        <v>213</v>
      </c>
      <c r="RGD102" s="529" t="str">
        <f>VLOOKUP(RGC102,[14]AssetDetails_UEM!$A$3:$AH$1849,6,FALSE)</f>
        <v>Electrosurgical Units, Monopolar/Bipolar</v>
      </c>
      <c r="RGE102" s="528" t="s">
        <v>213</v>
      </c>
      <c r="RGF102" s="529" t="str">
        <f>VLOOKUP(RGE102,[14]AssetDetails_UEM!$A$3:$AH$1849,6,FALSE)</f>
        <v>Electrosurgical Units, Monopolar/Bipolar</v>
      </c>
      <c r="RGG102" s="528" t="s">
        <v>213</v>
      </c>
      <c r="RGH102" s="529" t="str">
        <f>VLOOKUP(RGG102,[14]AssetDetails_UEM!$A$3:$AH$1849,6,FALSE)</f>
        <v>Electrosurgical Units, Monopolar/Bipolar</v>
      </c>
      <c r="RGI102" s="528" t="s">
        <v>213</v>
      </c>
      <c r="RGJ102" s="529" t="str">
        <f>VLOOKUP(RGI102,[14]AssetDetails_UEM!$A$3:$AH$1849,6,FALSE)</f>
        <v>Electrosurgical Units, Monopolar/Bipolar</v>
      </c>
      <c r="RGK102" s="528" t="s">
        <v>213</v>
      </c>
      <c r="RGL102" s="529" t="str">
        <f>VLOOKUP(RGK102,[14]AssetDetails_UEM!$A$3:$AH$1849,6,FALSE)</f>
        <v>Electrosurgical Units, Monopolar/Bipolar</v>
      </c>
      <c r="RGM102" s="528" t="s">
        <v>213</v>
      </c>
      <c r="RGN102" s="529" t="str">
        <f>VLOOKUP(RGM102,[14]AssetDetails_UEM!$A$3:$AH$1849,6,FALSE)</f>
        <v>Electrosurgical Units, Monopolar/Bipolar</v>
      </c>
      <c r="RGO102" s="528" t="s">
        <v>213</v>
      </c>
      <c r="RGP102" s="529" t="str">
        <f>VLOOKUP(RGO102,[14]AssetDetails_UEM!$A$3:$AH$1849,6,FALSE)</f>
        <v>Electrosurgical Units, Monopolar/Bipolar</v>
      </c>
      <c r="RGQ102" s="528" t="s">
        <v>213</v>
      </c>
      <c r="RGR102" s="529" t="str">
        <f>VLOOKUP(RGQ102,[14]AssetDetails_UEM!$A$3:$AH$1849,6,FALSE)</f>
        <v>Electrosurgical Units, Monopolar/Bipolar</v>
      </c>
      <c r="RGS102" s="528" t="s">
        <v>213</v>
      </c>
      <c r="RGT102" s="529" t="str">
        <f>VLOOKUP(RGS102,[14]AssetDetails_UEM!$A$3:$AH$1849,6,FALSE)</f>
        <v>Electrosurgical Units, Monopolar/Bipolar</v>
      </c>
      <c r="RGU102" s="528" t="s">
        <v>213</v>
      </c>
      <c r="RGV102" s="529" t="str">
        <f>VLOOKUP(RGU102,[14]AssetDetails_UEM!$A$3:$AH$1849,6,FALSE)</f>
        <v>Electrosurgical Units, Monopolar/Bipolar</v>
      </c>
      <c r="RGW102" s="528" t="s">
        <v>213</v>
      </c>
      <c r="RGX102" s="529" t="str">
        <f>VLOOKUP(RGW102,[14]AssetDetails_UEM!$A$3:$AH$1849,6,FALSE)</f>
        <v>Electrosurgical Units, Monopolar/Bipolar</v>
      </c>
      <c r="RGY102" s="528" t="s">
        <v>213</v>
      </c>
      <c r="RGZ102" s="529" t="str">
        <f>VLOOKUP(RGY102,[14]AssetDetails_UEM!$A$3:$AH$1849,6,FALSE)</f>
        <v>Electrosurgical Units, Monopolar/Bipolar</v>
      </c>
      <c r="RHA102" s="528" t="s">
        <v>213</v>
      </c>
      <c r="RHB102" s="529" t="str">
        <f>VLOOKUP(RHA102,[14]AssetDetails_UEM!$A$3:$AH$1849,6,FALSE)</f>
        <v>Electrosurgical Units, Monopolar/Bipolar</v>
      </c>
      <c r="RHC102" s="528" t="s">
        <v>213</v>
      </c>
      <c r="RHD102" s="529" t="str">
        <f>VLOOKUP(RHC102,[14]AssetDetails_UEM!$A$3:$AH$1849,6,FALSE)</f>
        <v>Electrosurgical Units, Monopolar/Bipolar</v>
      </c>
      <c r="RHE102" s="528" t="s">
        <v>213</v>
      </c>
      <c r="RHF102" s="529" t="str">
        <f>VLOOKUP(RHE102,[14]AssetDetails_UEM!$A$3:$AH$1849,6,FALSE)</f>
        <v>Electrosurgical Units, Monopolar/Bipolar</v>
      </c>
      <c r="RHG102" s="528" t="s">
        <v>213</v>
      </c>
      <c r="RHH102" s="529" t="str">
        <f>VLOOKUP(RHG102,[14]AssetDetails_UEM!$A$3:$AH$1849,6,FALSE)</f>
        <v>Electrosurgical Units, Monopolar/Bipolar</v>
      </c>
      <c r="RHI102" s="528" t="s">
        <v>213</v>
      </c>
      <c r="RHJ102" s="529" t="str">
        <f>VLOOKUP(RHI102,[14]AssetDetails_UEM!$A$3:$AH$1849,6,FALSE)</f>
        <v>Electrosurgical Units, Monopolar/Bipolar</v>
      </c>
      <c r="RHK102" s="528" t="s">
        <v>213</v>
      </c>
      <c r="RHL102" s="529" t="str">
        <f>VLOOKUP(RHK102,[14]AssetDetails_UEM!$A$3:$AH$1849,6,FALSE)</f>
        <v>Electrosurgical Units, Monopolar/Bipolar</v>
      </c>
      <c r="RHM102" s="528" t="s">
        <v>213</v>
      </c>
      <c r="RHN102" s="529" t="str">
        <f>VLOOKUP(RHM102,[14]AssetDetails_UEM!$A$3:$AH$1849,6,FALSE)</f>
        <v>Electrosurgical Units, Monopolar/Bipolar</v>
      </c>
      <c r="RHO102" s="528" t="s">
        <v>213</v>
      </c>
      <c r="RHP102" s="529" t="str">
        <f>VLOOKUP(RHO102,[14]AssetDetails_UEM!$A$3:$AH$1849,6,FALSE)</f>
        <v>Electrosurgical Units, Monopolar/Bipolar</v>
      </c>
      <c r="RHQ102" s="528" t="s">
        <v>213</v>
      </c>
      <c r="RHR102" s="529" t="str">
        <f>VLOOKUP(RHQ102,[14]AssetDetails_UEM!$A$3:$AH$1849,6,FALSE)</f>
        <v>Electrosurgical Units, Monopolar/Bipolar</v>
      </c>
      <c r="RHS102" s="528" t="s">
        <v>213</v>
      </c>
      <c r="RHT102" s="529" t="str">
        <f>VLOOKUP(RHS102,[14]AssetDetails_UEM!$A$3:$AH$1849,6,FALSE)</f>
        <v>Electrosurgical Units, Monopolar/Bipolar</v>
      </c>
      <c r="RHU102" s="528" t="s">
        <v>213</v>
      </c>
      <c r="RHV102" s="529" t="str">
        <f>VLOOKUP(RHU102,[14]AssetDetails_UEM!$A$3:$AH$1849,6,FALSE)</f>
        <v>Electrosurgical Units, Monopolar/Bipolar</v>
      </c>
      <c r="RHW102" s="528" t="s">
        <v>213</v>
      </c>
      <c r="RHX102" s="529" t="str">
        <f>VLOOKUP(RHW102,[14]AssetDetails_UEM!$A$3:$AH$1849,6,FALSE)</f>
        <v>Electrosurgical Units, Monopolar/Bipolar</v>
      </c>
      <c r="RHY102" s="528" t="s">
        <v>213</v>
      </c>
      <c r="RHZ102" s="529" t="str">
        <f>VLOOKUP(RHY102,[14]AssetDetails_UEM!$A$3:$AH$1849,6,FALSE)</f>
        <v>Electrosurgical Units, Monopolar/Bipolar</v>
      </c>
      <c r="RIA102" s="528" t="s">
        <v>213</v>
      </c>
      <c r="RIB102" s="529" t="str">
        <f>VLOOKUP(RIA102,[14]AssetDetails_UEM!$A$3:$AH$1849,6,FALSE)</f>
        <v>Electrosurgical Units, Monopolar/Bipolar</v>
      </c>
      <c r="RIC102" s="528" t="s">
        <v>213</v>
      </c>
      <c r="RID102" s="529" t="str">
        <f>VLOOKUP(RIC102,[14]AssetDetails_UEM!$A$3:$AH$1849,6,FALSE)</f>
        <v>Electrosurgical Units, Monopolar/Bipolar</v>
      </c>
      <c r="RIE102" s="528" t="s">
        <v>213</v>
      </c>
      <c r="RIF102" s="529" t="str">
        <f>VLOOKUP(RIE102,[14]AssetDetails_UEM!$A$3:$AH$1849,6,FALSE)</f>
        <v>Electrosurgical Units, Monopolar/Bipolar</v>
      </c>
      <c r="RIG102" s="528" t="s">
        <v>213</v>
      </c>
      <c r="RIH102" s="529" t="str">
        <f>VLOOKUP(RIG102,[14]AssetDetails_UEM!$A$3:$AH$1849,6,FALSE)</f>
        <v>Electrosurgical Units, Monopolar/Bipolar</v>
      </c>
      <c r="RII102" s="528" t="s">
        <v>213</v>
      </c>
      <c r="RIJ102" s="529" t="str">
        <f>VLOOKUP(RII102,[14]AssetDetails_UEM!$A$3:$AH$1849,6,FALSE)</f>
        <v>Electrosurgical Units, Monopolar/Bipolar</v>
      </c>
      <c r="RIK102" s="528" t="s">
        <v>213</v>
      </c>
      <c r="RIL102" s="529" t="str">
        <f>VLOOKUP(RIK102,[14]AssetDetails_UEM!$A$3:$AH$1849,6,FALSE)</f>
        <v>Electrosurgical Units, Monopolar/Bipolar</v>
      </c>
      <c r="RIM102" s="528" t="s">
        <v>213</v>
      </c>
      <c r="RIN102" s="529" t="str">
        <f>VLOOKUP(RIM102,[14]AssetDetails_UEM!$A$3:$AH$1849,6,FALSE)</f>
        <v>Electrosurgical Units, Monopolar/Bipolar</v>
      </c>
      <c r="RIO102" s="528" t="s">
        <v>213</v>
      </c>
      <c r="RIP102" s="529" t="str">
        <f>VLOOKUP(RIO102,[14]AssetDetails_UEM!$A$3:$AH$1849,6,FALSE)</f>
        <v>Electrosurgical Units, Monopolar/Bipolar</v>
      </c>
      <c r="RIQ102" s="528" t="s">
        <v>213</v>
      </c>
      <c r="RIR102" s="529" t="str">
        <f>VLOOKUP(RIQ102,[14]AssetDetails_UEM!$A$3:$AH$1849,6,FALSE)</f>
        <v>Electrosurgical Units, Monopolar/Bipolar</v>
      </c>
      <c r="RIS102" s="528" t="s">
        <v>213</v>
      </c>
      <c r="RIT102" s="529" t="str">
        <f>VLOOKUP(RIS102,[14]AssetDetails_UEM!$A$3:$AH$1849,6,FALSE)</f>
        <v>Electrosurgical Units, Monopolar/Bipolar</v>
      </c>
      <c r="RIU102" s="528" t="s">
        <v>213</v>
      </c>
      <c r="RIV102" s="529" t="str">
        <f>VLOOKUP(RIU102,[14]AssetDetails_UEM!$A$3:$AH$1849,6,FALSE)</f>
        <v>Electrosurgical Units, Monopolar/Bipolar</v>
      </c>
      <c r="RIW102" s="528" t="s">
        <v>213</v>
      </c>
      <c r="RIX102" s="529" t="str">
        <f>VLOOKUP(RIW102,[14]AssetDetails_UEM!$A$3:$AH$1849,6,FALSE)</f>
        <v>Electrosurgical Units, Monopolar/Bipolar</v>
      </c>
      <c r="RIY102" s="528" t="s">
        <v>213</v>
      </c>
      <c r="RIZ102" s="529" t="str">
        <f>VLOOKUP(RIY102,[14]AssetDetails_UEM!$A$3:$AH$1849,6,FALSE)</f>
        <v>Electrosurgical Units, Monopolar/Bipolar</v>
      </c>
      <c r="RJA102" s="528" t="s">
        <v>213</v>
      </c>
      <c r="RJB102" s="529" t="str">
        <f>VLOOKUP(RJA102,[14]AssetDetails_UEM!$A$3:$AH$1849,6,FALSE)</f>
        <v>Electrosurgical Units, Monopolar/Bipolar</v>
      </c>
      <c r="RJC102" s="528" t="s">
        <v>213</v>
      </c>
      <c r="RJD102" s="529" t="str">
        <f>VLOOKUP(RJC102,[14]AssetDetails_UEM!$A$3:$AH$1849,6,FALSE)</f>
        <v>Electrosurgical Units, Monopolar/Bipolar</v>
      </c>
      <c r="RJE102" s="528" t="s">
        <v>213</v>
      </c>
      <c r="RJF102" s="529" t="str">
        <f>VLOOKUP(RJE102,[14]AssetDetails_UEM!$A$3:$AH$1849,6,FALSE)</f>
        <v>Electrosurgical Units, Monopolar/Bipolar</v>
      </c>
      <c r="RJG102" s="528" t="s">
        <v>213</v>
      </c>
      <c r="RJH102" s="529" t="str">
        <f>VLOOKUP(RJG102,[14]AssetDetails_UEM!$A$3:$AH$1849,6,FALSE)</f>
        <v>Electrosurgical Units, Monopolar/Bipolar</v>
      </c>
      <c r="RJI102" s="528" t="s">
        <v>213</v>
      </c>
      <c r="RJJ102" s="529" t="str">
        <f>VLOOKUP(RJI102,[14]AssetDetails_UEM!$A$3:$AH$1849,6,FALSE)</f>
        <v>Electrosurgical Units, Monopolar/Bipolar</v>
      </c>
      <c r="RJK102" s="528" t="s">
        <v>213</v>
      </c>
      <c r="RJL102" s="529" t="str">
        <f>VLOOKUP(RJK102,[14]AssetDetails_UEM!$A$3:$AH$1849,6,FALSE)</f>
        <v>Electrosurgical Units, Monopolar/Bipolar</v>
      </c>
      <c r="RJM102" s="528" t="s">
        <v>213</v>
      </c>
      <c r="RJN102" s="529" t="str">
        <f>VLOOKUP(RJM102,[14]AssetDetails_UEM!$A$3:$AH$1849,6,FALSE)</f>
        <v>Electrosurgical Units, Monopolar/Bipolar</v>
      </c>
      <c r="RJO102" s="528" t="s">
        <v>213</v>
      </c>
      <c r="RJP102" s="529" t="str">
        <f>VLOOKUP(RJO102,[14]AssetDetails_UEM!$A$3:$AH$1849,6,FALSE)</f>
        <v>Electrosurgical Units, Monopolar/Bipolar</v>
      </c>
      <c r="RJQ102" s="528" t="s">
        <v>213</v>
      </c>
      <c r="RJR102" s="529" t="str">
        <f>VLOOKUP(RJQ102,[14]AssetDetails_UEM!$A$3:$AH$1849,6,FALSE)</f>
        <v>Electrosurgical Units, Monopolar/Bipolar</v>
      </c>
      <c r="RJS102" s="528" t="s">
        <v>213</v>
      </c>
      <c r="RJT102" s="529" t="str">
        <f>VLOOKUP(RJS102,[14]AssetDetails_UEM!$A$3:$AH$1849,6,FALSE)</f>
        <v>Electrosurgical Units, Monopolar/Bipolar</v>
      </c>
      <c r="RJU102" s="528" t="s">
        <v>213</v>
      </c>
      <c r="RJV102" s="529" t="str">
        <f>VLOOKUP(RJU102,[14]AssetDetails_UEM!$A$3:$AH$1849,6,FALSE)</f>
        <v>Electrosurgical Units, Monopolar/Bipolar</v>
      </c>
      <c r="RJW102" s="528" t="s">
        <v>213</v>
      </c>
      <c r="RJX102" s="529" t="str">
        <f>VLOOKUP(RJW102,[14]AssetDetails_UEM!$A$3:$AH$1849,6,FALSE)</f>
        <v>Electrosurgical Units, Monopolar/Bipolar</v>
      </c>
      <c r="RJY102" s="528" t="s">
        <v>213</v>
      </c>
      <c r="RJZ102" s="529" t="str">
        <f>VLOOKUP(RJY102,[14]AssetDetails_UEM!$A$3:$AH$1849,6,FALSE)</f>
        <v>Electrosurgical Units, Monopolar/Bipolar</v>
      </c>
      <c r="RKA102" s="528" t="s">
        <v>213</v>
      </c>
      <c r="RKB102" s="529" t="str">
        <f>VLOOKUP(RKA102,[14]AssetDetails_UEM!$A$3:$AH$1849,6,FALSE)</f>
        <v>Electrosurgical Units, Monopolar/Bipolar</v>
      </c>
      <c r="RKC102" s="528" t="s">
        <v>213</v>
      </c>
      <c r="RKD102" s="529" t="str">
        <f>VLOOKUP(RKC102,[14]AssetDetails_UEM!$A$3:$AH$1849,6,FALSE)</f>
        <v>Electrosurgical Units, Monopolar/Bipolar</v>
      </c>
      <c r="RKE102" s="528" t="s">
        <v>213</v>
      </c>
      <c r="RKF102" s="529" t="str">
        <f>VLOOKUP(RKE102,[14]AssetDetails_UEM!$A$3:$AH$1849,6,FALSE)</f>
        <v>Electrosurgical Units, Monopolar/Bipolar</v>
      </c>
      <c r="RKG102" s="528" t="s">
        <v>213</v>
      </c>
      <c r="RKH102" s="529" t="str">
        <f>VLOOKUP(RKG102,[14]AssetDetails_UEM!$A$3:$AH$1849,6,FALSE)</f>
        <v>Electrosurgical Units, Monopolar/Bipolar</v>
      </c>
      <c r="RKI102" s="528" t="s">
        <v>213</v>
      </c>
      <c r="RKJ102" s="529" t="str">
        <f>VLOOKUP(RKI102,[14]AssetDetails_UEM!$A$3:$AH$1849,6,FALSE)</f>
        <v>Electrosurgical Units, Monopolar/Bipolar</v>
      </c>
      <c r="RKK102" s="528" t="s">
        <v>213</v>
      </c>
      <c r="RKL102" s="529" t="str">
        <f>VLOOKUP(RKK102,[14]AssetDetails_UEM!$A$3:$AH$1849,6,FALSE)</f>
        <v>Electrosurgical Units, Monopolar/Bipolar</v>
      </c>
      <c r="RKM102" s="528" t="s">
        <v>213</v>
      </c>
      <c r="RKN102" s="529" t="str">
        <f>VLOOKUP(RKM102,[14]AssetDetails_UEM!$A$3:$AH$1849,6,FALSE)</f>
        <v>Electrosurgical Units, Monopolar/Bipolar</v>
      </c>
      <c r="RKO102" s="528" t="s">
        <v>213</v>
      </c>
      <c r="RKP102" s="529" t="str">
        <f>VLOOKUP(RKO102,[14]AssetDetails_UEM!$A$3:$AH$1849,6,FALSE)</f>
        <v>Electrosurgical Units, Monopolar/Bipolar</v>
      </c>
      <c r="RKQ102" s="528" t="s">
        <v>213</v>
      </c>
      <c r="RKR102" s="529" t="str">
        <f>VLOOKUP(RKQ102,[14]AssetDetails_UEM!$A$3:$AH$1849,6,FALSE)</f>
        <v>Electrosurgical Units, Monopolar/Bipolar</v>
      </c>
      <c r="RKS102" s="528" t="s">
        <v>213</v>
      </c>
      <c r="RKT102" s="529" t="str">
        <f>VLOOKUP(RKS102,[14]AssetDetails_UEM!$A$3:$AH$1849,6,FALSE)</f>
        <v>Electrosurgical Units, Monopolar/Bipolar</v>
      </c>
      <c r="RKU102" s="528" t="s">
        <v>213</v>
      </c>
      <c r="RKV102" s="529" t="str">
        <f>VLOOKUP(RKU102,[14]AssetDetails_UEM!$A$3:$AH$1849,6,FALSE)</f>
        <v>Electrosurgical Units, Monopolar/Bipolar</v>
      </c>
      <c r="RKW102" s="528" t="s">
        <v>213</v>
      </c>
      <c r="RKX102" s="529" t="str">
        <f>VLOOKUP(RKW102,[14]AssetDetails_UEM!$A$3:$AH$1849,6,FALSE)</f>
        <v>Electrosurgical Units, Monopolar/Bipolar</v>
      </c>
      <c r="RKY102" s="528" t="s">
        <v>213</v>
      </c>
      <c r="RKZ102" s="529" t="str">
        <f>VLOOKUP(RKY102,[14]AssetDetails_UEM!$A$3:$AH$1849,6,FALSE)</f>
        <v>Electrosurgical Units, Monopolar/Bipolar</v>
      </c>
      <c r="RLA102" s="528" t="s">
        <v>213</v>
      </c>
      <c r="RLB102" s="529" t="str">
        <f>VLOOKUP(RLA102,[14]AssetDetails_UEM!$A$3:$AH$1849,6,FALSE)</f>
        <v>Electrosurgical Units, Monopolar/Bipolar</v>
      </c>
      <c r="RLC102" s="528" t="s">
        <v>213</v>
      </c>
      <c r="RLD102" s="529" t="str">
        <f>VLOOKUP(RLC102,[14]AssetDetails_UEM!$A$3:$AH$1849,6,FALSE)</f>
        <v>Electrosurgical Units, Monopolar/Bipolar</v>
      </c>
      <c r="RLE102" s="528" t="s">
        <v>213</v>
      </c>
      <c r="RLF102" s="529" t="str">
        <f>VLOOKUP(RLE102,[14]AssetDetails_UEM!$A$3:$AH$1849,6,FALSE)</f>
        <v>Electrosurgical Units, Monopolar/Bipolar</v>
      </c>
      <c r="RLG102" s="528" t="s">
        <v>213</v>
      </c>
      <c r="RLH102" s="529" t="str">
        <f>VLOOKUP(RLG102,[14]AssetDetails_UEM!$A$3:$AH$1849,6,FALSE)</f>
        <v>Electrosurgical Units, Monopolar/Bipolar</v>
      </c>
      <c r="RLI102" s="528" t="s">
        <v>213</v>
      </c>
      <c r="RLJ102" s="529" t="str">
        <f>VLOOKUP(RLI102,[14]AssetDetails_UEM!$A$3:$AH$1849,6,FALSE)</f>
        <v>Electrosurgical Units, Monopolar/Bipolar</v>
      </c>
      <c r="RLK102" s="528" t="s">
        <v>213</v>
      </c>
      <c r="RLL102" s="529" t="str">
        <f>VLOOKUP(RLK102,[14]AssetDetails_UEM!$A$3:$AH$1849,6,FALSE)</f>
        <v>Electrosurgical Units, Monopolar/Bipolar</v>
      </c>
      <c r="RLM102" s="528" t="s">
        <v>213</v>
      </c>
      <c r="RLN102" s="529" t="str">
        <f>VLOOKUP(RLM102,[14]AssetDetails_UEM!$A$3:$AH$1849,6,FALSE)</f>
        <v>Electrosurgical Units, Monopolar/Bipolar</v>
      </c>
      <c r="RLO102" s="528" t="s">
        <v>213</v>
      </c>
      <c r="RLP102" s="529" t="str">
        <f>VLOOKUP(RLO102,[14]AssetDetails_UEM!$A$3:$AH$1849,6,FALSE)</f>
        <v>Electrosurgical Units, Monopolar/Bipolar</v>
      </c>
      <c r="RLQ102" s="528" t="s">
        <v>213</v>
      </c>
      <c r="RLR102" s="529" t="str">
        <f>VLOOKUP(RLQ102,[14]AssetDetails_UEM!$A$3:$AH$1849,6,FALSE)</f>
        <v>Electrosurgical Units, Monopolar/Bipolar</v>
      </c>
      <c r="RLS102" s="528" t="s">
        <v>213</v>
      </c>
      <c r="RLT102" s="529" t="str">
        <f>VLOOKUP(RLS102,[14]AssetDetails_UEM!$A$3:$AH$1849,6,FALSE)</f>
        <v>Electrosurgical Units, Monopolar/Bipolar</v>
      </c>
      <c r="RLU102" s="528" t="s">
        <v>213</v>
      </c>
      <c r="RLV102" s="529" t="str">
        <f>VLOOKUP(RLU102,[14]AssetDetails_UEM!$A$3:$AH$1849,6,FALSE)</f>
        <v>Electrosurgical Units, Monopolar/Bipolar</v>
      </c>
      <c r="RLW102" s="528" t="s">
        <v>213</v>
      </c>
      <c r="RLX102" s="529" t="str">
        <f>VLOOKUP(RLW102,[14]AssetDetails_UEM!$A$3:$AH$1849,6,FALSE)</f>
        <v>Electrosurgical Units, Monopolar/Bipolar</v>
      </c>
      <c r="RLY102" s="528" t="s">
        <v>213</v>
      </c>
      <c r="RLZ102" s="529" t="str">
        <f>VLOOKUP(RLY102,[14]AssetDetails_UEM!$A$3:$AH$1849,6,FALSE)</f>
        <v>Electrosurgical Units, Monopolar/Bipolar</v>
      </c>
      <c r="RMA102" s="528" t="s">
        <v>213</v>
      </c>
      <c r="RMB102" s="529" t="str">
        <f>VLOOKUP(RMA102,[14]AssetDetails_UEM!$A$3:$AH$1849,6,FALSE)</f>
        <v>Electrosurgical Units, Monopolar/Bipolar</v>
      </c>
      <c r="RMC102" s="528" t="s">
        <v>213</v>
      </c>
      <c r="RMD102" s="529" t="str">
        <f>VLOOKUP(RMC102,[14]AssetDetails_UEM!$A$3:$AH$1849,6,FALSE)</f>
        <v>Electrosurgical Units, Monopolar/Bipolar</v>
      </c>
      <c r="RME102" s="528" t="s">
        <v>213</v>
      </c>
      <c r="RMF102" s="529" t="str">
        <f>VLOOKUP(RME102,[14]AssetDetails_UEM!$A$3:$AH$1849,6,FALSE)</f>
        <v>Electrosurgical Units, Monopolar/Bipolar</v>
      </c>
      <c r="RMG102" s="528" t="s">
        <v>213</v>
      </c>
      <c r="RMH102" s="529" t="str">
        <f>VLOOKUP(RMG102,[14]AssetDetails_UEM!$A$3:$AH$1849,6,FALSE)</f>
        <v>Electrosurgical Units, Monopolar/Bipolar</v>
      </c>
      <c r="RMI102" s="528" t="s">
        <v>213</v>
      </c>
      <c r="RMJ102" s="529" t="str">
        <f>VLOOKUP(RMI102,[14]AssetDetails_UEM!$A$3:$AH$1849,6,FALSE)</f>
        <v>Electrosurgical Units, Monopolar/Bipolar</v>
      </c>
      <c r="RMK102" s="528" t="s">
        <v>213</v>
      </c>
      <c r="RML102" s="529" t="str">
        <f>VLOOKUP(RMK102,[14]AssetDetails_UEM!$A$3:$AH$1849,6,FALSE)</f>
        <v>Electrosurgical Units, Monopolar/Bipolar</v>
      </c>
      <c r="RMM102" s="528" t="s">
        <v>213</v>
      </c>
      <c r="RMN102" s="529" t="str">
        <f>VLOOKUP(RMM102,[14]AssetDetails_UEM!$A$3:$AH$1849,6,FALSE)</f>
        <v>Electrosurgical Units, Monopolar/Bipolar</v>
      </c>
      <c r="RMO102" s="528" t="s">
        <v>213</v>
      </c>
      <c r="RMP102" s="529" t="str">
        <f>VLOOKUP(RMO102,[14]AssetDetails_UEM!$A$3:$AH$1849,6,FALSE)</f>
        <v>Electrosurgical Units, Monopolar/Bipolar</v>
      </c>
      <c r="RMQ102" s="528" t="s">
        <v>213</v>
      </c>
      <c r="RMR102" s="529" t="str">
        <f>VLOOKUP(RMQ102,[14]AssetDetails_UEM!$A$3:$AH$1849,6,FALSE)</f>
        <v>Electrosurgical Units, Monopolar/Bipolar</v>
      </c>
      <c r="RMS102" s="528" t="s">
        <v>213</v>
      </c>
      <c r="RMT102" s="529" t="str">
        <f>VLOOKUP(RMS102,[14]AssetDetails_UEM!$A$3:$AH$1849,6,FALSE)</f>
        <v>Electrosurgical Units, Monopolar/Bipolar</v>
      </c>
      <c r="RMU102" s="528" t="s">
        <v>213</v>
      </c>
      <c r="RMV102" s="529" t="str">
        <f>VLOOKUP(RMU102,[14]AssetDetails_UEM!$A$3:$AH$1849,6,FALSE)</f>
        <v>Electrosurgical Units, Monopolar/Bipolar</v>
      </c>
      <c r="RMW102" s="528" t="s">
        <v>213</v>
      </c>
      <c r="RMX102" s="529" t="str">
        <f>VLOOKUP(RMW102,[14]AssetDetails_UEM!$A$3:$AH$1849,6,FALSE)</f>
        <v>Electrosurgical Units, Monopolar/Bipolar</v>
      </c>
      <c r="RMY102" s="528" t="s">
        <v>213</v>
      </c>
      <c r="RMZ102" s="529" t="str">
        <f>VLOOKUP(RMY102,[14]AssetDetails_UEM!$A$3:$AH$1849,6,FALSE)</f>
        <v>Electrosurgical Units, Monopolar/Bipolar</v>
      </c>
      <c r="RNA102" s="528" t="s">
        <v>213</v>
      </c>
      <c r="RNB102" s="529" t="str">
        <f>VLOOKUP(RNA102,[14]AssetDetails_UEM!$A$3:$AH$1849,6,FALSE)</f>
        <v>Electrosurgical Units, Monopolar/Bipolar</v>
      </c>
      <c r="RNC102" s="528" t="s">
        <v>213</v>
      </c>
      <c r="RND102" s="529" t="str">
        <f>VLOOKUP(RNC102,[14]AssetDetails_UEM!$A$3:$AH$1849,6,FALSE)</f>
        <v>Electrosurgical Units, Monopolar/Bipolar</v>
      </c>
      <c r="RNE102" s="528" t="s">
        <v>213</v>
      </c>
      <c r="RNF102" s="529" t="str">
        <f>VLOOKUP(RNE102,[14]AssetDetails_UEM!$A$3:$AH$1849,6,FALSE)</f>
        <v>Electrosurgical Units, Monopolar/Bipolar</v>
      </c>
      <c r="RNG102" s="528" t="s">
        <v>213</v>
      </c>
      <c r="RNH102" s="529" t="str">
        <f>VLOOKUP(RNG102,[14]AssetDetails_UEM!$A$3:$AH$1849,6,FALSE)</f>
        <v>Electrosurgical Units, Monopolar/Bipolar</v>
      </c>
      <c r="RNI102" s="528" t="s">
        <v>213</v>
      </c>
      <c r="RNJ102" s="529" t="str">
        <f>VLOOKUP(RNI102,[14]AssetDetails_UEM!$A$3:$AH$1849,6,FALSE)</f>
        <v>Electrosurgical Units, Monopolar/Bipolar</v>
      </c>
      <c r="RNK102" s="528" t="s">
        <v>213</v>
      </c>
      <c r="RNL102" s="529" t="str">
        <f>VLOOKUP(RNK102,[14]AssetDetails_UEM!$A$3:$AH$1849,6,FALSE)</f>
        <v>Electrosurgical Units, Monopolar/Bipolar</v>
      </c>
      <c r="RNM102" s="528" t="s">
        <v>213</v>
      </c>
      <c r="RNN102" s="529" t="str">
        <f>VLOOKUP(RNM102,[14]AssetDetails_UEM!$A$3:$AH$1849,6,FALSE)</f>
        <v>Electrosurgical Units, Monopolar/Bipolar</v>
      </c>
      <c r="RNO102" s="528" t="s">
        <v>213</v>
      </c>
      <c r="RNP102" s="529" t="str">
        <f>VLOOKUP(RNO102,[14]AssetDetails_UEM!$A$3:$AH$1849,6,FALSE)</f>
        <v>Electrosurgical Units, Monopolar/Bipolar</v>
      </c>
      <c r="RNQ102" s="528" t="s">
        <v>213</v>
      </c>
      <c r="RNR102" s="529" t="str">
        <f>VLOOKUP(RNQ102,[14]AssetDetails_UEM!$A$3:$AH$1849,6,FALSE)</f>
        <v>Electrosurgical Units, Monopolar/Bipolar</v>
      </c>
      <c r="RNS102" s="528" t="s">
        <v>213</v>
      </c>
      <c r="RNT102" s="529" t="str">
        <f>VLOOKUP(RNS102,[14]AssetDetails_UEM!$A$3:$AH$1849,6,FALSE)</f>
        <v>Electrosurgical Units, Monopolar/Bipolar</v>
      </c>
      <c r="RNU102" s="528" t="s">
        <v>213</v>
      </c>
      <c r="RNV102" s="529" t="str">
        <f>VLOOKUP(RNU102,[14]AssetDetails_UEM!$A$3:$AH$1849,6,FALSE)</f>
        <v>Electrosurgical Units, Monopolar/Bipolar</v>
      </c>
      <c r="RNW102" s="528" t="s">
        <v>213</v>
      </c>
      <c r="RNX102" s="529" t="str">
        <f>VLOOKUP(RNW102,[14]AssetDetails_UEM!$A$3:$AH$1849,6,FALSE)</f>
        <v>Electrosurgical Units, Monopolar/Bipolar</v>
      </c>
      <c r="RNY102" s="528" t="s">
        <v>213</v>
      </c>
      <c r="RNZ102" s="529" t="str">
        <f>VLOOKUP(RNY102,[14]AssetDetails_UEM!$A$3:$AH$1849,6,FALSE)</f>
        <v>Electrosurgical Units, Monopolar/Bipolar</v>
      </c>
      <c r="ROA102" s="528" t="s">
        <v>213</v>
      </c>
      <c r="ROB102" s="529" t="str">
        <f>VLOOKUP(ROA102,[14]AssetDetails_UEM!$A$3:$AH$1849,6,FALSE)</f>
        <v>Electrosurgical Units, Monopolar/Bipolar</v>
      </c>
      <c r="ROC102" s="528" t="s">
        <v>213</v>
      </c>
      <c r="ROD102" s="529" t="str">
        <f>VLOOKUP(ROC102,[14]AssetDetails_UEM!$A$3:$AH$1849,6,FALSE)</f>
        <v>Electrosurgical Units, Monopolar/Bipolar</v>
      </c>
      <c r="ROE102" s="528" t="s">
        <v>213</v>
      </c>
      <c r="ROF102" s="529" t="str">
        <f>VLOOKUP(ROE102,[14]AssetDetails_UEM!$A$3:$AH$1849,6,FALSE)</f>
        <v>Electrosurgical Units, Monopolar/Bipolar</v>
      </c>
      <c r="ROG102" s="528" t="s">
        <v>213</v>
      </c>
      <c r="ROH102" s="529" t="str">
        <f>VLOOKUP(ROG102,[14]AssetDetails_UEM!$A$3:$AH$1849,6,FALSE)</f>
        <v>Electrosurgical Units, Monopolar/Bipolar</v>
      </c>
      <c r="ROI102" s="528" t="s">
        <v>213</v>
      </c>
      <c r="ROJ102" s="529" t="str">
        <f>VLOOKUP(ROI102,[14]AssetDetails_UEM!$A$3:$AH$1849,6,FALSE)</f>
        <v>Electrosurgical Units, Monopolar/Bipolar</v>
      </c>
      <c r="ROK102" s="528" t="s">
        <v>213</v>
      </c>
      <c r="ROL102" s="529" t="str">
        <f>VLOOKUP(ROK102,[14]AssetDetails_UEM!$A$3:$AH$1849,6,FALSE)</f>
        <v>Electrosurgical Units, Monopolar/Bipolar</v>
      </c>
      <c r="ROM102" s="528" t="s">
        <v>213</v>
      </c>
      <c r="RON102" s="529" t="str">
        <f>VLOOKUP(ROM102,[14]AssetDetails_UEM!$A$3:$AH$1849,6,FALSE)</f>
        <v>Electrosurgical Units, Monopolar/Bipolar</v>
      </c>
      <c r="ROO102" s="528" t="s">
        <v>213</v>
      </c>
      <c r="ROP102" s="529" t="str">
        <f>VLOOKUP(ROO102,[14]AssetDetails_UEM!$A$3:$AH$1849,6,FALSE)</f>
        <v>Electrosurgical Units, Monopolar/Bipolar</v>
      </c>
      <c r="ROQ102" s="528" t="s">
        <v>213</v>
      </c>
      <c r="ROR102" s="529" t="str">
        <f>VLOOKUP(ROQ102,[14]AssetDetails_UEM!$A$3:$AH$1849,6,FALSE)</f>
        <v>Electrosurgical Units, Monopolar/Bipolar</v>
      </c>
      <c r="ROS102" s="528" t="s">
        <v>213</v>
      </c>
      <c r="ROT102" s="529" t="str">
        <f>VLOOKUP(ROS102,[14]AssetDetails_UEM!$A$3:$AH$1849,6,FALSE)</f>
        <v>Electrosurgical Units, Monopolar/Bipolar</v>
      </c>
      <c r="ROU102" s="528" t="s">
        <v>213</v>
      </c>
      <c r="ROV102" s="529" t="str">
        <f>VLOOKUP(ROU102,[14]AssetDetails_UEM!$A$3:$AH$1849,6,FALSE)</f>
        <v>Electrosurgical Units, Monopolar/Bipolar</v>
      </c>
      <c r="ROW102" s="528" t="s">
        <v>213</v>
      </c>
      <c r="ROX102" s="529" t="str">
        <f>VLOOKUP(ROW102,[14]AssetDetails_UEM!$A$3:$AH$1849,6,FALSE)</f>
        <v>Electrosurgical Units, Monopolar/Bipolar</v>
      </c>
      <c r="ROY102" s="528" t="s">
        <v>213</v>
      </c>
      <c r="ROZ102" s="529" t="str">
        <f>VLOOKUP(ROY102,[14]AssetDetails_UEM!$A$3:$AH$1849,6,FALSE)</f>
        <v>Electrosurgical Units, Monopolar/Bipolar</v>
      </c>
      <c r="RPA102" s="528" t="s">
        <v>213</v>
      </c>
      <c r="RPB102" s="529" t="str">
        <f>VLOOKUP(RPA102,[14]AssetDetails_UEM!$A$3:$AH$1849,6,FALSE)</f>
        <v>Electrosurgical Units, Monopolar/Bipolar</v>
      </c>
      <c r="RPC102" s="528" t="s">
        <v>213</v>
      </c>
      <c r="RPD102" s="529" t="str">
        <f>VLOOKUP(RPC102,[14]AssetDetails_UEM!$A$3:$AH$1849,6,FALSE)</f>
        <v>Electrosurgical Units, Monopolar/Bipolar</v>
      </c>
      <c r="RPE102" s="528" t="s">
        <v>213</v>
      </c>
      <c r="RPF102" s="529" t="str">
        <f>VLOOKUP(RPE102,[14]AssetDetails_UEM!$A$3:$AH$1849,6,FALSE)</f>
        <v>Electrosurgical Units, Monopolar/Bipolar</v>
      </c>
      <c r="RPG102" s="528" t="s">
        <v>213</v>
      </c>
      <c r="RPH102" s="529" t="str">
        <f>VLOOKUP(RPG102,[14]AssetDetails_UEM!$A$3:$AH$1849,6,FALSE)</f>
        <v>Electrosurgical Units, Monopolar/Bipolar</v>
      </c>
      <c r="RPI102" s="528" t="s">
        <v>213</v>
      </c>
      <c r="RPJ102" s="529" t="str">
        <f>VLOOKUP(RPI102,[14]AssetDetails_UEM!$A$3:$AH$1849,6,FALSE)</f>
        <v>Electrosurgical Units, Monopolar/Bipolar</v>
      </c>
      <c r="RPK102" s="528" t="s">
        <v>213</v>
      </c>
      <c r="RPL102" s="529" t="str">
        <f>VLOOKUP(RPK102,[14]AssetDetails_UEM!$A$3:$AH$1849,6,FALSE)</f>
        <v>Electrosurgical Units, Monopolar/Bipolar</v>
      </c>
      <c r="RPM102" s="528" t="s">
        <v>213</v>
      </c>
      <c r="RPN102" s="529" t="str">
        <f>VLOOKUP(RPM102,[14]AssetDetails_UEM!$A$3:$AH$1849,6,FALSE)</f>
        <v>Electrosurgical Units, Monopolar/Bipolar</v>
      </c>
      <c r="RPO102" s="528" t="s">
        <v>213</v>
      </c>
      <c r="RPP102" s="529" t="str">
        <f>VLOOKUP(RPO102,[14]AssetDetails_UEM!$A$3:$AH$1849,6,FALSE)</f>
        <v>Electrosurgical Units, Monopolar/Bipolar</v>
      </c>
      <c r="RPQ102" s="528" t="s">
        <v>213</v>
      </c>
      <c r="RPR102" s="529" t="str">
        <f>VLOOKUP(RPQ102,[14]AssetDetails_UEM!$A$3:$AH$1849,6,FALSE)</f>
        <v>Electrosurgical Units, Monopolar/Bipolar</v>
      </c>
      <c r="RPS102" s="528" t="s">
        <v>213</v>
      </c>
      <c r="RPT102" s="529" t="str">
        <f>VLOOKUP(RPS102,[14]AssetDetails_UEM!$A$3:$AH$1849,6,FALSE)</f>
        <v>Electrosurgical Units, Monopolar/Bipolar</v>
      </c>
      <c r="RPU102" s="528" t="s">
        <v>213</v>
      </c>
      <c r="RPV102" s="529" t="str">
        <f>VLOOKUP(RPU102,[14]AssetDetails_UEM!$A$3:$AH$1849,6,FALSE)</f>
        <v>Electrosurgical Units, Monopolar/Bipolar</v>
      </c>
      <c r="RPW102" s="528" t="s">
        <v>213</v>
      </c>
      <c r="RPX102" s="529" t="str">
        <f>VLOOKUP(RPW102,[14]AssetDetails_UEM!$A$3:$AH$1849,6,FALSE)</f>
        <v>Electrosurgical Units, Monopolar/Bipolar</v>
      </c>
      <c r="RPY102" s="528" t="s">
        <v>213</v>
      </c>
      <c r="RPZ102" s="529" t="str">
        <f>VLOOKUP(RPY102,[14]AssetDetails_UEM!$A$3:$AH$1849,6,FALSE)</f>
        <v>Electrosurgical Units, Monopolar/Bipolar</v>
      </c>
      <c r="RQA102" s="528" t="s">
        <v>213</v>
      </c>
      <c r="RQB102" s="529" t="str">
        <f>VLOOKUP(RQA102,[14]AssetDetails_UEM!$A$3:$AH$1849,6,FALSE)</f>
        <v>Electrosurgical Units, Monopolar/Bipolar</v>
      </c>
      <c r="RQC102" s="528" t="s">
        <v>213</v>
      </c>
      <c r="RQD102" s="529" t="str">
        <f>VLOOKUP(RQC102,[14]AssetDetails_UEM!$A$3:$AH$1849,6,FALSE)</f>
        <v>Electrosurgical Units, Monopolar/Bipolar</v>
      </c>
      <c r="RQE102" s="528" t="s">
        <v>213</v>
      </c>
      <c r="RQF102" s="529" t="str">
        <f>VLOOKUP(RQE102,[14]AssetDetails_UEM!$A$3:$AH$1849,6,FALSE)</f>
        <v>Electrosurgical Units, Monopolar/Bipolar</v>
      </c>
      <c r="RQG102" s="528" t="s">
        <v>213</v>
      </c>
      <c r="RQH102" s="529" t="str">
        <f>VLOOKUP(RQG102,[14]AssetDetails_UEM!$A$3:$AH$1849,6,FALSE)</f>
        <v>Electrosurgical Units, Monopolar/Bipolar</v>
      </c>
      <c r="RQI102" s="528" t="s">
        <v>213</v>
      </c>
      <c r="RQJ102" s="529" t="str">
        <f>VLOOKUP(RQI102,[14]AssetDetails_UEM!$A$3:$AH$1849,6,FALSE)</f>
        <v>Electrosurgical Units, Monopolar/Bipolar</v>
      </c>
      <c r="RQK102" s="528" t="s">
        <v>213</v>
      </c>
      <c r="RQL102" s="529" t="str">
        <f>VLOOKUP(RQK102,[14]AssetDetails_UEM!$A$3:$AH$1849,6,FALSE)</f>
        <v>Electrosurgical Units, Monopolar/Bipolar</v>
      </c>
      <c r="RQM102" s="528" t="s">
        <v>213</v>
      </c>
      <c r="RQN102" s="529" t="str">
        <f>VLOOKUP(RQM102,[14]AssetDetails_UEM!$A$3:$AH$1849,6,FALSE)</f>
        <v>Electrosurgical Units, Monopolar/Bipolar</v>
      </c>
      <c r="RQO102" s="528" t="s">
        <v>213</v>
      </c>
      <c r="RQP102" s="529" t="str">
        <f>VLOOKUP(RQO102,[14]AssetDetails_UEM!$A$3:$AH$1849,6,FALSE)</f>
        <v>Electrosurgical Units, Monopolar/Bipolar</v>
      </c>
      <c r="RQQ102" s="528" t="s">
        <v>213</v>
      </c>
      <c r="RQR102" s="529" t="str">
        <f>VLOOKUP(RQQ102,[14]AssetDetails_UEM!$A$3:$AH$1849,6,FALSE)</f>
        <v>Electrosurgical Units, Monopolar/Bipolar</v>
      </c>
      <c r="RQS102" s="528" t="s">
        <v>213</v>
      </c>
      <c r="RQT102" s="529" t="str">
        <f>VLOOKUP(RQS102,[14]AssetDetails_UEM!$A$3:$AH$1849,6,FALSE)</f>
        <v>Electrosurgical Units, Monopolar/Bipolar</v>
      </c>
      <c r="RQU102" s="528" t="s">
        <v>213</v>
      </c>
      <c r="RQV102" s="529" t="str">
        <f>VLOOKUP(RQU102,[14]AssetDetails_UEM!$A$3:$AH$1849,6,FALSE)</f>
        <v>Electrosurgical Units, Monopolar/Bipolar</v>
      </c>
      <c r="RQW102" s="528" t="s">
        <v>213</v>
      </c>
      <c r="RQX102" s="529" t="str">
        <f>VLOOKUP(RQW102,[14]AssetDetails_UEM!$A$3:$AH$1849,6,FALSE)</f>
        <v>Electrosurgical Units, Monopolar/Bipolar</v>
      </c>
      <c r="RQY102" s="528" t="s">
        <v>213</v>
      </c>
      <c r="RQZ102" s="529" t="str">
        <f>VLOOKUP(RQY102,[14]AssetDetails_UEM!$A$3:$AH$1849,6,FALSE)</f>
        <v>Electrosurgical Units, Monopolar/Bipolar</v>
      </c>
      <c r="RRA102" s="528" t="s">
        <v>213</v>
      </c>
      <c r="RRB102" s="529" t="str">
        <f>VLOOKUP(RRA102,[14]AssetDetails_UEM!$A$3:$AH$1849,6,FALSE)</f>
        <v>Electrosurgical Units, Monopolar/Bipolar</v>
      </c>
      <c r="RRC102" s="528" t="s">
        <v>213</v>
      </c>
      <c r="RRD102" s="529" t="str">
        <f>VLOOKUP(RRC102,[14]AssetDetails_UEM!$A$3:$AH$1849,6,FALSE)</f>
        <v>Electrosurgical Units, Monopolar/Bipolar</v>
      </c>
      <c r="RRE102" s="528" t="s">
        <v>213</v>
      </c>
      <c r="RRF102" s="529" t="str">
        <f>VLOOKUP(RRE102,[14]AssetDetails_UEM!$A$3:$AH$1849,6,FALSE)</f>
        <v>Electrosurgical Units, Monopolar/Bipolar</v>
      </c>
      <c r="RRG102" s="528" t="s">
        <v>213</v>
      </c>
      <c r="RRH102" s="529" t="str">
        <f>VLOOKUP(RRG102,[14]AssetDetails_UEM!$A$3:$AH$1849,6,FALSE)</f>
        <v>Electrosurgical Units, Monopolar/Bipolar</v>
      </c>
      <c r="RRI102" s="528" t="s">
        <v>213</v>
      </c>
      <c r="RRJ102" s="529" t="str">
        <f>VLOOKUP(RRI102,[14]AssetDetails_UEM!$A$3:$AH$1849,6,FALSE)</f>
        <v>Electrosurgical Units, Monopolar/Bipolar</v>
      </c>
      <c r="RRK102" s="528" t="s">
        <v>213</v>
      </c>
      <c r="RRL102" s="529" t="str">
        <f>VLOOKUP(RRK102,[14]AssetDetails_UEM!$A$3:$AH$1849,6,FALSE)</f>
        <v>Electrosurgical Units, Monopolar/Bipolar</v>
      </c>
      <c r="RRM102" s="528" t="s">
        <v>213</v>
      </c>
      <c r="RRN102" s="529" t="str">
        <f>VLOOKUP(RRM102,[14]AssetDetails_UEM!$A$3:$AH$1849,6,FALSE)</f>
        <v>Electrosurgical Units, Monopolar/Bipolar</v>
      </c>
      <c r="RRO102" s="528" t="s">
        <v>213</v>
      </c>
      <c r="RRP102" s="529" t="str">
        <f>VLOOKUP(RRO102,[14]AssetDetails_UEM!$A$3:$AH$1849,6,FALSE)</f>
        <v>Electrosurgical Units, Monopolar/Bipolar</v>
      </c>
      <c r="RRQ102" s="528" t="s">
        <v>213</v>
      </c>
      <c r="RRR102" s="529" t="str">
        <f>VLOOKUP(RRQ102,[14]AssetDetails_UEM!$A$3:$AH$1849,6,FALSE)</f>
        <v>Electrosurgical Units, Monopolar/Bipolar</v>
      </c>
      <c r="RRS102" s="528" t="s">
        <v>213</v>
      </c>
      <c r="RRT102" s="529" t="str">
        <f>VLOOKUP(RRS102,[14]AssetDetails_UEM!$A$3:$AH$1849,6,FALSE)</f>
        <v>Electrosurgical Units, Monopolar/Bipolar</v>
      </c>
      <c r="RRU102" s="528" t="s">
        <v>213</v>
      </c>
      <c r="RRV102" s="529" t="str">
        <f>VLOOKUP(RRU102,[14]AssetDetails_UEM!$A$3:$AH$1849,6,FALSE)</f>
        <v>Electrosurgical Units, Monopolar/Bipolar</v>
      </c>
      <c r="RRW102" s="528" t="s">
        <v>213</v>
      </c>
      <c r="RRX102" s="529" t="str">
        <f>VLOOKUP(RRW102,[14]AssetDetails_UEM!$A$3:$AH$1849,6,FALSE)</f>
        <v>Electrosurgical Units, Monopolar/Bipolar</v>
      </c>
      <c r="RRY102" s="528" t="s">
        <v>213</v>
      </c>
      <c r="RRZ102" s="529" t="str">
        <f>VLOOKUP(RRY102,[14]AssetDetails_UEM!$A$3:$AH$1849,6,FALSE)</f>
        <v>Electrosurgical Units, Monopolar/Bipolar</v>
      </c>
      <c r="RSA102" s="528" t="s">
        <v>213</v>
      </c>
      <c r="RSB102" s="529" t="str">
        <f>VLOOKUP(RSA102,[14]AssetDetails_UEM!$A$3:$AH$1849,6,FALSE)</f>
        <v>Electrosurgical Units, Monopolar/Bipolar</v>
      </c>
      <c r="RSC102" s="528" t="s">
        <v>213</v>
      </c>
      <c r="RSD102" s="529" t="str">
        <f>VLOOKUP(RSC102,[14]AssetDetails_UEM!$A$3:$AH$1849,6,FALSE)</f>
        <v>Electrosurgical Units, Monopolar/Bipolar</v>
      </c>
      <c r="RSE102" s="528" t="s">
        <v>213</v>
      </c>
      <c r="RSF102" s="529" t="str">
        <f>VLOOKUP(RSE102,[14]AssetDetails_UEM!$A$3:$AH$1849,6,FALSE)</f>
        <v>Electrosurgical Units, Monopolar/Bipolar</v>
      </c>
      <c r="RSG102" s="528" t="s">
        <v>213</v>
      </c>
      <c r="RSH102" s="529" t="str">
        <f>VLOOKUP(RSG102,[14]AssetDetails_UEM!$A$3:$AH$1849,6,FALSE)</f>
        <v>Electrosurgical Units, Monopolar/Bipolar</v>
      </c>
      <c r="RSI102" s="528" t="s">
        <v>213</v>
      </c>
      <c r="RSJ102" s="529" t="str">
        <f>VLOOKUP(RSI102,[14]AssetDetails_UEM!$A$3:$AH$1849,6,FALSE)</f>
        <v>Electrosurgical Units, Monopolar/Bipolar</v>
      </c>
      <c r="RSK102" s="528" t="s">
        <v>213</v>
      </c>
      <c r="RSL102" s="529" t="str">
        <f>VLOOKUP(RSK102,[14]AssetDetails_UEM!$A$3:$AH$1849,6,FALSE)</f>
        <v>Electrosurgical Units, Monopolar/Bipolar</v>
      </c>
      <c r="RSM102" s="528" t="s">
        <v>213</v>
      </c>
      <c r="RSN102" s="529" t="str">
        <f>VLOOKUP(RSM102,[14]AssetDetails_UEM!$A$3:$AH$1849,6,FALSE)</f>
        <v>Electrosurgical Units, Monopolar/Bipolar</v>
      </c>
      <c r="RSO102" s="528" t="s">
        <v>213</v>
      </c>
      <c r="RSP102" s="529" t="str">
        <f>VLOOKUP(RSO102,[14]AssetDetails_UEM!$A$3:$AH$1849,6,FALSE)</f>
        <v>Electrosurgical Units, Monopolar/Bipolar</v>
      </c>
      <c r="RSQ102" s="528" t="s">
        <v>213</v>
      </c>
      <c r="RSR102" s="529" t="str">
        <f>VLOOKUP(RSQ102,[14]AssetDetails_UEM!$A$3:$AH$1849,6,FALSE)</f>
        <v>Electrosurgical Units, Monopolar/Bipolar</v>
      </c>
      <c r="RSS102" s="528" t="s">
        <v>213</v>
      </c>
      <c r="RST102" s="529" t="str">
        <f>VLOOKUP(RSS102,[14]AssetDetails_UEM!$A$3:$AH$1849,6,FALSE)</f>
        <v>Electrosurgical Units, Monopolar/Bipolar</v>
      </c>
      <c r="RSU102" s="528" t="s">
        <v>213</v>
      </c>
      <c r="RSV102" s="529" t="str">
        <f>VLOOKUP(RSU102,[14]AssetDetails_UEM!$A$3:$AH$1849,6,FALSE)</f>
        <v>Electrosurgical Units, Monopolar/Bipolar</v>
      </c>
      <c r="RSW102" s="528" t="s">
        <v>213</v>
      </c>
      <c r="RSX102" s="529" t="str">
        <f>VLOOKUP(RSW102,[14]AssetDetails_UEM!$A$3:$AH$1849,6,FALSE)</f>
        <v>Electrosurgical Units, Monopolar/Bipolar</v>
      </c>
      <c r="RSY102" s="528" t="s">
        <v>213</v>
      </c>
      <c r="RSZ102" s="529" t="str">
        <f>VLOOKUP(RSY102,[14]AssetDetails_UEM!$A$3:$AH$1849,6,FALSE)</f>
        <v>Electrosurgical Units, Monopolar/Bipolar</v>
      </c>
      <c r="RTA102" s="528" t="s">
        <v>213</v>
      </c>
      <c r="RTB102" s="529" t="str">
        <f>VLOOKUP(RTA102,[14]AssetDetails_UEM!$A$3:$AH$1849,6,FALSE)</f>
        <v>Electrosurgical Units, Monopolar/Bipolar</v>
      </c>
      <c r="RTC102" s="528" t="s">
        <v>213</v>
      </c>
      <c r="RTD102" s="529" t="str">
        <f>VLOOKUP(RTC102,[14]AssetDetails_UEM!$A$3:$AH$1849,6,FALSE)</f>
        <v>Electrosurgical Units, Monopolar/Bipolar</v>
      </c>
      <c r="RTE102" s="528" t="s">
        <v>213</v>
      </c>
      <c r="RTF102" s="529" t="str">
        <f>VLOOKUP(RTE102,[14]AssetDetails_UEM!$A$3:$AH$1849,6,FALSE)</f>
        <v>Electrosurgical Units, Monopolar/Bipolar</v>
      </c>
      <c r="RTG102" s="528" t="s">
        <v>213</v>
      </c>
      <c r="RTH102" s="529" t="str">
        <f>VLOOKUP(RTG102,[14]AssetDetails_UEM!$A$3:$AH$1849,6,FALSE)</f>
        <v>Electrosurgical Units, Monopolar/Bipolar</v>
      </c>
      <c r="RTI102" s="528" t="s">
        <v>213</v>
      </c>
      <c r="RTJ102" s="529" t="str">
        <f>VLOOKUP(RTI102,[14]AssetDetails_UEM!$A$3:$AH$1849,6,FALSE)</f>
        <v>Electrosurgical Units, Monopolar/Bipolar</v>
      </c>
      <c r="RTK102" s="528" t="s">
        <v>213</v>
      </c>
      <c r="RTL102" s="529" t="str">
        <f>VLOOKUP(RTK102,[14]AssetDetails_UEM!$A$3:$AH$1849,6,FALSE)</f>
        <v>Electrosurgical Units, Monopolar/Bipolar</v>
      </c>
      <c r="RTM102" s="528" t="s">
        <v>213</v>
      </c>
      <c r="RTN102" s="529" t="str">
        <f>VLOOKUP(RTM102,[14]AssetDetails_UEM!$A$3:$AH$1849,6,FALSE)</f>
        <v>Electrosurgical Units, Monopolar/Bipolar</v>
      </c>
      <c r="RTO102" s="528" t="s">
        <v>213</v>
      </c>
      <c r="RTP102" s="529" t="str">
        <f>VLOOKUP(RTO102,[14]AssetDetails_UEM!$A$3:$AH$1849,6,FALSE)</f>
        <v>Electrosurgical Units, Monopolar/Bipolar</v>
      </c>
      <c r="RTQ102" s="528" t="s">
        <v>213</v>
      </c>
      <c r="RTR102" s="529" t="str">
        <f>VLOOKUP(RTQ102,[14]AssetDetails_UEM!$A$3:$AH$1849,6,FALSE)</f>
        <v>Electrosurgical Units, Monopolar/Bipolar</v>
      </c>
      <c r="RTS102" s="528" t="s">
        <v>213</v>
      </c>
      <c r="RTT102" s="529" t="str">
        <f>VLOOKUP(RTS102,[14]AssetDetails_UEM!$A$3:$AH$1849,6,FALSE)</f>
        <v>Electrosurgical Units, Monopolar/Bipolar</v>
      </c>
      <c r="RTU102" s="528" t="s">
        <v>213</v>
      </c>
      <c r="RTV102" s="529" t="str">
        <f>VLOOKUP(RTU102,[14]AssetDetails_UEM!$A$3:$AH$1849,6,FALSE)</f>
        <v>Electrosurgical Units, Monopolar/Bipolar</v>
      </c>
      <c r="RTW102" s="528" t="s">
        <v>213</v>
      </c>
      <c r="RTX102" s="529" t="str">
        <f>VLOOKUP(RTW102,[14]AssetDetails_UEM!$A$3:$AH$1849,6,FALSE)</f>
        <v>Electrosurgical Units, Monopolar/Bipolar</v>
      </c>
      <c r="RTY102" s="528" t="s">
        <v>213</v>
      </c>
      <c r="RTZ102" s="529" t="str">
        <f>VLOOKUP(RTY102,[14]AssetDetails_UEM!$A$3:$AH$1849,6,FALSE)</f>
        <v>Electrosurgical Units, Monopolar/Bipolar</v>
      </c>
      <c r="RUA102" s="528" t="s">
        <v>213</v>
      </c>
      <c r="RUB102" s="529" t="str">
        <f>VLOOKUP(RUA102,[14]AssetDetails_UEM!$A$3:$AH$1849,6,FALSE)</f>
        <v>Electrosurgical Units, Monopolar/Bipolar</v>
      </c>
      <c r="RUC102" s="528" t="s">
        <v>213</v>
      </c>
      <c r="RUD102" s="529" t="str">
        <f>VLOOKUP(RUC102,[14]AssetDetails_UEM!$A$3:$AH$1849,6,FALSE)</f>
        <v>Electrosurgical Units, Monopolar/Bipolar</v>
      </c>
      <c r="RUE102" s="528" t="s">
        <v>213</v>
      </c>
      <c r="RUF102" s="529" t="str">
        <f>VLOOKUP(RUE102,[14]AssetDetails_UEM!$A$3:$AH$1849,6,FALSE)</f>
        <v>Electrosurgical Units, Monopolar/Bipolar</v>
      </c>
      <c r="RUG102" s="528" t="s">
        <v>213</v>
      </c>
      <c r="RUH102" s="529" t="str">
        <f>VLOOKUP(RUG102,[14]AssetDetails_UEM!$A$3:$AH$1849,6,FALSE)</f>
        <v>Electrosurgical Units, Monopolar/Bipolar</v>
      </c>
      <c r="RUI102" s="528" t="s">
        <v>213</v>
      </c>
      <c r="RUJ102" s="529" t="str">
        <f>VLOOKUP(RUI102,[14]AssetDetails_UEM!$A$3:$AH$1849,6,FALSE)</f>
        <v>Electrosurgical Units, Monopolar/Bipolar</v>
      </c>
      <c r="RUK102" s="528" t="s">
        <v>213</v>
      </c>
      <c r="RUL102" s="529" t="str">
        <f>VLOOKUP(RUK102,[14]AssetDetails_UEM!$A$3:$AH$1849,6,FALSE)</f>
        <v>Electrosurgical Units, Monopolar/Bipolar</v>
      </c>
      <c r="RUM102" s="528" t="s">
        <v>213</v>
      </c>
      <c r="RUN102" s="529" t="str">
        <f>VLOOKUP(RUM102,[14]AssetDetails_UEM!$A$3:$AH$1849,6,FALSE)</f>
        <v>Electrosurgical Units, Monopolar/Bipolar</v>
      </c>
      <c r="RUO102" s="528" t="s">
        <v>213</v>
      </c>
      <c r="RUP102" s="529" t="str">
        <f>VLOOKUP(RUO102,[14]AssetDetails_UEM!$A$3:$AH$1849,6,FALSE)</f>
        <v>Electrosurgical Units, Monopolar/Bipolar</v>
      </c>
      <c r="RUQ102" s="528" t="s">
        <v>213</v>
      </c>
      <c r="RUR102" s="529" t="str">
        <f>VLOOKUP(RUQ102,[14]AssetDetails_UEM!$A$3:$AH$1849,6,FALSE)</f>
        <v>Electrosurgical Units, Monopolar/Bipolar</v>
      </c>
      <c r="RUS102" s="528" t="s">
        <v>213</v>
      </c>
      <c r="RUT102" s="529" t="str">
        <f>VLOOKUP(RUS102,[14]AssetDetails_UEM!$A$3:$AH$1849,6,FALSE)</f>
        <v>Electrosurgical Units, Monopolar/Bipolar</v>
      </c>
      <c r="RUU102" s="528" t="s">
        <v>213</v>
      </c>
      <c r="RUV102" s="529" t="str">
        <f>VLOOKUP(RUU102,[14]AssetDetails_UEM!$A$3:$AH$1849,6,FALSE)</f>
        <v>Electrosurgical Units, Monopolar/Bipolar</v>
      </c>
      <c r="RUW102" s="528" t="s">
        <v>213</v>
      </c>
      <c r="RUX102" s="529" t="str">
        <f>VLOOKUP(RUW102,[14]AssetDetails_UEM!$A$3:$AH$1849,6,FALSE)</f>
        <v>Electrosurgical Units, Monopolar/Bipolar</v>
      </c>
      <c r="RUY102" s="528" t="s">
        <v>213</v>
      </c>
      <c r="RUZ102" s="529" t="str">
        <f>VLOOKUP(RUY102,[14]AssetDetails_UEM!$A$3:$AH$1849,6,FALSE)</f>
        <v>Electrosurgical Units, Monopolar/Bipolar</v>
      </c>
      <c r="RVA102" s="528" t="s">
        <v>213</v>
      </c>
      <c r="RVB102" s="529" t="str">
        <f>VLOOKUP(RVA102,[14]AssetDetails_UEM!$A$3:$AH$1849,6,FALSE)</f>
        <v>Electrosurgical Units, Monopolar/Bipolar</v>
      </c>
      <c r="RVC102" s="528" t="s">
        <v>213</v>
      </c>
      <c r="RVD102" s="529" t="str">
        <f>VLOOKUP(RVC102,[14]AssetDetails_UEM!$A$3:$AH$1849,6,FALSE)</f>
        <v>Electrosurgical Units, Monopolar/Bipolar</v>
      </c>
      <c r="RVE102" s="528" t="s">
        <v>213</v>
      </c>
      <c r="RVF102" s="529" t="str">
        <f>VLOOKUP(RVE102,[14]AssetDetails_UEM!$A$3:$AH$1849,6,FALSE)</f>
        <v>Electrosurgical Units, Monopolar/Bipolar</v>
      </c>
      <c r="RVG102" s="528" t="s">
        <v>213</v>
      </c>
      <c r="RVH102" s="529" t="str">
        <f>VLOOKUP(RVG102,[14]AssetDetails_UEM!$A$3:$AH$1849,6,FALSE)</f>
        <v>Electrosurgical Units, Monopolar/Bipolar</v>
      </c>
      <c r="RVI102" s="528" t="s">
        <v>213</v>
      </c>
      <c r="RVJ102" s="529" t="str">
        <f>VLOOKUP(RVI102,[14]AssetDetails_UEM!$A$3:$AH$1849,6,FALSE)</f>
        <v>Electrosurgical Units, Monopolar/Bipolar</v>
      </c>
      <c r="RVK102" s="528" t="s">
        <v>213</v>
      </c>
      <c r="RVL102" s="529" t="str">
        <f>VLOOKUP(RVK102,[14]AssetDetails_UEM!$A$3:$AH$1849,6,FALSE)</f>
        <v>Electrosurgical Units, Monopolar/Bipolar</v>
      </c>
      <c r="RVM102" s="528" t="s">
        <v>213</v>
      </c>
      <c r="RVN102" s="529" t="str">
        <f>VLOOKUP(RVM102,[14]AssetDetails_UEM!$A$3:$AH$1849,6,FALSE)</f>
        <v>Electrosurgical Units, Monopolar/Bipolar</v>
      </c>
      <c r="RVO102" s="528" t="s">
        <v>213</v>
      </c>
      <c r="RVP102" s="529" t="str">
        <f>VLOOKUP(RVO102,[14]AssetDetails_UEM!$A$3:$AH$1849,6,FALSE)</f>
        <v>Electrosurgical Units, Monopolar/Bipolar</v>
      </c>
      <c r="RVQ102" s="528" t="s">
        <v>213</v>
      </c>
      <c r="RVR102" s="529" t="str">
        <f>VLOOKUP(RVQ102,[14]AssetDetails_UEM!$A$3:$AH$1849,6,FALSE)</f>
        <v>Electrosurgical Units, Monopolar/Bipolar</v>
      </c>
      <c r="RVS102" s="528" t="s">
        <v>213</v>
      </c>
      <c r="RVT102" s="529" t="str">
        <f>VLOOKUP(RVS102,[14]AssetDetails_UEM!$A$3:$AH$1849,6,FALSE)</f>
        <v>Electrosurgical Units, Monopolar/Bipolar</v>
      </c>
      <c r="RVU102" s="528" t="s">
        <v>213</v>
      </c>
      <c r="RVV102" s="529" t="str">
        <f>VLOOKUP(RVU102,[14]AssetDetails_UEM!$A$3:$AH$1849,6,FALSE)</f>
        <v>Electrosurgical Units, Monopolar/Bipolar</v>
      </c>
      <c r="RVW102" s="528" t="s">
        <v>213</v>
      </c>
      <c r="RVX102" s="529" t="str">
        <f>VLOOKUP(RVW102,[14]AssetDetails_UEM!$A$3:$AH$1849,6,FALSE)</f>
        <v>Electrosurgical Units, Monopolar/Bipolar</v>
      </c>
      <c r="RVY102" s="528" t="s">
        <v>213</v>
      </c>
      <c r="RVZ102" s="529" t="str">
        <f>VLOOKUP(RVY102,[14]AssetDetails_UEM!$A$3:$AH$1849,6,FALSE)</f>
        <v>Electrosurgical Units, Monopolar/Bipolar</v>
      </c>
      <c r="RWA102" s="528" t="s">
        <v>213</v>
      </c>
      <c r="RWB102" s="529" t="str">
        <f>VLOOKUP(RWA102,[14]AssetDetails_UEM!$A$3:$AH$1849,6,FALSE)</f>
        <v>Electrosurgical Units, Monopolar/Bipolar</v>
      </c>
      <c r="RWC102" s="528" t="s">
        <v>213</v>
      </c>
      <c r="RWD102" s="529" t="str">
        <f>VLOOKUP(RWC102,[14]AssetDetails_UEM!$A$3:$AH$1849,6,FALSE)</f>
        <v>Electrosurgical Units, Monopolar/Bipolar</v>
      </c>
      <c r="RWE102" s="528" t="s">
        <v>213</v>
      </c>
      <c r="RWF102" s="529" t="str">
        <f>VLOOKUP(RWE102,[14]AssetDetails_UEM!$A$3:$AH$1849,6,FALSE)</f>
        <v>Electrosurgical Units, Monopolar/Bipolar</v>
      </c>
      <c r="RWG102" s="528" t="s">
        <v>213</v>
      </c>
      <c r="RWH102" s="529" t="str">
        <f>VLOOKUP(RWG102,[14]AssetDetails_UEM!$A$3:$AH$1849,6,FALSE)</f>
        <v>Electrosurgical Units, Monopolar/Bipolar</v>
      </c>
      <c r="RWI102" s="528" t="s">
        <v>213</v>
      </c>
      <c r="RWJ102" s="529" t="str">
        <f>VLOOKUP(RWI102,[14]AssetDetails_UEM!$A$3:$AH$1849,6,FALSE)</f>
        <v>Electrosurgical Units, Monopolar/Bipolar</v>
      </c>
      <c r="RWK102" s="528" t="s">
        <v>213</v>
      </c>
      <c r="RWL102" s="529" t="str">
        <f>VLOOKUP(RWK102,[14]AssetDetails_UEM!$A$3:$AH$1849,6,FALSE)</f>
        <v>Electrosurgical Units, Monopolar/Bipolar</v>
      </c>
      <c r="RWM102" s="528" t="s">
        <v>213</v>
      </c>
      <c r="RWN102" s="529" t="str">
        <f>VLOOKUP(RWM102,[14]AssetDetails_UEM!$A$3:$AH$1849,6,FALSE)</f>
        <v>Electrosurgical Units, Monopolar/Bipolar</v>
      </c>
      <c r="RWO102" s="528" t="s">
        <v>213</v>
      </c>
      <c r="RWP102" s="529" t="str">
        <f>VLOOKUP(RWO102,[14]AssetDetails_UEM!$A$3:$AH$1849,6,FALSE)</f>
        <v>Electrosurgical Units, Monopolar/Bipolar</v>
      </c>
      <c r="RWQ102" s="528" t="s">
        <v>213</v>
      </c>
      <c r="RWR102" s="529" t="str">
        <f>VLOOKUP(RWQ102,[14]AssetDetails_UEM!$A$3:$AH$1849,6,FALSE)</f>
        <v>Electrosurgical Units, Monopolar/Bipolar</v>
      </c>
      <c r="RWS102" s="528" t="s">
        <v>213</v>
      </c>
      <c r="RWT102" s="529" t="str">
        <f>VLOOKUP(RWS102,[14]AssetDetails_UEM!$A$3:$AH$1849,6,FALSE)</f>
        <v>Electrosurgical Units, Monopolar/Bipolar</v>
      </c>
      <c r="RWU102" s="528" t="s">
        <v>213</v>
      </c>
      <c r="RWV102" s="529" t="str">
        <f>VLOOKUP(RWU102,[14]AssetDetails_UEM!$A$3:$AH$1849,6,FALSE)</f>
        <v>Electrosurgical Units, Monopolar/Bipolar</v>
      </c>
      <c r="RWW102" s="528" t="s">
        <v>213</v>
      </c>
      <c r="RWX102" s="529" t="str">
        <f>VLOOKUP(RWW102,[14]AssetDetails_UEM!$A$3:$AH$1849,6,FALSE)</f>
        <v>Electrosurgical Units, Monopolar/Bipolar</v>
      </c>
      <c r="RWY102" s="528" t="s">
        <v>213</v>
      </c>
      <c r="RWZ102" s="529" t="str">
        <f>VLOOKUP(RWY102,[14]AssetDetails_UEM!$A$3:$AH$1849,6,FALSE)</f>
        <v>Electrosurgical Units, Monopolar/Bipolar</v>
      </c>
      <c r="RXA102" s="528" t="s">
        <v>213</v>
      </c>
      <c r="RXB102" s="529" t="str">
        <f>VLOOKUP(RXA102,[14]AssetDetails_UEM!$A$3:$AH$1849,6,FALSE)</f>
        <v>Electrosurgical Units, Monopolar/Bipolar</v>
      </c>
      <c r="RXC102" s="528" t="s">
        <v>213</v>
      </c>
      <c r="RXD102" s="529" t="str">
        <f>VLOOKUP(RXC102,[14]AssetDetails_UEM!$A$3:$AH$1849,6,FALSE)</f>
        <v>Electrosurgical Units, Monopolar/Bipolar</v>
      </c>
      <c r="RXE102" s="528" t="s">
        <v>213</v>
      </c>
      <c r="RXF102" s="529" t="str">
        <f>VLOOKUP(RXE102,[14]AssetDetails_UEM!$A$3:$AH$1849,6,FALSE)</f>
        <v>Electrosurgical Units, Monopolar/Bipolar</v>
      </c>
      <c r="RXG102" s="528" t="s">
        <v>213</v>
      </c>
      <c r="RXH102" s="529" t="str">
        <f>VLOOKUP(RXG102,[14]AssetDetails_UEM!$A$3:$AH$1849,6,FALSE)</f>
        <v>Electrosurgical Units, Monopolar/Bipolar</v>
      </c>
      <c r="RXI102" s="528" t="s">
        <v>213</v>
      </c>
      <c r="RXJ102" s="529" t="str">
        <f>VLOOKUP(RXI102,[14]AssetDetails_UEM!$A$3:$AH$1849,6,FALSE)</f>
        <v>Electrosurgical Units, Monopolar/Bipolar</v>
      </c>
      <c r="RXK102" s="528" t="s">
        <v>213</v>
      </c>
      <c r="RXL102" s="529" t="str">
        <f>VLOOKUP(RXK102,[14]AssetDetails_UEM!$A$3:$AH$1849,6,FALSE)</f>
        <v>Electrosurgical Units, Monopolar/Bipolar</v>
      </c>
      <c r="RXM102" s="528" t="s">
        <v>213</v>
      </c>
      <c r="RXN102" s="529" t="str">
        <f>VLOOKUP(RXM102,[14]AssetDetails_UEM!$A$3:$AH$1849,6,FALSE)</f>
        <v>Electrosurgical Units, Monopolar/Bipolar</v>
      </c>
      <c r="RXO102" s="528" t="s">
        <v>213</v>
      </c>
      <c r="RXP102" s="529" t="str">
        <f>VLOOKUP(RXO102,[14]AssetDetails_UEM!$A$3:$AH$1849,6,FALSE)</f>
        <v>Electrosurgical Units, Monopolar/Bipolar</v>
      </c>
      <c r="RXQ102" s="528" t="s">
        <v>213</v>
      </c>
      <c r="RXR102" s="529" t="str">
        <f>VLOOKUP(RXQ102,[14]AssetDetails_UEM!$A$3:$AH$1849,6,FALSE)</f>
        <v>Electrosurgical Units, Monopolar/Bipolar</v>
      </c>
      <c r="RXS102" s="528" t="s">
        <v>213</v>
      </c>
      <c r="RXT102" s="529" t="str">
        <f>VLOOKUP(RXS102,[14]AssetDetails_UEM!$A$3:$AH$1849,6,FALSE)</f>
        <v>Electrosurgical Units, Monopolar/Bipolar</v>
      </c>
      <c r="RXU102" s="528" t="s">
        <v>213</v>
      </c>
      <c r="RXV102" s="529" t="str">
        <f>VLOOKUP(RXU102,[14]AssetDetails_UEM!$A$3:$AH$1849,6,FALSE)</f>
        <v>Electrosurgical Units, Monopolar/Bipolar</v>
      </c>
      <c r="RXW102" s="528" t="s">
        <v>213</v>
      </c>
      <c r="RXX102" s="529" t="str">
        <f>VLOOKUP(RXW102,[14]AssetDetails_UEM!$A$3:$AH$1849,6,FALSE)</f>
        <v>Electrosurgical Units, Monopolar/Bipolar</v>
      </c>
      <c r="RXY102" s="528" t="s">
        <v>213</v>
      </c>
      <c r="RXZ102" s="529" t="str">
        <f>VLOOKUP(RXY102,[14]AssetDetails_UEM!$A$3:$AH$1849,6,FALSE)</f>
        <v>Electrosurgical Units, Monopolar/Bipolar</v>
      </c>
      <c r="RYA102" s="528" t="s">
        <v>213</v>
      </c>
      <c r="RYB102" s="529" t="str">
        <f>VLOOKUP(RYA102,[14]AssetDetails_UEM!$A$3:$AH$1849,6,FALSE)</f>
        <v>Electrosurgical Units, Monopolar/Bipolar</v>
      </c>
      <c r="RYC102" s="528" t="s">
        <v>213</v>
      </c>
      <c r="RYD102" s="529" t="str">
        <f>VLOOKUP(RYC102,[14]AssetDetails_UEM!$A$3:$AH$1849,6,FALSE)</f>
        <v>Electrosurgical Units, Monopolar/Bipolar</v>
      </c>
      <c r="RYE102" s="528" t="s">
        <v>213</v>
      </c>
      <c r="RYF102" s="529" t="str">
        <f>VLOOKUP(RYE102,[14]AssetDetails_UEM!$A$3:$AH$1849,6,FALSE)</f>
        <v>Electrosurgical Units, Monopolar/Bipolar</v>
      </c>
      <c r="RYG102" s="528" t="s">
        <v>213</v>
      </c>
      <c r="RYH102" s="529" t="str">
        <f>VLOOKUP(RYG102,[14]AssetDetails_UEM!$A$3:$AH$1849,6,FALSE)</f>
        <v>Electrosurgical Units, Monopolar/Bipolar</v>
      </c>
      <c r="RYI102" s="528" t="s">
        <v>213</v>
      </c>
      <c r="RYJ102" s="529" t="str">
        <f>VLOOKUP(RYI102,[14]AssetDetails_UEM!$A$3:$AH$1849,6,FALSE)</f>
        <v>Electrosurgical Units, Monopolar/Bipolar</v>
      </c>
      <c r="RYK102" s="528" t="s">
        <v>213</v>
      </c>
      <c r="RYL102" s="529" t="str">
        <f>VLOOKUP(RYK102,[14]AssetDetails_UEM!$A$3:$AH$1849,6,FALSE)</f>
        <v>Electrosurgical Units, Monopolar/Bipolar</v>
      </c>
      <c r="RYM102" s="528" t="s">
        <v>213</v>
      </c>
      <c r="RYN102" s="529" t="str">
        <f>VLOOKUP(RYM102,[14]AssetDetails_UEM!$A$3:$AH$1849,6,FALSE)</f>
        <v>Electrosurgical Units, Monopolar/Bipolar</v>
      </c>
      <c r="RYO102" s="528" t="s">
        <v>213</v>
      </c>
      <c r="RYP102" s="529" t="str">
        <f>VLOOKUP(RYO102,[14]AssetDetails_UEM!$A$3:$AH$1849,6,FALSE)</f>
        <v>Electrosurgical Units, Monopolar/Bipolar</v>
      </c>
      <c r="RYQ102" s="528" t="s">
        <v>213</v>
      </c>
      <c r="RYR102" s="529" t="str">
        <f>VLOOKUP(RYQ102,[14]AssetDetails_UEM!$A$3:$AH$1849,6,FALSE)</f>
        <v>Electrosurgical Units, Monopolar/Bipolar</v>
      </c>
      <c r="RYS102" s="528" t="s">
        <v>213</v>
      </c>
      <c r="RYT102" s="529" t="str">
        <f>VLOOKUP(RYS102,[14]AssetDetails_UEM!$A$3:$AH$1849,6,FALSE)</f>
        <v>Electrosurgical Units, Monopolar/Bipolar</v>
      </c>
      <c r="RYU102" s="528" t="s">
        <v>213</v>
      </c>
      <c r="RYV102" s="529" t="str">
        <f>VLOOKUP(RYU102,[14]AssetDetails_UEM!$A$3:$AH$1849,6,FALSE)</f>
        <v>Electrosurgical Units, Monopolar/Bipolar</v>
      </c>
      <c r="RYW102" s="528" t="s">
        <v>213</v>
      </c>
      <c r="RYX102" s="529" t="str">
        <f>VLOOKUP(RYW102,[14]AssetDetails_UEM!$A$3:$AH$1849,6,FALSE)</f>
        <v>Electrosurgical Units, Monopolar/Bipolar</v>
      </c>
      <c r="RYY102" s="528" t="s">
        <v>213</v>
      </c>
      <c r="RYZ102" s="529" t="str">
        <f>VLOOKUP(RYY102,[14]AssetDetails_UEM!$A$3:$AH$1849,6,FALSE)</f>
        <v>Electrosurgical Units, Monopolar/Bipolar</v>
      </c>
      <c r="RZA102" s="528" t="s">
        <v>213</v>
      </c>
      <c r="RZB102" s="529" t="str">
        <f>VLOOKUP(RZA102,[14]AssetDetails_UEM!$A$3:$AH$1849,6,FALSE)</f>
        <v>Electrosurgical Units, Monopolar/Bipolar</v>
      </c>
      <c r="RZC102" s="528" t="s">
        <v>213</v>
      </c>
      <c r="RZD102" s="529" t="str">
        <f>VLOOKUP(RZC102,[14]AssetDetails_UEM!$A$3:$AH$1849,6,FALSE)</f>
        <v>Electrosurgical Units, Monopolar/Bipolar</v>
      </c>
      <c r="RZE102" s="528" t="s">
        <v>213</v>
      </c>
      <c r="RZF102" s="529" t="str">
        <f>VLOOKUP(RZE102,[14]AssetDetails_UEM!$A$3:$AH$1849,6,FALSE)</f>
        <v>Electrosurgical Units, Monopolar/Bipolar</v>
      </c>
      <c r="RZG102" s="528" t="s">
        <v>213</v>
      </c>
      <c r="RZH102" s="529" t="str">
        <f>VLOOKUP(RZG102,[14]AssetDetails_UEM!$A$3:$AH$1849,6,FALSE)</f>
        <v>Electrosurgical Units, Monopolar/Bipolar</v>
      </c>
      <c r="RZI102" s="528" t="s">
        <v>213</v>
      </c>
      <c r="RZJ102" s="529" t="str">
        <f>VLOOKUP(RZI102,[14]AssetDetails_UEM!$A$3:$AH$1849,6,FALSE)</f>
        <v>Electrosurgical Units, Monopolar/Bipolar</v>
      </c>
      <c r="RZK102" s="528" t="s">
        <v>213</v>
      </c>
      <c r="RZL102" s="529" t="str">
        <f>VLOOKUP(RZK102,[14]AssetDetails_UEM!$A$3:$AH$1849,6,FALSE)</f>
        <v>Electrosurgical Units, Monopolar/Bipolar</v>
      </c>
      <c r="RZM102" s="528" t="s">
        <v>213</v>
      </c>
      <c r="RZN102" s="529" t="str">
        <f>VLOOKUP(RZM102,[14]AssetDetails_UEM!$A$3:$AH$1849,6,FALSE)</f>
        <v>Electrosurgical Units, Monopolar/Bipolar</v>
      </c>
      <c r="RZO102" s="528" t="s">
        <v>213</v>
      </c>
      <c r="RZP102" s="529" t="str">
        <f>VLOOKUP(RZO102,[14]AssetDetails_UEM!$A$3:$AH$1849,6,FALSE)</f>
        <v>Electrosurgical Units, Monopolar/Bipolar</v>
      </c>
      <c r="RZQ102" s="528" t="s">
        <v>213</v>
      </c>
      <c r="RZR102" s="529" t="str">
        <f>VLOOKUP(RZQ102,[14]AssetDetails_UEM!$A$3:$AH$1849,6,FALSE)</f>
        <v>Electrosurgical Units, Monopolar/Bipolar</v>
      </c>
      <c r="RZS102" s="528" t="s">
        <v>213</v>
      </c>
      <c r="RZT102" s="529" t="str">
        <f>VLOOKUP(RZS102,[14]AssetDetails_UEM!$A$3:$AH$1849,6,FALSE)</f>
        <v>Electrosurgical Units, Monopolar/Bipolar</v>
      </c>
      <c r="RZU102" s="528" t="s">
        <v>213</v>
      </c>
      <c r="RZV102" s="529" t="str">
        <f>VLOOKUP(RZU102,[14]AssetDetails_UEM!$A$3:$AH$1849,6,FALSE)</f>
        <v>Electrosurgical Units, Monopolar/Bipolar</v>
      </c>
      <c r="RZW102" s="528" t="s">
        <v>213</v>
      </c>
      <c r="RZX102" s="529" t="str">
        <f>VLOOKUP(RZW102,[14]AssetDetails_UEM!$A$3:$AH$1849,6,FALSE)</f>
        <v>Electrosurgical Units, Monopolar/Bipolar</v>
      </c>
      <c r="RZY102" s="528" t="s">
        <v>213</v>
      </c>
      <c r="RZZ102" s="529" t="str">
        <f>VLOOKUP(RZY102,[14]AssetDetails_UEM!$A$3:$AH$1849,6,FALSE)</f>
        <v>Electrosurgical Units, Monopolar/Bipolar</v>
      </c>
      <c r="SAA102" s="528" t="s">
        <v>213</v>
      </c>
      <c r="SAB102" s="529" t="str">
        <f>VLOOKUP(SAA102,[14]AssetDetails_UEM!$A$3:$AH$1849,6,FALSE)</f>
        <v>Electrosurgical Units, Monopolar/Bipolar</v>
      </c>
      <c r="SAC102" s="528" t="s">
        <v>213</v>
      </c>
      <c r="SAD102" s="529" t="str">
        <f>VLOOKUP(SAC102,[14]AssetDetails_UEM!$A$3:$AH$1849,6,FALSE)</f>
        <v>Electrosurgical Units, Monopolar/Bipolar</v>
      </c>
      <c r="SAE102" s="528" t="s">
        <v>213</v>
      </c>
      <c r="SAF102" s="529" t="str">
        <f>VLOOKUP(SAE102,[14]AssetDetails_UEM!$A$3:$AH$1849,6,FALSE)</f>
        <v>Electrosurgical Units, Monopolar/Bipolar</v>
      </c>
      <c r="SAG102" s="528" t="s">
        <v>213</v>
      </c>
      <c r="SAH102" s="529" t="str">
        <f>VLOOKUP(SAG102,[14]AssetDetails_UEM!$A$3:$AH$1849,6,FALSE)</f>
        <v>Electrosurgical Units, Monopolar/Bipolar</v>
      </c>
      <c r="SAI102" s="528" t="s">
        <v>213</v>
      </c>
      <c r="SAJ102" s="529" t="str">
        <f>VLOOKUP(SAI102,[14]AssetDetails_UEM!$A$3:$AH$1849,6,FALSE)</f>
        <v>Electrosurgical Units, Monopolar/Bipolar</v>
      </c>
      <c r="SAK102" s="528" t="s">
        <v>213</v>
      </c>
      <c r="SAL102" s="529" t="str">
        <f>VLOOKUP(SAK102,[14]AssetDetails_UEM!$A$3:$AH$1849,6,FALSE)</f>
        <v>Electrosurgical Units, Monopolar/Bipolar</v>
      </c>
      <c r="SAM102" s="528" t="s">
        <v>213</v>
      </c>
      <c r="SAN102" s="529" t="str">
        <f>VLOOKUP(SAM102,[14]AssetDetails_UEM!$A$3:$AH$1849,6,FALSE)</f>
        <v>Electrosurgical Units, Monopolar/Bipolar</v>
      </c>
      <c r="SAO102" s="528" t="s">
        <v>213</v>
      </c>
      <c r="SAP102" s="529" t="str">
        <f>VLOOKUP(SAO102,[14]AssetDetails_UEM!$A$3:$AH$1849,6,FALSE)</f>
        <v>Electrosurgical Units, Monopolar/Bipolar</v>
      </c>
      <c r="SAQ102" s="528" t="s">
        <v>213</v>
      </c>
      <c r="SAR102" s="529" t="str">
        <f>VLOOKUP(SAQ102,[14]AssetDetails_UEM!$A$3:$AH$1849,6,FALSE)</f>
        <v>Electrosurgical Units, Monopolar/Bipolar</v>
      </c>
      <c r="SAS102" s="528" t="s">
        <v>213</v>
      </c>
      <c r="SAT102" s="529" t="str">
        <f>VLOOKUP(SAS102,[14]AssetDetails_UEM!$A$3:$AH$1849,6,FALSE)</f>
        <v>Electrosurgical Units, Monopolar/Bipolar</v>
      </c>
      <c r="SAU102" s="528" t="s">
        <v>213</v>
      </c>
      <c r="SAV102" s="529" t="str">
        <f>VLOOKUP(SAU102,[14]AssetDetails_UEM!$A$3:$AH$1849,6,FALSE)</f>
        <v>Electrosurgical Units, Monopolar/Bipolar</v>
      </c>
      <c r="SAW102" s="528" t="s">
        <v>213</v>
      </c>
      <c r="SAX102" s="529" t="str">
        <f>VLOOKUP(SAW102,[14]AssetDetails_UEM!$A$3:$AH$1849,6,FALSE)</f>
        <v>Electrosurgical Units, Monopolar/Bipolar</v>
      </c>
      <c r="SAY102" s="528" t="s">
        <v>213</v>
      </c>
      <c r="SAZ102" s="529" t="str">
        <f>VLOOKUP(SAY102,[14]AssetDetails_UEM!$A$3:$AH$1849,6,FALSE)</f>
        <v>Electrosurgical Units, Monopolar/Bipolar</v>
      </c>
      <c r="SBA102" s="528" t="s">
        <v>213</v>
      </c>
      <c r="SBB102" s="529" t="str">
        <f>VLOOKUP(SBA102,[14]AssetDetails_UEM!$A$3:$AH$1849,6,FALSE)</f>
        <v>Electrosurgical Units, Monopolar/Bipolar</v>
      </c>
      <c r="SBC102" s="528" t="s">
        <v>213</v>
      </c>
      <c r="SBD102" s="529" t="str">
        <f>VLOOKUP(SBC102,[14]AssetDetails_UEM!$A$3:$AH$1849,6,FALSE)</f>
        <v>Electrosurgical Units, Monopolar/Bipolar</v>
      </c>
      <c r="SBE102" s="528" t="s">
        <v>213</v>
      </c>
      <c r="SBF102" s="529" t="str">
        <f>VLOOKUP(SBE102,[14]AssetDetails_UEM!$A$3:$AH$1849,6,FALSE)</f>
        <v>Electrosurgical Units, Monopolar/Bipolar</v>
      </c>
      <c r="SBG102" s="528" t="s">
        <v>213</v>
      </c>
      <c r="SBH102" s="529" t="str">
        <f>VLOOKUP(SBG102,[14]AssetDetails_UEM!$A$3:$AH$1849,6,FALSE)</f>
        <v>Electrosurgical Units, Monopolar/Bipolar</v>
      </c>
      <c r="SBI102" s="528" t="s">
        <v>213</v>
      </c>
      <c r="SBJ102" s="529" t="str">
        <f>VLOOKUP(SBI102,[14]AssetDetails_UEM!$A$3:$AH$1849,6,FALSE)</f>
        <v>Electrosurgical Units, Monopolar/Bipolar</v>
      </c>
      <c r="SBK102" s="528" t="s">
        <v>213</v>
      </c>
      <c r="SBL102" s="529" t="str">
        <f>VLOOKUP(SBK102,[14]AssetDetails_UEM!$A$3:$AH$1849,6,FALSE)</f>
        <v>Electrosurgical Units, Monopolar/Bipolar</v>
      </c>
      <c r="SBM102" s="528" t="s">
        <v>213</v>
      </c>
      <c r="SBN102" s="529" t="str">
        <f>VLOOKUP(SBM102,[14]AssetDetails_UEM!$A$3:$AH$1849,6,FALSE)</f>
        <v>Electrosurgical Units, Monopolar/Bipolar</v>
      </c>
      <c r="SBO102" s="528" t="s">
        <v>213</v>
      </c>
      <c r="SBP102" s="529" t="str">
        <f>VLOOKUP(SBO102,[14]AssetDetails_UEM!$A$3:$AH$1849,6,FALSE)</f>
        <v>Electrosurgical Units, Monopolar/Bipolar</v>
      </c>
      <c r="SBQ102" s="528" t="s">
        <v>213</v>
      </c>
      <c r="SBR102" s="529" t="str">
        <f>VLOOKUP(SBQ102,[14]AssetDetails_UEM!$A$3:$AH$1849,6,FALSE)</f>
        <v>Electrosurgical Units, Monopolar/Bipolar</v>
      </c>
      <c r="SBS102" s="528" t="s">
        <v>213</v>
      </c>
      <c r="SBT102" s="529" t="str">
        <f>VLOOKUP(SBS102,[14]AssetDetails_UEM!$A$3:$AH$1849,6,FALSE)</f>
        <v>Electrosurgical Units, Monopolar/Bipolar</v>
      </c>
      <c r="SBU102" s="528" t="s">
        <v>213</v>
      </c>
      <c r="SBV102" s="529" t="str">
        <f>VLOOKUP(SBU102,[14]AssetDetails_UEM!$A$3:$AH$1849,6,FALSE)</f>
        <v>Electrosurgical Units, Monopolar/Bipolar</v>
      </c>
      <c r="SBW102" s="528" t="s">
        <v>213</v>
      </c>
      <c r="SBX102" s="529" t="str">
        <f>VLOOKUP(SBW102,[14]AssetDetails_UEM!$A$3:$AH$1849,6,FALSE)</f>
        <v>Electrosurgical Units, Monopolar/Bipolar</v>
      </c>
      <c r="SBY102" s="528" t="s">
        <v>213</v>
      </c>
      <c r="SBZ102" s="529" t="str">
        <f>VLOOKUP(SBY102,[14]AssetDetails_UEM!$A$3:$AH$1849,6,FALSE)</f>
        <v>Electrosurgical Units, Monopolar/Bipolar</v>
      </c>
      <c r="SCA102" s="528" t="s">
        <v>213</v>
      </c>
      <c r="SCB102" s="529" t="str">
        <f>VLOOKUP(SCA102,[14]AssetDetails_UEM!$A$3:$AH$1849,6,FALSE)</f>
        <v>Electrosurgical Units, Monopolar/Bipolar</v>
      </c>
      <c r="SCC102" s="528" t="s">
        <v>213</v>
      </c>
      <c r="SCD102" s="529" t="str">
        <f>VLOOKUP(SCC102,[14]AssetDetails_UEM!$A$3:$AH$1849,6,FALSE)</f>
        <v>Electrosurgical Units, Monopolar/Bipolar</v>
      </c>
      <c r="SCE102" s="528" t="s">
        <v>213</v>
      </c>
      <c r="SCF102" s="529" t="str">
        <f>VLOOKUP(SCE102,[14]AssetDetails_UEM!$A$3:$AH$1849,6,FALSE)</f>
        <v>Electrosurgical Units, Monopolar/Bipolar</v>
      </c>
      <c r="SCG102" s="528" t="s">
        <v>213</v>
      </c>
      <c r="SCH102" s="529" t="str">
        <f>VLOOKUP(SCG102,[14]AssetDetails_UEM!$A$3:$AH$1849,6,FALSE)</f>
        <v>Electrosurgical Units, Monopolar/Bipolar</v>
      </c>
      <c r="SCI102" s="528" t="s">
        <v>213</v>
      </c>
      <c r="SCJ102" s="529" t="str">
        <f>VLOOKUP(SCI102,[14]AssetDetails_UEM!$A$3:$AH$1849,6,FALSE)</f>
        <v>Electrosurgical Units, Monopolar/Bipolar</v>
      </c>
      <c r="SCK102" s="528" t="s">
        <v>213</v>
      </c>
      <c r="SCL102" s="529" t="str">
        <f>VLOOKUP(SCK102,[14]AssetDetails_UEM!$A$3:$AH$1849,6,FALSE)</f>
        <v>Electrosurgical Units, Monopolar/Bipolar</v>
      </c>
      <c r="SCM102" s="528" t="s">
        <v>213</v>
      </c>
      <c r="SCN102" s="529" t="str">
        <f>VLOOKUP(SCM102,[14]AssetDetails_UEM!$A$3:$AH$1849,6,FALSE)</f>
        <v>Electrosurgical Units, Monopolar/Bipolar</v>
      </c>
      <c r="SCO102" s="528" t="s">
        <v>213</v>
      </c>
      <c r="SCP102" s="529" t="str">
        <f>VLOOKUP(SCO102,[14]AssetDetails_UEM!$A$3:$AH$1849,6,FALSE)</f>
        <v>Electrosurgical Units, Monopolar/Bipolar</v>
      </c>
      <c r="SCQ102" s="528" t="s">
        <v>213</v>
      </c>
      <c r="SCR102" s="529" t="str">
        <f>VLOOKUP(SCQ102,[14]AssetDetails_UEM!$A$3:$AH$1849,6,FALSE)</f>
        <v>Electrosurgical Units, Monopolar/Bipolar</v>
      </c>
      <c r="SCS102" s="528" t="s">
        <v>213</v>
      </c>
      <c r="SCT102" s="529" t="str">
        <f>VLOOKUP(SCS102,[14]AssetDetails_UEM!$A$3:$AH$1849,6,FALSE)</f>
        <v>Electrosurgical Units, Monopolar/Bipolar</v>
      </c>
      <c r="SCU102" s="528" t="s">
        <v>213</v>
      </c>
      <c r="SCV102" s="529" t="str">
        <f>VLOOKUP(SCU102,[14]AssetDetails_UEM!$A$3:$AH$1849,6,FALSE)</f>
        <v>Electrosurgical Units, Monopolar/Bipolar</v>
      </c>
      <c r="SCW102" s="528" t="s">
        <v>213</v>
      </c>
      <c r="SCX102" s="529" t="str">
        <f>VLOOKUP(SCW102,[14]AssetDetails_UEM!$A$3:$AH$1849,6,FALSE)</f>
        <v>Electrosurgical Units, Monopolar/Bipolar</v>
      </c>
      <c r="SCY102" s="528" t="s">
        <v>213</v>
      </c>
      <c r="SCZ102" s="529" t="str">
        <f>VLOOKUP(SCY102,[14]AssetDetails_UEM!$A$3:$AH$1849,6,FALSE)</f>
        <v>Electrosurgical Units, Monopolar/Bipolar</v>
      </c>
      <c r="SDA102" s="528" t="s">
        <v>213</v>
      </c>
      <c r="SDB102" s="529" t="str">
        <f>VLOOKUP(SDA102,[14]AssetDetails_UEM!$A$3:$AH$1849,6,FALSE)</f>
        <v>Electrosurgical Units, Monopolar/Bipolar</v>
      </c>
      <c r="SDC102" s="528" t="s">
        <v>213</v>
      </c>
      <c r="SDD102" s="529" t="str">
        <f>VLOOKUP(SDC102,[14]AssetDetails_UEM!$A$3:$AH$1849,6,FALSE)</f>
        <v>Electrosurgical Units, Monopolar/Bipolar</v>
      </c>
      <c r="SDE102" s="528" t="s">
        <v>213</v>
      </c>
      <c r="SDF102" s="529" t="str">
        <f>VLOOKUP(SDE102,[14]AssetDetails_UEM!$A$3:$AH$1849,6,FALSE)</f>
        <v>Electrosurgical Units, Monopolar/Bipolar</v>
      </c>
      <c r="SDG102" s="528" t="s">
        <v>213</v>
      </c>
      <c r="SDH102" s="529" t="str">
        <f>VLOOKUP(SDG102,[14]AssetDetails_UEM!$A$3:$AH$1849,6,FALSE)</f>
        <v>Electrosurgical Units, Monopolar/Bipolar</v>
      </c>
      <c r="SDI102" s="528" t="s">
        <v>213</v>
      </c>
      <c r="SDJ102" s="529" t="str">
        <f>VLOOKUP(SDI102,[14]AssetDetails_UEM!$A$3:$AH$1849,6,FALSE)</f>
        <v>Electrosurgical Units, Monopolar/Bipolar</v>
      </c>
      <c r="SDK102" s="528" t="s">
        <v>213</v>
      </c>
      <c r="SDL102" s="529" t="str">
        <f>VLOOKUP(SDK102,[14]AssetDetails_UEM!$A$3:$AH$1849,6,FALSE)</f>
        <v>Electrosurgical Units, Monopolar/Bipolar</v>
      </c>
      <c r="SDM102" s="528" t="s">
        <v>213</v>
      </c>
      <c r="SDN102" s="529" t="str">
        <f>VLOOKUP(SDM102,[14]AssetDetails_UEM!$A$3:$AH$1849,6,FALSE)</f>
        <v>Electrosurgical Units, Monopolar/Bipolar</v>
      </c>
      <c r="SDO102" s="528" t="s">
        <v>213</v>
      </c>
      <c r="SDP102" s="529" t="str">
        <f>VLOOKUP(SDO102,[14]AssetDetails_UEM!$A$3:$AH$1849,6,FALSE)</f>
        <v>Electrosurgical Units, Monopolar/Bipolar</v>
      </c>
      <c r="SDQ102" s="528" t="s">
        <v>213</v>
      </c>
      <c r="SDR102" s="529" t="str">
        <f>VLOOKUP(SDQ102,[14]AssetDetails_UEM!$A$3:$AH$1849,6,FALSE)</f>
        <v>Electrosurgical Units, Monopolar/Bipolar</v>
      </c>
      <c r="SDS102" s="528" t="s">
        <v>213</v>
      </c>
      <c r="SDT102" s="529" t="str">
        <f>VLOOKUP(SDS102,[14]AssetDetails_UEM!$A$3:$AH$1849,6,FALSE)</f>
        <v>Electrosurgical Units, Monopolar/Bipolar</v>
      </c>
      <c r="SDU102" s="528" t="s">
        <v>213</v>
      </c>
      <c r="SDV102" s="529" t="str">
        <f>VLOOKUP(SDU102,[14]AssetDetails_UEM!$A$3:$AH$1849,6,FALSE)</f>
        <v>Electrosurgical Units, Monopolar/Bipolar</v>
      </c>
      <c r="SDW102" s="528" t="s">
        <v>213</v>
      </c>
      <c r="SDX102" s="529" t="str">
        <f>VLOOKUP(SDW102,[14]AssetDetails_UEM!$A$3:$AH$1849,6,FALSE)</f>
        <v>Electrosurgical Units, Monopolar/Bipolar</v>
      </c>
      <c r="SDY102" s="528" t="s">
        <v>213</v>
      </c>
      <c r="SDZ102" s="529" t="str">
        <f>VLOOKUP(SDY102,[14]AssetDetails_UEM!$A$3:$AH$1849,6,FALSE)</f>
        <v>Electrosurgical Units, Monopolar/Bipolar</v>
      </c>
      <c r="SEA102" s="528" t="s">
        <v>213</v>
      </c>
      <c r="SEB102" s="529" t="str">
        <f>VLOOKUP(SEA102,[14]AssetDetails_UEM!$A$3:$AH$1849,6,FALSE)</f>
        <v>Electrosurgical Units, Monopolar/Bipolar</v>
      </c>
      <c r="SEC102" s="528" t="s">
        <v>213</v>
      </c>
      <c r="SED102" s="529" t="str">
        <f>VLOOKUP(SEC102,[14]AssetDetails_UEM!$A$3:$AH$1849,6,FALSE)</f>
        <v>Electrosurgical Units, Monopolar/Bipolar</v>
      </c>
      <c r="SEE102" s="528" t="s">
        <v>213</v>
      </c>
      <c r="SEF102" s="529" t="str">
        <f>VLOOKUP(SEE102,[14]AssetDetails_UEM!$A$3:$AH$1849,6,FALSE)</f>
        <v>Electrosurgical Units, Monopolar/Bipolar</v>
      </c>
      <c r="SEG102" s="528" t="s">
        <v>213</v>
      </c>
      <c r="SEH102" s="529" t="str">
        <f>VLOOKUP(SEG102,[14]AssetDetails_UEM!$A$3:$AH$1849,6,FALSE)</f>
        <v>Electrosurgical Units, Monopolar/Bipolar</v>
      </c>
      <c r="SEI102" s="528" t="s">
        <v>213</v>
      </c>
      <c r="SEJ102" s="529" t="str">
        <f>VLOOKUP(SEI102,[14]AssetDetails_UEM!$A$3:$AH$1849,6,FALSE)</f>
        <v>Electrosurgical Units, Monopolar/Bipolar</v>
      </c>
      <c r="SEK102" s="528" t="s">
        <v>213</v>
      </c>
      <c r="SEL102" s="529" t="str">
        <f>VLOOKUP(SEK102,[14]AssetDetails_UEM!$A$3:$AH$1849,6,FALSE)</f>
        <v>Electrosurgical Units, Monopolar/Bipolar</v>
      </c>
      <c r="SEM102" s="528" t="s">
        <v>213</v>
      </c>
      <c r="SEN102" s="529" t="str">
        <f>VLOOKUP(SEM102,[14]AssetDetails_UEM!$A$3:$AH$1849,6,FALSE)</f>
        <v>Electrosurgical Units, Monopolar/Bipolar</v>
      </c>
      <c r="SEO102" s="528" t="s">
        <v>213</v>
      </c>
      <c r="SEP102" s="529" t="str">
        <f>VLOOKUP(SEO102,[14]AssetDetails_UEM!$A$3:$AH$1849,6,FALSE)</f>
        <v>Electrosurgical Units, Monopolar/Bipolar</v>
      </c>
      <c r="SEQ102" s="528" t="s">
        <v>213</v>
      </c>
      <c r="SER102" s="529" t="str">
        <f>VLOOKUP(SEQ102,[14]AssetDetails_UEM!$A$3:$AH$1849,6,FALSE)</f>
        <v>Electrosurgical Units, Monopolar/Bipolar</v>
      </c>
      <c r="SES102" s="528" t="s">
        <v>213</v>
      </c>
      <c r="SET102" s="529" t="str">
        <f>VLOOKUP(SES102,[14]AssetDetails_UEM!$A$3:$AH$1849,6,FALSE)</f>
        <v>Electrosurgical Units, Monopolar/Bipolar</v>
      </c>
      <c r="SEU102" s="528" t="s">
        <v>213</v>
      </c>
      <c r="SEV102" s="529" t="str">
        <f>VLOOKUP(SEU102,[14]AssetDetails_UEM!$A$3:$AH$1849,6,FALSE)</f>
        <v>Electrosurgical Units, Monopolar/Bipolar</v>
      </c>
      <c r="SEW102" s="528" t="s">
        <v>213</v>
      </c>
      <c r="SEX102" s="529" t="str">
        <f>VLOOKUP(SEW102,[14]AssetDetails_UEM!$A$3:$AH$1849,6,FALSE)</f>
        <v>Electrosurgical Units, Monopolar/Bipolar</v>
      </c>
      <c r="SEY102" s="528" t="s">
        <v>213</v>
      </c>
      <c r="SEZ102" s="529" t="str">
        <f>VLOOKUP(SEY102,[14]AssetDetails_UEM!$A$3:$AH$1849,6,FALSE)</f>
        <v>Electrosurgical Units, Monopolar/Bipolar</v>
      </c>
      <c r="SFA102" s="528" t="s">
        <v>213</v>
      </c>
      <c r="SFB102" s="529" t="str">
        <f>VLOOKUP(SFA102,[14]AssetDetails_UEM!$A$3:$AH$1849,6,FALSE)</f>
        <v>Electrosurgical Units, Monopolar/Bipolar</v>
      </c>
      <c r="SFC102" s="528" t="s">
        <v>213</v>
      </c>
      <c r="SFD102" s="529" t="str">
        <f>VLOOKUP(SFC102,[14]AssetDetails_UEM!$A$3:$AH$1849,6,FALSE)</f>
        <v>Electrosurgical Units, Monopolar/Bipolar</v>
      </c>
      <c r="SFE102" s="528" t="s">
        <v>213</v>
      </c>
      <c r="SFF102" s="529" t="str">
        <f>VLOOKUP(SFE102,[14]AssetDetails_UEM!$A$3:$AH$1849,6,FALSE)</f>
        <v>Electrosurgical Units, Monopolar/Bipolar</v>
      </c>
      <c r="SFG102" s="528" t="s">
        <v>213</v>
      </c>
      <c r="SFH102" s="529" t="str">
        <f>VLOOKUP(SFG102,[14]AssetDetails_UEM!$A$3:$AH$1849,6,FALSE)</f>
        <v>Electrosurgical Units, Monopolar/Bipolar</v>
      </c>
      <c r="SFI102" s="528" t="s">
        <v>213</v>
      </c>
      <c r="SFJ102" s="529" t="str">
        <f>VLOOKUP(SFI102,[14]AssetDetails_UEM!$A$3:$AH$1849,6,FALSE)</f>
        <v>Electrosurgical Units, Monopolar/Bipolar</v>
      </c>
      <c r="SFK102" s="528" t="s">
        <v>213</v>
      </c>
      <c r="SFL102" s="529" t="str">
        <f>VLOOKUP(SFK102,[14]AssetDetails_UEM!$A$3:$AH$1849,6,FALSE)</f>
        <v>Electrosurgical Units, Monopolar/Bipolar</v>
      </c>
      <c r="SFM102" s="528" t="s">
        <v>213</v>
      </c>
      <c r="SFN102" s="529" t="str">
        <f>VLOOKUP(SFM102,[14]AssetDetails_UEM!$A$3:$AH$1849,6,FALSE)</f>
        <v>Electrosurgical Units, Monopolar/Bipolar</v>
      </c>
      <c r="SFO102" s="528" t="s">
        <v>213</v>
      </c>
      <c r="SFP102" s="529" t="str">
        <f>VLOOKUP(SFO102,[14]AssetDetails_UEM!$A$3:$AH$1849,6,FALSE)</f>
        <v>Electrosurgical Units, Monopolar/Bipolar</v>
      </c>
      <c r="SFQ102" s="528" t="s">
        <v>213</v>
      </c>
      <c r="SFR102" s="529" t="str">
        <f>VLOOKUP(SFQ102,[14]AssetDetails_UEM!$A$3:$AH$1849,6,FALSE)</f>
        <v>Electrosurgical Units, Monopolar/Bipolar</v>
      </c>
      <c r="SFS102" s="528" t="s">
        <v>213</v>
      </c>
      <c r="SFT102" s="529" t="str">
        <f>VLOOKUP(SFS102,[14]AssetDetails_UEM!$A$3:$AH$1849,6,FALSE)</f>
        <v>Electrosurgical Units, Monopolar/Bipolar</v>
      </c>
      <c r="SFU102" s="528" t="s">
        <v>213</v>
      </c>
      <c r="SFV102" s="529" t="str">
        <f>VLOOKUP(SFU102,[14]AssetDetails_UEM!$A$3:$AH$1849,6,FALSE)</f>
        <v>Electrosurgical Units, Monopolar/Bipolar</v>
      </c>
      <c r="SFW102" s="528" t="s">
        <v>213</v>
      </c>
      <c r="SFX102" s="529" t="str">
        <f>VLOOKUP(SFW102,[14]AssetDetails_UEM!$A$3:$AH$1849,6,FALSE)</f>
        <v>Electrosurgical Units, Monopolar/Bipolar</v>
      </c>
      <c r="SFY102" s="528" t="s">
        <v>213</v>
      </c>
      <c r="SFZ102" s="529" t="str">
        <f>VLOOKUP(SFY102,[14]AssetDetails_UEM!$A$3:$AH$1849,6,FALSE)</f>
        <v>Electrosurgical Units, Monopolar/Bipolar</v>
      </c>
      <c r="SGA102" s="528" t="s">
        <v>213</v>
      </c>
      <c r="SGB102" s="529" t="str">
        <f>VLOOKUP(SGA102,[14]AssetDetails_UEM!$A$3:$AH$1849,6,FALSE)</f>
        <v>Electrosurgical Units, Monopolar/Bipolar</v>
      </c>
      <c r="SGC102" s="528" t="s">
        <v>213</v>
      </c>
      <c r="SGD102" s="529" t="str">
        <f>VLOOKUP(SGC102,[14]AssetDetails_UEM!$A$3:$AH$1849,6,FALSE)</f>
        <v>Electrosurgical Units, Monopolar/Bipolar</v>
      </c>
      <c r="SGE102" s="528" t="s">
        <v>213</v>
      </c>
      <c r="SGF102" s="529" t="str">
        <f>VLOOKUP(SGE102,[14]AssetDetails_UEM!$A$3:$AH$1849,6,FALSE)</f>
        <v>Electrosurgical Units, Monopolar/Bipolar</v>
      </c>
      <c r="SGG102" s="528" t="s">
        <v>213</v>
      </c>
      <c r="SGH102" s="529" t="str">
        <f>VLOOKUP(SGG102,[14]AssetDetails_UEM!$A$3:$AH$1849,6,FALSE)</f>
        <v>Electrosurgical Units, Monopolar/Bipolar</v>
      </c>
      <c r="SGI102" s="528" t="s">
        <v>213</v>
      </c>
      <c r="SGJ102" s="529" t="str">
        <f>VLOOKUP(SGI102,[14]AssetDetails_UEM!$A$3:$AH$1849,6,FALSE)</f>
        <v>Electrosurgical Units, Monopolar/Bipolar</v>
      </c>
      <c r="SGK102" s="528" t="s">
        <v>213</v>
      </c>
      <c r="SGL102" s="529" t="str">
        <f>VLOOKUP(SGK102,[14]AssetDetails_UEM!$A$3:$AH$1849,6,FALSE)</f>
        <v>Electrosurgical Units, Monopolar/Bipolar</v>
      </c>
      <c r="SGM102" s="528" t="s">
        <v>213</v>
      </c>
      <c r="SGN102" s="529" t="str">
        <f>VLOOKUP(SGM102,[14]AssetDetails_UEM!$A$3:$AH$1849,6,FALSE)</f>
        <v>Electrosurgical Units, Monopolar/Bipolar</v>
      </c>
      <c r="SGO102" s="528" t="s">
        <v>213</v>
      </c>
      <c r="SGP102" s="529" t="str">
        <f>VLOOKUP(SGO102,[14]AssetDetails_UEM!$A$3:$AH$1849,6,FALSE)</f>
        <v>Electrosurgical Units, Monopolar/Bipolar</v>
      </c>
      <c r="SGQ102" s="528" t="s">
        <v>213</v>
      </c>
      <c r="SGR102" s="529" t="str">
        <f>VLOOKUP(SGQ102,[14]AssetDetails_UEM!$A$3:$AH$1849,6,FALSE)</f>
        <v>Electrosurgical Units, Monopolar/Bipolar</v>
      </c>
      <c r="SGS102" s="528" t="s">
        <v>213</v>
      </c>
      <c r="SGT102" s="529" t="str">
        <f>VLOOKUP(SGS102,[14]AssetDetails_UEM!$A$3:$AH$1849,6,FALSE)</f>
        <v>Electrosurgical Units, Monopolar/Bipolar</v>
      </c>
      <c r="SGU102" s="528" t="s">
        <v>213</v>
      </c>
      <c r="SGV102" s="529" t="str">
        <f>VLOOKUP(SGU102,[14]AssetDetails_UEM!$A$3:$AH$1849,6,FALSE)</f>
        <v>Electrosurgical Units, Monopolar/Bipolar</v>
      </c>
      <c r="SGW102" s="528" t="s">
        <v>213</v>
      </c>
      <c r="SGX102" s="529" t="str">
        <f>VLOOKUP(SGW102,[14]AssetDetails_UEM!$A$3:$AH$1849,6,FALSE)</f>
        <v>Electrosurgical Units, Monopolar/Bipolar</v>
      </c>
      <c r="SGY102" s="528" t="s">
        <v>213</v>
      </c>
      <c r="SGZ102" s="529" t="str">
        <f>VLOOKUP(SGY102,[14]AssetDetails_UEM!$A$3:$AH$1849,6,FALSE)</f>
        <v>Electrosurgical Units, Monopolar/Bipolar</v>
      </c>
      <c r="SHA102" s="528" t="s">
        <v>213</v>
      </c>
      <c r="SHB102" s="529" t="str">
        <f>VLOOKUP(SHA102,[14]AssetDetails_UEM!$A$3:$AH$1849,6,FALSE)</f>
        <v>Electrosurgical Units, Monopolar/Bipolar</v>
      </c>
      <c r="SHC102" s="528" t="s">
        <v>213</v>
      </c>
      <c r="SHD102" s="529" t="str">
        <f>VLOOKUP(SHC102,[14]AssetDetails_UEM!$A$3:$AH$1849,6,FALSE)</f>
        <v>Electrosurgical Units, Monopolar/Bipolar</v>
      </c>
      <c r="SHE102" s="528" t="s">
        <v>213</v>
      </c>
      <c r="SHF102" s="529" t="str">
        <f>VLOOKUP(SHE102,[14]AssetDetails_UEM!$A$3:$AH$1849,6,FALSE)</f>
        <v>Electrosurgical Units, Monopolar/Bipolar</v>
      </c>
      <c r="SHG102" s="528" t="s">
        <v>213</v>
      </c>
      <c r="SHH102" s="529" t="str">
        <f>VLOOKUP(SHG102,[14]AssetDetails_UEM!$A$3:$AH$1849,6,FALSE)</f>
        <v>Electrosurgical Units, Monopolar/Bipolar</v>
      </c>
      <c r="SHI102" s="528" t="s">
        <v>213</v>
      </c>
      <c r="SHJ102" s="529" t="str">
        <f>VLOOKUP(SHI102,[14]AssetDetails_UEM!$A$3:$AH$1849,6,FALSE)</f>
        <v>Electrosurgical Units, Monopolar/Bipolar</v>
      </c>
      <c r="SHK102" s="528" t="s">
        <v>213</v>
      </c>
      <c r="SHL102" s="529" t="str">
        <f>VLOOKUP(SHK102,[14]AssetDetails_UEM!$A$3:$AH$1849,6,FALSE)</f>
        <v>Electrosurgical Units, Monopolar/Bipolar</v>
      </c>
      <c r="SHM102" s="528" t="s">
        <v>213</v>
      </c>
      <c r="SHN102" s="529" t="str">
        <f>VLOOKUP(SHM102,[14]AssetDetails_UEM!$A$3:$AH$1849,6,FALSE)</f>
        <v>Electrosurgical Units, Monopolar/Bipolar</v>
      </c>
      <c r="SHO102" s="528" t="s">
        <v>213</v>
      </c>
      <c r="SHP102" s="529" t="str">
        <f>VLOOKUP(SHO102,[14]AssetDetails_UEM!$A$3:$AH$1849,6,FALSE)</f>
        <v>Electrosurgical Units, Monopolar/Bipolar</v>
      </c>
      <c r="SHQ102" s="528" t="s">
        <v>213</v>
      </c>
      <c r="SHR102" s="529" t="str">
        <f>VLOOKUP(SHQ102,[14]AssetDetails_UEM!$A$3:$AH$1849,6,FALSE)</f>
        <v>Electrosurgical Units, Monopolar/Bipolar</v>
      </c>
      <c r="SHS102" s="528" t="s">
        <v>213</v>
      </c>
      <c r="SHT102" s="529" t="str">
        <f>VLOOKUP(SHS102,[14]AssetDetails_UEM!$A$3:$AH$1849,6,FALSE)</f>
        <v>Electrosurgical Units, Monopolar/Bipolar</v>
      </c>
      <c r="SHU102" s="528" t="s">
        <v>213</v>
      </c>
      <c r="SHV102" s="529" t="str">
        <f>VLOOKUP(SHU102,[14]AssetDetails_UEM!$A$3:$AH$1849,6,FALSE)</f>
        <v>Electrosurgical Units, Monopolar/Bipolar</v>
      </c>
      <c r="SHW102" s="528" t="s">
        <v>213</v>
      </c>
      <c r="SHX102" s="529" t="str">
        <f>VLOOKUP(SHW102,[14]AssetDetails_UEM!$A$3:$AH$1849,6,FALSE)</f>
        <v>Electrosurgical Units, Monopolar/Bipolar</v>
      </c>
      <c r="SHY102" s="528" t="s">
        <v>213</v>
      </c>
      <c r="SHZ102" s="529" t="str">
        <f>VLOOKUP(SHY102,[14]AssetDetails_UEM!$A$3:$AH$1849,6,FALSE)</f>
        <v>Electrosurgical Units, Monopolar/Bipolar</v>
      </c>
      <c r="SIA102" s="528" t="s">
        <v>213</v>
      </c>
      <c r="SIB102" s="529" t="str">
        <f>VLOOKUP(SIA102,[14]AssetDetails_UEM!$A$3:$AH$1849,6,FALSE)</f>
        <v>Electrosurgical Units, Monopolar/Bipolar</v>
      </c>
      <c r="SIC102" s="528" t="s">
        <v>213</v>
      </c>
      <c r="SID102" s="529" t="str">
        <f>VLOOKUP(SIC102,[14]AssetDetails_UEM!$A$3:$AH$1849,6,FALSE)</f>
        <v>Electrosurgical Units, Monopolar/Bipolar</v>
      </c>
      <c r="SIE102" s="528" t="s">
        <v>213</v>
      </c>
      <c r="SIF102" s="529" t="str">
        <f>VLOOKUP(SIE102,[14]AssetDetails_UEM!$A$3:$AH$1849,6,FALSE)</f>
        <v>Electrosurgical Units, Monopolar/Bipolar</v>
      </c>
      <c r="SIG102" s="528" t="s">
        <v>213</v>
      </c>
      <c r="SIH102" s="529" t="str">
        <f>VLOOKUP(SIG102,[14]AssetDetails_UEM!$A$3:$AH$1849,6,FALSE)</f>
        <v>Electrosurgical Units, Monopolar/Bipolar</v>
      </c>
      <c r="SII102" s="528" t="s">
        <v>213</v>
      </c>
      <c r="SIJ102" s="529" t="str">
        <f>VLOOKUP(SII102,[14]AssetDetails_UEM!$A$3:$AH$1849,6,FALSE)</f>
        <v>Electrosurgical Units, Monopolar/Bipolar</v>
      </c>
      <c r="SIK102" s="528" t="s">
        <v>213</v>
      </c>
      <c r="SIL102" s="529" t="str">
        <f>VLOOKUP(SIK102,[14]AssetDetails_UEM!$A$3:$AH$1849,6,FALSE)</f>
        <v>Electrosurgical Units, Monopolar/Bipolar</v>
      </c>
      <c r="SIM102" s="528" t="s">
        <v>213</v>
      </c>
      <c r="SIN102" s="529" t="str">
        <f>VLOOKUP(SIM102,[14]AssetDetails_UEM!$A$3:$AH$1849,6,FALSE)</f>
        <v>Electrosurgical Units, Monopolar/Bipolar</v>
      </c>
      <c r="SIO102" s="528" t="s">
        <v>213</v>
      </c>
      <c r="SIP102" s="529" t="str">
        <f>VLOOKUP(SIO102,[14]AssetDetails_UEM!$A$3:$AH$1849,6,FALSE)</f>
        <v>Electrosurgical Units, Monopolar/Bipolar</v>
      </c>
      <c r="SIQ102" s="528" t="s">
        <v>213</v>
      </c>
      <c r="SIR102" s="529" t="str">
        <f>VLOOKUP(SIQ102,[14]AssetDetails_UEM!$A$3:$AH$1849,6,FALSE)</f>
        <v>Electrosurgical Units, Monopolar/Bipolar</v>
      </c>
      <c r="SIS102" s="528" t="s">
        <v>213</v>
      </c>
      <c r="SIT102" s="529" t="str">
        <f>VLOOKUP(SIS102,[14]AssetDetails_UEM!$A$3:$AH$1849,6,FALSE)</f>
        <v>Electrosurgical Units, Monopolar/Bipolar</v>
      </c>
      <c r="SIU102" s="528" t="s">
        <v>213</v>
      </c>
      <c r="SIV102" s="529" t="str">
        <f>VLOOKUP(SIU102,[14]AssetDetails_UEM!$A$3:$AH$1849,6,FALSE)</f>
        <v>Electrosurgical Units, Monopolar/Bipolar</v>
      </c>
      <c r="SIW102" s="528" t="s">
        <v>213</v>
      </c>
      <c r="SIX102" s="529" t="str">
        <f>VLOOKUP(SIW102,[14]AssetDetails_UEM!$A$3:$AH$1849,6,FALSE)</f>
        <v>Electrosurgical Units, Monopolar/Bipolar</v>
      </c>
      <c r="SIY102" s="528" t="s">
        <v>213</v>
      </c>
      <c r="SIZ102" s="529" t="str">
        <f>VLOOKUP(SIY102,[14]AssetDetails_UEM!$A$3:$AH$1849,6,FALSE)</f>
        <v>Electrosurgical Units, Monopolar/Bipolar</v>
      </c>
      <c r="SJA102" s="528" t="s">
        <v>213</v>
      </c>
      <c r="SJB102" s="529" t="str">
        <f>VLOOKUP(SJA102,[14]AssetDetails_UEM!$A$3:$AH$1849,6,FALSE)</f>
        <v>Electrosurgical Units, Monopolar/Bipolar</v>
      </c>
      <c r="SJC102" s="528" t="s">
        <v>213</v>
      </c>
      <c r="SJD102" s="529" t="str">
        <f>VLOOKUP(SJC102,[14]AssetDetails_UEM!$A$3:$AH$1849,6,FALSE)</f>
        <v>Electrosurgical Units, Monopolar/Bipolar</v>
      </c>
      <c r="SJE102" s="528" t="s">
        <v>213</v>
      </c>
      <c r="SJF102" s="529" t="str">
        <f>VLOOKUP(SJE102,[14]AssetDetails_UEM!$A$3:$AH$1849,6,FALSE)</f>
        <v>Electrosurgical Units, Monopolar/Bipolar</v>
      </c>
      <c r="SJG102" s="528" t="s">
        <v>213</v>
      </c>
      <c r="SJH102" s="529" t="str">
        <f>VLOOKUP(SJG102,[14]AssetDetails_UEM!$A$3:$AH$1849,6,FALSE)</f>
        <v>Electrosurgical Units, Monopolar/Bipolar</v>
      </c>
      <c r="SJI102" s="528" t="s">
        <v>213</v>
      </c>
      <c r="SJJ102" s="529" t="str">
        <f>VLOOKUP(SJI102,[14]AssetDetails_UEM!$A$3:$AH$1849,6,FALSE)</f>
        <v>Electrosurgical Units, Monopolar/Bipolar</v>
      </c>
      <c r="SJK102" s="528" t="s">
        <v>213</v>
      </c>
      <c r="SJL102" s="529" t="str">
        <f>VLOOKUP(SJK102,[14]AssetDetails_UEM!$A$3:$AH$1849,6,FALSE)</f>
        <v>Electrosurgical Units, Monopolar/Bipolar</v>
      </c>
      <c r="SJM102" s="528" t="s">
        <v>213</v>
      </c>
      <c r="SJN102" s="529" t="str">
        <f>VLOOKUP(SJM102,[14]AssetDetails_UEM!$A$3:$AH$1849,6,FALSE)</f>
        <v>Electrosurgical Units, Monopolar/Bipolar</v>
      </c>
      <c r="SJO102" s="528" t="s">
        <v>213</v>
      </c>
      <c r="SJP102" s="529" t="str">
        <f>VLOOKUP(SJO102,[14]AssetDetails_UEM!$A$3:$AH$1849,6,FALSE)</f>
        <v>Electrosurgical Units, Monopolar/Bipolar</v>
      </c>
      <c r="SJQ102" s="528" t="s">
        <v>213</v>
      </c>
      <c r="SJR102" s="529" t="str">
        <f>VLOOKUP(SJQ102,[14]AssetDetails_UEM!$A$3:$AH$1849,6,FALSE)</f>
        <v>Electrosurgical Units, Monopolar/Bipolar</v>
      </c>
      <c r="SJS102" s="528" t="s">
        <v>213</v>
      </c>
      <c r="SJT102" s="529" t="str">
        <f>VLOOKUP(SJS102,[14]AssetDetails_UEM!$A$3:$AH$1849,6,FALSE)</f>
        <v>Electrosurgical Units, Monopolar/Bipolar</v>
      </c>
      <c r="SJU102" s="528" t="s">
        <v>213</v>
      </c>
      <c r="SJV102" s="529" t="str">
        <f>VLOOKUP(SJU102,[14]AssetDetails_UEM!$A$3:$AH$1849,6,FALSE)</f>
        <v>Electrosurgical Units, Monopolar/Bipolar</v>
      </c>
      <c r="SJW102" s="528" t="s">
        <v>213</v>
      </c>
      <c r="SJX102" s="529" t="str">
        <f>VLOOKUP(SJW102,[14]AssetDetails_UEM!$A$3:$AH$1849,6,FALSE)</f>
        <v>Electrosurgical Units, Monopolar/Bipolar</v>
      </c>
      <c r="SJY102" s="528" t="s">
        <v>213</v>
      </c>
      <c r="SJZ102" s="529" t="str">
        <f>VLOOKUP(SJY102,[14]AssetDetails_UEM!$A$3:$AH$1849,6,FALSE)</f>
        <v>Electrosurgical Units, Monopolar/Bipolar</v>
      </c>
      <c r="SKA102" s="528" t="s">
        <v>213</v>
      </c>
      <c r="SKB102" s="529" t="str">
        <f>VLOOKUP(SKA102,[14]AssetDetails_UEM!$A$3:$AH$1849,6,FALSE)</f>
        <v>Electrosurgical Units, Monopolar/Bipolar</v>
      </c>
      <c r="SKC102" s="528" t="s">
        <v>213</v>
      </c>
      <c r="SKD102" s="529" t="str">
        <f>VLOOKUP(SKC102,[14]AssetDetails_UEM!$A$3:$AH$1849,6,FALSE)</f>
        <v>Electrosurgical Units, Monopolar/Bipolar</v>
      </c>
      <c r="SKE102" s="528" t="s">
        <v>213</v>
      </c>
      <c r="SKF102" s="529" t="str">
        <f>VLOOKUP(SKE102,[14]AssetDetails_UEM!$A$3:$AH$1849,6,FALSE)</f>
        <v>Electrosurgical Units, Monopolar/Bipolar</v>
      </c>
      <c r="SKG102" s="528" t="s">
        <v>213</v>
      </c>
      <c r="SKH102" s="529" t="str">
        <f>VLOOKUP(SKG102,[14]AssetDetails_UEM!$A$3:$AH$1849,6,FALSE)</f>
        <v>Electrosurgical Units, Monopolar/Bipolar</v>
      </c>
      <c r="SKI102" s="528" t="s">
        <v>213</v>
      </c>
      <c r="SKJ102" s="529" t="str">
        <f>VLOOKUP(SKI102,[14]AssetDetails_UEM!$A$3:$AH$1849,6,FALSE)</f>
        <v>Electrosurgical Units, Monopolar/Bipolar</v>
      </c>
      <c r="SKK102" s="528" t="s">
        <v>213</v>
      </c>
      <c r="SKL102" s="529" t="str">
        <f>VLOOKUP(SKK102,[14]AssetDetails_UEM!$A$3:$AH$1849,6,FALSE)</f>
        <v>Electrosurgical Units, Monopolar/Bipolar</v>
      </c>
      <c r="SKM102" s="528" t="s">
        <v>213</v>
      </c>
      <c r="SKN102" s="529" t="str">
        <f>VLOOKUP(SKM102,[14]AssetDetails_UEM!$A$3:$AH$1849,6,FALSE)</f>
        <v>Electrosurgical Units, Monopolar/Bipolar</v>
      </c>
      <c r="SKO102" s="528" t="s">
        <v>213</v>
      </c>
      <c r="SKP102" s="529" t="str">
        <f>VLOOKUP(SKO102,[14]AssetDetails_UEM!$A$3:$AH$1849,6,FALSE)</f>
        <v>Electrosurgical Units, Monopolar/Bipolar</v>
      </c>
      <c r="SKQ102" s="528" t="s">
        <v>213</v>
      </c>
      <c r="SKR102" s="529" t="str">
        <f>VLOOKUP(SKQ102,[14]AssetDetails_UEM!$A$3:$AH$1849,6,FALSE)</f>
        <v>Electrosurgical Units, Monopolar/Bipolar</v>
      </c>
      <c r="SKS102" s="528" t="s">
        <v>213</v>
      </c>
      <c r="SKT102" s="529" t="str">
        <f>VLOOKUP(SKS102,[14]AssetDetails_UEM!$A$3:$AH$1849,6,FALSE)</f>
        <v>Electrosurgical Units, Monopolar/Bipolar</v>
      </c>
      <c r="SKU102" s="528" t="s">
        <v>213</v>
      </c>
      <c r="SKV102" s="529" t="str">
        <f>VLOOKUP(SKU102,[14]AssetDetails_UEM!$A$3:$AH$1849,6,FALSE)</f>
        <v>Electrosurgical Units, Monopolar/Bipolar</v>
      </c>
      <c r="SKW102" s="528" t="s">
        <v>213</v>
      </c>
      <c r="SKX102" s="529" t="str">
        <f>VLOOKUP(SKW102,[14]AssetDetails_UEM!$A$3:$AH$1849,6,FALSE)</f>
        <v>Electrosurgical Units, Monopolar/Bipolar</v>
      </c>
      <c r="SKY102" s="528" t="s">
        <v>213</v>
      </c>
      <c r="SKZ102" s="529" t="str">
        <f>VLOOKUP(SKY102,[14]AssetDetails_UEM!$A$3:$AH$1849,6,FALSE)</f>
        <v>Electrosurgical Units, Monopolar/Bipolar</v>
      </c>
      <c r="SLA102" s="528" t="s">
        <v>213</v>
      </c>
      <c r="SLB102" s="529" t="str">
        <f>VLOOKUP(SLA102,[14]AssetDetails_UEM!$A$3:$AH$1849,6,FALSE)</f>
        <v>Electrosurgical Units, Monopolar/Bipolar</v>
      </c>
      <c r="SLC102" s="528" t="s">
        <v>213</v>
      </c>
      <c r="SLD102" s="529" t="str">
        <f>VLOOKUP(SLC102,[14]AssetDetails_UEM!$A$3:$AH$1849,6,FALSE)</f>
        <v>Electrosurgical Units, Monopolar/Bipolar</v>
      </c>
      <c r="SLE102" s="528" t="s">
        <v>213</v>
      </c>
      <c r="SLF102" s="529" t="str">
        <f>VLOOKUP(SLE102,[14]AssetDetails_UEM!$A$3:$AH$1849,6,FALSE)</f>
        <v>Electrosurgical Units, Monopolar/Bipolar</v>
      </c>
      <c r="SLG102" s="528" t="s">
        <v>213</v>
      </c>
      <c r="SLH102" s="529" t="str">
        <f>VLOOKUP(SLG102,[14]AssetDetails_UEM!$A$3:$AH$1849,6,FALSE)</f>
        <v>Electrosurgical Units, Monopolar/Bipolar</v>
      </c>
      <c r="SLI102" s="528" t="s">
        <v>213</v>
      </c>
      <c r="SLJ102" s="529" t="str">
        <f>VLOOKUP(SLI102,[14]AssetDetails_UEM!$A$3:$AH$1849,6,FALSE)</f>
        <v>Electrosurgical Units, Monopolar/Bipolar</v>
      </c>
      <c r="SLK102" s="528" t="s">
        <v>213</v>
      </c>
      <c r="SLL102" s="529" t="str">
        <f>VLOOKUP(SLK102,[14]AssetDetails_UEM!$A$3:$AH$1849,6,FALSE)</f>
        <v>Electrosurgical Units, Monopolar/Bipolar</v>
      </c>
      <c r="SLM102" s="528" t="s">
        <v>213</v>
      </c>
      <c r="SLN102" s="529" t="str">
        <f>VLOOKUP(SLM102,[14]AssetDetails_UEM!$A$3:$AH$1849,6,FALSE)</f>
        <v>Electrosurgical Units, Monopolar/Bipolar</v>
      </c>
      <c r="SLO102" s="528" t="s">
        <v>213</v>
      </c>
      <c r="SLP102" s="529" t="str">
        <f>VLOOKUP(SLO102,[14]AssetDetails_UEM!$A$3:$AH$1849,6,FALSE)</f>
        <v>Electrosurgical Units, Monopolar/Bipolar</v>
      </c>
      <c r="SLQ102" s="528" t="s">
        <v>213</v>
      </c>
      <c r="SLR102" s="529" t="str">
        <f>VLOOKUP(SLQ102,[14]AssetDetails_UEM!$A$3:$AH$1849,6,FALSE)</f>
        <v>Electrosurgical Units, Monopolar/Bipolar</v>
      </c>
      <c r="SLS102" s="528" t="s">
        <v>213</v>
      </c>
      <c r="SLT102" s="529" t="str">
        <f>VLOOKUP(SLS102,[14]AssetDetails_UEM!$A$3:$AH$1849,6,FALSE)</f>
        <v>Electrosurgical Units, Monopolar/Bipolar</v>
      </c>
      <c r="SLU102" s="528" t="s">
        <v>213</v>
      </c>
      <c r="SLV102" s="529" t="str">
        <f>VLOOKUP(SLU102,[14]AssetDetails_UEM!$A$3:$AH$1849,6,FALSE)</f>
        <v>Electrosurgical Units, Monopolar/Bipolar</v>
      </c>
      <c r="SLW102" s="528" t="s">
        <v>213</v>
      </c>
      <c r="SLX102" s="529" t="str">
        <f>VLOOKUP(SLW102,[14]AssetDetails_UEM!$A$3:$AH$1849,6,FALSE)</f>
        <v>Electrosurgical Units, Monopolar/Bipolar</v>
      </c>
      <c r="SLY102" s="528" t="s">
        <v>213</v>
      </c>
      <c r="SLZ102" s="529" t="str">
        <f>VLOOKUP(SLY102,[14]AssetDetails_UEM!$A$3:$AH$1849,6,FALSE)</f>
        <v>Electrosurgical Units, Monopolar/Bipolar</v>
      </c>
      <c r="SMA102" s="528" t="s">
        <v>213</v>
      </c>
      <c r="SMB102" s="529" t="str">
        <f>VLOOKUP(SMA102,[14]AssetDetails_UEM!$A$3:$AH$1849,6,FALSE)</f>
        <v>Electrosurgical Units, Monopolar/Bipolar</v>
      </c>
      <c r="SMC102" s="528" t="s">
        <v>213</v>
      </c>
      <c r="SMD102" s="529" t="str">
        <f>VLOOKUP(SMC102,[14]AssetDetails_UEM!$A$3:$AH$1849,6,FALSE)</f>
        <v>Electrosurgical Units, Monopolar/Bipolar</v>
      </c>
      <c r="SME102" s="528" t="s">
        <v>213</v>
      </c>
      <c r="SMF102" s="529" t="str">
        <f>VLOOKUP(SME102,[14]AssetDetails_UEM!$A$3:$AH$1849,6,FALSE)</f>
        <v>Electrosurgical Units, Monopolar/Bipolar</v>
      </c>
      <c r="SMG102" s="528" t="s">
        <v>213</v>
      </c>
      <c r="SMH102" s="529" t="str">
        <f>VLOOKUP(SMG102,[14]AssetDetails_UEM!$A$3:$AH$1849,6,FALSE)</f>
        <v>Electrosurgical Units, Monopolar/Bipolar</v>
      </c>
      <c r="SMI102" s="528" t="s">
        <v>213</v>
      </c>
      <c r="SMJ102" s="529" t="str">
        <f>VLOOKUP(SMI102,[14]AssetDetails_UEM!$A$3:$AH$1849,6,FALSE)</f>
        <v>Electrosurgical Units, Monopolar/Bipolar</v>
      </c>
      <c r="SMK102" s="528" t="s">
        <v>213</v>
      </c>
      <c r="SML102" s="529" t="str">
        <f>VLOOKUP(SMK102,[14]AssetDetails_UEM!$A$3:$AH$1849,6,FALSE)</f>
        <v>Electrosurgical Units, Monopolar/Bipolar</v>
      </c>
      <c r="SMM102" s="528" t="s">
        <v>213</v>
      </c>
      <c r="SMN102" s="529" t="str">
        <f>VLOOKUP(SMM102,[14]AssetDetails_UEM!$A$3:$AH$1849,6,FALSE)</f>
        <v>Electrosurgical Units, Monopolar/Bipolar</v>
      </c>
      <c r="SMO102" s="528" t="s">
        <v>213</v>
      </c>
      <c r="SMP102" s="529" t="str">
        <f>VLOOKUP(SMO102,[14]AssetDetails_UEM!$A$3:$AH$1849,6,FALSE)</f>
        <v>Electrosurgical Units, Monopolar/Bipolar</v>
      </c>
      <c r="SMQ102" s="528" t="s">
        <v>213</v>
      </c>
      <c r="SMR102" s="529" t="str">
        <f>VLOOKUP(SMQ102,[14]AssetDetails_UEM!$A$3:$AH$1849,6,FALSE)</f>
        <v>Electrosurgical Units, Monopolar/Bipolar</v>
      </c>
      <c r="SMS102" s="528" t="s">
        <v>213</v>
      </c>
      <c r="SMT102" s="529" t="str">
        <f>VLOOKUP(SMS102,[14]AssetDetails_UEM!$A$3:$AH$1849,6,FALSE)</f>
        <v>Electrosurgical Units, Monopolar/Bipolar</v>
      </c>
      <c r="SMU102" s="528" t="s">
        <v>213</v>
      </c>
      <c r="SMV102" s="529" t="str">
        <f>VLOOKUP(SMU102,[14]AssetDetails_UEM!$A$3:$AH$1849,6,FALSE)</f>
        <v>Electrosurgical Units, Monopolar/Bipolar</v>
      </c>
      <c r="SMW102" s="528" t="s">
        <v>213</v>
      </c>
      <c r="SMX102" s="529" t="str">
        <f>VLOOKUP(SMW102,[14]AssetDetails_UEM!$A$3:$AH$1849,6,FALSE)</f>
        <v>Electrosurgical Units, Monopolar/Bipolar</v>
      </c>
      <c r="SMY102" s="528" t="s">
        <v>213</v>
      </c>
      <c r="SMZ102" s="529" t="str">
        <f>VLOOKUP(SMY102,[14]AssetDetails_UEM!$A$3:$AH$1849,6,FALSE)</f>
        <v>Electrosurgical Units, Monopolar/Bipolar</v>
      </c>
      <c r="SNA102" s="528" t="s">
        <v>213</v>
      </c>
      <c r="SNB102" s="529" t="str">
        <f>VLOOKUP(SNA102,[14]AssetDetails_UEM!$A$3:$AH$1849,6,FALSE)</f>
        <v>Electrosurgical Units, Monopolar/Bipolar</v>
      </c>
      <c r="SNC102" s="528" t="s">
        <v>213</v>
      </c>
      <c r="SND102" s="529" t="str">
        <f>VLOOKUP(SNC102,[14]AssetDetails_UEM!$A$3:$AH$1849,6,FALSE)</f>
        <v>Electrosurgical Units, Monopolar/Bipolar</v>
      </c>
      <c r="SNE102" s="528" t="s">
        <v>213</v>
      </c>
      <c r="SNF102" s="529" t="str">
        <f>VLOOKUP(SNE102,[14]AssetDetails_UEM!$A$3:$AH$1849,6,FALSE)</f>
        <v>Electrosurgical Units, Monopolar/Bipolar</v>
      </c>
      <c r="SNG102" s="528" t="s">
        <v>213</v>
      </c>
      <c r="SNH102" s="529" t="str">
        <f>VLOOKUP(SNG102,[14]AssetDetails_UEM!$A$3:$AH$1849,6,FALSE)</f>
        <v>Electrosurgical Units, Monopolar/Bipolar</v>
      </c>
      <c r="SNI102" s="528" t="s">
        <v>213</v>
      </c>
      <c r="SNJ102" s="529" t="str">
        <f>VLOOKUP(SNI102,[14]AssetDetails_UEM!$A$3:$AH$1849,6,FALSE)</f>
        <v>Electrosurgical Units, Monopolar/Bipolar</v>
      </c>
      <c r="SNK102" s="528" t="s">
        <v>213</v>
      </c>
      <c r="SNL102" s="529" t="str">
        <f>VLOOKUP(SNK102,[14]AssetDetails_UEM!$A$3:$AH$1849,6,FALSE)</f>
        <v>Electrosurgical Units, Monopolar/Bipolar</v>
      </c>
      <c r="SNM102" s="528" t="s">
        <v>213</v>
      </c>
      <c r="SNN102" s="529" t="str">
        <f>VLOOKUP(SNM102,[14]AssetDetails_UEM!$A$3:$AH$1849,6,FALSE)</f>
        <v>Electrosurgical Units, Monopolar/Bipolar</v>
      </c>
      <c r="SNO102" s="528" t="s">
        <v>213</v>
      </c>
      <c r="SNP102" s="529" t="str">
        <f>VLOOKUP(SNO102,[14]AssetDetails_UEM!$A$3:$AH$1849,6,FALSE)</f>
        <v>Electrosurgical Units, Monopolar/Bipolar</v>
      </c>
      <c r="SNQ102" s="528" t="s">
        <v>213</v>
      </c>
      <c r="SNR102" s="529" t="str">
        <f>VLOOKUP(SNQ102,[14]AssetDetails_UEM!$A$3:$AH$1849,6,FALSE)</f>
        <v>Electrosurgical Units, Monopolar/Bipolar</v>
      </c>
      <c r="SNS102" s="528" t="s">
        <v>213</v>
      </c>
      <c r="SNT102" s="529" t="str">
        <f>VLOOKUP(SNS102,[14]AssetDetails_UEM!$A$3:$AH$1849,6,FALSE)</f>
        <v>Electrosurgical Units, Monopolar/Bipolar</v>
      </c>
      <c r="SNU102" s="528" t="s">
        <v>213</v>
      </c>
      <c r="SNV102" s="529" t="str">
        <f>VLOOKUP(SNU102,[14]AssetDetails_UEM!$A$3:$AH$1849,6,FALSE)</f>
        <v>Electrosurgical Units, Monopolar/Bipolar</v>
      </c>
      <c r="SNW102" s="528" t="s">
        <v>213</v>
      </c>
      <c r="SNX102" s="529" t="str">
        <f>VLOOKUP(SNW102,[14]AssetDetails_UEM!$A$3:$AH$1849,6,FALSE)</f>
        <v>Electrosurgical Units, Monopolar/Bipolar</v>
      </c>
      <c r="SNY102" s="528" t="s">
        <v>213</v>
      </c>
      <c r="SNZ102" s="529" t="str">
        <f>VLOOKUP(SNY102,[14]AssetDetails_UEM!$A$3:$AH$1849,6,FALSE)</f>
        <v>Electrosurgical Units, Monopolar/Bipolar</v>
      </c>
      <c r="SOA102" s="528" t="s">
        <v>213</v>
      </c>
      <c r="SOB102" s="529" t="str">
        <f>VLOOKUP(SOA102,[14]AssetDetails_UEM!$A$3:$AH$1849,6,FALSE)</f>
        <v>Electrosurgical Units, Monopolar/Bipolar</v>
      </c>
      <c r="SOC102" s="528" t="s">
        <v>213</v>
      </c>
      <c r="SOD102" s="529" t="str">
        <f>VLOOKUP(SOC102,[14]AssetDetails_UEM!$A$3:$AH$1849,6,FALSE)</f>
        <v>Electrosurgical Units, Monopolar/Bipolar</v>
      </c>
      <c r="SOE102" s="528" t="s">
        <v>213</v>
      </c>
      <c r="SOF102" s="529" t="str">
        <f>VLOOKUP(SOE102,[14]AssetDetails_UEM!$A$3:$AH$1849,6,FALSE)</f>
        <v>Electrosurgical Units, Monopolar/Bipolar</v>
      </c>
      <c r="SOG102" s="528" t="s">
        <v>213</v>
      </c>
      <c r="SOH102" s="529" t="str">
        <f>VLOOKUP(SOG102,[14]AssetDetails_UEM!$A$3:$AH$1849,6,FALSE)</f>
        <v>Electrosurgical Units, Monopolar/Bipolar</v>
      </c>
      <c r="SOI102" s="528" t="s">
        <v>213</v>
      </c>
      <c r="SOJ102" s="529" t="str">
        <f>VLOOKUP(SOI102,[14]AssetDetails_UEM!$A$3:$AH$1849,6,FALSE)</f>
        <v>Electrosurgical Units, Monopolar/Bipolar</v>
      </c>
      <c r="SOK102" s="528" t="s">
        <v>213</v>
      </c>
      <c r="SOL102" s="529" t="str">
        <f>VLOOKUP(SOK102,[14]AssetDetails_UEM!$A$3:$AH$1849,6,FALSE)</f>
        <v>Electrosurgical Units, Monopolar/Bipolar</v>
      </c>
      <c r="SOM102" s="528" t="s">
        <v>213</v>
      </c>
      <c r="SON102" s="529" t="str">
        <f>VLOOKUP(SOM102,[14]AssetDetails_UEM!$A$3:$AH$1849,6,FALSE)</f>
        <v>Electrosurgical Units, Monopolar/Bipolar</v>
      </c>
      <c r="SOO102" s="528" t="s">
        <v>213</v>
      </c>
      <c r="SOP102" s="529" t="str">
        <f>VLOOKUP(SOO102,[14]AssetDetails_UEM!$A$3:$AH$1849,6,FALSE)</f>
        <v>Electrosurgical Units, Monopolar/Bipolar</v>
      </c>
      <c r="SOQ102" s="528" t="s">
        <v>213</v>
      </c>
      <c r="SOR102" s="529" t="str">
        <f>VLOOKUP(SOQ102,[14]AssetDetails_UEM!$A$3:$AH$1849,6,FALSE)</f>
        <v>Electrosurgical Units, Monopolar/Bipolar</v>
      </c>
      <c r="SOS102" s="528" t="s">
        <v>213</v>
      </c>
      <c r="SOT102" s="529" t="str">
        <f>VLOOKUP(SOS102,[14]AssetDetails_UEM!$A$3:$AH$1849,6,FALSE)</f>
        <v>Electrosurgical Units, Monopolar/Bipolar</v>
      </c>
      <c r="SOU102" s="528" t="s">
        <v>213</v>
      </c>
      <c r="SOV102" s="529" t="str">
        <f>VLOOKUP(SOU102,[14]AssetDetails_UEM!$A$3:$AH$1849,6,FALSE)</f>
        <v>Electrosurgical Units, Monopolar/Bipolar</v>
      </c>
      <c r="SOW102" s="528" t="s">
        <v>213</v>
      </c>
      <c r="SOX102" s="529" t="str">
        <f>VLOOKUP(SOW102,[14]AssetDetails_UEM!$A$3:$AH$1849,6,FALSE)</f>
        <v>Electrosurgical Units, Monopolar/Bipolar</v>
      </c>
      <c r="SOY102" s="528" t="s">
        <v>213</v>
      </c>
      <c r="SOZ102" s="529" t="str">
        <f>VLOOKUP(SOY102,[14]AssetDetails_UEM!$A$3:$AH$1849,6,FALSE)</f>
        <v>Electrosurgical Units, Monopolar/Bipolar</v>
      </c>
      <c r="SPA102" s="528" t="s">
        <v>213</v>
      </c>
      <c r="SPB102" s="529" t="str">
        <f>VLOOKUP(SPA102,[14]AssetDetails_UEM!$A$3:$AH$1849,6,FALSE)</f>
        <v>Electrosurgical Units, Monopolar/Bipolar</v>
      </c>
      <c r="SPC102" s="528" t="s">
        <v>213</v>
      </c>
      <c r="SPD102" s="529" t="str">
        <f>VLOOKUP(SPC102,[14]AssetDetails_UEM!$A$3:$AH$1849,6,FALSE)</f>
        <v>Electrosurgical Units, Monopolar/Bipolar</v>
      </c>
      <c r="SPE102" s="528" t="s">
        <v>213</v>
      </c>
      <c r="SPF102" s="529" t="str">
        <f>VLOOKUP(SPE102,[14]AssetDetails_UEM!$A$3:$AH$1849,6,FALSE)</f>
        <v>Electrosurgical Units, Monopolar/Bipolar</v>
      </c>
      <c r="SPG102" s="528" t="s">
        <v>213</v>
      </c>
      <c r="SPH102" s="529" t="str">
        <f>VLOOKUP(SPG102,[14]AssetDetails_UEM!$A$3:$AH$1849,6,FALSE)</f>
        <v>Electrosurgical Units, Monopolar/Bipolar</v>
      </c>
      <c r="SPI102" s="528" t="s">
        <v>213</v>
      </c>
      <c r="SPJ102" s="529" t="str">
        <f>VLOOKUP(SPI102,[14]AssetDetails_UEM!$A$3:$AH$1849,6,FALSE)</f>
        <v>Electrosurgical Units, Monopolar/Bipolar</v>
      </c>
      <c r="SPK102" s="528" t="s">
        <v>213</v>
      </c>
      <c r="SPL102" s="529" t="str">
        <f>VLOOKUP(SPK102,[14]AssetDetails_UEM!$A$3:$AH$1849,6,FALSE)</f>
        <v>Electrosurgical Units, Monopolar/Bipolar</v>
      </c>
      <c r="SPM102" s="528" t="s">
        <v>213</v>
      </c>
      <c r="SPN102" s="529" t="str">
        <f>VLOOKUP(SPM102,[14]AssetDetails_UEM!$A$3:$AH$1849,6,FALSE)</f>
        <v>Electrosurgical Units, Monopolar/Bipolar</v>
      </c>
      <c r="SPO102" s="528" t="s">
        <v>213</v>
      </c>
      <c r="SPP102" s="529" t="str">
        <f>VLOOKUP(SPO102,[14]AssetDetails_UEM!$A$3:$AH$1849,6,FALSE)</f>
        <v>Electrosurgical Units, Monopolar/Bipolar</v>
      </c>
      <c r="SPQ102" s="528" t="s">
        <v>213</v>
      </c>
      <c r="SPR102" s="529" t="str">
        <f>VLOOKUP(SPQ102,[14]AssetDetails_UEM!$A$3:$AH$1849,6,FALSE)</f>
        <v>Electrosurgical Units, Monopolar/Bipolar</v>
      </c>
      <c r="SPS102" s="528" t="s">
        <v>213</v>
      </c>
      <c r="SPT102" s="529" t="str">
        <f>VLOOKUP(SPS102,[14]AssetDetails_UEM!$A$3:$AH$1849,6,FALSE)</f>
        <v>Electrosurgical Units, Monopolar/Bipolar</v>
      </c>
      <c r="SPU102" s="528" t="s">
        <v>213</v>
      </c>
      <c r="SPV102" s="529" t="str">
        <f>VLOOKUP(SPU102,[14]AssetDetails_UEM!$A$3:$AH$1849,6,FALSE)</f>
        <v>Electrosurgical Units, Monopolar/Bipolar</v>
      </c>
      <c r="SPW102" s="528" t="s">
        <v>213</v>
      </c>
      <c r="SPX102" s="529" t="str">
        <f>VLOOKUP(SPW102,[14]AssetDetails_UEM!$A$3:$AH$1849,6,FALSE)</f>
        <v>Electrosurgical Units, Monopolar/Bipolar</v>
      </c>
      <c r="SPY102" s="528" t="s">
        <v>213</v>
      </c>
      <c r="SPZ102" s="529" t="str">
        <f>VLOOKUP(SPY102,[14]AssetDetails_UEM!$A$3:$AH$1849,6,FALSE)</f>
        <v>Electrosurgical Units, Monopolar/Bipolar</v>
      </c>
      <c r="SQA102" s="528" t="s">
        <v>213</v>
      </c>
      <c r="SQB102" s="529" t="str">
        <f>VLOOKUP(SQA102,[14]AssetDetails_UEM!$A$3:$AH$1849,6,FALSE)</f>
        <v>Electrosurgical Units, Monopolar/Bipolar</v>
      </c>
      <c r="SQC102" s="528" t="s">
        <v>213</v>
      </c>
      <c r="SQD102" s="529" t="str">
        <f>VLOOKUP(SQC102,[14]AssetDetails_UEM!$A$3:$AH$1849,6,FALSE)</f>
        <v>Electrosurgical Units, Monopolar/Bipolar</v>
      </c>
      <c r="SQE102" s="528" t="s">
        <v>213</v>
      </c>
      <c r="SQF102" s="529" t="str">
        <f>VLOOKUP(SQE102,[14]AssetDetails_UEM!$A$3:$AH$1849,6,FALSE)</f>
        <v>Electrosurgical Units, Monopolar/Bipolar</v>
      </c>
      <c r="SQG102" s="528" t="s">
        <v>213</v>
      </c>
      <c r="SQH102" s="529" t="str">
        <f>VLOOKUP(SQG102,[14]AssetDetails_UEM!$A$3:$AH$1849,6,FALSE)</f>
        <v>Electrosurgical Units, Monopolar/Bipolar</v>
      </c>
      <c r="SQI102" s="528" t="s">
        <v>213</v>
      </c>
      <c r="SQJ102" s="529" t="str">
        <f>VLOOKUP(SQI102,[14]AssetDetails_UEM!$A$3:$AH$1849,6,FALSE)</f>
        <v>Electrosurgical Units, Monopolar/Bipolar</v>
      </c>
      <c r="SQK102" s="528" t="s">
        <v>213</v>
      </c>
      <c r="SQL102" s="529" t="str">
        <f>VLOOKUP(SQK102,[14]AssetDetails_UEM!$A$3:$AH$1849,6,FALSE)</f>
        <v>Electrosurgical Units, Monopolar/Bipolar</v>
      </c>
      <c r="SQM102" s="528" t="s">
        <v>213</v>
      </c>
      <c r="SQN102" s="529" t="str">
        <f>VLOOKUP(SQM102,[14]AssetDetails_UEM!$A$3:$AH$1849,6,FALSE)</f>
        <v>Electrosurgical Units, Monopolar/Bipolar</v>
      </c>
      <c r="SQO102" s="528" t="s">
        <v>213</v>
      </c>
      <c r="SQP102" s="529" t="str">
        <f>VLOOKUP(SQO102,[14]AssetDetails_UEM!$A$3:$AH$1849,6,FALSE)</f>
        <v>Electrosurgical Units, Monopolar/Bipolar</v>
      </c>
      <c r="SQQ102" s="528" t="s">
        <v>213</v>
      </c>
      <c r="SQR102" s="529" t="str">
        <f>VLOOKUP(SQQ102,[14]AssetDetails_UEM!$A$3:$AH$1849,6,FALSE)</f>
        <v>Electrosurgical Units, Monopolar/Bipolar</v>
      </c>
      <c r="SQS102" s="528" t="s">
        <v>213</v>
      </c>
      <c r="SQT102" s="529" t="str">
        <f>VLOOKUP(SQS102,[14]AssetDetails_UEM!$A$3:$AH$1849,6,FALSE)</f>
        <v>Electrosurgical Units, Monopolar/Bipolar</v>
      </c>
      <c r="SQU102" s="528" t="s">
        <v>213</v>
      </c>
      <c r="SQV102" s="529" t="str">
        <f>VLOOKUP(SQU102,[14]AssetDetails_UEM!$A$3:$AH$1849,6,FALSE)</f>
        <v>Electrosurgical Units, Monopolar/Bipolar</v>
      </c>
      <c r="SQW102" s="528" t="s">
        <v>213</v>
      </c>
      <c r="SQX102" s="529" t="str">
        <f>VLOOKUP(SQW102,[14]AssetDetails_UEM!$A$3:$AH$1849,6,FALSE)</f>
        <v>Electrosurgical Units, Monopolar/Bipolar</v>
      </c>
      <c r="SQY102" s="528" t="s">
        <v>213</v>
      </c>
      <c r="SQZ102" s="529" t="str">
        <f>VLOOKUP(SQY102,[14]AssetDetails_UEM!$A$3:$AH$1849,6,FALSE)</f>
        <v>Electrosurgical Units, Monopolar/Bipolar</v>
      </c>
      <c r="SRA102" s="528" t="s">
        <v>213</v>
      </c>
      <c r="SRB102" s="529" t="str">
        <f>VLOOKUP(SRA102,[14]AssetDetails_UEM!$A$3:$AH$1849,6,FALSE)</f>
        <v>Electrosurgical Units, Monopolar/Bipolar</v>
      </c>
      <c r="SRC102" s="528" t="s">
        <v>213</v>
      </c>
      <c r="SRD102" s="529" t="str">
        <f>VLOOKUP(SRC102,[14]AssetDetails_UEM!$A$3:$AH$1849,6,FALSE)</f>
        <v>Electrosurgical Units, Monopolar/Bipolar</v>
      </c>
      <c r="SRE102" s="528" t="s">
        <v>213</v>
      </c>
      <c r="SRF102" s="529" t="str">
        <f>VLOOKUP(SRE102,[14]AssetDetails_UEM!$A$3:$AH$1849,6,FALSE)</f>
        <v>Electrosurgical Units, Monopolar/Bipolar</v>
      </c>
      <c r="SRG102" s="528" t="s">
        <v>213</v>
      </c>
      <c r="SRH102" s="529" t="str">
        <f>VLOOKUP(SRG102,[14]AssetDetails_UEM!$A$3:$AH$1849,6,FALSE)</f>
        <v>Electrosurgical Units, Monopolar/Bipolar</v>
      </c>
      <c r="SRI102" s="528" t="s">
        <v>213</v>
      </c>
      <c r="SRJ102" s="529" t="str">
        <f>VLOOKUP(SRI102,[14]AssetDetails_UEM!$A$3:$AH$1849,6,FALSE)</f>
        <v>Electrosurgical Units, Monopolar/Bipolar</v>
      </c>
      <c r="SRK102" s="528" t="s">
        <v>213</v>
      </c>
      <c r="SRL102" s="529" t="str">
        <f>VLOOKUP(SRK102,[14]AssetDetails_UEM!$A$3:$AH$1849,6,FALSE)</f>
        <v>Electrosurgical Units, Monopolar/Bipolar</v>
      </c>
      <c r="SRM102" s="528" t="s">
        <v>213</v>
      </c>
      <c r="SRN102" s="529" t="str">
        <f>VLOOKUP(SRM102,[14]AssetDetails_UEM!$A$3:$AH$1849,6,FALSE)</f>
        <v>Electrosurgical Units, Monopolar/Bipolar</v>
      </c>
      <c r="SRO102" s="528" t="s">
        <v>213</v>
      </c>
      <c r="SRP102" s="529" t="str">
        <f>VLOOKUP(SRO102,[14]AssetDetails_UEM!$A$3:$AH$1849,6,FALSE)</f>
        <v>Electrosurgical Units, Monopolar/Bipolar</v>
      </c>
      <c r="SRQ102" s="528" t="s">
        <v>213</v>
      </c>
      <c r="SRR102" s="529" t="str">
        <f>VLOOKUP(SRQ102,[14]AssetDetails_UEM!$A$3:$AH$1849,6,FALSE)</f>
        <v>Electrosurgical Units, Monopolar/Bipolar</v>
      </c>
      <c r="SRS102" s="528" t="s">
        <v>213</v>
      </c>
      <c r="SRT102" s="529" t="str">
        <f>VLOOKUP(SRS102,[14]AssetDetails_UEM!$A$3:$AH$1849,6,FALSE)</f>
        <v>Electrosurgical Units, Monopolar/Bipolar</v>
      </c>
      <c r="SRU102" s="528" t="s">
        <v>213</v>
      </c>
      <c r="SRV102" s="529" t="str">
        <f>VLOOKUP(SRU102,[14]AssetDetails_UEM!$A$3:$AH$1849,6,FALSE)</f>
        <v>Electrosurgical Units, Monopolar/Bipolar</v>
      </c>
      <c r="SRW102" s="528" t="s">
        <v>213</v>
      </c>
      <c r="SRX102" s="529" t="str">
        <f>VLOOKUP(SRW102,[14]AssetDetails_UEM!$A$3:$AH$1849,6,FALSE)</f>
        <v>Electrosurgical Units, Monopolar/Bipolar</v>
      </c>
      <c r="SRY102" s="528" t="s">
        <v>213</v>
      </c>
      <c r="SRZ102" s="529" t="str">
        <f>VLOOKUP(SRY102,[14]AssetDetails_UEM!$A$3:$AH$1849,6,FALSE)</f>
        <v>Electrosurgical Units, Monopolar/Bipolar</v>
      </c>
      <c r="SSA102" s="528" t="s">
        <v>213</v>
      </c>
      <c r="SSB102" s="529" t="str">
        <f>VLOOKUP(SSA102,[14]AssetDetails_UEM!$A$3:$AH$1849,6,FALSE)</f>
        <v>Electrosurgical Units, Monopolar/Bipolar</v>
      </c>
      <c r="SSC102" s="528" t="s">
        <v>213</v>
      </c>
      <c r="SSD102" s="529" t="str">
        <f>VLOOKUP(SSC102,[14]AssetDetails_UEM!$A$3:$AH$1849,6,FALSE)</f>
        <v>Electrosurgical Units, Monopolar/Bipolar</v>
      </c>
      <c r="SSE102" s="528" t="s">
        <v>213</v>
      </c>
      <c r="SSF102" s="529" t="str">
        <f>VLOOKUP(SSE102,[14]AssetDetails_UEM!$A$3:$AH$1849,6,FALSE)</f>
        <v>Electrosurgical Units, Monopolar/Bipolar</v>
      </c>
      <c r="SSG102" s="528" t="s">
        <v>213</v>
      </c>
      <c r="SSH102" s="529" t="str">
        <f>VLOOKUP(SSG102,[14]AssetDetails_UEM!$A$3:$AH$1849,6,FALSE)</f>
        <v>Electrosurgical Units, Monopolar/Bipolar</v>
      </c>
      <c r="SSI102" s="528" t="s">
        <v>213</v>
      </c>
      <c r="SSJ102" s="529" t="str">
        <f>VLOOKUP(SSI102,[14]AssetDetails_UEM!$A$3:$AH$1849,6,FALSE)</f>
        <v>Electrosurgical Units, Monopolar/Bipolar</v>
      </c>
      <c r="SSK102" s="528" t="s">
        <v>213</v>
      </c>
      <c r="SSL102" s="529" t="str">
        <f>VLOOKUP(SSK102,[14]AssetDetails_UEM!$A$3:$AH$1849,6,FALSE)</f>
        <v>Electrosurgical Units, Monopolar/Bipolar</v>
      </c>
      <c r="SSM102" s="528" t="s">
        <v>213</v>
      </c>
      <c r="SSN102" s="529" t="str">
        <f>VLOOKUP(SSM102,[14]AssetDetails_UEM!$A$3:$AH$1849,6,FALSE)</f>
        <v>Electrosurgical Units, Monopolar/Bipolar</v>
      </c>
      <c r="SSO102" s="528" t="s">
        <v>213</v>
      </c>
      <c r="SSP102" s="529" t="str">
        <f>VLOOKUP(SSO102,[14]AssetDetails_UEM!$A$3:$AH$1849,6,FALSE)</f>
        <v>Electrosurgical Units, Monopolar/Bipolar</v>
      </c>
      <c r="SSQ102" s="528" t="s">
        <v>213</v>
      </c>
      <c r="SSR102" s="529" t="str">
        <f>VLOOKUP(SSQ102,[14]AssetDetails_UEM!$A$3:$AH$1849,6,FALSE)</f>
        <v>Electrosurgical Units, Monopolar/Bipolar</v>
      </c>
      <c r="SSS102" s="528" t="s">
        <v>213</v>
      </c>
      <c r="SST102" s="529" t="str">
        <f>VLOOKUP(SSS102,[14]AssetDetails_UEM!$A$3:$AH$1849,6,FALSE)</f>
        <v>Electrosurgical Units, Monopolar/Bipolar</v>
      </c>
      <c r="SSU102" s="528" t="s">
        <v>213</v>
      </c>
      <c r="SSV102" s="529" t="str">
        <f>VLOOKUP(SSU102,[14]AssetDetails_UEM!$A$3:$AH$1849,6,FALSE)</f>
        <v>Electrosurgical Units, Monopolar/Bipolar</v>
      </c>
      <c r="SSW102" s="528" t="s">
        <v>213</v>
      </c>
      <c r="SSX102" s="529" t="str">
        <f>VLOOKUP(SSW102,[14]AssetDetails_UEM!$A$3:$AH$1849,6,FALSE)</f>
        <v>Electrosurgical Units, Monopolar/Bipolar</v>
      </c>
      <c r="SSY102" s="528" t="s">
        <v>213</v>
      </c>
      <c r="SSZ102" s="529" t="str">
        <f>VLOOKUP(SSY102,[14]AssetDetails_UEM!$A$3:$AH$1849,6,FALSE)</f>
        <v>Electrosurgical Units, Monopolar/Bipolar</v>
      </c>
      <c r="STA102" s="528" t="s">
        <v>213</v>
      </c>
      <c r="STB102" s="529" t="str">
        <f>VLOOKUP(STA102,[14]AssetDetails_UEM!$A$3:$AH$1849,6,FALSE)</f>
        <v>Electrosurgical Units, Monopolar/Bipolar</v>
      </c>
      <c r="STC102" s="528" t="s">
        <v>213</v>
      </c>
      <c r="STD102" s="529" t="str">
        <f>VLOOKUP(STC102,[14]AssetDetails_UEM!$A$3:$AH$1849,6,FALSE)</f>
        <v>Electrosurgical Units, Monopolar/Bipolar</v>
      </c>
      <c r="STE102" s="528" t="s">
        <v>213</v>
      </c>
      <c r="STF102" s="529" t="str">
        <f>VLOOKUP(STE102,[14]AssetDetails_UEM!$A$3:$AH$1849,6,FALSE)</f>
        <v>Electrosurgical Units, Monopolar/Bipolar</v>
      </c>
      <c r="STG102" s="528" t="s">
        <v>213</v>
      </c>
      <c r="STH102" s="529" t="str">
        <f>VLOOKUP(STG102,[14]AssetDetails_UEM!$A$3:$AH$1849,6,FALSE)</f>
        <v>Electrosurgical Units, Monopolar/Bipolar</v>
      </c>
      <c r="STI102" s="528" t="s">
        <v>213</v>
      </c>
      <c r="STJ102" s="529" t="str">
        <f>VLOOKUP(STI102,[14]AssetDetails_UEM!$A$3:$AH$1849,6,FALSE)</f>
        <v>Electrosurgical Units, Monopolar/Bipolar</v>
      </c>
      <c r="STK102" s="528" t="s">
        <v>213</v>
      </c>
      <c r="STL102" s="529" t="str">
        <f>VLOOKUP(STK102,[14]AssetDetails_UEM!$A$3:$AH$1849,6,FALSE)</f>
        <v>Electrosurgical Units, Monopolar/Bipolar</v>
      </c>
      <c r="STM102" s="528" t="s">
        <v>213</v>
      </c>
      <c r="STN102" s="529" t="str">
        <f>VLOOKUP(STM102,[14]AssetDetails_UEM!$A$3:$AH$1849,6,FALSE)</f>
        <v>Electrosurgical Units, Monopolar/Bipolar</v>
      </c>
      <c r="STO102" s="528" t="s">
        <v>213</v>
      </c>
      <c r="STP102" s="529" t="str">
        <f>VLOOKUP(STO102,[14]AssetDetails_UEM!$A$3:$AH$1849,6,FALSE)</f>
        <v>Electrosurgical Units, Monopolar/Bipolar</v>
      </c>
      <c r="STQ102" s="528" t="s">
        <v>213</v>
      </c>
      <c r="STR102" s="529" t="str">
        <f>VLOOKUP(STQ102,[14]AssetDetails_UEM!$A$3:$AH$1849,6,FALSE)</f>
        <v>Electrosurgical Units, Monopolar/Bipolar</v>
      </c>
      <c r="STS102" s="528" t="s">
        <v>213</v>
      </c>
      <c r="STT102" s="529" t="str">
        <f>VLOOKUP(STS102,[14]AssetDetails_UEM!$A$3:$AH$1849,6,FALSE)</f>
        <v>Electrosurgical Units, Monopolar/Bipolar</v>
      </c>
      <c r="STU102" s="528" t="s">
        <v>213</v>
      </c>
      <c r="STV102" s="529" t="str">
        <f>VLOOKUP(STU102,[14]AssetDetails_UEM!$A$3:$AH$1849,6,FALSE)</f>
        <v>Electrosurgical Units, Monopolar/Bipolar</v>
      </c>
      <c r="STW102" s="528" t="s">
        <v>213</v>
      </c>
      <c r="STX102" s="529" t="str">
        <f>VLOOKUP(STW102,[14]AssetDetails_UEM!$A$3:$AH$1849,6,FALSE)</f>
        <v>Electrosurgical Units, Monopolar/Bipolar</v>
      </c>
      <c r="STY102" s="528" t="s">
        <v>213</v>
      </c>
      <c r="STZ102" s="529" t="str">
        <f>VLOOKUP(STY102,[14]AssetDetails_UEM!$A$3:$AH$1849,6,FALSE)</f>
        <v>Electrosurgical Units, Monopolar/Bipolar</v>
      </c>
      <c r="SUA102" s="528" t="s">
        <v>213</v>
      </c>
      <c r="SUB102" s="529" t="str">
        <f>VLOOKUP(SUA102,[14]AssetDetails_UEM!$A$3:$AH$1849,6,FALSE)</f>
        <v>Electrosurgical Units, Monopolar/Bipolar</v>
      </c>
      <c r="SUC102" s="528" t="s">
        <v>213</v>
      </c>
      <c r="SUD102" s="529" t="str">
        <f>VLOOKUP(SUC102,[14]AssetDetails_UEM!$A$3:$AH$1849,6,FALSE)</f>
        <v>Electrosurgical Units, Monopolar/Bipolar</v>
      </c>
      <c r="SUE102" s="528" t="s">
        <v>213</v>
      </c>
      <c r="SUF102" s="529" t="str">
        <f>VLOOKUP(SUE102,[14]AssetDetails_UEM!$A$3:$AH$1849,6,FALSE)</f>
        <v>Electrosurgical Units, Monopolar/Bipolar</v>
      </c>
      <c r="SUG102" s="528" t="s">
        <v>213</v>
      </c>
      <c r="SUH102" s="529" t="str">
        <f>VLOOKUP(SUG102,[14]AssetDetails_UEM!$A$3:$AH$1849,6,FALSE)</f>
        <v>Electrosurgical Units, Monopolar/Bipolar</v>
      </c>
      <c r="SUI102" s="528" t="s">
        <v>213</v>
      </c>
      <c r="SUJ102" s="529" t="str">
        <f>VLOOKUP(SUI102,[14]AssetDetails_UEM!$A$3:$AH$1849,6,FALSE)</f>
        <v>Electrosurgical Units, Monopolar/Bipolar</v>
      </c>
      <c r="SUK102" s="528" t="s">
        <v>213</v>
      </c>
      <c r="SUL102" s="529" t="str">
        <f>VLOOKUP(SUK102,[14]AssetDetails_UEM!$A$3:$AH$1849,6,FALSE)</f>
        <v>Electrosurgical Units, Monopolar/Bipolar</v>
      </c>
      <c r="SUM102" s="528" t="s">
        <v>213</v>
      </c>
      <c r="SUN102" s="529" t="str">
        <f>VLOOKUP(SUM102,[14]AssetDetails_UEM!$A$3:$AH$1849,6,FALSE)</f>
        <v>Electrosurgical Units, Monopolar/Bipolar</v>
      </c>
      <c r="SUO102" s="528" t="s">
        <v>213</v>
      </c>
      <c r="SUP102" s="529" t="str">
        <f>VLOOKUP(SUO102,[14]AssetDetails_UEM!$A$3:$AH$1849,6,FALSE)</f>
        <v>Electrosurgical Units, Monopolar/Bipolar</v>
      </c>
      <c r="SUQ102" s="528" t="s">
        <v>213</v>
      </c>
      <c r="SUR102" s="529" t="str">
        <f>VLOOKUP(SUQ102,[14]AssetDetails_UEM!$A$3:$AH$1849,6,FALSE)</f>
        <v>Electrosurgical Units, Monopolar/Bipolar</v>
      </c>
      <c r="SUS102" s="528" t="s">
        <v>213</v>
      </c>
      <c r="SUT102" s="529" t="str">
        <f>VLOOKUP(SUS102,[14]AssetDetails_UEM!$A$3:$AH$1849,6,FALSE)</f>
        <v>Electrosurgical Units, Monopolar/Bipolar</v>
      </c>
      <c r="SUU102" s="528" t="s">
        <v>213</v>
      </c>
      <c r="SUV102" s="529" t="str">
        <f>VLOOKUP(SUU102,[14]AssetDetails_UEM!$A$3:$AH$1849,6,FALSE)</f>
        <v>Electrosurgical Units, Monopolar/Bipolar</v>
      </c>
      <c r="SUW102" s="528" t="s">
        <v>213</v>
      </c>
      <c r="SUX102" s="529" t="str">
        <f>VLOOKUP(SUW102,[14]AssetDetails_UEM!$A$3:$AH$1849,6,FALSE)</f>
        <v>Electrosurgical Units, Monopolar/Bipolar</v>
      </c>
      <c r="SUY102" s="528" t="s">
        <v>213</v>
      </c>
      <c r="SUZ102" s="529" t="str">
        <f>VLOOKUP(SUY102,[14]AssetDetails_UEM!$A$3:$AH$1849,6,FALSE)</f>
        <v>Electrosurgical Units, Monopolar/Bipolar</v>
      </c>
      <c r="SVA102" s="528" t="s">
        <v>213</v>
      </c>
      <c r="SVB102" s="529" t="str">
        <f>VLOOKUP(SVA102,[14]AssetDetails_UEM!$A$3:$AH$1849,6,FALSE)</f>
        <v>Electrosurgical Units, Monopolar/Bipolar</v>
      </c>
      <c r="SVC102" s="528" t="s">
        <v>213</v>
      </c>
      <c r="SVD102" s="529" t="str">
        <f>VLOOKUP(SVC102,[14]AssetDetails_UEM!$A$3:$AH$1849,6,FALSE)</f>
        <v>Electrosurgical Units, Monopolar/Bipolar</v>
      </c>
      <c r="SVE102" s="528" t="s">
        <v>213</v>
      </c>
      <c r="SVF102" s="529" t="str">
        <f>VLOOKUP(SVE102,[14]AssetDetails_UEM!$A$3:$AH$1849,6,FALSE)</f>
        <v>Electrosurgical Units, Monopolar/Bipolar</v>
      </c>
      <c r="SVG102" s="528" t="s">
        <v>213</v>
      </c>
      <c r="SVH102" s="529" t="str">
        <f>VLOOKUP(SVG102,[14]AssetDetails_UEM!$A$3:$AH$1849,6,FALSE)</f>
        <v>Electrosurgical Units, Monopolar/Bipolar</v>
      </c>
      <c r="SVI102" s="528" t="s">
        <v>213</v>
      </c>
      <c r="SVJ102" s="529" t="str">
        <f>VLOOKUP(SVI102,[14]AssetDetails_UEM!$A$3:$AH$1849,6,FALSE)</f>
        <v>Electrosurgical Units, Monopolar/Bipolar</v>
      </c>
      <c r="SVK102" s="528" t="s">
        <v>213</v>
      </c>
      <c r="SVL102" s="529" t="str">
        <f>VLOOKUP(SVK102,[14]AssetDetails_UEM!$A$3:$AH$1849,6,FALSE)</f>
        <v>Electrosurgical Units, Monopolar/Bipolar</v>
      </c>
      <c r="SVM102" s="528" t="s">
        <v>213</v>
      </c>
      <c r="SVN102" s="529" t="str">
        <f>VLOOKUP(SVM102,[14]AssetDetails_UEM!$A$3:$AH$1849,6,FALSE)</f>
        <v>Electrosurgical Units, Monopolar/Bipolar</v>
      </c>
      <c r="SVO102" s="528" t="s">
        <v>213</v>
      </c>
      <c r="SVP102" s="529" t="str">
        <f>VLOOKUP(SVO102,[14]AssetDetails_UEM!$A$3:$AH$1849,6,FALSE)</f>
        <v>Electrosurgical Units, Monopolar/Bipolar</v>
      </c>
      <c r="SVQ102" s="528" t="s">
        <v>213</v>
      </c>
      <c r="SVR102" s="529" t="str">
        <f>VLOOKUP(SVQ102,[14]AssetDetails_UEM!$A$3:$AH$1849,6,FALSE)</f>
        <v>Electrosurgical Units, Monopolar/Bipolar</v>
      </c>
      <c r="SVS102" s="528" t="s">
        <v>213</v>
      </c>
      <c r="SVT102" s="529" t="str">
        <f>VLOOKUP(SVS102,[14]AssetDetails_UEM!$A$3:$AH$1849,6,FALSE)</f>
        <v>Electrosurgical Units, Monopolar/Bipolar</v>
      </c>
      <c r="SVU102" s="528" t="s">
        <v>213</v>
      </c>
      <c r="SVV102" s="529" t="str">
        <f>VLOOKUP(SVU102,[14]AssetDetails_UEM!$A$3:$AH$1849,6,FALSE)</f>
        <v>Electrosurgical Units, Monopolar/Bipolar</v>
      </c>
      <c r="SVW102" s="528" t="s">
        <v>213</v>
      </c>
      <c r="SVX102" s="529" t="str">
        <f>VLOOKUP(SVW102,[14]AssetDetails_UEM!$A$3:$AH$1849,6,FALSE)</f>
        <v>Electrosurgical Units, Monopolar/Bipolar</v>
      </c>
      <c r="SVY102" s="528" t="s">
        <v>213</v>
      </c>
      <c r="SVZ102" s="529" t="str">
        <f>VLOOKUP(SVY102,[14]AssetDetails_UEM!$A$3:$AH$1849,6,FALSE)</f>
        <v>Electrosurgical Units, Monopolar/Bipolar</v>
      </c>
      <c r="SWA102" s="528" t="s">
        <v>213</v>
      </c>
      <c r="SWB102" s="529" t="str">
        <f>VLOOKUP(SWA102,[14]AssetDetails_UEM!$A$3:$AH$1849,6,FALSE)</f>
        <v>Electrosurgical Units, Monopolar/Bipolar</v>
      </c>
      <c r="SWC102" s="528" t="s">
        <v>213</v>
      </c>
      <c r="SWD102" s="529" t="str">
        <f>VLOOKUP(SWC102,[14]AssetDetails_UEM!$A$3:$AH$1849,6,FALSE)</f>
        <v>Electrosurgical Units, Monopolar/Bipolar</v>
      </c>
      <c r="SWE102" s="528" t="s">
        <v>213</v>
      </c>
      <c r="SWF102" s="529" t="str">
        <f>VLOOKUP(SWE102,[14]AssetDetails_UEM!$A$3:$AH$1849,6,FALSE)</f>
        <v>Electrosurgical Units, Monopolar/Bipolar</v>
      </c>
      <c r="SWG102" s="528" t="s">
        <v>213</v>
      </c>
      <c r="SWH102" s="529" t="str">
        <f>VLOOKUP(SWG102,[14]AssetDetails_UEM!$A$3:$AH$1849,6,FALSE)</f>
        <v>Electrosurgical Units, Monopolar/Bipolar</v>
      </c>
      <c r="SWI102" s="528" t="s">
        <v>213</v>
      </c>
      <c r="SWJ102" s="529" t="str">
        <f>VLOOKUP(SWI102,[14]AssetDetails_UEM!$A$3:$AH$1849,6,FALSE)</f>
        <v>Electrosurgical Units, Monopolar/Bipolar</v>
      </c>
      <c r="SWK102" s="528" t="s">
        <v>213</v>
      </c>
      <c r="SWL102" s="529" t="str">
        <f>VLOOKUP(SWK102,[14]AssetDetails_UEM!$A$3:$AH$1849,6,FALSE)</f>
        <v>Electrosurgical Units, Monopolar/Bipolar</v>
      </c>
      <c r="SWM102" s="528" t="s">
        <v>213</v>
      </c>
      <c r="SWN102" s="529" t="str">
        <f>VLOOKUP(SWM102,[14]AssetDetails_UEM!$A$3:$AH$1849,6,FALSE)</f>
        <v>Electrosurgical Units, Monopolar/Bipolar</v>
      </c>
      <c r="SWO102" s="528" t="s">
        <v>213</v>
      </c>
      <c r="SWP102" s="529" t="str">
        <f>VLOOKUP(SWO102,[14]AssetDetails_UEM!$A$3:$AH$1849,6,FALSE)</f>
        <v>Electrosurgical Units, Monopolar/Bipolar</v>
      </c>
      <c r="SWQ102" s="528" t="s">
        <v>213</v>
      </c>
      <c r="SWR102" s="529" t="str">
        <f>VLOOKUP(SWQ102,[14]AssetDetails_UEM!$A$3:$AH$1849,6,FALSE)</f>
        <v>Electrosurgical Units, Monopolar/Bipolar</v>
      </c>
      <c r="SWS102" s="528" t="s">
        <v>213</v>
      </c>
      <c r="SWT102" s="529" t="str">
        <f>VLOOKUP(SWS102,[14]AssetDetails_UEM!$A$3:$AH$1849,6,FALSE)</f>
        <v>Electrosurgical Units, Monopolar/Bipolar</v>
      </c>
      <c r="SWU102" s="528" t="s">
        <v>213</v>
      </c>
      <c r="SWV102" s="529" t="str">
        <f>VLOOKUP(SWU102,[14]AssetDetails_UEM!$A$3:$AH$1849,6,FALSE)</f>
        <v>Electrosurgical Units, Monopolar/Bipolar</v>
      </c>
      <c r="SWW102" s="528" t="s">
        <v>213</v>
      </c>
      <c r="SWX102" s="529" t="str">
        <f>VLOOKUP(SWW102,[14]AssetDetails_UEM!$A$3:$AH$1849,6,FALSE)</f>
        <v>Electrosurgical Units, Monopolar/Bipolar</v>
      </c>
      <c r="SWY102" s="528" t="s">
        <v>213</v>
      </c>
      <c r="SWZ102" s="529" t="str">
        <f>VLOOKUP(SWY102,[14]AssetDetails_UEM!$A$3:$AH$1849,6,FALSE)</f>
        <v>Electrosurgical Units, Monopolar/Bipolar</v>
      </c>
      <c r="SXA102" s="528" t="s">
        <v>213</v>
      </c>
      <c r="SXB102" s="529" t="str">
        <f>VLOOKUP(SXA102,[14]AssetDetails_UEM!$A$3:$AH$1849,6,FALSE)</f>
        <v>Electrosurgical Units, Monopolar/Bipolar</v>
      </c>
      <c r="SXC102" s="528" t="s">
        <v>213</v>
      </c>
      <c r="SXD102" s="529" t="str">
        <f>VLOOKUP(SXC102,[14]AssetDetails_UEM!$A$3:$AH$1849,6,FALSE)</f>
        <v>Electrosurgical Units, Monopolar/Bipolar</v>
      </c>
      <c r="SXE102" s="528" t="s">
        <v>213</v>
      </c>
      <c r="SXF102" s="529" t="str">
        <f>VLOOKUP(SXE102,[14]AssetDetails_UEM!$A$3:$AH$1849,6,FALSE)</f>
        <v>Electrosurgical Units, Monopolar/Bipolar</v>
      </c>
      <c r="SXG102" s="528" t="s">
        <v>213</v>
      </c>
      <c r="SXH102" s="529" t="str">
        <f>VLOOKUP(SXG102,[14]AssetDetails_UEM!$A$3:$AH$1849,6,FALSE)</f>
        <v>Electrosurgical Units, Monopolar/Bipolar</v>
      </c>
      <c r="SXI102" s="528" t="s">
        <v>213</v>
      </c>
      <c r="SXJ102" s="529" t="str">
        <f>VLOOKUP(SXI102,[14]AssetDetails_UEM!$A$3:$AH$1849,6,FALSE)</f>
        <v>Electrosurgical Units, Monopolar/Bipolar</v>
      </c>
      <c r="SXK102" s="528" t="s">
        <v>213</v>
      </c>
      <c r="SXL102" s="529" t="str">
        <f>VLOOKUP(SXK102,[14]AssetDetails_UEM!$A$3:$AH$1849,6,FALSE)</f>
        <v>Electrosurgical Units, Monopolar/Bipolar</v>
      </c>
      <c r="SXM102" s="528" t="s">
        <v>213</v>
      </c>
      <c r="SXN102" s="529" t="str">
        <f>VLOOKUP(SXM102,[14]AssetDetails_UEM!$A$3:$AH$1849,6,FALSE)</f>
        <v>Electrosurgical Units, Monopolar/Bipolar</v>
      </c>
      <c r="SXO102" s="528" t="s">
        <v>213</v>
      </c>
      <c r="SXP102" s="529" t="str">
        <f>VLOOKUP(SXO102,[14]AssetDetails_UEM!$A$3:$AH$1849,6,FALSE)</f>
        <v>Electrosurgical Units, Monopolar/Bipolar</v>
      </c>
      <c r="SXQ102" s="528" t="s">
        <v>213</v>
      </c>
      <c r="SXR102" s="529" t="str">
        <f>VLOOKUP(SXQ102,[14]AssetDetails_UEM!$A$3:$AH$1849,6,FALSE)</f>
        <v>Electrosurgical Units, Monopolar/Bipolar</v>
      </c>
      <c r="SXS102" s="528" t="s">
        <v>213</v>
      </c>
      <c r="SXT102" s="529" t="str">
        <f>VLOOKUP(SXS102,[14]AssetDetails_UEM!$A$3:$AH$1849,6,FALSE)</f>
        <v>Electrosurgical Units, Monopolar/Bipolar</v>
      </c>
      <c r="SXU102" s="528" t="s">
        <v>213</v>
      </c>
      <c r="SXV102" s="529" t="str">
        <f>VLOOKUP(SXU102,[14]AssetDetails_UEM!$A$3:$AH$1849,6,FALSE)</f>
        <v>Electrosurgical Units, Monopolar/Bipolar</v>
      </c>
      <c r="SXW102" s="528" t="s">
        <v>213</v>
      </c>
      <c r="SXX102" s="529" t="str">
        <f>VLOOKUP(SXW102,[14]AssetDetails_UEM!$A$3:$AH$1849,6,FALSE)</f>
        <v>Electrosurgical Units, Monopolar/Bipolar</v>
      </c>
      <c r="SXY102" s="528" t="s">
        <v>213</v>
      </c>
      <c r="SXZ102" s="529" t="str">
        <f>VLOOKUP(SXY102,[14]AssetDetails_UEM!$A$3:$AH$1849,6,FALSE)</f>
        <v>Electrosurgical Units, Monopolar/Bipolar</v>
      </c>
      <c r="SYA102" s="528" t="s">
        <v>213</v>
      </c>
      <c r="SYB102" s="529" t="str">
        <f>VLOOKUP(SYA102,[14]AssetDetails_UEM!$A$3:$AH$1849,6,FALSE)</f>
        <v>Electrosurgical Units, Monopolar/Bipolar</v>
      </c>
      <c r="SYC102" s="528" t="s">
        <v>213</v>
      </c>
      <c r="SYD102" s="529" t="str">
        <f>VLOOKUP(SYC102,[14]AssetDetails_UEM!$A$3:$AH$1849,6,FALSE)</f>
        <v>Electrosurgical Units, Monopolar/Bipolar</v>
      </c>
      <c r="SYE102" s="528" t="s">
        <v>213</v>
      </c>
      <c r="SYF102" s="529" t="str">
        <f>VLOOKUP(SYE102,[14]AssetDetails_UEM!$A$3:$AH$1849,6,FALSE)</f>
        <v>Electrosurgical Units, Monopolar/Bipolar</v>
      </c>
      <c r="SYG102" s="528" t="s">
        <v>213</v>
      </c>
      <c r="SYH102" s="529" t="str">
        <f>VLOOKUP(SYG102,[14]AssetDetails_UEM!$A$3:$AH$1849,6,FALSE)</f>
        <v>Electrosurgical Units, Monopolar/Bipolar</v>
      </c>
      <c r="SYI102" s="528" t="s">
        <v>213</v>
      </c>
      <c r="SYJ102" s="529" t="str">
        <f>VLOOKUP(SYI102,[14]AssetDetails_UEM!$A$3:$AH$1849,6,FALSE)</f>
        <v>Electrosurgical Units, Monopolar/Bipolar</v>
      </c>
      <c r="SYK102" s="528" t="s">
        <v>213</v>
      </c>
      <c r="SYL102" s="529" t="str">
        <f>VLOOKUP(SYK102,[14]AssetDetails_UEM!$A$3:$AH$1849,6,FALSE)</f>
        <v>Electrosurgical Units, Monopolar/Bipolar</v>
      </c>
      <c r="SYM102" s="528" t="s">
        <v>213</v>
      </c>
      <c r="SYN102" s="529" t="str">
        <f>VLOOKUP(SYM102,[14]AssetDetails_UEM!$A$3:$AH$1849,6,FALSE)</f>
        <v>Electrosurgical Units, Monopolar/Bipolar</v>
      </c>
      <c r="SYO102" s="528" t="s">
        <v>213</v>
      </c>
      <c r="SYP102" s="529" t="str">
        <f>VLOOKUP(SYO102,[14]AssetDetails_UEM!$A$3:$AH$1849,6,FALSE)</f>
        <v>Electrosurgical Units, Monopolar/Bipolar</v>
      </c>
      <c r="SYQ102" s="528" t="s">
        <v>213</v>
      </c>
      <c r="SYR102" s="529" t="str">
        <f>VLOOKUP(SYQ102,[14]AssetDetails_UEM!$A$3:$AH$1849,6,FALSE)</f>
        <v>Electrosurgical Units, Monopolar/Bipolar</v>
      </c>
      <c r="SYS102" s="528" t="s">
        <v>213</v>
      </c>
      <c r="SYT102" s="529" t="str">
        <f>VLOOKUP(SYS102,[14]AssetDetails_UEM!$A$3:$AH$1849,6,FALSE)</f>
        <v>Electrosurgical Units, Monopolar/Bipolar</v>
      </c>
      <c r="SYU102" s="528" t="s">
        <v>213</v>
      </c>
      <c r="SYV102" s="529" t="str">
        <f>VLOOKUP(SYU102,[14]AssetDetails_UEM!$A$3:$AH$1849,6,FALSE)</f>
        <v>Electrosurgical Units, Monopolar/Bipolar</v>
      </c>
      <c r="SYW102" s="528" t="s">
        <v>213</v>
      </c>
      <c r="SYX102" s="529" t="str">
        <f>VLOOKUP(SYW102,[14]AssetDetails_UEM!$A$3:$AH$1849,6,FALSE)</f>
        <v>Electrosurgical Units, Monopolar/Bipolar</v>
      </c>
      <c r="SYY102" s="528" t="s">
        <v>213</v>
      </c>
      <c r="SYZ102" s="529" t="str">
        <f>VLOOKUP(SYY102,[14]AssetDetails_UEM!$A$3:$AH$1849,6,FALSE)</f>
        <v>Electrosurgical Units, Monopolar/Bipolar</v>
      </c>
      <c r="SZA102" s="528" t="s">
        <v>213</v>
      </c>
      <c r="SZB102" s="529" t="str">
        <f>VLOOKUP(SZA102,[14]AssetDetails_UEM!$A$3:$AH$1849,6,FALSE)</f>
        <v>Electrosurgical Units, Monopolar/Bipolar</v>
      </c>
      <c r="SZC102" s="528" t="s">
        <v>213</v>
      </c>
      <c r="SZD102" s="529" t="str">
        <f>VLOOKUP(SZC102,[14]AssetDetails_UEM!$A$3:$AH$1849,6,FALSE)</f>
        <v>Electrosurgical Units, Monopolar/Bipolar</v>
      </c>
      <c r="SZE102" s="528" t="s">
        <v>213</v>
      </c>
      <c r="SZF102" s="529" t="str">
        <f>VLOOKUP(SZE102,[14]AssetDetails_UEM!$A$3:$AH$1849,6,FALSE)</f>
        <v>Electrosurgical Units, Monopolar/Bipolar</v>
      </c>
      <c r="SZG102" s="528" t="s">
        <v>213</v>
      </c>
      <c r="SZH102" s="529" t="str">
        <f>VLOOKUP(SZG102,[14]AssetDetails_UEM!$A$3:$AH$1849,6,FALSE)</f>
        <v>Electrosurgical Units, Monopolar/Bipolar</v>
      </c>
      <c r="SZI102" s="528" t="s">
        <v>213</v>
      </c>
      <c r="SZJ102" s="529" t="str">
        <f>VLOOKUP(SZI102,[14]AssetDetails_UEM!$A$3:$AH$1849,6,FALSE)</f>
        <v>Electrosurgical Units, Monopolar/Bipolar</v>
      </c>
      <c r="SZK102" s="528" t="s">
        <v>213</v>
      </c>
      <c r="SZL102" s="529" t="str">
        <f>VLOOKUP(SZK102,[14]AssetDetails_UEM!$A$3:$AH$1849,6,FALSE)</f>
        <v>Electrosurgical Units, Monopolar/Bipolar</v>
      </c>
      <c r="SZM102" s="528" t="s">
        <v>213</v>
      </c>
      <c r="SZN102" s="529" t="str">
        <f>VLOOKUP(SZM102,[14]AssetDetails_UEM!$A$3:$AH$1849,6,FALSE)</f>
        <v>Electrosurgical Units, Monopolar/Bipolar</v>
      </c>
      <c r="SZO102" s="528" t="s">
        <v>213</v>
      </c>
      <c r="SZP102" s="529" t="str">
        <f>VLOOKUP(SZO102,[14]AssetDetails_UEM!$A$3:$AH$1849,6,FALSE)</f>
        <v>Electrosurgical Units, Monopolar/Bipolar</v>
      </c>
      <c r="SZQ102" s="528" t="s">
        <v>213</v>
      </c>
      <c r="SZR102" s="529" t="str">
        <f>VLOOKUP(SZQ102,[14]AssetDetails_UEM!$A$3:$AH$1849,6,FALSE)</f>
        <v>Electrosurgical Units, Monopolar/Bipolar</v>
      </c>
      <c r="SZS102" s="528" t="s">
        <v>213</v>
      </c>
      <c r="SZT102" s="529" t="str">
        <f>VLOOKUP(SZS102,[14]AssetDetails_UEM!$A$3:$AH$1849,6,FALSE)</f>
        <v>Electrosurgical Units, Monopolar/Bipolar</v>
      </c>
      <c r="SZU102" s="528" t="s">
        <v>213</v>
      </c>
      <c r="SZV102" s="529" t="str">
        <f>VLOOKUP(SZU102,[14]AssetDetails_UEM!$A$3:$AH$1849,6,FALSE)</f>
        <v>Electrosurgical Units, Monopolar/Bipolar</v>
      </c>
      <c r="SZW102" s="528" t="s">
        <v>213</v>
      </c>
      <c r="SZX102" s="529" t="str">
        <f>VLOOKUP(SZW102,[14]AssetDetails_UEM!$A$3:$AH$1849,6,FALSE)</f>
        <v>Electrosurgical Units, Monopolar/Bipolar</v>
      </c>
      <c r="SZY102" s="528" t="s">
        <v>213</v>
      </c>
      <c r="SZZ102" s="529" t="str">
        <f>VLOOKUP(SZY102,[14]AssetDetails_UEM!$A$3:$AH$1849,6,FALSE)</f>
        <v>Electrosurgical Units, Monopolar/Bipolar</v>
      </c>
      <c r="TAA102" s="528" t="s">
        <v>213</v>
      </c>
      <c r="TAB102" s="529" t="str">
        <f>VLOOKUP(TAA102,[14]AssetDetails_UEM!$A$3:$AH$1849,6,FALSE)</f>
        <v>Electrosurgical Units, Monopolar/Bipolar</v>
      </c>
      <c r="TAC102" s="528" t="s">
        <v>213</v>
      </c>
      <c r="TAD102" s="529" t="str">
        <f>VLOOKUP(TAC102,[14]AssetDetails_UEM!$A$3:$AH$1849,6,FALSE)</f>
        <v>Electrosurgical Units, Monopolar/Bipolar</v>
      </c>
      <c r="TAE102" s="528" t="s">
        <v>213</v>
      </c>
      <c r="TAF102" s="529" t="str">
        <f>VLOOKUP(TAE102,[14]AssetDetails_UEM!$A$3:$AH$1849,6,FALSE)</f>
        <v>Electrosurgical Units, Monopolar/Bipolar</v>
      </c>
      <c r="TAG102" s="528" t="s">
        <v>213</v>
      </c>
      <c r="TAH102" s="529" t="str">
        <f>VLOOKUP(TAG102,[14]AssetDetails_UEM!$A$3:$AH$1849,6,FALSE)</f>
        <v>Electrosurgical Units, Monopolar/Bipolar</v>
      </c>
      <c r="TAI102" s="528" t="s">
        <v>213</v>
      </c>
      <c r="TAJ102" s="529" t="str">
        <f>VLOOKUP(TAI102,[14]AssetDetails_UEM!$A$3:$AH$1849,6,FALSE)</f>
        <v>Electrosurgical Units, Monopolar/Bipolar</v>
      </c>
      <c r="TAK102" s="528" t="s">
        <v>213</v>
      </c>
      <c r="TAL102" s="529" t="str">
        <f>VLOOKUP(TAK102,[14]AssetDetails_UEM!$A$3:$AH$1849,6,FALSE)</f>
        <v>Electrosurgical Units, Monopolar/Bipolar</v>
      </c>
      <c r="TAM102" s="528" t="s">
        <v>213</v>
      </c>
      <c r="TAN102" s="529" t="str">
        <f>VLOOKUP(TAM102,[14]AssetDetails_UEM!$A$3:$AH$1849,6,FALSE)</f>
        <v>Electrosurgical Units, Monopolar/Bipolar</v>
      </c>
      <c r="TAO102" s="528" t="s">
        <v>213</v>
      </c>
      <c r="TAP102" s="529" t="str">
        <f>VLOOKUP(TAO102,[14]AssetDetails_UEM!$A$3:$AH$1849,6,FALSE)</f>
        <v>Electrosurgical Units, Monopolar/Bipolar</v>
      </c>
      <c r="TAQ102" s="528" t="s">
        <v>213</v>
      </c>
      <c r="TAR102" s="529" t="str">
        <f>VLOOKUP(TAQ102,[14]AssetDetails_UEM!$A$3:$AH$1849,6,FALSE)</f>
        <v>Electrosurgical Units, Monopolar/Bipolar</v>
      </c>
      <c r="TAS102" s="528" t="s">
        <v>213</v>
      </c>
      <c r="TAT102" s="529" t="str">
        <f>VLOOKUP(TAS102,[14]AssetDetails_UEM!$A$3:$AH$1849,6,FALSE)</f>
        <v>Electrosurgical Units, Monopolar/Bipolar</v>
      </c>
      <c r="TAU102" s="528" t="s">
        <v>213</v>
      </c>
      <c r="TAV102" s="529" t="str">
        <f>VLOOKUP(TAU102,[14]AssetDetails_UEM!$A$3:$AH$1849,6,FALSE)</f>
        <v>Electrosurgical Units, Monopolar/Bipolar</v>
      </c>
      <c r="TAW102" s="528" t="s">
        <v>213</v>
      </c>
      <c r="TAX102" s="529" t="str">
        <f>VLOOKUP(TAW102,[14]AssetDetails_UEM!$A$3:$AH$1849,6,FALSE)</f>
        <v>Electrosurgical Units, Monopolar/Bipolar</v>
      </c>
      <c r="TAY102" s="528" t="s">
        <v>213</v>
      </c>
      <c r="TAZ102" s="529" t="str">
        <f>VLOOKUP(TAY102,[14]AssetDetails_UEM!$A$3:$AH$1849,6,FALSE)</f>
        <v>Electrosurgical Units, Monopolar/Bipolar</v>
      </c>
      <c r="TBA102" s="528" t="s">
        <v>213</v>
      </c>
      <c r="TBB102" s="529" t="str">
        <f>VLOOKUP(TBA102,[14]AssetDetails_UEM!$A$3:$AH$1849,6,FALSE)</f>
        <v>Electrosurgical Units, Monopolar/Bipolar</v>
      </c>
      <c r="TBC102" s="528" t="s">
        <v>213</v>
      </c>
      <c r="TBD102" s="529" t="str">
        <f>VLOOKUP(TBC102,[14]AssetDetails_UEM!$A$3:$AH$1849,6,FALSE)</f>
        <v>Electrosurgical Units, Monopolar/Bipolar</v>
      </c>
      <c r="TBE102" s="528" t="s">
        <v>213</v>
      </c>
      <c r="TBF102" s="529" t="str">
        <f>VLOOKUP(TBE102,[14]AssetDetails_UEM!$A$3:$AH$1849,6,FALSE)</f>
        <v>Electrosurgical Units, Monopolar/Bipolar</v>
      </c>
      <c r="TBG102" s="528" t="s">
        <v>213</v>
      </c>
      <c r="TBH102" s="529" t="str">
        <f>VLOOKUP(TBG102,[14]AssetDetails_UEM!$A$3:$AH$1849,6,FALSE)</f>
        <v>Electrosurgical Units, Monopolar/Bipolar</v>
      </c>
      <c r="TBI102" s="528" t="s">
        <v>213</v>
      </c>
      <c r="TBJ102" s="529" t="str">
        <f>VLOOKUP(TBI102,[14]AssetDetails_UEM!$A$3:$AH$1849,6,FALSE)</f>
        <v>Electrosurgical Units, Monopolar/Bipolar</v>
      </c>
      <c r="TBK102" s="528" t="s">
        <v>213</v>
      </c>
      <c r="TBL102" s="529" t="str">
        <f>VLOOKUP(TBK102,[14]AssetDetails_UEM!$A$3:$AH$1849,6,FALSE)</f>
        <v>Electrosurgical Units, Monopolar/Bipolar</v>
      </c>
      <c r="TBM102" s="528" t="s">
        <v>213</v>
      </c>
      <c r="TBN102" s="529" t="str">
        <f>VLOOKUP(TBM102,[14]AssetDetails_UEM!$A$3:$AH$1849,6,FALSE)</f>
        <v>Electrosurgical Units, Monopolar/Bipolar</v>
      </c>
      <c r="TBO102" s="528" t="s">
        <v>213</v>
      </c>
      <c r="TBP102" s="529" t="str">
        <f>VLOOKUP(TBO102,[14]AssetDetails_UEM!$A$3:$AH$1849,6,FALSE)</f>
        <v>Electrosurgical Units, Monopolar/Bipolar</v>
      </c>
      <c r="TBQ102" s="528" t="s">
        <v>213</v>
      </c>
      <c r="TBR102" s="529" t="str">
        <f>VLOOKUP(TBQ102,[14]AssetDetails_UEM!$A$3:$AH$1849,6,FALSE)</f>
        <v>Electrosurgical Units, Monopolar/Bipolar</v>
      </c>
      <c r="TBS102" s="528" t="s">
        <v>213</v>
      </c>
      <c r="TBT102" s="529" t="str">
        <f>VLOOKUP(TBS102,[14]AssetDetails_UEM!$A$3:$AH$1849,6,FALSE)</f>
        <v>Electrosurgical Units, Monopolar/Bipolar</v>
      </c>
      <c r="TBU102" s="528" t="s">
        <v>213</v>
      </c>
      <c r="TBV102" s="529" t="str">
        <f>VLOOKUP(TBU102,[14]AssetDetails_UEM!$A$3:$AH$1849,6,FALSE)</f>
        <v>Electrosurgical Units, Monopolar/Bipolar</v>
      </c>
      <c r="TBW102" s="528" t="s">
        <v>213</v>
      </c>
      <c r="TBX102" s="529" t="str">
        <f>VLOOKUP(TBW102,[14]AssetDetails_UEM!$A$3:$AH$1849,6,FALSE)</f>
        <v>Electrosurgical Units, Monopolar/Bipolar</v>
      </c>
      <c r="TBY102" s="528" t="s">
        <v>213</v>
      </c>
      <c r="TBZ102" s="529" t="str">
        <f>VLOOKUP(TBY102,[14]AssetDetails_UEM!$A$3:$AH$1849,6,FALSE)</f>
        <v>Electrosurgical Units, Monopolar/Bipolar</v>
      </c>
      <c r="TCA102" s="528" t="s">
        <v>213</v>
      </c>
      <c r="TCB102" s="529" t="str">
        <f>VLOOKUP(TCA102,[14]AssetDetails_UEM!$A$3:$AH$1849,6,FALSE)</f>
        <v>Electrosurgical Units, Monopolar/Bipolar</v>
      </c>
      <c r="TCC102" s="528" t="s">
        <v>213</v>
      </c>
      <c r="TCD102" s="529" t="str">
        <f>VLOOKUP(TCC102,[14]AssetDetails_UEM!$A$3:$AH$1849,6,FALSE)</f>
        <v>Electrosurgical Units, Monopolar/Bipolar</v>
      </c>
      <c r="TCE102" s="528" t="s">
        <v>213</v>
      </c>
      <c r="TCF102" s="529" t="str">
        <f>VLOOKUP(TCE102,[14]AssetDetails_UEM!$A$3:$AH$1849,6,FALSE)</f>
        <v>Electrosurgical Units, Monopolar/Bipolar</v>
      </c>
      <c r="TCG102" s="528" t="s">
        <v>213</v>
      </c>
      <c r="TCH102" s="529" t="str">
        <f>VLOOKUP(TCG102,[14]AssetDetails_UEM!$A$3:$AH$1849,6,FALSE)</f>
        <v>Electrosurgical Units, Monopolar/Bipolar</v>
      </c>
      <c r="TCI102" s="528" t="s">
        <v>213</v>
      </c>
      <c r="TCJ102" s="529" t="str">
        <f>VLOOKUP(TCI102,[14]AssetDetails_UEM!$A$3:$AH$1849,6,FALSE)</f>
        <v>Electrosurgical Units, Monopolar/Bipolar</v>
      </c>
      <c r="TCK102" s="528" t="s">
        <v>213</v>
      </c>
      <c r="TCL102" s="529" t="str">
        <f>VLOOKUP(TCK102,[14]AssetDetails_UEM!$A$3:$AH$1849,6,FALSE)</f>
        <v>Electrosurgical Units, Monopolar/Bipolar</v>
      </c>
      <c r="TCM102" s="528" t="s">
        <v>213</v>
      </c>
      <c r="TCN102" s="529" t="str">
        <f>VLOOKUP(TCM102,[14]AssetDetails_UEM!$A$3:$AH$1849,6,FALSE)</f>
        <v>Electrosurgical Units, Monopolar/Bipolar</v>
      </c>
      <c r="TCO102" s="528" t="s">
        <v>213</v>
      </c>
      <c r="TCP102" s="529" t="str">
        <f>VLOOKUP(TCO102,[14]AssetDetails_UEM!$A$3:$AH$1849,6,FALSE)</f>
        <v>Electrosurgical Units, Monopolar/Bipolar</v>
      </c>
      <c r="TCQ102" s="528" t="s">
        <v>213</v>
      </c>
      <c r="TCR102" s="529" t="str">
        <f>VLOOKUP(TCQ102,[14]AssetDetails_UEM!$A$3:$AH$1849,6,FALSE)</f>
        <v>Electrosurgical Units, Monopolar/Bipolar</v>
      </c>
      <c r="TCS102" s="528" t="s">
        <v>213</v>
      </c>
      <c r="TCT102" s="529" t="str">
        <f>VLOOKUP(TCS102,[14]AssetDetails_UEM!$A$3:$AH$1849,6,FALSE)</f>
        <v>Electrosurgical Units, Monopolar/Bipolar</v>
      </c>
      <c r="TCU102" s="528" t="s">
        <v>213</v>
      </c>
      <c r="TCV102" s="529" t="str">
        <f>VLOOKUP(TCU102,[14]AssetDetails_UEM!$A$3:$AH$1849,6,FALSE)</f>
        <v>Electrosurgical Units, Monopolar/Bipolar</v>
      </c>
      <c r="TCW102" s="528" t="s">
        <v>213</v>
      </c>
      <c r="TCX102" s="529" t="str">
        <f>VLOOKUP(TCW102,[14]AssetDetails_UEM!$A$3:$AH$1849,6,FALSE)</f>
        <v>Electrosurgical Units, Monopolar/Bipolar</v>
      </c>
      <c r="TCY102" s="528" t="s">
        <v>213</v>
      </c>
      <c r="TCZ102" s="529" t="str">
        <f>VLOOKUP(TCY102,[14]AssetDetails_UEM!$A$3:$AH$1849,6,FALSE)</f>
        <v>Electrosurgical Units, Monopolar/Bipolar</v>
      </c>
      <c r="TDA102" s="528" t="s">
        <v>213</v>
      </c>
      <c r="TDB102" s="529" t="str">
        <f>VLOOKUP(TDA102,[14]AssetDetails_UEM!$A$3:$AH$1849,6,FALSE)</f>
        <v>Electrosurgical Units, Monopolar/Bipolar</v>
      </c>
      <c r="TDC102" s="528" t="s">
        <v>213</v>
      </c>
      <c r="TDD102" s="529" t="str">
        <f>VLOOKUP(TDC102,[14]AssetDetails_UEM!$A$3:$AH$1849,6,FALSE)</f>
        <v>Electrosurgical Units, Monopolar/Bipolar</v>
      </c>
      <c r="TDE102" s="528" t="s">
        <v>213</v>
      </c>
      <c r="TDF102" s="529" t="str">
        <f>VLOOKUP(TDE102,[14]AssetDetails_UEM!$A$3:$AH$1849,6,FALSE)</f>
        <v>Electrosurgical Units, Monopolar/Bipolar</v>
      </c>
      <c r="TDG102" s="528" t="s">
        <v>213</v>
      </c>
      <c r="TDH102" s="529" t="str">
        <f>VLOOKUP(TDG102,[14]AssetDetails_UEM!$A$3:$AH$1849,6,FALSE)</f>
        <v>Electrosurgical Units, Monopolar/Bipolar</v>
      </c>
      <c r="TDI102" s="528" t="s">
        <v>213</v>
      </c>
      <c r="TDJ102" s="529" t="str">
        <f>VLOOKUP(TDI102,[14]AssetDetails_UEM!$A$3:$AH$1849,6,FALSE)</f>
        <v>Electrosurgical Units, Monopolar/Bipolar</v>
      </c>
      <c r="TDK102" s="528" t="s">
        <v>213</v>
      </c>
      <c r="TDL102" s="529" t="str">
        <f>VLOOKUP(TDK102,[14]AssetDetails_UEM!$A$3:$AH$1849,6,FALSE)</f>
        <v>Electrosurgical Units, Monopolar/Bipolar</v>
      </c>
      <c r="TDM102" s="528" t="s">
        <v>213</v>
      </c>
      <c r="TDN102" s="529" t="str">
        <f>VLOOKUP(TDM102,[14]AssetDetails_UEM!$A$3:$AH$1849,6,FALSE)</f>
        <v>Electrosurgical Units, Monopolar/Bipolar</v>
      </c>
      <c r="TDO102" s="528" t="s">
        <v>213</v>
      </c>
      <c r="TDP102" s="529" t="str">
        <f>VLOOKUP(TDO102,[14]AssetDetails_UEM!$A$3:$AH$1849,6,FALSE)</f>
        <v>Electrosurgical Units, Monopolar/Bipolar</v>
      </c>
      <c r="TDQ102" s="528" t="s">
        <v>213</v>
      </c>
      <c r="TDR102" s="529" t="str">
        <f>VLOOKUP(TDQ102,[14]AssetDetails_UEM!$A$3:$AH$1849,6,FALSE)</f>
        <v>Electrosurgical Units, Monopolar/Bipolar</v>
      </c>
      <c r="TDS102" s="528" t="s">
        <v>213</v>
      </c>
      <c r="TDT102" s="529" t="str">
        <f>VLOOKUP(TDS102,[14]AssetDetails_UEM!$A$3:$AH$1849,6,FALSE)</f>
        <v>Electrosurgical Units, Monopolar/Bipolar</v>
      </c>
      <c r="TDU102" s="528" t="s">
        <v>213</v>
      </c>
      <c r="TDV102" s="529" t="str">
        <f>VLOOKUP(TDU102,[14]AssetDetails_UEM!$A$3:$AH$1849,6,FALSE)</f>
        <v>Electrosurgical Units, Monopolar/Bipolar</v>
      </c>
      <c r="TDW102" s="528" t="s">
        <v>213</v>
      </c>
      <c r="TDX102" s="529" t="str">
        <f>VLOOKUP(TDW102,[14]AssetDetails_UEM!$A$3:$AH$1849,6,FALSE)</f>
        <v>Electrosurgical Units, Monopolar/Bipolar</v>
      </c>
      <c r="TDY102" s="528" t="s">
        <v>213</v>
      </c>
      <c r="TDZ102" s="529" t="str">
        <f>VLOOKUP(TDY102,[14]AssetDetails_UEM!$A$3:$AH$1849,6,FALSE)</f>
        <v>Electrosurgical Units, Monopolar/Bipolar</v>
      </c>
      <c r="TEA102" s="528" t="s">
        <v>213</v>
      </c>
      <c r="TEB102" s="529" t="str">
        <f>VLOOKUP(TEA102,[14]AssetDetails_UEM!$A$3:$AH$1849,6,FALSE)</f>
        <v>Electrosurgical Units, Monopolar/Bipolar</v>
      </c>
      <c r="TEC102" s="528" t="s">
        <v>213</v>
      </c>
      <c r="TED102" s="529" t="str">
        <f>VLOOKUP(TEC102,[14]AssetDetails_UEM!$A$3:$AH$1849,6,FALSE)</f>
        <v>Electrosurgical Units, Monopolar/Bipolar</v>
      </c>
      <c r="TEE102" s="528" t="s">
        <v>213</v>
      </c>
      <c r="TEF102" s="529" t="str">
        <f>VLOOKUP(TEE102,[14]AssetDetails_UEM!$A$3:$AH$1849,6,FALSE)</f>
        <v>Electrosurgical Units, Monopolar/Bipolar</v>
      </c>
      <c r="TEG102" s="528" t="s">
        <v>213</v>
      </c>
      <c r="TEH102" s="529" t="str">
        <f>VLOOKUP(TEG102,[14]AssetDetails_UEM!$A$3:$AH$1849,6,FALSE)</f>
        <v>Electrosurgical Units, Monopolar/Bipolar</v>
      </c>
      <c r="TEI102" s="528" t="s">
        <v>213</v>
      </c>
      <c r="TEJ102" s="529" t="str">
        <f>VLOOKUP(TEI102,[14]AssetDetails_UEM!$A$3:$AH$1849,6,FALSE)</f>
        <v>Electrosurgical Units, Monopolar/Bipolar</v>
      </c>
      <c r="TEK102" s="528" t="s">
        <v>213</v>
      </c>
      <c r="TEL102" s="529" t="str">
        <f>VLOOKUP(TEK102,[14]AssetDetails_UEM!$A$3:$AH$1849,6,FALSE)</f>
        <v>Electrosurgical Units, Monopolar/Bipolar</v>
      </c>
      <c r="TEM102" s="528" t="s">
        <v>213</v>
      </c>
      <c r="TEN102" s="529" t="str">
        <f>VLOOKUP(TEM102,[14]AssetDetails_UEM!$A$3:$AH$1849,6,FALSE)</f>
        <v>Electrosurgical Units, Monopolar/Bipolar</v>
      </c>
      <c r="TEO102" s="528" t="s">
        <v>213</v>
      </c>
      <c r="TEP102" s="529" t="str">
        <f>VLOOKUP(TEO102,[14]AssetDetails_UEM!$A$3:$AH$1849,6,FALSE)</f>
        <v>Electrosurgical Units, Monopolar/Bipolar</v>
      </c>
      <c r="TEQ102" s="528" t="s">
        <v>213</v>
      </c>
      <c r="TER102" s="529" t="str">
        <f>VLOOKUP(TEQ102,[14]AssetDetails_UEM!$A$3:$AH$1849,6,FALSE)</f>
        <v>Electrosurgical Units, Monopolar/Bipolar</v>
      </c>
      <c r="TES102" s="528" t="s">
        <v>213</v>
      </c>
      <c r="TET102" s="529" t="str">
        <f>VLOOKUP(TES102,[14]AssetDetails_UEM!$A$3:$AH$1849,6,FALSE)</f>
        <v>Electrosurgical Units, Monopolar/Bipolar</v>
      </c>
      <c r="TEU102" s="528" t="s">
        <v>213</v>
      </c>
      <c r="TEV102" s="529" t="str">
        <f>VLOOKUP(TEU102,[14]AssetDetails_UEM!$A$3:$AH$1849,6,FALSE)</f>
        <v>Electrosurgical Units, Monopolar/Bipolar</v>
      </c>
      <c r="TEW102" s="528" t="s">
        <v>213</v>
      </c>
      <c r="TEX102" s="529" t="str">
        <f>VLOOKUP(TEW102,[14]AssetDetails_UEM!$A$3:$AH$1849,6,FALSE)</f>
        <v>Electrosurgical Units, Monopolar/Bipolar</v>
      </c>
      <c r="TEY102" s="528" t="s">
        <v>213</v>
      </c>
      <c r="TEZ102" s="529" t="str">
        <f>VLOOKUP(TEY102,[14]AssetDetails_UEM!$A$3:$AH$1849,6,FALSE)</f>
        <v>Electrosurgical Units, Monopolar/Bipolar</v>
      </c>
      <c r="TFA102" s="528" t="s">
        <v>213</v>
      </c>
      <c r="TFB102" s="529" t="str">
        <f>VLOOKUP(TFA102,[14]AssetDetails_UEM!$A$3:$AH$1849,6,FALSE)</f>
        <v>Electrosurgical Units, Monopolar/Bipolar</v>
      </c>
      <c r="TFC102" s="528" t="s">
        <v>213</v>
      </c>
      <c r="TFD102" s="529" t="str">
        <f>VLOOKUP(TFC102,[14]AssetDetails_UEM!$A$3:$AH$1849,6,FALSE)</f>
        <v>Electrosurgical Units, Monopolar/Bipolar</v>
      </c>
      <c r="TFE102" s="528" t="s">
        <v>213</v>
      </c>
      <c r="TFF102" s="529" t="str">
        <f>VLOOKUP(TFE102,[14]AssetDetails_UEM!$A$3:$AH$1849,6,FALSE)</f>
        <v>Electrosurgical Units, Monopolar/Bipolar</v>
      </c>
      <c r="TFG102" s="528" t="s">
        <v>213</v>
      </c>
      <c r="TFH102" s="529" t="str">
        <f>VLOOKUP(TFG102,[14]AssetDetails_UEM!$A$3:$AH$1849,6,FALSE)</f>
        <v>Electrosurgical Units, Monopolar/Bipolar</v>
      </c>
      <c r="TFI102" s="528" t="s">
        <v>213</v>
      </c>
      <c r="TFJ102" s="529" t="str">
        <f>VLOOKUP(TFI102,[14]AssetDetails_UEM!$A$3:$AH$1849,6,FALSE)</f>
        <v>Electrosurgical Units, Monopolar/Bipolar</v>
      </c>
      <c r="TFK102" s="528" t="s">
        <v>213</v>
      </c>
      <c r="TFL102" s="529" t="str">
        <f>VLOOKUP(TFK102,[14]AssetDetails_UEM!$A$3:$AH$1849,6,FALSE)</f>
        <v>Electrosurgical Units, Monopolar/Bipolar</v>
      </c>
      <c r="TFM102" s="528" t="s">
        <v>213</v>
      </c>
      <c r="TFN102" s="529" t="str">
        <f>VLOOKUP(TFM102,[14]AssetDetails_UEM!$A$3:$AH$1849,6,FALSE)</f>
        <v>Electrosurgical Units, Monopolar/Bipolar</v>
      </c>
      <c r="TFO102" s="528" t="s">
        <v>213</v>
      </c>
      <c r="TFP102" s="529" t="str">
        <f>VLOOKUP(TFO102,[14]AssetDetails_UEM!$A$3:$AH$1849,6,FALSE)</f>
        <v>Electrosurgical Units, Monopolar/Bipolar</v>
      </c>
      <c r="TFQ102" s="528" t="s">
        <v>213</v>
      </c>
      <c r="TFR102" s="529" t="str">
        <f>VLOOKUP(TFQ102,[14]AssetDetails_UEM!$A$3:$AH$1849,6,FALSE)</f>
        <v>Electrosurgical Units, Monopolar/Bipolar</v>
      </c>
      <c r="TFS102" s="528" t="s">
        <v>213</v>
      </c>
      <c r="TFT102" s="529" t="str">
        <f>VLOOKUP(TFS102,[14]AssetDetails_UEM!$A$3:$AH$1849,6,FALSE)</f>
        <v>Electrosurgical Units, Monopolar/Bipolar</v>
      </c>
      <c r="TFU102" s="528" t="s">
        <v>213</v>
      </c>
      <c r="TFV102" s="529" t="str">
        <f>VLOOKUP(TFU102,[14]AssetDetails_UEM!$A$3:$AH$1849,6,FALSE)</f>
        <v>Electrosurgical Units, Monopolar/Bipolar</v>
      </c>
      <c r="TFW102" s="528" t="s">
        <v>213</v>
      </c>
      <c r="TFX102" s="529" t="str">
        <f>VLOOKUP(TFW102,[14]AssetDetails_UEM!$A$3:$AH$1849,6,FALSE)</f>
        <v>Electrosurgical Units, Monopolar/Bipolar</v>
      </c>
      <c r="TFY102" s="528" t="s">
        <v>213</v>
      </c>
      <c r="TFZ102" s="529" t="str">
        <f>VLOOKUP(TFY102,[14]AssetDetails_UEM!$A$3:$AH$1849,6,FALSE)</f>
        <v>Electrosurgical Units, Monopolar/Bipolar</v>
      </c>
      <c r="TGA102" s="528" t="s">
        <v>213</v>
      </c>
      <c r="TGB102" s="529" t="str">
        <f>VLOOKUP(TGA102,[14]AssetDetails_UEM!$A$3:$AH$1849,6,FALSE)</f>
        <v>Electrosurgical Units, Monopolar/Bipolar</v>
      </c>
      <c r="TGC102" s="528" t="s">
        <v>213</v>
      </c>
      <c r="TGD102" s="529" t="str">
        <f>VLOOKUP(TGC102,[14]AssetDetails_UEM!$A$3:$AH$1849,6,FALSE)</f>
        <v>Electrosurgical Units, Monopolar/Bipolar</v>
      </c>
      <c r="TGE102" s="528" t="s">
        <v>213</v>
      </c>
      <c r="TGF102" s="529" t="str">
        <f>VLOOKUP(TGE102,[14]AssetDetails_UEM!$A$3:$AH$1849,6,FALSE)</f>
        <v>Electrosurgical Units, Monopolar/Bipolar</v>
      </c>
      <c r="TGG102" s="528" t="s">
        <v>213</v>
      </c>
      <c r="TGH102" s="529" t="str">
        <f>VLOOKUP(TGG102,[14]AssetDetails_UEM!$A$3:$AH$1849,6,FALSE)</f>
        <v>Electrosurgical Units, Monopolar/Bipolar</v>
      </c>
      <c r="TGI102" s="528" t="s">
        <v>213</v>
      </c>
      <c r="TGJ102" s="529" t="str">
        <f>VLOOKUP(TGI102,[14]AssetDetails_UEM!$A$3:$AH$1849,6,FALSE)</f>
        <v>Electrosurgical Units, Monopolar/Bipolar</v>
      </c>
      <c r="TGK102" s="528" t="s">
        <v>213</v>
      </c>
      <c r="TGL102" s="529" t="str">
        <f>VLOOKUP(TGK102,[14]AssetDetails_UEM!$A$3:$AH$1849,6,FALSE)</f>
        <v>Electrosurgical Units, Monopolar/Bipolar</v>
      </c>
      <c r="TGM102" s="528" t="s">
        <v>213</v>
      </c>
      <c r="TGN102" s="529" t="str">
        <f>VLOOKUP(TGM102,[14]AssetDetails_UEM!$A$3:$AH$1849,6,FALSE)</f>
        <v>Electrosurgical Units, Monopolar/Bipolar</v>
      </c>
      <c r="TGO102" s="528" t="s">
        <v>213</v>
      </c>
      <c r="TGP102" s="529" t="str">
        <f>VLOOKUP(TGO102,[14]AssetDetails_UEM!$A$3:$AH$1849,6,FALSE)</f>
        <v>Electrosurgical Units, Monopolar/Bipolar</v>
      </c>
      <c r="TGQ102" s="528" t="s">
        <v>213</v>
      </c>
      <c r="TGR102" s="529" t="str">
        <f>VLOOKUP(TGQ102,[14]AssetDetails_UEM!$A$3:$AH$1849,6,FALSE)</f>
        <v>Electrosurgical Units, Monopolar/Bipolar</v>
      </c>
      <c r="TGS102" s="528" t="s">
        <v>213</v>
      </c>
      <c r="TGT102" s="529" t="str">
        <f>VLOOKUP(TGS102,[14]AssetDetails_UEM!$A$3:$AH$1849,6,FALSE)</f>
        <v>Electrosurgical Units, Monopolar/Bipolar</v>
      </c>
      <c r="TGU102" s="528" t="s">
        <v>213</v>
      </c>
      <c r="TGV102" s="529" t="str">
        <f>VLOOKUP(TGU102,[14]AssetDetails_UEM!$A$3:$AH$1849,6,FALSE)</f>
        <v>Electrosurgical Units, Monopolar/Bipolar</v>
      </c>
      <c r="TGW102" s="528" t="s">
        <v>213</v>
      </c>
      <c r="TGX102" s="529" t="str">
        <f>VLOOKUP(TGW102,[14]AssetDetails_UEM!$A$3:$AH$1849,6,FALSE)</f>
        <v>Electrosurgical Units, Monopolar/Bipolar</v>
      </c>
      <c r="TGY102" s="528" t="s">
        <v>213</v>
      </c>
      <c r="TGZ102" s="529" t="str">
        <f>VLOOKUP(TGY102,[14]AssetDetails_UEM!$A$3:$AH$1849,6,FALSE)</f>
        <v>Electrosurgical Units, Monopolar/Bipolar</v>
      </c>
      <c r="THA102" s="528" t="s">
        <v>213</v>
      </c>
      <c r="THB102" s="529" t="str">
        <f>VLOOKUP(THA102,[14]AssetDetails_UEM!$A$3:$AH$1849,6,FALSE)</f>
        <v>Electrosurgical Units, Monopolar/Bipolar</v>
      </c>
      <c r="THC102" s="528" t="s">
        <v>213</v>
      </c>
      <c r="THD102" s="529" t="str">
        <f>VLOOKUP(THC102,[14]AssetDetails_UEM!$A$3:$AH$1849,6,FALSE)</f>
        <v>Electrosurgical Units, Monopolar/Bipolar</v>
      </c>
      <c r="THE102" s="528" t="s">
        <v>213</v>
      </c>
      <c r="THF102" s="529" t="str">
        <f>VLOOKUP(THE102,[14]AssetDetails_UEM!$A$3:$AH$1849,6,FALSE)</f>
        <v>Electrosurgical Units, Monopolar/Bipolar</v>
      </c>
      <c r="THG102" s="528" t="s">
        <v>213</v>
      </c>
      <c r="THH102" s="529" t="str">
        <f>VLOOKUP(THG102,[14]AssetDetails_UEM!$A$3:$AH$1849,6,FALSE)</f>
        <v>Electrosurgical Units, Monopolar/Bipolar</v>
      </c>
      <c r="THI102" s="528" t="s">
        <v>213</v>
      </c>
      <c r="THJ102" s="529" t="str">
        <f>VLOOKUP(THI102,[14]AssetDetails_UEM!$A$3:$AH$1849,6,FALSE)</f>
        <v>Electrosurgical Units, Monopolar/Bipolar</v>
      </c>
      <c r="THK102" s="528" t="s">
        <v>213</v>
      </c>
      <c r="THL102" s="529" t="str">
        <f>VLOOKUP(THK102,[14]AssetDetails_UEM!$A$3:$AH$1849,6,FALSE)</f>
        <v>Electrosurgical Units, Monopolar/Bipolar</v>
      </c>
      <c r="THM102" s="528" t="s">
        <v>213</v>
      </c>
      <c r="THN102" s="529" t="str">
        <f>VLOOKUP(THM102,[14]AssetDetails_UEM!$A$3:$AH$1849,6,FALSE)</f>
        <v>Electrosurgical Units, Monopolar/Bipolar</v>
      </c>
      <c r="THO102" s="528" t="s">
        <v>213</v>
      </c>
      <c r="THP102" s="529" t="str">
        <f>VLOOKUP(THO102,[14]AssetDetails_UEM!$A$3:$AH$1849,6,FALSE)</f>
        <v>Electrosurgical Units, Monopolar/Bipolar</v>
      </c>
      <c r="THQ102" s="528" t="s">
        <v>213</v>
      </c>
      <c r="THR102" s="529" t="str">
        <f>VLOOKUP(THQ102,[14]AssetDetails_UEM!$A$3:$AH$1849,6,FALSE)</f>
        <v>Electrosurgical Units, Monopolar/Bipolar</v>
      </c>
      <c r="THS102" s="528" t="s">
        <v>213</v>
      </c>
      <c r="THT102" s="529" t="str">
        <f>VLOOKUP(THS102,[14]AssetDetails_UEM!$A$3:$AH$1849,6,FALSE)</f>
        <v>Electrosurgical Units, Monopolar/Bipolar</v>
      </c>
      <c r="THU102" s="528" t="s">
        <v>213</v>
      </c>
      <c r="THV102" s="529" t="str">
        <f>VLOOKUP(THU102,[14]AssetDetails_UEM!$A$3:$AH$1849,6,FALSE)</f>
        <v>Electrosurgical Units, Monopolar/Bipolar</v>
      </c>
      <c r="THW102" s="528" t="s">
        <v>213</v>
      </c>
      <c r="THX102" s="529" t="str">
        <f>VLOOKUP(THW102,[14]AssetDetails_UEM!$A$3:$AH$1849,6,FALSE)</f>
        <v>Electrosurgical Units, Monopolar/Bipolar</v>
      </c>
      <c r="THY102" s="528" t="s">
        <v>213</v>
      </c>
      <c r="THZ102" s="529" t="str">
        <f>VLOOKUP(THY102,[14]AssetDetails_UEM!$A$3:$AH$1849,6,FALSE)</f>
        <v>Electrosurgical Units, Monopolar/Bipolar</v>
      </c>
      <c r="TIA102" s="528" t="s">
        <v>213</v>
      </c>
      <c r="TIB102" s="529" t="str">
        <f>VLOOKUP(TIA102,[14]AssetDetails_UEM!$A$3:$AH$1849,6,FALSE)</f>
        <v>Electrosurgical Units, Monopolar/Bipolar</v>
      </c>
      <c r="TIC102" s="528" t="s">
        <v>213</v>
      </c>
      <c r="TID102" s="529" t="str">
        <f>VLOOKUP(TIC102,[14]AssetDetails_UEM!$A$3:$AH$1849,6,FALSE)</f>
        <v>Electrosurgical Units, Monopolar/Bipolar</v>
      </c>
      <c r="TIE102" s="528" t="s">
        <v>213</v>
      </c>
      <c r="TIF102" s="529" t="str">
        <f>VLOOKUP(TIE102,[14]AssetDetails_UEM!$A$3:$AH$1849,6,FALSE)</f>
        <v>Electrosurgical Units, Monopolar/Bipolar</v>
      </c>
      <c r="TIG102" s="528" t="s">
        <v>213</v>
      </c>
      <c r="TIH102" s="529" t="str">
        <f>VLOOKUP(TIG102,[14]AssetDetails_UEM!$A$3:$AH$1849,6,FALSE)</f>
        <v>Electrosurgical Units, Monopolar/Bipolar</v>
      </c>
      <c r="TII102" s="528" t="s">
        <v>213</v>
      </c>
      <c r="TIJ102" s="529" t="str">
        <f>VLOOKUP(TII102,[14]AssetDetails_UEM!$A$3:$AH$1849,6,FALSE)</f>
        <v>Electrosurgical Units, Monopolar/Bipolar</v>
      </c>
      <c r="TIK102" s="528" t="s">
        <v>213</v>
      </c>
      <c r="TIL102" s="529" t="str">
        <f>VLOOKUP(TIK102,[14]AssetDetails_UEM!$A$3:$AH$1849,6,FALSE)</f>
        <v>Electrosurgical Units, Monopolar/Bipolar</v>
      </c>
      <c r="TIM102" s="528" t="s">
        <v>213</v>
      </c>
      <c r="TIN102" s="529" t="str">
        <f>VLOOKUP(TIM102,[14]AssetDetails_UEM!$A$3:$AH$1849,6,FALSE)</f>
        <v>Electrosurgical Units, Monopolar/Bipolar</v>
      </c>
      <c r="TIO102" s="528" t="s">
        <v>213</v>
      </c>
      <c r="TIP102" s="529" t="str">
        <f>VLOOKUP(TIO102,[14]AssetDetails_UEM!$A$3:$AH$1849,6,FALSE)</f>
        <v>Electrosurgical Units, Monopolar/Bipolar</v>
      </c>
      <c r="TIQ102" s="528" t="s">
        <v>213</v>
      </c>
      <c r="TIR102" s="529" t="str">
        <f>VLOOKUP(TIQ102,[14]AssetDetails_UEM!$A$3:$AH$1849,6,FALSE)</f>
        <v>Electrosurgical Units, Monopolar/Bipolar</v>
      </c>
      <c r="TIS102" s="528" t="s">
        <v>213</v>
      </c>
      <c r="TIT102" s="529" t="str">
        <f>VLOOKUP(TIS102,[14]AssetDetails_UEM!$A$3:$AH$1849,6,FALSE)</f>
        <v>Electrosurgical Units, Monopolar/Bipolar</v>
      </c>
      <c r="TIU102" s="528" t="s">
        <v>213</v>
      </c>
      <c r="TIV102" s="529" t="str">
        <f>VLOOKUP(TIU102,[14]AssetDetails_UEM!$A$3:$AH$1849,6,FALSE)</f>
        <v>Electrosurgical Units, Monopolar/Bipolar</v>
      </c>
      <c r="TIW102" s="528" t="s">
        <v>213</v>
      </c>
      <c r="TIX102" s="529" t="str">
        <f>VLOOKUP(TIW102,[14]AssetDetails_UEM!$A$3:$AH$1849,6,FALSE)</f>
        <v>Electrosurgical Units, Monopolar/Bipolar</v>
      </c>
      <c r="TIY102" s="528" t="s">
        <v>213</v>
      </c>
      <c r="TIZ102" s="529" t="str">
        <f>VLOOKUP(TIY102,[14]AssetDetails_UEM!$A$3:$AH$1849,6,FALSE)</f>
        <v>Electrosurgical Units, Monopolar/Bipolar</v>
      </c>
      <c r="TJA102" s="528" t="s">
        <v>213</v>
      </c>
      <c r="TJB102" s="529" t="str">
        <f>VLOOKUP(TJA102,[14]AssetDetails_UEM!$A$3:$AH$1849,6,FALSE)</f>
        <v>Electrosurgical Units, Monopolar/Bipolar</v>
      </c>
      <c r="TJC102" s="528" t="s">
        <v>213</v>
      </c>
      <c r="TJD102" s="529" t="str">
        <f>VLOOKUP(TJC102,[14]AssetDetails_UEM!$A$3:$AH$1849,6,FALSE)</f>
        <v>Electrosurgical Units, Monopolar/Bipolar</v>
      </c>
      <c r="TJE102" s="528" t="s">
        <v>213</v>
      </c>
      <c r="TJF102" s="529" t="str">
        <f>VLOOKUP(TJE102,[14]AssetDetails_UEM!$A$3:$AH$1849,6,FALSE)</f>
        <v>Electrosurgical Units, Monopolar/Bipolar</v>
      </c>
      <c r="TJG102" s="528" t="s">
        <v>213</v>
      </c>
      <c r="TJH102" s="529" t="str">
        <f>VLOOKUP(TJG102,[14]AssetDetails_UEM!$A$3:$AH$1849,6,FALSE)</f>
        <v>Electrosurgical Units, Monopolar/Bipolar</v>
      </c>
      <c r="TJI102" s="528" t="s">
        <v>213</v>
      </c>
      <c r="TJJ102" s="529" t="str">
        <f>VLOOKUP(TJI102,[14]AssetDetails_UEM!$A$3:$AH$1849,6,FALSE)</f>
        <v>Electrosurgical Units, Monopolar/Bipolar</v>
      </c>
      <c r="TJK102" s="528" t="s">
        <v>213</v>
      </c>
      <c r="TJL102" s="529" t="str">
        <f>VLOOKUP(TJK102,[14]AssetDetails_UEM!$A$3:$AH$1849,6,FALSE)</f>
        <v>Electrosurgical Units, Monopolar/Bipolar</v>
      </c>
      <c r="TJM102" s="528" t="s">
        <v>213</v>
      </c>
      <c r="TJN102" s="529" t="str">
        <f>VLOOKUP(TJM102,[14]AssetDetails_UEM!$A$3:$AH$1849,6,FALSE)</f>
        <v>Electrosurgical Units, Monopolar/Bipolar</v>
      </c>
      <c r="TJO102" s="528" t="s">
        <v>213</v>
      </c>
      <c r="TJP102" s="529" t="str">
        <f>VLOOKUP(TJO102,[14]AssetDetails_UEM!$A$3:$AH$1849,6,FALSE)</f>
        <v>Electrosurgical Units, Monopolar/Bipolar</v>
      </c>
      <c r="TJQ102" s="528" t="s">
        <v>213</v>
      </c>
      <c r="TJR102" s="529" t="str">
        <f>VLOOKUP(TJQ102,[14]AssetDetails_UEM!$A$3:$AH$1849,6,FALSE)</f>
        <v>Electrosurgical Units, Monopolar/Bipolar</v>
      </c>
      <c r="TJS102" s="528" t="s">
        <v>213</v>
      </c>
      <c r="TJT102" s="529" t="str">
        <f>VLOOKUP(TJS102,[14]AssetDetails_UEM!$A$3:$AH$1849,6,FALSE)</f>
        <v>Electrosurgical Units, Monopolar/Bipolar</v>
      </c>
      <c r="TJU102" s="528" t="s">
        <v>213</v>
      </c>
      <c r="TJV102" s="529" t="str">
        <f>VLOOKUP(TJU102,[14]AssetDetails_UEM!$A$3:$AH$1849,6,FALSE)</f>
        <v>Electrosurgical Units, Monopolar/Bipolar</v>
      </c>
      <c r="TJW102" s="528" t="s">
        <v>213</v>
      </c>
      <c r="TJX102" s="529" t="str">
        <f>VLOOKUP(TJW102,[14]AssetDetails_UEM!$A$3:$AH$1849,6,FALSE)</f>
        <v>Electrosurgical Units, Monopolar/Bipolar</v>
      </c>
      <c r="TJY102" s="528" t="s">
        <v>213</v>
      </c>
      <c r="TJZ102" s="529" t="str">
        <f>VLOOKUP(TJY102,[14]AssetDetails_UEM!$A$3:$AH$1849,6,FALSE)</f>
        <v>Electrosurgical Units, Monopolar/Bipolar</v>
      </c>
      <c r="TKA102" s="528" t="s">
        <v>213</v>
      </c>
      <c r="TKB102" s="529" t="str">
        <f>VLOOKUP(TKA102,[14]AssetDetails_UEM!$A$3:$AH$1849,6,FALSE)</f>
        <v>Electrosurgical Units, Monopolar/Bipolar</v>
      </c>
      <c r="TKC102" s="528" t="s">
        <v>213</v>
      </c>
      <c r="TKD102" s="529" t="str">
        <f>VLOOKUP(TKC102,[14]AssetDetails_UEM!$A$3:$AH$1849,6,FALSE)</f>
        <v>Electrosurgical Units, Monopolar/Bipolar</v>
      </c>
      <c r="TKE102" s="528" t="s">
        <v>213</v>
      </c>
      <c r="TKF102" s="529" t="str">
        <f>VLOOKUP(TKE102,[14]AssetDetails_UEM!$A$3:$AH$1849,6,FALSE)</f>
        <v>Electrosurgical Units, Monopolar/Bipolar</v>
      </c>
      <c r="TKG102" s="528" t="s">
        <v>213</v>
      </c>
      <c r="TKH102" s="529" t="str">
        <f>VLOOKUP(TKG102,[14]AssetDetails_UEM!$A$3:$AH$1849,6,FALSE)</f>
        <v>Electrosurgical Units, Monopolar/Bipolar</v>
      </c>
      <c r="TKI102" s="528" t="s">
        <v>213</v>
      </c>
      <c r="TKJ102" s="529" t="str">
        <f>VLOOKUP(TKI102,[14]AssetDetails_UEM!$A$3:$AH$1849,6,FALSE)</f>
        <v>Electrosurgical Units, Monopolar/Bipolar</v>
      </c>
      <c r="TKK102" s="528" t="s">
        <v>213</v>
      </c>
      <c r="TKL102" s="529" t="str">
        <f>VLOOKUP(TKK102,[14]AssetDetails_UEM!$A$3:$AH$1849,6,FALSE)</f>
        <v>Electrosurgical Units, Monopolar/Bipolar</v>
      </c>
      <c r="TKM102" s="528" t="s">
        <v>213</v>
      </c>
      <c r="TKN102" s="529" t="str">
        <f>VLOOKUP(TKM102,[14]AssetDetails_UEM!$A$3:$AH$1849,6,FALSE)</f>
        <v>Electrosurgical Units, Monopolar/Bipolar</v>
      </c>
      <c r="TKO102" s="528" t="s">
        <v>213</v>
      </c>
      <c r="TKP102" s="529" t="str">
        <f>VLOOKUP(TKO102,[14]AssetDetails_UEM!$A$3:$AH$1849,6,FALSE)</f>
        <v>Electrosurgical Units, Monopolar/Bipolar</v>
      </c>
      <c r="TKQ102" s="528" t="s">
        <v>213</v>
      </c>
      <c r="TKR102" s="529" t="str">
        <f>VLOOKUP(TKQ102,[14]AssetDetails_UEM!$A$3:$AH$1849,6,FALSE)</f>
        <v>Electrosurgical Units, Monopolar/Bipolar</v>
      </c>
      <c r="TKS102" s="528" t="s">
        <v>213</v>
      </c>
      <c r="TKT102" s="529" t="str">
        <f>VLOOKUP(TKS102,[14]AssetDetails_UEM!$A$3:$AH$1849,6,FALSE)</f>
        <v>Electrosurgical Units, Monopolar/Bipolar</v>
      </c>
      <c r="TKU102" s="528" t="s">
        <v>213</v>
      </c>
      <c r="TKV102" s="529" t="str">
        <f>VLOOKUP(TKU102,[14]AssetDetails_UEM!$A$3:$AH$1849,6,FALSE)</f>
        <v>Electrosurgical Units, Monopolar/Bipolar</v>
      </c>
      <c r="TKW102" s="528" t="s">
        <v>213</v>
      </c>
      <c r="TKX102" s="529" t="str">
        <f>VLOOKUP(TKW102,[14]AssetDetails_UEM!$A$3:$AH$1849,6,FALSE)</f>
        <v>Electrosurgical Units, Monopolar/Bipolar</v>
      </c>
      <c r="TKY102" s="528" t="s">
        <v>213</v>
      </c>
      <c r="TKZ102" s="529" t="str">
        <f>VLOOKUP(TKY102,[14]AssetDetails_UEM!$A$3:$AH$1849,6,FALSE)</f>
        <v>Electrosurgical Units, Monopolar/Bipolar</v>
      </c>
      <c r="TLA102" s="528" t="s">
        <v>213</v>
      </c>
      <c r="TLB102" s="529" t="str">
        <f>VLOOKUP(TLA102,[14]AssetDetails_UEM!$A$3:$AH$1849,6,FALSE)</f>
        <v>Electrosurgical Units, Monopolar/Bipolar</v>
      </c>
      <c r="TLC102" s="528" t="s">
        <v>213</v>
      </c>
      <c r="TLD102" s="529" t="str">
        <f>VLOOKUP(TLC102,[14]AssetDetails_UEM!$A$3:$AH$1849,6,FALSE)</f>
        <v>Electrosurgical Units, Monopolar/Bipolar</v>
      </c>
      <c r="TLE102" s="528" t="s">
        <v>213</v>
      </c>
      <c r="TLF102" s="529" t="str">
        <f>VLOOKUP(TLE102,[14]AssetDetails_UEM!$A$3:$AH$1849,6,FALSE)</f>
        <v>Electrosurgical Units, Monopolar/Bipolar</v>
      </c>
      <c r="TLG102" s="528" t="s">
        <v>213</v>
      </c>
      <c r="TLH102" s="529" t="str">
        <f>VLOOKUP(TLG102,[14]AssetDetails_UEM!$A$3:$AH$1849,6,FALSE)</f>
        <v>Electrosurgical Units, Monopolar/Bipolar</v>
      </c>
      <c r="TLI102" s="528" t="s">
        <v>213</v>
      </c>
      <c r="TLJ102" s="529" t="str">
        <f>VLOOKUP(TLI102,[14]AssetDetails_UEM!$A$3:$AH$1849,6,FALSE)</f>
        <v>Electrosurgical Units, Monopolar/Bipolar</v>
      </c>
      <c r="TLK102" s="528" t="s">
        <v>213</v>
      </c>
      <c r="TLL102" s="529" t="str">
        <f>VLOOKUP(TLK102,[14]AssetDetails_UEM!$A$3:$AH$1849,6,FALSE)</f>
        <v>Electrosurgical Units, Monopolar/Bipolar</v>
      </c>
      <c r="TLM102" s="528" t="s">
        <v>213</v>
      </c>
      <c r="TLN102" s="529" t="str">
        <f>VLOOKUP(TLM102,[14]AssetDetails_UEM!$A$3:$AH$1849,6,FALSE)</f>
        <v>Electrosurgical Units, Monopolar/Bipolar</v>
      </c>
      <c r="TLO102" s="528" t="s">
        <v>213</v>
      </c>
      <c r="TLP102" s="529" t="str">
        <f>VLOOKUP(TLO102,[14]AssetDetails_UEM!$A$3:$AH$1849,6,FALSE)</f>
        <v>Electrosurgical Units, Monopolar/Bipolar</v>
      </c>
      <c r="TLQ102" s="528" t="s">
        <v>213</v>
      </c>
      <c r="TLR102" s="529" t="str">
        <f>VLOOKUP(TLQ102,[14]AssetDetails_UEM!$A$3:$AH$1849,6,FALSE)</f>
        <v>Electrosurgical Units, Monopolar/Bipolar</v>
      </c>
      <c r="TLS102" s="528" t="s">
        <v>213</v>
      </c>
      <c r="TLT102" s="529" t="str">
        <f>VLOOKUP(TLS102,[14]AssetDetails_UEM!$A$3:$AH$1849,6,FALSE)</f>
        <v>Electrosurgical Units, Monopolar/Bipolar</v>
      </c>
      <c r="TLU102" s="528" t="s">
        <v>213</v>
      </c>
      <c r="TLV102" s="529" t="str">
        <f>VLOOKUP(TLU102,[14]AssetDetails_UEM!$A$3:$AH$1849,6,FALSE)</f>
        <v>Electrosurgical Units, Monopolar/Bipolar</v>
      </c>
      <c r="TLW102" s="528" t="s">
        <v>213</v>
      </c>
      <c r="TLX102" s="529" t="str">
        <f>VLOOKUP(TLW102,[14]AssetDetails_UEM!$A$3:$AH$1849,6,FALSE)</f>
        <v>Electrosurgical Units, Monopolar/Bipolar</v>
      </c>
      <c r="TLY102" s="528" t="s">
        <v>213</v>
      </c>
      <c r="TLZ102" s="529" t="str">
        <f>VLOOKUP(TLY102,[14]AssetDetails_UEM!$A$3:$AH$1849,6,FALSE)</f>
        <v>Electrosurgical Units, Monopolar/Bipolar</v>
      </c>
      <c r="TMA102" s="528" t="s">
        <v>213</v>
      </c>
      <c r="TMB102" s="529" t="str">
        <f>VLOOKUP(TMA102,[14]AssetDetails_UEM!$A$3:$AH$1849,6,FALSE)</f>
        <v>Electrosurgical Units, Monopolar/Bipolar</v>
      </c>
      <c r="TMC102" s="528" t="s">
        <v>213</v>
      </c>
      <c r="TMD102" s="529" t="str">
        <f>VLOOKUP(TMC102,[14]AssetDetails_UEM!$A$3:$AH$1849,6,FALSE)</f>
        <v>Electrosurgical Units, Monopolar/Bipolar</v>
      </c>
      <c r="TME102" s="528" t="s">
        <v>213</v>
      </c>
      <c r="TMF102" s="529" t="str">
        <f>VLOOKUP(TME102,[14]AssetDetails_UEM!$A$3:$AH$1849,6,FALSE)</f>
        <v>Electrosurgical Units, Monopolar/Bipolar</v>
      </c>
      <c r="TMG102" s="528" t="s">
        <v>213</v>
      </c>
      <c r="TMH102" s="529" t="str">
        <f>VLOOKUP(TMG102,[14]AssetDetails_UEM!$A$3:$AH$1849,6,FALSE)</f>
        <v>Electrosurgical Units, Monopolar/Bipolar</v>
      </c>
      <c r="TMI102" s="528" t="s">
        <v>213</v>
      </c>
      <c r="TMJ102" s="529" t="str">
        <f>VLOOKUP(TMI102,[14]AssetDetails_UEM!$A$3:$AH$1849,6,FALSE)</f>
        <v>Electrosurgical Units, Monopolar/Bipolar</v>
      </c>
      <c r="TMK102" s="528" t="s">
        <v>213</v>
      </c>
      <c r="TML102" s="529" t="str">
        <f>VLOOKUP(TMK102,[14]AssetDetails_UEM!$A$3:$AH$1849,6,FALSE)</f>
        <v>Electrosurgical Units, Monopolar/Bipolar</v>
      </c>
      <c r="TMM102" s="528" t="s">
        <v>213</v>
      </c>
      <c r="TMN102" s="529" t="str">
        <f>VLOOKUP(TMM102,[14]AssetDetails_UEM!$A$3:$AH$1849,6,FALSE)</f>
        <v>Electrosurgical Units, Monopolar/Bipolar</v>
      </c>
      <c r="TMO102" s="528" t="s">
        <v>213</v>
      </c>
      <c r="TMP102" s="529" t="str">
        <f>VLOOKUP(TMO102,[14]AssetDetails_UEM!$A$3:$AH$1849,6,FALSE)</f>
        <v>Electrosurgical Units, Monopolar/Bipolar</v>
      </c>
      <c r="TMQ102" s="528" t="s">
        <v>213</v>
      </c>
      <c r="TMR102" s="529" t="str">
        <f>VLOOKUP(TMQ102,[14]AssetDetails_UEM!$A$3:$AH$1849,6,FALSE)</f>
        <v>Electrosurgical Units, Monopolar/Bipolar</v>
      </c>
      <c r="TMS102" s="528" t="s">
        <v>213</v>
      </c>
      <c r="TMT102" s="529" t="str">
        <f>VLOOKUP(TMS102,[14]AssetDetails_UEM!$A$3:$AH$1849,6,FALSE)</f>
        <v>Electrosurgical Units, Monopolar/Bipolar</v>
      </c>
      <c r="TMU102" s="528" t="s">
        <v>213</v>
      </c>
      <c r="TMV102" s="529" t="str">
        <f>VLOOKUP(TMU102,[14]AssetDetails_UEM!$A$3:$AH$1849,6,FALSE)</f>
        <v>Electrosurgical Units, Monopolar/Bipolar</v>
      </c>
      <c r="TMW102" s="528" t="s">
        <v>213</v>
      </c>
      <c r="TMX102" s="529" t="str">
        <f>VLOOKUP(TMW102,[14]AssetDetails_UEM!$A$3:$AH$1849,6,FALSE)</f>
        <v>Electrosurgical Units, Monopolar/Bipolar</v>
      </c>
      <c r="TMY102" s="528" t="s">
        <v>213</v>
      </c>
      <c r="TMZ102" s="529" t="str">
        <f>VLOOKUP(TMY102,[14]AssetDetails_UEM!$A$3:$AH$1849,6,FALSE)</f>
        <v>Electrosurgical Units, Monopolar/Bipolar</v>
      </c>
      <c r="TNA102" s="528" t="s">
        <v>213</v>
      </c>
      <c r="TNB102" s="529" t="str">
        <f>VLOOKUP(TNA102,[14]AssetDetails_UEM!$A$3:$AH$1849,6,FALSE)</f>
        <v>Electrosurgical Units, Monopolar/Bipolar</v>
      </c>
      <c r="TNC102" s="528" t="s">
        <v>213</v>
      </c>
      <c r="TND102" s="529" t="str">
        <f>VLOOKUP(TNC102,[14]AssetDetails_UEM!$A$3:$AH$1849,6,FALSE)</f>
        <v>Electrosurgical Units, Monopolar/Bipolar</v>
      </c>
      <c r="TNE102" s="528" t="s">
        <v>213</v>
      </c>
      <c r="TNF102" s="529" t="str">
        <f>VLOOKUP(TNE102,[14]AssetDetails_UEM!$A$3:$AH$1849,6,FALSE)</f>
        <v>Electrosurgical Units, Monopolar/Bipolar</v>
      </c>
      <c r="TNG102" s="528" t="s">
        <v>213</v>
      </c>
      <c r="TNH102" s="529" t="str">
        <f>VLOOKUP(TNG102,[14]AssetDetails_UEM!$A$3:$AH$1849,6,FALSE)</f>
        <v>Electrosurgical Units, Monopolar/Bipolar</v>
      </c>
      <c r="TNI102" s="528" t="s">
        <v>213</v>
      </c>
      <c r="TNJ102" s="529" t="str">
        <f>VLOOKUP(TNI102,[14]AssetDetails_UEM!$A$3:$AH$1849,6,FALSE)</f>
        <v>Electrosurgical Units, Monopolar/Bipolar</v>
      </c>
      <c r="TNK102" s="528" t="s">
        <v>213</v>
      </c>
      <c r="TNL102" s="529" t="str">
        <f>VLOOKUP(TNK102,[14]AssetDetails_UEM!$A$3:$AH$1849,6,FALSE)</f>
        <v>Electrosurgical Units, Monopolar/Bipolar</v>
      </c>
      <c r="TNM102" s="528" t="s">
        <v>213</v>
      </c>
      <c r="TNN102" s="529" t="str">
        <f>VLOOKUP(TNM102,[14]AssetDetails_UEM!$A$3:$AH$1849,6,FALSE)</f>
        <v>Electrosurgical Units, Monopolar/Bipolar</v>
      </c>
      <c r="TNO102" s="528" t="s">
        <v>213</v>
      </c>
      <c r="TNP102" s="529" t="str">
        <f>VLOOKUP(TNO102,[14]AssetDetails_UEM!$A$3:$AH$1849,6,FALSE)</f>
        <v>Electrosurgical Units, Monopolar/Bipolar</v>
      </c>
      <c r="TNQ102" s="528" t="s">
        <v>213</v>
      </c>
      <c r="TNR102" s="529" t="str">
        <f>VLOOKUP(TNQ102,[14]AssetDetails_UEM!$A$3:$AH$1849,6,FALSE)</f>
        <v>Electrosurgical Units, Monopolar/Bipolar</v>
      </c>
      <c r="TNS102" s="528" t="s">
        <v>213</v>
      </c>
      <c r="TNT102" s="529" t="str">
        <f>VLOOKUP(TNS102,[14]AssetDetails_UEM!$A$3:$AH$1849,6,FALSE)</f>
        <v>Electrosurgical Units, Monopolar/Bipolar</v>
      </c>
      <c r="TNU102" s="528" t="s">
        <v>213</v>
      </c>
      <c r="TNV102" s="529" t="str">
        <f>VLOOKUP(TNU102,[14]AssetDetails_UEM!$A$3:$AH$1849,6,FALSE)</f>
        <v>Electrosurgical Units, Monopolar/Bipolar</v>
      </c>
      <c r="TNW102" s="528" t="s">
        <v>213</v>
      </c>
      <c r="TNX102" s="529" t="str">
        <f>VLOOKUP(TNW102,[14]AssetDetails_UEM!$A$3:$AH$1849,6,FALSE)</f>
        <v>Electrosurgical Units, Monopolar/Bipolar</v>
      </c>
      <c r="TNY102" s="528" t="s">
        <v>213</v>
      </c>
      <c r="TNZ102" s="529" t="str">
        <f>VLOOKUP(TNY102,[14]AssetDetails_UEM!$A$3:$AH$1849,6,FALSE)</f>
        <v>Electrosurgical Units, Monopolar/Bipolar</v>
      </c>
      <c r="TOA102" s="528" t="s">
        <v>213</v>
      </c>
      <c r="TOB102" s="529" t="str">
        <f>VLOOKUP(TOA102,[14]AssetDetails_UEM!$A$3:$AH$1849,6,FALSE)</f>
        <v>Electrosurgical Units, Monopolar/Bipolar</v>
      </c>
      <c r="TOC102" s="528" t="s">
        <v>213</v>
      </c>
      <c r="TOD102" s="529" t="str">
        <f>VLOOKUP(TOC102,[14]AssetDetails_UEM!$A$3:$AH$1849,6,FALSE)</f>
        <v>Electrosurgical Units, Monopolar/Bipolar</v>
      </c>
      <c r="TOE102" s="528" t="s">
        <v>213</v>
      </c>
      <c r="TOF102" s="529" t="str">
        <f>VLOOKUP(TOE102,[14]AssetDetails_UEM!$A$3:$AH$1849,6,FALSE)</f>
        <v>Electrosurgical Units, Monopolar/Bipolar</v>
      </c>
      <c r="TOG102" s="528" t="s">
        <v>213</v>
      </c>
      <c r="TOH102" s="529" t="str">
        <f>VLOOKUP(TOG102,[14]AssetDetails_UEM!$A$3:$AH$1849,6,FALSE)</f>
        <v>Electrosurgical Units, Monopolar/Bipolar</v>
      </c>
      <c r="TOI102" s="528" t="s">
        <v>213</v>
      </c>
      <c r="TOJ102" s="529" t="str">
        <f>VLOOKUP(TOI102,[14]AssetDetails_UEM!$A$3:$AH$1849,6,FALSE)</f>
        <v>Electrosurgical Units, Monopolar/Bipolar</v>
      </c>
      <c r="TOK102" s="528" t="s">
        <v>213</v>
      </c>
      <c r="TOL102" s="529" t="str">
        <f>VLOOKUP(TOK102,[14]AssetDetails_UEM!$A$3:$AH$1849,6,FALSE)</f>
        <v>Electrosurgical Units, Monopolar/Bipolar</v>
      </c>
      <c r="TOM102" s="528" t="s">
        <v>213</v>
      </c>
      <c r="TON102" s="529" t="str">
        <f>VLOOKUP(TOM102,[14]AssetDetails_UEM!$A$3:$AH$1849,6,FALSE)</f>
        <v>Electrosurgical Units, Monopolar/Bipolar</v>
      </c>
      <c r="TOO102" s="528" t="s">
        <v>213</v>
      </c>
      <c r="TOP102" s="529" t="str">
        <f>VLOOKUP(TOO102,[14]AssetDetails_UEM!$A$3:$AH$1849,6,FALSE)</f>
        <v>Electrosurgical Units, Monopolar/Bipolar</v>
      </c>
      <c r="TOQ102" s="528" t="s">
        <v>213</v>
      </c>
      <c r="TOR102" s="529" t="str">
        <f>VLOOKUP(TOQ102,[14]AssetDetails_UEM!$A$3:$AH$1849,6,FALSE)</f>
        <v>Electrosurgical Units, Monopolar/Bipolar</v>
      </c>
      <c r="TOS102" s="528" t="s">
        <v>213</v>
      </c>
      <c r="TOT102" s="529" t="str">
        <f>VLOOKUP(TOS102,[14]AssetDetails_UEM!$A$3:$AH$1849,6,FALSE)</f>
        <v>Electrosurgical Units, Monopolar/Bipolar</v>
      </c>
      <c r="TOU102" s="528" t="s">
        <v>213</v>
      </c>
      <c r="TOV102" s="529" t="str">
        <f>VLOOKUP(TOU102,[14]AssetDetails_UEM!$A$3:$AH$1849,6,FALSE)</f>
        <v>Electrosurgical Units, Monopolar/Bipolar</v>
      </c>
      <c r="TOW102" s="528" t="s">
        <v>213</v>
      </c>
      <c r="TOX102" s="529" t="str">
        <f>VLOOKUP(TOW102,[14]AssetDetails_UEM!$A$3:$AH$1849,6,FALSE)</f>
        <v>Electrosurgical Units, Monopolar/Bipolar</v>
      </c>
      <c r="TOY102" s="528" t="s">
        <v>213</v>
      </c>
      <c r="TOZ102" s="529" t="str">
        <f>VLOOKUP(TOY102,[14]AssetDetails_UEM!$A$3:$AH$1849,6,FALSE)</f>
        <v>Electrosurgical Units, Monopolar/Bipolar</v>
      </c>
      <c r="TPA102" s="528" t="s">
        <v>213</v>
      </c>
      <c r="TPB102" s="529" t="str">
        <f>VLOOKUP(TPA102,[14]AssetDetails_UEM!$A$3:$AH$1849,6,FALSE)</f>
        <v>Electrosurgical Units, Monopolar/Bipolar</v>
      </c>
      <c r="TPC102" s="528" t="s">
        <v>213</v>
      </c>
      <c r="TPD102" s="529" t="str">
        <f>VLOOKUP(TPC102,[14]AssetDetails_UEM!$A$3:$AH$1849,6,FALSE)</f>
        <v>Electrosurgical Units, Monopolar/Bipolar</v>
      </c>
      <c r="TPE102" s="528" t="s">
        <v>213</v>
      </c>
      <c r="TPF102" s="529" t="str">
        <f>VLOOKUP(TPE102,[14]AssetDetails_UEM!$A$3:$AH$1849,6,FALSE)</f>
        <v>Electrosurgical Units, Monopolar/Bipolar</v>
      </c>
      <c r="TPG102" s="528" t="s">
        <v>213</v>
      </c>
      <c r="TPH102" s="529" t="str">
        <f>VLOOKUP(TPG102,[14]AssetDetails_UEM!$A$3:$AH$1849,6,FALSE)</f>
        <v>Electrosurgical Units, Monopolar/Bipolar</v>
      </c>
      <c r="TPI102" s="528" t="s">
        <v>213</v>
      </c>
      <c r="TPJ102" s="529" t="str">
        <f>VLOOKUP(TPI102,[14]AssetDetails_UEM!$A$3:$AH$1849,6,FALSE)</f>
        <v>Electrosurgical Units, Monopolar/Bipolar</v>
      </c>
      <c r="TPK102" s="528" t="s">
        <v>213</v>
      </c>
      <c r="TPL102" s="529" t="str">
        <f>VLOOKUP(TPK102,[14]AssetDetails_UEM!$A$3:$AH$1849,6,FALSE)</f>
        <v>Electrosurgical Units, Monopolar/Bipolar</v>
      </c>
      <c r="TPM102" s="528" t="s">
        <v>213</v>
      </c>
      <c r="TPN102" s="529" t="str">
        <f>VLOOKUP(TPM102,[14]AssetDetails_UEM!$A$3:$AH$1849,6,FALSE)</f>
        <v>Electrosurgical Units, Monopolar/Bipolar</v>
      </c>
      <c r="TPO102" s="528" t="s">
        <v>213</v>
      </c>
      <c r="TPP102" s="529" t="str">
        <f>VLOOKUP(TPO102,[14]AssetDetails_UEM!$A$3:$AH$1849,6,FALSE)</f>
        <v>Electrosurgical Units, Monopolar/Bipolar</v>
      </c>
      <c r="TPQ102" s="528" t="s">
        <v>213</v>
      </c>
      <c r="TPR102" s="529" t="str">
        <f>VLOOKUP(TPQ102,[14]AssetDetails_UEM!$A$3:$AH$1849,6,FALSE)</f>
        <v>Electrosurgical Units, Monopolar/Bipolar</v>
      </c>
      <c r="TPS102" s="528" t="s">
        <v>213</v>
      </c>
      <c r="TPT102" s="529" t="str">
        <f>VLOOKUP(TPS102,[14]AssetDetails_UEM!$A$3:$AH$1849,6,FALSE)</f>
        <v>Electrosurgical Units, Monopolar/Bipolar</v>
      </c>
      <c r="TPU102" s="528" t="s">
        <v>213</v>
      </c>
      <c r="TPV102" s="529" t="str">
        <f>VLOOKUP(TPU102,[14]AssetDetails_UEM!$A$3:$AH$1849,6,FALSE)</f>
        <v>Electrosurgical Units, Monopolar/Bipolar</v>
      </c>
      <c r="TPW102" s="528" t="s">
        <v>213</v>
      </c>
      <c r="TPX102" s="529" t="str">
        <f>VLOOKUP(TPW102,[14]AssetDetails_UEM!$A$3:$AH$1849,6,FALSE)</f>
        <v>Electrosurgical Units, Monopolar/Bipolar</v>
      </c>
      <c r="TPY102" s="528" t="s">
        <v>213</v>
      </c>
      <c r="TPZ102" s="529" t="str">
        <f>VLOOKUP(TPY102,[14]AssetDetails_UEM!$A$3:$AH$1849,6,FALSE)</f>
        <v>Electrosurgical Units, Monopolar/Bipolar</v>
      </c>
      <c r="TQA102" s="528" t="s">
        <v>213</v>
      </c>
      <c r="TQB102" s="529" t="str">
        <f>VLOOKUP(TQA102,[14]AssetDetails_UEM!$A$3:$AH$1849,6,FALSE)</f>
        <v>Electrosurgical Units, Monopolar/Bipolar</v>
      </c>
      <c r="TQC102" s="528" t="s">
        <v>213</v>
      </c>
      <c r="TQD102" s="529" t="str">
        <f>VLOOKUP(TQC102,[14]AssetDetails_UEM!$A$3:$AH$1849,6,FALSE)</f>
        <v>Electrosurgical Units, Monopolar/Bipolar</v>
      </c>
      <c r="TQE102" s="528" t="s">
        <v>213</v>
      </c>
      <c r="TQF102" s="529" t="str">
        <f>VLOOKUP(TQE102,[14]AssetDetails_UEM!$A$3:$AH$1849,6,FALSE)</f>
        <v>Electrosurgical Units, Monopolar/Bipolar</v>
      </c>
      <c r="TQG102" s="528" t="s">
        <v>213</v>
      </c>
      <c r="TQH102" s="529" t="str">
        <f>VLOOKUP(TQG102,[14]AssetDetails_UEM!$A$3:$AH$1849,6,FALSE)</f>
        <v>Electrosurgical Units, Monopolar/Bipolar</v>
      </c>
      <c r="TQI102" s="528" t="s">
        <v>213</v>
      </c>
      <c r="TQJ102" s="529" t="str">
        <f>VLOOKUP(TQI102,[14]AssetDetails_UEM!$A$3:$AH$1849,6,FALSE)</f>
        <v>Electrosurgical Units, Monopolar/Bipolar</v>
      </c>
      <c r="TQK102" s="528" t="s">
        <v>213</v>
      </c>
      <c r="TQL102" s="529" t="str">
        <f>VLOOKUP(TQK102,[14]AssetDetails_UEM!$A$3:$AH$1849,6,FALSE)</f>
        <v>Electrosurgical Units, Monopolar/Bipolar</v>
      </c>
      <c r="TQM102" s="528" t="s">
        <v>213</v>
      </c>
      <c r="TQN102" s="529" t="str">
        <f>VLOOKUP(TQM102,[14]AssetDetails_UEM!$A$3:$AH$1849,6,FALSE)</f>
        <v>Electrosurgical Units, Monopolar/Bipolar</v>
      </c>
      <c r="TQO102" s="528" t="s">
        <v>213</v>
      </c>
      <c r="TQP102" s="529" t="str">
        <f>VLOOKUP(TQO102,[14]AssetDetails_UEM!$A$3:$AH$1849,6,FALSE)</f>
        <v>Electrosurgical Units, Monopolar/Bipolar</v>
      </c>
      <c r="TQQ102" s="528" t="s">
        <v>213</v>
      </c>
      <c r="TQR102" s="529" t="str">
        <f>VLOOKUP(TQQ102,[14]AssetDetails_UEM!$A$3:$AH$1849,6,FALSE)</f>
        <v>Electrosurgical Units, Monopolar/Bipolar</v>
      </c>
      <c r="TQS102" s="528" t="s">
        <v>213</v>
      </c>
      <c r="TQT102" s="529" t="str">
        <f>VLOOKUP(TQS102,[14]AssetDetails_UEM!$A$3:$AH$1849,6,FALSE)</f>
        <v>Electrosurgical Units, Monopolar/Bipolar</v>
      </c>
      <c r="TQU102" s="528" t="s">
        <v>213</v>
      </c>
      <c r="TQV102" s="529" t="str">
        <f>VLOOKUP(TQU102,[14]AssetDetails_UEM!$A$3:$AH$1849,6,FALSE)</f>
        <v>Electrosurgical Units, Monopolar/Bipolar</v>
      </c>
      <c r="TQW102" s="528" t="s">
        <v>213</v>
      </c>
      <c r="TQX102" s="529" t="str">
        <f>VLOOKUP(TQW102,[14]AssetDetails_UEM!$A$3:$AH$1849,6,FALSE)</f>
        <v>Electrosurgical Units, Monopolar/Bipolar</v>
      </c>
      <c r="TQY102" s="528" t="s">
        <v>213</v>
      </c>
      <c r="TQZ102" s="529" t="str">
        <f>VLOOKUP(TQY102,[14]AssetDetails_UEM!$A$3:$AH$1849,6,FALSE)</f>
        <v>Electrosurgical Units, Monopolar/Bipolar</v>
      </c>
      <c r="TRA102" s="528" t="s">
        <v>213</v>
      </c>
      <c r="TRB102" s="529" t="str">
        <f>VLOOKUP(TRA102,[14]AssetDetails_UEM!$A$3:$AH$1849,6,FALSE)</f>
        <v>Electrosurgical Units, Monopolar/Bipolar</v>
      </c>
      <c r="TRC102" s="528" t="s">
        <v>213</v>
      </c>
      <c r="TRD102" s="529" t="str">
        <f>VLOOKUP(TRC102,[14]AssetDetails_UEM!$A$3:$AH$1849,6,FALSE)</f>
        <v>Electrosurgical Units, Monopolar/Bipolar</v>
      </c>
      <c r="TRE102" s="528" t="s">
        <v>213</v>
      </c>
      <c r="TRF102" s="529" t="str">
        <f>VLOOKUP(TRE102,[14]AssetDetails_UEM!$A$3:$AH$1849,6,FALSE)</f>
        <v>Electrosurgical Units, Monopolar/Bipolar</v>
      </c>
      <c r="TRG102" s="528" t="s">
        <v>213</v>
      </c>
      <c r="TRH102" s="529" t="str">
        <f>VLOOKUP(TRG102,[14]AssetDetails_UEM!$A$3:$AH$1849,6,FALSE)</f>
        <v>Electrosurgical Units, Monopolar/Bipolar</v>
      </c>
      <c r="TRI102" s="528" t="s">
        <v>213</v>
      </c>
      <c r="TRJ102" s="529" t="str">
        <f>VLOOKUP(TRI102,[14]AssetDetails_UEM!$A$3:$AH$1849,6,FALSE)</f>
        <v>Electrosurgical Units, Monopolar/Bipolar</v>
      </c>
      <c r="TRK102" s="528" t="s">
        <v>213</v>
      </c>
      <c r="TRL102" s="529" t="str">
        <f>VLOOKUP(TRK102,[14]AssetDetails_UEM!$A$3:$AH$1849,6,FALSE)</f>
        <v>Electrosurgical Units, Monopolar/Bipolar</v>
      </c>
      <c r="TRM102" s="528" t="s">
        <v>213</v>
      </c>
      <c r="TRN102" s="529" t="str">
        <f>VLOOKUP(TRM102,[14]AssetDetails_UEM!$A$3:$AH$1849,6,FALSE)</f>
        <v>Electrosurgical Units, Monopolar/Bipolar</v>
      </c>
      <c r="TRO102" s="528" t="s">
        <v>213</v>
      </c>
      <c r="TRP102" s="529" t="str">
        <f>VLOOKUP(TRO102,[14]AssetDetails_UEM!$A$3:$AH$1849,6,FALSE)</f>
        <v>Electrosurgical Units, Monopolar/Bipolar</v>
      </c>
      <c r="TRQ102" s="528" t="s">
        <v>213</v>
      </c>
      <c r="TRR102" s="529" t="str">
        <f>VLOOKUP(TRQ102,[14]AssetDetails_UEM!$A$3:$AH$1849,6,FALSE)</f>
        <v>Electrosurgical Units, Monopolar/Bipolar</v>
      </c>
      <c r="TRS102" s="528" t="s">
        <v>213</v>
      </c>
      <c r="TRT102" s="529" t="str">
        <f>VLOOKUP(TRS102,[14]AssetDetails_UEM!$A$3:$AH$1849,6,FALSE)</f>
        <v>Electrosurgical Units, Monopolar/Bipolar</v>
      </c>
      <c r="TRU102" s="528" t="s">
        <v>213</v>
      </c>
      <c r="TRV102" s="529" t="str">
        <f>VLOOKUP(TRU102,[14]AssetDetails_UEM!$A$3:$AH$1849,6,FALSE)</f>
        <v>Electrosurgical Units, Monopolar/Bipolar</v>
      </c>
      <c r="TRW102" s="528" t="s">
        <v>213</v>
      </c>
      <c r="TRX102" s="529" t="str">
        <f>VLOOKUP(TRW102,[14]AssetDetails_UEM!$A$3:$AH$1849,6,FALSE)</f>
        <v>Electrosurgical Units, Monopolar/Bipolar</v>
      </c>
      <c r="TRY102" s="528" t="s">
        <v>213</v>
      </c>
      <c r="TRZ102" s="529" t="str">
        <f>VLOOKUP(TRY102,[14]AssetDetails_UEM!$A$3:$AH$1849,6,FALSE)</f>
        <v>Electrosurgical Units, Monopolar/Bipolar</v>
      </c>
      <c r="TSA102" s="528" t="s">
        <v>213</v>
      </c>
      <c r="TSB102" s="529" t="str">
        <f>VLOOKUP(TSA102,[14]AssetDetails_UEM!$A$3:$AH$1849,6,FALSE)</f>
        <v>Electrosurgical Units, Monopolar/Bipolar</v>
      </c>
      <c r="TSC102" s="528" t="s">
        <v>213</v>
      </c>
      <c r="TSD102" s="529" t="str">
        <f>VLOOKUP(TSC102,[14]AssetDetails_UEM!$A$3:$AH$1849,6,FALSE)</f>
        <v>Electrosurgical Units, Monopolar/Bipolar</v>
      </c>
      <c r="TSE102" s="528" t="s">
        <v>213</v>
      </c>
      <c r="TSF102" s="529" t="str">
        <f>VLOOKUP(TSE102,[14]AssetDetails_UEM!$A$3:$AH$1849,6,FALSE)</f>
        <v>Electrosurgical Units, Monopolar/Bipolar</v>
      </c>
      <c r="TSG102" s="528" t="s">
        <v>213</v>
      </c>
      <c r="TSH102" s="529" t="str">
        <f>VLOOKUP(TSG102,[14]AssetDetails_UEM!$A$3:$AH$1849,6,FALSE)</f>
        <v>Electrosurgical Units, Monopolar/Bipolar</v>
      </c>
      <c r="TSI102" s="528" t="s">
        <v>213</v>
      </c>
      <c r="TSJ102" s="529" t="str">
        <f>VLOOKUP(TSI102,[14]AssetDetails_UEM!$A$3:$AH$1849,6,FALSE)</f>
        <v>Electrosurgical Units, Monopolar/Bipolar</v>
      </c>
      <c r="TSK102" s="528" t="s">
        <v>213</v>
      </c>
      <c r="TSL102" s="529" t="str">
        <f>VLOOKUP(TSK102,[14]AssetDetails_UEM!$A$3:$AH$1849,6,FALSE)</f>
        <v>Electrosurgical Units, Monopolar/Bipolar</v>
      </c>
      <c r="TSM102" s="528" t="s">
        <v>213</v>
      </c>
      <c r="TSN102" s="529" t="str">
        <f>VLOOKUP(TSM102,[14]AssetDetails_UEM!$A$3:$AH$1849,6,FALSE)</f>
        <v>Electrosurgical Units, Monopolar/Bipolar</v>
      </c>
      <c r="TSO102" s="528" t="s">
        <v>213</v>
      </c>
      <c r="TSP102" s="529" t="str">
        <f>VLOOKUP(TSO102,[14]AssetDetails_UEM!$A$3:$AH$1849,6,FALSE)</f>
        <v>Electrosurgical Units, Monopolar/Bipolar</v>
      </c>
      <c r="TSQ102" s="528" t="s">
        <v>213</v>
      </c>
      <c r="TSR102" s="529" t="str">
        <f>VLOOKUP(TSQ102,[14]AssetDetails_UEM!$A$3:$AH$1849,6,FALSE)</f>
        <v>Electrosurgical Units, Monopolar/Bipolar</v>
      </c>
      <c r="TSS102" s="528" t="s">
        <v>213</v>
      </c>
      <c r="TST102" s="529" t="str">
        <f>VLOOKUP(TSS102,[14]AssetDetails_UEM!$A$3:$AH$1849,6,FALSE)</f>
        <v>Electrosurgical Units, Monopolar/Bipolar</v>
      </c>
      <c r="TSU102" s="528" t="s">
        <v>213</v>
      </c>
      <c r="TSV102" s="529" t="str">
        <f>VLOOKUP(TSU102,[14]AssetDetails_UEM!$A$3:$AH$1849,6,FALSE)</f>
        <v>Electrosurgical Units, Monopolar/Bipolar</v>
      </c>
      <c r="TSW102" s="528" t="s">
        <v>213</v>
      </c>
      <c r="TSX102" s="529" t="str">
        <f>VLOOKUP(TSW102,[14]AssetDetails_UEM!$A$3:$AH$1849,6,FALSE)</f>
        <v>Electrosurgical Units, Monopolar/Bipolar</v>
      </c>
      <c r="TSY102" s="528" t="s">
        <v>213</v>
      </c>
      <c r="TSZ102" s="529" t="str">
        <f>VLOOKUP(TSY102,[14]AssetDetails_UEM!$A$3:$AH$1849,6,FALSE)</f>
        <v>Electrosurgical Units, Monopolar/Bipolar</v>
      </c>
      <c r="TTA102" s="528" t="s">
        <v>213</v>
      </c>
      <c r="TTB102" s="529" t="str">
        <f>VLOOKUP(TTA102,[14]AssetDetails_UEM!$A$3:$AH$1849,6,FALSE)</f>
        <v>Electrosurgical Units, Monopolar/Bipolar</v>
      </c>
      <c r="TTC102" s="528" t="s">
        <v>213</v>
      </c>
      <c r="TTD102" s="529" t="str">
        <f>VLOOKUP(TTC102,[14]AssetDetails_UEM!$A$3:$AH$1849,6,FALSE)</f>
        <v>Electrosurgical Units, Monopolar/Bipolar</v>
      </c>
      <c r="TTE102" s="528" t="s">
        <v>213</v>
      </c>
      <c r="TTF102" s="529" t="str">
        <f>VLOOKUP(TTE102,[14]AssetDetails_UEM!$A$3:$AH$1849,6,FALSE)</f>
        <v>Electrosurgical Units, Monopolar/Bipolar</v>
      </c>
      <c r="TTG102" s="528" t="s">
        <v>213</v>
      </c>
      <c r="TTH102" s="529" t="str">
        <f>VLOOKUP(TTG102,[14]AssetDetails_UEM!$A$3:$AH$1849,6,FALSE)</f>
        <v>Electrosurgical Units, Monopolar/Bipolar</v>
      </c>
      <c r="TTI102" s="528" t="s">
        <v>213</v>
      </c>
      <c r="TTJ102" s="529" t="str">
        <f>VLOOKUP(TTI102,[14]AssetDetails_UEM!$A$3:$AH$1849,6,FALSE)</f>
        <v>Electrosurgical Units, Monopolar/Bipolar</v>
      </c>
      <c r="TTK102" s="528" t="s">
        <v>213</v>
      </c>
      <c r="TTL102" s="529" t="str">
        <f>VLOOKUP(TTK102,[14]AssetDetails_UEM!$A$3:$AH$1849,6,FALSE)</f>
        <v>Electrosurgical Units, Monopolar/Bipolar</v>
      </c>
      <c r="TTM102" s="528" t="s">
        <v>213</v>
      </c>
      <c r="TTN102" s="529" t="str">
        <f>VLOOKUP(TTM102,[14]AssetDetails_UEM!$A$3:$AH$1849,6,FALSE)</f>
        <v>Electrosurgical Units, Monopolar/Bipolar</v>
      </c>
      <c r="TTO102" s="528" t="s">
        <v>213</v>
      </c>
      <c r="TTP102" s="529" t="str">
        <f>VLOOKUP(TTO102,[14]AssetDetails_UEM!$A$3:$AH$1849,6,FALSE)</f>
        <v>Electrosurgical Units, Monopolar/Bipolar</v>
      </c>
      <c r="TTQ102" s="528" t="s">
        <v>213</v>
      </c>
      <c r="TTR102" s="529" t="str">
        <f>VLOOKUP(TTQ102,[14]AssetDetails_UEM!$A$3:$AH$1849,6,FALSE)</f>
        <v>Electrosurgical Units, Monopolar/Bipolar</v>
      </c>
      <c r="TTS102" s="528" t="s">
        <v>213</v>
      </c>
      <c r="TTT102" s="529" t="str">
        <f>VLOOKUP(TTS102,[14]AssetDetails_UEM!$A$3:$AH$1849,6,FALSE)</f>
        <v>Electrosurgical Units, Monopolar/Bipolar</v>
      </c>
      <c r="TTU102" s="528" t="s">
        <v>213</v>
      </c>
      <c r="TTV102" s="529" t="str">
        <f>VLOOKUP(TTU102,[14]AssetDetails_UEM!$A$3:$AH$1849,6,FALSE)</f>
        <v>Electrosurgical Units, Monopolar/Bipolar</v>
      </c>
      <c r="TTW102" s="528" t="s">
        <v>213</v>
      </c>
      <c r="TTX102" s="529" t="str">
        <f>VLOOKUP(TTW102,[14]AssetDetails_UEM!$A$3:$AH$1849,6,FALSE)</f>
        <v>Electrosurgical Units, Monopolar/Bipolar</v>
      </c>
      <c r="TTY102" s="528" t="s">
        <v>213</v>
      </c>
      <c r="TTZ102" s="529" t="str">
        <f>VLOOKUP(TTY102,[14]AssetDetails_UEM!$A$3:$AH$1849,6,FALSE)</f>
        <v>Electrosurgical Units, Monopolar/Bipolar</v>
      </c>
      <c r="TUA102" s="528" t="s">
        <v>213</v>
      </c>
      <c r="TUB102" s="529" t="str">
        <f>VLOOKUP(TUA102,[14]AssetDetails_UEM!$A$3:$AH$1849,6,FALSE)</f>
        <v>Electrosurgical Units, Monopolar/Bipolar</v>
      </c>
      <c r="TUC102" s="528" t="s">
        <v>213</v>
      </c>
      <c r="TUD102" s="529" t="str">
        <f>VLOOKUP(TUC102,[14]AssetDetails_UEM!$A$3:$AH$1849,6,FALSE)</f>
        <v>Electrosurgical Units, Monopolar/Bipolar</v>
      </c>
      <c r="TUE102" s="528" t="s">
        <v>213</v>
      </c>
      <c r="TUF102" s="529" t="str">
        <f>VLOOKUP(TUE102,[14]AssetDetails_UEM!$A$3:$AH$1849,6,FALSE)</f>
        <v>Electrosurgical Units, Monopolar/Bipolar</v>
      </c>
      <c r="TUG102" s="528" t="s">
        <v>213</v>
      </c>
      <c r="TUH102" s="529" t="str">
        <f>VLOOKUP(TUG102,[14]AssetDetails_UEM!$A$3:$AH$1849,6,FALSE)</f>
        <v>Electrosurgical Units, Monopolar/Bipolar</v>
      </c>
      <c r="TUI102" s="528" t="s">
        <v>213</v>
      </c>
      <c r="TUJ102" s="529" t="str">
        <f>VLOOKUP(TUI102,[14]AssetDetails_UEM!$A$3:$AH$1849,6,FALSE)</f>
        <v>Electrosurgical Units, Monopolar/Bipolar</v>
      </c>
      <c r="TUK102" s="528" t="s">
        <v>213</v>
      </c>
      <c r="TUL102" s="529" t="str">
        <f>VLOOKUP(TUK102,[14]AssetDetails_UEM!$A$3:$AH$1849,6,FALSE)</f>
        <v>Electrosurgical Units, Monopolar/Bipolar</v>
      </c>
      <c r="TUM102" s="528" t="s">
        <v>213</v>
      </c>
      <c r="TUN102" s="529" t="str">
        <f>VLOOKUP(TUM102,[14]AssetDetails_UEM!$A$3:$AH$1849,6,FALSE)</f>
        <v>Electrosurgical Units, Monopolar/Bipolar</v>
      </c>
      <c r="TUO102" s="528" t="s">
        <v>213</v>
      </c>
      <c r="TUP102" s="529" t="str">
        <f>VLOOKUP(TUO102,[14]AssetDetails_UEM!$A$3:$AH$1849,6,FALSE)</f>
        <v>Electrosurgical Units, Monopolar/Bipolar</v>
      </c>
      <c r="TUQ102" s="528" t="s">
        <v>213</v>
      </c>
      <c r="TUR102" s="529" t="str">
        <f>VLOOKUP(TUQ102,[14]AssetDetails_UEM!$A$3:$AH$1849,6,FALSE)</f>
        <v>Electrosurgical Units, Monopolar/Bipolar</v>
      </c>
      <c r="TUS102" s="528" t="s">
        <v>213</v>
      </c>
      <c r="TUT102" s="529" t="str">
        <f>VLOOKUP(TUS102,[14]AssetDetails_UEM!$A$3:$AH$1849,6,FALSE)</f>
        <v>Electrosurgical Units, Monopolar/Bipolar</v>
      </c>
      <c r="TUU102" s="528" t="s">
        <v>213</v>
      </c>
      <c r="TUV102" s="529" t="str">
        <f>VLOOKUP(TUU102,[14]AssetDetails_UEM!$A$3:$AH$1849,6,FALSE)</f>
        <v>Electrosurgical Units, Monopolar/Bipolar</v>
      </c>
      <c r="TUW102" s="528" t="s">
        <v>213</v>
      </c>
      <c r="TUX102" s="529" t="str">
        <f>VLOOKUP(TUW102,[14]AssetDetails_UEM!$A$3:$AH$1849,6,FALSE)</f>
        <v>Electrosurgical Units, Monopolar/Bipolar</v>
      </c>
      <c r="TUY102" s="528" t="s">
        <v>213</v>
      </c>
      <c r="TUZ102" s="529" t="str">
        <f>VLOOKUP(TUY102,[14]AssetDetails_UEM!$A$3:$AH$1849,6,FALSE)</f>
        <v>Electrosurgical Units, Monopolar/Bipolar</v>
      </c>
      <c r="TVA102" s="528" t="s">
        <v>213</v>
      </c>
      <c r="TVB102" s="529" t="str">
        <f>VLOOKUP(TVA102,[14]AssetDetails_UEM!$A$3:$AH$1849,6,FALSE)</f>
        <v>Electrosurgical Units, Monopolar/Bipolar</v>
      </c>
      <c r="TVC102" s="528" t="s">
        <v>213</v>
      </c>
      <c r="TVD102" s="529" t="str">
        <f>VLOOKUP(TVC102,[14]AssetDetails_UEM!$A$3:$AH$1849,6,FALSE)</f>
        <v>Electrosurgical Units, Monopolar/Bipolar</v>
      </c>
      <c r="TVE102" s="528" t="s">
        <v>213</v>
      </c>
      <c r="TVF102" s="529" t="str">
        <f>VLOOKUP(TVE102,[14]AssetDetails_UEM!$A$3:$AH$1849,6,FALSE)</f>
        <v>Electrosurgical Units, Monopolar/Bipolar</v>
      </c>
      <c r="TVG102" s="528" t="s">
        <v>213</v>
      </c>
      <c r="TVH102" s="529" t="str">
        <f>VLOOKUP(TVG102,[14]AssetDetails_UEM!$A$3:$AH$1849,6,FALSE)</f>
        <v>Electrosurgical Units, Monopolar/Bipolar</v>
      </c>
      <c r="TVI102" s="528" t="s">
        <v>213</v>
      </c>
      <c r="TVJ102" s="529" t="str">
        <f>VLOOKUP(TVI102,[14]AssetDetails_UEM!$A$3:$AH$1849,6,FALSE)</f>
        <v>Electrosurgical Units, Monopolar/Bipolar</v>
      </c>
      <c r="TVK102" s="528" t="s">
        <v>213</v>
      </c>
      <c r="TVL102" s="529" t="str">
        <f>VLOOKUP(TVK102,[14]AssetDetails_UEM!$A$3:$AH$1849,6,FALSE)</f>
        <v>Electrosurgical Units, Monopolar/Bipolar</v>
      </c>
      <c r="TVM102" s="528" t="s">
        <v>213</v>
      </c>
      <c r="TVN102" s="529" t="str">
        <f>VLOOKUP(TVM102,[14]AssetDetails_UEM!$A$3:$AH$1849,6,FALSE)</f>
        <v>Electrosurgical Units, Monopolar/Bipolar</v>
      </c>
      <c r="TVO102" s="528" t="s">
        <v>213</v>
      </c>
      <c r="TVP102" s="529" t="str">
        <f>VLOOKUP(TVO102,[14]AssetDetails_UEM!$A$3:$AH$1849,6,FALSE)</f>
        <v>Electrosurgical Units, Monopolar/Bipolar</v>
      </c>
      <c r="TVQ102" s="528" t="s">
        <v>213</v>
      </c>
      <c r="TVR102" s="529" t="str">
        <f>VLOOKUP(TVQ102,[14]AssetDetails_UEM!$A$3:$AH$1849,6,FALSE)</f>
        <v>Electrosurgical Units, Monopolar/Bipolar</v>
      </c>
      <c r="TVS102" s="528" t="s">
        <v>213</v>
      </c>
      <c r="TVT102" s="529" t="str">
        <f>VLOOKUP(TVS102,[14]AssetDetails_UEM!$A$3:$AH$1849,6,FALSE)</f>
        <v>Electrosurgical Units, Monopolar/Bipolar</v>
      </c>
      <c r="TVU102" s="528" t="s">
        <v>213</v>
      </c>
      <c r="TVV102" s="529" t="str">
        <f>VLOOKUP(TVU102,[14]AssetDetails_UEM!$A$3:$AH$1849,6,FALSE)</f>
        <v>Electrosurgical Units, Monopolar/Bipolar</v>
      </c>
      <c r="TVW102" s="528" t="s">
        <v>213</v>
      </c>
      <c r="TVX102" s="529" t="str">
        <f>VLOOKUP(TVW102,[14]AssetDetails_UEM!$A$3:$AH$1849,6,FALSE)</f>
        <v>Electrosurgical Units, Monopolar/Bipolar</v>
      </c>
      <c r="TVY102" s="528" t="s">
        <v>213</v>
      </c>
      <c r="TVZ102" s="529" t="str">
        <f>VLOOKUP(TVY102,[14]AssetDetails_UEM!$A$3:$AH$1849,6,FALSE)</f>
        <v>Electrosurgical Units, Monopolar/Bipolar</v>
      </c>
      <c r="TWA102" s="528" t="s">
        <v>213</v>
      </c>
      <c r="TWB102" s="529" t="str">
        <f>VLOOKUP(TWA102,[14]AssetDetails_UEM!$A$3:$AH$1849,6,FALSE)</f>
        <v>Electrosurgical Units, Monopolar/Bipolar</v>
      </c>
      <c r="TWC102" s="528" t="s">
        <v>213</v>
      </c>
      <c r="TWD102" s="529" t="str">
        <f>VLOOKUP(TWC102,[14]AssetDetails_UEM!$A$3:$AH$1849,6,FALSE)</f>
        <v>Electrosurgical Units, Monopolar/Bipolar</v>
      </c>
      <c r="TWE102" s="528" t="s">
        <v>213</v>
      </c>
      <c r="TWF102" s="529" t="str">
        <f>VLOOKUP(TWE102,[14]AssetDetails_UEM!$A$3:$AH$1849,6,FALSE)</f>
        <v>Electrosurgical Units, Monopolar/Bipolar</v>
      </c>
      <c r="TWG102" s="528" t="s">
        <v>213</v>
      </c>
      <c r="TWH102" s="529" t="str">
        <f>VLOOKUP(TWG102,[14]AssetDetails_UEM!$A$3:$AH$1849,6,FALSE)</f>
        <v>Electrosurgical Units, Monopolar/Bipolar</v>
      </c>
      <c r="TWI102" s="528" t="s">
        <v>213</v>
      </c>
      <c r="TWJ102" s="529" t="str">
        <f>VLOOKUP(TWI102,[14]AssetDetails_UEM!$A$3:$AH$1849,6,FALSE)</f>
        <v>Electrosurgical Units, Monopolar/Bipolar</v>
      </c>
      <c r="TWK102" s="528" t="s">
        <v>213</v>
      </c>
      <c r="TWL102" s="529" t="str">
        <f>VLOOKUP(TWK102,[14]AssetDetails_UEM!$A$3:$AH$1849,6,FALSE)</f>
        <v>Electrosurgical Units, Monopolar/Bipolar</v>
      </c>
      <c r="TWM102" s="528" t="s">
        <v>213</v>
      </c>
      <c r="TWN102" s="529" t="str">
        <f>VLOOKUP(TWM102,[14]AssetDetails_UEM!$A$3:$AH$1849,6,FALSE)</f>
        <v>Electrosurgical Units, Monopolar/Bipolar</v>
      </c>
      <c r="TWO102" s="528" t="s">
        <v>213</v>
      </c>
      <c r="TWP102" s="529" t="str">
        <f>VLOOKUP(TWO102,[14]AssetDetails_UEM!$A$3:$AH$1849,6,FALSE)</f>
        <v>Electrosurgical Units, Monopolar/Bipolar</v>
      </c>
      <c r="TWQ102" s="528" t="s">
        <v>213</v>
      </c>
      <c r="TWR102" s="529" t="str">
        <f>VLOOKUP(TWQ102,[14]AssetDetails_UEM!$A$3:$AH$1849,6,FALSE)</f>
        <v>Electrosurgical Units, Monopolar/Bipolar</v>
      </c>
      <c r="TWS102" s="528" t="s">
        <v>213</v>
      </c>
      <c r="TWT102" s="529" t="str">
        <f>VLOOKUP(TWS102,[14]AssetDetails_UEM!$A$3:$AH$1849,6,FALSE)</f>
        <v>Electrosurgical Units, Monopolar/Bipolar</v>
      </c>
      <c r="TWU102" s="528" t="s">
        <v>213</v>
      </c>
      <c r="TWV102" s="529" t="str">
        <f>VLOOKUP(TWU102,[14]AssetDetails_UEM!$A$3:$AH$1849,6,FALSE)</f>
        <v>Electrosurgical Units, Monopolar/Bipolar</v>
      </c>
      <c r="TWW102" s="528" t="s">
        <v>213</v>
      </c>
      <c r="TWX102" s="529" t="str">
        <f>VLOOKUP(TWW102,[14]AssetDetails_UEM!$A$3:$AH$1849,6,FALSE)</f>
        <v>Electrosurgical Units, Monopolar/Bipolar</v>
      </c>
      <c r="TWY102" s="528" t="s">
        <v>213</v>
      </c>
      <c r="TWZ102" s="529" t="str">
        <f>VLOOKUP(TWY102,[14]AssetDetails_UEM!$A$3:$AH$1849,6,FALSE)</f>
        <v>Electrosurgical Units, Monopolar/Bipolar</v>
      </c>
      <c r="TXA102" s="528" t="s">
        <v>213</v>
      </c>
      <c r="TXB102" s="529" t="str">
        <f>VLOOKUP(TXA102,[14]AssetDetails_UEM!$A$3:$AH$1849,6,FALSE)</f>
        <v>Electrosurgical Units, Monopolar/Bipolar</v>
      </c>
      <c r="TXC102" s="528" t="s">
        <v>213</v>
      </c>
      <c r="TXD102" s="529" t="str">
        <f>VLOOKUP(TXC102,[14]AssetDetails_UEM!$A$3:$AH$1849,6,FALSE)</f>
        <v>Electrosurgical Units, Monopolar/Bipolar</v>
      </c>
      <c r="TXE102" s="528" t="s">
        <v>213</v>
      </c>
      <c r="TXF102" s="529" t="str">
        <f>VLOOKUP(TXE102,[14]AssetDetails_UEM!$A$3:$AH$1849,6,FALSE)</f>
        <v>Electrosurgical Units, Monopolar/Bipolar</v>
      </c>
      <c r="TXG102" s="528" t="s">
        <v>213</v>
      </c>
      <c r="TXH102" s="529" t="str">
        <f>VLOOKUP(TXG102,[14]AssetDetails_UEM!$A$3:$AH$1849,6,FALSE)</f>
        <v>Electrosurgical Units, Monopolar/Bipolar</v>
      </c>
      <c r="TXI102" s="528" t="s">
        <v>213</v>
      </c>
      <c r="TXJ102" s="529" t="str">
        <f>VLOOKUP(TXI102,[14]AssetDetails_UEM!$A$3:$AH$1849,6,FALSE)</f>
        <v>Electrosurgical Units, Monopolar/Bipolar</v>
      </c>
      <c r="TXK102" s="528" t="s">
        <v>213</v>
      </c>
      <c r="TXL102" s="529" t="str">
        <f>VLOOKUP(TXK102,[14]AssetDetails_UEM!$A$3:$AH$1849,6,FALSE)</f>
        <v>Electrosurgical Units, Monopolar/Bipolar</v>
      </c>
      <c r="TXM102" s="528" t="s">
        <v>213</v>
      </c>
      <c r="TXN102" s="529" t="str">
        <f>VLOOKUP(TXM102,[14]AssetDetails_UEM!$A$3:$AH$1849,6,FALSE)</f>
        <v>Electrosurgical Units, Monopolar/Bipolar</v>
      </c>
      <c r="TXO102" s="528" t="s">
        <v>213</v>
      </c>
      <c r="TXP102" s="529" t="str">
        <f>VLOOKUP(TXO102,[14]AssetDetails_UEM!$A$3:$AH$1849,6,FALSE)</f>
        <v>Electrosurgical Units, Monopolar/Bipolar</v>
      </c>
      <c r="TXQ102" s="528" t="s">
        <v>213</v>
      </c>
      <c r="TXR102" s="529" t="str">
        <f>VLOOKUP(TXQ102,[14]AssetDetails_UEM!$A$3:$AH$1849,6,FALSE)</f>
        <v>Electrosurgical Units, Monopolar/Bipolar</v>
      </c>
      <c r="TXS102" s="528" t="s">
        <v>213</v>
      </c>
      <c r="TXT102" s="529" t="str">
        <f>VLOOKUP(TXS102,[14]AssetDetails_UEM!$A$3:$AH$1849,6,FALSE)</f>
        <v>Electrosurgical Units, Monopolar/Bipolar</v>
      </c>
      <c r="TXU102" s="528" t="s">
        <v>213</v>
      </c>
      <c r="TXV102" s="529" t="str">
        <f>VLOOKUP(TXU102,[14]AssetDetails_UEM!$A$3:$AH$1849,6,FALSE)</f>
        <v>Electrosurgical Units, Monopolar/Bipolar</v>
      </c>
      <c r="TXW102" s="528" t="s">
        <v>213</v>
      </c>
      <c r="TXX102" s="529" t="str">
        <f>VLOOKUP(TXW102,[14]AssetDetails_UEM!$A$3:$AH$1849,6,FALSE)</f>
        <v>Electrosurgical Units, Monopolar/Bipolar</v>
      </c>
      <c r="TXY102" s="528" t="s">
        <v>213</v>
      </c>
      <c r="TXZ102" s="529" t="str">
        <f>VLOOKUP(TXY102,[14]AssetDetails_UEM!$A$3:$AH$1849,6,FALSE)</f>
        <v>Electrosurgical Units, Monopolar/Bipolar</v>
      </c>
      <c r="TYA102" s="528" t="s">
        <v>213</v>
      </c>
      <c r="TYB102" s="529" t="str">
        <f>VLOOKUP(TYA102,[14]AssetDetails_UEM!$A$3:$AH$1849,6,FALSE)</f>
        <v>Electrosurgical Units, Monopolar/Bipolar</v>
      </c>
      <c r="TYC102" s="528" t="s">
        <v>213</v>
      </c>
      <c r="TYD102" s="529" t="str">
        <f>VLOOKUP(TYC102,[14]AssetDetails_UEM!$A$3:$AH$1849,6,FALSE)</f>
        <v>Electrosurgical Units, Monopolar/Bipolar</v>
      </c>
      <c r="TYE102" s="528" t="s">
        <v>213</v>
      </c>
      <c r="TYF102" s="529" t="str">
        <f>VLOOKUP(TYE102,[14]AssetDetails_UEM!$A$3:$AH$1849,6,FALSE)</f>
        <v>Electrosurgical Units, Monopolar/Bipolar</v>
      </c>
      <c r="TYG102" s="528" t="s">
        <v>213</v>
      </c>
      <c r="TYH102" s="529" t="str">
        <f>VLOOKUP(TYG102,[14]AssetDetails_UEM!$A$3:$AH$1849,6,FALSE)</f>
        <v>Electrosurgical Units, Monopolar/Bipolar</v>
      </c>
      <c r="TYI102" s="528" t="s">
        <v>213</v>
      </c>
      <c r="TYJ102" s="529" t="str">
        <f>VLOOKUP(TYI102,[14]AssetDetails_UEM!$A$3:$AH$1849,6,FALSE)</f>
        <v>Electrosurgical Units, Monopolar/Bipolar</v>
      </c>
      <c r="TYK102" s="528" t="s">
        <v>213</v>
      </c>
      <c r="TYL102" s="529" t="str">
        <f>VLOOKUP(TYK102,[14]AssetDetails_UEM!$A$3:$AH$1849,6,FALSE)</f>
        <v>Electrosurgical Units, Monopolar/Bipolar</v>
      </c>
      <c r="TYM102" s="528" t="s">
        <v>213</v>
      </c>
      <c r="TYN102" s="529" t="str">
        <f>VLOOKUP(TYM102,[14]AssetDetails_UEM!$A$3:$AH$1849,6,FALSE)</f>
        <v>Electrosurgical Units, Monopolar/Bipolar</v>
      </c>
      <c r="TYO102" s="528" t="s">
        <v>213</v>
      </c>
      <c r="TYP102" s="529" t="str">
        <f>VLOOKUP(TYO102,[14]AssetDetails_UEM!$A$3:$AH$1849,6,FALSE)</f>
        <v>Electrosurgical Units, Monopolar/Bipolar</v>
      </c>
      <c r="TYQ102" s="528" t="s">
        <v>213</v>
      </c>
      <c r="TYR102" s="529" t="str">
        <f>VLOOKUP(TYQ102,[14]AssetDetails_UEM!$A$3:$AH$1849,6,FALSE)</f>
        <v>Electrosurgical Units, Monopolar/Bipolar</v>
      </c>
      <c r="TYS102" s="528" t="s">
        <v>213</v>
      </c>
      <c r="TYT102" s="529" t="str">
        <f>VLOOKUP(TYS102,[14]AssetDetails_UEM!$A$3:$AH$1849,6,FALSE)</f>
        <v>Electrosurgical Units, Monopolar/Bipolar</v>
      </c>
      <c r="TYU102" s="528" t="s">
        <v>213</v>
      </c>
      <c r="TYV102" s="529" t="str">
        <f>VLOOKUP(TYU102,[14]AssetDetails_UEM!$A$3:$AH$1849,6,FALSE)</f>
        <v>Electrosurgical Units, Monopolar/Bipolar</v>
      </c>
      <c r="TYW102" s="528" t="s">
        <v>213</v>
      </c>
      <c r="TYX102" s="529" t="str">
        <f>VLOOKUP(TYW102,[14]AssetDetails_UEM!$A$3:$AH$1849,6,FALSE)</f>
        <v>Electrosurgical Units, Monopolar/Bipolar</v>
      </c>
      <c r="TYY102" s="528" t="s">
        <v>213</v>
      </c>
      <c r="TYZ102" s="529" t="str">
        <f>VLOOKUP(TYY102,[14]AssetDetails_UEM!$A$3:$AH$1849,6,FALSE)</f>
        <v>Electrosurgical Units, Monopolar/Bipolar</v>
      </c>
      <c r="TZA102" s="528" t="s">
        <v>213</v>
      </c>
      <c r="TZB102" s="529" t="str">
        <f>VLOOKUP(TZA102,[14]AssetDetails_UEM!$A$3:$AH$1849,6,FALSE)</f>
        <v>Electrosurgical Units, Monopolar/Bipolar</v>
      </c>
      <c r="TZC102" s="528" t="s">
        <v>213</v>
      </c>
      <c r="TZD102" s="529" t="str">
        <f>VLOOKUP(TZC102,[14]AssetDetails_UEM!$A$3:$AH$1849,6,FALSE)</f>
        <v>Electrosurgical Units, Monopolar/Bipolar</v>
      </c>
      <c r="TZE102" s="528" t="s">
        <v>213</v>
      </c>
      <c r="TZF102" s="529" t="str">
        <f>VLOOKUP(TZE102,[14]AssetDetails_UEM!$A$3:$AH$1849,6,FALSE)</f>
        <v>Electrosurgical Units, Monopolar/Bipolar</v>
      </c>
      <c r="TZG102" s="528" t="s">
        <v>213</v>
      </c>
      <c r="TZH102" s="529" t="str">
        <f>VLOOKUP(TZG102,[14]AssetDetails_UEM!$A$3:$AH$1849,6,FALSE)</f>
        <v>Electrosurgical Units, Monopolar/Bipolar</v>
      </c>
      <c r="TZI102" s="528" t="s">
        <v>213</v>
      </c>
      <c r="TZJ102" s="529" t="str">
        <f>VLOOKUP(TZI102,[14]AssetDetails_UEM!$A$3:$AH$1849,6,FALSE)</f>
        <v>Electrosurgical Units, Monopolar/Bipolar</v>
      </c>
      <c r="TZK102" s="528" t="s">
        <v>213</v>
      </c>
      <c r="TZL102" s="529" t="str">
        <f>VLOOKUP(TZK102,[14]AssetDetails_UEM!$A$3:$AH$1849,6,FALSE)</f>
        <v>Electrosurgical Units, Monopolar/Bipolar</v>
      </c>
      <c r="TZM102" s="528" t="s">
        <v>213</v>
      </c>
      <c r="TZN102" s="529" t="str">
        <f>VLOOKUP(TZM102,[14]AssetDetails_UEM!$A$3:$AH$1849,6,FALSE)</f>
        <v>Electrosurgical Units, Monopolar/Bipolar</v>
      </c>
      <c r="TZO102" s="528" t="s">
        <v>213</v>
      </c>
      <c r="TZP102" s="529" t="str">
        <f>VLOOKUP(TZO102,[14]AssetDetails_UEM!$A$3:$AH$1849,6,FALSE)</f>
        <v>Electrosurgical Units, Monopolar/Bipolar</v>
      </c>
      <c r="TZQ102" s="528" t="s">
        <v>213</v>
      </c>
      <c r="TZR102" s="529" t="str">
        <f>VLOOKUP(TZQ102,[14]AssetDetails_UEM!$A$3:$AH$1849,6,FALSE)</f>
        <v>Electrosurgical Units, Monopolar/Bipolar</v>
      </c>
      <c r="TZS102" s="528" t="s">
        <v>213</v>
      </c>
      <c r="TZT102" s="529" t="str">
        <f>VLOOKUP(TZS102,[14]AssetDetails_UEM!$A$3:$AH$1849,6,FALSE)</f>
        <v>Electrosurgical Units, Monopolar/Bipolar</v>
      </c>
      <c r="TZU102" s="528" t="s">
        <v>213</v>
      </c>
      <c r="TZV102" s="529" t="str">
        <f>VLOOKUP(TZU102,[14]AssetDetails_UEM!$A$3:$AH$1849,6,FALSE)</f>
        <v>Electrosurgical Units, Monopolar/Bipolar</v>
      </c>
      <c r="TZW102" s="528" t="s">
        <v>213</v>
      </c>
      <c r="TZX102" s="529" t="str">
        <f>VLOOKUP(TZW102,[14]AssetDetails_UEM!$A$3:$AH$1849,6,FALSE)</f>
        <v>Electrosurgical Units, Monopolar/Bipolar</v>
      </c>
      <c r="TZY102" s="528" t="s">
        <v>213</v>
      </c>
      <c r="TZZ102" s="529" t="str">
        <f>VLOOKUP(TZY102,[14]AssetDetails_UEM!$A$3:$AH$1849,6,FALSE)</f>
        <v>Electrosurgical Units, Monopolar/Bipolar</v>
      </c>
      <c r="UAA102" s="528" t="s">
        <v>213</v>
      </c>
      <c r="UAB102" s="529" t="str">
        <f>VLOOKUP(UAA102,[14]AssetDetails_UEM!$A$3:$AH$1849,6,FALSE)</f>
        <v>Electrosurgical Units, Monopolar/Bipolar</v>
      </c>
      <c r="UAC102" s="528" t="s">
        <v>213</v>
      </c>
      <c r="UAD102" s="529" t="str">
        <f>VLOOKUP(UAC102,[14]AssetDetails_UEM!$A$3:$AH$1849,6,FALSE)</f>
        <v>Electrosurgical Units, Monopolar/Bipolar</v>
      </c>
      <c r="UAE102" s="528" t="s">
        <v>213</v>
      </c>
      <c r="UAF102" s="529" t="str">
        <f>VLOOKUP(UAE102,[14]AssetDetails_UEM!$A$3:$AH$1849,6,FALSE)</f>
        <v>Electrosurgical Units, Monopolar/Bipolar</v>
      </c>
      <c r="UAG102" s="528" t="s">
        <v>213</v>
      </c>
      <c r="UAH102" s="529" t="str">
        <f>VLOOKUP(UAG102,[14]AssetDetails_UEM!$A$3:$AH$1849,6,FALSE)</f>
        <v>Electrosurgical Units, Monopolar/Bipolar</v>
      </c>
      <c r="UAI102" s="528" t="s">
        <v>213</v>
      </c>
      <c r="UAJ102" s="529" t="str">
        <f>VLOOKUP(UAI102,[14]AssetDetails_UEM!$A$3:$AH$1849,6,FALSE)</f>
        <v>Electrosurgical Units, Monopolar/Bipolar</v>
      </c>
      <c r="UAK102" s="528" t="s">
        <v>213</v>
      </c>
      <c r="UAL102" s="529" t="str">
        <f>VLOOKUP(UAK102,[14]AssetDetails_UEM!$A$3:$AH$1849,6,FALSE)</f>
        <v>Electrosurgical Units, Monopolar/Bipolar</v>
      </c>
      <c r="UAM102" s="528" t="s">
        <v>213</v>
      </c>
      <c r="UAN102" s="529" t="str">
        <f>VLOOKUP(UAM102,[14]AssetDetails_UEM!$A$3:$AH$1849,6,FALSE)</f>
        <v>Electrosurgical Units, Monopolar/Bipolar</v>
      </c>
      <c r="UAO102" s="528" t="s">
        <v>213</v>
      </c>
      <c r="UAP102" s="529" t="str">
        <f>VLOOKUP(UAO102,[14]AssetDetails_UEM!$A$3:$AH$1849,6,FALSE)</f>
        <v>Electrosurgical Units, Monopolar/Bipolar</v>
      </c>
      <c r="UAQ102" s="528" t="s">
        <v>213</v>
      </c>
      <c r="UAR102" s="529" t="str">
        <f>VLOOKUP(UAQ102,[14]AssetDetails_UEM!$A$3:$AH$1849,6,FALSE)</f>
        <v>Electrosurgical Units, Monopolar/Bipolar</v>
      </c>
      <c r="UAS102" s="528" t="s">
        <v>213</v>
      </c>
      <c r="UAT102" s="529" t="str">
        <f>VLOOKUP(UAS102,[14]AssetDetails_UEM!$A$3:$AH$1849,6,FALSE)</f>
        <v>Electrosurgical Units, Monopolar/Bipolar</v>
      </c>
      <c r="UAU102" s="528" t="s">
        <v>213</v>
      </c>
      <c r="UAV102" s="529" t="str">
        <f>VLOOKUP(UAU102,[14]AssetDetails_UEM!$A$3:$AH$1849,6,FALSE)</f>
        <v>Electrosurgical Units, Monopolar/Bipolar</v>
      </c>
      <c r="UAW102" s="528" t="s">
        <v>213</v>
      </c>
      <c r="UAX102" s="529" t="str">
        <f>VLOOKUP(UAW102,[14]AssetDetails_UEM!$A$3:$AH$1849,6,FALSE)</f>
        <v>Electrosurgical Units, Monopolar/Bipolar</v>
      </c>
      <c r="UAY102" s="528" t="s">
        <v>213</v>
      </c>
      <c r="UAZ102" s="529" t="str">
        <f>VLOOKUP(UAY102,[14]AssetDetails_UEM!$A$3:$AH$1849,6,FALSE)</f>
        <v>Electrosurgical Units, Monopolar/Bipolar</v>
      </c>
      <c r="UBA102" s="528" t="s">
        <v>213</v>
      </c>
      <c r="UBB102" s="529" t="str">
        <f>VLOOKUP(UBA102,[14]AssetDetails_UEM!$A$3:$AH$1849,6,FALSE)</f>
        <v>Electrosurgical Units, Monopolar/Bipolar</v>
      </c>
      <c r="UBC102" s="528" t="s">
        <v>213</v>
      </c>
      <c r="UBD102" s="529" t="str">
        <f>VLOOKUP(UBC102,[14]AssetDetails_UEM!$A$3:$AH$1849,6,FALSE)</f>
        <v>Electrosurgical Units, Monopolar/Bipolar</v>
      </c>
      <c r="UBE102" s="528" t="s">
        <v>213</v>
      </c>
      <c r="UBF102" s="529" t="str">
        <f>VLOOKUP(UBE102,[14]AssetDetails_UEM!$A$3:$AH$1849,6,FALSE)</f>
        <v>Electrosurgical Units, Monopolar/Bipolar</v>
      </c>
      <c r="UBG102" s="528" t="s">
        <v>213</v>
      </c>
      <c r="UBH102" s="529" t="str">
        <f>VLOOKUP(UBG102,[14]AssetDetails_UEM!$A$3:$AH$1849,6,FALSE)</f>
        <v>Electrosurgical Units, Monopolar/Bipolar</v>
      </c>
      <c r="UBI102" s="528" t="s">
        <v>213</v>
      </c>
      <c r="UBJ102" s="529" t="str">
        <f>VLOOKUP(UBI102,[14]AssetDetails_UEM!$A$3:$AH$1849,6,FALSE)</f>
        <v>Electrosurgical Units, Monopolar/Bipolar</v>
      </c>
      <c r="UBK102" s="528" t="s">
        <v>213</v>
      </c>
      <c r="UBL102" s="529" t="str">
        <f>VLOOKUP(UBK102,[14]AssetDetails_UEM!$A$3:$AH$1849,6,FALSE)</f>
        <v>Electrosurgical Units, Monopolar/Bipolar</v>
      </c>
      <c r="UBM102" s="528" t="s">
        <v>213</v>
      </c>
      <c r="UBN102" s="529" t="str">
        <f>VLOOKUP(UBM102,[14]AssetDetails_UEM!$A$3:$AH$1849,6,FALSE)</f>
        <v>Electrosurgical Units, Monopolar/Bipolar</v>
      </c>
      <c r="UBO102" s="528" t="s">
        <v>213</v>
      </c>
      <c r="UBP102" s="529" t="str">
        <f>VLOOKUP(UBO102,[14]AssetDetails_UEM!$A$3:$AH$1849,6,FALSE)</f>
        <v>Electrosurgical Units, Monopolar/Bipolar</v>
      </c>
      <c r="UBQ102" s="528" t="s">
        <v>213</v>
      </c>
      <c r="UBR102" s="529" t="str">
        <f>VLOOKUP(UBQ102,[14]AssetDetails_UEM!$A$3:$AH$1849,6,FALSE)</f>
        <v>Electrosurgical Units, Monopolar/Bipolar</v>
      </c>
      <c r="UBS102" s="528" t="s">
        <v>213</v>
      </c>
      <c r="UBT102" s="529" t="str">
        <f>VLOOKUP(UBS102,[14]AssetDetails_UEM!$A$3:$AH$1849,6,FALSE)</f>
        <v>Electrosurgical Units, Monopolar/Bipolar</v>
      </c>
      <c r="UBU102" s="528" t="s">
        <v>213</v>
      </c>
      <c r="UBV102" s="529" t="str">
        <f>VLOOKUP(UBU102,[14]AssetDetails_UEM!$A$3:$AH$1849,6,FALSE)</f>
        <v>Electrosurgical Units, Monopolar/Bipolar</v>
      </c>
      <c r="UBW102" s="528" t="s">
        <v>213</v>
      </c>
      <c r="UBX102" s="529" t="str">
        <f>VLOOKUP(UBW102,[14]AssetDetails_UEM!$A$3:$AH$1849,6,FALSE)</f>
        <v>Electrosurgical Units, Monopolar/Bipolar</v>
      </c>
      <c r="UBY102" s="528" t="s">
        <v>213</v>
      </c>
      <c r="UBZ102" s="529" t="str">
        <f>VLOOKUP(UBY102,[14]AssetDetails_UEM!$A$3:$AH$1849,6,FALSE)</f>
        <v>Electrosurgical Units, Monopolar/Bipolar</v>
      </c>
      <c r="UCA102" s="528" t="s">
        <v>213</v>
      </c>
      <c r="UCB102" s="529" t="str">
        <f>VLOOKUP(UCA102,[14]AssetDetails_UEM!$A$3:$AH$1849,6,FALSE)</f>
        <v>Electrosurgical Units, Monopolar/Bipolar</v>
      </c>
      <c r="UCC102" s="528" t="s">
        <v>213</v>
      </c>
      <c r="UCD102" s="529" t="str">
        <f>VLOOKUP(UCC102,[14]AssetDetails_UEM!$A$3:$AH$1849,6,FALSE)</f>
        <v>Electrosurgical Units, Monopolar/Bipolar</v>
      </c>
      <c r="UCE102" s="528" t="s">
        <v>213</v>
      </c>
      <c r="UCF102" s="529" t="str">
        <f>VLOOKUP(UCE102,[14]AssetDetails_UEM!$A$3:$AH$1849,6,FALSE)</f>
        <v>Electrosurgical Units, Monopolar/Bipolar</v>
      </c>
      <c r="UCG102" s="528" t="s">
        <v>213</v>
      </c>
      <c r="UCH102" s="529" t="str">
        <f>VLOOKUP(UCG102,[14]AssetDetails_UEM!$A$3:$AH$1849,6,FALSE)</f>
        <v>Electrosurgical Units, Monopolar/Bipolar</v>
      </c>
      <c r="UCI102" s="528" t="s">
        <v>213</v>
      </c>
      <c r="UCJ102" s="529" t="str">
        <f>VLOOKUP(UCI102,[14]AssetDetails_UEM!$A$3:$AH$1849,6,FALSE)</f>
        <v>Electrosurgical Units, Monopolar/Bipolar</v>
      </c>
      <c r="UCK102" s="528" t="s">
        <v>213</v>
      </c>
      <c r="UCL102" s="529" t="str">
        <f>VLOOKUP(UCK102,[14]AssetDetails_UEM!$A$3:$AH$1849,6,FALSE)</f>
        <v>Electrosurgical Units, Monopolar/Bipolar</v>
      </c>
      <c r="UCM102" s="528" t="s">
        <v>213</v>
      </c>
      <c r="UCN102" s="529" t="str">
        <f>VLOOKUP(UCM102,[14]AssetDetails_UEM!$A$3:$AH$1849,6,FALSE)</f>
        <v>Electrosurgical Units, Monopolar/Bipolar</v>
      </c>
      <c r="UCO102" s="528" t="s">
        <v>213</v>
      </c>
      <c r="UCP102" s="529" t="str">
        <f>VLOOKUP(UCO102,[14]AssetDetails_UEM!$A$3:$AH$1849,6,FALSE)</f>
        <v>Electrosurgical Units, Monopolar/Bipolar</v>
      </c>
      <c r="UCQ102" s="528" t="s">
        <v>213</v>
      </c>
      <c r="UCR102" s="529" t="str">
        <f>VLOOKUP(UCQ102,[14]AssetDetails_UEM!$A$3:$AH$1849,6,FALSE)</f>
        <v>Electrosurgical Units, Monopolar/Bipolar</v>
      </c>
      <c r="UCS102" s="528" t="s">
        <v>213</v>
      </c>
      <c r="UCT102" s="529" t="str">
        <f>VLOOKUP(UCS102,[14]AssetDetails_UEM!$A$3:$AH$1849,6,FALSE)</f>
        <v>Electrosurgical Units, Monopolar/Bipolar</v>
      </c>
      <c r="UCU102" s="528" t="s">
        <v>213</v>
      </c>
      <c r="UCV102" s="529" t="str">
        <f>VLOOKUP(UCU102,[14]AssetDetails_UEM!$A$3:$AH$1849,6,FALSE)</f>
        <v>Electrosurgical Units, Monopolar/Bipolar</v>
      </c>
      <c r="UCW102" s="528" t="s">
        <v>213</v>
      </c>
      <c r="UCX102" s="529" t="str">
        <f>VLOOKUP(UCW102,[14]AssetDetails_UEM!$A$3:$AH$1849,6,FALSE)</f>
        <v>Electrosurgical Units, Monopolar/Bipolar</v>
      </c>
      <c r="UCY102" s="528" t="s">
        <v>213</v>
      </c>
      <c r="UCZ102" s="529" t="str">
        <f>VLOOKUP(UCY102,[14]AssetDetails_UEM!$A$3:$AH$1849,6,FALSE)</f>
        <v>Electrosurgical Units, Monopolar/Bipolar</v>
      </c>
      <c r="UDA102" s="528" t="s">
        <v>213</v>
      </c>
      <c r="UDB102" s="529" t="str">
        <f>VLOOKUP(UDA102,[14]AssetDetails_UEM!$A$3:$AH$1849,6,FALSE)</f>
        <v>Electrosurgical Units, Monopolar/Bipolar</v>
      </c>
      <c r="UDC102" s="528" t="s">
        <v>213</v>
      </c>
      <c r="UDD102" s="529" t="str">
        <f>VLOOKUP(UDC102,[14]AssetDetails_UEM!$A$3:$AH$1849,6,FALSE)</f>
        <v>Electrosurgical Units, Monopolar/Bipolar</v>
      </c>
      <c r="UDE102" s="528" t="s">
        <v>213</v>
      </c>
      <c r="UDF102" s="529" t="str">
        <f>VLOOKUP(UDE102,[14]AssetDetails_UEM!$A$3:$AH$1849,6,FALSE)</f>
        <v>Electrosurgical Units, Monopolar/Bipolar</v>
      </c>
      <c r="UDG102" s="528" t="s">
        <v>213</v>
      </c>
      <c r="UDH102" s="529" t="str">
        <f>VLOOKUP(UDG102,[14]AssetDetails_UEM!$A$3:$AH$1849,6,FALSE)</f>
        <v>Electrosurgical Units, Monopolar/Bipolar</v>
      </c>
      <c r="UDI102" s="528" t="s">
        <v>213</v>
      </c>
      <c r="UDJ102" s="529" t="str">
        <f>VLOOKUP(UDI102,[14]AssetDetails_UEM!$A$3:$AH$1849,6,FALSE)</f>
        <v>Electrosurgical Units, Monopolar/Bipolar</v>
      </c>
      <c r="UDK102" s="528" t="s">
        <v>213</v>
      </c>
      <c r="UDL102" s="529" t="str">
        <f>VLOOKUP(UDK102,[14]AssetDetails_UEM!$A$3:$AH$1849,6,FALSE)</f>
        <v>Electrosurgical Units, Monopolar/Bipolar</v>
      </c>
      <c r="UDM102" s="528" t="s">
        <v>213</v>
      </c>
      <c r="UDN102" s="529" t="str">
        <f>VLOOKUP(UDM102,[14]AssetDetails_UEM!$A$3:$AH$1849,6,FALSE)</f>
        <v>Electrosurgical Units, Monopolar/Bipolar</v>
      </c>
      <c r="UDO102" s="528" t="s">
        <v>213</v>
      </c>
      <c r="UDP102" s="529" t="str">
        <f>VLOOKUP(UDO102,[14]AssetDetails_UEM!$A$3:$AH$1849,6,FALSE)</f>
        <v>Electrosurgical Units, Monopolar/Bipolar</v>
      </c>
      <c r="UDQ102" s="528" t="s">
        <v>213</v>
      </c>
      <c r="UDR102" s="529" t="str">
        <f>VLOOKUP(UDQ102,[14]AssetDetails_UEM!$A$3:$AH$1849,6,FALSE)</f>
        <v>Electrosurgical Units, Monopolar/Bipolar</v>
      </c>
      <c r="UDS102" s="528" t="s">
        <v>213</v>
      </c>
      <c r="UDT102" s="529" t="str">
        <f>VLOOKUP(UDS102,[14]AssetDetails_UEM!$A$3:$AH$1849,6,FALSE)</f>
        <v>Electrosurgical Units, Monopolar/Bipolar</v>
      </c>
      <c r="UDU102" s="528" t="s">
        <v>213</v>
      </c>
      <c r="UDV102" s="529" t="str">
        <f>VLOOKUP(UDU102,[14]AssetDetails_UEM!$A$3:$AH$1849,6,FALSE)</f>
        <v>Electrosurgical Units, Monopolar/Bipolar</v>
      </c>
      <c r="UDW102" s="528" t="s">
        <v>213</v>
      </c>
      <c r="UDX102" s="529" t="str">
        <f>VLOOKUP(UDW102,[14]AssetDetails_UEM!$A$3:$AH$1849,6,FALSE)</f>
        <v>Electrosurgical Units, Monopolar/Bipolar</v>
      </c>
      <c r="UDY102" s="528" t="s">
        <v>213</v>
      </c>
      <c r="UDZ102" s="529" t="str">
        <f>VLOOKUP(UDY102,[14]AssetDetails_UEM!$A$3:$AH$1849,6,FALSE)</f>
        <v>Electrosurgical Units, Monopolar/Bipolar</v>
      </c>
      <c r="UEA102" s="528" t="s">
        <v>213</v>
      </c>
      <c r="UEB102" s="529" t="str">
        <f>VLOOKUP(UEA102,[14]AssetDetails_UEM!$A$3:$AH$1849,6,FALSE)</f>
        <v>Electrosurgical Units, Monopolar/Bipolar</v>
      </c>
      <c r="UEC102" s="528" t="s">
        <v>213</v>
      </c>
      <c r="UED102" s="529" t="str">
        <f>VLOOKUP(UEC102,[14]AssetDetails_UEM!$A$3:$AH$1849,6,FALSE)</f>
        <v>Electrosurgical Units, Monopolar/Bipolar</v>
      </c>
      <c r="UEE102" s="528" t="s">
        <v>213</v>
      </c>
      <c r="UEF102" s="529" t="str">
        <f>VLOOKUP(UEE102,[14]AssetDetails_UEM!$A$3:$AH$1849,6,FALSE)</f>
        <v>Electrosurgical Units, Monopolar/Bipolar</v>
      </c>
      <c r="UEG102" s="528" t="s">
        <v>213</v>
      </c>
      <c r="UEH102" s="529" t="str">
        <f>VLOOKUP(UEG102,[14]AssetDetails_UEM!$A$3:$AH$1849,6,FALSE)</f>
        <v>Electrosurgical Units, Monopolar/Bipolar</v>
      </c>
      <c r="UEI102" s="528" t="s">
        <v>213</v>
      </c>
      <c r="UEJ102" s="529" t="str">
        <f>VLOOKUP(UEI102,[14]AssetDetails_UEM!$A$3:$AH$1849,6,FALSE)</f>
        <v>Electrosurgical Units, Monopolar/Bipolar</v>
      </c>
      <c r="UEK102" s="528" t="s">
        <v>213</v>
      </c>
      <c r="UEL102" s="529" t="str">
        <f>VLOOKUP(UEK102,[14]AssetDetails_UEM!$A$3:$AH$1849,6,FALSE)</f>
        <v>Electrosurgical Units, Monopolar/Bipolar</v>
      </c>
      <c r="UEM102" s="528" t="s">
        <v>213</v>
      </c>
      <c r="UEN102" s="529" t="str">
        <f>VLOOKUP(UEM102,[14]AssetDetails_UEM!$A$3:$AH$1849,6,FALSE)</f>
        <v>Electrosurgical Units, Monopolar/Bipolar</v>
      </c>
      <c r="UEO102" s="528" t="s">
        <v>213</v>
      </c>
      <c r="UEP102" s="529" t="str">
        <f>VLOOKUP(UEO102,[14]AssetDetails_UEM!$A$3:$AH$1849,6,FALSE)</f>
        <v>Electrosurgical Units, Monopolar/Bipolar</v>
      </c>
      <c r="UEQ102" s="528" t="s">
        <v>213</v>
      </c>
      <c r="UER102" s="529" t="str">
        <f>VLOOKUP(UEQ102,[14]AssetDetails_UEM!$A$3:$AH$1849,6,FALSE)</f>
        <v>Electrosurgical Units, Monopolar/Bipolar</v>
      </c>
      <c r="UES102" s="528" t="s">
        <v>213</v>
      </c>
      <c r="UET102" s="529" t="str">
        <f>VLOOKUP(UES102,[14]AssetDetails_UEM!$A$3:$AH$1849,6,FALSE)</f>
        <v>Electrosurgical Units, Monopolar/Bipolar</v>
      </c>
      <c r="UEU102" s="528" t="s">
        <v>213</v>
      </c>
      <c r="UEV102" s="529" t="str">
        <f>VLOOKUP(UEU102,[14]AssetDetails_UEM!$A$3:$AH$1849,6,FALSE)</f>
        <v>Electrosurgical Units, Monopolar/Bipolar</v>
      </c>
      <c r="UEW102" s="528" t="s">
        <v>213</v>
      </c>
      <c r="UEX102" s="529" t="str">
        <f>VLOOKUP(UEW102,[14]AssetDetails_UEM!$A$3:$AH$1849,6,FALSE)</f>
        <v>Electrosurgical Units, Monopolar/Bipolar</v>
      </c>
      <c r="UEY102" s="528" t="s">
        <v>213</v>
      </c>
      <c r="UEZ102" s="529" t="str">
        <f>VLOOKUP(UEY102,[14]AssetDetails_UEM!$A$3:$AH$1849,6,FALSE)</f>
        <v>Electrosurgical Units, Monopolar/Bipolar</v>
      </c>
      <c r="UFA102" s="528" t="s">
        <v>213</v>
      </c>
      <c r="UFB102" s="529" t="str">
        <f>VLOOKUP(UFA102,[14]AssetDetails_UEM!$A$3:$AH$1849,6,FALSE)</f>
        <v>Electrosurgical Units, Monopolar/Bipolar</v>
      </c>
      <c r="UFC102" s="528" t="s">
        <v>213</v>
      </c>
      <c r="UFD102" s="529" t="str">
        <f>VLOOKUP(UFC102,[14]AssetDetails_UEM!$A$3:$AH$1849,6,FALSE)</f>
        <v>Electrosurgical Units, Monopolar/Bipolar</v>
      </c>
      <c r="UFE102" s="528" t="s">
        <v>213</v>
      </c>
      <c r="UFF102" s="529" t="str">
        <f>VLOOKUP(UFE102,[14]AssetDetails_UEM!$A$3:$AH$1849,6,FALSE)</f>
        <v>Electrosurgical Units, Monopolar/Bipolar</v>
      </c>
      <c r="UFG102" s="528" t="s">
        <v>213</v>
      </c>
      <c r="UFH102" s="529" t="str">
        <f>VLOOKUP(UFG102,[14]AssetDetails_UEM!$A$3:$AH$1849,6,FALSE)</f>
        <v>Electrosurgical Units, Monopolar/Bipolar</v>
      </c>
      <c r="UFI102" s="528" t="s">
        <v>213</v>
      </c>
      <c r="UFJ102" s="529" t="str">
        <f>VLOOKUP(UFI102,[14]AssetDetails_UEM!$A$3:$AH$1849,6,FALSE)</f>
        <v>Electrosurgical Units, Monopolar/Bipolar</v>
      </c>
      <c r="UFK102" s="528" t="s">
        <v>213</v>
      </c>
      <c r="UFL102" s="529" t="str">
        <f>VLOOKUP(UFK102,[14]AssetDetails_UEM!$A$3:$AH$1849,6,FALSE)</f>
        <v>Electrosurgical Units, Monopolar/Bipolar</v>
      </c>
      <c r="UFM102" s="528" t="s">
        <v>213</v>
      </c>
      <c r="UFN102" s="529" t="str">
        <f>VLOOKUP(UFM102,[14]AssetDetails_UEM!$A$3:$AH$1849,6,FALSE)</f>
        <v>Electrosurgical Units, Monopolar/Bipolar</v>
      </c>
      <c r="UFO102" s="528" t="s">
        <v>213</v>
      </c>
      <c r="UFP102" s="529" t="str">
        <f>VLOOKUP(UFO102,[14]AssetDetails_UEM!$A$3:$AH$1849,6,FALSE)</f>
        <v>Electrosurgical Units, Monopolar/Bipolar</v>
      </c>
      <c r="UFQ102" s="528" t="s">
        <v>213</v>
      </c>
      <c r="UFR102" s="529" t="str">
        <f>VLOOKUP(UFQ102,[14]AssetDetails_UEM!$A$3:$AH$1849,6,FALSE)</f>
        <v>Electrosurgical Units, Monopolar/Bipolar</v>
      </c>
      <c r="UFS102" s="528" t="s">
        <v>213</v>
      </c>
      <c r="UFT102" s="529" t="str">
        <f>VLOOKUP(UFS102,[14]AssetDetails_UEM!$A$3:$AH$1849,6,FALSE)</f>
        <v>Electrosurgical Units, Monopolar/Bipolar</v>
      </c>
      <c r="UFU102" s="528" t="s">
        <v>213</v>
      </c>
      <c r="UFV102" s="529" t="str">
        <f>VLOOKUP(UFU102,[14]AssetDetails_UEM!$A$3:$AH$1849,6,FALSE)</f>
        <v>Electrosurgical Units, Monopolar/Bipolar</v>
      </c>
      <c r="UFW102" s="528" t="s">
        <v>213</v>
      </c>
      <c r="UFX102" s="529" t="str">
        <f>VLOOKUP(UFW102,[14]AssetDetails_UEM!$A$3:$AH$1849,6,FALSE)</f>
        <v>Electrosurgical Units, Monopolar/Bipolar</v>
      </c>
      <c r="UFY102" s="528" t="s">
        <v>213</v>
      </c>
      <c r="UFZ102" s="529" t="str">
        <f>VLOOKUP(UFY102,[14]AssetDetails_UEM!$A$3:$AH$1849,6,FALSE)</f>
        <v>Electrosurgical Units, Monopolar/Bipolar</v>
      </c>
      <c r="UGA102" s="528" t="s">
        <v>213</v>
      </c>
      <c r="UGB102" s="529" t="str">
        <f>VLOOKUP(UGA102,[14]AssetDetails_UEM!$A$3:$AH$1849,6,FALSE)</f>
        <v>Electrosurgical Units, Monopolar/Bipolar</v>
      </c>
      <c r="UGC102" s="528" t="s">
        <v>213</v>
      </c>
      <c r="UGD102" s="529" t="str">
        <f>VLOOKUP(UGC102,[14]AssetDetails_UEM!$A$3:$AH$1849,6,FALSE)</f>
        <v>Electrosurgical Units, Monopolar/Bipolar</v>
      </c>
      <c r="UGE102" s="528" t="s">
        <v>213</v>
      </c>
      <c r="UGF102" s="529" t="str">
        <f>VLOOKUP(UGE102,[14]AssetDetails_UEM!$A$3:$AH$1849,6,FALSE)</f>
        <v>Electrosurgical Units, Monopolar/Bipolar</v>
      </c>
      <c r="UGG102" s="528" t="s">
        <v>213</v>
      </c>
      <c r="UGH102" s="529" t="str">
        <f>VLOOKUP(UGG102,[14]AssetDetails_UEM!$A$3:$AH$1849,6,FALSE)</f>
        <v>Electrosurgical Units, Monopolar/Bipolar</v>
      </c>
      <c r="UGI102" s="528" t="s">
        <v>213</v>
      </c>
      <c r="UGJ102" s="529" t="str">
        <f>VLOOKUP(UGI102,[14]AssetDetails_UEM!$A$3:$AH$1849,6,FALSE)</f>
        <v>Electrosurgical Units, Monopolar/Bipolar</v>
      </c>
      <c r="UGK102" s="528" t="s">
        <v>213</v>
      </c>
      <c r="UGL102" s="529" t="str">
        <f>VLOOKUP(UGK102,[14]AssetDetails_UEM!$A$3:$AH$1849,6,FALSE)</f>
        <v>Electrosurgical Units, Monopolar/Bipolar</v>
      </c>
      <c r="UGM102" s="528" t="s">
        <v>213</v>
      </c>
      <c r="UGN102" s="529" t="str">
        <f>VLOOKUP(UGM102,[14]AssetDetails_UEM!$A$3:$AH$1849,6,FALSE)</f>
        <v>Electrosurgical Units, Monopolar/Bipolar</v>
      </c>
      <c r="UGO102" s="528" t="s">
        <v>213</v>
      </c>
      <c r="UGP102" s="529" t="str">
        <f>VLOOKUP(UGO102,[14]AssetDetails_UEM!$A$3:$AH$1849,6,FALSE)</f>
        <v>Electrosurgical Units, Monopolar/Bipolar</v>
      </c>
      <c r="UGQ102" s="528" t="s">
        <v>213</v>
      </c>
      <c r="UGR102" s="529" t="str">
        <f>VLOOKUP(UGQ102,[14]AssetDetails_UEM!$A$3:$AH$1849,6,FALSE)</f>
        <v>Electrosurgical Units, Monopolar/Bipolar</v>
      </c>
      <c r="UGS102" s="528" t="s">
        <v>213</v>
      </c>
      <c r="UGT102" s="529" t="str">
        <f>VLOOKUP(UGS102,[14]AssetDetails_UEM!$A$3:$AH$1849,6,FALSE)</f>
        <v>Electrosurgical Units, Monopolar/Bipolar</v>
      </c>
      <c r="UGU102" s="528" t="s">
        <v>213</v>
      </c>
      <c r="UGV102" s="529" t="str">
        <f>VLOOKUP(UGU102,[14]AssetDetails_UEM!$A$3:$AH$1849,6,FALSE)</f>
        <v>Electrosurgical Units, Monopolar/Bipolar</v>
      </c>
      <c r="UGW102" s="528" t="s">
        <v>213</v>
      </c>
      <c r="UGX102" s="529" t="str">
        <f>VLOOKUP(UGW102,[14]AssetDetails_UEM!$A$3:$AH$1849,6,FALSE)</f>
        <v>Electrosurgical Units, Monopolar/Bipolar</v>
      </c>
      <c r="UGY102" s="528" t="s">
        <v>213</v>
      </c>
      <c r="UGZ102" s="529" t="str">
        <f>VLOOKUP(UGY102,[14]AssetDetails_UEM!$A$3:$AH$1849,6,FALSE)</f>
        <v>Electrosurgical Units, Monopolar/Bipolar</v>
      </c>
      <c r="UHA102" s="528" t="s">
        <v>213</v>
      </c>
      <c r="UHB102" s="529" t="str">
        <f>VLOOKUP(UHA102,[14]AssetDetails_UEM!$A$3:$AH$1849,6,FALSE)</f>
        <v>Electrosurgical Units, Monopolar/Bipolar</v>
      </c>
      <c r="UHC102" s="528" t="s">
        <v>213</v>
      </c>
      <c r="UHD102" s="529" t="str">
        <f>VLOOKUP(UHC102,[14]AssetDetails_UEM!$A$3:$AH$1849,6,FALSE)</f>
        <v>Electrosurgical Units, Monopolar/Bipolar</v>
      </c>
      <c r="UHE102" s="528" t="s">
        <v>213</v>
      </c>
      <c r="UHF102" s="529" t="str">
        <f>VLOOKUP(UHE102,[14]AssetDetails_UEM!$A$3:$AH$1849,6,FALSE)</f>
        <v>Electrosurgical Units, Monopolar/Bipolar</v>
      </c>
      <c r="UHG102" s="528" t="s">
        <v>213</v>
      </c>
      <c r="UHH102" s="529" t="str">
        <f>VLOOKUP(UHG102,[14]AssetDetails_UEM!$A$3:$AH$1849,6,FALSE)</f>
        <v>Electrosurgical Units, Monopolar/Bipolar</v>
      </c>
      <c r="UHI102" s="528" t="s">
        <v>213</v>
      </c>
      <c r="UHJ102" s="529" t="str">
        <f>VLOOKUP(UHI102,[14]AssetDetails_UEM!$A$3:$AH$1849,6,FALSE)</f>
        <v>Electrosurgical Units, Monopolar/Bipolar</v>
      </c>
      <c r="UHK102" s="528" t="s">
        <v>213</v>
      </c>
      <c r="UHL102" s="529" t="str">
        <f>VLOOKUP(UHK102,[14]AssetDetails_UEM!$A$3:$AH$1849,6,FALSE)</f>
        <v>Electrosurgical Units, Monopolar/Bipolar</v>
      </c>
      <c r="UHM102" s="528" t="s">
        <v>213</v>
      </c>
      <c r="UHN102" s="529" t="str">
        <f>VLOOKUP(UHM102,[14]AssetDetails_UEM!$A$3:$AH$1849,6,FALSE)</f>
        <v>Electrosurgical Units, Monopolar/Bipolar</v>
      </c>
      <c r="UHO102" s="528" t="s">
        <v>213</v>
      </c>
      <c r="UHP102" s="529" t="str">
        <f>VLOOKUP(UHO102,[14]AssetDetails_UEM!$A$3:$AH$1849,6,FALSE)</f>
        <v>Electrosurgical Units, Monopolar/Bipolar</v>
      </c>
      <c r="UHQ102" s="528" t="s">
        <v>213</v>
      </c>
      <c r="UHR102" s="529" t="str">
        <f>VLOOKUP(UHQ102,[14]AssetDetails_UEM!$A$3:$AH$1849,6,FALSE)</f>
        <v>Electrosurgical Units, Monopolar/Bipolar</v>
      </c>
      <c r="UHS102" s="528" t="s">
        <v>213</v>
      </c>
      <c r="UHT102" s="529" t="str">
        <f>VLOOKUP(UHS102,[14]AssetDetails_UEM!$A$3:$AH$1849,6,FALSE)</f>
        <v>Electrosurgical Units, Monopolar/Bipolar</v>
      </c>
      <c r="UHU102" s="528" t="s">
        <v>213</v>
      </c>
      <c r="UHV102" s="529" t="str">
        <f>VLOOKUP(UHU102,[14]AssetDetails_UEM!$A$3:$AH$1849,6,FALSE)</f>
        <v>Electrosurgical Units, Monopolar/Bipolar</v>
      </c>
      <c r="UHW102" s="528" t="s">
        <v>213</v>
      </c>
      <c r="UHX102" s="529" t="str">
        <f>VLOOKUP(UHW102,[14]AssetDetails_UEM!$A$3:$AH$1849,6,FALSE)</f>
        <v>Electrosurgical Units, Monopolar/Bipolar</v>
      </c>
      <c r="UHY102" s="528" t="s">
        <v>213</v>
      </c>
      <c r="UHZ102" s="529" t="str">
        <f>VLOOKUP(UHY102,[14]AssetDetails_UEM!$A$3:$AH$1849,6,FALSE)</f>
        <v>Electrosurgical Units, Monopolar/Bipolar</v>
      </c>
      <c r="UIA102" s="528" t="s">
        <v>213</v>
      </c>
      <c r="UIB102" s="529" t="str">
        <f>VLOOKUP(UIA102,[14]AssetDetails_UEM!$A$3:$AH$1849,6,FALSE)</f>
        <v>Electrosurgical Units, Monopolar/Bipolar</v>
      </c>
      <c r="UIC102" s="528" t="s">
        <v>213</v>
      </c>
      <c r="UID102" s="529" t="str">
        <f>VLOOKUP(UIC102,[14]AssetDetails_UEM!$A$3:$AH$1849,6,FALSE)</f>
        <v>Electrosurgical Units, Monopolar/Bipolar</v>
      </c>
      <c r="UIE102" s="528" t="s">
        <v>213</v>
      </c>
      <c r="UIF102" s="529" t="str">
        <f>VLOOKUP(UIE102,[14]AssetDetails_UEM!$A$3:$AH$1849,6,FALSE)</f>
        <v>Electrosurgical Units, Monopolar/Bipolar</v>
      </c>
      <c r="UIG102" s="528" t="s">
        <v>213</v>
      </c>
      <c r="UIH102" s="529" t="str">
        <f>VLOOKUP(UIG102,[14]AssetDetails_UEM!$A$3:$AH$1849,6,FALSE)</f>
        <v>Electrosurgical Units, Monopolar/Bipolar</v>
      </c>
      <c r="UII102" s="528" t="s">
        <v>213</v>
      </c>
      <c r="UIJ102" s="529" t="str">
        <f>VLOOKUP(UII102,[14]AssetDetails_UEM!$A$3:$AH$1849,6,FALSE)</f>
        <v>Electrosurgical Units, Monopolar/Bipolar</v>
      </c>
      <c r="UIK102" s="528" t="s">
        <v>213</v>
      </c>
      <c r="UIL102" s="529" t="str">
        <f>VLOOKUP(UIK102,[14]AssetDetails_UEM!$A$3:$AH$1849,6,FALSE)</f>
        <v>Electrosurgical Units, Monopolar/Bipolar</v>
      </c>
      <c r="UIM102" s="528" t="s">
        <v>213</v>
      </c>
      <c r="UIN102" s="529" t="str">
        <f>VLOOKUP(UIM102,[14]AssetDetails_UEM!$A$3:$AH$1849,6,FALSE)</f>
        <v>Electrosurgical Units, Monopolar/Bipolar</v>
      </c>
      <c r="UIO102" s="528" t="s">
        <v>213</v>
      </c>
      <c r="UIP102" s="529" t="str">
        <f>VLOOKUP(UIO102,[14]AssetDetails_UEM!$A$3:$AH$1849,6,FALSE)</f>
        <v>Electrosurgical Units, Monopolar/Bipolar</v>
      </c>
      <c r="UIQ102" s="528" t="s">
        <v>213</v>
      </c>
      <c r="UIR102" s="529" t="str">
        <f>VLOOKUP(UIQ102,[14]AssetDetails_UEM!$A$3:$AH$1849,6,FALSE)</f>
        <v>Electrosurgical Units, Monopolar/Bipolar</v>
      </c>
      <c r="UIS102" s="528" t="s">
        <v>213</v>
      </c>
      <c r="UIT102" s="529" t="str">
        <f>VLOOKUP(UIS102,[14]AssetDetails_UEM!$A$3:$AH$1849,6,FALSE)</f>
        <v>Electrosurgical Units, Monopolar/Bipolar</v>
      </c>
      <c r="UIU102" s="528" t="s">
        <v>213</v>
      </c>
      <c r="UIV102" s="529" t="str">
        <f>VLOOKUP(UIU102,[14]AssetDetails_UEM!$A$3:$AH$1849,6,FALSE)</f>
        <v>Electrosurgical Units, Monopolar/Bipolar</v>
      </c>
      <c r="UIW102" s="528" t="s">
        <v>213</v>
      </c>
      <c r="UIX102" s="529" t="str">
        <f>VLOOKUP(UIW102,[14]AssetDetails_UEM!$A$3:$AH$1849,6,FALSE)</f>
        <v>Electrosurgical Units, Monopolar/Bipolar</v>
      </c>
      <c r="UIY102" s="528" t="s">
        <v>213</v>
      </c>
      <c r="UIZ102" s="529" t="str">
        <f>VLOOKUP(UIY102,[14]AssetDetails_UEM!$A$3:$AH$1849,6,FALSE)</f>
        <v>Electrosurgical Units, Monopolar/Bipolar</v>
      </c>
      <c r="UJA102" s="528" t="s">
        <v>213</v>
      </c>
      <c r="UJB102" s="529" t="str">
        <f>VLOOKUP(UJA102,[14]AssetDetails_UEM!$A$3:$AH$1849,6,FALSE)</f>
        <v>Electrosurgical Units, Monopolar/Bipolar</v>
      </c>
      <c r="UJC102" s="528" t="s">
        <v>213</v>
      </c>
      <c r="UJD102" s="529" t="str">
        <f>VLOOKUP(UJC102,[14]AssetDetails_UEM!$A$3:$AH$1849,6,FALSE)</f>
        <v>Electrosurgical Units, Monopolar/Bipolar</v>
      </c>
      <c r="UJE102" s="528" t="s">
        <v>213</v>
      </c>
      <c r="UJF102" s="529" t="str">
        <f>VLOOKUP(UJE102,[14]AssetDetails_UEM!$A$3:$AH$1849,6,FALSE)</f>
        <v>Electrosurgical Units, Monopolar/Bipolar</v>
      </c>
      <c r="UJG102" s="528" t="s">
        <v>213</v>
      </c>
      <c r="UJH102" s="529" t="str">
        <f>VLOOKUP(UJG102,[14]AssetDetails_UEM!$A$3:$AH$1849,6,FALSE)</f>
        <v>Electrosurgical Units, Monopolar/Bipolar</v>
      </c>
      <c r="UJI102" s="528" t="s">
        <v>213</v>
      </c>
      <c r="UJJ102" s="529" t="str">
        <f>VLOOKUP(UJI102,[14]AssetDetails_UEM!$A$3:$AH$1849,6,FALSE)</f>
        <v>Electrosurgical Units, Monopolar/Bipolar</v>
      </c>
      <c r="UJK102" s="528" t="s">
        <v>213</v>
      </c>
      <c r="UJL102" s="529" t="str">
        <f>VLOOKUP(UJK102,[14]AssetDetails_UEM!$A$3:$AH$1849,6,FALSE)</f>
        <v>Electrosurgical Units, Monopolar/Bipolar</v>
      </c>
      <c r="UJM102" s="528" t="s">
        <v>213</v>
      </c>
      <c r="UJN102" s="529" t="str">
        <f>VLOOKUP(UJM102,[14]AssetDetails_UEM!$A$3:$AH$1849,6,FALSE)</f>
        <v>Electrosurgical Units, Monopolar/Bipolar</v>
      </c>
      <c r="UJO102" s="528" t="s">
        <v>213</v>
      </c>
      <c r="UJP102" s="529" t="str">
        <f>VLOOKUP(UJO102,[14]AssetDetails_UEM!$A$3:$AH$1849,6,FALSE)</f>
        <v>Electrosurgical Units, Monopolar/Bipolar</v>
      </c>
      <c r="UJQ102" s="528" t="s">
        <v>213</v>
      </c>
      <c r="UJR102" s="529" t="str">
        <f>VLOOKUP(UJQ102,[14]AssetDetails_UEM!$A$3:$AH$1849,6,FALSE)</f>
        <v>Electrosurgical Units, Monopolar/Bipolar</v>
      </c>
      <c r="UJS102" s="528" t="s">
        <v>213</v>
      </c>
      <c r="UJT102" s="529" t="str">
        <f>VLOOKUP(UJS102,[14]AssetDetails_UEM!$A$3:$AH$1849,6,FALSE)</f>
        <v>Electrosurgical Units, Monopolar/Bipolar</v>
      </c>
      <c r="UJU102" s="528" t="s">
        <v>213</v>
      </c>
      <c r="UJV102" s="529" t="str">
        <f>VLOOKUP(UJU102,[14]AssetDetails_UEM!$A$3:$AH$1849,6,FALSE)</f>
        <v>Electrosurgical Units, Monopolar/Bipolar</v>
      </c>
      <c r="UJW102" s="528" t="s">
        <v>213</v>
      </c>
      <c r="UJX102" s="529" t="str">
        <f>VLOOKUP(UJW102,[14]AssetDetails_UEM!$A$3:$AH$1849,6,FALSE)</f>
        <v>Electrosurgical Units, Monopolar/Bipolar</v>
      </c>
      <c r="UJY102" s="528" t="s">
        <v>213</v>
      </c>
      <c r="UJZ102" s="529" t="str">
        <f>VLOOKUP(UJY102,[14]AssetDetails_UEM!$A$3:$AH$1849,6,FALSE)</f>
        <v>Electrosurgical Units, Monopolar/Bipolar</v>
      </c>
      <c r="UKA102" s="528" t="s">
        <v>213</v>
      </c>
      <c r="UKB102" s="529" t="str">
        <f>VLOOKUP(UKA102,[14]AssetDetails_UEM!$A$3:$AH$1849,6,FALSE)</f>
        <v>Electrosurgical Units, Monopolar/Bipolar</v>
      </c>
      <c r="UKC102" s="528" t="s">
        <v>213</v>
      </c>
      <c r="UKD102" s="529" t="str">
        <f>VLOOKUP(UKC102,[14]AssetDetails_UEM!$A$3:$AH$1849,6,FALSE)</f>
        <v>Electrosurgical Units, Monopolar/Bipolar</v>
      </c>
      <c r="UKE102" s="528" t="s">
        <v>213</v>
      </c>
      <c r="UKF102" s="529" t="str">
        <f>VLOOKUP(UKE102,[14]AssetDetails_UEM!$A$3:$AH$1849,6,FALSE)</f>
        <v>Electrosurgical Units, Monopolar/Bipolar</v>
      </c>
      <c r="UKG102" s="528" t="s">
        <v>213</v>
      </c>
      <c r="UKH102" s="529" t="str">
        <f>VLOOKUP(UKG102,[14]AssetDetails_UEM!$A$3:$AH$1849,6,FALSE)</f>
        <v>Electrosurgical Units, Monopolar/Bipolar</v>
      </c>
      <c r="UKI102" s="528" t="s">
        <v>213</v>
      </c>
      <c r="UKJ102" s="529" t="str">
        <f>VLOOKUP(UKI102,[14]AssetDetails_UEM!$A$3:$AH$1849,6,FALSE)</f>
        <v>Electrosurgical Units, Monopolar/Bipolar</v>
      </c>
      <c r="UKK102" s="528" t="s">
        <v>213</v>
      </c>
      <c r="UKL102" s="529" t="str">
        <f>VLOOKUP(UKK102,[14]AssetDetails_UEM!$A$3:$AH$1849,6,FALSE)</f>
        <v>Electrosurgical Units, Monopolar/Bipolar</v>
      </c>
      <c r="UKM102" s="528" t="s">
        <v>213</v>
      </c>
      <c r="UKN102" s="529" t="str">
        <f>VLOOKUP(UKM102,[14]AssetDetails_UEM!$A$3:$AH$1849,6,FALSE)</f>
        <v>Electrosurgical Units, Monopolar/Bipolar</v>
      </c>
      <c r="UKO102" s="528" t="s">
        <v>213</v>
      </c>
      <c r="UKP102" s="529" t="str">
        <f>VLOOKUP(UKO102,[14]AssetDetails_UEM!$A$3:$AH$1849,6,FALSE)</f>
        <v>Electrosurgical Units, Monopolar/Bipolar</v>
      </c>
      <c r="UKQ102" s="528" t="s">
        <v>213</v>
      </c>
      <c r="UKR102" s="529" t="str">
        <f>VLOOKUP(UKQ102,[14]AssetDetails_UEM!$A$3:$AH$1849,6,FALSE)</f>
        <v>Electrosurgical Units, Monopolar/Bipolar</v>
      </c>
      <c r="UKS102" s="528" t="s">
        <v>213</v>
      </c>
      <c r="UKT102" s="529" t="str">
        <f>VLOOKUP(UKS102,[14]AssetDetails_UEM!$A$3:$AH$1849,6,FALSE)</f>
        <v>Electrosurgical Units, Monopolar/Bipolar</v>
      </c>
      <c r="UKU102" s="528" t="s">
        <v>213</v>
      </c>
      <c r="UKV102" s="529" t="str">
        <f>VLOOKUP(UKU102,[14]AssetDetails_UEM!$A$3:$AH$1849,6,FALSE)</f>
        <v>Electrosurgical Units, Monopolar/Bipolar</v>
      </c>
      <c r="UKW102" s="528" t="s">
        <v>213</v>
      </c>
      <c r="UKX102" s="529" t="str">
        <f>VLOOKUP(UKW102,[14]AssetDetails_UEM!$A$3:$AH$1849,6,FALSE)</f>
        <v>Electrosurgical Units, Monopolar/Bipolar</v>
      </c>
      <c r="UKY102" s="528" t="s">
        <v>213</v>
      </c>
      <c r="UKZ102" s="529" t="str">
        <f>VLOOKUP(UKY102,[14]AssetDetails_UEM!$A$3:$AH$1849,6,FALSE)</f>
        <v>Electrosurgical Units, Monopolar/Bipolar</v>
      </c>
      <c r="ULA102" s="528" t="s">
        <v>213</v>
      </c>
      <c r="ULB102" s="529" t="str">
        <f>VLOOKUP(ULA102,[14]AssetDetails_UEM!$A$3:$AH$1849,6,FALSE)</f>
        <v>Electrosurgical Units, Monopolar/Bipolar</v>
      </c>
      <c r="ULC102" s="528" t="s">
        <v>213</v>
      </c>
      <c r="ULD102" s="529" t="str">
        <f>VLOOKUP(ULC102,[14]AssetDetails_UEM!$A$3:$AH$1849,6,FALSE)</f>
        <v>Electrosurgical Units, Monopolar/Bipolar</v>
      </c>
      <c r="ULE102" s="528" t="s">
        <v>213</v>
      </c>
      <c r="ULF102" s="529" t="str">
        <f>VLOOKUP(ULE102,[14]AssetDetails_UEM!$A$3:$AH$1849,6,FALSE)</f>
        <v>Electrosurgical Units, Monopolar/Bipolar</v>
      </c>
      <c r="ULG102" s="528" t="s">
        <v>213</v>
      </c>
      <c r="ULH102" s="529" t="str">
        <f>VLOOKUP(ULG102,[14]AssetDetails_UEM!$A$3:$AH$1849,6,FALSE)</f>
        <v>Electrosurgical Units, Monopolar/Bipolar</v>
      </c>
      <c r="ULI102" s="528" t="s">
        <v>213</v>
      </c>
      <c r="ULJ102" s="529" t="str">
        <f>VLOOKUP(ULI102,[14]AssetDetails_UEM!$A$3:$AH$1849,6,FALSE)</f>
        <v>Electrosurgical Units, Monopolar/Bipolar</v>
      </c>
      <c r="ULK102" s="528" t="s">
        <v>213</v>
      </c>
      <c r="ULL102" s="529" t="str">
        <f>VLOOKUP(ULK102,[14]AssetDetails_UEM!$A$3:$AH$1849,6,FALSE)</f>
        <v>Electrosurgical Units, Monopolar/Bipolar</v>
      </c>
      <c r="ULM102" s="528" t="s">
        <v>213</v>
      </c>
      <c r="ULN102" s="529" t="str">
        <f>VLOOKUP(ULM102,[14]AssetDetails_UEM!$A$3:$AH$1849,6,FALSE)</f>
        <v>Electrosurgical Units, Monopolar/Bipolar</v>
      </c>
      <c r="ULO102" s="528" t="s">
        <v>213</v>
      </c>
      <c r="ULP102" s="529" t="str">
        <f>VLOOKUP(ULO102,[14]AssetDetails_UEM!$A$3:$AH$1849,6,FALSE)</f>
        <v>Electrosurgical Units, Monopolar/Bipolar</v>
      </c>
      <c r="ULQ102" s="528" t="s">
        <v>213</v>
      </c>
      <c r="ULR102" s="529" t="str">
        <f>VLOOKUP(ULQ102,[14]AssetDetails_UEM!$A$3:$AH$1849,6,FALSE)</f>
        <v>Electrosurgical Units, Monopolar/Bipolar</v>
      </c>
      <c r="ULS102" s="528" t="s">
        <v>213</v>
      </c>
      <c r="ULT102" s="529" t="str">
        <f>VLOOKUP(ULS102,[14]AssetDetails_UEM!$A$3:$AH$1849,6,FALSE)</f>
        <v>Electrosurgical Units, Monopolar/Bipolar</v>
      </c>
      <c r="ULU102" s="528" t="s">
        <v>213</v>
      </c>
      <c r="ULV102" s="529" t="str">
        <f>VLOOKUP(ULU102,[14]AssetDetails_UEM!$A$3:$AH$1849,6,FALSE)</f>
        <v>Electrosurgical Units, Monopolar/Bipolar</v>
      </c>
      <c r="ULW102" s="528" t="s">
        <v>213</v>
      </c>
      <c r="ULX102" s="529" t="str">
        <f>VLOOKUP(ULW102,[14]AssetDetails_UEM!$A$3:$AH$1849,6,FALSE)</f>
        <v>Electrosurgical Units, Monopolar/Bipolar</v>
      </c>
      <c r="ULY102" s="528" t="s">
        <v>213</v>
      </c>
      <c r="ULZ102" s="529" t="str">
        <f>VLOOKUP(ULY102,[14]AssetDetails_UEM!$A$3:$AH$1849,6,FALSE)</f>
        <v>Electrosurgical Units, Monopolar/Bipolar</v>
      </c>
      <c r="UMA102" s="528" t="s">
        <v>213</v>
      </c>
      <c r="UMB102" s="529" t="str">
        <f>VLOOKUP(UMA102,[14]AssetDetails_UEM!$A$3:$AH$1849,6,FALSE)</f>
        <v>Electrosurgical Units, Monopolar/Bipolar</v>
      </c>
      <c r="UMC102" s="528" t="s">
        <v>213</v>
      </c>
      <c r="UMD102" s="529" t="str">
        <f>VLOOKUP(UMC102,[14]AssetDetails_UEM!$A$3:$AH$1849,6,FALSE)</f>
        <v>Electrosurgical Units, Monopolar/Bipolar</v>
      </c>
      <c r="UME102" s="528" t="s">
        <v>213</v>
      </c>
      <c r="UMF102" s="529" t="str">
        <f>VLOOKUP(UME102,[14]AssetDetails_UEM!$A$3:$AH$1849,6,FALSE)</f>
        <v>Electrosurgical Units, Monopolar/Bipolar</v>
      </c>
      <c r="UMG102" s="528" t="s">
        <v>213</v>
      </c>
      <c r="UMH102" s="529" t="str">
        <f>VLOOKUP(UMG102,[14]AssetDetails_UEM!$A$3:$AH$1849,6,FALSE)</f>
        <v>Electrosurgical Units, Monopolar/Bipolar</v>
      </c>
      <c r="UMI102" s="528" t="s">
        <v>213</v>
      </c>
      <c r="UMJ102" s="529" t="str">
        <f>VLOOKUP(UMI102,[14]AssetDetails_UEM!$A$3:$AH$1849,6,FALSE)</f>
        <v>Electrosurgical Units, Monopolar/Bipolar</v>
      </c>
      <c r="UMK102" s="528" t="s">
        <v>213</v>
      </c>
      <c r="UML102" s="529" t="str">
        <f>VLOOKUP(UMK102,[14]AssetDetails_UEM!$A$3:$AH$1849,6,FALSE)</f>
        <v>Electrosurgical Units, Monopolar/Bipolar</v>
      </c>
      <c r="UMM102" s="528" t="s">
        <v>213</v>
      </c>
      <c r="UMN102" s="529" t="str">
        <f>VLOOKUP(UMM102,[14]AssetDetails_UEM!$A$3:$AH$1849,6,FALSE)</f>
        <v>Electrosurgical Units, Monopolar/Bipolar</v>
      </c>
      <c r="UMO102" s="528" t="s">
        <v>213</v>
      </c>
      <c r="UMP102" s="529" t="str">
        <f>VLOOKUP(UMO102,[14]AssetDetails_UEM!$A$3:$AH$1849,6,FALSE)</f>
        <v>Electrosurgical Units, Monopolar/Bipolar</v>
      </c>
      <c r="UMQ102" s="528" t="s">
        <v>213</v>
      </c>
      <c r="UMR102" s="529" t="str">
        <f>VLOOKUP(UMQ102,[14]AssetDetails_UEM!$A$3:$AH$1849,6,FALSE)</f>
        <v>Electrosurgical Units, Monopolar/Bipolar</v>
      </c>
      <c r="UMS102" s="528" t="s">
        <v>213</v>
      </c>
      <c r="UMT102" s="529" t="str">
        <f>VLOOKUP(UMS102,[14]AssetDetails_UEM!$A$3:$AH$1849,6,FALSE)</f>
        <v>Electrosurgical Units, Monopolar/Bipolar</v>
      </c>
      <c r="UMU102" s="528" t="s">
        <v>213</v>
      </c>
      <c r="UMV102" s="529" t="str">
        <f>VLOOKUP(UMU102,[14]AssetDetails_UEM!$A$3:$AH$1849,6,FALSE)</f>
        <v>Electrosurgical Units, Monopolar/Bipolar</v>
      </c>
      <c r="UMW102" s="528" t="s">
        <v>213</v>
      </c>
      <c r="UMX102" s="529" t="str">
        <f>VLOOKUP(UMW102,[14]AssetDetails_UEM!$A$3:$AH$1849,6,FALSE)</f>
        <v>Electrosurgical Units, Monopolar/Bipolar</v>
      </c>
      <c r="UMY102" s="528" t="s">
        <v>213</v>
      </c>
      <c r="UMZ102" s="529" t="str">
        <f>VLOOKUP(UMY102,[14]AssetDetails_UEM!$A$3:$AH$1849,6,FALSE)</f>
        <v>Electrosurgical Units, Monopolar/Bipolar</v>
      </c>
      <c r="UNA102" s="528" t="s">
        <v>213</v>
      </c>
      <c r="UNB102" s="529" t="str">
        <f>VLOOKUP(UNA102,[14]AssetDetails_UEM!$A$3:$AH$1849,6,FALSE)</f>
        <v>Electrosurgical Units, Monopolar/Bipolar</v>
      </c>
      <c r="UNC102" s="528" t="s">
        <v>213</v>
      </c>
      <c r="UND102" s="529" t="str">
        <f>VLOOKUP(UNC102,[14]AssetDetails_UEM!$A$3:$AH$1849,6,FALSE)</f>
        <v>Electrosurgical Units, Monopolar/Bipolar</v>
      </c>
      <c r="UNE102" s="528" t="s">
        <v>213</v>
      </c>
      <c r="UNF102" s="529" t="str">
        <f>VLOOKUP(UNE102,[14]AssetDetails_UEM!$A$3:$AH$1849,6,FALSE)</f>
        <v>Electrosurgical Units, Monopolar/Bipolar</v>
      </c>
      <c r="UNG102" s="528" t="s">
        <v>213</v>
      </c>
      <c r="UNH102" s="529" t="str">
        <f>VLOOKUP(UNG102,[14]AssetDetails_UEM!$A$3:$AH$1849,6,FALSE)</f>
        <v>Electrosurgical Units, Monopolar/Bipolar</v>
      </c>
      <c r="UNI102" s="528" t="s">
        <v>213</v>
      </c>
      <c r="UNJ102" s="529" t="str">
        <f>VLOOKUP(UNI102,[14]AssetDetails_UEM!$A$3:$AH$1849,6,FALSE)</f>
        <v>Electrosurgical Units, Monopolar/Bipolar</v>
      </c>
      <c r="UNK102" s="528" t="s">
        <v>213</v>
      </c>
      <c r="UNL102" s="529" t="str">
        <f>VLOOKUP(UNK102,[14]AssetDetails_UEM!$A$3:$AH$1849,6,FALSE)</f>
        <v>Electrosurgical Units, Monopolar/Bipolar</v>
      </c>
      <c r="UNM102" s="528" t="s">
        <v>213</v>
      </c>
      <c r="UNN102" s="529" t="str">
        <f>VLOOKUP(UNM102,[14]AssetDetails_UEM!$A$3:$AH$1849,6,FALSE)</f>
        <v>Electrosurgical Units, Monopolar/Bipolar</v>
      </c>
      <c r="UNO102" s="528" t="s">
        <v>213</v>
      </c>
      <c r="UNP102" s="529" t="str">
        <f>VLOOKUP(UNO102,[14]AssetDetails_UEM!$A$3:$AH$1849,6,FALSE)</f>
        <v>Electrosurgical Units, Monopolar/Bipolar</v>
      </c>
      <c r="UNQ102" s="528" t="s">
        <v>213</v>
      </c>
      <c r="UNR102" s="529" t="str">
        <f>VLOOKUP(UNQ102,[14]AssetDetails_UEM!$A$3:$AH$1849,6,FALSE)</f>
        <v>Electrosurgical Units, Monopolar/Bipolar</v>
      </c>
      <c r="UNS102" s="528" t="s">
        <v>213</v>
      </c>
      <c r="UNT102" s="529" t="str">
        <f>VLOOKUP(UNS102,[14]AssetDetails_UEM!$A$3:$AH$1849,6,FALSE)</f>
        <v>Electrosurgical Units, Monopolar/Bipolar</v>
      </c>
      <c r="UNU102" s="528" t="s">
        <v>213</v>
      </c>
      <c r="UNV102" s="529" t="str">
        <f>VLOOKUP(UNU102,[14]AssetDetails_UEM!$A$3:$AH$1849,6,FALSE)</f>
        <v>Electrosurgical Units, Monopolar/Bipolar</v>
      </c>
      <c r="UNW102" s="528" t="s">
        <v>213</v>
      </c>
      <c r="UNX102" s="529" t="str">
        <f>VLOOKUP(UNW102,[14]AssetDetails_UEM!$A$3:$AH$1849,6,FALSE)</f>
        <v>Electrosurgical Units, Monopolar/Bipolar</v>
      </c>
      <c r="UNY102" s="528" t="s">
        <v>213</v>
      </c>
      <c r="UNZ102" s="529" t="str">
        <f>VLOOKUP(UNY102,[14]AssetDetails_UEM!$A$3:$AH$1849,6,FALSE)</f>
        <v>Electrosurgical Units, Monopolar/Bipolar</v>
      </c>
      <c r="UOA102" s="528" t="s">
        <v>213</v>
      </c>
      <c r="UOB102" s="529" t="str">
        <f>VLOOKUP(UOA102,[14]AssetDetails_UEM!$A$3:$AH$1849,6,FALSE)</f>
        <v>Electrosurgical Units, Monopolar/Bipolar</v>
      </c>
      <c r="UOC102" s="528" t="s">
        <v>213</v>
      </c>
      <c r="UOD102" s="529" t="str">
        <f>VLOOKUP(UOC102,[14]AssetDetails_UEM!$A$3:$AH$1849,6,FALSE)</f>
        <v>Electrosurgical Units, Monopolar/Bipolar</v>
      </c>
      <c r="UOE102" s="528" t="s">
        <v>213</v>
      </c>
      <c r="UOF102" s="529" t="str">
        <f>VLOOKUP(UOE102,[14]AssetDetails_UEM!$A$3:$AH$1849,6,FALSE)</f>
        <v>Electrosurgical Units, Monopolar/Bipolar</v>
      </c>
      <c r="UOG102" s="528" t="s">
        <v>213</v>
      </c>
      <c r="UOH102" s="529" t="str">
        <f>VLOOKUP(UOG102,[14]AssetDetails_UEM!$A$3:$AH$1849,6,FALSE)</f>
        <v>Electrosurgical Units, Monopolar/Bipolar</v>
      </c>
      <c r="UOI102" s="528" t="s">
        <v>213</v>
      </c>
      <c r="UOJ102" s="529" t="str">
        <f>VLOOKUP(UOI102,[14]AssetDetails_UEM!$A$3:$AH$1849,6,FALSE)</f>
        <v>Electrosurgical Units, Monopolar/Bipolar</v>
      </c>
      <c r="UOK102" s="528" t="s">
        <v>213</v>
      </c>
      <c r="UOL102" s="529" t="str">
        <f>VLOOKUP(UOK102,[14]AssetDetails_UEM!$A$3:$AH$1849,6,FALSE)</f>
        <v>Electrosurgical Units, Monopolar/Bipolar</v>
      </c>
      <c r="UOM102" s="528" t="s">
        <v>213</v>
      </c>
      <c r="UON102" s="529" t="str">
        <f>VLOOKUP(UOM102,[14]AssetDetails_UEM!$A$3:$AH$1849,6,FALSE)</f>
        <v>Electrosurgical Units, Monopolar/Bipolar</v>
      </c>
      <c r="UOO102" s="528" t="s">
        <v>213</v>
      </c>
      <c r="UOP102" s="529" t="str">
        <f>VLOOKUP(UOO102,[14]AssetDetails_UEM!$A$3:$AH$1849,6,FALSE)</f>
        <v>Electrosurgical Units, Monopolar/Bipolar</v>
      </c>
      <c r="UOQ102" s="528" t="s">
        <v>213</v>
      </c>
      <c r="UOR102" s="529" t="str">
        <f>VLOOKUP(UOQ102,[14]AssetDetails_UEM!$A$3:$AH$1849,6,FALSE)</f>
        <v>Electrosurgical Units, Monopolar/Bipolar</v>
      </c>
      <c r="UOS102" s="528" t="s">
        <v>213</v>
      </c>
      <c r="UOT102" s="529" t="str">
        <f>VLOOKUP(UOS102,[14]AssetDetails_UEM!$A$3:$AH$1849,6,FALSE)</f>
        <v>Electrosurgical Units, Monopolar/Bipolar</v>
      </c>
      <c r="UOU102" s="528" t="s">
        <v>213</v>
      </c>
      <c r="UOV102" s="529" t="str">
        <f>VLOOKUP(UOU102,[14]AssetDetails_UEM!$A$3:$AH$1849,6,FALSE)</f>
        <v>Electrosurgical Units, Monopolar/Bipolar</v>
      </c>
      <c r="UOW102" s="528" t="s">
        <v>213</v>
      </c>
      <c r="UOX102" s="529" t="str">
        <f>VLOOKUP(UOW102,[14]AssetDetails_UEM!$A$3:$AH$1849,6,FALSE)</f>
        <v>Electrosurgical Units, Monopolar/Bipolar</v>
      </c>
      <c r="UOY102" s="528" t="s">
        <v>213</v>
      </c>
      <c r="UOZ102" s="529" t="str">
        <f>VLOOKUP(UOY102,[14]AssetDetails_UEM!$A$3:$AH$1849,6,FALSE)</f>
        <v>Electrosurgical Units, Monopolar/Bipolar</v>
      </c>
      <c r="UPA102" s="528" t="s">
        <v>213</v>
      </c>
      <c r="UPB102" s="529" t="str">
        <f>VLOOKUP(UPA102,[14]AssetDetails_UEM!$A$3:$AH$1849,6,FALSE)</f>
        <v>Electrosurgical Units, Monopolar/Bipolar</v>
      </c>
      <c r="UPC102" s="528" t="s">
        <v>213</v>
      </c>
      <c r="UPD102" s="529" t="str">
        <f>VLOOKUP(UPC102,[14]AssetDetails_UEM!$A$3:$AH$1849,6,FALSE)</f>
        <v>Electrosurgical Units, Monopolar/Bipolar</v>
      </c>
      <c r="UPE102" s="528" t="s">
        <v>213</v>
      </c>
      <c r="UPF102" s="529" t="str">
        <f>VLOOKUP(UPE102,[14]AssetDetails_UEM!$A$3:$AH$1849,6,FALSE)</f>
        <v>Electrosurgical Units, Monopolar/Bipolar</v>
      </c>
      <c r="UPG102" s="528" t="s">
        <v>213</v>
      </c>
      <c r="UPH102" s="529" t="str">
        <f>VLOOKUP(UPG102,[14]AssetDetails_UEM!$A$3:$AH$1849,6,FALSE)</f>
        <v>Electrosurgical Units, Monopolar/Bipolar</v>
      </c>
      <c r="UPI102" s="528" t="s">
        <v>213</v>
      </c>
      <c r="UPJ102" s="529" t="str">
        <f>VLOOKUP(UPI102,[14]AssetDetails_UEM!$A$3:$AH$1849,6,FALSE)</f>
        <v>Electrosurgical Units, Monopolar/Bipolar</v>
      </c>
      <c r="UPK102" s="528" t="s">
        <v>213</v>
      </c>
      <c r="UPL102" s="529" t="str">
        <f>VLOOKUP(UPK102,[14]AssetDetails_UEM!$A$3:$AH$1849,6,FALSE)</f>
        <v>Electrosurgical Units, Monopolar/Bipolar</v>
      </c>
      <c r="UPM102" s="528" t="s">
        <v>213</v>
      </c>
      <c r="UPN102" s="529" t="str">
        <f>VLOOKUP(UPM102,[14]AssetDetails_UEM!$A$3:$AH$1849,6,FALSE)</f>
        <v>Electrosurgical Units, Monopolar/Bipolar</v>
      </c>
      <c r="UPO102" s="528" t="s">
        <v>213</v>
      </c>
      <c r="UPP102" s="529" t="str">
        <f>VLOOKUP(UPO102,[14]AssetDetails_UEM!$A$3:$AH$1849,6,FALSE)</f>
        <v>Electrosurgical Units, Monopolar/Bipolar</v>
      </c>
      <c r="UPQ102" s="528" t="s">
        <v>213</v>
      </c>
      <c r="UPR102" s="529" t="str">
        <f>VLOOKUP(UPQ102,[14]AssetDetails_UEM!$A$3:$AH$1849,6,FALSE)</f>
        <v>Electrosurgical Units, Monopolar/Bipolar</v>
      </c>
      <c r="UPS102" s="528" t="s">
        <v>213</v>
      </c>
      <c r="UPT102" s="529" t="str">
        <f>VLOOKUP(UPS102,[14]AssetDetails_UEM!$A$3:$AH$1849,6,FALSE)</f>
        <v>Electrosurgical Units, Monopolar/Bipolar</v>
      </c>
      <c r="UPU102" s="528" t="s">
        <v>213</v>
      </c>
      <c r="UPV102" s="529" t="str">
        <f>VLOOKUP(UPU102,[14]AssetDetails_UEM!$A$3:$AH$1849,6,FALSE)</f>
        <v>Electrosurgical Units, Monopolar/Bipolar</v>
      </c>
      <c r="UPW102" s="528" t="s">
        <v>213</v>
      </c>
      <c r="UPX102" s="529" t="str">
        <f>VLOOKUP(UPW102,[14]AssetDetails_UEM!$A$3:$AH$1849,6,FALSE)</f>
        <v>Electrosurgical Units, Monopolar/Bipolar</v>
      </c>
      <c r="UPY102" s="528" t="s">
        <v>213</v>
      </c>
      <c r="UPZ102" s="529" t="str">
        <f>VLOOKUP(UPY102,[14]AssetDetails_UEM!$A$3:$AH$1849,6,FALSE)</f>
        <v>Electrosurgical Units, Monopolar/Bipolar</v>
      </c>
      <c r="UQA102" s="528" t="s">
        <v>213</v>
      </c>
      <c r="UQB102" s="529" t="str">
        <f>VLOOKUP(UQA102,[14]AssetDetails_UEM!$A$3:$AH$1849,6,FALSE)</f>
        <v>Electrosurgical Units, Monopolar/Bipolar</v>
      </c>
      <c r="UQC102" s="528" t="s">
        <v>213</v>
      </c>
      <c r="UQD102" s="529" t="str">
        <f>VLOOKUP(UQC102,[14]AssetDetails_UEM!$A$3:$AH$1849,6,FALSE)</f>
        <v>Electrosurgical Units, Monopolar/Bipolar</v>
      </c>
      <c r="UQE102" s="528" t="s">
        <v>213</v>
      </c>
      <c r="UQF102" s="529" t="str">
        <f>VLOOKUP(UQE102,[14]AssetDetails_UEM!$A$3:$AH$1849,6,FALSE)</f>
        <v>Electrosurgical Units, Monopolar/Bipolar</v>
      </c>
      <c r="UQG102" s="528" t="s">
        <v>213</v>
      </c>
      <c r="UQH102" s="529" t="str">
        <f>VLOOKUP(UQG102,[14]AssetDetails_UEM!$A$3:$AH$1849,6,FALSE)</f>
        <v>Electrosurgical Units, Monopolar/Bipolar</v>
      </c>
      <c r="UQI102" s="528" t="s">
        <v>213</v>
      </c>
      <c r="UQJ102" s="529" t="str">
        <f>VLOOKUP(UQI102,[14]AssetDetails_UEM!$A$3:$AH$1849,6,FALSE)</f>
        <v>Electrosurgical Units, Monopolar/Bipolar</v>
      </c>
      <c r="UQK102" s="528" t="s">
        <v>213</v>
      </c>
      <c r="UQL102" s="529" t="str">
        <f>VLOOKUP(UQK102,[14]AssetDetails_UEM!$A$3:$AH$1849,6,FALSE)</f>
        <v>Electrosurgical Units, Monopolar/Bipolar</v>
      </c>
      <c r="UQM102" s="528" t="s">
        <v>213</v>
      </c>
      <c r="UQN102" s="529" t="str">
        <f>VLOOKUP(UQM102,[14]AssetDetails_UEM!$A$3:$AH$1849,6,FALSE)</f>
        <v>Electrosurgical Units, Monopolar/Bipolar</v>
      </c>
      <c r="UQO102" s="528" t="s">
        <v>213</v>
      </c>
      <c r="UQP102" s="529" t="str">
        <f>VLOOKUP(UQO102,[14]AssetDetails_UEM!$A$3:$AH$1849,6,FALSE)</f>
        <v>Electrosurgical Units, Monopolar/Bipolar</v>
      </c>
      <c r="UQQ102" s="528" t="s">
        <v>213</v>
      </c>
      <c r="UQR102" s="529" t="str">
        <f>VLOOKUP(UQQ102,[14]AssetDetails_UEM!$A$3:$AH$1849,6,FALSE)</f>
        <v>Electrosurgical Units, Monopolar/Bipolar</v>
      </c>
      <c r="UQS102" s="528" t="s">
        <v>213</v>
      </c>
      <c r="UQT102" s="529" t="str">
        <f>VLOOKUP(UQS102,[14]AssetDetails_UEM!$A$3:$AH$1849,6,FALSE)</f>
        <v>Electrosurgical Units, Monopolar/Bipolar</v>
      </c>
      <c r="UQU102" s="528" t="s">
        <v>213</v>
      </c>
      <c r="UQV102" s="529" t="str">
        <f>VLOOKUP(UQU102,[14]AssetDetails_UEM!$A$3:$AH$1849,6,FALSE)</f>
        <v>Electrosurgical Units, Monopolar/Bipolar</v>
      </c>
      <c r="UQW102" s="528" t="s">
        <v>213</v>
      </c>
      <c r="UQX102" s="529" t="str">
        <f>VLOOKUP(UQW102,[14]AssetDetails_UEM!$A$3:$AH$1849,6,FALSE)</f>
        <v>Electrosurgical Units, Monopolar/Bipolar</v>
      </c>
      <c r="UQY102" s="528" t="s">
        <v>213</v>
      </c>
      <c r="UQZ102" s="529" t="str">
        <f>VLOOKUP(UQY102,[14]AssetDetails_UEM!$A$3:$AH$1849,6,FALSE)</f>
        <v>Electrosurgical Units, Monopolar/Bipolar</v>
      </c>
      <c r="URA102" s="528" t="s">
        <v>213</v>
      </c>
      <c r="URB102" s="529" t="str">
        <f>VLOOKUP(URA102,[14]AssetDetails_UEM!$A$3:$AH$1849,6,FALSE)</f>
        <v>Electrosurgical Units, Monopolar/Bipolar</v>
      </c>
      <c r="URC102" s="528" t="s">
        <v>213</v>
      </c>
      <c r="URD102" s="529" t="str">
        <f>VLOOKUP(URC102,[14]AssetDetails_UEM!$A$3:$AH$1849,6,FALSE)</f>
        <v>Electrosurgical Units, Monopolar/Bipolar</v>
      </c>
      <c r="URE102" s="528" t="s">
        <v>213</v>
      </c>
      <c r="URF102" s="529" t="str">
        <f>VLOOKUP(URE102,[14]AssetDetails_UEM!$A$3:$AH$1849,6,FALSE)</f>
        <v>Electrosurgical Units, Monopolar/Bipolar</v>
      </c>
      <c r="URG102" s="528" t="s">
        <v>213</v>
      </c>
      <c r="URH102" s="529" t="str">
        <f>VLOOKUP(URG102,[14]AssetDetails_UEM!$A$3:$AH$1849,6,FALSE)</f>
        <v>Electrosurgical Units, Monopolar/Bipolar</v>
      </c>
      <c r="URI102" s="528" t="s">
        <v>213</v>
      </c>
      <c r="URJ102" s="529" t="str">
        <f>VLOOKUP(URI102,[14]AssetDetails_UEM!$A$3:$AH$1849,6,FALSE)</f>
        <v>Electrosurgical Units, Monopolar/Bipolar</v>
      </c>
      <c r="URK102" s="528" t="s">
        <v>213</v>
      </c>
      <c r="URL102" s="529" t="str">
        <f>VLOOKUP(URK102,[14]AssetDetails_UEM!$A$3:$AH$1849,6,FALSE)</f>
        <v>Electrosurgical Units, Monopolar/Bipolar</v>
      </c>
      <c r="URM102" s="528" t="s">
        <v>213</v>
      </c>
      <c r="URN102" s="529" t="str">
        <f>VLOOKUP(URM102,[14]AssetDetails_UEM!$A$3:$AH$1849,6,FALSE)</f>
        <v>Electrosurgical Units, Monopolar/Bipolar</v>
      </c>
      <c r="URO102" s="528" t="s">
        <v>213</v>
      </c>
      <c r="URP102" s="529" t="str">
        <f>VLOOKUP(URO102,[14]AssetDetails_UEM!$A$3:$AH$1849,6,FALSE)</f>
        <v>Electrosurgical Units, Monopolar/Bipolar</v>
      </c>
      <c r="URQ102" s="528" t="s">
        <v>213</v>
      </c>
      <c r="URR102" s="529" t="str">
        <f>VLOOKUP(URQ102,[14]AssetDetails_UEM!$A$3:$AH$1849,6,FALSE)</f>
        <v>Electrosurgical Units, Monopolar/Bipolar</v>
      </c>
      <c r="URS102" s="528" t="s">
        <v>213</v>
      </c>
      <c r="URT102" s="529" t="str">
        <f>VLOOKUP(URS102,[14]AssetDetails_UEM!$A$3:$AH$1849,6,FALSE)</f>
        <v>Electrosurgical Units, Monopolar/Bipolar</v>
      </c>
      <c r="URU102" s="528" t="s">
        <v>213</v>
      </c>
      <c r="URV102" s="529" t="str">
        <f>VLOOKUP(URU102,[14]AssetDetails_UEM!$A$3:$AH$1849,6,FALSE)</f>
        <v>Electrosurgical Units, Monopolar/Bipolar</v>
      </c>
      <c r="URW102" s="528" t="s">
        <v>213</v>
      </c>
      <c r="URX102" s="529" t="str">
        <f>VLOOKUP(URW102,[14]AssetDetails_UEM!$A$3:$AH$1849,6,FALSE)</f>
        <v>Electrosurgical Units, Monopolar/Bipolar</v>
      </c>
      <c r="URY102" s="528" t="s">
        <v>213</v>
      </c>
      <c r="URZ102" s="529" t="str">
        <f>VLOOKUP(URY102,[14]AssetDetails_UEM!$A$3:$AH$1849,6,FALSE)</f>
        <v>Electrosurgical Units, Monopolar/Bipolar</v>
      </c>
      <c r="USA102" s="528" t="s">
        <v>213</v>
      </c>
      <c r="USB102" s="529" t="str">
        <f>VLOOKUP(USA102,[14]AssetDetails_UEM!$A$3:$AH$1849,6,FALSE)</f>
        <v>Electrosurgical Units, Monopolar/Bipolar</v>
      </c>
      <c r="USC102" s="528" t="s">
        <v>213</v>
      </c>
      <c r="USD102" s="529" t="str">
        <f>VLOOKUP(USC102,[14]AssetDetails_UEM!$A$3:$AH$1849,6,FALSE)</f>
        <v>Electrosurgical Units, Monopolar/Bipolar</v>
      </c>
      <c r="USE102" s="528" t="s">
        <v>213</v>
      </c>
      <c r="USF102" s="529" t="str">
        <f>VLOOKUP(USE102,[14]AssetDetails_UEM!$A$3:$AH$1849,6,FALSE)</f>
        <v>Electrosurgical Units, Monopolar/Bipolar</v>
      </c>
      <c r="USG102" s="528" t="s">
        <v>213</v>
      </c>
      <c r="USH102" s="529" t="str">
        <f>VLOOKUP(USG102,[14]AssetDetails_UEM!$A$3:$AH$1849,6,FALSE)</f>
        <v>Electrosurgical Units, Monopolar/Bipolar</v>
      </c>
      <c r="USI102" s="528" t="s">
        <v>213</v>
      </c>
      <c r="USJ102" s="529" t="str">
        <f>VLOOKUP(USI102,[14]AssetDetails_UEM!$A$3:$AH$1849,6,FALSE)</f>
        <v>Electrosurgical Units, Monopolar/Bipolar</v>
      </c>
      <c r="USK102" s="528" t="s">
        <v>213</v>
      </c>
      <c r="USL102" s="529" t="str">
        <f>VLOOKUP(USK102,[14]AssetDetails_UEM!$A$3:$AH$1849,6,FALSE)</f>
        <v>Electrosurgical Units, Monopolar/Bipolar</v>
      </c>
      <c r="USM102" s="528" t="s">
        <v>213</v>
      </c>
      <c r="USN102" s="529" t="str">
        <f>VLOOKUP(USM102,[14]AssetDetails_UEM!$A$3:$AH$1849,6,FALSE)</f>
        <v>Electrosurgical Units, Monopolar/Bipolar</v>
      </c>
      <c r="USO102" s="528" t="s">
        <v>213</v>
      </c>
      <c r="USP102" s="529" t="str">
        <f>VLOOKUP(USO102,[14]AssetDetails_UEM!$A$3:$AH$1849,6,FALSE)</f>
        <v>Electrosurgical Units, Monopolar/Bipolar</v>
      </c>
      <c r="USQ102" s="528" t="s">
        <v>213</v>
      </c>
      <c r="USR102" s="529" t="str">
        <f>VLOOKUP(USQ102,[14]AssetDetails_UEM!$A$3:$AH$1849,6,FALSE)</f>
        <v>Electrosurgical Units, Monopolar/Bipolar</v>
      </c>
      <c r="USS102" s="528" t="s">
        <v>213</v>
      </c>
      <c r="UST102" s="529" t="str">
        <f>VLOOKUP(USS102,[14]AssetDetails_UEM!$A$3:$AH$1849,6,FALSE)</f>
        <v>Electrosurgical Units, Monopolar/Bipolar</v>
      </c>
      <c r="USU102" s="528" t="s">
        <v>213</v>
      </c>
      <c r="USV102" s="529" t="str">
        <f>VLOOKUP(USU102,[14]AssetDetails_UEM!$A$3:$AH$1849,6,FALSE)</f>
        <v>Electrosurgical Units, Monopolar/Bipolar</v>
      </c>
      <c r="USW102" s="528" t="s">
        <v>213</v>
      </c>
      <c r="USX102" s="529" t="str">
        <f>VLOOKUP(USW102,[14]AssetDetails_UEM!$A$3:$AH$1849,6,FALSE)</f>
        <v>Electrosurgical Units, Monopolar/Bipolar</v>
      </c>
      <c r="USY102" s="528" t="s">
        <v>213</v>
      </c>
      <c r="USZ102" s="529" t="str">
        <f>VLOOKUP(USY102,[14]AssetDetails_UEM!$A$3:$AH$1849,6,FALSE)</f>
        <v>Electrosurgical Units, Monopolar/Bipolar</v>
      </c>
      <c r="UTA102" s="528" t="s">
        <v>213</v>
      </c>
      <c r="UTB102" s="529" t="str">
        <f>VLOOKUP(UTA102,[14]AssetDetails_UEM!$A$3:$AH$1849,6,FALSE)</f>
        <v>Electrosurgical Units, Monopolar/Bipolar</v>
      </c>
      <c r="UTC102" s="528" t="s">
        <v>213</v>
      </c>
      <c r="UTD102" s="529" t="str">
        <f>VLOOKUP(UTC102,[14]AssetDetails_UEM!$A$3:$AH$1849,6,FALSE)</f>
        <v>Electrosurgical Units, Monopolar/Bipolar</v>
      </c>
      <c r="UTE102" s="528" t="s">
        <v>213</v>
      </c>
      <c r="UTF102" s="529" t="str">
        <f>VLOOKUP(UTE102,[14]AssetDetails_UEM!$A$3:$AH$1849,6,FALSE)</f>
        <v>Electrosurgical Units, Monopolar/Bipolar</v>
      </c>
      <c r="UTG102" s="528" t="s">
        <v>213</v>
      </c>
      <c r="UTH102" s="529" t="str">
        <f>VLOOKUP(UTG102,[14]AssetDetails_UEM!$A$3:$AH$1849,6,FALSE)</f>
        <v>Electrosurgical Units, Monopolar/Bipolar</v>
      </c>
      <c r="UTI102" s="528" t="s">
        <v>213</v>
      </c>
      <c r="UTJ102" s="529" t="str">
        <f>VLOOKUP(UTI102,[14]AssetDetails_UEM!$A$3:$AH$1849,6,FALSE)</f>
        <v>Electrosurgical Units, Monopolar/Bipolar</v>
      </c>
      <c r="UTK102" s="528" t="s">
        <v>213</v>
      </c>
      <c r="UTL102" s="529" t="str">
        <f>VLOOKUP(UTK102,[14]AssetDetails_UEM!$A$3:$AH$1849,6,FALSE)</f>
        <v>Electrosurgical Units, Monopolar/Bipolar</v>
      </c>
      <c r="UTM102" s="528" t="s">
        <v>213</v>
      </c>
      <c r="UTN102" s="529" t="str">
        <f>VLOOKUP(UTM102,[14]AssetDetails_UEM!$A$3:$AH$1849,6,FALSE)</f>
        <v>Electrosurgical Units, Monopolar/Bipolar</v>
      </c>
      <c r="UTO102" s="528" t="s">
        <v>213</v>
      </c>
      <c r="UTP102" s="529" t="str">
        <f>VLOOKUP(UTO102,[14]AssetDetails_UEM!$A$3:$AH$1849,6,FALSE)</f>
        <v>Electrosurgical Units, Monopolar/Bipolar</v>
      </c>
      <c r="UTQ102" s="528" t="s">
        <v>213</v>
      </c>
      <c r="UTR102" s="529" t="str">
        <f>VLOOKUP(UTQ102,[14]AssetDetails_UEM!$A$3:$AH$1849,6,FALSE)</f>
        <v>Electrosurgical Units, Monopolar/Bipolar</v>
      </c>
      <c r="UTS102" s="528" t="s">
        <v>213</v>
      </c>
      <c r="UTT102" s="529" t="str">
        <f>VLOOKUP(UTS102,[14]AssetDetails_UEM!$A$3:$AH$1849,6,FALSE)</f>
        <v>Electrosurgical Units, Monopolar/Bipolar</v>
      </c>
      <c r="UTU102" s="528" t="s">
        <v>213</v>
      </c>
      <c r="UTV102" s="529" t="str">
        <f>VLOOKUP(UTU102,[14]AssetDetails_UEM!$A$3:$AH$1849,6,FALSE)</f>
        <v>Electrosurgical Units, Monopolar/Bipolar</v>
      </c>
      <c r="UTW102" s="528" t="s">
        <v>213</v>
      </c>
      <c r="UTX102" s="529" t="str">
        <f>VLOOKUP(UTW102,[14]AssetDetails_UEM!$A$3:$AH$1849,6,FALSE)</f>
        <v>Electrosurgical Units, Monopolar/Bipolar</v>
      </c>
      <c r="UTY102" s="528" t="s">
        <v>213</v>
      </c>
      <c r="UTZ102" s="529" t="str">
        <f>VLOOKUP(UTY102,[14]AssetDetails_UEM!$A$3:$AH$1849,6,FALSE)</f>
        <v>Electrosurgical Units, Monopolar/Bipolar</v>
      </c>
      <c r="UUA102" s="528" t="s">
        <v>213</v>
      </c>
      <c r="UUB102" s="529" t="str">
        <f>VLOOKUP(UUA102,[14]AssetDetails_UEM!$A$3:$AH$1849,6,FALSE)</f>
        <v>Electrosurgical Units, Monopolar/Bipolar</v>
      </c>
      <c r="UUC102" s="528" t="s">
        <v>213</v>
      </c>
      <c r="UUD102" s="529" t="str">
        <f>VLOOKUP(UUC102,[14]AssetDetails_UEM!$A$3:$AH$1849,6,FALSE)</f>
        <v>Electrosurgical Units, Monopolar/Bipolar</v>
      </c>
      <c r="UUE102" s="528" t="s">
        <v>213</v>
      </c>
      <c r="UUF102" s="529" t="str">
        <f>VLOOKUP(UUE102,[14]AssetDetails_UEM!$A$3:$AH$1849,6,FALSE)</f>
        <v>Electrosurgical Units, Monopolar/Bipolar</v>
      </c>
      <c r="UUG102" s="528" t="s">
        <v>213</v>
      </c>
      <c r="UUH102" s="529" t="str">
        <f>VLOOKUP(UUG102,[14]AssetDetails_UEM!$A$3:$AH$1849,6,FALSE)</f>
        <v>Electrosurgical Units, Monopolar/Bipolar</v>
      </c>
      <c r="UUI102" s="528" t="s">
        <v>213</v>
      </c>
      <c r="UUJ102" s="529" t="str">
        <f>VLOOKUP(UUI102,[14]AssetDetails_UEM!$A$3:$AH$1849,6,FALSE)</f>
        <v>Electrosurgical Units, Monopolar/Bipolar</v>
      </c>
      <c r="UUK102" s="528" t="s">
        <v>213</v>
      </c>
      <c r="UUL102" s="529" t="str">
        <f>VLOOKUP(UUK102,[14]AssetDetails_UEM!$A$3:$AH$1849,6,FALSE)</f>
        <v>Electrosurgical Units, Monopolar/Bipolar</v>
      </c>
      <c r="UUM102" s="528" t="s">
        <v>213</v>
      </c>
      <c r="UUN102" s="529" t="str">
        <f>VLOOKUP(UUM102,[14]AssetDetails_UEM!$A$3:$AH$1849,6,FALSE)</f>
        <v>Electrosurgical Units, Monopolar/Bipolar</v>
      </c>
      <c r="UUO102" s="528" t="s">
        <v>213</v>
      </c>
      <c r="UUP102" s="529" t="str">
        <f>VLOOKUP(UUO102,[14]AssetDetails_UEM!$A$3:$AH$1849,6,FALSE)</f>
        <v>Electrosurgical Units, Monopolar/Bipolar</v>
      </c>
      <c r="UUQ102" s="528" t="s">
        <v>213</v>
      </c>
      <c r="UUR102" s="529" t="str">
        <f>VLOOKUP(UUQ102,[14]AssetDetails_UEM!$A$3:$AH$1849,6,FALSE)</f>
        <v>Electrosurgical Units, Monopolar/Bipolar</v>
      </c>
      <c r="UUS102" s="528" t="s">
        <v>213</v>
      </c>
      <c r="UUT102" s="529" t="str">
        <f>VLOOKUP(UUS102,[14]AssetDetails_UEM!$A$3:$AH$1849,6,FALSE)</f>
        <v>Electrosurgical Units, Monopolar/Bipolar</v>
      </c>
      <c r="UUU102" s="528" t="s">
        <v>213</v>
      </c>
      <c r="UUV102" s="529" t="str">
        <f>VLOOKUP(UUU102,[14]AssetDetails_UEM!$A$3:$AH$1849,6,FALSE)</f>
        <v>Electrosurgical Units, Monopolar/Bipolar</v>
      </c>
      <c r="UUW102" s="528" t="s">
        <v>213</v>
      </c>
      <c r="UUX102" s="529" t="str">
        <f>VLOOKUP(UUW102,[14]AssetDetails_UEM!$A$3:$AH$1849,6,FALSE)</f>
        <v>Electrosurgical Units, Monopolar/Bipolar</v>
      </c>
      <c r="UUY102" s="528" t="s">
        <v>213</v>
      </c>
      <c r="UUZ102" s="529" t="str">
        <f>VLOOKUP(UUY102,[14]AssetDetails_UEM!$A$3:$AH$1849,6,FALSE)</f>
        <v>Electrosurgical Units, Monopolar/Bipolar</v>
      </c>
      <c r="UVA102" s="528" t="s">
        <v>213</v>
      </c>
      <c r="UVB102" s="529" t="str">
        <f>VLOOKUP(UVA102,[14]AssetDetails_UEM!$A$3:$AH$1849,6,FALSE)</f>
        <v>Electrosurgical Units, Monopolar/Bipolar</v>
      </c>
      <c r="UVC102" s="528" t="s">
        <v>213</v>
      </c>
      <c r="UVD102" s="529" t="str">
        <f>VLOOKUP(UVC102,[14]AssetDetails_UEM!$A$3:$AH$1849,6,FALSE)</f>
        <v>Electrosurgical Units, Monopolar/Bipolar</v>
      </c>
      <c r="UVE102" s="528" t="s">
        <v>213</v>
      </c>
      <c r="UVF102" s="529" t="str">
        <f>VLOOKUP(UVE102,[14]AssetDetails_UEM!$A$3:$AH$1849,6,FALSE)</f>
        <v>Electrosurgical Units, Monopolar/Bipolar</v>
      </c>
      <c r="UVG102" s="528" t="s">
        <v>213</v>
      </c>
      <c r="UVH102" s="529" t="str">
        <f>VLOOKUP(UVG102,[14]AssetDetails_UEM!$A$3:$AH$1849,6,FALSE)</f>
        <v>Electrosurgical Units, Monopolar/Bipolar</v>
      </c>
      <c r="UVI102" s="528" t="s">
        <v>213</v>
      </c>
      <c r="UVJ102" s="529" t="str">
        <f>VLOOKUP(UVI102,[14]AssetDetails_UEM!$A$3:$AH$1849,6,FALSE)</f>
        <v>Electrosurgical Units, Monopolar/Bipolar</v>
      </c>
      <c r="UVK102" s="528" t="s">
        <v>213</v>
      </c>
      <c r="UVL102" s="529" t="str">
        <f>VLOOKUP(UVK102,[14]AssetDetails_UEM!$A$3:$AH$1849,6,FALSE)</f>
        <v>Electrosurgical Units, Monopolar/Bipolar</v>
      </c>
      <c r="UVM102" s="528" t="s">
        <v>213</v>
      </c>
      <c r="UVN102" s="529" t="str">
        <f>VLOOKUP(UVM102,[14]AssetDetails_UEM!$A$3:$AH$1849,6,FALSE)</f>
        <v>Electrosurgical Units, Monopolar/Bipolar</v>
      </c>
      <c r="UVO102" s="528" t="s">
        <v>213</v>
      </c>
      <c r="UVP102" s="529" t="str">
        <f>VLOOKUP(UVO102,[14]AssetDetails_UEM!$A$3:$AH$1849,6,FALSE)</f>
        <v>Electrosurgical Units, Monopolar/Bipolar</v>
      </c>
      <c r="UVQ102" s="528" t="s">
        <v>213</v>
      </c>
      <c r="UVR102" s="529" t="str">
        <f>VLOOKUP(UVQ102,[14]AssetDetails_UEM!$A$3:$AH$1849,6,FALSE)</f>
        <v>Electrosurgical Units, Monopolar/Bipolar</v>
      </c>
      <c r="UVS102" s="528" t="s">
        <v>213</v>
      </c>
      <c r="UVT102" s="529" t="str">
        <f>VLOOKUP(UVS102,[14]AssetDetails_UEM!$A$3:$AH$1849,6,FALSE)</f>
        <v>Electrosurgical Units, Monopolar/Bipolar</v>
      </c>
      <c r="UVU102" s="528" t="s">
        <v>213</v>
      </c>
      <c r="UVV102" s="529" t="str">
        <f>VLOOKUP(UVU102,[14]AssetDetails_UEM!$A$3:$AH$1849,6,FALSE)</f>
        <v>Electrosurgical Units, Monopolar/Bipolar</v>
      </c>
      <c r="UVW102" s="528" t="s">
        <v>213</v>
      </c>
      <c r="UVX102" s="529" t="str">
        <f>VLOOKUP(UVW102,[14]AssetDetails_UEM!$A$3:$AH$1849,6,FALSE)</f>
        <v>Electrosurgical Units, Monopolar/Bipolar</v>
      </c>
      <c r="UVY102" s="528" t="s">
        <v>213</v>
      </c>
      <c r="UVZ102" s="529" t="str">
        <f>VLOOKUP(UVY102,[14]AssetDetails_UEM!$A$3:$AH$1849,6,FALSE)</f>
        <v>Electrosurgical Units, Monopolar/Bipolar</v>
      </c>
      <c r="UWA102" s="528" t="s">
        <v>213</v>
      </c>
      <c r="UWB102" s="529" t="str">
        <f>VLOOKUP(UWA102,[14]AssetDetails_UEM!$A$3:$AH$1849,6,FALSE)</f>
        <v>Electrosurgical Units, Monopolar/Bipolar</v>
      </c>
      <c r="UWC102" s="528" t="s">
        <v>213</v>
      </c>
      <c r="UWD102" s="529" t="str">
        <f>VLOOKUP(UWC102,[14]AssetDetails_UEM!$A$3:$AH$1849,6,FALSE)</f>
        <v>Electrosurgical Units, Monopolar/Bipolar</v>
      </c>
      <c r="UWE102" s="528" t="s">
        <v>213</v>
      </c>
      <c r="UWF102" s="529" t="str">
        <f>VLOOKUP(UWE102,[14]AssetDetails_UEM!$A$3:$AH$1849,6,FALSE)</f>
        <v>Electrosurgical Units, Monopolar/Bipolar</v>
      </c>
      <c r="UWG102" s="528" t="s">
        <v>213</v>
      </c>
      <c r="UWH102" s="529" t="str">
        <f>VLOOKUP(UWG102,[14]AssetDetails_UEM!$A$3:$AH$1849,6,FALSE)</f>
        <v>Electrosurgical Units, Monopolar/Bipolar</v>
      </c>
      <c r="UWI102" s="528" t="s">
        <v>213</v>
      </c>
      <c r="UWJ102" s="529" t="str">
        <f>VLOOKUP(UWI102,[14]AssetDetails_UEM!$A$3:$AH$1849,6,FALSE)</f>
        <v>Electrosurgical Units, Monopolar/Bipolar</v>
      </c>
      <c r="UWK102" s="528" t="s">
        <v>213</v>
      </c>
      <c r="UWL102" s="529" t="str">
        <f>VLOOKUP(UWK102,[14]AssetDetails_UEM!$A$3:$AH$1849,6,FALSE)</f>
        <v>Electrosurgical Units, Monopolar/Bipolar</v>
      </c>
      <c r="UWM102" s="528" t="s">
        <v>213</v>
      </c>
      <c r="UWN102" s="529" t="str">
        <f>VLOOKUP(UWM102,[14]AssetDetails_UEM!$A$3:$AH$1849,6,FALSE)</f>
        <v>Electrosurgical Units, Monopolar/Bipolar</v>
      </c>
      <c r="UWO102" s="528" t="s">
        <v>213</v>
      </c>
      <c r="UWP102" s="529" t="str">
        <f>VLOOKUP(UWO102,[14]AssetDetails_UEM!$A$3:$AH$1849,6,FALSE)</f>
        <v>Electrosurgical Units, Monopolar/Bipolar</v>
      </c>
      <c r="UWQ102" s="528" t="s">
        <v>213</v>
      </c>
      <c r="UWR102" s="529" t="str">
        <f>VLOOKUP(UWQ102,[14]AssetDetails_UEM!$A$3:$AH$1849,6,FALSE)</f>
        <v>Electrosurgical Units, Monopolar/Bipolar</v>
      </c>
      <c r="UWS102" s="528" t="s">
        <v>213</v>
      </c>
      <c r="UWT102" s="529" t="str">
        <f>VLOOKUP(UWS102,[14]AssetDetails_UEM!$A$3:$AH$1849,6,FALSE)</f>
        <v>Electrosurgical Units, Monopolar/Bipolar</v>
      </c>
      <c r="UWU102" s="528" t="s">
        <v>213</v>
      </c>
      <c r="UWV102" s="529" t="str">
        <f>VLOOKUP(UWU102,[14]AssetDetails_UEM!$A$3:$AH$1849,6,FALSE)</f>
        <v>Electrosurgical Units, Monopolar/Bipolar</v>
      </c>
      <c r="UWW102" s="528" t="s">
        <v>213</v>
      </c>
      <c r="UWX102" s="529" t="str">
        <f>VLOOKUP(UWW102,[14]AssetDetails_UEM!$A$3:$AH$1849,6,FALSE)</f>
        <v>Electrosurgical Units, Monopolar/Bipolar</v>
      </c>
      <c r="UWY102" s="528" t="s">
        <v>213</v>
      </c>
      <c r="UWZ102" s="529" t="str">
        <f>VLOOKUP(UWY102,[14]AssetDetails_UEM!$A$3:$AH$1849,6,FALSE)</f>
        <v>Electrosurgical Units, Monopolar/Bipolar</v>
      </c>
      <c r="UXA102" s="528" t="s">
        <v>213</v>
      </c>
      <c r="UXB102" s="529" t="str">
        <f>VLOOKUP(UXA102,[14]AssetDetails_UEM!$A$3:$AH$1849,6,FALSE)</f>
        <v>Electrosurgical Units, Monopolar/Bipolar</v>
      </c>
      <c r="UXC102" s="528" t="s">
        <v>213</v>
      </c>
      <c r="UXD102" s="529" t="str">
        <f>VLOOKUP(UXC102,[14]AssetDetails_UEM!$A$3:$AH$1849,6,FALSE)</f>
        <v>Electrosurgical Units, Monopolar/Bipolar</v>
      </c>
      <c r="UXE102" s="528" t="s">
        <v>213</v>
      </c>
      <c r="UXF102" s="529" t="str">
        <f>VLOOKUP(UXE102,[14]AssetDetails_UEM!$A$3:$AH$1849,6,FALSE)</f>
        <v>Electrosurgical Units, Monopolar/Bipolar</v>
      </c>
      <c r="UXG102" s="528" t="s">
        <v>213</v>
      </c>
      <c r="UXH102" s="529" t="str">
        <f>VLOOKUP(UXG102,[14]AssetDetails_UEM!$A$3:$AH$1849,6,FALSE)</f>
        <v>Electrosurgical Units, Monopolar/Bipolar</v>
      </c>
      <c r="UXI102" s="528" t="s">
        <v>213</v>
      </c>
      <c r="UXJ102" s="529" t="str">
        <f>VLOOKUP(UXI102,[14]AssetDetails_UEM!$A$3:$AH$1849,6,FALSE)</f>
        <v>Electrosurgical Units, Monopolar/Bipolar</v>
      </c>
      <c r="UXK102" s="528" t="s">
        <v>213</v>
      </c>
      <c r="UXL102" s="529" t="str">
        <f>VLOOKUP(UXK102,[14]AssetDetails_UEM!$A$3:$AH$1849,6,FALSE)</f>
        <v>Electrosurgical Units, Monopolar/Bipolar</v>
      </c>
      <c r="UXM102" s="528" t="s">
        <v>213</v>
      </c>
      <c r="UXN102" s="529" t="str">
        <f>VLOOKUP(UXM102,[14]AssetDetails_UEM!$A$3:$AH$1849,6,FALSE)</f>
        <v>Electrosurgical Units, Monopolar/Bipolar</v>
      </c>
      <c r="UXO102" s="528" t="s">
        <v>213</v>
      </c>
      <c r="UXP102" s="529" t="str">
        <f>VLOOKUP(UXO102,[14]AssetDetails_UEM!$A$3:$AH$1849,6,FALSE)</f>
        <v>Electrosurgical Units, Monopolar/Bipolar</v>
      </c>
      <c r="UXQ102" s="528" t="s">
        <v>213</v>
      </c>
      <c r="UXR102" s="529" t="str">
        <f>VLOOKUP(UXQ102,[14]AssetDetails_UEM!$A$3:$AH$1849,6,FALSE)</f>
        <v>Electrosurgical Units, Monopolar/Bipolar</v>
      </c>
      <c r="UXS102" s="528" t="s">
        <v>213</v>
      </c>
      <c r="UXT102" s="529" t="str">
        <f>VLOOKUP(UXS102,[14]AssetDetails_UEM!$A$3:$AH$1849,6,FALSE)</f>
        <v>Electrosurgical Units, Monopolar/Bipolar</v>
      </c>
      <c r="UXU102" s="528" t="s">
        <v>213</v>
      </c>
      <c r="UXV102" s="529" t="str">
        <f>VLOOKUP(UXU102,[14]AssetDetails_UEM!$A$3:$AH$1849,6,FALSE)</f>
        <v>Electrosurgical Units, Monopolar/Bipolar</v>
      </c>
      <c r="UXW102" s="528" t="s">
        <v>213</v>
      </c>
      <c r="UXX102" s="529" t="str">
        <f>VLOOKUP(UXW102,[14]AssetDetails_UEM!$A$3:$AH$1849,6,FALSE)</f>
        <v>Electrosurgical Units, Monopolar/Bipolar</v>
      </c>
      <c r="UXY102" s="528" t="s">
        <v>213</v>
      </c>
      <c r="UXZ102" s="529" t="str">
        <f>VLOOKUP(UXY102,[14]AssetDetails_UEM!$A$3:$AH$1849,6,FALSE)</f>
        <v>Electrosurgical Units, Monopolar/Bipolar</v>
      </c>
      <c r="UYA102" s="528" t="s">
        <v>213</v>
      </c>
      <c r="UYB102" s="529" t="str">
        <f>VLOOKUP(UYA102,[14]AssetDetails_UEM!$A$3:$AH$1849,6,FALSE)</f>
        <v>Electrosurgical Units, Monopolar/Bipolar</v>
      </c>
      <c r="UYC102" s="528" t="s">
        <v>213</v>
      </c>
      <c r="UYD102" s="529" t="str">
        <f>VLOOKUP(UYC102,[14]AssetDetails_UEM!$A$3:$AH$1849,6,FALSE)</f>
        <v>Electrosurgical Units, Monopolar/Bipolar</v>
      </c>
      <c r="UYE102" s="528" t="s">
        <v>213</v>
      </c>
      <c r="UYF102" s="529" t="str">
        <f>VLOOKUP(UYE102,[14]AssetDetails_UEM!$A$3:$AH$1849,6,FALSE)</f>
        <v>Electrosurgical Units, Monopolar/Bipolar</v>
      </c>
      <c r="UYG102" s="528" t="s">
        <v>213</v>
      </c>
      <c r="UYH102" s="529" t="str">
        <f>VLOOKUP(UYG102,[14]AssetDetails_UEM!$A$3:$AH$1849,6,FALSE)</f>
        <v>Electrosurgical Units, Monopolar/Bipolar</v>
      </c>
      <c r="UYI102" s="528" t="s">
        <v>213</v>
      </c>
      <c r="UYJ102" s="529" t="str">
        <f>VLOOKUP(UYI102,[14]AssetDetails_UEM!$A$3:$AH$1849,6,FALSE)</f>
        <v>Electrosurgical Units, Monopolar/Bipolar</v>
      </c>
      <c r="UYK102" s="528" t="s">
        <v>213</v>
      </c>
      <c r="UYL102" s="529" t="str">
        <f>VLOOKUP(UYK102,[14]AssetDetails_UEM!$A$3:$AH$1849,6,FALSE)</f>
        <v>Electrosurgical Units, Monopolar/Bipolar</v>
      </c>
      <c r="UYM102" s="528" t="s">
        <v>213</v>
      </c>
      <c r="UYN102" s="529" t="str">
        <f>VLOOKUP(UYM102,[14]AssetDetails_UEM!$A$3:$AH$1849,6,FALSE)</f>
        <v>Electrosurgical Units, Monopolar/Bipolar</v>
      </c>
      <c r="UYO102" s="528" t="s">
        <v>213</v>
      </c>
      <c r="UYP102" s="529" t="str">
        <f>VLOOKUP(UYO102,[14]AssetDetails_UEM!$A$3:$AH$1849,6,FALSE)</f>
        <v>Electrosurgical Units, Monopolar/Bipolar</v>
      </c>
      <c r="UYQ102" s="528" t="s">
        <v>213</v>
      </c>
      <c r="UYR102" s="529" t="str">
        <f>VLOOKUP(UYQ102,[14]AssetDetails_UEM!$A$3:$AH$1849,6,FALSE)</f>
        <v>Electrosurgical Units, Monopolar/Bipolar</v>
      </c>
      <c r="UYS102" s="528" t="s">
        <v>213</v>
      </c>
      <c r="UYT102" s="529" t="str">
        <f>VLOOKUP(UYS102,[14]AssetDetails_UEM!$A$3:$AH$1849,6,FALSE)</f>
        <v>Electrosurgical Units, Monopolar/Bipolar</v>
      </c>
      <c r="UYU102" s="528" t="s">
        <v>213</v>
      </c>
      <c r="UYV102" s="529" t="str">
        <f>VLOOKUP(UYU102,[14]AssetDetails_UEM!$A$3:$AH$1849,6,FALSE)</f>
        <v>Electrosurgical Units, Monopolar/Bipolar</v>
      </c>
      <c r="UYW102" s="528" t="s">
        <v>213</v>
      </c>
      <c r="UYX102" s="529" t="str">
        <f>VLOOKUP(UYW102,[14]AssetDetails_UEM!$A$3:$AH$1849,6,FALSE)</f>
        <v>Electrosurgical Units, Monopolar/Bipolar</v>
      </c>
      <c r="UYY102" s="528" t="s">
        <v>213</v>
      </c>
      <c r="UYZ102" s="529" t="str">
        <f>VLOOKUP(UYY102,[14]AssetDetails_UEM!$A$3:$AH$1849,6,FALSE)</f>
        <v>Electrosurgical Units, Monopolar/Bipolar</v>
      </c>
      <c r="UZA102" s="528" t="s">
        <v>213</v>
      </c>
      <c r="UZB102" s="529" t="str">
        <f>VLOOKUP(UZA102,[14]AssetDetails_UEM!$A$3:$AH$1849,6,FALSE)</f>
        <v>Electrosurgical Units, Monopolar/Bipolar</v>
      </c>
      <c r="UZC102" s="528" t="s">
        <v>213</v>
      </c>
      <c r="UZD102" s="529" t="str">
        <f>VLOOKUP(UZC102,[14]AssetDetails_UEM!$A$3:$AH$1849,6,FALSE)</f>
        <v>Electrosurgical Units, Monopolar/Bipolar</v>
      </c>
      <c r="UZE102" s="528" t="s">
        <v>213</v>
      </c>
      <c r="UZF102" s="529" t="str">
        <f>VLOOKUP(UZE102,[14]AssetDetails_UEM!$A$3:$AH$1849,6,FALSE)</f>
        <v>Electrosurgical Units, Monopolar/Bipolar</v>
      </c>
      <c r="UZG102" s="528" t="s">
        <v>213</v>
      </c>
      <c r="UZH102" s="529" t="str">
        <f>VLOOKUP(UZG102,[14]AssetDetails_UEM!$A$3:$AH$1849,6,FALSE)</f>
        <v>Electrosurgical Units, Monopolar/Bipolar</v>
      </c>
      <c r="UZI102" s="528" t="s">
        <v>213</v>
      </c>
      <c r="UZJ102" s="529" t="str">
        <f>VLOOKUP(UZI102,[14]AssetDetails_UEM!$A$3:$AH$1849,6,FALSE)</f>
        <v>Electrosurgical Units, Monopolar/Bipolar</v>
      </c>
      <c r="UZK102" s="528" t="s">
        <v>213</v>
      </c>
      <c r="UZL102" s="529" t="str">
        <f>VLOOKUP(UZK102,[14]AssetDetails_UEM!$A$3:$AH$1849,6,FALSE)</f>
        <v>Electrosurgical Units, Monopolar/Bipolar</v>
      </c>
      <c r="UZM102" s="528" t="s">
        <v>213</v>
      </c>
      <c r="UZN102" s="529" t="str">
        <f>VLOOKUP(UZM102,[14]AssetDetails_UEM!$A$3:$AH$1849,6,FALSE)</f>
        <v>Electrosurgical Units, Monopolar/Bipolar</v>
      </c>
      <c r="UZO102" s="528" t="s">
        <v>213</v>
      </c>
      <c r="UZP102" s="529" t="str">
        <f>VLOOKUP(UZO102,[14]AssetDetails_UEM!$A$3:$AH$1849,6,FALSE)</f>
        <v>Electrosurgical Units, Monopolar/Bipolar</v>
      </c>
      <c r="UZQ102" s="528" t="s">
        <v>213</v>
      </c>
      <c r="UZR102" s="529" t="str">
        <f>VLOOKUP(UZQ102,[14]AssetDetails_UEM!$A$3:$AH$1849,6,FALSE)</f>
        <v>Electrosurgical Units, Monopolar/Bipolar</v>
      </c>
      <c r="UZS102" s="528" t="s">
        <v>213</v>
      </c>
      <c r="UZT102" s="529" t="str">
        <f>VLOOKUP(UZS102,[14]AssetDetails_UEM!$A$3:$AH$1849,6,FALSE)</f>
        <v>Electrosurgical Units, Monopolar/Bipolar</v>
      </c>
      <c r="UZU102" s="528" t="s">
        <v>213</v>
      </c>
      <c r="UZV102" s="529" t="str">
        <f>VLOOKUP(UZU102,[14]AssetDetails_UEM!$A$3:$AH$1849,6,FALSE)</f>
        <v>Electrosurgical Units, Monopolar/Bipolar</v>
      </c>
      <c r="UZW102" s="528" t="s">
        <v>213</v>
      </c>
      <c r="UZX102" s="529" t="str">
        <f>VLOOKUP(UZW102,[14]AssetDetails_UEM!$A$3:$AH$1849,6,FALSE)</f>
        <v>Electrosurgical Units, Monopolar/Bipolar</v>
      </c>
      <c r="UZY102" s="528" t="s">
        <v>213</v>
      </c>
      <c r="UZZ102" s="529" t="str">
        <f>VLOOKUP(UZY102,[14]AssetDetails_UEM!$A$3:$AH$1849,6,FALSE)</f>
        <v>Electrosurgical Units, Monopolar/Bipolar</v>
      </c>
      <c r="VAA102" s="528" t="s">
        <v>213</v>
      </c>
      <c r="VAB102" s="529" t="str">
        <f>VLOOKUP(VAA102,[14]AssetDetails_UEM!$A$3:$AH$1849,6,FALSE)</f>
        <v>Electrosurgical Units, Monopolar/Bipolar</v>
      </c>
      <c r="VAC102" s="528" t="s">
        <v>213</v>
      </c>
      <c r="VAD102" s="529" t="str">
        <f>VLOOKUP(VAC102,[14]AssetDetails_UEM!$A$3:$AH$1849,6,FALSE)</f>
        <v>Electrosurgical Units, Monopolar/Bipolar</v>
      </c>
      <c r="VAE102" s="528" t="s">
        <v>213</v>
      </c>
      <c r="VAF102" s="529" t="str">
        <f>VLOOKUP(VAE102,[14]AssetDetails_UEM!$A$3:$AH$1849,6,FALSE)</f>
        <v>Electrosurgical Units, Monopolar/Bipolar</v>
      </c>
      <c r="VAG102" s="528" t="s">
        <v>213</v>
      </c>
      <c r="VAH102" s="529" t="str">
        <f>VLOOKUP(VAG102,[14]AssetDetails_UEM!$A$3:$AH$1849,6,FALSE)</f>
        <v>Electrosurgical Units, Monopolar/Bipolar</v>
      </c>
      <c r="VAI102" s="528" t="s">
        <v>213</v>
      </c>
      <c r="VAJ102" s="529" t="str">
        <f>VLOOKUP(VAI102,[14]AssetDetails_UEM!$A$3:$AH$1849,6,FALSE)</f>
        <v>Electrosurgical Units, Monopolar/Bipolar</v>
      </c>
      <c r="VAK102" s="528" t="s">
        <v>213</v>
      </c>
      <c r="VAL102" s="529" t="str">
        <f>VLOOKUP(VAK102,[14]AssetDetails_UEM!$A$3:$AH$1849,6,FALSE)</f>
        <v>Electrosurgical Units, Monopolar/Bipolar</v>
      </c>
      <c r="VAM102" s="528" t="s">
        <v>213</v>
      </c>
      <c r="VAN102" s="529" t="str">
        <f>VLOOKUP(VAM102,[14]AssetDetails_UEM!$A$3:$AH$1849,6,FALSE)</f>
        <v>Electrosurgical Units, Monopolar/Bipolar</v>
      </c>
      <c r="VAO102" s="528" t="s">
        <v>213</v>
      </c>
      <c r="VAP102" s="529" t="str">
        <f>VLOOKUP(VAO102,[14]AssetDetails_UEM!$A$3:$AH$1849,6,FALSE)</f>
        <v>Electrosurgical Units, Monopolar/Bipolar</v>
      </c>
      <c r="VAQ102" s="528" t="s">
        <v>213</v>
      </c>
      <c r="VAR102" s="529" t="str">
        <f>VLOOKUP(VAQ102,[14]AssetDetails_UEM!$A$3:$AH$1849,6,FALSE)</f>
        <v>Electrosurgical Units, Monopolar/Bipolar</v>
      </c>
      <c r="VAS102" s="528" t="s">
        <v>213</v>
      </c>
      <c r="VAT102" s="529" t="str">
        <f>VLOOKUP(VAS102,[14]AssetDetails_UEM!$A$3:$AH$1849,6,FALSE)</f>
        <v>Electrosurgical Units, Monopolar/Bipolar</v>
      </c>
      <c r="VAU102" s="528" t="s">
        <v>213</v>
      </c>
      <c r="VAV102" s="529" t="str">
        <f>VLOOKUP(VAU102,[14]AssetDetails_UEM!$A$3:$AH$1849,6,FALSE)</f>
        <v>Electrosurgical Units, Monopolar/Bipolar</v>
      </c>
      <c r="VAW102" s="528" t="s">
        <v>213</v>
      </c>
      <c r="VAX102" s="529" t="str">
        <f>VLOOKUP(VAW102,[14]AssetDetails_UEM!$A$3:$AH$1849,6,FALSE)</f>
        <v>Electrosurgical Units, Monopolar/Bipolar</v>
      </c>
      <c r="VAY102" s="528" t="s">
        <v>213</v>
      </c>
      <c r="VAZ102" s="529" t="str">
        <f>VLOOKUP(VAY102,[14]AssetDetails_UEM!$A$3:$AH$1849,6,FALSE)</f>
        <v>Electrosurgical Units, Monopolar/Bipolar</v>
      </c>
      <c r="VBA102" s="528" t="s">
        <v>213</v>
      </c>
      <c r="VBB102" s="529" t="str">
        <f>VLOOKUP(VBA102,[14]AssetDetails_UEM!$A$3:$AH$1849,6,FALSE)</f>
        <v>Electrosurgical Units, Monopolar/Bipolar</v>
      </c>
      <c r="VBC102" s="528" t="s">
        <v>213</v>
      </c>
      <c r="VBD102" s="529" t="str">
        <f>VLOOKUP(VBC102,[14]AssetDetails_UEM!$A$3:$AH$1849,6,FALSE)</f>
        <v>Electrosurgical Units, Monopolar/Bipolar</v>
      </c>
      <c r="VBE102" s="528" t="s">
        <v>213</v>
      </c>
      <c r="VBF102" s="529" t="str">
        <f>VLOOKUP(VBE102,[14]AssetDetails_UEM!$A$3:$AH$1849,6,FALSE)</f>
        <v>Electrosurgical Units, Monopolar/Bipolar</v>
      </c>
      <c r="VBG102" s="528" t="s">
        <v>213</v>
      </c>
      <c r="VBH102" s="529" t="str">
        <f>VLOOKUP(VBG102,[14]AssetDetails_UEM!$A$3:$AH$1849,6,FALSE)</f>
        <v>Electrosurgical Units, Monopolar/Bipolar</v>
      </c>
      <c r="VBI102" s="528" t="s">
        <v>213</v>
      </c>
      <c r="VBJ102" s="529" t="str">
        <f>VLOOKUP(VBI102,[14]AssetDetails_UEM!$A$3:$AH$1849,6,FALSE)</f>
        <v>Electrosurgical Units, Monopolar/Bipolar</v>
      </c>
      <c r="VBK102" s="528" t="s">
        <v>213</v>
      </c>
      <c r="VBL102" s="529" t="str">
        <f>VLOOKUP(VBK102,[14]AssetDetails_UEM!$A$3:$AH$1849,6,FALSE)</f>
        <v>Electrosurgical Units, Monopolar/Bipolar</v>
      </c>
      <c r="VBM102" s="528" t="s">
        <v>213</v>
      </c>
      <c r="VBN102" s="529" t="str">
        <f>VLOOKUP(VBM102,[14]AssetDetails_UEM!$A$3:$AH$1849,6,FALSE)</f>
        <v>Electrosurgical Units, Monopolar/Bipolar</v>
      </c>
      <c r="VBO102" s="528" t="s">
        <v>213</v>
      </c>
      <c r="VBP102" s="529" t="str">
        <f>VLOOKUP(VBO102,[14]AssetDetails_UEM!$A$3:$AH$1849,6,FALSE)</f>
        <v>Electrosurgical Units, Monopolar/Bipolar</v>
      </c>
      <c r="VBQ102" s="528" t="s">
        <v>213</v>
      </c>
      <c r="VBR102" s="529" t="str">
        <f>VLOOKUP(VBQ102,[14]AssetDetails_UEM!$A$3:$AH$1849,6,FALSE)</f>
        <v>Electrosurgical Units, Monopolar/Bipolar</v>
      </c>
      <c r="VBS102" s="528" t="s">
        <v>213</v>
      </c>
      <c r="VBT102" s="529" t="str">
        <f>VLOOKUP(VBS102,[14]AssetDetails_UEM!$A$3:$AH$1849,6,FALSE)</f>
        <v>Electrosurgical Units, Monopolar/Bipolar</v>
      </c>
      <c r="VBU102" s="528" t="s">
        <v>213</v>
      </c>
      <c r="VBV102" s="529" t="str">
        <f>VLOOKUP(VBU102,[14]AssetDetails_UEM!$A$3:$AH$1849,6,FALSE)</f>
        <v>Electrosurgical Units, Monopolar/Bipolar</v>
      </c>
      <c r="VBW102" s="528" t="s">
        <v>213</v>
      </c>
      <c r="VBX102" s="529" t="str">
        <f>VLOOKUP(VBW102,[14]AssetDetails_UEM!$A$3:$AH$1849,6,FALSE)</f>
        <v>Electrosurgical Units, Monopolar/Bipolar</v>
      </c>
      <c r="VBY102" s="528" t="s">
        <v>213</v>
      </c>
      <c r="VBZ102" s="529" t="str">
        <f>VLOOKUP(VBY102,[14]AssetDetails_UEM!$A$3:$AH$1849,6,FALSE)</f>
        <v>Electrosurgical Units, Monopolar/Bipolar</v>
      </c>
      <c r="VCA102" s="528" t="s">
        <v>213</v>
      </c>
      <c r="VCB102" s="529" t="str">
        <f>VLOOKUP(VCA102,[14]AssetDetails_UEM!$A$3:$AH$1849,6,FALSE)</f>
        <v>Electrosurgical Units, Monopolar/Bipolar</v>
      </c>
      <c r="VCC102" s="528" t="s">
        <v>213</v>
      </c>
      <c r="VCD102" s="529" t="str">
        <f>VLOOKUP(VCC102,[14]AssetDetails_UEM!$A$3:$AH$1849,6,FALSE)</f>
        <v>Electrosurgical Units, Monopolar/Bipolar</v>
      </c>
      <c r="VCE102" s="528" t="s">
        <v>213</v>
      </c>
      <c r="VCF102" s="529" t="str">
        <f>VLOOKUP(VCE102,[14]AssetDetails_UEM!$A$3:$AH$1849,6,FALSE)</f>
        <v>Electrosurgical Units, Monopolar/Bipolar</v>
      </c>
      <c r="VCG102" s="528" t="s">
        <v>213</v>
      </c>
      <c r="VCH102" s="529" t="str">
        <f>VLOOKUP(VCG102,[14]AssetDetails_UEM!$A$3:$AH$1849,6,FALSE)</f>
        <v>Electrosurgical Units, Monopolar/Bipolar</v>
      </c>
      <c r="VCI102" s="528" t="s">
        <v>213</v>
      </c>
      <c r="VCJ102" s="529" t="str">
        <f>VLOOKUP(VCI102,[14]AssetDetails_UEM!$A$3:$AH$1849,6,FALSE)</f>
        <v>Electrosurgical Units, Monopolar/Bipolar</v>
      </c>
      <c r="VCK102" s="528" t="s">
        <v>213</v>
      </c>
      <c r="VCL102" s="529" t="str">
        <f>VLOOKUP(VCK102,[14]AssetDetails_UEM!$A$3:$AH$1849,6,FALSE)</f>
        <v>Electrosurgical Units, Monopolar/Bipolar</v>
      </c>
      <c r="VCM102" s="528" t="s">
        <v>213</v>
      </c>
      <c r="VCN102" s="529" t="str">
        <f>VLOOKUP(VCM102,[14]AssetDetails_UEM!$A$3:$AH$1849,6,FALSE)</f>
        <v>Electrosurgical Units, Monopolar/Bipolar</v>
      </c>
      <c r="VCO102" s="528" t="s">
        <v>213</v>
      </c>
      <c r="VCP102" s="529" t="str">
        <f>VLOOKUP(VCO102,[14]AssetDetails_UEM!$A$3:$AH$1849,6,FALSE)</f>
        <v>Electrosurgical Units, Monopolar/Bipolar</v>
      </c>
      <c r="VCQ102" s="528" t="s">
        <v>213</v>
      </c>
      <c r="VCR102" s="529" t="str">
        <f>VLOOKUP(VCQ102,[14]AssetDetails_UEM!$A$3:$AH$1849,6,FALSE)</f>
        <v>Electrosurgical Units, Monopolar/Bipolar</v>
      </c>
      <c r="VCS102" s="528" t="s">
        <v>213</v>
      </c>
      <c r="VCT102" s="529" t="str">
        <f>VLOOKUP(VCS102,[14]AssetDetails_UEM!$A$3:$AH$1849,6,FALSE)</f>
        <v>Electrosurgical Units, Monopolar/Bipolar</v>
      </c>
      <c r="VCU102" s="528" t="s">
        <v>213</v>
      </c>
      <c r="VCV102" s="529" t="str">
        <f>VLOOKUP(VCU102,[14]AssetDetails_UEM!$A$3:$AH$1849,6,FALSE)</f>
        <v>Electrosurgical Units, Monopolar/Bipolar</v>
      </c>
      <c r="VCW102" s="528" t="s">
        <v>213</v>
      </c>
      <c r="VCX102" s="529" t="str">
        <f>VLOOKUP(VCW102,[14]AssetDetails_UEM!$A$3:$AH$1849,6,FALSE)</f>
        <v>Electrosurgical Units, Monopolar/Bipolar</v>
      </c>
      <c r="VCY102" s="528" t="s">
        <v>213</v>
      </c>
      <c r="VCZ102" s="529" t="str">
        <f>VLOOKUP(VCY102,[14]AssetDetails_UEM!$A$3:$AH$1849,6,FALSE)</f>
        <v>Electrosurgical Units, Monopolar/Bipolar</v>
      </c>
      <c r="VDA102" s="528" t="s">
        <v>213</v>
      </c>
      <c r="VDB102" s="529" t="str">
        <f>VLOOKUP(VDA102,[14]AssetDetails_UEM!$A$3:$AH$1849,6,FALSE)</f>
        <v>Electrosurgical Units, Monopolar/Bipolar</v>
      </c>
      <c r="VDC102" s="528" t="s">
        <v>213</v>
      </c>
      <c r="VDD102" s="529" t="str">
        <f>VLOOKUP(VDC102,[14]AssetDetails_UEM!$A$3:$AH$1849,6,FALSE)</f>
        <v>Electrosurgical Units, Monopolar/Bipolar</v>
      </c>
      <c r="VDE102" s="528" t="s">
        <v>213</v>
      </c>
      <c r="VDF102" s="529" t="str">
        <f>VLOOKUP(VDE102,[14]AssetDetails_UEM!$A$3:$AH$1849,6,FALSE)</f>
        <v>Electrosurgical Units, Monopolar/Bipolar</v>
      </c>
      <c r="VDG102" s="528" t="s">
        <v>213</v>
      </c>
      <c r="VDH102" s="529" t="str">
        <f>VLOOKUP(VDG102,[14]AssetDetails_UEM!$A$3:$AH$1849,6,FALSE)</f>
        <v>Electrosurgical Units, Monopolar/Bipolar</v>
      </c>
      <c r="VDI102" s="528" t="s">
        <v>213</v>
      </c>
      <c r="VDJ102" s="529" t="str">
        <f>VLOOKUP(VDI102,[14]AssetDetails_UEM!$A$3:$AH$1849,6,FALSE)</f>
        <v>Electrosurgical Units, Monopolar/Bipolar</v>
      </c>
      <c r="VDK102" s="528" t="s">
        <v>213</v>
      </c>
      <c r="VDL102" s="529" t="str">
        <f>VLOOKUP(VDK102,[14]AssetDetails_UEM!$A$3:$AH$1849,6,FALSE)</f>
        <v>Electrosurgical Units, Monopolar/Bipolar</v>
      </c>
      <c r="VDM102" s="528" t="s">
        <v>213</v>
      </c>
      <c r="VDN102" s="529" t="str">
        <f>VLOOKUP(VDM102,[14]AssetDetails_UEM!$A$3:$AH$1849,6,FALSE)</f>
        <v>Electrosurgical Units, Monopolar/Bipolar</v>
      </c>
      <c r="VDO102" s="528" t="s">
        <v>213</v>
      </c>
      <c r="VDP102" s="529" t="str">
        <f>VLOOKUP(VDO102,[14]AssetDetails_UEM!$A$3:$AH$1849,6,FALSE)</f>
        <v>Electrosurgical Units, Monopolar/Bipolar</v>
      </c>
      <c r="VDQ102" s="528" t="s">
        <v>213</v>
      </c>
      <c r="VDR102" s="529" t="str">
        <f>VLOOKUP(VDQ102,[14]AssetDetails_UEM!$A$3:$AH$1849,6,FALSE)</f>
        <v>Electrosurgical Units, Monopolar/Bipolar</v>
      </c>
      <c r="VDS102" s="528" t="s">
        <v>213</v>
      </c>
      <c r="VDT102" s="529" t="str">
        <f>VLOOKUP(VDS102,[14]AssetDetails_UEM!$A$3:$AH$1849,6,FALSE)</f>
        <v>Electrosurgical Units, Monopolar/Bipolar</v>
      </c>
      <c r="VDU102" s="528" t="s">
        <v>213</v>
      </c>
      <c r="VDV102" s="529" t="str">
        <f>VLOOKUP(VDU102,[14]AssetDetails_UEM!$A$3:$AH$1849,6,FALSE)</f>
        <v>Electrosurgical Units, Monopolar/Bipolar</v>
      </c>
      <c r="VDW102" s="528" t="s">
        <v>213</v>
      </c>
      <c r="VDX102" s="529" t="str">
        <f>VLOOKUP(VDW102,[14]AssetDetails_UEM!$A$3:$AH$1849,6,FALSE)</f>
        <v>Electrosurgical Units, Monopolar/Bipolar</v>
      </c>
      <c r="VDY102" s="528" t="s">
        <v>213</v>
      </c>
      <c r="VDZ102" s="529" t="str">
        <f>VLOOKUP(VDY102,[14]AssetDetails_UEM!$A$3:$AH$1849,6,FALSE)</f>
        <v>Electrosurgical Units, Monopolar/Bipolar</v>
      </c>
      <c r="VEA102" s="528" t="s">
        <v>213</v>
      </c>
      <c r="VEB102" s="529" t="str">
        <f>VLOOKUP(VEA102,[14]AssetDetails_UEM!$A$3:$AH$1849,6,FALSE)</f>
        <v>Electrosurgical Units, Monopolar/Bipolar</v>
      </c>
      <c r="VEC102" s="528" t="s">
        <v>213</v>
      </c>
      <c r="VED102" s="529" t="str">
        <f>VLOOKUP(VEC102,[14]AssetDetails_UEM!$A$3:$AH$1849,6,FALSE)</f>
        <v>Electrosurgical Units, Monopolar/Bipolar</v>
      </c>
      <c r="VEE102" s="528" t="s">
        <v>213</v>
      </c>
      <c r="VEF102" s="529" t="str">
        <f>VLOOKUP(VEE102,[14]AssetDetails_UEM!$A$3:$AH$1849,6,FALSE)</f>
        <v>Electrosurgical Units, Monopolar/Bipolar</v>
      </c>
      <c r="VEG102" s="528" t="s">
        <v>213</v>
      </c>
      <c r="VEH102" s="529" t="str">
        <f>VLOOKUP(VEG102,[14]AssetDetails_UEM!$A$3:$AH$1849,6,FALSE)</f>
        <v>Electrosurgical Units, Monopolar/Bipolar</v>
      </c>
      <c r="VEI102" s="528" t="s">
        <v>213</v>
      </c>
      <c r="VEJ102" s="529" t="str">
        <f>VLOOKUP(VEI102,[14]AssetDetails_UEM!$A$3:$AH$1849,6,FALSE)</f>
        <v>Electrosurgical Units, Monopolar/Bipolar</v>
      </c>
      <c r="VEK102" s="528" t="s">
        <v>213</v>
      </c>
      <c r="VEL102" s="529" t="str">
        <f>VLOOKUP(VEK102,[14]AssetDetails_UEM!$A$3:$AH$1849,6,FALSE)</f>
        <v>Electrosurgical Units, Monopolar/Bipolar</v>
      </c>
      <c r="VEM102" s="528" t="s">
        <v>213</v>
      </c>
      <c r="VEN102" s="529" t="str">
        <f>VLOOKUP(VEM102,[14]AssetDetails_UEM!$A$3:$AH$1849,6,FALSE)</f>
        <v>Electrosurgical Units, Monopolar/Bipolar</v>
      </c>
      <c r="VEO102" s="528" t="s">
        <v>213</v>
      </c>
      <c r="VEP102" s="529" t="str">
        <f>VLOOKUP(VEO102,[14]AssetDetails_UEM!$A$3:$AH$1849,6,FALSE)</f>
        <v>Electrosurgical Units, Monopolar/Bipolar</v>
      </c>
      <c r="VEQ102" s="528" t="s">
        <v>213</v>
      </c>
      <c r="VER102" s="529" t="str">
        <f>VLOOKUP(VEQ102,[14]AssetDetails_UEM!$A$3:$AH$1849,6,FALSE)</f>
        <v>Electrosurgical Units, Monopolar/Bipolar</v>
      </c>
      <c r="VES102" s="528" t="s">
        <v>213</v>
      </c>
      <c r="VET102" s="529" t="str">
        <f>VLOOKUP(VES102,[14]AssetDetails_UEM!$A$3:$AH$1849,6,FALSE)</f>
        <v>Electrosurgical Units, Monopolar/Bipolar</v>
      </c>
      <c r="VEU102" s="528" t="s">
        <v>213</v>
      </c>
      <c r="VEV102" s="529" t="str">
        <f>VLOOKUP(VEU102,[14]AssetDetails_UEM!$A$3:$AH$1849,6,FALSE)</f>
        <v>Electrosurgical Units, Monopolar/Bipolar</v>
      </c>
      <c r="VEW102" s="528" t="s">
        <v>213</v>
      </c>
      <c r="VEX102" s="529" t="str">
        <f>VLOOKUP(VEW102,[14]AssetDetails_UEM!$A$3:$AH$1849,6,FALSE)</f>
        <v>Electrosurgical Units, Monopolar/Bipolar</v>
      </c>
      <c r="VEY102" s="528" t="s">
        <v>213</v>
      </c>
      <c r="VEZ102" s="529" t="str">
        <f>VLOOKUP(VEY102,[14]AssetDetails_UEM!$A$3:$AH$1849,6,FALSE)</f>
        <v>Electrosurgical Units, Monopolar/Bipolar</v>
      </c>
      <c r="VFA102" s="528" t="s">
        <v>213</v>
      </c>
      <c r="VFB102" s="529" t="str">
        <f>VLOOKUP(VFA102,[14]AssetDetails_UEM!$A$3:$AH$1849,6,FALSE)</f>
        <v>Electrosurgical Units, Monopolar/Bipolar</v>
      </c>
      <c r="VFC102" s="528" t="s">
        <v>213</v>
      </c>
      <c r="VFD102" s="529" t="str">
        <f>VLOOKUP(VFC102,[14]AssetDetails_UEM!$A$3:$AH$1849,6,FALSE)</f>
        <v>Electrosurgical Units, Monopolar/Bipolar</v>
      </c>
      <c r="VFE102" s="528" t="s">
        <v>213</v>
      </c>
      <c r="VFF102" s="529" t="str">
        <f>VLOOKUP(VFE102,[14]AssetDetails_UEM!$A$3:$AH$1849,6,FALSE)</f>
        <v>Electrosurgical Units, Monopolar/Bipolar</v>
      </c>
      <c r="VFG102" s="528" t="s">
        <v>213</v>
      </c>
      <c r="VFH102" s="529" t="str">
        <f>VLOOKUP(VFG102,[14]AssetDetails_UEM!$A$3:$AH$1849,6,FALSE)</f>
        <v>Electrosurgical Units, Monopolar/Bipolar</v>
      </c>
      <c r="VFI102" s="528" t="s">
        <v>213</v>
      </c>
      <c r="VFJ102" s="529" t="str">
        <f>VLOOKUP(VFI102,[14]AssetDetails_UEM!$A$3:$AH$1849,6,FALSE)</f>
        <v>Electrosurgical Units, Monopolar/Bipolar</v>
      </c>
      <c r="VFK102" s="528" t="s">
        <v>213</v>
      </c>
      <c r="VFL102" s="529" t="str">
        <f>VLOOKUP(VFK102,[14]AssetDetails_UEM!$A$3:$AH$1849,6,FALSE)</f>
        <v>Electrosurgical Units, Monopolar/Bipolar</v>
      </c>
      <c r="VFM102" s="528" t="s">
        <v>213</v>
      </c>
      <c r="VFN102" s="529" t="str">
        <f>VLOOKUP(VFM102,[14]AssetDetails_UEM!$A$3:$AH$1849,6,FALSE)</f>
        <v>Electrosurgical Units, Monopolar/Bipolar</v>
      </c>
      <c r="VFO102" s="528" t="s">
        <v>213</v>
      </c>
      <c r="VFP102" s="529" t="str">
        <f>VLOOKUP(VFO102,[14]AssetDetails_UEM!$A$3:$AH$1849,6,FALSE)</f>
        <v>Electrosurgical Units, Monopolar/Bipolar</v>
      </c>
      <c r="VFQ102" s="528" t="s">
        <v>213</v>
      </c>
      <c r="VFR102" s="529" t="str">
        <f>VLOOKUP(VFQ102,[14]AssetDetails_UEM!$A$3:$AH$1849,6,FALSE)</f>
        <v>Electrosurgical Units, Monopolar/Bipolar</v>
      </c>
      <c r="VFS102" s="528" t="s">
        <v>213</v>
      </c>
      <c r="VFT102" s="529" t="str">
        <f>VLOOKUP(VFS102,[14]AssetDetails_UEM!$A$3:$AH$1849,6,FALSE)</f>
        <v>Electrosurgical Units, Monopolar/Bipolar</v>
      </c>
      <c r="VFU102" s="528" t="s">
        <v>213</v>
      </c>
      <c r="VFV102" s="529" t="str">
        <f>VLOOKUP(VFU102,[14]AssetDetails_UEM!$A$3:$AH$1849,6,FALSE)</f>
        <v>Electrosurgical Units, Monopolar/Bipolar</v>
      </c>
      <c r="VFW102" s="528" t="s">
        <v>213</v>
      </c>
      <c r="VFX102" s="529" t="str">
        <f>VLOOKUP(VFW102,[14]AssetDetails_UEM!$A$3:$AH$1849,6,FALSE)</f>
        <v>Electrosurgical Units, Monopolar/Bipolar</v>
      </c>
      <c r="VFY102" s="528" t="s">
        <v>213</v>
      </c>
      <c r="VFZ102" s="529" t="str">
        <f>VLOOKUP(VFY102,[14]AssetDetails_UEM!$A$3:$AH$1849,6,FALSE)</f>
        <v>Electrosurgical Units, Monopolar/Bipolar</v>
      </c>
      <c r="VGA102" s="528" t="s">
        <v>213</v>
      </c>
      <c r="VGB102" s="529" t="str">
        <f>VLOOKUP(VGA102,[14]AssetDetails_UEM!$A$3:$AH$1849,6,FALSE)</f>
        <v>Electrosurgical Units, Monopolar/Bipolar</v>
      </c>
      <c r="VGC102" s="528" t="s">
        <v>213</v>
      </c>
      <c r="VGD102" s="529" t="str">
        <f>VLOOKUP(VGC102,[14]AssetDetails_UEM!$A$3:$AH$1849,6,FALSE)</f>
        <v>Electrosurgical Units, Monopolar/Bipolar</v>
      </c>
      <c r="VGE102" s="528" t="s">
        <v>213</v>
      </c>
      <c r="VGF102" s="529" t="str">
        <f>VLOOKUP(VGE102,[14]AssetDetails_UEM!$A$3:$AH$1849,6,FALSE)</f>
        <v>Electrosurgical Units, Monopolar/Bipolar</v>
      </c>
      <c r="VGG102" s="528" t="s">
        <v>213</v>
      </c>
      <c r="VGH102" s="529" t="str">
        <f>VLOOKUP(VGG102,[14]AssetDetails_UEM!$A$3:$AH$1849,6,FALSE)</f>
        <v>Electrosurgical Units, Monopolar/Bipolar</v>
      </c>
      <c r="VGI102" s="528" t="s">
        <v>213</v>
      </c>
      <c r="VGJ102" s="529" t="str">
        <f>VLOOKUP(VGI102,[14]AssetDetails_UEM!$A$3:$AH$1849,6,FALSE)</f>
        <v>Electrosurgical Units, Monopolar/Bipolar</v>
      </c>
      <c r="VGK102" s="528" t="s">
        <v>213</v>
      </c>
      <c r="VGL102" s="529" t="str">
        <f>VLOOKUP(VGK102,[14]AssetDetails_UEM!$A$3:$AH$1849,6,FALSE)</f>
        <v>Electrosurgical Units, Monopolar/Bipolar</v>
      </c>
      <c r="VGM102" s="528" t="s">
        <v>213</v>
      </c>
      <c r="VGN102" s="529" t="str">
        <f>VLOOKUP(VGM102,[14]AssetDetails_UEM!$A$3:$AH$1849,6,FALSE)</f>
        <v>Electrosurgical Units, Monopolar/Bipolar</v>
      </c>
      <c r="VGO102" s="528" t="s">
        <v>213</v>
      </c>
      <c r="VGP102" s="529" t="str">
        <f>VLOOKUP(VGO102,[14]AssetDetails_UEM!$A$3:$AH$1849,6,FALSE)</f>
        <v>Electrosurgical Units, Monopolar/Bipolar</v>
      </c>
      <c r="VGQ102" s="528" t="s">
        <v>213</v>
      </c>
      <c r="VGR102" s="529" t="str">
        <f>VLOOKUP(VGQ102,[14]AssetDetails_UEM!$A$3:$AH$1849,6,FALSE)</f>
        <v>Electrosurgical Units, Monopolar/Bipolar</v>
      </c>
      <c r="VGS102" s="528" t="s">
        <v>213</v>
      </c>
      <c r="VGT102" s="529" t="str">
        <f>VLOOKUP(VGS102,[14]AssetDetails_UEM!$A$3:$AH$1849,6,FALSE)</f>
        <v>Electrosurgical Units, Monopolar/Bipolar</v>
      </c>
      <c r="VGU102" s="528" t="s">
        <v>213</v>
      </c>
      <c r="VGV102" s="529" t="str">
        <f>VLOOKUP(VGU102,[14]AssetDetails_UEM!$A$3:$AH$1849,6,FALSE)</f>
        <v>Electrosurgical Units, Monopolar/Bipolar</v>
      </c>
      <c r="VGW102" s="528" t="s">
        <v>213</v>
      </c>
      <c r="VGX102" s="529" t="str">
        <f>VLOOKUP(VGW102,[14]AssetDetails_UEM!$A$3:$AH$1849,6,FALSE)</f>
        <v>Electrosurgical Units, Monopolar/Bipolar</v>
      </c>
      <c r="VGY102" s="528" t="s">
        <v>213</v>
      </c>
      <c r="VGZ102" s="529" t="str">
        <f>VLOOKUP(VGY102,[14]AssetDetails_UEM!$A$3:$AH$1849,6,FALSE)</f>
        <v>Electrosurgical Units, Monopolar/Bipolar</v>
      </c>
      <c r="VHA102" s="528" t="s">
        <v>213</v>
      </c>
      <c r="VHB102" s="529" t="str">
        <f>VLOOKUP(VHA102,[14]AssetDetails_UEM!$A$3:$AH$1849,6,FALSE)</f>
        <v>Electrosurgical Units, Monopolar/Bipolar</v>
      </c>
      <c r="VHC102" s="528" t="s">
        <v>213</v>
      </c>
      <c r="VHD102" s="529" t="str">
        <f>VLOOKUP(VHC102,[14]AssetDetails_UEM!$A$3:$AH$1849,6,FALSE)</f>
        <v>Electrosurgical Units, Monopolar/Bipolar</v>
      </c>
      <c r="VHE102" s="528" t="s">
        <v>213</v>
      </c>
      <c r="VHF102" s="529" t="str">
        <f>VLOOKUP(VHE102,[14]AssetDetails_UEM!$A$3:$AH$1849,6,FALSE)</f>
        <v>Electrosurgical Units, Monopolar/Bipolar</v>
      </c>
      <c r="VHG102" s="528" t="s">
        <v>213</v>
      </c>
      <c r="VHH102" s="529" t="str">
        <f>VLOOKUP(VHG102,[14]AssetDetails_UEM!$A$3:$AH$1849,6,FALSE)</f>
        <v>Electrosurgical Units, Monopolar/Bipolar</v>
      </c>
      <c r="VHI102" s="528" t="s">
        <v>213</v>
      </c>
      <c r="VHJ102" s="529" t="str">
        <f>VLOOKUP(VHI102,[14]AssetDetails_UEM!$A$3:$AH$1849,6,FALSE)</f>
        <v>Electrosurgical Units, Monopolar/Bipolar</v>
      </c>
      <c r="VHK102" s="528" t="s">
        <v>213</v>
      </c>
      <c r="VHL102" s="529" t="str">
        <f>VLOOKUP(VHK102,[14]AssetDetails_UEM!$A$3:$AH$1849,6,FALSE)</f>
        <v>Electrosurgical Units, Monopolar/Bipolar</v>
      </c>
      <c r="VHM102" s="528" t="s">
        <v>213</v>
      </c>
      <c r="VHN102" s="529" t="str">
        <f>VLOOKUP(VHM102,[14]AssetDetails_UEM!$A$3:$AH$1849,6,FALSE)</f>
        <v>Electrosurgical Units, Monopolar/Bipolar</v>
      </c>
      <c r="VHO102" s="528" t="s">
        <v>213</v>
      </c>
      <c r="VHP102" s="529" t="str">
        <f>VLOOKUP(VHO102,[14]AssetDetails_UEM!$A$3:$AH$1849,6,FALSE)</f>
        <v>Electrosurgical Units, Monopolar/Bipolar</v>
      </c>
      <c r="VHQ102" s="528" t="s">
        <v>213</v>
      </c>
      <c r="VHR102" s="529" t="str">
        <f>VLOOKUP(VHQ102,[14]AssetDetails_UEM!$A$3:$AH$1849,6,FALSE)</f>
        <v>Electrosurgical Units, Monopolar/Bipolar</v>
      </c>
      <c r="VHS102" s="528" t="s">
        <v>213</v>
      </c>
      <c r="VHT102" s="529" t="str">
        <f>VLOOKUP(VHS102,[14]AssetDetails_UEM!$A$3:$AH$1849,6,FALSE)</f>
        <v>Electrosurgical Units, Monopolar/Bipolar</v>
      </c>
      <c r="VHU102" s="528" t="s">
        <v>213</v>
      </c>
      <c r="VHV102" s="529" t="str">
        <f>VLOOKUP(VHU102,[14]AssetDetails_UEM!$A$3:$AH$1849,6,FALSE)</f>
        <v>Electrosurgical Units, Monopolar/Bipolar</v>
      </c>
      <c r="VHW102" s="528" t="s">
        <v>213</v>
      </c>
      <c r="VHX102" s="529" t="str">
        <f>VLOOKUP(VHW102,[14]AssetDetails_UEM!$A$3:$AH$1849,6,FALSE)</f>
        <v>Electrosurgical Units, Monopolar/Bipolar</v>
      </c>
      <c r="VHY102" s="528" t="s">
        <v>213</v>
      </c>
      <c r="VHZ102" s="529" t="str">
        <f>VLOOKUP(VHY102,[14]AssetDetails_UEM!$A$3:$AH$1849,6,FALSE)</f>
        <v>Electrosurgical Units, Monopolar/Bipolar</v>
      </c>
      <c r="VIA102" s="528" t="s">
        <v>213</v>
      </c>
      <c r="VIB102" s="529" t="str">
        <f>VLOOKUP(VIA102,[14]AssetDetails_UEM!$A$3:$AH$1849,6,FALSE)</f>
        <v>Electrosurgical Units, Monopolar/Bipolar</v>
      </c>
      <c r="VIC102" s="528" t="s">
        <v>213</v>
      </c>
      <c r="VID102" s="529" t="str">
        <f>VLOOKUP(VIC102,[14]AssetDetails_UEM!$A$3:$AH$1849,6,FALSE)</f>
        <v>Electrosurgical Units, Monopolar/Bipolar</v>
      </c>
      <c r="VIE102" s="528" t="s">
        <v>213</v>
      </c>
      <c r="VIF102" s="529" t="str">
        <f>VLOOKUP(VIE102,[14]AssetDetails_UEM!$A$3:$AH$1849,6,FALSE)</f>
        <v>Electrosurgical Units, Monopolar/Bipolar</v>
      </c>
      <c r="VIG102" s="528" t="s">
        <v>213</v>
      </c>
      <c r="VIH102" s="529" t="str">
        <f>VLOOKUP(VIG102,[14]AssetDetails_UEM!$A$3:$AH$1849,6,FALSE)</f>
        <v>Electrosurgical Units, Monopolar/Bipolar</v>
      </c>
      <c r="VII102" s="528" t="s">
        <v>213</v>
      </c>
      <c r="VIJ102" s="529" t="str">
        <f>VLOOKUP(VII102,[14]AssetDetails_UEM!$A$3:$AH$1849,6,FALSE)</f>
        <v>Electrosurgical Units, Monopolar/Bipolar</v>
      </c>
      <c r="VIK102" s="528" t="s">
        <v>213</v>
      </c>
      <c r="VIL102" s="529" t="str">
        <f>VLOOKUP(VIK102,[14]AssetDetails_UEM!$A$3:$AH$1849,6,FALSE)</f>
        <v>Electrosurgical Units, Monopolar/Bipolar</v>
      </c>
      <c r="VIM102" s="528" t="s">
        <v>213</v>
      </c>
      <c r="VIN102" s="529" t="str">
        <f>VLOOKUP(VIM102,[14]AssetDetails_UEM!$A$3:$AH$1849,6,FALSE)</f>
        <v>Electrosurgical Units, Monopolar/Bipolar</v>
      </c>
      <c r="VIO102" s="528" t="s">
        <v>213</v>
      </c>
      <c r="VIP102" s="529" t="str">
        <f>VLOOKUP(VIO102,[14]AssetDetails_UEM!$A$3:$AH$1849,6,FALSE)</f>
        <v>Electrosurgical Units, Monopolar/Bipolar</v>
      </c>
      <c r="VIQ102" s="528" t="s">
        <v>213</v>
      </c>
      <c r="VIR102" s="529" t="str">
        <f>VLOOKUP(VIQ102,[14]AssetDetails_UEM!$A$3:$AH$1849,6,FALSE)</f>
        <v>Electrosurgical Units, Monopolar/Bipolar</v>
      </c>
      <c r="VIS102" s="528" t="s">
        <v>213</v>
      </c>
      <c r="VIT102" s="529" t="str">
        <f>VLOOKUP(VIS102,[14]AssetDetails_UEM!$A$3:$AH$1849,6,FALSE)</f>
        <v>Electrosurgical Units, Monopolar/Bipolar</v>
      </c>
      <c r="VIU102" s="528" t="s">
        <v>213</v>
      </c>
      <c r="VIV102" s="529" t="str">
        <f>VLOOKUP(VIU102,[14]AssetDetails_UEM!$A$3:$AH$1849,6,FALSE)</f>
        <v>Electrosurgical Units, Monopolar/Bipolar</v>
      </c>
      <c r="VIW102" s="528" t="s">
        <v>213</v>
      </c>
      <c r="VIX102" s="529" t="str">
        <f>VLOOKUP(VIW102,[14]AssetDetails_UEM!$A$3:$AH$1849,6,FALSE)</f>
        <v>Electrosurgical Units, Monopolar/Bipolar</v>
      </c>
      <c r="VIY102" s="528" t="s">
        <v>213</v>
      </c>
      <c r="VIZ102" s="529" t="str">
        <f>VLOOKUP(VIY102,[14]AssetDetails_UEM!$A$3:$AH$1849,6,FALSE)</f>
        <v>Electrosurgical Units, Monopolar/Bipolar</v>
      </c>
      <c r="VJA102" s="528" t="s">
        <v>213</v>
      </c>
      <c r="VJB102" s="529" t="str">
        <f>VLOOKUP(VJA102,[14]AssetDetails_UEM!$A$3:$AH$1849,6,FALSE)</f>
        <v>Electrosurgical Units, Monopolar/Bipolar</v>
      </c>
      <c r="VJC102" s="528" t="s">
        <v>213</v>
      </c>
      <c r="VJD102" s="529" t="str">
        <f>VLOOKUP(VJC102,[14]AssetDetails_UEM!$A$3:$AH$1849,6,FALSE)</f>
        <v>Electrosurgical Units, Monopolar/Bipolar</v>
      </c>
      <c r="VJE102" s="528" t="s">
        <v>213</v>
      </c>
      <c r="VJF102" s="529" t="str">
        <f>VLOOKUP(VJE102,[14]AssetDetails_UEM!$A$3:$AH$1849,6,FALSE)</f>
        <v>Electrosurgical Units, Monopolar/Bipolar</v>
      </c>
      <c r="VJG102" s="528" t="s">
        <v>213</v>
      </c>
      <c r="VJH102" s="529" t="str">
        <f>VLOOKUP(VJG102,[14]AssetDetails_UEM!$A$3:$AH$1849,6,FALSE)</f>
        <v>Electrosurgical Units, Monopolar/Bipolar</v>
      </c>
      <c r="VJI102" s="528" t="s">
        <v>213</v>
      </c>
      <c r="VJJ102" s="529" t="str">
        <f>VLOOKUP(VJI102,[14]AssetDetails_UEM!$A$3:$AH$1849,6,FALSE)</f>
        <v>Electrosurgical Units, Monopolar/Bipolar</v>
      </c>
      <c r="VJK102" s="528" t="s">
        <v>213</v>
      </c>
      <c r="VJL102" s="529" t="str">
        <f>VLOOKUP(VJK102,[14]AssetDetails_UEM!$A$3:$AH$1849,6,FALSE)</f>
        <v>Electrosurgical Units, Monopolar/Bipolar</v>
      </c>
      <c r="VJM102" s="528" t="s">
        <v>213</v>
      </c>
      <c r="VJN102" s="529" t="str">
        <f>VLOOKUP(VJM102,[14]AssetDetails_UEM!$A$3:$AH$1849,6,FALSE)</f>
        <v>Electrosurgical Units, Monopolar/Bipolar</v>
      </c>
      <c r="VJO102" s="528" t="s">
        <v>213</v>
      </c>
      <c r="VJP102" s="529" t="str">
        <f>VLOOKUP(VJO102,[14]AssetDetails_UEM!$A$3:$AH$1849,6,FALSE)</f>
        <v>Electrosurgical Units, Monopolar/Bipolar</v>
      </c>
      <c r="VJQ102" s="528" t="s">
        <v>213</v>
      </c>
      <c r="VJR102" s="529" t="str">
        <f>VLOOKUP(VJQ102,[14]AssetDetails_UEM!$A$3:$AH$1849,6,FALSE)</f>
        <v>Electrosurgical Units, Monopolar/Bipolar</v>
      </c>
      <c r="VJS102" s="528" t="s">
        <v>213</v>
      </c>
      <c r="VJT102" s="529" t="str">
        <f>VLOOKUP(VJS102,[14]AssetDetails_UEM!$A$3:$AH$1849,6,FALSE)</f>
        <v>Electrosurgical Units, Monopolar/Bipolar</v>
      </c>
      <c r="VJU102" s="528" t="s">
        <v>213</v>
      </c>
      <c r="VJV102" s="529" t="str">
        <f>VLOOKUP(VJU102,[14]AssetDetails_UEM!$A$3:$AH$1849,6,FALSE)</f>
        <v>Electrosurgical Units, Monopolar/Bipolar</v>
      </c>
      <c r="VJW102" s="528" t="s">
        <v>213</v>
      </c>
      <c r="VJX102" s="529" t="str">
        <f>VLOOKUP(VJW102,[14]AssetDetails_UEM!$A$3:$AH$1849,6,FALSE)</f>
        <v>Electrosurgical Units, Monopolar/Bipolar</v>
      </c>
      <c r="VJY102" s="528" t="s">
        <v>213</v>
      </c>
      <c r="VJZ102" s="529" t="str">
        <f>VLOOKUP(VJY102,[14]AssetDetails_UEM!$A$3:$AH$1849,6,FALSE)</f>
        <v>Electrosurgical Units, Monopolar/Bipolar</v>
      </c>
      <c r="VKA102" s="528" t="s">
        <v>213</v>
      </c>
      <c r="VKB102" s="529" t="str">
        <f>VLOOKUP(VKA102,[14]AssetDetails_UEM!$A$3:$AH$1849,6,FALSE)</f>
        <v>Electrosurgical Units, Monopolar/Bipolar</v>
      </c>
      <c r="VKC102" s="528" t="s">
        <v>213</v>
      </c>
      <c r="VKD102" s="529" t="str">
        <f>VLOOKUP(VKC102,[14]AssetDetails_UEM!$A$3:$AH$1849,6,FALSE)</f>
        <v>Electrosurgical Units, Monopolar/Bipolar</v>
      </c>
      <c r="VKE102" s="528" t="s">
        <v>213</v>
      </c>
      <c r="VKF102" s="529" t="str">
        <f>VLOOKUP(VKE102,[14]AssetDetails_UEM!$A$3:$AH$1849,6,FALSE)</f>
        <v>Electrosurgical Units, Monopolar/Bipolar</v>
      </c>
      <c r="VKG102" s="528" t="s">
        <v>213</v>
      </c>
      <c r="VKH102" s="529" t="str">
        <f>VLOOKUP(VKG102,[14]AssetDetails_UEM!$A$3:$AH$1849,6,FALSE)</f>
        <v>Electrosurgical Units, Monopolar/Bipolar</v>
      </c>
      <c r="VKI102" s="528" t="s">
        <v>213</v>
      </c>
      <c r="VKJ102" s="529" t="str">
        <f>VLOOKUP(VKI102,[14]AssetDetails_UEM!$A$3:$AH$1849,6,FALSE)</f>
        <v>Electrosurgical Units, Monopolar/Bipolar</v>
      </c>
      <c r="VKK102" s="528" t="s">
        <v>213</v>
      </c>
      <c r="VKL102" s="529" t="str">
        <f>VLOOKUP(VKK102,[14]AssetDetails_UEM!$A$3:$AH$1849,6,FALSE)</f>
        <v>Electrosurgical Units, Monopolar/Bipolar</v>
      </c>
      <c r="VKM102" s="528" t="s">
        <v>213</v>
      </c>
      <c r="VKN102" s="529" t="str">
        <f>VLOOKUP(VKM102,[14]AssetDetails_UEM!$A$3:$AH$1849,6,FALSE)</f>
        <v>Electrosurgical Units, Monopolar/Bipolar</v>
      </c>
      <c r="VKO102" s="528" t="s">
        <v>213</v>
      </c>
      <c r="VKP102" s="529" t="str">
        <f>VLOOKUP(VKO102,[14]AssetDetails_UEM!$A$3:$AH$1849,6,FALSE)</f>
        <v>Electrosurgical Units, Monopolar/Bipolar</v>
      </c>
      <c r="VKQ102" s="528" t="s">
        <v>213</v>
      </c>
      <c r="VKR102" s="529" t="str">
        <f>VLOOKUP(VKQ102,[14]AssetDetails_UEM!$A$3:$AH$1849,6,FALSE)</f>
        <v>Electrosurgical Units, Monopolar/Bipolar</v>
      </c>
      <c r="VKS102" s="528" t="s">
        <v>213</v>
      </c>
      <c r="VKT102" s="529" t="str">
        <f>VLOOKUP(VKS102,[14]AssetDetails_UEM!$A$3:$AH$1849,6,FALSE)</f>
        <v>Electrosurgical Units, Monopolar/Bipolar</v>
      </c>
      <c r="VKU102" s="528" t="s">
        <v>213</v>
      </c>
      <c r="VKV102" s="529" t="str">
        <f>VLOOKUP(VKU102,[14]AssetDetails_UEM!$A$3:$AH$1849,6,FALSE)</f>
        <v>Electrosurgical Units, Monopolar/Bipolar</v>
      </c>
      <c r="VKW102" s="528" t="s">
        <v>213</v>
      </c>
      <c r="VKX102" s="529" t="str">
        <f>VLOOKUP(VKW102,[14]AssetDetails_UEM!$A$3:$AH$1849,6,FALSE)</f>
        <v>Electrosurgical Units, Monopolar/Bipolar</v>
      </c>
      <c r="VKY102" s="528" t="s">
        <v>213</v>
      </c>
      <c r="VKZ102" s="529" t="str">
        <f>VLOOKUP(VKY102,[14]AssetDetails_UEM!$A$3:$AH$1849,6,FALSE)</f>
        <v>Electrosurgical Units, Monopolar/Bipolar</v>
      </c>
      <c r="VLA102" s="528" t="s">
        <v>213</v>
      </c>
      <c r="VLB102" s="529" t="str">
        <f>VLOOKUP(VLA102,[14]AssetDetails_UEM!$A$3:$AH$1849,6,FALSE)</f>
        <v>Electrosurgical Units, Monopolar/Bipolar</v>
      </c>
      <c r="VLC102" s="528" t="s">
        <v>213</v>
      </c>
      <c r="VLD102" s="529" t="str">
        <f>VLOOKUP(VLC102,[14]AssetDetails_UEM!$A$3:$AH$1849,6,FALSE)</f>
        <v>Electrosurgical Units, Monopolar/Bipolar</v>
      </c>
      <c r="VLE102" s="528" t="s">
        <v>213</v>
      </c>
      <c r="VLF102" s="529" t="str">
        <f>VLOOKUP(VLE102,[14]AssetDetails_UEM!$A$3:$AH$1849,6,FALSE)</f>
        <v>Electrosurgical Units, Monopolar/Bipolar</v>
      </c>
      <c r="VLG102" s="528" t="s">
        <v>213</v>
      </c>
      <c r="VLH102" s="529" t="str">
        <f>VLOOKUP(VLG102,[14]AssetDetails_UEM!$A$3:$AH$1849,6,FALSE)</f>
        <v>Electrosurgical Units, Monopolar/Bipolar</v>
      </c>
      <c r="VLI102" s="528" t="s">
        <v>213</v>
      </c>
      <c r="VLJ102" s="529" t="str">
        <f>VLOOKUP(VLI102,[14]AssetDetails_UEM!$A$3:$AH$1849,6,FALSE)</f>
        <v>Electrosurgical Units, Monopolar/Bipolar</v>
      </c>
      <c r="VLK102" s="528" t="s">
        <v>213</v>
      </c>
      <c r="VLL102" s="529" t="str">
        <f>VLOOKUP(VLK102,[14]AssetDetails_UEM!$A$3:$AH$1849,6,FALSE)</f>
        <v>Electrosurgical Units, Monopolar/Bipolar</v>
      </c>
      <c r="VLM102" s="528" t="s">
        <v>213</v>
      </c>
      <c r="VLN102" s="529" t="str">
        <f>VLOOKUP(VLM102,[14]AssetDetails_UEM!$A$3:$AH$1849,6,FALSE)</f>
        <v>Electrosurgical Units, Monopolar/Bipolar</v>
      </c>
      <c r="VLO102" s="528" t="s">
        <v>213</v>
      </c>
      <c r="VLP102" s="529" t="str">
        <f>VLOOKUP(VLO102,[14]AssetDetails_UEM!$A$3:$AH$1849,6,FALSE)</f>
        <v>Electrosurgical Units, Monopolar/Bipolar</v>
      </c>
      <c r="VLQ102" s="528" t="s">
        <v>213</v>
      </c>
      <c r="VLR102" s="529" t="str">
        <f>VLOOKUP(VLQ102,[14]AssetDetails_UEM!$A$3:$AH$1849,6,FALSE)</f>
        <v>Electrosurgical Units, Monopolar/Bipolar</v>
      </c>
      <c r="VLS102" s="528" t="s">
        <v>213</v>
      </c>
      <c r="VLT102" s="529" t="str">
        <f>VLOOKUP(VLS102,[14]AssetDetails_UEM!$A$3:$AH$1849,6,FALSE)</f>
        <v>Electrosurgical Units, Monopolar/Bipolar</v>
      </c>
      <c r="VLU102" s="528" t="s">
        <v>213</v>
      </c>
      <c r="VLV102" s="529" t="str">
        <f>VLOOKUP(VLU102,[14]AssetDetails_UEM!$A$3:$AH$1849,6,FALSE)</f>
        <v>Electrosurgical Units, Monopolar/Bipolar</v>
      </c>
      <c r="VLW102" s="528" t="s">
        <v>213</v>
      </c>
      <c r="VLX102" s="529" t="str">
        <f>VLOOKUP(VLW102,[14]AssetDetails_UEM!$A$3:$AH$1849,6,FALSE)</f>
        <v>Electrosurgical Units, Monopolar/Bipolar</v>
      </c>
      <c r="VLY102" s="528" t="s">
        <v>213</v>
      </c>
      <c r="VLZ102" s="529" t="str">
        <f>VLOOKUP(VLY102,[14]AssetDetails_UEM!$A$3:$AH$1849,6,FALSE)</f>
        <v>Electrosurgical Units, Monopolar/Bipolar</v>
      </c>
      <c r="VMA102" s="528" t="s">
        <v>213</v>
      </c>
      <c r="VMB102" s="529" t="str">
        <f>VLOOKUP(VMA102,[14]AssetDetails_UEM!$A$3:$AH$1849,6,FALSE)</f>
        <v>Electrosurgical Units, Monopolar/Bipolar</v>
      </c>
      <c r="VMC102" s="528" t="s">
        <v>213</v>
      </c>
      <c r="VMD102" s="529" t="str">
        <f>VLOOKUP(VMC102,[14]AssetDetails_UEM!$A$3:$AH$1849,6,FALSE)</f>
        <v>Electrosurgical Units, Monopolar/Bipolar</v>
      </c>
      <c r="VME102" s="528" t="s">
        <v>213</v>
      </c>
      <c r="VMF102" s="529" t="str">
        <f>VLOOKUP(VME102,[14]AssetDetails_UEM!$A$3:$AH$1849,6,FALSE)</f>
        <v>Electrosurgical Units, Monopolar/Bipolar</v>
      </c>
      <c r="VMG102" s="528" t="s">
        <v>213</v>
      </c>
      <c r="VMH102" s="529" t="str">
        <f>VLOOKUP(VMG102,[14]AssetDetails_UEM!$A$3:$AH$1849,6,FALSE)</f>
        <v>Electrosurgical Units, Monopolar/Bipolar</v>
      </c>
      <c r="VMI102" s="528" t="s">
        <v>213</v>
      </c>
      <c r="VMJ102" s="529" t="str">
        <f>VLOOKUP(VMI102,[14]AssetDetails_UEM!$A$3:$AH$1849,6,FALSE)</f>
        <v>Electrosurgical Units, Monopolar/Bipolar</v>
      </c>
      <c r="VMK102" s="528" t="s">
        <v>213</v>
      </c>
      <c r="VML102" s="529" t="str">
        <f>VLOOKUP(VMK102,[14]AssetDetails_UEM!$A$3:$AH$1849,6,FALSE)</f>
        <v>Electrosurgical Units, Monopolar/Bipolar</v>
      </c>
      <c r="VMM102" s="528" t="s">
        <v>213</v>
      </c>
      <c r="VMN102" s="529" t="str">
        <f>VLOOKUP(VMM102,[14]AssetDetails_UEM!$A$3:$AH$1849,6,FALSE)</f>
        <v>Electrosurgical Units, Monopolar/Bipolar</v>
      </c>
      <c r="VMO102" s="528" t="s">
        <v>213</v>
      </c>
      <c r="VMP102" s="529" t="str">
        <f>VLOOKUP(VMO102,[14]AssetDetails_UEM!$A$3:$AH$1849,6,FALSE)</f>
        <v>Electrosurgical Units, Monopolar/Bipolar</v>
      </c>
      <c r="VMQ102" s="528" t="s">
        <v>213</v>
      </c>
      <c r="VMR102" s="529" t="str">
        <f>VLOOKUP(VMQ102,[14]AssetDetails_UEM!$A$3:$AH$1849,6,FALSE)</f>
        <v>Electrosurgical Units, Monopolar/Bipolar</v>
      </c>
      <c r="VMS102" s="528" t="s">
        <v>213</v>
      </c>
      <c r="VMT102" s="529" t="str">
        <f>VLOOKUP(VMS102,[14]AssetDetails_UEM!$A$3:$AH$1849,6,FALSE)</f>
        <v>Electrosurgical Units, Monopolar/Bipolar</v>
      </c>
      <c r="VMU102" s="528" t="s">
        <v>213</v>
      </c>
      <c r="VMV102" s="529" t="str">
        <f>VLOOKUP(VMU102,[14]AssetDetails_UEM!$A$3:$AH$1849,6,FALSE)</f>
        <v>Electrosurgical Units, Monopolar/Bipolar</v>
      </c>
      <c r="VMW102" s="528" t="s">
        <v>213</v>
      </c>
      <c r="VMX102" s="529" t="str">
        <f>VLOOKUP(VMW102,[14]AssetDetails_UEM!$A$3:$AH$1849,6,FALSE)</f>
        <v>Electrosurgical Units, Monopolar/Bipolar</v>
      </c>
      <c r="VMY102" s="528" t="s">
        <v>213</v>
      </c>
      <c r="VMZ102" s="529" t="str">
        <f>VLOOKUP(VMY102,[14]AssetDetails_UEM!$A$3:$AH$1849,6,FALSE)</f>
        <v>Electrosurgical Units, Monopolar/Bipolar</v>
      </c>
      <c r="VNA102" s="528" t="s">
        <v>213</v>
      </c>
      <c r="VNB102" s="529" t="str">
        <f>VLOOKUP(VNA102,[14]AssetDetails_UEM!$A$3:$AH$1849,6,FALSE)</f>
        <v>Electrosurgical Units, Monopolar/Bipolar</v>
      </c>
      <c r="VNC102" s="528" t="s">
        <v>213</v>
      </c>
      <c r="VND102" s="529" t="str">
        <f>VLOOKUP(VNC102,[14]AssetDetails_UEM!$A$3:$AH$1849,6,FALSE)</f>
        <v>Electrosurgical Units, Monopolar/Bipolar</v>
      </c>
      <c r="VNE102" s="528" t="s">
        <v>213</v>
      </c>
      <c r="VNF102" s="529" t="str">
        <f>VLOOKUP(VNE102,[14]AssetDetails_UEM!$A$3:$AH$1849,6,FALSE)</f>
        <v>Electrosurgical Units, Monopolar/Bipolar</v>
      </c>
      <c r="VNG102" s="528" t="s">
        <v>213</v>
      </c>
      <c r="VNH102" s="529" t="str">
        <f>VLOOKUP(VNG102,[14]AssetDetails_UEM!$A$3:$AH$1849,6,FALSE)</f>
        <v>Electrosurgical Units, Monopolar/Bipolar</v>
      </c>
      <c r="VNI102" s="528" t="s">
        <v>213</v>
      </c>
      <c r="VNJ102" s="529" t="str">
        <f>VLOOKUP(VNI102,[14]AssetDetails_UEM!$A$3:$AH$1849,6,FALSE)</f>
        <v>Electrosurgical Units, Monopolar/Bipolar</v>
      </c>
      <c r="VNK102" s="528" t="s">
        <v>213</v>
      </c>
      <c r="VNL102" s="529" t="str">
        <f>VLOOKUP(VNK102,[14]AssetDetails_UEM!$A$3:$AH$1849,6,FALSE)</f>
        <v>Electrosurgical Units, Monopolar/Bipolar</v>
      </c>
      <c r="VNM102" s="528" t="s">
        <v>213</v>
      </c>
      <c r="VNN102" s="529" t="str">
        <f>VLOOKUP(VNM102,[14]AssetDetails_UEM!$A$3:$AH$1849,6,FALSE)</f>
        <v>Electrosurgical Units, Monopolar/Bipolar</v>
      </c>
      <c r="VNO102" s="528" t="s">
        <v>213</v>
      </c>
      <c r="VNP102" s="529" t="str">
        <f>VLOOKUP(VNO102,[14]AssetDetails_UEM!$A$3:$AH$1849,6,FALSE)</f>
        <v>Electrosurgical Units, Monopolar/Bipolar</v>
      </c>
      <c r="VNQ102" s="528" t="s">
        <v>213</v>
      </c>
      <c r="VNR102" s="529" t="str">
        <f>VLOOKUP(VNQ102,[14]AssetDetails_UEM!$A$3:$AH$1849,6,FALSE)</f>
        <v>Electrosurgical Units, Monopolar/Bipolar</v>
      </c>
      <c r="VNS102" s="528" t="s">
        <v>213</v>
      </c>
      <c r="VNT102" s="529" t="str">
        <f>VLOOKUP(VNS102,[14]AssetDetails_UEM!$A$3:$AH$1849,6,FALSE)</f>
        <v>Electrosurgical Units, Monopolar/Bipolar</v>
      </c>
      <c r="VNU102" s="528" t="s">
        <v>213</v>
      </c>
      <c r="VNV102" s="529" t="str">
        <f>VLOOKUP(VNU102,[14]AssetDetails_UEM!$A$3:$AH$1849,6,FALSE)</f>
        <v>Electrosurgical Units, Monopolar/Bipolar</v>
      </c>
      <c r="VNW102" s="528" t="s">
        <v>213</v>
      </c>
      <c r="VNX102" s="529" t="str">
        <f>VLOOKUP(VNW102,[14]AssetDetails_UEM!$A$3:$AH$1849,6,FALSE)</f>
        <v>Electrosurgical Units, Monopolar/Bipolar</v>
      </c>
      <c r="VNY102" s="528" t="s">
        <v>213</v>
      </c>
      <c r="VNZ102" s="529" t="str">
        <f>VLOOKUP(VNY102,[14]AssetDetails_UEM!$A$3:$AH$1849,6,FALSE)</f>
        <v>Electrosurgical Units, Monopolar/Bipolar</v>
      </c>
      <c r="VOA102" s="528" t="s">
        <v>213</v>
      </c>
      <c r="VOB102" s="529" t="str">
        <f>VLOOKUP(VOA102,[14]AssetDetails_UEM!$A$3:$AH$1849,6,FALSE)</f>
        <v>Electrosurgical Units, Monopolar/Bipolar</v>
      </c>
      <c r="VOC102" s="528" t="s">
        <v>213</v>
      </c>
      <c r="VOD102" s="529" t="str">
        <f>VLOOKUP(VOC102,[14]AssetDetails_UEM!$A$3:$AH$1849,6,FALSE)</f>
        <v>Electrosurgical Units, Monopolar/Bipolar</v>
      </c>
      <c r="VOE102" s="528" t="s">
        <v>213</v>
      </c>
      <c r="VOF102" s="529" t="str">
        <f>VLOOKUP(VOE102,[14]AssetDetails_UEM!$A$3:$AH$1849,6,FALSE)</f>
        <v>Electrosurgical Units, Monopolar/Bipolar</v>
      </c>
      <c r="VOG102" s="528" t="s">
        <v>213</v>
      </c>
      <c r="VOH102" s="529" t="str">
        <f>VLOOKUP(VOG102,[14]AssetDetails_UEM!$A$3:$AH$1849,6,FALSE)</f>
        <v>Electrosurgical Units, Monopolar/Bipolar</v>
      </c>
      <c r="VOI102" s="528" t="s">
        <v>213</v>
      </c>
      <c r="VOJ102" s="529" t="str">
        <f>VLOOKUP(VOI102,[14]AssetDetails_UEM!$A$3:$AH$1849,6,FALSE)</f>
        <v>Electrosurgical Units, Monopolar/Bipolar</v>
      </c>
      <c r="VOK102" s="528" t="s">
        <v>213</v>
      </c>
      <c r="VOL102" s="529" t="str">
        <f>VLOOKUP(VOK102,[14]AssetDetails_UEM!$A$3:$AH$1849,6,FALSE)</f>
        <v>Electrosurgical Units, Monopolar/Bipolar</v>
      </c>
      <c r="VOM102" s="528" t="s">
        <v>213</v>
      </c>
      <c r="VON102" s="529" t="str">
        <f>VLOOKUP(VOM102,[14]AssetDetails_UEM!$A$3:$AH$1849,6,FALSE)</f>
        <v>Electrosurgical Units, Monopolar/Bipolar</v>
      </c>
      <c r="VOO102" s="528" t="s">
        <v>213</v>
      </c>
      <c r="VOP102" s="529" t="str">
        <f>VLOOKUP(VOO102,[14]AssetDetails_UEM!$A$3:$AH$1849,6,FALSE)</f>
        <v>Electrosurgical Units, Monopolar/Bipolar</v>
      </c>
      <c r="VOQ102" s="528" t="s">
        <v>213</v>
      </c>
      <c r="VOR102" s="529" t="str">
        <f>VLOOKUP(VOQ102,[14]AssetDetails_UEM!$A$3:$AH$1849,6,FALSE)</f>
        <v>Electrosurgical Units, Monopolar/Bipolar</v>
      </c>
      <c r="VOS102" s="528" t="s">
        <v>213</v>
      </c>
      <c r="VOT102" s="529" t="str">
        <f>VLOOKUP(VOS102,[14]AssetDetails_UEM!$A$3:$AH$1849,6,FALSE)</f>
        <v>Electrosurgical Units, Monopolar/Bipolar</v>
      </c>
      <c r="VOU102" s="528" t="s">
        <v>213</v>
      </c>
      <c r="VOV102" s="529" t="str">
        <f>VLOOKUP(VOU102,[14]AssetDetails_UEM!$A$3:$AH$1849,6,FALSE)</f>
        <v>Electrosurgical Units, Monopolar/Bipolar</v>
      </c>
      <c r="VOW102" s="528" t="s">
        <v>213</v>
      </c>
      <c r="VOX102" s="529" t="str">
        <f>VLOOKUP(VOW102,[14]AssetDetails_UEM!$A$3:$AH$1849,6,FALSE)</f>
        <v>Electrosurgical Units, Monopolar/Bipolar</v>
      </c>
      <c r="VOY102" s="528" t="s">
        <v>213</v>
      </c>
      <c r="VOZ102" s="529" t="str">
        <f>VLOOKUP(VOY102,[14]AssetDetails_UEM!$A$3:$AH$1849,6,FALSE)</f>
        <v>Electrosurgical Units, Monopolar/Bipolar</v>
      </c>
      <c r="VPA102" s="528" t="s">
        <v>213</v>
      </c>
      <c r="VPB102" s="529" t="str">
        <f>VLOOKUP(VPA102,[14]AssetDetails_UEM!$A$3:$AH$1849,6,FALSE)</f>
        <v>Electrosurgical Units, Monopolar/Bipolar</v>
      </c>
      <c r="VPC102" s="528" t="s">
        <v>213</v>
      </c>
      <c r="VPD102" s="529" t="str">
        <f>VLOOKUP(VPC102,[14]AssetDetails_UEM!$A$3:$AH$1849,6,FALSE)</f>
        <v>Electrosurgical Units, Monopolar/Bipolar</v>
      </c>
      <c r="VPE102" s="528" t="s">
        <v>213</v>
      </c>
      <c r="VPF102" s="529" t="str">
        <f>VLOOKUP(VPE102,[14]AssetDetails_UEM!$A$3:$AH$1849,6,FALSE)</f>
        <v>Electrosurgical Units, Monopolar/Bipolar</v>
      </c>
      <c r="VPG102" s="528" t="s">
        <v>213</v>
      </c>
      <c r="VPH102" s="529" t="str">
        <f>VLOOKUP(VPG102,[14]AssetDetails_UEM!$A$3:$AH$1849,6,FALSE)</f>
        <v>Electrosurgical Units, Monopolar/Bipolar</v>
      </c>
      <c r="VPI102" s="528" t="s">
        <v>213</v>
      </c>
      <c r="VPJ102" s="529" t="str">
        <f>VLOOKUP(VPI102,[14]AssetDetails_UEM!$A$3:$AH$1849,6,FALSE)</f>
        <v>Electrosurgical Units, Monopolar/Bipolar</v>
      </c>
      <c r="VPK102" s="528" t="s">
        <v>213</v>
      </c>
      <c r="VPL102" s="529" t="str">
        <f>VLOOKUP(VPK102,[14]AssetDetails_UEM!$A$3:$AH$1849,6,FALSE)</f>
        <v>Electrosurgical Units, Monopolar/Bipolar</v>
      </c>
      <c r="VPM102" s="528" t="s">
        <v>213</v>
      </c>
      <c r="VPN102" s="529" t="str">
        <f>VLOOKUP(VPM102,[14]AssetDetails_UEM!$A$3:$AH$1849,6,FALSE)</f>
        <v>Electrosurgical Units, Monopolar/Bipolar</v>
      </c>
      <c r="VPO102" s="528" t="s">
        <v>213</v>
      </c>
      <c r="VPP102" s="529" t="str">
        <f>VLOOKUP(VPO102,[14]AssetDetails_UEM!$A$3:$AH$1849,6,FALSE)</f>
        <v>Electrosurgical Units, Monopolar/Bipolar</v>
      </c>
      <c r="VPQ102" s="528" t="s">
        <v>213</v>
      </c>
      <c r="VPR102" s="529" t="str">
        <f>VLOOKUP(VPQ102,[14]AssetDetails_UEM!$A$3:$AH$1849,6,FALSE)</f>
        <v>Electrosurgical Units, Monopolar/Bipolar</v>
      </c>
      <c r="VPS102" s="528" t="s">
        <v>213</v>
      </c>
      <c r="VPT102" s="529" t="str">
        <f>VLOOKUP(VPS102,[14]AssetDetails_UEM!$A$3:$AH$1849,6,FALSE)</f>
        <v>Electrosurgical Units, Monopolar/Bipolar</v>
      </c>
      <c r="VPU102" s="528" t="s">
        <v>213</v>
      </c>
      <c r="VPV102" s="529" t="str">
        <f>VLOOKUP(VPU102,[14]AssetDetails_UEM!$A$3:$AH$1849,6,FALSE)</f>
        <v>Electrosurgical Units, Monopolar/Bipolar</v>
      </c>
      <c r="VPW102" s="528" t="s">
        <v>213</v>
      </c>
      <c r="VPX102" s="529" t="str">
        <f>VLOOKUP(VPW102,[14]AssetDetails_UEM!$A$3:$AH$1849,6,FALSE)</f>
        <v>Electrosurgical Units, Monopolar/Bipolar</v>
      </c>
      <c r="VPY102" s="528" t="s">
        <v>213</v>
      </c>
      <c r="VPZ102" s="529" t="str">
        <f>VLOOKUP(VPY102,[14]AssetDetails_UEM!$A$3:$AH$1849,6,FALSE)</f>
        <v>Electrosurgical Units, Monopolar/Bipolar</v>
      </c>
      <c r="VQA102" s="528" t="s">
        <v>213</v>
      </c>
      <c r="VQB102" s="529" t="str">
        <f>VLOOKUP(VQA102,[14]AssetDetails_UEM!$A$3:$AH$1849,6,FALSE)</f>
        <v>Electrosurgical Units, Monopolar/Bipolar</v>
      </c>
      <c r="VQC102" s="528" t="s">
        <v>213</v>
      </c>
      <c r="VQD102" s="529" t="str">
        <f>VLOOKUP(VQC102,[14]AssetDetails_UEM!$A$3:$AH$1849,6,FALSE)</f>
        <v>Electrosurgical Units, Monopolar/Bipolar</v>
      </c>
      <c r="VQE102" s="528" t="s">
        <v>213</v>
      </c>
      <c r="VQF102" s="529" t="str">
        <f>VLOOKUP(VQE102,[14]AssetDetails_UEM!$A$3:$AH$1849,6,FALSE)</f>
        <v>Electrosurgical Units, Monopolar/Bipolar</v>
      </c>
      <c r="VQG102" s="528" t="s">
        <v>213</v>
      </c>
      <c r="VQH102" s="529" t="str">
        <f>VLOOKUP(VQG102,[14]AssetDetails_UEM!$A$3:$AH$1849,6,FALSE)</f>
        <v>Electrosurgical Units, Monopolar/Bipolar</v>
      </c>
      <c r="VQI102" s="528" t="s">
        <v>213</v>
      </c>
      <c r="VQJ102" s="529" t="str">
        <f>VLOOKUP(VQI102,[14]AssetDetails_UEM!$A$3:$AH$1849,6,FALSE)</f>
        <v>Electrosurgical Units, Monopolar/Bipolar</v>
      </c>
      <c r="VQK102" s="528" t="s">
        <v>213</v>
      </c>
      <c r="VQL102" s="529" t="str">
        <f>VLOOKUP(VQK102,[14]AssetDetails_UEM!$A$3:$AH$1849,6,FALSE)</f>
        <v>Electrosurgical Units, Monopolar/Bipolar</v>
      </c>
      <c r="VQM102" s="528" t="s">
        <v>213</v>
      </c>
      <c r="VQN102" s="529" t="str">
        <f>VLOOKUP(VQM102,[14]AssetDetails_UEM!$A$3:$AH$1849,6,FALSE)</f>
        <v>Electrosurgical Units, Monopolar/Bipolar</v>
      </c>
      <c r="VQO102" s="528" t="s">
        <v>213</v>
      </c>
      <c r="VQP102" s="529" t="str">
        <f>VLOOKUP(VQO102,[14]AssetDetails_UEM!$A$3:$AH$1849,6,FALSE)</f>
        <v>Electrosurgical Units, Monopolar/Bipolar</v>
      </c>
      <c r="VQQ102" s="528" t="s">
        <v>213</v>
      </c>
      <c r="VQR102" s="529" t="str">
        <f>VLOOKUP(VQQ102,[14]AssetDetails_UEM!$A$3:$AH$1849,6,FALSE)</f>
        <v>Electrosurgical Units, Monopolar/Bipolar</v>
      </c>
      <c r="VQS102" s="528" t="s">
        <v>213</v>
      </c>
      <c r="VQT102" s="529" t="str">
        <f>VLOOKUP(VQS102,[14]AssetDetails_UEM!$A$3:$AH$1849,6,FALSE)</f>
        <v>Electrosurgical Units, Monopolar/Bipolar</v>
      </c>
      <c r="VQU102" s="528" t="s">
        <v>213</v>
      </c>
      <c r="VQV102" s="529" t="str">
        <f>VLOOKUP(VQU102,[14]AssetDetails_UEM!$A$3:$AH$1849,6,FALSE)</f>
        <v>Electrosurgical Units, Monopolar/Bipolar</v>
      </c>
      <c r="VQW102" s="528" t="s">
        <v>213</v>
      </c>
      <c r="VQX102" s="529" t="str">
        <f>VLOOKUP(VQW102,[14]AssetDetails_UEM!$A$3:$AH$1849,6,FALSE)</f>
        <v>Electrosurgical Units, Monopolar/Bipolar</v>
      </c>
      <c r="VQY102" s="528" t="s">
        <v>213</v>
      </c>
      <c r="VQZ102" s="529" t="str">
        <f>VLOOKUP(VQY102,[14]AssetDetails_UEM!$A$3:$AH$1849,6,FALSE)</f>
        <v>Electrosurgical Units, Monopolar/Bipolar</v>
      </c>
      <c r="VRA102" s="528" t="s">
        <v>213</v>
      </c>
      <c r="VRB102" s="529" t="str">
        <f>VLOOKUP(VRA102,[14]AssetDetails_UEM!$A$3:$AH$1849,6,FALSE)</f>
        <v>Electrosurgical Units, Monopolar/Bipolar</v>
      </c>
      <c r="VRC102" s="528" t="s">
        <v>213</v>
      </c>
      <c r="VRD102" s="529" t="str">
        <f>VLOOKUP(VRC102,[14]AssetDetails_UEM!$A$3:$AH$1849,6,FALSE)</f>
        <v>Electrosurgical Units, Monopolar/Bipolar</v>
      </c>
      <c r="VRE102" s="528" t="s">
        <v>213</v>
      </c>
      <c r="VRF102" s="529" t="str">
        <f>VLOOKUP(VRE102,[14]AssetDetails_UEM!$A$3:$AH$1849,6,FALSE)</f>
        <v>Electrosurgical Units, Monopolar/Bipolar</v>
      </c>
      <c r="VRG102" s="528" t="s">
        <v>213</v>
      </c>
      <c r="VRH102" s="529" t="str">
        <f>VLOOKUP(VRG102,[14]AssetDetails_UEM!$A$3:$AH$1849,6,FALSE)</f>
        <v>Electrosurgical Units, Monopolar/Bipolar</v>
      </c>
      <c r="VRI102" s="528" t="s">
        <v>213</v>
      </c>
      <c r="VRJ102" s="529" t="str">
        <f>VLOOKUP(VRI102,[14]AssetDetails_UEM!$A$3:$AH$1849,6,FALSE)</f>
        <v>Electrosurgical Units, Monopolar/Bipolar</v>
      </c>
      <c r="VRK102" s="528" t="s">
        <v>213</v>
      </c>
      <c r="VRL102" s="529" t="str">
        <f>VLOOKUP(VRK102,[14]AssetDetails_UEM!$A$3:$AH$1849,6,FALSE)</f>
        <v>Electrosurgical Units, Monopolar/Bipolar</v>
      </c>
      <c r="VRM102" s="528" t="s">
        <v>213</v>
      </c>
      <c r="VRN102" s="529" t="str">
        <f>VLOOKUP(VRM102,[14]AssetDetails_UEM!$A$3:$AH$1849,6,FALSE)</f>
        <v>Electrosurgical Units, Monopolar/Bipolar</v>
      </c>
      <c r="VRO102" s="528" t="s">
        <v>213</v>
      </c>
      <c r="VRP102" s="529" t="str">
        <f>VLOOKUP(VRO102,[14]AssetDetails_UEM!$A$3:$AH$1849,6,FALSE)</f>
        <v>Electrosurgical Units, Monopolar/Bipolar</v>
      </c>
      <c r="VRQ102" s="528" t="s">
        <v>213</v>
      </c>
      <c r="VRR102" s="529" t="str">
        <f>VLOOKUP(VRQ102,[14]AssetDetails_UEM!$A$3:$AH$1849,6,FALSE)</f>
        <v>Electrosurgical Units, Monopolar/Bipolar</v>
      </c>
      <c r="VRS102" s="528" t="s">
        <v>213</v>
      </c>
      <c r="VRT102" s="529" t="str">
        <f>VLOOKUP(VRS102,[14]AssetDetails_UEM!$A$3:$AH$1849,6,FALSE)</f>
        <v>Electrosurgical Units, Monopolar/Bipolar</v>
      </c>
      <c r="VRU102" s="528" t="s">
        <v>213</v>
      </c>
      <c r="VRV102" s="529" t="str">
        <f>VLOOKUP(VRU102,[14]AssetDetails_UEM!$A$3:$AH$1849,6,FALSE)</f>
        <v>Electrosurgical Units, Monopolar/Bipolar</v>
      </c>
      <c r="VRW102" s="528" t="s">
        <v>213</v>
      </c>
      <c r="VRX102" s="529" t="str">
        <f>VLOOKUP(VRW102,[14]AssetDetails_UEM!$A$3:$AH$1849,6,FALSE)</f>
        <v>Electrosurgical Units, Monopolar/Bipolar</v>
      </c>
      <c r="VRY102" s="528" t="s">
        <v>213</v>
      </c>
      <c r="VRZ102" s="529" t="str">
        <f>VLOOKUP(VRY102,[14]AssetDetails_UEM!$A$3:$AH$1849,6,FALSE)</f>
        <v>Electrosurgical Units, Monopolar/Bipolar</v>
      </c>
      <c r="VSA102" s="528" t="s">
        <v>213</v>
      </c>
      <c r="VSB102" s="529" t="str">
        <f>VLOOKUP(VSA102,[14]AssetDetails_UEM!$A$3:$AH$1849,6,FALSE)</f>
        <v>Electrosurgical Units, Monopolar/Bipolar</v>
      </c>
      <c r="VSC102" s="528" t="s">
        <v>213</v>
      </c>
      <c r="VSD102" s="529" t="str">
        <f>VLOOKUP(VSC102,[14]AssetDetails_UEM!$A$3:$AH$1849,6,FALSE)</f>
        <v>Electrosurgical Units, Monopolar/Bipolar</v>
      </c>
      <c r="VSE102" s="528" t="s">
        <v>213</v>
      </c>
      <c r="VSF102" s="529" t="str">
        <f>VLOOKUP(VSE102,[14]AssetDetails_UEM!$A$3:$AH$1849,6,FALSE)</f>
        <v>Electrosurgical Units, Monopolar/Bipolar</v>
      </c>
      <c r="VSG102" s="528" t="s">
        <v>213</v>
      </c>
      <c r="VSH102" s="529" t="str">
        <f>VLOOKUP(VSG102,[14]AssetDetails_UEM!$A$3:$AH$1849,6,FALSE)</f>
        <v>Electrosurgical Units, Monopolar/Bipolar</v>
      </c>
      <c r="VSI102" s="528" t="s">
        <v>213</v>
      </c>
      <c r="VSJ102" s="529" t="str">
        <f>VLOOKUP(VSI102,[14]AssetDetails_UEM!$A$3:$AH$1849,6,FALSE)</f>
        <v>Electrosurgical Units, Monopolar/Bipolar</v>
      </c>
      <c r="VSK102" s="528" t="s">
        <v>213</v>
      </c>
      <c r="VSL102" s="529" t="str">
        <f>VLOOKUP(VSK102,[14]AssetDetails_UEM!$A$3:$AH$1849,6,FALSE)</f>
        <v>Electrosurgical Units, Monopolar/Bipolar</v>
      </c>
      <c r="VSM102" s="528" t="s">
        <v>213</v>
      </c>
      <c r="VSN102" s="529" t="str">
        <f>VLOOKUP(VSM102,[14]AssetDetails_UEM!$A$3:$AH$1849,6,FALSE)</f>
        <v>Electrosurgical Units, Monopolar/Bipolar</v>
      </c>
      <c r="VSO102" s="528" t="s">
        <v>213</v>
      </c>
      <c r="VSP102" s="529" t="str">
        <f>VLOOKUP(VSO102,[14]AssetDetails_UEM!$A$3:$AH$1849,6,FALSE)</f>
        <v>Electrosurgical Units, Monopolar/Bipolar</v>
      </c>
      <c r="VSQ102" s="528" t="s">
        <v>213</v>
      </c>
      <c r="VSR102" s="529" t="str">
        <f>VLOOKUP(VSQ102,[14]AssetDetails_UEM!$A$3:$AH$1849,6,FALSE)</f>
        <v>Electrosurgical Units, Monopolar/Bipolar</v>
      </c>
      <c r="VSS102" s="528" t="s">
        <v>213</v>
      </c>
      <c r="VST102" s="529" t="str">
        <f>VLOOKUP(VSS102,[14]AssetDetails_UEM!$A$3:$AH$1849,6,FALSE)</f>
        <v>Electrosurgical Units, Monopolar/Bipolar</v>
      </c>
      <c r="VSU102" s="528" t="s">
        <v>213</v>
      </c>
      <c r="VSV102" s="529" t="str">
        <f>VLOOKUP(VSU102,[14]AssetDetails_UEM!$A$3:$AH$1849,6,FALSE)</f>
        <v>Electrosurgical Units, Monopolar/Bipolar</v>
      </c>
      <c r="VSW102" s="528" t="s">
        <v>213</v>
      </c>
      <c r="VSX102" s="529" t="str">
        <f>VLOOKUP(VSW102,[14]AssetDetails_UEM!$A$3:$AH$1849,6,FALSE)</f>
        <v>Electrosurgical Units, Monopolar/Bipolar</v>
      </c>
      <c r="VSY102" s="528" t="s">
        <v>213</v>
      </c>
      <c r="VSZ102" s="529" t="str">
        <f>VLOOKUP(VSY102,[14]AssetDetails_UEM!$A$3:$AH$1849,6,FALSE)</f>
        <v>Electrosurgical Units, Monopolar/Bipolar</v>
      </c>
      <c r="VTA102" s="528" t="s">
        <v>213</v>
      </c>
      <c r="VTB102" s="529" t="str">
        <f>VLOOKUP(VTA102,[14]AssetDetails_UEM!$A$3:$AH$1849,6,FALSE)</f>
        <v>Electrosurgical Units, Monopolar/Bipolar</v>
      </c>
      <c r="VTC102" s="528" t="s">
        <v>213</v>
      </c>
      <c r="VTD102" s="529" t="str">
        <f>VLOOKUP(VTC102,[14]AssetDetails_UEM!$A$3:$AH$1849,6,FALSE)</f>
        <v>Electrosurgical Units, Monopolar/Bipolar</v>
      </c>
      <c r="VTE102" s="528" t="s">
        <v>213</v>
      </c>
      <c r="VTF102" s="529" t="str">
        <f>VLOOKUP(VTE102,[14]AssetDetails_UEM!$A$3:$AH$1849,6,FALSE)</f>
        <v>Electrosurgical Units, Monopolar/Bipolar</v>
      </c>
      <c r="VTG102" s="528" t="s">
        <v>213</v>
      </c>
      <c r="VTH102" s="529" t="str">
        <f>VLOOKUP(VTG102,[14]AssetDetails_UEM!$A$3:$AH$1849,6,FALSE)</f>
        <v>Electrosurgical Units, Monopolar/Bipolar</v>
      </c>
      <c r="VTI102" s="528" t="s">
        <v>213</v>
      </c>
      <c r="VTJ102" s="529" t="str">
        <f>VLOOKUP(VTI102,[14]AssetDetails_UEM!$A$3:$AH$1849,6,FALSE)</f>
        <v>Electrosurgical Units, Monopolar/Bipolar</v>
      </c>
      <c r="VTK102" s="528" t="s">
        <v>213</v>
      </c>
      <c r="VTL102" s="529" t="str">
        <f>VLOOKUP(VTK102,[14]AssetDetails_UEM!$A$3:$AH$1849,6,FALSE)</f>
        <v>Electrosurgical Units, Monopolar/Bipolar</v>
      </c>
      <c r="VTM102" s="528" t="s">
        <v>213</v>
      </c>
      <c r="VTN102" s="529" t="str">
        <f>VLOOKUP(VTM102,[14]AssetDetails_UEM!$A$3:$AH$1849,6,FALSE)</f>
        <v>Electrosurgical Units, Monopolar/Bipolar</v>
      </c>
      <c r="VTO102" s="528" t="s">
        <v>213</v>
      </c>
      <c r="VTP102" s="529" t="str">
        <f>VLOOKUP(VTO102,[14]AssetDetails_UEM!$A$3:$AH$1849,6,FALSE)</f>
        <v>Electrosurgical Units, Monopolar/Bipolar</v>
      </c>
      <c r="VTQ102" s="528" t="s">
        <v>213</v>
      </c>
      <c r="VTR102" s="529" t="str">
        <f>VLOOKUP(VTQ102,[14]AssetDetails_UEM!$A$3:$AH$1849,6,FALSE)</f>
        <v>Electrosurgical Units, Monopolar/Bipolar</v>
      </c>
      <c r="VTS102" s="528" t="s">
        <v>213</v>
      </c>
      <c r="VTT102" s="529" t="str">
        <f>VLOOKUP(VTS102,[14]AssetDetails_UEM!$A$3:$AH$1849,6,FALSE)</f>
        <v>Electrosurgical Units, Monopolar/Bipolar</v>
      </c>
      <c r="VTU102" s="528" t="s">
        <v>213</v>
      </c>
      <c r="VTV102" s="529" t="str">
        <f>VLOOKUP(VTU102,[14]AssetDetails_UEM!$A$3:$AH$1849,6,FALSE)</f>
        <v>Electrosurgical Units, Monopolar/Bipolar</v>
      </c>
      <c r="VTW102" s="528" t="s">
        <v>213</v>
      </c>
      <c r="VTX102" s="529" t="str">
        <f>VLOOKUP(VTW102,[14]AssetDetails_UEM!$A$3:$AH$1849,6,FALSE)</f>
        <v>Electrosurgical Units, Monopolar/Bipolar</v>
      </c>
      <c r="VTY102" s="528" t="s">
        <v>213</v>
      </c>
      <c r="VTZ102" s="529" t="str">
        <f>VLOOKUP(VTY102,[14]AssetDetails_UEM!$A$3:$AH$1849,6,FALSE)</f>
        <v>Electrosurgical Units, Monopolar/Bipolar</v>
      </c>
      <c r="VUA102" s="528" t="s">
        <v>213</v>
      </c>
      <c r="VUB102" s="529" t="str">
        <f>VLOOKUP(VUA102,[14]AssetDetails_UEM!$A$3:$AH$1849,6,FALSE)</f>
        <v>Electrosurgical Units, Monopolar/Bipolar</v>
      </c>
      <c r="VUC102" s="528" t="s">
        <v>213</v>
      </c>
      <c r="VUD102" s="529" t="str">
        <f>VLOOKUP(VUC102,[14]AssetDetails_UEM!$A$3:$AH$1849,6,FALSE)</f>
        <v>Electrosurgical Units, Monopolar/Bipolar</v>
      </c>
      <c r="VUE102" s="528" t="s">
        <v>213</v>
      </c>
      <c r="VUF102" s="529" t="str">
        <f>VLOOKUP(VUE102,[14]AssetDetails_UEM!$A$3:$AH$1849,6,FALSE)</f>
        <v>Electrosurgical Units, Monopolar/Bipolar</v>
      </c>
      <c r="VUG102" s="528" t="s">
        <v>213</v>
      </c>
      <c r="VUH102" s="529" t="str">
        <f>VLOOKUP(VUG102,[14]AssetDetails_UEM!$A$3:$AH$1849,6,FALSE)</f>
        <v>Electrosurgical Units, Monopolar/Bipolar</v>
      </c>
      <c r="VUI102" s="528" t="s">
        <v>213</v>
      </c>
      <c r="VUJ102" s="529" t="str">
        <f>VLOOKUP(VUI102,[14]AssetDetails_UEM!$A$3:$AH$1849,6,FALSE)</f>
        <v>Electrosurgical Units, Monopolar/Bipolar</v>
      </c>
      <c r="VUK102" s="528" t="s">
        <v>213</v>
      </c>
      <c r="VUL102" s="529" t="str">
        <f>VLOOKUP(VUK102,[14]AssetDetails_UEM!$A$3:$AH$1849,6,FALSE)</f>
        <v>Electrosurgical Units, Monopolar/Bipolar</v>
      </c>
      <c r="VUM102" s="528" t="s">
        <v>213</v>
      </c>
      <c r="VUN102" s="529" t="str">
        <f>VLOOKUP(VUM102,[14]AssetDetails_UEM!$A$3:$AH$1849,6,FALSE)</f>
        <v>Electrosurgical Units, Monopolar/Bipolar</v>
      </c>
      <c r="VUO102" s="528" t="s">
        <v>213</v>
      </c>
      <c r="VUP102" s="529" t="str">
        <f>VLOOKUP(VUO102,[14]AssetDetails_UEM!$A$3:$AH$1849,6,FALSE)</f>
        <v>Electrosurgical Units, Monopolar/Bipolar</v>
      </c>
      <c r="VUQ102" s="528" t="s">
        <v>213</v>
      </c>
      <c r="VUR102" s="529" t="str">
        <f>VLOOKUP(VUQ102,[14]AssetDetails_UEM!$A$3:$AH$1849,6,FALSE)</f>
        <v>Electrosurgical Units, Monopolar/Bipolar</v>
      </c>
      <c r="VUS102" s="528" t="s">
        <v>213</v>
      </c>
      <c r="VUT102" s="529" t="str">
        <f>VLOOKUP(VUS102,[14]AssetDetails_UEM!$A$3:$AH$1849,6,FALSE)</f>
        <v>Electrosurgical Units, Monopolar/Bipolar</v>
      </c>
      <c r="VUU102" s="528" t="s">
        <v>213</v>
      </c>
      <c r="VUV102" s="529" t="str">
        <f>VLOOKUP(VUU102,[14]AssetDetails_UEM!$A$3:$AH$1849,6,FALSE)</f>
        <v>Electrosurgical Units, Monopolar/Bipolar</v>
      </c>
      <c r="VUW102" s="528" t="s">
        <v>213</v>
      </c>
      <c r="VUX102" s="529" t="str">
        <f>VLOOKUP(VUW102,[14]AssetDetails_UEM!$A$3:$AH$1849,6,FALSE)</f>
        <v>Electrosurgical Units, Monopolar/Bipolar</v>
      </c>
      <c r="VUY102" s="528" t="s">
        <v>213</v>
      </c>
      <c r="VUZ102" s="529" t="str">
        <f>VLOOKUP(VUY102,[14]AssetDetails_UEM!$A$3:$AH$1849,6,FALSE)</f>
        <v>Electrosurgical Units, Monopolar/Bipolar</v>
      </c>
      <c r="VVA102" s="528" t="s">
        <v>213</v>
      </c>
      <c r="VVB102" s="529" t="str">
        <f>VLOOKUP(VVA102,[14]AssetDetails_UEM!$A$3:$AH$1849,6,FALSE)</f>
        <v>Electrosurgical Units, Monopolar/Bipolar</v>
      </c>
      <c r="VVC102" s="528" t="s">
        <v>213</v>
      </c>
      <c r="VVD102" s="529" t="str">
        <f>VLOOKUP(VVC102,[14]AssetDetails_UEM!$A$3:$AH$1849,6,FALSE)</f>
        <v>Electrosurgical Units, Monopolar/Bipolar</v>
      </c>
      <c r="VVE102" s="528" t="s">
        <v>213</v>
      </c>
      <c r="VVF102" s="529" t="str">
        <f>VLOOKUP(VVE102,[14]AssetDetails_UEM!$A$3:$AH$1849,6,FALSE)</f>
        <v>Electrosurgical Units, Monopolar/Bipolar</v>
      </c>
      <c r="VVG102" s="528" t="s">
        <v>213</v>
      </c>
      <c r="VVH102" s="529" t="str">
        <f>VLOOKUP(VVG102,[14]AssetDetails_UEM!$A$3:$AH$1849,6,FALSE)</f>
        <v>Electrosurgical Units, Monopolar/Bipolar</v>
      </c>
      <c r="VVI102" s="528" t="s">
        <v>213</v>
      </c>
      <c r="VVJ102" s="529" t="str">
        <f>VLOOKUP(VVI102,[14]AssetDetails_UEM!$A$3:$AH$1849,6,FALSE)</f>
        <v>Electrosurgical Units, Monopolar/Bipolar</v>
      </c>
      <c r="VVK102" s="528" t="s">
        <v>213</v>
      </c>
      <c r="VVL102" s="529" t="str">
        <f>VLOOKUP(VVK102,[14]AssetDetails_UEM!$A$3:$AH$1849,6,FALSE)</f>
        <v>Electrosurgical Units, Monopolar/Bipolar</v>
      </c>
      <c r="VVM102" s="528" t="s">
        <v>213</v>
      </c>
      <c r="VVN102" s="529" t="str">
        <f>VLOOKUP(VVM102,[14]AssetDetails_UEM!$A$3:$AH$1849,6,FALSE)</f>
        <v>Electrosurgical Units, Monopolar/Bipolar</v>
      </c>
      <c r="VVO102" s="528" t="s">
        <v>213</v>
      </c>
      <c r="VVP102" s="529" t="str">
        <f>VLOOKUP(VVO102,[14]AssetDetails_UEM!$A$3:$AH$1849,6,FALSE)</f>
        <v>Electrosurgical Units, Monopolar/Bipolar</v>
      </c>
      <c r="VVQ102" s="528" t="s">
        <v>213</v>
      </c>
      <c r="VVR102" s="529" t="str">
        <f>VLOOKUP(VVQ102,[14]AssetDetails_UEM!$A$3:$AH$1849,6,FALSE)</f>
        <v>Electrosurgical Units, Monopolar/Bipolar</v>
      </c>
      <c r="VVS102" s="528" t="s">
        <v>213</v>
      </c>
      <c r="VVT102" s="529" t="str">
        <f>VLOOKUP(VVS102,[14]AssetDetails_UEM!$A$3:$AH$1849,6,FALSE)</f>
        <v>Electrosurgical Units, Monopolar/Bipolar</v>
      </c>
      <c r="VVU102" s="528" t="s">
        <v>213</v>
      </c>
      <c r="VVV102" s="529" t="str">
        <f>VLOOKUP(VVU102,[14]AssetDetails_UEM!$A$3:$AH$1849,6,FALSE)</f>
        <v>Electrosurgical Units, Monopolar/Bipolar</v>
      </c>
      <c r="VVW102" s="528" t="s">
        <v>213</v>
      </c>
      <c r="VVX102" s="529" t="str">
        <f>VLOOKUP(VVW102,[14]AssetDetails_UEM!$A$3:$AH$1849,6,FALSE)</f>
        <v>Electrosurgical Units, Monopolar/Bipolar</v>
      </c>
      <c r="VVY102" s="528" t="s">
        <v>213</v>
      </c>
      <c r="VVZ102" s="529" t="str">
        <f>VLOOKUP(VVY102,[14]AssetDetails_UEM!$A$3:$AH$1849,6,FALSE)</f>
        <v>Electrosurgical Units, Monopolar/Bipolar</v>
      </c>
      <c r="VWA102" s="528" t="s">
        <v>213</v>
      </c>
      <c r="VWB102" s="529" t="str">
        <f>VLOOKUP(VWA102,[14]AssetDetails_UEM!$A$3:$AH$1849,6,FALSE)</f>
        <v>Electrosurgical Units, Monopolar/Bipolar</v>
      </c>
      <c r="VWC102" s="528" t="s">
        <v>213</v>
      </c>
      <c r="VWD102" s="529" t="str">
        <f>VLOOKUP(VWC102,[14]AssetDetails_UEM!$A$3:$AH$1849,6,FALSE)</f>
        <v>Electrosurgical Units, Monopolar/Bipolar</v>
      </c>
      <c r="VWE102" s="528" t="s">
        <v>213</v>
      </c>
      <c r="VWF102" s="529" t="str">
        <f>VLOOKUP(VWE102,[14]AssetDetails_UEM!$A$3:$AH$1849,6,FALSE)</f>
        <v>Electrosurgical Units, Monopolar/Bipolar</v>
      </c>
      <c r="VWG102" s="528" t="s">
        <v>213</v>
      </c>
      <c r="VWH102" s="529" t="str">
        <f>VLOOKUP(VWG102,[14]AssetDetails_UEM!$A$3:$AH$1849,6,FALSE)</f>
        <v>Electrosurgical Units, Monopolar/Bipolar</v>
      </c>
      <c r="VWI102" s="528" t="s">
        <v>213</v>
      </c>
      <c r="VWJ102" s="529" t="str">
        <f>VLOOKUP(VWI102,[14]AssetDetails_UEM!$A$3:$AH$1849,6,FALSE)</f>
        <v>Electrosurgical Units, Monopolar/Bipolar</v>
      </c>
      <c r="VWK102" s="528" t="s">
        <v>213</v>
      </c>
      <c r="VWL102" s="529" t="str">
        <f>VLOOKUP(VWK102,[14]AssetDetails_UEM!$A$3:$AH$1849,6,FALSE)</f>
        <v>Electrosurgical Units, Monopolar/Bipolar</v>
      </c>
      <c r="VWM102" s="528" t="s">
        <v>213</v>
      </c>
      <c r="VWN102" s="529" t="str">
        <f>VLOOKUP(VWM102,[14]AssetDetails_UEM!$A$3:$AH$1849,6,FALSE)</f>
        <v>Electrosurgical Units, Monopolar/Bipolar</v>
      </c>
      <c r="VWO102" s="528" t="s">
        <v>213</v>
      </c>
      <c r="VWP102" s="529" t="str">
        <f>VLOOKUP(VWO102,[14]AssetDetails_UEM!$A$3:$AH$1849,6,FALSE)</f>
        <v>Electrosurgical Units, Monopolar/Bipolar</v>
      </c>
      <c r="VWQ102" s="528" t="s">
        <v>213</v>
      </c>
      <c r="VWR102" s="529" t="str">
        <f>VLOOKUP(VWQ102,[14]AssetDetails_UEM!$A$3:$AH$1849,6,FALSE)</f>
        <v>Electrosurgical Units, Monopolar/Bipolar</v>
      </c>
      <c r="VWS102" s="528" t="s">
        <v>213</v>
      </c>
      <c r="VWT102" s="529" t="str">
        <f>VLOOKUP(VWS102,[14]AssetDetails_UEM!$A$3:$AH$1849,6,FALSE)</f>
        <v>Electrosurgical Units, Monopolar/Bipolar</v>
      </c>
      <c r="VWU102" s="528" t="s">
        <v>213</v>
      </c>
      <c r="VWV102" s="529" t="str">
        <f>VLOOKUP(VWU102,[14]AssetDetails_UEM!$A$3:$AH$1849,6,FALSE)</f>
        <v>Electrosurgical Units, Monopolar/Bipolar</v>
      </c>
      <c r="VWW102" s="528" t="s">
        <v>213</v>
      </c>
      <c r="VWX102" s="529" t="str">
        <f>VLOOKUP(VWW102,[14]AssetDetails_UEM!$A$3:$AH$1849,6,FALSE)</f>
        <v>Electrosurgical Units, Monopolar/Bipolar</v>
      </c>
      <c r="VWY102" s="528" t="s">
        <v>213</v>
      </c>
      <c r="VWZ102" s="529" t="str">
        <f>VLOOKUP(VWY102,[14]AssetDetails_UEM!$A$3:$AH$1849,6,FALSE)</f>
        <v>Electrosurgical Units, Monopolar/Bipolar</v>
      </c>
      <c r="VXA102" s="528" t="s">
        <v>213</v>
      </c>
      <c r="VXB102" s="529" t="str">
        <f>VLOOKUP(VXA102,[14]AssetDetails_UEM!$A$3:$AH$1849,6,FALSE)</f>
        <v>Electrosurgical Units, Monopolar/Bipolar</v>
      </c>
      <c r="VXC102" s="528" t="s">
        <v>213</v>
      </c>
      <c r="VXD102" s="529" t="str">
        <f>VLOOKUP(VXC102,[14]AssetDetails_UEM!$A$3:$AH$1849,6,FALSE)</f>
        <v>Electrosurgical Units, Monopolar/Bipolar</v>
      </c>
      <c r="VXE102" s="528" t="s">
        <v>213</v>
      </c>
      <c r="VXF102" s="529" t="str">
        <f>VLOOKUP(VXE102,[14]AssetDetails_UEM!$A$3:$AH$1849,6,FALSE)</f>
        <v>Electrosurgical Units, Monopolar/Bipolar</v>
      </c>
      <c r="VXG102" s="528" t="s">
        <v>213</v>
      </c>
      <c r="VXH102" s="529" t="str">
        <f>VLOOKUP(VXG102,[14]AssetDetails_UEM!$A$3:$AH$1849,6,FALSE)</f>
        <v>Electrosurgical Units, Monopolar/Bipolar</v>
      </c>
      <c r="VXI102" s="528" t="s">
        <v>213</v>
      </c>
      <c r="VXJ102" s="529" t="str">
        <f>VLOOKUP(VXI102,[14]AssetDetails_UEM!$A$3:$AH$1849,6,FALSE)</f>
        <v>Electrosurgical Units, Monopolar/Bipolar</v>
      </c>
      <c r="VXK102" s="528" t="s">
        <v>213</v>
      </c>
      <c r="VXL102" s="529" t="str">
        <f>VLOOKUP(VXK102,[14]AssetDetails_UEM!$A$3:$AH$1849,6,FALSE)</f>
        <v>Electrosurgical Units, Monopolar/Bipolar</v>
      </c>
      <c r="VXM102" s="528" t="s">
        <v>213</v>
      </c>
      <c r="VXN102" s="529" t="str">
        <f>VLOOKUP(VXM102,[14]AssetDetails_UEM!$A$3:$AH$1849,6,FALSE)</f>
        <v>Electrosurgical Units, Monopolar/Bipolar</v>
      </c>
      <c r="VXO102" s="528" t="s">
        <v>213</v>
      </c>
      <c r="VXP102" s="529" t="str">
        <f>VLOOKUP(VXO102,[14]AssetDetails_UEM!$A$3:$AH$1849,6,FALSE)</f>
        <v>Electrosurgical Units, Monopolar/Bipolar</v>
      </c>
      <c r="VXQ102" s="528" t="s">
        <v>213</v>
      </c>
      <c r="VXR102" s="529" t="str">
        <f>VLOOKUP(VXQ102,[14]AssetDetails_UEM!$A$3:$AH$1849,6,FALSE)</f>
        <v>Electrosurgical Units, Monopolar/Bipolar</v>
      </c>
      <c r="VXS102" s="528" t="s">
        <v>213</v>
      </c>
      <c r="VXT102" s="529" t="str">
        <f>VLOOKUP(VXS102,[14]AssetDetails_UEM!$A$3:$AH$1849,6,FALSE)</f>
        <v>Electrosurgical Units, Monopolar/Bipolar</v>
      </c>
      <c r="VXU102" s="528" t="s">
        <v>213</v>
      </c>
      <c r="VXV102" s="529" t="str">
        <f>VLOOKUP(VXU102,[14]AssetDetails_UEM!$A$3:$AH$1849,6,FALSE)</f>
        <v>Electrosurgical Units, Monopolar/Bipolar</v>
      </c>
      <c r="VXW102" s="528" t="s">
        <v>213</v>
      </c>
      <c r="VXX102" s="529" t="str">
        <f>VLOOKUP(VXW102,[14]AssetDetails_UEM!$A$3:$AH$1849,6,FALSE)</f>
        <v>Electrosurgical Units, Monopolar/Bipolar</v>
      </c>
      <c r="VXY102" s="528" t="s">
        <v>213</v>
      </c>
      <c r="VXZ102" s="529" t="str">
        <f>VLOOKUP(VXY102,[14]AssetDetails_UEM!$A$3:$AH$1849,6,FALSE)</f>
        <v>Electrosurgical Units, Monopolar/Bipolar</v>
      </c>
      <c r="VYA102" s="528" t="s">
        <v>213</v>
      </c>
      <c r="VYB102" s="529" t="str">
        <f>VLOOKUP(VYA102,[14]AssetDetails_UEM!$A$3:$AH$1849,6,FALSE)</f>
        <v>Electrosurgical Units, Monopolar/Bipolar</v>
      </c>
      <c r="VYC102" s="528" t="s">
        <v>213</v>
      </c>
      <c r="VYD102" s="529" t="str">
        <f>VLOOKUP(VYC102,[14]AssetDetails_UEM!$A$3:$AH$1849,6,FALSE)</f>
        <v>Electrosurgical Units, Monopolar/Bipolar</v>
      </c>
      <c r="VYE102" s="528" t="s">
        <v>213</v>
      </c>
      <c r="VYF102" s="529" t="str">
        <f>VLOOKUP(VYE102,[14]AssetDetails_UEM!$A$3:$AH$1849,6,FALSE)</f>
        <v>Electrosurgical Units, Monopolar/Bipolar</v>
      </c>
      <c r="VYG102" s="528" t="s">
        <v>213</v>
      </c>
      <c r="VYH102" s="529" t="str">
        <f>VLOOKUP(VYG102,[14]AssetDetails_UEM!$A$3:$AH$1849,6,FALSE)</f>
        <v>Electrosurgical Units, Monopolar/Bipolar</v>
      </c>
      <c r="VYI102" s="528" t="s">
        <v>213</v>
      </c>
      <c r="VYJ102" s="529" t="str">
        <f>VLOOKUP(VYI102,[14]AssetDetails_UEM!$A$3:$AH$1849,6,FALSE)</f>
        <v>Electrosurgical Units, Monopolar/Bipolar</v>
      </c>
      <c r="VYK102" s="528" t="s">
        <v>213</v>
      </c>
      <c r="VYL102" s="529" t="str">
        <f>VLOOKUP(VYK102,[14]AssetDetails_UEM!$A$3:$AH$1849,6,FALSE)</f>
        <v>Electrosurgical Units, Monopolar/Bipolar</v>
      </c>
      <c r="VYM102" s="528" t="s">
        <v>213</v>
      </c>
      <c r="VYN102" s="529" t="str">
        <f>VLOOKUP(VYM102,[14]AssetDetails_UEM!$A$3:$AH$1849,6,FALSE)</f>
        <v>Electrosurgical Units, Monopolar/Bipolar</v>
      </c>
      <c r="VYO102" s="528" t="s">
        <v>213</v>
      </c>
      <c r="VYP102" s="529" t="str">
        <f>VLOOKUP(VYO102,[14]AssetDetails_UEM!$A$3:$AH$1849,6,FALSE)</f>
        <v>Electrosurgical Units, Monopolar/Bipolar</v>
      </c>
      <c r="VYQ102" s="528" t="s">
        <v>213</v>
      </c>
      <c r="VYR102" s="529" t="str">
        <f>VLOOKUP(VYQ102,[14]AssetDetails_UEM!$A$3:$AH$1849,6,FALSE)</f>
        <v>Electrosurgical Units, Monopolar/Bipolar</v>
      </c>
      <c r="VYS102" s="528" t="s">
        <v>213</v>
      </c>
      <c r="VYT102" s="529" t="str">
        <f>VLOOKUP(VYS102,[14]AssetDetails_UEM!$A$3:$AH$1849,6,FALSE)</f>
        <v>Electrosurgical Units, Monopolar/Bipolar</v>
      </c>
      <c r="VYU102" s="528" t="s">
        <v>213</v>
      </c>
      <c r="VYV102" s="529" t="str">
        <f>VLOOKUP(VYU102,[14]AssetDetails_UEM!$A$3:$AH$1849,6,FALSE)</f>
        <v>Electrosurgical Units, Monopolar/Bipolar</v>
      </c>
      <c r="VYW102" s="528" t="s">
        <v>213</v>
      </c>
      <c r="VYX102" s="529" t="str">
        <f>VLOOKUP(VYW102,[14]AssetDetails_UEM!$A$3:$AH$1849,6,FALSE)</f>
        <v>Electrosurgical Units, Monopolar/Bipolar</v>
      </c>
      <c r="VYY102" s="528" t="s">
        <v>213</v>
      </c>
      <c r="VYZ102" s="529" t="str">
        <f>VLOOKUP(VYY102,[14]AssetDetails_UEM!$A$3:$AH$1849,6,FALSE)</f>
        <v>Electrosurgical Units, Monopolar/Bipolar</v>
      </c>
      <c r="VZA102" s="528" t="s">
        <v>213</v>
      </c>
      <c r="VZB102" s="529" t="str">
        <f>VLOOKUP(VZA102,[14]AssetDetails_UEM!$A$3:$AH$1849,6,FALSE)</f>
        <v>Electrosurgical Units, Monopolar/Bipolar</v>
      </c>
      <c r="VZC102" s="528" t="s">
        <v>213</v>
      </c>
      <c r="VZD102" s="529" t="str">
        <f>VLOOKUP(VZC102,[14]AssetDetails_UEM!$A$3:$AH$1849,6,FALSE)</f>
        <v>Electrosurgical Units, Monopolar/Bipolar</v>
      </c>
      <c r="VZE102" s="528" t="s">
        <v>213</v>
      </c>
      <c r="VZF102" s="529" t="str">
        <f>VLOOKUP(VZE102,[14]AssetDetails_UEM!$A$3:$AH$1849,6,FALSE)</f>
        <v>Electrosurgical Units, Monopolar/Bipolar</v>
      </c>
      <c r="VZG102" s="528" t="s">
        <v>213</v>
      </c>
      <c r="VZH102" s="529" t="str">
        <f>VLOOKUP(VZG102,[14]AssetDetails_UEM!$A$3:$AH$1849,6,FALSE)</f>
        <v>Electrosurgical Units, Monopolar/Bipolar</v>
      </c>
      <c r="VZI102" s="528" t="s">
        <v>213</v>
      </c>
      <c r="VZJ102" s="529" t="str">
        <f>VLOOKUP(VZI102,[14]AssetDetails_UEM!$A$3:$AH$1849,6,FALSE)</f>
        <v>Electrosurgical Units, Monopolar/Bipolar</v>
      </c>
      <c r="VZK102" s="528" t="s">
        <v>213</v>
      </c>
      <c r="VZL102" s="529" t="str">
        <f>VLOOKUP(VZK102,[14]AssetDetails_UEM!$A$3:$AH$1849,6,FALSE)</f>
        <v>Electrosurgical Units, Monopolar/Bipolar</v>
      </c>
      <c r="VZM102" s="528" t="s">
        <v>213</v>
      </c>
      <c r="VZN102" s="529" t="str">
        <f>VLOOKUP(VZM102,[14]AssetDetails_UEM!$A$3:$AH$1849,6,FALSE)</f>
        <v>Electrosurgical Units, Monopolar/Bipolar</v>
      </c>
      <c r="VZO102" s="528" t="s">
        <v>213</v>
      </c>
      <c r="VZP102" s="529" t="str">
        <f>VLOOKUP(VZO102,[14]AssetDetails_UEM!$A$3:$AH$1849,6,FALSE)</f>
        <v>Electrosurgical Units, Monopolar/Bipolar</v>
      </c>
      <c r="VZQ102" s="528" t="s">
        <v>213</v>
      </c>
      <c r="VZR102" s="529" t="str">
        <f>VLOOKUP(VZQ102,[14]AssetDetails_UEM!$A$3:$AH$1849,6,FALSE)</f>
        <v>Electrosurgical Units, Monopolar/Bipolar</v>
      </c>
      <c r="VZS102" s="528" t="s">
        <v>213</v>
      </c>
      <c r="VZT102" s="529" t="str">
        <f>VLOOKUP(VZS102,[14]AssetDetails_UEM!$A$3:$AH$1849,6,FALSE)</f>
        <v>Electrosurgical Units, Monopolar/Bipolar</v>
      </c>
      <c r="VZU102" s="528" t="s">
        <v>213</v>
      </c>
      <c r="VZV102" s="529" t="str">
        <f>VLOOKUP(VZU102,[14]AssetDetails_UEM!$A$3:$AH$1849,6,FALSE)</f>
        <v>Electrosurgical Units, Monopolar/Bipolar</v>
      </c>
      <c r="VZW102" s="528" t="s">
        <v>213</v>
      </c>
      <c r="VZX102" s="529" t="str">
        <f>VLOOKUP(VZW102,[14]AssetDetails_UEM!$A$3:$AH$1849,6,FALSE)</f>
        <v>Electrosurgical Units, Monopolar/Bipolar</v>
      </c>
      <c r="VZY102" s="528" t="s">
        <v>213</v>
      </c>
      <c r="VZZ102" s="529" t="str">
        <f>VLOOKUP(VZY102,[14]AssetDetails_UEM!$A$3:$AH$1849,6,FALSE)</f>
        <v>Electrosurgical Units, Monopolar/Bipolar</v>
      </c>
      <c r="WAA102" s="528" t="s">
        <v>213</v>
      </c>
      <c r="WAB102" s="529" t="str">
        <f>VLOOKUP(WAA102,[14]AssetDetails_UEM!$A$3:$AH$1849,6,FALSE)</f>
        <v>Electrosurgical Units, Monopolar/Bipolar</v>
      </c>
      <c r="WAC102" s="528" t="s">
        <v>213</v>
      </c>
      <c r="WAD102" s="529" t="str">
        <f>VLOOKUP(WAC102,[14]AssetDetails_UEM!$A$3:$AH$1849,6,FALSE)</f>
        <v>Electrosurgical Units, Monopolar/Bipolar</v>
      </c>
      <c r="WAE102" s="528" t="s">
        <v>213</v>
      </c>
      <c r="WAF102" s="529" t="str">
        <f>VLOOKUP(WAE102,[14]AssetDetails_UEM!$A$3:$AH$1849,6,FALSE)</f>
        <v>Electrosurgical Units, Monopolar/Bipolar</v>
      </c>
      <c r="WAG102" s="528" t="s">
        <v>213</v>
      </c>
      <c r="WAH102" s="529" t="str">
        <f>VLOOKUP(WAG102,[14]AssetDetails_UEM!$A$3:$AH$1849,6,FALSE)</f>
        <v>Electrosurgical Units, Monopolar/Bipolar</v>
      </c>
      <c r="WAI102" s="528" t="s">
        <v>213</v>
      </c>
      <c r="WAJ102" s="529" t="str">
        <f>VLOOKUP(WAI102,[14]AssetDetails_UEM!$A$3:$AH$1849,6,FALSE)</f>
        <v>Electrosurgical Units, Monopolar/Bipolar</v>
      </c>
      <c r="WAK102" s="528" t="s">
        <v>213</v>
      </c>
      <c r="WAL102" s="529" t="str">
        <f>VLOOKUP(WAK102,[14]AssetDetails_UEM!$A$3:$AH$1849,6,FALSE)</f>
        <v>Electrosurgical Units, Monopolar/Bipolar</v>
      </c>
      <c r="WAM102" s="528" t="s">
        <v>213</v>
      </c>
      <c r="WAN102" s="529" t="str">
        <f>VLOOKUP(WAM102,[14]AssetDetails_UEM!$A$3:$AH$1849,6,FALSE)</f>
        <v>Electrosurgical Units, Monopolar/Bipolar</v>
      </c>
      <c r="WAO102" s="528" t="s">
        <v>213</v>
      </c>
      <c r="WAP102" s="529" t="str">
        <f>VLOOKUP(WAO102,[14]AssetDetails_UEM!$A$3:$AH$1849,6,FALSE)</f>
        <v>Electrosurgical Units, Monopolar/Bipolar</v>
      </c>
      <c r="WAQ102" s="528" t="s">
        <v>213</v>
      </c>
      <c r="WAR102" s="529" t="str">
        <f>VLOOKUP(WAQ102,[14]AssetDetails_UEM!$A$3:$AH$1849,6,FALSE)</f>
        <v>Electrosurgical Units, Monopolar/Bipolar</v>
      </c>
      <c r="WAS102" s="528" t="s">
        <v>213</v>
      </c>
      <c r="WAT102" s="529" t="str">
        <f>VLOOKUP(WAS102,[14]AssetDetails_UEM!$A$3:$AH$1849,6,FALSE)</f>
        <v>Electrosurgical Units, Monopolar/Bipolar</v>
      </c>
      <c r="WAU102" s="528" t="s">
        <v>213</v>
      </c>
      <c r="WAV102" s="529" t="str">
        <f>VLOOKUP(WAU102,[14]AssetDetails_UEM!$A$3:$AH$1849,6,FALSE)</f>
        <v>Electrosurgical Units, Monopolar/Bipolar</v>
      </c>
      <c r="WAW102" s="528" t="s">
        <v>213</v>
      </c>
      <c r="WAX102" s="529" t="str">
        <f>VLOOKUP(WAW102,[14]AssetDetails_UEM!$A$3:$AH$1849,6,FALSE)</f>
        <v>Electrosurgical Units, Monopolar/Bipolar</v>
      </c>
      <c r="WAY102" s="528" t="s">
        <v>213</v>
      </c>
      <c r="WAZ102" s="529" t="str">
        <f>VLOOKUP(WAY102,[14]AssetDetails_UEM!$A$3:$AH$1849,6,FALSE)</f>
        <v>Electrosurgical Units, Monopolar/Bipolar</v>
      </c>
      <c r="WBA102" s="528" t="s">
        <v>213</v>
      </c>
      <c r="WBB102" s="529" t="str">
        <f>VLOOKUP(WBA102,[14]AssetDetails_UEM!$A$3:$AH$1849,6,FALSE)</f>
        <v>Electrosurgical Units, Monopolar/Bipolar</v>
      </c>
      <c r="WBC102" s="528" t="s">
        <v>213</v>
      </c>
      <c r="WBD102" s="529" t="str">
        <f>VLOOKUP(WBC102,[14]AssetDetails_UEM!$A$3:$AH$1849,6,FALSE)</f>
        <v>Electrosurgical Units, Monopolar/Bipolar</v>
      </c>
      <c r="WBE102" s="528" t="s">
        <v>213</v>
      </c>
      <c r="WBF102" s="529" t="str">
        <f>VLOOKUP(WBE102,[14]AssetDetails_UEM!$A$3:$AH$1849,6,FALSE)</f>
        <v>Electrosurgical Units, Monopolar/Bipolar</v>
      </c>
      <c r="WBG102" s="528" t="s">
        <v>213</v>
      </c>
      <c r="WBH102" s="529" t="str">
        <f>VLOOKUP(WBG102,[14]AssetDetails_UEM!$A$3:$AH$1849,6,FALSE)</f>
        <v>Electrosurgical Units, Monopolar/Bipolar</v>
      </c>
      <c r="WBI102" s="528" t="s">
        <v>213</v>
      </c>
      <c r="WBJ102" s="529" t="str">
        <f>VLOOKUP(WBI102,[14]AssetDetails_UEM!$A$3:$AH$1849,6,FALSE)</f>
        <v>Electrosurgical Units, Monopolar/Bipolar</v>
      </c>
      <c r="WBK102" s="528" t="s">
        <v>213</v>
      </c>
      <c r="WBL102" s="529" t="str">
        <f>VLOOKUP(WBK102,[14]AssetDetails_UEM!$A$3:$AH$1849,6,FALSE)</f>
        <v>Electrosurgical Units, Monopolar/Bipolar</v>
      </c>
      <c r="WBM102" s="528" t="s">
        <v>213</v>
      </c>
      <c r="WBN102" s="529" t="str">
        <f>VLOOKUP(WBM102,[14]AssetDetails_UEM!$A$3:$AH$1849,6,FALSE)</f>
        <v>Electrosurgical Units, Monopolar/Bipolar</v>
      </c>
      <c r="WBO102" s="528" t="s">
        <v>213</v>
      </c>
      <c r="WBP102" s="529" t="str">
        <f>VLOOKUP(WBO102,[14]AssetDetails_UEM!$A$3:$AH$1849,6,FALSE)</f>
        <v>Electrosurgical Units, Monopolar/Bipolar</v>
      </c>
      <c r="WBQ102" s="528" t="s">
        <v>213</v>
      </c>
      <c r="WBR102" s="529" t="str">
        <f>VLOOKUP(WBQ102,[14]AssetDetails_UEM!$A$3:$AH$1849,6,FALSE)</f>
        <v>Electrosurgical Units, Monopolar/Bipolar</v>
      </c>
      <c r="WBS102" s="528" t="s">
        <v>213</v>
      </c>
      <c r="WBT102" s="529" t="str">
        <f>VLOOKUP(WBS102,[14]AssetDetails_UEM!$A$3:$AH$1849,6,FALSE)</f>
        <v>Electrosurgical Units, Monopolar/Bipolar</v>
      </c>
      <c r="WBU102" s="528" t="s">
        <v>213</v>
      </c>
      <c r="WBV102" s="529" t="str">
        <f>VLOOKUP(WBU102,[14]AssetDetails_UEM!$A$3:$AH$1849,6,FALSE)</f>
        <v>Electrosurgical Units, Monopolar/Bipolar</v>
      </c>
      <c r="WBW102" s="528" t="s">
        <v>213</v>
      </c>
      <c r="WBX102" s="529" t="str">
        <f>VLOOKUP(WBW102,[14]AssetDetails_UEM!$A$3:$AH$1849,6,FALSE)</f>
        <v>Electrosurgical Units, Monopolar/Bipolar</v>
      </c>
      <c r="WBY102" s="528" t="s">
        <v>213</v>
      </c>
      <c r="WBZ102" s="529" t="str">
        <f>VLOOKUP(WBY102,[14]AssetDetails_UEM!$A$3:$AH$1849,6,FALSE)</f>
        <v>Electrosurgical Units, Monopolar/Bipolar</v>
      </c>
      <c r="WCA102" s="528" t="s">
        <v>213</v>
      </c>
      <c r="WCB102" s="529" t="str">
        <f>VLOOKUP(WCA102,[14]AssetDetails_UEM!$A$3:$AH$1849,6,FALSE)</f>
        <v>Electrosurgical Units, Monopolar/Bipolar</v>
      </c>
      <c r="WCC102" s="528" t="s">
        <v>213</v>
      </c>
      <c r="WCD102" s="529" t="str">
        <f>VLOOKUP(WCC102,[14]AssetDetails_UEM!$A$3:$AH$1849,6,FALSE)</f>
        <v>Electrosurgical Units, Monopolar/Bipolar</v>
      </c>
      <c r="WCE102" s="528" t="s">
        <v>213</v>
      </c>
      <c r="WCF102" s="529" t="str">
        <f>VLOOKUP(WCE102,[14]AssetDetails_UEM!$A$3:$AH$1849,6,FALSE)</f>
        <v>Electrosurgical Units, Monopolar/Bipolar</v>
      </c>
      <c r="WCG102" s="528" t="s">
        <v>213</v>
      </c>
      <c r="WCH102" s="529" t="str">
        <f>VLOOKUP(WCG102,[14]AssetDetails_UEM!$A$3:$AH$1849,6,FALSE)</f>
        <v>Electrosurgical Units, Monopolar/Bipolar</v>
      </c>
      <c r="WCI102" s="528" t="s">
        <v>213</v>
      </c>
      <c r="WCJ102" s="529" t="str">
        <f>VLOOKUP(WCI102,[14]AssetDetails_UEM!$A$3:$AH$1849,6,FALSE)</f>
        <v>Electrosurgical Units, Monopolar/Bipolar</v>
      </c>
      <c r="WCK102" s="528" t="s">
        <v>213</v>
      </c>
      <c r="WCL102" s="529" t="str">
        <f>VLOOKUP(WCK102,[14]AssetDetails_UEM!$A$3:$AH$1849,6,FALSE)</f>
        <v>Electrosurgical Units, Monopolar/Bipolar</v>
      </c>
      <c r="WCM102" s="528" t="s">
        <v>213</v>
      </c>
      <c r="WCN102" s="529" t="str">
        <f>VLOOKUP(WCM102,[14]AssetDetails_UEM!$A$3:$AH$1849,6,FALSE)</f>
        <v>Electrosurgical Units, Monopolar/Bipolar</v>
      </c>
      <c r="WCO102" s="528" t="s">
        <v>213</v>
      </c>
      <c r="WCP102" s="529" t="str">
        <f>VLOOKUP(WCO102,[14]AssetDetails_UEM!$A$3:$AH$1849,6,FALSE)</f>
        <v>Electrosurgical Units, Monopolar/Bipolar</v>
      </c>
      <c r="WCQ102" s="528" t="s">
        <v>213</v>
      </c>
      <c r="WCR102" s="529" t="str">
        <f>VLOOKUP(WCQ102,[14]AssetDetails_UEM!$A$3:$AH$1849,6,FALSE)</f>
        <v>Electrosurgical Units, Monopolar/Bipolar</v>
      </c>
      <c r="WCS102" s="528" t="s">
        <v>213</v>
      </c>
      <c r="WCT102" s="529" t="str">
        <f>VLOOKUP(WCS102,[14]AssetDetails_UEM!$A$3:$AH$1849,6,FALSE)</f>
        <v>Electrosurgical Units, Monopolar/Bipolar</v>
      </c>
      <c r="WCU102" s="528" t="s">
        <v>213</v>
      </c>
      <c r="WCV102" s="529" t="str">
        <f>VLOOKUP(WCU102,[14]AssetDetails_UEM!$A$3:$AH$1849,6,FALSE)</f>
        <v>Electrosurgical Units, Monopolar/Bipolar</v>
      </c>
      <c r="WCW102" s="528" t="s">
        <v>213</v>
      </c>
      <c r="WCX102" s="529" t="str">
        <f>VLOOKUP(WCW102,[14]AssetDetails_UEM!$A$3:$AH$1849,6,FALSE)</f>
        <v>Electrosurgical Units, Monopolar/Bipolar</v>
      </c>
      <c r="WCY102" s="528" t="s">
        <v>213</v>
      </c>
      <c r="WCZ102" s="529" t="str">
        <f>VLOOKUP(WCY102,[14]AssetDetails_UEM!$A$3:$AH$1849,6,FALSE)</f>
        <v>Electrosurgical Units, Monopolar/Bipolar</v>
      </c>
      <c r="WDA102" s="528" t="s">
        <v>213</v>
      </c>
      <c r="WDB102" s="529" t="str">
        <f>VLOOKUP(WDA102,[14]AssetDetails_UEM!$A$3:$AH$1849,6,FALSE)</f>
        <v>Electrosurgical Units, Monopolar/Bipolar</v>
      </c>
      <c r="WDC102" s="528" t="s">
        <v>213</v>
      </c>
      <c r="WDD102" s="529" t="str">
        <f>VLOOKUP(WDC102,[14]AssetDetails_UEM!$A$3:$AH$1849,6,FALSE)</f>
        <v>Electrosurgical Units, Monopolar/Bipolar</v>
      </c>
      <c r="WDE102" s="528" t="s">
        <v>213</v>
      </c>
      <c r="WDF102" s="529" t="str">
        <f>VLOOKUP(WDE102,[14]AssetDetails_UEM!$A$3:$AH$1849,6,FALSE)</f>
        <v>Electrosurgical Units, Monopolar/Bipolar</v>
      </c>
      <c r="WDG102" s="528" t="s">
        <v>213</v>
      </c>
      <c r="WDH102" s="529" t="str">
        <f>VLOOKUP(WDG102,[14]AssetDetails_UEM!$A$3:$AH$1849,6,FALSE)</f>
        <v>Electrosurgical Units, Monopolar/Bipolar</v>
      </c>
      <c r="WDI102" s="528" t="s">
        <v>213</v>
      </c>
      <c r="WDJ102" s="529" t="str">
        <f>VLOOKUP(WDI102,[14]AssetDetails_UEM!$A$3:$AH$1849,6,FALSE)</f>
        <v>Electrosurgical Units, Monopolar/Bipolar</v>
      </c>
      <c r="WDK102" s="528" t="s">
        <v>213</v>
      </c>
      <c r="WDL102" s="529" t="str">
        <f>VLOOKUP(WDK102,[14]AssetDetails_UEM!$A$3:$AH$1849,6,FALSE)</f>
        <v>Electrosurgical Units, Monopolar/Bipolar</v>
      </c>
      <c r="WDM102" s="528" t="s">
        <v>213</v>
      </c>
      <c r="WDN102" s="529" t="str">
        <f>VLOOKUP(WDM102,[14]AssetDetails_UEM!$A$3:$AH$1849,6,FALSE)</f>
        <v>Electrosurgical Units, Monopolar/Bipolar</v>
      </c>
      <c r="WDO102" s="528" t="s">
        <v>213</v>
      </c>
      <c r="WDP102" s="529" t="str">
        <f>VLOOKUP(WDO102,[14]AssetDetails_UEM!$A$3:$AH$1849,6,FALSE)</f>
        <v>Electrosurgical Units, Monopolar/Bipolar</v>
      </c>
      <c r="WDQ102" s="528" t="s">
        <v>213</v>
      </c>
      <c r="WDR102" s="529" t="str">
        <f>VLOOKUP(WDQ102,[14]AssetDetails_UEM!$A$3:$AH$1849,6,FALSE)</f>
        <v>Electrosurgical Units, Monopolar/Bipolar</v>
      </c>
      <c r="WDS102" s="528" t="s">
        <v>213</v>
      </c>
      <c r="WDT102" s="529" t="str">
        <f>VLOOKUP(WDS102,[14]AssetDetails_UEM!$A$3:$AH$1849,6,FALSE)</f>
        <v>Electrosurgical Units, Monopolar/Bipolar</v>
      </c>
      <c r="WDU102" s="528" t="s">
        <v>213</v>
      </c>
      <c r="WDV102" s="529" t="str">
        <f>VLOOKUP(WDU102,[14]AssetDetails_UEM!$A$3:$AH$1849,6,FALSE)</f>
        <v>Electrosurgical Units, Monopolar/Bipolar</v>
      </c>
      <c r="WDW102" s="528" t="s">
        <v>213</v>
      </c>
      <c r="WDX102" s="529" t="str">
        <f>VLOOKUP(WDW102,[14]AssetDetails_UEM!$A$3:$AH$1849,6,FALSE)</f>
        <v>Electrosurgical Units, Monopolar/Bipolar</v>
      </c>
      <c r="WDY102" s="528" t="s">
        <v>213</v>
      </c>
      <c r="WDZ102" s="529" t="str">
        <f>VLOOKUP(WDY102,[14]AssetDetails_UEM!$A$3:$AH$1849,6,FALSE)</f>
        <v>Electrosurgical Units, Monopolar/Bipolar</v>
      </c>
      <c r="WEA102" s="528" t="s">
        <v>213</v>
      </c>
      <c r="WEB102" s="529" t="str">
        <f>VLOOKUP(WEA102,[14]AssetDetails_UEM!$A$3:$AH$1849,6,FALSE)</f>
        <v>Electrosurgical Units, Monopolar/Bipolar</v>
      </c>
      <c r="WEC102" s="528" t="s">
        <v>213</v>
      </c>
      <c r="WED102" s="529" t="str">
        <f>VLOOKUP(WEC102,[14]AssetDetails_UEM!$A$3:$AH$1849,6,FALSE)</f>
        <v>Electrosurgical Units, Monopolar/Bipolar</v>
      </c>
      <c r="WEE102" s="528" t="s">
        <v>213</v>
      </c>
      <c r="WEF102" s="529" t="str">
        <f>VLOOKUP(WEE102,[14]AssetDetails_UEM!$A$3:$AH$1849,6,FALSE)</f>
        <v>Electrosurgical Units, Monopolar/Bipolar</v>
      </c>
      <c r="WEG102" s="528" t="s">
        <v>213</v>
      </c>
      <c r="WEH102" s="529" t="str">
        <f>VLOOKUP(WEG102,[14]AssetDetails_UEM!$A$3:$AH$1849,6,FALSE)</f>
        <v>Electrosurgical Units, Monopolar/Bipolar</v>
      </c>
      <c r="WEI102" s="528" t="s">
        <v>213</v>
      </c>
      <c r="WEJ102" s="529" t="str">
        <f>VLOOKUP(WEI102,[14]AssetDetails_UEM!$A$3:$AH$1849,6,FALSE)</f>
        <v>Electrosurgical Units, Monopolar/Bipolar</v>
      </c>
      <c r="WEK102" s="528" t="s">
        <v>213</v>
      </c>
      <c r="WEL102" s="529" t="str">
        <f>VLOOKUP(WEK102,[14]AssetDetails_UEM!$A$3:$AH$1849,6,FALSE)</f>
        <v>Electrosurgical Units, Monopolar/Bipolar</v>
      </c>
      <c r="WEM102" s="528" t="s">
        <v>213</v>
      </c>
      <c r="WEN102" s="529" t="str">
        <f>VLOOKUP(WEM102,[14]AssetDetails_UEM!$A$3:$AH$1849,6,FALSE)</f>
        <v>Electrosurgical Units, Monopolar/Bipolar</v>
      </c>
      <c r="WEO102" s="528" t="s">
        <v>213</v>
      </c>
      <c r="WEP102" s="529" t="str">
        <f>VLOOKUP(WEO102,[14]AssetDetails_UEM!$A$3:$AH$1849,6,FALSE)</f>
        <v>Electrosurgical Units, Monopolar/Bipolar</v>
      </c>
      <c r="WEQ102" s="528" t="s">
        <v>213</v>
      </c>
      <c r="WER102" s="529" t="str">
        <f>VLOOKUP(WEQ102,[14]AssetDetails_UEM!$A$3:$AH$1849,6,FALSE)</f>
        <v>Electrosurgical Units, Monopolar/Bipolar</v>
      </c>
      <c r="WES102" s="528" t="s">
        <v>213</v>
      </c>
      <c r="WET102" s="529" t="str">
        <f>VLOOKUP(WES102,[14]AssetDetails_UEM!$A$3:$AH$1849,6,FALSE)</f>
        <v>Electrosurgical Units, Monopolar/Bipolar</v>
      </c>
      <c r="WEU102" s="528" t="s">
        <v>213</v>
      </c>
      <c r="WEV102" s="529" t="str">
        <f>VLOOKUP(WEU102,[14]AssetDetails_UEM!$A$3:$AH$1849,6,FALSE)</f>
        <v>Electrosurgical Units, Monopolar/Bipolar</v>
      </c>
      <c r="WEW102" s="528" t="s">
        <v>213</v>
      </c>
      <c r="WEX102" s="529" t="str">
        <f>VLOOKUP(WEW102,[14]AssetDetails_UEM!$A$3:$AH$1849,6,FALSE)</f>
        <v>Electrosurgical Units, Monopolar/Bipolar</v>
      </c>
      <c r="WEY102" s="528" t="s">
        <v>213</v>
      </c>
      <c r="WEZ102" s="529" t="str">
        <f>VLOOKUP(WEY102,[14]AssetDetails_UEM!$A$3:$AH$1849,6,FALSE)</f>
        <v>Electrosurgical Units, Monopolar/Bipolar</v>
      </c>
      <c r="WFA102" s="528" t="s">
        <v>213</v>
      </c>
      <c r="WFB102" s="529" t="str">
        <f>VLOOKUP(WFA102,[14]AssetDetails_UEM!$A$3:$AH$1849,6,FALSE)</f>
        <v>Electrosurgical Units, Monopolar/Bipolar</v>
      </c>
      <c r="WFC102" s="528" t="s">
        <v>213</v>
      </c>
      <c r="WFD102" s="529" t="str">
        <f>VLOOKUP(WFC102,[14]AssetDetails_UEM!$A$3:$AH$1849,6,FALSE)</f>
        <v>Electrosurgical Units, Monopolar/Bipolar</v>
      </c>
      <c r="WFE102" s="528" t="s">
        <v>213</v>
      </c>
      <c r="WFF102" s="529" t="str">
        <f>VLOOKUP(WFE102,[14]AssetDetails_UEM!$A$3:$AH$1849,6,FALSE)</f>
        <v>Electrosurgical Units, Monopolar/Bipolar</v>
      </c>
      <c r="WFG102" s="528" t="s">
        <v>213</v>
      </c>
      <c r="WFH102" s="529" t="str">
        <f>VLOOKUP(WFG102,[14]AssetDetails_UEM!$A$3:$AH$1849,6,FALSE)</f>
        <v>Electrosurgical Units, Monopolar/Bipolar</v>
      </c>
      <c r="WFI102" s="528" t="s">
        <v>213</v>
      </c>
      <c r="WFJ102" s="529" t="str">
        <f>VLOOKUP(WFI102,[14]AssetDetails_UEM!$A$3:$AH$1849,6,FALSE)</f>
        <v>Electrosurgical Units, Monopolar/Bipolar</v>
      </c>
      <c r="WFK102" s="528" t="s">
        <v>213</v>
      </c>
      <c r="WFL102" s="529" t="str">
        <f>VLOOKUP(WFK102,[14]AssetDetails_UEM!$A$3:$AH$1849,6,FALSE)</f>
        <v>Electrosurgical Units, Monopolar/Bipolar</v>
      </c>
      <c r="WFM102" s="528" t="s">
        <v>213</v>
      </c>
      <c r="WFN102" s="529" t="str">
        <f>VLOOKUP(WFM102,[14]AssetDetails_UEM!$A$3:$AH$1849,6,FALSE)</f>
        <v>Electrosurgical Units, Monopolar/Bipolar</v>
      </c>
      <c r="WFO102" s="528" t="s">
        <v>213</v>
      </c>
      <c r="WFP102" s="529" t="str">
        <f>VLOOKUP(WFO102,[14]AssetDetails_UEM!$A$3:$AH$1849,6,FALSE)</f>
        <v>Electrosurgical Units, Monopolar/Bipolar</v>
      </c>
      <c r="WFQ102" s="528" t="s">
        <v>213</v>
      </c>
      <c r="WFR102" s="529" t="str">
        <f>VLOOKUP(WFQ102,[14]AssetDetails_UEM!$A$3:$AH$1849,6,FALSE)</f>
        <v>Electrosurgical Units, Monopolar/Bipolar</v>
      </c>
      <c r="WFS102" s="528" t="s">
        <v>213</v>
      </c>
      <c r="WFT102" s="529" t="str">
        <f>VLOOKUP(WFS102,[14]AssetDetails_UEM!$A$3:$AH$1849,6,FALSE)</f>
        <v>Electrosurgical Units, Monopolar/Bipolar</v>
      </c>
      <c r="WFU102" s="528" t="s">
        <v>213</v>
      </c>
      <c r="WFV102" s="529" t="str">
        <f>VLOOKUP(WFU102,[14]AssetDetails_UEM!$A$3:$AH$1849,6,FALSE)</f>
        <v>Electrosurgical Units, Monopolar/Bipolar</v>
      </c>
      <c r="WFW102" s="528" t="s">
        <v>213</v>
      </c>
      <c r="WFX102" s="529" t="str">
        <f>VLOOKUP(WFW102,[14]AssetDetails_UEM!$A$3:$AH$1849,6,FALSE)</f>
        <v>Electrosurgical Units, Monopolar/Bipolar</v>
      </c>
      <c r="WFY102" s="528" t="s">
        <v>213</v>
      </c>
      <c r="WFZ102" s="529" t="str">
        <f>VLOOKUP(WFY102,[14]AssetDetails_UEM!$A$3:$AH$1849,6,FALSE)</f>
        <v>Electrosurgical Units, Monopolar/Bipolar</v>
      </c>
      <c r="WGA102" s="528" t="s">
        <v>213</v>
      </c>
      <c r="WGB102" s="529" t="str">
        <f>VLOOKUP(WGA102,[14]AssetDetails_UEM!$A$3:$AH$1849,6,FALSE)</f>
        <v>Electrosurgical Units, Monopolar/Bipolar</v>
      </c>
      <c r="WGC102" s="528" t="s">
        <v>213</v>
      </c>
      <c r="WGD102" s="529" t="str">
        <f>VLOOKUP(WGC102,[14]AssetDetails_UEM!$A$3:$AH$1849,6,FALSE)</f>
        <v>Electrosurgical Units, Monopolar/Bipolar</v>
      </c>
      <c r="WGE102" s="528" t="s">
        <v>213</v>
      </c>
      <c r="WGF102" s="529" t="str">
        <f>VLOOKUP(WGE102,[14]AssetDetails_UEM!$A$3:$AH$1849,6,FALSE)</f>
        <v>Electrosurgical Units, Monopolar/Bipolar</v>
      </c>
      <c r="WGG102" s="528" t="s">
        <v>213</v>
      </c>
      <c r="WGH102" s="529" t="str">
        <f>VLOOKUP(WGG102,[14]AssetDetails_UEM!$A$3:$AH$1849,6,FALSE)</f>
        <v>Electrosurgical Units, Monopolar/Bipolar</v>
      </c>
      <c r="WGI102" s="528" t="s">
        <v>213</v>
      </c>
      <c r="WGJ102" s="529" t="str">
        <f>VLOOKUP(WGI102,[14]AssetDetails_UEM!$A$3:$AH$1849,6,FALSE)</f>
        <v>Electrosurgical Units, Monopolar/Bipolar</v>
      </c>
      <c r="WGK102" s="528" t="s">
        <v>213</v>
      </c>
      <c r="WGL102" s="529" t="str">
        <f>VLOOKUP(WGK102,[14]AssetDetails_UEM!$A$3:$AH$1849,6,FALSE)</f>
        <v>Electrosurgical Units, Monopolar/Bipolar</v>
      </c>
      <c r="WGM102" s="528" t="s">
        <v>213</v>
      </c>
      <c r="WGN102" s="529" t="str">
        <f>VLOOKUP(WGM102,[14]AssetDetails_UEM!$A$3:$AH$1849,6,FALSE)</f>
        <v>Electrosurgical Units, Monopolar/Bipolar</v>
      </c>
      <c r="WGO102" s="528" t="s">
        <v>213</v>
      </c>
      <c r="WGP102" s="529" t="str">
        <f>VLOOKUP(WGO102,[14]AssetDetails_UEM!$A$3:$AH$1849,6,FALSE)</f>
        <v>Electrosurgical Units, Monopolar/Bipolar</v>
      </c>
      <c r="WGQ102" s="528" t="s">
        <v>213</v>
      </c>
      <c r="WGR102" s="529" t="str">
        <f>VLOOKUP(WGQ102,[14]AssetDetails_UEM!$A$3:$AH$1849,6,FALSE)</f>
        <v>Electrosurgical Units, Monopolar/Bipolar</v>
      </c>
      <c r="WGS102" s="528" t="s">
        <v>213</v>
      </c>
      <c r="WGT102" s="529" t="str">
        <f>VLOOKUP(WGS102,[14]AssetDetails_UEM!$A$3:$AH$1849,6,FALSE)</f>
        <v>Electrosurgical Units, Monopolar/Bipolar</v>
      </c>
      <c r="WGU102" s="528" t="s">
        <v>213</v>
      </c>
      <c r="WGV102" s="529" t="str">
        <f>VLOOKUP(WGU102,[14]AssetDetails_UEM!$A$3:$AH$1849,6,FALSE)</f>
        <v>Electrosurgical Units, Monopolar/Bipolar</v>
      </c>
      <c r="WGW102" s="528" t="s">
        <v>213</v>
      </c>
      <c r="WGX102" s="529" t="str">
        <f>VLOOKUP(WGW102,[14]AssetDetails_UEM!$A$3:$AH$1849,6,FALSE)</f>
        <v>Electrosurgical Units, Monopolar/Bipolar</v>
      </c>
      <c r="WGY102" s="528" t="s">
        <v>213</v>
      </c>
      <c r="WGZ102" s="529" t="str">
        <f>VLOOKUP(WGY102,[14]AssetDetails_UEM!$A$3:$AH$1849,6,FALSE)</f>
        <v>Electrosurgical Units, Monopolar/Bipolar</v>
      </c>
      <c r="WHA102" s="528" t="s">
        <v>213</v>
      </c>
      <c r="WHB102" s="529" t="str">
        <f>VLOOKUP(WHA102,[14]AssetDetails_UEM!$A$3:$AH$1849,6,FALSE)</f>
        <v>Electrosurgical Units, Monopolar/Bipolar</v>
      </c>
      <c r="WHC102" s="528" t="s">
        <v>213</v>
      </c>
      <c r="WHD102" s="529" t="str">
        <f>VLOOKUP(WHC102,[14]AssetDetails_UEM!$A$3:$AH$1849,6,FALSE)</f>
        <v>Electrosurgical Units, Monopolar/Bipolar</v>
      </c>
      <c r="WHE102" s="528" t="s">
        <v>213</v>
      </c>
      <c r="WHF102" s="529" t="str">
        <f>VLOOKUP(WHE102,[14]AssetDetails_UEM!$A$3:$AH$1849,6,FALSE)</f>
        <v>Electrosurgical Units, Monopolar/Bipolar</v>
      </c>
      <c r="WHG102" s="528" t="s">
        <v>213</v>
      </c>
      <c r="WHH102" s="529" t="str">
        <f>VLOOKUP(WHG102,[14]AssetDetails_UEM!$A$3:$AH$1849,6,FALSE)</f>
        <v>Electrosurgical Units, Monopolar/Bipolar</v>
      </c>
      <c r="WHI102" s="528" t="s">
        <v>213</v>
      </c>
      <c r="WHJ102" s="529" t="str">
        <f>VLOOKUP(WHI102,[14]AssetDetails_UEM!$A$3:$AH$1849,6,FALSE)</f>
        <v>Electrosurgical Units, Monopolar/Bipolar</v>
      </c>
      <c r="WHK102" s="528" t="s">
        <v>213</v>
      </c>
      <c r="WHL102" s="529" t="str">
        <f>VLOOKUP(WHK102,[14]AssetDetails_UEM!$A$3:$AH$1849,6,FALSE)</f>
        <v>Electrosurgical Units, Monopolar/Bipolar</v>
      </c>
      <c r="WHM102" s="528" t="s">
        <v>213</v>
      </c>
      <c r="WHN102" s="529" t="str">
        <f>VLOOKUP(WHM102,[14]AssetDetails_UEM!$A$3:$AH$1849,6,FALSE)</f>
        <v>Electrosurgical Units, Monopolar/Bipolar</v>
      </c>
      <c r="WHO102" s="528" t="s">
        <v>213</v>
      </c>
      <c r="WHP102" s="529" t="str">
        <f>VLOOKUP(WHO102,[14]AssetDetails_UEM!$A$3:$AH$1849,6,FALSE)</f>
        <v>Electrosurgical Units, Monopolar/Bipolar</v>
      </c>
      <c r="WHQ102" s="528" t="s">
        <v>213</v>
      </c>
      <c r="WHR102" s="529" t="str">
        <f>VLOOKUP(WHQ102,[14]AssetDetails_UEM!$A$3:$AH$1849,6,FALSE)</f>
        <v>Electrosurgical Units, Monopolar/Bipolar</v>
      </c>
      <c r="WHS102" s="528" t="s">
        <v>213</v>
      </c>
      <c r="WHT102" s="529" t="str">
        <f>VLOOKUP(WHS102,[14]AssetDetails_UEM!$A$3:$AH$1849,6,FALSE)</f>
        <v>Electrosurgical Units, Monopolar/Bipolar</v>
      </c>
      <c r="WHU102" s="528" t="s">
        <v>213</v>
      </c>
      <c r="WHV102" s="529" t="str">
        <f>VLOOKUP(WHU102,[14]AssetDetails_UEM!$A$3:$AH$1849,6,FALSE)</f>
        <v>Electrosurgical Units, Monopolar/Bipolar</v>
      </c>
      <c r="WHW102" s="528" t="s">
        <v>213</v>
      </c>
      <c r="WHX102" s="529" t="str">
        <f>VLOOKUP(WHW102,[14]AssetDetails_UEM!$A$3:$AH$1849,6,FALSE)</f>
        <v>Electrosurgical Units, Monopolar/Bipolar</v>
      </c>
      <c r="WHY102" s="528" t="s">
        <v>213</v>
      </c>
      <c r="WHZ102" s="529" t="str">
        <f>VLOOKUP(WHY102,[14]AssetDetails_UEM!$A$3:$AH$1849,6,FALSE)</f>
        <v>Electrosurgical Units, Monopolar/Bipolar</v>
      </c>
      <c r="WIA102" s="528" t="s">
        <v>213</v>
      </c>
      <c r="WIB102" s="529" t="str">
        <f>VLOOKUP(WIA102,[14]AssetDetails_UEM!$A$3:$AH$1849,6,FALSE)</f>
        <v>Electrosurgical Units, Monopolar/Bipolar</v>
      </c>
      <c r="WIC102" s="528" t="s">
        <v>213</v>
      </c>
      <c r="WID102" s="529" t="str">
        <f>VLOOKUP(WIC102,[14]AssetDetails_UEM!$A$3:$AH$1849,6,FALSE)</f>
        <v>Electrosurgical Units, Monopolar/Bipolar</v>
      </c>
      <c r="WIE102" s="528" t="s">
        <v>213</v>
      </c>
      <c r="WIF102" s="529" t="str">
        <f>VLOOKUP(WIE102,[14]AssetDetails_UEM!$A$3:$AH$1849,6,FALSE)</f>
        <v>Electrosurgical Units, Monopolar/Bipolar</v>
      </c>
      <c r="WIG102" s="528" t="s">
        <v>213</v>
      </c>
      <c r="WIH102" s="529" t="str">
        <f>VLOOKUP(WIG102,[14]AssetDetails_UEM!$A$3:$AH$1849,6,FALSE)</f>
        <v>Electrosurgical Units, Monopolar/Bipolar</v>
      </c>
      <c r="WII102" s="528" t="s">
        <v>213</v>
      </c>
      <c r="WIJ102" s="529" t="str">
        <f>VLOOKUP(WII102,[14]AssetDetails_UEM!$A$3:$AH$1849,6,FALSE)</f>
        <v>Electrosurgical Units, Monopolar/Bipolar</v>
      </c>
      <c r="WIK102" s="528" t="s">
        <v>213</v>
      </c>
      <c r="WIL102" s="529" t="str">
        <f>VLOOKUP(WIK102,[14]AssetDetails_UEM!$A$3:$AH$1849,6,FALSE)</f>
        <v>Electrosurgical Units, Monopolar/Bipolar</v>
      </c>
      <c r="WIM102" s="528" t="s">
        <v>213</v>
      </c>
      <c r="WIN102" s="529" t="str">
        <f>VLOOKUP(WIM102,[14]AssetDetails_UEM!$A$3:$AH$1849,6,FALSE)</f>
        <v>Electrosurgical Units, Monopolar/Bipolar</v>
      </c>
      <c r="WIO102" s="528" t="s">
        <v>213</v>
      </c>
      <c r="WIP102" s="529" t="str">
        <f>VLOOKUP(WIO102,[14]AssetDetails_UEM!$A$3:$AH$1849,6,FALSE)</f>
        <v>Electrosurgical Units, Monopolar/Bipolar</v>
      </c>
      <c r="WIQ102" s="528" t="s">
        <v>213</v>
      </c>
      <c r="WIR102" s="529" t="str">
        <f>VLOOKUP(WIQ102,[14]AssetDetails_UEM!$A$3:$AH$1849,6,FALSE)</f>
        <v>Electrosurgical Units, Monopolar/Bipolar</v>
      </c>
      <c r="WIS102" s="528" t="s">
        <v>213</v>
      </c>
      <c r="WIT102" s="529" t="str">
        <f>VLOOKUP(WIS102,[14]AssetDetails_UEM!$A$3:$AH$1849,6,FALSE)</f>
        <v>Electrosurgical Units, Monopolar/Bipolar</v>
      </c>
      <c r="WIU102" s="528" t="s">
        <v>213</v>
      </c>
      <c r="WIV102" s="529" t="str">
        <f>VLOOKUP(WIU102,[14]AssetDetails_UEM!$A$3:$AH$1849,6,FALSE)</f>
        <v>Electrosurgical Units, Monopolar/Bipolar</v>
      </c>
      <c r="WIW102" s="528" t="s">
        <v>213</v>
      </c>
      <c r="WIX102" s="529" t="str">
        <f>VLOOKUP(WIW102,[14]AssetDetails_UEM!$A$3:$AH$1849,6,FALSE)</f>
        <v>Electrosurgical Units, Monopolar/Bipolar</v>
      </c>
      <c r="WIY102" s="528" t="s">
        <v>213</v>
      </c>
      <c r="WIZ102" s="529" t="str">
        <f>VLOOKUP(WIY102,[14]AssetDetails_UEM!$A$3:$AH$1849,6,FALSE)</f>
        <v>Electrosurgical Units, Monopolar/Bipolar</v>
      </c>
      <c r="WJA102" s="528" t="s">
        <v>213</v>
      </c>
      <c r="WJB102" s="529" t="str">
        <f>VLOOKUP(WJA102,[14]AssetDetails_UEM!$A$3:$AH$1849,6,FALSE)</f>
        <v>Electrosurgical Units, Monopolar/Bipolar</v>
      </c>
      <c r="WJC102" s="528" t="s">
        <v>213</v>
      </c>
      <c r="WJD102" s="529" t="str">
        <f>VLOOKUP(WJC102,[14]AssetDetails_UEM!$A$3:$AH$1849,6,FALSE)</f>
        <v>Electrosurgical Units, Monopolar/Bipolar</v>
      </c>
      <c r="WJE102" s="528" t="s">
        <v>213</v>
      </c>
      <c r="WJF102" s="529" t="str">
        <f>VLOOKUP(WJE102,[14]AssetDetails_UEM!$A$3:$AH$1849,6,FALSE)</f>
        <v>Electrosurgical Units, Monopolar/Bipolar</v>
      </c>
      <c r="WJG102" s="528" t="s">
        <v>213</v>
      </c>
      <c r="WJH102" s="529" t="str">
        <f>VLOOKUP(WJG102,[14]AssetDetails_UEM!$A$3:$AH$1849,6,FALSE)</f>
        <v>Electrosurgical Units, Monopolar/Bipolar</v>
      </c>
      <c r="WJI102" s="528" t="s">
        <v>213</v>
      </c>
      <c r="WJJ102" s="529" t="str">
        <f>VLOOKUP(WJI102,[14]AssetDetails_UEM!$A$3:$AH$1849,6,FALSE)</f>
        <v>Electrosurgical Units, Monopolar/Bipolar</v>
      </c>
      <c r="WJK102" s="528" t="s">
        <v>213</v>
      </c>
      <c r="WJL102" s="529" t="str">
        <f>VLOOKUP(WJK102,[14]AssetDetails_UEM!$A$3:$AH$1849,6,FALSE)</f>
        <v>Electrosurgical Units, Monopolar/Bipolar</v>
      </c>
      <c r="WJM102" s="528" t="s">
        <v>213</v>
      </c>
      <c r="WJN102" s="529" t="str">
        <f>VLOOKUP(WJM102,[14]AssetDetails_UEM!$A$3:$AH$1849,6,FALSE)</f>
        <v>Electrosurgical Units, Monopolar/Bipolar</v>
      </c>
      <c r="WJO102" s="528" t="s">
        <v>213</v>
      </c>
      <c r="WJP102" s="529" t="str">
        <f>VLOOKUP(WJO102,[14]AssetDetails_UEM!$A$3:$AH$1849,6,FALSE)</f>
        <v>Electrosurgical Units, Monopolar/Bipolar</v>
      </c>
      <c r="WJQ102" s="528" t="s">
        <v>213</v>
      </c>
      <c r="WJR102" s="529" t="str">
        <f>VLOOKUP(WJQ102,[14]AssetDetails_UEM!$A$3:$AH$1849,6,FALSE)</f>
        <v>Electrosurgical Units, Monopolar/Bipolar</v>
      </c>
      <c r="WJS102" s="528" t="s">
        <v>213</v>
      </c>
      <c r="WJT102" s="529" t="str">
        <f>VLOOKUP(WJS102,[14]AssetDetails_UEM!$A$3:$AH$1849,6,FALSE)</f>
        <v>Electrosurgical Units, Monopolar/Bipolar</v>
      </c>
      <c r="WJU102" s="528" t="s">
        <v>213</v>
      </c>
      <c r="WJV102" s="529" t="str">
        <f>VLOOKUP(WJU102,[14]AssetDetails_UEM!$A$3:$AH$1849,6,FALSE)</f>
        <v>Electrosurgical Units, Monopolar/Bipolar</v>
      </c>
      <c r="WJW102" s="528" t="s">
        <v>213</v>
      </c>
      <c r="WJX102" s="529" t="str">
        <f>VLOOKUP(WJW102,[14]AssetDetails_UEM!$A$3:$AH$1849,6,FALSE)</f>
        <v>Electrosurgical Units, Monopolar/Bipolar</v>
      </c>
      <c r="WJY102" s="528" t="s">
        <v>213</v>
      </c>
      <c r="WJZ102" s="529" t="str">
        <f>VLOOKUP(WJY102,[14]AssetDetails_UEM!$A$3:$AH$1849,6,FALSE)</f>
        <v>Electrosurgical Units, Monopolar/Bipolar</v>
      </c>
      <c r="WKA102" s="528" t="s">
        <v>213</v>
      </c>
      <c r="WKB102" s="529" t="str">
        <f>VLOOKUP(WKA102,[14]AssetDetails_UEM!$A$3:$AH$1849,6,FALSE)</f>
        <v>Electrosurgical Units, Monopolar/Bipolar</v>
      </c>
      <c r="WKC102" s="528" t="s">
        <v>213</v>
      </c>
      <c r="WKD102" s="529" t="str">
        <f>VLOOKUP(WKC102,[14]AssetDetails_UEM!$A$3:$AH$1849,6,FALSE)</f>
        <v>Electrosurgical Units, Monopolar/Bipolar</v>
      </c>
      <c r="WKE102" s="528" t="s">
        <v>213</v>
      </c>
      <c r="WKF102" s="529" t="str">
        <f>VLOOKUP(WKE102,[14]AssetDetails_UEM!$A$3:$AH$1849,6,FALSE)</f>
        <v>Electrosurgical Units, Monopolar/Bipolar</v>
      </c>
      <c r="WKG102" s="528" t="s">
        <v>213</v>
      </c>
      <c r="WKH102" s="529" t="str">
        <f>VLOOKUP(WKG102,[14]AssetDetails_UEM!$A$3:$AH$1849,6,FALSE)</f>
        <v>Electrosurgical Units, Monopolar/Bipolar</v>
      </c>
      <c r="WKI102" s="528" t="s">
        <v>213</v>
      </c>
      <c r="WKJ102" s="529" t="str">
        <f>VLOOKUP(WKI102,[14]AssetDetails_UEM!$A$3:$AH$1849,6,FALSE)</f>
        <v>Electrosurgical Units, Monopolar/Bipolar</v>
      </c>
      <c r="WKK102" s="528" t="s">
        <v>213</v>
      </c>
      <c r="WKL102" s="529" t="str">
        <f>VLOOKUP(WKK102,[14]AssetDetails_UEM!$A$3:$AH$1849,6,FALSE)</f>
        <v>Electrosurgical Units, Monopolar/Bipolar</v>
      </c>
      <c r="WKM102" s="528" t="s">
        <v>213</v>
      </c>
      <c r="WKN102" s="529" t="str">
        <f>VLOOKUP(WKM102,[14]AssetDetails_UEM!$A$3:$AH$1849,6,FALSE)</f>
        <v>Electrosurgical Units, Monopolar/Bipolar</v>
      </c>
      <c r="WKO102" s="528" t="s">
        <v>213</v>
      </c>
      <c r="WKP102" s="529" t="str">
        <f>VLOOKUP(WKO102,[14]AssetDetails_UEM!$A$3:$AH$1849,6,FALSE)</f>
        <v>Electrosurgical Units, Monopolar/Bipolar</v>
      </c>
      <c r="WKQ102" s="528" t="s">
        <v>213</v>
      </c>
      <c r="WKR102" s="529" t="str">
        <f>VLOOKUP(WKQ102,[14]AssetDetails_UEM!$A$3:$AH$1849,6,FALSE)</f>
        <v>Electrosurgical Units, Monopolar/Bipolar</v>
      </c>
      <c r="WKS102" s="528" t="s">
        <v>213</v>
      </c>
      <c r="WKT102" s="529" t="str">
        <f>VLOOKUP(WKS102,[14]AssetDetails_UEM!$A$3:$AH$1849,6,FALSE)</f>
        <v>Electrosurgical Units, Monopolar/Bipolar</v>
      </c>
      <c r="WKU102" s="528" t="s">
        <v>213</v>
      </c>
      <c r="WKV102" s="529" t="str">
        <f>VLOOKUP(WKU102,[14]AssetDetails_UEM!$A$3:$AH$1849,6,FALSE)</f>
        <v>Electrosurgical Units, Monopolar/Bipolar</v>
      </c>
      <c r="WKW102" s="528" t="s">
        <v>213</v>
      </c>
      <c r="WKX102" s="529" t="str">
        <f>VLOOKUP(WKW102,[14]AssetDetails_UEM!$A$3:$AH$1849,6,FALSE)</f>
        <v>Electrosurgical Units, Monopolar/Bipolar</v>
      </c>
      <c r="WKY102" s="528" t="s">
        <v>213</v>
      </c>
      <c r="WKZ102" s="529" t="str">
        <f>VLOOKUP(WKY102,[14]AssetDetails_UEM!$A$3:$AH$1849,6,FALSE)</f>
        <v>Electrosurgical Units, Monopolar/Bipolar</v>
      </c>
      <c r="WLA102" s="528" t="s">
        <v>213</v>
      </c>
      <c r="WLB102" s="529" t="str">
        <f>VLOOKUP(WLA102,[14]AssetDetails_UEM!$A$3:$AH$1849,6,FALSE)</f>
        <v>Electrosurgical Units, Monopolar/Bipolar</v>
      </c>
      <c r="WLC102" s="528" t="s">
        <v>213</v>
      </c>
      <c r="WLD102" s="529" t="str">
        <f>VLOOKUP(WLC102,[14]AssetDetails_UEM!$A$3:$AH$1849,6,FALSE)</f>
        <v>Electrosurgical Units, Monopolar/Bipolar</v>
      </c>
      <c r="WLE102" s="528" t="s">
        <v>213</v>
      </c>
      <c r="WLF102" s="529" t="str">
        <f>VLOOKUP(WLE102,[14]AssetDetails_UEM!$A$3:$AH$1849,6,FALSE)</f>
        <v>Electrosurgical Units, Monopolar/Bipolar</v>
      </c>
      <c r="WLG102" s="528" t="s">
        <v>213</v>
      </c>
      <c r="WLH102" s="529" t="str">
        <f>VLOOKUP(WLG102,[14]AssetDetails_UEM!$A$3:$AH$1849,6,FALSE)</f>
        <v>Electrosurgical Units, Monopolar/Bipolar</v>
      </c>
      <c r="WLI102" s="528" t="s">
        <v>213</v>
      </c>
      <c r="WLJ102" s="529" t="str">
        <f>VLOOKUP(WLI102,[14]AssetDetails_UEM!$A$3:$AH$1849,6,FALSE)</f>
        <v>Electrosurgical Units, Monopolar/Bipolar</v>
      </c>
      <c r="WLK102" s="528" t="s">
        <v>213</v>
      </c>
      <c r="WLL102" s="529" t="str">
        <f>VLOOKUP(WLK102,[14]AssetDetails_UEM!$A$3:$AH$1849,6,FALSE)</f>
        <v>Electrosurgical Units, Monopolar/Bipolar</v>
      </c>
      <c r="WLM102" s="528" t="s">
        <v>213</v>
      </c>
      <c r="WLN102" s="529" t="str">
        <f>VLOOKUP(WLM102,[14]AssetDetails_UEM!$A$3:$AH$1849,6,FALSE)</f>
        <v>Electrosurgical Units, Monopolar/Bipolar</v>
      </c>
      <c r="WLO102" s="528" t="s">
        <v>213</v>
      </c>
      <c r="WLP102" s="529" t="str">
        <f>VLOOKUP(WLO102,[14]AssetDetails_UEM!$A$3:$AH$1849,6,FALSE)</f>
        <v>Electrosurgical Units, Monopolar/Bipolar</v>
      </c>
      <c r="WLQ102" s="528" t="s">
        <v>213</v>
      </c>
      <c r="WLR102" s="529" t="str">
        <f>VLOOKUP(WLQ102,[14]AssetDetails_UEM!$A$3:$AH$1849,6,FALSE)</f>
        <v>Electrosurgical Units, Monopolar/Bipolar</v>
      </c>
      <c r="WLS102" s="528" t="s">
        <v>213</v>
      </c>
      <c r="WLT102" s="529" t="str">
        <f>VLOOKUP(WLS102,[14]AssetDetails_UEM!$A$3:$AH$1849,6,FALSE)</f>
        <v>Electrosurgical Units, Monopolar/Bipolar</v>
      </c>
      <c r="WLU102" s="528" t="s">
        <v>213</v>
      </c>
      <c r="WLV102" s="529" t="str">
        <f>VLOOKUP(WLU102,[14]AssetDetails_UEM!$A$3:$AH$1849,6,FALSE)</f>
        <v>Electrosurgical Units, Monopolar/Bipolar</v>
      </c>
      <c r="WLW102" s="528" t="s">
        <v>213</v>
      </c>
      <c r="WLX102" s="529" t="str">
        <f>VLOOKUP(WLW102,[14]AssetDetails_UEM!$A$3:$AH$1849,6,FALSE)</f>
        <v>Electrosurgical Units, Monopolar/Bipolar</v>
      </c>
      <c r="WLY102" s="528" t="s">
        <v>213</v>
      </c>
      <c r="WLZ102" s="529" t="str">
        <f>VLOOKUP(WLY102,[14]AssetDetails_UEM!$A$3:$AH$1849,6,FALSE)</f>
        <v>Electrosurgical Units, Monopolar/Bipolar</v>
      </c>
      <c r="WMA102" s="528" t="s">
        <v>213</v>
      </c>
      <c r="WMB102" s="529" t="str">
        <f>VLOOKUP(WMA102,[14]AssetDetails_UEM!$A$3:$AH$1849,6,FALSE)</f>
        <v>Electrosurgical Units, Monopolar/Bipolar</v>
      </c>
      <c r="WMC102" s="528" t="s">
        <v>213</v>
      </c>
      <c r="WMD102" s="529" t="str">
        <f>VLOOKUP(WMC102,[14]AssetDetails_UEM!$A$3:$AH$1849,6,FALSE)</f>
        <v>Electrosurgical Units, Monopolar/Bipolar</v>
      </c>
      <c r="WME102" s="528" t="s">
        <v>213</v>
      </c>
      <c r="WMF102" s="529" t="str">
        <f>VLOOKUP(WME102,[14]AssetDetails_UEM!$A$3:$AH$1849,6,FALSE)</f>
        <v>Electrosurgical Units, Monopolar/Bipolar</v>
      </c>
      <c r="WMG102" s="528" t="s">
        <v>213</v>
      </c>
      <c r="WMH102" s="529" t="str">
        <f>VLOOKUP(WMG102,[14]AssetDetails_UEM!$A$3:$AH$1849,6,FALSE)</f>
        <v>Electrosurgical Units, Monopolar/Bipolar</v>
      </c>
      <c r="WMI102" s="528" t="s">
        <v>213</v>
      </c>
      <c r="WMJ102" s="529" t="str">
        <f>VLOOKUP(WMI102,[14]AssetDetails_UEM!$A$3:$AH$1849,6,FALSE)</f>
        <v>Electrosurgical Units, Monopolar/Bipolar</v>
      </c>
      <c r="WMK102" s="528" t="s">
        <v>213</v>
      </c>
      <c r="WML102" s="529" t="str">
        <f>VLOOKUP(WMK102,[14]AssetDetails_UEM!$A$3:$AH$1849,6,FALSE)</f>
        <v>Electrosurgical Units, Monopolar/Bipolar</v>
      </c>
      <c r="WMM102" s="528" t="s">
        <v>213</v>
      </c>
      <c r="WMN102" s="529" t="str">
        <f>VLOOKUP(WMM102,[14]AssetDetails_UEM!$A$3:$AH$1849,6,FALSE)</f>
        <v>Electrosurgical Units, Monopolar/Bipolar</v>
      </c>
      <c r="WMO102" s="528" t="s">
        <v>213</v>
      </c>
      <c r="WMP102" s="529" t="str">
        <f>VLOOKUP(WMO102,[14]AssetDetails_UEM!$A$3:$AH$1849,6,FALSE)</f>
        <v>Electrosurgical Units, Monopolar/Bipolar</v>
      </c>
      <c r="WMQ102" s="528" t="s">
        <v>213</v>
      </c>
      <c r="WMR102" s="529" t="str">
        <f>VLOOKUP(WMQ102,[14]AssetDetails_UEM!$A$3:$AH$1849,6,FALSE)</f>
        <v>Electrosurgical Units, Monopolar/Bipolar</v>
      </c>
      <c r="WMS102" s="528" t="s">
        <v>213</v>
      </c>
      <c r="WMT102" s="529" t="str">
        <f>VLOOKUP(WMS102,[14]AssetDetails_UEM!$A$3:$AH$1849,6,FALSE)</f>
        <v>Electrosurgical Units, Monopolar/Bipolar</v>
      </c>
      <c r="WMU102" s="528" t="s">
        <v>213</v>
      </c>
      <c r="WMV102" s="529" t="str">
        <f>VLOOKUP(WMU102,[14]AssetDetails_UEM!$A$3:$AH$1849,6,FALSE)</f>
        <v>Electrosurgical Units, Monopolar/Bipolar</v>
      </c>
      <c r="WMW102" s="528" t="s">
        <v>213</v>
      </c>
      <c r="WMX102" s="529" t="str">
        <f>VLOOKUP(WMW102,[14]AssetDetails_UEM!$A$3:$AH$1849,6,FALSE)</f>
        <v>Electrosurgical Units, Monopolar/Bipolar</v>
      </c>
      <c r="WMY102" s="528" t="s">
        <v>213</v>
      </c>
      <c r="WMZ102" s="529" t="str">
        <f>VLOOKUP(WMY102,[14]AssetDetails_UEM!$A$3:$AH$1849,6,FALSE)</f>
        <v>Electrosurgical Units, Monopolar/Bipolar</v>
      </c>
      <c r="WNA102" s="528" t="s">
        <v>213</v>
      </c>
      <c r="WNB102" s="529" t="str">
        <f>VLOOKUP(WNA102,[14]AssetDetails_UEM!$A$3:$AH$1849,6,FALSE)</f>
        <v>Electrosurgical Units, Monopolar/Bipolar</v>
      </c>
      <c r="WNC102" s="528" t="s">
        <v>213</v>
      </c>
      <c r="WND102" s="529" t="str">
        <f>VLOOKUP(WNC102,[14]AssetDetails_UEM!$A$3:$AH$1849,6,FALSE)</f>
        <v>Electrosurgical Units, Monopolar/Bipolar</v>
      </c>
      <c r="WNE102" s="528" t="s">
        <v>213</v>
      </c>
      <c r="WNF102" s="529" t="str">
        <f>VLOOKUP(WNE102,[14]AssetDetails_UEM!$A$3:$AH$1849,6,FALSE)</f>
        <v>Electrosurgical Units, Monopolar/Bipolar</v>
      </c>
      <c r="WNG102" s="528" t="s">
        <v>213</v>
      </c>
      <c r="WNH102" s="529" t="str">
        <f>VLOOKUP(WNG102,[14]AssetDetails_UEM!$A$3:$AH$1849,6,FALSE)</f>
        <v>Electrosurgical Units, Monopolar/Bipolar</v>
      </c>
      <c r="WNI102" s="528" t="s">
        <v>213</v>
      </c>
      <c r="WNJ102" s="529" t="str">
        <f>VLOOKUP(WNI102,[14]AssetDetails_UEM!$A$3:$AH$1849,6,FALSE)</f>
        <v>Electrosurgical Units, Monopolar/Bipolar</v>
      </c>
      <c r="WNK102" s="528" t="s">
        <v>213</v>
      </c>
      <c r="WNL102" s="529" t="str">
        <f>VLOOKUP(WNK102,[14]AssetDetails_UEM!$A$3:$AH$1849,6,FALSE)</f>
        <v>Electrosurgical Units, Monopolar/Bipolar</v>
      </c>
      <c r="WNM102" s="528" t="s">
        <v>213</v>
      </c>
      <c r="WNN102" s="529" t="str">
        <f>VLOOKUP(WNM102,[14]AssetDetails_UEM!$A$3:$AH$1849,6,FALSE)</f>
        <v>Electrosurgical Units, Monopolar/Bipolar</v>
      </c>
      <c r="WNO102" s="528" t="s">
        <v>213</v>
      </c>
      <c r="WNP102" s="529" t="str">
        <f>VLOOKUP(WNO102,[14]AssetDetails_UEM!$A$3:$AH$1849,6,FALSE)</f>
        <v>Electrosurgical Units, Monopolar/Bipolar</v>
      </c>
      <c r="WNQ102" s="528" t="s">
        <v>213</v>
      </c>
      <c r="WNR102" s="529" t="str">
        <f>VLOOKUP(WNQ102,[14]AssetDetails_UEM!$A$3:$AH$1849,6,FALSE)</f>
        <v>Electrosurgical Units, Monopolar/Bipolar</v>
      </c>
      <c r="WNS102" s="528" t="s">
        <v>213</v>
      </c>
      <c r="WNT102" s="529" t="str">
        <f>VLOOKUP(WNS102,[14]AssetDetails_UEM!$A$3:$AH$1849,6,FALSE)</f>
        <v>Electrosurgical Units, Monopolar/Bipolar</v>
      </c>
      <c r="WNU102" s="528" t="s">
        <v>213</v>
      </c>
      <c r="WNV102" s="529" t="str">
        <f>VLOOKUP(WNU102,[14]AssetDetails_UEM!$A$3:$AH$1849,6,FALSE)</f>
        <v>Electrosurgical Units, Monopolar/Bipolar</v>
      </c>
      <c r="WNW102" s="528" t="s">
        <v>213</v>
      </c>
      <c r="WNX102" s="529" t="str">
        <f>VLOOKUP(WNW102,[14]AssetDetails_UEM!$A$3:$AH$1849,6,FALSE)</f>
        <v>Electrosurgical Units, Monopolar/Bipolar</v>
      </c>
      <c r="WNY102" s="528" t="s">
        <v>213</v>
      </c>
      <c r="WNZ102" s="529" t="str">
        <f>VLOOKUP(WNY102,[14]AssetDetails_UEM!$A$3:$AH$1849,6,FALSE)</f>
        <v>Electrosurgical Units, Monopolar/Bipolar</v>
      </c>
      <c r="WOA102" s="528" t="s">
        <v>213</v>
      </c>
      <c r="WOB102" s="529" t="str">
        <f>VLOOKUP(WOA102,[14]AssetDetails_UEM!$A$3:$AH$1849,6,FALSE)</f>
        <v>Electrosurgical Units, Monopolar/Bipolar</v>
      </c>
      <c r="WOC102" s="528" t="s">
        <v>213</v>
      </c>
      <c r="WOD102" s="529" t="str">
        <f>VLOOKUP(WOC102,[14]AssetDetails_UEM!$A$3:$AH$1849,6,FALSE)</f>
        <v>Electrosurgical Units, Monopolar/Bipolar</v>
      </c>
      <c r="WOE102" s="528" t="s">
        <v>213</v>
      </c>
      <c r="WOF102" s="529" t="str">
        <f>VLOOKUP(WOE102,[14]AssetDetails_UEM!$A$3:$AH$1849,6,FALSE)</f>
        <v>Electrosurgical Units, Monopolar/Bipolar</v>
      </c>
      <c r="WOG102" s="528" t="s">
        <v>213</v>
      </c>
      <c r="WOH102" s="529" t="str">
        <f>VLOOKUP(WOG102,[14]AssetDetails_UEM!$A$3:$AH$1849,6,FALSE)</f>
        <v>Electrosurgical Units, Monopolar/Bipolar</v>
      </c>
      <c r="WOI102" s="528" t="s">
        <v>213</v>
      </c>
      <c r="WOJ102" s="529" t="str">
        <f>VLOOKUP(WOI102,[14]AssetDetails_UEM!$A$3:$AH$1849,6,FALSE)</f>
        <v>Electrosurgical Units, Monopolar/Bipolar</v>
      </c>
      <c r="WOK102" s="528" t="s">
        <v>213</v>
      </c>
      <c r="WOL102" s="529" t="str">
        <f>VLOOKUP(WOK102,[14]AssetDetails_UEM!$A$3:$AH$1849,6,FALSE)</f>
        <v>Electrosurgical Units, Monopolar/Bipolar</v>
      </c>
      <c r="WOM102" s="528" t="s">
        <v>213</v>
      </c>
      <c r="WON102" s="529" t="str">
        <f>VLOOKUP(WOM102,[14]AssetDetails_UEM!$A$3:$AH$1849,6,FALSE)</f>
        <v>Electrosurgical Units, Monopolar/Bipolar</v>
      </c>
      <c r="WOO102" s="528" t="s">
        <v>213</v>
      </c>
      <c r="WOP102" s="529" t="str">
        <f>VLOOKUP(WOO102,[14]AssetDetails_UEM!$A$3:$AH$1849,6,FALSE)</f>
        <v>Electrosurgical Units, Monopolar/Bipolar</v>
      </c>
      <c r="WOQ102" s="528" t="s">
        <v>213</v>
      </c>
      <c r="WOR102" s="529" t="str">
        <f>VLOOKUP(WOQ102,[14]AssetDetails_UEM!$A$3:$AH$1849,6,FALSE)</f>
        <v>Electrosurgical Units, Monopolar/Bipolar</v>
      </c>
      <c r="WOS102" s="528" t="s">
        <v>213</v>
      </c>
      <c r="WOT102" s="529" t="str">
        <f>VLOOKUP(WOS102,[14]AssetDetails_UEM!$A$3:$AH$1849,6,FALSE)</f>
        <v>Electrosurgical Units, Monopolar/Bipolar</v>
      </c>
      <c r="WOU102" s="528" t="s">
        <v>213</v>
      </c>
      <c r="WOV102" s="529" t="str">
        <f>VLOOKUP(WOU102,[14]AssetDetails_UEM!$A$3:$AH$1849,6,FALSE)</f>
        <v>Electrosurgical Units, Monopolar/Bipolar</v>
      </c>
      <c r="WOW102" s="528" t="s">
        <v>213</v>
      </c>
      <c r="WOX102" s="529" t="str">
        <f>VLOOKUP(WOW102,[14]AssetDetails_UEM!$A$3:$AH$1849,6,FALSE)</f>
        <v>Electrosurgical Units, Monopolar/Bipolar</v>
      </c>
      <c r="WOY102" s="528" t="s">
        <v>213</v>
      </c>
      <c r="WOZ102" s="529" t="str">
        <f>VLOOKUP(WOY102,[14]AssetDetails_UEM!$A$3:$AH$1849,6,FALSE)</f>
        <v>Electrosurgical Units, Monopolar/Bipolar</v>
      </c>
      <c r="WPA102" s="528" t="s">
        <v>213</v>
      </c>
      <c r="WPB102" s="529" t="str">
        <f>VLOOKUP(WPA102,[14]AssetDetails_UEM!$A$3:$AH$1849,6,FALSE)</f>
        <v>Electrosurgical Units, Monopolar/Bipolar</v>
      </c>
      <c r="WPC102" s="528" t="s">
        <v>213</v>
      </c>
      <c r="WPD102" s="529" t="str">
        <f>VLOOKUP(WPC102,[14]AssetDetails_UEM!$A$3:$AH$1849,6,FALSE)</f>
        <v>Electrosurgical Units, Monopolar/Bipolar</v>
      </c>
      <c r="WPE102" s="528" t="s">
        <v>213</v>
      </c>
      <c r="WPF102" s="529" t="str">
        <f>VLOOKUP(WPE102,[14]AssetDetails_UEM!$A$3:$AH$1849,6,FALSE)</f>
        <v>Electrosurgical Units, Monopolar/Bipolar</v>
      </c>
      <c r="WPG102" s="528" t="s">
        <v>213</v>
      </c>
      <c r="WPH102" s="529" t="str">
        <f>VLOOKUP(WPG102,[14]AssetDetails_UEM!$A$3:$AH$1849,6,FALSE)</f>
        <v>Electrosurgical Units, Monopolar/Bipolar</v>
      </c>
      <c r="WPI102" s="528" t="s">
        <v>213</v>
      </c>
      <c r="WPJ102" s="529" t="str">
        <f>VLOOKUP(WPI102,[14]AssetDetails_UEM!$A$3:$AH$1849,6,FALSE)</f>
        <v>Electrosurgical Units, Monopolar/Bipolar</v>
      </c>
      <c r="WPK102" s="528" t="s">
        <v>213</v>
      </c>
      <c r="WPL102" s="529" t="str">
        <f>VLOOKUP(WPK102,[14]AssetDetails_UEM!$A$3:$AH$1849,6,FALSE)</f>
        <v>Electrosurgical Units, Monopolar/Bipolar</v>
      </c>
      <c r="WPM102" s="528" t="s">
        <v>213</v>
      </c>
      <c r="WPN102" s="529" t="str">
        <f>VLOOKUP(WPM102,[14]AssetDetails_UEM!$A$3:$AH$1849,6,FALSE)</f>
        <v>Electrosurgical Units, Monopolar/Bipolar</v>
      </c>
      <c r="WPO102" s="528" t="s">
        <v>213</v>
      </c>
      <c r="WPP102" s="529" t="str">
        <f>VLOOKUP(WPO102,[14]AssetDetails_UEM!$A$3:$AH$1849,6,FALSE)</f>
        <v>Electrosurgical Units, Monopolar/Bipolar</v>
      </c>
      <c r="WPQ102" s="528" t="s">
        <v>213</v>
      </c>
      <c r="WPR102" s="529" t="str">
        <f>VLOOKUP(WPQ102,[14]AssetDetails_UEM!$A$3:$AH$1849,6,FALSE)</f>
        <v>Electrosurgical Units, Monopolar/Bipolar</v>
      </c>
      <c r="WPS102" s="528" t="s">
        <v>213</v>
      </c>
      <c r="WPT102" s="529" t="str">
        <f>VLOOKUP(WPS102,[14]AssetDetails_UEM!$A$3:$AH$1849,6,FALSE)</f>
        <v>Electrosurgical Units, Monopolar/Bipolar</v>
      </c>
      <c r="WPU102" s="528" t="s">
        <v>213</v>
      </c>
      <c r="WPV102" s="529" t="str">
        <f>VLOOKUP(WPU102,[14]AssetDetails_UEM!$A$3:$AH$1849,6,FALSE)</f>
        <v>Electrosurgical Units, Monopolar/Bipolar</v>
      </c>
      <c r="WPW102" s="528" t="s">
        <v>213</v>
      </c>
      <c r="WPX102" s="529" t="str">
        <f>VLOOKUP(WPW102,[14]AssetDetails_UEM!$A$3:$AH$1849,6,FALSE)</f>
        <v>Electrosurgical Units, Monopolar/Bipolar</v>
      </c>
      <c r="WPY102" s="528" t="s">
        <v>213</v>
      </c>
      <c r="WPZ102" s="529" t="str">
        <f>VLOOKUP(WPY102,[14]AssetDetails_UEM!$A$3:$AH$1849,6,FALSE)</f>
        <v>Electrosurgical Units, Monopolar/Bipolar</v>
      </c>
      <c r="WQA102" s="528" t="s">
        <v>213</v>
      </c>
      <c r="WQB102" s="529" t="str">
        <f>VLOOKUP(WQA102,[14]AssetDetails_UEM!$A$3:$AH$1849,6,FALSE)</f>
        <v>Electrosurgical Units, Monopolar/Bipolar</v>
      </c>
      <c r="WQC102" s="528" t="s">
        <v>213</v>
      </c>
      <c r="WQD102" s="529" t="str">
        <f>VLOOKUP(WQC102,[14]AssetDetails_UEM!$A$3:$AH$1849,6,FALSE)</f>
        <v>Electrosurgical Units, Monopolar/Bipolar</v>
      </c>
      <c r="WQE102" s="528" t="s">
        <v>213</v>
      </c>
      <c r="WQF102" s="529" t="str">
        <f>VLOOKUP(WQE102,[14]AssetDetails_UEM!$A$3:$AH$1849,6,FALSE)</f>
        <v>Electrosurgical Units, Monopolar/Bipolar</v>
      </c>
      <c r="WQG102" s="528" t="s">
        <v>213</v>
      </c>
      <c r="WQH102" s="529" t="str">
        <f>VLOOKUP(WQG102,[14]AssetDetails_UEM!$A$3:$AH$1849,6,FALSE)</f>
        <v>Electrosurgical Units, Monopolar/Bipolar</v>
      </c>
      <c r="WQI102" s="528" t="s">
        <v>213</v>
      </c>
      <c r="WQJ102" s="529" t="str">
        <f>VLOOKUP(WQI102,[14]AssetDetails_UEM!$A$3:$AH$1849,6,FALSE)</f>
        <v>Electrosurgical Units, Monopolar/Bipolar</v>
      </c>
      <c r="WQK102" s="528" t="s">
        <v>213</v>
      </c>
      <c r="WQL102" s="529" t="str">
        <f>VLOOKUP(WQK102,[14]AssetDetails_UEM!$A$3:$AH$1849,6,FALSE)</f>
        <v>Electrosurgical Units, Monopolar/Bipolar</v>
      </c>
      <c r="WQM102" s="528" t="s">
        <v>213</v>
      </c>
      <c r="WQN102" s="529" t="str">
        <f>VLOOKUP(WQM102,[14]AssetDetails_UEM!$A$3:$AH$1849,6,FALSE)</f>
        <v>Electrosurgical Units, Monopolar/Bipolar</v>
      </c>
      <c r="WQO102" s="528" t="s">
        <v>213</v>
      </c>
      <c r="WQP102" s="529" t="str">
        <f>VLOOKUP(WQO102,[14]AssetDetails_UEM!$A$3:$AH$1849,6,FALSE)</f>
        <v>Electrosurgical Units, Monopolar/Bipolar</v>
      </c>
      <c r="WQQ102" s="528" t="s">
        <v>213</v>
      </c>
      <c r="WQR102" s="529" t="str">
        <f>VLOOKUP(WQQ102,[14]AssetDetails_UEM!$A$3:$AH$1849,6,FALSE)</f>
        <v>Electrosurgical Units, Monopolar/Bipolar</v>
      </c>
      <c r="WQS102" s="528" t="s">
        <v>213</v>
      </c>
      <c r="WQT102" s="529" t="str">
        <f>VLOOKUP(WQS102,[14]AssetDetails_UEM!$A$3:$AH$1849,6,FALSE)</f>
        <v>Electrosurgical Units, Monopolar/Bipolar</v>
      </c>
      <c r="WQU102" s="528" t="s">
        <v>213</v>
      </c>
      <c r="WQV102" s="529" t="str">
        <f>VLOOKUP(WQU102,[14]AssetDetails_UEM!$A$3:$AH$1849,6,FALSE)</f>
        <v>Electrosurgical Units, Monopolar/Bipolar</v>
      </c>
      <c r="WQW102" s="528" t="s">
        <v>213</v>
      </c>
      <c r="WQX102" s="529" t="str">
        <f>VLOOKUP(WQW102,[14]AssetDetails_UEM!$A$3:$AH$1849,6,FALSE)</f>
        <v>Electrosurgical Units, Monopolar/Bipolar</v>
      </c>
      <c r="WQY102" s="528" t="s">
        <v>213</v>
      </c>
      <c r="WQZ102" s="529" t="str">
        <f>VLOOKUP(WQY102,[14]AssetDetails_UEM!$A$3:$AH$1849,6,FALSE)</f>
        <v>Electrosurgical Units, Monopolar/Bipolar</v>
      </c>
      <c r="WRA102" s="528" t="s">
        <v>213</v>
      </c>
      <c r="WRB102" s="529" t="str">
        <f>VLOOKUP(WRA102,[14]AssetDetails_UEM!$A$3:$AH$1849,6,FALSE)</f>
        <v>Electrosurgical Units, Monopolar/Bipolar</v>
      </c>
      <c r="WRC102" s="528" t="s">
        <v>213</v>
      </c>
      <c r="WRD102" s="529" t="str">
        <f>VLOOKUP(WRC102,[14]AssetDetails_UEM!$A$3:$AH$1849,6,FALSE)</f>
        <v>Electrosurgical Units, Monopolar/Bipolar</v>
      </c>
      <c r="WRE102" s="528" t="s">
        <v>213</v>
      </c>
      <c r="WRF102" s="529" t="str">
        <f>VLOOKUP(WRE102,[14]AssetDetails_UEM!$A$3:$AH$1849,6,FALSE)</f>
        <v>Electrosurgical Units, Monopolar/Bipolar</v>
      </c>
      <c r="WRG102" s="528" t="s">
        <v>213</v>
      </c>
      <c r="WRH102" s="529" t="str">
        <f>VLOOKUP(WRG102,[14]AssetDetails_UEM!$A$3:$AH$1849,6,FALSE)</f>
        <v>Electrosurgical Units, Monopolar/Bipolar</v>
      </c>
      <c r="WRI102" s="528" t="s">
        <v>213</v>
      </c>
      <c r="WRJ102" s="529" t="str">
        <f>VLOOKUP(WRI102,[14]AssetDetails_UEM!$A$3:$AH$1849,6,FALSE)</f>
        <v>Electrosurgical Units, Monopolar/Bipolar</v>
      </c>
      <c r="WRK102" s="528" t="s">
        <v>213</v>
      </c>
      <c r="WRL102" s="529" t="str">
        <f>VLOOKUP(WRK102,[14]AssetDetails_UEM!$A$3:$AH$1849,6,FALSE)</f>
        <v>Electrosurgical Units, Monopolar/Bipolar</v>
      </c>
      <c r="WRM102" s="528" t="s">
        <v>213</v>
      </c>
      <c r="WRN102" s="529" t="str">
        <f>VLOOKUP(WRM102,[14]AssetDetails_UEM!$A$3:$AH$1849,6,FALSE)</f>
        <v>Electrosurgical Units, Monopolar/Bipolar</v>
      </c>
      <c r="WRO102" s="528" t="s">
        <v>213</v>
      </c>
      <c r="WRP102" s="529" t="str">
        <f>VLOOKUP(WRO102,[14]AssetDetails_UEM!$A$3:$AH$1849,6,FALSE)</f>
        <v>Electrosurgical Units, Monopolar/Bipolar</v>
      </c>
      <c r="WRQ102" s="528" t="s">
        <v>213</v>
      </c>
      <c r="WRR102" s="529" t="str">
        <f>VLOOKUP(WRQ102,[14]AssetDetails_UEM!$A$3:$AH$1849,6,FALSE)</f>
        <v>Electrosurgical Units, Monopolar/Bipolar</v>
      </c>
      <c r="WRS102" s="528" t="s">
        <v>213</v>
      </c>
      <c r="WRT102" s="529" t="str">
        <f>VLOOKUP(WRS102,[14]AssetDetails_UEM!$A$3:$AH$1849,6,FALSE)</f>
        <v>Electrosurgical Units, Monopolar/Bipolar</v>
      </c>
      <c r="WRU102" s="528" t="s">
        <v>213</v>
      </c>
      <c r="WRV102" s="529" t="str">
        <f>VLOOKUP(WRU102,[14]AssetDetails_UEM!$A$3:$AH$1849,6,FALSE)</f>
        <v>Electrosurgical Units, Monopolar/Bipolar</v>
      </c>
      <c r="WRW102" s="528" t="s">
        <v>213</v>
      </c>
      <c r="WRX102" s="529" t="str">
        <f>VLOOKUP(WRW102,[14]AssetDetails_UEM!$A$3:$AH$1849,6,FALSE)</f>
        <v>Electrosurgical Units, Monopolar/Bipolar</v>
      </c>
      <c r="WRY102" s="528" t="s">
        <v>213</v>
      </c>
      <c r="WRZ102" s="529" t="str">
        <f>VLOOKUP(WRY102,[14]AssetDetails_UEM!$A$3:$AH$1849,6,FALSE)</f>
        <v>Electrosurgical Units, Monopolar/Bipolar</v>
      </c>
      <c r="WSA102" s="528" t="s">
        <v>213</v>
      </c>
      <c r="WSB102" s="529" t="str">
        <f>VLOOKUP(WSA102,[14]AssetDetails_UEM!$A$3:$AH$1849,6,FALSE)</f>
        <v>Electrosurgical Units, Monopolar/Bipolar</v>
      </c>
      <c r="WSC102" s="528" t="s">
        <v>213</v>
      </c>
      <c r="WSD102" s="529" t="str">
        <f>VLOOKUP(WSC102,[14]AssetDetails_UEM!$A$3:$AH$1849,6,FALSE)</f>
        <v>Electrosurgical Units, Monopolar/Bipolar</v>
      </c>
      <c r="WSE102" s="528" t="s">
        <v>213</v>
      </c>
      <c r="WSF102" s="529" t="str">
        <f>VLOOKUP(WSE102,[14]AssetDetails_UEM!$A$3:$AH$1849,6,FALSE)</f>
        <v>Electrosurgical Units, Monopolar/Bipolar</v>
      </c>
      <c r="WSG102" s="528" t="s">
        <v>213</v>
      </c>
      <c r="WSH102" s="529" t="str">
        <f>VLOOKUP(WSG102,[14]AssetDetails_UEM!$A$3:$AH$1849,6,FALSE)</f>
        <v>Electrosurgical Units, Monopolar/Bipolar</v>
      </c>
      <c r="WSI102" s="528" t="s">
        <v>213</v>
      </c>
      <c r="WSJ102" s="529" t="str">
        <f>VLOOKUP(WSI102,[14]AssetDetails_UEM!$A$3:$AH$1849,6,FALSE)</f>
        <v>Electrosurgical Units, Monopolar/Bipolar</v>
      </c>
      <c r="WSK102" s="528" t="s">
        <v>213</v>
      </c>
      <c r="WSL102" s="529" t="str">
        <f>VLOOKUP(WSK102,[14]AssetDetails_UEM!$A$3:$AH$1849,6,FALSE)</f>
        <v>Electrosurgical Units, Monopolar/Bipolar</v>
      </c>
      <c r="WSM102" s="528" t="s">
        <v>213</v>
      </c>
      <c r="WSN102" s="529" t="str">
        <f>VLOOKUP(WSM102,[14]AssetDetails_UEM!$A$3:$AH$1849,6,FALSE)</f>
        <v>Electrosurgical Units, Monopolar/Bipolar</v>
      </c>
      <c r="WSO102" s="528" t="s">
        <v>213</v>
      </c>
      <c r="WSP102" s="529" t="str">
        <f>VLOOKUP(WSO102,[14]AssetDetails_UEM!$A$3:$AH$1849,6,FALSE)</f>
        <v>Electrosurgical Units, Monopolar/Bipolar</v>
      </c>
      <c r="WSQ102" s="528" t="s">
        <v>213</v>
      </c>
      <c r="WSR102" s="529" t="str">
        <f>VLOOKUP(WSQ102,[14]AssetDetails_UEM!$A$3:$AH$1849,6,FALSE)</f>
        <v>Electrosurgical Units, Monopolar/Bipolar</v>
      </c>
      <c r="WSS102" s="528" t="s">
        <v>213</v>
      </c>
      <c r="WST102" s="529" t="str">
        <f>VLOOKUP(WSS102,[14]AssetDetails_UEM!$A$3:$AH$1849,6,FALSE)</f>
        <v>Electrosurgical Units, Monopolar/Bipolar</v>
      </c>
      <c r="WSU102" s="528" t="s">
        <v>213</v>
      </c>
      <c r="WSV102" s="529" t="str">
        <f>VLOOKUP(WSU102,[14]AssetDetails_UEM!$A$3:$AH$1849,6,FALSE)</f>
        <v>Electrosurgical Units, Monopolar/Bipolar</v>
      </c>
      <c r="WSW102" s="528" t="s">
        <v>213</v>
      </c>
      <c r="WSX102" s="529" t="str">
        <f>VLOOKUP(WSW102,[14]AssetDetails_UEM!$A$3:$AH$1849,6,FALSE)</f>
        <v>Electrosurgical Units, Monopolar/Bipolar</v>
      </c>
      <c r="WSY102" s="528" t="s">
        <v>213</v>
      </c>
      <c r="WSZ102" s="529" t="str">
        <f>VLOOKUP(WSY102,[14]AssetDetails_UEM!$A$3:$AH$1849,6,FALSE)</f>
        <v>Electrosurgical Units, Monopolar/Bipolar</v>
      </c>
      <c r="WTA102" s="528" t="s">
        <v>213</v>
      </c>
      <c r="WTB102" s="529" t="str">
        <f>VLOOKUP(WTA102,[14]AssetDetails_UEM!$A$3:$AH$1849,6,FALSE)</f>
        <v>Electrosurgical Units, Monopolar/Bipolar</v>
      </c>
      <c r="WTC102" s="528" t="s">
        <v>213</v>
      </c>
      <c r="WTD102" s="529" t="str">
        <f>VLOOKUP(WTC102,[14]AssetDetails_UEM!$A$3:$AH$1849,6,FALSE)</f>
        <v>Electrosurgical Units, Monopolar/Bipolar</v>
      </c>
      <c r="WTE102" s="528" t="s">
        <v>213</v>
      </c>
      <c r="WTF102" s="529" t="str">
        <f>VLOOKUP(WTE102,[14]AssetDetails_UEM!$A$3:$AH$1849,6,FALSE)</f>
        <v>Electrosurgical Units, Monopolar/Bipolar</v>
      </c>
      <c r="WTG102" s="528" t="s">
        <v>213</v>
      </c>
      <c r="WTH102" s="529" t="str">
        <f>VLOOKUP(WTG102,[14]AssetDetails_UEM!$A$3:$AH$1849,6,FALSE)</f>
        <v>Electrosurgical Units, Monopolar/Bipolar</v>
      </c>
      <c r="WTI102" s="528" t="s">
        <v>213</v>
      </c>
      <c r="WTJ102" s="529" t="str">
        <f>VLOOKUP(WTI102,[14]AssetDetails_UEM!$A$3:$AH$1849,6,FALSE)</f>
        <v>Electrosurgical Units, Monopolar/Bipolar</v>
      </c>
      <c r="WTK102" s="528" t="s">
        <v>213</v>
      </c>
      <c r="WTL102" s="529" t="str">
        <f>VLOOKUP(WTK102,[14]AssetDetails_UEM!$A$3:$AH$1849,6,FALSE)</f>
        <v>Electrosurgical Units, Monopolar/Bipolar</v>
      </c>
      <c r="WTM102" s="528" t="s">
        <v>213</v>
      </c>
      <c r="WTN102" s="529" t="str">
        <f>VLOOKUP(WTM102,[14]AssetDetails_UEM!$A$3:$AH$1849,6,FALSE)</f>
        <v>Electrosurgical Units, Monopolar/Bipolar</v>
      </c>
      <c r="WTO102" s="528" t="s">
        <v>213</v>
      </c>
      <c r="WTP102" s="529" t="str">
        <f>VLOOKUP(WTO102,[14]AssetDetails_UEM!$A$3:$AH$1849,6,FALSE)</f>
        <v>Electrosurgical Units, Monopolar/Bipolar</v>
      </c>
      <c r="WTQ102" s="528" t="s">
        <v>213</v>
      </c>
      <c r="WTR102" s="529" t="str">
        <f>VLOOKUP(WTQ102,[14]AssetDetails_UEM!$A$3:$AH$1849,6,FALSE)</f>
        <v>Electrosurgical Units, Monopolar/Bipolar</v>
      </c>
      <c r="WTS102" s="528" t="s">
        <v>213</v>
      </c>
      <c r="WTT102" s="529" t="str">
        <f>VLOOKUP(WTS102,[14]AssetDetails_UEM!$A$3:$AH$1849,6,FALSE)</f>
        <v>Electrosurgical Units, Monopolar/Bipolar</v>
      </c>
      <c r="WTU102" s="528" t="s">
        <v>213</v>
      </c>
      <c r="WTV102" s="529" t="str">
        <f>VLOOKUP(WTU102,[14]AssetDetails_UEM!$A$3:$AH$1849,6,FALSE)</f>
        <v>Electrosurgical Units, Monopolar/Bipolar</v>
      </c>
      <c r="WTW102" s="528" t="s">
        <v>213</v>
      </c>
      <c r="WTX102" s="529" t="str">
        <f>VLOOKUP(WTW102,[14]AssetDetails_UEM!$A$3:$AH$1849,6,FALSE)</f>
        <v>Electrosurgical Units, Monopolar/Bipolar</v>
      </c>
      <c r="WTY102" s="528" t="s">
        <v>213</v>
      </c>
      <c r="WTZ102" s="529" t="str">
        <f>VLOOKUP(WTY102,[14]AssetDetails_UEM!$A$3:$AH$1849,6,FALSE)</f>
        <v>Electrosurgical Units, Monopolar/Bipolar</v>
      </c>
      <c r="WUA102" s="528" t="s">
        <v>213</v>
      </c>
      <c r="WUB102" s="529" t="str">
        <f>VLOOKUP(WUA102,[14]AssetDetails_UEM!$A$3:$AH$1849,6,FALSE)</f>
        <v>Electrosurgical Units, Monopolar/Bipolar</v>
      </c>
      <c r="WUC102" s="528" t="s">
        <v>213</v>
      </c>
      <c r="WUD102" s="529" t="str">
        <f>VLOOKUP(WUC102,[14]AssetDetails_UEM!$A$3:$AH$1849,6,FALSE)</f>
        <v>Electrosurgical Units, Monopolar/Bipolar</v>
      </c>
      <c r="WUE102" s="528" t="s">
        <v>213</v>
      </c>
      <c r="WUF102" s="529" t="str">
        <f>VLOOKUP(WUE102,[14]AssetDetails_UEM!$A$3:$AH$1849,6,FALSE)</f>
        <v>Electrosurgical Units, Monopolar/Bipolar</v>
      </c>
      <c r="WUG102" s="528" t="s">
        <v>213</v>
      </c>
      <c r="WUH102" s="529" t="str">
        <f>VLOOKUP(WUG102,[14]AssetDetails_UEM!$A$3:$AH$1849,6,FALSE)</f>
        <v>Electrosurgical Units, Monopolar/Bipolar</v>
      </c>
      <c r="WUI102" s="528" t="s">
        <v>213</v>
      </c>
      <c r="WUJ102" s="529" t="str">
        <f>VLOOKUP(WUI102,[14]AssetDetails_UEM!$A$3:$AH$1849,6,FALSE)</f>
        <v>Electrosurgical Units, Monopolar/Bipolar</v>
      </c>
      <c r="WUK102" s="528" t="s">
        <v>213</v>
      </c>
      <c r="WUL102" s="529" t="str">
        <f>VLOOKUP(WUK102,[14]AssetDetails_UEM!$A$3:$AH$1849,6,FALSE)</f>
        <v>Electrosurgical Units, Monopolar/Bipolar</v>
      </c>
      <c r="WUM102" s="528" t="s">
        <v>213</v>
      </c>
      <c r="WUN102" s="529" t="str">
        <f>VLOOKUP(WUM102,[14]AssetDetails_UEM!$A$3:$AH$1849,6,FALSE)</f>
        <v>Electrosurgical Units, Monopolar/Bipolar</v>
      </c>
      <c r="WUO102" s="528" t="s">
        <v>213</v>
      </c>
      <c r="WUP102" s="529" t="str">
        <f>VLOOKUP(WUO102,[14]AssetDetails_UEM!$A$3:$AH$1849,6,FALSE)</f>
        <v>Electrosurgical Units, Monopolar/Bipolar</v>
      </c>
      <c r="WUQ102" s="528" t="s">
        <v>213</v>
      </c>
      <c r="WUR102" s="529" t="str">
        <f>VLOOKUP(WUQ102,[14]AssetDetails_UEM!$A$3:$AH$1849,6,FALSE)</f>
        <v>Electrosurgical Units, Monopolar/Bipolar</v>
      </c>
      <c r="WUS102" s="528" t="s">
        <v>213</v>
      </c>
      <c r="WUT102" s="529" t="str">
        <f>VLOOKUP(WUS102,[14]AssetDetails_UEM!$A$3:$AH$1849,6,FALSE)</f>
        <v>Electrosurgical Units, Monopolar/Bipolar</v>
      </c>
      <c r="WUU102" s="528" t="s">
        <v>213</v>
      </c>
      <c r="WUV102" s="529" t="str">
        <f>VLOOKUP(WUU102,[14]AssetDetails_UEM!$A$3:$AH$1849,6,FALSE)</f>
        <v>Electrosurgical Units, Monopolar/Bipolar</v>
      </c>
      <c r="WUW102" s="528" t="s">
        <v>213</v>
      </c>
      <c r="WUX102" s="529" t="str">
        <f>VLOOKUP(WUW102,[14]AssetDetails_UEM!$A$3:$AH$1849,6,FALSE)</f>
        <v>Electrosurgical Units, Monopolar/Bipolar</v>
      </c>
      <c r="WUY102" s="528" t="s">
        <v>213</v>
      </c>
      <c r="WUZ102" s="529" t="str">
        <f>VLOOKUP(WUY102,[14]AssetDetails_UEM!$A$3:$AH$1849,6,FALSE)</f>
        <v>Electrosurgical Units, Monopolar/Bipolar</v>
      </c>
      <c r="WVA102" s="528" t="s">
        <v>213</v>
      </c>
      <c r="WVB102" s="529" t="str">
        <f>VLOOKUP(WVA102,[14]AssetDetails_UEM!$A$3:$AH$1849,6,FALSE)</f>
        <v>Electrosurgical Units, Monopolar/Bipolar</v>
      </c>
      <c r="WVC102" s="528" t="s">
        <v>213</v>
      </c>
      <c r="WVD102" s="529" t="str">
        <f>VLOOKUP(WVC102,[14]AssetDetails_UEM!$A$3:$AH$1849,6,FALSE)</f>
        <v>Electrosurgical Units, Monopolar/Bipolar</v>
      </c>
      <c r="WVE102" s="528" t="s">
        <v>213</v>
      </c>
      <c r="WVF102" s="529" t="str">
        <f>VLOOKUP(WVE102,[14]AssetDetails_UEM!$A$3:$AH$1849,6,FALSE)</f>
        <v>Electrosurgical Units, Monopolar/Bipolar</v>
      </c>
      <c r="WVG102" s="528" t="s">
        <v>213</v>
      </c>
      <c r="WVH102" s="529" t="str">
        <f>VLOOKUP(WVG102,[14]AssetDetails_UEM!$A$3:$AH$1849,6,FALSE)</f>
        <v>Electrosurgical Units, Monopolar/Bipolar</v>
      </c>
      <c r="WVI102" s="528" t="s">
        <v>213</v>
      </c>
      <c r="WVJ102" s="529" t="str">
        <f>VLOOKUP(WVI102,[14]AssetDetails_UEM!$A$3:$AH$1849,6,FALSE)</f>
        <v>Electrosurgical Units, Monopolar/Bipolar</v>
      </c>
      <c r="WVK102" s="528" t="s">
        <v>213</v>
      </c>
      <c r="WVL102" s="529" t="str">
        <f>VLOOKUP(WVK102,[14]AssetDetails_UEM!$A$3:$AH$1849,6,FALSE)</f>
        <v>Electrosurgical Units, Monopolar/Bipolar</v>
      </c>
      <c r="WVM102" s="528" t="s">
        <v>213</v>
      </c>
      <c r="WVN102" s="529" t="str">
        <f>VLOOKUP(WVM102,[14]AssetDetails_UEM!$A$3:$AH$1849,6,FALSE)</f>
        <v>Electrosurgical Units, Monopolar/Bipolar</v>
      </c>
      <c r="WVO102" s="528" t="s">
        <v>213</v>
      </c>
      <c r="WVP102" s="529" t="str">
        <f>VLOOKUP(WVO102,[14]AssetDetails_UEM!$A$3:$AH$1849,6,FALSE)</f>
        <v>Electrosurgical Units, Monopolar/Bipolar</v>
      </c>
      <c r="WVQ102" s="528" t="s">
        <v>213</v>
      </c>
      <c r="WVR102" s="529" t="str">
        <f>VLOOKUP(WVQ102,[14]AssetDetails_UEM!$A$3:$AH$1849,6,FALSE)</f>
        <v>Electrosurgical Units, Monopolar/Bipolar</v>
      </c>
      <c r="WVS102" s="528" t="s">
        <v>213</v>
      </c>
      <c r="WVT102" s="529" t="str">
        <f>VLOOKUP(WVS102,[14]AssetDetails_UEM!$A$3:$AH$1849,6,FALSE)</f>
        <v>Electrosurgical Units, Monopolar/Bipolar</v>
      </c>
      <c r="WVU102" s="528" t="s">
        <v>213</v>
      </c>
      <c r="WVV102" s="529" t="str">
        <f>VLOOKUP(WVU102,[14]AssetDetails_UEM!$A$3:$AH$1849,6,FALSE)</f>
        <v>Electrosurgical Units, Monopolar/Bipolar</v>
      </c>
      <c r="WVW102" s="528" t="s">
        <v>213</v>
      </c>
      <c r="WVX102" s="529" t="str">
        <f>VLOOKUP(WVW102,[14]AssetDetails_UEM!$A$3:$AH$1849,6,FALSE)</f>
        <v>Electrosurgical Units, Monopolar/Bipolar</v>
      </c>
      <c r="WVY102" s="528" t="s">
        <v>213</v>
      </c>
      <c r="WVZ102" s="529" t="str">
        <f>VLOOKUP(WVY102,[14]AssetDetails_UEM!$A$3:$AH$1849,6,FALSE)</f>
        <v>Electrosurgical Units, Monopolar/Bipolar</v>
      </c>
      <c r="WWA102" s="528" t="s">
        <v>213</v>
      </c>
      <c r="WWB102" s="529" t="str">
        <f>VLOOKUP(WWA102,[14]AssetDetails_UEM!$A$3:$AH$1849,6,FALSE)</f>
        <v>Electrosurgical Units, Monopolar/Bipolar</v>
      </c>
      <c r="WWC102" s="528" t="s">
        <v>213</v>
      </c>
      <c r="WWD102" s="529" t="str">
        <f>VLOOKUP(WWC102,[14]AssetDetails_UEM!$A$3:$AH$1849,6,FALSE)</f>
        <v>Electrosurgical Units, Monopolar/Bipolar</v>
      </c>
      <c r="WWE102" s="528" t="s">
        <v>213</v>
      </c>
      <c r="WWF102" s="529" t="str">
        <f>VLOOKUP(WWE102,[14]AssetDetails_UEM!$A$3:$AH$1849,6,FALSE)</f>
        <v>Electrosurgical Units, Monopolar/Bipolar</v>
      </c>
      <c r="WWG102" s="528" t="s">
        <v>213</v>
      </c>
      <c r="WWH102" s="529" t="str">
        <f>VLOOKUP(WWG102,[14]AssetDetails_UEM!$A$3:$AH$1849,6,FALSE)</f>
        <v>Electrosurgical Units, Monopolar/Bipolar</v>
      </c>
      <c r="WWI102" s="528" t="s">
        <v>213</v>
      </c>
      <c r="WWJ102" s="529" t="str">
        <f>VLOOKUP(WWI102,[14]AssetDetails_UEM!$A$3:$AH$1849,6,FALSE)</f>
        <v>Electrosurgical Units, Monopolar/Bipolar</v>
      </c>
      <c r="WWK102" s="528" t="s">
        <v>213</v>
      </c>
      <c r="WWL102" s="529" t="str">
        <f>VLOOKUP(WWK102,[14]AssetDetails_UEM!$A$3:$AH$1849,6,FALSE)</f>
        <v>Electrosurgical Units, Monopolar/Bipolar</v>
      </c>
      <c r="WWM102" s="528" t="s">
        <v>213</v>
      </c>
      <c r="WWN102" s="529" t="str">
        <f>VLOOKUP(WWM102,[14]AssetDetails_UEM!$A$3:$AH$1849,6,FALSE)</f>
        <v>Electrosurgical Units, Monopolar/Bipolar</v>
      </c>
      <c r="WWO102" s="528" t="s">
        <v>213</v>
      </c>
      <c r="WWP102" s="529" t="str">
        <f>VLOOKUP(WWO102,[14]AssetDetails_UEM!$A$3:$AH$1849,6,FALSE)</f>
        <v>Electrosurgical Units, Monopolar/Bipolar</v>
      </c>
      <c r="WWQ102" s="528" t="s">
        <v>213</v>
      </c>
      <c r="WWR102" s="529" t="str">
        <f>VLOOKUP(WWQ102,[14]AssetDetails_UEM!$A$3:$AH$1849,6,FALSE)</f>
        <v>Electrosurgical Units, Monopolar/Bipolar</v>
      </c>
      <c r="WWS102" s="528" t="s">
        <v>213</v>
      </c>
      <c r="WWT102" s="529" t="str">
        <f>VLOOKUP(WWS102,[14]AssetDetails_UEM!$A$3:$AH$1849,6,FALSE)</f>
        <v>Electrosurgical Units, Monopolar/Bipolar</v>
      </c>
      <c r="WWU102" s="528" t="s">
        <v>213</v>
      </c>
      <c r="WWV102" s="529" t="str">
        <f>VLOOKUP(WWU102,[14]AssetDetails_UEM!$A$3:$AH$1849,6,FALSE)</f>
        <v>Electrosurgical Units, Monopolar/Bipolar</v>
      </c>
      <c r="WWW102" s="528" t="s">
        <v>213</v>
      </c>
      <c r="WWX102" s="529" t="str">
        <f>VLOOKUP(WWW102,[14]AssetDetails_UEM!$A$3:$AH$1849,6,FALSE)</f>
        <v>Electrosurgical Units, Monopolar/Bipolar</v>
      </c>
      <c r="WWY102" s="528" t="s">
        <v>213</v>
      </c>
      <c r="WWZ102" s="529" t="str">
        <f>VLOOKUP(WWY102,[14]AssetDetails_UEM!$A$3:$AH$1849,6,FALSE)</f>
        <v>Electrosurgical Units, Monopolar/Bipolar</v>
      </c>
      <c r="WXA102" s="528" t="s">
        <v>213</v>
      </c>
      <c r="WXB102" s="529" t="str">
        <f>VLOOKUP(WXA102,[14]AssetDetails_UEM!$A$3:$AH$1849,6,FALSE)</f>
        <v>Electrosurgical Units, Monopolar/Bipolar</v>
      </c>
      <c r="WXC102" s="528" t="s">
        <v>213</v>
      </c>
      <c r="WXD102" s="529" t="str">
        <f>VLOOKUP(WXC102,[14]AssetDetails_UEM!$A$3:$AH$1849,6,FALSE)</f>
        <v>Electrosurgical Units, Monopolar/Bipolar</v>
      </c>
      <c r="WXE102" s="528" t="s">
        <v>213</v>
      </c>
      <c r="WXF102" s="529" t="str">
        <f>VLOOKUP(WXE102,[14]AssetDetails_UEM!$A$3:$AH$1849,6,FALSE)</f>
        <v>Electrosurgical Units, Monopolar/Bipolar</v>
      </c>
      <c r="WXG102" s="528" t="s">
        <v>213</v>
      </c>
      <c r="WXH102" s="529" t="str">
        <f>VLOOKUP(WXG102,[14]AssetDetails_UEM!$A$3:$AH$1849,6,FALSE)</f>
        <v>Electrosurgical Units, Monopolar/Bipolar</v>
      </c>
      <c r="WXI102" s="528" t="s">
        <v>213</v>
      </c>
      <c r="WXJ102" s="529" t="str">
        <f>VLOOKUP(WXI102,[14]AssetDetails_UEM!$A$3:$AH$1849,6,FALSE)</f>
        <v>Electrosurgical Units, Monopolar/Bipolar</v>
      </c>
      <c r="WXK102" s="528" t="s">
        <v>213</v>
      </c>
      <c r="WXL102" s="529" t="str">
        <f>VLOOKUP(WXK102,[14]AssetDetails_UEM!$A$3:$AH$1849,6,FALSE)</f>
        <v>Electrosurgical Units, Monopolar/Bipolar</v>
      </c>
      <c r="WXM102" s="528" t="s">
        <v>213</v>
      </c>
      <c r="WXN102" s="529" t="str">
        <f>VLOOKUP(WXM102,[14]AssetDetails_UEM!$A$3:$AH$1849,6,FALSE)</f>
        <v>Electrosurgical Units, Monopolar/Bipolar</v>
      </c>
      <c r="WXO102" s="528" t="s">
        <v>213</v>
      </c>
      <c r="WXP102" s="529" t="str">
        <f>VLOOKUP(WXO102,[14]AssetDetails_UEM!$A$3:$AH$1849,6,FALSE)</f>
        <v>Electrosurgical Units, Monopolar/Bipolar</v>
      </c>
      <c r="WXQ102" s="528" t="s">
        <v>213</v>
      </c>
      <c r="WXR102" s="529" t="str">
        <f>VLOOKUP(WXQ102,[14]AssetDetails_UEM!$A$3:$AH$1849,6,FALSE)</f>
        <v>Electrosurgical Units, Monopolar/Bipolar</v>
      </c>
      <c r="WXS102" s="528" t="s">
        <v>213</v>
      </c>
      <c r="WXT102" s="529" t="str">
        <f>VLOOKUP(WXS102,[14]AssetDetails_UEM!$A$3:$AH$1849,6,FALSE)</f>
        <v>Electrosurgical Units, Monopolar/Bipolar</v>
      </c>
      <c r="WXU102" s="528" t="s">
        <v>213</v>
      </c>
      <c r="WXV102" s="529" t="str">
        <f>VLOOKUP(WXU102,[14]AssetDetails_UEM!$A$3:$AH$1849,6,FALSE)</f>
        <v>Electrosurgical Units, Monopolar/Bipolar</v>
      </c>
      <c r="WXW102" s="528" t="s">
        <v>213</v>
      </c>
      <c r="WXX102" s="529" t="str">
        <f>VLOOKUP(WXW102,[14]AssetDetails_UEM!$A$3:$AH$1849,6,FALSE)</f>
        <v>Electrosurgical Units, Monopolar/Bipolar</v>
      </c>
      <c r="WXY102" s="528" t="s">
        <v>213</v>
      </c>
      <c r="WXZ102" s="529" t="str">
        <f>VLOOKUP(WXY102,[14]AssetDetails_UEM!$A$3:$AH$1849,6,FALSE)</f>
        <v>Electrosurgical Units, Monopolar/Bipolar</v>
      </c>
      <c r="WYA102" s="528" t="s">
        <v>213</v>
      </c>
      <c r="WYB102" s="529" t="str">
        <f>VLOOKUP(WYA102,[14]AssetDetails_UEM!$A$3:$AH$1849,6,FALSE)</f>
        <v>Electrosurgical Units, Monopolar/Bipolar</v>
      </c>
      <c r="WYC102" s="528" t="s">
        <v>213</v>
      </c>
      <c r="WYD102" s="529" t="str">
        <f>VLOOKUP(WYC102,[14]AssetDetails_UEM!$A$3:$AH$1849,6,FALSE)</f>
        <v>Electrosurgical Units, Monopolar/Bipolar</v>
      </c>
      <c r="WYE102" s="528" t="s">
        <v>213</v>
      </c>
      <c r="WYF102" s="529" t="str">
        <f>VLOOKUP(WYE102,[14]AssetDetails_UEM!$A$3:$AH$1849,6,FALSE)</f>
        <v>Electrosurgical Units, Monopolar/Bipolar</v>
      </c>
      <c r="WYG102" s="528" t="s">
        <v>213</v>
      </c>
      <c r="WYH102" s="529" t="str">
        <f>VLOOKUP(WYG102,[14]AssetDetails_UEM!$A$3:$AH$1849,6,FALSE)</f>
        <v>Electrosurgical Units, Monopolar/Bipolar</v>
      </c>
      <c r="WYI102" s="528" t="s">
        <v>213</v>
      </c>
      <c r="WYJ102" s="529" t="str">
        <f>VLOOKUP(WYI102,[14]AssetDetails_UEM!$A$3:$AH$1849,6,FALSE)</f>
        <v>Electrosurgical Units, Monopolar/Bipolar</v>
      </c>
      <c r="WYK102" s="528" t="s">
        <v>213</v>
      </c>
      <c r="WYL102" s="529" t="str">
        <f>VLOOKUP(WYK102,[14]AssetDetails_UEM!$A$3:$AH$1849,6,FALSE)</f>
        <v>Electrosurgical Units, Monopolar/Bipolar</v>
      </c>
      <c r="WYM102" s="528" t="s">
        <v>213</v>
      </c>
      <c r="WYN102" s="529" t="str">
        <f>VLOOKUP(WYM102,[14]AssetDetails_UEM!$A$3:$AH$1849,6,FALSE)</f>
        <v>Electrosurgical Units, Monopolar/Bipolar</v>
      </c>
      <c r="WYO102" s="528" t="s">
        <v>213</v>
      </c>
      <c r="WYP102" s="529" t="str">
        <f>VLOOKUP(WYO102,[14]AssetDetails_UEM!$A$3:$AH$1849,6,FALSE)</f>
        <v>Electrosurgical Units, Monopolar/Bipolar</v>
      </c>
      <c r="WYQ102" s="528" t="s">
        <v>213</v>
      </c>
      <c r="WYR102" s="529" t="str">
        <f>VLOOKUP(WYQ102,[14]AssetDetails_UEM!$A$3:$AH$1849,6,FALSE)</f>
        <v>Electrosurgical Units, Monopolar/Bipolar</v>
      </c>
      <c r="WYS102" s="528" t="s">
        <v>213</v>
      </c>
      <c r="WYT102" s="529" t="str">
        <f>VLOOKUP(WYS102,[14]AssetDetails_UEM!$A$3:$AH$1849,6,FALSE)</f>
        <v>Electrosurgical Units, Monopolar/Bipolar</v>
      </c>
      <c r="WYU102" s="528" t="s">
        <v>213</v>
      </c>
      <c r="WYV102" s="529" t="str">
        <f>VLOOKUP(WYU102,[14]AssetDetails_UEM!$A$3:$AH$1849,6,FALSE)</f>
        <v>Electrosurgical Units, Monopolar/Bipolar</v>
      </c>
      <c r="WYW102" s="528" t="s">
        <v>213</v>
      </c>
      <c r="WYX102" s="529" t="str">
        <f>VLOOKUP(WYW102,[14]AssetDetails_UEM!$A$3:$AH$1849,6,FALSE)</f>
        <v>Electrosurgical Units, Monopolar/Bipolar</v>
      </c>
      <c r="WYY102" s="528" t="s">
        <v>213</v>
      </c>
      <c r="WYZ102" s="529" t="str">
        <f>VLOOKUP(WYY102,[14]AssetDetails_UEM!$A$3:$AH$1849,6,FALSE)</f>
        <v>Electrosurgical Units, Monopolar/Bipolar</v>
      </c>
      <c r="WZA102" s="528" t="s">
        <v>213</v>
      </c>
      <c r="WZB102" s="529" t="str">
        <f>VLOOKUP(WZA102,[14]AssetDetails_UEM!$A$3:$AH$1849,6,FALSE)</f>
        <v>Electrosurgical Units, Monopolar/Bipolar</v>
      </c>
      <c r="WZC102" s="528" t="s">
        <v>213</v>
      </c>
      <c r="WZD102" s="529" t="str">
        <f>VLOOKUP(WZC102,[14]AssetDetails_UEM!$A$3:$AH$1849,6,FALSE)</f>
        <v>Electrosurgical Units, Monopolar/Bipolar</v>
      </c>
      <c r="WZE102" s="528" t="s">
        <v>213</v>
      </c>
      <c r="WZF102" s="529" t="str">
        <f>VLOOKUP(WZE102,[14]AssetDetails_UEM!$A$3:$AH$1849,6,FALSE)</f>
        <v>Electrosurgical Units, Monopolar/Bipolar</v>
      </c>
      <c r="WZG102" s="528" t="s">
        <v>213</v>
      </c>
      <c r="WZH102" s="529" t="str">
        <f>VLOOKUP(WZG102,[14]AssetDetails_UEM!$A$3:$AH$1849,6,FALSE)</f>
        <v>Electrosurgical Units, Monopolar/Bipolar</v>
      </c>
      <c r="WZI102" s="528" t="s">
        <v>213</v>
      </c>
      <c r="WZJ102" s="529" t="str">
        <f>VLOOKUP(WZI102,[14]AssetDetails_UEM!$A$3:$AH$1849,6,FALSE)</f>
        <v>Electrosurgical Units, Monopolar/Bipolar</v>
      </c>
      <c r="WZK102" s="528" t="s">
        <v>213</v>
      </c>
      <c r="WZL102" s="529" t="str">
        <f>VLOOKUP(WZK102,[14]AssetDetails_UEM!$A$3:$AH$1849,6,FALSE)</f>
        <v>Electrosurgical Units, Monopolar/Bipolar</v>
      </c>
      <c r="WZM102" s="528" t="s">
        <v>213</v>
      </c>
      <c r="WZN102" s="529" t="str">
        <f>VLOOKUP(WZM102,[14]AssetDetails_UEM!$A$3:$AH$1849,6,FALSE)</f>
        <v>Electrosurgical Units, Monopolar/Bipolar</v>
      </c>
      <c r="WZO102" s="528" t="s">
        <v>213</v>
      </c>
      <c r="WZP102" s="529" t="str">
        <f>VLOOKUP(WZO102,[14]AssetDetails_UEM!$A$3:$AH$1849,6,FALSE)</f>
        <v>Electrosurgical Units, Monopolar/Bipolar</v>
      </c>
      <c r="WZQ102" s="528" t="s">
        <v>213</v>
      </c>
      <c r="WZR102" s="529" t="str">
        <f>VLOOKUP(WZQ102,[14]AssetDetails_UEM!$A$3:$AH$1849,6,FALSE)</f>
        <v>Electrosurgical Units, Monopolar/Bipolar</v>
      </c>
      <c r="WZS102" s="528" t="s">
        <v>213</v>
      </c>
      <c r="WZT102" s="529" t="str">
        <f>VLOOKUP(WZS102,[14]AssetDetails_UEM!$A$3:$AH$1849,6,FALSE)</f>
        <v>Electrosurgical Units, Monopolar/Bipolar</v>
      </c>
      <c r="WZU102" s="528" t="s">
        <v>213</v>
      </c>
      <c r="WZV102" s="529" t="str">
        <f>VLOOKUP(WZU102,[14]AssetDetails_UEM!$A$3:$AH$1849,6,FALSE)</f>
        <v>Electrosurgical Units, Monopolar/Bipolar</v>
      </c>
      <c r="WZW102" s="528" t="s">
        <v>213</v>
      </c>
      <c r="WZX102" s="529" t="str">
        <f>VLOOKUP(WZW102,[14]AssetDetails_UEM!$A$3:$AH$1849,6,FALSE)</f>
        <v>Electrosurgical Units, Monopolar/Bipolar</v>
      </c>
    </row>
    <row r="103" spans="1:16384" s="520" customFormat="1" ht="65.150000000000006" customHeight="1">
      <c r="A103" s="523"/>
      <c r="B103" s="523"/>
      <c r="C103" s="524"/>
      <c r="D103" s="523"/>
      <c r="E103" s="524"/>
      <c r="F103" s="523"/>
      <c r="G103" s="524"/>
      <c r="H103" s="524"/>
      <c r="I103" s="525"/>
      <c r="J103" s="525"/>
      <c r="K103" s="524"/>
      <c r="L103" s="524"/>
      <c r="M103" s="524"/>
      <c r="N103" s="524"/>
      <c r="O103" s="524"/>
      <c r="P103" s="524"/>
      <c r="Q103" s="524"/>
      <c r="R103" s="524"/>
      <c r="S103" s="524"/>
      <c r="T103" s="524"/>
      <c r="U103" s="524"/>
      <c r="V103" s="524"/>
      <c r="W103" s="524"/>
      <c r="X103" s="524"/>
      <c r="Y103" s="524"/>
      <c r="Z103" s="524"/>
      <c r="AA103" s="526"/>
      <c r="AB103" s="523"/>
      <c r="AC103" s="530"/>
      <c r="AD103" s="531"/>
      <c r="AE103" s="530"/>
      <c r="AF103" s="531"/>
      <c r="AG103" s="530"/>
      <c r="AH103" s="531"/>
      <c r="AI103" s="530"/>
      <c r="AJ103" s="531"/>
      <c r="AK103" s="530"/>
      <c r="AL103" s="531"/>
      <c r="AM103" s="530"/>
      <c r="AN103" s="531"/>
      <c r="AO103" s="530"/>
      <c r="AP103" s="531"/>
      <c r="AQ103" s="530"/>
      <c r="AR103" s="531"/>
      <c r="AS103" s="530"/>
      <c r="AT103" s="531"/>
      <c r="AU103" s="530"/>
      <c r="AV103" s="531"/>
      <c r="AW103" s="530"/>
      <c r="AX103" s="531"/>
      <c r="AY103" s="530"/>
      <c r="AZ103" s="531"/>
      <c r="BA103" s="530"/>
      <c r="BB103" s="531"/>
      <c r="BC103" s="530"/>
      <c r="BD103" s="531"/>
      <c r="BE103" s="530"/>
      <c r="BF103" s="531"/>
      <c r="BG103" s="530"/>
      <c r="BH103" s="531"/>
      <c r="BI103" s="530"/>
      <c r="BJ103" s="531"/>
      <c r="BK103" s="530"/>
      <c r="BL103" s="531"/>
      <c r="BM103" s="530"/>
      <c r="BN103" s="531"/>
      <c r="BO103" s="530"/>
      <c r="BP103" s="531"/>
      <c r="BQ103" s="530"/>
      <c r="BR103" s="531"/>
      <c r="BS103" s="530"/>
      <c r="BT103" s="531"/>
      <c r="BU103" s="530"/>
      <c r="BV103" s="531"/>
      <c r="BW103" s="530"/>
      <c r="BX103" s="531"/>
      <c r="BY103" s="530"/>
      <c r="BZ103" s="531"/>
      <c r="CA103" s="530"/>
      <c r="CB103" s="531"/>
      <c r="CC103" s="530"/>
      <c r="CD103" s="531"/>
      <c r="CE103" s="530"/>
      <c r="CF103" s="531"/>
      <c r="CG103" s="530"/>
      <c r="CH103" s="531"/>
      <c r="CI103" s="530"/>
      <c r="CJ103" s="531"/>
      <c r="CK103" s="530"/>
      <c r="CL103" s="531"/>
      <c r="CM103" s="530"/>
      <c r="CN103" s="531"/>
      <c r="CO103" s="530"/>
      <c r="CP103" s="531"/>
      <c r="CQ103" s="530"/>
      <c r="CR103" s="531"/>
      <c r="CS103" s="530"/>
      <c r="CT103" s="531"/>
      <c r="CU103" s="530"/>
      <c r="CV103" s="531"/>
      <c r="CW103" s="530"/>
      <c r="CX103" s="531"/>
      <c r="CY103" s="530"/>
      <c r="CZ103" s="531"/>
      <c r="DA103" s="530"/>
      <c r="DB103" s="531"/>
      <c r="DC103" s="530"/>
      <c r="DD103" s="531"/>
      <c r="DE103" s="530"/>
      <c r="DF103" s="531"/>
      <c r="DG103" s="530"/>
      <c r="DH103" s="531"/>
      <c r="DI103" s="530"/>
      <c r="DJ103" s="531"/>
      <c r="DK103" s="530"/>
      <c r="DL103" s="531"/>
      <c r="DM103" s="530"/>
      <c r="DN103" s="531"/>
      <c r="DO103" s="530"/>
      <c r="DP103" s="531"/>
      <c r="DQ103" s="530"/>
      <c r="DR103" s="531"/>
      <c r="DS103" s="530"/>
      <c r="DT103" s="531"/>
      <c r="DU103" s="530"/>
      <c r="DV103" s="531"/>
      <c r="DW103" s="530"/>
      <c r="DX103" s="531"/>
      <c r="DY103" s="530"/>
      <c r="DZ103" s="531"/>
      <c r="EA103" s="530"/>
      <c r="EB103" s="531"/>
      <c r="EC103" s="530"/>
      <c r="ED103" s="531"/>
      <c r="EE103" s="530"/>
      <c r="EF103" s="531"/>
      <c r="EG103" s="530"/>
      <c r="EH103" s="531"/>
      <c r="EI103" s="530"/>
      <c r="EJ103" s="531"/>
      <c r="EK103" s="530"/>
      <c r="EL103" s="531"/>
      <c r="EM103" s="530"/>
      <c r="EN103" s="531"/>
      <c r="EO103" s="530"/>
      <c r="EP103" s="531"/>
      <c r="EQ103" s="530"/>
      <c r="ER103" s="531"/>
      <c r="ES103" s="530"/>
      <c r="ET103" s="531"/>
      <c r="EU103" s="530"/>
      <c r="EV103" s="531"/>
      <c r="EW103" s="530"/>
      <c r="EX103" s="531"/>
      <c r="EY103" s="530"/>
      <c r="EZ103" s="531"/>
      <c r="FA103" s="530"/>
      <c r="FB103" s="531"/>
      <c r="FC103" s="530"/>
      <c r="FD103" s="531"/>
      <c r="FE103" s="530"/>
      <c r="FF103" s="531"/>
      <c r="FG103" s="530"/>
      <c r="FH103" s="531"/>
      <c r="FI103" s="530"/>
      <c r="FJ103" s="531"/>
      <c r="FK103" s="530"/>
      <c r="FL103" s="531"/>
      <c r="FM103" s="530"/>
      <c r="FN103" s="531"/>
      <c r="FO103" s="530"/>
      <c r="FP103" s="531"/>
      <c r="FQ103" s="530"/>
      <c r="FR103" s="531"/>
      <c r="FS103" s="530"/>
      <c r="FT103" s="531"/>
      <c r="FU103" s="530"/>
      <c r="FV103" s="531"/>
      <c r="FW103" s="530"/>
      <c r="FX103" s="531"/>
      <c r="FY103" s="530"/>
      <c r="FZ103" s="531"/>
      <c r="GA103" s="530"/>
      <c r="GB103" s="531"/>
      <c r="GC103" s="530"/>
      <c r="GD103" s="531"/>
      <c r="GE103" s="530"/>
      <c r="GF103" s="531"/>
      <c r="GG103" s="530"/>
      <c r="GH103" s="531"/>
      <c r="GI103" s="530"/>
      <c r="GJ103" s="531"/>
      <c r="GK103" s="530"/>
      <c r="GL103" s="531"/>
      <c r="GM103" s="530"/>
      <c r="GN103" s="531"/>
      <c r="GO103" s="530"/>
      <c r="GP103" s="531"/>
      <c r="GQ103" s="530"/>
      <c r="GR103" s="531"/>
      <c r="GS103" s="530"/>
      <c r="GT103" s="531"/>
      <c r="GU103" s="530"/>
      <c r="GV103" s="531"/>
      <c r="GW103" s="530"/>
      <c r="GX103" s="531"/>
      <c r="GY103" s="530"/>
      <c r="GZ103" s="531"/>
      <c r="HA103" s="530"/>
      <c r="HB103" s="531"/>
      <c r="HC103" s="530"/>
      <c r="HD103" s="531"/>
      <c r="HE103" s="530"/>
      <c r="HF103" s="531"/>
      <c r="HG103" s="530"/>
      <c r="HH103" s="531"/>
      <c r="HI103" s="530"/>
      <c r="HJ103" s="531"/>
      <c r="HK103" s="530"/>
      <c r="HL103" s="531"/>
      <c r="HM103" s="530"/>
      <c r="HN103" s="531"/>
      <c r="HO103" s="530"/>
      <c r="HP103" s="531"/>
      <c r="HQ103" s="530"/>
      <c r="HR103" s="531"/>
      <c r="HS103" s="530"/>
      <c r="HT103" s="531"/>
      <c r="HU103" s="530"/>
      <c r="HV103" s="531"/>
      <c r="HW103" s="530"/>
      <c r="HX103" s="531"/>
      <c r="HY103" s="530"/>
      <c r="HZ103" s="531"/>
      <c r="IA103" s="530"/>
      <c r="IB103" s="531"/>
      <c r="IC103" s="530"/>
      <c r="ID103" s="531"/>
      <c r="IE103" s="530"/>
      <c r="IF103" s="531"/>
      <c r="IG103" s="530"/>
      <c r="IH103" s="531"/>
      <c r="II103" s="530"/>
      <c r="IJ103" s="531"/>
      <c r="IK103" s="530"/>
      <c r="IL103" s="531"/>
      <c r="IM103" s="530"/>
      <c r="IN103" s="531"/>
      <c r="IO103" s="530"/>
      <c r="IP103" s="531"/>
      <c r="IQ103" s="530"/>
      <c r="IR103" s="531"/>
      <c r="IS103" s="530"/>
      <c r="IT103" s="531"/>
      <c r="IU103" s="530"/>
      <c r="IV103" s="531"/>
      <c r="IW103" s="530"/>
      <c r="IX103" s="531"/>
      <c r="IY103" s="530"/>
      <c r="IZ103" s="531"/>
      <c r="JA103" s="530"/>
      <c r="JB103" s="531"/>
      <c r="JC103" s="530"/>
      <c r="JD103" s="531"/>
      <c r="JE103" s="530"/>
      <c r="JF103" s="531"/>
      <c r="JG103" s="530"/>
      <c r="JH103" s="531"/>
      <c r="JI103" s="530"/>
      <c r="JJ103" s="531"/>
      <c r="JK103" s="530"/>
      <c r="JL103" s="531"/>
      <c r="JM103" s="530"/>
      <c r="JN103" s="531"/>
      <c r="JO103" s="530"/>
      <c r="JP103" s="531"/>
      <c r="JQ103" s="530"/>
      <c r="JR103" s="531"/>
      <c r="JS103" s="530"/>
      <c r="JT103" s="531"/>
      <c r="JU103" s="530"/>
      <c r="JV103" s="531"/>
      <c r="JW103" s="530"/>
      <c r="JX103" s="531"/>
      <c r="JY103" s="530"/>
      <c r="JZ103" s="531"/>
      <c r="KA103" s="530"/>
      <c r="KB103" s="531"/>
      <c r="KC103" s="530"/>
      <c r="KD103" s="531"/>
      <c r="KE103" s="530"/>
      <c r="KF103" s="531"/>
      <c r="KG103" s="530"/>
      <c r="KH103" s="531"/>
      <c r="KI103" s="530"/>
      <c r="KJ103" s="531"/>
      <c r="KK103" s="530"/>
      <c r="KL103" s="531"/>
      <c r="KM103" s="530"/>
      <c r="KN103" s="531"/>
      <c r="KO103" s="530"/>
      <c r="KP103" s="531"/>
      <c r="KQ103" s="530"/>
      <c r="KR103" s="531"/>
      <c r="KS103" s="530"/>
      <c r="KT103" s="531"/>
      <c r="KU103" s="530"/>
      <c r="KV103" s="531"/>
      <c r="KW103" s="530"/>
      <c r="KX103" s="531"/>
      <c r="KY103" s="530"/>
      <c r="KZ103" s="531"/>
      <c r="LA103" s="530"/>
      <c r="LB103" s="531"/>
      <c r="LC103" s="530"/>
      <c r="LD103" s="531"/>
      <c r="LE103" s="530"/>
      <c r="LF103" s="531"/>
      <c r="LG103" s="530"/>
      <c r="LH103" s="531"/>
      <c r="LI103" s="530"/>
      <c r="LJ103" s="531"/>
      <c r="LK103" s="530"/>
      <c r="LL103" s="531"/>
      <c r="LM103" s="530"/>
      <c r="LN103" s="531"/>
      <c r="LO103" s="530"/>
      <c r="LP103" s="531"/>
      <c r="LQ103" s="530"/>
      <c r="LR103" s="531"/>
      <c r="LS103" s="530"/>
      <c r="LT103" s="531"/>
      <c r="LU103" s="530"/>
      <c r="LV103" s="531"/>
      <c r="LW103" s="530"/>
      <c r="LX103" s="531"/>
      <c r="LY103" s="530"/>
      <c r="LZ103" s="531"/>
      <c r="MA103" s="530"/>
      <c r="MB103" s="531"/>
      <c r="MC103" s="530"/>
      <c r="MD103" s="531"/>
      <c r="ME103" s="530"/>
      <c r="MF103" s="531"/>
      <c r="MG103" s="530"/>
      <c r="MH103" s="531"/>
      <c r="MI103" s="530"/>
      <c r="MJ103" s="531"/>
      <c r="MK103" s="530"/>
      <c r="ML103" s="531"/>
      <c r="MM103" s="530"/>
      <c r="MN103" s="531"/>
      <c r="MO103" s="530"/>
      <c r="MP103" s="531"/>
      <c r="MQ103" s="530"/>
      <c r="MR103" s="531"/>
      <c r="MS103" s="530"/>
      <c r="MT103" s="531"/>
      <c r="MU103" s="530"/>
      <c r="MV103" s="531"/>
      <c r="MW103" s="530"/>
      <c r="MX103" s="531"/>
      <c r="MY103" s="530"/>
      <c r="MZ103" s="531"/>
      <c r="NA103" s="530"/>
      <c r="NB103" s="531"/>
      <c r="NC103" s="530"/>
      <c r="ND103" s="531"/>
      <c r="NE103" s="530"/>
      <c r="NF103" s="531"/>
      <c r="NG103" s="530"/>
      <c r="NH103" s="531"/>
      <c r="NI103" s="530"/>
      <c r="NJ103" s="531"/>
      <c r="NK103" s="530"/>
      <c r="NL103" s="531"/>
      <c r="NM103" s="530"/>
      <c r="NN103" s="531"/>
      <c r="NO103" s="530"/>
      <c r="NP103" s="531"/>
      <c r="NQ103" s="530"/>
      <c r="NR103" s="531"/>
      <c r="NS103" s="530"/>
      <c r="NT103" s="531"/>
      <c r="NU103" s="530"/>
      <c r="NV103" s="531"/>
      <c r="NW103" s="530"/>
      <c r="NX103" s="531"/>
      <c r="NY103" s="530"/>
      <c r="NZ103" s="531"/>
      <c r="OA103" s="530"/>
      <c r="OB103" s="531"/>
      <c r="OC103" s="530"/>
      <c r="OD103" s="531"/>
      <c r="OE103" s="530"/>
      <c r="OF103" s="531"/>
      <c r="OG103" s="530"/>
      <c r="OH103" s="531"/>
      <c r="OI103" s="530"/>
      <c r="OJ103" s="531"/>
      <c r="OK103" s="530"/>
      <c r="OL103" s="531"/>
      <c r="OM103" s="530"/>
      <c r="ON103" s="531"/>
      <c r="OO103" s="530"/>
      <c r="OP103" s="531"/>
      <c r="OQ103" s="530"/>
      <c r="OR103" s="531"/>
      <c r="OS103" s="530"/>
      <c r="OT103" s="531"/>
      <c r="OU103" s="530"/>
      <c r="OV103" s="531"/>
      <c r="OW103" s="530"/>
      <c r="OX103" s="531"/>
      <c r="OY103" s="530"/>
      <c r="OZ103" s="531"/>
      <c r="PA103" s="530"/>
      <c r="PB103" s="531"/>
      <c r="PC103" s="530"/>
      <c r="PD103" s="531"/>
      <c r="PE103" s="530"/>
      <c r="PF103" s="531"/>
      <c r="PG103" s="530"/>
      <c r="PH103" s="531"/>
      <c r="PI103" s="530"/>
      <c r="PJ103" s="531"/>
      <c r="PK103" s="530"/>
      <c r="PL103" s="531"/>
      <c r="PM103" s="530"/>
      <c r="PN103" s="531"/>
      <c r="PO103" s="530"/>
      <c r="PP103" s="531"/>
      <c r="PQ103" s="530"/>
      <c r="PR103" s="531"/>
      <c r="PS103" s="530"/>
      <c r="PT103" s="531"/>
      <c r="PU103" s="530"/>
      <c r="PV103" s="531"/>
      <c r="PW103" s="530"/>
      <c r="PX103" s="531"/>
      <c r="PY103" s="530"/>
      <c r="PZ103" s="531"/>
      <c r="QA103" s="530"/>
      <c r="QB103" s="531"/>
      <c r="QC103" s="530"/>
      <c r="QD103" s="531"/>
      <c r="QE103" s="530"/>
      <c r="QF103" s="531"/>
      <c r="QG103" s="530"/>
      <c r="QH103" s="531"/>
      <c r="QI103" s="530"/>
      <c r="QJ103" s="531"/>
      <c r="QK103" s="530"/>
      <c r="QL103" s="531"/>
      <c r="QM103" s="530"/>
      <c r="QN103" s="531"/>
      <c r="QO103" s="530"/>
      <c r="QP103" s="531"/>
      <c r="QQ103" s="530"/>
      <c r="QR103" s="531"/>
      <c r="QS103" s="530"/>
      <c r="QT103" s="531"/>
      <c r="QU103" s="530"/>
      <c r="QV103" s="531"/>
      <c r="QW103" s="530"/>
      <c r="QX103" s="531"/>
      <c r="QY103" s="530"/>
      <c r="QZ103" s="531"/>
      <c r="RA103" s="530"/>
      <c r="RB103" s="531"/>
      <c r="RC103" s="530"/>
      <c r="RD103" s="531"/>
      <c r="RE103" s="530"/>
      <c r="RF103" s="531"/>
      <c r="RG103" s="530"/>
      <c r="RH103" s="531"/>
      <c r="RI103" s="530"/>
      <c r="RJ103" s="531"/>
      <c r="RK103" s="530"/>
      <c r="RL103" s="531"/>
      <c r="RM103" s="530"/>
      <c r="RN103" s="531"/>
      <c r="RO103" s="530"/>
      <c r="RP103" s="531"/>
      <c r="RQ103" s="530"/>
      <c r="RR103" s="531"/>
      <c r="RS103" s="530"/>
      <c r="RT103" s="531"/>
      <c r="RU103" s="530"/>
      <c r="RV103" s="531"/>
      <c r="RW103" s="530"/>
      <c r="RX103" s="531"/>
      <c r="RY103" s="530"/>
      <c r="RZ103" s="531"/>
      <c r="SA103" s="530"/>
      <c r="SB103" s="531"/>
      <c r="SC103" s="530"/>
      <c r="SD103" s="531"/>
      <c r="SE103" s="530"/>
      <c r="SF103" s="531"/>
      <c r="SG103" s="530"/>
      <c r="SH103" s="531"/>
      <c r="SI103" s="530"/>
      <c r="SJ103" s="531"/>
      <c r="SK103" s="530"/>
      <c r="SL103" s="531"/>
      <c r="SM103" s="530"/>
      <c r="SN103" s="531"/>
      <c r="SO103" s="530"/>
      <c r="SP103" s="531"/>
      <c r="SQ103" s="530"/>
      <c r="SR103" s="531"/>
      <c r="SS103" s="530"/>
      <c r="ST103" s="531"/>
      <c r="SU103" s="530"/>
      <c r="SV103" s="531"/>
      <c r="SW103" s="530"/>
      <c r="SX103" s="531"/>
      <c r="SY103" s="530"/>
      <c r="SZ103" s="531"/>
      <c r="TA103" s="530"/>
      <c r="TB103" s="531"/>
      <c r="TC103" s="530"/>
      <c r="TD103" s="531"/>
      <c r="TE103" s="530"/>
      <c r="TF103" s="531"/>
      <c r="TG103" s="530"/>
      <c r="TH103" s="531"/>
      <c r="TI103" s="530"/>
      <c r="TJ103" s="531"/>
      <c r="TK103" s="530"/>
      <c r="TL103" s="531"/>
      <c r="TM103" s="530"/>
      <c r="TN103" s="531"/>
      <c r="TO103" s="530"/>
      <c r="TP103" s="531"/>
      <c r="TQ103" s="530"/>
      <c r="TR103" s="531"/>
      <c r="TS103" s="530"/>
      <c r="TT103" s="531"/>
      <c r="TU103" s="530"/>
      <c r="TV103" s="531"/>
      <c r="TW103" s="530"/>
      <c r="TX103" s="531"/>
      <c r="TY103" s="530"/>
      <c r="TZ103" s="531"/>
      <c r="UA103" s="530"/>
      <c r="UB103" s="531"/>
      <c r="UC103" s="530"/>
      <c r="UD103" s="531"/>
      <c r="UE103" s="530"/>
      <c r="UF103" s="531"/>
      <c r="UG103" s="530"/>
      <c r="UH103" s="531"/>
      <c r="UI103" s="530"/>
      <c r="UJ103" s="531"/>
      <c r="UK103" s="530"/>
      <c r="UL103" s="531"/>
      <c r="UM103" s="530"/>
      <c r="UN103" s="531"/>
      <c r="UO103" s="530"/>
      <c r="UP103" s="531"/>
      <c r="UQ103" s="530"/>
      <c r="UR103" s="531"/>
      <c r="US103" s="530"/>
      <c r="UT103" s="531"/>
      <c r="UU103" s="530"/>
      <c r="UV103" s="531"/>
      <c r="UW103" s="530"/>
      <c r="UX103" s="531"/>
      <c r="UY103" s="530"/>
      <c r="UZ103" s="531"/>
      <c r="VA103" s="530"/>
      <c r="VB103" s="531"/>
      <c r="VC103" s="530"/>
      <c r="VD103" s="531"/>
      <c r="VE103" s="530"/>
      <c r="VF103" s="531"/>
      <c r="VG103" s="530"/>
      <c r="VH103" s="531"/>
      <c r="VI103" s="530"/>
      <c r="VJ103" s="531"/>
      <c r="VK103" s="530"/>
      <c r="VL103" s="531"/>
      <c r="VM103" s="530"/>
      <c r="VN103" s="531"/>
      <c r="VO103" s="530"/>
      <c r="VP103" s="531"/>
      <c r="VQ103" s="530"/>
      <c r="VR103" s="531"/>
      <c r="VS103" s="530"/>
      <c r="VT103" s="531"/>
      <c r="VU103" s="530"/>
      <c r="VV103" s="531"/>
      <c r="VW103" s="530"/>
      <c r="VX103" s="531"/>
      <c r="VY103" s="530"/>
      <c r="VZ103" s="531"/>
      <c r="WA103" s="530"/>
      <c r="WB103" s="531"/>
      <c r="WC103" s="530"/>
      <c r="WD103" s="531"/>
      <c r="WE103" s="530"/>
      <c r="WF103" s="531"/>
      <c r="WG103" s="530"/>
      <c r="WH103" s="531"/>
      <c r="WI103" s="530"/>
      <c r="WJ103" s="531"/>
      <c r="WK103" s="530"/>
      <c r="WL103" s="531"/>
      <c r="WM103" s="530"/>
      <c r="WN103" s="531"/>
      <c r="WO103" s="530"/>
      <c r="WP103" s="531"/>
      <c r="WQ103" s="530"/>
      <c r="WR103" s="531"/>
      <c r="WS103" s="530"/>
      <c r="WT103" s="531"/>
      <c r="WU103" s="530"/>
      <c r="WV103" s="531"/>
      <c r="WW103" s="530"/>
      <c r="WX103" s="531"/>
      <c r="WY103" s="530"/>
      <c r="WZ103" s="531"/>
      <c r="XA103" s="530"/>
      <c r="XB103" s="531"/>
      <c r="XC103" s="530"/>
      <c r="XD103" s="531"/>
      <c r="XE103" s="530"/>
      <c r="XF103" s="531"/>
      <c r="XG103" s="530"/>
      <c r="XH103" s="531"/>
      <c r="XI103" s="530"/>
      <c r="XJ103" s="531"/>
      <c r="XK103" s="530"/>
      <c r="XL103" s="531"/>
      <c r="XM103" s="530"/>
      <c r="XN103" s="531"/>
      <c r="XO103" s="530"/>
      <c r="XP103" s="531"/>
      <c r="XQ103" s="530"/>
      <c r="XR103" s="531"/>
      <c r="XS103" s="530"/>
      <c r="XT103" s="531"/>
      <c r="XU103" s="530"/>
      <c r="XV103" s="531"/>
      <c r="XW103" s="530"/>
      <c r="XX103" s="531"/>
      <c r="XY103" s="530"/>
      <c r="XZ103" s="531"/>
      <c r="YA103" s="530"/>
      <c r="YB103" s="531"/>
      <c r="YC103" s="530"/>
      <c r="YD103" s="531"/>
      <c r="YE103" s="530"/>
      <c r="YF103" s="531"/>
      <c r="YG103" s="530"/>
      <c r="YH103" s="531"/>
      <c r="YI103" s="530"/>
      <c r="YJ103" s="531"/>
      <c r="YK103" s="530"/>
      <c r="YL103" s="531"/>
      <c r="YM103" s="530"/>
      <c r="YN103" s="531"/>
      <c r="YO103" s="530"/>
      <c r="YP103" s="531"/>
      <c r="YQ103" s="530"/>
      <c r="YR103" s="531"/>
      <c r="YS103" s="530"/>
      <c r="YT103" s="531"/>
      <c r="YU103" s="530"/>
      <c r="YV103" s="531"/>
      <c r="YW103" s="530"/>
      <c r="YX103" s="531"/>
      <c r="YY103" s="530"/>
      <c r="YZ103" s="531"/>
      <c r="ZA103" s="530"/>
      <c r="ZB103" s="531"/>
      <c r="ZC103" s="530"/>
      <c r="ZD103" s="531"/>
      <c r="ZE103" s="530"/>
      <c r="ZF103" s="531"/>
      <c r="ZG103" s="530"/>
      <c r="ZH103" s="531"/>
      <c r="ZI103" s="530"/>
      <c r="ZJ103" s="531"/>
      <c r="ZK103" s="530"/>
      <c r="ZL103" s="531"/>
      <c r="ZM103" s="530"/>
      <c r="ZN103" s="531"/>
      <c r="ZO103" s="530"/>
      <c r="ZP103" s="531"/>
      <c r="ZQ103" s="530"/>
      <c r="ZR103" s="531"/>
      <c r="ZS103" s="530"/>
      <c r="ZT103" s="531"/>
      <c r="ZU103" s="530"/>
      <c r="ZV103" s="531"/>
      <c r="ZW103" s="530"/>
      <c r="ZX103" s="531"/>
      <c r="ZY103" s="530"/>
      <c r="ZZ103" s="531"/>
      <c r="AAA103" s="530"/>
      <c r="AAB103" s="531"/>
      <c r="AAC103" s="530"/>
      <c r="AAD103" s="531"/>
      <c r="AAE103" s="530"/>
      <c r="AAF103" s="531"/>
      <c r="AAG103" s="530"/>
      <c r="AAH103" s="531"/>
      <c r="AAI103" s="530"/>
      <c r="AAJ103" s="531"/>
      <c r="AAK103" s="530"/>
      <c r="AAL103" s="531"/>
      <c r="AAM103" s="530"/>
      <c r="AAN103" s="531"/>
      <c r="AAO103" s="530"/>
      <c r="AAP103" s="531"/>
      <c r="AAQ103" s="530"/>
      <c r="AAR103" s="531"/>
      <c r="AAS103" s="530"/>
      <c r="AAT103" s="531"/>
      <c r="AAU103" s="530"/>
      <c r="AAV103" s="531"/>
      <c r="AAW103" s="530"/>
      <c r="AAX103" s="531"/>
      <c r="AAY103" s="530"/>
      <c r="AAZ103" s="531"/>
      <c r="ABA103" s="530"/>
      <c r="ABB103" s="531"/>
      <c r="ABC103" s="530"/>
      <c r="ABD103" s="531"/>
      <c r="ABE103" s="530"/>
      <c r="ABF103" s="531"/>
      <c r="ABG103" s="530"/>
      <c r="ABH103" s="531"/>
      <c r="ABI103" s="530"/>
      <c r="ABJ103" s="531"/>
      <c r="ABK103" s="530"/>
      <c r="ABL103" s="531"/>
      <c r="ABM103" s="530"/>
      <c r="ABN103" s="531"/>
      <c r="ABO103" s="530"/>
      <c r="ABP103" s="531"/>
      <c r="ABQ103" s="530"/>
      <c r="ABR103" s="531"/>
      <c r="ABS103" s="530"/>
      <c r="ABT103" s="531"/>
      <c r="ABU103" s="530"/>
      <c r="ABV103" s="531"/>
      <c r="ABW103" s="530"/>
      <c r="ABX103" s="531"/>
      <c r="ABY103" s="530"/>
      <c r="ABZ103" s="531"/>
      <c r="ACA103" s="530"/>
      <c r="ACB103" s="531"/>
      <c r="ACC103" s="530"/>
      <c r="ACD103" s="531"/>
      <c r="ACE103" s="530"/>
      <c r="ACF103" s="531"/>
      <c r="ACG103" s="530"/>
      <c r="ACH103" s="531"/>
      <c r="ACI103" s="530"/>
      <c r="ACJ103" s="531"/>
      <c r="ACK103" s="530"/>
      <c r="ACL103" s="531"/>
      <c r="ACM103" s="530"/>
      <c r="ACN103" s="531"/>
      <c r="ACO103" s="530"/>
      <c r="ACP103" s="531"/>
      <c r="ACQ103" s="530"/>
      <c r="ACR103" s="531"/>
      <c r="ACS103" s="530"/>
      <c r="ACT103" s="531"/>
      <c r="ACU103" s="530"/>
      <c r="ACV103" s="531"/>
      <c r="ACW103" s="530"/>
      <c r="ACX103" s="531"/>
      <c r="ACY103" s="530"/>
      <c r="ACZ103" s="531"/>
      <c r="ADA103" s="530"/>
      <c r="ADB103" s="531"/>
      <c r="ADC103" s="530"/>
      <c r="ADD103" s="531"/>
      <c r="ADE103" s="530"/>
      <c r="ADF103" s="531"/>
      <c r="ADG103" s="530"/>
      <c r="ADH103" s="531"/>
      <c r="ADI103" s="530"/>
      <c r="ADJ103" s="531"/>
      <c r="ADK103" s="530"/>
      <c r="ADL103" s="531"/>
      <c r="ADM103" s="530"/>
      <c r="ADN103" s="531"/>
      <c r="ADO103" s="530"/>
      <c r="ADP103" s="531"/>
      <c r="ADQ103" s="530"/>
      <c r="ADR103" s="531"/>
      <c r="ADS103" s="530"/>
      <c r="ADT103" s="531"/>
      <c r="ADU103" s="530"/>
      <c r="ADV103" s="531"/>
      <c r="ADW103" s="530"/>
      <c r="ADX103" s="531"/>
      <c r="ADY103" s="530"/>
      <c r="ADZ103" s="531"/>
      <c r="AEA103" s="530"/>
      <c r="AEB103" s="531"/>
      <c r="AEC103" s="530"/>
      <c r="AED103" s="531"/>
      <c r="AEE103" s="530"/>
      <c r="AEF103" s="531"/>
      <c r="AEG103" s="530"/>
      <c r="AEH103" s="531"/>
      <c r="AEI103" s="530"/>
      <c r="AEJ103" s="531"/>
      <c r="AEK103" s="530"/>
      <c r="AEL103" s="531"/>
      <c r="AEM103" s="530"/>
      <c r="AEN103" s="531"/>
      <c r="AEO103" s="530"/>
      <c r="AEP103" s="531"/>
      <c r="AEQ103" s="530"/>
      <c r="AER103" s="531"/>
      <c r="AES103" s="530"/>
      <c r="AET103" s="531"/>
      <c r="AEU103" s="530"/>
      <c r="AEV103" s="531"/>
      <c r="AEW103" s="530"/>
      <c r="AEX103" s="531"/>
      <c r="AEY103" s="530"/>
      <c r="AEZ103" s="531"/>
      <c r="AFA103" s="530"/>
      <c r="AFB103" s="531"/>
      <c r="AFC103" s="530"/>
      <c r="AFD103" s="531"/>
      <c r="AFE103" s="530"/>
      <c r="AFF103" s="531"/>
      <c r="AFG103" s="530"/>
      <c r="AFH103" s="531"/>
      <c r="AFI103" s="530"/>
      <c r="AFJ103" s="531"/>
      <c r="AFK103" s="530"/>
      <c r="AFL103" s="531"/>
      <c r="AFM103" s="530"/>
      <c r="AFN103" s="531"/>
      <c r="AFO103" s="530"/>
      <c r="AFP103" s="531"/>
      <c r="AFQ103" s="530"/>
      <c r="AFR103" s="531"/>
      <c r="AFS103" s="530"/>
      <c r="AFT103" s="531"/>
      <c r="AFU103" s="530"/>
      <c r="AFV103" s="531"/>
      <c r="AFW103" s="530"/>
      <c r="AFX103" s="531"/>
      <c r="AFY103" s="530"/>
      <c r="AFZ103" s="531"/>
      <c r="AGA103" s="530"/>
      <c r="AGB103" s="531"/>
      <c r="AGC103" s="530"/>
      <c r="AGD103" s="531"/>
      <c r="AGE103" s="530"/>
      <c r="AGF103" s="531"/>
      <c r="AGG103" s="530"/>
      <c r="AGH103" s="531"/>
      <c r="AGI103" s="530"/>
      <c r="AGJ103" s="531"/>
      <c r="AGK103" s="530"/>
      <c r="AGL103" s="531"/>
      <c r="AGM103" s="530"/>
      <c r="AGN103" s="531"/>
      <c r="AGO103" s="530"/>
      <c r="AGP103" s="531"/>
      <c r="AGQ103" s="530"/>
      <c r="AGR103" s="531"/>
      <c r="AGS103" s="530"/>
      <c r="AGT103" s="531"/>
      <c r="AGU103" s="530"/>
      <c r="AGV103" s="531"/>
      <c r="AGW103" s="530"/>
      <c r="AGX103" s="531"/>
      <c r="AGY103" s="530"/>
      <c r="AGZ103" s="531"/>
      <c r="AHA103" s="530"/>
      <c r="AHB103" s="531"/>
      <c r="AHC103" s="530"/>
      <c r="AHD103" s="531"/>
      <c r="AHE103" s="530"/>
      <c r="AHF103" s="531"/>
      <c r="AHG103" s="530"/>
      <c r="AHH103" s="531"/>
      <c r="AHI103" s="530"/>
      <c r="AHJ103" s="531"/>
      <c r="AHK103" s="530"/>
      <c r="AHL103" s="531"/>
      <c r="AHM103" s="530"/>
      <c r="AHN103" s="531"/>
      <c r="AHO103" s="530"/>
      <c r="AHP103" s="531"/>
      <c r="AHQ103" s="530"/>
      <c r="AHR103" s="531"/>
      <c r="AHS103" s="530"/>
      <c r="AHT103" s="531"/>
      <c r="AHU103" s="530"/>
      <c r="AHV103" s="531"/>
      <c r="AHW103" s="530"/>
      <c r="AHX103" s="531"/>
      <c r="AHY103" s="530"/>
      <c r="AHZ103" s="531"/>
      <c r="AIA103" s="530"/>
      <c r="AIB103" s="531"/>
      <c r="AIC103" s="530"/>
      <c r="AID103" s="531"/>
      <c r="AIE103" s="530"/>
      <c r="AIF103" s="531"/>
      <c r="AIG103" s="530"/>
      <c r="AIH103" s="531"/>
      <c r="AII103" s="530"/>
      <c r="AIJ103" s="531"/>
      <c r="AIK103" s="530"/>
      <c r="AIL103" s="531"/>
      <c r="AIM103" s="530"/>
      <c r="AIN103" s="531"/>
      <c r="AIO103" s="530"/>
      <c r="AIP103" s="531"/>
      <c r="AIQ103" s="530"/>
      <c r="AIR103" s="531"/>
      <c r="AIS103" s="530"/>
      <c r="AIT103" s="531"/>
      <c r="AIU103" s="530"/>
      <c r="AIV103" s="531"/>
      <c r="AIW103" s="530"/>
      <c r="AIX103" s="531"/>
      <c r="AIY103" s="530"/>
      <c r="AIZ103" s="531"/>
      <c r="AJA103" s="530"/>
      <c r="AJB103" s="531"/>
      <c r="AJC103" s="530"/>
      <c r="AJD103" s="531"/>
      <c r="AJE103" s="530"/>
      <c r="AJF103" s="531"/>
      <c r="AJG103" s="530"/>
      <c r="AJH103" s="531"/>
      <c r="AJI103" s="530"/>
      <c r="AJJ103" s="531"/>
      <c r="AJK103" s="530"/>
      <c r="AJL103" s="531"/>
      <c r="AJM103" s="530"/>
      <c r="AJN103" s="531"/>
      <c r="AJO103" s="530"/>
      <c r="AJP103" s="531"/>
      <c r="AJQ103" s="530"/>
      <c r="AJR103" s="531"/>
      <c r="AJS103" s="530"/>
      <c r="AJT103" s="531"/>
      <c r="AJU103" s="530"/>
      <c r="AJV103" s="531"/>
      <c r="AJW103" s="530"/>
      <c r="AJX103" s="531"/>
      <c r="AJY103" s="530"/>
      <c r="AJZ103" s="531"/>
      <c r="AKA103" s="530"/>
      <c r="AKB103" s="531"/>
      <c r="AKC103" s="530"/>
      <c r="AKD103" s="531"/>
      <c r="AKE103" s="530"/>
      <c r="AKF103" s="531"/>
      <c r="AKG103" s="530"/>
      <c r="AKH103" s="531"/>
      <c r="AKI103" s="530"/>
      <c r="AKJ103" s="531"/>
      <c r="AKK103" s="530"/>
      <c r="AKL103" s="531"/>
      <c r="AKM103" s="530"/>
      <c r="AKN103" s="531"/>
      <c r="AKO103" s="530"/>
      <c r="AKP103" s="531"/>
      <c r="AKQ103" s="530"/>
      <c r="AKR103" s="531"/>
      <c r="AKS103" s="530"/>
      <c r="AKT103" s="531"/>
      <c r="AKU103" s="530"/>
      <c r="AKV103" s="531"/>
      <c r="AKW103" s="530"/>
      <c r="AKX103" s="531"/>
      <c r="AKY103" s="530"/>
      <c r="AKZ103" s="531"/>
      <c r="ALA103" s="530"/>
      <c r="ALB103" s="531"/>
      <c r="ALC103" s="530"/>
      <c r="ALD103" s="531"/>
      <c r="ALE103" s="530"/>
      <c r="ALF103" s="531"/>
      <c r="ALG103" s="530"/>
      <c r="ALH103" s="531"/>
      <c r="ALI103" s="530"/>
      <c r="ALJ103" s="531"/>
      <c r="ALK103" s="530"/>
      <c r="ALL103" s="531"/>
      <c r="ALM103" s="530"/>
      <c r="ALN103" s="531"/>
      <c r="ALO103" s="530"/>
      <c r="ALP103" s="531"/>
      <c r="ALQ103" s="530"/>
      <c r="ALR103" s="531"/>
      <c r="ALS103" s="530"/>
      <c r="ALT103" s="531"/>
      <c r="ALU103" s="530"/>
      <c r="ALV103" s="531"/>
      <c r="ALW103" s="530"/>
      <c r="ALX103" s="531"/>
      <c r="ALY103" s="530"/>
      <c r="ALZ103" s="531"/>
      <c r="AMA103" s="530"/>
      <c r="AMB103" s="531"/>
      <c r="AMC103" s="530"/>
      <c r="AMD103" s="531"/>
      <c r="AME103" s="530"/>
      <c r="AMF103" s="531"/>
      <c r="AMG103" s="530"/>
      <c r="AMH103" s="531"/>
      <c r="AMI103" s="530"/>
      <c r="AMJ103" s="531"/>
      <c r="AMK103" s="530"/>
      <c r="AML103" s="531"/>
      <c r="AMM103" s="530"/>
      <c r="AMN103" s="531"/>
      <c r="AMO103" s="530"/>
      <c r="AMP103" s="531"/>
      <c r="AMQ103" s="530"/>
      <c r="AMR103" s="531"/>
      <c r="AMS103" s="530"/>
      <c r="AMT103" s="531"/>
      <c r="AMU103" s="530"/>
      <c r="AMV103" s="531"/>
      <c r="AMW103" s="530"/>
      <c r="AMX103" s="531"/>
      <c r="AMY103" s="530"/>
      <c r="AMZ103" s="531"/>
      <c r="ANA103" s="530"/>
      <c r="ANB103" s="531"/>
      <c r="ANC103" s="530"/>
      <c r="AND103" s="531"/>
      <c r="ANE103" s="530"/>
      <c r="ANF103" s="531"/>
      <c r="ANG103" s="530"/>
      <c r="ANH103" s="531"/>
      <c r="ANI103" s="530"/>
      <c r="ANJ103" s="531"/>
      <c r="ANK103" s="530"/>
      <c r="ANL103" s="531"/>
      <c r="ANM103" s="530"/>
      <c r="ANN103" s="531"/>
      <c r="ANO103" s="530"/>
      <c r="ANP103" s="531"/>
      <c r="ANQ103" s="530"/>
      <c r="ANR103" s="531"/>
      <c r="ANS103" s="530"/>
      <c r="ANT103" s="531"/>
      <c r="ANU103" s="530"/>
      <c r="ANV103" s="531"/>
      <c r="ANW103" s="530"/>
      <c r="ANX103" s="531"/>
      <c r="ANY103" s="530"/>
      <c r="ANZ103" s="531"/>
      <c r="AOA103" s="530"/>
      <c r="AOB103" s="531"/>
      <c r="AOC103" s="530"/>
      <c r="AOD103" s="531"/>
      <c r="AOE103" s="530"/>
      <c r="AOF103" s="531"/>
      <c r="AOG103" s="530"/>
      <c r="AOH103" s="531"/>
      <c r="AOI103" s="530"/>
      <c r="AOJ103" s="531"/>
      <c r="AOK103" s="530"/>
      <c r="AOL103" s="531"/>
      <c r="AOM103" s="530"/>
      <c r="AON103" s="531"/>
      <c r="AOO103" s="530"/>
      <c r="AOP103" s="531"/>
      <c r="AOQ103" s="530"/>
      <c r="AOR103" s="531"/>
      <c r="AOS103" s="530"/>
      <c r="AOT103" s="531"/>
      <c r="AOU103" s="530"/>
      <c r="AOV103" s="531"/>
      <c r="AOW103" s="530"/>
      <c r="AOX103" s="531"/>
      <c r="AOY103" s="530"/>
      <c r="AOZ103" s="531"/>
      <c r="APA103" s="530"/>
      <c r="APB103" s="531"/>
      <c r="APC103" s="530"/>
      <c r="APD103" s="531"/>
      <c r="APE103" s="530"/>
      <c r="APF103" s="531"/>
      <c r="APG103" s="530"/>
      <c r="APH103" s="531"/>
      <c r="API103" s="530"/>
      <c r="APJ103" s="531"/>
      <c r="APK103" s="530"/>
      <c r="APL103" s="531"/>
      <c r="APM103" s="530"/>
      <c r="APN103" s="531"/>
      <c r="APO103" s="530"/>
      <c r="APP103" s="531"/>
      <c r="APQ103" s="530"/>
      <c r="APR103" s="531"/>
      <c r="APS103" s="530"/>
      <c r="APT103" s="531"/>
      <c r="APU103" s="530"/>
      <c r="APV103" s="531"/>
      <c r="APW103" s="530"/>
      <c r="APX103" s="531"/>
      <c r="APY103" s="530"/>
      <c r="APZ103" s="531"/>
      <c r="AQA103" s="530"/>
      <c r="AQB103" s="531"/>
      <c r="AQC103" s="530"/>
      <c r="AQD103" s="531"/>
      <c r="AQE103" s="530"/>
      <c r="AQF103" s="531"/>
      <c r="AQG103" s="530"/>
      <c r="AQH103" s="531"/>
      <c r="AQI103" s="530"/>
      <c r="AQJ103" s="531"/>
      <c r="AQK103" s="530"/>
      <c r="AQL103" s="531"/>
      <c r="AQM103" s="530"/>
      <c r="AQN103" s="531"/>
      <c r="AQO103" s="530"/>
      <c r="AQP103" s="531"/>
      <c r="AQQ103" s="530"/>
      <c r="AQR103" s="531"/>
      <c r="AQS103" s="530"/>
      <c r="AQT103" s="531"/>
      <c r="AQU103" s="530"/>
      <c r="AQV103" s="531"/>
      <c r="AQW103" s="530"/>
      <c r="AQX103" s="531"/>
      <c r="AQY103" s="530"/>
      <c r="AQZ103" s="531"/>
      <c r="ARA103" s="530"/>
      <c r="ARB103" s="531"/>
      <c r="ARC103" s="530"/>
      <c r="ARD103" s="531"/>
      <c r="ARE103" s="530"/>
      <c r="ARF103" s="531"/>
      <c r="ARG103" s="530"/>
      <c r="ARH103" s="531"/>
      <c r="ARI103" s="530"/>
      <c r="ARJ103" s="531"/>
      <c r="ARK103" s="530"/>
      <c r="ARL103" s="531"/>
      <c r="ARM103" s="530"/>
      <c r="ARN103" s="531"/>
      <c r="ARO103" s="530"/>
      <c r="ARP103" s="531"/>
      <c r="ARQ103" s="530"/>
      <c r="ARR103" s="531"/>
      <c r="ARS103" s="530"/>
      <c r="ART103" s="531"/>
      <c r="ARU103" s="530"/>
      <c r="ARV103" s="531"/>
      <c r="ARW103" s="530"/>
      <c r="ARX103" s="531"/>
      <c r="ARY103" s="530"/>
      <c r="ARZ103" s="531"/>
      <c r="ASA103" s="530"/>
      <c r="ASB103" s="531"/>
      <c r="ASC103" s="530"/>
      <c r="ASD103" s="531"/>
      <c r="ASE103" s="530"/>
      <c r="ASF103" s="531"/>
      <c r="ASG103" s="530"/>
      <c r="ASH103" s="531"/>
      <c r="ASI103" s="530"/>
      <c r="ASJ103" s="531"/>
      <c r="ASK103" s="530"/>
      <c r="ASL103" s="531"/>
      <c r="ASM103" s="530"/>
      <c r="ASN103" s="531"/>
      <c r="ASO103" s="530"/>
      <c r="ASP103" s="531"/>
      <c r="ASQ103" s="530"/>
      <c r="ASR103" s="531"/>
      <c r="ASS103" s="530"/>
      <c r="AST103" s="531"/>
      <c r="ASU103" s="530"/>
      <c r="ASV103" s="531"/>
      <c r="ASW103" s="530"/>
      <c r="ASX103" s="531"/>
      <c r="ASY103" s="530"/>
      <c r="ASZ103" s="531"/>
      <c r="ATA103" s="530"/>
      <c r="ATB103" s="531"/>
      <c r="ATC103" s="530"/>
      <c r="ATD103" s="531"/>
      <c r="ATE103" s="530"/>
      <c r="ATF103" s="531"/>
      <c r="ATG103" s="530"/>
      <c r="ATH103" s="531"/>
      <c r="ATI103" s="530"/>
      <c r="ATJ103" s="531"/>
      <c r="ATK103" s="530"/>
      <c r="ATL103" s="531"/>
      <c r="ATM103" s="530"/>
      <c r="ATN103" s="531"/>
      <c r="ATO103" s="530"/>
      <c r="ATP103" s="531"/>
      <c r="ATQ103" s="530"/>
      <c r="ATR103" s="531"/>
      <c r="ATS103" s="530"/>
      <c r="ATT103" s="531"/>
      <c r="ATU103" s="530"/>
      <c r="ATV103" s="531"/>
      <c r="ATW103" s="530"/>
      <c r="ATX103" s="531"/>
      <c r="ATY103" s="530"/>
      <c r="ATZ103" s="531"/>
      <c r="AUA103" s="530"/>
      <c r="AUB103" s="531"/>
      <c r="AUC103" s="530"/>
      <c r="AUD103" s="531"/>
      <c r="AUE103" s="530"/>
      <c r="AUF103" s="531"/>
      <c r="AUG103" s="530"/>
      <c r="AUH103" s="531"/>
      <c r="AUI103" s="530"/>
      <c r="AUJ103" s="531"/>
      <c r="AUK103" s="530"/>
      <c r="AUL103" s="531"/>
      <c r="AUM103" s="530"/>
      <c r="AUN103" s="531"/>
      <c r="AUO103" s="530"/>
      <c r="AUP103" s="531"/>
      <c r="AUQ103" s="530"/>
      <c r="AUR103" s="531"/>
      <c r="AUS103" s="530"/>
      <c r="AUT103" s="531"/>
      <c r="AUU103" s="530"/>
      <c r="AUV103" s="531"/>
      <c r="AUW103" s="530"/>
      <c r="AUX103" s="531"/>
      <c r="AUY103" s="530"/>
      <c r="AUZ103" s="531"/>
      <c r="AVA103" s="530"/>
      <c r="AVB103" s="531"/>
      <c r="AVC103" s="530"/>
      <c r="AVD103" s="531"/>
      <c r="AVE103" s="530"/>
      <c r="AVF103" s="531"/>
      <c r="AVG103" s="530"/>
      <c r="AVH103" s="531"/>
      <c r="AVI103" s="530"/>
      <c r="AVJ103" s="531"/>
      <c r="AVK103" s="530"/>
      <c r="AVL103" s="531"/>
      <c r="AVM103" s="530"/>
      <c r="AVN103" s="531"/>
      <c r="AVO103" s="530"/>
      <c r="AVP103" s="531"/>
      <c r="AVQ103" s="530"/>
      <c r="AVR103" s="531"/>
      <c r="AVS103" s="530"/>
      <c r="AVT103" s="531"/>
      <c r="AVU103" s="530"/>
      <c r="AVV103" s="531"/>
      <c r="AVW103" s="530"/>
      <c r="AVX103" s="531"/>
      <c r="AVY103" s="530"/>
      <c r="AVZ103" s="531"/>
      <c r="AWA103" s="530"/>
      <c r="AWB103" s="531"/>
      <c r="AWC103" s="530"/>
      <c r="AWD103" s="531"/>
      <c r="AWE103" s="530"/>
      <c r="AWF103" s="531"/>
      <c r="AWG103" s="530"/>
      <c r="AWH103" s="531"/>
      <c r="AWI103" s="530"/>
      <c r="AWJ103" s="531"/>
      <c r="AWK103" s="530"/>
      <c r="AWL103" s="531"/>
      <c r="AWM103" s="530"/>
      <c r="AWN103" s="531"/>
      <c r="AWO103" s="530"/>
      <c r="AWP103" s="531"/>
      <c r="AWQ103" s="530"/>
      <c r="AWR103" s="531"/>
      <c r="AWS103" s="530"/>
      <c r="AWT103" s="531"/>
      <c r="AWU103" s="530"/>
      <c r="AWV103" s="531"/>
      <c r="AWW103" s="530"/>
      <c r="AWX103" s="531"/>
      <c r="AWY103" s="530"/>
      <c r="AWZ103" s="531"/>
      <c r="AXA103" s="530"/>
      <c r="AXB103" s="531"/>
      <c r="AXC103" s="530"/>
      <c r="AXD103" s="531"/>
      <c r="AXE103" s="530"/>
      <c r="AXF103" s="531"/>
      <c r="AXG103" s="530"/>
      <c r="AXH103" s="531"/>
      <c r="AXI103" s="530"/>
      <c r="AXJ103" s="531"/>
      <c r="AXK103" s="530"/>
      <c r="AXL103" s="531"/>
      <c r="AXM103" s="530"/>
      <c r="AXN103" s="531"/>
      <c r="AXO103" s="530"/>
      <c r="AXP103" s="531"/>
      <c r="AXQ103" s="530"/>
      <c r="AXR103" s="531"/>
      <c r="AXS103" s="530"/>
      <c r="AXT103" s="531"/>
      <c r="AXU103" s="530"/>
      <c r="AXV103" s="531"/>
      <c r="AXW103" s="530"/>
      <c r="AXX103" s="531"/>
      <c r="AXY103" s="530"/>
      <c r="AXZ103" s="531"/>
      <c r="AYA103" s="530"/>
      <c r="AYB103" s="531"/>
      <c r="AYC103" s="530"/>
      <c r="AYD103" s="531"/>
      <c r="AYE103" s="530"/>
      <c r="AYF103" s="531"/>
      <c r="AYG103" s="530"/>
      <c r="AYH103" s="531"/>
      <c r="AYI103" s="530"/>
      <c r="AYJ103" s="531"/>
      <c r="AYK103" s="530"/>
      <c r="AYL103" s="531"/>
      <c r="AYM103" s="530"/>
      <c r="AYN103" s="531"/>
      <c r="AYO103" s="530"/>
      <c r="AYP103" s="531"/>
      <c r="AYQ103" s="530"/>
      <c r="AYR103" s="531"/>
      <c r="AYS103" s="530"/>
      <c r="AYT103" s="531"/>
      <c r="AYU103" s="530"/>
      <c r="AYV103" s="531"/>
      <c r="AYW103" s="530"/>
      <c r="AYX103" s="531"/>
      <c r="AYY103" s="530"/>
      <c r="AYZ103" s="531"/>
      <c r="AZA103" s="530"/>
      <c r="AZB103" s="531"/>
      <c r="AZC103" s="530"/>
      <c r="AZD103" s="531"/>
      <c r="AZE103" s="530"/>
      <c r="AZF103" s="531"/>
      <c r="AZG103" s="530"/>
      <c r="AZH103" s="531"/>
      <c r="AZI103" s="530"/>
      <c r="AZJ103" s="531"/>
      <c r="AZK103" s="530"/>
      <c r="AZL103" s="531"/>
      <c r="AZM103" s="530"/>
      <c r="AZN103" s="531"/>
      <c r="AZO103" s="530"/>
      <c r="AZP103" s="531"/>
      <c r="AZQ103" s="530"/>
      <c r="AZR103" s="531"/>
      <c r="AZS103" s="530"/>
      <c r="AZT103" s="531"/>
      <c r="AZU103" s="530"/>
      <c r="AZV103" s="531"/>
      <c r="AZW103" s="530"/>
      <c r="AZX103" s="531"/>
      <c r="AZY103" s="530"/>
      <c r="AZZ103" s="531"/>
      <c r="BAA103" s="530"/>
      <c r="BAB103" s="531"/>
      <c r="BAC103" s="530"/>
      <c r="BAD103" s="531"/>
      <c r="BAE103" s="530"/>
      <c r="BAF103" s="531"/>
      <c r="BAG103" s="530"/>
      <c r="BAH103" s="531"/>
      <c r="BAI103" s="530"/>
      <c r="BAJ103" s="531"/>
      <c r="BAK103" s="530"/>
      <c r="BAL103" s="531"/>
      <c r="BAM103" s="530"/>
      <c r="BAN103" s="531"/>
      <c r="BAO103" s="530"/>
      <c r="BAP103" s="531"/>
      <c r="BAQ103" s="530"/>
      <c r="BAR103" s="531"/>
      <c r="BAS103" s="530"/>
      <c r="BAT103" s="531"/>
      <c r="BAU103" s="530"/>
      <c r="BAV103" s="531"/>
      <c r="BAW103" s="530"/>
      <c r="BAX103" s="531"/>
      <c r="BAY103" s="530"/>
      <c r="BAZ103" s="531"/>
      <c r="BBA103" s="530"/>
      <c r="BBB103" s="531"/>
      <c r="BBC103" s="530"/>
      <c r="BBD103" s="531"/>
      <c r="BBE103" s="530"/>
      <c r="BBF103" s="531"/>
      <c r="BBG103" s="530"/>
      <c r="BBH103" s="531"/>
      <c r="BBI103" s="530"/>
      <c r="BBJ103" s="531"/>
      <c r="BBK103" s="530"/>
      <c r="BBL103" s="531"/>
      <c r="BBM103" s="530"/>
      <c r="BBN103" s="531"/>
      <c r="BBO103" s="530"/>
      <c r="BBP103" s="531"/>
      <c r="BBQ103" s="530"/>
      <c r="BBR103" s="531"/>
      <c r="BBS103" s="530"/>
      <c r="BBT103" s="531"/>
      <c r="BBU103" s="530"/>
      <c r="BBV103" s="531"/>
      <c r="BBW103" s="530"/>
      <c r="BBX103" s="531"/>
      <c r="BBY103" s="530"/>
      <c r="BBZ103" s="531"/>
      <c r="BCA103" s="530"/>
      <c r="BCB103" s="531"/>
      <c r="BCC103" s="530"/>
      <c r="BCD103" s="531"/>
      <c r="BCE103" s="530"/>
      <c r="BCF103" s="531"/>
      <c r="BCG103" s="530"/>
      <c r="BCH103" s="531"/>
      <c r="BCI103" s="530"/>
      <c r="BCJ103" s="531"/>
      <c r="BCK103" s="530"/>
      <c r="BCL103" s="531"/>
      <c r="BCM103" s="530"/>
      <c r="BCN103" s="531"/>
      <c r="BCO103" s="530"/>
      <c r="BCP103" s="531"/>
      <c r="BCQ103" s="530"/>
      <c r="BCR103" s="531"/>
      <c r="BCS103" s="530"/>
      <c r="BCT103" s="531"/>
      <c r="BCU103" s="530"/>
      <c r="BCV103" s="531"/>
      <c r="BCW103" s="530"/>
      <c r="BCX103" s="531"/>
      <c r="BCY103" s="530"/>
      <c r="BCZ103" s="531"/>
      <c r="BDA103" s="530"/>
      <c r="BDB103" s="531"/>
      <c r="BDC103" s="530"/>
      <c r="BDD103" s="531"/>
      <c r="BDE103" s="530"/>
      <c r="BDF103" s="531"/>
      <c r="BDG103" s="530"/>
      <c r="BDH103" s="531"/>
      <c r="BDI103" s="530"/>
      <c r="BDJ103" s="531"/>
      <c r="BDK103" s="530"/>
      <c r="BDL103" s="531"/>
      <c r="BDM103" s="530"/>
      <c r="BDN103" s="531"/>
      <c r="BDO103" s="530"/>
      <c r="BDP103" s="531"/>
      <c r="BDQ103" s="530"/>
      <c r="BDR103" s="531"/>
      <c r="BDS103" s="530"/>
      <c r="BDT103" s="531"/>
      <c r="BDU103" s="530"/>
      <c r="BDV103" s="531"/>
      <c r="BDW103" s="530"/>
      <c r="BDX103" s="531"/>
      <c r="BDY103" s="530"/>
      <c r="BDZ103" s="531"/>
      <c r="BEA103" s="530"/>
      <c r="BEB103" s="531"/>
      <c r="BEC103" s="530"/>
      <c r="BED103" s="531"/>
      <c r="BEE103" s="530"/>
      <c r="BEF103" s="531"/>
      <c r="BEG103" s="530"/>
      <c r="BEH103" s="531"/>
      <c r="BEI103" s="530"/>
      <c r="BEJ103" s="531"/>
      <c r="BEK103" s="530"/>
      <c r="BEL103" s="531"/>
      <c r="BEM103" s="530"/>
      <c r="BEN103" s="531"/>
      <c r="BEO103" s="530"/>
      <c r="BEP103" s="531"/>
      <c r="BEQ103" s="530"/>
      <c r="BER103" s="531"/>
      <c r="BES103" s="530"/>
      <c r="BET103" s="531"/>
      <c r="BEU103" s="530"/>
      <c r="BEV103" s="531"/>
      <c r="BEW103" s="530"/>
      <c r="BEX103" s="531"/>
      <c r="BEY103" s="530"/>
      <c r="BEZ103" s="531"/>
      <c r="BFA103" s="530"/>
      <c r="BFB103" s="531"/>
      <c r="BFC103" s="530"/>
      <c r="BFD103" s="531"/>
      <c r="BFE103" s="530"/>
      <c r="BFF103" s="531"/>
      <c r="BFG103" s="530"/>
      <c r="BFH103" s="531"/>
      <c r="BFI103" s="530"/>
      <c r="BFJ103" s="531"/>
      <c r="BFK103" s="530"/>
      <c r="BFL103" s="531"/>
      <c r="BFM103" s="530"/>
      <c r="BFN103" s="531"/>
      <c r="BFO103" s="530"/>
      <c r="BFP103" s="531"/>
      <c r="BFQ103" s="530"/>
      <c r="BFR103" s="531"/>
      <c r="BFS103" s="530"/>
      <c r="BFT103" s="531"/>
      <c r="BFU103" s="530"/>
      <c r="BFV103" s="531"/>
      <c r="BFW103" s="530"/>
      <c r="BFX103" s="531"/>
      <c r="BFY103" s="530"/>
      <c r="BFZ103" s="531"/>
      <c r="BGA103" s="530"/>
      <c r="BGB103" s="531"/>
      <c r="BGC103" s="530"/>
      <c r="BGD103" s="531"/>
      <c r="BGE103" s="530"/>
      <c r="BGF103" s="531"/>
      <c r="BGG103" s="530"/>
      <c r="BGH103" s="531"/>
      <c r="BGI103" s="530"/>
      <c r="BGJ103" s="531"/>
      <c r="BGK103" s="530"/>
      <c r="BGL103" s="531"/>
      <c r="BGM103" s="530"/>
      <c r="BGN103" s="531"/>
      <c r="BGO103" s="530"/>
      <c r="BGP103" s="531"/>
      <c r="BGQ103" s="530"/>
      <c r="BGR103" s="531"/>
      <c r="BGS103" s="530"/>
      <c r="BGT103" s="531"/>
      <c r="BGU103" s="530"/>
      <c r="BGV103" s="531"/>
      <c r="BGW103" s="530"/>
      <c r="BGX103" s="531"/>
      <c r="BGY103" s="530"/>
      <c r="BGZ103" s="531"/>
      <c r="BHA103" s="530"/>
      <c r="BHB103" s="531"/>
      <c r="BHC103" s="530"/>
      <c r="BHD103" s="531"/>
      <c r="BHE103" s="530"/>
      <c r="BHF103" s="531"/>
      <c r="BHG103" s="530"/>
      <c r="BHH103" s="531"/>
      <c r="BHI103" s="530"/>
      <c r="BHJ103" s="531"/>
      <c r="BHK103" s="530"/>
      <c r="BHL103" s="531"/>
      <c r="BHM103" s="530"/>
      <c r="BHN103" s="531"/>
      <c r="BHO103" s="530"/>
      <c r="BHP103" s="531"/>
      <c r="BHQ103" s="530"/>
      <c r="BHR103" s="531"/>
      <c r="BHS103" s="530"/>
      <c r="BHT103" s="531"/>
      <c r="BHU103" s="530"/>
      <c r="BHV103" s="531"/>
      <c r="BHW103" s="530"/>
      <c r="BHX103" s="531"/>
      <c r="BHY103" s="530"/>
      <c r="BHZ103" s="531"/>
      <c r="BIA103" s="530"/>
      <c r="BIB103" s="531"/>
      <c r="BIC103" s="530"/>
      <c r="BID103" s="531"/>
      <c r="BIE103" s="530"/>
      <c r="BIF103" s="531"/>
      <c r="BIG103" s="530"/>
      <c r="BIH103" s="531"/>
      <c r="BII103" s="530"/>
      <c r="BIJ103" s="531"/>
      <c r="BIK103" s="530"/>
      <c r="BIL103" s="531"/>
      <c r="BIM103" s="530"/>
      <c r="BIN103" s="531"/>
      <c r="BIO103" s="530"/>
      <c r="BIP103" s="531"/>
      <c r="BIQ103" s="530"/>
      <c r="BIR103" s="531"/>
      <c r="BIS103" s="530"/>
      <c r="BIT103" s="531"/>
      <c r="BIU103" s="530"/>
      <c r="BIV103" s="531"/>
      <c r="BIW103" s="530"/>
      <c r="BIX103" s="531"/>
      <c r="BIY103" s="530"/>
      <c r="BIZ103" s="531"/>
      <c r="BJA103" s="530"/>
      <c r="BJB103" s="531"/>
      <c r="BJC103" s="530"/>
      <c r="BJD103" s="531"/>
      <c r="BJE103" s="530"/>
      <c r="BJF103" s="531"/>
      <c r="BJG103" s="530"/>
      <c r="BJH103" s="531"/>
      <c r="BJI103" s="530"/>
      <c r="BJJ103" s="531"/>
      <c r="BJK103" s="530"/>
      <c r="BJL103" s="531"/>
      <c r="BJM103" s="530"/>
      <c r="BJN103" s="531"/>
      <c r="BJO103" s="530"/>
      <c r="BJP103" s="531"/>
      <c r="BJQ103" s="530"/>
      <c r="BJR103" s="531"/>
      <c r="BJS103" s="530"/>
      <c r="BJT103" s="531"/>
      <c r="BJU103" s="530"/>
      <c r="BJV103" s="531"/>
      <c r="BJW103" s="530"/>
      <c r="BJX103" s="531"/>
      <c r="BJY103" s="530"/>
      <c r="BJZ103" s="531"/>
      <c r="BKA103" s="530"/>
      <c r="BKB103" s="531"/>
      <c r="BKC103" s="530"/>
      <c r="BKD103" s="531"/>
      <c r="BKE103" s="530"/>
      <c r="BKF103" s="531"/>
      <c r="BKG103" s="530"/>
      <c r="BKH103" s="531"/>
      <c r="BKI103" s="530"/>
      <c r="BKJ103" s="531"/>
      <c r="BKK103" s="530"/>
      <c r="BKL103" s="531"/>
      <c r="BKM103" s="530"/>
      <c r="BKN103" s="531"/>
      <c r="BKO103" s="530"/>
      <c r="BKP103" s="531"/>
      <c r="BKQ103" s="530"/>
      <c r="BKR103" s="531"/>
      <c r="BKS103" s="530"/>
      <c r="BKT103" s="531"/>
      <c r="BKU103" s="530"/>
      <c r="BKV103" s="531"/>
      <c r="BKW103" s="530"/>
      <c r="BKX103" s="531"/>
      <c r="BKY103" s="530"/>
      <c r="BKZ103" s="531"/>
      <c r="BLA103" s="530"/>
      <c r="BLB103" s="531"/>
      <c r="BLC103" s="530"/>
      <c r="BLD103" s="531"/>
      <c r="BLE103" s="530"/>
      <c r="BLF103" s="531"/>
      <c r="BLG103" s="530"/>
      <c r="BLH103" s="531"/>
      <c r="BLI103" s="530"/>
      <c r="BLJ103" s="531"/>
      <c r="BLK103" s="530"/>
      <c r="BLL103" s="531"/>
      <c r="BLM103" s="530"/>
      <c r="BLN103" s="531"/>
      <c r="BLO103" s="530"/>
      <c r="BLP103" s="531"/>
      <c r="BLQ103" s="530"/>
      <c r="BLR103" s="531"/>
      <c r="BLS103" s="530"/>
      <c r="BLT103" s="531"/>
      <c r="BLU103" s="530"/>
      <c r="BLV103" s="531"/>
      <c r="BLW103" s="530"/>
      <c r="BLX103" s="531"/>
      <c r="BLY103" s="530"/>
      <c r="BLZ103" s="531"/>
      <c r="BMA103" s="530"/>
      <c r="BMB103" s="531"/>
      <c r="BMC103" s="530"/>
      <c r="BMD103" s="531"/>
      <c r="BME103" s="530"/>
      <c r="BMF103" s="531"/>
      <c r="BMG103" s="530"/>
      <c r="BMH103" s="531"/>
      <c r="BMI103" s="530"/>
      <c r="BMJ103" s="531"/>
      <c r="BMK103" s="530"/>
      <c r="BML103" s="531"/>
      <c r="BMM103" s="530"/>
      <c r="BMN103" s="531"/>
      <c r="BMO103" s="530"/>
      <c r="BMP103" s="531"/>
      <c r="BMQ103" s="530"/>
      <c r="BMR103" s="531"/>
      <c r="BMS103" s="530"/>
      <c r="BMT103" s="531"/>
      <c r="BMU103" s="530"/>
      <c r="BMV103" s="531"/>
      <c r="BMW103" s="530"/>
      <c r="BMX103" s="531"/>
      <c r="BMY103" s="530"/>
      <c r="BMZ103" s="531"/>
      <c r="BNA103" s="530"/>
      <c r="BNB103" s="531"/>
      <c r="BNC103" s="530"/>
      <c r="BND103" s="531"/>
      <c r="BNE103" s="530"/>
      <c r="BNF103" s="531"/>
      <c r="BNG103" s="530"/>
      <c r="BNH103" s="531"/>
      <c r="BNI103" s="530"/>
      <c r="BNJ103" s="531"/>
      <c r="BNK103" s="530"/>
      <c r="BNL103" s="531"/>
      <c r="BNM103" s="530"/>
      <c r="BNN103" s="531"/>
      <c r="BNO103" s="530"/>
      <c r="BNP103" s="531"/>
      <c r="BNQ103" s="530"/>
      <c r="BNR103" s="531"/>
      <c r="BNS103" s="530"/>
      <c r="BNT103" s="531"/>
      <c r="BNU103" s="530"/>
      <c r="BNV103" s="531"/>
      <c r="BNW103" s="530"/>
      <c r="BNX103" s="531"/>
      <c r="BNY103" s="530"/>
      <c r="BNZ103" s="531"/>
      <c r="BOA103" s="530"/>
      <c r="BOB103" s="531"/>
      <c r="BOC103" s="530"/>
      <c r="BOD103" s="531"/>
      <c r="BOE103" s="530"/>
      <c r="BOF103" s="531"/>
      <c r="BOG103" s="530"/>
      <c r="BOH103" s="531"/>
      <c r="BOI103" s="530"/>
      <c r="BOJ103" s="531"/>
      <c r="BOK103" s="530"/>
      <c r="BOL103" s="531"/>
      <c r="BOM103" s="530"/>
      <c r="BON103" s="531"/>
      <c r="BOO103" s="530"/>
      <c r="BOP103" s="531"/>
      <c r="BOQ103" s="530"/>
      <c r="BOR103" s="531"/>
      <c r="BOS103" s="530"/>
      <c r="BOT103" s="531"/>
      <c r="BOU103" s="530"/>
      <c r="BOV103" s="531"/>
      <c r="BOW103" s="530"/>
      <c r="BOX103" s="531"/>
      <c r="BOY103" s="530"/>
      <c r="BOZ103" s="531"/>
      <c r="BPA103" s="530"/>
      <c r="BPB103" s="531"/>
      <c r="BPC103" s="530"/>
      <c r="BPD103" s="531"/>
      <c r="BPE103" s="530"/>
      <c r="BPF103" s="531"/>
      <c r="BPG103" s="530"/>
      <c r="BPH103" s="531"/>
      <c r="BPI103" s="530"/>
      <c r="BPJ103" s="531"/>
      <c r="BPK103" s="530"/>
      <c r="BPL103" s="531"/>
      <c r="BPM103" s="530"/>
      <c r="BPN103" s="531"/>
      <c r="BPO103" s="530"/>
      <c r="BPP103" s="531"/>
      <c r="BPQ103" s="530"/>
      <c r="BPR103" s="531"/>
      <c r="BPS103" s="530"/>
      <c r="BPT103" s="531"/>
      <c r="BPU103" s="530"/>
      <c r="BPV103" s="531"/>
      <c r="BPW103" s="530"/>
      <c r="BPX103" s="531"/>
      <c r="BPY103" s="530"/>
      <c r="BPZ103" s="531"/>
      <c r="BQA103" s="530"/>
      <c r="BQB103" s="531"/>
      <c r="BQC103" s="530"/>
      <c r="BQD103" s="531"/>
      <c r="BQE103" s="530"/>
      <c r="BQF103" s="531"/>
      <c r="BQG103" s="530"/>
      <c r="BQH103" s="531"/>
      <c r="BQI103" s="530"/>
      <c r="BQJ103" s="531"/>
      <c r="BQK103" s="530"/>
      <c r="BQL103" s="531"/>
      <c r="BQM103" s="530"/>
      <c r="BQN103" s="531"/>
      <c r="BQO103" s="530"/>
      <c r="BQP103" s="531"/>
      <c r="BQQ103" s="530"/>
      <c r="BQR103" s="531"/>
      <c r="BQS103" s="530"/>
      <c r="BQT103" s="531"/>
      <c r="BQU103" s="530"/>
      <c r="BQV103" s="531"/>
      <c r="BQW103" s="530"/>
      <c r="BQX103" s="531"/>
      <c r="BQY103" s="530"/>
      <c r="BQZ103" s="531"/>
      <c r="BRA103" s="530"/>
      <c r="BRB103" s="531"/>
      <c r="BRC103" s="530"/>
      <c r="BRD103" s="531"/>
      <c r="BRE103" s="530"/>
      <c r="BRF103" s="531"/>
      <c r="BRG103" s="530"/>
      <c r="BRH103" s="531"/>
      <c r="BRI103" s="530"/>
      <c r="BRJ103" s="531"/>
      <c r="BRK103" s="530"/>
      <c r="BRL103" s="531"/>
      <c r="BRM103" s="530"/>
      <c r="BRN103" s="531"/>
      <c r="BRO103" s="530"/>
      <c r="BRP103" s="531"/>
      <c r="BRQ103" s="530"/>
      <c r="BRR103" s="531"/>
      <c r="BRS103" s="530"/>
      <c r="BRT103" s="531"/>
      <c r="BRU103" s="530"/>
      <c r="BRV103" s="531"/>
      <c r="BRW103" s="530"/>
      <c r="BRX103" s="531"/>
      <c r="BRY103" s="530"/>
      <c r="BRZ103" s="531"/>
      <c r="BSA103" s="530"/>
      <c r="BSB103" s="531"/>
      <c r="BSC103" s="530"/>
      <c r="BSD103" s="531"/>
      <c r="BSE103" s="530"/>
      <c r="BSF103" s="531"/>
      <c r="BSG103" s="530"/>
      <c r="BSH103" s="531"/>
      <c r="BSI103" s="530"/>
      <c r="BSJ103" s="531"/>
      <c r="BSK103" s="530"/>
      <c r="BSL103" s="531"/>
      <c r="BSM103" s="530"/>
      <c r="BSN103" s="531"/>
      <c r="BSO103" s="530"/>
      <c r="BSP103" s="531"/>
      <c r="BSQ103" s="530"/>
      <c r="BSR103" s="531"/>
      <c r="BSS103" s="530"/>
      <c r="BST103" s="531"/>
      <c r="BSU103" s="530"/>
      <c r="BSV103" s="531"/>
      <c r="BSW103" s="530"/>
      <c r="BSX103" s="531"/>
      <c r="BSY103" s="530"/>
      <c r="BSZ103" s="531"/>
      <c r="BTA103" s="530"/>
      <c r="BTB103" s="531"/>
      <c r="BTC103" s="530"/>
      <c r="BTD103" s="531"/>
      <c r="BTE103" s="530"/>
      <c r="BTF103" s="531"/>
      <c r="BTG103" s="530"/>
      <c r="BTH103" s="531"/>
      <c r="BTI103" s="530"/>
      <c r="BTJ103" s="531"/>
      <c r="BTK103" s="530"/>
      <c r="BTL103" s="531"/>
      <c r="BTM103" s="530"/>
      <c r="BTN103" s="531"/>
      <c r="BTO103" s="530"/>
      <c r="BTP103" s="531"/>
      <c r="BTQ103" s="530"/>
      <c r="BTR103" s="531"/>
      <c r="BTS103" s="530"/>
      <c r="BTT103" s="531"/>
      <c r="BTU103" s="530"/>
      <c r="BTV103" s="531"/>
      <c r="BTW103" s="530"/>
      <c r="BTX103" s="531"/>
      <c r="BTY103" s="530"/>
      <c r="BTZ103" s="531"/>
      <c r="BUA103" s="530"/>
      <c r="BUB103" s="531"/>
      <c r="BUC103" s="530"/>
      <c r="BUD103" s="531"/>
      <c r="BUE103" s="530"/>
      <c r="BUF103" s="531"/>
      <c r="BUG103" s="530"/>
      <c r="BUH103" s="531"/>
      <c r="BUI103" s="530"/>
      <c r="BUJ103" s="531"/>
      <c r="BUK103" s="530"/>
      <c r="BUL103" s="531"/>
      <c r="BUM103" s="530"/>
      <c r="BUN103" s="531"/>
      <c r="BUO103" s="530"/>
      <c r="BUP103" s="531"/>
      <c r="BUQ103" s="530"/>
      <c r="BUR103" s="531"/>
      <c r="BUS103" s="530"/>
      <c r="BUT103" s="531"/>
      <c r="BUU103" s="530"/>
      <c r="BUV103" s="531"/>
      <c r="BUW103" s="530"/>
      <c r="BUX103" s="531"/>
      <c r="BUY103" s="530"/>
      <c r="BUZ103" s="531"/>
      <c r="BVA103" s="530"/>
      <c r="BVB103" s="531"/>
      <c r="BVC103" s="530"/>
      <c r="BVD103" s="531"/>
      <c r="BVE103" s="530"/>
      <c r="BVF103" s="531"/>
      <c r="BVG103" s="530"/>
      <c r="BVH103" s="531"/>
      <c r="BVI103" s="530"/>
      <c r="BVJ103" s="531"/>
      <c r="BVK103" s="530"/>
      <c r="BVL103" s="531"/>
      <c r="BVM103" s="530"/>
      <c r="BVN103" s="531"/>
      <c r="BVO103" s="530"/>
      <c r="BVP103" s="531"/>
      <c r="BVQ103" s="530"/>
      <c r="BVR103" s="531"/>
      <c r="BVS103" s="530"/>
      <c r="BVT103" s="531"/>
      <c r="BVU103" s="530"/>
      <c r="BVV103" s="531"/>
      <c r="BVW103" s="530"/>
      <c r="BVX103" s="531"/>
      <c r="BVY103" s="530"/>
      <c r="BVZ103" s="531"/>
      <c r="BWA103" s="530"/>
      <c r="BWB103" s="531"/>
      <c r="BWC103" s="530"/>
      <c r="BWD103" s="531"/>
      <c r="BWE103" s="530"/>
      <c r="BWF103" s="531"/>
      <c r="BWG103" s="530"/>
      <c r="BWH103" s="531"/>
      <c r="BWI103" s="530"/>
      <c r="BWJ103" s="531"/>
      <c r="BWK103" s="530"/>
      <c r="BWL103" s="531"/>
      <c r="BWM103" s="530"/>
      <c r="BWN103" s="531"/>
      <c r="BWO103" s="530"/>
      <c r="BWP103" s="531"/>
      <c r="BWQ103" s="530"/>
      <c r="BWR103" s="531"/>
      <c r="BWS103" s="530"/>
      <c r="BWT103" s="531"/>
      <c r="BWU103" s="530"/>
      <c r="BWV103" s="531"/>
      <c r="BWW103" s="530"/>
      <c r="BWX103" s="531"/>
      <c r="BWY103" s="530"/>
      <c r="BWZ103" s="531"/>
      <c r="BXA103" s="530"/>
      <c r="BXB103" s="531"/>
      <c r="BXC103" s="530"/>
      <c r="BXD103" s="531"/>
      <c r="BXE103" s="530"/>
      <c r="BXF103" s="531"/>
      <c r="BXG103" s="530"/>
      <c r="BXH103" s="531"/>
      <c r="BXI103" s="530"/>
      <c r="BXJ103" s="531"/>
      <c r="BXK103" s="530"/>
      <c r="BXL103" s="531"/>
      <c r="BXM103" s="530"/>
      <c r="BXN103" s="531"/>
      <c r="BXO103" s="530"/>
      <c r="BXP103" s="531"/>
      <c r="BXQ103" s="530"/>
      <c r="BXR103" s="531"/>
      <c r="BXS103" s="530"/>
      <c r="BXT103" s="531"/>
      <c r="BXU103" s="530"/>
      <c r="BXV103" s="531"/>
      <c r="BXW103" s="530"/>
      <c r="BXX103" s="531"/>
      <c r="BXY103" s="530"/>
      <c r="BXZ103" s="531"/>
      <c r="BYA103" s="530"/>
      <c r="BYB103" s="531"/>
      <c r="BYC103" s="530"/>
      <c r="BYD103" s="531"/>
      <c r="BYE103" s="530"/>
      <c r="BYF103" s="531"/>
      <c r="BYG103" s="530"/>
      <c r="BYH103" s="531"/>
      <c r="BYI103" s="530"/>
      <c r="BYJ103" s="531"/>
      <c r="BYK103" s="530"/>
      <c r="BYL103" s="531"/>
      <c r="BYM103" s="530"/>
      <c r="BYN103" s="531"/>
      <c r="BYO103" s="530"/>
      <c r="BYP103" s="531"/>
      <c r="BYQ103" s="530"/>
      <c r="BYR103" s="531"/>
      <c r="BYS103" s="530"/>
      <c r="BYT103" s="531"/>
      <c r="BYU103" s="530"/>
      <c r="BYV103" s="531"/>
      <c r="BYW103" s="530"/>
      <c r="BYX103" s="531"/>
      <c r="BYY103" s="530"/>
      <c r="BYZ103" s="531"/>
      <c r="BZA103" s="530"/>
      <c r="BZB103" s="531"/>
      <c r="BZC103" s="530"/>
      <c r="BZD103" s="531"/>
      <c r="BZE103" s="530"/>
      <c r="BZF103" s="531"/>
      <c r="BZG103" s="530"/>
      <c r="BZH103" s="531"/>
      <c r="BZI103" s="530"/>
      <c r="BZJ103" s="531"/>
      <c r="BZK103" s="530"/>
      <c r="BZL103" s="531"/>
      <c r="BZM103" s="530"/>
      <c r="BZN103" s="531"/>
      <c r="BZO103" s="530"/>
      <c r="BZP103" s="531"/>
      <c r="BZQ103" s="530"/>
      <c r="BZR103" s="531"/>
      <c r="BZS103" s="530"/>
      <c r="BZT103" s="531"/>
      <c r="BZU103" s="530"/>
      <c r="BZV103" s="531"/>
      <c r="BZW103" s="530"/>
      <c r="BZX103" s="531"/>
      <c r="BZY103" s="530"/>
      <c r="BZZ103" s="531"/>
      <c r="CAA103" s="530"/>
      <c r="CAB103" s="531"/>
      <c r="CAC103" s="530"/>
      <c r="CAD103" s="531"/>
      <c r="CAE103" s="530"/>
      <c r="CAF103" s="531"/>
      <c r="CAG103" s="530"/>
      <c r="CAH103" s="531"/>
      <c r="CAI103" s="530"/>
      <c r="CAJ103" s="531"/>
      <c r="CAK103" s="530"/>
      <c r="CAL103" s="531"/>
      <c r="CAM103" s="530"/>
      <c r="CAN103" s="531"/>
      <c r="CAO103" s="530"/>
      <c r="CAP103" s="531"/>
      <c r="CAQ103" s="530"/>
      <c r="CAR103" s="531"/>
      <c r="CAS103" s="530"/>
      <c r="CAT103" s="531"/>
      <c r="CAU103" s="530"/>
      <c r="CAV103" s="531"/>
      <c r="CAW103" s="530"/>
      <c r="CAX103" s="531"/>
      <c r="CAY103" s="530"/>
      <c r="CAZ103" s="531"/>
      <c r="CBA103" s="530"/>
      <c r="CBB103" s="531"/>
      <c r="CBC103" s="530"/>
      <c r="CBD103" s="531"/>
      <c r="CBE103" s="530"/>
      <c r="CBF103" s="531"/>
      <c r="CBG103" s="530"/>
      <c r="CBH103" s="531"/>
      <c r="CBI103" s="530"/>
      <c r="CBJ103" s="531"/>
      <c r="CBK103" s="530"/>
      <c r="CBL103" s="531"/>
      <c r="CBM103" s="530"/>
      <c r="CBN103" s="531"/>
      <c r="CBO103" s="530"/>
      <c r="CBP103" s="531"/>
      <c r="CBQ103" s="530"/>
      <c r="CBR103" s="531"/>
      <c r="CBS103" s="530"/>
      <c r="CBT103" s="531"/>
      <c r="CBU103" s="530"/>
      <c r="CBV103" s="531"/>
      <c r="CBW103" s="530"/>
      <c r="CBX103" s="531"/>
      <c r="CBY103" s="530"/>
      <c r="CBZ103" s="531"/>
      <c r="CCA103" s="530"/>
      <c r="CCB103" s="531"/>
      <c r="CCC103" s="530"/>
      <c r="CCD103" s="531"/>
      <c r="CCE103" s="530"/>
      <c r="CCF103" s="531"/>
      <c r="CCG103" s="530"/>
      <c r="CCH103" s="531"/>
      <c r="CCI103" s="530"/>
      <c r="CCJ103" s="531"/>
      <c r="CCK103" s="530"/>
      <c r="CCL103" s="531"/>
      <c r="CCM103" s="530"/>
      <c r="CCN103" s="531"/>
      <c r="CCO103" s="530"/>
      <c r="CCP103" s="531"/>
      <c r="CCQ103" s="530"/>
      <c r="CCR103" s="531"/>
      <c r="CCS103" s="530"/>
      <c r="CCT103" s="531"/>
      <c r="CCU103" s="530"/>
      <c r="CCV103" s="531"/>
      <c r="CCW103" s="530"/>
      <c r="CCX103" s="531"/>
      <c r="CCY103" s="530"/>
      <c r="CCZ103" s="531"/>
      <c r="CDA103" s="530"/>
      <c r="CDB103" s="531"/>
      <c r="CDC103" s="530"/>
      <c r="CDD103" s="531"/>
      <c r="CDE103" s="530"/>
      <c r="CDF103" s="531"/>
      <c r="CDG103" s="530"/>
      <c r="CDH103" s="531"/>
      <c r="CDI103" s="530"/>
      <c r="CDJ103" s="531"/>
      <c r="CDK103" s="530"/>
      <c r="CDL103" s="531"/>
      <c r="CDM103" s="530"/>
      <c r="CDN103" s="531"/>
      <c r="CDO103" s="530"/>
      <c r="CDP103" s="531"/>
      <c r="CDQ103" s="530"/>
      <c r="CDR103" s="531"/>
      <c r="CDS103" s="530"/>
      <c r="CDT103" s="531"/>
      <c r="CDU103" s="530"/>
      <c r="CDV103" s="531"/>
      <c r="CDW103" s="530"/>
      <c r="CDX103" s="531"/>
      <c r="CDY103" s="530"/>
      <c r="CDZ103" s="531"/>
      <c r="CEA103" s="530"/>
      <c r="CEB103" s="531"/>
      <c r="CEC103" s="530"/>
      <c r="CED103" s="531"/>
      <c r="CEE103" s="530"/>
      <c r="CEF103" s="531"/>
      <c r="CEG103" s="530"/>
      <c r="CEH103" s="531"/>
      <c r="CEI103" s="530"/>
      <c r="CEJ103" s="531"/>
      <c r="CEK103" s="530"/>
      <c r="CEL103" s="531"/>
      <c r="CEM103" s="530"/>
      <c r="CEN103" s="531"/>
      <c r="CEO103" s="530"/>
      <c r="CEP103" s="531"/>
      <c r="CEQ103" s="530"/>
      <c r="CER103" s="531"/>
      <c r="CES103" s="530"/>
      <c r="CET103" s="531"/>
      <c r="CEU103" s="530"/>
      <c r="CEV103" s="531"/>
      <c r="CEW103" s="530"/>
      <c r="CEX103" s="531"/>
      <c r="CEY103" s="530"/>
      <c r="CEZ103" s="531"/>
      <c r="CFA103" s="530"/>
      <c r="CFB103" s="531"/>
      <c r="CFC103" s="530"/>
      <c r="CFD103" s="531"/>
      <c r="CFE103" s="530"/>
      <c r="CFF103" s="531"/>
      <c r="CFG103" s="530"/>
      <c r="CFH103" s="531"/>
      <c r="CFI103" s="530"/>
      <c r="CFJ103" s="531"/>
      <c r="CFK103" s="530"/>
      <c r="CFL103" s="531"/>
      <c r="CFM103" s="530"/>
      <c r="CFN103" s="531"/>
      <c r="CFO103" s="530"/>
      <c r="CFP103" s="531"/>
      <c r="CFQ103" s="530"/>
      <c r="CFR103" s="531"/>
      <c r="CFS103" s="530"/>
      <c r="CFT103" s="531"/>
      <c r="CFU103" s="530"/>
      <c r="CFV103" s="531"/>
      <c r="CFW103" s="530"/>
      <c r="CFX103" s="531"/>
      <c r="CFY103" s="530"/>
      <c r="CFZ103" s="531"/>
      <c r="CGA103" s="530"/>
      <c r="CGB103" s="531"/>
      <c r="CGC103" s="530"/>
      <c r="CGD103" s="531"/>
      <c r="CGE103" s="530"/>
      <c r="CGF103" s="531"/>
      <c r="CGG103" s="530"/>
      <c r="CGH103" s="531"/>
      <c r="CGI103" s="530"/>
      <c r="CGJ103" s="531"/>
      <c r="CGK103" s="530"/>
      <c r="CGL103" s="531"/>
      <c r="CGM103" s="530"/>
      <c r="CGN103" s="531"/>
      <c r="CGO103" s="530"/>
      <c r="CGP103" s="531"/>
      <c r="CGQ103" s="530"/>
      <c r="CGR103" s="531"/>
      <c r="CGS103" s="530"/>
      <c r="CGT103" s="531"/>
      <c r="CGU103" s="530"/>
      <c r="CGV103" s="531"/>
      <c r="CGW103" s="530"/>
      <c r="CGX103" s="531"/>
      <c r="CGY103" s="530"/>
      <c r="CGZ103" s="531"/>
      <c r="CHA103" s="530"/>
      <c r="CHB103" s="531"/>
      <c r="CHC103" s="530"/>
      <c r="CHD103" s="531"/>
      <c r="CHE103" s="530"/>
      <c r="CHF103" s="531"/>
      <c r="CHG103" s="530"/>
      <c r="CHH103" s="531"/>
      <c r="CHI103" s="530"/>
      <c r="CHJ103" s="531"/>
      <c r="CHK103" s="530"/>
      <c r="CHL103" s="531"/>
      <c r="CHM103" s="530"/>
      <c r="CHN103" s="531"/>
      <c r="CHO103" s="530"/>
      <c r="CHP103" s="531"/>
      <c r="CHQ103" s="530"/>
      <c r="CHR103" s="531"/>
      <c r="CHS103" s="530"/>
      <c r="CHT103" s="531"/>
      <c r="CHU103" s="530"/>
      <c r="CHV103" s="531"/>
      <c r="CHW103" s="530"/>
      <c r="CHX103" s="531"/>
      <c r="CHY103" s="530"/>
      <c r="CHZ103" s="531"/>
      <c r="CIA103" s="530"/>
      <c r="CIB103" s="531"/>
      <c r="CIC103" s="530"/>
      <c r="CID103" s="531"/>
      <c r="CIE103" s="530"/>
      <c r="CIF103" s="531"/>
      <c r="CIG103" s="530"/>
      <c r="CIH103" s="531"/>
      <c r="CII103" s="530"/>
      <c r="CIJ103" s="531"/>
      <c r="CIK103" s="530"/>
      <c r="CIL103" s="531"/>
      <c r="CIM103" s="530"/>
      <c r="CIN103" s="531"/>
      <c r="CIO103" s="530"/>
      <c r="CIP103" s="531"/>
      <c r="CIQ103" s="530"/>
      <c r="CIR103" s="531"/>
      <c r="CIS103" s="530"/>
      <c r="CIT103" s="531"/>
      <c r="CIU103" s="530"/>
      <c r="CIV103" s="531"/>
      <c r="CIW103" s="530"/>
      <c r="CIX103" s="531"/>
      <c r="CIY103" s="530"/>
      <c r="CIZ103" s="531"/>
      <c r="CJA103" s="530"/>
      <c r="CJB103" s="531"/>
      <c r="CJC103" s="530"/>
      <c r="CJD103" s="531"/>
      <c r="CJE103" s="530"/>
      <c r="CJF103" s="531"/>
      <c r="CJG103" s="530"/>
      <c r="CJH103" s="531"/>
      <c r="CJI103" s="530"/>
      <c r="CJJ103" s="531"/>
      <c r="CJK103" s="530"/>
      <c r="CJL103" s="531"/>
      <c r="CJM103" s="530"/>
      <c r="CJN103" s="531"/>
      <c r="CJO103" s="530"/>
      <c r="CJP103" s="531"/>
      <c r="CJQ103" s="530"/>
      <c r="CJR103" s="531"/>
      <c r="CJS103" s="530"/>
      <c r="CJT103" s="531"/>
      <c r="CJU103" s="530"/>
      <c r="CJV103" s="531"/>
      <c r="CJW103" s="530"/>
      <c r="CJX103" s="531"/>
      <c r="CJY103" s="530"/>
      <c r="CJZ103" s="531"/>
      <c r="CKA103" s="530"/>
      <c r="CKB103" s="531"/>
      <c r="CKC103" s="530"/>
      <c r="CKD103" s="531"/>
      <c r="CKE103" s="530"/>
      <c r="CKF103" s="531"/>
      <c r="CKG103" s="530"/>
      <c r="CKH103" s="531"/>
      <c r="CKI103" s="530"/>
      <c r="CKJ103" s="531"/>
      <c r="CKK103" s="530"/>
      <c r="CKL103" s="531"/>
      <c r="CKM103" s="530"/>
      <c r="CKN103" s="531"/>
      <c r="CKO103" s="530"/>
      <c r="CKP103" s="531"/>
      <c r="CKQ103" s="530"/>
      <c r="CKR103" s="531"/>
      <c r="CKS103" s="530"/>
      <c r="CKT103" s="531"/>
      <c r="CKU103" s="530"/>
      <c r="CKV103" s="531"/>
      <c r="CKW103" s="530"/>
      <c r="CKX103" s="531"/>
      <c r="CKY103" s="530"/>
      <c r="CKZ103" s="531"/>
      <c r="CLA103" s="530"/>
      <c r="CLB103" s="531"/>
      <c r="CLC103" s="530"/>
      <c r="CLD103" s="531"/>
      <c r="CLE103" s="530"/>
      <c r="CLF103" s="531"/>
      <c r="CLG103" s="530"/>
      <c r="CLH103" s="531"/>
      <c r="CLI103" s="530"/>
      <c r="CLJ103" s="531"/>
      <c r="CLK103" s="530"/>
      <c r="CLL103" s="531"/>
      <c r="CLM103" s="530"/>
      <c r="CLN103" s="531"/>
      <c r="CLO103" s="530"/>
      <c r="CLP103" s="531"/>
      <c r="CLQ103" s="530"/>
      <c r="CLR103" s="531"/>
      <c r="CLS103" s="530"/>
      <c r="CLT103" s="531"/>
      <c r="CLU103" s="530"/>
      <c r="CLV103" s="531"/>
      <c r="CLW103" s="530"/>
      <c r="CLX103" s="531"/>
      <c r="CLY103" s="530"/>
      <c r="CLZ103" s="531"/>
      <c r="CMA103" s="530"/>
      <c r="CMB103" s="531"/>
      <c r="CMC103" s="530"/>
      <c r="CMD103" s="531"/>
      <c r="CME103" s="530"/>
      <c r="CMF103" s="531"/>
      <c r="CMG103" s="530"/>
      <c r="CMH103" s="531"/>
      <c r="CMI103" s="530"/>
      <c r="CMJ103" s="531"/>
      <c r="CMK103" s="530"/>
      <c r="CML103" s="531"/>
      <c r="CMM103" s="530"/>
      <c r="CMN103" s="531"/>
      <c r="CMO103" s="530"/>
      <c r="CMP103" s="531"/>
      <c r="CMQ103" s="530"/>
      <c r="CMR103" s="531"/>
      <c r="CMS103" s="530"/>
      <c r="CMT103" s="531"/>
      <c r="CMU103" s="530"/>
      <c r="CMV103" s="531"/>
      <c r="CMW103" s="530"/>
      <c r="CMX103" s="531"/>
      <c r="CMY103" s="530"/>
      <c r="CMZ103" s="531"/>
      <c r="CNA103" s="530"/>
      <c r="CNB103" s="531"/>
      <c r="CNC103" s="530"/>
      <c r="CND103" s="531"/>
      <c r="CNE103" s="530"/>
      <c r="CNF103" s="531"/>
      <c r="CNG103" s="530"/>
      <c r="CNH103" s="531"/>
      <c r="CNI103" s="530"/>
      <c r="CNJ103" s="531"/>
      <c r="CNK103" s="530"/>
      <c r="CNL103" s="531"/>
      <c r="CNM103" s="530"/>
      <c r="CNN103" s="531"/>
      <c r="CNO103" s="530"/>
      <c r="CNP103" s="531"/>
      <c r="CNQ103" s="530"/>
      <c r="CNR103" s="531"/>
      <c r="CNS103" s="530"/>
      <c r="CNT103" s="531"/>
      <c r="CNU103" s="530"/>
      <c r="CNV103" s="531"/>
      <c r="CNW103" s="530"/>
      <c r="CNX103" s="531"/>
      <c r="CNY103" s="530"/>
      <c r="CNZ103" s="531"/>
      <c r="COA103" s="530"/>
      <c r="COB103" s="531"/>
      <c r="COC103" s="530"/>
      <c r="COD103" s="531"/>
      <c r="COE103" s="530"/>
      <c r="COF103" s="531"/>
      <c r="COG103" s="530"/>
      <c r="COH103" s="531"/>
      <c r="COI103" s="530"/>
      <c r="COJ103" s="531"/>
      <c r="COK103" s="530"/>
      <c r="COL103" s="531"/>
      <c r="COM103" s="530"/>
      <c r="CON103" s="531"/>
      <c r="COO103" s="530"/>
      <c r="COP103" s="531"/>
      <c r="COQ103" s="530"/>
      <c r="COR103" s="531"/>
      <c r="COS103" s="530"/>
      <c r="COT103" s="531"/>
      <c r="COU103" s="530"/>
      <c r="COV103" s="531"/>
      <c r="COW103" s="530"/>
      <c r="COX103" s="531"/>
      <c r="COY103" s="530"/>
      <c r="COZ103" s="531"/>
      <c r="CPA103" s="530"/>
      <c r="CPB103" s="531"/>
      <c r="CPC103" s="530"/>
      <c r="CPD103" s="531"/>
      <c r="CPE103" s="530"/>
      <c r="CPF103" s="531"/>
      <c r="CPG103" s="530"/>
      <c r="CPH103" s="531"/>
      <c r="CPI103" s="530"/>
      <c r="CPJ103" s="531"/>
      <c r="CPK103" s="530"/>
      <c r="CPL103" s="531"/>
      <c r="CPM103" s="530"/>
      <c r="CPN103" s="531"/>
      <c r="CPO103" s="530"/>
      <c r="CPP103" s="531"/>
      <c r="CPQ103" s="530"/>
      <c r="CPR103" s="531"/>
      <c r="CPS103" s="530"/>
      <c r="CPT103" s="531"/>
      <c r="CPU103" s="530"/>
      <c r="CPV103" s="531"/>
      <c r="CPW103" s="530"/>
      <c r="CPX103" s="531"/>
      <c r="CPY103" s="530"/>
      <c r="CPZ103" s="531"/>
      <c r="CQA103" s="530"/>
      <c r="CQB103" s="531"/>
      <c r="CQC103" s="530"/>
      <c r="CQD103" s="531"/>
      <c r="CQE103" s="530"/>
      <c r="CQF103" s="531"/>
      <c r="CQG103" s="530"/>
      <c r="CQH103" s="531"/>
      <c r="CQI103" s="530"/>
      <c r="CQJ103" s="531"/>
      <c r="CQK103" s="530"/>
      <c r="CQL103" s="531"/>
      <c r="CQM103" s="530"/>
      <c r="CQN103" s="531"/>
      <c r="CQO103" s="530"/>
      <c r="CQP103" s="531"/>
      <c r="CQQ103" s="530"/>
      <c r="CQR103" s="531"/>
      <c r="CQS103" s="530"/>
      <c r="CQT103" s="531"/>
      <c r="CQU103" s="530"/>
      <c r="CQV103" s="531"/>
      <c r="CQW103" s="530"/>
      <c r="CQX103" s="531"/>
      <c r="CQY103" s="530"/>
      <c r="CQZ103" s="531"/>
      <c r="CRA103" s="530"/>
      <c r="CRB103" s="531"/>
      <c r="CRC103" s="530"/>
      <c r="CRD103" s="531"/>
      <c r="CRE103" s="530"/>
      <c r="CRF103" s="531"/>
      <c r="CRG103" s="530"/>
      <c r="CRH103" s="531"/>
      <c r="CRI103" s="530"/>
      <c r="CRJ103" s="531"/>
      <c r="CRK103" s="530"/>
      <c r="CRL103" s="531"/>
      <c r="CRM103" s="530"/>
      <c r="CRN103" s="531"/>
      <c r="CRO103" s="530"/>
      <c r="CRP103" s="531"/>
      <c r="CRQ103" s="530"/>
      <c r="CRR103" s="531"/>
      <c r="CRS103" s="530"/>
      <c r="CRT103" s="531"/>
      <c r="CRU103" s="530"/>
      <c r="CRV103" s="531"/>
      <c r="CRW103" s="530"/>
      <c r="CRX103" s="531"/>
      <c r="CRY103" s="530"/>
      <c r="CRZ103" s="531"/>
      <c r="CSA103" s="530"/>
      <c r="CSB103" s="531"/>
      <c r="CSC103" s="530"/>
      <c r="CSD103" s="531"/>
      <c r="CSE103" s="530"/>
      <c r="CSF103" s="531"/>
      <c r="CSG103" s="530"/>
      <c r="CSH103" s="531"/>
      <c r="CSI103" s="530"/>
      <c r="CSJ103" s="531"/>
      <c r="CSK103" s="530"/>
      <c r="CSL103" s="531"/>
      <c r="CSM103" s="530"/>
      <c r="CSN103" s="531"/>
      <c r="CSO103" s="530"/>
      <c r="CSP103" s="531"/>
      <c r="CSQ103" s="530"/>
      <c r="CSR103" s="531"/>
      <c r="CSS103" s="530"/>
      <c r="CST103" s="531"/>
      <c r="CSU103" s="530"/>
      <c r="CSV103" s="531"/>
      <c r="CSW103" s="530"/>
      <c r="CSX103" s="531"/>
      <c r="CSY103" s="530"/>
      <c r="CSZ103" s="531"/>
      <c r="CTA103" s="530"/>
      <c r="CTB103" s="531"/>
      <c r="CTC103" s="530"/>
      <c r="CTD103" s="531"/>
      <c r="CTE103" s="530"/>
      <c r="CTF103" s="531"/>
      <c r="CTG103" s="530"/>
      <c r="CTH103" s="531"/>
      <c r="CTI103" s="530"/>
      <c r="CTJ103" s="531"/>
      <c r="CTK103" s="530"/>
      <c r="CTL103" s="531"/>
      <c r="CTM103" s="530"/>
      <c r="CTN103" s="531"/>
      <c r="CTO103" s="530"/>
      <c r="CTP103" s="531"/>
      <c r="CTQ103" s="530"/>
      <c r="CTR103" s="531"/>
      <c r="CTS103" s="530"/>
      <c r="CTT103" s="531"/>
      <c r="CTU103" s="530"/>
      <c r="CTV103" s="531"/>
      <c r="CTW103" s="530"/>
      <c r="CTX103" s="531"/>
      <c r="CTY103" s="530"/>
      <c r="CTZ103" s="531"/>
      <c r="CUA103" s="530"/>
      <c r="CUB103" s="531"/>
      <c r="CUC103" s="530"/>
      <c r="CUD103" s="531"/>
      <c r="CUE103" s="530"/>
      <c r="CUF103" s="531"/>
      <c r="CUG103" s="530"/>
      <c r="CUH103" s="531"/>
      <c r="CUI103" s="530"/>
      <c r="CUJ103" s="531"/>
      <c r="CUK103" s="530"/>
      <c r="CUL103" s="531"/>
      <c r="CUM103" s="530"/>
      <c r="CUN103" s="531"/>
      <c r="CUO103" s="530"/>
      <c r="CUP103" s="531"/>
      <c r="CUQ103" s="530"/>
      <c r="CUR103" s="531"/>
      <c r="CUS103" s="530"/>
      <c r="CUT103" s="531"/>
      <c r="CUU103" s="530"/>
      <c r="CUV103" s="531"/>
      <c r="CUW103" s="530"/>
      <c r="CUX103" s="531"/>
      <c r="CUY103" s="530"/>
      <c r="CUZ103" s="531"/>
      <c r="CVA103" s="530"/>
      <c r="CVB103" s="531"/>
      <c r="CVC103" s="530"/>
      <c r="CVD103" s="531"/>
      <c r="CVE103" s="530"/>
      <c r="CVF103" s="531"/>
      <c r="CVG103" s="530"/>
      <c r="CVH103" s="531"/>
      <c r="CVI103" s="530"/>
      <c r="CVJ103" s="531"/>
      <c r="CVK103" s="530"/>
      <c r="CVL103" s="531"/>
      <c r="CVM103" s="530"/>
      <c r="CVN103" s="531"/>
      <c r="CVO103" s="530"/>
      <c r="CVP103" s="531"/>
      <c r="CVQ103" s="530"/>
      <c r="CVR103" s="531"/>
      <c r="CVS103" s="530"/>
      <c r="CVT103" s="531"/>
      <c r="CVU103" s="530"/>
      <c r="CVV103" s="531"/>
      <c r="CVW103" s="530"/>
      <c r="CVX103" s="531"/>
      <c r="CVY103" s="530"/>
      <c r="CVZ103" s="531"/>
      <c r="CWA103" s="530"/>
      <c r="CWB103" s="531"/>
      <c r="CWC103" s="530"/>
      <c r="CWD103" s="531"/>
      <c r="CWE103" s="530"/>
      <c r="CWF103" s="531"/>
      <c r="CWG103" s="530"/>
      <c r="CWH103" s="531"/>
      <c r="CWI103" s="530"/>
      <c r="CWJ103" s="531"/>
      <c r="CWK103" s="530"/>
      <c r="CWL103" s="531"/>
      <c r="CWM103" s="530"/>
      <c r="CWN103" s="531"/>
      <c r="CWO103" s="530"/>
      <c r="CWP103" s="531"/>
      <c r="CWQ103" s="530"/>
      <c r="CWR103" s="531"/>
      <c r="CWS103" s="530"/>
      <c r="CWT103" s="531"/>
      <c r="CWU103" s="530"/>
      <c r="CWV103" s="531"/>
      <c r="CWW103" s="530"/>
      <c r="CWX103" s="531"/>
      <c r="CWY103" s="530"/>
      <c r="CWZ103" s="531"/>
      <c r="CXA103" s="530"/>
      <c r="CXB103" s="531"/>
      <c r="CXC103" s="530"/>
      <c r="CXD103" s="531"/>
      <c r="CXE103" s="530"/>
      <c r="CXF103" s="531"/>
      <c r="CXG103" s="530"/>
      <c r="CXH103" s="531"/>
      <c r="CXI103" s="530"/>
      <c r="CXJ103" s="531"/>
      <c r="CXK103" s="530"/>
      <c r="CXL103" s="531"/>
      <c r="CXM103" s="530"/>
      <c r="CXN103" s="531"/>
      <c r="CXO103" s="530"/>
      <c r="CXP103" s="531"/>
      <c r="CXQ103" s="530"/>
      <c r="CXR103" s="531"/>
      <c r="CXS103" s="530"/>
      <c r="CXT103" s="531"/>
      <c r="CXU103" s="530"/>
      <c r="CXV103" s="531"/>
      <c r="CXW103" s="530"/>
      <c r="CXX103" s="531"/>
      <c r="CXY103" s="530"/>
      <c r="CXZ103" s="531"/>
      <c r="CYA103" s="530"/>
      <c r="CYB103" s="531"/>
      <c r="CYC103" s="530"/>
      <c r="CYD103" s="531"/>
      <c r="CYE103" s="530"/>
      <c r="CYF103" s="531"/>
      <c r="CYG103" s="530"/>
      <c r="CYH103" s="531"/>
      <c r="CYI103" s="530"/>
      <c r="CYJ103" s="531"/>
      <c r="CYK103" s="530"/>
      <c r="CYL103" s="531"/>
      <c r="CYM103" s="530"/>
      <c r="CYN103" s="531"/>
      <c r="CYO103" s="530"/>
      <c r="CYP103" s="531"/>
      <c r="CYQ103" s="530"/>
      <c r="CYR103" s="531"/>
      <c r="CYS103" s="530"/>
      <c r="CYT103" s="531"/>
      <c r="CYU103" s="530"/>
      <c r="CYV103" s="531"/>
      <c r="CYW103" s="530"/>
      <c r="CYX103" s="531"/>
      <c r="CYY103" s="530"/>
      <c r="CYZ103" s="531"/>
      <c r="CZA103" s="530"/>
      <c r="CZB103" s="531"/>
      <c r="CZC103" s="530"/>
      <c r="CZD103" s="531"/>
      <c r="CZE103" s="530"/>
      <c r="CZF103" s="531"/>
      <c r="CZG103" s="530"/>
      <c r="CZH103" s="531"/>
      <c r="CZI103" s="530"/>
      <c r="CZJ103" s="531"/>
      <c r="CZK103" s="530"/>
      <c r="CZL103" s="531"/>
      <c r="CZM103" s="530"/>
      <c r="CZN103" s="531"/>
      <c r="CZO103" s="530"/>
      <c r="CZP103" s="531"/>
      <c r="CZQ103" s="530"/>
      <c r="CZR103" s="531"/>
      <c r="CZS103" s="530"/>
      <c r="CZT103" s="531"/>
      <c r="CZU103" s="530"/>
      <c r="CZV103" s="531"/>
      <c r="CZW103" s="530"/>
      <c r="CZX103" s="531"/>
      <c r="CZY103" s="530"/>
      <c r="CZZ103" s="531"/>
      <c r="DAA103" s="530"/>
      <c r="DAB103" s="531"/>
      <c r="DAC103" s="530"/>
      <c r="DAD103" s="531"/>
      <c r="DAE103" s="530"/>
      <c r="DAF103" s="531"/>
      <c r="DAG103" s="530"/>
      <c r="DAH103" s="531"/>
      <c r="DAI103" s="530"/>
      <c r="DAJ103" s="531"/>
      <c r="DAK103" s="530"/>
      <c r="DAL103" s="531"/>
      <c r="DAM103" s="530"/>
      <c r="DAN103" s="531"/>
      <c r="DAO103" s="530"/>
      <c r="DAP103" s="531"/>
      <c r="DAQ103" s="530"/>
      <c r="DAR103" s="531"/>
      <c r="DAS103" s="530"/>
      <c r="DAT103" s="531"/>
      <c r="DAU103" s="530"/>
      <c r="DAV103" s="531"/>
      <c r="DAW103" s="530"/>
      <c r="DAX103" s="531"/>
      <c r="DAY103" s="530"/>
      <c r="DAZ103" s="531"/>
      <c r="DBA103" s="530"/>
      <c r="DBB103" s="531"/>
      <c r="DBC103" s="530"/>
      <c r="DBD103" s="531"/>
      <c r="DBE103" s="530"/>
      <c r="DBF103" s="531"/>
      <c r="DBG103" s="530"/>
      <c r="DBH103" s="531"/>
      <c r="DBI103" s="530"/>
      <c r="DBJ103" s="531"/>
      <c r="DBK103" s="530"/>
      <c r="DBL103" s="531"/>
      <c r="DBM103" s="530"/>
      <c r="DBN103" s="531"/>
      <c r="DBO103" s="530"/>
      <c r="DBP103" s="531"/>
      <c r="DBQ103" s="530"/>
      <c r="DBR103" s="531"/>
      <c r="DBS103" s="530"/>
      <c r="DBT103" s="531"/>
      <c r="DBU103" s="530"/>
      <c r="DBV103" s="531"/>
      <c r="DBW103" s="530"/>
      <c r="DBX103" s="531"/>
      <c r="DBY103" s="530"/>
      <c r="DBZ103" s="531"/>
      <c r="DCA103" s="530"/>
      <c r="DCB103" s="531"/>
      <c r="DCC103" s="530"/>
      <c r="DCD103" s="531"/>
      <c r="DCE103" s="530"/>
      <c r="DCF103" s="531"/>
      <c r="DCG103" s="530"/>
      <c r="DCH103" s="531"/>
      <c r="DCI103" s="530"/>
      <c r="DCJ103" s="531"/>
      <c r="DCK103" s="530"/>
      <c r="DCL103" s="531"/>
      <c r="DCM103" s="530"/>
      <c r="DCN103" s="531"/>
      <c r="DCO103" s="530"/>
      <c r="DCP103" s="531"/>
      <c r="DCQ103" s="530"/>
      <c r="DCR103" s="531"/>
      <c r="DCS103" s="530"/>
      <c r="DCT103" s="531"/>
      <c r="DCU103" s="530"/>
      <c r="DCV103" s="531"/>
      <c r="DCW103" s="530"/>
      <c r="DCX103" s="531"/>
      <c r="DCY103" s="530"/>
      <c r="DCZ103" s="531"/>
      <c r="DDA103" s="530"/>
      <c r="DDB103" s="531"/>
      <c r="DDC103" s="530"/>
      <c r="DDD103" s="531"/>
      <c r="DDE103" s="530"/>
      <c r="DDF103" s="531"/>
      <c r="DDG103" s="530"/>
      <c r="DDH103" s="531"/>
      <c r="DDI103" s="530"/>
      <c r="DDJ103" s="531"/>
      <c r="DDK103" s="530"/>
      <c r="DDL103" s="531"/>
      <c r="DDM103" s="530"/>
      <c r="DDN103" s="531"/>
      <c r="DDO103" s="530"/>
      <c r="DDP103" s="531"/>
      <c r="DDQ103" s="530"/>
      <c r="DDR103" s="531"/>
      <c r="DDS103" s="530"/>
      <c r="DDT103" s="531"/>
      <c r="DDU103" s="530"/>
      <c r="DDV103" s="531"/>
      <c r="DDW103" s="530"/>
      <c r="DDX103" s="531"/>
      <c r="DDY103" s="530"/>
      <c r="DDZ103" s="531"/>
      <c r="DEA103" s="530"/>
      <c r="DEB103" s="531"/>
      <c r="DEC103" s="530"/>
      <c r="DED103" s="531"/>
      <c r="DEE103" s="530"/>
      <c r="DEF103" s="531"/>
      <c r="DEG103" s="530"/>
      <c r="DEH103" s="531"/>
      <c r="DEI103" s="530"/>
      <c r="DEJ103" s="531"/>
      <c r="DEK103" s="530"/>
      <c r="DEL103" s="531"/>
      <c r="DEM103" s="530"/>
      <c r="DEN103" s="531"/>
      <c r="DEO103" s="530"/>
      <c r="DEP103" s="531"/>
      <c r="DEQ103" s="530"/>
      <c r="DER103" s="531"/>
      <c r="DES103" s="530"/>
      <c r="DET103" s="531"/>
      <c r="DEU103" s="530"/>
      <c r="DEV103" s="531"/>
      <c r="DEW103" s="530"/>
      <c r="DEX103" s="531"/>
      <c r="DEY103" s="530"/>
      <c r="DEZ103" s="531"/>
      <c r="DFA103" s="530"/>
      <c r="DFB103" s="531"/>
      <c r="DFC103" s="530"/>
      <c r="DFD103" s="531"/>
      <c r="DFE103" s="530"/>
      <c r="DFF103" s="531"/>
      <c r="DFG103" s="530"/>
      <c r="DFH103" s="531"/>
      <c r="DFI103" s="530"/>
      <c r="DFJ103" s="531"/>
      <c r="DFK103" s="530"/>
      <c r="DFL103" s="531"/>
      <c r="DFM103" s="530"/>
      <c r="DFN103" s="531"/>
      <c r="DFO103" s="530"/>
      <c r="DFP103" s="531"/>
      <c r="DFQ103" s="530"/>
      <c r="DFR103" s="531"/>
      <c r="DFS103" s="530"/>
      <c r="DFT103" s="531"/>
      <c r="DFU103" s="530"/>
      <c r="DFV103" s="531"/>
      <c r="DFW103" s="530"/>
      <c r="DFX103" s="531"/>
      <c r="DFY103" s="530"/>
      <c r="DFZ103" s="531"/>
      <c r="DGA103" s="530"/>
      <c r="DGB103" s="531"/>
      <c r="DGC103" s="530"/>
      <c r="DGD103" s="531"/>
      <c r="DGE103" s="530"/>
      <c r="DGF103" s="531"/>
      <c r="DGG103" s="530"/>
      <c r="DGH103" s="531"/>
      <c r="DGI103" s="530"/>
      <c r="DGJ103" s="531"/>
      <c r="DGK103" s="530"/>
      <c r="DGL103" s="531"/>
      <c r="DGM103" s="530"/>
      <c r="DGN103" s="531"/>
      <c r="DGO103" s="530"/>
      <c r="DGP103" s="531"/>
      <c r="DGQ103" s="530"/>
      <c r="DGR103" s="531"/>
      <c r="DGS103" s="530"/>
      <c r="DGT103" s="531"/>
      <c r="DGU103" s="530"/>
      <c r="DGV103" s="531"/>
      <c r="DGW103" s="530"/>
      <c r="DGX103" s="531"/>
      <c r="DGY103" s="530"/>
      <c r="DGZ103" s="531"/>
      <c r="DHA103" s="530"/>
      <c r="DHB103" s="531"/>
      <c r="DHC103" s="530"/>
      <c r="DHD103" s="531"/>
      <c r="DHE103" s="530"/>
      <c r="DHF103" s="531"/>
      <c r="DHG103" s="530"/>
      <c r="DHH103" s="531"/>
      <c r="DHI103" s="530"/>
      <c r="DHJ103" s="531"/>
      <c r="DHK103" s="530"/>
      <c r="DHL103" s="531"/>
      <c r="DHM103" s="530"/>
      <c r="DHN103" s="531"/>
      <c r="DHO103" s="530"/>
      <c r="DHP103" s="531"/>
      <c r="DHQ103" s="530"/>
      <c r="DHR103" s="531"/>
      <c r="DHS103" s="530"/>
      <c r="DHT103" s="531"/>
      <c r="DHU103" s="530"/>
      <c r="DHV103" s="531"/>
      <c r="DHW103" s="530"/>
      <c r="DHX103" s="531"/>
      <c r="DHY103" s="530"/>
      <c r="DHZ103" s="531"/>
      <c r="DIA103" s="530"/>
      <c r="DIB103" s="531"/>
      <c r="DIC103" s="530"/>
      <c r="DID103" s="531"/>
      <c r="DIE103" s="530"/>
      <c r="DIF103" s="531"/>
      <c r="DIG103" s="530"/>
      <c r="DIH103" s="531"/>
      <c r="DII103" s="530"/>
      <c r="DIJ103" s="531"/>
      <c r="DIK103" s="530"/>
      <c r="DIL103" s="531"/>
      <c r="DIM103" s="530"/>
      <c r="DIN103" s="531"/>
      <c r="DIO103" s="530"/>
      <c r="DIP103" s="531"/>
      <c r="DIQ103" s="530"/>
      <c r="DIR103" s="531"/>
      <c r="DIS103" s="530"/>
      <c r="DIT103" s="531"/>
      <c r="DIU103" s="530"/>
      <c r="DIV103" s="531"/>
      <c r="DIW103" s="530"/>
      <c r="DIX103" s="531"/>
      <c r="DIY103" s="530"/>
      <c r="DIZ103" s="531"/>
      <c r="DJA103" s="530"/>
      <c r="DJB103" s="531"/>
      <c r="DJC103" s="530"/>
      <c r="DJD103" s="531"/>
      <c r="DJE103" s="530"/>
      <c r="DJF103" s="531"/>
      <c r="DJG103" s="530"/>
      <c r="DJH103" s="531"/>
      <c r="DJI103" s="530"/>
      <c r="DJJ103" s="531"/>
      <c r="DJK103" s="530"/>
      <c r="DJL103" s="531"/>
      <c r="DJM103" s="530"/>
      <c r="DJN103" s="531"/>
      <c r="DJO103" s="530"/>
      <c r="DJP103" s="531"/>
      <c r="DJQ103" s="530"/>
      <c r="DJR103" s="531"/>
      <c r="DJS103" s="530"/>
      <c r="DJT103" s="531"/>
      <c r="DJU103" s="530"/>
      <c r="DJV103" s="531"/>
      <c r="DJW103" s="530"/>
      <c r="DJX103" s="531"/>
      <c r="DJY103" s="530"/>
      <c r="DJZ103" s="531"/>
      <c r="DKA103" s="530"/>
      <c r="DKB103" s="531"/>
      <c r="DKC103" s="530"/>
      <c r="DKD103" s="531"/>
      <c r="DKE103" s="530"/>
      <c r="DKF103" s="531"/>
      <c r="DKG103" s="530"/>
      <c r="DKH103" s="531"/>
      <c r="DKI103" s="530"/>
      <c r="DKJ103" s="531"/>
      <c r="DKK103" s="530"/>
      <c r="DKL103" s="531"/>
      <c r="DKM103" s="530"/>
      <c r="DKN103" s="531"/>
      <c r="DKO103" s="530"/>
      <c r="DKP103" s="531"/>
      <c r="DKQ103" s="530"/>
      <c r="DKR103" s="531"/>
      <c r="DKS103" s="530"/>
      <c r="DKT103" s="531"/>
      <c r="DKU103" s="530"/>
      <c r="DKV103" s="531"/>
      <c r="DKW103" s="530"/>
      <c r="DKX103" s="531"/>
      <c r="DKY103" s="530"/>
      <c r="DKZ103" s="531"/>
      <c r="DLA103" s="530"/>
      <c r="DLB103" s="531"/>
      <c r="DLC103" s="530"/>
      <c r="DLD103" s="531"/>
      <c r="DLE103" s="530"/>
      <c r="DLF103" s="531"/>
      <c r="DLG103" s="530"/>
      <c r="DLH103" s="531"/>
      <c r="DLI103" s="530"/>
      <c r="DLJ103" s="531"/>
      <c r="DLK103" s="530"/>
      <c r="DLL103" s="531"/>
      <c r="DLM103" s="530"/>
      <c r="DLN103" s="531"/>
      <c r="DLO103" s="530"/>
      <c r="DLP103" s="531"/>
      <c r="DLQ103" s="530"/>
      <c r="DLR103" s="531"/>
      <c r="DLS103" s="530"/>
      <c r="DLT103" s="531"/>
      <c r="DLU103" s="530"/>
      <c r="DLV103" s="531"/>
      <c r="DLW103" s="530"/>
      <c r="DLX103" s="531"/>
      <c r="DLY103" s="530"/>
      <c r="DLZ103" s="531"/>
      <c r="DMA103" s="530"/>
      <c r="DMB103" s="531"/>
      <c r="DMC103" s="530"/>
      <c r="DMD103" s="531"/>
      <c r="DME103" s="530"/>
      <c r="DMF103" s="531"/>
      <c r="DMG103" s="530"/>
      <c r="DMH103" s="531"/>
      <c r="DMI103" s="530"/>
      <c r="DMJ103" s="531"/>
      <c r="DMK103" s="530"/>
      <c r="DML103" s="531"/>
      <c r="DMM103" s="530"/>
      <c r="DMN103" s="531"/>
      <c r="DMO103" s="530"/>
      <c r="DMP103" s="531"/>
      <c r="DMQ103" s="530"/>
      <c r="DMR103" s="531"/>
      <c r="DMS103" s="530"/>
      <c r="DMT103" s="531"/>
      <c r="DMU103" s="530"/>
      <c r="DMV103" s="531"/>
      <c r="DMW103" s="530"/>
      <c r="DMX103" s="531"/>
      <c r="DMY103" s="530"/>
      <c r="DMZ103" s="531"/>
      <c r="DNA103" s="530"/>
      <c r="DNB103" s="531"/>
      <c r="DNC103" s="530"/>
      <c r="DND103" s="531"/>
      <c r="DNE103" s="530"/>
      <c r="DNF103" s="531"/>
      <c r="DNG103" s="530"/>
      <c r="DNH103" s="531"/>
      <c r="DNI103" s="530"/>
      <c r="DNJ103" s="531"/>
      <c r="DNK103" s="530"/>
      <c r="DNL103" s="531"/>
      <c r="DNM103" s="530"/>
      <c r="DNN103" s="531"/>
      <c r="DNO103" s="530"/>
      <c r="DNP103" s="531"/>
      <c r="DNQ103" s="530"/>
      <c r="DNR103" s="531"/>
      <c r="DNS103" s="530"/>
      <c r="DNT103" s="531"/>
      <c r="DNU103" s="530"/>
      <c r="DNV103" s="531"/>
      <c r="DNW103" s="530"/>
      <c r="DNX103" s="531"/>
      <c r="DNY103" s="530"/>
      <c r="DNZ103" s="531"/>
      <c r="DOA103" s="530"/>
      <c r="DOB103" s="531"/>
      <c r="DOC103" s="530"/>
      <c r="DOD103" s="531"/>
      <c r="DOE103" s="530"/>
      <c r="DOF103" s="531"/>
      <c r="DOG103" s="530"/>
      <c r="DOH103" s="531"/>
      <c r="DOI103" s="530"/>
      <c r="DOJ103" s="531"/>
      <c r="DOK103" s="530"/>
      <c r="DOL103" s="531"/>
      <c r="DOM103" s="530"/>
      <c r="DON103" s="531"/>
      <c r="DOO103" s="530"/>
      <c r="DOP103" s="531"/>
      <c r="DOQ103" s="530"/>
      <c r="DOR103" s="531"/>
      <c r="DOS103" s="530"/>
      <c r="DOT103" s="531"/>
      <c r="DOU103" s="530"/>
      <c r="DOV103" s="531"/>
      <c r="DOW103" s="530"/>
      <c r="DOX103" s="531"/>
      <c r="DOY103" s="530"/>
      <c r="DOZ103" s="531"/>
      <c r="DPA103" s="530"/>
      <c r="DPB103" s="531"/>
      <c r="DPC103" s="530"/>
      <c r="DPD103" s="531"/>
      <c r="DPE103" s="530"/>
      <c r="DPF103" s="531"/>
      <c r="DPG103" s="530"/>
      <c r="DPH103" s="531"/>
      <c r="DPI103" s="530"/>
      <c r="DPJ103" s="531"/>
      <c r="DPK103" s="530"/>
      <c r="DPL103" s="531"/>
      <c r="DPM103" s="530"/>
      <c r="DPN103" s="531"/>
      <c r="DPO103" s="530"/>
      <c r="DPP103" s="531"/>
      <c r="DPQ103" s="530"/>
      <c r="DPR103" s="531"/>
      <c r="DPS103" s="530"/>
      <c r="DPT103" s="531"/>
      <c r="DPU103" s="530"/>
      <c r="DPV103" s="531"/>
      <c r="DPW103" s="530"/>
      <c r="DPX103" s="531"/>
      <c r="DPY103" s="530"/>
      <c r="DPZ103" s="531"/>
      <c r="DQA103" s="530"/>
      <c r="DQB103" s="531"/>
      <c r="DQC103" s="530"/>
      <c r="DQD103" s="531"/>
      <c r="DQE103" s="530"/>
      <c r="DQF103" s="531"/>
      <c r="DQG103" s="530"/>
      <c r="DQH103" s="531"/>
      <c r="DQI103" s="530"/>
      <c r="DQJ103" s="531"/>
      <c r="DQK103" s="530"/>
      <c r="DQL103" s="531"/>
      <c r="DQM103" s="530"/>
      <c r="DQN103" s="531"/>
      <c r="DQO103" s="530"/>
      <c r="DQP103" s="531"/>
      <c r="DQQ103" s="530"/>
      <c r="DQR103" s="531"/>
      <c r="DQS103" s="530"/>
      <c r="DQT103" s="531"/>
      <c r="DQU103" s="530"/>
      <c r="DQV103" s="531"/>
      <c r="DQW103" s="530"/>
      <c r="DQX103" s="531"/>
      <c r="DQY103" s="530"/>
      <c r="DQZ103" s="531"/>
      <c r="DRA103" s="530"/>
      <c r="DRB103" s="531"/>
      <c r="DRC103" s="530"/>
      <c r="DRD103" s="531"/>
      <c r="DRE103" s="530"/>
      <c r="DRF103" s="531"/>
      <c r="DRG103" s="530"/>
      <c r="DRH103" s="531"/>
      <c r="DRI103" s="530"/>
      <c r="DRJ103" s="531"/>
      <c r="DRK103" s="530"/>
      <c r="DRL103" s="531"/>
      <c r="DRM103" s="530"/>
      <c r="DRN103" s="531"/>
      <c r="DRO103" s="530"/>
      <c r="DRP103" s="531"/>
      <c r="DRQ103" s="530"/>
      <c r="DRR103" s="531"/>
      <c r="DRS103" s="530"/>
      <c r="DRT103" s="531"/>
      <c r="DRU103" s="530"/>
      <c r="DRV103" s="531"/>
      <c r="DRW103" s="530"/>
      <c r="DRX103" s="531"/>
      <c r="DRY103" s="530"/>
      <c r="DRZ103" s="531"/>
      <c r="DSA103" s="530"/>
      <c r="DSB103" s="531"/>
      <c r="DSC103" s="530"/>
      <c r="DSD103" s="531"/>
      <c r="DSE103" s="530"/>
      <c r="DSF103" s="531"/>
      <c r="DSG103" s="530"/>
      <c r="DSH103" s="531"/>
      <c r="DSI103" s="530"/>
      <c r="DSJ103" s="531"/>
      <c r="DSK103" s="530"/>
      <c r="DSL103" s="531"/>
      <c r="DSM103" s="530"/>
      <c r="DSN103" s="531"/>
      <c r="DSO103" s="530"/>
      <c r="DSP103" s="531"/>
      <c r="DSQ103" s="530"/>
      <c r="DSR103" s="531"/>
      <c r="DSS103" s="530"/>
      <c r="DST103" s="531"/>
      <c r="DSU103" s="530"/>
      <c r="DSV103" s="531"/>
      <c r="DSW103" s="530"/>
      <c r="DSX103" s="531"/>
      <c r="DSY103" s="530"/>
      <c r="DSZ103" s="531"/>
      <c r="DTA103" s="530"/>
      <c r="DTB103" s="531"/>
      <c r="DTC103" s="530"/>
      <c r="DTD103" s="531"/>
      <c r="DTE103" s="530"/>
      <c r="DTF103" s="531"/>
      <c r="DTG103" s="530"/>
      <c r="DTH103" s="531"/>
      <c r="DTI103" s="530"/>
      <c r="DTJ103" s="531"/>
      <c r="DTK103" s="530"/>
      <c r="DTL103" s="531"/>
      <c r="DTM103" s="530"/>
      <c r="DTN103" s="531"/>
      <c r="DTO103" s="530"/>
      <c r="DTP103" s="531"/>
      <c r="DTQ103" s="530"/>
      <c r="DTR103" s="531"/>
      <c r="DTS103" s="530"/>
      <c r="DTT103" s="531"/>
      <c r="DTU103" s="530"/>
      <c r="DTV103" s="531"/>
      <c r="DTW103" s="530"/>
      <c r="DTX103" s="531"/>
      <c r="DTY103" s="530"/>
      <c r="DTZ103" s="531"/>
      <c r="DUA103" s="530"/>
      <c r="DUB103" s="531"/>
      <c r="DUC103" s="530"/>
      <c r="DUD103" s="531"/>
      <c r="DUE103" s="530"/>
      <c r="DUF103" s="531"/>
      <c r="DUG103" s="530"/>
      <c r="DUH103" s="531"/>
      <c r="DUI103" s="530"/>
      <c r="DUJ103" s="531"/>
      <c r="DUK103" s="530"/>
      <c r="DUL103" s="531"/>
      <c r="DUM103" s="530"/>
      <c r="DUN103" s="531"/>
      <c r="DUO103" s="530"/>
      <c r="DUP103" s="531"/>
      <c r="DUQ103" s="530"/>
      <c r="DUR103" s="531"/>
      <c r="DUS103" s="530"/>
      <c r="DUT103" s="531"/>
      <c r="DUU103" s="530"/>
      <c r="DUV103" s="531"/>
      <c r="DUW103" s="530"/>
      <c r="DUX103" s="531"/>
      <c r="DUY103" s="530"/>
      <c r="DUZ103" s="531"/>
      <c r="DVA103" s="530"/>
      <c r="DVB103" s="531"/>
      <c r="DVC103" s="530"/>
      <c r="DVD103" s="531"/>
      <c r="DVE103" s="530"/>
      <c r="DVF103" s="531"/>
      <c r="DVG103" s="530"/>
      <c r="DVH103" s="531"/>
      <c r="DVI103" s="530"/>
      <c r="DVJ103" s="531"/>
      <c r="DVK103" s="530"/>
      <c r="DVL103" s="531"/>
      <c r="DVM103" s="530"/>
      <c r="DVN103" s="531"/>
      <c r="DVO103" s="530"/>
      <c r="DVP103" s="531"/>
      <c r="DVQ103" s="530"/>
      <c r="DVR103" s="531"/>
      <c r="DVS103" s="530"/>
      <c r="DVT103" s="531"/>
      <c r="DVU103" s="530"/>
      <c r="DVV103" s="531"/>
      <c r="DVW103" s="530"/>
      <c r="DVX103" s="531"/>
      <c r="DVY103" s="530"/>
      <c r="DVZ103" s="531"/>
      <c r="DWA103" s="530"/>
      <c r="DWB103" s="531"/>
      <c r="DWC103" s="530"/>
      <c r="DWD103" s="531"/>
      <c r="DWE103" s="530"/>
      <c r="DWF103" s="531"/>
      <c r="DWG103" s="530"/>
      <c r="DWH103" s="531"/>
      <c r="DWI103" s="530"/>
      <c r="DWJ103" s="531"/>
      <c r="DWK103" s="530"/>
      <c r="DWL103" s="531"/>
      <c r="DWM103" s="530"/>
      <c r="DWN103" s="531"/>
      <c r="DWO103" s="530"/>
      <c r="DWP103" s="531"/>
      <c r="DWQ103" s="530"/>
      <c r="DWR103" s="531"/>
      <c r="DWS103" s="530"/>
      <c r="DWT103" s="531"/>
      <c r="DWU103" s="530"/>
      <c r="DWV103" s="531"/>
      <c r="DWW103" s="530"/>
      <c r="DWX103" s="531"/>
      <c r="DWY103" s="530"/>
      <c r="DWZ103" s="531"/>
      <c r="DXA103" s="530"/>
      <c r="DXB103" s="531"/>
      <c r="DXC103" s="530"/>
      <c r="DXD103" s="531"/>
      <c r="DXE103" s="530"/>
      <c r="DXF103" s="531"/>
      <c r="DXG103" s="530"/>
      <c r="DXH103" s="531"/>
      <c r="DXI103" s="530"/>
      <c r="DXJ103" s="531"/>
      <c r="DXK103" s="530"/>
      <c r="DXL103" s="531"/>
      <c r="DXM103" s="530"/>
      <c r="DXN103" s="531"/>
      <c r="DXO103" s="530"/>
      <c r="DXP103" s="531"/>
      <c r="DXQ103" s="530"/>
      <c r="DXR103" s="531"/>
      <c r="DXS103" s="530"/>
      <c r="DXT103" s="531"/>
      <c r="DXU103" s="530"/>
      <c r="DXV103" s="531"/>
      <c r="DXW103" s="530"/>
      <c r="DXX103" s="531"/>
      <c r="DXY103" s="530"/>
      <c r="DXZ103" s="531"/>
      <c r="DYA103" s="530"/>
      <c r="DYB103" s="531"/>
      <c r="DYC103" s="530"/>
      <c r="DYD103" s="531"/>
      <c r="DYE103" s="530"/>
      <c r="DYF103" s="531"/>
      <c r="DYG103" s="530"/>
      <c r="DYH103" s="531"/>
      <c r="DYI103" s="530"/>
      <c r="DYJ103" s="531"/>
      <c r="DYK103" s="530"/>
      <c r="DYL103" s="531"/>
      <c r="DYM103" s="530"/>
      <c r="DYN103" s="531"/>
      <c r="DYO103" s="530"/>
      <c r="DYP103" s="531"/>
      <c r="DYQ103" s="530"/>
      <c r="DYR103" s="531"/>
      <c r="DYS103" s="530"/>
      <c r="DYT103" s="531"/>
      <c r="DYU103" s="530"/>
      <c r="DYV103" s="531"/>
      <c r="DYW103" s="530"/>
      <c r="DYX103" s="531"/>
      <c r="DYY103" s="530"/>
      <c r="DYZ103" s="531"/>
      <c r="DZA103" s="530"/>
      <c r="DZB103" s="531"/>
      <c r="DZC103" s="530"/>
      <c r="DZD103" s="531"/>
      <c r="DZE103" s="530"/>
      <c r="DZF103" s="531"/>
      <c r="DZG103" s="530"/>
      <c r="DZH103" s="531"/>
      <c r="DZI103" s="530"/>
      <c r="DZJ103" s="531"/>
      <c r="DZK103" s="530"/>
      <c r="DZL103" s="531"/>
      <c r="DZM103" s="530"/>
      <c r="DZN103" s="531"/>
      <c r="DZO103" s="530"/>
      <c r="DZP103" s="531"/>
      <c r="DZQ103" s="530"/>
      <c r="DZR103" s="531"/>
      <c r="DZS103" s="530"/>
      <c r="DZT103" s="531"/>
      <c r="DZU103" s="530"/>
      <c r="DZV103" s="531"/>
      <c r="DZW103" s="530"/>
      <c r="DZX103" s="531"/>
      <c r="DZY103" s="530"/>
      <c r="DZZ103" s="531"/>
      <c r="EAA103" s="530"/>
      <c r="EAB103" s="531"/>
      <c r="EAC103" s="530"/>
      <c r="EAD103" s="531"/>
      <c r="EAE103" s="530"/>
      <c r="EAF103" s="531"/>
      <c r="EAG103" s="530"/>
      <c r="EAH103" s="531"/>
      <c r="EAI103" s="530"/>
      <c r="EAJ103" s="531"/>
      <c r="EAK103" s="530"/>
      <c r="EAL103" s="531"/>
      <c r="EAM103" s="530"/>
      <c r="EAN103" s="531"/>
      <c r="EAO103" s="530"/>
      <c r="EAP103" s="531"/>
      <c r="EAQ103" s="530"/>
      <c r="EAR103" s="531"/>
      <c r="EAS103" s="530"/>
      <c r="EAT103" s="531"/>
      <c r="EAU103" s="530"/>
      <c r="EAV103" s="531"/>
      <c r="EAW103" s="530"/>
      <c r="EAX103" s="531"/>
      <c r="EAY103" s="530"/>
      <c r="EAZ103" s="531"/>
      <c r="EBA103" s="530"/>
      <c r="EBB103" s="531"/>
      <c r="EBC103" s="530"/>
      <c r="EBD103" s="531"/>
      <c r="EBE103" s="530"/>
      <c r="EBF103" s="531"/>
      <c r="EBG103" s="530"/>
      <c r="EBH103" s="531"/>
      <c r="EBI103" s="530"/>
      <c r="EBJ103" s="531"/>
      <c r="EBK103" s="530"/>
      <c r="EBL103" s="531"/>
      <c r="EBM103" s="530"/>
      <c r="EBN103" s="531"/>
      <c r="EBO103" s="530"/>
      <c r="EBP103" s="531"/>
      <c r="EBQ103" s="530"/>
      <c r="EBR103" s="531"/>
      <c r="EBS103" s="530"/>
      <c r="EBT103" s="531"/>
      <c r="EBU103" s="530"/>
      <c r="EBV103" s="531"/>
      <c r="EBW103" s="530"/>
      <c r="EBX103" s="531"/>
      <c r="EBY103" s="530"/>
      <c r="EBZ103" s="531"/>
      <c r="ECA103" s="530"/>
      <c r="ECB103" s="531"/>
      <c r="ECC103" s="530"/>
      <c r="ECD103" s="531"/>
      <c r="ECE103" s="530"/>
      <c r="ECF103" s="531"/>
      <c r="ECG103" s="530"/>
      <c r="ECH103" s="531"/>
      <c r="ECI103" s="530"/>
      <c r="ECJ103" s="531"/>
      <c r="ECK103" s="530"/>
      <c r="ECL103" s="531"/>
      <c r="ECM103" s="530"/>
      <c r="ECN103" s="531"/>
      <c r="ECO103" s="530"/>
      <c r="ECP103" s="531"/>
      <c r="ECQ103" s="530"/>
      <c r="ECR103" s="531"/>
      <c r="ECS103" s="530"/>
      <c r="ECT103" s="531"/>
      <c r="ECU103" s="530"/>
      <c r="ECV103" s="531"/>
      <c r="ECW103" s="530"/>
      <c r="ECX103" s="531"/>
      <c r="ECY103" s="530"/>
      <c r="ECZ103" s="531"/>
      <c r="EDA103" s="530"/>
      <c r="EDB103" s="531"/>
      <c r="EDC103" s="530"/>
      <c r="EDD103" s="531"/>
      <c r="EDE103" s="530"/>
      <c r="EDF103" s="531"/>
      <c r="EDG103" s="530"/>
      <c r="EDH103" s="531"/>
      <c r="EDI103" s="530"/>
      <c r="EDJ103" s="531"/>
      <c r="EDK103" s="530"/>
      <c r="EDL103" s="531"/>
      <c r="EDM103" s="530"/>
      <c r="EDN103" s="531"/>
      <c r="EDO103" s="530"/>
      <c r="EDP103" s="531"/>
      <c r="EDQ103" s="530"/>
      <c r="EDR103" s="531"/>
      <c r="EDS103" s="530"/>
      <c r="EDT103" s="531"/>
      <c r="EDU103" s="530"/>
      <c r="EDV103" s="531"/>
      <c r="EDW103" s="530"/>
      <c r="EDX103" s="531"/>
      <c r="EDY103" s="530"/>
      <c r="EDZ103" s="531"/>
      <c r="EEA103" s="530"/>
      <c r="EEB103" s="531"/>
      <c r="EEC103" s="530"/>
      <c r="EED103" s="531"/>
      <c r="EEE103" s="530"/>
      <c r="EEF103" s="531"/>
      <c r="EEG103" s="530"/>
      <c r="EEH103" s="531"/>
      <c r="EEI103" s="530"/>
      <c r="EEJ103" s="531"/>
      <c r="EEK103" s="530"/>
      <c r="EEL103" s="531"/>
      <c r="EEM103" s="530"/>
      <c r="EEN103" s="531"/>
      <c r="EEO103" s="530"/>
      <c r="EEP103" s="531"/>
      <c r="EEQ103" s="530"/>
      <c r="EER103" s="531"/>
      <c r="EES103" s="530"/>
      <c r="EET103" s="531"/>
      <c r="EEU103" s="530"/>
      <c r="EEV103" s="531"/>
      <c r="EEW103" s="530"/>
      <c r="EEX103" s="531"/>
      <c r="EEY103" s="530"/>
      <c r="EEZ103" s="531"/>
      <c r="EFA103" s="530"/>
      <c r="EFB103" s="531"/>
      <c r="EFC103" s="530"/>
      <c r="EFD103" s="531"/>
      <c r="EFE103" s="530"/>
      <c r="EFF103" s="531"/>
      <c r="EFG103" s="530"/>
      <c r="EFH103" s="531"/>
      <c r="EFI103" s="530"/>
      <c r="EFJ103" s="531"/>
      <c r="EFK103" s="530"/>
      <c r="EFL103" s="531"/>
      <c r="EFM103" s="530"/>
      <c r="EFN103" s="531"/>
      <c r="EFO103" s="530"/>
      <c r="EFP103" s="531"/>
      <c r="EFQ103" s="530"/>
      <c r="EFR103" s="531"/>
      <c r="EFS103" s="530"/>
      <c r="EFT103" s="531"/>
      <c r="EFU103" s="530"/>
      <c r="EFV103" s="531"/>
      <c r="EFW103" s="530"/>
      <c r="EFX103" s="531"/>
      <c r="EFY103" s="530"/>
      <c r="EFZ103" s="531"/>
      <c r="EGA103" s="530"/>
      <c r="EGB103" s="531"/>
      <c r="EGC103" s="530"/>
      <c r="EGD103" s="531"/>
      <c r="EGE103" s="530"/>
      <c r="EGF103" s="531"/>
      <c r="EGG103" s="530"/>
      <c r="EGH103" s="531"/>
      <c r="EGI103" s="530"/>
      <c r="EGJ103" s="531"/>
      <c r="EGK103" s="530"/>
      <c r="EGL103" s="531"/>
      <c r="EGM103" s="530"/>
      <c r="EGN103" s="531"/>
      <c r="EGO103" s="530"/>
      <c r="EGP103" s="531"/>
      <c r="EGQ103" s="530"/>
      <c r="EGR103" s="531"/>
      <c r="EGS103" s="530"/>
      <c r="EGT103" s="531"/>
      <c r="EGU103" s="530"/>
      <c r="EGV103" s="531"/>
      <c r="EGW103" s="530"/>
      <c r="EGX103" s="531"/>
      <c r="EGY103" s="530"/>
      <c r="EGZ103" s="531"/>
      <c r="EHA103" s="530"/>
      <c r="EHB103" s="531"/>
      <c r="EHC103" s="530"/>
      <c r="EHD103" s="531"/>
      <c r="EHE103" s="530"/>
      <c r="EHF103" s="531"/>
      <c r="EHG103" s="530"/>
      <c r="EHH103" s="531"/>
      <c r="EHI103" s="530"/>
      <c r="EHJ103" s="531"/>
      <c r="EHK103" s="530"/>
      <c r="EHL103" s="531"/>
      <c r="EHM103" s="530"/>
      <c r="EHN103" s="531"/>
      <c r="EHO103" s="530"/>
      <c r="EHP103" s="531"/>
      <c r="EHQ103" s="530"/>
      <c r="EHR103" s="531"/>
      <c r="EHS103" s="530"/>
      <c r="EHT103" s="531"/>
      <c r="EHU103" s="530"/>
      <c r="EHV103" s="531"/>
      <c r="EHW103" s="530"/>
      <c r="EHX103" s="531"/>
      <c r="EHY103" s="530"/>
      <c r="EHZ103" s="531"/>
      <c r="EIA103" s="530"/>
      <c r="EIB103" s="531"/>
      <c r="EIC103" s="530"/>
      <c r="EID103" s="531"/>
      <c r="EIE103" s="530"/>
      <c r="EIF103" s="531"/>
      <c r="EIG103" s="530"/>
      <c r="EIH103" s="531"/>
      <c r="EII103" s="530"/>
      <c r="EIJ103" s="531"/>
      <c r="EIK103" s="530"/>
      <c r="EIL103" s="531"/>
      <c r="EIM103" s="530"/>
      <c r="EIN103" s="531"/>
      <c r="EIO103" s="530"/>
      <c r="EIP103" s="531"/>
      <c r="EIQ103" s="530"/>
      <c r="EIR103" s="531"/>
      <c r="EIS103" s="530"/>
      <c r="EIT103" s="531"/>
      <c r="EIU103" s="530"/>
      <c r="EIV103" s="531"/>
      <c r="EIW103" s="530"/>
      <c r="EIX103" s="531"/>
      <c r="EIY103" s="530"/>
      <c r="EIZ103" s="531"/>
      <c r="EJA103" s="530"/>
      <c r="EJB103" s="531"/>
      <c r="EJC103" s="530"/>
      <c r="EJD103" s="531"/>
      <c r="EJE103" s="530"/>
      <c r="EJF103" s="531"/>
      <c r="EJG103" s="530"/>
      <c r="EJH103" s="531"/>
      <c r="EJI103" s="530"/>
      <c r="EJJ103" s="531"/>
      <c r="EJK103" s="530"/>
      <c r="EJL103" s="531"/>
      <c r="EJM103" s="530"/>
      <c r="EJN103" s="531"/>
      <c r="EJO103" s="530"/>
      <c r="EJP103" s="531"/>
      <c r="EJQ103" s="530"/>
      <c r="EJR103" s="531"/>
      <c r="EJS103" s="530"/>
      <c r="EJT103" s="531"/>
      <c r="EJU103" s="530"/>
      <c r="EJV103" s="531"/>
      <c r="EJW103" s="530"/>
      <c r="EJX103" s="531"/>
      <c r="EJY103" s="530"/>
      <c r="EJZ103" s="531"/>
      <c r="EKA103" s="530"/>
      <c r="EKB103" s="531"/>
      <c r="EKC103" s="530"/>
      <c r="EKD103" s="531"/>
      <c r="EKE103" s="530"/>
      <c r="EKF103" s="531"/>
      <c r="EKG103" s="530"/>
      <c r="EKH103" s="531"/>
      <c r="EKI103" s="530"/>
      <c r="EKJ103" s="531"/>
      <c r="EKK103" s="530"/>
      <c r="EKL103" s="531"/>
      <c r="EKM103" s="530"/>
      <c r="EKN103" s="531"/>
      <c r="EKO103" s="530"/>
      <c r="EKP103" s="531"/>
      <c r="EKQ103" s="530"/>
      <c r="EKR103" s="531"/>
      <c r="EKS103" s="530"/>
      <c r="EKT103" s="531"/>
      <c r="EKU103" s="530"/>
      <c r="EKV103" s="531"/>
      <c r="EKW103" s="530"/>
      <c r="EKX103" s="531"/>
      <c r="EKY103" s="530"/>
      <c r="EKZ103" s="531"/>
      <c r="ELA103" s="530"/>
      <c r="ELB103" s="531"/>
      <c r="ELC103" s="530"/>
      <c r="ELD103" s="531"/>
      <c r="ELE103" s="530"/>
      <c r="ELF103" s="531"/>
      <c r="ELG103" s="530"/>
      <c r="ELH103" s="531"/>
      <c r="ELI103" s="530"/>
      <c r="ELJ103" s="531"/>
      <c r="ELK103" s="530"/>
      <c r="ELL103" s="531"/>
      <c r="ELM103" s="530"/>
      <c r="ELN103" s="531"/>
      <c r="ELO103" s="530"/>
      <c r="ELP103" s="531"/>
      <c r="ELQ103" s="530"/>
      <c r="ELR103" s="531"/>
      <c r="ELS103" s="530"/>
      <c r="ELT103" s="531"/>
      <c r="ELU103" s="530"/>
      <c r="ELV103" s="531"/>
      <c r="ELW103" s="530"/>
      <c r="ELX103" s="531"/>
      <c r="ELY103" s="530"/>
      <c r="ELZ103" s="531"/>
      <c r="EMA103" s="530"/>
      <c r="EMB103" s="531"/>
      <c r="EMC103" s="530"/>
      <c r="EMD103" s="531"/>
      <c r="EME103" s="530"/>
      <c r="EMF103" s="531"/>
      <c r="EMG103" s="530"/>
      <c r="EMH103" s="531"/>
      <c r="EMI103" s="530"/>
      <c r="EMJ103" s="531"/>
      <c r="EMK103" s="530"/>
      <c r="EML103" s="531"/>
      <c r="EMM103" s="530"/>
      <c r="EMN103" s="531"/>
      <c r="EMO103" s="530"/>
      <c r="EMP103" s="531"/>
      <c r="EMQ103" s="530"/>
      <c r="EMR103" s="531"/>
      <c r="EMS103" s="530"/>
      <c r="EMT103" s="531"/>
      <c r="EMU103" s="530"/>
      <c r="EMV103" s="531"/>
      <c r="EMW103" s="530"/>
      <c r="EMX103" s="531"/>
      <c r="EMY103" s="530"/>
      <c r="EMZ103" s="531"/>
      <c r="ENA103" s="530"/>
      <c r="ENB103" s="531"/>
      <c r="ENC103" s="530"/>
      <c r="END103" s="531"/>
      <c r="ENE103" s="530"/>
      <c r="ENF103" s="531"/>
      <c r="ENG103" s="530"/>
      <c r="ENH103" s="531"/>
      <c r="ENI103" s="530"/>
      <c r="ENJ103" s="531"/>
      <c r="ENK103" s="530"/>
      <c r="ENL103" s="531"/>
      <c r="ENM103" s="530"/>
      <c r="ENN103" s="531"/>
      <c r="ENO103" s="530"/>
      <c r="ENP103" s="531"/>
      <c r="ENQ103" s="530"/>
      <c r="ENR103" s="531"/>
      <c r="ENS103" s="530"/>
      <c r="ENT103" s="531"/>
      <c r="ENU103" s="530"/>
      <c r="ENV103" s="531"/>
      <c r="ENW103" s="530"/>
      <c r="ENX103" s="531"/>
      <c r="ENY103" s="530"/>
      <c r="ENZ103" s="531"/>
      <c r="EOA103" s="530"/>
      <c r="EOB103" s="531"/>
      <c r="EOC103" s="530"/>
      <c r="EOD103" s="531"/>
      <c r="EOE103" s="530"/>
      <c r="EOF103" s="531"/>
      <c r="EOG103" s="530"/>
      <c r="EOH103" s="531"/>
      <c r="EOI103" s="530"/>
      <c r="EOJ103" s="531"/>
      <c r="EOK103" s="530"/>
      <c r="EOL103" s="531"/>
      <c r="EOM103" s="530"/>
      <c r="EON103" s="531"/>
      <c r="EOO103" s="530"/>
      <c r="EOP103" s="531"/>
      <c r="EOQ103" s="530"/>
      <c r="EOR103" s="531"/>
      <c r="EOS103" s="530"/>
      <c r="EOT103" s="531"/>
      <c r="EOU103" s="530"/>
      <c r="EOV103" s="531"/>
      <c r="EOW103" s="530"/>
      <c r="EOX103" s="531"/>
      <c r="EOY103" s="530"/>
      <c r="EOZ103" s="531"/>
      <c r="EPA103" s="530"/>
      <c r="EPB103" s="531"/>
      <c r="EPC103" s="530"/>
      <c r="EPD103" s="531"/>
      <c r="EPE103" s="530"/>
      <c r="EPF103" s="531"/>
      <c r="EPG103" s="530"/>
      <c r="EPH103" s="531"/>
      <c r="EPI103" s="530"/>
      <c r="EPJ103" s="531"/>
      <c r="EPK103" s="530"/>
      <c r="EPL103" s="531"/>
      <c r="EPM103" s="530"/>
      <c r="EPN103" s="531"/>
      <c r="EPO103" s="530"/>
      <c r="EPP103" s="531"/>
      <c r="EPQ103" s="530"/>
      <c r="EPR103" s="531"/>
      <c r="EPS103" s="530"/>
      <c r="EPT103" s="531"/>
      <c r="EPU103" s="530"/>
      <c r="EPV103" s="531"/>
      <c r="EPW103" s="530"/>
      <c r="EPX103" s="531"/>
      <c r="EPY103" s="530"/>
      <c r="EPZ103" s="531"/>
      <c r="EQA103" s="530"/>
      <c r="EQB103" s="531"/>
      <c r="EQC103" s="530"/>
      <c r="EQD103" s="531"/>
      <c r="EQE103" s="530"/>
      <c r="EQF103" s="531"/>
      <c r="EQG103" s="530"/>
      <c r="EQH103" s="531"/>
      <c r="EQI103" s="530"/>
      <c r="EQJ103" s="531"/>
      <c r="EQK103" s="530"/>
      <c r="EQL103" s="531"/>
      <c r="EQM103" s="530"/>
      <c r="EQN103" s="531"/>
      <c r="EQO103" s="530"/>
      <c r="EQP103" s="531"/>
      <c r="EQQ103" s="530"/>
      <c r="EQR103" s="531"/>
      <c r="EQS103" s="530"/>
      <c r="EQT103" s="531"/>
      <c r="EQU103" s="530"/>
      <c r="EQV103" s="531"/>
      <c r="EQW103" s="530"/>
      <c r="EQX103" s="531"/>
      <c r="EQY103" s="530"/>
      <c r="EQZ103" s="531"/>
      <c r="ERA103" s="530"/>
      <c r="ERB103" s="531"/>
      <c r="ERC103" s="530"/>
      <c r="ERD103" s="531"/>
      <c r="ERE103" s="530"/>
      <c r="ERF103" s="531"/>
      <c r="ERG103" s="530"/>
      <c r="ERH103" s="531"/>
      <c r="ERI103" s="530"/>
      <c r="ERJ103" s="531"/>
      <c r="ERK103" s="530"/>
      <c r="ERL103" s="531"/>
      <c r="ERM103" s="530"/>
      <c r="ERN103" s="531"/>
      <c r="ERO103" s="530"/>
      <c r="ERP103" s="531"/>
      <c r="ERQ103" s="530"/>
      <c r="ERR103" s="531"/>
      <c r="ERS103" s="530"/>
      <c r="ERT103" s="531"/>
      <c r="ERU103" s="530"/>
      <c r="ERV103" s="531"/>
      <c r="ERW103" s="530"/>
      <c r="ERX103" s="531"/>
      <c r="ERY103" s="530"/>
      <c r="ERZ103" s="531"/>
      <c r="ESA103" s="530"/>
      <c r="ESB103" s="531"/>
      <c r="ESC103" s="530"/>
      <c r="ESD103" s="531"/>
      <c r="ESE103" s="530"/>
      <c r="ESF103" s="531"/>
      <c r="ESG103" s="530"/>
      <c r="ESH103" s="531"/>
      <c r="ESI103" s="530"/>
      <c r="ESJ103" s="531"/>
      <c r="ESK103" s="530"/>
      <c r="ESL103" s="531"/>
      <c r="ESM103" s="530"/>
      <c r="ESN103" s="531"/>
      <c r="ESO103" s="530"/>
      <c r="ESP103" s="531"/>
      <c r="ESQ103" s="530"/>
      <c r="ESR103" s="531"/>
      <c r="ESS103" s="530"/>
      <c r="EST103" s="531"/>
      <c r="ESU103" s="530"/>
      <c r="ESV103" s="531"/>
      <c r="ESW103" s="530"/>
      <c r="ESX103" s="531"/>
      <c r="ESY103" s="530"/>
      <c r="ESZ103" s="531"/>
      <c r="ETA103" s="530"/>
      <c r="ETB103" s="531"/>
      <c r="ETC103" s="530"/>
      <c r="ETD103" s="531"/>
      <c r="ETE103" s="530"/>
      <c r="ETF103" s="531"/>
      <c r="ETG103" s="530"/>
      <c r="ETH103" s="531"/>
      <c r="ETI103" s="530"/>
      <c r="ETJ103" s="531"/>
      <c r="ETK103" s="530"/>
      <c r="ETL103" s="531"/>
      <c r="ETM103" s="530"/>
      <c r="ETN103" s="531"/>
      <c r="ETO103" s="530"/>
      <c r="ETP103" s="531"/>
      <c r="ETQ103" s="530"/>
      <c r="ETR103" s="531"/>
      <c r="ETS103" s="530"/>
      <c r="ETT103" s="531"/>
      <c r="ETU103" s="530"/>
      <c r="ETV103" s="531"/>
      <c r="ETW103" s="530"/>
      <c r="ETX103" s="531"/>
      <c r="ETY103" s="530"/>
      <c r="ETZ103" s="531"/>
      <c r="EUA103" s="530"/>
      <c r="EUB103" s="531"/>
      <c r="EUC103" s="530"/>
      <c r="EUD103" s="531"/>
      <c r="EUE103" s="530"/>
      <c r="EUF103" s="531"/>
      <c r="EUG103" s="530"/>
      <c r="EUH103" s="531"/>
      <c r="EUI103" s="530"/>
      <c r="EUJ103" s="531"/>
      <c r="EUK103" s="530"/>
      <c r="EUL103" s="531"/>
      <c r="EUM103" s="530"/>
      <c r="EUN103" s="531"/>
      <c r="EUO103" s="530"/>
      <c r="EUP103" s="531"/>
      <c r="EUQ103" s="530"/>
      <c r="EUR103" s="531"/>
      <c r="EUS103" s="530"/>
      <c r="EUT103" s="531"/>
      <c r="EUU103" s="530"/>
      <c r="EUV103" s="531"/>
      <c r="EUW103" s="530"/>
      <c r="EUX103" s="531"/>
      <c r="EUY103" s="530"/>
      <c r="EUZ103" s="531"/>
      <c r="EVA103" s="530"/>
      <c r="EVB103" s="531"/>
      <c r="EVC103" s="530"/>
      <c r="EVD103" s="531"/>
      <c r="EVE103" s="530"/>
      <c r="EVF103" s="531"/>
      <c r="EVG103" s="530"/>
      <c r="EVH103" s="531"/>
      <c r="EVI103" s="530"/>
      <c r="EVJ103" s="531"/>
      <c r="EVK103" s="530"/>
      <c r="EVL103" s="531"/>
      <c r="EVM103" s="530"/>
      <c r="EVN103" s="531"/>
      <c r="EVO103" s="530"/>
      <c r="EVP103" s="531"/>
      <c r="EVQ103" s="530"/>
      <c r="EVR103" s="531"/>
      <c r="EVS103" s="530"/>
      <c r="EVT103" s="531"/>
      <c r="EVU103" s="530"/>
      <c r="EVV103" s="531"/>
      <c r="EVW103" s="530"/>
      <c r="EVX103" s="531"/>
      <c r="EVY103" s="530"/>
      <c r="EVZ103" s="531"/>
      <c r="EWA103" s="530"/>
      <c r="EWB103" s="531"/>
      <c r="EWC103" s="530"/>
      <c r="EWD103" s="531"/>
      <c r="EWE103" s="530"/>
      <c r="EWF103" s="531"/>
      <c r="EWG103" s="530"/>
      <c r="EWH103" s="531"/>
      <c r="EWI103" s="530"/>
      <c r="EWJ103" s="531"/>
      <c r="EWK103" s="530"/>
      <c r="EWL103" s="531"/>
      <c r="EWM103" s="530"/>
      <c r="EWN103" s="531"/>
      <c r="EWO103" s="530"/>
      <c r="EWP103" s="531"/>
      <c r="EWQ103" s="530"/>
      <c r="EWR103" s="531"/>
      <c r="EWS103" s="530"/>
      <c r="EWT103" s="531"/>
      <c r="EWU103" s="530"/>
      <c r="EWV103" s="531"/>
      <c r="EWW103" s="530"/>
      <c r="EWX103" s="531"/>
      <c r="EWY103" s="530"/>
      <c r="EWZ103" s="531"/>
      <c r="EXA103" s="530"/>
      <c r="EXB103" s="531"/>
      <c r="EXC103" s="530"/>
      <c r="EXD103" s="531"/>
      <c r="EXE103" s="530"/>
      <c r="EXF103" s="531"/>
      <c r="EXG103" s="530"/>
      <c r="EXH103" s="531"/>
      <c r="EXI103" s="530"/>
      <c r="EXJ103" s="531"/>
      <c r="EXK103" s="530"/>
      <c r="EXL103" s="531"/>
      <c r="EXM103" s="530"/>
      <c r="EXN103" s="531"/>
      <c r="EXO103" s="530"/>
      <c r="EXP103" s="531"/>
      <c r="EXQ103" s="530"/>
      <c r="EXR103" s="531"/>
      <c r="EXS103" s="530"/>
      <c r="EXT103" s="531"/>
      <c r="EXU103" s="530"/>
      <c r="EXV103" s="531"/>
      <c r="EXW103" s="530"/>
      <c r="EXX103" s="531"/>
      <c r="EXY103" s="530"/>
      <c r="EXZ103" s="531"/>
      <c r="EYA103" s="530"/>
      <c r="EYB103" s="531"/>
      <c r="EYC103" s="530"/>
      <c r="EYD103" s="531"/>
      <c r="EYE103" s="530"/>
      <c r="EYF103" s="531"/>
      <c r="EYG103" s="530"/>
      <c r="EYH103" s="531"/>
      <c r="EYI103" s="530"/>
      <c r="EYJ103" s="531"/>
      <c r="EYK103" s="530"/>
      <c r="EYL103" s="531"/>
      <c r="EYM103" s="530"/>
      <c r="EYN103" s="531"/>
      <c r="EYO103" s="530"/>
      <c r="EYP103" s="531"/>
      <c r="EYQ103" s="530"/>
      <c r="EYR103" s="531"/>
      <c r="EYS103" s="530"/>
      <c r="EYT103" s="531"/>
      <c r="EYU103" s="530"/>
      <c r="EYV103" s="531"/>
      <c r="EYW103" s="530"/>
      <c r="EYX103" s="531"/>
      <c r="EYY103" s="530"/>
      <c r="EYZ103" s="531"/>
      <c r="EZA103" s="530"/>
      <c r="EZB103" s="531"/>
      <c r="EZC103" s="530"/>
      <c r="EZD103" s="531"/>
      <c r="EZE103" s="530"/>
      <c r="EZF103" s="531"/>
      <c r="EZG103" s="530"/>
      <c r="EZH103" s="531"/>
      <c r="EZI103" s="530"/>
      <c r="EZJ103" s="531"/>
      <c r="EZK103" s="530"/>
      <c r="EZL103" s="531"/>
      <c r="EZM103" s="530"/>
      <c r="EZN103" s="531"/>
      <c r="EZO103" s="530"/>
      <c r="EZP103" s="531"/>
      <c r="EZQ103" s="530"/>
      <c r="EZR103" s="531"/>
      <c r="EZS103" s="530"/>
      <c r="EZT103" s="531"/>
      <c r="EZU103" s="530"/>
      <c r="EZV103" s="531"/>
      <c r="EZW103" s="530"/>
      <c r="EZX103" s="531"/>
      <c r="EZY103" s="530"/>
      <c r="EZZ103" s="531"/>
      <c r="FAA103" s="530"/>
      <c r="FAB103" s="531"/>
      <c r="FAC103" s="530"/>
      <c r="FAD103" s="531"/>
      <c r="FAE103" s="530"/>
      <c r="FAF103" s="531"/>
      <c r="FAG103" s="530"/>
      <c r="FAH103" s="531"/>
      <c r="FAI103" s="530"/>
      <c r="FAJ103" s="531"/>
      <c r="FAK103" s="530"/>
      <c r="FAL103" s="531"/>
      <c r="FAM103" s="530"/>
      <c r="FAN103" s="531"/>
      <c r="FAO103" s="530"/>
      <c r="FAP103" s="531"/>
      <c r="FAQ103" s="530"/>
      <c r="FAR103" s="531"/>
      <c r="FAS103" s="530"/>
      <c r="FAT103" s="531"/>
      <c r="FAU103" s="530"/>
      <c r="FAV103" s="531"/>
      <c r="FAW103" s="530"/>
      <c r="FAX103" s="531"/>
      <c r="FAY103" s="530"/>
      <c r="FAZ103" s="531"/>
      <c r="FBA103" s="530"/>
      <c r="FBB103" s="531"/>
      <c r="FBC103" s="530"/>
      <c r="FBD103" s="531"/>
      <c r="FBE103" s="530"/>
      <c r="FBF103" s="531"/>
      <c r="FBG103" s="530"/>
      <c r="FBH103" s="531"/>
      <c r="FBI103" s="530"/>
      <c r="FBJ103" s="531"/>
      <c r="FBK103" s="530"/>
      <c r="FBL103" s="531"/>
      <c r="FBM103" s="530"/>
      <c r="FBN103" s="531"/>
      <c r="FBO103" s="530"/>
      <c r="FBP103" s="531"/>
      <c r="FBQ103" s="530"/>
      <c r="FBR103" s="531"/>
      <c r="FBS103" s="530"/>
      <c r="FBT103" s="531"/>
      <c r="FBU103" s="530"/>
      <c r="FBV103" s="531"/>
      <c r="FBW103" s="530"/>
      <c r="FBX103" s="531"/>
      <c r="FBY103" s="530"/>
      <c r="FBZ103" s="531"/>
      <c r="FCA103" s="530"/>
      <c r="FCB103" s="531"/>
      <c r="FCC103" s="530"/>
      <c r="FCD103" s="531"/>
      <c r="FCE103" s="530"/>
      <c r="FCF103" s="531"/>
      <c r="FCG103" s="530"/>
      <c r="FCH103" s="531"/>
      <c r="FCI103" s="530"/>
      <c r="FCJ103" s="531"/>
      <c r="FCK103" s="530"/>
      <c r="FCL103" s="531"/>
      <c r="FCM103" s="530"/>
      <c r="FCN103" s="531"/>
      <c r="FCO103" s="530"/>
      <c r="FCP103" s="531"/>
      <c r="FCQ103" s="530"/>
      <c r="FCR103" s="531"/>
      <c r="FCS103" s="530"/>
      <c r="FCT103" s="531"/>
      <c r="FCU103" s="530"/>
      <c r="FCV103" s="531"/>
      <c r="FCW103" s="530"/>
      <c r="FCX103" s="531"/>
      <c r="FCY103" s="530"/>
      <c r="FCZ103" s="531"/>
      <c r="FDA103" s="530"/>
      <c r="FDB103" s="531"/>
      <c r="FDC103" s="530"/>
      <c r="FDD103" s="531"/>
      <c r="FDE103" s="530"/>
      <c r="FDF103" s="531"/>
      <c r="FDG103" s="530"/>
      <c r="FDH103" s="531"/>
      <c r="FDI103" s="530"/>
      <c r="FDJ103" s="531"/>
      <c r="FDK103" s="530"/>
      <c r="FDL103" s="531"/>
      <c r="FDM103" s="530"/>
      <c r="FDN103" s="531"/>
      <c r="FDO103" s="530"/>
      <c r="FDP103" s="531"/>
      <c r="FDQ103" s="530"/>
      <c r="FDR103" s="531"/>
      <c r="FDS103" s="530"/>
      <c r="FDT103" s="531"/>
      <c r="FDU103" s="530"/>
      <c r="FDV103" s="531"/>
      <c r="FDW103" s="530"/>
      <c r="FDX103" s="531"/>
      <c r="FDY103" s="530"/>
      <c r="FDZ103" s="531"/>
      <c r="FEA103" s="530"/>
      <c r="FEB103" s="531"/>
      <c r="FEC103" s="530"/>
      <c r="FED103" s="531"/>
      <c r="FEE103" s="530"/>
      <c r="FEF103" s="531"/>
      <c r="FEG103" s="530"/>
      <c r="FEH103" s="531"/>
      <c r="FEI103" s="530"/>
      <c r="FEJ103" s="531"/>
      <c r="FEK103" s="530"/>
      <c r="FEL103" s="531"/>
      <c r="FEM103" s="530"/>
      <c r="FEN103" s="531"/>
      <c r="FEO103" s="530"/>
      <c r="FEP103" s="531"/>
      <c r="FEQ103" s="530"/>
      <c r="FER103" s="531"/>
      <c r="FES103" s="530"/>
      <c r="FET103" s="531"/>
      <c r="FEU103" s="530"/>
      <c r="FEV103" s="531"/>
      <c r="FEW103" s="530"/>
      <c r="FEX103" s="531"/>
      <c r="FEY103" s="530"/>
      <c r="FEZ103" s="531"/>
      <c r="FFA103" s="530"/>
      <c r="FFB103" s="531"/>
      <c r="FFC103" s="530"/>
      <c r="FFD103" s="531"/>
      <c r="FFE103" s="530"/>
      <c r="FFF103" s="531"/>
      <c r="FFG103" s="530"/>
      <c r="FFH103" s="531"/>
      <c r="FFI103" s="530"/>
      <c r="FFJ103" s="531"/>
      <c r="FFK103" s="530"/>
      <c r="FFL103" s="531"/>
      <c r="FFM103" s="530"/>
      <c r="FFN103" s="531"/>
      <c r="FFO103" s="530"/>
      <c r="FFP103" s="531"/>
      <c r="FFQ103" s="530"/>
      <c r="FFR103" s="531"/>
      <c r="FFS103" s="530"/>
      <c r="FFT103" s="531"/>
      <c r="FFU103" s="530"/>
      <c r="FFV103" s="531"/>
      <c r="FFW103" s="530"/>
      <c r="FFX103" s="531"/>
      <c r="FFY103" s="530"/>
      <c r="FFZ103" s="531"/>
      <c r="FGA103" s="530"/>
      <c r="FGB103" s="531"/>
      <c r="FGC103" s="530"/>
      <c r="FGD103" s="531"/>
      <c r="FGE103" s="530"/>
      <c r="FGF103" s="531"/>
      <c r="FGG103" s="530"/>
      <c r="FGH103" s="531"/>
      <c r="FGI103" s="530"/>
      <c r="FGJ103" s="531"/>
      <c r="FGK103" s="530"/>
      <c r="FGL103" s="531"/>
      <c r="FGM103" s="530"/>
      <c r="FGN103" s="531"/>
      <c r="FGO103" s="530"/>
      <c r="FGP103" s="531"/>
      <c r="FGQ103" s="530"/>
      <c r="FGR103" s="531"/>
      <c r="FGS103" s="530"/>
      <c r="FGT103" s="531"/>
      <c r="FGU103" s="530"/>
      <c r="FGV103" s="531"/>
      <c r="FGW103" s="530"/>
      <c r="FGX103" s="531"/>
      <c r="FGY103" s="530"/>
      <c r="FGZ103" s="531"/>
      <c r="FHA103" s="530"/>
      <c r="FHB103" s="531"/>
      <c r="FHC103" s="530"/>
      <c r="FHD103" s="531"/>
      <c r="FHE103" s="530"/>
      <c r="FHF103" s="531"/>
      <c r="FHG103" s="530"/>
      <c r="FHH103" s="531"/>
      <c r="FHI103" s="530"/>
      <c r="FHJ103" s="531"/>
      <c r="FHK103" s="530"/>
      <c r="FHL103" s="531"/>
      <c r="FHM103" s="530"/>
      <c r="FHN103" s="531"/>
      <c r="FHO103" s="530"/>
      <c r="FHP103" s="531"/>
      <c r="FHQ103" s="530"/>
      <c r="FHR103" s="531"/>
      <c r="FHS103" s="530"/>
      <c r="FHT103" s="531"/>
      <c r="FHU103" s="530"/>
      <c r="FHV103" s="531"/>
      <c r="FHW103" s="530"/>
      <c r="FHX103" s="531"/>
      <c r="FHY103" s="530"/>
      <c r="FHZ103" s="531"/>
      <c r="FIA103" s="530"/>
      <c r="FIB103" s="531"/>
      <c r="FIC103" s="530"/>
      <c r="FID103" s="531"/>
      <c r="FIE103" s="530"/>
      <c r="FIF103" s="531"/>
      <c r="FIG103" s="530"/>
      <c r="FIH103" s="531"/>
      <c r="FII103" s="530"/>
      <c r="FIJ103" s="531"/>
      <c r="FIK103" s="530"/>
      <c r="FIL103" s="531"/>
      <c r="FIM103" s="530"/>
      <c r="FIN103" s="531"/>
      <c r="FIO103" s="530"/>
      <c r="FIP103" s="531"/>
      <c r="FIQ103" s="530"/>
      <c r="FIR103" s="531"/>
      <c r="FIS103" s="530"/>
      <c r="FIT103" s="531"/>
      <c r="FIU103" s="530"/>
      <c r="FIV103" s="531"/>
      <c r="FIW103" s="530"/>
      <c r="FIX103" s="531"/>
      <c r="FIY103" s="530"/>
      <c r="FIZ103" s="531"/>
      <c r="FJA103" s="530"/>
      <c r="FJB103" s="531"/>
      <c r="FJC103" s="530"/>
      <c r="FJD103" s="531"/>
      <c r="FJE103" s="530"/>
      <c r="FJF103" s="531"/>
      <c r="FJG103" s="530"/>
      <c r="FJH103" s="531"/>
      <c r="FJI103" s="530"/>
      <c r="FJJ103" s="531"/>
      <c r="FJK103" s="530"/>
      <c r="FJL103" s="531"/>
      <c r="FJM103" s="530"/>
      <c r="FJN103" s="531"/>
      <c r="FJO103" s="530"/>
      <c r="FJP103" s="531"/>
      <c r="FJQ103" s="530"/>
      <c r="FJR103" s="531"/>
      <c r="FJS103" s="530"/>
      <c r="FJT103" s="531"/>
      <c r="FJU103" s="530"/>
      <c r="FJV103" s="531"/>
      <c r="FJW103" s="530"/>
      <c r="FJX103" s="531"/>
      <c r="FJY103" s="530"/>
      <c r="FJZ103" s="531"/>
      <c r="FKA103" s="530"/>
      <c r="FKB103" s="531"/>
      <c r="FKC103" s="530"/>
      <c r="FKD103" s="531"/>
      <c r="FKE103" s="530"/>
      <c r="FKF103" s="531"/>
      <c r="FKG103" s="530"/>
      <c r="FKH103" s="531"/>
      <c r="FKI103" s="530"/>
      <c r="FKJ103" s="531"/>
      <c r="FKK103" s="530"/>
      <c r="FKL103" s="531"/>
      <c r="FKM103" s="530"/>
      <c r="FKN103" s="531"/>
      <c r="FKO103" s="530"/>
      <c r="FKP103" s="531"/>
      <c r="FKQ103" s="530"/>
      <c r="FKR103" s="531"/>
      <c r="FKS103" s="530"/>
      <c r="FKT103" s="531"/>
      <c r="FKU103" s="530"/>
      <c r="FKV103" s="531"/>
      <c r="FKW103" s="530"/>
      <c r="FKX103" s="531"/>
      <c r="FKY103" s="530"/>
      <c r="FKZ103" s="531"/>
      <c r="FLA103" s="530"/>
      <c r="FLB103" s="531"/>
      <c r="FLC103" s="530"/>
      <c r="FLD103" s="531"/>
      <c r="FLE103" s="530"/>
      <c r="FLF103" s="531"/>
      <c r="FLG103" s="530"/>
      <c r="FLH103" s="531"/>
      <c r="FLI103" s="530"/>
      <c r="FLJ103" s="531"/>
      <c r="FLK103" s="530"/>
      <c r="FLL103" s="531"/>
      <c r="FLM103" s="530"/>
      <c r="FLN103" s="531"/>
      <c r="FLO103" s="530"/>
      <c r="FLP103" s="531"/>
      <c r="FLQ103" s="530"/>
      <c r="FLR103" s="531"/>
      <c r="FLS103" s="530"/>
      <c r="FLT103" s="531"/>
      <c r="FLU103" s="530"/>
      <c r="FLV103" s="531"/>
      <c r="FLW103" s="530"/>
      <c r="FLX103" s="531"/>
      <c r="FLY103" s="530"/>
      <c r="FLZ103" s="531"/>
      <c r="FMA103" s="530"/>
      <c r="FMB103" s="531"/>
      <c r="FMC103" s="530"/>
      <c r="FMD103" s="531"/>
      <c r="FME103" s="530"/>
      <c r="FMF103" s="531"/>
      <c r="FMG103" s="530"/>
      <c r="FMH103" s="531"/>
      <c r="FMI103" s="530"/>
      <c r="FMJ103" s="531"/>
      <c r="FMK103" s="530"/>
      <c r="FML103" s="531"/>
      <c r="FMM103" s="530"/>
      <c r="FMN103" s="531"/>
      <c r="FMO103" s="530"/>
      <c r="FMP103" s="531"/>
      <c r="FMQ103" s="530"/>
      <c r="FMR103" s="531"/>
      <c r="FMS103" s="530"/>
      <c r="FMT103" s="531"/>
      <c r="FMU103" s="530"/>
      <c r="FMV103" s="531"/>
      <c r="FMW103" s="530"/>
      <c r="FMX103" s="531"/>
      <c r="FMY103" s="530"/>
      <c r="FMZ103" s="531"/>
      <c r="FNA103" s="530"/>
      <c r="FNB103" s="531"/>
      <c r="FNC103" s="530"/>
      <c r="FND103" s="531"/>
      <c r="FNE103" s="530"/>
      <c r="FNF103" s="531"/>
      <c r="FNG103" s="530"/>
      <c r="FNH103" s="531"/>
      <c r="FNI103" s="530"/>
      <c r="FNJ103" s="531"/>
      <c r="FNK103" s="530"/>
      <c r="FNL103" s="531"/>
      <c r="FNM103" s="530"/>
      <c r="FNN103" s="531"/>
      <c r="FNO103" s="530"/>
      <c r="FNP103" s="531"/>
      <c r="FNQ103" s="530"/>
      <c r="FNR103" s="531"/>
      <c r="FNS103" s="530"/>
      <c r="FNT103" s="531"/>
      <c r="FNU103" s="530"/>
      <c r="FNV103" s="531"/>
      <c r="FNW103" s="530"/>
      <c r="FNX103" s="531"/>
      <c r="FNY103" s="530"/>
      <c r="FNZ103" s="531"/>
      <c r="FOA103" s="530"/>
      <c r="FOB103" s="531"/>
      <c r="FOC103" s="530"/>
      <c r="FOD103" s="531"/>
      <c r="FOE103" s="530"/>
      <c r="FOF103" s="531"/>
      <c r="FOG103" s="530"/>
      <c r="FOH103" s="531"/>
      <c r="FOI103" s="530"/>
      <c r="FOJ103" s="531"/>
      <c r="FOK103" s="530"/>
      <c r="FOL103" s="531"/>
      <c r="FOM103" s="530"/>
      <c r="FON103" s="531"/>
      <c r="FOO103" s="530"/>
      <c r="FOP103" s="531"/>
      <c r="FOQ103" s="530"/>
      <c r="FOR103" s="531"/>
      <c r="FOS103" s="530"/>
      <c r="FOT103" s="531"/>
      <c r="FOU103" s="530"/>
      <c r="FOV103" s="531"/>
      <c r="FOW103" s="530"/>
      <c r="FOX103" s="531"/>
      <c r="FOY103" s="530"/>
      <c r="FOZ103" s="531"/>
      <c r="FPA103" s="530"/>
      <c r="FPB103" s="531"/>
      <c r="FPC103" s="530"/>
      <c r="FPD103" s="531"/>
      <c r="FPE103" s="530"/>
      <c r="FPF103" s="531"/>
      <c r="FPG103" s="530"/>
      <c r="FPH103" s="531"/>
      <c r="FPI103" s="530"/>
      <c r="FPJ103" s="531"/>
      <c r="FPK103" s="530"/>
      <c r="FPL103" s="531"/>
      <c r="FPM103" s="530"/>
      <c r="FPN103" s="531"/>
      <c r="FPO103" s="530"/>
      <c r="FPP103" s="531"/>
      <c r="FPQ103" s="530"/>
      <c r="FPR103" s="531"/>
      <c r="FPS103" s="530"/>
      <c r="FPT103" s="531"/>
      <c r="FPU103" s="530"/>
      <c r="FPV103" s="531"/>
      <c r="FPW103" s="530"/>
      <c r="FPX103" s="531"/>
      <c r="FPY103" s="530"/>
      <c r="FPZ103" s="531"/>
      <c r="FQA103" s="530"/>
      <c r="FQB103" s="531"/>
      <c r="FQC103" s="530"/>
      <c r="FQD103" s="531"/>
      <c r="FQE103" s="530"/>
      <c r="FQF103" s="531"/>
      <c r="FQG103" s="530"/>
      <c r="FQH103" s="531"/>
      <c r="FQI103" s="530"/>
      <c r="FQJ103" s="531"/>
      <c r="FQK103" s="530"/>
      <c r="FQL103" s="531"/>
      <c r="FQM103" s="530"/>
      <c r="FQN103" s="531"/>
      <c r="FQO103" s="530"/>
      <c r="FQP103" s="531"/>
      <c r="FQQ103" s="530"/>
      <c r="FQR103" s="531"/>
      <c r="FQS103" s="530"/>
      <c r="FQT103" s="531"/>
      <c r="FQU103" s="530"/>
      <c r="FQV103" s="531"/>
      <c r="FQW103" s="530"/>
      <c r="FQX103" s="531"/>
      <c r="FQY103" s="530"/>
      <c r="FQZ103" s="531"/>
      <c r="FRA103" s="530"/>
      <c r="FRB103" s="531"/>
      <c r="FRC103" s="530"/>
      <c r="FRD103" s="531"/>
      <c r="FRE103" s="530"/>
      <c r="FRF103" s="531"/>
      <c r="FRG103" s="530"/>
      <c r="FRH103" s="531"/>
      <c r="FRI103" s="530"/>
      <c r="FRJ103" s="531"/>
      <c r="FRK103" s="530"/>
      <c r="FRL103" s="531"/>
      <c r="FRM103" s="530"/>
      <c r="FRN103" s="531"/>
      <c r="FRO103" s="530"/>
      <c r="FRP103" s="531"/>
      <c r="FRQ103" s="530"/>
      <c r="FRR103" s="531"/>
      <c r="FRS103" s="530"/>
      <c r="FRT103" s="531"/>
      <c r="FRU103" s="530"/>
      <c r="FRV103" s="531"/>
      <c r="FRW103" s="530"/>
      <c r="FRX103" s="531"/>
      <c r="FRY103" s="530"/>
      <c r="FRZ103" s="531"/>
      <c r="FSA103" s="530"/>
      <c r="FSB103" s="531"/>
      <c r="FSC103" s="530"/>
      <c r="FSD103" s="531"/>
      <c r="FSE103" s="530"/>
      <c r="FSF103" s="531"/>
      <c r="FSG103" s="530"/>
      <c r="FSH103" s="531"/>
      <c r="FSI103" s="530"/>
      <c r="FSJ103" s="531"/>
      <c r="FSK103" s="530"/>
      <c r="FSL103" s="531"/>
      <c r="FSM103" s="530"/>
      <c r="FSN103" s="531"/>
      <c r="FSO103" s="530"/>
      <c r="FSP103" s="531"/>
      <c r="FSQ103" s="530"/>
      <c r="FSR103" s="531"/>
      <c r="FSS103" s="530"/>
      <c r="FST103" s="531"/>
      <c r="FSU103" s="530"/>
      <c r="FSV103" s="531"/>
      <c r="FSW103" s="530"/>
      <c r="FSX103" s="531"/>
      <c r="FSY103" s="530"/>
      <c r="FSZ103" s="531"/>
      <c r="FTA103" s="530"/>
      <c r="FTB103" s="531"/>
      <c r="FTC103" s="530"/>
      <c r="FTD103" s="531"/>
      <c r="FTE103" s="530"/>
      <c r="FTF103" s="531"/>
      <c r="FTG103" s="530"/>
      <c r="FTH103" s="531"/>
      <c r="FTI103" s="530"/>
      <c r="FTJ103" s="531"/>
      <c r="FTK103" s="530"/>
      <c r="FTL103" s="531"/>
      <c r="FTM103" s="530"/>
      <c r="FTN103" s="531"/>
      <c r="FTO103" s="530"/>
      <c r="FTP103" s="531"/>
      <c r="FTQ103" s="530"/>
      <c r="FTR103" s="531"/>
      <c r="FTS103" s="530"/>
      <c r="FTT103" s="531"/>
      <c r="FTU103" s="530"/>
      <c r="FTV103" s="531"/>
      <c r="FTW103" s="530"/>
      <c r="FTX103" s="531"/>
      <c r="FTY103" s="530"/>
      <c r="FTZ103" s="531"/>
      <c r="FUA103" s="530"/>
      <c r="FUB103" s="531"/>
      <c r="FUC103" s="530"/>
      <c r="FUD103" s="531"/>
      <c r="FUE103" s="530"/>
      <c r="FUF103" s="531"/>
      <c r="FUG103" s="530"/>
      <c r="FUH103" s="531"/>
      <c r="FUI103" s="530"/>
      <c r="FUJ103" s="531"/>
      <c r="FUK103" s="530"/>
      <c r="FUL103" s="531"/>
      <c r="FUM103" s="530"/>
      <c r="FUN103" s="531"/>
      <c r="FUO103" s="530"/>
      <c r="FUP103" s="531"/>
      <c r="FUQ103" s="530"/>
      <c r="FUR103" s="531"/>
      <c r="FUS103" s="530"/>
      <c r="FUT103" s="531"/>
      <c r="FUU103" s="530"/>
      <c r="FUV103" s="531"/>
      <c r="FUW103" s="530"/>
      <c r="FUX103" s="531"/>
      <c r="FUY103" s="530"/>
      <c r="FUZ103" s="531"/>
      <c r="FVA103" s="530"/>
      <c r="FVB103" s="531"/>
      <c r="FVC103" s="530"/>
      <c r="FVD103" s="531"/>
      <c r="FVE103" s="530"/>
      <c r="FVF103" s="531"/>
      <c r="FVG103" s="530"/>
      <c r="FVH103" s="531"/>
      <c r="FVI103" s="530"/>
      <c r="FVJ103" s="531"/>
      <c r="FVK103" s="530"/>
      <c r="FVL103" s="531"/>
      <c r="FVM103" s="530"/>
      <c r="FVN103" s="531"/>
      <c r="FVO103" s="530"/>
      <c r="FVP103" s="531"/>
      <c r="FVQ103" s="530"/>
      <c r="FVR103" s="531"/>
      <c r="FVS103" s="530"/>
      <c r="FVT103" s="531"/>
      <c r="FVU103" s="530"/>
      <c r="FVV103" s="531"/>
      <c r="FVW103" s="530"/>
      <c r="FVX103" s="531"/>
      <c r="FVY103" s="530"/>
      <c r="FVZ103" s="531"/>
      <c r="FWA103" s="530"/>
      <c r="FWB103" s="531"/>
      <c r="FWC103" s="530"/>
      <c r="FWD103" s="531"/>
      <c r="FWE103" s="530"/>
      <c r="FWF103" s="531"/>
      <c r="FWG103" s="530"/>
      <c r="FWH103" s="531"/>
      <c r="FWI103" s="530"/>
      <c r="FWJ103" s="531"/>
      <c r="FWK103" s="530"/>
      <c r="FWL103" s="531"/>
      <c r="FWM103" s="530"/>
      <c r="FWN103" s="531"/>
      <c r="FWO103" s="530"/>
      <c r="FWP103" s="531"/>
      <c r="FWQ103" s="530"/>
      <c r="FWR103" s="531"/>
      <c r="FWS103" s="530"/>
      <c r="FWT103" s="531"/>
      <c r="FWU103" s="530"/>
      <c r="FWV103" s="531"/>
      <c r="FWW103" s="530"/>
      <c r="FWX103" s="531"/>
      <c r="FWY103" s="530"/>
      <c r="FWZ103" s="531"/>
      <c r="FXA103" s="530"/>
      <c r="FXB103" s="531"/>
      <c r="FXC103" s="530"/>
      <c r="FXD103" s="531"/>
      <c r="FXE103" s="530"/>
      <c r="FXF103" s="531"/>
      <c r="FXG103" s="530"/>
      <c r="FXH103" s="531"/>
      <c r="FXI103" s="530"/>
      <c r="FXJ103" s="531"/>
      <c r="FXK103" s="530"/>
      <c r="FXL103" s="531"/>
      <c r="FXM103" s="530"/>
      <c r="FXN103" s="531"/>
      <c r="FXO103" s="530"/>
      <c r="FXP103" s="531"/>
      <c r="FXQ103" s="530"/>
      <c r="FXR103" s="531"/>
      <c r="FXS103" s="530"/>
      <c r="FXT103" s="531"/>
      <c r="FXU103" s="530"/>
      <c r="FXV103" s="531"/>
      <c r="FXW103" s="530"/>
      <c r="FXX103" s="531"/>
      <c r="FXY103" s="530"/>
      <c r="FXZ103" s="531"/>
      <c r="FYA103" s="530"/>
      <c r="FYB103" s="531"/>
      <c r="FYC103" s="530"/>
      <c r="FYD103" s="531"/>
      <c r="FYE103" s="530"/>
      <c r="FYF103" s="531"/>
      <c r="FYG103" s="530"/>
      <c r="FYH103" s="531"/>
      <c r="FYI103" s="530"/>
      <c r="FYJ103" s="531"/>
      <c r="FYK103" s="530"/>
      <c r="FYL103" s="531"/>
      <c r="FYM103" s="530"/>
      <c r="FYN103" s="531"/>
      <c r="FYO103" s="530"/>
      <c r="FYP103" s="531"/>
      <c r="FYQ103" s="530"/>
      <c r="FYR103" s="531"/>
      <c r="FYS103" s="530"/>
      <c r="FYT103" s="531"/>
      <c r="FYU103" s="530"/>
      <c r="FYV103" s="531"/>
      <c r="FYW103" s="530"/>
      <c r="FYX103" s="531"/>
      <c r="FYY103" s="530"/>
      <c r="FYZ103" s="531"/>
      <c r="FZA103" s="530"/>
      <c r="FZB103" s="531"/>
      <c r="FZC103" s="530"/>
      <c r="FZD103" s="531"/>
      <c r="FZE103" s="530"/>
      <c r="FZF103" s="531"/>
      <c r="FZG103" s="530"/>
      <c r="FZH103" s="531"/>
      <c r="FZI103" s="530"/>
      <c r="FZJ103" s="531"/>
      <c r="FZK103" s="530"/>
      <c r="FZL103" s="531"/>
      <c r="FZM103" s="530"/>
      <c r="FZN103" s="531"/>
      <c r="FZO103" s="530"/>
      <c r="FZP103" s="531"/>
      <c r="FZQ103" s="530"/>
      <c r="FZR103" s="531"/>
      <c r="FZS103" s="530"/>
      <c r="FZT103" s="531"/>
      <c r="FZU103" s="530"/>
      <c r="FZV103" s="531"/>
      <c r="FZW103" s="530"/>
      <c r="FZX103" s="531"/>
      <c r="FZY103" s="530"/>
      <c r="FZZ103" s="531"/>
      <c r="GAA103" s="530"/>
      <c r="GAB103" s="531"/>
      <c r="GAC103" s="530"/>
      <c r="GAD103" s="531"/>
      <c r="GAE103" s="530"/>
      <c r="GAF103" s="531"/>
      <c r="GAG103" s="530"/>
      <c r="GAH103" s="531"/>
      <c r="GAI103" s="530"/>
      <c r="GAJ103" s="531"/>
      <c r="GAK103" s="530"/>
      <c r="GAL103" s="531"/>
      <c r="GAM103" s="530"/>
      <c r="GAN103" s="531"/>
      <c r="GAO103" s="530"/>
      <c r="GAP103" s="531"/>
      <c r="GAQ103" s="530"/>
      <c r="GAR103" s="531"/>
      <c r="GAS103" s="530"/>
      <c r="GAT103" s="531"/>
      <c r="GAU103" s="530"/>
      <c r="GAV103" s="531"/>
      <c r="GAW103" s="530"/>
      <c r="GAX103" s="531"/>
      <c r="GAY103" s="530"/>
      <c r="GAZ103" s="531"/>
      <c r="GBA103" s="530"/>
      <c r="GBB103" s="531"/>
      <c r="GBC103" s="530"/>
      <c r="GBD103" s="531"/>
      <c r="GBE103" s="530"/>
      <c r="GBF103" s="531"/>
      <c r="GBG103" s="530"/>
      <c r="GBH103" s="531"/>
      <c r="GBI103" s="530"/>
      <c r="GBJ103" s="531"/>
      <c r="GBK103" s="530"/>
      <c r="GBL103" s="531"/>
      <c r="GBM103" s="530"/>
      <c r="GBN103" s="531"/>
      <c r="GBO103" s="530"/>
      <c r="GBP103" s="531"/>
      <c r="GBQ103" s="530"/>
      <c r="GBR103" s="531"/>
      <c r="GBS103" s="530"/>
      <c r="GBT103" s="531"/>
      <c r="GBU103" s="530"/>
      <c r="GBV103" s="531"/>
      <c r="GBW103" s="530"/>
      <c r="GBX103" s="531"/>
      <c r="GBY103" s="530"/>
      <c r="GBZ103" s="531"/>
      <c r="GCA103" s="530"/>
      <c r="GCB103" s="531"/>
      <c r="GCC103" s="530"/>
      <c r="GCD103" s="531"/>
      <c r="GCE103" s="530"/>
      <c r="GCF103" s="531"/>
      <c r="GCG103" s="530"/>
      <c r="GCH103" s="531"/>
      <c r="GCI103" s="530"/>
      <c r="GCJ103" s="531"/>
      <c r="GCK103" s="530"/>
      <c r="GCL103" s="531"/>
      <c r="GCM103" s="530"/>
      <c r="GCN103" s="531"/>
      <c r="GCO103" s="530"/>
      <c r="GCP103" s="531"/>
      <c r="GCQ103" s="530"/>
      <c r="GCR103" s="531"/>
      <c r="GCS103" s="530"/>
      <c r="GCT103" s="531"/>
      <c r="GCU103" s="530"/>
      <c r="GCV103" s="531"/>
      <c r="GCW103" s="530"/>
      <c r="GCX103" s="531"/>
      <c r="GCY103" s="530"/>
      <c r="GCZ103" s="531"/>
      <c r="GDA103" s="530"/>
      <c r="GDB103" s="531"/>
      <c r="GDC103" s="530"/>
      <c r="GDD103" s="531"/>
      <c r="GDE103" s="530"/>
      <c r="GDF103" s="531"/>
      <c r="GDG103" s="530"/>
      <c r="GDH103" s="531"/>
      <c r="GDI103" s="530"/>
      <c r="GDJ103" s="531"/>
      <c r="GDK103" s="530"/>
      <c r="GDL103" s="531"/>
      <c r="GDM103" s="530"/>
      <c r="GDN103" s="531"/>
      <c r="GDO103" s="530"/>
      <c r="GDP103" s="531"/>
      <c r="GDQ103" s="530"/>
      <c r="GDR103" s="531"/>
      <c r="GDS103" s="530"/>
      <c r="GDT103" s="531"/>
      <c r="GDU103" s="530"/>
      <c r="GDV103" s="531"/>
      <c r="GDW103" s="530"/>
      <c r="GDX103" s="531"/>
      <c r="GDY103" s="530"/>
      <c r="GDZ103" s="531"/>
      <c r="GEA103" s="530"/>
      <c r="GEB103" s="531"/>
      <c r="GEC103" s="530"/>
      <c r="GED103" s="531"/>
      <c r="GEE103" s="530"/>
      <c r="GEF103" s="531"/>
      <c r="GEG103" s="530"/>
      <c r="GEH103" s="531"/>
      <c r="GEI103" s="530"/>
      <c r="GEJ103" s="531"/>
      <c r="GEK103" s="530"/>
      <c r="GEL103" s="531"/>
      <c r="GEM103" s="530"/>
      <c r="GEN103" s="531"/>
      <c r="GEO103" s="530"/>
      <c r="GEP103" s="531"/>
      <c r="GEQ103" s="530"/>
      <c r="GER103" s="531"/>
      <c r="GES103" s="530"/>
      <c r="GET103" s="531"/>
      <c r="GEU103" s="530"/>
      <c r="GEV103" s="531"/>
      <c r="GEW103" s="530"/>
      <c r="GEX103" s="531"/>
      <c r="GEY103" s="530"/>
      <c r="GEZ103" s="531"/>
      <c r="GFA103" s="530"/>
      <c r="GFB103" s="531"/>
      <c r="GFC103" s="530"/>
      <c r="GFD103" s="531"/>
      <c r="GFE103" s="530"/>
      <c r="GFF103" s="531"/>
      <c r="GFG103" s="530"/>
      <c r="GFH103" s="531"/>
      <c r="GFI103" s="530"/>
      <c r="GFJ103" s="531"/>
      <c r="GFK103" s="530"/>
      <c r="GFL103" s="531"/>
      <c r="GFM103" s="530"/>
      <c r="GFN103" s="531"/>
      <c r="GFO103" s="530"/>
      <c r="GFP103" s="531"/>
      <c r="GFQ103" s="530"/>
      <c r="GFR103" s="531"/>
      <c r="GFS103" s="530"/>
      <c r="GFT103" s="531"/>
      <c r="GFU103" s="530"/>
      <c r="GFV103" s="531"/>
      <c r="GFW103" s="530"/>
      <c r="GFX103" s="531"/>
      <c r="GFY103" s="530"/>
      <c r="GFZ103" s="531"/>
      <c r="GGA103" s="530"/>
      <c r="GGB103" s="531"/>
      <c r="GGC103" s="530"/>
      <c r="GGD103" s="531"/>
      <c r="GGE103" s="530"/>
      <c r="GGF103" s="531"/>
      <c r="GGG103" s="530"/>
      <c r="GGH103" s="531"/>
      <c r="GGI103" s="530"/>
      <c r="GGJ103" s="531"/>
      <c r="GGK103" s="530"/>
      <c r="GGL103" s="531"/>
      <c r="GGM103" s="530"/>
      <c r="GGN103" s="531"/>
      <c r="GGO103" s="530"/>
      <c r="GGP103" s="531"/>
      <c r="GGQ103" s="530"/>
      <c r="GGR103" s="531"/>
      <c r="GGS103" s="530"/>
      <c r="GGT103" s="531"/>
      <c r="GGU103" s="530"/>
      <c r="GGV103" s="531"/>
      <c r="GGW103" s="530"/>
      <c r="GGX103" s="531"/>
      <c r="GGY103" s="530"/>
      <c r="GGZ103" s="531"/>
      <c r="GHA103" s="530"/>
      <c r="GHB103" s="531"/>
      <c r="GHC103" s="530"/>
      <c r="GHD103" s="531"/>
      <c r="GHE103" s="530"/>
      <c r="GHF103" s="531"/>
      <c r="GHG103" s="530"/>
      <c r="GHH103" s="531"/>
      <c r="GHI103" s="530"/>
      <c r="GHJ103" s="531"/>
      <c r="GHK103" s="530"/>
      <c r="GHL103" s="531"/>
      <c r="GHM103" s="530"/>
      <c r="GHN103" s="531"/>
      <c r="GHO103" s="530"/>
      <c r="GHP103" s="531"/>
      <c r="GHQ103" s="530"/>
      <c r="GHR103" s="531"/>
      <c r="GHS103" s="530"/>
      <c r="GHT103" s="531"/>
      <c r="GHU103" s="530"/>
      <c r="GHV103" s="531"/>
      <c r="GHW103" s="530"/>
      <c r="GHX103" s="531"/>
      <c r="GHY103" s="530"/>
      <c r="GHZ103" s="531"/>
      <c r="GIA103" s="530"/>
      <c r="GIB103" s="531"/>
      <c r="GIC103" s="530"/>
      <c r="GID103" s="531"/>
      <c r="GIE103" s="530"/>
      <c r="GIF103" s="531"/>
      <c r="GIG103" s="530"/>
      <c r="GIH103" s="531"/>
      <c r="GII103" s="530"/>
      <c r="GIJ103" s="531"/>
      <c r="GIK103" s="530"/>
      <c r="GIL103" s="531"/>
      <c r="GIM103" s="530"/>
      <c r="GIN103" s="531"/>
      <c r="GIO103" s="530"/>
      <c r="GIP103" s="531"/>
      <c r="GIQ103" s="530"/>
      <c r="GIR103" s="531"/>
      <c r="GIS103" s="530"/>
      <c r="GIT103" s="531"/>
      <c r="GIU103" s="530"/>
      <c r="GIV103" s="531"/>
      <c r="GIW103" s="530"/>
      <c r="GIX103" s="531"/>
      <c r="GIY103" s="530"/>
      <c r="GIZ103" s="531"/>
      <c r="GJA103" s="530"/>
      <c r="GJB103" s="531"/>
      <c r="GJC103" s="530"/>
      <c r="GJD103" s="531"/>
      <c r="GJE103" s="530"/>
      <c r="GJF103" s="531"/>
      <c r="GJG103" s="530"/>
      <c r="GJH103" s="531"/>
      <c r="GJI103" s="530"/>
      <c r="GJJ103" s="531"/>
      <c r="GJK103" s="530"/>
      <c r="GJL103" s="531"/>
      <c r="GJM103" s="530"/>
      <c r="GJN103" s="531"/>
      <c r="GJO103" s="530"/>
      <c r="GJP103" s="531"/>
      <c r="GJQ103" s="530"/>
      <c r="GJR103" s="531"/>
      <c r="GJS103" s="530"/>
      <c r="GJT103" s="531"/>
      <c r="GJU103" s="530"/>
      <c r="GJV103" s="531"/>
      <c r="GJW103" s="530"/>
      <c r="GJX103" s="531"/>
      <c r="GJY103" s="530"/>
      <c r="GJZ103" s="531"/>
      <c r="GKA103" s="530"/>
      <c r="GKB103" s="531"/>
      <c r="GKC103" s="530"/>
      <c r="GKD103" s="531"/>
      <c r="GKE103" s="530"/>
      <c r="GKF103" s="531"/>
      <c r="GKG103" s="530"/>
      <c r="GKH103" s="531"/>
      <c r="GKI103" s="530"/>
      <c r="GKJ103" s="531"/>
      <c r="GKK103" s="530"/>
      <c r="GKL103" s="531"/>
      <c r="GKM103" s="530"/>
      <c r="GKN103" s="531"/>
      <c r="GKO103" s="530"/>
      <c r="GKP103" s="531"/>
      <c r="GKQ103" s="530"/>
      <c r="GKR103" s="531"/>
      <c r="GKS103" s="530"/>
      <c r="GKT103" s="531"/>
      <c r="GKU103" s="530"/>
      <c r="GKV103" s="531"/>
      <c r="GKW103" s="530"/>
      <c r="GKX103" s="531"/>
      <c r="GKY103" s="530"/>
      <c r="GKZ103" s="531"/>
      <c r="GLA103" s="530"/>
      <c r="GLB103" s="531"/>
      <c r="GLC103" s="530"/>
      <c r="GLD103" s="531"/>
      <c r="GLE103" s="530"/>
      <c r="GLF103" s="531"/>
      <c r="GLG103" s="530"/>
      <c r="GLH103" s="531"/>
      <c r="GLI103" s="530"/>
      <c r="GLJ103" s="531"/>
      <c r="GLK103" s="530"/>
      <c r="GLL103" s="531"/>
      <c r="GLM103" s="530"/>
      <c r="GLN103" s="531"/>
      <c r="GLO103" s="530"/>
      <c r="GLP103" s="531"/>
      <c r="GLQ103" s="530"/>
      <c r="GLR103" s="531"/>
      <c r="GLS103" s="530"/>
      <c r="GLT103" s="531"/>
      <c r="GLU103" s="530"/>
      <c r="GLV103" s="531"/>
      <c r="GLW103" s="530"/>
      <c r="GLX103" s="531"/>
      <c r="GLY103" s="530"/>
      <c r="GLZ103" s="531"/>
      <c r="GMA103" s="530"/>
      <c r="GMB103" s="531"/>
      <c r="GMC103" s="530"/>
      <c r="GMD103" s="531"/>
      <c r="GME103" s="530"/>
      <c r="GMF103" s="531"/>
      <c r="GMG103" s="530"/>
      <c r="GMH103" s="531"/>
      <c r="GMI103" s="530"/>
      <c r="GMJ103" s="531"/>
      <c r="GMK103" s="530"/>
      <c r="GML103" s="531"/>
      <c r="GMM103" s="530"/>
      <c r="GMN103" s="531"/>
      <c r="GMO103" s="530"/>
      <c r="GMP103" s="531"/>
      <c r="GMQ103" s="530"/>
      <c r="GMR103" s="531"/>
      <c r="GMS103" s="530"/>
      <c r="GMT103" s="531"/>
      <c r="GMU103" s="530"/>
      <c r="GMV103" s="531"/>
      <c r="GMW103" s="530"/>
      <c r="GMX103" s="531"/>
      <c r="GMY103" s="530"/>
      <c r="GMZ103" s="531"/>
      <c r="GNA103" s="530"/>
      <c r="GNB103" s="531"/>
      <c r="GNC103" s="530"/>
      <c r="GND103" s="531"/>
      <c r="GNE103" s="530"/>
      <c r="GNF103" s="531"/>
      <c r="GNG103" s="530"/>
      <c r="GNH103" s="531"/>
      <c r="GNI103" s="530"/>
      <c r="GNJ103" s="531"/>
      <c r="GNK103" s="530"/>
      <c r="GNL103" s="531"/>
      <c r="GNM103" s="530"/>
      <c r="GNN103" s="531"/>
      <c r="GNO103" s="530"/>
      <c r="GNP103" s="531"/>
      <c r="GNQ103" s="530"/>
      <c r="GNR103" s="531"/>
      <c r="GNS103" s="530"/>
      <c r="GNT103" s="531"/>
      <c r="GNU103" s="530"/>
      <c r="GNV103" s="531"/>
      <c r="GNW103" s="530"/>
      <c r="GNX103" s="531"/>
      <c r="GNY103" s="530"/>
      <c r="GNZ103" s="531"/>
      <c r="GOA103" s="530"/>
      <c r="GOB103" s="531"/>
      <c r="GOC103" s="530"/>
      <c r="GOD103" s="531"/>
      <c r="GOE103" s="530"/>
      <c r="GOF103" s="531"/>
      <c r="GOG103" s="530"/>
      <c r="GOH103" s="531"/>
      <c r="GOI103" s="530"/>
      <c r="GOJ103" s="531"/>
      <c r="GOK103" s="530"/>
      <c r="GOL103" s="531"/>
      <c r="GOM103" s="530"/>
      <c r="GON103" s="531"/>
      <c r="GOO103" s="530"/>
      <c r="GOP103" s="531"/>
      <c r="GOQ103" s="530"/>
      <c r="GOR103" s="531"/>
      <c r="GOS103" s="530"/>
      <c r="GOT103" s="531"/>
      <c r="GOU103" s="530"/>
      <c r="GOV103" s="531"/>
      <c r="GOW103" s="530"/>
      <c r="GOX103" s="531"/>
      <c r="GOY103" s="530"/>
      <c r="GOZ103" s="531"/>
      <c r="GPA103" s="530"/>
      <c r="GPB103" s="531"/>
      <c r="GPC103" s="530"/>
      <c r="GPD103" s="531"/>
      <c r="GPE103" s="530"/>
      <c r="GPF103" s="531"/>
      <c r="GPG103" s="530"/>
      <c r="GPH103" s="531"/>
      <c r="GPI103" s="530"/>
      <c r="GPJ103" s="531"/>
      <c r="GPK103" s="530"/>
      <c r="GPL103" s="531"/>
      <c r="GPM103" s="530"/>
      <c r="GPN103" s="531"/>
      <c r="GPO103" s="530"/>
      <c r="GPP103" s="531"/>
      <c r="GPQ103" s="530"/>
      <c r="GPR103" s="531"/>
      <c r="GPS103" s="530"/>
      <c r="GPT103" s="531"/>
      <c r="GPU103" s="530"/>
      <c r="GPV103" s="531"/>
      <c r="GPW103" s="530"/>
      <c r="GPX103" s="531"/>
      <c r="GPY103" s="530"/>
      <c r="GPZ103" s="531"/>
      <c r="GQA103" s="530"/>
      <c r="GQB103" s="531"/>
      <c r="GQC103" s="530"/>
      <c r="GQD103" s="531"/>
      <c r="GQE103" s="530"/>
      <c r="GQF103" s="531"/>
      <c r="GQG103" s="530"/>
      <c r="GQH103" s="531"/>
      <c r="GQI103" s="530"/>
      <c r="GQJ103" s="531"/>
      <c r="GQK103" s="530"/>
      <c r="GQL103" s="531"/>
      <c r="GQM103" s="530"/>
      <c r="GQN103" s="531"/>
      <c r="GQO103" s="530"/>
      <c r="GQP103" s="531"/>
      <c r="GQQ103" s="530"/>
      <c r="GQR103" s="531"/>
      <c r="GQS103" s="530"/>
      <c r="GQT103" s="531"/>
      <c r="GQU103" s="530"/>
      <c r="GQV103" s="531"/>
      <c r="GQW103" s="530"/>
      <c r="GQX103" s="531"/>
      <c r="GQY103" s="530"/>
      <c r="GQZ103" s="531"/>
      <c r="GRA103" s="530"/>
      <c r="GRB103" s="531"/>
      <c r="GRC103" s="530"/>
      <c r="GRD103" s="531"/>
      <c r="GRE103" s="530"/>
      <c r="GRF103" s="531"/>
      <c r="GRG103" s="530"/>
      <c r="GRH103" s="531"/>
      <c r="GRI103" s="530"/>
      <c r="GRJ103" s="531"/>
      <c r="GRK103" s="530"/>
      <c r="GRL103" s="531"/>
      <c r="GRM103" s="530"/>
      <c r="GRN103" s="531"/>
      <c r="GRO103" s="530"/>
      <c r="GRP103" s="531"/>
      <c r="GRQ103" s="530"/>
      <c r="GRR103" s="531"/>
      <c r="GRS103" s="530"/>
      <c r="GRT103" s="531"/>
      <c r="GRU103" s="530"/>
      <c r="GRV103" s="531"/>
      <c r="GRW103" s="530"/>
      <c r="GRX103" s="531"/>
      <c r="GRY103" s="530"/>
      <c r="GRZ103" s="531"/>
      <c r="GSA103" s="530"/>
      <c r="GSB103" s="531"/>
      <c r="GSC103" s="530"/>
      <c r="GSD103" s="531"/>
      <c r="GSE103" s="530"/>
      <c r="GSF103" s="531"/>
      <c r="GSG103" s="530"/>
      <c r="GSH103" s="531"/>
      <c r="GSI103" s="530"/>
      <c r="GSJ103" s="531"/>
      <c r="GSK103" s="530"/>
      <c r="GSL103" s="531"/>
      <c r="GSM103" s="530"/>
      <c r="GSN103" s="531"/>
      <c r="GSO103" s="530"/>
      <c r="GSP103" s="531"/>
      <c r="GSQ103" s="530"/>
      <c r="GSR103" s="531"/>
      <c r="GSS103" s="530"/>
      <c r="GST103" s="531"/>
      <c r="GSU103" s="530"/>
      <c r="GSV103" s="531"/>
      <c r="GSW103" s="530"/>
      <c r="GSX103" s="531"/>
      <c r="GSY103" s="530"/>
      <c r="GSZ103" s="531"/>
      <c r="GTA103" s="530"/>
      <c r="GTB103" s="531"/>
      <c r="GTC103" s="530"/>
      <c r="GTD103" s="531"/>
      <c r="GTE103" s="530"/>
      <c r="GTF103" s="531"/>
      <c r="GTG103" s="530"/>
      <c r="GTH103" s="531"/>
      <c r="GTI103" s="530"/>
      <c r="GTJ103" s="531"/>
      <c r="GTK103" s="530"/>
      <c r="GTL103" s="531"/>
      <c r="GTM103" s="530"/>
      <c r="GTN103" s="531"/>
      <c r="GTO103" s="530"/>
      <c r="GTP103" s="531"/>
      <c r="GTQ103" s="530"/>
      <c r="GTR103" s="531"/>
      <c r="GTS103" s="530"/>
      <c r="GTT103" s="531"/>
      <c r="GTU103" s="530"/>
      <c r="GTV103" s="531"/>
      <c r="GTW103" s="530"/>
      <c r="GTX103" s="531"/>
      <c r="GTY103" s="530"/>
      <c r="GTZ103" s="531"/>
      <c r="GUA103" s="530"/>
      <c r="GUB103" s="531"/>
      <c r="GUC103" s="530"/>
      <c r="GUD103" s="531"/>
      <c r="GUE103" s="530"/>
      <c r="GUF103" s="531"/>
      <c r="GUG103" s="530"/>
      <c r="GUH103" s="531"/>
      <c r="GUI103" s="530"/>
      <c r="GUJ103" s="531"/>
      <c r="GUK103" s="530"/>
      <c r="GUL103" s="531"/>
      <c r="GUM103" s="530"/>
      <c r="GUN103" s="531"/>
      <c r="GUO103" s="530"/>
      <c r="GUP103" s="531"/>
      <c r="GUQ103" s="530"/>
      <c r="GUR103" s="531"/>
      <c r="GUS103" s="530"/>
      <c r="GUT103" s="531"/>
      <c r="GUU103" s="530"/>
      <c r="GUV103" s="531"/>
      <c r="GUW103" s="530"/>
      <c r="GUX103" s="531"/>
      <c r="GUY103" s="530"/>
      <c r="GUZ103" s="531"/>
      <c r="GVA103" s="530"/>
      <c r="GVB103" s="531"/>
      <c r="GVC103" s="530"/>
      <c r="GVD103" s="531"/>
      <c r="GVE103" s="530"/>
      <c r="GVF103" s="531"/>
      <c r="GVG103" s="530"/>
      <c r="GVH103" s="531"/>
      <c r="GVI103" s="530"/>
      <c r="GVJ103" s="531"/>
      <c r="GVK103" s="530"/>
      <c r="GVL103" s="531"/>
      <c r="GVM103" s="530"/>
      <c r="GVN103" s="531"/>
      <c r="GVO103" s="530"/>
      <c r="GVP103" s="531"/>
      <c r="GVQ103" s="530"/>
      <c r="GVR103" s="531"/>
      <c r="GVS103" s="530"/>
      <c r="GVT103" s="531"/>
      <c r="GVU103" s="530"/>
      <c r="GVV103" s="531"/>
      <c r="GVW103" s="530"/>
      <c r="GVX103" s="531"/>
      <c r="GVY103" s="530"/>
      <c r="GVZ103" s="531"/>
      <c r="GWA103" s="530"/>
      <c r="GWB103" s="531"/>
      <c r="GWC103" s="530"/>
      <c r="GWD103" s="531"/>
      <c r="GWE103" s="530"/>
      <c r="GWF103" s="531"/>
      <c r="GWG103" s="530"/>
      <c r="GWH103" s="531"/>
      <c r="GWI103" s="530"/>
      <c r="GWJ103" s="531"/>
      <c r="GWK103" s="530"/>
      <c r="GWL103" s="531"/>
      <c r="GWM103" s="530"/>
      <c r="GWN103" s="531"/>
      <c r="GWO103" s="530"/>
      <c r="GWP103" s="531"/>
      <c r="GWQ103" s="530"/>
      <c r="GWR103" s="531"/>
      <c r="GWS103" s="530"/>
      <c r="GWT103" s="531"/>
      <c r="GWU103" s="530"/>
      <c r="GWV103" s="531"/>
      <c r="GWW103" s="530"/>
      <c r="GWX103" s="531"/>
      <c r="GWY103" s="530"/>
      <c r="GWZ103" s="531"/>
      <c r="GXA103" s="530"/>
      <c r="GXB103" s="531"/>
      <c r="GXC103" s="530"/>
      <c r="GXD103" s="531"/>
      <c r="GXE103" s="530"/>
      <c r="GXF103" s="531"/>
      <c r="GXG103" s="530"/>
      <c r="GXH103" s="531"/>
      <c r="GXI103" s="530"/>
      <c r="GXJ103" s="531"/>
      <c r="GXK103" s="530"/>
      <c r="GXL103" s="531"/>
      <c r="GXM103" s="530"/>
      <c r="GXN103" s="531"/>
      <c r="GXO103" s="530"/>
      <c r="GXP103" s="531"/>
      <c r="GXQ103" s="530"/>
      <c r="GXR103" s="531"/>
      <c r="GXS103" s="530"/>
      <c r="GXT103" s="531"/>
      <c r="GXU103" s="530"/>
      <c r="GXV103" s="531"/>
      <c r="GXW103" s="530"/>
      <c r="GXX103" s="531"/>
      <c r="GXY103" s="530"/>
      <c r="GXZ103" s="531"/>
      <c r="GYA103" s="530"/>
      <c r="GYB103" s="531"/>
      <c r="GYC103" s="530"/>
      <c r="GYD103" s="531"/>
      <c r="GYE103" s="530"/>
      <c r="GYF103" s="531"/>
      <c r="GYG103" s="530"/>
      <c r="GYH103" s="531"/>
      <c r="GYI103" s="530"/>
      <c r="GYJ103" s="531"/>
      <c r="GYK103" s="530"/>
      <c r="GYL103" s="531"/>
      <c r="GYM103" s="530"/>
      <c r="GYN103" s="531"/>
      <c r="GYO103" s="530"/>
      <c r="GYP103" s="531"/>
      <c r="GYQ103" s="530"/>
      <c r="GYR103" s="531"/>
      <c r="GYS103" s="530"/>
      <c r="GYT103" s="531"/>
      <c r="GYU103" s="530"/>
      <c r="GYV103" s="531"/>
      <c r="GYW103" s="530"/>
      <c r="GYX103" s="531"/>
      <c r="GYY103" s="530"/>
      <c r="GYZ103" s="531"/>
      <c r="GZA103" s="530"/>
      <c r="GZB103" s="531"/>
      <c r="GZC103" s="530"/>
      <c r="GZD103" s="531"/>
      <c r="GZE103" s="530"/>
      <c r="GZF103" s="531"/>
      <c r="GZG103" s="530"/>
      <c r="GZH103" s="531"/>
      <c r="GZI103" s="530"/>
      <c r="GZJ103" s="531"/>
      <c r="GZK103" s="530"/>
      <c r="GZL103" s="531"/>
      <c r="GZM103" s="530"/>
      <c r="GZN103" s="531"/>
      <c r="GZO103" s="530"/>
      <c r="GZP103" s="531"/>
      <c r="GZQ103" s="530"/>
      <c r="GZR103" s="531"/>
      <c r="GZS103" s="530"/>
      <c r="GZT103" s="531"/>
      <c r="GZU103" s="530"/>
      <c r="GZV103" s="531"/>
      <c r="GZW103" s="530"/>
      <c r="GZX103" s="531"/>
      <c r="GZY103" s="530"/>
      <c r="GZZ103" s="531"/>
      <c r="HAA103" s="530"/>
      <c r="HAB103" s="531"/>
      <c r="HAC103" s="530"/>
      <c r="HAD103" s="531"/>
      <c r="HAE103" s="530"/>
      <c r="HAF103" s="531"/>
      <c r="HAG103" s="530"/>
      <c r="HAH103" s="531"/>
      <c r="HAI103" s="530"/>
      <c r="HAJ103" s="531"/>
      <c r="HAK103" s="530"/>
      <c r="HAL103" s="531"/>
      <c r="HAM103" s="530"/>
      <c r="HAN103" s="531"/>
      <c r="HAO103" s="530"/>
      <c r="HAP103" s="531"/>
      <c r="HAQ103" s="530"/>
      <c r="HAR103" s="531"/>
      <c r="HAS103" s="530"/>
      <c r="HAT103" s="531"/>
      <c r="HAU103" s="530"/>
      <c r="HAV103" s="531"/>
      <c r="HAW103" s="530"/>
      <c r="HAX103" s="531"/>
      <c r="HAY103" s="530"/>
      <c r="HAZ103" s="531"/>
      <c r="HBA103" s="530"/>
      <c r="HBB103" s="531"/>
      <c r="HBC103" s="530"/>
      <c r="HBD103" s="531"/>
      <c r="HBE103" s="530"/>
      <c r="HBF103" s="531"/>
      <c r="HBG103" s="530"/>
      <c r="HBH103" s="531"/>
      <c r="HBI103" s="530"/>
      <c r="HBJ103" s="531"/>
      <c r="HBK103" s="530"/>
      <c r="HBL103" s="531"/>
      <c r="HBM103" s="530"/>
      <c r="HBN103" s="531"/>
      <c r="HBO103" s="530"/>
      <c r="HBP103" s="531"/>
      <c r="HBQ103" s="530"/>
      <c r="HBR103" s="531"/>
      <c r="HBS103" s="530"/>
      <c r="HBT103" s="531"/>
      <c r="HBU103" s="530"/>
      <c r="HBV103" s="531"/>
      <c r="HBW103" s="530"/>
      <c r="HBX103" s="531"/>
      <c r="HBY103" s="530"/>
      <c r="HBZ103" s="531"/>
      <c r="HCA103" s="530"/>
      <c r="HCB103" s="531"/>
      <c r="HCC103" s="530"/>
      <c r="HCD103" s="531"/>
      <c r="HCE103" s="530"/>
      <c r="HCF103" s="531"/>
      <c r="HCG103" s="530"/>
      <c r="HCH103" s="531"/>
      <c r="HCI103" s="530"/>
      <c r="HCJ103" s="531"/>
      <c r="HCK103" s="530"/>
      <c r="HCL103" s="531"/>
      <c r="HCM103" s="530"/>
      <c r="HCN103" s="531"/>
      <c r="HCO103" s="530"/>
      <c r="HCP103" s="531"/>
      <c r="HCQ103" s="530"/>
      <c r="HCR103" s="531"/>
      <c r="HCS103" s="530"/>
      <c r="HCT103" s="531"/>
      <c r="HCU103" s="530"/>
      <c r="HCV103" s="531"/>
      <c r="HCW103" s="530"/>
      <c r="HCX103" s="531"/>
      <c r="HCY103" s="530"/>
      <c r="HCZ103" s="531"/>
      <c r="HDA103" s="530"/>
      <c r="HDB103" s="531"/>
      <c r="HDC103" s="530"/>
      <c r="HDD103" s="531"/>
      <c r="HDE103" s="530"/>
      <c r="HDF103" s="531"/>
      <c r="HDG103" s="530"/>
      <c r="HDH103" s="531"/>
      <c r="HDI103" s="530"/>
      <c r="HDJ103" s="531"/>
      <c r="HDK103" s="530"/>
      <c r="HDL103" s="531"/>
      <c r="HDM103" s="530"/>
      <c r="HDN103" s="531"/>
      <c r="HDO103" s="530"/>
      <c r="HDP103" s="531"/>
      <c r="HDQ103" s="530"/>
      <c r="HDR103" s="531"/>
      <c r="HDS103" s="530"/>
      <c r="HDT103" s="531"/>
      <c r="HDU103" s="530"/>
      <c r="HDV103" s="531"/>
      <c r="HDW103" s="530"/>
      <c r="HDX103" s="531"/>
      <c r="HDY103" s="530"/>
      <c r="HDZ103" s="531"/>
      <c r="HEA103" s="530"/>
      <c r="HEB103" s="531"/>
      <c r="HEC103" s="530"/>
      <c r="HED103" s="531"/>
      <c r="HEE103" s="530"/>
      <c r="HEF103" s="531"/>
      <c r="HEG103" s="530"/>
      <c r="HEH103" s="531"/>
      <c r="HEI103" s="530"/>
      <c r="HEJ103" s="531"/>
      <c r="HEK103" s="530"/>
      <c r="HEL103" s="531"/>
      <c r="HEM103" s="530"/>
      <c r="HEN103" s="531"/>
      <c r="HEO103" s="530"/>
      <c r="HEP103" s="531"/>
      <c r="HEQ103" s="530"/>
      <c r="HER103" s="531"/>
      <c r="HES103" s="530"/>
      <c r="HET103" s="531"/>
      <c r="HEU103" s="530"/>
      <c r="HEV103" s="531"/>
      <c r="HEW103" s="530"/>
      <c r="HEX103" s="531"/>
      <c r="HEY103" s="530"/>
      <c r="HEZ103" s="531"/>
      <c r="HFA103" s="530"/>
      <c r="HFB103" s="531"/>
      <c r="HFC103" s="530"/>
      <c r="HFD103" s="531"/>
      <c r="HFE103" s="530"/>
      <c r="HFF103" s="531"/>
      <c r="HFG103" s="530"/>
      <c r="HFH103" s="531"/>
      <c r="HFI103" s="530"/>
      <c r="HFJ103" s="531"/>
      <c r="HFK103" s="530"/>
      <c r="HFL103" s="531"/>
      <c r="HFM103" s="530"/>
      <c r="HFN103" s="531"/>
      <c r="HFO103" s="530"/>
      <c r="HFP103" s="531"/>
      <c r="HFQ103" s="530"/>
      <c r="HFR103" s="531"/>
      <c r="HFS103" s="530"/>
      <c r="HFT103" s="531"/>
      <c r="HFU103" s="530"/>
      <c r="HFV103" s="531"/>
      <c r="HFW103" s="530"/>
      <c r="HFX103" s="531"/>
      <c r="HFY103" s="530"/>
      <c r="HFZ103" s="531"/>
      <c r="HGA103" s="530"/>
      <c r="HGB103" s="531"/>
      <c r="HGC103" s="530"/>
      <c r="HGD103" s="531"/>
      <c r="HGE103" s="530"/>
      <c r="HGF103" s="531"/>
      <c r="HGG103" s="530"/>
      <c r="HGH103" s="531"/>
      <c r="HGI103" s="530"/>
      <c r="HGJ103" s="531"/>
      <c r="HGK103" s="530"/>
      <c r="HGL103" s="531"/>
      <c r="HGM103" s="530"/>
      <c r="HGN103" s="531"/>
      <c r="HGO103" s="530"/>
      <c r="HGP103" s="531"/>
      <c r="HGQ103" s="530"/>
      <c r="HGR103" s="531"/>
      <c r="HGS103" s="530"/>
      <c r="HGT103" s="531"/>
      <c r="HGU103" s="530"/>
      <c r="HGV103" s="531"/>
      <c r="HGW103" s="530"/>
      <c r="HGX103" s="531"/>
      <c r="HGY103" s="530"/>
      <c r="HGZ103" s="531"/>
      <c r="HHA103" s="530"/>
      <c r="HHB103" s="531"/>
      <c r="HHC103" s="530"/>
      <c r="HHD103" s="531"/>
      <c r="HHE103" s="530"/>
      <c r="HHF103" s="531"/>
      <c r="HHG103" s="530"/>
      <c r="HHH103" s="531"/>
      <c r="HHI103" s="530"/>
      <c r="HHJ103" s="531"/>
      <c r="HHK103" s="530"/>
      <c r="HHL103" s="531"/>
      <c r="HHM103" s="530"/>
      <c r="HHN103" s="531"/>
      <c r="HHO103" s="530"/>
      <c r="HHP103" s="531"/>
      <c r="HHQ103" s="530"/>
      <c r="HHR103" s="531"/>
      <c r="HHS103" s="530"/>
      <c r="HHT103" s="531"/>
      <c r="HHU103" s="530"/>
      <c r="HHV103" s="531"/>
      <c r="HHW103" s="530"/>
      <c r="HHX103" s="531"/>
      <c r="HHY103" s="530"/>
      <c r="HHZ103" s="531"/>
      <c r="HIA103" s="530"/>
      <c r="HIB103" s="531"/>
      <c r="HIC103" s="530"/>
      <c r="HID103" s="531"/>
      <c r="HIE103" s="530"/>
      <c r="HIF103" s="531"/>
      <c r="HIG103" s="530"/>
      <c r="HIH103" s="531"/>
      <c r="HII103" s="530"/>
      <c r="HIJ103" s="531"/>
      <c r="HIK103" s="530"/>
      <c r="HIL103" s="531"/>
      <c r="HIM103" s="530"/>
      <c r="HIN103" s="531"/>
      <c r="HIO103" s="530"/>
      <c r="HIP103" s="531"/>
      <c r="HIQ103" s="530"/>
      <c r="HIR103" s="531"/>
      <c r="HIS103" s="530"/>
      <c r="HIT103" s="531"/>
      <c r="HIU103" s="530"/>
      <c r="HIV103" s="531"/>
      <c r="HIW103" s="530"/>
      <c r="HIX103" s="531"/>
      <c r="HIY103" s="530"/>
      <c r="HIZ103" s="531"/>
      <c r="HJA103" s="530"/>
      <c r="HJB103" s="531"/>
      <c r="HJC103" s="530"/>
      <c r="HJD103" s="531"/>
      <c r="HJE103" s="530"/>
      <c r="HJF103" s="531"/>
      <c r="HJG103" s="530"/>
      <c r="HJH103" s="531"/>
      <c r="HJI103" s="530"/>
      <c r="HJJ103" s="531"/>
      <c r="HJK103" s="530"/>
      <c r="HJL103" s="531"/>
      <c r="HJM103" s="530"/>
      <c r="HJN103" s="531"/>
      <c r="HJO103" s="530"/>
      <c r="HJP103" s="531"/>
      <c r="HJQ103" s="530"/>
      <c r="HJR103" s="531"/>
      <c r="HJS103" s="530"/>
      <c r="HJT103" s="531"/>
      <c r="HJU103" s="530"/>
      <c r="HJV103" s="531"/>
      <c r="HJW103" s="530"/>
      <c r="HJX103" s="531"/>
      <c r="HJY103" s="530"/>
      <c r="HJZ103" s="531"/>
      <c r="HKA103" s="530"/>
      <c r="HKB103" s="531"/>
      <c r="HKC103" s="530"/>
      <c r="HKD103" s="531"/>
      <c r="HKE103" s="530"/>
      <c r="HKF103" s="531"/>
      <c r="HKG103" s="530"/>
      <c r="HKH103" s="531"/>
      <c r="HKI103" s="530"/>
      <c r="HKJ103" s="531"/>
      <c r="HKK103" s="530"/>
      <c r="HKL103" s="531"/>
      <c r="HKM103" s="530"/>
      <c r="HKN103" s="531"/>
      <c r="HKO103" s="530"/>
      <c r="HKP103" s="531"/>
      <c r="HKQ103" s="530"/>
      <c r="HKR103" s="531"/>
      <c r="HKS103" s="530"/>
      <c r="HKT103" s="531"/>
      <c r="HKU103" s="530"/>
      <c r="HKV103" s="531"/>
      <c r="HKW103" s="530"/>
      <c r="HKX103" s="531"/>
      <c r="HKY103" s="530"/>
      <c r="HKZ103" s="531"/>
      <c r="HLA103" s="530"/>
      <c r="HLB103" s="531"/>
      <c r="HLC103" s="530"/>
      <c r="HLD103" s="531"/>
      <c r="HLE103" s="530"/>
      <c r="HLF103" s="531"/>
      <c r="HLG103" s="530"/>
      <c r="HLH103" s="531"/>
      <c r="HLI103" s="530"/>
      <c r="HLJ103" s="531"/>
      <c r="HLK103" s="530"/>
      <c r="HLL103" s="531"/>
      <c r="HLM103" s="530"/>
      <c r="HLN103" s="531"/>
      <c r="HLO103" s="530"/>
      <c r="HLP103" s="531"/>
      <c r="HLQ103" s="530"/>
      <c r="HLR103" s="531"/>
      <c r="HLS103" s="530"/>
      <c r="HLT103" s="531"/>
      <c r="HLU103" s="530"/>
      <c r="HLV103" s="531"/>
      <c r="HLW103" s="530"/>
      <c r="HLX103" s="531"/>
      <c r="HLY103" s="530"/>
      <c r="HLZ103" s="531"/>
      <c r="HMA103" s="530"/>
      <c r="HMB103" s="531"/>
      <c r="HMC103" s="530"/>
      <c r="HMD103" s="531"/>
      <c r="HME103" s="530"/>
      <c r="HMF103" s="531"/>
      <c r="HMG103" s="530"/>
      <c r="HMH103" s="531"/>
      <c r="HMI103" s="530"/>
      <c r="HMJ103" s="531"/>
      <c r="HMK103" s="530"/>
      <c r="HML103" s="531"/>
      <c r="HMM103" s="530"/>
      <c r="HMN103" s="531"/>
      <c r="HMO103" s="530"/>
      <c r="HMP103" s="531"/>
      <c r="HMQ103" s="530"/>
      <c r="HMR103" s="531"/>
      <c r="HMS103" s="530"/>
      <c r="HMT103" s="531"/>
      <c r="HMU103" s="530"/>
      <c r="HMV103" s="531"/>
      <c r="HMW103" s="530"/>
      <c r="HMX103" s="531"/>
      <c r="HMY103" s="530"/>
      <c r="HMZ103" s="531"/>
      <c r="HNA103" s="530"/>
      <c r="HNB103" s="531"/>
      <c r="HNC103" s="530"/>
      <c r="HND103" s="531"/>
      <c r="HNE103" s="530"/>
      <c r="HNF103" s="531"/>
      <c r="HNG103" s="530"/>
      <c r="HNH103" s="531"/>
      <c r="HNI103" s="530"/>
      <c r="HNJ103" s="531"/>
      <c r="HNK103" s="530"/>
      <c r="HNL103" s="531"/>
      <c r="HNM103" s="530"/>
      <c r="HNN103" s="531"/>
      <c r="HNO103" s="530"/>
      <c r="HNP103" s="531"/>
      <c r="HNQ103" s="530"/>
      <c r="HNR103" s="531"/>
      <c r="HNS103" s="530"/>
      <c r="HNT103" s="531"/>
      <c r="HNU103" s="530"/>
      <c r="HNV103" s="531"/>
      <c r="HNW103" s="530"/>
      <c r="HNX103" s="531"/>
      <c r="HNY103" s="530"/>
      <c r="HNZ103" s="531"/>
      <c r="HOA103" s="530"/>
      <c r="HOB103" s="531"/>
      <c r="HOC103" s="530"/>
      <c r="HOD103" s="531"/>
      <c r="HOE103" s="530"/>
      <c r="HOF103" s="531"/>
      <c r="HOG103" s="530"/>
      <c r="HOH103" s="531"/>
      <c r="HOI103" s="530"/>
      <c r="HOJ103" s="531"/>
      <c r="HOK103" s="530"/>
      <c r="HOL103" s="531"/>
      <c r="HOM103" s="530"/>
      <c r="HON103" s="531"/>
      <c r="HOO103" s="530"/>
      <c r="HOP103" s="531"/>
      <c r="HOQ103" s="530"/>
      <c r="HOR103" s="531"/>
      <c r="HOS103" s="530"/>
      <c r="HOT103" s="531"/>
      <c r="HOU103" s="530"/>
      <c r="HOV103" s="531"/>
      <c r="HOW103" s="530"/>
      <c r="HOX103" s="531"/>
      <c r="HOY103" s="530"/>
      <c r="HOZ103" s="531"/>
      <c r="HPA103" s="530"/>
      <c r="HPB103" s="531"/>
      <c r="HPC103" s="530"/>
      <c r="HPD103" s="531"/>
      <c r="HPE103" s="530"/>
      <c r="HPF103" s="531"/>
      <c r="HPG103" s="530"/>
      <c r="HPH103" s="531"/>
      <c r="HPI103" s="530"/>
      <c r="HPJ103" s="531"/>
      <c r="HPK103" s="530"/>
      <c r="HPL103" s="531"/>
      <c r="HPM103" s="530"/>
      <c r="HPN103" s="531"/>
      <c r="HPO103" s="530"/>
      <c r="HPP103" s="531"/>
      <c r="HPQ103" s="530"/>
      <c r="HPR103" s="531"/>
      <c r="HPS103" s="530"/>
      <c r="HPT103" s="531"/>
      <c r="HPU103" s="530"/>
      <c r="HPV103" s="531"/>
      <c r="HPW103" s="530"/>
      <c r="HPX103" s="531"/>
      <c r="HPY103" s="530"/>
      <c r="HPZ103" s="531"/>
      <c r="HQA103" s="530"/>
      <c r="HQB103" s="531"/>
      <c r="HQC103" s="530"/>
      <c r="HQD103" s="531"/>
      <c r="HQE103" s="530"/>
      <c r="HQF103" s="531"/>
      <c r="HQG103" s="530"/>
      <c r="HQH103" s="531"/>
      <c r="HQI103" s="530"/>
      <c r="HQJ103" s="531"/>
      <c r="HQK103" s="530"/>
      <c r="HQL103" s="531"/>
      <c r="HQM103" s="530"/>
      <c r="HQN103" s="531"/>
      <c r="HQO103" s="530"/>
      <c r="HQP103" s="531"/>
      <c r="HQQ103" s="530"/>
      <c r="HQR103" s="531"/>
      <c r="HQS103" s="530"/>
      <c r="HQT103" s="531"/>
      <c r="HQU103" s="530"/>
      <c r="HQV103" s="531"/>
      <c r="HQW103" s="530"/>
      <c r="HQX103" s="531"/>
      <c r="HQY103" s="530"/>
      <c r="HQZ103" s="531"/>
      <c r="HRA103" s="530"/>
      <c r="HRB103" s="531"/>
      <c r="HRC103" s="530"/>
      <c r="HRD103" s="531"/>
      <c r="HRE103" s="530"/>
      <c r="HRF103" s="531"/>
      <c r="HRG103" s="530"/>
      <c r="HRH103" s="531"/>
      <c r="HRI103" s="530"/>
      <c r="HRJ103" s="531"/>
      <c r="HRK103" s="530"/>
      <c r="HRL103" s="531"/>
      <c r="HRM103" s="530"/>
      <c r="HRN103" s="531"/>
      <c r="HRO103" s="530"/>
      <c r="HRP103" s="531"/>
      <c r="HRQ103" s="530"/>
      <c r="HRR103" s="531"/>
      <c r="HRS103" s="530"/>
      <c r="HRT103" s="531"/>
      <c r="HRU103" s="530"/>
      <c r="HRV103" s="531"/>
      <c r="HRW103" s="530"/>
      <c r="HRX103" s="531"/>
      <c r="HRY103" s="530"/>
      <c r="HRZ103" s="531"/>
      <c r="HSA103" s="530"/>
      <c r="HSB103" s="531"/>
      <c r="HSC103" s="530"/>
      <c r="HSD103" s="531"/>
      <c r="HSE103" s="530"/>
      <c r="HSF103" s="531"/>
      <c r="HSG103" s="530"/>
      <c r="HSH103" s="531"/>
      <c r="HSI103" s="530"/>
      <c r="HSJ103" s="531"/>
      <c r="HSK103" s="530"/>
      <c r="HSL103" s="531"/>
      <c r="HSM103" s="530"/>
      <c r="HSN103" s="531"/>
      <c r="HSO103" s="530"/>
      <c r="HSP103" s="531"/>
      <c r="HSQ103" s="530"/>
      <c r="HSR103" s="531"/>
      <c r="HSS103" s="530"/>
      <c r="HST103" s="531"/>
      <c r="HSU103" s="530"/>
      <c r="HSV103" s="531"/>
      <c r="HSW103" s="530"/>
      <c r="HSX103" s="531"/>
      <c r="HSY103" s="530"/>
      <c r="HSZ103" s="531"/>
      <c r="HTA103" s="530"/>
      <c r="HTB103" s="531"/>
      <c r="HTC103" s="530"/>
      <c r="HTD103" s="531"/>
      <c r="HTE103" s="530"/>
      <c r="HTF103" s="531"/>
      <c r="HTG103" s="530"/>
      <c r="HTH103" s="531"/>
      <c r="HTI103" s="530"/>
      <c r="HTJ103" s="531"/>
      <c r="HTK103" s="530"/>
      <c r="HTL103" s="531"/>
      <c r="HTM103" s="530"/>
      <c r="HTN103" s="531"/>
      <c r="HTO103" s="530"/>
      <c r="HTP103" s="531"/>
      <c r="HTQ103" s="530"/>
      <c r="HTR103" s="531"/>
      <c r="HTS103" s="530"/>
      <c r="HTT103" s="531"/>
      <c r="HTU103" s="530"/>
      <c r="HTV103" s="531"/>
      <c r="HTW103" s="530"/>
      <c r="HTX103" s="531"/>
      <c r="HTY103" s="530"/>
      <c r="HTZ103" s="531"/>
      <c r="HUA103" s="530"/>
      <c r="HUB103" s="531"/>
      <c r="HUC103" s="530"/>
      <c r="HUD103" s="531"/>
      <c r="HUE103" s="530"/>
      <c r="HUF103" s="531"/>
      <c r="HUG103" s="530"/>
      <c r="HUH103" s="531"/>
      <c r="HUI103" s="530"/>
      <c r="HUJ103" s="531"/>
      <c r="HUK103" s="530"/>
      <c r="HUL103" s="531"/>
      <c r="HUM103" s="530"/>
      <c r="HUN103" s="531"/>
      <c r="HUO103" s="530"/>
      <c r="HUP103" s="531"/>
      <c r="HUQ103" s="530"/>
      <c r="HUR103" s="531"/>
      <c r="HUS103" s="530"/>
      <c r="HUT103" s="531"/>
      <c r="HUU103" s="530"/>
      <c r="HUV103" s="531"/>
      <c r="HUW103" s="530"/>
      <c r="HUX103" s="531"/>
      <c r="HUY103" s="530"/>
      <c r="HUZ103" s="531"/>
      <c r="HVA103" s="530"/>
      <c r="HVB103" s="531"/>
      <c r="HVC103" s="530"/>
      <c r="HVD103" s="531"/>
      <c r="HVE103" s="530"/>
      <c r="HVF103" s="531"/>
      <c r="HVG103" s="530"/>
      <c r="HVH103" s="531"/>
      <c r="HVI103" s="530"/>
      <c r="HVJ103" s="531"/>
      <c r="HVK103" s="530"/>
      <c r="HVL103" s="531"/>
      <c r="HVM103" s="530"/>
      <c r="HVN103" s="531"/>
      <c r="HVO103" s="530"/>
      <c r="HVP103" s="531"/>
      <c r="HVQ103" s="530"/>
      <c r="HVR103" s="531"/>
      <c r="HVS103" s="530"/>
      <c r="HVT103" s="531"/>
      <c r="HVU103" s="530"/>
      <c r="HVV103" s="531"/>
      <c r="HVW103" s="530"/>
      <c r="HVX103" s="531"/>
      <c r="HVY103" s="530"/>
      <c r="HVZ103" s="531"/>
      <c r="HWA103" s="530"/>
      <c r="HWB103" s="531"/>
      <c r="HWC103" s="530"/>
      <c r="HWD103" s="531"/>
      <c r="HWE103" s="530"/>
      <c r="HWF103" s="531"/>
      <c r="HWG103" s="530"/>
      <c r="HWH103" s="531"/>
      <c r="HWI103" s="530"/>
      <c r="HWJ103" s="531"/>
      <c r="HWK103" s="530"/>
      <c r="HWL103" s="531"/>
      <c r="HWM103" s="530"/>
      <c r="HWN103" s="531"/>
      <c r="HWO103" s="530"/>
      <c r="HWP103" s="531"/>
      <c r="HWQ103" s="530"/>
      <c r="HWR103" s="531"/>
      <c r="HWS103" s="530"/>
      <c r="HWT103" s="531"/>
      <c r="HWU103" s="530"/>
      <c r="HWV103" s="531"/>
      <c r="HWW103" s="530"/>
      <c r="HWX103" s="531"/>
      <c r="HWY103" s="530"/>
      <c r="HWZ103" s="531"/>
      <c r="HXA103" s="530"/>
      <c r="HXB103" s="531"/>
      <c r="HXC103" s="530"/>
      <c r="HXD103" s="531"/>
      <c r="HXE103" s="530"/>
      <c r="HXF103" s="531"/>
      <c r="HXG103" s="530"/>
      <c r="HXH103" s="531"/>
      <c r="HXI103" s="530"/>
      <c r="HXJ103" s="531"/>
      <c r="HXK103" s="530"/>
      <c r="HXL103" s="531"/>
      <c r="HXM103" s="530"/>
      <c r="HXN103" s="531"/>
      <c r="HXO103" s="530"/>
      <c r="HXP103" s="531"/>
      <c r="HXQ103" s="530"/>
      <c r="HXR103" s="531"/>
      <c r="HXS103" s="530"/>
      <c r="HXT103" s="531"/>
      <c r="HXU103" s="530"/>
      <c r="HXV103" s="531"/>
      <c r="HXW103" s="530"/>
      <c r="HXX103" s="531"/>
      <c r="HXY103" s="530"/>
      <c r="HXZ103" s="531"/>
      <c r="HYA103" s="530"/>
      <c r="HYB103" s="531"/>
      <c r="HYC103" s="530"/>
      <c r="HYD103" s="531"/>
      <c r="HYE103" s="530"/>
      <c r="HYF103" s="531"/>
      <c r="HYG103" s="530"/>
      <c r="HYH103" s="531"/>
      <c r="HYI103" s="530"/>
      <c r="HYJ103" s="531"/>
      <c r="HYK103" s="530"/>
      <c r="HYL103" s="531"/>
      <c r="HYM103" s="530"/>
      <c r="HYN103" s="531"/>
      <c r="HYO103" s="530"/>
      <c r="HYP103" s="531"/>
      <c r="HYQ103" s="530"/>
      <c r="HYR103" s="531"/>
      <c r="HYS103" s="530"/>
      <c r="HYT103" s="531"/>
      <c r="HYU103" s="530"/>
      <c r="HYV103" s="531"/>
      <c r="HYW103" s="530"/>
      <c r="HYX103" s="531"/>
      <c r="HYY103" s="530"/>
      <c r="HYZ103" s="531"/>
      <c r="HZA103" s="530"/>
      <c r="HZB103" s="531"/>
      <c r="HZC103" s="530"/>
      <c r="HZD103" s="531"/>
      <c r="HZE103" s="530"/>
      <c r="HZF103" s="531"/>
      <c r="HZG103" s="530"/>
      <c r="HZH103" s="531"/>
      <c r="HZI103" s="530"/>
      <c r="HZJ103" s="531"/>
      <c r="HZK103" s="530"/>
      <c r="HZL103" s="531"/>
      <c r="HZM103" s="530"/>
      <c r="HZN103" s="531"/>
      <c r="HZO103" s="530"/>
      <c r="HZP103" s="531"/>
      <c r="HZQ103" s="530"/>
      <c r="HZR103" s="531"/>
      <c r="HZS103" s="530"/>
      <c r="HZT103" s="531"/>
      <c r="HZU103" s="530"/>
      <c r="HZV103" s="531"/>
      <c r="HZW103" s="530"/>
      <c r="HZX103" s="531"/>
      <c r="HZY103" s="530"/>
      <c r="HZZ103" s="531"/>
      <c r="IAA103" s="530"/>
      <c r="IAB103" s="531"/>
      <c r="IAC103" s="530"/>
      <c r="IAD103" s="531"/>
      <c r="IAE103" s="530"/>
      <c r="IAF103" s="531"/>
      <c r="IAG103" s="530"/>
      <c r="IAH103" s="531"/>
      <c r="IAI103" s="530"/>
      <c r="IAJ103" s="531"/>
      <c r="IAK103" s="530"/>
      <c r="IAL103" s="531"/>
      <c r="IAM103" s="530"/>
      <c r="IAN103" s="531"/>
      <c r="IAO103" s="530"/>
      <c r="IAP103" s="531"/>
      <c r="IAQ103" s="530"/>
      <c r="IAR103" s="531"/>
      <c r="IAS103" s="530"/>
      <c r="IAT103" s="531"/>
      <c r="IAU103" s="530"/>
      <c r="IAV103" s="531"/>
      <c r="IAW103" s="530"/>
      <c r="IAX103" s="531"/>
      <c r="IAY103" s="530"/>
      <c r="IAZ103" s="531"/>
      <c r="IBA103" s="530"/>
      <c r="IBB103" s="531"/>
      <c r="IBC103" s="530"/>
      <c r="IBD103" s="531"/>
      <c r="IBE103" s="530"/>
      <c r="IBF103" s="531"/>
      <c r="IBG103" s="530"/>
      <c r="IBH103" s="531"/>
      <c r="IBI103" s="530"/>
      <c r="IBJ103" s="531"/>
      <c r="IBK103" s="530"/>
      <c r="IBL103" s="531"/>
      <c r="IBM103" s="530"/>
      <c r="IBN103" s="531"/>
      <c r="IBO103" s="530"/>
      <c r="IBP103" s="531"/>
      <c r="IBQ103" s="530"/>
      <c r="IBR103" s="531"/>
      <c r="IBS103" s="530"/>
      <c r="IBT103" s="531"/>
      <c r="IBU103" s="530"/>
      <c r="IBV103" s="531"/>
      <c r="IBW103" s="530"/>
      <c r="IBX103" s="531"/>
      <c r="IBY103" s="530"/>
      <c r="IBZ103" s="531"/>
      <c r="ICA103" s="530"/>
      <c r="ICB103" s="531"/>
      <c r="ICC103" s="530"/>
      <c r="ICD103" s="531"/>
      <c r="ICE103" s="530"/>
      <c r="ICF103" s="531"/>
      <c r="ICG103" s="530"/>
      <c r="ICH103" s="531"/>
      <c r="ICI103" s="530"/>
      <c r="ICJ103" s="531"/>
      <c r="ICK103" s="530"/>
      <c r="ICL103" s="531"/>
      <c r="ICM103" s="530"/>
      <c r="ICN103" s="531"/>
      <c r="ICO103" s="530"/>
      <c r="ICP103" s="531"/>
      <c r="ICQ103" s="530"/>
      <c r="ICR103" s="531"/>
      <c r="ICS103" s="530"/>
      <c r="ICT103" s="531"/>
      <c r="ICU103" s="530"/>
      <c r="ICV103" s="531"/>
      <c r="ICW103" s="530"/>
      <c r="ICX103" s="531"/>
      <c r="ICY103" s="530"/>
      <c r="ICZ103" s="531"/>
      <c r="IDA103" s="530"/>
      <c r="IDB103" s="531"/>
      <c r="IDC103" s="530"/>
      <c r="IDD103" s="531"/>
      <c r="IDE103" s="530"/>
      <c r="IDF103" s="531"/>
      <c r="IDG103" s="530"/>
      <c r="IDH103" s="531"/>
      <c r="IDI103" s="530"/>
      <c r="IDJ103" s="531"/>
      <c r="IDK103" s="530"/>
      <c r="IDL103" s="531"/>
      <c r="IDM103" s="530"/>
      <c r="IDN103" s="531"/>
      <c r="IDO103" s="530"/>
      <c r="IDP103" s="531"/>
      <c r="IDQ103" s="530"/>
      <c r="IDR103" s="531"/>
      <c r="IDS103" s="530"/>
      <c r="IDT103" s="531"/>
      <c r="IDU103" s="530"/>
      <c r="IDV103" s="531"/>
      <c r="IDW103" s="530"/>
      <c r="IDX103" s="531"/>
      <c r="IDY103" s="530"/>
      <c r="IDZ103" s="531"/>
      <c r="IEA103" s="530"/>
      <c r="IEB103" s="531"/>
      <c r="IEC103" s="530"/>
      <c r="IED103" s="531"/>
      <c r="IEE103" s="530"/>
      <c r="IEF103" s="531"/>
      <c r="IEG103" s="530"/>
      <c r="IEH103" s="531"/>
      <c r="IEI103" s="530"/>
      <c r="IEJ103" s="531"/>
      <c r="IEK103" s="530"/>
      <c r="IEL103" s="531"/>
      <c r="IEM103" s="530"/>
      <c r="IEN103" s="531"/>
      <c r="IEO103" s="530"/>
      <c r="IEP103" s="531"/>
      <c r="IEQ103" s="530"/>
      <c r="IER103" s="531"/>
      <c r="IES103" s="530"/>
      <c r="IET103" s="531"/>
      <c r="IEU103" s="530"/>
      <c r="IEV103" s="531"/>
      <c r="IEW103" s="530"/>
      <c r="IEX103" s="531"/>
      <c r="IEY103" s="530"/>
      <c r="IEZ103" s="531"/>
      <c r="IFA103" s="530"/>
      <c r="IFB103" s="531"/>
      <c r="IFC103" s="530"/>
      <c r="IFD103" s="531"/>
      <c r="IFE103" s="530"/>
      <c r="IFF103" s="531"/>
      <c r="IFG103" s="530"/>
      <c r="IFH103" s="531"/>
      <c r="IFI103" s="530"/>
      <c r="IFJ103" s="531"/>
      <c r="IFK103" s="530"/>
      <c r="IFL103" s="531"/>
      <c r="IFM103" s="530"/>
      <c r="IFN103" s="531"/>
      <c r="IFO103" s="530"/>
      <c r="IFP103" s="531"/>
      <c r="IFQ103" s="530"/>
      <c r="IFR103" s="531"/>
      <c r="IFS103" s="530"/>
      <c r="IFT103" s="531"/>
      <c r="IFU103" s="530"/>
      <c r="IFV103" s="531"/>
      <c r="IFW103" s="530"/>
      <c r="IFX103" s="531"/>
      <c r="IFY103" s="530"/>
      <c r="IFZ103" s="531"/>
      <c r="IGA103" s="530"/>
      <c r="IGB103" s="531"/>
      <c r="IGC103" s="530"/>
      <c r="IGD103" s="531"/>
      <c r="IGE103" s="530"/>
      <c r="IGF103" s="531"/>
      <c r="IGG103" s="530"/>
      <c r="IGH103" s="531"/>
      <c r="IGI103" s="530"/>
      <c r="IGJ103" s="531"/>
      <c r="IGK103" s="530"/>
      <c r="IGL103" s="531"/>
      <c r="IGM103" s="530"/>
      <c r="IGN103" s="531"/>
      <c r="IGO103" s="530"/>
      <c r="IGP103" s="531"/>
      <c r="IGQ103" s="530"/>
      <c r="IGR103" s="531"/>
      <c r="IGS103" s="530"/>
      <c r="IGT103" s="531"/>
      <c r="IGU103" s="530"/>
      <c r="IGV103" s="531"/>
      <c r="IGW103" s="530"/>
      <c r="IGX103" s="531"/>
      <c r="IGY103" s="530"/>
      <c r="IGZ103" s="531"/>
      <c r="IHA103" s="530"/>
      <c r="IHB103" s="531"/>
      <c r="IHC103" s="530"/>
      <c r="IHD103" s="531"/>
      <c r="IHE103" s="530"/>
      <c r="IHF103" s="531"/>
      <c r="IHG103" s="530"/>
      <c r="IHH103" s="531"/>
      <c r="IHI103" s="530"/>
      <c r="IHJ103" s="531"/>
      <c r="IHK103" s="530"/>
      <c r="IHL103" s="531"/>
      <c r="IHM103" s="530"/>
      <c r="IHN103" s="531"/>
      <c r="IHO103" s="530"/>
      <c r="IHP103" s="531"/>
      <c r="IHQ103" s="530"/>
      <c r="IHR103" s="531"/>
      <c r="IHS103" s="530"/>
      <c r="IHT103" s="531"/>
      <c r="IHU103" s="530"/>
      <c r="IHV103" s="531"/>
      <c r="IHW103" s="530"/>
      <c r="IHX103" s="531"/>
      <c r="IHY103" s="530"/>
      <c r="IHZ103" s="531"/>
      <c r="IIA103" s="530"/>
      <c r="IIB103" s="531"/>
      <c r="IIC103" s="530"/>
      <c r="IID103" s="531"/>
      <c r="IIE103" s="530"/>
      <c r="IIF103" s="531"/>
      <c r="IIG103" s="530"/>
      <c r="IIH103" s="531"/>
      <c r="III103" s="530"/>
      <c r="IIJ103" s="531"/>
      <c r="IIK103" s="530"/>
      <c r="IIL103" s="531"/>
      <c r="IIM103" s="530"/>
      <c r="IIN103" s="531"/>
      <c r="IIO103" s="530"/>
      <c r="IIP103" s="531"/>
      <c r="IIQ103" s="530"/>
      <c r="IIR103" s="531"/>
      <c r="IIS103" s="530"/>
      <c r="IIT103" s="531"/>
      <c r="IIU103" s="530"/>
      <c r="IIV103" s="531"/>
      <c r="IIW103" s="530"/>
      <c r="IIX103" s="531"/>
      <c r="IIY103" s="530"/>
      <c r="IIZ103" s="531"/>
      <c r="IJA103" s="530"/>
      <c r="IJB103" s="531"/>
      <c r="IJC103" s="530"/>
      <c r="IJD103" s="531"/>
      <c r="IJE103" s="530"/>
      <c r="IJF103" s="531"/>
      <c r="IJG103" s="530"/>
      <c r="IJH103" s="531"/>
      <c r="IJI103" s="530"/>
      <c r="IJJ103" s="531"/>
      <c r="IJK103" s="530"/>
      <c r="IJL103" s="531"/>
      <c r="IJM103" s="530"/>
      <c r="IJN103" s="531"/>
      <c r="IJO103" s="530"/>
      <c r="IJP103" s="531"/>
      <c r="IJQ103" s="530"/>
      <c r="IJR103" s="531"/>
      <c r="IJS103" s="530"/>
      <c r="IJT103" s="531"/>
      <c r="IJU103" s="530"/>
      <c r="IJV103" s="531"/>
      <c r="IJW103" s="530"/>
      <c r="IJX103" s="531"/>
      <c r="IJY103" s="530"/>
      <c r="IJZ103" s="531"/>
      <c r="IKA103" s="530"/>
      <c r="IKB103" s="531"/>
      <c r="IKC103" s="530"/>
      <c r="IKD103" s="531"/>
      <c r="IKE103" s="530"/>
      <c r="IKF103" s="531"/>
      <c r="IKG103" s="530"/>
      <c r="IKH103" s="531"/>
      <c r="IKI103" s="530"/>
      <c r="IKJ103" s="531"/>
      <c r="IKK103" s="530"/>
      <c r="IKL103" s="531"/>
      <c r="IKM103" s="530"/>
      <c r="IKN103" s="531"/>
      <c r="IKO103" s="530"/>
      <c r="IKP103" s="531"/>
      <c r="IKQ103" s="530"/>
      <c r="IKR103" s="531"/>
      <c r="IKS103" s="530"/>
      <c r="IKT103" s="531"/>
      <c r="IKU103" s="530"/>
      <c r="IKV103" s="531"/>
      <c r="IKW103" s="530"/>
      <c r="IKX103" s="531"/>
      <c r="IKY103" s="530"/>
      <c r="IKZ103" s="531"/>
      <c r="ILA103" s="530"/>
      <c r="ILB103" s="531"/>
      <c r="ILC103" s="530"/>
      <c r="ILD103" s="531"/>
      <c r="ILE103" s="530"/>
      <c r="ILF103" s="531"/>
      <c r="ILG103" s="530"/>
      <c r="ILH103" s="531"/>
      <c r="ILI103" s="530"/>
      <c r="ILJ103" s="531"/>
      <c r="ILK103" s="530"/>
      <c r="ILL103" s="531"/>
      <c r="ILM103" s="530"/>
      <c r="ILN103" s="531"/>
      <c r="ILO103" s="530"/>
      <c r="ILP103" s="531"/>
      <c r="ILQ103" s="530"/>
      <c r="ILR103" s="531"/>
      <c r="ILS103" s="530"/>
      <c r="ILT103" s="531"/>
      <c r="ILU103" s="530"/>
      <c r="ILV103" s="531"/>
      <c r="ILW103" s="530"/>
      <c r="ILX103" s="531"/>
      <c r="ILY103" s="530"/>
      <c r="ILZ103" s="531"/>
      <c r="IMA103" s="530"/>
      <c r="IMB103" s="531"/>
      <c r="IMC103" s="530"/>
      <c r="IMD103" s="531"/>
      <c r="IME103" s="530"/>
      <c r="IMF103" s="531"/>
      <c r="IMG103" s="530"/>
      <c r="IMH103" s="531"/>
      <c r="IMI103" s="530"/>
      <c r="IMJ103" s="531"/>
      <c r="IMK103" s="530"/>
      <c r="IML103" s="531"/>
      <c r="IMM103" s="530"/>
      <c r="IMN103" s="531"/>
      <c r="IMO103" s="530"/>
      <c r="IMP103" s="531"/>
      <c r="IMQ103" s="530"/>
      <c r="IMR103" s="531"/>
      <c r="IMS103" s="530"/>
      <c r="IMT103" s="531"/>
      <c r="IMU103" s="530"/>
      <c r="IMV103" s="531"/>
      <c r="IMW103" s="530"/>
      <c r="IMX103" s="531"/>
      <c r="IMY103" s="530"/>
      <c r="IMZ103" s="531"/>
      <c r="INA103" s="530"/>
      <c r="INB103" s="531"/>
      <c r="INC103" s="530"/>
      <c r="IND103" s="531"/>
      <c r="INE103" s="530"/>
      <c r="INF103" s="531"/>
      <c r="ING103" s="530"/>
      <c r="INH103" s="531"/>
      <c r="INI103" s="530"/>
      <c r="INJ103" s="531"/>
      <c r="INK103" s="530"/>
      <c r="INL103" s="531"/>
      <c r="INM103" s="530"/>
      <c r="INN103" s="531"/>
      <c r="INO103" s="530"/>
      <c r="INP103" s="531"/>
      <c r="INQ103" s="530"/>
      <c r="INR103" s="531"/>
      <c r="INS103" s="530"/>
      <c r="INT103" s="531"/>
      <c r="INU103" s="530"/>
      <c r="INV103" s="531"/>
      <c r="INW103" s="530"/>
      <c r="INX103" s="531"/>
      <c r="INY103" s="530"/>
      <c r="INZ103" s="531"/>
      <c r="IOA103" s="530"/>
      <c r="IOB103" s="531"/>
      <c r="IOC103" s="530"/>
      <c r="IOD103" s="531"/>
      <c r="IOE103" s="530"/>
      <c r="IOF103" s="531"/>
      <c r="IOG103" s="530"/>
      <c r="IOH103" s="531"/>
      <c r="IOI103" s="530"/>
      <c r="IOJ103" s="531"/>
      <c r="IOK103" s="530"/>
      <c r="IOL103" s="531"/>
      <c r="IOM103" s="530"/>
      <c r="ION103" s="531"/>
      <c r="IOO103" s="530"/>
      <c r="IOP103" s="531"/>
      <c r="IOQ103" s="530"/>
      <c r="IOR103" s="531"/>
      <c r="IOS103" s="530"/>
      <c r="IOT103" s="531"/>
      <c r="IOU103" s="530"/>
      <c r="IOV103" s="531"/>
      <c r="IOW103" s="530"/>
      <c r="IOX103" s="531"/>
      <c r="IOY103" s="530"/>
      <c r="IOZ103" s="531"/>
      <c r="IPA103" s="530"/>
      <c r="IPB103" s="531"/>
      <c r="IPC103" s="530"/>
      <c r="IPD103" s="531"/>
      <c r="IPE103" s="530"/>
      <c r="IPF103" s="531"/>
      <c r="IPG103" s="530"/>
      <c r="IPH103" s="531"/>
      <c r="IPI103" s="530"/>
      <c r="IPJ103" s="531"/>
      <c r="IPK103" s="530"/>
      <c r="IPL103" s="531"/>
      <c r="IPM103" s="530"/>
      <c r="IPN103" s="531"/>
      <c r="IPO103" s="530"/>
      <c r="IPP103" s="531"/>
      <c r="IPQ103" s="530"/>
      <c r="IPR103" s="531"/>
      <c r="IPS103" s="530"/>
      <c r="IPT103" s="531"/>
      <c r="IPU103" s="530"/>
      <c r="IPV103" s="531"/>
      <c r="IPW103" s="530"/>
      <c r="IPX103" s="531"/>
      <c r="IPY103" s="530"/>
      <c r="IPZ103" s="531"/>
      <c r="IQA103" s="530"/>
      <c r="IQB103" s="531"/>
      <c r="IQC103" s="530"/>
      <c r="IQD103" s="531"/>
      <c r="IQE103" s="530"/>
      <c r="IQF103" s="531"/>
      <c r="IQG103" s="530"/>
      <c r="IQH103" s="531"/>
      <c r="IQI103" s="530"/>
      <c r="IQJ103" s="531"/>
      <c r="IQK103" s="530"/>
      <c r="IQL103" s="531"/>
      <c r="IQM103" s="530"/>
      <c r="IQN103" s="531"/>
      <c r="IQO103" s="530"/>
      <c r="IQP103" s="531"/>
      <c r="IQQ103" s="530"/>
      <c r="IQR103" s="531"/>
      <c r="IQS103" s="530"/>
      <c r="IQT103" s="531"/>
      <c r="IQU103" s="530"/>
      <c r="IQV103" s="531"/>
      <c r="IQW103" s="530"/>
      <c r="IQX103" s="531"/>
      <c r="IQY103" s="530"/>
      <c r="IQZ103" s="531"/>
      <c r="IRA103" s="530"/>
      <c r="IRB103" s="531"/>
      <c r="IRC103" s="530"/>
      <c r="IRD103" s="531"/>
      <c r="IRE103" s="530"/>
      <c r="IRF103" s="531"/>
      <c r="IRG103" s="530"/>
      <c r="IRH103" s="531"/>
      <c r="IRI103" s="530"/>
      <c r="IRJ103" s="531"/>
      <c r="IRK103" s="530"/>
      <c r="IRL103" s="531"/>
      <c r="IRM103" s="530"/>
      <c r="IRN103" s="531"/>
      <c r="IRO103" s="530"/>
      <c r="IRP103" s="531"/>
      <c r="IRQ103" s="530"/>
      <c r="IRR103" s="531"/>
      <c r="IRS103" s="530"/>
      <c r="IRT103" s="531"/>
      <c r="IRU103" s="530"/>
      <c r="IRV103" s="531"/>
      <c r="IRW103" s="530"/>
      <c r="IRX103" s="531"/>
      <c r="IRY103" s="530"/>
      <c r="IRZ103" s="531"/>
      <c r="ISA103" s="530"/>
      <c r="ISB103" s="531"/>
      <c r="ISC103" s="530"/>
      <c r="ISD103" s="531"/>
      <c r="ISE103" s="530"/>
      <c r="ISF103" s="531"/>
      <c r="ISG103" s="530"/>
      <c r="ISH103" s="531"/>
      <c r="ISI103" s="530"/>
      <c r="ISJ103" s="531"/>
      <c r="ISK103" s="530"/>
      <c r="ISL103" s="531"/>
      <c r="ISM103" s="530"/>
      <c r="ISN103" s="531"/>
      <c r="ISO103" s="530"/>
      <c r="ISP103" s="531"/>
      <c r="ISQ103" s="530"/>
      <c r="ISR103" s="531"/>
      <c r="ISS103" s="530"/>
      <c r="IST103" s="531"/>
      <c r="ISU103" s="530"/>
      <c r="ISV103" s="531"/>
      <c r="ISW103" s="530"/>
      <c r="ISX103" s="531"/>
      <c r="ISY103" s="530"/>
      <c r="ISZ103" s="531"/>
      <c r="ITA103" s="530"/>
      <c r="ITB103" s="531"/>
      <c r="ITC103" s="530"/>
      <c r="ITD103" s="531"/>
      <c r="ITE103" s="530"/>
      <c r="ITF103" s="531"/>
      <c r="ITG103" s="530"/>
      <c r="ITH103" s="531"/>
      <c r="ITI103" s="530"/>
      <c r="ITJ103" s="531"/>
      <c r="ITK103" s="530"/>
      <c r="ITL103" s="531"/>
      <c r="ITM103" s="530"/>
      <c r="ITN103" s="531"/>
      <c r="ITO103" s="530"/>
      <c r="ITP103" s="531"/>
      <c r="ITQ103" s="530"/>
      <c r="ITR103" s="531"/>
      <c r="ITS103" s="530"/>
      <c r="ITT103" s="531"/>
      <c r="ITU103" s="530"/>
      <c r="ITV103" s="531"/>
      <c r="ITW103" s="530"/>
      <c r="ITX103" s="531"/>
      <c r="ITY103" s="530"/>
      <c r="ITZ103" s="531"/>
      <c r="IUA103" s="530"/>
      <c r="IUB103" s="531"/>
      <c r="IUC103" s="530"/>
      <c r="IUD103" s="531"/>
      <c r="IUE103" s="530"/>
      <c r="IUF103" s="531"/>
      <c r="IUG103" s="530"/>
      <c r="IUH103" s="531"/>
      <c r="IUI103" s="530"/>
      <c r="IUJ103" s="531"/>
      <c r="IUK103" s="530"/>
      <c r="IUL103" s="531"/>
      <c r="IUM103" s="530"/>
      <c r="IUN103" s="531"/>
      <c r="IUO103" s="530"/>
      <c r="IUP103" s="531"/>
      <c r="IUQ103" s="530"/>
      <c r="IUR103" s="531"/>
      <c r="IUS103" s="530"/>
      <c r="IUT103" s="531"/>
      <c r="IUU103" s="530"/>
      <c r="IUV103" s="531"/>
      <c r="IUW103" s="530"/>
      <c r="IUX103" s="531"/>
      <c r="IUY103" s="530"/>
      <c r="IUZ103" s="531"/>
      <c r="IVA103" s="530"/>
      <c r="IVB103" s="531"/>
      <c r="IVC103" s="530"/>
      <c r="IVD103" s="531"/>
      <c r="IVE103" s="530"/>
      <c r="IVF103" s="531"/>
      <c r="IVG103" s="530"/>
      <c r="IVH103" s="531"/>
      <c r="IVI103" s="530"/>
      <c r="IVJ103" s="531"/>
      <c r="IVK103" s="530"/>
      <c r="IVL103" s="531"/>
      <c r="IVM103" s="530"/>
      <c r="IVN103" s="531"/>
      <c r="IVO103" s="530"/>
      <c r="IVP103" s="531"/>
      <c r="IVQ103" s="530"/>
      <c r="IVR103" s="531"/>
      <c r="IVS103" s="530"/>
      <c r="IVT103" s="531"/>
      <c r="IVU103" s="530"/>
      <c r="IVV103" s="531"/>
      <c r="IVW103" s="530"/>
      <c r="IVX103" s="531"/>
      <c r="IVY103" s="530"/>
      <c r="IVZ103" s="531"/>
      <c r="IWA103" s="530"/>
      <c r="IWB103" s="531"/>
      <c r="IWC103" s="530"/>
      <c r="IWD103" s="531"/>
      <c r="IWE103" s="530"/>
      <c r="IWF103" s="531"/>
      <c r="IWG103" s="530"/>
      <c r="IWH103" s="531"/>
      <c r="IWI103" s="530"/>
      <c r="IWJ103" s="531"/>
      <c r="IWK103" s="530"/>
      <c r="IWL103" s="531"/>
      <c r="IWM103" s="530"/>
      <c r="IWN103" s="531"/>
      <c r="IWO103" s="530"/>
      <c r="IWP103" s="531"/>
      <c r="IWQ103" s="530"/>
      <c r="IWR103" s="531"/>
      <c r="IWS103" s="530"/>
      <c r="IWT103" s="531"/>
      <c r="IWU103" s="530"/>
      <c r="IWV103" s="531"/>
      <c r="IWW103" s="530"/>
      <c r="IWX103" s="531"/>
      <c r="IWY103" s="530"/>
      <c r="IWZ103" s="531"/>
      <c r="IXA103" s="530"/>
      <c r="IXB103" s="531"/>
      <c r="IXC103" s="530"/>
      <c r="IXD103" s="531"/>
      <c r="IXE103" s="530"/>
      <c r="IXF103" s="531"/>
      <c r="IXG103" s="530"/>
      <c r="IXH103" s="531"/>
      <c r="IXI103" s="530"/>
      <c r="IXJ103" s="531"/>
      <c r="IXK103" s="530"/>
      <c r="IXL103" s="531"/>
      <c r="IXM103" s="530"/>
      <c r="IXN103" s="531"/>
      <c r="IXO103" s="530"/>
      <c r="IXP103" s="531"/>
      <c r="IXQ103" s="530"/>
      <c r="IXR103" s="531"/>
      <c r="IXS103" s="530"/>
      <c r="IXT103" s="531"/>
      <c r="IXU103" s="530"/>
      <c r="IXV103" s="531"/>
      <c r="IXW103" s="530"/>
      <c r="IXX103" s="531"/>
      <c r="IXY103" s="530"/>
      <c r="IXZ103" s="531"/>
      <c r="IYA103" s="530"/>
      <c r="IYB103" s="531"/>
      <c r="IYC103" s="530"/>
      <c r="IYD103" s="531"/>
      <c r="IYE103" s="530"/>
      <c r="IYF103" s="531"/>
      <c r="IYG103" s="530"/>
      <c r="IYH103" s="531"/>
      <c r="IYI103" s="530"/>
      <c r="IYJ103" s="531"/>
      <c r="IYK103" s="530"/>
      <c r="IYL103" s="531"/>
      <c r="IYM103" s="530"/>
      <c r="IYN103" s="531"/>
      <c r="IYO103" s="530"/>
      <c r="IYP103" s="531"/>
      <c r="IYQ103" s="530"/>
      <c r="IYR103" s="531"/>
      <c r="IYS103" s="530"/>
      <c r="IYT103" s="531"/>
      <c r="IYU103" s="530"/>
      <c r="IYV103" s="531"/>
      <c r="IYW103" s="530"/>
      <c r="IYX103" s="531"/>
      <c r="IYY103" s="530"/>
      <c r="IYZ103" s="531"/>
      <c r="IZA103" s="530"/>
      <c r="IZB103" s="531"/>
      <c r="IZC103" s="530"/>
      <c r="IZD103" s="531"/>
      <c r="IZE103" s="530"/>
      <c r="IZF103" s="531"/>
      <c r="IZG103" s="530"/>
      <c r="IZH103" s="531"/>
      <c r="IZI103" s="530"/>
      <c r="IZJ103" s="531"/>
      <c r="IZK103" s="530"/>
      <c r="IZL103" s="531"/>
      <c r="IZM103" s="530"/>
      <c r="IZN103" s="531"/>
      <c r="IZO103" s="530"/>
      <c r="IZP103" s="531"/>
      <c r="IZQ103" s="530"/>
      <c r="IZR103" s="531"/>
      <c r="IZS103" s="530"/>
      <c r="IZT103" s="531"/>
      <c r="IZU103" s="530"/>
      <c r="IZV103" s="531"/>
      <c r="IZW103" s="530"/>
      <c r="IZX103" s="531"/>
      <c r="IZY103" s="530"/>
      <c r="IZZ103" s="531"/>
      <c r="JAA103" s="530"/>
      <c r="JAB103" s="531"/>
      <c r="JAC103" s="530"/>
      <c r="JAD103" s="531"/>
      <c r="JAE103" s="530"/>
      <c r="JAF103" s="531"/>
      <c r="JAG103" s="530"/>
      <c r="JAH103" s="531"/>
      <c r="JAI103" s="530"/>
      <c r="JAJ103" s="531"/>
      <c r="JAK103" s="530"/>
      <c r="JAL103" s="531"/>
      <c r="JAM103" s="530"/>
      <c r="JAN103" s="531"/>
      <c r="JAO103" s="530"/>
      <c r="JAP103" s="531"/>
      <c r="JAQ103" s="530"/>
      <c r="JAR103" s="531"/>
      <c r="JAS103" s="530"/>
      <c r="JAT103" s="531"/>
      <c r="JAU103" s="530"/>
      <c r="JAV103" s="531"/>
      <c r="JAW103" s="530"/>
      <c r="JAX103" s="531"/>
      <c r="JAY103" s="530"/>
      <c r="JAZ103" s="531"/>
      <c r="JBA103" s="530"/>
      <c r="JBB103" s="531"/>
      <c r="JBC103" s="530"/>
      <c r="JBD103" s="531"/>
      <c r="JBE103" s="530"/>
      <c r="JBF103" s="531"/>
      <c r="JBG103" s="530"/>
      <c r="JBH103" s="531"/>
      <c r="JBI103" s="530"/>
      <c r="JBJ103" s="531"/>
      <c r="JBK103" s="530"/>
      <c r="JBL103" s="531"/>
      <c r="JBM103" s="530"/>
      <c r="JBN103" s="531"/>
      <c r="JBO103" s="530"/>
      <c r="JBP103" s="531"/>
      <c r="JBQ103" s="530"/>
      <c r="JBR103" s="531"/>
      <c r="JBS103" s="530"/>
      <c r="JBT103" s="531"/>
      <c r="JBU103" s="530"/>
      <c r="JBV103" s="531"/>
      <c r="JBW103" s="530"/>
      <c r="JBX103" s="531"/>
      <c r="JBY103" s="530"/>
      <c r="JBZ103" s="531"/>
      <c r="JCA103" s="530"/>
      <c r="JCB103" s="531"/>
      <c r="JCC103" s="530"/>
      <c r="JCD103" s="531"/>
      <c r="JCE103" s="530"/>
      <c r="JCF103" s="531"/>
      <c r="JCG103" s="530"/>
      <c r="JCH103" s="531"/>
      <c r="JCI103" s="530"/>
      <c r="JCJ103" s="531"/>
      <c r="JCK103" s="530"/>
      <c r="JCL103" s="531"/>
      <c r="JCM103" s="530"/>
      <c r="JCN103" s="531"/>
      <c r="JCO103" s="530"/>
      <c r="JCP103" s="531"/>
      <c r="JCQ103" s="530"/>
      <c r="JCR103" s="531"/>
      <c r="JCS103" s="530"/>
      <c r="JCT103" s="531"/>
      <c r="JCU103" s="530"/>
      <c r="JCV103" s="531"/>
      <c r="JCW103" s="530"/>
      <c r="JCX103" s="531"/>
      <c r="JCY103" s="530"/>
      <c r="JCZ103" s="531"/>
      <c r="JDA103" s="530"/>
      <c r="JDB103" s="531"/>
      <c r="JDC103" s="530"/>
      <c r="JDD103" s="531"/>
      <c r="JDE103" s="530"/>
      <c r="JDF103" s="531"/>
      <c r="JDG103" s="530"/>
      <c r="JDH103" s="531"/>
      <c r="JDI103" s="530"/>
      <c r="JDJ103" s="531"/>
      <c r="JDK103" s="530"/>
      <c r="JDL103" s="531"/>
      <c r="JDM103" s="530"/>
      <c r="JDN103" s="531"/>
      <c r="JDO103" s="530"/>
      <c r="JDP103" s="531"/>
      <c r="JDQ103" s="530"/>
      <c r="JDR103" s="531"/>
      <c r="JDS103" s="530"/>
      <c r="JDT103" s="531"/>
      <c r="JDU103" s="530"/>
      <c r="JDV103" s="531"/>
      <c r="JDW103" s="530"/>
      <c r="JDX103" s="531"/>
      <c r="JDY103" s="530"/>
      <c r="JDZ103" s="531"/>
      <c r="JEA103" s="530"/>
      <c r="JEB103" s="531"/>
      <c r="JEC103" s="530"/>
      <c r="JED103" s="531"/>
      <c r="JEE103" s="530"/>
      <c r="JEF103" s="531"/>
      <c r="JEG103" s="530"/>
      <c r="JEH103" s="531"/>
      <c r="JEI103" s="530"/>
      <c r="JEJ103" s="531"/>
      <c r="JEK103" s="530"/>
      <c r="JEL103" s="531"/>
      <c r="JEM103" s="530"/>
      <c r="JEN103" s="531"/>
      <c r="JEO103" s="530"/>
      <c r="JEP103" s="531"/>
      <c r="JEQ103" s="530"/>
      <c r="JER103" s="531"/>
      <c r="JES103" s="530"/>
      <c r="JET103" s="531"/>
      <c r="JEU103" s="530"/>
      <c r="JEV103" s="531"/>
      <c r="JEW103" s="530"/>
      <c r="JEX103" s="531"/>
      <c r="JEY103" s="530"/>
      <c r="JEZ103" s="531"/>
      <c r="JFA103" s="530"/>
      <c r="JFB103" s="531"/>
      <c r="JFC103" s="530"/>
      <c r="JFD103" s="531"/>
      <c r="JFE103" s="530"/>
      <c r="JFF103" s="531"/>
      <c r="JFG103" s="530"/>
      <c r="JFH103" s="531"/>
      <c r="JFI103" s="530"/>
      <c r="JFJ103" s="531"/>
      <c r="JFK103" s="530"/>
      <c r="JFL103" s="531"/>
      <c r="JFM103" s="530"/>
      <c r="JFN103" s="531"/>
      <c r="JFO103" s="530"/>
      <c r="JFP103" s="531"/>
      <c r="JFQ103" s="530"/>
      <c r="JFR103" s="531"/>
      <c r="JFS103" s="530"/>
      <c r="JFT103" s="531"/>
      <c r="JFU103" s="530"/>
      <c r="JFV103" s="531"/>
      <c r="JFW103" s="530"/>
      <c r="JFX103" s="531"/>
      <c r="JFY103" s="530"/>
      <c r="JFZ103" s="531"/>
      <c r="JGA103" s="530"/>
      <c r="JGB103" s="531"/>
      <c r="JGC103" s="530"/>
      <c r="JGD103" s="531"/>
      <c r="JGE103" s="530"/>
      <c r="JGF103" s="531"/>
      <c r="JGG103" s="530"/>
      <c r="JGH103" s="531"/>
      <c r="JGI103" s="530"/>
      <c r="JGJ103" s="531"/>
      <c r="JGK103" s="530"/>
      <c r="JGL103" s="531"/>
      <c r="JGM103" s="530"/>
      <c r="JGN103" s="531"/>
      <c r="JGO103" s="530"/>
      <c r="JGP103" s="531"/>
      <c r="JGQ103" s="530"/>
      <c r="JGR103" s="531"/>
      <c r="JGS103" s="530"/>
      <c r="JGT103" s="531"/>
      <c r="JGU103" s="530"/>
      <c r="JGV103" s="531"/>
      <c r="JGW103" s="530"/>
      <c r="JGX103" s="531"/>
      <c r="JGY103" s="530"/>
      <c r="JGZ103" s="531"/>
      <c r="JHA103" s="530"/>
      <c r="JHB103" s="531"/>
      <c r="JHC103" s="530"/>
      <c r="JHD103" s="531"/>
      <c r="JHE103" s="530"/>
      <c r="JHF103" s="531"/>
      <c r="JHG103" s="530"/>
      <c r="JHH103" s="531"/>
      <c r="JHI103" s="530"/>
      <c r="JHJ103" s="531"/>
      <c r="JHK103" s="530"/>
      <c r="JHL103" s="531"/>
      <c r="JHM103" s="530"/>
      <c r="JHN103" s="531"/>
      <c r="JHO103" s="530"/>
      <c r="JHP103" s="531"/>
      <c r="JHQ103" s="530"/>
      <c r="JHR103" s="531"/>
      <c r="JHS103" s="530"/>
      <c r="JHT103" s="531"/>
      <c r="JHU103" s="530"/>
      <c r="JHV103" s="531"/>
      <c r="JHW103" s="530"/>
      <c r="JHX103" s="531"/>
      <c r="JHY103" s="530"/>
      <c r="JHZ103" s="531"/>
      <c r="JIA103" s="530"/>
      <c r="JIB103" s="531"/>
      <c r="JIC103" s="530"/>
      <c r="JID103" s="531"/>
      <c r="JIE103" s="530"/>
      <c r="JIF103" s="531"/>
      <c r="JIG103" s="530"/>
      <c r="JIH103" s="531"/>
      <c r="JII103" s="530"/>
      <c r="JIJ103" s="531"/>
      <c r="JIK103" s="530"/>
      <c r="JIL103" s="531"/>
      <c r="JIM103" s="530"/>
      <c r="JIN103" s="531"/>
      <c r="JIO103" s="530"/>
      <c r="JIP103" s="531"/>
      <c r="JIQ103" s="530"/>
      <c r="JIR103" s="531"/>
      <c r="JIS103" s="530"/>
      <c r="JIT103" s="531"/>
      <c r="JIU103" s="530"/>
      <c r="JIV103" s="531"/>
      <c r="JIW103" s="530"/>
      <c r="JIX103" s="531"/>
      <c r="JIY103" s="530"/>
      <c r="JIZ103" s="531"/>
      <c r="JJA103" s="530"/>
      <c r="JJB103" s="531"/>
      <c r="JJC103" s="530"/>
      <c r="JJD103" s="531"/>
      <c r="JJE103" s="530"/>
      <c r="JJF103" s="531"/>
      <c r="JJG103" s="530"/>
      <c r="JJH103" s="531"/>
      <c r="JJI103" s="530"/>
      <c r="JJJ103" s="531"/>
      <c r="JJK103" s="530"/>
      <c r="JJL103" s="531"/>
      <c r="JJM103" s="530"/>
      <c r="JJN103" s="531"/>
      <c r="JJO103" s="530"/>
      <c r="JJP103" s="531"/>
      <c r="JJQ103" s="530"/>
      <c r="JJR103" s="531"/>
      <c r="JJS103" s="530"/>
      <c r="JJT103" s="531"/>
      <c r="JJU103" s="530"/>
      <c r="JJV103" s="531"/>
      <c r="JJW103" s="530"/>
      <c r="JJX103" s="531"/>
      <c r="JJY103" s="530"/>
      <c r="JJZ103" s="531"/>
      <c r="JKA103" s="530"/>
      <c r="JKB103" s="531"/>
      <c r="JKC103" s="530"/>
      <c r="JKD103" s="531"/>
      <c r="JKE103" s="530"/>
      <c r="JKF103" s="531"/>
      <c r="JKG103" s="530"/>
      <c r="JKH103" s="531"/>
      <c r="JKI103" s="530"/>
      <c r="JKJ103" s="531"/>
      <c r="JKK103" s="530"/>
      <c r="JKL103" s="531"/>
      <c r="JKM103" s="530"/>
      <c r="JKN103" s="531"/>
      <c r="JKO103" s="530"/>
      <c r="JKP103" s="531"/>
      <c r="JKQ103" s="530"/>
      <c r="JKR103" s="531"/>
      <c r="JKS103" s="530"/>
      <c r="JKT103" s="531"/>
      <c r="JKU103" s="530"/>
      <c r="JKV103" s="531"/>
      <c r="JKW103" s="530"/>
      <c r="JKX103" s="531"/>
      <c r="JKY103" s="530"/>
      <c r="JKZ103" s="531"/>
      <c r="JLA103" s="530"/>
      <c r="JLB103" s="531"/>
      <c r="JLC103" s="530"/>
      <c r="JLD103" s="531"/>
      <c r="JLE103" s="530"/>
      <c r="JLF103" s="531"/>
      <c r="JLG103" s="530"/>
      <c r="JLH103" s="531"/>
      <c r="JLI103" s="530"/>
      <c r="JLJ103" s="531"/>
      <c r="JLK103" s="530"/>
      <c r="JLL103" s="531"/>
      <c r="JLM103" s="530"/>
      <c r="JLN103" s="531"/>
      <c r="JLO103" s="530"/>
      <c r="JLP103" s="531"/>
      <c r="JLQ103" s="530"/>
      <c r="JLR103" s="531"/>
      <c r="JLS103" s="530"/>
      <c r="JLT103" s="531"/>
      <c r="JLU103" s="530"/>
      <c r="JLV103" s="531"/>
      <c r="JLW103" s="530"/>
      <c r="JLX103" s="531"/>
      <c r="JLY103" s="530"/>
      <c r="JLZ103" s="531"/>
      <c r="JMA103" s="530"/>
      <c r="JMB103" s="531"/>
      <c r="JMC103" s="530"/>
      <c r="JMD103" s="531"/>
      <c r="JME103" s="530"/>
      <c r="JMF103" s="531"/>
      <c r="JMG103" s="530"/>
      <c r="JMH103" s="531"/>
      <c r="JMI103" s="530"/>
      <c r="JMJ103" s="531"/>
      <c r="JMK103" s="530"/>
      <c r="JML103" s="531"/>
      <c r="JMM103" s="530"/>
      <c r="JMN103" s="531"/>
      <c r="JMO103" s="530"/>
      <c r="JMP103" s="531"/>
      <c r="JMQ103" s="530"/>
      <c r="JMR103" s="531"/>
      <c r="JMS103" s="530"/>
      <c r="JMT103" s="531"/>
      <c r="JMU103" s="530"/>
      <c r="JMV103" s="531"/>
      <c r="JMW103" s="530"/>
      <c r="JMX103" s="531"/>
      <c r="JMY103" s="530"/>
      <c r="JMZ103" s="531"/>
      <c r="JNA103" s="530"/>
      <c r="JNB103" s="531"/>
      <c r="JNC103" s="530"/>
      <c r="JND103" s="531"/>
      <c r="JNE103" s="530"/>
      <c r="JNF103" s="531"/>
      <c r="JNG103" s="530"/>
      <c r="JNH103" s="531"/>
      <c r="JNI103" s="530"/>
      <c r="JNJ103" s="531"/>
      <c r="JNK103" s="530"/>
      <c r="JNL103" s="531"/>
      <c r="JNM103" s="530"/>
      <c r="JNN103" s="531"/>
      <c r="JNO103" s="530"/>
      <c r="JNP103" s="531"/>
      <c r="JNQ103" s="530"/>
      <c r="JNR103" s="531"/>
      <c r="JNS103" s="530"/>
      <c r="JNT103" s="531"/>
      <c r="JNU103" s="530"/>
      <c r="JNV103" s="531"/>
      <c r="JNW103" s="530"/>
      <c r="JNX103" s="531"/>
      <c r="JNY103" s="530"/>
      <c r="JNZ103" s="531"/>
      <c r="JOA103" s="530"/>
      <c r="JOB103" s="531"/>
      <c r="JOC103" s="530"/>
      <c r="JOD103" s="531"/>
      <c r="JOE103" s="530"/>
      <c r="JOF103" s="531"/>
      <c r="JOG103" s="530"/>
      <c r="JOH103" s="531"/>
      <c r="JOI103" s="530"/>
      <c r="JOJ103" s="531"/>
      <c r="JOK103" s="530"/>
      <c r="JOL103" s="531"/>
      <c r="JOM103" s="530"/>
      <c r="JON103" s="531"/>
      <c r="JOO103" s="530"/>
      <c r="JOP103" s="531"/>
      <c r="JOQ103" s="530"/>
      <c r="JOR103" s="531"/>
      <c r="JOS103" s="530"/>
      <c r="JOT103" s="531"/>
      <c r="JOU103" s="530"/>
      <c r="JOV103" s="531"/>
      <c r="JOW103" s="530"/>
      <c r="JOX103" s="531"/>
      <c r="JOY103" s="530"/>
      <c r="JOZ103" s="531"/>
      <c r="JPA103" s="530"/>
      <c r="JPB103" s="531"/>
      <c r="JPC103" s="530"/>
      <c r="JPD103" s="531"/>
      <c r="JPE103" s="530"/>
      <c r="JPF103" s="531"/>
      <c r="JPG103" s="530"/>
      <c r="JPH103" s="531"/>
      <c r="JPI103" s="530"/>
      <c r="JPJ103" s="531"/>
      <c r="JPK103" s="530"/>
      <c r="JPL103" s="531"/>
      <c r="JPM103" s="530"/>
      <c r="JPN103" s="531"/>
      <c r="JPO103" s="530"/>
      <c r="JPP103" s="531"/>
      <c r="JPQ103" s="530"/>
      <c r="JPR103" s="531"/>
      <c r="JPS103" s="530"/>
      <c r="JPT103" s="531"/>
      <c r="JPU103" s="530"/>
      <c r="JPV103" s="531"/>
      <c r="JPW103" s="530"/>
      <c r="JPX103" s="531"/>
      <c r="JPY103" s="530"/>
      <c r="JPZ103" s="531"/>
      <c r="JQA103" s="530"/>
      <c r="JQB103" s="531"/>
      <c r="JQC103" s="530"/>
      <c r="JQD103" s="531"/>
      <c r="JQE103" s="530"/>
      <c r="JQF103" s="531"/>
      <c r="JQG103" s="530"/>
      <c r="JQH103" s="531"/>
      <c r="JQI103" s="530"/>
      <c r="JQJ103" s="531"/>
      <c r="JQK103" s="530"/>
      <c r="JQL103" s="531"/>
      <c r="JQM103" s="530"/>
      <c r="JQN103" s="531"/>
      <c r="JQO103" s="530"/>
      <c r="JQP103" s="531"/>
      <c r="JQQ103" s="530"/>
      <c r="JQR103" s="531"/>
      <c r="JQS103" s="530"/>
      <c r="JQT103" s="531"/>
      <c r="JQU103" s="530"/>
      <c r="JQV103" s="531"/>
      <c r="JQW103" s="530"/>
      <c r="JQX103" s="531"/>
      <c r="JQY103" s="530"/>
      <c r="JQZ103" s="531"/>
      <c r="JRA103" s="530"/>
      <c r="JRB103" s="531"/>
      <c r="JRC103" s="530"/>
      <c r="JRD103" s="531"/>
      <c r="JRE103" s="530"/>
      <c r="JRF103" s="531"/>
      <c r="JRG103" s="530"/>
      <c r="JRH103" s="531"/>
      <c r="JRI103" s="530"/>
      <c r="JRJ103" s="531"/>
      <c r="JRK103" s="530"/>
      <c r="JRL103" s="531"/>
      <c r="JRM103" s="530"/>
      <c r="JRN103" s="531"/>
      <c r="JRO103" s="530"/>
      <c r="JRP103" s="531"/>
      <c r="JRQ103" s="530"/>
      <c r="JRR103" s="531"/>
      <c r="JRS103" s="530"/>
      <c r="JRT103" s="531"/>
      <c r="JRU103" s="530"/>
      <c r="JRV103" s="531"/>
      <c r="JRW103" s="530"/>
      <c r="JRX103" s="531"/>
      <c r="JRY103" s="530"/>
      <c r="JRZ103" s="531"/>
      <c r="JSA103" s="530"/>
      <c r="JSB103" s="531"/>
      <c r="JSC103" s="530"/>
      <c r="JSD103" s="531"/>
      <c r="JSE103" s="530"/>
      <c r="JSF103" s="531"/>
      <c r="JSG103" s="530"/>
      <c r="JSH103" s="531"/>
      <c r="JSI103" s="530"/>
      <c r="JSJ103" s="531"/>
      <c r="JSK103" s="530"/>
      <c r="JSL103" s="531"/>
      <c r="JSM103" s="530"/>
      <c r="JSN103" s="531"/>
      <c r="JSO103" s="530"/>
      <c r="JSP103" s="531"/>
      <c r="JSQ103" s="530"/>
      <c r="JSR103" s="531"/>
      <c r="JSS103" s="530"/>
      <c r="JST103" s="531"/>
      <c r="JSU103" s="530"/>
      <c r="JSV103" s="531"/>
      <c r="JSW103" s="530"/>
      <c r="JSX103" s="531"/>
      <c r="JSY103" s="530"/>
      <c r="JSZ103" s="531"/>
      <c r="JTA103" s="530"/>
      <c r="JTB103" s="531"/>
      <c r="JTC103" s="530"/>
      <c r="JTD103" s="531"/>
      <c r="JTE103" s="530"/>
      <c r="JTF103" s="531"/>
      <c r="JTG103" s="530"/>
      <c r="JTH103" s="531"/>
      <c r="JTI103" s="530"/>
      <c r="JTJ103" s="531"/>
      <c r="JTK103" s="530"/>
      <c r="JTL103" s="531"/>
      <c r="JTM103" s="530"/>
      <c r="JTN103" s="531"/>
      <c r="JTO103" s="530"/>
      <c r="JTP103" s="531"/>
      <c r="JTQ103" s="530"/>
      <c r="JTR103" s="531"/>
      <c r="JTS103" s="530"/>
      <c r="JTT103" s="531"/>
      <c r="JTU103" s="530"/>
      <c r="JTV103" s="531"/>
      <c r="JTW103" s="530"/>
      <c r="JTX103" s="531"/>
      <c r="JTY103" s="530"/>
      <c r="JTZ103" s="531"/>
      <c r="JUA103" s="530"/>
      <c r="JUB103" s="531"/>
      <c r="JUC103" s="530"/>
      <c r="JUD103" s="531"/>
      <c r="JUE103" s="530"/>
      <c r="JUF103" s="531"/>
      <c r="JUG103" s="530"/>
      <c r="JUH103" s="531"/>
      <c r="JUI103" s="530"/>
      <c r="JUJ103" s="531"/>
      <c r="JUK103" s="530"/>
      <c r="JUL103" s="531"/>
      <c r="JUM103" s="530"/>
      <c r="JUN103" s="531"/>
      <c r="JUO103" s="530"/>
      <c r="JUP103" s="531"/>
      <c r="JUQ103" s="530"/>
      <c r="JUR103" s="531"/>
      <c r="JUS103" s="530"/>
      <c r="JUT103" s="531"/>
      <c r="JUU103" s="530"/>
      <c r="JUV103" s="531"/>
      <c r="JUW103" s="530"/>
      <c r="JUX103" s="531"/>
      <c r="JUY103" s="530"/>
      <c r="JUZ103" s="531"/>
      <c r="JVA103" s="530"/>
      <c r="JVB103" s="531"/>
      <c r="JVC103" s="530"/>
      <c r="JVD103" s="531"/>
      <c r="JVE103" s="530"/>
      <c r="JVF103" s="531"/>
      <c r="JVG103" s="530"/>
      <c r="JVH103" s="531"/>
      <c r="JVI103" s="530"/>
      <c r="JVJ103" s="531"/>
      <c r="JVK103" s="530"/>
      <c r="JVL103" s="531"/>
      <c r="JVM103" s="530"/>
      <c r="JVN103" s="531"/>
      <c r="JVO103" s="530"/>
      <c r="JVP103" s="531"/>
      <c r="JVQ103" s="530"/>
      <c r="JVR103" s="531"/>
      <c r="JVS103" s="530"/>
      <c r="JVT103" s="531"/>
      <c r="JVU103" s="530"/>
      <c r="JVV103" s="531"/>
      <c r="JVW103" s="530"/>
      <c r="JVX103" s="531"/>
      <c r="JVY103" s="530"/>
      <c r="JVZ103" s="531"/>
      <c r="JWA103" s="530"/>
      <c r="JWB103" s="531"/>
      <c r="JWC103" s="530"/>
      <c r="JWD103" s="531"/>
      <c r="JWE103" s="530"/>
      <c r="JWF103" s="531"/>
      <c r="JWG103" s="530"/>
      <c r="JWH103" s="531"/>
      <c r="JWI103" s="530"/>
      <c r="JWJ103" s="531"/>
      <c r="JWK103" s="530"/>
      <c r="JWL103" s="531"/>
      <c r="JWM103" s="530"/>
      <c r="JWN103" s="531"/>
      <c r="JWO103" s="530"/>
      <c r="JWP103" s="531"/>
      <c r="JWQ103" s="530"/>
      <c r="JWR103" s="531"/>
      <c r="JWS103" s="530"/>
      <c r="JWT103" s="531"/>
      <c r="JWU103" s="530"/>
      <c r="JWV103" s="531"/>
      <c r="JWW103" s="530"/>
      <c r="JWX103" s="531"/>
      <c r="JWY103" s="530"/>
      <c r="JWZ103" s="531"/>
      <c r="JXA103" s="530"/>
      <c r="JXB103" s="531"/>
      <c r="JXC103" s="530"/>
      <c r="JXD103" s="531"/>
      <c r="JXE103" s="530"/>
      <c r="JXF103" s="531"/>
      <c r="JXG103" s="530"/>
      <c r="JXH103" s="531"/>
      <c r="JXI103" s="530"/>
      <c r="JXJ103" s="531"/>
      <c r="JXK103" s="530"/>
      <c r="JXL103" s="531"/>
      <c r="JXM103" s="530"/>
      <c r="JXN103" s="531"/>
      <c r="JXO103" s="530"/>
      <c r="JXP103" s="531"/>
      <c r="JXQ103" s="530"/>
      <c r="JXR103" s="531"/>
      <c r="JXS103" s="530"/>
      <c r="JXT103" s="531"/>
      <c r="JXU103" s="530"/>
      <c r="JXV103" s="531"/>
      <c r="JXW103" s="530"/>
      <c r="JXX103" s="531"/>
      <c r="JXY103" s="530"/>
      <c r="JXZ103" s="531"/>
      <c r="JYA103" s="530"/>
      <c r="JYB103" s="531"/>
      <c r="JYC103" s="530"/>
      <c r="JYD103" s="531"/>
      <c r="JYE103" s="530"/>
      <c r="JYF103" s="531"/>
      <c r="JYG103" s="530"/>
      <c r="JYH103" s="531"/>
      <c r="JYI103" s="530"/>
      <c r="JYJ103" s="531"/>
      <c r="JYK103" s="530"/>
      <c r="JYL103" s="531"/>
      <c r="JYM103" s="530"/>
      <c r="JYN103" s="531"/>
      <c r="JYO103" s="530"/>
      <c r="JYP103" s="531"/>
      <c r="JYQ103" s="530"/>
      <c r="JYR103" s="531"/>
      <c r="JYS103" s="530"/>
      <c r="JYT103" s="531"/>
      <c r="JYU103" s="530"/>
      <c r="JYV103" s="531"/>
      <c r="JYW103" s="530"/>
      <c r="JYX103" s="531"/>
      <c r="JYY103" s="530"/>
      <c r="JYZ103" s="531"/>
      <c r="JZA103" s="530"/>
      <c r="JZB103" s="531"/>
      <c r="JZC103" s="530"/>
      <c r="JZD103" s="531"/>
      <c r="JZE103" s="530"/>
      <c r="JZF103" s="531"/>
      <c r="JZG103" s="530"/>
      <c r="JZH103" s="531"/>
      <c r="JZI103" s="530"/>
      <c r="JZJ103" s="531"/>
      <c r="JZK103" s="530"/>
      <c r="JZL103" s="531"/>
      <c r="JZM103" s="530"/>
      <c r="JZN103" s="531"/>
      <c r="JZO103" s="530"/>
      <c r="JZP103" s="531"/>
      <c r="JZQ103" s="530"/>
      <c r="JZR103" s="531"/>
      <c r="JZS103" s="530"/>
      <c r="JZT103" s="531"/>
      <c r="JZU103" s="530"/>
      <c r="JZV103" s="531"/>
      <c r="JZW103" s="530"/>
      <c r="JZX103" s="531"/>
      <c r="JZY103" s="530"/>
      <c r="JZZ103" s="531"/>
      <c r="KAA103" s="530"/>
      <c r="KAB103" s="531"/>
      <c r="KAC103" s="530"/>
      <c r="KAD103" s="531"/>
      <c r="KAE103" s="530"/>
      <c r="KAF103" s="531"/>
      <c r="KAG103" s="530"/>
      <c r="KAH103" s="531"/>
      <c r="KAI103" s="530"/>
      <c r="KAJ103" s="531"/>
      <c r="KAK103" s="530"/>
      <c r="KAL103" s="531"/>
      <c r="KAM103" s="530"/>
      <c r="KAN103" s="531"/>
      <c r="KAO103" s="530"/>
      <c r="KAP103" s="531"/>
      <c r="KAQ103" s="530"/>
      <c r="KAR103" s="531"/>
      <c r="KAS103" s="530"/>
      <c r="KAT103" s="531"/>
      <c r="KAU103" s="530"/>
      <c r="KAV103" s="531"/>
      <c r="KAW103" s="530"/>
      <c r="KAX103" s="531"/>
      <c r="KAY103" s="530"/>
      <c r="KAZ103" s="531"/>
      <c r="KBA103" s="530"/>
      <c r="KBB103" s="531"/>
      <c r="KBC103" s="530"/>
      <c r="KBD103" s="531"/>
      <c r="KBE103" s="530"/>
      <c r="KBF103" s="531"/>
      <c r="KBG103" s="530"/>
      <c r="KBH103" s="531"/>
      <c r="KBI103" s="530"/>
      <c r="KBJ103" s="531"/>
      <c r="KBK103" s="530"/>
      <c r="KBL103" s="531"/>
      <c r="KBM103" s="530"/>
      <c r="KBN103" s="531"/>
      <c r="KBO103" s="530"/>
      <c r="KBP103" s="531"/>
      <c r="KBQ103" s="530"/>
      <c r="KBR103" s="531"/>
      <c r="KBS103" s="530"/>
      <c r="KBT103" s="531"/>
      <c r="KBU103" s="530"/>
      <c r="KBV103" s="531"/>
      <c r="KBW103" s="530"/>
      <c r="KBX103" s="531"/>
      <c r="KBY103" s="530"/>
      <c r="KBZ103" s="531"/>
      <c r="KCA103" s="530"/>
      <c r="KCB103" s="531"/>
      <c r="KCC103" s="530"/>
      <c r="KCD103" s="531"/>
      <c r="KCE103" s="530"/>
      <c r="KCF103" s="531"/>
      <c r="KCG103" s="530"/>
      <c r="KCH103" s="531"/>
      <c r="KCI103" s="530"/>
      <c r="KCJ103" s="531"/>
      <c r="KCK103" s="530"/>
      <c r="KCL103" s="531"/>
      <c r="KCM103" s="530"/>
      <c r="KCN103" s="531"/>
      <c r="KCO103" s="530"/>
      <c r="KCP103" s="531"/>
      <c r="KCQ103" s="530"/>
      <c r="KCR103" s="531"/>
      <c r="KCS103" s="530"/>
      <c r="KCT103" s="531"/>
      <c r="KCU103" s="530"/>
      <c r="KCV103" s="531"/>
      <c r="KCW103" s="530"/>
      <c r="KCX103" s="531"/>
      <c r="KCY103" s="530"/>
      <c r="KCZ103" s="531"/>
      <c r="KDA103" s="530"/>
      <c r="KDB103" s="531"/>
      <c r="KDC103" s="530"/>
      <c r="KDD103" s="531"/>
      <c r="KDE103" s="530"/>
      <c r="KDF103" s="531"/>
      <c r="KDG103" s="530"/>
      <c r="KDH103" s="531"/>
      <c r="KDI103" s="530"/>
      <c r="KDJ103" s="531"/>
      <c r="KDK103" s="530"/>
      <c r="KDL103" s="531"/>
      <c r="KDM103" s="530"/>
      <c r="KDN103" s="531"/>
      <c r="KDO103" s="530"/>
      <c r="KDP103" s="531"/>
      <c r="KDQ103" s="530"/>
      <c r="KDR103" s="531"/>
      <c r="KDS103" s="530"/>
      <c r="KDT103" s="531"/>
      <c r="KDU103" s="530"/>
      <c r="KDV103" s="531"/>
      <c r="KDW103" s="530"/>
      <c r="KDX103" s="531"/>
      <c r="KDY103" s="530"/>
      <c r="KDZ103" s="531"/>
      <c r="KEA103" s="530"/>
      <c r="KEB103" s="531"/>
      <c r="KEC103" s="530"/>
      <c r="KED103" s="531"/>
      <c r="KEE103" s="530"/>
      <c r="KEF103" s="531"/>
      <c r="KEG103" s="530"/>
      <c r="KEH103" s="531"/>
      <c r="KEI103" s="530"/>
      <c r="KEJ103" s="531"/>
      <c r="KEK103" s="530"/>
      <c r="KEL103" s="531"/>
      <c r="KEM103" s="530"/>
      <c r="KEN103" s="531"/>
      <c r="KEO103" s="530"/>
      <c r="KEP103" s="531"/>
      <c r="KEQ103" s="530"/>
      <c r="KER103" s="531"/>
      <c r="KES103" s="530"/>
      <c r="KET103" s="531"/>
      <c r="KEU103" s="530"/>
      <c r="KEV103" s="531"/>
      <c r="KEW103" s="530"/>
      <c r="KEX103" s="531"/>
      <c r="KEY103" s="530"/>
      <c r="KEZ103" s="531"/>
      <c r="KFA103" s="530"/>
      <c r="KFB103" s="531"/>
      <c r="KFC103" s="530"/>
      <c r="KFD103" s="531"/>
      <c r="KFE103" s="530"/>
      <c r="KFF103" s="531"/>
      <c r="KFG103" s="530"/>
      <c r="KFH103" s="531"/>
      <c r="KFI103" s="530"/>
      <c r="KFJ103" s="531"/>
      <c r="KFK103" s="530"/>
      <c r="KFL103" s="531"/>
      <c r="KFM103" s="530"/>
      <c r="KFN103" s="531"/>
      <c r="KFO103" s="530"/>
      <c r="KFP103" s="531"/>
      <c r="KFQ103" s="530"/>
      <c r="KFR103" s="531"/>
      <c r="KFS103" s="530"/>
      <c r="KFT103" s="531"/>
      <c r="KFU103" s="530"/>
      <c r="KFV103" s="531"/>
      <c r="KFW103" s="530"/>
      <c r="KFX103" s="531"/>
      <c r="KFY103" s="530"/>
      <c r="KFZ103" s="531"/>
      <c r="KGA103" s="530"/>
      <c r="KGB103" s="531"/>
      <c r="KGC103" s="530"/>
      <c r="KGD103" s="531"/>
      <c r="KGE103" s="530"/>
      <c r="KGF103" s="531"/>
      <c r="KGG103" s="530"/>
      <c r="KGH103" s="531"/>
      <c r="KGI103" s="530"/>
      <c r="KGJ103" s="531"/>
      <c r="KGK103" s="530"/>
      <c r="KGL103" s="531"/>
      <c r="KGM103" s="530"/>
      <c r="KGN103" s="531"/>
      <c r="KGO103" s="530"/>
      <c r="KGP103" s="531"/>
      <c r="KGQ103" s="530"/>
      <c r="KGR103" s="531"/>
      <c r="KGS103" s="530"/>
      <c r="KGT103" s="531"/>
      <c r="KGU103" s="530"/>
      <c r="KGV103" s="531"/>
      <c r="KGW103" s="530"/>
      <c r="KGX103" s="531"/>
      <c r="KGY103" s="530"/>
      <c r="KGZ103" s="531"/>
      <c r="KHA103" s="530"/>
      <c r="KHB103" s="531"/>
      <c r="KHC103" s="530"/>
      <c r="KHD103" s="531"/>
      <c r="KHE103" s="530"/>
      <c r="KHF103" s="531"/>
      <c r="KHG103" s="530"/>
      <c r="KHH103" s="531"/>
      <c r="KHI103" s="530"/>
      <c r="KHJ103" s="531"/>
      <c r="KHK103" s="530"/>
      <c r="KHL103" s="531"/>
      <c r="KHM103" s="530"/>
      <c r="KHN103" s="531"/>
      <c r="KHO103" s="530"/>
      <c r="KHP103" s="531"/>
      <c r="KHQ103" s="530"/>
      <c r="KHR103" s="531"/>
      <c r="KHS103" s="530"/>
      <c r="KHT103" s="531"/>
      <c r="KHU103" s="530"/>
      <c r="KHV103" s="531"/>
      <c r="KHW103" s="530"/>
      <c r="KHX103" s="531"/>
      <c r="KHY103" s="530"/>
      <c r="KHZ103" s="531"/>
      <c r="KIA103" s="530"/>
      <c r="KIB103" s="531"/>
      <c r="KIC103" s="530"/>
      <c r="KID103" s="531"/>
      <c r="KIE103" s="530"/>
      <c r="KIF103" s="531"/>
      <c r="KIG103" s="530"/>
      <c r="KIH103" s="531"/>
      <c r="KII103" s="530"/>
      <c r="KIJ103" s="531"/>
      <c r="KIK103" s="530"/>
      <c r="KIL103" s="531"/>
      <c r="KIM103" s="530"/>
      <c r="KIN103" s="531"/>
      <c r="KIO103" s="530"/>
      <c r="KIP103" s="531"/>
      <c r="KIQ103" s="530"/>
      <c r="KIR103" s="531"/>
      <c r="KIS103" s="530"/>
      <c r="KIT103" s="531"/>
      <c r="KIU103" s="530"/>
      <c r="KIV103" s="531"/>
      <c r="KIW103" s="530"/>
      <c r="KIX103" s="531"/>
      <c r="KIY103" s="530"/>
      <c r="KIZ103" s="531"/>
      <c r="KJA103" s="530"/>
      <c r="KJB103" s="531"/>
      <c r="KJC103" s="530"/>
      <c r="KJD103" s="531"/>
      <c r="KJE103" s="530"/>
      <c r="KJF103" s="531"/>
      <c r="KJG103" s="530"/>
      <c r="KJH103" s="531"/>
      <c r="KJI103" s="530"/>
      <c r="KJJ103" s="531"/>
      <c r="KJK103" s="530"/>
      <c r="KJL103" s="531"/>
      <c r="KJM103" s="530"/>
      <c r="KJN103" s="531"/>
      <c r="KJO103" s="530"/>
      <c r="KJP103" s="531"/>
      <c r="KJQ103" s="530"/>
      <c r="KJR103" s="531"/>
      <c r="KJS103" s="530"/>
      <c r="KJT103" s="531"/>
      <c r="KJU103" s="530"/>
      <c r="KJV103" s="531"/>
      <c r="KJW103" s="530"/>
      <c r="KJX103" s="531"/>
      <c r="KJY103" s="530"/>
      <c r="KJZ103" s="531"/>
      <c r="KKA103" s="530"/>
      <c r="KKB103" s="531"/>
      <c r="KKC103" s="530"/>
      <c r="KKD103" s="531"/>
      <c r="KKE103" s="530"/>
      <c r="KKF103" s="531"/>
      <c r="KKG103" s="530"/>
      <c r="KKH103" s="531"/>
      <c r="KKI103" s="530"/>
      <c r="KKJ103" s="531"/>
      <c r="KKK103" s="530"/>
      <c r="KKL103" s="531"/>
      <c r="KKM103" s="530"/>
      <c r="KKN103" s="531"/>
      <c r="KKO103" s="530"/>
      <c r="KKP103" s="531"/>
      <c r="KKQ103" s="530"/>
      <c r="KKR103" s="531"/>
      <c r="KKS103" s="530"/>
      <c r="KKT103" s="531"/>
      <c r="KKU103" s="530"/>
      <c r="KKV103" s="531"/>
      <c r="KKW103" s="530"/>
      <c r="KKX103" s="531"/>
      <c r="KKY103" s="530"/>
      <c r="KKZ103" s="531"/>
      <c r="KLA103" s="530"/>
      <c r="KLB103" s="531"/>
      <c r="KLC103" s="530"/>
      <c r="KLD103" s="531"/>
      <c r="KLE103" s="530"/>
      <c r="KLF103" s="531"/>
      <c r="KLG103" s="530"/>
      <c r="KLH103" s="531"/>
      <c r="KLI103" s="530"/>
      <c r="KLJ103" s="531"/>
      <c r="KLK103" s="530"/>
      <c r="KLL103" s="531"/>
      <c r="KLM103" s="530"/>
      <c r="KLN103" s="531"/>
      <c r="KLO103" s="530"/>
      <c r="KLP103" s="531"/>
      <c r="KLQ103" s="530"/>
      <c r="KLR103" s="531"/>
      <c r="KLS103" s="530"/>
      <c r="KLT103" s="531"/>
      <c r="KLU103" s="530"/>
      <c r="KLV103" s="531"/>
      <c r="KLW103" s="530"/>
      <c r="KLX103" s="531"/>
      <c r="KLY103" s="530"/>
      <c r="KLZ103" s="531"/>
      <c r="KMA103" s="530"/>
      <c r="KMB103" s="531"/>
      <c r="KMC103" s="530"/>
      <c r="KMD103" s="531"/>
      <c r="KME103" s="530"/>
      <c r="KMF103" s="531"/>
      <c r="KMG103" s="530"/>
      <c r="KMH103" s="531"/>
      <c r="KMI103" s="530"/>
      <c r="KMJ103" s="531"/>
      <c r="KMK103" s="530"/>
      <c r="KML103" s="531"/>
      <c r="KMM103" s="530"/>
      <c r="KMN103" s="531"/>
      <c r="KMO103" s="530"/>
      <c r="KMP103" s="531"/>
      <c r="KMQ103" s="530"/>
      <c r="KMR103" s="531"/>
      <c r="KMS103" s="530"/>
      <c r="KMT103" s="531"/>
      <c r="KMU103" s="530"/>
      <c r="KMV103" s="531"/>
      <c r="KMW103" s="530"/>
      <c r="KMX103" s="531"/>
      <c r="KMY103" s="530"/>
      <c r="KMZ103" s="531"/>
      <c r="KNA103" s="530"/>
      <c r="KNB103" s="531"/>
      <c r="KNC103" s="530"/>
      <c r="KND103" s="531"/>
      <c r="KNE103" s="530"/>
      <c r="KNF103" s="531"/>
      <c r="KNG103" s="530"/>
      <c r="KNH103" s="531"/>
      <c r="KNI103" s="530"/>
      <c r="KNJ103" s="531"/>
      <c r="KNK103" s="530"/>
      <c r="KNL103" s="531"/>
      <c r="KNM103" s="530"/>
      <c r="KNN103" s="531"/>
      <c r="KNO103" s="530"/>
      <c r="KNP103" s="531"/>
      <c r="KNQ103" s="530"/>
      <c r="KNR103" s="531"/>
      <c r="KNS103" s="530"/>
      <c r="KNT103" s="531"/>
      <c r="KNU103" s="530"/>
      <c r="KNV103" s="531"/>
      <c r="KNW103" s="530"/>
      <c r="KNX103" s="531"/>
      <c r="KNY103" s="530"/>
      <c r="KNZ103" s="531"/>
      <c r="KOA103" s="530"/>
      <c r="KOB103" s="531"/>
      <c r="KOC103" s="530"/>
      <c r="KOD103" s="531"/>
      <c r="KOE103" s="530"/>
      <c r="KOF103" s="531"/>
      <c r="KOG103" s="530"/>
      <c r="KOH103" s="531"/>
      <c r="KOI103" s="530"/>
      <c r="KOJ103" s="531"/>
      <c r="KOK103" s="530"/>
      <c r="KOL103" s="531"/>
      <c r="KOM103" s="530"/>
      <c r="KON103" s="531"/>
      <c r="KOO103" s="530"/>
      <c r="KOP103" s="531"/>
      <c r="KOQ103" s="530"/>
      <c r="KOR103" s="531"/>
      <c r="KOS103" s="530"/>
      <c r="KOT103" s="531"/>
      <c r="KOU103" s="530"/>
      <c r="KOV103" s="531"/>
      <c r="KOW103" s="530"/>
      <c r="KOX103" s="531"/>
      <c r="KOY103" s="530"/>
      <c r="KOZ103" s="531"/>
      <c r="KPA103" s="530"/>
      <c r="KPB103" s="531"/>
      <c r="KPC103" s="530"/>
      <c r="KPD103" s="531"/>
      <c r="KPE103" s="530"/>
      <c r="KPF103" s="531"/>
      <c r="KPG103" s="530"/>
      <c r="KPH103" s="531"/>
      <c r="KPI103" s="530"/>
      <c r="KPJ103" s="531"/>
      <c r="KPK103" s="530"/>
      <c r="KPL103" s="531"/>
      <c r="KPM103" s="530"/>
      <c r="KPN103" s="531"/>
      <c r="KPO103" s="530"/>
      <c r="KPP103" s="531"/>
      <c r="KPQ103" s="530"/>
      <c r="KPR103" s="531"/>
      <c r="KPS103" s="530"/>
      <c r="KPT103" s="531"/>
      <c r="KPU103" s="530"/>
      <c r="KPV103" s="531"/>
      <c r="KPW103" s="530"/>
      <c r="KPX103" s="531"/>
      <c r="KPY103" s="530"/>
      <c r="KPZ103" s="531"/>
      <c r="KQA103" s="530"/>
      <c r="KQB103" s="531"/>
      <c r="KQC103" s="530"/>
      <c r="KQD103" s="531"/>
      <c r="KQE103" s="530"/>
      <c r="KQF103" s="531"/>
      <c r="KQG103" s="530"/>
      <c r="KQH103" s="531"/>
      <c r="KQI103" s="530"/>
      <c r="KQJ103" s="531"/>
      <c r="KQK103" s="530"/>
      <c r="KQL103" s="531"/>
      <c r="KQM103" s="530"/>
      <c r="KQN103" s="531"/>
      <c r="KQO103" s="530"/>
      <c r="KQP103" s="531"/>
      <c r="KQQ103" s="530"/>
      <c r="KQR103" s="531"/>
      <c r="KQS103" s="530"/>
      <c r="KQT103" s="531"/>
      <c r="KQU103" s="530"/>
      <c r="KQV103" s="531"/>
      <c r="KQW103" s="530"/>
      <c r="KQX103" s="531"/>
      <c r="KQY103" s="530"/>
      <c r="KQZ103" s="531"/>
      <c r="KRA103" s="530"/>
      <c r="KRB103" s="531"/>
      <c r="KRC103" s="530"/>
      <c r="KRD103" s="531"/>
      <c r="KRE103" s="530"/>
      <c r="KRF103" s="531"/>
      <c r="KRG103" s="530"/>
      <c r="KRH103" s="531"/>
      <c r="KRI103" s="530"/>
      <c r="KRJ103" s="531"/>
      <c r="KRK103" s="530"/>
      <c r="KRL103" s="531"/>
      <c r="KRM103" s="530"/>
      <c r="KRN103" s="531"/>
      <c r="KRO103" s="530"/>
      <c r="KRP103" s="531"/>
      <c r="KRQ103" s="530"/>
      <c r="KRR103" s="531"/>
      <c r="KRS103" s="530"/>
      <c r="KRT103" s="531"/>
      <c r="KRU103" s="530"/>
      <c r="KRV103" s="531"/>
      <c r="KRW103" s="530"/>
      <c r="KRX103" s="531"/>
      <c r="KRY103" s="530"/>
      <c r="KRZ103" s="531"/>
      <c r="KSA103" s="530"/>
      <c r="KSB103" s="531"/>
      <c r="KSC103" s="530"/>
      <c r="KSD103" s="531"/>
      <c r="KSE103" s="530"/>
      <c r="KSF103" s="531"/>
      <c r="KSG103" s="530"/>
      <c r="KSH103" s="531"/>
      <c r="KSI103" s="530"/>
      <c r="KSJ103" s="531"/>
      <c r="KSK103" s="530"/>
      <c r="KSL103" s="531"/>
      <c r="KSM103" s="530"/>
      <c r="KSN103" s="531"/>
      <c r="KSO103" s="530"/>
      <c r="KSP103" s="531"/>
      <c r="KSQ103" s="530"/>
      <c r="KSR103" s="531"/>
      <c r="KSS103" s="530"/>
      <c r="KST103" s="531"/>
      <c r="KSU103" s="530"/>
      <c r="KSV103" s="531"/>
      <c r="KSW103" s="530"/>
      <c r="KSX103" s="531"/>
      <c r="KSY103" s="530"/>
      <c r="KSZ103" s="531"/>
      <c r="KTA103" s="530"/>
      <c r="KTB103" s="531"/>
      <c r="KTC103" s="530"/>
      <c r="KTD103" s="531"/>
      <c r="KTE103" s="530"/>
      <c r="KTF103" s="531"/>
      <c r="KTG103" s="530"/>
      <c r="KTH103" s="531"/>
      <c r="KTI103" s="530"/>
      <c r="KTJ103" s="531"/>
      <c r="KTK103" s="530"/>
      <c r="KTL103" s="531"/>
      <c r="KTM103" s="530"/>
      <c r="KTN103" s="531"/>
      <c r="KTO103" s="530"/>
      <c r="KTP103" s="531"/>
      <c r="KTQ103" s="530"/>
      <c r="KTR103" s="531"/>
      <c r="KTS103" s="530"/>
      <c r="KTT103" s="531"/>
      <c r="KTU103" s="530"/>
      <c r="KTV103" s="531"/>
      <c r="KTW103" s="530"/>
      <c r="KTX103" s="531"/>
      <c r="KTY103" s="530"/>
      <c r="KTZ103" s="531"/>
      <c r="KUA103" s="530"/>
      <c r="KUB103" s="531"/>
      <c r="KUC103" s="530"/>
      <c r="KUD103" s="531"/>
      <c r="KUE103" s="530"/>
      <c r="KUF103" s="531"/>
      <c r="KUG103" s="530"/>
      <c r="KUH103" s="531"/>
      <c r="KUI103" s="530"/>
      <c r="KUJ103" s="531"/>
      <c r="KUK103" s="530"/>
      <c r="KUL103" s="531"/>
      <c r="KUM103" s="530"/>
      <c r="KUN103" s="531"/>
      <c r="KUO103" s="530"/>
      <c r="KUP103" s="531"/>
      <c r="KUQ103" s="530"/>
      <c r="KUR103" s="531"/>
      <c r="KUS103" s="530"/>
      <c r="KUT103" s="531"/>
      <c r="KUU103" s="530"/>
      <c r="KUV103" s="531"/>
      <c r="KUW103" s="530"/>
      <c r="KUX103" s="531"/>
      <c r="KUY103" s="530"/>
      <c r="KUZ103" s="531"/>
      <c r="KVA103" s="530"/>
      <c r="KVB103" s="531"/>
      <c r="KVC103" s="530"/>
      <c r="KVD103" s="531"/>
      <c r="KVE103" s="530"/>
      <c r="KVF103" s="531"/>
      <c r="KVG103" s="530"/>
      <c r="KVH103" s="531"/>
      <c r="KVI103" s="530"/>
      <c r="KVJ103" s="531"/>
      <c r="KVK103" s="530"/>
      <c r="KVL103" s="531"/>
      <c r="KVM103" s="530"/>
      <c r="KVN103" s="531"/>
      <c r="KVO103" s="530"/>
      <c r="KVP103" s="531"/>
      <c r="KVQ103" s="530"/>
      <c r="KVR103" s="531"/>
      <c r="KVS103" s="530"/>
      <c r="KVT103" s="531"/>
      <c r="KVU103" s="530"/>
      <c r="KVV103" s="531"/>
      <c r="KVW103" s="530"/>
      <c r="KVX103" s="531"/>
      <c r="KVY103" s="530"/>
      <c r="KVZ103" s="531"/>
      <c r="KWA103" s="530"/>
      <c r="KWB103" s="531"/>
      <c r="KWC103" s="530"/>
      <c r="KWD103" s="531"/>
      <c r="KWE103" s="530"/>
      <c r="KWF103" s="531"/>
      <c r="KWG103" s="530"/>
      <c r="KWH103" s="531"/>
      <c r="KWI103" s="530"/>
      <c r="KWJ103" s="531"/>
      <c r="KWK103" s="530"/>
      <c r="KWL103" s="531"/>
      <c r="KWM103" s="530"/>
      <c r="KWN103" s="531"/>
      <c r="KWO103" s="530"/>
      <c r="KWP103" s="531"/>
      <c r="KWQ103" s="530"/>
      <c r="KWR103" s="531"/>
      <c r="KWS103" s="530"/>
      <c r="KWT103" s="531"/>
      <c r="KWU103" s="530"/>
      <c r="KWV103" s="531"/>
      <c r="KWW103" s="530"/>
      <c r="KWX103" s="531"/>
      <c r="KWY103" s="530"/>
      <c r="KWZ103" s="531"/>
      <c r="KXA103" s="530"/>
      <c r="KXB103" s="531"/>
      <c r="KXC103" s="530"/>
      <c r="KXD103" s="531"/>
      <c r="KXE103" s="530"/>
      <c r="KXF103" s="531"/>
      <c r="KXG103" s="530"/>
      <c r="KXH103" s="531"/>
      <c r="KXI103" s="530"/>
      <c r="KXJ103" s="531"/>
      <c r="KXK103" s="530"/>
      <c r="KXL103" s="531"/>
      <c r="KXM103" s="530"/>
      <c r="KXN103" s="531"/>
      <c r="KXO103" s="530"/>
      <c r="KXP103" s="531"/>
      <c r="KXQ103" s="530"/>
      <c r="KXR103" s="531"/>
      <c r="KXS103" s="530"/>
      <c r="KXT103" s="531"/>
      <c r="KXU103" s="530"/>
      <c r="KXV103" s="531"/>
      <c r="KXW103" s="530"/>
      <c r="KXX103" s="531"/>
      <c r="KXY103" s="530"/>
      <c r="KXZ103" s="531"/>
      <c r="KYA103" s="530"/>
      <c r="KYB103" s="531"/>
      <c r="KYC103" s="530"/>
      <c r="KYD103" s="531"/>
      <c r="KYE103" s="530"/>
      <c r="KYF103" s="531"/>
      <c r="KYG103" s="530"/>
      <c r="KYH103" s="531"/>
      <c r="KYI103" s="530"/>
      <c r="KYJ103" s="531"/>
      <c r="KYK103" s="530"/>
      <c r="KYL103" s="531"/>
      <c r="KYM103" s="530"/>
      <c r="KYN103" s="531"/>
      <c r="KYO103" s="530"/>
      <c r="KYP103" s="531"/>
      <c r="KYQ103" s="530"/>
      <c r="KYR103" s="531"/>
      <c r="KYS103" s="530"/>
      <c r="KYT103" s="531"/>
      <c r="KYU103" s="530"/>
      <c r="KYV103" s="531"/>
      <c r="KYW103" s="530"/>
      <c r="KYX103" s="531"/>
      <c r="KYY103" s="530"/>
      <c r="KYZ103" s="531"/>
      <c r="KZA103" s="530"/>
      <c r="KZB103" s="531"/>
      <c r="KZC103" s="530"/>
      <c r="KZD103" s="531"/>
      <c r="KZE103" s="530"/>
      <c r="KZF103" s="531"/>
      <c r="KZG103" s="530"/>
      <c r="KZH103" s="531"/>
      <c r="KZI103" s="530"/>
      <c r="KZJ103" s="531"/>
      <c r="KZK103" s="530"/>
      <c r="KZL103" s="531"/>
      <c r="KZM103" s="530"/>
      <c r="KZN103" s="531"/>
      <c r="KZO103" s="530"/>
      <c r="KZP103" s="531"/>
      <c r="KZQ103" s="530"/>
      <c r="KZR103" s="531"/>
      <c r="KZS103" s="530"/>
      <c r="KZT103" s="531"/>
      <c r="KZU103" s="530"/>
      <c r="KZV103" s="531"/>
      <c r="KZW103" s="530"/>
      <c r="KZX103" s="531"/>
      <c r="KZY103" s="530"/>
      <c r="KZZ103" s="531"/>
      <c r="LAA103" s="530"/>
      <c r="LAB103" s="531"/>
      <c r="LAC103" s="530"/>
      <c r="LAD103" s="531"/>
      <c r="LAE103" s="530"/>
      <c r="LAF103" s="531"/>
      <c r="LAG103" s="530"/>
      <c r="LAH103" s="531"/>
      <c r="LAI103" s="530"/>
      <c r="LAJ103" s="531"/>
      <c r="LAK103" s="530"/>
      <c r="LAL103" s="531"/>
      <c r="LAM103" s="530"/>
      <c r="LAN103" s="531"/>
      <c r="LAO103" s="530"/>
      <c r="LAP103" s="531"/>
      <c r="LAQ103" s="530"/>
      <c r="LAR103" s="531"/>
      <c r="LAS103" s="530"/>
      <c r="LAT103" s="531"/>
      <c r="LAU103" s="530"/>
      <c r="LAV103" s="531"/>
      <c r="LAW103" s="530"/>
      <c r="LAX103" s="531"/>
      <c r="LAY103" s="530"/>
      <c r="LAZ103" s="531"/>
      <c r="LBA103" s="530"/>
      <c r="LBB103" s="531"/>
      <c r="LBC103" s="530"/>
      <c r="LBD103" s="531"/>
      <c r="LBE103" s="530"/>
      <c r="LBF103" s="531"/>
      <c r="LBG103" s="530"/>
      <c r="LBH103" s="531"/>
      <c r="LBI103" s="530"/>
      <c r="LBJ103" s="531"/>
      <c r="LBK103" s="530"/>
      <c r="LBL103" s="531"/>
      <c r="LBM103" s="530"/>
      <c r="LBN103" s="531"/>
      <c r="LBO103" s="530"/>
      <c r="LBP103" s="531"/>
      <c r="LBQ103" s="530"/>
      <c r="LBR103" s="531"/>
      <c r="LBS103" s="530"/>
      <c r="LBT103" s="531"/>
      <c r="LBU103" s="530"/>
      <c r="LBV103" s="531"/>
      <c r="LBW103" s="530"/>
      <c r="LBX103" s="531"/>
      <c r="LBY103" s="530"/>
      <c r="LBZ103" s="531"/>
      <c r="LCA103" s="530"/>
      <c r="LCB103" s="531"/>
      <c r="LCC103" s="530"/>
      <c r="LCD103" s="531"/>
      <c r="LCE103" s="530"/>
      <c r="LCF103" s="531"/>
      <c r="LCG103" s="530"/>
      <c r="LCH103" s="531"/>
      <c r="LCI103" s="530"/>
      <c r="LCJ103" s="531"/>
      <c r="LCK103" s="530"/>
      <c r="LCL103" s="531"/>
      <c r="LCM103" s="530"/>
      <c r="LCN103" s="531"/>
      <c r="LCO103" s="530"/>
      <c r="LCP103" s="531"/>
      <c r="LCQ103" s="530"/>
      <c r="LCR103" s="531"/>
      <c r="LCS103" s="530"/>
      <c r="LCT103" s="531"/>
      <c r="LCU103" s="530"/>
      <c r="LCV103" s="531"/>
      <c r="LCW103" s="530"/>
      <c r="LCX103" s="531"/>
      <c r="LCY103" s="530"/>
      <c r="LCZ103" s="531"/>
      <c r="LDA103" s="530"/>
      <c r="LDB103" s="531"/>
      <c r="LDC103" s="530"/>
      <c r="LDD103" s="531"/>
      <c r="LDE103" s="530"/>
      <c r="LDF103" s="531"/>
      <c r="LDG103" s="530"/>
      <c r="LDH103" s="531"/>
      <c r="LDI103" s="530"/>
      <c r="LDJ103" s="531"/>
      <c r="LDK103" s="530"/>
      <c r="LDL103" s="531"/>
      <c r="LDM103" s="530"/>
      <c r="LDN103" s="531"/>
      <c r="LDO103" s="530"/>
      <c r="LDP103" s="531"/>
      <c r="LDQ103" s="530"/>
      <c r="LDR103" s="531"/>
      <c r="LDS103" s="530"/>
      <c r="LDT103" s="531"/>
      <c r="LDU103" s="530"/>
      <c r="LDV103" s="531"/>
      <c r="LDW103" s="530"/>
      <c r="LDX103" s="531"/>
      <c r="LDY103" s="530"/>
      <c r="LDZ103" s="531"/>
      <c r="LEA103" s="530"/>
      <c r="LEB103" s="531"/>
      <c r="LEC103" s="530"/>
      <c r="LED103" s="531"/>
      <c r="LEE103" s="530"/>
      <c r="LEF103" s="531"/>
      <c r="LEG103" s="530"/>
      <c r="LEH103" s="531"/>
      <c r="LEI103" s="530"/>
      <c r="LEJ103" s="531"/>
      <c r="LEK103" s="530"/>
      <c r="LEL103" s="531"/>
      <c r="LEM103" s="530"/>
      <c r="LEN103" s="531"/>
      <c r="LEO103" s="530"/>
      <c r="LEP103" s="531"/>
      <c r="LEQ103" s="530"/>
      <c r="LER103" s="531"/>
      <c r="LES103" s="530"/>
      <c r="LET103" s="531"/>
      <c r="LEU103" s="530"/>
      <c r="LEV103" s="531"/>
      <c r="LEW103" s="530"/>
      <c r="LEX103" s="531"/>
      <c r="LEY103" s="530"/>
      <c r="LEZ103" s="531"/>
      <c r="LFA103" s="530"/>
      <c r="LFB103" s="531"/>
      <c r="LFC103" s="530"/>
      <c r="LFD103" s="531"/>
      <c r="LFE103" s="530"/>
      <c r="LFF103" s="531"/>
      <c r="LFG103" s="530"/>
      <c r="LFH103" s="531"/>
      <c r="LFI103" s="530"/>
      <c r="LFJ103" s="531"/>
      <c r="LFK103" s="530"/>
      <c r="LFL103" s="531"/>
      <c r="LFM103" s="530"/>
      <c r="LFN103" s="531"/>
      <c r="LFO103" s="530"/>
      <c r="LFP103" s="531"/>
      <c r="LFQ103" s="530"/>
      <c r="LFR103" s="531"/>
      <c r="LFS103" s="530"/>
      <c r="LFT103" s="531"/>
      <c r="LFU103" s="530"/>
      <c r="LFV103" s="531"/>
      <c r="LFW103" s="530"/>
      <c r="LFX103" s="531"/>
      <c r="LFY103" s="530"/>
      <c r="LFZ103" s="531"/>
      <c r="LGA103" s="530"/>
      <c r="LGB103" s="531"/>
      <c r="LGC103" s="530"/>
      <c r="LGD103" s="531"/>
      <c r="LGE103" s="530"/>
      <c r="LGF103" s="531"/>
      <c r="LGG103" s="530"/>
      <c r="LGH103" s="531"/>
      <c r="LGI103" s="530"/>
      <c r="LGJ103" s="531"/>
      <c r="LGK103" s="530"/>
      <c r="LGL103" s="531"/>
      <c r="LGM103" s="530"/>
      <c r="LGN103" s="531"/>
      <c r="LGO103" s="530"/>
      <c r="LGP103" s="531"/>
      <c r="LGQ103" s="530"/>
      <c r="LGR103" s="531"/>
      <c r="LGS103" s="530"/>
      <c r="LGT103" s="531"/>
      <c r="LGU103" s="530"/>
      <c r="LGV103" s="531"/>
      <c r="LGW103" s="530"/>
      <c r="LGX103" s="531"/>
      <c r="LGY103" s="530"/>
      <c r="LGZ103" s="531"/>
      <c r="LHA103" s="530"/>
      <c r="LHB103" s="531"/>
      <c r="LHC103" s="530"/>
      <c r="LHD103" s="531"/>
      <c r="LHE103" s="530"/>
      <c r="LHF103" s="531"/>
      <c r="LHG103" s="530"/>
      <c r="LHH103" s="531"/>
      <c r="LHI103" s="530"/>
      <c r="LHJ103" s="531"/>
      <c r="LHK103" s="530"/>
      <c r="LHL103" s="531"/>
      <c r="LHM103" s="530"/>
      <c r="LHN103" s="531"/>
      <c r="LHO103" s="530"/>
      <c r="LHP103" s="531"/>
      <c r="LHQ103" s="530"/>
      <c r="LHR103" s="531"/>
      <c r="LHS103" s="530"/>
      <c r="LHT103" s="531"/>
      <c r="LHU103" s="530"/>
      <c r="LHV103" s="531"/>
      <c r="LHW103" s="530"/>
      <c r="LHX103" s="531"/>
      <c r="LHY103" s="530"/>
      <c r="LHZ103" s="531"/>
      <c r="LIA103" s="530"/>
      <c r="LIB103" s="531"/>
      <c r="LIC103" s="530"/>
      <c r="LID103" s="531"/>
      <c r="LIE103" s="530"/>
      <c r="LIF103" s="531"/>
      <c r="LIG103" s="530"/>
      <c r="LIH103" s="531"/>
      <c r="LII103" s="530"/>
      <c r="LIJ103" s="531"/>
      <c r="LIK103" s="530"/>
      <c r="LIL103" s="531"/>
      <c r="LIM103" s="530"/>
      <c r="LIN103" s="531"/>
      <c r="LIO103" s="530"/>
      <c r="LIP103" s="531"/>
      <c r="LIQ103" s="530"/>
      <c r="LIR103" s="531"/>
      <c r="LIS103" s="530"/>
      <c r="LIT103" s="531"/>
      <c r="LIU103" s="530"/>
      <c r="LIV103" s="531"/>
      <c r="LIW103" s="530"/>
      <c r="LIX103" s="531"/>
      <c r="LIY103" s="530"/>
      <c r="LIZ103" s="531"/>
      <c r="LJA103" s="530"/>
      <c r="LJB103" s="531"/>
      <c r="LJC103" s="530"/>
      <c r="LJD103" s="531"/>
      <c r="LJE103" s="530"/>
      <c r="LJF103" s="531"/>
      <c r="LJG103" s="530"/>
      <c r="LJH103" s="531"/>
      <c r="LJI103" s="530"/>
      <c r="LJJ103" s="531"/>
      <c r="LJK103" s="530"/>
      <c r="LJL103" s="531"/>
      <c r="LJM103" s="530"/>
      <c r="LJN103" s="531"/>
      <c r="LJO103" s="530"/>
      <c r="LJP103" s="531"/>
      <c r="LJQ103" s="530"/>
      <c r="LJR103" s="531"/>
      <c r="LJS103" s="530"/>
      <c r="LJT103" s="531"/>
      <c r="LJU103" s="530"/>
      <c r="LJV103" s="531"/>
      <c r="LJW103" s="530"/>
      <c r="LJX103" s="531"/>
      <c r="LJY103" s="530"/>
      <c r="LJZ103" s="531"/>
      <c r="LKA103" s="530"/>
      <c r="LKB103" s="531"/>
      <c r="LKC103" s="530"/>
      <c r="LKD103" s="531"/>
      <c r="LKE103" s="530"/>
      <c r="LKF103" s="531"/>
      <c r="LKG103" s="530"/>
      <c r="LKH103" s="531"/>
      <c r="LKI103" s="530"/>
      <c r="LKJ103" s="531"/>
      <c r="LKK103" s="530"/>
      <c r="LKL103" s="531"/>
      <c r="LKM103" s="530"/>
      <c r="LKN103" s="531"/>
      <c r="LKO103" s="530"/>
      <c r="LKP103" s="531"/>
      <c r="LKQ103" s="530"/>
      <c r="LKR103" s="531"/>
      <c r="LKS103" s="530"/>
      <c r="LKT103" s="531"/>
      <c r="LKU103" s="530"/>
      <c r="LKV103" s="531"/>
      <c r="LKW103" s="530"/>
      <c r="LKX103" s="531"/>
      <c r="LKY103" s="530"/>
      <c r="LKZ103" s="531"/>
      <c r="LLA103" s="530"/>
      <c r="LLB103" s="531"/>
      <c r="LLC103" s="530"/>
      <c r="LLD103" s="531"/>
      <c r="LLE103" s="530"/>
      <c r="LLF103" s="531"/>
      <c r="LLG103" s="530"/>
      <c r="LLH103" s="531"/>
      <c r="LLI103" s="530"/>
      <c r="LLJ103" s="531"/>
      <c r="LLK103" s="530"/>
      <c r="LLL103" s="531"/>
      <c r="LLM103" s="530"/>
      <c r="LLN103" s="531"/>
      <c r="LLO103" s="530"/>
      <c r="LLP103" s="531"/>
      <c r="LLQ103" s="530"/>
      <c r="LLR103" s="531"/>
      <c r="LLS103" s="530"/>
      <c r="LLT103" s="531"/>
      <c r="LLU103" s="530"/>
      <c r="LLV103" s="531"/>
      <c r="LLW103" s="530"/>
      <c r="LLX103" s="531"/>
      <c r="LLY103" s="530"/>
      <c r="LLZ103" s="531"/>
      <c r="LMA103" s="530"/>
      <c r="LMB103" s="531"/>
      <c r="LMC103" s="530"/>
      <c r="LMD103" s="531"/>
      <c r="LME103" s="530"/>
      <c r="LMF103" s="531"/>
      <c r="LMG103" s="530"/>
      <c r="LMH103" s="531"/>
      <c r="LMI103" s="530"/>
      <c r="LMJ103" s="531"/>
      <c r="LMK103" s="530"/>
      <c r="LML103" s="531"/>
      <c r="LMM103" s="530"/>
      <c r="LMN103" s="531"/>
      <c r="LMO103" s="530"/>
      <c r="LMP103" s="531"/>
      <c r="LMQ103" s="530"/>
      <c r="LMR103" s="531"/>
      <c r="LMS103" s="530"/>
      <c r="LMT103" s="531"/>
      <c r="LMU103" s="530"/>
      <c r="LMV103" s="531"/>
      <c r="LMW103" s="530"/>
      <c r="LMX103" s="531"/>
      <c r="LMY103" s="530"/>
      <c r="LMZ103" s="531"/>
      <c r="LNA103" s="530"/>
      <c r="LNB103" s="531"/>
      <c r="LNC103" s="530"/>
      <c r="LND103" s="531"/>
      <c r="LNE103" s="530"/>
      <c r="LNF103" s="531"/>
      <c r="LNG103" s="530"/>
      <c r="LNH103" s="531"/>
      <c r="LNI103" s="530"/>
      <c r="LNJ103" s="531"/>
      <c r="LNK103" s="530"/>
      <c r="LNL103" s="531"/>
      <c r="LNM103" s="530"/>
      <c r="LNN103" s="531"/>
      <c r="LNO103" s="530"/>
      <c r="LNP103" s="531"/>
      <c r="LNQ103" s="530"/>
      <c r="LNR103" s="531"/>
      <c r="LNS103" s="530"/>
      <c r="LNT103" s="531"/>
      <c r="LNU103" s="530"/>
      <c r="LNV103" s="531"/>
      <c r="LNW103" s="530"/>
      <c r="LNX103" s="531"/>
      <c r="LNY103" s="530"/>
      <c r="LNZ103" s="531"/>
      <c r="LOA103" s="530"/>
      <c r="LOB103" s="531"/>
      <c r="LOC103" s="530"/>
      <c r="LOD103" s="531"/>
      <c r="LOE103" s="530"/>
      <c r="LOF103" s="531"/>
      <c r="LOG103" s="530"/>
      <c r="LOH103" s="531"/>
      <c r="LOI103" s="530"/>
      <c r="LOJ103" s="531"/>
      <c r="LOK103" s="530"/>
      <c r="LOL103" s="531"/>
      <c r="LOM103" s="530"/>
      <c r="LON103" s="531"/>
      <c r="LOO103" s="530"/>
      <c r="LOP103" s="531"/>
      <c r="LOQ103" s="530"/>
      <c r="LOR103" s="531"/>
      <c r="LOS103" s="530"/>
      <c r="LOT103" s="531"/>
      <c r="LOU103" s="530"/>
      <c r="LOV103" s="531"/>
      <c r="LOW103" s="530"/>
      <c r="LOX103" s="531"/>
      <c r="LOY103" s="530"/>
      <c r="LOZ103" s="531"/>
      <c r="LPA103" s="530"/>
      <c r="LPB103" s="531"/>
      <c r="LPC103" s="530"/>
      <c r="LPD103" s="531"/>
      <c r="LPE103" s="530"/>
      <c r="LPF103" s="531"/>
      <c r="LPG103" s="530"/>
      <c r="LPH103" s="531"/>
      <c r="LPI103" s="530"/>
      <c r="LPJ103" s="531"/>
      <c r="LPK103" s="530"/>
      <c r="LPL103" s="531"/>
      <c r="LPM103" s="530"/>
      <c r="LPN103" s="531"/>
      <c r="LPO103" s="530"/>
      <c r="LPP103" s="531"/>
      <c r="LPQ103" s="530"/>
      <c r="LPR103" s="531"/>
      <c r="LPS103" s="530"/>
      <c r="LPT103" s="531"/>
      <c r="LPU103" s="530"/>
      <c r="LPV103" s="531"/>
      <c r="LPW103" s="530"/>
      <c r="LPX103" s="531"/>
      <c r="LPY103" s="530"/>
      <c r="LPZ103" s="531"/>
      <c r="LQA103" s="530"/>
      <c r="LQB103" s="531"/>
      <c r="LQC103" s="530"/>
      <c r="LQD103" s="531"/>
      <c r="LQE103" s="530"/>
      <c r="LQF103" s="531"/>
      <c r="LQG103" s="530"/>
      <c r="LQH103" s="531"/>
      <c r="LQI103" s="530"/>
      <c r="LQJ103" s="531"/>
      <c r="LQK103" s="530"/>
      <c r="LQL103" s="531"/>
      <c r="LQM103" s="530"/>
      <c r="LQN103" s="531"/>
      <c r="LQO103" s="530"/>
      <c r="LQP103" s="531"/>
      <c r="LQQ103" s="530"/>
      <c r="LQR103" s="531"/>
      <c r="LQS103" s="530"/>
      <c r="LQT103" s="531"/>
      <c r="LQU103" s="530"/>
      <c r="LQV103" s="531"/>
      <c r="LQW103" s="530"/>
      <c r="LQX103" s="531"/>
      <c r="LQY103" s="530"/>
      <c r="LQZ103" s="531"/>
      <c r="LRA103" s="530"/>
      <c r="LRB103" s="531"/>
      <c r="LRC103" s="530"/>
      <c r="LRD103" s="531"/>
      <c r="LRE103" s="530"/>
      <c r="LRF103" s="531"/>
      <c r="LRG103" s="530"/>
      <c r="LRH103" s="531"/>
      <c r="LRI103" s="530"/>
      <c r="LRJ103" s="531"/>
      <c r="LRK103" s="530"/>
      <c r="LRL103" s="531"/>
      <c r="LRM103" s="530"/>
      <c r="LRN103" s="531"/>
      <c r="LRO103" s="530"/>
      <c r="LRP103" s="531"/>
      <c r="LRQ103" s="530"/>
      <c r="LRR103" s="531"/>
      <c r="LRS103" s="530"/>
      <c r="LRT103" s="531"/>
      <c r="LRU103" s="530"/>
      <c r="LRV103" s="531"/>
      <c r="LRW103" s="530"/>
      <c r="LRX103" s="531"/>
      <c r="LRY103" s="530"/>
      <c r="LRZ103" s="531"/>
      <c r="LSA103" s="530"/>
      <c r="LSB103" s="531"/>
      <c r="LSC103" s="530"/>
      <c r="LSD103" s="531"/>
      <c r="LSE103" s="530"/>
      <c r="LSF103" s="531"/>
      <c r="LSG103" s="530"/>
      <c r="LSH103" s="531"/>
      <c r="LSI103" s="530"/>
      <c r="LSJ103" s="531"/>
      <c r="LSK103" s="530"/>
      <c r="LSL103" s="531"/>
      <c r="LSM103" s="530"/>
      <c r="LSN103" s="531"/>
      <c r="LSO103" s="530"/>
      <c r="LSP103" s="531"/>
      <c r="LSQ103" s="530"/>
      <c r="LSR103" s="531"/>
      <c r="LSS103" s="530"/>
      <c r="LST103" s="531"/>
      <c r="LSU103" s="530"/>
      <c r="LSV103" s="531"/>
      <c r="LSW103" s="530"/>
      <c r="LSX103" s="531"/>
      <c r="LSY103" s="530"/>
      <c r="LSZ103" s="531"/>
      <c r="LTA103" s="530"/>
      <c r="LTB103" s="531"/>
      <c r="LTC103" s="530"/>
      <c r="LTD103" s="531"/>
      <c r="LTE103" s="530"/>
      <c r="LTF103" s="531"/>
      <c r="LTG103" s="530"/>
      <c r="LTH103" s="531"/>
      <c r="LTI103" s="530"/>
      <c r="LTJ103" s="531"/>
      <c r="LTK103" s="530"/>
      <c r="LTL103" s="531"/>
      <c r="LTM103" s="530"/>
      <c r="LTN103" s="531"/>
      <c r="LTO103" s="530"/>
      <c r="LTP103" s="531"/>
      <c r="LTQ103" s="530"/>
      <c r="LTR103" s="531"/>
      <c r="LTS103" s="530"/>
      <c r="LTT103" s="531"/>
      <c r="LTU103" s="530"/>
      <c r="LTV103" s="531"/>
      <c r="LTW103" s="530"/>
      <c r="LTX103" s="531"/>
      <c r="LTY103" s="530"/>
      <c r="LTZ103" s="531"/>
      <c r="LUA103" s="530"/>
      <c r="LUB103" s="531"/>
      <c r="LUC103" s="530"/>
      <c r="LUD103" s="531"/>
      <c r="LUE103" s="530"/>
      <c r="LUF103" s="531"/>
      <c r="LUG103" s="530"/>
      <c r="LUH103" s="531"/>
      <c r="LUI103" s="530"/>
      <c r="LUJ103" s="531"/>
      <c r="LUK103" s="530"/>
      <c r="LUL103" s="531"/>
      <c r="LUM103" s="530"/>
      <c r="LUN103" s="531"/>
      <c r="LUO103" s="530"/>
      <c r="LUP103" s="531"/>
      <c r="LUQ103" s="530"/>
      <c r="LUR103" s="531"/>
      <c r="LUS103" s="530"/>
      <c r="LUT103" s="531"/>
      <c r="LUU103" s="530"/>
      <c r="LUV103" s="531"/>
      <c r="LUW103" s="530"/>
      <c r="LUX103" s="531"/>
      <c r="LUY103" s="530"/>
      <c r="LUZ103" s="531"/>
      <c r="LVA103" s="530"/>
      <c r="LVB103" s="531"/>
      <c r="LVC103" s="530"/>
      <c r="LVD103" s="531"/>
      <c r="LVE103" s="530"/>
      <c r="LVF103" s="531"/>
      <c r="LVG103" s="530"/>
      <c r="LVH103" s="531"/>
      <c r="LVI103" s="530"/>
      <c r="LVJ103" s="531"/>
      <c r="LVK103" s="530"/>
      <c r="LVL103" s="531"/>
      <c r="LVM103" s="530"/>
      <c r="LVN103" s="531"/>
      <c r="LVO103" s="530"/>
      <c r="LVP103" s="531"/>
      <c r="LVQ103" s="530"/>
      <c r="LVR103" s="531"/>
      <c r="LVS103" s="530"/>
      <c r="LVT103" s="531"/>
      <c r="LVU103" s="530"/>
      <c r="LVV103" s="531"/>
      <c r="LVW103" s="530"/>
      <c r="LVX103" s="531"/>
      <c r="LVY103" s="530"/>
      <c r="LVZ103" s="531"/>
      <c r="LWA103" s="530"/>
      <c r="LWB103" s="531"/>
      <c r="LWC103" s="530"/>
      <c r="LWD103" s="531"/>
      <c r="LWE103" s="530"/>
      <c r="LWF103" s="531"/>
      <c r="LWG103" s="530"/>
      <c r="LWH103" s="531"/>
      <c r="LWI103" s="530"/>
      <c r="LWJ103" s="531"/>
      <c r="LWK103" s="530"/>
      <c r="LWL103" s="531"/>
      <c r="LWM103" s="530"/>
      <c r="LWN103" s="531"/>
      <c r="LWO103" s="530"/>
      <c r="LWP103" s="531"/>
      <c r="LWQ103" s="530"/>
      <c r="LWR103" s="531"/>
      <c r="LWS103" s="530"/>
      <c r="LWT103" s="531"/>
      <c r="LWU103" s="530"/>
      <c r="LWV103" s="531"/>
      <c r="LWW103" s="530"/>
      <c r="LWX103" s="531"/>
      <c r="LWY103" s="530"/>
      <c r="LWZ103" s="531"/>
      <c r="LXA103" s="530"/>
      <c r="LXB103" s="531"/>
      <c r="LXC103" s="530"/>
      <c r="LXD103" s="531"/>
      <c r="LXE103" s="530"/>
      <c r="LXF103" s="531"/>
      <c r="LXG103" s="530"/>
      <c r="LXH103" s="531"/>
      <c r="LXI103" s="530"/>
      <c r="LXJ103" s="531"/>
      <c r="LXK103" s="530"/>
      <c r="LXL103" s="531"/>
      <c r="LXM103" s="530"/>
      <c r="LXN103" s="531"/>
      <c r="LXO103" s="530"/>
      <c r="LXP103" s="531"/>
      <c r="LXQ103" s="530"/>
      <c r="LXR103" s="531"/>
      <c r="LXS103" s="530"/>
      <c r="LXT103" s="531"/>
      <c r="LXU103" s="530"/>
      <c r="LXV103" s="531"/>
      <c r="LXW103" s="530"/>
      <c r="LXX103" s="531"/>
      <c r="LXY103" s="530"/>
      <c r="LXZ103" s="531"/>
      <c r="LYA103" s="530"/>
      <c r="LYB103" s="531"/>
      <c r="LYC103" s="530"/>
      <c r="LYD103" s="531"/>
      <c r="LYE103" s="530"/>
      <c r="LYF103" s="531"/>
      <c r="LYG103" s="530"/>
      <c r="LYH103" s="531"/>
      <c r="LYI103" s="530"/>
      <c r="LYJ103" s="531"/>
      <c r="LYK103" s="530"/>
      <c r="LYL103" s="531"/>
      <c r="LYM103" s="530"/>
      <c r="LYN103" s="531"/>
      <c r="LYO103" s="530"/>
      <c r="LYP103" s="531"/>
      <c r="LYQ103" s="530"/>
      <c r="LYR103" s="531"/>
      <c r="LYS103" s="530"/>
      <c r="LYT103" s="531"/>
      <c r="LYU103" s="530"/>
      <c r="LYV103" s="531"/>
      <c r="LYW103" s="530"/>
      <c r="LYX103" s="531"/>
      <c r="LYY103" s="530"/>
      <c r="LYZ103" s="531"/>
      <c r="LZA103" s="530"/>
      <c r="LZB103" s="531"/>
      <c r="LZC103" s="530"/>
      <c r="LZD103" s="531"/>
      <c r="LZE103" s="530"/>
      <c r="LZF103" s="531"/>
      <c r="LZG103" s="530"/>
      <c r="LZH103" s="531"/>
      <c r="LZI103" s="530"/>
      <c r="LZJ103" s="531"/>
      <c r="LZK103" s="530"/>
      <c r="LZL103" s="531"/>
      <c r="LZM103" s="530"/>
      <c r="LZN103" s="531"/>
      <c r="LZO103" s="530"/>
      <c r="LZP103" s="531"/>
      <c r="LZQ103" s="530"/>
      <c r="LZR103" s="531"/>
      <c r="LZS103" s="530"/>
      <c r="LZT103" s="531"/>
      <c r="LZU103" s="530"/>
      <c r="LZV103" s="531"/>
      <c r="LZW103" s="530"/>
      <c r="LZX103" s="531"/>
      <c r="LZY103" s="530"/>
      <c r="LZZ103" s="531"/>
      <c r="MAA103" s="530"/>
      <c r="MAB103" s="531"/>
      <c r="MAC103" s="530"/>
      <c r="MAD103" s="531"/>
      <c r="MAE103" s="530"/>
      <c r="MAF103" s="531"/>
      <c r="MAG103" s="530"/>
      <c r="MAH103" s="531"/>
      <c r="MAI103" s="530"/>
      <c r="MAJ103" s="531"/>
      <c r="MAK103" s="530"/>
      <c r="MAL103" s="531"/>
      <c r="MAM103" s="530"/>
      <c r="MAN103" s="531"/>
      <c r="MAO103" s="530"/>
      <c r="MAP103" s="531"/>
      <c r="MAQ103" s="530"/>
      <c r="MAR103" s="531"/>
      <c r="MAS103" s="530"/>
      <c r="MAT103" s="531"/>
      <c r="MAU103" s="530"/>
      <c r="MAV103" s="531"/>
      <c r="MAW103" s="530"/>
      <c r="MAX103" s="531"/>
      <c r="MAY103" s="530"/>
      <c r="MAZ103" s="531"/>
      <c r="MBA103" s="530"/>
      <c r="MBB103" s="531"/>
      <c r="MBC103" s="530"/>
      <c r="MBD103" s="531"/>
      <c r="MBE103" s="530"/>
      <c r="MBF103" s="531"/>
      <c r="MBG103" s="530"/>
      <c r="MBH103" s="531"/>
      <c r="MBI103" s="530"/>
      <c r="MBJ103" s="531"/>
      <c r="MBK103" s="530"/>
      <c r="MBL103" s="531"/>
      <c r="MBM103" s="530"/>
      <c r="MBN103" s="531"/>
      <c r="MBO103" s="530"/>
      <c r="MBP103" s="531"/>
      <c r="MBQ103" s="530"/>
      <c r="MBR103" s="531"/>
      <c r="MBS103" s="530"/>
      <c r="MBT103" s="531"/>
      <c r="MBU103" s="530"/>
      <c r="MBV103" s="531"/>
      <c r="MBW103" s="530"/>
      <c r="MBX103" s="531"/>
      <c r="MBY103" s="530"/>
      <c r="MBZ103" s="531"/>
      <c r="MCA103" s="530"/>
      <c r="MCB103" s="531"/>
      <c r="MCC103" s="530"/>
      <c r="MCD103" s="531"/>
      <c r="MCE103" s="530"/>
      <c r="MCF103" s="531"/>
      <c r="MCG103" s="530"/>
      <c r="MCH103" s="531"/>
      <c r="MCI103" s="530"/>
      <c r="MCJ103" s="531"/>
      <c r="MCK103" s="530"/>
      <c r="MCL103" s="531"/>
      <c r="MCM103" s="530"/>
      <c r="MCN103" s="531"/>
      <c r="MCO103" s="530"/>
      <c r="MCP103" s="531"/>
      <c r="MCQ103" s="530"/>
      <c r="MCR103" s="531"/>
      <c r="MCS103" s="530"/>
      <c r="MCT103" s="531"/>
      <c r="MCU103" s="530"/>
      <c r="MCV103" s="531"/>
      <c r="MCW103" s="530"/>
      <c r="MCX103" s="531"/>
      <c r="MCY103" s="530"/>
      <c r="MCZ103" s="531"/>
      <c r="MDA103" s="530"/>
      <c r="MDB103" s="531"/>
      <c r="MDC103" s="530"/>
      <c r="MDD103" s="531"/>
      <c r="MDE103" s="530"/>
      <c r="MDF103" s="531"/>
      <c r="MDG103" s="530"/>
      <c r="MDH103" s="531"/>
      <c r="MDI103" s="530"/>
      <c r="MDJ103" s="531"/>
      <c r="MDK103" s="530"/>
      <c r="MDL103" s="531"/>
      <c r="MDM103" s="530"/>
      <c r="MDN103" s="531"/>
      <c r="MDO103" s="530"/>
      <c r="MDP103" s="531"/>
      <c r="MDQ103" s="530"/>
      <c r="MDR103" s="531"/>
      <c r="MDS103" s="530"/>
      <c r="MDT103" s="531"/>
      <c r="MDU103" s="530"/>
      <c r="MDV103" s="531"/>
      <c r="MDW103" s="530"/>
      <c r="MDX103" s="531"/>
      <c r="MDY103" s="530"/>
      <c r="MDZ103" s="531"/>
      <c r="MEA103" s="530"/>
      <c r="MEB103" s="531"/>
      <c r="MEC103" s="530"/>
      <c r="MED103" s="531"/>
      <c r="MEE103" s="530"/>
      <c r="MEF103" s="531"/>
      <c r="MEG103" s="530"/>
      <c r="MEH103" s="531"/>
      <c r="MEI103" s="530"/>
      <c r="MEJ103" s="531"/>
      <c r="MEK103" s="530"/>
      <c r="MEL103" s="531"/>
      <c r="MEM103" s="530"/>
      <c r="MEN103" s="531"/>
      <c r="MEO103" s="530"/>
      <c r="MEP103" s="531"/>
      <c r="MEQ103" s="530"/>
      <c r="MER103" s="531"/>
      <c r="MES103" s="530"/>
      <c r="MET103" s="531"/>
      <c r="MEU103" s="530"/>
      <c r="MEV103" s="531"/>
      <c r="MEW103" s="530"/>
      <c r="MEX103" s="531"/>
      <c r="MEY103" s="530"/>
      <c r="MEZ103" s="531"/>
      <c r="MFA103" s="530"/>
      <c r="MFB103" s="531"/>
      <c r="MFC103" s="530"/>
      <c r="MFD103" s="531"/>
      <c r="MFE103" s="530"/>
      <c r="MFF103" s="531"/>
      <c r="MFG103" s="530"/>
      <c r="MFH103" s="531"/>
      <c r="MFI103" s="530"/>
      <c r="MFJ103" s="531"/>
      <c r="MFK103" s="530"/>
      <c r="MFL103" s="531"/>
      <c r="MFM103" s="530"/>
      <c r="MFN103" s="531"/>
      <c r="MFO103" s="530"/>
      <c r="MFP103" s="531"/>
      <c r="MFQ103" s="530"/>
      <c r="MFR103" s="531"/>
      <c r="MFS103" s="530"/>
      <c r="MFT103" s="531"/>
      <c r="MFU103" s="530"/>
      <c r="MFV103" s="531"/>
      <c r="MFW103" s="530"/>
      <c r="MFX103" s="531"/>
      <c r="MFY103" s="530"/>
      <c r="MFZ103" s="531"/>
      <c r="MGA103" s="530"/>
      <c r="MGB103" s="531"/>
      <c r="MGC103" s="530"/>
      <c r="MGD103" s="531"/>
      <c r="MGE103" s="530"/>
      <c r="MGF103" s="531"/>
      <c r="MGG103" s="530"/>
      <c r="MGH103" s="531"/>
      <c r="MGI103" s="530"/>
      <c r="MGJ103" s="531"/>
      <c r="MGK103" s="530"/>
      <c r="MGL103" s="531"/>
      <c r="MGM103" s="530"/>
      <c r="MGN103" s="531"/>
      <c r="MGO103" s="530"/>
      <c r="MGP103" s="531"/>
      <c r="MGQ103" s="530"/>
      <c r="MGR103" s="531"/>
      <c r="MGS103" s="530"/>
      <c r="MGT103" s="531"/>
      <c r="MGU103" s="530"/>
      <c r="MGV103" s="531"/>
      <c r="MGW103" s="530"/>
      <c r="MGX103" s="531"/>
      <c r="MGY103" s="530"/>
      <c r="MGZ103" s="531"/>
      <c r="MHA103" s="530"/>
      <c r="MHB103" s="531"/>
      <c r="MHC103" s="530"/>
      <c r="MHD103" s="531"/>
      <c r="MHE103" s="530"/>
      <c r="MHF103" s="531"/>
      <c r="MHG103" s="530"/>
      <c r="MHH103" s="531"/>
      <c r="MHI103" s="530"/>
      <c r="MHJ103" s="531"/>
      <c r="MHK103" s="530"/>
      <c r="MHL103" s="531"/>
      <c r="MHM103" s="530"/>
      <c r="MHN103" s="531"/>
      <c r="MHO103" s="530"/>
      <c r="MHP103" s="531"/>
      <c r="MHQ103" s="530"/>
      <c r="MHR103" s="531"/>
      <c r="MHS103" s="530"/>
      <c r="MHT103" s="531"/>
      <c r="MHU103" s="530"/>
      <c r="MHV103" s="531"/>
      <c r="MHW103" s="530"/>
      <c r="MHX103" s="531"/>
      <c r="MHY103" s="530"/>
      <c r="MHZ103" s="531"/>
      <c r="MIA103" s="530"/>
      <c r="MIB103" s="531"/>
      <c r="MIC103" s="530"/>
      <c r="MID103" s="531"/>
      <c r="MIE103" s="530"/>
      <c r="MIF103" s="531"/>
      <c r="MIG103" s="530"/>
      <c r="MIH103" s="531"/>
      <c r="MII103" s="530"/>
      <c r="MIJ103" s="531"/>
      <c r="MIK103" s="530"/>
      <c r="MIL103" s="531"/>
      <c r="MIM103" s="530"/>
      <c r="MIN103" s="531"/>
      <c r="MIO103" s="530"/>
      <c r="MIP103" s="531"/>
      <c r="MIQ103" s="530"/>
      <c r="MIR103" s="531"/>
      <c r="MIS103" s="530"/>
      <c r="MIT103" s="531"/>
      <c r="MIU103" s="530"/>
      <c r="MIV103" s="531"/>
      <c r="MIW103" s="530"/>
      <c r="MIX103" s="531"/>
      <c r="MIY103" s="530"/>
      <c r="MIZ103" s="531"/>
      <c r="MJA103" s="530"/>
      <c r="MJB103" s="531"/>
      <c r="MJC103" s="530"/>
      <c r="MJD103" s="531"/>
      <c r="MJE103" s="530"/>
      <c r="MJF103" s="531"/>
      <c r="MJG103" s="530"/>
      <c r="MJH103" s="531"/>
      <c r="MJI103" s="530"/>
      <c r="MJJ103" s="531"/>
      <c r="MJK103" s="530"/>
      <c r="MJL103" s="531"/>
      <c r="MJM103" s="530"/>
      <c r="MJN103" s="531"/>
      <c r="MJO103" s="530"/>
      <c r="MJP103" s="531"/>
      <c r="MJQ103" s="530"/>
      <c r="MJR103" s="531"/>
      <c r="MJS103" s="530"/>
      <c r="MJT103" s="531"/>
      <c r="MJU103" s="530"/>
      <c r="MJV103" s="531"/>
      <c r="MJW103" s="530"/>
      <c r="MJX103" s="531"/>
      <c r="MJY103" s="530"/>
      <c r="MJZ103" s="531"/>
      <c r="MKA103" s="530"/>
      <c r="MKB103" s="531"/>
      <c r="MKC103" s="530"/>
      <c r="MKD103" s="531"/>
      <c r="MKE103" s="530"/>
      <c r="MKF103" s="531"/>
      <c r="MKG103" s="530"/>
      <c r="MKH103" s="531"/>
      <c r="MKI103" s="530"/>
      <c r="MKJ103" s="531"/>
      <c r="MKK103" s="530"/>
      <c r="MKL103" s="531"/>
      <c r="MKM103" s="530"/>
      <c r="MKN103" s="531"/>
      <c r="MKO103" s="530"/>
      <c r="MKP103" s="531"/>
      <c r="MKQ103" s="530"/>
      <c r="MKR103" s="531"/>
      <c r="MKS103" s="530"/>
      <c r="MKT103" s="531"/>
      <c r="MKU103" s="530"/>
      <c r="MKV103" s="531"/>
      <c r="MKW103" s="530"/>
      <c r="MKX103" s="531"/>
      <c r="MKY103" s="530"/>
      <c r="MKZ103" s="531"/>
      <c r="MLA103" s="530"/>
      <c r="MLB103" s="531"/>
      <c r="MLC103" s="530"/>
      <c r="MLD103" s="531"/>
      <c r="MLE103" s="530"/>
      <c r="MLF103" s="531"/>
      <c r="MLG103" s="530"/>
      <c r="MLH103" s="531"/>
      <c r="MLI103" s="530"/>
      <c r="MLJ103" s="531"/>
      <c r="MLK103" s="530"/>
      <c r="MLL103" s="531"/>
      <c r="MLM103" s="530"/>
      <c r="MLN103" s="531"/>
      <c r="MLO103" s="530"/>
      <c r="MLP103" s="531"/>
      <c r="MLQ103" s="530"/>
      <c r="MLR103" s="531"/>
      <c r="MLS103" s="530"/>
      <c r="MLT103" s="531"/>
      <c r="MLU103" s="530"/>
      <c r="MLV103" s="531"/>
      <c r="MLW103" s="530"/>
      <c r="MLX103" s="531"/>
      <c r="MLY103" s="530"/>
      <c r="MLZ103" s="531"/>
      <c r="MMA103" s="530"/>
      <c r="MMB103" s="531"/>
      <c r="MMC103" s="530"/>
      <c r="MMD103" s="531"/>
      <c r="MME103" s="530"/>
      <c r="MMF103" s="531"/>
      <c r="MMG103" s="530"/>
      <c r="MMH103" s="531"/>
      <c r="MMI103" s="530"/>
      <c r="MMJ103" s="531"/>
      <c r="MMK103" s="530"/>
      <c r="MML103" s="531"/>
      <c r="MMM103" s="530"/>
      <c r="MMN103" s="531"/>
      <c r="MMO103" s="530"/>
      <c r="MMP103" s="531"/>
      <c r="MMQ103" s="530"/>
      <c r="MMR103" s="531"/>
      <c r="MMS103" s="530"/>
      <c r="MMT103" s="531"/>
      <c r="MMU103" s="530"/>
      <c r="MMV103" s="531"/>
      <c r="MMW103" s="530"/>
      <c r="MMX103" s="531"/>
      <c r="MMY103" s="530"/>
      <c r="MMZ103" s="531"/>
      <c r="MNA103" s="530"/>
      <c r="MNB103" s="531"/>
      <c r="MNC103" s="530"/>
      <c r="MND103" s="531"/>
      <c r="MNE103" s="530"/>
      <c r="MNF103" s="531"/>
      <c r="MNG103" s="530"/>
      <c r="MNH103" s="531"/>
      <c r="MNI103" s="530"/>
      <c r="MNJ103" s="531"/>
      <c r="MNK103" s="530"/>
      <c r="MNL103" s="531"/>
      <c r="MNM103" s="530"/>
      <c r="MNN103" s="531"/>
      <c r="MNO103" s="530"/>
      <c r="MNP103" s="531"/>
      <c r="MNQ103" s="530"/>
      <c r="MNR103" s="531"/>
      <c r="MNS103" s="530"/>
      <c r="MNT103" s="531"/>
      <c r="MNU103" s="530"/>
      <c r="MNV103" s="531"/>
      <c r="MNW103" s="530"/>
      <c r="MNX103" s="531"/>
      <c r="MNY103" s="530"/>
      <c r="MNZ103" s="531"/>
      <c r="MOA103" s="530"/>
      <c r="MOB103" s="531"/>
      <c r="MOC103" s="530"/>
      <c r="MOD103" s="531"/>
      <c r="MOE103" s="530"/>
      <c r="MOF103" s="531"/>
      <c r="MOG103" s="530"/>
      <c r="MOH103" s="531"/>
      <c r="MOI103" s="530"/>
      <c r="MOJ103" s="531"/>
      <c r="MOK103" s="530"/>
      <c r="MOL103" s="531"/>
      <c r="MOM103" s="530"/>
      <c r="MON103" s="531"/>
      <c r="MOO103" s="530"/>
      <c r="MOP103" s="531"/>
      <c r="MOQ103" s="530"/>
      <c r="MOR103" s="531"/>
      <c r="MOS103" s="530"/>
      <c r="MOT103" s="531"/>
      <c r="MOU103" s="530"/>
      <c r="MOV103" s="531"/>
      <c r="MOW103" s="530"/>
      <c r="MOX103" s="531"/>
      <c r="MOY103" s="530"/>
      <c r="MOZ103" s="531"/>
      <c r="MPA103" s="530"/>
      <c r="MPB103" s="531"/>
      <c r="MPC103" s="530"/>
      <c r="MPD103" s="531"/>
      <c r="MPE103" s="530"/>
      <c r="MPF103" s="531"/>
      <c r="MPG103" s="530"/>
      <c r="MPH103" s="531"/>
      <c r="MPI103" s="530"/>
      <c r="MPJ103" s="531"/>
      <c r="MPK103" s="530"/>
      <c r="MPL103" s="531"/>
      <c r="MPM103" s="530"/>
      <c r="MPN103" s="531"/>
      <c r="MPO103" s="530"/>
      <c r="MPP103" s="531"/>
      <c r="MPQ103" s="530"/>
      <c r="MPR103" s="531"/>
      <c r="MPS103" s="530"/>
      <c r="MPT103" s="531"/>
      <c r="MPU103" s="530"/>
      <c r="MPV103" s="531"/>
      <c r="MPW103" s="530"/>
      <c r="MPX103" s="531"/>
      <c r="MPY103" s="530"/>
      <c r="MPZ103" s="531"/>
      <c r="MQA103" s="530"/>
      <c r="MQB103" s="531"/>
      <c r="MQC103" s="530"/>
      <c r="MQD103" s="531"/>
      <c r="MQE103" s="530"/>
      <c r="MQF103" s="531"/>
      <c r="MQG103" s="530"/>
      <c r="MQH103" s="531"/>
      <c r="MQI103" s="530"/>
      <c r="MQJ103" s="531"/>
      <c r="MQK103" s="530"/>
      <c r="MQL103" s="531"/>
      <c r="MQM103" s="530"/>
      <c r="MQN103" s="531"/>
      <c r="MQO103" s="530"/>
      <c r="MQP103" s="531"/>
      <c r="MQQ103" s="530"/>
      <c r="MQR103" s="531"/>
      <c r="MQS103" s="530"/>
      <c r="MQT103" s="531"/>
      <c r="MQU103" s="530"/>
      <c r="MQV103" s="531"/>
      <c r="MQW103" s="530"/>
      <c r="MQX103" s="531"/>
      <c r="MQY103" s="530"/>
      <c r="MQZ103" s="531"/>
      <c r="MRA103" s="530"/>
      <c r="MRB103" s="531"/>
      <c r="MRC103" s="530"/>
      <c r="MRD103" s="531"/>
      <c r="MRE103" s="530"/>
      <c r="MRF103" s="531"/>
      <c r="MRG103" s="530"/>
      <c r="MRH103" s="531"/>
      <c r="MRI103" s="530"/>
      <c r="MRJ103" s="531"/>
      <c r="MRK103" s="530"/>
      <c r="MRL103" s="531"/>
      <c r="MRM103" s="530"/>
      <c r="MRN103" s="531"/>
      <c r="MRO103" s="530"/>
      <c r="MRP103" s="531"/>
      <c r="MRQ103" s="530"/>
      <c r="MRR103" s="531"/>
      <c r="MRS103" s="530"/>
      <c r="MRT103" s="531"/>
      <c r="MRU103" s="530"/>
      <c r="MRV103" s="531"/>
      <c r="MRW103" s="530"/>
      <c r="MRX103" s="531"/>
      <c r="MRY103" s="530"/>
      <c r="MRZ103" s="531"/>
      <c r="MSA103" s="530"/>
      <c r="MSB103" s="531"/>
      <c r="MSC103" s="530"/>
      <c r="MSD103" s="531"/>
      <c r="MSE103" s="530"/>
      <c r="MSF103" s="531"/>
      <c r="MSG103" s="530"/>
      <c r="MSH103" s="531"/>
      <c r="MSI103" s="530"/>
      <c r="MSJ103" s="531"/>
      <c r="MSK103" s="530"/>
      <c r="MSL103" s="531"/>
      <c r="MSM103" s="530"/>
      <c r="MSN103" s="531"/>
      <c r="MSO103" s="530"/>
      <c r="MSP103" s="531"/>
      <c r="MSQ103" s="530"/>
      <c r="MSR103" s="531"/>
      <c r="MSS103" s="530"/>
      <c r="MST103" s="531"/>
      <c r="MSU103" s="530"/>
      <c r="MSV103" s="531"/>
      <c r="MSW103" s="530"/>
      <c r="MSX103" s="531"/>
      <c r="MSY103" s="530"/>
      <c r="MSZ103" s="531"/>
      <c r="MTA103" s="530"/>
      <c r="MTB103" s="531"/>
      <c r="MTC103" s="530"/>
      <c r="MTD103" s="531"/>
      <c r="MTE103" s="530"/>
      <c r="MTF103" s="531"/>
      <c r="MTG103" s="530"/>
      <c r="MTH103" s="531"/>
      <c r="MTI103" s="530"/>
      <c r="MTJ103" s="531"/>
      <c r="MTK103" s="530"/>
      <c r="MTL103" s="531"/>
      <c r="MTM103" s="530"/>
      <c r="MTN103" s="531"/>
      <c r="MTO103" s="530"/>
      <c r="MTP103" s="531"/>
      <c r="MTQ103" s="530"/>
      <c r="MTR103" s="531"/>
      <c r="MTS103" s="530"/>
      <c r="MTT103" s="531"/>
      <c r="MTU103" s="530"/>
      <c r="MTV103" s="531"/>
      <c r="MTW103" s="530"/>
      <c r="MTX103" s="531"/>
      <c r="MTY103" s="530"/>
      <c r="MTZ103" s="531"/>
      <c r="MUA103" s="530"/>
      <c r="MUB103" s="531"/>
      <c r="MUC103" s="530"/>
      <c r="MUD103" s="531"/>
      <c r="MUE103" s="530"/>
      <c r="MUF103" s="531"/>
      <c r="MUG103" s="530"/>
      <c r="MUH103" s="531"/>
      <c r="MUI103" s="530"/>
      <c r="MUJ103" s="531"/>
      <c r="MUK103" s="530"/>
      <c r="MUL103" s="531"/>
      <c r="MUM103" s="530"/>
      <c r="MUN103" s="531"/>
      <c r="MUO103" s="530"/>
      <c r="MUP103" s="531"/>
      <c r="MUQ103" s="530"/>
      <c r="MUR103" s="531"/>
      <c r="MUS103" s="530"/>
      <c r="MUT103" s="531"/>
      <c r="MUU103" s="530"/>
      <c r="MUV103" s="531"/>
      <c r="MUW103" s="530"/>
      <c r="MUX103" s="531"/>
      <c r="MUY103" s="530"/>
      <c r="MUZ103" s="531"/>
      <c r="MVA103" s="530"/>
      <c r="MVB103" s="531"/>
      <c r="MVC103" s="530"/>
      <c r="MVD103" s="531"/>
      <c r="MVE103" s="530"/>
      <c r="MVF103" s="531"/>
      <c r="MVG103" s="530"/>
      <c r="MVH103" s="531"/>
      <c r="MVI103" s="530"/>
      <c r="MVJ103" s="531"/>
      <c r="MVK103" s="530"/>
      <c r="MVL103" s="531"/>
      <c r="MVM103" s="530"/>
      <c r="MVN103" s="531"/>
      <c r="MVO103" s="530"/>
      <c r="MVP103" s="531"/>
      <c r="MVQ103" s="530"/>
      <c r="MVR103" s="531"/>
      <c r="MVS103" s="530"/>
      <c r="MVT103" s="531"/>
      <c r="MVU103" s="530"/>
      <c r="MVV103" s="531"/>
      <c r="MVW103" s="530"/>
      <c r="MVX103" s="531"/>
      <c r="MVY103" s="530"/>
      <c r="MVZ103" s="531"/>
      <c r="MWA103" s="530"/>
      <c r="MWB103" s="531"/>
      <c r="MWC103" s="530"/>
      <c r="MWD103" s="531"/>
      <c r="MWE103" s="530"/>
      <c r="MWF103" s="531"/>
      <c r="MWG103" s="530"/>
      <c r="MWH103" s="531"/>
      <c r="MWI103" s="530"/>
      <c r="MWJ103" s="531"/>
      <c r="MWK103" s="530"/>
      <c r="MWL103" s="531"/>
      <c r="MWM103" s="530"/>
      <c r="MWN103" s="531"/>
      <c r="MWO103" s="530"/>
      <c r="MWP103" s="531"/>
      <c r="MWQ103" s="530"/>
      <c r="MWR103" s="531"/>
      <c r="MWS103" s="530"/>
      <c r="MWT103" s="531"/>
      <c r="MWU103" s="530"/>
      <c r="MWV103" s="531"/>
      <c r="MWW103" s="530"/>
      <c r="MWX103" s="531"/>
      <c r="MWY103" s="530"/>
      <c r="MWZ103" s="531"/>
      <c r="MXA103" s="530"/>
      <c r="MXB103" s="531"/>
      <c r="MXC103" s="530"/>
      <c r="MXD103" s="531"/>
      <c r="MXE103" s="530"/>
      <c r="MXF103" s="531"/>
      <c r="MXG103" s="530"/>
      <c r="MXH103" s="531"/>
      <c r="MXI103" s="530"/>
      <c r="MXJ103" s="531"/>
      <c r="MXK103" s="530"/>
      <c r="MXL103" s="531"/>
      <c r="MXM103" s="530"/>
      <c r="MXN103" s="531"/>
      <c r="MXO103" s="530"/>
      <c r="MXP103" s="531"/>
      <c r="MXQ103" s="530"/>
      <c r="MXR103" s="531"/>
      <c r="MXS103" s="530"/>
      <c r="MXT103" s="531"/>
      <c r="MXU103" s="530"/>
      <c r="MXV103" s="531"/>
      <c r="MXW103" s="530"/>
      <c r="MXX103" s="531"/>
      <c r="MXY103" s="530"/>
      <c r="MXZ103" s="531"/>
      <c r="MYA103" s="530"/>
      <c r="MYB103" s="531"/>
      <c r="MYC103" s="530"/>
      <c r="MYD103" s="531"/>
      <c r="MYE103" s="530"/>
      <c r="MYF103" s="531"/>
      <c r="MYG103" s="530"/>
      <c r="MYH103" s="531"/>
      <c r="MYI103" s="530"/>
      <c r="MYJ103" s="531"/>
      <c r="MYK103" s="530"/>
      <c r="MYL103" s="531"/>
      <c r="MYM103" s="530"/>
      <c r="MYN103" s="531"/>
      <c r="MYO103" s="530"/>
      <c r="MYP103" s="531"/>
      <c r="MYQ103" s="530"/>
      <c r="MYR103" s="531"/>
      <c r="MYS103" s="530"/>
      <c r="MYT103" s="531"/>
      <c r="MYU103" s="530"/>
      <c r="MYV103" s="531"/>
      <c r="MYW103" s="530"/>
      <c r="MYX103" s="531"/>
      <c r="MYY103" s="530"/>
      <c r="MYZ103" s="531"/>
      <c r="MZA103" s="530"/>
      <c r="MZB103" s="531"/>
      <c r="MZC103" s="530"/>
      <c r="MZD103" s="531"/>
      <c r="MZE103" s="530"/>
      <c r="MZF103" s="531"/>
      <c r="MZG103" s="530"/>
      <c r="MZH103" s="531"/>
      <c r="MZI103" s="530"/>
      <c r="MZJ103" s="531"/>
      <c r="MZK103" s="530"/>
      <c r="MZL103" s="531"/>
      <c r="MZM103" s="530"/>
      <c r="MZN103" s="531"/>
      <c r="MZO103" s="530"/>
      <c r="MZP103" s="531"/>
      <c r="MZQ103" s="530"/>
      <c r="MZR103" s="531"/>
      <c r="MZS103" s="530"/>
      <c r="MZT103" s="531"/>
      <c r="MZU103" s="530"/>
      <c r="MZV103" s="531"/>
      <c r="MZW103" s="530"/>
      <c r="MZX103" s="531"/>
      <c r="MZY103" s="530"/>
      <c r="MZZ103" s="531"/>
      <c r="NAA103" s="530"/>
      <c r="NAB103" s="531"/>
      <c r="NAC103" s="530"/>
      <c r="NAD103" s="531"/>
      <c r="NAE103" s="530"/>
      <c r="NAF103" s="531"/>
      <c r="NAG103" s="530"/>
      <c r="NAH103" s="531"/>
      <c r="NAI103" s="530"/>
      <c r="NAJ103" s="531"/>
      <c r="NAK103" s="530"/>
      <c r="NAL103" s="531"/>
      <c r="NAM103" s="530"/>
      <c r="NAN103" s="531"/>
      <c r="NAO103" s="530"/>
      <c r="NAP103" s="531"/>
      <c r="NAQ103" s="530"/>
      <c r="NAR103" s="531"/>
      <c r="NAS103" s="530"/>
      <c r="NAT103" s="531"/>
      <c r="NAU103" s="530"/>
      <c r="NAV103" s="531"/>
      <c r="NAW103" s="530"/>
      <c r="NAX103" s="531"/>
      <c r="NAY103" s="530"/>
      <c r="NAZ103" s="531"/>
      <c r="NBA103" s="530"/>
      <c r="NBB103" s="531"/>
      <c r="NBC103" s="530"/>
      <c r="NBD103" s="531"/>
      <c r="NBE103" s="530"/>
      <c r="NBF103" s="531"/>
      <c r="NBG103" s="530"/>
      <c r="NBH103" s="531"/>
      <c r="NBI103" s="530"/>
      <c r="NBJ103" s="531"/>
      <c r="NBK103" s="530"/>
      <c r="NBL103" s="531"/>
      <c r="NBM103" s="530"/>
      <c r="NBN103" s="531"/>
      <c r="NBO103" s="530"/>
      <c r="NBP103" s="531"/>
      <c r="NBQ103" s="530"/>
      <c r="NBR103" s="531"/>
      <c r="NBS103" s="530"/>
      <c r="NBT103" s="531"/>
      <c r="NBU103" s="530"/>
      <c r="NBV103" s="531"/>
      <c r="NBW103" s="530"/>
      <c r="NBX103" s="531"/>
      <c r="NBY103" s="530"/>
      <c r="NBZ103" s="531"/>
      <c r="NCA103" s="530"/>
      <c r="NCB103" s="531"/>
      <c r="NCC103" s="530"/>
      <c r="NCD103" s="531"/>
      <c r="NCE103" s="530"/>
      <c r="NCF103" s="531"/>
      <c r="NCG103" s="530"/>
      <c r="NCH103" s="531"/>
      <c r="NCI103" s="530"/>
      <c r="NCJ103" s="531"/>
      <c r="NCK103" s="530"/>
      <c r="NCL103" s="531"/>
      <c r="NCM103" s="530"/>
      <c r="NCN103" s="531"/>
      <c r="NCO103" s="530"/>
      <c r="NCP103" s="531"/>
      <c r="NCQ103" s="530"/>
      <c r="NCR103" s="531"/>
      <c r="NCS103" s="530"/>
      <c r="NCT103" s="531"/>
      <c r="NCU103" s="530"/>
      <c r="NCV103" s="531"/>
      <c r="NCW103" s="530"/>
      <c r="NCX103" s="531"/>
      <c r="NCY103" s="530"/>
      <c r="NCZ103" s="531"/>
      <c r="NDA103" s="530"/>
      <c r="NDB103" s="531"/>
      <c r="NDC103" s="530"/>
      <c r="NDD103" s="531"/>
      <c r="NDE103" s="530"/>
      <c r="NDF103" s="531"/>
      <c r="NDG103" s="530"/>
      <c r="NDH103" s="531"/>
      <c r="NDI103" s="530"/>
      <c r="NDJ103" s="531"/>
      <c r="NDK103" s="530"/>
      <c r="NDL103" s="531"/>
      <c r="NDM103" s="530"/>
      <c r="NDN103" s="531"/>
      <c r="NDO103" s="530"/>
      <c r="NDP103" s="531"/>
      <c r="NDQ103" s="530"/>
      <c r="NDR103" s="531"/>
      <c r="NDS103" s="530"/>
      <c r="NDT103" s="531"/>
      <c r="NDU103" s="530"/>
      <c r="NDV103" s="531"/>
      <c r="NDW103" s="530"/>
      <c r="NDX103" s="531"/>
      <c r="NDY103" s="530"/>
      <c r="NDZ103" s="531"/>
      <c r="NEA103" s="530"/>
      <c r="NEB103" s="531"/>
      <c r="NEC103" s="530"/>
      <c r="NED103" s="531"/>
      <c r="NEE103" s="530"/>
      <c r="NEF103" s="531"/>
      <c r="NEG103" s="530"/>
      <c r="NEH103" s="531"/>
      <c r="NEI103" s="530"/>
      <c r="NEJ103" s="531"/>
      <c r="NEK103" s="530"/>
      <c r="NEL103" s="531"/>
      <c r="NEM103" s="530"/>
      <c r="NEN103" s="531"/>
      <c r="NEO103" s="530"/>
      <c r="NEP103" s="531"/>
      <c r="NEQ103" s="530"/>
      <c r="NER103" s="531"/>
      <c r="NES103" s="530"/>
      <c r="NET103" s="531"/>
      <c r="NEU103" s="530"/>
      <c r="NEV103" s="531"/>
      <c r="NEW103" s="530"/>
      <c r="NEX103" s="531"/>
      <c r="NEY103" s="530"/>
      <c r="NEZ103" s="531"/>
      <c r="NFA103" s="530"/>
      <c r="NFB103" s="531"/>
      <c r="NFC103" s="530"/>
      <c r="NFD103" s="531"/>
      <c r="NFE103" s="530"/>
      <c r="NFF103" s="531"/>
      <c r="NFG103" s="530"/>
      <c r="NFH103" s="531"/>
      <c r="NFI103" s="530"/>
      <c r="NFJ103" s="531"/>
      <c r="NFK103" s="530"/>
      <c r="NFL103" s="531"/>
      <c r="NFM103" s="530"/>
      <c r="NFN103" s="531"/>
      <c r="NFO103" s="530"/>
      <c r="NFP103" s="531"/>
      <c r="NFQ103" s="530"/>
      <c r="NFR103" s="531"/>
      <c r="NFS103" s="530"/>
      <c r="NFT103" s="531"/>
      <c r="NFU103" s="530"/>
      <c r="NFV103" s="531"/>
      <c r="NFW103" s="530"/>
      <c r="NFX103" s="531"/>
      <c r="NFY103" s="530"/>
      <c r="NFZ103" s="531"/>
      <c r="NGA103" s="530"/>
      <c r="NGB103" s="531"/>
      <c r="NGC103" s="530"/>
      <c r="NGD103" s="531"/>
      <c r="NGE103" s="530"/>
      <c r="NGF103" s="531"/>
      <c r="NGG103" s="530"/>
      <c r="NGH103" s="531"/>
      <c r="NGI103" s="530"/>
      <c r="NGJ103" s="531"/>
      <c r="NGK103" s="530"/>
      <c r="NGL103" s="531"/>
      <c r="NGM103" s="530"/>
      <c r="NGN103" s="531"/>
      <c r="NGO103" s="530"/>
      <c r="NGP103" s="531"/>
      <c r="NGQ103" s="530"/>
      <c r="NGR103" s="531"/>
      <c r="NGS103" s="530"/>
      <c r="NGT103" s="531"/>
      <c r="NGU103" s="530"/>
      <c r="NGV103" s="531"/>
      <c r="NGW103" s="530"/>
      <c r="NGX103" s="531"/>
      <c r="NGY103" s="530"/>
      <c r="NGZ103" s="531"/>
      <c r="NHA103" s="530"/>
      <c r="NHB103" s="531"/>
      <c r="NHC103" s="530"/>
      <c r="NHD103" s="531"/>
      <c r="NHE103" s="530"/>
      <c r="NHF103" s="531"/>
      <c r="NHG103" s="530"/>
      <c r="NHH103" s="531"/>
      <c r="NHI103" s="530"/>
      <c r="NHJ103" s="531"/>
      <c r="NHK103" s="530"/>
      <c r="NHL103" s="531"/>
      <c r="NHM103" s="530"/>
      <c r="NHN103" s="531"/>
      <c r="NHO103" s="530"/>
      <c r="NHP103" s="531"/>
      <c r="NHQ103" s="530"/>
      <c r="NHR103" s="531"/>
      <c r="NHS103" s="530"/>
      <c r="NHT103" s="531"/>
      <c r="NHU103" s="530"/>
      <c r="NHV103" s="531"/>
      <c r="NHW103" s="530"/>
      <c r="NHX103" s="531"/>
      <c r="NHY103" s="530"/>
      <c r="NHZ103" s="531"/>
      <c r="NIA103" s="530"/>
      <c r="NIB103" s="531"/>
      <c r="NIC103" s="530"/>
      <c r="NID103" s="531"/>
      <c r="NIE103" s="530"/>
      <c r="NIF103" s="531"/>
      <c r="NIG103" s="530"/>
      <c r="NIH103" s="531"/>
      <c r="NII103" s="530"/>
      <c r="NIJ103" s="531"/>
      <c r="NIK103" s="530"/>
      <c r="NIL103" s="531"/>
      <c r="NIM103" s="530"/>
      <c r="NIN103" s="531"/>
      <c r="NIO103" s="530"/>
      <c r="NIP103" s="531"/>
      <c r="NIQ103" s="530"/>
      <c r="NIR103" s="531"/>
      <c r="NIS103" s="530"/>
      <c r="NIT103" s="531"/>
      <c r="NIU103" s="530"/>
      <c r="NIV103" s="531"/>
      <c r="NIW103" s="530"/>
      <c r="NIX103" s="531"/>
      <c r="NIY103" s="530"/>
      <c r="NIZ103" s="531"/>
      <c r="NJA103" s="530"/>
      <c r="NJB103" s="531"/>
      <c r="NJC103" s="530"/>
      <c r="NJD103" s="531"/>
      <c r="NJE103" s="530"/>
      <c r="NJF103" s="531"/>
      <c r="NJG103" s="530"/>
      <c r="NJH103" s="531"/>
      <c r="NJI103" s="530"/>
      <c r="NJJ103" s="531"/>
      <c r="NJK103" s="530"/>
      <c r="NJL103" s="531"/>
      <c r="NJM103" s="530"/>
      <c r="NJN103" s="531"/>
      <c r="NJO103" s="530"/>
      <c r="NJP103" s="531"/>
      <c r="NJQ103" s="530"/>
      <c r="NJR103" s="531"/>
      <c r="NJS103" s="530"/>
      <c r="NJT103" s="531"/>
      <c r="NJU103" s="530"/>
      <c r="NJV103" s="531"/>
      <c r="NJW103" s="530"/>
      <c r="NJX103" s="531"/>
      <c r="NJY103" s="530"/>
      <c r="NJZ103" s="531"/>
      <c r="NKA103" s="530"/>
      <c r="NKB103" s="531"/>
      <c r="NKC103" s="530"/>
      <c r="NKD103" s="531"/>
      <c r="NKE103" s="530"/>
      <c r="NKF103" s="531"/>
      <c r="NKG103" s="530"/>
      <c r="NKH103" s="531"/>
      <c r="NKI103" s="530"/>
      <c r="NKJ103" s="531"/>
      <c r="NKK103" s="530"/>
      <c r="NKL103" s="531"/>
      <c r="NKM103" s="530"/>
      <c r="NKN103" s="531"/>
      <c r="NKO103" s="530"/>
      <c r="NKP103" s="531"/>
      <c r="NKQ103" s="530"/>
      <c r="NKR103" s="531"/>
      <c r="NKS103" s="530"/>
      <c r="NKT103" s="531"/>
      <c r="NKU103" s="530"/>
      <c r="NKV103" s="531"/>
      <c r="NKW103" s="530"/>
      <c r="NKX103" s="531"/>
      <c r="NKY103" s="530"/>
      <c r="NKZ103" s="531"/>
      <c r="NLA103" s="530"/>
      <c r="NLB103" s="531"/>
      <c r="NLC103" s="530"/>
      <c r="NLD103" s="531"/>
      <c r="NLE103" s="530"/>
      <c r="NLF103" s="531"/>
      <c r="NLG103" s="530"/>
      <c r="NLH103" s="531"/>
      <c r="NLI103" s="530"/>
      <c r="NLJ103" s="531"/>
      <c r="NLK103" s="530"/>
      <c r="NLL103" s="531"/>
      <c r="NLM103" s="530"/>
      <c r="NLN103" s="531"/>
      <c r="NLO103" s="530"/>
      <c r="NLP103" s="531"/>
      <c r="NLQ103" s="530"/>
      <c r="NLR103" s="531"/>
      <c r="NLS103" s="530"/>
      <c r="NLT103" s="531"/>
      <c r="NLU103" s="530"/>
      <c r="NLV103" s="531"/>
      <c r="NLW103" s="530"/>
      <c r="NLX103" s="531"/>
      <c r="NLY103" s="530"/>
      <c r="NLZ103" s="531"/>
      <c r="NMA103" s="530"/>
      <c r="NMB103" s="531"/>
      <c r="NMC103" s="530"/>
      <c r="NMD103" s="531"/>
      <c r="NME103" s="530"/>
      <c r="NMF103" s="531"/>
      <c r="NMG103" s="530"/>
      <c r="NMH103" s="531"/>
      <c r="NMI103" s="530"/>
      <c r="NMJ103" s="531"/>
      <c r="NMK103" s="530"/>
      <c r="NML103" s="531"/>
      <c r="NMM103" s="530"/>
      <c r="NMN103" s="531"/>
      <c r="NMO103" s="530"/>
      <c r="NMP103" s="531"/>
      <c r="NMQ103" s="530"/>
      <c r="NMR103" s="531"/>
      <c r="NMS103" s="530"/>
      <c r="NMT103" s="531"/>
      <c r="NMU103" s="530"/>
      <c r="NMV103" s="531"/>
      <c r="NMW103" s="530"/>
      <c r="NMX103" s="531"/>
      <c r="NMY103" s="530"/>
      <c r="NMZ103" s="531"/>
      <c r="NNA103" s="530"/>
      <c r="NNB103" s="531"/>
      <c r="NNC103" s="530"/>
      <c r="NND103" s="531"/>
      <c r="NNE103" s="530"/>
      <c r="NNF103" s="531"/>
      <c r="NNG103" s="530"/>
      <c r="NNH103" s="531"/>
      <c r="NNI103" s="530"/>
      <c r="NNJ103" s="531"/>
      <c r="NNK103" s="530"/>
      <c r="NNL103" s="531"/>
      <c r="NNM103" s="530"/>
      <c r="NNN103" s="531"/>
      <c r="NNO103" s="530"/>
      <c r="NNP103" s="531"/>
      <c r="NNQ103" s="530"/>
      <c r="NNR103" s="531"/>
      <c r="NNS103" s="530"/>
      <c r="NNT103" s="531"/>
      <c r="NNU103" s="530"/>
      <c r="NNV103" s="531"/>
      <c r="NNW103" s="530"/>
      <c r="NNX103" s="531"/>
      <c r="NNY103" s="530"/>
      <c r="NNZ103" s="531"/>
      <c r="NOA103" s="530"/>
      <c r="NOB103" s="531"/>
      <c r="NOC103" s="530"/>
      <c r="NOD103" s="531"/>
      <c r="NOE103" s="530"/>
      <c r="NOF103" s="531"/>
      <c r="NOG103" s="530"/>
      <c r="NOH103" s="531"/>
      <c r="NOI103" s="530"/>
      <c r="NOJ103" s="531"/>
      <c r="NOK103" s="530"/>
      <c r="NOL103" s="531"/>
      <c r="NOM103" s="530"/>
      <c r="NON103" s="531"/>
      <c r="NOO103" s="530"/>
      <c r="NOP103" s="531"/>
      <c r="NOQ103" s="530"/>
      <c r="NOR103" s="531"/>
      <c r="NOS103" s="530"/>
      <c r="NOT103" s="531"/>
      <c r="NOU103" s="530"/>
      <c r="NOV103" s="531"/>
      <c r="NOW103" s="530"/>
      <c r="NOX103" s="531"/>
      <c r="NOY103" s="530"/>
      <c r="NOZ103" s="531"/>
      <c r="NPA103" s="530"/>
      <c r="NPB103" s="531"/>
      <c r="NPC103" s="530"/>
      <c r="NPD103" s="531"/>
      <c r="NPE103" s="530"/>
      <c r="NPF103" s="531"/>
      <c r="NPG103" s="530"/>
      <c r="NPH103" s="531"/>
      <c r="NPI103" s="530"/>
      <c r="NPJ103" s="531"/>
      <c r="NPK103" s="530"/>
      <c r="NPL103" s="531"/>
      <c r="NPM103" s="530"/>
      <c r="NPN103" s="531"/>
      <c r="NPO103" s="530"/>
      <c r="NPP103" s="531"/>
      <c r="NPQ103" s="530"/>
      <c r="NPR103" s="531"/>
      <c r="NPS103" s="530"/>
      <c r="NPT103" s="531"/>
      <c r="NPU103" s="530"/>
      <c r="NPV103" s="531"/>
      <c r="NPW103" s="530"/>
      <c r="NPX103" s="531"/>
      <c r="NPY103" s="530"/>
      <c r="NPZ103" s="531"/>
      <c r="NQA103" s="530"/>
      <c r="NQB103" s="531"/>
      <c r="NQC103" s="530"/>
      <c r="NQD103" s="531"/>
      <c r="NQE103" s="530"/>
      <c r="NQF103" s="531"/>
      <c r="NQG103" s="530"/>
      <c r="NQH103" s="531"/>
      <c r="NQI103" s="530"/>
      <c r="NQJ103" s="531"/>
      <c r="NQK103" s="530"/>
      <c r="NQL103" s="531"/>
      <c r="NQM103" s="530"/>
      <c r="NQN103" s="531"/>
      <c r="NQO103" s="530"/>
      <c r="NQP103" s="531"/>
      <c r="NQQ103" s="530"/>
      <c r="NQR103" s="531"/>
      <c r="NQS103" s="530"/>
      <c r="NQT103" s="531"/>
      <c r="NQU103" s="530"/>
      <c r="NQV103" s="531"/>
      <c r="NQW103" s="530"/>
      <c r="NQX103" s="531"/>
      <c r="NQY103" s="530"/>
      <c r="NQZ103" s="531"/>
      <c r="NRA103" s="530"/>
      <c r="NRB103" s="531"/>
      <c r="NRC103" s="530"/>
      <c r="NRD103" s="531"/>
      <c r="NRE103" s="530"/>
      <c r="NRF103" s="531"/>
      <c r="NRG103" s="530"/>
      <c r="NRH103" s="531"/>
      <c r="NRI103" s="530"/>
      <c r="NRJ103" s="531"/>
      <c r="NRK103" s="530"/>
      <c r="NRL103" s="531"/>
      <c r="NRM103" s="530"/>
      <c r="NRN103" s="531"/>
      <c r="NRO103" s="530"/>
      <c r="NRP103" s="531"/>
      <c r="NRQ103" s="530"/>
      <c r="NRR103" s="531"/>
      <c r="NRS103" s="530"/>
      <c r="NRT103" s="531"/>
      <c r="NRU103" s="530"/>
      <c r="NRV103" s="531"/>
      <c r="NRW103" s="530"/>
      <c r="NRX103" s="531"/>
      <c r="NRY103" s="530"/>
      <c r="NRZ103" s="531"/>
      <c r="NSA103" s="530"/>
      <c r="NSB103" s="531"/>
      <c r="NSC103" s="530"/>
      <c r="NSD103" s="531"/>
      <c r="NSE103" s="530"/>
      <c r="NSF103" s="531"/>
      <c r="NSG103" s="530"/>
      <c r="NSH103" s="531"/>
      <c r="NSI103" s="530"/>
      <c r="NSJ103" s="531"/>
      <c r="NSK103" s="530"/>
      <c r="NSL103" s="531"/>
      <c r="NSM103" s="530"/>
      <c r="NSN103" s="531"/>
      <c r="NSO103" s="530"/>
      <c r="NSP103" s="531"/>
      <c r="NSQ103" s="530"/>
      <c r="NSR103" s="531"/>
      <c r="NSS103" s="530"/>
      <c r="NST103" s="531"/>
      <c r="NSU103" s="530"/>
      <c r="NSV103" s="531"/>
      <c r="NSW103" s="530"/>
      <c r="NSX103" s="531"/>
      <c r="NSY103" s="530"/>
      <c r="NSZ103" s="531"/>
      <c r="NTA103" s="530"/>
      <c r="NTB103" s="531"/>
      <c r="NTC103" s="530"/>
      <c r="NTD103" s="531"/>
      <c r="NTE103" s="530"/>
      <c r="NTF103" s="531"/>
      <c r="NTG103" s="530"/>
      <c r="NTH103" s="531"/>
      <c r="NTI103" s="530"/>
      <c r="NTJ103" s="531"/>
      <c r="NTK103" s="530"/>
      <c r="NTL103" s="531"/>
      <c r="NTM103" s="530"/>
      <c r="NTN103" s="531"/>
      <c r="NTO103" s="530"/>
      <c r="NTP103" s="531"/>
      <c r="NTQ103" s="530"/>
      <c r="NTR103" s="531"/>
      <c r="NTS103" s="530"/>
      <c r="NTT103" s="531"/>
      <c r="NTU103" s="530"/>
      <c r="NTV103" s="531"/>
      <c r="NTW103" s="530"/>
      <c r="NTX103" s="531"/>
      <c r="NTY103" s="530"/>
      <c r="NTZ103" s="531"/>
      <c r="NUA103" s="530"/>
      <c r="NUB103" s="531"/>
      <c r="NUC103" s="530"/>
      <c r="NUD103" s="531"/>
      <c r="NUE103" s="530"/>
      <c r="NUF103" s="531"/>
      <c r="NUG103" s="530"/>
      <c r="NUH103" s="531"/>
      <c r="NUI103" s="530"/>
      <c r="NUJ103" s="531"/>
      <c r="NUK103" s="530"/>
      <c r="NUL103" s="531"/>
      <c r="NUM103" s="530"/>
      <c r="NUN103" s="531"/>
      <c r="NUO103" s="530"/>
      <c r="NUP103" s="531"/>
      <c r="NUQ103" s="530"/>
      <c r="NUR103" s="531"/>
      <c r="NUS103" s="530"/>
      <c r="NUT103" s="531"/>
      <c r="NUU103" s="530"/>
      <c r="NUV103" s="531"/>
      <c r="NUW103" s="530"/>
      <c r="NUX103" s="531"/>
      <c r="NUY103" s="530"/>
      <c r="NUZ103" s="531"/>
      <c r="NVA103" s="530"/>
      <c r="NVB103" s="531"/>
      <c r="NVC103" s="530"/>
      <c r="NVD103" s="531"/>
      <c r="NVE103" s="530"/>
      <c r="NVF103" s="531"/>
      <c r="NVG103" s="530"/>
      <c r="NVH103" s="531"/>
      <c r="NVI103" s="530"/>
      <c r="NVJ103" s="531"/>
      <c r="NVK103" s="530"/>
      <c r="NVL103" s="531"/>
      <c r="NVM103" s="530"/>
      <c r="NVN103" s="531"/>
      <c r="NVO103" s="530"/>
      <c r="NVP103" s="531"/>
      <c r="NVQ103" s="530"/>
      <c r="NVR103" s="531"/>
      <c r="NVS103" s="530"/>
      <c r="NVT103" s="531"/>
      <c r="NVU103" s="530"/>
      <c r="NVV103" s="531"/>
      <c r="NVW103" s="530"/>
      <c r="NVX103" s="531"/>
      <c r="NVY103" s="530"/>
      <c r="NVZ103" s="531"/>
      <c r="NWA103" s="530"/>
      <c r="NWB103" s="531"/>
      <c r="NWC103" s="530"/>
      <c r="NWD103" s="531"/>
      <c r="NWE103" s="530"/>
      <c r="NWF103" s="531"/>
      <c r="NWG103" s="530"/>
      <c r="NWH103" s="531"/>
      <c r="NWI103" s="530"/>
      <c r="NWJ103" s="531"/>
      <c r="NWK103" s="530"/>
      <c r="NWL103" s="531"/>
      <c r="NWM103" s="530"/>
      <c r="NWN103" s="531"/>
      <c r="NWO103" s="530"/>
      <c r="NWP103" s="531"/>
      <c r="NWQ103" s="530"/>
      <c r="NWR103" s="531"/>
      <c r="NWS103" s="530"/>
      <c r="NWT103" s="531"/>
      <c r="NWU103" s="530"/>
      <c r="NWV103" s="531"/>
      <c r="NWW103" s="530"/>
      <c r="NWX103" s="531"/>
      <c r="NWY103" s="530"/>
      <c r="NWZ103" s="531"/>
      <c r="NXA103" s="530"/>
      <c r="NXB103" s="531"/>
      <c r="NXC103" s="530"/>
      <c r="NXD103" s="531"/>
      <c r="NXE103" s="530"/>
      <c r="NXF103" s="531"/>
      <c r="NXG103" s="530"/>
      <c r="NXH103" s="531"/>
      <c r="NXI103" s="530"/>
      <c r="NXJ103" s="531"/>
      <c r="NXK103" s="530"/>
      <c r="NXL103" s="531"/>
      <c r="NXM103" s="530"/>
      <c r="NXN103" s="531"/>
      <c r="NXO103" s="530"/>
      <c r="NXP103" s="531"/>
      <c r="NXQ103" s="530"/>
      <c r="NXR103" s="531"/>
      <c r="NXS103" s="530"/>
      <c r="NXT103" s="531"/>
      <c r="NXU103" s="530"/>
      <c r="NXV103" s="531"/>
      <c r="NXW103" s="530"/>
      <c r="NXX103" s="531"/>
      <c r="NXY103" s="530"/>
      <c r="NXZ103" s="531"/>
      <c r="NYA103" s="530"/>
      <c r="NYB103" s="531"/>
      <c r="NYC103" s="530"/>
      <c r="NYD103" s="531"/>
      <c r="NYE103" s="530"/>
      <c r="NYF103" s="531"/>
      <c r="NYG103" s="530"/>
      <c r="NYH103" s="531"/>
      <c r="NYI103" s="530"/>
      <c r="NYJ103" s="531"/>
      <c r="NYK103" s="530"/>
      <c r="NYL103" s="531"/>
      <c r="NYM103" s="530"/>
      <c r="NYN103" s="531"/>
      <c r="NYO103" s="530"/>
      <c r="NYP103" s="531"/>
      <c r="NYQ103" s="530"/>
      <c r="NYR103" s="531"/>
      <c r="NYS103" s="530"/>
      <c r="NYT103" s="531"/>
      <c r="NYU103" s="530"/>
      <c r="NYV103" s="531"/>
      <c r="NYW103" s="530"/>
      <c r="NYX103" s="531"/>
      <c r="NYY103" s="530"/>
      <c r="NYZ103" s="531"/>
      <c r="NZA103" s="530"/>
      <c r="NZB103" s="531"/>
      <c r="NZC103" s="530"/>
      <c r="NZD103" s="531"/>
      <c r="NZE103" s="530"/>
      <c r="NZF103" s="531"/>
      <c r="NZG103" s="530"/>
      <c r="NZH103" s="531"/>
      <c r="NZI103" s="530"/>
      <c r="NZJ103" s="531"/>
      <c r="NZK103" s="530"/>
      <c r="NZL103" s="531"/>
      <c r="NZM103" s="530"/>
      <c r="NZN103" s="531"/>
      <c r="NZO103" s="530"/>
      <c r="NZP103" s="531"/>
      <c r="NZQ103" s="530"/>
      <c r="NZR103" s="531"/>
      <c r="NZS103" s="530"/>
      <c r="NZT103" s="531"/>
      <c r="NZU103" s="530"/>
      <c r="NZV103" s="531"/>
      <c r="NZW103" s="530"/>
      <c r="NZX103" s="531"/>
      <c r="NZY103" s="530"/>
      <c r="NZZ103" s="531"/>
      <c r="OAA103" s="530"/>
      <c r="OAB103" s="531"/>
      <c r="OAC103" s="530"/>
      <c r="OAD103" s="531"/>
      <c r="OAE103" s="530"/>
      <c r="OAF103" s="531"/>
      <c r="OAG103" s="530"/>
      <c r="OAH103" s="531"/>
      <c r="OAI103" s="530"/>
      <c r="OAJ103" s="531"/>
      <c r="OAK103" s="530"/>
      <c r="OAL103" s="531"/>
      <c r="OAM103" s="530"/>
      <c r="OAN103" s="531"/>
      <c r="OAO103" s="530"/>
      <c r="OAP103" s="531"/>
      <c r="OAQ103" s="530"/>
      <c r="OAR103" s="531"/>
      <c r="OAS103" s="530"/>
      <c r="OAT103" s="531"/>
      <c r="OAU103" s="530"/>
      <c r="OAV103" s="531"/>
      <c r="OAW103" s="530"/>
      <c r="OAX103" s="531"/>
      <c r="OAY103" s="530"/>
      <c r="OAZ103" s="531"/>
      <c r="OBA103" s="530"/>
      <c r="OBB103" s="531"/>
      <c r="OBC103" s="530"/>
      <c r="OBD103" s="531"/>
      <c r="OBE103" s="530"/>
      <c r="OBF103" s="531"/>
      <c r="OBG103" s="530"/>
      <c r="OBH103" s="531"/>
      <c r="OBI103" s="530"/>
      <c r="OBJ103" s="531"/>
      <c r="OBK103" s="530"/>
      <c r="OBL103" s="531"/>
      <c r="OBM103" s="530"/>
      <c r="OBN103" s="531"/>
      <c r="OBO103" s="530"/>
      <c r="OBP103" s="531"/>
      <c r="OBQ103" s="530"/>
      <c r="OBR103" s="531"/>
      <c r="OBS103" s="530"/>
      <c r="OBT103" s="531"/>
      <c r="OBU103" s="530"/>
      <c r="OBV103" s="531"/>
      <c r="OBW103" s="530"/>
      <c r="OBX103" s="531"/>
      <c r="OBY103" s="530"/>
      <c r="OBZ103" s="531"/>
      <c r="OCA103" s="530"/>
      <c r="OCB103" s="531"/>
      <c r="OCC103" s="530"/>
      <c r="OCD103" s="531"/>
      <c r="OCE103" s="530"/>
      <c r="OCF103" s="531"/>
      <c r="OCG103" s="530"/>
      <c r="OCH103" s="531"/>
      <c r="OCI103" s="530"/>
      <c r="OCJ103" s="531"/>
      <c r="OCK103" s="530"/>
      <c r="OCL103" s="531"/>
      <c r="OCM103" s="530"/>
      <c r="OCN103" s="531"/>
      <c r="OCO103" s="530"/>
      <c r="OCP103" s="531"/>
      <c r="OCQ103" s="530"/>
      <c r="OCR103" s="531"/>
      <c r="OCS103" s="530"/>
      <c r="OCT103" s="531"/>
      <c r="OCU103" s="530"/>
      <c r="OCV103" s="531"/>
      <c r="OCW103" s="530"/>
      <c r="OCX103" s="531"/>
      <c r="OCY103" s="530"/>
      <c r="OCZ103" s="531"/>
      <c r="ODA103" s="530"/>
      <c r="ODB103" s="531"/>
      <c r="ODC103" s="530"/>
      <c r="ODD103" s="531"/>
      <c r="ODE103" s="530"/>
      <c r="ODF103" s="531"/>
      <c r="ODG103" s="530"/>
      <c r="ODH103" s="531"/>
      <c r="ODI103" s="530"/>
      <c r="ODJ103" s="531"/>
      <c r="ODK103" s="530"/>
      <c r="ODL103" s="531"/>
      <c r="ODM103" s="530"/>
      <c r="ODN103" s="531"/>
      <c r="ODO103" s="530"/>
      <c r="ODP103" s="531"/>
      <c r="ODQ103" s="530"/>
      <c r="ODR103" s="531"/>
      <c r="ODS103" s="530"/>
      <c r="ODT103" s="531"/>
      <c r="ODU103" s="530"/>
      <c r="ODV103" s="531"/>
      <c r="ODW103" s="530"/>
      <c r="ODX103" s="531"/>
      <c r="ODY103" s="530"/>
      <c r="ODZ103" s="531"/>
      <c r="OEA103" s="530"/>
      <c r="OEB103" s="531"/>
      <c r="OEC103" s="530"/>
      <c r="OED103" s="531"/>
      <c r="OEE103" s="530"/>
      <c r="OEF103" s="531"/>
      <c r="OEG103" s="530"/>
      <c r="OEH103" s="531"/>
      <c r="OEI103" s="530"/>
      <c r="OEJ103" s="531"/>
      <c r="OEK103" s="530"/>
      <c r="OEL103" s="531"/>
      <c r="OEM103" s="530"/>
      <c r="OEN103" s="531"/>
      <c r="OEO103" s="530"/>
      <c r="OEP103" s="531"/>
      <c r="OEQ103" s="530"/>
      <c r="OER103" s="531"/>
      <c r="OES103" s="530"/>
      <c r="OET103" s="531"/>
      <c r="OEU103" s="530"/>
      <c r="OEV103" s="531"/>
      <c r="OEW103" s="530"/>
      <c r="OEX103" s="531"/>
      <c r="OEY103" s="530"/>
      <c r="OEZ103" s="531"/>
      <c r="OFA103" s="530"/>
      <c r="OFB103" s="531"/>
      <c r="OFC103" s="530"/>
      <c r="OFD103" s="531"/>
      <c r="OFE103" s="530"/>
      <c r="OFF103" s="531"/>
      <c r="OFG103" s="530"/>
      <c r="OFH103" s="531"/>
      <c r="OFI103" s="530"/>
      <c r="OFJ103" s="531"/>
      <c r="OFK103" s="530"/>
      <c r="OFL103" s="531"/>
      <c r="OFM103" s="530"/>
      <c r="OFN103" s="531"/>
      <c r="OFO103" s="530"/>
      <c r="OFP103" s="531"/>
      <c r="OFQ103" s="530"/>
      <c r="OFR103" s="531"/>
      <c r="OFS103" s="530"/>
      <c r="OFT103" s="531"/>
      <c r="OFU103" s="530"/>
      <c r="OFV103" s="531"/>
      <c r="OFW103" s="530"/>
      <c r="OFX103" s="531"/>
      <c r="OFY103" s="530"/>
      <c r="OFZ103" s="531"/>
      <c r="OGA103" s="530"/>
      <c r="OGB103" s="531"/>
      <c r="OGC103" s="530"/>
      <c r="OGD103" s="531"/>
      <c r="OGE103" s="530"/>
      <c r="OGF103" s="531"/>
      <c r="OGG103" s="530"/>
      <c r="OGH103" s="531"/>
      <c r="OGI103" s="530"/>
      <c r="OGJ103" s="531"/>
      <c r="OGK103" s="530"/>
      <c r="OGL103" s="531"/>
      <c r="OGM103" s="530"/>
      <c r="OGN103" s="531"/>
      <c r="OGO103" s="530"/>
      <c r="OGP103" s="531"/>
      <c r="OGQ103" s="530"/>
      <c r="OGR103" s="531"/>
      <c r="OGS103" s="530"/>
      <c r="OGT103" s="531"/>
      <c r="OGU103" s="530"/>
      <c r="OGV103" s="531"/>
      <c r="OGW103" s="530"/>
      <c r="OGX103" s="531"/>
      <c r="OGY103" s="530"/>
      <c r="OGZ103" s="531"/>
      <c r="OHA103" s="530"/>
      <c r="OHB103" s="531"/>
      <c r="OHC103" s="530"/>
      <c r="OHD103" s="531"/>
      <c r="OHE103" s="530"/>
      <c r="OHF103" s="531"/>
      <c r="OHG103" s="530"/>
      <c r="OHH103" s="531"/>
      <c r="OHI103" s="530"/>
      <c r="OHJ103" s="531"/>
      <c r="OHK103" s="530"/>
      <c r="OHL103" s="531"/>
      <c r="OHM103" s="530"/>
      <c r="OHN103" s="531"/>
      <c r="OHO103" s="530"/>
      <c r="OHP103" s="531"/>
      <c r="OHQ103" s="530"/>
      <c r="OHR103" s="531"/>
      <c r="OHS103" s="530"/>
      <c r="OHT103" s="531"/>
      <c r="OHU103" s="530"/>
      <c r="OHV103" s="531"/>
      <c r="OHW103" s="530"/>
      <c r="OHX103" s="531"/>
      <c r="OHY103" s="530"/>
      <c r="OHZ103" s="531"/>
      <c r="OIA103" s="530"/>
      <c r="OIB103" s="531"/>
      <c r="OIC103" s="530"/>
      <c r="OID103" s="531"/>
      <c r="OIE103" s="530"/>
      <c r="OIF103" s="531"/>
      <c r="OIG103" s="530"/>
      <c r="OIH103" s="531"/>
      <c r="OII103" s="530"/>
      <c r="OIJ103" s="531"/>
      <c r="OIK103" s="530"/>
      <c r="OIL103" s="531"/>
      <c r="OIM103" s="530"/>
      <c r="OIN103" s="531"/>
      <c r="OIO103" s="530"/>
      <c r="OIP103" s="531"/>
      <c r="OIQ103" s="530"/>
      <c r="OIR103" s="531"/>
      <c r="OIS103" s="530"/>
      <c r="OIT103" s="531"/>
      <c r="OIU103" s="530"/>
      <c r="OIV103" s="531"/>
      <c r="OIW103" s="530"/>
      <c r="OIX103" s="531"/>
      <c r="OIY103" s="530"/>
      <c r="OIZ103" s="531"/>
      <c r="OJA103" s="530"/>
      <c r="OJB103" s="531"/>
      <c r="OJC103" s="530"/>
      <c r="OJD103" s="531"/>
      <c r="OJE103" s="530"/>
      <c r="OJF103" s="531"/>
      <c r="OJG103" s="530"/>
      <c r="OJH103" s="531"/>
      <c r="OJI103" s="530"/>
      <c r="OJJ103" s="531"/>
      <c r="OJK103" s="530"/>
      <c r="OJL103" s="531"/>
      <c r="OJM103" s="530"/>
      <c r="OJN103" s="531"/>
      <c r="OJO103" s="530"/>
      <c r="OJP103" s="531"/>
      <c r="OJQ103" s="530"/>
      <c r="OJR103" s="531"/>
      <c r="OJS103" s="530"/>
      <c r="OJT103" s="531"/>
      <c r="OJU103" s="530"/>
      <c r="OJV103" s="531"/>
      <c r="OJW103" s="530"/>
      <c r="OJX103" s="531"/>
      <c r="OJY103" s="530"/>
      <c r="OJZ103" s="531"/>
      <c r="OKA103" s="530"/>
      <c r="OKB103" s="531"/>
      <c r="OKC103" s="530"/>
      <c r="OKD103" s="531"/>
      <c r="OKE103" s="530"/>
      <c r="OKF103" s="531"/>
      <c r="OKG103" s="530"/>
      <c r="OKH103" s="531"/>
      <c r="OKI103" s="530"/>
      <c r="OKJ103" s="531"/>
      <c r="OKK103" s="530"/>
      <c r="OKL103" s="531"/>
      <c r="OKM103" s="530"/>
      <c r="OKN103" s="531"/>
      <c r="OKO103" s="530"/>
      <c r="OKP103" s="531"/>
      <c r="OKQ103" s="530"/>
      <c r="OKR103" s="531"/>
      <c r="OKS103" s="530"/>
      <c r="OKT103" s="531"/>
      <c r="OKU103" s="530"/>
      <c r="OKV103" s="531"/>
      <c r="OKW103" s="530"/>
      <c r="OKX103" s="531"/>
      <c r="OKY103" s="530"/>
      <c r="OKZ103" s="531"/>
      <c r="OLA103" s="530"/>
      <c r="OLB103" s="531"/>
      <c r="OLC103" s="530"/>
      <c r="OLD103" s="531"/>
      <c r="OLE103" s="530"/>
      <c r="OLF103" s="531"/>
      <c r="OLG103" s="530"/>
      <c r="OLH103" s="531"/>
      <c r="OLI103" s="530"/>
      <c r="OLJ103" s="531"/>
      <c r="OLK103" s="530"/>
      <c r="OLL103" s="531"/>
      <c r="OLM103" s="530"/>
      <c r="OLN103" s="531"/>
      <c r="OLO103" s="530"/>
      <c r="OLP103" s="531"/>
      <c r="OLQ103" s="530"/>
      <c r="OLR103" s="531"/>
      <c r="OLS103" s="530"/>
      <c r="OLT103" s="531"/>
      <c r="OLU103" s="530"/>
      <c r="OLV103" s="531"/>
      <c r="OLW103" s="530"/>
      <c r="OLX103" s="531"/>
      <c r="OLY103" s="530"/>
      <c r="OLZ103" s="531"/>
      <c r="OMA103" s="530"/>
      <c r="OMB103" s="531"/>
      <c r="OMC103" s="530"/>
      <c r="OMD103" s="531"/>
      <c r="OME103" s="530"/>
      <c r="OMF103" s="531"/>
      <c r="OMG103" s="530"/>
      <c r="OMH103" s="531"/>
      <c r="OMI103" s="530"/>
      <c r="OMJ103" s="531"/>
      <c r="OMK103" s="530"/>
      <c r="OML103" s="531"/>
      <c r="OMM103" s="530"/>
      <c r="OMN103" s="531"/>
      <c r="OMO103" s="530"/>
      <c r="OMP103" s="531"/>
      <c r="OMQ103" s="530"/>
      <c r="OMR103" s="531"/>
      <c r="OMS103" s="530"/>
      <c r="OMT103" s="531"/>
      <c r="OMU103" s="530"/>
      <c r="OMV103" s="531"/>
      <c r="OMW103" s="530"/>
      <c r="OMX103" s="531"/>
      <c r="OMY103" s="530"/>
      <c r="OMZ103" s="531"/>
      <c r="ONA103" s="530"/>
      <c r="ONB103" s="531"/>
      <c r="ONC103" s="530"/>
      <c r="OND103" s="531"/>
      <c r="ONE103" s="530"/>
      <c r="ONF103" s="531"/>
      <c r="ONG103" s="530"/>
      <c r="ONH103" s="531"/>
      <c r="ONI103" s="530"/>
      <c r="ONJ103" s="531"/>
      <c r="ONK103" s="530"/>
      <c r="ONL103" s="531"/>
      <c r="ONM103" s="530"/>
      <c r="ONN103" s="531"/>
      <c r="ONO103" s="530"/>
      <c r="ONP103" s="531"/>
      <c r="ONQ103" s="530"/>
      <c r="ONR103" s="531"/>
      <c r="ONS103" s="530"/>
      <c r="ONT103" s="531"/>
      <c r="ONU103" s="530"/>
      <c r="ONV103" s="531"/>
      <c r="ONW103" s="530"/>
      <c r="ONX103" s="531"/>
      <c r="ONY103" s="530"/>
      <c r="ONZ103" s="531"/>
      <c r="OOA103" s="530"/>
      <c r="OOB103" s="531"/>
      <c r="OOC103" s="530"/>
      <c r="OOD103" s="531"/>
      <c r="OOE103" s="530"/>
      <c r="OOF103" s="531"/>
      <c r="OOG103" s="530"/>
      <c r="OOH103" s="531"/>
      <c r="OOI103" s="530"/>
      <c r="OOJ103" s="531"/>
      <c r="OOK103" s="530"/>
      <c r="OOL103" s="531"/>
      <c r="OOM103" s="530"/>
      <c r="OON103" s="531"/>
      <c r="OOO103" s="530"/>
      <c r="OOP103" s="531"/>
      <c r="OOQ103" s="530"/>
      <c r="OOR103" s="531"/>
      <c r="OOS103" s="530"/>
      <c r="OOT103" s="531"/>
      <c r="OOU103" s="530"/>
      <c r="OOV103" s="531"/>
      <c r="OOW103" s="530"/>
      <c r="OOX103" s="531"/>
      <c r="OOY103" s="530"/>
      <c r="OOZ103" s="531"/>
      <c r="OPA103" s="530"/>
      <c r="OPB103" s="531"/>
      <c r="OPC103" s="530"/>
      <c r="OPD103" s="531"/>
      <c r="OPE103" s="530"/>
      <c r="OPF103" s="531"/>
      <c r="OPG103" s="530"/>
      <c r="OPH103" s="531"/>
      <c r="OPI103" s="530"/>
      <c r="OPJ103" s="531"/>
      <c r="OPK103" s="530"/>
      <c r="OPL103" s="531"/>
      <c r="OPM103" s="530"/>
      <c r="OPN103" s="531"/>
      <c r="OPO103" s="530"/>
      <c r="OPP103" s="531"/>
      <c r="OPQ103" s="530"/>
      <c r="OPR103" s="531"/>
      <c r="OPS103" s="530"/>
      <c r="OPT103" s="531"/>
      <c r="OPU103" s="530"/>
      <c r="OPV103" s="531"/>
      <c r="OPW103" s="530"/>
      <c r="OPX103" s="531"/>
      <c r="OPY103" s="530"/>
      <c r="OPZ103" s="531"/>
      <c r="OQA103" s="530"/>
      <c r="OQB103" s="531"/>
      <c r="OQC103" s="530"/>
      <c r="OQD103" s="531"/>
      <c r="OQE103" s="530"/>
      <c r="OQF103" s="531"/>
      <c r="OQG103" s="530"/>
      <c r="OQH103" s="531"/>
      <c r="OQI103" s="530"/>
      <c r="OQJ103" s="531"/>
      <c r="OQK103" s="530"/>
      <c r="OQL103" s="531"/>
      <c r="OQM103" s="530"/>
      <c r="OQN103" s="531"/>
      <c r="OQO103" s="530"/>
      <c r="OQP103" s="531"/>
      <c r="OQQ103" s="530"/>
      <c r="OQR103" s="531"/>
      <c r="OQS103" s="530"/>
      <c r="OQT103" s="531"/>
      <c r="OQU103" s="530"/>
      <c r="OQV103" s="531"/>
      <c r="OQW103" s="530"/>
      <c r="OQX103" s="531"/>
      <c r="OQY103" s="530"/>
      <c r="OQZ103" s="531"/>
      <c r="ORA103" s="530"/>
      <c r="ORB103" s="531"/>
      <c r="ORC103" s="530"/>
      <c r="ORD103" s="531"/>
      <c r="ORE103" s="530"/>
      <c r="ORF103" s="531"/>
      <c r="ORG103" s="530"/>
      <c r="ORH103" s="531"/>
      <c r="ORI103" s="530"/>
      <c r="ORJ103" s="531"/>
      <c r="ORK103" s="530"/>
      <c r="ORL103" s="531"/>
      <c r="ORM103" s="530"/>
      <c r="ORN103" s="531"/>
      <c r="ORO103" s="530"/>
      <c r="ORP103" s="531"/>
      <c r="ORQ103" s="530"/>
      <c r="ORR103" s="531"/>
      <c r="ORS103" s="530"/>
      <c r="ORT103" s="531"/>
      <c r="ORU103" s="530"/>
      <c r="ORV103" s="531"/>
      <c r="ORW103" s="530"/>
      <c r="ORX103" s="531"/>
      <c r="ORY103" s="530"/>
      <c r="ORZ103" s="531"/>
      <c r="OSA103" s="530"/>
      <c r="OSB103" s="531"/>
      <c r="OSC103" s="530"/>
      <c r="OSD103" s="531"/>
      <c r="OSE103" s="530"/>
      <c r="OSF103" s="531"/>
      <c r="OSG103" s="530"/>
      <c r="OSH103" s="531"/>
      <c r="OSI103" s="530"/>
      <c r="OSJ103" s="531"/>
      <c r="OSK103" s="530"/>
      <c r="OSL103" s="531"/>
      <c r="OSM103" s="530"/>
      <c r="OSN103" s="531"/>
      <c r="OSO103" s="530"/>
      <c r="OSP103" s="531"/>
      <c r="OSQ103" s="530"/>
      <c r="OSR103" s="531"/>
      <c r="OSS103" s="530"/>
      <c r="OST103" s="531"/>
      <c r="OSU103" s="530"/>
      <c r="OSV103" s="531"/>
      <c r="OSW103" s="530"/>
      <c r="OSX103" s="531"/>
      <c r="OSY103" s="530"/>
      <c r="OSZ103" s="531"/>
      <c r="OTA103" s="530"/>
      <c r="OTB103" s="531"/>
      <c r="OTC103" s="530"/>
      <c r="OTD103" s="531"/>
      <c r="OTE103" s="530"/>
      <c r="OTF103" s="531"/>
      <c r="OTG103" s="530"/>
      <c r="OTH103" s="531"/>
      <c r="OTI103" s="530"/>
      <c r="OTJ103" s="531"/>
      <c r="OTK103" s="530"/>
      <c r="OTL103" s="531"/>
      <c r="OTM103" s="530"/>
      <c r="OTN103" s="531"/>
      <c r="OTO103" s="530"/>
      <c r="OTP103" s="531"/>
      <c r="OTQ103" s="530"/>
      <c r="OTR103" s="531"/>
      <c r="OTS103" s="530"/>
      <c r="OTT103" s="531"/>
      <c r="OTU103" s="530"/>
      <c r="OTV103" s="531"/>
      <c r="OTW103" s="530"/>
      <c r="OTX103" s="531"/>
      <c r="OTY103" s="530"/>
      <c r="OTZ103" s="531"/>
      <c r="OUA103" s="530"/>
      <c r="OUB103" s="531"/>
      <c r="OUC103" s="530"/>
      <c r="OUD103" s="531"/>
      <c r="OUE103" s="530"/>
      <c r="OUF103" s="531"/>
      <c r="OUG103" s="530"/>
      <c r="OUH103" s="531"/>
      <c r="OUI103" s="530"/>
      <c r="OUJ103" s="531"/>
      <c r="OUK103" s="530"/>
      <c r="OUL103" s="531"/>
      <c r="OUM103" s="530"/>
      <c r="OUN103" s="531"/>
      <c r="OUO103" s="530"/>
      <c r="OUP103" s="531"/>
      <c r="OUQ103" s="530"/>
      <c r="OUR103" s="531"/>
      <c r="OUS103" s="530"/>
      <c r="OUT103" s="531"/>
      <c r="OUU103" s="530"/>
      <c r="OUV103" s="531"/>
      <c r="OUW103" s="530"/>
      <c r="OUX103" s="531"/>
      <c r="OUY103" s="530"/>
      <c r="OUZ103" s="531"/>
      <c r="OVA103" s="530"/>
      <c r="OVB103" s="531"/>
      <c r="OVC103" s="530"/>
      <c r="OVD103" s="531"/>
      <c r="OVE103" s="530"/>
      <c r="OVF103" s="531"/>
      <c r="OVG103" s="530"/>
      <c r="OVH103" s="531"/>
      <c r="OVI103" s="530"/>
      <c r="OVJ103" s="531"/>
      <c r="OVK103" s="530"/>
      <c r="OVL103" s="531"/>
      <c r="OVM103" s="530"/>
      <c r="OVN103" s="531"/>
      <c r="OVO103" s="530"/>
      <c r="OVP103" s="531"/>
      <c r="OVQ103" s="530"/>
      <c r="OVR103" s="531"/>
      <c r="OVS103" s="530"/>
      <c r="OVT103" s="531"/>
      <c r="OVU103" s="530"/>
      <c r="OVV103" s="531"/>
      <c r="OVW103" s="530"/>
      <c r="OVX103" s="531"/>
      <c r="OVY103" s="530"/>
      <c r="OVZ103" s="531"/>
      <c r="OWA103" s="530"/>
      <c r="OWB103" s="531"/>
      <c r="OWC103" s="530"/>
      <c r="OWD103" s="531"/>
      <c r="OWE103" s="530"/>
      <c r="OWF103" s="531"/>
      <c r="OWG103" s="530"/>
      <c r="OWH103" s="531"/>
      <c r="OWI103" s="530"/>
      <c r="OWJ103" s="531"/>
      <c r="OWK103" s="530"/>
      <c r="OWL103" s="531"/>
      <c r="OWM103" s="530"/>
      <c r="OWN103" s="531"/>
      <c r="OWO103" s="530"/>
      <c r="OWP103" s="531"/>
      <c r="OWQ103" s="530"/>
      <c r="OWR103" s="531"/>
      <c r="OWS103" s="530"/>
      <c r="OWT103" s="531"/>
      <c r="OWU103" s="530"/>
      <c r="OWV103" s="531"/>
      <c r="OWW103" s="530"/>
      <c r="OWX103" s="531"/>
      <c r="OWY103" s="530"/>
      <c r="OWZ103" s="531"/>
      <c r="OXA103" s="530"/>
      <c r="OXB103" s="531"/>
      <c r="OXC103" s="530"/>
      <c r="OXD103" s="531"/>
      <c r="OXE103" s="530"/>
      <c r="OXF103" s="531"/>
      <c r="OXG103" s="530"/>
      <c r="OXH103" s="531"/>
      <c r="OXI103" s="530"/>
      <c r="OXJ103" s="531"/>
      <c r="OXK103" s="530"/>
      <c r="OXL103" s="531"/>
      <c r="OXM103" s="530"/>
      <c r="OXN103" s="531"/>
      <c r="OXO103" s="530"/>
      <c r="OXP103" s="531"/>
      <c r="OXQ103" s="530"/>
      <c r="OXR103" s="531"/>
      <c r="OXS103" s="530"/>
      <c r="OXT103" s="531"/>
      <c r="OXU103" s="530"/>
      <c r="OXV103" s="531"/>
      <c r="OXW103" s="530"/>
      <c r="OXX103" s="531"/>
      <c r="OXY103" s="530"/>
      <c r="OXZ103" s="531"/>
      <c r="OYA103" s="530"/>
      <c r="OYB103" s="531"/>
      <c r="OYC103" s="530"/>
      <c r="OYD103" s="531"/>
      <c r="OYE103" s="530"/>
      <c r="OYF103" s="531"/>
      <c r="OYG103" s="530"/>
      <c r="OYH103" s="531"/>
      <c r="OYI103" s="530"/>
      <c r="OYJ103" s="531"/>
      <c r="OYK103" s="530"/>
      <c r="OYL103" s="531"/>
      <c r="OYM103" s="530"/>
      <c r="OYN103" s="531"/>
      <c r="OYO103" s="530"/>
      <c r="OYP103" s="531"/>
      <c r="OYQ103" s="530"/>
      <c r="OYR103" s="531"/>
      <c r="OYS103" s="530"/>
      <c r="OYT103" s="531"/>
      <c r="OYU103" s="530"/>
      <c r="OYV103" s="531"/>
      <c r="OYW103" s="530"/>
      <c r="OYX103" s="531"/>
      <c r="OYY103" s="530"/>
      <c r="OYZ103" s="531"/>
      <c r="OZA103" s="530"/>
      <c r="OZB103" s="531"/>
      <c r="OZC103" s="530"/>
      <c r="OZD103" s="531"/>
      <c r="OZE103" s="530"/>
      <c r="OZF103" s="531"/>
      <c r="OZG103" s="530"/>
      <c r="OZH103" s="531"/>
      <c r="OZI103" s="530"/>
      <c r="OZJ103" s="531"/>
      <c r="OZK103" s="530"/>
      <c r="OZL103" s="531"/>
      <c r="OZM103" s="530"/>
      <c r="OZN103" s="531"/>
      <c r="OZO103" s="530"/>
      <c r="OZP103" s="531"/>
      <c r="OZQ103" s="530"/>
      <c r="OZR103" s="531"/>
      <c r="OZS103" s="530"/>
      <c r="OZT103" s="531"/>
      <c r="OZU103" s="530"/>
      <c r="OZV103" s="531"/>
      <c r="OZW103" s="530"/>
      <c r="OZX103" s="531"/>
      <c r="OZY103" s="530"/>
      <c r="OZZ103" s="531"/>
      <c r="PAA103" s="530"/>
      <c r="PAB103" s="531"/>
      <c r="PAC103" s="530"/>
      <c r="PAD103" s="531"/>
      <c r="PAE103" s="530"/>
      <c r="PAF103" s="531"/>
      <c r="PAG103" s="530"/>
      <c r="PAH103" s="531"/>
      <c r="PAI103" s="530"/>
      <c r="PAJ103" s="531"/>
      <c r="PAK103" s="530"/>
      <c r="PAL103" s="531"/>
      <c r="PAM103" s="530"/>
      <c r="PAN103" s="531"/>
      <c r="PAO103" s="530"/>
      <c r="PAP103" s="531"/>
      <c r="PAQ103" s="530"/>
      <c r="PAR103" s="531"/>
      <c r="PAS103" s="530"/>
      <c r="PAT103" s="531"/>
      <c r="PAU103" s="530"/>
      <c r="PAV103" s="531"/>
      <c r="PAW103" s="530"/>
      <c r="PAX103" s="531"/>
      <c r="PAY103" s="530"/>
      <c r="PAZ103" s="531"/>
      <c r="PBA103" s="530"/>
      <c r="PBB103" s="531"/>
      <c r="PBC103" s="530"/>
      <c r="PBD103" s="531"/>
      <c r="PBE103" s="530"/>
      <c r="PBF103" s="531"/>
      <c r="PBG103" s="530"/>
      <c r="PBH103" s="531"/>
      <c r="PBI103" s="530"/>
      <c r="PBJ103" s="531"/>
      <c r="PBK103" s="530"/>
      <c r="PBL103" s="531"/>
      <c r="PBM103" s="530"/>
      <c r="PBN103" s="531"/>
      <c r="PBO103" s="530"/>
      <c r="PBP103" s="531"/>
      <c r="PBQ103" s="530"/>
      <c r="PBR103" s="531"/>
      <c r="PBS103" s="530"/>
      <c r="PBT103" s="531"/>
      <c r="PBU103" s="530"/>
      <c r="PBV103" s="531"/>
      <c r="PBW103" s="530"/>
      <c r="PBX103" s="531"/>
      <c r="PBY103" s="530"/>
      <c r="PBZ103" s="531"/>
      <c r="PCA103" s="530"/>
      <c r="PCB103" s="531"/>
      <c r="PCC103" s="530"/>
      <c r="PCD103" s="531"/>
      <c r="PCE103" s="530"/>
      <c r="PCF103" s="531"/>
      <c r="PCG103" s="530"/>
      <c r="PCH103" s="531"/>
      <c r="PCI103" s="530"/>
      <c r="PCJ103" s="531"/>
      <c r="PCK103" s="530"/>
      <c r="PCL103" s="531"/>
      <c r="PCM103" s="530"/>
      <c r="PCN103" s="531"/>
      <c r="PCO103" s="530"/>
      <c r="PCP103" s="531"/>
      <c r="PCQ103" s="530"/>
      <c r="PCR103" s="531"/>
      <c r="PCS103" s="530"/>
      <c r="PCT103" s="531"/>
      <c r="PCU103" s="530"/>
      <c r="PCV103" s="531"/>
      <c r="PCW103" s="530"/>
      <c r="PCX103" s="531"/>
      <c r="PCY103" s="530"/>
      <c r="PCZ103" s="531"/>
      <c r="PDA103" s="530"/>
      <c r="PDB103" s="531"/>
      <c r="PDC103" s="530"/>
      <c r="PDD103" s="531"/>
      <c r="PDE103" s="530"/>
      <c r="PDF103" s="531"/>
      <c r="PDG103" s="530"/>
      <c r="PDH103" s="531"/>
      <c r="PDI103" s="530"/>
      <c r="PDJ103" s="531"/>
      <c r="PDK103" s="530"/>
      <c r="PDL103" s="531"/>
      <c r="PDM103" s="530"/>
      <c r="PDN103" s="531"/>
      <c r="PDO103" s="530"/>
      <c r="PDP103" s="531"/>
      <c r="PDQ103" s="530"/>
      <c r="PDR103" s="531"/>
      <c r="PDS103" s="530"/>
      <c r="PDT103" s="531"/>
      <c r="PDU103" s="530"/>
      <c r="PDV103" s="531"/>
      <c r="PDW103" s="530"/>
      <c r="PDX103" s="531"/>
      <c r="PDY103" s="530"/>
      <c r="PDZ103" s="531"/>
      <c r="PEA103" s="530"/>
      <c r="PEB103" s="531"/>
      <c r="PEC103" s="530"/>
      <c r="PED103" s="531"/>
      <c r="PEE103" s="530"/>
      <c r="PEF103" s="531"/>
      <c r="PEG103" s="530"/>
      <c r="PEH103" s="531"/>
      <c r="PEI103" s="530"/>
      <c r="PEJ103" s="531"/>
      <c r="PEK103" s="530"/>
      <c r="PEL103" s="531"/>
      <c r="PEM103" s="530"/>
      <c r="PEN103" s="531"/>
      <c r="PEO103" s="530"/>
      <c r="PEP103" s="531"/>
      <c r="PEQ103" s="530"/>
      <c r="PER103" s="531"/>
      <c r="PES103" s="530"/>
      <c r="PET103" s="531"/>
      <c r="PEU103" s="530"/>
      <c r="PEV103" s="531"/>
      <c r="PEW103" s="530"/>
      <c r="PEX103" s="531"/>
      <c r="PEY103" s="530"/>
      <c r="PEZ103" s="531"/>
      <c r="PFA103" s="530"/>
      <c r="PFB103" s="531"/>
      <c r="PFC103" s="530"/>
      <c r="PFD103" s="531"/>
      <c r="PFE103" s="530"/>
      <c r="PFF103" s="531"/>
      <c r="PFG103" s="530"/>
      <c r="PFH103" s="531"/>
      <c r="PFI103" s="530"/>
      <c r="PFJ103" s="531"/>
      <c r="PFK103" s="530"/>
      <c r="PFL103" s="531"/>
      <c r="PFM103" s="530"/>
      <c r="PFN103" s="531"/>
      <c r="PFO103" s="530"/>
      <c r="PFP103" s="531"/>
      <c r="PFQ103" s="530"/>
      <c r="PFR103" s="531"/>
      <c r="PFS103" s="530"/>
      <c r="PFT103" s="531"/>
      <c r="PFU103" s="530"/>
      <c r="PFV103" s="531"/>
      <c r="PFW103" s="530"/>
      <c r="PFX103" s="531"/>
      <c r="PFY103" s="530"/>
      <c r="PFZ103" s="531"/>
      <c r="PGA103" s="530"/>
      <c r="PGB103" s="531"/>
      <c r="PGC103" s="530"/>
      <c r="PGD103" s="531"/>
      <c r="PGE103" s="530"/>
      <c r="PGF103" s="531"/>
      <c r="PGG103" s="530"/>
      <c r="PGH103" s="531"/>
      <c r="PGI103" s="530"/>
      <c r="PGJ103" s="531"/>
      <c r="PGK103" s="530"/>
      <c r="PGL103" s="531"/>
      <c r="PGM103" s="530"/>
      <c r="PGN103" s="531"/>
      <c r="PGO103" s="530"/>
      <c r="PGP103" s="531"/>
      <c r="PGQ103" s="530"/>
      <c r="PGR103" s="531"/>
      <c r="PGS103" s="530"/>
      <c r="PGT103" s="531"/>
      <c r="PGU103" s="530"/>
      <c r="PGV103" s="531"/>
      <c r="PGW103" s="530"/>
      <c r="PGX103" s="531"/>
      <c r="PGY103" s="530"/>
      <c r="PGZ103" s="531"/>
      <c r="PHA103" s="530"/>
      <c r="PHB103" s="531"/>
      <c r="PHC103" s="530"/>
      <c r="PHD103" s="531"/>
      <c r="PHE103" s="530"/>
      <c r="PHF103" s="531"/>
      <c r="PHG103" s="530"/>
      <c r="PHH103" s="531"/>
      <c r="PHI103" s="530"/>
      <c r="PHJ103" s="531"/>
      <c r="PHK103" s="530"/>
      <c r="PHL103" s="531"/>
      <c r="PHM103" s="530"/>
      <c r="PHN103" s="531"/>
      <c r="PHO103" s="530"/>
      <c r="PHP103" s="531"/>
      <c r="PHQ103" s="530"/>
      <c r="PHR103" s="531"/>
      <c r="PHS103" s="530"/>
      <c r="PHT103" s="531"/>
      <c r="PHU103" s="530"/>
      <c r="PHV103" s="531"/>
      <c r="PHW103" s="530"/>
      <c r="PHX103" s="531"/>
      <c r="PHY103" s="530"/>
      <c r="PHZ103" s="531"/>
      <c r="PIA103" s="530"/>
      <c r="PIB103" s="531"/>
      <c r="PIC103" s="530"/>
      <c r="PID103" s="531"/>
      <c r="PIE103" s="530"/>
      <c r="PIF103" s="531"/>
      <c r="PIG103" s="530"/>
      <c r="PIH103" s="531"/>
      <c r="PII103" s="530"/>
      <c r="PIJ103" s="531"/>
      <c r="PIK103" s="530"/>
      <c r="PIL103" s="531"/>
      <c r="PIM103" s="530"/>
      <c r="PIN103" s="531"/>
      <c r="PIO103" s="530"/>
      <c r="PIP103" s="531"/>
      <c r="PIQ103" s="530"/>
      <c r="PIR103" s="531"/>
      <c r="PIS103" s="530"/>
      <c r="PIT103" s="531"/>
      <c r="PIU103" s="530"/>
      <c r="PIV103" s="531"/>
      <c r="PIW103" s="530"/>
      <c r="PIX103" s="531"/>
      <c r="PIY103" s="530"/>
      <c r="PIZ103" s="531"/>
      <c r="PJA103" s="530"/>
      <c r="PJB103" s="531"/>
      <c r="PJC103" s="530"/>
      <c r="PJD103" s="531"/>
      <c r="PJE103" s="530"/>
      <c r="PJF103" s="531"/>
      <c r="PJG103" s="530"/>
      <c r="PJH103" s="531"/>
      <c r="PJI103" s="530"/>
      <c r="PJJ103" s="531"/>
      <c r="PJK103" s="530"/>
      <c r="PJL103" s="531"/>
      <c r="PJM103" s="530"/>
      <c r="PJN103" s="531"/>
      <c r="PJO103" s="530"/>
      <c r="PJP103" s="531"/>
      <c r="PJQ103" s="530"/>
      <c r="PJR103" s="531"/>
      <c r="PJS103" s="530"/>
      <c r="PJT103" s="531"/>
      <c r="PJU103" s="530"/>
      <c r="PJV103" s="531"/>
      <c r="PJW103" s="530"/>
      <c r="PJX103" s="531"/>
      <c r="PJY103" s="530"/>
      <c r="PJZ103" s="531"/>
      <c r="PKA103" s="530"/>
      <c r="PKB103" s="531"/>
      <c r="PKC103" s="530"/>
      <c r="PKD103" s="531"/>
      <c r="PKE103" s="530"/>
      <c r="PKF103" s="531"/>
      <c r="PKG103" s="530"/>
      <c r="PKH103" s="531"/>
      <c r="PKI103" s="530"/>
      <c r="PKJ103" s="531"/>
      <c r="PKK103" s="530"/>
      <c r="PKL103" s="531"/>
      <c r="PKM103" s="530"/>
      <c r="PKN103" s="531"/>
      <c r="PKO103" s="530"/>
      <c r="PKP103" s="531"/>
      <c r="PKQ103" s="530"/>
      <c r="PKR103" s="531"/>
      <c r="PKS103" s="530"/>
      <c r="PKT103" s="531"/>
      <c r="PKU103" s="530"/>
      <c r="PKV103" s="531"/>
      <c r="PKW103" s="530"/>
      <c r="PKX103" s="531"/>
      <c r="PKY103" s="530"/>
      <c r="PKZ103" s="531"/>
      <c r="PLA103" s="530"/>
      <c r="PLB103" s="531"/>
      <c r="PLC103" s="530"/>
      <c r="PLD103" s="531"/>
      <c r="PLE103" s="530"/>
      <c r="PLF103" s="531"/>
      <c r="PLG103" s="530"/>
      <c r="PLH103" s="531"/>
      <c r="PLI103" s="530"/>
      <c r="PLJ103" s="531"/>
      <c r="PLK103" s="530"/>
      <c r="PLL103" s="531"/>
      <c r="PLM103" s="530"/>
      <c r="PLN103" s="531"/>
      <c r="PLO103" s="530"/>
      <c r="PLP103" s="531"/>
      <c r="PLQ103" s="530"/>
      <c r="PLR103" s="531"/>
      <c r="PLS103" s="530"/>
      <c r="PLT103" s="531"/>
      <c r="PLU103" s="530"/>
      <c r="PLV103" s="531"/>
      <c r="PLW103" s="530"/>
      <c r="PLX103" s="531"/>
      <c r="PLY103" s="530"/>
      <c r="PLZ103" s="531"/>
      <c r="PMA103" s="530"/>
      <c r="PMB103" s="531"/>
      <c r="PMC103" s="530"/>
      <c r="PMD103" s="531"/>
      <c r="PME103" s="530"/>
      <c r="PMF103" s="531"/>
      <c r="PMG103" s="530"/>
      <c r="PMH103" s="531"/>
      <c r="PMI103" s="530"/>
      <c r="PMJ103" s="531"/>
      <c r="PMK103" s="530"/>
      <c r="PML103" s="531"/>
      <c r="PMM103" s="530"/>
      <c r="PMN103" s="531"/>
      <c r="PMO103" s="530"/>
      <c r="PMP103" s="531"/>
      <c r="PMQ103" s="530"/>
      <c r="PMR103" s="531"/>
      <c r="PMS103" s="530"/>
      <c r="PMT103" s="531"/>
      <c r="PMU103" s="530"/>
      <c r="PMV103" s="531"/>
      <c r="PMW103" s="530"/>
      <c r="PMX103" s="531"/>
      <c r="PMY103" s="530"/>
      <c r="PMZ103" s="531"/>
      <c r="PNA103" s="530"/>
      <c r="PNB103" s="531"/>
      <c r="PNC103" s="530"/>
      <c r="PND103" s="531"/>
      <c r="PNE103" s="530"/>
      <c r="PNF103" s="531"/>
      <c r="PNG103" s="530"/>
      <c r="PNH103" s="531"/>
      <c r="PNI103" s="530"/>
      <c r="PNJ103" s="531"/>
      <c r="PNK103" s="530"/>
      <c r="PNL103" s="531"/>
      <c r="PNM103" s="530"/>
      <c r="PNN103" s="531"/>
      <c r="PNO103" s="530"/>
      <c r="PNP103" s="531"/>
      <c r="PNQ103" s="530"/>
      <c r="PNR103" s="531"/>
      <c r="PNS103" s="530"/>
      <c r="PNT103" s="531"/>
      <c r="PNU103" s="530"/>
      <c r="PNV103" s="531"/>
      <c r="PNW103" s="530"/>
      <c r="PNX103" s="531"/>
      <c r="PNY103" s="530"/>
      <c r="PNZ103" s="531"/>
      <c r="POA103" s="530"/>
      <c r="POB103" s="531"/>
      <c r="POC103" s="530"/>
      <c r="POD103" s="531"/>
      <c r="POE103" s="530"/>
      <c r="POF103" s="531"/>
      <c r="POG103" s="530"/>
      <c r="POH103" s="531"/>
      <c r="POI103" s="530"/>
      <c r="POJ103" s="531"/>
      <c r="POK103" s="530"/>
      <c r="POL103" s="531"/>
      <c r="POM103" s="530"/>
      <c r="PON103" s="531"/>
      <c r="POO103" s="530"/>
      <c r="POP103" s="531"/>
      <c r="POQ103" s="530"/>
      <c r="POR103" s="531"/>
      <c r="POS103" s="530"/>
      <c r="POT103" s="531"/>
      <c r="POU103" s="530"/>
      <c r="POV103" s="531"/>
      <c r="POW103" s="530"/>
      <c r="POX103" s="531"/>
      <c r="POY103" s="530"/>
      <c r="POZ103" s="531"/>
      <c r="PPA103" s="530"/>
      <c r="PPB103" s="531"/>
      <c r="PPC103" s="530"/>
      <c r="PPD103" s="531"/>
      <c r="PPE103" s="530"/>
      <c r="PPF103" s="531"/>
      <c r="PPG103" s="530"/>
      <c r="PPH103" s="531"/>
      <c r="PPI103" s="530"/>
      <c r="PPJ103" s="531"/>
      <c r="PPK103" s="530"/>
      <c r="PPL103" s="531"/>
      <c r="PPM103" s="530"/>
      <c r="PPN103" s="531"/>
      <c r="PPO103" s="530"/>
      <c r="PPP103" s="531"/>
      <c r="PPQ103" s="530"/>
      <c r="PPR103" s="531"/>
      <c r="PPS103" s="530"/>
      <c r="PPT103" s="531"/>
      <c r="PPU103" s="530"/>
      <c r="PPV103" s="531"/>
      <c r="PPW103" s="530"/>
      <c r="PPX103" s="531"/>
      <c r="PPY103" s="530"/>
      <c r="PPZ103" s="531"/>
      <c r="PQA103" s="530"/>
      <c r="PQB103" s="531"/>
      <c r="PQC103" s="530"/>
      <c r="PQD103" s="531"/>
      <c r="PQE103" s="530"/>
      <c r="PQF103" s="531"/>
      <c r="PQG103" s="530"/>
      <c r="PQH103" s="531"/>
      <c r="PQI103" s="530"/>
      <c r="PQJ103" s="531"/>
      <c r="PQK103" s="530"/>
      <c r="PQL103" s="531"/>
      <c r="PQM103" s="530"/>
      <c r="PQN103" s="531"/>
      <c r="PQO103" s="530"/>
      <c r="PQP103" s="531"/>
      <c r="PQQ103" s="530"/>
      <c r="PQR103" s="531"/>
      <c r="PQS103" s="530"/>
      <c r="PQT103" s="531"/>
      <c r="PQU103" s="530"/>
      <c r="PQV103" s="531"/>
      <c r="PQW103" s="530"/>
      <c r="PQX103" s="531"/>
      <c r="PQY103" s="530"/>
      <c r="PQZ103" s="531"/>
      <c r="PRA103" s="530"/>
      <c r="PRB103" s="531"/>
      <c r="PRC103" s="530"/>
      <c r="PRD103" s="531"/>
      <c r="PRE103" s="530"/>
      <c r="PRF103" s="531"/>
      <c r="PRG103" s="530"/>
      <c r="PRH103" s="531"/>
      <c r="PRI103" s="530"/>
      <c r="PRJ103" s="531"/>
      <c r="PRK103" s="530"/>
      <c r="PRL103" s="531"/>
      <c r="PRM103" s="530"/>
      <c r="PRN103" s="531"/>
      <c r="PRO103" s="530"/>
      <c r="PRP103" s="531"/>
      <c r="PRQ103" s="530"/>
      <c r="PRR103" s="531"/>
      <c r="PRS103" s="530"/>
      <c r="PRT103" s="531"/>
      <c r="PRU103" s="530"/>
      <c r="PRV103" s="531"/>
      <c r="PRW103" s="530"/>
      <c r="PRX103" s="531"/>
      <c r="PRY103" s="530"/>
      <c r="PRZ103" s="531"/>
      <c r="PSA103" s="530"/>
      <c r="PSB103" s="531"/>
      <c r="PSC103" s="530"/>
      <c r="PSD103" s="531"/>
      <c r="PSE103" s="530"/>
      <c r="PSF103" s="531"/>
      <c r="PSG103" s="530"/>
      <c r="PSH103" s="531"/>
      <c r="PSI103" s="530"/>
      <c r="PSJ103" s="531"/>
      <c r="PSK103" s="530"/>
      <c r="PSL103" s="531"/>
      <c r="PSM103" s="530"/>
      <c r="PSN103" s="531"/>
      <c r="PSO103" s="530"/>
      <c r="PSP103" s="531"/>
      <c r="PSQ103" s="530"/>
      <c r="PSR103" s="531"/>
      <c r="PSS103" s="530"/>
      <c r="PST103" s="531"/>
      <c r="PSU103" s="530"/>
      <c r="PSV103" s="531"/>
      <c r="PSW103" s="530"/>
      <c r="PSX103" s="531"/>
      <c r="PSY103" s="530"/>
      <c r="PSZ103" s="531"/>
      <c r="PTA103" s="530"/>
      <c r="PTB103" s="531"/>
      <c r="PTC103" s="530"/>
      <c r="PTD103" s="531"/>
      <c r="PTE103" s="530"/>
      <c r="PTF103" s="531"/>
      <c r="PTG103" s="530"/>
      <c r="PTH103" s="531"/>
      <c r="PTI103" s="530"/>
      <c r="PTJ103" s="531"/>
      <c r="PTK103" s="530"/>
      <c r="PTL103" s="531"/>
      <c r="PTM103" s="530"/>
      <c r="PTN103" s="531"/>
      <c r="PTO103" s="530"/>
      <c r="PTP103" s="531"/>
      <c r="PTQ103" s="530"/>
      <c r="PTR103" s="531"/>
      <c r="PTS103" s="530"/>
      <c r="PTT103" s="531"/>
      <c r="PTU103" s="530"/>
      <c r="PTV103" s="531"/>
      <c r="PTW103" s="530"/>
      <c r="PTX103" s="531"/>
      <c r="PTY103" s="530"/>
      <c r="PTZ103" s="531"/>
      <c r="PUA103" s="530"/>
      <c r="PUB103" s="531"/>
      <c r="PUC103" s="530"/>
      <c r="PUD103" s="531"/>
      <c r="PUE103" s="530"/>
      <c r="PUF103" s="531"/>
      <c r="PUG103" s="530"/>
      <c r="PUH103" s="531"/>
      <c r="PUI103" s="530"/>
      <c r="PUJ103" s="531"/>
      <c r="PUK103" s="530"/>
      <c r="PUL103" s="531"/>
      <c r="PUM103" s="530"/>
      <c r="PUN103" s="531"/>
      <c r="PUO103" s="530"/>
      <c r="PUP103" s="531"/>
      <c r="PUQ103" s="530"/>
      <c r="PUR103" s="531"/>
      <c r="PUS103" s="530"/>
      <c r="PUT103" s="531"/>
      <c r="PUU103" s="530"/>
      <c r="PUV103" s="531"/>
      <c r="PUW103" s="530"/>
      <c r="PUX103" s="531"/>
      <c r="PUY103" s="530"/>
      <c r="PUZ103" s="531"/>
      <c r="PVA103" s="530"/>
      <c r="PVB103" s="531"/>
      <c r="PVC103" s="530"/>
      <c r="PVD103" s="531"/>
      <c r="PVE103" s="530"/>
      <c r="PVF103" s="531"/>
      <c r="PVG103" s="530"/>
      <c r="PVH103" s="531"/>
      <c r="PVI103" s="530"/>
      <c r="PVJ103" s="531"/>
      <c r="PVK103" s="530"/>
      <c r="PVL103" s="531"/>
      <c r="PVM103" s="530"/>
      <c r="PVN103" s="531"/>
      <c r="PVO103" s="530"/>
      <c r="PVP103" s="531"/>
      <c r="PVQ103" s="530"/>
      <c r="PVR103" s="531"/>
      <c r="PVS103" s="530"/>
      <c r="PVT103" s="531"/>
      <c r="PVU103" s="530"/>
      <c r="PVV103" s="531"/>
      <c r="PVW103" s="530"/>
      <c r="PVX103" s="531"/>
      <c r="PVY103" s="530"/>
      <c r="PVZ103" s="531"/>
      <c r="PWA103" s="530"/>
      <c r="PWB103" s="531"/>
      <c r="PWC103" s="530"/>
      <c r="PWD103" s="531"/>
      <c r="PWE103" s="530"/>
      <c r="PWF103" s="531"/>
      <c r="PWG103" s="530"/>
      <c r="PWH103" s="531"/>
      <c r="PWI103" s="530"/>
      <c r="PWJ103" s="531"/>
      <c r="PWK103" s="530"/>
      <c r="PWL103" s="531"/>
      <c r="PWM103" s="530"/>
      <c r="PWN103" s="531"/>
      <c r="PWO103" s="530"/>
      <c r="PWP103" s="531"/>
      <c r="PWQ103" s="530"/>
      <c r="PWR103" s="531"/>
      <c r="PWS103" s="530"/>
      <c r="PWT103" s="531"/>
      <c r="PWU103" s="530"/>
      <c r="PWV103" s="531"/>
      <c r="PWW103" s="530"/>
      <c r="PWX103" s="531"/>
      <c r="PWY103" s="530"/>
      <c r="PWZ103" s="531"/>
      <c r="PXA103" s="530"/>
      <c r="PXB103" s="531"/>
      <c r="PXC103" s="530"/>
      <c r="PXD103" s="531"/>
      <c r="PXE103" s="530"/>
      <c r="PXF103" s="531"/>
      <c r="PXG103" s="530"/>
      <c r="PXH103" s="531"/>
      <c r="PXI103" s="530"/>
      <c r="PXJ103" s="531"/>
      <c r="PXK103" s="530"/>
      <c r="PXL103" s="531"/>
      <c r="PXM103" s="530"/>
      <c r="PXN103" s="531"/>
      <c r="PXO103" s="530"/>
      <c r="PXP103" s="531"/>
      <c r="PXQ103" s="530"/>
      <c r="PXR103" s="531"/>
      <c r="PXS103" s="530"/>
      <c r="PXT103" s="531"/>
      <c r="PXU103" s="530"/>
      <c r="PXV103" s="531"/>
      <c r="PXW103" s="530"/>
      <c r="PXX103" s="531"/>
      <c r="PXY103" s="530"/>
      <c r="PXZ103" s="531"/>
      <c r="PYA103" s="530"/>
      <c r="PYB103" s="531"/>
      <c r="PYC103" s="530"/>
      <c r="PYD103" s="531"/>
      <c r="PYE103" s="530"/>
      <c r="PYF103" s="531"/>
      <c r="PYG103" s="530"/>
      <c r="PYH103" s="531"/>
      <c r="PYI103" s="530"/>
      <c r="PYJ103" s="531"/>
      <c r="PYK103" s="530"/>
      <c r="PYL103" s="531"/>
      <c r="PYM103" s="530"/>
      <c r="PYN103" s="531"/>
      <c r="PYO103" s="530"/>
      <c r="PYP103" s="531"/>
      <c r="PYQ103" s="530"/>
      <c r="PYR103" s="531"/>
      <c r="PYS103" s="530"/>
      <c r="PYT103" s="531"/>
      <c r="PYU103" s="530"/>
      <c r="PYV103" s="531"/>
      <c r="PYW103" s="530"/>
      <c r="PYX103" s="531"/>
      <c r="PYY103" s="530"/>
      <c r="PYZ103" s="531"/>
      <c r="PZA103" s="530"/>
      <c r="PZB103" s="531"/>
      <c r="PZC103" s="530"/>
      <c r="PZD103" s="531"/>
      <c r="PZE103" s="530"/>
      <c r="PZF103" s="531"/>
      <c r="PZG103" s="530"/>
      <c r="PZH103" s="531"/>
      <c r="PZI103" s="530"/>
      <c r="PZJ103" s="531"/>
      <c r="PZK103" s="530"/>
      <c r="PZL103" s="531"/>
      <c r="PZM103" s="530"/>
      <c r="PZN103" s="531"/>
      <c r="PZO103" s="530"/>
      <c r="PZP103" s="531"/>
      <c r="PZQ103" s="530"/>
      <c r="PZR103" s="531"/>
      <c r="PZS103" s="530"/>
      <c r="PZT103" s="531"/>
      <c r="PZU103" s="530"/>
      <c r="PZV103" s="531"/>
      <c r="PZW103" s="530"/>
      <c r="PZX103" s="531"/>
      <c r="PZY103" s="530"/>
      <c r="PZZ103" s="531"/>
      <c r="QAA103" s="530"/>
      <c r="QAB103" s="531"/>
      <c r="QAC103" s="530"/>
      <c r="QAD103" s="531"/>
      <c r="QAE103" s="530"/>
      <c r="QAF103" s="531"/>
      <c r="QAG103" s="530"/>
      <c r="QAH103" s="531"/>
      <c r="QAI103" s="530"/>
      <c r="QAJ103" s="531"/>
      <c r="QAK103" s="530"/>
      <c r="QAL103" s="531"/>
      <c r="QAM103" s="530"/>
      <c r="QAN103" s="531"/>
      <c r="QAO103" s="530"/>
      <c r="QAP103" s="531"/>
      <c r="QAQ103" s="530"/>
      <c r="QAR103" s="531"/>
      <c r="QAS103" s="530"/>
      <c r="QAT103" s="531"/>
      <c r="QAU103" s="530"/>
      <c r="QAV103" s="531"/>
      <c r="QAW103" s="530"/>
      <c r="QAX103" s="531"/>
      <c r="QAY103" s="530"/>
      <c r="QAZ103" s="531"/>
      <c r="QBA103" s="530"/>
      <c r="QBB103" s="531"/>
      <c r="QBC103" s="530"/>
      <c r="QBD103" s="531"/>
      <c r="QBE103" s="530"/>
      <c r="QBF103" s="531"/>
      <c r="QBG103" s="530"/>
      <c r="QBH103" s="531"/>
      <c r="QBI103" s="530"/>
      <c r="QBJ103" s="531"/>
      <c r="QBK103" s="530"/>
      <c r="QBL103" s="531"/>
      <c r="QBM103" s="530"/>
      <c r="QBN103" s="531"/>
      <c r="QBO103" s="530"/>
      <c r="QBP103" s="531"/>
      <c r="QBQ103" s="530"/>
      <c r="QBR103" s="531"/>
      <c r="QBS103" s="530"/>
      <c r="QBT103" s="531"/>
      <c r="QBU103" s="530"/>
      <c r="QBV103" s="531"/>
      <c r="QBW103" s="530"/>
      <c r="QBX103" s="531"/>
      <c r="QBY103" s="530"/>
      <c r="QBZ103" s="531"/>
      <c r="QCA103" s="530"/>
      <c r="QCB103" s="531"/>
      <c r="QCC103" s="530"/>
      <c r="QCD103" s="531"/>
      <c r="QCE103" s="530"/>
      <c r="QCF103" s="531"/>
      <c r="QCG103" s="530"/>
      <c r="QCH103" s="531"/>
      <c r="QCI103" s="530"/>
      <c r="QCJ103" s="531"/>
      <c r="QCK103" s="530"/>
      <c r="QCL103" s="531"/>
      <c r="QCM103" s="530"/>
      <c r="QCN103" s="531"/>
      <c r="QCO103" s="530"/>
      <c r="QCP103" s="531"/>
      <c r="QCQ103" s="530"/>
      <c r="QCR103" s="531"/>
      <c r="QCS103" s="530"/>
      <c r="QCT103" s="531"/>
      <c r="QCU103" s="530"/>
      <c r="QCV103" s="531"/>
      <c r="QCW103" s="530"/>
      <c r="QCX103" s="531"/>
      <c r="QCY103" s="530"/>
      <c r="QCZ103" s="531"/>
      <c r="QDA103" s="530"/>
      <c r="QDB103" s="531"/>
      <c r="QDC103" s="530"/>
      <c r="QDD103" s="531"/>
      <c r="QDE103" s="530"/>
      <c r="QDF103" s="531"/>
      <c r="QDG103" s="530"/>
      <c r="QDH103" s="531"/>
      <c r="QDI103" s="530"/>
      <c r="QDJ103" s="531"/>
      <c r="QDK103" s="530"/>
      <c r="QDL103" s="531"/>
      <c r="QDM103" s="530"/>
      <c r="QDN103" s="531"/>
      <c r="QDO103" s="530"/>
      <c r="QDP103" s="531"/>
      <c r="QDQ103" s="530"/>
      <c r="QDR103" s="531"/>
      <c r="QDS103" s="530"/>
      <c r="QDT103" s="531"/>
      <c r="QDU103" s="530"/>
      <c r="QDV103" s="531"/>
      <c r="QDW103" s="530"/>
      <c r="QDX103" s="531"/>
      <c r="QDY103" s="530"/>
      <c r="QDZ103" s="531"/>
      <c r="QEA103" s="530"/>
      <c r="QEB103" s="531"/>
      <c r="QEC103" s="530"/>
      <c r="QED103" s="531"/>
      <c r="QEE103" s="530"/>
      <c r="QEF103" s="531"/>
      <c r="QEG103" s="530"/>
      <c r="QEH103" s="531"/>
      <c r="QEI103" s="530"/>
      <c r="QEJ103" s="531"/>
      <c r="QEK103" s="530"/>
      <c r="QEL103" s="531"/>
      <c r="QEM103" s="530"/>
      <c r="QEN103" s="531"/>
      <c r="QEO103" s="530"/>
      <c r="QEP103" s="531"/>
      <c r="QEQ103" s="530"/>
      <c r="QER103" s="531"/>
      <c r="QES103" s="530"/>
      <c r="QET103" s="531"/>
      <c r="QEU103" s="530"/>
      <c r="QEV103" s="531"/>
      <c r="QEW103" s="530"/>
      <c r="QEX103" s="531"/>
      <c r="QEY103" s="530"/>
      <c r="QEZ103" s="531"/>
      <c r="QFA103" s="530"/>
      <c r="QFB103" s="531"/>
      <c r="QFC103" s="530"/>
      <c r="QFD103" s="531"/>
      <c r="QFE103" s="530"/>
      <c r="QFF103" s="531"/>
      <c r="QFG103" s="530"/>
      <c r="QFH103" s="531"/>
      <c r="QFI103" s="530"/>
      <c r="QFJ103" s="531"/>
      <c r="QFK103" s="530"/>
      <c r="QFL103" s="531"/>
      <c r="QFM103" s="530"/>
      <c r="QFN103" s="531"/>
      <c r="QFO103" s="530"/>
      <c r="QFP103" s="531"/>
      <c r="QFQ103" s="530"/>
      <c r="QFR103" s="531"/>
      <c r="QFS103" s="530"/>
      <c r="QFT103" s="531"/>
      <c r="QFU103" s="530"/>
      <c r="QFV103" s="531"/>
      <c r="QFW103" s="530"/>
      <c r="QFX103" s="531"/>
      <c r="QFY103" s="530"/>
      <c r="QFZ103" s="531"/>
      <c r="QGA103" s="530"/>
      <c r="QGB103" s="531"/>
      <c r="QGC103" s="530"/>
      <c r="QGD103" s="531"/>
      <c r="QGE103" s="530"/>
      <c r="QGF103" s="531"/>
      <c r="QGG103" s="530"/>
      <c r="QGH103" s="531"/>
      <c r="QGI103" s="530"/>
      <c r="QGJ103" s="531"/>
      <c r="QGK103" s="530"/>
      <c r="QGL103" s="531"/>
      <c r="QGM103" s="530"/>
      <c r="QGN103" s="531"/>
      <c r="QGO103" s="530"/>
      <c r="QGP103" s="531"/>
      <c r="QGQ103" s="530"/>
      <c r="QGR103" s="531"/>
      <c r="QGS103" s="530"/>
      <c r="QGT103" s="531"/>
      <c r="QGU103" s="530"/>
      <c r="QGV103" s="531"/>
      <c r="QGW103" s="530"/>
      <c r="QGX103" s="531"/>
      <c r="QGY103" s="530"/>
      <c r="QGZ103" s="531"/>
      <c r="QHA103" s="530"/>
      <c r="QHB103" s="531"/>
      <c r="QHC103" s="530"/>
      <c r="QHD103" s="531"/>
      <c r="QHE103" s="530"/>
      <c r="QHF103" s="531"/>
      <c r="QHG103" s="530"/>
      <c r="QHH103" s="531"/>
      <c r="QHI103" s="530"/>
      <c r="QHJ103" s="531"/>
      <c r="QHK103" s="530"/>
      <c r="QHL103" s="531"/>
      <c r="QHM103" s="530"/>
      <c r="QHN103" s="531"/>
      <c r="QHO103" s="530"/>
      <c r="QHP103" s="531"/>
      <c r="QHQ103" s="530"/>
      <c r="QHR103" s="531"/>
      <c r="QHS103" s="530"/>
      <c r="QHT103" s="531"/>
      <c r="QHU103" s="530"/>
      <c r="QHV103" s="531"/>
      <c r="QHW103" s="530"/>
      <c r="QHX103" s="531"/>
      <c r="QHY103" s="530"/>
      <c r="QHZ103" s="531"/>
      <c r="QIA103" s="530"/>
      <c r="QIB103" s="531"/>
      <c r="QIC103" s="530"/>
      <c r="QID103" s="531"/>
      <c r="QIE103" s="530"/>
      <c r="QIF103" s="531"/>
      <c r="QIG103" s="530"/>
      <c r="QIH103" s="531"/>
      <c r="QII103" s="530"/>
      <c r="QIJ103" s="531"/>
      <c r="QIK103" s="530"/>
      <c r="QIL103" s="531"/>
      <c r="QIM103" s="530"/>
      <c r="QIN103" s="531"/>
      <c r="QIO103" s="530"/>
      <c r="QIP103" s="531"/>
      <c r="QIQ103" s="530"/>
      <c r="QIR103" s="531"/>
      <c r="QIS103" s="530"/>
      <c r="QIT103" s="531"/>
      <c r="QIU103" s="530"/>
      <c r="QIV103" s="531"/>
      <c r="QIW103" s="530"/>
      <c r="QIX103" s="531"/>
      <c r="QIY103" s="530"/>
      <c r="QIZ103" s="531"/>
      <c r="QJA103" s="530"/>
      <c r="QJB103" s="531"/>
      <c r="QJC103" s="530"/>
      <c r="QJD103" s="531"/>
      <c r="QJE103" s="530"/>
      <c r="QJF103" s="531"/>
      <c r="QJG103" s="530"/>
      <c r="QJH103" s="531"/>
      <c r="QJI103" s="530"/>
      <c r="QJJ103" s="531"/>
      <c r="QJK103" s="530"/>
      <c r="QJL103" s="531"/>
      <c r="QJM103" s="530"/>
      <c r="QJN103" s="531"/>
      <c r="QJO103" s="530"/>
      <c r="QJP103" s="531"/>
      <c r="QJQ103" s="530"/>
      <c r="QJR103" s="531"/>
      <c r="QJS103" s="530"/>
      <c r="QJT103" s="531"/>
      <c r="QJU103" s="530"/>
      <c r="QJV103" s="531"/>
      <c r="QJW103" s="530"/>
      <c r="QJX103" s="531"/>
      <c r="QJY103" s="530"/>
      <c r="QJZ103" s="531"/>
      <c r="QKA103" s="530"/>
      <c r="QKB103" s="531"/>
      <c r="QKC103" s="530"/>
      <c r="QKD103" s="531"/>
      <c r="QKE103" s="530"/>
      <c r="QKF103" s="531"/>
      <c r="QKG103" s="530"/>
      <c r="QKH103" s="531"/>
      <c r="QKI103" s="530"/>
      <c r="QKJ103" s="531"/>
      <c r="QKK103" s="530"/>
      <c r="QKL103" s="531"/>
      <c r="QKM103" s="530"/>
      <c r="QKN103" s="531"/>
      <c r="QKO103" s="530"/>
      <c r="QKP103" s="531"/>
      <c r="QKQ103" s="530"/>
      <c r="QKR103" s="531"/>
      <c r="QKS103" s="530"/>
      <c r="QKT103" s="531"/>
      <c r="QKU103" s="530"/>
      <c r="QKV103" s="531"/>
      <c r="QKW103" s="530"/>
      <c r="QKX103" s="531"/>
      <c r="QKY103" s="530"/>
      <c r="QKZ103" s="531"/>
      <c r="QLA103" s="530"/>
      <c r="QLB103" s="531"/>
      <c r="QLC103" s="530"/>
      <c r="QLD103" s="531"/>
      <c r="QLE103" s="530"/>
      <c r="QLF103" s="531"/>
      <c r="QLG103" s="530"/>
      <c r="QLH103" s="531"/>
      <c r="QLI103" s="530"/>
      <c r="QLJ103" s="531"/>
      <c r="QLK103" s="530"/>
      <c r="QLL103" s="531"/>
      <c r="QLM103" s="530"/>
      <c r="QLN103" s="531"/>
      <c r="QLO103" s="530"/>
      <c r="QLP103" s="531"/>
      <c r="QLQ103" s="530"/>
      <c r="QLR103" s="531"/>
      <c r="QLS103" s="530"/>
      <c r="QLT103" s="531"/>
      <c r="QLU103" s="530"/>
      <c r="QLV103" s="531"/>
      <c r="QLW103" s="530"/>
      <c r="QLX103" s="531"/>
      <c r="QLY103" s="530"/>
      <c r="QLZ103" s="531"/>
      <c r="QMA103" s="530"/>
      <c r="QMB103" s="531"/>
      <c r="QMC103" s="530"/>
      <c r="QMD103" s="531"/>
      <c r="QME103" s="530"/>
      <c r="QMF103" s="531"/>
      <c r="QMG103" s="530"/>
      <c r="QMH103" s="531"/>
      <c r="QMI103" s="530"/>
      <c r="QMJ103" s="531"/>
      <c r="QMK103" s="530"/>
      <c r="QML103" s="531"/>
      <c r="QMM103" s="530"/>
      <c r="QMN103" s="531"/>
      <c r="QMO103" s="530"/>
      <c r="QMP103" s="531"/>
      <c r="QMQ103" s="530"/>
      <c r="QMR103" s="531"/>
      <c r="QMS103" s="530"/>
      <c r="QMT103" s="531"/>
      <c r="QMU103" s="530"/>
      <c r="QMV103" s="531"/>
      <c r="QMW103" s="530"/>
      <c r="QMX103" s="531"/>
      <c r="QMY103" s="530"/>
      <c r="QMZ103" s="531"/>
      <c r="QNA103" s="530"/>
      <c r="QNB103" s="531"/>
      <c r="QNC103" s="530"/>
      <c r="QND103" s="531"/>
      <c r="QNE103" s="530"/>
      <c r="QNF103" s="531"/>
      <c r="QNG103" s="530"/>
      <c r="QNH103" s="531"/>
      <c r="QNI103" s="530"/>
      <c r="QNJ103" s="531"/>
      <c r="QNK103" s="530"/>
      <c r="QNL103" s="531"/>
      <c r="QNM103" s="530"/>
      <c r="QNN103" s="531"/>
      <c r="QNO103" s="530"/>
      <c r="QNP103" s="531"/>
      <c r="QNQ103" s="530"/>
      <c r="QNR103" s="531"/>
      <c r="QNS103" s="530"/>
      <c r="QNT103" s="531"/>
      <c r="QNU103" s="530"/>
      <c r="QNV103" s="531"/>
      <c r="QNW103" s="530"/>
      <c r="QNX103" s="531"/>
      <c r="QNY103" s="530"/>
      <c r="QNZ103" s="531"/>
      <c r="QOA103" s="530"/>
      <c r="QOB103" s="531"/>
      <c r="QOC103" s="530"/>
      <c r="QOD103" s="531"/>
      <c r="QOE103" s="530"/>
      <c r="QOF103" s="531"/>
      <c r="QOG103" s="530"/>
      <c r="QOH103" s="531"/>
      <c r="QOI103" s="530"/>
      <c r="QOJ103" s="531"/>
      <c r="QOK103" s="530"/>
      <c r="QOL103" s="531"/>
      <c r="QOM103" s="530"/>
      <c r="QON103" s="531"/>
      <c r="QOO103" s="530"/>
      <c r="QOP103" s="531"/>
      <c r="QOQ103" s="530"/>
      <c r="QOR103" s="531"/>
      <c r="QOS103" s="530"/>
      <c r="QOT103" s="531"/>
      <c r="QOU103" s="530"/>
      <c r="QOV103" s="531"/>
      <c r="QOW103" s="530"/>
      <c r="QOX103" s="531"/>
      <c r="QOY103" s="530"/>
      <c r="QOZ103" s="531"/>
      <c r="QPA103" s="530"/>
      <c r="QPB103" s="531"/>
      <c r="QPC103" s="530"/>
      <c r="QPD103" s="531"/>
      <c r="QPE103" s="530"/>
      <c r="QPF103" s="531"/>
      <c r="QPG103" s="530"/>
      <c r="QPH103" s="531"/>
      <c r="QPI103" s="530"/>
      <c r="QPJ103" s="531"/>
      <c r="QPK103" s="530"/>
      <c r="QPL103" s="531"/>
      <c r="QPM103" s="530"/>
      <c r="QPN103" s="531"/>
      <c r="QPO103" s="530"/>
      <c r="QPP103" s="531"/>
      <c r="QPQ103" s="530"/>
      <c r="QPR103" s="531"/>
      <c r="QPS103" s="530"/>
      <c r="QPT103" s="531"/>
      <c r="QPU103" s="530"/>
      <c r="QPV103" s="531"/>
      <c r="QPW103" s="530"/>
      <c r="QPX103" s="531"/>
      <c r="QPY103" s="530"/>
      <c r="QPZ103" s="531"/>
      <c r="QQA103" s="530"/>
      <c r="QQB103" s="531"/>
      <c r="QQC103" s="530"/>
      <c r="QQD103" s="531"/>
      <c r="QQE103" s="530"/>
      <c r="QQF103" s="531"/>
      <c r="QQG103" s="530"/>
      <c r="QQH103" s="531"/>
      <c r="QQI103" s="530"/>
      <c r="QQJ103" s="531"/>
      <c r="QQK103" s="530"/>
      <c r="QQL103" s="531"/>
      <c r="QQM103" s="530"/>
      <c r="QQN103" s="531"/>
      <c r="QQO103" s="530"/>
      <c r="QQP103" s="531"/>
      <c r="QQQ103" s="530"/>
      <c r="QQR103" s="531"/>
      <c r="QQS103" s="530"/>
      <c r="QQT103" s="531"/>
      <c r="QQU103" s="530"/>
      <c r="QQV103" s="531"/>
      <c r="QQW103" s="530"/>
      <c r="QQX103" s="531"/>
      <c r="QQY103" s="530"/>
      <c r="QQZ103" s="531"/>
      <c r="QRA103" s="530"/>
      <c r="QRB103" s="531"/>
      <c r="QRC103" s="530"/>
      <c r="QRD103" s="531"/>
      <c r="QRE103" s="530"/>
      <c r="QRF103" s="531"/>
      <c r="QRG103" s="530"/>
      <c r="QRH103" s="531"/>
      <c r="QRI103" s="530"/>
      <c r="QRJ103" s="531"/>
      <c r="QRK103" s="530"/>
      <c r="QRL103" s="531"/>
      <c r="QRM103" s="530"/>
      <c r="QRN103" s="531"/>
      <c r="QRO103" s="530"/>
      <c r="QRP103" s="531"/>
      <c r="QRQ103" s="530"/>
      <c r="QRR103" s="531"/>
      <c r="QRS103" s="530"/>
      <c r="QRT103" s="531"/>
      <c r="QRU103" s="530"/>
      <c r="QRV103" s="531"/>
      <c r="QRW103" s="530"/>
      <c r="QRX103" s="531"/>
      <c r="QRY103" s="530"/>
      <c r="QRZ103" s="531"/>
      <c r="QSA103" s="530"/>
      <c r="QSB103" s="531"/>
      <c r="QSC103" s="530"/>
      <c r="QSD103" s="531"/>
      <c r="QSE103" s="530"/>
      <c r="QSF103" s="531"/>
      <c r="QSG103" s="530"/>
      <c r="QSH103" s="531"/>
      <c r="QSI103" s="530"/>
      <c r="QSJ103" s="531"/>
      <c r="QSK103" s="530"/>
      <c r="QSL103" s="531"/>
      <c r="QSM103" s="530"/>
      <c r="QSN103" s="531"/>
      <c r="QSO103" s="530"/>
      <c r="QSP103" s="531"/>
      <c r="QSQ103" s="530"/>
      <c r="QSR103" s="531"/>
      <c r="QSS103" s="530"/>
      <c r="QST103" s="531"/>
      <c r="QSU103" s="530"/>
      <c r="QSV103" s="531"/>
      <c r="QSW103" s="530"/>
      <c r="QSX103" s="531"/>
      <c r="QSY103" s="530"/>
      <c r="QSZ103" s="531"/>
      <c r="QTA103" s="530"/>
      <c r="QTB103" s="531"/>
      <c r="QTC103" s="530"/>
      <c r="QTD103" s="531"/>
      <c r="QTE103" s="530"/>
      <c r="QTF103" s="531"/>
      <c r="QTG103" s="530"/>
      <c r="QTH103" s="531"/>
      <c r="QTI103" s="530"/>
      <c r="QTJ103" s="531"/>
      <c r="QTK103" s="530"/>
      <c r="QTL103" s="531"/>
      <c r="QTM103" s="530"/>
      <c r="QTN103" s="531"/>
      <c r="QTO103" s="530"/>
      <c r="QTP103" s="531"/>
      <c r="QTQ103" s="530"/>
      <c r="QTR103" s="531"/>
      <c r="QTS103" s="530"/>
      <c r="QTT103" s="531"/>
      <c r="QTU103" s="530"/>
      <c r="QTV103" s="531"/>
      <c r="QTW103" s="530"/>
      <c r="QTX103" s="531"/>
      <c r="QTY103" s="530"/>
      <c r="QTZ103" s="531"/>
      <c r="QUA103" s="530"/>
      <c r="QUB103" s="531"/>
      <c r="QUC103" s="530"/>
      <c r="QUD103" s="531"/>
      <c r="QUE103" s="530"/>
      <c r="QUF103" s="531"/>
      <c r="QUG103" s="530"/>
      <c r="QUH103" s="531"/>
      <c r="QUI103" s="530"/>
      <c r="QUJ103" s="531"/>
      <c r="QUK103" s="530"/>
      <c r="QUL103" s="531"/>
      <c r="QUM103" s="530"/>
      <c r="QUN103" s="531"/>
      <c r="QUO103" s="530"/>
      <c r="QUP103" s="531"/>
      <c r="QUQ103" s="530"/>
      <c r="QUR103" s="531"/>
      <c r="QUS103" s="530"/>
      <c r="QUT103" s="531"/>
      <c r="QUU103" s="530"/>
      <c r="QUV103" s="531"/>
      <c r="QUW103" s="530"/>
      <c r="QUX103" s="531"/>
      <c r="QUY103" s="530"/>
      <c r="QUZ103" s="531"/>
      <c r="QVA103" s="530"/>
      <c r="QVB103" s="531"/>
      <c r="QVC103" s="530"/>
      <c r="QVD103" s="531"/>
      <c r="QVE103" s="530"/>
      <c r="QVF103" s="531"/>
      <c r="QVG103" s="530"/>
      <c r="QVH103" s="531"/>
      <c r="QVI103" s="530"/>
      <c r="QVJ103" s="531"/>
      <c r="QVK103" s="530"/>
      <c r="QVL103" s="531"/>
      <c r="QVM103" s="530"/>
      <c r="QVN103" s="531"/>
      <c r="QVO103" s="530"/>
      <c r="QVP103" s="531"/>
      <c r="QVQ103" s="530"/>
      <c r="QVR103" s="531"/>
      <c r="QVS103" s="530"/>
      <c r="QVT103" s="531"/>
      <c r="QVU103" s="530"/>
      <c r="QVV103" s="531"/>
      <c r="QVW103" s="530"/>
      <c r="QVX103" s="531"/>
      <c r="QVY103" s="530"/>
      <c r="QVZ103" s="531"/>
      <c r="QWA103" s="530"/>
      <c r="QWB103" s="531"/>
      <c r="QWC103" s="530"/>
      <c r="QWD103" s="531"/>
      <c r="QWE103" s="530"/>
      <c r="QWF103" s="531"/>
      <c r="QWG103" s="530"/>
      <c r="QWH103" s="531"/>
      <c r="QWI103" s="530"/>
      <c r="QWJ103" s="531"/>
      <c r="QWK103" s="530"/>
      <c r="QWL103" s="531"/>
      <c r="QWM103" s="530"/>
      <c r="QWN103" s="531"/>
      <c r="QWO103" s="530"/>
      <c r="QWP103" s="531"/>
      <c r="QWQ103" s="530"/>
      <c r="QWR103" s="531"/>
      <c r="QWS103" s="530"/>
      <c r="QWT103" s="531"/>
      <c r="QWU103" s="530"/>
      <c r="QWV103" s="531"/>
      <c r="QWW103" s="530"/>
      <c r="QWX103" s="531"/>
      <c r="QWY103" s="530"/>
      <c r="QWZ103" s="531"/>
      <c r="QXA103" s="530"/>
      <c r="QXB103" s="531"/>
      <c r="QXC103" s="530"/>
      <c r="QXD103" s="531"/>
      <c r="QXE103" s="530"/>
      <c r="QXF103" s="531"/>
      <c r="QXG103" s="530"/>
      <c r="QXH103" s="531"/>
      <c r="QXI103" s="530"/>
      <c r="QXJ103" s="531"/>
      <c r="QXK103" s="530"/>
      <c r="QXL103" s="531"/>
      <c r="QXM103" s="530"/>
      <c r="QXN103" s="531"/>
      <c r="QXO103" s="530"/>
      <c r="QXP103" s="531"/>
      <c r="QXQ103" s="530"/>
      <c r="QXR103" s="531"/>
      <c r="QXS103" s="530"/>
      <c r="QXT103" s="531"/>
      <c r="QXU103" s="530"/>
      <c r="QXV103" s="531"/>
      <c r="QXW103" s="530"/>
      <c r="QXX103" s="531"/>
      <c r="QXY103" s="530"/>
      <c r="QXZ103" s="531"/>
      <c r="QYA103" s="530"/>
      <c r="QYB103" s="531"/>
      <c r="QYC103" s="530"/>
      <c r="QYD103" s="531"/>
      <c r="QYE103" s="530"/>
      <c r="QYF103" s="531"/>
      <c r="QYG103" s="530"/>
      <c r="QYH103" s="531"/>
      <c r="QYI103" s="530"/>
      <c r="QYJ103" s="531"/>
      <c r="QYK103" s="530"/>
      <c r="QYL103" s="531"/>
      <c r="QYM103" s="530"/>
      <c r="QYN103" s="531"/>
      <c r="QYO103" s="530"/>
      <c r="QYP103" s="531"/>
      <c r="QYQ103" s="530"/>
      <c r="QYR103" s="531"/>
      <c r="QYS103" s="530"/>
      <c r="QYT103" s="531"/>
      <c r="QYU103" s="530"/>
      <c r="QYV103" s="531"/>
      <c r="QYW103" s="530"/>
      <c r="QYX103" s="531"/>
      <c r="QYY103" s="530"/>
      <c r="QYZ103" s="531"/>
      <c r="QZA103" s="530"/>
      <c r="QZB103" s="531"/>
      <c r="QZC103" s="530"/>
      <c r="QZD103" s="531"/>
      <c r="QZE103" s="530"/>
      <c r="QZF103" s="531"/>
      <c r="QZG103" s="530"/>
      <c r="QZH103" s="531"/>
      <c r="QZI103" s="530"/>
      <c r="QZJ103" s="531"/>
      <c r="QZK103" s="530"/>
      <c r="QZL103" s="531"/>
      <c r="QZM103" s="530"/>
      <c r="QZN103" s="531"/>
      <c r="QZO103" s="530"/>
      <c r="QZP103" s="531"/>
      <c r="QZQ103" s="530"/>
      <c r="QZR103" s="531"/>
      <c r="QZS103" s="530"/>
      <c r="QZT103" s="531"/>
      <c r="QZU103" s="530"/>
      <c r="QZV103" s="531"/>
      <c r="QZW103" s="530"/>
      <c r="QZX103" s="531"/>
      <c r="QZY103" s="530"/>
      <c r="QZZ103" s="531"/>
      <c r="RAA103" s="530"/>
      <c r="RAB103" s="531"/>
      <c r="RAC103" s="530"/>
      <c r="RAD103" s="531"/>
      <c r="RAE103" s="530"/>
      <c r="RAF103" s="531"/>
      <c r="RAG103" s="530"/>
      <c r="RAH103" s="531"/>
      <c r="RAI103" s="530"/>
      <c r="RAJ103" s="531"/>
      <c r="RAK103" s="530"/>
      <c r="RAL103" s="531"/>
      <c r="RAM103" s="530"/>
      <c r="RAN103" s="531"/>
      <c r="RAO103" s="530"/>
      <c r="RAP103" s="531"/>
      <c r="RAQ103" s="530"/>
      <c r="RAR103" s="531"/>
      <c r="RAS103" s="530"/>
      <c r="RAT103" s="531"/>
      <c r="RAU103" s="530"/>
      <c r="RAV103" s="531"/>
      <c r="RAW103" s="530"/>
      <c r="RAX103" s="531"/>
      <c r="RAY103" s="530"/>
      <c r="RAZ103" s="531"/>
      <c r="RBA103" s="530"/>
      <c r="RBB103" s="531"/>
      <c r="RBC103" s="530"/>
      <c r="RBD103" s="531"/>
      <c r="RBE103" s="530"/>
      <c r="RBF103" s="531"/>
      <c r="RBG103" s="530"/>
      <c r="RBH103" s="531"/>
      <c r="RBI103" s="530"/>
      <c r="RBJ103" s="531"/>
      <c r="RBK103" s="530"/>
      <c r="RBL103" s="531"/>
      <c r="RBM103" s="530"/>
      <c r="RBN103" s="531"/>
      <c r="RBO103" s="530"/>
      <c r="RBP103" s="531"/>
      <c r="RBQ103" s="530"/>
      <c r="RBR103" s="531"/>
      <c r="RBS103" s="530"/>
      <c r="RBT103" s="531"/>
      <c r="RBU103" s="530"/>
      <c r="RBV103" s="531"/>
      <c r="RBW103" s="530"/>
      <c r="RBX103" s="531"/>
      <c r="RBY103" s="530"/>
      <c r="RBZ103" s="531"/>
      <c r="RCA103" s="530"/>
      <c r="RCB103" s="531"/>
      <c r="RCC103" s="530"/>
      <c r="RCD103" s="531"/>
      <c r="RCE103" s="530"/>
      <c r="RCF103" s="531"/>
      <c r="RCG103" s="530"/>
      <c r="RCH103" s="531"/>
      <c r="RCI103" s="530"/>
      <c r="RCJ103" s="531"/>
      <c r="RCK103" s="530"/>
      <c r="RCL103" s="531"/>
      <c r="RCM103" s="530"/>
      <c r="RCN103" s="531"/>
      <c r="RCO103" s="530"/>
      <c r="RCP103" s="531"/>
      <c r="RCQ103" s="530"/>
      <c r="RCR103" s="531"/>
      <c r="RCS103" s="530"/>
      <c r="RCT103" s="531"/>
      <c r="RCU103" s="530"/>
      <c r="RCV103" s="531"/>
      <c r="RCW103" s="530"/>
      <c r="RCX103" s="531"/>
      <c r="RCY103" s="530"/>
      <c r="RCZ103" s="531"/>
      <c r="RDA103" s="530"/>
      <c r="RDB103" s="531"/>
      <c r="RDC103" s="530"/>
      <c r="RDD103" s="531"/>
      <c r="RDE103" s="530"/>
      <c r="RDF103" s="531"/>
      <c r="RDG103" s="530"/>
      <c r="RDH103" s="531"/>
      <c r="RDI103" s="530"/>
      <c r="RDJ103" s="531"/>
      <c r="RDK103" s="530"/>
      <c r="RDL103" s="531"/>
      <c r="RDM103" s="530"/>
      <c r="RDN103" s="531"/>
      <c r="RDO103" s="530"/>
      <c r="RDP103" s="531"/>
      <c r="RDQ103" s="530"/>
      <c r="RDR103" s="531"/>
      <c r="RDS103" s="530"/>
      <c r="RDT103" s="531"/>
      <c r="RDU103" s="530"/>
      <c r="RDV103" s="531"/>
      <c r="RDW103" s="530"/>
      <c r="RDX103" s="531"/>
      <c r="RDY103" s="530"/>
      <c r="RDZ103" s="531"/>
      <c r="REA103" s="530"/>
      <c r="REB103" s="531"/>
      <c r="REC103" s="530"/>
      <c r="RED103" s="531"/>
      <c r="REE103" s="530"/>
      <c r="REF103" s="531"/>
      <c r="REG103" s="530"/>
      <c r="REH103" s="531"/>
      <c r="REI103" s="530"/>
      <c r="REJ103" s="531"/>
      <c r="REK103" s="530"/>
      <c r="REL103" s="531"/>
      <c r="REM103" s="530"/>
      <c r="REN103" s="531"/>
      <c r="REO103" s="530"/>
      <c r="REP103" s="531"/>
      <c r="REQ103" s="530"/>
      <c r="RER103" s="531"/>
      <c r="RES103" s="530"/>
      <c r="RET103" s="531"/>
      <c r="REU103" s="530"/>
      <c r="REV103" s="531"/>
      <c r="REW103" s="530"/>
      <c r="REX103" s="531"/>
      <c r="REY103" s="530"/>
      <c r="REZ103" s="531"/>
      <c r="RFA103" s="530"/>
      <c r="RFB103" s="531"/>
      <c r="RFC103" s="530"/>
      <c r="RFD103" s="531"/>
      <c r="RFE103" s="530"/>
      <c r="RFF103" s="531"/>
      <c r="RFG103" s="530"/>
      <c r="RFH103" s="531"/>
      <c r="RFI103" s="530"/>
      <c r="RFJ103" s="531"/>
      <c r="RFK103" s="530"/>
      <c r="RFL103" s="531"/>
      <c r="RFM103" s="530"/>
      <c r="RFN103" s="531"/>
      <c r="RFO103" s="530"/>
      <c r="RFP103" s="531"/>
      <c r="RFQ103" s="530"/>
      <c r="RFR103" s="531"/>
      <c r="RFS103" s="530"/>
      <c r="RFT103" s="531"/>
      <c r="RFU103" s="530"/>
      <c r="RFV103" s="531"/>
      <c r="RFW103" s="530"/>
      <c r="RFX103" s="531"/>
      <c r="RFY103" s="530"/>
      <c r="RFZ103" s="531"/>
      <c r="RGA103" s="530"/>
      <c r="RGB103" s="531"/>
      <c r="RGC103" s="530"/>
      <c r="RGD103" s="531"/>
      <c r="RGE103" s="530"/>
      <c r="RGF103" s="531"/>
      <c r="RGG103" s="530"/>
      <c r="RGH103" s="531"/>
      <c r="RGI103" s="530"/>
      <c r="RGJ103" s="531"/>
      <c r="RGK103" s="530"/>
      <c r="RGL103" s="531"/>
      <c r="RGM103" s="530"/>
      <c r="RGN103" s="531"/>
      <c r="RGO103" s="530"/>
      <c r="RGP103" s="531"/>
      <c r="RGQ103" s="530"/>
      <c r="RGR103" s="531"/>
      <c r="RGS103" s="530"/>
      <c r="RGT103" s="531"/>
      <c r="RGU103" s="530"/>
      <c r="RGV103" s="531"/>
      <c r="RGW103" s="530"/>
      <c r="RGX103" s="531"/>
      <c r="RGY103" s="530"/>
      <c r="RGZ103" s="531"/>
      <c r="RHA103" s="530"/>
      <c r="RHB103" s="531"/>
      <c r="RHC103" s="530"/>
      <c r="RHD103" s="531"/>
      <c r="RHE103" s="530"/>
      <c r="RHF103" s="531"/>
      <c r="RHG103" s="530"/>
      <c r="RHH103" s="531"/>
      <c r="RHI103" s="530"/>
      <c r="RHJ103" s="531"/>
      <c r="RHK103" s="530"/>
      <c r="RHL103" s="531"/>
      <c r="RHM103" s="530"/>
      <c r="RHN103" s="531"/>
      <c r="RHO103" s="530"/>
      <c r="RHP103" s="531"/>
      <c r="RHQ103" s="530"/>
      <c r="RHR103" s="531"/>
      <c r="RHS103" s="530"/>
      <c r="RHT103" s="531"/>
      <c r="RHU103" s="530"/>
      <c r="RHV103" s="531"/>
      <c r="RHW103" s="530"/>
      <c r="RHX103" s="531"/>
      <c r="RHY103" s="530"/>
      <c r="RHZ103" s="531"/>
      <c r="RIA103" s="530"/>
      <c r="RIB103" s="531"/>
      <c r="RIC103" s="530"/>
      <c r="RID103" s="531"/>
      <c r="RIE103" s="530"/>
      <c r="RIF103" s="531"/>
      <c r="RIG103" s="530"/>
      <c r="RIH103" s="531"/>
      <c r="RII103" s="530"/>
      <c r="RIJ103" s="531"/>
      <c r="RIK103" s="530"/>
      <c r="RIL103" s="531"/>
      <c r="RIM103" s="530"/>
      <c r="RIN103" s="531"/>
      <c r="RIO103" s="530"/>
      <c r="RIP103" s="531"/>
      <c r="RIQ103" s="530"/>
      <c r="RIR103" s="531"/>
      <c r="RIS103" s="530"/>
      <c r="RIT103" s="531"/>
      <c r="RIU103" s="530"/>
      <c r="RIV103" s="531"/>
      <c r="RIW103" s="530"/>
      <c r="RIX103" s="531"/>
      <c r="RIY103" s="530"/>
      <c r="RIZ103" s="531"/>
      <c r="RJA103" s="530"/>
      <c r="RJB103" s="531"/>
      <c r="RJC103" s="530"/>
      <c r="RJD103" s="531"/>
      <c r="RJE103" s="530"/>
      <c r="RJF103" s="531"/>
      <c r="RJG103" s="530"/>
      <c r="RJH103" s="531"/>
      <c r="RJI103" s="530"/>
      <c r="RJJ103" s="531"/>
      <c r="RJK103" s="530"/>
      <c r="RJL103" s="531"/>
      <c r="RJM103" s="530"/>
      <c r="RJN103" s="531"/>
      <c r="RJO103" s="530"/>
      <c r="RJP103" s="531"/>
      <c r="RJQ103" s="530"/>
      <c r="RJR103" s="531"/>
      <c r="RJS103" s="530"/>
      <c r="RJT103" s="531"/>
      <c r="RJU103" s="530"/>
      <c r="RJV103" s="531"/>
      <c r="RJW103" s="530"/>
      <c r="RJX103" s="531"/>
      <c r="RJY103" s="530"/>
      <c r="RJZ103" s="531"/>
      <c r="RKA103" s="530"/>
      <c r="RKB103" s="531"/>
      <c r="RKC103" s="530"/>
      <c r="RKD103" s="531"/>
      <c r="RKE103" s="530"/>
      <c r="RKF103" s="531"/>
      <c r="RKG103" s="530"/>
      <c r="RKH103" s="531"/>
      <c r="RKI103" s="530"/>
      <c r="RKJ103" s="531"/>
      <c r="RKK103" s="530"/>
      <c r="RKL103" s="531"/>
      <c r="RKM103" s="530"/>
      <c r="RKN103" s="531"/>
      <c r="RKO103" s="530"/>
      <c r="RKP103" s="531"/>
      <c r="RKQ103" s="530"/>
      <c r="RKR103" s="531"/>
      <c r="RKS103" s="530"/>
      <c r="RKT103" s="531"/>
      <c r="RKU103" s="530"/>
      <c r="RKV103" s="531"/>
      <c r="RKW103" s="530"/>
      <c r="RKX103" s="531"/>
      <c r="RKY103" s="530"/>
      <c r="RKZ103" s="531"/>
      <c r="RLA103" s="530"/>
      <c r="RLB103" s="531"/>
      <c r="RLC103" s="530"/>
      <c r="RLD103" s="531"/>
      <c r="RLE103" s="530"/>
      <c r="RLF103" s="531"/>
      <c r="RLG103" s="530"/>
      <c r="RLH103" s="531"/>
      <c r="RLI103" s="530"/>
      <c r="RLJ103" s="531"/>
      <c r="RLK103" s="530"/>
      <c r="RLL103" s="531"/>
      <c r="RLM103" s="530"/>
      <c r="RLN103" s="531"/>
      <c r="RLO103" s="530"/>
      <c r="RLP103" s="531"/>
      <c r="RLQ103" s="530"/>
      <c r="RLR103" s="531"/>
      <c r="RLS103" s="530"/>
      <c r="RLT103" s="531"/>
      <c r="RLU103" s="530"/>
      <c r="RLV103" s="531"/>
      <c r="RLW103" s="530"/>
      <c r="RLX103" s="531"/>
      <c r="RLY103" s="530"/>
      <c r="RLZ103" s="531"/>
      <c r="RMA103" s="530"/>
      <c r="RMB103" s="531"/>
      <c r="RMC103" s="530"/>
      <c r="RMD103" s="531"/>
      <c r="RME103" s="530"/>
      <c r="RMF103" s="531"/>
      <c r="RMG103" s="530"/>
      <c r="RMH103" s="531"/>
      <c r="RMI103" s="530"/>
      <c r="RMJ103" s="531"/>
      <c r="RMK103" s="530"/>
      <c r="RML103" s="531"/>
      <c r="RMM103" s="530"/>
      <c r="RMN103" s="531"/>
      <c r="RMO103" s="530"/>
      <c r="RMP103" s="531"/>
      <c r="RMQ103" s="530"/>
      <c r="RMR103" s="531"/>
      <c r="RMS103" s="530"/>
      <c r="RMT103" s="531"/>
      <c r="RMU103" s="530"/>
      <c r="RMV103" s="531"/>
      <c r="RMW103" s="530"/>
      <c r="RMX103" s="531"/>
      <c r="RMY103" s="530"/>
      <c r="RMZ103" s="531"/>
      <c r="RNA103" s="530"/>
      <c r="RNB103" s="531"/>
      <c r="RNC103" s="530"/>
      <c r="RND103" s="531"/>
      <c r="RNE103" s="530"/>
      <c r="RNF103" s="531"/>
      <c r="RNG103" s="530"/>
      <c r="RNH103" s="531"/>
      <c r="RNI103" s="530"/>
      <c r="RNJ103" s="531"/>
      <c r="RNK103" s="530"/>
      <c r="RNL103" s="531"/>
      <c r="RNM103" s="530"/>
      <c r="RNN103" s="531"/>
      <c r="RNO103" s="530"/>
      <c r="RNP103" s="531"/>
      <c r="RNQ103" s="530"/>
      <c r="RNR103" s="531"/>
      <c r="RNS103" s="530"/>
      <c r="RNT103" s="531"/>
      <c r="RNU103" s="530"/>
      <c r="RNV103" s="531"/>
      <c r="RNW103" s="530"/>
      <c r="RNX103" s="531"/>
      <c r="RNY103" s="530"/>
      <c r="RNZ103" s="531"/>
      <c r="ROA103" s="530"/>
      <c r="ROB103" s="531"/>
      <c r="ROC103" s="530"/>
      <c r="ROD103" s="531"/>
      <c r="ROE103" s="530"/>
      <c r="ROF103" s="531"/>
      <c r="ROG103" s="530"/>
      <c r="ROH103" s="531"/>
      <c r="ROI103" s="530"/>
      <c r="ROJ103" s="531"/>
      <c r="ROK103" s="530"/>
      <c r="ROL103" s="531"/>
      <c r="ROM103" s="530"/>
      <c r="RON103" s="531"/>
      <c r="ROO103" s="530"/>
      <c r="ROP103" s="531"/>
      <c r="ROQ103" s="530"/>
      <c r="ROR103" s="531"/>
      <c r="ROS103" s="530"/>
      <c r="ROT103" s="531"/>
      <c r="ROU103" s="530"/>
      <c r="ROV103" s="531"/>
      <c r="ROW103" s="530"/>
      <c r="ROX103" s="531"/>
      <c r="ROY103" s="530"/>
      <c r="ROZ103" s="531"/>
      <c r="RPA103" s="530"/>
      <c r="RPB103" s="531"/>
      <c r="RPC103" s="530"/>
      <c r="RPD103" s="531"/>
      <c r="RPE103" s="530"/>
      <c r="RPF103" s="531"/>
      <c r="RPG103" s="530"/>
      <c r="RPH103" s="531"/>
      <c r="RPI103" s="530"/>
      <c r="RPJ103" s="531"/>
      <c r="RPK103" s="530"/>
      <c r="RPL103" s="531"/>
      <c r="RPM103" s="530"/>
      <c r="RPN103" s="531"/>
      <c r="RPO103" s="530"/>
      <c r="RPP103" s="531"/>
      <c r="RPQ103" s="530"/>
      <c r="RPR103" s="531"/>
      <c r="RPS103" s="530"/>
      <c r="RPT103" s="531"/>
      <c r="RPU103" s="530"/>
      <c r="RPV103" s="531"/>
      <c r="RPW103" s="530"/>
      <c r="RPX103" s="531"/>
      <c r="RPY103" s="530"/>
      <c r="RPZ103" s="531"/>
      <c r="RQA103" s="530"/>
      <c r="RQB103" s="531"/>
      <c r="RQC103" s="530"/>
      <c r="RQD103" s="531"/>
      <c r="RQE103" s="530"/>
      <c r="RQF103" s="531"/>
      <c r="RQG103" s="530"/>
      <c r="RQH103" s="531"/>
      <c r="RQI103" s="530"/>
      <c r="RQJ103" s="531"/>
      <c r="RQK103" s="530"/>
      <c r="RQL103" s="531"/>
      <c r="RQM103" s="530"/>
      <c r="RQN103" s="531"/>
      <c r="RQO103" s="530"/>
      <c r="RQP103" s="531"/>
      <c r="RQQ103" s="530"/>
      <c r="RQR103" s="531"/>
      <c r="RQS103" s="530"/>
      <c r="RQT103" s="531"/>
      <c r="RQU103" s="530"/>
      <c r="RQV103" s="531"/>
      <c r="RQW103" s="530"/>
      <c r="RQX103" s="531"/>
      <c r="RQY103" s="530"/>
      <c r="RQZ103" s="531"/>
      <c r="RRA103" s="530"/>
      <c r="RRB103" s="531"/>
      <c r="RRC103" s="530"/>
      <c r="RRD103" s="531"/>
      <c r="RRE103" s="530"/>
      <c r="RRF103" s="531"/>
      <c r="RRG103" s="530"/>
      <c r="RRH103" s="531"/>
      <c r="RRI103" s="530"/>
      <c r="RRJ103" s="531"/>
      <c r="RRK103" s="530"/>
      <c r="RRL103" s="531"/>
      <c r="RRM103" s="530"/>
      <c r="RRN103" s="531"/>
      <c r="RRO103" s="530"/>
      <c r="RRP103" s="531"/>
      <c r="RRQ103" s="530"/>
      <c r="RRR103" s="531"/>
      <c r="RRS103" s="530"/>
      <c r="RRT103" s="531"/>
      <c r="RRU103" s="530"/>
      <c r="RRV103" s="531"/>
      <c r="RRW103" s="530"/>
      <c r="RRX103" s="531"/>
      <c r="RRY103" s="530"/>
      <c r="RRZ103" s="531"/>
      <c r="RSA103" s="530"/>
      <c r="RSB103" s="531"/>
      <c r="RSC103" s="530"/>
      <c r="RSD103" s="531"/>
      <c r="RSE103" s="530"/>
      <c r="RSF103" s="531"/>
      <c r="RSG103" s="530"/>
      <c r="RSH103" s="531"/>
      <c r="RSI103" s="530"/>
      <c r="RSJ103" s="531"/>
      <c r="RSK103" s="530"/>
      <c r="RSL103" s="531"/>
      <c r="RSM103" s="530"/>
      <c r="RSN103" s="531"/>
      <c r="RSO103" s="530"/>
      <c r="RSP103" s="531"/>
      <c r="RSQ103" s="530"/>
      <c r="RSR103" s="531"/>
      <c r="RSS103" s="530"/>
      <c r="RST103" s="531"/>
      <c r="RSU103" s="530"/>
      <c r="RSV103" s="531"/>
      <c r="RSW103" s="530"/>
      <c r="RSX103" s="531"/>
      <c r="RSY103" s="530"/>
      <c r="RSZ103" s="531"/>
      <c r="RTA103" s="530"/>
      <c r="RTB103" s="531"/>
      <c r="RTC103" s="530"/>
      <c r="RTD103" s="531"/>
      <c r="RTE103" s="530"/>
      <c r="RTF103" s="531"/>
      <c r="RTG103" s="530"/>
      <c r="RTH103" s="531"/>
      <c r="RTI103" s="530"/>
      <c r="RTJ103" s="531"/>
      <c r="RTK103" s="530"/>
      <c r="RTL103" s="531"/>
      <c r="RTM103" s="530"/>
      <c r="RTN103" s="531"/>
      <c r="RTO103" s="530"/>
      <c r="RTP103" s="531"/>
      <c r="RTQ103" s="530"/>
      <c r="RTR103" s="531"/>
      <c r="RTS103" s="530"/>
      <c r="RTT103" s="531"/>
      <c r="RTU103" s="530"/>
      <c r="RTV103" s="531"/>
      <c r="RTW103" s="530"/>
      <c r="RTX103" s="531"/>
      <c r="RTY103" s="530"/>
      <c r="RTZ103" s="531"/>
      <c r="RUA103" s="530"/>
      <c r="RUB103" s="531"/>
      <c r="RUC103" s="530"/>
      <c r="RUD103" s="531"/>
      <c r="RUE103" s="530"/>
      <c r="RUF103" s="531"/>
      <c r="RUG103" s="530"/>
      <c r="RUH103" s="531"/>
      <c r="RUI103" s="530"/>
      <c r="RUJ103" s="531"/>
      <c r="RUK103" s="530"/>
      <c r="RUL103" s="531"/>
      <c r="RUM103" s="530"/>
      <c r="RUN103" s="531"/>
      <c r="RUO103" s="530"/>
      <c r="RUP103" s="531"/>
      <c r="RUQ103" s="530"/>
      <c r="RUR103" s="531"/>
      <c r="RUS103" s="530"/>
      <c r="RUT103" s="531"/>
      <c r="RUU103" s="530"/>
      <c r="RUV103" s="531"/>
      <c r="RUW103" s="530"/>
      <c r="RUX103" s="531"/>
      <c r="RUY103" s="530"/>
      <c r="RUZ103" s="531"/>
      <c r="RVA103" s="530"/>
      <c r="RVB103" s="531"/>
      <c r="RVC103" s="530"/>
      <c r="RVD103" s="531"/>
      <c r="RVE103" s="530"/>
      <c r="RVF103" s="531"/>
      <c r="RVG103" s="530"/>
      <c r="RVH103" s="531"/>
      <c r="RVI103" s="530"/>
      <c r="RVJ103" s="531"/>
      <c r="RVK103" s="530"/>
      <c r="RVL103" s="531"/>
      <c r="RVM103" s="530"/>
      <c r="RVN103" s="531"/>
      <c r="RVO103" s="530"/>
      <c r="RVP103" s="531"/>
      <c r="RVQ103" s="530"/>
      <c r="RVR103" s="531"/>
      <c r="RVS103" s="530"/>
      <c r="RVT103" s="531"/>
      <c r="RVU103" s="530"/>
      <c r="RVV103" s="531"/>
      <c r="RVW103" s="530"/>
      <c r="RVX103" s="531"/>
      <c r="RVY103" s="530"/>
      <c r="RVZ103" s="531"/>
      <c r="RWA103" s="530"/>
      <c r="RWB103" s="531"/>
      <c r="RWC103" s="530"/>
      <c r="RWD103" s="531"/>
      <c r="RWE103" s="530"/>
      <c r="RWF103" s="531"/>
      <c r="RWG103" s="530"/>
      <c r="RWH103" s="531"/>
      <c r="RWI103" s="530"/>
      <c r="RWJ103" s="531"/>
      <c r="RWK103" s="530"/>
      <c r="RWL103" s="531"/>
      <c r="RWM103" s="530"/>
      <c r="RWN103" s="531"/>
      <c r="RWO103" s="530"/>
      <c r="RWP103" s="531"/>
      <c r="RWQ103" s="530"/>
      <c r="RWR103" s="531"/>
      <c r="RWS103" s="530"/>
      <c r="RWT103" s="531"/>
      <c r="RWU103" s="530"/>
      <c r="RWV103" s="531"/>
      <c r="RWW103" s="530"/>
      <c r="RWX103" s="531"/>
      <c r="RWY103" s="530"/>
      <c r="RWZ103" s="531"/>
      <c r="RXA103" s="530"/>
      <c r="RXB103" s="531"/>
      <c r="RXC103" s="530"/>
      <c r="RXD103" s="531"/>
      <c r="RXE103" s="530"/>
      <c r="RXF103" s="531"/>
      <c r="RXG103" s="530"/>
      <c r="RXH103" s="531"/>
      <c r="RXI103" s="530"/>
      <c r="RXJ103" s="531"/>
      <c r="RXK103" s="530"/>
      <c r="RXL103" s="531"/>
      <c r="RXM103" s="530"/>
      <c r="RXN103" s="531"/>
      <c r="RXO103" s="530"/>
      <c r="RXP103" s="531"/>
      <c r="RXQ103" s="530"/>
      <c r="RXR103" s="531"/>
      <c r="RXS103" s="530"/>
      <c r="RXT103" s="531"/>
      <c r="RXU103" s="530"/>
      <c r="RXV103" s="531"/>
      <c r="RXW103" s="530"/>
      <c r="RXX103" s="531"/>
      <c r="RXY103" s="530"/>
      <c r="RXZ103" s="531"/>
      <c r="RYA103" s="530"/>
      <c r="RYB103" s="531"/>
      <c r="RYC103" s="530"/>
      <c r="RYD103" s="531"/>
      <c r="RYE103" s="530"/>
      <c r="RYF103" s="531"/>
      <c r="RYG103" s="530"/>
      <c r="RYH103" s="531"/>
      <c r="RYI103" s="530"/>
      <c r="RYJ103" s="531"/>
      <c r="RYK103" s="530"/>
      <c r="RYL103" s="531"/>
      <c r="RYM103" s="530"/>
      <c r="RYN103" s="531"/>
      <c r="RYO103" s="530"/>
      <c r="RYP103" s="531"/>
      <c r="RYQ103" s="530"/>
      <c r="RYR103" s="531"/>
      <c r="RYS103" s="530"/>
      <c r="RYT103" s="531"/>
      <c r="RYU103" s="530"/>
      <c r="RYV103" s="531"/>
      <c r="RYW103" s="530"/>
      <c r="RYX103" s="531"/>
      <c r="RYY103" s="530"/>
      <c r="RYZ103" s="531"/>
      <c r="RZA103" s="530"/>
      <c r="RZB103" s="531"/>
      <c r="RZC103" s="530"/>
      <c r="RZD103" s="531"/>
      <c r="RZE103" s="530"/>
      <c r="RZF103" s="531"/>
      <c r="RZG103" s="530"/>
      <c r="RZH103" s="531"/>
      <c r="RZI103" s="530"/>
      <c r="RZJ103" s="531"/>
      <c r="RZK103" s="530"/>
      <c r="RZL103" s="531"/>
      <c r="RZM103" s="530"/>
      <c r="RZN103" s="531"/>
      <c r="RZO103" s="530"/>
      <c r="RZP103" s="531"/>
      <c r="RZQ103" s="530"/>
      <c r="RZR103" s="531"/>
      <c r="RZS103" s="530"/>
      <c r="RZT103" s="531"/>
      <c r="RZU103" s="530"/>
      <c r="RZV103" s="531"/>
      <c r="RZW103" s="530"/>
      <c r="RZX103" s="531"/>
      <c r="RZY103" s="530"/>
      <c r="RZZ103" s="531"/>
      <c r="SAA103" s="530"/>
      <c r="SAB103" s="531"/>
      <c r="SAC103" s="530"/>
      <c r="SAD103" s="531"/>
      <c r="SAE103" s="530"/>
      <c r="SAF103" s="531"/>
      <c r="SAG103" s="530"/>
      <c r="SAH103" s="531"/>
      <c r="SAI103" s="530"/>
      <c r="SAJ103" s="531"/>
      <c r="SAK103" s="530"/>
      <c r="SAL103" s="531"/>
      <c r="SAM103" s="530"/>
      <c r="SAN103" s="531"/>
      <c r="SAO103" s="530"/>
      <c r="SAP103" s="531"/>
      <c r="SAQ103" s="530"/>
      <c r="SAR103" s="531"/>
      <c r="SAS103" s="530"/>
      <c r="SAT103" s="531"/>
      <c r="SAU103" s="530"/>
      <c r="SAV103" s="531"/>
      <c r="SAW103" s="530"/>
      <c r="SAX103" s="531"/>
      <c r="SAY103" s="530"/>
      <c r="SAZ103" s="531"/>
      <c r="SBA103" s="530"/>
      <c r="SBB103" s="531"/>
      <c r="SBC103" s="530"/>
      <c r="SBD103" s="531"/>
      <c r="SBE103" s="530"/>
      <c r="SBF103" s="531"/>
      <c r="SBG103" s="530"/>
      <c r="SBH103" s="531"/>
      <c r="SBI103" s="530"/>
      <c r="SBJ103" s="531"/>
      <c r="SBK103" s="530"/>
      <c r="SBL103" s="531"/>
      <c r="SBM103" s="530"/>
      <c r="SBN103" s="531"/>
      <c r="SBO103" s="530"/>
      <c r="SBP103" s="531"/>
      <c r="SBQ103" s="530"/>
      <c r="SBR103" s="531"/>
      <c r="SBS103" s="530"/>
      <c r="SBT103" s="531"/>
      <c r="SBU103" s="530"/>
      <c r="SBV103" s="531"/>
      <c r="SBW103" s="530"/>
      <c r="SBX103" s="531"/>
      <c r="SBY103" s="530"/>
      <c r="SBZ103" s="531"/>
      <c r="SCA103" s="530"/>
      <c r="SCB103" s="531"/>
      <c r="SCC103" s="530"/>
      <c r="SCD103" s="531"/>
      <c r="SCE103" s="530"/>
      <c r="SCF103" s="531"/>
      <c r="SCG103" s="530"/>
      <c r="SCH103" s="531"/>
      <c r="SCI103" s="530"/>
      <c r="SCJ103" s="531"/>
      <c r="SCK103" s="530"/>
      <c r="SCL103" s="531"/>
      <c r="SCM103" s="530"/>
      <c r="SCN103" s="531"/>
      <c r="SCO103" s="530"/>
      <c r="SCP103" s="531"/>
      <c r="SCQ103" s="530"/>
      <c r="SCR103" s="531"/>
      <c r="SCS103" s="530"/>
      <c r="SCT103" s="531"/>
      <c r="SCU103" s="530"/>
      <c r="SCV103" s="531"/>
      <c r="SCW103" s="530"/>
      <c r="SCX103" s="531"/>
      <c r="SCY103" s="530"/>
      <c r="SCZ103" s="531"/>
      <c r="SDA103" s="530"/>
      <c r="SDB103" s="531"/>
      <c r="SDC103" s="530"/>
      <c r="SDD103" s="531"/>
      <c r="SDE103" s="530"/>
      <c r="SDF103" s="531"/>
      <c r="SDG103" s="530"/>
      <c r="SDH103" s="531"/>
      <c r="SDI103" s="530"/>
      <c r="SDJ103" s="531"/>
      <c r="SDK103" s="530"/>
      <c r="SDL103" s="531"/>
      <c r="SDM103" s="530"/>
      <c r="SDN103" s="531"/>
      <c r="SDO103" s="530"/>
      <c r="SDP103" s="531"/>
      <c r="SDQ103" s="530"/>
      <c r="SDR103" s="531"/>
      <c r="SDS103" s="530"/>
      <c r="SDT103" s="531"/>
      <c r="SDU103" s="530"/>
      <c r="SDV103" s="531"/>
      <c r="SDW103" s="530"/>
      <c r="SDX103" s="531"/>
      <c r="SDY103" s="530"/>
      <c r="SDZ103" s="531"/>
      <c r="SEA103" s="530"/>
      <c r="SEB103" s="531"/>
      <c r="SEC103" s="530"/>
      <c r="SED103" s="531"/>
      <c r="SEE103" s="530"/>
      <c r="SEF103" s="531"/>
      <c r="SEG103" s="530"/>
      <c r="SEH103" s="531"/>
      <c r="SEI103" s="530"/>
      <c r="SEJ103" s="531"/>
      <c r="SEK103" s="530"/>
      <c r="SEL103" s="531"/>
      <c r="SEM103" s="530"/>
      <c r="SEN103" s="531"/>
      <c r="SEO103" s="530"/>
      <c r="SEP103" s="531"/>
      <c r="SEQ103" s="530"/>
      <c r="SER103" s="531"/>
      <c r="SES103" s="530"/>
      <c r="SET103" s="531"/>
      <c r="SEU103" s="530"/>
      <c r="SEV103" s="531"/>
      <c r="SEW103" s="530"/>
      <c r="SEX103" s="531"/>
      <c r="SEY103" s="530"/>
      <c r="SEZ103" s="531"/>
      <c r="SFA103" s="530"/>
      <c r="SFB103" s="531"/>
      <c r="SFC103" s="530"/>
      <c r="SFD103" s="531"/>
      <c r="SFE103" s="530"/>
      <c r="SFF103" s="531"/>
      <c r="SFG103" s="530"/>
      <c r="SFH103" s="531"/>
      <c r="SFI103" s="530"/>
      <c r="SFJ103" s="531"/>
      <c r="SFK103" s="530"/>
      <c r="SFL103" s="531"/>
      <c r="SFM103" s="530"/>
      <c r="SFN103" s="531"/>
      <c r="SFO103" s="530"/>
      <c r="SFP103" s="531"/>
      <c r="SFQ103" s="530"/>
      <c r="SFR103" s="531"/>
      <c r="SFS103" s="530"/>
      <c r="SFT103" s="531"/>
      <c r="SFU103" s="530"/>
      <c r="SFV103" s="531"/>
      <c r="SFW103" s="530"/>
      <c r="SFX103" s="531"/>
      <c r="SFY103" s="530"/>
      <c r="SFZ103" s="531"/>
      <c r="SGA103" s="530"/>
      <c r="SGB103" s="531"/>
      <c r="SGC103" s="530"/>
      <c r="SGD103" s="531"/>
      <c r="SGE103" s="530"/>
      <c r="SGF103" s="531"/>
      <c r="SGG103" s="530"/>
      <c r="SGH103" s="531"/>
      <c r="SGI103" s="530"/>
      <c r="SGJ103" s="531"/>
      <c r="SGK103" s="530"/>
      <c r="SGL103" s="531"/>
      <c r="SGM103" s="530"/>
      <c r="SGN103" s="531"/>
      <c r="SGO103" s="530"/>
      <c r="SGP103" s="531"/>
      <c r="SGQ103" s="530"/>
      <c r="SGR103" s="531"/>
      <c r="SGS103" s="530"/>
      <c r="SGT103" s="531"/>
      <c r="SGU103" s="530"/>
      <c r="SGV103" s="531"/>
      <c r="SGW103" s="530"/>
      <c r="SGX103" s="531"/>
      <c r="SGY103" s="530"/>
      <c r="SGZ103" s="531"/>
      <c r="SHA103" s="530"/>
      <c r="SHB103" s="531"/>
      <c r="SHC103" s="530"/>
      <c r="SHD103" s="531"/>
      <c r="SHE103" s="530"/>
      <c r="SHF103" s="531"/>
      <c r="SHG103" s="530"/>
      <c r="SHH103" s="531"/>
      <c r="SHI103" s="530"/>
      <c r="SHJ103" s="531"/>
      <c r="SHK103" s="530"/>
      <c r="SHL103" s="531"/>
      <c r="SHM103" s="530"/>
      <c r="SHN103" s="531"/>
      <c r="SHO103" s="530"/>
      <c r="SHP103" s="531"/>
      <c r="SHQ103" s="530"/>
      <c r="SHR103" s="531"/>
      <c r="SHS103" s="530"/>
      <c r="SHT103" s="531"/>
      <c r="SHU103" s="530"/>
      <c r="SHV103" s="531"/>
      <c r="SHW103" s="530"/>
      <c r="SHX103" s="531"/>
      <c r="SHY103" s="530"/>
      <c r="SHZ103" s="531"/>
      <c r="SIA103" s="530"/>
      <c r="SIB103" s="531"/>
      <c r="SIC103" s="530"/>
      <c r="SID103" s="531"/>
      <c r="SIE103" s="530"/>
      <c r="SIF103" s="531"/>
      <c r="SIG103" s="530"/>
      <c r="SIH103" s="531"/>
      <c r="SII103" s="530"/>
      <c r="SIJ103" s="531"/>
      <c r="SIK103" s="530"/>
      <c r="SIL103" s="531"/>
      <c r="SIM103" s="530"/>
      <c r="SIN103" s="531"/>
      <c r="SIO103" s="530"/>
      <c r="SIP103" s="531"/>
      <c r="SIQ103" s="530"/>
      <c r="SIR103" s="531"/>
      <c r="SIS103" s="530"/>
      <c r="SIT103" s="531"/>
      <c r="SIU103" s="530"/>
      <c r="SIV103" s="531"/>
      <c r="SIW103" s="530"/>
      <c r="SIX103" s="531"/>
      <c r="SIY103" s="530"/>
      <c r="SIZ103" s="531"/>
      <c r="SJA103" s="530"/>
      <c r="SJB103" s="531"/>
      <c r="SJC103" s="530"/>
      <c r="SJD103" s="531"/>
      <c r="SJE103" s="530"/>
      <c r="SJF103" s="531"/>
      <c r="SJG103" s="530"/>
      <c r="SJH103" s="531"/>
      <c r="SJI103" s="530"/>
      <c r="SJJ103" s="531"/>
      <c r="SJK103" s="530"/>
      <c r="SJL103" s="531"/>
      <c r="SJM103" s="530"/>
      <c r="SJN103" s="531"/>
      <c r="SJO103" s="530"/>
      <c r="SJP103" s="531"/>
      <c r="SJQ103" s="530"/>
      <c r="SJR103" s="531"/>
      <c r="SJS103" s="530"/>
      <c r="SJT103" s="531"/>
      <c r="SJU103" s="530"/>
      <c r="SJV103" s="531"/>
      <c r="SJW103" s="530"/>
      <c r="SJX103" s="531"/>
      <c r="SJY103" s="530"/>
      <c r="SJZ103" s="531"/>
      <c r="SKA103" s="530"/>
      <c r="SKB103" s="531"/>
      <c r="SKC103" s="530"/>
      <c r="SKD103" s="531"/>
      <c r="SKE103" s="530"/>
      <c r="SKF103" s="531"/>
      <c r="SKG103" s="530"/>
      <c r="SKH103" s="531"/>
      <c r="SKI103" s="530"/>
      <c r="SKJ103" s="531"/>
      <c r="SKK103" s="530"/>
      <c r="SKL103" s="531"/>
      <c r="SKM103" s="530"/>
      <c r="SKN103" s="531"/>
      <c r="SKO103" s="530"/>
      <c r="SKP103" s="531"/>
      <c r="SKQ103" s="530"/>
      <c r="SKR103" s="531"/>
      <c r="SKS103" s="530"/>
      <c r="SKT103" s="531"/>
      <c r="SKU103" s="530"/>
      <c r="SKV103" s="531"/>
      <c r="SKW103" s="530"/>
      <c r="SKX103" s="531"/>
      <c r="SKY103" s="530"/>
      <c r="SKZ103" s="531"/>
      <c r="SLA103" s="530"/>
      <c r="SLB103" s="531"/>
      <c r="SLC103" s="530"/>
      <c r="SLD103" s="531"/>
      <c r="SLE103" s="530"/>
      <c r="SLF103" s="531"/>
      <c r="SLG103" s="530"/>
      <c r="SLH103" s="531"/>
      <c r="SLI103" s="530"/>
      <c r="SLJ103" s="531"/>
      <c r="SLK103" s="530"/>
      <c r="SLL103" s="531"/>
      <c r="SLM103" s="530"/>
      <c r="SLN103" s="531"/>
      <c r="SLO103" s="530"/>
      <c r="SLP103" s="531"/>
      <c r="SLQ103" s="530"/>
      <c r="SLR103" s="531"/>
      <c r="SLS103" s="530"/>
      <c r="SLT103" s="531"/>
      <c r="SLU103" s="530"/>
      <c r="SLV103" s="531"/>
      <c r="SLW103" s="530"/>
      <c r="SLX103" s="531"/>
      <c r="SLY103" s="530"/>
      <c r="SLZ103" s="531"/>
      <c r="SMA103" s="530"/>
      <c r="SMB103" s="531"/>
      <c r="SMC103" s="530"/>
      <c r="SMD103" s="531"/>
      <c r="SME103" s="530"/>
      <c r="SMF103" s="531"/>
      <c r="SMG103" s="530"/>
      <c r="SMH103" s="531"/>
      <c r="SMI103" s="530"/>
      <c r="SMJ103" s="531"/>
      <c r="SMK103" s="530"/>
      <c r="SML103" s="531"/>
      <c r="SMM103" s="530"/>
      <c r="SMN103" s="531"/>
      <c r="SMO103" s="530"/>
      <c r="SMP103" s="531"/>
      <c r="SMQ103" s="530"/>
      <c r="SMR103" s="531"/>
      <c r="SMS103" s="530"/>
      <c r="SMT103" s="531"/>
      <c r="SMU103" s="530"/>
      <c r="SMV103" s="531"/>
      <c r="SMW103" s="530"/>
      <c r="SMX103" s="531"/>
      <c r="SMY103" s="530"/>
      <c r="SMZ103" s="531"/>
      <c r="SNA103" s="530"/>
      <c r="SNB103" s="531"/>
      <c r="SNC103" s="530"/>
      <c r="SND103" s="531"/>
      <c r="SNE103" s="530"/>
      <c r="SNF103" s="531"/>
      <c r="SNG103" s="530"/>
      <c r="SNH103" s="531"/>
      <c r="SNI103" s="530"/>
      <c r="SNJ103" s="531"/>
      <c r="SNK103" s="530"/>
      <c r="SNL103" s="531"/>
      <c r="SNM103" s="530"/>
      <c r="SNN103" s="531"/>
      <c r="SNO103" s="530"/>
      <c r="SNP103" s="531"/>
      <c r="SNQ103" s="530"/>
      <c r="SNR103" s="531"/>
      <c r="SNS103" s="530"/>
      <c r="SNT103" s="531"/>
      <c r="SNU103" s="530"/>
      <c r="SNV103" s="531"/>
      <c r="SNW103" s="530"/>
      <c r="SNX103" s="531"/>
      <c r="SNY103" s="530"/>
      <c r="SNZ103" s="531"/>
      <c r="SOA103" s="530"/>
      <c r="SOB103" s="531"/>
      <c r="SOC103" s="530"/>
      <c r="SOD103" s="531"/>
      <c r="SOE103" s="530"/>
      <c r="SOF103" s="531"/>
      <c r="SOG103" s="530"/>
      <c r="SOH103" s="531"/>
      <c r="SOI103" s="530"/>
      <c r="SOJ103" s="531"/>
      <c r="SOK103" s="530"/>
      <c r="SOL103" s="531"/>
      <c r="SOM103" s="530"/>
      <c r="SON103" s="531"/>
      <c r="SOO103" s="530"/>
      <c r="SOP103" s="531"/>
      <c r="SOQ103" s="530"/>
      <c r="SOR103" s="531"/>
      <c r="SOS103" s="530"/>
      <c r="SOT103" s="531"/>
      <c r="SOU103" s="530"/>
      <c r="SOV103" s="531"/>
      <c r="SOW103" s="530"/>
      <c r="SOX103" s="531"/>
      <c r="SOY103" s="530"/>
      <c r="SOZ103" s="531"/>
      <c r="SPA103" s="530"/>
      <c r="SPB103" s="531"/>
      <c r="SPC103" s="530"/>
      <c r="SPD103" s="531"/>
      <c r="SPE103" s="530"/>
      <c r="SPF103" s="531"/>
      <c r="SPG103" s="530"/>
      <c r="SPH103" s="531"/>
      <c r="SPI103" s="530"/>
      <c r="SPJ103" s="531"/>
      <c r="SPK103" s="530"/>
      <c r="SPL103" s="531"/>
      <c r="SPM103" s="530"/>
      <c r="SPN103" s="531"/>
      <c r="SPO103" s="530"/>
      <c r="SPP103" s="531"/>
      <c r="SPQ103" s="530"/>
      <c r="SPR103" s="531"/>
      <c r="SPS103" s="530"/>
      <c r="SPT103" s="531"/>
      <c r="SPU103" s="530"/>
      <c r="SPV103" s="531"/>
      <c r="SPW103" s="530"/>
      <c r="SPX103" s="531"/>
      <c r="SPY103" s="530"/>
      <c r="SPZ103" s="531"/>
      <c r="SQA103" s="530"/>
      <c r="SQB103" s="531"/>
      <c r="SQC103" s="530"/>
      <c r="SQD103" s="531"/>
      <c r="SQE103" s="530"/>
      <c r="SQF103" s="531"/>
      <c r="SQG103" s="530"/>
      <c r="SQH103" s="531"/>
      <c r="SQI103" s="530"/>
      <c r="SQJ103" s="531"/>
      <c r="SQK103" s="530"/>
      <c r="SQL103" s="531"/>
      <c r="SQM103" s="530"/>
      <c r="SQN103" s="531"/>
      <c r="SQO103" s="530"/>
      <c r="SQP103" s="531"/>
      <c r="SQQ103" s="530"/>
      <c r="SQR103" s="531"/>
      <c r="SQS103" s="530"/>
      <c r="SQT103" s="531"/>
      <c r="SQU103" s="530"/>
      <c r="SQV103" s="531"/>
      <c r="SQW103" s="530"/>
      <c r="SQX103" s="531"/>
      <c r="SQY103" s="530"/>
      <c r="SQZ103" s="531"/>
      <c r="SRA103" s="530"/>
      <c r="SRB103" s="531"/>
      <c r="SRC103" s="530"/>
      <c r="SRD103" s="531"/>
      <c r="SRE103" s="530"/>
      <c r="SRF103" s="531"/>
      <c r="SRG103" s="530"/>
      <c r="SRH103" s="531"/>
      <c r="SRI103" s="530"/>
      <c r="SRJ103" s="531"/>
      <c r="SRK103" s="530"/>
      <c r="SRL103" s="531"/>
      <c r="SRM103" s="530"/>
      <c r="SRN103" s="531"/>
      <c r="SRO103" s="530"/>
      <c r="SRP103" s="531"/>
      <c r="SRQ103" s="530"/>
      <c r="SRR103" s="531"/>
      <c r="SRS103" s="530"/>
      <c r="SRT103" s="531"/>
      <c r="SRU103" s="530"/>
      <c r="SRV103" s="531"/>
      <c r="SRW103" s="530"/>
      <c r="SRX103" s="531"/>
      <c r="SRY103" s="530"/>
      <c r="SRZ103" s="531"/>
      <c r="SSA103" s="530"/>
      <c r="SSB103" s="531"/>
      <c r="SSC103" s="530"/>
      <c r="SSD103" s="531"/>
      <c r="SSE103" s="530"/>
      <c r="SSF103" s="531"/>
      <c r="SSG103" s="530"/>
      <c r="SSH103" s="531"/>
      <c r="SSI103" s="530"/>
      <c r="SSJ103" s="531"/>
      <c r="SSK103" s="530"/>
      <c r="SSL103" s="531"/>
      <c r="SSM103" s="530"/>
      <c r="SSN103" s="531"/>
      <c r="SSO103" s="530"/>
      <c r="SSP103" s="531"/>
      <c r="SSQ103" s="530"/>
      <c r="SSR103" s="531"/>
      <c r="SSS103" s="530"/>
      <c r="SST103" s="531"/>
      <c r="SSU103" s="530"/>
      <c r="SSV103" s="531"/>
      <c r="SSW103" s="530"/>
      <c r="SSX103" s="531"/>
      <c r="SSY103" s="530"/>
      <c r="SSZ103" s="531"/>
      <c r="STA103" s="530"/>
      <c r="STB103" s="531"/>
      <c r="STC103" s="530"/>
      <c r="STD103" s="531"/>
      <c r="STE103" s="530"/>
      <c r="STF103" s="531"/>
      <c r="STG103" s="530"/>
      <c r="STH103" s="531"/>
      <c r="STI103" s="530"/>
      <c r="STJ103" s="531"/>
      <c r="STK103" s="530"/>
      <c r="STL103" s="531"/>
      <c r="STM103" s="530"/>
      <c r="STN103" s="531"/>
      <c r="STO103" s="530"/>
      <c r="STP103" s="531"/>
      <c r="STQ103" s="530"/>
      <c r="STR103" s="531"/>
      <c r="STS103" s="530"/>
      <c r="STT103" s="531"/>
      <c r="STU103" s="530"/>
      <c r="STV103" s="531"/>
      <c r="STW103" s="530"/>
      <c r="STX103" s="531"/>
      <c r="STY103" s="530"/>
      <c r="STZ103" s="531"/>
      <c r="SUA103" s="530"/>
      <c r="SUB103" s="531"/>
      <c r="SUC103" s="530"/>
      <c r="SUD103" s="531"/>
      <c r="SUE103" s="530"/>
      <c r="SUF103" s="531"/>
      <c r="SUG103" s="530"/>
      <c r="SUH103" s="531"/>
      <c r="SUI103" s="530"/>
      <c r="SUJ103" s="531"/>
      <c r="SUK103" s="530"/>
      <c r="SUL103" s="531"/>
      <c r="SUM103" s="530"/>
      <c r="SUN103" s="531"/>
      <c r="SUO103" s="530"/>
      <c r="SUP103" s="531"/>
      <c r="SUQ103" s="530"/>
      <c r="SUR103" s="531"/>
      <c r="SUS103" s="530"/>
      <c r="SUT103" s="531"/>
      <c r="SUU103" s="530"/>
      <c r="SUV103" s="531"/>
      <c r="SUW103" s="530"/>
      <c r="SUX103" s="531"/>
      <c r="SUY103" s="530"/>
      <c r="SUZ103" s="531"/>
      <c r="SVA103" s="530"/>
      <c r="SVB103" s="531"/>
      <c r="SVC103" s="530"/>
      <c r="SVD103" s="531"/>
      <c r="SVE103" s="530"/>
      <c r="SVF103" s="531"/>
      <c r="SVG103" s="530"/>
      <c r="SVH103" s="531"/>
      <c r="SVI103" s="530"/>
      <c r="SVJ103" s="531"/>
      <c r="SVK103" s="530"/>
      <c r="SVL103" s="531"/>
      <c r="SVM103" s="530"/>
      <c r="SVN103" s="531"/>
      <c r="SVO103" s="530"/>
      <c r="SVP103" s="531"/>
      <c r="SVQ103" s="530"/>
      <c r="SVR103" s="531"/>
      <c r="SVS103" s="530"/>
      <c r="SVT103" s="531"/>
      <c r="SVU103" s="530"/>
      <c r="SVV103" s="531"/>
      <c r="SVW103" s="530"/>
      <c r="SVX103" s="531"/>
      <c r="SVY103" s="530"/>
      <c r="SVZ103" s="531"/>
      <c r="SWA103" s="530"/>
      <c r="SWB103" s="531"/>
      <c r="SWC103" s="530"/>
      <c r="SWD103" s="531"/>
      <c r="SWE103" s="530"/>
      <c r="SWF103" s="531"/>
      <c r="SWG103" s="530"/>
      <c r="SWH103" s="531"/>
      <c r="SWI103" s="530"/>
      <c r="SWJ103" s="531"/>
      <c r="SWK103" s="530"/>
      <c r="SWL103" s="531"/>
      <c r="SWM103" s="530"/>
      <c r="SWN103" s="531"/>
      <c r="SWO103" s="530"/>
      <c r="SWP103" s="531"/>
      <c r="SWQ103" s="530"/>
      <c r="SWR103" s="531"/>
      <c r="SWS103" s="530"/>
      <c r="SWT103" s="531"/>
      <c r="SWU103" s="530"/>
      <c r="SWV103" s="531"/>
      <c r="SWW103" s="530"/>
      <c r="SWX103" s="531"/>
      <c r="SWY103" s="530"/>
      <c r="SWZ103" s="531"/>
      <c r="SXA103" s="530"/>
      <c r="SXB103" s="531"/>
      <c r="SXC103" s="530"/>
      <c r="SXD103" s="531"/>
      <c r="SXE103" s="530"/>
      <c r="SXF103" s="531"/>
      <c r="SXG103" s="530"/>
      <c r="SXH103" s="531"/>
      <c r="SXI103" s="530"/>
      <c r="SXJ103" s="531"/>
      <c r="SXK103" s="530"/>
      <c r="SXL103" s="531"/>
      <c r="SXM103" s="530"/>
      <c r="SXN103" s="531"/>
      <c r="SXO103" s="530"/>
      <c r="SXP103" s="531"/>
      <c r="SXQ103" s="530"/>
      <c r="SXR103" s="531"/>
      <c r="SXS103" s="530"/>
      <c r="SXT103" s="531"/>
      <c r="SXU103" s="530"/>
      <c r="SXV103" s="531"/>
      <c r="SXW103" s="530"/>
      <c r="SXX103" s="531"/>
      <c r="SXY103" s="530"/>
      <c r="SXZ103" s="531"/>
      <c r="SYA103" s="530"/>
      <c r="SYB103" s="531"/>
      <c r="SYC103" s="530"/>
      <c r="SYD103" s="531"/>
      <c r="SYE103" s="530"/>
      <c r="SYF103" s="531"/>
      <c r="SYG103" s="530"/>
      <c r="SYH103" s="531"/>
      <c r="SYI103" s="530"/>
      <c r="SYJ103" s="531"/>
      <c r="SYK103" s="530"/>
      <c r="SYL103" s="531"/>
      <c r="SYM103" s="530"/>
      <c r="SYN103" s="531"/>
      <c r="SYO103" s="530"/>
      <c r="SYP103" s="531"/>
      <c r="SYQ103" s="530"/>
      <c r="SYR103" s="531"/>
      <c r="SYS103" s="530"/>
      <c r="SYT103" s="531"/>
      <c r="SYU103" s="530"/>
      <c r="SYV103" s="531"/>
      <c r="SYW103" s="530"/>
      <c r="SYX103" s="531"/>
      <c r="SYY103" s="530"/>
      <c r="SYZ103" s="531"/>
      <c r="SZA103" s="530"/>
      <c r="SZB103" s="531"/>
      <c r="SZC103" s="530"/>
      <c r="SZD103" s="531"/>
      <c r="SZE103" s="530"/>
      <c r="SZF103" s="531"/>
      <c r="SZG103" s="530"/>
      <c r="SZH103" s="531"/>
      <c r="SZI103" s="530"/>
      <c r="SZJ103" s="531"/>
      <c r="SZK103" s="530"/>
      <c r="SZL103" s="531"/>
      <c r="SZM103" s="530"/>
      <c r="SZN103" s="531"/>
      <c r="SZO103" s="530"/>
      <c r="SZP103" s="531"/>
      <c r="SZQ103" s="530"/>
      <c r="SZR103" s="531"/>
      <c r="SZS103" s="530"/>
      <c r="SZT103" s="531"/>
      <c r="SZU103" s="530"/>
      <c r="SZV103" s="531"/>
      <c r="SZW103" s="530"/>
      <c r="SZX103" s="531"/>
      <c r="SZY103" s="530"/>
      <c r="SZZ103" s="531"/>
      <c r="TAA103" s="530"/>
      <c r="TAB103" s="531"/>
      <c r="TAC103" s="530"/>
      <c r="TAD103" s="531"/>
      <c r="TAE103" s="530"/>
      <c r="TAF103" s="531"/>
      <c r="TAG103" s="530"/>
      <c r="TAH103" s="531"/>
      <c r="TAI103" s="530"/>
      <c r="TAJ103" s="531"/>
      <c r="TAK103" s="530"/>
      <c r="TAL103" s="531"/>
      <c r="TAM103" s="530"/>
      <c r="TAN103" s="531"/>
      <c r="TAO103" s="530"/>
      <c r="TAP103" s="531"/>
      <c r="TAQ103" s="530"/>
      <c r="TAR103" s="531"/>
      <c r="TAS103" s="530"/>
      <c r="TAT103" s="531"/>
      <c r="TAU103" s="530"/>
      <c r="TAV103" s="531"/>
      <c r="TAW103" s="530"/>
      <c r="TAX103" s="531"/>
      <c r="TAY103" s="530"/>
      <c r="TAZ103" s="531"/>
      <c r="TBA103" s="530"/>
      <c r="TBB103" s="531"/>
      <c r="TBC103" s="530"/>
      <c r="TBD103" s="531"/>
      <c r="TBE103" s="530"/>
      <c r="TBF103" s="531"/>
      <c r="TBG103" s="530"/>
      <c r="TBH103" s="531"/>
      <c r="TBI103" s="530"/>
      <c r="TBJ103" s="531"/>
      <c r="TBK103" s="530"/>
      <c r="TBL103" s="531"/>
      <c r="TBM103" s="530"/>
      <c r="TBN103" s="531"/>
      <c r="TBO103" s="530"/>
      <c r="TBP103" s="531"/>
      <c r="TBQ103" s="530"/>
      <c r="TBR103" s="531"/>
      <c r="TBS103" s="530"/>
      <c r="TBT103" s="531"/>
      <c r="TBU103" s="530"/>
      <c r="TBV103" s="531"/>
      <c r="TBW103" s="530"/>
      <c r="TBX103" s="531"/>
      <c r="TBY103" s="530"/>
      <c r="TBZ103" s="531"/>
      <c r="TCA103" s="530"/>
      <c r="TCB103" s="531"/>
      <c r="TCC103" s="530"/>
      <c r="TCD103" s="531"/>
      <c r="TCE103" s="530"/>
      <c r="TCF103" s="531"/>
      <c r="TCG103" s="530"/>
      <c r="TCH103" s="531"/>
      <c r="TCI103" s="530"/>
      <c r="TCJ103" s="531"/>
      <c r="TCK103" s="530"/>
      <c r="TCL103" s="531"/>
      <c r="TCM103" s="530"/>
      <c r="TCN103" s="531"/>
      <c r="TCO103" s="530"/>
      <c r="TCP103" s="531"/>
      <c r="TCQ103" s="530"/>
      <c r="TCR103" s="531"/>
      <c r="TCS103" s="530"/>
      <c r="TCT103" s="531"/>
      <c r="TCU103" s="530"/>
      <c r="TCV103" s="531"/>
      <c r="TCW103" s="530"/>
      <c r="TCX103" s="531"/>
      <c r="TCY103" s="530"/>
      <c r="TCZ103" s="531"/>
      <c r="TDA103" s="530"/>
      <c r="TDB103" s="531"/>
      <c r="TDC103" s="530"/>
      <c r="TDD103" s="531"/>
      <c r="TDE103" s="530"/>
      <c r="TDF103" s="531"/>
      <c r="TDG103" s="530"/>
      <c r="TDH103" s="531"/>
      <c r="TDI103" s="530"/>
      <c r="TDJ103" s="531"/>
      <c r="TDK103" s="530"/>
      <c r="TDL103" s="531"/>
      <c r="TDM103" s="530"/>
      <c r="TDN103" s="531"/>
      <c r="TDO103" s="530"/>
      <c r="TDP103" s="531"/>
      <c r="TDQ103" s="530"/>
      <c r="TDR103" s="531"/>
      <c r="TDS103" s="530"/>
      <c r="TDT103" s="531"/>
      <c r="TDU103" s="530"/>
      <c r="TDV103" s="531"/>
      <c r="TDW103" s="530"/>
      <c r="TDX103" s="531"/>
      <c r="TDY103" s="530"/>
      <c r="TDZ103" s="531"/>
      <c r="TEA103" s="530"/>
      <c r="TEB103" s="531"/>
      <c r="TEC103" s="530"/>
      <c r="TED103" s="531"/>
      <c r="TEE103" s="530"/>
      <c r="TEF103" s="531"/>
      <c r="TEG103" s="530"/>
      <c r="TEH103" s="531"/>
      <c r="TEI103" s="530"/>
      <c r="TEJ103" s="531"/>
      <c r="TEK103" s="530"/>
      <c r="TEL103" s="531"/>
      <c r="TEM103" s="530"/>
      <c r="TEN103" s="531"/>
      <c r="TEO103" s="530"/>
      <c r="TEP103" s="531"/>
      <c r="TEQ103" s="530"/>
      <c r="TER103" s="531"/>
      <c r="TES103" s="530"/>
      <c r="TET103" s="531"/>
      <c r="TEU103" s="530"/>
      <c r="TEV103" s="531"/>
      <c r="TEW103" s="530"/>
      <c r="TEX103" s="531"/>
      <c r="TEY103" s="530"/>
      <c r="TEZ103" s="531"/>
      <c r="TFA103" s="530"/>
      <c r="TFB103" s="531"/>
      <c r="TFC103" s="530"/>
      <c r="TFD103" s="531"/>
      <c r="TFE103" s="530"/>
      <c r="TFF103" s="531"/>
      <c r="TFG103" s="530"/>
      <c r="TFH103" s="531"/>
      <c r="TFI103" s="530"/>
      <c r="TFJ103" s="531"/>
      <c r="TFK103" s="530"/>
      <c r="TFL103" s="531"/>
      <c r="TFM103" s="530"/>
      <c r="TFN103" s="531"/>
      <c r="TFO103" s="530"/>
      <c r="TFP103" s="531"/>
      <c r="TFQ103" s="530"/>
      <c r="TFR103" s="531"/>
      <c r="TFS103" s="530"/>
      <c r="TFT103" s="531"/>
      <c r="TFU103" s="530"/>
      <c r="TFV103" s="531"/>
      <c r="TFW103" s="530"/>
      <c r="TFX103" s="531"/>
      <c r="TFY103" s="530"/>
      <c r="TFZ103" s="531"/>
      <c r="TGA103" s="530"/>
      <c r="TGB103" s="531"/>
      <c r="TGC103" s="530"/>
      <c r="TGD103" s="531"/>
      <c r="TGE103" s="530"/>
      <c r="TGF103" s="531"/>
      <c r="TGG103" s="530"/>
      <c r="TGH103" s="531"/>
      <c r="TGI103" s="530"/>
      <c r="TGJ103" s="531"/>
      <c r="TGK103" s="530"/>
      <c r="TGL103" s="531"/>
      <c r="TGM103" s="530"/>
      <c r="TGN103" s="531"/>
      <c r="TGO103" s="530"/>
      <c r="TGP103" s="531"/>
      <c r="TGQ103" s="530"/>
      <c r="TGR103" s="531"/>
      <c r="TGS103" s="530"/>
      <c r="TGT103" s="531"/>
      <c r="TGU103" s="530"/>
      <c r="TGV103" s="531"/>
      <c r="TGW103" s="530"/>
      <c r="TGX103" s="531"/>
      <c r="TGY103" s="530"/>
      <c r="TGZ103" s="531"/>
      <c r="THA103" s="530"/>
      <c r="THB103" s="531"/>
      <c r="THC103" s="530"/>
      <c r="THD103" s="531"/>
      <c r="THE103" s="530"/>
      <c r="THF103" s="531"/>
      <c r="THG103" s="530"/>
      <c r="THH103" s="531"/>
      <c r="THI103" s="530"/>
      <c r="THJ103" s="531"/>
      <c r="THK103" s="530"/>
      <c r="THL103" s="531"/>
      <c r="THM103" s="530"/>
      <c r="THN103" s="531"/>
      <c r="THO103" s="530"/>
      <c r="THP103" s="531"/>
      <c r="THQ103" s="530"/>
      <c r="THR103" s="531"/>
      <c r="THS103" s="530"/>
      <c r="THT103" s="531"/>
      <c r="THU103" s="530"/>
      <c r="THV103" s="531"/>
      <c r="THW103" s="530"/>
      <c r="THX103" s="531"/>
      <c r="THY103" s="530"/>
      <c r="THZ103" s="531"/>
      <c r="TIA103" s="530"/>
      <c r="TIB103" s="531"/>
      <c r="TIC103" s="530"/>
      <c r="TID103" s="531"/>
      <c r="TIE103" s="530"/>
      <c r="TIF103" s="531"/>
      <c r="TIG103" s="530"/>
      <c r="TIH103" s="531"/>
      <c r="TII103" s="530"/>
      <c r="TIJ103" s="531"/>
      <c r="TIK103" s="530"/>
      <c r="TIL103" s="531"/>
      <c r="TIM103" s="530"/>
      <c r="TIN103" s="531"/>
      <c r="TIO103" s="530"/>
      <c r="TIP103" s="531"/>
      <c r="TIQ103" s="530"/>
      <c r="TIR103" s="531"/>
      <c r="TIS103" s="530"/>
      <c r="TIT103" s="531"/>
      <c r="TIU103" s="530"/>
      <c r="TIV103" s="531"/>
      <c r="TIW103" s="530"/>
      <c r="TIX103" s="531"/>
      <c r="TIY103" s="530"/>
      <c r="TIZ103" s="531"/>
      <c r="TJA103" s="530"/>
      <c r="TJB103" s="531"/>
      <c r="TJC103" s="530"/>
      <c r="TJD103" s="531"/>
      <c r="TJE103" s="530"/>
      <c r="TJF103" s="531"/>
      <c r="TJG103" s="530"/>
      <c r="TJH103" s="531"/>
      <c r="TJI103" s="530"/>
      <c r="TJJ103" s="531"/>
      <c r="TJK103" s="530"/>
      <c r="TJL103" s="531"/>
      <c r="TJM103" s="530"/>
      <c r="TJN103" s="531"/>
      <c r="TJO103" s="530"/>
      <c r="TJP103" s="531"/>
      <c r="TJQ103" s="530"/>
      <c r="TJR103" s="531"/>
      <c r="TJS103" s="530"/>
      <c r="TJT103" s="531"/>
      <c r="TJU103" s="530"/>
      <c r="TJV103" s="531"/>
      <c r="TJW103" s="530"/>
      <c r="TJX103" s="531"/>
      <c r="TJY103" s="530"/>
      <c r="TJZ103" s="531"/>
      <c r="TKA103" s="530"/>
      <c r="TKB103" s="531"/>
      <c r="TKC103" s="530"/>
      <c r="TKD103" s="531"/>
      <c r="TKE103" s="530"/>
      <c r="TKF103" s="531"/>
      <c r="TKG103" s="530"/>
      <c r="TKH103" s="531"/>
      <c r="TKI103" s="530"/>
      <c r="TKJ103" s="531"/>
      <c r="TKK103" s="530"/>
      <c r="TKL103" s="531"/>
      <c r="TKM103" s="530"/>
      <c r="TKN103" s="531"/>
      <c r="TKO103" s="530"/>
      <c r="TKP103" s="531"/>
      <c r="TKQ103" s="530"/>
      <c r="TKR103" s="531"/>
      <c r="TKS103" s="530"/>
      <c r="TKT103" s="531"/>
      <c r="TKU103" s="530"/>
      <c r="TKV103" s="531"/>
      <c r="TKW103" s="530"/>
      <c r="TKX103" s="531"/>
      <c r="TKY103" s="530"/>
      <c r="TKZ103" s="531"/>
      <c r="TLA103" s="530"/>
      <c r="TLB103" s="531"/>
      <c r="TLC103" s="530"/>
      <c r="TLD103" s="531"/>
      <c r="TLE103" s="530"/>
      <c r="TLF103" s="531"/>
      <c r="TLG103" s="530"/>
      <c r="TLH103" s="531"/>
      <c r="TLI103" s="530"/>
      <c r="TLJ103" s="531"/>
      <c r="TLK103" s="530"/>
      <c r="TLL103" s="531"/>
      <c r="TLM103" s="530"/>
      <c r="TLN103" s="531"/>
      <c r="TLO103" s="530"/>
      <c r="TLP103" s="531"/>
      <c r="TLQ103" s="530"/>
      <c r="TLR103" s="531"/>
      <c r="TLS103" s="530"/>
      <c r="TLT103" s="531"/>
      <c r="TLU103" s="530"/>
      <c r="TLV103" s="531"/>
      <c r="TLW103" s="530"/>
      <c r="TLX103" s="531"/>
      <c r="TLY103" s="530"/>
      <c r="TLZ103" s="531"/>
      <c r="TMA103" s="530"/>
      <c r="TMB103" s="531"/>
      <c r="TMC103" s="530"/>
      <c r="TMD103" s="531"/>
      <c r="TME103" s="530"/>
      <c r="TMF103" s="531"/>
      <c r="TMG103" s="530"/>
      <c r="TMH103" s="531"/>
      <c r="TMI103" s="530"/>
      <c r="TMJ103" s="531"/>
      <c r="TMK103" s="530"/>
      <c r="TML103" s="531"/>
      <c r="TMM103" s="530"/>
      <c r="TMN103" s="531"/>
      <c r="TMO103" s="530"/>
      <c r="TMP103" s="531"/>
      <c r="TMQ103" s="530"/>
      <c r="TMR103" s="531"/>
      <c r="TMS103" s="530"/>
      <c r="TMT103" s="531"/>
      <c r="TMU103" s="530"/>
      <c r="TMV103" s="531"/>
      <c r="TMW103" s="530"/>
      <c r="TMX103" s="531"/>
      <c r="TMY103" s="530"/>
      <c r="TMZ103" s="531"/>
      <c r="TNA103" s="530"/>
      <c r="TNB103" s="531"/>
      <c r="TNC103" s="530"/>
      <c r="TND103" s="531"/>
      <c r="TNE103" s="530"/>
      <c r="TNF103" s="531"/>
      <c r="TNG103" s="530"/>
      <c r="TNH103" s="531"/>
      <c r="TNI103" s="530"/>
      <c r="TNJ103" s="531"/>
      <c r="TNK103" s="530"/>
      <c r="TNL103" s="531"/>
      <c r="TNM103" s="530"/>
      <c r="TNN103" s="531"/>
      <c r="TNO103" s="530"/>
      <c r="TNP103" s="531"/>
      <c r="TNQ103" s="530"/>
      <c r="TNR103" s="531"/>
      <c r="TNS103" s="530"/>
      <c r="TNT103" s="531"/>
      <c r="TNU103" s="530"/>
      <c r="TNV103" s="531"/>
      <c r="TNW103" s="530"/>
      <c r="TNX103" s="531"/>
      <c r="TNY103" s="530"/>
      <c r="TNZ103" s="531"/>
      <c r="TOA103" s="530"/>
      <c r="TOB103" s="531"/>
      <c r="TOC103" s="530"/>
      <c r="TOD103" s="531"/>
      <c r="TOE103" s="530"/>
      <c r="TOF103" s="531"/>
      <c r="TOG103" s="530"/>
      <c r="TOH103" s="531"/>
      <c r="TOI103" s="530"/>
      <c r="TOJ103" s="531"/>
      <c r="TOK103" s="530"/>
      <c r="TOL103" s="531"/>
      <c r="TOM103" s="530"/>
      <c r="TON103" s="531"/>
      <c r="TOO103" s="530"/>
      <c r="TOP103" s="531"/>
      <c r="TOQ103" s="530"/>
      <c r="TOR103" s="531"/>
      <c r="TOS103" s="530"/>
      <c r="TOT103" s="531"/>
      <c r="TOU103" s="530"/>
      <c r="TOV103" s="531"/>
      <c r="TOW103" s="530"/>
      <c r="TOX103" s="531"/>
      <c r="TOY103" s="530"/>
      <c r="TOZ103" s="531"/>
      <c r="TPA103" s="530"/>
      <c r="TPB103" s="531"/>
      <c r="TPC103" s="530"/>
      <c r="TPD103" s="531"/>
      <c r="TPE103" s="530"/>
      <c r="TPF103" s="531"/>
      <c r="TPG103" s="530"/>
      <c r="TPH103" s="531"/>
      <c r="TPI103" s="530"/>
      <c r="TPJ103" s="531"/>
      <c r="TPK103" s="530"/>
      <c r="TPL103" s="531"/>
      <c r="TPM103" s="530"/>
      <c r="TPN103" s="531"/>
      <c r="TPO103" s="530"/>
      <c r="TPP103" s="531"/>
      <c r="TPQ103" s="530"/>
      <c r="TPR103" s="531"/>
      <c r="TPS103" s="530"/>
      <c r="TPT103" s="531"/>
      <c r="TPU103" s="530"/>
      <c r="TPV103" s="531"/>
      <c r="TPW103" s="530"/>
      <c r="TPX103" s="531"/>
      <c r="TPY103" s="530"/>
      <c r="TPZ103" s="531"/>
      <c r="TQA103" s="530"/>
      <c r="TQB103" s="531"/>
      <c r="TQC103" s="530"/>
      <c r="TQD103" s="531"/>
      <c r="TQE103" s="530"/>
      <c r="TQF103" s="531"/>
      <c r="TQG103" s="530"/>
      <c r="TQH103" s="531"/>
      <c r="TQI103" s="530"/>
      <c r="TQJ103" s="531"/>
      <c r="TQK103" s="530"/>
      <c r="TQL103" s="531"/>
      <c r="TQM103" s="530"/>
      <c r="TQN103" s="531"/>
      <c r="TQO103" s="530"/>
      <c r="TQP103" s="531"/>
      <c r="TQQ103" s="530"/>
      <c r="TQR103" s="531"/>
      <c r="TQS103" s="530"/>
      <c r="TQT103" s="531"/>
      <c r="TQU103" s="530"/>
      <c r="TQV103" s="531"/>
      <c r="TQW103" s="530"/>
      <c r="TQX103" s="531"/>
      <c r="TQY103" s="530"/>
      <c r="TQZ103" s="531"/>
      <c r="TRA103" s="530"/>
      <c r="TRB103" s="531"/>
      <c r="TRC103" s="530"/>
      <c r="TRD103" s="531"/>
      <c r="TRE103" s="530"/>
      <c r="TRF103" s="531"/>
      <c r="TRG103" s="530"/>
      <c r="TRH103" s="531"/>
      <c r="TRI103" s="530"/>
      <c r="TRJ103" s="531"/>
      <c r="TRK103" s="530"/>
      <c r="TRL103" s="531"/>
      <c r="TRM103" s="530"/>
      <c r="TRN103" s="531"/>
      <c r="TRO103" s="530"/>
      <c r="TRP103" s="531"/>
      <c r="TRQ103" s="530"/>
      <c r="TRR103" s="531"/>
      <c r="TRS103" s="530"/>
      <c r="TRT103" s="531"/>
      <c r="TRU103" s="530"/>
      <c r="TRV103" s="531"/>
      <c r="TRW103" s="530"/>
      <c r="TRX103" s="531"/>
      <c r="TRY103" s="530"/>
      <c r="TRZ103" s="531"/>
      <c r="TSA103" s="530"/>
      <c r="TSB103" s="531"/>
      <c r="TSC103" s="530"/>
      <c r="TSD103" s="531"/>
      <c r="TSE103" s="530"/>
      <c r="TSF103" s="531"/>
      <c r="TSG103" s="530"/>
      <c r="TSH103" s="531"/>
      <c r="TSI103" s="530"/>
      <c r="TSJ103" s="531"/>
      <c r="TSK103" s="530"/>
      <c r="TSL103" s="531"/>
      <c r="TSM103" s="530"/>
      <c r="TSN103" s="531"/>
      <c r="TSO103" s="530"/>
      <c r="TSP103" s="531"/>
      <c r="TSQ103" s="530"/>
      <c r="TSR103" s="531"/>
      <c r="TSS103" s="530"/>
      <c r="TST103" s="531"/>
      <c r="TSU103" s="530"/>
      <c r="TSV103" s="531"/>
      <c r="TSW103" s="530"/>
      <c r="TSX103" s="531"/>
      <c r="TSY103" s="530"/>
      <c r="TSZ103" s="531"/>
      <c r="TTA103" s="530"/>
      <c r="TTB103" s="531"/>
      <c r="TTC103" s="530"/>
      <c r="TTD103" s="531"/>
      <c r="TTE103" s="530"/>
      <c r="TTF103" s="531"/>
      <c r="TTG103" s="530"/>
      <c r="TTH103" s="531"/>
      <c r="TTI103" s="530"/>
      <c r="TTJ103" s="531"/>
      <c r="TTK103" s="530"/>
      <c r="TTL103" s="531"/>
      <c r="TTM103" s="530"/>
      <c r="TTN103" s="531"/>
      <c r="TTO103" s="530"/>
      <c r="TTP103" s="531"/>
      <c r="TTQ103" s="530"/>
      <c r="TTR103" s="531"/>
      <c r="TTS103" s="530"/>
      <c r="TTT103" s="531"/>
      <c r="TTU103" s="530"/>
      <c r="TTV103" s="531"/>
      <c r="TTW103" s="530"/>
      <c r="TTX103" s="531"/>
      <c r="TTY103" s="530"/>
      <c r="TTZ103" s="531"/>
      <c r="TUA103" s="530"/>
      <c r="TUB103" s="531"/>
      <c r="TUC103" s="530"/>
      <c r="TUD103" s="531"/>
      <c r="TUE103" s="530"/>
      <c r="TUF103" s="531"/>
      <c r="TUG103" s="530"/>
      <c r="TUH103" s="531"/>
      <c r="TUI103" s="530"/>
      <c r="TUJ103" s="531"/>
      <c r="TUK103" s="530"/>
      <c r="TUL103" s="531"/>
      <c r="TUM103" s="530"/>
      <c r="TUN103" s="531"/>
      <c r="TUO103" s="530"/>
      <c r="TUP103" s="531"/>
      <c r="TUQ103" s="530"/>
      <c r="TUR103" s="531"/>
      <c r="TUS103" s="530"/>
      <c r="TUT103" s="531"/>
      <c r="TUU103" s="530"/>
      <c r="TUV103" s="531"/>
      <c r="TUW103" s="530"/>
      <c r="TUX103" s="531"/>
      <c r="TUY103" s="530"/>
      <c r="TUZ103" s="531"/>
      <c r="TVA103" s="530"/>
      <c r="TVB103" s="531"/>
      <c r="TVC103" s="530"/>
      <c r="TVD103" s="531"/>
      <c r="TVE103" s="530"/>
      <c r="TVF103" s="531"/>
      <c r="TVG103" s="530"/>
      <c r="TVH103" s="531"/>
      <c r="TVI103" s="530"/>
      <c r="TVJ103" s="531"/>
      <c r="TVK103" s="530"/>
      <c r="TVL103" s="531"/>
      <c r="TVM103" s="530"/>
      <c r="TVN103" s="531"/>
      <c r="TVO103" s="530"/>
      <c r="TVP103" s="531"/>
      <c r="TVQ103" s="530"/>
      <c r="TVR103" s="531"/>
      <c r="TVS103" s="530"/>
      <c r="TVT103" s="531"/>
      <c r="TVU103" s="530"/>
      <c r="TVV103" s="531"/>
      <c r="TVW103" s="530"/>
      <c r="TVX103" s="531"/>
      <c r="TVY103" s="530"/>
      <c r="TVZ103" s="531"/>
      <c r="TWA103" s="530"/>
      <c r="TWB103" s="531"/>
      <c r="TWC103" s="530"/>
      <c r="TWD103" s="531"/>
      <c r="TWE103" s="530"/>
      <c r="TWF103" s="531"/>
      <c r="TWG103" s="530"/>
      <c r="TWH103" s="531"/>
      <c r="TWI103" s="530"/>
      <c r="TWJ103" s="531"/>
      <c r="TWK103" s="530"/>
      <c r="TWL103" s="531"/>
      <c r="TWM103" s="530"/>
      <c r="TWN103" s="531"/>
      <c r="TWO103" s="530"/>
      <c r="TWP103" s="531"/>
      <c r="TWQ103" s="530"/>
      <c r="TWR103" s="531"/>
      <c r="TWS103" s="530"/>
      <c r="TWT103" s="531"/>
      <c r="TWU103" s="530"/>
      <c r="TWV103" s="531"/>
      <c r="TWW103" s="530"/>
      <c r="TWX103" s="531"/>
      <c r="TWY103" s="530"/>
      <c r="TWZ103" s="531"/>
      <c r="TXA103" s="530"/>
      <c r="TXB103" s="531"/>
      <c r="TXC103" s="530"/>
      <c r="TXD103" s="531"/>
      <c r="TXE103" s="530"/>
      <c r="TXF103" s="531"/>
      <c r="TXG103" s="530"/>
      <c r="TXH103" s="531"/>
      <c r="TXI103" s="530"/>
      <c r="TXJ103" s="531"/>
      <c r="TXK103" s="530"/>
      <c r="TXL103" s="531"/>
      <c r="TXM103" s="530"/>
      <c r="TXN103" s="531"/>
      <c r="TXO103" s="530"/>
      <c r="TXP103" s="531"/>
      <c r="TXQ103" s="530"/>
      <c r="TXR103" s="531"/>
      <c r="TXS103" s="530"/>
      <c r="TXT103" s="531"/>
      <c r="TXU103" s="530"/>
      <c r="TXV103" s="531"/>
      <c r="TXW103" s="530"/>
      <c r="TXX103" s="531"/>
      <c r="TXY103" s="530"/>
      <c r="TXZ103" s="531"/>
      <c r="TYA103" s="530"/>
      <c r="TYB103" s="531"/>
      <c r="TYC103" s="530"/>
      <c r="TYD103" s="531"/>
      <c r="TYE103" s="530"/>
      <c r="TYF103" s="531"/>
      <c r="TYG103" s="530"/>
      <c r="TYH103" s="531"/>
      <c r="TYI103" s="530"/>
      <c r="TYJ103" s="531"/>
      <c r="TYK103" s="530"/>
      <c r="TYL103" s="531"/>
      <c r="TYM103" s="530"/>
      <c r="TYN103" s="531"/>
      <c r="TYO103" s="530"/>
      <c r="TYP103" s="531"/>
      <c r="TYQ103" s="530"/>
      <c r="TYR103" s="531"/>
      <c r="TYS103" s="530"/>
      <c r="TYT103" s="531"/>
      <c r="TYU103" s="530"/>
      <c r="TYV103" s="531"/>
      <c r="TYW103" s="530"/>
      <c r="TYX103" s="531"/>
      <c r="TYY103" s="530"/>
      <c r="TYZ103" s="531"/>
      <c r="TZA103" s="530"/>
      <c r="TZB103" s="531"/>
      <c r="TZC103" s="530"/>
      <c r="TZD103" s="531"/>
      <c r="TZE103" s="530"/>
      <c r="TZF103" s="531"/>
      <c r="TZG103" s="530"/>
      <c r="TZH103" s="531"/>
      <c r="TZI103" s="530"/>
      <c r="TZJ103" s="531"/>
      <c r="TZK103" s="530"/>
      <c r="TZL103" s="531"/>
      <c r="TZM103" s="530"/>
      <c r="TZN103" s="531"/>
      <c r="TZO103" s="530"/>
      <c r="TZP103" s="531"/>
      <c r="TZQ103" s="530"/>
      <c r="TZR103" s="531"/>
      <c r="TZS103" s="530"/>
      <c r="TZT103" s="531"/>
      <c r="TZU103" s="530"/>
      <c r="TZV103" s="531"/>
      <c r="TZW103" s="530"/>
      <c r="TZX103" s="531"/>
      <c r="TZY103" s="530"/>
      <c r="TZZ103" s="531"/>
      <c r="UAA103" s="530"/>
      <c r="UAB103" s="531"/>
      <c r="UAC103" s="530"/>
      <c r="UAD103" s="531"/>
      <c r="UAE103" s="530"/>
      <c r="UAF103" s="531"/>
      <c r="UAG103" s="530"/>
      <c r="UAH103" s="531"/>
      <c r="UAI103" s="530"/>
      <c r="UAJ103" s="531"/>
      <c r="UAK103" s="530"/>
      <c r="UAL103" s="531"/>
      <c r="UAM103" s="530"/>
      <c r="UAN103" s="531"/>
      <c r="UAO103" s="530"/>
      <c r="UAP103" s="531"/>
      <c r="UAQ103" s="530"/>
      <c r="UAR103" s="531"/>
      <c r="UAS103" s="530"/>
      <c r="UAT103" s="531"/>
      <c r="UAU103" s="530"/>
      <c r="UAV103" s="531"/>
      <c r="UAW103" s="530"/>
      <c r="UAX103" s="531"/>
      <c r="UAY103" s="530"/>
      <c r="UAZ103" s="531"/>
      <c r="UBA103" s="530"/>
      <c r="UBB103" s="531"/>
      <c r="UBC103" s="530"/>
      <c r="UBD103" s="531"/>
      <c r="UBE103" s="530"/>
      <c r="UBF103" s="531"/>
      <c r="UBG103" s="530"/>
      <c r="UBH103" s="531"/>
      <c r="UBI103" s="530"/>
      <c r="UBJ103" s="531"/>
      <c r="UBK103" s="530"/>
      <c r="UBL103" s="531"/>
      <c r="UBM103" s="530"/>
      <c r="UBN103" s="531"/>
      <c r="UBO103" s="530"/>
      <c r="UBP103" s="531"/>
      <c r="UBQ103" s="530"/>
      <c r="UBR103" s="531"/>
      <c r="UBS103" s="530"/>
      <c r="UBT103" s="531"/>
      <c r="UBU103" s="530"/>
      <c r="UBV103" s="531"/>
      <c r="UBW103" s="530"/>
      <c r="UBX103" s="531"/>
      <c r="UBY103" s="530"/>
      <c r="UBZ103" s="531"/>
      <c r="UCA103" s="530"/>
      <c r="UCB103" s="531"/>
      <c r="UCC103" s="530"/>
      <c r="UCD103" s="531"/>
      <c r="UCE103" s="530"/>
      <c r="UCF103" s="531"/>
      <c r="UCG103" s="530"/>
      <c r="UCH103" s="531"/>
      <c r="UCI103" s="530"/>
      <c r="UCJ103" s="531"/>
      <c r="UCK103" s="530"/>
      <c r="UCL103" s="531"/>
      <c r="UCM103" s="530"/>
      <c r="UCN103" s="531"/>
      <c r="UCO103" s="530"/>
      <c r="UCP103" s="531"/>
      <c r="UCQ103" s="530"/>
      <c r="UCR103" s="531"/>
      <c r="UCS103" s="530"/>
      <c r="UCT103" s="531"/>
      <c r="UCU103" s="530"/>
      <c r="UCV103" s="531"/>
      <c r="UCW103" s="530"/>
      <c r="UCX103" s="531"/>
      <c r="UCY103" s="530"/>
      <c r="UCZ103" s="531"/>
      <c r="UDA103" s="530"/>
      <c r="UDB103" s="531"/>
      <c r="UDC103" s="530"/>
      <c r="UDD103" s="531"/>
      <c r="UDE103" s="530"/>
      <c r="UDF103" s="531"/>
      <c r="UDG103" s="530"/>
      <c r="UDH103" s="531"/>
      <c r="UDI103" s="530"/>
      <c r="UDJ103" s="531"/>
      <c r="UDK103" s="530"/>
      <c r="UDL103" s="531"/>
      <c r="UDM103" s="530"/>
      <c r="UDN103" s="531"/>
      <c r="UDO103" s="530"/>
      <c r="UDP103" s="531"/>
      <c r="UDQ103" s="530"/>
      <c r="UDR103" s="531"/>
      <c r="UDS103" s="530"/>
      <c r="UDT103" s="531"/>
      <c r="UDU103" s="530"/>
      <c r="UDV103" s="531"/>
      <c r="UDW103" s="530"/>
      <c r="UDX103" s="531"/>
      <c r="UDY103" s="530"/>
      <c r="UDZ103" s="531"/>
      <c r="UEA103" s="530"/>
      <c r="UEB103" s="531"/>
      <c r="UEC103" s="530"/>
      <c r="UED103" s="531"/>
      <c r="UEE103" s="530"/>
      <c r="UEF103" s="531"/>
      <c r="UEG103" s="530"/>
      <c r="UEH103" s="531"/>
      <c r="UEI103" s="530"/>
      <c r="UEJ103" s="531"/>
      <c r="UEK103" s="530"/>
      <c r="UEL103" s="531"/>
      <c r="UEM103" s="530"/>
      <c r="UEN103" s="531"/>
      <c r="UEO103" s="530"/>
      <c r="UEP103" s="531"/>
      <c r="UEQ103" s="530"/>
      <c r="UER103" s="531"/>
      <c r="UES103" s="530"/>
      <c r="UET103" s="531"/>
      <c r="UEU103" s="530"/>
      <c r="UEV103" s="531"/>
      <c r="UEW103" s="530"/>
      <c r="UEX103" s="531"/>
      <c r="UEY103" s="530"/>
      <c r="UEZ103" s="531"/>
      <c r="UFA103" s="530"/>
      <c r="UFB103" s="531"/>
      <c r="UFC103" s="530"/>
      <c r="UFD103" s="531"/>
      <c r="UFE103" s="530"/>
      <c r="UFF103" s="531"/>
      <c r="UFG103" s="530"/>
      <c r="UFH103" s="531"/>
      <c r="UFI103" s="530"/>
      <c r="UFJ103" s="531"/>
      <c r="UFK103" s="530"/>
      <c r="UFL103" s="531"/>
      <c r="UFM103" s="530"/>
      <c r="UFN103" s="531"/>
      <c r="UFO103" s="530"/>
      <c r="UFP103" s="531"/>
      <c r="UFQ103" s="530"/>
      <c r="UFR103" s="531"/>
      <c r="UFS103" s="530"/>
      <c r="UFT103" s="531"/>
      <c r="UFU103" s="530"/>
      <c r="UFV103" s="531"/>
      <c r="UFW103" s="530"/>
      <c r="UFX103" s="531"/>
      <c r="UFY103" s="530"/>
      <c r="UFZ103" s="531"/>
      <c r="UGA103" s="530"/>
      <c r="UGB103" s="531"/>
      <c r="UGC103" s="530"/>
      <c r="UGD103" s="531"/>
      <c r="UGE103" s="530"/>
      <c r="UGF103" s="531"/>
      <c r="UGG103" s="530"/>
      <c r="UGH103" s="531"/>
      <c r="UGI103" s="530"/>
      <c r="UGJ103" s="531"/>
      <c r="UGK103" s="530"/>
      <c r="UGL103" s="531"/>
      <c r="UGM103" s="530"/>
      <c r="UGN103" s="531"/>
      <c r="UGO103" s="530"/>
      <c r="UGP103" s="531"/>
      <c r="UGQ103" s="530"/>
      <c r="UGR103" s="531"/>
      <c r="UGS103" s="530"/>
      <c r="UGT103" s="531"/>
      <c r="UGU103" s="530"/>
      <c r="UGV103" s="531"/>
      <c r="UGW103" s="530"/>
      <c r="UGX103" s="531"/>
      <c r="UGY103" s="530"/>
      <c r="UGZ103" s="531"/>
      <c r="UHA103" s="530"/>
      <c r="UHB103" s="531"/>
      <c r="UHC103" s="530"/>
      <c r="UHD103" s="531"/>
      <c r="UHE103" s="530"/>
      <c r="UHF103" s="531"/>
      <c r="UHG103" s="530"/>
      <c r="UHH103" s="531"/>
      <c r="UHI103" s="530"/>
      <c r="UHJ103" s="531"/>
      <c r="UHK103" s="530"/>
      <c r="UHL103" s="531"/>
      <c r="UHM103" s="530"/>
      <c r="UHN103" s="531"/>
      <c r="UHO103" s="530"/>
      <c r="UHP103" s="531"/>
      <c r="UHQ103" s="530"/>
      <c r="UHR103" s="531"/>
      <c r="UHS103" s="530"/>
      <c r="UHT103" s="531"/>
      <c r="UHU103" s="530"/>
      <c r="UHV103" s="531"/>
      <c r="UHW103" s="530"/>
      <c r="UHX103" s="531"/>
      <c r="UHY103" s="530"/>
      <c r="UHZ103" s="531"/>
      <c r="UIA103" s="530"/>
      <c r="UIB103" s="531"/>
      <c r="UIC103" s="530"/>
      <c r="UID103" s="531"/>
      <c r="UIE103" s="530"/>
      <c r="UIF103" s="531"/>
      <c r="UIG103" s="530"/>
      <c r="UIH103" s="531"/>
      <c r="UII103" s="530"/>
      <c r="UIJ103" s="531"/>
      <c r="UIK103" s="530"/>
      <c r="UIL103" s="531"/>
      <c r="UIM103" s="530"/>
      <c r="UIN103" s="531"/>
      <c r="UIO103" s="530"/>
      <c r="UIP103" s="531"/>
      <c r="UIQ103" s="530"/>
      <c r="UIR103" s="531"/>
      <c r="UIS103" s="530"/>
      <c r="UIT103" s="531"/>
      <c r="UIU103" s="530"/>
      <c r="UIV103" s="531"/>
      <c r="UIW103" s="530"/>
      <c r="UIX103" s="531"/>
      <c r="UIY103" s="530"/>
      <c r="UIZ103" s="531"/>
      <c r="UJA103" s="530"/>
      <c r="UJB103" s="531"/>
      <c r="UJC103" s="530"/>
      <c r="UJD103" s="531"/>
      <c r="UJE103" s="530"/>
      <c r="UJF103" s="531"/>
      <c r="UJG103" s="530"/>
      <c r="UJH103" s="531"/>
      <c r="UJI103" s="530"/>
      <c r="UJJ103" s="531"/>
      <c r="UJK103" s="530"/>
      <c r="UJL103" s="531"/>
      <c r="UJM103" s="530"/>
      <c r="UJN103" s="531"/>
      <c r="UJO103" s="530"/>
      <c r="UJP103" s="531"/>
      <c r="UJQ103" s="530"/>
      <c r="UJR103" s="531"/>
      <c r="UJS103" s="530"/>
      <c r="UJT103" s="531"/>
      <c r="UJU103" s="530"/>
      <c r="UJV103" s="531"/>
      <c r="UJW103" s="530"/>
      <c r="UJX103" s="531"/>
      <c r="UJY103" s="530"/>
      <c r="UJZ103" s="531"/>
      <c r="UKA103" s="530"/>
      <c r="UKB103" s="531"/>
      <c r="UKC103" s="530"/>
      <c r="UKD103" s="531"/>
      <c r="UKE103" s="530"/>
      <c r="UKF103" s="531"/>
      <c r="UKG103" s="530"/>
      <c r="UKH103" s="531"/>
      <c r="UKI103" s="530"/>
      <c r="UKJ103" s="531"/>
      <c r="UKK103" s="530"/>
      <c r="UKL103" s="531"/>
      <c r="UKM103" s="530"/>
      <c r="UKN103" s="531"/>
      <c r="UKO103" s="530"/>
      <c r="UKP103" s="531"/>
      <c r="UKQ103" s="530"/>
      <c r="UKR103" s="531"/>
      <c r="UKS103" s="530"/>
      <c r="UKT103" s="531"/>
      <c r="UKU103" s="530"/>
      <c r="UKV103" s="531"/>
      <c r="UKW103" s="530"/>
      <c r="UKX103" s="531"/>
      <c r="UKY103" s="530"/>
      <c r="UKZ103" s="531"/>
      <c r="ULA103" s="530"/>
      <c r="ULB103" s="531"/>
      <c r="ULC103" s="530"/>
      <c r="ULD103" s="531"/>
      <c r="ULE103" s="530"/>
      <c r="ULF103" s="531"/>
      <c r="ULG103" s="530"/>
      <c r="ULH103" s="531"/>
      <c r="ULI103" s="530"/>
      <c r="ULJ103" s="531"/>
      <c r="ULK103" s="530"/>
      <c r="ULL103" s="531"/>
      <c r="ULM103" s="530"/>
      <c r="ULN103" s="531"/>
      <c r="ULO103" s="530"/>
      <c r="ULP103" s="531"/>
      <c r="ULQ103" s="530"/>
      <c r="ULR103" s="531"/>
      <c r="ULS103" s="530"/>
      <c r="ULT103" s="531"/>
      <c r="ULU103" s="530"/>
      <c r="ULV103" s="531"/>
      <c r="ULW103" s="530"/>
      <c r="ULX103" s="531"/>
      <c r="ULY103" s="530"/>
      <c r="ULZ103" s="531"/>
      <c r="UMA103" s="530"/>
      <c r="UMB103" s="531"/>
      <c r="UMC103" s="530"/>
      <c r="UMD103" s="531"/>
      <c r="UME103" s="530"/>
      <c r="UMF103" s="531"/>
      <c r="UMG103" s="530"/>
      <c r="UMH103" s="531"/>
      <c r="UMI103" s="530"/>
      <c r="UMJ103" s="531"/>
      <c r="UMK103" s="530"/>
      <c r="UML103" s="531"/>
      <c r="UMM103" s="530"/>
      <c r="UMN103" s="531"/>
      <c r="UMO103" s="530"/>
      <c r="UMP103" s="531"/>
      <c r="UMQ103" s="530"/>
      <c r="UMR103" s="531"/>
      <c r="UMS103" s="530"/>
      <c r="UMT103" s="531"/>
      <c r="UMU103" s="530"/>
      <c r="UMV103" s="531"/>
      <c r="UMW103" s="530"/>
      <c r="UMX103" s="531"/>
      <c r="UMY103" s="530"/>
      <c r="UMZ103" s="531"/>
      <c r="UNA103" s="530"/>
      <c r="UNB103" s="531"/>
      <c r="UNC103" s="530"/>
      <c r="UND103" s="531"/>
      <c r="UNE103" s="530"/>
      <c r="UNF103" s="531"/>
      <c r="UNG103" s="530"/>
      <c r="UNH103" s="531"/>
      <c r="UNI103" s="530"/>
      <c r="UNJ103" s="531"/>
      <c r="UNK103" s="530"/>
      <c r="UNL103" s="531"/>
      <c r="UNM103" s="530"/>
      <c r="UNN103" s="531"/>
      <c r="UNO103" s="530"/>
      <c r="UNP103" s="531"/>
      <c r="UNQ103" s="530"/>
      <c r="UNR103" s="531"/>
      <c r="UNS103" s="530"/>
      <c r="UNT103" s="531"/>
      <c r="UNU103" s="530"/>
      <c r="UNV103" s="531"/>
      <c r="UNW103" s="530"/>
      <c r="UNX103" s="531"/>
      <c r="UNY103" s="530"/>
      <c r="UNZ103" s="531"/>
      <c r="UOA103" s="530"/>
      <c r="UOB103" s="531"/>
      <c r="UOC103" s="530"/>
      <c r="UOD103" s="531"/>
      <c r="UOE103" s="530"/>
      <c r="UOF103" s="531"/>
      <c r="UOG103" s="530"/>
      <c r="UOH103" s="531"/>
      <c r="UOI103" s="530"/>
      <c r="UOJ103" s="531"/>
      <c r="UOK103" s="530"/>
      <c r="UOL103" s="531"/>
      <c r="UOM103" s="530"/>
      <c r="UON103" s="531"/>
      <c r="UOO103" s="530"/>
      <c r="UOP103" s="531"/>
      <c r="UOQ103" s="530"/>
      <c r="UOR103" s="531"/>
      <c r="UOS103" s="530"/>
      <c r="UOT103" s="531"/>
      <c r="UOU103" s="530"/>
      <c r="UOV103" s="531"/>
      <c r="UOW103" s="530"/>
      <c r="UOX103" s="531"/>
      <c r="UOY103" s="530"/>
      <c r="UOZ103" s="531"/>
      <c r="UPA103" s="530"/>
      <c r="UPB103" s="531"/>
      <c r="UPC103" s="530"/>
      <c r="UPD103" s="531"/>
      <c r="UPE103" s="530"/>
      <c r="UPF103" s="531"/>
      <c r="UPG103" s="530"/>
      <c r="UPH103" s="531"/>
      <c r="UPI103" s="530"/>
      <c r="UPJ103" s="531"/>
      <c r="UPK103" s="530"/>
      <c r="UPL103" s="531"/>
      <c r="UPM103" s="530"/>
      <c r="UPN103" s="531"/>
      <c r="UPO103" s="530"/>
      <c r="UPP103" s="531"/>
      <c r="UPQ103" s="530"/>
      <c r="UPR103" s="531"/>
      <c r="UPS103" s="530"/>
      <c r="UPT103" s="531"/>
      <c r="UPU103" s="530"/>
      <c r="UPV103" s="531"/>
      <c r="UPW103" s="530"/>
      <c r="UPX103" s="531"/>
      <c r="UPY103" s="530"/>
      <c r="UPZ103" s="531"/>
      <c r="UQA103" s="530"/>
      <c r="UQB103" s="531"/>
      <c r="UQC103" s="530"/>
      <c r="UQD103" s="531"/>
      <c r="UQE103" s="530"/>
      <c r="UQF103" s="531"/>
      <c r="UQG103" s="530"/>
      <c r="UQH103" s="531"/>
      <c r="UQI103" s="530"/>
      <c r="UQJ103" s="531"/>
      <c r="UQK103" s="530"/>
      <c r="UQL103" s="531"/>
      <c r="UQM103" s="530"/>
      <c r="UQN103" s="531"/>
      <c r="UQO103" s="530"/>
      <c r="UQP103" s="531"/>
      <c r="UQQ103" s="530"/>
      <c r="UQR103" s="531"/>
      <c r="UQS103" s="530"/>
      <c r="UQT103" s="531"/>
      <c r="UQU103" s="530"/>
      <c r="UQV103" s="531"/>
      <c r="UQW103" s="530"/>
      <c r="UQX103" s="531"/>
      <c r="UQY103" s="530"/>
      <c r="UQZ103" s="531"/>
      <c r="URA103" s="530"/>
      <c r="URB103" s="531"/>
      <c r="URC103" s="530"/>
      <c r="URD103" s="531"/>
      <c r="URE103" s="530"/>
      <c r="URF103" s="531"/>
      <c r="URG103" s="530"/>
      <c r="URH103" s="531"/>
      <c r="URI103" s="530"/>
      <c r="URJ103" s="531"/>
      <c r="URK103" s="530"/>
      <c r="URL103" s="531"/>
      <c r="URM103" s="530"/>
      <c r="URN103" s="531"/>
      <c r="URO103" s="530"/>
      <c r="URP103" s="531"/>
      <c r="URQ103" s="530"/>
      <c r="URR103" s="531"/>
      <c r="URS103" s="530"/>
      <c r="URT103" s="531"/>
      <c r="URU103" s="530"/>
      <c r="URV103" s="531"/>
      <c r="URW103" s="530"/>
      <c r="URX103" s="531"/>
      <c r="URY103" s="530"/>
      <c r="URZ103" s="531"/>
      <c r="USA103" s="530"/>
      <c r="USB103" s="531"/>
      <c r="USC103" s="530"/>
      <c r="USD103" s="531"/>
      <c r="USE103" s="530"/>
      <c r="USF103" s="531"/>
      <c r="USG103" s="530"/>
      <c r="USH103" s="531"/>
      <c r="USI103" s="530"/>
      <c r="USJ103" s="531"/>
      <c r="USK103" s="530"/>
      <c r="USL103" s="531"/>
      <c r="USM103" s="530"/>
      <c r="USN103" s="531"/>
      <c r="USO103" s="530"/>
      <c r="USP103" s="531"/>
      <c r="USQ103" s="530"/>
      <c r="USR103" s="531"/>
      <c r="USS103" s="530"/>
      <c r="UST103" s="531"/>
      <c r="USU103" s="530"/>
      <c r="USV103" s="531"/>
      <c r="USW103" s="530"/>
      <c r="USX103" s="531"/>
      <c r="USY103" s="530"/>
      <c r="USZ103" s="531"/>
      <c r="UTA103" s="530"/>
      <c r="UTB103" s="531"/>
      <c r="UTC103" s="530"/>
      <c r="UTD103" s="531"/>
      <c r="UTE103" s="530"/>
      <c r="UTF103" s="531"/>
      <c r="UTG103" s="530"/>
      <c r="UTH103" s="531"/>
      <c r="UTI103" s="530"/>
      <c r="UTJ103" s="531"/>
      <c r="UTK103" s="530"/>
      <c r="UTL103" s="531"/>
      <c r="UTM103" s="530"/>
      <c r="UTN103" s="531"/>
      <c r="UTO103" s="530"/>
      <c r="UTP103" s="531"/>
      <c r="UTQ103" s="530"/>
      <c r="UTR103" s="531"/>
      <c r="UTS103" s="530"/>
      <c r="UTT103" s="531"/>
      <c r="UTU103" s="530"/>
      <c r="UTV103" s="531"/>
      <c r="UTW103" s="530"/>
      <c r="UTX103" s="531"/>
      <c r="UTY103" s="530"/>
      <c r="UTZ103" s="531"/>
      <c r="UUA103" s="530"/>
      <c r="UUB103" s="531"/>
      <c r="UUC103" s="530"/>
      <c r="UUD103" s="531"/>
      <c r="UUE103" s="530"/>
      <c r="UUF103" s="531"/>
      <c r="UUG103" s="530"/>
      <c r="UUH103" s="531"/>
      <c r="UUI103" s="530"/>
      <c r="UUJ103" s="531"/>
      <c r="UUK103" s="530"/>
      <c r="UUL103" s="531"/>
      <c r="UUM103" s="530"/>
      <c r="UUN103" s="531"/>
      <c r="UUO103" s="530"/>
      <c r="UUP103" s="531"/>
      <c r="UUQ103" s="530"/>
      <c r="UUR103" s="531"/>
      <c r="UUS103" s="530"/>
      <c r="UUT103" s="531"/>
      <c r="UUU103" s="530"/>
      <c r="UUV103" s="531"/>
      <c r="UUW103" s="530"/>
      <c r="UUX103" s="531"/>
      <c r="UUY103" s="530"/>
      <c r="UUZ103" s="531"/>
      <c r="UVA103" s="530"/>
      <c r="UVB103" s="531"/>
      <c r="UVC103" s="530"/>
      <c r="UVD103" s="531"/>
      <c r="UVE103" s="530"/>
      <c r="UVF103" s="531"/>
      <c r="UVG103" s="530"/>
      <c r="UVH103" s="531"/>
      <c r="UVI103" s="530"/>
      <c r="UVJ103" s="531"/>
      <c r="UVK103" s="530"/>
      <c r="UVL103" s="531"/>
      <c r="UVM103" s="530"/>
      <c r="UVN103" s="531"/>
      <c r="UVO103" s="530"/>
      <c r="UVP103" s="531"/>
      <c r="UVQ103" s="530"/>
      <c r="UVR103" s="531"/>
      <c r="UVS103" s="530"/>
      <c r="UVT103" s="531"/>
      <c r="UVU103" s="530"/>
      <c r="UVV103" s="531"/>
      <c r="UVW103" s="530"/>
      <c r="UVX103" s="531"/>
      <c r="UVY103" s="530"/>
      <c r="UVZ103" s="531"/>
      <c r="UWA103" s="530"/>
      <c r="UWB103" s="531"/>
      <c r="UWC103" s="530"/>
      <c r="UWD103" s="531"/>
      <c r="UWE103" s="530"/>
      <c r="UWF103" s="531"/>
      <c r="UWG103" s="530"/>
      <c r="UWH103" s="531"/>
      <c r="UWI103" s="530"/>
      <c r="UWJ103" s="531"/>
      <c r="UWK103" s="530"/>
      <c r="UWL103" s="531"/>
      <c r="UWM103" s="530"/>
      <c r="UWN103" s="531"/>
      <c r="UWO103" s="530"/>
      <c r="UWP103" s="531"/>
      <c r="UWQ103" s="530"/>
      <c r="UWR103" s="531"/>
      <c r="UWS103" s="530"/>
      <c r="UWT103" s="531"/>
      <c r="UWU103" s="530"/>
      <c r="UWV103" s="531"/>
      <c r="UWW103" s="530"/>
      <c r="UWX103" s="531"/>
      <c r="UWY103" s="530"/>
      <c r="UWZ103" s="531"/>
      <c r="UXA103" s="530"/>
      <c r="UXB103" s="531"/>
      <c r="UXC103" s="530"/>
      <c r="UXD103" s="531"/>
      <c r="UXE103" s="530"/>
      <c r="UXF103" s="531"/>
      <c r="UXG103" s="530"/>
      <c r="UXH103" s="531"/>
      <c r="UXI103" s="530"/>
      <c r="UXJ103" s="531"/>
      <c r="UXK103" s="530"/>
      <c r="UXL103" s="531"/>
      <c r="UXM103" s="530"/>
      <c r="UXN103" s="531"/>
      <c r="UXO103" s="530"/>
      <c r="UXP103" s="531"/>
      <c r="UXQ103" s="530"/>
      <c r="UXR103" s="531"/>
      <c r="UXS103" s="530"/>
      <c r="UXT103" s="531"/>
      <c r="UXU103" s="530"/>
      <c r="UXV103" s="531"/>
      <c r="UXW103" s="530"/>
      <c r="UXX103" s="531"/>
      <c r="UXY103" s="530"/>
      <c r="UXZ103" s="531"/>
      <c r="UYA103" s="530"/>
      <c r="UYB103" s="531"/>
      <c r="UYC103" s="530"/>
      <c r="UYD103" s="531"/>
      <c r="UYE103" s="530"/>
      <c r="UYF103" s="531"/>
      <c r="UYG103" s="530"/>
      <c r="UYH103" s="531"/>
      <c r="UYI103" s="530"/>
      <c r="UYJ103" s="531"/>
      <c r="UYK103" s="530"/>
      <c r="UYL103" s="531"/>
      <c r="UYM103" s="530"/>
      <c r="UYN103" s="531"/>
      <c r="UYO103" s="530"/>
      <c r="UYP103" s="531"/>
      <c r="UYQ103" s="530"/>
      <c r="UYR103" s="531"/>
      <c r="UYS103" s="530"/>
      <c r="UYT103" s="531"/>
      <c r="UYU103" s="530"/>
      <c r="UYV103" s="531"/>
      <c r="UYW103" s="530"/>
      <c r="UYX103" s="531"/>
      <c r="UYY103" s="530"/>
      <c r="UYZ103" s="531"/>
      <c r="UZA103" s="530"/>
      <c r="UZB103" s="531"/>
      <c r="UZC103" s="530"/>
      <c r="UZD103" s="531"/>
      <c r="UZE103" s="530"/>
      <c r="UZF103" s="531"/>
      <c r="UZG103" s="530"/>
      <c r="UZH103" s="531"/>
      <c r="UZI103" s="530"/>
      <c r="UZJ103" s="531"/>
      <c r="UZK103" s="530"/>
      <c r="UZL103" s="531"/>
      <c r="UZM103" s="530"/>
      <c r="UZN103" s="531"/>
      <c r="UZO103" s="530"/>
      <c r="UZP103" s="531"/>
      <c r="UZQ103" s="530"/>
      <c r="UZR103" s="531"/>
      <c r="UZS103" s="530"/>
      <c r="UZT103" s="531"/>
      <c r="UZU103" s="530"/>
      <c r="UZV103" s="531"/>
      <c r="UZW103" s="530"/>
      <c r="UZX103" s="531"/>
      <c r="UZY103" s="530"/>
      <c r="UZZ103" s="531"/>
      <c r="VAA103" s="530"/>
      <c r="VAB103" s="531"/>
      <c r="VAC103" s="530"/>
      <c r="VAD103" s="531"/>
      <c r="VAE103" s="530"/>
      <c r="VAF103" s="531"/>
      <c r="VAG103" s="530"/>
      <c r="VAH103" s="531"/>
      <c r="VAI103" s="530"/>
      <c r="VAJ103" s="531"/>
      <c r="VAK103" s="530"/>
      <c r="VAL103" s="531"/>
      <c r="VAM103" s="530"/>
      <c r="VAN103" s="531"/>
      <c r="VAO103" s="530"/>
      <c r="VAP103" s="531"/>
      <c r="VAQ103" s="530"/>
      <c r="VAR103" s="531"/>
      <c r="VAS103" s="530"/>
      <c r="VAT103" s="531"/>
      <c r="VAU103" s="530"/>
      <c r="VAV103" s="531"/>
      <c r="VAW103" s="530"/>
      <c r="VAX103" s="531"/>
      <c r="VAY103" s="530"/>
      <c r="VAZ103" s="531"/>
      <c r="VBA103" s="530"/>
      <c r="VBB103" s="531"/>
      <c r="VBC103" s="530"/>
      <c r="VBD103" s="531"/>
      <c r="VBE103" s="530"/>
      <c r="VBF103" s="531"/>
      <c r="VBG103" s="530"/>
      <c r="VBH103" s="531"/>
      <c r="VBI103" s="530"/>
      <c r="VBJ103" s="531"/>
      <c r="VBK103" s="530"/>
      <c r="VBL103" s="531"/>
      <c r="VBM103" s="530"/>
      <c r="VBN103" s="531"/>
      <c r="VBO103" s="530"/>
      <c r="VBP103" s="531"/>
      <c r="VBQ103" s="530"/>
      <c r="VBR103" s="531"/>
      <c r="VBS103" s="530"/>
      <c r="VBT103" s="531"/>
      <c r="VBU103" s="530"/>
      <c r="VBV103" s="531"/>
      <c r="VBW103" s="530"/>
      <c r="VBX103" s="531"/>
      <c r="VBY103" s="530"/>
      <c r="VBZ103" s="531"/>
      <c r="VCA103" s="530"/>
      <c r="VCB103" s="531"/>
      <c r="VCC103" s="530"/>
      <c r="VCD103" s="531"/>
      <c r="VCE103" s="530"/>
      <c r="VCF103" s="531"/>
      <c r="VCG103" s="530"/>
      <c r="VCH103" s="531"/>
      <c r="VCI103" s="530"/>
      <c r="VCJ103" s="531"/>
      <c r="VCK103" s="530"/>
      <c r="VCL103" s="531"/>
      <c r="VCM103" s="530"/>
      <c r="VCN103" s="531"/>
      <c r="VCO103" s="530"/>
      <c r="VCP103" s="531"/>
      <c r="VCQ103" s="530"/>
      <c r="VCR103" s="531"/>
      <c r="VCS103" s="530"/>
      <c r="VCT103" s="531"/>
      <c r="VCU103" s="530"/>
      <c r="VCV103" s="531"/>
      <c r="VCW103" s="530"/>
      <c r="VCX103" s="531"/>
      <c r="VCY103" s="530"/>
      <c r="VCZ103" s="531"/>
      <c r="VDA103" s="530"/>
      <c r="VDB103" s="531"/>
      <c r="VDC103" s="530"/>
      <c r="VDD103" s="531"/>
      <c r="VDE103" s="530"/>
      <c r="VDF103" s="531"/>
      <c r="VDG103" s="530"/>
      <c r="VDH103" s="531"/>
      <c r="VDI103" s="530"/>
      <c r="VDJ103" s="531"/>
      <c r="VDK103" s="530"/>
      <c r="VDL103" s="531"/>
      <c r="VDM103" s="530"/>
      <c r="VDN103" s="531"/>
      <c r="VDO103" s="530"/>
      <c r="VDP103" s="531"/>
      <c r="VDQ103" s="530"/>
      <c r="VDR103" s="531"/>
      <c r="VDS103" s="530"/>
      <c r="VDT103" s="531"/>
      <c r="VDU103" s="530"/>
      <c r="VDV103" s="531"/>
      <c r="VDW103" s="530"/>
      <c r="VDX103" s="531"/>
      <c r="VDY103" s="530"/>
      <c r="VDZ103" s="531"/>
      <c r="VEA103" s="530"/>
      <c r="VEB103" s="531"/>
      <c r="VEC103" s="530"/>
      <c r="VED103" s="531"/>
      <c r="VEE103" s="530"/>
      <c r="VEF103" s="531"/>
      <c r="VEG103" s="530"/>
      <c r="VEH103" s="531"/>
      <c r="VEI103" s="530"/>
      <c r="VEJ103" s="531"/>
      <c r="VEK103" s="530"/>
      <c r="VEL103" s="531"/>
      <c r="VEM103" s="530"/>
      <c r="VEN103" s="531"/>
      <c r="VEO103" s="530"/>
      <c r="VEP103" s="531"/>
      <c r="VEQ103" s="530"/>
      <c r="VER103" s="531"/>
      <c r="VES103" s="530"/>
      <c r="VET103" s="531"/>
      <c r="VEU103" s="530"/>
      <c r="VEV103" s="531"/>
      <c r="VEW103" s="530"/>
      <c r="VEX103" s="531"/>
      <c r="VEY103" s="530"/>
      <c r="VEZ103" s="531"/>
      <c r="VFA103" s="530"/>
      <c r="VFB103" s="531"/>
      <c r="VFC103" s="530"/>
      <c r="VFD103" s="531"/>
      <c r="VFE103" s="530"/>
      <c r="VFF103" s="531"/>
      <c r="VFG103" s="530"/>
      <c r="VFH103" s="531"/>
      <c r="VFI103" s="530"/>
      <c r="VFJ103" s="531"/>
      <c r="VFK103" s="530"/>
      <c r="VFL103" s="531"/>
      <c r="VFM103" s="530"/>
      <c r="VFN103" s="531"/>
      <c r="VFO103" s="530"/>
      <c r="VFP103" s="531"/>
      <c r="VFQ103" s="530"/>
      <c r="VFR103" s="531"/>
      <c r="VFS103" s="530"/>
      <c r="VFT103" s="531"/>
      <c r="VFU103" s="530"/>
      <c r="VFV103" s="531"/>
      <c r="VFW103" s="530"/>
      <c r="VFX103" s="531"/>
      <c r="VFY103" s="530"/>
      <c r="VFZ103" s="531"/>
      <c r="VGA103" s="530"/>
      <c r="VGB103" s="531"/>
      <c r="VGC103" s="530"/>
      <c r="VGD103" s="531"/>
      <c r="VGE103" s="530"/>
      <c r="VGF103" s="531"/>
      <c r="VGG103" s="530"/>
      <c r="VGH103" s="531"/>
      <c r="VGI103" s="530"/>
      <c r="VGJ103" s="531"/>
      <c r="VGK103" s="530"/>
      <c r="VGL103" s="531"/>
      <c r="VGM103" s="530"/>
      <c r="VGN103" s="531"/>
      <c r="VGO103" s="530"/>
      <c r="VGP103" s="531"/>
      <c r="VGQ103" s="530"/>
      <c r="VGR103" s="531"/>
      <c r="VGS103" s="530"/>
      <c r="VGT103" s="531"/>
      <c r="VGU103" s="530"/>
      <c r="VGV103" s="531"/>
      <c r="VGW103" s="530"/>
      <c r="VGX103" s="531"/>
      <c r="VGY103" s="530"/>
      <c r="VGZ103" s="531"/>
      <c r="VHA103" s="530"/>
      <c r="VHB103" s="531"/>
      <c r="VHC103" s="530"/>
      <c r="VHD103" s="531"/>
      <c r="VHE103" s="530"/>
      <c r="VHF103" s="531"/>
      <c r="VHG103" s="530"/>
      <c r="VHH103" s="531"/>
      <c r="VHI103" s="530"/>
      <c r="VHJ103" s="531"/>
      <c r="VHK103" s="530"/>
      <c r="VHL103" s="531"/>
      <c r="VHM103" s="530"/>
      <c r="VHN103" s="531"/>
      <c r="VHO103" s="530"/>
      <c r="VHP103" s="531"/>
      <c r="VHQ103" s="530"/>
      <c r="VHR103" s="531"/>
      <c r="VHS103" s="530"/>
      <c r="VHT103" s="531"/>
      <c r="VHU103" s="530"/>
      <c r="VHV103" s="531"/>
      <c r="VHW103" s="530"/>
      <c r="VHX103" s="531"/>
      <c r="VHY103" s="530"/>
      <c r="VHZ103" s="531"/>
      <c r="VIA103" s="530"/>
      <c r="VIB103" s="531"/>
      <c r="VIC103" s="530"/>
      <c r="VID103" s="531"/>
      <c r="VIE103" s="530"/>
      <c r="VIF103" s="531"/>
      <c r="VIG103" s="530"/>
      <c r="VIH103" s="531"/>
      <c r="VII103" s="530"/>
      <c r="VIJ103" s="531"/>
      <c r="VIK103" s="530"/>
      <c r="VIL103" s="531"/>
      <c r="VIM103" s="530"/>
      <c r="VIN103" s="531"/>
      <c r="VIO103" s="530"/>
      <c r="VIP103" s="531"/>
      <c r="VIQ103" s="530"/>
      <c r="VIR103" s="531"/>
      <c r="VIS103" s="530"/>
      <c r="VIT103" s="531"/>
      <c r="VIU103" s="530"/>
      <c r="VIV103" s="531"/>
      <c r="VIW103" s="530"/>
      <c r="VIX103" s="531"/>
      <c r="VIY103" s="530"/>
      <c r="VIZ103" s="531"/>
      <c r="VJA103" s="530"/>
      <c r="VJB103" s="531"/>
      <c r="VJC103" s="530"/>
      <c r="VJD103" s="531"/>
      <c r="VJE103" s="530"/>
      <c r="VJF103" s="531"/>
      <c r="VJG103" s="530"/>
      <c r="VJH103" s="531"/>
      <c r="VJI103" s="530"/>
      <c r="VJJ103" s="531"/>
      <c r="VJK103" s="530"/>
      <c r="VJL103" s="531"/>
      <c r="VJM103" s="530"/>
      <c r="VJN103" s="531"/>
      <c r="VJO103" s="530"/>
      <c r="VJP103" s="531"/>
      <c r="VJQ103" s="530"/>
      <c r="VJR103" s="531"/>
      <c r="VJS103" s="530"/>
      <c r="VJT103" s="531"/>
      <c r="VJU103" s="530"/>
      <c r="VJV103" s="531"/>
      <c r="VJW103" s="530"/>
      <c r="VJX103" s="531"/>
      <c r="VJY103" s="530"/>
      <c r="VJZ103" s="531"/>
      <c r="VKA103" s="530"/>
      <c r="VKB103" s="531"/>
      <c r="VKC103" s="530"/>
      <c r="VKD103" s="531"/>
      <c r="VKE103" s="530"/>
      <c r="VKF103" s="531"/>
      <c r="VKG103" s="530"/>
      <c r="VKH103" s="531"/>
      <c r="VKI103" s="530"/>
      <c r="VKJ103" s="531"/>
      <c r="VKK103" s="530"/>
      <c r="VKL103" s="531"/>
      <c r="VKM103" s="530"/>
      <c r="VKN103" s="531"/>
      <c r="VKO103" s="530"/>
      <c r="VKP103" s="531"/>
      <c r="VKQ103" s="530"/>
      <c r="VKR103" s="531"/>
      <c r="VKS103" s="530"/>
      <c r="VKT103" s="531"/>
      <c r="VKU103" s="530"/>
      <c r="VKV103" s="531"/>
      <c r="VKW103" s="530"/>
      <c r="VKX103" s="531"/>
      <c r="VKY103" s="530"/>
      <c r="VKZ103" s="531"/>
      <c r="VLA103" s="530"/>
      <c r="VLB103" s="531"/>
      <c r="VLC103" s="530"/>
      <c r="VLD103" s="531"/>
      <c r="VLE103" s="530"/>
      <c r="VLF103" s="531"/>
      <c r="VLG103" s="530"/>
      <c r="VLH103" s="531"/>
      <c r="VLI103" s="530"/>
      <c r="VLJ103" s="531"/>
      <c r="VLK103" s="530"/>
      <c r="VLL103" s="531"/>
      <c r="VLM103" s="530"/>
      <c r="VLN103" s="531"/>
      <c r="VLO103" s="530"/>
      <c r="VLP103" s="531"/>
      <c r="VLQ103" s="530"/>
      <c r="VLR103" s="531"/>
      <c r="VLS103" s="530"/>
      <c r="VLT103" s="531"/>
      <c r="VLU103" s="530"/>
      <c r="VLV103" s="531"/>
      <c r="VLW103" s="530"/>
      <c r="VLX103" s="531"/>
      <c r="VLY103" s="530"/>
      <c r="VLZ103" s="531"/>
      <c r="VMA103" s="530"/>
      <c r="VMB103" s="531"/>
      <c r="VMC103" s="530"/>
      <c r="VMD103" s="531"/>
      <c r="VME103" s="530"/>
      <c r="VMF103" s="531"/>
      <c r="VMG103" s="530"/>
      <c r="VMH103" s="531"/>
      <c r="VMI103" s="530"/>
      <c r="VMJ103" s="531"/>
      <c r="VMK103" s="530"/>
      <c r="VML103" s="531"/>
      <c r="VMM103" s="530"/>
      <c r="VMN103" s="531"/>
      <c r="VMO103" s="530"/>
      <c r="VMP103" s="531"/>
      <c r="VMQ103" s="530"/>
      <c r="VMR103" s="531"/>
      <c r="VMS103" s="530"/>
      <c r="VMT103" s="531"/>
      <c r="VMU103" s="530"/>
      <c r="VMV103" s="531"/>
      <c r="VMW103" s="530"/>
      <c r="VMX103" s="531"/>
      <c r="VMY103" s="530"/>
      <c r="VMZ103" s="531"/>
      <c r="VNA103" s="530"/>
      <c r="VNB103" s="531"/>
      <c r="VNC103" s="530"/>
      <c r="VND103" s="531"/>
      <c r="VNE103" s="530"/>
      <c r="VNF103" s="531"/>
      <c r="VNG103" s="530"/>
      <c r="VNH103" s="531"/>
      <c r="VNI103" s="530"/>
      <c r="VNJ103" s="531"/>
      <c r="VNK103" s="530"/>
      <c r="VNL103" s="531"/>
      <c r="VNM103" s="530"/>
      <c r="VNN103" s="531"/>
      <c r="VNO103" s="530"/>
      <c r="VNP103" s="531"/>
      <c r="VNQ103" s="530"/>
      <c r="VNR103" s="531"/>
      <c r="VNS103" s="530"/>
      <c r="VNT103" s="531"/>
      <c r="VNU103" s="530"/>
      <c r="VNV103" s="531"/>
      <c r="VNW103" s="530"/>
      <c r="VNX103" s="531"/>
      <c r="VNY103" s="530"/>
      <c r="VNZ103" s="531"/>
      <c r="VOA103" s="530"/>
      <c r="VOB103" s="531"/>
      <c r="VOC103" s="530"/>
      <c r="VOD103" s="531"/>
      <c r="VOE103" s="530"/>
      <c r="VOF103" s="531"/>
      <c r="VOG103" s="530"/>
      <c r="VOH103" s="531"/>
      <c r="VOI103" s="530"/>
      <c r="VOJ103" s="531"/>
      <c r="VOK103" s="530"/>
      <c r="VOL103" s="531"/>
      <c r="VOM103" s="530"/>
      <c r="VON103" s="531"/>
      <c r="VOO103" s="530"/>
      <c r="VOP103" s="531"/>
      <c r="VOQ103" s="530"/>
      <c r="VOR103" s="531"/>
      <c r="VOS103" s="530"/>
      <c r="VOT103" s="531"/>
      <c r="VOU103" s="530"/>
      <c r="VOV103" s="531"/>
      <c r="VOW103" s="530"/>
      <c r="VOX103" s="531"/>
      <c r="VOY103" s="530"/>
      <c r="VOZ103" s="531"/>
      <c r="VPA103" s="530"/>
      <c r="VPB103" s="531"/>
      <c r="VPC103" s="530"/>
      <c r="VPD103" s="531"/>
      <c r="VPE103" s="530"/>
      <c r="VPF103" s="531"/>
      <c r="VPG103" s="530"/>
      <c r="VPH103" s="531"/>
      <c r="VPI103" s="530"/>
      <c r="VPJ103" s="531"/>
      <c r="VPK103" s="530"/>
      <c r="VPL103" s="531"/>
      <c r="VPM103" s="530"/>
      <c r="VPN103" s="531"/>
      <c r="VPO103" s="530"/>
      <c r="VPP103" s="531"/>
      <c r="VPQ103" s="530"/>
      <c r="VPR103" s="531"/>
      <c r="VPS103" s="530"/>
      <c r="VPT103" s="531"/>
      <c r="VPU103" s="530"/>
      <c r="VPV103" s="531"/>
      <c r="VPW103" s="530"/>
      <c r="VPX103" s="531"/>
      <c r="VPY103" s="530"/>
      <c r="VPZ103" s="531"/>
      <c r="VQA103" s="530"/>
      <c r="VQB103" s="531"/>
      <c r="VQC103" s="530"/>
      <c r="VQD103" s="531"/>
      <c r="VQE103" s="530"/>
      <c r="VQF103" s="531"/>
      <c r="VQG103" s="530"/>
      <c r="VQH103" s="531"/>
      <c r="VQI103" s="530"/>
      <c r="VQJ103" s="531"/>
      <c r="VQK103" s="530"/>
      <c r="VQL103" s="531"/>
      <c r="VQM103" s="530"/>
      <c r="VQN103" s="531"/>
      <c r="VQO103" s="530"/>
      <c r="VQP103" s="531"/>
      <c r="VQQ103" s="530"/>
      <c r="VQR103" s="531"/>
      <c r="VQS103" s="530"/>
      <c r="VQT103" s="531"/>
      <c r="VQU103" s="530"/>
      <c r="VQV103" s="531"/>
      <c r="VQW103" s="530"/>
      <c r="VQX103" s="531"/>
      <c r="VQY103" s="530"/>
      <c r="VQZ103" s="531"/>
      <c r="VRA103" s="530"/>
      <c r="VRB103" s="531"/>
      <c r="VRC103" s="530"/>
      <c r="VRD103" s="531"/>
      <c r="VRE103" s="530"/>
      <c r="VRF103" s="531"/>
      <c r="VRG103" s="530"/>
      <c r="VRH103" s="531"/>
      <c r="VRI103" s="530"/>
      <c r="VRJ103" s="531"/>
      <c r="VRK103" s="530"/>
      <c r="VRL103" s="531"/>
      <c r="VRM103" s="530"/>
      <c r="VRN103" s="531"/>
      <c r="VRO103" s="530"/>
      <c r="VRP103" s="531"/>
      <c r="VRQ103" s="530"/>
      <c r="VRR103" s="531"/>
      <c r="VRS103" s="530"/>
      <c r="VRT103" s="531"/>
      <c r="VRU103" s="530"/>
      <c r="VRV103" s="531"/>
      <c r="VRW103" s="530"/>
      <c r="VRX103" s="531"/>
      <c r="VRY103" s="530"/>
      <c r="VRZ103" s="531"/>
      <c r="VSA103" s="530"/>
      <c r="VSB103" s="531"/>
      <c r="VSC103" s="530"/>
      <c r="VSD103" s="531"/>
      <c r="VSE103" s="530"/>
      <c r="VSF103" s="531"/>
      <c r="VSG103" s="530"/>
      <c r="VSH103" s="531"/>
      <c r="VSI103" s="530"/>
      <c r="VSJ103" s="531"/>
      <c r="VSK103" s="530"/>
      <c r="VSL103" s="531"/>
      <c r="VSM103" s="530"/>
      <c r="VSN103" s="531"/>
      <c r="VSO103" s="530"/>
      <c r="VSP103" s="531"/>
      <c r="VSQ103" s="530"/>
      <c r="VSR103" s="531"/>
      <c r="VSS103" s="530"/>
      <c r="VST103" s="531"/>
      <c r="VSU103" s="530"/>
      <c r="VSV103" s="531"/>
      <c r="VSW103" s="530"/>
      <c r="VSX103" s="531"/>
      <c r="VSY103" s="530"/>
      <c r="VSZ103" s="531"/>
      <c r="VTA103" s="530"/>
      <c r="VTB103" s="531"/>
      <c r="VTC103" s="530"/>
      <c r="VTD103" s="531"/>
      <c r="VTE103" s="530"/>
      <c r="VTF103" s="531"/>
      <c r="VTG103" s="530"/>
      <c r="VTH103" s="531"/>
      <c r="VTI103" s="530"/>
      <c r="VTJ103" s="531"/>
      <c r="VTK103" s="530"/>
      <c r="VTL103" s="531"/>
      <c r="VTM103" s="530"/>
      <c r="VTN103" s="531"/>
      <c r="VTO103" s="530"/>
      <c r="VTP103" s="531"/>
      <c r="VTQ103" s="530"/>
      <c r="VTR103" s="531"/>
      <c r="VTS103" s="530"/>
      <c r="VTT103" s="531"/>
      <c r="VTU103" s="530"/>
      <c r="VTV103" s="531"/>
      <c r="VTW103" s="530"/>
      <c r="VTX103" s="531"/>
      <c r="VTY103" s="530"/>
      <c r="VTZ103" s="531"/>
      <c r="VUA103" s="530"/>
      <c r="VUB103" s="531"/>
      <c r="VUC103" s="530"/>
      <c r="VUD103" s="531"/>
      <c r="VUE103" s="530"/>
      <c r="VUF103" s="531"/>
      <c r="VUG103" s="530"/>
      <c r="VUH103" s="531"/>
      <c r="VUI103" s="530"/>
      <c r="VUJ103" s="531"/>
      <c r="VUK103" s="530"/>
      <c r="VUL103" s="531"/>
      <c r="VUM103" s="530"/>
      <c r="VUN103" s="531"/>
      <c r="VUO103" s="530"/>
      <c r="VUP103" s="531"/>
      <c r="VUQ103" s="530"/>
      <c r="VUR103" s="531"/>
      <c r="VUS103" s="530"/>
      <c r="VUT103" s="531"/>
      <c r="VUU103" s="530"/>
      <c r="VUV103" s="531"/>
      <c r="VUW103" s="530"/>
      <c r="VUX103" s="531"/>
      <c r="VUY103" s="530"/>
      <c r="VUZ103" s="531"/>
      <c r="VVA103" s="530"/>
      <c r="VVB103" s="531"/>
      <c r="VVC103" s="530"/>
      <c r="VVD103" s="531"/>
      <c r="VVE103" s="530"/>
      <c r="VVF103" s="531"/>
      <c r="VVG103" s="530"/>
      <c r="VVH103" s="531"/>
      <c r="VVI103" s="530"/>
      <c r="VVJ103" s="531"/>
      <c r="VVK103" s="530"/>
      <c r="VVL103" s="531"/>
      <c r="VVM103" s="530"/>
      <c r="VVN103" s="531"/>
      <c r="VVO103" s="530"/>
      <c r="VVP103" s="531"/>
      <c r="VVQ103" s="530"/>
      <c r="VVR103" s="531"/>
      <c r="VVS103" s="530"/>
      <c r="VVT103" s="531"/>
      <c r="VVU103" s="530"/>
      <c r="VVV103" s="531"/>
      <c r="VVW103" s="530"/>
      <c r="VVX103" s="531"/>
      <c r="VVY103" s="530"/>
      <c r="VVZ103" s="531"/>
      <c r="VWA103" s="530"/>
      <c r="VWB103" s="531"/>
      <c r="VWC103" s="530"/>
      <c r="VWD103" s="531"/>
      <c r="VWE103" s="530"/>
      <c r="VWF103" s="531"/>
      <c r="VWG103" s="530"/>
      <c r="VWH103" s="531"/>
      <c r="VWI103" s="530"/>
      <c r="VWJ103" s="531"/>
      <c r="VWK103" s="530"/>
      <c r="VWL103" s="531"/>
      <c r="VWM103" s="530"/>
      <c r="VWN103" s="531"/>
      <c r="VWO103" s="530"/>
      <c r="VWP103" s="531"/>
      <c r="VWQ103" s="530"/>
      <c r="VWR103" s="531"/>
      <c r="VWS103" s="530"/>
      <c r="VWT103" s="531"/>
      <c r="VWU103" s="530"/>
      <c r="VWV103" s="531"/>
      <c r="VWW103" s="530"/>
      <c r="VWX103" s="531"/>
      <c r="VWY103" s="530"/>
      <c r="VWZ103" s="531"/>
      <c r="VXA103" s="530"/>
      <c r="VXB103" s="531"/>
      <c r="VXC103" s="530"/>
      <c r="VXD103" s="531"/>
      <c r="VXE103" s="530"/>
      <c r="VXF103" s="531"/>
      <c r="VXG103" s="530"/>
      <c r="VXH103" s="531"/>
      <c r="VXI103" s="530"/>
      <c r="VXJ103" s="531"/>
      <c r="VXK103" s="530"/>
      <c r="VXL103" s="531"/>
      <c r="VXM103" s="530"/>
      <c r="VXN103" s="531"/>
      <c r="VXO103" s="530"/>
      <c r="VXP103" s="531"/>
      <c r="VXQ103" s="530"/>
      <c r="VXR103" s="531"/>
      <c r="VXS103" s="530"/>
      <c r="VXT103" s="531"/>
      <c r="VXU103" s="530"/>
      <c r="VXV103" s="531"/>
      <c r="VXW103" s="530"/>
      <c r="VXX103" s="531"/>
      <c r="VXY103" s="530"/>
      <c r="VXZ103" s="531"/>
      <c r="VYA103" s="530"/>
      <c r="VYB103" s="531"/>
      <c r="VYC103" s="530"/>
      <c r="VYD103" s="531"/>
      <c r="VYE103" s="530"/>
      <c r="VYF103" s="531"/>
      <c r="VYG103" s="530"/>
      <c r="VYH103" s="531"/>
      <c r="VYI103" s="530"/>
      <c r="VYJ103" s="531"/>
      <c r="VYK103" s="530"/>
      <c r="VYL103" s="531"/>
      <c r="VYM103" s="530"/>
      <c r="VYN103" s="531"/>
      <c r="VYO103" s="530"/>
      <c r="VYP103" s="531"/>
      <c r="VYQ103" s="530"/>
      <c r="VYR103" s="531"/>
      <c r="VYS103" s="530"/>
      <c r="VYT103" s="531"/>
      <c r="VYU103" s="530"/>
      <c r="VYV103" s="531"/>
      <c r="VYW103" s="530"/>
      <c r="VYX103" s="531"/>
      <c r="VYY103" s="530"/>
      <c r="VYZ103" s="531"/>
      <c r="VZA103" s="530"/>
      <c r="VZB103" s="531"/>
      <c r="VZC103" s="530"/>
      <c r="VZD103" s="531"/>
      <c r="VZE103" s="530"/>
      <c r="VZF103" s="531"/>
      <c r="VZG103" s="530"/>
      <c r="VZH103" s="531"/>
      <c r="VZI103" s="530"/>
      <c r="VZJ103" s="531"/>
      <c r="VZK103" s="530"/>
      <c r="VZL103" s="531"/>
      <c r="VZM103" s="530"/>
      <c r="VZN103" s="531"/>
      <c r="VZO103" s="530"/>
      <c r="VZP103" s="531"/>
      <c r="VZQ103" s="530"/>
      <c r="VZR103" s="531"/>
      <c r="VZS103" s="530"/>
      <c r="VZT103" s="531"/>
      <c r="VZU103" s="530"/>
      <c r="VZV103" s="531"/>
      <c r="VZW103" s="530"/>
      <c r="VZX103" s="531"/>
      <c r="VZY103" s="530"/>
      <c r="VZZ103" s="531"/>
      <c r="WAA103" s="530"/>
      <c r="WAB103" s="531"/>
      <c r="WAC103" s="530"/>
      <c r="WAD103" s="531"/>
      <c r="WAE103" s="530"/>
      <c r="WAF103" s="531"/>
      <c r="WAG103" s="530"/>
      <c r="WAH103" s="531"/>
      <c r="WAI103" s="530"/>
      <c r="WAJ103" s="531"/>
      <c r="WAK103" s="530"/>
      <c r="WAL103" s="531"/>
      <c r="WAM103" s="530"/>
      <c r="WAN103" s="531"/>
      <c r="WAO103" s="530"/>
      <c r="WAP103" s="531"/>
      <c r="WAQ103" s="530"/>
      <c r="WAR103" s="531"/>
      <c r="WAS103" s="530"/>
      <c r="WAT103" s="531"/>
      <c r="WAU103" s="530"/>
      <c r="WAV103" s="531"/>
      <c r="WAW103" s="530"/>
      <c r="WAX103" s="531"/>
      <c r="WAY103" s="530"/>
      <c r="WAZ103" s="531"/>
      <c r="WBA103" s="530"/>
      <c r="WBB103" s="531"/>
      <c r="WBC103" s="530"/>
      <c r="WBD103" s="531"/>
      <c r="WBE103" s="530"/>
      <c r="WBF103" s="531"/>
      <c r="WBG103" s="530"/>
      <c r="WBH103" s="531"/>
      <c r="WBI103" s="530"/>
      <c r="WBJ103" s="531"/>
      <c r="WBK103" s="530"/>
      <c r="WBL103" s="531"/>
      <c r="WBM103" s="530"/>
      <c r="WBN103" s="531"/>
      <c r="WBO103" s="530"/>
      <c r="WBP103" s="531"/>
      <c r="WBQ103" s="530"/>
      <c r="WBR103" s="531"/>
      <c r="WBS103" s="530"/>
      <c r="WBT103" s="531"/>
      <c r="WBU103" s="530"/>
      <c r="WBV103" s="531"/>
      <c r="WBW103" s="530"/>
      <c r="WBX103" s="531"/>
      <c r="WBY103" s="530"/>
      <c r="WBZ103" s="531"/>
      <c r="WCA103" s="530"/>
      <c r="WCB103" s="531"/>
      <c r="WCC103" s="530"/>
      <c r="WCD103" s="531"/>
      <c r="WCE103" s="530"/>
      <c r="WCF103" s="531"/>
      <c r="WCG103" s="530"/>
      <c r="WCH103" s="531"/>
      <c r="WCI103" s="530"/>
      <c r="WCJ103" s="531"/>
      <c r="WCK103" s="530"/>
      <c r="WCL103" s="531"/>
      <c r="WCM103" s="530"/>
      <c r="WCN103" s="531"/>
      <c r="WCO103" s="530"/>
      <c r="WCP103" s="531"/>
      <c r="WCQ103" s="530"/>
      <c r="WCR103" s="531"/>
      <c r="WCS103" s="530"/>
      <c r="WCT103" s="531"/>
      <c r="WCU103" s="530"/>
      <c r="WCV103" s="531"/>
      <c r="WCW103" s="530"/>
      <c r="WCX103" s="531"/>
      <c r="WCY103" s="530"/>
      <c r="WCZ103" s="531"/>
      <c r="WDA103" s="530"/>
      <c r="WDB103" s="531"/>
      <c r="WDC103" s="530"/>
      <c r="WDD103" s="531"/>
      <c r="WDE103" s="530"/>
      <c r="WDF103" s="531"/>
      <c r="WDG103" s="530"/>
      <c r="WDH103" s="531"/>
      <c r="WDI103" s="530"/>
      <c r="WDJ103" s="531"/>
      <c r="WDK103" s="530"/>
      <c r="WDL103" s="531"/>
      <c r="WDM103" s="530"/>
      <c r="WDN103" s="531"/>
      <c r="WDO103" s="530"/>
      <c r="WDP103" s="531"/>
      <c r="WDQ103" s="530"/>
      <c r="WDR103" s="531"/>
      <c r="WDS103" s="530"/>
      <c r="WDT103" s="531"/>
      <c r="WDU103" s="530"/>
      <c r="WDV103" s="531"/>
      <c r="WDW103" s="530"/>
      <c r="WDX103" s="531"/>
      <c r="WDY103" s="530"/>
      <c r="WDZ103" s="531"/>
      <c r="WEA103" s="530"/>
      <c r="WEB103" s="531"/>
      <c r="WEC103" s="530"/>
      <c r="WED103" s="531"/>
      <c r="WEE103" s="530"/>
      <c r="WEF103" s="531"/>
      <c r="WEG103" s="530"/>
      <c r="WEH103" s="531"/>
      <c r="WEI103" s="530"/>
      <c r="WEJ103" s="531"/>
      <c r="WEK103" s="530"/>
      <c r="WEL103" s="531"/>
      <c r="WEM103" s="530"/>
      <c r="WEN103" s="531"/>
      <c r="WEO103" s="530"/>
      <c r="WEP103" s="531"/>
      <c r="WEQ103" s="530"/>
      <c r="WER103" s="531"/>
      <c r="WES103" s="530"/>
      <c r="WET103" s="531"/>
      <c r="WEU103" s="530"/>
      <c r="WEV103" s="531"/>
      <c r="WEW103" s="530"/>
      <c r="WEX103" s="531"/>
      <c r="WEY103" s="530"/>
      <c r="WEZ103" s="531"/>
      <c r="WFA103" s="530"/>
      <c r="WFB103" s="531"/>
      <c r="WFC103" s="530"/>
      <c r="WFD103" s="531"/>
      <c r="WFE103" s="530"/>
      <c r="WFF103" s="531"/>
      <c r="WFG103" s="530"/>
      <c r="WFH103" s="531"/>
      <c r="WFI103" s="530"/>
      <c r="WFJ103" s="531"/>
      <c r="WFK103" s="530"/>
      <c r="WFL103" s="531"/>
      <c r="WFM103" s="530"/>
      <c r="WFN103" s="531"/>
      <c r="WFO103" s="530"/>
      <c r="WFP103" s="531"/>
      <c r="WFQ103" s="530"/>
      <c r="WFR103" s="531"/>
      <c r="WFS103" s="530"/>
      <c r="WFT103" s="531"/>
      <c r="WFU103" s="530"/>
      <c r="WFV103" s="531"/>
      <c r="WFW103" s="530"/>
      <c r="WFX103" s="531"/>
      <c r="WFY103" s="530"/>
      <c r="WFZ103" s="531"/>
      <c r="WGA103" s="530"/>
      <c r="WGB103" s="531"/>
      <c r="WGC103" s="530"/>
      <c r="WGD103" s="531"/>
      <c r="WGE103" s="530"/>
      <c r="WGF103" s="531"/>
      <c r="WGG103" s="530"/>
      <c r="WGH103" s="531"/>
      <c r="WGI103" s="530"/>
      <c r="WGJ103" s="531"/>
      <c r="WGK103" s="530"/>
      <c r="WGL103" s="531"/>
      <c r="WGM103" s="530"/>
      <c r="WGN103" s="531"/>
      <c r="WGO103" s="530"/>
      <c r="WGP103" s="531"/>
      <c r="WGQ103" s="530"/>
      <c r="WGR103" s="531"/>
      <c r="WGS103" s="530"/>
      <c r="WGT103" s="531"/>
      <c r="WGU103" s="530"/>
      <c r="WGV103" s="531"/>
      <c r="WGW103" s="530"/>
      <c r="WGX103" s="531"/>
      <c r="WGY103" s="530"/>
      <c r="WGZ103" s="531"/>
      <c r="WHA103" s="530"/>
      <c r="WHB103" s="531"/>
      <c r="WHC103" s="530"/>
      <c r="WHD103" s="531"/>
      <c r="WHE103" s="530"/>
      <c r="WHF103" s="531"/>
      <c r="WHG103" s="530"/>
      <c r="WHH103" s="531"/>
      <c r="WHI103" s="530"/>
      <c r="WHJ103" s="531"/>
      <c r="WHK103" s="530"/>
      <c r="WHL103" s="531"/>
      <c r="WHM103" s="530"/>
      <c r="WHN103" s="531"/>
      <c r="WHO103" s="530"/>
      <c r="WHP103" s="531"/>
      <c r="WHQ103" s="530"/>
      <c r="WHR103" s="531"/>
      <c r="WHS103" s="530"/>
      <c r="WHT103" s="531"/>
      <c r="WHU103" s="530"/>
      <c r="WHV103" s="531"/>
      <c r="WHW103" s="530"/>
      <c r="WHX103" s="531"/>
      <c r="WHY103" s="530"/>
      <c r="WHZ103" s="531"/>
      <c r="WIA103" s="530"/>
      <c r="WIB103" s="531"/>
      <c r="WIC103" s="530"/>
      <c r="WID103" s="531"/>
      <c r="WIE103" s="530"/>
      <c r="WIF103" s="531"/>
      <c r="WIG103" s="530"/>
      <c r="WIH103" s="531"/>
      <c r="WII103" s="530"/>
      <c r="WIJ103" s="531"/>
      <c r="WIK103" s="530"/>
      <c r="WIL103" s="531"/>
      <c r="WIM103" s="530"/>
      <c r="WIN103" s="531"/>
      <c r="WIO103" s="530"/>
      <c r="WIP103" s="531"/>
      <c r="WIQ103" s="530"/>
      <c r="WIR103" s="531"/>
      <c r="WIS103" s="530"/>
      <c r="WIT103" s="531"/>
      <c r="WIU103" s="530"/>
      <c r="WIV103" s="531"/>
      <c r="WIW103" s="530"/>
      <c r="WIX103" s="531"/>
      <c r="WIY103" s="530"/>
      <c r="WIZ103" s="531"/>
      <c r="WJA103" s="530"/>
      <c r="WJB103" s="531"/>
      <c r="WJC103" s="530"/>
      <c r="WJD103" s="531"/>
      <c r="WJE103" s="530"/>
      <c r="WJF103" s="531"/>
      <c r="WJG103" s="530"/>
      <c r="WJH103" s="531"/>
      <c r="WJI103" s="530"/>
      <c r="WJJ103" s="531"/>
      <c r="WJK103" s="530"/>
      <c r="WJL103" s="531"/>
      <c r="WJM103" s="530"/>
      <c r="WJN103" s="531"/>
      <c r="WJO103" s="530"/>
      <c r="WJP103" s="531"/>
      <c r="WJQ103" s="530"/>
      <c r="WJR103" s="531"/>
      <c r="WJS103" s="530"/>
      <c r="WJT103" s="531"/>
      <c r="WJU103" s="530"/>
      <c r="WJV103" s="531"/>
      <c r="WJW103" s="530"/>
      <c r="WJX103" s="531"/>
      <c r="WJY103" s="530"/>
      <c r="WJZ103" s="531"/>
      <c r="WKA103" s="530"/>
      <c r="WKB103" s="531"/>
      <c r="WKC103" s="530"/>
      <c r="WKD103" s="531"/>
      <c r="WKE103" s="530"/>
      <c r="WKF103" s="531"/>
      <c r="WKG103" s="530"/>
      <c r="WKH103" s="531"/>
      <c r="WKI103" s="530"/>
      <c r="WKJ103" s="531"/>
      <c r="WKK103" s="530"/>
      <c r="WKL103" s="531"/>
      <c r="WKM103" s="530"/>
      <c r="WKN103" s="531"/>
      <c r="WKO103" s="530"/>
      <c r="WKP103" s="531"/>
      <c r="WKQ103" s="530"/>
      <c r="WKR103" s="531"/>
      <c r="WKS103" s="530"/>
      <c r="WKT103" s="531"/>
      <c r="WKU103" s="530"/>
      <c r="WKV103" s="531"/>
      <c r="WKW103" s="530"/>
      <c r="WKX103" s="531"/>
      <c r="WKY103" s="530"/>
      <c r="WKZ103" s="531"/>
      <c r="WLA103" s="530"/>
      <c r="WLB103" s="531"/>
      <c r="WLC103" s="530"/>
      <c r="WLD103" s="531"/>
      <c r="WLE103" s="530"/>
      <c r="WLF103" s="531"/>
      <c r="WLG103" s="530"/>
      <c r="WLH103" s="531"/>
      <c r="WLI103" s="530"/>
      <c r="WLJ103" s="531"/>
      <c r="WLK103" s="530"/>
      <c r="WLL103" s="531"/>
      <c r="WLM103" s="530"/>
      <c r="WLN103" s="531"/>
      <c r="WLO103" s="530"/>
      <c r="WLP103" s="531"/>
      <c r="WLQ103" s="530"/>
      <c r="WLR103" s="531"/>
      <c r="WLS103" s="530"/>
      <c r="WLT103" s="531"/>
      <c r="WLU103" s="530"/>
      <c r="WLV103" s="531"/>
      <c r="WLW103" s="530"/>
      <c r="WLX103" s="531"/>
      <c r="WLY103" s="530"/>
      <c r="WLZ103" s="531"/>
      <c r="WMA103" s="530"/>
      <c r="WMB103" s="531"/>
      <c r="WMC103" s="530"/>
      <c r="WMD103" s="531"/>
      <c r="WME103" s="530"/>
      <c r="WMF103" s="531"/>
      <c r="WMG103" s="530"/>
      <c r="WMH103" s="531"/>
      <c r="WMI103" s="530"/>
      <c r="WMJ103" s="531"/>
      <c r="WMK103" s="530"/>
      <c r="WML103" s="531"/>
      <c r="WMM103" s="530"/>
      <c r="WMN103" s="531"/>
      <c r="WMO103" s="530"/>
      <c r="WMP103" s="531"/>
      <c r="WMQ103" s="530"/>
      <c r="WMR103" s="531"/>
      <c r="WMS103" s="530"/>
      <c r="WMT103" s="531"/>
      <c r="WMU103" s="530"/>
      <c r="WMV103" s="531"/>
      <c r="WMW103" s="530"/>
      <c r="WMX103" s="531"/>
      <c r="WMY103" s="530"/>
      <c r="WMZ103" s="531"/>
      <c r="WNA103" s="530"/>
      <c r="WNB103" s="531"/>
      <c r="WNC103" s="530"/>
      <c r="WND103" s="531"/>
      <c r="WNE103" s="530"/>
      <c r="WNF103" s="531"/>
      <c r="WNG103" s="530"/>
      <c r="WNH103" s="531"/>
      <c r="WNI103" s="530"/>
      <c r="WNJ103" s="531"/>
      <c r="WNK103" s="530"/>
      <c r="WNL103" s="531"/>
      <c r="WNM103" s="530"/>
      <c r="WNN103" s="531"/>
      <c r="WNO103" s="530"/>
      <c r="WNP103" s="531"/>
      <c r="WNQ103" s="530"/>
      <c r="WNR103" s="531"/>
      <c r="WNS103" s="530"/>
      <c r="WNT103" s="531"/>
      <c r="WNU103" s="530"/>
      <c r="WNV103" s="531"/>
      <c r="WNW103" s="530"/>
      <c r="WNX103" s="531"/>
      <c r="WNY103" s="530"/>
      <c r="WNZ103" s="531"/>
      <c r="WOA103" s="530"/>
      <c r="WOB103" s="531"/>
      <c r="WOC103" s="530"/>
      <c r="WOD103" s="531"/>
      <c r="WOE103" s="530"/>
      <c r="WOF103" s="531"/>
      <c r="WOG103" s="530"/>
      <c r="WOH103" s="531"/>
      <c r="WOI103" s="530"/>
      <c r="WOJ103" s="531"/>
      <c r="WOK103" s="530"/>
      <c r="WOL103" s="531"/>
      <c r="WOM103" s="530"/>
      <c r="WON103" s="531"/>
      <c r="WOO103" s="530"/>
      <c r="WOP103" s="531"/>
      <c r="WOQ103" s="530"/>
      <c r="WOR103" s="531"/>
      <c r="WOS103" s="530"/>
      <c r="WOT103" s="531"/>
      <c r="WOU103" s="530"/>
      <c r="WOV103" s="531"/>
      <c r="WOW103" s="530"/>
      <c r="WOX103" s="531"/>
      <c r="WOY103" s="530"/>
      <c r="WOZ103" s="531"/>
      <c r="WPA103" s="530"/>
      <c r="WPB103" s="531"/>
      <c r="WPC103" s="530"/>
      <c r="WPD103" s="531"/>
      <c r="WPE103" s="530"/>
      <c r="WPF103" s="531"/>
      <c r="WPG103" s="530"/>
      <c r="WPH103" s="531"/>
      <c r="WPI103" s="530"/>
      <c r="WPJ103" s="531"/>
      <c r="WPK103" s="530"/>
      <c r="WPL103" s="531"/>
      <c r="WPM103" s="530"/>
      <c r="WPN103" s="531"/>
      <c r="WPO103" s="530"/>
      <c r="WPP103" s="531"/>
      <c r="WPQ103" s="530"/>
      <c r="WPR103" s="531"/>
      <c r="WPS103" s="530"/>
      <c r="WPT103" s="531"/>
      <c r="WPU103" s="530"/>
      <c r="WPV103" s="531"/>
      <c r="WPW103" s="530"/>
      <c r="WPX103" s="531"/>
      <c r="WPY103" s="530"/>
      <c r="WPZ103" s="531"/>
      <c r="WQA103" s="530"/>
      <c r="WQB103" s="531"/>
      <c r="WQC103" s="530"/>
      <c r="WQD103" s="531"/>
      <c r="WQE103" s="530"/>
      <c r="WQF103" s="531"/>
      <c r="WQG103" s="530"/>
      <c r="WQH103" s="531"/>
      <c r="WQI103" s="530"/>
      <c r="WQJ103" s="531"/>
      <c r="WQK103" s="530"/>
      <c r="WQL103" s="531"/>
      <c r="WQM103" s="530"/>
      <c r="WQN103" s="531"/>
      <c r="WQO103" s="530"/>
      <c r="WQP103" s="531"/>
      <c r="WQQ103" s="530"/>
      <c r="WQR103" s="531"/>
      <c r="WQS103" s="530"/>
      <c r="WQT103" s="531"/>
      <c r="WQU103" s="530"/>
      <c r="WQV103" s="531"/>
      <c r="WQW103" s="530"/>
      <c r="WQX103" s="531"/>
      <c r="WQY103" s="530"/>
      <c r="WQZ103" s="531"/>
      <c r="WRA103" s="530"/>
      <c r="WRB103" s="531"/>
      <c r="WRC103" s="530"/>
      <c r="WRD103" s="531"/>
      <c r="WRE103" s="530"/>
      <c r="WRF103" s="531"/>
      <c r="WRG103" s="530"/>
      <c r="WRH103" s="531"/>
      <c r="WRI103" s="530"/>
      <c r="WRJ103" s="531"/>
      <c r="WRK103" s="530"/>
      <c r="WRL103" s="531"/>
      <c r="WRM103" s="530"/>
      <c r="WRN103" s="531"/>
      <c r="WRO103" s="530"/>
      <c r="WRP103" s="531"/>
      <c r="WRQ103" s="530"/>
      <c r="WRR103" s="531"/>
      <c r="WRS103" s="530"/>
      <c r="WRT103" s="531"/>
      <c r="WRU103" s="530"/>
      <c r="WRV103" s="531"/>
      <c r="WRW103" s="530"/>
      <c r="WRX103" s="531"/>
      <c r="WRY103" s="530"/>
      <c r="WRZ103" s="531"/>
      <c r="WSA103" s="530"/>
      <c r="WSB103" s="531"/>
      <c r="WSC103" s="530"/>
      <c r="WSD103" s="531"/>
      <c r="WSE103" s="530"/>
      <c r="WSF103" s="531"/>
      <c r="WSG103" s="530"/>
      <c r="WSH103" s="531"/>
      <c r="WSI103" s="530"/>
      <c r="WSJ103" s="531"/>
      <c r="WSK103" s="530"/>
      <c r="WSL103" s="531"/>
      <c r="WSM103" s="530"/>
      <c r="WSN103" s="531"/>
      <c r="WSO103" s="530"/>
      <c r="WSP103" s="531"/>
      <c r="WSQ103" s="530"/>
      <c r="WSR103" s="531"/>
      <c r="WSS103" s="530"/>
      <c r="WST103" s="531"/>
      <c r="WSU103" s="530"/>
      <c r="WSV103" s="531"/>
      <c r="WSW103" s="530"/>
      <c r="WSX103" s="531"/>
      <c r="WSY103" s="530"/>
      <c r="WSZ103" s="531"/>
      <c r="WTA103" s="530"/>
      <c r="WTB103" s="531"/>
      <c r="WTC103" s="530"/>
      <c r="WTD103" s="531"/>
      <c r="WTE103" s="530"/>
      <c r="WTF103" s="531"/>
      <c r="WTG103" s="530"/>
      <c r="WTH103" s="531"/>
      <c r="WTI103" s="530"/>
      <c r="WTJ103" s="531"/>
      <c r="WTK103" s="530"/>
      <c r="WTL103" s="531"/>
      <c r="WTM103" s="530"/>
      <c r="WTN103" s="531"/>
      <c r="WTO103" s="530"/>
      <c r="WTP103" s="531"/>
      <c r="WTQ103" s="530"/>
      <c r="WTR103" s="531"/>
      <c r="WTS103" s="530"/>
      <c r="WTT103" s="531"/>
      <c r="WTU103" s="530"/>
      <c r="WTV103" s="531"/>
      <c r="WTW103" s="530"/>
      <c r="WTX103" s="531"/>
      <c r="WTY103" s="530"/>
      <c r="WTZ103" s="531"/>
      <c r="WUA103" s="530"/>
      <c r="WUB103" s="531"/>
      <c r="WUC103" s="530"/>
      <c r="WUD103" s="531"/>
      <c r="WUE103" s="530"/>
      <c r="WUF103" s="531"/>
      <c r="WUG103" s="530"/>
      <c r="WUH103" s="531"/>
      <c r="WUI103" s="530"/>
      <c r="WUJ103" s="531"/>
      <c r="WUK103" s="530"/>
      <c r="WUL103" s="531"/>
      <c r="WUM103" s="530"/>
      <c r="WUN103" s="531"/>
      <c r="WUO103" s="530"/>
      <c r="WUP103" s="531"/>
      <c r="WUQ103" s="530"/>
      <c r="WUR103" s="531"/>
      <c r="WUS103" s="530"/>
      <c r="WUT103" s="531"/>
      <c r="WUU103" s="530"/>
      <c r="WUV103" s="531"/>
      <c r="WUW103" s="530"/>
      <c r="WUX103" s="531"/>
      <c r="WUY103" s="530"/>
      <c r="WUZ103" s="531"/>
      <c r="WVA103" s="530"/>
      <c r="WVB103" s="531"/>
      <c r="WVC103" s="530"/>
      <c r="WVD103" s="531"/>
      <c r="WVE103" s="530"/>
      <c r="WVF103" s="531"/>
      <c r="WVG103" s="530"/>
      <c r="WVH103" s="531"/>
      <c r="WVI103" s="530"/>
      <c r="WVJ103" s="531"/>
      <c r="WVK103" s="530"/>
      <c r="WVL103" s="531"/>
      <c r="WVM103" s="530"/>
      <c r="WVN103" s="531"/>
      <c r="WVO103" s="530"/>
      <c r="WVP103" s="531"/>
      <c r="WVQ103" s="530"/>
      <c r="WVR103" s="531"/>
      <c r="WVS103" s="530"/>
      <c r="WVT103" s="531"/>
      <c r="WVU103" s="530"/>
      <c r="WVV103" s="531"/>
      <c r="WVW103" s="530"/>
      <c r="WVX103" s="531"/>
      <c r="WVY103" s="530"/>
      <c r="WVZ103" s="531"/>
      <c r="WWA103" s="530"/>
      <c r="WWB103" s="531"/>
      <c r="WWC103" s="530"/>
      <c r="WWD103" s="531"/>
      <c r="WWE103" s="530"/>
      <c r="WWF103" s="531"/>
      <c r="WWG103" s="530"/>
      <c r="WWH103" s="531"/>
      <c r="WWI103" s="530"/>
      <c r="WWJ103" s="531"/>
      <c r="WWK103" s="530"/>
      <c r="WWL103" s="531"/>
      <c r="WWM103" s="530"/>
      <c r="WWN103" s="531"/>
      <c r="WWO103" s="530"/>
      <c r="WWP103" s="531"/>
      <c r="WWQ103" s="530"/>
      <c r="WWR103" s="531"/>
      <c r="WWS103" s="530"/>
      <c r="WWT103" s="531"/>
      <c r="WWU103" s="530"/>
      <c r="WWV103" s="531"/>
      <c r="WWW103" s="530"/>
      <c r="WWX103" s="531"/>
      <c r="WWY103" s="530"/>
      <c r="WWZ103" s="531"/>
      <c r="WXA103" s="530"/>
      <c r="WXB103" s="531"/>
      <c r="WXC103" s="530"/>
      <c r="WXD103" s="531"/>
      <c r="WXE103" s="530"/>
      <c r="WXF103" s="531"/>
      <c r="WXG103" s="530"/>
      <c r="WXH103" s="531"/>
      <c r="WXI103" s="530"/>
      <c r="WXJ103" s="531"/>
      <c r="WXK103" s="530"/>
      <c r="WXL103" s="531"/>
      <c r="WXM103" s="530"/>
      <c r="WXN103" s="531"/>
      <c r="WXO103" s="530"/>
      <c r="WXP103" s="531"/>
      <c r="WXQ103" s="530"/>
      <c r="WXR103" s="531"/>
      <c r="WXS103" s="530"/>
      <c r="WXT103" s="531"/>
      <c r="WXU103" s="530"/>
      <c r="WXV103" s="531"/>
      <c r="WXW103" s="530"/>
      <c r="WXX103" s="531"/>
      <c r="WXY103" s="530"/>
      <c r="WXZ103" s="531"/>
      <c r="WYA103" s="530"/>
      <c r="WYB103" s="531"/>
      <c r="WYC103" s="530"/>
      <c r="WYD103" s="531"/>
      <c r="WYE103" s="530"/>
      <c r="WYF103" s="531"/>
      <c r="WYG103" s="530"/>
      <c r="WYH103" s="531"/>
      <c r="WYI103" s="530"/>
      <c r="WYJ103" s="531"/>
      <c r="WYK103" s="530"/>
      <c r="WYL103" s="531"/>
      <c r="WYM103" s="530"/>
      <c r="WYN103" s="531"/>
      <c r="WYO103" s="530"/>
      <c r="WYP103" s="531"/>
      <c r="WYQ103" s="530"/>
      <c r="WYR103" s="531"/>
      <c r="WYS103" s="530"/>
      <c r="WYT103" s="531"/>
      <c r="WYU103" s="530"/>
      <c r="WYV103" s="531"/>
      <c r="WYW103" s="530"/>
      <c r="WYX103" s="531"/>
      <c r="WYY103" s="530"/>
      <c r="WYZ103" s="531"/>
      <c r="WZA103" s="530"/>
      <c r="WZB103" s="531"/>
      <c r="WZC103" s="530"/>
      <c r="WZD103" s="531"/>
      <c r="WZE103" s="530"/>
      <c r="WZF103" s="531"/>
      <c r="WZG103" s="530"/>
      <c r="WZH103" s="531"/>
      <c r="WZI103" s="530"/>
      <c r="WZJ103" s="531"/>
      <c r="WZK103" s="530"/>
      <c r="WZL103" s="531"/>
      <c r="WZM103" s="530"/>
      <c r="WZN103" s="531"/>
      <c r="WZO103" s="530"/>
      <c r="WZP103" s="531"/>
      <c r="WZQ103" s="530"/>
      <c r="WZR103" s="531"/>
      <c r="WZS103" s="530"/>
      <c r="WZT103" s="531"/>
      <c r="WZU103" s="530"/>
      <c r="WZV103" s="531"/>
      <c r="WZW103" s="530"/>
      <c r="WZX103" s="531"/>
      <c r="WZY103" s="530"/>
      <c r="WZZ103" s="531"/>
      <c r="XAA103" s="530"/>
      <c r="XAB103" s="531"/>
      <c r="XAC103" s="530"/>
      <c r="XAD103" s="531"/>
      <c r="XAE103" s="530"/>
      <c r="XAF103" s="531"/>
      <c r="XAG103" s="530"/>
      <c r="XAH103" s="531"/>
      <c r="XAI103" s="530"/>
      <c r="XAJ103" s="531"/>
      <c r="XAK103" s="530"/>
      <c r="XAL103" s="531"/>
      <c r="XAM103" s="530"/>
      <c r="XAN103" s="531"/>
      <c r="XAO103" s="530"/>
      <c r="XAP103" s="531"/>
      <c r="XAQ103" s="530"/>
      <c r="XAR103" s="531"/>
      <c r="XAS103" s="530"/>
      <c r="XAT103" s="531"/>
      <c r="XAU103" s="530"/>
      <c r="XAV103" s="531"/>
      <c r="XAW103" s="530"/>
      <c r="XAX103" s="531"/>
      <c r="XAY103" s="530"/>
      <c r="XAZ103" s="531"/>
      <c r="XBA103" s="530"/>
      <c r="XBB103" s="531"/>
      <c r="XBC103" s="530"/>
      <c r="XBD103" s="531"/>
      <c r="XBE103" s="530"/>
      <c r="XBF103" s="531"/>
      <c r="XBG103" s="530"/>
      <c r="XBH103" s="531"/>
      <c r="XBI103" s="530"/>
      <c r="XBJ103" s="531"/>
      <c r="XBK103" s="530"/>
      <c r="XBL103" s="531"/>
      <c r="XBM103" s="530"/>
      <c r="XBN103" s="531"/>
      <c r="XBO103" s="530"/>
      <c r="XBP103" s="531"/>
      <c r="XBQ103" s="530"/>
      <c r="XBR103" s="531"/>
      <c r="XBS103" s="530"/>
      <c r="XBT103" s="531"/>
      <c r="XBU103" s="530"/>
      <c r="XBV103" s="531"/>
      <c r="XBW103" s="530"/>
      <c r="XBX103" s="531"/>
      <c r="XBY103" s="530"/>
      <c r="XBZ103" s="531"/>
      <c r="XCA103" s="530"/>
      <c r="XCB103" s="531"/>
      <c r="XCC103" s="530"/>
      <c r="XCD103" s="531"/>
      <c r="XCE103" s="530"/>
      <c r="XCF103" s="531"/>
      <c r="XCG103" s="530"/>
      <c r="XCH103" s="531"/>
      <c r="XCI103" s="530"/>
      <c r="XCJ103" s="531"/>
      <c r="XCK103" s="530"/>
      <c r="XCL103" s="531"/>
      <c r="XCM103" s="530"/>
      <c r="XCN103" s="531"/>
      <c r="XCO103" s="530"/>
      <c r="XCP103" s="531"/>
      <c r="XCQ103" s="530"/>
      <c r="XCR103" s="531"/>
      <c r="XCS103" s="530"/>
      <c r="XCT103" s="531"/>
      <c r="XCU103" s="530"/>
      <c r="XCV103" s="531"/>
      <c r="XCW103" s="530"/>
      <c r="XCX103" s="531"/>
      <c r="XCY103" s="530"/>
      <c r="XCZ103" s="531"/>
      <c r="XDA103" s="530"/>
      <c r="XDB103" s="531"/>
      <c r="XDC103" s="530"/>
      <c r="XDD103" s="531"/>
      <c r="XDE103" s="530"/>
      <c r="XDF103" s="531"/>
      <c r="XDG103" s="530"/>
      <c r="XDH103" s="531"/>
      <c r="XDI103" s="530"/>
      <c r="XDJ103" s="531"/>
      <c r="XDK103" s="530"/>
      <c r="XDL103" s="531"/>
      <c r="XDM103" s="530"/>
      <c r="XDN103" s="531"/>
      <c r="XDO103" s="530"/>
      <c r="XDP103" s="531"/>
      <c r="XDQ103" s="530"/>
      <c r="XDR103" s="531"/>
      <c r="XDS103" s="530"/>
      <c r="XDT103" s="531"/>
      <c r="XDU103" s="530"/>
      <c r="XDV103" s="531"/>
      <c r="XDW103" s="530"/>
      <c r="XDX103" s="531"/>
      <c r="XDY103" s="530"/>
      <c r="XDZ103" s="531"/>
      <c r="XEA103" s="530"/>
      <c r="XEB103" s="531"/>
      <c r="XEC103" s="530"/>
      <c r="XED103" s="531"/>
      <c r="XEE103" s="530"/>
      <c r="XEF103" s="531"/>
      <c r="XEG103" s="530"/>
      <c r="XEH103" s="531"/>
      <c r="XEI103" s="530"/>
      <c r="XEJ103" s="531"/>
      <c r="XEK103" s="530"/>
      <c r="XEL103" s="531"/>
      <c r="XEM103" s="530"/>
      <c r="XEN103" s="531"/>
      <c r="XEO103" s="530"/>
      <c r="XEP103" s="531"/>
      <c r="XEQ103" s="530"/>
      <c r="XER103" s="531"/>
      <c r="XES103" s="530"/>
      <c r="XET103" s="531"/>
      <c r="XEU103" s="530"/>
      <c r="XEV103" s="531"/>
      <c r="XEW103" s="530"/>
      <c r="XEX103" s="531"/>
      <c r="XEY103" s="530"/>
      <c r="XEZ103" s="531"/>
      <c r="XFA103" s="530"/>
      <c r="XFB103" s="531"/>
      <c r="XFC103" s="530"/>
      <c r="XFD103" s="531"/>
    </row>
    <row r="104" spans="1:16384" s="520" customFormat="1" ht="65.150000000000006" customHeight="1">
      <c r="A104" s="523"/>
      <c r="B104" s="523"/>
      <c r="C104" s="524"/>
      <c r="D104" s="523"/>
      <c r="E104" s="524"/>
      <c r="F104" s="523"/>
      <c r="G104" s="524"/>
      <c r="H104" s="524"/>
      <c r="I104" s="525"/>
      <c r="J104" s="525"/>
      <c r="K104" s="524"/>
      <c r="L104" s="524"/>
      <c r="M104" s="524"/>
      <c r="N104" s="524"/>
      <c r="O104" s="524"/>
      <c r="P104" s="524"/>
      <c r="Q104" s="524"/>
      <c r="R104" s="524"/>
      <c r="S104" s="524"/>
      <c r="T104" s="524"/>
      <c r="U104" s="524"/>
      <c r="V104" s="524"/>
      <c r="W104" s="524"/>
      <c r="X104" s="524"/>
      <c r="Y104" s="524"/>
      <c r="Z104" s="524"/>
      <c r="AA104" s="526"/>
      <c r="AB104" s="523"/>
      <c r="AC104" s="530"/>
      <c r="AD104" s="531"/>
      <c r="AE104" s="530"/>
      <c r="AF104" s="531"/>
      <c r="AG104" s="530"/>
      <c r="AH104" s="531"/>
      <c r="AI104" s="530"/>
      <c r="AJ104" s="531"/>
      <c r="AK104" s="530"/>
      <c r="AL104" s="531"/>
      <c r="AM104" s="530"/>
      <c r="AN104" s="531"/>
      <c r="AO104" s="530"/>
      <c r="AP104" s="531"/>
      <c r="AQ104" s="530"/>
      <c r="AR104" s="531"/>
      <c r="AS104" s="530"/>
      <c r="AT104" s="531"/>
      <c r="AU104" s="530"/>
      <c r="AV104" s="531"/>
      <c r="AW104" s="530"/>
      <c r="AX104" s="531"/>
      <c r="AY104" s="530"/>
      <c r="AZ104" s="531"/>
      <c r="BA104" s="530"/>
      <c r="BB104" s="531"/>
      <c r="BC104" s="530"/>
      <c r="BD104" s="531"/>
      <c r="BE104" s="530"/>
      <c r="BF104" s="531"/>
      <c r="BG104" s="530"/>
      <c r="BH104" s="531"/>
      <c r="BI104" s="530"/>
      <c r="BJ104" s="531"/>
      <c r="BK104" s="530"/>
      <c r="BL104" s="531"/>
      <c r="BM104" s="530"/>
      <c r="BN104" s="531"/>
      <c r="BO104" s="530"/>
      <c r="BP104" s="531"/>
      <c r="BQ104" s="530"/>
      <c r="BR104" s="531"/>
      <c r="BS104" s="530"/>
      <c r="BT104" s="531"/>
      <c r="BU104" s="530"/>
      <c r="BV104" s="531"/>
      <c r="BW104" s="530"/>
      <c r="BX104" s="531"/>
      <c r="BY104" s="530"/>
      <c r="BZ104" s="531"/>
      <c r="CA104" s="530"/>
      <c r="CB104" s="531"/>
      <c r="CC104" s="530"/>
      <c r="CD104" s="531"/>
      <c r="CE104" s="530"/>
      <c r="CF104" s="531"/>
      <c r="CG104" s="530"/>
      <c r="CH104" s="531"/>
      <c r="CI104" s="530"/>
      <c r="CJ104" s="531"/>
      <c r="CK104" s="530"/>
      <c r="CL104" s="531"/>
      <c r="CM104" s="530"/>
      <c r="CN104" s="531"/>
      <c r="CO104" s="530"/>
      <c r="CP104" s="531"/>
      <c r="CQ104" s="530"/>
      <c r="CR104" s="531"/>
      <c r="CS104" s="530"/>
      <c r="CT104" s="531"/>
      <c r="CU104" s="530"/>
      <c r="CV104" s="531"/>
      <c r="CW104" s="530"/>
      <c r="CX104" s="531"/>
      <c r="CY104" s="530"/>
      <c r="CZ104" s="531"/>
      <c r="DA104" s="530"/>
      <c r="DB104" s="531"/>
      <c r="DC104" s="530"/>
      <c r="DD104" s="531"/>
      <c r="DE104" s="530"/>
      <c r="DF104" s="531"/>
      <c r="DG104" s="530"/>
      <c r="DH104" s="531"/>
      <c r="DI104" s="530"/>
      <c r="DJ104" s="531"/>
      <c r="DK104" s="530"/>
      <c r="DL104" s="531"/>
      <c r="DM104" s="530"/>
      <c r="DN104" s="531"/>
      <c r="DO104" s="530"/>
      <c r="DP104" s="531"/>
      <c r="DQ104" s="530"/>
      <c r="DR104" s="531"/>
      <c r="DS104" s="530"/>
      <c r="DT104" s="531"/>
      <c r="DU104" s="530"/>
      <c r="DV104" s="531"/>
      <c r="DW104" s="530"/>
      <c r="DX104" s="531"/>
      <c r="DY104" s="530"/>
      <c r="DZ104" s="531"/>
      <c r="EA104" s="530"/>
      <c r="EB104" s="531"/>
      <c r="EC104" s="530"/>
      <c r="ED104" s="531"/>
      <c r="EE104" s="530"/>
      <c r="EF104" s="531"/>
      <c r="EG104" s="530"/>
      <c r="EH104" s="531"/>
      <c r="EI104" s="530"/>
      <c r="EJ104" s="531"/>
      <c r="EK104" s="530"/>
      <c r="EL104" s="531"/>
      <c r="EM104" s="530"/>
      <c r="EN104" s="531"/>
      <c r="EO104" s="530"/>
      <c r="EP104" s="531"/>
      <c r="EQ104" s="530"/>
      <c r="ER104" s="531"/>
      <c r="ES104" s="530"/>
      <c r="ET104" s="531"/>
      <c r="EU104" s="530"/>
      <c r="EV104" s="531"/>
      <c r="EW104" s="530"/>
      <c r="EX104" s="531"/>
      <c r="EY104" s="530"/>
      <c r="EZ104" s="531"/>
      <c r="FA104" s="530"/>
      <c r="FB104" s="531"/>
      <c r="FC104" s="530"/>
      <c r="FD104" s="531"/>
      <c r="FE104" s="530"/>
      <c r="FF104" s="531"/>
      <c r="FG104" s="530"/>
      <c r="FH104" s="531"/>
      <c r="FI104" s="530"/>
      <c r="FJ104" s="531"/>
      <c r="FK104" s="530"/>
      <c r="FL104" s="531"/>
      <c r="FM104" s="530"/>
      <c r="FN104" s="531"/>
      <c r="FO104" s="530"/>
      <c r="FP104" s="531"/>
      <c r="FQ104" s="530"/>
      <c r="FR104" s="531"/>
      <c r="FS104" s="530"/>
      <c r="FT104" s="531"/>
      <c r="FU104" s="530"/>
      <c r="FV104" s="531"/>
      <c r="FW104" s="530"/>
      <c r="FX104" s="531"/>
      <c r="FY104" s="530"/>
      <c r="FZ104" s="531"/>
      <c r="GA104" s="530"/>
      <c r="GB104" s="531"/>
      <c r="GC104" s="530"/>
      <c r="GD104" s="531"/>
      <c r="GE104" s="530"/>
      <c r="GF104" s="531"/>
      <c r="GG104" s="530"/>
      <c r="GH104" s="531"/>
      <c r="GI104" s="530"/>
      <c r="GJ104" s="531"/>
      <c r="GK104" s="530"/>
      <c r="GL104" s="531"/>
      <c r="GM104" s="530"/>
      <c r="GN104" s="531"/>
      <c r="GO104" s="530"/>
      <c r="GP104" s="531"/>
      <c r="GQ104" s="530"/>
      <c r="GR104" s="531"/>
      <c r="GS104" s="530"/>
      <c r="GT104" s="531"/>
      <c r="GU104" s="530"/>
      <c r="GV104" s="531"/>
      <c r="GW104" s="530"/>
      <c r="GX104" s="531"/>
      <c r="GY104" s="530"/>
      <c r="GZ104" s="531"/>
      <c r="HA104" s="530"/>
      <c r="HB104" s="531"/>
      <c r="HC104" s="530"/>
      <c r="HD104" s="531"/>
      <c r="HE104" s="530"/>
      <c r="HF104" s="531"/>
      <c r="HG104" s="530"/>
      <c r="HH104" s="531"/>
      <c r="HI104" s="530"/>
      <c r="HJ104" s="531"/>
      <c r="HK104" s="530"/>
      <c r="HL104" s="531"/>
      <c r="HM104" s="530"/>
      <c r="HN104" s="531"/>
      <c r="HO104" s="530"/>
      <c r="HP104" s="531"/>
      <c r="HQ104" s="530"/>
      <c r="HR104" s="531"/>
      <c r="HS104" s="530"/>
      <c r="HT104" s="531"/>
      <c r="HU104" s="530"/>
      <c r="HV104" s="531"/>
      <c r="HW104" s="530"/>
      <c r="HX104" s="531"/>
      <c r="HY104" s="530"/>
      <c r="HZ104" s="531"/>
      <c r="IA104" s="530"/>
      <c r="IB104" s="531"/>
      <c r="IC104" s="530"/>
      <c r="ID104" s="531"/>
      <c r="IE104" s="530"/>
      <c r="IF104" s="531"/>
      <c r="IG104" s="530"/>
      <c r="IH104" s="531"/>
      <c r="II104" s="530"/>
      <c r="IJ104" s="531"/>
      <c r="IK104" s="530"/>
      <c r="IL104" s="531"/>
      <c r="IM104" s="530"/>
      <c r="IN104" s="531"/>
      <c r="IO104" s="530"/>
      <c r="IP104" s="531"/>
      <c r="IQ104" s="530"/>
      <c r="IR104" s="531"/>
      <c r="IS104" s="530"/>
      <c r="IT104" s="531"/>
      <c r="IU104" s="530"/>
      <c r="IV104" s="531"/>
      <c r="IW104" s="530"/>
      <c r="IX104" s="531"/>
      <c r="IY104" s="530"/>
      <c r="IZ104" s="531"/>
      <c r="JA104" s="530"/>
      <c r="JB104" s="531"/>
      <c r="JC104" s="530"/>
      <c r="JD104" s="531"/>
      <c r="JE104" s="530"/>
      <c r="JF104" s="531"/>
      <c r="JG104" s="530"/>
      <c r="JH104" s="531"/>
      <c r="JI104" s="530"/>
      <c r="JJ104" s="531"/>
      <c r="JK104" s="530"/>
      <c r="JL104" s="531"/>
      <c r="JM104" s="530"/>
      <c r="JN104" s="531"/>
      <c r="JO104" s="530"/>
      <c r="JP104" s="531"/>
      <c r="JQ104" s="530"/>
      <c r="JR104" s="531"/>
      <c r="JS104" s="530"/>
      <c r="JT104" s="531"/>
      <c r="JU104" s="530"/>
      <c r="JV104" s="531"/>
      <c r="JW104" s="530"/>
      <c r="JX104" s="531"/>
      <c r="JY104" s="530"/>
      <c r="JZ104" s="531"/>
      <c r="KA104" s="530"/>
      <c r="KB104" s="531"/>
      <c r="KC104" s="530"/>
      <c r="KD104" s="531"/>
      <c r="KE104" s="530"/>
      <c r="KF104" s="531"/>
      <c r="KG104" s="530"/>
      <c r="KH104" s="531"/>
      <c r="KI104" s="530"/>
      <c r="KJ104" s="531"/>
      <c r="KK104" s="530"/>
      <c r="KL104" s="531"/>
      <c r="KM104" s="530"/>
      <c r="KN104" s="531"/>
      <c r="KO104" s="530"/>
      <c r="KP104" s="531"/>
      <c r="KQ104" s="530"/>
      <c r="KR104" s="531"/>
      <c r="KS104" s="530"/>
      <c r="KT104" s="531"/>
      <c r="KU104" s="530"/>
      <c r="KV104" s="531"/>
      <c r="KW104" s="530"/>
      <c r="KX104" s="531"/>
      <c r="KY104" s="530"/>
      <c r="KZ104" s="531"/>
      <c r="LA104" s="530"/>
      <c r="LB104" s="531"/>
      <c r="LC104" s="530"/>
      <c r="LD104" s="531"/>
      <c r="LE104" s="530"/>
      <c r="LF104" s="531"/>
      <c r="LG104" s="530"/>
      <c r="LH104" s="531"/>
      <c r="LI104" s="530"/>
      <c r="LJ104" s="531"/>
      <c r="LK104" s="530"/>
      <c r="LL104" s="531"/>
      <c r="LM104" s="530"/>
      <c r="LN104" s="531"/>
      <c r="LO104" s="530"/>
      <c r="LP104" s="531"/>
      <c r="LQ104" s="530"/>
      <c r="LR104" s="531"/>
      <c r="LS104" s="530"/>
      <c r="LT104" s="531"/>
      <c r="LU104" s="530"/>
      <c r="LV104" s="531"/>
      <c r="LW104" s="530"/>
      <c r="LX104" s="531"/>
      <c r="LY104" s="530"/>
      <c r="LZ104" s="531"/>
      <c r="MA104" s="530"/>
      <c r="MB104" s="531"/>
      <c r="MC104" s="530"/>
      <c r="MD104" s="531"/>
      <c r="ME104" s="530"/>
      <c r="MF104" s="531"/>
      <c r="MG104" s="530"/>
      <c r="MH104" s="531"/>
      <c r="MI104" s="530"/>
      <c r="MJ104" s="531"/>
      <c r="MK104" s="530"/>
      <c r="ML104" s="531"/>
      <c r="MM104" s="530"/>
      <c r="MN104" s="531"/>
      <c r="MO104" s="530"/>
      <c r="MP104" s="531"/>
      <c r="MQ104" s="530"/>
      <c r="MR104" s="531"/>
      <c r="MS104" s="530"/>
      <c r="MT104" s="531"/>
      <c r="MU104" s="530"/>
      <c r="MV104" s="531"/>
      <c r="MW104" s="530"/>
      <c r="MX104" s="531"/>
      <c r="MY104" s="530"/>
      <c r="MZ104" s="531"/>
      <c r="NA104" s="530"/>
      <c r="NB104" s="531"/>
      <c r="NC104" s="530"/>
      <c r="ND104" s="531"/>
      <c r="NE104" s="530"/>
      <c r="NF104" s="531"/>
      <c r="NG104" s="530"/>
      <c r="NH104" s="531"/>
      <c r="NI104" s="530"/>
      <c r="NJ104" s="531"/>
      <c r="NK104" s="530"/>
      <c r="NL104" s="531"/>
      <c r="NM104" s="530"/>
      <c r="NN104" s="531"/>
      <c r="NO104" s="530"/>
      <c r="NP104" s="531"/>
      <c r="NQ104" s="530"/>
      <c r="NR104" s="531"/>
      <c r="NS104" s="530"/>
      <c r="NT104" s="531"/>
      <c r="NU104" s="530"/>
      <c r="NV104" s="531"/>
      <c r="NW104" s="530"/>
      <c r="NX104" s="531"/>
      <c r="NY104" s="530"/>
      <c r="NZ104" s="531"/>
      <c r="OA104" s="530"/>
      <c r="OB104" s="531"/>
      <c r="OC104" s="530"/>
      <c r="OD104" s="531"/>
      <c r="OE104" s="530"/>
      <c r="OF104" s="531"/>
      <c r="OG104" s="530"/>
      <c r="OH104" s="531"/>
      <c r="OI104" s="530"/>
      <c r="OJ104" s="531"/>
      <c r="OK104" s="530"/>
      <c r="OL104" s="531"/>
      <c r="OM104" s="530"/>
      <c r="ON104" s="531"/>
      <c r="OO104" s="530"/>
      <c r="OP104" s="531"/>
      <c r="OQ104" s="530"/>
      <c r="OR104" s="531"/>
      <c r="OS104" s="530"/>
      <c r="OT104" s="531"/>
      <c r="OU104" s="530"/>
      <c r="OV104" s="531"/>
      <c r="OW104" s="530"/>
      <c r="OX104" s="531"/>
      <c r="OY104" s="530"/>
      <c r="OZ104" s="531"/>
      <c r="PA104" s="530"/>
      <c r="PB104" s="531"/>
      <c r="PC104" s="530"/>
      <c r="PD104" s="531"/>
      <c r="PE104" s="530"/>
      <c r="PF104" s="531"/>
      <c r="PG104" s="530"/>
      <c r="PH104" s="531"/>
      <c r="PI104" s="530"/>
      <c r="PJ104" s="531"/>
      <c r="PK104" s="530"/>
      <c r="PL104" s="531"/>
      <c r="PM104" s="530"/>
      <c r="PN104" s="531"/>
      <c r="PO104" s="530"/>
      <c r="PP104" s="531"/>
      <c r="PQ104" s="530"/>
      <c r="PR104" s="531"/>
      <c r="PS104" s="530"/>
      <c r="PT104" s="531"/>
      <c r="PU104" s="530"/>
      <c r="PV104" s="531"/>
      <c r="PW104" s="530"/>
      <c r="PX104" s="531"/>
      <c r="PY104" s="530"/>
      <c r="PZ104" s="531"/>
      <c r="QA104" s="530"/>
      <c r="QB104" s="531"/>
      <c r="QC104" s="530"/>
      <c r="QD104" s="531"/>
      <c r="QE104" s="530"/>
      <c r="QF104" s="531"/>
      <c r="QG104" s="530"/>
      <c r="QH104" s="531"/>
      <c r="QI104" s="530"/>
      <c r="QJ104" s="531"/>
      <c r="QK104" s="530"/>
      <c r="QL104" s="531"/>
      <c r="QM104" s="530"/>
      <c r="QN104" s="531"/>
      <c r="QO104" s="530"/>
      <c r="QP104" s="531"/>
      <c r="QQ104" s="530"/>
      <c r="QR104" s="531"/>
      <c r="QS104" s="530"/>
      <c r="QT104" s="531"/>
      <c r="QU104" s="530"/>
      <c r="QV104" s="531"/>
      <c r="QW104" s="530"/>
      <c r="QX104" s="531"/>
      <c r="QY104" s="530"/>
      <c r="QZ104" s="531"/>
      <c r="RA104" s="530"/>
      <c r="RB104" s="531"/>
      <c r="RC104" s="530"/>
      <c r="RD104" s="531"/>
      <c r="RE104" s="530"/>
      <c r="RF104" s="531"/>
      <c r="RG104" s="530"/>
      <c r="RH104" s="531"/>
      <c r="RI104" s="530"/>
      <c r="RJ104" s="531"/>
      <c r="RK104" s="530"/>
      <c r="RL104" s="531"/>
      <c r="RM104" s="530"/>
      <c r="RN104" s="531"/>
      <c r="RO104" s="530"/>
      <c r="RP104" s="531"/>
      <c r="RQ104" s="530"/>
      <c r="RR104" s="531"/>
      <c r="RS104" s="530"/>
      <c r="RT104" s="531"/>
      <c r="RU104" s="530"/>
      <c r="RV104" s="531"/>
      <c r="RW104" s="530"/>
      <c r="RX104" s="531"/>
      <c r="RY104" s="530"/>
      <c r="RZ104" s="531"/>
      <c r="SA104" s="530"/>
      <c r="SB104" s="531"/>
      <c r="SC104" s="530"/>
      <c r="SD104" s="531"/>
      <c r="SE104" s="530"/>
      <c r="SF104" s="531"/>
      <c r="SG104" s="530"/>
      <c r="SH104" s="531"/>
      <c r="SI104" s="530"/>
      <c r="SJ104" s="531"/>
      <c r="SK104" s="530"/>
      <c r="SL104" s="531"/>
      <c r="SM104" s="530"/>
      <c r="SN104" s="531"/>
      <c r="SO104" s="530"/>
      <c r="SP104" s="531"/>
      <c r="SQ104" s="530"/>
      <c r="SR104" s="531"/>
      <c r="SS104" s="530"/>
      <c r="ST104" s="531"/>
      <c r="SU104" s="530"/>
      <c r="SV104" s="531"/>
      <c r="SW104" s="530"/>
      <c r="SX104" s="531"/>
      <c r="SY104" s="530"/>
      <c r="SZ104" s="531"/>
      <c r="TA104" s="530"/>
      <c r="TB104" s="531"/>
      <c r="TC104" s="530"/>
      <c r="TD104" s="531"/>
      <c r="TE104" s="530"/>
      <c r="TF104" s="531"/>
      <c r="TG104" s="530"/>
      <c r="TH104" s="531"/>
      <c r="TI104" s="530"/>
      <c r="TJ104" s="531"/>
      <c r="TK104" s="530"/>
      <c r="TL104" s="531"/>
      <c r="TM104" s="530"/>
      <c r="TN104" s="531"/>
      <c r="TO104" s="530"/>
      <c r="TP104" s="531"/>
      <c r="TQ104" s="530"/>
      <c r="TR104" s="531"/>
      <c r="TS104" s="530"/>
      <c r="TT104" s="531"/>
      <c r="TU104" s="530"/>
      <c r="TV104" s="531"/>
      <c r="TW104" s="530"/>
      <c r="TX104" s="531"/>
      <c r="TY104" s="530"/>
      <c r="TZ104" s="531"/>
      <c r="UA104" s="530"/>
      <c r="UB104" s="531"/>
      <c r="UC104" s="530"/>
      <c r="UD104" s="531"/>
      <c r="UE104" s="530"/>
      <c r="UF104" s="531"/>
      <c r="UG104" s="530"/>
      <c r="UH104" s="531"/>
      <c r="UI104" s="530"/>
      <c r="UJ104" s="531"/>
      <c r="UK104" s="530"/>
      <c r="UL104" s="531"/>
      <c r="UM104" s="530"/>
      <c r="UN104" s="531"/>
      <c r="UO104" s="530"/>
      <c r="UP104" s="531"/>
      <c r="UQ104" s="530"/>
      <c r="UR104" s="531"/>
      <c r="US104" s="530"/>
      <c r="UT104" s="531"/>
      <c r="UU104" s="530"/>
      <c r="UV104" s="531"/>
      <c r="UW104" s="530"/>
      <c r="UX104" s="531"/>
      <c r="UY104" s="530"/>
      <c r="UZ104" s="531"/>
      <c r="VA104" s="530"/>
      <c r="VB104" s="531"/>
      <c r="VC104" s="530"/>
      <c r="VD104" s="531"/>
      <c r="VE104" s="530"/>
      <c r="VF104" s="531"/>
      <c r="VG104" s="530"/>
      <c r="VH104" s="531"/>
      <c r="VI104" s="530"/>
      <c r="VJ104" s="531"/>
      <c r="VK104" s="530"/>
      <c r="VL104" s="531"/>
      <c r="VM104" s="530"/>
      <c r="VN104" s="531"/>
      <c r="VO104" s="530"/>
      <c r="VP104" s="531"/>
      <c r="VQ104" s="530"/>
      <c r="VR104" s="531"/>
      <c r="VS104" s="530"/>
      <c r="VT104" s="531"/>
      <c r="VU104" s="530"/>
      <c r="VV104" s="531"/>
      <c r="VW104" s="530"/>
      <c r="VX104" s="531"/>
      <c r="VY104" s="530"/>
      <c r="VZ104" s="531"/>
      <c r="WA104" s="530"/>
      <c r="WB104" s="531"/>
      <c r="WC104" s="530"/>
      <c r="WD104" s="531"/>
      <c r="WE104" s="530"/>
      <c r="WF104" s="531"/>
      <c r="WG104" s="530"/>
      <c r="WH104" s="531"/>
      <c r="WI104" s="530"/>
      <c r="WJ104" s="531"/>
      <c r="WK104" s="530"/>
      <c r="WL104" s="531"/>
      <c r="WM104" s="530"/>
      <c r="WN104" s="531"/>
      <c r="WO104" s="530"/>
      <c r="WP104" s="531"/>
      <c r="WQ104" s="530"/>
      <c r="WR104" s="531"/>
      <c r="WS104" s="530"/>
      <c r="WT104" s="531"/>
      <c r="WU104" s="530"/>
      <c r="WV104" s="531"/>
      <c r="WW104" s="530"/>
      <c r="WX104" s="531"/>
      <c r="WY104" s="530"/>
      <c r="WZ104" s="531"/>
      <c r="XA104" s="530"/>
      <c r="XB104" s="531"/>
      <c r="XC104" s="530"/>
      <c r="XD104" s="531"/>
      <c r="XE104" s="530"/>
      <c r="XF104" s="531"/>
      <c r="XG104" s="530"/>
      <c r="XH104" s="531"/>
      <c r="XI104" s="530"/>
      <c r="XJ104" s="531"/>
      <c r="XK104" s="530"/>
      <c r="XL104" s="531"/>
      <c r="XM104" s="530"/>
      <c r="XN104" s="531"/>
      <c r="XO104" s="530"/>
      <c r="XP104" s="531"/>
      <c r="XQ104" s="530"/>
      <c r="XR104" s="531"/>
      <c r="XS104" s="530"/>
      <c r="XT104" s="531"/>
      <c r="XU104" s="530"/>
      <c r="XV104" s="531"/>
      <c r="XW104" s="530"/>
      <c r="XX104" s="531"/>
      <c r="XY104" s="530"/>
      <c r="XZ104" s="531"/>
      <c r="YA104" s="530"/>
      <c r="YB104" s="531"/>
      <c r="YC104" s="530"/>
      <c r="YD104" s="531"/>
      <c r="YE104" s="530"/>
      <c r="YF104" s="531"/>
      <c r="YG104" s="530"/>
      <c r="YH104" s="531"/>
      <c r="YI104" s="530"/>
      <c r="YJ104" s="531"/>
      <c r="YK104" s="530"/>
      <c r="YL104" s="531"/>
      <c r="YM104" s="530"/>
      <c r="YN104" s="531"/>
      <c r="YO104" s="530"/>
      <c r="YP104" s="531"/>
      <c r="YQ104" s="530"/>
      <c r="YR104" s="531"/>
      <c r="YS104" s="530"/>
      <c r="YT104" s="531"/>
      <c r="YU104" s="530"/>
      <c r="YV104" s="531"/>
      <c r="YW104" s="530"/>
      <c r="YX104" s="531"/>
      <c r="YY104" s="530"/>
      <c r="YZ104" s="531"/>
      <c r="ZA104" s="530"/>
      <c r="ZB104" s="531"/>
      <c r="ZC104" s="530"/>
      <c r="ZD104" s="531"/>
      <c r="ZE104" s="530"/>
      <c r="ZF104" s="531"/>
      <c r="ZG104" s="530"/>
      <c r="ZH104" s="531"/>
      <c r="ZI104" s="530"/>
      <c r="ZJ104" s="531"/>
      <c r="ZK104" s="530"/>
      <c r="ZL104" s="531"/>
      <c r="ZM104" s="530"/>
      <c r="ZN104" s="531"/>
      <c r="ZO104" s="530"/>
      <c r="ZP104" s="531"/>
      <c r="ZQ104" s="530"/>
      <c r="ZR104" s="531"/>
      <c r="ZS104" s="530"/>
      <c r="ZT104" s="531"/>
      <c r="ZU104" s="530"/>
      <c r="ZV104" s="531"/>
      <c r="ZW104" s="530"/>
      <c r="ZX104" s="531"/>
      <c r="ZY104" s="530"/>
      <c r="ZZ104" s="531"/>
      <c r="AAA104" s="530"/>
      <c r="AAB104" s="531"/>
      <c r="AAC104" s="530"/>
      <c r="AAD104" s="531"/>
      <c r="AAE104" s="530"/>
      <c r="AAF104" s="531"/>
      <c r="AAG104" s="530"/>
      <c r="AAH104" s="531"/>
      <c r="AAI104" s="530"/>
      <c r="AAJ104" s="531"/>
      <c r="AAK104" s="530"/>
      <c r="AAL104" s="531"/>
      <c r="AAM104" s="530"/>
      <c r="AAN104" s="531"/>
      <c r="AAO104" s="530"/>
      <c r="AAP104" s="531"/>
      <c r="AAQ104" s="530"/>
      <c r="AAR104" s="531"/>
      <c r="AAS104" s="530"/>
      <c r="AAT104" s="531"/>
      <c r="AAU104" s="530"/>
      <c r="AAV104" s="531"/>
      <c r="AAW104" s="530"/>
      <c r="AAX104" s="531"/>
      <c r="AAY104" s="530"/>
      <c r="AAZ104" s="531"/>
      <c r="ABA104" s="530"/>
      <c r="ABB104" s="531"/>
      <c r="ABC104" s="530"/>
      <c r="ABD104" s="531"/>
      <c r="ABE104" s="530"/>
      <c r="ABF104" s="531"/>
      <c r="ABG104" s="530"/>
      <c r="ABH104" s="531"/>
      <c r="ABI104" s="530"/>
      <c r="ABJ104" s="531"/>
      <c r="ABK104" s="530"/>
      <c r="ABL104" s="531"/>
      <c r="ABM104" s="530"/>
      <c r="ABN104" s="531"/>
      <c r="ABO104" s="530"/>
      <c r="ABP104" s="531"/>
      <c r="ABQ104" s="530"/>
      <c r="ABR104" s="531"/>
      <c r="ABS104" s="530"/>
      <c r="ABT104" s="531"/>
      <c r="ABU104" s="530"/>
      <c r="ABV104" s="531"/>
      <c r="ABW104" s="530"/>
      <c r="ABX104" s="531"/>
      <c r="ABY104" s="530"/>
      <c r="ABZ104" s="531"/>
      <c r="ACA104" s="530"/>
      <c r="ACB104" s="531"/>
      <c r="ACC104" s="530"/>
      <c r="ACD104" s="531"/>
      <c r="ACE104" s="530"/>
      <c r="ACF104" s="531"/>
      <c r="ACG104" s="530"/>
      <c r="ACH104" s="531"/>
      <c r="ACI104" s="530"/>
      <c r="ACJ104" s="531"/>
      <c r="ACK104" s="530"/>
      <c r="ACL104" s="531"/>
      <c r="ACM104" s="530"/>
      <c r="ACN104" s="531"/>
      <c r="ACO104" s="530"/>
      <c r="ACP104" s="531"/>
      <c r="ACQ104" s="530"/>
      <c r="ACR104" s="531"/>
      <c r="ACS104" s="530"/>
      <c r="ACT104" s="531"/>
      <c r="ACU104" s="530"/>
      <c r="ACV104" s="531"/>
      <c r="ACW104" s="530"/>
      <c r="ACX104" s="531"/>
      <c r="ACY104" s="530"/>
      <c r="ACZ104" s="531"/>
      <c r="ADA104" s="530"/>
      <c r="ADB104" s="531"/>
      <c r="ADC104" s="530"/>
      <c r="ADD104" s="531"/>
      <c r="ADE104" s="530"/>
      <c r="ADF104" s="531"/>
      <c r="ADG104" s="530"/>
      <c r="ADH104" s="531"/>
      <c r="ADI104" s="530"/>
      <c r="ADJ104" s="531"/>
      <c r="ADK104" s="530"/>
      <c r="ADL104" s="531"/>
      <c r="ADM104" s="530"/>
      <c r="ADN104" s="531"/>
      <c r="ADO104" s="530"/>
      <c r="ADP104" s="531"/>
      <c r="ADQ104" s="530"/>
      <c r="ADR104" s="531"/>
      <c r="ADS104" s="530"/>
      <c r="ADT104" s="531"/>
      <c r="ADU104" s="530"/>
      <c r="ADV104" s="531"/>
      <c r="ADW104" s="530"/>
      <c r="ADX104" s="531"/>
      <c r="ADY104" s="530"/>
      <c r="ADZ104" s="531"/>
      <c r="AEA104" s="530"/>
      <c r="AEB104" s="531"/>
      <c r="AEC104" s="530"/>
      <c r="AED104" s="531"/>
      <c r="AEE104" s="530"/>
      <c r="AEF104" s="531"/>
      <c r="AEG104" s="530"/>
      <c r="AEH104" s="531"/>
      <c r="AEI104" s="530"/>
      <c r="AEJ104" s="531"/>
      <c r="AEK104" s="530"/>
      <c r="AEL104" s="531"/>
      <c r="AEM104" s="530"/>
      <c r="AEN104" s="531"/>
      <c r="AEO104" s="530"/>
      <c r="AEP104" s="531"/>
      <c r="AEQ104" s="530"/>
      <c r="AER104" s="531"/>
      <c r="AES104" s="530"/>
      <c r="AET104" s="531"/>
      <c r="AEU104" s="530"/>
      <c r="AEV104" s="531"/>
      <c r="AEW104" s="530"/>
      <c r="AEX104" s="531"/>
      <c r="AEY104" s="530"/>
      <c r="AEZ104" s="531"/>
      <c r="AFA104" s="530"/>
      <c r="AFB104" s="531"/>
      <c r="AFC104" s="530"/>
      <c r="AFD104" s="531"/>
      <c r="AFE104" s="530"/>
      <c r="AFF104" s="531"/>
      <c r="AFG104" s="530"/>
      <c r="AFH104" s="531"/>
      <c r="AFI104" s="530"/>
      <c r="AFJ104" s="531"/>
      <c r="AFK104" s="530"/>
      <c r="AFL104" s="531"/>
      <c r="AFM104" s="530"/>
      <c r="AFN104" s="531"/>
      <c r="AFO104" s="530"/>
      <c r="AFP104" s="531"/>
      <c r="AFQ104" s="530"/>
      <c r="AFR104" s="531"/>
      <c r="AFS104" s="530"/>
      <c r="AFT104" s="531"/>
      <c r="AFU104" s="530"/>
      <c r="AFV104" s="531"/>
      <c r="AFW104" s="530"/>
      <c r="AFX104" s="531"/>
      <c r="AFY104" s="530"/>
      <c r="AFZ104" s="531"/>
      <c r="AGA104" s="530"/>
      <c r="AGB104" s="531"/>
      <c r="AGC104" s="530"/>
      <c r="AGD104" s="531"/>
      <c r="AGE104" s="530"/>
      <c r="AGF104" s="531"/>
      <c r="AGG104" s="530"/>
      <c r="AGH104" s="531"/>
      <c r="AGI104" s="530"/>
      <c r="AGJ104" s="531"/>
      <c r="AGK104" s="530"/>
      <c r="AGL104" s="531"/>
      <c r="AGM104" s="530"/>
      <c r="AGN104" s="531"/>
      <c r="AGO104" s="530"/>
      <c r="AGP104" s="531"/>
      <c r="AGQ104" s="530"/>
      <c r="AGR104" s="531"/>
      <c r="AGS104" s="530"/>
      <c r="AGT104" s="531"/>
      <c r="AGU104" s="530"/>
      <c r="AGV104" s="531"/>
      <c r="AGW104" s="530"/>
      <c r="AGX104" s="531"/>
      <c r="AGY104" s="530"/>
      <c r="AGZ104" s="531"/>
      <c r="AHA104" s="530"/>
      <c r="AHB104" s="531"/>
      <c r="AHC104" s="530"/>
      <c r="AHD104" s="531"/>
      <c r="AHE104" s="530"/>
      <c r="AHF104" s="531"/>
      <c r="AHG104" s="530"/>
      <c r="AHH104" s="531"/>
      <c r="AHI104" s="530"/>
      <c r="AHJ104" s="531"/>
      <c r="AHK104" s="530"/>
      <c r="AHL104" s="531"/>
      <c r="AHM104" s="530"/>
      <c r="AHN104" s="531"/>
      <c r="AHO104" s="530"/>
      <c r="AHP104" s="531"/>
      <c r="AHQ104" s="530"/>
      <c r="AHR104" s="531"/>
      <c r="AHS104" s="530"/>
      <c r="AHT104" s="531"/>
      <c r="AHU104" s="530"/>
      <c r="AHV104" s="531"/>
      <c r="AHW104" s="530"/>
      <c r="AHX104" s="531"/>
      <c r="AHY104" s="530"/>
      <c r="AHZ104" s="531"/>
      <c r="AIA104" s="530"/>
      <c r="AIB104" s="531"/>
      <c r="AIC104" s="530"/>
      <c r="AID104" s="531"/>
      <c r="AIE104" s="530"/>
      <c r="AIF104" s="531"/>
      <c r="AIG104" s="530"/>
      <c r="AIH104" s="531"/>
      <c r="AII104" s="530"/>
      <c r="AIJ104" s="531"/>
      <c r="AIK104" s="530"/>
      <c r="AIL104" s="531"/>
      <c r="AIM104" s="530"/>
      <c r="AIN104" s="531"/>
      <c r="AIO104" s="530"/>
      <c r="AIP104" s="531"/>
      <c r="AIQ104" s="530"/>
      <c r="AIR104" s="531"/>
      <c r="AIS104" s="530"/>
      <c r="AIT104" s="531"/>
      <c r="AIU104" s="530"/>
      <c r="AIV104" s="531"/>
      <c r="AIW104" s="530"/>
      <c r="AIX104" s="531"/>
      <c r="AIY104" s="530"/>
      <c r="AIZ104" s="531"/>
      <c r="AJA104" s="530"/>
      <c r="AJB104" s="531"/>
      <c r="AJC104" s="530"/>
      <c r="AJD104" s="531"/>
      <c r="AJE104" s="530"/>
      <c r="AJF104" s="531"/>
      <c r="AJG104" s="530"/>
      <c r="AJH104" s="531"/>
      <c r="AJI104" s="530"/>
      <c r="AJJ104" s="531"/>
      <c r="AJK104" s="530"/>
      <c r="AJL104" s="531"/>
      <c r="AJM104" s="530"/>
      <c r="AJN104" s="531"/>
      <c r="AJO104" s="530"/>
      <c r="AJP104" s="531"/>
      <c r="AJQ104" s="530"/>
      <c r="AJR104" s="531"/>
      <c r="AJS104" s="530"/>
      <c r="AJT104" s="531"/>
      <c r="AJU104" s="530"/>
      <c r="AJV104" s="531"/>
      <c r="AJW104" s="530"/>
      <c r="AJX104" s="531"/>
      <c r="AJY104" s="530"/>
      <c r="AJZ104" s="531"/>
      <c r="AKA104" s="530"/>
      <c r="AKB104" s="531"/>
      <c r="AKC104" s="530"/>
      <c r="AKD104" s="531"/>
      <c r="AKE104" s="530"/>
      <c r="AKF104" s="531"/>
      <c r="AKG104" s="530"/>
      <c r="AKH104" s="531"/>
      <c r="AKI104" s="530"/>
      <c r="AKJ104" s="531"/>
      <c r="AKK104" s="530"/>
      <c r="AKL104" s="531"/>
      <c r="AKM104" s="530"/>
      <c r="AKN104" s="531"/>
      <c r="AKO104" s="530"/>
      <c r="AKP104" s="531"/>
      <c r="AKQ104" s="530"/>
      <c r="AKR104" s="531"/>
      <c r="AKS104" s="530"/>
      <c r="AKT104" s="531"/>
      <c r="AKU104" s="530"/>
      <c r="AKV104" s="531"/>
      <c r="AKW104" s="530"/>
      <c r="AKX104" s="531"/>
      <c r="AKY104" s="530"/>
      <c r="AKZ104" s="531"/>
      <c r="ALA104" s="530"/>
      <c r="ALB104" s="531"/>
      <c r="ALC104" s="530"/>
      <c r="ALD104" s="531"/>
      <c r="ALE104" s="530"/>
      <c r="ALF104" s="531"/>
      <c r="ALG104" s="530"/>
      <c r="ALH104" s="531"/>
      <c r="ALI104" s="530"/>
      <c r="ALJ104" s="531"/>
      <c r="ALK104" s="530"/>
      <c r="ALL104" s="531"/>
      <c r="ALM104" s="530"/>
      <c r="ALN104" s="531"/>
      <c r="ALO104" s="530"/>
      <c r="ALP104" s="531"/>
      <c r="ALQ104" s="530"/>
      <c r="ALR104" s="531"/>
      <c r="ALS104" s="530"/>
      <c r="ALT104" s="531"/>
      <c r="ALU104" s="530"/>
      <c r="ALV104" s="531"/>
      <c r="ALW104" s="530"/>
      <c r="ALX104" s="531"/>
      <c r="ALY104" s="530"/>
      <c r="ALZ104" s="531"/>
      <c r="AMA104" s="530"/>
      <c r="AMB104" s="531"/>
      <c r="AMC104" s="530"/>
      <c r="AMD104" s="531"/>
      <c r="AME104" s="530"/>
      <c r="AMF104" s="531"/>
      <c r="AMG104" s="530"/>
      <c r="AMH104" s="531"/>
      <c r="AMI104" s="530"/>
      <c r="AMJ104" s="531"/>
      <c r="AMK104" s="530"/>
      <c r="AML104" s="531"/>
      <c r="AMM104" s="530"/>
      <c r="AMN104" s="531"/>
      <c r="AMO104" s="530"/>
      <c r="AMP104" s="531"/>
      <c r="AMQ104" s="530"/>
      <c r="AMR104" s="531"/>
      <c r="AMS104" s="530"/>
      <c r="AMT104" s="531"/>
      <c r="AMU104" s="530"/>
      <c r="AMV104" s="531"/>
      <c r="AMW104" s="530"/>
      <c r="AMX104" s="531"/>
      <c r="AMY104" s="530"/>
      <c r="AMZ104" s="531"/>
      <c r="ANA104" s="530"/>
      <c r="ANB104" s="531"/>
      <c r="ANC104" s="530"/>
      <c r="AND104" s="531"/>
      <c r="ANE104" s="530"/>
      <c r="ANF104" s="531"/>
      <c r="ANG104" s="530"/>
      <c r="ANH104" s="531"/>
      <c r="ANI104" s="530"/>
      <c r="ANJ104" s="531"/>
      <c r="ANK104" s="530"/>
      <c r="ANL104" s="531"/>
      <c r="ANM104" s="530"/>
      <c r="ANN104" s="531"/>
      <c r="ANO104" s="530"/>
      <c r="ANP104" s="531"/>
      <c r="ANQ104" s="530"/>
      <c r="ANR104" s="531"/>
      <c r="ANS104" s="530"/>
      <c r="ANT104" s="531"/>
      <c r="ANU104" s="530"/>
      <c r="ANV104" s="531"/>
      <c r="ANW104" s="530"/>
      <c r="ANX104" s="531"/>
      <c r="ANY104" s="530"/>
      <c r="ANZ104" s="531"/>
      <c r="AOA104" s="530"/>
      <c r="AOB104" s="531"/>
      <c r="AOC104" s="530"/>
      <c r="AOD104" s="531"/>
      <c r="AOE104" s="530"/>
      <c r="AOF104" s="531"/>
      <c r="AOG104" s="530"/>
      <c r="AOH104" s="531"/>
      <c r="AOI104" s="530"/>
      <c r="AOJ104" s="531"/>
      <c r="AOK104" s="530"/>
      <c r="AOL104" s="531"/>
      <c r="AOM104" s="530"/>
      <c r="AON104" s="531"/>
      <c r="AOO104" s="530"/>
      <c r="AOP104" s="531"/>
      <c r="AOQ104" s="530"/>
      <c r="AOR104" s="531"/>
      <c r="AOS104" s="530"/>
      <c r="AOT104" s="531"/>
      <c r="AOU104" s="530"/>
      <c r="AOV104" s="531"/>
      <c r="AOW104" s="530"/>
      <c r="AOX104" s="531"/>
      <c r="AOY104" s="530"/>
      <c r="AOZ104" s="531"/>
      <c r="APA104" s="530"/>
      <c r="APB104" s="531"/>
      <c r="APC104" s="530"/>
      <c r="APD104" s="531"/>
      <c r="APE104" s="530"/>
      <c r="APF104" s="531"/>
      <c r="APG104" s="530"/>
      <c r="APH104" s="531"/>
      <c r="API104" s="530"/>
      <c r="APJ104" s="531"/>
      <c r="APK104" s="530"/>
      <c r="APL104" s="531"/>
      <c r="APM104" s="530"/>
      <c r="APN104" s="531"/>
      <c r="APO104" s="530"/>
      <c r="APP104" s="531"/>
      <c r="APQ104" s="530"/>
      <c r="APR104" s="531"/>
      <c r="APS104" s="530"/>
      <c r="APT104" s="531"/>
      <c r="APU104" s="530"/>
      <c r="APV104" s="531"/>
      <c r="APW104" s="530"/>
      <c r="APX104" s="531"/>
      <c r="APY104" s="530"/>
      <c r="APZ104" s="531"/>
      <c r="AQA104" s="530"/>
      <c r="AQB104" s="531"/>
      <c r="AQC104" s="530"/>
      <c r="AQD104" s="531"/>
      <c r="AQE104" s="530"/>
      <c r="AQF104" s="531"/>
      <c r="AQG104" s="530"/>
      <c r="AQH104" s="531"/>
      <c r="AQI104" s="530"/>
      <c r="AQJ104" s="531"/>
      <c r="AQK104" s="530"/>
      <c r="AQL104" s="531"/>
      <c r="AQM104" s="530"/>
      <c r="AQN104" s="531"/>
      <c r="AQO104" s="530"/>
      <c r="AQP104" s="531"/>
      <c r="AQQ104" s="530"/>
      <c r="AQR104" s="531"/>
      <c r="AQS104" s="530"/>
      <c r="AQT104" s="531"/>
      <c r="AQU104" s="530"/>
      <c r="AQV104" s="531"/>
      <c r="AQW104" s="530"/>
      <c r="AQX104" s="531"/>
      <c r="AQY104" s="530"/>
      <c r="AQZ104" s="531"/>
      <c r="ARA104" s="530"/>
      <c r="ARB104" s="531"/>
      <c r="ARC104" s="530"/>
      <c r="ARD104" s="531"/>
      <c r="ARE104" s="530"/>
      <c r="ARF104" s="531"/>
      <c r="ARG104" s="530"/>
      <c r="ARH104" s="531"/>
      <c r="ARI104" s="530"/>
      <c r="ARJ104" s="531"/>
      <c r="ARK104" s="530"/>
      <c r="ARL104" s="531"/>
      <c r="ARM104" s="530"/>
      <c r="ARN104" s="531"/>
      <c r="ARO104" s="530"/>
      <c r="ARP104" s="531"/>
      <c r="ARQ104" s="530"/>
      <c r="ARR104" s="531"/>
      <c r="ARS104" s="530"/>
      <c r="ART104" s="531"/>
      <c r="ARU104" s="530"/>
      <c r="ARV104" s="531"/>
      <c r="ARW104" s="530"/>
      <c r="ARX104" s="531"/>
      <c r="ARY104" s="530"/>
      <c r="ARZ104" s="531"/>
      <c r="ASA104" s="530"/>
      <c r="ASB104" s="531"/>
      <c r="ASC104" s="530"/>
      <c r="ASD104" s="531"/>
      <c r="ASE104" s="530"/>
      <c r="ASF104" s="531"/>
      <c r="ASG104" s="530"/>
      <c r="ASH104" s="531"/>
      <c r="ASI104" s="530"/>
      <c r="ASJ104" s="531"/>
      <c r="ASK104" s="530"/>
      <c r="ASL104" s="531"/>
      <c r="ASM104" s="530"/>
      <c r="ASN104" s="531"/>
      <c r="ASO104" s="530"/>
      <c r="ASP104" s="531"/>
      <c r="ASQ104" s="530"/>
      <c r="ASR104" s="531"/>
      <c r="ASS104" s="530"/>
      <c r="AST104" s="531"/>
      <c r="ASU104" s="530"/>
      <c r="ASV104" s="531"/>
      <c r="ASW104" s="530"/>
      <c r="ASX104" s="531"/>
      <c r="ASY104" s="530"/>
      <c r="ASZ104" s="531"/>
      <c r="ATA104" s="530"/>
      <c r="ATB104" s="531"/>
      <c r="ATC104" s="530"/>
      <c r="ATD104" s="531"/>
      <c r="ATE104" s="530"/>
      <c r="ATF104" s="531"/>
      <c r="ATG104" s="530"/>
      <c r="ATH104" s="531"/>
      <c r="ATI104" s="530"/>
      <c r="ATJ104" s="531"/>
      <c r="ATK104" s="530"/>
      <c r="ATL104" s="531"/>
      <c r="ATM104" s="530"/>
      <c r="ATN104" s="531"/>
      <c r="ATO104" s="530"/>
      <c r="ATP104" s="531"/>
      <c r="ATQ104" s="530"/>
      <c r="ATR104" s="531"/>
      <c r="ATS104" s="530"/>
      <c r="ATT104" s="531"/>
      <c r="ATU104" s="530"/>
      <c r="ATV104" s="531"/>
      <c r="ATW104" s="530"/>
      <c r="ATX104" s="531"/>
      <c r="ATY104" s="530"/>
      <c r="ATZ104" s="531"/>
      <c r="AUA104" s="530"/>
      <c r="AUB104" s="531"/>
      <c r="AUC104" s="530"/>
      <c r="AUD104" s="531"/>
      <c r="AUE104" s="530"/>
      <c r="AUF104" s="531"/>
      <c r="AUG104" s="530"/>
      <c r="AUH104" s="531"/>
      <c r="AUI104" s="530"/>
      <c r="AUJ104" s="531"/>
      <c r="AUK104" s="530"/>
      <c r="AUL104" s="531"/>
      <c r="AUM104" s="530"/>
      <c r="AUN104" s="531"/>
      <c r="AUO104" s="530"/>
      <c r="AUP104" s="531"/>
      <c r="AUQ104" s="530"/>
      <c r="AUR104" s="531"/>
      <c r="AUS104" s="530"/>
      <c r="AUT104" s="531"/>
      <c r="AUU104" s="530"/>
      <c r="AUV104" s="531"/>
      <c r="AUW104" s="530"/>
      <c r="AUX104" s="531"/>
      <c r="AUY104" s="530"/>
      <c r="AUZ104" s="531"/>
      <c r="AVA104" s="530"/>
      <c r="AVB104" s="531"/>
      <c r="AVC104" s="530"/>
      <c r="AVD104" s="531"/>
      <c r="AVE104" s="530"/>
      <c r="AVF104" s="531"/>
      <c r="AVG104" s="530"/>
      <c r="AVH104" s="531"/>
      <c r="AVI104" s="530"/>
      <c r="AVJ104" s="531"/>
      <c r="AVK104" s="530"/>
      <c r="AVL104" s="531"/>
      <c r="AVM104" s="530"/>
      <c r="AVN104" s="531"/>
      <c r="AVO104" s="530"/>
      <c r="AVP104" s="531"/>
      <c r="AVQ104" s="530"/>
      <c r="AVR104" s="531"/>
      <c r="AVS104" s="530"/>
      <c r="AVT104" s="531"/>
      <c r="AVU104" s="530"/>
      <c r="AVV104" s="531"/>
      <c r="AVW104" s="530"/>
      <c r="AVX104" s="531"/>
      <c r="AVY104" s="530"/>
      <c r="AVZ104" s="531"/>
      <c r="AWA104" s="530"/>
      <c r="AWB104" s="531"/>
      <c r="AWC104" s="530"/>
      <c r="AWD104" s="531"/>
      <c r="AWE104" s="530"/>
      <c r="AWF104" s="531"/>
      <c r="AWG104" s="530"/>
      <c r="AWH104" s="531"/>
      <c r="AWI104" s="530"/>
      <c r="AWJ104" s="531"/>
      <c r="AWK104" s="530"/>
      <c r="AWL104" s="531"/>
      <c r="AWM104" s="530"/>
      <c r="AWN104" s="531"/>
      <c r="AWO104" s="530"/>
      <c r="AWP104" s="531"/>
      <c r="AWQ104" s="530"/>
      <c r="AWR104" s="531"/>
      <c r="AWS104" s="530"/>
      <c r="AWT104" s="531"/>
      <c r="AWU104" s="530"/>
      <c r="AWV104" s="531"/>
      <c r="AWW104" s="530"/>
      <c r="AWX104" s="531"/>
      <c r="AWY104" s="530"/>
      <c r="AWZ104" s="531"/>
      <c r="AXA104" s="530"/>
      <c r="AXB104" s="531"/>
      <c r="AXC104" s="530"/>
      <c r="AXD104" s="531"/>
      <c r="AXE104" s="530"/>
      <c r="AXF104" s="531"/>
      <c r="AXG104" s="530"/>
      <c r="AXH104" s="531"/>
      <c r="AXI104" s="530"/>
      <c r="AXJ104" s="531"/>
      <c r="AXK104" s="530"/>
      <c r="AXL104" s="531"/>
      <c r="AXM104" s="530"/>
      <c r="AXN104" s="531"/>
      <c r="AXO104" s="530"/>
      <c r="AXP104" s="531"/>
      <c r="AXQ104" s="530"/>
      <c r="AXR104" s="531"/>
      <c r="AXS104" s="530"/>
      <c r="AXT104" s="531"/>
      <c r="AXU104" s="530"/>
      <c r="AXV104" s="531"/>
      <c r="AXW104" s="530"/>
      <c r="AXX104" s="531"/>
      <c r="AXY104" s="530"/>
      <c r="AXZ104" s="531"/>
      <c r="AYA104" s="530"/>
      <c r="AYB104" s="531"/>
      <c r="AYC104" s="530"/>
      <c r="AYD104" s="531"/>
      <c r="AYE104" s="530"/>
      <c r="AYF104" s="531"/>
      <c r="AYG104" s="530"/>
      <c r="AYH104" s="531"/>
      <c r="AYI104" s="530"/>
      <c r="AYJ104" s="531"/>
      <c r="AYK104" s="530"/>
      <c r="AYL104" s="531"/>
      <c r="AYM104" s="530"/>
      <c r="AYN104" s="531"/>
      <c r="AYO104" s="530"/>
      <c r="AYP104" s="531"/>
      <c r="AYQ104" s="530"/>
      <c r="AYR104" s="531"/>
      <c r="AYS104" s="530"/>
      <c r="AYT104" s="531"/>
      <c r="AYU104" s="530"/>
      <c r="AYV104" s="531"/>
      <c r="AYW104" s="530"/>
      <c r="AYX104" s="531"/>
      <c r="AYY104" s="530"/>
      <c r="AYZ104" s="531"/>
      <c r="AZA104" s="530"/>
      <c r="AZB104" s="531"/>
      <c r="AZC104" s="530"/>
      <c r="AZD104" s="531"/>
      <c r="AZE104" s="530"/>
      <c r="AZF104" s="531"/>
      <c r="AZG104" s="530"/>
      <c r="AZH104" s="531"/>
      <c r="AZI104" s="530"/>
      <c r="AZJ104" s="531"/>
      <c r="AZK104" s="530"/>
      <c r="AZL104" s="531"/>
      <c r="AZM104" s="530"/>
      <c r="AZN104" s="531"/>
      <c r="AZO104" s="530"/>
      <c r="AZP104" s="531"/>
      <c r="AZQ104" s="530"/>
      <c r="AZR104" s="531"/>
      <c r="AZS104" s="530"/>
      <c r="AZT104" s="531"/>
      <c r="AZU104" s="530"/>
      <c r="AZV104" s="531"/>
      <c r="AZW104" s="530"/>
      <c r="AZX104" s="531"/>
      <c r="AZY104" s="530"/>
      <c r="AZZ104" s="531"/>
      <c r="BAA104" s="530"/>
      <c r="BAB104" s="531"/>
      <c r="BAC104" s="530"/>
      <c r="BAD104" s="531"/>
      <c r="BAE104" s="530"/>
      <c r="BAF104" s="531"/>
      <c r="BAG104" s="530"/>
      <c r="BAH104" s="531"/>
      <c r="BAI104" s="530"/>
      <c r="BAJ104" s="531"/>
      <c r="BAK104" s="530"/>
      <c r="BAL104" s="531"/>
      <c r="BAM104" s="530"/>
      <c r="BAN104" s="531"/>
      <c r="BAO104" s="530"/>
      <c r="BAP104" s="531"/>
      <c r="BAQ104" s="530"/>
      <c r="BAR104" s="531"/>
      <c r="BAS104" s="530"/>
      <c r="BAT104" s="531"/>
      <c r="BAU104" s="530"/>
      <c r="BAV104" s="531"/>
      <c r="BAW104" s="530"/>
      <c r="BAX104" s="531"/>
      <c r="BAY104" s="530"/>
      <c r="BAZ104" s="531"/>
      <c r="BBA104" s="530"/>
      <c r="BBB104" s="531"/>
      <c r="BBC104" s="530"/>
      <c r="BBD104" s="531"/>
      <c r="BBE104" s="530"/>
      <c r="BBF104" s="531"/>
      <c r="BBG104" s="530"/>
      <c r="BBH104" s="531"/>
      <c r="BBI104" s="530"/>
      <c r="BBJ104" s="531"/>
      <c r="BBK104" s="530"/>
      <c r="BBL104" s="531"/>
      <c r="BBM104" s="530"/>
      <c r="BBN104" s="531"/>
      <c r="BBO104" s="530"/>
      <c r="BBP104" s="531"/>
      <c r="BBQ104" s="530"/>
      <c r="BBR104" s="531"/>
      <c r="BBS104" s="530"/>
      <c r="BBT104" s="531"/>
      <c r="BBU104" s="530"/>
      <c r="BBV104" s="531"/>
      <c r="BBW104" s="530"/>
      <c r="BBX104" s="531"/>
      <c r="BBY104" s="530"/>
      <c r="BBZ104" s="531"/>
      <c r="BCA104" s="530"/>
      <c r="BCB104" s="531"/>
      <c r="BCC104" s="530"/>
      <c r="BCD104" s="531"/>
      <c r="BCE104" s="530"/>
      <c r="BCF104" s="531"/>
      <c r="BCG104" s="530"/>
      <c r="BCH104" s="531"/>
      <c r="BCI104" s="530"/>
      <c r="BCJ104" s="531"/>
      <c r="BCK104" s="530"/>
      <c r="BCL104" s="531"/>
      <c r="BCM104" s="530"/>
      <c r="BCN104" s="531"/>
      <c r="BCO104" s="530"/>
      <c r="BCP104" s="531"/>
      <c r="BCQ104" s="530"/>
      <c r="BCR104" s="531"/>
      <c r="BCS104" s="530"/>
      <c r="BCT104" s="531"/>
      <c r="BCU104" s="530"/>
      <c r="BCV104" s="531"/>
      <c r="BCW104" s="530"/>
      <c r="BCX104" s="531"/>
      <c r="BCY104" s="530"/>
      <c r="BCZ104" s="531"/>
      <c r="BDA104" s="530"/>
      <c r="BDB104" s="531"/>
      <c r="BDC104" s="530"/>
      <c r="BDD104" s="531"/>
      <c r="BDE104" s="530"/>
      <c r="BDF104" s="531"/>
      <c r="BDG104" s="530"/>
      <c r="BDH104" s="531"/>
      <c r="BDI104" s="530"/>
      <c r="BDJ104" s="531"/>
      <c r="BDK104" s="530"/>
      <c r="BDL104" s="531"/>
      <c r="BDM104" s="530"/>
      <c r="BDN104" s="531"/>
      <c r="BDO104" s="530"/>
      <c r="BDP104" s="531"/>
      <c r="BDQ104" s="530"/>
      <c r="BDR104" s="531"/>
      <c r="BDS104" s="530"/>
      <c r="BDT104" s="531"/>
      <c r="BDU104" s="530"/>
      <c r="BDV104" s="531"/>
      <c r="BDW104" s="530"/>
      <c r="BDX104" s="531"/>
      <c r="BDY104" s="530"/>
      <c r="BDZ104" s="531"/>
      <c r="BEA104" s="530"/>
      <c r="BEB104" s="531"/>
      <c r="BEC104" s="530"/>
      <c r="BED104" s="531"/>
      <c r="BEE104" s="530"/>
      <c r="BEF104" s="531"/>
      <c r="BEG104" s="530"/>
      <c r="BEH104" s="531"/>
      <c r="BEI104" s="530"/>
      <c r="BEJ104" s="531"/>
      <c r="BEK104" s="530"/>
      <c r="BEL104" s="531"/>
      <c r="BEM104" s="530"/>
      <c r="BEN104" s="531"/>
      <c r="BEO104" s="530"/>
      <c r="BEP104" s="531"/>
      <c r="BEQ104" s="530"/>
      <c r="BER104" s="531"/>
      <c r="BES104" s="530"/>
      <c r="BET104" s="531"/>
      <c r="BEU104" s="530"/>
      <c r="BEV104" s="531"/>
      <c r="BEW104" s="530"/>
      <c r="BEX104" s="531"/>
      <c r="BEY104" s="530"/>
      <c r="BEZ104" s="531"/>
      <c r="BFA104" s="530"/>
      <c r="BFB104" s="531"/>
      <c r="BFC104" s="530"/>
      <c r="BFD104" s="531"/>
      <c r="BFE104" s="530"/>
      <c r="BFF104" s="531"/>
      <c r="BFG104" s="530"/>
      <c r="BFH104" s="531"/>
      <c r="BFI104" s="530"/>
      <c r="BFJ104" s="531"/>
      <c r="BFK104" s="530"/>
      <c r="BFL104" s="531"/>
      <c r="BFM104" s="530"/>
      <c r="BFN104" s="531"/>
      <c r="BFO104" s="530"/>
      <c r="BFP104" s="531"/>
      <c r="BFQ104" s="530"/>
      <c r="BFR104" s="531"/>
      <c r="BFS104" s="530"/>
      <c r="BFT104" s="531"/>
      <c r="BFU104" s="530"/>
      <c r="BFV104" s="531"/>
      <c r="BFW104" s="530"/>
      <c r="BFX104" s="531"/>
      <c r="BFY104" s="530"/>
      <c r="BFZ104" s="531"/>
      <c r="BGA104" s="530"/>
      <c r="BGB104" s="531"/>
      <c r="BGC104" s="530"/>
      <c r="BGD104" s="531"/>
      <c r="BGE104" s="530"/>
      <c r="BGF104" s="531"/>
      <c r="BGG104" s="530"/>
      <c r="BGH104" s="531"/>
      <c r="BGI104" s="530"/>
      <c r="BGJ104" s="531"/>
      <c r="BGK104" s="530"/>
      <c r="BGL104" s="531"/>
      <c r="BGM104" s="530"/>
      <c r="BGN104" s="531"/>
      <c r="BGO104" s="530"/>
      <c r="BGP104" s="531"/>
      <c r="BGQ104" s="530"/>
      <c r="BGR104" s="531"/>
      <c r="BGS104" s="530"/>
      <c r="BGT104" s="531"/>
      <c r="BGU104" s="530"/>
      <c r="BGV104" s="531"/>
      <c r="BGW104" s="530"/>
      <c r="BGX104" s="531"/>
      <c r="BGY104" s="530"/>
      <c r="BGZ104" s="531"/>
      <c r="BHA104" s="530"/>
      <c r="BHB104" s="531"/>
      <c r="BHC104" s="530"/>
      <c r="BHD104" s="531"/>
      <c r="BHE104" s="530"/>
      <c r="BHF104" s="531"/>
      <c r="BHG104" s="530"/>
      <c r="BHH104" s="531"/>
      <c r="BHI104" s="530"/>
      <c r="BHJ104" s="531"/>
      <c r="BHK104" s="530"/>
      <c r="BHL104" s="531"/>
      <c r="BHM104" s="530"/>
      <c r="BHN104" s="531"/>
      <c r="BHO104" s="530"/>
      <c r="BHP104" s="531"/>
      <c r="BHQ104" s="530"/>
      <c r="BHR104" s="531"/>
      <c r="BHS104" s="530"/>
      <c r="BHT104" s="531"/>
      <c r="BHU104" s="530"/>
      <c r="BHV104" s="531"/>
      <c r="BHW104" s="530"/>
      <c r="BHX104" s="531"/>
      <c r="BHY104" s="530"/>
      <c r="BHZ104" s="531"/>
      <c r="BIA104" s="530"/>
      <c r="BIB104" s="531"/>
      <c r="BIC104" s="530"/>
      <c r="BID104" s="531"/>
      <c r="BIE104" s="530"/>
      <c r="BIF104" s="531"/>
      <c r="BIG104" s="530"/>
      <c r="BIH104" s="531"/>
      <c r="BII104" s="530"/>
      <c r="BIJ104" s="531"/>
      <c r="BIK104" s="530"/>
      <c r="BIL104" s="531"/>
      <c r="BIM104" s="530"/>
      <c r="BIN104" s="531"/>
      <c r="BIO104" s="530"/>
      <c r="BIP104" s="531"/>
      <c r="BIQ104" s="530"/>
      <c r="BIR104" s="531"/>
      <c r="BIS104" s="530"/>
      <c r="BIT104" s="531"/>
      <c r="BIU104" s="530"/>
      <c r="BIV104" s="531"/>
      <c r="BIW104" s="530"/>
      <c r="BIX104" s="531"/>
      <c r="BIY104" s="530"/>
      <c r="BIZ104" s="531"/>
      <c r="BJA104" s="530"/>
      <c r="BJB104" s="531"/>
      <c r="BJC104" s="530"/>
      <c r="BJD104" s="531"/>
      <c r="BJE104" s="530"/>
      <c r="BJF104" s="531"/>
      <c r="BJG104" s="530"/>
      <c r="BJH104" s="531"/>
      <c r="BJI104" s="530"/>
      <c r="BJJ104" s="531"/>
      <c r="BJK104" s="530"/>
      <c r="BJL104" s="531"/>
      <c r="BJM104" s="530"/>
      <c r="BJN104" s="531"/>
      <c r="BJO104" s="530"/>
      <c r="BJP104" s="531"/>
      <c r="BJQ104" s="530"/>
      <c r="BJR104" s="531"/>
      <c r="BJS104" s="530"/>
      <c r="BJT104" s="531"/>
      <c r="BJU104" s="530"/>
      <c r="BJV104" s="531"/>
      <c r="BJW104" s="530"/>
      <c r="BJX104" s="531"/>
      <c r="BJY104" s="530"/>
      <c r="BJZ104" s="531"/>
      <c r="BKA104" s="530"/>
      <c r="BKB104" s="531"/>
      <c r="BKC104" s="530"/>
      <c r="BKD104" s="531"/>
      <c r="BKE104" s="530"/>
      <c r="BKF104" s="531"/>
      <c r="BKG104" s="530"/>
      <c r="BKH104" s="531"/>
      <c r="BKI104" s="530"/>
      <c r="BKJ104" s="531"/>
      <c r="BKK104" s="530"/>
      <c r="BKL104" s="531"/>
      <c r="BKM104" s="530"/>
      <c r="BKN104" s="531"/>
      <c r="BKO104" s="530"/>
      <c r="BKP104" s="531"/>
      <c r="BKQ104" s="530"/>
      <c r="BKR104" s="531"/>
      <c r="BKS104" s="530"/>
      <c r="BKT104" s="531"/>
      <c r="BKU104" s="530"/>
      <c r="BKV104" s="531"/>
      <c r="BKW104" s="530"/>
      <c r="BKX104" s="531"/>
      <c r="BKY104" s="530"/>
      <c r="BKZ104" s="531"/>
      <c r="BLA104" s="530"/>
      <c r="BLB104" s="531"/>
      <c r="BLC104" s="530"/>
      <c r="BLD104" s="531"/>
      <c r="BLE104" s="530"/>
      <c r="BLF104" s="531"/>
      <c r="BLG104" s="530"/>
      <c r="BLH104" s="531"/>
      <c r="BLI104" s="530"/>
      <c r="BLJ104" s="531"/>
      <c r="BLK104" s="530"/>
      <c r="BLL104" s="531"/>
      <c r="BLM104" s="530"/>
      <c r="BLN104" s="531"/>
      <c r="BLO104" s="530"/>
      <c r="BLP104" s="531"/>
      <c r="BLQ104" s="530"/>
      <c r="BLR104" s="531"/>
      <c r="BLS104" s="530"/>
      <c r="BLT104" s="531"/>
      <c r="BLU104" s="530"/>
      <c r="BLV104" s="531"/>
      <c r="BLW104" s="530"/>
      <c r="BLX104" s="531"/>
      <c r="BLY104" s="530"/>
      <c r="BLZ104" s="531"/>
      <c r="BMA104" s="530"/>
      <c r="BMB104" s="531"/>
      <c r="BMC104" s="530"/>
      <c r="BMD104" s="531"/>
      <c r="BME104" s="530"/>
      <c r="BMF104" s="531"/>
      <c r="BMG104" s="530"/>
      <c r="BMH104" s="531"/>
      <c r="BMI104" s="530"/>
      <c r="BMJ104" s="531"/>
      <c r="BMK104" s="530"/>
      <c r="BML104" s="531"/>
      <c r="BMM104" s="530"/>
      <c r="BMN104" s="531"/>
      <c r="BMO104" s="530"/>
      <c r="BMP104" s="531"/>
      <c r="BMQ104" s="530"/>
      <c r="BMR104" s="531"/>
      <c r="BMS104" s="530"/>
      <c r="BMT104" s="531"/>
      <c r="BMU104" s="530"/>
      <c r="BMV104" s="531"/>
      <c r="BMW104" s="530"/>
      <c r="BMX104" s="531"/>
      <c r="BMY104" s="530"/>
      <c r="BMZ104" s="531"/>
      <c r="BNA104" s="530"/>
      <c r="BNB104" s="531"/>
      <c r="BNC104" s="530"/>
      <c r="BND104" s="531"/>
      <c r="BNE104" s="530"/>
      <c r="BNF104" s="531"/>
      <c r="BNG104" s="530"/>
      <c r="BNH104" s="531"/>
      <c r="BNI104" s="530"/>
      <c r="BNJ104" s="531"/>
      <c r="BNK104" s="530"/>
      <c r="BNL104" s="531"/>
      <c r="BNM104" s="530"/>
      <c r="BNN104" s="531"/>
      <c r="BNO104" s="530"/>
      <c r="BNP104" s="531"/>
      <c r="BNQ104" s="530"/>
      <c r="BNR104" s="531"/>
      <c r="BNS104" s="530"/>
      <c r="BNT104" s="531"/>
      <c r="BNU104" s="530"/>
      <c r="BNV104" s="531"/>
      <c r="BNW104" s="530"/>
      <c r="BNX104" s="531"/>
      <c r="BNY104" s="530"/>
      <c r="BNZ104" s="531"/>
      <c r="BOA104" s="530"/>
      <c r="BOB104" s="531"/>
      <c r="BOC104" s="530"/>
      <c r="BOD104" s="531"/>
      <c r="BOE104" s="530"/>
      <c r="BOF104" s="531"/>
      <c r="BOG104" s="530"/>
      <c r="BOH104" s="531"/>
      <c r="BOI104" s="530"/>
      <c r="BOJ104" s="531"/>
      <c r="BOK104" s="530"/>
      <c r="BOL104" s="531"/>
      <c r="BOM104" s="530"/>
      <c r="BON104" s="531"/>
      <c r="BOO104" s="530"/>
      <c r="BOP104" s="531"/>
      <c r="BOQ104" s="530"/>
      <c r="BOR104" s="531"/>
      <c r="BOS104" s="530"/>
      <c r="BOT104" s="531"/>
      <c r="BOU104" s="530"/>
      <c r="BOV104" s="531"/>
      <c r="BOW104" s="530"/>
      <c r="BOX104" s="531"/>
      <c r="BOY104" s="530"/>
      <c r="BOZ104" s="531"/>
      <c r="BPA104" s="530"/>
      <c r="BPB104" s="531"/>
      <c r="BPC104" s="530"/>
      <c r="BPD104" s="531"/>
      <c r="BPE104" s="530"/>
      <c r="BPF104" s="531"/>
      <c r="BPG104" s="530"/>
      <c r="BPH104" s="531"/>
      <c r="BPI104" s="530"/>
      <c r="BPJ104" s="531"/>
      <c r="BPK104" s="530"/>
      <c r="BPL104" s="531"/>
      <c r="BPM104" s="530"/>
      <c r="BPN104" s="531"/>
      <c r="BPO104" s="530"/>
      <c r="BPP104" s="531"/>
      <c r="BPQ104" s="530"/>
      <c r="BPR104" s="531"/>
      <c r="BPS104" s="530"/>
      <c r="BPT104" s="531"/>
      <c r="BPU104" s="530"/>
      <c r="BPV104" s="531"/>
      <c r="BPW104" s="530"/>
      <c r="BPX104" s="531"/>
      <c r="BPY104" s="530"/>
      <c r="BPZ104" s="531"/>
      <c r="BQA104" s="530"/>
      <c r="BQB104" s="531"/>
      <c r="BQC104" s="530"/>
      <c r="BQD104" s="531"/>
      <c r="BQE104" s="530"/>
      <c r="BQF104" s="531"/>
      <c r="BQG104" s="530"/>
      <c r="BQH104" s="531"/>
      <c r="BQI104" s="530"/>
      <c r="BQJ104" s="531"/>
      <c r="BQK104" s="530"/>
      <c r="BQL104" s="531"/>
      <c r="BQM104" s="530"/>
      <c r="BQN104" s="531"/>
      <c r="BQO104" s="530"/>
      <c r="BQP104" s="531"/>
      <c r="BQQ104" s="530"/>
      <c r="BQR104" s="531"/>
      <c r="BQS104" s="530"/>
      <c r="BQT104" s="531"/>
      <c r="BQU104" s="530"/>
      <c r="BQV104" s="531"/>
      <c r="BQW104" s="530"/>
      <c r="BQX104" s="531"/>
      <c r="BQY104" s="530"/>
      <c r="BQZ104" s="531"/>
      <c r="BRA104" s="530"/>
      <c r="BRB104" s="531"/>
      <c r="BRC104" s="530"/>
      <c r="BRD104" s="531"/>
      <c r="BRE104" s="530"/>
      <c r="BRF104" s="531"/>
      <c r="BRG104" s="530"/>
      <c r="BRH104" s="531"/>
      <c r="BRI104" s="530"/>
      <c r="BRJ104" s="531"/>
      <c r="BRK104" s="530"/>
      <c r="BRL104" s="531"/>
      <c r="BRM104" s="530"/>
      <c r="BRN104" s="531"/>
      <c r="BRO104" s="530"/>
      <c r="BRP104" s="531"/>
      <c r="BRQ104" s="530"/>
      <c r="BRR104" s="531"/>
      <c r="BRS104" s="530"/>
      <c r="BRT104" s="531"/>
      <c r="BRU104" s="530"/>
      <c r="BRV104" s="531"/>
      <c r="BRW104" s="530"/>
      <c r="BRX104" s="531"/>
      <c r="BRY104" s="530"/>
      <c r="BRZ104" s="531"/>
      <c r="BSA104" s="530"/>
      <c r="BSB104" s="531"/>
      <c r="BSC104" s="530"/>
      <c r="BSD104" s="531"/>
      <c r="BSE104" s="530"/>
      <c r="BSF104" s="531"/>
      <c r="BSG104" s="530"/>
      <c r="BSH104" s="531"/>
      <c r="BSI104" s="530"/>
      <c r="BSJ104" s="531"/>
      <c r="BSK104" s="530"/>
      <c r="BSL104" s="531"/>
      <c r="BSM104" s="530"/>
      <c r="BSN104" s="531"/>
      <c r="BSO104" s="530"/>
      <c r="BSP104" s="531"/>
      <c r="BSQ104" s="530"/>
      <c r="BSR104" s="531"/>
      <c r="BSS104" s="530"/>
      <c r="BST104" s="531"/>
      <c r="BSU104" s="530"/>
      <c r="BSV104" s="531"/>
      <c r="BSW104" s="530"/>
      <c r="BSX104" s="531"/>
      <c r="BSY104" s="530"/>
      <c r="BSZ104" s="531"/>
      <c r="BTA104" s="530"/>
      <c r="BTB104" s="531"/>
      <c r="BTC104" s="530"/>
      <c r="BTD104" s="531"/>
      <c r="BTE104" s="530"/>
      <c r="BTF104" s="531"/>
      <c r="BTG104" s="530"/>
      <c r="BTH104" s="531"/>
      <c r="BTI104" s="530"/>
      <c r="BTJ104" s="531"/>
      <c r="BTK104" s="530"/>
      <c r="BTL104" s="531"/>
      <c r="BTM104" s="530"/>
      <c r="BTN104" s="531"/>
      <c r="BTO104" s="530"/>
      <c r="BTP104" s="531"/>
      <c r="BTQ104" s="530"/>
      <c r="BTR104" s="531"/>
      <c r="BTS104" s="530"/>
      <c r="BTT104" s="531"/>
      <c r="BTU104" s="530"/>
      <c r="BTV104" s="531"/>
      <c r="BTW104" s="530"/>
      <c r="BTX104" s="531"/>
      <c r="BTY104" s="530"/>
      <c r="BTZ104" s="531"/>
      <c r="BUA104" s="530"/>
      <c r="BUB104" s="531"/>
      <c r="BUC104" s="530"/>
      <c r="BUD104" s="531"/>
      <c r="BUE104" s="530"/>
      <c r="BUF104" s="531"/>
      <c r="BUG104" s="530"/>
      <c r="BUH104" s="531"/>
      <c r="BUI104" s="530"/>
      <c r="BUJ104" s="531"/>
      <c r="BUK104" s="530"/>
      <c r="BUL104" s="531"/>
      <c r="BUM104" s="530"/>
      <c r="BUN104" s="531"/>
      <c r="BUO104" s="530"/>
      <c r="BUP104" s="531"/>
      <c r="BUQ104" s="530"/>
      <c r="BUR104" s="531"/>
      <c r="BUS104" s="530"/>
      <c r="BUT104" s="531"/>
      <c r="BUU104" s="530"/>
      <c r="BUV104" s="531"/>
      <c r="BUW104" s="530"/>
      <c r="BUX104" s="531"/>
      <c r="BUY104" s="530"/>
      <c r="BUZ104" s="531"/>
      <c r="BVA104" s="530"/>
      <c r="BVB104" s="531"/>
      <c r="BVC104" s="530"/>
      <c r="BVD104" s="531"/>
      <c r="BVE104" s="530"/>
      <c r="BVF104" s="531"/>
      <c r="BVG104" s="530"/>
      <c r="BVH104" s="531"/>
      <c r="BVI104" s="530"/>
      <c r="BVJ104" s="531"/>
      <c r="BVK104" s="530"/>
      <c r="BVL104" s="531"/>
      <c r="BVM104" s="530"/>
      <c r="BVN104" s="531"/>
      <c r="BVO104" s="530"/>
      <c r="BVP104" s="531"/>
      <c r="BVQ104" s="530"/>
      <c r="BVR104" s="531"/>
      <c r="BVS104" s="530"/>
      <c r="BVT104" s="531"/>
      <c r="BVU104" s="530"/>
      <c r="BVV104" s="531"/>
      <c r="BVW104" s="530"/>
      <c r="BVX104" s="531"/>
      <c r="BVY104" s="530"/>
      <c r="BVZ104" s="531"/>
      <c r="BWA104" s="530"/>
      <c r="BWB104" s="531"/>
      <c r="BWC104" s="530"/>
      <c r="BWD104" s="531"/>
      <c r="BWE104" s="530"/>
      <c r="BWF104" s="531"/>
      <c r="BWG104" s="530"/>
      <c r="BWH104" s="531"/>
      <c r="BWI104" s="530"/>
      <c r="BWJ104" s="531"/>
      <c r="BWK104" s="530"/>
      <c r="BWL104" s="531"/>
      <c r="BWM104" s="530"/>
      <c r="BWN104" s="531"/>
      <c r="BWO104" s="530"/>
      <c r="BWP104" s="531"/>
      <c r="BWQ104" s="530"/>
      <c r="BWR104" s="531"/>
      <c r="BWS104" s="530"/>
      <c r="BWT104" s="531"/>
      <c r="BWU104" s="530"/>
      <c r="BWV104" s="531"/>
      <c r="BWW104" s="530"/>
      <c r="BWX104" s="531"/>
      <c r="BWY104" s="530"/>
      <c r="BWZ104" s="531"/>
      <c r="BXA104" s="530"/>
      <c r="BXB104" s="531"/>
      <c r="BXC104" s="530"/>
      <c r="BXD104" s="531"/>
      <c r="BXE104" s="530"/>
      <c r="BXF104" s="531"/>
      <c r="BXG104" s="530"/>
      <c r="BXH104" s="531"/>
      <c r="BXI104" s="530"/>
      <c r="BXJ104" s="531"/>
      <c r="BXK104" s="530"/>
      <c r="BXL104" s="531"/>
      <c r="BXM104" s="530"/>
      <c r="BXN104" s="531"/>
      <c r="BXO104" s="530"/>
      <c r="BXP104" s="531"/>
      <c r="BXQ104" s="530"/>
      <c r="BXR104" s="531"/>
      <c r="BXS104" s="530"/>
      <c r="BXT104" s="531"/>
      <c r="BXU104" s="530"/>
      <c r="BXV104" s="531"/>
      <c r="BXW104" s="530"/>
      <c r="BXX104" s="531"/>
      <c r="BXY104" s="530"/>
      <c r="BXZ104" s="531"/>
      <c r="BYA104" s="530"/>
      <c r="BYB104" s="531"/>
      <c r="BYC104" s="530"/>
      <c r="BYD104" s="531"/>
      <c r="BYE104" s="530"/>
      <c r="BYF104" s="531"/>
      <c r="BYG104" s="530"/>
      <c r="BYH104" s="531"/>
      <c r="BYI104" s="530"/>
      <c r="BYJ104" s="531"/>
      <c r="BYK104" s="530"/>
      <c r="BYL104" s="531"/>
      <c r="BYM104" s="530"/>
      <c r="BYN104" s="531"/>
      <c r="BYO104" s="530"/>
      <c r="BYP104" s="531"/>
      <c r="BYQ104" s="530"/>
      <c r="BYR104" s="531"/>
      <c r="BYS104" s="530"/>
      <c r="BYT104" s="531"/>
      <c r="BYU104" s="530"/>
      <c r="BYV104" s="531"/>
      <c r="BYW104" s="530"/>
      <c r="BYX104" s="531"/>
      <c r="BYY104" s="530"/>
      <c r="BYZ104" s="531"/>
      <c r="BZA104" s="530"/>
      <c r="BZB104" s="531"/>
      <c r="BZC104" s="530"/>
      <c r="BZD104" s="531"/>
      <c r="BZE104" s="530"/>
      <c r="BZF104" s="531"/>
      <c r="BZG104" s="530"/>
      <c r="BZH104" s="531"/>
      <c r="BZI104" s="530"/>
      <c r="BZJ104" s="531"/>
      <c r="BZK104" s="530"/>
      <c r="BZL104" s="531"/>
      <c r="BZM104" s="530"/>
      <c r="BZN104" s="531"/>
      <c r="BZO104" s="530"/>
      <c r="BZP104" s="531"/>
      <c r="BZQ104" s="530"/>
      <c r="BZR104" s="531"/>
      <c r="BZS104" s="530"/>
      <c r="BZT104" s="531"/>
      <c r="BZU104" s="530"/>
      <c r="BZV104" s="531"/>
      <c r="BZW104" s="530"/>
      <c r="BZX104" s="531"/>
      <c r="BZY104" s="530"/>
      <c r="BZZ104" s="531"/>
      <c r="CAA104" s="530"/>
      <c r="CAB104" s="531"/>
      <c r="CAC104" s="530"/>
      <c r="CAD104" s="531"/>
      <c r="CAE104" s="530"/>
      <c r="CAF104" s="531"/>
      <c r="CAG104" s="530"/>
      <c r="CAH104" s="531"/>
      <c r="CAI104" s="530"/>
      <c r="CAJ104" s="531"/>
      <c r="CAK104" s="530"/>
      <c r="CAL104" s="531"/>
      <c r="CAM104" s="530"/>
      <c r="CAN104" s="531"/>
      <c r="CAO104" s="530"/>
      <c r="CAP104" s="531"/>
      <c r="CAQ104" s="530"/>
      <c r="CAR104" s="531"/>
      <c r="CAS104" s="530"/>
      <c r="CAT104" s="531"/>
      <c r="CAU104" s="530"/>
      <c r="CAV104" s="531"/>
      <c r="CAW104" s="530"/>
      <c r="CAX104" s="531"/>
      <c r="CAY104" s="530"/>
      <c r="CAZ104" s="531"/>
      <c r="CBA104" s="530"/>
      <c r="CBB104" s="531"/>
      <c r="CBC104" s="530"/>
      <c r="CBD104" s="531"/>
      <c r="CBE104" s="530"/>
      <c r="CBF104" s="531"/>
      <c r="CBG104" s="530"/>
      <c r="CBH104" s="531"/>
      <c r="CBI104" s="530"/>
      <c r="CBJ104" s="531"/>
      <c r="CBK104" s="530"/>
      <c r="CBL104" s="531"/>
      <c r="CBM104" s="530"/>
      <c r="CBN104" s="531"/>
      <c r="CBO104" s="530"/>
      <c r="CBP104" s="531"/>
      <c r="CBQ104" s="530"/>
      <c r="CBR104" s="531"/>
      <c r="CBS104" s="530"/>
      <c r="CBT104" s="531"/>
      <c r="CBU104" s="530"/>
      <c r="CBV104" s="531"/>
      <c r="CBW104" s="530"/>
      <c r="CBX104" s="531"/>
      <c r="CBY104" s="530"/>
      <c r="CBZ104" s="531"/>
      <c r="CCA104" s="530"/>
      <c r="CCB104" s="531"/>
      <c r="CCC104" s="530"/>
      <c r="CCD104" s="531"/>
      <c r="CCE104" s="530"/>
      <c r="CCF104" s="531"/>
      <c r="CCG104" s="530"/>
      <c r="CCH104" s="531"/>
      <c r="CCI104" s="530"/>
      <c r="CCJ104" s="531"/>
      <c r="CCK104" s="530"/>
      <c r="CCL104" s="531"/>
      <c r="CCM104" s="530"/>
      <c r="CCN104" s="531"/>
      <c r="CCO104" s="530"/>
      <c r="CCP104" s="531"/>
      <c r="CCQ104" s="530"/>
      <c r="CCR104" s="531"/>
      <c r="CCS104" s="530"/>
      <c r="CCT104" s="531"/>
      <c r="CCU104" s="530"/>
      <c r="CCV104" s="531"/>
      <c r="CCW104" s="530"/>
      <c r="CCX104" s="531"/>
      <c r="CCY104" s="530"/>
      <c r="CCZ104" s="531"/>
      <c r="CDA104" s="530"/>
      <c r="CDB104" s="531"/>
      <c r="CDC104" s="530"/>
      <c r="CDD104" s="531"/>
      <c r="CDE104" s="530"/>
      <c r="CDF104" s="531"/>
      <c r="CDG104" s="530"/>
      <c r="CDH104" s="531"/>
      <c r="CDI104" s="530"/>
      <c r="CDJ104" s="531"/>
      <c r="CDK104" s="530"/>
      <c r="CDL104" s="531"/>
      <c r="CDM104" s="530"/>
      <c r="CDN104" s="531"/>
      <c r="CDO104" s="530"/>
      <c r="CDP104" s="531"/>
      <c r="CDQ104" s="530"/>
      <c r="CDR104" s="531"/>
      <c r="CDS104" s="530"/>
      <c r="CDT104" s="531"/>
      <c r="CDU104" s="530"/>
      <c r="CDV104" s="531"/>
      <c r="CDW104" s="530"/>
      <c r="CDX104" s="531"/>
      <c r="CDY104" s="530"/>
      <c r="CDZ104" s="531"/>
      <c r="CEA104" s="530"/>
      <c r="CEB104" s="531"/>
      <c r="CEC104" s="530"/>
      <c r="CED104" s="531"/>
      <c r="CEE104" s="530"/>
      <c r="CEF104" s="531"/>
      <c r="CEG104" s="530"/>
      <c r="CEH104" s="531"/>
      <c r="CEI104" s="530"/>
      <c r="CEJ104" s="531"/>
      <c r="CEK104" s="530"/>
      <c r="CEL104" s="531"/>
      <c r="CEM104" s="530"/>
      <c r="CEN104" s="531"/>
      <c r="CEO104" s="530"/>
      <c r="CEP104" s="531"/>
      <c r="CEQ104" s="530"/>
      <c r="CER104" s="531"/>
      <c r="CES104" s="530"/>
      <c r="CET104" s="531"/>
      <c r="CEU104" s="530"/>
      <c r="CEV104" s="531"/>
      <c r="CEW104" s="530"/>
      <c r="CEX104" s="531"/>
      <c r="CEY104" s="530"/>
      <c r="CEZ104" s="531"/>
      <c r="CFA104" s="530"/>
      <c r="CFB104" s="531"/>
      <c r="CFC104" s="530"/>
      <c r="CFD104" s="531"/>
      <c r="CFE104" s="530"/>
      <c r="CFF104" s="531"/>
      <c r="CFG104" s="530"/>
      <c r="CFH104" s="531"/>
      <c r="CFI104" s="530"/>
      <c r="CFJ104" s="531"/>
      <c r="CFK104" s="530"/>
      <c r="CFL104" s="531"/>
      <c r="CFM104" s="530"/>
      <c r="CFN104" s="531"/>
      <c r="CFO104" s="530"/>
      <c r="CFP104" s="531"/>
      <c r="CFQ104" s="530"/>
      <c r="CFR104" s="531"/>
      <c r="CFS104" s="530"/>
      <c r="CFT104" s="531"/>
      <c r="CFU104" s="530"/>
      <c r="CFV104" s="531"/>
      <c r="CFW104" s="530"/>
      <c r="CFX104" s="531"/>
      <c r="CFY104" s="530"/>
      <c r="CFZ104" s="531"/>
      <c r="CGA104" s="530"/>
      <c r="CGB104" s="531"/>
      <c r="CGC104" s="530"/>
      <c r="CGD104" s="531"/>
      <c r="CGE104" s="530"/>
      <c r="CGF104" s="531"/>
      <c r="CGG104" s="530"/>
      <c r="CGH104" s="531"/>
      <c r="CGI104" s="530"/>
      <c r="CGJ104" s="531"/>
      <c r="CGK104" s="530"/>
      <c r="CGL104" s="531"/>
      <c r="CGM104" s="530"/>
      <c r="CGN104" s="531"/>
      <c r="CGO104" s="530"/>
      <c r="CGP104" s="531"/>
      <c r="CGQ104" s="530"/>
      <c r="CGR104" s="531"/>
      <c r="CGS104" s="530"/>
      <c r="CGT104" s="531"/>
      <c r="CGU104" s="530"/>
      <c r="CGV104" s="531"/>
      <c r="CGW104" s="530"/>
      <c r="CGX104" s="531"/>
      <c r="CGY104" s="530"/>
      <c r="CGZ104" s="531"/>
      <c r="CHA104" s="530"/>
      <c r="CHB104" s="531"/>
      <c r="CHC104" s="530"/>
      <c r="CHD104" s="531"/>
      <c r="CHE104" s="530"/>
      <c r="CHF104" s="531"/>
      <c r="CHG104" s="530"/>
      <c r="CHH104" s="531"/>
      <c r="CHI104" s="530"/>
      <c r="CHJ104" s="531"/>
      <c r="CHK104" s="530"/>
      <c r="CHL104" s="531"/>
      <c r="CHM104" s="530"/>
      <c r="CHN104" s="531"/>
      <c r="CHO104" s="530"/>
      <c r="CHP104" s="531"/>
      <c r="CHQ104" s="530"/>
      <c r="CHR104" s="531"/>
      <c r="CHS104" s="530"/>
      <c r="CHT104" s="531"/>
      <c r="CHU104" s="530"/>
      <c r="CHV104" s="531"/>
      <c r="CHW104" s="530"/>
      <c r="CHX104" s="531"/>
      <c r="CHY104" s="530"/>
      <c r="CHZ104" s="531"/>
      <c r="CIA104" s="530"/>
      <c r="CIB104" s="531"/>
      <c r="CIC104" s="530"/>
      <c r="CID104" s="531"/>
      <c r="CIE104" s="530"/>
      <c r="CIF104" s="531"/>
      <c r="CIG104" s="530"/>
      <c r="CIH104" s="531"/>
      <c r="CII104" s="530"/>
      <c r="CIJ104" s="531"/>
      <c r="CIK104" s="530"/>
      <c r="CIL104" s="531"/>
      <c r="CIM104" s="530"/>
      <c r="CIN104" s="531"/>
      <c r="CIO104" s="530"/>
      <c r="CIP104" s="531"/>
      <c r="CIQ104" s="530"/>
      <c r="CIR104" s="531"/>
      <c r="CIS104" s="530"/>
      <c r="CIT104" s="531"/>
      <c r="CIU104" s="530"/>
      <c r="CIV104" s="531"/>
      <c r="CIW104" s="530"/>
      <c r="CIX104" s="531"/>
      <c r="CIY104" s="530"/>
      <c r="CIZ104" s="531"/>
      <c r="CJA104" s="530"/>
      <c r="CJB104" s="531"/>
      <c r="CJC104" s="530"/>
      <c r="CJD104" s="531"/>
      <c r="CJE104" s="530"/>
      <c r="CJF104" s="531"/>
      <c r="CJG104" s="530"/>
      <c r="CJH104" s="531"/>
      <c r="CJI104" s="530"/>
      <c r="CJJ104" s="531"/>
      <c r="CJK104" s="530"/>
      <c r="CJL104" s="531"/>
      <c r="CJM104" s="530"/>
      <c r="CJN104" s="531"/>
      <c r="CJO104" s="530"/>
      <c r="CJP104" s="531"/>
      <c r="CJQ104" s="530"/>
      <c r="CJR104" s="531"/>
      <c r="CJS104" s="530"/>
      <c r="CJT104" s="531"/>
      <c r="CJU104" s="530"/>
      <c r="CJV104" s="531"/>
      <c r="CJW104" s="530"/>
      <c r="CJX104" s="531"/>
      <c r="CJY104" s="530"/>
      <c r="CJZ104" s="531"/>
      <c r="CKA104" s="530"/>
      <c r="CKB104" s="531"/>
      <c r="CKC104" s="530"/>
      <c r="CKD104" s="531"/>
      <c r="CKE104" s="530"/>
      <c r="CKF104" s="531"/>
      <c r="CKG104" s="530"/>
      <c r="CKH104" s="531"/>
      <c r="CKI104" s="530"/>
      <c r="CKJ104" s="531"/>
      <c r="CKK104" s="530"/>
      <c r="CKL104" s="531"/>
      <c r="CKM104" s="530"/>
      <c r="CKN104" s="531"/>
      <c r="CKO104" s="530"/>
      <c r="CKP104" s="531"/>
      <c r="CKQ104" s="530"/>
      <c r="CKR104" s="531"/>
      <c r="CKS104" s="530"/>
      <c r="CKT104" s="531"/>
      <c r="CKU104" s="530"/>
      <c r="CKV104" s="531"/>
      <c r="CKW104" s="530"/>
      <c r="CKX104" s="531"/>
      <c r="CKY104" s="530"/>
      <c r="CKZ104" s="531"/>
      <c r="CLA104" s="530"/>
      <c r="CLB104" s="531"/>
      <c r="CLC104" s="530"/>
      <c r="CLD104" s="531"/>
      <c r="CLE104" s="530"/>
      <c r="CLF104" s="531"/>
      <c r="CLG104" s="530"/>
      <c r="CLH104" s="531"/>
      <c r="CLI104" s="530"/>
      <c r="CLJ104" s="531"/>
      <c r="CLK104" s="530"/>
      <c r="CLL104" s="531"/>
      <c r="CLM104" s="530"/>
      <c r="CLN104" s="531"/>
      <c r="CLO104" s="530"/>
      <c r="CLP104" s="531"/>
      <c r="CLQ104" s="530"/>
      <c r="CLR104" s="531"/>
      <c r="CLS104" s="530"/>
      <c r="CLT104" s="531"/>
      <c r="CLU104" s="530"/>
      <c r="CLV104" s="531"/>
      <c r="CLW104" s="530"/>
      <c r="CLX104" s="531"/>
      <c r="CLY104" s="530"/>
      <c r="CLZ104" s="531"/>
      <c r="CMA104" s="530"/>
      <c r="CMB104" s="531"/>
      <c r="CMC104" s="530"/>
      <c r="CMD104" s="531"/>
      <c r="CME104" s="530"/>
      <c r="CMF104" s="531"/>
      <c r="CMG104" s="530"/>
      <c r="CMH104" s="531"/>
      <c r="CMI104" s="530"/>
      <c r="CMJ104" s="531"/>
      <c r="CMK104" s="530"/>
      <c r="CML104" s="531"/>
      <c r="CMM104" s="530"/>
      <c r="CMN104" s="531"/>
      <c r="CMO104" s="530"/>
      <c r="CMP104" s="531"/>
      <c r="CMQ104" s="530"/>
      <c r="CMR104" s="531"/>
      <c r="CMS104" s="530"/>
      <c r="CMT104" s="531"/>
      <c r="CMU104" s="530"/>
      <c r="CMV104" s="531"/>
      <c r="CMW104" s="530"/>
      <c r="CMX104" s="531"/>
      <c r="CMY104" s="530"/>
      <c r="CMZ104" s="531"/>
      <c r="CNA104" s="530"/>
      <c r="CNB104" s="531"/>
      <c r="CNC104" s="530"/>
      <c r="CND104" s="531"/>
      <c r="CNE104" s="530"/>
      <c r="CNF104" s="531"/>
      <c r="CNG104" s="530"/>
      <c r="CNH104" s="531"/>
      <c r="CNI104" s="530"/>
      <c r="CNJ104" s="531"/>
      <c r="CNK104" s="530"/>
      <c r="CNL104" s="531"/>
      <c r="CNM104" s="530"/>
      <c r="CNN104" s="531"/>
      <c r="CNO104" s="530"/>
      <c r="CNP104" s="531"/>
      <c r="CNQ104" s="530"/>
      <c r="CNR104" s="531"/>
      <c r="CNS104" s="530"/>
      <c r="CNT104" s="531"/>
      <c r="CNU104" s="530"/>
      <c r="CNV104" s="531"/>
      <c r="CNW104" s="530"/>
      <c r="CNX104" s="531"/>
      <c r="CNY104" s="530"/>
      <c r="CNZ104" s="531"/>
      <c r="COA104" s="530"/>
      <c r="COB104" s="531"/>
      <c r="COC104" s="530"/>
      <c r="COD104" s="531"/>
      <c r="COE104" s="530"/>
      <c r="COF104" s="531"/>
      <c r="COG104" s="530"/>
      <c r="COH104" s="531"/>
      <c r="COI104" s="530"/>
      <c r="COJ104" s="531"/>
      <c r="COK104" s="530"/>
      <c r="COL104" s="531"/>
      <c r="COM104" s="530"/>
      <c r="CON104" s="531"/>
      <c r="COO104" s="530"/>
      <c r="COP104" s="531"/>
      <c r="COQ104" s="530"/>
      <c r="COR104" s="531"/>
      <c r="COS104" s="530"/>
      <c r="COT104" s="531"/>
      <c r="COU104" s="530"/>
      <c r="COV104" s="531"/>
      <c r="COW104" s="530"/>
      <c r="COX104" s="531"/>
      <c r="COY104" s="530"/>
      <c r="COZ104" s="531"/>
      <c r="CPA104" s="530"/>
      <c r="CPB104" s="531"/>
      <c r="CPC104" s="530"/>
      <c r="CPD104" s="531"/>
      <c r="CPE104" s="530"/>
      <c r="CPF104" s="531"/>
      <c r="CPG104" s="530"/>
      <c r="CPH104" s="531"/>
      <c r="CPI104" s="530"/>
      <c r="CPJ104" s="531"/>
      <c r="CPK104" s="530"/>
      <c r="CPL104" s="531"/>
      <c r="CPM104" s="530"/>
      <c r="CPN104" s="531"/>
      <c r="CPO104" s="530"/>
      <c r="CPP104" s="531"/>
      <c r="CPQ104" s="530"/>
      <c r="CPR104" s="531"/>
      <c r="CPS104" s="530"/>
      <c r="CPT104" s="531"/>
      <c r="CPU104" s="530"/>
      <c r="CPV104" s="531"/>
      <c r="CPW104" s="530"/>
      <c r="CPX104" s="531"/>
      <c r="CPY104" s="530"/>
      <c r="CPZ104" s="531"/>
      <c r="CQA104" s="530"/>
      <c r="CQB104" s="531"/>
      <c r="CQC104" s="530"/>
      <c r="CQD104" s="531"/>
      <c r="CQE104" s="530"/>
      <c r="CQF104" s="531"/>
      <c r="CQG104" s="530"/>
      <c r="CQH104" s="531"/>
      <c r="CQI104" s="530"/>
      <c r="CQJ104" s="531"/>
      <c r="CQK104" s="530"/>
      <c r="CQL104" s="531"/>
      <c r="CQM104" s="530"/>
      <c r="CQN104" s="531"/>
      <c r="CQO104" s="530"/>
      <c r="CQP104" s="531"/>
      <c r="CQQ104" s="530"/>
      <c r="CQR104" s="531"/>
      <c r="CQS104" s="530"/>
      <c r="CQT104" s="531"/>
      <c r="CQU104" s="530"/>
      <c r="CQV104" s="531"/>
      <c r="CQW104" s="530"/>
      <c r="CQX104" s="531"/>
      <c r="CQY104" s="530"/>
      <c r="CQZ104" s="531"/>
      <c r="CRA104" s="530"/>
      <c r="CRB104" s="531"/>
      <c r="CRC104" s="530"/>
      <c r="CRD104" s="531"/>
      <c r="CRE104" s="530"/>
      <c r="CRF104" s="531"/>
      <c r="CRG104" s="530"/>
      <c r="CRH104" s="531"/>
      <c r="CRI104" s="530"/>
      <c r="CRJ104" s="531"/>
      <c r="CRK104" s="530"/>
      <c r="CRL104" s="531"/>
      <c r="CRM104" s="530"/>
      <c r="CRN104" s="531"/>
      <c r="CRO104" s="530"/>
      <c r="CRP104" s="531"/>
      <c r="CRQ104" s="530"/>
      <c r="CRR104" s="531"/>
      <c r="CRS104" s="530"/>
      <c r="CRT104" s="531"/>
      <c r="CRU104" s="530"/>
      <c r="CRV104" s="531"/>
      <c r="CRW104" s="530"/>
      <c r="CRX104" s="531"/>
      <c r="CRY104" s="530"/>
      <c r="CRZ104" s="531"/>
      <c r="CSA104" s="530"/>
      <c r="CSB104" s="531"/>
      <c r="CSC104" s="530"/>
      <c r="CSD104" s="531"/>
      <c r="CSE104" s="530"/>
      <c r="CSF104" s="531"/>
      <c r="CSG104" s="530"/>
      <c r="CSH104" s="531"/>
      <c r="CSI104" s="530"/>
      <c r="CSJ104" s="531"/>
      <c r="CSK104" s="530"/>
      <c r="CSL104" s="531"/>
      <c r="CSM104" s="530"/>
      <c r="CSN104" s="531"/>
      <c r="CSO104" s="530"/>
      <c r="CSP104" s="531"/>
      <c r="CSQ104" s="530"/>
      <c r="CSR104" s="531"/>
      <c r="CSS104" s="530"/>
      <c r="CST104" s="531"/>
      <c r="CSU104" s="530"/>
      <c r="CSV104" s="531"/>
      <c r="CSW104" s="530"/>
      <c r="CSX104" s="531"/>
      <c r="CSY104" s="530"/>
      <c r="CSZ104" s="531"/>
      <c r="CTA104" s="530"/>
      <c r="CTB104" s="531"/>
      <c r="CTC104" s="530"/>
      <c r="CTD104" s="531"/>
      <c r="CTE104" s="530"/>
      <c r="CTF104" s="531"/>
      <c r="CTG104" s="530"/>
      <c r="CTH104" s="531"/>
      <c r="CTI104" s="530"/>
      <c r="CTJ104" s="531"/>
      <c r="CTK104" s="530"/>
      <c r="CTL104" s="531"/>
      <c r="CTM104" s="530"/>
      <c r="CTN104" s="531"/>
      <c r="CTO104" s="530"/>
      <c r="CTP104" s="531"/>
      <c r="CTQ104" s="530"/>
      <c r="CTR104" s="531"/>
      <c r="CTS104" s="530"/>
      <c r="CTT104" s="531"/>
      <c r="CTU104" s="530"/>
      <c r="CTV104" s="531"/>
      <c r="CTW104" s="530"/>
      <c r="CTX104" s="531"/>
      <c r="CTY104" s="530"/>
      <c r="CTZ104" s="531"/>
      <c r="CUA104" s="530"/>
      <c r="CUB104" s="531"/>
      <c r="CUC104" s="530"/>
      <c r="CUD104" s="531"/>
      <c r="CUE104" s="530"/>
      <c r="CUF104" s="531"/>
      <c r="CUG104" s="530"/>
      <c r="CUH104" s="531"/>
      <c r="CUI104" s="530"/>
      <c r="CUJ104" s="531"/>
      <c r="CUK104" s="530"/>
      <c r="CUL104" s="531"/>
      <c r="CUM104" s="530"/>
      <c r="CUN104" s="531"/>
      <c r="CUO104" s="530"/>
      <c r="CUP104" s="531"/>
      <c r="CUQ104" s="530"/>
      <c r="CUR104" s="531"/>
      <c r="CUS104" s="530"/>
      <c r="CUT104" s="531"/>
      <c r="CUU104" s="530"/>
      <c r="CUV104" s="531"/>
      <c r="CUW104" s="530"/>
      <c r="CUX104" s="531"/>
      <c r="CUY104" s="530"/>
      <c r="CUZ104" s="531"/>
      <c r="CVA104" s="530"/>
      <c r="CVB104" s="531"/>
      <c r="CVC104" s="530"/>
      <c r="CVD104" s="531"/>
      <c r="CVE104" s="530"/>
      <c r="CVF104" s="531"/>
      <c r="CVG104" s="530"/>
      <c r="CVH104" s="531"/>
      <c r="CVI104" s="530"/>
      <c r="CVJ104" s="531"/>
      <c r="CVK104" s="530"/>
      <c r="CVL104" s="531"/>
      <c r="CVM104" s="530"/>
      <c r="CVN104" s="531"/>
      <c r="CVO104" s="530"/>
      <c r="CVP104" s="531"/>
      <c r="CVQ104" s="530"/>
      <c r="CVR104" s="531"/>
      <c r="CVS104" s="530"/>
      <c r="CVT104" s="531"/>
      <c r="CVU104" s="530"/>
      <c r="CVV104" s="531"/>
      <c r="CVW104" s="530"/>
      <c r="CVX104" s="531"/>
      <c r="CVY104" s="530"/>
      <c r="CVZ104" s="531"/>
      <c r="CWA104" s="530"/>
      <c r="CWB104" s="531"/>
      <c r="CWC104" s="530"/>
      <c r="CWD104" s="531"/>
      <c r="CWE104" s="530"/>
      <c r="CWF104" s="531"/>
      <c r="CWG104" s="530"/>
      <c r="CWH104" s="531"/>
      <c r="CWI104" s="530"/>
      <c r="CWJ104" s="531"/>
      <c r="CWK104" s="530"/>
      <c r="CWL104" s="531"/>
      <c r="CWM104" s="530"/>
      <c r="CWN104" s="531"/>
      <c r="CWO104" s="530"/>
      <c r="CWP104" s="531"/>
      <c r="CWQ104" s="530"/>
      <c r="CWR104" s="531"/>
      <c r="CWS104" s="530"/>
      <c r="CWT104" s="531"/>
      <c r="CWU104" s="530"/>
      <c r="CWV104" s="531"/>
      <c r="CWW104" s="530"/>
      <c r="CWX104" s="531"/>
      <c r="CWY104" s="530"/>
      <c r="CWZ104" s="531"/>
      <c r="CXA104" s="530"/>
      <c r="CXB104" s="531"/>
      <c r="CXC104" s="530"/>
      <c r="CXD104" s="531"/>
      <c r="CXE104" s="530"/>
      <c r="CXF104" s="531"/>
      <c r="CXG104" s="530"/>
      <c r="CXH104" s="531"/>
      <c r="CXI104" s="530"/>
      <c r="CXJ104" s="531"/>
      <c r="CXK104" s="530"/>
      <c r="CXL104" s="531"/>
      <c r="CXM104" s="530"/>
      <c r="CXN104" s="531"/>
      <c r="CXO104" s="530"/>
      <c r="CXP104" s="531"/>
      <c r="CXQ104" s="530"/>
      <c r="CXR104" s="531"/>
      <c r="CXS104" s="530"/>
      <c r="CXT104" s="531"/>
      <c r="CXU104" s="530"/>
      <c r="CXV104" s="531"/>
      <c r="CXW104" s="530"/>
      <c r="CXX104" s="531"/>
      <c r="CXY104" s="530"/>
      <c r="CXZ104" s="531"/>
      <c r="CYA104" s="530"/>
      <c r="CYB104" s="531"/>
      <c r="CYC104" s="530"/>
      <c r="CYD104" s="531"/>
      <c r="CYE104" s="530"/>
      <c r="CYF104" s="531"/>
      <c r="CYG104" s="530"/>
      <c r="CYH104" s="531"/>
      <c r="CYI104" s="530"/>
      <c r="CYJ104" s="531"/>
      <c r="CYK104" s="530"/>
      <c r="CYL104" s="531"/>
      <c r="CYM104" s="530"/>
      <c r="CYN104" s="531"/>
      <c r="CYO104" s="530"/>
      <c r="CYP104" s="531"/>
      <c r="CYQ104" s="530"/>
      <c r="CYR104" s="531"/>
      <c r="CYS104" s="530"/>
      <c r="CYT104" s="531"/>
      <c r="CYU104" s="530"/>
      <c r="CYV104" s="531"/>
      <c r="CYW104" s="530"/>
      <c r="CYX104" s="531"/>
      <c r="CYY104" s="530"/>
      <c r="CYZ104" s="531"/>
      <c r="CZA104" s="530"/>
      <c r="CZB104" s="531"/>
      <c r="CZC104" s="530"/>
      <c r="CZD104" s="531"/>
      <c r="CZE104" s="530"/>
      <c r="CZF104" s="531"/>
      <c r="CZG104" s="530"/>
      <c r="CZH104" s="531"/>
      <c r="CZI104" s="530"/>
      <c r="CZJ104" s="531"/>
      <c r="CZK104" s="530"/>
      <c r="CZL104" s="531"/>
      <c r="CZM104" s="530"/>
      <c r="CZN104" s="531"/>
      <c r="CZO104" s="530"/>
      <c r="CZP104" s="531"/>
      <c r="CZQ104" s="530"/>
      <c r="CZR104" s="531"/>
      <c r="CZS104" s="530"/>
      <c r="CZT104" s="531"/>
      <c r="CZU104" s="530"/>
      <c r="CZV104" s="531"/>
      <c r="CZW104" s="530"/>
      <c r="CZX104" s="531"/>
      <c r="CZY104" s="530"/>
      <c r="CZZ104" s="531"/>
      <c r="DAA104" s="530"/>
      <c r="DAB104" s="531"/>
      <c r="DAC104" s="530"/>
      <c r="DAD104" s="531"/>
      <c r="DAE104" s="530"/>
      <c r="DAF104" s="531"/>
      <c r="DAG104" s="530"/>
      <c r="DAH104" s="531"/>
      <c r="DAI104" s="530"/>
      <c r="DAJ104" s="531"/>
      <c r="DAK104" s="530"/>
      <c r="DAL104" s="531"/>
      <c r="DAM104" s="530"/>
      <c r="DAN104" s="531"/>
      <c r="DAO104" s="530"/>
      <c r="DAP104" s="531"/>
      <c r="DAQ104" s="530"/>
      <c r="DAR104" s="531"/>
      <c r="DAS104" s="530"/>
      <c r="DAT104" s="531"/>
      <c r="DAU104" s="530"/>
      <c r="DAV104" s="531"/>
      <c r="DAW104" s="530"/>
      <c r="DAX104" s="531"/>
      <c r="DAY104" s="530"/>
      <c r="DAZ104" s="531"/>
      <c r="DBA104" s="530"/>
      <c r="DBB104" s="531"/>
      <c r="DBC104" s="530"/>
      <c r="DBD104" s="531"/>
      <c r="DBE104" s="530"/>
      <c r="DBF104" s="531"/>
      <c r="DBG104" s="530"/>
      <c r="DBH104" s="531"/>
      <c r="DBI104" s="530"/>
      <c r="DBJ104" s="531"/>
      <c r="DBK104" s="530"/>
      <c r="DBL104" s="531"/>
      <c r="DBM104" s="530"/>
      <c r="DBN104" s="531"/>
      <c r="DBO104" s="530"/>
      <c r="DBP104" s="531"/>
      <c r="DBQ104" s="530"/>
      <c r="DBR104" s="531"/>
      <c r="DBS104" s="530"/>
      <c r="DBT104" s="531"/>
      <c r="DBU104" s="530"/>
      <c r="DBV104" s="531"/>
      <c r="DBW104" s="530"/>
      <c r="DBX104" s="531"/>
      <c r="DBY104" s="530"/>
      <c r="DBZ104" s="531"/>
      <c r="DCA104" s="530"/>
      <c r="DCB104" s="531"/>
      <c r="DCC104" s="530"/>
      <c r="DCD104" s="531"/>
      <c r="DCE104" s="530"/>
      <c r="DCF104" s="531"/>
      <c r="DCG104" s="530"/>
      <c r="DCH104" s="531"/>
      <c r="DCI104" s="530"/>
      <c r="DCJ104" s="531"/>
      <c r="DCK104" s="530"/>
      <c r="DCL104" s="531"/>
      <c r="DCM104" s="530"/>
      <c r="DCN104" s="531"/>
      <c r="DCO104" s="530"/>
      <c r="DCP104" s="531"/>
      <c r="DCQ104" s="530"/>
      <c r="DCR104" s="531"/>
      <c r="DCS104" s="530"/>
      <c r="DCT104" s="531"/>
      <c r="DCU104" s="530"/>
      <c r="DCV104" s="531"/>
      <c r="DCW104" s="530"/>
      <c r="DCX104" s="531"/>
      <c r="DCY104" s="530"/>
      <c r="DCZ104" s="531"/>
      <c r="DDA104" s="530"/>
      <c r="DDB104" s="531"/>
      <c r="DDC104" s="530"/>
      <c r="DDD104" s="531"/>
      <c r="DDE104" s="530"/>
      <c r="DDF104" s="531"/>
      <c r="DDG104" s="530"/>
      <c r="DDH104" s="531"/>
      <c r="DDI104" s="530"/>
      <c r="DDJ104" s="531"/>
      <c r="DDK104" s="530"/>
      <c r="DDL104" s="531"/>
      <c r="DDM104" s="530"/>
      <c r="DDN104" s="531"/>
      <c r="DDO104" s="530"/>
      <c r="DDP104" s="531"/>
      <c r="DDQ104" s="530"/>
      <c r="DDR104" s="531"/>
      <c r="DDS104" s="530"/>
      <c r="DDT104" s="531"/>
      <c r="DDU104" s="530"/>
      <c r="DDV104" s="531"/>
      <c r="DDW104" s="530"/>
      <c r="DDX104" s="531"/>
      <c r="DDY104" s="530"/>
      <c r="DDZ104" s="531"/>
      <c r="DEA104" s="530"/>
      <c r="DEB104" s="531"/>
      <c r="DEC104" s="530"/>
      <c r="DED104" s="531"/>
      <c r="DEE104" s="530"/>
      <c r="DEF104" s="531"/>
      <c r="DEG104" s="530"/>
      <c r="DEH104" s="531"/>
      <c r="DEI104" s="530"/>
      <c r="DEJ104" s="531"/>
      <c r="DEK104" s="530"/>
      <c r="DEL104" s="531"/>
      <c r="DEM104" s="530"/>
      <c r="DEN104" s="531"/>
      <c r="DEO104" s="530"/>
      <c r="DEP104" s="531"/>
      <c r="DEQ104" s="530"/>
      <c r="DER104" s="531"/>
      <c r="DES104" s="530"/>
      <c r="DET104" s="531"/>
      <c r="DEU104" s="530"/>
      <c r="DEV104" s="531"/>
      <c r="DEW104" s="530"/>
      <c r="DEX104" s="531"/>
      <c r="DEY104" s="530"/>
      <c r="DEZ104" s="531"/>
      <c r="DFA104" s="530"/>
      <c r="DFB104" s="531"/>
      <c r="DFC104" s="530"/>
      <c r="DFD104" s="531"/>
      <c r="DFE104" s="530"/>
      <c r="DFF104" s="531"/>
      <c r="DFG104" s="530"/>
      <c r="DFH104" s="531"/>
      <c r="DFI104" s="530"/>
      <c r="DFJ104" s="531"/>
      <c r="DFK104" s="530"/>
      <c r="DFL104" s="531"/>
      <c r="DFM104" s="530"/>
      <c r="DFN104" s="531"/>
      <c r="DFO104" s="530"/>
      <c r="DFP104" s="531"/>
      <c r="DFQ104" s="530"/>
      <c r="DFR104" s="531"/>
      <c r="DFS104" s="530"/>
      <c r="DFT104" s="531"/>
      <c r="DFU104" s="530"/>
      <c r="DFV104" s="531"/>
      <c r="DFW104" s="530"/>
      <c r="DFX104" s="531"/>
      <c r="DFY104" s="530"/>
      <c r="DFZ104" s="531"/>
      <c r="DGA104" s="530"/>
      <c r="DGB104" s="531"/>
      <c r="DGC104" s="530"/>
      <c r="DGD104" s="531"/>
      <c r="DGE104" s="530"/>
      <c r="DGF104" s="531"/>
      <c r="DGG104" s="530"/>
      <c r="DGH104" s="531"/>
      <c r="DGI104" s="530"/>
      <c r="DGJ104" s="531"/>
      <c r="DGK104" s="530"/>
      <c r="DGL104" s="531"/>
      <c r="DGM104" s="530"/>
      <c r="DGN104" s="531"/>
      <c r="DGO104" s="530"/>
      <c r="DGP104" s="531"/>
      <c r="DGQ104" s="530"/>
      <c r="DGR104" s="531"/>
      <c r="DGS104" s="530"/>
      <c r="DGT104" s="531"/>
      <c r="DGU104" s="530"/>
      <c r="DGV104" s="531"/>
      <c r="DGW104" s="530"/>
      <c r="DGX104" s="531"/>
      <c r="DGY104" s="530"/>
      <c r="DGZ104" s="531"/>
      <c r="DHA104" s="530"/>
      <c r="DHB104" s="531"/>
      <c r="DHC104" s="530"/>
      <c r="DHD104" s="531"/>
      <c r="DHE104" s="530"/>
      <c r="DHF104" s="531"/>
      <c r="DHG104" s="530"/>
      <c r="DHH104" s="531"/>
      <c r="DHI104" s="530"/>
      <c r="DHJ104" s="531"/>
      <c r="DHK104" s="530"/>
      <c r="DHL104" s="531"/>
      <c r="DHM104" s="530"/>
      <c r="DHN104" s="531"/>
      <c r="DHO104" s="530"/>
      <c r="DHP104" s="531"/>
      <c r="DHQ104" s="530"/>
      <c r="DHR104" s="531"/>
      <c r="DHS104" s="530"/>
      <c r="DHT104" s="531"/>
      <c r="DHU104" s="530"/>
      <c r="DHV104" s="531"/>
      <c r="DHW104" s="530"/>
      <c r="DHX104" s="531"/>
      <c r="DHY104" s="530"/>
      <c r="DHZ104" s="531"/>
      <c r="DIA104" s="530"/>
      <c r="DIB104" s="531"/>
      <c r="DIC104" s="530"/>
      <c r="DID104" s="531"/>
      <c r="DIE104" s="530"/>
      <c r="DIF104" s="531"/>
      <c r="DIG104" s="530"/>
      <c r="DIH104" s="531"/>
      <c r="DII104" s="530"/>
      <c r="DIJ104" s="531"/>
      <c r="DIK104" s="530"/>
      <c r="DIL104" s="531"/>
      <c r="DIM104" s="530"/>
      <c r="DIN104" s="531"/>
      <c r="DIO104" s="530"/>
      <c r="DIP104" s="531"/>
      <c r="DIQ104" s="530"/>
      <c r="DIR104" s="531"/>
      <c r="DIS104" s="530"/>
      <c r="DIT104" s="531"/>
      <c r="DIU104" s="530"/>
      <c r="DIV104" s="531"/>
      <c r="DIW104" s="530"/>
      <c r="DIX104" s="531"/>
      <c r="DIY104" s="530"/>
      <c r="DIZ104" s="531"/>
      <c r="DJA104" s="530"/>
      <c r="DJB104" s="531"/>
      <c r="DJC104" s="530"/>
      <c r="DJD104" s="531"/>
      <c r="DJE104" s="530"/>
      <c r="DJF104" s="531"/>
      <c r="DJG104" s="530"/>
      <c r="DJH104" s="531"/>
      <c r="DJI104" s="530"/>
      <c r="DJJ104" s="531"/>
      <c r="DJK104" s="530"/>
      <c r="DJL104" s="531"/>
      <c r="DJM104" s="530"/>
      <c r="DJN104" s="531"/>
      <c r="DJO104" s="530"/>
      <c r="DJP104" s="531"/>
      <c r="DJQ104" s="530"/>
      <c r="DJR104" s="531"/>
      <c r="DJS104" s="530"/>
      <c r="DJT104" s="531"/>
      <c r="DJU104" s="530"/>
      <c r="DJV104" s="531"/>
      <c r="DJW104" s="530"/>
      <c r="DJX104" s="531"/>
      <c r="DJY104" s="530"/>
      <c r="DJZ104" s="531"/>
      <c r="DKA104" s="530"/>
      <c r="DKB104" s="531"/>
      <c r="DKC104" s="530"/>
      <c r="DKD104" s="531"/>
      <c r="DKE104" s="530"/>
      <c r="DKF104" s="531"/>
      <c r="DKG104" s="530"/>
      <c r="DKH104" s="531"/>
      <c r="DKI104" s="530"/>
      <c r="DKJ104" s="531"/>
      <c r="DKK104" s="530"/>
      <c r="DKL104" s="531"/>
      <c r="DKM104" s="530"/>
      <c r="DKN104" s="531"/>
      <c r="DKO104" s="530"/>
      <c r="DKP104" s="531"/>
      <c r="DKQ104" s="530"/>
      <c r="DKR104" s="531"/>
      <c r="DKS104" s="530"/>
      <c r="DKT104" s="531"/>
      <c r="DKU104" s="530"/>
      <c r="DKV104" s="531"/>
      <c r="DKW104" s="530"/>
      <c r="DKX104" s="531"/>
      <c r="DKY104" s="530"/>
      <c r="DKZ104" s="531"/>
      <c r="DLA104" s="530"/>
      <c r="DLB104" s="531"/>
      <c r="DLC104" s="530"/>
      <c r="DLD104" s="531"/>
      <c r="DLE104" s="530"/>
      <c r="DLF104" s="531"/>
      <c r="DLG104" s="530"/>
      <c r="DLH104" s="531"/>
      <c r="DLI104" s="530"/>
      <c r="DLJ104" s="531"/>
      <c r="DLK104" s="530"/>
      <c r="DLL104" s="531"/>
      <c r="DLM104" s="530"/>
      <c r="DLN104" s="531"/>
      <c r="DLO104" s="530"/>
      <c r="DLP104" s="531"/>
      <c r="DLQ104" s="530"/>
      <c r="DLR104" s="531"/>
      <c r="DLS104" s="530"/>
      <c r="DLT104" s="531"/>
      <c r="DLU104" s="530"/>
      <c r="DLV104" s="531"/>
      <c r="DLW104" s="530"/>
      <c r="DLX104" s="531"/>
      <c r="DLY104" s="530"/>
      <c r="DLZ104" s="531"/>
      <c r="DMA104" s="530"/>
      <c r="DMB104" s="531"/>
      <c r="DMC104" s="530"/>
      <c r="DMD104" s="531"/>
      <c r="DME104" s="530"/>
      <c r="DMF104" s="531"/>
      <c r="DMG104" s="530"/>
      <c r="DMH104" s="531"/>
      <c r="DMI104" s="530"/>
      <c r="DMJ104" s="531"/>
      <c r="DMK104" s="530"/>
      <c r="DML104" s="531"/>
      <c r="DMM104" s="530"/>
      <c r="DMN104" s="531"/>
      <c r="DMO104" s="530"/>
      <c r="DMP104" s="531"/>
      <c r="DMQ104" s="530"/>
      <c r="DMR104" s="531"/>
      <c r="DMS104" s="530"/>
      <c r="DMT104" s="531"/>
      <c r="DMU104" s="530"/>
      <c r="DMV104" s="531"/>
      <c r="DMW104" s="530"/>
      <c r="DMX104" s="531"/>
      <c r="DMY104" s="530"/>
      <c r="DMZ104" s="531"/>
      <c r="DNA104" s="530"/>
      <c r="DNB104" s="531"/>
      <c r="DNC104" s="530"/>
      <c r="DND104" s="531"/>
      <c r="DNE104" s="530"/>
      <c r="DNF104" s="531"/>
      <c r="DNG104" s="530"/>
      <c r="DNH104" s="531"/>
      <c r="DNI104" s="530"/>
      <c r="DNJ104" s="531"/>
      <c r="DNK104" s="530"/>
      <c r="DNL104" s="531"/>
      <c r="DNM104" s="530"/>
      <c r="DNN104" s="531"/>
      <c r="DNO104" s="530"/>
      <c r="DNP104" s="531"/>
      <c r="DNQ104" s="530"/>
      <c r="DNR104" s="531"/>
      <c r="DNS104" s="530"/>
      <c r="DNT104" s="531"/>
      <c r="DNU104" s="530"/>
      <c r="DNV104" s="531"/>
      <c r="DNW104" s="530"/>
      <c r="DNX104" s="531"/>
      <c r="DNY104" s="530"/>
      <c r="DNZ104" s="531"/>
      <c r="DOA104" s="530"/>
      <c r="DOB104" s="531"/>
      <c r="DOC104" s="530"/>
      <c r="DOD104" s="531"/>
      <c r="DOE104" s="530"/>
      <c r="DOF104" s="531"/>
      <c r="DOG104" s="530"/>
      <c r="DOH104" s="531"/>
      <c r="DOI104" s="530"/>
      <c r="DOJ104" s="531"/>
      <c r="DOK104" s="530"/>
      <c r="DOL104" s="531"/>
      <c r="DOM104" s="530"/>
      <c r="DON104" s="531"/>
      <c r="DOO104" s="530"/>
      <c r="DOP104" s="531"/>
      <c r="DOQ104" s="530"/>
      <c r="DOR104" s="531"/>
      <c r="DOS104" s="530"/>
      <c r="DOT104" s="531"/>
      <c r="DOU104" s="530"/>
      <c r="DOV104" s="531"/>
      <c r="DOW104" s="530"/>
      <c r="DOX104" s="531"/>
      <c r="DOY104" s="530"/>
      <c r="DOZ104" s="531"/>
      <c r="DPA104" s="530"/>
      <c r="DPB104" s="531"/>
      <c r="DPC104" s="530"/>
      <c r="DPD104" s="531"/>
      <c r="DPE104" s="530"/>
      <c r="DPF104" s="531"/>
      <c r="DPG104" s="530"/>
      <c r="DPH104" s="531"/>
      <c r="DPI104" s="530"/>
      <c r="DPJ104" s="531"/>
      <c r="DPK104" s="530"/>
      <c r="DPL104" s="531"/>
      <c r="DPM104" s="530"/>
      <c r="DPN104" s="531"/>
      <c r="DPO104" s="530"/>
      <c r="DPP104" s="531"/>
      <c r="DPQ104" s="530"/>
      <c r="DPR104" s="531"/>
      <c r="DPS104" s="530"/>
      <c r="DPT104" s="531"/>
      <c r="DPU104" s="530"/>
      <c r="DPV104" s="531"/>
      <c r="DPW104" s="530"/>
      <c r="DPX104" s="531"/>
      <c r="DPY104" s="530"/>
      <c r="DPZ104" s="531"/>
      <c r="DQA104" s="530"/>
      <c r="DQB104" s="531"/>
      <c r="DQC104" s="530"/>
      <c r="DQD104" s="531"/>
      <c r="DQE104" s="530"/>
      <c r="DQF104" s="531"/>
      <c r="DQG104" s="530"/>
      <c r="DQH104" s="531"/>
      <c r="DQI104" s="530"/>
      <c r="DQJ104" s="531"/>
      <c r="DQK104" s="530"/>
      <c r="DQL104" s="531"/>
      <c r="DQM104" s="530"/>
      <c r="DQN104" s="531"/>
      <c r="DQO104" s="530"/>
      <c r="DQP104" s="531"/>
      <c r="DQQ104" s="530"/>
      <c r="DQR104" s="531"/>
      <c r="DQS104" s="530"/>
      <c r="DQT104" s="531"/>
      <c r="DQU104" s="530"/>
      <c r="DQV104" s="531"/>
      <c r="DQW104" s="530"/>
      <c r="DQX104" s="531"/>
      <c r="DQY104" s="530"/>
      <c r="DQZ104" s="531"/>
      <c r="DRA104" s="530"/>
      <c r="DRB104" s="531"/>
      <c r="DRC104" s="530"/>
      <c r="DRD104" s="531"/>
      <c r="DRE104" s="530"/>
      <c r="DRF104" s="531"/>
      <c r="DRG104" s="530"/>
      <c r="DRH104" s="531"/>
      <c r="DRI104" s="530"/>
      <c r="DRJ104" s="531"/>
      <c r="DRK104" s="530"/>
      <c r="DRL104" s="531"/>
      <c r="DRM104" s="530"/>
      <c r="DRN104" s="531"/>
      <c r="DRO104" s="530"/>
      <c r="DRP104" s="531"/>
      <c r="DRQ104" s="530"/>
      <c r="DRR104" s="531"/>
      <c r="DRS104" s="530"/>
      <c r="DRT104" s="531"/>
      <c r="DRU104" s="530"/>
      <c r="DRV104" s="531"/>
      <c r="DRW104" s="530"/>
      <c r="DRX104" s="531"/>
      <c r="DRY104" s="530"/>
      <c r="DRZ104" s="531"/>
      <c r="DSA104" s="530"/>
      <c r="DSB104" s="531"/>
      <c r="DSC104" s="530"/>
      <c r="DSD104" s="531"/>
      <c r="DSE104" s="530"/>
      <c r="DSF104" s="531"/>
      <c r="DSG104" s="530"/>
      <c r="DSH104" s="531"/>
      <c r="DSI104" s="530"/>
      <c r="DSJ104" s="531"/>
      <c r="DSK104" s="530"/>
      <c r="DSL104" s="531"/>
      <c r="DSM104" s="530"/>
      <c r="DSN104" s="531"/>
      <c r="DSO104" s="530"/>
      <c r="DSP104" s="531"/>
      <c r="DSQ104" s="530"/>
      <c r="DSR104" s="531"/>
      <c r="DSS104" s="530"/>
      <c r="DST104" s="531"/>
      <c r="DSU104" s="530"/>
      <c r="DSV104" s="531"/>
      <c r="DSW104" s="530"/>
      <c r="DSX104" s="531"/>
      <c r="DSY104" s="530"/>
      <c r="DSZ104" s="531"/>
      <c r="DTA104" s="530"/>
      <c r="DTB104" s="531"/>
      <c r="DTC104" s="530"/>
      <c r="DTD104" s="531"/>
      <c r="DTE104" s="530"/>
      <c r="DTF104" s="531"/>
      <c r="DTG104" s="530"/>
      <c r="DTH104" s="531"/>
      <c r="DTI104" s="530"/>
      <c r="DTJ104" s="531"/>
      <c r="DTK104" s="530"/>
      <c r="DTL104" s="531"/>
      <c r="DTM104" s="530"/>
      <c r="DTN104" s="531"/>
      <c r="DTO104" s="530"/>
      <c r="DTP104" s="531"/>
      <c r="DTQ104" s="530"/>
      <c r="DTR104" s="531"/>
      <c r="DTS104" s="530"/>
      <c r="DTT104" s="531"/>
      <c r="DTU104" s="530"/>
      <c r="DTV104" s="531"/>
      <c r="DTW104" s="530"/>
      <c r="DTX104" s="531"/>
      <c r="DTY104" s="530"/>
      <c r="DTZ104" s="531"/>
      <c r="DUA104" s="530"/>
      <c r="DUB104" s="531"/>
      <c r="DUC104" s="530"/>
      <c r="DUD104" s="531"/>
      <c r="DUE104" s="530"/>
      <c r="DUF104" s="531"/>
      <c r="DUG104" s="530"/>
      <c r="DUH104" s="531"/>
      <c r="DUI104" s="530"/>
      <c r="DUJ104" s="531"/>
      <c r="DUK104" s="530"/>
      <c r="DUL104" s="531"/>
      <c r="DUM104" s="530"/>
      <c r="DUN104" s="531"/>
      <c r="DUO104" s="530"/>
      <c r="DUP104" s="531"/>
      <c r="DUQ104" s="530"/>
      <c r="DUR104" s="531"/>
      <c r="DUS104" s="530"/>
      <c r="DUT104" s="531"/>
      <c r="DUU104" s="530"/>
      <c r="DUV104" s="531"/>
      <c r="DUW104" s="530"/>
      <c r="DUX104" s="531"/>
      <c r="DUY104" s="530"/>
      <c r="DUZ104" s="531"/>
      <c r="DVA104" s="530"/>
      <c r="DVB104" s="531"/>
      <c r="DVC104" s="530"/>
      <c r="DVD104" s="531"/>
      <c r="DVE104" s="530"/>
      <c r="DVF104" s="531"/>
      <c r="DVG104" s="530"/>
      <c r="DVH104" s="531"/>
      <c r="DVI104" s="530"/>
      <c r="DVJ104" s="531"/>
      <c r="DVK104" s="530"/>
      <c r="DVL104" s="531"/>
      <c r="DVM104" s="530"/>
      <c r="DVN104" s="531"/>
      <c r="DVO104" s="530"/>
      <c r="DVP104" s="531"/>
      <c r="DVQ104" s="530"/>
      <c r="DVR104" s="531"/>
      <c r="DVS104" s="530"/>
      <c r="DVT104" s="531"/>
      <c r="DVU104" s="530"/>
      <c r="DVV104" s="531"/>
      <c r="DVW104" s="530"/>
      <c r="DVX104" s="531"/>
      <c r="DVY104" s="530"/>
      <c r="DVZ104" s="531"/>
      <c r="DWA104" s="530"/>
      <c r="DWB104" s="531"/>
      <c r="DWC104" s="530"/>
      <c r="DWD104" s="531"/>
      <c r="DWE104" s="530"/>
      <c r="DWF104" s="531"/>
      <c r="DWG104" s="530"/>
      <c r="DWH104" s="531"/>
      <c r="DWI104" s="530"/>
      <c r="DWJ104" s="531"/>
      <c r="DWK104" s="530"/>
      <c r="DWL104" s="531"/>
      <c r="DWM104" s="530"/>
      <c r="DWN104" s="531"/>
      <c r="DWO104" s="530"/>
      <c r="DWP104" s="531"/>
      <c r="DWQ104" s="530"/>
      <c r="DWR104" s="531"/>
      <c r="DWS104" s="530"/>
      <c r="DWT104" s="531"/>
      <c r="DWU104" s="530"/>
      <c r="DWV104" s="531"/>
      <c r="DWW104" s="530"/>
      <c r="DWX104" s="531"/>
      <c r="DWY104" s="530"/>
      <c r="DWZ104" s="531"/>
      <c r="DXA104" s="530"/>
      <c r="DXB104" s="531"/>
      <c r="DXC104" s="530"/>
      <c r="DXD104" s="531"/>
      <c r="DXE104" s="530"/>
      <c r="DXF104" s="531"/>
      <c r="DXG104" s="530"/>
      <c r="DXH104" s="531"/>
      <c r="DXI104" s="530"/>
      <c r="DXJ104" s="531"/>
      <c r="DXK104" s="530"/>
      <c r="DXL104" s="531"/>
      <c r="DXM104" s="530"/>
      <c r="DXN104" s="531"/>
      <c r="DXO104" s="530"/>
      <c r="DXP104" s="531"/>
      <c r="DXQ104" s="530"/>
      <c r="DXR104" s="531"/>
      <c r="DXS104" s="530"/>
      <c r="DXT104" s="531"/>
      <c r="DXU104" s="530"/>
      <c r="DXV104" s="531"/>
      <c r="DXW104" s="530"/>
      <c r="DXX104" s="531"/>
      <c r="DXY104" s="530"/>
      <c r="DXZ104" s="531"/>
      <c r="DYA104" s="530"/>
      <c r="DYB104" s="531"/>
      <c r="DYC104" s="530"/>
      <c r="DYD104" s="531"/>
      <c r="DYE104" s="530"/>
      <c r="DYF104" s="531"/>
      <c r="DYG104" s="530"/>
      <c r="DYH104" s="531"/>
      <c r="DYI104" s="530"/>
      <c r="DYJ104" s="531"/>
      <c r="DYK104" s="530"/>
      <c r="DYL104" s="531"/>
      <c r="DYM104" s="530"/>
      <c r="DYN104" s="531"/>
      <c r="DYO104" s="530"/>
      <c r="DYP104" s="531"/>
      <c r="DYQ104" s="530"/>
      <c r="DYR104" s="531"/>
      <c r="DYS104" s="530"/>
      <c r="DYT104" s="531"/>
      <c r="DYU104" s="530"/>
      <c r="DYV104" s="531"/>
      <c r="DYW104" s="530"/>
      <c r="DYX104" s="531"/>
      <c r="DYY104" s="530"/>
      <c r="DYZ104" s="531"/>
      <c r="DZA104" s="530"/>
      <c r="DZB104" s="531"/>
      <c r="DZC104" s="530"/>
      <c r="DZD104" s="531"/>
      <c r="DZE104" s="530"/>
      <c r="DZF104" s="531"/>
      <c r="DZG104" s="530"/>
      <c r="DZH104" s="531"/>
      <c r="DZI104" s="530"/>
      <c r="DZJ104" s="531"/>
      <c r="DZK104" s="530"/>
      <c r="DZL104" s="531"/>
      <c r="DZM104" s="530"/>
      <c r="DZN104" s="531"/>
      <c r="DZO104" s="530"/>
      <c r="DZP104" s="531"/>
      <c r="DZQ104" s="530"/>
      <c r="DZR104" s="531"/>
      <c r="DZS104" s="530"/>
      <c r="DZT104" s="531"/>
      <c r="DZU104" s="530"/>
      <c r="DZV104" s="531"/>
      <c r="DZW104" s="530"/>
      <c r="DZX104" s="531"/>
      <c r="DZY104" s="530"/>
      <c r="DZZ104" s="531"/>
      <c r="EAA104" s="530"/>
      <c r="EAB104" s="531"/>
      <c r="EAC104" s="530"/>
      <c r="EAD104" s="531"/>
      <c r="EAE104" s="530"/>
      <c r="EAF104" s="531"/>
      <c r="EAG104" s="530"/>
      <c r="EAH104" s="531"/>
      <c r="EAI104" s="530"/>
      <c r="EAJ104" s="531"/>
      <c r="EAK104" s="530"/>
      <c r="EAL104" s="531"/>
      <c r="EAM104" s="530"/>
      <c r="EAN104" s="531"/>
      <c r="EAO104" s="530"/>
      <c r="EAP104" s="531"/>
      <c r="EAQ104" s="530"/>
      <c r="EAR104" s="531"/>
      <c r="EAS104" s="530"/>
      <c r="EAT104" s="531"/>
      <c r="EAU104" s="530"/>
      <c r="EAV104" s="531"/>
      <c r="EAW104" s="530"/>
      <c r="EAX104" s="531"/>
      <c r="EAY104" s="530"/>
      <c r="EAZ104" s="531"/>
      <c r="EBA104" s="530"/>
      <c r="EBB104" s="531"/>
      <c r="EBC104" s="530"/>
      <c r="EBD104" s="531"/>
      <c r="EBE104" s="530"/>
      <c r="EBF104" s="531"/>
      <c r="EBG104" s="530"/>
      <c r="EBH104" s="531"/>
      <c r="EBI104" s="530"/>
      <c r="EBJ104" s="531"/>
      <c r="EBK104" s="530"/>
      <c r="EBL104" s="531"/>
      <c r="EBM104" s="530"/>
      <c r="EBN104" s="531"/>
      <c r="EBO104" s="530"/>
      <c r="EBP104" s="531"/>
      <c r="EBQ104" s="530"/>
      <c r="EBR104" s="531"/>
      <c r="EBS104" s="530"/>
      <c r="EBT104" s="531"/>
      <c r="EBU104" s="530"/>
      <c r="EBV104" s="531"/>
      <c r="EBW104" s="530"/>
      <c r="EBX104" s="531"/>
      <c r="EBY104" s="530"/>
      <c r="EBZ104" s="531"/>
      <c r="ECA104" s="530"/>
      <c r="ECB104" s="531"/>
      <c r="ECC104" s="530"/>
      <c r="ECD104" s="531"/>
      <c r="ECE104" s="530"/>
      <c r="ECF104" s="531"/>
      <c r="ECG104" s="530"/>
      <c r="ECH104" s="531"/>
      <c r="ECI104" s="530"/>
      <c r="ECJ104" s="531"/>
      <c r="ECK104" s="530"/>
      <c r="ECL104" s="531"/>
      <c r="ECM104" s="530"/>
      <c r="ECN104" s="531"/>
      <c r="ECO104" s="530"/>
      <c r="ECP104" s="531"/>
      <c r="ECQ104" s="530"/>
      <c r="ECR104" s="531"/>
      <c r="ECS104" s="530"/>
      <c r="ECT104" s="531"/>
      <c r="ECU104" s="530"/>
      <c r="ECV104" s="531"/>
      <c r="ECW104" s="530"/>
      <c r="ECX104" s="531"/>
      <c r="ECY104" s="530"/>
      <c r="ECZ104" s="531"/>
      <c r="EDA104" s="530"/>
      <c r="EDB104" s="531"/>
      <c r="EDC104" s="530"/>
      <c r="EDD104" s="531"/>
      <c r="EDE104" s="530"/>
      <c r="EDF104" s="531"/>
      <c r="EDG104" s="530"/>
      <c r="EDH104" s="531"/>
      <c r="EDI104" s="530"/>
      <c r="EDJ104" s="531"/>
      <c r="EDK104" s="530"/>
      <c r="EDL104" s="531"/>
      <c r="EDM104" s="530"/>
      <c r="EDN104" s="531"/>
      <c r="EDO104" s="530"/>
      <c r="EDP104" s="531"/>
      <c r="EDQ104" s="530"/>
      <c r="EDR104" s="531"/>
      <c r="EDS104" s="530"/>
      <c r="EDT104" s="531"/>
      <c r="EDU104" s="530"/>
      <c r="EDV104" s="531"/>
      <c r="EDW104" s="530"/>
      <c r="EDX104" s="531"/>
      <c r="EDY104" s="530"/>
      <c r="EDZ104" s="531"/>
      <c r="EEA104" s="530"/>
      <c r="EEB104" s="531"/>
      <c r="EEC104" s="530"/>
      <c r="EED104" s="531"/>
      <c r="EEE104" s="530"/>
      <c r="EEF104" s="531"/>
      <c r="EEG104" s="530"/>
      <c r="EEH104" s="531"/>
      <c r="EEI104" s="530"/>
      <c r="EEJ104" s="531"/>
      <c r="EEK104" s="530"/>
      <c r="EEL104" s="531"/>
      <c r="EEM104" s="530"/>
      <c r="EEN104" s="531"/>
      <c r="EEO104" s="530"/>
      <c r="EEP104" s="531"/>
      <c r="EEQ104" s="530"/>
      <c r="EER104" s="531"/>
      <c r="EES104" s="530"/>
      <c r="EET104" s="531"/>
      <c r="EEU104" s="530"/>
      <c r="EEV104" s="531"/>
      <c r="EEW104" s="530"/>
      <c r="EEX104" s="531"/>
      <c r="EEY104" s="530"/>
      <c r="EEZ104" s="531"/>
      <c r="EFA104" s="530"/>
      <c r="EFB104" s="531"/>
      <c r="EFC104" s="530"/>
      <c r="EFD104" s="531"/>
      <c r="EFE104" s="530"/>
      <c r="EFF104" s="531"/>
      <c r="EFG104" s="530"/>
      <c r="EFH104" s="531"/>
      <c r="EFI104" s="530"/>
      <c r="EFJ104" s="531"/>
      <c r="EFK104" s="530"/>
      <c r="EFL104" s="531"/>
      <c r="EFM104" s="530"/>
      <c r="EFN104" s="531"/>
      <c r="EFO104" s="530"/>
      <c r="EFP104" s="531"/>
      <c r="EFQ104" s="530"/>
      <c r="EFR104" s="531"/>
      <c r="EFS104" s="530"/>
      <c r="EFT104" s="531"/>
      <c r="EFU104" s="530"/>
      <c r="EFV104" s="531"/>
      <c r="EFW104" s="530"/>
      <c r="EFX104" s="531"/>
      <c r="EFY104" s="530"/>
      <c r="EFZ104" s="531"/>
      <c r="EGA104" s="530"/>
      <c r="EGB104" s="531"/>
      <c r="EGC104" s="530"/>
      <c r="EGD104" s="531"/>
      <c r="EGE104" s="530"/>
      <c r="EGF104" s="531"/>
      <c r="EGG104" s="530"/>
      <c r="EGH104" s="531"/>
      <c r="EGI104" s="530"/>
      <c r="EGJ104" s="531"/>
      <c r="EGK104" s="530"/>
      <c r="EGL104" s="531"/>
      <c r="EGM104" s="530"/>
      <c r="EGN104" s="531"/>
      <c r="EGO104" s="530"/>
      <c r="EGP104" s="531"/>
      <c r="EGQ104" s="530"/>
      <c r="EGR104" s="531"/>
      <c r="EGS104" s="530"/>
      <c r="EGT104" s="531"/>
      <c r="EGU104" s="530"/>
      <c r="EGV104" s="531"/>
      <c r="EGW104" s="530"/>
      <c r="EGX104" s="531"/>
      <c r="EGY104" s="530"/>
      <c r="EGZ104" s="531"/>
      <c r="EHA104" s="530"/>
      <c r="EHB104" s="531"/>
      <c r="EHC104" s="530"/>
      <c r="EHD104" s="531"/>
      <c r="EHE104" s="530"/>
      <c r="EHF104" s="531"/>
      <c r="EHG104" s="530"/>
      <c r="EHH104" s="531"/>
      <c r="EHI104" s="530"/>
      <c r="EHJ104" s="531"/>
      <c r="EHK104" s="530"/>
      <c r="EHL104" s="531"/>
      <c r="EHM104" s="530"/>
      <c r="EHN104" s="531"/>
      <c r="EHO104" s="530"/>
      <c r="EHP104" s="531"/>
      <c r="EHQ104" s="530"/>
      <c r="EHR104" s="531"/>
      <c r="EHS104" s="530"/>
      <c r="EHT104" s="531"/>
      <c r="EHU104" s="530"/>
      <c r="EHV104" s="531"/>
      <c r="EHW104" s="530"/>
      <c r="EHX104" s="531"/>
      <c r="EHY104" s="530"/>
      <c r="EHZ104" s="531"/>
      <c r="EIA104" s="530"/>
      <c r="EIB104" s="531"/>
      <c r="EIC104" s="530"/>
      <c r="EID104" s="531"/>
      <c r="EIE104" s="530"/>
      <c r="EIF104" s="531"/>
      <c r="EIG104" s="530"/>
      <c r="EIH104" s="531"/>
      <c r="EII104" s="530"/>
      <c r="EIJ104" s="531"/>
      <c r="EIK104" s="530"/>
      <c r="EIL104" s="531"/>
      <c r="EIM104" s="530"/>
      <c r="EIN104" s="531"/>
      <c r="EIO104" s="530"/>
      <c r="EIP104" s="531"/>
      <c r="EIQ104" s="530"/>
      <c r="EIR104" s="531"/>
      <c r="EIS104" s="530"/>
      <c r="EIT104" s="531"/>
      <c r="EIU104" s="530"/>
      <c r="EIV104" s="531"/>
      <c r="EIW104" s="530"/>
      <c r="EIX104" s="531"/>
      <c r="EIY104" s="530"/>
      <c r="EIZ104" s="531"/>
      <c r="EJA104" s="530"/>
      <c r="EJB104" s="531"/>
      <c r="EJC104" s="530"/>
      <c r="EJD104" s="531"/>
      <c r="EJE104" s="530"/>
      <c r="EJF104" s="531"/>
      <c r="EJG104" s="530"/>
      <c r="EJH104" s="531"/>
      <c r="EJI104" s="530"/>
      <c r="EJJ104" s="531"/>
      <c r="EJK104" s="530"/>
      <c r="EJL104" s="531"/>
      <c r="EJM104" s="530"/>
      <c r="EJN104" s="531"/>
      <c r="EJO104" s="530"/>
      <c r="EJP104" s="531"/>
      <c r="EJQ104" s="530"/>
      <c r="EJR104" s="531"/>
      <c r="EJS104" s="530"/>
      <c r="EJT104" s="531"/>
      <c r="EJU104" s="530"/>
      <c r="EJV104" s="531"/>
      <c r="EJW104" s="530"/>
      <c r="EJX104" s="531"/>
      <c r="EJY104" s="530"/>
      <c r="EJZ104" s="531"/>
      <c r="EKA104" s="530"/>
      <c r="EKB104" s="531"/>
      <c r="EKC104" s="530"/>
      <c r="EKD104" s="531"/>
      <c r="EKE104" s="530"/>
      <c r="EKF104" s="531"/>
      <c r="EKG104" s="530"/>
      <c r="EKH104" s="531"/>
      <c r="EKI104" s="530"/>
      <c r="EKJ104" s="531"/>
      <c r="EKK104" s="530"/>
      <c r="EKL104" s="531"/>
      <c r="EKM104" s="530"/>
      <c r="EKN104" s="531"/>
      <c r="EKO104" s="530"/>
      <c r="EKP104" s="531"/>
      <c r="EKQ104" s="530"/>
      <c r="EKR104" s="531"/>
      <c r="EKS104" s="530"/>
      <c r="EKT104" s="531"/>
      <c r="EKU104" s="530"/>
      <c r="EKV104" s="531"/>
      <c r="EKW104" s="530"/>
      <c r="EKX104" s="531"/>
      <c r="EKY104" s="530"/>
      <c r="EKZ104" s="531"/>
      <c r="ELA104" s="530"/>
      <c r="ELB104" s="531"/>
      <c r="ELC104" s="530"/>
      <c r="ELD104" s="531"/>
      <c r="ELE104" s="530"/>
      <c r="ELF104" s="531"/>
      <c r="ELG104" s="530"/>
      <c r="ELH104" s="531"/>
      <c r="ELI104" s="530"/>
      <c r="ELJ104" s="531"/>
      <c r="ELK104" s="530"/>
      <c r="ELL104" s="531"/>
      <c r="ELM104" s="530"/>
      <c r="ELN104" s="531"/>
      <c r="ELO104" s="530"/>
      <c r="ELP104" s="531"/>
      <c r="ELQ104" s="530"/>
      <c r="ELR104" s="531"/>
      <c r="ELS104" s="530"/>
      <c r="ELT104" s="531"/>
      <c r="ELU104" s="530"/>
      <c r="ELV104" s="531"/>
      <c r="ELW104" s="530"/>
      <c r="ELX104" s="531"/>
      <c r="ELY104" s="530"/>
      <c r="ELZ104" s="531"/>
      <c r="EMA104" s="530"/>
      <c r="EMB104" s="531"/>
      <c r="EMC104" s="530"/>
      <c r="EMD104" s="531"/>
      <c r="EME104" s="530"/>
      <c r="EMF104" s="531"/>
      <c r="EMG104" s="530"/>
      <c r="EMH104" s="531"/>
      <c r="EMI104" s="530"/>
      <c r="EMJ104" s="531"/>
      <c r="EMK104" s="530"/>
      <c r="EML104" s="531"/>
      <c r="EMM104" s="530"/>
      <c r="EMN104" s="531"/>
      <c r="EMO104" s="530"/>
      <c r="EMP104" s="531"/>
      <c r="EMQ104" s="530"/>
      <c r="EMR104" s="531"/>
      <c r="EMS104" s="530"/>
      <c r="EMT104" s="531"/>
      <c r="EMU104" s="530"/>
      <c r="EMV104" s="531"/>
      <c r="EMW104" s="530"/>
      <c r="EMX104" s="531"/>
      <c r="EMY104" s="530"/>
      <c r="EMZ104" s="531"/>
      <c r="ENA104" s="530"/>
      <c r="ENB104" s="531"/>
      <c r="ENC104" s="530"/>
      <c r="END104" s="531"/>
      <c r="ENE104" s="530"/>
      <c r="ENF104" s="531"/>
      <c r="ENG104" s="530"/>
      <c r="ENH104" s="531"/>
      <c r="ENI104" s="530"/>
      <c r="ENJ104" s="531"/>
      <c r="ENK104" s="530"/>
      <c r="ENL104" s="531"/>
      <c r="ENM104" s="530"/>
      <c r="ENN104" s="531"/>
      <c r="ENO104" s="530"/>
      <c r="ENP104" s="531"/>
      <c r="ENQ104" s="530"/>
      <c r="ENR104" s="531"/>
      <c r="ENS104" s="530"/>
      <c r="ENT104" s="531"/>
      <c r="ENU104" s="530"/>
      <c r="ENV104" s="531"/>
      <c r="ENW104" s="530"/>
      <c r="ENX104" s="531"/>
      <c r="ENY104" s="530"/>
      <c r="ENZ104" s="531"/>
      <c r="EOA104" s="530"/>
      <c r="EOB104" s="531"/>
      <c r="EOC104" s="530"/>
      <c r="EOD104" s="531"/>
      <c r="EOE104" s="530"/>
      <c r="EOF104" s="531"/>
      <c r="EOG104" s="530"/>
      <c r="EOH104" s="531"/>
      <c r="EOI104" s="530"/>
      <c r="EOJ104" s="531"/>
      <c r="EOK104" s="530"/>
      <c r="EOL104" s="531"/>
      <c r="EOM104" s="530"/>
      <c r="EON104" s="531"/>
      <c r="EOO104" s="530"/>
      <c r="EOP104" s="531"/>
      <c r="EOQ104" s="530"/>
      <c r="EOR104" s="531"/>
      <c r="EOS104" s="530"/>
      <c r="EOT104" s="531"/>
      <c r="EOU104" s="530"/>
      <c r="EOV104" s="531"/>
      <c r="EOW104" s="530"/>
      <c r="EOX104" s="531"/>
      <c r="EOY104" s="530"/>
      <c r="EOZ104" s="531"/>
      <c r="EPA104" s="530"/>
      <c r="EPB104" s="531"/>
      <c r="EPC104" s="530"/>
      <c r="EPD104" s="531"/>
      <c r="EPE104" s="530"/>
      <c r="EPF104" s="531"/>
      <c r="EPG104" s="530"/>
      <c r="EPH104" s="531"/>
      <c r="EPI104" s="530"/>
      <c r="EPJ104" s="531"/>
      <c r="EPK104" s="530"/>
      <c r="EPL104" s="531"/>
      <c r="EPM104" s="530"/>
      <c r="EPN104" s="531"/>
      <c r="EPO104" s="530"/>
      <c r="EPP104" s="531"/>
      <c r="EPQ104" s="530"/>
      <c r="EPR104" s="531"/>
      <c r="EPS104" s="530"/>
      <c r="EPT104" s="531"/>
      <c r="EPU104" s="530"/>
      <c r="EPV104" s="531"/>
      <c r="EPW104" s="530"/>
      <c r="EPX104" s="531"/>
      <c r="EPY104" s="530"/>
      <c r="EPZ104" s="531"/>
      <c r="EQA104" s="530"/>
      <c r="EQB104" s="531"/>
      <c r="EQC104" s="530"/>
      <c r="EQD104" s="531"/>
      <c r="EQE104" s="530"/>
      <c r="EQF104" s="531"/>
      <c r="EQG104" s="530"/>
      <c r="EQH104" s="531"/>
      <c r="EQI104" s="530"/>
      <c r="EQJ104" s="531"/>
      <c r="EQK104" s="530"/>
      <c r="EQL104" s="531"/>
      <c r="EQM104" s="530"/>
      <c r="EQN104" s="531"/>
      <c r="EQO104" s="530"/>
      <c r="EQP104" s="531"/>
      <c r="EQQ104" s="530"/>
      <c r="EQR104" s="531"/>
      <c r="EQS104" s="530"/>
      <c r="EQT104" s="531"/>
      <c r="EQU104" s="530"/>
      <c r="EQV104" s="531"/>
      <c r="EQW104" s="530"/>
      <c r="EQX104" s="531"/>
      <c r="EQY104" s="530"/>
      <c r="EQZ104" s="531"/>
      <c r="ERA104" s="530"/>
      <c r="ERB104" s="531"/>
      <c r="ERC104" s="530"/>
      <c r="ERD104" s="531"/>
      <c r="ERE104" s="530"/>
      <c r="ERF104" s="531"/>
      <c r="ERG104" s="530"/>
      <c r="ERH104" s="531"/>
      <c r="ERI104" s="530"/>
      <c r="ERJ104" s="531"/>
      <c r="ERK104" s="530"/>
      <c r="ERL104" s="531"/>
      <c r="ERM104" s="530"/>
      <c r="ERN104" s="531"/>
      <c r="ERO104" s="530"/>
      <c r="ERP104" s="531"/>
      <c r="ERQ104" s="530"/>
      <c r="ERR104" s="531"/>
      <c r="ERS104" s="530"/>
      <c r="ERT104" s="531"/>
      <c r="ERU104" s="530"/>
      <c r="ERV104" s="531"/>
      <c r="ERW104" s="530"/>
      <c r="ERX104" s="531"/>
      <c r="ERY104" s="530"/>
      <c r="ERZ104" s="531"/>
      <c r="ESA104" s="530"/>
      <c r="ESB104" s="531"/>
      <c r="ESC104" s="530"/>
      <c r="ESD104" s="531"/>
      <c r="ESE104" s="530"/>
      <c r="ESF104" s="531"/>
      <c r="ESG104" s="530"/>
      <c r="ESH104" s="531"/>
      <c r="ESI104" s="530"/>
      <c r="ESJ104" s="531"/>
      <c r="ESK104" s="530"/>
      <c r="ESL104" s="531"/>
      <c r="ESM104" s="530"/>
      <c r="ESN104" s="531"/>
      <c r="ESO104" s="530"/>
      <c r="ESP104" s="531"/>
      <c r="ESQ104" s="530"/>
      <c r="ESR104" s="531"/>
      <c r="ESS104" s="530"/>
      <c r="EST104" s="531"/>
      <c r="ESU104" s="530"/>
      <c r="ESV104" s="531"/>
      <c r="ESW104" s="530"/>
      <c r="ESX104" s="531"/>
      <c r="ESY104" s="530"/>
      <c r="ESZ104" s="531"/>
      <c r="ETA104" s="530"/>
      <c r="ETB104" s="531"/>
      <c r="ETC104" s="530"/>
      <c r="ETD104" s="531"/>
      <c r="ETE104" s="530"/>
      <c r="ETF104" s="531"/>
      <c r="ETG104" s="530"/>
      <c r="ETH104" s="531"/>
      <c r="ETI104" s="530"/>
      <c r="ETJ104" s="531"/>
      <c r="ETK104" s="530"/>
      <c r="ETL104" s="531"/>
      <c r="ETM104" s="530"/>
      <c r="ETN104" s="531"/>
      <c r="ETO104" s="530"/>
      <c r="ETP104" s="531"/>
      <c r="ETQ104" s="530"/>
      <c r="ETR104" s="531"/>
      <c r="ETS104" s="530"/>
      <c r="ETT104" s="531"/>
      <c r="ETU104" s="530"/>
      <c r="ETV104" s="531"/>
      <c r="ETW104" s="530"/>
      <c r="ETX104" s="531"/>
      <c r="ETY104" s="530"/>
      <c r="ETZ104" s="531"/>
      <c r="EUA104" s="530"/>
      <c r="EUB104" s="531"/>
      <c r="EUC104" s="530"/>
      <c r="EUD104" s="531"/>
      <c r="EUE104" s="530"/>
      <c r="EUF104" s="531"/>
      <c r="EUG104" s="530"/>
      <c r="EUH104" s="531"/>
      <c r="EUI104" s="530"/>
      <c r="EUJ104" s="531"/>
      <c r="EUK104" s="530"/>
      <c r="EUL104" s="531"/>
      <c r="EUM104" s="530"/>
      <c r="EUN104" s="531"/>
      <c r="EUO104" s="530"/>
      <c r="EUP104" s="531"/>
      <c r="EUQ104" s="530"/>
      <c r="EUR104" s="531"/>
      <c r="EUS104" s="530"/>
      <c r="EUT104" s="531"/>
      <c r="EUU104" s="530"/>
      <c r="EUV104" s="531"/>
      <c r="EUW104" s="530"/>
      <c r="EUX104" s="531"/>
      <c r="EUY104" s="530"/>
      <c r="EUZ104" s="531"/>
      <c r="EVA104" s="530"/>
      <c r="EVB104" s="531"/>
      <c r="EVC104" s="530"/>
      <c r="EVD104" s="531"/>
      <c r="EVE104" s="530"/>
      <c r="EVF104" s="531"/>
      <c r="EVG104" s="530"/>
      <c r="EVH104" s="531"/>
      <c r="EVI104" s="530"/>
      <c r="EVJ104" s="531"/>
      <c r="EVK104" s="530"/>
      <c r="EVL104" s="531"/>
      <c r="EVM104" s="530"/>
      <c r="EVN104" s="531"/>
      <c r="EVO104" s="530"/>
      <c r="EVP104" s="531"/>
      <c r="EVQ104" s="530"/>
      <c r="EVR104" s="531"/>
      <c r="EVS104" s="530"/>
      <c r="EVT104" s="531"/>
      <c r="EVU104" s="530"/>
      <c r="EVV104" s="531"/>
      <c r="EVW104" s="530"/>
      <c r="EVX104" s="531"/>
      <c r="EVY104" s="530"/>
      <c r="EVZ104" s="531"/>
      <c r="EWA104" s="530"/>
      <c r="EWB104" s="531"/>
      <c r="EWC104" s="530"/>
      <c r="EWD104" s="531"/>
      <c r="EWE104" s="530"/>
      <c r="EWF104" s="531"/>
      <c r="EWG104" s="530"/>
      <c r="EWH104" s="531"/>
      <c r="EWI104" s="530"/>
      <c r="EWJ104" s="531"/>
      <c r="EWK104" s="530"/>
      <c r="EWL104" s="531"/>
      <c r="EWM104" s="530"/>
      <c r="EWN104" s="531"/>
      <c r="EWO104" s="530"/>
      <c r="EWP104" s="531"/>
      <c r="EWQ104" s="530"/>
      <c r="EWR104" s="531"/>
      <c r="EWS104" s="530"/>
      <c r="EWT104" s="531"/>
      <c r="EWU104" s="530"/>
      <c r="EWV104" s="531"/>
      <c r="EWW104" s="530"/>
      <c r="EWX104" s="531"/>
      <c r="EWY104" s="530"/>
      <c r="EWZ104" s="531"/>
      <c r="EXA104" s="530"/>
      <c r="EXB104" s="531"/>
      <c r="EXC104" s="530"/>
      <c r="EXD104" s="531"/>
      <c r="EXE104" s="530"/>
      <c r="EXF104" s="531"/>
      <c r="EXG104" s="530"/>
      <c r="EXH104" s="531"/>
      <c r="EXI104" s="530"/>
      <c r="EXJ104" s="531"/>
      <c r="EXK104" s="530"/>
      <c r="EXL104" s="531"/>
      <c r="EXM104" s="530"/>
      <c r="EXN104" s="531"/>
      <c r="EXO104" s="530"/>
      <c r="EXP104" s="531"/>
      <c r="EXQ104" s="530"/>
      <c r="EXR104" s="531"/>
      <c r="EXS104" s="530"/>
      <c r="EXT104" s="531"/>
      <c r="EXU104" s="530"/>
      <c r="EXV104" s="531"/>
      <c r="EXW104" s="530"/>
      <c r="EXX104" s="531"/>
      <c r="EXY104" s="530"/>
      <c r="EXZ104" s="531"/>
      <c r="EYA104" s="530"/>
      <c r="EYB104" s="531"/>
      <c r="EYC104" s="530"/>
      <c r="EYD104" s="531"/>
      <c r="EYE104" s="530"/>
      <c r="EYF104" s="531"/>
      <c r="EYG104" s="530"/>
      <c r="EYH104" s="531"/>
      <c r="EYI104" s="530"/>
      <c r="EYJ104" s="531"/>
      <c r="EYK104" s="530"/>
      <c r="EYL104" s="531"/>
      <c r="EYM104" s="530"/>
      <c r="EYN104" s="531"/>
      <c r="EYO104" s="530"/>
      <c r="EYP104" s="531"/>
      <c r="EYQ104" s="530"/>
      <c r="EYR104" s="531"/>
      <c r="EYS104" s="530"/>
      <c r="EYT104" s="531"/>
      <c r="EYU104" s="530"/>
      <c r="EYV104" s="531"/>
      <c r="EYW104" s="530"/>
      <c r="EYX104" s="531"/>
      <c r="EYY104" s="530"/>
      <c r="EYZ104" s="531"/>
      <c r="EZA104" s="530"/>
      <c r="EZB104" s="531"/>
      <c r="EZC104" s="530"/>
      <c r="EZD104" s="531"/>
      <c r="EZE104" s="530"/>
      <c r="EZF104" s="531"/>
      <c r="EZG104" s="530"/>
      <c r="EZH104" s="531"/>
      <c r="EZI104" s="530"/>
      <c r="EZJ104" s="531"/>
      <c r="EZK104" s="530"/>
      <c r="EZL104" s="531"/>
      <c r="EZM104" s="530"/>
      <c r="EZN104" s="531"/>
      <c r="EZO104" s="530"/>
      <c r="EZP104" s="531"/>
      <c r="EZQ104" s="530"/>
      <c r="EZR104" s="531"/>
      <c r="EZS104" s="530"/>
      <c r="EZT104" s="531"/>
      <c r="EZU104" s="530"/>
      <c r="EZV104" s="531"/>
      <c r="EZW104" s="530"/>
      <c r="EZX104" s="531"/>
      <c r="EZY104" s="530"/>
      <c r="EZZ104" s="531"/>
      <c r="FAA104" s="530"/>
      <c r="FAB104" s="531"/>
      <c r="FAC104" s="530"/>
      <c r="FAD104" s="531"/>
      <c r="FAE104" s="530"/>
      <c r="FAF104" s="531"/>
      <c r="FAG104" s="530"/>
      <c r="FAH104" s="531"/>
      <c r="FAI104" s="530"/>
      <c r="FAJ104" s="531"/>
      <c r="FAK104" s="530"/>
      <c r="FAL104" s="531"/>
      <c r="FAM104" s="530"/>
      <c r="FAN104" s="531"/>
      <c r="FAO104" s="530"/>
      <c r="FAP104" s="531"/>
      <c r="FAQ104" s="530"/>
      <c r="FAR104" s="531"/>
      <c r="FAS104" s="530"/>
      <c r="FAT104" s="531"/>
      <c r="FAU104" s="530"/>
      <c r="FAV104" s="531"/>
      <c r="FAW104" s="530"/>
      <c r="FAX104" s="531"/>
      <c r="FAY104" s="530"/>
      <c r="FAZ104" s="531"/>
      <c r="FBA104" s="530"/>
      <c r="FBB104" s="531"/>
      <c r="FBC104" s="530"/>
      <c r="FBD104" s="531"/>
      <c r="FBE104" s="530"/>
      <c r="FBF104" s="531"/>
      <c r="FBG104" s="530"/>
      <c r="FBH104" s="531"/>
      <c r="FBI104" s="530"/>
      <c r="FBJ104" s="531"/>
      <c r="FBK104" s="530"/>
      <c r="FBL104" s="531"/>
      <c r="FBM104" s="530"/>
      <c r="FBN104" s="531"/>
      <c r="FBO104" s="530"/>
      <c r="FBP104" s="531"/>
      <c r="FBQ104" s="530"/>
      <c r="FBR104" s="531"/>
      <c r="FBS104" s="530"/>
      <c r="FBT104" s="531"/>
      <c r="FBU104" s="530"/>
      <c r="FBV104" s="531"/>
      <c r="FBW104" s="530"/>
      <c r="FBX104" s="531"/>
      <c r="FBY104" s="530"/>
      <c r="FBZ104" s="531"/>
      <c r="FCA104" s="530"/>
      <c r="FCB104" s="531"/>
      <c r="FCC104" s="530"/>
      <c r="FCD104" s="531"/>
      <c r="FCE104" s="530"/>
      <c r="FCF104" s="531"/>
      <c r="FCG104" s="530"/>
      <c r="FCH104" s="531"/>
      <c r="FCI104" s="530"/>
      <c r="FCJ104" s="531"/>
      <c r="FCK104" s="530"/>
      <c r="FCL104" s="531"/>
      <c r="FCM104" s="530"/>
      <c r="FCN104" s="531"/>
      <c r="FCO104" s="530"/>
      <c r="FCP104" s="531"/>
      <c r="FCQ104" s="530"/>
      <c r="FCR104" s="531"/>
      <c r="FCS104" s="530"/>
      <c r="FCT104" s="531"/>
      <c r="FCU104" s="530"/>
      <c r="FCV104" s="531"/>
      <c r="FCW104" s="530"/>
      <c r="FCX104" s="531"/>
      <c r="FCY104" s="530"/>
      <c r="FCZ104" s="531"/>
      <c r="FDA104" s="530"/>
      <c r="FDB104" s="531"/>
      <c r="FDC104" s="530"/>
      <c r="FDD104" s="531"/>
      <c r="FDE104" s="530"/>
      <c r="FDF104" s="531"/>
      <c r="FDG104" s="530"/>
      <c r="FDH104" s="531"/>
      <c r="FDI104" s="530"/>
      <c r="FDJ104" s="531"/>
      <c r="FDK104" s="530"/>
      <c r="FDL104" s="531"/>
      <c r="FDM104" s="530"/>
      <c r="FDN104" s="531"/>
      <c r="FDO104" s="530"/>
      <c r="FDP104" s="531"/>
      <c r="FDQ104" s="530"/>
      <c r="FDR104" s="531"/>
      <c r="FDS104" s="530"/>
      <c r="FDT104" s="531"/>
      <c r="FDU104" s="530"/>
      <c r="FDV104" s="531"/>
      <c r="FDW104" s="530"/>
      <c r="FDX104" s="531"/>
      <c r="FDY104" s="530"/>
      <c r="FDZ104" s="531"/>
      <c r="FEA104" s="530"/>
      <c r="FEB104" s="531"/>
      <c r="FEC104" s="530"/>
      <c r="FED104" s="531"/>
      <c r="FEE104" s="530"/>
      <c r="FEF104" s="531"/>
      <c r="FEG104" s="530"/>
      <c r="FEH104" s="531"/>
      <c r="FEI104" s="530"/>
      <c r="FEJ104" s="531"/>
      <c r="FEK104" s="530"/>
      <c r="FEL104" s="531"/>
      <c r="FEM104" s="530"/>
      <c r="FEN104" s="531"/>
      <c r="FEO104" s="530"/>
      <c r="FEP104" s="531"/>
      <c r="FEQ104" s="530"/>
      <c r="FER104" s="531"/>
      <c r="FES104" s="530"/>
      <c r="FET104" s="531"/>
      <c r="FEU104" s="530"/>
      <c r="FEV104" s="531"/>
      <c r="FEW104" s="530"/>
      <c r="FEX104" s="531"/>
      <c r="FEY104" s="530"/>
      <c r="FEZ104" s="531"/>
      <c r="FFA104" s="530"/>
      <c r="FFB104" s="531"/>
      <c r="FFC104" s="530"/>
      <c r="FFD104" s="531"/>
      <c r="FFE104" s="530"/>
      <c r="FFF104" s="531"/>
      <c r="FFG104" s="530"/>
      <c r="FFH104" s="531"/>
      <c r="FFI104" s="530"/>
      <c r="FFJ104" s="531"/>
      <c r="FFK104" s="530"/>
      <c r="FFL104" s="531"/>
      <c r="FFM104" s="530"/>
      <c r="FFN104" s="531"/>
      <c r="FFO104" s="530"/>
      <c r="FFP104" s="531"/>
      <c r="FFQ104" s="530"/>
      <c r="FFR104" s="531"/>
      <c r="FFS104" s="530"/>
      <c r="FFT104" s="531"/>
      <c r="FFU104" s="530"/>
      <c r="FFV104" s="531"/>
      <c r="FFW104" s="530"/>
      <c r="FFX104" s="531"/>
      <c r="FFY104" s="530"/>
      <c r="FFZ104" s="531"/>
      <c r="FGA104" s="530"/>
      <c r="FGB104" s="531"/>
      <c r="FGC104" s="530"/>
      <c r="FGD104" s="531"/>
      <c r="FGE104" s="530"/>
      <c r="FGF104" s="531"/>
      <c r="FGG104" s="530"/>
      <c r="FGH104" s="531"/>
      <c r="FGI104" s="530"/>
      <c r="FGJ104" s="531"/>
      <c r="FGK104" s="530"/>
      <c r="FGL104" s="531"/>
      <c r="FGM104" s="530"/>
      <c r="FGN104" s="531"/>
      <c r="FGO104" s="530"/>
      <c r="FGP104" s="531"/>
      <c r="FGQ104" s="530"/>
      <c r="FGR104" s="531"/>
      <c r="FGS104" s="530"/>
      <c r="FGT104" s="531"/>
      <c r="FGU104" s="530"/>
      <c r="FGV104" s="531"/>
      <c r="FGW104" s="530"/>
      <c r="FGX104" s="531"/>
      <c r="FGY104" s="530"/>
      <c r="FGZ104" s="531"/>
      <c r="FHA104" s="530"/>
      <c r="FHB104" s="531"/>
      <c r="FHC104" s="530"/>
      <c r="FHD104" s="531"/>
      <c r="FHE104" s="530"/>
      <c r="FHF104" s="531"/>
      <c r="FHG104" s="530"/>
      <c r="FHH104" s="531"/>
      <c r="FHI104" s="530"/>
      <c r="FHJ104" s="531"/>
      <c r="FHK104" s="530"/>
      <c r="FHL104" s="531"/>
      <c r="FHM104" s="530"/>
      <c r="FHN104" s="531"/>
      <c r="FHO104" s="530"/>
      <c r="FHP104" s="531"/>
      <c r="FHQ104" s="530"/>
      <c r="FHR104" s="531"/>
      <c r="FHS104" s="530"/>
      <c r="FHT104" s="531"/>
      <c r="FHU104" s="530"/>
      <c r="FHV104" s="531"/>
      <c r="FHW104" s="530"/>
      <c r="FHX104" s="531"/>
      <c r="FHY104" s="530"/>
      <c r="FHZ104" s="531"/>
      <c r="FIA104" s="530"/>
      <c r="FIB104" s="531"/>
      <c r="FIC104" s="530"/>
      <c r="FID104" s="531"/>
      <c r="FIE104" s="530"/>
      <c r="FIF104" s="531"/>
      <c r="FIG104" s="530"/>
      <c r="FIH104" s="531"/>
      <c r="FII104" s="530"/>
      <c r="FIJ104" s="531"/>
      <c r="FIK104" s="530"/>
      <c r="FIL104" s="531"/>
      <c r="FIM104" s="530"/>
      <c r="FIN104" s="531"/>
      <c r="FIO104" s="530"/>
      <c r="FIP104" s="531"/>
      <c r="FIQ104" s="530"/>
      <c r="FIR104" s="531"/>
      <c r="FIS104" s="530"/>
      <c r="FIT104" s="531"/>
      <c r="FIU104" s="530"/>
      <c r="FIV104" s="531"/>
      <c r="FIW104" s="530"/>
      <c r="FIX104" s="531"/>
      <c r="FIY104" s="530"/>
      <c r="FIZ104" s="531"/>
      <c r="FJA104" s="530"/>
      <c r="FJB104" s="531"/>
      <c r="FJC104" s="530"/>
      <c r="FJD104" s="531"/>
      <c r="FJE104" s="530"/>
      <c r="FJF104" s="531"/>
      <c r="FJG104" s="530"/>
      <c r="FJH104" s="531"/>
      <c r="FJI104" s="530"/>
      <c r="FJJ104" s="531"/>
      <c r="FJK104" s="530"/>
      <c r="FJL104" s="531"/>
      <c r="FJM104" s="530"/>
      <c r="FJN104" s="531"/>
      <c r="FJO104" s="530"/>
      <c r="FJP104" s="531"/>
      <c r="FJQ104" s="530"/>
      <c r="FJR104" s="531"/>
      <c r="FJS104" s="530"/>
      <c r="FJT104" s="531"/>
      <c r="FJU104" s="530"/>
      <c r="FJV104" s="531"/>
      <c r="FJW104" s="530"/>
      <c r="FJX104" s="531"/>
      <c r="FJY104" s="530"/>
      <c r="FJZ104" s="531"/>
      <c r="FKA104" s="530"/>
      <c r="FKB104" s="531"/>
      <c r="FKC104" s="530"/>
      <c r="FKD104" s="531"/>
      <c r="FKE104" s="530"/>
      <c r="FKF104" s="531"/>
      <c r="FKG104" s="530"/>
      <c r="FKH104" s="531"/>
      <c r="FKI104" s="530"/>
      <c r="FKJ104" s="531"/>
      <c r="FKK104" s="530"/>
      <c r="FKL104" s="531"/>
      <c r="FKM104" s="530"/>
      <c r="FKN104" s="531"/>
      <c r="FKO104" s="530"/>
      <c r="FKP104" s="531"/>
      <c r="FKQ104" s="530"/>
      <c r="FKR104" s="531"/>
      <c r="FKS104" s="530"/>
      <c r="FKT104" s="531"/>
      <c r="FKU104" s="530"/>
      <c r="FKV104" s="531"/>
      <c r="FKW104" s="530"/>
      <c r="FKX104" s="531"/>
      <c r="FKY104" s="530"/>
      <c r="FKZ104" s="531"/>
      <c r="FLA104" s="530"/>
      <c r="FLB104" s="531"/>
      <c r="FLC104" s="530"/>
      <c r="FLD104" s="531"/>
      <c r="FLE104" s="530"/>
      <c r="FLF104" s="531"/>
      <c r="FLG104" s="530"/>
      <c r="FLH104" s="531"/>
      <c r="FLI104" s="530"/>
      <c r="FLJ104" s="531"/>
      <c r="FLK104" s="530"/>
      <c r="FLL104" s="531"/>
      <c r="FLM104" s="530"/>
      <c r="FLN104" s="531"/>
      <c r="FLO104" s="530"/>
      <c r="FLP104" s="531"/>
      <c r="FLQ104" s="530"/>
      <c r="FLR104" s="531"/>
      <c r="FLS104" s="530"/>
      <c r="FLT104" s="531"/>
      <c r="FLU104" s="530"/>
      <c r="FLV104" s="531"/>
      <c r="FLW104" s="530"/>
      <c r="FLX104" s="531"/>
      <c r="FLY104" s="530"/>
      <c r="FLZ104" s="531"/>
      <c r="FMA104" s="530"/>
      <c r="FMB104" s="531"/>
      <c r="FMC104" s="530"/>
      <c r="FMD104" s="531"/>
      <c r="FME104" s="530"/>
      <c r="FMF104" s="531"/>
      <c r="FMG104" s="530"/>
      <c r="FMH104" s="531"/>
      <c r="FMI104" s="530"/>
      <c r="FMJ104" s="531"/>
      <c r="FMK104" s="530"/>
      <c r="FML104" s="531"/>
      <c r="FMM104" s="530"/>
      <c r="FMN104" s="531"/>
      <c r="FMO104" s="530"/>
      <c r="FMP104" s="531"/>
      <c r="FMQ104" s="530"/>
      <c r="FMR104" s="531"/>
      <c r="FMS104" s="530"/>
      <c r="FMT104" s="531"/>
      <c r="FMU104" s="530"/>
      <c r="FMV104" s="531"/>
      <c r="FMW104" s="530"/>
      <c r="FMX104" s="531"/>
      <c r="FMY104" s="530"/>
      <c r="FMZ104" s="531"/>
      <c r="FNA104" s="530"/>
      <c r="FNB104" s="531"/>
      <c r="FNC104" s="530"/>
      <c r="FND104" s="531"/>
      <c r="FNE104" s="530"/>
      <c r="FNF104" s="531"/>
      <c r="FNG104" s="530"/>
      <c r="FNH104" s="531"/>
      <c r="FNI104" s="530"/>
      <c r="FNJ104" s="531"/>
      <c r="FNK104" s="530"/>
      <c r="FNL104" s="531"/>
      <c r="FNM104" s="530"/>
      <c r="FNN104" s="531"/>
      <c r="FNO104" s="530"/>
      <c r="FNP104" s="531"/>
      <c r="FNQ104" s="530"/>
      <c r="FNR104" s="531"/>
      <c r="FNS104" s="530"/>
      <c r="FNT104" s="531"/>
      <c r="FNU104" s="530"/>
      <c r="FNV104" s="531"/>
      <c r="FNW104" s="530"/>
      <c r="FNX104" s="531"/>
      <c r="FNY104" s="530"/>
      <c r="FNZ104" s="531"/>
      <c r="FOA104" s="530"/>
      <c r="FOB104" s="531"/>
      <c r="FOC104" s="530"/>
      <c r="FOD104" s="531"/>
      <c r="FOE104" s="530"/>
      <c r="FOF104" s="531"/>
      <c r="FOG104" s="530"/>
      <c r="FOH104" s="531"/>
      <c r="FOI104" s="530"/>
      <c r="FOJ104" s="531"/>
      <c r="FOK104" s="530"/>
      <c r="FOL104" s="531"/>
      <c r="FOM104" s="530"/>
      <c r="FON104" s="531"/>
      <c r="FOO104" s="530"/>
      <c r="FOP104" s="531"/>
      <c r="FOQ104" s="530"/>
      <c r="FOR104" s="531"/>
      <c r="FOS104" s="530"/>
      <c r="FOT104" s="531"/>
      <c r="FOU104" s="530"/>
      <c r="FOV104" s="531"/>
      <c r="FOW104" s="530"/>
      <c r="FOX104" s="531"/>
      <c r="FOY104" s="530"/>
      <c r="FOZ104" s="531"/>
      <c r="FPA104" s="530"/>
      <c r="FPB104" s="531"/>
      <c r="FPC104" s="530"/>
      <c r="FPD104" s="531"/>
      <c r="FPE104" s="530"/>
      <c r="FPF104" s="531"/>
      <c r="FPG104" s="530"/>
      <c r="FPH104" s="531"/>
      <c r="FPI104" s="530"/>
      <c r="FPJ104" s="531"/>
      <c r="FPK104" s="530"/>
      <c r="FPL104" s="531"/>
      <c r="FPM104" s="530"/>
      <c r="FPN104" s="531"/>
      <c r="FPO104" s="530"/>
      <c r="FPP104" s="531"/>
      <c r="FPQ104" s="530"/>
      <c r="FPR104" s="531"/>
      <c r="FPS104" s="530"/>
      <c r="FPT104" s="531"/>
      <c r="FPU104" s="530"/>
      <c r="FPV104" s="531"/>
      <c r="FPW104" s="530"/>
      <c r="FPX104" s="531"/>
      <c r="FPY104" s="530"/>
      <c r="FPZ104" s="531"/>
      <c r="FQA104" s="530"/>
      <c r="FQB104" s="531"/>
      <c r="FQC104" s="530"/>
      <c r="FQD104" s="531"/>
      <c r="FQE104" s="530"/>
      <c r="FQF104" s="531"/>
      <c r="FQG104" s="530"/>
      <c r="FQH104" s="531"/>
      <c r="FQI104" s="530"/>
      <c r="FQJ104" s="531"/>
      <c r="FQK104" s="530"/>
      <c r="FQL104" s="531"/>
      <c r="FQM104" s="530"/>
      <c r="FQN104" s="531"/>
      <c r="FQO104" s="530"/>
      <c r="FQP104" s="531"/>
      <c r="FQQ104" s="530"/>
      <c r="FQR104" s="531"/>
      <c r="FQS104" s="530"/>
      <c r="FQT104" s="531"/>
      <c r="FQU104" s="530"/>
      <c r="FQV104" s="531"/>
      <c r="FQW104" s="530"/>
      <c r="FQX104" s="531"/>
      <c r="FQY104" s="530"/>
      <c r="FQZ104" s="531"/>
      <c r="FRA104" s="530"/>
      <c r="FRB104" s="531"/>
      <c r="FRC104" s="530"/>
      <c r="FRD104" s="531"/>
      <c r="FRE104" s="530"/>
      <c r="FRF104" s="531"/>
      <c r="FRG104" s="530"/>
      <c r="FRH104" s="531"/>
      <c r="FRI104" s="530"/>
      <c r="FRJ104" s="531"/>
      <c r="FRK104" s="530"/>
      <c r="FRL104" s="531"/>
      <c r="FRM104" s="530"/>
      <c r="FRN104" s="531"/>
      <c r="FRO104" s="530"/>
      <c r="FRP104" s="531"/>
      <c r="FRQ104" s="530"/>
      <c r="FRR104" s="531"/>
      <c r="FRS104" s="530"/>
      <c r="FRT104" s="531"/>
      <c r="FRU104" s="530"/>
      <c r="FRV104" s="531"/>
      <c r="FRW104" s="530"/>
      <c r="FRX104" s="531"/>
      <c r="FRY104" s="530"/>
      <c r="FRZ104" s="531"/>
      <c r="FSA104" s="530"/>
      <c r="FSB104" s="531"/>
      <c r="FSC104" s="530"/>
      <c r="FSD104" s="531"/>
      <c r="FSE104" s="530"/>
      <c r="FSF104" s="531"/>
      <c r="FSG104" s="530"/>
      <c r="FSH104" s="531"/>
      <c r="FSI104" s="530"/>
      <c r="FSJ104" s="531"/>
      <c r="FSK104" s="530"/>
      <c r="FSL104" s="531"/>
      <c r="FSM104" s="530"/>
      <c r="FSN104" s="531"/>
      <c r="FSO104" s="530"/>
      <c r="FSP104" s="531"/>
      <c r="FSQ104" s="530"/>
      <c r="FSR104" s="531"/>
      <c r="FSS104" s="530"/>
      <c r="FST104" s="531"/>
      <c r="FSU104" s="530"/>
      <c r="FSV104" s="531"/>
      <c r="FSW104" s="530"/>
      <c r="FSX104" s="531"/>
      <c r="FSY104" s="530"/>
      <c r="FSZ104" s="531"/>
      <c r="FTA104" s="530"/>
      <c r="FTB104" s="531"/>
      <c r="FTC104" s="530"/>
      <c r="FTD104" s="531"/>
      <c r="FTE104" s="530"/>
      <c r="FTF104" s="531"/>
      <c r="FTG104" s="530"/>
      <c r="FTH104" s="531"/>
      <c r="FTI104" s="530"/>
      <c r="FTJ104" s="531"/>
      <c r="FTK104" s="530"/>
      <c r="FTL104" s="531"/>
      <c r="FTM104" s="530"/>
      <c r="FTN104" s="531"/>
      <c r="FTO104" s="530"/>
      <c r="FTP104" s="531"/>
      <c r="FTQ104" s="530"/>
      <c r="FTR104" s="531"/>
      <c r="FTS104" s="530"/>
      <c r="FTT104" s="531"/>
      <c r="FTU104" s="530"/>
      <c r="FTV104" s="531"/>
      <c r="FTW104" s="530"/>
      <c r="FTX104" s="531"/>
      <c r="FTY104" s="530"/>
      <c r="FTZ104" s="531"/>
      <c r="FUA104" s="530"/>
      <c r="FUB104" s="531"/>
      <c r="FUC104" s="530"/>
      <c r="FUD104" s="531"/>
      <c r="FUE104" s="530"/>
      <c r="FUF104" s="531"/>
      <c r="FUG104" s="530"/>
      <c r="FUH104" s="531"/>
      <c r="FUI104" s="530"/>
      <c r="FUJ104" s="531"/>
      <c r="FUK104" s="530"/>
      <c r="FUL104" s="531"/>
      <c r="FUM104" s="530"/>
      <c r="FUN104" s="531"/>
      <c r="FUO104" s="530"/>
      <c r="FUP104" s="531"/>
      <c r="FUQ104" s="530"/>
      <c r="FUR104" s="531"/>
      <c r="FUS104" s="530"/>
      <c r="FUT104" s="531"/>
      <c r="FUU104" s="530"/>
      <c r="FUV104" s="531"/>
      <c r="FUW104" s="530"/>
      <c r="FUX104" s="531"/>
      <c r="FUY104" s="530"/>
      <c r="FUZ104" s="531"/>
      <c r="FVA104" s="530"/>
      <c r="FVB104" s="531"/>
      <c r="FVC104" s="530"/>
      <c r="FVD104" s="531"/>
      <c r="FVE104" s="530"/>
      <c r="FVF104" s="531"/>
      <c r="FVG104" s="530"/>
      <c r="FVH104" s="531"/>
      <c r="FVI104" s="530"/>
      <c r="FVJ104" s="531"/>
      <c r="FVK104" s="530"/>
      <c r="FVL104" s="531"/>
      <c r="FVM104" s="530"/>
      <c r="FVN104" s="531"/>
      <c r="FVO104" s="530"/>
      <c r="FVP104" s="531"/>
      <c r="FVQ104" s="530"/>
      <c r="FVR104" s="531"/>
      <c r="FVS104" s="530"/>
      <c r="FVT104" s="531"/>
      <c r="FVU104" s="530"/>
      <c r="FVV104" s="531"/>
      <c r="FVW104" s="530"/>
      <c r="FVX104" s="531"/>
      <c r="FVY104" s="530"/>
      <c r="FVZ104" s="531"/>
      <c r="FWA104" s="530"/>
      <c r="FWB104" s="531"/>
      <c r="FWC104" s="530"/>
      <c r="FWD104" s="531"/>
      <c r="FWE104" s="530"/>
      <c r="FWF104" s="531"/>
      <c r="FWG104" s="530"/>
      <c r="FWH104" s="531"/>
      <c r="FWI104" s="530"/>
      <c r="FWJ104" s="531"/>
      <c r="FWK104" s="530"/>
      <c r="FWL104" s="531"/>
      <c r="FWM104" s="530"/>
      <c r="FWN104" s="531"/>
      <c r="FWO104" s="530"/>
      <c r="FWP104" s="531"/>
      <c r="FWQ104" s="530"/>
      <c r="FWR104" s="531"/>
      <c r="FWS104" s="530"/>
      <c r="FWT104" s="531"/>
      <c r="FWU104" s="530"/>
      <c r="FWV104" s="531"/>
      <c r="FWW104" s="530"/>
      <c r="FWX104" s="531"/>
      <c r="FWY104" s="530"/>
      <c r="FWZ104" s="531"/>
      <c r="FXA104" s="530"/>
      <c r="FXB104" s="531"/>
      <c r="FXC104" s="530"/>
      <c r="FXD104" s="531"/>
      <c r="FXE104" s="530"/>
      <c r="FXF104" s="531"/>
      <c r="FXG104" s="530"/>
      <c r="FXH104" s="531"/>
      <c r="FXI104" s="530"/>
      <c r="FXJ104" s="531"/>
      <c r="FXK104" s="530"/>
      <c r="FXL104" s="531"/>
      <c r="FXM104" s="530"/>
      <c r="FXN104" s="531"/>
      <c r="FXO104" s="530"/>
      <c r="FXP104" s="531"/>
      <c r="FXQ104" s="530"/>
      <c r="FXR104" s="531"/>
      <c r="FXS104" s="530"/>
      <c r="FXT104" s="531"/>
      <c r="FXU104" s="530"/>
      <c r="FXV104" s="531"/>
      <c r="FXW104" s="530"/>
      <c r="FXX104" s="531"/>
      <c r="FXY104" s="530"/>
      <c r="FXZ104" s="531"/>
      <c r="FYA104" s="530"/>
      <c r="FYB104" s="531"/>
      <c r="FYC104" s="530"/>
      <c r="FYD104" s="531"/>
      <c r="FYE104" s="530"/>
      <c r="FYF104" s="531"/>
      <c r="FYG104" s="530"/>
      <c r="FYH104" s="531"/>
      <c r="FYI104" s="530"/>
      <c r="FYJ104" s="531"/>
      <c r="FYK104" s="530"/>
      <c r="FYL104" s="531"/>
      <c r="FYM104" s="530"/>
      <c r="FYN104" s="531"/>
      <c r="FYO104" s="530"/>
      <c r="FYP104" s="531"/>
      <c r="FYQ104" s="530"/>
      <c r="FYR104" s="531"/>
      <c r="FYS104" s="530"/>
      <c r="FYT104" s="531"/>
      <c r="FYU104" s="530"/>
      <c r="FYV104" s="531"/>
      <c r="FYW104" s="530"/>
      <c r="FYX104" s="531"/>
      <c r="FYY104" s="530"/>
      <c r="FYZ104" s="531"/>
      <c r="FZA104" s="530"/>
      <c r="FZB104" s="531"/>
      <c r="FZC104" s="530"/>
      <c r="FZD104" s="531"/>
      <c r="FZE104" s="530"/>
      <c r="FZF104" s="531"/>
      <c r="FZG104" s="530"/>
      <c r="FZH104" s="531"/>
      <c r="FZI104" s="530"/>
      <c r="FZJ104" s="531"/>
      <c r="FZK104" s="530"/>
      <c r="FZL104" s="531"/>
      <c r="FZM104" s="530"/>
      <c r="FZN104" s="531"/>
      <c r="FZO104" s="530"/>
      <c r="FZP104" s="531"/>
      <c r="FZQ104" s="530"/>
      <c r="FZR104" s="531"/>
      <c r="FZS104" s="530"/>
      <c r="FZT104" s="531"/>
      <c r="FZU104" s="530"/>
      <c r="FZV104" s="531"/>
      <c r="FZW104" s="530"/>
      <c r="FZX104" s="531"/>
      <c r="FZY104" s="530"/>
      <c r="FZZ104" s="531"/>
      <c r="GAA104" s="530"/>
      <c r="GAB104" s="531"/>
      <c r="GAC104" s="530"/>
      <c r="GAD104" s="531"/>
      <c r="GAE104" s="530"/>
      <c r="GAF104" s="531"/>
      <c r="GAG104" s="530"/>
      <c r="GAH104" s="531"/>
      <c r="GAI104" s="530"/>
      <c r="GAJ104" s="531"/>
      <c r="GAK104" s="530"/>
      <c r="GAL104" s="531"/>
      <c r="GAM104" s="530"/>
      <c r="GAN104" s="531"/>
      <c r="GAO104" s="530"/>
      <c r="GAP104" s="531"/>
      <c r="GAQ104" s="530"/>
      <c r="GAR104" s="531"/>
      <c r="GAS104" s="530"/>
      <c r="GAT104" s="531"/>
      <c r="GAU104" s="530"/>
      <c r="GAV104" s="531"/>
      <c r="GAW104" s="530"/>
      <c r="GAX104" s="531"/>
      <c r="GAY104" s="530"/>
      <c r="GAZ104" s="531"/>
      <c r="GBA104" s="530"/>
      <c r="GBB104" s="531"/>
      <c r="GBC104" s="530"/>
      <c r="GBD104" s="531"/>
      <c r="GBE104" s="530"/>
      <c r="GBF104" s="531"/>
      <c r="GBG104" s="530"/>
      <c r="GBH104" s="531"/>
      <c r="GBI104" s="530"/>
      <c r="GBJ104" s="531"/>
      <c r="GBK104" s="530"/>
      <c r="GBL104" s="531"/>
      <c r="GBM104" s="530"/>
      <c r="GBN104" s="531"/>
      <c r="GBO104" s="530"/>
      <c r="GBP104" s="531"/>
      <c r="GBQ104" s="530"/>
      <c r="GBR104" s="531"/>
      <c r="GBS104" s="530"/>
      <c r="GBT104" s="531"/>
      <c r="GBU104" s="530"/>
      <c r="GBV104" s="531"/>
      <c r="GBW104" s="530"/>
      <c r="GBX104" s="531"/>
      <c r="GBY104" s="530"/>
      <c r="GBZ104" s="531"/>
      <c r="GCA104" s="530"/>
      <c r="GCB104" s="531"/>
      <c r="GCC104" s="530"/>
      <c r="GCD104" s="531"/>
      <c r="GCE104" s="530"/>
      <c r="GCF104" s="531"/>
      <c r="GCG104" s="530"/>
      <c r="GCH104" s="531"/>
      <c r="GCI104" s="530"/>
      <c r="GCJ104" s="531"/>
      <c r="GCK104" s="530"/>
      <c r="GCL104" s="531"/>
      <c r="GCM104" s="530"/>
      <c r="GCN104" s="531"/>
      <c r="GCO104" s="530"/>
      <c r="GCP104" s="531"/>
      <c r="GCQ104" s="530"/>
      <c r="GCR104" s="531"/>
      <c r="GCS104" s="530"/>
      <c r="GCT104" s="531"/>
      <c r="GCU104" s="530"/>
      <c r="GCV104" s="531"/>
      <c r="GCW104" s="530"/>
      <c r="GCX104" s="531"/>
      <c r="GCY104" s="530"/>
      <c r="GCZ104" s="531"/>
      <c r="GDA104" s="530"/>
      <c r="GDB104" s="531"/>
      <c r="GDC104" s="530"/>
      <c r="GDD104" s="531"/>
      <c r="GDE104" s="530"/>
      <c r="GDF104" s="531"/>
      <c r="GDG104" s="530"/>
      <c r="GDH104" s="531"/>
      <c r="GDI104" s="530"/>
      <c r="GDJ104" s="531"/>
      <c r="GDK104" s="530"/>
      <c r="GDL104" s="531"/>
      <c r="GDM104" s="530"/>
      <c r="GDN104" s="531"/>
      <c r="GDO104" s="530"/>
      <c r="GDP104" s="531"/>
      <c r="GDQ104" s="530"/>
      <c r="GDR104" s="531"/>
      <c r="GDS104" s="530"/>
      <c r="GDT104" s="531"/>
      <c r="GDU104" s="530"/>
      <c r="GDV104" s="531"/>
      <c r="GDW104" s="530"/>
      <c r="GDX104" s="531"/>
      <c r="GDY104" s="530"/>
      <c r="GDZ104" s="531"/>
      <c r="GEA104" s="530"/>
      <c r="GEB104" s="531"/>
      <c r="GEC104" s="530"/>
      <c r="GED104" s="531"/>
      <c r="GEE104" s="530"/>
      <c r="GEF104" s="531"/>
      <c r="GEG104" s="530"/>
      <c r="GEH104" s="531"/>
      <c r="GEI104" s="530"/>
      <c r="GEJ104" s="531"/>
      <c r="GEK104" s="530"/>
      <c r="GEL104" s="531"/>
      <c r="GEM104" s="530"/>
      <c r="GEN104" s="531"/>
      <c r="GEO104" s="530"/>
      <c r="GEP104" s="531"/>
      <c r="GEQ104" s="530"/>
      <c r="GER104" s="531"/>
      <c r="GES104" s="530"/>
      <c r="GET104" s="531"/>
      <c r="GEU104" s="530"/>
      <c r="GEV104" s="531"/>
      <c r="GEW104" s="530"/>
      <c r="GEX104" s="531"/>
      <c r="GEY104" s="530"/>
      <c r="GEZ104" s="531"/>
      <c r="GFA104" s="530"/>
      <c r="GFB104" s="531"/>
      <c r="GFC104" s="530"/>
      <c r="GFD104" s="531"/>
      <c r="GFE104" s="530"/>
      <c r="GFF104" s="531"/>
      <c r="GFG104" s="530"/>
      <c r="GFH104" s="531"/>
      <c r="GFI104" s="530"/>
      <c r="GFJ104" s="531"/>
      <c r="GFK104" s="530"/>
      <c r="GFL104" s="531"/>
      <c r="GFM104" s="530"/>
      <c r="GFN104" s="531"/>
      <c r="GFO104" s="530"/>
      <c r="GFP104" s="531"/>
      <c r="GFQ104" s="530"/>
      <c r="GFR104" s="531"/>
      <c r="GFS104" s="530"/>
      <c r="GFT104" s="531"/>
      <c r="GFU104" s="530"/>
      <c r="GFV104" s="531"/>
      <c r="GFW104" s="530"/>
      <c r="GFX104" s="531"/>
      <c r="GFY104" s="530"/>
      <c r="GFZ104" s="531"/>
      <c r="GGA104" s="530"/>
      <c r="GGB104" s="531"/>
      <c r="GGC104" s="530"/>
      <c r="GGD104" s="531"/>
      <c r="GGE104" s="530"/>
      <c r="GGF104" s="531"/>
      <c r="GGG104" s="530"/>
      <c r="GGH104" s="531"/>
      <c r="GGI104" s="530"/>
      <c r="GGJ104" s="531"/>
      <c r="GGK104" s="530"/>
      <c r="GGL104" s="531"/>
      <c r="GGM104" s="530"/>
      <c r="GGN104" s="531"/>
      <c r="GGO104" s="530"/>
      <c r="GGP104" s="531"/>
      <c r="GGQ104" s="530"/>
      <c r="GGR104" s="531"/>
      <c r="GGS104" s="530"/>
      <c r="GGT104" s="531"/>
      <c r="GGU104" s="530"/>
      <c r="GGV104" s="531"/>
      <c r="GGW104" s="530"/>
      <c r="GGX104" s="531"/>
      <c r="GGY104" s="530"/>
      <c r="GGZ104" s="531"/>
      <c r="GHA104" s="530"/>
      <c r="GHB104" s="531"/>
      <c r="GHC104" s="530"/>
      <c r="GHD104" s="531"/>
      <c r="GHE104" s="530"/>
      <c r="GHF104" s="531"/>
      <c r="GHG104" s="530"/>
      <c r="GHH104" s="531"/>
      <c r="GHI104" s="530"/>
      <c r="GHJ104" s="531"/>
      <c r="GHK104" s="530"/>
      <c r="GHL104" s="531"/>
      <c r="GHM104" s="530"/>
      <c r="GHN104" s="531"/>
      <c r="GHO104" s="530"/>
      <c r="GHP104" s="531"/>
      <c r="GHQ104" s="530"/>
      <c r="GHR104" s="531"/>
      <c r="GHS104" s="530"/>
      <c r="GHT104" s="531"/>
      <c r="GHU104" s="530"/>
      <c r="GHV104" s="531"/>
      <c r="GHW104" s="530"/>
      <c r="GHX104" s="531"/>
      <c r="GHY104" s="530"/>
      <c r="GHZ104" s="531"/>
      <c r="GIA104" s="530"/>
      <c r="GIB104" s="531"/>
      <c r="GIC104" s="530"/>
      <c r="GID104" s="531"/>
      <c r="GIE104" s="530"/>
      <c r="GIF104" s="531"/>
      <c r="GIG104" s="530"/>
      <c r="GIH104" s="531"/>
      <c r="GII104" s="530"/>
      <c r="GIJ104" s="531"/>
      <c r="GIK104" s="530"/>
      <c r="GIL104" s="531"/>
      <c r="GIM104" s="530"/>
      <c r="GIN104" s="531"/>
      <c r="GIO104" s="530"/>
      <c r="GIP104" s="531"/>
      <c r="GIQ104" s="530"/>
      <c r="GIR104" s="531"/>
      <c r="GIS104" s="530"/>
      <c r="GIT104" s="531"/>
      <c r="GIU104" s="530"/>
      <c r="GIV104" s="531"/>
      <c r="GIW104" s="530"/>
      <c r="GIX104" s="531"/>
      <c r="GIY104" s="530"/>
      <c r="GIZ104" s="531"/>
      <c r="GJA104" s="530"/>
      <c r="GJB104" s="531"/>
      <c r="GJC104" s="530"/>
      <c r="GJD104" s="531"/>
      <c r="GJE104" s="530"/>
      <c r="GJF104" s="531"/>
      <c r="GJG104" s="530"/>
      <c r="GJH104" s="531"/>
      <c r="GJI104" s="530"/>
      <c r="GJJ104" s="531"/>
      <c r="GJK104" s="530"/>
      <c r="GJL104" s="531"/>
      <c r="GJM104" s="530"/>
      <c r="GJN104" s="531"/>
      <c r="GJO104" s="530"/>
      <c r="GJP104" s="531"/>
      <c r="GJQ104" s="530"/>
      <c r="GJR104" s="531"/>
      <c r="GJS104" s="530"/>
      <c r="GJT104" s="531"/>
      <c r="GJU104" s="530"/>
      <c r="GJV104" s="531"/>
      <c r="GJW104" s="530"/>
      <c r="GJX104" s="531"/>
      <c r="GJY104" s="530"/>
      <c r="GJZ104" s="531"/>
      <c r="GKA104" s="530"/>
      <c r="GKB104" s="531"/>
      <c r="GKC104" s="530"/>
      <c r="GKD104" s="531"/>
      <c r="GKE104" s="530"/>
      <c r="GKF104" s="531"/>
      <c r="GKG104" s="530"/>
      <c r="GKH104" s="531"/>
      <c r="GKI104" s="530"/>
      <c r="GKJ104" s="531"/>
      <c r="GKK104" s="530"/>
      <c r="GKL104" s="531"/>
      <c r="GKM104" s="530"/>
      <c r="GKN104" s="531"/>
      <c r="GKO104" s="530"/>
      <c r="GKP104" s="531"/>
      <c r="GKQ104" s="530"/>
      <c r="GKR104" s="531"/>
      <c r="GKS104" s="530"/>
      <c r="GKT104" s="531"/>
      <c r="GKU104" s="530"/>
      <c r="GKV104" s="531"/>
      <c r="GKW104" s="530"/>
      <c r="GKX104" s="531"/>
      <c r="GKY104" s="530"/>
      <c r="GKZ104" s="531"/>
      <c r="GLA104" s="530"/>
      <c r="GLB104" s="531"/>
      <c r="GLC104" s="530"/>
      <c r="GLD104" s="531"/>
      <c r="GLE104" s="530"/>
      <c r="GLF104" s="531"/>
      <c r="GLG104" s="530"/>
      <c r="GLH104" s="531"/>
      <c r="GLI104" s="530"/>
      <c r="GLJ104" s="531"/>
      <c r="GLK104" s="530"/>
      <c r="GLL104" s="531"/>
      <c r="GLM104" s="530"/>
      <c r="GLN104" s="531"/>
      <c r="GLO104" s="530"/>
      <c r="GLP104" s="531"/>
      <c r="GLQ104" s="530"/>
      <c r="GLR104" s="531"/>
      <c r="GLS104" s="530"/>
      <c r="GLT104" s="531"/>
      <c r="GLU104" s="530"/>
      <c r="GLV104" s="531"/>
      <c r="GLW104" s="530"/>
      <c r="GLX104" s="531"/>
      <c r="GLY104" s="530"/>
      <c r="GLZ104" s="531"/>
      <c r="GMA104" s="530"/>
      <c r="GMB104" s="531"/>
      <c r="GMC104" s="530"/>
      <c r="GMD104" s="531"/>
      <c r="GME104" s="530"/>
      <c r="GMF104" s="531"/>
      <c r="GMG104" s="530"/>
      <c r="GMH104" s="531"/>
      <c r="GMI104" s="530"/>
      <c r="GMJ104" s="531"/>
      <c r="GMK104" s="530"/>
      <c r="GML104" s="531"/>
      <c r="GMM104" s="530"/>
      <c r="GMN104" s="531"/>
      <c r="GMO104" s="530"/>
      <c r="GMP104" s="531"/>
      <c r="GMQ104" s="530"/>
      <c r="GMR104" s="531"/>
      <c r="GMS104" s="530"/>
      <c r="GMT104" s="531"/>
      <c r="GMU104" s="530"/>
      <c r="GMV104" s="531"/>
      <c r="GMW104" s="530"/>
      <c r="GMX104" s="531"/>
      <c r="GMY104" s="530"/>
      <c r="GMZ104" s="531"/>
      <c r="GNA104" s="530"/>
      <c r="GNB104" s="531"/>
      <c r="GNC104" s="530"/>
      <c r="GND104" s="531"/>
      <c r="GNE104" s="530"/>
      <c r="GNF104" s="531"/>
      <c r="GNG104" s="530"/>
      <c r="GNH104" s="531"/>
      <c r="GNI104" s="530"/>
      <c r="GNJ104" s="531"/>
      <c r="GNK104" s="530"/>
      <c r="GNL104" s="531"/>
      <c r="GNM104" s="530"/>
      <c r="GNN104" s="531"/>
      <c r="GNO104" s="530"/>
      <c r="GNP104" s="531"/>
      <c r="GNQ104" s="530"/>
      <c r="GNR104" s="531"/>
      <c r="GNS104" s="530"/>
      <c r="GNT104" s="531"/>
      <c r="GNU104" s="530"/>
      <c r="GNV104" s="531"/>
      <c r="GNW104" s="530"/>
      <c r="GNX104" s="531"/>
      <c r="GNY104" s="530"/>
      <c r="GNZ104" s="531"/>
      <c r="GOA104" s="530"/>
      <c r="GOB104" s="531"/>
      <c r="GOC104" s="530"/>
      <c r="GOD104" s="531"/>
      <c r="GOE104" s="530"/>
      <c r="GOF104" s="531"/>
      <c r="GOG104" s="530"/>
      <c r="GOH104" s="531"/>
      <c r="GOI104" s="530"/>
      <c r="GOJ104" s="531"/>
      <c r="GOK104" s="530"/>
      <c r="GOL104" s="531"/>
      <c r="GOM104" s="530"/>
      <c r="GON104" s="531"/>
      <c r="GOO104" s="530"/>
      <c r="GOP104" s="531"/>
      <c r="GOQ104" s="530"/>
      <c r="GOR104" s="531"/>
      <c r="GOS104" s="530"/>
      <c r="GOT104" s="531"/>
      <c r="GOU104" s="530"/>
      <c r="GOV104" s="531"/>
      <c r="GOW104" s="530"/>
      <c r="GOX104" s="531"/>
      <c r="GOY104" s="530"/>
      <c r="GOZ104" s="531"/>
      <c r="GPA104" s="530"/>
      <c r="GPB104" s="531"/>
      <c r="GPC104" s="530"/>
      <c r="GPD104" s="531"/>
      <c r="GPE104" s="530"/>
      <c r="GPF104" s="531"/>
      <c r="GPG104" s="530"/>
      <c r="GPH104" s="531"/>
      <c r="GPI104" s="530"/>
      <c r="GPJ104" s="531"/>
      <c r="GPK104" s="530"/>
      <c r="GPL104" s="531"/>
      <c r="GPM104" s="530"/>
      <c r="GPN104" s="531"/>
      <c r="GPO104" s="530"/>
      <c r="GPP104" s="531"/>
      <c r="GPQ104" s="530"/>
      <c r="GPR104" s="531"/>
      <c r="GPS104" s="530"/>
      <c r="GPT104" s="531"/>
      <c r="GPU104" s="530"/>
      <c r="GPV104" s="531"/>
      <c r="GPW104" s="530"/>
      <c r="GPX104" s="531"/>
      <c r="GPY104" s="530"/>
      <c r="GPZ104" s="531"/>
      <c r="GQA104" s="530"/>
      <c r="GQB104" s="531"/>
      <c r="GQC104" s="530"/>
      <c r="GQD104" s="531"/>
      <c r="GQE104" s="530"/>
      <c r="GQF104" s="531"/>
      <c r="GQG104" s="530"/>
      <c r="GQH104" s="531"/>
      <c r="GQI104" s="530"/>
      <c r="GQJ104" s="531"/>
      <c r="GQK104" s="530"/>
      <c r="GQL104" s="531"/>
      <c r="GQM104" s="530"/>
      <c r="GQN104" s="531"/>
      <c r="GQO104" s="530"/>
      <c r="GQP104" s="531"/>
      <c r="GQQ104" s="530"/>
      <c r="GQR104" s="531"/>
      <c r="GQS104" s="530"/>
      <c r="GQT104" s="531"/>
      <c r="GQU104" s="530"/>
      <c r="GQV104" s="531"/>
      <c r="GQW104" s="530"/>
      <c r="GQX104" s="531"/>
      <c r="GQY104" s="530"/>
      <c r="GQZ104" s="531"/>
      <c r="GRA104" s="530"/>
      <c r="GRB104" s="531"/>
      <c r="GRC104" s="530"/>
      <c r="GRD104" s="531"/>
      <c r="GRE104" s="530"/>
      <c r="GRF104" s="531"/>
      <c r="GRG104" s="530"/>
      <c r="GRH104" s="531"/>
      <c r="GRI104" s="530"/>
      <c r="GRJ104" s="531"/>
      <c r="GRK104" s="530"/>
      <c r="GRL104" s="531"/>
      <c r="GRM104" s="530"/>
      <c r="GRN104" s="531"/>
      <c r="GRO104" s="530"/>
      <c r="GRP104" s="531"/>
      <c r="GRQ104" s="530"/>
      <c r="GRR104" s="531"/>
      <c r="GRS104" s="530"/>
      <c r="GRT104" s="531"/>
      <c r="GRU104" s="530"/>
      <c r="GRV104" s="531"/>
      <c r="GRW104" s="530"/>
      <c r="GRX104" s="531"/>
      <c r="GRY104" s="530"/>
      <c r="GRZ104" s="531"/>
      <c r="GSA104" s="530"/>
      <c r="GSB104" s="531"/>
      <c r="GSC104" s="530"/>
      <c r="GSD104" s="531"/>
      <c r="GSE104" s="530"/>
      <c r="GSF104" s="531"/>
      <c r="GSG104" s="530"/>
      <c r="GSH104" s="531"/>
      <c r="GSI104" s="530"/>
      <c r="GSJ104" s="531"/>
      <c r="GSK104" s="530"/>
      <c r="GSL104" s="531"/>
      <c r="GSM104" s="530"/>
      <c r="GSN104" s="531"/>
      <c r="GSO104" s="530"/>
      <c r="GSP104" s="531"/>
      <c r="GSQ104" s="530"/>
      <c r="GSR104" s="531"/>
      <c r="GSS104" s="530"/>
      <c r="GST104" s="531"/>
      <c r="GSU104" s="530"/>
      <c r="GSV104" s="531"/>
      <c r="GSW104" s="530"/>
      <c r="GSX104" s="531"/>
      <c r="GSY104" s="530"/>
      <c r="GSZ104" s="531"/>
      <c r="GTA104" s="530"/>
      <c r="GTB104" s="531"/>
      <c r="GTC104" s="530"/>
      <c r="GTD104" s="531"/>
      <c r="GTE104" s="530"/>
      <c r="GTF104" s="531"/>
      <c r="GTG104" s="530"/>
      <c r="GTH104" s="531"/>
      <c r="GTI104" s="530"/>
      <c r="GTJ104" s="531"/>
      <c r="GTK104" s="530"/>
      <c r="GTL104" s="531"/>
      <c r="GTM104" s="530"/>
      <c r="GTN104" s="531"/>
      <c r="GTO104" s="530"/>
      <c r="GTP104" s="531"/>
      <c r="GTQ104" s="530"/>
      <c r="GTR104" s="531"/>
      <c r="GTS104" s="530"/>
      <c r="GTT104" s="531"/>
      <c r="GTU104" s="530"/>
      <c r="GTV104" s="531"/>
      <c r="GTW104" s="530"/>
      <c r="GTX104" s="531"/>
      <c r="GTY104" s="530"/>
      <c r="GTZ104" s="531"/>
      <c r="GUA104" s="530"/>
      <c r="GUB104" s="531"/>
      <c r="GUC104" s="530"/>
      <c r="GUD104" s="531"/>
      <c r="GUE104" s="530"/>
      <c r="GUF104" s="531"/>
      <c r="GUG104" s="530"/>
      <c r="GUH104" s="531"/>
      <c r="GUI104" s="530"/>
      <c r="GUJ104" s="531"/>
      <c r="GUK104" s="530"/>
      <c r="GUL104" s="531"/>
      <c r="GUM104" s="530"/>
      <c r="GUN104" s="531"/>
      <c r="GUO104" s="530"/>
      <c r="GUP104" s="531"/>
      <c r="GUQ104" s="530"/>
      <c r="GUR104" s="531"/>
      <c r="GUS104" s="530"/>
      <c r="GUT104" s="531"/>
      <c r="GUU104" s="530"/>
      <c r="GUV104" s="531"/>
      <c r="GUW104" s="530"/>
      <c r="GUX104" s="531"/>
      <c r="GUY104" s="530"/>
      <c r="GUZ104" s="531"/>
      <c r="GVA104" s="530"/>
      <c r="GVB104" s="531"/>
      <c r="GVC104" s="530"/>
      <c r="GVD104" s="531"/>
      <c r="GVE104" s="530"/>
      <c r="GVF104" s="531"/>
      <c r="GVG104" s="530"/>
      <c r="GVH104" s="531"/>
      <c r="GVI104" s="530"/>
      <c r="GVJ104" s="531"/>
      <c r="GVK104" s="530"/>
      <c r="GVL104" s="531"/>
      <c r="GVM104" s="530"/>
      <c r="GVN104" s="531"/>
      <c r="GVO104" s="530"/>
      <c r="GVP104" s="531"/>
      <c r="GVQ104" s="530"/>
      <c r="GVR104" s="531"/>
      <c r="GVS104" s="530"/>
      <c r="GVT104" s="531"/>
      <c r="GVU104" s="530"/>
      <c r="GVV104" s="531"/>
      <c r="GVW104" s="530"/>
      <c r="GVX104" s="531"/>
      <c r="GVY104" s="530"/>
      <c r="GVZ104" s="531"/>
      <c r="GWA104" s="530"/>
      <c r="GWB104" s="531"/>
      <c r="GWC104" s="530"/>
      <c r="GWD104" s="531"/>
      <c r="GWE104" s="530"/>
      <c r="GWF104" s="531"/>
      <c r="GWG104" s="530"/>
      <c r="GWH104" s="531"/>
      <c r="GWI104" s="530"/>
      <c r="GWJ104" s="531"/>
      <c r="GWK104" s="530"/>
      <c r="GWL104" s="531"/>
      <c r="GWM104" s="530"/>
      <c r="GWN104" s="531"/>
      <c r="GWO104" s="530"/>
      <c r="GWP104" s="531"/>
      <c r="GWQ104" s="530"/>
      <c r="GWR104" s="531"/>
      <c r="GWS104" s="530"/>
      <c r="GWT104" s="531"/>
      <c r="GWU104" s="530"/>
      <c r="GWV104" s="531"/>
      <c r="GWW104" s="530"/>
      <c r="GWX104" s="531"/>
      <c r="GWY104" s="530"/>
      <c r="GWZ104" s="531"/>
      <c r="GXA104" s="530"/>
      <c r="GXB104" s="531"/>
      <c r="GXC104" s="530"/>
      <c r="GXD104" s="531"/>
      <c r="GXE104" s="530"/>
      <c r="GXF104" s="531"/>
      <c r="GXG104" s="530"/>
      <c r="GXH104" s="531"/>
      <c r="GXI104" s="530"/>
      <c r="GXJ104" s="531"/>
      <c r="GXK104" s="530"/>
      <c r="GXL104" s="531"/>
      <c r="GXM104" s="530"/>
      <c r="GXN104" s="531"/>
      <c r="GXO104" s="530"/>
      <c r="GXP104" s="531"/>
      <c r="GXQ104" s="530"/>
      <c r="GXR104" s="531"/>
      <c r="GXS104" s="530"/>
      <c r="GXT104" s="531"/>
      <c r="GXU104" s="530"/>
      <c r="GXV104" s="531"/>
      <c r="GXW104" s="530"/>
      <c r="GXX104" s="531"/>
      <c r="GXY104" s="530"/>
      <c r="GXZ104" s="531"/>
      <c r="GYA104" s="530"/>
      <c r="GYB104" s="531"/>
      <c r="GYC104" s="530"/>
      <c r="GYD104" s="531"/>
      <c r="GYE104" s="530"/>
      <c r="GYF104" s="531"/>
      <c r="GYG104" s="530"/>
      <c r="GYH104" s="531"/>
      <c r="GYI104" s="530"/>
      <c r="GYJ104" s="531"/>
      <c r="GYK104" s="530"/>
      <c r="GYL104" s="531"/>
      <c r="GYM104" s="530"/>
      <c r="GYN104" s="531"/>
      <c r="GYO104" s="530"/>
      <c r="GYP104" s="531"/>
      <c r="GYQ104" s="530"/>
      <c r="GYR104" s="531"/>
      <c r="GYS104" s="530"/>
      <c r="GYT104" s="531"/>
      <c r="GYU104" s="530"/>
      <c r="GYV104" s="531"/>
      <c r="GYW104" s="530"/>
      <c r="GYX104" s="531"/>
      <c r="GYY104" s="530"/>
      <c r="GYZ104" s="531"/>
      <c r="GZA104" s="530"/>
      <c r="GZB104" s="531"/>
      <c r="GZC104" s="530"/>
      <c r="GZD104" s="531"/>
      <c r="GZE104" s="530"/>
      <c r="GZF104" s="531"/>
      <c r="GZG104" s="530"/>
      <c r="GZH104" s="531"/>
      <c r="GZI104" s="530"/>
      <c r="GZJ104" s="531"/>
      <c r="GZK104" s="530"/>
      <c r="GZL104" s="531"/>
      <c r="GZM104" s="530"/>
      <c r="GZN104" s="531"/>
      <c r="GZO104" s="530"/>
      <c r="GZP104" s="531"/>
      <c r="GZQ104" s="530"/>
      <c r="GZR104" s="531"/>
      <c r="GZS104" s="530"/>
      <c r="GZT104" s="531"/>
      <c r="GZU104" s="530"/>
      <c r="GZV104" s="531"/>
      <c r="GZW104" s="530"/>
      <c r="GZX104" s="531"/>
      <c r="GZY104" s="530"/>
      <c r="GZZ104" s="531"/>
      <c r="HAA104" s="530"/>
      <c r="HAB104" s="531"/>
      <c r="HAC104" s="530"/>
      <c r="HAD104" s="531"/>
      <c r="HAE104" s="530"/>
      <c r="HAF104" s="531"/>
      <c r="HAG104" s="530"/>
      <c r="HAH104" s="531"/>
      <c r="HAI104" s="530"/>
      <c r="HAJ104" s="531"/>
      <c r="HAK104" s="530"/>
      <c r="HAL104" s="531"/>
      <c r="HAM104" s="530"/>
      <c r="HAN104" s="531"/>
      <c r="HAO104" s="530"/>
      <c r="HAP104" s="531"/>
      <c r="HAQ104" s="530"/>
      <c r="HAR104" s="531"/>
      <c r="HAS104" s="530"/>
      <c r="HAT104" s="531"/>
      <c r="HAU104" s="530"/>
      <c r="HAV104" s="531"/>
      <c r="HAW104" s="530"/>
      <c r="HAX104" s="531"/>
      <c r="HAY104" s="530"/>
      <c r="HAZ104" s="531"/>
      <c r="HBA104" s="530"/>
      <c r="HBB104" s="531"/>
      <c r="HBC104" s="530"/>
      <c r="HBD104" s="531"/>
      <c r="HBE104" s="530"/>
      <c r="HBF104" s="531"/>
      <c r="HBG104" s="530"/>
      <c r="HBH104" s="531"/>
      <c r="HBI104" s="530"/>
      <c r="HBJ104" s="531"/>
      <c r="HBK104" s="530"/>
      <c r="HBL104" s="531"/>
      <c r="HBM104" s="530"/>
      <c r="HBN104" s="531"/>
      <c r="HBO104" s="530"/>
      <c r="HBP104" s="531"/>
      <c r="HBQ104" s="530"/>
      <c r="HBR104" s="531"/>
      <c r="HBS104" s="530"/>
      <c r="HBT104" s="531"/>
      <c r="HBU104" s="530"/>
      <c r="HBV104" s="531"/>
      <c r="HBW104" s="530"/>
      <c r="HBX104" s="531"/>
      <c r="HBY104" s="530"/>
      <c r="HBZ104" s="531"/>
      <c r="HCA104" s="530"/>
      <c r="HCB104" s="531"/>
      <c r="HCC104" s="530"/>
      <c r="HCD104" s="531"/>
      <c r="HCE104" s="530"/>
      <c r="HCF104" s="531"/>
      <c r="HCG104" s="530"/>
      <c r="HCH104" s="531"/>
      <c r="HCI104" s="530"/>
      <c r="HCJ104" s="531"/>
      <c r="HCK104" s="530"/>
      <c r="HCL104" s="531"/>
      <c r="HCM104" s="530"/>
      <c r="HCN104" s="531"/>
      <c r="HCO104" s="530"/>
      <c r="HCP104" s="531"/>
      <c r="HCQ104" s="530"/>
      <c r="HCR104" s="531"/>
      <c r="HCS104" s="530"/>
      <c r="HCT104" s="531"/>
      <c r="HCU104" s="530"/>
      <c r="HCV104" s="531"/>
      <c r="HCW104" s="530"/>
      <c r="HCX104" s="531"/>
      <c r="HCY104" s="530"/>
      <c r="HCZ104" s="531"/>
      <c r="HDA104" s="530"/>
      <c r="HDB104" s="531"/>
      <c r="HDC104" s="530"/>
      <c r="HDD104" s="531"/>
      <c r="HDE104" s="530"/>
      <c r="HDF104" s="531"/>
      <c r="HDG104" s="530"/>
      <c r="HDH104" s="531"/>
      <c r="HDI104" s="530"/>
      <c r="HDJ104" s="531"/>
      <c r="HDK104" s="530"/>
      <c r="HDL104" s="531"/>
      <c r="HDM104" s="530"/>
      <c r="HDN104" s="531"/>
      <c r="HDO104" s="530"/>
      <c r="HDP104" s="531"/>
      <c r="HDQ104" s="530"/>
      <c r="HDR104" s="531"/>
      <c r="HDS104" s="530"/>
      <c r="HDT104" s="531"/>
      <c r="HDU104" s="530"/>
      <c r="HDV104" s="531"/>
      <c r="HDW104" s="530"/>
      <c r="HDX104" s="531"/>
      <c r="HDY104" s="530"/>
      <c r="HDZ104" s="531"/>
      <c r="HEA104" s="530"/>
      <c r="HEB104" s="531"/>
      <c r="HEC104" s="530"/>
      <c r="HED104" s="531"/>
      <c r="HEE104" s="530"/>
      <c r="HEF104" s="531"/>
      <c r="HEG104" s="530"/>
      <c r="HEH104" s="531"/>
      <c r="HEI104" s="530"/>
      <c r="HEJ104" s="531"/>
      <c r="HEK104" s="530"/>
      <c r="HEL104" s="531"/>
      <c r="HEM104" s="530"/>
      <c r="HEN104" s="531"/>
      <c r="HEO104" s="530"/>
      <c r="HEP104" s="531"/>
      <c r="HEQ104" s="530"/>
      <c r="HER104" s="531"/>
      <c r="HES104" s="530"/>
      <c r="HET104" s="531"/>
      <c r="HEU104" s="530"/>
      <c r="HEV104" s="531"/>
      <c r="HEW104" s="530"/>
      <c r="HEX104" s="531"/>
      <c r="HEY104" s="530"/>
      <c r="HEZ104" s="531"/>
      <c r="HFA104" s="530"/>
      <c r="HFB104" s="531"/>
      <c r="HFC104" s="530"/>
      <c r="HFD104" s="531"/>
      <c r="HFE104" s="530"/>
      <c r="HFF104" s="531"/>
      <c r="HFG104" s="530"/>
      <c r="HFH104" s="531"/>
      <c r="HFI104" s="530"/>
      <c r="HFJ104" s="531"/>
      <c r="HFK104" s="530"/>
      <c r="HFL104" s="531"/>
      <c r="HFM104" s="530"/>
      <c r="HFN104" s="531"/>
      <c r="HFO104" s="530"/>
      <c r="HFP104" s="531"/>
      <c r="HFQ104" s="530"/>
      <c r="HFR104" s="531"/>
      <c r="HFS104" s="530"/>
      <c r="HFT104" s="531"/>
      <c r="HFU104" s="530"/>
      <c r="HFV104" s="531"/>
      <c r="HFW104" s="530"/>
      <c r="HFX104" s="531"/>
      <c r="HFY104" s="530"/>
      <c r="HFZ104" s="531"/>
      <c r="HGA104" s="530"/>
      <c r="HGB104" s="531"/>
      <c r="HGC104" s="530"/>
      <c r="HGD104" s="531"/>
      <c r="HGE104" s="530"/>
      <c r="HGF104" s="531"/>
      <c r="HGG104" s="530"/>
      <c r="HGH104" s="531"/>
      <c r="HGI104" s="530"/>
      <c r="HGJ104" s="531"/>
      <c r="HGK104" s="530"/>
      <c r="HGL104" s="531"/>
      <c r="HGM104" s="530"/>
      <c r="HGN104" s="531"/>
      <c r="HGO104" s="530"/>
      <c r="HGP104" s="531"/>
      <c r="HGQ104" s="530"/>
      <c r="HGR104" s="531"/>
      <c r="HGS104" s="530"/>
      <c r="HGT104" s="531"/>
      <c r="HGU104" s="530"/>
      <c r="HGV104" s="531"/>
      <c r="HGW104" s="530"/>
      <c r="HGX104" s="531"/>
      <c r="HGY104" s="530"/>
      <c r="HGZ104" s="531"/>
      <c r="HHA104" s="530"/>
      <c r="HHB104" s="531"/>
      <c r="HHC104" s="530"/>
      <c r="HHD104" s="531"/>
      <c r="HHE104" s="530"/>
      <c r="HHF104" s="531"/>
      <c r="HHG104" s="530"/>
      <c r="HHH104" s="531"/>
      <c r="HHI104" s="530"/>
      <c r="HHJ104" s="531"/>
      <c r="HHK104" s="530"/>
      <c r="HHL104" s="531"/>
      <c r="HHM104" s="530"/>
      <c r="HHN104" s="531"/>
      <c r="HHO104" s="530"/>
      <c r="HHP104" s="531"/>
      <c r="HHQ104" s="530"/>
      <c r="HHR104" s="531"/>
      <c r="HHS104" s="530"/>
      <c r="HHT104" s="531"/>
      <c r="HHU104" s="530"/>
      <c r="HHV104" s="531"/>
      <c r="HHW104" s="530"/>
      <c r="HHX104" s="531"/>
      <c r="HHY104" s="530"/>
      <c r="HHZ104" s="531"/>
      <c r="HIA104" s="530"/>
      <c r="HIB104" s="531"/>
      <c r="HIC104" s="530"/>
      <c r="HID104" s="531"/>
      <c r="HIE104" s="530"/>
      <c r="HIF104" s="531"/>
      <c r="HIG104" s="530"/>
      <c r="HIH104" s="531"/>
      <c r="HII104" s="530"/>
      <c r="HIJ104" s="531"/>
      <c r="HIK104" s="530"/>
      <c r="HIL104" s="531"/>
      <c r="HIM104" s="530"/>
      <c r="HIN104" s="531"/>
      <c r="HIO104" s="530"/>
      <c r="HIP104" s="531"/>
      <c r="HIQ104" s="530"/>
      <c r="HIR104" s="531"/>
      <c r="HIS104" s="530"/>
      <c r="HIT104" s="531"/>
      <c r="HIU104" s="530"/>
      <c r="HIV104" s="531"/>
      <c r="HIW104" s="530"/>
      <c r="HIX104" s="531"/>
      <c r="HIY104" s="530"/>
      <c r="HIZ104" s="531"/>
      <c r="HJA104" s="530"/>
      <c r="HJB104" s="531"/>
      <c r="HJC104" s="530"/>
      <c r="HJD104" s="531"/>
      <c r="HJE104" s="530"/>
      <c r="HJF104" s="531"/>
      <c r="HJG104" s="530"/>
      <c r="HJH104" s="531"/>
      <c r="HJI104" s="530"/>
      <c r="HJJ104" s="531"/>
      <c r="HJK104" s="530"/>
      <c r="HJL104" s="531"/>
      <c r="HJM104" s="530"/>
      <c r="HJN104" s="531"/>
      <c r="HJO104" s="530"/>
      <c r="HJP104" s="531"/>
      <c r="HJQ104" s="530"/>
      <c r="HJR104" s="531"/>
      <c r="HJS104" s="530"/>
      <c r="HJT104" s="531"/>
      <c r="HJU104" s="530"/>
      <c r="HJV104" s="531"/>
      <c r="HJW104" s="530"/>
      <c r="HJX104" s="531"/>
      <c r="HJY104" s="530"/>
      <c r="HJZ104" s="531"/>
      <c r="HKA104" s="530"/>
      <c r="HKB104" s="531"/>
      <c r="HKC104" s="530"/>
      <c r="HKD104" s="531"/>
      <c r="HKE104" s="530"/>
      <c r="HKF104" s="531"/>
      <c r="HKG104" s="530"/>
      <c r="HKH104" s="531"/>
      <c r="HKI104" s="530"/>
      <c r="HKJ104" s="531"/>
      <c r="HKK104" s="530"/>
      <c r="HKL104" s="531"/>
      <c r="HKM104" s="530"/>
      <c r="HKN104" s="531"/>
      <c r="HKO104" s="530"/>
      <c r="HKP104" s="531"/>
      <c r="HKQ104" s="530"/>
      <c r="HKR104" s="531"/>
      <c r="HKS104" s="530"/>
      <c r="HKT104" s="531"/>
      <c r="HKU104" s="530"/>
      <c r="HKV104" s="531"/>
      <c r="HKW104" s="530"/>
      <c r="HKX104" s="531"/>
      <c r="HKY104" s="530"/>
      <c r="HKZ104" s="531"/>
      <c r="HLA104" s="530"/>
      <c r="HLB104" s="531"/>
      <c r="HLC104" s="530"/>
      <c r="HLD104" s="531"/>
      <c r="HLE104" s="530"/>
      <c r="HLF104" s="531"/>
      <c r="HLG104" s="530"/>
      <c r="HLH104" s="531"/>
      <c r="HLI104" s="530"/>
      <c r="HLJ104" s="531"/>
      <c r="HLK104" s="530"/>
      <c r="HLL104" s="531"/>
      <c r="HLM104" s="530"/>
      <c r="HLN104" s="531"/>
      <c r="HLO104" s="530"/>
      <c r="HLP104" s="531"/>
      <c r="HLQ104" s="530"/>
      <c r="HLR104" s="531"/>
      <c r="HLS104" s="530"/>
      <c r="HLT104" s="531"/>
      <c r="HLU104" s="530"/>
      <c r="HLV104" s="531"/>
      <c r="HLW104" s="530"/>
      <c r="HLX104" s="531"/>
      <c r="HLY104" s="530"/>
      <c r="HLZ104" s="531"/>
      <c r="HMA104" s="530"/>
      <c r="HMB104" s="531"/>
      <c r="HMC104" s="530"/>
      <c r="HMD104" s="531"/>
      <c r="HME104" s="530"/>
      <c r="HMF104" s="531"/>
      <c r="HMG104" s="530"/>
      <c r="HMH104" s="531"/>
      <c r="HMI104" s="530"/>
      <c r="HMJ104" s="531"/>
      <c r="HMK104" s="530"/>
      <c r="HML104" s="531"/>
      <c r="HMM104" s="530"/>
      <c r="HMN104" s="531"/>
      <c r="HMO104" s="530"/>
      <c r="HMP104" s="531"/>
      <c r="HMQ104" s="530"/>
      <c r="HMR104" s="531"/>
      <c r="HMS104" s="530"/>
      <c r="HMT104" s="531"/>
      <c r="HMU104" s="530"/>
      <c r="HMV104" s="531"/>
      <c r="HMW104" s="530"/>
      <c r="HMX104" s="531"/>
      <c r="HMY104" s="530"/>
      <c r="HMZ104" s="531"/>
      <c r="HNA104" s="530"/>
      <c r="HNB104" s="531"/>
      <c r="HNC104" s="530"/>
      <c r="HND104" s="531"/>
      <c r="HNE104" s="530"/>
      <c r="HNF104" s="531"/>
      <c r="HNG104" s="530"/>
      <c r="HNH104" s="531"/>
      <c r="HNI104" s="530"/>
      <c r="HNJ104" s="531"/>
      <c r="HNK104" s="530"/>
      <c r="HNL104" s="531"/>
      <c r="HNM104" s="530"/>
      <c r="HNN104" s="531"/>
      <c r="HNO104" s="530"/>
      <c r="HNP104" s="531"/>
      <c r="HNQ104" s="530"/>
      <c r="HNR104" s="531"/>
      <c r="HNS104" s="530"/>
      <c r="HNT104" s="531"/>
      <c r="HNU104" s="530"/>
      <c r="HNV104" s="531"/>
      <c r="HNW104" s="530"/>
      <c r="HNX104" s="531"/>
      <c r="HNY104" s="530"/>
      <c r="HNZ104" s="531"/>
      <c r="HOA104" s="530"/>
      <c r="HOB104" s="531"/>
      <c r="HOC104" s="530"/>
      <c r="HOD104" s="531"/>
      <c r="HOE104" s="530"/>
      <c r="HOF104" s="531"/>
      <c r="HOG104" s="530"/>
      <c r="HOH104" s="531"/>
      <c r="HOI104" s="530"/>
      <c r="HOJ104" s="531"/>
      <c r="HOK104" s="530"/>
      <c r="HOL104" s="531"/>
      <c r="HOM104" s="530"/>
      <c r="HON104" s="531"/>
      <c r="HOO104" s="530"/>
      <c r="HOP104" s="531"/>
      <c r="HOQ104" s="530"/>
      <c r="HOR104" s="531"/>
      <c r="HOS104" s="530"/>
      <c r="HOT104" s="531"/>
      <c r="HOU104" s="530"/>
      <c r="HOV104" s="531"/>
      <c r="HOW104" s="530"/>
      <c r="HOX104" s="531"/>
      <c r="HOY104" s="530"/>
      <c r="HOZ104" s="531"/>
      <c r="HPA104" s="530"/>
      <c r="HPB104" s="531"/>
      <c r="HPC104" s="530"/>
      <c r="HPD104" s="531"/>
      <c r="HPE104" s="530"/>
      <c r="HPF104" s="531"/>
      <c r="HPG104" s="530"/>
      <c r="HPH104" s="531"/>
      <c r="HPI104" s="530"/>
      <c r="HPJ104" s="531"/>
      <c r="HPK104" s="530"/>
      <c r="HPL104" s="531"/>
      <c r="HPM104" s="530"/>
      <c r="HPN104" s="531"/>
      <c r="HPO104" s="530"/>
      <c r="HPP104" s="531"/>
      <c r="HPQ104" s="530"/>
      <c r="HPR104" s="531"/>
      <c r="HPS104" s="530"/>
      <c r="HPT104" s="531"/>
      <c r="HPU104" s="530"/>
      <c r="HPV104" s="531"/>
      <c r="HPW104" s="530"/>
      <c r="HPX104" s="531"/>
      <c r="HPY104" s="530"/>
      <c r="HPZ104" s="531"/>
      <c r="HQA104" s="530"/>
      <c r="HQB104" s="531"/>
      <c r="HQC104" s="530"/>
      <c r="HQD104" s="531"/>
      <c r="HQE104" s="530"/>
      <c r="HQF104" s="531"/>
      <c r="HQG104" s="530"/>
      <c r="HQH104" s="531"/>
      <c r="HQI104" s="530"/>
      <c r="HQJ104" s="531"/>
      <c r="HQK104" s="530"/>
      <c r="HQL104" s="531"/>
      <c r="HQM104" s="530"/>
      <c r="HQN104" s="531"/>
      <c r="HQO104" s="530"/>
      <c r="HQP104" s="531"/>
      <c r="HQQ104" s="530"/>
      <c r="HQR104" s="531"/>
      <c r="HQS104" s="530"/>
      <c r="HQT104" s="531"/>
      <c r="HQU104" s="530"/>
      <c r="HQV104" s="531"/>
      <c r="HQW104" s="530"/>
      <c r="HQX104" s="531"/>
      <c r="HQY104" s="530"/>
      <c r="HQZ104" s="531"/>
      <c r="HRA104" s="530"/>
      <c r="HRB104" s="531"/>
      <c r="HRC104" s="530"/>
      <c r="HRD104" s="531"/>
      <c r="HRE104" s="530"/>
      <c r="HRF104" s="531"/>
      <c r="HRG104" s="530"/>
      <c r="HRH104" s="531"/>
      <c r="HRI104" s="530"/>
      <c r="HRJ104" s="531"/>
      <c r="HRK104" s="530"/>
      <c r="HRL104" s="531"/>
      <c r="HRM104" s="530"/>
      <c r="HRN104" s="531"/>
      <c r="HRO104" s="530"/>
      <c r="HRP104" s="531"/>
      <c r="HRQ104" s="530"/>
      <c r="HRR104" s="531"/>
      <c r="HRS104" s="530"/>
      <c r="HRT104" s="531"/>
      <c r="HRU104" s="530"/>
      <c r="HRV104" s="531"/>
      <c r="HRW104" s="530"/>
      <c r="HRX104" s="531"/>
      <c r="HRY104" s="530"/>
      <c r="HRZ104" s="531"/>
      <c r="HSA104" s="530"/>
      <c r="HSB104" s="531"/>
      <c r="HSC104" s="530"/>
      <c r="HSD104" s="531"/>
      <c r="HSE104" s="530"/>
      <c r="HSF104" s="531"/>
      <c r="HSG104" s="530"/>
      <c r="HSH104" s="531"/>
      <c r="HSI104" s="530"/>
      <c r="HSJ104" s="531"/>
      <c r="HSK104" s="530"/>
      <c r="HSL104" s="531"/>
      <c r="HSM104" s="530"/>
      <c r="HSN104" s="531"/>
      <c r="HSO104" s="530"/>
      <c r="HSP104" s="531"/>
      <c r="HSQ104" s="530"/>
      <c r="HSR104" s="531"/>
      <c r="HSS104" s="530"/>
      <c r="HST104" s="531"/>
      <c r="HSU104" s="530"/>
      <c r="HSV104" s="531"/>
      <c r="HSW104" s="530"/>
      <c r="HSX104" s="531"/>
      <c r="HSY104" s="530"/>
      <c r="HSZ104" s="531"/>
      <c r="HTA104" s="530"/>
      <c r="HTB104" s="531"/>
      <c r="HTC104" s="530"/>
      <c r="HTD104" s="531"/>
      <c r="HTE104" s="530"/>
      <c r="HTF104" s="531"/>
      <c r="HTG104" s="530"/>
      <c r="HTH104" s="531"/>
      <c r="HTI104" s="530"/>
      <c r="HTJ104" s="531"/>
      <c r="HTK104" s="530"/>
      <c r="HTL104" s="531"/>
      <c r="HTM104" s="530"/>
      <c r="HTN104" s="531"/>
      <c r="HTO104" s="530"/>
      <c r="HTP104" s="531"/>
      <c r="HTQ104" s="530"/>
      <c r="HTR104" s="531"/>
      <c r="HTS104" s="530"/>
      <c r="HTT104" s="531"/>
      <c r="HTU104" s="530"/>
      <c r="HTV104" s="531"/>
      <c r="HTW104" s="530"/>
      <c r="HTX104" s="531"/>
      <c r="HTY104" s="530"/>
      <c r="HTZ104" s="531"/>
      <c r="HUA104" s="530"/>
      <c r="HUB104" s="531"/>
      <c r="HUC104" s="530"/>
      <c r="HUD104" s="531"/>
      <c r="HUE104" s="530"/>
      <c r="HUF104" s="531"/>
      <c r="HUG104" s="530"/>
      <c r="HUH104" s="531"/>
      <c r="HUI104" s="530"/>
      <c r="HUJ104" s="531"/>
      <c r="HUK104" s="530"/>
      <c r="HUL104" s="531"/>
      <c r="HUM104" s="530"/>
      <c r="HUN104" s="531"/>
      <c r="HUO104" s="530"/>
      <c r="HUP104" s="531"/>
      <c r="HUQ104" s="530"/>
      <c r="HUR104" s="531"/>
      <c r="HUS104" s="530"/>
      <c r="HUT104" s="531"/>
      <c r="HUU104" s="530"/>
      <c r="HUV104" s="531"/>
      <c r="HUW104" s="530"/>
      <c r="HUX104" s="531"/>
      <c r="HUY104" s="530"/>
      <c r="HUZ104" s="531"/>
      <c r="HVA104" s="530"/>
      <c r="HVB104" s="531"/>
      <c r="HVC104" s="530"/>
      <c r="HVD104" s="531"/>
      <c r="HVE104" s="530"/>
      <c r="HVF104" s="531"/>
      <c r="HVG104" s="530"/>
      <c r="HVH104" s="531"/>
      <c r="HVI104" s="530"/>
      <c r="HVJ104" s="531"/>
      <c r="HVK104" s="530"/>
      <c r="HVL104" s="531"/>
      <c r="HVM104" s="530"/>
      <c r="HVN104" s="531"/>
      <c r="HVO104" s="530"/>
      <c r="HVP104" s="531"/>
      <c r="HVQ104" s="530"/>
      <c r="HVR104" s="531"/>
      <c r="HVS104" s="530"/>
      <c r="HVT104" s="531"/>
      <c r="HVU104" s="530"/>
      <c r="HVV104" s="531"/>
      <c r="HVW104" s="530"/>
      <c r="HVX104" s="531"/>
      <c r="HVY104" s="530"/>
      <c r="HVZ104" s="531"/>
      <c r="HWA104" s="530"/>
      <c r="HWB104" s="531"/>
      <c r="HWC104" s="530"/>
      <c r="HWD104" s="531"/>
      <c r="HWE104" s="530"/>
      <c r="HWF104" s="531"/>
      <c r="HWG104" s="530"/>
      <c r="HWH104" s="531"/>
      <c r="HWI104" s="530"/>
      <c r="HWJ104" s="531"/>
      <c r="HWK104" s="530"/>
      <c r="HWL104" s="531"/>
      <c r="HWM104" s="530"/>
      <c r="HWN104" s="531"/>
      <c r="HWO104" s="530"/>
      <c r="HWP104" s="531"/>
      <c r="HWQ104" s="530"/>
      <c r="HWR104" s="531"/>
      <c r="HWS104" s="530"/>
      <c r="HWT104" s="531"/>
      <c r="HWU104" s="530"/>
      <c r="HWV104" s="531"/>
      <c r="HWW104" s="530"/>
      <c r="HWX104" s="531"/>
      <c r="HWY104" s="530"/>
      <c r="HWZ104" s="531"/>
      <c r="HXA104" s="530"/>
      <c r="HXB104" s="531"/>
      <c r="HXC104" s="530"/>
      <c r="HXD104" s="531"/>
      <c r="HXE104" s="530"/>
      <c r="HXF104" s="531"/>
      <c r="HXG104" s="530"/>
      <c r="HXH104" s="531"/>
      <c r="HXI104" s="530"/>
      <c r="HXJ104" s="531"/>
      <c r="HXK104" s="530"/>
      <c r="HXL104" s="531"/>
      <c r="HXM104" s="530"/>
      <c r="HXN104" s="531"/>
      <c r="HXO104" s="530"/>
      <c r="HXP104" s="531"/>
      <c r="HXQ104" s="530"/>
      <c r="HXR104" s="531"/>
      <c r="HXS104" s="530"/>
      <c r="HXT104" s="531"/>
      <c r="HXU104" s="530"/>
      <c r="HXV104" s="531"/>
      <c r="HXW104" s="530"/>
      <c r="HXX104" s="531"/>
      <c r="HXY104" s="530"/>
      <c r="HXZ104" s="531"/>
      <c r="HYA104" s="530"/>
      <c r="HYB104" s="531"/>
      <c r="HYC104" s="530"/>
      <c r="HYD104" s="531"/>
      <c r="HYE104" s="530"/>
      <c r="HYF104" s="531"/>
      <c r="HYG104" s="530"/>
      <c r="HYH104" s="531"/>
      <c r="HYI104" s="530"/>
      <c r="HYJ104" s="531"/>
      <c r="HYK104" s="530"/>
      <c r="HYL104" s="531"/>
      <c r="HYM104" s="530"/>
      <c r="HYN104" s="531"/>
      <c r="HYO104" s="530"/>
      <c r="HYP104" s="531"/>
      <c r="HYQ104" s="530"/>
      <c r="HYR104" s="531"/>
      <c r="HYS104" s="530"/>
      <c r="HYT104" s="531"/>
      <c r="HYU104" s="530"/>
      <c r="HYV104" s="531"/>
      <c r="HYW104" s="530"/>
      <c r="HYX104" s="531"/>
      <c r="HYY104" s="530"/>
      <c r="HYZ104" s="531"/>
      <c r="HZA104" s="530"/>
      <c r="HZB104" s="531"/>
      <c r="HZC104" s="530"/>
      <c r="HZD104" s="531"/>
      <c r="HZE104" s="530"/>
      <c r="HZF104" s="531"/>
      <c r="HZG104" s="530"/>
      <c r="HZH104" s="531"/>
      <c r="HZI104" s="530"/>
      <c r="HZJ104" s="531"/>
      <c r="HZK104" s="530"/>
      <c r="HZL104" s="531"/>
      <c r="HZM104" s="530"/>
      <c r="HZN104" s="531"/>
      <c r="HZO104" s="530"/>
      <c r="HZP104" s="531"/>
      <c r="HZQ104" s="530"/>
      <c r="HZR104" s="531"/>
      <c r="HZS104" s="530"/>
      <c r="HZT104" s="531"/>
      <c r="HZU104" s="530"/>
      <c r="HZV104" s="531"/>
      <c r="HZW104" s="530"/>
      <c r="HZX104" s="531"/>
      <c r="HZY104" s="530"/>
      <c r="HZZ104" s="531"/>
      <c r="IAA104" s="530"/>
      <c r="IAB104" s="531"/>
      <c r="IAC104" s="530"/>
      <c r="IAD104" s="531"/>
      <c r="IAE104" s="530"/>
      <c r="IAF104" s="531"/>
      <c r="IAG104" s="530"/>
      <c r="IAH104" s="531"/>
      <c r="IAI104" s="530"/>
      <c r="IAJ104" s="531"/>
      <c r="IAK104" s="530"/>
      <c r="IAL104" s="531"/>
      <c r="IAM104" s="530"/>
      <c r="IAN104" s="531"/>
      <c r="IAO104" s="530"/>
      <c r="IAP104" s="531"/>
      <c r="IAQ104" s="530"/>
      <c r="IAR104" s="531"/>
      <c r="IAS104" s="530"/>
      <c r="IAT104" s="531"/>
      <c r="IAU104" s="530"/>
      <c r="IAV104" s="531"/>
      <c r="IAW104" s="530"/>
      <c r="IAX104" s="531"/>
      <c r="IAY104" s="530"/>
      <c r="IAZ104" s="531"/>
      <c r="IBA104" s="530"/>
      <c r="IBB104" s="531"/>
      <c r="IBC104" s="530"/>
      <c r="IBD104" s="531"/>
      <c r="IBE104" s="530"/>
      <c r="IBF104" s="531"/>
      <c r="IBG104" s="530"/>
      <c r="IBH104" s="531"/>
      <c r="IBI104" s="530"/>
      <c r="IBJ104" s="531"/>
      <c r="IBK104" s="530"/>
      <c r="IBL104" s="531"/>
      <c r="IBM104" s="530"/>
      <c r="IBN104" s="531"/>
      <c r="IBO104" s="530"/>
      <c r="IBP104" s="531"/>
      <c r="IBQ104" s="530"/>
      <c r="IBR104" s="531"/>
      <c r="IBS104" s="530"/>
      <c r="IBT104" s="531"/>
      <c r="IBU104" s="530"/>
      <c r="IBV104" s="531"/>
      <c r="IBW104" s="530"/>
      <c r="IBX104" s="531"/>
      <c r="IBY104" s="530"/>
      <c r="IBZ104" s="531"/>
      <c r="ICA104" s="530"/>
      <c r="ICB104" s="531"/>
      <c r="ICC104" s="530"/>
      <c r="ICD104" s="531"/>
      <c r="ICE104" s="530"/>
      <c r="ICF104" s="531"/>
      <c r="ICG104" s="530"/>
      <c r="ICH104" s="531"/>
      <c r="ICI104" s="530"/>
      <c r="ICJ104" s="531"/>
      <c r="ICK104" s="530"/>
      <c r="ICL104" s="531"/>
      <c r="ICM104" s="530"/>
      <c r="ICN104" s="531"/>
      <c r="ICO104" s="530"/>
      <c r="ICP104" s="531"/>
      <c r="ICQ104" s="530"/>
      <c r="ICR104" s="531"/>
      <c r="ICS104" s="530"/>
      <c r="ICT104" s="531"/>
      <c r="ICU104" s="530"/>
      <c r="ICV104" s="531"/>
      <c r="ICW104" s="530"/>
      <c r="ICX104" s="531"/>
      <c r="ICY104" s="530"/>
      <c r="ICZ104" s="531"/>
      <c r="IDA104" s="530"/>
      <c r="IDB104" s="531"/>
      <c r="IDC104" s="530"/>
      <c r="IDD104" s="531"/>
      <c r="IDE104" s="530"/>
      <c r="IDF104" s="531"/>
      <c r="IDG104" s="530"/>
      <c r="IDH104" s="531"/>
      <c r="IDI104" s="530"/>
      <c r="IDJ104" s="531"/>
      <c r="IDK104" s="530"/>
      <c r="IDL104" s="531"/>
      <c r="IDM104" s="530"/>
      <c r="IDN104" s="531"/>
      <c r="IDO104" s="530"/>
      <c r="IDP104" s="531"/>
      <c r="IDQ104" s="530"/>
      <c r="IDR104" s="531"/>
      <c r="IDS104" s="530"/>
      <c r="IDT104" s="531"/>
      <c r="IDU104" s="530"/>
      <c r="IDV104" s="531"/>
      <c r="IDW104" s="530"/>
      <c r="IDX104" s="531"/>
      <c r="IDY104" s="530"/>
      <c r="IDZ104" s="531"/>
      <c r="IEA104" s="530"/>
      <c r="IEB104" s="531"/>
      <c r="IEC104" s="530"/>
      <c r="IED104" s="531"/>
      <c r="IEE104" s="530"/>
      <c r="IEF104" s="531"/>
      <c r="IEG104" s="530"/>
      <c r="IEH104" s="531"/>
      <c r="IEI104" s="530"/>
      <c r="IEJ104" s="531"/>
      <c r="IEK104" s="530"/>
      <c r="IEL104" s="531"/>
      <c r="IEM104" s="530"/>
      <c r="IEN104" s="531"/>
      <c r="IEO104" s="530"/>
      <c r="IEP104" s="531"/>
      <c r="IEQ104" s="530"/>
      <c r="IER104" s="531"/>
      <c r="IES104" s="530"/>
      <c r="IET104" s="531"/>
      <c r="IEU104" s="530"/>
      <c r="IEV104" s="531"/>
      <c r="IEW104" s="530"/>
      <c r="IEX104" s="531"/>
      <c r="IEY104" s="530"/>
      <c r="IEZ104" s="531"/>
      <c r="IFA104" s="530"/>
      <c r="IFB104" s="531"/>
      <c r="IFC104" s="530"/>
      <c r="IFD104" s="531"/>
      <c r="IFE104" s="530"/>
      <c r="IFF104" s="531"/>
      <c r="IFG104" s="530"/>
      <c r="IFH104" s="531"/>
      <c r="IFI104" s="530"/>
      <c r="IFJ104" s="531"/>
      <c r="IFK104" s="530"/>
      <c r="IFL104" s="531"/>
      <c r="IFM104" s="530"/>
      <c r="IFN104" s="531"/>
      <c r="IFO104" s="530"/>
      <c r="IFP104" s="531"/>
      <c r="IFQ104" s="530"/>
      <c r="IFR104" s="531"/>
      <c r="IFS104" s="530"/>
      <c r="IFT104" s="531"/>
      <c r="IFU104" s="530"/>
      <c r="IFV104" s="531"/>
      <c r="IFW104" s="530"/>
      <c r="IFX104" s="531"/>
      <c r="IFY104" s="530"/>
      <c r="IFZ104" s="531"/>
      <c r="IGA104" s="530"/>
      <c r="IGB104" s="531"/>
      <c r="IGC104" s="530"/>
      <c r="IGD104" s="531"/>
      <c r="IGE104" s="530"/>
      <c r="IGF104" s="531"/>
      <c r="IGG104" s="530"/>
      <c r="IGH104" s="531"/>
      <c r="IGI104" s="530"/>
      <c r="IGJ104" s="531"/>
      <c r="IGK104" s="530"/>
      <c r="IGL104" s="531"/>
      <c r="IGM104" s="530"/>
      <c r="IGN104" s="531"/>
      <c r="IGO104" s="530"/>
      <c r="IGP104" s="531"/>
      <c r="IGQ104" s="530"/>
      <c r="IGR104" s="531"/>
      <c r="IGS104" s="530"/>
      <c r="IGT104" s="531"/>
      <c r="IGU104" s="530"/>
      <c r="IGV104" s="531"/>
      <c r="IGW104" s="530"/>
      <c r="IGX104" s="531"/>
      <c r="IGY104" s="530"/>
      <c r="IGZ104" s="531"/>
      <c r="IHA104" s="530"/>
      <c r="IHB104" s="531"/>
      <c r="IHC104" s="530"/>
      <c r="IHD104" s="531"/>
      <c r="IHE104" s="530"/>
      <c r="IHF104" s="531"/>
      <c r="IHG104" s="530"/>
      <c r="IHH104" s="531"/>
      <c r="IHI104" s="530"/>
      <c r="IHJ104" s="531"/>
      <c r="IHK104" s="530"/>
      <c r="IHL104" s="531"/>
      <c r="IHM104" s="530"/>
      <c r="IHN104" s="531"/>
      <c r="IHO104" s="530"/>
      <c r="IHP104" s="531"/>
      <c r="IHQ104" s="530"/>
      <c r="IHR104" s="531"/>
      <c r="IHS104" s="530"/>
      <c r="IHT104" s="531"/>
      <c r="IHU104" s="530"/>
      <c r="IHV104" s="531"/>
      <c r="IHW104" s="530"/>
      <c r="IHX104" s="531"/>
      <c r="IHY104" s="530"/>
      <c r="IHZ104" s="531"/>
      <c r="IIA104" s="530"/>
      <c r="IIB104" s="531"/>
      <c r="IIC104" s="530"/>
      <c r="IID104" s="531"/>
      <c r="IIE104" s="530"/>
      <c r="IIF104" s="531"/>
      <c r="IIG104" s="530"/>
      <c r="IIH104" s="531"/>
      <c r="III104" s="530"/>
      <c r="IIJ104" s="531"/>
      <c r="IIK104" s="530"/>
      <c r="IIL104" s="531"/>
      <c r="IIM104" s="530"/>
      <c r="IIN104" s="531"/>
      <c r="IIO104" s="530"/>
      <c r="IIP104" s="531"/>
      <c r="IIQ104" s="530"/>
      <c r="IIR104" s="531"/>
      <c r="IIS104" s="530"/>
      <c r="IIT104" s="531"/>
      <c r="IIU104" s="530"/>
      <c r="IIV104" s="531"/>
      <c r="IIW104" s="530"/>
      <c r="IIX104" s="531"/>
      <c r="IIY104" s="530"/>
      <c r="IIZ104" s="531"/>
      <c r="IJA104" s="530"/>
      <c r="IJB104" s="531"/>
      <c r="IJC104" s="530"/>
      <c r="IJD104" s="531"/>
      <c r="IJE104" s="530"/>
      <c r="IJF104" s="531"/>
      <c r="IJG104" s="530"/>
      <c r="IJH104" s="531"/>
      <c r="IJI104" s="530"/>
      <c r="IJJ104" s="531"/>
      <c r="IJK104" s="530"/>
      <c r="IJL104" s="531"/>
      <c r="IJM104" s="530"/>
      <c r="IJN104" s="531"/>
      <c r="IJO104" s="530"/>
      <c r="IJP104" s="531"/>
      <c r="IJQ104" s="530"/>
      <c r="IJR104" s="531"/>
      <c r="IJS104" s="530"/>
      <c r="IJT104" s="531"/>
      <c r="IJU104" s="530"/>
      <c r="IJV104" s="531"/>
      <c r="IJW104" s="530"/>
      <c r="IJX104" s="531"/>
      <c r="IJY104" s="530"/>
      <c r="IJZ104" s="531"/>
      <c r="IKA104" s="530"/>
      <c r="IKB104" s="531"/>
      <c r="IKC104" s="530"/>
      <c r="IKD104" s="531"/>
      <c r="IKE104" s="530"/>
      <c r="IKF104" s="531"/>
      <c r="IKG104" s="530"/>
      <c r="IKH104" s="531"/>
      <c r="IKI104" s="530"/>
      <c r="IKJ104" s="531"/>
      <c r="IKK104" s="530"/>
      <c r="IKL104" s="531"/>
      <c r="IKM104" s="530"/>
      <c r="IKN104" s="531"/>
      <c r="IKO104" s="530"/>
      <c r="IKP104" s="531"/>
      <c r="IKQ104" s="530"/>
      <c r="IKR104" s="531"/>
      <c r="IKS104" s="530"/>
      <c r="IKT104" s="531"/>
      <c r="IKU104" s="530"/>
      <c r="IKV104" s="531"/>
      <c r="IKW104" s="530"/>
      <c r="IKX104" s="531"/>
      <c r="IKY104" s="530"/>
      <c r="IKZ104" s="531"/>
      <c r="ILA104" s="530"/>
      <c r="ILB104" s="531"/>
      <c r="ILC104" s="530"/>
      <c r="ILD104" s="531"/>
      <c r="ILE104" s="530"/>
      <c r="ILF104" s="531"/>
      <c r="ILG104" s="530"/>
      <c r="ILH104" s="531"/>
      <c r="ILI104" s="530"/>
      <c r="ILJ104" s="531"/>
      <c r="ILK104" s="530"/>
      <c r="ILL104" s="531"/>
      <c r="ILM104" s="530"/>
      <c r="ILN104" s="531"/>
      <c r="ILO104" s="530"/>
      <c r="ILP104" s="531"/>
      <c r="ILQ104" s="530"/>
      <c r="ILR104" s="531"/>
      <c r="ILS104" s="530"/>
      <c r="ILT104" s="531"/>
      <c r="ILU104" s="530"/>
      <c r="ILV104" s="531"/>
      <c r="ILW104" s="530"/>
      <c r="ILX104" s="531"/>
      <c r="ILY104" s="530"/>
      <c r="ILZ104" s="531"/>
      <c r="IMA104" s="530"/>
      <c r="IMB104" s="531"/>
      <c r="IMC104" s="530"/>
      <c r="IMD104" s="531"/>
      <c r="IME104" s="530"/>
      <c r="IMF104" s="531"/>
      <c r="IMG104" s="530"/>
      <c r="IMH104" s="531"/>
      <c r="IMI104" s="530"/>
      <c r="IMJ104" s="531"/>
      <c r="IMK104" s="530"/>
      <c r="IML104" s="531"/>
      <c r="IMM104" s="530"/>
      <c r="IMN104" s="531"/>
      <c r="IMO104" s="530"/>
      <c r="IMP104" s="531"/>
      <c r="IMQ104" s="530"/>
      <c r="IMR104" s="531"/>
      <c r="IMS104" s="530"/>
      <c r="IMT104" s="531"/>
      <c r="IMU104" s="530"/>
      <c r="IMV104" s="531"/>
      <c r="IMW104" s="530"/>
      <c r="IMX104" s="531"/>
      <c r="IMY104" s="530"/>
      <c r="IMZ104" s="531"/>
      <c r="INA104" s="530"/>
      <c r="INB104" s="531"/>
      <c r="INC104" s="530"/>
      <c r="IND104" s="531"/>
      <c r="INE104" s="530"/>
      <c r="INF104" s="531"/>
      <c r="ING104" s="530"/>
      <c r="INH104" s="531"/>
      <c r="INI104" s="530"/>
      <c r="INJ104" s="531"/>
      <c r="INK104" s="530"/>
      <c r="INL104" s="531"/>
      <c r="INM104" s="530"/>
      <c r="INN104" s="531"/>
      <c r="INO104" s="530"/>
      <c r="INP104" s="531"/>
      <c r="INQ104" s="530"/>
      <c r="INR104" s="531"/>
      <c r="INS104" s="530"/>
      <c r="INT104" s="531"/>
      <c r="INU104" s="530"/>
      <c r="INV104" s="531"/>
      <c r="INW104" s="530"/>
      <c r="INX104" s="531"/>
      <c r="INY104" s="530"/>
      <c r="INZ104" s="531"/>
      <c r="IOA104" s="530"/>
      <c r="IOB104" s="531"/>
      <c r="IOC104" s="530"/>
      <c r="IOD104" s="531"/>
      <c r="IOE104" s="530"/>
      <c r="IOF104" s="531"/>
      <c r="IOG104" s="530"/>
      <c r="IOH104" s="531"/>
      <c r="IOI104" s="530"/>
      <c r="IOJ104" s="531"/>
      <c r="IOK104" s="530"/>
      <c r="IOL104" s="531"/>
      <c r="IOM104" s="530"/>
      <c r="ION104" s="531"/>
      <c r="IOO104" s="530"/>
      <c r="IOP104" s="531"/>
      <c r="IOQ104" s="530"/>
      <c r="IOR104" s="531"/>
      <c r="IOS104" s="530"/>
      <c r="IOT104" s="531"/>
      <c r="IOU104" s="530"/>
      <c r="IOV104" s="531"/>
      <c r="IOW104" s="530"/>
      <c r="IOX104" s="531"/>
      <c r="IOY104" s="530"/>
      <c r="IOZ104" s="531"/>
      <c r="IPA104" s="530"/>
      <c r="IPB104" s="531"/>
      <c r="IPC104" s="530"/>
      <c r="IPD104" s="531"/>
      <c r="IPE104" s="530"/>
      <c r="IPF104" s="531"/>
      <c r="IPG104" s="530"/>
      <c r="IPH104" s="531"/>
      <c r="IPI104" s="530"/>
      <c r="IPJ104" s="531"/>
      <c r="IPK104" s="530"/>
      <c r="IPL104" s="531"/>
      <c r="IPM104" s="530"/>
      <c r="IPN104" s="531"/>
      <c r="IPO104" s="530"/>
      <c r="IPP104" s="531"/>
      <c r="IPQ104" s="530"/>
      <c r="IPR104" s="531"/>
      <c r="IPS104" s="530"/>
      <c r="IPT104" s="531"/>
      <c r="IPU104" s="530"/>
      <c r="IPV104" s="531"/>
      <c r="IPW104" s="530"/>
      <c r="IPX104" s="531"/>
      <c r="IPY104" s="530"/>
      <c r="IPZ104" s="531"/>
      <c r="IQA104" s="530"/>
      <c r="IQB104" s="531"/>
      <c r="IQC104" s="530"/>
      <c r="IQD104" s="531"/>
      <c r="IQE104" s="530"/>
      <c r="IQF104" s="531"/>
      <c r="IQG104" s="530"/>
      <c r="IQH104" s="531"/>
      <c r="IQI104" s="530"/>
      <c r="IQJ104" s="531"/>
      <c r="IQK104" s="530"/>
      <c r="IQL104" s="531"/>
      <c r="IQM104" s="530"/>
      <c r="IQN104" s="531"/>
      <c r="IQO104" s="530"/>
      <c r="IQP104" s="531"/>
      <c r="IQQ104" s="530"/>
      <c r="IQR104" s="531"/>
      <c r="IQS104" s="530"/>
      <c r="IQT104" s="531"/>
      <c r="IQU104" s="530"/>
      <c r="IQV104" s="531"/>
      <c r="IQW104" s="530"/>
      <c r="IQX104" s="531"/>
      <c r="IQY104" s="530"/>
      <c r="IQZ104" s="531"/>
      <c r="IRA104" s="530"/>
      <c r="IRB104" s="531"/>
      <c r="IRC104" s="530"/>
      <c r="IRD104" s="531"/>
      <c r="IRE104" s="530"/>
      <c r="IRF104" s="531"/>
      <c r="IRG104" s="530"/>
      <c r="IRH104" s="531"/>
      <c r="IRI104" s="530"/>
      <c r="IRJ104" s="531"/>
      <c r="IRK104" s="530"/>
      <c r="IRL104" s="531"/>
      <c r="IRM104" s="530"/>
      <c r="IRN104" s="531"/>
      <c r="IRO104" s="530"/>
      <c r="IRP104" s="531"/>
      <c r="IRQ104" s="530"/>
      <c r="IRR104" s="531"/>
      <c r="IRS104" s="530"/>
      <c r="IRT104" s="531"/>
      <c r="IRU104" s="530"/>
      <c r="IRV104" s="531"/>
      <c r="IRW104" s="530"/>
      <c r="IRX104" s="531"/>
      <c r="IRY104" s="530"/>
      <c r="IRZ104" s="531"/>
      <c r="ISA104" s="530"/>
      <c r="ISB104" s="531"/>
      <c r="ISC104" s="530"/>
      <c r="ISD104" s="531"/>
      <c r="ISE104" s="530"/>
      <c r="ISF104" s="531"/>
      <c r="ISG104" s="530"/>
      <c r="ISH104" s="531"/>
      <c r="ISI104" s="530"/>
      <c r="ISJ104" s="531"/>
      <c r="ISK104" s="530"/>
      <c r="ISL104" s="531"/>
      <c r="ISM104" s="530"/>
      <c r="ISN104" s="531"/>
      <c r="ISO104" s="530"/>
      <c r="ISP104" s="531"/>
      <c r="ISQ104" s="530"/>
      <c r="ISR104" s="531"/>
      <c r="ISS104" s="530"/>
      <c r="IST104" s="531"/>
      <c r="ISU104" s="530"/>
      <c r="ISV104" s="531"/>
      <c r="ISW104" s="530"/>
      <c r="ISX104" s="531"/>
      <c r="ISY104" s="530"/>
      <c r="ISZ104" s="531"/>
      <c r="ITA104" s="530"/>
      <c r="ITB104" s="531"/>
      <c r="ITC104" s="530"/>
      <c r="ITD104" s="531"/>
      <c r="ITE104" s="530"/>
      <c r="ITF104" s="531"/>
      <c r="ITG104" s="530"/>
      <c r="ITH104" s="531"/>
      <c r="ITI104" s="530"/>
      <c r="ITJ104" s="531"/>
      <c r="ITK104" s="530"/>
      <c r="ITL104" s="531"/>
      <c r="ITM104" s="530"/>
      <c r="ITN104" s="531"/>
      <c r="ITO104" s="530"/>
      <c r="ITP104" s="531"/>
      <c r="ITQ104" s="530"/>
      <c r="ITR104" s="531"/>
      <c r="ITS104" s="530"/>
      <c r="ITT104" s="531"/>
      <c r="ITU104" s="530"/>
      <c r="ITV104" s="531"/>
      <c r="ITW104" s="530"/>
      <c r="ITX104" s="531"/>
      <c r="ITY104" s="530"/>
      <c r="ITZ104" s="531"/>
      <c r="IUA104" s="530"/>
      <c r="IUB104" s="531"/>
      <c r="IUC104" s="530"/>
      <c r="IUD104" s="531"/>
      <c r="IUE104" s="530"/>
      <c r="IUF104" s="531"/>
      <c r="IUG104" s="530"/>
      <c r="IUH104" s="531"/>
      <c r="IUI104" s="530"/>
      <c r="IUJ104" s="531"/>
      <c r="IUK104" s="530"/>
      <c r="IUL104" s="531"/>
      <c r="IUM104" s="530"/>
      <c r="IUN104" s="531"/>
      <c r="IUO104" s="530"/>
      <c r="IUP104" s="531"/>
      <c r="IUQ104" s="530"/>
      <c r="IUR104" s="531"/>
      <c r="IUS104" s="530"/>
      <c r="IUT104" s="531"/>
      <c r="IUU104" s="530"/>
      <c r="IUV104" s="531"/>
      <c r="IUW104" s="530"/>
      <c r="IUX104" s="531"/>
      <c r="IUY104" s="530"/>
      <c r="IUZ104" s="531"/>
      <c r="IVA104" s="530"/>
      <c r="IVB104" s="531"/>
      <c r="IVC104" s="530"/>
      <c r="IVD104" s="531"/>
      <c r="IVE104" s="530"/>
      <c r="IVF104" s="531"/>
      <c r="IVG104" s="530"/>
      <c r="IVH104" s="531"/>
      <c r="IVI104" s="530"/>
      <c r="IVJ104" s="531"/>
      <c r="IVK104" s="530"/>
      <c r="IVL104" s="531"/>
      <c r="IVM104" s="530"/>
      <c r="IVN104" s="531"/>
      <c r="IVO104" s="530"/>
      <c r="IVP104" s="531"/>
      <c r="IVQ104" s="530"/>
      <c r="IVR104" s="531"/>
      <c r="IVS104" s="530"/>
      <c r="IVT104" s="531"/>
      <c r="IVU104" s="530"/>
      <c r="IVV104" s="531"/>
      <c r="IVW104" s="530"/>
      <c r="IVX104" s="531"/>
      <c r="IVY104" s="530"/>
      <c r="IVZ104" s="531"/>
      <c r="IWA104" s="530"/>
      <c r="IWB104" s="531"/>
      <c r="IWC104" s="530"/>
      <c r="IWD104" s="531"/>
      <c r="IWE104" s="530"/>
      <c r="IWF104" s="531"/>
      <c r="IWG104" s="530"/>
      <c r="IWH104" s="531"/>
      <c r="IWI104" s="530"/>
      <c r="IWJ104" s="531"/>
      <c r="IWK104" s="530"/>
      <c r="IWL104" s="531"/>
      <c r="IWM104" s="530"/>
      <c r="IWN104" s="531"/>
      <c r="IWO104" s="530"/>
      <c r="IWP104" s="531"/>
      <c r="IWQ104" s="530"/>
      <c r="IWR104" s="531"/>
      <c r="IWS104" s="530"/>
      <c r="IWT104" s="531"/>
      <c r="IWU104" s="530"/>
      <c r="IWV104" s="531"/>
      <c r="IWW104" s="530"/>
      <c r="IWX104" s="531"/>
      <c r="IWY104" s="530"/>
      <c r="IWZ104" s="531"/>
      <c r="IXA104" s="530"/>
      <c r="IXB104" s="531"/>
      <c r="IXC104" s="530"/>
      <c r="IXD104" s="531"/>
      <c r="IXE104" s="530"/>
      <c r="IXF104" s="531"/>
      <c r="IXG104" s="530"/>
      <c r="IXH104" s="531"/>
      <c r="IXI104" s="530"/>
      <c r="IXJ104" s="531"/>
      <c r="IXK104" s="530"/>
      <c r="IXL104" s="531"/>
      <c r="IXM104" s="530"/>
      <c r="IXN104" s="531"/>
      <c r="IXO104" s="530"/>
      <c r="IXP104" s="531"/>
      <c r="IXQ104" s="530"/>
      <c r="IXR104" s="531"/>
      <c r="IXS104" s="530"/>
      <c r="IXT104" s="531"/>
      <c r="IXU104" s="530"/>
      <c r="IXV104" s="531"/>
      <c r="IXW104" s="530"/>
      <c r="IXX104" s="531"/>
      <c r="IXY104" s="530"/>
      <c r="IXZ104" s="531"/>
      <c r="IYA104" s="530"/>
      <c r="IYB104" s="531"/>
      <c r="IYC104" s="530"/>
      <c r="IYD104" s="531"/>
      <c r="IYE104" s="530"/>
      <c r="IYF104" s="531"/>
      <c r="IYG104" s="530"/>
      <c r="IYH104" s="531"/>
      <c r="IYI104" s="530"/>
      <c r="IYJ104" s="531"/>
      <c r="IYK104" s="530"/>
      <c r="IYL104" s="531"/>
      <c r="IYM104" s="530"/>
      <c r="IYN104" s="531"/>
      <c r="IYO104" s="530"/>
      <c r="IYP104" s="531"/>
      <c r="IYQ104" s="530"/>
      <c r="IYR104" s="531"/>
      <c r="IYS104" s="530"/>
      <c r="IYT104" s="531"/>
      <c r="IYU104" s="530"/>
      <c r="IYV104" s="531"/>
      <c r="IYW104" s="530"/>
      <c r="IYX104" s="531"/>
      <c r="IYY104" s="530"/>
      <c r="IYZ104" s="531"/>
      <c r="IZA104" s="530"/>
      <c r="IZB104" s="531"/>
      <c r="IZC104" s="530"/>
      <c r="IZD104" s="531"/>
      <c r="IZE104" s="530"/>
      <c r="IZF104" s="531"/>
      <c r="IZG104" s="530"/>
      <c r="IZH104" s="531"/>
      <c r="IZI104" s="530"/>
      <c r="IZJ104" s="531"/>
      <c r="IZK104" s="530"/>
      <c r="IZL104" s="531"/>
      <c r="IZM104" s="530"/>
      <c r="IZN104" s="531"/>
      <c r="IZO104" s="530"/>
      <c r="IZP104" s="531"/>
      <c r="IZQ104" s="530"/>
      <c r="IZR104" s="531"/>
      <c r="IZS104" s="530"/>
      <c r="IZT104" s="531"/>
      <c r="IZU104" s="530"/>
      <c r="IZV104" s="531"/>
      <c r="IZW104" s="530"/>
      <c r="IZX104" s="531"/>
      <c r="IZY104" s="530"/>
      <c r="IZZ104" s="531"/>
      <c r="JAA104" s="530"/>
      <c r="JAB104" s="531"/>
      <c r="JAC104" s="530"/>
      <c r="JAD104" s="531"/>
      <c r="JAE104" s="530"/>
      <c r="JAF104" s="531"/>
      <c r="JAG104" s="530"/>
      <c r="JAH104" s="531"/>
      <c r="JAI104" s="530"/>
      <c r="JAJ104" s="531"/>
      <c r="JAK104" s="530"/>
      <c r="JAL104" s="531"/>
      <c r="JAM104" s="530"/>
      <c r="JAN104" s="531"/>
      <c r="JAO104" s="530"/>
      <c r="JAP104" s="531"/>
      <c r="JAQ104" s="530"/>
      <c r="JAR104" s="531"/>
      <c r="JAS104" s="530"/>
      <c r="JAT104" s="531"/>
      <c r="JAU104" s="530"/>
      <c r="JAV104" s="531"/>
      <c r="JAW104" s="530"/>
      <c r="JAX104" s="531"/>
      <c r="JAY104" s="530"/>
      <c r="JAZ104" s="531"/>
      <c r="JBA104" s="530"/>
      <c r="JBB104" s="531"/>
      <c r="JBC104" s="530"/>
      <c r="JBD104" s="531"/>
      <c r="JBE104" s="530"/>
      <c r="JBF104" s="531"/>
      <c r="JBG104" s="530"/>
      <c r="JBH104" s="531"/>
      <c r="JBI104" s="530"/>
      <c r="JBJ104" s="531"/>
      <c r="JBK104" s="530"/>
      <c r="JBL104" s="531"/>
      <c r="JBM104" s="530"/>
      <c r="JBN104" s="531"/>
      <c r="JBO104" s="530"/>
      <c r="JBP104" s="531"/>
      <c r="JBQ104" s="530"/>
      <c r="JBR104" s="531"/>
      <c r="JBS104" s="530"/>
      <c r="JBT104" s="531"/>
      <c r="JBU104" s="530"/>
      <c r="JBV104" s="531"/>
      <c r="JBW104" s="530"/>
      <c r="JBX104" s="531"/>
      <c r="JBY104" s="530"/>
      <c r="JBZ104" s="531"/>
      <c r="JCA104" s="530"/>
      <c r="JCB104" s="531"/>
      <c r="JCC104" s="530"/>
      <c r="JCD104" s="531"/>
      <c r="JCE104" s="530"/>
      <c r="JCF104" s="531"/>
      <c r="JCG104" s="530"/>
      <c r="JCH104" s="531"/>
      <c r="JCI104" s="530"/>
      <c r="JCJ104" s="531"/>
      <c r="JCK104" s="530"/>
      <c r="JCL104" s="531"/>
      <c r="JCM104" s="530"/>
      <c r="JCN104" s="531"/>
      <c r="JCO104" s="530"/>
      <c r="JCP104" s="531"/>
      <c r="JCQ104" s="530"/>
      <c r="JCR104" s="531"/>
      <c r="JCS104" s="530"/>
      <c r="JCT104" s="531"/>
      <c r="JCU104" s="530"/>
      <c r="JCV104" s="531"/>
      <c r="JCW104" s="530"/>
      <c r="JCX104" s="531"/>
      <c r="JCY104" s="530"/>
      <c r="JCZ104" s="531"/>
      <c r="JDA104" s="530"/>
      <c r="JDB104" s="531"/>
      <c r="JDC104" s="530"/>
      <c r="JDD104" s="531"/>
      <c r="JDE104" s="530"/>
      <c r="JDF104" s="531"/>
      <c r="JDG104" s="530"/>
      <c r="JDH104" s="531"/>
      <c r="JDI104" s="530"/>
      <c r="JDJ104" s="531"/>
      <c r="JDK104" s="530"/>
      <c r="JDL104" s="531"/>
      <c r="JDM104" s="530"/>
      <c r="JDN104" s="531"/>
      <c r="JDO104" s="530"/>
      <c r="JDP104" s="531"/>
      <c r="JDQ104" s="530"/>
      <c r="JDR104" s="531"/>
      <c r="JDS104" s="530"/>
      <c r="JDT104" s="531"/>
      <c r="JDU104" s="530"/>
      <c r="JDV104" s="531"/>
      <c r="JDW104" s="530"/>
      <c r="JDX104" s="531"/>
      <c r="JDY104" s="530"/>
      <c r="JDZ104" s="531"/>
      <c r="JEA104" s="530"/>
      <c r="JEB104" s="531"/>
      <c r="JEC104" s="530"/>
      <c r="JED104" s="531"/>
      <c r="JEE104" s="530"/>
      <c r="JEF104" s="531"/>
      <c r="JEG104" s="530"/>
      <c r="JEH104" s="531"/>
      <c r="JEI104" s="530"/>
      <c r="JEJ104" s="531"/>
      <c r="JEK104" s="530"/>
      <c r="JEL104" s="531"/>
      <c r="JEM104" s="530"/>
      <c r="JEN104" s="531"/>
      <c r="JEO104" s="530"/>
      <c r="JEP104" s="531"/>
      <c r="JEQ104" s="530"/>
      <c r="JER104" s="531"/>
      <c r="JES104" s="530"/>
      <c r="JET104" s="531"/>
      <c r="JEU104" s="530"/>
      <c r="JEV104" s="531"/>
      <c r="JEW104" s="530"/>
      <c r="JEX104" s="531"/>
      <c r="JEY104" s="530"/>
      <c r="JEZ104" s="531"/>
      <c r="JFA104" s="530"/>
      <c r="JFB104" s="531"/>
      <c r="JFC104" s="530"/>
      <c r="JFD104" s="531"/>
      <c r="JFE104" s="530"/>
      <c r="JFF104" s="531"/>
      <c r="JFG104" s="530"/>
      <c r="JFH104" s="531"/>
      <c r="JFI104" s="530"/>
      <c r="JFJ104" s="531"/>
      <c r="JFK104" s="530"/>
      <c r="JFL104" s="531"/>
      <c r="JFM104" s="530"/>
      <c r="JFN104" s="531"/>
      <c r="JFO104" s="530"/>
      <c r="JFP104" s="531"/>
      <c r="JFQ104" s="530"/>
      <c r="JFR104" s="531"/>
      <c r="JFS104" s="530"/>
      <c r="JFT104" s="531"/>
      <c r="JFU104" s="530"/>
      <c r="JFV104" s="531"/>
      <c r="JFW104" s="530"/>
      <c r="JFX104" s="531"/>
      <c r="JFY104" s="530"/>
      <c r="JFZ104" s="531"/>
      <c r="JGA104" s="530"/>
      <c r="JGB104" s="531"/>
      <c r="JGC104" s="530"/>
      <c r="JGD104" s="531"/>
      <c r="JGE104" s="530"/>
      <c r="JGF104" s="531"/>
      <c r="JGG104" s="530"/>
      <c r="JGH104" s="531"/>
      <c r="JGI104" s="530"/>
      <c r="JGJ104" s="531"/>
      <c r="JGK104" s="530"/>
      <c r="JGL104" s="531"/>
      <c r="JGM104" s="530"/>
      <c r="JGN104" s="531"/>
      <c r="JGO104" s="530"/>
      <c r="JGP104" s="531"/>
      <c r="JGQ104" s="530"/>
      <c r="JGR104" s="531"/>
      <c r="JGS104" s="530"/>
      <c r="JGT104" s="531"/>
      <c r="JGU104" s="530"/>
      <c r="JGV104" s="531"/>
      <c r="JGW104" s="530"/>
      <c r="JGX104" s="531"/>
      <c r="JGY104" s="530"/>
      <c r="JGZ104" s="531"/>
      <c r="JHA104" s="530"/>
      <c r="JHB104" s="531"/>
      <c r="JHC104" s="530"/>
      <c r="JHD104" s="531"/>
      <c r="JHE104" s="530"/>
      <c r="JHF104" s="531"/>
      <c r="JHG104" s="530"/>
      <c r="JHH104" s="531"/>
      <c r="JHI104" s="530"/>
      <c r="JHJ104" s="531"/>
      <c r="JHK104" s="530"/>
      <c r="JHL104" s="531"/>
      <c r="JHM104" s="530"/>
      <c r="JHN104" s="531"/>
      <c r="JHO104" s="530"/>
      <c r="JHP104" s="531"/>
      <c r="JHQ104" s="530"/>
      <c r="JHR104" s="531"/>
      <c r="JHS104" s="530"/>
      <c r="JHT104" s="531"/>
      <c r="JHU104" s="530"/>
      <c r="JHV104" s="531"/>
      <c r="JHW104" s="530"/>
      <c r="JHX104" s="531"/>
      <c r="JHY104" s="530"/>
      <c r="JHZ104" s="531"/>
      <c r="JIA104" s="530"/>
      <c r="JIB104" s="531"/>
      <c r="JIC104" s="530"/>
      <c r="JID104" s="531"/>
      <c r="JIE104" s="530"/>
      <c r="JIF104" s="531"/>
      <c r="JIG104" s="530"/>
      <c r="JIH104" s="531"/>
      <c r="JII104" s="530"/>
      <c r="JIJ104" s="531"/>
      <c r="JIK104" s="530"/>
      <c r="JIL104" s="531"/>
      <c r="JIM104" s="530"/>
      <c r="JIN104" s="531"/>
      <c r="JIO104" s="530"/>
      <c r="JIP104" s="531"/>
      <c r="JIQ104" s="530"/>
      <c r="JIR104" s="531"/>
      <c r="JIS104" s="530"/>
      <c r="JIT104" s="531"/>
      <c r="JIU104" s="530"/>
      <c r="JIV104" s="531"/>
      <c r="JIW104" s="530"/>
      <c r="JIX104" s="531"/>
      <c r="JIY104" s="530"/>
      <c r="JIZ104" s="531"/>
      <c r="JJA104" s="530"/>
      <c r="JJB104" s="531"/>
      <c r="JJC104" s="530"/>
      <c r="JJD104" s="531"/>
      <c r="JJE104" s="530"/>
      <c r="JJF104" s="531"/>
      <c r="JJG104" s="530"/>
      <c r="JJH104" s="531"/>
      <c r="JJI104" s="530"/>
      <c r="JJJ104" s="531"/>
      <c r="JJK104" s="530"/>
      <c r="JJL104" s="531"/>
      <c r="JJM104" s="530"/>
      <c r="JJN104" s="531"/>
      <c r="JJO104" s="530"/>
      <c r="JJP104" s="531"/>
      <c r="JJQ104" s="530"/>
      <c r="JJR104" s="531"/>
      <c r="JJS104" s="530"/>
      <c r="JJT104" s="531"/>
      <c r="JJU104" s="530"/>
      <c r="JJV104" s="531"/>
      <c r="JJW104" s="530"/>
      <c r="JJX104" s="531"/>
      <c r="JJY104" s="530"/>
      <c r="JJZ104" s="531"/>
      <c r="JKA104" s="530"/>
      <c r="JKB104" s="531"/>
      <c r="JKC104" s="530"/>
      <c r="JKD104" s="531"/>
      <c r="JKE104" s="530"/>
      <c r="JKF104" s="531"/>
      <c r="JKG104" s="530"/>
      <c r="JKH104" s="531"/>
      <c r="JKI104" s="530"/>
      <c r="JKJ104" s="531"/>
      <c r="JKK104" s="530"/>
      <c r="JKL104" s="531"/>
      <c r="JKM104" s="530"/>
      <c r="JKN104" s="531"/>
      <c r="JKO104" s="530"/>
      <c r="JKP104" s="531"/>
      <c r="JKQ104" s="530"/>
      <c r="JKR104" s="531"/>
      <c r="JKS104" s="530"/>
      <c r="JKT104" s="531"/>
      <c r="JKU104" s="530"/>
      <c r="JKV104" s="531"/>
      <c r="JKW104" s="530"/>
      <c r="JKX104" s="531"/>
      <c r="JKY104" s="530"/>
      <c r="JKZ104" s="531"/>
      <c r="JLA104" s="530"/>
      <c r="JLB104" s="531"/>
      <c r="JLC104" s="530"/>
      <c r="JLD104" s="531"/>
      <c r="JLE104" s="530"/>
      <c r="JLF104" s="531"/>
      <c r="JLG104" s="530"/>
      <c r="JLH104" s="531"/>
      <c r="JLI104" s="530"/>
      <c r="JLJ104" s="531"/>
      <c r="JLK104" s="530"/>
      <c r="JLL104" s="531"/>
      <c r="JLM104" s="530"/>
      <c r="JLN104" s="531"/>
      <c r="JLO104" s="530"/>
      <c r="JLP104" s="531"/>
      <c r="JLQ104" s="530"/>
      <c r="JLR104" s="531"/>
      <c r="JLS104" s="530"/>
      <c r="JLT104" s="531"/>
      <c r="JLU104" s="530"/>
      <c r="JLV104" s="531"/>
      <c r="JLW104" s="530"/>
      <c r="JLX104" s="531"/>
      <c r="JLY104" s="530"/>
      <c r="JLZ104" s="531"/>
      <c r="JMA104" s="530"/>
      <c r="JMB104" s="531"/>
      <c r="JMC104" s="530"/>
      <c r="JMD104" s="531"/>
      <c r="JME104" s="530"/>
      <c r="JMF104" s="531"/>
      <c r="JMG104" s="530"/>
      <c r="JMH104" s="531"/>
      <c r="JMI104" s="530"/>
      <c r="JMJ104" s="531"/>
      <c r="JMK104" s="530"/>
      <c r="JML104" s="531"/>
      <c r="JMM104" s="530"/>
      <c r="JMN104" s="531"/>
      <c r="JMO104" s="530"/>
      <c r="JMP104" s="531"/>
      <c r="JMQ104" s="530"/>
      <c r="JMR104" s="531"/>
      <c r="JMS104" s="530"/>
      <c r="JMT104" s="531"/>
      <c r="JMU104" s="530"/>
      <c r="JMV104" s="531"/>
      <c r="JMW104" s="530"/>
      <c r="JMX104" s="531"/>
      <c r="JMY104" s="530"/>
      <c r="JMZ104" s="531"/>
      <c r="JNA104" s="530"/>
      <c r="JNB104" s="531"/>
      <c r="JNC104" s="530"/>
      <c r="JND104" s="531"/>
      <c r="JNE104" s="530"/>
      <c r="JNF104" s="531"/>
      <c r="JNG104" s="530"/>
      <c r="JNH104" s="531"/>
      <c r="JNI104" s="530"/>
      <c r="JNJ104" s="531"/>
      <c r="JNK104" s="530"/>
      <c r="JNL104" s="531"/>
      <c r="JNM104" s="530"/>
      <c r="JNN104" s="531"/>
      <c r="JNO104" s="530"/>
      <c r="JNP104" s="531"/>
      <c r="JNQ104" s="530"/>
      <c r="JNR104" s="531"/>
      <c r="JNS104" s="530"/>
      <c r="JNT104" s="531"/>
      <c r="JNU104" s="530"/>
      <c r="JNV104" s="531"/>
      <c r="JNW104" s="530"/>
      <c r="JNX104" s="531"/>
      <c r="JNY104" s="530"/>
      <c r="JNZ104" s="531"/>
      <c r="JOA104" s="530"/>
      <c r="JOB104" s="531"/>
      <c r="JOC104" s="530"/>
      <c r="JOD104" s="531"/>
      <c r="JOE104" s="530"/>
      <c r="JOF104" s="531"/>
      <c r="JOG104" s="530"/>
      <c r="JOH104" s="531"/>
      <c r="JOI104" s="530"/>
      <c r="JOJ104" s="531"/>
      <c r="JOK104" s="530"/>
      <c r="JOL104" s="531"/>
      <c r="JOM104" s="530"/>
      <c r="JON104" s="531"/>
      <c r="JOO104" s="530"/>
      <c r="JOP104" s="531"/>
      <c r="JOQ104" s="530"/>
      <c r="JOR104" s="531"/>
      <c r="JOS104" s="530"/>
      <c r="JOT104" s="531"/>
      <c r="JOU104" s="530"/>
      <c r="JOV104" s="531"/>
      <c r="JOW104" s="530"/>
      <c r="JOX104" s="531"/>
      <c r="JOY104" s="530"/>
      <c r="JOZ104" s="531"/>
      <c r="JPA104" s="530"/>
      <c r="JPB104" s="531"/>
      <c r="JPC104" s="530"/>
      <c r="JPD104" s="531"/>
      <c r="JPE104" s="530"/>
      <c r="JPF104" s="531"/>
      <c r="JPG104" s="530"/>
      <c r="JPH104" s="531"/>
      <c r="JPI104" s="530"/>
      <c r="JPJ104" s="531"/>
      <c r="JPK104" s="530"/>
      <c r="JPL104" s="531"/>
      <c r="JPM104" s="530"/>
      <c r="JPN104" s="531"/>
      <c r="JPO104" s="530"/>
      <c r="JPP104" s="531"/>
      <c r="JPQ104" s="530"/>
      <c r="JPR104" s="531"/>
      <c r="JPS104" s="530"/>
      <c r="JPT104" s="531"/>
      <c r="JPU104" s="530"/>
      <c r="JPV104" s="531"/>
      <c r="JPW104" s="530"/>
      <c r="JPX104" s="531"/>
      <c r="JPY104" s="530"/>
      <c r="JPZ104" s="531"/>
      <c r="JQA104" s="530"/>
      <c r="JQB104" s="531"/>
      <c r="JQC104" s="530"/>
      <c r="JQD104" s="531"/>
      <c r="JQE104" s="530"/>
      <c r="JQF104" s="531"/>
      <c r="JQG104" s="530"/>
      <c r="JQH104" s="531"/>
      <c r="JQI104" s="530"/>
      <c r="JQJ104" s="531"/>
      <c r="JQK104" s="530"/>
      <c r="JQL104" s="531"/>
      <c r="JQM104" s="530"/>
      <c r="JQN104" s="531"/>
      <c r="JQO104" s="530"/>
      <c r="JQP104" s="531"/>
      <c r="JQQ104" s="530"/>
      <c r="JQR104" s="531"/>
      <c r="JQS104" s="530"/>
      <c r="JQT104" s="531"/>
      <c r="JQU104" s="530"/>
      <c r="JQV104" s="531"/>
      <c r="JQW104" s="530"/>
      <c r="JQX104" s="531"/>
      <c r="JQY104" s="530"/>
      <c r="JQZ104" s="531"/>
      <c r="JRA104" s="530"/>
      <c r="JRB104" s="531"/>
      <c r="JRC104" s="530"/>
      <c r="JRD104" s="531"/>
      <c r="JRE104" s="530"/>
      <c r="JRF104" s="531"/>
      <c r="JRG104" s="530"/>
      <c r="JRH104" s="531"/>
      <c r="JRI104" s="530"/>
      <c r="JRJ104" s="531"/>
      <c r="JRK104" s="530"/>
      <c r="JRL104" s="531"/>
      <c r="JRM104" s="530"/>
      <c r="JRN104" s="531"/>
      <c r="JRO104" s="530"/>
      <c r="JRP104" s="531"/>
      <c r="JRQ104" s="530"/>
      <c r="JRR104" s="531"/>
      <c r="JRS104" s="530"/>
      <c r="JRT104" s="531"/>
      <c r="JRU104" s="530"/>
      <c r="JRV104" s="531"/>
      <c r="JRW104" s="530"/>
      <c r="JRX104" s="531"/>
      <c r="JRY104" s="530"/>
      <c r="JRZ104" s="531"/>
      <c r="JSA104" s="530"/>
      <c r="JSB104" s="531"/>
      <c r="JSC104" s="530"/>
      <c r="JSD104" s="531"/>
      <c r="JSE104" s="530"/>
      <c r="JSF104" s="531"/>
      <c r="JSG104" s="530"/>
      <c r="JSH104" s="531"/>
      <c r="JSI104" s="530"/>
      <c r="JSJ104" s="531"/>
      <c r="JSK104" s="530"/>
      <c r="JSL104" s="531"/>
      <c r="JSM104" s="530"/>
      <c r="JSN104" s="531"/>
      <c r="JSO104" s="530"/>
      <c r="JSP104" s="531"/>
      <c r="JSQ104" s="530"/>
      <c r="JSR104" s="531"/>
      <c r="JSS104" s="530"/>
      <c r="JST104" s="531"/>
      <c r="JSU104" s="530"/>
      <c r="JSV104" s="531"/>
      <c r="JSW104" s="530"/>
      <c r="JSX104" s="531"/>
      <c r="JSY104" s="530"/>
      <c r="JSZ104" s="531"/>
      <c r="JTA104" s="530"/>
      <c r="JTB104" s="531"/>
      <c r="JTC104" s="530"/>
      <c r="JTD104" s="531"/>
      <c r="JTE104" s="530"/>
      <c r="JTF104" s="531"/>
      <c r="JTG104" s="530"/>
      <c r="JTH104" s="531"/>
      <c r="JTI104" s="530"/>
      <c r="JTJ104" s="531"/>
      <c r="JTK104" s="530"/>
      <c r="JTL104" s="531"/>
      <c r="JTM104" s="530"/>
      <c r="JTN104" s="531"/>
      <c r="JTO104" s="530"/>
      <c r="JTP104" s="531"/>
      <c r="JTQ104" s="530"/>
      <c r="JTR104" s="531"/>
      <c r="JTS104" s="530"/>
      <c r="JTT104" s="531"/>
      <c r="JTU104" s="530"/>
      <c r="JTV104" s="531"/>
      <c r="JTW104" s="530"/>
      <c r="JTX104" s="531"/>
      <c r="JTY104" s="530"/>
      <c r="JTZ104" s="531"/>
      <c r="JUA104" s="530"/>
      <c r="JUB104" s="531"/>
      <c r="JUC104" s="530"/>
      <c r="JUD104" s="531"/>
      <c r="JUE104" s="530"/>
      <c r="JUF104" s="531"/>
      <c r="JUG104" s="530"/>
      <c r="JUH104" s="531"/>
      <c r="JUI104" s="530"/>
      <c r="JUJ104" s="531"/>
      <c r="JUK104" s="530"/>
      <c r="JUL104" s="531"/>
      <c r="JUM104" s="530"/>
      <c r="JUN104" s="531"/>
      <c r="JUO104" s="530"/>
      <c r="JUP104" s="531"/>
      <c r="JUQ104" s="530"/>
      <c r="JUR104" s="531"/>
      <c r="JUS104" s="530"/>
      <c r="JUT104" s="531"/>
      <c r="JUU104" s="530"/>
      <c r="JUV104" s="531"/>
      <c r="JUW104" s="530"/>
      <c r="JUX104" s="531"/>
      <c r="JUY104" s="530"/>
      <c r="JUZ104" s="531"/>
      <c r="JVA104" s="530"/>
      <c r="JVB104" s="531"/>
      <c r="JVC104" s="530"/>
      <c r="JVD104" s="531"/>
      <c r="JVE104" s="530"/>
      <c r="JVF104" s="531"/>
      <c r="JVG104" s="530"/>
      <c r="JVH104" s="531"/>
      <c r="JVI104" s="530"/>
      <c r="JVJ104" s="531"/>
      <c r="JVK104" s="530"/>
      <c r="JVL104" s="531"/>
      <c r="JVM104" s="530"/>
      <c r="JVN104" s="531"/>
      <c r="JVO104" s="530"/>
      <c r="JVP104" s="531"/>
      <c r="JVQ104" s="530"/>
      <c r="JVR104" s="531"/>
      <c r="JVS104" s="530"/>
      <c r="JVT104" s="531"/>
      <c r="JVU104" s="530"/>
      <c r="JVV104" s="531"/>
      <c r="JVW104" s="530"/>
      <c r="JVX104" s="531"/>
      <c r="JVY104" s="530"/>
      <c r="JVZ104" s="531"/>
      <c r="JWA104" s="530"/>
      <c r="JWB104" s="531"/>
      <c r="JWC104" s="530"/>
      <c r="JWD104" s="531"/>
      <c r="JWE104" s="530"/>
      <c r="JWF104" s="531"/>
      <c r="JWG104" s="530"/>
      <c r="JWH104" s="531"/>
      <c r="JWI104" s="530"/>
      <c r="JWJ104" s="531"/>
      <c r="JWK104" s="530"/>
      <c r="JWL104" s="531"/>
      <c r="JWM104" s="530"/>
      <c r="JWN104" s="531"/>
      <c r="JWO104" s="530"/>
      <c r="JWP104" s="531"/>
      <c r="JWQ104" s="530"/>
      <c r="JWR104" s="531"/>
      <c r="JWS104" s="530"/>
      <c r="JWT104" s="531"/>
      <c r="JWU104" s="530"/>
      <c r="JWV104" s="531"/>
      <c r="JWW104" s="530"/>
      <c r="JWX104" s="531"/>
      <c r="JWY104" s="530"/>
      <c r="JWZ104" s="531"/>
      <c r="JXA104" s="530"/>
      <c r="JXB104" s="531"/>
      <c r="JXC104" s="530"/>
      <c r="JXD104" s="531"/>
      <c r="JXE104" s="530"/>
      <c r="JXF104" s="531"/>
      <c r="JXG104" s="530"/>
      <c r="JXH104" s="531"/>
      <c r="JXI104" s="530"/>
      <c r="JXJ104" s="531"/>
      <c r="JXK104" s="530"/>
      <c r="JXL104" s="531"/>
      <c r="JXM104" s="530"/>
      <c r="JXN104" s="531"/>
      <c r="JXO104" s="530"/>
      <c r="JXP104" s="531"/>
      <c r="JXQ104" s="530"/>
      <c r="JXR104" s="531"/>
      <c r="JXS104" s="530"/>
      <c r="JXT104" s="531"/>
      <c r="JXU104" s="530"/>
      <c r="JXV104" s="531"/>
      <c r="JXW104" s="530"/>
      <c r="JXX104" s="531"/>
      <c r="JXY104" s="530"/>
      <c r="JXZ104" s="531"/>
      <c r="JYA104" s="530"/>
      <c r="JYB104" s="531"/>
      <c r="JYC104" s="530"/>
      <c r="JYD104" s="531"/>
      <c r="JYE104" s="530"/>
      <c r="JYF104" s="531"/>
      <c r="JYG104" s="530"/>
      <c r="JYH104" s="531"/>
      <c r="JYI104" s="530"/>
      <c r="JYJ104" s="531"/>
      <c r="JYK104" s="530"/>
      <c r="JYL104" s="531"/>
      <c r="JYM104" s="530"/>
      <c r="JYN104" s="531"/>
      <c r="JYO104" s="530"/>
      <c r="JYP104" s="531"/>
      <c r="JYQ104" s="530"/>
      <c r="JYR104" s="531"/>
      <c r="JYS104" s="530"/>
      <c r="JYT104" s="531"/>
      <c r="JYU104" s="530"/>
      <c r="JYV104" s="531"/>
      <c r="JYW104" s="530"/>
      <c r="JYX104" s="531"/>
      <c r="JYY104" s="530"/>
      <c r="JYZ104" s="531"/>
      <c r="JZA104" s="530"/>
      <c r="JZB104" s="531"/>
      <c r="JZC104" s="530"/>
      <c r="JZD104" s="531"/>
      <c r="JZE104" s="530"/>
      <c r="JZF104" s="531"/>
      <c r="JZG104" s="530"/>
      <c r="JZH104" s="531"/>
      <c r="JZI104" s="530"/>
      <c r="JZJ104" s="531"/>
      <c r="JZK104" s="530"/>
      <c r="JZL104" s="531"/>
      <c r="JZM104" s="530"/>
      <c r="JZN104" s="531"/>
      <c r="JZO104" s="530"/>
      <c r="JZP104" s="531"/>
      <c r="JZQ104" s="530"/>
      <c r="JZR104" s="531"/>
      <c r="JZS104" s="530"/>
      <c r="JZT104" s="531"/>
      <c r="JZU104" s="530"/>
      <c r="JZV104" s="531"/>
      <c r="JZW104" s="530"/>
      <c r="JZX104" s="531"/>
      <c r="JZY104" s="530"/>
      <c r="JZZ104" s="531"/>
      <c r="KAA104" s="530"/>
      <c r="KAB104" s="531"/>
      <c r="KAC104" s="530"/>
      <c r="KAD104" s="531"/>
      <c r="KAE104" s="530"/>
      <c r="KAF104" s="531"/>
      <c r="KAG104" s="530"/>
      <c r="KAH104" s="531"/>
      <c r="KAI104" s="530"/>
      <c r="KAJ104" s="531"/>
      <c r="KAK104" s="530"/>
      <c r="KAL104" s="531"/>
      <c r="KAM104" s="530"/>
      <c r="KAN104" s="531"/>
      <c r="KAO104" s="530"/>
      <c r="KAP104" s="531"/>
      <c r="KAQ104" s="530"/>
      <c r="KAR104" s="531"/>
      <c r="KAS104" s="530"/>
      <c r="KAT104" s="531"/>
      <c r="KAU104" s="530"/>
      <c r="KAV104" s="531"/>
      <c r="KAW104" s="530"/>
      <c r="KAX104" s="531"/>
      <c r="KAY104" s="530"/>
      <c r="KAZ104" s="531"/>
      <c r="KBA104" s="530"/>
      <c r="KBB104" s="531"/>
      <c r="KBC104" s="530"/>
      <c r="KBD104" s="531"/>
      <c r="KBE104" s="530"/>
      <c r="KBF104" s="531"/>
      <c r="KBG104" s="530"/>
      <c r="KBH104" s="531"/>
      <c r="KBI104" s="530"/>
      <c r="KBJ104" s="531"/>
      <c r="KBK104" s="530"/>
      <c r="KBL104" s="531"/>
      <c r="KBM104" s="530"/>
      <c r="KBN104" s="531"/>
      <c r="KBO104" s="530"/>
      <c r="KBP104" s="531"/>
      <c r="KBQ104" s="530"/>
      <c r="KBR104" s="531"/>
      <c r="KBS104" s="530"/>
      <c r="KBT104" s="531"/>
      <c r="KBU104" s="530"/>
      <c r="KBV104" s="531"/>
      <c r="KBW104" s="530"/>
      <c r="KBX104" s="531"/>
      <c r="KBY104" s="530"/>
      <c r="KBZ104" s="531"/>
      <c r="KCA104" s="530"/>
      <c r="KCB104" s="531"/>
      <c r="KCC104" s="530"/>
      <c r="KCD104" s="531"/>
      <c r="KCE104" s="530"/>
      <c r="KCF104" s="531"/>
      <c r="KCG104" s="530"/>
      <c r="KCH104" s="531"/>
      <c r="KCI104" s="530"/>
      <c r="KCJ104" s="531"/>
      <c r="KCK104" s="530"/>
      <c r="KCL104" s="531"/>
      <c r="KCM104" s="530"/>
      <c r="KCN104" s="531"/>
      <c r="KCO104" s="530"/>
      <c r="KCP104" s="531"/>
      <c r="KCQ104" s="530"/>
      <c r="KCR104" s="531"/>
      <c r="KCS104" s="530"/>
      <c r="KCT104" s="531"/>
      <c r="KCU104" s="530"/>
      <c r="KCV104" s="531"/>
      <c r="KCW104" s="530"/>
      <c r="KCX104" s="531"/>
      <c r="KCY104" s="530"/>
      <c r="KCZ104" s="531"/>
      <c r="KDA104" s="530"/>
      <c r="KDB104" s="531"/>
      <c r="KDC104" s="530"/>
      <c r="KDD104" s="531"/>
      <c r="KDE104" s="530"/>
      <c r="KDF104" s="531"/>
      <c r="KDG104" s="530"/>
      <c r="KDH104" s="531"/>
      <c r="KDI104" s="530"/>
      <c r="KDJ104" s="531"/>
      <c r="KDK104" s="530"/>
      <c r="KDL104" s="531"/>
      <c r="KDM104" s="530"/>
      <c r="KDN104" s="531"/>
      <c r="KDO104" s="530"/>
      <c r="KDP104" s="531"/>
      <c r="KDQ104" s="530"/>
      <c r="KDR104" s="531"/>
      <c r="KDS104" s="530"/>
      <c r="KDT104" s="531"/>
      <c r="KDU104" s="530"/>
      <c r="KDV104" s="531"/>
      <c r="KDW104" s="530"/>
      <c r="KDX104" s="531"/>
      <c r="KDY104" s="530"/>
      <c r="KDZ104" s="531"/>
      <c r="KEA104" s="530"/>
      <c r="KEB104" s="531"/>
      <c r="KEC104" s="530"/>
      <c r="KED104" s="531"/>
      <c r="KEE104" s="530"/>
      <c r="KEF104" s="531"/>
      <c r="KEG104" s="530"/>
      <c r="KEH104" s="531"/>
      <c r="KEI104" s="530"/>
      <c r="KEJ104" s="531"/>
      <c r="KEK104" s="530"/>
      <c r="KEL104" s="531"/>
      <c r="KEM104" s="530"/>
      <c r="KEN104" s="531"/>
      <c r="KEO104" s="530"/>
      <c r="KEP104" s="531"/>
      <c r="KEQ104" s="530"/>
      <c r="KER104" s="531"/>
      <c r="KES104" s="530"/>
      <c r="KET104" s="531"/>
      <c r="KEU104" s="530"/>
      <c r="KEV104" s="531"/>
      <c r="KEW104" s="530"/>
      <c r="KEX104" s="531"/>
      <c r="KEY104" s="530"/>
      <c r="KEZ104" s="531"/>
      <c r="KFA104" s="530"/>
      <c r="KFB104" s="531"/>
      <c r="KFC104" s="530"/>
      <c r="KFD104" s="531"/>
      <c r="KFE104" s="530"/>
      <c r="KFF104" s="531"/>
      <c r="KFG104" s="530"/>
      <c r="KFH104" s="531"/>
      <c r="KFI104" s="530"/>
      <c r="KFJ104" s="531"/>
      <c r="KFK104" s="530"/>
      <c r="KFL104" s="531"/>
      <c r="KFM104" s="530"/>
      <c r="KFN104" s="531"/>
      <c r="KFO104" s="530"/>
      <c r="KFP104" s="531"/>
      <c r="KFQ104" s="530"/>
      <c r="KFR104" s="531"/>
      <c r="KFS104" s="530"/>
      <c r="KFT104" s="531"/>
      <c r="KFU104" s="530"/>
      <c r="KFV104" s="531"/>
      <c r="KFW104" s="530"/>
      <c r="KFX104" s="531"/>
      <c r="KFY104" s="530"/>
      <c r="KFZ104" s="531"/>
      <c r="KGA104" s="530"/>
      <c r="KGB104" s="531"/>
      <c r="KGC104" s="530"/>
      <c r="KGD104" s="531"/>
      <c r="KGE104" s="530"/>
      <c r="KGF104" s="531"/>
      <c r="KGG104" s="530"/>
      <c r="KGH104" s="531"/>
      <c r="KGI104" s="530"/>
      <c r="KGJ104" s="531"/>
      <c r="KGK104" s="530"/>
      <c r="KGL104" s="531"/>
      <c r="KGM104" s="530"/>
      <c r="KGN104" s="531"/>
      <c r="KGO104" s="530"/>
      <c r="KGP104" s="531"/>
      <c r="KGQ104" s="530"/>
      <c r="KGR104" s="531"/>
      <c r="KGS104" s="530"/>
      <c r="KGT104" s="531"/>
      <c r="KGU104" s="530"/>
      <c r="KGV104" s="531"/>
      <c r="KGW104" s="530"/>
      <c r="KGX104" s="531"/>
      <c r="KGY104" s="530"/>
      <c r="KGZ104" s="531"/>
      <c r="KHA104" s="530"/>
      <c r="KHB104" s="531"/>
      <c r="KHC104" s="530"/>
      <c r="KHD104" s="531"/>
      <c r="KHE104" s="530"/>
      <c r="KHF104" s="531"/>
      <c r="KHG104" s="530"/>
      <c r="KHH104" s="531"/>
      <c r="KHI104" s="530"/>
      <c r="KHJ104" s="531"/>
      <c r="KHK104" s="530"/>
      <c r="KHL104" s="531"/>
      <c r="KHM104" s="530"/>
      <c r="KHN104" s="531"/>
      <c r="KHO104" s="530"/>
      <c r="KHP104" s="531"/>
      <c r="KHQ104" s="530"/>
      <c r="KHR104" s="531"/>
      <c r="KHS104" s="530"/>
      <c r="KHT104" s="531"/>
      <c r="KHU104" s="530"/>
      <c r="KHV104" s="531"/>
      <c r="KHW104" s="530"/>
      <c r="KHX104" s="531"/>
      <c r="KHY104" s="530"/>
      <c r="KHZ104" s="531"/>
      <c r="KIA104" s="530"/>
      <c r="KIB104" s="531"/>
      <c r="KIC104" s="530"/>
      <c r="KID104" s="531"/>
      <c r="KIE104" s="530"/>
      <c r="KIF104" s="531"/>
      <c r="KIG104" s="530"/>
      <c r="KIH104" s="531"/>
      <c r="KII104" s="530"/>
      <c r="KIJ104" s="531"/>
      <c r="KIK104" s="530"/>
      <c r="KIL104" s="531"/>
      <c r="KIM104" s="530"/>
      <c r="KIN104" s="531"/>
      <c r="KIO104" s="530"/>
      <c r="KIP104" s="531"/>
      <c r="KIQ104" s="530"/>
      <c r="KIR104" s="531"/>
      <c r="KIS104" s="530"/>
      <c r="KIT104" s="531"/>
      <c r="KIU104" s="530"/>
      <c r="KIV104" s="531"/>
      <c r="KIW104" s="530"/>
      <c r="KIX104" s="531"/>
      <c r="KIY104" s="530"/>
      <c r="KIZ104" s="531"/>
      <c r="KJA104" s="530"/>
      <c r="KJB104" s="531"/>
      <c r="KJC104" s="530"/>
      <c r="KJD104" s="531"/>
      <c r="KJE104" s="530"/>
      <c r="KJF104" s="531"/>
      <c r="KJG104" s="530"/>
      <c r="KJH104" s="531"/>
      <c r="KJI104" s="530"/>
      <c r="KJJ104" s="531"/>
      <c r="KJK104" s="530"/>
      <c r="KJL104" s="531"/>
      <c r="KJM104" s="530"/>
      <c r="KJN104" s="531"/>
      <c r="KJO104" s="530"/>
      <c r="KJP104" s="531"/>
      <c r="KJQ104" s="530"/>
      <c r="KJR104" s="531"/>
      <c r="KJS104" s="530"/>
      <c r="KJT104" s="531"/>
      <c r="KJU104" s="530"/>
      <c r="KJV104" s="531"/>
      <c r="KJW104" s="530"/>
      <c r="KJX104" s="531"/>
      <c r="KJY104" s="530"/>
      <c r="KJZ104" s="531"/>
      <c r="KKA104" s="530"/>
      <c r="KKB104" s="531"/>
      <c r="KKC104" s="530"/>
      <c r="KKD104" s="531"/>
      <c r="KKE104" s="530"/>
      <c r="KKF104" s="531"/>
      <c r="KKG104" s="530"/>
      <c r="KKH104" s="531"/>
      <c r="KKI104" s="530"/>
      <c r="KKJ104" s="531"/>
      <c r="KKK104" s="530"/>
      <c r="KKL104" s="531"/>
      <c r="KKM104" s="530"/>
      <c r="KKN104" s="531"/>
      <c r="KKO104" s="530"/>
      <c r="KKP104" s="531"/>
      <c r="KKQ104" s="530"/>
      <c r="KKR104" s="531"/>
      <c r="KKS104" s="530"/>
      <c r="KKT104" s="531"/>
      <c r="KKU104" s="530"/>
      <c r="KKV104" s="531"/>
      <c r="KKW104" s="530"/>
      <c r="KKX104" s="531"/>
      <c r="KKY104" s="530"/>
      <c r="KKZ104" s="531"/>
      <c r="KLA104" s="530"/>
      <c r="KLB104" s="531"/>
      <c r="KLC104" s="530"/>
      <c r="KLD104" s="531"/>
      <c r="KLE104" s="530"/>
      <c r="KLF104" s="531"/>
      <c r="KLG104" s="530"/>
      <c r="KLH104" s="531"/>
      <c r="KLI104" s="530"/>
      <c r="KLJ104" s="531"/>
      <c r="KLK104" s="530"/>
      <c r="KLL104" s="531"/>
      <c r="KLM104" s="530"/>
      <c r="KLN104" s="531"/>
      <c r="KLO104" s="530"/>
      <c r="KLP104" s="531"/>
      <c r="KLQ104" s="530"/>
      <c r="KLR104" s="531"/>
      <c r="KLS104" s="530"/>
      <c r="KLT104" s="531"/>
      <c r="KLU104" s="530"/>
      <c r="KLV104" s="531"/>
      <c r="KLW104" s="530"/>
      <c r="KLX104" s="531"/>
      <c r="KLY104" s="530"/>
      <c r="KLZ104" s="531"/>
      <c r="KMA104" s="530"/>
      <c r="KMB104" s="531"/>
      <c r="KMC104" s="530"/>
      <c r="KMD104" s="531"/>
      <c r="KME104" s="530"/>
      <c r="KMF104" s="531"/>
      <c r="KMG104" s="530"/>
      <c r="KMH104" s="531"/>
      <c r="KMI104" s="530"/>
      <c r="KMJ104" s="531"/>
      <c r="KMK104" s="530"/>
      <c r="KML104" s="531"/>
      <c r="KMM104" s="530"/>
      <c r="KMN104" s="531"/>
      <c r="KMO104" s="530"/>
      <c r="KMP104" s="531"/>
      <c r="KMQ104" s="530"/>
      <c r="KMR104" s="531"/>
      <c r="KMS104" s="530"/>
      <c r="KMT104" s="531"/>
      <c r="KMU104" s="530"/>
      <c r="KMV104" s="531"/>
      <c r="KMW104" s="530"/>
      <c r="KMX104" s="531"/>
      <c r="KMY104" s="530"/>
      <c r="KMZ104" s="531"/>
      <c r="KNA104" s="530"/>
      <c r="KNB104" s="531"/>
      <c r="KNC104" s="530"/>
      <c r="KND104" s="531"/>
      <c r="KNE104" s="530"/>
      <c r="KNF104" s="531"/>
      <c r="KNG104" s="530"/>
      <c r="KNH104" s="531"/>
      <c r="KNI104" s="530"/>
      <c r="KNJ104" s="531"/>
      <c r="KNK104" s="530"/>
      <c r="KNL104" s="531"/>
      <c r="KNM104" s="530"/>
      <c r="KNN104" s="531"/>
      <c r="KNO104" s="530"/>
      <c r="KNP104" s="531"/>
      <c r="KNQ104" s="530"/>
      <c r="KNR104" s="531"/>
      <c r="KNS104" s="530"/>
      <c r="KNT104" s="531"/>
      <c r="KNU104" s="530"/>
      <c r="KNV104" s="531"/>
      <c r="KNW104" s="530"/>
      <c r="KNX104" s="531"/>
      <c r="KNY104" s="530"/>
      <c r="KNZ104" s="531"/>
      <c r="KOA104" s="530"/>
      <c r="KOB104" s="531"/>
      <c r="KOC104" s="530"/>
      <c r="KOD104" s="531"/>
      <c r="KOE104" s="530"/>
      <c r="KOF104" s="531"/>
      <c r="KOG104" s="530"/>
      <c r="KOH104" s="531"/>
      <c r="KOI104" s="530"/>
      <c r="KOJ104" s="531"/>
      <c r="KOK104" s="530"/>
      <c r="KOL104" s="531"/>
      <c r="KOM104" s="530"/>
      <c r="KON104" s="531"/>
      <c r="KOO104" s="530"/>
      <c r="KOP104" s="531"/>
      <c r="KOQ104" s="530"/>
      <c r="KOR104" s="531"/>
      <c r="KOS104" s="530"/>
      <c r="KOT104" s="531"/>
      <c r="KOU104" s="530"/>
      <c r="KOV104" s="531"/>
      <c r="KOW104" s="530"/>
      <c r="KOX104" s="531"/>
      <c r="KOY104" s="530"/>
      <c r="KOZ104" s="531"/>
      <c r="KPA104" s="530"/>
      <c r="KPB104" s="531"/>
      <c r="KPC104" s="530"/>
      <c r="KPD104" s="531"/>
      <c r="KPE104" s="530"/>
      <c r="KPF104" s="531"/>
      <c r="KPG104" s="530"/>
      <c r="KPH104" s="531"/>
      <c r="KPI104" s="530"/>
      <c r="KPJ104" s="531"/>
      <c r="KPK104" s="530"/>
      <c r="KPL104" s="531"/>
      <c r="KPM104" s="530"/>
      <c r="KPN104" s="531"/>
      <c r="KPO104" s="530"/>
      <c r="KPP104" s="531"/>
      <c r="KPQ104" s="530"/>
      <c r="KPR104" s="531"/>
      <c r="KPS104" s="530"/>
      <c r="KPT104" s="531"/>
      <c r="KPU104" s="530"/>
      <c r="KPV104" s="531"/>
      <c r="KPW104" s="530"/>
      <c r="KPX104" s="531"/>
      <c r="KPY104" s="530"/>
      <c r="KPZ104" s="531"/>
      <c r="KQA104" s="530"/>
      <c r="KQB104" s="531"/>
      <c r="KQC104" s="530"/>
      <c r="KQD104" s="531"/>
      <c r="KQE104" s="530"/>
      <c r="KQF104" s="531"/>
      <c r="KQG104" s="530"/>
      <c r="KQH104" s="531"/>
      <c r="KQI104" s="530"/>
      <c r="KQJ104" s="531"/>
      <c r="KQK104" s="530"/>
      <c r="KQL104" s="531"/>
      <c r="KQM104" s="530"/>
      <c r="KQN104" s="531"/>
      <c r="KQO104" s="530"/>
      <c r="KQP104" s="531"/>
      <c r="KQQ104" s="530"/>
      <c r="KQR104" s="531"/>
      <c r="KQS104" s="530"/>
      <c r="KQT104" s="531"/>
      <c r="KQU104" s="530"/>
      <c r="KQV104" s="531"/>
      <c r="KQW104" s="530"/>
      <c r="KQX104" s="531"/>
      <c r="KQY104" s="530"/>
      <c r="KQZ104" s="531"/>
      <c r="KRA104" s="530"/>
      <c r="KRB104" s="531"/>
      <c r="KRC104" s="530"/>
      <c r="KRD104" s="531"/>
      <c r="KRE104" s="530"/>
      <c r="KRF104" s="531"/>
      <c r="KRG104" s="530"/>
      <c r="KRH104" s="531"/>
      <c r="KRI104" s="530"/>
      <c r="KRJ104" s="531"/>
      <c r="KRK104" s="530"/>
      <c r="KRL104" s="531"/>
      <c r="KRM104" s="530"/>
      <c r="KRN104" s="531"/>
      <c r="KRO104" s="530"/>
      <c r="KRP104" s="531"/>
      <c r="KRQ104" s="530"/>
      <c r="KRR104" s="531"/>
      <c r="KRS104" s="530"/>
      <c r="KRT104" s="531"/>
      <c r="KRU104" s="530"/>
      <c r="KRV104" s="531"/>
      <c r="KRW104" s="530"/>
      <c r="KRX104" s="531"/>
      <c r="KRY104" s="530"/>
      <c r="KRZ104" s="531"/>
      <c r="KSA104" s="530"/>
      <c r="KSB104" s="531"/>
      <c r="KSC104" s="530"/>
      <c r="KSD104" s="531"/>
      <c r="KSE104" s="530"/>
      <c r="KSF104" s="531"/>
      <c r="KSG104" s="530"/>
      <c r="KSH104" s="531"/>
      <c r="KSI104" s="530"/>
      <c r="KSJ104" s="531"/>
      <c r="KSK104" s="530"/>
      <c r="KSL104" s="531"/>
      <c r="KSM104" s="530"/>
      <c r="KSN104" s="531"/>
      <c r="KSO104" s="530"/>
      <c r="KSP104" s="531"/>
      <c r="KSQ104" s="530"/>
      <c r="KSR104" s="531"/>
      <c r="KSS104" s="530"/>
      <c r="KST104" s="531"/>
      <c r="KSU104" s="530"/>
      <c r="KSV104" s="531"/>
      <c r="KSW104" s="530"/>
      <c r="KSX104" s="531"/>
      <c r="KSY104" s="530"/>
      <c r="KSZ104" s="531"/>
      <c r="KTA104" s="530"/>
      <c r="KTB104" s="531"/>
      <c r="KTC104" s="530"/>
      <c r="KTD104" s="531"/>
      <c r="KTE104" s="530"/>
      <c r="KTF104" s="531"/>
      <c r="KTG104" s="530"/>
      <c r="KTH104" s="531"/>
      <c r="KTI104" s="530"/>
      <c r="KTJ104" s="531"/>
      <c r="KTK104" s="530"/>
      <c r="KTL104" s="531"/>
      <c r="KTM104" s="530"/>
      <c r="KTN104" s="531"/>
      <c r="KTO104" s="530"/>
      <c r="KTP104" s="531"/>
      <c r="KTQ104" s="530"/>
      <c r="KTR104" s="531"/>
      <c r="KTS104" s="530"/>
      <c r="KTT104" s="531"/>
      <c r="KTU104" s="530"/>
      <c r="KTV104" s="531"/>
      <c r="KTW104" s="530"/>
      <c r="KTX104" s="531"/>
      <c r="KTY104" s="530"/>
      <c r="KTZ104" s="531"/>
      <c r="KUA104" s="530"/>
      <c r="KUB104" s="531"/>
      <c r="KUC104" s="530"/>
      <c r="KUD104" s="531"/>
      <c r="KUE104" s="530"/>
      <c r="KUF104" s="531"/>
      <c r="KUG104" s="530"/>
      <c r="KUH104" s="531"/>
      <c r="KUI104" s="530"/>
      <c r="KUJ104" s="531"/>
      <c r="KUK104" s="530"/>
      <c r="KUL104" s="531"/>
      <c r="KUM104" s="530"/>
      <c r="KUN104" s="531"/>
      <c r="KUO104" s="530"/>
      <c r="KUP104" s="531"/>
      <c r="KUQ104" s="530"/>
      <c r="KUR104" s="531"/>
      <c r="KUS104" s="530"/>
      <c r="KUT104" s="531"/>
      <c r="KUU104" s="530"/>
      <c r="KUV104" s="531"/>
      <c r="KUW104" s="530"/>
      <c r="KUX104" s="531"/>
      <c r="KUY104" s="530"/>
      <c r="KUZ104" s="531"/>
      <c r="KVA104" s="530"/>
      <c r="KVB104" s="531"/>
      <c r="KVC104" s="530"/>
      <c r="KVD104" s="531"/>
      <c r="KVE104" s="530"/>
      <c r="KVF104" s="531"/>
      <c r="KVG104" s="530"/>
      <c r="KVH104" s="531"/>
      <c r="KVI104" s="530"/>
      <c r="KVJ104" s="531"/>
      <c r="KVK104" s="530"/>
      <c r="KVL104" s="531"/>
      <c r="KVM104" s="530"/>
      <c r="KVN104" s="531"/>
      <c r="KVO104" s="530"/>
      <c r="KVP104" s="531"/>
      <c r="KVQ104" s="530"/>
      <c r="KVR104" s="531"/>
      <c r="KVS104" s="530"/>
      <c r="KVT104" s="531"/>
      <c r="KVU104" s="530"/>
      <c r="KVV104" s="531"/>
      <c r="KVW104" s="530"/>
      <c r="KVX104" s="531"/>
      <c r="KVY104" s="530"/>
      <c r="KVZ104" s="531"/>
      <c r="KWA104" s="530"/>
      <c r="KWB104" s="531"/>
      <c r="KWC104" s="530"/>
      <c r="KWD104" s="531"/>
      <c r="KWE104" s="530"/>
      <c r="KWF104" s="531"/>
      <c r="KWG104" s="530"/>
      <c r="KWH104" s="531"/>
      <c r="KWI104" s="530"/>
      <c r="KWJ104" s="531"/>
      <c r="KWK104" s="530"/>
      <c r="KWL104" s="531"/>
      <c r="KWM104" s="530"/>
      <c r="KWN104" s="531"/>
      <c r="KWO104" s="530"/>
      <c r="KWP104" s="531"/>
      <c r="KWQ104" s="530"/>
      <c r="KWR104" s="531"/>
      <c r="KWS104" s="530"/>
      <c r="KWT104" s="531"/>
      <c r="KWU104" s="530"/>
      <c r="KWV104" s="531"/>
      <c r="KWW104" s="530"/>
      <c r="KWX104" s="531"/>
      <c r="KWY104" s="530"/>
      <c r="KWZ104" s="531"/>
      <c r="KXA104" s="530"/>
      <c r="KXB104" s="531"/>
      <c r="KXC104" s="530"/>
      <c r="KXD104" s="531"/>
      <c r="KXE104" s="530"/>
      <c r="KXF104" s="531"/>
      <c r="KXG104" s="530"/>
      <c r="KXH104" s="531"/>
      <c r="KXI104" s="530"/>
      <c r="KXJ104" s="531"/>
      <c r="KXK104" s="530"/>
      <c r="KXL104" s="531"/>
      <c r="KXM104" s="530"/>
      <c r="KXN104" s="531"/>
      <c r="KXO104" s="530"/>
      <c r="KXP104" s="531"/>
      <c r="KXQ104" s="530"/>
      <c r="KXR104" s="531"/>
      <c r="KXS104" s="530"/>
      <c r="KXT104" s="531"/>
      <c r="KXU104" s="530"/>
      <c r="KXV104" s="531"/>
      <c r="KXW104" s="530"/>
      <c r="KXX104" s="531"/>
      <c r="KXY104" s="530"/>
      <c r="KXZ104" s="531"/>
      <c r="KYA104" s="530"/>
      <c r="KYB104" s="531"/>
      <c r="KYC104" s="530"/>
      <c r="KYD104" s="531"/>
      <c r="KYE104" s="530"/>
      <c r="KYF104" s="531"/>
      <c r="KYG104" s="530"/>
      <c r="KYH104" s="531"/>
      <c r="KYI104" s="530"/>
      <c r="KYJ104" s="531"/>
      <c r="KYK104" s="530"/>
      <c r="KYL104" s="531"/>
      <c r="KYM104" s="530"/>
      <c r="KYN104" s="531"/>
      <c r="KYO104" s="530"/>
      <c r="KYP104" s="531"/>
      <c r="KYQ104" s="530"/>
      <c r="KYR104" s="531"/>
      <c r="KYS104" s="530"/>
      <c r="KYT104" s="531"/>
      <c r="KYU104" s="530"/>
      <c r="KYV104" s="531"/>
      <c r="KYW104" s="530"/>
      <c r="KYX104" s="531"/>
      <c r="KYY104" s="530"/>
      <c r="KYZ104" s="531"/>
      <c r="KZA104" s="530"/>
      <c r="KZB104" s="531"/>
      <c r="KZC104" s="530"/>
      <c r="KZD104" s="531"/>
      <c r="KZE104" s="530"/>
      <c r="KZF104" s="531"/>
      <c r="KZG104" s="530"/>
      <c r="KZH104" s="531"/>
      <c r="KZI104" s="530"/>
      <c r="KZJ104" s="531"/>
      <c r="KZK104" s="530"/>
      <c r="KZL104" s="531"/>
      <c r="KZM104" s="530"/>
      <c r="KZN104" s="531"/>
      <c r="KZO104" s="530"/>
      <c r="KZP104" s="531"/>
      <c r="KZQ104" s="530"/>
      <c r="KZR104" s="531"/>
      <c r="KZS104" s="530"/>
      <c r="KZT104" s="531"/>
      <c r="KZU104" s="530"/>
      <c r="KZV104" s="531"/>
      <c r="KZW104" s="530"/>
      <c r="KZX104" s="531"/>
      <c r="KZY104" s="530"/>
      <c r="KZZ104" s="531"/>
      <c r="LAA104" s="530"/>
      <c r="LAB104" s="531"/>
      <c r="LAC104" s="530"/>
      <c r="LAD104" s="531"/>
      <c r="LAE104" s="530"/>
      <c r="LAF104" s="531"/>
      <c r="LAG104" s="530"/>
      <c r="LAH104" s="531"/>
      <c r="LAI104" s="530"/>
      <c r="LAJ104" s="531"/>
      <c r="LAK104" s="530"/>
      <c r="LAL104" s="531"/>
      <c r="LAM104" s="530"/>
      <c r="LAN104" s="531"/>
      <c r="LAO104" s="530"/>
      <c r="LAP104" s="531"/>
      <c r="LAQ104" s="530"/>
      <c r="LAR104" s="531"/>
      <c r="LAS104" s="530"/>
      <c r="LAT104" s="531"/>
      <c r="LAU104" s="530"/>
      <c r="LAV104" s="531"/>
      <c r="LAW104" s="530"/>
      <c r="LAX104" s="531"/>
      <c r="LAY104" s="530"/>
      <c r="LAZ104" s="531"/>
      <c r="LBA104" s="530"/>
      <c r="LBB104" s="531"/>
      <c r="LBC104" s="530"/>
      <c r="LBD104" s="531"/>
      <c r="LBE104" s="530"/>
      <c r="LBF104" s="531"/>
      <c r="LBG104" s="530"/>
      <c r="LBH104" s="531"/>
      <c r="LBI104" s="530"/>
      <c r="LBJ104" s="531"/>
      <c r="LBK104" s="530"/>
      <c r="LBL104" s="531"/>
      <c r="LBM104" s="530"/>
      <c r="LBN104" s="531"/>
      <c r="LBO104" s="530"/>
      <c r="LBP104" s="531"/>
      <c r="LBQ104" s="530"/>
      <c r="LBR104" s="531"/>
      <c r="LBS104" s="530"/>
      <c r="LBT104" s="531"/>
      <c r="LBU104" s="530"/>
      <c r="LBV104" s="531"/>
      <c r="LBW104" s="530"/>
      <c r="LBX104" s="531"/>
      <c r="LBY104" s="530"/>
      <c r="LBZ104" s="531"/>
      <c r="LCA104" s="530"/>
      <c r="LCB104" s="531"/>
      <c r="LCC104" s="530"/>
      <c r="LCD104" s="531"/>
      <c r="LCE104" s="530"/>
      <c r="LCF104" s="531"/>
      <c r="LCG104" s="530"/>
      <c r="LCH104" s="531"/>
      <c r="LCI104" s="530"/>
      <c r="LCJ104" s="531"/>
      <c r="LCK104" s="530"/>
      <c r="LCL104" s="531"/>
      <c r="LCM104" s="530"/>
      <c r="LCN104" s="531"/>
      <c r="LCO104" s="530"/>
      <c r="LCP104" s="531"/>
      <c r="LCQ104" s="530"/>
      <c r="LCR104" s="531"/>
      <c r="LCS104" s="530"/>
      <c r="LCT104" s="531"/>
      <c r="LCU104" s="530"/>
      <c r="LCV104" s="531"/>
      <c r="LCW104" s="530"/>
      <c r="LCX104" s="531"/>
      <c r="LCY104" s="530"/>
      <c r="LCZ104" s="531"/>
      <c r="LDA104" s="530"/>
      <c r="LDB104" s="531"/>
      <c r="LDC104" s="530"/>
      <c r="LDD104" s="531"/>
      <c r="LDE104" s="530"/>
      <c r="LDF104" s="531"/>
      <c r="LDG104" s="530"/>
      <c r="LDH104" s="531"/>
      <c r="LDI104" s="530"/>
      <c r="LDJ104" s="531"/>
      <c r="LDK104" s="530"/>
      <c r="LDL104" s="531"/>
      <c r="LDM104" s="530"/>
      <c r="LDN104" s="531"/>
      <c r="LDO104" s="530"/>
      <c r="LDP104" s="531"/>
      <c r="LDQ104" s="530"/>
      <c r="LDR104" s="531"/>
      <c r="LDS104" s="530"/>
      <c r="LDT104" s="531"/>
      <c r="LDU104" s="530"/>
      <c r="LDV104" s="531"/>
      <c r="LDW104" s="530"/>
      <c r="LDX104" s="531"/>
      <c r="LDY104" s="530"/>
      <c r="LDZ104" s="531"/>
      <c r="LEA104" s="530"/>
      <c r="LEB104" s="531"/>
      <c r="LEC104" s="530"/>
      <c r="LED104" s="531"/>
      <c r="LEE104" s="530"/>
      <c r="LEF104" s="531"/>
      <c r="LEG104" s="530"/>
      <c r="LEH104" s="531"/>
      <c r="LEI104" s="530"/>
      <c r="LEJ104" s="531"/>
      <c r="LEK104" s="530"/>
      <c r="LEL104" s="531"/>
      <c r="LEM104" s="530"/>
      <c r="LEN104" s="531"/>
      <c r="LEO104" s="530"/>
      <c r="LEP104" s="531"/>
      <c r="LEQ104" s="530"/>
      <c r="LER104" s="531"/>
      <c r="LES104" s="530"/>
      <c r="LET104" s="531"/>
      <c r="LEU104" s="530"/>
      <c r="LEV104" s="531"/>
      <c r="LEW104" s="530"/>
      <c r="LEX104" s="531"/>
      <c r="LEY104" s="530"/>
      <c r="LEZ104" s="531"/>
      <c r="LFA104" s="530"/>
      <c r="LFB104" s="531"/>
      <c r="LFC104" s="530"/>
      <c r="LFD104" s="531"/>
      <c r="LFE104" s="530"/>
      <c r="LFF104" s="531"/>
      <c r="LFG104" s="530"/>
      <c r="LFH104" s="531"/>
      <c r="LFI104" s="530"/>
      <c r="LFJ104" s="531"/>
      <c r="LFK104" s="530"/>
      <c r="LFL104" s="531"/>
      <c r="LFM104" s="530"/>
      <c r="LFN104" s="531"/>
      <c r="LFO104" s="530"/>
      <c r="LFP104" s="531"/>
      <c r="LFQ104" s="530"/>
      <c r="LFR104" s="531"/>
      <c r="LFS104" s="530"/>
      <c r="LFT104" s="531"/>
      <c r="LFU104" s="530"/>
      <c r="LFV104" s="531"/>
      <c r="LFW104" s="530"/>
      <c r="LFX104" s="531"/>
      <c r="LFY104" s="530"/>
      <c r="LFZ104" s="531"/>
      <c r="LGA104" s="530"/>
      <c r="LGB104" s="531"/>
      <c r="LGC104" s="530"/>
      <c r="LGD104" s="531"/>
      <c r="LGE104" s="530"/>
      <c r="LGF104" s="531"/>
      <c r="LGG104" s="530"/>
      <c r="LGH104" s="531"/>
      <c r="LGI104" s="530"/>
      <c r="LGJ104" s="531"/>
      <c r="LGK104" s="530"/>
      <c r="LGL104" s="531"/>
      <c r="LGM104" s="530"/>
      <c r="LGN104" s="531"/>
      <c r="LGO104" s="530"/>
      <c r="LGP104" s="531"/>
      <c r="LGQ104" s="530"/>
      <c r="LGR104" s="531"/>
      <c r="LGS104" s="530"/>
      <c r="LGT104" s="531"/>
      <c r="LGU104" s="530"/>
      <c r="LGV104" s="531"/>
      <c r="LGW104" s="530"/>
      <c r="LGX104" s="531"/>
      <c r="LGY104" s="530"/>
      <c r="LGZ104" s="531"/>
      <c r="LHA104" s="530"/>
      <c r="LHB104" s="531"/>
      <c r="LHC104" s="530"/>
      <c r="LHD104" s="531"/>
      <c r="LHE104" s="530"/>
      <c r="LHF104" s="531"/>
      <c r="LHG104" s="530"/>
      <c r="LHH104" s="531"/>
      <c r="LHI104" s="530"/>
      <c r="LHJ104" s="531"/>
      <c r="LHK104" s="530"/>
      <c r="LHL104" s="531"/>
      <c r="LHM104" s="530"/>
      <c r="LHN104" s="531"/>
      <c r="LHO104" s="530"/>
      <c r="LHP104" s="531"/>
      <c r="LHQ104" s="530"/>
      <c r="LHR104" s="531"/>
      <c r="LHS104" s="530"/>
      <c r="LHT104" s="531"/>
      <c r="LHU104" s="530"/>
      <c r="LHV104" s="531"/>
      <c r="LHW104" s="530"/>
      <c r="LHX104" s="531"/>
      <c r="LHY104" s="530"/>
      <c r="LHZ104" s="531"/>
      <c r="LIA104" s="530"/>
      <c r="LIB104" s="531"/>
      <c r="LIC104" s="530"/>
      <c r="LID104" s="531"/>
      <c r="LIE104" s="530"/>
      <c r="LIF104" s="531"/>
      <c r="LIG104" s="530"/>
      <c r="LIH104" s="531"/>
      <c r="LII104" s="530"/>
      <c r="LIJ104" s="531"/>
      <c r="LIK104" s="530"/>
      <c r="LIL104" s="531"/>
      <c r="LIM104" s="530"/>
      <c r="LIN104" s="531"/>
      <c r="LIO104" s="530"/>
      <c r="LIP104" s="531"/>
      <c r="LIQ104" s="530"/>
      <c r="LIR104" s="531"/>
      <c r="LIS104" s="530"/>
      <c r="LIT104" s="531"/>
      <c r="LIU104" s="530"/>
      <c r="LIV104" s="531"/>
      <c r="LIW104" s="530"/>
      <c r="LIX104" s="531"/>
      <c r="LIY104" s="530"/>
      <c r="LIZ104" s="531"/>
      <c r="LJA104" s="530"/>
      <c r="LJB104" s="531"/>
      <c r="LJC104" s="530"/>
      <c r="LJD104" s="531"/>
      <c r="LJE104" s="530"/>
      <c r="LJF104" s="531"/>
      <c r="LJG104" s="530"/>
      <c r="LJH104" s="531"/>
      <c r="LJI104" s="530"/>
      <c r="LJJ104" s="531"/>
      <c r="LJK104" s="530"/>
      <c r="LJL104" s="531"/>
      <c r="LJM104" s="530"/>
      <c r="LJN104" s="531"/>
      <c r="LJO104" s="530"/>
      <c r="LJP104" s="531"/>
      <c r="LJQ104" s="530"/>
      <c r="LJR104" s="531"/>
      <c r="LJS104" s="530"/>
      <c r="LJT104" s="531"/>
      <c r="LJU104" s="530"/>
      <c r="LJV104" s="531"/>
      <c r="LJW104" s="530"/>
      <c r="LJX104" s="531"/>
      <c r="LJY104" s="530"/>
      <c r="LJZ104" s="531"/>
      <c r="LKA104" s="530"/>
      <c r="LKB104" s="531"/>
      <c r="LKC104" s="530"/>
      <c r="LKD104" s="531"/>
      <c r="LKE104" s="530"/>
      <c r="LKF104" s="531"/>
      <c r="LKG104" s="530"/>
      <c r="LKH104" s="531"/>
      <c r="LKI104" s="530"/>
      <c r="LKJ104" s="531"/>
      <c r="LKK104" s="530"/>
      <c r="LKL104" s="531"/>
      <c r="LKM104" s="530"/>
      <c r="LKN104" s="531"/>
      <c r="LKO104" s="530"/>
      <c r="LKP104" s="531"/>
      <c r="LKQ104" s="530"/>
      <c r="LKR104" s="531"/>
      <c r="LKS104" s="530"/>
      <c r="LKT104" s="531"/>
      <c r="LKU104" s="530"/>
      <c r="LKV104" s="531"/>
      <c r="LKW104" s="530"/>
      <c r="LKX104" s="531"/>
      <c r="LKY104" s="530"/>
      <c r="LKZ104" s="531"/>
      <c r="LLA104" s="530"/>
      <c r="LLB104" s="531"/>
      <c r="LLC104" s="530"/>
      <c r="LLD104" s="531"/>
      <c r="LLE104" s="530"/>
      <c r="LLF104" s="531"/>
      <c r="LLG104" s="530"/>
      <c r="LLH104" s="531"/>
      <c r="LLI104" s="530"/>
      <c r="LLJ104" s="531"/>
      <c r="LLK104" s="530"/>
      <c r="LLL104" s="531"/>
      <c r="LLM104" s="530"/>
      <c r="LLN104" s="531"/>
      <c r="LLO104" s="530"/>
      <c r="LLP104" s="531"/>
      <c r="LLQ104" s="530"/>
      <c r="LLR104" s="531"/>
      <c r="LLS104" s="530"/>
      <c r="LLT104" s="531"/>
      <c r="LLU104" s="530"/>
      <c r="LLV104" s="531"/>
      <c r="LLW104" s="530"/>
      <c r="LLX104" s="531"/>
      <c r="LLY104" s="530"/>
      <c r="LLZ104" s="531"/>
      <c r="LMA104" s="530"/>
      <c r="LMB104" s="531"/>
      <c r="LMC104" s="530"/>
      <c r="LMD104" s="531"/>
      <c r="LME104" s="530"/>
      <c r="LMF104" s="531"/>
      <c r="LMG104" s="530"/>
      <c r="LMH104" s="531"/>
      <c r="LMI104" s="530"/>
      <c r="LMJ104" s="531"/>
      <c r="LMK104" s="530"/>
      <c r="LML104" s="531"/>
      <c r="LMM104" s="530"/>
      <c r="LMN104" s="531"/>
      <c r="LMO104" s="530"/>
      <c r="LMP104" s="531"/>
      <c r="LMQ104" s="530"/>
      <c r="LMR104" s="531"/>
      <c r="LMS104" s="530"/>
      <c r="LMT104" s="531"/>
      <c r="LMU104" s="530"/>
      <c r="LMV104" s="531"/>
      <c r="LMW104" s="530"/>
      <c r="LMX104" s="531"/>
      <c r="LMY104" s="530"/>
      <c r="LMZ104" s="531"/>
      <c r="LNA104" s="530"/>
      <c r="LNB104" s="531"/>
      <c r="LNC104" s="530"/>
      <c r="LND104" s="531"/>
      <c r="LNE104" s="530"/>
      <c r="LNF104" s="531"/>
      <c r="LNG104" s="530"/>
      <c r="LNH104" s="531"/>
      <c r="LNI104" s="530"/>
      <c r="LNJ104" s="531"/>
      <c r="LNK104" s="530"/>
      <c r="LNL104" s="531"/>
      <c r="LNM104" s="530"/>
      <c r="LNN104" s="531"/>
      <c r="LNO104" s="530"/>
      <c r="LNP104" s="531"/>
      <c r="LNQ104" s="530"/>
      <c r="LNR104" s="531"/>
      <c r="LNS104" s="530"/>
      <c r="LNT104" s="531"/>
      <c r="LNU104" s="530"/>
      <c r="LNV104" s="531"/>
      <c r="LNW104" s="530"/>
      <c r="LNX104" s="531"/>
      <c r="LNY104" s="530"/>
      <c r="LNZ104" s="531"/>
      <c r="LOA104" s="530"/>
      <c r="LOB104" s="531"/>
      <c r="LOC104" s="530"/>
      <c r="LOD104" s="531"/>
      <c r="LOE104" s="530"/>
      <c r="LOF104" s="531"/>
      <c r="LOG104" s="530"/>
      <c r="LOH104" s="531"/>
      <c r="LOI104" s="530"/>
      <c r="LOJ104" s="531"/>
      <c r="LOK104" s="530"/>
      <c r="LOL104" s="531"/>
      <c r="LOM104" s="530"/>
      <c r="LON104" s="531"/>
      <c r="LOO104" s="530"/>
      <c r="LOP104" s="531"/>
      <c r="LOQ104" s="530"/>
      <c r="LOR104" s="531"/>
      <c r="LOS104" s="530"/>
      <c r="LOT104" s="531"/>
      <c r="LOU104" s="530"/>
      <c r="LOV104" s="531"/>
      <c r="LOW104" s="530"/>
      <c r="LOX104" s="531"/>
      <c r="LOY104" s="530"/>
      <c r="LOZ104" s="531"/>
      <c r="LPA104" s="530"/>
      <c r="LPB104" s="531"/>
      <c r="LPC104" s="530"/>
      <c r="LPD104" s="531"/>
      <c r="LPE104" s="530"/>
      <c r="LPF104" s="531"/>
      <c r="LPG104" s="530"/>
      <c r="LPH104" s="531"/>
      <c r="LPI104" s="530"/>
      <c r="LPJ104" s="531"/>
      <c r="LPK104" s="530"/>
      <c r="LPL104" s="531"/>
      <c r="LPM104" s="530"/>
      <c r="LPN104" s="531"/>
      <c r="LPO104" s="530"/>
      <c r="LPP104" s="531"/>
      <c r="LPQ104" s="530"/>
      <c r="LPR104" s="531"/>
      <c r="LPS104" s="530"/>
      <c r="LPT104" s="531"/>
      <c r="LPU104" s="530"/>
      <c r="LPV104" s="531"/>
      <c r="LPW104" s="530"/>
      <c r="LPX104" s="531"/>
      <c r="LPY104" s="530"/>
      <c r="LPZ104" s="531"/>
      <c r="LQA104" s="530"/>
      <c r="LQB104" s="531"/>
      <c r="LQC104" s="530"/>
      <c r="LQD104" s="531"/>
      <c r="LQE104" s="530"/>
      <c r="LQF104" s="531"/>
      <c r="LQG104" s="530"/>
      <c r="LQH104" s="531"/>
      <c r="LQI104" s="530"/>
      <c r="LQJ104" s="531"/>
      <c r="LQK104" s="530"/>
      <c r="LQL104" s="531"/>
      <c r="LQM104" s="530"/>
      <c r="LQN104" s="531"/>
      <c r="LQO104" s="530"/>
      <c r="LQP104" s="531"/>
      <c r="LQQ104" s="530"/>
      <c r="LQR104" s="531"/>
      <c r="LQS104" s="530"/>
      <c r="LQT104" s="531"/>
      <c r="LQU104" s="530"/>
      <c r="LQV104" s="531"/>
      <c r="LQW104" s="530"/>
      <c r="LQX104" s="531"/>
      <c r="LQY104" s="530"/>
      <c r="LQZ104" s="531"/>
      <c r="LRA104" s="530"/>
      <c r="LRB104" s="531"/>
      <c r="LRC104" s="530"/>
      <c r="LRD104" s="531"/>
      <c r="LRE104" s="530"/>
      <c r="LRF104" s="531"/>
      <c r="LRG104" s="530"/>
      <c r="LRH104" s="531"/>
      <c r="LRI104" s="530"/>
      <c r="LRJ104" s="531"/>
      <c r="LRK104" s="530"/>
      <c r="LRL104" s="531"/>
      <c r="LRM104" s="530"/>
      <c r="LRN104" s="531"/>
      <c r="LRO104" s="530"/>
      <c r="LRP104" s="531"/>
      <c r="LRQ104" s="530"/>
      <c r="LRR104" s="531"/>
      <c r="LRS104" s="530"/>
      <c r="LRT104" s="531"/>
      <c r="LRU104" s="530"/>
      <c r="LRV104" s="531"/>
      <c r="LRW104" s="530"/>
      <c r="LRX104" s="531"/>
      <c r="LRY104" s="530"/>
      <c r="LRZ104" s="531"/>
      <c r="LSA104" s="530"/>
      <c r="LSB104" s="531"/>
      <c r="LSC104" s="530"/>
      <c r="LSD104" s="531"/>
      <c r="LSE104" s="530"/>
      <c r="LSF104" s="531"/>
      <c r="LSG104" s="530"/>
      <c r="LSH104" s="531"/>
      <c r="LSI104" s="530"/>
      <c r="LSJ104" s="531"/>
      <c r="LSK104" s="530"/>
      <c r="LSL104" s="531"/>
      <c r="LSM104" s="530"/>
      <c r="LSN104" s="531"/>
      <c r="LSO104" s="530"/>
      <c r="LSP104" s="531"/>
      <c r="LSQ104" s="530"/>
      <c r="LSR104" s="531"/>
      <c r="LSS104" s="530"/>
      <c r="LST104" s="531"/>
      <c r="LSU104" s="530"/>
      <c r="LSV104" s="531"/>
      <c r="LSW104" s="530"/>
      <c r="LSX104" s="531"/>
      <c r="LSY104" s="530"/>
      <c r="LSZ104" s="531"/>
      <c r="LTA104" s="530"/>
      <c r="LTB104" s="531"/>
      <c r="LTC104" s="530"/>
      <c r="LTD104" s="531"/>
      <c r="LTE104" s="530"/>
      <c r="LTF104" s="531"/>
      <c r="LTG104" s="530"/>
      <c r="LTH104" s="531"/>
      <c r="LTI104" s="530"/>
      <c r="LTJ104" s="531"/>
      <c r="LTK104" s="530"/>
      <c r="LTL104" s="531"/>
      <c r="LTM104" s="530"/>
      <c r="LTN104" s="531"/>
      <c r="LTO104" s="530"/>
      <c r="LTP104" s="531"/>
      <c r="LTQ104" s="530"/>
      <c r="LTR104" s="531"/>
      <c r="LTS104" s="530"/>
      <c r="LTT104" s="531"/>
      <c r="LTU104" s="530"/>
      <c r="LTV104" s="531"/>
      <c r="LTW104" s="530"/>
      <c r="LTX104" s="531"/>
      <c r="LTY104" s="530"/>
      <c r="LTZ104" s="531"/>
      <c r="LUA104" s="530"/>
      <c r="LUB104" s="531"/>
      <c r="LUC104" s="530"/>
      <c r="LUD104" s="531"/>
      <c r="LUE104" s="530"/>
      <c r="LUF104" s="531"/>
      <c r="LUG104" s="530"/>
      <c r="LUH104" s="531"/>
      <c r="LUI104" s="530"/>
      <c r="LUJ104" s="531"/>
      <c r="LUK104" s="530"/>
      <c r="LUL104" s="531"/>
      <c r="LUM104" s="530"/>
      <c r="LUN104" s="531"/>
      <c r="LUO104" s="530"/>
      <c r="LUP104" s="531"/>
      <c r="LUQ104" s="530"/>
      <c r="LUR104" s="531"/>
      <c r="LUS104" s="530"/>
      <c r="LUT104" s="531"/>
      <c r="LUU104" s="530"/>
      <c r="LUV104" s="531"/>
      <c r="LUW104" s="530"/>
      <c r="LUX104" s="531"/>
      <c r="LUY104" s="530"/>
      <c r="LUZ104" s="531"/>
      <c r="LVA104" s="530"/>
      <c r="LVB104" s="531"/>
      <c r="LVC104" s="530"/>
      <c r="LVD104" s="531"/>
      <c r="LVE104" s="530"/>
      <c r="LVF104" s="531"/>
      <c r="LVG104" s="530"/>
      <c r="LVH104" s="531"/>
      <c r="LVI104" s="530"/>
      <c r="LVJ104" s="531"/>
      <c r="LVK104" s="530"/>
      <c r="LVL104" s="531"/>
      <c r="LVM104" s="530"/>
      <c r="LVN104" s="531"/>
      <c r="LVO104" s="530"/>
      <c r="LVP104" s="531"/>
      <c r="LVQ104" s="530"/>
      <c r="LVR104" s="531"/>
      <c r="LVS104" s="530"/>
      <c r="LVT104" s="531"/>
      <c r="LVU104" s="530"/>
      <c r="LVV104" s="531"/>
      <c r="LVW104" s="530"/>
      <c r="LVX104" s="531"/>
      <c r="LVY104" s="530"/>
      <c r="LVZ104" s="531"/>
      <c r="LWA104" s="530"/>
      <c r="LWB104" s="531"/>
      <c r="LWC104" s="530"/>
      <c r="LWD104" s="531"/>
      <c r="LWE104" s="530"/>
      <c r="LWF104" s="531"/>
      <c r="LWG104" s="530"/>
      <c r="LWH104" s="531"/>
      <c r="LWI104" s="530"/>
      <c r="LWJ104" s="531"/>
      <c r="LWK104" s="530"/>
      <c r="LWL104" s="531"/>
      <c r="LWM104" s="530"/>
      <c r="LWN104" s="531"/>
      <c r="LWO104" s="530"/>
      <c r="LWP104" s="531"/>
      <c r="LWQ104" s="530"/>
      <c r="LWR104" s="531"/>
      <c r="LWS104" s="530"/>
      <c r="LWT104" s="531"/>
      <c r="LWU104" s="530"/>
      <c r="LWV104" s="531"/>
      <c r="LWW104" s="530"/>
      <c r="LWX104" s="531"/>
      <c r="LWY104" s="530"/>
      <c r="LWZ104" s="531"/>
      <c r="LXA104" s="530"/>
      <c r="LXB104" s="531"/>
      <c r="LXC104" s="530"/>
      <c r="LXD104" s="531"/>
      <c r="LXE104" s="530"/>
      <c r="LXF104" s="531"/>
      <c r="LXG104" s="530"/>
      <c r="LXH104" s="531"/>
      <c r="LXI104" s="530"/>
      <c r="LXJ104" s="531"/>
      <c r="LXK104" s="530"/>
      <c r="LXL104" s="531"/>
      <c r="LXM104" s="530"/>
      <c r="LXN104" s="531"/>
      <c r="LXO104" s="530"/>
      <c r="LXP104" s="531"/>
      <c r="LXQ104" s="530"/>
      <c r="LXR104" s="531"/>
      <c r="LXS104" s="530"/>
      <c r="LXT104" s="531"/>
      <c r="LXU104" s="530"/>
      <c r="LXV104" s="531"/>
      <c r="LXW104" s="530"/>
      <c r="LXX104" s="531"/>
      <c r="LXY104" s="530"/>
      <c r="LXZ104" s="531"/>
      <c r="LYA104" s="530"/>
      <c r="LYB104" s="531"/>
      <c r="LYC104" s="530"/>
      <c r="LYD104" s="531"/>
      <c r="LYE104" s="530"/>
      <c r="LYF104" s="531"/>
      <c r="LYG104" s="530"/>
      <c r="LYH104" s="531"/>
      <c r="LYI104" s="530"/>
      <c r="LYJ104" s="531"/>
      <c r="LYK104" s="530"/>
      <c r="LYL104" s="531"/>
      <c r="LYM104" s="530"/>
      <c r="LYN104" s="531"/>
      <c r="LYO104" s="530"/>
      <c r="LYP104" s="531"/>
      <c r="LYQ104" s="530"/>
      <c r="LYR104" s="531"/>
      <c r="LYS104" s="530"/>
      <c r="LYT104" s="531"/>
      <c r="LYU104" s="530"/>
      <c r="LYV104" s="531"/>
      <c r="LYW104" s="530"/>
      <c r="LYX104" s="531"/>
      <c r="LYY104" s="530"/>
      <c r="LYZ104" s="531"/>
      <c r="LZA104" s="530"/>
      <c r="LZB104" s="531"/>
      <c r="LZC104" s="530"/>
      <c r="LZD104" s="531"/>
      <c r="LZE104" s="530"/>
      <c r="LZF104" s="531"/>
      <c r="LZG104" s="530"/>
      <c r="LZH104" s="531"/>
      <c r="LZI104" s="530"/>
      <c r="LZJ104" s="531"/>
      <c r="LZK104" s="530"/>
      <c r="LZL104" s="531"/>
      <c r="LZM104" s="530"/>
      <c r="LZN104" s="531"/>
      <c r="LZO104" s="530"/>
      <c r="LZP104" s="531"/>
      <c r="LZQ104" s="530"/>
      <c r="LZR104" s="531"/>
      <c r="LZS104" s="530"/>
      <c r="LZT104" s="531"/>
      <c r="LZU104" s="530"/>
      <c r="LZV104" s="531"/>
      <c r="LZW104" s="530"/>
      <c r="LZX104" s="531"/>
      <c r="LZY104" s="530"/>
      <c r="LZZ104" s="531"/>
      <c r="MAA104" s="530"/>
      <c r="MAB104" s="531"/>
      <c r="MAC104" s="530"/>
      <c r="MAD104" s="531"/>
      <c r="MAE104" s="530"/>
      <c r="MAF104" s="531"/>
      <c r="MAG104" s="530"/>
      <c r="MAH104" s="531"/>
      <c r="MAI104" s="530"/>
      <c r="MAJ104" s="531"/>
      <c r="MAK104" s="530"/>
      <c r="MAL104" s="531"/>
      <c r="MAM104" s="530"/>
      <c r="MAN104" s="531"/>
      <c r="MAO104" s="530"/>
      <c r="MAP104" s="531"/>
      <c r="MAQ104" s="530"/>
      <c r="MAR104" s="531"/>
      <c r="MAS104" s="530"/>
      <c r="MAT104" s="531"/>
      <c r="MAU104" s="530"/>
      <c r="MAV104" s="531"/>
      <c r="MAW104" s="530"/>
      <c r="MAX104" s="531"/>
      <c r="MAY104" s="530"/>
      <c r="MAZ104" s="531"/>
      <c r="MBA104" s="530"/>
      <c r="MBB104" s="531"/>
      <c r="MBC104" s="530"/>
      <c r="MBD104" s="531"/>
      <c r="MBE104" s="530"/>
      <c r="MBF104" s="531"/>
      <c r="MBG104" s="530"/>
      <c r="MBH104" s="531"/>
      <c r="MBI104" s="530"/>
      <c r="MBJ104" s="531"/>
      <c r="MBK104" s="530"/>
      <c r="MBL104" s="531"/>
      <c r="MBM104" s="530"/>
      <c r="MBN104" s="531"/>
      <c r="MBO104" s="530"/>
      <c r="MBP104" s="531"/>
      <c r="MBQ104" s="530"/>
      <c r="MBR104" s="531"/>
      <c r="MBS104" s="530"/>
      <c r="MBT104" s="531"/>
      <c r="MBU104" s="530"/>
      <c r="MBV104" s="531"/>
      <c r="MBW104" s="530"/>
      <c r="MBX104" s="531"/>
      <c r="MBY104" s="530"/>
      <c r="MBZ104" s="531"/>
      <c r="MCA104" s="530"/>
      <c r="MCB104" s="531"/>
      <c r="MCC104" s="530"/>
      <c r="MCD104" s="531"/>
      <c r="MCE104" s="530"/>
      <c r="MCF104" s="531"/>
      <c r="MCG104" s="530"/>
      <c r="MCH104" s="531"/>
      <c r="MCI104" s="530"/>
      <c r="MCJ104" s="531"/>
      <c r="MCK104" s="530"/>
      <c r="MCL104" s="531"/>
      <c r="MCM104" s="530"/>
      <c r="MCN104" s="531"/>
      <c r="MCO104" s="530"/>
      <c r="MCP104" s="531"/>
      <c r="MCQ104" s="530"/>
      <c r="MCR104" s="531"/>
      <c r="MCS104" s="530"/>
      <c r="MCT104" s="531"/>
      <c r="MCU104" s="530"/>
      <c r="MCV104" s="531"/>
      <c r="MCW104" s="530"/>
      <c r="MCX104" s="531"/>
      <c r="MCY104" s="530"/>
      <c r="MCZ104" s="531"/>
      <c r="MDA104" s="530"/>
      <c r="MDB104" s="531"/>
      <c r="MDC104" s="530"/>
      <c r="MDD104" s="531"/>
      <c r="MDE104" s="530"/>
      <c r="MDF104" s="531"/>
      <c r="MDG104" s="530"/>
      <c r="MDH104" s="531"/>
      <c r="MDI104" s="530"/>
      <c r="MDJ104" s="531"/>
      <c r="MDK104" s="530"/>
      <c r="MDL104" s="531"/>
      <c r="MDM104" s="530"/>
      <c r="MDN104" s="531"/>
      <c r="MDO104" s="530"/>
      <c r="MDP104" s="531"/>
      <c r="MDQ104" s="530"/>
      <c r="MDR104" s="531"/>
      <c r="MDS104" s="530"/>
      <c r="MDT104" s="531"/>
      <c r="MDU104" s="530"/>
      <c r="MDV104" s="531"/>
      <c r="MDW104" s="530"/>
      <c r="MDX104" s="531"/>
      <c r="MDY104" s="530"/>
      <c r="MDZ104" s="531"/>
      <c r="MEA104" s="530"/>
      <c r="MEB104" s="531"/>
      <c r="MEC104" s="530"/>
      <c r="MED104" s="531"/>
      <c r="MEE104" s="530"/>
      <c r="MEF104" s="531"/>
      <c r="MEG104" s="530"/>
      <c r="MEH104" s="531"/>
      <c r="MEI104" s="530"/>
      <c r="MEJ104" s="531"/>
      <c r="MEK104" s="530"/>
      <c r="MEL104" s="531"/>
      <c r="MEM104" s="530"/>
      <c r="MEN104" s="531"/>
      <c r="MEO104" s="530"/>
      <c r="MEP104" s="531"/>
      <c r="MEQ104" s="530"/>
      <c r="MER104" s="531"/>
      <c r="MES104" s="530"/>
      <c r="MET104" s="531"/>
      <c r="MEU104" s="530"/>
      <c r="MEV104" s="531"/>
      <c r="MEW104" s="530"/>
      <c r="MEX104" s="531"/>
      <c r="MEY104" s="530"/>
      <c r="MEZ104" s="531"/>
      <c r="MFA104" s="530"/>
      <c r="MFB104" s="531"/>
      <c r="MFC104" s="530"/>
      <c r="MFD104" s="531"/>
      <c r="MFE104" s="530"/>
      <c r="MFF104" s="531"/>
      <c r="MFG104" s="530"/>
      <c r="MFH104" s="531"/>
      <c r="MFI104" s="530"/>
      <c r="MFJ104" s="531"/>
      <c r="MFK104" s="530"/>
      <c r="MFL104" s="531"/>
      <c r="MFM104" s="530"/>
      <c r="MFN104" s="531"/>
      <c r="MFO104" s="530"/>
      <c r="MFP104" s="531"/>
      <c r="MFQ104" s="530"/>
      <c r="MFR104" s="531"/>
      <c r="MFS104" s="530"/>
      <c r="MFT104" s="531"/>
      <c r="MFU104" s="530"/>
      <c r="MFV104" s="531"/>
      <c r="MFW104" s="530"/>
      <c r="MFX104" s="531"/>
      <c r="MFY104" s="530"/>
      <c r="MFZ104" s="531"/>
      <c r="MGA104" s="530"/>
      <c r="MGB104" s="531"/>
      <c r="MGC104" s="530"/>
      <c r="MGD104" s="531"/>
      <c r="MGE104" s="530"/>
      <c r="MGF104" s="531"/>
      <c r="MGG104" s="530"/>
      <c r="MGH104" s="531"/>
      <c r="MGI104" s="530"/>
      <c r="MGJ104" s="531"/>
      <c r="MGK104" s="530"/>
      <c r="MGL104" s="531"/>
      <c r="MGM104" s="530"/>
      <c r="MGN104" s="531"/>
      <c r="MGO104" s="530"/>
      <c r="MGP104" s="531"/>
      <c r="MGQ104" s="530"/>
      <c r="MGR104" s="531"/>
      <c r="MGS104" s="530"/>
      <c r="MGT104" s="531"/>
      <c r="MGU104" s="530"/>
      <c r="MGV104" s="531"/>
      <c r="MGW104" s="530"/>
      <c r="MGX104" s="531"/>
      <c r="MGY104" s="530"/>
      <c r="MGZ104" s="531"/>
      <c r="MHA104" s="530"/>
      <c r="MHB104" s="531"/>
      <c r="MHC104" s="530"/>
      <c r="MHD104" s="531"/>
      <c r="MHE104" s="530"/>
      <c r="MHF104" s="531"/>
      <c r="MHG104" s="530"/>
      <c r="MHH104" s="531"/>
      <c r="MHI104" s="530"/>
      <c r="MHJ104" s="531"/>
      <c r="MHK104" s="530"/>
      <c r="MHL104" s="531"/>
      <c r="MHM104" s="530"/>
      <c r="MHN104" s="531"/>
      <c r="MHO104" s="530"/>
      <c r="MHP104" s="531"/>
      <c r="MHQ104" s="530"/>
      <c r="MHR104" s="531"/>
      <c r="MHS104" s="530"/>
      <c r="MHT104" s="531"/>
      <c r="MHU104" s="530"/>
      <c r="MHV104" s="531"/>
      <c r="MHW104" s="530"/>
      <c r="MHX104" s="531"/>
      <c r="MHY104" s="530"/>
      <c r="MHZ104" s="531"/>
      <c r="MIA104" s="530"/>
      <c r="MIB104" s="531"/>
      <c r="MIC104" s="530"/>
      <c r="MID104" s="531"/>
      <c r="MIE104" s="530"/>
      <c r="MIF104" s="531"/>
      <c r="MIG104" s="530"/>
      <c r="MIH104" s="531"/>
      <c r="MII104" s="530"/>
      <c r="MIJ104" s="531"/>
      <c r="MIK104" s="530"/>
      <c r="MIL104" s="531"/>
      <c r="MIM104" s="530"/>
      <c r="MIN104" s="531"/>
      <c r="MIO104" s="530"/>
      <c r="MIP104" s="531"/>
      <c r="MIQ104" s="530"/>
      <c r="MIR104" s="531"/>
      <c r="MIS104" s="530"/>
      <c r="MIT104" s="531"/>
      <c r="MIU104" s="530"/>
      <c r="MIV104" s="531"/>
      <c r="MIW104" s="530"/>
      <c r="MIX104" s="531"/>
      <c r="MIY104" s="530"/>
      <c r="MIZ104" s="531"/>
      <c r="MJA104" s="530"/>
      <c r="MJB104" s="531"/>
      <c r="MJC104" s="530"/>
      <c r="MJD104" s="531"/>
      <c r="MJE104" s="530"/>
      <c r="MJF104" s="531"/>
      <c r="MJG104" s="530"/>
      <c r="MJH104" s="531"/>
      <c r="MJI104" s="530"/>
      <c r="MJJ104" s="531"/>
      <c r="MJK104" s="530"/>
      <c r="MJL104" s="531"/>
      <c r="MJM104" s="530"/>
      <c r="MJN104" s="531"/>
      <c r="MJO104" s="530"/>
      <c r="MJP104" s="531"/>
      <c r="MJQ104" s="530"/>
      <c r="MJR104" s="531"/>
      <c r="MJS104" s="530"/>
      <c r="MJT104" s="531"/>
      <c r="MJU104" s="530"/>
      <c r="MJV104" s="531"/>
      <c r="MJW104" s="530"/>
      <c r="MJX104" s="531"/>
      <c r="MJY104" s="530"/>
      <c r="MJZ104" s="531"/>
      <c r="MKA104" s="530"/>
      <c r="MKB104" s="531"/>
      <c r="MKC104" s="530"/>
      <c r="MKD104" s="531"/>
      <c r="MKE104" s="530"/>
      <c r="MKF104" s="531"/>
      <c r="MKG104" s="530"/>
      <c r="MKH104" s="531"/>
      <c r="MKI104" s="530"/>
      <c r="MKJ104" s="531"/>
      <c r="MKK104" s="530"/>
      <c r="MKL104" s="531"/>
      <c r="MKM104" s="530"/>
      <c r="MKN104" s="531"/>
      <c r="MKO104" s="530"/>
      <c r="MKP104" s="531"/>
      <c r="MKQ104" s="530"/>
      <c r="MKR104" s="531"/>
      <c r="MKS104" s="530"/>
      <c r="MKT104" s="531"/>
      <c r="MKU104" s="530"/>
      <c r="MKV104" s="531"/>
      <c r="MKW104" s="530"/>
      <c r="MKX104" s="531"/>
      <c r="MKY104" s="530"/>
      <c r="MKZ104" s="531"/>
      <c r="MLA104" s="530"/>
      <c r="MLB104" s="531"/>
      <c r="MLC104" s="530"/>
      <c r="MLD104" s="531"/>
      <c r="MLE104" s="530"/>
      <c r="MLF104" s="531"/>
      <c r="MLG104" s="530"/>
      <c r="MLH104" s="531"/>
      <c r="MLI104" s="530"/>
      <c r="MLJ104" s="531"/>
      <c r="MLK104" s="530"/>
      <c r="MLL104" s="531"/>
      <c r="MLM104" s="530"/>
      <c r="MLN104" s="531"/>
      <c r="MLO104" s="530"/>
      <c r="MLP104" s="531"/>
      <c r="MLQ104" s="530"/>
      <c r="MLR104" s="531"/>
      <c r="MLS104" s="530"/>
      <c r="MLT104" s="531"/>
      <c r="MLU104" s="530"/>
      <c r="MLV104" s="531"/>
      <c r="MLW104" s="530"/>
      <c r="MLX104" s="531"/>
      <c r="MLY104" s="530"/>
      <c r="MLZ104" s="531"/>
      <c r="MMA104" s="530"/>
      <c r="MMB104" s="531"/>
      <c r="MMC104" s="530"/>
      <c r="MMD104" s="531"/>
      <c r="MME104" s="530"/>
      <c r="MMF104" s="531"/>
      <c r="MMG104" s="530"/>
      <c r="MMH104" s="531"/>
      <c r="MMI104" s="530"/>
      <c r="MMJ104" s="531"/>
      <c r="MMK104" s="530"/>
      <c r="MML104" s="531"/>
      <c r="MMM104" s="530"/>
      <c r="MMN104" s="531"/>
      <c r="MMO104" s="530"/>
      <c r="MMP104" s="531"/>
      <c r="MMQ104" s="530"/>
      <c r="MMR104" s="531"/>
      <c r="MMS104" s="530"/>
      <c r="MMT104" s="531"/>
      <c r="MMU104" s="530"/>
      <c r="MMV104" s="531"/>
      <c r="MMW104" s="530"/>
      <c r="MMX104" s="531"/>
      <c r="MMY104" s="530"/>
      <c r="MMZ104" s="531"/>
      <c r="MNA104" s="530"/>
      <c r="MNB104" s="531"/>
      <c r="MNC104" s="530"/>
      <c r="MND104" s="531"/>
      <c r="MNE104" s="530"/>
      <c r="MNF104" s="531"/>
      <c r="MNG104" s="530"/>
      <c r="MNH104" s="531"/>
      <c r="MNI104" s="530"/>
      <c r="MNJ104" s="531"/>
      <c r="MNK104" s="530"/>
      <c r="MNL104" s="531"/>
      <c r="MNM104" s="530"/>
      <c r="MNN104" s="531"/>
      <c r="MNO104" s="530"/>
      <c r="MNP104" s="531"/>
      <c r="MNQ104" s="530"/>
      <c r="MNR104" s="531"/>
      <c r="MNS104" s="530"/>
      <c r="MNT104" s="531"/>
      <c r="MNU104" s="530"/>
      <c r="MNV104" s="531"/>
      <c r="MNW104" s="530"/>
      <c r="MNX104" s="531"/>
      <c r="MNY104" s="530"/>
      <c r="MNZ104" s="531"/>
      <c r="MOA104" s="530"/>
      <c r="MOB104" s="531"/>
      <c r="MOC104" s="530"/>
      <c r="MOD104" s="531"/>
      <c r="MOE104" s="530"/>
      <c r="MOF104" s="531"/>
      <c r="MOG104" s="530"/>
      <c r="MOH104" s="531"/>
      <c r="MOI104" s="530"/>
      <c r="MOJ104" s="531"/>
      <c r="MOK104" s="530"/>
      <c r="MOL104" s="531"/>
      <c r="MOM104" s="530"/>
      <c r="MON104" s="531"/>
      <c r="MOO104" s="530"/>
      <c r="MOP104" s="531"/>
      <c r="MOQ104" s="530"/>
      <c r="MOR104" s="531"/>
      <c r="MOS104" s="530"/>
      <c r="MOT104" s="531"/>
      <c r="MOU104" s="530"/>
      <c r="MOV104" s="531"/>
      <c r="MOW104" s="530"/>
      <c r="MOX104" s="531"/>
      <c r="MOY104" s="530"/>
      <c r="MOZ104" s="531"/>
      <c r="MPA104" s="530"/>
      <c r="MPB104" s="531"/>
      <c r="MPC104" s="530"/>
      <c r="MPD104" s="531"/>
      <c r="MPE104" s="530"/>
      <c r="MPF104" s="531"/>
      <c r="MPG104" s="530"/>
      <c r="MPH104" s="531"/>
      <c r="MPI104" s="530"/>
      <c r="MPJ104" s="531"/>
      <c r="MPK104" s="530"/>
      <c r="MPL104" s="531"/>
      <c r="MPM104" s="530"/>
      <c r="MPN104" s="531"/>
      <c r="MPO104" s="530"/>
      <c r="MPP104" s="531"/>
      <c r="MPQ104" s="530"/>
      <c r="MPR104" s="531"/>
      <c r="MPS104" s="530"/>
      <c r="MPT104" s="531"/>
      <c r="MPU104" s="530"/>
      <c r="MPV104" s="531"/>
      <c r="MPW104" s="530"/>
      <c r="MPX104" s="531"/>
      <c r="MPY104" s="530"/>
      <c r="MPZ104" s="531"/>
      <c r="MQA104" s="530"/>
      <c r="MQB104" s="531"/>
      <c r="MQC104" s="530"/>
      <c r="MQD104" s="531"/>
      <c r="MQE104" s="530"/>
      <c r="MQF104" s="531"/>
      <c r="MQG104" s="530"/>
      <c r="MQH104" s="531"/>
      <c r="MQI104" s="530"/>
      <c r="MQJ104" s="531"/>
      <c r="MQK104" s="530"/>
      <c r="MQL104" s="531"/>
      <c r="MQM104" s="530"/>
      <c r="MQN104" s="531"/>
      <c r="MQO104" s="530"/>
      <c r="MQP104" s="531"/>
      <c r="MQQ104" s="530"/>
      <c r="MQR104" s="531"/>
      <c r="MQS104" s="530"/>
      <c r="MQT104" s="531"/>
      <c r="MQU104" s="530"/>
      <c r="MQV104" s="531"/>
      <c r="MQW104" s="530"/>
      <c r="MQX104" s="531"/>
      <c r="MQY104" s="530"/>
      <c r="MQZ104" s="531"/>
      <c r="MRA104" s="530"/>
      <c r="MRB104" s="531"/>
      <c r="MRC104" s="530"/>
      <c r="MRD104" s="531"/>
      <c r="MRE104" s="530"/>
      <c r="MRF104" s="531"/>
      <c r="MRG104" s="530"/>
      <c r="MRH104" s="531"/>
      <c r="MRI104" s="530"/>
      <c r="MRJ104" s="531"/>
      <c r="MRK104" s="530"/>
      <c r="MRL104" s="531"/>
      <c r="MRM104" s="530"/>
      <c r="MRN104" s="531"/>
      <c r="MRO104" s="530"/>
      <c r="MRP104" s="531"/>
      <c r="MRQ104" s="530"/>
      <c r="MRR104" s="531"/>
      <c r="MRS104" s="530"/>
      <c r="MRT104" s="531"/>
      <c r="MRU104" s="530"/>
      <c r="MRV104" s="531"/>
      <c r="MRW104" s="530"/>
      <c r="MRX104" s="531"/>
      <c r="MRY104" s="530"/>
      <c r="MRZ104" s="531"/>
      <c r="MSA104" s="530"/>
      <c r="MSB104" s="531"/>
      <c r="MSC104" s="530"/>
      <c r="MSD104" s="531"/>
      <c r="MSE104" s="530"/>
      <c r="MSF104" s="531"/>
      <c r="MSG104" s="530"/>
      <c r="MSH104" s="531"/>
      <c r="MSI104" s="530"/>
      <c r="MSJ104" s="531"/>
      <c r="MSK104" s="530"/>
      <c r="MSL104" s="531"/>
      <c r="MSM104" s="530"/>
      <c r="MSN104" s="531"/>
      <c r="MSO104" s="530"/>
      <c r="MSP104" s="531"/>
      <c r="MSQ104" s="530"/>
      <c r="MSR104" s="531"/>
      <c r="MSS104" s="530"/>
      <c r="MST104" s="531"/>
      <c r="MSU104" s="530"/>
      <c r="MSV104" s="531"/>
      <c r="MSW104" s="530"/>
      <c r="MSX104" s="531"/>
      <c r="MSY104" s="530"/>
      <c r="MSZ104" s="531"/>
      <c r="MTA104" s="530"/>
      <c r="MTB104" s="531"/>
      <c r="MTC104" s="530"/>
      <c r="MTD104" s="531"/>
      <c r="MTE104" s="530"/>
      <c r="MTF104" s="531"/>
      <c r="MTG104" s="530"/>
      <c r="MTH104" s="531"/>
      <c r="MTI104" s="530"/>
      <c r="MTJ104" s="531"/>
      <c r="MTK104" s="530"/>
      <c r="MTL104" s="531"/>
      <c r="MTM104" s="530"/>
      <c r="MTN104" s="531"/>
      <c r="MTO104" s="530"/>
      <c r="MTP104" s="531"/>
      <c r="MTQ104" s="530"/>
      <c r="MTR104" s="531"/>
      <c r="MTS104" s="530"/>
      <c r="MTT104" s="531"/>
      <c r="MTU104" s="530"/>
      <c r="MTV104" s="531"/>
      <c r="MTW104" s="530"/>
      <c r="MTX104" s="531"/>
      <c r="MTY104" s="530"/>
      <c r="MTZ104" s="531"/>
      <c r="MUA104" s="530"/>
      <c r="MUB104" s="531"/>
      <c r="MUC104" s="530"/>
      <c r="MUD104" s="531"/>
      <c r="MUE104" s="530"/>
      <c r="MUF104" s="531"/>
      <c r="MUG104" s="530"/>
      <c r="MUH104" s="531"/>
      <c r="MUI104" s="530"/>
      <c r="MUJ104" s="531"/>
      <c r="MUK104" s="530"/>
      <c r="MUL104" s="531"/>
      <c r="MUM104" s="530"/>
      <c r="MUN104" s="531"/>
      <c r="MUO104" s="530"/>
      <c r="MUP104" s="531"/>
      <c r="MUQ104" s="530"/>
      <c r="MUR104" s="531"/>
      <c r="MUS104" s="530"/>
      <c r="MUT104" s="531"/>
      <c r="MUU104" s="530"/>
      <c r="MUV104" s="531"/>
      <c r="MUW104" s="530"/>
      <c r="MUX104" s="531"/>
      <c r="MUY104" s="530"/>
      <c r="MUZ104" s="531"/>
      <c r="MVA104" s="530"/>
      <c r="MVB104" s="531"/>
      <c r="MVC104" s="530"/>
      <c r="MVD104" s="531"/>
      <c r="MVE104" s="530"/>
      <c r="MVF104" s="531"/>
      <c r="MVG104" s="530"/>
      <c r="MVH104" s="531"/>
      <c r="MVI104" s="530"/>
      <c r="MVJ104" s="531"/>
      <c r="MVK104" s="530"/>
      <c r="MVL104" s="531"/>
      <c r="MVM104" s="530"/>
      <c r="MVN104" s="531"/>
      <c r="MVO104" s="530"/>
      <c r="MVP104" s="531"/>
      <c r="MVQ104" s="530"/>
      <c r="MVR104" s="531"/>
      <c r="MVS104" s="530"/>
      <c r="MVT104" s="531"/>
      <c r="MVU104" s="530"/>
      <c r="MVV104" s="531"/>
      <c r="MVW104" s="530"/>
      <c r="MVX104" s="531"/>
      <c r="MVY104" s="530"/>
      <c r="MVZ104" s="531"/>
      <c r="MWA104" s="530"/>
      <c r="MWB104" s="531"/>
      <c r="MWC104" s="530"/>
      <c r="MWD104" s="531"/>
      <c r="MWE104" s="530"/>
      <c r="MWF104" s="531"/>
      <c r="MWG104" s="530"/>
      <c r="MWH104" s="531"/>
      <c r="MWI104" s="530"/>
      <c r="MWJ104" s="531"/>
      <c r="MWK104" s="530"/>
      <c r="MWL104" s="531"/>
      <c r="MWM104" s="530"/>
      <c r="MWN104" s="531"/>
      <c r="MWO104" s="530"/>
      <c r="MWP104" s="531"/>
      <c r="MWQ104" s="530"/>
      <c r="MWR104" s="531"/>
      <c r="MWS104" s="530"/>
      <c r="MWT104" s="531"/>
      <c r="MWU104" s="530"/>
      <c r="MWV104" s="531"/>
      <c r="MWW104" s="530"/>
      <c r="MWX104" s="531"/>
      <c r="MWY104" s="530"/>
      <c r="MWZ104" s="531"/>
      <c r="MXA104" s="530"/>
      <c r="MXB104" s="531"/>
      <c r="MXC104" s="530"/>
      <c r="MXD104" s="531"/>
      <c r="MXE104" s="530"/>
      <c r="MXF104" s="531"/>
      <c r="MXG104" s="530"/>
      <c r="MXH104" s="531"/>
      <c r="MXI104" s="530"/>
      <c r="MXJ104" s="531"/>
      <c r="MXK104" s="530"/>
      <c r="MXL104" s="531"/>
      <c r="MXM104" s="530"/>
      <c r="MXN104" s="531"/>
      <c r="MXO104" s="530"/>
      <c r="MXP104" s="531"/>
      <c r="MXQ104" s="530"/>
      <c r="MXR104" s="531"/>
      <c r="MXS104" s="530"/>
      <c r="MXT104" s="531"/>
      <c r="MXU104" s="530"/>
      <c r="MXV104" s="531"/>
      <c r="MXW104" s="530"/>
      <c r="MXX104" s="531"/>
      <c r="MXY104" s="530"/>
      <c r="MXZ104" s="531"/>
      <c r="MYA104" s="530"/>
      <c r="MYB104" s="531"/>
      <c r="MYC104" s="530"/>
      <c r="MYD104" s="531"/>
      <c r="MYE104" s="530"/>
      <c r="MYF104" s="531"/>
      <c r="MYG104" s="530"/>
      <c r="MYH104" s="531"/>
      <c r="MYI104" s="530"/>
      <c r="MYJ104" s="531"/>
      <c r="MYK104" s="530"/>
      <c r="MYL104" s="531"/>
      <c r="MYM104" s="530"/>
      <c r="MYN104" s="531"/>
      <c r="MYO104" s="530"/>
      <c r="MYP104" s="531"/>
      <c r="MYQ104" s="530"/>
      <c r="MYR104" s="531"/>
      <c r="MYS104" s="530"/>
      <c r="MYT104" s="531"/>
      <c r="MYU104" s="530"/>
      <c r="MYV104" s="531"/>
      <c r="MYW104" s="530"/>
      <c r="MYX104" s="531"/>
      <c r="MYY104" s="530"/>
      <c r="MYZ104" s="531"/>
      <c r="MZA104" s="530"/>
      <c r="MZB104" s="531"/>
      <c r="MZC104" s="530"/>
      <c r="MZD104" s="531"/>
      <c r="MZE104" s="530"/>
      <c r="MZF104" s="531"/>
      <c r="MZG104" s="530"/>
      <c r="MZH104" s="531"/>
      <c r="MZI104" s="530"/>
      <c r="MZJ104" s="531"/>
      <c r="MZK104" s="530"/>
      <c r="MZL104" s="531"/>
      <c r="MZM104" s="530"/>
      <c r="MZN104" s="531"/>
      <c r="MZO104" s="530"/>
      <c r="MZP104" s="531"/>
      <c r="MZQ104" s="530"/>
      <c r="MZR104" s="531"/>
      <c r="MZS104" s="530"/>
      <c r="MZT104" s="531"/>
      <c r="MZU104" s="530"/>
      <c r="MZV104" s="531"/>
      <c r="MZW104" s="530"/>
      <c r="MZX104" s="531"/>
      <c r="MZY104" s="530"/>
      <c r="MZZ104" s="531"/>
      <c r="NAA104" s="530"/>
      <c r="NAB104" s="531"/>
      <c r="NAC104" s="530"/>
      <c r="NAD104" s="531"/>
      <c r="NAE104" s="530"/>
      <c r="NAF104" s="531"/>
      <c r="NAG104" s="530"/>
      <c r="NAH104" s="531"/>
      <c r="NAI104" s="530"/>
      <c r="NAJ104" s="531"/>
      <c r="NAK104" s="530"/>
      <c r="NAL104" s="531"/>
      <c r="NAM104" s="530"/>
      <c r="NAN104" s="531"/>
      <c r="NAO104" s="530"/>
      <c r="NAP104" s="531"/>
      <c r="NAQ104" s="530"/>
      <c r="NAR104" s="531"/>
      <c r="NAS104" s="530"/>
      <c r="NAT104" s="531"/>
      <c r="NAU104" s="530"/>
      <c r="NAV104" s="531"/>
      <c r="NAW104" s="530"/>
      <c r="NAX104" s="531"/>
      <c r="NAY104" s="530"/>
      <c r="NAZ104" s="531"/>
      <c r="NBA104" s="530"/>
      <c r="NBB104" s="531"/>
      <c r="NBC104" s="530"/>
      <c r="NBD104" s="531"/>
      <c r="NBE104" s="530"/>
      <c r="NBF104" s="531"/>
      <c r="NBG104" s="530"/>
      <c r="NBH104" s="531"/>
      <c r="NBI104" s="530"/>
      <c r="NBJ104" s="531"/>
      <c r="NBK104" s="530"/>
      <c r="NBL104" s="531"/>
      <c r="NBM104" s="530"/>
      <c r="NBN104" s="531"/>
      <c r="NBO104" s="530"/>
      <c r="NBP104" s="531"/>
      <c r="NBQ104" s="530"/>
      <c r="NBR104" s="531"/>
      <c r="NBS104" s="530"/>
      <c r="NBT104" s="531"/>
      <c r="NBU104" s="530"/>
      <c r="NBV104" s="531"/>
      <c r="NBW104" s="530"/>
      <c r="NBX104" s="531"/>
      <c r="NBY104" s="530"/>
      <c r="NBZ104" s="531"/>
      <c r="NCA104" s="530"/>
      <c r="NCB104" s="531"/>
      <c r="NCC104" s="530"/>
      <c r="NCD104" s="531"/>
      <c r="NCE104" s="530"/>
      <c r="NCF104" s="531"/>
      <c r="NCG104" s="530"/>
      <c r="NCH104" s="531"/>
      <c r="NCI104" s="530"/>
      <c r="NCJ104" s="531"/>
      <c r="NCK104" s="530"/>
      <c r="NCL104" s="531"/>
      <c r="NCM104" s="530"/>
      <c r="NCN104" s="531"/>
      <c r="NCO104" s="530"/>
      <c r="NCP104" s="531"/>
      <c r="NCQ104" s="530"/>
      <c r="NCR104" s="531"/>
      <c r="NCS104" s="530"/>
      <c r="NCT104" s="531"/>
      <c r="NCU104" s="530"/>
      <c r="NCV104" s="531"/>
      <c r="NCW104" s="530"/>
      <c r="NCX104" s="531"/>
      <c r="NCY104" s="530"/>
      <c r="NCZ104" s="531"/>
      <c r="NDA104" s="530"/>
      <c r="NDB104" s="531"/>
      <c r="NDC104" s="530"/>
      <c r="NDD104" s="531"/>
      <c r="NDE104" s="530"/>
      <c r="NDF104" s="531"/>
      <c r="NDG104" s="530"/>
      <c r="NDH104" s="531"/>
      <c r="NDI104" s="530"/>
      <c r="NDJ104" s="531"/>
      <c r="NDK104" s="530"/>
      <c r="NDL104" s="531"/>
      <c r="NDM104" s="530"/>
      <c r="NDN104" s="531"/>
      <c r="NDO104" s="530"/>
      <c r="NDP104" s="531"/>
      <c r="NDQ104" s="530"/>
      <c r="NDR104" s="531"/>
      <c r="NDS104" s="530"/>
      <c r="NDT104" s="531"/>
      <c r="NDU104" s="530"/>
      <c r="NDV104" s="531"/>
      <c r="NDW104" s="530"/>
      <c r="NDX104" s="531"/>
      <c r="NDY104" s="530"/>
      <c r="NDZ104" s="531"/>
      <c r="NEA104" s="530"/>
      <c r="NEB104" s="531"/>
      <c r="NEC104" s="530"/>
      <c r="NED104" s="531"/>
      <c r="NEE104" s="530"/>
      <c r="NEF104" s="531"/>
      <c r="NEG104" s="530"/>
      <c r="NEH104" s="531"/>
      <c r="NEI104" s="530"/>
      <c r="NEJ104" s="531"/>
      <c r="NEK104" s="530"/>
      <c r="NEL104" s="531"/>
      <c r="NEM104" s="530"/>
      <c r="NEN104" s="531"/>
      <c r="NEO104" s="530"/>
      <c r="NEP104" s="531"/>
      <c r="NEQ104" s="530"/>
      <c r="NER104" s="531"/>
      <c r="NES104" s="530"/>
      <c r="NET104" s="531"/>
      <c r="NEU104" s="530"/>
      <c r="NEV104" s="531"/>
      <c r="NEW104" s="530"/>
      <c r="NEX104" s="531"/>
      <c r="NEY104" s="530"/>
      <c r="NEZ104" s="531"/>
      <c r="NFA104" s="530"/>
      <c r="NFB104" s="531"/>
      <c r="NFC104" s="530"/>
      <c r="NFD104" s="531"/>
      <c r="NFE104" s="530"/>
      <c r="NFF104" s="531"/>
      <c r="NFG104" s="530"/>
      <c r="NFH104" s="531"/>
      <c r="NFI104" s="530"/>
      <c r="NFJ104" s="531"/>
      <c r="NFK104" s="530"/>
      <c r="NFL104" s="531"/>
      <c r="NFM104" s="530"/>
      <c r="NFN104" s="531"/>
      <c r="NFO104" s="530"/>
      <c r="NFP104" s="531"/>
      <c r="NFQ104" s="530"/>
      <c r="NFR104" s="531"/>
      <c r="NFS104" s="530"/>
      <c r="NFT104" s="531"/>
      <c r="NFU104" s="530"/>
      <c r="NFV104" s="531"/>
      <c r="NFW104" s="530"/>
      <c r="NFX104" s="531"/>
      <c r="NFY104" s="530"/>
      <c r="NFZ104" s="531"/>
      <c r="NGA104" s="530"/>
      <c r="NGB104" s="531"/>
      <c r="NGC104" s="530"/>
      <c r="NGD104" s="531"/>
      <c r="NGE104" s="530"/>
      <c r="NGF104" s="531"/>
      <c r="NGG104" s="530"/>
      <c r="NGH104" s="531"/>
      <c r="NGI104" s="530"/>
      <c r="NGJ104" s="531"/>
      <c r="NGK104" s="530"/>
      <c r="NGL104" s="531"/>
      <c r="NGM104" s="530"/>
      <c r="NGN104" s="531"/>
      <c r="NGO104" s="530"/>
      <c r="NGP104" s="531"/>
      <c r="NGQ104" s="530"/>
      <c r="NGR104" s="531"/>
      <c r="NGS104" s="530"/>
      <c r="NGT104" s="531"/>
      <c r="NGU104" s="530"/>
      <c r="NGV104" s="531"/>
      <c r="NGW104" s="530"/>
      <c r="NGX104" s="531"/>
      <c r="NGY104" s="530"/>
      <c r="NGZ104" s="531"/>
      <c r="NHA104" s="530"/>
      <c r="NHB104" s="531"/>
      <c r="NHC104" s="530"/>
      <c r="NHD104" s="531"/>
      <c r="NHE104" s="530"/>
      <c r="NHF104" s="531"/>
      <c r="NHG104" s="530"/>
      <c r="NHH104" s="531"/>
      <c r="NHI104" s="530"/>
      <c r="NHJ104" s="531"/>
      <c r="NHK104" s="530"/>
      <c r="NHL104" s="531"/>
      <c r="NHM104" s="530"/>
      <c r="NHN104" s="531"/>
      <c r="NHO104" s="530"/>
      <c r="NHP104" s="531"/>
      <c r="NHQ104" s="530"/>
      <c r="NHR104" s="531"/>
      <c r="NHS104" s="530"/>
      <c r="NHT104" s="531"/>
      <c r="NHU104" s="530"/>
      <c r="NHV104" s="531"/>
      <c r="NHW104" s="530"/>
      <c r="NHX104" s="531"/>
      <c r="NHY104" s="530"/>
      <c r="NHZ104" s="531"/>
      <c r="NIA104" s="530"/>
      <c r="NIB104" s="531"/>
      <c r="NIC104" s="530"/>
      <c r="NID104" s="531"/>
      <c r="NIE104" s="530"/>
      <c r="NIF104" s="531"/>
      <c r="NIG104" s="530"/>
      <c r="NIH104" s="531"/>
      <c r="NII104" s="530"/>
      <c r="NIJ104" s="531"/>
      <c r="NIK104" s="530"/>
      <c r="NIL104" s="531"/>
      <c r="NIM104" s="530"/>
      <c r="NIN104" s="531"/>
      <c r="NIO104" s="530"/>
      <c r="NIP104" s="531"/>
      <c r="NIQ104" s="530"/>
      <c r="NIR104" s="531"/>
      <c r="NIS104" s="530"/>
      <c r="NIT104" s="531"/>
      <c r="NIU104" s="530"/>
      <c r="NIV104" s="531"/>
      <c r="NIW104" s="530"/>
      <c r="NIX104" s="531"/>
      <c r="NIY104" s="530"/>
      <c r="NIZ104" s="531"/>
      <c r="NJA104" s="530"/>
      <c r="NJB104" s="531"/>
      <c r="NJC104" s="530"/>
      <c r="NJD104" s="531"/>
      <c r="NJE104" s="530"/>
      <c r="NJF104" s="531"/>
      <c r="NJG104" s="530"/>
      <c r="NJH104" s="531"/>
      <c r="NJI104" s="530"/>
      <c r="NJJ104" s="531"/>
      <c r="NJK104" s="530"/>
      <c r="NJL104" s="531"/>
      <c r="NJM104" s="530"/>
      <c r="NJN104" s="531"/>
      <c r="NJO104" s="530"/>
      <c r="NJP104" s="531"/>
      <c r="NJQ104" s="530"/>
      <c r="NJR104" s="531"/>
      <c r="NJS104" s="530"/>
      <c r="NJT104" s="531"/>
      <c r="NJU104" s="530"/>
      <c r="NJV104" s="531"/>
      <c r="NJW104" s="530"/>
      <c r="NJX104" s="531"/>
      <c r="NJY104" s="530"/>
      <c r="NJZ104" s="531"/>
      <c r="NKA104" s="530"/>
      <c r="NKB104" s="531"/>
      <c r="NKC104" s="530"/>
      <c r="NKD104" s="531"/>
      <c r="NKE104" s="530"/>
      <c r="NKF104" s="531"/>
      <c r="NKG104" s="530"/>
      <c r="NKH104" s="531"/>
      <c r="NKI104" s="530"/>
      <c r="NKJ104" s="531"/>
      <c r="NKK104" s="530"/>
      <c r="NKL104" s="531"/>
      <c r="NKM104" s="530"/>
      <c r="NKN104" s="531"/>
      <c r="NKO104" s="530"/>
      <c r="NKP104" s="531"/>
      <c r="NKQ104" s="530"/>
      <c r="NKR104" s="531"/>
      <c r="NKS104" s="530"/>
      <c r="NKT104" s="531"/>
      <c r="NKU104" s="530"/>
      <c r="NKV104" s="531"/>
      <c r="NKW104" s="530"/>
      <c r="NKX104" s="531"/>
      <c r="NKY104" s="530"/>
      <c r="NKZ104" s="531"/>
      <c r="NLA104" s="530"/>
      <c r="NLB104" s="531"/>
      <c r="NLC104" s="530"/>
      <c r="NLD104" s="531"/>
      <c r="NLE104" s="530"/>
      <c r="NLF104" s="531"/>
      <c r="NLG104" s="530"/>
      <c r="NLH104" s="531"/>
      <c r="NLI104" s="530"/>
      <c r="NLJ104" s="531"/>
      <c r="NLK104" s="530"/>
      <c r="NLL104" s="531"/>
      <c r="NLM104" s="530"/>
      <c r="NLN104" s="531"/>
      <c r="NLO104" s="530"/>
      <c r="NLP104" s="531"/>
      <c r="NLQ104" s="530"/>
      <c r="NLR104" s="531"/>
      <c r="NLS104" s="530"/>
      <c r="NLT104" s="531"/>
      <c r="NLU104" s="530"/>
      <c r="NLV104" s="531"/>
      <c r="NLW104" s="530"/>
      <c r="NLX104" s="531"/>
      <c r="NLY104" s="530"/>
      <c r="NLZ104" s="531"/>
      <c r="NMA104" s="530"/>
      <c r="NMB104" s="531"/>
      <c r="NMC104" s="530"/>
      <c r="NMD104" s="531"/>
      <c r="NME104" s="530"/>
      <c r="NMF104" s="531"/>
      <c r="NMG104" s="530"/>
      <c r="NMH104" s="531"/>
      <c r="NMI104" s="530"/>
      <c r="NMJ104" s="531"/>
      <c r="NMK104" s="530"/>
      <c r="NML104" s="531"/>
      <c r="NMM104" s="530"/>
      <c r="NMN104" s="531"/>
      <c r="NMO104" s="530"/>
      <c r="NMP104" s="531"/>
      <c r="NMQ104" s="530"/>
      <c r="NMR104" s="531"/>
      <c r="NMS104" s="530"/>
      <c r="NMT104" s="531"/>
      <c r="NMU104" s="530"/>
      <c r="NMV104" s="531"/>
      <c r="NMW104" s="530"/>
      <c r="NMX104" s="531"/>
      <c r="NMY104" s="530"/>
      <c r="NMZ104" s="531"/>
      <c r="NNA104" s="530"/>
      <c r="NNB104" s="531"/>
      <c r="NNC104" s="530"/>
      <c r="NND104" s="531"/>
      <c r="NNE104" s="530"/>
      <c r="NNF104" s="531"/>
      <c r="NNG104" s="530"/>
      <c r="NNH104" s="531"/>
      <c r="NNI104" s="530"/>
      <c r="NNJ104" s="531"/>
      <c r="NNK104" s="530"/>
      <c r="NNL104" s="531"/>
      <c r="NNM104" s="530"/>
      <c r="NNN104" s="531"/>
      <c r="NNO104" s="530"/>
      <c r="NNP104" s="531"/>
      <c r="NNQ104" s="530"/>
      <c r="NNR104" s="531"/>
      <c r="NNS104" s="530"/>
      <c r="NNT104" s="531"/>
      <c r="NNU104" s="530"/>
      <c r="NNV104" s="531"/>
      <c r="NNW104" s="530"/>
      <c r="NNX104" s="531"/>
      <c r="NNY104" s="530"/>
      <c r="NNZ104" s="531"/>
      <c r="NOA104" s="530"/>
      <c r="NOB104" s="531"/>
      <c r="NOC104" s="530"/>
      <c r="NOD104" s="531"/>
      <c r="NOE104" s="530"/>
      <c r="NOF104" s="531"/>
      <c r="NOG104" s="530"/>
      <c r="NOH104" s="531"/>
      <c r="NOI104" s="530"/>
      <c r="NOJ104" s="531"/>
      <c r="NOK104" s="530"/>
      <c r="NOL104" s="531"/>
      <c r="NOM104" s="530"/>
      <c r="NON104" s="531"/>
      <c r="NOO104" s="530"/>
      <c r="NOP104" s="531"/>
      <c r="NOQ104" s="530"/>
      <c r="NOR104" s="531"/>
      <c r="NOS104" s="530"/>
      <c r="NOT104" s="531"/>
      <c r="NOU104" s="530"/>
      <c r="NOV104" s="531"/>
      <c r="NOW104" s="530"/>
      <c r="NOX104" s="531"/>
      <c r="NOY104" s="530"/>
      <c r="NOZ104" s="531"/>
      <c r="NPA104" s="530"/>
      <c r="NPB104" s="531"/>
      <c r="NPC104" s="530"/>
      <c r="NPD104" s="531"/>
      <c r="NPE104" s="530"/>
      <c r="NPF104" s="531"/>
      <c r="NPG104" s="530"/>
      <c r="NPH104" s="531"/>
      <c r="NPI104" s="530"/>
      <c r="NPJ104" s="531"/>
      <c r="NPK104" s="530"/>
      <c r="NPL104" s="531"/>
      <c r="NPM104" s="530"/>
      <c r="NPN104" s="531"/>
      <c r="NPO104" s="530"/>
      <c r="NPP104" s="531"/>
      <c r="NPQ104" s="530"/>
      <c r="NPR104" s="531"/>
      <c r="NPS104" s="530"/>
      <c r="NPT104" s="531"/>
      <c r="NPU104" s="530"/>
      <c r="NPV104" s="531"/>
      <c r="NPW104" s="530"/>
      <c r="NPX104" s="531"/>
      <c r="NPY104" s="530"/>
      <c r="NPZ104" s="531"/>
      <c r="NQA104" s="530"/>
      <c r="NQB104" s="531"/>
      <c r="NQC104" s="530"/>
      <c r="NQD104" s="531"/>
      <c r="NQE104" s="530"/>
      <c r="NQF104" s="531"/>
      <c r="NQG104" s="530"/>
      <c r="NQH104" s="531"/>
      <c r="NQI104" s="530"/>
      <c r="NQJ104" s="531"/>
      <c r="NQK104" s="530"/>
      <c r="NQL104" s="531"/>
      <c r="NQM104" s="530"/>
      <c r="NQN104" s="531"/>
      <c r="NQO104" s="530"/>
      <c r="NQP104" s="531"/>
      <c r="NQQ104" s="530"/>
      <c r="NQR104" s="531"/>
      <c r="NQS104" s="530"/>
      <c r="NQT104" s="531"/>
      <c r="NQU104" s="530"/>
      <c r="NQV104" s="531"/>
      <c r="NQW104" s="530"/>
      <c r="NQX104" s="531"/>
      <c r="NQY104" s="530"/>
      <c r="NQZ104" s="531"/>
      <c r="NRA104" s="530"/>
      <c r="NRB104" s="531"/>
      <c r="NRC104" s="530"/>
      <c r="NRD104" s="531"/>
      <c r="NRE104" s="530"/>
      <c r="NRF104" s="531"/>
      <c r="NRG104" s="530"/>
      <c r="NRH104" s="531"/>
      <c r="NRI104" s="530"/>
      <c r="NRJ104" s="531"/>
      <c r="NRK104" s="530"/>
      <c r="NRL104" s="531"/>
      <c r="NRM104" s="530"/>
      <c r="NRN104" s="531"/>
      <c r="NRO104" s="530"/>
      <c r="NRP104" s="531"/>
      <c r="NRQ104" s="530"/>
      <c r="NRR104" s="531"/>
      <c r="NRS104" s="530"/>
      <c r="NRT104" s="531"/>
      <c r="NRU104" s="530"/>
      <c r="NRV104" s="531"/>
      <c r="NRW104" s="530"/>
      <c r="NRX104" s="531"/>
      <c r="NRY104" s="530"/>
      <c r="NRZ104" s="531"/>
      <c r="NSA104" s="530"/>
      <c r="NSB104" s="531"/>
      <c r="NSC104" s="530"/>
      <c r="NSD104" s="531"/>
      <c r="NSE104" s="530"/>
      <c r="NSF104" s="531"/>
      <c r="NSG104" s="530"/>
      <c r="NSH104" s="531"/>
      <c r="NSI104" s="530"/>
      <c r="NSJ104" s="531"/>
      <c r="NSK104" s="530"/>
      <c r="NSL104" s="531"/>
      <c r="NSM104" s="530"/>
      <c r="NSN104" s="531"/>
      <c r="NSO104" s="530"/>
      <c r="NSP104" s="531"/>
      <c r="NSQ104" s="530"/>
      <c r="NSR104" s="531"/>
      <c r="NSS104" s="530"/>
      <c r="NST104" s="531"/>
      <c r="NSU104" s="530"/>
      <c r="NSV104" s="531"/>
      <c r="NSW104" s="530"/>
      <c r="NSX104" s="531"/>
      <c r="NSY104" s="530"/>
      <c r="NSZ104" s="531"/>
      <c r="NTA104" s="530"/>
      <c r="NTB104" s="531"/>
      <c r="NTC104" s="530"/>
      <c r="NTD104" s="531"/>
      <c r="NTE104" s="530"/>
      <c r="NTF104" s="531"/>
      <c r="NTG104" s="530"/>
      <c r="NTH104" s="531"/>
      <c r="NTI104" s="530"/>
      <c r="NTJ104" s="531"/>
      <c r="NTK104" s="530"/>
      <c r="NTL104" s="531"/>
      <c r="NTM104" s="530"/>
      <c r="NTN104" s="531"/>
      <c r="NTO104" s="530"/>
      <c r="NTP104" s="531"/>
      <c r="NTQ104" s="530"/>
      <c r="NTR104" s="531"/>
      <c r="NTS104" s="530"/>
      <c r="NTT104" s="531"/>
      <c r="NTU104" s="530"/>
      <c r="NTV104" s="531"/>
      <c r="NTW104" s="530"/>
      <c r="NTX104" s="531"/>
      <c r="NTY104" s="530"/>
      <c r="NTZ104" s="531"/>
      <c r="NUA104" s="530"/>
      <c r="NUB104" s="531"/>
      <c r="NUC104" s="530"/>
      <c r="NUD104" s="531"/>
      <c r="NUE104" s="530"/>
      <c r="NUF104" s="531"/>
      <c r="NUG104" s="530"/>
      <c r="NUH104" s="531"/>
      <c r="NUI104" s="530"/>
      <c r="NUJ104" s="531"/>
      <c r="NUK104" s="530"/>
      <c r="NUL104" s="531"/>
      <c r="NUM104" s="530"/>
      <c r="NUN104" s="531"/>
      <c r="NUO104" s="530"/>
      <c r="NUP104" s="531"/>
      <c r="NUQ104" s="530"/>
      <c r="NUR104" s="531"/>
      <c r="NUS104" s="530"/>
      <c r="NUT104" s="531"/>
      <c r="NUU104" s="530"/>
      <c r="NUV104" s="531"/>
      <c r="NUW104" s="530"/>
      <c r="NUX104" s="531"/>
      <c r="NUY104" s="530"/>
      <c r="NUZ104" s="531"/>
      <c r="NVA104" s="530"/>
      <c r="NVB104" s="531"/>
      <c r="NVC104" s="530"/>
      <c r="NVD104" s="531"/>
      <c r="NVE104" s="530"/>
      <c r="NVF104" s="531"/>
      <c r="NVG104" s="530"/>
      <c r="NVH104" s="531"/>
      <c r="NVI104" s="530"/>
      <c r="NVJ104" s="531"/>
      <c r="NVK104" s="530"/>
      <c r="NVL104" s="531"/>
      <c r="NVM104" s="530"/>
      <c r="NVN104" s="531"/>
      <c r="NVO104" s="530"/>
      <c r="NVP104" s="531"/>
      <c r="NVQ104" s="530"/>
      <c r="NVR104" s="531"/>
      <c r="NVS104" s="530"/>
      <c r="NVT104" s="531"/>
      <c r="NVU104" s="530"/>
      <c r="NVV104" s="531"/>
      <c r="NVW104" s="530"/>
      <c r="NVX104" s="531"/>
      <c r="NVY104" s="530"/>
      <c r="NVZ104" s="531"/>
      <c r="NWA104" s="530"/>
      <c r="NWB104" s="531"/>
      <c r="NWC104" s="530"/>
      <c r="NWD104" s="531"/>
      <c r="NWE104" s="530"/>
      <c r="NWF104" s="531"/>
      <c r="NWG104" s="530"/>
      <c r="NWH104" s="531"/>
      <c r="NWI104" s="530"/>
      <c r="NWJ104" s="531"/>
      <c r="NWK104" s="530"/>
      <c r="NWL104" s="531"/>
      <c r="NWM104" s="530"/>
      <c r="NWN104" s="531"/>
      <c r="NWO104" s="530"/>
      <c r="NWP104" s="531"/>
      <c r="NWQ104" s="530"/>
      <c r="NWR104" s="531"/>
      <c r="NWS104" s="530"/>
      <c r="NWT104" s="531"/>
      <c r="NWU104" s="530"/>
      <c r="NWV104" s="531"/>
      <c r="NWW104" s="530"/>
      <c r="NWX104" s="531"/>
      <c r="NWY104" s="530"/>
      <c r="NWZ104" s="531"/>
      <c r="NXA104" s="530"/>
      <c r="NXB104" s="531"/>
      <c r="NXC104" s="530"/>
      <c r="NXD104" s="531"/>
      <c r="NXE104" s="530"/>
      <c r="NXF104" s="531"/>
      <c r="NXG104" s="530"/>
      <c r="NXH104" s="531"/>
      <c r="NXI104" s="530"/>
      <c r="NXJ104" s="531"/>
      <c r="NXK104" s="530"/>
      <c r="NXL104" s="531"/>
      <c r="NXM104" s="530"/>
      <c r="NXN104" s="531"/>
      <c r="NXO104" s="530"/>
      <c r="NXP104" s="531"/>
      <c r="NXQ104" s="530"/>
      <c r="NXR104" s="531"/>
      <c r="NXS104" s="530"/>
      <c r="NXT104" s="531"/>
      <c r="NXU104" s="530"/>
      <c r="NXV104" s="531"/>
      <c r="NXW104" s="530"/>
      <c r="NXX104" s="531"/>
      <c r="NXY104" s="530"/>
      <c r="NXZ104" s="531"/>
      <c r="NYA104" s="530"/>
      <c r="NYB104" s="531"/>
      <c r="NYC104" s="530"/>
      <c r="NYD104" s="531"/>
      <c r="NYE104" s="530"/>
      <c r="NYF104" s="531"/>
      <c r="NYG104" s="530"/>
      <c r="NYH104" s="531"/>
      <c r="NYI104" s="530"/>
      <c r="NYJ104" s="531"/>
      <c r="NYK104" s="530"/>
      <c r="NYL104" s="531"/>
      <c r="NYM104" s="530"/>
      <c r="NYN104" s="531"/>
      <c r="NYO104" s="530"/>
      <c r="NYP104" s="531"/>
      <c r="NYQ104" s="530"/>
      <c r="NYR104" s="531"/>
      <c r="NYS104" s="530"/>
      <c r="NYT104" s="531"/>
      <c r="NYU104" s="530"/>
      <c r="NYV104" s="531"/>
      <c r="NYW104" s="530"/>
      <c r="NYX104" s="531"/>
      <c r="NYY104" s="530"/>
      <c r="NYZ104" s="531"/>
      <c r="NZA104" s="530"/>
      <c r="NZB104" s="531"/>
      <c r="NZC104" s="530"/>
      <c r="NZD104" s="531"/>
      <c r="NZE104" s="530"/>
      <c r="NZF104" s="531"/>
      <c r="NZG104" s="530"/>
      <c r="NZH104" s="531"/>
      <c r="NZI104" s="530"/>
      <c r="NZJ104" s="531"/>
      <c r="NZK104" s="530"/>
      <c r="NZL104" s="531"/>
      <c r="NZM104" s="530"/>
      <c r="NZN104" s="531"/>
      <c r="NZO104" s="530"/>
      <c r="NZP104" s="531"/>
      <c r="NZQ104" s="530"/>
      <c r="NZR104" s="531"/>
      <c r="NZS104" s="530"/>
      <c r="NZT104" s="531"/>
      <c r="NZU104" s="530"/>
      <c r="NZV104" s="531"/>
      <c r="NZW104" s="530"/>
      <c r="NZX104" s="531"/>
      <c r="NZY104" s="530"/>
      <c r="NZZ104" s="531"/>
      <c r="OAA104" s="530"/>
      <c r="OAB104" s="531"/>
      <c r="OAC104" s="530"/>
      <c r="OAD104" s="531"/>
      <c r="OAE104" s="530"/>
      <c r="OAF104" s="531"/>
      <c r="OAG104" s="530"/>
      <c r="OAH104" s="531"/>
      <c r="OAI104" s="530"/>
      <c r="OAJ104" s="531"/>
      <c r="OAK104" s="530"/>
      <c r="OAL104" s="531"/>
      <c r="OAM104" s="530"/>
      <c r="OAN104" s="531"/>
      <c r="OAO104" s="530"/>
      <c r="OAP104" s="531"/>
      <c r="OAQ104" s="530"/>
      <c r="OAR104" s="531"/>
      <c r="OAS104" s="530"/>
      <c r="OAT104" s="531"/>
      <c r="OAU104" s="530"/>
      <c r="OAV104" s="531"/>
      <c r="OAW104" s="530"/>
      <c r="OAX104" s="531"/>
      <c r="OAY104" s="530"/>
      <c r="OAZ104" s="531"/>
      <c r="OBA104" s="530"/>
      <c r="OBB104" s="531"/>
      <c r="OBC104" s="530"/>
      <c r="OBD104" s="531"/>
      <c r="OBE104" s="530"/>
      <c r="OBF104" s="531"/>
      <c r="OBG104" s="530"/>
      <c r="OBH104" s="531"/>
      <c r="OBI104" s="530"/>
      <c r="OBJ104" s="531"/>
      <c r="OBK104" s="530"/>
      <c r="OBL104" s="531"/>
      <c r="OBM104" s="530"/>
      <c r="OBN104" s="531"/>
      <c r="OBO104" s="530"/>
      <c r="OBP104" s="531"/>
      <c r="OBQ104" s="530"/>
      <c r="OBR104" s="531"/>
      <c r="OBS104" s="530"/>
      <c r="OBT104" s="531"/>
      <c r="OBU104" s="530"/>
      <c r="OBV104" s="531"/>
      <c r="OBW104" s="530"/>
      <c r="OBX104" s="531"/>
      <c r="OBY104" s="530"/>
      <c r="OBZ104" s="531"/>
      <c r="OCA104" s="530"/>
      <c r="OCB104" s="531"/>
      <c r="OCC104" s="530"/>
      <c r="OCD104" s="531"/>
      <c r="OCE104" s="530"/>
      <c r="OCF104" s="531"/>
      <c r="OCG104" s="530"/>
      <c r="OCH104" s="531"/>
      <c r="OCI104" s="530"/>
      <c r="OCJ104" s="531"/>
      <c r="OCK104" s="530"/>
      <c r="OCL104" s="531"/>
      <c r="OCM104" s="530"/>
      <c r="OCN104" s="531"/>
      <c r="OCO104" s="530"/>
      <c r="OCP104" s="531"/>
      <c r="OCQ104" s="530"/>
      <c r="OCR104" s="531"/>
      <c r="OCS104" s="530"/>
      <c r="OCT104" s="531"/>
      <c r="OCU104" s="530"/>
      <c r="OCV104" s="531"/>
      <c r="OCW104" s="530"/>
      <c r="OCX104" s="531"/>
      <c r="OCY104" s="530"/>
      <c r="OCZ104" s="531"/>
      <c r="ODA104" s="530"/>
      <c r="ODB104" s="531"/>
      <c r="ODC104" s="530"/>
      <c r="ODD104" s="531"/>
      <c r="ODE104" s="530"/>
      <c r="ODF104" s="531"/>
      <c r="ODG104" s="530"/>
      <c r="ODH104" s="531"/>
      <c r="ODI104" s="530"/>
      <c r="ODJ104" s="531"/>
      <c r="ODK104" s="530"/>
      <c r="ODL104" s="531"/>
      <c r="ODM104" s="530"/>
      <c r="ODN104" s="531"/>
      <c r="ODO104" s="530"/>
      <c r="ODP104" s="531"/>
      <c r="ODQ104" s="530"/>
      <c r="ODR104" s="531"/>
      <c r="ODS104" s="530"/>
      <c r="ODT104" s="531"/>
      <c r="ODU104" s="530"/>
      <c r="ODV104" s="531"/>
      <c r="ODW104" s="530"/>
      <c r="ODX104" s="531"/>
      <c r="ODY104" s="530"/>
      <c r="ODZ104" s="531"/>
      <c r="OEA104" s="530"/>
      <c r="OEB104" s="531"/>
      <c r="OEC104" s="530"/>
      <c r="OED104" s="531"/>
      <c r="OEE104" s="530"/>
      <c r="OEF104" s="531"/>
      <c r="OEG104" s="530"/>
      <c r="OEH104" s="531"/>
      <c r="OEI104" s="530"/>
      <c r="OEJ104" s="531"/>
      <c r="OEK104" s="530"/>
      <c r="OEL104" s="531"/>
      <c r="OEM104" s="530"/>
      <c r="OEN104" s="531"/>
      <c r="OEO104" s="530"/>
      <c r="OEP104" s="531"/>
      <c r="OEQ104" s="530"/>
      <c r="OER104" s="531"/>
      <c r="OES104" s="530"/>
      <c r="OET104" s="531"/>
      <c r="OEU104" s="530"/>
      <c r="OEV104" s="531"/>
      <c r="OEW104" s="530"/>
      <c r="OEX104" s="531"/>
      <c r="OEY104" s="530"/>
      <c r="OEZ104" s="531"/>
      <c r="OFA104" s="530"/>
      <c r="OFB104" s="531"/>
      <c r="OFC104" s="530"/>
      <c r="OFD104" s="531"/>
      <c r="OFE104" s="530"/>
      <c r="OFF104" s="531"/>
      <c r="OFG104" s="530"/>
      <c r="OFH104" s="531"/>
      <c r="OFI104" s="530"/>
      <c r="OFJ104" s="531"/>
      <c r="OFK104" s="530"/>
      <c r="OFL104" s="531"/>
      <c r="OFM104" s="530"/>
      <c r="OFN104" s="531"/>
      <c r="OFO104" s="530"/>
      <c r="OFP104" s="531"/>
      <c r="OFQ104" s="530"/>
      <c r="OFR104" s="531"/>
      <c r="OFS104" s="530"/>
      <c r="OFT104" s="531"/>
      <c r="OFU104" s="530"/>
      <c r="OFV104" s="531"/>
      <c r="OFW104" s="530"/>
      <c r="OFX104" s="531"/>
      <c r="OFY104" s="530"/>
      <c r="OFZ104" s="531"/>
      <c r="OGA104" s="530"/>
      <c r="OGB104" s="531"/>
      <c r="OGC104" s="530"/>
      <c r="OGD104" s="531"/>
      <c r="OGE104" s="530"/>
      <c r="OGF104" s="531"/>
      <c r="OGG104" s="530"/>
      <c r="OGH104" s="531"/>
      <c r="OGI104" s="530"/>
      <c r="OGJ104" s="531"/>
      <c r="OGK104" s="530"/>
      <c r="OGL104" s="531"/>
      <c r="OGM104" s="530"/>
      <c r="OGN104" s="531"/>
      <c r="OGO104" s="530"/>
      <c r="OGP104" s="531"/>
      <c r="OGQ104" s="530"/>
      <c r="OGR104" s="531"/>
      <c r="OGS104" s="530"/>
      <c r="OGT104" s="531"/>
      <c r="OGU104" s="530"/>
      <c r="OGV104" s="531"/>
      <c r="OGW104" s="530"/>
      <c r="OGX104" s="531"/>
      <c r="OGY104" s="530"/>
      <c r="OGZ104" s="531"/>
      <c r="OHA104" s="530"/>
      <c r="OHB104" s="531"/>
      <c r="OHC104" s="530"/>
      <c r="OHD104" s="531"/>
      <c r="OHE104" s="530"/>
      <c r="OHF104" s="531"/>
      <c r="OHG104" s="530"/>
      <c r="OHH104" s="531"/>
      <c r="OHI104" s="530"/>
      <c r="OHJ104" s="531"/>
      <c r="OHK104" s="530"/>
      <c r="OHL104" s="531"/>
      <c r="OHM104" s="530"/>
      <c r="OHN104" s="531"/>
      <c r="OHO104" s="530"/>
      <c r="OHP104" s="531"/>
      <c r="OHQ104" s="530"/>
      <c r="OHR104" s="531"/>
      <c r="OHS104" s="530"/>
      <c r="OHT104" s="531"/>
      <c r="OHU104" s="530"/>
      <c r="OHV104" s="531"/>
      <c r="OHW104" s="530"/>
      <c r="OHX104" s="531"/>
      <c r="OHY104" s="530"/>
      <c r="OHZ104" s="531"/>
      <c r="OIA104" s="530"/>
      <c r="OIB104" s="531"/>
      <c r="OIC104" s="530"/>
      <c r="OID104" s="531"/>
      <c r="OIE104" s="530"/>
      <c r="OIF104" s="531"/>
      <c r="OIG104" s="530"/>
      <c r="OIH104" s="531"/>
      <c r="OII104" s="530"/>
      <c r="OIJ104" s="531"/>
      <c r="OIK104" s="530"/>
      <c r="OIL104" s="531"/>
      <c r="OIM104" s="530"/>
      <c r="OIN104" s="531"/>
      <c r="OIO104" s="530"/>
      <c r="OIP104" s="531"/>
      <c r="OIQ104" s="530"/>
      <c r="OIR104" s="531"/>
      <c r="OIS104" s="530"/>
      <c r="OIT104" s="531"/>
      <c r="OIU104" s="530"/>
      <c r="OIV104" s="531"/>
      <c r="OIW104" s="530"/>
      <c r="OIX104" s="531"/>
      <c r="OIY104" s="530"/>
      <c r="OIZ104" s="531"/>
      <c r="OJA104" s="530"/>
      <c r="OJB104" s="531"/>
      <c r="OJC104" s="530"/>
      <c r="OJD104" s="531"/>
      <c r="OJE104" s="530"/>
      <c r="OJF104" s="531"/>
      <c r="OJG104" s="530"/>
      <c r="OJH104" s="531"/>
      <c r="OJI104" s="530"/>
      <c r="OJJ104" s="531"/>
      <c r="OJK104" s="530"/>
      <c r="OJL104" s="531"/>
      <c r="OJM104" s="530"/>
      <c r="OJN104" s="531"/>
      <c r="OJO104" s="530"/>
      <c r="OJP104" s="531"/>
      <c r="OJQ104" s="530"/>
      <c r="OJR104" s="531"/>
      <c r="OJS104" s="530"/>
      <c r="OJT104" s="531"/>
      <c r="OJU104" s="530"/>
      <c r="OJV104" s="531"/>
      <c r="OJW104" s="530"/>
      <c r="OJX104" s="531"/>
      <c r="OJY104" s="530"/>
      <c r="OJZ104" s="531"/>
      <c r="OKA104" s="530"/>
      <c r="OKB104" s="531"/>
      <c r="OKC104" s="530"/>
      <c r="OKD104" s="531"/>
      <c r="OKE104" s="530"/>
      <c r="OKF104" s="531"/>
      <c r="OKG104" s="530"/>
      <c r="OKH104" s="531"/>
      <c r="OKI104" s="530"/>
      <c r="OKJ104" s="531"/>
      <c r="OKK104" s="530"/>
      <c r="OKL104" s="531"/>
      <c r="OKM104" s="530"/>
      <c r="OKN104" s="531"/>
      <c r="OKO104" s="530"/>
      <c r="OKP104" s="531"/>
      <c r="OKQ104" s="530"/>
      <c r="OKR104" s="531"/>
      <c r="OKS104" s="530"/>
      <c r="OKT104" s="531"/>
      <c r="OKU104" s="530"/>
      <c r="OKV104" s="531"/>
      <c r="OKW104" s="530"/>
      <c r="OKX104" s="531"/>
      <c r="OKY104" s="530"/>
      <c r="OKZ104" s="531"/>
      <c r="OLA104" s="530"/>
      <c r="OLB104" s="531"/>
      <c r="OLC104" s="530"/>
      <c r="OLD104" s="531"/>
      <c r="OLE104" s="530"/>
      <c r="OLF104" s="531"/>
      <c r="OLG104" s="530"/>
      <c r="OLH104" s="531"/>
      <c r="OLI104" s="530"/>
      <c r="OLJ104" s="531"/>
      <c r="OLK104" s="530"/>
      <c r="OLL104" s="531"/>
      <c r="OLM104" s="530"/>
      <c r="OLN104" s="531"/>
      <c r="OLO104" s="530"/>
      <c r="OLP104" s="531"/>
      <c r="OLQ104" s="530"/>
      <c r="OLR104" s="531"/>
      <c r="OLS104" s="530"/>
      <c r="OLT104" s="531"/>
      <c r="OLU104" s="530"/>
      <c r="OLV104" s="531"/>
      <c r="OLW104" s="530"/>
      <c r="OLX104" s="531"/>
      <c r="OLY104" s="530"/>
      <c r="OLZ104" s="531"/>
      <c r="OMA104" s="530"/>
      <c r="OMB104" s="531"/>
      <c r="OMC104" s="530"/>
      <c r="OMD104" s="531"/>
      <c r="OME104" s="530"/>
      <c r="OMF104" s="531"/>
      <c r="OMG104" s="530"/>
      <c r="OMH104" s="531"/>
      <c r="OMI104" s="530"/>
      <c r="OMJ104" s="531"/>
      <c r="OMK104" s="530"/>
      <c r="OML104" s="531"/>
      <c r="OMM104" s="530"/>
      <c r="OMN104" s="531"/>
      <c r="OMO104" s="530"/>
      <c r="OMP104" s="531"/>
      <c r="OMQ104" s="530"/>
      <c r="OMR104" s="531"/>
      <c r="OMS104" s="530"/>
      <c r="OMT104" s="531"/>
      <c r="OMU104" s="530"/>
      <c r="OMV104" s="531"/>
      <c r="OMW104" s="530"/>
      <c r="OMX104" s="531"/>
      <c r="OMY104" s="530"/>
      <c r="OMZ104" s="531"/>
      <c r="ONA104" s="530"/>
      <c r="ONB104" s="531"/>
      <c r="ONC104" s="530"/>
      <c r="OND104" s="531"/>
      <c r="ONE104" s="530"/>
      <c r="ONF104" s="531"/>
      <c r="ONG104" s="530"/>
      <c r="ONH104" s="531"/>
      <c r="ONI104" s="530"/>
      <c r="ONJ104" s="531"/>
      <c r="ONK104" s="530"/>
      <c r="ONL104" s="531"/>
      <c r="ONM104" s="530"/>
      <c r="ONN104" s="531"/>
      <c r="ONO104" s="530"/>
      <c r="ONP104" s="531"/>
      <c r="ONQ104" s="530"/>
      <c r="ONR104" s="531"/>
      <c r="ONS104" s="530"/>
      <c r="ONT104" s="531"/>
      <c r="ONU104" s="530"/>
      <c r="ONV104" s="531"/>
      <c r="ONW104" s="530"/>
      <c r="ONX104" s="531"/>
      <c r="ONY104" s="530"/>
      <c r="ONZ104" s="531"/>
      <c r="OOA104" s="530"/>
      <c r="OOB104" s="531"/>
      <c r="OOC104" s="530"/>
      <c r="OOD104" s="531"/>
      <c r="OOE104" s="530"/>
      <c r="OOF104" s="531"/>
      <c r="OOG104" s="530"/>
      <c r="OOH104" s="531"/>
      <c r="OOI104" s="530"/>
      <c r="OOJ104" s="531"/>
      <c r="OOK104" s="530"/>
      <c r="OOL104" s="531"/>
      <c r="OOM104" s="530"/>
      <c r="OON104" s="531"/>
      <c r="OOO104" s="530"/>
      <c r="OOP104" s="531"/>
      <c r="OOQ104" s="530"/>
      <c r="OOR104" s="531"/>
      <c r="OOS104" s="530"/>
      <c r="OOT104" s="531"/>
      <c r="OOU104" s="530"/>
      <c r="OOV104" s="531"/>
      <c r="OOW104" s="530"/>
      <c r="OOX104" s="531"/>
      <c r="OOY104" s="530"/>
      <c r="OOZ104" s="531"/>
      <c r="OPA104" s="530"/>
      <c r="OPB104" s="531"/>
      <c r="OPC104" s="530"/>
      <c r="OPD104" s="531"/>
      <c r="OPE104" s="530"/>
      <c r="OPF104" s="531"/>
      <c r="OPG104" s="530"/>
      <c r="OPH104" s="531"/>
      <c r="OPI104" s="530"/>
      <c r="OPJ104" s="531"/>
      <c r="OPK104" s="530"/>
      <c r="OPL104" s="531"/>
      <c r="OPM104" s="530"/>
      <c r="OPN104" s="531"/>
      <c r="OPO104" s="530"/>
      <c r="OPP104" s="531"/>
      <c r="OPQ104" s="530"/>
      <c r="OPR104" s="531"/>
      <c r="OPS104" s="530"/>
      <c r="OPT104" s="531"/>
      <c r="OPU104" s="530"/>
      <c r="OPV104" s="531"/>
      <c r="OPW104" s="530"/>
      <c r="OPX104" s="531"/>
      <c r="OPY104" s="530"/>
      <c r="OPZ104" s="531"/>
      <c r="OQA104" s="530"/>
      <c r="OQB104" s="531"/>
      <c r="OQC104" s="530"/>
      <c r="OQD104" s="531"/>
      <c r="OQE104" s="530"/>
      <c r="OQF104" s="531"/>
      <c r="OQG104" s="530"/>
      <c r="OQH104" s="531"/>
      <c r="OQI104" s="530"/>
      <c r="OQJ104" s="531"/>
      <c r="OQK104" s="530"/>
      <c r="OQL104" s="531"/>
      <c r="OQM104" s="530"/>
      <c r="OQN104" s="531"/>
      <c r="OQO104" s="530"/>
      <c r="OQP104" s="531"/>
      <c r="OQQ104" s="530"/>
      <c r="OQR104" s="531"/>
      <c r="OQS104" s="530"/>
      <c r="OQT104" s="531"/>
      <c r="OQU104" s="530"/>
      <c r="OQV104" s="531"/>
      <c r="OQW104" s="530"/>
      <c r="OQX104" s="531"/>
      <c r="OQY104" s="530"/>
      <c r="OQZ104" s="531"/>
      <c r="ORA104" s="530"/>
      <c r="ORB104" s="531"/>
      <c r="ORC104" s="530"/>
      <c r="ORD104" s="531"/>
      <c r="ORE104" s="530"/>
      <c r="ORF104" s="531"/>
      <c r="ORG104" s="530"/>
      <c r="ORH104" s="531"/>
      <c r="ORI104" s="530"/>
      <c r="ORJ104" s="531"/>
      <c r="ORK104" s="530"/>
      <c r="ORL104" s="531"/>
      <c r="ORM104" s="530"/>
      <c r="ORN104" s="531"/>
      <c r="ORO104" s="530"/>
      <c r="ORP104" s="531"/>
      <c r="ORQ104" s="530"/>
      <c r="ORR104" s="531"/>
      <c r="ORS104" s="530"/>
      <c r="ORT104" s="531"/>
      <c r="ORU104" s="530"/>
      <c r="ORV104" s="531"/>
      <c r="ORW104" s="530"/>
      <c r="ORX104" s="531"/>
      <c r="ORY104" s="530"/>
      <c r="ORZ104" s="531"/>
      <c r="OSA104" s="530"/>
      <c r="OSB104" s="531"/>
      <c r="OSC104" s="530"/>
      <c r="OSD104" s="531"/>
      <c r="OSE104" s="530"/>
      <c r="OSF104" s="531"/>
      <c r="OSG104" s="530"/>
      <c r="OSH104" s="531"/>
      <c r="OSI104" s="530"/>
      <c r="OSJ104" s="531"/>
      <c r="OSK104" s="530"/>
      <c r="OSL104" s="531"/>
      <c r="OSM104" s="530"/>
      <c r="OSN104" s="531"/>
      <c r="OSO104" s="530"/>
      <c r="OSP104" s="531"/>
      <c r="OSQ104" s="530"/>
      <c r="OSR104" s="531"/>
      <c r="OSS104" s="530"/>
      <c r="OST104" s="531"/>
      <c r="OSU104" s="530"/>
      <c r="OSV104" s="531"/>
      <c r="OSW104" s="530"/>
      <c r="OSX104" s="531"/>
      <c r="OSY104" s="530"/>
      <c r="OSZ104" s="531"/>
      <c r="OTA104" s="530"/>
      <c r="OTB104" s="531"/>
      <c r="OTC104" s="530"/>
      <c r="OTD104" s="531"/>
      <c r="OTE104" s="530"/>
      <c r="OTF104" s="531"/>
      <c r="OTG104" s="530"/>
      <c r="OTH104" s="531"/>
      <c r="OTI104" s="530"/>
      <c r="OTJ104" s="531"/>
      <c r="OTK104" s="530"/>
      <c r="OTL104" s="531"/>
      <c r="OTM104" s="530"/>
      <c r="OTN104" s="531"/>
      <c r="OTO104" s="530"/>
      <c r="OTP104" s="531"/>
      <c r="OTQ104" s="530"/>
      <c r="OTR104" s="531"/>
      <c r="OTS104" s="530"/>
      <c r="OTT104" s="531"/>
      <c r="OTU104" s="530"/>
      <c r="OTV104" s="531"/>
      <c r="OTW104" s="530"/>
      <c r="OTX104" s="531"/>
      <c r="OTY104" s="530"/>
      <c r="OTZ104" s="531"/>
      <c r="OUA104" s="530"/>
      <c r="OUB104" s="531"/>
      <c r="OUC104" s="530"/>
      <c r="OUD104" s="531"/>
      <c r="OUE104" s="530"/>
      <c r="OUF104" s="531"/>
      <c r="OUG104" s="530"/>
      <c r="OUH104" s="531"/>
      <c r="OUI104" s="530"/>
      <c r="OUJ104" s="531"/>
      <c r="OUK104" s="530"/>
      <c r="OUL104" s="531"/>
      <c r="OUM104" s="530"/>
      <c r="OUN104" s="531"/>
      <c r="OUO104" s="530"/>
      <c r="OUP104" s="531"/>
      <c r="OUQ104" s="530"/>
      <c r="OUR104" s="531"/>
      <c r="OUS104" s="530"/>
      <c r="OUT104" s="531"/>
      <c r="OUU104" s="530"/>
      <c r="OUV104" s="531"/>
      <c r="OUW104" s="530"/>
      <c r="OUX104" s="531"/>
      <c r="OUY104" s="530"/>
      <c r="OUZ104" s="531"/>
      <c r="OVA104" s="530"/>
      <c r="OVB104" s="531"/>
      <c r="OVC104" s="530"/>
      <c r="OVD104" s="531"/>
      <c r="OVE104" s="530"/>
      <c r="OVF104" s="531"/>
      <c r="OVG104" s="530"/>
      <c r="OVH104" s="531"/>
      <c r="OVI104" s="530"/>
      <c r="OVJ104" s="531"/>
      <c r="OVK104" s="530"/>
      <c r="OVL104" s="531"/>
      <c r="OVM104" s="530"/>
      <c r="OVN104" s="531"/>
      <c r="OVO104" s="530"/>
      <c r="OVP104" s="531"/>
      <c r="OVQ104" s="530"/>
      <c r="OVR104" s="531"/>
      <c r="OVS104" s="530"/>
      <c r="OVT104" s="531"/>
      <c r="OVU104" s="530"/>
      <c r="OVV104" s="531"/>
      <c r="OVW104" s="530"/>
      <c r="OVX104" s="531"/>
      <c r="OVY104" s="530"/>
      <c r="OVZ104" s="531"/>
      <c r="OWA104" s="530"/>
      <c r="OWB104" s="531"/>
      <c r="OWC104" s="530"/>
      <c r="OWD104" s="531"/>
      <c r="OWE104" s="530"/>
      <c r="OWF104" s="531"/>
      <c r="OWG104" s="530"/>
      <c r="OWH104" s="531"/>
      <c r="OWI104" s="530"/>
      <c r="OWJ104" s="531"/>
      <c r="OWK104" s="530"/>
      <c r="OWL104" s="531"/>
      <c r="OWM104" s="530"/>
      <c r="OWN104" s="531"/>
      <c r="OWO104" s="530"/>
      <c r="OWP104" s="531"/>
      <c r="OWQ104" s="530"/>
      <c r="OWR104" s="531"/>
      <c r="OWS104" s="530"/>
      <c r="OWT104" s="531"/>
      <c r="OWU104" s="530"/>
      <c r="OWV104" s="531"/>
      <c r="OWW104" s="530"/>
      <c r="OWX104" s="531"/>
      <c r="OWY104" s="530"/>
      <c r="OWZ104" s="531"/>
      <c r="OXA104" s="530"/>
      <c r="OXB104" s="531"/>
      <c r="OXC104" s="530"/>
      <c r="OXD104" s="531"/>
      <c r="OXE104" s="530"/>
      <c r="OXF104" s="531"/>
      <c r="OXG104" s="530"/>
      <c r="OXH104" s="531"/>
      <c r="OXI104" s="530"/>
      <c r="OXJ104" s="531"/>
      <c r="OXK104" s="530"/>
      <c r="OXL104" s="531"/>
      <c r="OXM104" s="530"/>
      <c r="OXN104" s="531"/>
      <c r="OXO104" s="530"/>
      <c r="OXP104" s="531"/>
      <c r="OXQ104" s="530"/>
      <c r="OXR104" s="531"/>
      <c r="OXS104" s="530"/>
      <c r="OXT104" s="531"/>
      <c r="OXU104" s="530"/>
      <c r="OXV104" s="531"/>
      <c r="OXW104" s="530"/>
      <c r="OXX104" s="531"/>
      <c r="OXY104" s="530"/>
      <c r="OXZ104" s="531"/>
      <c r="OYA104" s="530"/>
      <c r="OYB104" s="531"/>
      <c r="OYC104" s="530"/>
      <c r="OYD104" s="531"/>
      <c r="OYE104" s="530"/>
      <c r="OYF104" s="531"/>
      <c r="OYG104" s="530"/>
      <c r="OYH104" s="531"/>
      <c r="OYI104" s="530"/>
      <c r="OYJ104" s="531"/>
      <c r="OYK104" s="530"/>
      <c r="OYL104" s="531"/>
      <c r="OYM104" s="530"/>
      <c r="OYN104" s="531"/>
      <c r="OYO104" s="530"/>
      <c r="OYP104" s="531"/>
      <c r="OYQ104" s="530"/>
      <c r="OYR104" s="531"/>
      <c r="OYS104" s="530"/>
      <c r="OYT104" s="531"/>
      <c r="OYU104" s="530"/>
      <c r="OYV104" s="531"/>
      <c r="OYW104" s="530"/>
      <c r="OYX104" s="531"/>
      <c r="OYY104" s="530"/>
      <c r="OYZ104" s="531"/>
      <c r="OZA104" s="530"/>
      <c r="OZB104" s="531"/>
      <c r="OZC104" s="530"/>
      <c r="OZD104" s="531"/>
      <c r="OZE104" s="530"/>
      <c r="OZF104" s="531"/>
      <c r="OZG104" s="530"/>
      <c r="OZH104" s="531"/>
      <c r="OZI104" s="530"/>
      <c r="OZJ104" s="531"/>
      <c r="OZK104" s="530"/>
      <c r="OZL104" s="531"/>
      <c r="OZM104" s="530"/>
      <c r="OZN104" s="531"/>
      <c r="OZO104" s="530"/>
      <c r="OZP104" s="531"/>
      <c r="OZQ104" s="530"/>
      <c r="OZR104" s="531"/>
      <c r="OZS104" s="530"/>
      <c r="OZT104" s="531"/>
      <c r="OZU104" s="530"/>
      <c r="OZV104" s="531"/>
      <c r="OZW104" s="530"/>
      <c r="OZX104" s="531"/>
      <c r="OZY104" s="530"/>
      <c r="OZZ104" s="531"/>
      <c r="PAA104" s="530"/>
      <c r="PAB104" s="531"/>
      <c r="PAC104" s="530"/>
      <c r="PAD104" s="531"/>
      <c r="PAE104" s="530"/>
      <c r="PAF104" s="531"/>
      <c r="PAG104" s="530"/>
      <c r="PAH104" s="531"/>
      <c r="PAI104" s="530"/>
      <c r="PAJ104" s="531"/>
      <c r="PAK104" s="530"/>
      <c r="PAL104" s="531"/>
      <c r="PAM104" s="530"/>
      <c r="PAN104" s="531"/>
      <c r="PAO104" s="530"/>
      <c r="PAP104" s="531"/>
      <c r="PAQ104" s="530"/>
      <c r="PAR104" s="531"/>
      <c r="PAS104" s="530"/>
      <c r="PAT104" s="531"/>
      <c r="PAU104" s="530"/>
      <c r="PAV104" s="531"/>
      <c r="PAW104" s="530"/>
      <c r="PAX104" s="531"/>
      <c r="PAY104" s="530"/>
      <c r="PAZ104" s="531"/>
      <c r="PBA104" s="530"/>
      <c r="PBB104" s="531"/>
      <c r="PBC104" s="530"/>
      <c r="PBD104" s="531"/>
      <c r="PBE104" s="530"/>
      <c r="PBF104" s="531"/>
      <c r="PBG104" s="530"/>
      <c r="PBH104" s="531"/>
      <c r="PBI104" s="530"/>
      <c r="PBJ104" s="531"/>
      <c r="PBK104" s="530"/>
      <c r="PBL104" s="531"/>
      <c r="PBM104" s="530"/>
      <c r="PBN104" s="531"/>
      <c r="PBO104" s="530"/>
      <c r="PBP104" s="531"/>
      <c r="PBQ104" s="530"/>
      <c r="PBR104" s="531"/>
      <c r="PBS104" s="530"/>
      <c r="PBT104" s="531"/>
      <c r="PBU104" s="530"/>
      <c r="PBV104" s="531"/>
      <c r="PBW104" s="530"/>
      <c r="PBX104" s="531"/>
      <c r="PBY104" s="530"/>
      <c r="PBZ104" s="531"/>
      <c r="PCA104" s="530"/>
      <c r="PCB104" s="531"/>
      <c r="PCC104" s="530"/>
      <c r="PCD104" s="531"/>
      <c r="PCE104" s="530"/>
      <c r="PCF104" s="531"/>
      <c r="PCG104" s="530"/>
      <c r="PCH104" s="531"/>
      <c r="PCI104" s="530"/>
      <c r="PCJ104" s="531"/>
      <c r="PCK104" s="530"/>
      <c r="PCL104" s="531"/>
      <c r="PCM104" s="530"/>
      <c r="PCN104" s="531"/>
      <c r="PCO104" s="530"/>
      <c r="PCP104" s="531"/>
      <c r="PCQ104" s="530"/>
      <c r="PCR104" s="531"/>
      <c r="PCS104" s="530"/>
      <c r="PCT104" s="531"/>
      <c r="PCU104" s="530"/>
      <c r="PCV104" s="531"/>
      <c r="PCW104" s="530"/>
      <c r="PCX104" s="531"/>
      <c r="PCY104" s="530"/>
      <c r="PCZ104" s="531"/>
      <c r="PDA104" s="530"/>
      <c r="PDB104" s="531"/>
      <c r="PDC104" s="530"/>
      <c r="PDD104" s="531"/>
      <c r="PDE104" s="530"/>
      <c r="PDF104" s="531"/>
      <c r="PDG104" s="530"/>
      <c r="PDH104" s="531"/>
      <c r="PDI104" s="530"/>
      <c r="PDJ104" s="531"/>
      <c r="PDK104" s="530"/>
      <c r="PDL104" s="531"/>
      <c r="PDM104" s="530"/>
      <c r="PDN104" s="531"/>
      <c r="PDO104" s="530"/>
      <c r="PDP104" s="531"/>
      <c r="PDQ104" s="530"/>
      <c r="PDR104" s="531"/>
      <c r="PDS104" s="530"/>
      <c r="PDT104" s="531"/>
      <c r="PDU104" s="530"/>
      <c r="PDV104" s="531"/>
      <c r="PDW104" s="530"/>
      <c r="PDX104" s="531"/>
      <c r="PDY104" s="530"/>
      <c r="PDZ104" s="531"/>
      <c r="PEA104" s="530"/>
      <c r="PEB104" s="531"/>
      <c r="PEC104" s="530"/>
      <c r="PED104" s="531"/>
      <c r="PEE104" s="530"/>
      <c r="PEF104" s="531"/>
      <c r="PEG104" s="530"/>
      <c r="PEH104" s="531"/>
      <c r="PEI104" s="530"/>
      <c r="PEJ104" s="531"/>
      <c r="PEK104" s="530"/>
      <c r="PEL104" s="531"/>
      <c r="PEM104" s="530"/>
      <c r="PEN104" s="531"/>
      <c r="PEO104" s="530"/>
      <c r="PEP104" s="531"/>
      <c r="PEQ104" s="530"/>
      <c r="PER104" s="531"/>
      <c r="PES104" s="530"/>
      <c r="PET104" s="531"/>
      <c r="PEU104" s="530"/>
      <c r="PEV104" s="531"/>
      <c r="PEW104" s="530"/>
      <c r="PEX104" s="531"/>
      <c r="PEY104" s="530"/>
      <c r="PEZ104" s="531"/>
      <c r="PFA104" s="530"/>
      <c r="PFB104" s="531"/>
      <c r="PFC104" s="530"/>
      <c r="PFD104" s="531"/>
      <c r="PFE104" s="530"/>
      <c r="PFF104" s="531"/>
      <c r="PFG104" s="530"/>
      <c r="PFH104" s="531"/>
      <c r="PFI104" s="530"/>
      <c r="PFJ104" s="531"/>
      <c r="PFK104" s="530"/>
      <c r="PFL104" s="531"/>
      <c r="PFM104" s="530"/>
      <c r="PFN104" s="531"/>
      <c r="PFO104" s="530"/>
      <c r="PFP104" s="531"/>
      <c r="PFQ104" s="530"/>
      <c r="PFR104" s="531"/>
      <c r="PFS104" s="530"/>
      <c r="PFT104" s="531"/>
      <c r="PFU104" s="530"/>
      <c r="PFV104" s="531"/>
      <c r="PFW104" s="530"/>
      <c r="PFX104" s="531"/>
      <c r="PFY104" s="530"/>
      <c r="PFZ104" s="531"/>
      <c r="PGA104" s="530"/>
      <c r="PGB104" s="531"/>
      <c r="PGC104" s="530"/>
      <c r="PGD104" s="531"/>
      <c r="PGE104" s="530"/>
      <c r="PGF104" s="531"/>
      <c r="PGG104" s="530"/>
      <c r="PGH104" s="531"/>
      <c r="PGI104" s="530"/>
      <c r="PGJ104" s="531"/>
      <c r="PGK104" s="530"/>
      <c r="PGL104" s="531"/>
      <c r="PGM104" s="530"/>
      <c r="PGN104" s="531"/>
      <c r="PGO104" s="530"/>
      <c r="PGP104" s="531"/>
      <c r="PGQ104" s="530"/>
      <c r="PGR104" s="531"/>
      <c r="PGS104" s="530"/>
      <c r="PGT104" s="531"/>
      <c r="PGU104" s="530"/>
      <c r="PGV104" s="531"/>
      <c r="PGW104" s="530"/>
      <c r="PGX104" s="531"/>
      <c r="PGY104" s="530"/>
      <c r="PGZ104" s="531"/>
      <c r="PHA104" s="530"/>
      <c r="PHB104" s="531"/>
      <c r="PHC104" s="530"/>
      <c r="PHD104" s="531"/>
      <c r="PHE104" s="530"/>
      <c r="PHF104" s="531"/>
      <c r="PHG104" s="530"/>
      <c r="PHH104" s="531"/>
      <c r="PHI104" s="530"/>
      <c r="PHJ104" s="531"/>
      <c r="PHK104" s="530"/>
      <c r="PHL104" s="531"/>
      <c r="PHM104" s="530"/>
      <c r="PHN104" s="531"/>
      <c r="PHO104" s="530"/>
      <c r="PHP104" s="531"/>
      <c r="PHQ104" s="530"/>
      <c r="PHR104" s="531"/>
      <c r="PHS104" s="530"/>
      <c r="PHT104" s="531"/>
      <c r="PHU104" s="530"/>
      <c r="PHV104" s="531"/>
      <c r="PHW104" s="530"/>
      <c r="PHX104" s="531"/>
      <c r="PHY104" s="530"/>
      <c r="PHZ104" s="531"/>
      <c r="PIA104" s="530"/>
      <c r="PIB104" s="531"/>
      <c r="PIC104" s="530"/>
      <c r="PID104" s="531"/>
      <c r="PIE104" s="530"/>
      <c r="PIF104" s="531"/>
      <c r="PIG104" s="530"/>
      <c r="PIH104" s="531"/>
      <c r="PII104" s="530"/>
      <c r="PIJ104" s="531"/>
      <c r="PIK104" s="530"/>
      <c r="PIL104" s="531"/>
      <c r="PIM104" s="530"/>
      <c r="PIN104" s="531"/>
      <c r="PIO104" s="530"/>
      <c r="PIP104" s="531"/>
      <c r="PIQ104" s="530"/>
      <c r="PIR104" s="531"/>
      <c r="PIS104" s="530"/>
      <c r="PIT104" s="531"/>
      <c r="PIU104" s="530"/>
      <c r="PIV104" s="531"/>
      <c r="PIW104" s="530"/>
      <c r="PIX104" s="531"/>
      <c r="PIY104" s="530"/>
      <c r="PIZ104" s="531"/>
      <c r="PJA104" s="530"/>
      <c r="PJB104" s="531"/>
      <c r="PJC104" s="530"/>
      <c r="PJD104" s="531"/>
      <c r="PJE104" s="530"/>
      <c r="PJF104" s="531"/>
      <c r="PJG104" s="530"/>
      <c r="PJH104" s="531"/>
      <c r="PJI104" s="530"/>
      <c r="PJJ104" s="531"/>
      <c r="PJK104" s="530"/>
      <c r="PJL104" s="531"/>
      <c r="PJM104" s="530"/>
      <c r="PJN104" s="531"/>
      <c r="PJO104" s="530"/>
      <c r="PJP104" s="531"/>
      <c r="PJQ104" s="530"/>
      <c r="PJR104" s="531"/>
      <c r="PJS104" s="530"/>
      <c r="PJT104" s="531"/>
      <c r="PJU104" s="530"/>
      <c r="PJV104" s="531"/>
      <c r="PJW104" s="530"/>
      <c r="PJX104" s="531"/>
      <c r="PJY104" s="530"/>
      <c r="PJZ104" s="531"/>
      <c r="PKA104" s="530"/>
      <c r="PKB104" s="531"/>
      <c r="PKC104" s="530"/>
      <c r="PKD104" s="531"/>
      <c r="PKE104" s="530"/>
      <c r="PKF104" s="531"/>
      <c r="PKG104" s="530"/>
      <c r="PKH104" s="531"/>
      <c r="PKI104" s="530"/>
      <c r="PKJ104" s="531"/>
      <c r="PKK104" s="530"/>
      <c r="PKL104" s="531"/>
      <c r="PKM104" s="530"/>
      <c r="PKN104" s="531"/>
      <c r="PKO104" s="530"/>
      <c r="PKP104" s="531"/>
      <c r="PKQ104" s="530"/>
      <c r="PKR104" s="531"/>
      <c r="PKS104" s="530"/>
      <c r="PKT104" s="531"/>
      <c r="PKU104" s="530"/>
      <c r="PKV104" s="531"/>
      <c r="PKW104" s="530"/>
      <c r="PKX104" s="531"/>
      <c r="PKY104" s="530"/>
      <c r="PKZ104" s="531"/>
      <c r="PLA104" s="530"/>
      <c r="PLB104" s="531"/>
      <c r="PLC104" s="530"/>
      <c r="PLD104" s="531"/>
      <c r="PLE104" s="530"/>
      <c r="PLF104" s="531"/>
      <c r="PLG104" s="530"/>
      <c r="PLH104" s="531"/>
      <c r="PLI104" s="530"/>
      <c r="PLJ104" s="531"/>
      <c r="PLK104" s="530"/>
      <c r="PLL104" s="531"/>
      <c r="PLM104" s="530"/>
      <c r="PLN104" s="531"/>
      <c r="PLO104" s="530"/>
      <c r="PLP104" s="531"/>
      <c r="PLQ104" s="530"/>
      <c r="PLR104" s="531"/>
      <c r="PLS104" s="530"/>
      <c r="PLT104" s="531"/>
      <c r="PLU104" s="530"/>
      <c r="PLV104" s="531"/>
      <c r="PLW104" s="530"/>
      <c r="PLX104" s="531"/>
      <c r="PLY104" s="530"/>
      <c r="PLZ104" s="531"/>
      <c r="PMA104" s="530"/>
      <c r="PMB104" s="531"/>
      <c r="PMC104" s="530"/>
      <c r="PMD104" s="531"/>
      <c r="PME104" s="530"/>
      <c r="PMF104" s="531"/>
      <c r="PMG104" s="530"/>
      <c r="PMH104" s="531"/>
      <c r="PMI104" s="530"/>
      <c r="PMJ104" s="531"/>
      <c r="PMK104" s="530"/>
      <c r="PML104" s="531"/>
      <c r="PMM104" s="530"/>
      <c r="PMN104" s="531"/>
      <c r="PMO104" s="530"/>
      <c r="PMP104" s="531"/>
      <c r="PMQ104" s="530"/>
      <c r="PMR104" s="531"/>
      <c r="PMS104" s="530"/>
      <c r="PMT104" s="531"/>
      <c r="PMU104" s="530"/>
      <c r="PMV104" s="531"/>
      <c r="PMW104" s="530"/>
      <c r="PMX104" s="531"/>
      <c r="PMY104" s="530"/>
      <c r="PMZ104" s="531"/>
      <c r="PNA104" s="530"/>
      <c r="PNB104" s="531"/>
      <c r="PNC104" s="530"/>
      <c r="PND104" s="531"/>
      <c r="PNE104" s="530"/>
      <c r="PNF104" s="531"/>
      <c r="PNG104" s="530"/>
      <c r="PNH104" s="531"/>
      <c r="PNI104" s="530"/>
      <c r="PNJ104" s="531"/>
      <c r="PNK104" s="530"/>
      <c r="PNL104" s="531"/>
      <c r="PNM104" s="530"/>
      <c r="PNN104" s="531"/>
      <c r="PNO104" s="530"/>
      <c r="PNP104" s="531"/>
      <c r="PNQ104" s="530"/>
      <c r="PNR104" s="531"/>
      <c r="PNS104" s="530"/>
      <c r="PNT104" s="531"/>
      <c r="PNU104" s="530"/>
      <c r="PNV104" s="531"/>
      <c r="PNW104" s="530"/>
      <c r="PNX104" s="531"/>
      <c r="PNY104" s="530"/>
      <c r="PNZ104" s="531"/>
      <c r="POA104" s="530"/>
      <c r="POB104" s="531"/>
      <c r="POC104" s="530"/>
      <c r="POD104" s="531"/>
      <c r="POE104" s="530"/>
      <c r="POF104" s="531"/>
      <c r="POG104" s="530"/>
      <c r="POH104" s="531"/>
      <c r="POI104" s="530"/>
      <c r="POJ104" s="531"/>
      <c r="POK104" s="530"/>
      <c r="POL104" s="531"/>
      <c r="POM104" s="530"/>
      <c r="PON104" s="531"/>
      <c r="POO104" s="530"/>
      <c r="POP104" s="531"/>
      <c r="POQ104" s="530"/>
      <c r="POR104" s="531"/>
      <c r="POS104" s="530"/>
      <c r="POT104" s="531"/>
      <c r="POU104" s="530"/>
      <c r="POV104" s="531"/>
      <c r="POW104" s="530"/>
      <c r="POX104" s="531"/>
      <c r="POY104" s="530"/>
      <c r="POZ104" s="531"/>
      <c r="PPA104" s="530"/>
      <c r="PPB104" s="531"/>
      <c r="PPC104" s="530"/>
      <c r="PPD104" s="531"/>
      <c r="PPE104" s="530"/>
      <c r="PPF104" s="531"/>
      <c r="PPG104" s="530"/>
      <c r="PPH104" s="531"/>
      <c r="PPI104" s="530"/>
      <c r="PPJ104" s="531"/>
      <c r="PPK104" s="530"/>
      <c r="PPL104" s="531"/>
      <c r="PPM104" s="530"/>
      <c r="PPN104" s="531"/>
      <c r="PPO104" s="530"/>
      <c r="PPP104" s="531"/>
      <c r="PPQ104" s="530"/>
      <c r="PPR104" s="531"/>
      <c r="PPS104" s="530"/>
      <c r="PPT104" s="531"/>
      <c r="PPU104" s="530"/>
      <c r="PPV104" s="531"/>
      <c r="PPW104" s="530"/>
      <c r="PPX104" s="531"/>
      <c r="PPY104" s="530"/>
      <c r="PPZ104" s="531"/>
      <c r="PQA104" s="530"/>
      <c r="PQB104" s="531"/>
      <c r="PQC104" s="530"/>
      <c r="PQD104" s="531"/>
      <c r="PQE104" s="530"/>
      <c r="PQF104" s="531"/>
      <c r="PQG104" s="530"/>
      <c r="PQH104" s="531"/>
      <c r="PQI104" s="530"/>
      <c r="PQJ104" s="531"/>
      <c r="PQK104" s="530"/>
      <c r="PQL104" s="531"/>
      <c r="PQM104" s="530"/>
      <c r="PQN104" s="531"/>
      <c r="PQO104" s="530"/>
      <c r="PQP104" s="531"/>
      <c r="PQQ104" s="530"/>
      <c r="PQR104" s="531"/>
      <c r="PQS104" s="530"/>
      <c r="PQT104" s="531"/>
      <c r="PQU104" s="530"/>
      <c r="PQV104" s="531"/>
      <c r="PQW104" s="530"/>
      <c r="PQX104" s="531"/>
      <c r="PQY104" s="530"/>
      <c r="PQZ104" s="531"/>
      <c r="PRA104" s="530"/>
      <c r="PRB104" s="531"/>
      <c r="PRC104" s="530"/>
      <c r="PRD104" s="531"/>
      <c r="PRE104" s="530"/>
      <c r="PRF104" s="531"/>
      <c r="PRG104" s="530"/>
      <c r="PRH104" s="531"/>
      <c r="PRI104" s="530"/>
      <c r="PRJ104" s="531"/>
      <c r="PRK104" s="530"/>
      <c r="PRL104" s="531"/>
      <c r="PRM104" s="530"/>
      <c r="PRN104" s="531"/>
      <c r="PRO104" s="530"/>
      <c r="PRP104" s="531"/>
      <c r="PRQ104" s="530"/>
      <c r="PRR104" s="531"/>
      <c r="PRS104" s="530"/>
      <c r="PRT104" s="531"/>
      <c r="PRU104" s="530"/>
      <c r="PRV104" s="531"/>
      <c r="PRW104" s="530"/>
      <c r="PRX104" s="531"/>
      <c r="PRY104" s="530"/>
      <c r="PRZ104" s="531"/>
      <c r="PSA104" s="530"/>
      <c r="PSB104" s="531"/>
      <c r="PSC104" s="530"/>
      <c r="PSD104" s="531"/>
      <c r="PSE104" s="530"/>
      <c r="PSF104" s="531"/>
      <c r="PSG104" s="530"/>
      <c r="PSH104" s="531"/>
      <c r="PSI104" s="530"/>
      <c r="PSJ104" s="531"/>
      <c r="PSK104" s="530"/>
      <c r="PSL104" s="531"/>
      <c r="PSM104" s="530"/>
      <c r="PSN104" s="531"/>
      <c r="PSO104" s="530"/>
      <c r="PSP104" s="531"/>
      <c r="PSQ104" s="530"/>
      <c r="PSR104" s="531"/>
      <c r="PSS104" s="530"/>
      <c r="PST104" s="531"/>
      <c r="PSU104" s="530"/>
      <c r="PSV104" s="531"/>
      <c r="PSW104" s="530"/>
      <c r="PSX104" s="531"/>
      <c r="PSY104" s="530"/>
      <c r="PSZ104" s="531"/>
      <c r="PTA104" s="530"/>
      <c r="PTB104" s="531"/>
      <c r="PTC104" s="530"/>
      <c r="PTD104" s="531"/>
      <c r="PTE104" s="530"/>
      <c r="PTF104" s="531"/>
      <c r="PTG104" s="530"/>
      <c r="PTH104" s="531"/>
      <c r="PTI104" s="530"/>
      <c r="PTJ104" s="531"/>
      <c r="PTK104" s="530"/>
      <c r="PTL104" s="531"/>
      <c r="PTM104" s="530"/>
      <c r="PTN104" s="531"/>
      <c r="PTO104" s="530"/>
      <c r="PTP104" s="531"/>
      <c r="PTQ104" s="530"/>
      <c r="PTR104" s="531"/>
      <c r="PTS104" s="530"/>
      <c r="PTT104" s="531"/>
      <c r="PTU104" s="530"/>
      <c r="PTV104" s="531"/>
      <c r="PTW104" s="530"/>
      <c r="PTX104" s="531"/>
      <c r="PTY104" s="530"/>
      <c r="PTZ104" s="531"/>
      <c r="PUA104" s="530"/>
      <c r="PUB104" s="531"/>
      <c r="PUC104" s="530"/>
      <c r="PUD104" s="531"/>
      <c r="PUE104" s="530"/>
      <c r="PUF104" s="531"/>
      <c r="PUG104" s="530"/>
      <c r="PUH104" s="531"/>
      <c r="PUI104" s="530"/>
      <c r="PUJ104" s="531"/>
      <c r="PUK104" s="530"/>
      <c r="PUL104" s="531"/>
      <c r="PUM104" s="530"/>
      <c r="PUN104" s="531"/>
      <c r="PUO104" s="530"/>
      <c r="PUP104" s="531"/>
      <c r="PUQ104" s="530"/>
      <c r="PUR104" s="531"/>
      <c r="PUS104" s="530"/>
      <c r="PUT104" s="531"/>
      <c r="PUU104" s="530"/>
      <c r="PUV104" s="531"/>
      <c r="PUW104" s="530"/>
      <c r="PUX104" s="531"/>
      <c r="PUY104" s="530"/>
      <c r="PUZ104" s="531"/>
      <c r="PVA104" s="530"/>
      <c r="PVB104" s="531"/>
      <c r="PVC104" s="530"/>
      <c r="PVD104" s="531"/>
      <c r="PVE104" s="530"/>
      <c r="PVF104" s="531"/>
      <c r="PVG104" s="530"/>
      <c r="PVH104" s="531"/>
      <c r="PVI104" s="530"/>
      <c r="PVJ104" s="531"/>
      <c r="PVK104" s="530"/>
      <c r="PVL104" s="531"/>
      <c r="PVM104" s="530"/>
      <c r="PVN104" s="531"/>
      <c r="PVO104" s="530"/>
      <c r="PVP104" s="531"/>
      <c r="PVQ104" s="530"/>
      <c r="PVR104" s="531"/>
      <c r="PVS104" s="530"/>
      <c r="PVT104" s="531"/>
      <c r="PVU104" s="530"/>
      <c r="PVV104" s="531"/>
      <c r="PVW104" s="530"/>
      <c r="PVX104" s="531"/>
      <c r="PVY104" s="530"/>
      <c r="PVZ104" s="531"/>
      <c r="PWA104" s="530"/>
      <c r="PWB104" s="531"/>
      <c r="PWC104" s="530"/>
      <c r="PWD104" s="531"/>
      <c r="PWE104" s="530"/>
      <c r="PWF104" s="531"/>
      <c r="PWG104" s="530"/>
      <c r="PWH104" s="531"/>
      <c r="PWI104" s="530"/>
      <c r="PWJ104" s="531"/>
      <c r="PWK104" s="530"/>
      <c r="PWL104" s="531"/>
      <c r="PWM104" s="530"/>
      <c r="PWN104" s="531"/>
      <c r="PWO104" s="530"/>
      <c r="PWP104" s="531"/>
      <c r="PWQ104" s="530"/>
      <c r="PWR104" s="531"/>
      <c r="PWS104" s="530"/>
      <c r="PWT104" s="531"/>
      <c r="PWU104" s="530"/>
      <c r="PWV104" s="531"/>
      <c r="PWW104" s="530"/>
      <c r="PWX104" s="531"/>
      <c r="PWY104" s="530"/>
      <c r="PWZ104" s="531"/>
      <c r="PXA104" s="530"/>
      <c r="PXB104" s="531"/>
      <c r="PXC104" s="530"/>
      <c r="PXD104" s="531"/>
      <c r="PXE104" s="530"/>
      <c r="PXF104" s="531"/>
      <c r="PXG104" s="530"/>
      <c r="PXH104" s="531"/>
      <c r="PXI104" s="530"/>
      <c r="PXJ104" s="531"/>
      <c r="PXK104" s="530"/>
      <c r="PXL104" s="531"/>
      <c r="PXM104" s="530"/>
      <c r="PXN104" s="531"/>
      <c r="PXO104" s="530"/>
      <c r="PXP104" s="531"/>
      <c r="PXQ104" s="530"/>
      <c r="PXR104" s="531"/>
      <c r="PXS104" s="530"/>
      <c r="PXT104" s="531"/>
      <c r="PXU104" s="530"/>
      <c r="PXV104" s="531"/>
      <c r="PXW104" s="530"/>
      <c r="PXX104" s="531"/>
      <c r="PXY104" s="530"/>
      <c r="PXZ104" s="531"/>
      <c r="PYA104" s="530"/>
      <c r="PYB104" s="531"/>
      <c r="PYC104" s="530"/>
      <c r="PYD104" s="531"/>
      <c r="PYE104" s="530"/>
      <c r="PYF104" s="531"/>
      <c r="PYG104" s="530"/>
      <c r="PYH104" s="531"/>
      <c r="PYI104" s="530"/>
      <c r="PYJ104" s="531"/>
      <c r="PYK104" s="530"/>
      <c r="PYL104" s="531"/>
      <c r="PYM104" s="530"/>
      <c r="PYN104" s="531"/>
      <c r="PYO104" s="530"/>
      <c r="PYP104" s="531"/>
      <c r="PYQ104" s="530"/>
      <c r="PYR104" s="531"/>
      <c r="PYS104" s="530"/>
      <c r="PYT104" s="531"/>
      <c r="PYU104" s="530"/>
      <c r="PYV104" s="531"/>
      <c r="PYW104" s="530"/>
      <c r="PYX104" s="531"/>
      <c r="PYY104" s="530"/>
      <c r="PYZ104" s="531"/>
      <c r="PZA104" s="530"/>
      <c r="PZB104" s="531"/>
      <c r="PZC104" s="530"/>
      <c r="PZD104" s="531"/>
      <c r="PZE104" s="530"/>
      <c r="PZF104" s="531"/>
      <c r="PZG104" s="530"/>
      <c r="PZH104" s="531"/>
      <c r="PZI104" s="530"/>
      <c r="PZJ104" s="531"/>
      <c r="PZK104" s="530"/>
      <c r="PZL104" s="531"/>
      <c r="PZM104" s="530"/>
      <c r="PZN104" s="531"/>
      <c r="PZO104" s="530"/>
      <c r="PZP104" s="531"/>
      <c r="PZQ104" s="530"/>
      <c r="PZR104" s="531"/>
      <c r="PZS104" s="530"/>
      <c r="PZT104" s="531"/>
      <c r="PZU104" s="530"/>
      <c r="PZV104" s="531"/>
      <c r="PZW104" s="530"/>
      <c r="PZX104" s="531"/>
      <c r="PZY104" s="530"/>
      <c r="PZZ104" s="531"/>
      <c r="QAA104" s="530"/>
      <c r="QAB104" s="531"/>
      <c r="QAC104" s="530"/>
      <c r="QAD104" s="531"/>
      <c r="QAE104" s="530"/>
      <c r="QAF104" s="531"/>
      <c r="QAG104" s="530"/>
      <c r="QAH104" s="531"/>
      <c r="QAI104" s="530"/>
      <c r="QAJ104" s="531"/>
      <c r="QAK104" s="530"/>
      <c r="QAL104" s="531"/>
      <c r="QAM104" s="530"/>
      <c r="QAN104" s="531"/>
      <c r="QAO104" s="530"/>
      <c r="QAP104" s="531"/>
      <c r="QAQ104" s="530"/>
      <c r="QAR104" s="531"/>
      <c r="QAS104" s="530"/>
      <c r="QAT104" s="531"/>
      <c r="QAU104" s="530"/>
      <c r="QAV104" s="531"/>
      <c r="QAW104" s="530"/>
      <c r="QAX104" s="531"/>
      <c r="QAY104" s="530"/>
      <c r="QAZ104" s="531"/>
      <c r="QBA104" s="530"/>
      <c r="QBB104" s="531"/>
      <c r="QBC104" s="530"/>
      <c r="QBD104" s="531"/>
      <c r="QBE104" s="530"/>
      <c r="QBF104" s="531"/>
      <c r="QBG104" s="530"/>
      <c r="QBH104" s="531"/>
      <c r="QBI104" s="530"/>
      <c r="QBJ104" s="531"/>
      <c r="QBK104" s="530"/>
      <c r="QBL104" s="531"/>
      <c r="QBM104" s="530"/>
      <c r="QBN104" s="531"/>
      <c r="QBO104" s="530"/>
      <c r="QBP104" s="531"/>
      <c r="QBQ104" s="530"/>
      <c r="QBR104" s="531"/>
      <c r="QBS104" s="530"/>
      <c r="QBT104" s="531"/>
      <c r="QBU104" s="530"/>
      <c r="QBV104" s="531"/>
      <c r="QBW104" s="530"/>
      <c r="QBX104" s="531"/>
      <c r="QBY104" s="530"/>
      <c r="QBZ104" s="531"/>
      <c r="QCA104" s="530"/>
      <c r="QCB104" s="531"/>
      <c r="QCC104" s="530"/>
      <c r="QCD104" s="531"/>
      <c r="QCE104" s="530"/>
      <c r="QCF104" s="531"/>
      <c r="QCG104" s="530"/>
      <c r="QCH104" s="531"/>
      <c r="QCI104" s="530"/>
      <c r="QCJ104" s="531"/>
      <c r="QCK104" s="530"/>
      <c r="QCL104" s="531"/>
      <c r="QCM104" s="530"/>
      <c r="QCN104" s="531"/>
      <c r="QCO104" s="530"/>
      <c r="QCP104" s="531"/>
      <c r="QCQ104" s="530"/>
      <c r="QCR104" s="531"/>
      <c r="QCS104" s="530"/>
      <c r="QCT104" s="531"/>
      <c r="QCU104" s="530"/>
      <c r="QCV104" s="531"/>
      <c r="QCW104" s="530"/>
      <c r="QCX104" s="531"/>
      <c r="QCY104" s="530"/>
      <c r="QCZ104" s="531"/>
      <c r="QDA104" s="530"/>
      <c r="QDB104" s="531"/>
      <c r="QDC104" s="530"/>
      <c r="QDD104" s="531"/>
      <c r="QDE104" s="530"/>
      <c r="QDF104" s="531"/>
      <c r="QDG104" s="530"/>
      <c r="QDH104" s="531"/>
      <c r="QDI104" s="530"/>
      <c r="QDJ104" s="531"/>
      <c r="QDK104" s="530"/>
      <c r="QDL104" s="531"/>
      <c r="QDM104" s="530"/>
      <c r="QDN104" s="531"/>
      <c r="QDO104" s="530"/>
      <c r="QDP104" s="531"/>
      <c r="QDQ104" s="530"/>
      <c r="QDR104" s="531"/>
      <c r="QDS104" s="530"/>
      <c r="QDT104" s="531"/>
      <c r="QDU104" s="530"/>
      <c r="QDV104" s="531"/>
      <c r="QDW104" s="530"/>
      <c r="QDX104" s="531"/>
      <c r="QDY104" s="530"/>
      <c r="QDZ104" s="531"/>
      <c r="QEA104" s="530"/>
      <c r="QEB104" s="531"/>
      <c r="QEC104" s="530"/>
      <c r="QED104" s="531"/>
      <c r="QEE104" s="530"/>
      <c r="QEF104" s="531"/>
      <c r="QEG104" s="530"/>
      <c r="QEH104" s="531"/>
      <c r="QEI104" s="530"/>
      <c r="QEJ104" s="531"/>
      <c r="QEK104" s="530"/>
      <c r="QEL104" s="531"/>
      <c r="QEM104" s="530"/>
      <c r="QEN104" s="531"/>
      <c r="QEO104" s="530"/>
      <c r="QEP104" s="531"/>
      <c r="QEQ104" s="530"/>
      <c r="QER104" s="531"/>
      <c r="QES104" s="530"/>
      <c r="QET104" s="531"/>
      <c r="QEU104" s="530"/>
      <c r="QEV104" s="531"/>
      <c r="QEW104" s="530"/>
      <c r="QEX104" s="531"/>
      <c r="QEY104" s="530"/>
      <c r="QEZ104" s="531"/>
      <c r="QFA104" s="530"/>
      <c r="QFB104" s="531"/>
      <c r="QFC104" s="530"/>
      <c r="QFD104" s="531"/>
      <c r="QFE104" s="530"/>
      <c r="QFF104" s="531"/>
      <c r="QFG104" s="530"/>
      <c r="QFH104" s="531"/>
      <c r="QFI104" s="530"/>
      <c r="QFJ104" s="531"/>
      <c r="QFK104" s="530"/>
      <c r="QFL104" s="531"/>
      <c r="QFM104" s="530"/>
      <c r="QFN104" s="531"/>
      <c r="QFO104" s="530"/>
      <c r="QFP104" s="531"/>
      <c r="QFQ104" s="530"/>
      <c r="QFR104" s="531"/>
      <c r="QFS104" s="530"/>
      <c r="QFT104" s="531"/>
      <c r="QFU104" s="530"/>
      <c r="QFV104" s="531"/>
      <c r="QFW104" s="530"/>
      <c r="QFX104" s="531"/>
      <c r="QFY104" s="530"/>
      <c r="QFZ104" s="531"/>
      <c r="QGA104" s="530"/>
      <c r="QGB104" s="531"/>
      <c r="QGC104" s="530"/>
      <c r="QGD104" s="531"/>
      <c r="QGE104" s="530"/>
      <c r="QGF104" s="531"/>
      <c r="QGG104" s="530"/>
      <c r="QGH104" s="531"/>
      <c r="QGI104" s="530"/>
      <c r="QGJ104" s="531"/>
      <c r="QGK104" s="530"/>
      <c r="QGL104" s="531"/>
      <c r="QGM104" s="530"/>
      <c r="QGN104" s="531"/>
      <c r="QGO104" s="530"/>
      <c r="QGP104" s="531"/>
      <c r="QGQ104" s="530"/>
      <c r="QGR104" s="531"/>
      <c r="QGS104" s="530"/>
      <c r="QGT104" s="531"/>
      <c r="QGU104" s="530"/>
      <c r="QGV104" s="531"/>
      <c r="QGW104" s="530"/>
      <c r="QGX104" s="531"/>
      <c r="QGY104" s="530"/>
      <c r="QGZ104" s="531"/>
      <c r="QHA104" s="530"/>
      <c r="QHB104" s="531"/>
      <c r="QHC104" s="530"/>
      <c r="QHD104" s="531"/>
      <c r="QHE104" s="530"/>
      <c r="QHF104" s="531"/>
      <c r="QHG104" s="530"/>
      <c r="QHH104" s="531"/>
      <c r="QHI104" s="530"/>
      <c r="QHJ104" s="531"/>
      <c r="QHK104" s="530"/>
      <c r="QHL104" s="531"/>
      <c r="QHM104" s="530"/>
      <c r="QHN104" s="531"/>
      <c r="QHO104" s="530"/>
      <c r="QHP104" s="531"/>
      <c r="QHQ104" s="530"/>
      <c r="QHR104" s="531"/>
      <c r="QHS104" s="530"/>
      <c r="QHT104" s="531"/>
      <c r="QHU104" s="530"/>
      <c r="QHV104" s="531"/>
      <c r="QHW104" s="530"/>
      <c r="QHX104" s="531"/>
      <c r="QHY104" s="530"/>
      <c r="QHZ104" s="531"/>
      <c r="QIA104" s="530"/>
      <c r="QIB104" s="531"/>
      <c r="QIC104" s="530"/>
      <c r="QID104" s="531"/>
      <c r="QIE104" s="530"/>
      <c r="QIF104" s="531"/>
      <c r="QIG104" s="530"/>
      <c r="QIH104" s="531"/>
      <c r="QII104" s="530"/>
      <c r="QIJ104" s="531"/>
      <c r="QIK104" s="530"/>
      <c r="QIL104" s="531"/>
      <c r="QIM104" s="530"/>
      <c r="QIN104" s="531"/>
      <c r="QIO104" s="530"/>
      <c r="QIP104" s="531"/>
      <c r="QIQ104" s="530"/>
      <c r="QIR104" s="531"/>
      <c r="QIS104" s="530"/>
      <c r="QIT104" s="531"/>
      <c r="QIU104" s="530"/>
      <c r="QIV104" s="531"/>
      <c r="QIW104" s="530"/>
      <c r="QIX104" s="531"/>
      <c r="QIY104" s="530"/>
      <c r="QIZ104" s="531"/>
      <c r="QJA104" s="530"/>
      <c r="QJB104" s="531"/>
      <c r="QJC104" s="530"/>
      <c r="QJD104" s="531"/>
      <c r="QJE104" s="530"/>
      <c r="QJF104" s="531"/>
      <c r="QJG104" s="530"/>
      <c r="QJH104" s="531"/>
      <c r="QJI104" s="530"/>
      <c r="QJJ104" s="531"/>
      <c r="QJK104" s="530"/>
      <c r="QJL104" s="531"/>
      <c r="QJM104" s="530"/>
      <c r="QJN104" s="531"/>
      <c r="QJO104" s="530"/>
      <c r="QJP104" s="531"/>
      <c r="QJQ104" s="530"/>
      <c r="QJR104" s="531"/>
      <c r="QJS104" s="530"/>
      <c r="QJT104" s="531"/>
      <c r="QJU104" s="530"/>
      <c r="QJV104" s="531"/>
      <c r="QJW104" s="530"/>
      <c r="QJX104" s="531"/>
      <c r="QJY104" s="530"/>
      <c r="QJZ104" s="531"/>
      <c r="QKA104" s="530"/>
      <c r="QKB104" s="531"/>
      <c r="QKC104" s="530"/>
      <c r="QKD104" s="531"/>
      <c r="QKE104" s="530"/>
      <c r="QKF104" s="531"/>
      <c r="QKG104" s="530"/>
      <c r="QKH104" s="531"/>
      <c r="QKI104" s="530"/>
      <c r="QKJ104" s="531"/>
      <c r="QKK104" s="530"/>
      <c r="QKL104" s="531"/>
      <c r="QKM104" s="530"/>
      <c r="QKN104" s="531"/>
      <c r="QKO104" s="530"/>
      <c r="QKP104" s="531"/>
      <c r="QKQ104" s="530"/>
      <c r="QKR104" s="531"/>
      <c r="QKS104" s="530"/>
      <c r="QKT104" s="531"/>
      <c r="QKU104" s="530"/>
      <c r="QKV104" s="531"/>
      <c r="QKW104" s="530"/>
      <c r="QKX104" s="531"/>
      <c r="QKY104" s="530"/>
      <c r="QKZ104" s="531"/>
      <c r="QLA104" s="530"/>
      <c r="QLB104" s="531"/>
      <c r="QLC104" s="530"/>
      <c r="QLD104" s="531"/>
      <c r="QLE104" s="530"/>
      <c r="QLF104" s="531"/>
      <c r="QLG104" s="530"/>
      <c r="QLH104" s="531"/>
      <c r="QLI104" s="530"/>
      <c r="QLJ104" s="531"/>
      <c r="QLK104" s="530"/>
      <c r="QLL104" s="531"/>
      <c r="QLM104" s="530"/>
      <c r="QLN104" s="531"/>
      <c r="QLO104" s="530"/>
      <c r="QLP104" s="531"/>
      <c r="QLQ104" s="530"/>
      <c r="QLR104" s="531"/>
      <c r="QLS104" s="530"/>
      <c r="QLT104" s="531"/>
      <c r="QLU104" s="530"/>
      <c r="QLV104" s="531"/>
      <c r="QLW104" s="530"/>
      <c r="QLX104" s="531"/>
      <c r="QLY104" s="530"/>
      <c r="QLZ104" s="531"/>
      <c r="QMA104" s="530"/>
      <c r="QMB104" s="531"/>
      <c r="QMC104" s="530"/>
      <c r="QMD104" s="531"/>
      <c r="QME104" s="530"/>
      <c r="QMF104" s="531"/>
      <c r="QMG104" s="530"/>
      <c r="QMH104" s="531"/>
      <c r="QMI104" s="530"/>
      <c r="QMJ104" s="531"/>
      <c r="QMK104" s="530"/>
      <c r="QML104" s="531"/>
      <c r="QMM104" s="530"/>
      <c r="QMN104" s="531"/>
      <c r="QMO104" s="530"/>
      <c r="QMP104" s="531"/>
      <c r="QMQ104" s="530"/>
      <c r="QMR104" s="531"/>
      <c r="QMS104" s="530"/>
      <c r="QMT104" s="531"/>
      <c r="QMU104" s="530"/>
      <c r="QMV104" s="531"/>
      <c r="QMW104" s="530"/>
      <c r="QMX104" s="531"/>
      <c r="QMY104" s="530"/>
      <c r="QMZ104" s="531"/>
      <c r="QNA104" s="530"/>
      <c r="QNB104" s="531"/>
      <c r="QNC104" s="530"/>
      <c r="QND104" s="531"/>
      <c r="QNE104" s="530"/>
      <c r="QNF104" s="531"/>
      <c r="QNG104" s="530"/>
      <c r="QNH104" s="531"/>
      <c r="QNI104" s="530"/>
      <c r="QNJ104" s="531"/>
      <c r="QNK104" s="530"/>
      <c r="QNL104" s="531"/>
      <c r="QNM104" s="530"/>
      <c r="QNN104" s="531"/>
      <c r="QNO104" s="530"/>
      <c r="QNP104" s="531"/>
      <c r="QNQ104" s="530"/>
      <c r="QNR104" s="531"/>
      <c r="QNS104" s="530"/>
      <c r="QNT104" s="531"/>
      <c r="QNU104" s="530"/>
      <c r="QNV104" s="531"/>
      <c r="QNW104" s="530"/>
      <c r="QNX104" s="531"/>
      <c r="QNY104" s="530"/>
      <c r="QNZ104" s="531"/>
      <c r="QOA104" s="530"/>
      <c r="QOB104" s="531"/>
      <c r="QOC104" s="530"/>
      <c r="QOD104" s="531"/>
      <c r="QOE104" s="530"/>
      <c r="QOF104" s="531"/>
      <c r="QOG104" s="530"/>
      <c r="QOH104" s="531"/>
      <c r="QOI104" s="530"/>
      <c r="QOJ104" s="531"/>
      <c r="QOK104" s="530"/>
      <c r="QOL104" s="531"/>
      <c r="QOM104" s="530"/>
      <c r="QON104" s="531"/>
      <c r="QOO104" s="530"/>
      <c r="QOP104" s="531"/>
      <c r="QOQ104" s="530"/>
      <c r="QOR104" s="531"/>
      <c r="QOS104" s="530"/>
      <c r="QOT104" s="531"/>
      <c r="QOU104" s="530"/>
      <c r="QOV104" s="531"/>
      <c r="QOW104" s="530"/>
      <c r="QOX104" s="531"/>
      <c r="QOY104" s="530"/>
      <c r="QOZ104" s="531"/>
      <c r="QPA104" s="530"/>
      <c r="QPB104" s="531"/>
      <c r="QPC104" s="530"/>
      <c r="QPD104" s="531"/>
      <c r="QPE104" s="530"/>
      <c r="QPF104" s="531"/>
      <c r="QPG104" s="530"/>
      <c r="QPH104" s="531"/>
      <c r="QPI104" s="530"/>
      <c r="QPJ104" s="531"/>
      <c r="QPK104" s="530"/>
      <c r="QPL104" s="531"/>
      <c r="QPM104" s="530"/>
      <c r="QPN104" s="531"/>
      <c r="QPO104" s="530"/>
      <c r="QPP104" s="531"/>
      <c r="QPQ104" s="530"/>
      <c r="QPR104" s="531"/>
      <c r="QPS104" s="530"/>
      <c r="QPT104" s="531"/>
      <c r="QPU104" s="530"/>
      <c r="QPV104" s="531"/>
      <c r="QPW104" s="530"/>
      <c r="QPX104" s="531"/>
      <c r="QPY104" s="530"/>
      <c r="QPZ104" s="531"/>
      <c r="QQA104" s="530"/>
      <c r="QQB104" s="531"/>
      <c r="QQC104" s="530"/>
      <c r="QQD104" s="531"/>
      <c r="QQE104" s="530"/>
      <c r="QQF104" s="531"/>
      <c r="QQG104" s="530"/>
      <c r="QQH104" s="531"/>
      <c r="QQI104" s="530"/>
      <c r="QQJ104" s="531"/>
      <c r="QQK104" s="530"/>
      <c r="QQL104" s="531"/>
      <c r="QQM104" s="530"/>
      <c r="QQN104" s="531"/>
      <c r="QQO104" s="530"/>
      <c r="QQP104" s="531"/>
      <c r="QQQ104" s="530"/>
      <c r="QQR104" s="531"/>
      <c r="QQS104" s="530"/>
      <c r="QQT104" s="531"/>
      <c r="QQU104" s="530"/>
      <c r="QQV104" s="531"/>
      <c r="QQW104" s="530"/>
      <c r="QQX104" s="531"/>
      <c r="QQY104" s="530"/>
      <c r="QQZ104" s="531"/>
      <c r="QRA104" s="530"/>
      <c r="QRB104" s="531"/>
      <c r="QRC104" s="530"/>
      <c r="QRD104" s="531"/>
      <c r="QRE104" s="530"/>
      <c r="QRF104" s="531"/>
      <c r="QRG104" s="530"/>
      <c r="QRH104" s="531"/>
      <c r="QRI104" s="530"/>
      <c r="QRJ104" s="531"/>
      <c r="QRK104" s="530"/>
      <c r="QRL104" s="531"/>
      <c r="QRM104" s="530"/>
      <c r="QRN104" s="531"/>
      <c r="QRO104" s="530"/>
      <c r="QRP104" s="531"/>
      <c r="QRQ104" s="530"/>
      <c r="QRR104" s="531"/>
      <c r="QRS104" s="530"/>
      <c r="QRT104" s="531"/>
      <c r="QRU104" s="530"/>
      <c r="QRV104" s="531"/>
      <c r="QRW104" s="530"/>
      <c r="QRX104" s="531"/>
      <c r="QRY104" s="530"/>
      <c r="QRZ104" s="531"/>
      <c r="QSA104" s="530"/>
      <c r="QSB104" s="531"/>
      <c r="QSC104" s="530"/>
      <c r="QSD104" s="531"/>
      <c r="QSE104" s="530"/>
      <c r="QSF104" s="531"/>
      <c r="QSG104" s="530"/>
      <c r="QSH104" s="531"/>
      <c r="QSI104" s="530"/>
      <c r="QSJ104" s="531"/>
      <c r="QSK104" s="530"/>
      <c r="QSL104" s="531"/>
      <c r="QSM104" s="530"/>
      <c r="QSN104" s="531"/>
      <c r="QSO104" s="530"/>
      <c r="QSP104" s="531"/>
      <c r="QSQ104" s="530"/>
      <c r="QSR104" s="531"/>
      <c r="QSS104" s="530"/>
      <c r="QST104" s="531"/>
      <c r="QSU104" s="530"/>
      <c r="QSV104" s="531"/>
      <c r="QSW104" s="530"/>
      <c r="QSX104" s="531"/>
      <c r="QSY104" s="530"/>
      <c r="QSZ104" s="531"/>
      <c r="QTA104" s="530"/>
      <c r="QTB104" s="531"/>
      <c r="QTC104" s="530"/>
      <c r="QTD104" s="531"/>
      <c r="QTE104" s="530"/>
      <c r="QTF104" s="531"/>
      <c r="QTG104" s="530"/>
      <c r="QTH104" s="531"/>
      <c r="QTI104" s="530"/>
      <c r="QTJ104" s="531"/>
      <c r="QTK104" s="530"/>
      <c r="QTL104" s="531"/>
      <c r="QTM104" s="530"/>
      <c r="QTN104" s="531"/>
      <c r="QTO104" s="530"/>
      <c r="QTP104" s="531"/>
      <c r="QTQ104" s="530"/>
      <c r="QTR104" s="531"/>
      <c r="QTS104" s="530"/>
      <c r="QTT104" s="531"/>
      <c r="QTU104" s="530"/>
      <c r="QTV104" s="531"/>
      <c r="QTW104" s="530"/>
      <c r="QTX104" s="531"/>
      <c r="QTY104" s="530"/>
      <c r="QTZ104" s="531"/>
      <c r="QUA104" s="530"/>
      <c r="QUB104" s="531"/>
      <c r="QUC104" s="530"/>
      <c r="QUD104" s="531"/>
      <c r="QUE104" s="530"/>
      <c r="QUF104" s="531"/>
      <c r="QUG104" s="530"/>
      <c r="QUH104" s="531"/>
      <c r="QUI104" s="530"/>
      <c r="QUJ104" s="531"/>
      <c r="QUK104" s="530"/>
      <c r="QUL104" s="531"/>
      <c r="QUM104" s="530"/>
      <c r="QUN104" s="531"/>
      <c r="QUO104" s="530"/>
      <c r="QUP104" s="531"/>
      <c r="QUQ104" s="530"/>
      <c r="QUR104" s="531"/>
      <c r="QUS104" s="530"/>
      <c r="QUT104" s="531"/>
      <c r="QUU104" s="530"/>
      <c r="QUV104" s="531"/>
      <c r="QUW104" s="530"/>
      <c r="QUX104" s="531"/>
      <c r="QUY104" s="530"/>
      <c r="QUZ104" s="531"/>
      <c r="QVA104" s="530"/>
      <c r="QVB104" s="531"/>
      <c r="QVC104" s="530"/>
      <c r="QVD104" s="531"/>
      <c r="QVE104" s="530"/>
      <c r="QVF104" s="531"/>
      <c r="QVG104" s="530"/>
      <c r="QVH104" s="531"/>
      <c r="QVI104" s="530"/>
      <c r="QVJ104" s="531"/>
      <c r="QVK104" s="530"/>
      <c r="QVL104" s="531"/>
      <c r="QVM104" s="530"/>
      <c r="QVN104" s="531"/>
      <c r="QVO104" s="530"/>
      <c r="QVP104" s="531"/>
      <c r="QVQ104" s="530"/>
      <c r="QVR104" s="531"/>
      <c r="QVS104" s="530"/>
      <c r="QVT104" s="531"/>
      <c r="QVU104" s="530"/>
      <c r="QVV104" s="531"/>
      <c r="QVW104" s="530"/>
      <c r="QVX104" s="531"/>
      <c r="QVY104" s="530"/>
      <c r="QVZ104" s="531"/>
      <c r="QWA104" s="530"/>
      <c r="QWB104" s="531"/>
      <c r="QWC104" s="530"/>
      <c r="QWD104" s="531"/>
      <c r="QWE104" s="530"/>
      <c r="QWF104" s="531"/>
      <c r="QWG104" s="530"/>
      <c r="QWH104" s="531"/>
      <c r="QWI104" s="530"/>
      <c r="QWJ104" s="531"/>
      <c r="QWK104" s="530"/>
      <c r="QWL104" s="531"/>
      <c r="QWM104" s="530"/>
      <c r="QWN104" s="531"/>
      <c r="QWO104" s="530"/>
      <c r="QWP104" s="531"/>
      <c r="QWQ104" s="530"/>
      <c r="QWR104" s="531"/>
      <c r="QWS104" s="530"/>
      <c r="QWT104" s="531"/>
      <c r="QWU104" s="530"/>
      <c r="QWV104" s="531"/>
      <c r="QWW104" s="530"/>
      <c r="QWX104" s="531"/>
      <c r="QWY104" s="530"/>
      <c r="QWZ104" s="531"/>
      <c r="QXA104" s="530"/>
      <c r="QXB104" s="531"/>
      <c r="QXC104" s="530"/>
      <c r="QXD104" s="531"/>
      <c r="QXE104" s="530"/>
      <c r="QXF104" s="531"/>
      <c r="QXG104" s="530"/>
      <c r="QXH104" s="531"/>
      <c r="QXI104" s="530"/>
      <c r="QXJ104" s="531"/>
      <c r="QXK104" s="530"/>
      <c r="QXL104" s="531"/>
      <c r="QXM104" s="530"/>
      <c r="QXN104" s="531"/>
      <c r="QXO104" s="530"/>
      <c r="QXP104" s="531"/>
      <c r="QXQ104" s="530"/>
      <c r="QXR104" s="531"/>
      <c r="QXS104" s="530"/>
      <c r="QXT104" s="531"/>
      <c r="QXU104" s="530"/>
      <c r="QXV104" s="531"/>
      <c r="QXW104" s="530"/>
      <c r="QXX104" s="531"/>
      <c r="QXY104" s="530"/>
      <c r="QXZ104" s="531"/>
      <c r="QYA104" s="530"/>
      <c r="QYB104" s="531"/>
      <c r="QYC104" s="530"/>
      <c r="QYD104" s="531"/>
      <c r="QYE104" s="530"/>
      <c r="QYF104" s="531"/>
      <c r="QYG104" s="530"/>
      <c r="QYH104" s="531"/>
      <c r="QYI104" s="530"/>
      <c r="QYJ104" s="531"/>
      <c r="QYK104" s="530"/>
      <c r="QYL104" s="531"/>
      <c r="QYM104" s="530"/>
      <c r="QYN104" s="531"/>
      <c r="QYO104" s="530"/>
      <c r="QYP104" s="531"/>
      <c r="QYQ104" s="530"/>
      <c r="QYR104" s="531"/>
      <c r="QYS104" s="530"/>
      <c r="QYT104" s="531"/>
      <c r="QYU104" s="530"/>
      <c r="QYV104" s="531"/>
      <c r="QYW104" s="530"/>
      <c r="QYX104" s="531"/>
      <c r="QYY104" s="530"/>
      <c r="QYZ104" s="531"/>
      <c r="QZA104" s="530"/>
      <c r="QZB104" s="531"/>
      <c r="QZC104" s="530"/>
      <c r="QZD104" s="531"/>
      <c r="QZE104" s="530"/>
      <c r="QZF104" s="531"/>
      <c r="QZG104" s="530"/>
      <c r="QZH104" s="531"/>
      <c r="QZI104" s="530"/>
      <c r="QZJ104" s="531"/>
      <c r="QZK104" s="530"/>
      <c r="QZL104" s="531"/>
      <c r="QZM104" s="530"/>
      <c r="QZN104" s="531"/>
      <c r="QZO104" s="530"/>
      <c r="QZP104" s="531"/>
      <c r="QZQ104" s="530"/>
      <c r="QZR104" s="531"/>
      <c r="QZS104" s="530"/>
      <c r="QZT104" s="531"/>
      <c r="QZU104" s="530"/>
      <c r="QZV104" s="531"/>
      <c r="QZW104" s="530"/>
      <c r="QZX104" s="531"/>
      <c r="QZY104" s="530"/>
      <c r="QZZ104" s="531"/>
      <c r="RAA104" s="530"/>
      <c r="RAB104" s="531"/>
      <c r="RAC104" s="530"/>
      <c r="RAD104" s="531"/>
      <c r="RAE104" s="530"/>
      <c r="RAF104" s="531"/>
      <c r="RAG104" s="530"/>
      <c r="RAH104" s="531"/>
      <c r="RAI104" s="530"/>
      <c r="RAJ104" s="531"/>
      <c r="RAK104" s="530"/>
      <c r="RAL104" s="531"/>
      <c r="RAM104" s="530"/>
      <c r="RAN104" s="531"/>
      <c r="RAO104" s="530"/>
      <c r="RAP104" s="531"/>
      <c r="RAQ104" s="530"/>
      <c r="RAR104" s="531"/>
      <c r="RAS104" s="530"/>
      <c r="RAT104" s="531"/>
      <c r="RAU104" s="530"/>
      <c r="RAV104" s="531"/>
      <c r="RAW104" s="530"/>
      <c r="RAX104" s="531"/>
      <c r="RAY104" s="530"/>
      <c r="RAZ104" s="531"/>
      <c r="RBA104" s="530"/>
      <c r="RBB104" s="531"/>
      <c r="RBC104" s="530"/>
      <c r="RBD104" s="531"/>
      <c r="RBE104" s="530"/>
      <c r="RBF104" s="531"/>
      <c r="RBG104" s="530"/>
      <c r="RBH104" s="531"/>
      <c r="RBI104" s="530"/>
      <c r="RBJ104" s="531"/>
      <c r="RBK104" s="530"/>
      <c r="RBL104" s="531"/>
      <c r="RBM104" s="530"/>
      <c r="RBN104" s="531"/>
      <c r="RBO104" s="530"/>
      <c r="RBP104" s="531"/>
      <c r="RBQ104" s="530"/>
      <c r="RBR104" s="531"/>
      <c r="RBS104" s="530"/>
      <c r="RBT104" s="531"/>
      <c r="RBU104" s="530"/>
      <c r="RBV104" s="531"/>
      <c r="RBW104" s="530"/>
      <c r="RBX104" s="531"/>
      <c r="RBY104" s="530"/>
      <c r="RBZ104" s="531"/>
      <c r="RCA104" s="530"/>
      <c r="RCB104" s="531"/>
      <c r="RCC104" s="530"/>
      <c r="RCD104" s="531"/>
      <c r="RCE104" s="530"/>
      <c r="RCF104" s="531"/>
      <c r="RCG104" s="530"/>
      <c r="RCH104" s="531"/>
      <c r="RCI104" s="530"/>
      <c r="RCJ104" s="531"/>
      <c r="RCK104" s="530"/>
      <c r="RCL104" s="531"/>
      <c r="RCM104" s="530"/>
      <c r="RCN104" s="531"/>
      <c r="RCO104" s="530"/>
      <c r="RCP104" s="531"/>
      <c r="RCQ104" s="530"/>
      <c r="RCR104" s="531"/>
      <c r="RCS104" s="530"/>
      <c r="RCT104" s="531"/>
      <c r="RCU104" s="530"/>
      <c r="RCV104" s="531"/>
      <c r="RCW104" s="530"/>
      <c r="RCX104" s="531"/>
      <c r="RCY104" s="530"/>
      <c r="RCZ104" s="531"/>
      <c r="RDA104" s="530"/>
      <c r="RDB104" s="531"/>
      <c r="RDC104" s="530"/>
      <c r="RDD104" s="531"/>
      <c r="RDE104" s="530"/>
      <c r="RDF104" s="531"/>
      <c r="RDG104" s="530"/>
      <c r="RDH104" s="531"/>
      <c r="RDI104" s="530"/>
      <c r="RDJ104" s="531"/>
      <c r="RDK104" s="530"/>
      <c r="RDL104" s="531"/>
      <c r="RDM104" s="530"/>
      <c r="RDN104" s="531"/>
      <c r="RDO104" s="530"/>
      <c r="RDP104" s="531"/>
      <c r="RDQ104" s="530"/>
      <c r="RDR104" s="531"/>
      <c r="RDS104" s="530"/>
      <c r="RDT104" s="531"/>
      <c r="RDU104" s="530"/>
      <c r="RDV104" s="531"/>
      <c r="RDW104" s="530"/>
      <c r="RDX104" s="531"/>
      <c r="RDY104" s="530"/>
      <c r="RDZ104" s="531"/>
      <c r="REA104" s="530"/>
      <c r="REB104" s="531"/>
      <c r="REC104" s="530"/>
      <c r="RED104" s="531"/>
      <c r="REE104" s="530"/>
      <c r="REF104" s="531"/>
      <c r="REG104" s="530"/>
      <c r="REH104" s="531"/>
      <c r="REI104" s="530"/>
      <c r="REJ104" s="531"/>
      <c r="REK104" s="530"/>
      <c r="REL104" s="531"/>
      <c r="REM104" s="530"/>
      <c r="REN104" s="531"/>
      <c r="REO104" s="530"/>
      <c r="REP104" s="531"/>
      <c r="REQ104" s="530"/>
      <c r="RER104" s="531"/>
      <c r="RES104" s="530"/>
      <c r="RET104" s="531"/>
      <c r="REU104" s="530"/>
      <c r="REV104" s="531"/>
      <c r="REW104" s="530"/>
      <c r="REX104" s="531"/>
      <c r="REY104" s="530"/>
      <c r="REZ104" s="531"/>
      <c r="RFA104" s="530"/>
      <c r="RFB104" s="531"/>
      <c r="RFC104" s="530"/>
      <c r="RFD104" s="531"/>
      <c r="RFE104" s="530"/>
      <c r="RFF104" s="531"/>
      <c r="RFG104" s="530"/>
      <c r="RFH104" s="531"/>
      <c r="RFI104" s="530"/>
      <c r="RFJ104" s="531"/>
      <c r="RFK104" s="530"/>
      <c r="RFL104" s="531"/>
      <c r="RFM104" s="530"/>
      <c r="RFN104" s="531"/>
      <c r="RFO104" s="530"/>
      <c r="RFP104" s="531"/>
      <c r="RFQ104" s="530"/>
      <c r="RFR104" s="531"/>
      <c r="RFS104" s="530"/>
      <c r="RFT104" s="531"/>
      <c r="RFU104" s="530"/>
      <c r="RFV104" s="531"/>
      <c r="RFW104" s="530"/>
      <c r="RFX104" s="531"/>
      <c r="RFY104" s="530"/>
      <c r="RFZ104" s="531"/>
      <c r="RGA104" s="530"/>
      <c r="RGB104" s="531"/>
      <c r="RGC104" s="530"/>
      <c r="RGD104" s="531"/>
      <c r="RGE104" s="530"/>
      <c r="RGF104" s="531"/>
      <c r="RGG104" s="530"/>
      <c r="RGH104" s="531"/>
      <c r="RGI104" s="530"/>
      <c r="RGJ104" s="531"/>
      <c r="RGK104" s="530"/>
      <c r="RGL104" s="531"/>
      <c r="RGM104" s="530"/>
      <c r="RGN104" s="531"/>
      <c r="RGO104" s="530"/>
      <c r="RGP104" s="531"/>
      <c r="RGQ104" s="530"/>
      <c r="RGR104" s="531"/>
      <c r="RGS104" s="530"/>
      <c r="RGT104" s="531"/>
      <c r="RGU104" s="530"/>
      <c r="RGV104" s="531"/>
      <c r="RGW104" s="530"/>
      <c r="RGX104" s="531"/>
      <c r="RGY104" s="530"/>
      <c r="RGZ104" s="531"/>
      <c r="RHA104" s="530"/>
      <c r="RHB104" s="531"/>
      <c r="RHC104" s="530"/>
      <c r="RHD104" s="531"/>
      <c r="RHE104" s="530"/>
      <c r="RHF104" s="531"/>
      <c r="RHG104" s="530"/>
      <c r="RHH104" s="531"/>
      <c r="RHI104" s="530"/>
      <c r="RHJ104" s="531"/>
      <c r="RHK104" s="530"/>
      <c r="RHL104" s="531"/>
      <c r="RHM104" s="530"/>
      <c r="RHN104" s="531"/>
      <c r="RHO104" s="530"/>
      <c r="RHP104" s="531"/>
      <c r="RHQ104" s="530"/>
      <c r="RHR104" s="531"/>
      <c r="RHS104" s="530"/>
      <c r="RHT104" s="531"/>
      <c r="RHU104" s="530"/>
      <c r="RHV104" s="531"/>
      <c r="RHW104" s="530"/>
      <c r="RHX104" s="531"/>
      <c r="RHY104" s="530"/>
      <c r="RHZ104" s="531"/>
      <c r="RIA104" s="530"/>
      <c r="RIB104" s="531"/>
      <c r="RIC104" s="530"/>
      <c r="RID104" s="531"/>
      <c r="RIE104" s="530"/>
      <c r="RIF104" s="531"/>
      <c r="RIG104" s="530"/>
      <c r="RIH104" s="531"/>
      <c r="RII104" s="530"/>
      <c r="RIJ104" s="531"/>
      <c r="RIK104" s="530"/>
      <c r="RIL104" s="531"/>
      <c r="RIM104" s="530"/>
      <c r="RIN104" s="531"/>
      <c r="RIO104" s="530"/>
      <c r="RIP104" s="531"/>
      <c r="RIQ104" s="530"/>
      <c r="RIR104" s="531"/>
      <c r="RIS104" s="530"/>
      <c r="RIT104" s="531"/>
      <c r="RIU104" s="530"/>
      <c r="RIV104" s="531"/>
      <c r="RIW104" s="530"/>
      <c r="RIX104" s="531"/>
      <c r="RIY104" s="530"/>
      <c r="RIZ104" s="531"/>
      <c r="RJA104" s="530"/>
      <c r="RJB104" s="531"/>
      <c r="RJC104" s="530"/>
      <c r="RJD104" s="531"/>
      <c r="RJE104" s="530"/>
      <c r="RJF104" s="531"/>
      <c r="RJG104" s="530"/>
      <c r="RJH104" s="531"/>
      <c r="RJI104" s="530"/>
      <c r="RJJ104" s="531"/>
      <c r="RJK104" s="530"/>
      <c r="RJL104" s="531"/>
      <c r="RJM104" s="530"/>
      <c r="RJN104" s="531"/>
      <c r="RJO104" s="530"/>
      <c r="RJP104" s="531"/>
      <c r="RJQ104" s="530"/>
      <c r="RJR104" s="531"/>
      <c r="RJS104" s="530"/>
      <c r="RJT104" s="531"/>
      <c r="RJU104" s="530"/>
      <c r="RJV104" s="531"/>
      <c r="RJW104" s="530"/>
      <c r="RJX104" s="531"/>
      <c r="RJY104" s="530"/>
      <c r="RJZ104" s="531"/>
      <c r="RKA104" s="530"/>
      <c r="RKB104" s="531"/>
      <c r="RKC104" s="530"/>
      <c r="RKD104" s="531"/>
      <c r="RKE104" s="530"/>
      <c r="RKF104" s="531"/>
      <c r="RKG104" s="530"/>
      <c r="RKH104" s="531"/>
      <c r="RKI104" s="530"/>
      <c r="RKJ104" s="531"/>
      <c r="RKK104" s="530"/>
      <c r="RKL104" s="531"/>
      <c r="RKM104" s="530"/>
      <c r="RKN104" s="531"/>
      <c r="RKO104" s="530"/>
      <c r="RKP104" s="531"/>
      <c r="RKQ104" s="530"/>
      <c r="RKR104" s="531"/>
      <c r="RKS104" s="530"/>
      <c r="RKT104" s="531"/>
      <c r="RKU104" s="530"/>
      <c r="RKV104" s="531"/>
      <c r="RKW104" s="530"/>
      <c r="RKX104" s="531"/>
      <c r="RKY104" s="530"/>
      <c r="RKZ104" s="531"/>
      <c r="RLA104" s="530"/>
      <c r="RLB104" s="531"/>
      <c r="RLC104" s="530"/>
      <c r="RLD104" s="531"/>
      <c r="RLE104" s="530"/>
      <c r="RLF104" s="531"/>
      <c r="RLG104" s="530"/>
      <c r="RLH104" s="531"/>
      <c r="RLI104" s="530"/>
      <c r="RLJ104" s="531"/>
      <c r="RLK104" s="530"/>
      <c r="RLL104" s="531"/>
      <c r="RLM104" s="530"/>
      <c r="RLN104" s="531"/>
      <c r="RLO104" s="530"/>
      <c r="RLP104" s="531"/>
      <c r="RLQ104" s="530"/>
      <c r="RLR104" s="531"/>
      <c r="RLS104" s="530"/>
      <c r="RLT104" s="531"/>
      <c r="RLU104" s="530"/>
      <c r="RLV104" s="531"/>
      <c r="RLW104" s="530"/>
      <c r="RLX104" s="531"/>
      <c r="RLY104" s="530"/>
      <c r="RLZ104" s="531"/>
      <c r="RMA104" s="530"/>
      <c r="RMB104" s="531"/>
      <c r="RMC104" s="530"/>
      <c r="RMD104" s="531"/>
      <c r="RME104" s="530"/>
      <c r="RMF104" s="531"/>
      <c r="RMG104" s="530"/>
      <c r="RMH104" s="531"/>
      <c r="RMI104" s="530"/>
      <c r="RMJ104" s="531"/>
      <c r="RMK104" s="530"/>
      <c r="RML104" s="531"/>
      <c r="RMM104" s="530"/>
      <c r="RMN104" s="531"/>
      <c r="RMO104" s="530"/>
      <c r="RMP104" s="531"/>
      <c r="RMQ104" s="530"/>
      <c r="RMR104" s="531"/>
      <c r="RMS104" s="530"/>
      <c r="RMT104" s="531"/>
      <c r="RMU104" s="530"/>
      <c r="RMV104" s="531"/>
      <c r="RMW104" s="530"/>
      <c r="RMX104" s="531"/>
      <c r="RMY104" s="530"/>
      <c r="RMZ104" s="531"/>
      <c r="RNA104" s="530"/>
      <c r="RNB104" s="531"/>
      <c r="RNC104" s="530"/>
      <c r="RND104" s="531"/>
      <c r="RNE104" s="530"/>
      <c r="RNF104" s="531"/>
      <c r="RNG104" s="530"/>
      <c r="RNH104" s="531"/>
      <c r="RNI104" s="530"/>
      <c r="RNJ104" s="531"/>
      <c r="RNK104" s="530"/>
      <c r="RNL104" s="531"/>
      <c r="RNM104" s="530"/>
      <c r="RNN104" s="531"/>
      <c r="RNO104" s="530"/>
      <c r="RNP104" s="531"/>
      <c r="RNQ104" s="530"/>
      <c r="RNR104" s="531"/>
      <c r="RNS104" s="530"/>
      <c r="RNT104" s="531"/>
      <c r="RNU104" s="530"/>
      <c r="RNV104" s="531"/>
      <c r="RNW104" s="530"/>
      <c r="RNX104" s="531"/>
      <c r="RNY104" s="530"/>
      <c r="RNZ104" s="531"/>
      <c r="ROA104" s="530"/>
      <c r="ROB104" s="531"/>
      <c r="ROC104" s="530"/>
      <c r="ROD104" s="531"/>
      <c r="ROE104" s="530"/>
      <c r="ROF104" s="531"/>
      <c r="ROG104" s="530"/>
      <c r="ROH104" s="531"/>
      <c r="ROI104" s="530"/>
      <c r="ROJ104" s="531"/>
      <c r="ROK104" s="530"/>
      <c r="ROL104" s="531"/>
      <c r="ROM104" s="530"/>
      <c r="RON104" s="531"/>
      <c r="ROO104" s="530"/>
      <c r="ROP104" s="531"/>
      <c r="ROQ104" s="530"/>
      <c r="ROR104" s="531"/>
      <c r="ROS104" s="530"/>
      <c r="ROT104" s="531"/>
      <c r="ROU104" s="530"/>
      <c r="ROV104" s="531"/>
      <c r="ROW104" s="530"/>
      <c r="ROX104" s="531"/>
      <c r="ROY104" s="530"/>
      <c r="ROZ104" s="531"/>
      <c r="RPA104" s="530"/>
      <c r="RPB104" s="531"/>
      <c r="RPC104" s="530"/>
      <c r="RPD104" s="531"/>
      <c r="RPE104" s="530"/>
      <c r="RPF104" s="531"/>
      <c r="RPG104" s="530"/>
      <c r="RPH104" s="531"/>
      <c r="RPI104" s="530"/>
      <c r="RPJ104" s="531"/>
      <c r="RPK104" s="530"/>
      <c r="RPL104" s="531"/>
      <c r="RPM104" s="530"/>
      <c r="RPN104" s="531"/>
      <c r="RPO104" s="530"/>
      <c r="RPP104" s="531"/>
      <c r="RPQ104" s="530"/>
      <c r="RPR104" s="531"/>
      <c r="RPS104" s="530"/>
      <c r="RPT104" s="531"/>
      <c r="RPU104" s="530"/>
      <c r="RPV104" s="531"/>
      <c r="RPW104" s="530"/>
      <c r="RPX104" s="531"/>
      <c r="RPY104" s="530"/>
      <c r="RPZ104" s="531"/>
      <c r="RQA104" s="530"/>
      <c r="RQB104" s="531"/>
      <c r="RQC104" s="530"/>
      <c r="RQD104" s="531"/>
      <c r="RQE104" s="530"/>
      <c r="RQF104" s="531"/>
      <c r="RQG104" s="530"/>
      <c r="RQH104" s="531"/>
      <c r="RQI104" s="530"/>
      <c r="RQJ104" s="531"/>
      <c r="RQK104" s="530"/>
      <c r="RQL104" s="531"/>
      <c r="RQM104" s="530"/>
      <c r="RQN104" s="531"/>
      <c r="RQO104" s="530"/>
      <c r="RQP104" s="531"/>
      <c r="RQQ104" s="530"/>
      <c r="RQR104" s="531"/>
      <c r="RQS104" s="530"/>
      <c r="RQT104" s="531"/>
      <c r="RQU104" s="530"/>
      <c r="RQV104" s="531"/>
      <c r="RQW104" s="530"/>
      <c r="RQX104" s="531"/>
      <c r="RQY104" s="530"/>
      <c r="RQZ104" s="531"/>
      <c r="RRA104" s="530"/>
      <c r="RRB104" s="531"/>
      <c r="RRC104" s="530"/>
      <c r="RRD104" s="531"/>
      <c r="RRE104" s="530"/>
      <c r="RRF104" s="531"/>
      <c r="RRG104" s="530"/>
      <c r="RRH104" s="531"/>
      <c r="RRI104" s="530"/>
      <c r="RRJ104" s="531"/>
      <c r="RRK104" s="530"/>
      <c r="RRL104" s="531"/>
      <c r="RRM104" s="530"/>
      <c r="RRN104" s="531"/>
      <c r="RRO104" s="530"/>
      <c r="RRP104" s="531"/>
      <c r="RRQ104" s="530"/>
      <c r="RRR104" s="531"/>
      <c r="RRS104" s="530"/>
      <c r="RRT104" s="531"/>
      <c r="RRU104" s="530"/>
      <c r="RRV104" s="531"/>
      <c r="RRW104" s="530"/>
      <c r="RRX104" s="531"/>
      <c r="RRY104" s="530"/>
      <c r="RRZ104" s="531"/>
      <c r="RSA104" s="530"/>
      <c r="RSB104" s="531"/>
      <c r="RSC104" s="530"/>
      <c r="RSD104" s="531"/>
      <c r="RSE104" s="530"/>
      <c r="RSF104" s="531"/>
      <c r="RSG104" s="530"/>
      <c r="RSH104" s="531"/>
      <c r="RSI104" s="530"/>
      <c r="RSJ104" s="531"/>
      <c r="RSK104" s="530"/>
      <c r="RSL104" s="531"/>
      <c r="RSM104" s="530"/>
      <c r="RSN104" s="531"/>
      <c r="RSO104" s="530"/>
      <c r="RSP104" s="531"/>
      <c r="RSQ104" s="530"/>
      <c r="RSR104" s="531"/>
      <c r="RSS104" s="530"/>
      <c r="RST104" s="531"/>
      <c r="RSU104" s="530"/>
      <c r="RSV104" s="531"/>
      <c r="RSW104" s="530"/>
      <c r="RSX104" s="531"/>
      <c r="RSY104" s="530"/>
      <c r="RSZ104" s="531"/>
      <c r="RTA104" s="530"/>
      <c r="RTB104" s="531"/>
      <c r="RTC104" s="530"/>
      <c r="RTD104" s="531"/>
      <c r="RTE104" s="530"/>
      <c r="RTF104" s="531"/>
      <c r="RTG104" s="530"/>
      <c r="RTH104" s="531"/>
      <c r="RTI104" s="530"/>
      <c r="RTJ104" s="531"/>
      <c r="RTK104" s="530"/>
      <c r="RTL104" s="531"/>
      <c r="RTM104" s="530"/>
      <c r="RTN104" s="531"/>
      <c r="RTO104" s="530"/>
      <c r="RTP104" s="531"/>
      <c r="RTQ104" s="530"/>
      <c r="RTR104" s="531"/>
      <c r="RTS104" s="530"/>
      <c r="RTT104" s="531"/>
      <c r="RTU104" s="530"/>
      <c r="RTV104" s="531"/>
      <c r="RTW104" s="530"/>
      <c r="RTX104" s="531"/>
      <c r="RTY104" s="530"/>
      <c r="RTZ104" s="531"/>
      <c r="RUA104" s="530"/>
      <c r="RUB104" s="531"/>
      <c r="RUC104" s="530"/>
      <c r="RUD104" s="531"/>
      <c r="RUE104" s="530"/>
      <c r="RUF104" s="531"/>
      <c r="RUG104" s="530"/>
      <c r="RUH104" s="531"/>
      <c r="RUI104" s="530"/>
      <c r="RUJ104" s="531"/>
      <c r="RUK104" s="530"/>
      <c r="RUL104" s="531"/>
      <c r="RUM104" s="530"/>
      <c r="RUN104" s="531"/>
      <c r="RUO104" s="530"/>
      <c r="RUP104" s="531"/>
      <c r="RUQ104" s="530"/>
      <c r="RUR104" s="531"/>
      <c r="RUS104" s="530"/>
      <c r="RUT104" s="531"/>
      <c r="RUU104" s="530"/>
      <c r="RUV104" s="531"/>
      <c r="RUW104" s="530"/>
      <c r="RUX104" s="531"/>
      <c r="RUY104" s="530"/>
      <c r="RUZ104" s="531"/>
      <c r="RVA104" s="530"/>
      <c r="RVB104" s="531"/>
      <c r="RVC104" s="530"/>
      <c r="RVD104" s="531"/>
      <c r="RVE104" s="530"/>
      <c r="RVF104" s="531"/>
      <c r="RVG104" s="530"/>
      <c r="RVH104" s="531"/>
      <c r="RVI104" s="530"/>
      <c r="RVJ104" s="531"/>
      <c r="RVK104" s="530"/>
      <c r="RVL104" s="531"/>
      <c r="RVM104" s="530"/>
      <c r="RVN104" s="531"/>
      <c r="RVO104" s="530"/>
      <c r="RVP104" s="531"/>
      <c r="RVQ104" s="530"/>
      <c r="RVR104" s="531"/>
      <c r="RVS104" s="530"/>
      <c r="RVT104" s="531"/>
      <c r="RVU104" s="530"/>
      <c r="RVV104" s="531"/>
      <c r="RVW104" s="530"/>
      <c r="RVX104" s="531"/>
      <c r="RVY104" s="530"/>
      <c r="RVZ104" s="531"/>
      <c r="RWA104" s="530"/>
      <c r="RWB104" s="531"/>
      <c r="RWC104" s="530"/>
      <c r="RWD104" s="531"/>
      <c r="RWE104" s="530"/>
      <c r="RWF104" s="531"/>
      <c r="RWG104" s="530"/>
      <c r="RWH104" s="531"/>
      <c r="RWI104" s="530"/>
      <c r="RWJ104" s="531"/>
      <c r="RWK104" s="530"/>
      <c r="RWL104" s="531"/>
      <c r="RWM104" s="530"/>
      <c r="RWN104" s="531"/>
      <c r="RWO104" s="530"/>
      <c r="RWP104" s="531"/>
      <c r="RWQ104" s="530"/>
      <c r="RWR104" s="531"/>
      <c r="RWS104" s="530"/>
      <c r="RWT104" s="531"/>
      <c r="RWU104" s="530"/>
      <c r="RWV104" s="531"/>
      <c r="RWW104" s="530"/>
      <c r="RWX104" s="531"/>
      <c r="RWY104" s="530"/>
      <c r="RWZ104" s="531"/>
      <c r="RXA104" s="530"/>
      <c r="RXB104" s="531"/>
      <c r="RXC104" s="530"/>
      <c r="RXD104" s="531"/>
      <c r="RXE104" s="530"/>
      <c r="RXF104" s="531"/>
      <c r="RXG104" s="530"/>
      <c r="RXH104" s="531"/>
      <c r="RXI104" s="530"/>
      <c r="RXJ104" s="531"/>
      <c r="RXK104" s="530"/>
      <c r="RXL104" s="531"/>
      <c r="RXM104" s="530"/>
      <c r="RXN104" s="531"/>
      <c r="RXO104" s="530"/>
      <c r="RXP104" s="531"/>
      <c r="RXQ104" s="530"/>
      <c r="RXR104" s="531"/>
      <c r="RXS104" s="530"/>
      <c r="RXT104" s="531"/>
      <c r="RXU104" s="530"/>
      <c r="RXV104" s="531"/>
      <c r="RXW104" s="530"/>
      <c r="RXX104" s="531"/>
      <c r="RXY104" s="530"/>
      <c r="RXZ104" s="531"/>
      <c r="RYA104" s="530"/>
      <c r="RYB104" s="531"/>
      <c r="RYC104" s="530"/>
      <c r="RYD104" s="531"/>
      <c r="RYE104" s="530"/>
      <c r="RYF104" s="531"/>
      <c r="RYG104" s="530"/>
      <c r="RYH104" s="531"/>
      <c r="RYI104" s="530"/>
      <c r="RYJ104" s="531"/>
      <c r="RYK104" s="530"/>
      <c r="RYL104" s="531"/>
      <c r="RYM104" s="530"/>
      <c r="RYN104" s="531"/>
      <c r="RYO104" s="530"/>
      <c r="RYP104" s="531"/>
      <c r="RYQ104" s="530"/>
      <c r="RYR104" s="531"/>
      <c r="RYS104" s="530"/>
      <c r="RYT104" s="531"/>
      <c r="RYU104" s="530"/>
      <c r="RYV104" s="531"/>
      <c r="RYW104" s="530"/>
      <c r="RYX104" s="531"/>
      <c r="RYY104" s="530"/>
      <c r="RYZ104" s="531"/>
      <c r="RZA104" s="530"/>
      <c r="RZB104" s="531"/>
      <c r="RZC104" s="530"/>
      <c r="RZD104" s="531"/>
      <c r="RZE104" s="530"/>
      <c r="RZF104" s="531"/>
      <c r="RZG104" s="530"/>
      <c r="RZH104" s="531"/>
      <c r="RZI104" s="530"/>
      <c r="RZJ104" s="531"/>
      <c r="RZK104" s="530"/>
      <c r="RZL104" s="531"/>
      <c r="RZM104" s="530"/>
      <c r="RZN104" s="531"/>
      <c r="RZO104" s="530"/>
      <c r="RZP104" s="531"/>
      <c r="RZQ104" s="530"/>
      <c r="RZR104" s="531"/>
      <c r="RZS104" s="530"/>
      <c r="RZT104" s="531"/>
      <c r="RZU104" s="530"/>
      <c r="RZV104" s="531"/>
      <c r="RZW104" s="530"/>
      <c r="RZX104" s="531"/>
      <c r="RZY104" s="530"/>
      <c r="RZZ104" s="531"/>
      <c r="SAA104" s="530"/>
      <c r="SAB104" s="531"/>
      <c r="SAC104" s="530"/>
      <c r="SAD104" s="531"/>
      <c r="SAE104" s="530"/>
      <c r="SAF104" s="531"/>
      <c r="SAG104" s="530"/>
      <c r="SAH104" s="531"/>
      <c r="SAI104" s="530"/>
      <c r="SAJ104" s="531"/>
      <c r="SAK104" s="530"/>
      <c r="SAL104" s="531"/>
      <c r="SAM104" s="530"/>
      <c r="SAN104" s="531"/>
      <c r="SAO104" s="530"/>
      <c r="SAP104" s="531"/>
      <c r="SAQ104" s="530"/>
      <c r="SAR104" s="531"/>
      <c r="SAS104" s="530"/>
      <c r="SAT104" s="531"/>
      <c r="SAU104" s="530"/>
      <c r="SAV104" s="531"/>
      <c r="SAW104" s="530"/>
      <c r="SAX104" s="531"/>
      <c r="SAY104" s="530"/>
      <c r="SAZ104" s="531"/>
      <c r="SBA104" s="530"/>
      <c r="SBB104" s="531"/>
      <c r="SBC104" s="530"/>
      <c r="SBD104" s="531"/>
      <c r="SBE104" s="530"/>
      <c r="SBF104" s="531"/>
      <c r="SBG104" s="530"/>
      <c r="SBH104" s="531"/>
      <c r="SBI104" s="530"/>
      <c r="SBJ104" s="531"/>
      <c r="SBK104" s="530"/>
      <c r="SBL104" s="531"/>
      <c r="SBM104" s="530"/>
      <c r="SBN104" s="531"/>
      <c r="SBO104" s="530"/>
      <c r="SBP104" s="531"/>
      <c r="SBQ104" s="530"/>
      <c r="SBR104" s="531"/>
      <c r="SBS104" s="530"/>
      <c r="SBT104" s="531"/>
      <c r="SBU104" s="530"/>
      <c r="SBV104" s="531"/>
      <c r="SBW104" s="530"/>
      <c r="SBX104" s="531"/>
      <c r="SBY104" s="530"/>
      <c r="SBZ104" s="531"/>
      <c r="SCA104" s="530"/>
      <c r="SCB104" s="531"/>
      <c r="SCC104" s="530"/>
      <c r="SCD104" s="531"/>
      <c r="SCE104" s="530"/>
      <c r="SCF104" s="531"/>
      <c r="SCG104" s="530"/>
      <c r="SCH104" s="531"/>
      <c r="SCI104" s="530"/>
      <c r="SCJ104" s="531"/>
      <c r="SCK104" s="530"/>
      <c r="SCL104" s="531"/>
      <c r="SCM104" s="530"/>
      <c r="SCN104" s="531"/>
      <c r="SCO104" s="530"/>
      <c r="SCP104" s="531"/>
      <c r="SCQ104" s="530"/>
      <c r="SCR104" s="531"/>
      <c r="SCS104" s="530"/>
      <c r="SCT104" s="531"/>
      <c r="SCU104" s="530"/>
      <c r="SCV104" s="531"/>
      <c r="SCW104" s="530"/>
      <c r="SCX104" s="531"/>
      <c r="SCY104" s="530"/>
      <c r="SCZ104" s="531"/>
      <c r="SDA104" s="530"/>
      <c r="SDB104" s="531"/>
      <c r="SDC104" s="530"/>
      <c r="SDD104" s="531"/>
      <c r="SDE104" s="530"/>
      <c r="SDF104" s="531"/>
      <c r="SDG104" s="530"/>
      <c r="SDH104" s="531"/>
      <c r="SDI104" s="530"/>
      <c r="SDJ104" s="531"/>
      <c r="SDK104" s="530"/>
      <c r="SDL104" s="531"/>
      <c r="SDM104" s="530"/>
      <c r="SDN104" s="531"/>
      <c r="SDO104" s="530"/>
      <c r="SDP104" s="531"/>
      <c r="SDQ104" s="530"/>
      <c r="SDR104" s="531"/>
      <c r="SDS104" s="530"/>
      <c r="SDT104" s="531"/>
      <c r="SDU104" s="530"/>
      <c r="SDV104" s="531"/>
      <c r="SDW104" s="530"/>
      <c r="SDX104" s="531"/>
      <c r="SDY104" s="530"/>
      <c r="SDZ104" s="531"/>
      <c r="SEA104" s="530"/>
      <c r="SEB104" s="531"/>
      <c r="SEC104" s="530"/>
      <c r="SED104" s="531"/>
      <c r="SEE104" s="530"/>
      <c r="SEF104" s="531"/>
      <c r="SEG104" s="530"/>
      <c r="SEH104" s="531"/>
      <c r="SEI104" s="530"/>
      <c r="SEJ104" s="531"/>
      <c r="SEK104" s="530"/>
      <c r="SEL104" s="531"/>
      <c r="SEM104" s="530"/>
      <c r="SEN104" s="531"/>
      <c r="SEO104" s="530"/>
      <c r="SEP104" s="531"/>
      <c r="SEQ104" s="530"/>
      <c r="SER104" s="531"/>
      <c r="SES104" s="530"/>
      <c r="SET104" s="531"/>
      <c r="SEU104" s="530"/>
      <c r="SEV104" s="531"/>
      <c r="SEW104" s="530"/>
      <c r="SEX104" s="531"/>
      <c r="SEY104" s="530"/>
      <c r="SEZ104" s="531"/>
      <c r="SFA104" s="530"/>
      <c r="SFB104" s="531"/>
      <c r="SFC104" s="530"/>
      <c r="SFD104" s="531"/>
      <c r="SFE104" s="530"/>
      <c r="SFF104" s="531"/>
      <c r="SFG104" s="530"/>
      <c r="SFH104" s="531"/>
      <c r="SFI104" s="530"/>
      <c r="SFJ104" s="531"/>
      <c r="SFK104" s="530"/>
      <c r="SFL104" s="531"/>
      <c r="SFM104" s="530"/>
      <c r="SFN104" s="531"/>
      <c r="SFO104" s="530"/>
      <c r="SFP104" s="531"/>
      <c r="SFQ104" s="530"/>
      <c r="SFR104" s="531"/>
      <c r="SFS104" s="530"/>
      <c r="SFT104" s="531"/>
      <c r="SFU104" s="530"/>
      <c r="SFV104" s="531"/>
      <c r="SFW104" s="530"/>
      <c r="SFX104" s="531"/>
      <c r="SFY104" s="530"/>
      <c r="SFZ104" s="531"/>
      <c r="SGA104" s="530"/>
      <c r="SGB104" s="531"/>
      <c r="SGC104" s="530"/>
      <c r="SGD104" s="531"/>
      <c r="SGE104" s="530"/>
      <c r="SGF104" s="531"/>
      <c r="SGG104" s="530"/>
      <c r="SGH104" s="531"/>
      <c r="SGI104" s="530"/>
      <c r="SGJ104" s="531"/>
      <c r="SGK104" s="530"/>
      <c r="SGL104" s="531"/>
      <c r="SGM104" s="530"/>
      <c r="SGN104" s="531"/>
      <c r="SGO104" s="530"/>
      <c r="SGP104" s="531"/>
      <c r="SGQ104" s="530"/>
      <c r="SGR104" s="531"/>
      <c r="SGS104" s="530"/>
      <c r="SGT104" s="531"/>
      <c r="SGU104" s="530"/>
      <c r="SGV104" s="531"/>
      <c r="SGW104" s="530"/>
      <c r="SGX104" s="531"/>
      <c r="SGY104" s="530"/>
      <c r="SGZ104" s="531"/>
      <c r="SHA104" s="530"/>
      <c r="SHB104" s="531"/>
      <c r="SHC104" s="530"/>
      <c r="SHD104" s="531"/>
      <c r="SHE104" s="530"/>
      <c r="SHF104" s="531"/>
      <c r="SHG104" s="530"/>
      <c r="SHH104" s="531"/>
      <c r="SHI104" s="530"/>
      <c r="SHJ104" s="531"/>
      <c r="SHK104" s="530"/>
      <c r="SHL104" s="531"/>
      <c r="SHM104" s="530"/>
      <c r="SHN104" s="531"/>
      <c r="SHO104" s="530"/>
      <c r="SHP104" s="531"/>
      <c r="SHQ104" s="530"/>
      <c r="SHR104" s="531"/>
      <c r="SHS104" s="530"/>
      <c r="SHT104" s="531"/>
      <c r="SHU104" s="530"/>
      <c r="SHV104" s="531"/>
      <c r="SHW104" s="530"/>
      <c r="SHX104" s="531"/>
      <c r="SHY104" s="530"/>
      <c r="SHZ104" s="531"/>
      <c r="SIA104" s="530"/>
      <c r="SIB104" s="531"/>
      <c r="SIC104" s="530"/>
      <c r="SID104" s="531"/>
      <c r="SIE104" s="530"/>
      <c r="SIF104" s="531"/>
      <c r="SIG104" s="530"/>
      <c r="SIH104" s="531"/>
      <c r="SII104" s="530"/>
      <c r="SIJ104" s="531"/>
      <c r="SIK104" s="530"/>
      <c r="SIL104" s="531"/>
      <c r="SIM104" s="530"/>
      <c r="SIN104" s="531"/>
      <c r="SIO104" s="530"/>
      <c r="SIP104" s="531"/>
      <c r="SIQ104" s="530"/>
      <c r="SIR104" s="531"/>
      <c r="SIS104" s="530"/>
      <c r="SIT104" s="531"/>
      <c r="SIU104" s="530"/>
      <c r="SIV104" s="531"/>
      <c r="SIW104" s="530"/>
      <c r="SIX104" s="531"/>
      <c r="SIY104" s="530"/>
      <c r="SIZ104" s="531"/>
      <c r="SJA104" s="530"/>
      <c r="SJB104" s="531"/>
      <c r="SJC104" s="530"/>
      <c r="SJD104" s="531"/>
      <c r="SJE104" s="530"/>
      <c r="SJF104" s="531"/>
      <c r="SJG104" s="530"/>
      <c r="SJH104" s="531"/>
      <c r="SJI104" s="530"/>
      <c r="SJJ104" s="531"/>
      <c r="SJK104" s="530"/>
      <c r="SJL104" s="531"/>
      <c r="SJM104" s="530"/>
      <c r="SJN104" s="531"/>
      <c r="SJO104" s="530"/>
      <c r="SJP104" s="531"/>
      <c r="SJQ104" s="530"/>
      <c r="SJR104" s="531"/>
      <c r="SJS104" s="530"/>
      <c r="SJT104" s="531"/>
      <c r="SJU104" s="530"/>
      <c r="SJV104" s="531"/>
      <c r="SJW104" s="530"/>
      <c r="SJX104" s="531"/>
      <c r="SJY104" s="530"/>
      <c r="SJZ104" s="531"/>
      <c r="SKA104" s="530"/>
      <c r="SKB104" s="531"/>
      <c r="SKC104" s="530"/>
      <c r="SKD104" s="531"/>
      <c r="SKE104" s="530"/>
      <c r="SKF104" s="531"/>
      <c r="SKG104" s="530"/>
      <c r="SKH104" s="531"/>
      <c r="SKI104" s="530"/>
      <c r="SKJ104" s="531"/>
      <c r="SKK104" s="530"/>
      <c r="SKL104" s="531"/>
      <c r="SKM104" s="530"/>
      <c r="SKN104" s="531"/>
      <c r="SKO104" s="530"/>
      <c r="SKP104" s="531"/>
      <c r="SKQ104" s="530"/>
      <c r="SKR104" s="531"/>
      <c r="SKS104" s="530"/>
      <c r="SKT104" s="531"/>
      <c r="SKU104" s="530"/>
      <c r="SKV104" s="531"/>
      <c r="SKW104" s="530"/>
      <c r="SKX104" s="531"/>
      <c r="SKY104" s="530"/>
      <c r="SKZ104" s="531"/>
      <c r="SLA104" s="530"/>
      <c r="SLB104" s="531"/>
      <c r="SLC104" s="530"/>
      <c r="SLD104" s="531"/>
      <c r="SLE104" s="530"/>
      <c r="SLF104" s="531"/>
      <c r="SLG104" s="530"/>
      <c r="SLH104" s="531"/>
      <c r="SLI104" s="530"/>
      <c r="SLJ104" s="531"/>
      <c r="SLK104" s="530"/>
      <c r="SLL104" s="531"/>
      <c r="SLM104" s="530"/>
      <c r="SLN104" s="531"/>
      <c r="SLO104" s="530"/>
      <c r="SLP104" s="531"/>
      <c r="SLQ104" s="530"/>
      <c r="SLR104" s="531"/>
      <c r="SLS104" s="530"/>
      <c r="SLT104" s="531"/>
      <c r="SLU104" s="530"/>
      <c r="SLV104" s="531"/>
      <c r="SLW104" s="530"/>
      <c r="SLX104" s="531"/>
      <c r="SLY104" s="530"/>
      <c r="SLZ104" s="531"/>
      <c r="SMA104" s="530"/>
      <c r="SMB104" s="531"/>
      <c r="SMC104" s="530"/>
      <c r="SMD104" s="531"/>
      <c r="SME104" s="530"/>
      <c r="SMF104" s="531"/>
      <c r="SMG104" s="530"/>
      <c r="SMH104" s="531"/>
      <c r="SMI104" s="530"/>
      <c r="SMJ104" s="531"/>
      <c r="SMK104" s="530"/>
      <c r="SML104" s="531"/>
      <c r="SMM104" s="530"/>
      <c r="SMN104" s="531"/>
      <c r="SMO104" s="530"/>
      <c r="SMP104" s="531"/>
      <c r="SMQ104" s="530"/>
      <c r="SMR104" s="531"/>
      <c r="SMS104" s="530"/>
      <c r="SMT104" s="531"/>
      <c r="SMU104" s="530"/>
      <c r="SMV104" s="531"/>
      <c r="SMW104" s="530"/>
      <c r="SMX104" s="531"/>
      <c r="SMY104" s="530"/>
      <c r="SMZ104" s="531"/>
      <c r="SNA104" s="530"/>
      <c r="SNB104" s="531"/>
      <c r="SNC104" s="530"/>
      <c r="SND104" s="531"/>
      <c r="SNE104" s="530"/>
      <c r="SNF104" s="531"/>
      <c r="SNG104" s="530"/>
      <c r="SNH104" s="531"/>
      <c r="SNI104" s="530"/>
      <c r="SNJ104" s="531"/>
      <c r="SNK104" s="530"/>
      <c r="SNL104" s="531"/>
      <c r="SNM104" s="530"/>
      <c r="SNN104" s="531"/>
      <c r="SNO104" s="530"/>
      <c r="SNP104" s="531"/>
      <c r="SNQ104" s="530"/>
      <c r="SNR104" s="531"/>
      <c r="SNS104" s="530"/>
      <c r="SNT104" s="531"/>
      <c r="SNU104" s="530"/>
      <c r="SNV104" s="531"/>
      <c r="SNW104" s="530"/>
      <c r="SNX104" s="531"/>
      <c r="SNY104" s="530"/>
      <c r="SNZ104" s="531"/>
      <c r="SOA104" s="530"/>
      <c r="SOB104" s="531"/>
      <c r="SOC104" s="530"/>
      <c r="SOD104" s="531"/>
      <c r="SOE104" s="530"/>
      <c r="SOF104" s="531"/>
      <c r="SOG104" s="530"/>
      <c r="SOH104" s="531"/>
      <c r="SOI104" s="530"/>
      <c r="SOJ104" s="531"/>
      <c r="SOK104" s="530"/>
      <c r="SOL104" s="531"/>
      <c r="SOM104" s="530"/>
      <c r="SON104" s="531"/>
      <c r="SOO104" s="530"/>
      <c r="SOP104" s="531"/>
      <c r="SOQ104" s="530"/>
      <c r="SOR104" s="531"/>
      <c r="SOS104" s="530"/>
      <c r="SOT104" s="531"/>
      <c r="SOU104" s="530"/>
      <c r="SOV104" s="531"/>
      <c r="SOW104" s="530"/>
      <c r="SOX104" s="531"/>
      <c r="SOY104" s="530"/>
      <c r="SOZ104" s="531"/>
      <c r="SPA104" s="530"/>
      <c r="SPB104" s="531"/>
      <c r="SPC104" s="530"/>
      <c r="SPD104" s="531"/>
      <c r="SPE104" s="530"/>
      <c r="SPF104" s="531"/>
      <c r="SPG104" s="530"/>
      <c r="SPH104" s="531"/>
      <c r="SPI104" s="530"/>
      <c r="SPJ104" s="531"/>
      <c r="SPK104" s="530"/>
      <c r="SPL104" s="531"/>
      <c r="SPM104" s="530"/>
      <c r="SPN104" s="531"/>
      <c r="SPO104" s="530"/>
      <c r="SPP104" s="531"/>
      <c r="SPQ104" s="530"/>
      <c r="SPR104" s="531"/>
      <c r="SPS104" s="530"/>
      <c r="SPT104" s="531"/>
      <c r="SPU104" s="530"/>
      <c r="SPV104" s="531"/>
      <c r="SPW104" s="530"/>
      <c r="SPX104" s="531"/>
      <c r="SPY104" s="530"/>
      <c r="SPZ104" s="531"/>
      <c r="SQA104" s="530"/>
      <c r="SQB104" s="531"/>
      <c r="SQC104" s="530"/>
      <c r="SQD104" s="531"/>
      <c r="SQE104" s="530"/>
      <c r="SQF104" s="531"/>
      <c r="SQG104" s="530"/>
      <c r="SQH104" s="531"/>
      <c r="SQI104" s="530"/>
      <c r="SQJ104" s="531"/>
      <c r="SQK104" s="530"/>
      <c r="SQL104" s="531"/>
      <c r="SQM104" s="530"/>
      <c r="SQN104" s="531"/>
      <c r="SQO104" s="530"/>
      <c r="SQP104" s="531"/>
      <c r="SQQ104" s="530"/>
      <c r="SQR104" s="531"/>
      <c r="SQS104" s="530"/>
      <c r="SQT104" s="531"/>
      <c r="SQU104" s="530"/>
      <c r="SQV104" s="531"/>
      <c r="SQW104" s="530"/>
      <c r="SQX104" s="531"/>
      <c r="SQY104" s="530"/>
      <c r="SQZ104" s="531"/>
      <c r="SRA104" s="530"/>
      <c r="SRB104" s="531"/>
      <c r="SRC104" s="530"/>
      <c r="SRD104" s="531"/>
      <c r="SRE104" s="530"/>
      <c r="SRF104" s="531"/>
      <c r="SRG104" s="530"/>
      <c r="SRH104" s="531"/>
      <c r="SRI104" s="530"/>
      <c r="SRJ104" s="531"/>
      <c r="SRK104" s="530"/>
      <c r="SRL104" s="531"/>
      <c r="SRM104" s="530"/>
      <c r="SRN104" s="531"/>
      <c r="SRO104" s="530"/>
      <c r="SRP104" s="531"/>
      <c r="SRQ104" s="530"/>
      <c r="SRR104" s="531"/>
      <c r="SRS104" s="530"/>
      <c r="SRT104" s="531"/>
      <c r="SRU104" s="530"/>
      <c r="SRV104" s="531"/>
      <c r="SRW104" s="530"/>
      <c r="SRX104" s="531"/>
      <c r="SRY104" s="530"/>
      <c r="SRZ104" s="531"/>
      <c r="SSA104" s="530"/>
      <c r="SSB104" s="531"/>
      <c r="SSC104" s="530"/>
      <c r="SSD104" s="531"/>
      <c r="SSE104" s="530"/>
      <c r="SSF104" s="531"/>
      <c r="SSG104" s="530"/>
      <c r="SSH104" s="531"/>
      <c r="SSI104" s="530"/>
      <c r="SSJ104" s="531"/>
      <c r="SSK104" s="530"/>
      <c r="SSL104" s="531"/>
      <c r="SSM104" s="530"/>
      <c r="SSN104" s="531"/>
      <c r="SSO104" s="530"/>
      <c r="SSP104" s="531"/>
      <c r="SSQ104" s="530"/>
      <c r="SSR104" s="531"/>
      <c r="SSS104" s="530"/>
      <c r="SST104" s="531"/>
      <c r="SSU104" s="530"/>
      <c r="SSV104" s="531"/>
      <c r="SSW104" s="530"/>
      <c r="SSX104" s="531"/>
      <c r="SSY104" s="530"/>
      <c r="SSZ104" s="531"/>
      <c r="STA104" s="530"/>
      <c r="STB104" s="531"/>
      <c r="STC104" s="530"/>
      <c r="STD104" s="531"/>
      <c r="STE104" s="530"/>
      <c r="STF104" s="531"/>
      <c r="STG104" s="530"/>
      <c r="STH104" s="531"/>
      <c r="STI104" s="530"/>
      <c r="STJ104" s="531"/>
      <c r="STK104" s="530"/>
      <c r="STL104" s="531"/>
      <c r="STM104" s="530"/>
      <c r="STN104" s="531"/>
      <c r="STO104" s="530"/>
      <c r="STP104" s="531"/>
      <c r="STQ104" s="530"/>
      <c r="STR104" s="531"/>
      <c r="STS104" s="530"/>
      <c r="STT104" s="531"/>
      <c r="STU104" s="530"/>
      <c r="STV104" s="531"/>
      <c r="STW104" s="530"/>
      <c r="STX104" s="531"/>
      <c r="STY104" s="530"/>
      <c r="STZ104" s="531"/>
      <c r="SUA104" s="530"/>
      <c r="SUB104" s="531"/>
      <c r="SUC104" s="530"/>
      <c r="SUD104" s="531"/>
      <c r="SUE104" s="530"/>
      <c r="SUF104" s="531"/>
      <c r="SUG104" s="530"/>
      <c r="SUH104" s="531"/>
      <c r="SUI104" s="530"/>
      <c r="SUJ104" s="531"/>
      <c r="SUK104" s="530"/>
      <c r="SUL104" s="531"/>
      <c r="SUM104" s="530"/>
      <c r="SUN104" s="531"/>
      <c r="SUO104" s="530"/>
      <c r="SUP104" s="531"/>
      <c r="SUQ104" s="530"/>
      <c r="SUR104" s="531"/>
      <c r="SUS104" s="530"/>
      <c r="SUT104" s="531"/>
      <c r="SUU104" s="530"/>
      <c r="SUV104" s="531"/>
      <c r="SUW104" s="530"/>
      <c r="SUX104" s="531"/>
      <c r="SUY104" s="530"/>
      <c r="SUZ104" s="531"/>
      <c r="SVA104" s="530"/>
      <c r="SVB104" s="531"/>
      <c r="SVC104" s="530"/>
      <c r="SVD104" s="531"/>
      <c r="SVE104" s="530"/>
      <c r="SVF104" s="531"/>
      <c r="SVG104" s="530"/>
      <c r="SVH104" s="531"/>
      <c r="SVI104" s="530"/>
      <c r="SVJ104" s="531"/>
      <c r="SVK104" s="530"/>
      <c r="SVL104" s="531"/>
      <c r="SVM104" s="530"/>
      <c r="SVN104" s="531"/>
      <c r="SVO104" s="530"/>
      <c r="SVP104" s="531"/>
      <c r="SVQ104" s="530"/>
      <c r="SVR104" s="531"/>
      <c r="SVS104" s="530"/>
      <c r="SVT104" s="531"/>
      <c r="SVU104" s="530"/>
      <c r="SVV104" s="531"/>
      <c r="SVW104" s="530"/>
      <c r="SVX104" s="531"/>
      <c r="SVY104" s="530"/>
      <c r="SVZ104" s="531"/>
      <c r="SWA104" s="530"/>
      <c r="SWB104" s="531"/>
      <c r="SWC104" s="530"/>
      <c r="SWD104" s="531"/>
      <c r="SWE104" s="530"/>
      <c r="SWF104" s="531"/>
      <c r="SWG104" s="530"/>
      <c r="SWH104" s="531"/>
      <c r="SWI104" s="530"/>
      <c r="SWJ104" s="531"/>
      <c r="SWK104" s="530"/>
      <c r="SWL104" s="531"/>
      <c r="SWM104" s="530"/>
      <c r="SWN104" s="531"/>
      <c r="SWO104" s="530"/>
      <c r="SWP104" s="531"/>
      <c r="SWQ104" s="530"/>
      <c r="SWR104" s="531"/>
      <c r="SWS104" s="530"/>
      <c r="SWT104" s="531"/>
      <c r="SWU104" s="530"/>
      <c r="SWV104" s="531"/>
      <c r="SWW104" s="530"/>
      <c r="SWX104" s="531"/>
      <c r="SWY104" s="530"/>
      <c r="SWZ104" s="531"/>
      <c r="SXA104" s="530"/>
      <c r="SXB104" s="531"/>
      <c r="SXC104" s="530"/>
      <c r="SXD104" s="531"/>
      <c r="SXE104" s="530"/>
      <c r="SXF104" s="531"/>
      <c r="SXG104" s="530"/>
      <c r="SXH104" s="531"/>
      <c r="SXI104" s="530"/>
      <c r="SXJ104" s="531"/>
      <c r="SXK104" s="530"/>
      <c r="SXL104" s="531"/>
      <c r="SXM104" s="530"/>
      <c r="SXN104" s="531"/>
      <c r="SXO104" s="530"/>
      <c r="SXP104" s="531"/>
      <c r="SXQ104" s="530"/>
      <c r="SXR104" s="531"/>
      <c r="SXS104" s="530"/>
      <c r="SXT104" s="531"/>
      <c r="SXU104" s="530"/>
      <c r="SXV104" s="531"/>
      <c r="SXW104" s="530"/>
      <c r="SXX104" s="531"/>
      <c r="SXY104" s="530"/>
      <c r="SXZ104" s="531"/>
      <c r="SYA104" s="530"/>
      <c r="SYB104" s="531"/>
      <c r="SYC104" s="530"/>
      <c r="SYD104" s="531"/>
      <c r="SYE104" s="530"/>
      <c r="SYF104" s="531"/>
      <c r="SYG104" s="530"/>
      <c r="SYH104" s="531"/>
      <c r="SYI104" s="530"/>
      <c r="SYJ104" s="531"/>
      <c r="SYK104" s="530"/>
      <c r="SYL104" s="531"/>
      <c r="SYM104" s="530"/>
      <c r="SYN104" s="531"/>
      <c r="SYO104" s="530"/>
      <c r="SYP104" s="531"/>
      <c r="SYQ104" s="530"/>
      <c r="SYR104" s="531"/>
      <c r="SYS104" s="530"/>
      <c r="SYT104" s="531"/>
      <c r="SYU104" s="530"/>
      <c r="SYV104" s="531"/>
      <c r="SYW104" s="530"/>
      <c r="SYX104" s="531"/>
      <c r="SYY104" s="530"/>
      <c r="SYZ104" s="531"/>
      <c r="SZA104" s="530"/>
      <c r="SZB104" s="531"/>
      <c r="SZC104" s="530"/>
      <c r="SZD104" s="531"/>
      <c r="SZE104" s="530"/>
      <c r="SZF104" s="531"/>
      <c r="SZG104" s="530"/>
      <c r="SZH104" s="531"/>
      <c r="SZI104" s="530"/>
      <c r="SZJ104" s="531"/>
      <c r="SZK104" s="530"/>
      <c r="SZL104" s="531"/>
      <c r="SZM104" s="530"/>
      <c r="SZN104" s="531"/>
      <c r="SZO104" s="530"/>
      <c r="SZP104" s="531"/>
      <c r="SZQ104" s="530"/>
      <c r="SZR104" s="531"/>
      <c r="SZS104" s="530"/>
      <c r="SZT104" s="531"/>
      <c r="SZU104" s="530"/>
      <c r="SZV104" s="531"/>
      <c r="SZW104" s="530"/>
      <c r="SZX104" s="531"/>
      <c r="SZY104" s="530"/>
      <c r="SZZ104" s="531"/>
      <c r="TAA104" s="530"/>
      <c r="TAB104" s="531"/>
      <c r="TAC104" s="530"/>
      <c r="TAD104" s="531"/>
      <c r="TAE104" s="530"/>
      <c r="TAF104" s="531"/>
      <c r="TAG104" s="530"/>
      <c r="TAH104" s="531"/>
      <c r="TAI104" s="530"/>
      <c r="TAJ104" s="531"/>
      <c r="TAK104" s="530"/>
      <c r="TAL104" s="531"/>
      <c r="TAM104" s="530"/>
      <c r="TAN104" s="531"/>
      <c r="TAO104" s="530"/>
      <c r="TAP104" s="531"/>
      <c r="TAQ104" s="530"/>
      <c r="TAR104" s="531"/>
      <c r="TAS104" s="530"/>
      <c r="TAT104" s="531"/>
      <c r="TAU104" s="530"/>
      <c r="TAV104" s="531"/>
      <c r="TAW104" s="530"/>
      <c r="TAX104" s="531"/>
      <c r="TAY104" s="530"/>
      <c r="TAZ104" s="531"/>
      <c r="TBA104" s="530"/>
      <c r="TBB104" s="531"/>
      <c r="TBC104" s="530"/>
      <c r="TBD104" s="531"/>
      <c r="TBE104" s="530"/>
      <c r="TBF104" s="531"/>
      <c r="TBG104" s="530"/>
      <c r="TBH104" s="531"/>
      <c r="TBI104" s="530"/>
      <c r="TBJ104" s="531"/>
      <c r="TBK104" s="530"/>
      <c r="TBL104" s="531"/>
      <c r="TBM104" s="530"/>
      <c r="TBN104" s="531"/>
      <c r="TBO104" s="530"/>
      <c r="TBP104" s="531"/>
      <c r="TBQ104" s="530"/>
      <c r="TBR104" s="531"/>
      <c r="TBS104" s="530"/>
      <c r="TBT104" s="531"/>
      <c r="TBU104" s="530"/>
      <c r="TBV104" s="531"/>
      <c r="TBW104" s="530"/>
      <c r="TBX104" s="531"/>
      <c r="TBY104" s="530"/>
      <c r="TBZ104" s="531"/>
      <c r="TCA104" s="530"/>
      <c r="TCB104" s="531"/>
      <c r="TCC104" s="530"/>
      <c r="TCD104" s="531"/>
      <c r="TCE104" s="530"/>
      <c r="TCF104" s="531"/>
      <c r="TCG104" s="530"/>
      <c r="TCH104" s="531"/>
      <c r="TCI104" s="530"/>
      <c r="TCJ104" s="531"/>
      <c r="TCK104" s="530"/>
      <c r="TCL104" s="531"/>
      <c r="TCM104" s="530"/>
      <c r="TCN104" s="531"/>
      <c r="TCO104" s="530"/>
      <c r="TCP104" s="531"/>
      <c r="TCQ104" s="530"/>
      <c r="TCR104" s="531"/>
      <c r="TCS104" s="530"/>
      <c r="TCT104" s="531"/>
      <c r="TCU104" s="530"/>
      <c r="TCV104" s="531"/>
      <c r="TCW104" s="530"/>
      <c r="TCX104" s="531"/>
      <c r="TCY104" s="530"/>
      <c r="TCZ104" s="531"/>
      <c r="TDA104" s="530"/>
      <c r="TDB104" s="531"/>
      <c r="TDC104" s="530"/>
      <c r="TDD104" s="531"/>
      <c r="TDE104" s="530"/>
      <c r="TDF104" s="531"/>
      <c r="TDG104" s="530"/>
      <c r="TDH104" s="531"/>
      <c r="TDI104" s="530"/>
      <c r="TDJ104" s="531"/>
      <c r="TDK104" s="530"/>
      <c r="TDL104" s="531"/>
      <c r="TDM104" s="530"/>
      <c r="TDN104" s="531"/>
      <c r="TDO104" s="530"/>
      <c r="TDP104" s="531"/>
      <c r="TDQ104" s="530"/>
      <c r="TDR104" s="531"/>
      <c r="TDS104" s="530"/>
      <c r="TDT104" s="531"/>
      <c r="TDU104" s="530"/>
      <c r="TDV104" s="531"/>
      <c r="TDW104" s="530"/>
      <c r="TDX104" s="531"/>
      <c r="TDY104" s="530"/>
      <c r="TDZ104" s="531"/>
      <c r="TEA104" s="530"/>
      <c r="TEB104" s="531"/>
      <c r="TEC104" s="530"/>
      <c r="TED104" s="531"/>
      <c r="TEE104" s="530"/>
      <c r="TEF104" s="531"/>
      <c r="TEG104" s="530"/>
      <c r="TEH104" s="531"/>
      <c r="TEI104" s="530"/>
      <c r="TEJ104" s="531"/>
      <c r="TEK104" s="530"/>
      <c r="TEL104" s="531"/>
      <c r="TEM104" s="530"/>
      <c r="TEN104" s="531"/>
      <c r="TEO104" s="530"/>
      <c r="TEP104" s="531"/>
      <c r="TEQ104" s="530"/>
      <c r="TER104" s="531"/>
      <c r="TES104" s="530"/>
      <c r="TET104" s="531"/>
      <c r="TEU104" s="530"/>
      <c r="TEV104" s="531"/>
      <c r="TEW104" s="530"/>
      <c r="TEX104" s="531"/>
      <c r="TEY104" s="530"/>
      <c r="TEZ104" s="531"/>
      <c r="TFA104" s="530"/>
      <c r="TFB104" s="531"/>
      <c r="TFC104" s="530"/>
      <c r="TFD104" s="531"/>
      <c r="TFE104" s="530"/>
      <c r="TFF104" s="531"/>
      <c r="TFG104" s="530"/>
      <c r="TFH104" s="531"/>
      <c r="TFI104" s="530"/>
      <c r="TFJ104" s="531"/>
      <c r="TFK104" s="530"/>
      <c r="TFL104" s="531"/>
      <c r="TFM104" s="530"/>
      <c r="TFN104" s="531"/>
      <c r="TFO104" s="530"/>
      <c r="TFP104" s="531"/>
      <c r="TFQ104" s="530"/>
      <c r="TFR104" s="531"/>
      <c r="TFS104" s="530"/>
      <c r="TFT104" s="531"/>
      <c r="TFU104" s="530"/>
      <c r="TFV104" s="531"/>
      <c r="TFW104" s="530"/>
      <c r="TFX104" s="531"/>
      <c r="TFY104" s="530"/>
      <c r="TFZ104" s="531"/>
      <c r="TGA104" s="530"/>
      <c r="TGB104" s="531"/>
      <c r="TGC104" s="530"/>
      <c r="TGD104" s="531"/>
      <c r="TGE104" s="530"/>
      <c r="TGF104" s="531"/>
      <c r="TGG104" s="530"/>
      <c r="TGH104" s="531"/>
      <c r="TGI104" s="530"/>
      <c r="TGJ104" s="531"/>
      <c r="TGK104" s="530"/>
      <c r="TGL104" s="531"/>
      <c r="TGM104" s="530"/>
      <c r="TGN104" s="531"/>
      <c r="TGO104" s="530"/>
      <c r="TGP104" s="531"/>
      <c r="TGQ104" s="530"/>
      <c r="TGR104" s="531"/>
      <c r="TGS104" s="530"/>
      <c r="TGT104" s="531"/>
      <c r="TGU104" s="530"/>
      <c r="TGV104" s="531"/>
      <c r="TGW104" s="530"/>
      <c r="TGX104" s="531"/>
      <c r="TGY104" s="530"/>
      <c r="TGZ104" s="531"/>
      <c r="THA104" s="530"/>
      <c r="THB104" s="531"/>
      <c r="THC104" s="530"/>
      <c r="THD104" s="531"/>
      <c r="THE104" s="530"/>
      <c r="THF104" s="531"/>
      <c r="THG104" s="530"/>
      <c r="THH104" s="531"/>
      <c r="THI104" s="530"/>
      <c r="THJ104" s="531"/>
      <c r="THK104" s="530"/>
      <c r="THL104" s="531"/>
      <c r="THM104" s="530"/>
      <c r="THN104" s="531"/>
      <c r="THO104" s="530"/>
      <c r="THP104" s="531"/>
      <c r="THQ104" s="530"/>
      <c r="THR104" s="531"/>
      <c r="THS104" s="530"/>
      <c r="THT104" s="531"/>
      <c r="THU104" s="530"/>
      <c r="THV104" s="531"/>
      <c r="THW104" s="530"/>
      <c r="THX104" s="531"/>
      <c r="THY104" s="530"/>
      <c r="THZ104" s="531"/>
      <c r="TIA104" s="530"/>
      <c r="TIB104" s="531"/>
      <c r="TIC104" s="530"/>
      <c r="TID104" s="531"/>
      <c r="TIE104" s="530"/>
      <c r="TIF104" s="531"/>
      <c r="TIG104" s="530"/>
      <c r="TIH104" s="531"/>
      <c r="TII104" s="530"/>
      <c r="TIJ104" s="531"/>
      <c r="TIK104" s="530"/>
      <c r="TIL104" s="531"/>
      <c r="TIM104" s="530"/>
      <c r="TIN104" s="531"/>
      <c r="TIO104" s="530"/>
      <c r="TIP104" s="531"/>
      <c r="TIQ104" s="530"/>
      <c r="TIR104" s="531"/>
      <c r="TIS104" s="530"/>
      <c r="TIT104" s="531"/>
      <c r="TIU104" s="530"/>
      <c r="TIV104" s="531"/>
      <c r="TIW104" s="530"/>
      <c r="TIX104" s="531"/>
      <c r="TIY104" s="530"/>
      <c r="TIZ104" s="531"/>
      <c r="TJA104" s="530"/>
      <c r="TJB104" s="531"/>
      <c r="TJC104" s="530"/>
      <c r="TJD104" s="531"/>
      <c r="TJE104" s="530"/>
      <c r="TJF104" s="531"/>
      <c r="TJG104" s="530"/>
      <c r="TJH104" s="531"/>
      <c r="TJI104" s="530"/>
      <c r="TJJ104" s="531"/>
      <c r="TJK104" s="530"/>
      <c r="TJL104" s="531"/>
      <c r="TJM104" s="530"/>
      <c r="TJN104" s="531"/>
      <c r="TJO104" s="530"/>
      <c r="TJP104" s="531"/>
      <c r="TJQ104" s="530"/>
      <c r="TJR104" s="531"/>
      <c r="TJS104" s="530"/>
      <c r="TJT104" s="531"/>
      <c r="TJU104" s="530"/>
      <c r="TJV104" s="531"/>
      <c r="TJW104" s="530"/>
      <c r="TJX104" s="531"/>
      <c r="TJY104" s="530"/>
      <c r="TJZ104" s="531"/>
      <c r="TKA104" s="530"/>
      <c r="TKB104" s="531"/>
      <c r="TKC104" s="530"/>
      <c r="TKD104" s="531"/>
      <c r="TKE104" s="530"/>
      <c r="TKF104" s="531"/>
      <c r="TKG104" s="530"/>
      <c r="TKH104" s="531"/>
      <c r="TKI104" s="530"/>
      <c r="TKJ104" s="531"/>
      <c r="TKK104" s="530"/>
      <c r="TKL104" s="531"/>
      <c r="TKM104" s="530"/>
      <c r="TKN104" s="531"/>
      <c r="TKO104" s="530"/>
      <c r="TKP104" s="531"/>
      <c r="TKQ104" s="530"/>
      <c r="TKR104" s="531"/>
      <c r="TKS104" s="530"/>
      <c r="TKT104" s="531"/>
      <c r="TKU104" s="530"/>
      <c r="TKV104" s="531"/>
      <c r="TKW104" s="530"/>
      <c r="TKX104" s="531"/>
      <c r="TKY104" s="530"/>
      <c r="TKZ104" s="531"/>
      <c r="TLA104" s="530"/>
      <c r="TLB104" s="531"/>
      <c r="TLC104" s="530"/>
      <c r="TLD104" s="531"/>
      <c r="TLE104" s="530"/>
      <c r="TLF104" s="531"/>
      <c r="TLG104" s="530"/>
      <c r="TLH104" s="531"/>
      <c r="TLI104" s="530"/>
      <c r="TLJ104" s="531"/>
      <c r="TLK104" s="530"/>
      <c r="TLL104" s="531"/>
      <c r="TLM104" s="530"/>
      <c r="TLN104" s="531"/>
      <c r="TLO104" s="530"/>
      <c r="TLP104" s="531"/>
      <c r="TLQ104" s="530"/>
      <c r="TLR104" s="531"/>
      <c r="TLS104" s="530"/>
      <c r="TLT104" s="531"/>
      <c r="TLU104" s="530"/>
      <c r="TLV104" s="531"/>
      <c r="TLW104" s="530"/>
      <c r="TLX104" s="531"/>
      <c r="TLY104" s="530"/>
      <c r="TLZ104" s="531"/>
      <c r="TMA104" s="530"/>
      <c r="TMB104" s="531"/>
      <c r="TMC104" s="530"/>
      <c r="TMD104" s="531"/>
      <c r="TME104" s="530"/>
      <c r="TMF104" s="531"/>
      <c r="TMG104" s="530"/>
      <c r="TMH104" s="531"/>
      <c r="TMI104" s="530"/>
      <c r="TMJ104" s="531"/>
      <c r="TMK104" s="530"/>
      <c r="TML104" s="531"/>
      <c r="TMM104" s="530"/>
      <c r="TMN104" s="531"/>
      <c r="TMO104" s="530"/>
      <c r="TMP104" s="531"/>
      <c r="TMQ104" s="530"/>
      <c r="TMR104" s="531"/>
      <c r="TMS104" s="530"/>
      <c r="TMT104" s="531"/>
      <c r="TMU104" s="530"/>
      <c r="TMV104" s="531"/>
      <c r="TMW104" s="530"/>
      <c r="TMX104" s="531"/>
      <c r="TMY104" s="530"/>
      <c r="TMZ104" s="531"/>
      <c r="TNA104" s="530"/>
      <c r="TNB104" s="531"/>
      <c r="TNC104" s="530"/>
      <c r="TND104" s="531"/>
      <c r="TNE104" s="530"/>
      <c r="TNF104" s="531"/>
      <c r="TNG104" s="530"/>
      <c r="TNH104" s="531"/>
      <c r="TNI104" s="530"/>
      <c r="TNJ104" s="531"/>
      <c r="TNK104" s="530"/>
      <c r="TNL104" s="531"/>
      <c r="TNM104" s="530"/>
      <c r="TNN104" s="531"/>
      <c r="TNO104" s="530"/>
      <c r="TNP104" s="531"/>
      <c r="TNQ104" s="530"/>
      <c r="TNR104" s="531"/>
      <c r="TNS104" s="530"/>
      <c r="TNT104" s="531"/>
      <c r="TNU104" s="530"/>
      <c r="TNV104" s="531"/>
      <c r="TNW104" s="530"/>
      <c r="TNX104" s="531"/>
      <c r="TNY104" s="530"/>
      <c r="TNZ104" s="531"/>
      <c r="TOA104" s="530"/>
      <c r="TOB104" s="531"/>
      <c r="TOC104" s="530"/>
      <c r="TOD104" s="531"/>
      <c r="TOE104" s="530"/>
      <c r="TOF104" s="531"/>
      <c r="TOG104" s="530"/>
      <c r="TOH104" s="531"/>
      <c r="TOI104" s="530"/>
      <c r="TOJ104" s="531"/>
      <c r="TOK104" s="530"/>
      <c r="TOL104" s="531"/>
      <c r="TOM104" s="530"/>
      <c r="TON104" s="531"/>
      <c r="TOO104" s="530"/>
      <c r="TOP104" s="531"/>
      <c r="TOQ104" s="530"/>
      <c r="TOR104" s="531"/>
      <c r="TOS104" s="530"/>
      <c r="TOT104" s="531"/>
      <c r="TOU104" s="530"/>
      <c r="TOV104" s="531"/>
      <c r="TOW104" s="530"/>
      <c r="TOX104" s="531"/>
      <c r="TOY104" s="530"/>
      <c r="TOZ104" s="531"/>
      <c r="TPA104" s="530"/>
      <c r="TPB104" s="531"/>
      <c r="TPC104" s="530"/>
      <c r="TPD104" s="531"/>
      <c r="TPE104" s="530"/>
      <c r="TPF104" s="531"/>
      <c r="TPG104" s="530"/>
      <c r="TPH104" s="531"/>
      <c r="TPI104" s="530"/>
      <c r="TPJ104" s="531"/>
      <c r="TPK104" s="530"/>
      <c r="TPL104" s="531"/>
      <c r="TPM104" s="530"/>
      <c r="TPN104" s="531"/>
      <c r="TPO104" s="530"/>
      <c r="TPP104" s="531"/>
      <c r="TPQ104" s="530"/>
      <c r="TPR104" s="531"/>
      <c r="TPS104" s="530"/>
      <c r="TPT104" s="531"/>
      <c r="TPU104" s="530"/>
      <c r="TPV104" s="531"/>
      <c r="TPW104" s="530"/>
      <c r="TPX104" s="531"/>
      <c r="TPY104" s="530"/>
      <c r="TPZ104" s="531"/>
      <c r="TQA104" s="530"/>
      <c r="TQB104" s="531"/>
      <c r="TQC104" s="530"/>
      <c r="TQD104" s="531"/>
      <c r="TQE104" s="530"/>
      <c r="TQF104" s="531"/>
      <c r="TQG104" s="530"/>
      <c r="TQH104" s="531"/>
      <c r="TQI104" s="530"/>
      <c r="TQJ104" s="531"/>
      <c r="TQK104" s="530"/>
      <c r="TQL104" s="531"/>
      <c r="TQM104" s="530"/>
      <c r="TQN104" s="531"/>
      <c r="TQO104" s="530"/>
      <c r="TQP104" s="531"/>
      <c r="TQQ104" s="530"/>
      <c r="TQR104" s="531"/>
      <c r="TQS104" s="530"/>
      <c r="TQT104" s="531"/>
      <c r="TQU104" s="530"/>
      <c r="TQV104" s="531"/>
      <c r="TQW104" s="530"/>
      <c r="TQX104" s="531"/>
      <c r="TQY104" s="530"/>
      <c r="TQZ104" s="531"/>
      <c r="TRA104" s="530"/>
      <c r="TRB104" s="531"/>
      <c r="TRC104" s="530"/>
      <c r="TRD104" s="531"/>
      <c r="TRE104" s="530"/>
      <c r="TRF104" s="531"/>
      <c r="TRG104" s="530"/>
      <c r="TRH104" s="531"/>
      <c r="TRI104" s="530"/>
      <c r="TRJ104" s="531"/>
      <c r="TRK104" s="530"/>
      <c r="TRL104" s="531"/>
      <c r="TRM104" s="530"/>
      <c r="TRN104" s="531"/>
      <c r="TRO104" s="530"/>
      <c r="TRP104" s="531"/>
      <c r="TRQ104" s="530"/>
      <c r="TRR104" s="531"/>
      <c r="TRS104" s="530"/>
      <c r="TRT104" s="531"/>
      <c r="TRU104" s="530"/>
      <c r="TRV104" s="531"/>
      <c r="TRW104" s="530"/>
      <c r="TRX104" s="531"/>
      <c r="TRY104" s="530"/>
      <c r="TRZ104" s="531"/>
      <c r="TSA104" s="530"/>
      <c r="TSB104" s="531"/>
      <c r="TSC104" s="530"/>
      <c r="TSD104" s="531"/>
      <c r="TSE104" s="530"/>
      <c r="TSF104" s="531"/>
      <c r="TSG104" s="530"/>
      <c r="TSH104" s="531"/>
      <c r="TSI104" s="530"/>
      <c r="TSJ104" s="531"/>
      <c r="TSK104" s="530"/>
      <c r="TSL104" s="531"/>
      <c r="TSM104" s="530"/>
      <c r="TSN104" s="531"/>
      <c r="TSO104" s="530"/>
      <c r="TSP104" s="531"/>
      <c r="TSQ104" s="530"/>
      <c r="TSR104" s="531"/>
      <c r="TSS104" s="530"/>
      <c r="TST104" s="531"/>
      <c r="TSU104" s="530"/>
      <c r="TSV104" s="531"/>
      <c r="TSW104" s="530"/>
      <c r="TSX104" s="531"/>
      <c r="TSY104" s="530"/>
      <c r="TSZ104" s="531"/>
      <c r="TTA104" s="530"/>
      <c r="TTB104" s="531"/>
      <c r="TTC104" s="530"/>
      <c r="TTD104" s="531"/>
      <c r="TTE104" s="530"/>
      <c r="TTF104" s="531"/>
      <c r="TTG104" s="530"/>
      <c r="TTH104" s="531"/>
      <c r="TTI104" s="530"/>
      <c r="TTJ104" s="531"/>
      <c r="TTK104" s="530"/>
      <c r="TTL104" s="531"/>
      <c r="TTM104" s="530"/>
      <c r="TTN104" s="531"/>
      <c r="TTO104" s="530"/>
      <c r="TTP104" s="531"/>
      <c r="TTQ104" s="530"/>
      <c r="TTR104" s="531"/>
      <c r="TTS104" s="530"/>
      <c r="TTT104" s="531"/>
      <c r="TTU104" s="530"/>
      <c r="TTV104" s="531"/>
      <c r="TTW104" s="530"/>
      <c r="TTX104" s="531"/>
      <c r="TTY104" s="530"/>
      <c r="TTZ104" s="531"/>
      <c r="TUA104" s="530"/>
      <c r="TUB104" s="531"/>
      <c r="TUC104" s="530"/>
      <c r="TUD104" s="531"/>
      <c r="TUE104" s="530"/>
      <c r="TUF104" s="531"/>
      <c r="TUG104" s="530"/>
      <c r="TUH104" s="531"/>
      <c r="TUI104" s="530"/>
      <c r="TUJ104" s="531"/>
      <c r="TUK104" s="530"/>
      <c r="TUL104" s="531"/>
      <c r="TUM104" s="530"/>
      <c r="TUN104" s="531"/>
      <c r="TUO104" s="530"/>
      <c r="TUP104" s="531"/>
      <c r="TUQ104" s="530"/>
      <c r="TUR104" s="531"/>
      <c r="TUS104" s="530"/>
      <c r="TUT104" s="531"/>
      <c r="TUU104" s="530"/>
      <c r="TUV104" s="531"/>
      <c r="TUW104" s="530"/>
      <c r="TUX104" s="531"/>
      <c r="TUY104" s="530"/>
      <c r="TUZ104" s="531"/>
      <c r="TVA104" s="530"/>
      <c r="TVB104" s="531"/>
      <c r="TVC104" s="530"/>
      <c r="TVD104" s="531"/>
      <c r="TVE104" s="530"/>
      <c r="TVF104" s="531"/>
      <c r="TVG104" s="530"/>
      <c r="TVH104" s="531"/>
      <c r="TVI104" s="530"/>
      <c r="TVJ104" s="531"/>
      <c r="TVK104" s="530"/>
      <c r="TVL104" s="531"/>
      <c r="TVM104" s="530"/>
      <c r="TVN104" s="531"/>
      <c r="TVO104" s="530"/>
      <c r="TVP104" s="531"/>
      <c r="TVQ104" s="530"/>
      <c r="TVR104" s="531"/>
      <c r="TVS104" s="530"/>
      <c r="TVT104" s="531"/>
      <c r="TVU104" s="530"/>
      <c r="TVV104" s="531"/>
      <c r="TVW104" s="530"/>
      <c r="TVX104" s="531"/>
      <c r="TVY104" s="530"/>
      <c r="TVZ104" s="531"/>
      <c r="TWA104" s="530"/>
      <c r="TWB104" s="531"/>
      <c r="TWC104" s="530"/>
      <c r="TWD104" s="531"/>
      <c r="TWE104" s="530"/>
      <c r="TWF104" s="531"/>
      <c r="TWG104" s="530"/>
      <c r="TWH104" s="531"/>
      <c r="TWI104" s="530"/>
      <c r="TWJ104" s="531"/>
      <c r="TWK104" s="530"/>
      <c r="TWL104" s="531"/>
      <c r="TWM104" s="530"/>
      <c r="TWN104" s="531"/>
      <c r="TWO104" s="530"/>
      <c r="TWP104" s="531"/>
      <c r="TWQ104" s="530"/>
      <c r="TWR104" s="531"/>
      <c r="TWS104" s="530"/>
      <c r="TWT104" s="531"/>
      <c r="TWU104" s="530"/>
      <c r="TWV104" s="531"/>
      <c r="TWW104" s="530"/>
      <c r="TWX104" s="531"/>
      <c r="TWY104" s="530"/>
      <c r="TWZ104" s="531"/>
      <c r="TXA104" s="530"/>
      <c r="TXB104" s="531"/>
      <c r="TXC104" s="530"/>
      <c r="TXD104" s="531"/>
      <c r="TXE104" s="530"/>
      <c r="TXF104" s="531"/>
      <c r="TXG104" s="530"/>
      <c r="TXH104" s="531"/>
      <c r="TXI104" s="530"/>
      <c r="TXJ104" s="531"/>
      <c r="TXK104" s="530"/>
      <c r="TXL104" s="531"/>
      <c r="TXM104" s="530"/>
      <c r="TXN104" s="531"/>
      <c r="TXO104" s="530"/>
      <c r="TXP104" s="531"/>
      <c r="TXQ104" s="530"/>
      <c r="TXR104" s="531"/>
      <c r="TXS104" s="530"/>
      <c r="TXT104" s="531"/>
      <c r="TXU104" s="530"/>
      <c r="TXV104" s="531"/>
      <c r="TXW104" s="530"/>
      <c r="TXX104" s="531"/>
      <c r="TXY104" s="530"/>
      <c r="TXZ104" s="531"/>
      <c r="TYA104" s="530"/>
      <c r="TYB104" s="531"/>
      <c r="TYC104" s="530"/>
      <c r="TYD104" s="531"/>
      <c r="TYE104" s="530"/>
      <c r="TYF104" s="531"/>
      <c r="TYG104" s="530"/>
      <c r="TYH104" s="531"/>
      <c r="TYI104" s="530"/>
      <c r="TYJ104" s="531"/>
      <c r="TYK104" s="530"/>
      <c r="TYL104" s="531"/>
      <c r="TYM104" s="530"/>
      <c r="TYN104" s="531"/>
      <c r="TYO104" s="530"/>
      <c r="TYP104" s="531"/>
      <c r="TYQ104" s="530"/>
      <c r="TYR104" s="531"/>
      <c r="TYS104" s="530"/>
      <c r="TYT104" s="531"/>
      <c r="TYU104" s="530"/>
      <c r="TYV104" s="531"/>
      <c r="TYW104" s="530"/>
      <c r="TYX104" s="531"/>
      <c r="TYY104" s="530"/>
      <c r="TYZ104" s="531"/>
      <c r="TZA104" s="530"/>
      <c r="TZB104" s="531"/>
      <c r="TZC104" s="530"/>
      <c r="TZD104" s="531"/>
      <c r="TZE104" s="530"/>
      <c r="TZF104" s="531"/>
      <c r="TZG104" s="530"/>
      <c r="TZH104" s="531"/>
      <c r="TZI104" s="530"/>
      <c r="TZJ104" s="531"/>
      <c r="TZK104" s="530"/>
      <c r="TZL104" s="531"/>
      <c r="TZM104" s="530"/>
      <c r="TZN104" s="531"/>
      <c r="TZO104" s="530"/>
      <c r="TZP104" s="531"/>
      <c r="TZQ104" s="530"/>
      <c r="TZR104" s="531"/>
      <c r="TZS104" s="530"/>
      <c r="TZT104" s="531"/>
      <c r="TZU104" s="530"/>
      <c r="TZV104" s="531"/>
      <c r="TZW104" s="530"/>
      <c r="TZX104" s="531"/>
      <c r="TZY104" s="530"/>
      <c r="TZZ104" s="531"/>
      <c r="UAA104" s="530"/>
      <c r="UAB104" s="531"/>
      <c r="UAC104" s="530"/>
      <c r="UAD104" s="531"/>
      <c r="UAE104" s="530"/>
      <c r="UAF104" s="531"/>
      <c r="UAG104" s="530"/>
      <c r="UAH104" s="531"/>
      <c r="UAI104" s="530"/>
      <c r="UAJ104" s="531"/>
      <c r="UAK104" s="530"/>
      <c r="UAL104" s="531"/>
      <c r="UAM104" s="530"/>
      <c r="UAN104" s="531"/>
      <c r="UAO104" s="530"/>
      <c r="UAP104" s="531"/>
      <c r="UAQ104" s="530"/>
      <c r="UAR104" s="531"/>
      <c r="UAS104" s="530"/>
      <c r="UAT104" s="531"/>
      <c r="UAU104" s="530"/>
      <c r="UAV104" s="531"/>
      <c r="UAW104" s="530"/>
      <c r="UAX104" s="531"/>
      <c r="UAY104" s="530"/>
      <c r="UAZ104" s="531"/>
      <c r="UBA104" s="530"/>
      <c r="UBB104" s="531"/>
      <c r="UBC104" s="530"/>
      <c r="UBD104" s="531"/>
      <c r="UBE104" s="530"/>
      <c r="UBF104" s="531"/>
      <c r="UBG104" s="530"/>
      <c r="UBH104" s="531"/>
      <c r="UBI104" s="530"/>
      <c r="UBJ104" s="531"/>
      <c r="UBK104" s="530"/>
      <c r="UBL104" s="531"/>
      <c r="UBM104" s="530"/>
      <c r="UBN104" s="531"/>
      <c r="UBO104" s="530"/>
      <c r="UBP104" s="531"/>
      <c r="UBQ104" s="530"/>
      <c r="UBR104" s="531"/>
      <c r="UBS104" s="530"/>
      <c r="UBT104" s="531"/>
      <c r="UBU104" s="530"/>
      <c r="UBV104" s="531"/>
      <c r="UBW104" s="530"/>
      <c r="UBX104" s="531"/>
      <c r="UBY104" s="530"/>
      <c r="UBZ104" s="531"/>
      <c r="UCA104" s="530"/>
      <c r="UCB104" s="531"/>
      <c r="UCC104" s="530"/>
      <c r="UCD104" s="531"/>
      <c r="UCE104" s="530"/>
      <c r="UCF104" s="531"/>
      <c r="UCG104" s="530"/>
      <c r="UCH104" s="531"/>
      <c r="UCI104" s="530"/>
      <c r="UCJ104" s="531"/>
      <c r="UCK104" s="530"/>
      <c r="UCL104" s="531"/>
      <c r="UCM104" s="530"/>
      <c r="UCN104" s="531"/>
      <c r="UCO104" s="530"/>
      <c r="UCP104" s="531"/>
      <c r="UCQ104" s="530"/>
      <c r="UCR104" s="531"/>
      <c r="UCS104" s="530"/>
      <c r="UCT104" s="531"/>
      <c r="UCU104" s="530"/>
      <c r="UCV104" s="531"/>
      <c r="UCW104" s="530"/>
      <c r="UCX104" s="531"/>
      <c r="UCY104" s="530"/>
      <c r="UCZ104" s="531"/>
      <c r="UDA104" s="530"/>
      <c r="UDB104" s="531"/>
      <c r="UDC104" s="530"/>
      <c r="UDD104" s="531"/>
      <c r="UDE104" s="530"/>
      <c r="UDF104" s="531"/>
      <c r="UDG104" s="530"/>
      <c r="UDH104" s="531"/>
      <c r="UDI104" s="530"/>
      <c r="UDJ104" s="531"/>
      <c r="UDK104" s="530"/>
      <c r="UDL104" s="531"/>
      <c r="UDM104" s="530"/>
      <c r="UDN104" s="531"/>
      <c r="UDO104" s="530"/>
      <c r="UDP104" s="531"/>
      <c r="UDQ104" s="530"/>
      <c r="UDR104" s="531"/>
      <c r="UDS104" s="530"/>
      <c r="UDT104" s="531"/>
      <c r="UDU104" s="530"/>
      <c r="UDV104" s="531"/>
      <c r="UDW104" s="530"/>
      <c r="UDX104" s="531"/>
      <c r="UDY104" s="530"/>
      <c r="UDZ104" s="531"/>
      <c r="UEA104" s="530"/>
      <c r="UEB104" s="531"/>
      <c r="UEC104" s="530"/>
      <c r="UED104" s="531"/>
      <c r="UEE104" s="530"/>
      <c r="UEF104" s="531"/>
      <c r="UEG104" s="530"/>
      <c r="UEH104" s="531"/>
      <c r="UEI104" s="530"/>
      <c r="UEJ104" s="531"/>
      <c r="UEK104" s="530"/>
      <c r="UEL104" s="531"/>
      <c r="UEM104" s="530"/>
      <c r="UEN104" s="531"/>
      <c r="UEO104" s="530"/>
      <c r="UEP104" s="531"/>
      <c r="UEQ104" s="530"/>
      <c r="UER104" s="531"/>
      <c r="UES104" s="530"/>
      <c r="UET104" s="531"/>
      <c r="UEU104" s="530"/>
      <c r="UEV104" s="531"/>
      <c r="UEW104" s="530"/>
      <c r="UEX104" s="531"/>
      <c r="UEY104" s="530"/>
      <c r="UEZ104" s="531"/>
      <c r="UFA104" s="530"/>
      <c r="UFB104" s="531"/>
      <c r="UFC104" s="530"/>
      <c r="UFD104" s="531"/>
      <c r="UFE104" s="530"/>
      <c r="UFF104" s="531"/>
      <c r="UFG104" s="530"/>
      <c r="UFH104" s="531"/>
      <c r="UFI104" s="530"/>
      <c r="UFJ104" s="531"/>
      <c r="UFK104" s="530"/>
      <c r="UFL104" s="531"/>
      <c r="UFM104" s="530"/>
      <c r="UFN104" s="531"/>
      <c r="UFO104" s="530"/>
      <c r="UFP104" s="531"/>
      <c r="UFQ104" s="530"/>
      <c r="UFR104" s="531"/>
      <c r="UFS104" s="530"/>
      <c r="UFT104" s="531"/>
      <c r="UFU104" s="530"/>
      <c r="UFV104" s="531"/>
      <c r="UFW104" s="530"/>
      <c r="UFX104" s="531"/>
      <c r="UFY104" s="530"/>
      <c r="UFZ104" s="531"/>
      <c r="UGA104" s="530"/>
      <c r="UGB104" s="531"/>
      <c r="UGC104" s="530"/>
      <c r="UGD104" s="531"/>
      <c r="UGE104" s="530"/>
      <c r="UGF104" s="531"/>
      <c r="UGG104" s="530"/>
      <c r="UGH104" s="531"/>
      <c r="UGI104" s="530"/>
      <c r="UGJ104" s="531"/>
      <c r="UGK104" s="530"/>
      <c r="UGL104" s="531"/>
      <c r="UGM104" s="530"/>
      <c r="UGN104" s="531"/>
      <c r="UGO104" s="530"/>
      <c r="UGP104" s="531"/>
      <c r="UGQ104" s="530"/>
      <c r="UGR104" s="531"/>
      <c r="UGS104" s="530"/>
      <c r="UGT104" s="531"/>
      <c r="UGU104" s="530"/>
      <c r="UGV104" s="531"/>
      <c r="UGW104" s="530"/>
      <c r="UGX104" s="531"/>
      <c r="UGY104" s="530"/>
      <c r="UGZ104" s="531"/>
      <c r="UHA104" s="530"/>
      <c r="UHB104" s="531"/>
      <c r="UHC104" s="530"/>
      <c r="UHD104" s="531"/>
      <c r="UHE104" s="530"/>
      <c r="UHF104" s="531"/>
      <c r="UHG104" s="530"/>
      <c r="UHH104" s="531"/>
      <c r="UHI104" s="530"/>
      <c r="UHJ104" s="531"/>
      <c r="UHK104" s="530"/>
      <c r="UHL104" s="531"/>
      <c r="UHM104" s="530"/>
      <c r="UHN104" s="531"/>
      <c r="UHO104" s="530"/>
      <c r="UHP104" s="531"/>
      <c r="UHQ104" s="530"/>
      <c r="UHR104" s="531"/>
      <c r="UHS104" s="530"/>
      <c r="UHT104" s="531"/>
      <c r="UHU104" s="530"/>
      <c r="UHV104" s="531"/>
      <c r="UHW104" s="530"/>
      <c r="UHX104" s="531"/>
      <c r="UHY104" s="530"/>
      <c r="UHZ104" s="531"/>
      <c r="UIA104" s="530"/>
      <c r="UIB104" s="531"/>
      <c r="UIC104" s="530"/>
      <c r="UID104" s="531"/>
      <c r="UIE104" s="530"/>
      <c r="UIF104" s="531"/>
      <c r="UIG104" s="530"/>
      <c r="UIH104" s="531"/>
      <c r="UII104" s="530"/>
      <c r="UIJ104" s="531"/>
      <c r="UIK104" s="530"/>
      <c r="UIL104" s="531"/>
      <c r="UIM104" s="530"/>
      <c r="UIN104" s="531"/>
      <c r="UIO104" s="530"/>
      <c r="UIP104" s="531"/>
      <c r="UIQ104" s="530"/>
      <c r="UIR104" s="531"/>
      <c r="UIS104" s="530"/>
      <c r="UIT104" s="531"/>
      <c r="UIU104" s="530"/>
      <c r="UIV104" s="531"/>
      <c r="UIW104" s="530"/>
      <c r="UIX104" s="531"/>
      <c r="UIY104" s="530"/>
      <c r="UIZ104" s="531"/>
      <c r="UJA104" s="530"/>
      <c r="UJB104" s="531"/>
      <c r="UJC104" s="530"/>
      <c r="UJD104" s="531"/>
      <c r="UJE104" s="530"/>
      <c r="UJF104" s="531"/>
      <c r="UJG104" s="530"/>
      <c r="UJH104" s="531"/>
      <c r="UJI104" s="530"/>
      <c r="UJJ104" s="531"/>
      <c r="UJK104" s="530"/>
      <c r="UJL104" s="531"/>
      <c r="UJM104" s="530"/>
      <c r="UJN104" s="531"/>
      <c r="UJO104" s="530"/>
      <c r="UJP104" s="531"/>
      <c r="UJQ104" s="530"/>
      <c r="UJR104" s="531"/>
      <c r="UJS104" s="530"/>
      <c r="UJT104" s="531"/>
      <c r="UJU104" s="530"/>
      <c r="UJV104" s="531"/>
      <c r="UJW104" s="530"/>
      <c r="UJX104" s="531"/>
      <c r="UJY104" s="530"/>
      <c r="UJZ104" s="531"/>
      <c r="UKA104" s="530"/>
      <c r="UKB104" s="531"/>
      <c r="UKC104" s="530"/>
      <c r="UKD104" s="531"/>
      <c r="UKE104" s="530"/>
      <c r="UKF104" s="531"/>
      <c r="UKG104" s="530"/>
      <c r="UKH104" s="531"/>
      <c r="UKI104" s="530"/>
      <c r="UKJ104" s="531"/>
      <c r="UKK104" s="530"/>
      <c r="UKL104" s="531"/>
      <c r="UKM104" s="530"/>
      <c r="UKN104" s="531"/>
      <c r="UKO104" s="530"/>
      <c r="UKP104" s="531"/>
      <c r="UKQ104" s="530"/>
      <c r="UKR104" s="531"/>
      <c r="UKS104" s="530"/>
      <c r="UKT104" s="531"/>
      <c r="UKU104" s="530"/>
      <c r="UKV104" s="531"/>
      <c r="UKW104" s="530"/>
      <c r="UKX104" s="531"/>
      <c r="UKY104" s="530"/>
      <c r="UKZ104" s="531"/>
      <c r="ULA104" s="530"/>
      <c r="ULB104" s="531"/>
      <c r="ULC104" s="530"/>
      <c r="ULD104" s="531"/>
      <c r="ULE104" s="530"/>
      <c r="ULF104" s="531"/>
      <c r="ULG104" s="530"/>
      <c r="ULH104" s="531"/>
      <c r="ULI104" s="530"/>
      <c r="ULJ104" s="531"/>
      <c r="ULK104" s="530"/>
      <c r="ULL104" s="531"/>
      <c r="ULM104" s="530"/>
      <c r="ULN104" s="531"/>
      <c r="ULO104" s="530"/>
      <c r="ULP104" s="531"/>
      <c r="ULQ104" s="530"/>
      <c r="ULR104" s="531"/>
      <c r="ULS104" s="530"/>
      <c r="ULT104" s="531"/>
      <c r="ULU104" s="530"/>
      <c r="ULV104" s="531"/>
      <c r="ULW104" s="530"/>
      <c r="ULX104" s="531"/>
      <c r="ULY104" s="530"/>
      <c r="ULZ104" s="531"/>
      <c r="UMA104" s="530"/>
      <c r="UMB104" s="531"/>
      <c r="UMC104" s="530"/>
      <c r="UMD104" s="531"/>
      <c r="UME104" s="530"/>
      <c r="UMF104" s="531"/>
      <c r="UMG104" s="530"/>
      <c r="UMH104" s="531"/>
      <c r="UMI104" s="530"/>
      <c r="UMJ104" s="531"/>
      <c r="UMK104" s="530"/>
      <c r="UML104" s="531"/>
      <c r="UMM104" s="530"/>
      <c r="UMN104" s="531"/>
      <c r="UMO104" s="530"/>
      <c r="UMP104" s="531"/>
      <c r="UMQ104" s="530"/>
      <c r="UMR104" s="531"/>
      <c r="UMS104" s="530"/>
      <c r="UMT104" s="531"/>
      <c r="UMU104" s="530"/>
      <c r="UMV104" s="531"/>
      <c r="UMW104" s="530"/>
      <c r="UMX104" s="531"/>
      <c r="UMY104" s="530"/>
      <c r="UMZ104" s="531"/>
      <c r="UNA104" s="530"/>
      <c r="UNB104" s="531"/>
      <c r="UNC104" s="530"/>
      <c r="UND104" s="531"/>
      <c r="UNE104" s="530"/>
      <c r="UNF104" s="531"/>
      <c r="UNG104" s="530"/>
      <c r="UNH104" s="531"/>
      <c r="UNI104" s="530"/>
      <c r="UNJ104" s="531"/>
      <c r="UNK104" s="530"/>
      <c r="UNL104" s="531"/>
      <c r="UNM104" s="530"/>
      <c r="UNN104" s="531"/>
      <c r="UNO104" s="530"/>
      <c r="UNP104" s="531"/>
      <c r="UNQ104" s="530"/>
      <c r="UNR104" s="531"/>
      <c r="UNS104" s="530"/>
      <c r="UNT104" s="531"/>
      <c r="UNU104" s="530"/>
      <c r="UNV104" s="531"/>
      <c r="UNW104" s="530"/>
      <c r="UNX104" s="531"/>
      <c r="UNY104" s="530"/>
      <c r="UNZ104" s="531"/>
      <c r="UOA104" s="530"/>
      <c r="UOB104" s="531"/>
      <c r="UOC104" s="530"/>
      <c r="UOD104" s="531"/>
      <c r="UOE104" s="530"/>
      <c r="UOF104" s="531"/>
      <c r="UOG104" s="530"/>
      <c r="UOH104" s="531"/>
      <c r="UOI104" s="530"/>
      <c r="UOJ104" s="531"/>
      <c r="UOK104" s="530"/>
      <c r="UOL104" s="531"/>
      <c r="UOM104" s="530"/>
      <c r="UON104" s="531"/>
      <c r="UOO104" s="530"/>
      <c r="UOP104" s="531"/>
      <c r="UOQ104" s="530"/>
      <c r="UOR104" s="531"/>
      <c r="UOS104" s="530"/>
      <c r="UOT104" s="531"/>
      <c r="UOU104" s="530"/>
      <c r="UOV104" s="531"/>
      <c r="UOW104" s="530"/>
      <c r="UOX104" s="531"/>
      <c r="UOY104" s="530"/>
      <c r="UOZ104" s="531"/>
      <c r="UPA104" s="530"/>
      <c r="UPB104" s="531"/>
      <c r="UPC104" s="530"/>
      <c r="UPD104" s="531"/>
      <c r="UPE104" s="530"/>
      <c r="UPF104" s="531"/>
      <c r="UPG104" s="530"/>
      <c r="UPH104" s="531"/>
      <c r="UPI104" s="530"/>
      <c r="UPJ104" s="531"/>
      <c r="UPK104" s="530"/>
      <c r="UPL104" s="531"/>
      <c r="UPM104" s="530"/>
      <c r="UPN104" s="531"/>
      <c r="UPO104" s="530"/>
      <c r="UPP104" s="531"/>
      <c r="UPQ104" s="530"/>
      <c r="UPR104" s="531"/>
      <c r="UPS104" s="530"/>
      <c r="UPT104" s="531"/>
      <c r="UPU104" s="530"/>
      <c r="UPV104" s="531"/>
      <c r="UPW104" s="530"/>
      <c r="UPX104" s="531"/>
      <c r="UPY104" s="530"/>
      <c r="UPZ104" s="531"/>
      <c r="UQA104" s="530"/>
      <c r="UQB104" s="531"/>
      <c r="UQC104" s="530"/>
      <c r="UQD104" s="531"/>
      <c r="UQE104" s="530"/>
      <c r="UQF104" s="531"/>
      <c r="UQG104" s="530"/>
      <c r="UQH104" s="531"/>
      <c r="UQI104" s="530"/>
      <c r="UQJ104" s="531"/>
      <c r="UQK104" s="530"/>
      <c r="UQL104" s="531"/>
      <c r="UQM104" s="530"/>
      <c r="UQN104" s="531"/>
      <c r="UQO104" s="530"/>
      <c r="UQP104" s="531"/>
      <c r="UQQ104" s="530"/>
      <c r="UQR104" s="531"/>
      <c r="UQS104" s="530"/>
      <c r="UQT104" s="531"/>
      <c r="UQU104" s="530"/>
      <c r="UQV104" s="531"/>
      <c r="UQW104" s="530"/>
      <c r="UQX104" s="531"/>
      <c r="UQY104" s="530"/>
      <c r="UQZ104" s="531"/>
      <c r="URA104" s="530"/>
      <c r="URB104" s="531"/>
      <c r="URC104" s="530"/>
      <c r="URD104" s="531"/>
      <c r="URE104" s="530"/>
      <c r="URF104" s="531"/>
      <c r="URG104" s="530"/>
      <c r="URH104" s="531"/>
      <c r="URI104" s="530"/>
      <c r="URJ104" s="531"/>
      <c r="URK104" s="530"/>
      <c r="URL104" s="531"/>
      <c r="URM104" s="530"/>
      <c r="URN104" s="531"/>
      <c r="URO104" s="530"/>
      <c r="URP104" s="531"/>
      <c r="URQ104" s="530"/>
      <c r="URR104" s="531"/>
      <c r="URS104" s="530"/>
      <c r="URT104" s="531"/>
      <c r="URU104" s="530"/>
      <c r="URV104" s="531"/>
      <c r="URW104" s="530"/>
      <c r="URX104" s="531"/>
      <c r="URY104" s="530"/>
      <c r="URZ104" s="531"/>
      <c r="USA104" s="530"/>
      <c r="USB104" s="531"/>
      <c r="USC104" s="530"/>
      <c r="USD104" s="531"/>
      <c r="USE104" s="530"/>
      <c r="USF104" s="531"/>
      <c r="USG104" s="530"/>
      <c r="USH104" s="531"/>
      <c r="USI104" s="530"/>
      <c r="USJ104" s="531"/>
      <c r="USK104" s="530"/>
      <c r="USL104" s="531"/>
      <c r="USM104" s="530"/>
      <c r="USN104" s="531"/>
      <c r="USO104" s="530"/>
      <c r="USP104" s="531"/>
      <c r="USQ104" s="530"/>
      <c r="USR104" s="531"/>
      <c r="USS104" s="530"/>
      <c r="UST104" s="531"/>
      <c r="USU104" s="530"/>
      <c r="USV104" s="531"/>
      <c r="USW104" s="530"/>
      <c r="USX104" s="531"/>
      <c r="USY104" s="530"/>
      <c r="USZ104" s="531"/>
      <c r="UTA104" s="530"/>
      <c r="UTB104" s="531"/>
      <c r="UTC104" s="530"/>
      <c r="UTD104" s="531"/>
      <c r="UTE104" s="530"/>
      <c r="UTF104" s="531"/>
      <c r="UTG104" s="530"/>
      <c r="UTH104" s="531"/>
      <c r="UTI104" s="530"/>
      <c r="UTJ104" s="531"/>
      <c r="UTK104" s="530"/>
      <c r="UTL104" s="531"/>
      <c r="UTM104" s="530"/>
      <c r="UTN104" s="531"/>
      <c r="UTO104" s="530"/>
      <c r="UTP104" s="531"/>
      <c r="UTQ104" s="530"/>
      <c r="UTR104" s="531"/>
      <c r="UTS104" s="530"/>
      <c r="UTT104" s="531"/>
      <c r="UTU104" s="530"/>
      <c r="UTV104" s="531"/>
      <c r="UTW104" s="530"/>
      <c r="UTX104" s="531"/>
      <c r="UTY104" s="530"/>
      <c r="UTZ104" s="531"/>
      <c r="UUA104" s="530"/>
      <c r="UUB104" s="531"/>
      <c r="UUC104" s="530"/>
      <c r="UUD104" s="531"/>
      <c r="UUE104" s="530"/>
      <c r="UUF104" s="531"/>
      <c r="UUG104" s="530"/>
      <c r="UUH104" s="531"/>
      <c r="UUI104" s="530"/>
      <c r="UUJ104" s="531"/>
      <c r="UUK104" s="530"/>
      <c r="UUL104" s="531"/>
      <c r="UUM104" s="530"/>
      <c r="UUN104" s="531"/>
      <c r="UUO104" s="530"/>
      <c r="UUP104" s="531"/>
      <c r="UUQ104" s="530"/>
      <c r="UUR104" s="531"/>
      <c r="UUS104" s="530"/>
      <c r="UUT104" s="531"/>
      <c r="UUU104" s="530"/>
      <c r="UUV104" s="531"/>
      <c r="UUW104" s="530"/>
      <c r="UUX104" s="531"/>
      <c r="UUY104" s="530"/>
      <c r="UUZ104" s="531"/>
      <c r="UVA104" s="530"/>
      <c r="UVB104" s="531"/>
      <c r="UVC104" s="530"/>
      <c r="UVD104" s="531"/>
      <c r="UVE104" s="530"/>
      <c r="UVF104" s="531"/>
      <c r="UVG104" s="530"/>
      <c r="UVH104" s="531"/>
      <c r="UVI104" s="530"/>
      <c r="UVJ104" s="531"/>
      <c r="UVK104" s="530"/>
      <c r="UVL104" s="531"/>
      <c r="UVM104" s="530"/>
      <c r="UVN104" s="531"/>
      <c r="UVO104" s="530"/>
      <c r="UVP104" s="531"/>
      <c r="UVQ104" s="530"/>
      <c r="UVR104" s="531"/>
      <c r="UVS104" s="530"/>
      <c r="UVT104" s="531"/>
      <c r="UVU104" s="530"/>
      <c r="UVV104" s="531"/>
      <c r="UVW104" s="530"/>
      <c r="UVX104" s="531"/>
      <c r="UVY104" s="530"/>
      <c r="UVZ104" s="531"/>
      <c r="UWA104" s="530"/>
      <c r="UWB104" s="531"/>
      <c r="UWC104" s="530"/>
      <c r="UWD104" s="531"/>
      <c r="UWE104" s="530"/>
      <c r="UWF104" s="531"/>
      <c r="UWG104" s="530"/>
      <c r="UWH104" s="531"/>
      <c r="UWI104" s="530"/>
      <c r="UWJ104" s="531"/>
      <c r="UWK104" s="530"/>
      <c r="UWL104" s="531"/>
      <c r="UWM104" s="530"/>
      <c r="UWN104" s="531"/>
      <c r="UWO104" s="530"/>
      <c r="UWP104" s="531"/>
      <c r="UWQ104" s="530"/>
      <c r="UWR104" s="531"/>
      <c r="UWS104" s="530"/>
      <c r="UWT104" s="531"/>
      <c r="UWU104" s="530"/>
      <c r="UWV104" s="531"/>
      <c r="UWW104" s="530"/>
      <c r="UWX104" s="531"/>
      <c r="UWY104" s="530"/>
      <c r="UWZ104" s="531"/>
      <c r="UXA104" s="530"/>
      <c r="UXB104" s="531"/>
      <c r="UXC104" s="530"/>
      <c r="UXD104" s="531"/>
      <c r="UXE104" s="530"/>
      <c r="UXF104" s="531"/>
      <c r="UXG104" s="530"/>
      <c r="UXH104" s="531"/>
      <c r="UXI104" s="530"/>
      <c r="UXJ104" s="531"/>
      <c r="UXK104" s="530"/>
      <c r="UXL104" s="531"/>
      <c r="UXM104" s="530"/>
      <c r="UXN104" s="531"/>
      <c r="UXO104" s="530"/>
      <c r="UXP104" s="531"/>
      <c r="UXQ104" s="530"/>
      <c r="UXR104" s="531"/>
      <c r="UXS104" s="530"/>
      <c r="UXT104" s="531"/>
      <c r="UXU104" s="530"/>
      <c r="UXV104" s="531"/>
      <c r="UXW104" s="530"/>
      <c r="UXX104" s="531"/>
      <c r="UXY104" s="530"/>
      <c r="UXZ104" s="531"/>
      <c r="UYA104" s="530"/>
      <c r="UYB104" s="531"/>
      <c r="UYC104" s="530"/>
      <c r="UYD104" s="531"/>
      <c r="UYE104" s="530"/>
      <c r="UYF104" s="531"/>
      <c r="UYG104" s="530"/>
      <c r="UYH104" s="531"/>
      <c r="UYI104" s="530"/>
      <c r="UYJ104" s="531"/>
      <c r="UYK104" s="530"/>
      <c r="UYL104" s="531"/>
      <c r="UYM104" s="530"/>
      <c r="UYN104" s="531"/>
      <c r="UYO104" s="530"/>
      <c r="UYP104" s="531"/>
      <c r="UYQ104" s="530"/>
      <c r="UYR104" s="531"/>
      <c r="UYS104" s="530"/>
      <c r="UYT104" s="531"/>
      <c r="UYU104" s="530"/>
      <c r="UYV104" s="531"/>
      <c r="UYW104" s="530"/>
      <c r="UYX104" s="531"/>
      <c r="UYY104" s="530"/>
      <c r="UYZ104" s="531"/>
      <c r="UZA104" s="530"/>
      <c r="UZB104" s="531"/>
      <c r="UZC104" s="530"/>
      <c r="UZD104" s="531"/>
      <c r="UZE104" s="530"/>
      <c r="UZF104" s="531"/>
      <c r="UZG104" s="530"/>
      <c r="UZH104" s="531"/>
      <c r="UZI104" s="530"/>
      <c r="UZJ104" s="531"/>
      <c r="UZK104" s="530"/>
      <c r="UZL104" s="531"/>
      <c r="UZM104" s="530"/>
      <c r="UZN104" s="531"/>
      <c r="UZO104" s="530"/>
      <c r="UZP104" s="531"/>
      <c r="UZQ104" s="530"/>
      <c r="UZR104" s="531"/>
      <c r="UZS104" s="530"/>
      <c r="UZT104" s="531"/>
      <c r="UZU104" s="530"/>
      <c r="UZV104" s="531"/>
      <c r="UZW104" s="530"/>
      <c r="UZX104" s="531"/>
      <c r="UZY104" s="530"/>
      <c r="UZZ104" s="531"/>
      <c r="VAA104" s="530"/>
      <c r="VAB104" s="531"/>
      <c r="VAC104" s="530"/>
      <c r="VAD104" s="531"/>
      <c r="VAE104" s="530"/>
      <c r="VAF104" s="531"/>
      <c r="VAG104" s="530"/>
      <c r="VAH104" s="531"/>
      <c r="VAI104" s="530"/>
      <c r="VAJ104" s="531"/>
      <c r="VAK104" s="530"/>
      <c r="VAL104" s="531"/>
      <c r="VAM104" s="530"/>
      <c r="VAN104" s="531"/>
      <c r="VAO104" s="530"/>
      <c r="VAP104" s="531"/>
      <c r="VAQ104" s="530"/>
      <c r="VAR104" s="531"/>
      <c r="VAS104" s="530"/>
      <c r="VAT104" s="531"/>
      <c r="VAU104" s="530"/>
      <c r="VAV104" s="531"/>
      <c r="VAW104" s="530"/>
      <c r="VAX104" s="531"/>
      <c r="VAY104" s="530"/>
      <c r="VAZ104" s="531"/>
      <c r="VBA104" s="530"/>
      <c r="VBB104" s="531"/>
      <c r="VBC104" s="530"/>
      <c r="VBD104" s="531"/>
      <c r="VBE104" s="530"/>
      <c r="VBF104" s="531"/>
      <c r="VBG104" s="530"/>
      <c r="VBH104" s="531"/>
      <c r="VBI104" s="530"/>
      <c r="VBJ104" s="531"/>
      <c r="VBK104" s="530"/>
      <c r="VBL104" s="531"/>
      <c r="VBM104" s="530"/>
      <c r="VBN104" s="531"/>
      <c r="VBO104" s="530"/>
      <c r="VBP104" s="531"/>
      <c r="VBQ104" s="530"/>
      <c r="VBR104" s="531"/>
      <c r="VBS104" s="530"/>
      <c r="VBT104" s="531"/>
      <c r="VBU104" s="530"/>
      <c r="VBV104" s="531"/>
      <c r="VBW104" s="530"/>
      <c r="VBX104" s="531"/>
      <c r="VBY104" s="530"/>
      <c r="VBZ104" s="531"/>
      <c r="VCA104" s="530"/>
      <c r="VCB104" s="531"/>
      <c r="VCC104" s="530"/>
      <c r="VCD104" s="531"/>
      <c r="VCE104" s="530"/>
      <c r="VCF104" s="531"/>
      <c r="VCG104" s="530"/>
      <c r="VCH104" s="531"/>
      <c r="VCI104" s="530"/>
      <c r="VCJ104" s="531"/>
      <c r="VCK104" s="530"/>
      <c r="VCL104" s="531"/>
      <c r="VCM104" s="530"/>
      <c r="VCN104" s="531"/>
      <c r="VCO104" s="530"/>
      <c r="VCP104" s="531"/>
      <c r="VCQ104" s="530"/>
      <c r="VCR104" s="531"/>
      <c r="VCS104" s="530"/>
      <c r="VCT104" s="531"/>
      <c r="VCU104" s="530"/>
      <c r="VCV104" s="531"/>
      <c r="VCW104" s="530"/>
      <c r="VCX104" s="531"/>
      <c r="VCY104" s="530"/>
      <c r="VCZ104" s="531"/>
      <c r="VDA104" s="530"/>
      <c r="VDB104" s="531"/>
      <c r="VDC104" s="530"/>
      <c r="VDD104" s="531"/>
      <c r="VDE104" s="530"/>
      <c r="VDF104" s="531"/>
      <c r="VDG104" s="530"/>
      <c r="VDH104" s="531"/>
      <c r="VDI104" s="530"/>
      <c r="VDJ104" s="531"/>
      <c r="VDK104" s="530"/>
      <c r="VDL104" s="531"/>
      <c r="VDM104" s="530"/>
      <c r="VDN104" s="531"/>
      <c r="VDO104" s="530"/>
      <c r="VDP104" s="531"/>
      <c r="VDQ104" s="530"/>
      <c r="VDR104" s="531"/>
      <c r="VDS104" s="530"/>
      <c r="VDT104" s="531"/>
      <c r="VDU104" s="530"/>
      <c r="VDV104" s="531"/>
      <c r="VDW104" s="530"/>
      <c r="VDX104" s="531"/>
      <c r="VDY104" s="530"/>
      <c r="VDZ104" s="531"/>
      <c r="VEA104" s="530"/>
      <c r="VEB104" s="531"/>
      <c r="VEC104" s="530"/>
      <c r="VED104" s="531"/>
      <c r="VEE104" s="530"/>
      <c r="VEF104" s="531"/>
      <c r="VEG104" s="530"/>
      <c r="VEH104" s="531"/>
      <c r="VEI104" s="530"/>
      <c r="VEJ104" s="531"/>
      <c r="VEK104" s="530"/>
      <c r="VEL104" s="531"/>
      <c r="VEM104" s="530"/>
      <c r="VEN104" s="531"/>
      <c r="VEO104" s="530"/>
      <c r="VEP104" s="531"/>
      <c r="VEQ104" s="530"/>
      <c r="VER104" s="531"/>
      <c r="VES104" s="530"/>
      <c r="VET104" s="531"/>
      <c r="VEU104" s="530"/>
      <c r="VEV104" s="531"/>
      <c r="VEW104" s="530"/>
      <c r="VEX104" s="531"/>
      <c r="VEY104" s="530"/>
      <c r="VEZ104" s="531"/>
      <c r="VFA104" s="530"/>
      <c r="VFB104" s="531"/>
      <c r="VFC104" s="530"/>
      <c r="VFD104" s="531"/>
      <c r="VFE104" s="530"/>
      <c r="VFF104" s="531"/>
      <c r="VFG104" s="530"/>
      <c r="VFH104" s="531"/>
      <c r="VFI104" s="530"/>
      <c r="VFJ104" s="531"/>
      <c r="VFK104" s="530"/>
      <c r="VFL104" s="531"/>
      <c r="VFM104" s="530"/>
      <c r="VFN104" s="531"/>
      <c r="VFO104" s="530"/>
      <c r="VFP104" s="531"/>
      <c r="VFQ104" s="530"/>
      <c r="VFR104" s="531"/>
      <c r="VFS104" s="530"/>
      <c r="VFT104" s="531"/>
      <c r="VFU104" s="530"/>
      <c r="VFV104" s="531"/>
      <c r="VFW104" s="530"/>
      <c r="VFX104" s="531"/>
      <c r="VFY104" s="530"/>
      <c r="VFZ104" s="531"/>
      <c r="VGA104" s="530"/>
      <c r="VGB104" s="531"/>
      <c r="VGC104" s="530"/>
      <c r="VGD104" s="531"/>
      <c r="VGE104" s="530"/>
      <c r="VGF104" s="531"/>
      <c r="VGG104" s="530"/>
      <c r="VGH104" s="531"/>
      <c r="VGI104" s="530"/>
      <c r="VGJ104" s="531"/>
      <c r="VGK104" s="530"/>
      <c r="VGL104" s="531"/>
      <c r="VGM104" s="530"/>
      <c r="VGN104" s="531"/>
      <c r="VGO104" s="530"/>
      <c r="VGP104" s="531"/>
      <c r="VGQ104" s="530"/>
      <c r="VGR104" s="531"/>
      <c r="VGS104" s="530"/>
      <c r="VGT104" s="531"/>
      <c r="VGU104" s="530"/>
      <c r="VGV104" s="531"/>
      <c r="VGW104" s="530"/>
      <c r="VGX104" s="531"/>
      <c r="VGY104" s="530"/>
      <c r="VGZ104" s="531"/>
      <c r="VHA104" s="530"/>
      <c r="VHB104" s="531"/>
      <c r="VHC104" s="530"/>
      <c r="VHD104" s="531"/>
      <c r="VHE104" s="530"/>
      <c r="VHF104" s="531"/>
      <c r="VHG104" s="530"/>
      <c r="VHH104" s="531"/>
      <c r="VHI104" s="530"/>
      <c r="VHJ104" s="531"/>
      <c r="VHK104" s="530"/>
      <c r="VHL104" s="531"/>
      <c r="VHM104" s="530"/>
      <c r="VHN104" s="531"/>
      <c r="VHO104" s="530"/>
      <c r="VHP104" s="531"/>
      <c r="VHQ104" s="530"/>
      <c r="VHR104" s="531"/>
      <c r="VHS104" s="530"/>
      <c r="VHT104" s="531"/>
      <c r="VHU104" s="530"/>
      <c r="VHV104" s="531"/>
      <c r="VHW104" s="530"/>
      <c r="VHX104" s="531"/>
      <c r="VHY104" s="530"/>
      <c r="VHZ104" s="531"/>
      <c r="VIA104" s="530"/>
      <c r="VIB104" s="531"/>
      <c r="VIC104" s="530"/>
      <c r="VID104" s="531"/>
      <c r="VIE104" s="530"/>
      <c r="VIF104" s="531"/>
      <c r="VIG104" s="530"/>
      <c r="VIH104" s="531"/>
      <c r="VII104" s="530"/>
      <c r="VIJ104" s="531"/>
      <c r="VIK104" s="530"/>
      <c r="VIL104" s="531"/>
      <c r="VIM104" s="530"/>
      <c r="VIN104" s="531"/>
      <c r="VIO104" s="530"/>
      <c r="VIP104" s="531"/>
      <c r="VIQ104" s="530"/>
      <c r="VIR104" s="531"/>
      <c r="VIS104" s="530"/>
      <c r="VIT104" s="531"/>
      <c r="VIU104" s="530"/>
      <c r="VIV104" s="531"/>
      <c r="VIW104" s="530"/>
      <c r="VIX104" s="531"/>
      <c r="VIY104" s="530"/>
      <c r="VIZ104" s="531"/>
      <c r="VJA104" s="530"/>
      <c r="VJB104" s="531"/>
      <c r="VJC104" s="530"/>
      <c r="VJD104" s="531"/>
      <c r="VJE104" s="530"/>
      <c r="VJF104" s="531"/>
      <c r="VJG104" s="530"/>
      <c r="VJH104" s="531"/>
      <c r="VJI104" s="530"/>
      <c r="VJJ104" s="531"/>
      <c r="VJK104" s="530"/>
      <c r="VJL104" s="531"/>
      <c r="VJM104" s="530"/>
      <c r="VJN104" s="531"/>
      <c r="VJO104" s="530"/>
      <c r="VJP104" s="531"/>
      <c r="VJQ104" s="530"/>
      <c r="VJR104" s="531"/>
      <c r="VJS104" s="530"/>
      <c r="VJT104" s="531"/>
      <c r="VJU104" s="530"/>
      <c r="VJV104" s="531"/>
      <c r="VJW104" s="530"/>
      <c r="VJX104" s="531"/>
      <c r="VJY104" s="530"/>
      <c r="VJZ104" s="531"/>
      <c r="VKA104" s="530"/>
      <c r="VKB104" s="531"/>
      <c r="VKC104" s="530"/>
      <c r="VKD104" s="531"/>
      <c r="VKE104" s="530"/>
      <c r="VKF104" s="531"/>
      <c r="VKG104" s="530"/>
      <c r="VKH104" s="531"/>
      <c r="VKI104" s="530"/>
      <c r="VKJ104" s="531"/>
      <c r="VKK104" s="530"/>
      <c r="VKL104" s="531"/>
      <c r="VKM104" s="530"/>
      <c r="VKN104" s="531"/>
      <c r="VKO104" s="530"/>
      <c r="VKP104" s="531"/>
      <c r="VKQ104" s="530"/>
      <c r="VKR104" s="531"/>
      <c r="VKS104" s="530"/>
      <c r="VKT104" s="531"/>
      <c r="VKU104" s="530"/>
      <c r="VKV104" s="531"/>
      <c r="VKW104" s="530"/>
      <c r="VKX104" s="531"/>
      <c r="VKY104" s="530"/>
      <c r="VKZ104" s="531"/>
      <c r="VLA104" s="530"/>
      <c r="VLB104" s="531"/>
      <c r="VLC104" s="530"/>
      <c r="VLD104" s="531"/>
      <c r="VLE104" s="530"/>
      <c r="VLF104" s="531"/>
      <c r="VLG104" s="530"/>
      <c r="VLH104" s="531"/>
      <c r="VLI104" s="530"/>
      <c r="VLJ104" s="531"/>
      <c r="VLK104" s="530"/>
      <c r="VLL104" s="531"/>
      <c r="VLM104" s="530"/>
      <c r="VLN104" s="531"/>
      <c r="VLO104" s="530"/>
      <c r="VLP104" s="531"/>
      <c r="VLQ104" s="530"/>
      <c r="VLR104" s="531"/>
      <c r="VLS104" s="530"/>
      <c r="VLT104" s="531"/>
      <c r="VLU104" s="530"/>
      <c r="VLV104" s="531"/>
      <c r="VLW104" s="530"/>
      <c r="VLX104" s="531"/>
      <c r="VLY104" s="530"/>
      <c r="VLZ104" s="531"/>
      <c r="VMA104" s="530"/>
      <c r="VMB104" s="531"/>
      <c r="VMC104" s="530"/>
      <c r="VMD104" s="531"/>
      <c r="VME104" s="530"/>
      <c r="VMF104" s="531"/>
      <c r="VMG104" s="530"/>
      <c r="VMH104" s="531"/>
      <c r="VMI104" s="530"/>
      <c r="VMJ104" s="531"/>
      <c r="VMK104" s="530"/>
      <c r="VML104" s="531"/>
      <c r="VMM104" s="530"/>
      <c r="VMN104" s="531"/>
      <c r="VMO104" s="530"/>
      <c r="VMP104" s="531"/>
      <c r="VMQ104" s="530"/>
      <c r="VMR104" s="531"/>
      <c r="VMS104" s="530"/>
      <c r="VMT104" s="531"/>
      <c r="VMU104" s="530"/>
      <c r="VMV104" s="531"/>
      <c r="VMW104" s="530"/>
      <c r="VMX104" s="531"/>
      <c r="VMY104" s="530"/>
      <c r="VMZ104" s="531"/>
      <c r="VNA104" s="530"/>
      <c r="VNB104" s="531"/>
      <c r="VNC104" s="530"/>
      <c r="VND104" s="531"/>
      <c r="VNE104" s="530"/>
      <c r="VNF104" s="531"/>
      <c r="VNG104" s="530"/>
      <c r="VNH104" s="531"/>
      <c r="VNI104" s="530"/>
      <c r="VNJ104" s="531"/>
      <c r="VNK104" s="530"/>
      <c r="VNL104" s="531"/>
      <c r="VNM104" s="530"/>
      <c r="VNN104" s="531"/>
      <c r="VNO104" s="530"/>
      <c r="VNP104" s="531"/>
      <c r="VNQ104" s="530"/>
      <c r="VNR104" s="531"/>
      <c r="VNS104" s="530"/>
      <c r="VNT104" s="531"/>
      <c r="VNU104" s="530"/>
      <c r="VNV104" s="531"/>
      <c r="VNW104" s="530"/>
      <c r="VNX104" s="531"/>
      <c r="VNY104" s="530"/>
      <c r="VNZ104" s="531"/>
      <c r="VOA104" s="530"/>
      <c r="VOB104" s="531"/>
      <c r="VOC104" s="530"/>
      <c r="VOD104" s="531"/>
      <c r="VOE104" s="530"/>
      <c r="VOF104" s="531"/>
      <c r="VOG104" s="530"/>
      <c r="VOH104" s="531"/>
      <c r="VOI104" s="530"/>
      <c r="VOJ104" s="531"/>
      <c r="VOK104" s="530"/>
      <c r="VOL104" s="531"/>
      <c r="VOM104" s="530"/>
      <c r="VON104" s="531"/>
      <c r="VOO104" s="530"/>
      <c r="VOP104" s="531"/>
      <c r="VOQ104" s="530"/>
      <c r="VOR104" s="531"/>
      <c r="VOS104" s="530"/>
      <c r="VOT104" s="531"/>
      <c r="VOU104" s="530"/>
      <c r="VOV104" s="531"/>
      <c r="VOW104" s="530"/>
      <c r="VOX104" s="531"/>
      <c r="VOY104" s="530"/>
      <c r="VOZ104" s="531"/>
      <c r="VPA104" s="530"/>
      <c r="VPB104" s="531"/>
      <c r="VPC104" s="530"/>
      <c r="VPD104" s="531"/>
      <c r="VPE104" s="530"/>
      <c r="VPF104" s="531"/>
      <c r="VPG104" s="530"/>
      <c r="VPH104" s="531"/>
      <c r="VPI104" s="530"/>
      <c r="VPJ104" s="531"/>
      <c r="VPK104" s="530"/>
      <c r="VPL104" s="531"/>
      <c r="VPM104" s="530"/>
      <c r="VPN104" s="531"/>
      <c r="VPO104" s="530"/>
      <c r="VPP104" s="531"/>
      <c r="VPQ104" s="530"/>
      <c r="VPR104" s="531"/>
      <c r="VPS104" s="530"/>
      <c r="VPT104" s="531"/>
      <c r="VPU104" s="530"/>
      <c r="VPV104" s="531"/>
      <c r="VPW104" s="530"/>
      <c r="VPX104" s="531"/>
      <c r="VPY104" s="530"/>
      <c r="VPZ104" s="531"/>
      <c r="VQA104" s="530"/>
      <c r="VQB104" s="531"/>
      <c r="VQC104" s="530"/>
      <c r="VQD104" s="531"/>
      <c r="VQE104" s="530"/>
      <c r="VQF104" s="531"/>
      <c r="VQG104" s="530"/>
      <c r="VQH104" s="531"/>
      <c r="VQI104" s="530"/>
      <c r="VQJ104" s="531"/>
      <c r="VQK104" s="530"/>
      <c r="VQL104" s="531"/>
      <c r="VQM104" s="530"/>
      <c r="VQN104" s="531"/>
      <c r="VQO104" s="530"/>
      <c r="VQP104" s="531"/>
      <c r="VQQ104" s="530"/>
      <c r="VQR104" s="531"/>
      <c r="VQS104" s="530"/>
      <c r="VQT104" s="531"/>
      <c r="VQU104" s="530"/>
      <c r="VQV104" s="531"/>
      <c r="VQW104" s="530"/>
      <c r="VQX104" s="531"/>
      <c r="VQY104" s="530"/>
      <c r="VQZ104" s="531"/>
      <c r="VRA104" s="530"/>
      <c r="VRB104" s="531"/>
      <c r="VRC104" s="530"/>
      <c r="VRD104" s="531"/>
      <c r="VRE104" s="530"/>
      <c r="VRF104" s="531"/>
      <c r="VRG104" s="530"/>
      <c r="VRH104" s="531"/>
      <c r="VRI104" s="530"/>
      <c r="VRJ104" s="531"/>
      <c r="VRK104" s="530"/>
      <c r="VRL104" s="531"/>
      <c r="VRM104" s="530"/>
      <c r="VRN104" s="531"/>
      <c r="VRO104" s="530"/>
      <c r="VRP104" s="531"/>
      <c r="VRQ104" s="530"/>
      <c r="VRR104" s="531"/>
      <c r="VRS104" s="530"/>
      <c r="VRT104" s="531"/>
      <c r="VRU104" s="530"/>
      <c r="VRV104" s="531"/>
      <c r="VRW104" s="530"/>
      <c r="VRX104" s="531"/>
      <c r="VRY104" s="530"/>
      <c r="VRZ104" s="531"/>
      <c r="VSA104" s="530"/>
      <c r="VSB104" s="531"/>
      <c r="VSC104" s="530"/>
      <c r="VSD104" s="531"/>
      <c r="VSE104" s="530"/>
      <c r="VSF104" s="531"/>
      <c r="VSG104" s="530"/>
      <c r="VSH104" s="531"/>
      <c r="VSI104" s="530"/>
      <c r="VSJ104" s="531"/>
      <c r="VSK104" s="530"/>
      <c r="VSL104" s="531"/>
      <c r="VSM104" s="530"/>
      <c r="VSN104" s="531"/>
      <c r="VSO104" s="530"/>
      <c r="VSP104" s="531"/>
      <c r="VSQ104" s="530"/>
      <c r="VSR104" s="531"/>
      <c r="VSS104" s="530"/>
      <c r="VST104" s="531"/>
      <c r="VSU104" s="530"/>
      <c r="VSV104" s="531"/>
      <c r="VSW104" s="530"/>
      <c r="VSX104" s="531"/>
      <c r="VSY104" s="530"/>
      <c r="VSZ104" s="531"/>
      <c r="VTA104" s="530"/>
      <c r="VTB104" s="531"/>
      <c r="VTC104" s="530"/>
      <c r="VTD104" s="531"/>
      <c r="VTE104" s="530"/>
      <c r="VTF104" s="531"/>
      <c r="VTG104" s="530"/>
      <c r="VTH104" s="531"/>
      <c r="VTI104" s="530"/>
      <c r="VTJ104" s="531"/>
      <c r="VTK104" s="530"/>
      <c r="VTL104" s="531"/>
      <c r="VTM104" s="530"/>
      <c r="VTN104" s="531"/>
      <c r="VTO104" s="530"/>
      <c r="VTP104" s="531"/>
      <c r="VTQ104" s="530"/>
      <c r="VTR104" s="531"/>
      <c r="VTS104" s="530"/>
      <c r="VTT104" s="531"/>
      <c r="VTU104" s="530"/>
      <c r="VTV104" s="531"/>
      <c r="VTW104" s="530"/>
      <c r="VTX104" s="531"/>
      <c r="VTY104" s="530"/>
      <c r="VTZ104" s="531"/>
      <c r="VUA104" s="530"/>
      <c r="VUB104" s="531"/>
      <c r="VUC104" s="530"/>
      <c r="VUD104" s="531"/>
      <c r="VUE104" s="530"/>
      <c r="VUF104" s="531"/>
      <c r="VUG104" s="530"/>
      <c r="VUH104" s="531"/>
      <c r="VUI104" s="530"/>
      <c r="VUJ104" s="531"/>
      <c r="VUK104" s="530"/>
      <c r="VUL104" s="531"/>
      <c r="VUM104" s="530"/>
      <c r="VUN104" s="531"/>
      <c r="VUO104" s="530"/>
      <c r="VUP104" s="531"/>
      <c r="VUQ104" s="530"/>
      <c r="VUR104" s="531"/>
      <c r="VUS104" s="530"/>
      <c r="VUT104" s="531"/>
      <c r="VUU104" s="530"/>
      <c r="VUV104" s="531"/>
      <c r="VUW104" s="530"/>
      <c r="VUX104" s="531"/>
      <c r="VUY104" s="530"/>
      <c r="VUZ104" s="531"/>
      <c r="VVA104" s="530"/>
      <c r="VVB104" s="531"/>
      <c r="VVC104" s="530"/>
      <c r="VVD104" s="531"/>
      <c r="VVE104" s="530"/>
      <c r="VVF104" s="531"/>
      <c r="VVG104" s="530"/>
      <c r="VVH104" s="531"/>
      <c r="VVI104" s="530"/>
      <c r="VVJ104" s="531"/>
      <c r="VVK104" s="530"/>
      <c r="VVL104" s="531"/>
      <c r="VVM104" s="530"/>
      <c r="VVN104" s="531"/>
      <c r="VVO104" s="530"/>
      <c r="VVP104" s="531"/>
      <c r="VVQ104" s="530"/>
      <c r="VVR104" s="531"/>
      <c r="VVS104" s="530"/>
      <c r="VVT104" s="531"/>
      <c r="VVU104" s="530"/>
      <c r="VVV104" s="531"/>
      <c r="VVW104" s="530"/>
      <c r="VVX104" s="531"/>
      <c r="VVY104" s="530"/>
      <c r="VVZ104" s="531"/>
      <c r="VWA104" s="530"/>
      <c r="VWB104" s="531"/>
      <c r="VWC104" s="530"/>
      <c r="VWD104" s="531"/>
      <c r="VWE104" s="530"/>
      <c r="VWF104" s="531"/>
      <c r="VWG104" s="530"/>
      <c r="VWH104" s="531"/>
      <c r="VWI104" s="530"/>
      <c r="VWJ104" s="531"/>
      <c r="VWK104" s="530"/>
      <c r="VWL104" s="531"/>
      <c r="VWM104" s="530"/>
      <c r="VWN104" s="531"/>
      <c r="VWO104" s="530"/>
      <c r="VWP104" s="531"/>
      <c r="VWQ104" s="530"/>
      <c r="VWR104" s="531"/>
      <c r="VWS104" s="530"/>
      <c r="VWT104" s="531"/>
      <c r="VWU104" s="530"/>
      <c r="VWV104" s="531"/>
      <c r="VWW104" s="530"/>
      <c r="VWX104" s="531"/>
      <c r="VWY104" s="530"/>
      <c r="VWZ104" s="531"/>
      <c r="VXA104" s="530"/>
      <c r="VXB104" s="531"/>
      <c r="VXC104" s="530"/>
      <c r="VXD104" s="531"/>
      <c r="VXE104" s="530"/>
      <c r="VXF104" s="531"/>
      <c r="VXG104" s="530"/>
      <c r="VXH104" s="531"/>
      <c r="VXI104" s="530"/>
      <c r="VXJ104" s="531"/>
      <c r="VXK104" s="530"/>
      <c r="VXL104" s="531"/>
      <c r="VXM104" s="530"/>
      <c r="VXN104" s="531"/>
      <c r="VXO104" s="530"/>
      <c r="VXP104" s="531"/>
      <c r="VXQ104" s="530"/>
      <c r="VXR104" s="531"/>
      <c r="VXS104" s="530"/>
      <c r="VXT104" s="531"/>
      <c r="VXU104" s="530"/>
      <c r="VXV104" s="531"/>
      <c r="VXW104" s="530"/>
      <c r="VXX104" s="531"/>
      <c r="VXY104" s="530"/>
      <c r="VXZ104" s="531"/>
      <c r="VYA104" s="530"/>
      <c r="VYB104" s="531"/>
      <c r="VYC104" s="530"/>
      <c r="VYD104" s="531"/>
      <c r="VYE104" s="530"/>
      <c r="VYF104" s="531"/>
      <c r="VYG104" s="530"/>
      <c r="VYH104" s="531"/>
      <c r="VYI104" s="530"/>
      <c r="VYJ104" s="531"/>
      <c r="VYK104" s="530"/>
      <c r="VYL104" s="531"/>
      <c r="VYM104" s="530"/>
      <c r="VYN104" s="531"/>
      <c r="VYO104" s="530"/>
      <c r="VYP104" s="531"/>
      <c r="VYQ104" s="530"/>
      <c r="VYR104" s="531"/>
      <c r="VYS104" s="530"/>
      <c r="VYT104" s="531"/>
      <c r="VYU104" s="530"/>
      <c r="VYV104" s="531"/>
      <c r="VYW104" s="530"/>
      <c r="VYX104" s="531"/>
      <c r="VYY104" s="530"/>
      <c r="VYZ104" s="531"/>
      <c r="VZA104" s="530"/>
      <c r="VZB104" s="531"/>
      <c r="VZC104" s="530"/>
      <c r="VZD104" s="531"/>
      <c r="VZE104" s="530"/>
      <c r="VZF104" s="531"/>
      <c r="VZG104" s="530"/>
      <c r="VZH104" s="531"/>
      <c r="VZI104" s="530"/>
      <c r="VZJ104" s="531"/>
      <c r="VZK104" s="530"/>
      <c r="VZL104" s="531"/>
      <c r="VZM104" s="530"/>
      <c r="VZN104" s="531"/>
      <c r="VZO104" s="530"/>
      <c r="VZP104" s="531"/>
      <c r="VZQ104" s="530"/>
      <c r="VZR104" s="531"/>
      <c r="VZS104" s="530"/>
      <c r="VZT104" s="531"/>
      <c r="VZU104" s="530"/>
      <c r="VZV104" s="531"/>
      <c r="VZW104" s="530"/>
      <c r="VZX104" s="531"/>
      <c r="VZY104" s="530"/>
      <c r="VZZ104" s="531"/>
      <c r="WAA104" s="530"/>
      <c r="WAB104" s="531"/>
      <c r="WAC104" s="530"/>
      <c r="WAD104" s="531"/>
      <c r="WAE104" s="530"/>
      <c r="WAF104" s="531"/>
      <c r="WAG104" s="530"/>
      <c r="WAH104" s="531"/>
      <c r="WAI104" s="530"/>
      <c r="WAJ104" s="531"/>
      <c r="WAK104" s="530"/>
      <c r="WAL104" s="531"/>
      <c r="WAM104" s="530"/>
      <c r="WAN104" s="531"/>
      <c r="WAO104" s="530"/>
      <c r="WAP104" s="531"/>
      <c r="WAQ104" s="530"/>
      <c r="WAR104" s="531"/>
      <c r="WAS104" s="530"/>
      <c r="WAT104" s="531"/>
      <c r="WAU104" s="530"/>
      <c r="WAV104" s="531"/>
      <c r="WAW104" s="530"/>
      <c r="WAX104" s="531"/>
      <c r="WAY104" s="530"/>
      <c r="WAZ104" s="531"/>
      <c r="WBA104" s="530"/>
      <c r="WBB104" s="531"/>
      <c r="WBC104" s="530"/>
      <c r="WBD104" s="531"/>
      <c r="WBE104" s="530"/>
      <c r="WBF104" s="531"/>
      <c r="WBG104" s="530"/>
      <c r="WBH104" s="531"/>
      <c r="WBI104" s="530"/>
      <c r="WBJ104" s="531"/>
      <c r="WBK104" s="530"/>
      <c r="WBL104" s="531"/>
      <c r="WBM104" s="530"/>
      <c r="WBN104" s="531"/>
      <c r="WBO104" s="530"/>
      <c r="WBP104" s="531"/>
      <c r="WBQ104" s="530"/>
      <c r="WBR104" s="531"/>
      <c r="WBS104" s="530"/>
      <c r="WBT104" s="531"/>
      <c r="WBU104" s="530"/>
      <c r="WBV104" s="531"/>
      <c r="WBW104" s="530"/>
      <c r="WBX104" s="531"/>
      <c r="WBY104" s="530"/>
      <c r="WBZ104" s="531"/>
      <c r="WCA104" s="530"/>
      <c r="WCB104" s="531"/>
      <c r="WCC104" s="530"/>
      <c r="WCD104" s="531"/>
      <c r="WCE104" s="530"/>
      <c r="WCF104" s="531"/>
      <c r="WCG104" s="530"/>
      <c r="WCH104" s="531"/>
      <c r="WCI104" s="530"/>
      <c r="WCJ104" s="531"/>
      <c r="WCK104" s="530"/>
      <c r="WCL104" s="531"/>
      <c r="WCM104" s="530"/>
      <c r="WCN104" s="531"/>
      <c r="WCO104" s="530"/>
      <c r="WCP104" s="531"/>
      <c r="WCQ104" s="530"/>
      <c r="WCR104" s="531"/>
      <c r="WCS104" s="530"/>
      <c r="WCT104" s="531"/>
      <c r="WCU104" s="530"/>
      <c r="WCV104" s="531"/>
      <c r="WCW104" s="530"/>
      <c r="WCX104" s="531"/>
      <c r="WCY104" s="530"/>
      <c r="WCZ104" s="531"/>
      <c r="WDA104" s="530"/>
      <c r="WDB104" s="531"/>
      <c r="WDC104" s="530"/>
      <c r="WDD104" s="531"/>
      <c r="WDE104" s="530"/>
      <c r="WDF104" s="531"/>
      <c r="WDG104" s="530"/>
      <c r="WDH104" s="531"/>
      <c r="WDI104" s="530"/>
      <c r="WDJ104" s="531"/>
      <c r="WDK104" s="530"/>
      <c r="WDL104" s="531"/>
      <c r="WDM104" s="530"/>
      <c r="WDN104" s="531"/>
      <c r="WDO104" s="530"/>
      <c r="WDP104" s="531"/>
      <c r="WDQ104" s="530"/>
      <c r="WDR104" s="531"/>
      <c r="WDS104" s="530"/>
      <c r="WDT104" s="531"/>
      <c r="WDU104" s="530"/>
      <c r="WDV104" s="531"/>
      <c r="WDW104" s="530"/>
      <c r="WDX104" s="531"/>
      <c r="WDY104" s="530"/>
      <c r="WDZ104" s="531"/>
      <c r="WEA104" s="530"/>
      <c r="WEB104" s="531"/>
      <c r="WEC104" s="530"/>
      <c r="WED104" s="531"/>
      <c r="WEE104" s="530"/>
      <c r="WEF104" s="531"/>
      <c r="WEG104" s="530"/>
      <c r="WEH104" s="531"/>
      <c r="WEI104" s="530"/>
      <c r="WEJ104" s="531"/>
      <c r="WEK104" s="530"/>
      <c r="WEL104" s="531"/>
      <c r="WEM104" s="530"/>
      <c r="WEN104" s="531"/>
      <c r="WEO104" s="530"/>
      <c r="WEP104" s="531"/>
      <c r="WEQ104" s="530"/>
      <c r="WER104" s="531"/>
      <c r="WES104" s="530"/>
      <c r="WET104" s="531"/>
      <c r="WEU104" s="530"/>
      <c r="WEV104" s="531"/>
      <c r="WEW104" s="530"/>
      <c r="WEX104" s="531"/>
      <c r="WEY104" s="530"/>
      <c r="WEZ104" s="531"/>
      <c r="WFA104" s="530"/>
      <c r="WFB104" s="531"/>
      <c r="WFC104" s="530"/>
      <c r="WFD104" s="531"/>
      <c r="WFE104" s="530"/>
      <c r="WFF104" s="531"/>
      <c r="WFG104" s="530"/>
      <c r="WFH104" s="531"/>
      <c r="WFI104" s="530"/>
      <c r="WFJ104" s="531"/>
      <c r="WFK104" s="530"/>
      <c r="WFL104" s="531"/>
      <c r="WFM104" s="530"/>
      <c r="WFN104" s="531"/>
      <c r="WFO104" s="530"/>
      <c r="WFP104" s="531"/>
      <c r="WFQ104" s="530"/>
      <c r="WFR104" s="531"/>
      <c r="WFS104" s="530"/>
      <c r="WFT104" s="531"/>
      <c r="WFU104" s="530"/>
      <c r="WFV104" s="531"/>
      <c r="WFW104" s="530"/>
      <c r="WFX104" s="531"/>
      <c r="WFY104" s="530"/>
      <c r="WFZ104" s="531"/>
      <c r="WGA104" s="530"/>
      <c r="WGB104" s="531"/>
      <c r="WGC104" s="530"/>
      <c r="WGD104" s="531"/>
      <c r="WGE104" s="530"/>
      <c r="WGF104" s="531"/>
      <c r="WGG104" s="530"/>
      <c r="WGH104" s="531"/>
      <c r="WGI104" s="530"/>
      <c r="WGJ104" s="531"/>
      <c r="WGK104" s="530"/>
      <c r="WGL104" s="531"/>
      <c r="WGM104" s="530"/>
      <c r="WGN104" s="531"/>
      <c r="WGO104" s="530"/>
      <c r="WGP104" s="531"/>
      <c r="WGQ104" s="530"/>
      <c r="WGR104" s="531"/>
      <c r="WGS104" s="530"/>
      <c r="WGT104" s="531"/>
      <c r="WGU104" s="530"/>
      <c r="WGV104" s="531"/>
      <c r="WGW104" s="530"/>
      <c r="WGX104" s="531"/>
      <c r="WGY104" s="530"/>
      <c r="WGZ104" s="531"/>
      <c r="WHA104" s="530"/>
      <c r="WHB104" s="531"/>
      <c r="WHC104" s="530"/>
      <c r="WHD104" s="531"/>
      <c r="WHE104" s="530"/>
      <c r="WHF104" s="531"/>
      <c r="WHG104" s="530"/>
      <c r="WHH104" s="531"/>
      <c r="WHI104" s="530"/>
      <c r="WHJ104" s="531"/>
      <c r="WHK104" s="530"/>
      <c r="WHL104" s="531"/>
      <c r="WHM104" s="530"/>
      <c r="WHN104" s="531"/>
      <c r="WHO104" s="530"/>
      <c r="WHP104" s="531"/>
      <c r="WHQ104" s="530"/>
      <c r="WHR104" s="531"/>
      <c r="WHS104" s="530"/>
      <c r="WHT104" s="531"/>
      <c r="WHU104" s="530"/>
      <c r="WHV104" s="531"/>
      <c r="WHW104" s="530"/>
      <c r="WHX104" s="531"/>
      <c r="WHY104" s="530"/>
      <c r="WHZ104" s="531"/>
      <c r="WIA104" s="530"/>
      <c r="WIB104" s="531"/>
      <c r="WIC104" s="530"/>
      <c r="WID104" s="531"/>
      <c r="WIE104" s="530"/>
      <c r="WIF104" s="531"/>
      <c r="WIG104" s="530"/>
      <c r="WIH104" s="531"/>
      <c r="WII104" s="530"/>
      <c r="WIJ104" s="531"/>
      <c r="WIK104" s="530"/>
      <c r="WIL104" s="531"/>
      <c r="WIM104" s="530"/>
      <c r="WIN104" s="531"/>
      <c r="WIO104" s="530"/>
      <c r="WIP104" s="531"/>
      <c r="WIQ104" s="530"/>
      <c r="WIR104" s="531"/>
      <c r="WIS104" s="530"/>
      <c r="WIT104" s="531"/>
      <c r="WIU104" s="530"/>
      <c r="WIV104" s="531"/>
      <c r="WIW104" s="530"/>
      <c r="WIX104" s="531"/>
      <c r="WIY104" s="530"/>
      <c r="WIZ104" s="531"/>
      <c r="WJA104" s="530"/>
      <c r="WJB104" s="531"/>
      <c r="WJC104" s="530"/>
      <c r="WJD104" s="531"/>
      <c r="WJE104" s="530"/>
      <c r="WJF104" s="531"/>
      <c r="WJG104" s="530"/>
      <c r="WJH104" s="531"/>
      <c r="WJI104" s="530"/>
      <c r="WJJ104" s="531"/>
      <c r="WJK104" s="530"/>
      <c r="WJL104" s="531"/>
      <c r="WJM104" s="530"/>
      <c r="WJN104" s="531"/>
      <c r="WJO104" s="530"/>
      <c r="WJP104" s="531"/>
      <c r="WJQ104" s="530"/>
      <c r="WJR104" s="531"/>
      <c r="WJS104" s="530"/>
      <c r="WJT104" s="531"/>
      <c r="WJU104" s="530"/>
      <c r="WJV104" s="531"/>
      <c r="WJW104" s="530"/>
      <c r="WJX104" s="531"/>
      <c r="WJY104" s="530"/>
      <c r="WJZ104" s="531"/>
      <c r="WKA104" s="530"/>
      <c r="WKB104" s="531"/>
      <c r="WKC104" s="530"/>
      <c r="WKD104" s="531"/>
      <c r="WKE104" s="530"/>
      <c r="WKF104" s="531"/>
      <c r="WKG104" s="530"/>
      <c r="WKH104" s="531"/>
      <c r="WKI104" s="530"/>
      <c r="WKJ104" s="531"/>
      <c r="WKK104" s="530"/>
      <c r="WKL104" s="531"/>
      <c r="WKM104" s="530"/>
      <c r="WKN104" s="531"/>
      <c r="WKO104" s="530"/>
      <c r="WKP104" s="531"/>
      <c r="WKQ104" s="530"/>
      <c r="WKR104" s="531"/>
      <c r="WKS104" s="530"/>
      <c r="WKT104" s="531"/>
      <c r="WKU104" s="530"/>
      <c r="WKV104" s="531"/>
      <c r="WKW104" s="530"/>
      <c r="WKX104" s="531"/>
      <c r="WKY104" s="530"/>
      <c r="WKZ104" s="531"/>
      <c r="WLA104" s="530"/>
      <c r="WLB104" s="531"/>
      <c r="WLC104" s="530"/>
      <c r="WLD104" s="531"/>
      <c r="WLE104" s="530"/>
      <c r="WLF104" s="531"/>
      <c r="WLG104" s="530"/>
      <c r="WLH104" s="531"/>
      <c r="WLI104" s="530"/>
      <c r="WLJ104" s="531"/>
      <c r="WLK104" s="530"/>
      <c r="WLL104" s="531"/>
      <c r="WLM104" s="530"/>
      <c r="WLN104" s="531"/>
      <c r="WLO104" s="530"/>
      <c r="WLP104" s="531"/>
      <c r="WLQ104" s="530"/>
      <c r="WLR104" s="531"/>
      <c r="WLS104" s="530"/>
      <c r="WLT104" s="531"/>
      <c r="WLU104" s="530"/>
      <c r="WLV104" s="531"/>
      <c r="WLW104" s="530"/>
      <c r="WLX104" s="531"/>
      <c r="WLY104" s="530"/>
      <c r="WLZ104" s="531"/>
      <c r="WMA104" s="530"/>
      <c r="WMB104" s="531"/>
      <c r="WMC104" s="530"/>
      <c r="WMD104" s="531"/>
      <c r="WME104" s="530"/>
      <c r="WMF104" s="531"/>
      <c r="WMG104" s="530"/>
      <c r="WMH104" s="531"/>
      <c r="WMI104" s="530"/>
      <c r="WMJ104" s="531"/>
      <c r="WMK104" s="530"/>
      <c r="WML104" s="531"/>
      <c r="WMM104" s="530"/>
      <c r="WMN104" s="531"/>
      <c r="WMO104" s="530"/>
      <c r="WMP104" s="531"/>
      <c r="WMQ104" s="530"/>
      <c r="WMR104" s="531"/>
      <c r="WMS104" s="530"/>
      <c r="WMT104" s="531"/>
      <c r="WMU104" s="530"/>
      <c r="WMV104" s="531"/>
      <c r="WMW104" s="530"/>
      <c r="WMX104" s="531"/>
      <c r="WMY104" s="530"/>
      <c r="WMZ104" s="531"/>
      <c r="WNA104" s="530"/>
      <c r="WNB104" s="531"/>
      <c r="WNC104" s="530"/>
      <c r="WND104" s="531"/>
      <c r="WNE104" s="530"/>
      <c r="WNF104" s="531"/>
      <c r="WNG104" s="530"/>
      <c r="WNH104" s="531"/>
      <c r="WNI104" s="530"/>
      <c r="WNJ104" s="531"/>
      <c r="WNK104" s="530"/>
      <c r="WNL104" s="531"/>
      <c r="WNM104" s="530"/>
      <c r="WNN104" s="531"/>
      <c r="WNO104" s="530"/>
      <c r="WNP104" s="531"/>
      <c r="WNQ104" s="530"/>
      <c r="WNR104" s="531"/>
      <c r="WNS104" s="530"/>
      <c r="WNT104" s="531"/>
      <c r="WNU104" s="530"/>
      <c r="WNV104" s="531"/>
      <c r="WNW104" s="530"/>
      <c r="WNX104" s="531"/>
      <c r="WNY104" s="530"/>
      <c r="WNZ104" s="531"/>
      <c r="WOA104" s="530"/>
      <c r="WOB104" s="531"/>
      <c r="WOC104" s="530"/>
      <c r="WOD104" s="531"/>
      <c r="WOE104" s="530"/>
      <c r="WOF104" s="531"/>
      <c r="WOG104" s="530"/>
      <c r="WOH104" s="531"/>
      <c r="WOI104" s="530"/>
      <c r="WOJ104" s="531"/>
      <c r="WOK104" s="530"/>
      <c r="WOL104" s="531"/>
      <c r="WOM104" s="530"/>
      <c r="WON104" s="531"/>
      <c r="WOO104" s="530"/>
      <c r="WOP104" s="531"/>
      <c r="WOQ104" s="530"/>
      <c r="WOR104" s="531"/>
      <c r="WOS104" s="530"/>
      <c r="WOT104" s="531"/>
      <c r="WOU104" s="530"/>
      <c r="WOV104" s="531"/>
      <c r="WOW104" s="530"/>
      <c r="WOX104" s="531"/>
      <c r="WOY104" s="530"/>
      <c r="WOZ104" s="531"/>
      <c r="WPA104" s="530"/>
      <c r="WPB104" s="531"/>
      <c r="WPC104" s="530"/>
      <c r="WPD104" s="531"/>
      <c r="WPE104" s="530"/>
      <c r="WPF104" s="531"/>
      <c r="WPG104" s="530"/>
      <c r="WPH104" s="531"/>
      <c r="WPI104" s="530"/>
      <c r="WPJ104" s="531"/>
      <c r="WPK104" s="530"/>
      <c r="WPL104" s="531"/>
      <c r="WPM104" s="530"/>
      <c r="WPN104" s="531"/>
      <c r="WPO104" s="530"/>
      <c r="WPP104" s="531"/>
      <c r="WPQ104" s="530"/>
      <c r="WPR104" s="531"/>
      <c r="WPS104" s="530"/>
      <c r="WPT104" s="531"/>
      <c r="WPU104" s="530"/>
      <c r="WPV104" s="531"/>
      <c r="WPW104" s="530"/>
      <c r="WPX104" s="531"/>
      <c r="WPY104" s="530"/>
      <c r="WPZ104" s="531"/>
      <c r="WQA104" s="530"/>
      <c r="WQB104" s="531"/>
      <c r="WQC104" s="530"/>
      <c r="WQD104" s="531"/>
      <c r="WQE104" s="530"/>
      <c r="WQF104" s="531"/>
      <c r="WQG104" s="530"/>
      <c r="WQH104" s="531"/>
      <c r="WQI104" s="530"/>
      <c r="WQJ104" s="531"/>
      <c r="WQK104" s="530"/>
      <c r="WQL104" s="531"/>
      <c r="WQM104" s="530"/>
      <c r="WQN104" s="531"/>
      <c r="WQO104" s="530"/>
      <c r="WQP104" s="531"/>
      <c r="WQQ104" s="530"/>
      <c r="WQR104" s="531"/>
      <c r="WQS104" s="530"/>
      <c r="WQT104" s="531"/>
      <c r="WQU104" s="530"/>
      <c r="WQV104" s="531"/>
      <c r="WQW104" s="530"/>
      <c r="WQX104" s="531"/>
      <c r="WQY104" s="530"/>
      <c r="WQZ104" s="531"/>
      <c r="WRA104" s="530"/>
      <c r="WRB104" s="531"/>
      <c r="WRC104" s="530"/>
      <c r="WRD104" s="531"/>
      <c r="WRE104" s="530"/>
      <c r="WRF104" s="531"/>
      <c r="WRG104" s="530"/>
      <c r="WRH104" s="531"/>
      <c r="WRI104" s="530"/>
      <c r="WRJ104" s="531"/>
      <c r="WRK104" s="530"/>
      <c r="WRL104" s="531"/>
      <c r="WRM104" s="530"/>
      <c r="WRN104" s="531"/>
      <c r="WRO104" s="530"/>
      <c r="WRP104" s="531"/>
      <c r="WRQ104" s="530"/>
      <c r="WRR104" s="531"/>
      <c r="WRS104" s="530"/>
      <c r="WRT104" s="531"/>
      <c r="WRU104" s="530"/>
      <c r="WRV104" s="531"/>
      <c r="WRW104" s="530"/>
      <c r="WRX104" s="531"/>
      <c r="WRY104" s="530"/>
      <c r="WRZ104" s="531"/>
      <c r="WSA104" s="530"/>
      <c r="WSB104" s="531"/>
      <c r="WSC104" s="530"/>
      <c r="WSD104" s="531"/>
      <c r="WSE104" s="530"/>
      <c r="WSF104" s="531"/>
      <c r="WSG104" s="530"/>
      <c r="WSH104" s="531"/>
      <c r="WSI104" s="530"/>
      <c r="WSJ104" s="531"/>
      <c r="WSK104" s="530"/>
      <c r="WSL104" s="531"/>
      <c r="WSM104" s="530"/>
      <c r="WSN104" s="531"/>
      <c r="WSO104" s="530"/>
      <c r="WSP104" s="531"/>
      <c r="WSQ104" s="530"/>
      <c r="WSR104" s="531"/>
      <c r="WSS104" s="530"/>
      <c r="WST104" s="531"/>
      <c r="WSU104" s="530"/>
      <c r="WSV104" s="531"/>
      <c r="WSW104" s="530"/>
      <c r="WSX104" s="531"/>
      <c r="WSY104" s="530"/>
      <c r="WSZ104" s="531"/>
      <c r="WTA104" s="530"/>
      <c r="WTB104" s="531"/>
      <c r="WTC104" s="530"/>
      <c r="WTD104" s="531"/>
      <c r="WTE104" s="530"/>
      <c r="WTF104" s="531"/>
      <c r="WTG104" s="530"/>
      <c r="WTH104" s="531"/>
      <c r="WTI104" s="530"/>
      <c r="WTJ104" s="531"/>
      <c r="WTK104" s="530"/>
      <c r="WTL104" s="531"/>
      <c r="WTM104" s="530"/>
      <c r="WTN104" s="531"/>
      <c r="WTO104" s="530"/>
      <c r="WTP104" s="531"/>
      <c r="WTQ104" s="530"/>
      <c r="WTR104" s="531"/>
      <c r="WTS104" s="530"/>
      <c r="WTT104" s="531"/>
      <c r="WTU104" s="530"/>
      <c r="WTV104" s="531"/>
      <c r="WTW104" s="530"/>
      <c r="WTX104" s="531"/>
      <c r="WTY104" s="530"/>
      <c r="WTZ104" s="531"/>
      <c r="WUA104" s="530"/>
      <c r="WUB104" s="531"/>
      <c r="WUC104" s="530"/>
      <c r="WUD104" s="531"/>
      <c r="WUE104" s="530"/>
      <c r="WUF104" s="531"/>
      <c r="WUG104" s="530"/>
      <c r="WUH104" s="531"/>
      <c r="WUI104" s="530"/>
      <c r="WUJ104" s="531"/>
      <c r="WUK104" s="530"/>
      <c r="WUL104" s="531"/>
      <c r="WUM104" s="530"/>
      <c r="WUN104" s="531"/>
      <c r="WUO104" s="530"/>
      <c r="WUP104" s="531"/>
      <c r="WUQ104" s="530"/>
      <c r="WUR104" s="531"/>
      <c r="WUS104" s="530"/>
      <c r="WUT104" s="531"/>
      <c r="WUU104" s="530"/>
      <c r="WUV104" s="531"/>
      <c r="WUW104" s="530"/>
      <c r="WUX104" s="531"/>
      <c r="WUY104" s="530"/>
      <c r="WUZ104" s="531"/>
      <c r="WVA104" s="530"/>
      <c r="WVB104" s="531"/>
      <c r="WVC104" s="530"/>
      <c r="WVD104" s="531"/>
      <c r="WVE104" s="530"/>
      <c r="WVF104" s="531"/>
      <c r="WVG104" s="530"/>
      <c r="WVH104" s="531"/>
      <c r="WVI104" s="530"/>
      <c r="WVJ104" s="531"/>
      <c r="WVK104" s="530"/>
      <c r="WVL104" s="531"/>
      <c r="WVM104" s="530"/>
      <c r="WVN104" s="531"/>
      <c r="WVO104" s="530"/>
      <c r="WVP104" s="531"/>
      <c r="WVQ104" s="530"/>
      <c r="WVR104" s="531"/>
      <c r="WVS104" s="530"/>
      <c r="WVT104" s="531"/>
      <c r="WVU104" s="530"/>
      <c r="WVV104" s="531"/>
      <c r="WVW104" s="530"/>
      <c r="WVX104" s="531"/>
      <c r="WVY104" s="530"/>
      <c r="WVZ104" s="531"/>
      <c r="WWA104" s="530"/>
      <c r="WWB104" s="531"/>
      <c r="WWC104" s="530"/>
      <c r="WWD104" s="531"/>
      <c r="WWE104" s="530"/>
      <c r="WWF104" s="531"/>
      <c r="WWG104" s="530"/>
      <c r="WWH104" s="531"/>
      <c r="WWI104" s="530"/>
      <c r="WWJ104" s="531"/>
      <c r="WWK104" s="530"/>
      <c r="WWL104" s="531"/>
      <c r="WWM104" s="530"/>
      <c r="WWN104" s="531"/>
      <c r="WWO104" s="530"/>
      <c r="WWP104" s="531"/>
      <c r="WWQ104" s="530"/>
      <c r="WWR104" s="531"/>
      <c r="WWS104" s="530"/>
      <c r="WWT104" s="531"/>
      <c r="WWU104" s="530"/>
      <c r="WWV104" s="531"/>
      <c r="WWW104" s="530"/>
      <c r="WWX104" s="531"/>
      <c r="WWY104" s="530"/>
      <c r="WWZ104" s="531"/>
      <c r="WXA104" s="530"/>
      <c r="WXB104" s="531"/>
      <c r="WXC104" s="530"/>
      <c r="WXD104" s="531"/>
      <c r="WXE104" s="530"/>
      <c r="WXF104" s="531"/>
      <c r="WXG104" s="530"/>
      <c r="WXH104" s="531"/>
      <c r="WXI104" s="530"/>
      <c r="WXJ104" s="531"/>
      <c r="WXK104" s="530"/>
      <c r="WXL104" s="531"/>
      <c r="WXM104" s="530"/>
      <c r="WXN104" s="531"/>
      <c r="WXO104" s="530"/>
      <c r="WXP104" s="531"/>
      <c r="WXQ104" s="530"/>
      <c r="WXR104" s="531"/>
      <c r="WXS104" s="530"/>
      <c r="WXT104" s="531"/>
      <c r="WXU104" s="530"/>
      <c r="WXV104" s="531"/>
      <c r="WXW104" s="530"/>
      <c r="WXX104" s="531"/>
      <c r="WXY104" s="530"/>
      <c r="WXZ104" s="531"/>
      <c r="WYA104" s="530"/>
      <c r="WYB104" s="531"/>
      <c r="WYC104" s="530"/>
      <c r="WYD104" s="531"/>
      <c r="WYE104" s="530"/>
      <c r="WYF104" s="531"/>
      <c r="WYG104" s="530"/>
      <c r="WYH104" s="531"/>
      <c r="WYI104" s="530"/>
      <c r="WYJ104" s="531"/>
      <c r="WYK104" s="530"/>
      <c r="WYL104" s="531"/>
      <c r="WYM104" s="530"/>
      <c r="WYN104" s="531"/>
      <c r="WYO104" s="530"/>
      <c r="WYP104" s="531"/>
      <c r="WYQ104" s="530"/>
      <c r="WYR104" s="531"/>
      <c r="WYS104" s="530"/>
      <c r="WYT104" s="531"/>
      <c r="WYU104" s="530"/>
      <c r="WYV104" s="531"/>
      <c r="WYW104" s="530"/>
      <c r="WYX104" s="531"/>
      <c r="WYY104" s="530"/>
      <c r="WYZ104" s="531"/>
      <c r="WZA104" s="530"/>
      <c r="WZB104" s="531"/>
      <c r="WZC104" s="530"/>
      <c r="WZD104" s="531"/>
      <c r="WZE104" s="530"/>
      <c r="WZF104" s="531"/>
      <c r="WZG104" s="530"/>
      <c r="WZH104" s="531"/>
      <c r="WZI104" s="530"/>
      <c r="WZJ104" s="531"/>
      <c r="WZK104" s="530"/>
      <c r="WZL104" s="531"/>
      <c r="WZM104" s="530"/>
      <c r="WZN104" s="531"/>
      <c r="WZO104" s="530"/>
      <c r="WZP104" s="531"/>
      <c r="WZQ104" s="530"/>
      <c r="WZR104" s="531"/>
      <c r="WZS104" s="530"/>
      <c r="WZT104" s="531"/>
      <c r="WZU104" s="530"/>
      <c r="WZV104" s="531"/>
      <c r="WZW104" s="530"/>
      <c r="WZX104" s="531"/>
      <c r="WZY104" s="530"/>
      <c r="WZZ104" s="531"/>
      <c r="XAA104" s="530"/>
      <c r="XAB104" s="531"/>
      <c r="XAC104" s="530"/>
      <c r="XAD104" s="531"/>
      <c r="XAE104" s="530"/>
      <c r="XAF104" s="531"/>
      <c r="XAG104" s="530"/>
      <c r="XAH104" s="531"/>
      <c r="XAI104" s="530"/>
      <c r="XAJ104" s="531"/>
      <c r="XAK104" s="530"/>
      <c r="XAL104" s="531"/>
      <c r="XAM104" s="530"/>
      <c r="XAN104" s="531"/>
      <c r="XAO104" s="530"/>
      <c r="XAP104" s="531"/>
      <c r="XAQ104" s="530"/>
      <c r="XAR104" s="531"/>
      <c r="XAS104" s="530"/>
      <c r="XAT104" s="531"/>
      <c r="XAU104" s="530"/>
      <c r="XAV104" s="531"/>
      <c r="XAW104" s="530"/>
      <c r="XAX104" s="531"/>
      <c r="XAY104" s="530"/>
      <c r="XAZ104" s="531"/>
      <c r="XBA104" s="530"/>
      <c r="XBB104" s="531"/>
      <c r="XBC104" s="530"/>
      <c r="XBD104" s="531"/>
      <c r="XBE104" s="530"/>
      <c r="XBF104" s="531"/>
      <c r="XBG104" s="530"/>
      <c r="XBH104" s="531"/>
      <c r="XBI104" s="530"/>
      <c r="XBJ104" s="531"/>
      <c r="XBK104" s="530"/>
      <c r="XBL104" s="531"/>
      <c r="XBM104" s="530"/>
      <c r="XBN104" s="531"/>
      <c r="XBO104" s="530"/>
      <c r="XBP104" s="531"/>
      <c r="XBQ104" s="530"/>
      <c r="XBR104" s="531"/>
      <c r="XBS104" s="530"/>
      <c r="XBT104" s="531"/>
      <c r="XBU104" s="530"/>
      <c r="XBV104" s="531"/>
      <c r="XBW104" s="530"/>
      <c r="XBX104" s="531"/>
      <c r="XBY104" s="530"/>
      <c r="XBZ104" s="531"/>
      <c r="XCA104" s="530"/>
      <c r="XCB104" s="531"/>
      <c r="XCC104" s="530"/>
      <c r="XCD104" s="531"/>
      <c r="XCE104" s="530"/>
      <c r="XCF104" s="531"/>
      <c r="XCG104" s="530"/>
      <c r="XCH104" s="531"/>
      <c r="XCI104" s="530"/>
      <c r="XCJ104" s="531"/>
      <c r="XCK104" s="530"/>
      <c r="XCL104" s="531"/>
      <c r="XCM104" s="530"/>
      <c r="XCN104" s="531"/>
      <c r="XCO104" s="530"/>
      <c r="XCP104" s="531"/>
      <c r="XCQ104" s="530"/>
      <c r="XCR104" s="531"/>
      <c r="XCS104" s="530"/>
      <c r="XCT104" s="531"/>
      <c r="XCU104" s="530"/>
      <c r="XCV104" s="531"/>
      <c r="XCW104" s="530"/>
      <c r="XCX104" s="531"/>
      <c r="XCY104" s="530"/>
      <c r="XCZ104" s="531"/>
      <c r="XDA104" s="530"/>
      <c r="XDB104" s="531"/>
      <c r="XDC104" s="530"/>
      <c r="XDD104" s="531"/>
      <c r="XDE104" s="530"/>
      <c r="XDF104" s="531"/>
      <c r="XDG104" s="530"/>
      <c r="XDH104" s="531"/>
      <c r="XDI104" s="530"/>
      <c r="XDJ104" s="531"/>
      <c r="XDK104" s="530"/>
      <c r="XDL104" s="531"/>
      <c r="XDM104" s="530"/>
      <c r="XDN104" s="531"/>
      <c r="XDO104" s="530"/>
      <c r="XDP104" s="531"/>
      <c r="XDQ104" s="530"/>
      <c r="XDR104" s="531"/>
      <c r="XDS104" s="530"/>
      <c r="XDT104" s="531"/>
      <c r="XDU104" s="530"/>
      <c r="XDV104" s="531"/>
      <c r="XDW104" s="530"/>
      <c r="XDX104" s="531"/>
      <c r="XDY104" s="530"/>
      <c r="XDZ104" s="531"/>
      <c r="XEA104" s="530"/>
      <c r="XEB104" s="531"/>
      <c r="XEC104" s="530"/>
      <c r="XED104" s="531"/>
      <c r="XEE104" s="530"/>
      <c r="XEF104" s="531"/>
      <c r="XEG104" s="530"/>
      <c r="XEH104" s="531"/>
      <c r="XEI104" s="530"/>
      <c r="XEJ104" s="531"/>
      <c r="XEK104" s="530"/>
      <c r="XEL104" s="531"/>
      <c r="XEM104" s="530"/>
      <c r="XEN104" s="531"/>
      <c r="XEO104" s="530"/>
      <c r="XEP104" s="531"/>
      <c r="XEQ104" s="530"/>
      <c r="XER104" s="531"/>
      <c r="XES104" s="530"/>
      <c r="XET104" s="531"/>
      <c r="XEU104" s="530"/>
      <c r="XEV104" s="531"/>
      <c r="XEW104" s="530"/>
      <c r="XEX104" s="531"/>
      <c r="XEY104" s="530"/>
      <c r="XEZ104" s="531"/>
      <c r="XFA104" s="530"/>
      <c r="XFB104" s="531"/>
      <c r="XFC104" s="530"/>
      <c r="XFD104" s="531"/>
    </row>
    <row r="105" spans="1:16384" s="520" customFormat="1" ht="65.150000000000006" customHeight="1">
      <c r="A105" s="523"/>
      <c r="B105" s="523"/>
      <c r="C105" s="524"/>
      <c r="D105" s="523"/>
      <c r="E105" s="524"/>
      <c r="F105" s="523"/>
      <c r="G105" s="524"/>
      <c r="H105" s="524"/>
      <c r="I105" s="525"/>
      <c r="J105" s="525"/>
      <c r="K105" s="524"/>
      <c r="L105" s="524"/>
      <c r="M105" s="524"/>
      <c r="N105" s="524"/>
      <c r="O105" s="524"/>
      <c r="P105" s="524"/>
      <c r="Q105" s="524"/>
      <c r="R105" s="524"/>
      <c r="S105" s="524"/>
      <c r="T105" s="524"/>
      <c r="U105" s="524"/>
      <c r="V105" s="524"/>
      <c r="W105" s="524"/>
      <c r="X105" s="524"/>
      <c r="Y105" s="524"/>
      <c r="Z105" s="524"/>
      <c r="AA105" s="526"/>
      <c r="AB105" s="523"/>
      <c r="AC105" s="530"/>
      <c r="AD105" s="531"/>
      <c r="AE105" s="530"/>
      <c r="AF105" s="531"/>
      <c r="AG105" s="530"/>
      <c r="AH105" s="531"/>
      <c r="AI105" s="530"/>
      <c r="AJ105" s="531"/>
      <c r="AK105" s="530"/>
      <c r="AL105" s="531"/>
      <c r="AM105" s="530"/>
      <c r="AN105" s="531"/>
      <c r="AO105" s="530"/>
      <c r="AP105" s="531"/>
      <c r="AQ105" s="530"/>
      <c r="AR105" s="531"/>
      <c r="AS105" s="530"/>
      <c r="AT105" s="531"/>
      <c r="AU105" s="530"/>
      <c r="AV105" s="531"/>
      <c r="AW105" s="530"/>
      <c r="AX105" s="531"/>
      <c r="AY105" s="530"/>
      <c r="AZ105" s="531"/>
      <c r="BA105" s="530"/>
      <c r="BB105" s="531"/>
      <c r="BC105" s="530"/>
      <c r="BD105" s="531"/>
      <c r="BE105" s="530"/>
      <c r="BF105" s="531"/>
      <c r="BG105" s="530"/>
      <c r="BH105" s="531"/>
      <c r="BI105" s="530"/>
      <c r="BJ105" s="531"/>
      <c r="BK105" s="530"/>
      <c r="BL105" s="531"/>
      <c r="BM105" s="530"/>
      <c r="BN105" s="531"/>
      <c r="BO105" s="530"/>
      <c r="BP105" s="531"/>
      <c r="BQ105" s="530"/>
      <c r="BR105" s="531"/>
      <c r="BS105" s="530"/>
      <c r="BT105" s="531"/>
      <c r="BU105" s="530"/>
      <c r="BV105" s="531"/>
      <c r="BW105" s="530"/>
      <c r="BX105" s="531"/>
      <c r="BY105" s="530"/>
      <c r="BZ105" s="531"/>
      <c r="CA105" s="530"/>
      <c r="CB105" s="531"/>
      <c r="CC105" s="530"/>
      <c r="CD105" s="531"/>
      <c r="CE105" s="530"/>
      <c r="CF105" s="531"/>
      <c r="CG105" s="530"/>
      <c r="CH105" s="531"/>
      <c r="CI105" s="530"/>
      <c r="CJ105" s="531"/>
      <c r="CK105" s="530"/>
      <c r="CL105" s="531"/>
      <c r="CM105" s="530"/>
      <c r="CN105" s="531"/>
      <c r="CO105" s="530"/>
      <c r="CP105" s="531"/>
      <c r="CQ105" s="530"/>
      <c r="CR105" s="531"/>
      <c r="CS105" s="530"/>
      <c r="CT105" s="531"/>
      <c r="CU105" s="530"/>
      <c r="CV105" s="531"/>
      <c r="CW105" s="530"/>
      <c r="CX105" s="531"/>
      <c r="CY105" s="530"/>
      <c r="CZ105" s="531"/>
      <c r="DA105" s="530"/>
      <c r="DB105" s="531"/>
      <c r="DC105" s="530"/>
      <c r="DD105" s="531"/>
      <c r="DE105" s="530"/>
      <c r="DF105" s="531"/>
      <c r="DG105" s="530"/>
      <c r="DH105" s="531"/>
      <c r="DI105" s="530"/>
      <c r="DJ105" s="531"/>
      <c r="DK105" s="530"/>
      <c r="DL105" s="531"/>
      <c r="DM105" s="530"/>
      <c r="DN105" s="531"/>
      <c r="DO105" s="530"/>
      <c r="DP105" s="531"/>
      <c r="DQ105" s="530"/>
      <c r="DR105" s="531"/>
      <c r="DS105" s="530"/>
      <c r="DT105" s="531"/>
      <c r="DU105" s="530"/>
      <c r="DV105" s="531"/>
      <c r="DW105" s="530"/>
      <c r="DX105" s="531"/>
      <c r="DY105" s="530"/>
      <c r="DZ105" s="531"/>
      <c r="EA105" s="530"/>
      <c r="EB105" s="531"/>
      <c r="EC105" s="530"/>
      <c r="ED105" s="531"/>
      <c r="EE105" s="530"/>
      <c r="EF105" s="531"/>
      <c r="EG105" s="530"/>
      <c r="EH105" s="531"/>
      <c r="EI105" s="530"/>
      <c r="EJ105" s="531"/>
      <c r="EK105" s="530"/>
      <c r="EL105" s="531"/>
      <c r="EM105" s="530"/>
      <c r="EN105" s="531"/>
      <c r="EO105" s="530"/>
      <c r="EP105" s="531"/>
      <c r="EQ105" s="530"/>
      <c r="ER105" s="531"/>
      <c r="ES105" s="530"/>
      <c r="ET105" s="531"/>
      <c r="EU105" s="530"/>
      <c r="EV105" s="531"/>
      <c r="EW105" s="530"/>
      <c r="EX105" s="531"/>
      <c r="EY105" s="530"/>
      <c r="EZ105" s="531"/>
      <c r="FA105" s="530"/>
      <c r="FB105" s="531"/>
      <c r="FC105" s="530"/>
      <c r="FD105" s="531"/>
      <c r="FE105" s="530"/>
      <c r="FF105" s="531"/>
      <c r="FG105" s="530"/>
      <c r="FH105" s="531"/>
      <c r="FI105" s="530"/>
      <c r="FJ105" s="531"/>
      <c r="FK105" s="530"/>
      <c r="FL105" s="531"/>
      <c r="FM105" s="530"/>
      <c r="FN105" s="531"/>
      <c r="FO105" s="530"/>
      <c r="FP105" s="531"/>
      <c r="FQ105" s="530"/>
      <c r="FR105" s="531"/>
      <c r="FS105" s="530"/>
      <c r="FT105" s="531"/>
      <c r="FU105" s="530"/>
      <c r="FV105" s="531"/>
      <c r="FW105" s="530"/>
      <c r="FX105" s="531"/>
      <c r="FY105" s="530"/>
      <c r="FZ105" s="531"/>
      <c r="GA105" s="530"/>
      <c r="GB105" s="531"/>
      <c r="GC105" s="530"/>
      <c r="GD105" s="531"/>
      <c r="GE105" s="530"/>
      <c r="GF105" s="531"/>
      <c r="GG105" s="530"/>
      <c r="GH105" s="531"/>
      <c r="GI105" s="530"/>
      <c r="GJ105" s="531"/>
      <c r="GK105" s="530"/>
      <c r="GL105" s="531"/>
      <c r="GM105" s="530"/>
      <c r="GN105" s="531"/>
      <c r="GO105" s="530"/>
      <c r="GP105" s="531"/>
      <c r="GQ105" s="530"/>
      <c r="GR105" s="531"/>
      <c r="GS105" s="530"/>
      <c r="GT105" s="531"/>
      <c r="GU105" s="530"/>
      <c r="GV105" s="531"/>
      <c r="GW105" s="530"/>
      <c r="GX105" s="531"/>
      <c r="GY105" s="530"/>
      <c r="GZ105" s="531"/>
      <c r="HA105" s="530"/>
      <c r="HB105" s="531"/>
      <c r="HC105" s="530"/>
      <c r="HD105" s="531"/>
      <c r="HE105" s="530"/>
      <c r="HF105" s="531"/>
      <c r="HG105" s="530"/>
      <c r="HH105" s="531"/>
      <c r="HI105" s="530"/>
      <c r="HJ105" s="531"/>
      <c r="HK105" s="530"/>
      <c r="HL105" s="531"/>
      <c r="HM105" s="530"/>
      <c r="HN105" s="531"/>
      <c r="HO105" s="530"/>
      <c r="HP105" s="531"/>
      <c r="HQ105" s="530"/>
      <c r="HR105" s="531"/>
      <c r="HS105" s="530"/>
      <c r="HT105" s="531"/>
      <c r="HU105" s="530"/>
      <c r="HV105" s="531"/>
      <c r="HW105" s="530"/>
      <c r="HX105" s="531"/>
      <c r="HY105" s="530"/>
      <c r="HZ105" s="531"/>
      <c r="IA105" s="530"/>
      <c r="IB105" s="531"/>
      <c r="IC105" s="530"/>
      <c r="ID105" s="531"/>
      <c r="IE105" s="530"/>
      <c r="IF105" s="531"/>
      <c r="IG105" s="530"/>
      <c r="IH105" s="531"/>
      <c r="II105" s="530"/>
      <c r="IJ105" s="531"/>
      <c r="IK105" s="530"/>
      <c r="IL105" s="531"/>
      <c r="IM105" s="530"/>
      <c r="IN105" s="531"/>
      <c r="IO105" s="530"/>
      <c r="IP105" s="531"/>
      <c r="IQ105" s="530"/>
      <c r="IR105" s="531"/>
      <c r="IS105" s="530"/>
      <c r="IT105" s="531"/>
      <c r="IU105" s="530"/>
      <c r="IV105" s="531"/>
      <c r="IW105" s="530"/>
      <c r="IX105" s="531"/>
      <c r="IY105" s="530"/>
      <c r="IZ105" s="531"/>
      <c r="JA105" s="530"/>
      <c r="JB105" s="531"/>
      <c r="JC105" s="530"/>
      <c r="JD105" s="531"/>
      <c r="JE105" s="530"/>
      <c r="JF105" s="531"/>
      <c r="JG105" s="530"/>
      <c r="JH105" s="531"/>
      <c r="JI105" s="530"/>
      <c r="JJ105" s="531"/>
      <c r="JK105" s="530"/>
      <c r="JL105" s="531"/>
      <c r="JM105" s="530"/>
      <c r="JN105" s="531"/>
      <c r="JO105" s="530"/>
      <c r="JP105" s="531"/>
      <c r="JQ105" s="530"/>
      <c r="JR105" s="531"/>
      <c r="JS105" s="530"/>
      <c r="JT105" s="531"/>
      <c r="JU105" s="530"/>
      <c r="JV105" s="531"/>
      <c r="JW105" s="530"/>
      <c r="JX105" s="531"/>
      <c r="JY105" s="530"/>
      <c r="JZ105" s="531"/>
      <c r="KA105" s="530"/>
      <c r="KB105" s="531"/>
      <c r="KC105" s="530"/>
      <c r="KD105" s="531"/>
      <c r="KE105" s="530"/>
      <c r="KF105" s="531"/>
      <c r="KG105" s="530"/>
      <c r="KH105" s="531"/>
      <c r="KI105" s="530"/>
      <c r="KJ105" s="531"/>
      <c r="KK105" s="530"/>
      <c r="KL105" s="531"/>
      <c r="KM105" s="530"/>
      <c r="KN105" s="531"/>
      <c r="KO105" s="530"/>
      <c r="KP105" s="531"/>
      <c r="KQ105" s="530"/>
      <c r="KR105" s="531"/>
      <c r="KS105" s="530"/>
      <c r="KT105" s="531"/>
      <c r="KU105" s="530"/>
      <c r="KV105" s="531"/>
      <c r="KW105" s="530"/>
      <c r="KX105" s="531"/>
      <c r="KY105" s="530"/>
      <c r="KZ105" s="531"/>
      <c r="LA105" s="530"/>
      <c r="LB105" s="531"/>
      <c r="LC105" s="530"/>
      <c r="LD105" s="531"/>
      <c r="LE105" s="530"/>
      <c r="LF105" s="531"/>
      <c r="LG105" s="530"/>
      <c r="LH105" s="531"/>
      <c r="LI105" s="530"/>
      <c r="LJ105" s="531"/>
      <c r="LK105" s="530"/>
      <c r="LL105" s="531"/>
      <c r="LM105" s="530"/>
      <c r="LN105" s="531"/>
      <c r="LO105" s="530"/>
      <c r="LP105" s="531"/>
      <c r="LQ105" s="530"/>
      <c r="LR105" s="531"/>
      <c r="LS105" s="530"/>
      <c r="LT105" s="531"/>
      <c r="LU105" s="530"/>
      <c r="LV105" s="531"/>
      <c r="LW105" s="530"/>
      <c r="LX105" s="531"/>
      <c r="LY105" s="530"/>
      <c r="LZ105" s="531"/>
      <c r="MA105" s="530"/>
      <c r="MB105" s="531"/>
      <c r="MC105" s="530"/>
      <c r="MD105" s="531"/>
      <c r="ME105" s="530"/>
      <c r="MF105" s="531"/>
      <c r="MG105" s="530"/>
      <c r="MH105" s="531"/>
      <c r="MI105" s="530"/>
      <c r="MJ105" s="531"/>
      <c r="MK105" s="530"/>
      <c r="ML105" s="531"/>
      <c r="MM105" s="530"/>
      <c r="MN105" s="531"/>
      <c r="MO105" s="530"/>
      <c r="MP105" s="531"/>
      <c r="MQ105" s="530"/>
      <c r="MR105" s="531"/>
      <c r="MS105" s="530"/>
      <c r="MT105" s="531"/>
      <c r="MU105" s="530"/>
      <c r="MV105" s="531"/>
      <c r="MW105" s="530"/>
      <c r="MX105" s="531"/>
      <c r="MY105" s="530"/>
      <c r="MZ105" s="531"/>
      <c r="NA105" s="530"/>
      <c r="NB105" s="531"/>
      <c r="NC105" s="530"/>
      <c r="ND105" s="531"/>
      <c r="NE105" s="530"/>
      <c r="NF105" s="531"/>
      <c r="NG105" s="530"/>
      <c r="NH105" s="531"/>
      <c r="NI105" s="530"/>
      <c r="NJ105" s="531"/>
      <c r="NK105" s="530"/>
      <c r="NL105" s="531"/>
      <c r="NM105" s="530"/>
      <c r="NN105" s="531"/>
      <c r="NO105" s="530"/>
      <c r="NP105" s="531"/>
      <c r="NQ105" s="530"/>
      <c r="NR105" s="531"/>
      <c r="NS105" s="530"/>
      <c r="NT105" s="531"/>
      <c r="NU105" s="530"/>
      <c r="NV105" s="531"/>
      <c r="NW105" s="530"/>
      <c r="NX105" s="531"/>
      <c r="NY105" s="530"/>
      <c r="NZ105" s="531"/>
      <c r="OA105" s="530"/>
      <c r="OB105" s="531"/>
      <c r="OC105" s="530"/>
      <c r="OD105" s="531"/>
      <c r="OE105" s="530"/>
      <c r="OF105" s="531"/>
      <c r="OG105" s="530"/>
      <c r="OH105" s="531"/>
      <c r="OI105" s="530"/>
      <c r="OJ105" s="531"/>
      <c r="OK105" s="530"/>
      <c r="OL105" s="531"/>
      <c r="OM105" s="530"/>
      <c r="ON105" s="531"/>
      <c r="OO105" s="530"/>
      <c r="OP105" s="531"/>
      <c r="OQ105" s="530"/>
      <c r="OR105" s="531"/>
      <c r="OS105" s="530"/>
      <c r="OT105" s="531"/>
      <c r="OU105" s="530"/>
      <c r="OV105" s="531"/>
      <c r="OW105" s="530"/>
      <c r="OX105" s="531"/>
      <c r="OY105" s="530"/>
      <c r="OZ105" s="531"/>
      <c r="PA105" s="530"/>
      <c r="PB105" s="531"/>
      <c r="PC105" s="530"/>
      <c r="PD105" s="531"/>
      <c r="PE105" s="530"/>
      <c r="PF105" s="531"/>
      <c r="PG105" s="530"/>
      <c r="PH105" s="531"/>
      <c r="PI105" s="530"/>
      <c r="PJ105" s="531"/>
      <c r="PK105" s="530"/>
      <c r="PL105" s="531"/>
      <c r="PM105" s="530"/>
      <c r="PN105" s="531"/>
      <c r="PO105" s="530"/>
      <c r="PP105" s="531"/>
      <c r="PQ105" s="530"/>
      <c r="PR105" s="531"/>
      <c r="PS105" s="530"/>
      <c r="PT105" s="531"/>
      <c r="PU105" s="530"/>
      <c r="PV105" s="531"/>
      <c r="PW105" s="530"/>
      <c r="PX105" s="531"/>
      <c r="PY105" s="530"/>
      <c r="PZ105" s="531"/>
      <c r="QA105" s="530"/>
      <c r="QB105" s="531"/>
      <c r="QC105" s="530"/>
      <c r="QD105" s="531"/>
      <c r="QE105" s="530"/>
      <c r="QF105" s="531"/>
      <c r="QG105" s="530"/>
      <c r="QH105" s="531"/>
      <c r="QI105" s="530"/>
      <c r="QJ105" s="531"/>
      <c r="QK105" s="530"/>
      <c r="QL105" s="531"/>
      <c r="QM105" s="530"/>
      <c r="QN105" s="531"/>
      <c r="QO105" s="530"/>
      <c r="QP105" s="531"/>
      <c r="QQ105" s="530"/>
      <c r="QR105" s="531"/>
      <c r="QS105" s="530"/>
      <c r="QT105" s="531"/>
      <c r="QU105" s="530"/>
      <c r="QV105" s="531"/>
      <c r="QW105" s="530"/>
      <c r="QX105" s="531"/>
      <c r="QY105" s="530"/>
      <c r="QZ105" s="531"/>
      <c r="RA105" s="530"/>
      <c r="RB105" s="531"/>
      <c r="RC105" s="530"/>
      <c r="RD105" s="531"/>
      <c r="RE105" s="530"/>
      <c r="RF105" s="531"/>
      <c r="RG105" s="530"/>
      <c r="RH105" s="531"/>
      <c r="RI105" s="530"/>
      <c r="RJ105" s="531"/>
      <c r="RK105" s="530"/>
      <c r="RL105" s="531"/>
      <c r="RM105" s="530"/>
      <c r="RN105" s="531"/>
      <c r="RO105" s="530"/>
      <c r="RP105" s="531"/>
      <c r="RQ105" s="530"/>
      <c r="RR105" s="531"/>
      <c r="RS105" s="530"/>
      <c r="RT105" s="531"/>
      <c r="RU105" s="530"/>
      <c r="RV105" s="531"/>
      <c r="RW105" s="530"/>
      <c r="RX105" s="531"/>
      <c r="RY105" s="530"/>
      <c r="RZ105" s="531"/>
      <c r="SA105" s="530"/>
      <c r="SB105" s="531"/>
      <c r="SC105" s="530"/>
      <c r="SD105" s="531"/>
      <c r="SE105" s="530"/>
      <c r="SF105" s="531"/>
      <c r="SG105" s="530"/>
      <c r="SH105" s="531"/>
      <c r="SI105" s="530"/>
      <c r="SJ105" s="531"/>
      <c r="SK105" s="530"/>
      <c r="SL105" s="531"/>
      <c r="SM105" s="530"/>
      <c r="SN105" s="531"/>
      <c r="SO105" s="530"/>
      <c r="SP105" s="531"/>
      <c r="SQ105" s="530"/>
      <c r="SR105" s="531"/>
      <c r="SS105" s="530"/>
      <c r="ST105" s="531"/>
      <c r="SU105" s="530"/>
      <c r="SV105" s="531"/>
      <c r="SW105" s="530"/>
      <c r="SX105" s="531"/>
      <c r="SY105" s="530"/>
      <c r="SZ105" s="531"/>
      <c r="TA105" s="530"/>
      <c r="TB105" s="531"/>
      <c r="TC105" s="530"/>
      <c r="TD105" s="531"/>
      <c r="TE105" s="530"/>
      <c r="TF105" s="531"/>
      <c r="TG105" s="530"/>
      <c r="TH105" s="531"/>
      <c r="TI105" s="530"/>
      <c r="TJ105" s="531"/>
      <c r="TK105" s="530"/>
      <c r="TL105" s="531"/>
      <c r="TM105" s="530"/>
      <c r="TN105" s="531"/>
      <c r="TO105" s="530"/>
      <c r="TP105" s="531"/>
      <c r="TQ105" s="530"/>
      <c r="TR105" s="531"/>
      <c r="TS105" s="530"/>
      <c r="TT105" s="531"/>
      <c r="TU105" s="530"/>
      <c r="TV105" s="531"/>
      <c r="TW105" s="530"/>
      <c r="TX105" s="531"/>
      <c r="TY105" s="530"/>
      <c r="TZ105" s="531"/>
      <c r="UA105" s="530"/>
      <c r="UB105" s="531"/>
      <c r="UC105" s="530"/>
      <c r="UD105" s="531"/>
      <c r="UE105" s="530"/>
      <c r="UF105" s="531"/>
      <c r="UG105" s="530"/>
      <c r="UH105" s="531"/>
      <c r="UI105" s="530"/>
      <c r="UJ105" s="531"/>
      <c r="UK105" s="530"/>
      <c r="UL105" s="531"/>
      <c r="UM105" s="530"/>
      <c r="UN105" s="531"/>
      <c r="UO105" s="530"/>
      <c r="UP105" s="531"/>
      <c r="UQ105" s="530"/>
      <c r="UR105" s="531"/>
      <c r="US105" s="530"/>
      <c r="UT105" s="531"/>
      <c r="UU105" s="530"/>
      <c r="UV105" s="531"/>
      <c r="UW105" s="530"/>
      <c r="UX105" s="531"/>
      <c r="UY105" s="530"/>
      <c r="UZ105" s="531"/>
      <c r="VA105" s="530"/>
      <c r="VB105" s="531"/>
      <c r="VC105" s="530"/>
      <c r="VD105" s="531"/>
      <c r="VE105" s="530"/>
      <c r="VF105" s="531"/>
      <c r="VG105" s="530"/>
      <c r="VH105" s="531"/>
      <c r="VI105" s="530"/>
      <c r="VJ105" s="531"/>
      <c r="VK105" s="530"/>
      <c r="VL105" s="531"/>
      <c r="VM105" s="530"/>
      <c r="VN105" s="531"/>
      <c r="VO105" s="530"/>
      <c r="VP105" s="531"/>
      <c r="VQ105" s="530"/>
      <c r="VR105" s="531"/>
      <c r="VS105" s="530"/>
      <c r="VT105" s="531"/>
      <c r="VU105" s="530"/>
      <c r="VV105" s="531"/>
      <c r="VW105" s="530"/>
      <c r="VX105" s="531"/>
      <c r="VY105" s="530"/>
      <c r="VZ105" s="531"/>
      <c r="WA105" s="530"/>
      <c r="WB105" s="531"/>
      <c r="WC105" s="530"/>
      <c r="WD105" s="531"/>
      <c r="WE105" s="530"/>
      <c r="WF105" s="531"/>
      <c r="WG105" s="530"/>
      <c r="WH105" s="531"/>
      <c r="WI105" s="530"/>
      <c r="WJ105" s="531"/>
      <c r="WK105" s="530"/>
      <c r="WL105" s="531"/>
      <c r="WM105" s="530"/>
      <c r="WN105" s="531"/>
      <c r="WO105" s="530"/>
      <c r="WP105" s="531"/>
      <c r="WQ105" s="530"/>
      <c r="WR105" s="531"/>
      <c r="WS105" s="530"/>
      <c r="WT105" s="531"/>
      <c r="WU105" s="530"/>
      <c r="WV105" s="531"/>
      <c r="WW105" s="530"/>
      <c r="WX105" s="531"/>
      <c r="WY105" s="530"/>
      <c r="WZ105" s="531"/>
      <c r="XA105" s="530"/>
      <c r="XB105" s="531"/>
      <c r="XC105" s="530"/>
      <c r="XD105" s="531"/>
      <c r="XE105" s="530"/>
      <c r="XF105" s="531"/>
      <c r="XG105" s="530"/>
      <c r="XH105" s="531"/>
      <c r="XI105" s="530"/>
      <c r="XJ105" s="531"/>
      <c r="XK105" s="530"/>
      <c r="XL105" s="531"/>
      <c r="XM105" s="530"/>
      <c r="XN105" s="531"/>
      <c r="XO105" s="530"/>
      <c r="XP105" s="531"/>
      <c r="XQ105" s="530"/>
      <c r="XR105" s="531"/>
      <c r="XS105" s="530"/>
      <c r="XT105" s="531"/>
      <c r="XU105" s="530"/>
      <c r="XV105" s="531"/>
      <c r="XW105" s="530"/>
      <c r="XX105" s="531"/>
      <c r="XY105" s="530"/>
      <c r="XZ105" s="531"/>
      <c r="YA105" s="530"/>
      <c r="YB105" s="531"/>
      <c r="YC105" s="530"/>
      <c r="YD105" s="531"/>
      <c r="YE105" s="530"/>
      <c r="YF105" s="531"/>
      <c r="YG105" s="530"/>
      <c r="YH105" s="531"/>
      <c r="YI105" s="530"/>
      <c r="YJ105" s="531"/>
      <c r="YK105" s="530"/>
      <c r="YL105" s="531"/>
      <c r="YM105" s="530"/>
      <c r="YN105" s="531"/>
      <c r="YO105" s="530"/>
      <c r="YP105" s="531"/>
      <c r="YQ105" s="530"/>
      <c r="YR105" s="531"/>
      <c r="YS105" s="530"/>
      <c r="YT105" s="531"/>
      <c r="YU105" s="530"/>
      <c r="YV105" s="531"/>
      <c r="YW105" s="530"/>
      <c r="YX105" s="531"/>
      <c r="YY105" s="530"/>
      <c r="YZ105" s="531"/>
      <c r="ZA105" s="530"/>
      <c r="ZB105" s="531"/>
      <c r="ZC105" s="530"/>
      <c r="ZD105" s="531"/>
      <c r="ZE105" s="530"/>
      <c r="ZF105" s="531"/>
      <c r="ZG105" s="530"/>
      <c r="ZH105" s="531"/>
      <c r="ZI105" s="530"/>
      <c r="ZJ105" s="531"/>
      <c r="ZK105" s="530"/>
      <c r="ZL105" s="531"/>
      <c r="ZM105" s="530"/>
      <c r="ZN105" s="531"/>
      <c r="ZO105" s="530"/>
      <c r="ZP105" s="531"/>
      <c r="ZQ105" s="530"/>
      <c r="ZR105" s="531"/>
      <c r="ZS105" s="530"/>
      <c r="ZT105" s="531"/>
      <c r="ZU105" s="530"/>
      <c r="ZV105" s="531"/>
      <c r="ZW105" s="530"/>
      <c r="ZX105" s="531"/>
      <c r="ZY105" s="530"/>
      <c r="ZZ105" s="531"/>
      <c r="AAA105" s="530"/>
      <c r="AAB105" s="531"/>
      <c r="AAC105" s="530"/>
      <c r="AAD105" s="531"/>
      <c r="AAE105" s="530"/>
      <c r="AAF105" s="531"/>
      <c r="AAG105" s="530"/>
      <c r="AAH105" s="531"/>
      <c r="AAI105" s="530"/>
      <c r="AAJ105" s="531"/>
      <c r="AAK105" s="530"/>
      <c r="AAL105" s="531"/>
      <c r="AAM105" s="530"/>
      <c r="AAN105" s="531"/>
      <c r="AAO105" s="530"/>
      <c r="AAP105" s="531"/>
      <c r="AAQ105" s="530"/>
      <c r="AAR105" s="531"/>
      <c r="AAS105" s="530"/>
      <c r="AAT105" s="531"/>
      <c r="AAU105" s="530"/>
      <c r="AAV105" s="531"/>
      <c r="AAW105" s="530"/>
      <c r="AAX105" s="531"/>
      <c r="AAY105" s="530"/>
      <c r="AAZ105" s="531"/>
      <c r="ABA105" s="530"/>
      <c r="ABB105" s="531"/>
      <c r="ABC105" s="530"/>
      <c r="ABD105" s="531"/>
      <c r="ABE105" s="530"/>
      <c r="ABF105" s="531"/>
      <c r="ABG105" s="530"/>
      <c r="ABH105" s="531"/>
      <c r="ABI105" s="530"/>
      <c r="ABJ105" s="531"/>
      <c r="ABK105" s="530"/>
      <c r="ABL105" s="531"/>
      <c r="ABM105" s="530"/>
      <c r="ABN105" s="531"/>
      <c r="ABO105" s="530"/>
      <c r="ABP105" s="531"/>
      <c r="ABQ105" s="530"/>
      <c r="ABR105" s="531"/>
      <c r="ABS105" s="530"/>
      <c r="ABT105" s="531"/>
      <c r="ABU105" s="530"/>
      <c r="ABV105" s="531"/>
      <c r="ABW105" s="530"/>
      <c r="ABX105" s="531"/>
      <c r="ABY105" s="530"/>
      <c r="ABZ105" s="531"/>
      <c r="ACA105" s="530"/>
      <c r="ACB105" s="531"/>
      <c r="ACC105" s="530"/>
      <c r="ACD105" s="531"/>
      <c r="ACE105" s="530"/>
      <c r="ACF105" s="531"/>
      <c r="ACG105" s="530"/>
      <c r="ACH105" s="531"/>
      <c r="ACI105" s="530"/>
      <c r="ACJ105" s="531"/>
      <c r="ACK105" s="530"/>
      <c r="ACL105" s="531"/>
      <c r="ACM105" s="530"/>
      <c r="ACN105" s="531"/>
      <c r="ACO105" s="530"/>
      <c r="ACP105" s="531"/>
      <c r="ACQ105" s="530"/>
      <c r="ACR105" s="531"/>
      <c r="ACS105" s="530"/>
      <c r="ACT105" s="531"/>
      <c r="ACU105" s="530"/>
      <c r="ACV105" s="531"/>
      <c r="ACW105" s="530"/>
      <c r="ACX105" s="531"/>
      <c r="ACY105" s="530"/>
      <c r="ACZ105" s="531"/>
      <c r="ADA105" s="530"/>
      <c r="ADB105" s="531"/>
      <c r="ADC105" s="530"/>
      <c r="ADD105" s="531"/>
      <c r="ADE105" s="530"/>
      <c r="ADF105" s="531"/>
      <c r="ADG105" s="530"/>
      <c r="ADH105" s="531"/>
      <c r="ADI105" s="530"/>
      <c r="ADJ105" s="531"/>
      <c r="ADK105" s="530"/>
      <c r="ADL105" s="531"/>
      <c r="ADM105" s="530"/>
      <c r="ADN105" s="531"/>
      <c r="ADO105" s="530"/>
      <c r="ADP105" s="531"/>
      <c r="ADQ105" s="530"/>
      <c r="ADR105" s="531"/>
      <c r="ADS105" s="530"/>
      <c r="ADT105" s="531"/>
      <c r="ADU105" s="530"/>
      <c r="ADV105" s="531"/>
      <c r="ADW105" s="530"/>
      <c r="ADX105" s="531"/>
      <c r="ADY105" s="530"/>
      <c r="ADZ105" s="531"/>
      <c r="AEA105" s="530"/>
      <c r="AEB105" s="531"/>
      <c r="AEC105" s="530"/>
      <c r="AED105" s="531"/>
      <c r="AEE105" s="530"/>
      <c r="AEF105" s="531"/>
      <c r="AEG105" s="530"/>
      <c r="AEH105" s="531"/>
      <c r="AEI105" s="530"/>
      <c r="AEJ105" s="531"/>
      <c r="AEK105" s="530"/>
      <c r="AEL105" s="531"/>
      <c r="AEM105" s="530"/>
      <c r="AEN105" s="531"/>
      <c r="AEO105" s="530"/>
      <c r="AEP105" s="531"/>
      <c r="AEQ105" s="530"/>
      <c r="AER105" s="531"/>
      <c r="AES105" s="530"/>
      <c r="AET105" s="531"/>
      <c r="AEU105" s="530"/>
      <c r="AEV105" s="531"/>
      <c r="AEW105" s="530"/>
      <c r="AEX105" s="531"/>
      <c r="AEY105" s="530"/>
      <c r="AEZ105" s="531"/>
      <c r="AFA105" s="530"/>
      <c r="AFB105" s="531"/>
      <c r="AFC105" s="530"/>
      <c r="AFD105" s="531"/>
      <c r="AFE105" s="530"/>
      <c r="AFF105" s="531"/>
      <c r="AFG105" s="530"/>
      <c r="AFH105" s="531"/>
      <c r="AFI105" s="530"/>
      <c r="AFJ105" s="531"/>
      <c r="AFK105" s="530"/>
      <c r="AFL105" s="531"/>
      <c r="AFM105" s="530"/>
      <c r="AFN105" s="531"/>
      <c r="AFO105" s="530"/>
      <c r="AFP105" s="531"/>
      <c r="AFQ105" s="530"/>
      <c r="AFR105" s="531"/>
      <c r="AFS105" s="530"/>
      <c r="AFT105" s="531"/>
      <c r="AFU105" s="530"/>
      <c r="AFV105" s="531"/>
      <c r="AFW105" s="530"/>
      <c r="AFX105" s="531"/>
      <c r="AFY105" s="530"/>
      <c r="AFZ105" s="531"/>
      <c r="AGA105" s="530"/>
      <c r="AGB105" s="531"/>
      <c r="AGC105" s="530"/>
      <c r="AGD105" s="531"/>
      <c r="AGE105" s="530"/>
      <c r="AGF105" s="531"/>
      <c r="AGG105" s="530"/>
      <c r="AGH105" s="531"/>
      <c r="AGI105" s="530"/>
      <c r="AGJ105" s="531"/>
      <c r="AGK105" s="530"/>
      <c r="AGL105" s="531"/>
      <c r="AGM105" s="530"/>
      <c r="AGN105" s="531"/>
      <c r="AGO105" s="530"/>
      <c r="AGP105" s="531"/>
      <c r="AGQ105" s="530"/>
      <c r="AGR105" s="531"/>
      <c r="AGS105" s="530"/>
      <c r="AGT105" s="531"/>
      <c r="AGU105" s="530"/>
      <c r="AGV105" s="531"/>
      <c r="AGW105" s="530"/>
      <c r="AGX105" s="531"/>
      <c r="AGY105" s="530"/>
      <c r="AGZ105" s="531"/>
      <c r="AHA105" s="530"/>
      <c r="AHB105" s="531"/>
      <c r="AHC105" s="530"/>
      <c r="AHD105" s="531"/>
      <c r="AHE105" s="530"/>
      <c r="AHF105" s="531"/>
      <c r="AHG105" s="530"/>
      <c r="AHH105" s="531"/>
      <c r="AHI105" s="530"/>
      <c r="AHJ105" s="531"/>
      <c r="AHK105" s="530"/>
      <c r="AHL105" s="531"/>
      <c r="AHM105" s="530"/>
      <c r="AHN105" s="531"/>
      <c r="AHO105" s="530"/>
      <c r="AHP105" s="531"/>
      <c r="AHQ105" s="530"/>
      <c r="AHR105" s="531"/>
      <c r="AHS105" s="530"/>
      <c r="AHT105" s="531"/>
      <c r="AHU105" s="530"/>
      <c r="AHV105" s="531"/>
      <c r="AHW105" s="530"/>
      <c r="AHX105" s="531"/>
      <c r="AHY105" s="530"/>
      <c r="AHZ105" s="531"/>
      <c r="AIA105" s="530"/>
      <c r="AIB105" s="531"/>
      <c r="AIC105" s="530"/>
      <c r="AID105" s="531"/>
      <c r="AIE105" s="530"/>
      <c r="AIF105" s="531"/>
      <c r="AIG105" s="530"/>
      <c r="AIH105" s="531"/>
      <c r="AII105" s="530"/>
      <c r="AIJ105" s="531"/>
      <c r="AIK105" s="530"/>
      <c r="AIL105" s="531"/>
      <c r="AIM105" s="530"/>
      <c r="AIN105" s="531"/>
      <c r="AIO105" s="530"/>
      <c r="AIP105" s="531"/>
      <c r="AIQ105" s="530"/>
      <c r="AIR105" s="531"/>
      <c r="AIS105" s="530"/>
      <c r="AIT105" s="531"/>
      <c r="AIU105" s="530"/>
      <c r="AIV105" s="531"/>
      <c r="AIW105" s="530"/>
      <c r="AIX105" s="531"/>
      <c r="AIY105" s="530"/>
      <c r="AIZ105" s="531"/>
      <c r="AJA105" s="530"/>
      <c r="AJB105" s="531"/>
      <c r="AJC105" s="530"/>
      <c r="AJD105" s="531"/>
      <c r="AJE105" s="530"/>
      <c r="AJF105" s="531"/>
      <c r="AJG105" s="530"/>
      <c r="AJH105" s="531"/>
      <c r="AJI105" s="530"/>
      <c r="AJJ105" s="531"/>
      <c r="AJK105" s="530"/>
      <c r="AJL105" s="531"/>
      <c r="AJM105" s="530"/>
      <c r="AJN105" s="531"/>
      <c r="AJO105" s="530"/>
      <c r="AJP105" s="531"/>
      <c r="AJQ105" s="530"/>
      <c r="AJR105" s="531"/>
      <c r="AJS105" s="530"/>
      <c r="AJT105" s="531"/>
      <c r="AJU105" s="530"/>
      <c r="AJV105" s="531"/>
      <c r="AJW105" s="530"/>
      <c r="AJX105" s="531"/>
      <c r="AJY105" s="530"/>
      <c r="AJZ105" s="531"/>
      <c r="AKA105" s="530"/>
      <c r="AKB105" s="531"/>
      <c r="AKC105" s="530"/>
      <c r="AKD105" s="531"/>
      <c r="AKE105" s="530"/>
      <c r="AKF105" s="531"/>
      <c r="AKG105" s="530"/>
      <c r="AKH105" s="531"/>
      <c r="AKI105" s="530"/>
      <c r="AKJ105" s="531"/>
      <c r="AKK105" s="530"/>
      <c r="AKL105" s="531"/>
      <c r="AKM105" s="530"/>
      <c r="AKN105" s="531"/>
      <c r="AKO105" s="530"/>
      <c r="AKP105" s="531"/>
      <c r="AKQ105" s="530"/>
      <c r="AKR105" s="531"/>
      <c r="AKS105" s="530"/>
      <c r="AKT105" s="531"/>
      <c r="AKU105" s="530"/>
      <c r="AKV105" s="531"/>
      <c r="AKW105" s="530"/>
      <c r="AKX105" s="531"/>
      <c r="AKY105" s="530"/>
      <c r="AKZ105" s="531"/>
      <c r="ALA105" s="530"/>
      <c r="ALB105" s="531"/>
      <c r="ALC105" s="530"/>
      <c r="ALD105" s="531"/>
      <c r="ALE105" s="530"/>
      <c r="ALF105" s="531"/>
      <c r="ALG105" s="530"/>
      <c r="ALH105" s="531"/>
      <c r="ALI105" s="530"/>
      <c r="ALJ105" s="531"/>
      <c r="ALK105" s="530"/>
      <c r="ALL105" s="531"/>
      <c r="ALM105" s="530"/>
      <c r="ALN105" s="531"/>
      <c r="ALO105" s="530"/>
      <c r="ALP105" s="531"/>
      <c r="ALQ105" s="530"/>
      <c r="ALR105" s="531"/>
      <c r="ALS105" s="530"/>
      <c r="ALT105" s="531"/>
      <c r="ALU105" s="530"/>
      <c r="ALV105" s="531"/>
      <c r="ALW105" s="530"/>
      <c r="ALX105" s="531"/>
      <c r="ALY105" s="530"/>
      <c r="ALZ105" s="531"/>
      <c r="AMA105" s="530"/>
      <c r="AMB105" s="531"/>
      <c r="AMC105" s="530"/>
      <c r="AMD105" s="531"/>
      <c r="AME105" s="530"/>
      <c r="AMF105" s="531"/>
      <c r="AMG105" s="530"/>
      <c r="AMH105" s="531"/>
      <c r="AMI105" s="530"/>
      <c r="AMJ105" s="531"/>
      <c r="AMK105" s="530"/>
      <c r="AML105" s="531"/>
      <c r="AMM105" s="530"/>
      <c r="AMN105" s="531"/>
      <c r="AMO105" s="530"/>
      <c r="AMP105" s="531"/>
      <c r="AMQ105" s="530"/>
      <c r="AMR105" s="531"/>
      <c r="AMS105" s="530"/>
      <c r="AMT105" s="531"/>
      <c r="AMU105" s="530"/>
      <c r="AMV105" s="531"/>
      <c r="AMW105" s="530"/>
      <c r="AMX105" s="531"/>
      <c r="AMY105" s="530"/>
      <c r="AMZ105" s="531"/>
      <c r="ANA105" s="530"/>
      <c r="ANB105" s="531"/>
      <c r="ANC105" s="530"/>
      <c r="AND105" s="531"/>
      <c r="ANE105" s="530"/>
      <c r="ANF105" s="531"/>
      <c r="ANG105" s="530"/>
      <c r="ANH105" s="531"/>
      <c r="ANI105" s="530"/>
      <c r="ANJ105" s="531"/>
      <c r="ANK105" s="530"/>
      <c r="ANL105" s="531"/>
      <c r="ANM105" s="530"/>
      <c r="ANN105" s="531"/>
      <c r="ANO105" s="530"/>
      <c r="ANP105" s="531"/>
      <c r="ANQ105" s="530"/>
      <c r="ANR105" s="531"/>
      <c r="ANS105" s="530"/>
      <c r="ANT105" s="531"/>
      <c r="ANU105" s="530"/>
      <c r="ANV105" s="531"/>
      <c r="ANW105" s="530"/>
      <c r="ANX105" s="531"/>
      <c r="ANY105" s="530"/>
      <c r="ANZ105" s="531"/>
      <c r="AOA105" s="530"/>
      <c r="AOB105" s="531"/>
      <c r="AOC105" s="530"/>
      <c r="AOD105" s="531"/>
      <c r="AOE105" s="530"/>
      <c r="AOF105" s="531"/>
      <c r="AOG105" s="530"/>
      <c r="AOH105" s="531"/>
      <c r="AOI105" s="530"/>
      <c r="AOJ105" s="531"/>
      <c r="AOK105" s="530"/>
      <c r="AOL105" s="531"/>
      <c r="AOM105" s="530"/>
      <c r="AON105" s="531"/>
      <c r="AOO105" s="530"/>
      <c r="AOP105" s="531"/>
      <c r="AOQ105" s="530"/>
      <c r="AOR105" s="531"/>
      <c r="AOS105" s="530"/>
      <c r="AOT105" s="531"/>
      <c r="AOU105" s="530"/>
      <c r="AOV105" s="531"/>
      <c r="AOW105" s="530"/>
      <c r="AOX105" s="531"/>
      <c r="AOY105" s="530"/>
      <c r="AOZ105" s="531"/>
      <c r="APA105" s="530"/>
      <c r="APB105" s="531"/>
      <c r="APC105" s="530"/>
      <c r="APD105" s="531"/>
      <c r="APE105" s="530"/>
      <c r="APF105" s="531"/>
      <c r="APG105" s="530"/>
      <c r="APH105" s="531"/>
      <c r="API105" s="530"/>
      <c r="APJ105" s="531"/>
      <c r="APK105" s="530"/>
      <c r="APL105" s="531"/>
      <c r="APM105" s="530"/>
      <c r="APN105" s="531"/>
      <c r="APO105" s="530"/>
      <c r="APP105" s="531"/>
      <c r="APQ105" s="530"/>
      <c r="APR105" s="531"/>
      <c r="APS105" s="530"/>
      <c r="APT105" s="531"/>
      <c r="APU105" s="530"/>
      <c r="APV105" s="531"/>
      <c r="APW105" s="530"/>
      <c r="APX105" s="531"/>
      <c r="APY105" s="530"/>
      <c r="APZ105" s="531"/>
      <c r="AQA105" s="530"/>
      <c r="AQB105" s="531"/>
      <c r="AQC105" s="530"/>
      <c r="AQD105" s="531"/>
      <c r="AQE105" s="530"/>
      <c r="AQF105" s="531"/>
      <c r="AQG105" s="530"/>
      <c r="AQH105" s="531"/>
      <c r="AQI105" s="530"/>
      <c r="AQJ105" s="531"/>
      <c r="AQK105" s="530"/>
      <c r="AQL105" s="531"/>
      <c r="AQM105" s="530"/>
      <c r="AQN105" s="531"/>
      <c r="AQO105" s="530"/>
      <c r="AQP105" s="531"/>
      <c r="AQQ105" s="530"/>
      <c r="AQR105" s="531"/>
      <c r="AQS105" s="530"/>
      <c r="AQT105" s="531"/>
      <c r="AQU105" s="530"/>
      <c r="AQV105" s="531"/>
      <c r="AQW105" s="530"/>
      <c r="AQX105" s="531"/>
      <c r="AQY105" s="530"/>
      <c r="AQZ105" s="531"/>
      <c r="ARA105" s="530"/>
      <c r="ARB105" s="531"/>
      <c r="ARC105" s="530"/>
      <c r="ARD105" s="531"/>
      <c r="ARE105" s="530"/>
      <c r="ARF105" s="531"/>
      <c r="ARG105" s="530"/>
      <c r="ARH105" s="531"/>
      <c r="ARI105" s="530"/>
      <c r="ARJ105" s="531"/>
      <c r="ARK105" s="530"/>
      <c r="ARL105" s="531"/>
      <c r="ARM105" s="530"/>
      <c r="ARN105" s="531"/>
      <c r="ARO105" s="530"/>
      <c r="ARP105" s="531"/>
      <c r="ARQ105" s="530"/>
      <c r="ARR105" s="531"/>
      <c r="ARS105" s="530"/>
      <c r="ART105" s="531"/>
      <c r="ARU105" s="530"/>
      <c r="ARV105" s="531"/>
      <c r="ARW105" s="530"/>
      <c r="ARX105" s="531"/>
      <c r="ARY105" s="530"/>
      <c r="ARZ105" s="531"/>
      <c r="ASA105" s="530"/>
      <c r="ASB105" s="531"/>
      <c r="ASC105" s="530"/>
      <c r="ASD105" s="531"/>
      <c r="ASE105" s="530"/>
      <c r="ASF105" s="531"/>
      <c r="ASG105" s="530"/>
      <c r="ASH105" s="531"/>
      <c r="ASI105" s="530"/>
      <c r="ASJ105" s="531"/>
      <c r="ASK105" s="530"/>
      <c r="ASL105" s="531"/>
      <c r="ASM105" s="530"/>
      <c r="ASN105" s="531"/>
      <c r="ASO105" s="530"/>
      <c r="ASP105" s="531"/>
      <c r="ASQ105" s="530"/>
      <c r="ASR105" s="531"/>
      <c r="ASS105" s="530"/>
      <c r="AST105" s="531"/>
      <c r="ASU105" s="530"/>
      <c r="ASV105" s="531"/>
      <c r="ASW105" s="530"/>
      <c r="ASX105" s="531"/>
      <c r="ASY105" s="530"/>
      <c r="ASZ105" s="531"/>
      <c r="ATA105" s="530"/>
      <c r="ATB105" s="531"/>
      <c r="ATC105" s="530"/>
      <c r="ATD105" s="531"/>
      <c r="ATE105" s="530"/>
      <c r="ATF105" s="531"/>
      <c r="ATG105" s="530"/>
      <c r="ATH105" s="531"/>
      <c r="ATI105" s="530"/>
      <c r="ATJ105" s="531"/>
      <c r="ATK105" s="530"/>
      <c r="ATL105" s="531"/>
      <c r="ATM105" s="530"/>
      <c r="ATN105" s="531"/>
      <c r="ATO105" s="530"/>
      <c r="ATP105" s="531"/>
      <c r="ATQ105" s="530"/>
      <c r="ATR105" s="531"/>
      <c r="ATS105" s="530"/>
      <c r="ATT105" s="531"/>
      <c r="ATU105" s="530"/>
      <c r="ATV105" s="531"/>
      <c r="ATW105" s="530"/>
      <c r="ATX105" s="531"/>
      <c r="ATY105" s="530"/>
      <c r="ATZ105" s="531"/>
      <c r="AUA105" s="530"/>
      <c r="AUB105" s="531"/>
      <c r="AUC105" s="530"/>
      <c r="AUD105" s="531"/>
      <c r="AUE105" s="530"/>
      <c r="AUF105" s="531"/>
      <c r="AUG105" s="530"/>
      <c r="AUH105" s="531"/>
      <c r="AUI105" s="530"/>
      <c r="AUJ105" s="531"/>
      <c r="AUK105" s="530"/>
      <c r="AUL105" s="531"/>
      <c r="AUM105" s="530"/>
      <c r="AUN105" s="531"/>
      <c r="AUO105" s="530"/>
      <c r="AUP105" s="531"/>
      <c r="AUQ105" s="530"/>
      <c r="AUR105" s="531"/>
      <c r="AUS105" s="530"/>
      <c r="AUT105" s="531"/>
      <c r="AUU105" s="530"/>
      <c r="AUV105" s="531"/>
      <c r="AUW105" s="530"/>
      <c r="AUX105" s="531"/>
      <c r="AUY105" s="530"/>
      <c r="AUZ105" s="531"/>
      <c r="AVA105" s="530"/>
      <c r="AVB105" s="531"/>
      <c r="AVC105" s="530"/>
      <c r="AVD105" s="531"/>
      <c r="AVE105" s="530"/>
      <c r="AVF105" s="531"/>
      <c r="AVG105" s="530"/>
      <c r="AVH105" s="531"/>
      <c r="AVI105" s="530"/>
      <c r="AVJ105" s="531"/>
      <c r="AVK105" s="530"/>
      <c r="AVL105" s="531"/>
      <c r="AVM105" s="530"/>
      <c r="AVN105" s="531"/>
      <c r="AVO105" s="530"/>
      <c r="AVP105" s="531"/>
      <c r="AVQ105" s="530"/>
      <c r="AVR105" s="531"/>
      <c r="AVS105" s="530"/>
      <c r="AVT105" s="531"/>
      <c r="AVU105" s="530"/>
      <c r="AVV105" s="531"/>
      <c r="AVW105" s="530"/>
      <c r="AVX105" s="531"/>
      <c r="AVY105" s="530"/>
      <c r="AVZ105" s="531"/>
      <c r="AWA105" s="530"/>
      <c r="AWB105" s="531"/>
      <c r="AWC105" s="530"/>
      <c r="AWD105" s="531"/>
      <c r="AWE105" s="530"/>
      <c r="AWF105" s="531"/>
      <c r="AWG105" s="530"/>
      <c r="AWH105" s="531"/>
      <c r="AWI105" s="530"/>
      <c r="AWJ105" s="531"/>
      <c r="AWK105" s="530"/>
      <c r="AWL105" s="531"/>
      <c r="AWM105" s="530"/>
      <c r="AWN105" s="531"/>
      <c r="AWO105" s="530"/>
      <c r="AWP105" s="531"/>
      <c r="AWQ105" s="530"/>
      <c r="AWR105" s="531"/>
      <c r="AWS105" s="530"/>
      <c r="AWT105" s="531"/>
      <c r="AWU105" s="530"/>
      <c r="AWV105" s="531"/>
      <c r="AWW105" s="530"/>
      <c r="AWX105" s="531"/>
      <c r="AWY105" s="530"/>
      <c r="AWZ105" s="531"/>
      <c r="AXA105" s="530"/>
      <c r="AXB105" s="531"/>
      <c r="AXC105" s="530"/>
      <c r="AXD105" s="531"/>
      <c r="AXE105" s="530"/>
      <c r="AXF105" s="531"/>
      <c r="AXG105" s="530"/>
      <c r="AXH105" s="531"/>
      <c r="AXI105" s="530"/>
      <c r="AXJ105" s="531"/>
      <c r="AXK105" s="530"/>
      <c r="AXL105" s="531"/>
      <c r="AXM105" s="530"/>
      <c r="AXN105" s="531"/>
      <c r="AXO105" s="530"/>
      <c r="AXP105" s="531"/>
      <c r="AXQ105" s="530"/>
      <c r="AXR105" s="531"/>
      <c r="AXS105" s="530"/>
      <c r="AXT105" s="531"/>
      <c r="AXU105" s="530"/>
      <c r="AXV105" s="531"/>
      <c r="AXW105" s="530"/>
      <c r="AXX105" s="531"/>
      <c r="AXY105" s="530"/>
      <c r="AXZ105" s="531"/>
      <c r="AYA105" s="530"/>
      <c r="AYB105" s="531"/>
      <c r="AYC105" s="530"/>
      <c r="AYD105" s="531"/>
      <c r="AYE105" s="530"/>
      <c r="AYF105" s="531"/>
      <c r="AYG105" s="530"/>
      <c r="AYH105" s="531"/>
      <c r="AYI105" s="530"/>
      <c r="AYJ105" s="531"/>
      <c r="AYK105" s="530"/>
      <c r="AYL105" s="531"/>
      <c r="AYM105" s="530"/>
      <c r="AYN105" s="531"/>
      <c r="AYO105" s="530"/>
      <c r="AYP105" s="531"/>
      <c r="AYQ105" s="530"/>
      <c r="AYR105" s="531"/>
      <c r="AYS105" s="530"/>
      <c r="AYT105" s="531"/>
      <c r="AYU105" s="530"/>
      <c r="AYV105" s="531"/>
      <c r="AYW105" s="530"/>
      <c r="AYX105" s="531"/>
      <c r="AYY105" s="530"/>
      <c r="AYZ105" s="531"/>
      <c r="AZA105" s="530"/>
      <c r="AZB105" s="531"/>
      <c r="AZC105" s="530"/>
      <c r="AZD105" s="531"/>
      <c r="AZE105" s="530"/>
      <c r="AZF105" s="531"/>
      <c r="AZG105" s="530"/>
      <c r="AZH105" s="531"/>
      <c r="AZI105" s="530"/>
      <c r="AZJ105" s="531"/>
      <c r="AZK105" s="530"/>
      <c r="AZL105" s="531"/>
      <c r="AZM105" s="530"/>
      <c r="AZN105" s="531"/>
      <c r="AZO105" s="530"/>
      <c r="AZP105" s="531"/>
      <c r="AZQ105" s="530"/>
      <c r="AZR105" s="531"/>
      <c r="AZS105" s="530"/>
      <c r="AZT105" s="531"/>
      <c r="AZU105" s="530"/>
      <c r="AZV105" s="531"/>
      <c r="AZW105" s="530"/>
      <c r="AZX105" s="531"/>
      <c r="AZY105" s="530"/>
      <c r="AZZ105" s="531"/>
      <c r="BAA105" s="530"/>
      <c r="BAB105" s="531"/>
      <c r="BAC105" s="530"/>
      <c r="BAD105" s="531"/>
      <c r="BAE105" s="530"/>
      <c r="BAF105" s="531"/>
      <c r="BAG105" s="530"/>
      <c r="BAH105" s="531"/>
      <c r="BAI105" s="530"/>
      <c r="BAJ105" s="531"/>
      <c r="BAK105" s="530"/>
      <c r="BAL105" s="531"/>
      <c r="BAM105" s="530"/>
      <c r="BAN105" s="531"/>
      <c r="BAO105" s="530"/>
      <c r="BAP105" s="531"/>
      <c r="BAQ105" s="530"/>
      <c r="BAR105" s="531"/>
      <c r="BAS105" s="530"/>
      <c r="BAT105" s="531"/>
      <c r="BAU105" s="530"/>
      <c r="BAV105" s="531"/>
      <c r="BAW105" s="530"/>
      <c r="BAX105" s="531"/>
      <c r="BAY105" s="530"/>
      <c r="BAZ105" s="531"/>
      <c r="BBA105" s="530"/>
      <c r="BBB105" s="531"/>
      <c r="BBC105" s="530"/>
      <c r="BBD105" s="531"/>
      <c r="BBE105" s="530"/>
      <c r="BBF105" s="531"/>
      <c r="BBG105" s="530"/>
      <c r="BBH105" s="531"/>
      <c r="BBI105" s="530"/>
      <c r="BBJ105" s="531"/>
      <c r="BBK105" s="530"/>
      <c r="BBL105" s="531"/>
      <c r="BBM105" s="530"/>
      <c r="BBN105" s="531"/>
      <c r="BBO105" s="530"/>
      <c r="BBP105" s="531"/>
      <c r="BBQ105" s="530"/>
      <c r="BBR105" s="531"/>
      <c r="BBS105" s="530"/>
      <c r="BBT105" s="531"/>
      <c r="BBU105" s="530"/>
      <c r="BBV105" s="531"/>
      <c r="BBW105" s="530"/>
      <c r="BBX105" s="531"/>
      <c r="BBY105" s="530"/>
      <c r="BBZ105" s="531"/>
      <c r="BCA105" s="530"/>
      <c r="BCB105" s="531"/>
      <c r="BCC105" s="530"/>
      <c r="BCD105" s="531"/>
      <c r="BCE105" s="530"/>
      <c r="BCF105" s="531"/>
      <c r="BCG105" s="530"/>
      <c r="BCH105" s="531"/>
      <c r="BCI105" s="530"/>
      <c r="BCJ105" s="531"/>
      <c r="BCK105" s="530"/>
      <c r="BCL105" s="531"/>
      <c r="BCM105" s="530"/>
      <c r="BCN105" s="531"/>
      <c r="BCO105" s="530"/>
      <c r="BCP105" s="531"/>
      <c r="BCQ105" s="530"/>
      <c r="BCR105" s="531"/>
      <c r="BCS105" s="530"/>
      <c r="BCT105" s="531"/>
      <c r="BCU105" s="530"/>
      <c r="BCV105" s="531"/>
      <c r="BCW105" s="530"/>
      <c r="BCX105" s="531"/>
      <c r="BCY105" s="530"/>
      <c r="BCZ105" s="531"/>
      <c r="BDA105" s="530"/>
      <c r="BDB105" s="531"/>
      <c r="BDC105" s="530"/>
      <c r="BDD105" s="531"/>
      <c r="BDE105" s="530"/>
      <c r="BDF105" s="531"/>
      <c r="BDG105" s="530"/>
      <c r="BDH105" s="531"/>
      <c r="BDI105" s="530"/>
      <c r="BDJ105" s="531"/>
      <c r="BDK105" s="530"/>
      <c r="BDL105" s="531"/>
      <c r="BDM105" s="530"/>
      <c r="BDN105" s="531"/>
      <c r="BDO105" s="530"/>
      <c r="BDP105" s="531"/>
      <c r="BDQ105" s="530"/>
      <c r="BDR105" s="531"/>
      <c r="BDS105" s="530"/>
      <c r="BDT105" s="531"/>
      <c r="BDU105" s="530"/>
      <c r="BDV105" s="531"/>
      <c r="BDW105" s="530"/>
      <c r="BDX105" s="531"/>
      <c r="BDY105" s="530"/>
      <c r="BDZ105" s="531"/>
      <c r="BEA105" s="530"/>
      <c r="BEB105" s="531"/>
      <c r="BEC105" s="530"/>
      <c r="BED105" s="531"/>
      <c r="BEE105" s="530"/>
      <c r="BEF105" s="531"/>
      <c r="BEG105" s="530"/>
      <c r="BEH105" s="531"/>
      <c r="BEI105" s="530"/>
      <c r="BEJ105" s="531"/>
      <c r="BEK105" s="530"/>
      <c r="BEL105" s="531"/>
      <c r="BEM105" s="530"/>
      <c r="BEN105" s="531"/>
      <c r="BEO105" s="530"/>
      <c r="BEP105" s="531"/>
      <c r="BEQ105" s="530"/>
      <c r="BER105" s="531"/>
      <c r="BES105" s="530"/>
      <c r="BET105" s="531"/>
      <c r="BEU105" s="530"/>
      <c r="BEV105" s="531"/>
      <c r="BEW105" s="530"/>
      <c r="BEX105" s="531"/>
      <c r="BEY105" s="530"/>
      <c r="BEZ105" s="531"/>
      <c r="BFA105" s="530"/>
      <c r="BFB105" s="531"/>
      <c r="BFC105" s="530"/>
      <c r="BFD105" s="531"/>
      <c r="BFE105" s="530"/>
      <c r="BFF105" s="531"/>
      <c r="BFG105" s="530"/>
      <c r="BFH105" s="531"/>
      <c r="BFI105" s="530"/>
      <c r="BFJ105" s="531"/>
      <c r="BFK105" s="530"/>
      <c r="BFL105" s="531"/>
      <c r="BFM105" s="530"/>
      <c r="BFN105" s="531"/>
      <c r="BFO105" s="530"/>
      <c r="BFP105" s="531"/>
      <c r="BFQ105" s="530"/>
      <c r="BFR105" s="531"/>
      <c r="BFS105" s="530"/>
      <c r="BFT105" s="531"/>
      <c r="BFU105" s="530"/>
      <c r="BFV105" s="531"/>
      <c r="BFW105" s="530"/>
      <c r="BFX105" s="531"/>
      <c r="BFY105" s="530"/>
      <c r="BFZ105" s="531"/>
      <c r="BGA105" s="530"/>
      <c r="BGB105" s="531"/>
      <c r="BGC105" s="530"/>
      <c r="BGD105" s="531"/>
      <c r="BGE105" s="530"/>
      <c r="BGF105" s="531"/>
      <c r="BGG105" s="530"/>
      <c r="BGH105" s="531"/>
      <c r="BGI105" s="530"/>
      <c r="BGJ105" s="531"/>
      <c r="BGK105" s="530"/>
      <c r="BGL105" s="531"/>
      <c r="BGM105" s="530"/>
      <c r="BGN105" s="531"/>
      <c r="BGO105" s="530"/>
      <c r="BGP105" s="531"/>
      <c r="BGQ105" s="530"/>
      <c r="BGR105" s="531"/>
      <c r="BGS105" s="530"/>
      <c r="BGT105" s="531"/>
      <c r="BGU105" s="530"/>
      <c r="BGV105" s="531"/>
      <c r="BGW105" s="530"/>
      <c r="BGX105" s="531"/>
      <c r="BGY105" s="530"/>
      <c r="BGZ105" s="531"/>
      <c r="BHA105" s="530"/>
      <c r="BHB105" s="531"/>
      <c r="BHC105" s="530"/>
      <c r="BHD105" s="531"/>
      <c r="BHE105" s="530"/>
      <c r="BHF105" s="531"/>
      <c r="BHG105" s="530"/>
      <c r="BHH105" s="531"/>
      <c r="BHI105" s="530"/>
      <c r="BHJ105" s="531"/>
      <c r="BHK105" s="530"/>
      <c r="BHL105" s="531"/>
      <c r="BHM105" s="530"/>
      <c r="BHN105" s="531"/>
      <c r="BHO105" s="530"/>
      <c r="BHP105" s="531"/>
      <c r="BHQ105" s="530"/>
      <c r="BHR105" s="531"/>
      <c r="BHS105" s="530"/>
      <c r="BHT105" s="531"/>
      <c r="BHU105" s="530"/>
      <c r="BHV105" s="531"/>
      <c r="BHW105" s="530"/>
      <c r="BHX105" s="531"/>
      <c r="BHY105" s="530"/>
      <c r="BHZ105" s="531"/>
      <c r="BIA105" s="530"/>
      <c r="BIB105" s="531"/>
      <c r="BIC105" s="530"/>
      <c r="BID105" s="531"/>
      <c r="BIE105" s="530"/>
      <c r="BIF105" s="531"/>
      <c r="BIG105" s="530"/>
      <c r="BIH105" s="531"/>
      <c r="BII105" s="530"/>
      <c r="BIJ105" s="531"/>
      <c r="BIK105" s="530"/>
      <c r="BIL105" s="531"/>
      <c r="BIM105" s="530"/>
      <c r="BIN105" s="531"/>
      <c r="BIO105" s="530"/>
      <c r="BIP105" s="531"/>
      <c r="BIQ105" s="530"/>
      <c r="BIR105" s="531"/>
      <c r="BIS105" s="530"/>
      <c r="BIT105" s="531"/>
      <c r="BIU105" s="530"/>
      <c r="BIV105" s="531"/>
      <c r="BIW105" s="530"/>
      <c r="BIX105" s="531"/>
      <c r="BIY105" s="530"/>
      <c r="BIZ105" s="531"/>
      <c r="BJA105" s="530"/>
      <c r="BJB105" s="531"/>
      <c r="BJC105" s="530"/>
      <c r="BJD105" s="531"/>
      <c r="BJE105" s="530"/>
      <c r="BJF105" s="531"/>
      <c r="BJG105" s="530"/>
      <c r="BJH105" s="531"/>
      <c r="BJI105" s="530"/>
      <c r="BJJ105" s="531"/>
      <c r="BJK105" s="530"/>
      <c r="BJL105" s="531"/>
      <c r="BJM105" s="530"/>
      <c r="BJN105" s="531"/>
      <c r="BJO105" s="530"/>
      <c r="BJP105" s="531"/>
      <c r="BJQ105" s="530"/>
      <c r="BJR105" s="531"/>
      <c r="BJS105" s="530"/>
      <c r="BJT105" s="531"/>
      <c r="BJU105" s="530"/>
      <c r="BJV105" s="531"/>
      <c r="BJW105" s="530"/>
      <c r="BJX105" s="531"/>
      <c r="BJY105" s="530"/>
      <c r="BJZ105" s="531"/>
      <c r="BKA105" s="530"/>
      <c r="BKB105" s="531"/>
      <c r="BKC105" s="530"/>
      <c r="BKD105" s="531"/>
      <c r="BKE105" s="530"/>
      <c r="BKF105" s="531"/>
      <c r="BKG105" s="530"/>
      <c r="BKH105" s="531"/>
      <c r="BKI105" s="530"/>
      <c r="BKJ105" s="531"/>
      <c r="BKK105" s="530"/>
      <c r="BKL105" s="531"/>
      <c r="BKM105" s="530"/>
      <c r="BKN105" s="531"/>
      <c r="BKO105" s="530"/>
      <c r="BKP105" s="531"/>
      <c r="BKQ105" s="530"/>
      <c r="BKR105" s="531"/>
      <c r="BKS105" s="530"/>
      <c r="BKT105" s="531"/>
      <c r="BKU105" s="530"/>
      <c r="BKV105" s="531"/>
      <c r="BKW105" s="530"/>
      <c r="BKX105" s="531"/>
      <c r="BKY105" s="530"/>
      <c r="BKZ105" s="531"/>
      <c r="BLA105" s="530"/>
      <c r="BLB105" s="531"/>
      <c r="BLC105" s="530"/>
      <c r="BLD105" s="531"/>
      <c r="BLE105" s="530"/>
      <c r="BLF105" s="531"/>
      <c r="BLG105" s="530"/>
      <c r="BLH105" s="531"/>
      <c r="BLI105" s="530"/>
      <c r="BLJ105" s="531"/>
      <c r="BLK105" s="530"/>
      <c r="BLL105" s="531"/>
      <c r="BLM105" s="530"/>
      <c r="BLN105" s="531"/>
      <c r="BLO105" s="530"/>
      <c r="BLP105" s="531"/>
      <c r="BLQ105" s="530"/>
      <c r="BLR105" s="531"/>
      <c r="BLS105" s="530"/>
      <c r="BLT105" s="531"/>
      <c r="BLU105" s="530"/>
      <c r="BLV105" s="531"/>
      <c r="BLW105" s="530"/>
      <c r="BLX105" s="531"/>
      <c r="BLY105" s="530"/>
      <c r="BLZ105" s="531"/>
      <c r="BMA105" s="530"/>
      <c r="BMB105" s="531"/>
      <c r="BMC105" s="530"/>
      <c r="BMD105" s="531"/>
      <c r="BME105" s="530"/>
      <c r="BMF105" s="531"/>
      <c r="BMG105" s="530"/>
      <c r="BMH105" s="531"/>
      <c r="BMI105" s="530"/>
      <c r="BMJ105" s="531"/>
      <c r="BMK105" s="530"/>
      <c r="BML105" s="531"/>
      <c r="BMM105" s="530"/>
      <c r="BMN105" s="531"/>
      <c r="BMO105" s="530"/>
      <c r="BMP105" s="531"/>
      <c r="BMQ105" s="530"/>
      <c r="BMR105" s="531"/>
      <c r="BMS105" s="530"/>
      <c r="BMT105" s="531"/>
      <c r="BMU105" s="530"/>
      <c r="BMV105" s="531"/>
      <c r="BMW105" s="530"/>
      <c r="BMX105" s="531"/>
      <c r="BMY105" s="530"/>
      <c r="BMZ105" s="531"/>
      <c r="BNA105" s="530"/>
      <c r="BNB105" s="531"/>
      <c r="BNC105" s="530"/>
      <c r="BND105" s="531"/>
      <c r="BNE105" s="530"/>
      <c r="BNF105" s="531"/>
      <c r="BNG105" s="530"/>
      <c r="BNH105" s="531"/>
      <c r="BNI105" s="530"/>
      <c r="BNJ105" s="531"/>
      <c r="BNK105" s="530"/>
      <c r="BNL105" s="531"/>
      <c r="BNM105" s="530"/>
      <c r="BNN105" s="531"/>
      <c r="BNO105" s="530"/>
      <c r="BNP105" s="531"/>
      <c r="BNQ105" s="530"/>
      <c r="BNR105" s="531"/>
      <c r="BNS105" s="530"/>
      <c r="BNT105" s="531"/>
      <c r="BNU105" s="530"/>
      <c r="BNV105" s="531"/>
      <c r="BNW105" s="530"/>
      <c r="BNX105" s="531"/>
      <c r="BNY105" s="530"/>
      <c r="BNZ105" s="531"/>
      <c r="BOA105" s="530"/>
      <c r="BOB105" s="531"/>
      <c r="BOC105" s="530"/>
      <c r="BOD105" s="531"/>
      <c r="BOE105" s="530"/>
      <c r="BOF105" s="531"/>
      <c r="BOG105" s="530"/>
      <c r="BOH105" s="531"/>
      <c r="BOI105" s="530"/>
      <c r="BOJ105" s="531"/>
      <c r="BOK105" s="530"/>
      <c r="BOL105" s="531"/>
      <c r="BOM105" s="530"/>
      <c r="BON105" s="531"/>
      <c r="BOO105" s="530"/>
      <c r="BOP105" s="531"/>
      <c r="BOQ105" s="530"/>
      <c r="BOR105" s="531"/>
      <c r="BOS105" s="530"/>
      <c r="BOT105" s="531"/>
      <c r="BOU105" s="530"/>
      <c r="BOV105" s="531"/>
      <c r="BOW105" s="530"/>
      <c r="BOX105" s="531"/>
      <c r="BOY105" s="530"/>
      <c r="BOZ105" s="531"/>
      <c r="BPA105" s="530"/>
      <c r="BPB105" s="531"/>
      <c r="BPC105" s="530"/>
      <c r="BPD105" s="531"/>
      <c r="BPE105" s="530"/>
      <c r="BPF105" s="531"/>
      <c r="BPG105" s="530"/>
      <c r="BPH105" s="531"/>
      <c r="BPI105" s="530"/>
      <c r="BPJ105" s="531"/>
      <c r="BPK105" s="530"/>
      <c r="BPL105" s="531"/>
      <c r="BPM105" s="530"/>
      <c r="BPN105" s="531"/>
      <c r="BPO105" s="530"/>
      <c r="BPP105" s="531"/>
      <c r="BPQ105" s="530"/>
      <c r="BPR105" s="531"/>
      <c r="BPS105" s="530"/>
      <c r="BPT105" s="531"/>
      <c r="BPU105" s="530"/>
      <c r="BPV105" s="531"/>
      <c r="BPW105" s="530"/>
      <c r="BPX105" s="531"/>
      <c r="BPY105" s="530"/>
      <c r="BPZ105" s="531"/>
      <c r="BQA105" s="530"/>
      <c r="BQB105" s="531"/>
      <c r="BQC105" s="530"/>
      <c r="BQD105" s="531"/>
      <c r="BQE105" s="530"/>
      <c r="BQF105" s="531"/>
      <c r="BQG105" s="530"/>
      <c r="BQH105" s="531"/>
      <c r="BQI105" s="530"/>
      <c r="BQJ105" s="531"/>
      <c r="BQK105" s="530"/>
      <c r="BQL105" s="531"/>
      <c r="BQM105" s="530"/>
      <c r="BQN105" s="531"/>
      <c r="BQO105" s="530"/>
      <c r="BQP105" s="531"/>
      <c r="BQQ105" s="530"/>
      <c r="BQR105" s="531"/>
      <c r="BQS105" s="530"/>
      <c r="BQT105" s="531"/>
      <c r="BQU105" s="530"/>
      <c r="BQV105" s="531"/>
      <c r="BQW105" s="530"/>
      <c r="BQX105" s="531"/>
      <c r="BQY105" s="530"/>
      <c r="BQZ105" s="531"/>
      <c r="BRA105" s="530"/>
      <c r="BRB105" s="531"/>
      <c r="BRC105" s="530"/>
      <c r="BRD105" s="531"/>
      <c r="BRE105" s="530"/>
      <c r="BRF105" s="531"/>
      <c r="BRG105" s="530"/>
      <c r="BRH105" s="531"/>
      <c r="BRI105" s="530"/>
      <c r="BRJ105" s="531"/>
      <c r="BRK105" s="530"/>
      <c r="BRL105" s="531"/>
      <c r="BRM105" s="530"/>
      <c r="BRN105" s="531"/>
      <c r="BRO105" s="530"/>
      <c r="BRP105" s="531"/>
      <c r="BRQ105" s="530"/>
      <c r="BRR105" s="531"/>
      <c r="BRS105" s="530"/>
      <c r="BRT105" s="531"/>
      <c r="BRU105" s="530"/>
      <c r="BRV105" s="531"/>
      <c r="BRW105" s="530"/>
      <c r="BRX105" s="531"/>
      <c r="BRY105" s="530"/>
      <c r="BRZ105" s="531"/>
      <c r="BSA105" s="530"/>
      <c r="BSB105" s="531"/>
      <c r="BSC105" s="530"/>
      <c r="BSD105" s="531"/>
      <c r="BSE105" s="530"/>
      <c r="BSF105" s="531"/>
      <c r="BSG105" s="530"/>
      <c r="BSH105" s="531"/>
      <c r="BSI105" s="530"/>
      <c r="BSJ105" s="531"/>
      <c r="BSK105" s="530"/>
      <c r="BSL105" s="531"/>
      <c r="BSM105" s="530"/>
      <c r="BSN105" s="531"/>
      <c r="BSO105" s="530"/>
      <c r="BSP105" s="531"/>
      <c r="BSQ105" s="530"/>
      <c r="BSR105" s="531"/>
      <c r="BSS105" s="530"/>
      <c r="BST105" s="531"/>
      <c r="BSU105" s="530"/>
      <c r="BSV105" s="531"/>
      <c r="BSW105" s="530"/>
      <c r="BSX105" s="531"/>
      <c r="BSY105" s="530"/>
      <c r="BSZ105" s="531"/>
      <c r="BTA105" s="530"/>
      <c r="BTB105" s="531"/>
      <c r="BTC105" s="530"/>
      <c r="BTD105" s="531"/>
      <c r="BTE105" s="530"/>
      <c r="BTF105" s="531"/>
      <c r="BTG105" s="530"/>
      <c r="BTH105" s="531"/>
      <c r="BTI105" s="530"/>
      <c r="BTJ105" s="531"/>
      <c r="BTK105" s="530"/>
      <c r="BTL105" s="531"/>
      <c r="BTM105" s="530"/>
      <c r="BTN105" s="531"/>
      <c r="BTO105" s="530"/>
      <c r="BTP105" s="531"/>
      <c r="BTQ105" s="530"/>
      <c r="BTR105" s="531"/>
      <c r="BTS105" s="530"/>
      <c r="BTT105" s="531"/>
      <c r="BTU105" s="530"/>
      <c r="BTV105" s="531"/>
      <c r="BTW105" s="530"/>
      <c r="BTX105" s="531"/>
      <c r="BTY105" s="530"/>
      <c r="BTZ105" s="531"/>
      <c r="BUA105" s="530"/>
      <c r="BUB105" s="531"/>
      <c r="BUC105" s="530"/>
      <c r="BUD105" s="531"/>
      <c r="BUE105" s="530"/>
      <c r="BUF105" s="531"/>
      <c r="BUG105" s="530"/>
      <c r="BUH105" s="531"/>
      <c r="BUI105" s="530"/>
      <c r="BUJ105" s="531"/>
      <c r="BUK105" s="530"/>
      <c r="BUL105" s="531"/>
      <c r="BUM105" s="530"/>
      <c r="BUN105" s="531"/>
      <c r="BUO105" s="530"/>
      <c r="BUP105" s="531"/>
      <c r="BUQ105" s="530"/>
      <c r="BUR105" s="531"/>
      <c r="BUS105" s="530"/>
      <c r="BUT105" s="531"/>
      <c r="BUU105" s="530"/>
      <c r="BUV105" s="531"/>
      <c r="BUW105" s="530"/>
      <c r="BUX105" s="531"/>
      <c r="BUY105" s="530"/>
      <c r="BUZ105" s="531"/>
      <c r="BVA105" s="530"/>
      <c r="BVB105" s="531"/>
      <c r="BVC105" s="530"/>
      <c r="BVD105" s="531"/>
      <c r="BVE105" s="530"/>
      <c r="BVF105" s="531"/>
      <c r="BVG105" s="530"/>
      <c r="BVH105" s="531"/>
      <c r="BVI105" s="530"/>
      <c r="BVJ105" s="531"/>
      <c r="BVK105" s="530"/>
      <c r="BVL105" s="531"/>
      <c r="BVM105" s="530"/>
      <c r="BVN105" s="531"/>
      <c r="BVO105" s="530"/>
      <c r="BVP105" s="531"/>
      <c r="BVQ105" s="530"/>
      <c r="BVR105" s="531"/>
      <c r="BVS105" s="530"/>
      <c r="BVT105" s="531"/>
      <c r="BVU105" s="530"/>
      <c r="BVV105" s="531"/>
      <c r="BVW105" s="530"/>
      <c r="BVX105" s="531"/>
      <c r="BVY105" s="530"/>
      <c r="BVZ105" s="531"/>
      <c r="BWA105" s="530"/>
      <c r="BWB105" s="531"/>
      <c r="BWC105" s="530"/>
      <c r="BWD105" s="531"/>
      <c r="BWE105" s="530"/>
      <c r="BWF105" s="531"/>
      <c r="BWG105" s="530"/>
      <c r="BWH105" s="531"/>
      <c r="BWI105" s="530"/>
      <c r="BWJ105" s="531"/>
      <c r="BWK105" s="530"/>
      <c r="BWL105" s="531"/>
      <c r="BWM105" s="530"/>
      <c r="BWN105" s="531"/>
      <c r="BWO105" s="530"/>
      <c r="BWP105" s="531"/>
      <c r="BWQ105" s="530"/>
      <c r="BWR105" s="531"/>
      <c r="BWS105" s="530"/>
      <c r="BWT105" s="531"/>
      <c r="BWU105" s="530"/>
      <c r="BWV105" s="531"/>
      <c r="BWW105" s="530"/>
      <c r="BWX105" s="531"/>
      <c r="BWY105" s="530"/>
      <c r="BWZ105" s="531"/>
      <c r="BXA105" s="530"/>
      <c r="BXB105" s="531"/>
      <c r="BXC105" s="530"/>
      <c r="BXD105" s="531"/>
      <c r="BXE105" s="530"/>
      <c r="BXF105" s="531"/>
      <c r="BXG105" s="530"/>
      <c r="BXH105" s="531"/>
      <c r="BXI105" s="530"/>
      <c r="BXJ105" s="531"/>
      <c r="BXK105" s="530"/>
      <c r="BXL105" s="531"/>
      <c r="BXM105" s="530"/>
      <c r="BXN105" s="531"/>
      <c r="BXO105" s="530"/>
      <c r="BXP105" s="531"/>
      <c r="BXQ105" s="530"/>
      <c r="BXR105" s="531"/>
      <c r="BXS105" s="530"/>
      <c r="BXT105" s="531"/>
      <c r="BXU105" s="530"/>
      <c r="BXV105" s="531"/>
      <c r="BXW105" s="530"/>
      <c r="BXX105" s="531"/>
      <c r="BXY105" s="530"/>
      <c r="BXZ105" s="531"/>
      <c r="BYA105" s="530"/>
      <c r="BYB105" s="531"/>
      <c r="BYC105" s="530"/>
      <c r="BYD105" s="531"/>
      <c r="BYE105" s="530"/>
      <c r="BYF105" s="531"/>
      <c r="BYG105" s="530"/>
      <c r="BYH105" s="531"/>
      <c r="BYI105" s="530"/>
      <c r="BYJ105" s="531"/>
      <c r="BYK105" s="530"/>
      <c r="BYL105" s="531"/>
      <c r="BYM105" s="530"/>
      <c r="BYN105" s="531"/>
      <c r="BYO105" s="530"/>
      <c r="BYP105" s="531"/>
      <c r="BYQ105" s="530"/>
      <c r="BYR105" s="531"/>
      <c r="BYS105" s="530"/>
      <c r="BYT105" s="531"/>
      <c r="BYU105" s="530"/>
      <c r="BYV105" s="531"/>
      <c r="BYW105" s="530"/>
      <c r="BYX105" s="531"/>
      <c r="BYY105" s="530"/>
      <c r="BYZ105" s="531"/>
      <c r="BZA105" s="530"/>
      <c r="BZB105" s="531"/>
      <c r="BZC105" s="530"/>
      <c r="BZD105" s="531"/>
      <c r="BZE105" s="530"/>
      <c r="BZF105" s="531"/>
      <c r="BZG105" s="530"/>
      <c r="BZH105" s="531"/>
      <c r="BZI105" s="530"/>
      <c r="BZJ105" s="531"/>
      <c r="BZK105" s="530"/>
      <c r="BZL105" s="531"/>
      <c r="BZM105" s="530"/>
      <c r="BZN105" s="531"/>
      <c r="BZO105" s="530"/>
      <c r="BZP105" s="531"/>
      <c r="BZQ105" s="530"/>
      <c r="BZR105" s="531"/>
      <c r="BZS105" s="530"/>
      <c r="BZT105" s="531"/>
      <c r="BZU105" s="530"/>
      <c r="BZV105" s="531"/>
      <c r="BZW105" s="530"/>
      <c r="BZX105" s="531"/>
      <c r="BZY105" s="530"/>
      <c r="BZZ105" s="531"/>
      <c r="CAA105" s="530"/>
      <c r="CAB105" s="531"/>
      <c r="CAC105" s="530"/>
      <c r="CAD105" s="531"/>
      <c r="CAE105" s="530"/>
      <c r="CAF105" s="531"/>
      <c r="CAG105" s="530"/>
      <c r="CAH105" s="531"/>
      <c r="CAI105" s="530"/>
      <c r="CAJ105" s="531"/>
      <c r="CAK105" s="530"/>
      <c r="CAL105" s="531"/>
      <c r="CAM105" s="530"/>
      <c r="CAN105" s="531"/>
      <c r="CAO105" s="530"/>
      <c r="CAP105" s="531"/>
      <c r="CAQ105" s="530"/>
      <c r="CAR105" s="531"/>
      <c r="CAS105" s="530"/>
      <c r="CAT105" s="531"/>
      <c r="CAU105" s="530"/>
      <c r="CAV105" s="531"/>
      <c r="CAW105" s="530"/>
      <c r="CAX105" s="531"/>
      <c r="CAY105" s="530"/>
      <c r="CAZ105" s="531"/>
      <c r="CBA105" s="530"/>
      <c r="CBB105" s="531"/>
      <c r="CBC105" s="530"/>
      <c r="CBD105" s="531"/>
      <c r="CBE105" s="530"/>
      <c r="CBF105" s="531"/>
      <c r="CBG105" s="530"/>
      <c r="CBH105" s="531"/>
      <c r="CBI105" s="530"/>
      <c r="CBJ105" s="531"/>
      <c r="CBK105" s="530"/>
      <c r="CBL105" s="531"/>
      <c r="CBM105" s="530"/>
      <c r="CBN105" s="531"/>
      <c r="CBO105" s="530"/>
      <c r="CBP105" s="531"/>
      <c r="CBQ105" s="530"/>
      <c r="CBR105" s="531"/>
      <c r="CBS105" s="530"/>
      <c r="CBT105" s="531"/>
      <c r="CBU105" s="530"/>
      <c r="CBV105" s="531"/>
      <c r="CBW105" s="530"/>
      <c r="CBX105" s="531"/>
      <c r="CBY105" s="530"/>
      <c r="CBZ105" s="531"/>
      <c r="CCA105" s="530"/>
      <c r="CCB105" s="531"/>
      <c r="CCC105" s="530"/>
      <c r="CCD105" s="531"/>
      <c r="CCE105" s="530"/>
      <c r="CCF105" s="531"/>
      <c r="CCG105" s="530"/>
      <c r="CCH105" s="531"/>
      <c r="CCI105" s="530"/>
      <c r="CCJ105" s="531"/>
      <c r="CCK105" s="530"/>
      <c r="CCL105" s="531"/>
      <c r="CCM105" s="530"/>
      <c r="CCN105" s="531"/>
      <c r="CCO105" s="530"/>
      <c r="CCP105" s="531"/>
      <c r="CCQ105" s="530"/>
      <c r="CCR105" s="531"/>
      <c r="CCS105" s="530"/>
      <c r="CCT105" s="531"/>
      <c r="CCU105" s="530"/>
      <c r="CCV105" s="531"/>
      <c r="CCW105" s="530"/>
      <c r="CCX105" s="531"/>
      <c r="CCY105" s="530"/>
      <c r="CCZ105" s="531"/>
      <c r="CDA105" s="530"/>
      <c r="CDB105" s="531"/>
      <c r="CDC105" s="530"/>
      <c r="CDD105" s="531"/>
      <c r="CDE105" s="530"/>
      <c r="CDF105" s="531"/>
      <c r="CDG105" s="530"/>
      <c r="CDH105" s="531"/>
      <c r="CDI105" s="530"/>
      <c r="CDJ105" s="531"/>
      <c r="CDK105" s="530"/>
      <c r="CDL105" s="531"/>
      <c r="CDM105" s="530"/>
      <c r="CDN105" s="531"/>
      <c r="CDO105" s="530"/>
      <c r="CDP105" s="531"/>
      <c r="CDQ105" s="530"/>
      <c r="CDR105" s="531"/>
      <c r="CDS105" s="530"/>
      <c r="CDT105" s="531"/>
      <c r="CDU105" s="530"/>
      <c r="CDV105" s="531"/>
      <c r="CDW105" s="530"/>
      <c r="CDX105" s="531"/>
      <c r="CDY105" s="530"/>
      <c r="CDZ105" s="531"/>
      <c r="CEA105" s="530"/>
      <c r="CEB105" s="531"/>
      <c r="CEC105" s="530"/>
      <c r="CED105" s="531"/>
      <c r="CEE105" s="530"/>
      <c r="CEF105" s="531"/>
      <c r="CEG105" s="530"/>
      <c r="CEH105" s="531"/>
      <c r="CEI105" s="530"/>
      <c r="CEJ105" s="531"/>
      <c r="CEK105" s="530"/>
      <c r="CEL105" s="531"/>
      <c r="CEM105" s="530"/>
      <c r="CEN105" s="531"/>
      <c r="CEO105" s="530"/>
      <c r="CEP105" s="531"/>
      <c r="CEQ105" s="530"/>
      <c r="CER105" s="531"/>
      <c r="CES105" s="530"/>
      <c r="CET105" s="531"/>
      <c r="CEU105" s="530"/>
      <c r="CEV105" s="531"/>
      <c r="CEW105" s="530"/>
      <c r="CEX105" s="531"/>
      <c r="CEY105" s="530"/>
      <c r="CEZ105" s="531"/>
      <c r="CFA105" s="530"/>
      <c r="CFB105" s="531"/>
      <c r="CFC105" s="530"/>
      <c r="CFD105" s="531"/>
      <c r="CFE105" s="530"/>
      <c r="CFF105" s="531"/>
      <c r="CFG105" s="530"/>
      <c r="CFH105" s="531"/>
      <c r="CFI105" s="530"/>
      <c r="CFJ105" s="531"/>
      <c r="CFK105" s="530"/>
      <c r="CFL105" s="531"/>
      <c r="CFM105" s="530"/>
      <c r="CFN105" s="531"/>
      <c r="CFO105" s="530"/>
      <c r="CFP105" s="531"/>
      <c r="CFQ105" s="530"/>
      <c r="CFR105" s="531"/>
      <c r="CFS105" s="530"/>
      <c r="CFT105" s="531"/>
      <c r="CFU105" s="530"/>
      <c r="CFV105" s="531"/>
      <c r="CFW105" s="530"/>
      <c r="CFX105" s="531"/>
      <c r="CFY105" s="530"/>
      <c r="CFZ105" s="531"/>
      <c r="CGA105" s="530"/>
      <c r="CGB105" s="531"/>
      <c r="CGC105" s="530"/>
      <c r="CGD105" s="531"/>
      <c r="CGE105" s="530"/>
      <c r="CGF105" s="531"/>
      <c r="CGG105" s="530"/>
      <c r="CGH105" s="531"/>
      <c r="CGI105" s="530"/>
      <c r="CGJ105" s="531"/>
      <c r="CGK105" s="530"/>
      <c r="CGL105" s="531"/>
      <c r="CGM105" s="530"/>
      <c r="CGN105" s="531"/>
      <c r="CGO105" s="530"/>
      <c r="CGP105" s="531"/>
      <c r="CGQ105" s="530"/>
      <c r="CGR105" s="531"/>
      <c r="CGS105" s="530"/>
      <c r="CGT105" s="531"/>
      <c r="CGU105" s="530"/>
      <c r="CGV105" s="531"/>
      <c r="CGW105" s="530"/>
      <c r="CGX105" s="531"/>
      <c r="CGY105" s="530"/>
      <c r="CGZ105" s="531"/>
      <c r="CHA105" s="530"/>
      <c r="CHB105" s="531"/>
      <c r="CHC105" s="530"/>
      <c r="CHD105" s="531"/>
      <c r="CHE105" s="530"/>
      <c r="CHF105" s="531"/>
      <c r="CHG105" s="530"/>
      <c r="CHH105" s="531"/>
      <c r="CHI105" s="530"/>
      <c r="CHJ105" s="531"/>
      <c r="CHK105" s="530"/>
      <c r="CHL105" s="531"/>
      <c r="CHM105" s="530"/>
      <c r="CHN105" s="531"/>
      <c r="CHO105" s="530"/>
      <c r="CHP105" s="531"/>
      <c r="CHQ105" s="530"/>
      <c r="CHR105" s="531"/>
      <c r="CHS105" s="530"/>
      <c r="CHT105" s="531"/>
      <c r="CHU105" s="530"/>
      <c r="CHV105" s="531"/>
      <c r="CHW105" s="530"/>
      <c r="CHX105" s="531"/>
      <c r="CHY105" s="530"/>
      <c r="CHZ105" s="531"/>
      <c r="CIA105" s="530"/>
      <c r="CIB105" s="531"/>
      <c r="CIC105" s="530"/>
      <c r="CID105" s="531"/>
      <c r="CIE105" s="530"/>
      <c r="CIF105" s="531"/>
      <c r="CIG105" s="530"/>
      <c r="CIH105" s="531"/>
      <c r="CII105" s="530"/>
      <c r="CIJ105" s="531"/>
      <c r="CIK105" s="530"/>
      <c r="CIL105" s="531"/>
      <c r="CIM105" s="530"/>
      <c r="CIN105" s="531"/>
      <c r="CIO105" s="530"/>
      <c r="CIP105" s="531"/>
      <c r="CIQ105" s="530"/>
      <c r="CIR105" s="531"/>
      <c r="CIS105" s="530"/>
      <c r="CIT105" s="531"/>
      <c r="CIU105" s="530"/>
      <c r="CIV105" s="531"/>
      <c r="CIW105" s="530"/>
      <c r="CIX105" s="531"/>
      <c r="CIY105" s="530"/>
      <c r="CIZ105" s="531"/>
      <c r="CJA105" s="530"/>
      <c r="CJB105" s="531"/>
      <c r="CJC105" s="530"/>
      <c r="CJD105" s="531"/>
      <c r="CJE105" s="530"/>
      <c r="CJF105" s="531"/>
      <c r="CJG105" s="530"/>
      <c r="CJH105" s="531"/>
      <c r="CJI105" s="530"/>
      <c r="CJJ105" s="531"/>
      <c r="CJK105" s="530"/>
      <c r="CJL105" s="531"/>
      <c r="CJM105" s="530"/>
      <c r="CJN105" s="531"/>
      <c r="CJO105" s="530"/>
      <c r="CJP105" s="531"/>
      <c r="CJQ105" s="530"/>
      <c r="CJR105" s="531"/>
      <c r="CJS105" s="530"/>
      <c r="CJT105" s="531"/>
      <c r="CJU105" s="530"/>
      <c r="CJV105" s="531"/>
      <c r="CJW105" s="530"/>
      <c r="CJX105" s="531"/>
      <c r="CJY105" s="530"/>
      <c r="CJZ105" s="531"/>
      <c r="CKA105" s="530"/>
      <c r="CKB105" s="531"/>
      <c r="CKC105" s="530"/>
      <c r="CKD105" s="531"/>
      <c r="CKE105" s="530"/>
      <c r="CKF105" s="531"/>
      <c r="CKG105" s="530"/>
      <c r="CKH105" s="531"/>
      <c r="CKI105" s="530"/>
      <c r="CKJ105" s="531"/>
      <c r="CKK105" s="530"/>
      <c r="CKL105" s="531"/>
      <c r="CKM105" s="530"/>
      <c r="CKN105" s="531"/>
      <c r="CKO105" s="530"/>
      <c r="CKP105" s="531"/>
      <c r="CKQ105" s="530"/>
      <c r="CKR105" s="531"/>
      <c r="CKS105" s="530"/>
      <c r="CKT105" s="531"/>
      <c r="CKU105" s="530"/>
      <c r="CKV105" s="531"/>
      <c r="CKW105" s="530"/>
      <c r="CKX105" s="531"/>
      <c r="CKY105" s="530"/>
      <c r="CKZ105" s="531"/>
      <c r="CLA105" s="530"/>
      <c r="CLB105" s="531"/>
      <c r="CLC105" s="530"/>
      <c r="CLD105" s="531"/>
      <c r="CLE105" s="530"/>
      <c r="CLF105" s="531"/>
      <c r="CLG105" s="530"/>
      <c r="CLH105" s="531"/>
      <c r="CLI105" s="530"/>
      <c r="CLJ105" s="531"/>
      <c r="CLK105" s="530"/>
      <c r="CLL105" s="531"/>
      <c r="CLM105" s="530"/>
      <c r="CLN105" s="531"/>
      <c r="CLO105" s="530"/>
      <c r="CLP105" s="531"/>
      <c r="CLQ105" s="530"/>
      <c r="CLR105" s="531"/>
      <c r="CLS105" s="530"/>
      <c r="CLT105" s="531"/>
      <c r="CLU105" s="530"/>
      <c r="CLV105" s="531"/>
      <c r="CLW105" s="530"/>
      <c r="CLX105" s="531"/>
      <c r="CLY105" s="530"/>
      <c r="CLZ105" s="531"/>
      <c r="CMA105" s="530"/>
      <c r="CMB105" s="531"/>
      <c r="CMC105" s="530"/>
      <c r="CMD105" s="531"/>
      <c r="CME105" s="530"/>
      <c r="CMF105" s="531"/>
      <c r="CMG105" s="530"/>
      <c r="CMH105" s="531"/>
      <c r="CMI105" s="530"/>
      <c r="CMJ105" s="531"/>
      <c r="CMK105" s="530"/>
      <c r="CML105" s="531"/>
      <c r="CMM105" s="530"/>
      <c r="CMN105" s="531"/>
      <c r="CMO105" s="530"/>
      <c r="CMP105" s="531"/>
      <c r="CMQ105" s="530"/>
      <c r="CMR105" s="531"/>
      <c r="CMS105" s="530"/>
      <c r="CMT105" s="531"/>
      <c r="CMU105" s="530"/>
      <c r="CMV105" s="531"/>
      <c r="CMW105" s="530"/>
      <c r="CMX105" s="531"/>
      <c r="CMY105" s="530"/>
      <c r="CMZ105" s="531"/>
      <c r="CNA105" s="530"/>
      <c r="CNB105" s="531"/>
      <c r="CNC105" s="530"/>
      <c r="CND105" s="531"/>
      <c r="CNE105" s="530"/>
      <c r="CNF105" s="531"/>
      <c r="CNG105" s="530"/>
      <c r="CNH105" s="531"/>
      <c r="CNI105" s="530"/>
      <c r="CNJ105" s="531"/>
      <c r="CNK105" s="530"/>
      <c r="CNL105" s="531"/>
      <c r="CNM105" s="530"/>
      <c r="CNN105" s="531"/>
      <c r="CNO105" s="530"/>
      <c r="CNP105" s="531"/>
      <c r="CNQ105" s="530"/>
      <c r="CNR105" s="531"/>
      <c r="CNS105" s="530"/>
      <c r="CNT105" s="531"/>
      <c r="CNU105" s="530"/>
      <c r="CNV105" s="531"/>
      <c r="CNW105" s="530"/>
      <c r="CNX105" s="531"/>
      <c r="CNY105" s="530"/>
      <c r="CNZ105" s="531"/>
      <c r="COA105" s="530"/>
      <c r="COB105" s="531"/>
      <c r="COC105" s="530"/>
      <c r="COD105" s="531"/>
      <c r="COE105" s="530"/>
      <c r="COF105" s="531"/>
      <c r="COG105" s="530"/>
      <c r="COH105" s="531"/>
      <c r="COI105" s="530"/>
      <c r="COJ105" s="531"/>
      <c r="COK105" s="530"/>
      <c r="COL105" s="531"/>
      <c r="COM105" s="530"/>
      <c r="CON105" s="531"/>
      <c r="COO105" s="530"/>
      <c r="COP105" s="531"/>
      <c r="COQ105" s="530"/>
      <c r="COR105" s="531"/>
      <c r="COS105" s="530"/>
      <c r="COT105" s="531"/>
      <c r="COU105" s="530"/>
      <c r="COV105" s="531"/>
      <c r="COW105" s="530"/>
      <c r="COX105" s="531"/>
      <c r="COY105" s="530"/>
      <c r="COZ105" s="531"/>
      <c r="CPA105" s="530"/>
      <c r="CPB105" s="531"/>
      <c r="CPC105" s="530"/>
      <c r="CPD105" s="531"/>
      <c r="CPE105" s="530"/>
      <c r="CPF105" s="531"/>
      <c r="CPG105" s="530"/>
      <c r="CPH105" s="531"/>
      <c r="CPI105" s="530"/>
      <c r="CPJ105" s="531"/>
      <c r="CPK105" s="530"/>
      <c r="CPL105" s="531"/>
      <c r="CPM105" s="530"/>
      <c r="CPN105" s="531"/>
      <c r="CPO105" s="530"/>
      <c r="CPP105" s="531"/>
      <c r="CPQ105" s="530"/>
      <c r="CPR105" s="531"/>
      <c r="CPS105" s="530"/>
      <c r="CPT105" s="531"/>
      <c r="CPU105" s="530"/>
      <c r="CPV105" s="531"/>
      <c r="CPW105" s="530"/>
      <c r="CPX105" s="531"/>
      <c r="CPY105" s="530"/>
      <c r="CPZ105" s="531"/>
      <c r="CQA105" s="530"/>
      <c r="CQB105" s="531"/>
      <c r="CQC105" s="530"/>
      <c r="CQD105" s="531"/>
      <c r="CQE105" s="530"/>
      <c r="CQF105" s="531"/>
      <c r="CQG105" s="530"/>
      <c r="CQH105" s="531"/>
      <c r="CQI105" s="530"/>
      <c r="CQJ105" s="531"/>
      <c r="CQK105" s="530"/>
      <c r="CQL105" s="531"/>
      <c r="CQM105" s="530"/>
      <c r="CQN105" s="531"/>
      <c r="CQO105" s="530"/>
      <c r="CQP105" s="531"/>
      <c r="CQQ105" s="530"/>
      <c r="CQR105" s="531"/>
      <c r="CQS105" s="530"/>
      <c r="CQT105" s="531"/>
      <c r="CQU105" s="530"/>
      <c r="CQV105" s="531"/>
      <c r="CQW105" s="530"/>
      <c r="CQX105" s="531"/>
      <c r="CQY105" s="530"/>
      <c r="CQZ105" s="531"/>
      <c r="CRA105" s="530"/>
      <c r="CRB105" s="531"/>
      <c r="CRC105" s="530"/>
      <c r="CRD105" s="531"/>
      <c r="CRE105" s="530"/>
      <c r="CRF105" s="531"/>
      <c r="CRG105" s="530"/>
      <c r="CRH105" s="531"/>
      <c r="CRI105" s="530"/>
      <c r="CRJ105" s="531"/>
      <c r="CRK105" s="530"/>
      <c r="CRL105" s="531"/>
      <c r="CRM105" s="530"/>
      <c r="CRN105" s="531"/>
      <c r="CRO105" s="530"/>
      <c r="CRP105" s="531"/>
      <c r="CRQ105" s="530"/>
      <c r="CRR105" s="531"/>
      <c r="CRS105" s="530"/>
      <c r="CRT105" s="531"/>
      <c r="CRU105" s="530"/>
      <c r="CRV105" s="531"/>
      <c r="CRW105" s="530"/>
      <c r="CRX105" s="531"/>
      <c r="CRY105" s="530"/>
      <c r="CRZ105" s="531"/>
      <c r="CSA105" s="530"/>
      <c r="CSB105" s="531"/>
      <c r="CSC105" s="530"/>
      <c r="CSD105" s="531"/>
      <c r="CSE105" s="530"/>
      <c r="CSF105" s="531"/>
      <c r="CSG105" s="530"/>
      <c r="CSH105" s="531"/>
      <c r="CSI105" s="530"/>
      <c r="CSJ105" s="531"/>
      <c r="CSK105" s="530"/>
      <c r="CSL105" s="531"/>
      <c r="CSM105" s="530"/>
      <c r="CSN105" s="531"/>
      <c r="CSO105" s="530"/>
      <c r="CSP105" s="531"/>
      <c r="CSQ105" s="530"/>
      <c r="CSR105" s="531"/>
      <c r="CSS105" s="530"/>
      <c r="CST105" s="531"/>
      <c r="CSU105" s="530"/>
      <c r="CSV105" s="531"/>
      <c r="CSW105" s="530"/>
      <c r="CSX105" s="531"/>
      <c r="CSY105" s="530"/>
      <c r="CSZ105" s="531"/>
      <c r="CTA105" s="530"/>
      <c r="CTB105" s="531"/>
      <c r="CTC105" s="530"/>
      <c r="CTD105" s="531"/>
      <c r="CTE105" s="530"/>
      <c r="CTF105" s="531"/>
      <c r="CTG105" s="530"/>
      <c r="CTH105" s="531"/>
      <c r="CTI105" s="530"/>
      <c r="CTJ105" s="531"/>
      <c r="CTK105" s="530"/>
      <c r="CTL105" s="531"/>
      <c r="CTM105" s="530"/>
      <c r="CTN105" s="531"/>
      <c r="CTO105" s="530"/>
      <c r="CTP105" s="531"/>
      <c r="CTQ105" s="530"/>
      <c r="CTR105" s="531"/>
      <c r="CTS105" s="530"/>
      <c r="CTT105" s="531"/>
      <c r="CTU105" s="530"/>
      <c r="CTV105" s="531"/>
      <c r="CTW105" s="530"/>
      <c r="CTX105" s="531"/>
      <c r="CTY105" s="530"/>
      <c r="CTZ105" s="531"/>
      <c r="CUA105" s="530"/>
      <c r="CUB105" s="531"/>
      <c r="CUC105" s="530"/>
      <c r="CUD105" s="531"/>
      <c r="CUE105" s="530"/>
      <c r="CUF105" s="531"/>
      <c r="CUG105" s="530"/>
      <c r="CUH105" s="531"/>
      <c r="CUI105" s="530"/>
      <c r="CUJ105" s="531"/>
      <c r="CUK105" s="530"/>
      <c r="CUL105" s="531"/>
      <c r="CUM105" s="530"/>
      <c r="CUN105" s="531"/>
      <c r="CUO105" s="530"/>
      <c r="CUP105" s="531"/>
      <c r="CUQ105" s="530"/>
      <c r="CUR105" s="531"/>
      <c r="CUS105" s="530"/>
      <c r="CUT105" s="531"/>
      <c r="CUU105" s="530"/>
      <c r="CUV105" s="531"/>
      <c r="CUW105" s="530"/>
      <c r="CUX105" s="531"/>
      <c r="CUY105" s="530"/>
      <c r="CUZ105" s="531"/>
      <c r="CVA105" s="530"/>
      <c r="CVB105" s="531"/>
      <c r="CVC105" s="530"/>
      <c r="CVD105" s="531"/>
      <c r="CVE105" s="530"/>
      <c r="CVF105" s="531"/>
      <c r="CVG105" s="530"/>
      <c r="CVH105" s="531"/>
      <c r="CVI105" s="530"/>
      <c r="CVJ105" s="531"/>
      <c r="CVK105" s="530"/>
      <c r="CVL105" s="531"/>
      <c r="CVM105" s="530"/>
      <c r="CVN105" s="531"/>
      <c r="CVO105" s="530"/>
      <c r="CVP105" s="531"/>
      <c r="CVQ105" s="530"/>
      <c r="CVR105" s="531"/>
      <c r="CVS105" s="530"/>
      <c r="CVT105" s="531"/>
      <c r="CVU105" s="530"/>
      <c r="CVV105" s="531"/>
      <c r="CVW105" s="530"/>
      <c r="CVX105" s="531"/>
      <c r="CVY105" s="530"/>
      <c r="CVZ105" s="531"/>
      <c r="CWA105" s="530"/>
      <c r="CWB105" s="531"/>
      <c r="CWC105" s="530"/>
      <c r="CWD105" s="531"/>
      <c r="CWE105" s="530"/>
      <c r="CWF105" s="531"/>
      <c r="CWG105" s="530"/>
      <c r="CWH105" s="531"/>
      <c r="CWI105" s="530"/>
      <c r="CWJ105" s="531"/>
      <c r="CWK105" s="530"/>
      <c r="CWL105" s="531"/>
      <c r="CWM105" s="530"/>
      <c r="CWN105" s="531"/>
      <c r="CWO105" s="530"/>
      <c r="CWP105" s="531"/>
      <c r="CWQ105" s="530"/>
      <c r="CWR105" s="531"/>
      <c r="CWS105" s="530"/>
      <c r="CWT105" s="531"/>
      <c r="CWU105" s="530"/>
      <c r="CWV105" s="531"/>
      <c r="CWW105" s="530"/>
      <c r="CWX105" s="531"/>
      <c r="CWY105" s="530"/>
      <c r="CWZ105" s="531"/>
      <c r="CXA105" s="530"/>
      <c r="CXB105" s="531"/>
      <c r="CXC105" s="530"/>
      <c r="CXD105" s="531"/>
      <c r="CXE105" s="530"/>
      <c r="CXF105" s="531"/>
      <c r="CXG105" s="530"/>
      <c r="CXH105" s="531"/>
      <c r="CXI105" s="530"/>
      <c r="CXJ105" s="531"/>
      <c r="CXK105" s="530"/>
      <c r="CXL105" s="531"/>
      <c r="CXM105" s="530"/>
      <c r="CXN105" s="531"/>
      <c r="CXO105" s="530"/>
      <c r="CXP105" s="531"/>
      <c r="CXQ105" s="530"/>
      <c r="CXR105" s="531"/>
      <c r="CXS105" s="530"/>
      <c r="CXT105" s="531"/>
      <c r="CXU105" s="530"/>
      <c r="CXV105" s="531"/>
      <c r="CXW105" s="530"/>
      <c r="CXX105" s="531"/>
      <c r="CXY105" s="530"/>
      <c r="CXZ105" s="531"/>
      <c r="CYA105" s="530"/>
      <c r="CYB105" s="531"/>
      <c r="CYC105" s="530"/>
      <c r="CYD105" s="531"/>
      <c r="CYE105" s="530"/>
      <c r="CYF105" s="531"/>
      <c r="CYG105" s="530"/>
      <c r="CYH105" s="531"/>
      <c r="CYI105" s="530"/>
      <c r="CYJ105" s="531"/>
      <c r="CYK105" s="530"/>
      <c r="CYL105" s="531"/>
      <c r="CYM105" s="530"/>
      <c r="CYN105" s="531"/>
      <c r="CYO105" s="530"/>
      <c r="CYP105" s="531"/>
      <c r="CYQ105" s="530"/>
      <c r="CYR105" s="531"/>
      <c r="CYS105" s="530"/>
      <c r="CYT105" s="531"/>
      <c r="CYU105" s="530"/>
      <c r="CYV105" s="531"/>
      <c r="CYW105" s="530"/>
      <c r="CYX105" s="531"/>
      <c r="CYY105" s="530"/>
      <c r="CYZ105" s="531"/>
      <c r="CZA105" s="530"/>
      <c r="CZB105" s="531"/>
      <c r="CZC105" s="530"/>
      <c r="CZD105" s="531"/>
      <c r="CZE105" s="530"/>
      <c r="CZF105" s="531"/>
      <c r="CZG105" s="530"/>
      <c r="CZH105" s="531"/>
      <c r="CZI105" s="530"/>
      <c r="CZJ105" s="531"/>
      <c r="CZK105" s="530"/>
      <c r="CZL105" s="531"/>
      <c r="CZM105" s="530"/>
      <c r="CZN105" s="531"/>
      <c r="CZO105" s="530"/>
      <c r="CZP105" s="531"/>
      <c r="CZQ105" s="530"/>
      <c r="CZR105" s="531"/>
      <c r="CZS105" s="530"/>
      <c r="CZT105" s="531"/>
      <c r="CZU105" s="530"/>
      <c r="CZV105" s="531"/>
      <c r="CZW105" s="530"/>
      <c r="CZX105" s="531"/>
      <c r="CZY105" s="530"/>
      <c r="CZZ105" s="531"/>
      <c r="DAA105" s="530"/>
      <c r="DAB105" s="531"/>
      <c r="DAC105" s="530"/>
      <c r="DAD105" s="531"/>
      <c r="DAE105" s="530"/>
      <c r="DAF105" s="531"/>
      <c r="DAG105" s="530"/>
      <c r="DAH105" s="531"/>
      <c r="DAI105" s="530"/>
      <c r="DAJ105" s="531"/>
      <c r="DAK105" s="530"/>
      <c r="DAL105" s="531"/>
      <c r="DAM105" s="530"/>
      <c r="DAN105" s="531"/>
      <c r="DAO105" s="530"/>
      <c r="DAP105" s="531"/>
      <c r="DAQ105" s="530"/>
      <c r="DAR105" s="531"/>
      <c r="DAS105" s="530"/>
      <c r="DAT105" s="531"/>
      <c r="DAU105" s="530"/>
      <c r="DAV105" s="531"/>
      <c r="DAW105" s="530"/>
      <c r="DAX105" s="531"/>
      <c r="DAY105" s="530"/>
      <c r="DAZ105" s="531"/>
      <c r="DBA105" s="530"/>
      <c r="DBB105" s="531"/>
      <c r="DBC105" s="530"/>
      <c r="DBD105" s="531"/>
      <c r="DBE105" s="530"/>
      <c r="DBF105" s="531"/>
      <c r="DBG105" s="530"/>
      <c r="DBH105" s="531"/>
      <c r="DBI105" s="530"/>
      <c r="DBJ105" s="531"/>
      <c r="DBK105" s="530"/>
      <c r="DBL105" s="531"/>
      <c r="DBM105" s="530"/>
      <c r="DBN105" s="531"/>
      <c r="DBO105" s="530"/>
      <c r="DBP105" s="531"/>
      <c r="DBQ105" s="530"/>
      <c r="DBR105" s="531"/>
      <c r="DBS105" s="530"/>
      <c r="DBT105" s="531"/>
      <c r="DBU105" s="530"/>
      <c r="DBV105" s="531"/>
      <c r="DBW105" s="530"/>
      <c r="DBX105" s="531"/>
      <c r="DBY105" s="530"/>
      <c r="DBZ105" s="531"/>
      <c r="DCA105" s="530"/>
      <c r="DCB105" s="531"/>
      <c r="DCC105" s="530"/>
      <c r="DCD105" s="531"/>
      <c r="DCE105" s="530"/>
      <c r="DCF105" s="531"/>
      <c r="DCG105" s="530"/>
      <c r="DCH105" s="531"/>
      <c r="DCI105" s="530"/>
      <c r="DCJ105" s="531"/>
      <c r="DCK105" s="530"/>
      <c r="DCL105" s="531"/>
      <c r="DCM105" s="530"/>
      <c r="DCN105" s="531"/>
      <c r="DCO105" s="530"/>
      <c r="DCP105" s="531"/>
      <c r="DCQ105" s="530"/>
      <c r="DCR105" s="531"/>
      <c r="DCS105" s="530"/>
      <c r="DCT105" s="531"/>
      <c r="DCU105" s="530"/>
      <c r="DCV105" s="531"/>
      <c r="DCW105" s="530"/>
      <c r="DCX105" s="531"/>
      <c r="DCY105" s="530"/>
      <c r="DCZ105" s="531"/>
      <c r="DDA105" s="530"/>
      <c r="DDB105" s="531"/>
      <c r="DDC105" s="530"/>
      <c r="DDD105" s="531"/>
      <c r="DDE105" s="530"/>
      <c r="DDF105" s="531"/>
      <c r="DDG105" s="530"/>
      <c r="DDH105" s="531"/>
      <c r="DDI105" s="530"/>
      <c r="DDJ105" s="531"/>
      <c r="DDK105" s="530"/>
      <c r="DDL105" s="531"/>
      <c r="DDM105" s="530"/>
      <c r="DDN105" s="531"/>
      <c r="DDO105" s="530"/>
      <c r="DDP105" s="531"/>
      <c r="DDQ105" s="530"/>
      <c r="DDR105" s="531"/>
      <c r="DDS105" s="530"/>
      <c r="DDT105" s="531"/>
      <c r="DDU105" s="530"/>
      <c r="DDV105" s="531"/>
      <c r="DDW105" s="530"/>
      <c r="DDX105" s="531"/>
      <c r="DDY105" s="530"/>
      <c r="DDZ105" s="531"/>
      <c r="DEA105" s="530"/>
      <c r="DEB105" s="531"/>
      <c r="DEC105" s="530"/>
      <c r="DED105" s="531"/>
      <c r="DEE105" s="530"/>
      <c r="DEF105" s="531"/>
      <c r="DEG105" s="530"/>
      <c r="DEH105" s="531"/>
      <c r="DEI105" s="530"/>
      <c r="DEJ105" s="531"/>
      <c r="DEK105" s="530"/>
      <c r="DEL105" s="531"/>
      <c r="DEM105" s="530"/>
      <c r="DEN105" s="531"/>
      <c r="DEO105" s="530"/>
      <c r="DEP105" s="531"/>
      <c r="DEQ105" s="530"/>
      <c r="DER105" s="531"/>
      <c r="DES105" s="530"/>
      <c r="DET105" s="531"/>
      <c r="DEU105" s="530"/>
      <c r="DEV105" s="531"/>
      <c r="DEW105" s="530"/>
      <c r="DEX105" s="531"/>
      <c r="DEY105" s="530"/>
      <c r="DEZ105" s="531"/>
      <c r="DFA105" s="530"/>
      <c r="DFB105" s="531"/>
      <c r="DFC105" s="530"/>
      <c r="DFD105" s="531"/>
      <c r="DFE105" s="530"/>
      <c r="DFF105" s="531"/>
      <c r="DFG105" s="530"/>
      <c r="DFH105" s="531"/>
      <c r="DFI105" s="530"/>
      <c r="DFJ105" s="531"/>
      <c r="DFK105" s="530"/>
      <c r="DFL105" s="531"/>
      <c r="DFM105" s="530"/>
      <c r="DFN105" s="531"/>
      <c r="DFO105" s="530"/>
      <c r="DFP105" s="531"/>
      <c r="DFQ105" s="530"/>
      <c r="DFR105" s="531"/>
      <c r="DFS105" s="530"/>
      <c r="DFT105" s="531"/>
      <c r="DFU105" s="530"/>
      <c r="DFV105" s="531"/>
      <c r="DFW105" s="530"/>
      <c r="DFX105" s="531"/>
      <c r="DFY105" s="530"/>
      <c r="DFZ105" s="531"/>
      <c r="DGA105" s="530"/>
      <c r="DGB105" s="531"/>
      <c r="DGC105" s="530"/>
      <c r="DGD105" s="531"/>
      <c r="DGE105" s="530"/>
      <c r="DGF105" s="531"/>
      <c r="DGG105" s="530"/>
      <c r="DGH105" s="531"/>
      <c r="DGI105" s="530"/>
      <c r="DGJ105" s="531"/>
      <c r="DGK105" s="530"/>
      <c r="DGL105" s="531"/>
      <c r="DGM105" s="530"/>
      <c r="DGN105" s="531"/>
      <c r="DGO105" s="530"/>
      <c r="DGP105" s="531"/>
      <c r="DGQ105" s="530"/>
      <c r="DGR105" s="531"/>
      <c r="DGS105" s="530"/>
      <c r="DGT105" s="531"/>
      <c r="DGU105" s="530"/>
      <c r="DGV105" s="531"/>
      <c r="DGW105" s="530"/>
      <c r="DGX105" s="531"/>
      <c r="DGY105" s="530"/>
      <c r="DGZ105" s="531"/>
      <c r="DHA105" s="530"/>
      <c r="DHB105" s="531"/>
      <c r="DHC105" s="530"/>
      <c r="DHD105" s="531"/>
      <c r="DHE105" s="530"/>
      <c r="DHF105" s="531"/>
      <c r="DHG105" s="530"/>
      <c r="DHH105" s="531"/>
      <c r="DHI105" s="530"/>
      <c r="DHJ105" s="531"/>
      <c r="DHK105" s="530"/>
      <c r="DHL105" s="531"/>
      <c r="DHM105" s="530"/>
      <c r="DHN105" s="531"/>
      <c r="DHO105" s="530"/>
      <c r="DHP105" s="531"/>
      <c r="DHQ105" s="530"/>
      <c r="DHR105" s="531"/>
      <c r="DHS105" s="530"/>
      <c r="DHT105" s="531"/>
      <c r="DHU105" s="530"/>
      <c r="DHV105" s="531"/>
      <c r="DHW105" s="530"/>
      <c r="DHX105" s="531"/>
      <c r="DHY105" s="530"/>
      <c r="DHZ105" s="531"/>
      <c r="DIA105" s="530"/>
      <c r="DIB105" s="531"/>
      <c r="DIC105" s="530"/>
      <c r="DID105" s="531"/>
      <c r="DIE105" s="530"/>
      <c r="DIF105" s="531"/>
      <c r="DIG105" s="530"/>
      <c r="DIH105" s="531"/>
      <c r="DII105" s="530"/>
      <c r="DIJ105" s="531"/>
      <c r="DIK105" s="530"/>
      <c r="DIL105" s="531"/>
      <c r="DIM105" s="530"/>
      <c r="DIN105" s="531"/>
      <c r="DIO105" s="530"/>
      <c r="DIP105" s="531"/>
      <c r="DIQ105" s="530"/>
      <c r="DIR105" s="531"/>
      <c r="DIS105" s="530"/>
      <c r="DIT105" s="531"/>
      <c r="DIU105" s="530"/>
      <c r="DIV105" s="531"/>
      <c r="DIW105" s="530"/>
      <c r="DIX105" s="531"/>
      <c r="DIY105" s="530"/>
      <c r="DIZ105" s="531"/>
      <c r="DJA105" s="530"/>
      <c r="DJB105" s="531"/>
      <c r="DJC105" s="530"/>
      <c r="DJD105" s="531"/>
      <c r="DJE105" s="530"/>
      <c r="DJF105" s="531"/>
      <c r="DJG105" s="530"/>
      <c r="DJH105" s="531"/>
      <c r="DJI105" s="530"/>
      <c r="DJJ105" s="531"/>
      <c r="DJK105" s="530"/>
      <c r="DJL105" s="531"/>
      <c r="DJM105" s="530"/>
      <c r="DJN105" s="531"/>
      <c r="DJO105" s="530"/>
      <c r="DJP105" s="531"/>
      <c r="DJQ105" s="530"/>
      <c r="DJR105" s="531"/>
      <c r="DJS105" s="530"/>
      <c r="DJT105" s="531"/>
      <c r="DJU105" s="530"/>
      <c r="DJV105" s="531"/>
      <c r="DJW105" s="530"/>
      <c r="DJX105" s="531"/>
      <c r="DJY105" s="530"/>
      <c r="DJZ105" s="531"/>
      <c r="DKA105" s="530"/>
      <c r="DKB105" s="531"/>
      <c r="DKC105" s="530"/>
      <c r="DKD105" s="531"/>
      <c r="DKE105" s="530"/>
      <c r="DKF105" s="531"/>
      <c r="DKG105" s="530"/>
      <c r="DKH105" s="531"/>
      <c r="DKI105" s="530"/>
      <c r="DKJ105" s="531"/>
      <c r="DKK105" s="530"/>
      <c r="DKL105" s="531"/>
      <c r="DKM105" s="530"/>
      <c r="DKN105" s="531"/>
      <c r="DKO105" s="530"/>
      <c r="DKP105" s="531"/>
      <c r="DKQ105" s="530"/>
      <c r="DKR105" s="531"/>
      <c r="DKS105" s="530"/>
      <c r="DKT105" s="531"/>
      <c r="DKU105" s="530"/>
      <c r="DKV105" s="531"/>
      <c r="DKW105" s="530"/>
      <c r="DKX105" s="531"/>
      <c r="DKY105" s="530"/>
      <c r="DKZ105" s="531"/>
      <c r="DLA105" s="530"/>
      <c r="DLB105" s="531"/>
      <c r="DLC105" s="530"/>
      <c r="DLD105" s="531"/>
      <c r="DLE105" s="530"/>
      <c r="DLF105" s="531"/>
      <c r="DLG105" s="530"/>
      <c r="DLH105" s="531"/>
      <c r="DLI105" s="530"/>
      <c r="DLJ105" s="531"/>
      <c r="DLK105" s="530"/>
      <c r="DLL105" s="531"/>
      <c r="DLM105" s="530"/>
      <c r="DLN105" s="531"/>
      <c r="DLO105" s="530"/>
      <c r="DLP105" s="531"/>
      <c r="DLQ105" s="530"/>
      <c r="DLR105" s="531"/>
      <c r="DLS105" s="530"/>
      <c r="DLT105" s="531"/>
      <c r="DLU105" s="530"/>
      <c r="DLV105" s="531"/>
      <c r="DLW105" s="530"/>
      <c r="DLX105" s="531"/>
      <c r="DLY105" s="530"/>
      <c r="DLZ105" s="531"/>
      <c r="DMA105" s="530"/>
      <c r="DMB105" s="531"/>
      <c r="DMC105" s="530"/>
      <c r="DMD105" s="531"/>
      <c r="DME105" s="530"/>
      <c r="DMF105" s="531"/>
      <c r="DMG105" s="530"/>
      <c r="DMH105" s="531"/>
      <c r="DMI105" s="530"/>
      <c r="DMJ105" s="531"/>
      <c r="DMK105" s="530"/>
      <c r="DML105" s="531"/>
      <c r="DMM105" s="530"/>
      <c r="DMN105" s="531"/>
      <c r="DMO105" s="530"/>
      <c r="DMP105" s="531"/>
      <c r="DMQ105" s="530"/>
      <c r="DMR105" s="531"/>
      <c r="DMS105" s="530"/>
      <c r="DMT105" s="531"/>
      <c r="DMU105" s="530"/>
      <c r="DMV105" s="531"/>
      <c r="DMW105" s="530"/>
      <c r="DMX105" s="531"/>
      <c r="DMY105" s="530"/>
      <c r="DMZ105" s="531"/>
      <c r="DNA105" s="530"/>
      <c r="DNB105" s="531"/>
      <c r="DNC105" s="530"/>
      <c r="DND105" s="531"/>
      <c r="DNE105" s="530"/>
      <c r="DNF105" s="531"/>
      <c r="DNG105" s="530"/>
      <c r="DNH105" s="531"/>
      <c r="DNI105" s="530"/>
      <c r="DNJ105" s="531"/>
      <c r="DNK105" s="530"/>
      <c r="DNL105" s="531"/>
      <c r="DNM105" s="530"/>
      <c r="DNN105" s="531"/>
      <c r="DNO105" s="530"/>
      <c r="DNP105" s="531"/>
      <c r="DNQ105" s="530"/>
      <c r="DNR105" s="531"/>
      <c r="DNS105" s="530"/>
      <c r="DNT105" s="531"/>
      <c r="DNU105" s="530"/>
      <c r="DNV105" s="531"/>
      <c r="DNW105" s="530"/>
      <c r="DNX105" s="531"/>
      <c r="DNY105" s="530"/>
      <c r="DNZ105" s="531"/>
      <c r="DOA105" s="530"/>
      <c r="DOB105" s="531"/>
      <c r="DOC105" s="530"/>
      <c r="DOD105" s="531"/>
      <c r="DOE105" s="530"/>
      <c r="DOF105" s="531"/>
      <c r="DOG105" s="530"/>
      <c r="DOH105" s="531"/>
      <c r="DOI105" s="530"/>
      <c r="DOJ105" s="531"/>
      <c r="DOK105" s="530"/>
      <c r="DOL105" s="531"/>
      <c r="DOM105" s="530"/>
      <c r="DON105" s="531"/>
      <c r="DOO105" s="530"/>
      <c r="DOP105" s="531"/>
      <c r="DOQ105" s="530"/>
      <c r="DOR105" s="531"/>
      <c r="DOS105" s="530"/>
      <c r="DOT105" s="531"/>
      <c r="DOU105" s="530"/>
      <c r="DOV105" s="531"/>
      <c r="DOW105" s="530"/>
      <c r="DOX105" s="531"/>
      <c r="DOY105" s="530"/>
      <c r="DOZ105" s="531"/>
      <c r="DPA105" s="530"/>
      <c r="DPB105" s="531"/>
      <c r="DPC105" s="530"/>
      <c r="DPD105" s="531"/>
      <c r="DPE105" s="530"/>
      <c r="DPF105" s="531"/>
      <c r="DPG105" s="530"/>
      <c r="DPH105" s="531"/>
      <c r="DPI105" s="530"/>
      <c r="DPJ105" s="531"/>
      <c r="DPK105" s="530"/>
      <c r="DPL105" s="531"/>
      <c r="DPM105" s="530"/>
      <c r="DPN105" s="531"/>
      <c r="DPO105" s="530"/>
      <c r="DPP105" s="531"/>
      <c r="DPQ105" s="530"/>
      <c r="DPR105" s="531"/>
      <c r="DPS105" s="530"/>
      <c r="DPT105" s="531"/>
      <c r="DPU105" s="530"/>
      <c r="DPV105" s="531"/>
      <c r="DPW105" s="530"/>
      <c r="DPX105" s="531"/>
      <c r="DPY105" s="530"/>
      <c r="DPZ105" s="531"/>
      <c r="DQA105" s="530"/>
      <c r="DQB105" s="531"/>
      <c r="DQC105" s="530"/>
      <c r="DQD105" s="531"/>
      <c r="DQE105" s="530"/>
      <c r="DQF105" s="531"/>
      <c r="DQG105" s="530"/>
      <c r="DQH105" s="531"/>
      <c r="DQI105" s="530"/>
      <c r="DQJ105" s="531"/>
      <c r="DQK105" s="530"/>
      <c r="DQL105" s="531"/>
      <c r="DQM105" s="530"/>
      <c r="DQN105" s="531"/>
      <c r="DQO105" s="530"/>
      <c r="DQP105" s="531"/>
      <c r="DQQ105" s="530"/>
      <c r="DQR105" s="531"/>
      <c r="DQS105" s="530"/>
      <c r="DQT105" s="531"/>
      <c r="DQU105" s="530"/>
      <c r="DQV105" s="531"/>
      <c r="DQW105" s="530"/>
      <c r="DQX105" s="531"/>
      <c r="DQY105" s="530"/>
      <c r="DQZ105" s="531"/>
      <c r="DRA105" s="530"/>
      <c r="DRB105" s="531"/>
      <c r="DRC105" s="530"/>
      <c r="DRD105" s="531"/>
      <c r="DRE105" s="530"/>
      <c r="DRF105" s="531"/>
      <c r="DRG105" s="530"/>
      <c r="DRH105" s="531"/>
      <c r="DRI105" s="530"/>
      <c r="DRJ105" s="531"/>
      <c r="DRK105" s="530"/>
      <c r="DRL105" s="531"/>
      <c r="DRM105" s="530"/>
      <c r="DRN105" s="531"/>
      <c r="DRO105" s="530"/>
      <c r="DRP105" s="531"/>
      <c r="DRQ105" s="530"/>
      <c r="DRR105" s="531"/>
      <c r="DRS105" s="530"/>
      <c r="DRT105" s="531"/>
      <c r="DRU105" s="530"/>
      <c r="DRV105" s="531"/>
      <c r="DRW105" s="530"/>
      <c r="DRX105" s="531"/>
      <c r="DRY105" s="530"/>
      <c r="DRZ105" s="531"/>
      <c r="DSA105" s="530"/>
      <c r="DSB105" s="531"/>
      <c r="DSC105" s="530"/>
      <c r="DSD105" s="531"/>
      <c r="DSE105" s="530"/>
      <c r="DSF105" s="531"/>
      <c r="DSG105" s="530"/>
      <c r="DSH105" s="531"/>
      <c r="DSI105" s="530"/>
      <c r="DSJ105" s="531"/>
      <c r="DSK105" s="530"/>
      <c r="DSL105" s="531"/>
      <c r="DSM105" s="530"/>
      <c r="DSN105" s="531"/>
      <c r="DSO105" s="530"/>
      <c r="DSP105" s="531"/>
      <c r="DSQ105" s="530"/>
      <c r="DSR105" s="531"/>
      <c r="DSS105" s="530"/>
      <c r="DST105" s="531"/>
      <c r="DSU105" s="530"/>
      <c r="DSV105" s="531"/>
      <c r="DSW105" s="530"/>
      <c r="DSX105" s="531"/>
      <c r="DSY105" s="530"/>
      <c r="DSZ105" s="531"/>
      <c r="DTA105" s="530"/>
      <c r="DTB105" s="531"/>
      <c r="DTC105" s="530"/>
      <c r="DTD105" s="531"/>
      <c r="DTE105" s="530"/>
      <c r="DTF105" s="531"/>
      <c r="DTG105" s="530"/>
      <c r="DTH105" s="531"/>
      <c r="DTI105" s="530"/>
      <c r="DTJ105" s="531"/>
      <c r="DTK105" s="530"/>
      <c r="DTL105" s="531"/>
      <c r="DTM105" s="530"/>
      <c r="DTN105" s="531"/>
      <c r="DTO105" s="530"/>
      <c r="DTP105" s="531"/>
      <c r="DTQ105" s="530"/>
      <c r="DTR105" s="531"/>
      <c r="DTS105" s="530"/>
      <c r="DTT105" s="531"/>
      <c r="DTU105" s="530"/>
      <c r="DTV105" s="531"/>
      <c r="DTW105" s="530"/>
      <c r="DTX105" s="531"/>
      <c r="DTY105" s="530"/>
      <c r="DTZ105" s="531"/>
      <c r="DUA105" s="530"/>
      <c r="DUB105" s="531"/>
      <c r="DUC105" s="530"/>
      <c r="DUD105" s="531"/>
      <c r="DUE105" s="530"/>
      <c r="DUF105" s="531"/>
      <c r="DUG105" s="530"/>
      <c r="DUH105" s="531"/>
      <c r="DUI105" s="530"/>
      <c r="DUJ105" s="531"/>
      <c r="DUK105" s="530"/>
      <c r="DUL105" s="531"/>
      <c r="DUM105" s="530"/>
      <c r="DUN105" s="531"/>
      <c r="DUO105" s="530"/>
      <c r="DUP105" s="531"/>
      <c r="DUQ105" s="530"/>
      <c r="DUR105" s="531"/>
      <c r="DUS105" s="530"/>
      <c r="DUT105" s="531"/>
      <c r="DUU105" s="530"/>
      <c r="DUV105" s="531"/>
      <c r="DUW105" s="530"/>
      <c r="DUX105" s="531"/>
      <c r="DUY105" s="530"/>
      <c r="DUZ105" s="531"/>
      <c r="DVA105" s="530"/>
      <c r="DVB105" s="531"/>
      <c r="DVC105" s="530"/>
      <c r="DVD105" s="531"/>
      <c r="DVE105" s="530"/>
      <c r="DVF105" s="531"/>
      <c r="DVG105" s="530"/>
      <c r="DVH105" s="531"/>
      <c r="DVI105" s="530"/>
      <c r="DVJ105" s="531"/>
      <c r="DVK105" s="530"/>
      <c r="DVL105" s="531"/>
      <c r="DVM105" s="530"/>
      <c r="DVN105" s="531"/>
      <c r="DVO105" s="530"/>
      <c r="DVP105" s="531"/>
      <c r="DVQ105" s="530"/>
      <c r="DVR105" s="531"/>
      <c r="DVS105" s="530"/>
      <c r="DVT105" s="531"/>
      <c r="DVU105" s="530"/>
      <c r="DVV105" s="531"/>
      <c r="DVW105" s="530"/>
      <c r="DVX105" s="531"/>
      <c r="DVY105" s="530"/>
      <c r="DVZ105" s="531"/>
      <c r="DWA105" s="530"/>
      <c r="DWB105" s="531"/>
      <c r="DWC105" s="530"/>
      <c r="DWD105" s="531"/>
      <c r="DWE105" s="530"/>
      <c r="DWF105" s="531"/>
      <c r="DWG105" s="530"/>
      <c r="DWH105" s="531"/>
      <c r="DWI105" s="530"/>
      <c r="DWJ105" s="531"/>
      <c r="DWK105" s="530"/>
      <c r="DWL105" s="531"/>
      <c r="DWM105" s="530"/>
      <c r="DWN105" s="531"/>
      <c r="DWO105" s="530"/>
      <c r="DWP105" s="531"/>
      <c r="DWQ105" s="530"/>
      <c r="DWR105" s="531"/>
      <c r="DWS105" s="530"/>
      <c r="DWT105" s="531"/>
      <c r="DWU105" s="530"/>
      <c r="DWV105" s="531"/>
      <c r="DWW105" s="530"/>
      <c r="DWX105" s="531"/>
      <c r="DWY105" s="530"/>
      <c r="DWZ105" s="531"/>
      <c r="DXA105" s="530"/>
      <c r="DXB105" s="531"/>
      <c r="DXC105" s="530"/>
      <c r="DXD105" s="531"/>
      <c r="DXE105" s="530"/>
      <c r="DXF105" s="531"/>
      <c r="DXG105" s="530"/>
      <c r="DXH105" s="531"/>
      <c r="DXI105" s="530"/>
      <c r="DXJ105" s="531"/>
      <c r="DXK105" s="530"/>
      <c r="DXL105" s="531"/>
      <c r="DXM105" s="530"/>
      <c r="DXN105" s="531"/>
      <c r="DXO105" s="530"/>
      <c r="DXP105" s="531"/>
      <c r="DXQ105" s="530"/>
      <c r="DXR105" s="531"/>
      <c r="DXS105" s="530"/>
      <c r="DXT105" s="531"/>
      <c r="DXU105" s="530"/>
      <c r="DXV105" s="531"/>
      <c r="DXW105" s="530"/>
      <c r="DXX105" s="531"/>
      <c r="DXY105" s="530"/>
      <c r="DXZ105" s="531"/>
      <c r="DYA105" s="530"/>
      <c r="DYB105" s="531"/>
      <c r="DYC105" s="530"/>
      <c r="DYD105" s="531"/>
      <c r="DYE105" s="530"/>
      <c r="DYF105" s="531"/>
      <c r="DYG105" s="530"/>
      <c r="DYH105" s="531"/>
      <c r="DYI105" s="530"/>
      <c r="DYJ105" s="531"/>
      <c r="DYK105" s="530"/>
      <c r="DYL105" s="531"/>
      <c r="DYM105" s="530"/>
      <c r="DYN105" s="531"/>
      <c r="DYO105" s="530"/>
      <c r="DYP105" s="531"/>
      <c r="DYQ105" s="530"/>
      <c r="DYR105" s="531"/>
      <c r="DYS105" s="530"/>
      <c r="DYT105" s="531"/>
      <c r="DYU105" s="530"/>
      <c r="DYV105" s="531"/>
      <c r="DYW105" s="530"/>
      <c r="DYX105" s="531"/>
      <c r="DYY105" s="530"/>
      <c r="DYZ105" s="531"/>
      <c r="DZA105" s="530"/>
      <c r="DZB105" s="531"/>
      <c r="DZC105" s="530"/>
      <c r="DZD105" s="531"/>
      <c r="DZE105" s="530"/>
      <c r="DZF105" s="531"/>
      <c r="DZG105" s="530"/>
      <c r="DZH105" s="531"/>
      <c r="DZI105" s="530"/>
      <c r="DZJ105" s="531"/>
      <c r="DZK105" s="530"/>
      <c r="DZL105" s="531"/>
      <c r="DZM105" s="530"/>
      <c r="DZN105" s="531"/>
      <c r="DZO105" s="530"/>
      <c r="DZP105" s="531"/>
      <c r="DZQ105" s="530"/>
      <c r="DZR105" s="531"/>
      <c r="DZS105" s="530"/>
      <c r="DZT105" s="531"/>
      <c r="DZU105" s="530"/>
      <c r="DZV105" s="531"/>
      <c r="DZW105" s="530"/>
      <c r="DZX105" s="531"/>
      <c r="DZY105" s="530"/>
      <c r="DZZ105" s="531"/>
      <c r="EAA105" s="530"/>
      <c r="EAB105" s="531"/>
      <c r="EAC105" s="530"/>
      <c r="EAD105" s="531"/>
      <c r="EAE105" s="530"/>
      <c r="EAF105" s="531"/>
      <c r="EAG105" s="530"/>
      <c r="EAH105" s="531"/>
      <c r="EAI105" s="530"/>
      <c r="EAJ105" s="531"/>
      <c r="EAK105" s="530"/>
      <c r="EAL105" s="531"/>
      <c r="EAM105" s="530"/>
      <c r="EAN105" s="531"/>
      <c r="EAO105" s="530"/>
      <c r="EAP105" s="531"/>
      <c r="EAQ105" s="530"/>
      <c r="EAR105" s="531"/>
      <c r="EAS105" s="530"/>
      <c r="EAT105" s="531"/>
      <c r="EAU105" s="530"/>
      <c r="EAV105" s="531"/>
      <c r="EAW105" s="530"/>
      <c r="EAX105" s="531"/>
      <c r="EAY105" s="530"/>
      <c r="EAZ105" s="531"/>
      <c r="EBA105" s="530"/>
      <c r="EBB105" s="531"/>
      <c r="EBC105" s="530"/>
      <c r="EBD105" s="531"/>
      <c r="EBE105" s="530"/>
      <c r="EBF105" s="531"/>
      <c r="EBG105" s="530"/>
      <c r="EBH105" s="531"/>
      <c r="EBI105" s="530"/>
      <c r="EBJ105" s="531"/>
      <c r="EBK105" s="530"/>
      <c r="EBL105" s="531"/>
      <c r="EBM105" s="530"/>
      <c r="EBN105" s="531"/>
      <c r="EBO105" s="530"/>
      <c r="EBP105" s="531"/>
      <c r="EBQ105" s="530"/>
      <c r="EBR105" s="531"/>
      <c r="EBS105" s="530"/>
      <c r="EBT105" s="531"/>
      <c r="EBU105" s="530"/>
      <c r="EBV105" s="531"/>
      <c r="EBW105" s="530"/>
      <c r="EBX105" s="531"/>
      <c r="EBY105" s="530"/>
      <c r="EBZ105" s="531"/>
      <c r="ECA105" s="530"/>
      <c r="ECB105" s="531"/>
      <c r="ECC105" s="530"/>
      <c r="ECD105" s="531"/>
      <c r="ECE105" s="530"/>
      <c r="ECF105" s="531"/>
      <c r="ECG105" s="530"/>
      <c r="ECH105" s="531"/>
      <c r="ECI105" s="530"/>
      <c r="ECJ105" s="531"/>
      <c r="ECK105" s="530"/>
      <c r="ECL105" s="531"/>
      <c r="ECM105" s="530"/>
      <c r="ECN105" s="531"/>
      <c r="ECO105" s="530"/>
      <c r="ECP105" s="531"/>
      <c r="ECQ105" s="530"/>
      <c r="ECR105" s="531"/>
      <c r="ECS105" s="530"/>
      <c r="ECT105" s="531"/>
      <c r="ECU105" s="530"/>
      <c r="ECV105" s="531"/>
      <c r="ECW105" s="530"/>
      <c r="ECX105" s="531"/>
      <c r="ECY105" s="530"/>
      <c r="ECZ105" s="531"/>
      <c r="EDA105" s="530"/>
      <c r="EDB105" s="531"/>
      <c r="EDC105" s="530"/>
      <c r="EDD105" s="531"/>
      <c r="EDE105" s="530"/>
      <c r="EDF105" s="531"/>
      <c r="EDG105" s="530"/>
      <c r="EDH105" s="531"/>
      <c r="EDI105" s="530"/>
      <c r="EDJ105" s="531"/>
      <c r="EDK105" s="530"/>
      <c r="EDL105" s="531"/>
      <c r="EDM105" s="530"/>
      <c r="EDN105" s="531"/>
      <c r="EDO105" s="530"/>
      <c r="EDP105" s="531"/>
      <c r="EDQ105" s="530"/>
      <c r="EDR105" s="531"/>
      <c r="EDS105" s="530"/>
      <c r="EDT105" s="531"/>
      <c r="EDU105" s="530"/>
      <c r="EDV105" s="531"/>
      <c r="EDW105" s="530"/>
      <c r="EDX105" s="531"/>
      <c r="EDY105" s="530"/>
      <c r="EDZ105" s="531"/>
      <c r="EEA105" s="530"/>
      <c r="EEB105" s="531"/>
      <c r="EEC105" s="530"/>
      <c r="EED105" s="531"/>
      <c r="EEE105" s="530"/>
      <c r="EEF105" s="531"/>
      <c r="EEG105" s="530"/>
      <c r="EEH105" s="531"/>
      <c r="EEI105" s="530"/>
      <c r="EEJ105" s="531"/>
      <c r="EEK105" s="530"/>
      <c r="EEL105" s="531"/>
      <c r="EEM105" s="530"/>
      <c r="EEN105" s="531"/>
      <c r="EEO105" s="530"/>
      <c r="EEP105" s="531"/>
      <c r="EEQ105" s="530"/>
      <c r="EER105" s="531"/>
      <c r="EES105" s="530"/>
      <c r="EET105" s="531"/>
      <c r="EEU105" s="530"/>
      <c r="EEV105" s="531"/>
      <c r="EEW105" s="530"/>
      <c r="EEX105" s="531"/>
      <c r="EEY105" s="530"/>
      <c r="EEZ105" s="531"/>
      <c r="EFA105" s="530"/>
      <c r="EFB105" s="531"/>
      <c r="EFC105" s="530"/>
      <c r="EFD105" s="531"/>
      <c r="EFE105" s="530"/>
      <c r="EFF105" s="531"/>
      <c r="EFG105" s="530"/>
      <c r="EFH105" s="531"/>
      <c r="EFI105" s="530"/>
      <c r="EFJ105" s="531"/>
      <c r="EFK105" s="530"/>
      <c r="EFL105" s="531"/>
      <c r="EFM105" s="530"/>
      <c r="EFN105" s="531"/>
      <c r="EFO105" s="530"/>
      <c r="EFP105" s="531"/>
      <c r="EFQ105" s="530"/>
      <c r="EFR105" s="531"/>
      <c r="EFS105" s="530"/>
      <c r="EFT105" s="531"/>
      <c r="EFU105" s="530"/>
      <c r="EFV105" s="531"/>
      <c r="EFW105" s="530"/>
      <c r="EFX105" s="531"/>
      <c r="EFY105" s="530"/>
      <c r="EFZ105" s="531"/>
      <c r="EGA105" s="530"/>
      <c r="EGB105" s="531"/>
      <c r="EGC105" s="530"/>
      <c r="EGD105" s="531"/>
      <c r="EGE105" s="530"/>
      <c r="EGF105" s="531"/>
      <c r="EGG105" s="530"/>
      <c r="EGH105" s="531"/>
      <c r="EGI105" s="530"/>
      <c r="EGJ105" s="531"/>
      <c r="EGK105" s="530"/>
      <c r="EGL105" s="531"/>
      <c r="EGM105" s="530"/>
      <c r="EGN105" s="531"/>
      <c r="EGO105" s="530"/>
      <c r="EGP105" s="531"/>
      <c r="EGQ105" s="530"/>
      <c r="EGR105" s="531"/>
      <c r="EGS105" s="530"/>
      <c r="EGT105" s="531"/>
      <c r="EGU105" s="530"/>
      <c r="EGV105" s="531"/>
      <c r="EGW105" s="530"/>
      <c r="EGX105" s="531"/>
      <c r="EGY105" s="530"/>
      <c r="EGZ105" s="531"/>
      <c r="EHA105" s="530"/>
      <c r="EHB105" s="531"/>
      <c r="EHC105" s="530"/>
      <c r="EHD105" s="531"/>
      <c r="EHE105" s="530"/>
      <c r="EHF105" s="531"/>
      <c r="EHG105" s="530"/>
      <c r="EHH105" s="531"/>
      <c r="EHI105" s="530"/>
      <c r="EHJ105" s="531"/>
      <c r="EHK105" s="530"/>
      <c r="EHL105" s="531"/>
      <c r="EHM105" s="530"/>
      <c r="EHN105" s="531"/>
      <c r="EHO105" s="530"/>
      <c r="EHP105" s="531"/>
      <c r="EHQ105" s="530"/>
      <c r="EHR105" s="531"/>
      <c r="EHS105" s="530"/>
      <c r="EHT105" s="531"/>
      <c r="EHU105" s="530"/>
      <c r="EHV105" s="531"/>
      <c r="EHW105" s="530"/>
      <c r="EHX105" s="531"/>
      <c r="EHY105" s="530"/>
      <c r="EHZ105" s="531"/>
      <c r="EIA105" s="530"/>
      <c r="EIB105" s="531"/>
      <c r="EIC105" s="530"/>
      <c r="EID105" s="531"/>
      <c r="EIE105" s="530"/>
      <c r="EIF105" s="531"/>
      <c r="EIG105" s="530"/>
      <c r="EIH105" s="531"/>
      <c r="EII105" s="530"/>
      <c r="EIJ105" s="531"/>
      <c r="EIK105" s="530"/>
      <c r="EIL105" s="531"/>
      <c r="EIM105" s="530"/>
      <c r="EIN105" s="531"/>
      <c r="EIO105" s="530"/>
      <c r="EIP105" s="531"/>
      <c r="EIQ105" s="530"/>
      <c r="EIR105" s="531"/>
      <c r="EIS105" s="530"/>
      <c r="EIT105" s="531"/>
      <c r="EIU105" s="530"/>
      <c r="EIV105" s="531"/>
      <c r="EIW105" s="530"/>
      <c r="EIX105" s="531"/>
      <c r="EIY105" s="530"/>
      <c r="EIZ105" s="531"/>
      <c r="EJA105" s="530"/>
      <c r="EJB105" s="531"/>
      <c r="EJC105" s="530"/>
      <c r="EJD105" s="531"/>
      <c r="EJE105" s="530"/>
      <c r="EJF105" s="531"/>
      <c r="EJG105" s="530"/>
      <c r="EJH105" s="531"/>
      <c r="EJI105" s="530"/>
      <c r="EJJ105" s="531"/>
      <c r="EJK105" s="530"/>
      <c r="EJL105" s="531"/>
      <c r="EJM105" s="530"/>
      <c r="EJN105" s="531"/>
      <c r="EJO105" s="530"/>
      <c r="EJP105" s="531"/>
      <c r="EJQ105" s="530"/>
      <c r="EJR105" s="531"/>
      <c r="EJS105" s="530"/>
      <c r="EJT105" s="531"/>
      <c r="EJU105" s="530"/>
      <c r="EJV105" s="531"/>
      <c r="EJW105" s="530"/>
      <c r="EJX105" s="531"/>
      <c r="EJY105" s="530"/>
      <c r="EJZ105" s="531"/>
      <c r="EKA105" s="530"/>
      <c r="EKB105" s="531"/>
      <c r="EKC105" s="530"/>
      <c r="EKD105" s="531"/>
      <c r="EKE105" s="530"/>
      <c r="EKF105" s="531"/>
      <c r="EKG105" s="530"/>
      <c r="EKH105" s="531"/>
      <c r="EKI105" s="530"/>
      <c r="EKJ105" s="531"/>
      <c r="EKK105" s="530"/>
      <c r="EKL105" s="531"/>
      <c r="EKM105" s="530"/>
      <c r="EKN105" s="531"/>
      <c r="EKO105" s="530"/>
      <c r="EKP105" s="531"/>
      <c r="EKQ105" s="530"/>
      <c r="EKR105" s="531"/>
      <c r="EKS105" s="530"/>
      <c r="EKT105" s="531"/>
      <c r="EKU105" s="530"/>
      <c r="EKV105" s="531"/>
      <c r="EKW105" s="530"/>
      <c r="EKX105" s="531"/>
      <c r="EKY105" s="530"/>
      <c r="EKZ105" s="531"/>
      <c r="ELA105" s="530"/>
      <c r="ELB105" s="531"/>
      <c r="ELC105" s="530"/>
      <c r="ELD105" s="531"/>
      <c r="ELE105" s="530"/>
      <c r="ELF105" s="531"/>
      <c r="ELG105" s="530"/>
      <c r="ELH105" s="531"/>
      <c r="ELI105" s="530"/>
      <c r="ELJ105" s="531"/>
      <c r="ELK105" s="530"/>
      <c r="ELL105" s="531"/>
      <c r="ELM105" s="530"/>
      <c r="ELN105" s="531"/>
      <c r="ELO105" s="530"/>
      <c r="ELP105" s="531"/>
      <c r="ELQ105" s="530"/>
      <c r="ELR105" s="531"/>
      <c r="ELS105" s="530"/>
      <c r="ELT105" s="531"/>
      <c r="ELU105" s="530"/>
      <c r="ELV105" s="531"/>
      <c r="ELW105" s="530"/>
      <c r="ELX105" s="531"/>
      <c r="ELY105" s="530"/>
      <c r="ELZ105" s="531"/>
      <c r="EMA105" s="530"/>
      <c r="EMB105" s="531"/>
      <c r="EMC105" s="530"/>
      <c r="EMD105" s="531"/>
      <c r="EME105" s="530"/>
      <c r="EMF105" s="531"/>
      <c r="EMG105" s="530"/>
      <c r="EMH105" s="531"/>
      <c r="EMI105" s="530"/>
      <c r="EMJ105" s="531"/>
      <c r="EMK105" s="530"/>
      <c r="EML105" s="531"/>
      <c r="EMM105" s="530"/>
      <c r="EMN105" s="531"/>
      <c r="EMO105" s="530"/>
      <c r="EMP105" s="531"/>
      <c r="EMQ105" s="530"/>
      <c r="EMR105" s="531"/>
      <c r="EMS105" s="530"/>
      <c r="EMT105" s="531"/>
      <c r="EMU105" s="530"/>
      <c r="EMV105" s="531"/>
      <c r="EMW105" s="530"/>
      <c r="EMX105" s="531"/>
      <c r="EMY105" s="530"/>
      <c r="EMZ105" s="531"/>
      <c r="ENA105" s="530"/>
      <c r="ENB105" s="531"/>
      <c r="ENC105" s="530"/>
      <c r="END105" s="531"/>
      <c r="ENE105" s="530"/>
      <c r="ENF105" s="531"/>
      <c r="ENG105" s="530"/>
      <c r="ENH105" s="531"/>
      <c r="ENI105" s="530"/>
      <c r="ENJ105" s="531"/>
      <c r="ENK105" s="530"/>
      <c r="ENL105" s="531"/>
      <c r="ENM105" s="530"/>
      <c r="ENN105" s="531"/>
      <c r="ENO105" s="530"/>
      <c r="ENP105" s="531"/>
      <c r="ENQ105" s="530"/>
      <c r="ENR105" s="531"/>
      <c r="ENS105" s="530"/>
      <c r="ENT105" s="531"/>
      <c r="ENU105" s="530"/>
      <c r="ENV105" s="531"/>
      <c r="ENW105" s="530"/>
      <c r="ENX105" s="531"/>
      <c r="ENY105" s="530"/>
      <c r="ENZ105" s="531"/>
      <c r="EOA105" s="530"/>
      <c r="EOB105" s="531"/>
      <c r="EOC105" s="530"/>
      <c r="EOD105" s="531"/>
      <c r="EOE105" s="530"/>
      <c r="EOF105" s="531"/>
      <c r="EOG105" s="530"/>
      <c r="EOH105" s="531"/>
      <c r="EOI105" s="530"/>
      <c r="EOJ105" s="531"/>
      <c r="EOK105" s="530"/>
      <c r="EOL105" s="531"/>
      <c r="EOM105" s="530"/>
      <c r="EON105" s="531"/>
      <c r="EOO105" s="530"/>
      <c r="EOP105" s="531"/>
      <c r="EOQ105" s="530"/>
      <c r="EOR105" s="531"/>
      <c r="EOS105" s="530"/>
      <c r="EOT105" s="531"/>
      <c r="EOU105" s="530"/>
      <c r="EOV105" s="531"/>
      <c r="EOW105" s="530"/>
      <c r="EOX105" s="531"/>
      <c r="EOY105" s="530"/>
      <c r="EOZ105" s="531"/>
      <c r="EPA105" s="530"/>
      <c r="EPB105" s="531"/>
      <c r="EPC105" s="530"/>
      <c r="EPD105" s="531"/>
      <c r="EPE105" s="530"/>
      <c r="EPF105" s="531"/>
      <c r="EPG105" s="530"/>
      <c r="EPH105" s="531"/>
      <c r="EPI105" s="530"/>
      <c r="EPJ105" s="531"/>
      <c r="EPK105" s="530"/>
      <c r="EPL105" s="531"/>
      <c r="EPM105" s="530"/>
      <c r="EPN105" s="531"/>
      <c r="EPO105" s="530"/>
      <c r="EPP105" s="531"/>
      <c r="EPQ105" s="530"/>
      <c r="EPR105" s="531"/>
      <c r="EPS105" s="530"/>
      <c r="EPT105" s="531"/>
      <c r="EPU105" s="530"/>
      <c r="EPV105" s="531"/>
      <c r="EPW105" s="530"/>
      <c r="EPX105" s="531"/>
      <c r="EPY105" s="530"/>
      <c r="EPZ105" s="531"/>
      <c r="EQA105" s="530"/>
      <c r="EQB105" s="531"/>
      <c r="EQC105" s="530"/>
      <c r="EQD105" s="531"/>
      <c r="EQE105" s="530"/>
      <c r="EQF105" s="531"/>
      <c r="EQG105" s="530"/>
      <c r="EQH105" s="531"/>
      <c r="EQI105" s="530"/>
      <c r="EQJ105" s="531"/>
      <c r="EQK105" s="530"/>
      <c r="EQL105" s="531"/>
      <c r="EQM105" s="530"/>
      <c r="EQN105" s="531"/>
      <c r="EQO105" s="530"/>
      <c r="EQP105" s="531"/>
      <c r="EQQ105" s="530"/>
      <c r="EQR105" s="531"/>
      <c r="EQS105" s="530"/>
      <c r="EQT105" s="531"/>
      <c r="EQU105" s="530"/>
      <c r="EQV105" s="531"/>
      <c r="EQW105" s="530"/>
      <c r="EQX105" s="531"/>
      <c r="EQY105" s="530"/>
      <c r="EQZ105" s="531"/>
      <c r="ERA105" s="530"/>
      <c r="ERB105" s="531"/>
      <c r="ERC105" s="530"/>
      <c r="ERD105" s="531"/>
      <c r="ERE105" s="530"/>
      <c r="ERF105" s="531"/>
      <c r="ERG105" s="530"/>
      <c r="ERH105" s="531"/>
      <c r="ERI105" s="530"/>
      <c r="ERJ105" s="531"/>
      <c r="ERK105" s="530"/>
      <c r="ERL105" s="531"/>
      <c r="ERM105" s="530"/>
      <c r="ERN105" s="531"/>
      <c r="ERO105" s="530"/>
      <c r="ERP105" s="531"/>
      <c r="ERQ105" s="530"/>
      <c r="ERR105" s="531"/>
      <c r="ERS105" s="530"/>
      <c r="ERT105" s="531"/>
      <c r="ERU105" s="530"/>
      <c r="ERV105" s="531"/>
      <c r="ERW105" s="530"/>
      <c r="ERX105" s="531"/>
      <c r="ERY105" s="530"/>
      <c r="ERZ105" s="531"/>
      <c r="ESA105" s="530"/>
      <c r="ESB105" s="531"/>
      <c r="ESC105" s="530"/>
      <c r="ESD105" s="531"/>
      <c r="ESE105" s="530"/>
      <c r="ESF105" s="531"/>
      <c r="ESG105" s="530"/>
      <c r="ESH105" s="531"/>
      <c r="ESI105" s="530"/>
      <c r="ESJ105" s="531"/>
      <c r="ESK105" s="530"/>
      <c r="ESL105" s="531"/>
      <c r="ESM105" s="530"/>
      <c r="ESN105" s="531"/>
      <c r="ESO105" s="530"/>
      <c r="ESP105" s="531"/>
      <c r="ESQ105" s="530"/>
      <c r="ESR105" s="531"/>
      <c r="ESS105" s="530"/>
      <c r="EST105" s="531"/>
      <c r="ESU105" s="530"/>
      <c r="ESV105" s="531"/>
      <c r="ESW105" s="530"/>
      <c r="ESX105" s="531"/>
      <c r="ESY105" s="530"/>
      <c r="ESZ105" s="531"/>
      <c r="ETA105" s="530"/>
      <c r="ETB105" s="531"/>
      <c r="ETC105" s="530"/>
      <c r="ETD105" s="531"/>
      <c r="ETE105" s="530"/>
      <c r="ETF105" s="531"/>
      <c r="ETG105" s="530"/>
      <c r="ETH105" s="531"/>
      <c r="ETI105" s="530"/>
      <c r="ETJ105" s="531"/>
      <c r="ETK105" s="530"/>
      <c r="ETL105" s="531"/>
      <c r="ETM105" s="530"/>
      <c r="ETN105" s="531"/>
      <c r="ETO105" s="530"/>
      <c r="ETP105" s="531"/>
      <c r="ETQ105" s="530"/>
      <c r="ETR105" s="531"/>
      <c r="ETS105" s="530"/>
      <c r="ETT105" s="531"/>
      <c r="ETU105" s="530"/>
      <c r="ETV105" s="531"/>
      <c r="ETW105" s="530"/>
      <c r="ETX105" s="531"/>
      <c r="ETY105" s="530"/>
      <c r="ETZ105" s="531"/>
      <c r="EUA105" s="530"/>
      <c r="EUB105" s="531"/>
      <c r="EUC105" s="530"/>
      <c r="EUD105" s="531"/>
      <c r="EUE105" s="530"/>
      <c r="EUF105" s="531"/>
      <c r="EUG105" s="530"/>
      <c r="EUH105" s="531"/>
      <c r="EUI105" s="530"/>
      <c r="EUJ105" s="531"/>
      <c r="EUK105" s="530"/>
      <c r="EUL105" s="531"/>
      <c r="EUM105" s="530"/>
      <c r="EUN105" s="531"/>
      <c r="EUO105" s="530"/>
      <c r="EUP105" s="531"/>
      <c r="EUQ105" s="530"/>
      <c r="EUR105" s="531"/>
      <c r="EUS105" s="530"/>
      <c r="EUT105" s="531"/>
      <c r="EUU105" s="530"/>
      <c r="EUV105" s="531"/>
      <c r="EUW105" s="530"/>
      <c r="EUX105" s="531"/>
      <c r="EUY105" s="530"/>
      <c r="EUZ105" s="531"/>
      <c r="EVA105" s="530"/>
      <c r="EVB105" s="531"/>
      <c r="EVC105" s="530"/>
      <c r="EVD105" s="531"/>
      <c r="EVE105" s="530"/>
      <c r="EVF105" s="531"/>
      <c r="EVG105" s="530"/>
      <c r="EVH105" s="531"/>
      <c r="EVI105" s="530"/>
      <c r="EVJ105" s="531"/>
      <c r="EVK105" s="530"/>
      <c r="EVL105" s="531"/>
      <c r="EVM105" s="530"/>
      <c r="EVN105" s="531"/>
      <c r="EVO105" s="530"/>
      <c r="EVP105" s="531"/>
      <c r="EVQ105" s="530"/>
      <c r="EVR105" s="531"/>
      <c r="EVS105" s="530"/>
      <c r="EVT105" s="531"/>
      <c r="EVU105" s="530"/>
      <c r="EVV105" s="531"/>
      <c r="EVW105" s="530"/>
      <c r="EVX105" s="531"/>
      <c r="EVY105" s="530"/>
      <c r="EVZ105" s="531"/>
      <c r="EWA105" s="530"/>
      <c r="EWB105" s="531"/>
      <c r="EWC105" s="530"/>
      <c r="EWD105" s="531"/>
      <c r="EWE105" s="530"/>
      <c r="EWF105" s="531"/>
      <c r="EWG105" s="530"/>
      <c r="EWH105" s="531"/>
      <c r="EWI105" s="530"/>
      <c r="EWJ105" s="531"/>
      <c r="EWK105" s="530"/>
      <c r="EWL105" s="531"/>
      <c r="EWM105" s="530"/>
      <c r="EWN105" s="531"/>
      <c r="EWO105" s="530"/>
      <c r="EWP105" s="531"/>
      <c r="EWQ105" s="530"/>
      <c r="EWR105" s="531"/>
      <c r="EWS105" s="530"/>
      <c r="EWT105" s="531"/>
      <c r="EWU105" s="530"/>
      <c r="EWV105" s="531"/>
      <c r="EWW105" s="530"/>
      <c r="EWX105" s="531"/>
      <c r="EWY105" s="530"/>
      <c r="EWZ105" s="531"/>
      <c r="EXA105" s="530"/>
      <c r="EXB105" s="531"/>
      <c r="EXC105" s="530"/>
      <c r="EXD105" s="531"/>
      <c r="EXE105" s="530"/>
      <c r="EXF105" s="531"/>
      <c r="EXG105" s="530"/>
      <c r="EXH105" s="531"/>
      <c r="EXI105" s="530"/>
      <c r="EXJ105" s="531"/>
      <c r="EXK105" s="530"/>
      <c r="EXL105" s="531"/>
      <c r="EXM105" s="530"/>
      <c r="EXN105" s="531"/>
      <c r="EXO105" s="530"/>
      <c r="EXP105" s="531"/>
      <c r="EXQ105" s="530"/>
      <c r="EXR105" s="531"/>
      <c r="EXS105" s="530"/>
      <c r="EXT105" s="531"/>
      <c r="EXU105" s="530"/>
      <c r="EXV105" s="531"/>
      <c r="EXW105" s="530"/>
      <c r="EXX105" s="531"/>
      <c r="EXY105" s="530"/>
      <c r="EXZ105" s="531"/>
      <c r="EYA105" s="530"/>
      <c r="EYB105" s="531"/>
      <c r="EYC105" s="530"/>
      <c r="EYD105" s="531"/>
      <c r="EYE105" s="530"/>
      <c r="EYF105" s="531"/>
      <c r="EYG105" s="530"/>
      <c r="EYH105" s="531"/>
      <c r="EYI105" s="530"/>
      <c r="EYJ105" s="531"/>
      <c r="EYK105" s="530"/>
      <c r="EYL105" s="531"/>
      <c r="EYM105" s="530"/>
      <c r="EYN105" s="531"/>
      <c r="EYO105" s="530"/>
      <c r="EYP105" s="531"/>
      <c r="EYQ105" s="530"/>
      <c r="EYR105" s="531"/>
      <c r="EYS105" s="530"/>
      <c r="EYT105" s="531"/>
      <c r="EYU105" s="530"/>
      <c r="EYV105" s="531"/>
      <c r="EYW105" s="530"/>
      <c r="EYX105" s="531"/>
      <c r="EYY105" s="530"/>
      <c r="EYZ105" s="531"/>
      <c r="EZA105" s="530"/>
      <c r="EZB105" s="531"/>
      <c r="EZC105" s="530"/>
      <c r="EZD105" s="531"/>
      <c r="EZE105" s="530"/>
      <c r="EZF105" s="531"/>
      <c r="EZG105" s="530"/>
      <c r="EZH105" s="531"/>
      <c r="EZI105" s="530"/>
      <c r="EZJ105" s="531"/>
      <c r="EZK105" s="530"/>
      <c r="EZL105" s="531"/>
      <c r="EZM105" s="530"/>
      <c r="EZN105" s="531"/>
      <c r="EZO105" s="530"/>
      <c r="EZP105" s="531"/>
      <c r="EZQ105" s="530"/>
      <c r="EZR105" s="531"/>
      <c r="EZS105" s="530"/>
      <c r="EZT105" s="531"/>
      <c r="EZU105" s="530"/>
      <c r="EZV105" s="531"/>
      <c r="EZW105" s="530"/>
      <c r="EZX105" s="531"/>
      <c r="EZY105" s="530"/>
      <c r="EZZ105" s="531"/>
      <c r="FAA105" s="530"/>
      <c r="FAB105" s="531"/>
      <c r="FAC105" s="530"/>
      <c r="FAD105" s="531"/>
      <c r="FAE105" s="530"/>
      <c r="FAF105" s="531"/>
      <c r="FAG105" s="530"/>
      <c r="FAH105" s="531"/>
      <c r="FAI105" s="530"/>
      <c r="FAJ105" s="531"/>
      <c r="FAK105" s="530"/>
      <c r="FAL105" s="531"/>
      <c r="FAM105" s="530"/>
      <c r="FAN105" s="531"/>
      <c r="FAO105" s="530"/>
      <c r="FAP105" s="531"/>
      <c r="FAQ105" s="530"/>
      <c r="FAR105" s="531"/>
      <c r="FAS105" s="530"/>
      <c r="FAT105" s="531"/>
      <c r="FAU105" s="530"/>
      <c r="FAV105" s="531"/>
      <c r="FAW105" s="530"/>
      <c r="FAX105" s="531"/>
      <c r="FAY105" s="530"/>
      <c r="FAZ105" s="531"/>
      <c r="FBA105" s="530"/>
      <c r="FBB105" s="531"/>
      <c r="FBC105" s="530"/>
      <c r="FBD105" s="531"/>
      <c r="FBE105" s="530"/>
      <c r="FBF105" s="531"/>
      <c r="FBG105" s="530"/>
      <c r="FBH105" s="531"/>
      <c r="FBI105" s="530"/>
      <c r="FBJ105" s="531"/>
      <c r="FBK105" s="530"/>
      <c r="FBL105" s="531"/>
      <c r="FBM105" s="530"/>
      <c r="FBN105" s="531"/>
      <c r="FBO105" s="530"/>
      <c r="FBP105" s="531"/>
      <c r="FBQ105" s="530"/>
      <c r="FBR105" s="531"/>
      <c r="FBS105" s="530"/>
      <c r="FBT105" s="531"/>
      <c r="FBU105" s="530"/>
      <c r="FBV105" s="531"/>
      <c r="FBW105" s="530"/>
      <c r="FBX105" s="531"/>
      <c r="FBY105" s="530"/>
      <c r="FBZ105" s="531"/>
      <c r="FCA105" s="530"/>
      <c r="FCB105" s="531"/>
      <c r="FCC105" s="530"/>
      <c r="FCD105" s="531"/>
      <c r="FCE105" s="530"/>
      <c r="FCF105" s="531"/>
      <c r="FCG105" s="530"/>
      <c r="FCH105" s="531"/>
      <c r="FCI105" s="530"/>
      <c r="FCJ105" s="531"/>
      <c r="FCK105" s="530"/>
      <c r="FCL105" s="531"/>
      <c r="FCM105" s="530"/>
      <c r="FCN105" s="531"/>
      <c r="FCO105" s="530"/>
      <c r="FCP105" s="531"/>
      <c r="FCQ105" s="530"/>
      <c r="FCR105" s="531"/>
      <c r="FCS105" s="530"/>
      <c r="FCT105" s="531"/>
      <c r="FCU105" s="530"/>
      <c r="FCV105" s="531"/>
      <c r="FCW105" s="530"/>
      <c r="FCX105" s="531"/>
      <c r="FCY105" s="530"/>
      <c r="FCZ105" s="531"/>
      <c r="FDA105" s="530"/>
      <c r="FDB105" s="531"/>
      <c r="FDC105" s="530"/>
      <c r="FDD105" s="531"/>
      <c r="FDE105" s="530"/>
      <c r="FDF105" s="531"/>
      <c r="FDG105" s="530"/>
      <c r="FDH105" s="531"/>
      <c r="FDI105" s="530"/>
      <c r="FDJ105" s="531"/>
      <c r="FDK105" s="530"/>
      <c r="FDL105" s="531"/>
      <c r="FDM105" s="530"/>
      <c r="FDN105" s="531"/>
      <c r="FDO105" s="530"/>
      <c r="FDP105" s="531"/>
      <c r="FDQ105" s="530"/>
      <c r="FDR105" s="531"/>
      <c r="FDS105" s="530"/>
      <c r="FDT105" s="531"/>
      <c r="FDU105" s="530"/>
      <c r="FDV105" s="531"/>
      <c r="FDW105" s="530"/>
      <c r="FDX105" s="531"/>
      <c r="FDY105" s="530"/>
      <c r="FDZ105" s="531"/>
      <c r="FEA105" s="530"/>
      <c r="FEB105" s="531"/>
      <c r="FEC105" s="530"/>
      <c r="FED105" s="531"/>
      <c r="FEE105" s="530"/>
      <c r="FEF105" s="531"/>
      <c r="FEG105" s="530"/>
      <c r="FEH105" s="531"/>
      <c r="FEI105" s="530"/>
      <c r="FEJ105" s="531"/>
      <c r="FEK105" s="530"/>
      <c r="FEL105" s="531"/>
      <c r="FEM105" s="530"/>
      <c r="FEN105" s="531"/>
      <c r="FEO105" s="530"/>
      <c r="FEP105" s="531"/>
      <c r="FEQ105" s="530"/>
      <c r="FER105" s="531"/>
      <c r="FES105" s="530"/>
      <c r="FET105" s="531"/>
      <c r="FEU105" s="530"/>
      <c r="FEV105" s="531"/>
      <c r="FEW105" s="530"/>
      <c r="FEX105" s="531"/>
      <c r="FEY105" s="530"/>
      <c r="FEZ105" s="531"/>
      <c r="FFA105" s="530"/>
      <c r="FFB105" s="531"/>
      <c r="FFC105" s="530"/>
      <c r="FFD105" s="531"/>
      <c r="FFE105" s="530"/>
      <c r="FFF105" s="531"/>
      <c r="FFG105" s="530"/>
      <c r="FFH105" s="531"/>
      <c r="FFI105" s="530"/>
      <c r="FFJ105" s="531"/>
      <c r="FFK105" s="530"/>
      <c r="FFL105" s="531"/>
      <c r="FFM105" s="530"/>
      <c r="FFN105" s="531"/>
      <c r="FFO105" s="530"/>
      <c r="FFP105" s="531"/>
      <c r="FFQ105" s="530"/>
      <c r="FFR105" s="531"/>
      <c r="FFS105" s="530"/>
      <c r="FFT105" s="531"/>
      <c r="FFU105" s="530"/>
      <c r="FFV105" s="531"/>
      <c r="FFW105" s="530"/>
      <c r="FFX105" s="531"/>
      <c r="FFY105" s="530"/>
      <c r="FFZ105" s="531"/>
      <c r="FGA105" s="530"/>
      <c r="FGB105" s="531"/>
      <c r="FGC105" s="530"/>
      <c r="FGD105" s="531"/>
      <c r="FGE105" s="530"/>
      <c r="FGF105" s="531"/>
      <c r="FGG105" s="530"/>
      <c r="FGH105" s="531"/>
      <c r="FGI105" s="530"/>
      <c r="FGJ105" s="531"/>
      <c r="FGK105" s="530"/>
      <c r="FGL105" s="531"/>
      <c r="FGM105" s="530"/>
      <c r="FGN105" s="531"/>
      <c r="FGO105" s="530"/>
      <c r="FGP105" s="531"/>
      <c r="FGQ105" s="530"/>
      <c r="FGR105" s="531"/>
      <c r="FGS105" s="530"/>
      <c r="FGT105" s="531"/>
      <c r="FGU105" s="530"/>
      <c r="FGV105" s="531"/>
      <c r="FGW105" s="530"/>
      <c r="FGX105" s="531"/>
      <c r="FGY105" s="530"/>
      <c r="FGZ105" s="531"/>
      <c r="FHA105" s="530"/>
      <c r="FHB105" s="531"/>
      <c r="FHC105" s="530"/>
      <c r="FHD105" s="531"/>
      <c r="FHE105" s="530"/>
      <c r="FHF105" s="531"/>
      <c r="FHG105" s="530"/>
      <c r="FHH105" s="531"/>
      <c r="FHI105" s="530"/>
      <c r="FHJ105" s="531"/>
      <c r="FHK105" s="530"/>
      <c r="FHL105" s="531"/>
      <c r="FHM105" s="530"/>
      <c r="FHN105" s="531"/>
      <c r="FHO105" s="530"/>
      <c r="FHP105" s="531"/>
      <c r="FHQ105" s="530"/>
      <c r="FHR105" s="531"/>
      <c r="FHS105" s="530"/>
      <c r="FHT105" s="531"/>
      <c r="FHU105" s="530"/>
      <c r="FHV105" s="531"/>
      <c r="FHW105" s="530"/>
      <c r="FHX105" s="531"/>
      <c r="FHY105" s="530"/>
      <c r="FHZ105" s="531"/>
      <c r="FIA105" s="530"/>
      <c r="FIB105" s="531"/>
      <c r="FIC105" s="530"/>
      <c r="FID105" s="531"/>
      <c r="FIE105" s="530"/>
      <c r="FIF105" s="531"/>
      <c r="FIG105" s="530"/>
      <c r="FIH105" s="531"/>
      <c r="FII105" s="530"/>
      <c r="FIJ105" s="531"/>
      <c r="FIK105" s="530"/>
      <c r="FIL105" s="531"/>
      <c r="FIM105" s="530"/>
      <c r="FIN105" s="531"/>
      <c r="FIO105" s="530"/>
      <c r="FIP105" s="531"/>
      <c r="FIQ105" s="530"/>
      <c r="FIR105" s="531"/>
      <c r="FIS105" s="530"/>
      <c r="FIT105" s="531"/>
      <c r="FIU105" s="530"/>
      <c r="FIV105" s="531"/>
      <c r="FIW105" s="530"/>
      <c r="FIX105" s="531"/>
      <c r="FIY105" s="530"/>
      <c r="FIZ105" s="531"/>
      <c r="FJA105" s="530"/>
      <c r="FJB105" s="531"/>
      <c r="FJC105" s="530"/>
      <c r="FJD105" s="531"/>
      <c r="FJE105" s="530"/>
      <c r="FJF105" s="531"/>
      <c r="FJG105" s="530"/>
      <c r="FJH105" s="531"/>
      <c r="FJI105" s="530"/>
      <c r="FJJ105" s="531"/>
      <c r="FJK105" s="530"/>
      <c r="FJL105" s="531"/>
      <c r="FJM105" s="530"/>
      <c r="FJN105" s="531"/>
      <c r="FJO105" s="530"/>
      <c r="FJP105" s="531"/>
      <c r="FJQ105" s="530"/>
      <c r="FJR105" s="531"/>
      <c r="FJS105" s="530"/>
      <c r="FJT105" s="531"/>
      <c r="FJU105" s="530"/>
      <c r="FJV105" s="531"/>
      <c r="FJW105" s="530"/>
      <c r="FJX105" s="531"/>
      <c r="FJY105" s="530"/>
      <c r="FJZ105" s="531"/>
      <c r="FKA105" s="530"/>
      <c r="FKB105" s="531"/>
      <c r="FKC105" s="530"/>
      <c r="FKD105" s="531"/>
      <c r="FKE105" s="530"/>
      <c r="FKF105" s="531"/>
      <c r="FKG105" s="530"/>
      <c r="FKH105" s="531"/>
      <c r="FKI105" s="530"/>
      <c r="FKJ105" s="531"/>
      <c r="FKK105" s="530"/>
      <c r="FKL105" s="531"/>
      <c r="FKM105" s="530"/>
      <c r="FKN105" s="531"/>
      <c r="FKO105" s="530"/>
      <c r="FKP105" s="531"/>
      <c r="FKQ105" s="530"/>
      <c r="FKR105" s="531"/>
      <c r="FKS105" s="530"/>
      <c r="FKT105" s="531"/>
      <c r="FKU105" s="530"/>
      <c r="FKV105" s="531"/>
      <c r="FKW105" s="530"/>
      <c r="FKX105" s="531"/>
      <c r="FKY105" s="530"/>
      <c r="FKZ105" s="531"/>
      <c r="FLA105" s="530"/>
      <c r="FLB105" s="531"/>
      <c r="FLC105" s="530"/>
      <c r="FLD105" s="531"/>
      <c r="FLE105" s="530"/>
      <c r="FLF105" s="531"/>
      <c r="FLG105" s="530"/>
      <c r="FLH105" s="531"/>
      <c r="FLI105" s="530"/>
      <c r="FLJ105" s="531"/>
      <c r="FLK105" s="530"/>
      <c r="FLL105" s="531"/>
      <c r="FLM105" s="530"/>
      <c r="FLN105" s="531"/>
      <c r="FLO105" s="530"/>
      <c r="FLP105" s="531"/>
      <c r="FLQ105" s="530"/>
      <c r="FLR105" s="531"/>
      <c r="FLS105" s="530"/>
      <c r="FLT105" s="531"/>
      <c r="FLU105" s="530"/>
      <c r="FLV105" s="531"/>
      <c r="FLW105" s="530"/>
      <c r="FLX105" s="531"/>
      <c r="FLY105" s="530"/>
      <c r="FLZ105" s="531"/>
      <c r="FMA105" s="530"/>
      <c r="FMB105" s="531"/>
      <c r="FMC105" s="530"/>
      <c r="FMD105" s="531"/>
      <c r="FME105" s="530"/>
      <c r="FMF105" s="531"/>
      <c r="FMG105" s="530"/>
      <c r="FMH105" s="531"/>
      <c r="FMI105" s="530"/>
      <c r="FMJ105" s="531"/>
      <c r="FMK105" s="530"/>
      <c r="FML105" s="531"/>
      <c r="FMM105" s="530"/>
      <c r="FMN105" s="531"/>
      <c r="FMO105" s="530"/>
      <c r="FMP105" s="531"/>
      <c r="FMQ105" s="530"/>
      <c r="FMR105" s="531"/>
      <c r="FMS105" s="530"/>
      <c r="FMT105" s="531"/>
      <c r="FMU105" s="530"/>
      <c r="FMV105" s="531"/>
      <c r="FMW105" s="530"/>
      <c r="FMX105" s="531"/>
      <c r="FMY105" s="530"/>
      <c r="FMZ105" s="531"/>
      <c r="FNA105" s="530"/>
      <c r="FNB105" s="531"/>
      <c r="FNC105" s="530"/>
      <c r="FND105" s="531"/>
      <c r="FNE105" s="530"/>
      <c r="FNF105" s="531"/>
      <c r="FNG105" s="530"/>
      <c r="FNH105" s="531"/>
      <c r="FNI105" s="530"/>
      <c r="FNJ105" s="531"/>
      <c r="FNK105" s="530"/>
      <c r="FNL105" s="531"/>
      <c r="FNM105" s="530"/>
      <c r="FNN105" s="531"/>
      <c r="FNO105" s="530"/>
      <c r="FNP105" s="531"/>
      <c r="FNQ105" s="530"/>
      <c r="FNR105" s="531"/>
      <c r="FNS105" s="530"/>
      <c r="FNT105" s="531"/>
      <c r="FNU105" s="530"/>
      <c r="FNV105" s="531"/>
      <c r="FNW105" s="530"/>
      <c r="FNX105" s="531"/>
      <c r="FNY105" s="530"/>
      <c r="FNZ105" s="531"/>
      <c r="FOA105" s="530"/>
      <c r="FOB105" s="531"/>
      <c r="FOC105" s="530"/>
      <c r="FOD105" s="531"/>
      <c r="FOE105" s="530"/>
      <c r="FOF105" s="531"/>
      <c r="FOG105" s="530"/>
      <c r="FOH105" s="531"/>
      <c r="FOI105" s="530"/>
      <c r="FOJ105" s="531"/>
      <c r="FOK105" s="530"/>
      <c r="FOL105" s="531"/>
      <c r="FOM105" s="530"/>
      <c r="FON105" s="531"/>
      <c r="FOO105" s="530"/>
      <c r="FOP105" s="531"/>
      <c r="FOQ105" s="530"/>
      <c r="FOR105" s="531"/>
      <c r="FOS105" s="530"/>
      <c r="FOT105" s="531"/>
      <c r="FOU105" s="530"/>
      <c r="FOV105" s="531"/>
      <c r="FOW105" s="530"/>
      <c r="FOX105" s="531"/>
      <c r="FOY105" s="530"/>
      <c r="FOZ105" s="531"/>
      <c r="FPA105" s="530"/>
      <c r="FPB105" s="531"/>
      <c r="FPC105" s="530"/>
      <c r="FPD105" s="531"/>
      <c r="FPE105" s="530"/>
      <c r="FPF105" s="531"/>
      <c r="FPG105" s="530"/>
      <c r="FPH105" s="531"/>
      <c r="FPI105" s="530"/>
      <c r="FPJ105" s="531"/>
      <c r="FPK105" s="530"/>
      <c r="FPL105" s="531"/>
      <c r="FPM105" s="530"/>
      <c r="FPN105" s="531"/>
      <c r="FPO105" s="530"/>
      <c r="FPP105" s="531"/>
      <c r="FPQ105" s="530"/>
      <c r="FPR105" s="531"/>
      <c r="FPS105" s="530"/>
      <c r="FPT105" s="531"/>
      <c r="FPU105" s="530"/>
      <c r="FPV105" s="531"/>
      <c r="FPW105" s="530"/>
      <c r="FPX105" s="531"/>
      <c r="FPY105" s="530"/>
      <c r="FPZ105" s="531"/>
      <c r="FQA105" s="530"/>
      <c r="FQB105" s="531"/>
      <c r="FQC105" s="530"/>
      <c r="FQD105" s="531"/>
      <c r="FQE105" s="530"/>
      <c r="FQF105" s="531"/>
      <c r="FQG105" s="530"/>
      <c r="FQH105" s="531"/>
      <c r="FQI105" s="530"/>
      <c r="FQJ105" s="531"/>
      <c r="FQK105" s="530"/>
      <c r="FQL105" s="531"/>
      <c r="FQM105" s="530"/>
      <c r="FQN105" s="531"/>
      <c r="FQO105" s="530"/>
      <c r="FQP105" s="531"/>
      <c r="FQQ105" s="530"/>
      <c r="FQR105" s="531"/>
      <c r="FQS105" s="530"/>
      <c r="FQT105" s="531"/>
      <c r="FQU105" s="530"/>
      <c r="FQV105" s="531"/>
      <c r="FQW105" s="530"/>
      <c r="FQX105" s="531"/>
      <c r="FQY105" s="530"/>
      <c r="FQZ105" s="531"/>
      <c r="FRA105" s="530"/>
      <c r="FRB105" s="531"/>
      <c r="FRC105" s="530"/>
      <c r="FRD105" s="531"/>
      <c r="FRE105" s="530"/>
      <c r="FRF105" s="531"/>
      <c r="FRG105" s="530"/>
      <c r="FRH105" s="531"/>
      <c r="FRI105" s="530"/>
      <c r="FRJ105" s="531"/>
      <c r="FRK105" s="530"/>
      <c r="FRL105" s="531"/>
      <c r="FRM105" s="530"/>
      <c r="FRN105" s="531"/>
      <c r="FRO105" s="530"/>
      <c r="FRP105" s="531"/>
      <c r="FRQ105" s="530"/>
      <c r="FRR105" s="531"/>
      <c r="FRS105" s="530"/>
      <c r="FRT105" s="531"/>
      <c r="FRU105" s="530"/>
      <c r="FRV105" s="531"/>
      <c r="FRW105" s="530"/>
      <c r="FRX105" s="531"/>
      <c r="FRY105" s="530"/>
      <c r="FRZ105" s="531"/>
      <c r="FSA105" s="530"/>
      <c r="FSB105" s="531"/>
      <c r="FSC105" s="530"/>
      <c r="FSD105" s="531"/>
      <c r="FSE105" s="530"/>
      <c r="FSF105" s="531"/>
      <c r="FSG105" s="530"/>
      <c r="FSH105" s="531"/>
      <c r="FSI105" s="530"/>
      <c r="FSJ105" s="531"/>
      <c r="FSK105" s="530"/>
      <c r="FSL105" s="531"/>
      <c r="FSM105" s="530"/>
      <c r="FSN105" s="531"/>
      <c r="FSO105" s="530"/>
      <c r="FSP105" s="531"/>
      <c r="FSQ105" s="530"/>
      <c r="FSR105" s="531"/>
      <c r="FSS105" s="530"/>
      <c r="FST105" s="531"/>
      <c r="FSU105" s="530"/>
      <c r="FSV105" s="531"/>
      <c r="FSW105" s="530"/>
      <c r="FSX105" s="531"/>
      <c r="FSY105" s="530"/>
      <c r="FSZ105" s="531"/>
      <c r="FTA105" s="530"/>
      <c r="FTB105" s="531"/>
      <c r="FTC105" s="530"/>
      <c r="FTD105" s="531"/>
      <c r="FTE105" s="530"/>
      <c r="FTF105" s="531"/>
      <c r="FTG105" s="530"/>
      <c r="FTH105" s="531"/>
      <c r="FTI105" s="530"/>
      <c r="FTJ105" s="531"/>
      <c r="FTK105" s="530"/>
      <c r="FTL105" s="531"/>
      <c r="FTM105" s="530"/>
      <c r="FTN105" s="531"/>
      <c r="FTO105" s="530"/>
      <c r="FTP105" s="531"/>
      <c r="FTQ105" s="530"/>
      <c r="FTR105" s="531"/>
      <c r="FTS105" s="530"/>
      <c r="FTT105" s="531"/>
      <c r="FTU105" s="530"/>
      <c r="FTV105" s="531"/>
      <c r="FTW105" s="530"/>
      <c r="FTX105" s="531"/>
      <c r="FTY105" s="530"/>
      <c r="FTZ105" s="531"/>
      <c r="FUA105" s="530"/>
      <c r="FUB105" s="531"/>
      <c r="FUC105" s="530"/>
      <c r="FUD105" s="531"/>
      <c r="FUE105" s="530"/>
      <c r="FUF105" s="531"/>
      <c r="FUG105" s="530"/>
      <c r="FUH105" s="531"/>
      <c r="FUI105" s="530"/>
      <c r="FUJ105" s="531"/>
      <c r="FUK105" s="530"/>
      <c r="FUL105" s="531"/>
      <c r="FUM105" s="530"/>
      <c r="FUN105" s="531"/>
      <c r="FUO105" s="530"/>
      <c r="FUP105" s="531"/>
      <c r="FUQ105" s="530"/>
      <c r="FUR105" s="531"/>
      <c r="FUS105" s="530"/>
      <c r="FUT105" s="531"/>
      <c r="FUU105" s="530"/>
      <c r="FUV105" s="531"/>
      <c r="FUW105" s="530"/>
      <c r="FUX105" s="531"/>
      <c r="FUY105" s="530"/>
      <c r="FUZ105" s="531"/>
      <c r="FVA105" s="530"/>
      <c r="FVB105" s="531"/>
      <c r="FVC105" s="530"/>
      <c r="FVD105" s="531"/>
      <c r="FVE105" s="530"/>
      <c r="FVF105" s="531"/>
      <c r="FVG105" s="530"/>
      <c r="FVH105" s="531"/>
      <c r="FVI105" s="530"/>
      <c r="FVJ105" s="531"/>
      <c r="FVK105" s="530"/>
      <c r="FVL105" s="531"/>
      <c r="FVM105" s="530"/>
      <c r="FVN105" s="531"/>
      <c r="FVO105" s="530"/>
      <c r="FVP105" s="531"/>
      <c r="FVQ105" s="530"/>
      <c r="FVR105" s="531"/>
      <c r="FVS105" s="530"/>
      <c r="FVT105" s="531"/>
      <c r="FVU105" s="530"/>
      <c r="FVV105" s="531"/>
      <c r="FVW105" s="530"/>
      <c r="FVX105" s="531"/>
      <c r="FVY105" s="530"/>
      <c r="FVZ105" s="531"/>
      <c r="FWA105" s="530"/>
      <c r="FWB105" s="531"/>
      <c r="FWC105" s="530"/>
      <c r="FWD105" s="531"/>
      <c r="FWE105" s="530"/>
      <c r="FWF105" s="531"/>
      <c r="FWG105" s="530"/>
      <c r="FWH105" s="531"/>
      <c r="FWI105" s="530"/>
      <c r="FWJ105" s="531"/>
      <c r="FWK105" s="530"/>
      <c r="FWL105" s="531"/>
      <c r="FWM105" s="530"/>
      <c r="FWN105" s="531"/>
      <c r="FWO105" s="530"/>
      <c r="FWP105" s="531"/>
      <c r="FWQ105" s="530"/>
      <c r="FWR105" s="531"/>
      <c r="FWS105" s="530"/>
      <c r="FWT105" s="531"/>
      <c r="FWU105" s="530"/>
      <c r="FWV105" s="531"/>
      <c r="FWW105" s="530"/>
      <c r="FWX105" s="531"/>
      <c r="FWY105" s="530"/>
      <c r="FWZ105" s="531"/>
      <c r="FXA105" s="530"/>
      <c r="FXB105" s="531"/>
      <c r="FXC105" s="530"/>
      <c r="FXD105" s="531"/>
      <c r="FXE105" s="530"/>
      <c r="FXF105" s="531"/>
      <c r="FXG105" s="530"/>
      <c r="FXH105" s="531"/>
      <c r="FXI105" s="530"/>
      <c r="FXJ105" s="531"/>
      <c r="FXK105" s="530"/>
      <c r="FXL105" s="531"/>
      <c r="FXM105" s="530"/>
      <c r="FXN105" s="531"/>
      <c r="FXO105" s="530"/>
      <c r="FXP105" s="531"/>
      <c r="FXQ105" s="530"/>
      <c r="FXR105" s="531"/>
      <c r="FXS105" s="530"/>
      <c r="FXT105" s="531"/>
      <c r="FXU105" s="530"/>
      <c r="FXV105" s="531"/>
      <c r="FXW105" s="530"/>
      <c r="FXX105" s="531"/>
      <c r="FXY105" s="530"/>
      <c r="FXZ105" s="531"/>
      <c r="FYA105" s="530"/>
      <c r="FYB105" s="531"/>
      <c r="FYC105" s="530"/>
      <c r="FYD105" s="531"/>
      <c r="FYE105" s="530"/>
      <c r="FYF105" s="531"/>
      <c r="FYG105" s="530"/>
      <c r="FYH105" s="531"/>
      <c r="FYI105" s="530"/>
      <c r="FYJ105" s="531"/>
      <c r="FYK105" s="530"/>
      <c r="FYL105" s="531"/>
      <c r="FYM105" s="530"/>
      <c r="FYN105" s="531"/>
      <c r="FYO105" s="530"/>
      <c r="FYP105" s="531"/>
      <c r="FYQ105" s="530"/>
      <c r="FYR105" s="531"/>
      <c r="FYS105" s="530"/>
      <c r="FYT105" s="531"/>
      <c r="FYU105" s="530"/>
      <c r="FYV105" s="531"/>
      <c r="FYW105" s="530"/>
      <c r="FYX105" s="531"/>
      <c r="FYY105" s="530"/>
      <c r="FYZ105" s="531"/>
      <c r="FZA105" s="530"/>
      <c r="FZB105" s="531"/>
      <c r="FZC105" s="530"/>
      <c r="FZD105" s="531"/>
      <c r="FZE105" s="530"/>
      <c r="FZF105" s="531"/>
      <c r="FZG105" s="530"/>
      <c r="FZH105" s="531"/>
      <c r="FZI105" s="530"/>
      <c r="FZJ105" s="531"/>
      <c r="FZK105" s="530"/>
      <c r="FZL105" s="531"/>
      <c r="FZM105" s="530"/>
      <c r="FZN105" s="531"/>
      <c r="FZO105" s="530"/>
      <c r="FZP105" s="531"/>
      <c r="FZQ105" s="530"/>
      <c r="FZR105" s="531"/>
      <c r="FZS105" s="530"/>
      <c r="FZT105" s="531"/>
      <c r="FZU105" s="530"/>
      <c r="FZV105" s="531"/>
      <c r="FZW105" s="530"/>
      <c r="FZX105" s="531"/>
      <c r="FZY105" s="530"/>
      <c r="FZZ105" s="531"/>
      <c r="GAA105" s="530"/>
      <c r="GAB105" s="531"/>
      <c r="GAC105" s="530"/>
      <c r="GAD105" s="531"/>
      <c r="GAE105" s="530"/>
      <c r="GAF105" s="531"/>
      <c r="GAG105" s="530"/>
      <c r="GAH105" s="531"/>
      <c r="GAI105" s="530"/>
      <c r="GAJ105" s="531"/>
      <c r="GAK105" s="530"/>
      <c r="GAL105" s="531"/>
      <c r="GAM105" s="530"/>
      <c r="GAN105" s="531"/>
      <c r="GAO105" s="530"/>
      <c r="GAP105" s="531"/>
      <c r="GAQ105" s="530"/>
      <c r="GAR105" s="531"/>
      <c r="GAS105" s="530"/>
      <c r="GAT105" s="531"/>
      <c r="GAU105" s="530"/>
      <c r="GAV105" s="531"/>
      <c r="GAW105" s="530"/>
      <c r="GAX105" s="531"/>
      <c r="GAY105" s="530"/>
      <c r="GAZ105" s="531"/>
      <c r="GBA105" s="530"/>
      <c r="GBB105" s="531"/>
      <c r="GBC105" s="530"/>
      <c r="GBD105" s="531"/>
      <c r="GBE105" s="530"/>
      <c r="GBF105" s="531"/>
      <c r="GBG105" s="530"/>
      <c r="GBH105" s="531"/>
      <c r="GBI105" s="530"/>
      <c r="GBJ105" s="531"/>
      <c r="GBK105" s="530"/>
      <c r="GBL105" s="531"/>
      <c r="GBM105" s="530"/>
      <c r="GBN105" s="531"/>
      <c r="GBO105" s="530"/>
      <c r="GBP105" s="531"/>
      <c r="GBQ105" s="530"/>
      <c r="GBR105" s="531"/>
      <c r="GBS105" s="530"/>
      <c r="GBT105" s="531"/>
      <c r="GBU105" s="530"/>
      <c r="GBV105" s="531"/>
      <c r="GBW105" s="530"/>
      <c r="GBX105" s="531"/>
      <c r="GBY105" s="530"/>
      <c r="GBZ105" s="531"/>
      <c r="GCA105" s="530"/>
      <c r="GCB105" s="531"/>
      <c r="GCC105" s="530"/>
      <c r="GCD105" s="531"/>
      <c r="GCE105" s="530"/>
      <c r="GCF105" s="531"/>
      <c r="GCG105" s="530"/>
      <c r="GCH105" s="531"/>
      <c r="GCI105" s="530"/>
      <c r="GCJ105" s="531"/>
      <c r="GCK105" s="530"/>
      <c r="GCL105" s="531"/>
      <c r="GCM105" s="530"/>
      <c r="GCN105" s="531"/>
      <c r="GCO105" s="530"/>
      <c r="GCP105" s="531"/>
      <c r="GCQ105" s="530"/>
      <c r="GCR105" s="531"/>
      <c r="GCS105" s="530"/>
      <c r="GCT105" s="531"/>
      <c r="GCU105" s="530"/>
      <c r="GCV105" s="531"/>
      <c r="GCW105" s="530"/>
      <c r="GCX105" s="531"/>
      <c r="GCY105" s="530"/>
      <c r="GCZ105" s="531"/>
      <c r="GDA105" s="530"/>
      <c r="GDB105" s="531"/>
      <c r="GDC105" s="530"/>
      <c r="GDD105" s="531"/>
      <c r="GDE105" s="530"/>
      <c r="GDF105" s="531"/>
      <c r="GDG105" s="530"/>
      <c r="GDH105" s="531"/>
      <c r="GDI105" s="530"/>
      <c r="GDJ105" s="531"/>
      <c r="GDK105" s="530"/>
      <c r="GDL105" s="531"/>
      <c r="GDM105" s="530"/>
      <c r="GDN105" s="531"/>
      <c r="GDO105" s="530"/>
      <c r="GDP105" s="531"/>
      <c r="GDQ105" s="530"/>
      <c r="GDR105" s="531"/>
      <c r="GDS105" s="530"/>
      <c r="GDT105" s="531"/>
      <c r="GDU105" s="530"/>
      <c r="GDV105" s="531"/>
      <c r="GDW105" s="530"/>
      <c r="GDX105" s="531"/>
      <c r="GDY105" s="530"/>
      <c r="GDZ105" s="531"/>
      <c r="GEA105" s="530"/>
      <c r="GEB105" s="531"/>
      <c r="GEC105" s="530"/>
      <c r="GED105" s="531"/>
      <c r="GEE105" s="530"/>
      <c r="GEF105" s="531"/>
      <c r="GEG105" s="530"/>
      <c r="GEH105" s="531"/>
      <c r="GEI105" s="530"/>
      <c r="GEJ105" s="531"/>
      <c r="GEK105" s="530"/>
      <c r="GEL105" s="531"/>
      <c r="GEM105" s="530"/>
      <c r="GEN105" s="531"/>
      <c r="GEO105" s="530"/>
      <c r="GEP105" s="531"/>
      <c r="GEQ105" s="530"/>
      <c r="GER105" s="531"/>
      <c r="GES105" s="530"/>
      <c r="GET105" s="531"/>
      <c r="GEU105" s="530"/>
      <c r="GEV105" s="531"/>
      <c r="GEW105" s="530"/>
      <c r="GEX105" s="531"/>
      <c r="GEY105" s="530"/>
      <c r="GEZ105" s="531"/>
      <c r="GFA105" s="530"/>
      <c r="GFB105" s="531"/>
      <c r="GFC105" s="530"/>
      <c r="GFD105" s="531"/>
      <c r="GFE105" s="530"/>
      <c r="GFF105" s="531"/>
      <c r="GFG105" s="530"/>
      <c r="GFH105" s="531"/>
      <c r="GFI105" s="530"/>
      <c r="GFJ105" s="531"/>
      <c r="GFK105" s="530"/>
      <c r="GFL105" s="531"/>
      <c r="GFM105" s="530"/>
      <c r="GFN105" s="531"/>
      <c r="GFO105" s="530"/>
      <c r="GFP105" s="531"/>
      <c r="GFQ105" s="530"/>
      <c r="GFR105" s="531"/>
      <c r="GFS105" s="530"/>
      <c r="GFT105" s="531"/>
      <c r="GFU105" s="530"/>
      <c r="GFV105" s="531"/>
      <c r="GFW105" s="530"/>
      <c r="GFX105" s="531"/>
      <c r="GFY105" s="530"/>
      <c r="GFZ105" s="531"/>
      <c r="GGA105" s="530"/>
      <c r="GGB105" s="531"/>
      <c r="GGC105" s="530"/>
      <c r="GGD105" s="531"/>
      <c r="GGE105" s="530"/>
      <c r="GGF105" s="531"/>
      <c r="GGG105" s="530"/>
      <c r="GGH105" s="531"/>
      <c r="GGI105" s="530"/>
      <c r="GGJ105" s="531"/>
      <c r="GGK105" s="530"/>
      <c r="GGL105" s="531"/>
      <c r="GGM105" s="530"/>
      <c r="GGN105" s="531"/>
      <c r="GGO105" s="530"/>
      <c r="GGP105" s="531"/>
      <c r="GGQ105" s="530"/>
      <c r="GGR105" s="531"/>
      <c r="GGS105" s="530"/>
      <c r="GGT105" s="531"/>
      <c r="GGU105" s="530"/>
      <c r="GGV105" s="531"/>
      <c r="GGW105" s="530"/>
      <c r="GGX105" s="531"/>
      <c r="GGY105" s="530"/>
      <c r="GGZ105" s="531"/>
      <c r="GHA105" s="530"/>
      <c r="GHB105" s="531"/>
      <c r="GHC105" s="530"/>
      <c r="GHD105" s="531"/>
      <c r="GHE105" s="530"/>
      <c r="GHF105" s="531"/>
      <c r="GHG105" s="530"/>
      <c r="GHH105" s="531"/>
      <c r="GHI105" s="530"/>
      <c r="GHJ105" s="531"/>
      <c r="GHK105" s="530"/>
      <c r="GHL105" s="531"/>
      <c r="GHM105" s="530"/>
      <c r="GHN105" s="531"/>
      <c r="GHO105" s="530"/>
      <c r="GHP105" s="531"/>
      <c r="GHQ105" s="530"/>
      <c r="GHR105" s="531"/>
      <c r="GHS105" s="530"/>
      <c r="GHT105" s="531"/>
      <c r="GHU105" s="530"/>
      <c r="GHV105" s="531"/>
      <c r="GHW105" s="530"/>
      <c r="GHX105" s="531"/>
      <c r="GHY105" s="530"/>
      <c r="GHZ105" s="531"/>
      <c r="GIA105" s="530"/>
      <c r="GIB105" s="531"/>
      <c r="GIC105" s="530"/>
      <c r="GID105" s="531"/>
      <c r="GIE105" s="530"/>
      <c r="GIF105" s="531"/>
      <c r="GIG105" s="530"/>
      <c r="GIH105" s="531"/>
      <c r="GII105" s="530"/>
      <c r="GIJ105" s="531"/>
      <c r="GIK105" s="530"/>
      <c r="GIL105" s="531"/>
      <c r="GIM105" s="530"/>
      <c r="GIN105" s="531"/>
      <c r="GIO105" s="530"/>
      <c r="GIP105" s="531"/>
      <c r="GIQ105" s="530"/>
      <c r="GIR105" s="531"/>
      <c r="GIS105" s="530"/>
      <c r="GIT105" s="531"/>
      <c r="GIU105" s="530"/>
      <c r="GIV105" s="531"/>
      <c r="GIW105" s="530"/>
      <c r="GIX105" s="531"/>
      <c r="GIY105" s="530"/>
      <c r="GIZ105" s="531"/>
      <c r="GJA105" s="530"/>
      <c r="GJB105" s="531"/>
      <c r="GJC105" s="530"/>
      <c r="GJD105" s="531"/>
      <c r="GJE105" s="530"/>
      <c r="GJF105" s="531"/>
      <c r="GJG105" s="530"/>
      <c r="GJH105" s="531"/>
      <c r="GJI105" s="530"/>
      <c r="GJJ105" s="531"/>
      <c r="GJK105" s="530"/>
      <c r="GJL105" s="531"/>
      <c r="GJM105" s="530"/>
      <c r="GJN105" s="531"/>
      <c r="GJO105" s="530"/>
      <c r="GJP105" s="531"/>
      <c r="GJQ105" s="530"/>
      <c r="GJR105" s="531"/>
      <c r="GJS105" s="530"/>
      <c r="GJT105" s="531"/>
      <c r="GJU105" s="530"/>
      <c r="GJV105" s="531"/>
      <c r="GJW105" s="530"/>
      <c r="GJX105" s="531"/>
      <c r="GJY105" s="530"/>
      <c r="GJZ105" s="531"/>
      <c r="GKA105" s="530"/>
      <c r="GKB105" s="531"/>
      <c r="GKC105" s="530"/>
      <c r="GKD105" s="531"/>
      <c r="GKE105" s="530"/>
      <c r="GKF105" s="531"/>
      <c r="GKG105" s="530"/>
      <c r="GKH105" s="531"/>
      <c r="GKI105" s="530"/>
      <c r="GKJ105" s="531"/>
      <c r="GKK105" s="530"/>
      <c r="GKL105" s="531"/>
      <c r="GKM105" s="530"/>
      <c r="GKN105" s="531"/>
      <c r="GKO105" s="530"/>
      <c r="GKP105" s="531"/>
      <c r="GKQ105" s="530"/>
      <c r="GKR105" s="531"/>
      <c r="GKS105" s="530"/>
      <c r="GKT105" s="531"/>
      <c r="GKU105" s="530"/>
      <c r="GKV105" s="531"/>
      <c r="GKW105" s="530"/>
      <c r="GKX105" s="531"/>
      <c r="GKY105" s="530"/>
      <c r="GKZ105" s="531"/>
      <c r="GLA105" s="530"/>
      <c r="GLB105" s="531"/>
      <c r="GLC105" s="530"/>
      <c r="GLD105" s="531"/>
      <c r="GLE105" s="530"/>
      <c r="GLF105" s="531"/>
      <c r="GLG105" s="530"/>
      <c r="GLH105" s="531"/>
      <c r="GLI105" s="530"/>
      <c r="GLJ105" s="531"/>
      <c r="GLK105" s="530"/>
      <c r="GLL105" s="531"/>
      <c r="GLM105" s="530"/>
      <c r="GLN105" s="531"/>
      <c r="GLO105" s="530"/>
      <c r="GLP105" s="531"/>
      <c r="GLQ105" s="530"/>
      <c r="GLR105" s="531"/>
      <c r="GLS105" s="530"/>
      <c r="GLT105" s="531"/>
      <c r="GLU105" s="530"/>
      <c r="GLV105" s="531"/>
      <c r="GLW105" s="530"/>
      <c r="GLX105" s="531"/>
      <c r="GLY105" s="530"/>
      <c r="GLZ105" s="531"/>
      <c r="GMA105" s="530"/>
      <c r="GMB105" s="531"/>
      <c r="GMC105" s="530"/>
      <c r="GMD105" s="531"/>
      <c r="GME105" s="530"/>
      <c r="GMF105" s="531"/>
      <c r="GMG105" s="530"/>
      <c r="GMH105" s="531"/>
      <c r="GMI105" s="530"/>
      <c r="GMJ105" s="531"/>
      <c r="GMK105" s="530"/>
      <c r="GML105" s="531"/>
      <c r="GMM105" s="530"/>
      <c r="GMN105" s="531"/>
      <c r="GMO105" s="530"/>
      <c r="GMP105" s="531"/>
      <c r="GMQ105" s="530"/>
      <c r="GMR105" s="531"/>
      <c r="GMS105" s="530"/>
      <c r="GMT105" s="531"/>
      <c r="GMU105" s="530"/>
      <c r="GMV105" s="531"/>
      <c r="GMW105" s="530"/>
      <c r="GMX105" s="531"/>
      <c r="GMY105" s="530"/>
      <c r="GMZ105" s="531"/>
      <c r="GNA105" s="530"/>
      <c r="GNB105" s="531"/>
      <c r="GNC105" s="530"/>
      <c r="GND105" s="531"/>
      <c r="GNE105" s="530"/>
      <c r="GNF105" s="531"/>
      <c r="GNG105" s="530"/>
      <c r="GNH105" s="531"/>
      <c r="GNI105" s="530"/>
      <c r="GNJ105" s="531"/>
      <c r="GNK105" s="530"/>
      <c r="GNL105" s="531"/>
      <c r="GNM105" s="530"/>
      <c r="GNN105" s="531"/>
      <c r="GNO105" s="530"/>
      <c r="GNP105" s="531"/>
      <c r="GNQ105" s="530"/>
      <c r="GNR105" s="531"/>
      <c r="GNS105" s="530"/>
      <c r="GNT105" s="531"/>
      <c r="GNU105" s="530"/>
      <c r="GNV105" s="531"/>
      <c r="GNW105" s="530"/>
      <c r="GNX105" s="531"/>
      <c r="GNY105" s="530"/>
      <c r="GNZ105" s="531"/>
      <c r="GOA105" s="530"/>
      <c r="GOB105" s="531"/>
      <c r="GOC105" s="530"/>
      <c r="GOD105" s="531"/>
      <c r="GOE105" s="530"/>
      <c r="GOF105" s="531"/>
      <c r="GOG105" s="530"/>
      <c r="GOH105" s="531"/>
      <c r="GOI105" s="530"/>
      <c r="GOJ105" s="531"/>
      <c r="GOK105" s="530"/>
      <c r="GOL105" s="531"/>
      <c r="GOM105" s="530"/>
      <c r="GON105" s="531"/>
      <c r="GOO105" s="530"/>
      <c r="GOP105" s="531"/>
      <c r="GOQ105" s="530"/>
      <c r="GOR105" s="531"/>
      <c r="GOS105" s="530"/>
      <c r="GOT105" s="531"/>
      <c r="GOU105" s="530"/>
      <c r="GOV105" s="531"/>
      <c r="GOW105" s="530"/>
      <c r="GOX105" s="531"/>
      <c r="GOY105" s="530"/>
      <c r="GOZ105" s="531"/>
      <c r="GPA105" s="530"/>
      <c r="GPB105" s="531"/>
      <c r="GPC105" s="530"/>
      <c r="GPD105" s="531"/>
      <c r="GPE105" s="530"/>
      <c r="GPF105" s="531"/>
      <c r="GPG105" s="530"/>
      <c r="GPH105" s="531"/>
      <c r="GPI105" s="530"/>
      <c r="GPJ105" s="531"/>
      <c r="GPK105" s="530"/>
      <c r="GPL105" s="531"/>
      <c r="GPM105" s="530"/>
      <c r="GPN105" s="531"/>
      <c r="GPO105" s="530"/>
      <c r="GPP105" s="531"/>
      <c r="GPQ105" s="530"/>
      <c r="GPR105" s="531"/>
      <c r="GPS105" s="530"/>
      <c r="GPT105" s="531"/>
      <c r="GPU105" s="530"/>
      <c r="GPV105" s="531"/>
      <c r="GPW105" s="530"/>
      <c r="GPX105" s="531"/>
      <c r="GPY105" s="530"/>
      <c r="GPZ105" s="531"/>
      <c r="GQA105" s="530"/>
      <c r="GQB105" s="531"/>
      <c r="GQC105" s="530"/>
      <c r="GQD105" s="531"/>
      <c r="GQE105" s="530"/>
      <c r="GQF105" s="531"/>
      <c r="GQG105" s="530"/>
      <c r="GQH105" s="531"/>
      <c r="GQI105" s="530"/>
      <c r="GQJ105" s="531"/>
      <c r="GQK105" s="530"/>
      <c r="GQL105" s="531"/>
      <c r="GQM105" s="530"/>
      <c r="GQN105" s="531"/>
      <c r="GQO105" s="530"/>
      <c r="GQP105" s="531"/>
      <c r="GQQ105" s="530"/>
      <c r="GQR105" s="531"/>
      <c r="GQS105" s="530"/>
      <c r="GQT105" s="531"/>
      <c r="GQU105" s="530"/>
      <c r="GQV105" s="531"/>
      <c r="GQW105" s="530"/>
      <c r="GQX105" s="531"/>
      <c r="GQY105" s="530"/>
      <c r="GQZ105" s="531"/>
      <c r="GRA105" s="530"/>
      <c r="GRB105" s="531"/>
      <c r="GRC105" s="530"/>
      <c r="GRD105" s="531"/>
      <c r="GRE105" s="530"/>
      <c r="GRF105" s="531"/>
      <c r="GRG105" s="530"/>
      <c r="GRH105" s="531"/>
      <c r="GRI105" s="530"/>
      <c r="GRJ105" s="531"/>
      <c r="GRK105" s="530"/>
      <c r="GRL105" s="531"/>
      <c r="GRM105" s="530"/>
      <c r="GRN105" s="531"/>
      <c r="GRO105" s="530"/>
      <c r="GRP105" s="531"/>
      <c r="GRQ105" s="530"/>
      <c r="GRR105" s="531"/>
      <c r="GRS105" s="530"/>
      <c r="GRT105" s="531"/>
      <c r="GRU105" s="530"/>
      <c r="GRV105" s="531"/>
      <c r="GRW105" s="530"/>
      <c r="GRX105" s="531"/>
      <c r="GRY105" s="530"/>
      <c r="GRZ105" s="531"/>
      <c r="GSA105" s="530"/>
      <c r="GSB105" s="531"/>
      <c r="GSC105" s="530"/>
      <c r="GSD105" s="531"/>
      <c r="GSE105" s="530"/>
      <c r="GSF105" s="531"/>
      <c r="GSG105" s="530"/>
      <c r="GSH105" s="531"/>
      <c r="GSI105" s="530"/>
      <c r="GSJ105" s="531"/>
      <c r="GSK105" s="530"/>
      <c r="GSL105" s="531"/>
      <c r="GSM105" s="530"/>
      <c r="GSN105" s="531"/>
      <c r="GSO105" s="530"/>
      <c r="GSP105" s="531"/>
      <c r="GSQ105" s="530"/>
      <c r="GSR105" s="531"/>
      <c r="GSS105" s="530"/>
      <c r="GST105" s="531"/>
      <c r="GSU105" s="530"/>
      <c r="GSV105" s="531"/>
      <c r="GSW105" s="530"/>
      <c r="GSX105" s="531"/>
      <c r="GSY105" s="530"/>
      <c r="GSZ105" s="531"/>
      <c r="GTA105" s="530"/>
      <c r="GTB105" s="531"/>
      <c r="GTC105" s="530"/>
      <c r="GTD105" s="531"/>
      <c r="GTE105" s="530"/>
      <c r="GTF105" s="531"/>
      <c r="GTG105" s="530"/>
      <c r="GTH105" s="531"/>
      <c r="GTI105" s="530"/>
      <c r="GTJ105" s="531"/>
      <c r="GTK105" s="530"/>
      <c r="GTL105" s="531"/>
      <c r="GTM105" s="530"/>
      <c r="GTN105" s="531"/>
      <c r="GTO105" s="530"/>
      <c r="GTP105" s="531"/>
      <c r="GTQ105" s="530"/>
      <c r="GTR105" s="531"/>
      <c r="GTS105" s="530"/>
      <c r="GTT105" s="531"/>
      <c r="GTU105" s="530"/>
      <c r="GTV105" s="531"/>
      <c r="GTW105" s="530"/>
      <c r="GTX105" s="531"/>
      <c r="GTY105" s="530"/>
      <c r="GTZ105" s="531"/>
      <c r="GUA105" s="530"/>
      <c r="GUB105" s="531"/>
      <c r="GUC105" s="530"/>
      <c r="GUD105" s="531"/>
      <c r="GUE105" s="530"/>
      <c r="GUF105" s="531"/>
      <c r="GUG105" s="530"/>
      <c r="GUH105" s="531"/>
      <c r="GUI105" s="530"/>
      <c r="GUJ105" s="531"/>
      <c r="GUK105" s="530"/>
      <c r="GUL105" s="531"/>
      <c r="GUM105" s="530"/>
      <c r="GUN105" s="531"/>
      <c r="GUO105" s="530"/>
      <c r="GUP105" s="531"/>
      <c r="GUQ105" s="530"/>
      <c r="GUR105" s="531"/>
      <c r="GUS105" s="530"/>
      <c r="GUT105" s="531"/>
      <c r="GUU105" s="530"/>
      <c r="GUV105" s="531"/>
      <c r="GUW105" s="530"/>
      <c r="GUX105" s="531"/>
      <c r="GUY105" s="530"/>
      <c r="GUZ105" s="531"/>
      <c r="GVA105" s="530"/>
      <c r="GVB105" s="531"/>
      <c r="GVC105" s="530"/>
      <c r="GVD105" s="531"/>
      <c r="GVE105" s="530"/>
      <c r="GVF105" s="531"/>
      <c r="GVG105" s="530"/>
      <c r="GVH105" s="531"/>
      <c r="GVI105" s="530"/>
      <c r="GVJ105" s="531"/>
      <c r="GVK105" s="530"/>
      <c r="GVL105" s="531"/>
      <c r="GVM105" s="530"/>
      <c r="GVN105" s="531"/>
      <c r="GVO105" s="530"/>
      <c r="GVP105" s="531"/>
      <c r="GVQ105" s="530"/>
      <c r="GVR105" s="531"/>
      <c r="GVS105" s="530"/>
      <c r="GVT105" s="531"/>
      <c r="GVU105" s="530"/>
      <c r="GVV105" s="531"/>
      <c r="GVW105" s="530"/>
      <c r="GVX105" s="531"/>
      <c r="GVY105" s="530"/>
      <c r="GVZ105" s="531"/>
      <c r="GWA105" s="530"/>
      <c r="GWB105" s="531"/>
      <c r="GWC105" s="530"/>
      <c r="GWD105" s="531"/>
      <c r="GWE105" s="530"/>
      <c r="GWF105" s="531"/>
      <c r="GWG105" s="530"/>
      <c r="GWH105" s="531"/>
      <c r="GWI105" s="530"/>
      <c r="GWJ105" s="531"/>
      <c r="GWK105" s="530"/>
      <c r="GWL105" s="531"/>
      <c r="GWM105" s="530"/>
      <c r="GWN105" s="531"/>
      <c r="GWO105" s="530"/>
      <c r="GWP105" s="531"/>
      <c r="GWQ105" s="530"/>
      <c r="GWR105" s="531"/>
      <c r="GWS105" s="530"/>
      <c r="GWT105" s="531"/>
      <c r="GWU105" s="530"/>
      <c r="GWV105" s="531"/>
      <c r="GWW105" s="530"/>
      <c r="GWX105" s="531"/>
      <c r="GWY105" s="530"/>
      <c r="GWZ105" s="531"/>
      <c r="GXA105" s="530"/>
      <c r="GXB105" s="531"/>
      <c r="GXC105" s="530"/>
      <c r="GXD105" s="531"/>
      <c r="GXE105" s="530"/>
      <c r="GXF105" s="531"/>
      <c r="GXG105" s="530"/>
      <c r="GXH105" s="531"/>
      <c r="GXI105" s="530"/>
      <c r="GXJ105" s="531"/>
      <c r="GXK105" s="530"/>
      <c r="GXL105" s="531"/>
      <c r="GXM105" s="530"/>
      <c r="GXN105" s="531"/>
      <c r="GXO105" s="530"/>
      <c r="GXP105" s="531"/>
      <c r="GXQ105" s="530"/>
      <c r="GXR105" s="531"/>
      <c r="GXS105" s="530"/>
      <c r="GXT105" s="531"/>
      <c r="GXU105" s="530"/>
      <c r="GXV105" s="531"/>
      <c r="GXW105" s="530"/>
      <c r="GXX105" s="531"/>
      <c r="GXY105" s="530"/>
      <c r="GXZ105" s="531"/>
      <c r="GYA105" s="530"/>
      <c r="GYB105" s="531"/>
      <c r="GYC105" s="530"/>
      <c r="GYD105" s="531"/>
      <c r="GYE105" s="530"/>
      <c r="GYF105" s="531"/>
      <c r="GYG105" s="530"/>
      <c r="GYH105" s="531"/>
      <c r="GYI105" s="530"/>
      <c r="GYJ105" s="531"/>
      <c r="GYK105" s="530"/>
      <c r="GYL105" s="531"/>
      <c r="GYM105" s="530"/>
      <c r="GYN105" s="531"/>
      <c r="GYO105" s="530"/>
      <c r="GYP105" s="531"/>
      <c r="GYQ105" s="530"/>
      <c r="GYR105" s="531"/>
      <c r="GYS105" s="530"/>
      <c r="GYT105" s="531"/>
      <c r="GYU105" s="530"/>
      <c r="GYV105" s="531"/>
      <c r="GYW105" s="530"/>
      <c r="GYX105" s="531"/>
      <c r="GYY105" s="530"/>
      <c r="GYZ105" s="531"/>
      <c r="GZA105" s="530"/>
      <c r="GZB105" s="531"/>
      <c r="GZC105" s="530"/>
      <c r="GZD105" s="531"/>
      <c r="GZE105" s="530"/>
      <c r="GZF105" s="531"/>
      <c r="GZG105" s="530"/>
      <c r="GZH105" s="531"/>
      <c r="GZI105" s="530"/>
      <c r="GZJ105" s="531"/>
      <c r="GZK105" s="530"/>
      <c r="GZL105" s="531"/>
      <c r="GZM105" s="530"/>
      <c r="GZN105" s="531"/>
      <c r="GZO105" s="530"/>
      <c r="GZP105" s="531"/>
      <c r="GZQ105" s="530"/>
      <c r="GZR105" s="531"/>
      <c r="GZS105" s="530"/>
      <c r="GZT105" s="531"/>
      <c r="GZU105" s="530"/>
      <c r="GZV105" s="531"/>
      <c r="GZW105" s="530"/>
      <c r="GZX105" s="531"/>
      <c r="GZY105" s="530"/>
      <c r="GZZ105" s="531"/>
      <c r="HAA105" s="530"/>
      <c r="HAB105" s="531"/>
      <c r="HAC105" s="530"/>
      <c r="HAD105" s="531"/>
      <c r="HAE105" s="530"/>
      <c r="HAF105" s="531"/>
      <c r="HAG105" s="530"/>
      <c r="HAH105" s="531"/>
      <c r="HAI105" s="530"/>
      <c r="HAJ105" s="531"/>
      <c r="HAK105" s="530"/>
      <c r="HAL105" s="531"/>
      <c r="HAM105" s="530"/>
      <c r="HAN105" s="531"/>
      <c r="HAO105" s="530"/>
      <c r="HAP105" s="531"/>
      <c r="HAQ105" s="530"/>
      <c r="HAR105" s="531"/>
      <c r="HAS105" s="530"/>
      <c r="HAT105" s="531"/>
      <c r="HAU105" s="530"/>
      <c r="HAV105" s="531"/>
      <c r="HAW105" s="530"/>
      <c r="HAX105" s="531"/>
      <c r="HAY105" s="530"/>
      <c r="HAZ105" s="531"/>
      <c r="HBA105" s="530"/>
      <c r="HBB105" s="531"/>
      <c r="HBC105" s="530"/>
      <c r="HBD105" s="531"/>
      <c r="HBE105" s="530"/>
      <c r="HBF105" s="531"/>
      <c r="HBG105" s="530"/>
      <c r="HBH105" s="531"/>
      <c r="HBI105" s="530"/>
      <c r="HBJ105" s="531"/>
      <c r="HBK105" s="530"/>
      <c r="HBL105" s="531"/>
      <c r="HBM105" s="530"/>
      <c r="HBN105" s="531"/>
      <c r="HBO105" s="530"/>
      <c r="HBP105" s="531"/>
      <c r="HBQ105" s="530"/>
      <c r="HBR105" s="531"/>
      <c r="HBS105" s="530"/>
      <c r="HBT105" s="531"/>
      <c r="HBU105" s="530"/>
      <c r="HBV105" s="531"/>
      <c r="HBW105" s="530"/>
      <c r="HBX105" s="531"/>
      <c r="HBY105" s="530"/>
      <c r="HBZ105" s="531"/>
      <c r="HCA105" s="530"/>
      <c r="HCB105" s="531"/>
      <c r="HCC105" s="530"/>
      <c r="HCD105" s="531"/>
      <c r="HCE105" s="530"/>
      <c r="HCF105" s="531"/>
      <c r="HCG105" s="530"/>
      <c r="HCH105" s="531"/>
      <c r="HCI105" s="530"/>
      <c r="HCJ105" s="531"/>
      <c r="HCK105" s="530"/>
      <c r="HCL105" s="531"/>
      <c r="HCM105" s="530"/>
      <c r="HCN105" s="531"/>
      <c r="HCO105" s="530"/>
      <c r="HCP105" s="531"/>
      <c r="HCQ105" s="530"/>
      <c r="HCR105" s="531"/>
      <c r="HCS105" s="530"/>
      <c r="HCT105" s="531"/>
      <c r="HCU105" s="530"/>
      <c r="HCV105" s="531"/>
      <c r="HCW105" s="530"/>
      <c r="HCX105" s="531"/>
      <c r="HCY105" s="530"/>
      <c r="HCZ105" s="531"/>
      <c r="HDA105" s="530"/>
      <c r="HDB105" s="531"/>
      <c r="HDC105" s="530"/>
      <c r="HDD105" s="531"/>
      <c r="HDE105" s="530"/>
      <c r="HDF105" s="531"/>
      <c r="HDG105" s="530"/>
      <c r="HDH105" s="531"/>
      <c r="HDI105" s="530"/>
      <c r="HDJ105" s="531"/>
      <c r="HDK105" s="530"/>
      <c r="HDL105" s="531"/>
      <c r="HDM105" s="530"/>
      <c r="HDN105" s="531"/>
      <c r="HDO105" s="530"/>
      <c r="HDP105" s="531"/>
      <c r="HDQ105" s="530"/>
      <c r="HDR105" s="531"/>
      <c r="HDS105" s="530"/>
      <c r="HDT105" s="531"/>
      <c r="HDU105" s="530"/>
      <c r="HDV105" s="531"/>
      <c r="HDW105" s="530"/>
      <c r="HDX105" s="531"/>
      <c r="HDY105" s="530"/>
      <c r="HDZ105" s="531"/>
      <c r="HEA105" s="530"/>
      <c r="HEB105" s="531"/>
      <c r="HEC105" s="530"/>
      <c r="HED105" s="531"/>
      <c r="HEE105" s="530"/>
      <c r="HEF105" s="531"/>
      <c r="HEG105" s="530"/>
      <c r="HEH105" s="531"/>
      <c r="HEI105" s="530"/>
      <c r="HEJ105" s="531"/>
      <c r="HEK105" s="530"/>
      <c r="HEL105" s="531"/>
      <c r="HEM105" s="530"/>
      <c r="HEN105" s="531"/>
      <c r="HEO105" s="530"/>
      <c r="HEP105" s="531"/>
      <c r="HEQ105" s="530"/>
      <c r="HER105" s="531"/>
      <c r="HES105" s="530"/>
      <c r="HET105" s="531"/>
      <c r="HEU105" s="530"/>
      <c r="HEV105" s="531"/>
      <c r="HEW105" s="530"/>
      <c r="HEX105" s="531"/>
      <c r="HEY105" s="530"/>
      <c r="HEZ105" s="531"/>
      <c r="HFA105" s="530"/>
      <c r="HFB105" s="531"/>
      <c r="HFC105" s="530"/>
      <c r="HFD105" s="531"/>
      <c r="HFE105" s="530"/>
      <c r="HFF105" s="531"/>
      <c r="HFG105" s="530"/>
      <c r="HFH105" s="531"/>
      <c r="HFI105" s="530"/>
      <c r="HFJ105" s="531"/>
      <c r="HFK105" s="530"/>
      <c r="HFL105" s="531"/>
      <c r="HFM105" s="530"/>
      <c r="HFN105" s="531"/>
      <c r="HFO105" s="530"/>
      <c r="HFP105" s="531"/>
      <c r="HFQ105" s="530"/>
      <c r="HFR105" s="531"/>
      <c r="HFS105" s="530"/>
      <c r="HFT105" s="531"/>
      <c r="HFU105" s="530"/>
      <c r="HFV105" s="531"/>
      <c r="HFW105" s="530"/>
      <c r="HFX105" s="531"/>
      <c r="HFY105" s="530"/>
      <c r="HFZ105" s="531"/>
      <c r="HGA105" s="530"/>
      <c r="HGB105" s="531"/>
      <c r="HGC105" s="530"/>
      <c r="HGD105" s="531"/>
      <c r="HGE105" s="530"/>
      <c r="HGF105" s="531"/>
      <c r="HGG105" s="530"/>
      <c r="HGH105" s="531"/>
      <c r="HGI105" s="530"/>
      <c r="HGJ105" s="531"/>
      <c r="HGK105" s="530"/>
      <c r="HGL105" s="531"/>
      <c r="HGM105" s="530"/>
      <c r="HGN105" s="531"/>
      <c r="HGO105" s="530"/>
      <c r="HGP105" s="531"/>
      <c r="HGQ105" s="530"/>
      <c r="HGR105" s="531"/>
      <c r="HGS105" s="530"/>
      <c r="HGT105" s="531"/>
      <c r="HGU105" s="530"/>
      <c r="HGV105" s="531"/>
      <c r="HGW105" s="530"/>
      <c r="HGX105" s="531"/>
      <c r="HGY105" s="530"/>
      <c r="HGZ105" s="531"/>
      <c r="HHA105" s="530"/>
      <c r="HHB105" s="531"/>
      <c r="HHC105" s="530"/>
      <c r="HHD105" s="531"/>
      <c r="HHE105" s="530"/>
      <c r="HHF105" s="531"/>
      <c r="HHG105" s="530"/>
      <c r="HHH105" s="531"/>
      <c r="HHI105" s="530"/>
      <c r="HHJ105" s="531"/>
      <c r="HHK105" s="530"/>
      <c r="HHL105" s="531"/>
      <c r="HHM105" s="530"/>
      <c r="HHN105" s="531"/>
      <c r="HHO105" s="530"/>
      <c r="HHP105" s="531"/>
      <c r="HHQ105" s="530"/>
      <c r="HHR105" s="531"/>
      <c r="HHS105" s="530"/>
      <c r="HHT105" s="531"/>
      <c r="HHU105" s="530"/>
      <c r="HHV105" s="531"/>
      <c r="HHW105" s="530"/>
      <c r="HHX105" s="531"/>
      <c r="HHY105" s="530"/>
      <c r="HHZ105" s="531"/>
      <c r="HIA105" s="530"/>
      <c r="HIB105" s="531"/>
      <c r="HIC105" s="530"/>
      <c r="HID105" s="531"/>
      <c r="HIE105" s="530"/>
      <c r="HIF105" s="531"/>
      <c r="HIG105" s="530"/>
      <c r="HIH105" s="531"/>
      <c r="HII105" s="530"/>
      <c r="HIJ105" s="531"/>
      <c r="HIK105" s="530"/>
      <c r="HIL105" s="531"/>
      <c r="HIM105" s="530"/>
      <c r="HIN105" s="531"/>
      <c r="HIO105" s="530"/>
      <c r="HIP105" s="531"/>
      <c r="HIQ105" s="530"/>
      <c r="HIR105" s="531"/>
      <c r="HIS105" s="530"/>
      <c r="HIT105" s="531"/>
      <c r="HIU105" s="530"/>
      <c r="HIV105" s="531"/>
      <c r="HIW105" s="530"/>
      <c r="HIX105" s="531"/>
      <c r="HIY105" s="530"/>
      <c r="HIZ105" s="531"/>
      <c r="HJA105" s="530"/>
      <c r="HJB105" s="531"/>
      <c r="HJC105" s="530"/>
      <c r="HJD105" s="531"/>
      <c r="HJE105" s="530"/>
      <c r="HJF105" s="531"/>
      <c r="HJG105" s="530"/>
      <c r="HJH105" s="531"/>
      <c r="HJI105" s="530"/>
      <c r="HJJ105" s="531"/>
      <c r="HJK105" s="530"/>
      <c r="HJL105" s="531"/>
      <c r="HJM105" s="530"/>
      <c r="HJN105" s="531"/>
      <c r="HJO105" s="530"/>
      <c r="HJP105" s="531"/>
      <c r="HJQ105" s="530"/>
      <c r="HJR105" s="531"/>
      <c r="HJS105" s="530"/>
      <c r="HJT105" s="531"/>
      <c r="HJU105" s="530"/>
      <c r="HJV105" s="531"/>
      <c r="HJW105" s="530"/>
      <c r="HJX105" s="531"/>
      <c r="HJY105" s="530"/>
      <c r="HJZ105" s="531"/>
      <c r="HKA105" s="530"/>
      <c r="HKB105" s="531"/>
      <c r="HKC105" s="530"/>
      <c r="HKD105" s="531"/>
      <c r="HKE105" s="530"/>
      <c r="HKF105" s="531"/>
      <c r="HKG105" s="530"/>
      <c r="HKH105" s="531"/>
      <c r="HKI105" s="530"/>
      <c r="HKJ105" s="531"/>
      <c r="HKK105" s="530"/>
      <c r="HKL105" s="531"/>
      <c r="HKM105" s="530"/>
      <c r="HKN105" s="531"/>
      <c r="HKO105" s="530"/>
      <c r="HKP105" s="531"/>
      <c r="HKQ105" s="530"/>
      <c r="HKR105" s="531"/>
      <c r="HKS105" s="530"/>
      <c r="HKT105" s="531"/>
      <c r="HKU105" s="530"/>
      <c r="HKV105" s="531"/>
      <c r="HKW105" s="530"/>
      <c r="HKX105" s="531"/>
      <c r="HKY105" s="530"/>
      <c r="HKZ105" s="531"/>
      <c r="HLA105" s="530"/>
      <c r="HLB105" s="531"/>
      <c r="HLC105" s="530"/>
      <c r="HLD105" s="531"/>
      <c r="HLE105" s="530"/>
      <c r="HLF105" s="531"/>
      <c r="HLG105" s="530"/>
      <c r="HLH105" s="531"/>
      <c r="HLI105" s="530"/>
      <c r="HLJ105" s="531"/>
      <c r="HLK105" s="530"/>
      <c r="HLL105" s="531"/>
      <c r="HLM105" s="530"/>
      <c r="HLN105" s="531"/>
      <c r="HLO105" s="530"/>
      <c r="HLP105" s="531"/>
      <c r="HLQ105" s="530"/>
      <c r="HLR105" s="531"/>
      <c r="HLS105" s="530"/>
      <c r="HLT105" s="531"/>
      <c r="HLU105" s="530"/>
      <c r="HLV105" s="531"/>
      <c r="HLW105" s="530"/>
      <c r="HLX105" s="531"/>
      <c r="HLY105" s="530"/>
      <c r="HLZ105" s="531"/>
      <c r="HMA105" s="530"/>
      <c r="HMB105" s="531"/>
      <c r="HMC105" s="530"/>
      <c r="HMD105" s="531"/>
      <c r="HME105" s="530"/>
      <c r="HMF105" s="531"/>
      <c r="HMG105" s="530"/>
      <c r="HMH105" s="531"/>
      <c r="HMI105" s="530"/>
      <c r="HMJ105" s="531"/>
      <c r="HMK105" s="530"/>
      <c r="HML105" s="531"/>
      <c r="HMM105" s="530"/>
      <c r="HMN105" s="531"/>
      <c r="HMO105" s="530"/>
      <c r="HMP105" s="531"/>
      <c r="HMQ105" s="530"/>
      <c r="HMR105" s="531"/>
      <c r="HMS105" s="530"/>
      <c r="HMT105" s="531"/>
      <c r="HMU105" s="530"/>
      <c r="HMV105" s="531"/>
      <c r="HMW105" s="530"/>
      <c r="HMX105" s="531"/>
      <c r="HMY105" s="530"/>
      <c r="HMZ105" s="531"/>
      <c r="HNA105" s="530"/>
      <c r="HNB105" s="531"/>
      <c r="HNC105" s="530"/>
      <c r="HND105" s="531"/>
      <c r="HNE105" s="530"/>
      <c r="HNF105" s="531"/>
      <c r="HNG105" s="530"/>
      <c r="HNH105" s="531"/>
      <c r="HNI105" s="530"/>
      <c r="HNJ105" s="531"/>
      <c r="HNK105" s="530"/>
      <c r="HNL105" s="531"/>
      <c r="HNM105" s="530"/>
      <c r="HNN105" s="531"/>
      <c r="HNO105" s="530"/>
      <c r="HNP105" s="531"/>
      <c r="HNQ105" s="530"/>
      <c r="HNR105" s="531"/>
      <c r="HNS105" s="530"/>
      <c r="HNT105" s="531"/>
      <c r="HNU105" s="530"/>
      <c r="HNV105" s="531"/>
      <c r="HNW105" s="530"/>
      <c r="HNX105" s="531"/>
      <c r="HNY105" s="530"/>
      <c r="HNZ105" s="531"/>
      <c r="HOA105" s="530"/>
      <c r="HOB105" s="531"/>
      <c r="HOC105" s="530"/>
      <c r="HOD105" s="531"/>
      <c r="HOE105" s="530"/>
      <c r="HOF105" s="531"/>
      <c r="HOG105" s="530"/>
      <c r="HOH105" s="531"/>
      <c r="HOI105" s="530"/>
      <c r="HOJ105" s="531"/>
      <c r="HOK105" s="530"/>
      <c r="HOL105" s="531"/>
      <c r="HOM105" s="530"/>
      <c r="HON105" s="531"/>
      <c r="HOO105" s="530"/>
      <c r="HOP105" s="531"/>
      <c r="HOQ105" s="530"/>
      <c r="HOR105" s="531"/>
      <c r="HOS105" s="530"/>
      <c r="HOT105" s="531"/>
      <c r="HOU105" s="530"/>
      <c r="HOV105" s="531"/>
      <c r="HOW105" s="530"/>
      <c r="HOX105" s="531"/>
      <c r="HOY105" s="530"/>
      <c r="HOZ105" s="531"/>
      <c r="HPA105" s="530"/>
      <c r="HPB105" s="531"/>
      <c r="HPC105" s="530"/>
      <c r="HPD105" s="531"/>
      <c r="HPE105" s="530"/>
      <c r="HPF105" s="531"/>
      <c r="HPG105" s="530"/>
      <c r="HPH105" s="531"/>
      <c r="HPI105" s="530"/>
      <c r="HPJ105" s="531"/>
      <c r="HPK105" s="530"/>
      <c r="HPL105" s="531"/>
      <c r="HPM105" s="530"/>
      <c r="HPN105" s="531"/>
      <c r="HPO105" s="530"/>
      <c r="HPP105" s="531"/>
      <c r="HPQ105" s="530"/>
      <c r="HPR105" s="531"/>
      <c r="HPS105" s="530"/>
      <c r="HPT105" s="531"/>
      <c r="HPU105" s="530"/>
      <c r="HPV105" s="531"/>
      <c r="HPW105" s="530"/>
      <c r="HPX105" s="531"/>
      <c r="HPY105" s="530"/>
      <c r="HPZ105" s="531"/>
      <c r="HQA105" s="530"/>
      <c r="HQB105" s="531"/>
      <c r="HQC105" s="530"/>
      <c r="HQD105" s="531"/>
      <c r="HQE105" s="530"/>
      <c r="HQF105" s="531"/>
      <c r="HQG105" s="530"/>
      <c r="HQH105" s="531"/>
      <c r="HQI105" s="530"/>
      <c r="HQJ105" s="531"/>
      <c r="HQK105" s="530"/>
      <c r="HQL105" s="531"/>
      <c r="HQM105" s="530"/>
      <c r="HQN105" s="531"/>
      <c r="HQO105" s="530"/>
      <c r="HQP105" s="531"/>
      <c r="HQQ105" s="530"/>
      <c r="HQR105" s="531"/>
      <c r="HQS105" s="530"/>
      <c r="HQT105" s="531"/>
      <c r="HQU105" s="530"/>
      <c r="HQV105" s="531"/>
      <c r="HQW105" s="530"/>
      <c r="HQX105" s="531"/>
      <c r="HQY105" s="530"/>
      <c r="HQZ105" s="531"/>
      <c r="HRA105" s="530"/>
      <c r="HRB105" s="531"/>
      <c r="HRC105" s="530"/>
      <c r="HRD105" s="531"/>
      <c r="HRE105" s="530"/>
      <c r="HRF105" s="531"/>
      <c r="HRG105" s="530"/>
      <c r="HRH105" s="531"/>
      <c r="HRI105" s="530"/>
      <c r="HRJ105" s="531"/>
      <c r="HRK105" s="530"/>
      <c r="HRL105" s="531"/>
      <c r="HRM105" s="530"/>
      <c r="HRN105" s="531"/>
      <c r="HRO105" s="530"/>
      <c r="HRP105" s="531"/>
      <c r="HRQ105" s="530"/>
      <c r="HRR105" s="531"/>
      <c r="HRS105" s="530"/>
      <c r="HRT105" s="531"/>
      <c r="HRU105" s="530"/>
      <c r="HRV105" s="531"/>
      <c r="HRW105" s="530"/>
      <c r="HRX105" s="531"/>
      <c r="HRY105" s="530"/>
      <c r="HRZ105" s="531"/>
      <c r="HSA105" s="530"/>
      <c r="HSB105" s="531"/>
      <c r="HSC105" s="530"/>
      <c r="HSD105" s="531"/>
      <c r="HSE105" s="530"/>
      <c r="HSF105" s="531"/>
      <c r="HSG105" s="530"/>
      <c r="HSH105" s="531"/>
      <c r="HSI105" s="530"/>
      <c r="HSJ105" s="531"/>
      <c r="HSK105" s="530"/>
      <c r="HSL105" s="531"/>
      <c r="HSM105" s="530"/>
      <c r="HSN105" s="531"/>
      <c r="HSO105" s="530"/>
      <c r="HSP105" s="531"/>
      <c r="HSQ105" s="530"/>
      <c r="HSR105" s="531"/>
      <c r="HSS105" s="530"/>
      <c r="HST105" s="531"/>
      <c r="HSU105" s="530"/>
      <c r="HSV105" s="531"/>
      <c r="HSW105" s="530"/>
      <c r="HSX105" s="531"/>
      <c r="HSY105" s="530"/>
      <c r="HSZ105" s="531"/>
      <c r="HTA105" s="530"/>
      <c r="HTB105" s="531"/>
      <c r="HTC105" s="530"/>
      <c r="HTD105" s="531"/>
      <c r="HTE105" s="530"/>
      <c r="HTF105" s="531"/>
      <c r="HTG105" s="530"/>
      <c r="HTH105" s="531"/>
      <c r="HTI105" s="530"/>
      <c r="HTJ105" s="531"/>
      <c r="HTK105" s="530"/>
      <c r="HTL105" s="531"/>
      <c r="HTM105" s="530"/>
      <c r="HTN105" s="531"/>
      <c r="HTO105" s="530"/>
      <c r="HTP105" s="531"/>
      <c r="HTQ105" s="530"/>
      <c r="HTR105" s="531"/>
      <c r="HTS105" s="530"/>
      <c r="HTT105" s="531"/>
      <c r="HTU105" s="530"/>
      <c r="HTV105" s="531"/>
      <c r="HTW105" s="530"/>
      <c r="HTX105" s="531"/>
      <c r="HTY105" s="530"/>
      <c r="HTZ105" s="531"/>
      <c r="HUA105" s="530"/>
      <c r="HUB105" s="531"/>
      <c r="HUC105" s="530"/>
      <c r="HUD105" s="531"/>
      <c r="HUE105" s="530"/>
      <c r="HUF105" s="531"/>
      <c r="HUG105" s="530"/>
      <c r="HUH105" s="531"/>
      <c r="HUI105" s="530"/>
      <c r="HUJ105" s="531"/>
      <c r="HUK105" s="530"/>
      <c r="HUL105" s="531"/>
      <c r="HUM105" s="530"/>
      <c r="HUN105" s="531"/>
      <c r="HUO105" s="530"/>
      <c r="HUP105" s="531"/>
      <c r="HUQ105" s="530"/>
      <c r="HUR105" s="531"/>
      <c r="HUS105" s="530"/>
      <c r="HUT105" s="531"/>
      <c r="HUU105" s="530"/>
      <c r="HUV105" s="531"/>
      <c r="HUW105" s="530"/>
      <c r="HUX105" s="531"/>
      <c r="HUY105" s="530"/>
      <c r="HUZ105" s="531"/>
      <c r="HVA105" s="530"/>
      <c r="HVB105" s="531"/>
      <c r="HVC105" s="530"/>
      <c r="HVD105" s="531"/>
      <c r="HVE105" s="530"/>
      <c r="HVF105" s="531"/>
      <c r="HVG105" s="530"/>
      <c r="HVH105" s="531"/>
      <c r="HVI105" s="530"/>
      <c r="HVJ105" s="531"/>
      <c r="HVK105" s="530"/>
      <c r="HVL105" s="531"/>
      <c r="HVM105" s="530"/>
      <c r="HVN105" s="531"/>
      <c r="HVO105" s="530"/>
      <c r="HVP105" s="531"/>
      <c r="HVQ105" s="530"/>
      <c r="HVR105" s="531"/>
      <c r="HVS105" s="530"/>
      <c r="HVT105" s="531"/>
      <c r="HVU105" s="530"/>
      <c r="HVV105" s="531"/>
      <c r="HVW105" s="530"/>
      <c r="HVX105" s="531"/>
      <c r="HVY105" s="530"/>
      <c r="HVZ105" s="531"/>
      <c r="HWA105" s="530"/>
      <c r="HWB105" s="531"/>
      <c r="HWC105" s="530"/>
      <c r="HWD105" s="531"/>
      <c r="HWE105" s="530"/>
      <c r="HWF105" s="531"/>
      <c r="HWG105" s="530"/>
      <c r="HWH105" s="531"/>
      <c r="HWI105" s="530"/>
      <c r="HWJ105" s="531"/>
      <c r="HWK105" s="530"/>
      <c r="HWL105" s="531"/>
      <c r="HWM105" s="530"/>
      <c r="HWN105" s="531"/>
      <c r="HWO105" s="530"/>
      <c r="HWP105" s="531"/>
      <c r="HWQ105" s="530"/>
      <c r="HWR105" s="531"/>
      <c r="HWS105" s="530"/>
      <c r="HWT105" s="531"/>
      <c r="HWU105" s="530"/>
      <c r="HWV105" s="531"/>
      <c r="HWW105" s="530"/>
      <c r="HWX105" s="531"/>
      <c r="HWY105" s="530"/>
      <c r="HWZ105" s="531"/>
      <c r="HXA105" s="530"/>
      <c r="HXB105" s="531"/>
      <c r="HXC105" s="530"/>
      <c r="HXD105" s="531"/>
      <c r="HXE105" s="530"/>
      <c r="HXF105" s="531"/>
      <c r="HXG105" s="530"/>
      <c r="HXH105" s="531"/>
      <c r="HXI105" s="530"/>
      <c r="HXJ105" s="531"/>
      <c r="HXK105" s="530"/>
      <c r="HXL105" s="531"/>
      <c r="HXM105" s="530"/>
      <c r="HXN105" s="531"/>
      <c r="HXO105" s="530"/>
      <c r="HXP105" s="531"/>
      <c r="HXQ105" s="530"/>
      <c r="HXR105" s="531"/>
      <c r="HXS105" s="530"/>
      <c r="HXT105" s="531"/>
      <c r="HXU105" s="530"/>
      <c r="HXV105" s="531"/>
      <c r="HXW105" s="530"/>
      <c r="HXX105" s="531"/>
      <c r="HXY105" s="530"/>
      <c r="HXZ105" s="531"/>
      <c r="HYA105" s="530"/>
      <c r="HYB105" s="531"/>
      <c r="HYC105" s="530"/>
      <c r="HYD105" s="531"/>
      <c r="HYE105" s="530"/>
      <c r="HYF105" s="531"/>
      <c r="HYG105" s="530"/>
      <c r="HYH105" s="531"/>
      <c r="HYI105" s="530"/>
      <c r="HYJ105" s="531"/>
      <c r="HYK105" s="530"/>
      <c r="HYL105" s="531"/>
      <c r="HYM105" s="530"/>
      <c r="HYN105" s="531"/>
      <c r="HYO105" s="530"/>
      <c r="HYP105" s="531"/>
      <c r="HYQ105" s="530"/>
      <c r="HYR105" s="531"/>
      <c r="HYS105" s="530"/>
      <c r="HYT105" s="531"/>
      <c r="HYU105" s="530"/>
      <c r="HYV105" s="531"/>
      <c r="HYW105" s="530"/>
      <c r="HYX105" s="531"/>
      <c r="HYY105" s="530"/>
      <c r="HYZ105" s="531"/>
      <c r="HZA105" s="530"/>
      <c r="HZB105" s="531"/>
      <c r="HZC105" s="530"/>
      <c r="HZD105" s="531"/>
      <c r="HZE105" s="530"/>
      <c r="HZF105" s="531"/>
      <c r="HZG105" s="530"/>
      <c r="HZH105" s="531"/>
      <c r="HZI105" s="530"/>
      <c r="HZJ105" s="531"/>
      <c r="HZK105" s="530"/>
      <c r="HZL105" s="531"/>
      <c r="HZM105" s="530"/>
      <c r="HZN105" s="531"/>
      <c r="HZO105" s="530"/>
      <c r="HZP105" s="531"/>
      <c r="HZQ105" s="530"/>
      <c r="HZR105" s="531"/>
      <c r="HZS105" s="530"/>
      <c r="HZT105" s="531"/>
      <c r="HZU105" s="530"/>
      <c r="HZV105" s="531"/>
      <c r="HZW105" s="530"/>
      <c r="HZX105" s="531"/>
      <c r="HZY105" s="530"/>
      <c r="HZZ105" s="531"/>
      <c r="IAA105" s="530"/>
      <c r="IAB105" s="531"/>
      <c r="IAC105" s="530"/>
      <c r="IAD105" s="531"/>
      <c r="IAE105" s="530"/>
      <c r="IAF105" s="531"/>
      <c r="IAG105" s="530"/>
      <c r="IAH105" s="531"/>
      <c r="IAI105" s="530"/>
      <c r="IAJ105" s="531"/>
      <c r="IAK105" s="530"/>
      <c r="IAL105" s="531"/>
      <c r="IAM105" s="530"/>
      <c r="IAN105" s="531"/>
      <c r="IAO105" s="530"/>
      <c r="IAP105" s="531"/>
      <c r="IAQ105" s="530"/>
      <c r="IAR105" s="531"/>
      <c r="IAS105" s="530"/>
      <c r="IAT105" s="531"/>
      <c r="IAU105" s="530"/>
      <c r="IAV105" s="531"/>
      <c r="IAW105" s="530"/>
      <c r="IAX105" s="531"/>
      <c r="IAY105" s="530"/>
      <c r="IAZ105" s="531"/>
      <c r="IBA105" s="530"/>
      <c r="IBB105" s="531"/>
      <c r="IBC105" s="530"/>
      <c r="IBD105" s="531"/>
      <c r="IBE105" s="530"/>
      <c r="IBF105" s="531"/>
      <c r="IBG105" s="530"/>
      <c r="IBH105" s="531"/>
      <c r="IBI105" s="530"/>
      <c r="IBJ105" s="531"/>
      <c r="IBK105" s="530"/>
      <c r="IBL105" s="531"/>
      <c r="IBM105" s="530"/>
      <c r="IBN105" s="531"/>
      <c r="IBO105" s="530"/>
      <c r="IBP105" s="531"/>
      <c r="IBQ105" s="530"/>
      <c r="IBR105" s="531"/>
      <c r="IBS105" s="530"/>
      <c r="IBT105" s="531"/>
      <c r="IBU105" s="530"/>
      <c r="IBV105" s="531"/>
      <c r="IBW105" s="530"/>
      <c r="IBX105" s="531"/>
      <c r="IBY105" s="530"/>
      <c r="IBZ105" s="531"/>
      <c r="ICA105" s="530"/>
      <c r="ICB105" s="531"/>
      <c r="ICC105" s="530"/>
      <c r="ICD105" s="531"/>
      <c r="ICE105" s="530"/>
      <c r="ICF105" s="531"/>
      <c r="ICG105" s="530"/>
      <c r="ICH105" s="531"/>
      <c r="ICI105" s="530"/>
      <c r="ICJ105" s="531"/>
      <c r="ICK105" s="530"/>
      <c r="ICL105" s="531"/>
      <c r="ICM105" s="530"/>
      <c r="ICN105" s="531"/>
      <c r="ICO105" s="530"/>
      <c r="ICP105" s="531"/>
      <c r="ICQ105" s="530"/>
      <c r="ICR105" s="531"/>
      <c r="ICS105" s="530"/>
      <c r="ICT105" s="531"/>
      <c r="ICU105" s="530"/>
      <c r="ICV105" s="531"/>
      <c r="ICW105" s="530"/>
      <c r="ICX105" s="531"/>
      <c r="ICY105" s="530"/>
      <c r="ICZ105" s="531"/>
      <c r="IDA105" s="530"/>
      <c r="IDB105" s="531"/>
      <c r="IDC105" s="530"/>
      <c r="IDD105" s="531"/>
      <c r="IDE105" s="530"/>
      <c r="IDF105" s="531"/>
      <c r="IDG105" s="530"/>
      <c r="IDH105" s="531"/>
      <c r="IDI105" s="530"/>
      <c r="IDJ105" s="531"/>
      <c r="IDK105" s="530"/>
      <c r="IDL105" s="531"/>
      <c r="IDM105" s="530"/>
      <c r="IDN105" s="531"/>
      <c r="IDO105" s="530"/>
      <c r="IDP105" s="531"/>
      <c r="IDQ105" s="530"/>
      <c r="IDR105" s="531"/>
      <c r="IDS105" s="530"/>
      <c r="IDT105" s="531"/>
      <c r="IDU105" s="530"/>
      <c r="IDV105" s="531"/>
      <c r="IDW105" s="530"/>
      <c r="IDX105" s="531"/>
      <c r="IDY105" s="530"/>
      <c r="IDZ105" s="531"/>
      <c r="IEA105" s="530"/>
      <c r="IEB105" s="531"/>
      <c r="IEC105" s="530"/>
      <c r="IED105" s="531"/>
      <c r="IEE105" s="530"/>
      <c r="IEF105" s="531"/>
      <c r="IEG105" s="530"/>
      <c r="IEH105" s="531"/>
      <c r="IEI105" s="530"/>
      <c r="IEJ105" s="531"/>
      <c r="IEK105" s="530"/>
      <c r="IEL105" s="531"/>
      <c r="IEM105" s="530"/>
      <c r="IEN105" s="531"/>
      <c r="IEO105" s="530"/>
      <c r="IEP105" s="531"/>
      <c r="IEQ105" s="530"/>
      <c r="IER105" s="531"/>
      <c r="IES105" s="530"/>
      <c r="IET105" s="531"/>
      <c r="IEU105" s="530"/>
      <c r="IEV105" s="531"/>
      <c r="IEW105" s="530"/>
      <c r="IEX105" s="531"/>
      <c r="IEY105" s="530"/>
      <c r="IEZ105" s="531"/>
      <c r="IFA105" s="530"/>
      <c r="IFB105" s="531"/>
      <c r="IFC105" s="530"/>
      <c r="IFD105" s="531"/>
      <c r="IFE105" s="530"/>
      <c r="IFF105" s="531"/>
      <c r="IFG105" s="530"/>
      <c r="IFH105" s="531"/>
      <c r="IFI105" s="530"/>
      <c r="IFJ105" s="531"/>
      <c r="IFK105" s="530"/>
      <c r="IFL105" s="531"/>
      <c r="IFM105" s="530"/>
      <c r="IFN105" s="531"/>
      <c r="IFO105" s="530"/>
      <c r="IFP105" s="531"/>
      <c r="IFQ105" s="530"/>
      <c r="IFR105" s="531"/>
      <c r="IFS105" s="530"/>
      <c r="IFT105" s="531"/>
      <c r="IFU105" s="530"/>
      <c r="IFV105" s="531"/>
      <c r="IFW105" s="530"/>
      <c r="IFX105" s="531"/>
      <c r="IFY105" s="530"/>
      <c r="IFZ105" s="531"/>
      <c r="IGA105" s="530"/>
      <c r="IGB105" s="531"/>
      <c r="IGC105" s="530"/>
      <c r="IGD105" s="531"/>
      <c r="IGE105" s="530"/>
      <c r="IGF105" s="531"/>
      <c r="IGG105" s="530"/>
      <c r="IGH105" s="531"/>
      <c r="IGI105" s="530"/>
      <c r="IGJ105" s="531"/>
      <c r="IGK105" s="530"/>
      <c r="IGL105" s="531"/>
      <c r="IGM105" s="530"/>
      <c r="IGN105" s="531"/>
      <c r="IGO105" s="530"/>
      <c r="IGP105" s="531"/>
      <c r="IGQ105" s="530"/>
      <c r="IGR105" s="531"/>
      <c r="IGS105" s="530"/>
      <c r="IGT105" s="531"/>
      <c r="IGU105" s="530"/>
      <c r="IGV105" s="531"/>
      <c r="IGW105" s="530"/>
      <c r="IGX105" s="531"/>
      <c r="IGY105" s="530"/>
      <c r="IGZ105" s="531"/>
      <c r="IHA105" s="530"/>
      <c r="IHB105" s="531"/>
      <c r="IHC105" s="530"/>
      <c r="IHD105" s="531"/>
      <c r="IHE105" s="530"/>
      <c r="IHF105" s="531"/>
      <c r="IHG105" s="530"/>
      <c r="IHH105" s="531"/>
      <c r="IHI105" s="530"/>
      <c r="IHJ105" s="531"/>
      <c r="IHK105" s="530"/>
      <c r="IHL105" s="531"/>
      <c r="IHM105" s="530"/>
      <c r="IHN105" s="531"/>
      <c r="IHO105" s="530"/>
      <c r="IHP105" s="531"/>
      <c r="IHQ105" s="530"/>
      <c r="IHR105" s="531"/>
      <c r="IHS105" s="530"/>
      <c r="IHT105" s="531"/>
      <c r="IHU105" s="530"/>
      <c r="IHV105" s="531"/>
      <c r="IHW105" s="530"/>
      <c r="IHX105" s="531"/>
      <c r="IHY105" s="530"/>
      <c r="IHZ105" s="531"/>
      <c r="IIA105" s="530"/>
      <c r="IIB105" s="531"/>
      <c r="IIC105" s="530"/>
      <c r="IID105" s="531"/>
      <c r="IIE105" s="530"/>
      <c r="IIF105" s="531"/>
      <c r="IIG105" s="530"/>
      <c r="IIH105" s="531"/>
      <c r="III105" s="530"/>
      <c r="IIJ105" s="531"/>
      <c r="IIK105" s="530"/>
      <c r="IIL105" s="531"/>
      <c r="IIM105" s="530"/>
      <c r="IIN105" s="531"/>
      <c r="IIO105" s="530"/>
      <c r="IIP105" s="531"/>
      <c r="IIQ105" s="530"/>
      <c r="IIR105" s="531"/>
      <c r="IIS105" s="530"/>
      <c r="IIT105" s="531"/>
      <c r="IIU105" s="530"/>
      <c r="IIV105" s="531"/>
      <c r="IIW105" s="530"/>
      <c r="IIX105" s="531"/>
      <c r="IIY105" s="530"/>
      <c r="IIZ105" s="531"/>
      <c r="IJA105" s="530"/>
      <c r="IJB105" s="531"/>
      <c r="IJC105" s="530"/>
      <c r="IJD105" s="531"/>
      <c r="IJE105" s="530"/>
      <c r="IJF105" s="531"/>
      <c r="IJG105" s="530"/>
      <c r="IJH105" s="531"/>
      <c r="IJI105" s="530"/>
      <c r="IJJ105" s="531"/>
      <c r="IJK105" s="530"/>
      <c r="IJL105" s="531"/>
      <c r="IJM105" s="530"/>
      <c r="IJN105" s="531"/>
      <c r="IJO105" s="530"/>
      <c r="IJP105" s="531"/>
      <c r="IJQ105" s="530"/>
      <c r="IJR105" s="531"/>
      <c r="IJS105" s="530"/>
      <c r="IJT105" s="531"/>
      <c r="IJU105" s="530"/>
      <c r="IJV105" s="531"/>
      <c r="IJW105" s="530"/>
      <c r="IJX105" s="531"/>
      <c r="IJY105" s="530"/>
      <c r="IJZ105" s="531"/>
      <c r="IKA105" s="530"/>
      <c r="IKB105" s="531"/>
      <c r="IKC105" s="530"/>
      <c r="IKD105" s="531"/>
      <c r="IKE105" s="530"/>
      <c r="IKF105" s="531"/>
      <c r="IKG105" s="530"/>
      <c r="IKH105" s="531"/>
      <c r="IKI105" s="530"/>
      <c r="IKJ105" s="531"/>
      <c r="IKK105" s="530"/>
      <c r="IKL105" s="531"/>
      <c r="IKM105" s="530"/>
      <c r="IKN105" s="531"/>
      <c r="IKO105" s="530"/>
      <c r="IKP105" s="531"/>
      <c r="IKQ105" s="530"/>
      <c r="IKR105" s="531"/>
      <c r="IKS105" s="530"/>
      <c r="IKT105" s="531"/>
      <c r="IKU105" s="530"/>
      <c r="IKV105" s="531"/>
      <c r="IKW105" s="530"/>
      <c r="IKX105" s="531"/>
      <c r="IKY105" s="530"/>
      <c r="IKZ105" s="531"/>
      <c r="ILA105" s="530"/>
      <c r="ILB105" s="531"/>
      <c r="ILC105" s="530"/>
      <c r="ILD105" s="531"/>
      <c r="ILE105" s="530"/>
      <c r="ILF105" s="531"/>
      <c r="ILG105" s="530"/>
      <c r="ILH105" s="531"/>
      <c r="ILI105" s="530"/>
      <c r="ILJ105" s="531"/>
      <c r="ILK105" s="530"/>
      <c r="ILL105" s="531"/>
      <c r="ILM105" s="530"/>
      <c r="ILN105" s="531"/>
      <c r="ILO105" s="530"/>
      <c r="ILP105" s="531"/>
      <c r="ILQ105" s="530"/>
      <c r="ILR105" s="531"/>
      <c r="ILS105" s="530"/>
      <c r="ILT105" s="531"/>
      <c r="ILU105" s="530"/>
      <c r="ILV105" s="531"/>
      <c r="ILW105" s="530"/>
      <c r="ILX105" s="531"/>
      <c r="ILY105" s="530"/>
      <c r="ILZ105" s="531"/>
      <c r="IMA105" s="530"/>
      <c r="IMB105" s="531"/>
      <c r="IMC105" s="530"/>
      <c r="IMD105" s="531"/>
      <c r="IME105" s="530"/>
      <c r="IMF105" s="531"/>
      <c r="IMG105" s="530"/>
      <c r="IMH105" s="531"/>
      <c r="IMI105" s="530"/>
      <c r="IMJ105" s="531"/>
      <c r="IMK105" s="530"/>
      <c r="IML105" s="531"/>
      <c r="IMM105" s="530"/>
      <c r="IMN105" s="531"/>
      <c r="IMO105" s="530"/>
      <c r="IMP105" s="531"/>
      <c r="IMQ105" s="530"/>
      <c r="IMR105" s="531"/>
      <c r="IMS105" s="530"/>
      <c r="IMT105" s="531"/>
      <c r="IMU105" s="530"/>
      <c r="IMV105" s="531"/>
      <c r="IMW105" s="530"/>
      <c r="IMX105" s="531"/>
      <c r="IMY105" s="530"/>
      <c r="IMZ105" s="531"/>
      <c r="INA105" s="530"/>
      <c r="INB105" s="531"/>
      <c r="INC105" s="530"/>
      <c r="IND105" s="531"/>
      <c r="INE105" s="530"/>
      <c r="INF105" s="531"/>
      <c r="ING105" s="530"/>
      <c r="INH105" s="531"/>
      <c r="INI105" s="530"/>
      <c r="INJ105" s="531"/>
      <c r="INK105" s="530"/>
      <c r="INL105" s="531"/>
      <c r="INM105" s="530"/>
      <c r="INN105" s="531"/>
      <c r="INO105" s="530"/>
      <c r="INP105" s="531"/>
      <c r="INQ105" s="530"/>
      <c r="INR105" s="531"/>
      <c r="INS105" s="530"/>
      <c r="INT105" s="531"/>
      <c r="INU105" s="530"/>
      <c r="INV105" s="531"/>
      <c r="INW105" s="530"/>
      <c r="INX105" s="531"/>
      <c r="INY105" s="530"/>
      <c r="INZ105" s="531"/>
      <c r="IOA105" s="530"/>
      <c r="IOB105" s="531"/>
      <c r="IOC105" s="530"/>
      <c r="IOD105" s="531"/>
      <c r="IOE105" s="530"/>
      <c r="IOF105" s="531"/>
      <c r="IOG105" s="530"/>
      <c r="IOH105" s="531"/>
      <c r="IOI105" s="530"/>
      <c r="IOJ105" s="531"/>
      <c r="IOK105" s="530"/>
      <c r="IOL105" s="531"/>
      <c r="IOM105" s="530"/>
      <c r="ION105" s="531"/>
      <c r="IOO105" s="530"/>
      <c r="IOP105" s="531"/>
      <c r="IOQ105" s="530"/>
      <c r="IOR105" s="531"/>
      <c r="IOS105" s="530"/>
      <c r="IOT105" s="531"/>
      <c r="IOU105" s="530"/>
      <c r="IOV105" s="531"/>
      <c r="IOW105" s="530"/>
      <c r="IOX105" s="531"/>
      <c r="IOY105" s="530"/>
      <c r="IOZ105" s="531"/>
      <c r="IPA105" s="530"/>
      <c r="IPB105" s="531"/>
      <c r="IPC105" s="530"/>
      <c r="IPD105" s="531"/>
      <c r="IPE105" s="530"/>
      <c r="IPF105" s="531"/>
      <c r="IPG105" s="530"/>
      <c r="IPH105" s="531"/>
      <c r="IPI105" s="530"/>
      <c r="IPJ105" s="531"/>
      <c r="IPK105" s="530"/>
      <c r="IPL105" s="531"/>
      <c r="IPM105" s="530"/>
      <c r="IPN105" s="531"/>
      <c r="IPO105" s="530"/>
      <c r="IPP105" s="531"/>
      <c r="IPQ105" s="530"/>
      <c r="IPR105" s="531"/>
      <c r="IPS105" s="530"/>
      <c r="IPT105" s="531"/>
      <c r="IPU105" s="530"/>
      <c r="IPV105" s="531"/>
      <c r="IPW105" s="530"/>
      <c r="IPX105" s="531"/>
      <c r="IPY105" s="530"/>
      <c r="IPZ105" s="531"/>
      <c r="IQA105" s="530"/>
      <c r="IQB105" s="531"/>
      <c r="IQC105" s="530"/>
      <c r="IQD105" s="531"/>
      <c r="IQE105" s="530"/>
      <c r="IQF105" s="531"/>
      <c r="IQG105" s="530"/>
      <c r="IQH105" s="531"/>
      <c r="IQI105" s="530"/>
      <c r="IQJ105" s="531"/>
      <c r="IQK105" s="530"/>
      <c r="IQL105" s="531"/>
      <c r="IQM105" s="530"/>
      <c r="IQN105" s="531"/>
      <c r="IQO105" s="530"/>
      <c r="IQP105" s="531"/>
      <c r="IQQ105" s="530"/>
      <c r="IQR105" s="531"/>
      <c r="IQS105" s="530"/>
      <c r="IQT105" s="531"/>
      <c r="IQU105" s="530"/>
      <c r="IQV105" s="531"/>
      <c r="IQW105" s="530"/>
      <c r="IQX105" s="531"/>
      <c r="IQY105" s="530"/>
      <c r="IQZ105" s="531"/>
      <c r="IRA105" s="530"/>
      <c r="IRB105" s="531"/>
      <c r="IRC105" s="530"/>
      <c r="IRD105" s="531"/>
      <c r="IRE105" s="530"/>
      <c r="IRF105" s="531"/>
      <c r="IRG105" s="530"/>
      <c r="IRH105" s="531"/>
      <c r="IRI105" s="530"/>
      <c r="IRJ105" s="531"/>
      <c r="IRK105" s="530"/>
      <c r="IRL105" s="531"/>
      <c r="IRM105" s="530"/>
      <c r="IRN105" s="531"/>
      <c r="IRO105" s="530"/>
      <c r="IRP105" s="531"/>
      <c r="IRQ105" s="530"/>
      <c r="IRR105" s="531"/>
      <c r="IRS105" s="530"/>
      <c r="IRT105" s="531"/>
      <c r="IRU105" s="530"/>
      <c r="IRV105" s="531"/>
      <c r="IRW105" s="530"/>
      <c r="IRX105" s="531"/>
      <c r="IRY105" s="530"/>
      <c r="IRZ105" s="531"/>
      <c r="ISA105" s="530"/>
      <c r="ISB105" s="531"/>
      <c r="ISC105" s="530"/>
      <c r="ISD105" s="531"/>
      <c r="ISE105" s="530"/>
      <c r="ISF105" s="531"/>
      <c r="ISG105" s="530"/>
      <c r="ISH105" s="531"/>
      <c r="ISI105" s="530"/>
      <c r="ISJ105" s="531"/>
      <c r="ISK105" s="530"/>
      <c r="ISL105" s="531"/>
      <c r="ISM105" s="530"/>
      <c r="ISN105" s="531"/>
      <c r="ISO105" s="530"/>
      <c r="ISP105" s="531"/>
      <c r="ISQ105" s="530"/>
      <c r="ISR105" s="531"/>
      <c r="ISS105" s="530"/>
      <c r="IST105" s="531"/>
      <c r="ISU105" s="530"/>
      <c r="ISV105" s="531"/>
      <c r="ISW105" s="530"/>
      <c r="ISX105" s="531"/>
      <c r="ISY105" s="530"/>
      <c r="ISZ105" s="531"/>
      <c r="ITA105" s="530"/>
      <c r="ITB105" s="531"/>
      <c r="ITC105" s="530"/>
      <c r="ITD105" s="531"/>
      <c r="ITE105" s="530"/>
      <c r="ITF105" s="531"/>
      <c r="ITG105" s="530"/>
      <c r="ITH105" s="531"/>
      <c r="ITI105" s="530"/>
      <c r="ITJ105" s="531"/>
      <c r="ITK105" s="530"/>
      <c r="ITL105" s="531"/>
      <c r="ITM105" s="530"/>
      <c r="ITN105" s="531"/>
      <c r="ITO105" s="530"/>
      <c r="ITP105" s="531"/>
      <c r="ITQ105" s="530"/>
      <c r="ITR105" s="531"/>
      <c r="ITS105" s="530"/>
      <c r="ITT105" s="531"/>
      <c r="ITU105" s="530"/>
      <c r="ITV105" s="531"/>
      <c r="ITW105" s="530"/>
      <c r="ITX105" s="531"/>
      <c r="ITY105" s="530"/>
      <c r="ITZ105" s="531"/>
      <c r="IUA105" s="530"/>
      <c r="IUB105" s="531"/>
      <c r="IUC105" s="530"/>
      <c r="IUD105" s="531"/>
      <c r="IUE105" s="530"/>
      <c r="IUF105" s="531"/>
      <c r="IUG105" s="530"/>
      <c r="IUH105" s="531"/>
      <c r="IUI105" s="530"/>
      <c r="IUJ105" s="531"/>
      <c r="IUK105" s="530"/>
      <c r="IUL105" s="531"/>
      <c r="IUM105" s="530"/>
      <c r="IUN105" s="531"/>
      <c r="IUO105" s="530"/>
      <c r="IUP105" s="531"/>
      <c r="IUQ105" s="530"/>
      <c r="IUR105" s="531"/>
      <c r="IUS105" s="530"/>
      <c r="IUT105" s="531"/>
      <c r="IUU105" s="530"/>
      <c r="IUV105" s="531"/>
      <c r="IUW105" s="530"/>
      <c r="IUX105" s="531"/>
      <c r="IUY105" s="530"/>
      <c r="IUZ105" s="531"/>
      <c r="IVA105" s="530"/>
      <c r="IVB105" s="531"/>
      <c r="IVC105" s="530"/>
      <c r="IVD105" s="531"/>
      <c r="IVE105" s="530"/>
      <c r="IVF105" s="531"/>
      <c r="IVG105" s="530"/>
      <c r="IVH105" s="531"/>
      <c r="IVI105" s="530"/>
      <c r="IVJ105" s="531"/>
      <c r="IVK105" s="530"/>
      <c r="IVL105" s="531"/>
      <c r="IVM105" s="530"/>
      <c r="IVN105" s="531"/>
      <c r="IVO105" s="530"/>
      <c r="IVP105" s="531"/>
      <c r="IVQ105" s="530"/>
      <c r="IVR105" s="531"/>
      <c r="IVS105" s="530"/>
      <c r="IVT105" s="531"/>
      <c r="IVU105" s="530"/>
      <c r="IVV105" s="531"/>
      <c r="IVW105" s="530"/>
      <c r="IVX105" s="531"/>
      <c r="IVY105" s="530"/>
      <c r="IVZ105" s="531"/>
      <c r="IWA105" s="530"/>
      <c r="IWB105" s="531"/>
      <c r="IWC105" s="530"/>
      <c r="IWD105" s="531"/>
      <c r="IWE105" s="530"/>
      <c r="IWF105" s="531"/>
      <c r="IWG105" s="530"/>
      <c r="IWH105" s="531"/>
      <c r="IWI105" s="530"/>
      <c r="IWJ105" s="531"/>
      <c r="IWK105" s="530"/>
      <c r="IWL105" s="531"/>
      <c r="IWM105" s="530"/>
      <c r="IWN105" s="531"/>
      <c r="IWO105" s="530"/>
      <c r="IWP105" s="531"/>
      <c r="IWQ105" s="530"/>
      <c r="IWR105" s="531"/>
      <c r="IWS105" s="530"/>
      <c r="IWT105" s="531"/>
      <c r="IWU105" s="530"/>
      <c r="IWV105" s="531"/>
      <c r="IWW105" s="530"/>
      <c r="IWX105" s="531"/>
      <c r="IWY105" s="530"/>
      <c r="IWZ105" s="531"/>
      <c r="IXA105" s="530"/>
      <c r="IXB105" s="531"/>
      <c r="IXC105" s="530"/>
      <c r="IXD105" s="531"/>
      <c r="IXE105" s="530"/>
      <c r="IXF105" s="531"/>
      <c r="IXG105" s="530"/>
      <c r="IXH105" s="531"/>
      <c r="IXI105" s="530"/>
      <c r="IXJ105" s="531"/>
      <c r="IXK105" s="530"/>
      <c r="IXL105" s="531"/>
      <c r="IXM105" s="530"/>
      <c r="IXN105" s="531"/>
      <c r="IXO105" s="530"/>
      <c r="IXP105" s="531"/>
      <c r="IXQ105" s="530"/>
      <c r="IXR105" s="531"/>
      <c r="IXS105" s="530"/>
      <c r="IXT105" s="531"/>
      <c r="IXU105" s="530"/>
      <c r="IXV105" s="531"/>
      <c r="IXW105" s="530"/>
      <c r="IXX105" s="531"/>
      <c r="IXY105" s="530"/>
      <c r="IXZ105" s="531"/>
      <c r="IYA105" s="530"/>
      <c r="IYB105" s="531"/>
      <c r="IYC105" s="530"/>
      <c r="IYD105" s="531"/>
      <c r="IYE105" s="530"/>
      <c r="IYF105" s="531"/>
      <c r="IYG105" s="530"/>
      <c r="IYH105" s="531"/>
      <c r="IYI105" s="530"/>
      <c r="IYJ105" s="531"/>
      <c r="IYK105" s="530"/>
      <c r="IYL105" s="531"/>
      <c r="IYM105" s="530"/>
      <c r="IYN105" s="531"/>
      <c r="IYO105" s="530"/>
      <c r="IYP105" s="531"/>
      <c r="IYQ105" s="530"/>
      <c r="IYR105" s="531"/>
      <c r="IYS105" s="530"/>
      <c r="IYT105" s="531"/>
      <c r="IYU105" s="530"/>
      <c r="IYV105" s="531"/>
      <c r="IYW105" s="530"/>
      <c r="IYX105" s="531"/>
      <c r="IYY105" s="530"/>
      <c r="IYZ105" s="531"/>
      <c r="IZA105" s="530"/>
      <c r="IZB105" s="531"/>
      <c r="IZC105" s="530"/>
      <c r="IZD105" s="531"/>
      <c r="IZE105" s="530"/>
      <c r="IZF105" s="531"/>
      <c r="IZG105" s="530"/>
      <c r="IZH105" s="531"/>
      <c r="IZI105" s="530"/>
      <c r="IZJ105" s="531"/>
      <c r="IZK105" s="530"/>
      <c r="IZL105" s="531"/>
      <c r="IZM105" s="530"/>
      <c r="IZN105" s="531"/>
      <c r="IZO105" s="530"/>
      <c r="IZP105" s="531"/>
      <c r="IZQ105" s="530"/>
      <c r="IZR105" s="531"/>
      <c r="IZS105" s="530"/>
      <c r="IZT105" s="531"/>
      <c r="IZU105" s="530"/>
      <c r="IZV105" s="531"/>
      <c r="IZW105" s="530"/>
      <c r="IZX105" s="531"/>
      <c r="IZY105" s="530"/>
      <c r="IZZ105" s="531"/>
      <c r="JAA105" s="530"/>
      <c r="JAB105" s="531"/>
      <c r="JAC105" s="530"/>
      <c r="JAD105" s="531"/>
      <c r="JAE105" s="530"/>
      <c r="JAF105" s="531"/>
      <c r="JAG105" s="530"/>
      <c r="JAH105" s="531"/>
      <c r="JAI105" s="530"/>
      <c r="JAJ105" s="531"/>
      <c r="JAK105" s="530"/>
      <c r="JAL105" s="531"/>
      <c r="JAM105" s="530"/>
      <c r="JAN105" s="531"/>
      <c r="JAO105" s="530"/>
      <c r="JAP105" s="531"/>
      <c r="JAQ105" s="530"/>
      <c r="JAR105" s="531"/>
      <c r="JAS105" s="530"/>
      <c r="JAT105" s="531"/>
      <c r="JAU105" s="530"/>
      <c r="JAV105" s="531"/>
      <c r="JAW105" s="530"/>
      <c r="JAX105" s="531"/>
      <c r="JAY105" s="530"/>
      <c r="JAZ105" s="531"/>
      <c r="JBA105" s="530"/>
      <c r="JBB105" s="531"/>
      <c r="JBC105" s="530"/>
      <c r="JBD105" s="531"/>
      <c r="JBE105" s="530"/>
      <c r="JBF105" s="531"/>
      <c r="JBG105" s="530"/>
      <c r="JBH105" s="531"/>
      <c r="JBI105" s="530"/>
      <c r="JBJ105" s="531"/>
      <c r="JBK105" s="530"/>
      <c r="JBL105" s="531"/>
      <c r="JBM105" s="530"/>
      <c r="JBN105" s="531"/>
      <c r="JBO105" s="530"/>
      <c r="JBP105" s="531"/>
      <c r="JBQ105" s="530"/>
      <c r="JBR105" s="531"/>
      <c r="JBS105" s="530"/>
      <c r="JBT105" s="531"/>
      <c r="JBU105" s="530"/>
      <c r="JBV105" s="531"/>
      <c r="JBW105" s="530"/>
      <c r="JBX105" s="531"/>
      <c r="JBY105" s="530"/>
      <c r="JBZ105" s="531"/>
      <c r="JCA105" s="530"/>
      <c r="JCB105" s="531"/>
      <c r="JCC105" s="530"/>
      <c r="JCD105" s="531"/>
      <c r="JCE105" s="530"/>
      <c r="JCF105" s="531"/>
      <c r="JCG105" s="530"/>
      <c r="JCH105" s="531"/>
      <c r="JCI105" s="530"/>
      <c r="JCJ105" s="531"/>
      <c r="JCK105" s="530"/>
      <c r="JCL105" s="531"/>
      <c r="JCM105" s="530"/>
      <c r="JCN105" s="531"/>
      <c r="JCO105" s="530"/>
      <c r="JCP105" s="531"/>
      <c r="JCQ105" s="530"/>
      <c r="JCR105" s="531"/>
      <c r="JCS105" s="530"/>
      <c r="JCT105" s="531"/>
      <c r="JCU105" s="530"/>
      <c r="JCV105" s="531"/>
      <c r="JCW105" s="530"/>
      <c r="JCX105" s="531"/>
      <c r="JCY105" s="530"/>
      <c r="JCZ105" s="531"/>
      <c r="JDA105" s="530"/>
      <c r="JDB105" s="531"/>
      <c r="JDC105" s="530"/>
      <c r="JDD105" s="531"/>
      <c r="JDE105" s="530"/>
      <c r="JDF105" s="531"/>
      <c r="JDG105" s="530"/>
      <c r="JDH105" s="531"/>
      <c r="JDI105" s="530"/>
      <c r="JDJ105" s="531"/>
      <c r="JDK105" s="530"/>
      <c r="JDL105" s="531"/>
      <c r="JDM105" s="530"/>
      <c r="JDN105" s="531"/>
      <c r="JDO105" s="530"/>
      <c r="JDP105" s="531"/>
      <c r="JDQ105" s="530"/>
      <c r="JDR105" s="531"/>
      <c r="JDS105" s="530"/>
      <c r="JDT105" s="531"/>
      <c r="JDU105" s="530"/>
      <c r="JDV105" s="531"/>
      <c r="JDW105" s="530"/>
      <c r="JDX105" s="531"/>
      <c r="JDY105" s="530"/>
      <c r="JDZ105" s="531"/>
      <c r="JEA105" s="530"/>
      <c r="JEB105" s="531"/>
      <c r="JEC105" s="530"/>
      <c r="JED105" s="531"/>
      <c r="JEE105" s="530"/>
      <c r="JEF105" s="531"/>
      <c r="JEG105" s="530"/>
      <c r="JEH105" s="531"/>
      <c r="JEI105" s="530"/>
      <c r="JEJ105" s="531"/>
      <c r="JEK105" s="530"/>
      <c r="JEL105" s="531"/>
      <c r="JEM105" s="530"/>
      <c r="JEN105" s="531"/>
      <c r="JEO105" s="530"/>
      <c r="JEP105" s="531"/>
      <c r="JEQ105" s="530"/>
      <c r="JER105" s="531"/>
      <c r="JES105" s="530"/>
      <c r="JET105" s="531"/>
      <c r="JEU105" s="530"/>
      <c r="JEV105" s="531"/>
      <c r="JEW105" s="530"/>
      <c r="JEX105" s="531"/>
      <c r="JEY105" s="530"/>
      <c r="JEZ105" s="531"/>
      <c r="JFA105" s="530"/>
      <c r="JFB105" s="531"/>
      <c r="JFC105" s="530"/>
      <c r="JFD105" s="531"/>
      <c r="JFE105" s="530"/>
      <c r="JFF105" s="531"/>
      <c r="JFG105" s="530"/>
      <c r="JFH105" s="531"/>
      <c r="JFI105" s="530"/>
      <c r="JFJ105" s="531"/>
      <c r="JFK105" s="530"/>
      <c r="JFL105" s="531"/>
      <c r="JFM105" s="530"/>
      <c r="JFN105" s="531"/>
      <c r="JFO105" s="530"/>
      <c r="JFP105" s="531"/>
      <c r="JFQ105" s="530"/>
      <c r="JFR105" s="531"/>
      <c r="JFS105" s="530"/>
      <c r="JFT105" s="531"/>
      <c r="JFU105" s="530"/>
      <c r="JFV105" s="531"/>
      <c r="JFW105" s="530"/>
      <c r="JFX105" s="531"/>
      <c r="JFY105" s="530"/>
      <c r="JFZ105" s="531"/>
      <c r="JGA105" s="530"/>
      <c r="JGB105" s="531"/>
      <c r="JGC105" s="530"/>
      <c r="JGD105" s="531"/>
      <c r="JGE105" s="530"/>
      <c r="JGF105" s="531"/>
      <c r="JGG105" s="530"/>
      <c r="JGH105" s="531"/>
      <c r="JGI105" s="530"/>
      <c r="JGJ105" s="531"/>
      <c r="JGK105" s="530"/>
      <c r="JGL105" s="531"/>
      <c r="JGM105" s="530"/>
      <c r="JGN105" s="531"/>
      <c r="JGO105" s="530"/>
      <c r="JGP105" s="531"/>
      <c r="JGQ105" s="530"/>
      <c r="JGR105" s="531"/>
      <c r="JGS105" s="530"/>
      <c r="JGT105" s="531"/>
      <c r="JGU105" s="530"/>
      <c r="JGV105" s="531"/>
      <c r="JGW105" s="530"/>
      <c r="JGX105" s="531"/>
      <c r="JGY105" s="530"/>
      <c r="JGZ105" s="531"/>
      <c r="JHA105" s="530"/>
      <c r="JHB105" s="531"/>
      <c r="JHC105" s="530"/>
      <c r="JHD105" s="531"/>
      <c r="JHE105" s="530"/>
      <c r="JHF105" s="531"/>
      <c r="JHG105" s="530"/>
      <c r="JHH105" s="531"/>
      <c r="JHI105" s="530"/>
      <c r="JHJ105" s="531"/>
      <c r="JHK105" s="530"/>
      <c r="JHL105" s="531"/>
      <c r="JHM105" s="530"/>
      <c r="JHN105" s="531"/>
      <c r="JHO105" s="530"/>
      <c r="JHP105" s="531"/>
      <c r="JHQ105" s="530"/>
      <c r="JHR105" s="531"/>
      <c r="JHS105" s="530"/>
      <c r="JHT105" s="531"/>
      <c r="JHU105" s="530"/>
      <c r="JHV105" s="531"/>
      <c r="JHW105" s="530"/>
      <c r="JHX105" s="531"/>
      <c r="JHY105" s="530"/>
      <c r="JHZ105" s="531"/>
      <c r="JIA105" s="530"/>
      <c r="JIB105" s="531"/>
      <c r="JIC105" s="530"/>
      <c r="JID105" s="531"/>
      <c r="JIE105" s="530"/>
      <c r="JIF105" s="531"/>
      <c r="JIG105" s="530"/>
      <c r="JIH105" s="531"/>
      <c r="JII105" s="530"/>
      <c r="JIJ105" s="531"/>
      <c r="JIK105" s="530"/>
      <c r="JIL105" s="531"/>
      <c r="JIM105" s="530"/>
      <c r="JIN105" s="531"/>
      <c r="JIO105" s="530"/>
      <c r="JIP105" s="531"/>
      <c r="JIQ105" s="530"/>
      <c r="JIR105" s="531"/>
      <c r="JIS105" s="530"/>
      <c r="JIT105" s="531"/>
      <c r="JIU105" s="530"/>
      <c r="JIV105" s="531"/>
      <c r="JIW105" s="530"/>
      <c r="JIX105" s="531"/>
      <c r="JIY105" s="530"/>
      <c r="JIZ105" s="531"/>
      <c r="JJA105" s="530"/>
      <c r="JJB105" s="531"/>
      <c r="JJC105" s="530"/>
      <c r="JJD105" s="531"/>
      <c r="JJE105" s="530"/>
      <c r="JJF105" s="531"/>
      <c r="JJG105" s="530"/>
      <c r="JJH105" s="531"/>
      <c r="JJI105" s="530"/>
      <c r="JJJ105" s="531"/>
      <c r="JJK105" s="530"/>
      <c r="JJL105" s="531"/>
      <c r="JJM105" s="530"/>
      <c r="JJN105" s="531"/>
      <c r="JJO105" s="530"/>
      <c r="JJP105" s="531"/>
      <c r="JJQ105" s="530"/>
      <c r="JJR105" s="531"/>
      <c r="JJS105" s="530"/>
      <c r="JJT105" s="531"/>
      <c r="JJU105" s="530"/>
      <c r="JJV105" s="531"/>
      <c r="JJW105" s="530"/>
      <c r="JJX105" s="531"/>
      <c r="JJY105" s="530"/>
      <c r="JJZ105" s="531"/>
      <c r="JKA105" s="530"/>
      <c r="JKB105" s="531"/>
      <c r="JKC105" s="530"/>
      <c r="JKD105" s="531"/>
      <c r="JKE105" s="530"/>
      <c r="JKF105" s="531"/>
      <c r="JKG105" s="530"/>
      <c r="JKH105" s="531"/>
      <c r="JKI105" s="530"/>
      <c r="JKJ105" s="531"/>
      <c r="JKK105" s="530"/>
      <c r="JKL105" s="531"/>
      <c r="JKM105" s="530"/>
      <c r="JKN105" s="531"/>
      <c r="JKO105" s="530"/>
      <c r="JKP105" s="531"/>
      <c r="JKQ105" s="530"/>
      <c r="JKR105" s="531"/>
      <c r="JKS105" s="530"/>
      <c r="JKT105" s="531"/>
      <c r="JKU105" s="530"/>
      <c r="JKV105" s="531"/>
      <c r="JKW105" s="530"/>
      <c r="JKX105" s="531"/>
      <c r="JKY105" s="530"/>
      <c r="JKZ105" s="531"/>
      <c r="JLA105" s="530"/>
      <c r="JLB105" s="531"/>
      <c r="JLC105" s="530"/>
      <c r="JLD105" s="531"/>
      <c r="JLE105" s="530"/>
      <c r="JLF105" s="531"/>
      <c r="JLG105" s="530"/>
      <c r="JLH105" s="531"/>
      <c r="JLI105" s="530"/>
      <c r="JLJ105" s="531"/>
      <c r="JLK105" s="530"/>
      <c r="JLL105" s="531"/>
      <c r="JLM105" s="530"/>
      <c r="JLN105" s="531"/>
      <c r="JLO105" s="530"/>
      <c r="JLP105" s="531"/>
      <c r="JLQ105" s="530"/>
      <c r="JLR105" s="531"/>
      <c r="JLS105" s="530"/>
      <c r="JLT105" s="531"/>
      <c r="JLU105" s="530"/>
      <c r="JLV105" s="531"/>
      <c r="JLW105" s="530"/>
      <c r="JLX105" s="531"/>
      <c r="JLY105" s="530"/>
      <c r="JLZ105" s="531"/>
      <c r="JMA105" s="530"/>
      <c r="JMB105" s="531"/>
      <c r="JMC105" s="530"/>
      <c r="JMD105" s="531"/>
      <c r="JME105" s="530"/>
      <c r="JMF105" s="531"/>
      <c r="JMG105" s="530"/>
      <c r="JMH105" s="531"/>
      <c r="JMI105" s="530"/>
      <c r="JMJ105" s="531"/>
      <c r="JMK105" s="530"/>
      <c r="JML105" s="531"/>
      <c r="JMM105" s="530"/>
      <c r="JMN105" s="531"/>
      <c r="JMO105" s="530"/>
      <c r="JMP105" s="531"/>
      <c r="JMQ105" s="530"/>
      <c r="JMR105" s="531"/>
      <c r="JMS105" s="530"/>
      <c r="JMT105" s="531"/>
      <c r="JMU105" s="530"/>
      <c r="JMV105" s="531"/>
      <c r="JMW105" s="530"/>
      <c r="JMX105" s="531"/>
      <c r="JMY105" s="530"/>
      <c r="JMZ105" s="531"/>
      <c r="JNA105" s="530"/>
      <c r="JNB105" s="531"/>
      <c r="JNC105" s="530"/>
      <c r="JND105" s="531"/>
      <c r="JNE105" s="530"/>
      <c r="JNF105" s="531"/>
      <c r="JNG105" s="530"/>
      <c r="JNH105" s="531"/>
      <c r="JNI105" s="530"/>
      <c r="JNJ105" s="531"/>
      <c r="JNK105" s="530"/>
      <c r="JNL105" s="531"/>
      <c r="JNM105" s="530"/>
      <c r="JNN105" s="531"/>
      <c r="JNO105" s="530"/>
      <c r="JNP105" s="531"/>
      <c r="JNQ105" s="530"/>
      <c r="JNR105" s="531"/>
      <c r="JNS105" s="530"/>
      <c r="JNT105" s="531"/>
      <c r="JNU105" s="530"/>
      <c r="JNV105" s="531"/>
      <c r="JNW105" s="530"/>
      <c r="JNX105" s="531"/>
      <c r="JNY105" s="530"/>
      <c r="JNZ105" s="531"/>
      <c r="JOA105" s="530"/>
      <c r="JOB105" s="531"/>
      <c r="JOC105" s="530"/>
      <c r="JOD105" s="531"/>
      <c r="JOE105" s="530"/>
      <c r="JOF105" s="531"/>
      <c r="JOG105" s="530"/>
      <c r="JOH105" s="531"/>
      <c r="JOI105" s="530"/>
      <c r="JOJ105" s="531"/>
      <c r="JOK105" s="530"/>
      <c r="JOL105" s="531"/>
      <c r="JOM105" s="530"/>
      <c r="JON105" s="531"/>
      <c r="JOO105" s="530"/>
      <c r="JOP105" s="531"/>
      <c r="JOQ105" s="530"/>
      <c r="JOR105" s="531"/>
      <c r="JOS105" s="530"/>
      <c r="JOT105" s="531"/>
      <c r="JOU105" s="530"/>
      <c r="JOV105" s="531"/>
      <c r="JOW105" s="530"/>
      <c r="JOX105" s="531"/>
      <c r="JOY105" s="530"/>
      <c r="JOZ105" s="531"/>
      <c r="JPA105" s="530"/>
      <c r="JPB105" s="531"/>
      <c r="JPC105" s="530"/>
      <c r="JPD105" s="531"/>
      <c r="JPE105" s="530"/>
      <c r="JPF105" s="531"/>
      <c r="JPG105" s="530"/>
      <c r="JPH105" s="531"/>
      <c r="JPI105" s="530"/>
      <c r="JPJ105" s="531"/>
      <c r="JPK105" s="530"/>
      <c r="JPL105" s="531"/>
      <c r="JPM105" s="530"/>
      <c r="JPN105" s="531"/>
      <c r="JPO105" s="530"/>
      <c r="JPP105" s="531"/>
      <c r="JPQ105" s="530"/>
      <c r="JPR105" s="531"/>
      <c r="JPS105" s="530"/>
      <c r="JPT105" s="531"/>
      <c r="JPU105" s="530"/>
      <c r="JPV105" s="531"/>
      <c r="JPW105" s="530"/>
      <c r="JPX105" s="531"/>
      <c r="JPY105" s="530"/>
      <c r="JPZ105" s="531"/>
      <c r="JQA105" s="530"/>
      <c r="JQB105" s="531"/>
      <c r="JQC105" s="530"/>
      <c r="JQD105" s="531"/>
      <c r="JQE105" s="530"/>
      <c r="JQF105" s="531"/>
      <c r="JQG105" s="530"/>
      <c r="JQH105" s="531"/>
      <c r="JQI105" s="530"/>
      <c r="JQJ105" s="531"/>
      <c r="JQK105" s="530"/>
      <c r="JQL105" s="531"/>
      <c r="JQM105" s="530"/>
      <c r="JQN105" s="531"/>
      <c r="JQO105" s="530"/>
      <c r="JQP105" s="531"/>
      <c r="JQQ105" s="530"/>
      <c r="JQR105" s="531"/>
      <c r="JQS105" s="530"/>
      <c r="JQT105" s="531"/>
      <c r="JQU105" s="530"/>
      <c r="JQV105" s="531"/>
      <c r="JQW105" s="530"/>
      <c r="JQX105" s="531"/>
      <c r="JQY105" s="530"/>
      <c r="JQZ105" s="531"/>
      <c r="JRA105" s="530"/>
      <c r="JRB105" s="531"/>
      <c r="JRC105" s="530"/>
      <c r="JRD105" s="531"/>
      <c r="JRE105" s="530"/>
      <c r="JRF105" s="531"/>
      <c r="JRG105" s="530"/>
      <c r="JRH105" s="531"/>
      <c r="JRI105" s="530"/>
      <c r="JRJ105" s="531"/>
      <c r="JRK105" s="530"/>
      <c r="JRL105" s="531"/>
      <c r="JRM105" s="530"/>
      <c r="JRN105" s="531"/>
      <c r="JRO105" s="530"/>
      <c r="JRP105" s="531"/>
      <c r="JRQ105" s="530"/>
      <c r="JRR105" s="531"/>
      <c r="JRS105" s="530"/>
      <c r="JRT105" s="531"/>
      <c r="JRU105" s="530"/>
      <c r="JRV105" s="531"/>
      <c r="JRW105" s="530"/>
      <c r="JRX105" s="531"/>
      <c r="JRY105" s="530"/>
      <c r="JRZ105" s="531"/>
      <c r="JSA105" s="530"/>
      <c r="JSB105" s="531"/>
      <c r="JSC105" s="530"/>
      <c r="JSD105" s="531"/>
      <c r="JSE105" s="530"/>
      <c r="JSF105" s="531"/>
      <c r="JSG105" s="530"/>
      <c r="JSH105" s="531"/>
      <c r="JSI105" s="530"/>
      <c r="JSJ105" s="531"/>
      <c r="JSK105" s="530"/>
      <c r="JSL105" s="531"/>
      <c r="JSM105" s="530"/>
      <c r="JSN105" s="531"/>
      <c r="JSO105" s="530"/>
      <c r="JSP105" s="531"/>
      <c r="JSQ105" s="530"/>
      <c r="JSR105" s="531"/>
      <c r="JSS105" s="530"/>
      <c r="JST105" s="531"/>
      <c r="JSU105" s="530"/>
      <c r="JSV105" s="531"/>
      <c r="JSW105" s="530"/>
      <c r="JSX105" s="531"/>
      <c r="JSY105" s="530"/>
      <c r="JSZ105" s="531"/>
      <c r="JTA105" s="530"/>
      <c r="JTB105" s="531"/>
      <c r="JTC105" s="530"/>
      <c r="JTD105" s="531"/>
      <c r="JTE105" s="530"/>
      <c r="JTF105" s="531"/>
      <c r="JTG105" s="530"/>
      <c r="JTH105" s="531"/>
      <c r="JTI105" s="530"/>
      <c r="JTJ105" s="531"/>
      <c r="JTK105" s="530"/>
      <c r="JTL105" s="531"/>
      <c r="JTM105" s="530"/>
      <c r="JTN105" s="531"/>
      <c r="JTO105" s="530"/>
      <c r="JTP105" s="531"/>
      <c r="JTQ105" s="530"/>
      <c r="JTR105" s="531"/>
      <c r="JTS105" s="530"/>
      <c r="JTT105" s="531"/>
      <c r="JTU105" s="530"/>
      <c r="JTV105" s="531"/>
      <c r="JTW105" s="530"/>
      <c r="JTX105" s="531"/>
      <c r="JTY105" s="530"/>
      <c r="JTZ105" s="531"/>
      <c r="JUA105" s="530"/>
      <c r="JUB105" s="531"/>
      <c r="JUC105" s="530"/>
      <c r="JUD105" s="531"/>
      <c r="JUE105" s="530"/>
      <c r="JUF105" s="531"/>
      <c r="JUG105" s="530"/>
      <c r="JUH105" s="531"/>
      <c r="JUI105" s="530"/>
      <c r="JUJ105" s="531"/>
      <c r="JUK105" s="530"/>
      <c r="JUL105" s="531"/>
      <c r="JUM105" s="530"/>
      <c r="JUN105" s="531"/>
      <c r="JUO105" s="530"/>
      <c r="JUP105" s="531"/>
      <c r="JUQ105" s="530"/>
      <c r="JUR105" s="531"/>
      <c r="JUS105" s="530"/>
      <c r="JUT105" s="531"/>
      <c r="JUU105" s="530"/>
      <c r="JUV105" s="531"/>
      <c r="JUW105" s="530"/>
      <c r="JUX105" s="531"/>
      <c r="JUY105" s="530"/>
      <c r="JUZ105" s="531"/>
      <c r="JVA105" s="530"/>
      <c r="JVB105" s="531"/>
      <c r="JVC105" s="530"/>
      <c r="JVD105" s="531"/>
      <c r="JVE105" s="530"/>
      <c r="JVF105" s="531"/>
      <c r="JVG105" s="530"/>
      <c r="JVH105" s="531"/>
      <c r="JVI105" s="530"/>
      <c r="JVJ105" s="531"/>
      <c r="JVK105" s="530"/>
      <c r="JVL105" s="531"/>
      <c r="JVM105" s="530"/>
      <c r="JVN105" s="531"/>
      <c r="JVO105" s="530"/>
      <c r="JVP105" s="531"/>
      <c r="JVQ105" s="530"/>
      <c r="JVR105" s="531"/>
      <c r="JVS105" s="530"/>
      <c r="JVT105" s="531"/>
      <c r="JVU105" s="530"/>
      <c r="JVV105" s="531"/>
      <c r="JVW105" s="530"/>
      <c r="JVX105" s="531"/>
      <c r="JVY105" s="530"/>
      <c r="JVZ105" s="531"/>
      <c r="JWA105" s="530"/>
      <c r="JWB105" s="531"/>
      <c r="JWC105" s="530"/>
      <c r="JWD105" s="531"/>
      <c r="JWE105" s="530"/>
      <c r="JWF105" s="531"/>
      <c r="JWG105" s="530"/>
      <c r="JWH105" s="531"/>
      <c r="JWI105" s="530"/>
      <c r="JWJ105" s="531"/>
      <c r="JWK105" s="530"/>
      <c r="JWL105" s="531"/>
      <c r="JWM105" s="530"/>
      <c r="JWN105" s="531"/>
      <c r="JWO105" s="530"/>
      <c r="JWP105" s="531"/>
      <c r="JWQ105" s="530"/>
      <c r="JWR105" s="531"/>
      <c r="JWS105" s="530"/>
      <c r="JWT105" s="531"/>
      <c r="JWU105" s="530"/>
      <c r="JWV105" s="531"/>
      <c r="JWW105" s="530"/>
      <c r="JWX105" s="531"/>
      <c r="JWY105" s="530"/>
      <c r="JWZ105" s="531"/>
      <c r="JXA105" s="530"/>
      <c r="JXB105" s="531"/>
      <c r="JXC105" s="530"/>
      <c r="JXD105" s="531"/>
      <c r="JXE105" s="530"/>
      <c r="JXF105" s="531"/>
      <c r="JXG105" s="530"/>
      <c r="JXH105" s="531"/>
      <c r="JXI105" s="530"/>
      <c r="JXJ105" s="531"/>
      <c r="JXK105" s="530"/>
      <c r="JXL105" s="531"/>
      <c r="JXM105" s="530"/>
      <c r="JXN105" s="531"/>
      <c r="JXO105" s="530"/>
      <c r="JXP105" s="531"/>
      <c r="JXQ105" s="530"/>
      <c r="JXR105" s="531"/>
      <c r="JXS105" s="530"/>
      <c r="JXT105" s="531"/>
      <c r="JXU105" s="530"/>
      <c r="JXV105" s="531"/>
      <c r="JXW105" s="530"/>
      <c r="JXX105" s="531"/>
      <c r="JXY105" s="530"/>
      <c r="JXZ105" s="531"/>
      <c r="JYA105" s="530"/>
      <c r="JYB105" s="531"/>
      <c r="JYC105" s="530"/>
      <c r="JYD105" s="531"/>
      <c r="JYE105" s="530"/>
      <c r="JYF105" s="531"/>
      <c r="JYG105" s="530"/>
      <c r="JYH105" s="531"/>
      <c r="JYI105" s="530"/>
      <c r="JYJ105" s="531"/>
      <c r="JYK105" s="530"/>
      <c r="JYL105" s="531"/>
      <c r="JYM105" s="530"/>
      <c r="JYN105" s="531"/>
      <c r="JYO105" s="530"/>
      <c r="JYP105" s="531"/>
      <c r="JYQ105" s="530"/>
      <c r="JYR105" s="531"/>
      <c r="JYS105" s="530"/>
      <c r="JYT105" s="531"/>
      <c r="JYU105" s="530"/>
      <c r="JYV105" s="531"/>
      <c r="JYW105" s="530"/>
      <c r="JYX105" s="531"/>
      <c r="JYY105" s="530"/>
      <c r="JYZ105" s="531"/>
      <c r="JZA105" s="530"/>
      <c r="JZB105" s="531"/>
      <c r="JZC105" s="530"/>
      <c r="JZD105" s="531"/>
      <c r="JZE105" s="530"/>
      <c r="JZF105" s="531"/>
      <c r="JZG105" s="530"/>
      <c r="JZH105" s="531"/>
      <c r="JZI105" s="530"/>
      <c r="JZJ105" s="531"/>
      <c r="JZK105" s="530"/>
      <c r="JZL105" s="531"/>
      <c r="JZM105" s="530"/>
      <c r="JZN105" s="531"/>
      <c r="JZO105" s="530"/>
      <c r="JZP105" s="531"/>
      <c r="JZQ105" s="530"/>
      <c r="JZR105" s="531"/>
      <c r="JZS105" s="530"/>
      <c r="JZT105" s="531"/>
      <c r="JZU105" s="530"/>
      <c r="JZV105" s="531"/>
      <c r="JZW105" s="530"/>
      <c r="JZX105" s="531"/>
      <c r="JZY105" s="530"/>
      <c r="JZZ105" s="531"/>
      <c r="KAA105" s="530"/>
      <c r="KAB105" s="531"/>
      <c r="KAC105" s="530"/>
      <c r="KAD105" s="531"/>
      <c r="KAE105" s="530"/>
      <c r="KAF105" s="531"/>
      <c r="KAG105" s="530"/>
      <c r="KAH105" s="531"/>
      <c r="KAI105" s="530"/>
      <c r="KAJ105" s="531"/>
      <c r="KAK105" s="530"/>
      <c r="KAL105" s="531"/>
      <c r="KAM105" s="530"/>
      <c r="KAN105" s="531"/>
      <c r="KAO105" s="530"/>
      <c r="KAP105" s="531"/>
      <c r="KAQ105" s="530"/>
      <c r="KAR105" s="531"/>
      <c r="KAS105" s="530"/>
      <c r="KAT105" s="531"/>
      <c r="KAU105" s="530"/>
      <c r="KAV105" s="531"/>
      <c r="KAW105" s="530"/>
      <c r="KAX105" s="531"/>
      <c r="KAY105" s="530"/>
      <c r="KAZ105" s="531"/>
      <c r="KBA105" s="530"/>
      <c r="KBB105" s="531"/>
      <c r="KBC105" s="530"/>
      <c r="KBD105" s="531"/>
      <c r="KBE105" s="530"/>
      <c r="KBF105" s="531"/>
      <c r="KBG105" s="530"/>
      <c r="KBH105" s="531"/>
      <c r="KBI105" s="530"/>
      <c r="KBJ105" s="531"/>
      <c r="KBK105" s="530"/>
      <c r="KBL105" s="531"/>
      <c r="KBM105" s="530"/>
      <c r="KBN105" s="531"/>
      <c r="KBO105" s="530"/>
      <c r="KBP105" s="531"/>
      <c r="KBQ105" s="530"/>
      <c r="KBR105" s="531"/>
      <c r="KBS105" s="530"/>
      <c r="KBT105" s="531"/>
      <c r="KBU105" s="530"/>
      <c r="KBV105" s="531"/>
      <c r="KBW105" s="530"/>
      <c r="KBX105" s="531"/>
      <c r="KBY105" s="530"/>
      <c r="KBZ105" s="531"/>
      <c r="KCA105" s="530"/>
      <c r="KCB105" s="531"/>
      <c r="KCC105" s="530"/>
      <c r="KCD105" s="531"/>
      <c r="KCE105" s="530"/>
      <c r="KCF105" s="531"/>
      <c r="KCG105" s="530"/>
      <c r="KCH105" s="531"/>
      <c r="KCI105" s="530"/>
      <c r="KCJ105" s="531"/>
      <c r="KCK105" s="530"/>
      <c r="KCL105" s="531"/>
      <c r="KCM105" s="530"/>
      <c r="KCN105" s="531"/>
      <c r="KCO105" s="530"/>
      <c r="KCP105" s="531"/>
      <c r="KCQ105" s="530"/>
      <c r="KCR105" s="531"/>
      <c r="KCS105" s="530"/>
      <c r="KCT105" s="531"/>
      <c r="KCU105" s="530"/>
      <c r="KCV105" s="531"/>
      <c r="KCW105" s="530"/>
      <c r="KCX105" s="531"/>
      <c r="KCY105" s="530"/>
      <c r="KCZ105" s="531"/>
      <c r="KDA105" s="530"/>
      <c r="KDB105" s="531"/>
      <c r="KDC105" s="530"/>
      <c r="KDD105" s="531"/>
      <c r="KDE105" s="530"/>
      <c r="KDF105" s="531"/>
      <c r="KDG105" s="530"/>
      <c r="KDH105" s="531"/>
      <c r="KDI105" s="530"/>
      <c r="KDJ105" s="531"/>
      <c r="KDK105" s="530"/>
      <c r="KDL105" s="531"/>
      <c r="KDM105" s="530"/>
      <c r="KDN105" s="531"/>
      <c r="KDO105" s="530"/>
      <c r="KDP105" s="531"/>
      <c r="KDQ105" s="530"/>
      <c r="KDR105" s="531"/>
      <c r="KDS105" s="530"/>
      <c r="KDT105" s="531"/>
      <c r="KDU105" s="530"/>
      <c r="KDV105" s="531"/>
      <c r="KDW105" s="530"/>
      <c r="KDX105" s="531"/>
      <c r="KDY105" s="530"/>
      <c r="KDZ105" s="531"/>
      <c r="KEA105" s="530"/>
      <c r="KEB105" s="531"/>
      <c r="KEC105" s="530"/>
      <c r="KED105" s="531"/>
      <c r="KEE105" s="530"/>
      <c r="KEF105" s="531"/>
      <c r="KEG105" s="530"/>
      <c r="KEH105" s="531"/>
      <c r="KEI105" s="530"/>
      <c r="KEJ105" s="531"/>
      <c r="KEK105" s="530"/>
      <c r="KEL105" s="531"/>
      <c r="KEM105" s="530"/>
      <c r="KEN105" s="531"/>
      <c r="KEO105" s="530"/>
      <c r="KEP105" s="531"/>
      <c r="KEQ105" s="530"/>
      <c r="KER105" s="531"/>
      <c r="KES105" s="530"/>
      <c r="KET105" s="531"/>
      <c r="KEU105" s="530"/>
      <c r="KEV105" s="531"/>
      <c r="KEW105" s="530"/>
      <c r="KEX105" s="531"/>
      <c r="KEY105" s="530"/>
      <c r="KEZ105" s="531"/>
      <c r="KFA105" s="530"/>
      <c r="KFB105" s="531"/>
      <c r="KFC105" s="530"/>
      <c r="KFD105" s="531"/>
      <c r="KFE105" s="530"/>
      <c r="KFF105" s="531"/>
      <c r="KFG105" s="530"/>
      <c r="KFH105" s="531"/>
      <c r="KFI105" s="530"/>
      <c r="KFJ105" s="531"/>
      <c r="KFK105" s="530"/>
      <c r="KFL105" s="531"/>
      <c r="KFM105" s="530"/>
      <c r="KFN105" s="531"/>
      <c r="KFO105" s="530"/>
      <c r="KFP105" s="531"/>
      <c r="KFQ105" s="530"/>
      <c r="KFR105" s="531"/>
      <c r="KFS105" s="530"/>
      <c r="KFT105" s="531"/>
      <c r="KFU105" s="530"/>
      <c r="KFV105" s="531"/>
      <c r="KFW105" s="530"/>
      <c r="KFX105" s="531"/>
      <c r="KFY105" s="530"/>
      <c r="KFZ105" s="531"/>
      <c r="KGA105" s="530"/>
      <c r="KGB105" s="531"/>
      <c r="KGC105" s="530"/>
      <c r="KGD105" s="531"/>
      <c r="KGE105" s="530"/>
      <c r="KGF105" s="531"/>
      <c r="KGG105" s="530"/>
      <c r="KGH105" s="531"/>
      <c r="KGI105" s="530"/>
      <c r="KGJ105" s="531"/>
      <c r="KGK105" s="530"/>
      <c r="KGL105" s="531"/>
      <c r="KGM105" s="530"/>
      <c r="KGN105" s="531"/>
      <c r="KGO105" s="530"/>
      <c r="KGP105" s="531"/>
      <c r="KGQ105" s="530"/>
      <c r="KGR105" s="531"/>
      <c r="KGS105" s="530"/>
      <c r="KGT105" s="531"/>
      <c r="KGU105" s="530"/>
      <c r="KGV105" s="531"/>
      <c r="KGW105" s="530"/>
      <c r="KGX105" s="531"/>
      <c r="KGY105" s="530"/>
      <c r="KGZ105" s="531"/>
      <c r="KHA105" s="530"/>
      <c r="KHB105" s="531"/>
      <c r="KHC105" s="530"/>
      <c r="KHD105" s="531"/>
      <c r="KHE105" s="530"/>
      <c r="KHF105" s="531"/>
      <c r="KHG105" s="530"/>
      <c r="KHH105" s="531"/>
      <c r="KHI105" s="530"/>
      <c r="KHJ105" s="531"/>
      <c r="KHK105" s="530"/>
      <c r="KHL105" s="531"/>
      <c r="KHM105" s="530"/>
      <c r="KHN105" s="531"/>
      <c r="KHO105" s="530"/>
      <c r="KHP105" s="531"/>
      <c r="KHQ105" s="530"/>
      <c r="KHR105" s="531"/>
      <c r="KHS105" s="530"/>
      <c r="KHT105" s="531"/>
      <c r="KHU105" s="530"/>
      <c r="KHV105" s="531"/>
      <c r="KHW105" s="530"/>
      <c r="KHX105" s="531"/>
      <c r="KHY105" s="530"/>
      <c r="KHZ105" s="531"/>
      <c r="KIA105" s="530"/>
      <c r="KIB105" s="531"/>
      <c r="KIC105" s="530"/>
      <c r="KID105" s="531"/>
      <c r="KIE105" s="530"/>
      <c r="KIF105" s="531"/>
      <c r="KIG105" s="530"/>
      <c r="KIH105" s="531"/>
      <c r="KII105" s="530"/>
      <c r="KIJ105" s="531"/>
      <c r="KIK105" s="530"/>
      <c r="KIL105" s="531"/>
      <c r="KIM105" s="530"/>
      <c r="KIN105" s="531"/>
      <c r="KIO105" s="530"/>
      <c r="KIP105" s="531"/>
      <c r="KIQ105" s="530"/>
      <c r="KIR105" s="531"/>
      <c r="KIS105" s="530"/>
      <c r="KIT105" s="531"/>
      <c r="KIU105" s="530"/>
      <c r="KIV105" s="531"/>
      <c r="KIW105" s="530"/>
      <c r="KIX105" s="531"/>
      <c r="KIY105" s="530"/>
      <c r="KIZ105" s="531"/>
      <c r="KJA105" s="530"/>
      <c r="KJB105" s="531"/>
      <c r="KJC105" s="530"/>
      <c r="KJD105" s="531"/>
      <c r="KJE105" s="530"/>
      <c r="KJF105" s="531"/>
      <c r="KJG105" s="530"/>
      <c r="KJH105" s="531"/>
      <c r="KJI105" s="530"/>
      <c r="KJJ105" s="531"/>
      <c r="KJK105" s="530"/>
      <c r="KJL105" s="531"/>
      <c r="KJM105" s="530"/>
      <c r="KJN105" s="531"/>
      <c r="KJO105" s="530"/>
      <c r="KJP105" s="531"/>
      <c r="KJQ105" s="530"/>
      <c r="KJR105" s="531"/>
      <c r="KJS105" s="530"/>
      <c r="KJT105" s="531"/>
      <c r="KJU105" s="530"/>
      <c r="KJV105" s="531"/>
      <c r="KJW105" s="530"/>
      <c r="KJX105" s="531"/>
      <c r="KJY105" s="530"/>
      <c r="KJZ105" s="531"/>
      <c r="KKA105" s="530"/>
      <c r="KKB105" s="531"/>
      <c r="KKC105" s="530"/>
      <c r="KKD105" s="531"/>
      <c r="KKE105" s="530"/>
      <c r="KKF105" s="531"/>
      <c r="KKG105" s="530"/>
      <c r="KKH105" s="531"/>
      <c r="KKI105" s="530"/>
      <c r="KKJ105" s="531"/>
      <c r="KKK105" s="530"/>
      <c r="KKL105" s="531"/>
      <c r="KKM105" s="530"/>
      <c r="KKN105" s="531"/>
      <c r="KKO105" s="530"/>
      <c r="KKP105" s="531"/>
      <c r="KKQ105" s="530"/>
      <c r="KKR105" s="531"/>
      <c r="KKS105" s="530"/>
      <c r="KKT105" s="531"/>
      <c r="KKU105" s="530"/>
      <c r="KKV105" s="531"/>
      <c r="KKW105" s="530"/>
      <c r="KKX105" s="531"/>
      <c r="KKY105" s="530"/>
      <c r="KKZ105" s="531"/>
      <c r="KLA105" s="530"/>
      <c r="KLB105" s="531"/>
      <c r="KLC105" s="530"/>
      <c r="KLD105" s="531"/>
      <c r="KLE105" s="530"/>
      <c r="KLF105" s="531"/>
      <c r="KLG105" s="530"/>
      <c r="KLH105" s="531"/>
      <c r="KLI105" s="530"/>
      <c r="KLJ105" s="531"/>
      <c r="KLK105" s="530"/>
      <c r="KLL105" s="531"/>
      <c r="KLM105" s="530"/>
      <c r="KLN105" s="531"/>
      <c r="KLO105" s="530"/>
      <c r="KLP105" s="531"/>
      <c r="KLQ105" s="530"/>
      <c r="KLR105" s="531"/>
      <c r="KLS105" s="530"/>
      <c r="KLT105" s="531"/>
      <c r="KLU105" s="530"/>
      <c r="KLV105" s="531"/>
      <c r="KLW105" s="530"/>
      <c r="KLX105" s="531"/>
      <c r="KLY105" s="530"/>
      <c r="KLZ105" s="531"/>
      <c r="KMA105" s="530"/>
      <c r="KMB105" s="531"/>
      <c r="KMC105" s="530"/>
      <c r="KMD105" s="531"/>
      <c r="KME105" s="530"/>
      <c r="KMF105" s="531"/>
      <c r="KMG105" s="530"/>
      <c r="KMH105" s="531"/>
      <c r="KMI105" s="530"/>
      <c r="KMJ105" s="531"/>
      <c r="KMK105" s="530"/>
      <c r="KML105" s="531"/>
      <c r="KMM105" s="530"/>
      <c r="KMN105" s="531"/>
      <c r="KMO105" s="530"/>
      <c r="KMP105" s="531"/>
      <c r="KMQ105" s="530"/>
      <c r="KMR105" s="531"/>
      <c r="KMS105" s="530"/>
      <c r="KMT105" s="531"/>
      <c r="KMU105" s="530"/>
      <c r="KMV105" s="531"/>
      <c r="KMW105" s="530"/>
      <c r="KMX105" s="531"/>
      <c r="KMY105" s="530"/>
      <c r="KMZ105" s="531"/>
      <c r="KNA105" s="530"/>
      <c r="KNB105" s="531"/>
      <c r="KNC105" s="530"/>
      <c r="KND105" s="531"/>
      <c r="KNE105" s="530"/>
      <c r="KNF105" s="531"/>
      <c r="KNG105" s="530"/>
      <c r="KNH105" s="531"/>
      <c r="KNI105" s="530"/>
      <c r="KNJ105" s="531"/>
      <c r="KNK105" s="530"/>
      <c r="KNL105" s="531"/>
      <c r="KNM105" s="530"/>
      <c r="KNN105" s="531"/>
      <c r="KNO105" s="530"/>
      <c r="KNP105" s="531"/>
      <c r="KNQ105" s="530"/>
      <c r="KNR105" s="531"/>
      <c r="KNS105" s="530"/>
      <c r="KNT105" s="531"/>
      <c r="KNU105" s="530"/>
      <c r="KNV105" s="531"/>
      <c r="KNW105" s="530"/>
      <c r="KNX105" s="531"/>
      <c r="KNY105" s="530"/>
      <c r="KNZ105" s="531"/>
      <c r="KOA105" s="530"/>
      <c r="KOB105" s="531"/>
      <c r="KOC105" s="530"/>
      <c r="KOD105" s="531"/>
      <c r="KOE105" s="530"/>
      <c r="KOF105" s="531"/>
      <c r="KOG105" s="530"/>
      <c r="KOH105" s="531"/>
      <c r="KOI105" s="530"/>
      <c r="KOJ105" s="531"/>
      <c r="KOK105" s="530"/>
      <c r="KOL105" s="531"/>
      <c r="KOM105" s="530"/>
      <c r="KON105" s="531"/>
      <c r="KOO105" s="530"/>
      <c r="KOP105" s="531"/>
      <c r="KOQ105" s="530"/>
      <c r="KOR105" s="531"/>
      <c r="KOS105" s="530"/>
      <c r="KOT105" s="531"/>
      <c r="KOU105" s="530"/>
      <c r="KOV105" s="531"/>
      <c r="KOW105" s="530"/>
      <c r="KOX105" s="531"/>
      <c r="KOY105" s="530"/>
      <c r="KOZ105" s="531"/>
      <c r="KPA105" s="530"/>
      <c r="KPB105" s="531"/>
      <c r="KPC105" s="530"/>
      <c r="KPD105" s="531"/>
      <c r="KPE105" s="530"/>
      <c r="KPF105" s="531"/>
      <c r="KPG105" s="530"/>
      <c r="KPH105" s="531"/>
      <c r="KPI105" s="530"/>
      <c r="KPJ105" s="531"/>
      <c r="KPK105" s="530"/>
      <c r="KPL105" s="531"/>
      <c r="KPM105" s="530"/>
      <c r="KPN105" s="531"/>
      <c r="KPO105" s="530"/>
      <c r="KPP105" s="531"/>
      <c r="KPQ105" s="530"/>
      <c r="KPR105" s="531"/>
      <c r="KPS105" s="530"/>
      <c r="KPT105" s="531"/>
      <c r="KPU105" s="530"/>
      <c r="KPV105" s="531"/>
      <c r="KPW105" s="530"/>
      <c r="KPX105" s="531"/>
      <c r="KPY105" s="530"/>
      <c r="KPZ105" s="531"/>
      <c r="KQA105" s="530"/>
      <c r="KQB105" s="531"/>
      <c r="KQC105" s="530"/>
      <c r="KQD105" s="531"/>
      <c r="KQE105" s="530"/>
      <c r="KQF105" s="531"/>
      <c r="KQG105" s="530"/>
      <c r="KQH105" s="531"/>
      <c r="KQI105" s="530"/>
      <c r="KQJ105" s="531"/>
      <c r="KQK105" s="530"/>
      <c r="KQL105" s="531"/>
      <c r="KQM105" s="530"/>
      <c r="KQN105" s="531"/>
      <c r="KQO105" s="530"/>
      <c r="KQP105" s="531"/>
      <c r="KQQ105" s="530"/>
      <c r="KQR105" s="531"/>
      <c r="KQS105" s="530"/>
      <c r="KQT105" s="531"/>
      <c r="KQU105" s="530"/>
      <c r="KQV105" s="531"/>
      <c r="KQW105" s="530"/>
      <c r="KQX105" s="531"/>
      <c r="KQY105" s="530"/>
      <c r="KQZ105" s="531"/>
      <c r="KRA105" s="530"/>
      <c r="KRB105" s="531"/>
      <c r="KRC105" s="530"/>
      <c r="KRD105" s="531"/>
      <c r="KRE105" s="530"/>
      <c r="KRF105" s="531"/>
      <c r="KRG105" s="530"/>
      <c r="KRH105" s="531"/>
      <c r="KRI105" s="530"/>
      <c r="KRJ105" s="531"/>
      <c r="KRK105" s="530"/>
      <c r="KRL105" s="531"/>
      <c r="KRM105" s="530"/>
      <c r="KRN105" s="531"/>
      <c r="KRO105" s="530"/>
      <c r="KRP105" s="531"/>
      <c r="KRQ105" s="530"/>
      <c r="KRR105" s="531"/>
      <c r="KRS105" s="530"/>
      <c r="KRT105" s="531"/>
      <c r="KRU105" s="530"/>
      <c r="KRV105" s="531"/>
      <c r="KRW105" s="530"/>
      <c r="KRX105" s="531"/>
      <c r="KRY105" s="530"/>
      <c r="KRZ105" s="531"/>
      <c r="KSA105" s="530"/>
      <c r="KSB105" s="531"/>
      <c r="KSC105" s="530"/>
      <c r="KSD105" s="531"/>
      <c r="KSE105" s="530"/>
      <c r="KSF105" s="531"/>
      <c r="KSG105" s="530"/>
      <c r="KSH105" s="531"/>
      <c r="KSI105" s="530"/>
      <c r="KSJ105" s="531"/>
      <c r="KSK105" s="530"/>
      <c r="KSL105" s="531"/>
      <c r="KSM105" s="530"/>
      <c r="KSN105" s="531"/>
      <c r="KSO105" s="530"/>
      <c r="KSP105" s="531"/>
      <c r="KSQ105" s="530"/>
      <c r="KSR105" s="531"/>
      <c r="KSS105" s="530"/>
      <c r="KST105" s="531"/>
      <c r="KSU105" s="530"/>
      <c r="KSV105" s="531"/>
      <c r="KSW105" s="530"/>
      <c r="KSX105" s="531"/>
      <c r="KSY105" s="530"/>
      <c r="KSZ105" s="531"/>
      <c r="KTA105" s="530"/>
      <c r="KTB105" s="531"/>
      <c r="KTC105" s="530"/>
      <c r="KTD105" s="531"/>
      <c r="KTE105" s="530"/>
      <c r="KTF105" s="531"/>
      <c r="KTG105" s="530"/>
      <c r="KTH105" s="531"/>
      <c r="KTI105" s="530"/>
      <c r="KTJ105" s="531"/>
      <c r="KTK105" s="530"/>
      <c r="KTL105" s="531"/>
      <c r="KTM105" s="530"/>
      <c r="KTN105" s="531"/>
      <c r="KTO105" s="530"/>
      <c r="KTP105" s="531"/>
      <c r="KTQ105" s="530"/>
      <c r="KTR105" s="531"/>
      <c r="KTS105" s="530"/>
      <c r="KTT105" s="531"/>
      <c r="KTU105" s="530"/>
      <c r="KTV105" s="531"/>
      <c r="KTW105" s="530"/>
      <c r="KTX105" s="531"/>
      <c r="KTY105" s="530"/>
      <c r="KTZ105" s="531"/>
      <c r="KUA105" s="530"/>
      <c r="KUB105" s="531"/>
      <c r="KUC105" s="530"/>
      <c r="KUD105" s="531"/>
      <c r="KUE105" s="530"/>
      <c r="KUF105" s="531"/>
      <c r="KUG105" s="530"/>
      <c r="KUH105" s="531"/>
      <c r="KUI105" s="530"/>
      <c r="KUJ105" s="531"/>
      <c r="KUK105" s="530"/>
      <c r="KUL105" s="531"/>
      <c r="KUM105" s="530"/>
      <c r="KUN105" s="531"/>
      <c r="KUO105" s="530"/>
      <c r="KUP105" s="531"/>
      <c r="KUQ105" s="530"/>
      <c r="KUR105" s="531"/>
      <c r="KUS105" s="530"/>
      <c r="KUT105" s="531"/>
      <c r="KUU105" s="530"/>
      <c r="KUV105" s="531"/>
      <c r="KUW105" s="530"/>
      <c r="KUX105" s="531"/>
      <c r="KUY105" s="530"/>
      <c r="KUZ105" s="531"/>
      <c r="KVA105" s="530"/>
      <c r="KVB105" s="531"/>
      <c r="KVC105" s="530"/>
      <c r="KVD105" s="531"/>
      <c r="KVE105" s="530"/>
      <c r="KVF105" s="531"/>
      <c r="KVG105" s="530"/>
      <c r="KVH105" s="531"/>
      <c r="KVI105" s="530"/>
      <c r="KVJ105" s="531"/>
      <c r="KVK105" s="530"/>
      <c r="KVL105" s="531"/>
      <c r="KVM105" s="530"/>
      <c r="KVN105" s="531"/>
      <c r="KVO105" s="530"/>
      <c r="KVP105" s="531"/>
      <c r="KVQ105" s="530"/>
      <c r="KVR105" s="531"/>
      <c r="KVS105" s="530"/>
      <c r="KVT105" s="531"/>
      <c r="KVU105" s="530"/>
      <c r="KVV105" s="531"/>
      <c r="KVW105" s="530"/>
      <c r="KVX105" s="531"/>
      <c r="KVY105" s="530"/>
      <c r="KVZ105" s="531"/>
      <c r="KWA105" s="530"/>
      <c r="KWB105" s="531"/>
      <c r="KWC105" s="530"/>
      <c r="KWD105" s="531"/>
      <c r="KWE105" s="530"/>
      <c r="KWF105" s="531"/>
      <c r="KWG105" s="530"/>
      <c r="KWH105" s="531"/>
      <c r="KWI105" s="530"/>
      <c r="KWJ105" s="531"/>
      <c r="KWK105" s="530"/>
      <c r="KWL105" s="531"/>
      <c r="KWM105" s="530"/>
      <c r="KWN105" s="531"/>
      <c r="KWO105" s="530"/>
      <c r="KWP105" s="531"/>
      <c r="KWQ105" s="530"/>
      <c r="KWR105" s="531"/>
      <c r="KWS105" s="530"/>
      <c r="KWT105" s="531"/>
      <c r="KWU105" s="530"/>
      <c r="KWV105" s="531"/>
      <c r="KWW105" s="530"/>
      <c r="KWX105" s="531"/>
      <c r="KWY105" s="530"/>
      <c r="KWZ105" s="531"/>
      <c r="KXA105" s="530"/>
      <c r="KXB105" s="531"/>
      <c r="KXC105" s="530"/>
      <c r="KXD105" s="531"/>
      <c r="KXE105" s="530"/>
      <c r="KXF105" s="531"/>
      <c r="KXG105" s="530"/>
      <c r="KXH105" s="531"/>
      <c r="KXI105" s="530"/>
      <c r="KXJ105" s="531"/>
      <c r="KXK105" s="530"/>
      <c r="KXL105" s="531"/>
      <c r="KXM105" s="530"/>
      <c r="KXN105" s="531"/>
      <c r="KXO105" s="530"/>
      <c r="KXP105" s="531"/>
      <c r="KXQ105" s="530"/>
      <c r="KXR105" s="531"/>
      <c r="KXS105" s="530"/>
      <c r="KXT105" s="531"/>
      <c r="KXU105" s="530"/>
      <c r="KXV105" s="531"/>
      <c r="KXW105" s="530"/>
      <c r="KXX105" s="531"/>
      <c r="KXY105" s="530"/>
      <c r="KXZ105" s="531"/>
      <c r="KYA105" s="530"/>
      <c r="KYB105" s="531"/>
      <c r="KYC105" s="530"/>
      <c r="KYD105" s="531"/>
      <c r="KYE105" s="530"/>
      <c r="KYF105" s="531"/>
      <c r="KYG105" s="530"/>
      <c r="KYH105" s="531"/>
      <c r="KYI105" s="530"/>
      <c r="KYJ105" s="531"/>
      <c r="KYK105" s="530"/>
      <c r="KYL105" s="531"/>
      <c r="KYM105" s="530"/>
      <c r="KYN105" s="531"/>
      <c r="KYO105" s="530"/>
      <c r="KYP105" s="531"/>
      <c r="KYQ105" s="530"/>
      <c r="KYR105" s="531"/>
      <c r="KYS105" s="530"/>
      <c r="KYT105" s="531"/>
      <c r="KYU105" s="530"/>
      <c r="KYV105" s="531"/>
      <c r="KYW105" s="530"/>
      <c r="KYX105" s="531"/>
      <c r="KYY105" s="530"/>
      <c r="KYZ105" s="531"/>
      <c r="KZA105" s="530"/>
      <c r="KZB105" s="531"/>
      <c r="KZC105" s="530"/>
      <c r="KZD105" s="531"/>
      <c r="KZE105" s="530"/>
      <c r="KZF105" s="531"/>
      <c r="KZG105" s="530"/>
      <c r="KZH105" s="531"/>
      <c r="KZI105" s="530"/>
      <c r="KZJ105" s="531"/>
      <c r="KZK105" s="530"/>
      <c r="KZL105" s="531"/>
      <c r="KZM105" s="530"/>
      <c r="KZN105" s="531"/>
      <c r="KZO105" s="530"/>
      <c r="KZP105" s="531"/>
      <c r="KZQ105" s="530"/>
      <c r="KZR105" s="531"/>
      <c r="KZS105" s="530"/>
      <c r="KZT105" s="531"/>
      <c r="KZU105" s="530"/>
      <c r="KZV105" s="531"/>
      <c r="KZW105" s="530"/>
      <c r="KZX105" s="531"/>
      <c r="KZY105" s="530"/>
      <c r="KZZ105" s="531"/>
      <c r="LAA105" s="530"/>
      <c r="LAB105" s="531"/>
      <c r="LAC105" s="530"/>
      <c r="LAD105" s="531"/>
      <c r="LAE105" s="530"/>
      <c r="LAF105" s="531"/>
      <c r="LAG105" s="530"/>
      <c r="LAH105" s="531"/>
      <c r="LAI105" s="530"/>
      <c r="LAJ105" s="531"/>
      <c r="LAK105" s="530"/>
      <c r="LAL105" s="531"/>
      <c r="LAM105" s="530"/>
      <c r="LAN105" s="531"/>
      <c r="LAO105" s="530"/>
      <c r="LAP105" s="531"/>
      <c r="LAQ105" s="530"/>
      <c r="LAR105" s="531"/>
      <c r="LAS105" s="530"/>
      <c r="LAT105" s="531"/>
      <c r="LAU105" s="530"/>
      <c r="LAV105" s="531"/>
      <c r="LAW105" s="530"/>
      <c r="LAX105" s="531"/>
      <c r="LAY105" s="530"/>
      <c r="LAZ105" s="531"/>
      <c r="LBA105" s="530"/>
      <c r="LBB105" s="531"/>
      <c r="LBC105" s="530"/>
      <c r="LBD105" s="531"/>
      <c r="LBE105" s="530"/>
      <c r="LBF105" s="531"/>
      <c r="LBG105" s="530"/>
      <c r="LBH105" s="531"/>
      <c r="LBI105" s="530"/>
      <c r="LBJ105" s="531"/>
      <c r="LBK105" s="530"/>
      <c r="LBL105" s="531"/>
      <c r="LBM105" s="530"/>
      <c r="LBN105" s="531"/>
      <c r="LBO105" s="530"/>
      <c r="LBP105" s="531"/>
      <c r="LBQ105" s="530"/>
      <c r="LBR105" s="531"/>
      <c r="LBS105" s="530"/>
      <c r="LBT105" s="531"/>
      <c r="LBU105" s="530"/>
      <c r="LBV105" s="531"/>
      <c r="LBW105" s="530"/>
      <c r="LBX105" s="531"/>
      <c r="LBY105" s="530"/>
      <c r="LBZ105" s="531"/>
      <c r="LCA105" s="530"/>
      <c r="LCB105" s="531"/>
      <c r="LCC105" s="530"/>
      <c r="LCD105" s="531"/>
      <c r="LCE105" s="530"/>
      <c r="LCF105" s="531"/>
      <c r="LCG105" s="530"/>
      <c r="LCH105" s="531"/>
      <c r="LCI105" s="530"/>
      <c r="LCJ105" s="531"/>
      <c r="LCK105" s="530"/>
      <c r="LCL105" s="531"/>
      <c r="LCM105" s="530"/>
      <c r="LCN105" s="531"/>
      <c r="LCO105" s="530"/>
      <c r="LCP105" s="531"/>
      <c r="LCQ105" s="530"/>
      <c r="LCR105" s="531"/>
      <c r="LCS105" s="530"/>
      <c r="LCT105" s="531"/>
      <c r="LCU105" s="530"/>
      <c r="LCV105" s="531"/>
      <c r="LCW105" s="530"/>
      <c r="LCX105" s="531"/>
      <c r="LCY105" s="530"/>
      <c r="LCZ105" s="531"/>
      <c r="LDA105" s="530"/>
      <c r="LDB105" s="531"/>
      <c r="LDC105" s="530"/>
      <c r="LDD105" s="531"/>
      <c r="LDE105" s="530"/>
      <c r="LDF105" s="531"/>
      <c r="LDG105" s="530"/>
      <c r="LDH105" s="531"/>
      <c r="LDI105" s="530"/>
      <c r="LDJ105" s="531"/>
      <c r="LDK105" s="530"/>
      <c r="LDL105" s="531"/>
      <c r="LDM105" s="530"/>
      <c r="LDN105" s="531"/>
      <c r="LDO105" s="530"/>
      <c r="LDP105" s="531"/>
      <c r="LDQ105" s="530"/>
      <c r="LDR105" s="531"/>
      <c r="LDS105" s="530"/>
      <c r="LDT105" s="531"/>
      <c r="LDU105" s="530"/>
      <c r="LDV105" s="531"/>
      <c r="LDW105" s="530"/>
      <c r="LDX105" s="531"/>
      <c r="LDY105" s="530"/>
      <c r="LDZ105" s="531"/>
      <c r="LEA105" s="530"/>
      <c r="LEB105" s="531"/>
      <c r="LEC105" s="530"/>
      <c r="LED105" s="531"/>
      <c r="LEE105" s="530"/>
      <c r="LEF105" s="531"/>
      <c r="LEG105" s="530"/>
      <c r="LEH105" s="531"/>
      <c r="LEI105" s="530"/>
      <c r="LEJ105" s="531"/>
      <c r="LEK105" s="530"/>
      <c r="LEL105" s="531"/>
      <c r="LEM105" s="530"/>
      <c r="LEN105" s="531"/>
      <c r="LEO105" s="530"/>
      <c r="LEP105" s="531"/>
      <c r="LEQ105" s="530"/>
      <c r="LER105" s="531"/>
      <c r="LES105" s="530"/>
      <c r="LET105" s="531"/>
      <c r="LEU105" s="530"/>
      <c r="LEV105" s="531"/>
      <c r="LEW105" s="530"/>
      <c r="LEX105" s="531"/>
      <c r="LEY105" s="530"/>
      <c r="LEZ105" s="531"/>
      <c r="LFA105" s="530"/>
      <c r="LFB105" s="531"/>
      <c r="LFC105" s="530"/>
      <c r="LFD105" s="531"/>
      <c r="LFE105" s="530"/>
      <c r="LFF105" s="531"/>
      <c r="LFG105" s="530"/>
      <c r="LFH105" s="531"/>
      <c r="LFI105" s="530"/>
      <c r="LFJ105" s="531"/>
      <c r="LFK105" s="530"/>
      <c r="LFL105" s="531"/>
      <c r="LFM105" s="530"/>
      <c r="LFN105" s="531"/>
      <c r="LFO105" s="530"/>
      <c r="LFP105" s="531"/>
      <c r="LFQ105" s="530"/>
      <c r="LFR105" s="531"/>
      <c r="LFS105" s="530"/>
      <c r="LFT105" s="531"/>
      <c r="LFU105" s="530"/>
      <c r="LFV105" s="531"/>
      <c r="LFW105" s="530"/>
      <c r="LFX105" s="531"/>
      <c r="LFY105" s="530"/>
      <c r="LFZ105" s="531"/>
      <c r="LGA105" s="530"/>
      <c r="LGB105" s="531"/>
      <c r="LGC105" s="530"/>
      <c r="LGD105" s="531"/>
      <c r="LGE105" s="530"/>
      <c r="LGF105" s="531"/>
      <c r="LGG105" s="530"/>
      <c r="LGH105" s="531"/>
      <c r="LGI105" s="530"/>
      <c r="LGJ105" s="531"/>
      <c r="LGK105" s="530"/>
      <c r="LGL105" s="531"/>
      <c r="LGM105" s="530"/>
      <c r="LGN105" s="531"/>
      <c r="LGO105" s="530"/>
      <c r="LGP105" s="531"/>
      <c r="LGQ105" s="530"/>
      <c r="LGR105" s="531"/>
      <c r="LGS105" s="530"/>
      <c r="LGT105" s="531"/>
      <c r="LGU105" s="530"/>
      <c r="LGV105" s="531"/>
      <c r="LGW105" s="530"/>
      <c r="LGX105" s="531"/>
      <c r="LGY105" s="530"/>
      <c r="LGZ105" s="531"/>
      <c r="LHA105" s="530"/>
      <c r="LHB105" s="531"/>
      <c r="LHC105" s="530"/>
      <c r="LHD105" s="531"/>
      <c r="LHE105" s="530"/>
      <c r="LHF105" s="531"/>
      <c r="LHG105" s="530"/>
      <c r="LHH105" s="531"/>
      <c r="LHI105" s="530"/>
      <c r="LHJ105" s="531"/>
      <c r="LHK105" s="530"/>
      <c r="LHL105" s="531"/>
      <c r="LHM105" s="530"/>
      <c r="LHN105" s="531"/>
      <c r="LHO105" s="530"/>
      <c r="LHP105" s="531"/>
      <c r="LHQ105" s="530"/>
      <c r="LHR105" s="531"/>
      <c r="LHS105" s="530"/>
      <c r="LHT105" s="531"/>
      <c r="LHU105" s="530"/>
      <c r="LHV105" s="531"/>
      <c r="LHW105" s="530"/>
      <c r="LHX105" s="531"/>
      <c r="LHY105" s="530"/>
      <c r="LHZ105" s="531"/>
      <c r="LIA105" s="530"/>
      <c r="LIB105" s="531"/>
      <c r="LIC105" s="530"/>
      <c r="LID105" s="531"/>
      <c r="LIE105" s="530"/>
      <c r="LIF105" s="531"/>
      <c r="LIG105" s="530"/>
      <c r="LIH105" s="531"/>
      <c r="LII105" s="530"/>
      <c r="LIJ105" s="531"/>
      <c r="LIK105" s="530"/>
      <c r="LIL105" s="531"/>
      <c r="LIM105" s="530"/>
      <c r="LIN105" s="531"/>
      <c r="LIO105" s="530"/>
      <c r="LIP105" s="531"/>
      <c r="LIQ105" s="530"/>
      <c r="LIR105" s="531"/>
      <c r="LIS105" s="530"/>
      <c r="LIT105" s="531"/>
      <c r="LIU105" s="530"/>
      <c r="LIV105" s="531"/>
      <c r="LIW105" s="530"/>
      <c r="LIX105" s="531"/>
      <c r="LIY105" s="530"/>
      <c r="LIZ105" s="531"/>
      <c r="LJA105" s="530"/>
      <c r="LJB105" s="531"/>
      <c r="LJC105" s="530"/>
      <c r="LJD105" s="531"/>
      <c r="LJE105" s="530"/>
      <c r="LJF105" s="531"/>
      <c r="LJG105" s="530"/>
      <c r="LJH105" s="531"/>
      <c r="LJI105" s="530"/>
      <c r="LJJ105" s="531"/>
      <c r="LJK105" s="530"/>
      <c r="LJL105" s="531"/>
      <c r="LJM105" s="530"/>
      <c r="LJN105" s="531"/>
      <c r="LJO105" s="530"/>
      <c r="LJP105" s="531"/>
      <c r="LJQ105" s="530"/>
      <c r="LJR105" s="531"/>
      <c r="LJS105" s="530"/>
      <c r="LJT105" s="531"/>
      <c r="LJU105" s="530"/>
      <c r="LJV105" s="531"/>
      <c r="LJW105" s="530"/>
      <c r="LJX105" s="531"/>
      <c r="LJY105" s="530"/>
      <c r="LJZ105" s="531"/>
      <c r="LKA105" s="530"/>
      <c r="LKB105" s="531"/>
      <c r="LKC105" s="530"/>
      <c r="LKD105" s="531"/>
      <c r="LKE105" s="530"/>
      <c r="LKF105" s="531"/>
      <c r="LKG105" s="530"/>
      <c r="LKH105" s="531"/>
      <c r="LKI105" s="530"/>
      <c r="LKJ105" s="531"/>
      <c r="LKK105" s="530"/>
      <c r="LKL105" s="531"/>
      <c r="LKM105" s="530"/>
      <c r="LKN105" s="531"/>
      <c r="LKO105" s="530"/>
      <c r="LKP105" s="531"/>
      <c r="LKQ105" s="530"/>
      <c r="LKR105" s="531"/>
      <c r="LKS105" s="530"/>
      <c r="LKT105" s="531"/>
      <c r="LKU105" s="530"/>
      <c r="LKV105" s="531"/>
      <c r="LKW105" s="530"/>
      <c r="LKX105" s="531"/>
      <c r="LKY105" s="530"/>
      <c r="LKZ105" s="531"/>
      <c r="LLA105" s="530"/>
      <c r="LLB105" s="531"/>
      <c r="LLC105" s="530"/>
      <c r="LLD105" s="531"/>
      <c r="LLE105" s="530"/>
      <c r="LLF105" s="531"/>
      <c r="LLG105" s="530"/>
      <c r="LLH105" s="531"/>
      <c r="LLI105" s="530"/>
      <c r="LLJ105" s="531"/>
      <c r="LLK105" s="530"/>
      <c r="LLL105" s="531"/>
      <c r="LLM105" s="530"/>
      <c r="LLN105" s="531"/>
      <c r="LLO105" s="530"/>
      <c r="LLP105" s="531"/>
      <c r="LLQ105" s="530"/>
      <c r="LLR105" s="531"/>
      <c r="LLS105" s="530"/>
      <c r="LLT105" s="531"/>
      <c r="LLU105" s="530"/>
      <c r="LLV105" s="531"/>
      <c r="LLW105" s="530"/>
      <c r="LLX105" s="531"/>
      <c r="LLY105" s="530"/>
      <c r="LLZ105" s="531"/>
      <c r="LMA105" s="530"/>
      <c r="LMB105" s="531"/>
      <c r="LMC105" s="530"/>
      <c r="LMD105" s="531"/>
      <c r="LME105" s="530"/>
      <c r="LMF105" s="531"/>
      <c r="LMG105" s="530"/>
      <c r="LMH105" s="531"/>
      <c r="LMI105" s="530"/>
      <c r="LMJ105" s="531"/>
      <c r="LMK105" s="530"/>
      <c r="LML105" s="531"/>
      <c r="LMM105" s="530"/>
      <c r="LMN105" s="531"/>
      <c r="LMO105" s="530"/>
      <c r="LMP105" s="531"/>
      <c r="LMQ105" s="530"/>
      <c r="LMR105" s="531"/>
      <c r="LMS105" s="530"/>
      <c r="LMT105" s="531"/>
      <c r="LMU105" s="530"/>
      <c r="LMV105" s="531"/>
      <c r="LMW105" s="530"/>
      <c r="LMX105" s="531"/>
      <c r="LMY105" s="530"/>
      <c r="LMZ105" s="531"/>
      <c r="LNA105" s="530"/>
      <c r="LNB105" s="531"/>
      <c r="LNC105" s="530"/>
      <c r="LND105" s="531"/>
      <c r="LNE105" s="530"/>
      <c r="LNF105" s="531"/>
      <c r="LNG105" s="530"/>
      <c r="LNH105" s="531"/>
      <c r="LNI105" s="530"/>
      <c r="LNJ105" s="531"/>
      <c r="LNK105" s="530"/>
      <c r="LNL105" s="531"/>
      <c r="LNM105" s="530"/>
      <c r="LNN105" s="531"/>
      <c r="LNO105" s="530"/>
      <c r="LNP105" s="531"/>
      <c r="LNQ105" s="530"/>
      <c r="LNR105" s="531"/>
      <c r="LNS105" s="530"/>
      <c r="LNT105" s="531"/>
      <c r="LNU105" s="530"/>
      <c r="LNV105" s="531"/>
      <c r="LNW105" s="530"/>
      <c r="LNX105" s="531"/>
      <c r="LNY105" s="530"/>
      <c r="LNZ105" s="531"/>
      <c r="LOA105" s="530"/>
      <c r="LOB105" s="531"/>
      <c r="LOC105" s="530"/>
      <c r="LOD105" s="531"/>
      <c r="LOE105" s="530"/>
      <c r="LOF105" s="531"/>
      <c r="LOG105" s="530"/>
      <c r="LOH105" s="531"/>
      <c r="LOI105" s="530"/>
      <c r="LOJ105" s="531"/>
      <c r="LOK105" s="530"/>
      <c r="LOL105" s="531"/>
      <c r="LOM105" s="530"/>
      <c r="LON105" s="531"/>
      <c r="LOO105" s="530"/>
      <c r="LOP105" s="531"/>
      <c r="LOQ105" s="530"/>
      <c r="LOR105" s="531"/>
      <c r="LOS105" s="530"/>
      <c r="LOT105" s="531"/>
      <c r="LOU105" s="530"/>
      <c r="LOV105" s="531"/>
      <c r="LOW105" s="530"/>
      <c r="LOX105" s="531"/>
      <c r="LOY105" s="530"/>
      <c r="LOZ105" s="531"/>
      <c r="LPA105" s="530"/>
      <c r="LPB105" s="531"/>
      <c r="LPC105" s="530"/>
      <c r="LPD105" s="531"/>
      <c r="LPE105" s="530"/>
      <c r="LPF105" s="531"/>
      <c r="LPG105" s="530"/>
      <c r="LPH105" s="531"/>
      <c r="LPI105" s="530"/>
      <c r="LPJ105" s="531"/>
      <c r="LPK105" s="530"/>
      <c r="LPL105" s="531"/>
      <c r="LPM105" s="530"/>
      <c r="LPN105" s="531"/>
      <c r="LPO105" s="530"/>
      <c r="LPP105" s="531"/>
      <c r="LPQ105" s="530"/>
      <c r="LPR105" s="531"/>
      <c r="LPS105" s="530"/>
      <c r="LPT105" s="531"/>
      <c r="LPU105" s="530"/>
      <c r="LPV105" s="531"/>
      <c r="LPW105" s="530"/>
      <c r="LPX105" s="531"/>
      <c r="LPY105" s="530"/>
      <c r="LPZ105" s="531"/>
      <c r="LQA105" s="530"/>
      <c r="LQB105" s="531"/>
      <c r="LQC105" s="530"/>
      <c r="LQD105" s="531"/>
      <c r="LQE105" s="530"/>
      <c r="LQF105" s="531"/>
      <c r="LQG105" s="530"/>
      <c r="LQH105" s="531"/>
      <c r="LQI105" s="530"/>
      <c r="LQJ105" s="531"/>
      <c r="LQK105" s="530"/>
      <c r="LQL105" s="531"/>
      <c r="LQM105" s="530"/>
      <c r="LQN105" s="531"/>
      <c r="LQO105" s="530"/>
      <c r="LQP105" s="531"/>
      <c r="LQQ105" s="530"/>
      <c r="LQR105" s="531"/>
      <c r="LQS105" s="530"/>
      <c r="LQT105" s="531"/>
      <c r="LQU105" s="530"/>
      <c r="LQV105" s="531"/>
      <c r="LQW105" s="530"/>
      <c r="LQX105" s="531"/>
      <c r="LQY105" s="530"/>
      <c r="LQZ105" s="531"/>
      <c r="LRA105" s="530"/>
      <c r="LRB105" s="531"/>
      <c r="LRC105" s="530"/>
      <c r="LRD105" s="531"/>
      <c r="LRE105" s="530"/>
      <c r="LRF105" s="531"/>
      <c r="LRG105" s="530"/>
      <c r="LRH105" s="531"/>
      <c r="LRI105" s="530"/>
      <c r="LRJ105" s="531"/>
      <c r="LRK105" s="530"/>
      <c r="LRL105" s="531"/>
      <c r="LRM105" s="530"/>
      <c r="LRN105" s="531"/>
      <c r="LRO105" s="530"/>
      <c r="LRP105" s="531"/>
      <c r="LRQ105" s="530"/>
      <c r="LRR105" s="531"/>
      <c r="LRS105" s="530"/>
      <c r="LRT105" s="531"/>
      <c r="LRU105" s="530"/>
      <c r="LRV105" s="531"/>
      <c r="LRW105" s="530"/>
      <c r="LRX105" s="531"/>
      <c r="LRY105" s="530"/>
      <c r="LRZ105" s="531"/>
      <c r="LSA105" s="530"/>
      <c r="LSB105" s="531"/>
      <c r="LSC105" s="530"/>
      <c r="LSD105" s="531"/>
      <c r="LSE105" s="530"/>
      <c r="LSF105" s="531"/>
      <c r="LSG105" s="530"/>
      <c r="LSH105" s="531"/>
      <c r="LSI105" s="530"/>
      <c r="LSJ105" s="531"/>
      <c r="LSK105" s="530"/>
      <c r="LSL105" s="531"/>
      <c r="LSM105" s="530"/>
      <c r="LSN105" s="531"/>
      <c r="LSO105" s="530"/>
      <c r="LSP105" s="531"/>
      <c r="LSQ105" s="530"/>
      <c r="LSR105" s="531"/>
      <c r="LSS105" s="530"/>
      <c r="LST105" s="531"/>
      <c r="LSU105" s="530"/>
      <c r="LSV105" s="531"/>
      <c r="LSW105" s="530"/>
      <c r="LSX105" s="531"/>
      <c r="LSY105" s="530"/>
      <c r="LSZ105" s="531"/>
      <c r="LTA105" s="530"/>
      <c r="LTB105" s="531"/>
      <c r="LTC105" s="530"/>
      <c r="LTD105" s="531"/>
      <c r="LTE105" s="530"/>
      <c r="LTF105" s="531"/>
      <c r="LTG105" s="530"/>
      <c r="LTH105" s="531"/>
      <c r="LTI105" s="530"/>
      <c r="LTJ105" s="531"/>
      <c r="LTK105" s="530"/>
      <c r="LTL105" s="531"/>
      <c r="LTM105" s="530"/>
      <c r="LTN105" s="531"/>
      <c r="LTO105" s="530"/>
      <c r="LTP105" s="531"/>
      <c r="LTQ105" s="530"/>
      <c r="LTR105" s="531"/>
      <c r="LTS105" s="530"/>
      <c r="LTT105" s="531"/>
      <c r="LTU105" s="530"/>
      <c r="LTV105" s="531"/>
      <c r="LTW105" s="530"/>
      <c r="LTX105" s="531"/>
      <c r="LTY105" s="530"/>
      <c r="LTZ105" s="531"/>
      <c r="LUA105" s="530"/>
      <c r="LUB105" s="531"/>
      <c r="LUC105" s="530"/>
      <c r="LUD105" s="531"/>
      <c r="LUE105" s="530"/>
      <c r="LUF105" s="531"/>
      <c r="LUG105" s="530"/>
      <c r="LUH105" s="531"/>
      <c r="LUI105" s="530"/>
      <c r="LUJ105" s="531"/>
      <c r="LUK105" s="530"/>
      <c r="LUL105" s="531"/>
      <c r="LUM105" s="530"/>
      <c r="LUN105" s="531"/>
      <c r="LUO105" s="530"/>
      <c r="LUP105" s="531"/>
      <c r="LUQ105" s="530"/>
      <c r="LUR105" s="531"/>
      <c r="LUS105" s="530"/>
      <c r="LUT105" s="531"/>
      <c r="LUU105" s="530"/>
      <c r="LUV105" s="531"/>
      <c r="LUW105" s="530"/>
      <c r="LUX105" s="531"/>
      <c r="LUY105" s="530"/>
      <c r="LUZ105" s="531"/>
      <c r="LVA105" s="530"/>
      <c r="LVB105" s="531"/>
      <c r="LVC105" s="530"/>
      <c r="LVD105" s="531"/>
      <c r="LVE105" s="530"/>
      <c r="LVF105" s="531"/>
      <c r="LVG105" s="530"/>
      <c r="LVH105" s="531"/>
      <c r="LVI105" s="530"/>
      <c r="LVJ105" s="531"/>
      <c r="LVK105" s="530"/>
      <c r="LVL105" s="531"/>
      <c r="LVM105" s="530"/>
      <c r="LVN105" s="531"/>
      <c r="LVO105" s="530"/>
      <c r="LVP105" s="531"/>
      <c r="LVQ105" s="530"/>
      <c r="LVR105" s="531"/>
      <c r="LVS105" s="530"/>
      <c r="LVT105" s="531"/>
      <c r="LVU105" s="530"/>
      <c r="LVV105" s="531"/>
      <c r="LVW105" s="530"/>
      <c r="LVX105" s="531"/>
      <c r="LVY105" s="530"/>
      <c r="LVZ105" s="531"/>
      <c r="LWA105" s="530"/>
      <c r="LWB105" s="531"/>
      <c r="LWC105" s="530"/>
      <c r="LWD105" s="531"/>
      <c r="LWE105" s="530"/>
      <c r="LWF105" s="531"/>
      <c r="LWG105" s="530"/>
      <c r="LWH105" s="531"/>
      <c r="LWI105" s="530"/>
      <c r="LWJ105" s="531"/>
      <c r="LWK105" s="530"/>
      <c r="LWL105" s="531"/>
      <c r="LWM105" s="530"/>
      <c r="LWN105" s="531"/>
      <c r="LWO105" s="530"/>
      <c r="LWP105" s="531"/>
      <c r="LWQ105" s="530"/>
      <c r="LWR105" s="531"/>
      <c r="LWS105" s="530"/>
      <c r="LWT105" s="531"/>
      <c r="LWU105" s="530"/>
      <c r="LWV105" s="531"/>
      <c r="LWW105" s="530"/>
      <c r="LWX105" s="531"/>
      <c r="LWY105" s="530"/>
      <c r="LWZ105" s="531"/>
      <c r="LXA105" s="530"/>
      <c r="LXB105" s="531"/>
      <c r="LXC105" s="530"/>
      <c r="LXD105" s="531"/>
      <c r="LXE105" s="530"/>
      <c r="LXF105" s="531"/>
      <c r="LXG105" s="530"/>
      <c r="LXH105" s="531"/>
      <c r="LXI105" s="530"/>
      <c r="LXJ105" s="531"/>
      <c r="LXK105" s="530"/>
      <c r="LXL105" s="531"/>
      <c r="LXM105" s="530"/>
      <c r="LXN105" s="531"/>
      <c r="LXO105" s="530"/>
      <c r="LXP105" s="531"/>
      <c r="LXQ105" s="530"/>
      <c r="LXR105" s="531"/>
      <c r="LXS105" s="530"/>
      <c r="LXT105" s="531"/>
      <c r="LXU105" s="530"/>
      <c r="LXV105" s="531"/>
      <c r="LXW105" s="530"/>
      <c r="LXX105" s="531"/>
      <c r="LXY105" s="530"/>
      <c r="LXZ105" s="531"/>
      <c r="LYA105" s="530"/>
      <c r="LYB105" s="531"/>
      <c r="LYC105" s="530"/>
      <c r="LYD105" s="531"/>
      <c r="LYE105" s="530"/>
      <c r="LYF105" s="531"/>
      <c r="LYG105" s="530"/>
      <c r="LYH105" s="531"/>
      <c r="LYI105" s="530"/>
      <c r="LYJ105" s="531"/>
      <c r="LYK105" s="530"/>
      <c r="LYL105" s="531"/>
      <c r="LYM105" s="530"/>
      <c r="LYN105" s="531"/>
      <c r="LYO105" s="530"/>
      <c r="LYP105" s="531"/>
      <c r="LYQ105" s="530"/>
      <c r="LYR105" s="531"/>
      <c r="LYS105" s="530"/>
      <c r="LYT105" s="531"/>
      <c r="LYU105" s="530"/>
      <c r="LYV105" s="531"/>
      <c r="LYW105" s="530"/>
      <c r="LYX105" s="531"/>
      <c r="LYY105" s="530"/>
      <c r="LYZ105" s="531"/>
      <c r="LZA105" s="530"/>
      <c r="LZB105" s="531"/>
      <c r="LZC105" s="530"/>
      <c r="LZD105" s="531"/>
      <c r="LZE105" s="530"/>
      <c r="LZF105" s="531"/>
      <c r="LZG105" s="530"/>
      <c r="LZH105" s="531"/>
      <c r="LZI105" s="530"/>
      <c r="LZJ105" s="531"/>
      <c r="LZK105" s="530"/>
      <c r="LZL105" s="531"/>
      <c r="LZM105" s="530"/>
      <c r="LZN105" s="531"/>
      <c r="LZO105" s="530"/>
      <c r="LZP105" s="531"/>
      <c r="LZQ105" s="530"/>
      <c r="LZR105" s="531"/>
      <c r="LZS105" s="530"/>
      <c r="LZT105" s="531"/>
      <c r="LZU105" s="530"/>
      <c r="LZV105" s="531"/>
      <c r="LZW105" s="530"/>
      <c r="LZX105" s="531"/>
      <c r="LZY105" s="530"/>
      <c r="LZZ105" s="531"/>
      <c r="MAA105" s="530"/>
      <c r="MAB105" s="531"/>
      <c r="MAC105" s="530"/>
      <c r="MAD105" s="531"/>
      <c r="MAE105" s="530"/>
      <c r="MAF105" s="531"/>
      <c r="MAG105" s="530"/>
      <c r="MAH105" s="531"/>
      <c r="MAI105" s="530"/>
      <c r="MAJ105" s="531"/>
      <c r="MAK105" s="530"/>
      <c r="MAL105" s="531"/>
      <c r="MAM105" s="530"/>
      <c r="MAN105" s="531"/>
      <c r="MAO105" s="530"/>
      <c r="MAP105" s="531"/>
      <c r="MAQ105" s="530"/>
      <c r="MAR105" s="531"/>
      <c r="MAS105" s="530"/>
      <c r="MAT105" s="531"/>
      <c r="MAU105" s="530"/>
      <c r="MAV105" s="531"/>
      <c r="MAW105" s="530"/>
      <c r="MAX105" s="531"/>
      <c r="MAY105" s="530"/>
      <c r="MAZ105" s="531"/>
      <c r="MBA105" s="530"/>
      <c r="MBB105" s="531"/>
      <c r="MBC105" s="530"/>
      <c r="MBD105" s="531"/>
      <c r="MBE105" s="530"/>
      <c r="MBF105" s="531"/>
      <c r="MBG105" s="530"/>
      <c r="MBH105" s="531"/>
      <c r="MBI105" s="530"/>
      <c r="MBJ105" s="531"/>
      <c r="MBK105" s="530"/>
      <c r="MBL105" s="531"/>
      <c r="MBM105" s="530"/>
      <c r="MBN105" s="531"/>
      <c r="MBO105" s="530"/>
      <c r="MBP105" s="531"/>
      <c r="MBQ105" s="530"/>
      <c r="MBR105" s="531"/>
      <c r="MBS105" s="530"/>
      <c r="MBT105" s="531"/>
      <c r="MBU105" s="530"/>
      <c r="MBV105" s="531"/>
      <c r="MBW105" s="530"/>
      <c r="MBX105" s="531"/>
      <c r="MBY105" s="530"/>
      <c r="MBZ105" s="531"/>
      <c r="MCA105" s="530"/>
      <c r="MCB105" s="531"/>
      <c r="MCC105" s="530"/>
      <c r="MCD105" s="531"/>
      <c r="MCE105" s="530"/>
      <c r="MCF105" s="531"/>
      <c r="MCG105" s="530"/>
      <c r="MCH105" s="531"/>
      <c r="MCI105" s="530"/>
      <c r="MCJ105" s="531"/>
      <c r="MCK105" s="530"/>
      <c r="MCL105" s="531"/>
      <c r="MCM105" s="530"/>
      <c r="MCN105" s="531"/>
      <c r="MCO105" s="530"/>
      <c r="MCP105" s="531"/>
      <c r="MCQ105" s="530"/>
      <c r="MCR105" s="531"/>
      <c r="MCS105" s="530"/>
      <c r="MCT105" s="531"/>
      <c r="MCU105" s="530"/>
      <c r="MCV105" s="531"/>
      <c r="MCW105" s="530"/>
      <c r="MCX105" s="531"/>
      <c r="MCY105" s="530"/>
      <c r="MCZ105" s="531"/>
      <c r="MDA105" s="530"/>
      <c r="MDB105" s="531"/>
      <c r="MDC105" s="530"/>
      <c r="MDD105" s="531"/>
      <c r="MDE105" s="530"/>
      <c r="MDF105" s="531"/>
      <c r="MDG105" s="530"/>
      <c r="MDH105" s="531"/>
      <c r="MDI105" s="530"/>
      <c r="MDJ105" s="531"/>
      <c r="MDK105" s="530"/>
      <c r="MDL105" s="531"/>
      <c r="MDM105" s="530"/>
      <c r="MDN105" s="531"/>
      <c r="MDO105" s="530"/>
      <c r="MDP105" s="531"/>
      <c r="MDQ105" s="530"/>
      <c r="MDR105" s="531"/>
      <c r="MDS105" s="530"/>
      <c r="MDT105" s="531"/>
      <c r="MDU105" s="530"/>
      <c r="MDV105" s="531"/>
      <c r="MDW105" s="530"/>
      <c r="MDX105" s="531"/>
      <c r="MDY105" s="530"/>
      <c r="MDZ105" s="531"/>
      <c r="MEA105" s="530"/>
      <c r="MEB105" s="531"/>
      <c r="MEC105" s="530"/>
      <c r="MED105" s="531"/>
      <c r="MEE105" s="530"/>
      <c r="MEF105" s="531"/>
      <c r="MEG105" s="530"/>
      <c r="MEH105" s="531"/>
      <c r="MEI105" s="530"/>
      <c r="MEJ105" s="531"/>
      <c r="MEK105" s="530"/>
      <c r="MEL105" s="531"/>
      <c r="MEM105" s="530"/>
      <c r="MEN105" s="531"/>
      <c r="MEO105" s="530"/>
      <c r="MEP105" s="531"/>
      <c r="MEQ105" s="530"/>
      <c r="MER105" s="531"/>
      <c r="MES105" s="530"/>
      <c r="MET105" s="531"/>
      <c r="MEU105" s="530"/>
      <c r="MEV105" s="531"/>
      <c r="MEW105" s="530"/>
      <c r="MEX105" s="531"/>
      <c r="MEY105" s="530"/>
      <c r="MEZ105" s="531"/>
      <c r="MFA105" s="530"/>
      <c r="MFB105" s="531"/>
      <c r="MFC105" s="530"/>
      <c r="MFD105" s="531"/>
      <c r="MFE105" s="530"/>
      <c r="MFF105" s="531"/>
      <c r="MFG105" s="530"/>
      <c r="MFH105" s="531"/>
      <c r="MFI105" s="530"/>
      <c r="MFJ105" s="531"/>
      <c r="MFK105" s="530"/>
      <c r="MFL105" s="531"/>
      <c r="MFM105" s="530"/>
      <c r="MFN105" s="531"/>
      <c r="MFO105" s="530"/>
      <c r="MFP105" s="531"/>
      <c r="MFQ105" s="530"/>
      <c r="MFR105" s="531"/>
      <c r="MFS105" s="530"/>
      <c r="MFT105" s="531"/>
      <c r="MFU105" s="530"/>
      <c r="MFV105" s="531"/>
      <c r="MFW105" s="530"/>
      <c r="MFX105" s="531"/>
      <c r="MFY105" s="530"/>
      <c r="MFZ105" s="531"/>
      <c r="MGA105" s="530"/>
      <c r="MGB105" s="531"/>
      <c r="MGC105" s="530"/>
      <c r="MGD105" s="531"/>
      <c r="MGE105" s="530"/>
      <c r="MGF105" s="531"/>
      <c r="MGG105" s="530"/>
      <c r="MGH105" s="531"/>
      <c r="MGI105" s="530"/>
      <c r="MGJ105" s="531"/>
      <c r="MGK105" s="530"/>
      <c r="MGL105" s="531"/>
      <c r="MGM105" s="530"/>
      <c r="MGN105" s="531"/>
      <c r="MGO105" s="530"/>
      <c r="MGP105" s="531"/>
      <c r="MGQ105" s="530"/>
      <c r="MGR105" s="531"/>
      <c r="MGS105" s="530"/>
      <c r="MGT105" s="531"/>
      <c r="MGU105" s="530"/>
      <c r="MGV105" s="531"/>
      <c r="MGW105" s="530"/>
      <c r="MGX105" s="531"/>
      <c r="MGY105" s="530"/>
      <c r="MGZ105" s="531"/>
      <c r="MHA105" s="530"/>
      <c r="MHB105" s="531"/>
      <c r="MHC105" s="530"/>
      <c r="MHD105" s="531"/>
      <c r="MHE105" s="530"/>
      <c r="MHF105" s="531"/>
      <c r="MHG105" s="530"/>
      <c r="MHH105" s="531"/>
      <c r="MHI105" s="530"/>
      <c r="MHJ105" s="531"/>
      <c r="MHK105" s="530"/>
      <c r="MHL105" s="531"/>
      <c r="MHM105" s="530"/>
      <c r="MHN105" s="531"/>
      <c r="MHO105" s="530"/>
      <c r="MHP105" s="531"/>
      <c r="MHQ105" s="530"/>
      <c r="MHR105" s="531"/>
      <c r="MHS105" s="530"/>
      <c r="MHT105" s="531"/>
      <c r="MHU105" s="530"/>
      <c r="MHV105" s="531"/>
      <c r="MHW105" s="530"/>
      <c r="MHX105" s="531"/>
      <c r="MHY105" s="530"/>
      <c r="MHZ105" s="531"/>
      <c r="MIA105" s="530"/>
      <c r="MIB105" s="531"/>
      <c r="MIC105" s="530"/>
      <c r="MID105" s="531"/>
      <c r="MIE105" s="530"/>
      <c r="MIF105" s="531"/>
      <c r="MIG105" s="530"/>
      <c r="MIH105" s="531"/>
      <c r="MII105" s="530"/>
      <c r="MIJ105" s="531"/>
      <c r="MIK105" s="530"/>
      <c r="MIL105" s="531"/>
      <c r="MIM105" s="530"/>
      <c r="MIN105" s="531"/>
      <c r="MIO105" s="530"/>
      <c r="MIP105" s="531"/>
      <c r="MIQ105" s="530"/>
      <c r="MIR105" s="531"/>
      <c r="MIS105" s="530"/>
      <c r="MIT105" s="531"/>
      <c r="MIU105" s="530"/>
      <c r="MIV105" s="531"/>
      <c r="MIW105" s="530"/>
      <c r="MIX105" s="531"/>
      <c r="MIY105" s="530"/>
      <c r="MIZ105" s="531"/>
      <c r="MJA105" s="530"/>
      <c r="MJB105" s="531"/>
      <c r="MJC105" s="530"/>
      <c r="MJD105" s="531"/>
      <c r="MJE105" s="530"/>
      <c r="MJF105" s="531"/>
      <c r="MJG105" s="530"/>
      <c r="MJH105" s="531"/>
      <c r="MJI105" s="530"/>
      <c r="MJJ105" s="531"/>
      <c r="MJK105" s="530"/>
      <c r="MJL105" s="531"/>
      <c r="MJM105" s="530"/>
      <c r="MJN105" s="531"/>
      <c r="MJO105" s="530"/>
      <c r="MJP105" s="531"/>
      <c r="MJQ105" s="530"/>
      <c r="MJR105" s="531"/>
      <c r="MJS105" s="530"/>
      <c r="MJT105" s="531"/>
      <c r="MJU105" s="530"/>
      <c r="MJV105" s="531"/>
      <c r="MJW105" s="530"/>
      <c r="MJX105" s="531"/>
      <c r="MJY105" s="530"/>
      <c r="MJZ105" s="531"/>
      <c r="MKA105" s="530"/>
      <c r="MKB105" s="531"/>
      <c r="MKC105" s="530"/>
      <c r="MKD105" s="531"/>
      <c r="MKE105" s="530"/>
      <c r="MKF105" s="531"/>
      <c r="MKG105" s="530"/>
      <c r="MKH105" s="531"/>
      <c r="MKI105" s="530"/>
      <c r="MKJ105" s="531"/>
      <c r="MKK105" s="530"/>
      <c r="MKL105" s="531"/>
      <c r="MKM105" s="530"/>
      <c r="MKN105" s="531"/>
      <c r="MKO105" s="530"/>
      <c r="MKP105" s="531"/>
      <c r="MKQ105" s="530"/>
      <c r="MKR105" s="531"/>
      <c r="MKS105" s="530"/>
      <c r="MKT105" s="531"/>
      <c r="MKU105" s="530"/>
      <c r="MKV105" s="531"/>
      <c r="MKW105" s="530"/>
      <c r="MKX105" s="531"/>
      <c r="MKY105" s="530"/>
      <c r="MKZ105" s="531"/>
      <c r="MLA105" s="530"/>
      <c r="MLB105" s="531"/>
      <c r="MLC105" s="530"/>
      <c r="MLD105" s="531"/>
      <c r="MLE105" s="530"/>
      <c r="MLF105" s="531"/>
      <c r="MLG105" s="530"/>
      <c r="MLH105" s="531"/>
      <c r="MLI105" s="530"/>
      <c r="MLJ105" s="531"/>
      <c r="MLK105" s="530"/>
      <c r="MLL105" s="531"/>
      <c r="MLM105" s="530"/>
      <c r="MLN105" s="531"/>
      <c r="MLO105" s="530"/>
      <c r="MLP105" s="531"/>
      <c r="MLQ105" s="530"/>
      <c r="MLR105" s="531"/>
      <c r="MLS105" s="530"/>
      <c r="MLT105" s="531"/>
      <c r="MLU105" s="530"/>
      <c r="MLV105" s="531"/>
      <c r="MLW105" s="530"/>
      <c r="MLX105" s="531"/>
      <c r="MLY105" s="530"/>
      <c r="MLZ105" s="531"/>
      <c r="MMA105" s="530"/>
      <c r="MMB105" s="531"/>
      <c r="MMC105" s="530"/>
      <c r="MMD105" s="531"/>
      <c r="MME105" s="530"/>
      <c r="MMF105" s="531"/>
      <c r="MMG105" s="530"/>
      <c r="MMH105" s="531"/>
      <c r="MMI105" s="530"/>
      <c r="MMJ105" s="531"/>
      <c r="MMK105" s="530"/>
      <c r="MML105" s="531"/>
      <c r="MMM105" s="530"/>
      <c r="MMN105" s="531"/>
      <c r="MMO105" s="530"/>
      <c r="MMP105" s="531"/>
      <c r="MMQ105" s="530"/>
      <c r="MMR105" s="531"/>
      <c r="MMS105" s="530"/>
      <c r="MMT105" s="531"/>
      <c r="MMU105" s="530"/>
      <c r="MMV105" s="531"/>
      <c r="MMW105" s="530"/>
      <c r="MMX105" s="531"/>
      <c r="MMY105" s="530"/>
      <c r="MMZ105" s="531"/>
      <c r="MNA105" s="530"/>
      <c r="MNB105" s="531"/>
      <c r="MNC105" s="530"/>
      <c r="MND105" s="531"/>
      <c r="MNE105" s="530"/>
      <c r="MNF105" s="531"/>
      <c r="MNG105" s="530"/>
      <c r="MNH105" s="531"/>
      <c r="MNI105" s="530"/>
      <c r="MNJ105" s="531"/>
      <c r="MNK105" s="530"/>
      <c r="MNL105" s="531"/>
      <c r="MNM105" s="530"/>
      <c r="MNN105" s="531"/>
      <c r="MNO105" s="530"/>
      <c r="MNP105" s="531"/>
      <c r="MNQ105" s="530"/>
      <c r="MNR105" s="531"/>
      <c r="MNS105" s="530"/>
      <c r="MNT105" s="531"/>
      <c r="MNU105" s="530"/>
      <c r="MNV105" s="531"/>
      <c r="MNW105" s="530"/>
      <c r="MNX105" s="531"/>
      <c r="MNY105" s="530"/>
      <c r="MNZ105" s="531"/>
      <c r="MOA105" s="530"/>
      <c r="MOB105" s="531"/>
      <c r="MOC105" s="530"/>
      <c r="MOD105" s="531"/>
      <c r="MOE105" s="530"/>
      <c r="MOF105" s="531"/>
      <c r="MOG105" s="530"/>
      <c r="MOH105" s="531"/>
      <c r="MOI105" s="530"/>
      <c r="MOJ105" s="531"/>
      <c r="MOK105" s="530"/>
      <c r="MOL105" s="531"/>
      <c r="MOM105" s="530"/>
      <c r="MON105" s="531"/>
      <c r="MOO105" s="530"/>
      <c r="MOP105" s="531"/>
      <c r="MOQ105" s="530"/>
      <c r="MOR105" s="531"/>
      <c r="MOS105" s="530"/>
      <c r="MOT105" s="531"/>
      <c r="MOU105" s="530"/>
      <c r="MOV105" s="531"/>
      <c r="MOW105" s="530"/>
      <c r="MOX105" s="531"/>
      <c r="MOY105" s="530"/>
      <c r="MOZ105" s="531"/>
      <c r="MPA105" s="530"/>
      <c r="MPB105" s="531"/>
      <c r="MPC105" s="530"/>
      <c r="MPD105" s="531"/>
      <c r="MPE105" s="530"/>
      <c r="MPF105" s="531"/>
      <c r="MPG105" s="530"/>
      <c r="MPH105" s="531"/>
      <c r="MPI105" s="530"/>
      <c r="MPJ105" s="531"/>
      <c r="MPK105" s="530"/>
      <c r="MPL105" s="531"/>
      <c r="MPM105" s="530"/>
      <c r="MPN105" s="531"/>
      <c r="MPO105" s="530"/>
      <c r="MPP105" s="531"/>
      <c r="MPQ105" s="530"/>
      <c r="MPR105" s="531"/>
      <c r="MPS105" s="530"/>
      <c r="MPT105" s="531"/>
      <c r="MPU105" s="530"/>
      <c r="MPV105" s="531"/>
      <c r="MPW105" s="530"/>
      <c r="MPX105" s="531"/>
      <c r="MPY105" s="530"/>
      <c r="MPZ105" s="531"/>
      <c r="MQA105" s="530"/>
      <c r="MQB105" s="531"/>
      <c r="MQC105" s="530"/>
      <c r="MQD105" s="531"/>
      <c r="MQE105" s="530"/>
      <c r="MQF105" s="531"/>
      <c r="MQG105" s="530"/>
      <c r="MQH105" s="531"/>
      <c r="MQI105" s="530"/>
      <c r="MQJ105" s="531"/>
      <c r="MQK105" s="530"/>
      <c r="MQL105" s="531"/>
      <c r="MQM105" s="530"/>
      <c r="MQN105" s="531"/>
      <c r="MQO105" s="530"/>
      <c r="MQP105" s="531"/>
      <c r="MQQ105" s="530"/>
      <c r="MQR105" s="531"/>
      <c r="MQS105" s="530"/>
      <c r="MQT105" s="531"/>
      <c r="MQU105" s="530"/>
      <c r="MQV105" s="531"/>
      <c r="MQW105" s="530"/>
      <c r="MQX105" s="531"/>
      <c r="MQY105" s="530"/>
      <c r="MQZ105" s="531"/>
      <c r="MRA105" s="530"/>
      <c r="MRB105" s="531"/>
      <c r="MRC105" s="530"/>
      <c r="MRD105" s="531"/>
      <c r="MRE105" s="530"/>
      <c r="MRF105" s="531"/>
      <c r="MRG105" s="530"/>
      <c r="MRH105" s="531"/>
      <c r="MRI105" s="530"/>
      <c r="MRJ105" s="531"/>
      <c r="MRK105" s="530"/>
      <c r="MRL105" s="531"/>
      <c r="MRM105" s="530"/>
      <c r="MRN105" s="531"/>
      <c r="MRO105" s="530"/>
      <c r="MRP105" s="531"/>
      <c r="MRQ105" s="530"/>
      <c r="MRR105" s="531"/>
      <c r="MRS105" s="530"/>
      <c r="MRT105" s="531"/>
      <c r="MRU105" s="530"/>
      <c r="MRV105" s="531"/>
      <c r="MRW105" s="530"/>
      <c r="MRX105" s="531"/>
      <c r="MRY105" s="530"/>
      <c r="MRZ105" s="531"/>
      <c r="MSA105" s="530"/>
      <c r="MSB105" s="531"/>
      <c r="MSC105" s="530"/>
      <c r="MSD105" s="531"/>
      <c r="MSE105" s="530"/>
      <c r="MSF105" s="531"/>
      <c r="MSG105" s="530"/>
      <c r="MSH105" s="531"/>
      <c r="MSI105" s="530"/>
      <c r="MSJ105" s="531"/>
      <c r="MSK105" s="530"/>
      <c r="MSL105" s="531"/>
      <c r="MSM105" s="530"/>
      <c r="MSN105" s="531"/>
      <c r="MSO105" s="530"/>
      <c r="MSP105" s="531"/>
      <c r="MSQ105" s="530"/>
      <c r="MSR105" s="531"/>
      <c r="MSS105" s="530"/>
      <c r="MST105" s="531"/>
      <c r="MSU105" s="530"/>
      <c r="MSV105" s="531"/>
      <c r="MSW105" s="530"/>
      <c r="MSX105" s="531"/>
      <c r="MSY105" s="530"/>
      <c r="MSZ105" s="531"/>
      <c r="MTA105" s="530"/>
      <c r="MTB105" s="531"/>
      <c r="MTC105" s="530"/>
      <c r="MTD105" s="531"/>
      <c r="MTE105" s="530"/>
      <c r="MTF105" s="531"/>
      <c r="MTG105" s="530"/>
      <c r="MTH105" s="531"/>
      <c r="MTI105" s="530"/>
      <c r="MTJ105" s="531"/>
      <c r="MTK105" s="530"/>
      <c r="MTL105" s="531"/>
      <c r="MTM105" s="530"/>
      <c r="MTN105" s="531"/>
      <c r="MTO105" s="530"/>
      <c r="MTP105" s="531"/>
      <c r="MTQ105" s="530"/>
      <c r="MTR105" s="531"/>
      <c r="MTS105" s="530"/>
      <c r="MTT105" s="531"/>
      <c r="MTU105" s="530"/>
      <c r="MTV105" s="531"/>
      <c r="MTW105" s="530"/>
      <c r="MTX105" s="531"/>
      <c r="MTY105" s="530"/>
      <c r="MTZ105" s="531"/>
      <c r="MUA105" s="530"/>
      <c r="MUB105" s="531"/>
      <c r="MUC105" s="530"/>
      <c r="MUD105" s="531"/>
      <c r="MUE105" s="530"/>
      <c r="MUF105" s="531"/>
      <c r="MUG105" s="530"/>
      <c r="MUH105" s="531"/>
      <c r="MUI105" s="530"/>
      <c r="MUJ105" s="531"/>
      <c r="MUK105" s="530"/>
      <c r="MUL105" s="531"/>
      <c r="MUM105" s="530"/>
      <c r="MUN105" s="531"/>
      <c r="MUO105" s="530"/>
      <c r="MUP105" s="531"/>
      <c r="MUQ105" s="530"/>
      <c r="MUR105" s="531"/>
      <c r="MUS105" s="530"/>
      <c r="MUT105" s="531"/>
      <c r="MUU105" s="530"/>
      <c r="MUV105" s="531"/>
      <c r="MUW105" s="530"/>
      <c r="MUX105" s="531"/>
      <c r="MUY105" s="530"/>
      <c r="MUZ105" s="531"/>
      <c r="MVA105" s="530"/>
      <c r="MVB105" s="531"/>
      <c r="MVC105" s="530"/>
      <c r="MVD105" s="531"/>
      <c r="MVE105" s="530"/>
      <c r="MVF105" s="531"/>
      <c r="MVG105" s="530"/>
      <c r="MVH105" s="531"/>
      <c r="MVI105" s="530"/>
      <c r="MVJ105" s="531"/>
      <c r="MVK105" s="530"/>
      <c r="MVL105" s="531"/>
      <c r="MVM105" s="530"/>
      <c r="MVN105" s="531"/>
      <c r="MVO105" s="530"/>
      <c r="MVP105" s="531"/>
      <c r="MVQ105" s="530"/>
      <c r="MVR105" s="531"/>
      <c r="MVS105" s="530"/>
      <c r="MVT105" s="531"/>
      <c r="MVU105" s="530"/>
      <c r="MVV105" s="531"/>
      <c r="MVW105" s="530"/>
      <c r="MVX105" s="531"/>
      <c r="MVY105" s="530"/>
      <c r="MVZ105" s="531"/>
      <c r="MWA105" s="530"/>
      <c r="MWB105" s="531"/>
      <c r="MWC105" s="530"/>
      <c r="MWD105" s="531"/>
      <c r="MWE105" s="530"/>
      <c r="MWF105" s="531"/>
      <c r="MWG105" s="530"/>
      <c r="MWH105" s="531"/>
      <c r="MWI105" s="530"/>
      <c r="MWJ105" s="531"/>
      <c r="MWK105" s="530"/>
      <c r="MWL105" s="531"/>
      <c r="MWM105" s="530"/>
      <c r="MWN105" s="531"/>
      <c r="MWO105" s="530"/>
      <c r="MWP105" s="531"/>
      <c r="MWQ105" s="530"/>
      <c r="MWR105" s="531"/>
      <c r="MWS105" s="530"/>
      <c r="MWT105" s="531"/>
      <c r="MWU105" s="530"/>
      <c r="MWV105" s="531"/>
      <c r="MWW105" s="530"/>
      <c r="MWX105" s="531"/>
      <c r="MWY105" s="530"/>
      <c r="MWZ105" s="531"/>
      <c r="MXA105" s="530"/>
      <c r="MXB105" s="531"/>
      <c r="MXC105" s="530"/>
      <c r="MXD105" s="531"/>
      <c r="MXE105" s="530"/>
      <c r="MXF105" s="531"/>
      <c r="MXG105" s="530"/>
      <c r="MXH105" s="531"/>
      <c r="MXI105" s="530"/>
      <c r="MXJ105" s="531"/>
      <c r="MXK105" s="530"/>
      <c r="MXL105" s="531"/>
      <c r="MXM105" s="530"/>
      <c r="MXN105" s="531"/>
      <c r="MXO105" s="530"/>
      <c r="MXP105" s="531"/>
      <c r="MXQ105" s="530"/>
      <c r="MXR105" s="531"/>
      <c r="MXS105" s="530"/>
      <c r="MXT105" s="531"/>
      <c r="MXU105" s="530"/>
      <c r="MXV105" s="531"/>
      <c r="MXW105" s="530"/>
      <c r="MXX105" s="531"/>
      <c r="MXY105" s="530"/>
      <c r="MXZ105" s="531"/>
      <c r="MYA105" s="530"/>
      <c r="MYB105" s="531"/>
      <c r="MYC105" s="530"/>
      <c r="MYD105" s="531"/>
      <c r="MYE105" s="530"/>
      <c r="MYF105" s="531"/>
      <c r="MYG105" s="530"/>
      <c r="MYH105" s="531"/>
      <c r="MYI105" s="530"/>
      <c r="MYJ105" s="531"/>
      <c r="MYK105" s="530"/>
      <c r="MYL105" s="531"/>
      <c r="MYM105" s="530"/>
      <c r="MYN105" s="531"/>
      <c r="MYO105" s="530"/>
      <c r="MYP105" s="531"/>
      <c r="MYQ105" s="530"/>
      <c r="MYR105" s="531"/>
      <c r="MYS105" s="530"/>
      <c r="MYT105" s="531"/>
      <c r="MYU105" s="530"/>
      <c r="MYV105" s="531"/>
      <c r="MYW105" s="530"/>
      <c r="MYX105" s="531"/>
      <c r="MYY105" s="530"/>
      <c r="MYZ105" s="531"/>
      <c r="MZA105" s="530"/>
      <c r="MZB105" s="531"/>
      <c r="MZC105" s="530"/>
      <c r="MZD105" s="531"/>
      <c r="MZE105" s="530"/>
      <c r="MZF105" s="531"/>
      <c r="MZG105" s="530"/>
      <c r="MZH105" s="531"/>
      <c r="MZI105" s="530"/>
      <c r="MZJ105" s="531"/>
      <c r="MZK105" s="530"/>
      <c r="MZL105" s="531"/>
      <c r="MZM105" s="530"/>
      <c r="MZN105" s="531"/>
      <c r="MZO105" s="530"/>
      <c r="MZP105" s="531"/>
      <c r="MZQ105" s="530"/>
      <c r="MZR105" s="531"/>
      <c r="MZS105" s="530"/>
      <c r="MZT105" s="531"/>
      <c r="MZU105" s="530"/>
      <c r="MZV105" s="531"/>
      <c r="MZW105" s="530"/>
      <c r="MZX105" s="531"/>
      <c r="MZY105" s="530"/>
      <c r="MZZ105" s="531"/>
      <c r="NAA105" s="530"/>
      <c r="NAB105" s="531"/>
      <c r="NAC105" s="530"/>
      <c r="NAD105" s="531"/>
      <c r="NAE105" s="530"/>
      <c r="NAF105" s="531"/>
      <c r="NAG105" s="530"/>
      <c r="NAH105" s="531"/>
      <c r="NAI105" s="530"/>
      <c r="NAJ105" s="531"/>
      <c r="NAK105" s="530"/>
      <c r="NAL105" s="531"/>
      <c r="NAM105" s="530"/>
      <c r="NAN105" s="531"/>
      <c r="NAO105" s="530"/>
      <c r="NAP105" s="531"/>
      <c r="NAQ105" s="530"/>
      <c r="NAR105" s="531"/>
      <c r="NAS105" s="530"/>
      <c r="NAT105" s="531"/>
      <c r="NAU105" s="530"/>
      <c r="NAV105" s="531"/>
      <c r="NAW105" s="530"/>
      <c r="NAX105" s="531"/>
      <c r="NAY105" s="530"/>
      <c r="NAZ105" s="531"/>
      <c r="NBA105" s="530"/>
      <c r="NBB105" s="531"/>
      <c r="NBC105" s="530"/>
      <c r="NBD105" s="531"/>
      <c r="NBE105" s="530"/>
      <c r="NBF105" s="531"/>
      <c r="NBG105" s="530"/>
      <c r="NBH105" s="531"/>
      <c r="NBI105" s="530"/>
      <c r="NBJ105" s="531"/>
      <c r="NBK105" s="530"/>
      <c r="NBL105" s="531"/>
      <c r="NBM105" s="530"/>
      <c r="NBN105" s="531"/>
      <c r="NBO105" s="530"/>
      <c r="NBP105" s="531"/>
      <c r="NBQ105" s="530"/>
      <c r="NBR105" s="531"/>
      <c r="NBS105" s="530"/>
      <c r="NBT105" s="531"/>
      <c r="NBU105" s="530"/>
      <c r="NBV105" s="531"/>
      <c r="NBW105" s="530"/>
      <c r="NBX105" s="531"/>
      <c r="NBY105" s="530"/>
      <c r="NBZ105" s="531"/>
      <c r="NCA105" s="530"/>
      <c r="NCB105" s="531"/>
      <c r="NCC105" s="530"/>
      <c r="NCD105" s="531"/>
      <c r="NCE105" s="530"/>
      <c r="NCF105" s="531"/>
      <c r="NCG105" s="530"/>
      <c r="NCH105" s="531"/>
      <c r="NCI105" s="530"/>
      <c r="NCJ105" s="531"/>
      <c r="NCK105" s="530"/>
      <c r="NCL105" s="531"/>
      <c r="NCM105" s="530"/>
      <c r="NCN105" s="531"/>
      <c r="NCO105" s="530"/>
      <c r="NCP105" s="531"/>
      <c r="NCQ105" s="530"/>
      <c r="NCR105" s="531"/>
      <c r="NCS105" s="530"/>
      <c r="NCT105" s="531"/>
      <c r="NCU105" s="530"/>
      <c r="NCV105" s="531"/>
      <c r="NCW105" s="530"/>
      <c r="NCX105" s="531"/>
      <c r="NCY105" s="530"/>
      <c r="NCZ105" s="531"/>
      <c r="NDA105" s="530"/>
      <c r="NDB105" s="531"/>
      <c r="NDC105" s="530"/>
      <c r="NDD105" s="531"/>
      <c r="NDE105" s="530"/>
      <c r="NDF105" s="531"/>
      <c r="NDG105" s="530"/>
      <c r="NDH105" s="531"/>
      <c r="NDI105" s="530"/>
      <c r="NDJ105" s="531"/>
      <c r="NDK105" s="530"/>
      <c r="NDL105" s="531"/>
      <c r="NDM105" s="530"/>
      <c r="NDN105" s="531"/>
      <c r="NDO105" s="530"/>
      <c r="NDP105" s="531"/>
      <c r="NDQ105" s="530"/>
      <c r="NDR105" s="531"/>
      <c r="NDS105" s="530"/>
      <c r="NDT105" s="531"/>
      <c r="NDU105" s="530"/>
      <c r="NDV105" s="531"/>
      <c r="NDW105" s="530"/>
      <c r="NDX105" s="531"/>
      <c r="NDY105" s="530"/>
      <c r="NDZ105" s="531"/>
      <c r="NEA105" s="530"/>
      <c r="NEB105" s="531"/>
      <c r="NEC105" s="530"/>
      <c r="NED105" s="531"/>
      <c r="NEE105" s="530"/>
      <c r="NEF105" s="531"/>
      <c r="NEG105" s="530"/>
      <c r="NEH105" s="531"/>
      <c r="NEI105" s="530"/>
      <c r="NEJ105" s="531"/>
      <c r="NEK105" s="530"/>
      <c r="NEL105" s="531"/>
      <c r="NEM105" s="530"/>
      <c r="NEN105" s="531"/>
      <c r="NEO105" s="530"/>
      <c r="NEP105" s="531"/>
      <c r="NEQ105" s="530"/>
      <c r="NER105" s="531"/>
      <c r="NES105" s="530"/>
      <c r="NET105" s="531"/>
      <c r="NEU105" s="530"/>
      <c r="NEV105" s="531"/>
      <c r="NEW105" s="530"/>
      <c r="NEX105" s="531"/>
      <c r="NEY105" s="530"/>
      <c r="NEZ105" s="531"/>
      <c r="NFA105" s="530"/>
      <c r="NFB105" s="531"/>
      <c r="NFC105" s="530"/>
      <c r="NFD105" s="531"/>
      <c r="NFE105" s="530"/>
      <c r="NFF105" s="531"/>
      <c r="NFG105" s="530"/>
      <c r="NFH105" s="531"/>
      <c r="NFI105" s="530"/>
      <c r="NFJ105" s="531"/>
      <c r="NFK105" s="530"/>
      <c r="NFL105" s="531"/>
      <c r="NFM105" s="530"/>
      <c r="NFN105" s="531"/>
      <c r="NFO105" s="530"/>
      <c r="NFP105" s="531"/>
      <c r="NFQ105" s="530"/>
      <c r="NFR105" s="531"/>
      <c r="NFS105" s="530"/>
      <c r="NFT105" s="531"/>
      <c r="NFU105" s="530"/>
      <c r="NFV105" s="531"/>
      <c r="NFW105" s="530"/>
      <c r="NFX105" s="531"/>
      <c r="NFY105" s="530"/>
      <c r="NFZ105" s="531"/>
      <c r="NGA105" s="530"/>
      <c r="NGB105" s="531"/>
      <c r="NGC105" s="530"/>
      <c r="NGD105" s="531"/>
      <c r="NGE105" s="530"/>
      <c r="NGF105" s="531"/>
      <c r="NGG105" s="530"/>
      <c r="NGH105" s="531"/>
      <c r="NGI105" s="530"/>
      <c r="NGJ105" s="531"/>
      <c r="NGK105" s="530"/>
      <c r="NGL105" s="531"/>
      <c r="NGM105" s="530"/>
      <c r="NGN105" s="531"/>
      <c r="NGO105" s="530"/>
      <c r="NGP105" s="531"/>
      <c r="NGQ105" s="530"/>
      <c r="NGR105" s="531"/>
      <c r="NGS105" s="530"/>
      <c r="NGT105" s="531"/>
      <c r="NGU105" s="530"/>
      <c r="NGV105" s="531"/>
      <c r="NGW105" s="530"/>
      <c r="NGX105" s="531"/>
      <c r="NGY105" s="530"/>
      <c r="NGZ105" s="531"/>
      <c r="NHA105" s="530"/>
      <c r="NHB105" s="531"/>
      <c r="NHC105" s="530"/>
      <c r="NHD105" s="531"/>
      <c r="NHE105" s="530"/>
      <c r="NHF105" s="531"/>
      <c r="NHG105" s="530"/>
      <c r="NHH105" s="531"/>
      <c r="NHI105" s="530"/>
      <c r="NHJ105" s="531"/>
      <c r="NHK105" s="530"/>
      <c r="NHL105" s="531"/>
      <c r="NHM105" s="530"/>
      <c r="NHN105" s="531"/>
      <c r="NHO105" s="530"/>
      <c r="NHP105" s="531"/>
      <c r="NHQ105" s="530"/>
      <c r="NHR105" s="531"/>
      <c r="NHS105" s="530"/>
      <c r="NHT105" s="531"/>
      <c r="NHU105" s="530"/>
      <c r="NHV105" s="531"/>
      <c r="NHW105" s="530"/>
      <c r="NHX105" s="531"/>
      <c r="NHY105" s="530"/>
      <c r="NHZ105" s="531"/>
      <c r="NIA105" s="530"/>
      <c r="NIB105" s="531"/>
      <c r="NIC105" s="530"/>
      <c r="NID105" s="531"/>
      <c r="NIE105" s="530"/>
      <c r="NIF105" s="531"/>
      <c r="NIG105" s="530"/>
      <c r="NIH105" s="531"/>
      <c r="NII105" s="530"/>
      <c r="NIJ105" s="531"/>
      <c r="NIK105" s="530"/>
      <c r="NIL105" s="531"/>
      <c r="NIM105" s="530"/>
      <c r="NIN105" s="531"/>
      <c r="NIO105" s="530"/>
      <c r="NIP105" s="531"/>
      <c r="NIQ105" s="530"/>
      <c r="NIR105" s="531"/>
      <c r="NIS105" s="530"/>
      <c r="NIT105" s="531"/>
      <c r="NIU105" s="530"/>
      <c r="NIV105" s="531"/>
      <c r="NIW105" s="530"/>
      <c r="NIX105" s="531"/>
      <c r="NIY105" s="530"/>
      <c r="NIZ105" s="531"/>
      <c r="NJA105" s="530"/>
      <c r="NJB105" s="531"/>
      <c r="NJC105" s="530"/>
      <c r="NJD105" s="531"/>
      <c r="NJE105" s="530"/>
      <c r="NJF105" s="531"/>
      <c r="NJG105" s="530"/>
      <c r="NJH105" s="531"/>
      <c r="NJI105" s="530"/>
      <c r="NJJ105" s="531"/>
      <c r="NJK105" s="530"/>
      <c r="NJL105" s="531"/>
      <c r="NJM105" s="530"/>
      <c r="NJN105" s="531"/>
      <c r="NJO105" s="530"/>
      <c r="NJP105" s="531"/>
      <c r="NJQ105" s="530"/>
      <c r="NJR105" s="531"/>
      <c r="NJS105" s="530"/>
      <c r="NJT105" s="531"/>
      <c r="NJU105" s="530"/>
      <c r="NJV105" s="531"/>
      <c r="NJW105" s="530"/>
      <c r="NJX105" s="531"/>
      <c r="NJY105" s="530"/>
      <c r="NJZ105" s="531"/>
      <c r="NKA105" s="530"/>
      <c r="NKB105" s="531"/>
      <c r="NKC105" s="530"/>
      <c r="NKD105" s="531"/>
      <c r="NKE105" s="530"/>
      <c r="NKF105" s="531"/>
      <c r="NKG105" s="530"/>
      <c r="NKH105" s="531"/>
      <c r="NKI105" s="530"/>
      <c r="NKJ105" s="531"/>
      <c r="NKK105" s="530"/>
      <c r="NKL105" s="531"/>
      <c r="NKM105" s="530"/>
      <c r="NKN105" s="531"/>
      <c r="NKO105" s="530"/>
      <c r="NKP105" s="531"/>
      <c r="NKQ105" s="530"/>
      <c r="NKR105" s="531"/>
      <c r="NKS105" s="530"/>
      <c r="NKT105" s="531"/>
      <c r="NKU105" s="530"/>
      <c r="NKV105" s="531"/>
      <c r="NKW105" s="530"/>
      <c r="NKX105" s="531"/>
      <c r="NKY105" s="530"/>
      <c r="NKZ105" s="531"/>
      <c r="NLA105" s="530"/>
      <c r="NLB105" s="531"/>
      <c r="NLC105" s="530"/>
      <c r="NLD105" s="531"/>
      <c r="NLE105" s="530"/>
      <c r="NLF105" s="531"/>
      <c r="NLG105" s="530"/>
      <c r="NLH105" s="531"/>
      <c r="NLI105" s="530"/>
      <c r="NLJ105" s="531"/>
      <c r="NLK105" s="530"/>
      <c r="NLL105" s="531"/>
      <c r="NLM105" s="530"/>
      <c r="NLN105" s="531"/>
      <c r="NLO105" s="530"/>
      <c r="NLP105" s="531"/>
      <c r="NLQ105" s="530"/>
      <c r="NLR105" s="531"/>
      <c r="NLS105" s="530"/>
      <c r="NLT105" s="531"/>
      <c r="NLU105" s="530"/>
      <c r="NLV105" s="531"/>
      <c r="NLW105" s="530"/>
      <c r="NLX105" s="531"/>
      <c r="NLY105" s="530"/>
      <c r="NLZ105" s="531"/>
      <c r="NMA105" s="530"/>
      <c r="NMB105" s="531"/>
      <c r="NMC105" s="530"/>
      <c r="NMD105" s="531"/>
      <c r="NME105" s="530"/>
      <c r="NMF105" s="531"/>
      <c r="NMG105" s="530"/>
      <c r="NMH105" s="531"/>
      <c r="NMI105" s="530"/>
      <c r="NMJ105" s="531"/>
      <c r="NMK105" s="530"/>
      <c r="NML105" s="531"/>
      <c r="NMM105" s="530"/>
      <c r="NMN105" s="531"/>
      <c r="NMO105" s="530"/>
      <c r="NMP105" s="531"/>
      <c r="NMQ105" s="530"/>
      <c r="NMR105" s="531"/>
      <c r="NMS105" s="530"/>
      <c r="NMT105" s="531"/>
      <c r="NMU105" s="530"/>
      <c r="NMV105" s="531"/>
      <c r="NMW105" s="530"/>
      <c r="NMX105" s="531"/>
      <c r="NMY105" s="530"/>
      <c r="NMZ105" s="531"/>
      <c r="NNA105" s="530"/>
      <c r="NNB105" s="531"/>
      <c r="NNC105" s="530"/>
      <c r="NND105" s="531"/>
      <c r="NNE105" s="530"/>
      <c r="NNF105" s="531"/>
      <c r="NNG105" s="530"/>
      <c r="NNH105" s="531"/>
      <c r="NNI105" s="530"/>
      <c r="NNJ105" s="531"/>
      <c r="NNK105" s="530"/>
      <c r="NNL105" s="531"/>
      <c r="NNM105" s="530"/>
      <c r="NNN105" s="531"/>
      <c r="NNO105" s="530"/>
      <c r="NNP105" s="531"/>
      <c r="NNQ105" s="530"/>
      <c r="NNR105" s="531"/>
      <c r="NNS105" s="530"/>
      <c r="NNT105" s="531"/>
      <c r="NNU105" s="530"/>
      <c r="NNV105" s="531"/>
      <c r="NNW105" s="530"/>
      <c r="NNX105" s="531"/>
      <c r="NNY105" s="530"/>
      <c r="NNZ105" s="531"/>
      <c r="NOA105" s="530"/>
      <c r="NOB105" s="531"/>
      <c r="NOC105" s="530"/>
      <c r="NOD105" s="531"/>
      <c r="NOE105" s="530"/>
      <c r="NOF105" s="531"/>
      <c r="NOG105" s="530"/>
      <c r="NOH105" s="531"/>
      <c r="NOI105" s="530"/>
      <c r="NOJ105" s="531"/>
      <c r="NOK105" s="530"/>
      <c r="NOL105" s="531"/>
      <c r="NOM105" s="530"/>
      <c r="NON105" s="531"/>
      <c r="NOO105" s="530"/>
      <c r="NOP105" s="531"/>
      <c r="NOQ105" s="530"/>
      <c r="NOR105" s="531"/>
      <c r="NOS105" s="530"/>
      <c r="NOT105" s="531"/>
      <c r="NOU105" s="530"/>
      <c r="NOV105" s="531"/>
      <c r="NOW105" s="530"/>
      <c r="NOX105" s="531"/>
      <c r="NOY105" s="530"/>
      <c r="NOZ105" s="531"/>
      <c r="NPA105" s="530"/>
      <c r="NPB105" s="531"/>
      <c r="NPC105" s="530"/>
      <c r="NPD105" s="531"/>
      <c r="NPE105" s="530"/>
      <c r="NPF105" s="531"/>
      <c r="NPG105" s="530"/>
      <c r="NPH105" s="531"/>
      <c r="NPI105" s="530"/>
      <c r="NPJ105" s="531"/>
      <c r="NPK105" s="530"/>
      <c r="NPL105" s="531"/>
      <c r="NPM105" s="530"/>
      <c r="NPN105" s="531"/>
      <c r="NPO105" s="530"/>
      <c r="NPP105" s="531"/>
      <c r="NPQ105" s="530"/>
      <c r="NPR105" s="531"/>
      <c r="NPS105" s="530"/>
      <c r="NPT105" s="531"/>
      <c r="NPU105" s="530"/>
      <c r="NPV105" s="531"/>
      <c r="NPW105" s="530"/>
      <c r="NPX105" s="531"/>
      <c r="NPY105" s="530"/>
      <c r="NPZ105" s="531"/>
      <c r="NQA105" s="530"/>
      <c r="NQB105" s="531"/>
      <c r="NQC105" s="530"/>
      <c r="NQD105" s="531"/>
      <c r="NQE105" s="530"/>
      <c r="NQF105" s="531"/>
      <c r="NQG105" s="530"/>
      <c r="NQH105" s="531"/>
      <c r="NQI105" s="530"/>
      <c r="NQJ105" s="531"/>
      <c r="NQK105" s="530"/>
      <c r="NQL105" s="531"/>
      <c r="NQM105" s="530"/>
      <c r="NQN105" s="531"/>
      <c r="NQO105" s="530"/>
      <c r="NQP105" s="531"/>
      <c r="NQQ105" s="530"/>
      <c r="NQR105" s="531"/>
      <c r="NQS105" s="530"/>
      <c r="NQT105" s="531"/>
      <c r="NQU105" s="530"/>
      <c r="NQV105" s="531"/>
      <c r="NQW105" s="530"/>
      <c r="NQX105" s="531"/>
      <c r="NQY105" s="530"/>
      <c r="NQZ105" s="531"/>
      <c r="NRA105" s="530"/>
      <c r="NRB105" s="531"/>
      <c r="NRC105" s="530"/>
      <c r="NRD105" s="531"/>
      <c r="NRE105" s="530"/>
      <c r="NRF105" s="531"/>
      <c r="NRG105" s="530"/>
      <c r="NRH105" s="531"/>
      <c r="NRI105" s="530"/>
      <c r="NRJ105" s="531"/>
      <c r="NRK105" s="530"/>
      <c r="NRL105" s="531"/>
      <c r="NRM105" s="530"/>
      <c r="NRN105" s="531"/>
      <c r="NRO105" s="530"/>
      <c r="NRP105" s="531"/>
      <c r="NRQ105" s="530"/>
      <c r="NRR105" s="531"/>
      <c r="NRS105" s="530"/>
      <c r="NRT105" s="531"/>
      <c r="NRU105" s="530"/>
      <c r="NRV105" s="531"/>
      <c r="NRW105" s="530"/>
      <c r="NRX105" s="531"/>
      <c r="NRY105" s="530"/>
      <c r="NRZ105" s="531"/>
      <c r="NSA105" s="530"/>
      <c r="NSB105" s="531"/>
      <c r="NSC105" s="530"/>
      <c r="NSD105" s="531"/>
      <c r="NSE105" s="530"/>
      <c r="NSF105" s="531"/>
      <c r="NSG105" s="530"/>
      <c r="NSH105" s="531"/>
      <c r="NSI105" s="530"/>
      <c r="NSJ105" s="531"/>
      <c r="NSK105" s="530"/>
      <c r="NSL105" s="531"/>
      <c r="NSM105" s="530"/>
      <c r="NSN105" s="531"/>
      <c r="NSO105" s="530"/>
      <c r="NSP105" s="531"/>
      <c r="NSQ105" s="530"/>
      <c r="NSR105" s="531"/>
      <c r="NSS105" s="530"/>
      <c r="NST105" s="531"/>
      <c r="NSU105" s="530"/>
      <c r="NSV105" s="531"/>
      <c r="NSW105" s="530"/>
      <c r="NSX105" s="531"/>
      <c r="NSY105" s="530"/>
      <c r="NSZ105" s="531"/>
      <c r="NTA105" s="530"/>
      <c r="NTB105" s="531"/>
      <c r="NTC105" s="530"/>
      <c r="NTD105" s="531"/>
      <c r="NTE105" s="530"/>
      <c r="NTF105" s="531"/>
      <c r="NTG105" s="530"/>
      <c r="NTH105" s="531"/>
      <c r="NTI105" s="530"/>
      <c r="NTJ105" s="531"/>
      <c r="NTK105" s="530"/>
      <c r="NTL105" s="531"/>
      <c r="NTM105" s="530"/>
      <c r="NTN105" s="531"/>
      <c r="NTO105" s="530"/>
      <c r="NTP105" s="531"/>
      <c r="NTQ105" s="530"/>
      <c r="NTR105" s="531"/>
      <c r="NTS105" s="530"/>
      <c r="NTT105" s="531"/>
      <c r="NTU105" s="530"/>
      <c r="NTV105" s="531"/>
      <c r="NTW105" s="530"/>
      <c r="NTX105" s="531"/>
      <c r="NTY105" s="530"/>
      <c r="NTZ105" s="531"/>
      <c r="NUA105" s="530"/>
      <c r="NUB105" s="531"/>
      <c r="NUC105" s="530"/>
      <c r="NUD105" s="531"/>
      <c r="NUE105" s="530"/>
      <c r="NUF105" s="531"/>
      <c r="NUG105" s="530"/>
      <c r="NUH105" s="531"/>
      <c r="NUI105" s="530"/>
      <c r="NUJ105" s="531"/>
      <c r="NUK105" s="530"/>
      <c r="NUL105" s="531"/>
      <c r="NUM105" s="530"/>
      <c r="NUN105" s="531"/>
      <c r="NUO105" s="530"/>
      <c r="NUP105" s="531"/>
      <c r="NUQ105" s="530"/>
      <c r="NUR105" s="531"/>
      <c r="NUS105" s="530"/>
      <c r="NUT105" s="531"/>
      <c r="NUU105" s="530"/>
      <c r="NUV105" s="531"/>
      <c r="NUW105" s="530"/>
      <c r="NUX105" s="531"/>
      <c r="NUY105" s="530"/>
      <c r="NUZ105" s="531"/>
      <c r="NVA105" s="530"/>
      <c r="NVB105" s="531"/>
      <c r="NVC105" s="530"/>
      <c r="NVD105" s="531"/>
      <c r="NVE105" s="530"/>
      <c r="NVF105" s="531"/>
      <c r="NVG105" s="530"/>
      <c r="NVH105" s="531"/>
      <c r="NVI105" s="530"/>
      <c r="NVJ105" s="531"/>
      <c r="NVK105" s="530"/>
      <c r="NVL105" s="531"/>
      <c r="NVM105" s="530"/>
      <c r="NVN105" s="531"/>
      <c r="NVO105" s="530"/>
      <c r="NVP105" s="531"/>
      <c r="NVQ105" s="530"/>
      <c r="NVR105" s="531"/>
      <c r="NVS105" s="530"/>
      <c r="NVT105" s="531"/>
      <c r="NVU105" s="530"/>
      <c r="NVV105" s="531"/>
      <c r="NVW105" s="530"/>
      <c r="NVX105" s="531"/>
      <c r="NVY105" s="530"/>
      <c r="NVZ105" s="531"/>
      <c r="NWA105" s="530"/>
      <c r="NWB105" s="531"/>
      <c r="NWC105" s="530"/>
      <c r="NWD105" s="531"/>
      <c r="NWE105" s="530"/>
      <c r="NWF105" s="531"/>
      <c r="NWG105" s="530"/>
      <c r="NWH105" s="531"/>
      <c r="NWI105" s="530"/>
      <c r="NWJ105" s="531"/>
      <c r="NWK105" s="530"/>
      <c r="NWL105" s="531"/>
      <c r="NWM105" s="530"/>
      <c r="NWN105" s="531"/>
      <c r="NWO105" s="530"/>
      <c r="NWP105" s="531"/>
      <c r="NWQ105" s="530"/>
      <c r="NWR105" s="531"/>
      <c r="NWS105" s="530"/>
      <c r="NWT105" s="531"/>
      <c r="NWU105" s="530"/>
      <c r="NWV105" s="531"/>
      <c r="NWW105" s="530"/>
      <c r="NWX105" s="531"/>
      <c r="NWY105" s="530"/>
      <c r="NWZ105" s="531"/>
      <c r="NXA105" s="530"/>
      <c r="NXB105" s="531"/>
      <c r="NXC105" s="530"/>
      <c r="NXD105" s="531"/>
      <c r="NXE105" s="530"/>
      <c r="NXF105" s="531"/>
      <c r="NXG105" s="530"/>
      <c r="NXH105" s="531"/>
      <c r="NXI105" s="530"/>
      <c r="NXJ105" s="531"/>
      <c r="NXK105" s="530"/>
      <c r="NXL105" s="531"/>
      <c r="NXM105" s="530"/>
      <c r="NXN105" s="531"/>
      <c r="NXO105" s="530"/>
      <c r="NXP105" s="531"/>
      <c r="NXQ105" s="530"/>
      <c r="NXR105" s="531"/>
      <c r="NXS105" s="530"/>
      <c r="NXT105" s="531"/>
      <c r="NXU105" s="530"/>
      <c r="NXV105" s="531"/>
      <c r="NXW105" s="530"/>
      <c r="NXX105" s="531"/>
      <c r="NXY105" s="530"/>
      <c r="NXZ105" s="531"/>
      <c r="NYA105" s="530"/>
      <c r="NYB105" s="531"/>
      <c r="NYC105" s="530"/>
      <c r="NYD105" s="531"/>
      <c r="NYE105" s="530"/>
      <c r="NYF105" s="531"/>
      <c r="NYG105" s="530"/>
      <c r="NYH105" s="531"/>
      <c r="NYI105" s="530"/>
      <c r="NYJ105" s="531"/>
      <c r="NYK105" s="530"/>
      <c r="NYL105" s="531"/>
      <c r="NYM105" s="530"/>
      <c r="NYN105" s="531"/>
      <c r="NYO105" s="530"/>
      <c r="NYP105" s="531"/>
      <c r="NYQ105" s="530"/>
      <c r="NYR105" s="531"/>
      <c r="NYS105" s="530"/>
      <c r="NYT105" s="531"/>
      <c r="NYU105" s="530"/>
      <c r="NYV105" s="531"/>
      <c r="NYW105" s="530"/>
      <c r="NYX105" s="531"/>
      <c r="NYY105" s="530"/>
      <c r="NYZ105" s="531"/>
      <c r="NZA105" s="530"/>
      <c r="NZB105" s="531"/>
      <c r="NZC105" s="530"/>
      <c r="NZD105" s="531"/>
      <c r="NZE105" s="530"/>
      <c r="NZF105" s="531"/>
      <c r="NZG105" s="530"/>
      <c r="NZH105" s="531"/>
      <c r="NZI105" s="530"/>
      <c r="NZJ105" s="531"/>
      <c r="NZK105" s="530"/>
      <c r="NZL105" s="531"/>
      <c r="NZM105" s="530"/>
      <c r="NZN105" s="531"/>
      <c r="NZO105" s="530"/>
      <c r="NZP105" s="531"/>
      <c r="NZQ105" s="530"/>
      <c r="NZR105" s="531"/>
      <c r="NZS105" s="530"/>
      <c r="NZT105" s="531"/>
      <c r="NZU105" s="530"/>
      <c r="NZV105" s="531"/>
      <c r="NZW105" s="530"/>
      <c r="NZX105" s="531"/>
      <c r="NZY105" s="530"/>
      <c r="NZZ105" s="531"/>
      <c r="OAA105" s="530"/>
      <c r="OAB105" s="531"/>
      <c r="OAC105" s="530"/>
      <c r="OAD105" s="531"/>
      <c r="OAE105" s="530"/>
      <c r="OAF105" s="531"/>
      <c r="OAG105" s="530"/>
      <c r="OAH105" s="531"/>
      <c r="OAI105" s="530"/>
      <c r="OAJ105" s="531"/>
      <c r="OAK105" s="530"/>
      <c r="OAL105" s="531"/>
      <c r="OAM105" s="530"/>
      <c r="OAN105" s="531"/>
      <c r="OAO105" s="530"/>
      <c r="OAP105" s="531"/>
      <c r="OAQ105" s="530"/>
      <c r="OAR105" s="531"/>
      <c r="OAS105" s="530"/>
      <c r="OAT105" s="531"/>
      <c r="OAU105" s="530"/>
      <c r="OAV105" s="531"/>
      <c r="OAW105" s="530"/>
      <c r="OAX105" s="531"/>
      <c r="OAY105" s="530"/>
      <c r="OAZ105" s="531"/>
      <c r="OBA105" s="530"/>
      <c r="OBB105" s="531"/>
      <c r="OBC105" s="530"/>
      <c r="OBD105" s="531"/>
      <c r="OBE105" s="530"/>
      <c r="OBF105" s="531"/>
      <c r="OBG105" s="530"/>
      <c r="OBH105" s="531"/>
      <c r="OBI105" s="530"/>
      <c r="OBJ105" s="531"/>
      <c r="OBK105" s="530"/>
      <c r="OBL105" s="531"/>
      <c r="OBM105" s="530"/>
      <c r="OBN105" s="531"/>
      <c r="OBO105" s="530"/>
      <c r="OBP105" s="531"/>
      <c r="OBQ105" s="530"/>
      <c r="OBR105" s="531"/>
      <c r="OBS105" s="530"/>
      <c r="OBT105" s="531"/>
      <c r="OBU105" s="530"/>
      <c r="OBV105" s="531"/>
      <c r="OBW105" s="530"/>
      <c r="OBX105" s="531"/>
      <c r="OBY105" s="530"/>
      <c r="OBZ105" s="531"/>
      <c r="OCA105" s="530"/>
      <c r="OCB105" s="531"/>
      <c r="OCC105" s="530"/>
      <c r="OCD105" s="531"/>
      <c r="OCE105" s="530"/>
      <c r="OCF105" s="531"/>
      <c r="OCG105" s="530"/>
      <c r="OCH105" s="531"/>
      <c r="OCI105" s="530"/>
      <c r="OCJ105" s="531"/>
      <c r="OCK105" s="530"/>
      <c r="OCL105" s="531"/>
      <c r="OCM105" s="530"/>
      <c r="OCN105" s="531"/>
      <c r="OCO105" s="530"/>
      <c r="OCP105" s="531"/>
      <c r="OCQ105" s="530"/>
      <c r="OCR105" s="531"/>
      <c r="OCS105" s="530"/>
      <c r="OCT105" s="531"/>
      <c r="OCU105" s="530"/>
      <c r="OCV105" s="531"/>
      <c r="OCW105" s="530"/>
      <c r="OCX105" s="531"/>
      <c r="OCY105" s="530"/>
      <c r="OCZ105" s="531"/>
      <c r="ODA105" s="530"/>
      <c r="ODB105" s="531"/>
      <c r="ODC105" s="530"/>
      <c r="ODD105" s="531"/>
      <c r="ODE105" s="530"/>
      <c r="ODF105" s="531"/>
      <c r="ODG105" s="530"/>
      <c r="ODH105" s="531"/>
      <c r="ODI105" s="530"/>
      <c r="ODJ105" s="531"/>
      <c r="ODK105" s="530"/>
      <c r="ODL105" s="531"/>
      <c r="ODM105" s="530"/>
      <c r="ODN105" s="531"/>
      <c r="ODO105" s="530"/>
      <c r="ODP105" s="531"/>
      <c r="ODQ105" s="530"/>
      <c r="ODR105" s="531"/>
      <c r="ODS105" s="530"/>
      <c r="ODT105" s="531"/>
      <c r="ODU105" s="530"/>
      <c r="ODV105" s="531"/>
      <c r="ODW105" s="530"/>
      <c r="ODX105" s="531"/>
      <c r="ODY105" s="530"/>
      <c r="ODZ105" s="531"/>
      <c r="OEA105" s="530"/>
      <c r="OEB105" s="531"/>
      <c r="OEC105" s="530"/>
      <c r="OED105" s="531"/>
      <c r="OEE105" s="530"/>
      <c r="OEF105" s="531"/>
      <c r="OEG105" s="530"/>
      <c r="OEH105" s="531"/>
      <c r="OEI105" s="530"/>
      <c r="OEJ105" s="531"/>
      <c r="OEK105" s="530"/>
      <c r="OEL105" s="531"/>
      <c r="OEM105" s="530"/>
      <c r="OEN105" s="531"/>
      <c r="OEO105" s="530"/>
      <c r="OEP105" s="531"/>
      <c r="OEQ105" s="530"/>
      <c r="OER105" s="531"/>
      <c r="OES105" s="530"/>
      <c r="OET105" s="531"/>
      <c r="OEU105" s="530"/>
      <c r="OEV105" s="531"/>
      <c r="OEW105" s="530"/>
      <c r="OEX105" s="531"/>
      <c r="OEY105" s="530"/>
      <c r="OEZ105" s="531"/>
      <c r="OFA105" s="530"/>
      <c r="OFB105" s="531"/>
      <c r="OFC105" s="530"/>
      <c r="OFD105" s="531"/>
      <c r="OFE105" s="530"/>
      <c r="OFF105" s="531"/>
      <c r="OFG105" s="530"/>
      <c r="OFH105" s="531"/>
      <c r="OFI105" s="530"/>
      <c r="OFJ105" s="531"/>
      <c r="OFK105" s="530"/>
      <c r="OFL105" s="531"/>
      <c r="OFM105" s="530"/>
      <c r="OFN105" s="531"/>
      <c r="OFO105" s="530"/>
      <c r="OFP105" s="531"/>
      <c r="OFQ105" s="530"/>
      <c r="OFR105" s="531"/>
      <c r="OFS105" s="530"/>
      <c r="OFT105" s="531"/>
      <c r="OFU105" s="530"/>
      <c r="OFV105" s="531"/>
      <c r="OFW105" s="530"/>
      <c r="OFX105" s="531"/>
      <c r="OFY105" s="530"/>
      <c r="OFZ105" s="531"/>
      <c r="OGA105" s="530"/>
      <c r="OGB105" s="531"/>
      <c r="OGC105" s="530"/>
      <c r="OGD105" s="531"/>
      <c r="OGE105" s="530"/>
      <c r="OGF105" s="531"/>
      <c r="OGG105" s="530"/>
      <c r="OGH105" s="531"/>
      <c r="OGI105" s="530"/>
      <c r="OGJ105" s="531"/>
      <c r="OGK105" s="530"/>
      <c r="OGL105" s="531"/>
      <c r="OGM105" s="530"/>
      <c r="OGN105" s="531"/>
      <c r="OGO105" s="530"/>
      <c r="OGP105" s="531"/>
      <c r="OGQ105" s="530"/>
      <c r="OGR105" s="531"/>
      <c r="OGS105" s="530"/>
      <c r="OGT105" s="531"/>
      <c r="OGU105" s="530"/>
      <c r="OGV105" s="531"/>
      <c r="OGW105" s="530"/>
      <c r="OGX105" s="531"/>
      <c r="OGY105" s="530"/>
      <c r="OGZ105" s="531"/>
      <c r="OHA105" s="530"/>
      <c r="OHB105" s="531"/>
      <c r="OHC105" s="530"/>
      <c r="OHD105" s="531"/>
      <c r="OHE105" s="530"/>
      <c r="OHF105" s="531"/>
      <c r="OHG105" s="530"/>
      <c r="OHH105" s="531"/>
      <c r="OHI105" s="530"/>
      <c r="OHJ105" s="531"/>
      <c r="OHK105" s="530"/>
      <c r="OHL105" s="531"/>
      <c r="OHM105" s="530"/>
      <c r="OHN105" s="531"/>
      <c r="OHO105" s="530"/>
      <c r="OHP105" s="531"/>
      <c r="OHQ105" s="530"/>
      <c r="OHR105" s="531"/>
      <c r="OHS105" s="530"/>
      <c r="OHT105" s="531"/>
      <c r="OHU105" s="530"/>
      <c r="OHV105" s="531"/>
      <c r="OHW105" s="530"/>
      <c r="OHX105" s="531"/>
      <c r="OHY105" s="530"/>
      <c r="OHZ105" s="531"/>
      <c r="OIA105" s="530"/>
      <c r="OIB105" s="531"/>
      <c r="OIC105" s="530"/>
      <c r="OID105" s="531"/>
      <c r="OIE105" s="530"/>
      <c r="OIF105" s="531"/>
      <c r="OIG105" s="530"/>
      <c r="OIH105" s="531"/>
      <c r="OII105" s="530"/>
      <c r="OIJ105" s="531"/>
      <c r="OIK105" s="530"/>
      <c r="OIL105" s="531"/>
      <c r="OIM105" s="530"/>
      <c r="OIN105" s="531"/>
      <c r="OIO105" s="530"/>
      <c r="OIP105" s="531"/>
      <c r="OIQ105" s="530"/>
      <c r="OIR105" s="531"/>
      <c r="OIS105" s="530"/>
      <c r="OIT105" s="531"/>
      <c r="OIU105" s="530"/>
      <c r="OIV105" s="531"/>
      <c r="OIW105" s="530"/>
      <c r="OIX105" s="531"/>
      <c r="OIY105" s="530"/>
      <c r="OIZ105" s="531"/>
      <c r="OJA105" s="530"/>
      <c r="OJB105" s="531"/>
      <c r="OJC105" s="530"/>
      <c r="OJD105" s="531"/>
      <c r="OJE105" s="530"/>
      <c r="OJF105" s="531"/>
      <c r="OJG105" s="530"/>
      <c r="OJH105" s="531"/>
      <c r="OJI105" s="530"/>
      <c r="OJJ105" s="531"/>
      <c r="OJK105" s="530"/>
      <c r="OJL105" s="531"/>
      <c r="OJM105" s="530"/>
      <c r="OJN105" s="531"/>
      <c r="OJO105" s="530"/>
      <c r="OJP105" s="531"/>
      <c r="OJQ105" s="530"/>
      <c r="OJR105" s="531"/>
      <c r="OJS105" s="530"/>
      <c r="OJT105" s="531"/>
      <c r="OJU105" s="530"/>
      <c r="OJV105" s="531"/>
      <c r="OJW105" s="530"/>
      <c r="OJX105" s="531"/>
      <c r="OJY105" s="530"/>
      <c r="OJZ105" s="531"/>
      <c r="OKA105" s="530"/>
      <c r="OKB105" s="531"/>
      <c r="OKC105" s="530"/>
      <c r="OKD105" s="531"/>
      <c r="OKE105" s="530"/>
      <c r="OKF105" s="531"/>
      <c r="OKG105" s="530"/>
      <c r="OKH105" s="531"/>
      <c r="OKI105" s="530"/>
      <c r="OKJ105" s="531"/>
      <c r="OKK105" s="530"/>
      <c r="OKL105" s="531"/>
      <c r="OKM105" s="530"/>
      <c r="OKN105" s="531"/>
      <c r="OKO105" s="530"/>
      <c r="OKP105" s="531"/>
      <c r="OKQ105" s="530"/>
      <c r="OKR105" s="531"/>
      <c r="OKS105" s="530"/>
      <c r="OKT105" s="531"/>
      <c r="OKU105" s="530"/>
      <c r="OKV105" s="531"/>
      <c r="OKW105" s="530"/>
      <c r="OKX105" s="531"/>
      <c r="OKY105" s="530"/>
      <c r="OKZ105" s="531"/>
      <c r="OLA105" s="530"/>
      <c r="OLB105" s="531"/>
      <c r="OLC105" s="530"/>
      <c r="OLD105" s="531"/>
      <c r="OLE105" s="530"/>
      <c r="OLF105" s="531"/>
      <c r="OLG105" s="530"/>
      <c r="OLH105" s="531"/>
      <c r="OLI105" s="530"/>
      <c r="OLJ105" s="531"/>
      <c r="OLK105" s="530"/>
      <c r="OLL105" s="531"/>
      <c r="OLM105" s="530"/>
      <c r="OLN105" s="531"/>
      <c r="OLO105" s="530"/>
      <c r="OLP105" s="531"/>
      <c r="OLQ105" s="530"/>
      <c r="OLR105" s="531"/>
      <c r="OLS105" s="530"/>
      <c r="OLT105" s="531"/>
      <c r="OLU105" s="530"/>
      <c r="OLV105" s="531"/>
      <c r="OLW105" s="530"/>
      <c r="OLX105" s="531"/>
      <c r="OLY105" s="530"/>
      <c r="OLZ105" s="531"/>
      <c r="OMA105" s="530"/>
      <c r="OMB105" s="531"/>
      <c r="OMC105" s="530"/>
      <c r="OMD105" s="531"/>
      <c r="OME105" s="530"/>
      <c r="OMF105" s="531"/>
      <c r="OMG105" s="530"/>
      <c r="OMH105" s="531"/>
      <c r="OMI105" s="530"/>
      <c r="OMJ105" s="531"/>
      <c r="OMK105" s="530"/>
      <c r="OML105" s="531"/>
      <c r="OMM105" s="530"/>
      <c r="OMN105" s="531"/>
      <c r="OMO105" s="530"/>
      <c r="OMP105" s="531"/>
      <c r="OMQ105" s="530"/>
      <c r="OMR105" s="531"/>
      <c r="OMS105" s="530"/>
      <c r="OMT105" s="531"/>
      <c r="OMU105" s="530"/>
      <c r="OMV105" s="531"/>
      <c r="OMW105" s="530"/>
      <c r="OMX105" s="531"/>
      <c r="OMY105" s="530"/>
      <c r="OMZ105" s="531"/>
      <c r="ONA105" s="530"/>
      <c r="ONB105" s="531"/>
      <c r="ONC105" s="530"/>
      <c r="OND105" s="531"/>
      <c r="ONE105" s="530"/>
      <c r="ONF105" s="531"/>
      <c r="ONG105" s="530"/>
      <c r="ONH105" s="531"/>
      <c r="ONI105" s="530"/>
      <c r="ONJ105" s="531"/>
      <c r="ONK105" s="530"/>
      <c r="ONL105" s="531"/>
      <c r="ONM105" s="530"/>
      <c r="ONN105" s="531"/>
      <c r="ONO105" s="530"/>
      <c r="ONP105" s="531"/>
      <c r="ONQ105" s="530"/>
      <c r="ONR105" s="531"/>
      <c r="ONS105" s="530"/>
      <c r="ONT105" s="531"/>
      <c r="ONU105" s="530"/>
      <c r="ONV105" s="531"/>
      <c r="ONW105" s="530"/>
      <c r="ONX105" s="531"/>
      <c r="ONY105" s="530"/>
      <c r="ONZ105" s="531"/>
      <c r="OOA105" s="530"/>
      <c r="OOB105" s="531"/>
      <c r="OOC105" s="530"/>
      <c r="OOD105" s="531"/>
      <c r="OOE105" s="530"/>
      <c r="OOF105" s="531"/>
      <c r="OOG105" s="530"/>
      <c r="OOH105" s="531"/>
      <c r="OOI105" s="530"/>
      <c r="OOJ105" s="531"/>
      <c r="OOK105" s="530"/>
      <c r="OOL105" s="531"/>
      <c r="OOM105" s="530"/>
      <c r="OON105" s="531"/>
      <c r="OOO105" s="530"/>
      <c r="OOP105" s="531"/>
      <c r="OOQ105" s="530"/>
      <c r="OOR105" s="531"/>
      <c r="OOS105" s="530"/>
      <c r="OOT105" s="531"/>
      <c r="OOU105" s="530"/>
      <c r="OOV105" s="531"/>
      <c r="OOW105" s="530"/>
      <c r="OOX105" s="531"/>
      <c r="OOY105" s="530"/>
      <c r="OOZ105" s="531"/>
      <c r="OPA105" s="530"/>
      <c r="OPB105" s="531"/>
      <c r="OPC105" s="530"/>
      <c r="OPD105" s="531"/>
      <c r="OPE105" s="530"/>
      <c r="OPF105" s="531"/>
      <c r="OPG105" s="530"/>
      <c r="OPH105" s="531"/>
      <c r="OPI105" s="530"/>
      <c r="OPJ105" s="531"/>
      <c r="OPK105" s="530"/>
      <c r="OPL105" s="531"/>
      <c r="OPM105" s="530"/>
      <c r="OPN105" s="531"/>
      <c r="OPO105" s="530"/>
      <c r="OPP105" s="531"/>
      <c r="OPQ105" s="530"/>
      <c r="OPR105" s="531"/>
      <c r="OPS105" s="530"/>
      <c r="OPT105" s="531"/>
      <c r="OPU105" s="530"/>
      <c r="OPV105" s="531"/>
      <c r="OPW105" s="530"/>
      <c r="OPX105" s="531"/>
      <c r="OPY105" s="530"/>
      <c r="OPZ105" s="531"/>
      <c r="OQA105" s="530"/>
      <c r="OQB105" s="531"/>
      <c r="OQC105" s="530"/>
      <c r="OQD105" s="531"/>
      <c r="OQE105" s="530"/>
      <c r="OQF105" s="531"/>
      <c r="OQG105" s="530"/>
      <c r="OQH105" s="531"/>
      <c r="OQI105" s="530"/>
      <c r="OQJ105" s="531"/>
      <c r="OQK105" s="530"/>
      <c r="OQL105" s="531"/>
      <c r="OQM105" s="530"/>
      <c r="OQN105" s="531"/>
      <c r="OQO105" s="530"/>
      <c r="OQP105" s="531"/>
      <c r="OQQ105" s="530"/>
      <c r="OQR105" s="531"/>
      <c r="OQS105" s="530"/>
      <c r="OQT105" s="531"/>
      <c r="OQU105" s="530"/>
      <c r="OQV105" s="531"/>
      <c r="OQW105" s="530"/>
      <c r="OQX105" s="531"/>
      <c r="OQY105" s="530"/>
      <c r="OQZ105" s="531"/>
      <c r="ORA105" s="530"/>
      <c r="ORB105" s="531"/>
      <c r="ORC105" s="530"/>
      <c r="ORD105" s="531"/>
      <c r="ORE105" s="530"/>
      <c r="ORF105" s="531"/>
      <c r="ORG105" s="530"/>
      <c r="ORH105" s="531"/>
      <c r="ORI105" s="530"/>
      <c r="ORJ105" s="531"/>
      <c r="ORK105" s="530"/>
      <c r="ORL105" s="531"/>
      <c r="ORM105" s="530"/>
      <c r="ORN105" s="531"/>
      <c r="ORO105" s="530"/>
      <c r="ORP105" s="531"/>
      <c r="ORQ105" s="530"/>
      <c r="ORR105" s="531"/>
      <c r="ORS105" s="530"/>
      <c r="ORT105" s="531"/>
      <c r="ORU105" s="530"/>
      <c r="ORV105" s="531"/>
      <c r="ORW105" s="530"/>
      <c r="ORX105" s="531"/>
      <c r="ORY105" s="530"/>
      <c r="ORZ105" s="531"/>
      <c r="OSA105" s="530"/>
      <c r="OSB105" s="531"/>
      <c r="OSC105" s="530"/>
      <c r="OSD105" s="531"/>
      <c r="OSE105" s="530"/>
      <c r="OSF105" s="531"/>
      <c r="OSG105" s="530"/>
      <c r="OSH105" s="531"/>
      <c r="OSI105" s="530"/>
      <c r="OSJ105" s="531"/>
      <c r="OSK105" s="530"/>
      <c r="OSL105" s="531"/>
      <c r="OSM105" s="530"/>
      <c r="OSN105" s="531"/>
      <c r="OSO105" s="530"/>
      <c r="OSP105" s="531"/>
      <c r="OSQ105" s="530"/>
      <c r="OSR105" s="531"/>
      <c r="OSS105" s="530"/>
      <c r="OST105" s="531"/>
      <c r="OSU105" s="530"/>
      <c r="OSV105" s="531"/>
      <c r="OSW105" s="530"/>
      <c r="OSX105" s="531"/>
      <c r="OSY105" s="530"/>
      <c r="OSZ105" s="531"/>
      <c r="OTA105" s="530"/>
      <c r="OTB105" s="531"/>
      <c r="OTC105" s="530"/>
      <c r="OTD105" s="531"/>
      <c r="OTE105" s="530"/>
      <c r="OTF105" s="531"/>
      <c r="OTG105" s="530"/>
      <c r="OTH105" s="531"/>
      <c r="OTI105" s="530"/>
      <c r="OTJ105" s="531"/>
      <c r="OTK105" s="530"/>
      <c r="OTL105" s="531"/>
      <c r="OTM105" s="530"/>
      <c r="OTN105" s="531"/>
      <c r="OTO105" s="530"/>
      <c r="OTP105" s="531"/>
      <c r="OTQ105" s="530"/>
      <c r="OTR105" s="531"/>
      <c r="OTS105" s="530"/>
      <c r="OTT105" s="531"/>
      <c r="OTU105" s="530"/>
      <c r="OTV105" s="531"/>
      <c r="OTW105" s="530"/>
      <c r="OTX105" s="531"/>
      <c r="OTY105" s="530"/>
      <c r="OTZ105" s="531"/>
      <c r="OUA105" s="530"/>
      <c r="OUB105" s="531"/>
      <c r="OUC105" s="530"/>
      <c r="OUD105" s="531"/>
      <c r="OUE105" s="530"/>
      <c r="OUF105" s="531"/>
      <c r="OUG105" s="530"/>
      <c r="OUH105" s="531"/>
      <c r="OUI105" s="530"/>
      <c r="OUJ105" s="531"/>
      <c r="OUK105" s="530"/>
      <c r="OUL105" s="531"/>
      <c r="OUM105" s="530"/>
      <c r="OUN105" s="531"/>
      <c r="OUO105" s="530"/>
      <c r="OUP105" s="531"/>
      <c r="OUQ105" s="530"/>
      <c r="OUR105" s="531"/>
      <c r="OUS105" s="530"/>
      <c r="OUT105" s="531"/>
      <c r="OUU105" s="530"/>
      <c r="OUV105" s="531"/>
      <c r="OUW105" s="530"/>
      <c r="OUX105" s="531"/>
      <c r="OUY105" s="530"/>
      <c r="OUZ105" s="531"/>
      <c r="OVA105" s="530"/>
      <c r="OVB105" s="531"/>
      <c r="OVC105" s="530"/>
      <c r="OVD105" s="531"/>
      <c r="OVE105" s="530"/>
      <c r="OVF105" s="531"/>
      <c r="OVG105" s="530"/>
      <c r="OVH105" s="531"/>
      <c r="OVI105" s="530"/>
      <c r="OVJ105" s="531"/>
      <c r="OVK105" s="530"/>
      <c r="OVL105" s="531"/>
      <c r="OVM105" s="530"/>
      <c r="OVN105" s="531"/>
      <c r="OVO105" s="530"/>
      <c r="OVP105" s="531"/>
      <c r="OVQ105" s="530"/>
      <c r="OVR105" s="531"/>
      <c r="OVS105" s="530"/>
      <c r="OVT105" s="531"/>
      <c r="OVU105" s="530"/>
      <c r="OVV105" s="531"/>
      <c r="OVW105" s="530"/>
      <c r="OVX105" s="531"/>
      <c r="OVY105" s="530"/>
      <c r="OVZ105" s="531"/>
      <c r="OWA105" s="530"/>
      <c r="OWB105" s="531"/>
      <c r="OWC105" s="530"/>
      <c r="OWD105" s="531"/>
      <c r="OWE105" s="530"/>
      <c r="OWF105" s="531"/>
      <c r="OWG105" s="530"/>
      <c r="OWH105" s="531"/>
      <c r="OWI105" s="530"/>
      <c r="OWJ105" s="531"/>
      <c r="OWK105" s="530"/>
      <c r="OWL105" s="531"/>
      <c r="OWM105" s="530"/>
      <c r="OWN105" s="531"/>
      <c r="OWO105" s="530"/>
      <c r="OWP105" s="531"/>
      <c r="OWQ105" s="530"/>
      <c r="OWR105" s="531"/>
      <c r="OWS105" s="530"/>
      <c r="OWT105" s="531"/>
      <c r="OWU105" s="530"/>
      <c r="OWV105" s="531"/>
      <c r="OWW105" s="530"/>
      <c r="OWX105" s="531"/>
      <c r="OWY105" s="530"/>
      <c r="OWZ105" s="531"/>
      <c r="OXA105" s="530"/>
      <c r="OXB105" s="531"/>
      <c r="OXC105" s="530"/>
      <c r="OXD105" s="531"/>
      <c r="OXE105" s="530"/>
      <c r="OXF105" s="531"/>
      <c r="OXG105" s="530"/>
      <c r="OXH105" s="531"/>
      <c r="OXI105" s="530"/>
      <c r="OXJ105" s="531"/>
      <c r="OXK105" s="530"/>
      <c r="OXL105" s="531"/>
      <c r="OXM105" s="530"/>
      <c r="OXN105" s="531"/>
      <c r="OXO105" s="530"/>
      <c r="OXP105" s="531"/>
      <c r="OXQ105" s="530"/>
      <c r="OXR105" s="531"/>
      <c r="OXS105" s="530"/>
      <c r="OXT105" s="531"/>
      <c r="OXU105" s="530"/>
      <c r="OXV105" s="531"/>
      <c r="OXW105" s="530"/>
      <c r="OXX105" s="531"/>
      <c r="OXY105" s="530"/>
      <c r="OXZ105" s="531"/>
      <c r="OYA105" s="530"/>
      <c r="OYB105" s="531"/>
      <c r="OYC105" s="530"/>
      <c r="OYD105" s="531"/>
      <c r="OYE105" s="530"/>
      <c r="OYF105" s="531"/>
      <c r="OYG105" s="530"/>
      <c r="OYH105" s="531"/>
      <c r="OYI105" s="530"/>
      <c r="OYJ105" s="531"/>
      <c r="OYK105" s="530"/>
      <c r="OYL105" s="531"/>
      <c r="OYM105" s="530"/>
      <c r="OYN105" s="531"/>
      <c r="OYO105" s="530"/>
      <c r="OYP105" s="531"/>
      <c r="OYQ105" s="530"/>
      <c r="OYR105" s="531"/>
      <c r="OYS105" s="530"/>
      <c r="OYT105" s="531"/>
      <c r="OYU105" s="530"/>
      <c r="OYV105" s="531"/>
      <c r="OYW105" s="530"/>
      <c r="OYX105" s="531"/>
      <c r="OYY105" s="530"/>
      <c r="OYZ105" s="531"/>
      <c r="OZA105" s="530"/>
      <c r="OZB105" s="531"/>
      <c r="OZC105" s="530"/>
      <c r="OZD105" s="531"/>
      <c r="OZE105" s="530"/>
      <c r="OZF105" s="531"/>
      <c r="OZG105" s="530"/>
      <c r="OZH105" s="531"/>
      <c r="OZI105" s="530"/>
      <c r="OZJ105" s="531"/>
      <c r="OZK105" s="530"/>
      <c r="OZL105" s="531"/>
      <c r="OZM105" s="530"/>
      <c r="OZN105" s="531"/>
      <c r="OZO105" s="530"/>
      <c r="OZP105" s="531"/>
      <c r="OZQ105" s="530"/>
      <c r="OZR105" s="531"/>
      <c r="OZS105" s="530"/>
      <c r="OZT105" s="531"/>
      <c r="OZU105" s="530"/>
      <c r="OZV105" s="531"/>
      <c r="OZW105" s="530"/>
      <c r="OZX105" s="531"/>
      <c r="OZY105" s="530"/>
      <c r="OZZ105" s="531"/>
      <c r="PAA105" s="530"/>
      <c r="PAB105" s="531"/>
      <c r="PAC105" s="530"/>
      <c r="PAD105" s="531"/>
      <c r="PAE105" s="530"/>
      <c r="PAF105" s="531"/>
      <c r="PAG105" s="530"/>
      <c r="PAH105" s="531"/>
      <c r="PAI105" s="530"/>
      <c r="PAJ105" s="531"/>
      <c r="PAK105" s="530"/>
      <c r="PAL105" s="531"/>
      <c r="PAM105" s="530"/>
      <c r="PAN105" s="531"/>
      <c r="PAO105" s="530"/>
      <c r="PAP105" s="531"/>
      <c r="PAQ105" s="530"/>
      <c r="PAR105" s="531"/>
      <c r="PAS105" s="530"/>
      <c r="PAT105" s="531"/>
      <c r="PAU105" s="530"/>
      <c r="PAV105" s="531"/>
      <c r="PAW105" s="530"/>
      <c r="PAX105" s="531"/>
      <c r="PAY105" s="530"/>
      <c r="PAZ105" s="531"/>
      <c r="PBA105" s="530"/>
      <c r="PBB105" s="531"/>
      <c r="PBC105" s="530"/>
      <c r="PBD105" s="531"/>
      <c r="PBE105" s="530"/>
      <c r="PBF105" s="531"/>
      <c r="PBG105" s="530"/>
      <c r="PBH105" s="531"/>
      <c r="PBI105" s="530"/>
      <c r="PBJ105" s="531"/>
      <c r="PBK105" s="530"/>
      <c r="PBL105" s="531"/>
      <c r="PBM105" s="530"/>
      <c r="PBN105" s="531"/>
      <c r="PBO105" s="530"/>
      <c r="PBP105" s="531"/>
      <c r="PBQ105" s="530"/>
      <c r="PBR105" s="531"/>
      <c r="PBS105" s="530"/>
      <c r="PBT105" s="531"/>
      <c r="PBU105" s="530"/>
      <c r="PBV105" s="531"/>
      <c r="PBW105" s="530"/>
      <c r="PBX105" s="531"/>
      <c r="PBY105" s="530"/>
      <c r="PBZ105" s="531"/>
      <c r="PCA105" s="530"/>
      <c r="PCB105" s="531"/>
      <c r="PCC105" s="530"/>
      <c r="PCD105" s="531"/>
      <c r="PCE105" s="530"/>
      <c r="PCF105" s="531"/>
      <c r="PCG105" s="530"/>
      <c r="PCH105" s="531"/>
      <c r="PCI105" s="530"/>
      <c r="PCJ105" s="531"/>
      <c r="PCK105" s="530"/>
      <c r="PCL105" s="531"/>
      <c r="PCM105" s="530"/>
      <c r="PCN105" s="531"/>
      <c r="PCO105" s="530"/>
      <c r="PCP105" s="531"/>
      <c r="PCQ105" s="530"/>
      <c r="PCR105" s="531"/>
      <c r="PCS105" s="530"/>
      <c r="PCT105" s="531"/>
      <c r="PCU105" s="530"/>
      <c r="PCV105" s="531"/>
      <c r="PCW105" s="530"/>
      <c r="PCX105" s="531"/>
      <c r="PCY105" s="530"/>
      <c r="PCZ105" s="531"/>
      <c r="PDA105" s="530"/>
      <c r="PDB105" s="531"/>
      <c r="PDC105" s="530"/>
      <c r="PDD105" s="531"/>
      <c r="PDE105" s="530"/>
      <c r="PDF105" s="531"/>
      <c r="PDG105" s="530"/>
      <c r="PDH105" s="531"/>
      <c r="PDI105" s="530"/>
      <c r="PDJ105" s="531"/>
      <c r="PDK105" s="530"/>
      <c r="PDL105" s="531"/>
      <c r="PDM105" s="530"/>
      <c r="PDN105" s="531"/>
      <c r="PDO105" s="530"/>
      <c r="PDP105" s="531"/>
      <c r="PDQ105" s="530"/>
      <c r="PDR105" s="531"/>
      <c r="PDS105" s="530"/>
      <c r="PDT105" s="531"/>
      <c r="PDU105" s="530"/>
      <c r="PDV105" s="531"/>
      <c r="PDW105" s="530"/>
      <c r="PDX105" s="531"/>
      <c r="PDY105" s="530"/>
      <c r="PDZ105" s="531"/>
      <c r="PEA105" s="530"/>
      <c r="PEB105" s="531"/>
      <c r="PEC105" s="530"/>
      <c r="PED105" s="531"/>
      <c r="PEE105" s="530"/>
      <c r="PEF105" s="531"/>
      <c r="PEG105" s="530"/>
      <c r="PEH105" s="531"/>
      <c r="PEI105" s="530"/>
      <c r="PEJ105" s="531"/>
      <c r="PEK105" s="530"/>
      <c r="PEL105" s="531"/>
      <c r="PEM105" s="530"/>
      <c r="PEN105" s="531"/>
      <c r="PEO105" s="530"/>
      <c r="PEP105" s="531"/>
      <c r="PEQ105" s="530"/>
      <c r="PER105" s="531"/>
      <c r="PES105" s="530"/>
      <c r="PET105" s="531"/>
      <c r="PEU105" s="530"/>
      <c r="PEV105" s="531"/>
      <c r="PEW105" s="530"/>
      <c r="PEX105" s="531"/>
      <c r="PEY105" s="530"/>
      <c r="PEZ105" s="531"/>
      <c r="PFA105" s="530"/>
      <c r="PFB105" s="531"/>
      <c r="PFC105" s="530"/>
      <c r="PFD105" s="531"/>
      <c r="PFE105" s="530"/>
      <c r="PFF105" s="531"/>
      <c r="PFG105" s="530"/>
      <c r="PFH105" s="531"/>
      <c r="PFI105" s="530"/>
      <c r="PFJ105" s="531"/>
      <c r="PFK105" s="530"/>
      <c r="PFL105" s="531"/>
      <c r="PFM105" s="530"/>
      <c r="PFN105" s="531"/>
      <c r="PFO105" s="530"/>
      <c r="PFP105" s="531"/>
      <c r="PFQ105" s="530"/>
      <c r="PFR105" s="531"/>
      <c r="PFS105" s="530"/>
      <c r="PFT105" s="531"/>
      <c r="PFU105" s="530"/>
      <c r="PFV105" s="531"/>
      <c r="PFW105" s="530"/>
      <c r="PFX105" s="531"/>
      <c r="PFY105" s="530"/>
      <c r="PFZ105" s="531"/>
      <c r="PGA105" s="530"/>
      <c r="PGB105" s="531"/>
      <c r="PGC105" s="530"/>
      <c r="PGD105" s="531"/>
      <c r="PGE105" s="530"/>
      <c r="PGF105" s="531"/>
      <c r="PGG105" s="530"/>
      <c r="PGH105" s="531"/>
      <c r="PGI105" s="530"/>
      <c r="PGJ105" s="531"/>
      <c r="PGK105" s="530"/>
      <c r="PGL105" s="531"/>
      <c r="PGM105" s="530"/>
      <c r="PGN105" s="531"/>
      <c r="PGO105" s="530"/>
      <c r="PGP105" s="531"/>
      <c r="PGQ105" s="530"/>
      <c r="PGR105" s="531"/>
      <c r="PGS105" s="530"/>
      <c r="PGT105" s="531"/>
      <c r="PGU105" s="530"/>
      <c r="PGV105" s="531"/>
      <c r="PGW105" s="530"/>
      <c r="PGX105" s="531"/>
      <c r="PGY105" s="530"/>
      <c r="PGZ105" s="531"/>
      <c r="PHA105" s="530"/>
      <c r="PHB105" s="531"/>
      <c r="PHC105" s="530"/>
      <c r="PHD105" s="531"/>
      <c r="PHE105" s="530"/>
      <c r="PHF105" s="531"/>
      <c r="PHG105" s="530"/>
      <c r="PHH105" s="531"/>
      <c r="PHI105" s="530"/>
      <c r="PHJ105" s="531"/>
      <c r="PHK105" s="530"/>
      <c r="PHL105" s="531"/>
      <c r="PHM105" s="530"/>
      <c r="PHN105" s="531"/>
      <c r="PHO105" s="530"/>
      <c r="PHP105" s="531"/>
      <c r="PHQ105" s="530"/>
      <c r="PHR105" s="531"/>
      <c r="PHS105" s="530"/>
      <c r="PHT105" s="531"/>
      <c r="PHU105" s="530"/>
      <c r="PHV105" s="531"/>
      <c r="PHW105" s="530"/>
      <c r="PHX105" s="531"/>
      <c r="PHY105" s="530"/>
      <c r="PHZ105" s="531"/>
      <c r="PIA105" s="530"/>
      <c r="PIB105" s="531"/>
      <c r="PIC105" s="530"/>
      <c r="PID105" s="531"/>
      <c r="PIE105" s="530"/>
      <c r="PIF105" s="531"/>
      <c r="PIG105" s="530"/>
      <c r="PIH105" s="531"/>
      <c r="PII105" s="530"/>
      <c r="PIJ105" s="531"/>
      <c r="PIK105" s="530"/>
      <c r="PIL105" s="531"/>
      <c r="PIM105" s="530"/>
      <c r="PIN105" s="531"/>
      <c r="PIO105" s="530"/>
      <c r="PIP105" s="531"/>
      <c r="PIQ105" s="530"/>
      <c r="PIR105" s="531"/>
      <c r="PIS105" s="530"/>
      <c r="PIT105" s="531"/>
      <c r="PIU105" s="530"/>
      <c r="PIV105" s="531"/>
      <c r="PIW105" s="530"/>
      <c r="PIX105" s="531"/>
      <c r="PIY105" s="530"/>
      <c r="PIZ105" s="531"/>
      <c r="PJA105" s="530"/>
      <c r="PJB105" s="531"/>
      <c r="PJC105" s="530"/>
      <c r="PJD105" s="531"/>
      <c r="PJE105" s="530"/>
      <c r="PJF105" s="531"/>
      <c r="PJG105" s="530"/>
      <c r="PJH105" s="531"/>
      <c r="PJI105" s="530"/>
      <c r="PJJ105" s="531"/>
      <c r="PJK105" s="530"/>
      <c r="PJL105" s="531"/>
      <c r="PJM105" s="530"/>
      <c r="PJN105" s="531"/>
      <c r="PJO105" s="530"/>
      <c r="PJP105" s="531"/>
      <c r="PJQ105" s="530"/>
      <c r="PJR105" s="531"/>
      <c r="PJS105" s="530"/>
      <c r="PJT105" s="531"/>
      <c r="PJU105" s="530"/>
      <c r="PJV105" s="531"/>
      <c r="PJW105" s="530"/>
      <c r="PJX105" s="531"/>
      <c r="PJY105" s="530"/>
      <c r="PJZ105" s="531"/>
      <c r="PKA105" s="530"/>
      <c r="PKB105" s="531"/>
      <c r="PKC105" s="530"/>
      <c r="PKD105" s="531"/>
      <c r="PKE105" s="530"/>
      <c r="PKF105" s="531"/>
      <c r="PKG105" s="530"/>
      <c r="PKH105" s="531"/>
      <c r="PKI105" s="530"/>
      <c r="PKJ105" s="531"/>
      <c r="PKK105" s="530"/>
      <c r="PKL105" s="531"/>
      <c r="PKM105" s="530"/>
      <c r="PKN105" s="531"/>
      <c r="PKO105" s="530"/>
      <c r="PKP105" s="531"/>
      <c r="PKQ105" s="530"/>
      <c r="PKR105" s="531"/>
      <c r="PKS105" s="530"/>
      <c r="PKT105" s="531"/>
      <c r="PKU105" s="530"/>
      <c r="PKV105" s="531"/>
      <c r="PKW105" s="530"/>
      <c r="PKX105" s="531"/>
      <c r="PKY105" s="530"/>
      <c r="PKZ105" s="531"/>
      <c r="PLA105" s="530"/>
      <c r="PLB105" s="531"/>
      <c r="PLC105" s="530"/>
      <c r="PLD105" s="531"/>
      <c r="PLE105" s="530"/>
      <c r="PLF105" s="531"/>
      <c r="PLG105" s="530"/>
      <c r="PLH105" s="531"/>
      <c r="PLI105" s="530"/>
      <c r="PLJ105" s="531"/>
      <c r="PLK105" s="530"/>
      <c r="PLL105" s="531"/>
      <c r="PLM105" s="530"/>
      <c r="PLN105" s="531"/>
      <c r="PLO105" s="530"/>
      <c r="PLP105" s="531"/>
      <c r="PLQ105" s="530"/>
      <c r="PLR105" s="531"/>
      <c r="PLS105" s="530"/>
      <c r="PLT105" s="531"/>
      <c r="PLU105" s="530"/>
      <c r="PLV105" s="531"/>
      <c r="PLW105" s="530"/>
      <c r="PLX105" s="531"/>
      <c r="PLY105" s="530"/>
      <c r="PLZ105" s="531"/>
      <c r="PMA105" s="530"/>
      <c r="PMB105" s="531"/>
      <c r="PMC105" s="530"/>
      <c r="PMD105" s="531"/>
      <c r="PME105" s="530"/>
      <c r="PMF105" s="531"/>
      <c r="PMG105" s="530"/>
      <c r="PMH105" s="531"/>
      <c r="PMI105" s="530"/>
      <c r="PMJ105" s="531"/>
      <c r="PMK105" s="530"/>
      <c r="PML105" s="531"/>
      <c r="PMM105" s="530"/>
      <c r="PMN105" s="531"/>
      <c r="PMO105" s="530"/>
      <c r="PMP105" s="531"/>
      <c r="PMQ105" s="530"/>
      <c r="PMR105" s="531"/>
      <c r="PMS105" s="530"/>
      <c r="PMT105" s="531"/>
      <c r="PMU105" s="530"/>
      <c r="PMV105" s="531"/>
      <c r="PMW105" s="530"/>
      <c r="PMX105" s="531"/>
      <c r="PMY105" s="530"/>
      <c r="PMZ105" s="531"/>
      <c r="PNA105" s="530"/>
      <c r="PNB105" s="531"/>
      <c r="PNC105" s="530"/>
      <c r="PND105" s="531"/>
      <c r="PNE105" s="530"/>
      <c r="PNF105" s="531"/>
      <c r="PNG105" s="530"/>
      <c r="PNH105" s="531"/>
      <c r="PNI105" s="530"/>
      <c r="PNJ105" s="531"/>
      <c r="PNK105" s="530"/>
      <c r="PNL105" s="531"/>
      <c r="PNM105" s="530"/>
      <c r="PNN105" s="531"/>
      <c r="PNO105" s="530"/>
      <c r="PNP105" s="531"/>
      <c r="PNQ105" s="530"/>
      <c r="PNR105" s="531"/>
      <c r="PNS105" s="530"/>
      <c r="PNT105" s="531"/>
      <c r="PNU105" s="530"/>
      <c r="PNV105" s="531"/>
      <c r="PNW105" s="530"/>
      <c r="PNX105" s="531"/>
      <c r="PNY105" s="530"/>
      <c r="PNZ105" s="531"/>
      <c r="POA105" s="530"/>
      <c r="POB105" s="531"/>
      <c r="POC105" s="530"/>
      <c r="POD105" s="531"/>
      <c r="POE105" s="530"/>
      <c r="POF105" s="531"/>
      <c r="POG105" s="530"/>
      <c r="POH105" s="531"/>
      <c r="POI105" s="530"/>
      <c r="POJ105" s="531"/>
      <c r="POK105" s="530"/>
      <c r="POL105" s="531"/>
      <c r="POM105" s="530"/>
      <c r="PON105" s="531"/>
      <c r="POO105" s="530"/>
      <c r="POP105" s="531"/>
      <c r="POQ105" s="530"/>
      <c r="POR105" s="531"/>
      <c r="POS105" s="530"/>
      <c r="POT105" s="531"/>
      <c r="POU105" s="530"/>
      <c r="POV105" s="531"/>
      <c r="POW105" s="530"/>
      <c r="POX105" s="531"/>
      <c r="POY105" s="530"/>
      <c r="POZ105" s="531"/>
      <c r="PPA105" s="530"/>
      <c r="PPB105" s="531"/>
      <c r="PPC105" s="530"/>
      <c r="PPD105" s="531"/>
      <c r="PPE105" s="530"/>
      <c r="PPF105" s="531"/>
      <c r="PPG105" s="530"/>
      <c r="PPH105" s="531"/>
      <c r="PPI105" s="530"/>
      <c r="PPJ105" s="531"/>
      <c r="PPK105" s="530"/>
      <c r="PPL105" s="531"/>
      <c r="PPM105" s="530"/>
      <c r="PPN105" s="531"/>
      <c r="PPO105" s="530"/>
      <c r="PPP105" s="531"/>
      <c r="PPQ105" s="530"/>
      <c r="PPR105" s="531"/>
      <c r="PPS105" s="530"/>
      <c r="PPT105" s="531"/>
      <c r="PPU105" s="530"/>
      <c r="PPV105" s="531"/>
      <c r="PPW105" s="530"/>
      <c r="PPX105" s="531"/>
      <c r="PPY105" s="530"/>
      <c r="PPZ105" s="531"/>
      <c r="PQA105" s="530"/>
      <c r="PQB105" s="531"/>
      <c r="PQC105" s="530"/>
      <c r="PQD105" s="531"/>
      <c r="PQE105" s="530"/>
      <c r="PQF105" s="531"/>
      <c r="PQG105" s="530"/>
      <c r="PQH105" s="531"/>
      <c r="PQI105" s="530"/>
      <c r="PQJ105" s="531"/>
      <c r="PQK105" s="530"/>
      <c r="PQL105" s="531"/>
      <c r="PQM105" s="530"/>
      <c r="PQN105" s="531"/>
      <c r="PQO105" s="530"/>
      <c r="PQP105" s="531"/>
      <c r="PQQ105" s="530"/>
      <c r="PQR105" s="531"/>
      <c r="PQS105" s="530"/>
      <c r="PQT105" s="531"/>
      <c r="PQU105" s="530"/>
      <c r="PQV105" s="531"/>
      <c r="PQW105" s="530"/>
      <c r="PQX105" s="531"/>
      <c r="PQY105" s="530"/>
      <c r="PQZ105" s="531"/>
      <c r="PRA105" s="530"/>
      <c r="PRB105" s="531"/>
      <c r="PRC105" s="530"/>
      <c r="PRD105" s="531"/>
      <c r="PRE105" s="530"/>
      <c r="PRF105" s="531"/>
      <c r="PRG105" s="530"/>
      <c r="PRH105" s="531"/>
      <c r="PRI105" s="530"/>
      <c r="PRJ105" s="531"/>
      <c r="PRK105" s="530"/>
      <c r="PRL105" s="531"/>
      <c r="PRM105" s="530"/>
      <c r="PRN105" s="531"/>
      <c r="PRO105" s="530"/>
      <c r="PRP105" s="531"/>
      <c r="PRQ105" s="530"/>
      <c r="PRR105" s="531"/>
      <c r="PRS105" s="530"/>
      <c r="PRT105" s="531"/>
      <c r="PRU105" s="530"/>
      <c r="PRV105" s="531"/>
      <c r="PRW105" s="530"/>
      <c r="PRX105" s="531"/>
      <c r="PRY105" s="530"/>
      <c r="PRZ105" s="531"/>
      <c r="PSA105" s="530"/>
      <c r="PSB105" s="531"/>
      <c r="PSC105" s="530"/>
      <c r="PSD105" s="531"/>
      <c r="PSE105" s="530"/>
      <c r="PSF105" s="531"/>
      <c r="PSG105" s="530"/>
      <c r="PSH105" s="531"/>
      <c r="PSI105" s="530"/>
      <c r="PSJ105" s="531"/>
      <c r="PSK105" s="530"/>
      <c r="PSL105" s="531"/>
      <c r="PSM105" s="530"/>
      <c r="PSN105" s="531"/>
      <c r="PSO105" s="530"/>
      <c r="PSP105" s="531"/>
      <c r="PSQ105" s="530"/>
      <c r="PSR105" s="531"/>
      <c r="PSS105" s="530"/>
      <c r="PST105" s="531"/>
      <c r="PSU105" s="530"/>
      <c r="PSV105" s="531"/>
      <c r="PSW105" s="530"/>
      <c r="PSX105" s="531"/>
      <c r="PSY105" s="530"/>
      <c r="PSZ105" s="531"/>
      <c r="PTA105" s="530"/>
      <c r="PTB105" s="531"/>
      <c r="PTC105" s="530"/>
      <c r="PTD105" s="531"/>
      <c r="PTE105" s="530"/>
      <c r="PTF105" s="531"/>
      <c r="PTG105" s="530"/>
      <c r="PTH105" s="531"/>
      <c r="PTI105" s="530"/>
      <c r="PTJ105" s="531"/>
      <c r="PTK105" s="530"/>
      <c r="PTL105" s="531"/>
      <c r="PTM105" s="530"/>
      <c r="PTN105" s="531"/>
      <c r="PTO105" s="530"/>
      <c r="PTP105" s="531"/>
      <c r="PTQ105" s="530"/>
      <c r="PTR105" s="531"/>
      <c r="PTS105" s="530"/>
      <c r="PTT105" s="531"/>
      <c r="PTU105" s="530"/>
      <c r="PTV105" s="531"/>
      <c r="PTW105" s="530"/>
      <c r="PTX105" s="531"/>
      <c r="PTY105" s="530"/>
      <c r="PTZ105" s="531"/>
      <c r="PUA105" s="530"/>
      <c r="PUB105" s="531"/>
      <c r="PUC105" s="530"/>
      <c r="PUD105" s="531"/>
      <c r="PUE105" s="530"/>
      <c r="PUF105" s="531"/>
      <c r="PUG105" s="530"/>
      <c r="PUH105" s="531"/>
      <c r="PUI105" s="530"/>
      <c r="PUJ105" s="531"/>
      <c r="PUK105" s="530"/>
      <c r="PUL105" s="531"/>
      <c r="PUM105" s="530"/>
      <c r="PUN105" s="531"/>
      <c r="PUO105" s="530"/>
      <c r="PUP105" s="531"/>
      <c r="PUQ105" s="530"/>
      <c r="PUR105" s="531"/>
      <c r="PUS105" s="530"/>
      <c r="PUT105" s="531"/>
      <c r="PUU105" s="530"/>
      <c r="PUV105" s="531"/>
      <c r="PUW105" s="530"/>
      <c r="PUX105" s="531"/>
      <c r="PUY105" s="530"/>
      <c r="PUZ105" s="531"/>
      <c r="PVA105" s="530"/>
      <c r="PVB105" s="531"/>
      <c r="PVC105" s="530"/>
      <c r="PVD105" s="531"/>
      <c r="PVE105" s="530"/>
      <c r="PVF105" s="531"/>
      <c r="PVG105" s="530"/>
      <c r="PVH105" s="531"/>
      <c r="PVI105" s="530"/>
      <c r="PVJ105" s="531"/>
      <c r="PVK105" s="530"/>
      <c r="PVL105" s="531"/>
      <c r="PVM105" s="530"/>
      <c r="PVN105" s="531"/>
      <c r="PVO105" s="530"/>
      <c r="PVP105" s="531"/>
      <c r="PVQ105" s="530"/>
      <c r="PVR105" s="531"/>
      <c r="PVS105" s="530"/>
      <c r="PVT105" s="531"/>
      <c r="PVU105" s="530"/>
      <c r="PVV105" s="531"/>
      <c r="PVW105" s="530"/>
      <c r="PVX105" s="531"/>
      <c r="PVY105" s="530"/>
      <c r="PVZ105" s="531"/>
      <c r="PWA105" s="530"/>
      <c r="PWB105" s="531"/>
      <c r="PWC105" s="530"/>
      <c r="PWD105" s="531"/>
      <c r="PWE105" s="530"/>
      <c r="PWF105" s="531"/>
      <c r="PWG105" s="530"/>
      <c r="PWH105" s="531"/>
      <c r="PWI105" s="530"/>
      <c r="PWJ105" s="531"/>
      <c r="PWK105" s="530"/>
      <c r="PWL105" s="531"/>
      <c r="PWM105" s="530"/>
      <c r="PWN105" s="531"/>
      <c r="PWO105" s="530"/>
      <c r="PWP105" s="531"/>
      <c r="PWQ105" s="530"/>
      <c r="PWR105" s="531"/>
      <c r="PWS105" s="530"/>
      <c r="PWT105" s="531"/>
      <c r="PWU105" s="530"/>
      <c r="PWV105" s="531"/>
      <c r="PWW105" s="530"/>
      <c r="PWX105" s="531"/>
      <c r="PWY105" s="530"/>
      <c r="PWZ105" s="531"/>
      <c r="PXA105" s="530"/>
      <c r="PXB105" s="531"/>
      <c r="PXC105" s="530"/>
      <c r="PXD105" s="531"/>
      <c r="PXE105" s="530"/>
      <c r="PXF105" s="531"/>
      <c r="PXG105" s="530"/>
      <c r="PXH105" s="531"/>
      <c r="PXI105" s="530"/>
      <c r="PXJ105" s="531"/>
      <c r="PXK105" s="530"/>
      <c r="PXL105" s="531"/>
      <c r="PXM105" s="530"/>
      <c r="PXN105" s="531"/>
      <c r="PXO105" s="530"/>
      <c r="PXP105" s="531"/>
      <c r="PXQ105" s="530"/>
      <c r="PXR105" s="531"/>
      <c r="PXS105" s="530"/>
      <c r="PXT105" s="531"/>
      <c r="PXU105" s="530"/>
      <c r="PXV105" s="531"/>
      <c r="PXW105" s="530"/>
      <c r="PXX105" s="531"/>
      <c r="PXY105" s="530"/>
      <c r="PXZ105" s="531"/>
      <c r="PYA105" s="530"/>
      <c r="PYB105" s="531"/>
      <c r="PYC105" s="530"/>
      <c r="PYD105" s="531"/>
      <c r="PYE105" s="530"/>
      <c r="PYF105" s="531"/>
      <c r="PYG105" s="530"/>
      <c r="PYH105" s="531"/>
      <c r="PYI105" s="530"/>
      <c r="PYJ105" s="531"/>
      <c r="PYK105" s="530"/>
      <c r="PYL105" s="531"/>
      <c r="PYM105" s="530"/>
      <c r="PYN105" s="531"/>
      <c r="PYO105" s="530"/>
      <c r="PYP105" s="531"/>
      <c r="PYQ105" s="530"/>
      <c r="PYR105" s="531"/>
      <c r="PYS105" s="530"/>
      <c r="PYT105" s="531"/>
      <c r="PYU105" s="530"/>
      <c r="PYV105" s="531"/>
      <c r="PYW105" s="530"/>
      <c r="PYX105" s="531"/>
      <c r="PYY105" s="530"/>
      <c r="PYZ105" s="531"/>
      <c r="PZA105" s="530"/>
      <c r="PZB105" s="531"/>
      <c r="PZC105" s="530"/>
      <c r="PZD105" s="531"/>
      <c r="PZE105" s="530"/>
      <c r="PZF105" s="531"/>
      <c r="PZG105" s="530"/>
      <c r="PZH105" s="531"/>
      <c r="PZI105" s="530"/>
      <c r="PZJ105" s="531"/>
      <c r="PZK105" s="530"/>
      <c r="PZL105" s="531"/>
      <c r="PZM105" s="530"/>
      <c r="PZN105" s="531"/>
      <c r="PZO105" s="530"/>
      <c r="PZP105" s="531"/>
      <c r="PZQ105" s="530"/>
      <c r="PZR105" s="531"/>
      <c r="PZS105" s="530"/>
      <c r="PZT105" s="531"/>
      <c r="PZU105" s="530"/>
      <c r="PZV105" s="531"/>
      <c r="PZW105" s="530"/>
      <c r="PZX105" s="531"/>
      <c r="PZY105" s="530"/>
      <c r="PZZ105" s="531"/>
      <c r="QAA105" s="530"/>
      <c r="QAB105" s="531"/>
      <c r="QAC105" s="530"/>
      <c r="QAD105" s="531"/>
      <c r="QAE105" s="530"/>
      <c r="QAF105" s="531"/>
      <c r="QAG105" s="530"/>
      <c r="QAH105" s="531"/>
      <c r="QAI105" s="530"/>
      <c r="QAJ105" s="531"/>
      <c r="QAK105" s="530"/>
      <c r="QAL105" s="531"/>
      <c r="QAM105" s="530"/>
      <c r="QAN105" s="531"/>
      <c r="QAO105" s="530"/>
      <c r="QAP105" s="531"/>
      <c r="QAQ105" s="530"/>
      <c r="QAR105" s="531"/>
      <c r="QAS105" s="530"/>
      <c r="QAT105" s="531"/>
      <c r="QAU105" s="530"/>
      <c r="QAV105" s="531"/>
      <c r="QAW105" s="530"/>
      <c r="QAX105" s="531"/>
      <c r="QAY105" s="530"/>
      <c r="QAZ105" s="531"/>
      <c r="QBA105" s="530"/>
      <c r="QBB105" s="531"/>
      <c r="QBC105" s="530"/>
      <c r="QBD105" s="531"/>
      <c r="QBE105" s="530"/>
      <c r="QBF105" s="531"/>
      <c r="QBG105" s="530"/>
      <c r="QBH105" s="531"/>
      <c r="QBI105" s="530"/>
      <c r="QBJ105" s="531"/>
      <c r="QBK105" s="530"/>
      <c r="QBL105" s="531"/>
      <c r="QBM105" s="530"/>
      <c r="QBN105" s="531"/>
      <c r="QBO105" s="530"/>
      <c r="QBP105" s="531"/>
      <c r="QBQ105" s="530"/>
      <c r="QBR105" s="531"/>
      <c r="QBS105" s="530"/>
      <c r="QBT105" s="531"/>
      <c r="QBU105" s="530"/>
      <c r="QBV105" s="531"/>
      <c r="QBW105" s="530"/>
      <c r="QBX105" s="531"/>
      <c r="QBY105" s="530"/>
      <c r="QBZ105" s="531"/>
      <c r="QCA105" s="530"/>
      <c r="QCB105" s="531"/>
      <c r="QCC105" s="530"/>
      <c r="QCD105" s="531"/>
      <c r="QCE105" s="530"/>
      <c r="QCF105" s="531"/>
      <c r="QCG105" s="530"/>
      <c r="QCH105" s="531"/>
      <c r="QCI105" s="530"/>
      <c r="QCJ105" s="531"/>
      <c r="QCK105" s="530"/>
      <c r="QCL105" s="531"/>
      <c r="QCM105" s="530"/>
      <c r="QCN105" s="531"/>
      <c r="QCO105" s="530"/>
      <c r="QCP105" s="531"/>
      <c r="QCQ105" s="530"/>
      <c r="QCR105" s="531"/>
      <c r="QCS105" s="530"/>
      <c r="QCT105" s="531"/>
      <c r="QCU105" s="530"/>
      <c r="QCV105" s="531"/>
      <c r="QCW105" s="530"/>
      <c r="QCX105" s="531"/>
      <c r="QCY105" s="530"/>
      <c r="QCZ105" s="531"/>
      <c r="QDA105" s="530"/>
      <c r="QDB105" s="531"/>
      <c r="QDC105" s="530"/>
      <c r="QDD105" s="531"/>
      <c r="QDE105" s="530"/>
      <c r="QDF105" s="531"/>
      <c r="QDG105" s="530"/>
      <c r="QDH105" s="531"/>
      <c r="QDI105" s="530"/>
      <c r="QDJ105" s="531"/>
      <c r="QDK105" s="530"/>
      <c r="QDL105" s="531"/>
      <c r="QDM105" s="530"/>
      <c r="QDN105" s="531"/>
      <c r="QDO105" s="530"/>
      <c r="QDP105" s="531"/>
      <c r="QDQ105" s="530"/>
      <c r="QDR105" s="531"/>
      <c r="QDS105" s="530"/>
      <c r="QDT105" s="531"/>
      <c r="QDU105" s="530"/>
      <c r="QDV105" s="531"/>
      <c r="QDW105" s="530"/>
      <c r="QDX105" s="531"/>
      <c r="QDY105" s="530"/>
      <c r="QDZ105" s="531"/>
      <c r="QEA105" s="530"/>
      <c r="QEB105" s="531"/>
      <c r="QEC105" s="530"/>
      <c r="QED105" s="531"/>
      <c r="QEE105" s="530"/>
      <c r="QEF105" s="531"/>
      <c r="QEG105" s="530"/>
      <c r="QEH105" s="531"/>
      <c r="QEI105" s="530"/>
      <c r="QEJ105" s="531"/>
      <c r="QEK105" s="530"/>
      <c r="QEL105" s="531"/>
      <c r="QEM105" s="530"/>
      <c r="QEN105" s="531"/>
      <c r="QEO105" s="530"/>
      <c r="QEP105" s="531"/>
      <c r="QEQ105" s="530"/>
      <c r="QER105" s="531"/>
      <c r="QES105" s="530"/>
      <c r="QET105" s="531"/>
      <c r="QEU105" s="530"/>
      <c r="QEV105" s="531"/>
      <c r="QEW105" s="530"/>
      <c r="QEX105" s="531"/>
      <c r="QEY105" s="530"/>
      <c r="QEZ105" s="531"/>
      <c r="QFA105" s="530"/>
      <c r="QFB105" s="531"/>
      <c r="QFC105" s="530"/>
      <c r="QFD105" s="531"/>
      <c r="QFE105" s="530"/>
      <c r="QFF105" s="531"/>
      <c r="QFG105" s="530"/>
      <c r="QFH105" s="531"/>
      <c r="QFI105" s="530"/>
      <c r="QFJ105" s="531"/>
      <c r="QFK105" s="530"/>
      <c r="QFL105" s="531"/>
      <c r="QFM105" s="530"/>
      <c r="QFN105" s="531"/>
      <c r="QFO105" s="530"/>
      <c r="QFP105" s="531"/>
      <c r="QFQ105" s="530"/>
      <c r="QFR105" s="531"/>
      <c r="QFS105" s="530"/>
      <c r="QFT105" s="531"/>
      <c r="QFU105" s="530"/>
      <c r="QFV105" s="531"/>
      <c r="QFW105" s="530"/>
      <c r="QFX105" s="531"/>
      <c r="QFY105" s="530"/>
      <c r="QFZ105" s="531"/>
      <c r="QGA105" s="530"/>
      <c r="QGB105" s="531"/>
      <c r="QGC105" s="530"/>
      <c r="QGD105" s="531"/>
      <c r="QGE105" s="530"/>
      <c r="QGF105" s="531"/>
      <c r="QGG105" s="530"/>
      <c r="QGH105" s="531"/>
      <c r="QGI105" s="530"/>
      <c r="QGJ105" s="531"/>
      <c r="QGK105" s="530"/>
      <c r="QGL105" s="531"/>
      <c r="QGM105" s="530"/>
      <c r="QGN105" s="531"/>
      <c r="QGO105" s="530"/>
      <c r="QGP105" s="531"/>
      <c r="QGQ105" s="530"/>
      <c r="QGR105" s="531"/>
      <c r="QGS105" s="530"/>
      <c r="QGT105" s="531"/>
      <c r="QGU105" s="530"/>
      <c r="QGV105" s="531"/>
      <c r="QGW105" s="530"/>
      <c r="QGX105" s="531"/>
      <c r="QGY105" s="530"/>
      <c r="QGZ105" s="531"/>
      <c r="QHA105" s="530"/>
      <c r="QHB105" s="531"/>
      <c r="QHC105" s="530"/>
      <c r="QHD105" s="531"/>
      <c r="QHE105" s="530"/>
      <c r="QHF105" s="531"/>
      <c r="QHG105" s="530"/>
      <c r="QHH105" s="531"/>
      <c r="QHI105" s="530"/>
      <c r="QHJ105" s="531"/>
      <c r="QHK105" s="530"/>
      <c r="QHL105" s="531"/>
      <c r="QHM105" s="530"/>
      <c r="QHN105" s="531"/>
      <c r="QHO105" s="530"/>
      <c r="QHP105" s="531"/>
      <c r="QHQ105" s="530"/>
      <c r="QHR105" s="531"/>
      <c r="QHS105" s="530"/>
      <c r="QHT105" s="531"/>
      <c r="QHU105" s="530"/>
      <c r="QHV105" s="531"/>
      <c r="QHW105" s="530"/>
      <c r="QHX105" s="531"/>
      <c r="QHY105" s="530"/>
      <c r="QHZ105" s="531"/>
      <c r="QIA105" s="530"/>
      <c r="QIB105" s="531"/>
      <c r="QIC105" s="530"/>
      <c r="QID105" s="531"/>
      <c r="QIE105" s="530"/>
      <c r="QIF105" s="531"/>
      <c r="QIG105" s="530"/>
      <c r="QIH105" s="531"/>
      <c r="QII105" s="530"/>
      <c r="QIJ105" s="531"/>
      <c r="QIK105" s="530"/>
      <c r="QIL105" s="531"/>
      <c r="QIM105" s="530"/>
      <c r="QIN105" s="531"/>
      <c r="QIO105" s="530"/>
      <c r="QIP105" s="531"/>
      <c r="QIQ105" s="530"/>
      <c r="QIR105" s="531"/>
      <c r="QIS105" s="530"/>
      <c r="QIT105" s="531"/>
      <c r="QIU105" s="530"/>
      <c r="QIV105" s="531"/>
      <c r="QIW105" s="530"/>
      <c r="QIX105" s="531"/>
      <c r="QIY105" s="530"/>
      <c r="QIZ105" s="531"/>
      <c r="QJA105" s="530"/>
      <c r="QJB105" s="531"/>
      <c r="QJC105" s="530"/>
      <c r="QJD105" s="531"/>
      <c r="QJE105" s="530"/>
      <c r="QJF105" s="531"/>
      <c r="QJG105" s="530"/>
      <c r="QJH105" s="531"/>
      <c r="QJI105" s="530"/>
      <c r="QJJ105" s="531"/>
      <c r="QJK105" s="530"/>
      <c r="QJL105" s="531"/>
      <c r="QJM105" s="530"/>
      <c r="QJN105" s="531"/>
      <c r="QJO105" s="530"/>
      <c r="QJP105" s="531"/>
      <c r="QJQ105" s="530"/>
      <c r="QJR105" s="531"/>
      <c r="QJS105" s="530"/>
      <c r="QJT105" s="531"/>
      <c r="QJU105" s="530"/>
      <c r="QJV105" s="531"/>
      <c r="QJW105" s="530"/>
      <c r="QJX105" s="531"/>
      <c r="QJY105" s="530"/>
      <c r="QJZ105" s="531"/>
      <c r="QKA105" s="530"/>
      <c r="QKB105" s="531"/>
      <c r="QKC105" s="530"/>
      <c r="QKD105" s="531"/>
      <c r="QKE105" s="530"/>
      <c r="QKF105" s="531"/>
      <c r="QKG105" s="530"/>
      <c r="QKH105" s="531"/>
      <c r="QKI105" s="530"/>
      <c r="QKJ105" s="531"/>
      <c r="QKK105" s="530"/>
      <c r="QKL105" s="531"/>
      <c r="QKM105" s="530"/>
      <c r="QKN105" s="531"/>
      <c r="QKO105" s="530"/>
      <c r="QKP105" s="531"/>
      <c r="QKQ105" s="530"/>
      <c r="QKR105" s="531"/>
      <c r="QKS105" s="530"/>
      <c r="QKT105" s="531"/>
      <c r="QKU105" s="530"/>
      <c r="QKV105" s="531"/>
      <c r="QKW105" s="530"/>
      <c r="QKX105" s="531"/>
      <c r="QKY105" s="530"/>
      <c r="QKZ105" s="531"/>
      <c r="QLA105" s="530"/>
      <c r="QLB105" s="531"/>
      <c r="QLC105" s="530"/>
      <c r="QLD105" s="531"/>
      <c r="QLE105" s="530"/>
      <c r="QLF105" s="531"/>
      <c r="QLG105" s="530"/>
      <c r="QLH105" s="531"/>
      <c r="QLI105" s="530"/>
      <c r="QLJ105" s="531"/>
      <c r="QLK105" s="530"/>
      <c r="QLL105" s="531"/>
      <c r="QLM105" s="530"/>
      <c r="QLN105" s="531"/>
      <c r="QLO105" s="530"/>
      <c r="QLP105" s="531"/>
      <c r="QLQ105" s="530"/>
      <c r="QLR105" s="531"/>
      <c r="QLS105" s="530"/>
      <c r="QLT105" s="531"/>
      <c r="QLU105" s="530"/>
      <c r="QLV105" s="531"/>
      <c r="QLW105" s="530"/>
      <c r="QLX105" s="531"/>
      <c r="QLY105" s="530"/>
      <c r="QLZ105" s="531"/>
      <c r="QMA105" s="530"/>
      <c r="QMB105" s="531"/>
      <c r="QMC105" s="530"/>
      <c r="QMD105" s="531"/>
      <c r="QME105" s="530"/>
      <c r="QMF105" s="531"/>
      <c r="QMG105" s="530"/>
      <c r="QMH105" s="531"/>
      <c r="QMI105" s="530"/>
      <c r="QMJ105" s="531"/>
      <c r="QMK105" s="530"/>
      <c r="QML105" s="531"/>
      <c r="QMM105" s="530"/>
      <c r="QMN105" s="531"/>
      <c r="QMO105" s="530"/>
      <c r="QMP105" s="531"/>
      <c r="QMQ105" s="530"/>
      <c r="QMR105" s="531"/>
      <c r="QMS105" s="530"/>
      <c r="QMT105" s="531"/>
      <c r="QMU105" s="530"/>
      <c r="QMV105" s="531"/>
      <c r="QMW105" s="530"/>
      <c r="QMX105" s="531"/>
      <c r="QMY105" s="530"/>
      <c r="QMZ105" s="531"/>
      <c r="QNA105" s="530"/>
      <c r="QNB105" s="531"/>
      <c r="QNC105" s="530"/>
      <c r="QND105" s="531"/>
      <c r="QNE105" s="530"/>
      <c r="QNF105" s="531"/>
      <c r="QNG105" s="530"/>
      <c r="QNH105" s="531"/>
      <c r="QNI105" s="530"/>
      <c r="QNJ105" s="531"/>
      <c r="QNK105" s="530"/>
      <c r="QNL105" s="531"/>
      <c r="QNM105" s="530"/>
      <c r="QNN105" s="531"/>
      <c r="QNO105" s="530"/>
      <c r="QNP105" s="531"/>
      <c r="QNQ105" s="530"/>
      <c r="QNR105" s="531"/>
      <c r="QNS105" s="530"/>
      <c r="QNT105" s="531"/>
      <c r="QNU105" s="530"/>
      <c r="QNV105" s="531"/>
      <c r="QNW105" s="530"/>
      <c r="QNX105" s="531"/>
      <c r="QNY105" s="530"/>
      <c r="QNZ105" s="531"/>
      <c r="QOA105" s="530"/>
      <c r="QOB105" s="531"/>
      <c r="QOC105" s="530"/>
      <c r="QOD105" s="531"/>
      <c r="QOE105" s="530"/>
      <c r="QOF105" s="531"/>
      <c r="QOG105" s="530"/>
      <c r="QOH105" s="531"/>
      <c r="QOI105" s="530"/>
      <c r="QOJ105" s="531"/>
      <c r="QOK105" s="530"/>
      <c r="QOL105" s="531"/>
      <c r="QOM105" s="530"/>
      <c r="QON105" s="531"/>
      <c r="QOO105" s="530"/>
      <c r="QOP105" s="531"/>
      <c r="QOQ105" s="530"/>
      <c r="QOR105" s="531"/>
      <c r="QOS105" s="530"/>
      <c r="QOT105" s="531"/>
      <c r="QOU105" s="530"/>
      <c r="QOV105" s="531"/>
      <c r="QOW105" s="530"/>
      <c r="QOX105" s="531"/>
      <c r="QOY105" s="530"/>
      <c r="QOZ105" s="531"/>
      <c r="QPA105" s="530"/>
      <c r="QPB105" s="531"/>
      <c r="QPC105" s="530"/>
      <c r="QPD105" s="531"/>
      <c r="QPE105" s="530"/>
      <c r="QPF105" s="531"/>
      <c r="QPG105" s="530"/>
      <c r="QPH105" s="531"/>
      <c r="QPI105" s="530"/>
      <c r="QPJ105" s="531"/>
      <c r="QPK105" s="530"/>
      <c r="QPL105" s="531"/>
      <c r="QPM105" s="530"/>
      <c r="QPN105" s="531"/>
      <c r="QPO105" s="530"/>
      <c r="QPP105" s="531"/>
      <c r="QPQ105" s="530"/>
      <c r="QPR105" s="531"/>
      <c r="QPS105" s="530"/>
      <c r="QPT105" s="531"/>
      <c r="QPU105" s="530"/>
      <c r="QPV105" s="531"/>
      <c r="QPW105" s="530"/>
      <c r="QPX105" s="531"/>
      <c r="QPY105" s="530"/>
      <c r="QPZ105" s="531"/>
      <c r="QQA105" s="530"/>
      <c r="QQB105" s="531"/>
      <c r="QQC105" s="530"/>
      <c r="QQD105" s="531"/>
      <c r="QQE105" s="530"/>
      <c r="QQF105" s="531"/>
      <c r="QQG105" s="530"/>
      <c r="QQH105" s="531"/>
      <c r="QQI105" s="530"/>
      <c r="QQJ105" s="531"/>
      <c r="QQK105" s="530"/>
      <c r="QQL105" s="531"/>
      <c r="QQM105" s="530"/>
      <c r="QQN105" s="531"/>
      <c r="QQO105" s="530"/>
      <c r="QQP105" s="531"/>
      <c r="QQQ105" s="530"/>
      <c r="QQR105" s="531"/>
      <c r="QQS105" s="530"/>
      <c r="QQT105" s="531"/>
      <c r="QQU105" s="530"/>
      <c r="QQV105" s="531"/>
      <c r="QQW105" s="530"/>
      <c r="QQX105" s="531"/>
      <c r="QQY105" s="530"/>
      <c r="QQZ105" s="531"/>
      <c r="QRA105" s="530"/>
      <c r="QRB105" s="531"/>
      <c r="QRC105" s="530"/>
      <c r="QRD105" s="531"/>
      <c r="QRE105" s="530"/>
      <c r="QRF105" s="531"/>
      <c r="QRG105" s="530"/>
      <c r="QRH105" s="531"/>
      <c r="QRI105" s="530"/>
      <c r="QRJ105" s="531"/>
      <c r="QRK105" s="530"/>
      <c r="QRL105" s="531"/>
      <c r="QRM105" s="530"/>
      <c r="QRN105" s="531"/>
      <c r="QRO105" s="530"/>
      <c r="QRP105" s="531"/>
      <c r="QRQ105" s="530"/>
      <c r="QRR105" s="531"/>
      <c r="QRS105" s="530"/>
      <c r="QRT105" s="531"/>
      <c r="QRU105" s="530"/>
      <c r="QRV105" s="531"/>
      <c r="QRW105" s="530"/>
      <c r="QRX105" s="531"/>
      <c r="QRY105" s="530"/>
      <c r="QRZ105" s="531"/>
      <c r="QSA105" s="530"/>
      <c r="QSB105" s="531"/>
      <c r="QSC105" s="530"/>
      <c r="QSD105" s="531"/>
      <c r="QSE105" s="530"/>
      <c r="QSF105" s="531"/>
      <c r="QSG105" s="530"/>
      <c r="QSH105" s="531"/>
      <c r="QSI105" s="530"/>
      <c r="QSJ105" s="531"/>
      <c r="QSK105" s="530"/>
      <c r="QSL105" s="531"/>
      <c r="QSM105" s="530"/>
      <c r="QSN105" s="531"/>
      <c r="QSO105" s="530"/>
      <c r="QSP105" s="531"/>
      <c r="QSQ105" s="530"/>
      <c r="QSR105" s="531"/>
      <c r="QSS105" s="530"/>
      <c r="QST105" s="531"/>
      <c r="QSU105" s="530"/>
      <c r="QSV105" s="531"/>
      <c r="QSW105" s="530"/>
      <c r="QSX105" s="531"/>
      <c r="QSY105" s="530"/>
      <c r="QSZ105" s="531"/>
      <c r="QTA105" s="530"/>
      <c r="QTB105" s="531"/>
      <c r="QTC105" s="530"/>
      <c r="QTD105" s="531"/>
      <c r="QTE105" s="530"/>
      <c r="QTF105" s="531"/>
      <c r="QTG105" s="530"/>
      <c r="QTH105" s="531"/>
      <c r="QTI105" s="530"/>
      <c r="QTJ105" s="531"/>
      <c r="QTK105" s="530"/>
      <c r="QTL105" s="531"/>
      <c r="QTM105" s="530"/>
      <c r="QTN105" s="531"/>
      <c r="QTO105" s="530"/>
      <c r="QTP105" s="531"/>
      <c r="QTQ105" s="530"/>
      <c r="QTR105" s="531"/>
      <c r="QTS105" s="530"/>
      <c r="QTT105" s="531"/>
      <c r="QTU105" s="530"/>
      <c r="QTV105" s="531"/>
      <c r="QTW105" s="530"/>
      <c r="QTX105" s="531"/>
      <c r="QTY105" s="530"/>
      <c r="QTZ105" s="531"/>
      <c r="QUA105" s="530"/>
      <c r="QUB105" s="531"/>
      <c r="QUC105" s="530"/>
      <c r="QUD105" s="531"/>
      <c r="QUE105" s="530"/>
      <c r="QUF105" s="531"/>
      <c r="QUG105" s="530"/>
      <c r="QUH105" s="531"/>
      <c r="QUI105" s="530"/>
      <c r="QUJ105" s="531"/>
      <c r="QUK105" s="530"/>
      <c r="QUL105" s="531"/>
      <c r="QUM105" s="530"/>
      <c r="QUN105" s="531"/>
      <c r="QUO105" s="530"/>
      <c r="QUP105" s="531"/>
      <c r="QUQ105" s="530"/>
      <c r="QUR105" s="531"/>
      <c r="QUS105" s="530"/>
      <c r="QUT105" s="531"/>
      <c r="QUU105" s="530"/>
      <c r="QUV105" s="531"/>
      <c r="QUW105" s="530"/>
      <c r="QUX105" s="531"/>
      <c r="QUY105" s="530"/>
      <c r="QUZ105" s="531"/>
      <c r="QVA105" s="530"/>
      <c r="QVB105" s="531"/>
      <c r="QVC105" s="530"/>
      <c r="QVD105" s="531"/>
      <c r="QVE105" s="530"/>
      <c r="QVF105" s="531"/>
      <c r="QVG105" s="530"/>
      <c r="QVH105" s="531"/>
      <c r="QVI105" s="530"/>
      <c r="QVJ105" s="531"/>
      <c r="QVK105" s="530"/>
      <c r="QVL105" s="531"/>
      <c r="QVM105" s="530"/>
      <c r="QVN105" s="531"/>
      <c r="QVO105" s="530"/>
      <c r="QVP105" s="531"/>
      <c r="QVQ105" s="530"/>
      <c r="QVR105" s="531"/>
      <c r="QVS105" s="530"/>
      <c r="QVT105" s="531"/>
      <c r="QVU105" s="530"/>
      <c r="QVV105" s="531"/>
      <c r="QVW105" s="530"/>
      <c r="QVX105" s="531"/>
      <c r="QVY105" s="530"/>
      <c r="QVZ105" s="531"/>
      <c r="QWA105" s="530"/>
      <c r="QWB105" s="531"/>
      <c r="QWC105" s="530"/>
      <c r="QWD105" s="531"/>
      <c r="QWE105" s="530"/>
      <c r="QWF105" s="531"/>
      <c r="QWG105" s="530"/>
      <c r="QWH105" s="531"/>
      <c r="QWI105" s="530"/>
      <c r="QWJ105" s="531"/>
      <c r="QWK105" s="530"/>
      <c r="QWL105" s="531"/>
      <c r="QWM105" s="530"/>
      <c r="QWN105" s="531"/>
      <c r="QWO105" s="530"/>
      <c r="QWP105" s="531"/>
      <c r="QWQ105" s="530"/>
      <c r="QWR105" s="531"/>
      <c r="QWS105" s="530"/>
      <c r="QWT105" s="531"/>
      <c r="QWU105" s="530"/>
      <c r="QWV105" s="531"/>
      <c r="QWW105" s="530"/>
      <c r="QWX105" s="531"/>
      <c r="QWY105" s="530"/>
      <c r="QWZ105" s="531"/>
      <c r="QXA105" s="530"/>
      <c r="QXB105" s="531"/>
      <c r="QXC105" s="530"/>
      <c r="QXD105" s="531"/>
      <c r="QXE105" s="530"/>
      <c r="QXF105" s="531"/>
      <c r="QXG105" s="530"/>
      <c r="QXH105" s="531"/>
      <c r="QXI105" s="530"/>
      <c r="QXJ105" s="531"/>
      <c r="QXK105" s="530"/>
      <c r="QXL105" s="531"/>
      <c r="QXM105" s="530"/>
      <c r="QXN105" s="531"/>
      <c r="QXO105" s="530"/>
      <c r="QXP105" s="531"/>
      <c r="QXQ105" s="530"/>
      <c r="QXR105" s="531"/>
      <c r="QXS105" s="530"/>
      <c r="QXT105" s="531"/>
      <c r="QXU105" s="530"/>
      <c r="QXV105" s="531"/>
      <c r="QXW105" s="530"/>
      <c r="QXX105" s="531"/>
      <c r="QXY105" s="530"/>
      <c r="QXZ105" s="531"/>
      <c r="QYA105" s="530"/>
      <c r="QYB105" s="531"/>
      <c r="QYC105" s="530"/>
      <c r="QYD105" s="531"/>
      <c r="QYE105" s="530"/>
      <c r="QYF105" s="531"/>
      <c r="QYG105" s="530"/>
      <c r="QYH105" s="531"/>
      <c r="QYI105" s="530"/>
      <c r="QYJ105" s="531"/>
      <c r="QYK105" s="530"/>
      <c r="QYL105" s="531"/>
      <c r="QYM105" s="530"/>
      <c r="QYN105" s="531"/>
      <c r="QYO105" s="530"/>
      <c r="QYP105" s="531"/>
      <c r="QYQ105" s="530"/>
      <c r="QYR105" s="531"/>
      <c r="QYS105" s="530"/>
      <c r="QYT105" s="531"/>
      <c r="QYU105" s="530"/>
      <c r="QYV105" s="531"/>
      <c r="QYW105" s="530"/>
      <c r="QYX105" s="531"/>
      <c r="QYY105" s="530"/>
      <c r="QYZ105" s="531"/>
      <c r="QZA105" s="530"/>
      <c r="QZB105" s="531"/>
      <c r="QZC105" s="530"/>
      <c r="QZD105" s="531"/>
      <c r="QZE105" s="530"/>
      <c r="QZF105" s="531"/>
      <c r="QZG105" s="530"/>
      <c r="QZH105" s="531"/>
      <c r="QZI105" s="530"/>
      <c r="QZJ105" s="531"/>
      <c r="QZK105" s="530"/>
      <c r="QZL105" s="531"/>
      <c r="QZM105" s="530"/>
      <c r="QZN105" s="531"/>
      <c r="QZO105" s="530"/>
      <c r="QZP105" s="531"/>
      <c r="QZQ105" s="530"/>
      <c r="QZR105" s="531"/>
      <c r="QZS105" s="530"/>
      <c r="QZT105" s="531"/>
      <c r="QZU105" s="530"/>
      <c r="QZV105" s="531"/>
      <c r="QZW105" s="530"/>
      <c r="QZX105" s="531"/>
      <c r="QZY105" s="530"/>
      <c r="QZZ105" s="531"/>
      <c r="RAA105" s="530"/>
      <c r="RAB105" s="531"/>
      <c r="RAC105" s="530"/>
      <c r="RAD105" s="531"/>
      <c r="RAE105" s="530"/>
      <c r="RAF105" s="531"/>
      <c r="RAG105" s="530"/>
      <c r="RAH105" s="531"/>
      <c r="RAI105" s="530"/>
      <c r="RAJ105" s="531"/>
      <c r="RAK105" s="530"/>
      <c r="RAL105" s="531"/>
      <c r="RAM105" s="530"/>
      <c r="RAN105" s="531"/>
      <c r="RAO105" s="530"/>
      <c r="RAP105" s="531"/>
      <c r="RAQ105" s="530"/>
      <c r="RAR105" s="531"/>
      <c r="RAS105" s="530"/>
      <c r="RAT105" s="531"/>
      <c r="RAU105" s="530"/>
      <c r="RAV105" s="531"/>
      <c r="RAW105" s="530"/>
      <c r="RAX105" s="531"/>
      <c r="RAY105" s="530"/>
      <c r="RAZ105" s="531"/>
      <c r="RBA105" s="530"/>
      <c r="RBB105" s="531"/>
      <c r="RBC105" s="530"/>
      <c r="RBD105" s="531"/>
      <c r="RBE105" s="530"/>
      <c r="RBF105" s="531"/>
      <c r="RBG105" s="530"/>
      <c r="RBH105" s="531"/>
      <c r="RBI105" s="530"/>
      <c r="RBJ105" s="531"/>
      <c r="RBK105" s="530"/>
      <c r="RBL105" s="531"/>
      <c r="RBM105" s="530"/>
      <c r="RBN105" s="531"/>
      <c r="RBO105" s="530"/>
      <c r="RBP105" s="531"/>
      <c r="RBQ105" s="530"/>
      <c r="RBR105" s="531"/>
      <c r="RBS105" s="530"/>
      <c r="RBT105" s="531"/>
      <c r="RBU105" s="530"/>
      <c r="RBV105" s="531"/>
      <c r="RBW105" s="530"/>
      <c r="RBX105" s="531"/>
      <c r="RBY105" s="530"/>
      <c r="RBZ105" s="531"/>
      <c r="RCA105" s="530"/>
      <c r="RCB105" s="531"/>
      <c r="RCC105" s="530"/>
      <c r="RCD105" s="531"/>
      <c r="RCE105" s="530"/>
      <c r="RCF105" s="531"/>
      <c r="RCG105" s="530"/>
      <c r="RCH105" s="531"/>
      <c r="RCI105" s="530"/>
      <c r="RCJ105" s="531"/>
      <c r="RCK105" s="530"/>
      <c r="RCL105" s="531"/>
      <c r="RCM105" s="530"/>
      <c r="RCN105" s="531"/>
      <c r="RCO105" s="530"/>
      <c r="RCP105" s="531"/>
      <c r="RCQ105" s="530"/>
      <c r="RCR105" s="531"/>
      <c r="RCS105" s="530"/>
      <c r="RCT105" s="531"/>
      <c r="RCU105" s="530"/>
      <c r="RCV105" s="531"/>
      <c r="RCW105" s="530"/>
      <c r="RCX105" s="531"/>
      <c r="RCY105" s="530"/>
      <c r="RCZ105" s="531"/>
      <c r="RDA105" s="530"/>
      <c r="RDB105" s="531"/>
      <c r="RDC105" s="530"/>
      <c r="RDD105" s="531"/>
      <c r="RDE105" s="530"/>
      <c r="RDF105" s="531"/>
      <c r="RDG105" s="530"/>
      <c r="RDH105" s="531"/>
      <c r="RDI105" s="530"/>
      <c r="RDJ105" s="531"/>
      <c r="RDK105" s="530"/>
      <c r="RDL105" s="531"/>
      <c r="RDM105" s="530"/>
      <c r="RDN105" s="531"/>
      <c r="RDO105" s="530"/>
      <c r="RDP105" s="531"/>
      <c r="RDQ105" s="530"/>
      <c r="RDR105" s="531"/>
      <c r="RDS105" s="530"/>
      <c r="RDT105" s="531"/>
      <c r="RDU105" s="530"/>
      <c r="RDV105" s="531"/>
      <c r="RDW105" s="530"/>
      <c r="RDX105" s="531"/>
      <c r="RDY105" s="530"/>
      <c r="RDZ105" s="531"/>
      <c r="REA105" s="530"/>
      <c r="REB105" s="531"/>
      <c r="REC105" s="530"/>
      <c r="RED105" s="531"/>
      <c r="REE105" s="530"/>
      <c r="REF105" s="531"/>
      <c r="REG105" s="530"/>
      <c r="REH105" s="531"/>
      <c r="REI105" s="530"/>
      <c r="REJ105" s="531"/>
      <c r="REK105" s="530"/>
      <c r="REL105" s="531"/>
      <c r="REM105" s="530"/>
      <c r="REN105" s="531"/>
      <c r="REO105" s="530"/>
      <c r="REP105" s="531"/>
      <c r="REQ105" s="530"/>
      <c r="RER105" s="531"/>
      <c r="RES105" s="530"/>
      <c r="RET105" s="531"/>
      <c r="REU105" s="530"/>
      <c r="REV105" s="531"/>
      <c r="REW105" s="530"/>
      <c r="REX105" s="531"/>
      <c r="REY105" s="530"/>
      <c r="REZ105" s="531"/>
      <c r="RFA105" s="530"/>
      <c r="RFB105" s="531"/>
      <c r="RFC105" s="530"/>
      <c r="RFD105" s="531"/>
      <c r="RFE105" s="530"/>
      <c r="RFF105" s="531"/>
      <c r="RFG105" s="530"/>
      <c r="RFH105" s="531"/>
      <c r="RFI105" s="530"/>
      <c r="RFJ105" s="531"/>
      <c r="RFK105" s="530"/>
      <c r="RFL105" s="531"/>
      <c r="RFM105" s="530"/>
      <c r="RFN105" s="531"/>
      <c r="RFO105" s="530"/>
      <c r="RFP105" s="531"/>
      <c r="RFQ105" s="530"/>
      <c r="RFR105" s="531"/>
      <c r="RFS105" s="530"/>
      <c r="RFT105" s="531"/>
      <c r="RFU105" s="530"/>
      <c r="RFV105" s="531"/>
      <c r="RFW105" s="530"/>
      <c r="RFX105" s="531"/>
      <c r="RFY105" s="530"/>
      <c r="RFZ105" s="531"/>
      <c r="RGA105" s="530"/>
      <c r="RGB105" s="531"/>
      <c r="RGC105" s="530"/>
      <c r="RGD105" s="531"/>
      <c r="RGE105" s="530"/>
      <c r="RGF105" s="531"/>
      <c r="RGG105" s="530"/>
      <c r="RGH105" s="531"/>
      <c r="RGI105" s="530"/>
      <c r="RGJ105" s="531"/>
      <c r="RGK105" s="530"/>
      <c r="RGL105" s="531"/>
      <c r="RGM105" s="530"/>
      <c r="RGN105" s="531"/>
      <c r="RGO105" s="530"/>
      <c r="RGP105" s="531"/>
      <c r="RGQ105" s="530"/>
      <c r="RGR105" s="531"/>
      <c r="RGS105" s="530"/>
      <c r="RGT105" s="531"/>
      <c r="RGU105" s="530"/>
      <c r="RGV105" s="531"/>
      <c r="RGW105" s="530"/>
      <c r="RGX105" s="531"/>
      <c r="RGY105" s="530"/>
      <c r="RGZ105" s="531"/>
      <c r="RHA105" s="530"/>
      <c r="RHB105" s="531"/>
      <c r="RHC105" s="530"/>
      <c r="RHD105" s="531"/>
      <c r="RHE105" s="530"/>
      <c r="RHF105" s="531"/>
      <c r="RHG105" s="530"/>
      <c r="RHH105" s="531"/>
      <c r="RHI105" s="530"/>
      <c r="RHJ105" s="531"/>
      <c r="RHK105" s="530"/>
      <c r="RHL105" s="531"/>
      <c r="RHM105" s="530"/>
      <c r="RHN105" s="531"/>
      <c r="RHO105" s="530"/>
      <c r="RHP105" s="531"/>
      <c r="RHQ105" s="530"/>
      <c r="RHR105" s="531"/>
      <c r="RHS105" s="530"/>
      <c r="RHT105" s="531"/>
      <c r="RHU105" s="530"/>
      <c r="RHV105" s="531"/>
      <c r="RHW105" s="530"/>
      <c r="RHX105" s="531"/>
      <c r="RHY105" s="530"/>
      <c r="RHZ105" s="531"/>
      <c r="RIA105" s="530"/>
      <c r="RIB105" s="531"/>
      <c r="RIC105" s="530"/>
      <c r="RID105" s="531"/>
      <c r="RIE105" s="530"/>
      <c r="RIF105" s="531"/>
      <c r="RIG105" s="530"/>
      <c r="RIH105" s="531"/>
      <c r="RII105" s="530"/>
      <c r="RIJ105" s="531"/>
      <c r="RIK105" s="530"/>
      <c r="RIL105" s="531"/>
      <c r="RIM105" s="530"/>
      <c r="RIN105" s="531"/>
      <c r="RIO105" s="530"/>
      <c r="RIP105" s="531"/>
      <c r="RIQ105" s="530"/>
      <c r="RIR105" s="531"/>
      <c r="RIS105" s="530"/>
      <c r="RIT105" s="531"/>
      <c r="RIU105" s="530"/>
      <c r="RIV105" s="531"/>
      <c r="RIW105" s="530"/>
      <c r="RIX105" s="531"/>
      <c r="RIY105" s="530"/>
      <c r="RIZ105" s="531"/>
      <c r="RJA105" s="530"/>
      <c r="RJB105" s="531"/>
      <c r="RJC105" s="530"/>
      <c r="RJD105" s="531"/>
      <c r="RJE105" s="530"/>
      <c r="RJF105" s="531"/>
      <c r="RJG105" s="530"/>
      <c r="RJH105" s="531"/>
      <c r="RJI105" s="530"/>
      <c r="RJJ105" s="531"/>
      <c r="RJK105" s="530"/>
      <c r="RJL105" s="531"/>
      <c r="RJM105" s="530"/>
      <c r="RJN105" s="531"/>
      <c r="RJO105" s="530"/>
      <c r="RJP105" s="531"/>
      <c r="RJQ105" s="530"/>
      <c r="RJR105" s="531"/>
      <c r="RJS105" s="530"/>
      <c r="RJT105" s="531"/>
      <c r="RJU105" s="530"/>
      <c r="RJV105" s="531"/>
      <c r="RJW105" s="530"/>
      <c r="RJX105" s="531"/>
      <c r="RJY105" s="530"/>
      <c r="RJZ105" s="531"/>
      <c r="RKA105" s="530"/>
      <c r="RKB105" s="531"/>
      <c r="RKC105" s="530"/>
      <c r="RKD105" s="531"/>
      <c r="RKE105" s="530"/>
      <c r="RKF105" s="531"/>
      <c r="RKG105" s="530"/>
      <c r="RKH105" s="531"/>
      <c r="RKI105" s="530"/>
      <c r="RKJ105" s="531"/>
      <c r="RKK105" s="530"/>
      <c r="RKL105" s="531"/>
      <c r="RKM105" s="530"/>
      <c r="RKN105" s="531"/>
      <c r="RKO105" s="530"/>
      <c r="RKP105" s="531"/>
      <c r="RKQ105" s="530"/>
      <c r="RKR105" s="531"/>
      <c r="RKS105" s="530"/>
      <c r="RKT105" s="531"/>
      <c r="RKU105" s="530"/>
      <c r="RKV105" s="531"/>
      <c r="RKW105" s="530"/>
      <c r="RKX105" s="531"/>
      <c r="RKY105" s="530"/>
      <c r="RKZ105" s="531"/>
      <c r="RLA105" s="530"/>
      <c r="RLB105" s="531"/>
      <c r="RLC105" s="530"/>
      <c r="RLD105" s="531"/>
      <c r="RLE105" s="530"/>
      <c r="RLF105" s="531"/>
      <c r="RLG105" s="530"/>
      <c r="RLH105" s="531"/>
      <c r="RLI105" s="530"/>
      <c r="RLJ105" s="531"/>
      <c r="RLK105" s="530"/>
      <c r="RLL105" s="531"/>
      <c r="RLM105" s="530"/>
      <c r="RLN105" s="531"/>
      <c r="RLO105" s="530"/>
      <c r="RLP105" s="531"/>
      <c r="RLQ105" s="530"/>
      <c r="RLR105" s="531"/>
      <c r="RLS105" s="530"/>
      <c r="RLT105" s="531"/>
      <c r="RLU105" s="530"/>
      <c r="RLV105" s="531"/>
      <c r="RLW105" s="530"/>
      <c r="RLX105" s="531"/>
      <c r="RLY105" s="530"/>
      <c r="RLZ105" s="531"/>
      <c r="RMA105" s="530"/>
      <c r="RMB105" s="531"/>
      <c r="RMC105" s="530"/>
      <c r="RMD105" s="531"/>
      <c r="RME105" s="530"/>
      <c r="RMF105" s="531"/>
      <c r="RMG105" s="530"/>
      <c r="RMH105" s="531"/>
      <c r="RMI105" s="530"/>
      <c r="RMJ105" s="531"/>
      <c r="RMK105" s="530"/>
      <c r="RML105" s="531"/>
      <c r="RMM105" s="530"/>
      <c r="RMN105" s="531"/>
      <c r="RMO105" s="530"/>
      <c r="RMP105" s="531"/>
      <c r="RMQ105" s="530"/>
      <c r="RMR105" s="531"/>
      <c r="RMS105" s="530"/>
      <c r="RMT105" s="531"/>
      <c r="RMU105" s="530"/>
      <c r="RMV105" s="531"/>
      <c r="RMW105" s="530"/>
      <c r="RMX105" s="531"/>
      <c r="RMY105" s="530"/>
      <c r="RMZ105" s="531"/>
      <c r="RNA105" s="530"/>
      <c r="RNB105" s="531"/>
      <c r="RNC105" s="530"/>
      <c r="RND105" s="531"/>
      <c r="RNE105" s="530"/>
      <c r="RNF105" s="531"/>
      <c r="RNG105" s="530"/>
      <c r="RNH105" s="531"/>
      <c r="RNI105" s="530"/>
      <c r="RNJ105" s="531"/>
      <c r="RNK105" s="530"/>
      <c r="RNL105" s="531"/>
      <c r="RNM105" s="530"/>
      <c r="RNN105" s="531"/>
      <c r="RNO105" s="530"/>
      <c r="RNP105" s="531"/>
      <c r="RNQ105" s="530"/>
      <c r="RNR105" s="531"/>
      <c r="RNS105" s="530"/>
      <c r="RNT105" s="531"/>
      <c r="RNU105" s="530"/>
      <c r="RNV105" s="531"/>
      <c r="RNW105" s="530"/>
      <c r="RNX105" s="531"/>
      <c r="RNY105" s="530"/>
      <c r="RNZ105" s="531"/>
      <c r="ROA105" s="530"/>
      <c r="ROB105" s="531"/>
      <c r="ROC105" s="530"/>
      <c r="ROD105" s="531"/>
      <c r="ROE105" s="530"/>
      <c r="ROF105" s="531"/>
      <c r="ROG105" s="530"/>
      <c r="ROH105" s="531"/>
      <c r="ROI105" s="530"/>
      <c r="ROJ105" s="531"/>
      <c r="ROK105" s="530"/>
      <c r="ROL105" s="531"/>
      <c r="ROM105" s="530"/>
      <c r="RON105" s="531"/>
      <c r="ROO105" s="530"/>
      <c r="ROP105" s="531"/>
      <c r="ROQ105" s="530"/>
      <c r="ROR105" s="531"/>
      <c r="ROS105" s="530"/>
      <c r="ROT105" s="531"/>
      <c r="ROU105" s="530"/>
      <c r="ROV105" s="531"/>
      <c r="ROW105" s="530"/>
      <c r="ROX105" s="531"/>
      <c r="ROY105" s="530"/>
      <c r="ROZ105" s="531"/>
      <c r="RPA105" s="530"/>
      <c r="RPB105" s="531"/>
      <c r="RPC105" s="530"/>
      <c r="RPD105" s="531"/>
      <c r="RPE105" s="530"/>
      <c r="RPF105" s="531"/>
      <c r="RPG105" s="530"/>
      <c r="RPH105" s="531"/>
      <c r="RPI105" s="530"/>
      <c r="RPJ105" s="531"/>
      <c r="RPK105" s="530"/>
      <c r="RPL105" s="531"/>
      <c r="RPM105" s="530"/>
      <c r="RPN105" s="531"/>
      <c r="RPO105" s="530"/>
      <c r="RPP105" s="531"/>
      <c r="RPQ105" s="530"/>
      <c r="RPR105" s="531"/>
      <c r="RPS105" s="530"/>
      <c r="RPT105" s="531"/>
      <c r="RPU105" s="530"/>
      <c r="RPV105" s="531"/>
      <c r="RPW105" s="530"/>
      <c r="RPX105" s="531"/>
      <c r="RPY105" s="530"/>
      <c r="RPZ105" s="531"/>
      <c r="RQA105" s="530"/>
      <c r="RQB105" s="531"/>
      <c r="RQC105" s="530"/>
      <c r="RQD105" s="531"/>
      <c r="RQE105" s="530"/>
      <c r="RQF105" s="531"/>
      <c r="RQG105" s="530"/>
      <c r="RQH105" s="531"/>
      <c r="RQI105" s="530"/>
      <c r="RQJ105" s="531"/>
      <c r="RQK105" s="530"/>
      <c r="RQL105" s="531"/>
      <c r="RQM105" s="530"/>
      <c r="RQN105" s="531"/>
      <c r="RQO105" s="530"/>
      <c r="RQP105" s="531"/>
      <c r="RQQ105" s="530"/>
      <c r="RQR105" s="531"/>
      <c r="RQS105" s="530"/>
      <c r="RQT105" s="531"/>
      <c r="RQU105" s="530"/>
      <c r="RQV105" s="531"/>
      <c r="RQW105" s="530"/>
      <c r="RQX105" s="531"/>
      <c r="RQY105" s="530"/>
      <c r="RQZ105" s="531"/>
      <c r="RRA105" s="530"/>
      <c r="RRB105" s="531"/>
      <c r="RRC105" s="530"/>
      <c r="RRD105" s="531"/>
      <c r="RRE105" s="530"/>
      <c r="RRF105" s="531"/>
      <c r="RRG105" s="530"/>
      <c r="RRH105" s="531"/>
      <c r="RRI105" s="530"/>
      <c r="RRJ105" s="531"/>
      <c r="RRK105" s="530"/>
      <c r="RRL105" s="531"/>
      <c r="RRM105" s="530"/>
      <c r="RRN105" s="531"/>
      <c r="RRO105" s="530"/>
      <c r="RRP105" s="531"/>
      <c r="RRQ105" s="530"/>
      <c r="RRR105" s="531"/>
      <c r="RRS105" s="530"/>
      <c r="RRT105" s="531"/>
      <c r="RRU105" s="530"/>
      <c r="RRV105" s="531"/>
      <c r="RRW105" s="530"/>
      <c r="RRX105" s="531"/>
      <c r="RRY105" s="530"/>
      <c r="RRZ105" s="531"/>
      <c r="RSA105" s="530"/>
      <c r="RSB105" s="531"/>
      <c r="RSC105" s="530"/>
      <c r="RSD105" s="531"/>
      <c r="RSE105" s="530"/>
      <c r="RSF105" s="531"/>
      <c r="RSG105" s="530"/>
      <c r="RSH105" s="531"/>
      <c r="RSI105" s="530"/>
      <c r="RSJ105" s="531"/>
      <c r="RSK105" s="530"/>
      <c r="RSL105" s="531"/>
      <c r="RSM105" s="530"/>
      <c r="RSN105" s="531"/>
      <c r="RSO105" s="530"/>
      <c r="RSP105" s="531"/>
      <c r="RSQ105" s="530"/>
      <c r="RSR105" s="531"/>
      <c r="RSS105" s="530"/>
      <c r="RST105" s="531"/>
      <c r="RSU105" s="530"/>
      <c r="RSV105" s="531"/>
      <c r="RSW105" s="530"/>
      <c r="RSX105" s="531"/>
      <c r="RSY105" s="530"/>
      <c r="RSZ105" s="531"/>
      <c r="RTA105" s="530"/>
      <c r="RTB105" s="531"/>
      <c r="RTC105" s="530"/>
      <c r="RTD105" s="531"/>
      <c r="RTE105" s="530"/>
      <c r="RTF105" s="531"/>
      <c r="RTG105" s="530"/>
      <c r="RTH105" s="531"/>
      <c r="RTI105" s="530"/>
      <c r="RTJ105" s="531"/>
      <c r="RTK105" s="530"/>
      <c r="RTL105" s="531"/>
      <c r="RTM105" s="530"/>
      <c r="RTN105" s="531"/>
      <c r="RTO105" s="530"/>
      <c r="RTP105" s="531"/>
      <c r="RTQ105" s="530"/>
      <c r="RTR105" s="531"/>
      <c r="RTS105" s="530"/>
      <c r="RTT105" s="531"/>
      <c r="RTU105" s="530"/>
      <c r="RTV105" s="531"/>
      <c r="RTW105" s="530"/>
      <c r="RTX105" s="531"/>
      <c r="RTY105" s="530"/>
      <c r="RTZ105" s="531"/>
      <c r="RUA105" s="530"/>
      <c r="RUB105" s="531"/>
      <c r="RUC105" s="530"/>
      <c r="RUD105" s="531"/>
      <c r="RUE105" s="530"/>
      <c r="RUF105" s="531"/>
      <c r="RUG105" s="530"/>
      <c r="RUH105" s="531"/>
      <c r="RUI105" s="530"/>
      <c r="RUJ105" s="531"/>
      <c r="RUK105" s="530"/>
      <c r="RUL105" s="531"/>
      <c r="RUM105" s="530"/>
      <c r="RUN105" s="531"/>
      <c r="RUO105" s="530"/>
      <c r="RUP105" s="531"/>
      <c r="RUQ105" s="530"/>
      <c r="RUR105" s="531"/>
      <c r="RUS105" s="530"/>
      <c r="RUT105" s="531"/>
      <c r="RUU105" s="530"/>
      <c r="RUV105" s="531"/>
      <c r="RUW105" s="530"/>
      <c r="RUX105" s="531"/>
      <c r="RUY105" s="530"/>
      <c r="RUZ105" s="531"/>
      <c r="RVA105" s="530"/>
      <c r="RVB105" s="531"/>
      <c r="RVC105" s="530"/>
      <c r="RVD105" s="531"/>
      <c r="RVE105" s="530"/>
      <c r="RVF105" s="531"/>
      <c r="RVG105" s="530"/>
      <c r="RVH105" s="531"/>
      <c r="RVI105" s="530"/>
      <c r="RVJ105" s="531"/>
      <c r="RVK105" s="530"/>
      <c r="RVL105" s="531"/>
      <c r="RVM105" s="530"/>
      <c r="RVN105" s="531"/>
      <c r="RVO105" s="530"/>
      <c r="RVP105" s="531"/>
      <c r="RVQ105" s="530"/>
      <c r="RVR105" s="531"/>
      <c r="RVS105" s="530"/>
      <c r="RVT105" s="531"/>
      <c r="RVU105" s="530"/>
      <c r="RVV105" s="531"/>
      <c r="RVW105" s="530"/>
      <c r="RVX105" s="531"/>
      <c r="RVY105" s="530"/>
      <c r="RVZ105" s="531"/>
      <c r="RWA105" s="530"/>
      <c r="RWB105" s="531"/>
      <c r="RWC105" s="530"/>
      <c r="RWD105" s="531"/>
      <c r="RWE105" s="530"/>
      <c r="RWF105" s="531"/>
      <c r="RWG105" s="530"/>
      <c r="RWH105" s="531"/>
      <c r="RWI105" s="530"/>
      <c r="RWJ105" s="531"/>
      <c r="RWK105" s="530"/>
      <c r="RWL105" s="531"/>
      <c r="RWM105" s="530"/>
      <c r="RWN105" s="531"/>
      <c r="RWO105" s="530"/>
      <c r="RWP105" s="531"/>
      <c r="RWQ105" s="530"/>
      <c r="RWR105" s="531"/>
      <c r="RWS105" s="530"/>
      <c r="RWT105" s="531"/>
      <c r="RWU105" s="530"/>
      <c r="RWV105" s="531"/>
      <c r="RWW105" s="530"/>
      <c r="RWX105" s="531"/>
      <c r="RWY105" s="530"/>
      <c r="RWZ105" s="531"/>
      <c r="RXA105" s="530"/>
      <c r="RXB105" s="531"/>
      <c r="RXC105" s="530"/>
      <c r="RXD105" s="531"/>
      <c r="RXE105" s="530"/>
      <c r="RXF105" s="531"/>
      <c r="RXG105" s="530"/>
      <c r="RXH105" s="531"/>
      <c r="RXI105" s="530"/>
      <c r="RXJ105" s="531"/>
      <c r="RXK105" s="530"/>
      <c r="RXL105" s="531"/>
      <c r="RXM105" s="530"/>
      <c r="RXN105" s="531"/>
      <c r="RXO105" s="530"/>
      <c r="RXP105" s="531"/>
      <c r="RXQ105" s="530"/>
      <c r="RXR105" s="531"/>
      <c r="RXS105" s="530"/>
      <c r="RXT105" s="531"/>
      <c r="RXU105" s="530"/>
      <c r="RXV105" s="531"/>
      <c r="RXW105" s="530"/>
      <c r="RXX105" s="531"/>
      <c r="RXY105" s="530"/>
      <c r="RXZ105" s="531"/>
      <c r="RYA105" s="530"/>
      <c r="RYB105" s="531"/>
      <c r="RYC105" s="530"/>
      <c r="RYD105" s="531"/>
      <c r="RYE105" s="530"/>
      <c r="RYF105" s="531"/>
      <c r="RYG105" s="530"/>
      <c r="RYH105" s="531"/>
      <c r="RYI105" s="530"/>
      <c r="RYJ105" s="531"/>
      <c r="RYK105" s="530"/>
      <c r="RYL105" s="531"/>
      <c r="RYM105" s="530"/>
      <c r="RYN105" s="531"/>
      <c r="RYO105" s="530"/>
      <c r="RYP105" s="531"/>
      <c r="RYQ105" s="530"/>
      <c r="RYR105" s="531"/>
      <c r="RYS105" s="530"/>
      <c r="RYT105" s="531"/>
      <c r="RYU105" s="530"/>
      <c r="RYV105" s="531"/>
      <c r="RYW105" s="530"/>
      <c r="RYX105" s="531"/>
      <c r="RYY105" s="530"/>
      <c r="RYZ105" s="531"/>
      <c r="RZA105" s="530"/>
      <c r="RZB105" s="531"/>
      <c r="RZC105" s="530"/>
      <c r="RZD105" s="531"/>
      <c r="RZE105" s="530"/>
      <c r="RZF105" s="531"/>
      <c r="RZG105" s="530"/>
      <c r="RZH105" s="531"/>
      <c r="RZI105" s="530"/>
      <c r="RZJ105" s="531"/>
      <c r="RZK105" s="530"/>
      <c r="RZL105" s="531"/>
      <c r="RZM105" s="530"/>
      <c r="RZN105" s="531"/>
      <c r="RZO105" s="530"/>
      <c r="RZP105" s="531"/>
      <c r="RZQ105" s="530"/>
      <c r="RZR105" s="531"/>
      <c r="RZS105" s="530"/>
      <c r="RZT105" s="531"/>
      <c r="RZU105" s="530"/>
      <c r="RZV105" s="531"/>
      <c r="RZW105" s="530"/>
      <c r="RZX105" s="531"/>
      <c r="RZY105" s="530"/>
      <c r="RZZ105" s="531"/>
      <c r="SAA105" s="530"/>
      <c r="SAB105" s="531"/>
      <c r="SAC105" s="530"/>
      <c r="SAD105" s="531"/>
      <c r="SAE105" s="530"/>
      <c r="SAF105" s="531"/>
      <c r="SAG105" s="530"/>
      <c r="SAH105" s="531"/>
      <c r="SAI105" s="530"/>
      <c r="SAJ105" s="531"/>
      <c r="SAK105" s="530"/>
      <c r="SAL105" s="531"/>
      <c r="SAM105" s="530"/>
      <c r="SAN105" s="531"/>
      <c r="SAO105" s="530"/>
      <c r="SAP105" s="531"/>
      <c r="SAQ105" s="530"/>
      <c r="SAR105" s="531"/>
      <c r="SAS105" s="530"/>
      <c r="SAT105" s="531"/>
      <c r="SAU105" s="530"/>
      <c r="SAV105" s="531"/>
      <c r="SAW105" s="530"/>
      <c r="SAX105" s="531"/>
      <c r="SAY105" s="530"/>
      <c r="SAZ105" s="531"/>
      <c r="SBA105" s="530"/>
      <c r="SBB105" s="531"/>
      <c r="SBC105" s="530"/>
      <c r="SBD105" s="531"/>
      <c r="SBE105" s="530"/>
      <c r="SBF105" s="531"/>
      <c r="SBG105" s="530"/>
      <c r="SBH105" s="531"/>
      <c r="SBI105" s="530"/>
      <c r="SBJ105" s="531"/>
      <c r="SBK105" s="530"/>
      <c r="SBL105" s="531"/>
      <c r="SBM105" s="530"/>
      <c r="SBN105" s="531"/>
      <c r="SBO105" s="530"/>
      <c r="SBP105" s="531"/>
      <c r="SBQ105" s="530"/>
      <c r="SBR105" s="531"/>
      <c r="SBS105" s="530"/>
      <c r="SBT105" s="531"/>
      <c r="SBU105" s="530"/>
      <c r="SBV105" s="531"/>
      <c r="SBW105" s="530"/>
      <c r="SBX105" s="531"/>
      <c r="SBY105" s="530"/>
      <c r="SBZ105" s="531"/>
      <c r="SCA105" s="530"/>
      <c r="SCB105" s="531"/>
      <c r="SCC105" s="530"/>
      <c r="SCD105" s="531"/>
      <c r="SCE105" s="530"/>
      <c r="SCF105" s="531"/>
      <c r="SCG105" s="530"/>
      <c r="SCH105" s="531"/>
      <c r="SCI105" s="530"/>
      <c r="SCJ105" s="531"/>
      <c r="SCK105" s="530"/>
      <c r="SCL105" s="531"/>
      <c r="SCM105" s="530"/>
      <c r="SCN105" s="531"/>
      <c r="SCO105" s="530"/>
      <c r="SCP105" s="531"/>
      <c r="SCQ105" s="530"/>
      <c r="SCR105" s="531"/>
      <c r="SCS105" s="530"/>
      <c r="SCT105" s="531"/>
      <c r="SCU105" s="530"/>
      <c r="SCV105" s="531"/>
      <c r="SCW105" s="530"/>
      <c r="SCX105" s="531"/>
      <c r="SCY105" s="530"/>
      <c r="SCZ105" s="531"/>
      <c r="SDA105" s="530"/>
      <c r="SDB105" s="531"/>
      <c r="SDC105" s="530"/>
      <c r="SDD105" s="531"/>
      <c r="SDE105" s="530"/>
      <c r="SDF105" s="531"/>
      <c r="SDG105" s="530"/>
      <c r="SDH105" s="531"/>
      <c r="SDI105" s="530"/>
      <c r="SDJ105" s="531"/>
      <c r="SDK105" s="530"/>
      <c r="SDL105" s="531"/>
      <c r="SDM105" s="530"/>
      <c r="SDN105" s="531"/>
      <c r="SDO105" s="530"/>
      <c r="SDP105" s="531"/>
      <c r="SDQ105" s="530"/>
      <c r="SDR105" s="531"/>
      <c r="SDS105" s="530"/>
      <c r="SDT105" s="531"/>
      <c r="SDU105" s="530"/>
      <c r="SDV105" s="531"/>
      <c r="SDW105" s="530"/>
      <c r="SDX105" s="531"/>
      <c r="SDY105" s="530"/>
      <c r="SDZ105" s="531"/>
      <c r="SEA105" s="530"/>
      <c r="SEB105" s="531"/>
      <c r="SEC105" s="530"/>
      <c r="SED105" s="531"/>
      <c r="SEE105" s="530"/>
      <c r="SEF105" s="531"/>
      <c r="SEG105" s="530"/>
      <c r="SEH105" s="531"/>
      <c r="SEI105" s="530"/>
      <c r="SEJ105" s="531"/>
      <c r="SEK105" s="530"/>
      <c r="SEL105" s="531"/>
      <c r="SEM105" s="530"/>
      <c r="SEN105" s="531"/>
      <c r="SEO105" s="530"/>
      <c r="SEP105" s="531"/>
      <c r="SEQ105" s="530"/>
      <c r="SER105" s="531"/>
      <c r="SES105" s="530"/>
      <c r="SET105" s="531"/>
      <c r="SEU105" s="530"/>
      <c r="SEV105" s="531"/>
      <c r="SEW105" s="530"/>
      <c r="SEX105" s="531"/>
      <c r="SEY105" s="530"/>
      <c r="SEZ105" s="531"/>
      <c r="SFA105" s="530"/>
      <c r="SFB105" s="531"/>
      <c r="SFC105" s="530"/>
      <c r="SFD105" s="531"/>
      <c r="SFE105" s="530"/>
      <c r="SFF105" s="531"/>
      <c r="SFG105" s="530"/>
      <c r="SFH105" s="531"/>
      <c r="SFI105" s="530"/>
      <c r="SFJ105" s="531"/>
      <c r="SFK105" s="530"/>
      <c r="SFL105" s="531"/>
      <c r="SFM105" s="530"/>
      <c r="SFN105" s="531"/>
      <c r="SFO105" s="530"/>
      <c r="SFP105" s="531"/>
      <c r="SFQ105" s="530"/>
      <c r="SFR105" s="531"/>
      <c r="SFS105" s="530"/>
      <c r="SFT105" s="531"/>
      <c r="SFU105" s="530"/>
      <c r="SFV105" s="531"/>
      <c r="SFW105" s="530"/>
      <c r="SFX105" s="531"/>
      <c r="SFY105" s="530"/>
      <c r="SFZ105" s="531"/>
      <c r="SGA105" s="530"/>
      <c r="SGB105" s="531"/>
      <c r="SGC105" s="530"/>
      <c r="SGD105" s="531"/>
      <c r="SGE105" s="530"/>
      <c r="SGF105" s="531"/>
      <c r="SGG105" s="530"/>
      <c r="SGH105" s="531"/>
      <c r="SGI105" s="530"/>
      <c r="SGJ105" s="531"/>
      <c r="SGK105" s="530"/>
      <c r="SGL105" s="531"/>
      <c r="SGM105" s="530"/>
      <c r="SGN105" s="531"/>
      <c r="SGO105" s="530"/>
      <c r="SGP105" s="531"/>
      <c r="SGQ105" s="530"/>
      <c r="SGR105" s="531"/>
      <c r="SGS105" s="530"/>
      <c r="SGT105" s="531"/>
      <c r="SGU105" s="530"/>
      <c r="SGV105" s="531"/>
      <c r="SGW105" s="530"/>
      <c r="SGX105" s="531"/>
      <c r="SGY105" s="530"/>
      <c r="SGZ105" s="531"/>
      <c r="SHA105" s="530"/>
      <c r="SHB105" s="531"/>
      <c r="SHC105" s="530"/>
      <c r="SHD105" s="531"/>
      <c r="SHE105" s="530"/>
      <c r="SHF105" s="531"/>
      <c r="SHG105" s="530"/>
      <c r="SHH105" s="531"/>
      <c r="SHI105" s="530"/>
      <c r="SHJ105" s="531"/>
      <c r="SHK105" s="530"/>
      <c r="SHL105" s="531"/>
      <c r="SHM105" s="530"/>
      <c r="SHN105" s="531"/>
      <c r="SHO105" s="530"/>
      <c r="SHP105" s="531"/>
      <c r="SHQ105" s="530"/>
      <c r="SHR105" s="531"/>
      <c r="SHS105" s="530"/>
      <c r="SHT105" s="531"/>
      <c r="SHU105" s="530"/>
      <c r="SHV105" s="531"/>
      <c r="SHW105" s="530"/>
      <c r="SHX105" s="531"/>
      <c r="SHY105" s="530"/>
      <c r="SHZ105" s="531"/>
      <c r="SIA105" s="530"/>
      <c r="SIB105" s="531"/>
      <c r="SIC105" s="530"/>
      <c r="SID105" s="531"/>
      <c r="SIE105" s="530"/>
      <c r="SIF105" s="531"/>
      <c r="SIG105" s="530"/>
      <c r="SIH105" s="531"/>
      <c r="SII105" s="530"/>
      <c r="SIJ105" s="531"/>
      <c r="SIK105" s="530"/>
      <c r="SIL105" s="531"/>
      <c r="SIM105" s="530"/>
      <c r="SIN105" s="531"/>
      <c r="SIO105" s="530"/>
      <c r="SIP105" s="531"/>
      <c r="SIQ105" s="530"/>
      <c r="SIR105" s="531"/>
      <c r="SIS105" s="530"/>
      <c r="SIT105" s="531"/>
      <c r="SIU105" s="530"/>
      <c r="SIV105" s="531"/>
      <c r="SIW105" s="530"/>
      <c r="SIX105" s="531"/>
      <c r="SIY105" s="530"/>
      <c r="SIZ105" s="531"/>
      <c r="SJA105" s="530"/>
      <c r="SJB105" s="531"/>
      <c r="SJC105" s="530"/>
      <c r="SJD105" s="531"/>
      <c r="SJE105" s="530"/>
      <c r="SJF105" s="531"/>
      <c r="SJG105" s="530"/>
      <c r="SJH105" s="531"/>
      <c r="SJI105" s="530"/>
      <c r="SJJ105" s="531"/>
      <c r="SJK105" s="530"/>
      <c r="SJL105" s="531"/>
      <c r="SJM105" s="530"/>
      <c r="SJN105" s="531"/>
      <c r="SJO105" s="530"/>
      <c r="SJP105" s="531"/>
      <c r="SJQ105" s="530"/>
      <c r="SJR105" s="531"/>
      <c r="SJS105" s="530"/>
      <c r="SJT105" s="531"/>
      <c r="SJU105" s="530"/>
      <c r="SJV105" s="531"/>
      <c r="SJW105" s="530"/>
      <c r="SJX105" s="531"/>
      <c r="SJY105" s="530"/>
      <c r="SJZ105" s="531"/>
      <c r="SKA105" s="530"/>
      <c r="SKB105" s="531"/>
      <c r="SKC105" s="530"/>
      <c r="SKD105" s="531"/>
      <c r="SKE105" s="530"/>
      <c r="SKF105" s="531"/>
      <c r="SKG105" s="530"/>
      <c r="SKH105" s="531"/>
      <c r="SKI105" s="530"/>
      <c r="SKJ105" s="531"/>
      <c r="SKK105" s="530"/>
      <c r="SKL105" s="531"/>
      <c r="SKM105" s="530"/>
      <c r="SKN105" s="531"/>
      <c r="SKO105" s="530"/>
      <c r="SKP105" s="531"/>
      <c r="SKQ105" s="530"/>
      <c r="SKR105" s="531"/>
      <c r="SKS105" s="530"/>
      <c r="SKT105" s="531"/>
      <c r="SKU105" s="530"/>
      <c r="SKV105" s="531"/>
      <c r="SKW105" s="530"/>
      <c r="SKX105" s="531"/>
      <c r="SKY105" s="530"/>
      <c r="SKZ105" s="531"/>
      <c r="SLA105" s="530"/>
      <c r="SLB105" s="531"/>
      <c r="SLC105" s="530"/>
      <c r="SLD105" s="531"/>
      <c r="SLE105" s="530"/>
      <c r="SLF105" s="531"/>
      <c r="SLG105" s="530"/>
      <c r="SLH105" s="531"/>
      <c r="SLI105" s="530"/>
      <c r="SLJ105" s="531"/>
      <c r="SLK105" s="530"/>
      <c r="SLL105" s="531"/>
      <c r="SLM105" s="530"/>
      <c r="SLN105" s="531"/>
      <c r="SLO105" s="530"/>
      <c r="SLP105" s="531"/>
      <c r="SLQ105" s="530"/>
      <c r="SLR105" s="531"/>
      <c r="SLS105" s="530"/>
      <c r="SLT105" s="531"/>
      <c r="SLU105" s="530"/>
      <c r="SLV105" s="531"/>
      <c r="SLW105" s="530"/>
      <c r="SLX105" s="531"/>
      <c r="SLY105" s="530"/>
      <c r="SLZ105" s="531"/>
      <c r="SMA105" s="530"/>
      <c r="SMB105" s="531"/>
      <c r="SMC105" s="530"/>
      <c r="SMD105" s="531"/>
      <c r="SME105" s="530"/>
      <c r="SMF105" s="531"/>
      <c r="SMG105" s="530"/>
      <c r="SMH105" s="531"/>
      <c r="SMI105" s="530"/>
      <c r="SMJ105" s="531"/>
      <c r="SMK105" s="530"/>
      <c r="SML105" s="531"/>
      <c r="SMM105" s="530"/>
      <c r="SMN105" s="531"/>
      <c r="SMO105" s="530"/>
      <c r="SMP105" s="531"/>
      <c r="SMQ105" s="530"/>
      <c r="SMR105" s="531"/>
      <c r="SMS105" s="530"/>
      <c r="SMT105" s="531"/>
      <c r="SMU105" s="530"/>
      <c r="SMV105" s="531"/>
      <c r="SMW105" s="530"/>
      <c r="SMX105" s="531"/>
      <c r="SMY105" s="530"/>
      <c r="SMZ105" s="531"/>
      <c r="SNA105" s="530"/>
      <c r="SNB105" s="531"/>
      <c r="SNC105" s="530"/>
      <c r="SND105" s="531"/>
      <c r="SNE105" s="530"/>
      <c r="SNF105" s="531"/>
      <c r="SNG105" s="530"/>
      <c r="SNH105" s="531"/>
      <c r="SNI105" s="530"/>
      <c r="SNJ105" s="531"/>
      <c r="SNK105" s="530"/>
      <c r="SNL105" s="531"/>
      <c r="SNM105" s="530"/>
      <c r="SNN105" s="531"/>
      <c r="SNO105" s="530"/>
      <c r="SNP105" s="531"/>
      <c r="SNQ105" s="530"/>
      <c r="SNR105" s="531"/>
      <c r="SNS105" s="530"/>
      <c r="SNT105" s="531"/>
      <c r="SNU105" s="530"/>
      <c r="SNV105" s="531"/>
      <c r="SNW105" s="530"/>
      <c r="SNX105" s="531"/>
      <c r="SNY105" s="530"/>
      <c r="SNZ105" s="531"/>
      <c r="SOA105" s="530"/>
      <c r="SOB105" s="531"/>
      <c r="SOC105" s="530"/>
      <c r="SOD105" s="531"/>
      <c r="SOE105" s="530"/>
      <c r="SOF105" s="531"/>
      <c r="SOG105" s="530"/>
      <c r="SOH105" s="531"/>
      <c r="SOI105" s="530"/>
      <c r="SOJ105" s="531"/>
      <c r="SOK105" s="530"/>
      <c r="SOL105" s="531"/>
      <c r="SOM105" s="530"/>
      <c r="SON105" s="531"/>
      <c r="SOO105" s="530"/>
      <c r="SOP105" s="531"/>
      <c r="SOQ105" s="530"/>
      <c r="SOR105" s="531"/>
      <c r="SOS105" s="530"/>
      <c r="SOT105" s="531"/>
      <c r="SOU105" s="530"/>
      <c r="SOV105" s="531"/>
      <c r="SOW105" s="530"/>
      <c r="SOX105" s="531"/>
      <c r="SOY105" s="530"/>
      <c r="SOZ105" s="531"/>
      <c r="SPA105" s="530"/>
      <c r="SPB105" s="531"/>
      <c r="SPC105" s="530"/>
      <c r="SPD105" s="531"/>
      <c r="SPE105" s="530"/>
      <c r="SPF105" s="531"/>
      <c r="SPG105" s="530"/>
      <c r="SPH105" s="531"/>
      <c r="SPI105" s="530"/>
      <c r="SPJ105" s="531"/>
      <c r="SPK105" s="530"/>
      <c r="SPL105" s="531"/>
      <c r="SPM105" s="530"/>
      <c r="SPN105" s="531"/>
      <c r="SPO105" s="530"/>
      <c r="SPP105" s="531"/>
      <c r="SPQ105" s="530"/>
      <c r="SPR105" s="531"/>
      <c r="SPS105" s="530"/>
      <c r="SPT105" s="531"/>
      <c r="SPU105" s="530"/>
      <c r="SPV105" s="531"/>
      <c r="SPW105" s="530"/>
      <c r="SPX105" s="531"/>
      <c r="SPY105" s="530"/>
      <c r="SPZ105" s="531"/>
      <c r="SQA105" s="530"/>
      <c r="SQB105" s="531"/>
      <c r="SQC105" s="530"/>
      <c r="SQD105" s="531"/>
      <c r="SQE105" s="530"/>
      <c r="SQF105" s="531"/>
      <c r="SQG105" s="530"/>
      <c r="SQH105" s="531"/>
      <c r="SQI105" s="530"/>
      <c r="SQJ105" s="531"/>
      <c r="SQK105" s="530"/>
      <c r="SQL105" s="531"/>
      <c r="SQM105" s="530"/>
      <c r="SQN105" s="531"/>
      <c r="SQO105" s="530"/>
      <c r="SQP105" s="531"/>
      <c r="SQQ105" s="530"/>
      <c r="SQR105" s="531"/>
      <c r="SQS105" s="530"/>
      <c r="SQT105" s="531"/>
      <c r="SQU105" s="530"/>
      <c r="SQV105" s="531"/>
      <c r="SQW105" s="530"/>
      <c r="SQX105" s="531"/>
      <c r="SQY105" s="530"/>
      <c r="SQZ105" s="531"/>
      <c r="SRA105" s="530"/>
      <c r="SRB105" s="531"/>
      <c r="SRC105" s="530"/>
      <c r="SRD105" s="531"/>
      <c r="SRE105" s="530"/>
      <c r="SRF105" s="531"/>
      <c r="SRG105" s="530"/>
      <c r="SRH105" s="531"/>
      <c r="SRI105" s="530"/>
      <c r="SRJ105" s="531"/>
      <c r="SRK105" s="530"/>
      <c r="SRL105" s="531"/>
      <c r="SRM105" s="530"/>
      <c r="SRN105" s="531"/>
      <c r="SRO105" s="530"/>
      <c r="SRP105" s="531"/>
      <c r="SRQ105" s="530"/>
      <c r="SRR105" s="531"/>
      <c r="SRS105" s="530"/>
      <c r="SRT105" s="531"/>
      <c r="SRU105" s="530"/>
      <c r="SRV105" s="531"/>
      <c r="SRW105" s="530"/>
      <c r="SRX105" s="531"/>
      <c r="SRY105" s="530"/>
      <c r="SRZ105" s="531"/>
      <c r="SSA105" s="530"/>
      <c r="SSB105" s="531"/>
      <c r="SSC105" s="530"/>
      <c r="SSD105" s="531"/>
      <c r="SSE105" s="530"/>
      <c r="SSF105" s="531"/>
      <c r="SSG105" s="530"/>
      <c r="SSH105" s="531"/>
      <c r="SSI105" s="530"/>
      <c r="SSJ105" s="531"/>
      <c r="SSK105" s="530"/>
      <c r="SSL105" s="531"/>
      <c r="SSM105" s="530"/>
      <c r="SSN105" s="531"/>
      <c r="SSO105" s="530"/>
      <c r="SSP105" s="531"/>
      <c r="SSQ105" s="530"/>
      <c r="SSR105" s="531"/>
      <c r="SSS105" s="530"/>
      <c r="SST105" s="531"/>
      <c r="SSU105" s="530"/>
      <c r="SSV105" s="531"/>
      <c r="SSW105" s="530"/>
      <c r="SSX105" s="531"/>
      <c r="SSY105" s="530"/>
      <c r="SSZ105" s="531"/>
      <c r="STA105" s="530"/>
      <c r="STB105" s="531"/>
      <c r="STC105" s="530"/>
      <c r="STD105" s="531"/>
      <c r="STE105" s="530"/>
      <c r="STF105" s="531"/>
      <c r="STG105" s="530"/>
      <c r="STH105" s="531"/>
      <c r="STI105" s="530"/>
      <c r="STJ105" s="531"/>
      <c r="STK105" s="530"/>
      <c r="STL105" s="531"/>
      <c r="STM105" s="530"/>
      <c r="STN105" s="531"/>
      <c r="STO105" s="530"/>
      <c r="STP105" s="531"/>
      <c r="STQ105" s="530"/>
      <c r="STR105" s="531"/>
      <c r="STS105" s="530"/>
      <c r="STT105" s="531"/>
      <c r="STU105" s="530"/>
      <c r="STV105" s="531"/>
      <c r="STW105" s="530"/>
      <c r="STX105" s="531"/>
      <c r="STY105" s="530"/>
      <c r="STZ105" s="531"/>
      <c r="SUA105" s="530"/>
      <c r="SUB105" s="531"/>
      <c r="SUC105" s="530"/>
      <c r="SUD105" s="531"/>
      <c r="SUE105" s="530"/>
      <c r="SUF105" s="531"/>
      <c r="SUG105" s="530"/>
      <c r="SUH105" s="531"/>
      <c r="SUI105" s="530"/>
      <c r="SUJ105" s="531"/>
      <c r="SUK105" s="530"/>
      <c r="SUL105" s="531"/>
      <c r="SUM105" s="530"/>
      <c r="SUN105" s="531"/>
      <c r="SUO105" s="530"/>
      <c r="SUP105" s="531"/>
      <c r="SUQ105" s="530"/>
      <c r="SUR105" s="531"/>
      <c r="SUS105" s="530"/>
      <c r="SUT105" s="531"/>
      <c r="SUU105" s="530"/>
      <c r="SUV105" s="531"/>
      <c r="SUW105" s="530"/>
      <c r="SUX105" s="531"/>
      <c r="SUY105" s="530"/>
      <c r="SUZ105" s="531"/>
      <c r="SVA105" s="530"/>
      <c r="SVB105" s="531"/>
      <c r="SVC105" s="530"/>
      <c r="SVD105" s="531"/>
      <c r="SVE105" s="530"/>
      <c r="SVF105" s="531"/>
      <c r="SVG105" s="530"/>
      <c r="SVH105" s="531"/>
      <c r="SVI105" s="530"/>
      <c r="SVJ105" s="531"/>
      <c r="SVK105" s="530"/>
      <c r="SVL105" s="531"/>
      <c r="SVM105" s="530"/>
      <c r="SVN105" s="531"/>
      <c r="SVO105" s="530"/>
      <c r="SVP105" s="531"/>
      <c r="SVQ105" s="530"/>
      <c r="SVR105" s="531"/>
      <c r="SVS105" s="530"/>
      <c r="SVT105" s="531"/>
      <c r="SVU105" s="530"/>
      <c r="SVV105" s="531"/>
      <c r="SVW105" s="530"/>
      <c r="SVX105" s="531"/>
      <c r="SVY105" s="530"/>
      <c r="SVZ105" s="531"/>
      <c r="SWA105" s="530"/>
      <c r="SWB105" s="531"/>
      <c r="SWC105" s="530"/>
      <c r="SWD105" s="531"/>
      <c r="SWE105" s="530"/>
      <c r="SWF105" s="531"/>
      <c r="SWG105" s="530"/>
      <c r="SWH105" s="531"/>
      <c r="SWI105" s="530"/>
      <c r="SWJ105" s="531"/>
      <c r="SWK105" s="530"/>
      <c r="SWL105" s="531"/>
      <c r="SWM105" s="530"/>
      <c r="SWN105" s="531"/>
      <c r="SWO105" s="530"/>
      <c r="SWP105" s="531"/>
      <c r="SWQ105" s="530"/>
      <c r="SWR105" s="531"/>
      <c r="SWS105" s="530"/>
      <c r="SWT105" s="531"/>
      <c r="SWU105" s="530"/>
      <c r="SWV105" s="531"/>
      <c r="SWW105" s="530"/>
      <c r="SWX105" s="531"/>
      <c r="SWY105" s="530"/>
      <c r="SWZ105" s="531"/>
      <c r="SXA105" s="530"/>
      <c r="SXB105" s="531"/>
      <c r="SXC105" s="530"/>
      <c r="SXD105" s="531"/>
      <c r="SXE105" s="530"/>
      <c r="SXF105" s="531"/>
      <c r="SXG105" s="530"/>
      <c r="SXH105" s="531"/>
      <c r="SXI105" s="530"/>
      <c r="SXJ105" s="531"/>
      <c r="SXK105" s="530"/>
      <c r="SXL105" s="531"/>
      <c r="SXM105" s="530"/>
      <c r="SXN105" s="531"/>
      <c r="SXO105" s="530"/>
      <c r="SXP105" s="531"/>
      <c r="SXQ105" s="530"/>
      <c r="SXR105" s="531"/>
      <c r="SXS105" s="530"/>
      <c r="SXT105" s="531"/>
      <c r="SXU105" s="530"/>
      <c r="SXV105" s="531"/>
      <c r="SXW105" s="530"/>
      <c r="SXX105" s="531"/>
      <c r="SXY105" s="530"/>
      <c r="SXZ105" s="531"/>
      <c r="SYA105" s="530"/>
      <c r="SYB105" s="531"/>
      <c r="SYC105" s="530"/>
      <c r="SYD105" s="531"/>
      <c r="SYE105" s="530"/>
      <c r="SYF105" s="531"/>
      <c r="SYG105" s="530"/>
      <c r="SYH105" s="531"/>
      <c r="SYI105" s="530"/>
      <c r="SYJ105" s="531"/>
      <c r="SYK105" s="530"/>
      <c r="SYL105" s="531"/>
      <c r="SYM105" s="530"/>
      <c r="SYN105" s="531"/>
      <c r="SYO105" s="530"/>
      <c r="SYP105" s="531"/>
      <c r="SYQ105" s="530"/>
      <c r="SYR105" s="531"/>
      <c r="SYS105" s="530"/>
      <c r="SYT105" s="531"/>
      <c r="SYU105" s="530"/>
      <c r="SYV105" s="531"/>
      <c r="SYW105" s="530"/>
      <c r="SYX105" s="531"/>
      <c r="SYY105" s="530"/>
      <c r="SYZ105" s="531"/>
      <c r="SZA105" s="530"/>
      <c r="SZB105" s="531"/>
      <c r="SZC105" s="530"/>
      <c r="SZD105" s="531"/>
      <c r="SZE105" s="530"/>
      <c r="SZF105" s="531"/>
      <c r="SZG105" s="530"/>
      <c r="SZH105" s="531"/>
      <c r="SZI105" s="530"/>
      <c r="SZJ105" s="531"/>
      <c r="SZK105" s="530"/>
      <c r="SZL105" s="531"/>
      <c r="SZM105" s="530"/>
      <c r="SZN105" s="531"/>
      <c r="SZO105" s="530"/>
      <c r="SZP105" s="531"/>
      <c r="SZQ105" s="530"/>
      <c r="SZR105" s="531"/>
      <c r="SZS105" s="530"/>
      <c r="SZT105" s="531"/>
      <c r="SZU105" s="530"/>
      <c r="SZV105" s="531"/>
      <c r="SZW105" s="530"/>
      <c r="SZX105" s="531"/>
      <c r="SZY105" s="530"/>
      <c r="SZZ105" s="531"/>
      <c r="TAA105" s="530"/>
      <c r="TAB105" s="531"/>
      <c r="TAC105" s="530"/>
      <c r="TAD105" s="531"/>
      <c r="TAE105" s="530"/>
      <c r="TAF105" s="531"/>
      <c r="TAG105" s="530"/>
      <c r="TAH105" s="531"/>
      <c r="TAI105" s="530"/>
      <c r="TAJ105" s="531"/>
      <c r="TAK105" s="530"/>
      <c r="TAL105" s="531"/>
      <c r="TAM105" s="530"/>
      <c r="TAN105" s="531"/>
      <c r="TAO105" s="530"/>
      <c r="TAP105" s="531"/>
      <c r="TAQ105" s="530"/>
      <c r="TAR105" s="531"/>
      <c r="TAS105" s="530"/>
      <c r="TAT105" s="531"/>
      <c r="TAU105" s="530"/>
      <c r="TAV105" s="531"/>
      <c r="TAW105" s="530"/>
      <c r="TAX105" s="531"/>
      <c r="TAY105" s="530"/>
      <c r="TAZ105" s="531"/>
      <c r="TBA105" s="530"/>
      <c r="TBB105" s="531"/>
      <c r="TBC105" s="530"/>
      <c r="TBD105" s="531"/>
      <c r="TBE105" s="530"/>
      <c r="TBF105" s="531"/>
      <c r="TBG105" s="530"/>
      <c r="TBH105" s="531"/>
      <c r="TBI105" s="530"/>
      <c r="TBJ105" s="531"/>
      <c r="TBK105" s="530"/>
      <c r="TBL105" s="531"/>
      <c r="TBM105" s="530"/>
      <c r="TBN105" s="531"/>
      <c r="TBO105" s="530"/>
      <c r="TBP105" s="531"/>
      <c r="TBQ105" s="530"/>
      <c r="TBR105" s="531"/>
      <c r="TBS105" s="530"/>
      <c r="TBT105" s="531"/>
      <c r="TBU105" s="530"/>
      <c r="TBV105" s="531"/>
      <c r="TBW105" s="530"/>
      <c r="TBX105" s="531"/>
      <c r="TBY105" s="530"/>
      <c r="TBZ105" s="531"/>
      <c r="TCA105" s="530"/>
      <c r="TCB105" s="531"/>
      <c r="TCC105" s="530"/>
      <c r="TCD105" s="531"/>
      <c r="TCE105" s="530"/>
      <c r="TCF105" s="531"/>
      <c r="TCG105" s="530"/>
      <c r="TCH105" s="531"/>
      <c r="TCI105" s="530"/>
      <c r="TCJ105" s="531"/>
      <c r="TCK105" s="530"/>
      <c r="TCL105" s="531"/>
      <c r="TCM105" s="530"/>
      <c r="TCN105" s="531"/>
      <c r="TCO105" s="530"/>
      <c r="TCP105" s="531"/>
      <c r="TCQ105" s="530"/>
      <c r="TCR105" s="531"/>
      <c r="TCS105" s="530"/>
      <c r="TCT105" s="531"/>
      <c r="TCU105" s="530"/>
      <c r="TCV105" s="531"/>
      <c r="TCW105" s="530"/>
      <c r="TCX105" s="531"/>
      <c r="TCY105" s="530"/>
      <c r="TCZ105" s="531"/>
      <c r="TDA105" s="530"/>
      <c r="TDB105" s="531"/>
      <c r="TDC105" s="530"/>
      <c r="TDD105" s="531"/>
      <c r="TDE105" s="530"/>
      <c r="TDF105" s="531"/>
      <c r="TDG105" s="530"/>
      <c r="TDH105" s="531"/>
      <c r="TDI105" s="530"/>
      <c r="TDJ105" s="531"/>
      <c r="TDK105" s="530"/>
      <c r="TDL105" s="531"/>
      <c r="TDM105" s="530"/>
      <c r="TDN105" s="531"/>
      <c r="TDO105" s="530"/>
      <c r="TDP105" s="531"/>
      <c r="TDQ105" s="530"/>
      <c r="TDR105" s="531"/>
      <c r="TDS105" s="530"/>
      <c r="TDT105" s="531"/>
      <c r="TDU105" s="530"/>
      <c r="TDV105" s="531"/>
      <c r="TDW105" s="530"/>
      <c r="TDX105" s="531"/>
      <c r="TDY105" s="530"/>
      <c r="TDZ105" s="531"/>
      <c r="TEA105" s="530"/>
      <c r="TEB105" s="531"/>
      <c r="TEC105" s="530"/>
      <c r="TED105" s="531"/>
      <c r="TEE105" s="530"/>
      <c r="TEF105" s="531"/>
      <c r="TEG105" s="530"/>
      <c r="TEH105" s="531"/>
      <c r="TEI105" s="530"/>
      <c r="TEJ105" s="531"/>
      <c r="TEK105" s="530"/>
      <c r="TEL105" s="531"/>
      <c r="TEM105" s="530"/>
      <c r="TEN105" s="531"/>
      <c r="TEO105" s="530"/>
      <c r="TEP105" s="531"/>
      <c r="TEQ105" s="530"/>
      <c r="TER105" s="531"/>
      <c r="TES105" s="530"/>
      <c r="TET105" s="531"/>
      <c r="TEU105" s="530"/>
      <c r="TEV105" s="531"/>
      <c r="TEW105" s="530"/>
      <c r="TEX105" s="531"/>
      <c r="TEY105" s="530"/>
      <c r="TEZ105" s="531"/>
      <c r="TFA105" s="530"/>
      <c r="TFB105" s="531"/>
      <c r="TFC105" s="530"/>
      <c r="TFD105" s="531"/>
      <c r="TFE105" s="530"/>
      <c r="TFF105" s="531"/>
      <c r="TFG105" s="530"/>
      <c r="TFH105" s="531"/>
      <c r="TFI105" s="530"/>
      <c r="TFJ105" s="531"/>
      <c r="TFK105" s="530"/>
      <c r="TFL105" s="531"/>
      <c r="TFM105" s="530"/>
      <c r="TFN105" s="531"/>
      <c r="TFO105" s="530"/>
      <c r="TFP105" s="531"/>
      <c r="TFQ105" s="530"/>
      <c r="TFR105" s="531"/>
      <c r="TFS105" s="530"/>
      <c r="TFT105" s="531"/>
      <c r="TFU105" s="530"/>
      <c r="TFV105" s="531"/>
      <c r="TFW105" s="530"/>
      <c r="TFX105" s="531"/>
      <c r="TFY105" s="530"/>
      <c r="TFZ105" s="531"/>
      <c r="TGA105" s="530"/>
      <c r="TGB105" s="531"/>
      <c r="TGC105" s="530"/>
      <c r="TGD105" s="531"/>
      <c r="TGE105" s="530"/>
      <c r="TGF105" s="531"/>
      <c r="TGG105" s="530"/>
      <c r="TGH105" s="531"/>
      <c r="TGI105" s="530"/>
      <c r="TGJ105" s="531"/>
      <c r="TGK105" s="530"/>
      <c r="TGL105" s="531"/>
      <c r="TGM105" s="530"/>
      <c r="TGN105" s="531"/>
      <c r="TGO105" s="530"/>
      <c r="TGP105" s="531"/>
      <c r="TGQ105" s="530"/>
      <c r="TGR105" s="531"/>
      <c r="TGS105" s="530"/>
      <c r="TGT105" s="531"/>
      <c r="TGU105" s="530"/>
      <c r="TGV105" s="531"/>
      <c r="TGW105" s="530"/>
      <c r="TGX105" s="531"/>
      <c r="TGY105" s="530"/>
      <c r="TGZ105" s="531"/>
      <c r="THA105" s="530"/>
      <c r="THB105" s="531"/>
      <c r="THC105" s="530"/>
      <c r="THD105" s="531"/>
      <c r="THE105" s="530"/>
      <c r="THF105" s="531"/>
      <c r="THG105" s="530"/>
      <c r="THH105" s="531"/>
      <c r="THI105" s="530"/>
      <c r="THJ105" s="531"/>
      <c r="THK105" s="530"/>
      <c r="THL105" s="531"/>
      <c r="THM105" s="530"/>
      <c r="THN105" s="531"/>
      <c r="THO105" s="530"/>
      <c r="THP105" s="531"/>
      <c r="THQ105" s="530"/>
      <c r="THR105" s="531"/>
      <c r="THS105" s="530"/>
      <c r="THT105" s="531"/>
      <c r="THU105" s="530"/>
      <c r="THV105" s="531"/>
      <c r="THW105" s="530"/>
      <c r="THX105" s="531"/>
      <c r="THY105" s="530"/>
      <c r="THZ105" s="531"/>
      <c r="TIA105" s="530"/>
      <c r="TIB105" s="531"/>
      <c r="TIC105" s="530"/>
      <c r="TID105" s="531"/>
      <c r="TIE105" s="530"/>
      <c r="TIF105" s="531"/>
      <c r="TIG105" s="530"/>
      <c r="TIH105" s="531"/>
      <c r="TII105" s="530"/>
      <c r="TIJ105" s="531"/>
      <c r="TIK105" s="530"/>
      <c r="TIL105" s="531"/>
      <c r="TIM105" s="530"/>
      <c r="TIN105" s="531"/>
      <c r="TIO105" s="530"/>
      <c r="TIP105" s="531"/>
      <c r="TIQ105" s="530"/>
      <c r="TIR105" s="531"/>
      <c r="TIS105" s="530"/>
      <c r="TIT105" s="531"/>
      <c r="TIU105" s="530"/>
      <c r="TIV105" s="531"/>
      <c r="TIW105" s="530"/>
      <c r="TIX105" s="531"/>
      <c r="TIY105" s="530"/>
      <c r="TIZ105" s="531"/>
      <c r="TJA105" s="530"/>
      <c r="TJB105" s="531"/>
      <c r="TJC105" s="530"/>
      <c r="TJD105" s="531"/>
      <c r="TJE105" s="530"/>
      <c r="TJF105" s="531"/>
      <c r="TJG105" s="530"/>
      <c r="TJH105" s="531"/>
      <c r="TJI105" s="530"/>
      <c r="TJJ105" s="531"/>
      <c r="TJK105" s="530"/>
      <c r="TJL105" s="531"/>
      <c r="TJM105" s="530"/>
      <c r="TJN105" s="531"/>
      <c r="TJO105" s="530"/>
      <c r="TJP105" s="531"/>
      <c r="TJQ105" s="530"/>
      <c r="TJR105" s="531"/>
      <c r="TJS105" s="530"/>
      <c r="TJT105" s="531"/>
      <c r="TJU105" s="530"/>
      <c r="TJV105" s="531"/>
      <c r="TJW105" s="530"/>
      <c r="TJX105" s="531"/>
      <c r="TJY105" s="530"/>
      <c r="TJZ105" s="531"/>
      <c r="TKA105" s="530"/>
      <c r="TKB105" s="531"/>
      <c r="TKC105" s="530"/>
      <c r="TKD105" s="531"/>
      <c r="TKE105" s="530"/>
      <c r="TKF105" s="531"/>
      <c r="TKG105" s="530"/>
      <c r="TKH105" s="531"/>
      <c r="TKI105" s="530"/>
      <c r="TKJ105" s="531"/>
      <c r="TKK105" s="530"/>
      <c r="TKL105" s="531"/>
      <c r="TKM105" s="530"/>
      <c r="TKN105" s="531"/>
      <c r="TKO105" s="530"/>
      <c r="TKP105" s="531"/>
      <c r="TKQ105" s="530"/>
      <c r="TKR105" s="531"/>
      <c r="TKS105" s="530"/>
      <c r="TKT105" s="531"/>
      <c r="TKU105" s="530"/>
      <c r="TKV105" s="531"/>
      <c r="TKW105" s="530"/>
      <c r="TKX105" s="531"/>
      <c r="TKY105" s="530"/>
      <c r="TKZ105" s="531"/>
      <c r="TLA105" s="530"/>
      <c r="TLB105" s="531"/>
      <c r="TLC105" s="530"/>
      <c r="TLD105" s="531"/>
      <c r="TLE105" s="530"/>
      <c r="TLF105" s="531"/>
      <c r="TLG105" s="530"/>
      <c r="TLH105" s="531"/>
      <c r="TLI105" s="530"/>
      <c r="TLJ105" s="531"/>
      <c r="TLK105" s="530"/>
      <c r="TLL105" s="531"/>
      <c r="TLM105" s="530"/>
      <c r="TLN105" s="531"/>
      <c r="TLO105" s="530"/>
      <c r="TLP105" s="531"/>
      <c r="TLQ105" s="530"/>
      <c r="TLR105" s="531"/>
      <c r="TLS105" s="530"/>
      <c r="TLT105" s="531"/>
      <c r="TLU105" s="530"/>
      <c r="TLV105" s="531"/>
      <c r="TLW105" s="530"/>
      <c r="TLX105" s="531"/>
      <c r="TLY105" s="530"/>
      <c r="TLZ105" s="531"/>
      <c r="TMA105" s="530"/>
      <c r="TMB105" s="531"/>
      <c r="TMC105" s="530"/>
      <c r="TMD105" s="531"/>
      <c r="TME105" s="530"/>
      <c r="TMF105" s="531"/>
      <c r="TMG105" s="530"/>
      <c r="TMH105" s="531"/>
      <c r="TMI105" s="530"/>
      <c r="TMJ105" s="531"/>
      <c r="TMK105" s="530"/>
      <c r="TML105" s="531"/>
      <c r="TMM105" s="530"/>
      <c r="TMN105" s="531"/>
      <c r="TMO105" s="530"/>
      <c r="TMP105" s="531"/>
      <c r="TMQ105" s="530"/>
      <c r="TMR105" s="531"/>
      <c r="TMS105" s="530"/>
      <c r="TMT105" s="531"/>
      <c r="TMU105" s="530"/>
      <c r="TMV105" s="531"/>
      <c r="TMW105" s="530"/>
      <c r="TMX105" s="531"/>
      <c r="TMY105" s="530"/>
      <c r="TMZ105" s="531"/>
      <c r="TNA105" s="530"/>
      <c r="TNB105" s="531"/>
      <c r="TNC105" s="530"/>
      <c r="TND105" s="531"/>
      <c r="TNE105" s="530"/>
      <c r="TNF105" s="531"/>
      <c r="TNG105" s="530"/>
      <c r="TNH105" s="531"/>
      <c r="TNI105" s="530"/>
      <c r="TNJ105" s="531"/>
      <c r="TNK105" s="530"/>
      <c r="TNL105" s="531"/>
      <c r="TNM105" s="530"/>
      <c r="TNN105" s="531"/>
      <c r="TNO105" s="530"/>
      <c r="TNP105" s="531"/>
      <c r="TNQ105" s="530"/>
      <c r="TNR105" s="531"/>
      <c r="TNS105" s="530"/>
      <c r="TNT105" s="531"/>
      <c r="TNU105" s="530"/>
      <c r="TNV105" s="531"/>
      <c r="TNW105" s="530"/>
      <c r="TNX105" s="531"/>
      <c r="TNY105" s="530"/>
      <c r="TNZ105" s="531"/>
      <c r="TOA105" s="530"/>
      <c r="TOB105" s="531"/>
      <c r="TOC105" s="530"/>
      <c r="TOD105" s="531"/>
      <c r="TOE105" s="530"/>
      <c r="TOF105" s="531"/>
      <c r="TOG105" s="530"/>
      <c r="TOH105" s="531"/>
      <c r="TOI105" s="530"/>
      <c r="TOJ105" s="531"/>
      <c r="TOK105" s="530"/>
      <c r="TOL105" s="531"/>
      <c r="TOM105" s="530"/>
      <c r="TON105" s="531"/>
      <c r="TOO105" s="530"/>
      <c r="TOP105" s="531"/>
      <c r="TOQ105" s="530"/>
      <c r="TOR105" s="531"/>
      <c r="TOS105" s="530"/>
      <c r="TOT105" s="531"/>
      <c r="TOU105" s="530"/>
      <c r="TOV105" s="531"/>
      <c r="TOW105" s="530"/>
      <c r="TOX105" s="531"/>
      <c r="TOY105" s="530"/>
      <c r="TOZ105" s="531"/>
      <c r="TPA105" s="530"/>
      <c r="TPB105" s="531"/>
      <c r="TPC105" s="530"/>
      <c r="TPD105" s="531"/>
      <c r="TPE105" s="530"/>
      <c r="TPF105" s="531"/>
      <c r="TPG105" s="530"/>
      <c r="TPH105" s="531"/>
      <c r="TPI105" s="530"/>
      <c r="TPJ105" s="531"/>
      <c r="TPK105" s="530"/>
      <c r="TPL105" s="531"/>
      <c r="TPM105" s="530"/>
      <c r="TPN105" s="531"/>
      <c r="TPO105" s="530"/>
      <c r="TPP105" s="531"/>
      <c r="TPQ105" s="530"/>
      <c r="TPR105" s="531"/>
      <c r="TPS105" s="530"/>
      <c r="TPT105" s="531"/>
      <c r="TPU105" s="530"/>
      <c r="TPV105" s="531"/>
      <c r="TPW105" s="530"/>
      <c r="TPX105" s="531"/>
      <c r="TPY105" s="530"/>
      <c r="TPZ105" s="531"/>
      <c r="TQA105" s="530"/>
      <c r="TQB105" s="531"/>
      <c r="TQC105" s="530"/>
      <c r="TQD105" s="531"/>
      <c r="TQE105" s="530"/>
      <c r="TQF105" s="531"/>
      <c r="TQG105" s="530"/>
      <c r="TQH105" s="531"/>
      <c r="TQI105" s="530"/>
      <c r="TQJ105" s="531"/>
      <c r="TQK105" s="530"/>
      <c r="TQL105" s="531"/>
      <c r="TQM105" s="530"/>
      <c r="TQN105" s="531"/>
      <c r="TQO105" s="530"/>
      <c r="TQP105" s="531"/>
      <c r="TQQ105" s="530"/>
      <c r="TQR105" s="531"/>
      <c r="TQS105" s="530"/>
      <c r="TQT105" s="531"/>
      <c r="TQU105" s="530"/>
      <c r="TQV105" s="531"/>
      <c r="TQW105" s="530"/>
      <c r="TQX105" s="531"/>
      <c r="TQY105" s="530"/>
      <c r="TQZ105" s="531"/>
      <c r="TRA105" s="530"/>
      <c r="TRB105" s="531"/>
      <c r="TRC105" s="530"/>
      <c r="TRD105" s="531"/>
      <c r="TRE105" s="530"/>
      <c r="TRF105" s="531"/>
      <c r="TRG105" s="530"/>
      <c r="TRH105" s="531"/>
      <c r="TRI105" s="530"/>
      <c r="TRJ105" s="531"/>
      <c r="TRK105" s="530"/>
      <c r="TRL105" s="531"/>
      <c r="TRM105" s="530"/>
      <c r="TRN105" s="531"/>
      <c r="TRO105" s="530"/>
      <c r="TRP105" s="531"/>
      <c r="TRQ105" s="530"/>
      <c r="TRR105" s="531"/>
      <c r="TRS105" s="530"/>
      <c r="TRT105" s="531"/>
      <c r="TRU105" s="530"/>
      <c r="TRV105" s="531"/>
      <c r="TRW105" s="530"/>
      <c r="TRX105" s="531"/>
      <c r="TRY105" s="530"/>
      <c r="TRZ105" s="531"/>
      <c r="TSA105" s="530"/>
      <c r="TSB105" s="531"/>
      <c r="TSC105" s="530"/>
      <c r="TSD105" s="531"/>
      <c r="TSE105" s="530"/>
      <c r="TSF105" s="531"/>
      <c r="TSG105" s="530"/>
      <c r="TSH105" s="531"/>
      <c r="TSI105" s="530"/>
      <c r="TSJ105" s="531"/>
      <c r="TSK105" s="530"/>
      <c r="TSL105" s="531"/>
      <c r="TSM105" s="530"/>
      <c r="TSN105" s="531"/>
      <c r="TSO105" s="530"/>
      <c r="TSP105" s="531"/>
      <c r="TSQ105" s="530"/>
      <c r="TSR105" s="531"/>
      <c r="TSS105" s="530"/>
      <c r="TST105" s="531"/>
      <c r="TSU105" s="530"/>
      <c r="TSV105" s="531"/>
      <c r="TSW105" s="530"/>
      <c r="TSX105" s="531"/>
      <c r="TSY105" s="530"/>
      <c r="TSZ105" s="531"/>
      <c r="TTA105" s="530"/>
      <c r="TTB105" s="531"/>
      <c r="TTC105" s="530"/>
      <c r="TTD105" s="531"/>
      <c r="TTE105" s="530"/>
      <c r="TTF105" s="531"/>
      <c r="TTG105" s="530"/>
      <c r="TTH105" s="531"/>
      <c r="TTI105" s="530"/>
      <c r="TTJ105" s="531"/>
      <c r="TTK105" s="530"/>
      <c r="TTL105" s="531"/>
      <c r="TTM105" s="530"/>
      <c r="TTN105" s="531"/>
      <c r="TTO105" s="530"/>
      <c r="TTP105" s="531"/>
      <c r="TTQ105" s="530"/>
      <c r="TTR105" s="531"/>
      <c r="TTS105" s="530"/>
      <c r="TTT105" s="531"/>
      <c r="TTU105" s="530"/>
      <c r="TTV105" s="531"/>
      <c r="TTW105" s="530"/>
      <c r="TTX105" s="531"/>
      <c r="TTY105" s="530"/>
      <c r="TTZ105" s="531"/>
      <c r="TUA105" s="530"/>
      <c r="TUB105" s="531"/>
      <c r="TUC105" s="530"/>
      <c r="TUD105" s="531"/>
      <c r="TUE105" s="530"/>
      <c r="TUF105" s="531"/>
      <c r="TUG105" s="530"/>
      <c r="TUH105" s="531"/>
      <c r="TUI105" s="530"/>
      <c r="TUJ105" s="531"/>
      <c r="TUK105" s="530"/>
      <c r="TUL105" s="531"/>
      <c r="TUM105" s="530"/>
      <c r="TUN105" s="531"/>
      <c r="TUO105" s="530"/>
      <c r="TUP105" s="531"/>
      <c r="TUQ105" s="530"/>
      <c r="TUR105" s="531"/>
      <c r="TUS105" s="530"/>
      <c r="TUT105" s="531"/>
      <c r="TUU105" s="530"/>
      <c r="TUV105" s="531"/>
      <c r="TUW105" s="530"/>
      <c r="TUX105" s="531"/>
      <c r="TUY105" s="530"/>
      <c r="TUZ105" s="531"/>
      <c r="TVA105" s="530"/>
      <c r="TVB105" s="531"/>
      <c r="TVC105" s="530"/>
      <c r="TVD105" s="531"/>
      <c r="TVE105" s="530"/>
      <c r="TVF105" s="531"/>
      <c r="TVG105" s="530"/>
      <c r="TVH105" s="531"/>
      <c r="TVI105" s="530"/>
      <c r="TVJ105" s="531"/>
      <c r="TVK105" s="530"/>
      <c r="TVL105" s="531"/>
      <c r="TVM105" s="530"/>
      <c r="TVN105" s="531"/>
      <c r="TVO105" s="530"/>
      <c r="TVP105" s="531"/>
      <c r="TVQ105" s="530"/>
      <c r="TVR105" s="531"/>
      <c r="TVS105" s="530"/>
      <c r="TVT105" s="531"/>
      <c r="TVU105" s="530"/>
      <c r="TVV105" s="531"/>
      <c r="TVW105" s="530"/>
      <c r="TVX105" s="531"/>
      <c r="TVY105" s="530"/>
      <c r="TVZ105" s="531"/>
      <c r="TWA105" s="530"/>
      <c r="TWB105" s="531"/>
      <c r="TWC105" s="530"/>
      <c r="TWD105" s="531"/>
      <c r="TWE105" s="530"/>
      <c r="TWF105" s="531"/>
      <c r="TWG105" s="530"/>
      <c r="TWH105" s="531"/>
      <c r="TWI105" s="530"/>
      <c r="TWJ105" s="531"/>
      <c r="TWK105" s="530"/>
      <c r="TWL105" s="531"/>
      <c r="TWM105" s="530"/>
      <c r="TWN105" s="531"/>
      <c r="TWO105" s="530"/>
      <c r="TWP105" s="531"/>
      <c r="TWQ105" s="530"/>
      <c r="TWR105" s="531"/>
      <c r="TWS105" s="530"/>
      <c r="TWT105" s="531"/>
      <c r="TWU105" s="530"/>
      <c r="TWV105" s="531"/>
      <c r="TWW105" s="530"/>
      <c r="TWX105" s="531"/>
      <c r="TWY105" s="530"/>
      <c r="TWZ105" s="531"/>
      <c r="TXA105" s="530"/>
      <c r="TXB105" s="531"/>
      <c r="TXC105" s="530"/>
      <c r="TXD105" s="531"/>
      <c r="TXE105" s="530"/>
      <c r="TXF105" s="531"/>
      <c r="TXG105" s="530"/>
      <c r="TXH105" s="531"/>
      <c r="TXI105" s="530"/>
      <c r="TXJ105" s="531"/>
      <c r="TXK105" s="530"/>
      <c r="TXL105" s="531"/>
      <c r="TXM105" s="530"/>
      <c r="TXN105" s="531"/>
      <c r="TXO105" s="530"/>
      <c r="TXP105" s="531"/>
      <c r="TXQ105" s="530"/>
      <c r="TXR105" s="531"/>
      <c r="TXS105" s="530"/>
      <c r="TXT105" s="531"/>
      <c r="TXU105" s="530"/>
      <c r="TXV105" s="531"/>
      <c r="TXW105" s="530"/>
      <c r="TXX105" s="531"/>
      <c r="TXY105" s="530"/>
      <c r="TXZ105" s="531"/>
      <c r="TYA105" s="530"/>
      <c r="TYB105" s="531"/>
      <c r="TYC105" s="530"/>
      <c r="TYD105" s="531"/>
      <c r="TYE105" s="530"/>
      <c r="TYF105" s="531"/>
      <c r="TYG105" s="530"/>
      <c r="TYH105" s="531"/>
      <c r="TYI105" s="530"/>
      <c r="TYJ105" s="531"/>
      <c r="TYK105" s="530"/>
      <c r="TYL105" s="531"/>
      <c r="TYM105" s="530"/>
      <c r="TYN105" s="531"/>
      <c r="TYO105" s="530"/>
      <c r="TYP105" s="531"/>
      <c r="TYQ105" s="530"/>
      <c r="TYR105" s="531"/>
      <c r="TYS105" s="530"/>
      <c r="TYT105" s="531"/>
      <c r="TYU105" s="530"/>
      <c r="TYV105" s="531"/>
      <c r="TYW105" s="530"/>
      <c r="TYX105" s="531"/>
      <c r="TYY105" s="530"/>
      <c r="TYZ105" s="531"/>
      <c r="TZA105" s="530"/>
      <c r="TZB105" s="531"/>
      <c r="TZC105" s="530"/>
      <c r="TZD105" s="531"/>
      <c r="TZE105" s="530"/>
      <c r="TZF105" s="531"/>
      <c r="TZG105" s="530"/>
      <c r="TZH105" s="531"/>
      <c r="TZI105" s="530"/>
      <c r="TZJ105" s="531"/>
      <c r="TZK105" s="530"/>
      <c r="TZL105" s="531"/>
      <c r="TZM105" s="530"/>
      <c r="TZN105" s="531"/>
      <c r="TZO105" s="530"/>
      <c r="TZP105" s="531"/>
      <c r="TZQ105" s="530"/>
      <c r="TZR105" s="531"/>
      <c r="TZS105" s="530"/>
      <c r="TZT105" s="531"/>
      <c r="TZU105" s="530"/>
      <c r="TZV105" s="531"/>
      <c r="TZW105" s="530"/>
      <c r="TZX105" s="531"/>
      <c r="TZY105" s="530"/>
      <c r="TZZ105" s="531"/>
      <c r="UAA105" s="530"/>
      <c r="UAB105" s="531"/>
      <c r="UAC105" s="530"/>
      <c r="UAD105" s="531"/>
      <c r="UAE105" s="530"/>
      <c r="UAF105" s="531"/>
      <c r="UAG105" s="530"/>
      <c r="UAH105" s="531"/>
      <c r="UAI105" s="530"/>
      <c r="UAJ105" s="531"/>
      <c r="UAK105" s="530"/>
      <c r="UAL105" s="531"/>
      <c r="UAM105" s="530"/>
      <c r="UAN105" s="531"/>
      <c r="UAO105" s="530"/>
      <c r="UAP105" s="531"/>
      <c r="UAQ105" s="530"/>
      <c r="UAR105" s="531"/>
      <c r="UAS105" s="530"/>
      <c r="UAT105" s="531"/>
      <c r="UAU105" s="530"/>
      <c r="UAV105" s="531"/>
      <c r="UAW105" s="530"/>
      <c r="UAX105" s="531"/>
      <c r="UAY105" s="530"/>
      <c r="UAZ105" s="531"/>
      <c r="UBA105" s="530"/>
      <c r="UBB105" s="531"/>
      <c r="UBC105" s="530"/>
      <c r="UBD105" s="531"/>
      <c r="UBE105" s="530"/>
      <c r="UBF105" s="531"/>
      <c r="UBG105" s="530"/>
      <c r="UBH105" s="531"/>
      <c r="UBI105" s="530"/>
      <c r="UBJ105" s="531"/>
      <c r="UBK105" s="530"/>
      <c r="UBL105" s="531"/>
      <c r="UBM105" s="530"/>
      <c r="UBN105" s="531"/>
      <c r="UBO105" s="530"/>
      <c r="UBP105" s="531"/>
      <c r="UBQ105" s="530"/>
      <c r="UBR105" s="531"/>
      <c r="UBS105" s="530"/>
      <c r="UBT105" s="531"/>
      <c r="UBU105" s="530"/>
      <c r="UBV105" s="531"/>
      <c r="UBW105" s="530"/>
      <c r="UBX105" s="531"/>
      <c r="UBY105" s="530"/>
      <c r="UBZ105" s="531"/>
      <c r="UCA105" s="530"/>
      <c r="UCB105" s="531"/>
      <c r="UCC105" s="530"/>
      <c r="UCD105" s="531"/>
      <c r="UCE105" s="530"/>
      <c r="UCF105" s="531"/>
      <c r="UCG105" s="530"/>
      <c r="UCH105" s="531"/>
      <c r="UCI105" s="530"/>
      <c r="UCJ105" s="531"/>
      <c r="UCK105" s="530"/>
      <c r="UCL105" s="531"/>
      <c r="UCM105" s="530"/>
      <c r="UCN105" s="531"/>
      <c r="UCO105" s="530"/>
      <c r="UCP105" s="531"/>
      <c r="UCQ105" s="530"/>
      <c r="UCR105" s="531"/>
      <c r="UCS105" s="530"/>
      <c r="UCT105" s="531"/>
      <c r="UCU105" s="530"/>
      <c r="UCV105" s="531"/>
      <c r="UCW105" s="530"/>
      <c r="UCX105" s="531"/>
      <c r="UCY105" s="530"/>
      <c r="UCZ105" s="531"/>
      <c r="UDA105" s="530"/>
      <c r="UDB105" s="531"/>
      <c r="UDC105" s="530"/>
      <c r="UDD105" s="531"/>
      <c r="UDE105" s="530"/>
      <c r="UDF105" s="531"/>
      <c r="UDG105" s="530"/>
      <c r="UDH105" s="531"/>
      <c r="UDI105" s="530"/>
      <c r="UDJ105" s="531"/>
      <c r="UDK105" s="530"/>
      <c r="UDL105" s="531"/>
      <c r="UDM105" s="530"/>
      <c r="UDN105" s="531"/>
      <c r="UDO105" s="530"/>
      <c r="UDP105" s="531"/>
      <c r="UDQ105" s="530"/>
      <c r="UDR105" s="531"/>
      <c r="UDS105" s="530"/>
      <c r="UDT105" s="531"/>
      <c r="UDU105" s="530"/>
      <c r="UDV105" s="531"/>
      <c r="UDW105" s="530"/>
      <c r="UDX105" s="531"/>
      <c r="UDY105" s="530"/>
      <c r="UDZ105" s="531"/>
      <c r="UEA105" s="530"/>
      <c r="UEB105" s="531"/>
      <c r="UEC105" s="530"/>
      <c r="UED105" s="531"/>
      <c r="UEE105" s="530"/>
      <c r="UEF105" s="531"/>
      <c r="UEG105" s="530"/>
      <c r="UEH105" s="531"/>
      <c r="UEI105" s="530"/>
      <c r="UEJ105" s="531"/>
      <c r="UEK105" s="530"/>
      <c r="UEL105" s="531"/>
      <c r="UEM105" s="530"/>
      <c r="UEN105" s="531"/>
      <c r="UEO105" s="530"/>
      <c r="UEP105" s="531"/>
      <c r="UEQ105" s="530"/>
      <c r="UER105" s="531"/>
      <c r="UES105" s="530"/>
      <c r="UET105" s="531"/>
      <c r="UEU105" s="530"/>
      <c r="UEV105" s="531"/>
      <c r="UEW105" s="530"/>
      <c r="UEX105" s="531"/>
      <c r="UEY105" s="530"/>
      <c r="UEZ105" s="531"/>
      <c r="UFA105" s="530"/>
      <c r="UFB105" s="531"/>
      <c r="UFC105" s="530"/>
      <c r="UFD105" s="531"/>
      <c r="UFE105" s="530"/>
      <c r="UFF105" s="531"/>
      <c r="UFG105" s="530"/>
      <c r="UFH105" s="531"/>
      <c r="UFI105" s="530"/>
      <c r="UFJ105" s="531"/>
      <c r="UFK105" s="530"/>
      <c r="UFL105" s="531"/>
      <c r="UFM105" s="530"/>
      <c r="UFN105" s="531"/>
      <c r="UFO105" s="530"/>
      <c r="UFP105" s="531"/>
      <c r="UFQ105" s="530"/>
      <c r="UFR105" s="531"/>
      <c r="UFS105" s="530"/>
      <c r="UFT105" s="531"/>
      <c r="UFU105" s="530"/>
      <c r="UFV105" s="531"/>
      <c r="UFW105" s="530"/>
      <c r="UFX105" s="531"/>
      <c r="UFY105" s="530"/>
      <c r="UFZ105" s="531"/>
      <c r="UGA105" s="530"/>
      <c r="UGB105" s="531"/>
      <c r="UGC105" s="530"/>
      <c r="UGD105" s="531"/>
      <c r="UGE105" s="530"/>
      <c r="UGF105" s="531"/>
      <c r="UGG105" s="530"/>
      <c r="UGH105" s="531"/>
      <c r="UGI105" s="530"/>
      <c r="UGJ105" s="531"/>
      <c r="UGK105" s="530"/>
      <c r="UGL105" s="531"/>
      <c r="UGM105" s="530"/>
      <c r="UGN105" s="531"/>
      <c r="UGO105" s="530"/>
      <c r="UGP105" s="531"/>
      <c r="UGQ105" s="530"/>
      <c r="UGR105" s="531"/>
      <c r="UGS105" s="530"/>
      <c r="UGT105" s="531"/>
      <c r="UGU105" s="530"/>
      <c r="UGV105" s="531"/>
      <c r="UGW105" s="530"/>
      <c r="UGX105" s="531"/>
      <c r="UGY105" s="530"/>
      <c r="UGZ105" s="531"/>
      <c r="UHA105" s="530"/>
      <c r="UHB105" s="531"/>
      <c r="UHC105" s="530"/>
      <c r="UHD105" s="531"/>
      <c r="UHE105" s="530"/>
      <c r="UHF105" s="531"/>
      <c r="UHG105" s="530"/>
      <c r="UHH105" s="531"/>
      <c r="UHI105" s="530"/>
      <c r="UHJ105" s="531"/>
      <c r="UHK105" s="530"/>
      <c r="UHL105" s="531"/>
      <c r="UHM105" s="530"/>
      <c r="UHN105" s="531"/>
      <c r="UHO105" s="530"/>
      <c r="UHP105" s="531"/>
      <c r="UHQ105" s="530"/>
      <c r="UHR105" s="531"/>
      <c r="UHS105" s="530"/>
      <c r="UHT105" s="531"/>
      <c r="UHU105" s="530"/>
      <c r="UHV105" s="531"/>
      <c r="UHW105" s="530"/>
      <c r="UHX105" s="531"/>
      <c r="UHY105" s="530"/>
      <c r="UHZ105" s="531"/>
      <c r="UIA105" s="530"/>
      <c r="UIB105" s="531"/>
      <c r="UIC105" s="530"/>
      <c r="UID105" s="531"/>
      <c r="UIE105" s="530"/>
      <c r="UIF105" s="531"/>
      <c r="UIG105" s="530"/>
      <c r="UIH105" s="531"/>
      <c r="UII105" s="530"/>
      <c r="UIJ105" s="531"/>
      <c r="UIK105" s="530"/>
      <c r="UIL105" s="531"/>
      <c r="UIM105" s="530"/>
      <c r="UIN105" s="531"/>
      <c r="UIO105" s="530"/>
      <c r="UIP105" s="531"/>
      <c r="UIQ105" s="530"/>
      <c r="UIR105" s="531"/>
      <c r="UIS105" s="530"/>
      <c r="UIT105" s="531"/>
      <c r="UIU105" s="530"/>
      <c r="UIV105" s="531"/>
      <c r="UIW105" s="530"/>
      <c r="UIX105" s="531"/>
      <c r="UIY105" s="530"/>
      <c r="UIZ105" s="531"/>
      <c r="UJA105" s="530"/>
      <c r="UJB105" s="531"/>
      <c r="UJC105" s="530"/>
      <c r="UJD105" s="531"/>
      <c r="UJE105" s="530"/>
      <c r="UJF105" s="531"/>
      <c r="UJG105" s="530"/>
      <c r="UJH105" s="531"/>
      <c r="UJI105" s="530"/>
      <c r="UJJ105" s="531"/>
      <c r="UJK105" s="530"/>
      <c r="UJL105" s="531"/>
      <c r="UJM105" s="530"/>
      <c r="UJN105" s="531"/>
      <c r="UJO105" s="530"/>
      <c r="UJP105" s="531"/>
      <c r="UJQ105" s="530"/>
      <c r="UJR105" s="531"/>
      <c r="UJS105" s="530"/>
      <c r="UJT105" s="531"/>
      <c r="UJU105" s="530"/>
      <c r="UJV105" s="531"/>
      <c r="UJW105" s="530"/>
      <c r="UJX105" s="531"/>
      <c r="UJY105" s="530"/>
      <c r="UJZ105" s="531"/>
      <c r="UKA105" s="530"/>
      <c r="UKB105" s="531"/>
      <c r="UKC105" s="530"/>
      <c r="UKD105" s="531"/>
      <c r="UKE105" s="530"/>
      <c r="UKF105" s="531"/>
      <c r="UKG105" s="530"/>
      <c r="UKH105" s="531"/>
      <c r="UKI105" s="530"/>
      <c r="UKJ105" s="531"/>
      <c r="UKK105" s="530"/>
      <c r="UKL105" s="531"/>
      <c r="UKM105" s="530"/>
      <c r="UKN105" s="531"/>
      <c r="UKO105" s="530"/>
      <c r="UKP105" s="531"/>
      <c r="UKQ105" s="530"/>
      <c r="UKR105" s="531"/>
      <c r="UKS105" s="530"/>
      <c r="UKT105" s="531"/>
      <c r="UKU105" s="530"/>
      <c r="UKV105" s="531"/>
      <c r="UKW105" s="530"/>
      <c r="UKX105" s="531"/>
      <c r="UKY105" s="530"/>
      <c r="UKZ105" s="531"/>
      <c r="ULA105" s="530"/>
      <c r="ULB105" s="531"/>
      <c r="ULC105" s="530"/>
      <c r="ULD105" s="531"/>
      <c r="ULE105" s="530"/>
      <c r="ULF105" s="531"/>
      <c r="ULG105" s="530"/>
      <c r="ULH105" s="531"/>
      <c r="ULI105" s="530"/>
      <c r="ULJ105" s="531"/>
      <c r="ULK105" s="530"/>
      <c r="ULL105" s="531"/>
      <c r="ULM105" s="530"/>
      <c r="ULN105" s="531"/>
      <c r="ULO105" s="530"/>
      <c r="ULP105" s="531"/>
      <c r="ULQ105" s="530"/>
      <c r="ULR105" s="531"/>
      <c r="ULS105" s="530"/>
      <c r="ULT105" s="531"/>
      <c r="ULU105" s="530"/>
      <c r="ULV105" s="531"/>
      <c r="ULW105" s="530"/>
      <c r="ULX105" s="531"/>
      <c r="ULY105" s="530"/>
      <c r="ULZ105" s="531"/>
      <c r="UMA105" s="530"/>
      <c r="UMB105" s="531"/>
      <c r="UMC105" s="530"/>
      <c r="UMD105" s="531"/>
      <c r="UME105" s="530"/>
      <c r="UMF105" s="531"/>
      <c r="UMG105" s="530"/>
      <c r="UMH105" s="531"/>
      <c r="UMI105" s="530"/>
      <c r="UMJ105" s="531"/>
      <c r="UMK105" s="530"/>
      <c r="UML105" s="531"/>
      <c r="UMM105" s="530"/>
      <c r="UMN105" s="531"/>
      <c r="UMO105" s="530"/>
      <c r="UMP105" s="531"/>
      <c r="UMQ105" s="530"/>
      <c r="UMR105" s="531"/>
      <c r="UMS105" s="530"/>
      <c r="UMT105" s="531"/>
      <c r="UMU105" s="530"/>
      <c r="UMV105" s="531"/>
      <c r="UMW105" s="530"/>
      <c r="UMX105" s="531"/>
      <c r="UMY105" s="530"/>
      <c r="UMZ105" s="531"/>
      <c r="UNA105" s="530"/>
      <c r="UNB105" s="531"/>
      <c r="UNC105" s="530"/>
      <c r="UND105" s="531"/>
      <c r="UNE105" s="530"/>
      <c r="UNF105" s="531"/>
      <c r="UNG105" s="530"/>
      <c r="UNH105" s="531"/>
      <c r="UNI105" s="530"/>
      <c r="UNJ105" s="531"/>
      <c r="UNK105" s="530"/>
      <c r="UNL105" s="531"/>
      <c r="UNM105" s="530"/>
      <c r="UNN105" s="531"/>
      <c r="UNO105" s="530"/>
      <c r="UNP105" s="531"/>
      <c r="UNQ105" s="530"/>
      <c r="UNR105" s="531"/>
      <c r="UNS105" s="530"/>
      <c r="UNT105" s="531"/>
      <c r="UNU105" s="530"/>
      <c r="UNV105" s="531"/>
      <c r="UNW105" s="530"/>
      <c r="UNX105" s="531"/>
      <c r="UNY105" s="530"/>
      <c r="UNZ105" s="531"/>
      <c r="UOA105" s="530"/>
      <c r="UOB105" s="531"/>
      <c r="UOC105" s="530"/>
      <c r="UOD105" s="531"/>
      <c r="UOE105" s="530"/>
      <c r="UOF105" s="531"/>
      <c r="UOG105" s="530"/>
      <c r="UOH105" s="531"/>
      <c r="UOI105" s="530"/>
      <c r="UOJ105" s="531"/>
      <c r="UOK105" s="530"/>
      <c r="UOL105" s="531"/>
      <c r="UOM105" s="530"/>
      <c r="UON105" s="531"/>
      <c r="UOO105" s="530"/>
      <c r="UOP105" s="531"/>
      <c r="UOQ105" s="530"/>
      <c r="UOR105" s="531"/>
      <c r="UOS105" s="530"/>
      <c r="UOT105" s="531"/>
      <c r="UOU105" s="530"/>
      <c r="UOV105" s="531"/>
      <c r="UOW105" s="530"/>
      <c r="UOX105" s="531"/>
      <c r="UOY105" s="530"/>
      <c r="UOZ105" s="531"/>
      <c r="UPA105" s="530"/>
      <c r="UPB105" s="531"/>
      <c r="UPC105" s="530"/>
      <c r="UPD105" s="531"/>
      <c r="UPE105" s="530"/>
      <c r="UPF105" s="531"/>
      <c r="UPG105" s="530"/>
      <c r="UPH105" s="531"/>
      <c r="UPI105" s="530"/>
      <c r="UPJ105" s="531"/>
      <c r="UPK105" s="530"/>
      <c r="UPL105" s="531"/>
      <c r="UPM105" s="530"/>
      <c r="UPN105" s="531"/>
      <c r="UPO105" s="530"/>
      <c r="UPP105" s="531"/>
      <c r="UPQ105" s="530"/>
      <c r="UPR105" s="531"/>
      <c r="UPS105" s="530"/>
      <c r="UPT105" s="531"/>
      <c r="UPU105" s="530"/>
      <c r="UPV105" s="531"/>
      <c r="UPW105" s="530"/>
      <c r="UPX105" s="531"/>
      <c r="UPY105" s="530"/>
      <c r="UPZ105" s="531"/>
      <c r="UQA105" s="530"/>
      <c r="UQB105" s="531"/>
      <c r="UQC105" s="530"/>
      <c r="UQD105" s="531"/>
      <c r="UQE105" s="530"/>
      <c r="UQF105" s="531"/>
      <c r="UQG105" s="530"/>
      <c r="UQH105" s="531"/>
      <c r="UQI105" s="530"/>
      <c r="UQJ105" s="531"/>
      <c r="UQK105" s="530"/>
      <c r="UQL105" s="531"/>
      <c r="UQM105" s="530"/>
      <c r="UQN105" s="531"/>
      <c r="UQO105" s="530"/>
      <c r="UQP105" s="531"/>
      <c r="UQQ105" s="530"/>
      <c r="UQR105" s="531"/>
      <c r="UQS105" s="530"/>
      <c r="UQT105" s="531"/>
      <c r="UQU105" s="530"/>
      <c r="UQV105" s="531"/>
      <c r="UQW105" s="530"/>
      <c r="UQX105" s="531"/>
      <c r="UQY105" s="530"/>
      <c r="UQZ105" s="531"/>
      <c r="URA105" s="530"/>
      <c r="URB105" s="531"/>
      <c r="URC105" s="530"/>
      <c r="URD105" s="531"/>
      <c r="URE105" s="530"/>
      <c r="URF105" s="531"/>
      <c r="URG105" s="530"/>
      <c r="URH105" s="531"/>
      <c r="URI105" s="530"/>
      <c r="URJ105" s="531"/>
      <c r="URK105" s="530"/>
      <c r="URL105" s="531"/>
      <c r="URM105" s="530"/>
      <c r="URN105" s="531"/>
      <c r="URO105" s="530"/>
      <c r="URP105" s="531"/>
      <c r="URQ105" s="530"/>
      <c r="URR105" s="531"/>
      <c r="URS105" s="530"/>
      <c r="URT105" s="531"/>
      <c r="URU105" s="530"/>
      <c r="URV105" s="531"/>
      <c r="URW105" s="530"/>
      <c r="URX105" s="531"/>
      <c r="URY105" s="530"/>
      <c r="URZ105" s="531"/>
      <c r="USA105" s="530"/>
      <c r="USB105" s="531"/>
      <c r="USC105" s="530"/>
      <c r="USD105" s="531"/>
      <c r="USE105" s="530"/>
      <c r="USF105" s="531"/>
      <c r="USG105" s="530"/>
      <c r="USH105" s="531"/>
      <c r="USI105" s="530"/>
      <c r="USJ105" s="531"/>
      <c r="USK105" s="530"/>
      <c r="USL105" s="531"/>
      <c r="USM105" s="530"/>
      <c r="USN105" s="531"/>
      <c r="USO105" s="530"/>
      <c r="USP105" s="531"/>
      <c r="USQ105" s="530"/>
      <c r="USR105" s="531"/>
      <c r="USS105" s="530"/>
      <c r="UST105" s="531"/>
      <c r="USU105" s="530"/>
      <c r="USV105" s="531"/>
      <c r="USW105" s="530"/>
      <c r="USX105" s="531"/>
      <c r="USY105" s="530"/>
      <c r="USZ105" s="531"/>
      <c r="UTA105" s="530"/>
      <c r="UTB105" s="531"/>
      <c r="UTC105" s="530"/>
      <c r="UTD105" s="531"/>
      <c r="UTE105" s="530"/>
      <c r="UTF105" s="531"/>
      <c r="UTG105" s="530"/>
      <c r="UTH105" s="531"/>
      <c r="UTI105" s="530"/>
      <c r="UTJ105" s="531"/>
      <c r="UTK105" s="530"/>
      <c r="UTL105" s="531"/>
      <c r="UTM105" s="530"/>
      <c r="UTN105" s="531"/>
      <c r="UTO105" s="530"/>
      <c r="UTP105" s="531"/>
      <c r="UTQ105" s="530"/>
      <c r="UTR105" s="531"/>
      <c r="UTS105" s="530"/>
      <c r="UTT105" s="531"/>
      <c r="UTU105" s="530"/>
      <c r="UTV105" s="531"/>
      <c r="UTW105" s="530"/>
      <c r="UTX105" s="531"/>
      <c r="UTY105" s="530"/>
      <c r="UTZ105" s="531"/>
      <c r="UUA105" s="530"/>
      <c r="UUB105" s="531"/>
      <c r="UUC105" s="530"/>
      <c r="UUD105" s="531"/>
      <c r="UUE105" s="530"/>
      <c r="UUF105" s="531"/>
      <c r="UUG105" s="530"/>
      <c r="UUH105" s="531"/>
      <c r="UUI105" s="530"/>
      <c r="UUJ105" s="531"/>
      <c r="UUK105" s="530"/>
      <c r="UUL105" s="531"/>
      <c r="UUM105" s="530"/>
      <c r="UUN105" s="531"/>
      <c r="UUO105" s="530"/>
      <c r="UUP105" s="531"/>
      <c r="UUQ105" s="530"/>
      <c r="UUR105" s="531"/>
      <c r="UUS105" s="530"/>
      <c r="UUT105" s="531"/>
      <c r="UUU105" s="530"/>
      <c r="UUV105" s="531"/>
      <c r="UUW105" s="530"/>
      <c r="UUX105" s="531"/>
      <c r="UUY105" s="530"/>
      <c r="UUZ105" s="531"/>
      <c r="UVA105" s="530"/>
      <c r="UVB105" s="531"/>
      <c r="UVC105" s="530"/>
      <c r="UVD105" s="531"/>
      <c r="UVE105" s="530"/>
      <c r="UVF105" s="531"/>
      <c r="UVG105" s="530"/>
      <c r="UVH105" s="531"/>
      <c r="UVI105" s="530"/>
      <c r="UVJ105" s="531"/>
      <c r="UVK105" s="530"/>
      <c r="UVL105" s="531"/>
      <c r="UVM105" s="530"/>
      <c r="UVN105" s="531"/>
      <c r="UVO105" s="530"/>
      <c r="UVP105" s="531"/>
      <c r="UVQ105" s="530"/>
      <c r="UVR105" s="531"/>
      <c r="UVS105" s="530"/>
      <c r="UVT105" s="531"/>
      <c r="UVU105" s="530"/>
      <c r="UVV105" s="531"/>
      <c r="UVW105" s="530"/>
      <c r="UVX105" s="531"/>
      <c r="UVY105" s="530"/>
      <c r="UVZ105" s="531"/>
      <c r="UWA105" s="530"/>
      <c r="UWB105" s="531"/>
      <c r="UWC105" s="530"/>
      <c r="UWD105" s="531"/>
      <c r="UWE105" s="530"/>
      <c r="UWF105" s="531"/>
      <c r="UWG105" s="530"/>
      <c r="UWH105" s="531"/>
      <c r="UWI105" s="530"/>
      <c r="UWJ105" s="531"/>
      <c r="UWK105" s="530"/>
      <c r="UWL105" s="531"/>
      <c r="UWM105" s="530"/>
      <c r="UWN105" s="531"/>
      <c r="UWO105" s="530"/>
      <c r="UWP105" s="531"/>
      <c r="UWQ105" s="530"/>
      <c r="UWR105" s="531"/>
      <c r="UWS105" s="530"/>
      <c r="UWT105" s="531"/>
      <c r="UWU105" s="530"/>
      <c r="UWV105" s="531"/>
      <c r="UWW105" s="530"/>
      <c r="UWX105" s="531"/>
      <c r="UWY105" s="530"/>
      <c r="UWZ105" s="531"/>
      <c r="UXA105" s="530"/>
      <c r="UXB105" s="531"/>
      <c r="UXC105" s="530"/>
      <c r="UXD105" s="531"/>
      <c r="UXE105" s="530"/>
      <c r="UXF105" s="531"/>
      <c r="UXG105" s="530"/>
      <c r="UXH105" s="531"/>
      <c r="UXI105" s="530"/>
      <c r="UXJ105" s="531"/>
      <c r="UXK105" s="530"/>
      <c r="UXL105" s="531"/>
      <c r="UXM105" s="530"/>
      <c r="UXN105" s="531"/>
      <c r="UXO105" s="530"/>
      <c r="UXP105" s="531"/>
      <c r="UXQ105" s="530"/>
      <c r="UXR105" s="531"/>
      <c r="UXS105" s="530"/>
      <c r="UXT105" s="531"/>
      <c r="UXU105" s="530"/>
      <c r="UXV105" s="531"/>
      <c r="UXW105" s="530"/>
      <c r="UXX105" s="531"/>
      <c r="UXY105" s="530"/>
      <c r="UXZ105" s="531"/>
      <c r="UYA105" s="530"/>
      <c r="UYB105" s="531"/>
      <c r="UYC105" s="530"/>
      <c r="UYD105" s="531"/>
      <c r="UYE105" s="530"/>
      <c r="UYF105" s="531"/>
      <c r="UYG105" s="530"/>
      <c r="UYH105" s="531"/>
      <c r="UYI105" s="530"/>
      <c r="UYJ105" s="531"/>
      <c r="UYK105" s="530"/>
      <c r="UYL105" s="531"/>
      <c r="UYM105" s="530"/>
      <c r="UYN105" s="531"/>
      <c r="UYO105" s="530"/>
      <c r="UYP105" s="531"/>
      <c r="UYQ105" s="530"/>
      <c r="UYR105" s="531"/>
      <c r="UYS105" s="530"/>
      <c r="UYT105" s="531"/>
      <c r="UYU105" s="530"/>
      <c r="UYV105" s="531"/>
      <c r="UYW105" s="530"/>
      <c r="UYX105" s="531"/>
      <c r="UYY105" s="530"/>
      <c r="UYZ105" s="531"/>
      <c r="UZA105" s="530"/>
      <c r="UZB105" s="531"/>
      <c r="UZC105" s="530"/>
      <c r="UZD105" s="531"/>
      <c r="UZE105" s="530"/>
      <c r="UZF105" s="531"/>
      <c r="UZG105" s="530"/>
      <c r="UZH105" s="531"/>
      <c r="UZI105" s="530"/>
      <c r="UZJ105" s="531"/>
      <c r="UZK105" s="530"/>
      <c r="UZL105" s="531"/>
      <c r="UZM105" s="530"/>
      <c r="UZN105" s="531"/>
      <c r="UZO105" s="530"/>
      <c r="UZP105" s="531"/>
      <c r="UZQ105" s="530"/>
      <c r="UZR105" s="531"/>
      <c r="UZS105" s="530"/>
      <c r="UZT105" s="531"/>
      <c r="UZU105" s="530"/>
      <c r="UZV105" s="531"/>
      <c r="UZW105" s="530"/>
      <c r="UZX105" s="531"/>
      <c r="UZY105" s="530"/>
      <c r="UZZ105" s="531"/>
      <c r="VAA105" s="530"/>
      <c r="VAB105" s="531"/>
      <c r="VAC105" s="530"/>
      <c r="VAD105" s="531"/>
      <c r="VAE105" s="530"/>
      <c r="VAF105" s="531"/>
      <c r="VAG105" s="530"/>
      <c r="VAH105" s="531"/>
      <c r="VAI105" s="530"/>
      <c r="VAJ105" s="531"/>
      <c r="VAK105" s="530"/>
      <c r="VAL105" s="531"/>
      <c r="VAM105" s="530"/>
      <c r="VAN105" s="531"/>
      <c r="VAO105" s="530"/>
      <c r="VAP105" s="531"/>
      <c r="VAQ105" s="530"/>
      <c r="VAR105" s="531"/>
      <c r="VAS105" s="530"/>
      <c r="VAT105" s="531"/>
      <c r="VAU105" s="530"/>
      <c r="VAV105" s="531"/>
      <c r="VAW105" s="530"/>
      <c r="VAX105" s="531"/>
      <c r="VAY105" s="530"/>
      <c r="VAZ105" s="531"/>
      <c r="VBA105" s="530"/>
      <c r="VBB105" s="531"/>
      <c r="VBC105" s="530"/>
      <c r="VBD105" s="531"/>
      <c r="VBE105" s="530"/>
      <c r="VBF105" s="531"/>
      <c r="VBG105" s="530"/>
      <c r="VBH105" s="531"/>
      <c r="VBI105" s="530"/>
      <c r="VBJ105" s="531"/>
      <c r="VBK105" s="530"/>
      <c r="VBL105" s="531"/>
      <c r="VBM105" s="530"/>
      <c r="VBN105" s="531"/>
      <c r="VBO105" s="530"/>
      <c r="VBP105" s="531"/>
      <c r="VBQ105" s="530"/>
      <c r="VBR105" s="531"/>
      <c r="VBS105" s="530"/>
      <c r="VBT105" s="531"/>
      <c r="VBU105" s="530"/>
      <c r="VBV105" s="531"/>
      <c r="VBW105" s="530"/>
      <c r="VBX105" s="531"/>
      <c r="VBY105" s="530"/>
      <c r="VBZ105" s="531"/>
      <c r="VCA105" s="530"/>
      <c r="VCB105" s="531"/>
      <c r="VCC105" s="530"/>
      <c r="VCD105" s="531"/>
      <c r="VCE105" s="530"/>
      <c r="VCF105" s="531"/>
      <c r="VCG105" s="530"/>
      <c r="VCH105" s="531"/>
      <c r="VCI105" s="530"/>
      <c r="VCJ105" s="531"/>
      <c r="VCK105" s="530"/>
      <c r="VCL105" s="531"/>
      <c r="VCM105" s="530"/>
      <c r="VCN105" s="531"/>
      <c r="VCO105" s="530"/>
      <c r="VCP105" s="531"/>
      <c r="VCQ105" s="530"/>
      <c r="VCR105" s="531"/>
      <c r="VCS105" s="530"/>
      <c r="VCT105" s="531"/>
      <c r="VCU105" s="530"/>
      <c r="VCV105" s="531"/>
      <c r="VCW105" s="530"/>
      <c r="VCX105" s="531"/>
      <c r="VCY105" s="530"/>
      <c r="VCZ105" s="531"/>
      <c r="VDA105" s="530"/>
      <c r="VDB105" s="531"/>
      <c r="VDC105" s="530"/>
      <c r="VDD105" s="531"/>
      <c r="VDE105" s="530"/>
      <c r="VDF105" s="531"/>
      <c r="VDG105" s="530"/>
      <c r="VDH105" s="531"/>
      <c r="VDI105" s="530"/>
      <c r="VDJ105" s="531"/>
      <c r="VDK105" s="530"/>
      <c r="VDL105" s="531"/>
      <c r="VDM105" s="530"/>
      <c r="VDN105" s="531"/>
      <c r="VDO105" s="530"/>
      <c r="VDP105" s="531"/>
      <c r="VDQ105" s="530"/>
      <c r="VDR105" s="531"/>
      <c r="VDS105" s="530"/>
      <c r="VDT105" s="531"/>
      <c r="VDU105" s="530"/>
      <c r="VDV105" s="531"/>
      <c r="VDW105" s="530"/>
      <c r="VDX105" s="531"/>
      <c r="VDY105" s="530"/>
      <c r="VDZ105" s="531"/>
      <c r="VEA105" s="530"/>
      <c r="VEB105" s="531"/>
      <c r="VEC105" s="530"/>
      <c r="VED105" s="531"/>
      <c r="VEE105" s="530"/>
      <c r="VEF105" s="531"/>
      <c r="VEG105" s="530"/>
      <c r="VEH105" s="531"/>
      <c r="VEI105" s="530"/>
      <c r="VEJ105" s="531"/>
      <c r="VEK105" s="530"/>
      <c r="VEL105" s="531"/>
      <c r="VEM105" s="530"/>
      <c r="VEN105" s="531"/>
      <c r="VEO105" s="530"/>
      <c r="VEP105" s="531"/>
      <c r="VEQ105" s="530"/>
      <c r="VER105" s="531"/>
      <c r="VES105" s="530"/>
      <c r="VET105" s="531"/>
      <c r="VEU105" s="530"/>
      <c r="VEV105" s="531"/>
      <c r="VEW105" s="530"/>
      <c r="VEX105" s="531"/>
      <c r="VEY105" s="530"/>
      <c r="VEZ105" s="531"/>
      <c r="VFA105" s="530"/>
      <c r="VFB105" s="531"/>
      <c r="VFC105" s="530"/>
      <c r="VFD105" s="531"/>
      <c r="VFE105" s="530"/>
      <c r="VFF105" s="531"/>
      <c r="VFG105" s="530"/>
      <c r="VFH105" s="531"/>
      <c r="VFI105" s="530"/>
      <c r="VFJ105" s="531"/>
      <c r="VFK105" s="530"/>
      <c r="VFL105" s="531"/>
      <c r="VFM105" s="530"/>
      <c r="VFN105" s="531"/>
      <c r="VFO105" s="530"/>
      <c r="VFP105" s="531"/>
      <c r="VFQ105" s="530"/>
      <c r="VFR105" s="531"/>
      <c r="VFS105" s="530"/>
      <c r="VFT105" s="531"/>
      <c r="VFU105" s="530"/>
      <c r="VFV105" s="531"/>
      <c r="VFW105" s="530"/>
      <c r="VFX105" s="531"/>
      <c r="VFY105" s="530"/>
      <c r="VFZ105" s="531"/>
      <c r="VGA105" s="530"/>
      <c r="VGB105" s="531"/>
      <c r="VGC105" s="530"/>
      <c r="VGD105" s="531"/>
      <c r="VGE105" s="530"/>
      <c r="VGF105" s="531"/>
      <c r="VGG105" s="530"/>
      <c r="VGH105" s="531"/>
      <c r="VGI105" s="530"/>
      <c r="VGJ105" s="531"/>
      <c r="VGK105" s="530"/>
      <c r="VGL105" s="531"/>
      <c r="VGM105" s="530"/>
      <c r="VGN105" s="531"/>
      <c r="VGO105" s="530"/>
      <c r="VGP105" s="531"/>
      <c r="VGQ105" s="530"/>
      <c r="VGR105" s="531"/>
      <c r="VGS105" s="530"/>
      <c r="VGT105" s="531"/>
      <c r="VGU105" s="530"/>
      <c r="VGV105" s="531"/>
      <c r="VGW105" s="530"/>
      <c r="VGX105" s="531"/>
      <c r="VGY105" s="530"/>
      <c r="VGZ105" s="531"/>
      <c r="VHA105" s="530"/>
      <c r="VHB105" s="531"/>
      <c r="VHC105" s="530"/>
      <c r="VHD105" s="531"/>
      <c r="VHE105" s="530"/>
      <c r="VHF105" s="531"/>
      <c r="VHG105" s="530"/>
      <c r="VHH105" s="531"/>
      <c r="VHI105" s="530"/>
      <c r="VHJ105" s="531"/>
      <c r="VHK105" s="530"/>
      <c r="VHL105" s="531"/>
      <c r="VHM105" s="530"/>
      <c r="VHN105" s="531"/>
      <c r="VHO105" s="530"/>
      <c r="VHP105" s="531"/>
      <c r="VHQ105" s="530"/>
      <c r="VHR105" s="531"/>
      <c r="VHS105" s="530"/>
      <c r="VHT105" s="531"/>
      <c r="VHU105" s="530"/>
      <c r="VHV105" s="531"/>
      <c r="VHW105" s="530"/>
      <c r="VHX105" s="531"/>
      <c r="VHY105" s="530"/>
      <c r="VHZ105" s="531"/>
      <c r="VIA105" s="530"/>
      <c r="VIB105" s="531"/>
      <c r="VIC105" s="530"/>
      <c r="VID105" s="531"/>
      <c r="VIE105" s="530"/>
      <c r="VIF105" s="531"/>
      <c r="VIG105" s="530"/>
      <c r="VIH105" s="531"/>
      <c r="VII105" s="530"/>
      <c r="VIJ105" s="531"/>
      <c r="VIK105" s="530"/>
      <c r="VIL105" s="531"/>
      <c r="VIM105" s="530"/>
      <c r="VIN105" s="531"/>
      <c r="VIO105" s="530"/>
      <c r="VIP105" s="531"/>
      <c r="VIQ105" s="530"/>
      <c r="VIR105" s="531"/>
      <c r="VIS105" s="530"/>
      <c r="VIT105" s="531"/>
      <c r="VIU105" s="530"/>
      <c r="VIV105" s="531"/>
      <c r="VIW105" s="530"/>
      <c r="VIX105" s="531"/>
      <c r="VIY105" s="530"/>
      <c r="VIZ105" s="531"/>
      <c r="VJA105" s="530"/>
      <c r="VJB105" s="531"/>
      <c r="VJC105" s="530"/>
      <c r="VJD105" s="531"/>
      <c r="VJE105" s="530"/>
      <c r="VJF105" s="531"/>
      <c r="VJG105" s="530"/>
      <c r="VJH105" s="531"/>
      <c r="VJI105" s="530"/>
      <c r="VJJ105" s="531"/>
      <c r="VJK105" s="530"/>
      <c r="VJL105" s="531"/>
      <c r="VJM105" s="530"/>
      <c r="VJN105" s="531"/>
      <c r="VJO105" s="530"/>
      <c r="VJP105" s="531"/>
      <c r="VJQ105" s="530"/>
      <c r="VJR105" s="531"/>
      <c r="VJS105" s="530"/>
      <c r="VJT105" s="531"/>
      <c r="VJU105" s="530"/>
      <c r="VJV105" s="531"/>
      <c r="VJW105" s="530"/>
      <c r="VJX105" s="531"/>
      <c r="VJY105" s="530"/>
      <c r="VJZ105" s="531"/>
      <c r="VKA105" s="530"/>
      <c r="VKB105" s="531"/>
      <c r="VKC105" s="530"/>
      <c r="VKD105" s="531"/>
      <c r="VKE105" s="530"/>
      <c r="VKF105" s="531"/>
      <c r="VKG105" s="530"/>
      <c r="VKH105" s="531"/>
      <c r="VKI105" s="530"/>
      <c r="VKJ105" s="531"/>
      <c r="VKK105" s="530"/>
      <c r="VKL105" s="531"/>
      <c r="VKM105" s="530"/>
      <c r="VKN105" s="531"/>
      <c r="VKO105" s="530"/>
      <c r="VKP105" s="531"/>
      <c r="VKQ105" s="530"/>
      <c r="VKR105" s="531"/>
      <c r="VKS105" s="530"/>
      <c r="VKT105" s="531"/>
      <c r="VKU105" s="530"/>
      <c r="VKV105" s="531"/>
      <c r="VKW105" s="530"/>
      <c r="VKX105" s="531"/>
      <c r="VKY105" s="530"/>
      <c r="VKZ105" s="531"/>
      <c r="VLA105" s="530"/>
      <c r="VLB105" s="531"/>
      <c r="VLC105" s="530"/>
      <c r="VLD105" s="531"/>
      <c r="VLE105" s="530"/>
      <c r="VLF105" s="531"/>
      <c r="VLG105" s="530"/>
      <c r="VLH105" s="531"/>
      <c r="VLI105" s="530"/>
      <c r="VLJ105" s="531"/>
      <c r="VLK105" s="530"/>
      <c r="VLL105" s="531"/>
      <c r="VLM105" s="530"/>
      <c r="VLN105" s="531"/>
      <c r="VLO105" s="530"/>
      <c r="VLP105" s="531"/>
      <c r="VLQ105" s="530"/>
      <c r="VLR105" s="531"/>
      <c r="VLS105" s="530"/>
      <c r="VLT105" s="531"/>
      <c r="VLU105" s="530"/>
      <c r="VLV105" s="531"/>
      <c r="VLW105" s="530"/>
      <c r="VLX105" s="531"/>
      <c r="VLY105" s="530"/>
      <c r="VLZ105" s="531"/>
      <c r="VMA105" s="530"/>
      <c r="VMB105" s="531"/>
      <c r="VMC105" s="530"/>
      <c r="VMD105" s="531"/>
      <c r="VME105" s="530"/>
      <c r="VMF105" s="531"/>
      <c r="VMG105" s="530"/>
      <c r="VMH105" s="531"/>
      <c r="VMI105" s="530"/>
      <c r="VMJ105" s="531"/>
      <c r="VMK105" s="530"/>
      <c r="VML105" s="531"/>
      <c r="VMM105" s="530"/>
      <c r="VMN105" s="531"/>
      <c r="VMO105" s="530"/>
      <c r="VMP105" s="531"/>
      <c r="VMQ105" s="530"/>
      <c r="VMR105" s="531"/>
      <c r="VMS105" s="530"/>
      <c r="VMT105" s="531"/>
      <c r="VMU105" s="530"/>
      <c r="VMV105" s="531"/>
      <c r="VMW105" s="530"/>
      <c r="VMX105" s="531"/>
      <c r="VMY105" s="530"/>
      <c r="VMZ105" s="531"/>
      <c r="VNA105" s="530"/>
      <c r="VNB105" s="531"/>
      <c r="VNC105" s="530"/>
      <c r="VND105" s="531"/>
      <c r="VNE105" s="530"/>
      <c r="VNF105" s="531"/>
      <c r="VNG105" s="530"/>
      <c r="VNH105" s="531"/>
      <c r="VNI105" s="530"/>
      <c r="VNJ105" s="531"/>
      <c r="VNK105" s="530"/>
      <c r="VNL105" s="531"/>
      <c r="VNM105" s="530"/>
      <c r="VNN105" s="531"/>
      <c r="VNO105" s="530"/>
      <c r="VNP105" s="531"/>
      <c r="VNQ105" s="530"/>
      <c r="VNR105" s="531"/>
      <c r="VNS105" s="530"/>
      <c r="VNT105" s="531"/>
      <c r="VNU105" s="530"/>
      <c r="VNV105" s="531"/>
      <c r="VNW105" s="530"/>
      <c r="VNX105" s="531"/>
      <c r="VNY105" s="530"/>
      <c r="VNZ105" s="531"/>
      <c r="VOA105" s="530"/>
      <c r="VOB105" s="531"/>
      <c r="VOC105" s="530"/>
      <c r="VOD105" s="531"/>
      <c r="VOE105" s="530"/>
      <c r="VOF105" s="531"/>
      <c r="VOG105" s="530"/>
      <c r="VOH105" s="531"/>
      <c r="VOI105" s="530"/>
      <c r="VOJ105" s="531"/>
      <c r="VOK105" s="530"/>
      <c r="VOL105" s="531"/>
      <c r="VOM105" s="530"/>
      <c r="VON105" s="531"/>
      <c r="VOO105" s="530"/>
      <c r="VOP105" s="531"/>
      <c r="VOQ105" s="530"/>
      <c r="VOR105" s="531"/>
      <c r="VOS105" s="530"/>
      <c r="VOT105" s="531"/>
      <c r="VOU105" s="530"/>
      <c r="VOV105" s="531"/>
      <c r="VOW105" s="530"/>
      <c r="VOX105" s="531"/>
      <c r="VOY105" s="530"/>
      <c r="VOZ105" s="531"/>
      <c r="VPA105" s="530"/>
      <c r="VPB105" s="531"/>
      <c r="VPC105" s="530"/>
      <c r="VPD105" s="531"/>
      <c r="VPE105" s="530"/>
      <c r="VPF105" s="531"/>
      <c r="VPG105" s="530"/>
      <c r="VPH105" s="531"/>
      <c r="VPI105" s="530"/>
      <c r="VPJ105" s="531"/>
      <c r="VPK105" s="530"/>
      <c r="VPL105" s="531"/>
      <c r="VPM105" s="530"/>
      <c r="VPN105" s="531"/>
      <c r="VPO105" s="530"/>
      <c r="VPP105" s="531"/>
      <c r="VPQ105" s="530"/>
      <c r="VPR105" s="531"/>
      <c r="VPS105" s="530"/>
      <c r="VPT105" s="531"/>
      <c r="VPU105" s="530"/>
      <c r="VPV105" s="531"/>
      <c r="VPW105" s="530"/>
      <c r="VPX105" s="531"/>
      <c r="VPY105" s="530"/>
      <c r="VPZ105" s="531"/>
      <c r="VQA105" s="530"/>
      <c r="VQB105" s="531"/>
      <c r="VQC105" s="530"/>
      <c r="VQD105" s="531"/>
      <c r="VQE105" s="530"/>
      <c r="VQF105" s="531"/>
      <c r="VQG105" s="530"/>
      <c r="VQH105" s="531"/>
      <c r="VQI105" s="530"/>
      <c r="VQJ105" s="531"/>
      <c r="VQK105" s="530"/>
      <c r="VQL105" s="531"/>
      <c r="VQM105" s="530"/>
      <c r="VQN105" s="531"/>
      <c r="VQO105" s="530"/>
      <c r="VQP105" s="531"/>
      <c r="VQQ105" s="530"/>
      <c r="VQR105" s="531"/>
      <c r="VQS105" s="530"/>
      <c r="VQT105" s="531"/>
      <c r="VQU105" s="530"/>
      <c r="VQV105" s="531"/>
      <c r="VQW105" s="530"/>
      <c r="VQX105" s="531"/>
      <c r="VQY105" s="530"/>
      <c r="VQZ105" s="531"/>
      <c r="VRA105" s="530"/>
      <c r="VRB105" s="531"/>
      <c r="VRC105" s="530"/>
      <c r="VRD105" s="531"/>
      <c r="VRE105" s="530"/>
      <c r="VRF105" s="531"/>
      <c r="VRG105" s="530"/>
      <c r="VRH105" s="531"/>
      <c r="VRI105" s="530"/>
      <c r="VRJ105" s="531"/>
      <c r="VRK105" s="530"/>
      <c r="VRL105" s="531"/>
      <c r="VRM105" s="530"/>
      <c r="VRN105" s="531"/>
      <c r="VRO105" s="530"/>
      <c r="VRP105" s="531"/>
      <c r="VRQ105" s="530"/>
      <c r="VRR105" s="531"/>
      <c r="VRS105" s="530"/>
      <c r="VRT105" s="531"/>
      <c r="VRU105" s="530"/>
      <c r="VRV105" s="531"/>
      <c r="VRW105" s="530"/>
      <c r="VRX105" s="531"/>
      <c r="VRY105" s="530"/>
      <c r="VRZ105" s="531"/>
      <c r="VSA105" s="530"/>
      <c r="VSB105" s="531"/>
      <c r="VSC105" s="530"/>
      <c r="VSD105" s="531"/>
      <c r="VSE105" s="530"/>
      <c r="VSF105" s="531"/>
      <c r="VSG105" s="530"/>
      <c r="VSH105" s="531"/>
      <c r="VSI105" s="530"/>
      <c r="VSJ105" s="531"/>
      <c r="VSK105" s="530"/>
      <c r="VSL105" s="531"/>
      <c r="VSM105" s="530"/>
      <c r="VSN105" s="531"/>
      <c r="VSO105" s="530"/>
      <c r="VSP105" s="531"/>
      <c r="VSQ105" s="530"/>
      <c r="VSR105" s="531"/>
      <c r="VSS105" s="530"/>
      <c r="VST105" s="531"/>
      <c r="VSU105" s="530"/>
      <c r="VSV105" s="531"/>
      <c r="VSW105" s="530"/>
      <c r="VSX105" s="531"/>
      <c r="VSY105" s="530"/>
      <c r="VSZ105" s="531"/>
      <c r="VTA105" s="530"/>
      <c r="VTB105" s="531"/>
      <c r="VTC105" s="530"/>
      <c r="VTD105" s="531"/>
      <c r="VTE105" s="530"/>
      <c r="VTF105" s="531"/>
      <c r="VTG105" s="530"/>
      <c r="VTH105" s="531"/>
      <c r="VTI105" s="530"/>
      <c r="VTJ105" s="531"/>
      <c r="VTK105" s="530"/>
      <c r="VTL105" s="531"/>
      <c r="VTM105" s="530"/>
      <c r="VTN105" s="531"/>
      <c r="VTO105" s="530"/>
      <c r="VTP105" s="531"/>
      <c r="VTQ105" s="530"/>
      <c r="VTR105" s="531"/>
      <c r="VTS105" s="530"/>
      <c r="VTT105" s="531"/>
      <c r="VTU105" s="530"/>
      <c r="VTV105" s="531"/>
      <c r="VTW105" s="530"/>
      <c r="VTX105" s="531"/>
      <c r="VTY105" s="530"/>
      <c r="VTZ105" s="531"/>
      <c r="VUA105" s="530"/>
      <c r="VUB105" s="531"/>
      <c r="VUC105" s="530"/>
      <c r="VUD105" s="531"/>
      <c r="VUE105" s="530"/>
      <c r="VUF105" s="531"/>
      <c r="VUG105" s="530"/>
      <c r="VUH105" s="531"/>
      <c r="VUI105" s="530"/>
      <c r="VUJ105" s="531"/>
      <c r="VUK105" s="530"/>
      <c r="VUL105" s="531"/>
      <c r="VUM105" s="530"/>
      <c r="VUN105" s="531"/>
      <c r="VUO105" s="530"/>
      <c r="VUP105" s="531"/>
      <c r="VUQ105" s="530"/>
      <c r="VUR105" s="531"/>
      <c r="VUS105" s="530"/>
      <c r="VUT105" s="531"/>
      <c r="VUU105" s="530"/>
      <c r="VUV105" s="531"/>
      <c r="VUW105" s="530"/>
      <c r="VUX105" s="531"/>
      <c r="VUY105" s="530"/>
      <c r="VUZ105" s="531"/>
      <c r="VVA105" s="530"/>
      <c r="VVB105" s="531"/>
      <c r="VVC105" s="530"/>
      <c r="VVD105" s="531"/>
      <c r="VVE105" s="530"/>
      <c r="VVF105" s="531"/>
      <c r="VVG105" s="530"/>
      <c r="VVH105" s="531"/>
      <c r="VVI105" s="530"/>
      <c r="VVJ105" s="531"/>
      <c r="VVK105" s="530"/>
      <c r="VVL105" s="531"/>
      <c r="VVM105" s="530"/>
      <c r="VVN105" s="531"/>
      <c r="VVO105" s="530"/>
      <c r="VVP105" s="531"/>
      <c r="VVQ105" s="530"/>
      <c r="VVR105" s="531"/>
      <c r="VVS105" s="530"/>
      <c r="VVT105" s="531"/>
      <c r="VVU105" s="530"/>
      <c r="VVV105" s="531"/>
      <c r="VVW105" s="530"/>
      <c r="VVX105" s="531"/>
      <c r="VVY105" s="530"/>
      <c r="VVZ105" s="531"/>
      <c r="VWA105" s="530"/>
      <c r="VWB105" s="531"/>
      <c r="VWC105" s="530"/>
      <c r="VWD105" s="531"/>
      <c r="VWE105" s="530"/>
      <c r="VWF105" s="531"/>
      <c r="VWG105" s="530"/>
      <c r="VWH105" s="531"/>
      <c r="VWI105" s="530"/>
      <c r="VWJ105" s="531"/>
      <c r="VWK105" s="530"/>
      <c r="VWL105" s="531"/>
      <c r="VWM105" s="530"/>
      <c r="VWN105" s="531"/>
      <c r="VWO105" s="530"/>
      <c r="VWP105" s="531"/>
      <c r="VWQ105" s="530"/>
      <c r="VWR105" s="531"/>
      <c r="VWS105" s="530"/>
      <c r="VWT105" s="531"/>
      <c r="VWU105" s="530"/>
      <c r="VWV105" s="531"/>
      <c r="VWW105" s="530"/>
      <c r="VWX105" s="531"/>
      <c r="VWY105" s="530"/>
      <c r="VWZ105" s="531"/>
      <c r="VXA105" s="530"/>
      <c r="VXB105" s="531"/>
      <c r="VXC105" s="530"/>
      <c r="VXD105" s="531"/>
      <c r="VXE105" s="530"/>
      <c r="VXF105" s="531"/>
      <c r="VXG105" s="530"/>
      <c r="VXH105" s="531"/>
      <c r="VXI105" s="530"/>
      <c r="VXJ105" s="531"/>
      <c r="VXK105" s="530"/>
      <c r="VXL105" s="531"/>
      <c r="VXM105" s="530"/>
      <c r="VXN105" s="531"/>
      <c r="VXO105" s="530"/>
      <c r="VXP105" s="531"/>
      <c r="VXQ105" s="530"/>
      <c r="VXR105" s="531"/>
      <c r="VXS105" s="530"/>
      <c r="VXT105" s="531"/>
      <c r="VXU105" s="530"/>
      <c r="VXV105" s="531"/>
      <c r="VXW105" s="530"/>
      <c r="VXX105" s="531"/>
      <c r="VXY105" s="530"/>
      <c r="VXZ105" s="531"/>
      <c r="VYA105" s="530"/>
      <c r="VYB105" s="531"/>
      <c r="VYC105" s="530"/>
      <c r="VYD105" s="531"/>
      <c r="VYE105" s="530"/>
      <c r="VYF105" s="531"/>
      <c r="VYG105" s="530"/>
      <c r="VYH105" s="531"/>
      <c r="VYI105" s="530"/>
      <c r="VYJ105" s="531"/>
      <c r="VYK105" s="530"/>
      <c r="VYL105" s="531"/>
      <c r="VYM105" s="530"/>
      <c r="VYN105" s="531"/>
      <c r="VYO105" s="530"/>
      <c r="VYP105" s="531"/>
      <c r="VYQ105" s="530"/>
      <c r="VYR105" s="531"/>
      <c r="VYS105" s="530"/>
      <c r="VYT105" s="531"/>
      <c r="VYU105" s="530"/>
      <c r="VYV105" s="531"/>
      <c r="VYW105" s="530"/>
      <c r="VYX105" s="531"/>
      <c r="VYY105" s="530"/>
      <c r="VYZ105" s="531"/>
      <c r="VZA105" s="530"/>
      <c r="VZB105" s="531"/>
      <c r="VZC105" s="530"/>
      <c r="VZD105" s="531"/>
      <c r="VZE105" s="530"/>
      <c r="VZF105" s="531"/>
      <c r="VZG105" s="530"/>
      <c r="VZH105" s="531"/>
      <c r="VZI105" s="530"/>
      <c r="VZJ105" s="531"/>
      <c r="VZK105" s="530"/>
      <c r="VZL105" s="531"/>
      <c r="VZM105" s="530"/>
      <c r="VZN105" s="531"/>
      <c r="VZO105" s="530"/>
      <c r="VZP105" s="531"/>
      <c r="VZQ105" s="530"/>
      <c r="VZR105" s="531"/>
      <c r="VZS105" s="530"/>
      <c r="VZT105" s="531"/>
      <c r="VZU105" s="530"/>
      <c r="VZV105" s="531"/>
      <c r="VZW105" s="530"/>
      <c r="VZX105" s="531"/>
      <c r="VZY105" s="530"/>
      <c r="VZZ105" s="531"/>
      <c r="WAA105" s="530"/>
      <c r="WAB105" s="531"/>
      <c r="WAC105" s="530"/>
      <c r="WAD105" s="531"/>
      <c r="WAE105" s="530"/>
      <c r="WAF105" s="531"/>
      <c r="WAG105" s="530"/>
      <c r="WAH105" s="531"/>
      <c r="WAI105" s="530"/>
      <c r="WAJ105" s="531"/>
      <c r="WAK105" s="530"/>
      <c r="WAL105" s="531"/>
      <c r="WAM105" s="530"/>
      <c r="WAN105" s="531"/>
      <c r="WAO105" s="530"/>
      <c r="WAP105" s="531"/>
      <c r="WAQ105" s="530"/>
      <c r="WAR105" s="531"/>
      <c r="WAS105" s="530"/>
      <c r="WAT105" s="531"/>
      <c r="WAU105" s="530"/>
      <c r="WAV105" s="531"/>
      <c r="WAW105" s="530"/>
      <c r="WAX105" s="531"/>
      <c r="WAY105" s="530"/>
      <c r="WAZ105" s="531"/>
      <c r="WBA105" s="530"/>
      <c r="WBB105" s="531"/>
      <c r="WBC105" s="530"/>
      <c r="WBD105" s="531"/>
      <c r="WBE105" s="530"/>
      <c r="WBF105" s="531"/>
      <c r="WBG105" s="530"/>
      <c r="WBH105" s="531"/>
      <c r="WBI105" s="530"/>
      <c r="WBJ105" s="531"/>
      <c r="WBK105" s="530"/>
      <c r="WBL105" s="531"/>
      <c r="WBM105" s="530"/>
      <c r="WBN105" s="531"/>
      <c r="WBO105" s="530"/>
      <c r="WBP105" s="531"/>
      <c r="WBQ105" s="530"/>
      <c r="WBR105" s="531"/>
      <c r="WBS105" s="530"/>
      <c r="WBT105" s="531"/>
      <c r="WBU105" s="530"/>
      <c r="WBV105" s="531"/>
      <c r="WBW105" s="530"/>
      <c r="WBX105" s="531"/>
      <c r="WBY105" s="530"/>
      <c r="WBZ105" s="531"/>
      <c r="WCA105" s="530"/>
      <c r="WCB105" s="531"/>
      <c r="WCC105" s="530"/>
      <c r="WCD105" s="531"/>
      <c r="WCE105" s="530"/>
      <c r="WCF105" s="531"/>
      <c r="WCG105" s="530"/>
      <c r="WCH105" s="531"/>
      <c r="WCI105" s="530"/>
      <c r="WCJ105" s="531"/>
      <c r="WCK105" s="530"/>
      <c r="WCL105" s="531"/>
      <c r="WCM105" s="530"/>
      <c r="WCN105" s="531"/>
      <c r="WCO105" s="530"/>
      <c r="WCP105" s="531"/>
      <c r="WCQ105" s="530"/>
      <c r="WCR105" s="531"/>
      <c r="WCS105" s="530"/>
      <c r="WCT105" s="531"/>
      <c r="WCU105" s="530"/>
      <c r="WCV105" s="531"/>
      <c r="WCW105" s="530"/>
      <c r="WCX105" s="531"/>
      <c r="WCY105" s="530"/>
      <c r="WCZ105" s="531"/>
      <c r="WDA105" s="530"/>
      <c r="WDB105" s="531"/>
      <c r="WDC105" s="530"/>
      <c r="WDD105" s="531"/>
      <c r="WDE105" s="530"/>
      <c r="WDF105" s="531"/>
      <c r="WDG105" s="530"/>
      <c r="WDH105" s="531"/>
      <c r="WDI105" s="530"/>
      <c r="WDJ105" s="531"/>
      <c r="WDK105" s="530"/>
      <c r="WDL105" s="531"/>
      <c r="WDM105" s="530"/>
      <c r="WDN105" s="531"/>
      <c r="WDO105" s="530"/>
      <c r="WDP105" s="531"/>
      <c r="WDQ105" s="530"/>
      <c r="WDR105" s="531"/>
      <c r="WDS105" s="530"/>
      <c r="WDT105" s="531"/>
      <c r="WDU105" s="530"/>
      <c r="WDV105" s="531"/>
      <c r="WDW105" s="530"/>
      <c r="WDX105" s="531"/>
      <c r="WDY105" s="530"/>
      <c r="WDZ105" s="531"/>
      <c r="WEA105" s="530"/>
      <c r="WEB105" s="531"/>
      <c r="WEC105" s="530"/>
      <c r="WED105" s="531"/>
      <c r="WEE105" s="530"/>
      <c r="WEF105" s="531"/>
      <c r="WEG105" s="530"/>
      <c r="WEH105" s="531"/>
      <c r="WEI105" s="530"/>
      <c r="WEJ105" s="531"/>
      <c r="WEK105" s="530"/>
      <c r="WEL105" s="531"/>
      <c r="WEM105" s="530"/>
      <c r="WEN105" s="531"/>
      <c r="WEO105" s="530"/>
      <c r="WEP105" s="531"/>
      <c r="WEQ105" s="530"/>
      <c r="WER105" s="531"/>
      <c r="WES105" s="530"/>
      <c r="WET105" s="531"/>
      <c r="WEU105" s="530"/>
      <c r="WEV105" s="531"/>
      <c r="WEW105" s="530"/>
      <c r="WEX105" s="531"/>
      <c r="WEY105" s="530"/>
      <c r="WEZ105" s="531"/>
      <c r="WFA105" s="530"/>
      <c r="WFB105" s="531"/>
      <c r="WFC105" s="530"/>
      <c r="WFD105" s="531"/>
      <c r="WFE105" s="530"/>
      <c r="WFF105" s="531"/>
      <c r="WFG105" s="530"/>
      <c r="WFH105" s="531"/>
      <c r="WFI105" s="530"/>
      <c r="WFJ105" s="531"/>
      <c r="WFK105" s="530"/>
      <c r="WFL105" s="531"/>
      <c r="WFM105" s="530"/>
      <c r="WFN105" s="531"/>
      <c r="WFO105" s="530"/>
      <c r="WFP105" s="531"/>
      <c r="WFQ105" s="530"/>
      <c r="WFR105" s="531"/>
      <c r="WFS105" s="530"/>
      <c r="WFT105" s="531"/>
      <c r="WFU105" s="530"/>
      <c r="WFV105" s="531"/>
      <c r="WFW105" s="530"/>
      <c r="WFX105" s="531"/>
      <c r="WFY105" s="530"/>
      <c r="WFZ105" s="531"/>
      <c r="WGA105" s="530"/>
      <c r="WGB105" s="531"/>
      <c r="WGC105" s="530"/>
      <c r="WGD105" s="531"/>
      <c r="WGE105" s="530"/>
      <c r="WGF105" s="531"/>
      <c r="WGG105" s="530"/>
      <c r="WGH105" s="531"/>
      <c r="WGI105" s="530"/>
      <c r="WGJ105" s="531"/>
      <c r="WGK105" s="530"/>
      <c r="WGL105" s="531"/>
      <c r="WGM105" s="530"/>
      <c r="WGN105" s="531"/>
      <c r="WGO105" s="530"/>
      <c r="WGP105" s="531"/>
      <c r="WGQ105" s="530"/>
      <c r="WGR105" s="531"/>
      <c r="WGS105" s="530"/>
      <c r="WGT105" s="531"/>
      <c r="WGU105" s="530"/>
      <c r="WGV105" s="531"/>
      <c r="WGW105" s="530"/>
      <c r="WGX105" s="531"/>
      <c r="WGY105" s="530"/>
      <c r="WGZ105" s="531"/>
      <c r="WHA105" s="530"/>
      <c r="WHB105" s="531"/>
      <c r="WHC105" s="530"/>
      <c r="WHD105" s="531"/>
      <c r="WHE105" s="530"/>
      <c r="WHF105" s="531"/>
      <c r="WHG105" s="530"/>
      <c r="WHH105" s="531"/>
      <c r="WHI105" s="530"/>
      <c r="WHJ105" s="531"/>
      <c r="WHK105" s="530"/>
      <c r="WHL105" s="531"/>
      <c r="WHM105" s="530"/>
      <c r="WHN105" s="531"/>
      <c r="WHO105" s="530"/>
      <c r="WHP105" s="531"/>
      <c r="WHQ105" s="530"/>
      <c r="WHR105" s="531"/>
      <c r="WHS105" s="530"/>
      <c r="WHT105" s="531"/>
      <c r="WHU105" s="530"/>
      <c r="WHV105" s="531"/>
      <c r="WHW105" s="530"/>
      <c r="WHX105" s="531"/>
      <c r="WHY105" s="530"/>
      <c r="WHZ105" s="531"/>
      <c r="WIA105" s="530"/>
      <c r="WIB105" s="531"/>
      <c r="WIC105" s="530"/>
      <c r="WID105" s="531"/>
      <c r="WIE105" s="530"/>
      <c r="WIF105" s="531"/>
      <c r="WIG105" s="530"/>
      <c r="WIH105" s="531"/>
      <c r="WII105" s="530"/>
      <c r="WIJ105" s="531"/>
      <c r="WIK105" s="530"/>
      <c r="WIL105" s="531"/>
      <c r="WIM105" s="530"/>
      <c r="WIN105" s="531"/>
      <c r="WIO105" s="530"/>
      <c r="WIP105" s="531"/>
      <c r="WIQ105" s="530"/>
      <c r="WIR105" s="531"/>
      <c r="WIS105" s="530"/>
      <c r="WIT105" s="531"/>
      <c r="WIU105" s="530"/>
      <c r="WIV105" s="531"/>
      <c r="WIW105" s="530"/>
      <c r="WIX105" s="531"/>
      <c r="WIY105" s="530"/>
      <c r="WIZ105" s="531"/>
      <c r="WJA105" s="530"/>
      <c r="WJB105" s="531"/>
      <c r="WJC105" s="530"/>
      <c r="WJD105" s="531"/>
      <c r="WJE105" s="530"/>
      <c r="WJF105" s="531"/>
      <c r="WJG105" s="530"/>
      <c r="WJH105" s="531"/>
      <c r="WJI105" s="530"/>
      <c r="WJJ105" s="531"/>
      <c r="WJK105" s="530"/>
      <c r="WJL105" s="531"/>
      <c r="WJM105" s="530"/>
      <c r="WJN105" s="531"/>
      <c r="WJO105" s="530"/>
      <c r="WJP105" s="531"/>
      <c r="WJQ105" s="530"/>
      <c r="WJR105" s="531"/>
      <c r="WJS105" s="530"/>
      <c r="WJT105" s="531"/>
      <c r="WJU105" s="530"/>
      <c r="WJV105" s="531"/>
      <c r="WJW105" s="530"/>
      <c r="WJX105" s="531"/>
      <c r="WJY105" s="530"/>
      <c r="WJZ105" s="531"/>
      <c r="WKA105" s="530"/>
      <c r="WKB105" s="531"/>
      <c r="WKC105" s="530"/>
      <c r="WKD105" s="531"/>
      <c r="WKE105" s="530"/>
      <c r="WKF105" s="531"/>
      <c r="WKG105" s="530"/>
      <c r="WKH105" s="531"/>
      <c r="WKI105" s="530"/>
      <c r="WKJ105" s="531"/>
      <c r="WKK105" s="530"/>
      <c r="WKL105" s="531"/>
      <c r="WKM105" s="530"/>
      <c r="WKN105" s="531"/>
      <c r="WKO105" s="530"/>
      <c r="WKP105" s="531"/>
      <c r="WKQ105" s="530"/>
      <c r="WKR105" s="531"/>
      <c r="WKS105" s="530"/>
      <c r="WKT105" s="531"/>
      <c r="WKU105" s="530"/>
      <c r="WKV105" s="531"/>
      <c r="WKW105" s="530"/>
      <c r="WKX105" s="531"/>
      <c r="WKY105" s="530"/>
      <c r="WKZ105" s="531"/>
      <c r="WLA105" s="530"/>
      <c r="WLB105" s="531"/>
      <c r="WLC105" s="530"/>
      <c r="WLD105" s="531"/>
      <c r="WLE105" s="530"/>
      <c r="WLF105" s="531"/>
      <c r="WLG105" s="530"/>
      <c r="WLH105" s="531"/>
      <c r="WLI105" s="530"/>
      <c r="WLJ105" s="531"/>
      <c r="WLK105" s="530"/>
      <c r="WLL105" s="531"/>
      <c r="WLM105" s="530"/>
      <c r="WLN105" s="531"/>
      <c r="WLO105" s="530"/>
      <c r="WLP105" s="531"/>
      <c r="WLQ105" s="530"/>
      <c r="WLR105" s="531"/>
      <c r="WLS105" s="530"/>
      <c r="WLT105" s="531"/>
      <c r="WLU105" s="530"/>
      <c r="WLV105" s="531"/>
      <c r="WLW105" s="530"/>
      <c r="WLX105" s="531"/>
      <c r="WLY105" s="530"/>
      <c r="WLZ105" s="531"/>
      <c r="WMA105" s="530"/>
      <c r="WMB105" s="531"/>
      <c r="WMC105" s="530"/>
      <c r="WMD105" s="531"/>
      <c r="WME105" s="530"/>
      <c r="WMF105" s="531"/>
      <c r="WMG105" s="530"/>
      <c r="WMH105" s="531"/>
      <c r="WMI105" s="530"/>
      <c r="WMJ105" s="531"/>
      <c r="WMK105" s="530"/>
      <c r="WML105" s="531"/>
      <c r="WMM105" s="530"/>
      <c r="WMN105" s="531"/>
      <c r="WMO105" s="530"/>
      <c r="WMP105" s="531"/>
      <c r="WMQ105" s="530"/>
      <c r="WMR105" s="531"/>
      <c r="WMS105" s="530"/>
      <c r="WMT105" s="531"/>
      <c r="WMU105" s="530"/>
      <c r="WMV105" s="531"/>
      <c r="WMW105" s="530"/>
      <c r="WMX105" s="531"/>
      <c r="WMY105" s="530"/>
      <c r="WMZ105" s="531"/>
      <c r="WNA105" s="530"/>
      <c r="WNB105" s="531"/>
      <c r="WNC105" s="530"/>
      <c r="WND105" s="531"/>
      <c r="WNE105" s="530"/>
      <c r="WNF105" s="531"/>
      <c r="WNG105" s="530"/>
      <c r="WNH105" s="531"/>
      <c r="WNI105" s="530"/>
      <c r="WNJ105" s="531"/>
      <c r="WNK105" s="530"/>
      <c r="WNL105" s="531"/>
      <c r="WNM105" s="530"/>
      <c r="WNN105" s="531"/>
      <c r="WNO105" s="530"/>
      <c r="WNP105" s="531"/>
      <c r="WNQ105" s="530"/>
      <c r="WNR105" s="531"/>
      <c r="WNS105" s="530"/>
      <c r="WNT105" s="531"/>
      <c r="WNU105" s="530"/>
      <c r="WNV105" s="531"/>
      <c r="WNW105" s="530"/>
      <c r="WNX105" s="531"/>
      <c r="WNY105" s="530"/>
      <c r="WNZ105" s="531"/>
      <c r="WOA105" s="530"/>
      <c r="WOB105" s="531"/>
      <c r="WOC105" s="530"/>
      <c r="WOD105" s="531"/>
      <c r="WOE105" s="530"/>
      <c r="WOF105" s="531"/>
      <c r="WOG105" s="530"/>
      <c r="WOH105" s="531"/>
      <c r="WOI105" s="530"/>
      <c r="WOJ105" s="531"/>
      <c r="WOK105" s="530"/>
      <c r="WOL105" s="531"/>
      <c r="WOM105" s="530"/>
      <c r="WON105" s="531"/>
      <c r="WOO105" s="530"/>
      <c r="WOP105" s="531"/>
      <c r="WOQ105" s="530"/>
      <c r="WOR105" s="531"/>
      <c r="WOS105" s="530"/>
      <c r="WOT105" s="531"/>
      <c r="WOU105" s="530"/>
      <c r="WOV105" s="531"/>
      <c r="WOW105" s="530"/>
      <c r="WOX105" s="531"/>
      <c r="WOY105" s="530"/>
      <c r="WOZ105" s="531"/>
      <c r="WPA105" s="530"/>
      <c r="WPB105" s="531"/>
      <c r="WPC105" s="530"/>
      <c r="WPD105" s="531"/>
      <c r="WPE105" s="530"/>
      <c r="WPF105" s="531"/>
      <c r="WPG105" s="530"/>
      <c r="WPH105" s="531"/>
      <c r="WPI105" s="530"/>
      <c r="WPJ105" s="531"/>
      <c r="WPK105" s="530"/>
      <c r="WPL105" s="531"/>
      <c r="WPM105" s="530"/>
      <c r="WPN105" s="531"/>
      <c r="WPO105" s="530"/>
      <c r="WPP105" s="531"/>
      <c r="WPQ105" s="530"/>
      <c r="WPR105" s="531"/>
      <c r="WPS105" s="530"/>
      <c r="WPT105" s="531"/>
      <c r="WPU105" s="530"/>
      <c r="WPV105" s="531"/>
      <c r="WPW105" s="530"/>
      <c r="WPX105" s="531"/>
      <c r="WPY105" s="530"/>
      <c r="WPZ105" s="531"/>
      <c r="WQA105" s="530"/>
      <c r="WQB105" s="531"/>
      <c r="WQC105" s="530"/>
      <c r="WQD105" s="531"/>
      <c r="WQE105" s="530"/>
      <c r="WQF105" s="531"/>
      <c r="WQG105" s="530"/>
      <c r="WQH105" s="531"/>
      <c r="WQI105" s="530"/>
      <c r="WQJ105" s="531"/>
      <c r="WQK105" s="530"/>
      <c r="WQL105" s="531"/>
      <c r="WQM105" s="530"/>
      <c r="WQN105" s="531"/>
      <c r="WQO105" s="530"/>
      <c r="WQP105" s="531"/>
      <c r="WQQ105" s="530"/>
      <c r="WQR105" s="531"/>
      <c r="WQS105" s="530"/>
      <c r="WQT105" s="531"/>
      <c r="WQU105" s="530"/>
      <c r="WQV105" s="531"/>
      <c r="WQW105" s="530"/>
      <c r="WQX105" s="531"/>
      <c r="WQY105" s="530"/>
      <c r="WQZ105" s="531"/>
      <c r="WRA105" s="530"/>
      <c r="WRB105" s="531"/>
      <c r="WRC105" s="530"/>
      <c r="WRD105" s="531"/>
      <c r="WRE105" s="530"/>
      <c r="WRF105" s="531"/>
      <c r="WRG105" s="530"/>
      <c r="WRH105" s="531"/>
      <c r="WRI105" s="530"/>
      <c r="WRJ105" s="531"/>
      <c r="WRK105" s="530"/>
      <c r="WRL105" s="531"/>
      <c r="WRM105" s="530"/>
      <c r="WRN105" s="531"/>
      <c r="WRO105" s="530"/>
      <c r="WRP105" s="531"/>
      <c r="WRQ105" s="530"/>
      <c r="WRR105" s="531"/>
      <c r="WRS105" s="530"/>
      <c r="WRT105" s="531"/>
      <c r="WRU105" s="530"/>
      <c r="WRV105" s="531"/>
      <c r="WRW105" s="530"/>
      <c r="WRX105" s="531"/>
      <c r="WRY105" s="530"/>
      <c r="WRZ105" s="531"/>
      <c r="WSA105" s="530"/>
      <c r="WSB105" s="531"/>
      <c r="WSC105" s="530"/>
      <c r="WSD105" s="531"/>
      <c r="WSE105" s="530"/>
      <c r="WSF105" s="531"/>
      <c r="WSG105" s="530"/>
      <c r="WSH105" s="531"/>
      <c r="WSI105" s="530"/>
      <c r="WSJ105" s="531"/>
      <c r="WSK105" s="530"/>
      <c r="WSL105" s="531"/>
      <c r="WSM105" s="530"/>
      <c r="WSN105" s="531"/>
      <c r="WSO105" s="530"/>
      <c r="WSP105" s="531"/>
      <c r="WSQ105" s="530"/>
      <c r="WSR105" s="531"/>
      <c r="WSS105" s="530"/>
      <c r="WST105" s="531"/>
      <c r="WSU105" s="530"/>
      <c r="WSV105" s="531"/>
      <c r="WSW105" s="530"/>
      <c r="WSX105" s="531"/>
      <c r="WSY105" s="530"/>
      <c r="WSZ105" s="531"/>
      <c r="WTA105" s="530"/>
      <c r="WTB105" s="531"/>
      <c r="WTC105" s="530"/>
      <c r="WTD105" s="531"/>
      <c r="WTE105" s="530"/>
      <c r="WTF105" s="531"/>
      <c r="WTG105" s="530"/>
      <c r="WTH105" s="531"/>
      <c r="WTI105" s="530"/>
      <c r="WTJ105" s="531"/>
      <c r="WTK105" s="530"/>
      <c r="WTL105" s="531"/>
      <c r="WTM105" s="530"/>
      <c r="WTN105" s="531"/>
      <c r="WTO105" s="530"/>
      <c r="WTP105" s="531"/>
      <c r="WTQ105" s="530"/>
      <c r="WTR105" s="531"/>
      <c r="WTS105" s="530"/>
      <c r="WTT105" s="531"/>
      <c r="WTU105" s="530"/>
      <c r="WTV105" s="531"/>
      <c r="WTW105" s="530"/>
      <c r="WTX105" s="531"/>
      <c r="WTY105" s="530"/>
      <c r="WTZ105" s="531"/>
      <c r="WUA105" s="530"/>
      <c r="WUB105" s="531"/>
      <c r="WUC105" s="530"/>
      <c r="WUD105" s="531"/>
      <c r="WUE105" s="530"/>
      <c r="WUF105" s="531"/>
      <c r="WUG105" s="530"/>
      <c r="WUH105" s="531"/>
      <c r="WUI105" s="530"/>
      <c r="WUJ105" s="531"/>
      <c r="WUK105" s="530"/>
      <c r="WUL105" s="531"/>
      <c r="WUM105" s="530"/>
      <c r="WUN105" s="531"/>
      <c r="WUO105" s="530"/>
      <c r="WUP105" s="531"/>
      <c r="WUQ105" s="530"/>
      <c r="WUR105" s="531"/>
      <c r="WUS105" s="530"/>
      <c r="WUT105" s="531"/>
      <c r="WUU105" s="530"/>
      <c r="WUV105" s="531"/>
      <c r="WUW105" s="530"/>
      <c r="WUX105" s="531"/>
      <c r="WUY105" s="530"/>
      <c r="WUZ105" s="531"/>
      <c r="WVA105" s="530"/>
      <c r="WVB105" s="531"/>
      <c r="WVC105" s="530"/>
      <c r="WVD105" s="531"/>
      <c r="WVE105" s="530"/>
      <c r="WVF105" s="531"/>
      <c r="WVG105" s="530"/>
      <c r="WVH105" s="531"/>
      <c r="WVI105" s="530"/>
      <c r="WVJ105" s="531"/>
      <c r="WVK105" s="530"/>
      <c r="WVL105" s="531"/>
      <c r="WVM105" s="530"/>
      <c r="WVN105" s="531"/>
      <c r="WVO105" s="530"/>
      <c r="WVP105" s="531"/>
      <c r="WVQ105" s="530"/>
      <c r="WVR105" s="531"/>
      <c r="WVS105" s="530"/>
      <c r="WVT105" s="531"/>
      <c r="WVU105" s="530"/>
      <c r="WVV105" s="531"/>
      <c r="WVW105" s="530"/>
      <c r="WVX105" s="531"/>
      <c r="WVY105" s="530"/>
      <c r="WVZ105" s="531"/>
      <c r="WWA105" s="530"/>
      <c r="WWB105" s="531"/>
      <c r="WWC105" s="530"/>
      <c r="WWD105" s="531"/>
      <c r="WWE105" s="530"/>
      <c r="WWF105" s="531"/>
      <c r="WWG105" s="530"/>
      <c r="WWH105" s="531"/>
      <c r="WWI105" s="530"/>
      <c r="WWJ105" s="531"/>
      <c r="WWK105" s="530"/>
      <c r="WWL105" s="531"/>
      <c r="WWM105" s="530"/>
      <c r="WWN105" s="531"/>
      <c r="WWO105" s="530"/>
      <c r="WWP105" s="531"/>
      <c r="WWQ105" s="530"/>
      <c r="WWR105" s="531"/>
      <c r="WWS105" s="530"/>
      <c r="WWT105" s="531"/>
      <c r="WWU105" s="530"/>
      <c r="WWV105" s="531"/>
      <c r="WWW105" s="530"/>
      <c r="WWX105" s="531"/>
      <c r="WWY105" s="530"/>
      <c r="WWZ105" s="531"/>
      <c r="WXA105" s="530"/>
      <c r="WXB105" s="531"/>
      <c r="WXC105" s="530"/>
      <c r="WXD105" s="531"/>
      <c r="WXE105" s="530"/>
      <c r="WXF105" s="531"/>
      <c r="WXG105" s="530"/>
      <c r="WXH105" s="531"/>
      <c r="WXI105" s="530"/>
      <c r="WXJ105" s="531"/>
      <c r="WXK105" s="530"/>
      <c r="WXL105" s="531"/>
      <c r="WXM105" s="530"/>
      <c r="WXN105" s="531"/>
      <c r="WXO105" s="530"/>
      <c r="WXP105" s="531"/>
      <c r="WXQ105" s="530"/>
      <c r="WXR105" s="531"/>
      <c r="WXS105" s="530"/>
      <c r="WXT105" s="531"/>
      <c r="WXU105" s="530"/>
      <c r="WXV105" s="531"/>
      <c r="WXW105" s="530"/>
      <c r="WXX105" s="531"/>
      <c r="WXY105" s="530"/>
      <c r="WXZ105" s="531"/>
      <c r="WYA105" s="530"/>
      <c r="WYB105" s="531"/>
      <c r="WYC105" s="530"/>
      <c r="WYD105" s="531"/>
      <c r="WYE105" s="530"/>
      <c r="WYF105" s="531"/>
      <c r="WYG105" s="530"/>
      <c r="WYH105" s="531"/>
      <c r="WYI105" s="530"/>
      <c r="WYJ105" s="531"/>
      <c r="WYK105" s="530"/>
      <c r="WYL105" s="531"/>
      <c r="WYM105" s="530"/>
      <c r="WYN105" s="531"/>
      <c r="WYO105" s="530"/>
      <c r="WYP105" s="531"/>
      <c r="WYQ105" s="530"/>
      <c r="WYR105" s="531"/>
      <c r="WYS105" s="530"/>
      <c r="WYT105" s="531"/>
      <c r="WYU105" s="530"/>
      <c r="WYV105" s="531"/>
      <c r="WYW105" s="530"/>
      <c r="WYX105" s="531"/>
      <c r="WYY105" s="530"/>
      <c r="WYZ105" s="531"/>
      <c r="WZA105" s="530"/>
      <c r="WZB105" s="531"/>
      <c r="WZC105" s="530"/>
      <c r="WZD105" s="531"/>
      <c r="WZE105" s="530"/>
      <c r="WZF105" s="531"/>
      <c r="WZG105" s="530"/>
      <c r="WZH105" s="531"/>
      <c r="WZI105" s="530"/>
      <c r="WZJ105" s="531"/>
      <c r="WZK105" s="530"/>
      <c r="WZL105" s="531"/>
      <c r="WZM105" s="530"/>
      <c r="WZN105" s="531"/>
      <c r="WZO105" s="530"/>
      <c r="WZP105" s="531"/>
      <c r="WZQ105" s="530"/>
      <c r="WZR105" s="531"/>
      <c r="WZS105" s="530"/>
      <c r="WZT105" s="531"/>
      <c r="WZU105" s="530"/>
      <c r="WZV105" s="531"/>
      <c r="WZW105" s="530"/>
      <c r="WZX105" s="531"/>
      <c r="WZY105" s="530"/>
      <c r="WZZ105" s="531"/>
      <c r="XAA105" s="530"/>
      <c r="XAB105" s="531"/>
      <c r="XAC105" s="530"/>
      <c r="XAD105" s="531"/>
      <c r="XAE105" s="530"/>
      <c r="XAF105" s="531"/>
      <c r="XAG105" s="530"/>
      <c r="XAH105" s="531"/>
      <c r="XAI105" s="530"/>
      <c r="XAJ105" s="531"/>
      <c r="XAK105" s="530"/>
      <c r="XAL105" s="531"/>
      <c r="XAM105" s="530"/>
      <c r="XAN105" s="531"/>
      <c r="XAO105" s="530"/>
      <c r="XAP105" s="531"/>
      <c r="XAQ105" s="530"/>
      <c r="XAR105" s="531"/>
      <c r="XAS105" s="530"/>
      <c r="XAT105" s="531"/>
      <c r="XAU105" s="530"/>
      <c r="XAV105" s="531"/>
      <c r="XAW105" s="530"/>
      <c r="XAX105" s="531"/>
      <c r="XAY105" s="530"/>
      <c r="XAZ105" s="531"/>
      <c r="XBA105" s="530"/>
      <c r="XBB105" s="531"/>
      <c r="XBC105" s="530"/>
      <c r="XBD105" s="531"/>
      <c r="XBE105" s="530"/>
      <c r="XBF105" s="531"/>
      <c r="XBG105" s="530"/>
      <c r="XBH105" s="531"/>
      <c r="XBI105" s="530"/>
      <c r="XBJ105" s="531"/>
      <c r="XBK105" s="530"/>
      <c r="XBL105" s="531"/>
      <c r="XBM105" s="530"/>
      <c r="XBN105" s="531"/>
      <c r="XBO105" s="530"/>
      <c r="XBP105" s="531"/>
      <c r="XBQ105" s="530"/>
      <c r="XBR105" s="531"/>
      <c r="XBS105" s="530"/>
      <c r="XBT105" s="531"/>
      <c r="XBU105" s="530"/>
      <c r="XBV105" s="531"/>
      <c r="XBW105" s="530"/>
      <c r="XBX105" s="531"/>
      <c r="XBY105" s="530"/>
      <c r="XBZ105" s="531"/>
      <c r="XCA105" s="530"/>
      <c r="XCB105" s="531"/>
      <c r="XCC105" s="530"/>
      <c r="XCD105" s="531"/>
      <c r="XCE105" s="530"/>
      <c r="XCF105" s="531"/>
      <c r="XCG105" s="530"/>
      <c r="XCH105" s="531"/>
      <c r="XCI105" s="530"/>
      <c r="XCJ105" s="531"/>
      <c r="XCK105" s="530"/>
      <c r="XCL105" s="531"/>
      <c r="XCM105" s="530"/>
      <c r="XCN105" s="531"/>
      <c r="XCO105" s="530"/>
      <c r="XCP105" s="531"/>
      <c r="XCQ105" s="530"/>
      <c r="XCR105" s="531"/>
      <c r="XCS105" s="530"/>
      <c r="XCT105" s="531"/>
      <c r="XCU105" s="530"/>
      <c r="XCV105" s="531"/>
      <c r="XCW105" s="530"/>
      <c r="XCX105" s="531"/>
      <c r="XCY105" s="530"/>
      <c r="XCZ105" s="531"/>
      <c r="XDA105" s="530"/>
      <c r="XDB105" s="531"/>
      <c r="XDC105" s="530"/>
      <c r="XDD105" s="531"/>
      <c r="XDE105" s="530"/>
      <c r="XDF105" s="531"/>
      <c r="XDG105" s="530"/>
      <c r="XDH105" s="531"/>
      <c r="XDI105" s="530"/>
      <c r="XDJ105" s="531"/>
      <c r="XDK105" s="530"/>
      <c r="XDL105" s="531"/>
      <c r="XDM105" s="530"/>
      <c r="XDN105" s="531"/>
      <c r="XDO105" s="530"/>
      <c r="XDP105" s="531"/>
      <c r="XDQ105" s="530"/>
      <c r="XDR105" s="531"/>
      <c r="XDS105" s="530"/>
      <c r="XDT105" s="531"/>
      <c r="XDU105" s="530"/>
      <c r="XDV105" s="531"/>
      <c r="XDW105" s="530"/>
      <c r="XDX105" s="531"/>
      <c r="XDY105" s="530"/>
      <c r="XDZ105" s="531"/>
      <c r="XEA105" s="530"/>
      <c r="XEB105" s="531"/>
      <c r="XEC105" s="530"/>
      <c r="XED105" s="531"/>
      <c r="XEE105" s="530"/>
      <c r="XEF105" s="531"/>
      <c r="XEG105" s="530"/>
      <c r="XEH105" s="531"/>
      <c r="XEI105" s="530"/>
      <c r="XEJ105" s="531"/>
      <c r="XEK105" s="530"/>
      <c r="XEL105" s="531"/>
      <c r="XEM105" s="530"/>
      <c r="XEN105" s="531"/>
      <c r="XEO105" s="530"/>
      <c r="XEP105" s="531"/>
      <c r="XEQ105" s="530"/>
      <c r="XER105" s="531"/>
      <c r="XES105" s="530"/>
      <c r="XET105" s="531"/>
      <c r="XEU105" s="530"/>
      <c r="XEV105" s="531"/>
      <c r="XEW105" s="530"/>
      <c r="XEX105" s="531"/>
      <c r="XEY105" s="530"/>
      <c r="XEZ105" s="531"/>
      <c r="XFA105" s="530"/>
      <c r="XFB105" s="531"/>
      <c r="XFC105" s="530"/>
      <c r="XFD105" s="531"/>
    </row>
    <row r="106" spans="1:16384" s="520" customFormat="1" ht="65.150000000000006" customHeight="1">
      <c r="A106" s="523"/>
      <c r="B106" s="523"/>
      <c r="C106" s="524"/>
      <c r="D106" s="523"/>
      <c r="E106" s="524"/>
      <c r="F106" s="523"/>
      <c r="G106" s="524"/>
      <c r="H106" s="524"/>
      <c r="I106" s="525"/>
      <c r="J106" s="525"/>
      <c r="K106" s="524"/>
      <c r="L106" s="524"/>
      <c r="M106" s="524"/>
      <c r="N106" s="524"/>
      <c r="O106" s="524"/>
      <c r="P106" s="524"/>
      <c r="Q106" s="524"/>
      <c r="R106" s="524"/>
      <c r="S106" s="524"/>
      <c r="T106" s="524"/>
      <c r="U106" s="524"/>
      <c r="V106" s="524"/>
      <c r="W106" s="524"/>
      <c r="X106" s="524"/>
      <c r="Y106" s="524"/>
      <c r="Z106" s="524"/>
      <c r="AA106" s="526"/>
      <c r="AB106" s="523"/>
      <c r="AC106" s="530"/>
      <c r="AD106" s="531"/>
      <c r="AE106" s="530"/>
      <c r="AF106" s="531"/>
      <c r="AG106" s="530"/>
      <c r="AH106" s="531"/>
      <c r="AI106" s="530"/>
      <c r="AJ106" s="531"/>
      <c r="AK106" s="530"/>
      <c r="AL106" s="531"/>
      <c r="AM106" s="530"/>
      <c r="AN106" s="531"/>
      <c r="AO106" s="530"/>
      <c r="AP106" s="531"/>
      <c r="AQ106" s="530"/>
      <c r="AR106" s="531"/>
      <c r="AS106" s="530"/>
      <c r="AT106" s="531"/>
      <c r="AU106" s="530"/>
      <c r="AV106" s="531"/>
      <c r="AW106" s="530"/>
      <c r="AX106" s="531"/>
      <c r="AY106" s="530"/>
      <c r="AZ106" s="531"/>
      <c r="BA106" s="530"/>
      <c r="BB106" s="531"/>
      <c r="BC106" s="530"/>
      <c r="BD106" s="531"/>
      <c r="BE106" s="530"/>
      <c r="BF106" s="531"/>
      <c r="BG106" s="530"/>
      <c r="BH106" s="531"/>
      <c r="BI106" s="530"/>
      <c r="BJ106" s="531"/>
      <c r="BK106" s="530"/>
      <c r="BL106" s="531"/>
      <c r="BM106" s="530"/>
      <c r="BN106" s="531"/>
      <c r="BO106" s="530"/>
      <c r="BP106" s="531"/>
      <c r="BQ106" s="530"/>
      <c r="BR106" s="531"/>
      <c r="BS106" s="530"/>
      <c r="BT106" s="531"/>
      <c r="BU106" s="530"/>
      <c r="BV106" s="531"/>
      <c r="BW106" s="530"/>
      <c r="BX106" s="531"/>
      <c r="BY106" s="530"/>
      <c r="BZ106" s="531"/>
      <c r="CA106" s="530"/>
      <c r="CB106" s="531"/>
      <c r="CC106" s="530"/>
      <c r="CD106" s="531"/>
      <c r="CE106" s="530"/>
      <c r="CF106" s="531"/>
      <c r="CG106" s="530"/>
      <c r="CH106" s="531"/>
      <c r="CI106" s="530"/>
      <c r="CJ106" s="531"/>
      <c r="CK106" s="530"/>
      <c r="CL106" s="531"/>
      <c r="CM106" s="530"/>
      <c r="CN106" s="531"/>
      <c r="CO106" s="530"/>
      <c r="CP106" s="531"/>
      <c r="CQ106" s="530"/>
      <c r="CR106" s="531"/>
      <c r="CS106" s="530"/>
      <c r="CT106" s="531"/>
      <c r="CU106" s="530"/>
      <c r="CV106" s="531"/>
      <c r="CW106" s="530"/>
      <c r="CX106" s="531"/>
      <c r="CY106" s="530"/>
      <c r="CZ106" s="531"/>
      <c r="DA106" s="530"/>
      <c r="DB106" s="531"/>
      <c r="DC106" s="530"/>
      <c r="DD106" s="531"/>
      <c r="DE106" s="530"/>
      <c r="DF106" s="531"/>
      <c r="DG106" s="530"/>
      <c r="DH106" s="531"/>
      <c r="DI106" s="530"/>
      <c r="DJ106" s="531"/>
      <c r="DK106" s="530"/>
      <c r="DL106" s="531"/>
      <c r="DM106" s="530"/>
      <c r="DN106" s="531"/>
      <c r="DO106" s="530"/>
      <c r="DP106" s="531"/>
      <c r="DQ106" s="530"/>
      <c r="DR106" s="531"/>
      <c r="DS106" s="530"/>
      <c r="DT106" s="531"/>
      <c r="DU106" s="530"/>
      <c r="DV106" s="531"/>
      <c r="DW106" s="530"/>
      <c r="DX106" s="531"/>
      <c r="DY106" s="530"/>
      <c r="DZ106" s="531"/>
      <c r="EA106" s="530"/>
      <c r="EB106" s="531"/>
      <c r="EC106" s="530"/>
      <c r="ED106" s="531"/>
      <c r="EE106" s="530"/>
      <c r="EF106" s="531"/>
      <c r="EG106" s="530"/>
      <c r="EH106" s="531"/>
      <c r="EI106" s="530"/>
      <c r="EJ106" s="531"/>
      <c r="EK106" s="530"/>
      <c r="EL106" s="531"/>
      <c r="EM106" s="530"/>
      <c r="EN106" s="531"/>
      <c r="EO106" s="530"/>
      <c r="EP106" s="531"/>
      <c r="EQ106" s="530"/>
      <c r="ER106" s="531"/>
      <c r="ES106" s="530"/>
      <c r="ET106" s="531"/>
      <c r="EU106" s="530"/>
      <c r="EV106" s="531"/>
      <c r="EW106" s="530"/>
      <c r="EX106" s="531"/>
      <c r="EY106" s="530"/>
      <c r="EZ106" s="531"/>
      <c r="FA106" s="530"/>
      <c r="FB106" s="531"/>
      <c r="FC106" s="530"/>
      <c r="FD106" s="531"/>
      <c r="FE106" s="530"/>
      <c r="FF106" s="531"/>
      <c r="FG106" s="530"/>
      <c r="FH106" s="531"/>
      <c r="FI106" s="530"/>
      <c r="FJ106" s="531"/>
      <c r="FK106" s="530"/>
      <c r="FL106" s="531"/>
      <c r="FM106" s="530"/>
      <c r="FN106" s="531"/>
      <c r="FO106" s="530"/>
      <c r="FP106" s="531"/>
      <c r="FQ106" s="530"/>
      <c r="FR106" s="531"/>
      <c r="FS106" s="530"/>
      <c r="FT106" s="531"/>
      <c r="FU106" s="530"/>
      <c r="FV106" s="531"/>
      <c r="FW106" s="530"/>
      <c r="FX106" s="531"/>
      <c r="FY106" s="530"/>
      <c r="FZ106" s="531"/>
      <c r="GA106" s="530"/>
      <c r="GB106" s="531"/>
      <c r="GC106" s="530"/>
      <c r="GD106" s="531"/>
      <c r="GE106" s="530"/>
      <c r="GF106" s="531"/>
      <c r="GG106" s="530"/>
      <c r="GH106" s="531"/>
      <c r="GI106" s="530"/>
      <c r="GJ106" s="531"/>
      <c r="GK106" s="530"/>
      <c r="GL106" s="531"/>
      <c r="GM106" s="530"/>
      <c r="GN106" s="531"/>
      <c r="GO106" s="530"/>
      <c r="GP106" s="531"/>
      <c r="GQ106" s="530"/>
      <c r="GR106" s="531"/>
      <c r="GS106" s="530"/>
      <c r="GT106" s="531"/>
      <c r="GU106" s="530"/>
      <c r="GV106" s="531"/>
      <c r="GW106" s="530"/>
      <c r="GX106" s="531"/>
      <c r="GY106" s="530"/>
      <c r="GZ106" s="531"/>
      <c r="HA106" s="530"/>
      <c r="HB106" s="531"/>
      <c r="HC106" s="530"/>
      <c r="HD106" s="531"/>
      <c r="HE106" s="530"/>
      <c r="HF106" s="531"/>
      <c r="HG106" s="530"/>
      <c r="HH106" s="531"/>
      <c r="HI106" s="530"/>
      <c r="HJ106" s="531"/>
      <c r="HK106" s="530"/>
      <c r="HL106" s="531"/>
      <c r="HM106" s="530"/>
      <c r="HN106" s="531"/>
      <c r="HO106" s="530"/>
      <c r="HP106" s="531"/>
      <c r="HQ106" s="530"/>
      <c r="HR106" s="531"/>
      <c r="HS106" s="530"/>
      <c r="HT106" s="531"/>
      <c r="HU106" s="530"/>
      <c r="HV106" s="531"/>
      <c r="HW106" s="530"/>
      <c r="HX106" s="531"/>
      <c r="HY106" s="530"/>
      <c r="HZ106" s="531"/>
      <c r="IA106" s="530"/>
      <c r="IB106" s="531"/>
      <c r="IC106" s="530"/>
      <c r="ID106" s="531"/>
      <c r="IE106" s="530"/>
      <c r="IF106" s="531"/>
      <c r="IG106" s="530"/>
      <c r="IH106" s="531"/>
      <c r="II106" s="530"/>
      <c r="IJ106" s="531"/>
      <c r="IK106" s="530"/>
      <c r="IL106" s="531"/>
      <c r="IM106" s="530"/>
      <c r="IN106" s="531"/>
      <c r="IO106" s="530"/>
      <c r="IP106" s="531"/>
      <c r="IQ106" s="530"/>
      <c r="IR106" s="531"/>
      <c r="IS106" s="530"/>
      <c r="IT106" s="531"/>
      <c r="IU106" s="530"/>
      <c r="IV106" s="531"/>
      <c r="IW106" s="530"/>
      <c r="IX106" s="531"/>
      <c r="IY106" s="530"/>
      <c r="IZ106" s="531"/>
      <c r="JA106" s="530"/>
      <c r="JB106" s="531"/>
      <c r="JC106" s="530"/>
      <c r="JD106" s="531"/>
      <c r="JE106" s="530"/>
      <c r="JF106" s="531"/>
      <c r="JG106" s="530"/>
      <c r="JH106" s="531"/>
      <c r="JI106" s="530"/>
      <c r="JJ106" s="531"/>
      <c r="JK106" s="530"/>
      <c r="JL106" s="531"/>
      <c r="JM106" s="530"/>
      <c r="JN106" s="531"/>
      <c r="JO106" s="530"/>
      <c r="JP106" s="531"/>
      <c r="JQ106" s="530"/>
      <c r="JR106" s="531"/>
      <c r="JS106" s="530"/>
      <c r="JT106" s="531"/>
      <c r="JU106" s="530"/>
      <c r="JV106" s="531"/>
      <c r="JW106" s="530"/>
      <c r="JX106" s="531"/>
      <c r="JY106" s="530"/>
      <c r="JZ106" s="531"/>
      <c r="KA106" s="530"/>
      <c r="KB106" s="531"/>
      <c r="KC106" s="530"/>
      <c r="KD106" s="531"/>
      <c r="KE106" s="530"/>
      <c r="KF106" s="531"/>
      <c r="KG106" s="530"/>
      <c r="KH106" s="531"/>
      <c r="KI106" s="530"/>
      <c r="KJ106" s="531"/>
      <c r="KK106" s="530"/>
      <c r="KL106" s="531"/>
      <c r="KM106" s="530"/>
      <c r="KN106" s="531"/>
      <c r="KO106" s="530"/>
      <c r="KP106" s="531"/>
      <c r="KQ106" s="530"/>
      <c r="KR106" s="531"/>
      <c r="KS106" s="530"/>
      <c r="KT106" s="531"/>
      <c r="KU106" s="530"/>
      <c r="KV106" s="531"/>
      <c r="KW106" s="530"/>
      <c r="KX106" s="531"/>
      <c r="KY106" s="530"/>
      <c r="KZ106" s="531"/>
      <c r="LA106" s="530"/>
      <c r="LB106" s="531"/>
      <c r="LC106" s="530"/>
      <c r="LD106" s="531"/>
      <c r="LE106" s="530"/>
      <c r="LF106" s="531"/>
      <c r="LG106" s="530"/>
      <c r="LH106" s="531"/>
      <c r="LI106" s="530"/>
      <c r="LJ106" s="531"/>
      <c r="LK106" s="530"/>
      <c r="LL106" s="531"/>
      <c r="LM106" s="530"/>
      <c r="LN106" s="531"/>
      <c r="LO106" s="530"/>
      <c r="LP106" s="531"/>
      <c r="LQ106" s="530"/>
      <c r="LR106" s="531"/>
      <c r="LS106" s="530"/>
      <c r="LT106" s="531"/>
      <c r="LU106" s="530"/>
      <c r="LV106" s="531"/>
      <c r="LW106" s="530"/>
      <c r="LX106" s="531"/>
      <c r="LY106" s="530"/>
      <c r="LZ106" s="531"/>
      <c r="MA106" s="530"/>
      <c r="MB106" s="531"/>
      <c r="MC106" s="530"/>
      <c r="MD106" s="531"/>
      <c r="ME106" s="530"/>
      <c r="MF106" s="531"/>
      <c r="MG106" s="530"/>
      <c r="MH106" s="531"/>
      <c r="MI106" s="530"/>
      <c r="MJ106" s="531"/>
      <c r="MK106" s="530"/>
      <c r="ML106" s="531"/>
      <c r="MM106" s="530"/>
      <c r="MN106" s="531"/>
      <c r="MO106" s="530"/>
      <c r="MP106" s="531"/>
      <c r="MQ106" s="530"/>
      <c r="MR106" s="531"/>
      <c r="MS106" s="530"/>
      <c r="MT106" s="531"/>
      <c r="MU106" s="530"/>
      <c r="MV106" s="531"/>
      <c r="MW106" s="530"/>
      <c r="MX106" s="531"/>
      <c r="MY106" s="530"/>
      <c r="MZ106" s="531"/>
      <c r="NA106" s="530"/>
      <c r="NB106" s="531"/>
      <c r="NC106" s="530"/>
      <c r="ND106" s="531"/>
      <c r="NE106" s="530"/>
      <c r="NF106" s="531"/>
      <c r="NG106" s="530"/>
      <c r="NH106" s="531"/>
      <c r="NI106" s="530"/>
      <c r="NJ106" s="531"/>
      <c r="NK106" s="530"/>
      <c r="NL106" s="531"/>
      <c r="NM106" s="530"/>
      <c r="NN106" s="531"/>
      <c r="NO106" s="530"/>
      <c r="NP106" s="531"/>
      <c r="NQ106" s="530"/>
      <c r="NR106" s="531"/>
      <c r="NS106" s="530"/>
      <c r="NT106" s="531"/>
      <c r="NU106" s="530"/>
      <c r="NV106" s="531"/>
      <c r="NW106" s="530"/>
      <c r="NX106" s="531"/>
      <c r="NY106" s="530"/>
      <c r="NZ106" s="531"/>
      <c r="OA106" s="530"/>
      <c r="OB106" s="531"/>
      <c r="OC106" s="530"/>
      <c r="OD106" s="531"/>
      <c r="OE106" s="530"/>
      <c r="OF106" s="531"/>
      <c r="OG106" s="530"/>
      <c r="OH106" s="531"/>
      <c r="OI106" s="530"/>
      <c r="OJ106" s="531"/>
      <c r="OK106" s="530"/>
      <c r="OL106" s="531"/>
      <c r="OM106" s="530"/>
      <c r="ON106" s="531"/>
      <c r="OO106" s="530"/>
      <c r="OP106" s="531"/>
      <c r="OQ106" s="530"/>
      <c r="OR106" s="531"/>
      <c r="OS106" s="530"/>
      <c r="OT106" s="531"/>
      <c r="OU106" s="530"/>
      <c r="OV106" s="531"/>
      <c r="OW106" s="530"/>
      <c r="OX106" s="531"/>
      <c r="OY106" s="530"/>
      <c r="OZ106" s="531"/>
      <c r="PA106" s="530"/>
      <c r="PB106" s="531"/>
      <c r="PC106" s="530"/>
      <c r="PD106" s="531"/>
      <c r="PE106" s="530"/>
      <c r="PF106" s="531"/>
      <c r="PG106" s="530"/>
      <c r="PH106" s="531"/>
      <c r="PI106" s="530"/>
      <c r="PJ106" s="531"/>
      <c r="PK106" s="530"/>
      <c r="PL106" s="531"/>
      <c r="PM106" s="530"/>
      <c r="PN106" s="531"/>
      <c r="PO106" s="530"/>
      <c r="PP106" s="531"/>
      <c r="PQ106" s="530"/>
      <c r="PR106" s="531"/>
      <c r="PS106" s="530"/>
      <c r="PT106" s="531"/>
      <c r="PU106" s="530"/>
      <c r="PV106" s="531"/>
      <c r="PW106" s="530"/>
      <c r="PX106" s="531"/>
      <c r="PY106" s="530"/>
      <c r="PZ106" s="531"/>
      <c r="QA106" s="530"/>
      <c r="QB106" s="531"/>
      <c r="QC106" s="530"/>
      <c r="QD106" s="531"/>
      <c r="QE106" s="530"/>
      <c r="QF106" s="531"/>
      <c r="QG106" s="530"/>
      <c r="QH106" s="531"/>
      <c r="QI106" s="530"/>
      <c r="QJ106" s="531"/>
      <c r="QK106" s="530"/>
      <c r="QL106" s="531"/>
      <c r="QM106" s="530"/>
      <c r="QN106" s="531"/>
      <c r="QO106" s="530"/>
      <c r="QP106" s="531"/>
      <c r="QQ106" s="530"/>
      <c r="QR106" s="531"/>
      <c r="QS106" s="530"/>
      <c r="QT106" s="531"/>
      <c r="QU106" s="530"/>
      <c r="QV106" s="531"/>
      <c r="QW106" s="530"/>
      <c r="QX106" s="531"/>
      <c r="QY106" s="530"/>
      <c r="QZ106" s="531"/>
      <c r="RA106" s="530"/>
      <c r="RB106" s="531"/>
      <c r="RC106" s="530"/>
      <c r="RD106" s="531"/>
      <c r="RE106" s="530"/>
      <c r="RF106" s="531"/>
      <c r="RG106" s="530"/>
      <c r="RH106" s="531"/>
      <c r="RI106" s="530"/>
      <c r="RJ106" s="531"/>
      <c r="RK106" s="530"/>
      <c r="RL106" s="531"/>
      <c r="RM106" s="530"/>
      <c r="RN106" s="531"/>
      <c r="RO106" s="530"/>
      <c r="RP106" s="531"/>
      <c r="RQ106" s="530"/>
      <c r="RR106" s="531"/>
      <c r="RS106" s="530"/>
      <c r="RT106" s="531"/>
      <c r="RU106" s="530"/>
      <c r="RV106" s="531"/>
      <c r="RW106" s="530"/>
      <c r="RX106" s="531"/>
      <c r="RY106" s="530"/>
      <c r="RZ106" s="531"/>
      <c r="SA106" s="530"/>
      <c r="SB106" s="531"/>
      <c r="SC106" s="530"/>
      <c r="SD106" s="531"/>
      <c r="SE106" s="530"/>
      <c r="SF106" s="531"/>
      <c r="SG106" s="530"/>
      <c r="SH106" s="531"/>
      <c r="SI106" s="530"/>
      <c r="SJ106" s="531"/>
      <c r="SK106" s="530"/>
      <c r="SL106" s="531"/>
      <c r="SM106" s="530"/>
      <c r="SN106" s="531"/>
      <c r="SO106" s="530"/>
      <c r="SP106" s="531"/>
      <c r="SQ106" s="530"/>
      <c r="SR106" s="531"/>
      <c r="SS106" s="530"/>
      <c r="ST106" s="531"/>
      <c r="SU106" s="530"/>
      <c r="SV106" s="531"/>
      <c r="SW106" s="530"/>
      <c r="SX106" s="531"/>
      <c r="SY106" s="530"/>
      <c r="SZ106" s="531"/>
      <c r="TA106" s="530"/>
      <c r="TB106" s="531"/>
      <c r="TC106" s="530"/>
      <c r="TD106" s="531"/>
      <c r="TE106" s="530"/>
      <c r="TF106" s="531"/>
      <c r="TG106" s="530"/>
      <c r="TH106" s="531"/>
      <c r="TI106" s="530"/>
      <c r="TJ106" s="531"/>
      <c r="TK106" s="530"/>
      <c r="TL106" s="531"/>
      <c r="TM106" s="530"/>
      <c r="TN106" s="531"/>
      <c r="TO106" s="530"/>
      <c r="TP106" s="531"/>
      <c r="TQ106" s="530"/>
      <c r="TR106" s="531"/>
      <c r="TS106" s="530"/>
      <c r="TT106" s="531"/>
      <c r="TU106" s="530"/>
      <c r="TV106" s="531"/>
      <c r="TW106" s="530"/>
      <c r="TX106" s="531"/>
      <c r="TY106" s="530"/>
      <c r="TZ106" s="531"/>
      <c r="UA106" s="530"/>
      <c r="UB106" s="531"/>
      <c r="UC106" s="530"/>
      <c r="UD106" s="531"/>
      <c r="UE106" s="530"/>
      <c r="UF106" s="531"/>
      <c r="UG106" s="530"/>
      <c r="UH106" s="531"/>
      <c r="UI106" s="530"/>
      <c r="UJ106" s="531"/>
      <c r="UK106" s="530"/>
      <c r="UL106" s="531"/>
      <c r="UM106" s="530"/>
      <c r="UN106" s="531"/>
      <c r="UO106" s="530"/>
      <c r="UP106" s="531"/>
      <c r="UQ106" s="530"/>
      <c r="UR106" s="531"/>
      <c r="US106" s="530"/>
      <c r="UT106" s="531"/>
      <c r="UU106" s="530"/>
      <c r="UV106" s="531"/>
      <c r="UW106" s="530"/>
      <c r="UX106" s="531"/>
      <c r="UY106" s="530"/>
      <c r="UZ106" s="531"/>
      <c r="VA106" s="530"/>
      <c r="VB106" s="531"/>
      <c r="VC106" s="530"/>
      <c r="VD106" s="531"/>
      <c r="VE106" s="530"/>
      <c r="VF106" s="531"/>
      <c r="VG106" s="530"/>
      <c r="VH106" s="531"/>
      <c r="VI106" s="530"/>
      <c r="VJ106" s="531"/>
      <c r="VK106" s="530"/>
      <c r="VL106" s="531"/>
      <c r="VM106" s="530"/>
      <c r="VN106" s="531"/>
      <c r="VO106" s="530"/>
      <c r="VP106" s="531"/>
      <c r="VQ106" s="530"/>
      <c r="VR106" s="531"/>
      <c r="VS106" s="530"/>
      <c r="VT106" s="531"/>
      <c r="VU106" s="530"/>
      <c r="VV106" s="531"/>
      <c r="VW106" s="530"/>
      <c r="VX106" s="531"/>
      <c r="VY106" s="530"/>
      <c r="VZ106" s="531"/>
      <c r="WA106" s="530"/>
      <c r="WB106" s="531"/>
      <c r="WC106" s="530"/>
      <c r="WD106" s="531"/>
      <c r="WE106" s="530"/>
      <c r="WF106" s="531"/>
      <c r="WG106" s="530"/>
      <c r="WH106" s="531"/>
      <c r="WI106" s="530"/>
      <c r="WJ106" s="531"/>
      <c r="WK106" s="530"/>
      <c r="WL106" s="531"/>
      <c r="WM106" s="530"/>
      <c r="WN106" s="531"/>
      <c r="WO106" s="530"/>
      <c r="WP106" s="531"/>
      <c r="WQ106" s="530"/>
      <c r="WR106" s="531"/>
      <c r="WS106" s="530"/>
      <c r="WT106" s="531"/>
      <c r="WU106" s="530"/>
      <c r="WV106" s="531"/>
      <c r="WW106" s="530"/>
      <c r="WX106" s="531"/>
      <c r="WY106" s="530"/>
      <c r="WZ106" s="531"/>
      <c r="XA106" s="530"/>
      <c r="XB106" s="531"/>
      <c r="XC106" s="530"/>
      <c r="XD106" s="531"/>
      <c r="XE106" s="530"/>
      <c r="XF106" s="531"/>
      <c r="XG106" s="530"/>
      <c r="XH106" s="531"/>
      <c r="XI106" s="530"/>
      <c r="XJ106" s="531"/>
      <c r="XK106" s="530"/>
      <c r="XL106" s="531"/>
      <c r="XM106" s="530"/>
      <c r="XN106" s="531"/>
      <c r="XO106" s="530"/>
      <c r="XP106" s="531"/>
      <c r="XQ106" s="530"/>
      <c r="XR106" s="531"/>
      <c r="XS106" s="530"/>
      <c r="XT106" s="531"/>
      <c r="XU106" s="530"/>
      <c r="XV106" s="531"/>
      <c r="XW106" s="530"/>
      <c r="XX106" s="531"/>
      <c r="XY106" s="530"/>
      <c r="XZ106" s="531"/>
      <c r="YA106" s="530"/>
      <c r="YB106" s="531"/>
      <c r="YC106" s="530"/>
      <c r="YD106" s="531"/>
      <c r="YE106" s="530"/>
      <c r="YF106" s="531"/>
      <c r="YG106" s="530"/>
      <c r="YH106" s="531"/>
      <c r="YI106" s="530"/>
      <c r="YJ106" s="531"/>
      <c r="YK106" s="530"/>
      <c r="YL106" s="531"/>
      <c r="YM106" s="530"/>
      <c r="YN106" s="531"/>
      <c r="YO106" s="530"/>
      <c r="YP106" s="531"/>
      <c r="YQ106" s="530"/>
      <c r="YR106" s="531"/>
      <c r="YS106" s="530"/>
      <c r="YT106" s="531"/>
      <c r="YU106" s="530"/>
      <c r="YV106" s="531"/>
      <c r="YW106" s="530"/>
      <c r="YX106" s="531"/>
      <c r="YY106" s="530"/>
      <c r="YZ106" s="531"/>
      <c r="ZA106" s="530"/>
      <c r="ZB106" s="531"/>
      <c r="ZC106" s="530"/>
      <c r="ZD106" s="531"/>
      <c r="ZE106" s="530"/>
      <c r="ZF106" s="531"/>
      <c r="ZG106" s="530"/>
      <c r="ZH106" s="531"/>
      <c r="ZI106" s="530"/>
      <c r="ZJ106" s="531"/>
      <c r="ZK106" s="530"/>
      <c r="ZL106" s="531"/>
      <c r="ZM106" s="530"/>
      <c r="ZN106" s="531"/>
      <c r="ZO106" s="530"/>
      <c r="ZP106" s="531"/>
      <c r="ZQ106" s="530"/>
      <c r="ZR106" s="531"/>
      <c r="ZS106" s="530"/>
      <c r="ZT106" s="531"/>
      <c r="ZU106" s="530"/>
      <c r="ZV106" s="531"/>
      <c r="ZW106" s="530"/>
      <c r="ZX106" s="531"/>
      <c r="ZY106" s="530"/>
      <c r="ZZ106" s="531"/>
      <c r="AAA106" s="530"/>
      <c r="AAB106" s="531"/>
      <c r="AAC106" s="530"/>
      <c r="AAD106" s="531"/>
      <c r="AAE106" s="530"/>
      <c r="AAF106" s="531"/>
      <c r="AAG106" s="530"/>
      <c r="AAH106" s="531"/>
      <c r="AAI106" s="530"/>
      <c r="AAJ106" s="531"/>
      <c r="AAK106" s="530"/>
      <c r="AAL106" s="531"/>
      <c r="AAM106" s="530"/>
      <c r="AAN106" s="531"/>
      <c r="AAO106" s="530"/>
      <c r="AAP106" s="531"/>
      <c r="AAQ106" s="530"/>
      <c r="AAR106" s="531"/>
      <c r="AAS106" s="530"/>
      <c r="AAT106" s="531"/>
      <c r="AAU106" s="530"/>
      <c r="AAV106" s="531"/>
      <c r="AAW106" s="530"/>
      <c r="AAX106" s="531"/>
      <c r="AAY106" s="530"/>
      <c r="AAZ106" s="531"/>
      <c r="ABA106" s="530"/>
      <c r="ABB106" s="531"/>
      <c r="ABC106" s="530"/>
      <c r="ABD106" s="531"/>
      <c r="ABE106" s="530"/>
      <c r="ABF106" s="531"/>
      <c r="ABG106" s="530"/>
      <c r="ABH106" s="531"/>
      <c r="ABI106" s="530"/>
      <c r="ABJ106" s="531"/>
      <c r="ABK106" s="530"/>
      <c r="ABL106" s="531"/>
      <c r="ABM106" s="530"/>
      <c r="ABN106" s="531"/>
      <c r="ABO106" s="530"/>
      <c r="ABP106" s="531"/>
      <c r="ABQ106" s="530"/>
      <c r="ABR106" s="531"/>
      <c r="ABS106" s="530"/>
      <c r="ABT106" s="531"/>
      <c r="ABU106" s="530"/>
      <c r="ABV106" s="531"/>
      <c r="ABW106" s="530"/>
      <c r="ABX106" s="531"/>
      <c r="ABY106" s="530"/>
      <c r="ABZ106" s="531"/>
      <c r="ACA106" s="530"/>
      <c r="ACB106" s="531"/>
      <c r="ACC106" s="530"/>
      <c r="ACD106" s="531"/>
      <c r="ACE106" s="530"/>
      <c r="ACF106" s="531"/>
      <c r="ACG106" s="530"/>
      <c r="ACH106" s="531"/>
      <c r="ACI106" s="530"/>
      <c r="ACJ106" s="531"/>
      <c r="ACK106" s="530"/>
      <c r="ACL106" s="531"/>
      <c r="ACM106" s="530"/>
      <c r="ACN106" s="531"/>
      <c r="ACO106" s="530"/>
      <c r="ACP106" s="531"/>
      <c r="ACQ106" s="530"/>
      <c r="ACR106" s="531"/>
      <c r="ACS106" s="530"/>
      <c r="ACT106" s="531"/>
      <c r="ACU106" s="530"/>
      <c r="ACV106" s="531"/>
      <c r="ACW106" s="530"/>
      <c r="ACX106" s="531"/>
      <c r="ACY106" s="530"/>
      <c r="ACZ106" s="531"/>
      <c r="ADA106" s="530"/>
      <c r="ADB106" s="531"/>
      <c r="ADC106" s="530"/>
      <c r="ADD106" s="531"/>
      <c r="ADE106" s="530"/>
      <c r="ADF106" s="531"/>
      <c r="ADG106" s="530"/>
      <c r="ADH106" s="531"/>
      <c r="ADI106" s="530"/>
      <c r="ADJ106" s="531"/>
      <c r="ADK106" s="530"/>
      <c r="ADL106" s="531"/>
      <c r="ADM106" s="530"/>
      <c r="ADN106" s="531"/>
      <c r="ADO106" s="530"/>
      <c r="ADP106" s="531"/>
      <c r="ADQ106" s="530"/>
      <c r="ADR106" s="531"/>
      <c r="ADS106" s="530"/>
      <c r="ADT106" s="531"/>
      <c r="ADU106" s="530"/>
      <c r="ADV106" s="531"/>
      <c r="ADW106" s="530"/>
      <c r="ADX106" s="531"/>
      <c r="ADY106" s="530"/>
      <c r="ADZ106" s="531"/>
      <c r="AEA106" s="530"/>
      <c r="AEB106" s="531"/>
      <c r="AEC106" s="530"/>
      <c r="AED106" s="531"/>
      <c r="AEE106" s="530"/>
      <c r="AEF106" s="531"/>
      <c r="AEG106" s="530"/>
      <c r="AEH106" s="531"/>
      <c r="AEI106" s="530"/>
      <c r="AEJ106" s="531"/>
      <c r="AEK106" s="530"/>
      <c r="AEL106" s="531"/>
      <c r="AEM106" s="530"/>
      <c r="AEN106" s="531"/>
      <c r="AEO106" s="530"/>
      <c r="AEP106" s="531"/>
      <c r="AEQ106" s="530"/>
      <c r="AER106" s="531"/>
      <c r="AES106" s="530"/>
      <c r="AET106" s="531"/>
      <c r="AEU106" s="530"/>
      <c r="AEV106" s="531"/>
      <c r="AEW106" s="530"/>
      <c r="AEX106" s="531"/>
      <c r="AEY106" s="530"/>
      <c r="AEZ106" s="531"/>
      <c r="AFA106" s="530"/>
      <c r="AFB106" s="531"/>
      <c r="AFC106" s="530"/>
      <c r="AFD106" s="531"/>
      <c r="AFE106" s="530"/>
      <c r="AFF106" s="531"/>
      <c r="AFG106" s="530"/>
      <c r="AFH106" s="531"/>
      <c r="AFI106" s="530"/>
      <c r="AFJ106" s="531"/>
      <c r="AFK106" s="530"/>
      <c r="AFL106" s="531"/>
      <c r="AFM106" s="530"/>
      <c r="AFN106" s="531"/>
      <c r="AFO106" s="530"/>
      <c r="AFP106" s="531"/>
      <c r="AFQ106" s="530"/>
      <c r="AFR106" s="531"/>
      <c r="AFS106" s="530"/>
      <c r="AFT106" s="531"/>
      <c r="AFU106" s="530"/>
      <c r="AFV106" s="531"/>
      <c r="AFW106" s="530"/>
      <c r="AFX106" s="531"/>
      <c r="AFY106" s="530"/>
      <c r="AFZ106" s="531"/>
      <c r="AGA106" s="530"/>
      <c r="AGB106" s="531"/>
      <c r="AGC106" s="530"/>
      <c r="AGD106" s="531"/>
      <c r="AGE106" s="530"/>
      <c r="AGF106" s="531"/>
      <c r="AGG106" s="530"/>
      <c r="AGH106" s="531"/>
      <c r="AGI106" s="530"/>
      <c r="AGJ106" s="531"/>
      <c r="AGK106" s="530"/>
      <c r="AGL106" s="531"/>
      <c r="AGM106" s="530"/>
      <c r="AGN106" s="531"/>
      <c r="AGO106" s="530"/>
      <c r="AGP106" s="531"/>
      <c r="AGQ106" s="530"/>
      <c r="AGR106" s="531"/>
      <c r="AGS106" s="530"/>
      <c r="AGT106" s="531"/>
      <c r="AGU106" s="530"/>
      <c r="AGV106" s="531"/>
      <c r="AGW106" s="530"/>
      <c r="AGX106" s="531"/>
      <c r="AGY106" s="530"/>
      <c r="AGZ106" s="531"/>
      <c r="AHA106" s="530"/>
      <c r="AHB106" s="531"/>
      <c r="AHC106" s="530"/>
      <c r="AHD106" s="531"/>
      <c r="AHE106" s="530"/>
      <c r="AHF106" s="531"/>
      <c r="AHG106" s="530"/>
      <c r="AHH106" s="531"/>
      <c r="AHI106" s="530"/>
      <c r="AHJ106" s="531"/>
      <c r="AHK106" s="530"/>
      <c r="AHL106" s="531"/>
      <c r="AHM106" s="530"/>
      <c r="AHN106" s="531"/>
      <c r="AHO106" s="530"/>
      <c r="AHP106" s="531"/>
      <c r="AHQ106" s="530"/>
      <c r="AHR106" s="531"/>
      <c r="AHS106" s="530"/>
      <c r="AHT106" s="531"/>
      <c r="AHU106" s="530"/>
      <c r="AHV106" s="531"/>
      <c r="AHW106" s="530"/>
      <c r="AHX106" s="531"/>
      <c r="AHY106" s="530"/>
      <c r="AHZ106" s="531"/>
      <c r="AIA106" s="530"/>
      <c r="AIB106" s="531"/>
      <c r="AIC106" s="530"/>
      <c r="AID106" s="531"/>
      <c r="AIE106" s="530"/>
      <c r="AIF106" s="531"/>
      <c r="AIG106" s="530"/>
      <c r="AIH106" s="531"/>
      <c r="AII106" s="530"/>
      <c r="AIJ106" s="531"/>
      <c r="AIK106" s="530"/>
      <c r="AIL106" s="531"/>
      <c r="AIM106" s="530"/>
      <c r="AIN106" s="531"/>
      <c r="AIO106" s="530"/>
      <c r="AIP106" s="531"/>
      <c r="AIQ106" s="530"/>
      <c r="AIR106" s="531"/>
      <c r="AIS106" s="530"/>
      <c r="AIT106" s="531"/>
      <c r="AIU106" s="530"/>
      <c r="AIV106" s="531"/>
      <c r="AIW106" s="530"/>
      <c r="AIX106" s="531"/>
      <c r="AIY106" s="530"/>
      <c r="AIZ106" s="531"/>
      <c r="AJA106" s="530"/>
      <c r="AJB106" s="531"/>
      <c r="AJC106" s="530"/>
      <c r="AJD106" s="531"/>
      <c r="AJE106" s="530"/>
      <c r="AJF106" s="531"/>
      <c r="AJG106" s="530"/>
      <c r="AJH106" s="531"/>
      <c r="AJI106" s="530"/>
      <c r="AJJ106" s="531"/>
      <c r="AJK106" s="530"/>
      <c r="AJL106" s="531"/>
      <c r="AJM106" s="530"/>
      <c r="AJN106" s="531"/>
      <c r="AJO106" s="530"/>
      <c r="AJP106" s="531"/>
      <c r="AJQ106" s="530"/>
      <c r="AJR106" s="531"/>
      <c r="AJS106" s="530"/>
      <c r="AJT106" s="531"/>
      <c r="AJU106" s="530"/>
      <c r="AJV106" s="531"/>
      <c r="AJW106" s="530"/>
      <c r="AJX106" s="531"/>
      <c r="AJY106" s="530"/>
      <c r="AJZ106" s="531"/>
      <c r="AKA106" s="530"/>
      <c r="AKB106" s="531"/>
      <c r="AKC106" s="530"/>
      <c r="AKD106" s="531"/>
      <c r="AKE106" s="530"/>
      <c r="AKF106" s="531"/>
      <c r="AKG106" s="530"/>
      <c r="AKH106" s="531"/>
      <c r="AKI106" s="530"/>
      <c r="AKJ106" s="531"/>
      <c r="AKK106" s="530"/>
      <c r="AKL106" s="531"/>
      <c r="AKM106" s="530"/>
      <c r="AKN106" s="531"/>
      <c r="AKO106" s="530"/>
      <c r="AKP106" s="531"/>
      <c r="AKQ106" s="530"/>
      <c r="AKR106" s="531"/>
      <c r="AKS106" s="530"/>
      <c r="AKT106" s="531"/>
      <c r="AKU106" s="530"/>
      <c r="AKV106" s="531"/>
      <c r="AKW106" s="530"/>
      <c r="AKX106" s="531"/>
      <c r="AKY106" s="530"/>
      <c r="AKZ106" s="531"/>
      <c r="ALA106" s="530"/>
      <c r="ALB106" s="531"/>
      <c r="ALC106" s="530"/>
      <c r="ALD106" s="531"/>
      <c r="ALE106" s="530"/>
      <c r="ALF106" s="531"/>
      <c r="ALG106" s="530"/>
      <c r="ALH106" s="531"/>
      <c r="ALI106" s="530"/>
      <c r="ALJ106" s="531"/>
      <c r="ALK106" s="530"/>
      <c r="ALL106" s="531"/>
      <c r="ALM106" s="530"/>
      <c r="ALN106" s="531"/>
      <c r="ALO106" s="530"/>
      <c r="ALP106" s="531"/>
      <c r="ALQ106" s="530"/>
      <c r="ALR106" s="531"/>
      <c r="ALS106" s="530"/>
      <c r="ALT106" s="531"/>
      <c r="ALU106" s="530"/>
      <c r="ALV106" s="531"/>
      <c r="ALW106" s="530"/>
      <c r="ALX106" s="531"/>
      <c r="ALY106" s="530"/>
      <c r="ALZ106" s="531"/>
      <c r="AMA106" s="530"/>
      <c r="AMB106" s="531"/>
      <c r="AMC106" s="530"/>
      <c r="AMD106" s="531"/>
      <c r="AME106" s="530"/>
      <c r="AMF106" s="531"/>
      <c r="AMG106" s="530"/>
      <c r="AMH106" s="531"/>
      <c r="AMI106" s="530"/>
      <c r="AMJ106" s="531"/>
      <c r="AMK106" s="530"/>
      <c r="AML106" s="531"/>
      <c r="AMM106" s="530"/>
      <c r="AMN106" s="531"/>
      <c r="AMO106" s="530"/>
      <c r="AMP106" s="531"/>
      <c r="AMQ106" s="530"/>
      <c r="AMR106" s="531"/>
      <c r="AMS106" s="530"/>
      <c r="AMT106" s="531"/>
      <c r="AMU106" s="530"/>
      <c r="AMV106" s="531"/>
      <c r="AMW106" s="530"/>
      <c r="AMX106" s="531"/>
      <c r="AMY106" s="530"/>
      <c r="AMZ106" s="531"/>
      <c r="ANA106" s="530"/>
      <c r="ANB106" s="531"/>
      <c r="ANC106" s="530"/>
      <c r="AND106" s="531"/>
      <c r="ANE106" s="530"/>
      <c r="ANF106" s="531"/>
      <c r="ANG106" s="530"/>
      <c r="ANH106" s="531"/>
      <c r="ANI106" s="530"/>
      <c r="ANJ106" s="531"/>
      <c r="ANK106" s="530"/>
      <c r="ANL106" s="531"/>
      <c r="ANM106" s="530"/>
      <c r="ANN106" s="531"/>
      <c r="ANO106" s="530"/>
      <c r="ANP106" s="531"/>
      <c r="ANQ106" s="530"/>
      <c r="ANR106" s="531"/>
      <c r="ANS106" s="530"/>
      <c r="ANT106" s="531"/>
      <c r="ANU106" s="530"/>
      <c r="ANV106" s="531"/>
      <c r="ANW106" s="530"/>
      <c r="ANX106" s="531"/>
      <c r="ANY106" s="530"/>
      <c r="ANZ106" s="531"/>
      <c r="AOA106" s="530"/>
      <c r="AOB106" s="531"/>
      <c r="AOC106" s="530"/>
      <c r="AOD106" s="531"/>
      <c r="AOE106" s="530"/>
      <c r="AOF106" s="531"/>
      <c r="AOG106" s="530"/>
      <c r="AOH106" s="531"/>
      <c r="AOI106" s="530"/>
      <c r="AOJ106" s="531"/>
      <c r="AOK106" s="530"/>
      <c r="AOL106" s="531"/>
      <c r="AOM106" s="530"/>
      <c r="AON106" s="531"/>
      <c r="AOO106" s="530"/>
      <c r="AOP106" s="531"/>
      <c r="AOQ106" s="530"/>
      <c r="AOR106" s="531"/>
      <c r="AOS106" s="530"/>
      <c r="AOT106" s="531"/>
      <c r="AOU106" s="530"/>
      <c r="AOV106" s="531"/>
      <c r="AOW106" s="530"/>
      <c r="AOX106" s="531"/>
      <c r="AOY106" s="530"/>
      <c r="AOZ106" s="531"/>
      <c r="APA106" s="530"/>
      <c r="APB106" s="531"/>
      <c r="APC106" s="530"/>
      <c r="APD106" s="531"/>
      <c r="APE106" s="530"/>
      <c r="APF106" s="531"/>
      <c r="APG106" s="530"/>
      <c r="APH106" s="531"/>
      <c r="API106" s="530"/>
      <c r="APJ106" s="531"/>
      <c r="APK106" s="530"/>
      <c r="APL106" s="531"/>
      <c r="APM106" s="530"/>
      <c r="APN106" s="531"/>
      <c r="APO106" s="530"/>
      <c r="APP106" s="531"/>
      <c r="APQ106" s="530"/>
      <c r="APR106" s="531"/>
      <c r="APS106" s="530"/>
      <c r="APT106" s="531"/>
      <c r="APU106" s="530"/>
      <c r="APV106" s="531"/>
      <c r="APW106" s="530"/>
      <c r="APX106" s="531"/>
      <c r="APY106" s="530"/>
      <c r="APZ106" s="531"/>
      <c r="AQA106" s="530"/>
      <c r="AQB106" s="531"/>
      <c r="AQC106" s="530"/>
      <c r="AQD106" s="531"/>
      <c r="AQE106" s="530"/>
      <c r="AQF106" s="531"/>
      <c r="AQG106" s="530"/>
      <c r="AQH106" s="531"/>
      <c r="AQI106" s="530"/>
      <c r="AQJ106" s="531"/>
      <c r="AQK106" s="530"/>
      <c r="AQL106" s="531"/>
      <c r="AQM106" s="530"/>
      <c r="AQN106" s="531"/>
      <c r="AQO106" s="530"/>
      <c r="AQP106" s="531"/>
      <c r="AQQ106" s="530"/>
      <c r="AQR106" s="531"/>
      <c r="AQS106" s="530"/>
      <c r="AQT106" s="531"/>
      <c r="AQU106" s="530"/>
      <c r="AQV106" s="531"/>
      <c r="AQW106" s="530"/>
      <c r="AQX106" s="531"/>
      <c r="AQY106" s="530"/>
      <c r="AQZ106" s="531"/>
      <c r="ARA106" s="530"/>
      <c r="ARB106" s="531"/>
      <c r="ARC106" s="530"/>
      <c r="ARD106" s="531"/>
      <c r="ARE106" s="530"/>
      <c r="ARF106" s="531"/>
      <c r="ARG106" s="530"/>
      <c r="ARH106" s="531"/>
      <c r="ARI106" s="530"/>
      <c r="ARJ106" s="531"/>
      <c r="ARK106" s="530"/>
      <c r="ARL106" s="531"/>
      <c r="ARM106" s="530"/>
      <c r="ARN106" s="531"/>
      <c r="ARO106" s="530"/>
      <c r="ARP106" s="531"/>
      <c r="ARQ106" s="530"/>
      <c r="ARR106" s="531"/>
      <c r="ARS106" s="530"/>
      <c r="ART106" s="531"/>
      <c r="ARU106" s="530"/>
      <c r="ARV106" s="531"/>
      <c r="ARW106" s="530"/>
      <c r="ARX106" s="531"/>
      <c r="ARY106" s="530"/>
      <c r="ARZ106" s="531"/>
      <c r="ASA106" s="530"/>
      <c r="ASB106" s="531"/>
      <c r="ASC106" s="530"/>
      <c r="ASD106" s="531"/>
      <c r="ASE106" s="530"/>
      <c r="ASF106" s="531"/>
      <c r="ASG106" s="530"/>
      <c r="ASH106" s="531"/>
      <c r="ASI106" s="530"/>
      <c r="ASJ106" s="531"/>
      <c r="ASK106" s="530"/>
      <c r="ASL106" s="531"/>
      <c r="ASM106" s="530"/>
      <c r="ASN106" s="531"/>
      <c r="ASO106" s="530"/>
      <c r="ASP106" s="531"/>
      <c r="ASQ106" s="530"/>
      <c r="ASR106" s="531"/>
      <c r="ASS106" s="530"/>
      <c r="AST106" s="531"/>
      <c r="ASU106" s="530"/>
      <c r="ASV106" s="531"/>
      <c r="ASW106" s="530"/>
      <c r="ASX106" s="531"/>
      <c r="ASY106" s="530"/>
      <c r="ASZ106" s="531"/>
      <c r="ATA106" s="530"/>
      <c r="ATB106" s="531"/>
      <c r="ATC106" s="530"/>
      <c r="ATD106" s="531"/>
      <c r="ATE106" s="530"/>
      <c r="ATF106" s="531"/>
      <c r="ATG106" s="530"/>
      <c r="ATH106" s="531"/>
      <c r="ATI106" s="530"/>
      <c r="ATJ106" s="531"/>
      <c r="ATK106" s="530"/>
      <c r="ATL106" s="531"/>
      <c r="ATM106" s="530"/>
      <c r="ATN106" s="531"/>
      <c r="ATO106" s="530"/>
      <c r="ATP106" s="531"/>
      <c r="ATQ106" s="530"/>
      <c r="ATR106" s="531"/>
      <c r="ATS106" s="530"/>
      <c r="ATT106" s="531"/>
      <c r="ATU106" s="530"/>
      <c r="ATV106" s="531"/>
      <c r="ATW106" s="530"/>
      <c r="ATX106" s="531"/>
      <c r="ATY106" s="530"/>
      <c r="ATZ106" s="531"/>
      <c r="AUA106" s="530"/>
      <c r="AUB106" s="531"/>
      <c r="AUC106" s="530"/>
      <c r="AUD106" s="531"/>
      <c r="AUE106" s="530"/>
      <c r="AUF106" s="531"/>
      <c r="AUG106" s="530"/>
      <c r="AUH106" s="531"/>
      <c r="AUI106" s="530"/>
      <c r="AUJ106" s="531"/>
      <c r="AUK106" s="530"/>
      <c r="AUL106" s="531"/>
      <c r="AUM106" s="530"/>
      <c r="AUN106" s="531"/>
      <c r="AUO106" s="530"/>
      <c r="AUP106" s="531"/>
      <c r="AUQ106" s="530"/>
      <c r="AUR106" s="531"/>
      <c r="AUS106" s="530"/>
      <c r="AUT106" s="531"/>
      <c r="AUU106" s="530"/>
      <c r="AUV106" s="531"/>
      <c r="AUW106" s="530"/>
      <c r="AUX106" s="531"/>
      <c r="AUY106" s="530"/>
      <c r="AUZ106" s="531"/>
      <c r="AVA106" s="530"/>
      <c r="AVB106" s="531"/>
      <c r="AVC106" s="530"/>
      <c r="AVD106" s="531"/>
      <c r="AVE106" s="530"/>
      <c r="AVF106" s="531"/>
      <c r="AVG106" s="530"/>
      <c r="AVH106" s="531"/>
      <c r="AVI106" s="530"/>
      <c r="AVJ106" s="531"/>
      <c r="AVK106" s="530"/>
      <c r="AVL106" s="531"/>
      <c r="AVM106" s="530"/>
      <c r="AVN106" s="531"/>
      <c r="AVO106" s="530"/>
      <c r="AVP106" s="531"/>
      <c r="AVQ106" s="530"/>
      <c r="AVR106" s="531"/>
      <c r="AVS106" s="530"/>
      <c r="AVT106" s="531"/>
      <c r="AVU106" s="530"/>
      <c r="AVV106" s="531"/>
      <c r="AVW106" s="530"/>
      <c r="AVX106" s="531"/>
      <c r="AVY106" s="530"/>
      <c r="AVZ106" s="531"/>
      <c r="AWA106" s="530"/>
      <c r="AWB106" s="531"/>
      <c r="AWC106" s="530"/>
      <c r="AWD106" s="531"/>
      <c r="AWE106" s="530"/>
      <c r="AWF106" s="531"/>
      <c r="AWG106" s="530"/>
      <c r="AWH106" s="531"/>
      <c r="AWI106" s="530"/>
      <c r="AWJ106" s="531"/>
      <c r="AWK106" s="530"/>
      <c r="AWL106" s="531"/>
      <c r="AWM106" s="530"/>
      <c r="AWN106" s="531"/>
      <c r="AWO106" s="530"/>
      <c r="AWP106" s="531"/>
      <c r="AWQ106" s="530"/>
      <c r="AWR106" s="531"/>
      <c r="AWS106" s="530"/>
      <c r="AWT106" s="531"/>
      <c r="AWU106" s="530"/>
      <c r="AWV106" s="531"/>
      <c r="AWW106" s="530"/>
      <c r="AWX106" s="531"/>
      <c r="AWY106" s="530"/>
      <c r="AWZ106" s="531"/>
      <c r="AXA106" s="530"/>
      <c r="AXB106" s="531"/>
      <c r="AXC106" s="530"/>
      <c r="AXD106" s="531"/>
      <c r="AXE106" s="530"/>
      <c r="AXF106" s="531"/>
      <c r="AXG106" s="530"/>
      <c r="AXH106" s="531"/>
      <c r="AXI106" s="530"/>
      <c r="AXJ106" s="531"/>
      <c r="AXK106" s="530"/>
      <c r="AXL106" s="531"/>
      <c r="AXM106" s="530"/>
      <c r="AXN106" s="531"/>
      <c r="AXO106" s="530"/>
      <c r="AXP106" s="531"/>
      <c r="AXQ106" s="530"/>
      <c r="AXR106" s="531"/>
      <c r="AXS106" s="530"/>
      <c r="AXT106" s="531"/>
      <c r="AXU106" s="530"/>
      <c r="AXV106" s="531"/>
      <c r="AXW106" s="530"/>
      <c r="AXX106" s="531"/>
      <c r="AXY106" s="530"/>
      <c r="AXZ106" s="531"/>
      <c r="AYA106" s="530"/>
      <c r="AYB106" s="531"/>
      <c r="AYC106" s="530"/>
      <c r="AYD106" s="531"/>
      <c r="AYE106" s="530"/>
      <c r="AYF106" s="531"/>
      <c r="AYG106" s="530"/>
      <c r="AYH106" s="531"/>
      <c r="AYI106" s="530"/>
      <c r="AYJ106" s="531"/>
      <c r="AYK106" s="530"/>
      <c r="AYL106" s="531"/>
      <c r="AYM106" s="530"/>
      <c r="AYN106" s="531"/>
      <c r="AYO106" s="530"/>
      <c r="AYP106" s="531"/>
      <c r="AYQ106" s="530"/>
      <c r="AYR106" s="531"/>
      <c r="AYS106" s="530"/>
      <c r="AYT106" s="531"/>
      <c r="AYU106" s="530"/>
      <c r="AYV106" s="531"/>
      <c r="AYW106" s="530"/>
      <c r="AYX106" s="531"/>
      <c r="AYY106" s="530"/>
      <c r="AYZ106" s="531"/>
      <c r="AZA106" s="530"/>
      <c r="AZB106" s="531"/>
      <c r="AZC106" s="530"/>
      <c r="AZD106" s="531"/>
      <c r="AZE106" s="530"/>
      <c r="AZF106" s="531"/>
      <c r="AZG106" s="530"/>
      <c r="AZH106" s="531"/>
      <c r="AZI106" s="530"/>
      <c r="AZJ106" s="531"/>
      <c r="AZK106" s="530"/>
      <c r="AZL106" s="531"/>
      <c r="AZM106" s="530"/>
      <c r="AZN106" s="531"/>
      <c r="AZO106" s="530"/>
      <c r="AZP106" s="531"/>
      <c r="AZQ106" s="530"/>
      <c r="AZR106" s="531"/>
      <c r="AZS106" s="530"/>
      <c r="AZT106" s="531"/>
      <c r="AZU106" s="530"/>
      <c r="AZV106" s="531"/>
      <c r="AZW106" s="530"/>
      <c r="AZX106" s="531"/>
      <c r="AZY106" s="530"/>
      <c r="AZZ106" s="531"/>
      <c r="BAA106" s="530"/>
      <c r="BAB106" s="531"/>
      <c r="BAC106" s="530"/>
      <c r="BAD106" s="531"/>
      <c r="BAE106" s="530"/>
      <c r="BAF106" s="531"/>
      <c r="BAG106" s="530"/>
      <c r="BAH106" s="531"/>
      <c r="BAI106" s="530"/>
      <c r="BAJ106" s="531"/>
      <c r="BAK106" s="530"/>
      <c r="BAL106" s="531"/>
      <c r="BAM106" s="530"/>
      <c r="BAN106" s="531"/>
      <c r="BAO106" s="530"/>
      <c r="BAP106" s="531"/>
      <c r="BAQ106" s="530"/>
      <c r="BAR106" s="531"/>
      <c r="BAS106" s="530"/>
      <c r="BAT106" s="531"/>
      <c r="BAU106" s="530"/>
      <c r="BAV106" s="531"/>
      <c r="BAW106" s="530"/>
      <c r="BAX106" s="531"/>
      <c r="BAY106" s="530"/>
      <c r="BAZ106" s="531"/>
      <c r="BBA106" s="530"/>
      <c r="BBB106" s="531"/>
      <c r="BBC106" s="530"/>
      <c r="BBD106" s="531"/>
      <c r="BBE106" s="530"/>
      <c r="BBF106" s="531"/>
      <c r="BBG106" s="530"/>
      <c r="BBH106" s="531"/>
      <c r="BBI106" s="530"/>
      <c r="BBJ106" s="531"/>
      <c r="BBK106" s="530"/>
      <c r="BBL106" s="531"/>
      <c r="BBM106" s="530"/>
      <c r="BBN106" s="531"/>
      <c r="BBO106" s="530"/>
      <c r="BBP106" s="531"/>
      <c r="BBQ106" s="530"/>
      <c r="BBR106" s="531"/>
      <c r="BBS106" s="530"/>
      <c r="BBT106" s="531"/>
      <c r="BBU106" s="530"/>
      <c r="BBV106" s="531"/>
      <c r="BBW106" s="530"/>
      <c r="BBX106" s="531"/>
      <c r="BBY106" s="530"/>
      <c r="BBZ106" s="531"/>
      <c r="BCA106" s="530"/>
      <c r="BCB106" s="531"/>
      <c r="BCC106" s="530"/>
      <c r="BCD106" s="531"/>
      <c r="BCE106" s="530"/>
      <c r="BCF106" s="531"/>
      <c r="BCG106" s="530"/>
      <c r="BCH106" s="531"/>
      <c r="BCI106" s="530"/>
      <c r="BCJ106" s="531"/>
      <c r="BCK106" s="530"/>
      <c r="BCL106" s="531"/>
      <c r="BCM106" s="530"/>
      <c r="BCN106" s="531"/>
      <c r="BCO106" s="530"/>
      <c r="BCP106" s="531"/>
      <c r="BCQ106" s="530"/>
      <c r="BCR106" s="531"/>
      <c r="BCS106" s="530"/>
      <c r="BCT106" s="531"/>
      <c r="BCU106" s="530"/>
      <c r="BCV106" s="531"/>
      <c r="BCW106" s="530"/>
      <c r="BCX106" s="531"/>
      <c r="BCY106" s="530"/>
      <c r="BCZ106" s="531"/>
      <c r="BDA106" s="530"/>
      <c r="BDB106" s="531"/>
      <c r="BDC106" s="530"/>
      <c r="BDD106" s="531"/>
      <c r="BDE106" s="530"/>
      <c r="BDF106" s="531"/>
      <c r="BDG106" s="530"/>
      <c r="BDH106" s="531"/>
      <c r="BDI106" s="530"/>
      <c r="BDJ106" s="531"/>
      <c r="BDK106" s="530"/>
      <c r="BDL106" s="531"/>
      <c r="BDM106" s="530"/>
      <c r="BDN106" s="531"/>
      <c r="BDO106" s="530"/>
      <c r="BDP106" s="531"/>
      <c r="BDQ106" s="530"/>
      <c r="BDR106" s="531"/>
      <c r="BDS106" s="530"/>
      <c r="BDT106" s="531"/>
      <c r="BDU106" s="530"/>
      <c r="BDV106" s="531"/>
      <c r="BDW106" s="530"/>
      <c r="BDX106" s="531"/>
      <c r="BDY106" s="530"/>
      <c r="BDZ106" s="531"/>
      <c r="BEA106" s="530"/>
      <c r="BEB106" s="531"/>
      <c r="BEC106" s="530"/>
      <c r="BED106" s="531"/>
      <c r="BEE106" s="530"/>
      <c r="BEF106" s="531"/>
      <c r="BEG106" s="530"/>
      <c r="BEH106" s="531"/>
      <c r="BEI106" s="530"/>
      <c r="BEJ106" s="531"/>
      <c r="BEK106" s="530"/>
      <c r="BEL106" s="531"/>
      <c r="BEM106" s="530"/>
      <c r="BEN106" s="531"/>
      <c r="BEO106" s="530"/>
      <c r="BEP106" s="531"/>
      <c r="BEQ106" s="530"/>
      <c r="BER106" s="531"/>
      <c r="BES106" s="530"/>
      <c r="BET106" s="531"/>
      <c r="BEU106" s="530"/>
      <c r="BEV106" s="531"/>
      <c r="BEW106" s="530"/>
      <c r="BEX106" s="531"/>
      <c r="BEY106" s="530"/>
      <c r="BEZ106" s="531"/>
      <c r="BFA106" s="530"/>
      <c r="BFB106" s="531"/>
      <c r="BFC106" s="530"/>
      <c r="BFD106" s="531"/>
      <c r="BFE106" s="530"/>
      <c r="BFF106" s="531"/>
      <c r="BFG106" s="530"/>
      <c r="BFH106" s="531"/>
      <c r="BFI106" s="530"/>
      <c r="BFJ106" s="531"/>
      <c r="BFK106" s="530"/>
      <c r="BFL106" s="531"/>
      <c r="BFM106" s="530"/>
      <c r="BFN106" s="531"/>
      <c r="BFO106" s="530"/>
      <c r="BFP106" s="531"/>
      <c r="BFQ106" s="530"/>
      <c r="BFR106" s="531"/>
      <c r="BFS106" s="530"/>
      <c r="BFT106" s="531"/>
      <c r="BFU106" s="530"/>
      <c r="BFV106" s="531"/>
      <c r="BFW106" s="530"/>
      <c r="BFX106" s="531"/>
      <c r="BFY106" s="530"/>
      <c r="BFZ106" s="531"/>
      <c r="BGA106" s="530"/>
      <c r="BGB106" s="531"/>
      <c r="BGC106" s="530"/>
      <c r="BGD106" s="531"/>
      <c r="BGE106" s="530"/>
      <c r="BGF106" s="531"/>
      <c r="BGG106" s="530"/>
      <c r="BGH106" s="531"/>
      <c r="BGI106" s="530"/>
      <c r="BGJ106" s="531"/>
      <c r="BGK106" s="530"/>
      <c r="BGL106" s="531"/>
      <c r="BGM106" s="530"/>
      <c r="BGN106" s="531"/>
      <c r="BGO106" s="530"/>
      <c r="BGP106" s="531"/>
      <c r="BGQ106" s="530"/>
      <c r="BGR106" s="531"/>
      <c r="BGS106" s="530"/>
      <c r="BGT106" s="531"/>
      <c r="BGU106" s="530"/>
      <c r="BGV106" s="531"/>
      <c r="BGW106" s="530"/>
      <c r="BGX106" s="531"/>
      <c r="BGY106" s="530"/>
      <c r="BGZ106" s="531"/>
      <c r="BHA106" s="530"/>
      <c r="BHB106" s="531"/>
      <c r="BHC106" s="530"/>
      <c r="BHD106" s="531"/>
      <c r="BHE106" s="530"/>
      <c r="BHF106" s="531"/>
      <c r="BHG106" s="530"/>
      <c r="BHH106" s="531"/>
      <c r="BHI106" s="530"/>
      <c r="BHJ106" s="531"/>
      <c r="BHK106" s="530"/>
      <c r="BHL106" s="531"/>
      <c r="BHM106" s="530"/>
      <c r="BHN106" s="531"/>
      <c r="BHO106" s="530"/>
      <c r="BHP106" s="531"/>
      <c r="BHQ106" s="530"/>
      <c r="BHR106" s="531"/>
      <c r="BHS106" s="530"/>
      <c r="BHT106" s="531"/>
      <c r="BHU106" s="530"/>
      <c r="BHV106" s="531"/>
      <c r="BHW106" s="530"/>
      <c r="BHX106" s="531"/>
      <c r="BHY106" s="530"/>
      <c r="BHZ106" s="531"/>
      <c r="BIA106" s="530"/>
      <c r="BIB106" s="531"/>
      <c r="BIC106" s="530"/>
      <c r="BID106" s="531"/>
      <c r="BIE106" s="530"/>
      <c r="BIF106" s="531"/>
      <c r="BIG106" s="530"/>
      <c r="BIH106" s="531"/>
      <c r="BII106" s="530"/>
      <c r="BIJ106" s="531"/>
      <c r="BIK106" s="530"/>
      <c r="BIL106" s="531"/>
      <c r="BIM106" s="530"/>
      <c r="BIN106" s="531"/>
      <c r="BIO106" s="530"/>
      <c r="BIP106" s="531"/>
      <c r="BIQ106" s="530"/>
      <c r="BIR106" s="531"/>
      <c r="BIS106" s="530"/>
      <c r="BIT106" s="531"/>
      <c r="BIU106" s="530"/>
      <c r="BIV106" s="531"/>
      <c r="BIW106" s="530"/>
      <c r="BIX106" s="531"/>
      <c r="BIY106" s="530"/>
      <c r="BIZ106" s="531"/>
      <c r="BJA106" s="530"/>
      <c r="BJB106" s="531"/>
      <c r="BJC106" s="530"/>
      <c r="BJD106" s="531"/>
      <c r="BJE106" s="530"/>
      <c r="BJF106" s="531"/>
      <c r="BJG106" s="530"/>
      <c r="BJH106" s="531"/>
      <c r="BJI106" s="530"/>
      <c r="BJJ106" s="531"/>
      <c r="BJK106" s="530"/>
      <c r="BJL106" s="531"/>
      <c r="BJM106" s="530"/>
      <c r="BJN106" s="531"/>
      <c r="BJO106" s="530"/>
      <c r="BJP106" s="531"/>
      <c r="BJQ106" s="530"/>
      <c r="BJR106" s="531"/>
      <c r="BJS106" s="530"/>
      <c r="BJT106" s="531"/>
      <c r="BJU106" s="530"/>
      <c r="BJV106" s="531"/>
      <c r="BJW106" s="530"/>
      <c r="BJX106" s="531"/>
      <c r="BJY106" s="530"/>
      <c r="BJZ106" s="531"/>
      <c r="BKA106" s="530"/>
      <c r="BKB106" s="531"/>
      <c r="BKC106" s="530"/>
      <c r="BKD106" s="531"/>
      <c r="BKE106" s="530"/>
      <c r="BKF106" s="531"/>
      <c r="BKG106" s="530"/>
      <c r="BKH106" s="531"/>
      <c r="BKI106" s="530"/>
      <c r="BKJ106" s="531"/>
      <c r="BKK106" s="530"/>
      <c r="BKL106" s="531"/>
      <c r="BKM106" s="530"/>
      <c r="BKN106" s="531"/>
      <c r="BKO106" s="530"/>
      <c r="BKP106" s="531"/>
      <c r="BKQ106" s="530"/>
      <c r="BKR106" s="531"/>
      <c r="BKS106" s="530"/>
      <c r="BKT106" s="531"/>
      <c r="BKU106" s="530"/>
      <c r="BKV106" s="531"/>
      <c r="BKW106" s="530"/>
      <c r="BKX106" s="531"/>
      <c r="BKY106" s="530"/>
      <c r="BKZ106" s="531"/>
      <c r="BLA106" s="530"/>
      <c r="BLB106" s="531"/>
      <c r="BLC106" s="530"/>
      <c r="BLD106" s="531"/>
      <c r="BLE106" s="530"/>
      <c r="BLF106" s="531"/>
      <c r="BLG106" s="530"/>
      <c r="BLH106" s="531"/>
      <c r="BLI106" s="530"/>
      <c r="BLJ106" s="531"/>
      <c r="BLK106" s="530"/>
      <c r="BLL106" s="531"/>
      <c r="BLM106" s="530"/>
      <c r="BLN106" s="531"/>
      <c r="BLO106" s="530"/>
      <c r="BLP106" s="531"/>
      <c r="BLQ106" s="530"/>
      <c r="BLR106" s="531"/>
      <c r="BLS106" s="530"/>
      <c r="BLT106" s="531"/>
      <c r="BLU106" s="530"/>
      <c r="BLV106" s="531"/>
      <c r="BLW106" s="530"/>
      <c r="BLX106" s="531"/>
      <c r="BLY106" s="530"/>
      <c r="BLZ106" s="531"/>
      <c r="BMA106" s="530"/>
      <c r="BMB106" s="531"/>
      <c r="BMC106" s="530"/>
      <c r="BMD106" s="531"/>
      <c r="BME106" s="530"/>
      <c r="BMF106" s="531"/>
      <c r="BMG106" s="530"/>
      <c r="BMH106" s="531"/>
      <c r="BMI106" s="530"/>
      <c r="BMJ106" s="531"/>
      <c r="BMK106" s="530"/>
      <c r="BML106" s="531"/>
      <c r="BMM106" s="530"/>
      <c r="BMN106" s="531"/>
      <c r="BMO106" s="530"/>
      <c r="BMP106" s="531"/>
      <c r="BMQ106" s="530"/>
      <c r="BMR106" s="531"/>
      <c r="BMS106" s="530"/>
      <c r="BMT106" s="531"/>
      <c r="BMU106" s="530"/>
      <c r="BMV106" s="531"/>
      <c r="BMW106" s="530"/>
      <c r="BMX106" s="531"/>
      <c r="BMY106" s="530"/>
      <c r="BMZ106" s="531"/>
      <c r="BNA106" s="530"/>
      <c r="BNB106" s="531"/>
      <c r="BNC106" s="530"/>
      <c r="BND106" s="531"/>
      <c r="BNE106" s="530"/>
      <c r="BNF106" s="531"/>
      <c r="BNG106" s="530"/>
      <c r="BNH106" s="531"/>
      <c r="BNI106" s="530"/>
      <c r="BNJ106" s="531"/>
      <c r="BNK106" s="530"/>
      <c r="BNL106" s="531"/>
      <c r="BNM106" s="530"/>
      <c r="BNN106" s="531"/>
      <c r="BNO106" s="530"/>
      <c r="BNP106" s="531"/>
      <c r="BNQ106" s="530"/>
      <c r="BNR106" s="531"/>
      <c r="BNS106" s="530"/>
      <c r="BNT106" s="531"/>
      <c r="BNU106" s="530"/>
      <c r="BNV106" s="531"/>
      <c r="BNW106" s="530"/>
      <c r="BNX106" s="531"/>
      <c r="BNY106" s="530"/>
      <c r="BNZ106" s="531"/>
      <c r="BOA106" s="530"/>
      <c r="BOB106" s="531"/>
      <c r="BOC106" s="530"/>
      <c r="BOD106" s="531"/>
      <c r="BOE106" s="530"/>
      <c r="BOF106" s="531"/>
      <c r="BOG106" s="530"/>
      <c r="BOH106" s="531"/>
      <c r="BOI106" s="530"/>
      <c r="BOJ106" s="531"/>
      <c r="BOK106" s="530"/>
      <c r="BOL106" s="531"/>
      <c r="BOM106" s="530"/>
      <c r="BON106" s="531"/>
      <c r="BOO106" s="530"/>
      <c r="BOP106" s="531"/>
      <c r="BOQ106" s="530"/>
      <c r="BOR106" s="531"/>
      <c r="BOS106" s="530"/>
      <c r="BOT106" s="531"/>
      <c r="BOU106" s="530"/>
      <c r="BOV106" s="531"/>
      <c r="BOW106" s="530"/>
      <c r="BOX106" s="531"/>
      <c r="BOY106" s="530"/>
      <c r="BOZ106" s="531"/>
      <c r="BPA106" s="530"/>
      <c r="BPB106" s="531"/>
      <c r="BPC106" s="530"/>
      <c r="BPD106" s="531"/>
      <c r="BPE106" s="530"/>
      <c r="BPF106" s="531"/>
      <c r="BPG106" s="530"/>
      <c r="BPH106" s="531"/>
      <c r="BPI106" s="530"/>
      <c r="BPJ106" s="531"/>
      <c r="BPK106" s="530"/>
      <c r="BPL106" s="531"/>
      <c r="BPM106" s="530"/>
      <c r="BPN106" s="531"/>
      <c r="BPO106" s="530"/>
      <c r="BPP106" s="531"/>
      <c r="BPQ106" s="530"/>
      <c r="BPR106" s="531"/>
      <c r="BPS106" s="530"/>
      <c r="BPT106" s="531"/>
      <c r="BPU106" s="530"/>
      <c r="BPV106" s="531"/>
      <c r="BPW106" s="530"/>
      <c r="BPX106" s="531"/>
      <c r="BPY106" s="530"/>
      <c r="BPZ106" s="531"/>
      <c r="BQA106" s="530"/>
      <c r="BQB106" s="531"/>
      <c r="BQC106" s="530"/>
      <c r="BQD106" s="531"/>
      <c r="BQE106" s="530"/>
      <c r="BQF106" s="531"/>
      <c r="BQG106" s="530"/>
      <c r="BQH106" s="531"/>
      <c r="BQI106" s="530"/>
      <c r="BQJ106" s="531"/>
      <c r="BQK106" s="530"/>
      <c r="BQL106" s="531"/>
      <c r="BQM106" s="530"/>
      <c r="BQN106" s="531"/>
      <c r="BQO106" s="530"/>
      <c r="BQP106" s="531"/>
      <c r="BQQ106" s="530"/>
      <c r="BQR106" s="531"/>
      <c r="BQS106" s="530"/>
      <c r="BQT106" s="531"/>
      <c r="BQU106" s="530"/>
      <c r="BQV106" s="531"/>
      <c r="BQW106" s="530"/>
      <c r="BQX106" s="531"/>
      <c r="BQY106" s="530"/>
      <c r="BQZ106" s="531"/>
      <c r="BRA106" s="530"/>
      <c r="BRB106" s="531"/>
      <c r="BRC106" s="530"/>
      <c r="BRD106" s="531"/>
      <c r="BRE106" s="530"/>
      <c r="BRF106" s="531"/>
      <c r="BRG106" s="530"/>
      <c r="BRH106" s="531"/>
      <c r="BRI106" s="530"/>
      <c r="BRJ106" s="531"/>
      <c r="BRK106" s="530"/>
      <c r="BRL106" s="531"/>
      <c r="BRM106" s="530"/>
      <c r="BRN106" s="531"/>
      <c r="BRO106" s="530"/>
      <c r="BRP106" s="531"/>
      <c r="BRQ106" s="530"/>
      <c r="BRR106" s="531"/>
      <c r="BRS106" s="530"/>
      <c r="BRT106" s="531"/>
      <c r="BRU106" s="530"/>
      <c r="BRV106" s="531"/>
      <c r="BRW106" s="530"/>
      <c r="BRX106" s="531"/>
      <c r="BRY106" s="530"/>
      <c r="BRZ106" s="531"/>
      <c r="BSA106" s="530"/>
      <c r="BSB106" s="531"/>
      <c r="BSC106" s="530"/>
      <c r="BSD106" s="531"/>
      <c r="BSE106" s="530"/>
      <c r="BSF106" s="531"/>
      <c r="BSG106" s="530"/>
      <c r="BSH106" s="531"/>
      <c r="BSI106" s="530"/>
      <c r="BSJ106" s="531"/>
      <c r="BSK106" s="530"/>
      <c r="BSL106" s="531"/>
      <c r="BSM106" s="530"/>
      <c r="BSN106" s="531"/>
      <c r="BSO106" s="530"/>
      <c r="BSP106" s="531"/>
      <c r="BSQ106" s="530"/>
      <c r="BSR106" s="531"/>
      <c r="BSS106" s="530"/>
      <c r="BST106" s="531"/>
      <c r="BSU106" s="530"/>
      <c r="BSV106" s="531"/>
      <c r="BSW106" s="530"/>
      <c r="BSX106" s="531"/>
      <c r="BSY106" s="530"/>
      <c r="BSZ106" s="531"/>
      <c r="BTA106" s="530"/>
      <c r="BTB106" s="531"/>
      <c r="BTC106" s="530"/>
      <c r="BTD106" s="531"/>
      <c r="BTE106" s="530"/>
      <c r="BTF106" s="531"/>
      <c r="BTG106" s="530"/>
      <c r="BTH106" s="531"/>
      <c r="BTI106" s="530"/>
      <c r="BTJ106" s="531"/>
      <c r="BTK106" s="530"/>
      <c r="BTL106" s="531"/>
      <c r="BTM106" s="530"/>
      <c r="BTN106" s="531"/>
      <c r="BTO106" s="530"/>
      <c r="BTP106" s="531"/>
      <c r="BTQ106" s="530"/>
      <c r="BTR106" s="531"/>
      <c r="BTS106" s="530"/>
      <c r="BTT106" s="531"/>
      <c r="BTU106" s="530"/>
      <c r="BTV106" s="531"/>
      <c r="BTW106" s="530"/>
      <c r="BTX106" s="531"/>
      <c r="BTY106" s="530"/>
      <c r="BTZ106" s="531"/>
      <c r="BUA106" s="530"/>
      <c r="BUB106" s="531"/>
      <c r="BUC106" s="530"/>
      <c r="BUD106" s="531"/>
      <c r="BUE106" s="530"/>
      <c r="BUF106" s="531"/>
      <c r="BUG106" s="530"/>
      <c r="BUH106" s="531"/>
      <c r="BUI106" s="530"/>
      <c r="BUJ106" s="531"/>
      <c r="BUK106" s="530"/>
      <c r="BUL106" s="531"/>
      <c r="BUM106" s="530"/>
      <c r="BUN106" s="531"/>
      <c r="BUO106" s="530"/>
      <c r="BUP106" s="531"/>
      <c r="BUQ106" s="530"/>
      <c r="BUR106" s="531"/>
      <c r="BUS106" s="530"/>
      <c r="BUT106" s="531"/>
      <c r="BUU106" s="530"/>
      <c r="BUV106" s="531"/>
      <c r="BUW106" s="530"/>
      <c r="BUX106" s="531"/>
      <c r="BUY106" s="530"/>
      <c r="BUZ106" s="531"/>
      <c r="BVA106" s="530"/>
      <c r="BVB106" s="531"/>
      <c r="BVC106" s="530"/>
      <c r="BVD106" s="531"/>
      <c r="BVE106" s="530"/>
      <c r="BVF106" s="531"/>
      <c r="BVG106" s="530"/>
      <c r="BVH106" s="531"/>
      <c r="BVI106" s="530"/>
      <c r="BVJ106" s="531"/>
      <c r="BVK106" s="530"/>
      <c r="BVL106" s="531"/>
      <c r="BVM106" s="530"/>
      <c r="BVN106" s="531"/>
      <c r="BVO106" s="530"/>
      <c r="BVP106" s="531"/>
      <c r="BVQ106" s="530"/>
      <c r="BVR106" s="531"/>
      <c r="BVS106" s="530"/>
      <c r="BVT106" s="531"/>
      <c r="BVU106" s="530"/>
      <c r="BVV106" s="531"/>
      <c r="BVW106" s="530"/>
      <c r="BVX106" s="531"/>
      <c r="BVY106" s="530"/>
      <c r="BVZ106" s="531"/>
      <c r="BWA106" s="530"/>
      <c r="BWB106" s="531"/>
      <c r="BWC106" s="530"/>
      <c r="BWD106" s="531"/>
      <c r="BWE106" s="530"/>
      <c r="BWF106" s="531"/>
      <c r="BWG106" s="530"/>
      <c r="BWH106" s="531"/>
      <c r="BWI106" s="530"/>
      <c r="BWJ106" s="531"/>
      <c r="BWK106" s="530"/>
      <c r="BWL106" s="531"/>
      <c r="BWM106" s="530"/>
      <c r="BWN106" s="531"/>
      <c r="BWO106" s="530"/>
      <c r="BWP106" s="531"/>
      <c r="BWQ106" s="530"/>
      <c r="BWR106" s="531"/>
      <c r="BWS106" s="530"/>
      <c r="BWT106" s="531"/>
      <c r="BWU106" s="530"/>
      <c r="BWV106" s="531"/>
      <c r="BWW106" s="530"/>
      <c r="BWX106" s="531"/>
      <c r="BWY106" s="530"/>
      <c r="BWZ106" s="531"/>
      <c r="BXA106" s="530"/>
      <c r="BXB106" s="531"/>
      <c r="BXC106" s="530"/>
      <c r="BXD106" s="531"/>
      <c r="BXE106" s="530"/>
      <c r="BXF106" s="531"/>
      <c r="BXG106" s="530"/>
      <c r="BXH106" s="531"/>
      <c r="BXI106" s="530"/>
      <c r="BXJ106" s="531"/>
      <c r="BXK106" s="530"/>
      <c r="BXL106" s="531"/>
      <c r="BXM106" s="530"/>
      <c r="BXN106" s="531"/>
      <c r="BXO106" s="530"/>
      <c r="BXP106" s="531"/>
      <c r="BXQ106" s="530"/>
      <c r="BXR106" s="531"/>
      <c r="BXS106" s="530"/>
      <c r="BXT106" s="531"/>
      <c r="BXU106" s="530"/>
      <c r="BXV106" s="531"/>
      <c r="BXW106" s="530"/>
      <c r="BXX106" s="531"/>
      <c r="BXY106" s="530"/>
      <c r="BXZ106" s="531"/>
      <c r="BYA106" s="530"/>
      <c r="BYB106" s="531"/>
      <c r="BYC106" s="530"/>
      <c r="BYD106" s="531"/>
      <c r="BYE106" s="530"/>
      <c r="BYF106" s="531"/>
      <c r="BYG106" s="530"/>
      <c r="BYH106" s="531"/>
      <c r="BYI106" s="530"/>
      <c r="BYJ106" s="531"/>
      <c r="BYK106" s="530"/>
      <c r="BYL106" s="531"/>
      <c r="BYM106" s="530"/>
      <c r="BYN106" s="531"/>
      <c r="BYO106" s="530"/>
      <c r="BYP106" s="531"/>
      <c r="BYQ106" s="530"/>
      <c r="BYR106" s="531"/>
      <c r="BYS106" s="530"/>
      <c r="BYT106" s="531"/>
      <c r="BYU106" s="530"/>
      <c r="BYV106" s="531"/>
      <c r="BYW106" s="530"/>
      <c r="BYX106" s="531"/>
      <c r="BYY106" s="530"/>
      <c r="BYZ106" s="531"/>
      <c r="BZA106" s="530"/>
      <c r="BZB106" s="531"/>
      <c r="BZC106" s="530"/>
      <c r="BZD106" s="531"/>
      <c r="BZE106" s="530"/>
      <c r="BZF106" s="531"/>
      <c r="BZG106" s="530"/>
      <c r="BZH106" s="531"/>
      <c r="BZI106" s="530"/>
      <c r="BZJ106" s="531"/>
      <c r="BZK106" s="530"/>
      <c r="BZL106" s="531"/>
      <c r="BZM106" s="530"/>
      <c r="BZN106" s="531"/>
      <c r="BZO106" s="530"/>
      <c r="BZP106" s="531"/>
      <c r="BZQ106" s="530"/>
      <c r="BZR106" s="531"/>
      <c r="BZS106" s="530"/>
      <c r="BZT106" s="531"/>
      <c r="BZU106" s="530"/>
      <c r="BZV106" s="531"/>
      <c r="BZW106" s="530"/>
      <c r="BZX106" s="531"/>
      <c r="BZY106" s="530"/>
      <c r="BZZ106" s="531"/>
      <c r="CAA106" s="530"/>
      <c r="CAB106" s="531"/>
      <c r="CAC106" s="530"/>
      <c r="CAD106" s="531"/>
      <c r="CAE106" s="530"/>
      <c r="CAF106" s="531"/>
      <c r="CAG106" s="530"/>
      <c r="CAH106" s="531"/>
      <c r="CAI106" s="530"/>
      <c r="CAJ106" s="531"/>
      <c r="CAK106" s="530"/>
      <c r="CAL106" s="531"/>
      <c r="CAM106" s="530"/>
      <c r="CAN106" s="531"/>
      <c r="CAO106" s="530"/>
      <c r="CAP106" s="531"/>
      <c r="CAQ106" s="530"/>
      <c r="CAR106" s="531"/>
      <c r="CAS106" s="530"/>
      <c r="CAT106" s="531"/>
      <c r="CAU106" s="530"/>
      <c r="CAV106" s="531"/>
      <c r="CAW106" s="530"/>
      <c r="CAX106" s="531"/>
      <c r="CAY106" s="530"/>
      <c r="CAZ106" s="531"/>
      <c r="CBA106" s="530"/>
      <c r="CBB106" s="531"/>
      <c r="CBC106" s="530"/>
      <c r="CBD106" s="531"/>
      <c r="CBE106" s="530"/>
      <c r="CBF106" s="531"/>
      <c r="CBG106" s="530"/>
      <c r="CBH106" s="531"/>
      <c r="CBI106" s="530"/>
      <c r="CBJ106" s="531"/>
      <c r="CBK106" s="530"/>
      <c r="CBL106" s="531"/>
      <c r="CBM106" s="530"/>
      <c r="CBN106" s="531"/>
      <c r="CBO106" s="530"/>
      <c r="CBP106" s="531"/>
      <c r="CBQ106" s="530"/>
      <c r="CBR106" s="531"/>
      <c r="CBS106" s="530"/>
      <c r="CBT106" s="531"/>
      <c r="CBU106" s="530"/>
      <c r="CBV106" s="531"/>
      <c r="CBW106" s="530"/>
      <c r="CBX106" s="531"/>
      <c r="CBY106" s="530"/>
      <c r="CBZ106" s="531"/>
      <c r="CCA106" s="530"/>
      <c r="CCB106" s="531"/>
      <c r="CCC106" s="530"/>
      <c r="CCD106" s="531"/>
      <c r="CCE106" s="530"/>
      <c r="CCF106" s="531"/>
      <c r="CCG106" s="530"/>
      <c r="CCH106" s="531"/>
      <c r="CCI106" s="530"/>
      <c r="CCJ106" s="531"/>
      <c r="CCK106" s="530"/>
      <c r="CCL106" s="531"/>
      <c r="CCM106" s="530"/>
      <c r="CCN106" s="531"/>
      <c r="CCO106" s="530"/>
      <c r="CCP106" s="531"/>
      <c r="CCQ106" s="530"/>
      <c r="CCR106" s="531"/>
      <c r="CCS106" s="530"/>
      <c r="CCT106" s="531"/>
      <c r="CCU106" s="530"/>
      <c r="CCV106" s="531"/>
      <c r="CCW106" s="530"/>
      <c r="CCX106" s="531"/>
      <c r="CCY106" s="530"/>
      <c r="CCZ106" s="531"/>
      <c r="CDA106" s="530"/>
      <c r="CDB106" s="531"/>
      <c r="CDC106" s="530"/>
      <c r="CDD106" s="531"/>
      <c r="CDE106" s="530"/>
      <c r="CDF106" s="531"/>
      <c r="CDG106" s="530"/>
      <c r="CDH106" s="531"/>
      <c r="CDI106" s="530"/>
      <c r="CDJ106" s="531"/>
      <c r="CDK106" s="530"/>
      <c r="CDL106" s="531"/>
      <c r="CDM106" s="530"/>
      <c r="CDN106" s="531"/>
      <c r="CDO106" s="530"/>
      <c r="CDP106" s="531"/>
      <c r="CDQ106" s="530"/>
      <c r="CDR106" s="531"/>
      <c r="CDS106" s="530"/>
      <c r="CDT106" s="531"/>
      <c r="CDU106" s="530"/>
      <c r="CDV106" s="531"/>
      <c r="CDW106" s="530"/>
      <c r="CDX106" s="531"/>
      <c r="CDY106" s="530"/>
      <c r="CDZ106" s="531"/>
      <c r="CEA106" s="530"/>
      <c r="CEB106" s="531"/>
      <c r="CEC106" s="530"/>
      <c r="CED106" s="531"/>
      <c r="CEE106" s="530"/>
      <c r="CEF106" s="531"/>
      <c r="CEG106" s="530"/>
      <c r="CEH106" s="531"/>
      <c r="CEI106" s="530"/>
      <c r="CEJ106" s="531"/>
      <c r="CEK106" s="530"/>
      <c r="CEL106" s="531"/>
      <c r="CEM106" s="530"/>
      <c r="CEN106" s="531"/>
      <c r="CEO106" s="530"/>
      <c r="CEP106" s="531"/>
      <c r="CEQ106" s="530"/>
      <c r="CER106" s="531"/>
      <c r="CES106" s="530"/>
      <c r="CET106" s="531"/>
      <c r="CEU106" s="530"/>
      <c r="CEV106" s="531"/>
      <c r="CEW106" s="530"/>
      <c r="CEX106" s="531"/>
      <c r="CEY106" s="530"/>
      <c r="CEZ106" s="531"/>
      <c r="CFA106" s="530"/>
      <c r="CFB106" s="531"/>
      <c r="CFC106" s="530"/>
      <c r="CFD106" s="531"/>
      <c r="CFE106" s="530"/>
      <c r="CFF106" s="531"/>
      <c r="CFG106" s="530"/>
      <c r="CFH106" s="531"/>
      <c r="CFI106" s="530"/>
      <c r="CFJ106" s="531"/>
      <c r="CFK106" s="530"/>
      <c r="CFL106" s="531"/>
      <c r="CFM106" s="530"/>
      <c r="CFN106" s="531"/>
      <c r="CFO106" s="530"/>
      <c r="CFP106" s="531"/>
      <c r="CFQ106" s="530"/>
      <c r="CFR106" s="531"/>
      <c r="CFS106" s="530"/>
      <c r="CFT106" s="531"/>
      <c r="CFU106" s="530"/>
      <c r="CFV106" s="531"/>
      <c r="CFW106" s="530"/>
      <c r="CFX106" s="531"/>
      <c r="CFY106" s="530"/>
      <c r="CFZ106" s="531"/>
      <c r="CGA106" s="530"/>
      <c r="CGB106" s="531"/>
      <c r="CGC106" s="530"/>
      <c r="CGD106" s="531"/>
      <c r="CGE106" s="530"/>
      <c r="CGF106" s="531"/>
      <c r="CGG106" s="530"/>
      <c r="CGH106" s="531"/>
      <c r="CGI106" s="530"/>
      <c r="CGJ106" s="531"/>
      <c r="CGK106" s="530"/>
      <c r="CGL106" s="531"/>
      <c r="CGM106" s="530"/>
      <c r="CGN106" s="531"/>
      <c r="CGO106" s="530"/>
      <c r="CGP106" s="531"/>
      <c r="CGQ106" s="530"/>
      <c r="CGR106" s="531"/>
      <c r="CGS106" s="530"/>
      <c r="CGT106" s="531"/>
      <c r="CGU106" s="530"/>
      <c r="CGV106" s="531"/>
      <c r="CGW106" s="530"/>
      <c r="CGX106" s="531"/>
      <c r="CGY106" s="530"/>
      <c r="CGZ106" s="531"/>
      <c r="CHA106" s="530"/>
      <c r="CHB106" s="531"/>
      <c r="CHC106" s="530"/>
      <c r="CHD106" s="531"/>
      <c r="CHE106" s="530"/>
      <c r="CHF106" s="531"/>
      <c r="CHG106" s="530"/>
      <c r="CHH106" s="531"/>
      <c r="CHI106" s="530"/>
      <c r="CHJ106" s="531"/>
      <c r="CHK106" s="530"/>
      <c r="CHL106" s="531"/>
      <c r="CHM106" s="530"/>
      <c r="CHN106" s="531"/>
      <c r="CHO106" s="530"/>
      <c r="CHP106" s="531"/>
      <c r="CHQ106" s="530"/>
      <c r="CHR106" s="531"/>
      <c r="CHS106" s="530"/>
      <c r="CHT106" s="531"/>
      <c r="CHU106" s="530"/>
      <c r="CHV106" s="531"/>
      <c r="CHW106" s="530"/>
      <c r="CHX106" s="531"/>
      <c r="CHY106" s="530"/>
      <c r="CHZ106" s="531"/>
      <c r="CIA106" s="530"/>
      <c r="CIB106" s="531"/>
      <c r="CIC106" s="530"/>
      <c r="CID106" s="531"/>
      <c r="CIE106" s="530"/>
      <c r="CIF106" s="531"/>
      <c r="CIG106" s="530"/>
      <c r="CIH106" s="531"/>
      <c r="CII106" s="530"/>
      <c r="CIJ106" s="531"/>
      <c r="CIK106" s="530"/>
      <c r="CIL106" s="531"/>
      <c r="CIM106" s="530"/>
      <c r="CIN106" s="531"/>
      <c r="CIO106" s="530"/>
      <c r="CIP106" s="531"/>
      <c r="CIQ106" s="530"/>
      <c r="CIR106" s="531"/>
      <c r="CIS106" s="530"/>
      <c r="CIT106" s="531"/>
      <c r="CIU106" s="530"/>
      <c r="CIV106" s="531"/>
      <c r="CIW106" s="530"/>
      <c r="CIX106" s="531"/>
      <c r="CIY106" s="530"/>
      <c r="CIZ106" s="531"/>
      <c r="CJA106" s="530"/>
      <c r="CJB106" s="531"/>
      <c r="CJC106" s="530"/>
      <c r="CJD106" s="531"/>
      <c r="CJE106" s="530"/>
      <c r="CJF106" s="531"/>
      <c r="CJG106" s="530"/>
      <c r="CJH106" s="531"/>
      <c r="CJI106" s="530"/>
      <c r="CJJ106" s="531"/>
      <c r="CJK106" s="530"/>
      <c r="CJL106" s="531"/>
      <c r="CJM106" s="530"/>
      <c r="CJN106" s="531"/>
      <c r="CJO106" s="530"/>
      <c r="CJP106" s="531"/>
      <c r="CJQ106" s="530"/>
      <c r="CJR106" s="531"/>
      <c r="CJS106" s="530"/>
      <c r="CJT106" s="531"/>
      <c r="CJU106" s="530"/>
      <c r="CJV106" s="531"/>
      <c r="CJW106" s="530"/>
      <c r="CJX106" s="531"/>
      <c r="CJY106" s="530"/>
      <c r="CJZ106" s="531"/>
      <c r="CKA106" s="530"/>
      <c r="CKB106" s="531"/>
      <c r="CKC106" s="530"/>
      <c r="CKD106" s="531"/>
      <c r="CKE106" s="530"/>
      <c r="CKF106" s="531"/>
      <c r="CKG106" s="530"/>
      <c r="CKH106" s="531"/>
      <c r="CKI106" s="530"/>
      <c r="CKJ106" s="531"/>
      <c r="CKK106" s="530"/>
      <c r="CKL106" s="531"/>
      <c r="CKM106" s="530"/>
      <c r="CKN106" s="531"/>
      <c r="CKO106" s="530"/>
      <c r="CKP106" s="531"/>
      <c r="CKQ106" s="530"/>
      <c r="CKR106" s="531"/>
      <c r="CKS106" s="530"/>
      <c r="CKT106" s="531"/>
      <c r="CKU106" s="530"/>
      <c r="CKV106" s="531"/>
      <c r="CKW106" s="530"/>
      <c r="CKX106" s="531"/>
      <c r="CKY106" s="530"/>
      <c r="CKZ106" s="531"/>
      <c r="CLA106" s="530"/>
      <c r="CLB106" s="531"/>
      <c r="CLC106" s="530"/>
      <c r="CLD106" s="531"/>
      <c r="CLE106" s="530"/>
      <c r="CLF106" s="531"/>
      <c r="CLG106" s="530"/>
      <c r="CLH106" s="531"/>
      <c r="CLI106" s="530"/>
      <c r="CLJ106" s="531"/>
      <c r="CLK106" s="530"/>
      <c r="CLL106" s="531"/>
      <c r="CLM106" s="530"/>
      <c r="CLN106" s="531"/>
      <c r="CLO106" s="530"/>
      <c r="CLP106" s="531"/>
      <c r="CLQ106" s="530"/>
      <c r="CLR106" s="531"/>
      <c r="CLS106" s="530"/>
      <c r="CLT106" s="531"/>
      <c r="CLU106" s="530"/>
      <c r="CLV106" s="531"/>
      <c r="CLW106" s="530"/>
      <c r="CLX106" s="531"/>
      <c r="CLY106" s="530"/>
      <c r="CLZ106" s="531"/>
      <c r="CMA106" s="530"/>
      <c r="CMB106" s="531"/>
      <c r="CMC106" s="530"/>
      <c r="CMD106" s="531"/>
      <c r="CME106" s="530"/>
      <c r="CMF106" s="531"/>
      <c r="CMG106" s="530"/>
      <c r="CMH106" s="531"/>
      <c r="CMI106" s="530"/>
      <c r="CMJ106" s="531"/>
      <c r="CMK106" s="530"/>
      <c r="CML106" s="531"/>
      <c r="CMM106" s="530"/>
      <c r="CMN106" s="531"/>
      <c r="CMO106" s="530"/>
      <c r="CMP106" s="531"/>
      <c r="CMQ106" s="530"/>
      <c r="CMR106" s="531"/>
      <c r="CMS106" s="530"/>
      <c r="CMT106" s="531"/>
      <c r="CMU106" s="530"/>
      <c r="CMV106" s="531"/>
      <c r="CMW106" s="530"/>
      <c r="CMX106" s="531"/>
      <c r="CMY106" s="530"/>
      <c r="CMZ106" s="531"/>
      <c r="CNA106" s="530"/>
      <c r="CNB106" s="531"/>
      <c r="CNC106" s="530"/>
      <c r="CND106" s="531"/>
      <c r="CNE106" s="530"/>
      <c r="CNF106" s="531"/>
      <c r="CNG106" s="530"/>
      <c r="CNH106" s="531"/>
      <c r="CNI106" s="530"/>
      <c r="CNJ106" s="531"/>
      <c r="CNK106" s="530"/>
      <c r="CNL106" s="531"/>
      <c r="CNM106" s="530"/>
      <c r="CNN106" s="531"/>
      <c r="CNO106" s="530"/>
      <c r="CNP106" s="531"/>
      <c r="CNQ106" s="530"/>
      <c r="CNR106" s="531"/>
      <c r="CNS106" s="530"/>
      <c r="CNT106" s="531"/>
      <c r="CNU106" s="530"/>
      <c r="CNV106" s="531"/>
      <c r="CNW106" s="530"/>
      <c r="CNX106" s="531"/>
      <c r="CNY106" s="530"/>
      <c r="CNZ106" s="531"/>
      <c r="COA106" s="530"/>
      <c r="COB106" s="531"/>
      <c r="COC106" s="530"/>
      <c r="COD106" s="531"/>
      <c r="COE106" s="530"/>
      <c r="COF106" s="531"/>
      <c r="COG106" s="530"/>
      <c r="COH106" s="531"/>
      <c r="COI106" s="530"/>
      <c r="COJ106" s="531"/>
      <c r="COK106" s="530"/>
      <c r="COL106" s="531"/>
      <c r="COM106" s="530"/>
      <c r="CON106" s="531"/>
      <c r="COO106" s="530"/>
      <c r="COP106" s="531"/>
      <c r="COQ106" s="530"/>
      <c r="COR106" s="531"/>
      <c r="COS106" s="530"/>
      <c r="COT106" s="531"/>
      <c r="COU106" s="530"/>
      <c r="COV106" s="531"/>
      <c r="COW106" s="530"/>
      <c r="COX106" s="531"/>
      <c r="COY106" s="530"/>
      <c r="COZ106" s="531"/>
      <c r="CPA106" s="530"/>
      <c r="CPB106" s="531"/>
      <c r="CPC106" s="530"/>
      <c r="CPD106" s="531"/>
      <c r="CPE106" s="530"/>
      <c r="CPF106" s="531"/>
      <c r="CPG106" s="530"/>
      <c r="CPH106" s="531"/>
      <c r="CPI106" s="530"/>
      <c r="CPJ106" s="531"/>
      <c r="CPK106" s="530"/>
      <c r="CPL106" s="531"/>
      <c r="CPM106" s="530"/>
      <c r="CPN106" s="531"/>
      <c r="CPO106" s="530"/>
      <c r="CPP106" s="531"/>
      <c r="CPQ106" s="530"/>
      <c r="CPR106" s="531"/>
      <c r="CPS106" s="530"/>
      <c r="CPT106" s="531"/>
      <c r="CPU106" s="530"/>
      <c r="CPV106" s="531"/>
      <c r="CPW106" s="530"/>
      <c r="CPX106" s="531"/>
      <c r="CPY106" s="530"/>
      <c r="CPZ106" s="531"/>
      <c r="CQA106" s="530"/>
      <c r="CQB106" s="531"/>
      <c r="CQC106" s="530"/>
      <c r="CQD106" s="531"/>
      <c r="CQE106" s="530"/>
      <c r="CQF106" s="531"/>
      <c r="CQG106" s="530"/>
      <c r="CQH106" s="531"/>
      <c r="CQI106" s="530"/>
      <c r="CQJ106" s="531"/>
      <c r="CQK106" s="530"/>
      <c r="CQL106" s="531"/>
      <c r="CQM106" s="530"/>
      <c r="CQN106" s="531"/>
      <c r="CQO106" s="530"/>
      <c r="CQP106" s="531"/>
      <c r="CQQ106" s="530"/>
      <c r="CQR106" s="531"/>
      <c r="CQS106" s="530"/>
      <c r="CQT106" s="531"/>
      <c r="CQU106" s="530"/>
      <c r="CQV106" s="531"/>
      <c r="CQW106" s="530"/>
      <c r="CQX106" s="531"/>
      <c r="CQY106" s="530"/>
      <c r="CQZ106" s="531"/>
      <c r="CRA106" s="530"/>
      <c r="CRB106" s="531"/>
      <c r="CRC106" s="530"/>
      <c r="CRD106" s="531"/>
      <c r="CRE106" s="530"/>
      <c r="CRF106" s="531"/>
      <c r="CRG106" s="530"/>
      <c r="CRH106" s="531"/>
      <c r="CRI106" s="530"/>
      <c r="CRJ106" s="531"/>
      <c r="CRK106" s="530"/>
      <c r="CRL106" s="531"/>
      <c r="CRM106" s="530"/>
      <c r="CRN106" s="531"/>
      <c r="CRO106" s="530"/>
      <c r="CRP106" s="531"/>
      <c r="CRQ106" s="530"/>
      <c r="CRR106" s="531"/>
      <c r="CRS106" s="530"/>
      <c r="CRT106" s="531"/>
      <c r="CRU106" s="530"/>
      <c r="CRV106" s="531"/>
      <c r="CRW106" s="530"/>
      <c r="CRX106" s="531"/>
      <c r="CRY106" s="530"/>
      <c r="CRZ106" s="531"/>
      <c r="CSA106" s="530"/>
      <c r="CSB106" s="531"/>
      <c r="CSC106" s="530"/>
      <c r="CSD106" s="531"/>
      <c r="CSE106" s="530"/>
      <c r="CSF106" s="531"/>
      <c r="CSG106" s="530"/>
      <c r="CSH106" s="531"/>
      <c r="CSI106" s="530"/>
      <c r="CSJ106" s="531"/>
      <c r="CSK106" s="530"/>
      <c r="CSL106" s="531"/>
      <c r="CSM106" s="530"/>
      <c r="CSN106" s="531"/>
      <c r="CSO106" s="530"/>
      <c r="CSP106" s="531"/>
      <c r="CSQ106" s="530"/>
      <c r="CSR106" s="531"/>
      <c r="CSS106" s="530"/>
      <c r="CST106" s="531"/>
      <c r="CSU106" s="530"/>
      <c r="CSV106" s="531"/>
      <c r="CSW106" s="530"/>
      <c r="CSX106" s="531"/>
      <c r="CSY106" s="530"/>
      <c r="CSZ106" s="531"/>
      <c r="CTA106" s="530"/>
      <c r="CTB106" s="531"/>
      <c r="CTC106" s="530"/>
      <c r="CTD106" s="531"/>
      <c r="CTE106" s="530"/>
      <c r="CTF106" s="531"/>
      <c r="CTG106" s="530"/>
      <c r="CTH106" s="531"/>
      <c r="CTI106" s="530"/>
      <c r="CTJ106" s="531"/>
      <c r="CTK106" s="530"/>
      <c r="CTL106" s="531"/>
      <c r="CTM106" s="530"/>
      <c r="CTN106" s="531"/>
      <c r="CTO106" s="530"/>
      <c r="CTP106" s="531"/>
      <c r="CTQ106" s="530"/>
      <c r="CTR106" s="531"/>
      <c r="CTS106" s="530"/>
      <c r="CTT106" s="531"/>
      <c r="CTU106" s="530"/>
      <c r="CTV106" s="531"/>
      <c r="CTW106" s="530"/>
      <c r="CTX106" s="531"/>
      <c r="CTY106" s="530"/>
      <c r="CTZ106" s="531"/>
      <c r="CUA106" s="530"/>
      <c r="CUB106" s="531"/>
      <c r="CUC106" s="530"/>
      <c r="CUD106" s="531"/>
      <c r="CUE106" s="530"/>
      <c r="CUF106" s="531"/>
      <c r="CUG106" s="530"/>
      <c r="CUH106" s="531"/>
      <c r="CUI106" s="530"/>
      <c r="CUJ106" s="531"/>
      <c r="CUK106" s="530"/>
      <c r="CUL106" s="531"/>
      <c r="CUM106" s="530"/>
      <c r="CUN106" s="531"/>
      <c r="CUO106" s="530"/>
      <c r="CUP106" s="531"/>
      <c r="CUQ106" s="530"/>
      <c r="CUR106" s="531"/>
      <c r="CUS106" s="530"/>
      <c r="CUT106" s="531"/>
      <c r="CUU106" s="530"/>
      <c r="CUV106" s="531"/>
      <c r="CUW106" s="530"/>
      <c r="CUX106" s="531"/>
      <c r="CUY106" s="530"/>
      <c r="CUZ106" s="531"/>
      <c r="CVA106" s="530"/>
      <c r="CVB106" s="531"/>
      <c r="CVC106" s="530"/>
      <c r="CVD106" s="531"/>
      <c r="CVE106" s="530"/>
      <c r="CVF106" s="531"/>
      <c r="CVG106" s="530"/>
      <c r="CVH106" s="531"/>
      <c r="CVI106" s="530"/>
      <c r="CVJ106" s="531"/>
      <c r="CVK106" s="530"/>
      <c r="CVL106" s="531"/>
      <c r="CVM106" s="530"/>
      <c r="CVN106" s="531"/>
      <c r="CVO106" s="530"/>
      <c r="CVP106" s="531"/>
      <c r="CVQ106" s="530"/>
      <c r="CVR106" s="531"/>
      <c r="CVS106" s="530"/>
      <c r="CVT106" s="531"/>
      <c r="CVU106" s="530"/>
      <c r="CVV106" s="531"/>
      <c r="CVW106" s="530"/>
      <c r="CVX106" s="531"/>
      <c r="CVY106" s="530"/>
      <c r="CVZ106" s="531"/>
      <c r="CWA106" s="530"/>
      <c r="CWB106" s="531"/>
      <c r="CWC106" s="530"/>
      <c r="CWD106" s="531"/>
      <c r="CWE106" s="530"/>
      <c r="CWF106" s="531"/>
      <c r="CWG106" s="530"/>
      <c r="CWH106" s="531"/>
      <c r="CWI106" s="530"/>
      <c r="CWJ106" s="531"/>
      <c r="CWK106" s="530"/>
      <c r="CWL106" s="531"/>
      <c r="CWM106" s="530"/>
      <c r="CWN106" s="531"/>
      <c r="CWO106" s="530"/>
      <c r="CWP106" s="531"/>
      <c r="CWQ106" s="530"/>
      <c r="CWR106" s="531"/>
      <c r="CWS106" s="530"/>
      <c r="CWT106" s="531"/>
      <c r="CWU106" s="530"/>
      <c r="CWV106" s="531"/>
      <c r="CWW106" s="530"/>
      <c r="CWX106" s="531"/>
      <c r="CWY106" s="530"/>
      <c r="CWZ106" s="531"/>
      <c r="CXA106" s="530"/>
      <c r="CXB106" s="531"/>
      <c r="CXC106" s="530"/>
      <c r="CXD106" s="531"/>
      <c r="CXE106" s="530"/>
      <c r="CXF106" s="531"/>
      <c r="CXG106" s="530"/>
      <c r="CXH106" s="531"/>
      <c r="CXI106" s="530"/>
      <c r="CXJ106" s="531"/>
      <c r="CXK106" s="530"/>
      <c r="CXL106" s="531"/>
      <c r="CXM106" s="530"/>
      <c r="CXN106" s="531"/>
      <c r="CXO106" s="530"/>
      <c r="CXP106" s="531"/>
      <c r="CXQ106" s="530"/>
      <c r="CXR106" s="531"/>
      <c r="CXS106" s="530"/>
      <c r="CXT106" s="531"/>
      <c r="CXU106" s="530"/>
      <c r="CXV106" s="531"/>
      <c r="CXW106" s="530"/>
      <c r="CXX106" s="531"/>
      <c r="CXY106" s="530"/>
      <c r="CXZ106" s="531"/>
      <c r="CYA106" s="530"/>
      <c r="CYB106" s="531"/>
      <c r="CYC106" s="530"/>
      <c r="CYD106" s="531"/>
      <c r="CYE106" s="530"/>
      <c r="CYF106" s="531"/>
      <c r="CYG106" s="530"/>
      <c r="CYH106" s="531"/>
      <c r="CYI106" s="530"/>
      <c r="CYJ106" s="531"/>
      <c r="CYK106" s="530"/>
      <c r="CYL106" s="531"/>
      <c r="CYM106" s="530"/>
      <c r="CYN106" s="531"/>
      <c r="CYO106" s="530"/>
      <c r="CYP106" s="531"/>
      <c r="CYQ106" s="530"/>
      <c r="CYR106" s="531"/>
      <c r="CYS106" s="530"/>
      <c r="CYT106" s="531"/>
      <c r="CYU106" s="530"/>
      <c r="CYV106" s="531"/>
      <c r="CYW106" s="530"/>
      <c r="CYX106" s="531"/>
      <c r="CYY106" s="530"/>
      <c r="CYZ106" s="531"/>
      <c r="CZA106" s="530"/>
      <c r="CZB106" s="531"/>
      <c r="CZC106" s="530"/>
      <c r="CZD106" s="531"/>
      <c r="CZE106" s="530"/>
      <c r="CZF106" s="531"/>
      <c r="CZG106" s="530"/>
      <c r="CZH106" s="531"/>
      <c r="CZI106" s="530"/>
      <c r="CZJ106" s="531"/>
      <c r="CZK106" s="530"/>
      <c r="CZL106" s="531"/>
      <c r="CZM106" s="530"/>
      <c r="CZN106" s="531"/>
      <c r="CZO106" s="530"/>
      <c r="CZP106" s="531"/>
      <c r="CZQ106" s="530"/>
      <c r="CZR106" s="531"/>
      <c r="CZS106" s="530"/>
      <c r="CZT106" s="531"/>
      <c r="CZU106" s="530"/>
      <c r="CZV106" s="531"/>
      <c r="CZW106" s="530"/>
      <c r="CZX106" s="531"/>
      <c r="CZY106" s="530"/>
      <c r="CZZ106" s="531"/>
      <c r="DAA106" s="530"/>
      <c r="DAB106" s="531"/>
      <c r="DAC106" s="530"/>
      <c r="DAD106" s="531"/>
      <c r="DAE106" s="530"/>
      <c r="DAF106" s="531"/>
      <c r="DAG106" s="530"/>
      <c r="DAH106" s="531"/>
      <c r="DAI106" s="530"/>
      <c r="DAJ106" s="531"/>
      <c r="DAK106" s="530"/>
      <c r="DAL106" s="531"/>
      <c r="DAM106" s="530"/>
      <c r="DAN106" s="531"/>
      <c r="DAO106" s="530"/>
      <c r="DAP106" s="531"/>
      <c r="DAQ106" s="530"/>
      <c r="DAR106" s="531"/>
      <c r="DAS106" s="530"/>
      <c r="DAT106" s="531"/>
      <c r="DAU106" s="530"/>
      <c r="DAV106" s="531"/>
      <c r="DAW106" s="530"/>
      <c r="DAX106" s="531"/>
      <c r="DAY106" s="530"/>
      <c r="DAZ106" s="531"/>
      <c r="DBA106" s="530"/>
      <c r="DBB106" s="531"/>
      <c r="DBC106" s="530"/>
      <c r="DBD106" s="531"/>
      <c r="DBE106" s="530"/>
      <c r="DBF106" s="531"/>
      <c r="DBG106" s="530"/>
      <c r="DBH106" s="531"/>
      <c r="DBI106" s="530"/>
      <c r="DBJ106" s="531"/>
      <c r="DBK106" s="530"/>
      <c r="DBL106" s="531"/>
      <c r="DBM106" s="530"/>
      <c r="DBN106" s="531"/>
      <c r="DBO106" s="530"/>
      <c r="DBP106" s="531"/>
      <c r="DBQ106" s="530"/>
      <c r="DBR106" s="531"/>
      <c r="DBS106" s="530"/>
      <c r="DBT106" s="531"/>
      <c r="DBU106" s="530"/>
      <c r="DBV106" s="531"/>
      <c r="DBW106" s="530"/>
      <c r="DBX106" s="531"/>
      <c r="DBY106" s="530"/>
      <c r="DBZ106" s="531"/>
      <c r="DCA106" s="530"/>
      <c r="DCB106" s="531"/>
      <c r="DCC106" s="530"/>
      <c r="DCD106" s="531"/>
      <c r="DCE106" s="530"/>
      <c r="DCF106" s="531"/>
      <c r="DCG106" s="530"/>
      <c r="DCH106" s="531"/>
      <c r="DCI106" s="530"/>
      <c r="DCJ106" s="531"/>
      <c r="DCK106" s="530"/>
      <c r="DCL106" s="531"/>
      <c r="DCM106" s="530"/>
      <c r="DCN106" s="531"/>
      <c r="DCO106" s="530"/>
      <c r="DCP106" s="531"/>
      <c r="DCQ106" s="530"/>
      <c r="DCR106" s="531"/>
      <c r="DCS106" s="530"/>
      <c r="DCT106" s="531"/>
      <c r="DCU106" s="530"/>
      <c r="DCV106" s="531"/>
      <c r="DCW106" s="530"/>
      <c r="DCX106" s="531"/>
      <c r="DCY106" s="530"/>
      <c r="DCZ106" s="531"/>
      <c r="DDA106" s="530"/>
      <c r="DDB106" s="531"/>
      <c r="DDC106" s="530"/>
      <c r="DDD106" s="531"/>
      <c r="DDE106" s="530"/>
      <c r="DDF106" s="531"/>
      <c r="DDG106" s="530"/>
      <c r="DDH106" s="531"/>
      <c r="DDI106" s="530"/>
      <c r="DDJ106" s="531"/>
      <c r="DDK106" s="530"/>
      <c r="DDL106" s="531"/>
      <c r="DDM106" s="530"/>
      <c r="DDN106" s="531"/>
      <c r="DDO106" s="530"/>
      <c r="DDP106" s="531"/>
      <c r="DDQ106" s="530"/>
      <c r="DDR106" s="531"/>
      <c r="DDS106" s="530"/>
      <c r="DDT106" s="531"/>
      <c r="DDU106" s="530"/>
      <c r="DDV106" s="531"/>
      <c r="DDW106" s="530"/>
      <c r="DDX106" s="531"/>
      <c r="DDY106" s="530"/>
      <c r="DDZ106" s="531"/>
      <c r="DEA106" s="530"/>
      <c r="DEB106" s="531"/>
      <c r="DEC106" s="530"/>
      <c r="DED106" s="531"/>
      <c r="DEE106" s="530"/>
      <c r="DEF106" s="531"/>
      <c r="DEG106" s="530"/>
      <c r="DEH106" s="531"/>
      <c r="DEI106" s="530"/>
      <c r="DEJ106" s="531"/>
      <c r="DEK106" s="530"/>
      <c r="DEL106" s="531"/>
      <c r="DEM106" s="530"/>
      <c r="DEN106" s="531"/>
      <c r="DEO106" s="530"/>
      <c r="DEP106" s="531"/>
      <c r="DEQ106" s="530"/>
      <c r="DER106" s="531"/>
      <c r="DES106" s="530"/>
      <c r="DET106" s="531"/>
      <c r="DEU106" s="530"/>
      <c r="DEV106" s="531"/>
      <c r="DEW106" s="530"/>
      <c r="DEX106" s="531"/>
      <c r="DEY106" s="530"/>
      <c r="DEZ106" s="531"/>
      <c r="DFA106" s="530"/>
      <c r="DFB106" s="531"/>
      <c r="DFC106" s="530"/>
      <c r="DFD106" s="531"/>
      <c r="DFE106" s="530"/>
      <c r="DFF106" s="531"/>
      <c r="DFG106" s="530"/>
      <c r="DFH106" s="531"/>
      <c r="DFI106" s="530"/>
      <c r="DFJ106" s="531"/>
      <c r="DFK106" s="530"/>
      <c r="DFL106" s="531"/>
      <c r="DFM106" s="530"/>
      <c r="DFN106" s="531"/>
      <c r="DFO106" s="530"/>
      <c r="DFP106" s="531"/>
      <c r="DFQ106" s="530"/>
      <c r="DFR106" s="531"/>
      <c r="DFS106" s="530"/>
      <c r="DFT106" s="531"/>
      <c r="DFU106" s="530"/>
      <c r="DFV106" s="531"/>
      <c r="DFW106" s="530"/>
      <c r="DFX106" s="531"/>
      <c r="DFY106" s="530"/>
      <c r="DFZ106" s="531"/>
      <c r="DGA106" s="530"/>
      <c r="DGB106" s="531"/>
      <c r="DGC106" s="530"/>
      <c r="DGD106" s="531"/>
      <c r="DGE106" s="530"/>
      <c r="DGF106" s="531"/>
      <c r="DGG106" s="530"/>
      <c r="DGH106" s="531"/>
      <c r="DGI106" s="530"/>
      <c r="DGJ106" s="531"/>
      <c r="DGK106" s="530"/>
      <c r="DGL106" s="531"/>
      <c r="DGM106" s="530"/>
      <c r="DGN106" s="531"/>
      <c r="DGO106" s="530"/>
      <c r="DGP106" s="531"/>
      <c r="DGQ106" s="530"/>
      <c r="DGR106" s="531"/>
      <c r="DGS106" s="530"/>
      <c r="DGT106" s="531"/>
      <c r="DGU106" s="530"/>
      <c r="DGV106" s="531"/>
      <c r="DGW106" s="530"/>
      <c r="DGX106" s="531"/>
      <c r="DGY106" s="530"/>
      <c r="DGZ106" s="531"/>
      <c r="DHA106" s="530"/>
      <c r="DHB106" s="531"/>
      <c r="DHC106" s="530"/>
      <c r="DHD106" s="531"/>
      <c r="DHE106" s="530"/>
      <c r="DHF106" s="531"/>
      <c r="DHG106" s="530"/>
      <c r="DHH106" s="531"/>
      <c r="DHI106" s="530"/>
      <c r="DHJ106" s="531"/>
      <c r="DHK106" s="530"/>
      <c r="DHL106" s="531"/>
      <c r="DHM106" s="530"/>
      <c r="DHN106" s="531"/>
      <c r="DHO106" s="530"/>
      <c r="DHP106" s="531"/>
      <c r="DHQ106" s="530"/>
      <c r="DHR106" s="531"/>
      <c r="DHS106" s="530"/>
      <c r="DHT106" s="531"/>
      <c r="DHU106" s="530"/>
      <c r="DHV106" s="531"/>
      <c r="DHW106" s="530"/>
      <c r="DHX106" s="531"/>
      <c r="DHY106" s="530"/>
      <c r="DHZ106" s="531"/>
      <c r="DIA106" s="530"/>
      <c r="DIB106" s="531"/>
      <c r="DIC106" s="530"/>
      <c r="DID106" s="531"/>
      <c r="DIE106" s="530"/>
      <c r="DIF106" s="531"/>
      <c r="DIG106" s="530"/>
      <c r="DIH106" s="531"/>
      <c r="DII106" s="530"/>
      <c r="DIJ106" s="531"/>
      <c r="DIK106" s="530"/>
      <c r="DIL106" s="531"/>
      <c r="DIM106" s="530"/>
      <c r="DIN106" s="531"/>
      <c r="DIO106" s="530"/>
      <c r="DIP106" s="531"/>
      <c r="DIQ106" s="530"/>
      <c r="DIR106" s="531"/>
      <c r="DIS106" s="530"/>
      <c r="DIT106" s="531"/>
      <c r="DIU106" s="530"/>
      <c r="DIV106" s="531"/>
      <c r="DIW106" s="530"/>
      <c r="DIX106" s="531"/>
      <c r="DIY106" s="530"/>
      <c r="DIZ106" s="531"/>
      <c r="DJA106" s="530"/>
      <c r="DJB106" s="531"/>
      <c r="DJC106" s="530"/>
      <c r="DJD106" s="531"/>
      <c r="DJE106" s="530"/>
      <c r="DJF106" s="531"/>
      <c r="DJG106" s="530"/>
      <c r="DJH106" s="531"/>
      <c r="DJI106" s="530"/>
      <c r="DJJ106" s="531"/>
      <c r="DJK106" s="530"/>
      <c r="DJL106" s="531"/>
      <c r="DJM106" s="530"/>
      <c r="DJN106" s="531"/>
      <c r="DJO106" s="530"/>
      <c r="DJP106" s="531"/>
      <c r="DJQ106" s="530"/>
      <c r="DJR106" s="531"/>
      <c r="DJS106" s="530"/>
      <c r="DJT106" s="531"/>
      <c r="DJU106" s="530"/>
      <c r="DJV106" s="531"/>
      <c r="DJW106" s="530"/>
      <c r="DJX106" s="531"/>
      <c r="DJY106" s="530"/>
      <c r="DJZ106" s="531"/>
      <c r="DKA106" s="530"/>
      <c r="DKB106" s="531"/>
      <c r="DKC106" s="530"/>
      <c r="DKD106" s="531"/>
      <c r="DKE106" s="530"/>
      <c r="DKF106" s="531"/>
      <c r="DKG106" s="530"/>
      <c r="DKH106" s="531"/>
      <c r="DKI106" s="530"/>
      <c r="DKJ106" s="531"/>
      <c r="DKK106" s="530"/>
      <c r="DKL106" s="531"/>
      <c r="DKM106" s="530"/>
      <c r="DKN106" s="531"/>
      <c r="DKO106" s="530"/>
      <c r="DKP106" s="531"/>
      <c r="DKQ106" s="530"/>
      <c r="DKR106" s="531"/>
      <c r="DKS106" s="530"/>
      <c r="DKT106" s="531"/>
      <c r="DKU106" s="530"/>
      <c r="DKV106" s="531"/>
      <c r="DKW106" s="530"/>
      <c r="DKX106" s="531"/>
      <c r="DKY106" s="530"/>
      <c r="DKZ106" s="531"/>
      <c r="DLA106" s="530"/>
      <c r="DLB106" s="531"/>
      <c r="DLC106" s="530"/>
      <c r="DLD106" s="531"/>
      <c r="DLE106" s="530"/>
      <c r="DLF106" s="531"/>
      <c r="DLG106" s="530"/>
      <c r="DLH106" s="531"/>
      <c r="DLI106" s="530"/>
      <c r="DLJ106" s="531"/>
      <c r="DLK106" s="530"/>
      <c r="DLL106" s="531"/>
      <c r="DLM106" s="530"/>
      <c r="DLN106" s="531"/>
      <c r="DLO106" s="530"/>
      <c r="DLP106" s="531"/>
      <c r="DLQ106" s="530"/>
      <c r="DLR106" s="531"/>
      <c r="DLS106" s="530"/>
      <c r="DLT106" s="531"/>
      <c r="DLU106" s="530"/>
      <c r="DLV106" s="531"/>
      <c r="DLW106" s="530"/>
      <c r="DLX106" s="531"/>
      <c r="DLY106" s="530"/>
      <c r="DLZ106" s="531"/>
      <c r="DMA106" s="530"/>
      <c r="DMB106" s="531"/>
      <c r="DMC106" s="530"/>
      <c r="DMD106" s="531"/>
      <c r="DME106" s="530"/>
      <c r="DMF106" s="531"/>
      <c r="DMG106" s="530"/>
      <c r="DMH106" s="531"/>
      <c r="DMI106" s="530"/>
      <c r="DMJ106" s="531"/>
      <c r="DMK106" s="530"/>
      <c r="DML106" s="531"/>
      <c r="DMM106" s="530"/>
      <c r="DMN106" s="531"/>
      <c r="DMO106" s="530"/>
      <c r="DMP106" s="531"/>
      <c r="DMQ106" s="530"/>
      <c r="DMR106" s="531"/>
      <c r="DMS106" s="530"/>
      <c r="DMT106" s="531"/>
      <c r="DMU106" s="530"/>
      <c r="DMV106" s="531"/>
      <c r="DMW106" s="530"/>
      <c r="DMX106" s="531"/>
      <c r="DMY106" s="530"/>
      <c r="DMZ106" s="531"/>
      <c r="DNA106" s="530"/>
      <c r="DNB106" s="531"/>
      <c r="DNC106" s="530"/>
      <c r="DND106" s="531"/>
      <c r="DNE106" s="530"/>
      <c r="DNF106" s="531"/>
      <c r="DNG106" s="530"/>
      <c r="DNH106" s="531"/>
      <c r="DNI106" s="530"/>
      <c r="DNJ106" s="531"/>
      <c r="DNK106" s="530"/>
      <c r="DNL106" s="531"/>
      <c r="DNM106" s="530"/>
      <c r="DNN106" s="531"/>
      <c r="DNO106" s="530"/>
      <c r="DNP106" s="531"/>
      <c r="DNQ106" s="530"/>
      <c r="DNR106" s="531"/>
      <c r="DNS106" s="530"/>
      <c r="DNT106" s="531"/>
      <c r="DNU106" s="530"/>
      <c r="DNV106" s="531"/>
      <c r="DNW106" s="530"/>
      <c r="DNX106" s="531"/>
      <c r="DNY106" s="530"/>
      <c r="DNZ106" s="531"/>
      <c r="DOA106" s="530"/>
      <c r="DOB106" s="531"/>
      <c r="DOC106" s="530"/>
      <c r="DOD106" s="531"/>
      <c r="DOE106" s="530"/>
      <c r="DOF106" s="531"/>
      <c r="DOG106" s="530"/>
      <c r="DOH106" s="531"/>
      <c r="DOI106" s="530"/>
      <c r="DOJ106" s="531"/>
      <c r="DOK106" s="530"/>
      <c r="DOL106" s="531"/>
      <c r="DOM106" s="530"/>
      <c r="DON106" s="531"/>
      <c r="DOO106" s="530"/>
      <c r="DOP106" s="531"/>
      <c r="DOQ106" s="530"/>
      <c r="DOR106" s="531"/>
      <c r="DOS106" s="530"/>
      <c r="DOT106" s="531"/>
      <c r="DOU106" s="530"/>
      <c r="DOV106" s="531"/>
      <c r="DOW106" s="530"/>
      <c r="DOX106" s="531"/>
      <c r="DOY106" s="530"/>
      <c r="DOZ106" s="531"/>
      <c r="DPA106" s="530"/>
      <c r="DPB106" s="531"/>
      <c r="DPC106" s="530"/>
      <c r="DPD106" s="531"/>
      <c r="DPE106" s="530"/>
      <c r="DPF106" s="531"/>
      <c r="DPG106" s="530"/>
      <c r="DPH106" s="531"/>
      <c r="DPI106" s="530"/>
      <c r="DPJ106" s="531"/>
      <c r="DPK106" s="530"/>
      <c r="DPL106" s="531"/>
      <c r="DPM106" s="530"/>
      <c r="DPN106" s="531"/>
      <c r="DPO106" s="530"/>
      <c r="DPP106" s="531"/>
      <c r="DPQ106" s="530"/>
      <c r="DPR106" s="531"/>
      <c r="DPS106" s="530"/>
      <c r="DPT106" s="531"/>
      <c r="DPU106" s="530"/>
      <c r="DPV106" s="531"/>
      <c r="DPW106" s="530"/>
      <c r="DPX106" s="531"/>
      <c r="DPY106" s="530"/>
      <c r="DPZ106" s="531"/>
      <c r="DQA106" s="530"/>
      <c r="DQB106" s="531"/>
      <c r="DQC106" s="530"/>
      <c r="DQD106" s="531"/>
      <c r="DQE106" s="530"/>
      <c r="DQF106" s="531"/>
      <c r="DQG106" s="530"/>
      <c r="DQH106" s="531"/>
      <c r="DQI106" s="530"/>
      <c r="DQJ106" s="531"/>
      <c r="DQK106" s="530"/>
      <c r="DQL106" s="531"/>
      <c r="DQM106" s="530"/>
      <c r="DQN106" s="531"/>
      <c r="DQO106" s="530"/>
      <c r="DQP106" s="531"/>
      <c r="DQQ106" s="530"/>
      <c r="DQR106" s="531"/>
      <c r="DQS106" s="530"/>
      <c r="DQT106" s="531"/>
      <c r="DQU106" s="530"/>
      <c r="DQV106" s="531"/>
      <c r="DQW106" s="530"/>
      <c r="DQX106" s="531"/>
      <c r="DQY106" s="530"/>
      <c r="DQZ106" s="531"/>
      <c r="DRA106" s="530"/>
      <c r="DRB106" s="531"/>
      <c r="DRC106" s="530"/>
      <c r="DRD106" s="531"/>
      <c r="DRE106" s="530"/>
      <c r="DRF106" s="531"/>
      <c r="DRG106" s="530"/>
      <c r="DRH106" s="531"/>
      <c r="DRI106" s="530"/>
      <c r="DRJ106" s="531"/>
      <c r="DRK106" s="530"/>
      <c r="DRL106" s="531"/>
      <c r="DRM106" s="530"/>
      <c r="DRN106" s="531"/>
      <c r="DRO106" s="530"/>
      <c r="DRP106" s="531"/>
      <c r="DRQ106" s="530"/>
      <c r="DRR106" s="531"/>
      <c r="DRS106" s="530"/>
      <c r="DRT106" s="531"/>
      <c r="DRU106" s="530"/>
      <c r="DRV106" s="531"/>
      <c r="DRW106" s="530"/>
      <c r="DRX106" s="531"/>
      <c r="DRY106" s="530"/>
      <c r="DRZ106" s="531"/>
      <c r="DSA106" s="530"/>
      <c r="DSB106" s="531"/>
      <c r="DSC106" s="530"/>
      <c r="DSD106" s="531"/>
      <c r="DSE106" s="530"/>
      <c r="DSF106" s="531"/>
      <c r="DSG106" s="530"/>
      <c r="DSH106" s="531"/>
      <c r="DSI106" s="530"/>
      <c r="DSJ106" s="531"/>
      <c r="DSK106" s="530"/>
      <c r="DSL106" s="531"/>
      <c r="DSM106" s="530"/>
      <c r="DSN106" s="531"/>
      <c r="DSO106" s="530"/>
      <c r="DSP106" s="531"/>
      <c r="DSQ106" s="530"/>
      <c r="DSR106" s="531"/>
      <c r="DSS106" s="530"/>
      <c r="DST106" s="531"/>
      <c r="DSU106" s="530"/>
      <c r="DSV106" s="531"/>
      <c r="DSW106" s="530"/>
      <c r="DSX106" s="531"/>
      <c r="DSY106" s="530"/>
      <c r="DSZ106" s="531"/>
      <c r="DTA106" s="530"/>
      <c r="DTB106" s="531"/>
      <c r="DTC106" s="530"/>
      <c r="DTD106" s="531"/>
      <c r="DTE106" s="530"/>
      <c r="DTF106" s="531"/>
      <c r="DTG106" s="530"/>
      <c r="DTH106" s="531"/>
      <c r="DTI106" s="530"/>
      <c r="DTJ106" s="531"/>
      <c r="DTK106" s="530"/>
      <c r="DTL106" s="531"/>
      <c r="DTM106" s="530"/>
      <c r="DTN106" s="531"/>
      <c r="DTO106" s="530"/>
      <c r="DTP106" s="531"/>
      <c r="DTQ106" s="530"/>
      <c r="DTR106" s="531"/>
      <c r="DTS106" s="530"/>
      <c r="DTT106" s="531"/>
      <c r="DTU106" s="530"/>
      <c r="DTV106" s="531"/>
      <c r="DTW106" s="530"/>
      <c r="DTX106" s="531"/>
      <c r="DTY106" s="530"/>
      <c r="DTZ106" s="531"/>
      <c r="DUA106" s="530"/>
      <c r="DUB106" s="531"/>
      <c r="DUC106" s="530"/>
      <c r="DUD106" s="531"/>
      <c r="DUE106" s="530"/>
      <c r="DUF106" s="531"/>
      <c r="DUG106" s="530"/>
      <c r="DUH106" s="531"/>
      <c r="DUI106" s="530"/>
      <c r="DUJ106" s="531"/>
      <c r="DUK106" s="530"/>
      <c r="DUL106" s="531"/>
      <c r="DUM106" s="530"/>
      <c r="DUN106" s="531"/>
      <c r="DUO106" s="530"/>
      <c r="DUP106" s="531"/>
      <c r="DUQ106" s="530"/>
      <c r="DUR106" s="531"/>
      <c r="DUS106" s="530"/>
      <c r="DUT106" s="531"/>
      <c r="DUU106" s="530"/>
      <c r="DUV106" s="531"/>
      <c r="DUW106" s="530"/>
      <c r="DUX106" s="531"/>
      <c r="DUY106" s="530"/>
      <c r="DUZ106" s="531"/>
      <c r="DVA106" s="530"/>
      <c r="DVB106" s="531"/>
      <c r="DVC106" s="530"/>
      <c r="DVD106" s="531"/>
      <c r="DVE106" s="530"/>
      <c r="DVF106" s="531"/>
      <c r="DVG106" s="530"/>
      <c r="DVH106" s="531"/>
      <c r="DVI106" s="530"/>
      <c r="DVJ106" s="531"/>
      <c r="DVK106" s="530"/>
      <c r="DVL106" s="531"/>
      <c r="DVM106" s="530"/>
      <c r="DVN106" s="531"/>
      <c r="DVO106" s="530"/>
      <c r="DVP106" s="531"/>
      <c r="DVQ106" s="530"/>
      <c r="DVR106" s="531"/>
      <c r="DVS106" s="530"/>
      <c r="DVT106" s="531"/>
      <c r="DVU106" s="530"/>
      <c r="DVV106" s="531"/>
      <c r="DVW106" s="530"/>
      <c r="DVX106" s="531"/>
      <c r="DVY106" s="530"/>
      <c r="DVZ106" s="531"/>
      <c r="DWA106" s="530"/>
      <c r="DWB106" s="531"/>
      <c r="DWC106" s="530"/>
      <c r="DWD106" s="531"/>
      <c r="DWE106" s="530"/>
      <c r="DWF106" s="531"/>
      <c r="DWG106" s="530"/>
      <c r="DWH106" s="531"/>
      <c r="DWI106" s="530"/>
      <c r="DWJ106" s="531"/>
      <c r="DWK106" s="530"/>
      <c r="DWL106" s="531"/>
      <c r="DWM106" s="530"/>
      <c r="DWN106" s="531"/>
      <c r="DWO106" s="530"/>
      <c r="DWP106" s="531"/>
      <c r="DWQ106" s="530"/>
      <c r="DWR106" s="531"/>
      <c r="DWS106" s="530"/>
      <c r="DWT106" s="531"/>
      <c r="DWU106" s="530"/>
      <c r="DWV106" s="531"/>
      <c r="DWW106" s="530"/>
      <c r="DWX106" s="531"/>
      <c r="DWY106" s="530"/>
      <c r="DWZ106" s="531"/>
      <c r="DXA106" s="530"/>
      <c r="DXB106" s="531"/>
      <c r="DXC106" s="530"/>
      <c r="DXD106" s="531"/>
      <c r="DXE106" s="530"/>
      <c r="DXF106" s="531"/>
      <c r="DXG106" s="530"/>
      <c r="DXH106" s="531"/>
      <c r="DXI106" s="530"/>
      <c r="DXJ106" s="531"/>
      <c r="DXK106" s="530"/>
      <c r="DXL106" s="531"/>
      <c r="DXM106" s="530"/>
      <c r="DXN106" s="531"/>
      <c r="DXO106" s="530"/>
      <c r="DXP106" s="531"/>
      <c r="DXQ106" s="530"/>
      <c r="DXR106" s="531"/>
      <c r="DXS106" s="530"/>
      <c r="DXT106" s="531"/>
      <c r="DXU106" s="530"/>
      <c r="DXV106" s="531"/>
      <c r="DXW106" s="530"/>
      <c r="DXX106" s="531"/>
      <c r="DXY106" s="530"/>
      <c r="DXZ106" s="531"/>
      <c r="DYA106" s="530"/>
      <c r="DYB106" s="531"/>
      <c r="DYC106" s="530"/>
      <c r="DYD106" s="531"/>
      <c r="DYE106" s="530"/>
      <c r="DYF106" s="531"/>
      <c r="DYG106" s="530"/>
      <c r="DYH106" s="531"/>
      <c r="DYI106" s="530"/>
      <c r="DYJ106" s="531"/>
      <c r="DYK106" s="530"/>
      <c r="DYL106" s="531"/>
      <c r="DYM106" s="530"/>
      <c r="DYN106" s="531"/>
      <c r="DYO106" s="530"/>
      <c r="DYP106" s="531"/>
      <c r="DYQ106" s="530"/>
      <c r="DYR106" s="531"/>
      <c r="DYS106" s="530"/>
      <c r="DYT106" s="531"/>
      <c r="DYU106" s="530"/>
      <c r="DYV106" s="531"/>
      <c r="DYW106" s="530"/>
      <c r="DYX106" s="531"/>
      <c r="DYY106" s="530"/>
      <c r="DYZ106" s="531"/>
      <c r="DZA106" s="530"/>
      <c r="DZB106" s="531"/>
      <c r="DZC106" s="530"/>
      <c r="DZD106" s="531"/>
      <c r="DZE106" s="530"/>
      <c r="DZF106" s="531"/>
      <c r="DZG106" s="530"/>
      <c r="DZH106" s="531"/>
      <c r="DZI106" s="530"/>
      <c r="DZJ106" s="531"/>
      <c r="DZK106" s="530"/>
      <c r="DZL106" s="531"/>
      <c r="DZM106" s="530"/>
      <c r="DZN106" s="531"/>
      <c r="DZO106" s="530"/>
      <c r="DZP106" s="531"/>
      <c r="DZQ106" s="530"/>
      <c r="DZR106" s="531"/>
      <c r="DZS106" s="530"/>
      <c r="DZT106" s="531"/>
      <c r="DZU106" s="530"/>
      <c r="DZV106" s="531"/>
      <c r="DZW106" s="530"/>
      <c r="DZX106" s="531"/>
      <c r="DZY106" s="530"/>
      <c r="DZZ106" s="531"/>
      <c r="EAA106" s="530"/>
      <c r="EAB106" s="531"/>
      <c r="EAC106" s="530"/>
      <c r="EAD106" s="531"/>
      <c r="EAE106" s="530"/>
      <c r="EAF106" s="531"/>
      <c r="EAG106" s="530"/>
      <c r="EAH106" s="531"/>
      <c r="EAI106" s="530"/>
      <c r="EAJ106" s="531"/>
      <c r="EAK106" s="530"/>
      <c r="EAL106" s="531"/>
      <c r="EAM106" s="530"/>
      <c r="EAN106" s="531"/>
      <c r="EAO106" s="530"/>
      <c r="EAP106" s="531"/>
      <c r="EAQ106" s="530"/>
      <c r="EAR106" s="531"/>
      <c r="EAS106" s="530"/>
      <c r="EAT106" s="531"/>
      <c r="EAU106" s="530"/>
      <c r="EAV106" s="531"/>
      <c r="EAW106" s="530"/>
      <c r="EAX106" s="531"/>
      <c r="EAY106" s="530"/>
      <c r="EAZ106" s="531"/>
      <c r="EBA106" s="530"/>
      <c r="EBB106" s="531"/>
      <c r="EBC106" s="530"/>
      <c r="EBD106" s="531"/>
      <c r="EBE106" s="530"/>
      <c r="EBF106" s="531"/>
      <c r="EBG106" s="530"/>
      <c r="EBH106" s="531"/>
      <c r="EBI106" s="530"/>
      <c r="EBJ106" s="531"/>
      <c r="EBK106" s="530"/>
      <c r="EBL106" s="531"/>
      <c r="EBM106" s="530"/>
      <c r="EBN106" s="531"/>
      <c r="EBO106" s="530"/>
      <c r="EBP106" s="531"/>
      <c r="EBQ106" s="530"/>
      <c r="EBR106" s="531"/>
      <c r="EBS106" s="530"/>
      <c r="EBT106" s="531"/>
      <c r="EBU106" s="530"/>
      <c r="EBV106" s="531"/>
      <c r="EBW106" s="530"/>
      <c r="EBX106" s="531"/>
      <c r="EBY106" s="530"/>
      <c r="EBZ106" s="531"/>
      <c r="ECA106" s="530"/>
      <c r="ECB106" s="531"/>
      <c r="ECC106" s="530"/>
      <c r="ECD106" s="531"/>
      <c r="ECE106" s="530"/>
      <c r="ECF106" s="531"/>
      <c r="ECG106" s="530"/>
      <c r="ECH106" s="531"/>
      <c r="ECI106" s="530"/>
      <c r="ECJ106" s="531"/>
      <c r="ECK106" s="530"/>
      <c r="ECL106" s="531"/>
      <c r="ECM106" s="530"/>
      <c r="ECN106" s="531"/>
      <c r="ECO106" s="530"/>
      <c r="ECP106" s="531"/>
      <c r="ECQ106" s="530"/>
      <c r="ECR106" s="531"/>
      <c r="ECS106" s="530"/>
      <c r="ECT106" s="531"/>
      <c r="ECU106" s="530"/>
      <c r="ECV106" s="531"/>
      <c r="ECW106" s="530"/>
      <c r="ECX106" s="531"/>
      <c r="ECY106" s="530"/>
      <c r="ECZ106" s="531"/>
      <c r="EDA106" s="530"/>
      <c r="EDB106" s="531"/>
      <c r="EDC106" s="530"/>
      <c r="EDD106" s="531"/>
      <c r="EDE106" s="530"/>
      <c r="EDF106" s="531"/>
      <c r="EDG106" s="530"/>
      <c r="EDH106" s="531"/>
      <c r="EDI106" s="530"/>
      <c r="EDJ106" s="531"/>
      <c r="EDK106" s="530"/>
      <c r="EDL106" s="531"/>
      <c r="EDM106" s="530"/>
      <c r="EDN106" s="531"/>
      <c r="EDO106" s="530"/>
      <c r="EDP106" s="531"/>
      <c r="EDQ106" s="530"/>
      <c r="EDR106" s="531"/>
      <c r="EDS106" s="530"/>
      <c r="EDT106" s="531"/>
      <c r="EDU106" s="530"/>
      <c r="EDV106" s="531"/>
      <c r="EDW106" s="530"/>
      <c r="EDX106" s="531"/>
      <c r="EDY106" s="530"/>
      <c r="EDZ106" s="531"/>
      <c r="EEA106" s="530"/>
      <c r="EEB106" s="531"/>
      <c r="EEC106" s="530"/>
      <c r="EED106" s="531"/>
      <c r="EEE106" s="530"/>
      <c r="EEF106" s="531"/>
      <c r="EEG106" s="530"/>
      <c r="EEH106" s="531"/>
      <c r="EEI106" s="530"/>
      <c r="EEJ106" s="531"/>
      <c r="EEK106" s="530"/>
      <c r="EEL106" s="531"/>
      <c r="EEM106" s="530"/>
      <c r="EEN106" s="531"/>
      <c r="EEO106" s="530"/>
      <c r="EEP106" s="531"/>
      <c r="EEQ106" s="530"/>
      <c r="EER106" s="531"/>
      <c r="EES106" s="530"/>
      <c r="EET106" s="531"/>
      <c r="EEU106" s="530"/>
      <c r="EEV106" s="531"/>
      <c r="EEW106" s="530"/>
      <c r="EEX106" s="531"/>
      <c r="EEY106" s="530"/>
      <c r="EEZ106" s="531"/>
      <c r="EFA106" s="530"/>
      <c r="EFB106" s="531"/>
      <c r="EFC106" s="530"/>
      <c r="EFD106" s="531"/>
      <c r="EFE106" s="530"/>
      <c r="EFF106" s="531"/>
      <c r="EFG106" s="530"/>
      <c r="EFH106" s="531"/>
      <c r="EFI106" s="530"/>
      <c r="EFJ106" s="531"/>
      <c r="EFK106" s="530"/>
      <c r="EFL106" s="531"/>
      <c r="EFM106" s="530"/>
      <c r="EFN106" s="531"/>
      <c r="EFO106" s="530"/>
      <c r="EFP106" s="531"/>
      <c r="EFQ106" s="530"/>
      <c r="EFR106" s="531"/>
      <c r="EFS106" s="530"/>
      <c r="EFT106" s="531"/>
      <c r="EFU106" s="530"/>
      <c r="EFV106" s="531"/>
      <c r="EFW106" s="530"/>
      <c r="EFX106" s="531"/>
      <c r="EFY106" s="530"/>
      <c r="EFZ106" s="531"/>
      <c r="EGA106" s="530"/>
      <c r="EGB106" s="531"/>
      <c r="EGC106" s="530"/>
      <c r="EGD106" s="531"/>
      <c r="EGE106" s="530"/>
      <c r="EGF106" s="531"/>
      <c r="EGG106" s="530"/>
      <c r="EGH106" s="531"/>
      <c r="EGI106" s="530"/>
      <c r="EGJ106" s="531"/>
      <c r="EGK106" s="530"/>
      <c r="EGL106" s="531"/>
      <c r="EGM106" s="530"/>
      <c r="EGN106" s="531"/>
      <c r="EGO106" s="530"/>
      <c r="EGP106" s="531"/>
      <c r="EGQ106" s="530"/>
      <c r="EGR106" s="531"/>
      <c r="EGS106" s="530"/>
      <c r="EGT106" s="531"/>
      <c r="EGU106" s="530"/>
      <c r="EGV106" s="531"/>
      <c r="EGW106" s="530"/>
      <c r="EGX106" s="531"/>
      <c r="EGY106" s="530"/>
      <c r="EGZ106" s="531"/>
      <c r="EHA106" s="530"/>
      <c r="EHB106" s="531"/>
      <c r="EHC106" s="530"/>
      <c r="EHD106" s="531"/>
      <c r="EHE106" s="530"/>
      <c r="EHF106" s="531"/>
      <c r="EHG106" s="530"/>
      <c r="EHH106" s="531"/>
      <c r="EHI106" s="530"/>
      <c r="EHJ106" s="531"/>
      <c r="EHK106" s="530"/>
      <c r="EHL106" s="531"/>
      <c r="EHM106" s="530"/>
      <c r="EHN106" s="531"/>
      <c r="EHO106" s="530"/>
      <c r="EHP106" s="531"/>
      <c r="EHQ106" s="530"/>
      <c r="EHR106" s="531"/>
      <c r="EHS106" s="530"/>
      <c r="EHT106" s="531"/>
      <c r="EHU106" s="530"/>
      <c r="EHV106" s="531"/>
      <c r="EHW106" s="530"/>
      <c r="EHX106" s="531"/>
      <c r="EHY106" s="530"/>
      <c r="EHZ106" s="531"/>
      <c r="EIA106" s="530"/>
      <c r="EIB106" s="531"/>
      <c r="EIC106" s="530"/>
      <c r="EID106" s="531"/>
      <c r="EIE106" s="530"/>
      <c r="EIF106" s="531"/>
      <c r="EIG106" s="530"/>
      <c r="EIH106" s="531"/>
      <c r="EII106" s="530"/>
      <c r="EIJ106" s="531"/>
      <c r="EIK106" s="530"/>
      <c r="EIL106" s="531"/>
      <c r="EIM106" s="530"/>
      <c r="EIN106" s="531"/>
      <c r="EIO106" s="530"/>
      <c r="EIP106" s="531"/>
      <c r="EIQ106" s="530"/>
      <c r="EIR106" s="531"/>
      <c r="EIS106" s="530"/>
      <c r="EIT106" s="531"/>
      <c r="EIU106" s="530"/>
      <c r="EIV106" s="531"/>
      <c r="EIW106" s="530"/>
      <c r="EIX106" s="531"/>
      <c r="EIY106" s="530"/>
      <c r="EIZ106" s="531"/>
      <c r="EJA106" s="530"/>
      <c r="EJB106" s="531"/>
      <c r="EJC106" s="530"/>
      <c r="EJD106" s="531"/>
      <c r="EJE106" s="530"/>
      <c r="EJF106" s="531"/>
      <c r="EJG106" s="530"/>
      <c r="EJH106" s="531"/>
      <c r="EJI106" s="530"/>
      <c r="EJJ106" s="531"/>
      <c r="EJK106" s="530"/>
      <c r="EJL106" s="531"/>
      <c r="EJM106" s="530"/>
      <c r="EJN106" s="531"/>
      <c r="EJO106" s="530"/>
      <c r="EJP106" s="531"/>
      <c r="EJQ106" s="530"/>
      <c r="EJR106" s="531"/>
      <c r="EJS106" s="530"/>
      <c r="EJT106" s="531"/>
      <c r="EJU106" s="530"/>
      <c r="EJV106" s="531"/>
      <c r="EJW106" s="530"/>
      <c r="EJX106" s="531"/>
      <c r="EJY106" s="530"/>
      <c r="EJZ106" s="531"/>
      <c r="EKA106" s="530"/>
      <c r="EKB106" s="531"/>
      <c r="EKC106" s="530"/>
      <c r="EKD106" s="531"/>
      <c r="EKE106" s="530"/>
      <c r="EKF106" s="531"/>
      <c r="EKG106" s="530"/>
      <c r="EKH106" s="531"/>
      <c r="EKI106" s="530"/>
      <c r="EKJ106" s="531"/>
      <c r="EKK106" s="530"/>
      <c r="EKL106" s="531"/>
      <c r="EKM106" s="530"/>
      <c r="EKN106" s="531"/>
      <c r="EKO106" s="530"/>
      <c r="EKP106" s="531"/>
      <c r="EKQ106" s="530"/>
      <c r="EKR106" s="531"/>
      <c r="EKS106" s="530"/>
      <c r="EKT106" s="531"/>
      <c r="EKU106" s="530"/>
      <c r="EKV106" s="531"/>
      <c r="EKW106" s="530"/>
      <c r="EKX106" s="531"/>
      <c r="EKY106" s="530"/>
      <c r="EKZ106" s="531"/>
      <c r="ELA106" s="530"/>
      <c r="ELB106" s="531"/>
      <c r="ELC106" s="530"/>
      <c r="ELD106" s="531"/>
      <c r="ELE106" s="530"/>
      <c r="ELF106" s="531"/>
      <c r="ELG106" s="530"/>
      <c r="ELH106" s="531"/>
      <c r="ELI106" s="530"/>
      <c r="ELJ106" s="531"/>
      <c r="ELK106" s="530"/>
      <c r="ELL106" s="531"/>
      <c r="ELM106" s="530"/>
      <c r="ELN106" s="531"/>
      <c r="ELO106" s="530"/>
      <c r="ELP106" s="531"/>
      <c r="ELQ106" s="530"/>
      <c r="ELR106" s="531"/>
      <c r="ELS106" s="530"/>
      <c r="ELT106" s="531"/>
      <c r="ELU106" s="530"/>
      <c r="ELV106" s="531"/>
      <c r="ELW106" s="530"/>
      <c r="ELX106" s="531"/>
      <c r="ELY106" s="530"/>
      <c r="ELZ106" s="531"/>
      <c r="EMA106" s="530"/>
      <c r="EMB106" s="531"/>
      <c r="EMC106" s="530"/>
      <c r="EMD106" s="531"/>
      <c r="EME106" s="530"/>
      <c r="EMF106" s="531"/>
      <c r="EMG106" s="530"/>
      <c r="EMH106" s="531"/>
      <c r="EMI106" s="530"/>
      <c r="EMJ106" s="531"/>
      <c r="EMK106" s="530"/>
      <c r="EML106" s="531"/>
      <c r="EMM106" s="530"/>
      <c r="EMN106" s="531"/>
      <c r="EMO106" s="530"/>
      <c r="EMP106" s="531"/>
      <c r="EMQ106" s="530"/>
      <c r="EMR106" s="531"/>
      <c r="EMS106" s="530"/>
      <c r="EMT106" s="531"/>
      <c r="EMU106" s="530"/>
      <c r="EMV106" s="531"/>
      <c r="EMW106" s="530"/>
      <c r="EMX106" s="531"/>
      <c r="EMY106" s="530"/>
      <c r="EMZ106" s="531"/>
      <c r="ENA106" s="530"/>
      <c r="ENB106" s="531"/>
      <c r="ENC106" s="530"/>
      <c r="END106" s="531"/>
      <c r="ENE106" s="530"/>
      <c r="ENF106" s="531"/>
      <c r="ENG106" s="530"/>
      <c r="ENH106" s="531"/>
      <c r="ENI106" s="530"/>
      <c r="ENJ106" s="531"/>
      <c r="ENK106" s="530"/>
      <c r="ENL106" s="531"/>
      <c r="ENM106" s="530"/>
      <c r="ENN106" s="531"/>
      <c r="ENO106" s="530"/>
      <c r="ENP106" s="531"/>
      <c r="ENQ106" s="530"/>
      <c r="ENR106" s="531"/>
      <c r="ENS106" s="530"/>
      <c r="ENT106" s="531"/>
      <c r="ENU106" s="530"/>
      <c r="ENV106" s="531"/>
      <c r="ENW106" s="530"/>
      <c r="ENX106" s="531"/>
      <c r="ENY106" s="530"/>
      <c r="ENZ106" s="531"/>
      <c r="EOA106" s="530"/>
      <c r="EOB106" s="531"/>
      <c r="EOC106" s="530"/>
      <c r="EOD106" s="531"/>
      <c r="EOE106" s="530"/>
      <c r="EOF106" s="531"/>
      <c r="EOG106" s="530"/>
      <c r="EOH106" s="531"/>
      <c r="EOI106" s="530"/>
      <c r="EOJ106" s="531"/>
      <c r="EOK106" s="530"/>
      <c r="EOL106" s="531"/>
      <c r="EOM106" s="530"/>
      <c r="EON106" s="531"/>
      <c r="EOO106" s="530"/>
      <c r="EOP106" s="531"/>
      <c r="EOQ106" s="530"/>
      <c r="EOR106" s="531"/>
      <c r="EOS106" s="530"/>
      <c r="EOT106" s="531"/>
      <c r="EOU106" s="530"/>
      <c r="EOV106" s="531"/>
      <c r="EOW106" s="530"/>
      <c r="EOX106" s="531"/>
      <c r="EOY106" s="530"/>
      <c r="EOZ106" s="531"/>
      <c r="EPA106" s="530"/>
      <c r="EPB106" s="531"/>
      <c r="EPC106" s="530"/>
      <c r="EPD106" s="531"/>
      <c r="EPE106" s="530"/>
      <c r="EPF106" s="531"/>
      <c r="EPG106" s="530"/>
      <c r="EPH106" s="531"/>
      <c r="EPI106" s="530"/>
      <c r="EPJ106" s="531"/>
      <c r="EPK106" s="530"/>
      <c r="EPL106" s="531"/>
      <c r="EPM106" s="530"/>
      <c r="EPN106" s="531"/>
      <c r="EPO106" s="530"/>
      <c r="EPP106" s="531"/>
      <c r="EPQ106" s="530"/>
      <c r="EPR106" s="531"/>
      <c r="EPS106" s="530"/>
      <c r="EPT106" s="531"/>
      <c r="EPU106" s="530"/>
      <c r="EPV106" s="531"/>
      <c r="EPW106" s="530"/>
      <c r="EPX106" s="531"/>
      <c r="EPY106" s="530"/>
      <c r="EPZ106" s="531"/>
      <c r="EQA106" s="530"/>
      <c r="EQB106" s="531"/>
      <c r="EQC106" s="530"/>
      <c r="EQD106" s="531"/>
      <c r="EQE106" s="530"/>
      <c r="EQF106" s="531"/>
      <c r="EQG106" s="530"/>
      <c r="EQH106" s="531"/>
      <c r="EQI106" s="530"/>
      <c r="EQJ106" s="531"/>
      <c r="EQK106" s="530"/>
      <c r="EQL106" s="531"/>
      <c r="EQM106" s="530"/>
      <c r="EQN106" s="531"/>
      <c r="EQO106" s="530"/>
      <c r="EQP106" s="531"/>
      <c r="EQQ106" s="530"/>
      <c r="EQR106" s="531"/>
      <c r="EQS106" s="530"/>
      <c r="EQT106" s="531"/>
      <c r="EQU106" s="530"/>
      <c r="EQV106" s="531"/>
      <c r="EQW106" s="530"/>
      <c r="EQX106" s="531"/>
      <c r="EQY106" s="530"/>
      <c r="EQZ106" s="531"/>
      <c r="ERA106" s="530"/>
      <c r="ERB106" s="531"/>
      <c r="ERC106" s="530"/>
      <c r="ERD106" s="531"/>
      <c r="ERE106" s="530"/>
      <c r="ERF106" s="531"/>
      <c r="ERG106" s="530"/>
      <c r="ERH106" s="531"/>
      <c r="ERI106" s="530"/>
      <c r="ERJ106" s="531"/>
      <c r="ERK106" s="530"/>
      <c r="ERL106" s="531"/>
      <c r="ERM106" s="530"/>
      <c r="ERN106" s="531"/>
      <c r="ERO106" s="530"/>
      <c r="ERP106" s="531"/>
      <c r="ERQ106" s="530"/>
      <c r="ERR106" s="531"/>
      <c r="ERS106" s="530"/>
      <c r="ERT106" s="531"/>
      <c r="ERU106" s="530"/>
      <c r="ERV106" s="531"/>
      <c r="ERW106" s="530"/>
      <c r="ERX106" s="531"/>
      <c r="ERY106" s="530"/>
      <c r="ERZ106" s="531"/>
      <c r="ESA106" s="530"/>
      <c r="ESB106" s="531"/>
      <c r="ESC106" s="530"/>
      <c r="ESD106" s="531"/>
      <c r="ESE106" s="530"/>
      <c r="ESF106" s="531"/>
      <c r="ESG106" s="530"/>
      <c r="ESH106" s="531"/>
      <c r="ESI106" s="530"/>
      <c r="ESJ106" s="531"/>
      <c r="ESK106" s="530"/>
      <c r="ESL106" s="531"/>
      <c r="ESM106" s="530"/>
      <c r="ESN106" s="531"/>
      <c r="ESO106" s="530"/>
      <c r="ESP106" s="531"/>
      <c r="ESQ106" s="530"/>
      <c r="ESR106" s="531"/>
      <c r="ESS106" s="530"/>
      <c r="EST106" s="531"/>
      <c r="ESU106" s="530"/>
      <c r="ESV106" s="531"/>
      <c r="ESW106" s="530"/>
      <c r="ESX106" s="531"/>
      <c r="ESY106" s="530"/>
      <c r="ESZ106" s="531"/>
      <c r="ETA106" s="530"/>
      <c r="ETB106" s="531"/>
      <c r="ETC106" s="530"/>
      <c r="ETD106" s="531"/>
      <c r="ETE106" s="530"/>
      <c r="ETF106" s="531"/>
      <c r="ETG106" s="530"/>
      <c r="ETH106" s="531"/>
      <c r="ETI106" s="530"/>
      <c r="ETJ106" s="531"/>
      <c r="ETK106" s="530"/>
      <c r="ETL106" s="531"/>
      <c r="ETM106" s="530"/>
      <c r="ETN106" s="531"/>
      <c r="ETO106" s="530"/>
      <c r="ETP106" s="531"/>
      <c r="ETQ106" s="530"/>
      <c r="ETR106" s="531"/>
      <c r="ETS106" s="530"/>
      <c r="ETT106" s="531"/>
      <c r="ETU106" s="530"/>
      <c r="ETV106" s="531"/>
      <c r="ETW106" s="530"/>
      <c r="ETX106" s="531"/>
      <c r="ETY106" s="530"/>
      <c r="ETZ106" s="531"/>
      <c r="EUA106" s="530"/>
      <c r="EUB106" s="531"/>
      <c r="EUC106" s="530"/>
      <c r="EUD106" s="531"/>
      <c r="EUE106" s="530"/>
      <c r="EUF106" s="531"/>
      <c r="EUG106" s="530"/>
      <c r="EUH106" s="531"/>
      <c r="EUI106" s="530"/>
      <c r="EUJ106" s="531"/>
      <c r="EUK106" s="530"/>
      <c r="EUL106" s="531"/>
      <c r="EUM106" s="530"/>
      <c r="EUN106" s="531"/>
      <c r="EUO106" s="530"/>
      <c r="EUP106" s="531"/>
      <c r="EUQ106" s="530"/>
      <c r="EUR106" s="531"/>
      <c r="EUS106" s="530"/>
      <c r="EUT106" s="531"/>
      <c r="EUU106" s="530"/>
      <c r="EUV106" s="531"/>
      <c r="EUW106" s="530"/>
      <c r="EUX106" s="531"/>
      <c r="EUY106" s="530"/>
      <c r="EUZ106" s="531"/>
      <c r="EVA106" s="530"/>
      <c r="EVB106" s="531"/>
      <c r="EVC106" s="530"/>
      <c r="EVD106" s="531"/>
      <c r="EVE106" s="530"/>
      <c r="EVF106" s="531"/>
      <c r="EVG106" s="530"/>
      <c r="EVH106" s="531"/>
      <c r="EVI106" s="530"/>
      <c r="EVJ106" s="531"/>
      <c r="EVK106" s="530"/>
      <c r="EVL106" s="531"/>
      <c r="EVM106" s="530"/>
      <c r="EVN106" s="531"/>
      <c r="EVO106" s="530"/>
      <c r="EVP106" s="531"/>
      <c r="EVQ106" s="530"/>
      <c r="EVR106" s="531"/>
      <c r="EVS106" s="530"/>
      <c r="EVT106" s="531"/>
      <c r="EVU106" s="530"/>
      <c r="EVV106" s="531"/>
      <c r="EVW106" s="530"/>
      <c r="EVX106" s="531"/>
      <c r="EVY106" s="530"/>
      <c r="EVZ106" s="531"/>
      <c r="EWA106" s="530"/>
      <c r="EWB106" s="531"/>
      <c r="EWC106" s="530"/>
      <c r="EWD106" s="531"/>
      <c r="EWE106" s="530"/>
      <c r="EWF106" s="531"/>
      <c r="EWG106" s="530"/>
      <c r="EWH106" s="531"/>
      <c r="EWI106" s="530"/>
      <c r="EWJ106" s="531"/>
      <c r="EWK106" s="530"/>
      <c r="EWL106" s="531"/>
      <c r="EWM106" s="530"/>
      <c r="EWN106" s="531"/>
      <c r="EWO106" s="530"/>
      <c r="EWP106" s="531"/>
      <c r="EWQ106" s="530"/>
      <c r="EWR106" s="531"/>
      <c r="EWS106" s="530"/>
      <c r="EWT106" s="531"/>
      <c r="EWU106" s="530"/>
      <c r="EWV106" s="531"/>
      <c r="EWW106" s="530"/>
      <c r="EWX106" s="531"/>
      <c r="EWY106" s="530"/>
      <c r="EWZ106" s="531"/>
      <c r="EXA106" s="530"/>
      <c r="EXB106" s="531"/>
      <c r="EXC106" s="530"/>
      <c r="EXD106" s="531"/>
      <c r="EXE106" s="530"/>
      <c r="EXF106" s="531"/>
      <c r="EXG106" s="530"/>
      <c r="EXH106" s="531"/>
      <c r="EXI106" s="530"/>
      <c r="EXJ106" s="531"/>
      <c r="EXK106" s="530"/>
      <c r="EXL106" s="531"/>
      <c r="EXM106" s="530"/>
      <c r="EXN106" s="531"/>
      <c r="EXO106" s="530"/>
      <c r="EXP106" s="531"/>
      <c r="EXQ106" s="530"/>
      <c r="EXR106" s="531"/>
      <c r="EXS106" s="530"/>
      <c r="EXT106" s="531"/>
      <c r="EXU106" s="530"/>
      <c r="EXV106" s="531"/>
      <c r="EXW106" s="530"/>
      <c r="EXX106" s="531"/>
      <c r="EXY106" s="530"/>
      <c r="EXZ106" s="531"/>
      <c r="EYA106" s="530"/>
      <c r="EYB106" s="531"/>
      <c r="EYC106" s="530"/>
      <c r="EYD106" s="531"/>
      <c r="EYE106" s="530"/>
      <c r="EYF106" s="531"/>
      <c r="EYG106" s="530"/>
      <c r="EYH106" s="531"/>
      <c r="EYI106" s="530"/>
      <c r="EYJ106" s="531"/>
      <c r="EYK106" s="530"/>
      <c r="EYL106" s="531"/>
      <c r="EYM106" s="530"/>
      <c r="EYN106" s="531"/>
      <c r="EYO106" s="530"/>
      <c r="EYP106" s="531"/>
      <c r="EYQ106" s="530"/>
      <c r="EYR106" s="531"/>
      <c r="EYS106" s="530"/>
      <c r="EYT106" s="531"/>
      <c r="EYU106" s="530"/>
      <c r="EYV106" s="531"/>
      <c r="EYW106" s="530"/>
      <c r="EYX106" s="531"/>
      <c r="EYY106" s="530"/>
      <c r="EYZ106" s="531"/>
      <c r="EZA106" s="530"/>
      <c r="EZB106" s="531"/>
      <c r="EZC106" s="530"/>
      <c r="EZD106" s="531"/>
      <c r="EZE106" s="530"/>
      <c r="EZF106" s="531"/>
      <c r="EZG106" s="530"/>
      <c r="EZH106" s="531"/>
      <c r="EZI106" s="530"/>
      <c r="EZJ106" s="531"/>
      <c r="EZK106" s="530"/>
      <c r="EZL106" s="531"/>
      <c r="EZM106" s="530"/>
      <c r="EZN106" s="531"/>
      <c r="EZO106" s="530"/>
      <c r="EZP106" s="531"/>
      <c r="EZQ106" s="530"/>
      <c r="EZR106" s="531"/>
      <c r="EZS106" s="530"/>
      <c r="EZT106" s="531"/>
      <c r="EZU106" s="530"/>
      <c r="EZV106" s="531"/>
      <c r="EZW106" s="530"/>
      <c r="EZX106" s="531"/>
      <c r="EZY106" s="530"/>
      <c r="EZZ106" s="531"/>
      <c r="FAA106" s="530"/>
      <c r="FAB106" s="531"/>
      <c r="FAC106" s="530"/>
      <c r="FAD106" s="531"/>
      <c r="FAE106" s="530"/>
      <c r="FAF106" s="531"/>
      <c r="FAG106" s="530"/>
      <c r="FAH106" s="531"/>
      <c r="FAI106" s="530"/>
      <c r="FAJ106" s="531"/>
      <c r="FAK106" s="530"/>
      <c r="FAL106" s="531"/>
      <c r="FAM106" s="530"/>
      <c r="FAN106" s="531"/>
      <c r="FAO106" s="530"/>
      <c r="FAP106" s="531"/>
      <c r="FAQ106" s="530"/>
      <c r="FAR106" s="531"/>
      <c r="FAS106" s="530"/>
      <c r="FAT106" s="531"/>
      <c r="FAU106" s="530"/>
      <c r="FAV106" s="531"/>
      <c r="FAW106" s="530"/>
      <c r="FAX106" s="531"/>
      <c r="FAY106" s="530"/>
      <c r="FAZ106" s="531"/>
      <c r="FBA106" s="530"/>
      <c r="FBB106" s="531"/>
      <c r="FBC106" s="530"/>
      <c r="FBD106" s="531"/>
      <c r="FBE106" s="530"/>
      <c r="FBF106" s="531"/>
      <c r="FBG106" s="530"/>
      <c r="FBH106" s="531"/>
      <c r="FBI106" s="530"/>
      <c r="FBJ106" s="531"/>
      <c r="FBK106" s="530"/>
      <c r="FBL106" s="531"/>
      <c r="FBM106" s="530"/>
      <c r="FBN106" s="531"/>
      <c r="FBO106" s="530"/>
      <c r="FBP106" s="531"/>
      <c r="FBQ106" s="530"/>
      <c r="FBR106" s="531"/>
      <c r="FBS106" s="530"/>
      <c r="FBT106" s="531"/>
      <c r="FBU106" s="530"/>
      <c r="FBV106" s="531"/>
      <c r="FBW106" s="530"/>
      <c r="FBX106" s="531"/>
      <c r="FBY106" s="530"/>
      <c r="FBZ106" s="531"/>
      <c r="FCA106" s="530"/>
      <c r="FCB106" s="531"/>
      <c r="FCC106" s="530"/>
      <c r="FCD106" s="531"/>
      <c r="FCE106" s="530"/>
      <c r="FCF106" s="531"/>
      <c r="FCG106" s="530"/>
      <c r="FCH106" s="531"/>
      <c r="FCI106" s="530"/>
      <c r="FCJ106" s="531"/>
      <c r="FCK106" s="530"/>
      <c r="FCL106" s="531"/>
      <c r="FCM106" s="530"/>
      <c r="FCN106" s="531"/>
      <c r="FCO106" s="530"/>
      <c r="FCP106" s="531"/>
      <c r="FCQ106" s="530"/>
      <c r="FCR106" s="531"/>
      <c r="FCS106" s="530"/>
      <c r="FCT106" s="531"/>
      <c r="FCU106" s="530"/>
      <c r="FCV106" s="531"/>
      <c r="FCW106" s="530"/>
      <c r="FCX106" s="531"/>
      <c r="FCY106" s="530"/>
      <c r="FCZ106" s="531"/>
      <c r="FDA106" s="530"/>
      <c r="FDB106" s="531"/>
      <c r="FDC106" s="530"/>
      <c r="FDD106" s="531"/>
      <c r="FDE106" s="530"/>
      <c r="FDF106" s="531"/>
      <c r="FDG106" s="530"/>
      <c r="FDH106" s="531"/>
      <c r="FDI106" s="530"/>
      <c r="FDJ106" s="531"/>
      <c r="FDK106" s="530"/>
      <c r="FDL106" s="531"/>
      <c r="FDM106" s="530"/>
      <c r="FDN106" s="531"/>
      <c r="FDO106" s="530"/>
      <c r="FDP106" s="531"/>
      <c r="FDQ106" s="530"/>
      <c r="FDR106" s="531"/>
      <c r="FDS106" s="530"/>
      <c r="FDT106" s="531"/>
      <c r="FDU106" s="530"/>
      <c r="FDV106" s="531"/>
      <c r="FDW106" s="530"/>
      <c r="FDX106" s="531"/>
      <c r="FDY106" s="530"/>
      <c r="FDZ106" s="531"/>
      <c r="FEA106" s="530"/>
      <c r="FEB106" s="531"/>
      <c r="FEC106" s="530"/>
      <c r="FED106" s="531"/>
      <c r="FEE106" s="530"/>
      <c r="FEF106" s="531"/>
      <c r="FEG106" s="530"/>
      <c r="FEH106" s="531"/>
      <c r="FEI106" s="530"/>
      <c r="FEJ106" s="531"/>
      <c r="FEK106" s="530"/>
      <c r="FEL106" s="531"/>
      <c r="FEM106" s="530"/>
      <c r="FEN106" s="531"/>
      <c r="FEO106" s="530"/>
      <c r="FEP106" s="531"/>
      <c r="FEQ106" s="530"/>
      <c r="FER106" s="531"/>
      <c r="FES106" s="530"/>
      <c r="FET106" s="531"/>
      <c r="FEU106" s="530"/>
      <c r="FEV106" s="531"/>
      <c r="FEW106" s="530"/>
      <c r="FEX106" s="531"/>
      <c r="FEY106" s="530"/>
      <c r="FEZ106" s="531"/>
      <c r="FFA106" s="530"/>
      <c r="FFB106" s="531"/>
      <c r="FFC106" s="530"/>
      <c r="FFD106" s="531"/>
      <c r="FFE106" s="530"/>
      <c r="FFF106" s="531"/>
      <c r="FFG106" s="530"/>
      <c r="FFH106" s="531"/>
      <c r="FFI106" s="530"/>
      <c r="FFJ106" s="531"/>
      <c r="FFK106" s="530"/>
      <c r="FFL106" s="531"/>
      <c r="FFM106" s="530"/>
      <c r="FFN106" s="531"/>
      <c r="FFO106" s="530"/>
      <c r="FFP106" s="531"/>
      <c r="FFQ106" s="530"/>
      <c r="FFR106" s="531"/>
      <c r="FFS106" s="530"/>
      <c r="FFT106" s="531"/>
      <c r="FFU106" s="530"/>
      <c r="FFV106" s="531"/>
      <c r="FFW106" s="530"/>
      <c r="FFX106" s="531"/>
      <c r="FFY106" s="530"/>
      <c r="FFZ106" s="531"/>
      <c r="FGA106" s="530"/>
      <c r="FGB106" s="531"/>
      <c r="FGC106" s="530"/>
      <c r="FGD106" s="531"/>
      <c r="FGE106" s="530"/>
      <c r="FGF106" s="531"/>
      <c r="FGG106" s="530"/>
      <c r="FGH106" s="531"/>
      <c r="FGI106" s="530"/>
      <c r="FGJ106" s="531"/>
      <c r="FGK106" s="530"/>
      <c r="FGL106" s="531"/>
      <c r="FGM106" s="530"/>
      <c r="FGN106" s="531"/>
      <c r="FGO106" s="530"/>
      <c r="FGP106" s="531"/>
      <c r="FGQ106" s="530"/>
      <c r="FGR106" s="531"/>
      <c r="FGS106" s="530"/>
      <c r="FGT106" s="531"/>
      <c r="FGU106" s="530"/>
      <c r="FGV106" s="531"/>
      <c r="FGW106" s="530"/>
      <c r="FGX106" s="531"/>
      <c r="FGY106" s="530"/>
      <c r="FGZ106" s="531"/>
      <c r="FHA106" s="530"/>
      <c r="FHB106" s="531"/>
      <c r="FHC106" s="530"/>
      <c r="FHD106" s="531"/>
      <c r="FHE106" s="530"/>
      <c r="FHF106" s="531"/>
      <c r="FHG106" s="530"/>
      <c r="FHH106" s="531"/>
      <c r="FHI106" s="530"/>
      <c r="FHJ106" s="531"/>
      <c r="FHK106" s="530"/>
      <c r="FHL106" s="531"/>
      <c r="FHM106" s="530"/>
      <c r="FHN106" s="531"/>
      <c r="FHO106" s="530"/>
      <c r="FHP106" s="531"/>
      <c r="FHQ106" s="530"/>
      <c r="FHR106" s="531"/>
      <c r="FHS106" s="530"/>
      <c r="FHT106" s="531"/>
      <c r="FHU106" s="530"/>
      <c r="FHV106" s="531"/>
      <c r="FHW106" s="530"/>
      <c r="FHX106" s="531"/>
      <c r="FHY106" s="530"/>
      <c r="FHZ106" s="531"/>
      <c r="FIA106" s="530"/>
      <c r="FIB106" s="531"/>
      <c r="FIC106" s="530"/>
      <c r="FID106" s="531"/>
      <c r="FIE106" s="530"/>
      <c r="FIF106" s="531"/>
      <c r="FIG106" s="530"/>
      <c r="FIH106" s="531"/>
      <c r="FII106" s="530"/>
      <c r="FIJ106" s="531"/>
      <c r="FIK106" s="530"/>
      <c r="FIL106" s="531"/>
      <c r="FIM106" s="530"/>
      <c r="FIN106" s="531"/>
      <c r="FIO106" s="530"/>
      <c r="FIP106" s="531"/>
      <c r="FIQ106" s="530"/>
      <c r="FIR106" s="531"/>
      <c r="FIS106" s="530"/>
      <c r="FIT106" s="531"/>
      <c r="FIU106" s="530"/>
      <c r="FIV106" s="531"/>
      <c r="FIW106" s="530"/>
      <c r="FIX106" s="531"/>
      <c r="FIY106" s="530"/>
      <c r="FIZ106" s="531"/>
      <c r="FJA106" s="530"/>
      <c r="FJB106" s="531"/>
      <c r="FJC106" s="530"/>
      <c r="FJD106" s="531"/>
      <c r="FJE106" s="530"/>
      <c r="FJF106" s="531"/>
      <c r="FJG106" s="530"/>
      <c r="FJH106" s="531"/>
      <c r="FJI106" s="530"/>
      <c r="FJJ106" s="531"/>
      <c r="FJK106" s="530"/>
      <c r="FJL106" s="531"/>
      <c r="FJM106" s="530"/>
      <c r="FJN106" s="531"/>
      <c r="FJO106" s="530"/>
      <c r="FJP106" s="531"/>
      <c r="FJQ106" s="530"/>
      <c r="FJR106" s="531"/>
      <c r="FJS106" s="530"/>
      <c r="FJT106" s="531"/>
      <c r="FJU106" s="530"/>
      <c r="FJV106" s="531"/>
      <c r="FJW106" s="530"/>
      <c r="FJX106" s="531"/>
      <c r="FJY106" s="530"/>
      <c r="FJZ106" s="531"/>
      <c r="FKA106" s="530"/>
      <c r="FKB106" s="531"/>
      <c r="FKC106" s="530"/>
      <c r="FKD106" s="531"/>
      <c r="FKE106" s="530"/>
      <c r="FKF106" s="531"/>
      <c r="FKG106" s="530"/>
      <c r="FKH106" s="531"/>
      <c r="FKI106" s="530"/>
      <c r="FKJ106" s="531"/>
      <c r="FKK106" s="530"/>
      <c r="FKL106" s="531"/>
      <c r="FKM106" s="530"/>
      <c r="FKN106" s="531"/>
      <c r="FKO106" s="530"/>
      <c r="FKP106" s="531"/>
      <c r="FKQ106" s="530"/>
      <c r="FKR106" s="531"/>
      <c r="FKS106" s="530"/>
      <c r="FKT106" s="531"/>
      <c r="FKU106" s="530"/>
      <c r="FKV106" s="531"/>
      <c r="FKW106" s="530"/>
      <c r="FKX106" s="531"/>
      <c r="FKY106" s="530"/>
      <c r="FKZ106" s="531"/>
      <c r="FLA106" s="530"/>
      <c r="FLB106" s="531"/>
      <c r="FLC106" s="530"/>
      <c r="FLD106" s="531"/>
      <c r="FLE106" s="530"/>
      <c r="FLF106" s="531"/>
      <c r="FLG106" s="530"/>
      <c r="FLH106" s="531"/>
      <c r="FLI106" s="530"/>
      <c r="FLJ106" s="531"/>
      <c r="FLK106" s="530"/>
      <c r="FLL106" s="531"/>
      <c r="FLM106" s="530"/>
      <c r="FLN106" s="531"/>
      <c r="FLO106" s="530"/>
      <c r="FLP106" s="531"/>
      <c r="FLQ106" s="530"/>
      <c r="FLR106" s="531"/>
      <c r="FLS106" s="530"/>
      <c r="FLT106" s="531"/>
      <c r="FLU106" s="530"/>
      <c r="FLV106" s="531"/>
      <c r="FLW106" s="530"/>
      <c r="FLX106" s="531"/>
      <c r="FLY106" s="530"/>
      <c r="FLZ106" s="531"/>
      <c r="FMA106" s="530"/>
      <c r="FMB106" s="531"/>
      <c r="FMC106" s="530"/>
      <c r="FMD106" s="531"/>
      <c r="FME106" s="530"/>
      <c r="FMF106" s="531"/>
      <c r="FMG106" s="530"/>
      <c r="FMH106" s="531"/>
      <c r="FMI106" s="530"/>
      <c r="FMJ106" s="531"/>
      <c r="FMK106" s="530"/>
      <c r="FML106" s="531"/>
      <c r="FMM106" s="530"/>
      <c r="FMN106" s="531"/>
      <c r="FMO106" s="530"/>
      <c r="FMP106" s="531"/>
      <c r="FMQ106" s="530"/>
      <c r="FMR106" s="531"/>
      <c r="FMS106" s="530"/>
      <c r="FMT106" s="531"/>
      <c r="FMU106" s="530"/>
      <c r="FMV106" s="531"/>
      <c r="FMW106" s="530"/>
      <c r="FMX106" s="531"/>
      <c r="FMY106" s="530"/>
      <c r="FMZ106" s="531"/>
      <c r="FNA106" s="530"/>
      <c r="FNB106" s="531"/>
      <c r="FNC106" s="530"/>
      <c r="FND106" s="531"/>
      <c r="FNE106" s="530"/>
      <c r="FNF106" s="531"/>
      <c r="FNG106" s="530"/>
      <c r="FNH106" s="531"/>
      <c r="FNI106" s="530"/>
      <c r="FNJ106" s="531"/>
      <c r="FNK106" s="530"/>
      <c r="FNL106" s="531"/>
      <c r="FNM106" s="530"/>
      <c r="FNN106" s="531"/>
      <c r="FNO106" s="530"/>
      <c r="FNP106" s="531"/>
      <c r="FNQ106" s="530"/>
      <c r="FNR106" s="531"/>
      <c r="FNS106" s="530"/>
      <c r="FNT106" s="531"/>
      <c r="FNU106" s="530"/>
      <c r="FNV106" s="531"/>
      <c r="FNW106" s="530"/>
      <c r="FNX106" s="531"/>
      <c r="FNY106" s="530"/>
      <c r="FNZ106" s="531"/>
      <c r="FOA106" s="530"/>
      <c r="FOB106" s="531"/>
      <c r="FOC106" s="530"/>
      <c r="FOD106" s="531"/>
      <c r="FOE106" s="530"/>
      <c r="FOF106" s="531"/>
      <c r="FOG106" s="530"/>
      <c r="FOH106" s="531"/>
      <c r="FOI106" s="530"/>
      <c r="FOJ106" s="531"/>
      <c r="FOK106" s="530"/>
      <c r="FOL106" s="531"/>
      <c r="FOM106" s="530"/>
      <c r="FON106" s="531"/>
      <c r="FOO106" s="530"/>
      <c r="FOP106" s="531"/>
      <c r="FOQ106" s="530"/>
      <c r="FOR106" s="531"/>
      <c r="FOS106" s="530"/>
      <c r="FOT106" s="531"/>
      <c r="FOU106" s="530"/>
      <c r="FOV106" s="531"/>
      <c r="FOW106" s="530"/>
      <c r="FOX106" s="531"/>
      <c r="FOY106" s="530"/>
      <c r="FOZ106" s="531"/>
      <c r="FPA106" s="530"/>
      <c r="FPB106" s="531"/>
      <c r="FPC106" s="530"/>
      <c r="FPD106" s="531"/>
      <c r="FPE106" s="530"/>
      <c r="FPF106" s="531"/>
      <c r="FPG106" s="530"/>
      <c r="FPH106" s="531"/>
      <c r="FPI106" s="530"/>
      <c r="FPJ106" s="531"/>
      <c r="FPK106" s="530"/>
      <c r="FPL106" s="531"/>
      <c r="FPM106" s="530"/>
      <c r="FPN106" s="531"/>
      <c r="FPO106" s="530"/>
      <c r="FPP106" s="531"/>
      <c r="FPQ106" s="530"/>
      <c r="FPR106" s="531"/>
      <c r="FPS106" s="530"/>
      <c r="FPT106" s="531"/>
      <c r="FPU106" s="530"/>
      <c r="FPV106" s="531"/>
      <c r="FPW106" s="530"/>
      <c r="FPX106" s="531"/>
      <c r="FPY106" s="530"/>
      <c r="FPZ106" s="531"/>
      <c r="FQA106" s="530"/>
      <c r="FQB106" s="531"/>
      <c r="FQC106" s="530"/>
      <c r="FQD106" s="531"/>
      <c r="FQE106" s="530"/>
      <c r="FQF106" s="531"/>
      <c r="FQG106" s="530"/>
      <c r="FQH106" s="531"/>
      <c r="FQI106" s="530"/>
      <c r="FQJ106" s="531"/>
      <c r="FQK106" s="530"/>
      <c r="FQL106" s="531"/>
      <c r="FQM106" s="530"/>
      <c r="FQN106" s="531"/>
      <c r="FQO106" s="530"/>
      <c r="FQP106" s="531"/>
      <c r="FQQ106" s="530"/>
      <c r="FQR106" s="531"/>
      <c r="FQS106" s="530"/>
      <c r="FQT106" s="531"/>
      <c r="FQU106" s="530"/>
      <c r="FQV106" s="531"/>
      <c r="FQW106" s="530"/>
      <c r="FQX106" s="531"/>
      <c r="FQY106" s="530"/>
      <c r="FQZ106" s="531"/>
      <c r="FRA106" s="530"/>
      <c r="FRB106" s="531"/>
      <c r="FRC106" s="530"/>
      <c r="FRD106" s="531"/>
      <c r="FRE106" s="530"/>
      <c r="FRF106" s="531"/>
      <c r="FRG106" s="530"/>
      <c r="FRH106" s="531"/>
      <c r="FRI106" s="530"/>
      <c r="FRJ106" s="531"/>
      <c r="FRK106" s="530"/>
      <c r="FRL106" s="531"/>
      <c r="FRM106" s="530"/>
      <c r="FRN106" s="531"/>
      <c r="FRO106" s="530"/>
      <c r="FRP106" s="531"/>
      <c r="FRQ106" s="530"/>
      <c r="FRR106" s="531"/>
      <c r="FRS106" s="530"/>
      <c r="FRT106" s="531"/>
      <c r="FRU106" s="530"/>
      <c r="FRV106" s="531"/>
      <c r="FRW106" s="530"/>
      <c r="FRX106" s="531"/>
      <c r="FRY106" s="530"/>
      <c r="FRZ106" s="531"/>
      <c r="FSA106" s="530"/>
      <c r="FSB106" s="531"/>
      <c r="FSC106" s="530"/>
      <c r="FSD106" s="531"/>
      <c r="FSE106" s="530"/>
      <c r="FSF106" s="531"/>
      <c r="FSG106" s="530"/>
      <c r="FSH106" s="531"/>
      <c r="FSI106" s="530"/>
      <c r="FSJ106" s="531"/>
      <c r="FSK106" s="530"/>
      <c r="FSL106" s="531"/>
      <c r="FSM106" s="530"/>
      <c r="FSN106" s="531"/>
      <c r="FSO106" s="530"/>
      <c r="FSP106" s="531"/>
      <c r="FSQ106" s="530"/>
      <c r="FSR106" s="531"/>
      <c r="FSS106" s="530"/>
      <c r="FST106" s="531"/>
      <c r="FSU106" s="530"/>
      <c r="FSV106" s="531"/>
      <c r="FSW106" s="530"/>
      <c r="FSX106" s="531"/>
      <c r="FSY106" s="530"/>
      <c r="FSZ106" s="531"/>
      <c r="FTA106" s="530"/>
      <c r="FTB106" s="531"/>
      <c r="FTC106" s="530"/>
      <c r="FTD106" s="531"/>
      <c r="FTE106" s="530"/>
      <c r="FTF106" s="531"/>
      <c r="FTG106" s="530"/>
      <c r="FTH106" s="531"/>
      <c r="FTI106" s="530"/>
      <c r="FTJ106" s="531"/>
      <c r="FTK106" s="530"/>
      <c r="FTL106" s="531"/>
      <c r="FTM106" s="530"/>
      <c r="FTN106" s="531"/>
      <c r="FTO106" s="530"/>
      <c r="FTP106" s="531"/>
      <c r="FTQ106" s="530"/>
      <c r="FTR106" s="531"/>
      <c r="FTS106" s="530"/>
      <c r="FTT106" s="531"/>
      <c r="FTU106" s="530"/>
      <c r="FTV106" s="531"/>
      <c r="FTW106" s="530"/>
      <c r="FTX106" s="531"/>
      <c r="FTY106" s="530"/>
      <c r="FTZ106" s="531"/>
      <c r="FUA106" s="530"/>
      <c r="FUB106" s="531"/>
      <c r="FUC106" s="530"/>
      <c r="FUD106" s="531"/>
      <c r="FUE106" s="530"/>
      <c r="FUF106" s="531"/>
      <c r="FUG106" s="530"/>
      <c r="FUH106" s="531"/>
      <c r="FUI106" s="530"/>
      <c r="FUJ106" s="531"/>
      <c r="FUK106" s="530"/>
      <c r="FUL106" s="531"/>
      <c r="FUM106" s="530"/>
      <c r="FUN106" s="531"/>
      <c r="FUO106" s="530"/>
      <c r="FUP106" s="531"/>
      <c r="FUQ106" s="530"/>
      <c r="FUR106" s="531"/>
      <c r="FUS106" s="530"/>
      <c r="FUT106" s="531"/>
      <c r="FUU106" s="530"/>
      <c r="FUV106" s="531"/>
      <c r="FUW106" s="530"/>
      <c r="FUX106" s="531"/>
      <c r="FUY106" s="530"/>
      <c r="FUZ106" s="531"/>
      <c r="FVA106" s="530"/>
      <c r="FVB106" s="531"/>
      <c r="FVC106" s="530"/>
      <c r="FVD106" s="531"/>
      <c r="FVE106" s="530"/>
      <c r="FVF106" s="531"/>
      <c r="FVG106" s="530"/>
      <c r="FVH106" s="531"/>
      <c r="FVI106" s="530"/>
      <c r="FVJ106" s="531"/>
      <c r="FVK106" s="530"/>
      <c r="FVL106" s="531"/>
      <c r="FVM106" s="530"/>
      <c r="FVN106" s="531"/>
      <c r="FVO106" s="530"/>
      <c r="FVP106" s="531"/>
      <c r="FVQ106" s="530"/>
      <c r="FVR106" s="531"/>
      <c r="FVS106" s="530"/>
      <c r="FVT106" s="531"/>
      <c r="FVU106" s="530"/>
      <c r="FVV106" s="531"/>
      <c r="FVW106" s="530"/>
      <c r="FVX106" s="531"/>
      <c r="FVY106" s="530"/>
      <c r="FVZ106" s="531"/>
      <c r="FWA106" s="530"/>
      <c r="FWB106" s="531"/>
      <c r="FWC106" s="530"/>
      <c r="FWD106" s="531"/>
      <c r="FWE106" s="530"/>
      <c r="FWF106" s="531"/>
      <c r="FWG106" s="530"/>
      <c r="FWH106" s="531"/>
      <c r="FWI106" s="530"/>
      <c r="FWJ106" s="531"/>
      <c r="FWK106" s="530"/>
      <c r="FWL106" s="531"/>
      <c r="FWM106" s="530"/>
      <c r="FWN106" s="531"/>
      <c r="FWO106" s="530"/>
      <c r="FWP106" s="531"/>
      <c r="FWQ106" s="530"/>
      <c r="FWR106" s="531"/>
      <c r="FWS106" s="530"/>
      <c r="FWT106" s="531"/>
      <c r="FWU106" s="530"/>
      <c r="FWV106" s="531"/>
      <c r="FWW106" s="530"/>
      <c r="FWX106" s="531"/>
      <c r="FWY106" s="530"/>
      <c r="FWZ106" s="531"/>
      <c r="FXA106" s="530"/>
      <c r="FXB106" s="531"/>
      <c r="FXC106" s="530"/>
      <c r="FXD106" s="531"/>
      <c r="FXE106" s="530"/>
      <c r="FXF106" s="531"/>
      <c r="FXG106" s="530"/>
      <c r="FXH106" s="531"/>
      <c r="FXI106" s="530"/>
      <c r="FXJ106" s="531"/>
      <c r="FXK106" s="530"/>
      <c r="FXL106" s="531"/>
      <c r="FXM106" s="530"/>
      <c r="FXN106" s="531"/>
      <c r="FXO106" s="530"/>
      <c r="FXP106" s="531"/>
      <c r="FXQ106" s="530"/>
      <c r="FXR106" s="531"/>
      <c r="FXS106" s="530"/>
      <c r="FXT106" s="531"/>
      <c r="FXU106" s="530"/>
      <c r="FXV106" s="531"/>
      <c r="FXW106" s="530"/>
      <c r="FXX106" s="531"/>
      <c r="FXY106" s="530"/>
      <c r="FXZ106" s="531"/>
      <c r="FYA106" s="530"/>
      <c r="FYB106" s="531"/>
      <c r="FYC106" s="530"/>
      <c r="FYD106" s="531"/>
      <c r="FYE106" s="530"/>
      <c r="FYF106" s="531"/>
      <c r="FYG106" s="530"/>
      <c r="FYH106" s="531"/>
      <c r="FYI106" s="530"/>
      <c r="FYJ106" s="531"/>
      <c r="FYK106" s="530"/>
      <c r="FYL106" s="531"/>
      <c r="FYM106" s="530"/>
      <c r="FYN106" s="531"/>
      <c r="FYO106" s="530"/>
      <c r="FYP106" s="531"/>
      <c r="FYQ106" s="530"/>
      <c r="FYR106" s="531"/>
      <c r="FYS106" s="530"/>
      <c r="FYT106" s="531"/>
      <c r="FYU106" s="530"/>
      <c r="FYV106" s="531"/>
      <c r="FYW106" s="530"/>
      <c r="FYX106" s="531"/>
      <c r="FYY106" s="530"/>
      <c r="FYZ106" s="531"/>
      <c r="FZA106" s="530"/>
      <c r="FZB106" s="531"/>
      <c r="FZC106" s="530"/>
      <c r="FZD106" s="531"/>
      <c r="FZE106" s="530"/>
      <c r="FZF106" s="531"/>
      <c r="FZG106" s="530"/>
      <c r="FZH106" s="531"/>
      <c r="FZI106" s="530"/>
      <c r="FZJ106" s="531"/>
      <c r="FZK106" s="530"/>
      <c r="FZL106" s="531"/>
      <c r="FZM106" s="530"/>
      <c r="FZN106" s="531"/>
      <c r="FZO106" s="530"/>
      <c r="FZP106" s="531"/>
      <c r="FZQ106" s="530"/>
      <c r="FZR106" s="531"/>
      <c r="FZS106" s="530"/>
      <c r="FZT106" s="531"/>
      <c r="FZU106" s="530"/>
      <c r="FZV106" s="531"/>
      <c r="FZW106" s="530"/>
      <c r="FZX106" s="531"/>
      <c r="FZY106" s="530"/>
      <c r="FZZ106" s="531"/>
      <c r="GAA106" s="530"/>
      <c r="GAB106" s="531"/>
      <c r="GAC106" s="530"/>
      <c r="GAD106" s="531"/>
      <c r="GAE106" s="530"/>
      <c r="GAF106" s="531"/>
      <c r="GAG106" s="530"/>
      <c r="GAH106" s="531"/>
      <c r="GAI106" s="530"/>
      <c r="GAJ106" s="531"/>
      <c r="GAK106" s="530"/>
      <c r="GAL106" s="531"/>
      <c r="GAM106" s="530"/>
      <c r="GAN106" s="531"/>
      <c r="GAO106" s="530"/>
      <c r="GAP106" s="531"/>
      <c r="GAQ106" s="530"/>
      <c r="GAR106" s="531"/>
      <c r="GAS106" s="530"/>
      <c r="GAT106" s="531"/>
      <c r="GAU106" s="530"/>
      <c r="GAV106" s="531"/>
      <c r="GAW106" s="530"/>
      <c r="GAX106" s="531"/>
      <c r="GAY106" s="530"/>
      <c r="GAZ106" s="531"/>
      <c r="GBA106" s="530"/>
      <c r="GBB106" s="531"/>
      <c r="GBC106" s="530"/>
      <c r="GBD106" s="531"/>
      <c r="GBE106" s="530"/>
      <c r="GBF106" s="531"/>
      <c r="GBG106" s="530"/>
      <c r="GBH106" s="531"/>
      <c r="GBI106" s="530"/>
      <c r="GBJ106" s="531"/>
      <c r="GBK106" s="530"/>
      <c r="GBL106" s="531"/>
      <c r="GBM106" s="530"/>
      <c r="GBN106" s="531"/>
      <c r="GBO106" s="530"/>
      <c r="GBP106" s="531"/>
      <c r="GBQ106" s="530"/>
      <c r="GBR106" s="531"/>
      <c r="GBS106" s="530"/>
      <c r="GBT106" s="531"/>
      <c r="GBU106" s="530"/>
      <c r="GBV106" s="531"/>
      <c r="GBW106" s="530"/>
      <c r="GBX106" s="531"/>
      <c r="GBY106" s="530"/>
      <c r="GBZ106" s="531"/>
      <c r="GCA106" s="530"/>
      <c r="GCB106" s="531"/>
      <c r="GCC106" s="530"/>
      <c r="GCD106" s="531"/>
      <c r="GCE106" s="530"/>
      <c r="GCF106" s="531"/>
      <c r="GCG106" s="530"/>
      <c r="GCH106" s="531"/>
      <c r="GCI106" s="530"/>
      <c r="GCJ106" s="531"/>
      <c r="GCK106" s="530"/>
      <c r="GCL106" s="531"/>
      <c r="GCM106" s="530"/>
      <c r="GCN106" s="531"/>
      <c r="GCO106" s="530"/>
      <c r="GCP106" s="531"/>
      <c r="GCQ106" s="530"/>
      <c r="GCR106" s="531"/>
      <c r="GCS106" s="530"/>
      <c r="GCT106" s="531"/>
      <c r="GCU106" s="530"/>
      <c r="GCV106" s="531"/>
      <c r="GCW106" s="530"/>
      <c r="GCX106" s="531"/>
      <c r="GCY106" s="530"/>
      <c r="GCZ106" s="531"/>
      <c r="GDA106" s="530"/>
      <c r="GDB106" s="531"/>
      <c r="GDC106" s="530"/>
      <c r="GDD106" s="531"/>
      <c r="GDE106" s="530"/>
      <c r="GDF106" s="531"/>
      <c r="GDG106" s="530"/>
      <c r="GDH106" s="531"/>
      <c r="GDI106" s="530"/>
      <c r="GDJ106" s="531"/>
      <c r="GDK106" s="530"/>
      <c r="GDL106" s="531"/>
      <c r="GDM106" s="530"/>
      <c r="GDN106" s="531"/>
      <c r="GDO106" s="530"/>
      <c r="GDP106" s="531"/>
      <c r="GDQ106" s="530"/>
      <c r="GDR106" s="531"/>
      <c r="GDS106" s="530"/>
      <c r="GDT106" s="531"/>
      <c r="GDU106" s="530"/>
      <c r="GDV106" s="531"/>
      <c r="GDW106" s="530"/>
      <c r="GDX106" s="531"/>
      <c r="GDY106" s="530"/>
      <c r="GDZ106" s="531"/>
      <c r="GEA106" s="530"/>
      <c r="GEB106" s="531"/>
      <c r="GEC106" s="530"/>
      <c r="GED106" s="531"/>
      <c r="GEE106" s="530"/>
      <c r="GEF106" s="531"/>
      <c r="GEG106" s="530"/>
      <c r="GEH106" s="531"/>
      <c r="GEI106" s="530"/>
      <c r="GEJ106" s="531"/>
      <c r="GEK106" s="530"/>
      <c r="GEL106" s="531"/>
      <c r="GEM106" s="530"/>
      <c r="GEN106" s="531"/>
      <c r="GEO106" s="530"/>
      <c r="GEP106" s="531"/>
      <c r="GEQ106" s="530"/>
      <c r="GER106" s="531"/>
      <c r="GES106" s="530"/>
      <c r="GET106" s="531"/>
      <c r="GEU106" s="530"/>
      <c r="GEV106" s="531"/>
      <c r="GEW106" s="530"/>
      <c r="GEX106" s="531"/>
      <c r="GEY106" s="530"/>
      <c r="GEZ106" s="531"/>
      <c r="GFA106" s="530"/>
      <c r="GFB106" s="531"/>
      <c r="GFC106" s="530"/>
      <c r="GFD106" s="531"/>
      <c r="GFE106" s="530"/>
      <c r="GFF106" s="531"/>
      <c r="GFG106" s="530"/>
      <c r="GFH106" s="531"/>
      <c r="GFI106" s="530"/>
      <c r="GFJ106" s="531"/>
      <c r="GFK106" s="530"/>
      <c r="GFL106" s="531"/>
      <c r="GFM106" s="530"/>
      <c r="GFN106" s="531"/>
      <c r="GFO106" s="530"/>
      <c r="GFP106" s="531"/>
      <c r="GFQ106" s="530"/>
      <c r="GFR106" s="531"/>
      <c r="GFS106" s="530"/>
      <c r="GFT106" s="531"/>
      <c r="GFU106" s="530"/>
      <c r="GFV106" s="531"/>
      <c r="GFW106" s="530"/>
      <c r="GFX106" s="531"/>
      <c r="GFY106" s="530"/>
      <c r="GFZ106" s="531"/>
      <c r="GGA106" s="530"/>
      <c r="GGB106" s="531"/>
      <c r="GGC106" s="530"/>
      <c r="GGD106" s="531"/>
      <c r="GGE106" s="530"/>
      <c r="GGF106" s="531"/>
      <c r="GGG106" s="530"/>
      <c r="GGH106" s="531"/>
      <c r="GGI106" s="530"/>
      <c r="GGJ106" s="531"/>
      <c r="GGK106" s="530"/>
      <c r="GGL106" s="531"/>
      <c r="GGM106" s="530"/>
      <c r="GGN106" s="531"/>
      <c r="GGO106" s="530"/>
      <c r="GGP106" s="531"/>
      <c r="GGQ106" s="530"/>
      <c r="GGR106" s="531"/>
      <c r="GGS106" s="530"/>
      <c r="GGT106" s="531"/>
      <c r="GGU106" s="530"/>
      <c r="GGV106" s="531"/>
      <c r="GGW106" s="530"/>
      <c r="GGX106" s="531"/>
      <c r="GGY106" s="530"/>
      <c r="GGZ106" s="531"/>
      <c r="GHA106" s="530"/>
      <c r="GHB106" s="531"/>
      <c r="GHC106" s="530"/>
      <c r="GHD106" s="531"/>
      <c r="GHE106" s="530"/>
      <c r="GHF106" s="531"/>
      <c r="GHG106" s="530"/>
      <c r="GHH106" s="531"/>
      <c r="GHI106" s="530"/>
      <c r="GHJ106" s="531"/>
      <c r="GHK106" s="530"/>
      <c r="GHL106" s="531"/>
      <c r="GHM106" s="530"/>
      <c r="GHN106" s="531"/>
      <c r="GHO106" s="530"/>
      <c r="GHP106" s="531"/>
      <c r="GHQ106" s="530"/>
      <c r="GHR106" s="531"/>
      <c r="GHS106" s="530"/>
      <c r="GHT106" s="531"/>
      <c r="GHU106" s="530"/>
      <c r="GHV106" s="531"/>
      <c r="GHW106" s="530"/>
      <c r="GHX106" s="531"/>
      <c r="GHY106" s="530"/>
      <c r="GHZ106" s="531"/>
      <c r="GIA106" s="530"/>
      <c r="GIB106" s="531"/>
      <c r="GIC106" s="530"/>
      <c r="GID106" s="531"/>
      <c r="GIE106" s="530"/>
      <c r="GIF106" s="531"/>
      <c r="GIG106" s="530"/>
      <c r="GIH106" s="531"/>
      <c r="GII106" s="530"/>
      <c r="GIJ106" s="531"/>
      <c r="GIK106" s="530"/>
      <c r="GIL106" s="531"/>
      <c r="GIM106" s="530"/>
      <c r="GIN106" s="531"/>
      <c r="GIO106" s="530"/>
      <c r="GIP106" s="531"/>
      <c r="GIQ106" s="530"/>
      <c r="GIR106" s="531"/>
      <c r="GIS106" s="530"/>
      <c r="GIT106" s="531"/>
      <c r="GIU106" s="530"/>
      <c r="GIV106" s="531"/>
      <c r="GIW106" s="530"/>
      <c r="GIX106" s="531"/>
      <c r="GIY106" s="530"/>
      <c r="GIZ106" s="531"/>
      <c r="GJA106" s="530"/>
      <c r="GJB106" s="531"/>
      <c r="GJC106" s="530"/>
      <c r="GJD106" s="531"/>
      <c r="GJE106" s="530"/>
      <c r="GJF106" s="531"/>
      <c r="GJG106" s="530"/>
      <c r="GJH106" s="531"/>
      <c r="GJI106" s="530"/>
      <c r="GJJ106" s="531"/>
      <c r="GJK106" s="530"/>
      <c r="GJL106" s="531"/>
      <c r="GJM106" s="530"/>
      <c r="GJN106" s="531"/>
      <c r="GJO106" s="530"/>
      <c r="GJP106" s="531"/>
      <c r="GJQ106" s="530"/>
      <c r="GJR106" s="531"/>
      <c r="GJS106" s="530"/>
      <c r="GJT106" s="531"/>
      <c r="GJU106" s="530"/>
      <c r="GJV106" s="531"/>
      <c r="GJW106" s="530"/>
      <c r="GJX106" s="531"/>
      <c r="GJY106" s="530"/>
      <c r="GJZ106" s="531"/>
      <c r="GKA106" s="530"/>
      <c r="GKB106" s="531"/>
      <c r="GKC106" s="530"/>
      <c r="GKD106" s="531"/>
      <c r="GKE106" s="530"/>
      <c r="GKF106" s="531"/>
      <c r="GKG106" s="530"/>
      <c r="GKH106" s="531"/>
      <c r="GKI106" s="530"/>
      <c r="GKJ106" s="531"/>
      <c r="GKK106" s="530"/>
      <c r="GKL106" s="531"/>
      <c r="GKM106" s="530"/>
      <c r="GKN106" s="531"/>
      <c r="GKO106" s="530"/>
      <c r="GKP106" s="531"/>
      <c r="GKQ106" s="530"/>
      <c r="GKR106" s="531"/>
      <c r="GKS106" s="530"/>
      <c r="GKT106" s="531"/>
      <c r="GKU106" s="530"/>
      <c r="GKV106" s="531"/>
      <c r="GKW106" s="530"/>
      <c r="GKX106" s="531"/>
      <c r="GKY106" s="530"/>
      <c r="GKZ106" s="531"/>
      <c r="GLA106" s="530"/>
      <c r="GLB106" s="531"/>
      <c r="GLC106" s="530"/>
      <c r="GLD106" s="531"/>
      <c r="GLE106" s="530"/>
      <c r="GLF106" s="531"/>
      <c r="GLG106" s="530"/>
      <c r="GLH106" s="531"/>
      <c r="GLI106" s="530"/>
      <c r="GLJ106" s="531"/>
      <c r="GLK106" s="530"/>
      <c r="GLL106" s="531"/>
      <c r="GLM106" s="530"/>
      <c r="GLN106" s="531"/>
      <c r="GLO106" s="530"/>
      <c r="GLP106" s="531"/>
      <c r="GLQ106" s="530"/>
      <c r="GLR106" s="531"/>
      <c r="GLS106" s="530"/>
      <c r="GLT106" s="531"/>
      <c r="GLU106" s="530"/>
      <c r="GLV106" s="531"/>
      <c r="GLW106" s="530"/>
      <c r="GLX106" s="531"/>
      <c r="GLY106" s="530"/>
      <c r="GLZ106" s="531"/>
      <c r="GMA106" s="530"/>
      <c r="GMB106" s="531"/>
      <c r="GMC106" s="530"/>
      <c r="GMD106" s="531"/>
      <c r="GME106" s="530"/>
      <c r="GMF106" s="531"/>
      <c r="GMG106" s="530"/>
      <c r="GMH106" s="531"/>
      <c r="GMI106" s="530"/>
      <c r="GMJ106" s="531"/>
      <c r="GMK106" s="530"/>
      <c r="GML106" s="531"/>
      <c r="GMM106" s="530"/>
      <c r="GMN106" s="531"/>
      <c r="GMO106" s="530"/>
      <c r="GMP106" s="531"/>
      <c r="GMQ106" s="530"/>
      <c r="GMR106" s="531"/>
      <c r="GMS106" s="530"/>
      <c r="GMT106" s="531"/>
      <c r="GMU106" s="530"/>
      <c r="GMV106" s="531"/>
      <c r="GMW106" s="530"/>
      <c r="GMX106" s="531"/>
      <c r="GMY106" s="530"/>
      <c r="GMZ106" s="531"/>
      <c r="GNA106" s="530"/>
      <c r="GNB106" s="531"/>
      <c r="GNC106" s="530"/>
      <c r="GND106" s="531"/>
      <c r="GNE106" s="530"/>
      <c r="GNF106" s="531"/>
      <c r="GNG106" s="530"/>
      <c r="GNH106" s="531"/>
      <c r="GNI106" s="530"/>
      <c r="GNJ106" s="531"/>
      <c r="GNK106" s="530"/>
      <c r="GNL106" s="531"/>
      <c r="GNM106" s="530"/>
      <c r="GNN106" s="531"/>
      <c r="GNO106" s="530"/>
      <c r="GNP106" s="531"/>
      <c r="GNQ106" s="530"/>
      <c r="GNR106" s="531"/>
      <c r="GNS106" s="530"/>
      <c r="GNT106" s="531"/>
      <c r="GNU106" s="530"/>
      <c r="GNV106" s="531"/>
      <c r="GNW106" s="530"/>
      <c r="GNX106" s="531"/>
      <c r="GNY106" s="530"/>
      <c r="GNZ106" s="531"/>
      <c r="GOA106" s="530"/>
      <c r="GOB106" s="531"/>
      <c r="GOC106" s="530"/>
      <c r="GOD106" s="531"/>
      <c r="GOE106" s="530"/>
      <c r="GOF106" s="531"/>
      <c r="GOG106" s="530"/>
      <c r="GOH106" s="531"/>
      <c r="GOI106" s="530"/>
      <c r="GOJ106" s="531"/>
      <c r="GOK106" s="530"/>
      <c r="GOL106" s="531"/>
      <c r="GOM106" s="530"/>
      <c r="GON106" s="531"/>
      <c r="GOO106" s="530"/>
      <c r="GOP106" s="531"/>
      <c r="GOQ106" s="530"/>
      <c r="GOR106" s="531"/>
      <c r="GOS106" s="530"/>
      <c r="GOT106" s="531"/>
      <c r="GOU106" s="530"/>
      <c r="GOV106" s="531"/>
      <c r="GOW106" s="530"/>
      <c r="GOX106" s="531"/>
      <c r="GOY106" s="530"/>
      <c r="GOZ106" s="531"/>
      <c r="GPA106" s="530"/>
      <c r="GPB106" s="531"/>
      <c r="GPC106" s="530"/>
      <c r="GPD106" s="531"/>
      <c r="GPE106" s="530"/>
      <c r="GPF106" s="531"/>
      <c r="GPG106" s="530"/>
      <c r="GPH106" s="531"/>
      <c r="GPI106" s="530"/>
      <c r="GPJ106" s="531"/>
      <c r="GPK106" s="530"/>
      <c r="GPL106" s="531"/>
      <c r="GPM106" s="530"/>
      <c r="GPN106" s="531"/>
      <c r="GPO106" s="530"/>
      <c r="GPP106" s="531"/>
      <c r="GPQ106" s="530"/>
      <c r="GPR106" s="531"/>
      <c r="GPS106" s="530"/>
      <c r="GPT106" s="531"/>
      <c r="GPU106" s="530"/>
      <c r="GPV106" s="531"/>
      <c r="GPW106" s="530"/>
      <c r="GPX106" s="531"/>
      <c r="GPY106" s="530"/>
      <c r="GPZ106" s="531"/>
      <c r="GQA106" s="530"/>
      <c r="GQB106" s="531"/>
      <c r="GQC106" s="530"/>
      <c r="GQD106" s="531"/>
      <c r="GQE106" s="530"/>
      <c r="GQF106" s="531"/>
      <c r="GQG106" s="530"/>
      <c r="GQH106" s="531"/>
      <c r="GQI106" s="530"/>
      <c r="GQJ106" s="531"/>
      <c r="GQK106" s="530"/>
      <c r="GQL106" s="531"/>
      <c r="GQM106" s="530"/>
      <c r="GQN106" s="531"/>
      <c r="GQO106" s="530"/>
      <c r="GQP106" s="531"/>
      <c r="GQQ106" s="530"/>
      <c r="GQR106" s="531"/>
      <c r="GQS106" s="530"/>
      <c r="GQT106" s="531"/>
      <c r="GQU106" s="530"/>
      <c r="GQV106" s="531"/>
      <c r="GQW106" s="530"/>
      <c r="GQX106" s="531"/>
      <c r="GQY106" s="530"/>
      <c r="GQZ106" s="531"/>
      <c r="GRA106" s="530"/>
      <c r="GRB106" s="531"/>
      <c r="GRC106" s="530"/>
      <c r="GRD106" s="531"/>
      <c r="GRE106" s="530"/>
      <c r="GRF106" s="531"/>
      <c r="GRG106" s="530"/>
      <c r="GRH106" s="531"/>
      <c r="GRI106" s="530"/>
      <c r="GRJ106" s="531"/>
      <c r="GRK106" s="530"/>
      <c r="GRL106" s="531"/>
      <c r="GRM106" s="530"/>
      <c r="GRN106" s="531"/>
      <c r="GRO106" s="530"/>
      <c r="GRP106" s="531"/>
      <c r="GRQ106" s="530"/>
      <c r="GRR106" s="531"/>
      <c r="GRS106" s="530"/>
      <c r="GRT106" s="531"/>
      <c r="GRU106" s="530"/>
      <c r="GRV106" s="531"/>
      <c r="GRW106" s="530"/>
      <c r="GRX106" s="531"/>
      <c r="GRY106" s="530"/>
      <c r="GRZ106" s="531"/>
      <c r="GSA106" s="530"/>
      <c r="GSB106" s="531"/>
      <c r="GSC106" s="530"/>
      <c r="GSD106" s="531"/>
      <c r="GSE106" s="530"/>
      <c r="GSF106" s="531"/>
      <c r="GSG106" s="530"/>
      <c r="GSH106" s="531"/>
      <c r="GSI106" s="530"/>
      <c r="GSJ106" s="531"/>
      <c r="GSK106" s="530"/>
      <c r="GSL106" s="531"/>
      <c r="GSM106" s="530"/>
      <c r="GSN106" s="531"/>
      <c r="GSO106" s="530"/>
      <c r="GSP106" s="531"/>
      <c r="GSQ106" s="530"/>
      <c r="GSR106" s="531"/>
      <c r="GSS106" s="530"/>
      <c r="GST106" s="531"/>
      <c r="GSU106" s="530"/>
      <c r="GSV106" s="531"/>
      <c r="GSW106" s="530"/>
      <c r="GSX106" s="531"/>
      <c r="GSY106" s="530"/>
      <c r="GSZ106" s="531"/>
      <c r="GTA106" s="530"/>
      <c r="GTB106" s="531"/>
      <c r="GTC106" s="530"/>
      <c r="GTD106" s="531"/>
      <c r="GTE106" s="530"/>
      <c r="GTF106" s="531"/>
      <c r="GTG106" s="530"/>
      <c r="GTH106" s="531"/>
      <c r="GTI106" s="530"/>
      <c r="GTJ106" s="531"/>
      <c r="GTK106" s="530"/>
      <c r="GTL106" s="531"/>
      <c r="GTM106" s="530"/>
      <c r="GTN106" s="531"/>
      <c r="GTO106" s="530"/>
      <c r="GTP106" s="531"/>
      <c r="GTQ106" s="530"/>
      <c r="GTR106" s="531"/>
      <c r="GTS106" s="530"/>
      <c r="GTT106" s="531"/>
      <c r="GTU106" s="530"/>
      <c r="GTV106" s="531"/>
      <c r="GTW106" s="530"/>
      <c r="GTX106" s="531"/>
      <c r="GTY106" s="530"/>
      <c r="GTZ106" s="531"/>
      <c r="GUA106" s="530"/>
      <c r="GUB106" s="531"/>
      <c r="GUC106" s="530"/>
      <c r="GUD106" s="531"/>
      <c r="GUE106" s="530"/>
      <c r="GUF106" s="531"/>
      <c r="GUG106" s="530"/>
      <c r="GUH106" s="531"/>
      <c r="GUI106" s="530"/>
      <c r="GUJ106" s="531"/>
      <c r="GUK106" s="530"/>
      <c r="GUL106" s="531"/>
      <c r="GUM106" s="530"/>
      <c r="GUN106" s="531"/>
      <c r="GUO106" s="530"/>
      <c r="GUP106" s="531"/>
      <c r="GUQ106" s="530"/>
      <c r="GUR106" s="531"/>
      <c r="GUS106" s="530"/>
      <c r="GUT106" s="531"/>
      <c r="GUU106" s="530"/>
      <c r="GUV106" s="531"/>
      <c r="GUW106" s="530"/>
      <c r="GUX106" s="531"/>
      <c r="GUY106" s="530"/>
      <c r="GUZ106" s="531"/>
      <c r="GVA106" s="530"/>
      <c r="GVB106" s="531"/>
      <c r="GVC106" s="530"/>
      <c r="GVD106" s="531"/>
      <c r="GVE106" s="530"/>
      <c r="GVF106" s="531"/>
      <c r="GVG106" s="530"/>
      <c r="GVH106" s="531"/>
      <c r="GVI106" s="530"/>
      <c r="GVJ106" s="531"/>
      <c r="GVK106" s="530"/>
      <c r="GVL106" s="531"/>
      <c r="GVM106" s="530"/>
      <c r="GVN106" s="531"/>
      <c r="GVO106" s="530"/>
      <c r="GVP106" s="531"/>
      <c r="GVQ106" s="530"/>
      <c r="GVR106" s="531"/>
      <c r="GVS106" s="530"/>
      <c r="GVT106" s="531"/>
      <c r="GVU106" s="530"/>
      <c r="GVV106" s="531"/>
      <c r="GVW106" s="530"/>
      <c r="GVX106" s="531"/>
      <c r="GVY106" s="530"/>
      <c r="GVZ106" s="531"/>
      <c r="GWA106" s="530"/>
      <c r="GWB106" s="531"/>
      <c r="GWC106" s="530"/>
      <c r="GWD106" s="531"/>
      <c r="GWE106" s="530"/>
      <c r="GWF106" s="531"/>
      <c r="GWG106" s="530"/>
      <c r="GWH106" s="531"/>
      <c r="GWI106" s="530"/>
      <c r="GWJ106" s="531"/>
      <c r="GWK106" s="530"/>
      <c r="GWL106" s="531"/>
      <c r="GWM106" s="530"/>
      <c r="GWN106" s="531"/>
      <c r="GWO106" s="530"/>
      <c r="GWP106" s="531"/>
      <c r="GWQ106" s="530"/>
      <c r="GWR106" s="531"/>
      <c r="GWS106" s="530"/>
      <c r="GWT106" s="531"/>
      <c r="GWU106" s="530"/>
      <c r="GWV106" s="531"/>
      <c r="GWW106" s="530"/>
      <c r="GWX106" s="531"/>
      <c r="GWY106" s="530"/>
      <c r="GWZ106" s="531"/>
      <c r="GXA106" s="530"/>
      <c r="GXB106" s="531"/>
      <c r="GXC106" s="530"/>
      <c r="GXD106" s="531"/>
      <c r="GXE106" s="530"/>
      <c r="GXF106" s="531"/>
      <c r="GXG106" s="530"/>
      <c r="GXH106" s="531"/>
      <c r="GXI106" s="530"/>
      <c r="GXJ106" s="531"/>
      <c r="GXK106" s="530"/>
      <c r="GXL106" s="531"/>
      <c r="GXM106" s="530"/>
      <c r="GXN106" s="531"/>
      <c r="GXO106" s="530"/>
      <c r="GXP106" s="531"/>
      <c r="GXQ106" s="530"/>
      <c r="GXR106" s="531"/>
      <c r="GXS106" s="530"/>
      <c r="GXT106" s="531"/>
      <c r="GXU106" s="530"/>
      <c r="GXV106" s="531"/>
      <c r="GXW106" s="530"/>
      <c r="GXX106" s="531"/>
      <c r="GXY106" s="530"/>
      <c r="GXZ106" s="531"/>
      <c r="GYA106" s="530"/>
      <c r="GYB106" s="531"/>
      <c r="GYC106" s="530"/>
      <c r="GYD106" s="531"/>
      <c r="GYE106" s="530"/>
      <c r="GYF106" s="531"/>
      <c r="GYG106" s="530"/>
      <c r="GYH106" s="531"/>
      <c r="GYI106" s="530"/>
      <c r="GYJ106" s="531"/>
      <c r="GYK106" s="530"/>
      <c r="GYL106" s="531"/>
      <c r="GYM106" s="530"/>
      <c r="GYN106" s="531"/>
      <c r="GYO106" s="530"/>
      <c r="GYP106" s="531"/>
      <c r="GYQ106" s="530"/>
      <c r="GYR106" s="531"/>
      <c r="GYS106" s="530"/>
      <c r="GYT106" s="531"/>
      <c r="GYU106" s="530"/>
      <c r="GYV106" s="531"/>
      <c r="GYW106" s="530"/>
      <c r="GYX106" s="531"/>
      <c r="GYY106" s="530"/>
      <c r="GYZ106" s="531"/>
      <c r="GZA106" s="530"/>
      <c r="GZB106" s="531"/>
      <c r="GZC106" s="530"/>
      <c r="GZD106" s="531"/>
      <c r="GZE106" s="530"/>
      <c r="GZF106" s="531"/>
      <c r="GZG106" s="530"/>
      <c r="GZH106" s="531"/>
      <c r="GZI106" s="530"/>
      <c r="GZJ106" s="531"/>
      <c r="GZK106" s="530"/>
      <c r="GZL106" s="531"/>
      <c r="GZM106" s="530"/>
      <c r="GZN106" s="531"/>
      <c r="GZO106" s="530"/>
      <c r="GZP106" s="531"/>
      <c r="GZQ106" s="530"/>
      <c r="GZR106" s="531"/>
      <c r="GZS106" s="530"/>
      <c r="GZT106" s="531"/>
      <c r="GZU106" s="530"/>
      <c r="GZV106" s="531"/>
      <c r="GZW106" s="530"/>
      <c r="GZX106" s="531"/>
      <c r="GZY106" s="530"/>
      <c r="GZZ106" s="531"/>
      <c r="HAA106" s="530"/>
      <c r="HAB106" s="531"/>
      <c r="HAC106" s="530"/>
      <c r="HAD106" s="531"/>
      <c r="HAE106" s="530"/>
      <c r="HAF106" s="531"/>
      <c r="HAG106" s="530"/>
      <c r="HAH106" s="531"/>
      <c r="HAI106" s="530"/>
      <c r="HAJ106" s="531"/>
      <c r="HAK106" s="530"/>
      <c r="HAL106" s="531"/>
      <c r="HAM106" s="530"/>
      <c r="HAN106" s="531"/>
      <c r="HAO106" s="530"/>
      <c r="HAP106" s="531"/>
      <c r="HAQ106" s="530"/>
      <c r="HAR106" s="531"/>
      <c r="HAS106" s="530"/>
      <c r="HAT106" s="531"/>
      <c r="HAU106" s="530"/>
      <c r="HAV106" s="531"/>
      <c r="HAW106" s="530"/>
      <c r="HAX106" s="531"/>
      <c r="HAY106" s="530"/>
      <c r="HAZ106" s="531"/>
      <c r="HBA106" s="530"/>
      <c r="HBB106" s="531"/>
      <c r="HBC106" s="530"/>
      <c r="HBD106" s="531"/>
      <c r="HBE106" s="530"/>
      <c r="HBF106" s="531"/>
      <c r="HBG106" s="530"/>
      <c r="HBH106" s="531"/>
      <c r="HBI106" s="530"/>
      <c r="HBJ106" s="531"/>
      <c r="HBK106" s="530"/>
      <c r="HBL106" s="531"/>
      <c r="HBM106" s="530"/>
      <c r="HBN106" s="531"/>
      <c r="HBO106" s="530"/>
      <c r="HBP106" s="531"/>
      <c r="HBQ106" s="530"/>
      <c r="HBR106" s="531"/>
      <c r="HBS106" s="530"/>
      <c r="HBT106" s="531"/>
      <c r="HBU106" s="530"/>
      <c r="HBV106" s="531"/>
      <c r="HBW106" s="530"/>
      <c r="HBX106" s="531"/>
      <c r="HBY106" s="530"/>
      <c r="HBZ106" s="531"/>
      <c r="HCA106" s="530"/>
      <c r="HCB106" s="531"/>
      <c r="HCC106" s="530"/>
      <c r="HCD106" s="531"/>
      <c r="HCE106" s="530"/>
      <c r="HCF106" s="531"/>
      <c r="HCG106" s="530"/>
      <c r="HCH106" s="531"/>
      <c r="HCI106" s="530"/>
      <c r="HCJ106" s="531"/>
      <c r="HCK106" s="530"/>
      <c r="HCL106" s="531"/>
      <c r="HCM106" s="530"/>
      <c r="HCN106" s="531"/>
      <c r="HCO106" s="530"/>
      <c r="HCP106" s="531"/>
      <c r="HCQ106" s="530"/>
      <c r="HCR106" s="531"/>
      <c r="HCS106" s="530"/>
      <c r="HCT106" s="531"/>
      <c r="HCU106" s="530"/>
      <c r="HCV106" s="531"/>
      <c r="HCW106" s="530"/>
      <c r="HCX106" s="531"/>
      <c r="HCY106" s="530"/>
      <c r="HCZ106" s="531"/>
      <c r="HDA106" s="530"/>
      <c r="HDB106" s="531"/>
      <c r="HDC106" s="530"/>
      <c r="HDD106" s="531"/>
      <c r="HDE106" s="530"/>
      <c r="HDF106" s="531"/>
      <c r="HDG106" s="530"/>
      <c r="HDH106" s="531"/>
      <c r="HDI106" s="530"/>
      <c r="HDJ106" s="531"/>
      <c r="HDK106" s="530"/>
      <c r="HDL106" s="531"/>
      <c r="HDM106" s="530"/>
      <c r="HDN106" s="531"/>
      <c r="HDO106" s="530"/>
      <c r="HDP106" s="531"/>
      <c r="HDQ106" s="530"/>
      <c r="HDR106" s="531"/>
      <c r="HDS106" s="530"/>
      <c r="HDT106" s="531"/>
      <c r="HDU106" s="530"/>
      <c r="HDV106" s="531"/>
      <c r="HDW106" s="530"/>
      <c r="HDX106" s="531"/>
      <c r="HDY106" s="530"/>
      <c r="HDZ106" s="531"/>
      <c r="HEA106" s="530"/>
      <c r="HEB106" s="531"/>
      <c r="HEC106" s="530"/>
      <c r="HED106" s="531"/>
      <c r="HEE106" s="530"/>
      <c r="HEF106" s="531"/>
      <c r="HEG106" s="530"/>
      <c r="HEH106" s="531"/>
      <c r="HEI106" s="530"/>
      <c r="HEJ106" s="531"/>
      <c r="HEK106" s="530"/>
      <c r="HEL106" s="531"/>
      <c r="HEM106" s="530"/>
      <c r="HEN106" s="531"/>
      <c r="HEO106" s="530"/>
      <c r="HEP106" s="531"/>
      <c r="HEQ106" s="530"/>
      <c r="HER106" s="531"/>
      <c r="HES106" s="530"/>
      <c r="HET106" s="531"/>
      <c r="HEU106" s="530"/>
      <c r="HEV106" s="531"/>
      <c r="HEW106" s="530"/>
      <c r="HEX106" s="531"/>
      <c r="HEY106" s="530"/>
      <c r="HEZ106" s="531"/>
      <c r="HFA106" s="530"/>
      <c r="HFB106" s="531"/>
      <c r="HFC106" s="530"/>
      <c r="HFD106" s="531"/>
      <c r="HFE106" s="530"/>
      <c r="HFF106" s="531"/>
      <c r="HFG106" s="530"/>
      <c r="HFH106" s="531"/>
      <c r="HFI106" s="530"/>
      <c r="HFJ106" s="531"/>
      <c r="HFK106" s="530"/>
      <c r="HFL106" s="531"/>
      <c r="HFM106" s="530"/>
      <c r="HFN106" s="531"/>
      <c r="HFO106" s="530"/>
      <c r="HFP106" s="531"/>
      <c r="HFQ106" s="530"/>
      <c r="HFR106" s="531"/>
      <c r="HFS106" s="530"/>
      <c r="HFT106" s="531"/>
      <c r="HFU106" s="530"/>
      <c r="HFV106" s="531"/>
      <c r="HFW106" s="530"/>
      <c r="HFX106" s="531"/>
      <c r="HFY106" s="530"/>
      <c r="HFZ106" s="531"/>
      <c r="HGA106" s="530"/>
      <c r="HGB106" s="531"/>
      <c r="HGC106" s="530"/>
      <c r="HGD106" s="531"/>
      <c r="HGE106" s="530"/>
      <c r="HGF106" s="531"/>
      <c r="HGG106" s="530"/>
      <c r="HGH106" s="531"/>
      <c r="HGI106" s="530"/>
      <c r="HGJ106" s="531"/>
      <c r="HGK106" s="530"/>
      <c r="HGL106" s="531"/>
      <c r="HGM106" s="530"/>
      <c r="HGN106" s="531"/>
      <c r="HGO106" s="530"/>
      <c r="HGP106" s="531"/>
      <c r="HGQ106" s="530"/>
      <c r="HGR106" s="531"/>
      <c r="HGS106" s="530"/>
      <c r="HGT106" s="531"/>
      <c r="HGU106" s="530"/>
      <c r="HGV106" s="531"/>
      <c r="HGW106" s="530"/>
      <c r="HGX106" s="531"/>
      <c r="HGY106" s="530"/>
      <c r="HGZ106" s="531"/>
      <c r="HHA106" s="530"/>
      <c r="HHB106" s="531"/>
      <c r="HHC106" s="530"/>
      <c r="HHD106" s="531"/>
      <c r="HHE106" s="530"/>
      <c r="HHF106" s="531"/>
      <c r="HHG106" s="530"/>
      <c r="HHH106" s="531"/>
      <c r="HHI106" s="530"/>
      <c r="HHJ106" s="531"/>
      <c r="HHK106" s="530"/>
      <c r="HHL106" s="531"/>
      <c r="HHM106" s="530"/>
      <c r="HHN106" s="531"/>
      <c r="HHO106" s="530"/>
      <c r="HHP106" s="531"/>
      <c r="HHQ106" s="530"/>
      <c r="HHR106" s="531"/>
      <c r="HHS106" s="530"/>
      <c r="HHT106" s="531"/>
      <c r="HHU106" s="530"/>
      <c r="HHV106" s="531"/>
      <c r="HHW106" s="530"/>
      <c r="HHX106" s="531"/>
      <c r="HHY106" s="530"/>
      <c r="HHZ106" s="531"/>
      <c r="HIA106" s="530"/>
      <c r="HIB106" s="531"/>
      <c r="HIC106" s="530"/>
      <c r="HID106" s="531"/>
      <c r="HIE106" s="530"/>
      <c r="HIF106" s="531"/>
      <c r="HIG106" s="530"/>
      <c r="HIH106" s="531"/>
      <c r="HII106" s="530"/>
      <c r="HIJ106" s="531"/>
      <c r="HIK106" s="530"/>
      <c r="HIL106" s="531"/>
      <c r="HIM106" s="530"/>
      <c r="HIN106" s="531"/>
      <c r="HIO106" s="530"/>
      <c r="HIP106" s="531"/>
      <c r="HIQ106" s="530"/>
      <c r="HIR106" s="531"/>
      <c r="HIS106" s="530"/>
      <c r="HIT106" s="531"/>
      <c r="HIU106" s="530"/>
      <c r="HIV106" s="531"/>
      <c r="HIW106" s="530"/>
      <c r="HIX106" s="531"/>
      <c r="HIY106" s="530"/>
      <c r="HIZ106" s="531"/>
      <c r="HJA106" s="530"/>
      <c r="HJB106" s="531"/>
      <c r="HJC106" s="530"/>
      <c r="HJD106" s="531"/>
      <c r="HJE106" s="530"/>
      <c r="HJF106" s="531"/>
      <c r="HJG106" s="530"/>
      <c r="HJH106" s="531"/>
      <c r="HJI106" s="530"/>
      <c r="HJJ106" s="531"/>
      <c r="HJK106" s="530"/>
      <c r="HJL106" s="531"/>
      <c r="HJM106" s="530"/>
      <c r="HJN106" s="531"/>
      <c r="HJO106" s="530"/>
      <c r="HJP106" s="531"/>
      <c r="HJQ106" s="530"/>
      <c r="HJR106" s="531"/>
      <c r="HJS106" s="530"/>
      <c r="HJT106" s="531"/>
      <c r="HJU106" s="530"/>
      <c r="HJV106" s="531"/>
      <c r="HJW106" s="530"/>
      <c r="HJX106" s="531"/>
      <c r="HJY106" s="530"/>
      <c r="HJZ106" s="531"/>
      <c r="HKA106" s="530"/>
      <c r="HKB106" s="531"/>
      <c r="HKC106" s="530"/>
      <c r="HKD106" s="531"/>
      <c r="HKE106" s="530"/>
      <c r="HKF106" s="531"/>
      <c r="HKG106" s="530"/>
      <c r="HKH106" s="531"/>
      <c r="HKI106" s="530"/>
      <c r="HKJ106" s="531"/>
      <c r="HKK106" s="530"/>
      <c r="HKL106" s="531"/>
      <c r="HKM106" s="530"/>
      <c r="HKN106" s="531"/>
      <c r="HKO106" s="530"/>
      <c r="HKP106" s="531"/>
      <c r="HKQ106" s="530"/>
      <c r="HKR106" s="531"/>
      <c r="HKS106" s="530"/>
      <c r="HKT106" s="531"/>
      <c r="HKU106" s="530"/>
      <c r="HKV106" s="531"/>
      <c r="HKW106" s="530"/>
      <c r="HKX106" s="531"/>
      <c r="HKY106" s="530"/>
      <c r="HKZ106" s="531"/>
      <c r="HLA106" s="530"/>
      <c r="HLB106" s="531"/>
      <c r="HLC106" s="530"/>
      <c r="HLD106" s="531"/>
      <c r="HLE106" s="530"/>
      <c r="HLF106" s="531"/>
      <c r="HLG106" s="530"/>
      <c r="HLH106" s="531"/>
      <c r="HLI106" s="530"/>
      <c r="HLJ106" s="531"/>
      <c r="HLK106" s="530"/>
      <c r="HLL106" s="531"/>
      <c r="HLM106" s="530"/>
      <c r="HLN106" s="531"/>
      <c r="HLO106" s="530"/>
      <c r="HLP106" s="531"/>
      <c r="HLQ106" s="530"/>
      <c r="HLR106" s="531"/>
      <c r="HLS106" s="530"/>
      <c r="HLT106" s="531"/>
      <c r="HLU106" s="530"/>
      <c r="HLV106" s="531"/>
      <c r="HLW106" s="530"/>
      <c r="HLX106" s="531"/>
      <c r="HLY106" s="530"/>
      <c r="HLZ106" s="531"/>
      <c r="HMA106" s="530"/>
      <c r="HMB106" s="531"/>
      <c r="HMC106" s="530"/>
      <c r="HMD106" s="531"/>
      <c r="HME106" s="530"/>
      <c r="HMF106" s="531"/>
      <c r="HMG106" s="530"/>
      <c r="HMH106" s="531"/>
      <c r="HMI106" s="530"/>
      <c r="HMJ106" s="531"/>
      <c r="HMK106" s="530"/>
      <c r="HML106" s="531"/>
      <c r="HMM106" s="530"/>
      <c r="HMN106" s="531"/>
      <c r="HMO106" s="530"/>
      <c r="HMP106" s="531"/>
      <c r="HMQ106" s="530"/>
      <c r="HMR106" s="531"/>
      <c r="HMS106" s="530"/>
      <c r="HMT106" s="531"/>
      <c r="HMU106" s="530"/>
      <c r="HMV106" s="531"/>
      <c r="HMW106" s="530"/>
      <c r="HMX106" s="531"/>
      <c r="HMY106" s="530"/>
      <c r="HMZ106" s="531"/>
      <c r="HNA106" s="530"/>
      <c r="HNB106" s="531"/>
      <c r="HNC106" s="530"/>
      <c r="HND106" s="531"/>
      <c r="HNE106" s="530"/>
      <c r="HNF106" s="531"/>
      <c r="HNG106" s="530"/>
      <c r="HNH106" s="531"/>
      <c r="HNI106" s="530"/>
      <c r="HNJ106" s="531"/>
      <c r="HNK106" s="530"/>
      <c r="HNL106" s="531"/>
      <c r="HNM106" s="530"/>
      <c r="HNN106" s="531"/>
      <c r="HNO106" s="530"/>
      <c r="HNP106" s="531"/>
      <c r="HNQ106" s="530"/>
      <c r="HNR106" s="531"/>
      <c r="HNS106" s="530"/>
      <c r="HNT106" s="531"/>
      <c r="HNU106" s="530"/>
      <c r="HNV106" s="531"/>
      <c r="HNW106" s="530"/>
      <c r="HNX106" s="531"/>
      <c r="HNY106" s="530"/>
      <c r="HNZ106" s="531"/>
      <c r="HOA106" s="530"/>
      <c r="HOB106" s="531"/>
      <c r="HOC106" s="530"/>
      <c r="HOD106" s="531"/>
      <c r="HOE106" s="530"/>
      <c r="HOF106" s="531"/>
      <c r="HOG106" s="530"/>
      <c r="HOH106" s="531"/>
      <c r="HOI106" s="530"/>
      <c r="HOJ106" s="531"/>
      <c r="HOK106" s="530"/>
      <c r="HOL106" s="531"/>
      <c r="HOM106" s="530"/>
      <c r="HON106" s="531"/>
      <c r="HOO106" s="530"/>
      <c r="HOP106" s="531"/>
      <c r="HOQ106" s="530"/>
      <c r="HOR106" s="531"/>
      <c r="HOS106" s="530"/>
      <c r="HOT106" s="531"/>
      <c r="HOU106" s="530"/>
      <c r="HOV106" s="531"/>
      <c r="HOW106" s="530"/>
      <c r="HOX106" s="531"/>
      <c r="HOY106" s="530"/>
      <c r="HOZ106" s="531"/>
      <c r="HPA106" s="530"/>
      <c r="HPB106" s="531"/>
      <c r="HPC106" s="530"/>
      <c r="HPD106" s="531"/>
      <c r="HPE106" s="530"/>
      <c r="HPF106" s="531"/>
      <c r="HPG106" s="530"/>
      <c r="HPH106" s="531"/>
      <c r="HPI106" s="530"/>
      <c r="HPJ106" s="531"/>
      <c r="HPK106" s="530"/>
      <c r="HPL106" s="531"/>
      <c r="HPM106" s="530"/>
      <c r="HPN106" s="531"/>
      <c r="HPO106" s="530"/>
      <c r="HPP106" s="531"/>
      <c r="HPQ106" s="530"/>
      <c r="HPR106" s="531"/>
      <c r="HPS106" s="530"/>
      <c r="HPT106" s="531"/>
      <c r="HPU106" s="530"/>
      <c r="HPV106" s="531"/>
      <c r="HPW106" s="530"/>
      <c r="HPX106" s="531"/>
      <c r="HPY106" s="530"/>
      <c r="HPZ106" s="531"/>
      <c r="HQA106" s="530"/>
      <c r="HQB106" s="531"/>
      <c r="HQC106" s="530"/>
      <c r="HQD106" s="531"/>
      <c r="HQE106" s="530"/>
      <c r="HQF106" s="531"/>
      <c r="HQG106" s="530"/>
      <c r="HQH106" s="531"/>
      <c r="HQI106" s="530"/>
      <c r="HQJ106" s="531"/>
      <c r="HQK106" s="530"/>
      <c r="HQL106" s="531"/>
      <c r="HQM106" s="530"/>
      <c r="HQN106" s="531"/>
      <c r="HQO106" s="530"/>
      <c r="HQP106" s="531"/>
      <c r="HQQ106" s="530"/>
      <c r="HQR106" s="531"/>
      <c r="HQS106" s="530"/>
      <c r="HQT106" s="531"/>
      <c r="HQU106" s="530"/>
      <c r="HQV106" s="531"/>
      <c r="HQW106" s="530"/>
      <c r="HQX106" s="531"/>
      <c r="HQY106" s="530"/>
      <c r="HQZ106" s="531"/>
      <c r="HRA106" s="530"/>
      <c r="HRB106" s="531"/>
      <c r="HRC106" s="530"/>
      <c r="HRD106" s="531"/>
      <c r="HRE106" s="530"/>
      <c r="HRF106" s="531"/>
      <c r="HRG106" s="530"/>
      <c r="HRH106" s="531"/>
      <c r="HRI106" s="530"/>
      <c r="HRJ106" s="531"/>
      <c r="HRK106" s="530"/>
      <c r="HRL106" s="531"/>
      <c r="HRM106" s="530"/>
      <c r="HRN106" s="531"/>
      <c r="HRO106" s="530"/>
      <c r="HRP106" s="531"/>
      <c r="HRQ106" s="530"/>
      <c r="HRR106" s="531"/>
      <c r="HRS106" s="530"/>
      <c r="HRT106" s="531"/>
      <c r="HRU106" s="530"/>
      <c r="HRV106" s="531"/>
      <c r="HRW106" s="530"/>
      <c r="HRX106" s="531"/>
      <c r="HRY106" s="530"/>
      <c r="HRZ106" s="531"/>
      <c r="HSA106" s="530"/>
      <c r="HSB106" s="531"/>
      <c r="HSC106" s="530"/>
      <c r="HSD106" s="531"/>
      <c r="HSE106" s="530"/>
      <c r="HSF106" s="531"/>
      <c r="HSG106" s="530"/>
      <c r="HSH106" s="531"/>
      <c r="HSI106" s="530"/>
      <c r="HSJ106" s="531"/>
      <c r="HSK106" s="530"/>
      <c r="HSL106" s="531"/>
      <c r="HSM106" s="530"/>
      <c r="HSN106" s="531"/>
      <c r="HSO106" s="530"/>
      <c r="HSP106" s="531"/>
      <c r="HSQ106" s="530"/>
      <c r="HSR106" s="531"/>
      <c r="HSS106" s="530"/>
      <c r="HST106" s="531"/>
      <c r="HSU106" s="530"/>
      <c r="HSV106" s="531"/>
      <c r="HSW106" s="530"/>
      <c r="HSX106" s="531"/>
      <c r="HSY106" s="530"/>
      <c r="HSZ106" s="531"/>
      <c r="HTA106" s="530"/>
      <c r="HTB106" s="531"/>
      <c r="HTC106" s="530"/>
      <c r="HTD106" s="531"/>
      <c r="HTE106" s="530"/>
      <c r="HTF106" s="531"/>
      <c r="HTG106" s="530"/>
      <c r="HTH106" s="531"/>
      <c r="HTI106" s="530"/>
      <c r="HTJ106" s="531"/>
      <c r="HTK106" s="530"/>
      <c r="HTL106" s="531"/>
      <c r="HTM106" s="530"/>
      <c r="HTN106" s="531"/>
      <c r="HTO106" s="530"/>
      <c r="HTP106" s="531"/>
      <c r="HTQ106" s="530"/>
      <c r="HTR106" s="531"/>
      <c r="HTS106" s="530"/>
      <c r="HTT106" s="531"/>
      <c r="HTU106" s="530"/>
      <c r="HTV106" s="531"/>
      <c r="HTW106" s="530"/>
      <c r="HTX106" s="531"/>
      <c r="HTY106" s="530"/>
      <c r="HTZ106" s="531"/>
      <c r="HUA106" s="530"/>
      <c r="HUB106" s="531"/>
      <c r="HUC106" s="530"/>
      <c r="HUD106" s="531"/>
      <c r="HUE106" s="530"/>
      <c r="HUF106" s="531"/>
      <c r="HUG106" s="530"/>
      <c r="HUH106" s="531"/>
      <c r="HUI106" s="530"/>
      <c r="HUJ106" s="531"/>
      <c r="HUK106" s="530"/>
      <c r="HUL106" s="531"/>
      <c r="HUM106" s="530"/>
      <c r="HUN106" s="531"/>
      <c r="HUO106" s="530"/>
      <c r="HUP106" s="531"/>
      <c r="HUQ106" s="530"/>
      <c r="HUR106" s="531"/>
      <c r="HUS106" s="530"/>
      <c r="HUT106" s="531"/>
      <c r="HUU106" s="530"/>
      <c r="HUV106" s="531"/>
      <c r="HUW106" s="530"/>
      <c r="HUX106" s="531"/>
      <c r="HUY106" s="530"/>
      <c r="HUZ106" s="531"/>
      <c r="HVA106" s="530"/>
      <c r="HVB106" s="531"/>
      <c r="HVC106" s="530"/>
      <c r="HVD106" s="531"/>
      <c r="HVE106" s="530"/>
      <c r="HVF106" s="531"/>
      <c r="HVG106" s="530"/>
      <c r="HVH106" s="531"/>
      <c r="HVI106" s="530"/>
      <c r="HVJ106" s="531"/>
      <c r="HVK106" s="530"/>
      <c r="HVL106" s="531"/>
      <c r="HVM106" s="530"/>
      <c r="HVN106" s="531"/>
      <c r="HVO106" s="530"/>
      <c r="HVP106" s="531"/>
      <c r="HVQ106" s="530"/>
      <c r="HVR106" s="531"/>
      <c r="HVS106" s="530"/>
      <c r="HVT106" s="531"/>
      <c r="HVU106" s="530"/>
      <c r="HVV106" s="531"/>
      <c r="HVW106" s="530"/>
      <c r="HVX106" s="531"/>
      <c r="HVY106" s="530"/>
      <c r="HVZ106" s="531"/>
      <c r="HWA106" s="530"/>
      <c r="HWB106" s="531"/>
      <c r="HWC106" s="530"/>
      <c r="HWD106" s="531"/>
      <c r="HWE106" s="530"/>
      <c r="HWF106" s="531"/>
      <c r="HWG106" s="530"/>
      <c r="HWH106" s="531"/>
      <c r="HWI106" s="530"/>
      <c r="HWJ106" s="531"/>
      <c r="HWK106" s="530"/>
      <c r="HWL106" s="531"/>
      <c r="HWM106" s="530"/>
      <c r="HWN106" s="531"/>
      <c r="HWO106" s="530"/>
      <c r="HWP106" s="531"/>
      <c r="HWQ106" s="530"/>
      <c r="HWR106" s="531"/>
      <c r="HWS106" s="530"/>
      <c r="HWT106" s="531"/>
      <c r="HWU106" s="530"/>
      <c r="HWV106" s="531"/>
      <c r="HWW106" s="530"/>
      <c r="HWX106" s="531"/>
      <c r="HWY106" s="530"/>
      <c r="HWZ106" s="531"/>
      <c r="HXA106" s="530"/>
      <c r="HXB106" s="531"/>
      <c r="HXC106" s="530"/>
      <c r="HXD106" s="531"/>
      <c r="HXE106" s="530"/>
      <c r="HXF106" s="531"/>
      <c r="HXG106" s="530"/>
      <c r="HXH106" s="531"/>
      <c r="HXI106" s="530"/>
      <c r="HXJ106" s="531"/>
      <c r="HXK106" s="530"/>
      <c r="HXL106" s="531"/>
      <c r="HXM106" s="530"/>
      <c r="HXN106" s="531"/>
      <c r="HXO106" s="530"/>
      <c r="HXP106" s="531"/>
      <c r="HXQ106" s="530"/>
      <c r="HXR106" s="531"/>
      <c r="HXS106" s="530"/>
      <c r="HXT106" s="531"/>
      <c r="HXU106" s="530"/>
      <c r="HXV106" s="531"/>
      <c r="HXW106" s="530"/>
      <c r="HXX106" s="531"/>
      <c r="HXY106" s="530"/>
      <c r="HXZ106" s="531"/>
      <c r="HYA106" s="530"/>
      <c r="HYB106" s="531"/>
      <c r="HYC106" s="530"/>
      <c r="HYD106" s="531"/>
      <c r="HYE106" s="530"/>
      <c r="HYF106" s="531"/>
      <c r="HYG106" s="530"/>
      <c r="HYH106" s="531"/>
      <c r="HYI106" s="530"/>
      <c r="HYJ106" s="531"/>
      <c r="HYK106" s="530"/>
      <c r="HYL106" s="531"/>
      <c r="HYM106" s="530"/>
      <c r="HYN106" s="531"/>
      <c r="HYO106" s="530"/>
      <c r="HYP106" s="531"/>
      <c r="HYQ106" s="530"/>
      <c r="HYR106" s="531"/>
      <c r="HYS106" s="530"/>
      <c r="HYT106" s="531"/>
      <c r="HYU106" s="530"/>
      <c r="HYV106" s="531"/>
      <c r="HYW106" s="530"/>
      <c r="HYX106" s="531"/>
      <c r="HYY106" s="530"/>
      <c r="HYZ106" s="531"/>
      <c r="HZA106" s="530"/>
      <c r="HZB106" s="531"/>
      <c r="HZC106" s="530"/>
      <c r="HZD106" s="531"/>
      <c r="HZE106" s="530"/>
      <c r="HZF106" s="531"/>
      <c r="HZG106" s="530"/>
      <c r="HZH106" s="531"/>
      <c r="HZI106" s="530"/>
      <c r="HZJ106" s="531"/>
      <c r="HZK106" s="530"/>
      <c r="HZL106" s="531"/>
      <c r="HZM106" s="530"/>
      <c r="HZN106" s="531"/>
      <c r="HZO106" s="530"/>
      <c r="HZP106" s="531"/>
      <c r="HZQ106" s="530"/>
      <c r="HZR106" s="531"/>
      <c r="HZS106" s="530"/>
      <c r="HZT106" s="531"/>
      <c r="HZU106" s="530"/>
      <c r="HZV106" s="531"/>
      <c r="HZW106" s="530"/>
      <c r="HZX106" s="531"/>
      <c r="HZY106" s="530"/>
      <c r="HZZ106" s="531"/>
      <c r="IAA106" s="530"/>
      <c r="IAB106" s="531"/>
      <c r="IAC106" s="530"/>
      <c r="IAD106" s="531"/>
      <c r="IAE106" s="530"/>
      <c r="IAF106" s="531"/>
      <c r="IAG106" s="530"/>
      <c r="IAH106" s="531"/>
      <c r="IAI106" s="530"/>
      <c r="IAJ106" s="531"/>
      <c r="IAK106" s="530"/>
      <c r="IAL106" s="531"/>
      <c r="IAM106" s="530"/>
      <c r="IAN106" s="531"/>
      <c r="IAO106" s="530"/>
      <c r="IAP106" s="531"/>
      <c r="IAQ106" s="530"/>
      <c r="IAR106" s="531"/>
      <c r="IAS106" s="530"/>
      <c r="IAT106" s="531"/>
      <c r="IAU106" s="530"/>
      <c r="IAV106" s="531"/>
      <c r="IAW106" s="530"/>
      <c r="IAX106" s="531"/>
      <c r="IAY106" s="530"/>
      <c r="IAZ106" s="531"/>
      <c r="IBA106" s="530"/>
      <c r="IBB106" s="531"/>
      <c r="IBC106" s="530"/>
      <c r="IBD106" s="531"/>
      <c r="IBE106" s="530"/>
      <c r="IBF106" s="531"/>
      <c r="IBG106" s="530"/>
      <c r="IBH106" s="531"/>
      <c r="IBI106" s="530"/>
      <c r="IBJ106" s="531"/>
      <c r="IBK106" s="530"/>
      <c r="IBL106" s="531"/>
      <c r="IBM106" s="530"/>
      <c r="IBN106" s="531"/>
      <c r="IBO106" s="530"/>
      <c r="IBP106" s="531"/>
      <c r="IBQ106" s="530"/>
      <c r="IBR106" s="531"/>
      <c r="IBS106" s="530"/>
      <c r="IBT106" s="531"/>
      <c r="IBU106" s="530"/>
      <c r="IBV106" s="531"/>
      <c r="IBW106" s="530"/>
      <c r="IBX106" s="531"/>
      <c r="IBY106" s="530"/>
      <c r="IBZ106" s="531"/>
      <c r="ICA106" s="530"/>
      <c r="ICB106" s="531"/>
      <c r="ICC106" s="530"/>
      <c r="ICD106" s="531"/>
      <c r="ICE106" s="530"/>
      <c r="ICF106" s="531"/>
      <c r="ICG106" s="530"/>
      <c r="ICH106" s="531"/>
      <c r="ICI106" s="530"/>
      <c r="ICJ106" s="531"/>
      <c r="ICK106" s="530"/>
      <c r="ICL106" s="531"/>
      <c r="ICM106" s="530"/>
      <c r="ICN106" s="531"/>
      <c r="ICO106" s="530"/>
      <c r="ICP106" s="531"/>
      <c r="ICQ106" s="530"/>
      <c r="ICR106" s="531"/>
      <c r="ICS106" s="530"/>
      <c r="ICT106" s="531"/>
      <c r="ICU106" s="530"/>
      <c r="ICV106" s="531"/>
      <c r="ICW106" s="530"/>
      <c r="ICX106" s="531"/>
      <c r="ICY106" s="530"/>
      <c r="ICZ106" s="531"/>
      <c r="IDA106" s="530"/>
      <c r="IDB106" s="531"/>
      <c r="IDC106" s="530"/>
      <c r="IDD106" s="531"/>
      <c r="IDE106" s="530"/>
      <c r="IDF106" s="531"/>
      <c r="IDG106" s="530"/>
      <c r="IDH106" s="531"/>
      <c r="IDI106" s="530"/>
      <c r="IDJ106" s="531"/>
      <c r="IDK106" s="530"/>
      <c r="IDL106" s="531"/>
      <c r="IDM106" s="530"/>
      <c r="IDN106" s="531"/>
      <c r="IDO106" s="530"/>
      <c r="IDP106" s="531"/>
      <c r="IDQ106" s="530"/>
      <c r="IDR106" s="531"/>
      <c r="IDS106" s="530"/>
      <c r="IDT106" s="531"/>
      <c r="IDU106" s="530"/>
      <c r="IDV106" s="531"/>
      <c r="IDW106" s="530"/>
      <c r="IDX106" s="531"/>
      <c r="IDY106" s="530"/>
      <c r="IDZ106" s="531"/>
      <c r="IEA106" s="530"/>
      <c r="IEB106" s="531"/>
      <c r="IEC106" s="530"/>
      <c r="IED106" s="531"/>
      <c r="IEE106" s="530"/>
      <c r="IEF106" s="531"/>
      <c r="IEG106" s="530"/>
      <c r="IEH106" s="531"/>
      <c r="IEI106" s="530"/>
      <c r="IEJ106" s="531"/>
      <c r="IEK106" s="530"/>
      <c r="IEL106" s="531"/>
      <c r="IEM106" s="530"/>
      <c r="IEN106" s="531"/>
      <c r="IEO106" s="530"/>
      <c r="IEP106" s="531"/>
      <c r="IEQ106" s="530"/>
      <c r="IER106" s="531"/>
      <c r="IES106" s="530"/>
      <c r="IET106" s="531"/>
      <c r="IEU106" s="530"/>
      <c r="IEV106" s="531"/>
      <c r="IEW106" s="530"/>
      <c r="IEX106" s="531"/>
      <c r="IEY106" s="530"/>
      <c r="IEZ106" s="531"/>
      <c r="IFA106" s="530"/>
      <c r="IFB106" s="531"/>
      <c r="IFC106" s="530"/>
      <c r="IFD106" s="531"/>
      <c r="IFE106" s="530"/>
      <c r="IFF106" s="531"/>
      <c r="IFG106" s="530"/>
      <c r="IFH106" s="531"/>
      <c r="IFI106" s="530"/>
      <c r="IFJ106" s="531"/>
      <c r="IFK106" s="530"/>
      <c r="IFL106" s="531"/>
      <c r="IFM106" s="530"/>
      <c r="IFN106" s="531"/>
      <c r="IFO106" s="530"/>
      <c r="IFP106" s="531"/>
      <c r="IFQ106" s="530"/>
      <c r="IFR106" s="531"/>
      <c r="IFS106" s="530"/>
      <c r="IFT106" s="531"/>
      <c r="IFU106" s="530"/>
      <c r="IFV106" s="531"/>
      <c r="IFW106" s="530"/>
      <c r="IFX106" s="531"/>
      <c r="IFY106" s="530"/>
      <c r="IFZ106" s="531"/>
      <c r="IGA106" s="530"/>
      <c r="IGB106" s="531"/>
      <c r="IGC106" s="530"/>
      <c r="IGD106" s="531"/>
      <c r="IGE106" s="530"/>
      <c r="IGF106" s="531"/>
      <c r="IGG106" s="530"/>
      <c r="IGH106" s="531"/>
      <c r="IGI106" s="530"/>
      <c r="IGJ106" s="531"/>
      <c r="IGK106" s="530"/>
      <c r="IGL106" s="531"/>
      <c r="IGM106" s="530"/>
      <c r="IGN106" s="531"/>
      <c r="IGO106" s="530"/>
      <c r="IGP106" s="531"/>
      <c r="IGQ106" s="530"/>
      <c r="IGR106" s="531"/>
      <c r="IGS106" s="530"/>
      <c r="IGT106" s="531"/>
      <c r="IGU106" s="530"/>
      <c r="IGV106" s="531"/>
      <c r="IGW106" s="530"/>
      <c r="IGX106" s="531"/>
      <c r="IGY106" s="530"/>
      <c r="IGZ106" s="531"/>
      <c r="IHA106" s="530"/>
      <c r="IHB106" s="531"/>
      <c r="IHC106" s="530"/>
      <c r="IHD106" s="531"/>
      <c r="IHE106" s="530"/>
      <c r="IHF106" s="531"/>
      <c r="IHG106" s="530"/>
      <c r="IHH106" s="531"/>
      <c r="IHI106" s="530"/>
      <c r="IHJ106" s="531"/>
      <c r="IHK106" s="530"/>
      <c r="IHL106" s="531"/>
      <c r="IHM106" s="530"/>
      <c r="IHN106" s="531"/>
      <c r="IHO106" s="530"/>
      <c r="IHP106" s="531"/>
      <c r="IHQ106" s="530"/>
      <c r="IHR106" s="531"/>
      <c r="IHS106" s="530"/>
      <c r="IHT106" s="531"/>
      <c r="IHU106" s="530"/>
      <c r="IHV106" s="531"/>
      <c r="IHW106" s="530"/>
      <c r="IHX106" s="531"/>
      <c r="IHY106" s="530"/>
      <c r="IHZ106" s="531"/>
      <c r="IIA106" s="530"/>
      <c r="IIB106" s="531"/>
      <c r="IIC106" s="530"/>
      <c r="IID106" s="531"/>
      <c r="IIE106" s="530"/>
      <c r="IIF106" s="531"/>
      <c r="IIG106" s="530"/>
      <c r="IIH106" s="531"/>
      <c r="III106" s="530"/>
      <c r="IIJ106" s="531"/>
      <c r="IIK106" s="530"/>
      <c r="IIL106" s="531"/>
      <c r="IIM106" s="530"/>
      <c r="IIN106" s="531"/>
      <c r="IIO106" s="530"/>
      <c r="IIP106" s="531"/>
      <c r="IIQ106" s="530"/>
      <c r="IIR106" s="531"/>
      <c r="IIS106" s="530"/>
      <c r="IIT106" s="531"/>
      <c r="IIU106" s="530"/>
      <c r="IIV106" s="531"/>
      <c r="IIW106" s="530"/>
      <c r="IIX106" s="531"/>
      <c r="IIY106" s="530"/>
      <c r="IIZ106" s="531"/>
      <c r="IJA106" s="530"/>
      <c r="IJB106" s="531"/>
      <c r="IJC106" s="530"/>
      <c r="IJD106" s="531"/>
      <c r="IJE106" s="530"/>
      <c r="IJF106" s="531"/>
      <c r="IJG106" s="530"/>
      <c r="IJH106" s="531"/>
      <c r="IJI106" s="530"/>
      <c r="IJJ106" s="531"/>
      <c r="IJK106" s="530"/>
      <c r="IJL106" s="531"/>
      <c r="IJM106" s="530"/>
      <c r="IJN106" s="531"/>
      <c r="IJO106" s="530"/>
      <c r="IJP106" s="531"/>
      <c r="IJQ106" s="530"/>
      <c r="IJR106" s="531"/>
      <c r="IJS106" s="530"/>
      <c r="IJT106" s="531"/>
      <c r="IJU106" s="530"/>
      <c r="IJV106" s="531"/>
      <c r="IJW106" s="530"/>
      <c r="IJX106" s="531"/>
      <c r="IJY106" s="530"/>
      <c r="IJZ106" s="531"/>
      <c r="IKA106" s="530"/>
      <c r="IKB106" s="531"/>
      <c r="IKC106" s="530"/>
      <c r="IKD106" s="531"/>
      <c r="IKE106" s="530"/>
      <c r="IKF106" s="531"/>
      <c r="IKG106" s="530"/>
      <c r="IKH106" s="531"/>
      <c r="IKI106" s="530"/>
      <c r="IKJ106" s="531"/>
      <c r="IKK106" s="530"/>
      <c r="IKL106" s="531"/>
      <c r="IKM106" s="530"/>
      <c r="IKN106" s="531"/>
      <c r="IKO106" s="530"/>
      <c r="IKP106" s="531"/>
      <c r="IKQ106" s="530"/>
      <c r="IKR106" s="531"/>
      <c r="IKS106" s="530"/>
      <c r="IKT106" s="531"/>
      <c r="IKU106" s="530"/>
      <c r="IKV106" s="531"/>
      <c r="IKW106" s="530"/>
      <c r="IKX106" s="531"/>
      <c r="IKY106" s="530"/>
      <c r="IKZ106" s="531"/>
      <c r="ILA106" s="530"/>
      <c r="ILB106" s="531"/>
      <c r="ILC106" s="530"/>
      <c r="ILD106" s="531"/>
      <c r="ILE106" s="530"/>
      <c r="ILF106" s="531"/>
      <c r="ILG106" s="530"/>
      <c r="ILH106" s="531"/>
      <c r="ILI106" s="530"/>
      <c r="ILJ106" s="531"/>
      <c r="ILK106" s="530"/>
      <c r="ILL106" s="531"/>
      <c r="ILM106" s="530"/>
      <c r="ILN106" s="531"/>
      <c r="ILO106" s="530"/>
      <c r="ILP106" s="531"/>
      <c r="ILQ106" s="530"/>
      <c r="ILR106" s="531"/>
      <c r="ILS106" s="530"/>
      <c r="ILT106" s="531"/>
      <c r="ILU106" s="530"/>
      <c r="ILV106" s="531"/>
      <c r="ILW106" s="530"/>
      <c r="ILX106" s="531"/>
      <c r="ILY106" s="530"/>
      <c r="ILZ106" s="531"/>
      <c r="IMA106" s="530"/>
      <c r="IMB106" s="531"/>
      <c r="IMC106" s="530"/>
      <c r="IMD106" s="531"/>
      <c r="IME106" s="530"/>
      <c r="IMF106" s="531"/>
      <c r="IMG106" s="530"/>
      <c r="IMH106" s="531"/>
      <c r="IMI106" s="530"/>
      <c r="IMJ106" s="531"/>
      <c r="IMK106" s="530"/>
      <c r="IML106" s="531"/>
      <c r="IMM106" s="530"/>
      <c r="IMN106" s="531"/>
      <c r="IMO106" s="530"/>
      <c r="IMP106" s="531"/>
      <c r="IMQ106" s="530"/>
      <c r="IMR106" s="531"/>
      <c r="IMS106" s="530"/>
      <c r="IMT106" s="531"/>
      <c r="IMU106" s="530"/>
      <c r="IMV106" s="531"/>
      <c r="IMW106" s="530"/>
      <c r="IMX106" s="531"/>
      <c r="IMY106" s="530"/>
      <c r="IMZ106" s="531"/>
      <c r="INA106" s="530"/>
      <c r="INB106" s="531"/>
      <c r="INC106" s="530"/>
      <c r="IND106" s="531"/>
      <c r="INE106" s="530"/>
      <c r="INF106" s="531"/>
      <c r="ING106" s="530"/>
      <c r="INH106" s="531"/>
      <c r="INI106" s="530"/>
      <c r="INJ106" s="531"/>
      <c r="INK106" s="530"/>
      <c r="INL106" s="531"/>
      <c r="INM106" s="530"/>
      <c r="INN106" s="531"/>
      <c r="INO106" s="530"/>
      <c r="INP106" s="531"/>
      <c r="INQ106" s="530"/>
      <c r="INR106" s="531"/>
      <c r="INS106" s="530"/>
      <c r="INT106" s="531"/>
      <c r="INU106" s="530"/>
      <c r="INV106" s="531"/>
      <c r="INW106" s="530"/>
      <c r="INX106" s="531"/>
      <c r="INY106" s="530"/>
      <c r="INZ106" s="531"/>
      <c r="IOA106" s="530"/>
      <c r="IOB106" s="531"/>
      <c r="IOC106" s="530"/>
      <c r="IOD106" s="531"/>
      <c r="IOE106" s="530"/>
      <c r="IOF106" s="531"/>
      <c r="IOG106" s="530"/>
      <c r="IOH106" s="531"/>
      <c r="IOI106" s="530"/>
      <c r="IOJ106" s="531"/>
      <c r="IOK106" s="530"/>
      <c r="IOL106" s="531"/>
      <c r="IOM106" s="530"/>
      <c r="ION106" s="531"/>
      <c r="IOO106" s="530"/>
      <c r="IOP106" s="531"/>
      <c r="IOQ106" s="530"/>
      <c r="IOR106" s="531"/>
      <c r="IOS106" s="530"/>
      <c r="IOT106" s="531"/>
      <c r="IOU106" s="530"/>
      <c r="IOV106" s="531"/>
      <c r="IOW106" s="530"/>
      <c r="IOX106" s="531"/>
      <c r="IOY106" s="530"/>
      <c r="IOZ106" s="531"/>
      <c r="IPA106" s="530"/>
      <c r="IPB106" s="531"/>
      <c r="IPC106" s="530"/>
      <c r="IPD106" s="531"/>
      <c r="IPE106" s="530"/>
      <c r="IPF106" s="531"/>
      <c r="IPG106" s="530"/>
      <c r="IPH106" s="531"/>
      <c r="IPI106" s="530"/>
      <c r="IPJ106" s="531"/>
      <c r="IPK106" s="530"/>
      <c r="IPL106" s="531"/>
      <c r="IPM106" s="530"/>
      <c r="IPN106" s="531"/>
      <c r="IPO106" s="530"/>
      <c r="IPP106" s="531"/>
      <c r="IPQ106" s="530"/>
      <c r="IPR106" s="531"/>
      <c r="IPS106" s="530"/>
      <c r="IPT106" s="531"/>
      <c r="IPU106" s="530"/>
      <c r="IPV106" s="531"/>
      <c r="IPW106" s="530"/>
      <c r="IPX106" s="531"/>
      <c r="IPY106" s="530"/>
      <c r="IPZ106" s="531"/>
      <c r="IQA106" s="530"/>
      <c r="IQB106" s="531"/>
      <c r="IQC106" s="530"/>
      <c r="IQD106" s="531"/>
      <c r="IQE106" s="530"/>
      <c r="IQF106" s="531"/>
      <c r="IQG106" s="530"/>
      <c r="IQH106" s="531"/>
      <c r="IQI106" s="530"/>
      <c r="IQJ106" s="531"/>
      <c r="IQK106" s="530"/>
      <c r="IQL106" s="531"/>
      <c r="IQM106" s="530"/>
      <c r="IQN106" s="531"/>
      <c r="IQO106" s="530"/>
      <c r="IQP106" s="531"/>
      <c r="IQQ106" s="530"/>
      <c r="IQR106" s="531"/>
      <c r="IQS106" s="530"/>
      <c r="IQT106" s="531"/>
      <c r="IQU106" s="530"/>
      <c r="IQV106" s="531"/>
      <c r="IQW106" s="530"/>
      <c r="IQX106" s="531"/>
      <c r="IQY106" s="530"/>
      <c r="IQZ106" s="531"/>
      <c r="IRA106" s="530"/>
      <c r="IRB106" s="531"/>
      <c r="IRC106" s="530"/>
      <c r="IRD106" s="531"/>
      <c r="IRE106" s="530"/>
      <c r="IRF106" s="531"/>
      <c r="IRG106" s="530"/>
      <c r="IRH106" s="531"/>
      <c r="IRI106" s="530"/>
      <c r="IRJ106" s="531"/>
      <c r="IRK106" s="530"/>
      <c r="IRL106" s="531"/>
      <c r="IRM106" s="530"/>
      <c r="IRN106" s="531"/>
      <c r="IRO106" s="530"/>
      <c r="IRP106" s="531"/>
      <c r="IRQ106" s="530"/>
      <c r="IRR106" s="531"/>
      <c r="IRS106" s="530"/>
      <c r="IRT106" s="531"/>
      <c r="IRU106" s="530"/>
      <c r="IRV106" s="531"/>
      <c r="IRW106" s="530"/>
      <c r="IRX106" s="531"/>
      <c r="IRY106" s="530"/>
      <c r="IRZ106" s="531"/>
      <c r="ISA106" s="530"/>
      <c r="ISB106" s="531"/>
      <c r="ISC106" s="530"/>
      <c r="ISD106" s="531"/>
      <c r="ISE106" s="530"/>
      <c r="ISF106" s="531"/>
      <c r="ISG106" s="530"/>
      <c r="ISH106" s="531"/>
      <c r="ISI106" s="530"/>
      <c r="ISJ106" s="531"/>
      <c r="ISK106" s="530"/>
      <c r="ISL106" s="531"/>
      <c r="ISM106" s="530"/>
      <c r="ISN106" s="531"/>
      <c r="ISO106" s="530"/>
      <c r="ISP106" s="531"/>
      <c r="ISQ106" s="530"/>
      <c r="ISR106" s="531"/>
      <c r="ISS106" s="530"/>
      <c r="IST106" s="531"/>
      <c r="ISU106" s="530"/>
      <c r="ISV106" s="531"/>
      <c r="ISW106" s="530"/>
      <c r="ISX106" s="531"/>
      <c r="ISY106" s="530"/>
      <c r="ISZ106" s="531"/>
      <c r="ITA106" s="530"/>
      <c r="ITB106" s="531"/>
      <c r="ITC106" s="530"/>
      <c r="ITD106" s="531"/>
      <c r="ITE106" s="530"/>
      <c r="ITF106" s="531"/>
      <c r="ITG106" s="530"/>
      <c r="ITH106" s="531"/>
      <c r="ITI106" s="530"/>
      <c r="ITJ106" s="531"/>
      <c r="ITK106" s="530"/>
      <c r="ITL106" s="531"/>
      <c r="ITM106" s="530"/>
      <c r="ITN106" s="531"/>
      <c r="ITO106" s="530"/>
      <c r="ITP106" s="531"/>
      <c r="ITQ106" s="530"/>
      <c r="ITR106" s="531"/>
      <c r="ITS106" s="530"/>
      <c r="ITT106" s="531"/>
      <c r="ITU106" s="530"/>
      <c r="ITV106" s="531"/>
      <c r="ITW106" s="530"/>
      <c r="ITX106" s="531"/>
      <c r="ITY106" s="530"/>
      <c r="ITZ106" s="531"/>
      <c r="IUA106" s="530"/>
      <c r="IUB106" s="531"/>
      <c r="IUC106" s="530"/>
      <c r="IUD106" s="531"/>
      <c r="IUE106" s="530"/>
      <c r="IUF106" s="531"/>
      <c r="IUG106" s="530"/>
      <c r="IUH106" s="531"/>
      <c r="IUI106" s="530"/>
      <c r="IUJ106" s="531"/>
      <c r="IUK106" s="530"/>
      <c r="IUL106" s="531"/>
      <c r="IUM106" s="530"/>
      <c r="IUN106" s="531"/>
      <c r="IUO106" s="530"/>
      <c r="IUP106" s="531"/>
      <c r="IUQ106" s="530"/>
      <c r="IUR106" s="531"/>
      <c r="IUS106" s="530"/>
      <c r="IUT106" s="531"/>
      <c r="IUU106" s="530"/>
      <c r="IUV106" s="531"/>
      <c r="IUW106" s="530"/>
      <c r="IUX106" s="531"/>
      <c r="IUY106" s="530"/>
      <c r="IUZ106" s="531"/>
      <c r="IVA106" s="530"/>
      <c r="IVB106" s="531"/>
      <c r="IVC106" s="530"/>
      <c r="IVD106" s="531"/>
      <c r="IVE106" s="530"/>
      <c r="IVF106" s="531"/>
      <c r="IVG106" s="530"/>
      <c r="IVH106" s="531"/>
      <c r="IVI106" s="530"/>
      <c r="IVJ106" s="531"/>
      <c r="IVK106" s="530"/>
      <c r="IVL106" s="531"/>
      <c r="IVM106" s="530"/>
      <c r="IVN106" s="531"/>
      <c r="IVO106" s="530"/>
      <c r="IVP106" s="531"/>
      <c r="IVQ106" s="530"/>
      <c r="IVR106" s="531"/>
      <c r="IVS106" s="530"/>
      <c r="IVT106" s="531"/>
      <c r="IVU106" s="530"/>
      <c r="IVV106" s="531"/>
      <c r="IVW106" s="530"/>
      <c r="IVX106" s="531"/>
      <c r="IVY106" s="530"/>
      <c r="IVZ106" s="531"/>
      <c r="IWA106" s="530"/>
      <c r="IWB106" s="531"/>
      <c r="IWC106" s="530"/>
      <c r="IWD106" s="531"/>
      <c r="IWE106" s="530"/>
      <c r="IWF106" s="531"/>
      <c r="IWG106" s="530"/>
      <c r="IWH106" s="531"/>
      <c r="IWI106" s="530"/>
      <c r="IWJ106" s="531"/>
      <c r="IWK106" s="530"/>
      <c r="IWL106" s="531"/>
      <c r="IWM106" s="530"/>
      <c r="IWN106" s="531"/>
      <c r="IWO106" s="530"/>
      <c r="IWP106" s="531"/>
      <c r="IWQ106" s="530"/>
      <c r="IWR106" s="531"/>
      <c r="IWS106" s="530"/>
      <c r="IWT106" s="531"/>
      <c r="IWU106" s="530"/>
      <c r="IWV106" s="531"/>
      <c r="IWW106" s="530"/>
      <c r="IWX106" s="531"/>
      <c r="IWY106" s="530"/>
      <c r="IWZ106" s="531"/>
      <c r="IXA106" s="530"/>
      <c r="IXB106" s="531"/>
      <c r="IXC106" s="530"/>
      <c r="IXD106" s="531"/>
      <c r="IXE106" s="530"/>
      <c r="IXF106" s="531"/>
      <c r="IXG106" s="530"/>
      <c r="IXH106" s="531"/>
      <c r="IXI106" s="530"/>
      <c r="IXJ106" s="531"/>
      <c r="IXK106" s="530"/>
      <c r="IXL106" s="531"/>
      <c r="IXM106" s="530"/>
      <c r="IXN106" s="531"/>
      <c r="IXO106" s="530"/>
      <c r="IXP106" s="531"/>
      <c r="IXQ106" s="530"/>
      <c r="IXR106" s="531"/>
      <c r="IXS106" s="530"/>
      <c r="IXT106" s="531"/>
      <c r="IXU106" s="530"/>
      <c r="IXV106" s="531"/>
      <c r="IXW106" s="530"/>
      <c r="IXX106" s="531"/>
      <c r="IXY106" s="530"/>
      <c r="IXZ106" s="531"/>
      <c r="IYA106" s="530"/>
      <c r="IYB106" s="531"/>
      <c r="IYC106" s="530"/>
      <c r="IYD106" s="531"/>
      <c r="IYE106" s="530"/>
      <c r="IYF106" s="531"/>
      <c r="IYG106" s="530"/>
      <c r="IYH106" s="531"/>
      <c r="IYI106" s="530"/>
      <c r="IYJ106" s="531"/>
      <c r="IYK106" s="530"/>
      <c r="IYL106" s="531"/>
      <c r="IYM106" s="530"/>
      <c r="IYN106" s="531"/>
      <c r="IYO106" s="530"/>
      <c r="IYP106" s="531"/>
      <c r="IYQ106" s="530"/>
      <c r="IYR106" s="531"/>
      <c r="IYS106" s="530"/>
      <c r="IYT106" s="531"/>
      <c r="IYU106" s="530"/>
      <c r="IYV106" s="531"/>
      <c r="IYW106" s="530"/>
      <c r="IYX106" s="531"/>
      <c r="IYY106" s="530"/>
      <c r="IYZ106" s="531"/>
      <c r="IZA106" s="530"/>
      <c r="IZB106" s="531"/>
      <c r="IZC106" s="530"/>
      <c r="IZD106" s="531"/>
      <c r="IZE106" s="530"/>
      <c r="IZF106" s="531"/>
      <c r="IZG106" s="530"/>
      <c r="IZH106" s="531"/>
      <c r="IZI106" s="530"/>
      <c r="IZJ106" s="531"/>
      <c r="IZK106" s="530"/>
      <c r="IZL106" s="531"/>
      <c r="IZM106" s="530"/>
      <c r="IZN106" s="531"/>
      <c r="IZO106" s="530"/>
      <c r="IZP106" s="531"/>
      <c r="IZQ106" s="530"/>
      <c r="IZR106" s="531"/>
      <c r="IZS106" s="530"/>
      <c r="IZT106" s="531"/>
      <c r="IZU106" s="530"/>
      <c r="IZV106" s="531"/>
      <c r="IZW106" s="530"/>
      <c r="IZX106" s="531"/>
      <c r="IZY106" s="530"/>
      <c r="IZZ106" s="531"/>
      <c r="JAA106" s="530"/>
      <c r="JAB106" s="531"/>
      <c r="JAC106" s="530"/>
      <c r="JAD106" s="531"/>
      <c r="JAE106" s="530"/>
      <c r="JAF106" s="531"/>
      <c r="JAG106" s="530"/>
      <c r="JAH106" s="531"/>
      <c r="JAI106" s="530"/>
      <c r="JAJ106" s="531"/>
      <c r="JAK106" s="530"/>
      <c r="JAL106" s="531"/>
      <c r="JAM106" s="530"/>
      <c r="JAN106" s="531"/>
      <c r="JAO106" s="530"/>
      <c r="JAP106" s="531"/>
      <c r="JAQ106" s="530"/>
      <c r="JAR106" s="531"/>
      <c r="JAS106" s="530"/>
      <c r="JAT106" s="531"/>
      <c r="JAU106" s="530"/>
      <c r="JAV106" s="531"/>
      <c r="JAW106" s="530"/>
      <c r="JAX106" s="531"/>
      <c r="JAY106" s="530"/>
      <c r="JAZ106" s="531"/>
      <c r="JBA106" s="530"/>
      <c r="JBB106" s="531"/>
      <c r="JBC106" s="530"/>
      <c r="JBD106" s="531"/>
      <c r="JBE106" s="530"/>
      <c r="JBF106" s="531"/>
      <c r="JBG106" s="530"/>
      <c r="JBH106" s="531"/>
      <c r="JBI106" s="530"/>
      <c r="JBJ106" s="531"/>
      <c r="JBK106" s="530"/>
      <c r="JBL106" s="531"/>
      <c r="JBM106" s="530"/>
      <c r="JBN106" s="531"/>
      <c r="JBO106" s="530"/>
      <c r="JBP106" s="531"/>
      <c r="JBQ106" s="530"/>
      <c r="JBR106" s="531"/>
      <c r="JBS106" s="530"/>
      <c r="JBT106" s="531"/>
      <c r="JBU106" s="530"/>
      <c r="JBV106" s="531"/>
      <c r="JBW106" s="530"/>
      <c r="JBX106" s="531"/>
      <c r="JBY106" s="530"/>
      <c r="JBZ106" s="531"/>
      <c r="JCA106" s="530"/>
      <c r="JCB106" s="531"/>
      <c r="JCC106" s="530"/>
      <c r="JCD106" s="531"/>
      <c r="JCE106" s="530"/>
      <c r="JCF106" s="531"/>
      <c r="JCG106" s="530"/>
      <c r="JCH106" s="531"/>
      <c r="JCI106" s="530"/>
      <c r="JCJ106" s="531"/>
      <c r="JCK106" s="530"/>
      <c r="JCL106" s="531"/>
      <c r="JCM106" s="530"/>
      <c r="JCN106" s="531"/>
      <c r="JCO106" s="530"/>
      <c r="JCP106" s="531"/>
      <c r="JCQ106" s="530"/>
      <c r="JCR106" s="531"/>
      <c r="JCS106" s="530"/>
      <c r="JCT106" s="531"/>
      <c r="JCU106" s="530"/>
      <c r="JCV106" s="531"/>
      <c r="JCW106" s="530"/>
      <c r="JCX106" s="531"/>
      <c r="JCY106" s="530"/>
      <c r="JCZ106" s="531"/>
      <c r="JDA106" s="530"/>
      <c r="JDB106" s="531"/>
      <c r="JDC106" s="530"/>
      <c r="JDD106" s="531"/>
      <c r="JDE106" s="530"/>
      <c r="JDF106" s="531"/>
      <c r="JDG106" s="530"/>
      <c r="JDH106" s="531"/>
      <c r="JDI106" s="530"/>
      <c r="JDJ106" s="531"/>
      <c r="JDK106" s="530"/>
      <c r="JDL106" s="531"/>
      <c r="JDM106" s="530"/>
      <c r="JDN106" s="531"/>
      <c r="JDO106" s="530"/>
      <c r="JDP106" s="531"/>
      <c r="JDQ106" s="530"/>
      <c r="JDR106" s="531"/>
      <c r="JDS106" s="530"/>
      <c r="JDT106" s="531"/>
      <c r="JDU106" s="530"/>
      <c r="JDV106" s="531"/>
      <c r="JDW106" s="530"/>
      <c r="JDX106" s="531"/>
      <c r="JDY106" s="530"/>
      <c r="JDZ106" s="531"/>
      <c r="JEA106" s="530"/>
      <c r="JEB106" s="531"/>
      <c r="JEC106" s="530"/>
      <c r="JED106" s="531"/>
      <c r="JEE106" s="530"/>
      <c r="JEF106" s="531"/>
      <c r="JEG106" s="530"/>
      <c r="JEH106" s="531"/>
      <c r="JEI106" s="530"/>
      <c r="JEJ106" s="531"/>
      <c r="JEK106" s="530"/>
      <c r="JEL106" s="531"/>
      <c r="JEM106" s="530"/>
      <c r="JEN106" s="531"/>
      <c r="JEO106" s="530"/>
      <c r="JEP106" s="531"/>
      <c r="JEQ106" s="530"/>
      <c r="JER106" s="531"/>
      <c r="JES106" s="530"/>
      <c r="JET106" s="531"/>
      <c r="JEU106" s="530"/>
      <c r="JEV106" s="531"/>
      <c r="JEW106" s="530"/>
      <c r="JEX106" s="531"/>
      <c r="JEY106" s="530"/>
      <c r="JEZ106" s="531"/>
      <c r="JFA106" s="530"/>
      <c r="JFB106" s="531"/>
      <c r="JFC106" s="530"/>
      <c r="JFD106" s="531"/>
      <c r="JFE106" s="530"/>
      <c r="JFF106" s="531"/>
      <c r="JFG106" s="530"/>
      <c r="JFH106" s="531"/>
      <c r="JFI106" s="530"/>
      <c r="JFJ106" s="531"/>
      <c r="JFK106" s="530"/>
      <c r="JFL106" s="531"/>
      <c r="JFM106" s="530"/>
      <c r="JFN106" s="531"/>
      <c r="JFO106" s="530"/>
      <c r="JFP106" s="531"/>
      <c r="JFQ106" s="530"/>
      <c r="JFR106" s="531"/>
      <c r="JFS106" s="530"/>
      <c r="JFT106" s="531"/>
      <c r="JFU106" s="530"/>
      <c r="JFV106" s="531"/>
      <c r="JFW106" s="530"/>
      <c r="JFX106" s="531"/>
      <c r="JFY106" s="530"/>
      <c r="JFZ106" s="531"/>
      <c r="JGA106" s="530"/>
      <c r="JGB106" s="531"/>
      <c r="JGC106" s="530"/>
      <c r="JGD106" s="531"/>
      <c r="JGE106" s="530"/>
      <c r="JGF106" s="531"/>
      <c r="JGG106" s="530"/>
      <c r="JGH106" s="531"/>
      <c r="JGI106" s="530"/>
      <c r="JGJ106" s="531"/>
      <c r="JGK106" s="530"/>
      <c r="JGL106" s="531"/>
      <c r="JGM106" s="530"/>
      <c r="JGN106" s="531"/>
      <c r="JGO106" s="530"/>
      <c r="JGP106" s="531"/>
      <c r="JGQ106" s="530"/>
      <c r="JGR106" s="531"/>
      <c r="JGS106" s="530"/>
      <c r="JGT106" s="531"/>
      <c r="JGU106" s="530"/>
      <c r="JGV106" s="531"/>
      <c r="JGW106" s="530"/>
      <c r="JGX106" s="531"/>
      <c r="JGY106" s="530"/>
      <c r="JGZ106" s="531"/>
      <c r="JHA106" s="530"/>
      <c r="JHB106" s="531"/>
      <c r="JHC106" s="530"/>
      <c r="JHD106" s="531"/>
      <c r="JHE106" s="530"/>
      <c r="JHF106" s="531"/>
      <c r="JHG106" s="530"/>
      <c r="JHH106" s="531"/>
      <c r="JHI106" s="530"/>
      <c r="JHJ106" s="531"/>
      <c r="JHK106" s="530"/>
      <c r="JHL106" s="531"/>
      <c r="JHM106" s="530"/>
      <c r="JHN106" s="531"/>
      <c r="JHO106" s="530"/>
      <c r="JHP106" s="531"/>
      <c r="JHQ106" s="530"/>
      <c r="JHR106" s="531"/>
      <c r="JHS106" s="530"/>
      <c r="JHT106" s="531"/>
      <c r="JHU106" s="530"/>
      <c r="JHV106" s="531"/>
      <c r="JHW106" s="530"/>
      <c r="JHX106" s="531"/>
      <c r="JHY106" s="530"/>
      <c r="JHZ106" s="531"/>
      <c r="JIA106" s="530"/>
      <c r="JIB106" s="531"/>
      <c r="JIC106" s="530"/>
      <c r="JID106" s="531"/>
      <c r="JIE106" s="530"/>
      <c r="JIF106" s="531"/>
      <c r="JIG106" s="530"/>
      <c r="JIH106" s="531"/>
      <c r="JII106" s="530"/>
      <c r="JIJ106" s="531"/>
      <c r="JIK106" s="530"/>
      <c r="JIL106" s="531"/>
      <c r="JIM106" s="530"/>
      <c r="JIN106" s="531"/>
      <c r="JIO106" s="530"/>
      <c r="JIP106" s="531"/>
      <c r="JIQ106" s="530"/>
      <c r="JIR106" s="531"/>
      <c r="JIS106" s="530"/>
      <c r="JIT106" s="531"/>
      <c r="JIU106" s="530"/>
      <c r="JIV106" s="531"/>
      <c r="JIW106" s="530"/>
      <c r="JIX106" s="531"/>
      <c r="JIY106" s="530"/>
      <c r="JIZ106" s="531"/>
      <c r="JJA106" s="530"/>
      <c r="JJB106" s="531"/>
      <c r="JJC106" s="530"/>
      <c r="JJD106" s="531"/>
      <c r="JJE106" s="530"/>
      <c r="JJF106" s="531"/>
      <c r="JJG106" s="530"/>
      <c r="JJH106" s="531"/>
      <c r="JJI106" s="530"/>
      <c r="JJJ106" s="531"/>
      <c r="JJK106" s="530"/>
      <c r="JJL106" s="531"/>
      <c r="JJM106" s="530"/>
      <c r="JJN106" s="531"/>
      <c r="JJO106" s="530"/>
      <c r="JJP106" s="531"/>
      <c r="JJQ106" s="530"/>
      <c r="JJR106" s="531"/>
      <c r="JJS106" s="530"/>
      <c r="JJT106" s="531"/>
      <c r="JJU106" s="530"/>
      <c r="JJV106" s="531"/>
      <c r="JJW106" s="530"/>
      <c r="JJX106" s="531"/>
      <c r="JJY106" s="530"/>
      <c r="JJZ106" s="531"/>
      <c r="JKA106" s="530"/>
      <c r="JKB106" s="531"/>
      <c r="JKC106" s="530"/>
      <c r="JKD106" s="531"/>
      <c r="JKE106" s="530"/>
      <c r="JKF106" s="531"/>
      <c r="JKG106" s="530"/>
      <c r="JKH106" s="531"/>
      <c r="JKI106" s="530"/>
      <c r="JKJ106" s="531"/>
      <c r="JKK106" s="530"/>
      <c r="JKL106" s="531"/>
      <c r="JKM106" s="530"/>
      <c r="JKN106" s="531"/>
      <c r="JKO106" s="530"/>
      <c r="JKP106" s="531"/>
      <c r="JKQ106" s="530"/>
      <c r="JKR106" s="531"/>
      <c r="JKS106" s="530"/>
      <c r="JKT106" s="531"/>
      <c r="JKU106" s="530"/>
      <c r="JKV106" s="531"/>
      <c r="JKW106" s="530"/>
      <c r="JKX106" s="531"/>
      <c r="JKY106" s="530"/>
      <c r="JKZ106" s="531"/>
      <c r="JLA106" s="530"/>
      <c r="JLB106" s="531"/>
      <c r="JLC106" s="530"/>
      <c r="JLD106" s="531"/>
      <c r="JLE106" s="530"/>
      <c r="JLF106" s="531"/>
      <c r="JLG106" s="530"/>
      <c r="JLH106" s="531"/>
      <c r="JLI106" s="530"/>
      <c r="JLJ106" s="531"/>
      <c r="JLK106" s="530"/>
      <c r="JLL106" s="531"/>
      <c r="JLM106" s="530"/>
      <c r="JLN106" s="531"/>
      <c r="JLO106" s="530"/>
      <c r="JLP106" s="531"/>
      <c r="JLQ106" s="530"/>
      <c r="JLR106" s="531"/>
      <c r="JLS106" s="530"/>
      <c r="JLT106" s="531"/>
      <c r="JLU106" s="530"/>
      <c r="JLV106" s="531"/>
      <c r="JLW106" s="530"/>
      <c r="JLX106" s="531"/>
      <c r="JLY106" s="530"/>
      <c r="JLZ106" s="531"/>
      <c r="JMA106" s="530"/>
      <c r="JMB106" s="531"/>
      <c r="JMC106" s="530"/>
      <c r="JMD106" s="531"/>
      <c r="JME106" s="530"/>
      <c r="JMF106" s="531"/>
      <c r="JMG106" s="530"/>
      <c r="JMH106" s="531"/>
      <c r="JMI106" s="530"/>
      <c r="JMJ106" s="531"/>
      <c r="JMK106" s="530"/>
      <c r="JML106" s="531"/>
      <c r="JMM106" s="530"/>
      <c r="JMN106" s="531"/>
      <c r="JMO106" s="530"/>
      <c r="JMP106" s="531"/>
      <c r="JMQ106" s="530"/>
      <c r="JMR106" s="531"/>
      <c r="JMS106" s="530"/>
      <c r="JMT106" s="531"/>
      <c r="JMU106" s="530"/>
      <c r="JMV106" s="531"/>
      <c r="JMW106" s="530"/>
      <c r="JMX106" s="531"/>
      <c r="JMY106" s="530"/>
      <c r="JMZ106" s="531"/>
      <c r="JNA106" s="530"/>
      <c r="JNB106" s="531"/>
      <c r="JNC106" s="530"/>
      <c r="JND106" s="531"/>
      <c r="JNE106" s="530"/>
      <c r="JNF106" s="531"/>
      <c r="JNG106" s="530"/>
      <c r="JNH106" s="531"/>
      <c r="JNI106" s="530"/>
      <c r="JNJ106" s="531"/>
      <c r="JNK106" s="530"/>
      <c r="JNL106" s="531"/>
      <c r="JNM106" s="530"/>
      <c r="JNN106" s="531"/>
      <c r="JNO106" s="530"/>
      <c r="JNP106" s="531"/>
      <c r="JNQ106" s="530"/>
      <c r="JNR106" s="531"/>
      <c r="JNS106" s="530"/>
      <c r="JNT106" s="531"/>
      <c r="JNU106" s="530"/>
      <c r="JNV106" s="531"/>
      <c r="JNW106" s="530"/>
      <c r="JNX106" s="531"/>
      <c r="JNY106" s="530"/>
      <c r="JNZ106" s="531"/>
      <c r="JOA106" s="530"/>
      <c r="JOB106" s="531"/>
      <c r="JOC106" s="530"/>
      <c r="JOD106" s="531"/>
      <c r="JOE106" s="530"/>
      <c r="JOF106" s="531"/>
      <c r="JOG106" s="530"/>
      <c r="JOH106" s="531"/>
      <c r="JOI106" s="530"/>
      <c r="JOJ106" s="531"/>
      <c r="JOK106" s="530"/>
      <c r="JOL106" s="531"/>
      <c r="JOM106" s="530"/>
      <c r="JON106" s="531"/>
      <c r="JOO106" s="530"/>
      <c r="JOP106" s="531"/>
      <c r="JOQ106" s="530"/>
      <c r="JOR106" s="531"/>
      <c r="JOS106" s="530"/>
      <c r="JOT106" s="531"/>
      <c r="JOU106" s="530"/>
      <c r="JOV106" s="531"/>
      <c r="JOW106" s="530"/>
      <c r="JOX106" s="531"/>
      <c r="JOY106" s="530"/>
      <c r="JOZ106" s="531"/>
      <c r="JPA106" s="530"/>
      <c r="JPB106" s="531"/>
      <c r="JPC106" s="530"/>
      <c r="JPD106" s="531"/>
      <c r="JPE106" s="530"/>
      <c r="JPF106" s="531"/>
      <c r="JPG106" s="530"/>
      <c r="JPH106" s="531"/>
      <c r="JPI106" s="530"/>
      <c r="JPJ106" s="531"/>
      <c r="JPK106" s="530"/>
      <c r="JPL106" s="531"/>
      <c r="JPM106" s="530"/>
      <c r="JPN106" s="531"/>
      <c r="JPO106" s="530"/>
      <c r="JPP106" s="531"/>
      <c r="JPQ106" s="530"/>
      <c r="JPR106" s="531"/>
      <c r="JPS106" s="530"/>
      <c r="JPT106" s="531"/>
      <c r="JPU106" s="530"/>
      <c r="JPV106" s="531"/>
      <c r="JPW106" s="530"/>
      <c r="JPX106" s="531"/>
      <c r="JPY106" s="530"/>
      <c r="JPZ106" s="531"/>
      <c r="JQA106" s="530"/>
      <c r="JQB106" s="531"/>
      <c r="JQC106" s="530"/>
      <c r="JQD106" s="531"/>
      <c r="JQE106" s="530"/>
      <c r="JQF106" s="531"/>
      <c r="JQG106" s="530"/>
      <c r="JQH106" s="531"/>
      <c r="JQI106" s="530"/>
      <c r="JQJ106" s="531"/>
      <c r="JQK106" s="530"/>
      <c r="JQL106" s="531"/>
      <c r="JQM106" s="530"/>
      <c r="JQN106" s="531"/>
      <c r="JQO106" s="530"/>
      <c r="JQP106" s="531"/>
      <c r="JQQ106" s="530"/>
      <c r="JQR106" s="531"/>
      <c r="JQS106" s="530"/>
      <c r="JQT106" s="531"/>
      <c r="JQU106" s="530"/>
      <c r="JQV106" s="531"/>
      <c r="JQW106" s="530"/>
      <c r="JQX106" s="531"/>
      <c r="JQY106" s="530"/>
      <c r="JQZ106" s="531"/>
      <c r="JRA106" s="530"/>
      <c r="JRB106" s="531"/>
      <c r="JRC106" s="530"/>
      <c r="JRD106" s="531"/>
      <c r="JRE106" s="530"/>
      <c r="JRF106" s="531"/>
      <c r="JRG106" s="530"/>
      <c r="JRH106" s="531"/>
      <c r="JRI106" s="530"/>
      <c r="JRJ106" s="531"/>
      <c r="JRK106" s="530"/>
      <c r="JRL106" s="531"/>
      <c r="JRM106" s="530"/>
      <c r="JRN106" s="531"/>
      <c r="JRO106" s="530"/>
      <c r="JRP106" s="531"/>
      <c r="JRQ106" s="530"/>
      <c r="JRR106" s="531"/>
      <c r="JRS106" s="530"/>
      <c r="JRT106" s="531"/>
      <c r="JRU106" s="530"/>
      <c r="JRV106" s="531"/>
      <c r="JRW106" s="530"/>
      <c r="JRX106" s="531"/>
      <c r="JRY106" s="530"/>
      <c r="JRZ106" s="531"/>
      <c r="JSA106" s="530"/>
      <c r="JSB106" s="531"/>
      <c r="JSC106" s="530"/>
      <c r="JSD106" s="531"/>
      <c r="JSE106" s="530"/>
      <c r="JSF106" s="531"/>
      <c r="JSG106" s="530"/>
      <c r="JSH106" s="531"/>
      <c r="JSI106" s="530"/>
      <c r="JSJ106" s="531"/>
      <c r="JSK106" s="530"/>
      <c r="JSL106" s="531"/>
      <c r="JSM106" s="530"/>
      <c r="JSN106" s="531"/>
      <c r="JSO106" s="530"/>
      <c r="JSP106" s="531"/>
      <c r="JSQ106" s="530"/>
      <c r="JSR106" s="531"/>
      <c r="JSS106" s="530"/>
      <c r="JST106" s="531"/>
      <c r="JSU106" s="530"/>
      <c r="JSV106" s="531"/>
      <c r="JSW106" s="530"/>
      <c r="JSX106" s="531"/>
      <c r="JSY106" s="530"/>
      <c r="JSZ106" s="531"/>
      <c r="JTA106" s="530"/>
      <c r="JTB106" s="531"/>
      <c r="JTC106" s="530"/>
      <c r="JTD106" s="531"/>
      <c r="JTE106" s="530"/>
      <c r="JTF106" s="531"/>
      <c r="JTG106" s="530"/>
      <c r="JTH106" s="531"/>
      <c r="JTI106" s="530"/>
      <c r="JTJ106" s="531"/>
      <c r="JTK106" s="530"/>
      <c r="JTL106" s="531"/>
      <c r="JTM106" s="530"/>
      <c r="JTN106" s="531"/>
      <c r="JTO106" s="530"/>
      <c r="JTP106" s="531"/>
      <c r="JTQ106" s="530"/>
      <c r="JTR106" s="531"/>
      <c r="JTS106" s="530"/>
      <c r="JTT106" s="531"/>
      <c r="JTU106" s="530"/>
      <c r="JTV106" s="531"/>
      <c r="JTW106" s="530"/>
      <c r="JTX106" s="531"/>
      <c r="JTY106" s="530"/>
      <c r="JTZ106" s="531"/>
      <c r="JUA106" s="530"/>
      <c r="JUB106" s="531"/>
      <c r="JUC106" s="530"/>
      <c r="JUD106" s="531"/>
      <c r="JUE106" s="530"/>
      <c r="JUF106" s="531"/>
      <c r="JUG106" s="530"/>
      <c r="JUH106" s="531"/>
      <c r="JUI106" s="530"/>
      <c r="JUJ106" s="531"/>
      <c r="JUK106" s="530"/>
      <c r="JUL106" s="531"/>
      <c r="JUM106" s="530"/>
      <c r="JUN106" s="531"/>
      <c r="JUO106" s="530"/>
      <c r="JUP106" s="531"/>
      <c r="JUQ106" s="530"/>
      <c r="JUR106" s="531"/>
      <c r="JUS106" s="530"/>
      <c r="JUT106" s="531"/>
      <c r="JUU106" s="530"/>
      <c r="JUV106" s="531"/>
      <c r="JUW106" s="530"/>
      <c r="JUX106" s="531"/>
      <c r="JUY106" s="530"/>
      <c r="JUZ106" s="531"/>
      <c r="JVA106" s="530"/>
      <c r="JVB106" s="531"/>
      <c r="JVC106" s="530"/>
      <c r="JVD106" s="531"/>
      <c r="JVE106" s="530"/>
      <c r="JVF106" s="531"/>
      <c r="JVG106" s="530"/>
      <c r="JVH106" s="531"/>
      <c r="JVI106" s="530"/>
      <c r="JVJ106" s="531"/>
      <c r="JVK106" s="530"/>
      <c r="JVL106" s="531"/>
      <c r="JVM106" s="530"/>
      <c r="JVN106" s="531"/>
      <c r="JVO106" s="530"/>
      <c r="JVP106" s="531"/>
      <c r="JVQ106" s="530"/>
      <c r="JVR106" s="531"/>
      <c r="JVS106" s="530"/>
      <c r="JVT106" s="531"/>
      <c r="JVU106" s="530"/>
      <c r="JVV106" s="531"/>
      <c r="JVW106" s="530"/>
      <c r="JVX106" s="531"/>
      <c r="JVY106" s="530"/>
      <c r="JVZ106" s="531"/>
      <c r="JWA106" s="530"/>
      <c r="JWB106" s="531"/>
      <c r="JWC106" s="530"/>
      <c r="JWD106" s="531"/>
      <c r="JWE106" s="530"/>
      <c r="JWF106" s="531"/>
      <c r="JWG106" s="530"/>
      <c r="JWH106" s="531"/>
      <c r="JWI106" s="530"/>
      <c r="JWJ106" s="531"/>
      <c r="JWK106" s="530"/>
      <c r="JWL106" s="531"/>
      <c r="JWM106" s="530"/>
      <c r="JWN106" s="531"/>
      <c r="JWO106" s="530"/>
      <c r="JWP106" s="531"/>
      <c r="JWQ106" s="530"/>
      <c r="JWR106" s="531"/>
      <c r="JWS106" s="530"/>
      <c r="JWT106" s="531"/>
      <c r="JWU106" s="530"/>
      <c r="JWV106" s="531"/>
      <c r="JWW106" s="530"/>
      <c r="JWX106" s="531"/>
      <c r="JWY106" s="530"/>
      <c r="JWZ106" s="531"/>
      <c r="JXA106" s="530"/>
      <c r="JXB106" s="531"/>
      <c r="JXC106" s="530"/>
      <c r="JXD106" s="531"/>
      <c r="JXE106" s="530"/>
      <c r="JXF106" s="531"/>
      <c r="JXG106" s="530"/>
      <c r="JXH106" s="531"/>
      <c r="JXI106" s="530"/>
      <c r="JXJ106" s="531"/>
      <c r="JXK106" s="530"/>
      <c r="JXL106" s="531"/>
      <c r="JXM106" s="530"/>
      <c r="JXN106" s="531"/>
      <c r="JXO106" s="530"/>
      <c r="JXP106" s="531"/>
      <c r="JXQ106" s="530"/>
      <c r="JXR106" s="531"/>
      <c r="JXS106" s="530"/>
      <c r="JXT106" s="531"/>
      <c r="JXU106" s="530"/>
      <c r="JXV106" s="531"/>
      <c r="JXW106" s="530"/>
      <c r="JXX106" s="531"/>
      <c r="JXY106" s="530"/>
      <c r="JXZ106" s="531"/>
      <c r="JYA106" s="530"/>
      <c r="JYB106" s="531"/>
      <c r="JYC106" s="530"/>
      <c r="JYD106" s="531"/>
      <c r="JYE106" s="530"/>
      <c r="JYF106" s="531"/>
      <c r="JYG106" s="530"/>
      <c r="JYH106" s="531"/>
      <c r="JYI106" s="530"/>
      <c r="JYJ106" s="531"/>
      <c r="JYK106" s="530"/>
      <c r="JYL106" s="531"/>
      <c r="JYM106" s="530"/>
      <c r="JYN106" s="531"/>
      <c r="JYO106" s="530"/>
      <c r="JYP106" s="531"/>
      <c r="JYQ106" s="530"/>
      <c r="JYR106" s="531"/>
      <c r="JYS106" s="530"/>
      <c r="JYT106" s="531"/>
      <c r="JYU106" s="530"/>
      <c r="JYV106" s="531"/>
      <c r="JYW106" s="530"/>
      <c r="JYX106" s="531"/>
      <c r="JYY106" s="530"/>
      <c r="JYZ106" s="531"/>
      <c r="JZA106" s="530"/>
      <c r="JZB106" s="531"/>
      <c r="JZC106" s="530"/>
      <c r="JZD106" s="531"/>
      <c r="JZE106" s="530"/>
      <c r="JZF106" s="531"/>
      <c r="JZG106" s="530"/>
      <c r="JZH106" s="531"/>
      <c r="JZI106" s="530"/>
      <c r="JZJ106" s="531"/>
      <c r="JZK106" s="530"/>
      <c r="JZL106" s="531"/>
      <c r="JZM106" s="530"/>
      <c r="JZN106" s="531"/>
      <c r="JZO106" s="530"/>
      <c r="JZP106" s="531"/>
      <c r="JZQ106" s="530"/>
      <c r="JZR106" s="531"/>
      <c r="JZS106" s="530"/>
      <c r="JZT106" s="531"/>
      <c r="JZU106" s="530"/>
      <c r="JZV106" s="531"/>
      <c r="JZW106" s="530"/>
      <c r="JZX106" s="531"/>
      <c r="JZY106" s="530"/>
      <c r="JZZ106" s="531"/>
      <c r="KAA106" s="530"/>
      <c r="KAB106" s="531"/>
      <c r="KAC106" s="530"/>
      <c r="KAD106" s="531"/>
      <c r="KAE106" s="530"/>
      <c r="KAF106" s="531"/>
      <c r="KAG106" s="530"/>
      <c r="KAH106" s="531"/>
      <c r="KAI106" s="530"/>
      <c r="KAJ106" s="531"/>
      <c r="KAK106" s="530"/>
      <c r="KAL106" s="531"/>
      <c r="KAM106" s="530"/>
      <c r="KAN106" s="531"/>
      <c r="KAO106" s="530"/>
      <c r="KAP106" s="531"/>
      <c r="KAQ106" s="530"/>
      <c r="KAR106" s="531"/>
      <c r="KAS106" s="530"/>
      <c r="KAT106" s="531"/>
      <c r="KAU106" s="530"/>
      <c r="KAV106" s="531"/>
      <c r="KAW106" s="530"/>
      <c r="KAX106" s="531"/>
      <c r="KAY106" s="530"/>
      <c r="KAZ106" s="531"/>
      <c r="KBA106" s="530"/>
      <c r="KBB106" s="531"/>
      <c r="KBC106" s="530"/>
      <c r="KBD106" s="531"/>
      <c r="KBE106" s="530"/>
      <c r="KBF106" s="531"/>
      <c r="KBG106" s="530"/>
      <c r="KBH106" s="531"/>
      <c r="KBI106" s="530"/>
      <c r="KBJ106" s="531"/>
      <c r="KBK106" s="530"/>
      <c r="KBL106" s="531"/>
      <c r="KBM106" s="530"/>
      <c r="KBN106" s="531"/>
      <c r="KBO106" s="530"/>
      <c r="KBP106" s="531"/>
      <c r="KBQ106" s="530"/>
      <c r="KBR106" s="531"/>
      <c r="KBS106" s="530"/>
      <c r="KBT106" s="531"/>
      <c r="KBU106" s="530"/>
      <c r="KBV106" s="531"/>
      <c r="KBW106" s="530"/>
      <c r="KBX106" s="531"/>
      <c r="KBY106" s="530"/>
      <c r="KBZ106" s="531"/>
      <c r="KCA106" s="530"/>
      <c r="KCB106" s="531"/>
      <c r="KCC106" s="530"/>
      <c r="KCD106" s="531"/>
      <c r="KCE106" s="530"/>
      <c r="KCF106" s="531"/>
      <c r="KCG106" s="530"/>
      <c r="KCH106" s="531"/>
      <c r="KCI106" s="530"/>
      <c r="KCJ106" s="531"/>
      <c r="KCK106" s="530"/>
      <c r="KCL106" s="531"/>
      <c r="KCM106" s="530"/>
      <c r="KCN106" s="531"/>
      <c r="KCO106" s="530"/>
      <c r="KCP106" s="531"/>
      <c r="KCQ106" s="530"/>
      <c r="KCR106" s="531"/>
      <c r="KCS106" s="530"/>
      <c r="KCT106" s="531"/>
      <c r="KCU106" s="530"/>
      <c r="KCV106" s="531"/>
      <c r="KCW106" s="530"/>
      <c r="KCX106" s="531"/>
      <c r="KCY106" s="530"/>
      <c r="KCZ106" s="531"/>
      <c r="KDA106" s="530"/>
      <c r="KDB106" s="531"/>
      <c r="KDC106" s="530"/>
      <c r="KDD106" s="531"/>
      <c r="KDE106" s="530"/>
      <c r="KDF106" s="531"/>
      <c r="KDG106" s="530"/>
      <c r="KDH106" s="531"/>
      <c r="KDI106" s="530"/>
      <c r="KDJ106" s="531"/>
      <c r="KDK106" s="530"/>
      <c r="KDL106" s="531"/>
      <c r="KDM106" s="530"/>
      <c r="KDN106" s="531"/>
      <c r="KDO106" s="530"/>
      <c r="KDP106" s="531"/>
      <c r="KDQ106" s="530"/>
      <c r="KDR106" s="531"/>
      <c r="KDS106" s="530"/>
      <c r="KDT106" s="531"/>
      <c r="KDU106" s="530"/>
      <c r="KDV106" s="531"/>
      <c r="KDW106" s="530"/>
      <c r="KDX106" s="531"/>
      <c r="KDY106" s="530"/>
      <c r="KDZ106" s="531"/>
      <c r="KEA106" s="530"/>
      <c r="KEB106" s="531"/>
      <c r="KEC106" s="530"/>
      <c r="KED106" s="531"/>
      <c r="KEE106" s="530"/>
      <c r="KEF106" s="531"/>
      <c r="KEG106" s="530"/>
      <c r="KEH106" s="531"/>
      <c r="KEI106" s="530"/>
      <c r="KEJ106" s="531"/>
      <c r="KEK106" s="530"/>
      <c r="KEL106" s="531"/>
      <c r="KEM106" s="530"/>
      <c r="KEN106" s="531"/>
      <c r="KEO106" s="530"/>
      <c r="KEP106" s="531"/>
      <c r="KEQ106" s="530"/>
      <c r="KER106" s="531"/>
      <c r="KES106" s="530"/>
      <c r="KET106" s="531"/>
      <c r="KEU106" s="530"/>
      <c r="KEV106" s="531"/>
      <c r="KEW106" s="530"/>
      <c r="KEX106" s="531"/>
      <c r="KEY106" s="530"/>
      <c r="KEZ106" s="531"/>
      <c r="KFA106" s="530"/>
      <c r="KFB106" s="531"/>
      <c r="KFC106" s="530"/>
      <c r="KFD106" s="531"/>
      <c r="KFE106" s="530"/>
      <c r="KFF106" s="531"/>
      <c r="KFG106" s="530"/>
      <c r="KFH106" s="531"/>
      <c r="KFI106" s="530"/>
      <c r="KFJ106" s="531"/>
      <c r="KFK106" s="530"/>
      <c r="KFL106" s="531"/>
      <c r="KFM106" s="530"/>
      <c r="KFN106" s="531"/>
      <c r="KFO106" s="530"/>
      <c r="KFP106" s="531"/>
      <c r="KFQ106" s="530"/>
      <c r="KFR106" s="531"/>
      <c r="KFS106" s="530"/>
      <c r="KFT106" s="531"/>
      <c r="KFU106" s="530"/>
      <c r="KFV106" s="531"/>
      <c r="KFW106" s="530"/>
      <c r="KFX106" s="531"/>
      <c r="KFY106" s="530"/>
      <c r="KFZ106" s="531"/>
      <c r="KGA106" s="530"/>
      <c r="KGB106" s="531"/>
      <c r="KGC106" s="530"/>
      <c r="KGD106" s="531"/>
      <c r="KGE106" s="530"/>
      <c r="KGF106" s="531"/>
      <c r="KGG106" s="530"/>
      <c r="KGH106" s="531"/>
      <c r="KGI106" s="530"/>
      <c r="KGJ106" s="531"/>
      <c r="KGK106" s="530"/>
      <c r="KGL106" s="531"/>
      <c r="KGM106" s="530"/>
      <c r="KGN106" s="531"/>
      <c r="KGO106" s="530"/>
      <c r="KGP106" s="531"/>
      <c r="KGQ106" s="530"/>
      <c r="KGR106" s="531"/>
      <c r="KGS106" s="530"/>
      <c r="KGT106" s="531"/>
      <c r="KGU106" s="530"/>
      <c r="KGV106" s="531"/>
      <c r="KGW106" s="530"/>
      <c r="KGX106" s="531"/>
      <c r="KGY106" s="530"/>
      <c r="KGZ106" s="531"/>
      <c r="KHA106" s="530"/>
      <c r="KHB106" s="531"/>
      <c r="KHC106" s="530"/>
      <c r="KHD106" s="531"/>
      <c r="KHE106" s="530"/>
      <c r="KHF106" s="531"/>
      <c r="KHG106" s="530"/>
      <c r="KHH106" s="531"/>
      <c r="KHI106" s="530"/>
      <c r="KHJ106" s="531"/>
      <c r="KHK106" s="530"/>
      <c r="KHL106" s="531"/>
      <c r="KHM106" s="530"/>
      <c r="KHN106" s="531"/>
      <c r="KHO106" s="530"/>
      <c r="KHP106" s="531"/>
      <c r="KHQ106" s="530"/>
      <c r="KHR106" s="531"/>
      <c r="KHS106" s="530"/>
      <c r="KHT106" s="531"/>
      <c r="KHU106" s="530"/>
      <c r="KHV106" s="531"/>
      <c r="KHW106" s="530"/>
      <c r="KHX106" s="531"/>
      <c r="KHY106" s="530"/>
      <c r="KHZ106" s="531"/>
      <c r="KIA106" s="530"/>
      <c r="KIB106" s="531"/>
      <c r="KIC106" s="530"/>
      <c r="KID106" s="531"/>
      <c r="KIE106" s="530"/>
      <c r="KIF106" s="531"/>
      <c r="KIG106" s="530"/>
      <c r="KIH106" s="531"/>
      <c r="KII106" s="530"/>
      <c r="KIJ106" s="531"/>
      <c r="KIK106" s="530"/>
      <c r="KIL106" s="531"/>
      <c r="KIM106" s="530"/>
      <c r="KIN106" s="531"/>
      <c r="KIO106" s="530"/>
      <c r="KIP106" s="531"/>
      <c r="KIQ106" s="530"/>
      <c r="KIR106" s="531"/>
      <c r="KIS106" s="530"/>
      <c r="KIT106" s="531"/>
      <c r="KIU106" s="530"/>
      <c r="KIV106" s="531"/>
      <c r="KIW106" s="530"/>
      <c r="KIX106" s="531"/>
      <c r="KIY106" s="530"/>
      <c r="KIZ106" s="531"/>
      <c r="KJA106" s="530"/>
      <c r="KJB106" s="531"/>
      <c r="KJC106" s="530"/>
      <c r="KJD106" s="531"/>
      <c r="KJE106" s="530"/>
      <c r="KJF106" s="531"/>
      <c r="KJG106" s="530"/>
      <c r="KJH106" s="531"/>
      <c r="KJI106" s="530"/>
      <c r="KJJ106" s="531"/>
      <c r="KJK106" s="530"/>
      <c r="KJL106" s="531"/>
      <c r="KJM106" s="530"/>
      <c r="KJN106" s="531"/>
      <c r="KJO106" s="530"/>
      <c r="KJP106" s="531"/>
      <c r="KJQ106" s="530"/>
      <c r="KJR106" s="531"/>
      <c r="KJS106" s="530"/>
      <c r="KJT106" s="531"/>
      <c r="KJU106" s="530"/>
      <c r="KJV106" s="531"/>
      <c r="KJW106" s="530"/>
      <c r="KJX106" s="531"/>
      <c r="KJY106" s="530"/>
      <c r="KJZ106" s="531"/>
      <c r="KKA106" s="530"/>
      <c r="KKB106" s="531"/>
      <c r="KKC106" s="530"/>
      <c r="KKD106" s="531"/>
      <c r="KKE106" s="530"/>
      <c r="KKF106" s="531"/>
      <c r="KKG106" s="530"/>
      <c r="KKH106" s="531"/>
      <c r="KKI106" s="530"/>
      <c r="KKJ106" s="531"/>
      <c r="KKK106" s="530"/>
      <c r="KKL106" s="531"/>
      <c r="KKM106" s="530"/>
      <c r="KKN106" s="531"/>
      <c r="KKO106" s="530"/>
      <c r="KKP106" s="531"/>
      <c r="KKQ106" s="530"/>
      <c r="KKR106" s="531"/>
      <c r="KKS106" s="530"/>
      <c r="KKT106" s="531"/>
      <c r="KKU106" s="530"/>
      <c r="KKV106" s="531"/>
      <c r="KKW106" s="530"/>
      <c r="KKX106" s="531"/>
      <c r="KKY106" s="530"/>
      <c r="KKZ106" s="531"/>
      <c r="KLA106" s="530"/>
      <c r="KLB106" s="531"/>
      <c r="KLC106" s="530"/>
      <c r="KLD106" s="531"/>
      <c r="KLE106" s="530"/>
      <c r="KLF106" s="531"/>
      <c r="KLG106" s="530"/>
      <c r="KLH106" s="531"/>
      <c r="KLI106" s="530"/>
      <c r="KLJ106" s="531"/>
      <c r="KLK106" s="530"/>
      <c r="KLL106" s="531"/>
      <c r="KLM106" s="530"/>
      <c r="KLN106" s="531"/>
      <c r="KLO106" s="530"/>
      <c r="KLP106" s="531"/>
      <c r="KLQ106" s="530"/>
      <c r="KLR106" s="531"/>
      <c r="KLS106" s="530"/>
      <c r="KLT106" s="531"/>
      <c r="KLU106" s="530"/>
      <c r="KLV106" s="531"/>
      <c r="KLW106" s="530"/>
      <c r="KLX106" s="531"/>
      <c r="KLY106" s="530"/>
      <c r="KLZ106" s="531"/>
      <c r="KMA106" s="530"/>
      <c r="KMB106" s="531"/>
      <c r="KMC106" s="530"/>
      <c r="KMD106" s="531"/>
      <c r="KME106" s="530"/>
      <c r="KMF106" s="531"/>
      <c r="KMG106" s="530"/>
      <c r="KMH106" s="531"/>
      <c r="KMI106" s="530"/>
      <c r="KMJ106" s="531"/>
      <c r="KMK106" s="530"/>
      <c r="KML106" s="531"/>
      <c r="KMM106" s="530"/>
      <c r="KMN106" s="531"/>
      <c r="KMO106" s="530"/>
      <c r="KMP106" s="531"/>
      <c r="KMQ106" s="530"/>
      <c r="KMR106" s="531"/>
      <c r="KMS106" s="530"/>
      <c r="KMT106" s="531"/>
      <c r="KMU106" s="530"/>
      <c r="KMV106" s="531"/>
      <c r="KMW106" s="530"/>
      <c r="KMX106" s="531"/>
      <c r="KMY106" s="530"/>
      <c r="KMZ106" s="531"/>
      <c r="KNA106" s="530"/>
      <c r="KNB106" s="531"/>
      <c r="KNC106" s="530"/>
      <c r="KND106" s="531"/>
      <c r="KNE106" s="530"/>
      <c r="KNF106" s="531"/>
      <c r="KNG106" s="530"/>
      <c r="KNH106" s="531"/>
      <c r="KNI106" s="530"/>
      <c r="KNJ106" s="531"/>
      <c r="KNK106" s="530"/>
      <c r="KNL106" s="531"/>
      <c r="KNM106" s="530"/>
      <c r="KNN106" s="531"/>
      <c r="KNO106" s="530"/>
      <c r="KNP106" s="531"/>
      <c r="KNQ106" s="530"/>
      <c r="KNR106" s="531"/>
      <c r="KNS106" s="530"/>
      <c r="KNT106" s="531"/>
      <c r="KNU106" s="530"/>
      <c r="KNV106" s="531"/>
      <c r="KNW106" s="530"/>
      <c r="KNX106" s="531"/>
      <c r="KNY106" s="530"/>
      <c r="KNZ106" s="531"/>
      <c r="KOA106" s="530"/>
      <c r="KOB106" s="531"/>
      <c r="KOC106" s="530"/>
      <c r="KOD106" s="531"/>
      <c r="KOE106" s="530"/>
      <c r="KOF106" s="531"/>
      <c r="KOG106" s="530"/>
      <c r="KOH106" s="531"/>
      <c r="KOI106" s="530"/>
      <c r="KOJ106" s="531"/>
      <c r="KOK106" s="530"/>
      <c r="KOL106" s="531"/>
      <c r="KOM106" s="530"/>
      <c r="KON106" s="531"/>
      <c r="KOO106" s="530"/>
      <c r="KOP106" s="531"/>
      <c r="KOQ106" s="530"/>
      <c r="KOR106" s="531"/>
      <c r="KOS106" s="530"/>
      <c r="KOT106" s="531"/>
      <c r="KOU106" s="530"/>
      <c r="KOV106" s="531"/>
      <c r="KOW106" s="530"/>
      <c r="KOX106" s="531"/>
      <c r="KOY106" s="530"/>
      <c r="KOZ106" s="531"/>
      <c r="KPA106" s="530"/>
      <c r="KPB106" s="531"/>
      <c r="KPC106" s="530"/>
      <c r="KPD106" s="531"/>
      <c r="KPE106" s="530"/>
      <c r="KPF106" s="531"/>
      <c r="KPG106" s="530"/>
      <c r="KPH106" s="531"/>
      <c r="KPI106" s="530"/>
      <c r="KPJ106" s="531"/>
      <c r="KPK106" s="530"/>
      <c r="KPL106" s="531"/>
      <c r="KPM106" s="530"/>
      <c r="KPN106" s="531"/>
      <c r="KPO106" s="530"/>
      <c r="KPP106" s="531"/>
      <c r="KPQ106" s="530"/>
      <c r="KPR106" s="531"/>
      <c r="KPS106" s="530"/>
      <c r="KPT106" s="531"/>
      <c r="KPU106" s="530"/>
      <c r="KPV106" s="531"/>
      <c r="KPW106" s="530"/>
      <c r="KPX106" s="531"/>
      <c r="KPY106" s="530"/>
      <c r="KPZ106" s="531"/>
      <c r="KQA106" s="530"/>
      <c r="KQB106" s="531"/>
      <c r="KQC106" s="530"/>
      <c r="KQD106" s="531"/>
      <c r="KQE106" s="530"/>
      <c r="KQF106" s="531"/>
      <c r="KQG106" s="530"/>
      <c r="KQH106" s="531"/>
      <c r="KQI106" s="530"/>
      <c r="KQJ106" s="531"/>
      <c r="KQK106" s="530"/>
      <c r="KQL106" s="531"/>
      <c r="KQM106" s="530"/>
      <c r="KQN106" s="531"/>
      <c r="KQO106" s="530"/>
      <c r="KQP106" s="531"/>
      <c r="KQQ106" s="530"/>
      <c r="KQR106" s="531"/>
      <c r="KQS106" s="530"/>
      <c r="KQT106" s="531"/>
      <c r="KQU106" s="530"/>
      <c r="KQV106" s="531"/>
      <c r="KQW106" s="530"/>
      <c r="KQX106" s="531"/>
      <c r="KQY106" s="530"/>
      <c r="KQZ106" s="531"/>
      <c r="KRA106" s="530"/>
      <c r="KRB106" s="531"/>
      <c r="KRC106" s="530"/>
      <c r="KRD106" s="531"/>
      <c r="KRE106" s="530"/>
      <c r="KRF106" s="531"/>
      <c r="KRG106" s="530"/>
      <c r="KRH106" s="531"/>
      <c r="KRI106" s="530"/>
      <c r="KRJ106" s="531"/>
      <c r="KRK106" s="530"/>
      <c r="KRL106" s="531"/>
      <c r="KRM106" s="530"/>
      <c r="KRN106" s="531"/>
      <c r="KRO106" s="530"/>
      <c r="KRP106" s="531"/>
      <c r="KRQ106" s="530"/>
      <c r="KRR106" s="531"/>
      <c r="KRS106" s="530"/>
      <c r="KRT106" s="531"/>
      <c r="KRU106" s="530"/>
      <c r="KRV106" s="531"/>
      <c r="KRW106" s="530"/>
      <c r="KRX106" s="531"/>
      <c r="KRY106" s="530"/>
      <c r="KRZ106" s="531"/>
      <c r="KSA106" s="530"/>
      <c r="KSB106" s="531"/>
      <c r="KSC106" s="530"/>
      <c r="KSD106" s="531"/>
      <c r="KSE106" s="530"/>
      <c r="KSF106" s="531"/>
      <c r="KSG106" s="530"/>
      <c r="KSH106" s="531"/>
      <c r="KSI106" s="530"/>
      <c r="KSJ106" s="531"/>
      <c r="KSK106" s="530"/>
      <c r="KSL106" s="531"/>
      <c r="KSM106" s="530"/>
      <c r="KSN106" s="531"/>
      <c r="KSO106" s="530"/>
      <c r="KSP106" s="531"/>
      <c r="KSQ106" s="530"/>
      <c r="KSR106" s="531"/>
      <c r="KSS106" s="530"/>
      <c r="KST106" s="531"/>
      <c r="KSU106" s="530"/>
      <c r="KSV106" s="531"/>
      <c r="KSW106" s="530"/>
      <c r="KSX106" s="531"/>
      <c r="KSY106" s="530"/>
      <c r="KSZ106" s="531"/>
      <c r="KTA106" s="530"/>
      <c r="KTB106" s="531"/>
      <c r="KTC106" s="530"/>
      <c r="KTD106" s="531"/>
      <c r="KTE106" s="530"/>
      <c r="KTF106" s="531"/>
      <c r="KTG106" s="530"/>
      <c r="KTH106" s="531"/>
      <c r="KTI106" s="530"/>
      <c r="KTJ106" s="531"/>
      <c r="KTK106" s="530"/>
      <c r="KTL106" s="531"/>
      <c r="KTM106" s="530"/>
      <c r="KTN106" s="531"/>
      <c r="KTO106" s="530"/>
      <c r="KTP106" s="531"/>
      <c r="KTQ106" s="530"/>
      <c r="KTR106" s="531"/>
      <c r="KTS106" s="530"/>
      <c r="KTT106" s="531"/>
      <c r="KTU106" s="530"/>
      <c r="KTV106" s="531"/>
      <c r="KTW106" s="530"/>
      <c r="KTX106" s="531"/>
      <c r="KTY106" s="530"/>
      <c r="KTZ106" s="531"/>
      <c r="KUA106" s="530"/>
      <c r="KUB106" s="531"/>
      <c r="KUC106" s="530"/>
      <c r="KUD106" s="531"/>
      <c r="KUE106" s="530"/>
      <c r="KUF106" s="531"/>
      <c r="KUG106" s="530"/>
      <c r="KUH106" s="531"/>
      <c r="KUI106" s="530"/>
      <c r="KUJ106" s="531"/>
      <c r="KUK106" s="530"/>
      <c r="KUL106" s="531"/>
      <c r="KUM106" s="530"/>
      <c r="KUN106" s="531"/>
      <c r="KUO106" s="530"/>
      <c r="KUP106" s="531"/>
      <c r="KUQ106" s="530"/>
      <c r="KUR106" s="531"/>
      <c r="KUS106" s="530"/>
      <c r="KUT106" s="531"/>
      <c r="KUU106" s="530"/>
      <c r="KUV106" s="531"/>
      <c r="KUW106" s="530"/>
      <c r="KUX106" s="531"/>
      <c r="KUY106" s="530"/>
      <c r="KUZ106" s="531"/>
      <c r="KVA106" s="530"/>
      <c r="KVB106" s="531"/>
      <c r="KVC106" s="530"/>
      <c r="KVD106" s="531"/>
      <c r="KVE106" s="530"/>
      <c r="KVF106" s="531"/>
      <c r="KVG106" s="530"/>
      <c r="KVH106" s="531"/>
      <c r="KVI106" s="530"/>
      <c r="KVJ106" s="531"/>
      <c r="KVK106" s="530"/>
      <c r="KVL106" s="531"/>
      <c r="KVM106" s="530"/>
      <c r="KVN106" s="531"/>
      <c r="KVO106" s="530"/>
      <c r="KVP106" s="531"/>
      <c r="KVQ106" s="530"/>
      <c r="KVR106" s="531"/>
      <c r="KVS106" s="530"/>
      <c r="KVT106" s="531"/>
      <c r="KVU106" s="530"/>
      <c r="KVV106" s="531"/>
      <c r="KVW106" s="530"/>
      <c r="KVX106" s="531"/>
      <c r="KVY106" s="530"/>
      <c r="KVZ106" s="531"/>
      <c r="KWA106" s="530"/>
      <c r="KWB106" s="531"/>
      <c r="KWC106" s="530"/>
      <c r="KWD106" s="531"/>
      <c r="KWE106" s="530"/>
      <c r="KWF106" s="531"/>
      <c r="KWG106" s="530"/>
      <c r="KWH106" s="531"/>
      <c r="KWI106" s="530"/>
      <c r="KWJ106" s="531"/>
      <c r="KWK106" s="530"/>
      <c r="KWL106" s="531"/>
      <c r="KWM106" s="530"/>
      <c r="KWN106" s="531"/>
      <c r="KWO106" s="530"/>
      <c r="KWP106" s="531"/>
      <c r="KWQ106" s="530"/>
      <c r="KWR106" s="531"/>
      <c r="KWS106" s="530"/>
      <c r="KWT106" s="531"/>
      <c r="KWU106" s="530"/>
      <c r="KWV106" s="531"/>
      <c r="KWW106" s="530"/>
      <c r="KWX106" s="531"/>
      <c r="KWY106" s="530"/>
      <c r="KWZ106" s="531"/>
      <c r="KXA106" s="530"/>
      <c r="KXB106" s="531"/>
      <c r="KXC106" s="530"/>
      <c r="KXD106" s="531"/>
      <c r="KXE106" s="530"/>
      <c r="KXF106" s="531"/>
      <c r="KXG106" s="530"/>
      <c r="KXH106" s="531"/>
      <c r="KXI106" s="530"/>
      <c r="KXJ106" s="531"/>
      <c r="KXK106" s="530"/>
      <c r="KXL106" s="531"/>
      <c r="KXM106" s="530"/>
      <c r="KXN106" s="531"/>
      <c r="KXO106" s="530"/>
      <c r="KXP106" s="531"/>
      <c r="KXQ106" s="530"/>
      <c r="KXR106" s="531"/>
      <c r="KXS106" s="530"/>
      <c r="KXT106" s="531"/>
      <c r="KXU106" s="530"/>
      <c r="KXV106" s="531"/>
      <c r="KXW106" s="530"/>
      <c r="KXX106" s="531"/>
      <c r="KXY106" s="530"/>
      <c r="KXZ106" s="531"/>
      <c r="KYA106" s="530"/>
      <c r="KYB106" s="531"/>
      <c r="KYC106" s="530"/>
      <c r="KYD106" s="531"/>
      <c r="KYE106" s="530"/>
      <c r="KYF106" s="531"/>
      <c r="KYG106" s="530"/>
      <c r="KYH106" s="531"/>
      <c r="KYI106" s="530"/>
      <c r="KYJ106" s="531"/>
      <c r="KYK106" s="530"/>
      <c r="KYL106" s="531"/>
      <c r="KYM106" s="530"/>
      <c r="KYN106" s="531"/>
      <c r="KYO106" s="530"/>
      <c r="KYP106" s="531"/>
      <c r="KYQ106" s="530"/>
      <c r="KYR106" s="531"/>
      <c r="KYS106" s="530"/>
      <c r="KYT106" s="531"/>
      <c r="KYU106" s="530"/>
      <c r="KYV106" s="531"/>
      <c r="KYW106" s="530"/>
      <c r="KYX106" s="531"/>
      <c r="KYY106" s="530"/>
      <c r="KYZ106" s="531"/>
      <c r="KZA106" s="530"/>
      <c r="KZB106" s="531"/>
      <c r="KZC106" s="530"/>
      <c r="KZD106" s="531"/>
      <c r="KZE106" s="530"/>
      <c r="KZF106" s="531"/>
      <c r="KZG106" s="530"/>
      <c r="KZH106" s="531"/>
      <c r="KZI106" s="530"/>
      <c r="KZJ106" s="531"/>
      <c r="KZK106" s="530"/>
      <c r="KZL106" s="531"/>
      <c r="KZM106" s="530"/>
      <c r="KZN106" s="531"/>
      <c r="KZO106" s="530"/>
      <c r="KZP106" s="531"/>
      <c r="KZQ106" s="530"/>
      <c r="KZR106" s="531"/>
      <c r="KZS106" s="530"/>
      <c r="KZT106" s="531"/>
      <c r="KZU106" s="530"/>
      <c r="KZV106" s="531"/>
      <c r="KZW106" s="530"/>
      <c r="KZX106" s="531"/>
      <c r="KZY106" s="530"/>
      <c r="KZZ106" s="531"/>
      <c r="LAA106" s="530"/>
      <c r="LAB106" s="531"/>
      <c r="LAC106" s="530"/>
      <c r="LAD106" s="531"/>
      <c r="LAE106" s="530"/>
      <c r="LAF106" s="531"/>
      <c r="LAG106" s="530"/>
      <c r="LAH106" s="531"/>
      <c r="LAI106" s="530"/>
      <c r="LAJ106" s="531"/>
      <c r="LAK106" s="530"/>
      <c r="LAL106" s="531"/>
      <c r="LAM106" s="530"/>
      <c r="LAN106" s="531"/>
      <c r="LAO106" s="530"/>
      <c r="LAP106" s="531"/>
      <c r="LAQ106" s="530"/>
      <c r="LAR106" s="531"/>
      <c r="LAS106" s="530"/>
      <c r="LAT106" s="531"/>
      <c r="LAU106" s="530"/>
      <c r="LAV106" s="531"/>
      <c r="LAW106" s="530"/>
      <c r="LAX106" s="531"/>
      <c r="LAY106" s="530"/>
      <c r="LAZ106" s="531"/>
      <c r="LBA106" s="530"/>
      <c r="LBB106" s="531"/>
      <c r="LBC106" s="530"/>
      <c r="LBD106" s="531"/>
      <c r="LBE106" s="530"/>
      <c r="LBF106" s="531"/>
      <c r="LBG106" s="530"/>
      <c r="LBH106" s="531"/>
      <c r="LBI106" s="530"/>
      <c r="LBJ106" s="531"/>
      <c r="LBK106" s="530"/>
      <c r="LBL106" s="531"/>
      <c r="LBM106" s="530"/>
      <c r="LBN106" s="531"/>
      <c r="LBO106" s="530"/>
      <c r="LBP106" s="531"/>
      <c r="LBQ106" s="530"/>
      <c r="LBR106" s="531"/>
      <c r="LBS106" s="530"/>
      <c r="LBT106" s="531"/>
      <c r="LBU106" s="530"/>
      <c r="LBV106" s="531"/>
      <c r="LBW106" s="530"/>
      <c r="LBX106" s="531"/>
      <c r="LBY106" s="530"/>
      <c r="LBZ106" s="531"/>
      <c r="LCA106" s="530"/>
      <c r="LCB106" s="531"/>
      <c r="LCC106" s="530"/>
      <c r="LCD106" s="531"/>
      <c r="LCE106" s="530"/>
      <c r="LCF106" s="531"/>
      <c r="LCG106" s="530"/>
      <c r="LCH106" s="531"/>
      <c r="LCI106" s="530"/>
      <c r="LCJ106" s="531"/>
      <c r="LCK106" s="530"/>
      <c r="LCL106" s="531"/>
      <c r="LCM106" s="530"/>
      <c r="LCN106" s="531"/>
      <c r="LCO106" s="530"/>
      <c r="LCP106" s="531"/>
      <c r="LCQ106" s="530"/>
      <c r="LCR106" s="531"/>
      <c r="LCS106" s="530"/>
      <c r="LCT106" s="531"/>
      <c r="LCU106" s="530"/>
      <c r="LCV106" s="531"/>
      <c r="LCW106" s="530"/>
      <c r="LCX106" s="531"/>
      <c r="LCY106" s="530"/>
      <c r="LCZ106" s="531"/>
      <c r="LDA106" s="530"/>
      <c r="LDB106" s="531"/>
      <c r="LDC106" s="530"/>
      <c r="LDD106" s="531"/>
      <c r="LDE106" s="530"/>
      <c r="LDF106" s="531"/>
      <c r="LDG106" s="530"/>
      <c r="LDH106" s="531"/>
      <c r="LDI106" s="530"/>
      <c r="LDJ106" s="531"/>
      <c r="LDK106" s="530"/>
      <c r="LDL106" s="531"/>
      <c r="LDM106" s="530"/>
      <c r="LDN106" s="531"/>
      <c r="LDO106" s="530"/>
      <c r="LDP106" s="531"/>
      <c r="LDQ106" s="530"/>
      <c r="LDR106" s="531"/>
      <c r="LDS106" s="530"/>
      <c r="LDT106" s="531"/>
      <c r="LDU106" s="530"/>
      <c r="LDV106" s="531"/>
      <c r="LDW106" s="530"/>
      <c r="LDX106" s="531"/>
      <c r="LDY106" s="530"/>
      <c r="LDZ106" s="531"/>
      <c r="LEA106" s="530"/>
      <c r="LEB106" s="531"/>
      <c r="LEC106" s="530"/>
      <c r="LED106" s="531"/>
      <c r="LEE106" s="530"/>
      <c r="LEF106" s="531"/>
      <c r="LEG106" s="530"/>
      <c r="LEH106" s="531"/>
      <c r="LEI106" s="530"/>
      <c r="LEJ106" s="531"/>
      <c r="LEK106" s="530"/>
      <c r="LEL106" s="531"/>
      <c r="LEM106" s="530"/>
      <c r="LEN106" s="531"/>
      <c r="LEO106" s="530"/>
      <c r="LEP106" s="531"/>
      <c r="LEQ106" s="530"/>
      <c r="LER106" s="531"/>
      <c r="LES106" s="530"/>
      <c r="LET106" s="531"/>
      <c r="LEU106" s="530"/>
      <c r="LEV106" s="531"/>
      <c r="LEW106" s="530"/>
      <c r="LEX106" s="531"/>
      <c r="LEY106" s="530"/>
      <c r="LEZ106" s="531"/>
      <c r="LFA106" s="530"/>
      <c r="LFB106" s="531"/>
      <c r="LFC106" s="530"/>
      <c r="LFD106" s="531"/>
      <c r="LFE106" s="530"/>
      <c r="LFF106" s="531"/>
      <c r="LFG106" s="530"/>
      <c r="LFH106" s="531"/>
      <c r="LFI106" s="530"/>
      <c r="LFJ106" s="531"/>
      <c r="LFK106" s="530"/>
      <c r="LFL106" s="531"/>
      <c r="LFM106" s="530"/>
      <c r="LFN106" s="531"/>
      <c r="LFO106" s="530"/>
      <c r="LFP106" s="531"/>
      <c r="LFQ106" s="530"/>
      <c r="LFR106" s="531"/>
      <c r="LFS106" s="530"/>
      <c r="LFT106" s="531"/>
      <c r="LFU106" s="530"/>
      <c r="LFV106" s="531"/>
      <c r="LFW106" s="530"/>
      <c r="LFX106" s="531"/>
      <c r="LFY106" s="530"/>
      <c r="LFZ106" s="531"/>
      <c r="LGA106" s="530"/>
      <c r="LGB106" s="531"/>
      <c r="LGC106" s="530"/>
      <c r="LGD106" s="531"/>
      <c r="LGE106" s="530"/>
      <c r="LGF106" s="531"/>
      <c r="LGG106" s="530"/>
      <c r="LGH106" s="531"/>
      <c r="LGI106" s="530"/>
      <c r="LGJ106" s="531"/>
      <c r="LGK106" s="530"/>
      <c r="LGL106" s="531"/>
      <c r="LGM106" s="530"/>
      <c r="LGN106" s="531"/>
      <c r="LGO106" s="530"/>
      <c r="LGP106" s="531"/>
      <c r="LGQ106" s="530"/>
      <c r="LGR106" s="531"/>
      <c r="LGS106" s="530"/>
      <c r="LGT106" s="531"/>
      <c r="LGU106" s="530"/>
      <c r="LGV106" s="531"/>
      <c r="LGW106" s="530"/>
      <c r="LGX106" s="531"/>
      <c r="LGY106" s="530"/>
      <c r="LGZ106" s="531"/>
      <c r="LHA106" s="530"/>
      <c r="LHB106" s="531"/>
      <c r="LHC106" s="530"/>
      <c r="LHD106" s="531"/>
      <c r="LHE106" s="530"/>
      <c r="LHF106" s="531"/>
      <c r="LHG106" s="530"/>
      <c r="LHH106" s="531"/>
      <c r="LHI106" s="530"/>
      <c r="LHJ106" s="531"/>
      <c r="LHK106" s="530"/>
      <c r="LHL106" s="531"/>
      <c r="LHM106" s="530"/>
      <c r="LHN106" s="531"/>
      <c r="LHO106" s="530"/>
      <c r="LHP106" s="531"/>
      <c r="LHQ106" s="530"/>
      <c r="LHR106" s="531"/>
      <c r="LHS106" s="530"/>
      <c r="LHT106" s="531"/>
      <c r="LHU106" s="530"/>
      <c r="LHV106" s="531"/>
      <c r="LHW106" s="530"/>
      <c r="LHX106" s="531"/>
      <c r="LHY106" s="530"/>
      <c r="LHZ106" s="531"/>
      <c r="LIA106" s="530"/>
      <c r="LIB106" s="531"/>
      <c r="LIC106" s="530"/>
      <c r="LID106" s="531"/>
      <c r="LIE106" s="530"/>
      <c r="LIF106" s="531"/>
      <c r="LIG106" s="530"/>
      <c r="LIH106" s="531"/>
      <c r="LII106" s="530"/>
      <c r="LIJ106" s="531"/>
      <c r="LIK106" s="530"/>
      <c r="LIL106" s="531"/>
      <c r="LIM106" s="530"/>
      <c r="LIN106" s="531"/>
      <c r="LIO106" s="530"/>
      <c r="LIP106" s="531"/>
      <c r="LIQ106" s="530"/>
      <c r="LIR106" s="531"/>
      <c r="LIS106" s="530"/>
      <c r="LIT106" s="531"/>
      <c r="LIU106" s="530"/>
      <c r="LIV106" s="531"/>
      <c r="LIW106" s="530"/>
      <c r="LIX106" s="531"/>
      <c r="LIY106" s="530"/>
      <c r="LIZ106" s="531"/>
      <c r="LJA106" s="530"/>
      <c r="LJB106" s="531"/>
      <c r="LJC106" s="530"/>
      <c r="LJD106" s="531"/>
      <c r="LJE106" s="530"/>
      <c r="LJF106" s="531"/>
      <c r="LJG106" s="530"/>
      <c r="LJH106" s="531"/>
      <c r="LJI106" s="530"/>
      <c r="LJJ106" s="531"/>
      <c r="LJK106" s="530"/>
      <c r="LJL106" s="531"/>
      <c r="LJM106" s="530"/>
      <c r="LJN106" s="531"/>
      <c r="LJO106" s="530"/>
      <c r="LJP106" s="531"/>
      <c r="LJQ106" s="530"/>
      <c r="LJR106" s="531"/>
      <c r="LJS106" s="530"/>
      <c r="LJT106" s="531"/>
      <c r="LJU106" s="530"/>
      <c r="LJV106" s="531"/>
      <c r="LJW106" s="530"/>
      <c r="LJX106" s="531"/>
      <c r="LJY106" s="530"/>
      <c r="LJZ106" s="531"/>
      <c r="LKA106" s="530"/>
      <c r="LKB106" s="531"/>
      <c r="LKC106" s="530"/>
      <c r="LKD106" s="531"/>
      <c r="LKE106" s="530"/>
      <c r="LKF106" s="531"/>
      <c r="LKG106" s="530"/>
      <c r="LKH106" s="531"/>
      <c r="LKI106" s="530"/>
      <c r="LKJ106" s="531"/>
      <c r="LKK106" s="530"/>
      <c r="LKL106" s="531"/>
      <c r="LKM106" s="530"/>
      <c r="LKN106" s="531"/>
      <c r="LKO106" s="530"/>
      <c r="LKP106" s="531"/>
      <c r="LKQ106" s="530"/>
      <c r="LKR106" s="531"/>
      <c r="LKS106" s="530"/>
      <c r="LKT106" s="531"/>
      <c r="LKU106" s="530"/>
      <c r="LKV106" s="531"/>
      <c r="LKW106" s="530"/>
      <c r="LKX106" s="531"/>
      <c r="LKY106" s="530"/>
      <c r="LKZ106" s="531"/>
      <c r="LLA106" s="530"/>
      <c r="LLB106" s="531"/>
      <c r="LLC106" s="530"/>
      <c r="LLD106" s="531"/>
      <c r="LLE106" s="530"/>
      <c r="LLF106" s="531"/>
      <c r="LLG106" s="530"/>
      <c r="LLH106" s="531"/>
      <c r="LLI106" s="530"/>
      <c r="LLJ106" s="531"/>
      <c r="LLK106" s="530"/>
      <c r="LLL106" s="531"/>
      <c r="LLM106" s="530"/>
      <c r="LLN106" s="531"/>
      <c r="LLO106" s="530"/>
      <c r="LLP106" s="531"/>
      <c r="LLQ106" s="530"/>
      <c r="LLR106" s="531"/>
      <c r="LLS106" s="530"/>
      <c r="LLT106" s="531"/>
      <c r="LLU106" s="530"/>
      <c r="LLV106" s="531"/>
      <c r="LLW106" s="530"/>
      <c r="LLX106" s="531"/>
      <c r="LLY106" s="530"/>
      <c r="LLZ106" s="531"/>
      <c r="LMA106" s="530"/>
      <c r="LMB106" s="531"/>
      <c r="LMC106" s="530"/>
      <c r="LMD106" s="531"/>
      <c r="LME106" s="530"/>
      <c r="LMF106" s="531"/>
      <c r="LMG106" s="530"/>
      <c r="LMH106" s="531"/>
      <c r="LMI106" s="530"/>
      <c r="LMJ106" s="531"/>
      <c r="LMK106" s="530"/>
      <c r="LML106" s="531"/>
      <c r="LMM106" s="530"/>
      <c r="LMN106" s="531"/>
      <c r="LMO106" s="530"/>
      <c r="LMP106" s="531"/>
      <c r="LMQ106" s="530"/>
      <c r="LMR106" s="531"/>
      <c r="LMS106" s="530"/>
      <c r="LMT106" s="531"/>
      <c r="LMU106" s="530"/>
      <c r="LMV106" s="531"/>
      <c r="LMW106" s="530"/>
      <c r="LMX106" s="531"/>
      <c r="LMY106" s="530"/>
      <c r="LMZ106" s="531"/>
      <c r="LNA106" s="530"/>
      <c r="LNB106" s="531"/>
      <c r="LNC106" s="530"/>
      <c r="LND106" s="531"/>
      <c r="LNE106" s="530"/>
      <c r="LNF106" s="531"/>
      <c r="LNG106" s="530"/>
      <c r="LNH106" s="531"/>
      <c r="LNI106" s="530"/>
      <c r="LNJ106" s="531"/>
      <c r="LNK106" s="530"/>
      <c r="LNL106" s="531"/>
      <c r="LNM106" s="530"/>
      <c r="LNN106" s="531"/>
      <c r="LNO106" s="530"/>
      <c r="LNP106" s="531"/>
      <c r="LNQ106" s="530"/>
      <c r="LNR106" s="531"/>
      <c r="LNS106" s="530"/>
      <c r="LNT106" s="531"/>
      <c r="LNU106" s="530"/>
      <c r="LNV106" s="531"/>
      <c r="LNW106" s="530"/>
      <c r="LNX106" s="531"/>
      <c r="LNY106" s="530"/>
      <c r="LNZ106" s="531"/>
      <c r="LOA106" s="530"/>
      <c r="LOB106" s="531"/>
      <c r="LOC106" s="530"/>
      <c r="LOD106" s="531"/>
      <c r="LOE106" s="530"/>
      <c r="LOF106" s="531"/>
      <c r="LOG106" s="530"/>
      <c r="LOH106" s="531"/>
      <c r="LOI106" s="530"/>
      <c r="LOJ106" s="531"/>
      <c r="LOK106" s="530"/>
      <c r="LOL106" s="531"/>
      <c r="LOM106" s="530"/>
      <c r="LON106" s="531"/>
      <c r="LOO106" s="530"/>
      <c r="LOP106" s="531"/>
      <c r="LOQ106" s="530"/>
      <c r="LOR106" s="531"/>
      <c r="LOS106" s="530"/>
      <c r="LOT106" s="531"/>
      <c r="LOU106" s="530"/>
      <c r="LOV106" s="531"/>
      <c r="LOW106" s="530"/>
      <c r="LOX106" s="531"/>
      <c r="LOY106" s="530"/>
      <c r="LOZ106" s="531"/>
      <c r="LPA106" s="530"/>
      <c r="LPB106" s="531"/>
      <c r="LPC106" s="530"/>
      <c r="LPD106" s="531"/>
      <c r="LPE106" s="530"/>
      <c r="LPF106" s="531"/>
      <c r="LPG106" s="530"/>
      <c r="LPH106" s="531"/>
      <c r="LPI106" s="530"/>
      <c r="LPJ106" s="531"/>
      <c r="LPK106" s="530"/>
      <c r="LPL106" s="531"/>
      <c r="LPM106" s="530"/>
      <c r="LPN106" s="531"/>
      <c r="LPO106" s="530"/>
      <c r="LPP106" s="531"/>
      <c r="LPQ106" s="530"/>
      <c r="LPR106" s="531"/>
      <c r="LPS106" s="530"/>
      <c r="LPT106" s="531"/>
      <c r="LPU106" s="530"/>
      <c r="LPV106" s="531"/>
      <c r="LPW106" s="530"/>
      <c r="LPX106" s="531"/>
      <c r="LPY106" s="530"/>
      <c r="LPZ106" s="531"/>
      <c r="LQA106" s="530"/>
      <c r="LQB106" s="531"/>
      <c r="LQC106" s="530"/>
      <c r="LQD106" s="531"/>
      <c r="LQE106" s="530"/>
      <c r="LQF106" s="531"/>
      <c r="LQG106" s="530"/>
      <c r="LQH106" s="531"/>
      <c r="LQI106" s="530"/>
      <c r="LQJ106" s="531"/>
      <c r="LQK106" s="530"/>
      <c r="LQL106" s="531"/>
      <c r="LQM106" s="530"/>
      <c r="LQN106" s="531"/>
      <c r="LQO106" s="530"/>
      <c r="LQP106" s="531"/>
      <c r="LQQ106" s="530"/>
      <c r="LQR106" s="531"/>
      <c r="LQS106" s="530"/>
      <c r="LQT106" s="531"/>
      <c r="LQU106" s="530"/>
      <c r="LQV106" s="531"/>
      <c r="LQW106" s="530"/>
      <c r="LQX106" s="531"/>
      <c r="LQY106" s="530"/>
      <c r="LQZ106" s="531"/>
      <c r="LRA106" s="530"/>
      <c r="LRB106" s="531"/>
      <c r="LRC106" s="530"/>
      <c r="LRD106" s="531"/>
      <c r="LRE106" s="530"/>
      <c r="LRF106" s="531"/>
      <c r="LRG106" s="530"/>
      <c r="LRH106" s="531"/>
      <c r="LRI106" s="530"/>
      <c r="LRJ106" s="531"/>
      <c r="LRK106" s="530"/>
      <c r="LRL106" s="531"/>
      <c r="LRM106" s="530"/>
      <c r="LRN106" s="531"/>
      <c r="LRO106" s="530"/>
      <c r="LRP106" s="531"/>
      <c r="LRQ106" s="530"/>
      <c r="LRR106" s="531"/>
      <c r="LRS106" s="530"/>
      <c r="LRT106" s="531"/>
      <c r="LRU106" s="530"/>
      <c r="LRV106" s="531"/>
      <c r="LRW106" s="530"/>
      <c r="LRX106" s="531"/>
      <c r="LRY106" s="530"/>
      <c r="LRZ106" s="531"/>
      <c r="LSA106" s="530"/>
      <c r="LSB106" s="531"/>
      <c r="LSC106" s="530"/>
      <c r="LSD106" s="531"/>
      <c r="LSE106" s="530"/>
      <c r="LSF106" s="531"/>
      <c r="LSG106" s="530"/>
      <c r="LSH106" s="531"/>
      <c r="LSI106" s="530"/>
      <c r="LSJ106" s="531"/>
      <c r="LSK106" s="530"/>
      <c r="LSL106" s="531"/>
      <c r="LSM106" s="530"/>
      <c r="LSN106" s="531"/>
      <c r="LSO106" s="530"/>
      <c r="LSP106" s="531"/>
      <c r="LSQ106" s="530"/>
      <c r="LSR106" s="531"/>
      <c r="LSS106" s="530"/>
      <c r="LST106" s="531"/>
      <c r="LSU106" s="530"/>
      <c r="LSV106" s="531"/>
      <c r="LSW106" s="530"/>
      <c r="LSX106" s="531"/>
      <c r="LSY106" s="530"/>
      <c r="LSZ106" s="531"/>
      <c r="LTA106" s="530"/>
      <c r="LTB106" s="531"/>
      <c r="LTC106" s="530"/>
      <c r="LTD106" s="531"/>
      <c r="LTE106" s="530"/>
      <c r="LTF106" s="531"/>
      <c r="LTG106" s="530"/>
      <c r="LTH106" s="531"/>
      <c r="LTI106" s="530"/>
      <c r="LTJ106" s="531"/>
      <c r="LTK106" s="530"/>
      <c r="LTL106" s="531"/>
      <c r="LTM106" s="530"/>
      <c r="LTN106" s="531"/>
      <c r="LTO106" s="530"/>
      <c r="LTP106" s="531"/>
      <c r="LTQ106" s="530"/>
      <c r="LTR106" s="531"/>
      <c r="LTS106" s="530"/>
      <c r="LTT106" s="531"/>
      <c r="LTU106" s="530"/>
      <c r="LTV106" s="531"/>
      <c r="LTW106" s="530"/>
      <c r="LTX106" s="531"/>
      <c r="LTY106" s="530"/>
      <c r="LTZ106" s="531"/>
      <c r="LUA106" s="530"/>
      <c r="LUB106" s="531"/>
      <c r="LUC106" s="530"/>
      <c r="LUD106" s="531"/>
      <c r="LUE106" s="530"/>
      <c r="LUF106" s="531"/>
      <c r="LUG106" s="530"/>
      <c r="LUH106" s="531"/>
      <c r="LUI106" s="530"/>
      <c r="LUJ106" s="531"/>
      <c r="LUK106" s="530"/>
      <c r="LUL106" s="531"/>
      <c r="LUM106" s="530"/>
      <c r="LUN106" s="531"/>
      <c r="LUO106" s="530"/>
      <c r="LUP106" s="531"/>
      <c r="LUQ106" s="530"/>
      <c r="LUR106" s="531"/>
      <c r="LUS106" s="530"/>
      <c r="LUT106" s="531"/>
      <c r="LUU106" s="530"/>
      <c r="LUV106" s="531"/>
      <c r="LUW106" s="530"/>
      <c r="LUX106" s="531"/>
      <c r="LUY106" s="530"/>
      <c r="LUZ106" s="531"/>
      <c r="LVA106" s="530"/>
      <c r="LVB106" s="531"/>
      <c r="LVC106" s="530"/>
      <c r="LVD106" s="531"/>
      <c r="LVE106" s="530"/>
      <c r="LVF106" s="531"/>
      <c r="LVG106" s="530"/>
      <c r="LVH106" s="531"/>
      <c r="LVI106" s="530"/>
      <c r="LVJ106" s="531"/>
      <c r="LVK106" s="530"/>
      <c r="LVL106" s="531"/>
      <c r="LVM106" s="530"/>
      <c r="LVN106" s="531"/>
      <c r="LVO106" s="530"/>
      <c r="LVP106" s="531"/>
      <c r="LVQ106" s="530"/>
      <c r="LVR106" s="531"/>
      <c r="LVS106" s="530"/>
      <c r="LVT106" s="531"/>
      <c r="LVU106" s="530"/>
      <c r="LVV106" s="531"/>
      <c r="LVW106" s="530"/>
      <c r="LVX106" s="531"/>
      <c r="LVY106" s="530"/>
      <c r="LVZ106" s="531"/>
      <c r="LWA106" s="530"/>
      <c r="LWB106" s="531"/>
      <c r="LWC106" s="530"/>
      <c r="LWD106" s="531"/>
      <c r="LWE106" s="530"/>
      <c r="LWF106" s="531"/>
      <c r="LWG106" s="530"/>
      <c r="LWH106" s="531"/>
      <c r="LWI106" s="530"/>
      <c r="LWJ106" s="531"/>
      <c r="LWK106" s="530"/>
      <c r="LWL106" s="531"/>
      <c r="LWM106" s="530"/>
      <c r="LWN106" s="531"/>
      <c r="LWO106" s="530"/>
      <c r="LWP106" s="531"/>
      <c r="LWQ106" s="530"/>
      <c r="LWR106" s="531"/>
      <c r="LWS106" s="530"/>
      <c r="LWT106" s="531"/>
      <c r="LWU106" s="530"/>
      <c r="LWV106" s="531"/>
      <c r="LWW106" s="530"/>
      <c r="LWX106" s="531"/>
      <c r="LWY106" s="530"/>
      <c r="LWZ106" s="531"/>
      <c r="LXA106" s="530"/>
      <c r="LXB106" s="531"/>
      <c r="LXC106" s="530"/>
      <c r="LXD106" s="531"/>
      <c r="LXE106" s="530"/>
      <c r="LXF106" s="531"/>
      <c r="LXG106" s="530"/>
      <c r="LXH106" s="531"/>
      <c r="LXI106" s="530"/>
      <c r="LXJ106" s="531"/>
      <c r="LXK106" s="530"/>
      <c r="LXL106" s="531"/>
      <c r="LXM106" s="530"/>
      <c r="LXN106" s="531"/>
      <c r="LXO106" s="530"/>
      <c r="LXP106" s="531"/>
      <c r="LXQ106" s="530"/>
      <c r="LXR106" s="531"/>
      <c r="LXS106" s="530"/>
      <c r="LXT106" s="531"/>
      <c r="LXU106" s="530"/>
      <c r="LXV106" s="531"/>
      <c r="LXW106" s="530"/>
      <c r="LXX106" s="531"/>
      <c r="LXY106" s="530"/>
      <c r="LXZ106" s="531"/>
      <c r="LYA106" s="530"/>
      <c r="LYB106" s="531"/>
      <c r="LYC106" s="530"/>
      <c r="LYD106" s="531"/>
      <c r="LYE106" s="530"/>
      <c r="LYF106" s="531"/>
      <c r="LYG106" s="530"/>
      <c r="LYH106" s="531"/>
      <c r="LYI106" s="530"/>
      <c r="LYJ106" s="531"/>
      <c r="LYK106" s="530"/>
      <c r="LYL106" s="531"/>
      <c r="LYM106" s="530"/>
      <c r="LYN106" s="531"/>
      <c r="LYO106" s="530"/>
      <c r="LYP106" s="531"/>
      <c r="LYQ106" s="530"/>
      <c r="LYR106" s="531"/>
      <c r="LYS106" s="530"/>
      <c r="LYT106" s="531"/>
      <c r="LYU106" s="530"/>
      <c r="LYV106" s="531"/>
      <c r="LYW106" s="530"/>
      <c r="LYX106" s="531"/>
      <c r="LYY106" s="530"/>
      <c r="LYZ106" s="531"/>
      <c r="LZA106" s="530"/>
      <c r="LZB106" s="531"/>
      <c r="LZC106" s="530"/>
      <c r="LZD106" s="531"/>
      <c r="LZE106" s="530"/>
      <c r="LZF106" s="531"/>
      <c r="LZG106" s="530"/>
      <c r="LZH106" s="531"/>
      <c r="LZI106" s="530"/>
      <c r="LZJ106" s="531"/>
      <c r="LZK106" s="530"/>
      <c r="LZL106" s="531"/>
      <c r="LZM106" s="530"/>
      <c r="LZN106" s="531"/>
      <c r="LZO106" s="530"/>
      <c r="LZP106" s="531"/>
      <c r="LZQ106" s="530"/>
      <c r="LZR106" s="531"/>
      <c r="LZS106" s="530"/>
      <c r="LZT106" s="531"/>
      <c r="LZU106" s="530"/>
      <c r="LZV106" s="531"/>
      <c r="LZW106" s="530"/>
      <c r="LZX106" s="531"/>
      <c r="LZY106" s="530"/>
      <c r="LZZ106" s="531"/>
      <c r="MAA106" s="530"/>
      <c r="MAB106" s="531"/>
      <c r="MAC106" s="530"/>
      <c r="MAD106" s="531"/>
      <c r="MAE106" s="530"/>
      <c r="MAF106" s="531"/>
      <c r="MAG106" s="530"/>
      <c r="MAH106" s="531"/>
      <c r="MAI106" s="530"/>
      <c r="MAJ106" s="531"/>
      <c r="MAK106" s="530"/>
      <c r="MAL106" s="531"/>
      <c r="MAM106" s="530"/>
      <c r="MAN106" s="531"/>
      <c r="MAO106" s="530"/>
      <c r="MAP106" s="531"/>
      <c r="MAQ106" s="530"/>
      <c r="MAR106" s="531"/>
      <c r="MAS106" s="530"/>
      <c r="MAT106" s="531"/>
      <c r="MAU106" s="530"/>
      <c r="MAV106" s="531"/>
      <c r="MAW106" s="530"/>
      <c r="MAX106" s="531"/>
      <c r="MAY106" s="530"/>
      <c r="MAZ106" s="531"/>
      <c r="MBA106" s="530"/>
      <c r="MBB106" s="531"/>
      <c r="MBC106" s="530"/>
      <c r="MBD106" s="531"/>
      <c r="MBE106" s="530"/>
      <c r="MBF106" s="531"/>
      <c r="MBG106" s="530"/>
      <c r="MBH106" s="531"/>
      <c r="MBI106" s="530"/>
      <c r="MBJ106" s="531"/>
      <c r="MBK106" s="530"/>
      <c r="MBL106" s="531"/>
      <c r="MBM106" s="530"/>
      <c r="MBN106" s="531"/>
      <c r="MBO106" s="530"/>
      <c r="MBP106" s="531"/>
      <c r="MBQ106" s="530"/>
      <c r="MBR106" s="531"/>
      <c r="MBS106" s="530"/>
      <c r="MBT106" s="531"/>
      <c r="MBU106" s="530"/>
      <c r="MBV106" s="531"/>
      <c r="MBW106" s="530"/>
      <c r="MBX106" s="531"/>
      <c r="MBY106" s="530"/>
      <c r="MBZ106" s="531"/>
      <c r="MCA106" s="530"/>
      <c r="MCB106" s="531"/>
      <c r="MCC106" s="530"/>
      <c r="MCD106" s="531"/>
      <c r="MCE106" s="530"/>
      <c r="MCF106" s="531"/>
      <c r="MCG106" s="530"/>
      <c r="MCH106" s="531"/>
      <c r="MCI106" s="530"/>
      <c r="MCJ106" s="531"/>
      <c r="MCK106" s="530"/>
      <c r="MCL106" s="531"/>
      <c r="MCM106" s="530"/>
      <c r="MCN106" s="531"/>
      <c r="MCO106" s="530"/>
      <c r="MCP106" s="531"/>
      <c r="MCQ106" s="530"/>
      <c r="MCR106" s="531"/>
      <c r="MCS106" s="530"/>
      <c r="MCT106" s="531"/>
      <c r="MCU106" s="530"/>
      <c r="MCV106" s="531"/>
      <c r="MCW106" s="530"/>
      <c r="MCX106" s="531"/>
      <c r="MCY106" s="530"/>
      <c r="MCZ106" s="531"/>
      <c r="MDA106" s="530"/>
      <c r="MDB106" s="531"/>
      <c r="MDC106" s="530"/>
      <c r="MDD106" s="531"/>
      <c r="MDE106" s="530"/>
      <c r="MDF106" s="531"/>
      <c r="MDG106" s="530"/>
      <c r="MDH106" s="531"/>
      <c r="MDI106" s="530"/>
      <c r="MDJ106" s="531"/>
      <c r="MDK106" s="530"/>
      <c r="MDL106" s="531"/>
      <c r="MDM106" s="530"/>
      <c r="MDN106" s="531"/>
      <c r="MDO106" s="530"/>
      <c r="MDP106" s="531"/>
      <c r="MDQ106" s="530"/>
      <c r="MDR106" s="531"/>
      <c r="MDS106" s="530"/>
      <c r="MDT106" s="531"/>
      <c r="MDU106" s="530"/>
      <c r="MDV106" s="531"/>
      <c r="MDW106" s="530"/>
      <c r="MDX106" s="531"/>
      <c r="MDY106" s="530"/>
      <c r="MDZ106" s="531"/>
      <c r="MEA106" s="530"/>
      <c r="MEB106" s="531"/>
      <c r="MEC106" s="530"/>
      <c r="MED106" s="531"/>
      <c r="MEE106" s="530"/>
      <c r="MEF106" s="531"/>
      <c r="MEG106" s="530"/>
      <c r="MEH106" s="531"/>
      <c r="MEI106" s="530"/>
      <c r="MEJ106" s="531"/>
      <c r="MEK106" s="530"/>
      <c r="MEL106" s="531"/>
      <c r="MEM106" s="530"/>
      <c r="MEN106" s="531"/>
      <c r="MEO106" s="530"/>
      <c r="MEP106" s="531"/>
      <c r="MEQ106" s="530"/>
      <c r="MER106" s="531"/>
      <c r="MES106" s="530"/>
      <c r="MET106" s="531"/>
      <c r="MEU106" s="530"/>
      <c r="MEV106" s="531"/>
      <c r="MEW106" s="530"/>
      <c r="MEX106" s="531"/>
      <c r="MEY106" s="530"/>
      <c r="MEZ106" s="531"/>
      <c r="MFA106" s="530"/>
      <c r="MFB106" s="531"/>
      <c r="MFC106" s="530"/>
      <c r="MFD106" s="531"/>
      <c r="MFE106" s="530"/>
      <c r="MFF106" s="531"/>
      <c r="MFG106" s="530"/>
      <c r="MFH106" s="531"/>
      <c r="MFI106" s="530"/>
      <c r="MFJ106" s="531"/>
      <c r="MFK106" s="530"/>
      <c r="MFL106" s="531"/>
      <c r="MFM106" s="530"/>
      <c r="MFN106" s="531"/>
      <c r="MFO106" s="530"/>
      <c r="MFP106" s="531"/>
      <c r="MFQ106" s="530"/>
      <c r="MFR106" s="531"/>
      <c r="MFS106" s="530"/>
      <c r="MFT106" s="531"/>
      <c r="MFU106" s="530"/>
      <c r="MFV106" s="531"/>
      <c r="MFW106" s="530"/>
      <c r="MFX106" s="531"/>
      <c r="MFY106" s="530"/>
      <c r="MFZ106" s="531"/>
      <c r="MGA106" s="530"/>
      <c r="MGB106" s="531"/>
      <c r="MGC106" s="530"/>
      <c r="MGD106" s="531"/>
      <c r="MGE106" s="530"/>
      <c r="MGF106" s="531"/>
      <c r="MGG106" s="530"/>
      <c r="MGH106" s="531"/>
      <c r="MGI106" s="530"/>
      <c r="MGJ106" s="531"/>
      <c r="MGK106" s="530"/>
      <c r="MGL106" s="531"/>
      <c r="MGM106" s="530"/>
      <c r="MGN106" s="531"/>
      <c r="MGO106" s="530"/>
      <c r="MGP106" s="531"/>
      <c r="MGQ106" s="530"/>
      <c r="MGR106" s="531"/>
      <c r="MGS106" s="530"/>
      <c r="MGT106" s="531"/>
      <c r="MGU106" s="530"/>
      <c r="MGV106" s="531"/>
      <c r="MGW106" s="530"/>
      <c r="MGX106" s="531"/>
      <c r="MGY106" s="530"/>
      <c r="MGZ106" s="531"/>
      <c r="MHA106" s="530"/>
      <c r="MHB106" s="531"/>
      <c r="MHC106" s="530"/>
      <c r="MHD106" s="531"/>
      <c r="MHE106" s="530"/>
      <c r="MHF106" s="531"/>
      <c r="MHG106" s="530"/>
      <c r="MHH106" s="531"/>
      <c r="MHI106" s="530"/>
      <c r="MHJ106" s="531"/>
      <c r="MHK106" s="530"/>
      <c r="MHL106" s="531"/>
      <c r="MHM106" s="530"/>
      <c r="MHN106" s="531"/>
      <c r="MHO106" s="530"/>
      <c r="MHP106" s="531"/>
      <c r="MHQ106" s="530"/>
      <c r="MHR106" s="531"/>
      <c r="MHS106" s="530"/>
      <c r="MHT106" s="531"/>
      <c r="MHU106" s="530"/>
      <c r="MHV106" s="531"/>
      <c r="MHW106" s="530"/>
      <c r="MHX106" s="531"/>
      <c r="MHY106" s="530"/>
      <c r="MHZ106" s="531"/>
      <c r="MIA106" s="530"/>
      <c r="MIB106" s="531"/>
      <c r="MIC106" s="530"/>
      <c r="MID106" s="531"/>
      <c r="MIE106" s="530"/>
      <c r="MIF106" s="531"/>
      <c r="MIG106" s="530"/>
      <c r="MIH106" s="531"/>
      <c r="MII106" s="530"/>
      <c r="MIJ106" s="531"/>
      <c r="MIK106" s="530"/>
      <c r="MIL106" s="531"/>
      <c r="MIM106" s="530"/>
      <c r="MIN106" s="531"/>
      <c r="MIO106" s="530"/>
      <c r="MIP106" s="531"/>
      <c r="MIQ106" s="530"/>
      <c r="MIR106" s="531"/>
      <c r="MIS106" s="530"/>
      <c r="MIT106" s="531"/>
      <c r="MIU106" s="530"/>
      <c r="MIV106" s="531"/>
      <c r="MIW106" s="530"/>
      <c r="MIX106" s="531"/>
      <c r="MIY106" s="530"/>
      <c r="MIZ106" s="531"/>
      <c r="MJA106" s="530"/>
      <c r="MJB106" s="531"/>
      <c r="MJC106" s="530"/>
      <c r="MJD106" s="531"/>
      <c r="MJE106" s="530"/>
      <c r="MJF106" s="531"/>
      <c r="MJG106" s="530"/>
      <c r="MJH106" s="531"/>
      <c r="MJI106" s="530"/>
      <c r="MJJ106" s="531"/>
      <c r="MJK106" s="530"/>
      <c r="MJL106" s="531"/>
      <c r="MJM106" s="530"/>
      <c r="MJN106" s="531"/>
      <c r="MJO106" s="530"/>
      <c r="MJP106" s="531"/>
      <c r="MJQ106" s="530"/>
      <c r="MJR106" s="531"/>
      <c r="MJS106" s="530"/>
      <c r="MJT106" s="531"/>
      <c r="MJU106" s="530"/>
      <c r="MJV106" s="531"/>
      <c r="MJW106" s="530"/>
      <c r="MJX106" s="531"/>
      <c r="MJY106" s="530"/>
      <c r="MJZ106" s="531"/>
      <c r="MKA106" s="530"/>
      <c r="MKB106" s="531"/>
      <c r="MKC106" s="530"/>
      <c r="MKD106" s="531"/>
      <c r="MKE106" s="530"/>
      <c r="MKF106" s="531"/>
      <c r="MKG106" s="530"/>
      <c r="MKH106" s="531"/>
      <c r="MKI106" s="530"/>
      <c r="MKJ106" s="531"/>
      <c r="MKK106" s="530"/>
      <c r="MKL106" s="531"/>
      <c r="MKM106" s="530"/>
      <c r="MKN106" s="531"/>
      <c r="MKO106" s="530"/>
      <c r="MKP106" s="531"/>
      <c r="MKQ106" s="530"/>
      <c r="MKR106" s="531"/>
      <c r="MKS106" s="530"/>
      <c r="MKT106" s="531"/>
      <c r="MKU106" s="530"/>
      <c r="MKV106" s="531"/>
      <c r="MKW106" s="530"/>
      <c r="MKX106" s="531"/>
      <c r="MKY106" s="530"/>
      <c r="MKZ106" s="531"/>
      <c r="MLA106" s="530"/>
      <c r="MLB106" s="531"/>
      <c r="MLC106" s="530"/>
      <c r="MLD106" s="531"/>
      <c r="MLE106" s="530"/>
      <c r="MLF106" s="531"/>
      <c r="MLG106" s="530"/>
      <c r="MLH106" s="531"/>
      <c r="MLI106" s="530"/>
      <c r="MLJ106" s="531"/>
      <c r="MLK106" s="530"/>
      <c r="MLL106" s="531"/>
      <c r="MLM106" s="530"/>
      <c r="MLN106" s="531"/>
      <c r="MLO106" s="530"/>
      <c r="MLP106" s="531"/>
      <c r="MLQ106" s="530"/>
      <c r="MLR106" s="531"/>
      <c r="MLS106" s="530"/>
      <c r="MLT106" s="531"/>
      <c r="MLU106" s="530"/>
      <c r="MLV106" s="531"/>
      <c r="MLW106" s="530"/>
      <c r="MLX106" s="531"/>
      <c r="MLY106" s="530"/>
      <c r="MLZ106" s="531"/>
      <c r="MMA106" s="530"/>
      <c r="MMB106" s="531"/>
      <c r="MMC106" s="530"/>
      <c r="MMD106" s="531"/>
      <c r="MME106" s="530"/>
      <c r="MMF106" s="531"/>
      <c r="MMG106" s="530"/>
      <c r="MMH106" s="531"/>
      <c r="MMI106" s="530"/>
      <c r="MMJ106" s="531"/>
      <c r="MMK106" s="530"/>
      <c r="MML106" s="531"/>
      <c r="MMM106" s="530"/>
      <c r="MMN106" s="531"/>
      <c r="MMO106" s="530"/>
      <c r="MMP106" s="531"/>
      <c r="MMQ106" s="530"/>
      <c r="MMR106" s="531"/>
      <c r="MMS106" s="530"/>
      <c r="MMT106" s="531"/>
      <c r="MMU106" s="530"/>
      <c r="MMV106" s="531"/>
      <c r="MMW106" s="530"/>
      <c r="MMX106" s="531"/>
      <c r="MMY106" s="530"/>
      <c r="MMZ106" s="531"/>
      <c r="MNA106" s="530"/>
      <c r="MNB106" s="531"/>
      <c r="MNC106" s="530"/>
      <c r="MND106" s="531"/>
      <c r="MNE106" s="530"/>
      <c r="MNF106" s="531"/>
      <c r="MNG106" s="530"/>
      <c r="MNH106" s="531"/>
      <c r="MNI106" s="530"/>
      <c r="MNJ106" s="531"/>
      <c r="MNK106" s="530"/>
      <c r="MNL106" s="531"/>
      <c r="MNM106" s="530"/>
      <c r="MNN106" s="531"/>
      <c r="MNO106" s="530"/>
      <c r="MNP106" s="531"/>
      <c r="MNQ106" s="530"/>
      <c r="MNR106" s="531"/>
      <c r="MNS106" s="530"/>
      <c r="MNT106" s="531"/>
      <c r="MNU106" s="530"/>
      <c r="MNV106" s="531"/>
      <c r="MNW106" s="530"/>
      <c r="MNX106" s="531"/>
      <c r="MNY106" s="530"/>
      <c r="MNZ106" s="531"/>
      <c r="MOA106" s="530"/>
      <c r="MOB106" s="531"/>
      <c r="MOC106" s="530"/>
      <c r="MOD106" s="531"/>
      <c r="MOE106" s="530"/>
      <c r="MOF106" s="531"/>
      <c r="MOG106" s="530"/>
      <c r="MOH106" s="531"/>
      <c r="MOI106" s="530"/>
      <c r="MOJ106" s="531"/>
      <c r="MOK106" s="530"/>
      <c r="MOL106" s="531"/>
      <c r="MOM106" s="530"/>
      <c r="MON106" s="531"/>
      <c r="MOO106" s="530"/>
      <c r="MOP106" s="531"/>
      <c r="MOQ106" s="530"/>
      <c r="MOR106" s="531"/>
      <c r="MOS106" s="530"/>
      <c r="MOT106" s="531"/>
      <c r="MOU106" s="530"/>
      <c r="MOV106" s="531"/>
      <c r="MOW106" s="530"/>
      <c r="MOX106" s="531"/>
      <c r="MOY106" s="530"/>
      <c r="MOZ106" s="531"/>
      <c r="MPA106" s="530"/>
      <c r="MPB106" s="531"/>
      <c r="MPC106" s="530"/>
      <c r="MPD106" s="531"/>
      <c r="MPE106" s="530"/>
      <c r="MPF106" s="531"/>
      <c r="MPG106" s="530"/>
      <c r="MPH106" s="531"/>
      <c r="MPI106" s="530"/>
      <c r="MPJ106" s="531"/>
      <c r="MPK106" s="530"/>
      <c r="MPL106" s="531"/>
      <c r="MPM106" s="530"/>
      <c r="MPN106" s="531"/>
      <c r="MPO106" s="530"/>
      <c r="MPP106" s="531"/>
      <c r="MPQ106" s="530"/>
      <c r="MPR106" s="531"/>
      <c r="MPS106" s="530"/>
      <c r="MPT106" s="531"/>
      <c r="MPU106" s="530"/>
      <c r="MPV106" s="531"/>
      <c r="MPW106" s="530"/>
      <c r="MPX106" s="531"/>
      <c r="MPY106" s="530"/>
      <c r="MPZ106" s="531"/>
      <c r="MQA106" s="530"/>
      <c r="MQB106" s="531"/>
      <c r="MQC106" s="530"/>
      <c r="MQD106" s="531"/>
      <c r="MQE106" s="530"/>
      <c r="MQF106" s="531"/>
      <c r="MQG106" s="530"/>
      <c r="MQH106" s="531"/>
      <c r="MQI106" s="530"/>
      <c r="MQJ106" s="531"/>
      <c r="MQK106" s="530"/>
      <c r="MQL106" s="531"/>
      <c r="MQM106" s="530"/>
      <c r="MQN106" s="531"/>
      <c r="MQO106" s="530"/>
      <c r="MQP106" s="531"/>
      <c r="MQQ106" s="530"/>
      <c r="MQR106" s="531"/>
      <c r="MQS106" s="530"/>
      <c r="MQT106" s="531"/>
      <c r="MQU106" s="530"/>
      <c r="MQV106" s="531"/>
      <c r="MQW106" s="530"/>
      <c r="MQX106" s="531"/>
      <c r="MQY106" s="530"/>
      <c r="MQZ106" s="531"/>
      <c r="MRA106" s="530"/>
      <c r="MRB106" s="531"/>
      <c r="MRC106" s="530"/>
      <c r="MRD106" s="531"/>
      <c r="MRE106" s="530"/>
      <c r="MRF106" s="531"/>
      <c r="MRG106" s="530"/>
      <c r="MRH106" s="531"/>
      <c r="MRI106" s="530"/>
      <c r="MRJ106" s="531"/>
      <c r="MRK106" s="530"/>
      <c r="MRL106" s="531"/>
      <c r="MRM106" s="530"/>
      <c r="MRN106" s="531"/>
      <c r="MRO106" s="530"/>
      <c r="MRP106" s="531"/>
      <c r="MRQ106" s="530"/>
      <c r="MRR106" s="531"/>
      <c r="MRS106" s="530"/>
      <c r="MRT106" s="531"/>
      <c r="MRU106" s="530"/>
      <c r="MRV106" s="531"/>
      <c r="MRW106" s="530"/>
      <c r="MRX106" s="531"/>
      <c r="MRY106" s="530"/>
      <c r="MRZ106" s="531"/>
      <c r="MSA106" s="530"/>
      <c r="MSB106" s="531"/>
      <c r="MSC106" s="530"/>
      <c r="MSD106" s="531"/>
      <c r="MSE106" s="530"/>
      <c r="MSF106" s="531"/>
      <c r="MSG106" s="530"/>
      <c r="MSH106" s="531"/>
      <c r="MSI106" s="530"/>
      <c r="MSJ106" s="531"/>
      <c r="MSK106" s="530"/>
      <c r="MSL106" s="531"/>
      <c r="MSM106" s="530"/>
      <c r="MSN106" s="531"/>
      <c r="MSO106" s="530"/>
      <c r="MSP106" s="531"/>
      <c r="MSQ106" s="530"/>
      <c r="MSR106" s="531"/>
      <c r="MSS106" s="530"/>
      <c r="MST106" s="531"/>
      <c r="MSU106" s="530"/>
      <c r="MSV106" s="531"/>
      <c r="MSW106" s="530"/>
      <c r="MSX106" s="531"/>
      <c r="MSY106" s="530"/>
      <c r="MSZ106" s="531"/>
      <c r="MTA106" s="530"/>
      <c r="MTB106" s="531"/>
      <c r="MTC106" s="530"/>
      <c r="MTD106" s="531"/>
      <c r="MTE106" s="530"/>
      <c r="MTF106" s="531"/>
      <c r="MTG106" s="530"/>
      <c r="MTH106" s="531"/>
      <c r="MTI106" s="530"/>
      <c r="MTJ106" s="531"/>
      <c r="MTK106" s="530"/>
      <c r="MTL106" s="531"/>
      <c r="MTM106" s="530"/>
      <c r="MTN106" s="531"/>
      <c r="MTO106" s="530"/>
      <c r="MTP106" s="531"/>
      <c r="MTQ106" s="530"/>
      <c r="MTR106" s="531"/>
      <c r="MTS106" s="530"/>
      <c r="MTT106" s="531"/>
      <c r="MTU106" s="530"/>
      <c r="MTV106" s="531"/>
      <c r="MTW106" s="530"/>
      <c r="MTX106" s="531"/>
      <c r="MTY106" s="530"/>
      <c r="MTZ106" s="531"/>
      <c r="MUA106" s="530"/>
      <c r="MUB106" s="531"/>
      <c r="MUC106" s="530"/>
      <c r="MUD106" s="531"/>
      <c r="MUE106" s="530"/>
      <c r="MUF106" s="531"/>
      <c r="MUG106" s="530"/>
      <c r="MUH106" s="531"/>
      <c r="MUI106" s="530"/>
      <c r="MUJ106" s="531"/>
      <c r="MUK106" s="530"/>
      <c r="MUL106" s="531"/>
      <c r="MUM106" s="530"/>
      <c r="MUN106" s="531"/>
      <c r="MUO106" s="530"/>
      <c r="MUP106" s="531"/>
      <c r="MUQ106" s="530"/>
      <c r="MUR106" s="531"/>
      <c r="MUS106" s="530"/>
      <c r="MUT106" s="531"/>
      <c r="MUU106" s="530"/>
      <c r="MUV106" s="531"/>
      <c r="MUW106" s="530"/>
      <c r="MUX106" s="531"/>
      <c r="MUY106" s="530"/>
      <c r="MUZ106" s="531"/>
      <c r="MVA106" s="530"/>
      <c r="MVB106" s="531"/>
      <c r="MVC106" s="530"/>
      <c r="MVD106" s="531"/>
      <c r="MVE106" s="530"/>
      <c r="MVF106" s="531"/>
      <c r="MVG106" s="530"/>
      <c r="MVH106" s="531"/>
      <c r="MVI106" s="530"/>
      <c r="MVJ106" s="531"/>
      <c r="MVK106" s="530"/>
      <c r="MVL106" s="531"/>
      <c r="MVM106" s="530"/>
      <c r="MVN106" s="531"/>
      <c r="MVO106" s="530"/>
      <c r="MVP106" s="531"/>
      <c r="MVQ106" s="530"/>
      <c r="MVR106" s="531"/>
      <c r="MVS106" s="530"/>
      <c r="MVT106" s="531"/>
      <c r="MVU106" s="530"/>
      <c r="MVV106" s="531"/>
      <c r="MVW106" s="530"/>
      <c r="MVX106" s="531"/>
      <c r="MVY106" s="530"/>
      <c r="MVZ106" s="531"/>
      <c r="MWA106" s="530"/>
      <c r="MWB106" s="531"/>
      <c r="MWC106" s="530"/>
      <c r="MWD106" s="531"/>
      <c r="MWE106" s="530"/>
      <c r="MWF106" s="531"/>
      <c r="MWG106" s="530"/>
      <c r="MWH106" s="531"/>
      <c r="MWI106" s="530"/>
      <c r="MWJ106" s="531"/>
      <c r="MWK106" s="530"/>
      <c r="MWL106" s="531"/>
      <c r="MWM106" s="530"/>
      <c r="MWN106" s="531"/>
      <c r="MWO106" s="530"/>
      <c r="MWP106" s="531"/>
      <c r="MWQ106" s="530"/>
      <c r="MWR106" s="531"/>
      <c r="MWS106" s="530"/>
      <c r="MWT106" s="531"/>
      <c r="MWU106" s="530"/>
      <c r="MWV106" s="531"/>
      <c r="MWW106" s="530"/>
      <c r="MWX106" s="531"/>
      <c r="MWY106" s="530"/>
      <c r="MWZ106" s="531"/>
      <c r="MXA106" s="530"/>
      <c r="MXB106" s="531"/>
      <c r="MXC106" s="530"/>
      <c r="MXD106" s="531"/>
      <c r="MXE106" s="530"/>
      <c r="MXF106" s="531"/>
      <c r="MXG106" s="530"/>
      <c r="MXH106" s="531"/>
      <c r="MXI106" s="530"/>
      <c r="MXJ106" s="531"/>
      <c r="MXK106" s="530"/>
      <c r="MXL106" s="531"/>
      <c r="MXM106" s="530"/>
      <c r="MXN106" s="531"/>
      <c r="MXO106" s="530"/>
      <c r="MXP106" s="531"/>
      <c r="MXQ106" s="530"/>
      <c r="MXR106" s="531"/>
      <c r="MXS106" s="530"/>
      <c r="MXT106" s="531"/>
      <c r="MXU106" s="530"/>
      <c r="MXV106" s="531"/>
      <c r="MXW106" s="530"/>
      <c r="MXX106" s="531"/>
      <c r="MXY106" s="530"/>
      <c r="MXZ106" s="531"/>
      <c r="MYA106" s="530"/>
      <c r="MYB106" s="531"/>
      <c r="MYC106" s="530"/>
      <c r="MYD106" s="531"/>
      <c r="MYE106" s="530"/>
      <c r="MYF106" s="531"/>
      <c r="MYG106" s="530"/>
      <c r="MYH106" s="531"/>
      <c r="MYI106" s="530"/>
      <c r="MYJ106" s="531"/>
      <c r="MYK106" s="530"/>
      <c r="MYL106" s="531"/>
      <c r="MYM106" s="530"/>
      <c r="MYN106" s="531"/>
      <c r="MYO106" s="530"/>
      <c r="MYP106" s="531"/>
      <c r="MYQ106" s="530"/>
      <c r="MYR106" s="531"/>
      <c r="MYS106" s="530"/>
      <c r="MYT106" s="531"/>
      <c r="MYU106" s="530"/>
      <c r="MYV106" s="531"/>
      <c r="MYW106" s="530"/>
      <c r="MYX106" s="531"/>
      <c r="MYY106" s="530"/>
      <c r="MYZ106" s="531"/>
      <c r="MZA106" s="530"/>
      <c r="MZB106" s="531"/>
      <c r="MZC106" s="530"/>
      <c r="MZD106" s="531"/>
      <c r="MZE106" s="530"/>
      <c r="MZF106" s="531"/>
      <c r="MZG106" s="530"/>
      <c r="MZH106" s="531"/>
      <c r="MZI106" s="530"/>
      <c r="MZJ106" s="531"/>
      <c r="MZK106" s="530"/>
      <c r="MZL106" s="531"/>
      <c r="MZM106" s="530"/>
      <c r="MZN106" s="531"/>
      <c r="MZO106" s="530"/>
      <c r="MZP106" s="531"/>
      <c r="MZQ106" s="530"/>
      <c r="MZR106" s="531"/>
      <c r="MZS106" s="530"/>
      <c r="MZT106" s="531"/>
      <c r="MZU106" s="530"/>
      <c r="MZV106" s="531"/>
      <c r="MZW106" s="530"/>
      <c r="MZX106" s="531"/>
      <c r="MZY106" s="530"/>
      <c r="MZZ106" s="531"/>
      <c r="NAA106" s="530"/>
      <c r="NAB106" s="531"/>
      <c r="NAC106" s="530"/>
      <c r="NAD106" s="531"/>
      <c r="NAE106" s="530"/>
      <c r="NAF106" s="531"/>
      <c r="NAG106" s="530"/>
      <c r="NAH106" s="531"/>
      <c r="NAI106" s="530"/>
      <c r="NAJ106" s="531"/>
      <c r="NAK106" s="530"/>
      <c r="NAL106" s="531"/>
      <c r="NAM106" s="530"/>
      <c r="NAN106" s="531"/>
      <c r="NAO106" s="530"/>
      <c r="NAP106" s="531"/>
      <c r="NAQ106" s="530"/>
      <c r="NAR106" s="531"/>
      <c r="NAS106" s="530"/>
      <c r="NAT106" s="531"/>
      <c r="NAU106" s="530"/>
      <c r="NAV106" s="531"/>
      <c r="NAW106" s="530"/>
      <c r="NAX106" s="531"/>
      <c r="NAY106" s="530"/>
      <c r="NAZ106" s="531"/>
      <c r="NBA106" s="530"/>
      <c r="NBB106" s="531"/>
      <c r="NBC106" s="530"/>
      <c r="NBD106" s="531"/>
      <c r="NBE106" s="530"/>
      <c r="NBF106" s="531"/>
      <c r="NBG106" s="530"/>
      <c r="NBH106" s="531"/>
      <c r="NBI106" s="530"/>
      <c r="NBJ106" s="531"/>
      <c r="NBK106" s="530"/>
      <c r="NBL106" s="531"/>
      <c r="NBM106" s="530"/>
      <c r="NBN106" s="531"/>
      <c r="NBO106" s="530"/>
      <c r="NBP106" s="531"/>
      <c r="NBQ106" s="530"/>
      <c r="NBR106" s="531"/>
      <c r="NBS106" s="530"/>
      <c r="NBT106" s="531"/>
      <c r="NBU106" s="530"/>
      <c r="NBV106" s="531"/>
      <c r="NBW106" s="530"/>
      <c r="NBX106" s="531"/>
      <c r="NBY106" s="530"/>
      <c r="NBZ106" s="531"/>
      <c r="NCA106" s="530"/>
      <c r="NCB106" s="531"/>
      <c r="NCC106" s="530"/>
      <c r="NCD106" s="531"/>
      <c r="NCE106" s="530"/>
      <c r="NCF106" s="531"/>
      <c r="NCG106" s="530"/>
      <c r="NCH106" s="531"/>
      <c r="NCI106" s="530"/>
      <c r="NCJ106" s="531"/>
      <c r="NCK106" s="530"/>
      <c r="NCL106" s="531"/>
      <c r="NCM106" s="530"/>
      <c r="NCN106" s="531"/>
      <c r="NCO106" s="530"/>
      <c r="NCP106" s="531"/>
      <c r="NCQ106" s="530"/>
      <c r="NCR106" s="531"/>
      <c r="NCS106" s="530"/>
      <c r="NCT106" s="531"/>
      <c r="NCU106" s="530"/>
      <c r="NCV106" s="531"/>
      <c r="NCW106" s="530"/>
      <c r="NCX106" s="531"/>
      <c r="NCY106" s="530"/>
      <c r="NCZ106" s="531"/>
      <c r="NDA106" s="530"/>
      <c r="NDB106" s="531"/>
      <c r="NDC106" s="530"/>
      <c r="NDD106" s="531"/>
      <c r="NDE106" s="530"/>
      <c r="NDF106" s="531"/>
      <c r="NDG106" s="530"/>
      <c r="NDH106" s="531"/>
      <c r="NDI106" s="530"/>
      <c r="NDJ106" s="531"/>
      <c r="NDK106" s="530"/>
      <c r="NDL106" s="531"/>
      <c r="NDM106" s="530"/>
      <c r="NDN106" s="531"/>
      <c r="NDO106" s="530"/>
      <c r="NDP106" s="531"/>
      <c r="NDQ106" s="530"/>
      <c r="NDR106" s="531"/>
      <c r="NDS106" s="530"/>
      <c r="NDT106" s="531"/>
      <c r="NDU106" s="530"/>
      <c r="NDV106" s="531"/>
      <c r="NDW106" s="530"/>
      <c r="NDX106" s="531"/>
      <c r="NDY106" s="530"/>
      <c r="NDZ106" s="531"/>
      <c r="NEA106" s="530"/>
      <c r="NEB106" s="531"/>
      <c r="NEC106" s="530"/>
      <c r="NED106" s="531"/>
      <c r="NEE106" s="530"/>
      <c r="NEF106" s="531"/>
      <c r="NEG106" s="530"/>
      <c r="NEH106" s="531"/>
      <c r="NEI106" s="530"/>
      <c r="NEJ106" s="531"/>
      <c r="NEK106" s="530"/>
      <c r="NEL106" s="531"/>
      <c r="NEM106" s="530"/>
      <c r="NEN106" s="531"/>
      <c r="NEO106" s="530"/>
      <c r="NEP106" s="531"/>
      <c r="NEQ106" s="530"/>
      <c r="NER106" s="531"/>
      <c r="NES106" s="530"/>
      <c r="NET106" s="531"/>
      <c r="NEU106" s="530"/>
      <c r="NEV106" s="531"/>
      <c r="NEW106" s="530"/>
      <c r="NEX106" s="531"/>
      <c r="NEY106" s="530"/>
      <c r="NEZ106" s="531"/>
      <c r="NFA106" s="530"/>
      <c r="NFB106" s="531"/>
      <c r="NFC106" s="530"/>
      <c r="NFD106" s="531"/>
      <c r="NFE106" s="530"/>
      <c r="NFF106" s="531"/>
      <c r="NFG106" s="530"/>
      <c r="NFH106" s="531"/>
      <c r="NFI106" s="530"/>
      <c r="NFJ106" s="531"/>
      <c r="NFK106" s="530"/>
      <c r="NFL106" s="531"/>
      <c r="NFM106" s="530"/>
      <c r="NFN106" s="531"/>
      <c r="NFO106" s="530"/>
      <c r="NFP106" s="531"/>
      <c r="NFQ106" s="530"/>
      <c r="NFR106" s="531"/>
      <c r="NFS106" s="530"/>
      <c r="NFT106" s="531"/>
      <c r="NFU106" s="530"/>
      <c r="NFV106" s="531"/>
      <c r="NFW106" s="530"/>
      <c r="NFX106" s="531"/>
      <c r="NFY106" s="530"/>
      <c r="NFZ106" s="531"/>
      <c r="NGA106" s="530"/>
      <c r="NGB106" s="531"/>
      <c r="NGC106" s="530"/>
      <c r="NGD106" s="531"/>
      <c r="NGE106" s="530"/>
      <c r="NGF106" s="531"/>
      <c r="NGG106" s="530"/>
      <c r="NGH106" s="531"/>
      <c r="NGI106" s="530"/>
      <c r="NGJ106" s="531"/>
      <c r="NGK106" s="530"/>
      <c r="NGL106" s="531"/>
      <c r="NGM106" s="530"/>
      <c r="NGN106" s="531"/>
      <c r="NGO106" s="530"/>
      <c r="NGP106" s="531"/>
      <c r="NGQ106" s="530"/>
      <c r="NGR106" s="531"/>
      <c r="NGS106" s="530"/>
      <c r="NGT106" s="531"/>
      <c r="NGU106" s="530"/>
      <c r="NGV106" s="531"/>
      <c r="NGW106" s="530"/>
      <c r="NGX106" s="531"/>
      <c r="NGY106" s="530"/>
      <c r="NGZ106" s="531"/>
      <c r="NHA106" s="530"/>
      <c r="NHB106" s="531"/>
      <c r="NHC106" s="530"/>
      <c r="NHD106" s="531"/>
      <c r="NHE106" s="530"/>
      <c r="NHF106" s="531"/>
      <c r="NHG106" s="530"/>
      <c r="NHH106" s="531"/>
      <c r="NHI106" s="530"/>
      <c r="NHJ106" s="531"/>
      <c r="NHK106" s="530"/>
      <c r="NHL106" s="531"/>
      <c r="NHM106" s="530"/>
      <c r="NHN106" s="531"/>
      <c r="NHO106" s="530"/>
      <c r="NHP106" s="531"/>
      <c r="NHQ106" s="530"/>
      <c r="NHR106" s="531"/>
      <c r="NHS106" s="530"/>
      <c r="NHT106" s="531"/>
      <c r="NHU106" s="530"/>
      <c r="NHV106" s="531"/>
      <c r="NHW106" s="530"/>
      <c r="NHX106" s="531"/>
      <c r="NHY106" s="530"/>
      <c r="NHZ106" s="531"/>
      <c r="NIA106" s="530"/>
      <c r="NIB106" s="531"/>
      <c r="NIC106" s="530"/>
      <c r="NID106" s="531"/>
      <c r="NIE106" s="530"/>
      <c r="NIF106" s="531"/>
      <c r="NIG106" s="530"/>
      <c r="NIH106" s="531"/>
      <c r="NII106" s="530"/>
      <c r="NIJ106" s="531"/>
      <c r="NIK106" s="530"/>
      <c r="NIL106" s="531"/>
      <c r="NIM106" s="530"/>
      <c r="NIN106" s="531"/>
      <c r="NIO106" s="530"/>
      <c r="NIP106" s="531"/>
      <c r="NIQ106" s="530"/>
      <c r="NIR106" s="531"/>
      <c r="NIS106" s="530"/>
      <c r="NIT106" s="531"/>
      <c r="NIU106" s="530"/>
      <c r="NIV106" s="531"/>
      <c r="NIW106" s="530"/>
      <c r="NIX106" s="531"/>
      <c r="NIY106" s="530"/>
      <c r="NIZ106" s="531"/>
      <c r="NJA106" s="530"/>
      <c r="NJB106" s="531"/>
      <c r="NJC106" s="530"/>
      <c r="NJD106" s="531"/>
      <c r="NJE106" s="530"/>
      <c r="NJF106" s="531"/>
      <c r="NJG106" s="530"/>
      <c r="NJH106" s="531"/>
      <c r="NJI106" s="530"/>
      <c r="NJJ106" s="531"/>
      <c r="NJK106" s="530"/>
      <c r="NJL106" s="531"/>
      <c r="NJM106" s="530"/>
      <c r="NJN106" s="531"/>
      <c r="NJO106" s="530"/>
      <c r="NJP106" s="531"/>
      <c r="NJQ106" s="530"/>
      <c r="NJR106" s="531"/>
      <c r="NJS106" s="530"/>
      <c r="NJT106" s="531"/>
      <c r="NJU106" s="530"/>
      <c r="NJV106" s="531"/>
      <c r="NJW106" s="530"/>
      <c r="NJX106" s="531"/>
      <c r="NJY106" s="530"/>
      <c r="NJZ106" s="531"/>
      <c r="NKA106" s="530"/>
      <c r="NKB106" s="531"/>
      <c r="NKC106" s="530"/>
      <c r="NKD106" s="531"/>
      <c r="NKE106" s="530"/>
      <c r="NKF106" s="531"/>
      <c r="NKG106" s="530"/>
      <c r="NKH106" s="531"/>
      <c r="NKI106" s="530"/>
      <c r="NKJ106" s="531"/>
      <c r="NKK106" s="530"/>
      <c r="NKL106" s="531"/>
      <c r="NKM106" s="530"/>
      <c r="NKN106" s="531"/>
      <c r="NKO106" s="530"/>
      <c r="NKP106" s="531"/>
      <c r="NKQ106" s="530"/>
      <c r="NKR106" s="531"/>
      <c r="NKS106" s="530"/>
      <c r="NKT106" s="531"/>
      <c r="NKU106" s="530"/>
      <c r="NKV106" s="531"/>
      <c r="NKW106" s="530"/>
      <c r="NKX106" s="531"/>
      <c r="NKY106" s="530"/>
      <c r="NKZ106" s="531"/>
      <c r="NLA106" s="530"/>
      <c r="NLB106" s="531"/>
      <c r="NLC106" s="530"/>
      <c r="NLD106" s="531"/>
      <c r="NLE106" s="530"/>
      <c r="NLF106" s="531"/>
      <c r="NLG106" s="530"/>
      <c r="NLH106" s="531"/>
      <c r="NLI106" s="530"/>
      <c r="NLJ106" s="531"/>
      <c r="NLK106" s="530"/>
      <c r="NLL106" s="531"/>
      <c r="NLM106" s="530"/>
      <c r="NLN106" s="531"/>
      <c r="NLO106" s="530"/>
      <c r="NLP106" s="531"/>
      <c r="NLQ106" s="530"/>
      <c r="NLR106" s="531"/>
      <c r="NLS106" s="530"/>
      <c r="NLT106" s="531"/>
      <c r="NLU106" s="530"/>
      <c r="NLV106" s="531"/>
      <c r="NLW106" s="530"/>
      <c r="NLX106" s="531"/>
      <c r="NLY106" s="530"/>
      <c r="NLZ106" s="531"/>
      <c r="NMA106" s="530"/>
      <c r="NMB106" s="531"/>
      <c r="NMC106" s="530"/>
      <c r="NMD106" s="531"/>
      <c r="NME106" s="530"/>
      <c r="NMF106" s="531"/>
      <c r="NMG106" s="530"/>
      <c r="NMH106" s="531"/>
      <c r="NMI106" s="530"/>
      <c r="NMJ106" s="531"/>
      <c r="NMK106" s="530"/>
      <c r="NML106" s="531"/>
      <c r="NMM106" s="530"/>
      <c r="NMN106" s="531"/>
      <c r="NMO106" s="530"/>
      <c r="NMP106" s="531"/>
      <c r="NMQ106" s="530"/>
      <c r="NMR106" s="531"/>
      <c r="NMS106" s="530"/>
      <c r="NMT106" s="531"/>
      <c r="NMU106" s="530"/>
      <c r="NMV106" s="531"/>
      <c r="NMW106" s="530"/>
      <c r="NMX106" s="531"/>
      <c r="NMY106" s="530"/>
      <c r="NMZ106" s="531"/>
      <c r="NNA106" s="530"/>
      <c r="NNB106" s="531"/>
      <c r="NNC106" s="530"/>
      <c r="NND106" s="531"/>
      <c r="NNE106" s="530"/>
      <c r="NNF106" s="531"/>
      <c r="NNG106" s="530"/>
      <c r="NNH106" s="531"/>
      <c r="NNI106" s="530"/>
      <c r="NNJ106" s="531"/>
      <c r="NNK106" s="530"/>
      <c r="NNL106" s="531"/>
      <c r="NNM106" s="530"/>
      <c r="NNN106" s="531"/>
      <c r="NNO106" s="530"/>
      <c r="NNP106" s="531"/>
      <c r="NNQ106" s="530"/>
      <c r="NNR106" s="531"/>
      <c r="NNS106" s="530"/>
      <c r="NNT106" s="531"/>
      <c r="NNU106" s="530"/>
      <c r="NNV106" s="531"/>
      <c r="NNW106" s="530"/>
      <c r="NNX106" s="531"/>
      <c r="NNY106" s="530"/>
      <c r="NNZ106" s="531"/>
      <c r="NOA106" s="530"/>
      <c r="NOB106" s="531"/>
      <c r="NOC106" s="530"/>
      <c r="NOD106" s="531"/>
      <c r="NOE106" s="530"/>
      <c r="NOF106" s="531"/>
      <c r="NOG106" s="530"/>
      <c r="NOH106" s="531"/>
      <c r="NOI106" s="530"/>
      <c r="NOJ106" s="531"/>
      <c r="NOK106" s="530"/>
      <c r="NOL106" s="531"/>
      <c r="NOM106" s="530"/>
      <c r="NON106" s="531"/>
      <c r="NOO106" s="530"/>
      <c r="NOP106" s="531"/>
      <c r="NOQ106" s="530"/>
      <c r="NOR106" s="531"/>
      <c r="NOS106" s="530"/>
      <c r="NOT106" s="531"/>
      <c r="NOU106" s="530"/>
      <c r="NOV106" s="531"/>
      <c r="NOW106" s="530"/>
      <c r="NOX106" s="531"/>
      <c r="NOY106" s="530"/>
      <c r="NOZ106" s="531"/>
      <c r="NPA106" s="530"/>
      <c r="NPB106" s="531"/>
      <c r="NPC106" s="530"/>
      <c r="NPD106" s="531"/>
      <c r="NPE106" s="530"/>
      <c r="NPF106" s="531"/>
      <c r="NPG106" s="530"/>
      <c r="NPH106" s="531"/>
      <c r="NPI106" s="530"/>
      <c r="NPJ106" s="531"/>
      <c r="NPK106" s="530"/>
      <c r="NPL106" s="531"/>
      <c r="NPM106" s="530"/>
      <c r="NPN106" s="531"/>
      <c r="NPO106" s="530"/>
      <c r="NPP106" s="531"/>
      <c r="NPQ106" s="530"/>
      <c r="NPR106" s="531"/>
      <c r="NPS106" s="530"/>
      <c r="NPT106" s="531"/>
      <c r="NPU106" s="530"/>
      <c r="NPV106" s="531"/>
      <c r="NPW106" s="530"/>
      <c r="NPX106" s="531"/>
      <c r="NPY106" s="530"/>
      <c r="NPZ106" s="531"/>
      <c r="NQA106" s="530"/>
      <c r="NQB106" s="531"/>
      <c r="NQC106" s="530"/>
      <c r="NQD106" s="531"/>
      <c r="NQE106" s="530"/>
      <c r="NQF106" s="531"/>
      <c r="NQG106" s="530"/>
      <c r="NQH106" s="531"/>
      <c r="NQI106" s="530"/>
      <c r="NQJ106" s="531"/>
      <c r="NQK106" s="530"/>
      <c r="NQL106" s="531"/>
      <c r="NQM106" s="530"/>
      <c r="NQN106" s="531"/>
      <c r="NQO106" s="530"/>
      <c r="NQP106" s="531"/>
      <c r="NQQ106" s="530"/>
      <c r="NQR106" s="531"/>
      <c r="NQS106" s="530"/>
      <c r="NQT106" s="531"/>
      <c r="NQU106" s="530"/>
      <c r="NQV106" s="531"/>
      <c r="NQW106" s="530"/>
      <c r="NQX106" s="531"/>
      <c r="NQY106" s="530"/>
      <c r="NQZ106" s="531"/>
      <c r="NRA106" s="530"/>
      <c r="NRB106" s="531"/>
      <c r="NRC106" s="530"/>
      <c r="NRD106" s="531"/>
      <c r="NRE106" s="530"/>
      <c r="NRF106" s="531"/>
      <c r="NRG106" s="530"/>
      <c r="NRH106" s="531"/>
      <c r="NRI106" s="530"/>
      <c r="NRJ106" s="531"/>
      <c r="NRK106" s="530"/>
      <c r="NRL106" s="531"/>
      <c r="NRM106" s="530"/>
      <c r="NRN106" s="531"/>
      <c r="NRO106" s="530"/>
      <c r="NRP106" s="531"/>
      <c r="NRQ106" s="530"/>
      <c r="NRR106" s="531"/>
      <c r="NRS106" s="530"/>
      <c r="NRT106" s="531"/>
      <c r="NRU106" s="530"/>
      <c r="NRV106" s="531"/>
      <c r="NRW106" s="530"/>
      <c r="NRX106" s="531"/>
      <c r="NRY106" s="530"/>
      <c r="NRZ106" s="531"/>
      <c r="NSA106" s="530"/>
      <c r="NSB106" s="531"/>
      <c r="NSC106" s="530"/>
      <c r="NSD106" s="531"/>
      <c r="NSE106" s="530"/>
      <c r="NSF106" s="531"/>
      <c r="NSG106" s="530"/>
      <c r="NSH106" s="531"/>
      <c r="NSI106" s="530"/>
      <c r="NSJ106" s="531"/>
      <c r="NSK106" s="530"/>
      <c r="NSL106" s="531"/>
      <c r="NSM106" s="530"/>
      <c r="NSN106" s="531"/>
      <c r="NSO106" s="530"/>
      <c r="NSP106" s="531"/>
      <c r="NSQ106" s="530"/>
      <c r="NSR106" s="531"/>
      <c r="NSS106" s="530"/>
      <c r="NST106" s="531"/>
      <c r="NSU106" s="530"/>
      <c r="NSV106" s="531"/>
      <c r="NSW106" s="530"/>
      <c r="NSX106" s="531"/>
      <c r="NSY106" s="530"/>
      <c r="NSZ106" s="531"/>
      <c r="NTA106" s="530"/>
      <c r="NTB106" s="531"/>
      <c r="NTC106" s="530"/>
      <c r="NTD106" s="531"/>
      <c r="NTE106" s="530"/>
      <c r="NTF106" s="531"/>
      <c r="NTG106" s="530"/>
      <c r="NTH106" s="531"/>
      <c r="NTI106" s="530"/>
      <c r="NTJ106" s="531"/>
      <c r="NTK106" s="530"/>
      <c r="NTL106" s="531"/>
      <c r="NTM106" s="530"/>
      <c r="NTN106" s="531"/>
      <c r="NTO106" s="530"/>
      <c r="NTP106" s="531"/>
      <c r="NTQ106" s="530"/>
      <c r="NTR106" s="531"/>
      <c r="NTS106" s="530"/>
      <c r="NTT106" s="531"/>
      <c r="NTU106" s="530"/>
      <c r="NTV106" s="531"/>
      <c r="NTW106" s="530"/>
      <c r="NTX106" s="531"/>
      <c r="NTY106" s="530"/>
      <c r="NTZ106" s="531"/>
      <c r="NUA106" s="530"/>
      <c r="NUB106" s="531"/>
      <c r="NUC106" s="530"/>
      <c r="NUD106" s="531"/>
      <c r="NUE106" s="530"/>
      <c r="NUF106" s="531"/>
      <c r="NUG106" s="530"/>
      <c r="NUH106" s="531"/>
      <c r="NUI106" s="530"/>
      <c r="NUJ106" s="531"/>
      <c r="NUK106" s="530"/>
      <c r="NUL106" s="531"/>
      <c r="NUM106" s="530"/>
      <c r="NUN106" s="531"/>
      <c r="NUO106" s="530"/>
      <c r="NUP106" s="531"/>
      <c r="NUQ106" s="530"/>
      <c r="NUR106" s="531"/>
      <c r="NUS106" s="530"/>
      <c r="NUT106" s="531"/>
      <c r="NUU106" s="530"/>
      <c r="NUV106" s="531"/>
      <c r="NUW106" s="530"/>
      <c r="NUX106" s="531"/>
      <c r="NUY106" s="530"/>
      <c r="NUZ106" s="531"/>
      <c r="NVA106" s="530"/>
      <c r="NVB106" s="531"/>
      <c r="NVC106" s="530"/>
      <c r="NVD106" s="531"/>
      <c r="NVE106" s="530"/>
      <c r="NVF106" s="531"/>
      <c r="NVG106" s="530"/>
      <c r="NVH106" s="531"/>
      <c r="NVI106" s="530"/>
      <c r="NVJ106" s="531"/>
      <c r="NVK106" s="530"/>
      <c r="NVL106" s="531"/>
      <c r="NVM106" s="530"/>
      <c r="NVN106" s="531"/>
      <c r="NVO106" s="530"/>
      <c r="NVP106" s="531"/>
      <c r="NVQ106" s="530"/>
      <c r="NVR106" s="531"/>
      <c r="NVS106" s="530"/>
      <c r="NVT106" s="531"/>
      <c r="NVU106" s="530"/>
      <c r="NVV106" s="531"/>
      <c r="NVW106" s="530"/>
      <c r="NVX106" s="531"/>
      <c r="NVY106" s="530"/>
      <c r="NVZ106" s="531"/>
      <c r="NWA106" s="530"/>
      <c r="NWB106" s="531"/>
      <c r="NWC106" s="530"/>
      <c r="NWD106" s="531"/>
      <c r="NWE106" s="530"/>
      <c r="NWF106" s="531"/>
      <c r="NWG106" s="530"/>
      <c r="NWH106" s="531"/>
      <c r="NWI106" s="530"/>
      <c r="NWJ106" s="531"/>
      <c r="NWK106" s="530"/>
      <c r="NWL106" s="531"/>
      <c r="NWM106" s="530"/>
      <c r="NWN106" s="531"/>
      <c r="NWO106" s="530"/>
      <c r="NWP106" s="531"/>
      <c r="NWQ106" s="530"/>
      <c r="NWR106" s="531"/>
      <c r="NWS106" s="530"/>
      <c r="NWT106" s="531"/>
      <c r="NWU106" s="530"/>
      <c r="NWV106" s="531"/>
      <c r="NWW106" s="530"/>
      <c r="NWX106" s="531"/>
      <c r="NWY106" s="530"/>
      <c r="NWZ106" s="531"/>
      <c r="NXA106" s="530"/>
      <c r="NXB106" s="531"/>
      <c r="NXC106" s="530"/>
      <c r="NXD106" s="531"/>
      <c r="NXE106" s="530"/>
      <c r="NXF106" s="531"/>
      <c r="NXG106" s="530"/>
      <c r="NXH106" s="531"/>
      <c r="NXI106" s="530"/>
      <c r="NXJ106" s="531"/>
      <c r="NXK106" s="530"/>
      <c r="NXL106" s="531"/>
      <c r="NXM106" s="530"/>
      <c r="NXN106" s="531"/>
      <c r="NXO106" s="530"/>
      <c r="NXP106" s="531"/>
      <c r="NXQ106" s="530"/>
      <c r="NXR106" s="531"/>
      <c r="NXS106" s="530"/>
      <c r="NXT106" s="531"/>
      <c r="NXU106" s="530"/>
      <c r="NXV106" s="531"/>
      <c r="NXW106" s="530"/>
      <c r="NXX106" s="531"/>
      <c r="NXY106" s="530"/>
      <c r="NXZ106" s="531"/>
      <c r="NYA106" s="530"/>
      <c r="NYB106" s="531"/>
      <c r="NYC106" s="530"/>
      <c r="NYD106" s="531"/>
      <c r="NYE106" s="530"/>
      <c r="NYF106" s="531"/>
      <c r="NYG106" s="530"/>
      <c r="NYH106" s="531"/>
      <c r="NYI106" s="530"/>
      <c r="NYJ106" s="531"/>
      <c r="NYK106" s="530"/>
      <c r="NYL106" s="531"/>
      <c r="NYM106" s="530"/>
      <c r="NYN106" s="531"/>
      <c r="NYO106" s="530"/>
      <c r="NYP106" s="531"/>
      <c r="NYQ106" s="530"/>
      <c r="NYR106" s="531"/>
      <c r="NYS106" s="530"/>
      <c r="NYT106" s="531"/>
      <c r="NYU106" s="530"/>
      <c r="NYV106" s="531"/>
      <c r="NYW106" s="530"/>
      <c r="NYX106" s="531"/>
      <c r="NYY106" s="530"/>
      <c r="NYZ106" s="531"/>
      <c r="NZA106" s="530"/>
      <c r="NZB106" s="531"/>
      <c r="NZC106" s="530"/>
      <c r="NZD106" s="531"/>
      <c r="NZE106" s="530"/>
      <c r="NZF106" s="531"/>
      <c r="NZG106" s="530"/>
      <c r="NZH106" s="531"/>
      <c r="NZI106" s="530"/>
      <c r="NZJ106" s="531"/>
      <c r="NZK106" s="530"/>
      <c r="NZL106" s="531"/>
      <c r="NZM106" s="530"/>
      <c r="NZN106" s="531"/>
      <c r="NZO106" s="530"/>
      <c r="NZP106" s="531"/>
      <c r="NZQ106" s="530"/>
      <c r="NZR106" s="531"/>
      <c r="NZS106" s="530"/>
      <c r="NZT106" s="531"/>
      <c r="NZU106" s="530"/>
      <c r="NZV106" s="531"/>
      <c r="NZW106" s="530"/>
      <c r="NZX106" s="531"/>
      <c r="NZY106" s="530"/>
      <c r="NZZ106" s="531"/>
      <c r="OAA106" s="530"/>
      <c r="OAB106" s="531"/>
      <c r="OAC106" s="530"/>
      <c r="OAD106" s="531"/>
      <c r="OAE106" s="530"/>
      <c r="OAF106" s="531"/>
      <c r="OAG106" s="530"/>
      <c r="OAH106" s="531"/>
      <c r="OAI106" s="530"/>
      <c r="OAJ106" s="531"/>
      <c r="OAK106" s="530"/>
      <c r="OAL106" s="531"/>
      <c r="OAM106" s="530"/>
      <c r="OAN106" s="531"/>
      <c r="OAO106" s="530"/>
      <c r="OAP106" s="531"/>
      <c r="OAQ106" s="530"/>
      <c r="OAR106" s="531"/>
      <c r="OAS106" s="530"/>
      <c r="OAT106" s="531"/>
      <c r="OAU106" s="530"/>
      <c r="OAV106" s="531"/>
      <c r="OAW106" s="530"/>
      <c r="OAX106" s="531"/>
      <c r="OAY106" s="530"/>
      <c r="OAZ106" s="531"/>
      <c r="OBA106" s="530"/>
      <c r="OBB106" s="531"/>
      <c r="OBC106" s="530"/>
      <c r="OBD106" s="531"/>
      <c r="OBE106" s="530"/>
      <c r="OBF106" s="531"/>
      <c r="OBG106" s="530"/>
      <c r="OBH106" s="531"/>
      <c r="OBI106" s="530"/>
      <c r="OBJ106" s="531"/>
      <c r="OBK106" s="530"/>
      <c r="OBL106" s="531"/>
      <c r="OBM106" s="530"/>
      <c r="OBN106" s="531"/>
      <c r="OBO106" s="530"/>
      <c r="OBP106" s="531"/>
      <c r="OBQ106" s="530"/>
      <c r="OBR106" s="531"/>
      <c r="OBS106" s="530"/>
      <c r="OBT106" s="531"/>
      <c r="OBU106" s="530"/>
      <c r="OBV106" s="531"/>
      <c r="OBW106" s="530"/>
      <c r="OBX106" s="531"/>
      <c r="OBY106" s="530"/>
      <c r="OBZ106" s="531"/>
      <c r="OCA106" s="530"/>
      <c r="OCB106" s="531"/>
      <c r="OCC106" s="530"/>
      <c r="OCD106" s="531"/>
      <c r="OCE106" s="530"/>
      <c r="OCF106" s="531"/>
      <c r="OCG106" s="530"/>
      <c r="OCH106" s="531"/>
      <c r="OCI106" s="530"/>
      <c r="OCJ106" s="531"/>
      <c r="OCK106" s="530"/>
      <c r="OCL106" s="531"/>
      <c r="OCM106" s="530"/>
      <c r="OCN106" s="531"/>
      <c r="OCO106" s="530"/>
      <c r="OCP106" s="531"/>
      <c r="OCQ106" s="530"/>
      <c r="OCR106" s="531"/>
      <c r="OCS106" s="530"/>
      <c r="OCT106" s="531"/>
      <c r="OCU106" s="530"/>
      <c r="OCV106" s="531"/>
      <c r="OCW106" s="530"/>
      <c r="OCX106" s="531"/>
      <c r="OCY106" s="530"/>
      <c r="OCZ106" s="531"/>
      <c r="ODA106" s="530"/>
      <c r="ODB106" s="531"/>
      <c r="ODC106" s="530"/>
      <c r="ODD106" s="531"/>
      <c r="ODE106" s="530"/>
      <c r="ODF106" s="531"/>
      <c r="ODG106" s="530"/>
      <c r="ODH106" s="531"/>
      <c r="ODI106" s="530"/>
      <c r="ODJ106" s="531"/>
      <c r="ODK106" s="530"/>
      <c r="ODL106" s="531"/>
      <c r="ODM106" s="530"/>
      <c r="ODN106" s="531"/>
      <c r="ODO106" s="530"/>
      <c r="ODP106" s="531"/>
      <c r="ODQ106" s="530"/>
      <c r="ODR106" s="531"/>
      <c r="ODS106" s="530"/>
      <c r="ODT106" s="531"/>
      <c r="ODU106" s="530"/>
      <c r="ODV106" s="531"/>
      <c r="ODW106" s="530"/>
      <c r="ODX106" s="531"/>
      <c r="ODY106" s="530"/>
      <c r="ODZ106" s="531"/>
      <c r="OEA106" s="530"/>
      <c r="OEB106" s="531"/>
      <c r="OEC106" s="530"/>
      <c r="OED106" s="531"/>
      <c r="OEE106" s="530"/>
      <c r="OEF106" s="531"/>
      <c r="OEG106" s="530"/>
      <c r="OEH106" s="531"/>
      <c r="OEI106" s="530"/>
      <c r="OEJ106" s="531"/>
      <c r="OEK106" s="530"/>
      <c r="OEL106" s="531"/>
      <c r="OEM106" s="530"/>
      <c r="OEN106" s="531"/>
      <c r="OEO106" s="530"/>
      <c r="OEP106" s="531"/>
      <c r="OEQ106" s="530"/>
      <c r="OER106" s="531"/>
      <c r="OES106" s="530"/>
      <c r="OET106" s="531"/>
      <c r="OEU106" s="530"/>
      <c r="OEV106" s="531"/>
      <c r="OEW106" s="530"/>
      <c r="OEX106" s="531"/>
      <c r="OEY106" s="530"/>
      <c r="OEZ106" s="531"/>
      <c r="OFA106" s="530"/>
      <c r="OFB106" s="531"/>
      <c r="OFC106" s="530"/>
      <c r="OFD106" s="531"/>
      <c r="OFE106" s="530"/>
      <c r="OFF106" s="531"/>
      <c r="OFG106" s="530"/>
      <c r="OFH106" s="531"/>
      <c r="OFI106" s="530"/>
      <c r="OFJ106" s="531"/>
      <c r="OFK106" s="530"/>
      <c r="OFL106" s="531"/>
      <c r="OFM106" s="530"/>
      <c r="OFN106" s="531"/>
      <c r="OFO106" s="530"/>
      <c r="OFP106" s="531"/>
      <c r="OFQ106" s="530"/>
      <c r="OFR106" s="531"/>
      <c r="OFS106" s="530"/>
      <c r="OFT106" s="531"/>
      <c r="OFU106" s="530"/>
      <c r="OFV106" s="531"/>
      <c r="OFW106" s="530"/>
      <c r="OFX106" s="531"/>
      <c r="OFY106" s="530"/>
      <c r="OFZ106" s="531"/>
      <c r="OGA106" s="530"/>
      <c r="OGB106" s="531"/>
      <c r="OGC106" s="530"/>
      <c r="OGD106" s="531"/>
      <c r="OGE106" s="530"/>
      <c r="OGF106" s="531"/>
      <c r="OGG106" s="530"/>
      <c r="OGH106" s="531"/>
      <c r="OGI106" s="530"/>
      <c r="OGJ106" s="531"/>
      <c r="OGK106" s="530"/>
      <c r="OGL106" s="531"/>
      <c r="OGM106" s="530"/>
      <c r="OGN106" s="531"/>
      <c r="OGO106" s="530"/>
      <c r="OGP106" s="531"/>
      <c r="OGQ106" s="530"/>
      <c r="OGR106" s="531"/>
      <c r="OGS106" s="530"/>
      <c r="OGT106" s="531"/>
      <c r="OGU106" s="530"/>
      <c r="OGV106" s="531"/>
      <c r="OGW106" s="530"/>
      <c r="OGX106" s="531"/>
      <c r="OGY106" s="530"/>
      <c r="OGZ106" s="531"/>
      <c r="OHA106" s="530"/>
      <c r="OHB106" s="531"/>
      <c r="OHC106" s="530"/>
      <c r="OHD106" s="531"/>
      <c r="OHE106" s="530"/>
      <c r="OHF106" s="531"/>
      <c r="OHG106" s="530"/>
      <c r="OHH106" s="531"/>
      <c r="OHI106" s="530"/>
      <c r="OHJ106" s="531"/>
      <c r="OHK106" s="530"/>
      <c r="OHL106" s="531"/>
      <c r="OHM106" s="530"/>
      <c r="OHN106" s="531"/>
      <c r="OHO106" s="530"/>
      <c r="OHP106" s="531"/>
      <c r="OHQ106" s="530"/>
      <c r="OHR106" s="531"/>
      <c r="OHS106" s="530"/>
      <c r="OHT106" s="531"/>
      <c r="OHU106" s="530"/>
      <c r="OHV106" s="531"/>
      <c r="OHW106" s="530"/>
      <c r="OHX106" s="531"/>
      <c r="OHY106" s="530"/>
      <c r="OHZ106" s="531"/>
      <c r="OIA106" s="530"/>
      <c r="OIB106" s="531"/>
      <c r="OIC106" s="530"/>
      <c r="OID106" s="531"/>
      <c r="OIE106" s="530"/>
      <c r="OIF106" s="531"/>
      <c r="OIG106" s="530"/>
      <c r="OIH106" s="531"/>
      <c r="OII106" s="530"/>
      <c r="OIJ106" s="531"/>
      <c r="OIK106" s="530"/>
      <c r="OIL106" s="531"/>
      <c r="OIM106" s="530"/>
      <c r="OIN106" s="531"/>
      <c r="OIO106" s="530"/>
      <c r="OIP106" s="531"/>
      <c r="OIQ106" s="530"/>
      <c r="OIR106" s="531"/>
      <c r="OIS106" s="530"/>
      <c r="OIT106" s="531"/>
      <c r="OIU106" s="530"/>
      <c r="OIV106" s="531"/>
      <c r="OIW106" s="530"/>
      <c r="OIX106" s="531"/>
      <c r="OIY106" s="530"/>
      <c r="OIZ106" s="531"/>
      <c r="OJA106" s="530"/>
      <c r="OJB106" s="531"/>
      <c r="OJC106" s="530"/>
      <c r="OJD106" s="531"/>
      <c r="OJE106" s="530"/>
      <c r="OJF106" s="531"/>
      <c r="OJG106" s="530"/>
      <c r="OJH106" s="531"/>
      <c r="OJI106" s="530"/>
      <c r="OJJ106" s="531"/>
      <c r="OJK106" s="530"/>
      <c r="OJL106" s="531"/>
      <c r="OJM106" s="530"/>
      <c r="OJN106" s="531"/>
      <c r="OJO106" s="530"/>
      <c r="OJP106" s="531"/>
      <c r="OJQ106" s="530"/>
      <c r="OJR106" s="531"/>
      <c r="OJS106" s="530"/>
      <c r="OJT106" s="531"/>
      <c r="OJU106" s="530"/>
      <c r="OJV106" s="531"/>
      <c r="OJW106" s="530"/>
      <c r="OJX106" s="531"/>
      <c r="OJY106" s="530"/>
      <c r="OJZ106" s="531"/>
      <c r="OKA106" s="530"/>
      <c r="OKB106" s="531"/>
      <c r="OKC106" s="530"/>
      <c r="OKD106" s="531"/>
      <c r="OKE106" s="530"/>
      <c r="OKF106" s="531"/>
      <c r="OKG106" s="530"/>
      <c r="OKH106" s="531"/>
      <c r="OKI106" s="530"/>
      <c r="OKJ106" s="531"/>
      <c r="OKK106" s="530"/>
      <c r="OKL106" s="531"/>
      <c r="OKM106" s="530"/>
      <c r="OKN106" s="531"/>
      <c r="OKO106" s="530"/>
      <c r="OKP106" s="531"/>
      <c r="OKQ106" s="530"/>
      <c r="OKR106" s="531"/>
      <c r="OKS106" s="530"/>
      <c r="OKT106" s="531"/>
      <c r="OKU106" s="530"/>
      <c r="OKV106" s="531"/>
      <c r="OKW106" s="530"/>
      <c r="OKX106" s="531"/>
      <c r="OKY106" s="530"/>
      <c r="OKZ106" s="531"/>
      <c r="OLA106" s="530"/>
      <c r="OLB106" s="531"/>
      <c r="OLC106" s="530"/>
      <c r="OLD106" s="531"/>
      <c r="OLE106" s="530"/>
      <c r="OLF106" s="531"/>
      <c r="OLG106" s="530"/>
      <c r="OLH106" s="531"/>
      <c r="OLI106" s="530"/>
      <c r="OLJ106" s="531"/>
      <c r="OLK106" s="530"/>
      <c r="OLL106" s="531"/>
      <c r="OLM106" s="530"/>
      <c r="OLN106" s="531"/>
      <c r="OLO106" s="530"/>
      <c r="OLP106" s="531"/>
      <c r="OLQ106" s="530"/>
      <c r="OLR106" s="531"/>
      <c r="OLS106" s="530"/>
      <c r="OLT106" s="531"/>
      <c r="OLU106" s="530"/>
      <c r="OLV106" s="531"/>
      <c r="OLW106" s="530"/>
      <c r="OLX106" s="531"/>
      <c r="OLY106" s="530"/>
      <c r="OLZ106" s="531"/>
      <c r="OMA106" s="530"/>
      <c r="OMB106" s="531"/>
      <c r="OMC106" s="530"/>
      <c r="OMD106" s="531"/>
      <c r="OME106" s="530"/>
      <c r="OMF106" s="531"/>
      <c r="OMG106" s="530"/>
      <c r="OMH106" s="531"/>
      <c r="OMI106" s="530"/>
      <c r="OMJ106" s="531"/>
      <c r="OMK106" s="530"/>
      <c r="OML106" s="531"/>
      <c r="OMM106" s="530"/>
      <c r="OMN106" s="531"/>
      <c r="OMO106" s="530"/>
      <c r="OMP106" s="531"/>
      <c r="OMQ106" s="530"/>
      <c r="OMR106" s="531"/>
      <c r="OMS106" s="530"/>
      <c r="OMT106" s="531"/>
      <c r="OMU106" s="530"/>
      <c r="OMV106" s="531"/>
      <c r="OMW106" s="530"/>
      <c r="OMX106" s="531"/>
      <c r="OMY106" s="530"/>
      <c r="OMZ106" s="531"/>
      <c r="ONA106" s="530"/>
      <c r="ONB106" s="531"/>
      <c r="ONC106" s="530"/>
      <c r="OND106" s="531"/>
      <c r="ONE106" s="530"/>
      <c r="ONF106" s="531"/>
      <c r="ONG106" s="530"/>
      <c r="ONH106" s="531"/>
      <c r="ONI106" s="530"/>
      <c r="ONJ106" s="531"/>
      <c r="ONK106" s="530"/>
      <c r="ONL106" s="531"/>
      <c r="ONM106" s="530"/>
      <c r="ONN106" s="531"/>
      <c r="ONO106" s="530"/>
      <c r="ONP106" s="531"/>
      <c r="ONQ106" s="530"/>
      <c r="ONR106" s="531"/>
      <c r="ONS106" s="530"/>
      <c r="ONT106" s="531"/>
      <c r="ONU106" s="530"/>
      <c r="ONV106" s="531"/>
      <c r="ONW106" s="530"/>
      <c r="ONX106" s="531"/>
      <c r="ONY106" s="530"/>
      <c r="ONZ106" s="531"/>
      <c r="OOA106" s="530"/>
      <c r="OOB106" s="531"/>
      <c r="OOC106" s="530"/>
      <c r="OOD106" s="531"/>
      <c r="OOE106" s="530"/>
      <c r="OOF106" s="531"/>
      <c r="OOG106" s="530"/>
      <c r="OOH106" s="531"/>
      <c r="OOI106" s="530"/>
      <c r="OOJ106" s="531"/>
      <c r="OOK106" s="530"/>
      <c r="OOL106" s="531"/>
      <c r="OOM106" s="530"/>
      <c r="OON106" s="531"/>
      <c r="OOO106" s="530"/>
      <c r="OOP106" s="531"/>
      <c r="OOQ106" s="530"/>
      <c r="OOR106" s="531"/>
      <c r="OOS106" s="530"/>
      <c r="OOT106" s="531"/>
      <c r="OOU106" s="530"/>
      <c r="OOV106" s="531"/>
      <c r="OOW106" s="530"/>
      <c r="OOX106" s="531"/>
      <c r="OOY106" s="530"/>
      <c r="OOZ106" s="531"/>
      <c r="OPA106" s="530"/>
      <c r="OPB106" s="531"/>
      <c r="OPC106" s="530"/>
      <c r="OPD106" s="531"/>
      <c r="OPE106" s="530"/>
      <c r="OPF106" s="531"/>
      <c r="OPG106" s="530"/>
      <c r="OPH106" s="531"/>
      <c r="OPI106" s="530"/>
      <c r="OPJ106" s="531"/>
      <c r="OPK106" s="530"/>
      <c r="OPL106" s="531"/>
      <c r="OPM106" s="530"/>
      <c r="OPN106" s="531"/>
      <c r="OPO106" s="530"/>
      <c r="OPP106" s="531"/>
      <c r="OPQ106" s="530"/>
      <c r="OPR106" s="531"/>
      <c r="OPS106" s="530"/>
      <c r="OPT106" s="531"/>
      <c r="OPU106" s="530"/>
      <c r="OPV106" s="531"/>
      <c r="OPW106" s="530"/>
      <c r="OPX106" s="531"/>
      <c r="OPY106" s="530"/>
      <c r="OPZ106" s="531"/>
      <c r="OQA106" s="530"/>
      <c r="OQB106" s="531"/>
      <c r="OQC106" s="530"/>
      <c r="OQD106" s="531"/>
      <c r="OQE106" s="530"/>
      <c r="OQF106" s="531"/>
      <c r="OQG106" s="530"/>
      <c r="OQH106" s="531"/>
      <c r="OQI106" s="530"/>
      <c r="OQJ106" s="531"/>
      <c r="OQK106" s="530"/>
      <c r="OQL106" s="531"/>
      <c r="OQM106" s="530"/>
      <c r="OQN106" s="531"/>
      <c r="OQO106" s="530"/>
      <c r="OQP106" s="531"/>
      <c r="OQQ106" s="530"/>
      <c r="OQR106" s="531"/>
      <c r="OQS106" s="530"/>
      <c r="OQT106" s="531"/>
      <c r="OQU106" s="530"/>
      <c r="OQV106" s="531"/>
      <c r="OQW106" s="530"/>
      <c r="OQX106" s="531"/>
      <c r="OQY106" s="530"/>
      <c r="OQZ106" s="531"/>
      <c r="ORA106" s="530"/>
      <c r="ORB106" s="531"/>
      <c r="ORC106" s="530"/>
      <c r="ORD106" s="531"/>
      <c r="ORE106" s="530"/>
      <c r="ORF106" s="531"/>
      <c r="ORG106" s="530"/>
      <c r="ORH106" s="531"/>
      <c r="ORI106" s="530"/>
      <c r="ORJ106" s="531"/>
      <c r="ORK106" s="530"/>
      <c r="ORL106" s="531"/>
      <c r="ORM106" s="530"/>
      <c r="ORN106" s="531"/>
      <c r="ORO106" s="530"/>
      <c r="ORP106" s="531"/>
      <c r="ORQ106" s="530"/>
      <c r="ORR106" s="531"/>
      <c r="ORS106" s="530"/>
      <c r="ORT106" s="531"/>
      <c r="ORU106" s="530"/>
      <c r="ORV106" s="531"/>
      <c r="ORW106" s="530"/>
      <c r="ORX106" s="531"/>
      <c r="ORY106" s="530"/>
      <c r="ORZ106" s="531"/>
      <c r="OSA106" s="530"/>
      <c r="OSB106" s="531"/>
      <c r="OSC106" s="530"/>
      <c r="OSD106" s="531"/>
      <c r="OSE106" s="530"/>
      <c r="OSF106" s="531"/>
      <c r="OSG106" s="530"/>
      <c r="OSH106" s="531"/>
      <c r="OSI106" s="530"/>
      <c r="OSJ106" s="531"/>
      <c r="OSK106" s="530"/>
      <c r="OSL106" s="531"/>
      <c r="OSM106" s="530"/>
      <c r="OSN106" s="531"/>
      <c r="OSO106" s="530"/>
      <c r="OSP106" s="531"/>
      <c r="OSQ106" s="530"/>
      <c r="OSR106" s="531"/>
      <c r="OSS106" s="530"/>
      <c r="OST106" s="531"/>
      <c r="OSU106" s="530"/>
      <c r="OSV106" s="531"/>
      <c r="OSW106" s="530"/>
      <c r="OSX106" s="531"/>
      <c r="OSY106" s="530"/>
      <c r="OSZ106" s="531"/>
      <c r="OTA106" s="530"/>
      <c r="OTB106" s="531"/>
      <c r="OTC106" s="530"/>
      <c r="OTD106" s="531"/>
      <c r="OTE106" s="530"/>
      <c r="OTF106" s="531"/>
      <c r="OTG106" s="530"/>
      <c r="OTH106" s="531"/>
      <c r="OTI106" s="530"/>
      <c r="OTJ106" s="531"/>
      <c r="OTK106" s="530"/>
      <c r="OTL106" s="531"/>
      <c r="OTM106" s="530"/>
      <c r="OTN106" s="531"/>
      <c r="OTO106" s="530"/>
      <c r="OTP106" s="531"/>
      <c r="OTQ106" s="530"/>
      <c r="OTR106" s="531"/>
      <c r="OTS106" s="530"/>
      <c r="OTT106" s="531"/>
      <c r="OTU106" s="530"/>
      <c r="OTV106" s="531"/>
      <c r="OTW106" s="530"/>
      <c r="OTX106" s="531"/>
      <c r="OTY106" s="530"/>
      <c r="OTZ106" s="531"/>
      <c r="OUA106" s="530"/>
      <c r="OUB106" s="531"/>
      <c r="OUC106" s="530"/>
      <c r="OUD106" s="531"/>
      <c r="OUE106" s="530"/>
      <c r="OUF106" s="531"/>
      <c r="OUG106" s="530"/>
      <c r="OUH106" s="531"/>
      <c r="OUI106" s="530"/>
      <c r="OUJ106" s="531"/>
      <c r="OUK106" s="530"/>
      <c r="OUL106" s="531"/>
      <c r="OUM106" s="530"/>
      <c r="OUN106" s="531"/>
      <c r="OUO106" s="530"/>
      <c r="OUP106" s="531"/>
      <c r="OUQ106" s="530"/>
      <c r="OUR106" s="531"/>
      <c r="OUS106" s="530"/>
      <c r="OUT106" s="531"/>
      <c r="OUU106" s="530"/>
      <c r="OUV106" s="531"/>
      <c r="OUW106" s="530"/>
      <c r="OUX106" s="531"/>
      <c r="OUY106" s="530"/>
      <c r="OUZ106" s="531"/>
      <c r="OVA106" s="530"/>
      <c r="OVB106" s="531"/>
      <c r="OVC106" s="530"/>
      <c r="OVD106" s="531"/>
      <c r="OVE106" s="530"/>
      <c r="OVF106" s="531"/>
      <c r="OVG106" s="530"/>
      <c r="OVH106" s="531"/>
      <c r="OVI106" s="530"/>
      <c r="OVJ106" s="531"/>
      <c r="OVK106" s="530"/>
      <c r="OVL106" s="531"/>
      <c r="OVM106" s="530"/>
      <c r="OVN106" s="531"/>
      <c r="OVO106" s="530"/>
      <c r="OVP106" s="531"/>
      <c r="OVQ106" s="530"/>
      <c r="OVR106" s="531"/>
      <c r="OVS106" s="530"/>
      <c r="OVT106" s="531"/>
      <c r="OVU106" s="530"/>
      <c r="OVV106" s="531"/>
      <c r="OVW106" s="530"/>
      <c r="OVX106" s="531"/>
      <c r="OVY106" s="530"/>
      <c r="OVZ106" s="531"/>
      <c r="OWA106" s="530"/>
      <c r="OWB106" s="531"/>
      <c r="OWC106" s="530"/>
      <c r="OWD106" s="531"/>
      <c r="OWE106" s="530"/>
      <c r="OWF106" s="531"/>
      <c r="OWG106" s="530"/>
      <c r="OWH106" s="531"/>
      <c r="OWI106" s="530"/>
      <c r="OWJ106" s="531"/>
      <c r="OWK106" s="530"/>
      <c r="OWL106" s="531"/>
      <c r="OWM106" s="530"/>
      <c r="OWN106" s="531"/>
      <c r="OWO106" s="530"/>
      <c r="OWP106" s="531"/>
      <c r="OWQ106" s="530"/>
      <c r="OWR106" s="531"/>
      <c r="OWS106" s="530"/>
      <c r="OWT106" s="531"/>
      <c r="OWU106" s="530"/>
      <c r="OWV106" s="531"/>
      <c r="OWW106" s="530"/>
      <c r="OWX106" s="531"/>
      <c r="OWY106" s="530"/>
      <c r="OWZ106" s="531"/>
      <c r="OXA106" s="530"/>
      <c r="OXB106" s="531"/>
      <c r="OXC106" s="530"/>
      <c r="OXD106" s="531"/>
      <c r="OXE106" s="530"/>
      <c r="OXF106" s="531"/>
      <c r="OXG106" s="530"/>
      <c r="OXH106" s="531"/>
      <c r="OXI106" s="530"/>
      <c r="OXJ106" s="531"/>
      <c r="OXK106" s="530"/>
      <c r="OXL106" s="531"/>
      <c r="OXM106" s="530"/>
      <c r="OXN106" s="531"/>
      <c r="OXO106" s="530"/>
      <c r="OXP106" s="531"/>
      <c r="OXQ106" s="530"/>
      <c r="OXR106" s="531"/>
      <c r="OXS106" s="530"/>
      <c r="OXT106" s="531"/>
      <c r="OXU106" s="530"/>
      <c r="OXV106" s="531"/>
      <c r="OXW106" s="530"/>
      <c r="OXX106" s="531"/>
      <c r="OXY106" s="530"/>
      <c r="OXZ106" s="531"/>
      <c r="OYA106" s="530"/>
      <c r="OYB106" s="531"/>
      <c r="OYC106" s="530"/>
      <c r="OYD106" s="531"/>
      <c r="OYE106" s="530"/>
      <c r="OYF106" s="531"/>
      <c r="OYG106" s="530"/>
      <c r="OYH106" s="531"/>
      <c r="OYI106" s="530"/>
      <c r="OYJ106" s="531"/>
      <c r="OYK106" s="530"/>
      <c r="OYL106" s="531"/>
      <c r="OYM106" s="530"/>
      <c r="OYN106" s="531"/>
      <c r="OYO106" s="530"/>
      <c r="OYP106" s="531"/>
      <c r="OYQ106" s="530"/>
      <c r="OYR106" s="531"/>
      <c r="OYS106" s="530"/>
      <c r="OYT106" s="531"/>
      <c r="OYU106" s="530"/>
      <c r="OYV106" s="531"/>
      <c r="OYW106" s="530"/>
      <c r="OYX106" s="531"/>
      <c r="OYY106" s="530"/>
      <c r="OYZ106" s="531"/>
      <c r="OZA106" s="530"/>
      <c r="OZB106" s="531"/>
      <c r="OZC106" s="530"/>
      <c r="OZD106" s="531"/>
      <c r="OZE106" s="530"/>
      <c r="OZF106" s="531"/>
      <c r="OZG106" s="530"/>
      <c r="OZH106" s="531"/>
      <c r="OZI106" s="530"/>
      <c r="OZJ106" s="531"/>
      <c r="OZK106" s="530"/>
      <c r="OZL106" s="531"/>
      <c r="OZM106" s="530"/>
      <c r="OZN106" s="531"/>
      <c r="OZO106" s="530"/>
      <c r="OZP106" s="531"/>
      <c r="OZQ106" s="530"/>
      <c r="OZR106" s="531"/>
      <c r="OZS106" s="530"/>
      <c r="OZT106" s="531"/>
      <c r="OZU106" s="530"/>
      <c r="OZV106" s="531"/>
      <c r="OZW106" s="530"/>
      <c r="OZX106" s="531"/>
      <c r="OZY106" s="530"/>
      <c r="OZZ106" s="531"/>
      <c r="PAA106" s="530"/>
      <c r="PAB106" s="531"/>
      <c r="PAC106" s="530"/>
      <c r="PAD106" s="531"/>
      <c r="PAE106" s="530"/>
      <c r="PAF106" s="531"/>
      <c r="PAG106" s="530"/>
      <c r="PAH106" s="531"/>
      <c r="PAI106" s="530"/>
      <c r="PAJ106" s="531"/>
      <c r="PAK106" s="530"/>
      <c r="PAL106" s="531"/>
      <c r="PAM106" s="530"/>
      <c r="PAN106" s="531"/>
      <c r="PAO106" s="530"/>
      <c r="PAP106" s="531"/>
      <c r="PAQ106" s="530"/>
      <c r="PAR106" s="531"/>
      <c r="PAS106" s="530"/>
      <c r="PAT106" s="531"/>
      <c r="PAU106" s="530"/>
      <c r="PAV106" s="531"/>
      <c r="PAW106" s="530"/>
      <c r="PAX106" s="531"/>
      <c r="PAY106" s="530"/>
      <c r="PAZ106" s="531"/>
      <c r="PBA106" s="530"/>
      <c r="PBB106" s="531"/>
      <c r="PBC106" s="530"/>
      <c r="PBD106" s="531"/>
      <c r="PBE106" s="530"/>
      <c r="PBF106" s="531"/>
      <c r="PBG106" s="530"/>
      <c r="PBH106" s="531"/>
      <c r="PBI106" s="530"/>
      <c r="PBJ106" s="531"/>
      <c r="PBK106" s="530"/>
      <c r="PBL106" s="531"/>
      <c r="PBM106" s="530"/>
      <c r="PBN106" s="531"/>
      <c r="PBO106" s="530"/>
      <c r="PBP106" s="531"/>
      <c r="PBQ106" s="530"/>
      <c r="PBR106" s="531"/>
      <c r="PBS106" s="530"/>
      <c r="PBT106" s="531"/>
      <c r="PBU106" s="530"/>
      <c r="PBV106" s="531"/>
      <c r="PBW106" s="530"/>
      <c r="PBX106" s="531"/>
      <c r="PBY106" s="530"/>
      <c r="PBZ106" s="531"/>
      <c r="PCA106" s="530"/>
      <c r="PCB106" s="531"/>
      <c r="PCC106" s="530"/>
      <c r="PCD106" s="531"/>
      <c r="PCE106" s="530"/>
      <c r="PCF106" s="531"/>
      <c r="PCG106" s="530"/>
      <c r="PCH106" s="531"/>
      <c r="PCI106" s="530"/>
      <c r="PCJ106" s="531"/>
      <c r="PCK106" s="530"/>
      <c r="PCL106" s="531"/>
      <c r="PCM106" s="530"/>
      <c r="PCN106" s="531"/>
      <c r="PCO106" s="530"/>
      <c r="PCP106" s="531"/>
      <c r="PCQ106" s="530"/>
      <c r="PCR106" s="531"/>
      <c r="PCS106" s="530"/>
      <c r="PCT106" s="531"/>
      <c r="PCU106" s="530"/>
      <c r="PCV106" s="531"/>
      <c r="PCW106" s="530"/>
      <c r="PCX106" s="531"/>
      <c r="PCY106" s="530"/>
      <c r="PCZ106" s="531"/>
      <c r="PDA106" s="530"/>
      <c r="PDB106" s="531"/>
      <c r="PDC106" s="530"/>
      <c r="PDD106" s="531"/>
      <c r="PDE106" s="530"/>
      <c r="PDF106" s="531"/>
      <c r="PDG106" s="530"/>
      <c r="PDH106" s="531"/>
      <c r="PDI106" s="530"/>
      <c r="PDJ106" s="531"/>
      <c r="PDK106" s="530"/>
      <c r="PDL106" s="531"/>
      <c r="PDM106" s="530"/>
      <c r="PDN106" s="531"/>
      <c r="PDO106" s="530"/>
      <c r="PDP106" s="531"/>
      <c r="PDQ106" s="530"/>
      <c r="PDR106" s="531"/>
      <c r="PDS106" s="530"/>
      <c r="PDT106" s="531"/>
      <c r="PDU106" s="530"/>
      <c r="PDV106" s="531"/>
      <c r="PDW106" s="530"/>
      <c r="PDX106" s="531"/>
      <c r="PDY106" s="530"/>
      <c r="PDZ106" s="531"/>
      <c r="PEA106" s="530"/>
      <c r="PEB106" s="531"/>
      <c r="PEC106" s="530"/>
      <c r="PED106" s="531"/>
      <c r="PEE106" s="530"/>
      <c r="PEF106" s="531"/>
      <c r="PEG106" s="530"/>
      <c r="PEH106" s="531"/>
      <c r="PEI106" s="530"/>
      <c r="PEJ106" s="531"/>
      <c r="PEK106" s="530"/>
      <c r="PEL106" s="531"/>
      <c r="PEM106" s="530"/>
      <c r="PEN106" s="531"/>
      <c r="PEO106" s="530"/>
      <c r="PEP106" s="531"/>
      <c r="PEQ106" s="530"/>
      <c r="PER106" s="531"/>
      <c r="PES106" s="530"/>
      <c r="PET106" s="531"/>
      <c r="PEU106" s="530"/>
      <c r="PEV106" s="531"/>
      <c r="PEW106" s="530"/>
      <c r="PEX106" s="531"/>
      <c r="PEY106" s="530"/>
      <c r="PEZ106" s="531"/>
      <c r="PFA106" s="530"/>
      <c r="PFB106" s="531"/>
      <c r="PFC106" s="530"/>
      <c r="PFD106" s="531"/>
      <c r="PFE106" s="530"/>
      <c r="PFF106" s="531"/>
      <c r="PFG106" s="530"/>
      <c r="PFH106" s="531"/>
      <c r="PFI106" s="530"/>
      <c r="PFJ106" s="531"/>
      <c r="PFK106" s="530"/>
      <c r="PFL106" s="531"/>
      <c r="PFM106" s="530"/>
      <c r="PFN106" s="531"/>
      <c r="PFO106" s="530"/>
      <c r="PFP106" s="531"/>
      <c r="PFQ106" s="530"/>
      <c r="PFR106" s="531"/>
      <c r="PFS106" s="530"/>
      <c r="PFT106" s="531"/>
      <c r="PFU106" s="530"/>
      <c r="PFV106" s="531"/>
      <c r="PFW106" s="530"/>
      <c r="PFX106" s="531"/>
      <c r="PFY106" s="530"/>
      <c r="PFZ106" s="531"/>
      <c r="PGA106" s="530"/>
      <c r="PGB106" s="531"/>
      <c r="PGC106" s="530"/>
      <c r="PGD106" s="531"/>
      <c r="PGE106" s="530"/>
      <c r="PGF106" s="531"/>
      <c r="PGG106" s="530"/>
      <c r="PGH106" s="531"/>
      <c r="PGI106" s="530"/>
      <c r="PGJ106" s="531"/>
      <c r="PGK106" s="530"/>
      <c r="PGL106" s="531"/>
      <c r="PGM106" s="530"/>
      <c r="PGN106" s="531"/>
      <c r="PGO106" s="530"/>
      <c r="PGP106" s="531"/>
      <c r="PGQ106" s="530"/>
      <c r="PGR106" s="531"/>
      <c r="PGS106" s="530"/>
      <c r="PGT106" s="531"/>
      <c r="PGU106" s="530"/>
      <c r="PGV106" s="531"/>
      <c r="PGW106" s="530"/>
      <c r="PGX106" s="531"/>
      <c r="PGY106" s="530"/>
      <c r="PGZ106" s="531"/>
      <c r="PHA106" s="530"/>
      <c r="PHB106" s="531"/>
      <c r="PHC106" s="530"/>
      <c r="PHD106" s="531"/>
      <c r="PHE106" s="530"/>
      <c r="PHF106" s="531"/>
      <c r="PHG106" s="530"/>
      <c r="PHH106" s="531"/>
      <c r="PHI106" s="530"/>
      <c r="PHJ106" s="531"/>
      <c r="PHK106" s="530"/>
      <c r="PHL106" s="531"/>
      <c r="PHM106" s="530"/>
      <c r="PHN106" s="531"/>
      <c r="PHO106" s="530"/>
      <c r="PHP106" s="531"/>
      <c r="PHQ106" s="530"/>
      <c r="PHR106" s="531"/>
      <c r="PHS106" s="530"/>
      <c r="PHT106" s="531"/>
      <c r="PHU106" s="530"/>
      <c r="PHV106" s="531"/>
      <c r="PHW106" s="530"/>
      <c r="PHX106" s="531"/>
      <c r="PHY106" s="530"/>
      <c r="PHZ106" s="531"/>
      <c r="PIA106" s="530"/>
      <c r="PIB106" s="531"/>
      <c r="PIC106" s="530"/>
      <c r="PID106" s="531"/>
      <c r="PIE106" s="530"/>
      <c r="PIF106" s="531"/>
      <c r="PIG106" s="530"/>
      <c r="PIH106" s="531"/>
      <c r="PII106" s="530"/>
      <c r="PIJ106" s="531"/>
      <c r="PIK106" s="530"/>
      <c r="PIL106" s="531"/>
      <c r="PIM106" s="530"/>
      <c r="PIN106" s="531"/>
      <c r="PIO106" s="530"/>
      <c r="PIP106" s="531"/>
      <c r="PIQ106" s="530"/>
      <c r="PIR106" s="531"/>
      <c r="PIS106" s="530"/>
      <c r="PIT106" s="531"/>
      <c r="PIU106" s="530"/>
      <c r="PIV106" s="531"/>
      <c r="PIW106" s="530"/>
      <c r="PIX106" s="531"/>
      <c r="PIY106" s="530"/>
      <c r="PIZ106" s="531"/>
      <c r="PJA106" s="530"/>
      <c r="PJB106" s="531"/>
      <c r="PJC106" s="530"/>
      <c r="PJD106" s="531"/>
      <c r="PJE106" s="530"/>
      <c r="PJF106" s="531"/>
      <c r="PJG106" s="530"/>
      <c r="PJH106" s="531"/>
      <c r="PJI106" s="530"/>
      <c r="PJJ106" s="531"/>
      <c r="PJK106" s="530"/>
      <c r="PJL106" s="531"/>
      <c r="PJM106" s="530"/>
      <c r="PJN106" s="531"/>
      <c r="PJO106" s="530"/>
      <c r="PJP106" s="531"/>
      <c r="PJQ106" s="530"/>
      <c r="PJR106" s="531"/>
      <c r="PJS106" s="530"/>
      <c r="PJT106" s="531"/>
      <c r="PJU106" s="530"/>
      <c r="PJV106" s="531"/>
      <c r="PJW106" s="530"/>
      <c r="PJX106" s="531"/>
      <c r="PJY106" s="530"/>
      <c r="PJZ106" s="531"/>
      <c r="PKA106" s="530"/>
      <c r="PKB106" s="531"/>
      <c r="PKC106" s="530"/>
      <c r="PKD106" s="531"/>
      <c r="PKE106" s="530"/>
      <c r="PKF106" s="531"/>
      <c r="PKG106" s="530"/>
      <c r="PKH106" s="531"/>
      <c r="PKI106" s="530"/>
      <c r="PKJ106" s="531"/>
      <c r="PKK106" s="530"/>
      <c r="PKL106" s="531"/>
      <c r="PKM106" s="530"/>
      <c r="PKN106" s="531"/>
      <c r="PKO106" s="530"/>
      <c r="PKP106" s="531"/>
      <c r="PKQ106" s="530"/>
      <c r="PKR106" s="531"/>
      <c r="PKS106" s="530"/>
      <c r="PKT106" s="531"/>
      <c r="PKU106" s="530"/>
      <c r="PKV106" s="531"/>
      <c r="PKW106" s="530"/>
      <c r="PKX106" s="531"/>
      <c r="PKY106" s="530"/>
      <c r="PKZ106" s="531"/>
      <c r="PLA106" s="530"/>
      <c r="PLB106" s="531"/>
      <c r="PLC106" s="530"/>
      <c r="PLD106" s="531"/>
      <c r="PLE106" s="530"/>
      <c r="PLF106" s="531"/>
      <c r="PLG106" s="530"/>
      <c r="PLH106" s="531"/>
      <c r="PLI106" s="530"/>
      <c r="PLJ106" s="531"/>
      <c r="PLK106" s="530"/>
      <c r="PLL106" s="531"/>
      <c r="PLM106" s="530"/>
      <c r="PLN106" s="531"/>
      <c r="PLO106" s="530"/>
      <c r="PLP106" s="531"/>
      <c r="PLQ106" s="530"/>
      <c r="PLR106" s="531"/>
      <c r="PLS106" s="530"/>
      <c r="PLT106" s="531"/>
      <c r="PLU106" s="530"/>
      <c r="PLV106" s="531"/>
      <c r="PLW106" s="530"/>
      <c r="PLX106" s="531"/>
      <c r="PLY106" s="530"/>
      <c r="PLZ106" s="531"/>
      <c r="PMA106" s="530"/>
      <c r="PMB106" s="531"/>
      <c r="PMC106" s="530"/>
      <c r="PMD106" s="531"/>
      <c r="PME106" s="530"/>
      <c r="PMF106" s="531"/>
      <c r="PMG106" s="530"/>
      <c r="PMH106" s="531"/>
      <c r="PMI106" s="530"/>
      <c r="PMJ106" s="531"/>
      <c r="PMK106" s="530"/>
      <c r="PML106" s="531"/>
      <c r="PMM106" s="530"/>
      <c r="PMN106" s="531"/>
      <c r="PMO106" s="530"/>
      <c r="PMP106" s="531"/>
      <c r="PMQ106" s="530"/>
      <c r="PMR106" s="531"/>
      <c r="PMS106" s="530"/>
      <c r="PMT106" s="531"/>
      <c r="PMU106" s="530"/>
      <c r="PMV106" s="531"/>
      <c r="PMW106" s="530"/>
      <c r="PMX106" s="531"/>
      <c r="PMY106" s="530"/>
      <c r="PMZ106" s="531"/>
      <c r="PNA106" s="530"/>
      <c r="PNB106" s="531"/>
      <c r="PNC106" s="530"/>
      <c r="PND106" s="531"/>
      <c r="PNE106" s="530"/>
      <c r="PNF106" s="531"/>
      <c r="PNG106" s="530"/>
      <c r="PNH106" s="531"/>
      <c r="PNI106" s="530"/>
      <c r="PNJ106" s="531"/>
      <c r="PNK106" s="530"/>
      <c r="PNL106" s="531"/>
      <c r="PNM106" s="530"/>
      <c r="PNN106" s="531"/>
      <c r="PNO106" s="530"/>
      <c r="PNP106" s="531"/>
      <c r="PNQ106" s="530"/>
      <c r="PNR106" s="531"/>
      <c r="PNS106" s="530"/>
      <c r="PNT106" s="531"/>
      <c r="PNU106" s="530"/>
      <c r="PNV106" s="531"/>
      <c r="PNW106" s="530"/>
      <c r="PNX106" s="531"/>
      <c r="PNY106" s="530"/>
      <c r="PNZ106" s="531"/>
      <c r="POA106" s="530"/>
      <c r="POB106" s="531"/>
      <c r="POC106" s="530"/>
      <c r="POD106" s="531"/>
      <c r="POE106" s="530"/>
      <c r="POF106" s="531"/>
      <c r="POG106" s="530"/>
      <c r="POH106" s="531"/>
      <c r="POI106" s="530"/>
      <c r="POJ106" s="531"/>
      <c r="POK106" s="530"/>
      <c r="POL106" s="531"/>
      <c r="POM106" s="530"/>
      <c r="PON106" s="531"/>
      <c r="POO106" s="530"/>
      <c r="POP106" s="531"/>
      <c r="POQ106" s="530"/>
      <c r="POR106" s="531"/>
      <c r="POS106" s="530"/>
      <c r="POT106" s="531"/>
      <c r="POU106" s="530"/>
      <c r="POV106" s="531"/>
      <c r="POW106" s="530"/>
      <c r="POX106" s="531"/>
      <c r="POY106" s="530"/>
      <c r="POZ106" s="531"/>
      <c r="PPA106" s="530"/>
      <c r="PPB106" s="531"/>
      <c r="PPC106" s="530"/>
      <c r="PPD106" s="531"/>
      <c r="PPE106" s="530"/>
      <c r="PPF106" s="531"/>
      <c r="PPG106" s="530"/>
      <c r="PPH106" s="531"/>
      <c r="PPI106" s="530"/>
      <c r="PPJ106" s="531"/>
      <c r="PPK106" s="530"/>
      <c r="PPL106" s="531"/>
      <c r="PPM106" s="530"/>
      <c r="PPN106" s="531"/>
      <c r="PPO106" s="530"/>
      <c r="PPP106" s="531"/>
      <c r="PPQ106" s="530"/>
      <c r="PPR106" s="531"/>
      <c r="PPS106" s="530"/>
      <c r="PPT106" s="531"/>
      <c r="PPU106" s="530"/>
      <c r="PPV106" s="531"/>
      <c r="PPW106" s="530"/>
      <c r="PPX106" s="531"/>
      <c r="PPY106" s="530"/>
      <c r="PPZ106" s="531"/>
      <c r="PQA106" s="530"/>
      <c r="PQB106" s="531"/>
      <c r="PQC106" s="530"/>
      <c r="PQD106" s="531"/>
      <c r="PQE106" s="530"/>
      <c r="PQF106" s="531"/>
      <c r="PQG106" s="530"/>
      <c r="PQH106" s="531"/>
      <c r="PQI106" s="530"/>
      <c r="PQJ106" s="531"/>
      <c r="PQK106" s="530"/>
      <c r="PQL106" s="531"/>
      <c r="PQM106" s="530"/>
      <c r="PQN106" s="531"/>
      <c r="PQO106" s="530"/>
      <c r="PQP106" s="531"/>
      <c r="PQQ106" s="530"/>
      <c r="PQR106" s="531"/>
      <c r="PQS106" s="530"/>
      <c r="PQT106" s="531"/>
      <c r="PQU106" s="530"/>
      <c r="PQV106" s="531"/>
      <c r="PQW106" s="530"/>
      <c r="PQX106" s="531"/>
      <c r="PQY106" s="530"/>
      <c r="PQZ106" s="531"/>
      <c r="PRA106" s="530"/>
      <c r="PRB106" s="531"/>
      <c r="PRC106" s="530"/>
      <c r="PRD106" s="531"/>
      <c r="PRE106" s="530"/>
      <c r="PRF106" s="531"/>
      <c r="PRG106" s="530"/>
      <c r="PRH106" s="531"/>
      <c r="PRI106" s="530"/>
      <c r="PRJ106" s="531"/>
      <c r="PRK106" s="530"/>
      <c r="PRL106" s="531"/>
      <c r="PRM106" s="530"/>
      <c r="PRN106" s="531"/>
      <c r="PRO106" s="530"/>
      <c r="PRP106" s="531"/>
      <c r="PRQ106" s="530"/>
      <c r="PRR106" s="531"/>
      <c r="PRS106" s="530"/>
      <c r="PRT106" s="531"/>
      <c r="PRU106" s="530"/>
      <c r="PRV106" s="531"/>
      <c r="PRW106" s="530"/>
      <c r="PRX106" s="531"/>
      <c r="PRY106" s="530"/>
      <c r="PRZ106" s="531"/>
      <c r="PSA106" s="530"/>
      <c r="PSB106" s="531"/>
      <c r="PSC106" s="530"/>
      <c r="PSD106" s="531"/>
      <c r="PSE106" s="530"/>
      <c r="PSF106" s="531"/>
      <c r="PSG106" s="530"/>
      <c r="PSH106" s="531"/>
      <c r="PSI106" s="530"/>
      <c r="PSJ106" s="531"/>
      <c r="PSK106" s="530"/>
      <c r="PSL106" s="531"/>
      <c r="PSM106" s="530"/>
      <c r="PSN106" s="531"/>
      <c r="PSO106" s="530"/>
      <c r="PSP106" s="531"/>
      <c r="PSQ106" s="530"/>
      <c r="PSR106" s="531"/>
      <c r="PSS106" s="530"/>
      <c r="PST106" s="531"/>
      <c r="PSU106" s="530"/>
      <c r="PSV106" s="531"/>
      <c r="PSW106" s="530"/>
      <c r="PSX106" s="531"/>
      <c r="PSY106" s="530"/>
      <c r="PSZ106" s="531"/>
      <c r="PTA106" s="530"/>
      <c r="PTB106" s="531"/>
      <c r="PTC106" s="530"/>
      <c r="PTD106" s="531"/>
      <c r="PTE106" s="530"/>
      <c r="PTF106" s="531"/>
      <c r="PTG106" s="530"/>
      <c r="PTH106" s="531"/>
      <c r="PTI106" s="530"/>
      <c r="PTJ106" s="531"/>
      <c r="PTK106" s="530"/>
      <c r="PTL106" s="531"/>
      <c r="PTM106" s="530"/>
      <c r="PTN106" s="531"/>
      <c r="PTO106" s="530"/>
      <c r="PTP106" s="531"/>
      <c r="PTQ106" s="530"/>
      <c r="PTR106" s="531"/>
      <c r="PTS106" s="530"/>
      <c r="PTT106" s="531"/>
      <c r="PTU106" s="530"/>
      <c r="PTV106" s="531"/>
      <c r="PTW106" s="530"/>
      <c r="PTX106" s="531"/>
      <c r="PTY106" s="530"/>
      <c r="PTZ106" s="531"/>
      <c r="PUA106" s="530"/>
      <c r="PUB106" s="531"/>
      <c r="PUC106" s="530"/>
      <c r="PUD106" s="531"/>
      <c r="PUE106" s="530"/>
      <c r="PUF106" s="531"/>
      <c r="PUG106" s="530"/>
      <c r="PUH106" s="531"/>
      <c r="PUI106" s="530"/>
      <c r="PUJ106" s="531"/>
      <c r="PUK106" s="530"/>
      <c r="PUL106" s="531"/>
      <c r="PUM106" s="530"/>
      <c r="PUN106" s="531"/>
      <c r="PUO106" s="530"/>
      <c r="PUP106" s="531"/>
      <c r="PUQ106" s="530"/>
      <c r="PUR106" s="531"/>
      <c r="PUS106" s="530"/>
      <c r="PUT106" s="531"/>
      <c r="PUU106" s="530"/>
      <c r="PUV106" s="531"/>
      <c r="PUW106" s="530"/>
      <c r="PUX106" s="531"/>
      <c r="PUY106" s="530"/>
      <c r="PUZ106" s="531"/>
      <c r="PVA106" s="530"/>
      <c r="PVB106" s="531"/>
      <c r="PVC106" s="530"/>
      <c r="PVD106" s="531"/>
      <c r="PVE106" s="530"/>
      <c r="PVF106" s="531"/>
      <c r="PVG106" s="530"/>
      <c r="PVH106" s="531"/>
      <c r="PVI106" s="530"/>
      <c r="PVJ106" s="531"/>
      <c r="PVK106" s="530"/>
      <c r="PVL106" s="531"/>
      <c r="PVM106" s="530"/>
      <c r="PVN106" s="531"/>
      <c r="PVO106" s="530"/>
      <c r="PVP106" s="531"/>
      <c r="PVQ106" s="530"/>
      <c r="PVR106" s="531"/>
      <c r="PVS106" s="530"/>
      <c r="PVT106" s="531"/>
      <c r="PVU106" s="530"/>
      <c r="PVV106" s="531"/>
      <c r="PVW106" s="530"/>
      <c r="PVX106" s="531"/>
      <c r="PVY106" s="530"/>
      <c r="PVZ106" s="531"/>
      <c r="PWA106" s="530"/>
      <c r="PWB106" s="531"/>
      <c r="PWC106" s="530"/>
      <c r="PWD106" s="531"/>
      <c r="PWE106" s="530"/>
      <c r="PWF106" s="531"/>
      <c r="PWG106" s="530"/>
      <c r="PWH106" s="531"/>
      <c r="PWI106" s="530"/>
      <c r="PWJ106" s="531"/>
      <c r="PWK106" s="530"/>
      <c r="PWL106" s="531"/>
      <c r="PWM106" s="530"/>
      <c r="PWN106" s="531"/>
      <c r="PWO106" s="530"/>
      <c r="PWP106" s="531"/>
      <c r="PWQ106" s="530"/>
      <c r="PWR106" s="531"/>
      <c r="PWS106" s="530"/>
      <c r="PWT106" s="531"/>
      <c r="PWU106" s="530"/>
      <c r="PWV106" s="531"/>
      <c r="PWW106" s="530"/>
      <c r="PWX106" s="531"/>
      <c r="PWY106" s="530"/>
      <c r="PWZ106" s="531"/>
      <c r="PXA106" s="530"/>
      <c r="PXB106" s="531"/>
      <c r="PXC106" s="530"/>
      <c r="PXD106" s="531"/>
      <c r="PXE106" s="530"/>
      <c r="PXF106" s="531"/>
      <c r="PXG106" s="530"/>
      <c r="PXH106" s="531"/>
      <c r="PXI106" s="530"/>
      <c r="PXJ106" s="531"/>
      <c r="PXK106" s="530"/>
      <c r="PXL106" s="531"/>
      <c r="PXM106" s="530"/>
      <c r="PXN106" s="531"/>
      <c r="PXO106" s="530"/>
      <c r="PXP106" s="531"/>
      <c r="PXQ106" s="530"/>
      <c r="PXR106" s="531"/>
      <c r="PXS106" s="530"/>
      <c r="PXT106" s="531"/>
      <c r="PXU106" s="530"/>
      <c r="PXV106" s="531"/>
      <c r="PXW106" s="530"/>
      <c r="PXX106" s="531"/>
      <c r="PXY106" s="530"/>
      <c r="PXZ106" s="531"/>
      <c r="PYA106" s="530"/>
      <c r="PYB106" s="531"/>
      <c r="PYC106" s="530"/>
      <c r="PYD106" s="531"/>
      <c r="PYE106" s="530"/>
      <c r="PYF106" s="531"/>
      <c r="PYG106" s="530"/>
      <c r="PYH106" s="531"/>
      <c r="PYI106" s="530"/>
      <c r="PYJ106" s="531"/>
      <c r="PYK106" s="530"/>
      <c r="PYL106" s="531"/>
      <c r="PYM106" s="530"/>
      <c r="PYN106" s="531"/>
      <c r="PYO106" s="530"/>
      <c r="PYP106" s="531"/>
      <c r="PYQ106" s="530"/>
      <c r="PYR106" s="531"/>
      <c r="PYS106" s="530"/>
      <c r="PYT106" s="531"/>
      <c r="PYU106" s="530"/>
      <c r="PYV106" s="531"/>
      <c r="PYW106" s="530"/>
      <c r="PYX106" s="531"/>
      <c r="PYY106" s="530"/>
      <c r="PYZ106" s="531"/>
      <c r="PZA106" s="530"/>
      <c r="PZB106" s="531"/>
      <c r="PZC106" s="530"/>
      <c r="PZD106" s="531"/>
      <c r="PZE106" s="530"/>
      <c r="PZF106" s="531"/>
      <c r="PZG106" s="530"/>
      <c r="PZH106" s="531"/>
      <c r="PZI106" s="530"/>
      <c r="PZJ106" s="531"/>
      <c r="PZK106" s="530"/>
      <c r="PZL106" s="531"/>
      <c r="PZM106" s="530"/>
      <c r="PZN106" s="531"/>
      <c r="PZO106" s="530"/>
      <c r="PZP106" s="531"/>
      <c r="PZQ106" s="530"/>
      <c r="PZR106" s="531"/>
      <c r="PZS106" s="530"/>
      <c r="PZT106" s="531"/>
      <c r="PZU106" s="530"/>
      <c r="PZV106" s="531"/>
      <c r="PZW106" s="530"/>
      <c r="PZX106" s="531"/>
      <c r="PZY106" s="530"/>
      <c r="PZZ106" s="531"/>
      <c r="QAA106" s="530"/>
      <c r="QAB106" s="531"/>
      <c r="QAC106" s="530"/>
      <c r="QAD106" s="531"/>
      <c r="QAE106" s="530"/>
      <c r="QAF106" s="531"/>
      <c r="QAG106" s="530"/>
      <c r="QAH106" s="531"/>
      <c r="QAI106" s="530"/>
      <c r="QAJ106" s="531"/>
      <c r="QAK106" s="530"/>
      <c r="QAL106" s="531"/>
      <c r="QAM106" s="530"/>
      <c r="QAN106" s="531"/>
      <c r="QAO106" s="530"/>
      <c r="QAP106" s="531"/>
      <c r="QAQ106" s="530"/>
      <c r="QAR106" s="531"/>
      <c r="QAS106" s="530"/>
      <c r="QAT106" s="531"/>
      <c r="QAU106" s="530"/>
      <c r="QAV106" s="531"/>
      <c r="QAW106" s="530"/>
      <c r="QAX106" s="531"/>
      <c r="QAY106" s="530"/>
      <c r="QAZ106" s="531"/>
      <c r="QBA106" s="530"/>
      <c r="QBB106" s="531"/>
      <c r="QBC106" s="530"/>
      <c r="QBD106" s="531"/>
      <c r="QBE106" s="530"/>
      <c r="QBF106" s="531"/>
      <c r="QBG106" s="530"/>
      <c r="QBH106" s="531"/>
      <c r="QBI106" s="530"/>
      <c r="QBJ106" s="531"/>
      <c r="QBK106" s="530"/>
      <c r="QBL106" s="531"/>
      <c r="QBM106" s="530"/>
      <c r="QBN106" s="531"/>
      <c r="QBO106" s="530"/>
      <c r="QBP106" s="531"/>
      <c r="QBQ106" s="530"/>
      <c r="QBR106" s="531"/>
      <c r="QBS106" s="530"/>
      <c r="QBT106" s="531"/>
      <c r="QBU106" s="530"/>
      <c r="QBV106" s="531"/>
      <c r="QBW106" s="530"/>
      <c r="QBX106" s="531"/>
      <c r="QBY106" s="530"/>
      <c r="QBZ106" s="531"/>
      <c r="QCA106" s="530"/>
      <c r="QCB106" s="531"/>
      <c r="QCC106" s="530"/>
      <c r="QCD106" s="531"/>
      <c r="QCE106" s="530"/>
      <c r="QCF106" s="531"/>
      <c r="QCG106" s="530"/>
      <c r="QCH106" s="531"/>
      <c r="QCI106" s="530"/>
      <c r="QCJ106" s="531"/>
      <c r="QCK106" s="530"/>
      <c r="QCL106" s="531"/>
      <c r="QCM106" s="530"/>
      <c r="QCN106" s="531"/>
      <c r="QCO106" s="530"/>
      <c r="QCP106" s="531"/>
      <c r="QCQ106" s="530"/>
      <c r="QCR106" s="531"/>
      <c r="QCS106" s="530"/>
      <c r="QCT106" s="531"/>
      <c r="QCU106" s="530"/>
      <c r="QCV106" s="531"/>
      <c r="QCW106" s="530"/>
      <c r="QCX106" s="531"/>
      <c r="QCY106" s="530"/>
      <c r="QCZ106" s="531"/>
      <c r="QDA106" s="530"/>
      <c r="QDB106" s="531"/>
      <c r="QDC106" s="530"/>
      <c r="QDD106" s="531"/>
      <c r="QDE106" s="530"/>
      <c r="QDF106" s="531"/>
      <c r="QDG106" s="530"/>
      <c r="QDH106" s="531"/>
      <c r="QDI106" s="530"/>
      <c r="QDJ106" s="531"/>
      <c r="QDK106" s="530"/>
      <c r="QDL106" s="531"/>
      <c r="QDM106" s="530"/>
      <c r="QDN106" s="531"/>
      <c r="QDO106" s="530"/>
      <c r="QDP106" s="531"/>
      <c r="QDQ106" s="530"/>
      <c r="QDR106" s="531"/>
      <c r="QDS106" s="530"/>
      <c r="QDT106" s="531"/>
      <c r="QDU106" s="530"/>
      <c r="QDV106" s="531"/>
      <c r="QDW106" s="530"/>
      <c r="QDX106" s="531"/>
      <c r="QDY106" s="530"/>
      <c r="QDZ106" s="531"/>
      <c r="QEA106" s="530"/>
      <c r="QEB106" s="531"/>
      <c r="QEC106" s="530"/>
      <c r="QED106" s="531"/>
      <c r="QEE106" s="530"/>
      <c r="QEF106" s="531"/>
      <c r="QEG106" s="530"/>
      <c r="QEH106" s="531"/>
      <c r="QEI106" s="530"/>
      <c r="QEJ106" s="531"/>
      <c r="QEK106" s="530"/>
      <c r="QEL106" s="531"/>
      <c r="QEM106" s="530"/>
      <c r="QEN106" s="531"/>
      <c r="QEO106" s="530"/>
      <c r="QEP106" s="531"/>
      <c r="QEQ106" s="530"/>
      <c r="QER106" s="531"/>
      <c r="QES106" s="530"/>
      <c r="QET106" s="531"/>
      <c r="QEU106" s="530"/>
      <c r="QEV106" s="531"/>
      <c r="QEW106" s="530"/>
      <c r="QEX106" s="531"/>
      <c r="QEY106" s="530"/>
      <c r="QEZ106" s="531"/>
      <c r="QFA106" s="530"/>
      <c r="QFB106" s="531"/>
      <c r="QFC106" s="530"/>
      <c r="QFD106" s="531"/>
      <c r="QFE106" s="530"/>
      <c r="QFF106" s="531"/>
      <c r="QFG106" s="530"/>
      <c r="QFH106" s="531"/>
      <c r="QFI106" s="530"/>
      <c r="QFJ106" s="531"/>
      <c r="QFK106" s="530"/>
      <c r="QFL106" s="531"/>
      <c r="QFM106" s="530"/>
      <c r="QFN106" s="531"/>
      <c r="QFO106" s="530"/>
      <c r="QFP106" s="531"/>
      <c r="QFQ106" s="530"/>
      <c r="QFR106" s="531"/>
      <c r="QFS106" s="530"/>
      <c r="QFT106" s="531"/>
      <c r="QFU106" s="530"/>
      <c r="QFV106" s="531"/>
      <c r="QFW106" s="530"/>
      <c r="QFX106" s="531"/>
      <c r="QFY106" s="530"/>
      <c r="QFZ106" s="531"/>
      <c r="QGA106" s="530"/>
      <c r="QGB106" s="531"/>
      <c r="QGC106" s="530"/>
      <c r="QGD106" s="531"/>
      <c r="QGE106" s="530"/>
      <c r="QGF106" s="531"/>
      <c r="QGG106" s="530"/>
      <c r="QGH106" s="531"/>
      <c r="QGI106" s="530"/>
      <c r="QGJ106" s="531"/>
      <c r="QGK106" s="530"/>
      <c r="QGL106" s="531"/>
      <c r="QGM106" s="530"/>
      <c r="QGN106" s="531"/>
      <c r="QGO106" s="530"/>
      <c r="QGP106" s="531"/>
      <c r="QGQ106" s="530"/>
      <c r="QGR106" s="531"/>
      <c r="QGS106" s="530"/>
      <c r="QGT106" s="531"/>
      <c r="QGU106" s="530"/>
      <c r="QGV106" s="531"/>
      <c r="QGW106" s="530"/>
      <c r="QGX106" s="531"/>
      <c r="QGY106" s="530"/>
      <c r="QGZ106" s="531"/>
      <c r="QHA106" s="530"/>
      <c r="QHB106" s="531"/>
      <c r="QHC106" s="530"/>
      <c r="QHD106" s="531"/>
      <c r="QHE106" s="530"/>
      <c r="QHF106" s="531"/>
      <c r="QHG106" s="530"/>
      <c r="QHH106" s="531"/>
      <c r="QHI106" s="530"/>
      <c r="QHJ106" s="531"/>
      <c r="QHK106" s="530"/>
      <c r="QHL106" s="531"/>
      <c r="QHM106" s="530"/>
      <c r="QHN106" s="531"/>
      <c r="QHO106" s="530"/>
      <c r="QHP106" s="531"/>
      <c r="QHQ106" s="530"/>
      <c r="QHR106" s="531"/>
      <c r="QHS106" s="530"/>
      <c r="QHT106" s="531"/>
      <c r="QHU106" s="530"/>
      <c r="QHV106" s="531"/>
      <c r="QHW106" s="530"/>
      <c r="QHX106" s="531"/>
      <c r="QHY106" s="530"/>
      <c r="QHZ106" s="531"/>
      <c r="QIA106" s="530"/>
      <c r="QIB106" s="531"/>
      <c r="QIC106" s="530"/>
      <c r="QID106" s="531"/>
      <c r="QIE106" s="530"/>
      <c r="QIF106" s="531"/>
      <c r="QIG106" s="530"/>
      <c r="QIH106" s="531"/>
      <c r="QII106" s="530"/>
      <c r="QIJ106" s="531"/>
      <c r="QIK106" s="530"/>
      <c r="QIL106" s="531"/>
      <c r="QIM106" s="530"/>
      <c r="QIN106" s="531"/>
      <c r="QIO106" s="530"/>
      <c r="QIP106" s="531"/>
      <c r="QIQ106" s="530"/>
      <c r="QIR106" s="531"/>
      <c r="QIS106" s="530"/>
      <c r="QIT106" s="531"/>
      <c r="QIU106" s="530"/>
      <c r="QIV106" s="531"/>
      <c r="QIW106" s="530"/>
      <c r="QIX106" s="531"/>
      <c r="QIY106" s="530"/>
      <c r="QIZ106" s="531"/>
      <c r="QJA106" s="530"/>
      <c r="QJB106" s="531"/>
      <c r="QJC106" s="530"/>
      <c r="QJD106" s="531"/>
      <c r="QJE106" s="530"/>
      <c r="QJF106" s="531"/>
      <c r="QJG106" s="530"/>
      <c r="QJH106" s="531"/>
      <c r="QJI106" s="530"/>
      <c r="QJJ106" s="531"/>
      <c r="QJK106" s="530"/>
      <c r="QJL106" s="531"/>
      <c r="QJM106" s="530"/>
      <c r="QJN106" s="531"/>
      <c r="QJO106" s="530"/>
      <c r="QJP106" s="531"/>
      <c r="QJQ106" s="530"/>
      <c r="QJR106" s="531"/>
      <c r="QJS106" s="530"/>
      <c r="QJT106" s="531"/>
      <c r="QJU106" s="530"/>
      <c r="QJV106" s="531"/>
      <c r="QJW106" s="530"/>
      <c r="QJX106" s="531"/>
      <c r="QJY106" s="530"/>
      <c r="QJZ106" s="531"/>
      <c r="QKA106" s="530"/>
      <c r="QKB106" s="531"/>
      <c r="QKC106" s="530"/>
      <c r="QKD106" s="531"/>
      <c r="QKE106" s="530"/>
      <c r="QKF106" s="531"/>
      <c r="QKG106" s="530"/>
      <c r="QKH106" s="531"/>
      <c r="QKI106" s="530"/>
      <c r="QKJ106" s="531"/>
      <c r="QKK106" s="530"/>
      <c r="QKL106" s="531"/>
      <c r="QKM106" s="530"/>
      <c r="QKN106" s="531"/>
      <c r="QKO106" s="530"/>
      <c r="QKP106" s="531"/>
      <c r="QKQ106" s="530"/>
      <c r="QKR106" s="531"/>
      <c r="QKS106" s="530"/>
      <c r="QKT106" s="531"/>
      <c r="QKU106" s="530"/>
      <c r="QKV106" s="531"/>
      <c r="QKW106" s="530"/>
      <c r="QKX106" s="531"/>
      <c r="QKY106" s="530"/>
      <c r="QKZ106" s="531"/>
      <c r="QLA106" s="530"/>
      <c r="QLB106" s="531"/>
      <c r="QLC106" s="530"/>
      <c r="QLD106" s="531"/>
      <c r="QLE106" s="530"/>
      <c r="QLF106" s="531"/>
      <c r="QLG106" s="530"/>
      <c r="QLH106" s="531"/>
      <c r="QLI106" s="530"/>
      <c r="QLJ106" s="531"/>
      <c r="QLK106" s="530"/>
      <c r="QLL106" s="531"/>
      <c r="QLM106" s="530"/>
      <c r="QLN106" s="531"/>
      <c r="QLO106" s="530"/>
      <c r="QLP106" s="531"/>
      <c r="QLQ106" s="530"/>
      <c r="QLR106" s="531"/>
      <c r="QLS106" s="530"/>
      <c r="QLT106" s="531"/>
      <c r="QLU106" s="530"/>
      <c r="QLV106" s="531"/>
      <c r="QLW106" s="530"/>
      <c r="QLX106" s="531"/>
      <c r="QLY106" s="530"/>
      <c r="QLZ106" s="531"/>
      <c r="QMA106" s="530"/>
      <c r="QMB106" s="531"/>
      <c r="QMC106" s="530"/>
      <c r="QMD106" s="531"/>
      <c r="QME106" s="530"/>
      <c r="QMF106" s="531"/>
      <c r="QMG106" s="530"/>
      <c r="QMH106" s="531"/>
      <c r="QMI106" s="530"/>
      <c r="QMJ106" s="531"/>
      <c r="QMK106" s="530"/>
      <c r="QML106" s="531"/>
      <c r="QMM106" s="530"/>
      <c r="QMN106" s="531"/>
      <c r="QMO106" s="530"/>
      <c r="QMP106" s="531"/>
      <c r="QMQ106" s="530"/>
      <c r="QMR106" s="531"/>
      <c r="QMS106" s="530"/>
      <c r="QMT106" s="531"/>
      <c r="QMU106" s="530"/>
      <c r="QMV106" s="531"/>
      <c r="QMW106" s="530"/>
      <c r="QMX106" s="531"/>
      <c r="QMY106" s="530"/>
      <c r="QMZ106" s="531"/>
      <c r="QNA106" s="530"/>
      <c r="QNB106" s="531"/>
      <c r="QNC106" s="530"/>
      <c r="QND106" s="531"/>
      <c r="QNE106" s="530"/>
      <c r="QNF106" s="531"/>
      <c r="QNG106" s="530"/>
      <c r="QNH106" s="531"/>
      <c r="QNI106" s="530"/>
      <c r="QNJ106" s="531"/>
      <c r="QNK106" s="530"/>
      <c r="QNL106" s="531"/>
      <c r="QNM106" s="530"/>
      <c r="QNN106" s="531"/>
      <c r="QNO106" s="530"/>
      <c r="QNP106" s="531"/>
      <c r="QNQ106" s="530"/>
      <c r="QNR106" s="531"/>
      <c r="QNS106" s="530"/>
      <c r="QNT106" s="531"/>
      <c r="QNU106" s="530"/>
      <c r="QNV106" s="531"/>
      <c r="QNW106" s="530"/>
      <c r="QNX106" s="531"/>
      <c r="QNY106" s="530"/>
      <c r="QNZ106" s="531"/>
      <c r="QOA106" s="530"/>
      <c r="QOB106" s="531"/>
      <c r="QOC106" s="530"/>
      <c r="QOD106" s="531"/>
      <c r="QOE106" s="530"/>
      <c r="QOF106" s="531"/>
      <c r="QOG106" s="530"/>
      <c r="QOH106" s="531"/>
      <c r="QOI106" s="530"/>
      <c r="QOJ106" s="531"/>
      <c r="QOK106" s="530"/>
      <c r="QOL106" s="531"/>
      <c r="QOM106" s="530"/>
      <c r="QON106" s="531"/>
      <c r="QOO106" s="530"/>
      <c r="QOP106" s="531"/>
      <c r="QOQ106" s="530"/>
      <c r="QOR106" s="531"/>
      <c r="QOS106" s="530"/>
      <c r="QOT106" s="531"/>
      <c r="QOU106" s="530"/>
      <c r="QOV106" s="531"/>
      <c r="QOW106" s="530"/>
      <c r="QOX106" s="531"/>
      <c r="QOY106" s="530"/>
      <c r="QOZ106" s="531"/>
      <c r="QPA106" s="530"/>
      <c r="QPB106" s="531"/>
      <c r="QPC106" s="530"/>
      <c r="QPD106" s="531"/>
      <c r="QPE106" s="530"/>
      <c r="QPF106" s="531"/>
      <c r="QPG106" s="530"/>
      <c r="QPH106" s="531"/>
      <c r="QPI106" s="530"/>
      <c r="QPJ106" s="531"/>
      <c r="QPK106" s="530"/>
      <c r="QPL106" s="531"/>
      <c r="QPM106" s="530"/>
      <c r="QPN106" s="531"/>
      <c r="QPO106" s="530"/>
      <c r="QPP106" s="531"/>
      <c r="QPQ106" s="530"/>
      <c r="QPR106" s="531"/>
      <c r="QPS106" s="530"/>
      <c r="QPT106" s="531"/>
      <c r="QPU106" s="530"/>
      <c r="QPV106" s="531"/>
      <c r="QPW106" s="530"/>
      <c r="QPX106" s="531"/>
      <c r="QPY106" s="530"/>
      <c r="QPZ106" s="531"/>
      <c r="QQA106" s="530"/>
      <c r="QQB106" s="531"/>
      <c r="QQC106" s="530"/>
      <c r="QQD106" s="531"/>
      <c r="QQE106" s="530"/>
      <c r="QQF106" s="531"/>
      <c r="QQG106" s="530"/>
      <c r="QQH106" s="531"/>
      <c r="QQI106" s="530"/>
      <c r="QQJ106" s="531"/>
      <c r="QQK106" s="530"/>
      <c r="QQL106" s="531"/>
      <c r="QQM106" s="530"/>
      <c r="QQN106" s="531"/>
      <c r="QQO106" s="530"/>
      <c r="QQP106" s="531"/>
      <c r="QQQ106" s="530"/>
      <c r="QQR106" s="531"/>
      <c r="QQS106" s="530"/>
      <c r="QQT106" s="531"/>
      <c r="QQU106" s="530"/>
      <c r="QQV106" s="531"/>
      <c r="QQW106" s="530"/>
      <c r="QQX106" s="531"/>
      <c r="QQY106" s="530"/>
      <c r="QQZ106" s="531"/>
      <c r="QRA106" s="530"/>
      <c r="QRB106" s="531"/>
      <c r="QRC106" s="530"/>
      <c r="QRD106" s="531"/>
      <c r="QRE106" s="530"/>
      <c r="QRF106" s="531"/>
      <c r="QRG106" s="530"/>
      <c r="QRH106" s="531"/>
      <c r="QRI106" s="530"/>
      <c r="QRJ106" s="531"/>
      <c r="QRK106" s="530"/>
      <c r="QRL106" s="531"/>
      <c r="QRM106" s="530"/>
      <c r="QRN106" s="531"/>
      <c r="QRO106" s="530"/>
      <c r="QRP106" s="531"/>
      <c r="QRQ106" s="530"/>
      <c r="QRR106" s="531"/>
      <c r="QRS106" s="530"/>
      <c r="QRT106" s="531"/>
      <c r="QRU106" s="530"/>
      <c r="QRV106" s="531"/>
      <c r="QRW106" s="530"/>
      <c r="QRX106" s="531"/>
      <c r="QRY106" s="530"/>
      <c r="QRZ106" s="531"/>
      <c r="QSA106" s="530"/>
      <c r="QSB106" s="531"/>
      <c r="QSC106" s="530"/>
      <c r="QSD106" s="531"/>
      <c r="QSE106" s="530"/>
      <c r="QSF106" s="531"/>
      <c r="QSG106" s="530"/>
      <c r="QSH106" s="531"/>
      <c r="QSI106" s="530"/>
      <c r="QSJ106" s="531"/>
      <c r="QSK106" s="530"/>
      <c r="QSL106" s="531"/>
      <c r="QSM106" s="530"/>
      <c r="QSN106" s="531"/>
      <c r="QSO106" s="530"/>
      <c r="QSP106" s="531"/>
      <c r="QSQ106" s="530"/>
      <c r="QSR106" s="531"/>
      <c r="QSS106" s="530"/>
      <c r="QST106" s="531"/>
      <c r="QSU106" s="530"/>
      <c r="QSV106" s="531"/>
      <c r="QSW106" s="530"/>
      <c r="QSX106" s="531"/>
      <c r="QSY106" s="530"/>
      <c r="QSZ106" s="531"/>
      <c r="QTA106" s="530"/>
      <c r="QTB106" s="531"/>
      <c r="QTC106" s="530"/>
      <c r="QTD106" s="531"/>
      <c r="QTE106" s="530"/>
      <c r="QTF106" s="531"/>
      <c r="QTG106" s="530"/>
      <c r="QTH106" s="531"/>
      <c r="QTI106" s="530"/>
      <c r="QTJ106" s="531"/>
      <c r="QTK106" s="530"/>
      <c r="QTL106" s="531"/>
      <c r="QTM106" s="530"/>
      <c r="QTN106" s="531"/>
      <c r="QTO106" s="530"/>
      <c r="QTP106" s="531"/>
      <c r="QTQ106" s="530"/>
      <c r="QTR106" s="531"/>
      <c r="QTS106" s="530"/>
      <c r="QTT106" s="531"/>
      <c r="QTU106" s="530"/>
      <c r="QTV106" s="531"/>
      <c r="QTW106" s="530"/>
      <c r="QTX106" s="531"/>
      <c r="QTY106" s="530"/>
      <c r="QTZ106" s="531"/>
      <c r="QUA106" s="530"/>
      <c r="QUB106" s="531"/>
      <c r="QUC106" s="530"/>
      <c r="QUD106" s="531"/>
      <c r="QUE106" s="530"/>
      <c r="QUF106" s="531"/>
      <c r="QUG106" s="530"/>
      <c r="QUH106" s="531"/>
      <c r="QUI106" s="530"/>
      <c r="QUJ106" s="531"/>
      <c r="QUK106" s="530"/>
      <c r="QUL106" s="531"/>
      <c r="QUM106" s="530"/>
      <c r="QUN106" s="531"/>
      <c r="QUO106" s="530"/>
      <c r="QUP106" s="531"/>
      <c r="QUQ106" s="530"/>
      <c r="QUR106" s="531"/>
      <c r="QUS106" s="530"/>
      <c r="QUT106" s="531"/>
      <c r="QUU106" s="530"/>
      <c r="QUV106" s="531"/>
      <c r="QUW106" s="530"/>
      <c r="QUX106" s="531"/>
      <c r="QUY106" s="530"/>
      <c r="QUZ106" s="531"/>
      <c r="QVA106" s="530"/>
      <c r="QVB106" s="531"/>
      <c r="QVC106" s="530"/>
      <c r="QVD106" s="531"/>
      <c r="QVE106" s="530"/>
      <c r="QVF106" s="531"/>
      <c r="QVG106" s="530"/>
      <c r="QVH106" s="531"/>
      <c r="QVI106" s="530"/>
      <c r="QVJ106" s="531"/>
      <c r="QVK106" s="530"/>
      <c r="QVL106" s="531"/>
      <c r="QVM106" s="530"/>
      <c r="QVN106" s="531"/>
      <c r="QVO106" s="530"/>
      <c r="QVP106" s="531"/>
      <c r="QVQ106" s="530"/>
      <c r="QVR106" s="531"/>
      <c r="QVS106" s="530"/>
      <c r="QVT106" s="531"/>
      <c r="QVU106" s="530"/>
      <c r="QVV106" s="531"/>
      <c r="QVW106" s="530"/>
      <c r="QVX106" s="531"/>
      <c r="QVY106" s="530"/>
      <c r="QVZ106" s="531"/>
      <c r="QWA106" s="530"/>
      <c r="QWB106" s="531"/>
      <c r="QWC106" s="530"/>
      <c r="QWD106" s="531"/>
      <c r="QWE106" s="530"/>
      <c r="QWF106" s="531"/>
      <c r="QWG106" s="530"/>
      <c r="QWH106" s="531"/>
      <c r="QWI106" s="530"/>
      <c r="QWJ106" s="531"/>
      <c r="QWK106" s="530"/>
      <c r="QWL106" s="531"/>
      <c r="QWM106" s="530"/>
      <c r="QWN106" s="531"/>
      <c r="QWO106" s="530"/>
      <c r="QWP106" s="531"/>
      <c r="QWQ106" s="530"/>
      <c r="QWR106" s="531"/>
      <c r="QWS106" s="530"/>
      <c r="QWT106" s="531"/>
      <c r="QWU106" s="530"/>
      <c r="QWV106" s="531"/>
      <c r="QWW106" s="530"/>
      <c r="QWX106" s="531"/>
      <c r="QWY106" s="530"/>
      <c r="QWZ106" s="531"/>
      <c r="QXA106" s="530"/>
      <c r="QXB106" s="531"/>
      <c r="QXC106" s="530"/>
      <c r="QXD106" s="531"/>
      <c r="QXE106" s="530"/>
      <c r="QXF106" s="531"/>
      <c r="QXG106" s="530"/>
      <c r="QXH106" s="531"/>
      <c r="QXI106" s="530"/>
      <c r="QXJ106" s="531"/>
      <c r="QXK106" s="530"/>
      <c r="QXL106" s="531"/>
      <c r="QXM106" s="530"/>
      <c r="QXN106" s="531"/>
      <c r="QXO106" s="530"/>
      <c r="QXP106" s="531"/>
      <c r="QXQ106" s="530"/>
      <c r="QXR106" s="531"/>
      <c r="QXS106" s="530"/>
      <c r="QXT106" s="531"/>
      <c r="QXU106" s="530"/>
      <c r="QXV106" s="531"/>
      <c r="QXW106" s="530"/>
      <c r="QXX106" s="531"/>
      <c r="QXY106" s="530"/>
      <c r="QXZ106" s="531"/>
      <c r="QYA106" s="530"/>
      <c r="QYB106" s="531"/>
      <c r="QYC106" s="530"/>
      <c r="QYD106" s="531"/>
      <c r="QYE106" s="530"/>
      <c r="QYF106" s="531"/>
      <c r="QYG106" s="530"/>
      <c r="QYH106" s="531"/>
      <c r="QYI106" s="530"/>
      <c r="QYJ106" s="531"/>
      <c r="QYK106" s="530"/>
      <c r="QYL106" s="531"/>
      <c r="QYM106" s="530"/>
      <c r="QYN106" s="531"/>
      <c r="QYO106" s="530"/>
      <c r="QYP106" s="531"/>
      <c r="QYQ106" s="530"/>
      <c r="QYR106" s="531"/>
      <c r="QYS106" s="530"/>
      <c r="QYT106" s="531"/>
      <c r="QYU106" s="530"/>
      <c r="QYV106" s="531"/>
      <c r="QYW106" s="530"/>
      <c r="QYX106" s="531"/>
      <c r="QYY106" s="530"/>
      <c r="QYZ106" s="531"/>
      <c r="QZA106" s="530"/>
      <c r="QZB106" s="531"/>
      <c r="QZC106" s="530"/>
      <c r="QZD106" s="531"/>
      <c r="QZE106" s="530"/>
      <c r="QZF106" s="531"/>
      <c r="QZG106" s="530"/>
      <c r="QZH106" s="531"/>
      <c r="QZI106" s="530"/>
      <c r="QZJ106" s="531"/>
      <c r="QZK106" s="530"/>
      <c r="QZL106" s="531"/>
      <c r="QZM106" s="530"/>
      <c r="QZN106" s="531"/>
      <c r="QZO106" s="530"/>
      <c r="QZP106" s="531"/>
      <c r="QZQ106" s="530"/>
      <c r="QZR106" s="531"/>
      <c r="QZS106" s="530"/>
      <c r="QZT106" s="531"/>
      <c r="QZU106" s="530"/>
      <c r="QZV106" s="531"/>
      <c r="QZW106" s="530"/>
      <c r="QZX106" s="531"/>
      <c r="QZY106" s="530"/>
      <c r="QZZ106" s="531"/>
      <c r="RAA106" s="530"/>
      <c r="RAB106" s="531"/>
      <c r="RAC106" s="530"/>
      <c r="RAD106" s="531"/>
      <c r="RAE106" s="530"/>
      <c r="RAF106" s="531"/>
      <c r="RAG106" s="530"/>
      <c r="RAH106" s="531"/>
      <c r="RAI106" s="530"/>
      <c r="RAJ106" s="531"/>
      <c r="RAK106" s="530"/>
      <c r="RAL106" s="531"/>
      <c r="RAM106" s="530"/>
      <c r="RAN106" s="531"/>
      <c r="RAO106" s="530"/>
      <c r="RAP106" s="531"/>
      <c r="RAQ106" s="530"/>
      <c r="RAR106" s="531"/>
      <c r="RAS106" s="530"/>
      <c r="RAT106" s="531"/>
      <c r="RAU106" s="530"/>
      <c r="RAV106" s="531"/>
      <c r="RAW106" s="530"/>
      <c r="RAX106" s="531"/>
      <c r="RAY106" s="530"/>
      <c r="RAZ106" s="531"/>
      <c r="RBA106" s="530"/>
      <c r="RBB106" s="531"/>
      <c r="RBC106" s="530"/>
      <c r="RBD106" s="531"/>
      <c r="RBE106" s="530"/>
      <c r="RBF106" s="531"/>
      <c r="RBG106" s="530"/>
      <c r="RBH106" s="531"/>
      <c r="RBI106" s="530"/>
      <c r="RBJ106" s="531"/>
      <c r="RBK106" s="530"/>
      <c r="RBL106" s="531"/>
      <c r="RBM106" s="530"/>
      <c r="RBN106" s="531"/>
      <c r="RBO106" s="530"/>
      <c r="RBP106" s="531"/>
      <c r="RBQ106" s="530"/>
      <c r="RBR106" s="531"/>
      <c r="RBS106" s="530"/>
      <c r="RBT106" s="531"/>
      <c r="RBU106" s="530"/>
      <c r="RBV106" s="531"/>
      <c r="RBW106" s="530"/>
      <c r="RBX106" s="531"/>
      <c r="RBY106" s="530"/>
      <c r="RBZ106" s="531"/>
      <c r="RCA106" s="530"/>
      <c r="RCB106" s="531"/>
      <c r="RCC106" s="530"/>
      <c r="RCD106" s="531"/>
      <c r="RCE106" s="530"/>
      <c r="RCF106" s="531"/>
      <c r="RCG106" s="530"/>
      <c r="RCH106" s="531"/>
      <c r="RCI106" s="530"/>
      <c r="RCJ106" s="531"/>
      <c r="RCK106" s="530"/>
      <c r="RCL106" s="531"/>
      <c r="RCM106" s="530"/>
      <c r="RCN106" s="531"/>
      <c r="RCO106" s="530"/>
      <c r="RCP106" s="531"/>
      <c r="RCQ106" s="530"/>
      <c r="RCR106" s="531"/>
      <c r="RCS106" s="530"/>
      <c r="RCT106" s="531"/>
      <c r="RCU106" s="530"/>
      <c r="RCV106" s="531"/>
      <c r="RCW106" s="530"/>
      <c r="RCX106" s="531"/>
      <c r="RCY106" s="530"/>
      <c r="RCZ106" s="531"/>
      <c r="RDA106" s="530"/>
      <c r="RDB106" s="531"/>
      <c r="RDC106" s="530"/>
      <c r="RDD106" s="531"/>
      <c r="RDE106" s="530"/>
      <c r="RDF106" s="531"/>
      <c r="RDG106" s="530"/>
      <c r="RDH106" s="531"/>
      <c r="RDI106" s="530"/>
      <c r="RDJ106" s="531"/>
      <c r="RDK106" s="530"/>
      <c r="RDL106" s="531"/>
      <c r="RDM106" s="530"/>
      <c r="RDN106" s="531"/>
      <c r="RDO106" s="530"/>
      <c r="RDP106" s="531"/>
      <c r="RDQ106" s="530"/>
      <c r="RDR106" s="531"/>
      <c r="RDS106" s="530"/>
      <c r="RDT106" s="531"/>
      <c r="RDU106" s="530"/>
      <c r="RDV106" s="531"/>
      <c r="RDW106" s="530"/>
      <c r="RDX106" s="531"/>
      <c r="RDY106" s="530"/>
      <c r="RDZ106" s="531"/>
      <c r="REA106" s="530"/>
      <c r="REB106" s="531"/>
      <c r="REC106" s="530"/>
      <c r="RED106" s="531"/>
      <c r="REE106" s="530"/>
      <c r="REF106" s="531"/>
      <c r="REG106" s="530"/>
      <c r="REH106" s="531"/>
      <c r="REI106" s="530"/>
      <c r="REJ106" s="531"/>
      <c r="REK106" s="530"/>
      <c r="REL106" s="531"/>
      <c r="REM106" s="530"/>
      <c r="REN106" s="531"/>
      <c r="REO106" s="530"/>
      <c r="REP106" s="531"/>
      <c r="REQ106" s="530"/>
      <c r="RER106" s="531"/>
      <c r="RES106" s="530"/>
      <c r="RET106" s="531"/>
      <c r="REU106" s="530"/>
      <c r="REV106" s="531"/>
      <c r="REW106" s="530"/>
      <c r="REX106" s="531"/>
      <c r="REY106" s="530"/>
      <c r="REZ106" s="531"/>
      <c r="RFA106" s="530"/>
      <c r="RFB106" s="531"/>
      <c r="RFC106" s="530"/>
      <c r="RFD106" s="531"/>
      <c r="RFE106" s="530"/>
      <c r="RFF106" s="531"/>
      <c r="RFG106" s="530"/>
      <c r="RFH106" s="531"/>
      <c r="RFI106" s="530"/>
      <c r="RFJ106" s="531"/>
      <c r="RFK106" s="530"/>
      <c r="RFL106" s="531"/>
      <c r="RFM106" s="530"/>
      <c r="RFN106" s="531"/>
      <c r="RFO106" s="530"/>
      <c r="RFP106" s="531"/>
      <c r="RFQ106" s="530"/>
      <c r="RFR106" s="531"/>
      <c r="RFS106" s="530"/>
      <c r="RFT106" s="531"/>
      <c r="RFU106" s="530"/>
      <c r="RFV106" s="531"/>
      <c r="RFW106" s="530"/>
      <c r="RFX106" s="531"/>
      <c r="RFY106" s="530"/>
      <c r="RFZ106" s="531"/>
      <c r="RGA106" s="530"/>
      <c r="RGB106" s="531"/>
      <c r="RGC106" s="530"/>
      <c r="RGD106" s="531"/>
      <c r="RGE106" s="530"/>
      <c r="RGF106" s="531"/>
      <c r="RGG106" s="530"/>
      <c r="RGH106" s="531"/>
      <c r="RGI106" s="530"/>
      <c r="RGJ106" s="531"/>
      <c r="RGK106" s="530"/>
      <c r="RGL106" s="531"/>
      <c r="RGM106" s="530"/>
      <c r="RGN106" s="531"/>
      <c r="RGO106" s="530"/>
      <c r="RGP106" s="531"/>
      <c r="RGQ106" s="530"/>
      <c r="RGR106" s="531"/>
      <c r="RGS106" s="530"/>
      <c r="RGT106" s="531"/>
      <c r="RGU106" s="530"/>
      <c r="RGV106" s="531"/>
      <c r="RGW106" s="530"/>
      <c r="RGX106" s="531"/>
      <c r="RGY106" s="530"/>
      <c r="RGZ106" s="531"/>
      <c r="RHA106" s="530"/>
      <c r="RHB106" s="531"/>
      <c r="RHC106" s="530"/>
      <c r="RHD106" s="531"/>
      <c r="RHE106" s="530"/>
      <c r="RHF106" s="531"/>
      <c r="RHG106" s="530"/>
      <c r="RHH106" s="531"/>
      <c r="RHI106" s="530"/>
      <c r="RHJ106" s="531"/>
      <c r="RHK106" s="530"/>
      <c r="RHL106" s="531"/>
      <c r="RHM106" s="530"/>
      <c r="RHN106" s="531"/>
      <c r="RHO106" s="530"/>
      <c r="RHP106" s="531"/>
      <c r="RHQ106" s="530"/>
      <c r="RHR106" s="531"/>
      <c r="RHS106" s="530"/>
      <c r="RHT106" s="531"/>
      <c r="RHU106" s="530"/>
      <c r="RHV106" s="531"/>
      <c r="RHW106" s="530"/>
      <c r="RHX106" s="531"/>
      <c r="RHY106" s="530"/>
      <c r="RHZ106" s="531"/>
      <c r="RIA106" s="530"/>
      <c r="RIB106" s="531"/>
      <c r="RIC106" s="530"/>
      <c r="RID106" s="531"/>
      <c r="RIE106" s="530"/>
      <c r="RIF106" s="531"/>
      <c r="RIG106" s="530"/>
      <c r="RIH106" s="531"/>
      <c r="RII106" s="530"/>
      <c r="RIJ106" s="531"/>
      <c r="RIK106" s="530"/>
      <c r="RIL106" s="531"/>
      <c r="RIM106" s="530"/>
      <c r="RIN106" s="531"/>
      <c r="RIO106" s="530"/>
      <c r="RIP106" s="531"/>
      <c r="RIQ106" s="530"/>
      <c r="RIR106" s="531"/>
      <c r="RIS106" s="530"/>
      <c r="RIT106" s="531"/>
      <c r="RIU106" s="530"/>
      <c r="RIV106" s="531"/>
      <c r="RIW106" s="530"/>
      <c r="RIX106" s="531"/>
      <c r="RIY106" s="530"/>
      <c r="RIZ106" s="531"/>
      <c r="RJA106" s="530"/>
      <c r="RJB106" s="531"/>
      <c r="RJC106" s="530"/>
      <c r="RJD106" s="531"/>
      <c r="RJE106" s="530"/>
      <c r="RJF106" s="531"/>
      <c r="RJG106" s="530"/>
      <c r="RJH106" s="531"/>
      <c r="RJI106" s="530"/>
      <c r="RJJ106" s="531"/>
      <c r="RJK106" s="530"/>
      <c r="RJL106" s="531"/>
      <c r="RJM106" s="530"/>
      <c r="RJN106" s="531"/>
      <c r="RJO106" s="530"/>
      <c r="RJP106" s="531"/>
      <c r="RJQ106" s="530"/>
      <c r="RJR106" s="531"/>
      <c r="RJS106" s="530"/>
      <c r="RJT106" s="531"/>
      <c r="RJU106" s="530"/>
      <c r="RJV106" s="531"/>
      <c r="RJW106" s="530"/>
      <c r="RJX106" s="531"/>
      <c r="RJY106" s="530"/>
      <c r="RJZ106" s="531"/>
      <c r="RKA106" s="530"/>
      <c r="RKB106" s="531"/>
      <c r="RKC106" s="530"/>
      <c r="RKD106" s="531"/>
      <c r="RKE106" s="530"/>
      <c r="RKF106" s="531"/>
      <c r="RKG106" s="530"/>
      <c r="RKH106" s="531"/>
      <c r="RKI106" s="530"/>
      <c r="RKJ106" s="531"/>
      <c r="RKK106" s="530"/>
      <c r="RKL106" s="531"/>
      <c r="RKM106" s="530"/>
      <c r="RKN106" s="531"/>
      <c r="RKO106" s="530"/>
      <c r="RKP106" s="531"/>
      <c r="RKQ106" s="530"/>
      <c r="RKR106" s="531"/>
      <c r="RKS106" s="530"/>
      <c r="RKT106" s="531"/>
      <c r="RKU106" s="530"/>
      <c r="RKV106" s="531"/>
      <c r="RKW106" s="530"/>
      <c r="RKX106" s="531"/>
      <c r="RKY106" s="530"/>
      <c r="RKZ106" s="531"/>
      <c r="RLA106" s="530"/>
      <c r="RLB106" s="531"/>
      <c r="RLC106" s="530"/>
      <c r="RLD106" s="531"/>
      <c r="RLE106" s="530"/>
      <c r="RLF106" s="531"/>
      <c r="RLG106" s="530"/>
      <c r="RLH106" s="531"/>
      <c r="RLI106" s="530"/>
      <c r="RLJ106" s="531"/>
      <c r="RLK106" s="530"/>
      <c r="RLL106" s="531"/>
      <c r="RLM106" s="530"/>
      <c r="RLN106" s="531"/>
      <c r="RLO106" s="530"/>
      <c r="RLP106" s="531"/>
      <c r="RLQ106" s="530"/>
      <c r="RLR106" s="531"/>
      <c r="RLS106" s="530"/>
      <c r="RLT106" s="531"/>
      <c r="RLU106" s="530"/>
      <c r="RLV106" s="531"/>
      <c r="RLW106" s="530"/>
      <c r="RLX106" s="531"/>
      <c r="RLY106" s="530"/>
      <c r="RLZ106" s="531"/>
      <c r="RMA106" s="530"/>
      <c r="RMB106" s="531"/>
      <c r="RMC106" s="530"/>
      <c r="RMD106" s="531"/>
      <c r="RME106" s="530"/>
      <c r="RMF106" s="531"/>
      <c r="RMG106" s="530"/>
      <c r="RMH106" s="531"/>
      <c r="RMI106" s="530"/>
      <c r="RMJ106" s="531"/>
      <c r="RMK106" s="530"/>
      <c r="RML106" s="531"/>
      <c r="RMM106" s="530"/>
      <c r="RMN106" s="531"/>
      <c r="RMO106" s="530"/>
      <c r="RMP106" s="531"/>
      <c r="RMQ106" s="530"/>
      <c r="RMR106" s="531"/>
      <c r="RMS106" s="530"/>
      <c r="RMT106" s="531"/>
      <c r="RMU106" s="530"/>
      <c r="RMV106" s="531"/>
      <c r="RMW106" s="530"/>
      <c r="RMX106" s="531"/>
      <c r="RMY106" s="530"/>
      <c r="RMZ106" s="531"/>
      <c r="RNA106" s="530"/>
      <c r="RNB106" s="531"/>
      <c r="RNC106" s="530"/>
      <c r="RND106" s="531"/>
      <c r="RNE106" s="530"/>
      <c r="RNF106" s="531"/>
      <c r="RNG106" s="530"/>
      <c r="RNH106" s="531"/>
      <c r="RNI106" s="530"/>
      <c r="RNJ106" s="531"/>
      <c r="RNK106" s="530"/>
      <c r="RNL106" s="531"/>
      <c r="RNM106" s="530"/>
      <c r="RNN106" s="531"/>
      <c r="RNO106" s="530"/>
      <c r="RNP106" s="531"/>
      <c r="RNQ106" s="530"/>
      <c r="RNR106" s="531"/>
      <c r="RNS106" s="530"/>
      <c r="RNT106" s="531"/>
      <c r="RNU106" s="530"/>
      <c r="RNV106" s="531"/>
      <c r="RNW106" s="530"/>
      <c r="RNX106" s="531"/>
      <c r="RNY106" s="530"/>
      <c r="RNZ106" s="531"/>
      <c r="ROA106" s="530"/>
      <c r="ROB106" s="531"/>
      <c r="ROC106" s="530"/>
      <c r="ROD106" s="531"/>
      <c r="ROE106" s="530"/>
      <c r="ROF106" s="531"/>
      <c r="ROG106" s="530"/>
      <c r="ROH106" s="531"/>
      <c r="ROI106" s="530"/>
      <c r="ROJ106" s="531"/>
      <c r="ROK106" s="530"/>
      <c r="ROL106" s="531"/>
      <c r="ROM106" s="530"/>
      <c r="RON106" s="531"/>
      <c r="ROO106" s="530"/>
      <c r="ROP106" s="531"/>
      <c r="ROQ106" s="530"/>
      <c r="ROR106" s="531"/>
      <c r="ROS106" s="530"/>
      <c r="ROT106" s="531"/>
      <c r="ROU106" s="530"/>
      <c r="ROV106" s="531"/>
      <c r="ROW106" s="530"/>
      <c r="ROX106" s="531"/>
      <c r="ROY106" s="530"/>
      <c r="ROZ106" s="531"/>
      <c r="RPA106" s="530"/>
      <c r="RPB106" s="531"/>
      <c r="RPC106" s="530"/>
      <c r="RPD106" s="531"/>
      <c r="RPE106" s="530"/>
      <c r="RPF106" s="531"/>
      <c r="RPG106" s="530"/>
      <c r="RPH106" s="531"/>
      <c r="RPI106" s="530"/>
      <c r="RPJ106" s="531"/>
      <c r="RPK106" s="530"/>
      <c r="RPL106" s="531"/>
      <c r="RPM106" s="530"/>
      <c r="RPN106" s="531"/>
      <c r="RPO106" s="530"/>
      <c r="RPP106" s="531"/>
      <c r="RPQ106" s="530"/>
      <c r="RPR106" s="531"/>
      <c r="RPS106" s="530"/>
      <c r="RPT106" s="531"/>
      <c r="RPU106" s="530"/>
      <c r="RPV106" s="531"/>
      <c r="RPW106" s="530"/>
      <c r="RPX106" s="531"/>
      <c r="RPY106" s="530"/>
      <c r="RPZ106" s="531"/>
      <c r="RQA106" s="530"/>
      <c r="RQB106" s="531"/>
      <c r="RQC106" s="530"/>
      <c r="RQD106" s="531"/>
      <c r="RQE106" s="530"/>
      <c r="RQF106" s="531"/>
      <c r="RQG106" s="530"/>
      <c r="RQH106" s="531"/>
      <c r="RQI106" s="530"/>
      <c r="RQJ106" s="531"/>
      <c r="RQK106" s="530"/>
      <c r="RQL106" s="531"/>
      <c r="RQM106" s="530"/>
      <c r="RQN106" s="531"/>
      <c r="RQO106" s="530"/>
      <c r="RQP106" s="531"/>
      <c r="RQQ106" s="530"/>
      <c r="RQR106" s="531"/>
      <c r="RQS106" s="530"/>
      <c r="RQT106" s="531"/>
      <c r="RQU106" s="530"/>
      <c r="RQV106" s="531"/>
      <c r="RQW106" s="530"/>
      <c r="RQX106" s="531"/>
      <c r="RQY106" s="530"/>
      <c r="RQZ106" s="531"/>
      <c r="RRA106" s="530"/>
      <c r="RRB106" s="531"/>
      <c r="RRC106" s="530"/>
      <c r="RRD106" s="531"/>
      <c r="RRE106" s="530"/>
      <c r="RRF106" s="531"/>
      <c r="RRG106" s="530"/>
      <c r="RRH106" s="531"/>
      <c r="RRI106" s="530"/>
      <c r="RRJ106" s="531"/>
      <c r="RRK106" s="530"/>
      <c r="RRL106" s="531"/>
      <c r="RRM106" s="530"/>
      <c r="RRN106" s="531"/>
      <c r="RRO106" s="530"/>
      <c r="RRP106" s="531"/>
      <c r="RRQ106" s="530"/>
      <c r="RRR106" s="531"/>
      <c r="RRS106" s="530"/>
      <c r="RRT106" s="531"/>
      <c r="RRU106" s="530"/>
      <c r="RRV106" s="531"/>
      <c r="RRW106" s="530"/>
      <c r="RRX106" s="531"/>
      <c r="RRY106" s="530"/>
      <c r="RRZ106" s="531"/>
      <c r="RSA106" s="530"/>
      <c r="RSB106" s="531"/>
      <c r="RSC106" s="530"/>
      <c r="RSD106" s="531"/>
      <c r="RSE106" s="530"/>
      <c r="RSF106" s="531"/>
      <c r="RSG106" s="530"/>
      <c r="RSH106" s="531"/>
      <c r="RSI106" s="530"/>
      <c r="RSJ106" s="531"/>
      <c r="RSK106" s="530"/>
      <c r="RSL106" s="531"/>
      <c r="RSM106" s="530"/>
      <c r="RSN106" s="531"/>
      <c r="RSO106" s="530"/>
      <c r="RSP106" s="531"/>
      <c r="RSQ106" s="530"/>
      <c r="RSR106" s="531"/>
      <c r="RSS106" s="530"/>
      <c r="RST106" s="531"/>
      <c r="RSU106" s="530"/>
      <c r="RSV106" s="531"/>
      <c r="RSW106" s="530"/>
      <c r="RSX106" s="531"/>
      <c r="RSY106" s="530"/>
      <c r="RSZ106" s="531"/>
      <c r="RTA106" s="530"/>
      <c r="RTB106" s="531"/>
      <c r="RTC106" s="530"/>
      <c r="RTD106" s="531"/>
      <c r="RTE106" s="530"/>
      <c r="RTF106" s="531"/>
      <c r="RTG106" s="530"/>
      <c r="RTH106" s="531"/>
      <c r="RTI106" s="530"/>
      <c r="RTJ106" s="531"/>
      <c r="RTK106" s="530"/>
      <c r="RTL106" s="531"/>
      <c r="RTM106" s="530"/>
      <c r="RTN106" s="531"/>
      <c r="RTO106" s="530"/>
      <c r="RTP106" s="531"/>
      <c r="RTQ106" s="530"/>
      <c r="RTR106" s="531"/>
      <c r="RTS106" s="530"/>
      <c r="RTT106" s="531"/>
      <c r="RTU106" s="530"/>
      <c r="RTV106" s="531"/>
      <c r="RTW106" s="530"/>
      <c r="RTX106" s="531"/>
      <c r="RTY106" s="530"/>
      <c r="RTZ106" s="531"/>
      <c r="RUA106" s="530"/>
      <c r="RUB106" s="531"/>
      <c r="RUC106" s="530"/>
      <c r="RUD106" s="531"/>
      <c r="RUE106" s="530"/>
      <c r="RUF106" s="531"/>
      <c r="RUG106" s="530"/>
      <c r="RUH106" s="531"/>
      <c r="RUI106" s="530"/>
      <c r="RUJ106" s="531"/>
      <c r="RUK106" s="530"/>
      <c r="RUL106" s="531"/>
      <c r="RUM106" s="530"/>
      <c r="RUN106" s="531"/>
      <c r="RUO106" s="530"/>
      <c r="RUP106" s="531"/>
      <c r="RUQ106" s="530"/>
      <c r="RUR106" s="531"/>
      <c r="RUS106" s="530"/>
      <c r="RUT106" s="531"/>
      <c r="RUU106" s="530"/>
      <c r="RUV106" s="531"/>
      <c r="RUW106" s="530"/>
      <c r="RUX106" s="531"/>
      <c r="RUY106" s="530"/>
      <c r="RUZ106" s="531"/>
      <c r="RVA106" s="530"/>
      <c r="RVB106" s="531"/>
      <c r="RVC106" s="530"/>
      <c r="RVD106" s="531"/>
      <c r="RVE106" s="530"/>
      <c r="RVF106" s="531"/>
      <c r="RVG106" s="530"/>
      <c r="RVH106" s="531"/>
      <c r="RVI106" s="530"/>
      <c r="RVJ106" s="531"/>
      <c r="RVK106" s="530"/>
      <c r="RVL106" s="531"/>
      <c r="RVM106" s="530"/>
      <c r="RVN106" s="531"/>
      <c r="RVO106" s="530"/>
      <c r="RVP106" s="531"/>
      <c r="RVQ106" s="530"/>
      <c r="RVR106" s="531"/>
      <c r="RVS106" s="530"/>
      <c r="RVT106" s="531"/>
      <c r="RVU106" s="530"/>
      <c r="RVV106" s="531"/>
      <c r="RVW106" s="530"/>
      <c r="RVX106" s="531"/>
      <c r="RVY106" s="530"/>
      <c r="RVZ106" s="531"/>
      <c r="RWA106" s="530"/>
      <c r="RWB106" s="531"/>
      <c r="RWC106" s="530"/>
      <c r="RWD106" s="531"/>
      <c r="RWE106" s="530"/>
      <c r="RWF106" s="531"/>
      <c r="RWG106" s="530"/>
      <c r="RWH106" s="531"/>
      <c r="RWI106" s="530"/>
      <c r="RWJ106" s="531"/>
      <c r="RWK106" s="530"/>
      <c r="RWL106" s="531"/>
      <c r="RWM106" s="530"/>
      <c r="RWN106" s="531"/>
      <c r="RWO106" s="530"/>
      <c r="RWP106" s="531"/>
      <c r="RWQ106" s="530"/>
      <c r="RWR106" s="531"/>
      <c r="RWS106" s="530"/>
      <c r="RWT106" s="531"/>
      <c r="RWU106" s="530"/>
      <c r="RWV106" s="531"/>
      <c r="RWW106" s="530"/>
      <c r="RWX106" s="531"/>
      <c r="RWY106" s="530"/>
      <c r="RWZ106" s="531"/>
      <c r="RXA106" s="530"/>
      <c r="RXB106" s="531"/>
      <c r="RXC106" s="530"/>
      <c r="RXD106" s="531"/>
      <c r="RXE106" s="530"/>
      <c r="RXF106" s="531"/>
      <c r="RXG106" s="530"/>
      <c r="RXH106" s="531"/>
      <c r="RXI106" s="530"/>
      <c r="RXJ106" s="531"/>
      <c r="RXK106" s="530"/>
      <c r="RXL106" s="531"/>
      <c r="RXM106" s="530"/>
      <c r="RXN106" s="531"/>
      <c r="RXO106" s="530"/>
      <c r="RXP106" s="531"/>
      <c r="RXQ106" s="530"/>
      <c r="RXR106" s="531"/>
      <c r="RXS106" s="530"/>
      <c r="RXT106" s="531"/>
      <c r="RXU106" s="530"/>
      <c r="RXV106" s="531"/>
      <c r="RXW106" s="530"/>
      <c r="RXX106" s="531"/>
      <c r="RXY106" s="530"/>
      <c r="RXZ106" s="531"/>
      <c r="RYA106" s="530"/>
      <c r="RYB106" s="531"/>
      <c r="RYC106" s="530"/>
      <c r="RYD106" s="531"/>
      <c r="RYE106" s="530"/>
      <c r="RYF106" s="531"/>
      <c r="RYG106" s="530"/>
      <c r="RYH106" s="531"/>
      <c r="RYI106" s="530"/>
      <c r="RYJ106" s="531"/>
      <c r="RYK106" s="530"/>
      <c r="RYL106" s="531"/>
      <c r="RYM106" s="530"/>
      <c r="RYN106" s="531"/>
      <c r="RYO106" s="530"/>
      <c r="RYP106" s="531"/>
      <c r="RYQ106" s="530"/>
      <c r="RYR106" s="531"/>
      <c r="RYS106" s="530"/>
      <c r="RYT106" s="531"/>
      <c r="RYU106" s="530"/>
      <c r="RYV106" s="531"/>
      <c r="RYW106" s="530"/>
      <c r="RYX106" s="531"/>
      <c r="RYY106" s="530"/>
      <c r="RYZ106" s="531"/>
      <c r="RZA106" s="530"/>
      <c r="RZB106" s="531"/>
      <c r="RZC106" s="530"/>
      <c r="RZD106" s="531"/>
      <c r="RZE106" s="530"/>
      <c r="RZF106" s="531"/>
      <c r="RZG106" s="530"/>
      <c r="RZH106" s="531"/>
      <c r="RZI106" s="530"/>
      <c r="RZJ106" s="531"/>
      <c r="RZK106" s="530"/>
      <c r="RZL106" s="531"/>
      <c r="RZM106" s="530"/>
      <c r="RZN106" s="531"/>
      <c r="RZO106" s="530"/>
      <c r="RZP106" s="531"/>
      <c r="RZQ106" s="530"/>
      <c r="RZR106" s="531"/>
      <c r="RZS106" s="530"/>
      <c r="RZT106" s="531"/>
      <c r="RZU106" s="530"/>
      <c r="RZV106" s="531"/>
      <c r="RZW106" s="530"/>
      <c r="RZX106" s="531"/>
      <c r="RZY106" s="530"/>
      <c r="RZZ106" s="531"/>
      <c r="SAA106" s="530"/>
      <c r="SAB106" s="531"/>
      <c r="SAC106" s="530"/>
      <c r="SAD106" s="531"/>
      <c r="SAE106" s="530"/>
      <c r="SAF106" s="531"/>
      <c r="SAG106" s="530"/>
      <c r="SAH106" s="531"/>
      <c r="SAI106" s="530"/>
      <c r="SAJ106" s="531"/>
      <c r="SAK106" s="530"/>
      <c r="SAL106" s="531"/>
      <c r="SAM106" s="530"/>
      <c r="SAN106" s="531"/>
      <c r="SAO106" s="530"/>
      <c r="SAP106" s="531"/>
      <c r="SAQ106" s="530"/>
      <c r="SAR106" s="531"/>
      <c r="SAS106" s="530"/>
      <c r="SAT106" s="531"/>
      <c r="SAU106" s="530"/>
      <c r="SAV106" s="531"/>
      <c r="SAW106" s="530"/>
      <c r="SAX106" s="531"/>
      <c r="SAY106" s="530"/>
      <c r="SAZ106" s="531"/>
      <c r="SBA106" s="530"/>
      <c r="SBB106" s="531"/>
      <c r="SBC106" s="530"/>
      <c r="SBD106" s="531"/>
      <c r="SBE106" s="530"/>
      <c r="SBF106" s="531"/>
      <c r="SBG106" s="530"/>
      <c r="SBH106" s="531"/>
      <c r="SBI106" s="530"/>
      <c r="SBJ106" s="531"/>
      <c r="SBK106" s="530"/>
      <c r="SBL106" s="531"/>
      <c r="SBM106" s="530"/>
      <c r="SBN106" s="531"/>
      <c r="SBO106" s="530"/>
      <c r="SBP106" s="531"/>
      <c r="SBQ106" s="530"/>
      <c r="SBR106" s="531"/>
      <c r="SBS106" s="530"/>
      <c r="SBT106" s="531"/>
      <c r="SBU106" s="530"/>
      <c r="SBV106" s="531"/>
      <c r="SBW106" s="530"/>
      <c r="SBX106" s="531"/>
      <c r="SBY106" s="530"/>
      <c r="SBZ106" s="531"/>
      <c r="SCA106" s="530"/>
      <c r="SCB106" s="531"/>
      <c r="SCC106" s="530"/>
      <c r="SCD106" s="531"/>
      <c r="SCE106" s="530"/>
      <c r="SCF106" s="531"/>
      <c r="SCG106" s="530"/>
      <c r="SCH106" s="531"/>
      <c r="SCI106" s="530"/>
      <c r="SCJ106" s="531"/>
      <c r="SCK106" s="530"/>
      <c r="SCL106" s="531"/>
      <c r="SCM106" s="530"/>
      <c r="SCN106" s="531"/>
      <c r="SCO106" s="530"/>
      <c r="SCP106" s="531"/>
      <c r="SCQ106" s="530"/>
      <c r="SCR106" s="531"/>
      <c r="SCS106" s="530"/>
      <c r="SCT106" s="531"/>
      <c r="SCU106" s="530"/>
      <c r="SCV106" s="531"/>
      <c r="SCW106" s="530"/>
      <c r="SCX106" s="531"/>
      <c r="SCY106" s="530"/>
      <c r="SCZ106" s="531"/>
      <c r="SDA106" s="530"/>
      <c r="SDB106" s="531"/>
      <c r="SDC106" s="530"/>
      <c r="SDD106" s="531"/>
      <c r="SDE106" s="530"/>
      <c r="SDF106" s="531"/>
      <c r="SDG106" s="530"/>
      <c r="SDH106" s="531"/>
      <c r="SDI106" s="530"/>
      <c r="SDJ106" s="531"/>
      <c r="SDK106" s="530"/>
      <c r="SDL106" s="531"/>
      <c r="SDM106" s="530"/>
      <c r="SDN106" s="531"/>
      <c r="SDO106" s="530"/>
      <c r="SDP106" s="531"/>
      <c r="SDQ106" s="530"/>
      <c r="SDR106" s="531"/>
      <c r="SDS106" s="530"/>
      <c r="SDT106" s="531"/>
      <c r="SDU106" s="530"/>
      <c r="SDV106" s="531"/>
      <c r="SDW106" s="530"/>
      <c r="SDX106" s="531"/>
      <c r="SDY106" s="530"/>
      <c r="SDZ106" s="531"/>
      <c r="SEA106" s="530"/>
      <c r="SEB106" s="531"/>
      <c r="SEC106" s="530"/>
      <c r="SED106" s="531"/>
      <c r="SEE106" s="530"/>
      <c r="SEF106" s="531"/>
      <c r="SEG106" s="530"/>
      <c r="SEH106" s="531"/>
      <c r="SEI106" s="530"/>
      <c r="SEJ106" s="531"/>
      <c r="SEK106" s="530"/>
      <c r="SEL106" s="531"/>
      <c r="SEM106" s="530"/>
      <c r="SEN106" s="531"/>
      <c r="SEO106" s="530"/>
      <c r="SEP106" s="531"/>
      <c r="SEQ106" s="530"/>
      <c r="SER106" s="531"/>
      <c r="SES106" s="530"/>
      <c r="SET106" s="531"/>
      <c r="SEU106" s="530"/>
      <c r="SEV106" s="531"/>
      <c r="SEW106" s="530"/>
      <c r="SEX106" s="531"/>
      <c r="SEY106" s="530"/>
      <c r="SEZ106" s="531"/>
      <c r="SFA106" s="530"/>
      <c r="SFB106" s="531"/>
      <c r="SFC106" s="530"/>
      <c r="SFD106" s="531"/>
      <c r="SFE106" s="530"/>
      <c r="SFF106" s="531"/>
      <c r="SFG106" s="530"/>
      <c r="SFH106" s="531"/>
      <c r="SFI106" s="530"/>
      <c r="SFJ106" s="531"/>
      <c r="SFK106" s="530"/>
      <c r="SFL106" s="531"/>
      <c r="SFM106" s="530"/>
      <c r="SFN106" s="531"/>
      <c r="SFO106" s="530"/>
      <c r="SFP106" s="531"/>
      <c r="SFQ106" s="530"/>
      <c r="SFR106" s="531"/>
      <c r="SFS106" s="530"/>
      <c r="SFT106" s="531"/>
      <c r="SFU106" s="530"/>
      <c r="SFV106" s="531"/>
      <c r="SFW106" s="530"/>
      <c r="SFX106" s="531"/>
      <c r="SFY106" s="530"/>
      <c r="SFZ106" s="531"/>
      <c r="SGA106" s="530"/>
      <c r="SGB106" s="531"/>
      <c r="SGC106" s="530"/>
      <c r="SGD106" s="531"/>
      <c r="SGE106" s="530"/>
      <c r="SGF106" s="531"/>
      <c r="SGG106" s="530"/>
      <c r="SGH106" s="531"/>
      <c r="SGI106" s="530"/>
      <c r="SGJ106" s="531"/>
      <c r="SGK106" s="530"/>
      <c r="SGL106" s="531"/>
      <c r="SGM106" s="530"/>
      <c r="SGN106" s="531"/>
      <c r="SGO106" s="530"/>
      <c r="SGP106" s="531"/>
      <c r="SGQ106" s="530"/>
      <c r="SGR106" s="531"/>
      <c r="SGS106" s="530"/>
      <c r="SGT106" s="531"/>
      <c r="SGU106" s="530"/>
      <c r="SGV106" s="531"/>
      <c r="SGW106" s="530"/>
      <c r="SGX106" s="531"/>
      <c r="SGY106" s="530"/>
      <c r="SGZ106" s="531"/>
      <c r="SHA106" s="530"/>
      <c r="SHB106" s="531"/>
      <c r="SHC106" s="530"/>
      <c r="SHD106" s="531"/>
      <c r="SHE106" s="530"/>
      <c r="SHF106" s="531"/>
      <c r="SHG106" s="530"/>
      <c r="SHH106" s="531"/>
      <c r="SHI106" s="530"/>
      <c r="SHJ106" s="531"/>
      <c r="SHK106" s="530"/>
      <c r="SHL106" s="531"/>
      <c r="SHM106" s="530"/>
      <c r="SHN106" s="531"/>
      <c r="SHO106" s="530"/>
      <c r="SHP106" s="531"/>
      <c r="SHQ106" s="530"/>
      <c r="SHR106" s="531"/>
      <c r="SHS106" s="530"/>
      <c r="SHT106" s="531"/>
      <c r="SHU106" s="530"/>
      <c r="SHV106" s="531"/>
      <c r="SHW106" s="530"/>
      <c r="SHX106" s="531"/>
      <c r="SHY106" s="530"/>
      <c r="SHZ106" s="531"/>
      <c r="SIA106" s="530"/>
      <c r="SIB106" s="531"/>
      <c r="SIC106" s="530"/>
      <c r="SID106" s="531"/>
      <c r="SIE106" s="530"/>
      <c r="SIF106" s="531"/>
      <c r="SIG106" s="530"/>
      <c r="SIH106" s="531"/>
      <c r="SII106" s="530"/>
      <c r="SIJ106" s="531"/>
      <c r="SIK106" s="530"/>
      <c r="SIL106" s="531"/>
      <c r="SIM106" s="530"/>
      <c r="SIN106" s="531"/>
      <c r="SIO106" s="530"/>
      <c r="SIP106" s="531"/>
      <c r="SIQ106" s="530"/>
      <c r="SIR106" s="531"/>
      <c r="SIS106" s="530"/>
      <c r="SIT106" s="531"/>
      <c r="SIU106" s="530"/>
      <c r="SIV106" s="531"/>
      <c r="SIW106" s="530"/>
      <c r="SIX106" s="531"/>
      <c r="SIY106" s="530"/>
      <c r="SIZ106" s="531"/>
      <c r="SJA106" s="530"/>
      <c r="SJB106" s="531"/>
      <c r="SJC106" s="530"/>
      <c r="SJD106" s="531"/>
      <c r="SJE106" s="530"/>
      <c r="SJF106" s="531"/>
      <c r="SJG106" s="530"/>
      <c r="SJH106" s="531"/>
      <c r="SJI106" s="530"/>
      <c r="SJJ106" s="531"/>
      <c r="SJK106" s="530"/>
      <c r="SJL106" s="531"/>
      <c r="SJM106" s="530"/>
      <c r="SJN106" s="531"/>
      <c r="SJO106" s="530"/>
      <c r="SJP106" s="531"/>
      <c r="SJQ106" s="530"/>
      <c r="SJR106" s="531"/>
      <c r="SJS106" s="530"/>
      <c r="SJT106" s="531"/>
      <c r="SJU106" s="530"/>
      <c r="SJV106" s="531"/>
      <c r="SJW106" s="530"/>
      <c r="SJX106" s="531"/>
      <c r="SJY106" s="530"/>
      <c r="SJZ106" s="531"/>
      <c r="SKA106" s="530"/>
      <c r="SKB106" s="531"/>
      <c r="SKC106" s="530"/>
      <c r="SKD106" s="531"/>
      <c r="SKE106" s="530"/>
      <c r="SKF106" s="531"/>
      <c r="SKG106" s="530"/>
      <c r="SKH106" s="531"/>
      <c r="SKI106" s="530"/>
      <c r="SKJ106" s="531"/>
      <c r="SKK106" s="530"/>
      <c r="SKL106" s="531"/>
      <c r="SKM106" s="530"/>
      <c r="SKN106" s="531"/>
      <c r="SKO106" s="530"/>
      <c r="SKP106" s="531"/>
      <c r="SKQ106" s="530"/>
      <c r="SKR106" s="531"/>
      <c r="SKS106" s="530"/>
      <c r="SKT106" s="531"/>
      <c r="SKU106" s="530"/>
      <c r="SKV106" s="531"/>
      <c r="SKW106" s="530"/>
      <c r="SKX106" s="531"/>
      <c r="SKY106" s="530"/>
      <c r="SKZ106" s="531"/>
      <c r="SLA106" s="530"/>
      <c r="SLB106" s="531"/>
      <c r="SLC106" s="530"/>
      <c r="SLD106" s="531"/>
      <c r="SLE106" s="530"/>
      <c r="SLF106" s="531"/>
      <c r="SLG106" s="530"/>
      <c r="SLH106" s="531"/>
      <c r="SLI106" s="530"/>
      <c r="SLJ106" s="531"/>
      <c r="SLK106" s="530"/>
      <c r="SLL106" s="531"/>
      <c r="SLM106" s="530"/>
      <c r="SLN106" s="531"/>
      <c r="SLO106" s="530"/>
      <c r="SLP106" s="531"/>
      <c r="SLQ106" s="530"/>
      <c r="SLR106" s="531"/>
      <c r="SLS106" s="530"/>
      <c r="SLT106" s="531"/>
      <c r="SLU106" s="530"/>
      <c r="SLV106" s="531"/>
      <c r="SLW106" s="530"/>
      <c r="SLX106" s="531"/>
      <c r="SLY106" s="530"/>
      <c r="SLZ106" s="531"/>
      <c r="SMA106" s="530"/>
      <c r="SMB106" s="531"/>
      <c r="SMC106" s="530"/>
      <c r="SMD106" s="531"/>
      <c r="SME106" s="530"/>
      <c r="SMF106" s="531"/>
      <c r="SMG106" s="530"/>
      <c r="SMH106" s="531"/>
      <c r="SMI106" s="530"/>
      <c r="SMJ106" s="531"/>
      <c r="SMK106" s="530"/>
      <c r="SML106" s="531"/>
      <c r="SMM106" s="530"/>
      <c r="SMN106" s="531"/>
      <c r="SMO106" s="530"/>
      <c r="SMP106" s="531"/>
      <c r="SMQ106" s="530"/>
      <c r="SMR106" s="531"/>
      <c r="SMS106" s="530"/>
      <c r="SMT106" s="531"/>
      <c r="SMU106" s="530"/>
      <c r="SMV106" s="531"/>
      <c r="SMW106" s="530"/>
      <c r="SMX106" s="531"/>
      <c r="SMY106" s="530"/>
      <c r="SMZ106" s="531"/>
      <c r="SNA106" s="530"/>
      <c r="SNB106" s="531"/>
      <c r="SNC106" s="530"/>
      <c r="SND106" s="531"/>
      <c r="SNE106" s="530"/>
      <c r="SNF106" s="531"/>
      <c r="SNG106" s="530"/>
      <c r="SNH106" s="531"/>
      <c r="SNI106" s="530"/>
      <c r="SNJ106" s="531"/>
      <c r="SNK106" s="530"/>
      <c r="SNL106" s="531"/>
      <c r="SNM106" s="530"/>
      <c r="SNN106" s="531"/>
      <c r="SNO106" s="530"/>
      <c r="SNP106" s="531"/>
      <c r="SNQ106" s="530"/>
      <c r="SNR106" s="531"/>
      <c r="SNS106" s="530"/>
      <c r="SNT106" s="531"/>
      <c r="SNU106" s="530"/>
      <c r="SNV106" s="531"/>
      <c r="SNW106" s="530"/>
      <c r="SNX106" s="531"/>
      <c r="SNY106" s="530"/>
      <c r="SNZ106" s="531"/>
      <c r="SOA106" s="530"/>
      <c r="SOB106" s="531"/>
      <c r="SOC106" s="530"/>
      <c r="SOD106" s="531"/>
      <c r="SOE106" s="530"/>
      <c r="SOF106" s="531"/>
      <c r="SOG106" s="530"/>
      <c r="SOH106" s="531"/>
      <c r="SOI106" s="530"/>
      <c r="SOJ106" s="531"/>
      <c r="SOK106" s="530"/>
      <c r="SOL106" s="531"/>
      <c r="SOM106" s="530"/>
      <c r="SON106" s="531"/>
      <c r="SOO106" s="530"/>
      <c r="SOP106" s="531"/>
      <c r="SOQ106" s="530"/>
      <c r="SOR106" s="531"/>
      <c r="SOS106" s="530"/>
      <c r="SOT106" s="531"/>
      <c r="SOU106" s="530"/>
      <c r="SOV106" s="531"/>
      <c r="SOW106" s="530"/>
      <c r="SOX106" s="531"/>
      <c r="SOY106" s="530"/>
      <c r="SOZ106" s="531"/>
      <c r="SPA106" s="530"/>
      <c r="SPB106" s="531"/>
      <c r="SPC106" s="530"/>
      <c r="SPD106" s="531"/>
      <c r="SPE106" s="530"/>
      <c r="SPF106" s="531"/>
      <c r="SPG106" s="530"/>
      <c r="SPH106" s="531"/>
      <c r="SPI106" s="530"/>
      <c r="SPJ106" s="531"/>
      <c r="SPK106" s="530"/>
      <c r="SPL106" s="531"/>
      <c r="SPM106" s="530"/>
      <c r="SPN106" s="531"/>
      <c r="SPO106" s="530"/>
      <c r="SPP106" s="531"/>
      <c r="SPQ106" s="530"/>
      <c r="SPR106" s="531"/>
      <c r="SPS106" s="530"/>
      <c r="SPT106" s="531"/>
      <c r="SPU106" s="530"/>
      <c r="SPV106" s="531"/>
      <c r="SPW106" s="530"/>
      <c r="SPX106" s="531"/>
      <c r="SPY106" s="530"/>
      <c r="SPZ106" s="531"/>
      <c r="SQA106" s="530"/>
      <c r="SQB106" s="531"/>
      <c r="SQC106" s="530"/>
      <c r="SQD106" s="531"/>
      <c r="SQE106" s="530"/>
      <c r="SQF106" s="531"/>
      <c r="SQG106" s="530"/>
      <c r="SQH106" s="531"/>
      <c r="SQI106" s="530"/>
      <c r="SQJ106" s="531"/>
      <c r="SQK106" s="530"/>
      <c r="SQL106" s="531"/>
      <c r="SQM106" s="530"/>
      <c r="SQN106" s="531"/>
      <c r="SQO106" s="530"/>
      <c r="SQP106" s="531"/>
      <c r="SQQ106" s="530"/>
      <c r="SQR106" s="531"/>
      <c r="SQS106" s="530"/>
      <c r="SQT106" s="531"/>
      <c r="SQU106" s="530"/>
      <c r="SQV106" s="531"/>
      <c r="SQW106" s="530"/>
      <c r="SQX106" s="531"/>
      <c r="SQY106" s="530"/>
      <c r="SQZ106" s="531"/>
      <c r="SRA106" s="530"/>
      <c r="SRB106" s="531"/>
      <c r="SRC106" s="530"/>
      <c r="SRD106" s="531"/>
      <c r="SRE106" s="530"/>
      <c r="SRF106" s="531"/>
      <c r="SRG106" s="530"/>
      <c r="SRH106" s="531"/>
      <c r="SRI106" s="530"/>
      <c r="SRJ106" s="531"/>
      <c r="SRK106" s="530"/>
      <c r="SRL106" s="531"/>
      <c r="SRM106" s="530"/>
      <c r="SRN106" s="531"/>
      <c r="SRO106" s="530"/>
      <c r="SRP106" s="531"/>
      <c r="SRQ106" s="530"/>
      <c r="SRR106" s="531"/>
      <c r="SRS106" s="530"/>
      <c r="SRT106" s="531"/>
      <c r="SRU106" s="530"/>
      <c r="SRV106" s="531"/>
      <c r="SRW106" s="530"/>
      <c r="SRX106" s="531"/>
      <c r="SRY106" s="530"/>
      <c r="SRZ106" s="531"/>
      <c r="SSA106" s="530"/>
      <c r="SSB106" s="531"/>
      <c r="SSC106" s="530"/>
      <c r="SSD106" s="531"/>
      <c r="SSE106" s="530"/>
      <c r="SSF106" s="531"/>
      <c r="SSG106" s="530"/>
      <c r="SSH106" s="531"/>
      <c r="SSI106" s="530"/>
      <c r="SSJ106" s="531"/>
      <c r="SSK106" s="530"/>
      <c r="SSL106" s="531"/>
      <c r="SSM106" s="530"/>
      <c r="SSN106" s="531"/>
      <c r="SSO106" s="530"/>
      <c r="SSP106" s="531"/>
      <c r="SSQ106" s="530"/>
      <c r="SSR106" s="531"/>
      <c r="SSS106" s="530"/>
      <c r="SST106" s="531"/>
      <c r="SSU106" s="530"/>
      <c r="SSV106" s="531"/>
      <c r="SSW106" s="530"/>
      <c r="SSX106" s="531"/>
      <c r="SSY106" s="530"/>
      <c r="SSZ106" s="531"/>
      <c r="STA106" s="530"/>
      <c r="STB106" s="531"/>
      <c r="STC106" s="530"/>
      <c r="STD106" s="531"/>
      <c r="STE106" s="530"/>
      <c r="STF106" s="531"/>
      <c r="STG106" s="530"/>
      <c r="STH106" s="531"/>
      <c r="STI106" s="530"/>
      <c r="STJ106" s="531"/>
      <c r="STK106" s="530"/>
      <c r="STL106" s="531"/>
      <c r="STM106" s="530"/>
      <c r="STN106" s="531"/>
      <c r="STO106" s="530"/>
      <c r="STP106" s="531"/>
      <c r="STQ106" s="530"/>
      <c r="STR106" s="531"/>
      <c r="STS106" s="530"/>
      <c r="STT106" s="531"/>
      <c r="STU106" s="530"/>
      <c r="STV106" s="531"/>
      <c r="STW106" s="530"/>
      <c r="STX106" s="531"/>
      <c r="STY106" s="530"/>
      <c r="STZ106" s="531"/>
      <c r="SUA106" s="530"/>
      <c r="SUB106" s="531"/>
      <c r="SUC106" s="530"/>
      <c r="SUD106" s="531"/>
      <c r="SUE106" s="530"/>
      <c r="SUF106" s="531"/>
      <c r="SUG106" s="530"/>
      <c r="SUH106" s="531"/>
      <c r="SUI106" s="530"/>
      <c r="SUJ106" s="531"/>
      <c r="SUK106" s="530"/>
      <c r="SUL106" s="531"/>
      <c r="SUM106" s="530"/>
      <c r="SUN106" s="531"/>
      <c r="SUO106" s="530"/>
      <c r="SUP106" s="531"/>
      <c r="SUQ106" s="530"/>
      <c r="SUR106" s="531"/>
      <c r="SUS106" s="530"/>
      <c r="SUT106" s="531"/>
      <c r="SUU106" s="530"/>
      <c r="SUV106" s="531"/>
      <c r="SUW106" s="530"/>
      <c r="SUX106" s="531"/>
      <c r="SUY106" s="530"/>
      <c r="SUZ106" s="531"/>
      <c r="SVA106" s="530"/>
      <c r="SVB106" s="531"/>
      <c r="SVC106" s="530"/>
      <c r="SVD106" s="531"/>
      <c r="SVE106" s="530"/>
      <c r="SVF106" s="531"/>
      <c r="SVG106" s="530"/>
      <c r="SVH106" s="531"/>
      <c r="SVI106" s="530"/>
      <c r="SVJ106" s="531"/>
      <c r="SVK106" s="530"/>
      <c r="SVL106" s="531"/>
      <c r="SVM106" s="530"/>
      <c r="SVN106" s="531"/>
      <c r="SVO106" s="530"/>
      <c r="SVP106" s="531"/>
      <c r="SVQ106" s="530"/>
      <c r="SVR106" s="531"/>
      <c r="SVS106" s="530"/>
      <c r="SVT106" s="531"/>
      <c r="SVU106" s="530"/>
      <c r="SVV106" s="531"/>
      <c r="SVW106" s="530"/>
      <c r="SVX106" s="531"/>
      <c r="SVY106" s="530"/>
      <c r="SVZ106" s="531"/>
      <c r="SWA106" s="530"/>
      <c r="SWB106" s="531"/>
      <c r="SWC106" s="530"/>
      <c r="SWD106" s="531"/>
      <c r="SWE106" s="530"/>
      <c r="SWF106" s="531"/>
      <c r="SWG106" s="530"/>
      <c r="SWH106" s="531"/>
      <c r="SWI106" s="530"/>
      <c r="SWJ106" s="531"/>
      <c r="SWK106" s="530"/>
      <c r="SWL106" s="531"/>
      <c r="SWM106" s="530"/>
      <c r="SWN106" s="531"/>
      <c r="SWO106" s="530"/>
      <c r="SWP106" s="531"/>
      <c r="SWQ106" s="530"/>
      <c r="SWR106" s="531"/>
      <c r="SWS106" s="530"/>
      <c r="SWT106" s="531"/>
      <c r="SWU106" s="530"/>
      <c r="SWV106" s="531"/>
      <c r="SWW106" s="530"/>
      <c r="SWX106" s="531"/>
      <c r="SWY106" s="530"/>
      <c r="SWZ106" s="531"/>
      <c r="SXA106" s="530"/>
      <c r="SXB106" s="531"/>
      <c r="SXC106" s="530"/>
      <c r="SXD106" s="531"/>
      <c r="SXE106" s="530"/>
      <c r="SXF106" s="531"/>
      <c r="SXG106" s="530"/>
      <c r="SXH106" s="531"/>
      <c r="SXI106" s="530"/>
      <c r="SXJ106" s="531"/>
      <c r="SXK106" s="530"/>
      <c r="SXL106" s="531"/>
      <c r="SXM106" s="530"/>
      <c r="SXN106" s="531"/>
      <c r="SXO106" s="530"/>
      <c r="SXP106" s="531"/>
      <c r="SXQ106" s="530"/>
      <c r="SXR106" s="531"/>
      <c r="SXS106" s="530"/>
      <c r="SXT106" s="531"/>
      <c r="SXU106" s="530"/>
      <c r="SXV106" s="531"/>
      <c r="SXW106" s="530"/>
      <c r="SXX106" s="531"/>
      <c r="SXY106" s="530"/>
      <c r="SXZ106" s="531"/>
      <c r="SYA106" s="530"/>
      <c r="SYB106" s="531"/>
      <c r="SYC106" s="530"/>
      <c r="SYD106" s="531"/>
      <c r="SYE106" s="530"/>
      <c r="SYF106" s="531"/>
      <c r="SYG106" s="530"/>
      <c r="SYH106" s="531"/>
      <c r="SYI106" s="530"/>
      <c r="SYJ106" s="531"/>
      <c r="SYK106" s="530"/>
      <c r="SYL106" s="531"/>
      <c r="SYM106" s="530"/>
      <c r="SYN106" s="531"/>
      <c r="SYO106" s="530"/>
      <c r="SYP106" s="531"/>
      <c r="SYQ106" s="530"/>
      <c r="SYR106" s="531"/>
      <c r="SYS106" s="530"/>
      <c r="SYT106" s="531"/>
      <c r="SYU106" s="530"/>
      <c r="SYV106" s="531"/>
      <c r="SYW106" s="530"/>
      <c r="SYX106" s="531"/>
      <c r="SYY106" s="530"/>
      <c r="SYZ106" s="531"/>
      <c r="SZA106" s="530"/>
      <c r="SZB106" s="531"/>
      <c r="SZC106" s="530"/>
      <c r="SZD106" s="531"/>
      <c r="SZE106" s="530"/>
      <c r="SZF106" s="531"/>
      <c r="SZG106" s="530"/>
      <c r="SZH106" s="531"/>
      <c r="SZI106" s="530"/>
      <c r="SZJ106" s="531"/>
      <c r="SZK106" s="530"/>
      <c r="SZL106" s="531"/>
      <c r="SZM106" s="530"/>
      <c r="SZN106" s="531"/>
      <c r="SZO106" s="530"/>
      <c r="SZP106" s="531"/>
      <c r="SZQ106" s="530"/>
      <c r="SZR106" s="531"/>
      <c r="SZS106" s="530"/>
      <c r="SZT106" s="531"/>
      <c r="SZU106" s="530"/>
      <c r="SZV106" s="531"/>
      <c r="SZW106" s="530"/>
      <c r="SZX106" s="531"/>
      <c r="SZY106" s="530"/>
      <c r="SZZ106" s="531"/>
      <c r="TAA106" s="530"/>
      <c r="TAB106" s="531"/>
      <c r="TAC106" s="530"/>
      <c r="TAD106" s="531"/>
      <c r="TAE106" s="530"/>
      <c r="TAF106" s="531"/>
      <c r="TAG106" s="530"/>
      <c r="TAH106" s="531"/>
      <c r="TAI106" s="530"/>
      <c r="TAJ106" s="531"/>
      <c r="TAK106" s="530"/>
      <c r="TAL106" s="531"/>
      <c r="TAM106" s="530"/>
      <c r="TAN106" s="531"/>
      <c r="TAO106" s="530"/>
      <c r="TAP106" s="531"/>
      <c r="TAQ106" s="530"/>
      <c r="TAR106" s="531"/>
      <c r="TAS106" s="530"/>
      <c r="TAT106" s="531"/>
      <c r="TAU106" s="530"/>
      <c r="TAV106" s="531"/>
      <c r="TAW106" s="530"/>
      <c r="TAX106" s="531"/>
      <c r="TAY106" s="530"/>
      <c r="TAZ106" s="531"/>
      <c r="TBA106" s="530"/>
      <c r="TBB106" s="531"/>
      <c r="TBC106" s="530"/>
      <c r="TBD106" s="531"/>
      <c r="TBE106" s="530"/>
      <c r="TBF106" s="531"/>
      <c r="TBG106" s="530"/>
      <c r="TBH106" s="531"/>
      <c r="TBI106" s="530"/>
      <c r="TBJ106" s="531"/>
      <c r="TBK106" s="530"/>
      <c r="TBL106" s="531"/>
      <c r="TBM106" s="530"/>
      <c r="TBN106" s="531"/>
      <c r="TBO106" s="530"/>
      <c r="TBP106" s="531"/>
      <c r="TBQ106" s="530"/>
      <c r="TBR106" s="531"/>
      <c r="TBS106" s="530"/>
      <c r="TBT106" s="531"/>
      <c r="TBU106" s="530"/>
      <c r="TBV106" s="531"/>
      <c r="TBW106" s="530"/>
      <c r="TBX106" s="531"/>
      <c r="TBY106" s="530"/>
      <c r="TBZ106" s="531"/>
      <c r="TCA106" s="530"/>
      <c r="TCB106" s="531"/>
      <c r="TCC106" s="530"/>
      <c r="TCD106" s="531"/>
      <c r="TCE106" s="530"/>
      <c r="TCF106" s="531"/>
      <c r="TCG106" s="530"/>
      <c r="TCH106" s="531"/>
      <c r="TCI106" s="530"/>
      <c r="TCJ106" s="531"/>
      <c r="TCK106" s="530"/>
      <c r="TCL106" s="531"/>
      <c r="TCM106" s="530"/>
      <c r="TCN106" s="531"/>
      <c r="TCO106" s="530"/>
      <c r="TCP106" s="531"/>
      <c r="TCQ106" s="530"/>
      <c r="TCR106" s="531"/>
      <c r="TCS106" s="530"/>
      <c r="TCT106" s="531"/>
      <c r="TCU106" s="530"/>
      <c r="TCV106" s="531"/>
      <c r="TCW106" s="530"/>
      <c r="TCX106" s="531"/>
      <c r="TCY106" s="530"/>
      <c r="TCZ106" s="531"/>
      <c r="TDA106" s="530"/>
      <c r="TDB106" s="531"/>
      <c r="TDC106" s="530"/>
      <c r="TDD106" s="531"/>
      <c r="TDE106" s="530"/>
      <c r="TDF106" s="531"/>
      <c r="TDG106" s="530"/>
      <c r="TDH106" s="531"/>
      <c r="TDI106" s="530"/>
      <c r="TDJ106" s="531"/>
      <c r="TDK106" s="530"/>
      <c r="TDL106" s="531"/>
      <c r="TDM106" s="530"/>
      <c r="TDN106" s="531"/>
      <c r="TDO106" s="530"/>
      <c r="TDP106" s="531"/>
      <c r="TDQ106" s="530"/>
      <c r="TDR106" s="531"/>
      <c r="TDS106" s="530"/>
      <c r="TDT106" s="531"/>
      <c r="TDU106" s="530"/>
      <c r="TDV106" s="531"/>
      <c r="TDW106" s="530"/>
      <c r="TDX106" s="531"/>
      <c r="TDY106" s="530"/>
      <c r="TDZ106" s="531"/>
      <c r="TEA106" s="530"/>
      <c r="TEB106" s="531"/>
      <c r="TEC106" s="530"/>
      <c r="TED106" s="531"/>
      <c r="TEE106" s="530"/>
      <c r="TEF106" s="531"/>
      <c r="TEG106" s="530"/>
      <c r="TEH106" s="531"/>
      <c r="TEI106" s="530"/>
      <c r="TEJ106" s="531"/>
      <c r="TEK106" s="530"/>
      <c r="TEL106" s="531"/>
      <c r="TEM106" s="530"/>
      <c r="TEN106" s="531"/>
      <c r="TEO106" s="530"/>
      <c r="TEP106" s="531"/>
      <c r="TEQ106" s="530"/>
      <c r="TER106" s="531"/>
      <c r="TES106" s="530"/>
      <c r="TET106" s="531"/>
      <c r="TEU106" s="530"/>
      <c r="TEV106" s="531"/>
      <c r="TEW106" s="530"/>
      <c r="TEX106" s="531"/>
      <c r="TEY106" s="530"/>
      <c r="TEZ106" s="531"/>
      <c r="TFA106" s="530"/>
      <c r="TFB106" s="531"/>
      <c r="TFC106" s="530"/>
      <c r="TFD106" s="531"/>
      <c r="TFE106" s="530"/>
      <c r="TFF106" s="531"/>
      <c r="TFG106" s="530"/>
      <c r="TFH106" s="531"/>
      <c r="TFI106" s="530"/>
      <c r="TFJ106" s="531"/>
      <c r="TFK106" s="530"/>
      <c r="TFL106" s="531"/>
      <c r="TFM106" s="530"/>
      <c r="TFN106" s="531"/>
      <c r="TFO106" s="530"/>
      <c r="TFP106" s="531"/>
      <c r="TFQ106" s="530"/>
      <c r="TFR106" s="531"/>
      <c r="TFS106" s="530"/>
      <c r="TFT106" s="531"/>
      <c r="TFU106" s="530"/>
      <c r="TFV106" s="531"/>
      <c r="TFW106" s="530"/>
      <c r="TFX106" s="531"/>
      <c r="TFY106" s="530"/>
      <c r="TFZ106" s="531"/>
      <c r="TGA106" s="530"/>
      <c r="TGB106" s="531"/>
      <c r="TGC106" s="530"/>
      <c r="TGD106" s="531"/>
      <c r="TGE106" s="530"/>
      <c r="TGF106" s="531"/>
      <c r="TGG106" s="530"/>
      <c r="TGH106" s="531"/>
      <c r="TGI106" s="530"/>
      <c r="TGJ106" s="531"/>
      <c r="TGK106" s="530"/>
      <c r="TGL106" s="531"/>
      <c r="TGM106" s="530"/>
      <c r="TGN106" s="531"/>
      <c r="TGO106" s="530"/>
      <c r="TGP106" s="531"/>
      <c r="TGQ106" s="530"/>
      <c r="TGR106" s="531"/>
      <c r="TGS106" s="530"/>
      <c r="TGT106" s="531"/>
      <c r="TGU106" s="530"/>
      <c r="TGV106" s="531"/>
      <c r="TGW106" s="530"/>
      <c r="TGX106" s="531"/>
      <c r="TGY106" s="530"/>
      <c r="TGZ106" s="531"/>
      <c r="THA106" s="530"/>
      <c r="THB106" s="531"/>
      <c r="THC106" s="530"/>
      <c r="THD106" s="531"/>
      <c r="THE106" s="530"/>
      <c r="THF106" s="531"/>
      <c r="THG106" s="530"/>
      <c r="THH106" s="531"/>
      <c r="THI106" s="530"/>
      <c r="THJ106" s="531"/>
      <c r="THK106" s="530"/>
      <c r="THL106" s="531"/>
      <c r="THM106" s="530"/>
      <c r="THN106" s="531"/>
      <c r="THO106" s="530"/>
      <c r="THP106" s="531"/>
      <c r="THQ106" s="530"/>
      <c r="THR106" s="531"/>
      <c r="THS106" s="530"/>
      <c r="THT106" s="531"/>
      <c r="THU106" s="530"/>
      <c r="THV106" s="531"/>
      <c r="THW106" s="530"/>
      <c r="THX106" s="531"/>
      <c r="THY106" s="530"/>
      <c r="THZ106" s="531"/>
      <c r="TIA106" s="530"/>
      <c r="TIB106" s="531"/>
      <c r="TIC106" s="530"/>
      <c r="TID106" s="531"/>
      <c r="TIE106" s="530"/>
      <c r="TIF106" s="531"/>
      <c r="TIG106" s="530"/>
      <c r="TIH106" s="531"/>
      <c r="TII106" s="530"/>
      <c r="TIJ106" s="531"/>
      <c r="TIK106" s="530"/>
      <c r="TIL106" s="531"/>
      <c r="TIM106" s="530"/>
      <c r="TIN106" s="531"/>
      <c r="TIO106" s="530"/>
      <c r="TIP106" s="531"/>
      <c r="TIQ106" s="530"/>
      <c r="TIR106" s="531"/>
      <c r="TIS106" s="530"/>
      <c r="TIT106" s="531"/>
      <c r="TIU106" s="530"/>
      <c r="TIV106" s="531"/>
      <c r="TIW106" s="530"/>
      <c r="TIX106" s="531"/>
      <c r="TIY106" s="530"/>
      <c r="TIZ106" s="531"/>
      <c r="TJA106" s="530"/>
      <c r="TJB106" s="531"/>
      <c r="TJC106" s="530"/>
      <c r="TJD106" s="531"/>
      <c r="TJE106" s="530"/>
      <c r="TJF106" s="531"/>
      <c r="TJG106" s="530"/>
      <c r="TJH106" s="531"/>
      <c r="TJI106" s="530"/>
      <c r="TJJ106" s="531"/>
      <c r="TJK106" s="530"/>
      <c r="TJL106" s="531"/>
      <c r="TJM106" s="530"/>
      <c r="TJN106" s="531"/>
      <c r="TJO106" s="530"/>
      <c r="TJP106" s="531"/>
      <c r="TJQ106" s="530"/>
      <c r="TJR106" s="531"/>
      <c r="TJS106" s="530"/>
      <c r="TJT106" s="531"/>
      <c r="TJU106" s="530"/>
      <c r="TJV106" s="531"/>
      <c r="TJW106" s="530"/>
      <c r="TJX106" s="531"/>
      <c r="TJY106" s="530"/>
      <c r="TJZ106" s="531"/>
      <c r="TKA106" s="530"/>
      <c r="TKB106" s="531"/>
      <c r="TKC106" s="530"/>
      <c r="TKD106" s="531"/>
      <c r="TKE106" s="530"/>
      <c r="TKF106" s="531"/>
      <c r="TKG106" s="530"/>
      <c r="TKH106" s="531"/>
      <c r="TKI106" s="530"/>
      <c r="TKJ106" s="531"/>
      <c r="TKK106" s="530"/>
      <c r="TKL106" s="531"/>
      <c r="TKM106" s="530"/>
      <c r="TKN106" s="531"/>
      <c r="TKO106" s="530"/>
      <c r="TKP106" s="531"/>
      <c r="TKQ106" s="530"/>
      <c r="TKR106" s="531"/>
      <c r="TKS106" s="530"/>
      <c r="TKT106" s="531"/>
      <c r="TKU106" s="530"/>
      <c r="TKV106" s="531"/>
      <c r="TKW106" s="530"/>
      <c r="TKX106" s="531"/>
      <c r="TKY106" s="530"/>
      <c r="TKZ106" s="531"/>
      <c r="TLA106" s="530"/>
      <c r="TLB106" s="531"/>
      <c r="TLC106" s="530"/>
      <c r="TLD106" s="531"/>
      <c r="TLE106" s="530"/>
      <c r="TLF106" s="531"/>
      <c r="TLG106" s="530"/>
      <c r="TLH106" s="531"/>
      <c r="TLI106" s="530"/>
      <c r="TLJ106" s="531"/>
      <c r="TLK106" s="530"/>
      <c r="TLL106" s="531"/>
      <c r="TLM106" s="530"/>
      <c r="TLN106" s="531"/>
      <c r="TLO106" s="530"/>
      <c r="TLP106" s="531"/>
      <c r="TLQ106" s="530"/>
      <c r="TLR106" s="531"/>
      <c r="TLS106" s="530"/>
      <c r="TLT106" s="531"/>
      <c r="TLU106" s="530"/>
      <c r="TLV106" s="531"/>
      <c r="TLW106" s="530"/>
      <c r="TLX106" s="531"/>
      <c r="TLY106" s="530"/>
      <c r="TLZ106" s="531"/>
      <c r="TMA106" s="530"/>
      <c r="TMB106" s="531"/>
      <c r="TMC106" s="530"/>
      <c r="TMD106" s="531"/>
      <c r="TME106" s="530"/>
      <c r="TMF106" s="531"/>
      <c r="TMG106" s="530"/>
      <c r="TMH106" s="531"/>
      <c r="TMI106" s="530"/>
      <c r="TMJ106" s="531"/>
      <c r="TMK106" s="530"/>
      <c r="TML106" s="531"/>
      <c r="TMM106" s="530"/>
      <c r="TMN106" s="531"/>
      <c r="TMO106" s="530"/>
      <c r="TMP106" s="531"/>
      <c r="TMQ106" s="530"/>
      <c r="TMR106" s="531"/>
      <c r="TMS106" s="530"/>
      <c r="TMT106" s="531"/>
      <c r="TMU106" s="530"/>
      <c r="TMV106" s="531"/>
      <c r="TMW106" s="530"/>
      <c r="TMX106" s="531"/>
      <c r="TMY106" s="530"/>
      <c r="TMZ106" s="531"/>
      <c r="TNA106" s="530"/>
      <c r="TNB106" s="531"/>
      <c r="TNC106" s="530"/>
      <c r="TND106" s="531"/>
      <c r="TNE106" s="530"/>
      <c r="TNF106" s="531"/>
      <c r="TNG106" s="530"/>
      <c r="TNH106" s="531"/>
      <c r="TNI106" s="530"/>
      <c r="TNJ106" s="531"/>
      <c r="TNK106" s="530"/>
      <c r="TNL106" s="531"/>
      <c r="TNM106" s="530"/>
      <c r="TNN106" s="531"/>
      <c r="TNO106" s="530"/>
      <c r="TNP106" s="531"/>
      <c r="TNQ106" s="530"/>
      <c r="TNR106" s="531"/>
      <c r="TNS106" s="530"/>
      <c r="TNT106" s="531"/>
      <c r="TNU106" s="530"/>
      <c r="TNV106" s="531"/>
      <c r="TNW106" s="530"/>
      <c r="TNX106" s="531"/>
      <c r="TNY106" s="530"/>
      <c r="TNZ106" s="531"/>
      <c r="TOA106" s="530"/>
      <c r="TOB106" s="531"/>
      <c r="TOC106" s="530"/>
      <c r="TOD106" s="531"/>
      <c r="TOE106" s="530"/>
      <c r="TOF106" s="531"/>
      <c r="TOG106" s="530"/>
      <c r="TOH106" s="531"/>
      <c r="TOI106" s="530"/>
      <c r="TOJ106" s="531"/>
      <c r="TOK106" s="530"/>
      <c r="TOL106" s="531"/>
      <c r="TOM106" s="530"/>
      <c r="TON106" s="531"/>
      <c r="TOO106" s="530"/>
      <c r="TOP106" s="531"/>
      <c r="TOQ106" s="530"/>
      <c r="TOR106" s="531"/>
      <c r="TOS106" s="530"/>
      <c r="TOT106" s="531"/>
      <c r="TOU106" s="530"/>
      <c r="TOV106" s="531"/>
      <c r="TOW106" s="530"/>
      <c r="TOX106" s="531"/>
      <c r="TOY106" s="530"/>
      <c r="TOZ106" s="531"/>
      <c r="TPA106" s="530"/>
      <c r="TPB106" s="531"/>
      <c r="TPC106" s="530"/>
      <c r="TPD106" s="531"/>
      <c r="TPE106" s="530"/>
      <c r="TPF106" s="531"/>
      <c r="TPG106" s="530"/>
      <c r="TPH106" s="531"/>
      <c r="TPI106" s="530"/>
      <c r="TPJ106" s="531"/>
      <c r="TPK106" s="530"/>
      <c r="TPL106" s="531"/>
      <c r="TPM106" s="530"/>
      <c r="TPN106" s="531"/>
      <c r="TPO106" s="530"/>
      <c r="TPP106" s="531"/>
      <c r="TPQ106" s="530"/>
      <c r="TPR106" s="531"/>
      <c r="TPS106" s="530"/>
      <c r="TPT106" s="531"/>
      <c r="TPU106" s="530"/>
      <c r="TPV106" s="531"/>
      <c r="TPW106" s="530"/>
      <c r="TPX106" s="531"/>
      <c r="TPY106" s="530"/>
      <c r="TPZ106" s="531"/>
      <c r="TQA106" s="530"/>
      <c r="TQB106" s="531"/>
      <c r="TQC106" s="530"/>
      <c r="TQD106" s="531"/>
      <c r="TQE106" s="530"/>
      <c r="TQF106" s="531"/>
      <c r="TQG106" s="530"/>
      <c r="TQH106" s="531"/>
      <c r="TQI106" s="530"/>
      <c r="TQJ106" s="531"/>
      <c r="TQK106" s="530"/>
      <c r="TQL106" s="531"/>
      <c r="TQM106" s="530"/>
      <c r="TQN106" s="531"/>
      <c r="TQO106" s="530"/>
      <c r="TQP106" s="531"/>
      <c r="TQQ106" s="530"/>
      <c r="TQR106" s="531"/>
      <c r="TQS106" s="530"/>
      <c r="TQT106" s="531"/>
      <c r="TQU106" s="530"/>
      <c r="TQV106" s="531"/>
      <c r="TQW106" s="530"/>
      <c r="TQX106" s="531"/>
      <c r="TQY106" s="530"/>
      <c r="TQZ106" s="531"/>
      <c r="TRA106" s="530"/>
      <c r="TRB106" s="531"/>
      <c r="TRC106" s="530"/>
      <c r="TRD106" s="531"/>
      <c r="TRE106" s="530"/>
      <c r="TRF106" s="531"/>
      <c r="TRG106" s="530"/>
      <c r="TRH106" s="531"/>
      <c r="TRI106" s="530"/>
      <c r="TRJ106" s="531"/>
      <c r="TRK106" s="530"/>
      <c r="TRL106" s="531"/>
      <c r="TRM106" s="530"/>
      <c r="TRN106" s="531"/>
      <c r="TRO106" s="530"/>
      <c r="TRP106" s="531"/>
      <c r="TRQ106" s="530"/>
      <c r="TRR106" s="531"/>
      <c r="TRS106" s="530"/>
      <c r="TRT106" s="531"/>
      <c r="TRU106" s="530"/>
      <c r="TRV106" s="531"/>
      <c r="TRW106" s="530"/>
      <c r="TRX106" s="531"/>
      <c r="TRY106" s="530"/>
      <c r="TRZ106" s="531"/>
      <c r="TSA106" s="530"/>
      <c r="TSB106" s="531"/>
      <c r="TSC106" s="530"/>
      <c r="TSD106" s="531"/>
      <c r="TSE106" s="530"/>
      <c r="TSF106" s="531"/>
      <c r="TSG106" s="530"/>
      <c r="TSH106" s="531"/>
      <c r="TSI106" s="530"/>
      <c r="TSJ106" s="531"/>
      <c r="TSK106" s="530"/>
      <c r="TSL106" s="531"/>
      <c r="TSM106" s="530"/>
      <c r="TSN106" s="531"/>
      <c r="TSO106" s="530"/>
      <c r="TSP106" s="531"/>
      <c r="TSQ106" s="530"/>
      <c r="TSR106" s="531"/>
      <c r="TSS106" s="530"/>
      <c r="TST106" s="531"/>
      <c r="TSU106" s="530"/>
      <c r="TSV106" s="531"/>
      <c r="TSW106" s="530"/>
      <c r="TSX106" s="531"/>
      <c r="TSY106" s="530"/>
      <c r="TSZ106" s="531"/>
      <c r="TTA106" s="530"/>
      <c r="TTB106" s="531"/>
      <c r="TTC106" s="530"/>
      <c r="TTD106" s="531"/>
      <c r="TTE106" s="530"/>
      <c r="TTF106" s="531"/>
      <c r="TTG106" s="530"/>
      <c r="TTH106" s="531"/>
      <c r="TTI106" s="530"/>
      <c r="TTJ106" s="531"/>
      <c r="TTK106" s="530"/>
      <c r="TTL106" s="531"/>
      <c r="TTM106" s="530"/>
      <c r="TTN106" s="531"/>
      <c r="TTO106" s="530"/>
      <c r="TTP106" s="531"/>
      <c r="TTQ106" s="530"/>
      <c r="TTR106" s="531"/>
      <c r="TTS106" s="530"/>
      <c r="TTT106" s="531"/>
      <c r="TTU106" s="530"/>
      <c r="TTV106" s="531"/>
      <c r="TTW106" s="530"/>
      <c r="TTX106" s="531"/>
      <c r="TTY106" s="530"/>
      <c r="TTZ106" s="531"/>
      <c r="TUA106" s="530"/>
      <c r="TUB106" s="531"/>
      <c r="TUC106" s="530"/>
      <c r="TUD106" s="531"/>
      <c r="TUE106" s="530"/>
      <c r="TUF106" s="531"/>
      <c r="TUG106" s="530"/>
      <c r="TUH106" s="531"/>
      <c r="TUI106" s="530"/>
      <c r="TUJ106" s="531"/>
      <c r="TUK106" s="530"/>
      <c r="TUL106" s="531"/>
      <c r="TUM106" s="530"/>
      <c r="TUN106" s="531"/>
      <c r="TUO106" s="530"/>
      <c r="TUP106" s="531"/>
      <c r="TUQ106" s="530"/>
      <c r="TUR106" s="531"/>
      <c r="TUS106" s="530"/>
      <c r="TUT106" s="531"/>
      <c r="TUU106" s="530"/>
      <c r="TUV106" s="531"/>
      <c r="TUW106" s="530"/>
      <c r="TUX106" s="531"/>
      <c r="TUY106" s="530"/>
      <c r="TUZ106" s="531"/>
      <c r="TVA106" s="530"/>
      <c r="TVB106" s="531"/>
      <c r="TVC106" s="530"/>
      <c r="TVD106" s="531"/>
      <c r="TVE106" s="530"/>
      <c r="TVF106" s="531"/>
      <c r="TVG106" s="530"/>
      <c r="TVH106" s="531"/>
      <c r="TVI106" s="530"/>
      <c r="TVJ106" s="531"/>
      <c r="TVK106" s="530"/>
      <c r="TVL106" s="531"/>
      <c r="TVM106" s="530"/>
      <c r="TVN106" s="531"/>
      <c r="TVO106" s="530"/>
      <c r="TVP106" s="531"/>
      <c r="TVQ106" s="530"/>
      <c r="TVR106" s="531"/>
      <c r="TVS106" s="530"/>
      <c r="TVT106" s="531"/>
      <c r="TVU106" s="530"/>
      <c r="TVV106" s="531"/>
      <c r="TVW106" s="530"/>
      <c r="TVX106" s="531"/>
      <c r="TVY106" s="530"/>
      <c r="TVZ106" s="531"/>
      <c r="TWA106" s="530"/>
      <c r="TWB106" s="531"/>
      <c r="TWC106" s="530"/>
      <c r="TWD106" s="531"/>
      <c r="TWE106" s="530"/>
      <c r="TWF106" s="531"/>
      <c r="TWG106" s="530"/>
      <c r="TWH106" s="531"/>
      <c r="TWI106" s="530"/>
      <c r="TWJ106" s="531"/>
      <c r="TWK106" s="530"/>
      <c r="TWL106" s="531"/>
      <c r="TWM106" s="530"/>
      <c r="TWN106" s="531"/>
      <c r="TWO106" s="530"/>
      <c r="TWP106" s="531"/>
      <c r="TWQ106" s="530"/>
      <c r="TWR106" s="531"/>
      <c r="TWS106" s="530"/>
      <c r="TWT106" s="531"/>
      <c r="TWU106" s="530"/>
      <c r="TWV106" s="531"/>
      <c r="TWW106" s="530"/>
      <c r="TWX106" s="531"/>
      <c r="TWY106" s="530"/>
      <c r="TWZ106" s="531"/>
      <c r="TXA106" s="530"/>
      <c r="TXB106" s="531"/>
      <c r="TXC106" s="530"/>
      <c r="TXD106" s="531"/>
      <c r="TXE106" s="530"/>
      <c r="TXF106" s="531"/>
      <c r="TXG106" s="530"/>
      <c r="TXH106" s="531"/>
      <c r="TXI106" s="530"/>
      <c r="TXJ106" s="531"/>
      <c r="TXK106" s="530"/>
      <c r="TXL106" s="531"/>
      <c r="TXM106" s="530"/>
      <c r="TXN106" s="531"/>
      <c r="TXO106" s="530"/>
      <c r="TXP106" s="531"/>
      <c r="TXQ106" s="530"/>
      <c r="TXR106" s="531"/>
      <c r="TXS106" s="530"/>
      <c r="TXT106" s="531"/>
      <c r="TXU106" s="530"/>
      <c r="TXV106" s="531"/>
      <c r="TXW106" s="530"/>
      <c r="TXX106" s="531"/>
      <c r="TXY106" s="530"/>
      <c r="TXZ106" s="531"/>
      <c r="TYA106" s="530"/>
      <c r="TYB106" s="531"/>
      <c r="TYC106" s="530"/>
      <c r="TYD106" s="531"/>
      <c r="TYE106" s="530"/>
      <c r="TYF106" s="531"/>
      <c r="TYG106" s="530"/>
      <c r="TYH106" s="531"/>
      <c r="TYI106" s="530"/>
      <c r="TYJ106" s="531"/>
      <c r="TYK106" s="530"/>
      <c r="TYL106" s="531"/>
      <c r="TYM106" s="530"/>
      <c r="TYN106" s="531"/>
      <c r="TYO106" s="530"/>
      <c r="TYP106" s="531"/>
      <c r="TYQ106" s="530"/>
      <c r="TYR106" s="531"/>
      <c r="TYS106" s="530"/>
      <c r="TYT106" s="531"/>
      <c r="TYU106" s="530"/>
      <c r="TYV106" s="531"/>
      <c r="TYW106" s="530"/>
      <c r="TYX106" s="531"/>
      <c r="TYY106" s="530"/>
      <c r="TYZ106" s="531"/>
      <c r="TZA106" s="530"/>
      <c r="TZB106" s="531"/>
      <c r="TZC106" s="530"/>
      <c r="TZD106" s="531"/>
      <c r="TZE106" s="530"/>
      <c r="TZF106" s="531"/>
      <c r="TZG106" s="530"/>
      <c r="TZH106" s="531"/>
      <c r="TZI106" s="530"/>
      <c r="TZJ106" s="531"/>
      <c r="TZK106" s="530"/>
      <c r="TZL106" s="531"/>
      <c r="TZM106" s="530"/>
      <c r="TZN106" s="531"/>
      <c r="TZO106" s="530"/>
      <c r="TZP106" s="531"/>
      <c r="TZQ106" s="530"/>
      <c r="TZR106" s="531"/>
      <c r="TZS106" s="530"/>
      <c r="TZT106" s="531"/>
      <c r="TZU106" s="530"/>
      <c r="TZV106" s="531"/>
      <c r="TZW106" s="530"/>
      <c r="TZX106" s="531"/>
      <c r="TZY106" s="530"/>
      <c r="TZZ106" s="531"/>
      <c r="UAA106" s="530"/>
      <c r="UAB106" s="531"/>
      <c r="UAC106" s="530"/>
      <c r="UAD106" s="531"/>
      <c r="UAE106" s="530"/>
      <c r="UAF106" s="531"/>
      <c r="UAG106" s="530"/>
      <c r="UAH106" s="531"/>
      <c r="UAI106" s="530"/>
      <c r="UAJ106" s="531"/>
      <c r="UAK106" s="530"/>
      <c r="UAL106" s="531"/>
      <c r="UAM106" s="530"/>
      <c r="UAN106" s="531"/>
      <c r="UAO106" s="530"/>
      <c r="UAP106" s="531"/>
      <c r="UAQ106" s="530"/>
      <c r="UAR106" s="531"/>
      <c r="UAS106" s="530"/>
      <c r="UAT106" s="531"/>
      <c r="UAU106" s="530"/>
      <c r="UAV106" s="531"/>
      <c r="UAW106" s="530"/>
      <c r="UAX106" s="531"/>
      <c r="UAY106" s="530"/>
      <c r="UAZ106" s="531"/>
      <c r="UBA106" s="530"/>
      <c r="UBB106" s="531"/>
      <c r="UBC106" s="530"/>
      <c r="UBD106" s="531"/>
      <c r="UBE106" s="530"/>
      <c r="UBF106" s="531"/>
      <c r="UBG106" s="530"/>
      <c r="UBH106" s="531"/>
      <c r="UBI106" s="530"/>
      <c r="UBJ106" s="531"/>
      <c r="UBK106" s="530"/>
      <c r="UBL106" s="531"/>
      <c r="UBM106" s="530"/>
      <c r="UBN106" s="531"/>
      <c r="UBO106" s="530"/>
      <c r="UBP106" s="531"/>
      <c r="UBQ106" s="530"/>
      <c r="UBR106" s="531"/>
      <c r="UBS106" s="530"/>
      <c r="UBT106" s="531"/>
      <c r="UBU106" s="530"/>
      <c r="UBV106" s="531"/>
      <c r="UBW106" s="530"/>
      <c r="UBX106" s="531"/>
      <c r="UBY106" s="530"/>
      <c r="UBZ106" s="531"/>
      <c r="UCA106" s="530"/>
      <c r="UCB106" s="531"/>
      <c r="UCC106" s="530"/>
      <c r="UCD106" s="531"/>
      <c r="UCE106" s="530"/>
      <c r="UCF106" s="531"/>
      <c r="UCG106" s="530"/>
      <c r="UCH106" s="531"/>
      <c r="UCI106" s="530"/>
      <c r="UCJ106" s="531"/>
      <c r="UCK106" s="530"/>
      <c r="UCL106" s="531"/>
      <c r="UCM106" s="530"/>
      <c r="UCN106" s="531"/>
      <c r="UCO106" s="530"/>
      <c r="UCP106" s="531"/>
      <c r="UCQ106" s="530"/>
      <c r="UCR106" s="531"/>
      <c r="UCS106" s="530"/>
      <c r="UCT106" s="531"/>
      <c r="UCU106" s="530"/>
      <c r="UCV106" s="531"/>
      <c r="UCW106" s="530"/>
      <c r="UCX106" s="531"/>
      <c r="UCY106" s="530"/>
      <c r="UCZ106" s="531"/>
      <c r="UDA106" s="530"/>
      <c r="UDB106" s="531"/>
      <c r="UDC106" s="530"/>
      <c r="UDD106" s="531"/>
      <c r="UDE106" s="530"/>
      <c r="UDF106" s="531"/>
      <c r="UDG106" s="530"/>
      <c r="UDH106" s="531"/>
      <c r="UDI106" s="530"/>
      <c r="UDJ106" s="531"/>
      <c r="UDK106" s="530"/>
      <c r="UDL106" s="531"/>
      <c r="UDM106" s="530"/>
      <c r="UDN106" s="531"/>
      <c r="UDO106" s="530"/>
      <c r="UDP106" s="531"/>
      <c r="UDQ106" s="530"/>
      <c r="UDR106" s="531"/>
      <c r="UDS106" s="530"/>
      <c r="UDT106" s="531"/>
      <c r="UDU106" s="530"/>
      <c r="UDV106" s="531"/>
      <c r="UDW106" s="530"/>
      <c r="UDX106" s="531"/>
      <c r="UDY106" s="530"/>
      <c r="UDZ106" s="531"/>
      <c r="UEA106" s="530"/>
      <c r="UEB106" s="531"/>
      <c r="UEC106" s="530"/>
      <c r="UED106" s="531"/>
      <c r="UEE106" s="530"/>
      <c r="UEF106" s="531"/>
      <c r="UEG106" s="530"/>
      <c r="UEH106" s="531"/>
      <c r="UEI106" s="530"/>
      <c r="UEJ106" s="531"/>
      <c r="UEK106" s="530"/>
      <c r="UEL106" s="531"/>
      <c r="UEM106" s="530"/>
      <c r="UEN106" s="531"/>
      <c r="UEO106" s="530"/>
      <c r="UEP106" s="531"/>
      <c r="UEQ106" s="530"/>
      <c r="UER106" s="531"/>
      <c r="UES106" s="530"/>
      <c r="UET106" s="531"/>
      <c r="UEU106" s="530"/>
      <c r="UEV106" s="531"/>
      <c r="UEW106" s="530"/>
      <c r="UEX106" s="531"/>
      <c r="UEY106" s="530"/>
      <c r="UEZ106" s="531"/>
      <c r="UFA106" s="530"/>
      <c r="UFB106" s="531"/>
      <c r="UFC106" s="530"/>
      <c r="UFD106" s="531"/>
      <c r="UFE106" s="530"/>
      <c r="UFF106" s="531"/>
      <c r="UFG106" s="530"/>
      <c r="UFH106" s="531"/>
      <c r="UFI106" s="530"/>
      <c r="UFJ106" s="531"/>
      <c r="UFK106" s="530"/>
      <c r="UFL106" s="531"/>
      <c r="UFM106" s="530"/>
      <c r="UFN106" s="531"/>
      <c r="UFO106" s="530"/>
      <c r="UFP106" s="531"/>
      <c r="UFQ106" s="530"/>
      <c r="UFR106" s="531"/>
      <c r="UFS106" s="530"/>
      <c r="UFT106" s="531"/>
      <c r="UFU106" s="530"/>
      <c r="UFV106" s="531"/>
      <c r="UFW106" s="530"/>
      <c r="UFX106" s="531"/>
      <c r="UFY106" s="530"/>
      <c r="UFZ106" s="531"/>
      <c r="UGA106" s="530"/>
      <c r="UGB106" s="531"/>
      <c r="UGC106" s="530"/>
      <c r="UGD106" s="531"/>
      <c r="UGE106" s="530"/>
      <c r="UGF106" s="531"/>
      <c r="UGG106" s="530"/>
      <c r="UGH106" s="531"/>
      <c r="UGI106" s="530"/>
      <c r="UGJ106" s="531"/>
      <c r="UGK106" s="530"/>
      <c r="UGL106" s="531"/>
      <c r="UGM106" s="530"/>
      <c r="UGN106" s="531"/>
      <c r="UGO106" s="530"/>
      <c r="UGP106" s="531"/>
      <c r="UGQ106" s="530"/>
      <c r="UGR106" s="531"/>
      <c r="UGS106" s="530"/>
      <c r="UGT106" s="531"/>
      <c r="UGU106" s="530"/>
      <c r="UGV106" s="531"/>
      <c r="UGW106" s="530"/>
      <c r="UGX106" s="531"/>
      <c r="UGY106" s="530"/>
      <c r="UGZ106" s="531"/>
      <c r="UHA106" s="530"/>
      <c r="UHB106" s="531"/>
      <c r="UHC106" s="530"/>
      <c r="UHD106" s="531"/>
      <c r="UHE106" s="530"/>
      <c r="UHF106" s="531"/>
      <c r="UHG106" s="530"/>
      <c r="UHH106" s="531"/>
      <c r="UHI106" s="530"/>
      <c r="UHJ106" s="531"/>
      <c r="UHK106" s="530"/>
      <c r="UHL106" s="531"/>
      <c r="UHM106" s="530"/>
      <c r="UHN106" s="531"/>
      <c r="UHO106" s="530"/>
      <c r="UHP106" s="531"/>
      <c r="UHQ106" s="530"/>
      <c r="UHR106" s="531"/>
      <c r="UHS106" s="530"/>
      <c r="UHT106" s="531"/>
      <c r="UHU106" s="530"/>
      <c r="UHV106" s="531"/>
      <c r="UHW106" s="530"/>
      <c r="UHX106" s="531"/>
      <c r="UHY106" s="530"/>
      <c r="UHZ106" s="531"/>
      <c r="UIA106" s="530"/>
      <c r="UIB106" s="531"/>
      <c r="UIC106" s="530"/>
      <c r="UID106" s="531"/>
      <c r="UIE106" s="530"/>
      <c r="UIF106" s="531"/>
      <c r="UIG106" s="530"/>
      <c r="UIH106" s="531"/>
      <c r="UII106" s="530"/>
      <c r="UIJ106" s="531"/>
      <c r="UIK106" s="530"/>
      <c r="UIL106" s="531"/>
      <c r="UIM106" s="530"/>
      <c r="UIN106" s="531"/>
      <c r="UIO106" s="530"/>
      <c r="UIP106" s="531"/>
      <c r="UIQ106" s="530"/>
      <c r="UIR106" s="531"/>
      <c r="UIS106" s="530"/>
      <c r="UIT106" s="531"/>
      <c r="UIU106" s="530"/>
      <c r="UIV106" s="531"/>
      <c r="UIW106" s="530"/>
      <c r="UIX106" s="531"/>
      <c r="UIY106" s="530"/>
      <c r="UIZ106" s="531"/>
      <c r="UJA106" s="530"/>
      <c r="UJB106" s="531"/>
      <c r="UJC106" s="530"/>
      <c r="UJD106" s="531"/>
      <c r="UJE106" s="530"/>
      <c r="UJF106" s="531"/>
      <c r="UJG106" s="530"/>
      <c r="UJH106" s="531"/>
      <c r="UJI106" s="530"/>
      <c r="UJJ106" s="531"/>
      <c r="UJK106" s="530"/>
      <c r="UJL106" s="531"/>
      <c r="UJM106" s="530"/>
      <c r="UJN106" s="531"/>
      <c r="UJO106" s="530"/>
      <c r="UJP106" s="531"/>
      <c r="UJQ106" s="530"/>
      <c r="UJR106" s="531"/>
      <c r="UJS106" s="530"/>
      <c r="UJT106" s="531"/>
      <c r="UJU106" s="530"/>
      <c r="UJV106" s="531"/>
      <c r="UJW106" s="530"/>
      <c r="UJX106" s="531"/>
      <c r="UJY106" s="530"/>
      <c r="UJZ106" s="531"/>
      <c r="UKA106" s="530"/>
      <c r="UKB106" s="531"/>
      <c r="UKC106" s="530"/>
      <c r="UKD106" s="531"/>
      <c r="UKE106" s="530"/>
      <c r="UKF106" s="531"/>
      <c r="UKG106" s="530"/>
      <c r="UKH106" s="531"/>
      <c r="UKI106" s="530"/>
      <c r="UKJ106" s="531"/>
      <c r="UKK106" s="530"/>
      <c r="UKL106" s="531"/>
      <c r="UKM106" s="530"/>
      <c r="UKN106" s="531"/>
      <c r="UKO106" s="530"/>
      <c r="UKP106" s="531"/>
      <c r="UKQ106" s="530"/>
      <c r="UKR106" s="531"/>
      <c r="UKS106" s="530"/>
      <c r="UKT106" s="531"/>
      <c r="UKU106" s="530"/>
      <c r="UKV106" s="531"/>
      <c r="UKW106" s="530"/>
      <c r="UKX106" s="531"/>
      <c r="UKY106" s="530"/>
      <c r="UKZ106" s="531"/>
      <c r="ULA106" s="530"/>
      <c r="ULB106" s="531"/>
      <c r="ULC106" s="530"/>
      <c r="ULD106" s="531"/>
      <c r="ULE106" s="530"/>
      <c r="ULF106" s="531"/>
      <c r="ULG106" s="530"/>
      <c r="ULH106" s="531"/>
      <c r="ULI106" s="530"/>
      <c r="ULJ106" s="531"/>
      <c r="ULK106" s="530"/>
      <c r="ULL106" s="531"/>
      <c r="ULM106" s="530"/>
      <c r="ULN106" s="531"/>
      <c r="ULO106" s="530"/>
      <c r="ULP106" s="531"/>
      <c r="ULQ106" s="530"/>
      <c r="ULR106" s="531"/>
      <c r="ULS106" s="530"/>
      <c r="ULT106" s="531"/>
      <c r="ULU106" s="530"/>
      <c r="ULV106" s="531"/>
      <c r="ULW106" s="530"/>
      <c r="ULX106" s="531"/>
      <c r="ULY106" s="530"/>
      <c r="ULZ106" s="531"/>
      <c r="UMA106" s="530"/>
      <c r="UMB106" s="531"/>
      <c r="UMC106" s="530"/>
      <c r="UMD106" s="531"/>
      <c r="UME106" s="530"/>
      <c r="UMF106" s="531"/>
      <c r="UMG106" s="530"/>
      <c r="UMH106" s="531"/>
      <c r="UMI106" s="530"/>
      <c r="UMJ106" s="531"/>
      <c r="UMK106" s="530"/>
      <c r="UML106" s="531"/>
      <c r="UMM106" s="530"/>
      <c r="UMN106" s="531"/>
      <c r="UMO106" s="530"/>
      <c r="UMP106" s="531"/>
      <c r="UMQ106" s="530"/>
      <c r="UMR106" s="531"/>
      <c r="UMS106" s="530"/>
      <c r="UMT106" s="531"/>
      <c r="UMU106" s="530"/>
      <c r="UMV106" s="531"/>
      <c r="UMW106" s="530"/>
      <c r="UMX106" s="531"/>
      <c r="UMY106" s="530"/>
      <c r="UMZ106" s="531"/>
      <c r="UNA106" s="530"/>
      <c r="UNB106" s="531"/>
      <c r="UNC106" s="530"/>
      <c r="UND106" s="531"/>
      <c r="UNE106" s="530"/>
      <c r="UNF106" s="531"/>
      <c r="UNG106" s="530"/>
      <c r="UNH106" s="531"/>
      <c r="UNI106" s="530"/>
      <c r="UNJ106" s="531"/>
      <c r="UNK106" s="530"/>
      <c r="UNL106" s="531"/>
      <c r="UNM106" s="530"/>
      <c r="UNN106" s="531"/>
      <c r="UNO106" s="530"/>
      <c r="UNP106" s="531"/>
      <c r="UNQ106" s="530"/>
      <c r="UNR106" s="531"/>
      <c r="UNS106" s="530"/>
      <c r="UNT106" s="531"/>
      <c r="UNU106" s="530"/>
      <c r="UNV106" s="531"/>
      <c r="UNW106" s="530"/>
      <c r="UNX106" s="531"/>
      <c r="UNY106" s="530"/>
      <c r="UNZ106" s="531"/>
      <c r="UOA106" s="530"/>
      <c r="UOB106" s="531"/>
      <c r="UOC106" s="530"/>
      <c r="UOD106" s="531"/>
      <c r="UOE106" s="530"/>
      <c r="UOF106" s="531"/>
      <c r="UOG106" s="530"/>
      <c r="UOH106" s="531"/>
      <c r="UOI106" s="530"/>
      <c r="UOJ106" s="531"/>
      <c r="UOK106" s="530"/>
      <c r="UOL106" s="531"/>
      <c r="UOM106" s="530"/>
      <c r="UON106" s="531"/>
      <c r="UOO106" s="530"/>
      <c r="UOP106" s="531"/>
      <c r="UOQ106" s="530"/>
      <c r="UOR106" s="531"/>
      <c r="UOS106" s="530"/>
      <c r="UOT106" s="531"/>
      <c r="UOU106" s="530"/>
      <c r="UOV106" s="531"/>
      <c r="UOW106" s="530"/>
      <c r="UOX106" s="531"/>
      <c r="UOY106" s="530"/>
      <c r="UOZ106" s="531"/>
      <c r="UPA106" s="530"/>
      <c r="UPB106" s="531"/>
      <c r="UPC106" s="530"/>
      <c r="UPD106" s="531"/>
      <c r="UPE106" s="530"/>
      <c r="UPF106" s="531"/>
      <c r="UPG106" s="530"/>
      <c r="UPH106" s="531"/>
      <c r="UPI106" s="530"/>
      <c r="UPJ106" s="531"/>
      <c r="UPK106" s="530"/>
      <c r="UPL106" s="531"/>
      <c r="UPM106" s="530"/>
      <c r="UPN106" s="531"/>
      <c r="UPO106" s="530"/>
      <c r="UPP106" s="531"/>
      <c r="UPQ106" s="530"/>
      <c r="UPR106" s="531"/>
      <c r="UPS106" s="530"/>
      <c r="UPT106" s="531"/>
      <c r="UPU106" s="530"/>
      <c r="UPV106" s="531"/>
      <c r="UPW106" s="530"/>
      <c r="UPX106" s="531"/>
      <c r="UPY106" s="530"/>
      <c r="UPZ106" s="531"/>
      <c r="UQA106" s="530"/>
      <c r="UQB106" s="531"/>
      <c r="UQC106" s="530"/>
      <c r="UQD106" s="531"/>
      <c r="UQE106" s="530"/>
      <c r="UQF106" s="531"/>
      <c r="UQG106" s="530"/>
      <c r="UQH106" s="531"/>
      <c r="UQI106" s="530"/>
      <c r="UQJ106" s="531"/>
      <c r="UQK106" s="530"/>
      <c r="UQL106" s="531"/>
      <c r="UQM106" s="530"/>
      <c r="UQN106" s="531"/>
      <c r="UQO106" s="530"/>
      <c r="UQP106" s="531"/>
      <c r="UQQ106" s="530"/>
      <c r="UQR106" s="531"/>
      <c r="UQS106" s="530"/>
      <c r="UQT106" s="531"/>
      <c r="UQU106" s="530"/>
      <c r="UQV106" s="531"/>
      <c r="UQW106" s="530"/>
      <c r="UQX106" s="531"/>
      <c r="UQY106" s="530"/>
      <c r="UQZ106" s="531"/>
      <c r="URA106" s="530"/>
      <c r="URB106" s="531"/>
      <c r="URC106" s="530"/>
      <c r="URD106" s="531"/>
      <c r="URE106" s="530"/>
      <c r="URF106" s="531"/>
      <c r="URG106" s="530"/>
      <c r="URH106" s="531"/>
      <c r="URI106" s="530"/>
      <c r="URJ106" s="531"/>
      <c r="URK106" s="530"/>
      <c r="URL106" s="531"/>
      <c r="URM106" s="530"/>
      <c r="URN106" s="531"/>
      <c r="URO106" s="530"/>
      <c r="URP106" s="531"/>
      <c r="URQ106" s="530"/>
      <c r="URR106" s="531"/>
      <c r="URS106" s="530"/>
      <c r="URT106" s="531"/>
      <c r="URU106" s="530"/>
      <c r="URV106" s="531"/>
      <c r="URW106" s="530"/>
      <c r="URX106" s="531"/>
      <c r="URY106" s="530"/>
      <c r="URZ106" s="531"/>
      <c r="USA106" s="530"/>
      <c r="USB106" s="531"/>
      <c r="USC106" s="530"/>
      <c r="USD106" s="531"/>
      <c r="USE106" s="530"/>
      <c r="USF106" s="531"/>
      <c r="USG106" s="530"/>
      <c r="USH106" s="531"/>
      <c r="USI106" s="530"/>
      <c r="USJ106" s="531"/>
      <c r="USK106" s="530"/>
      <c r="USL106" s="531"/>
      <c r="USM106" s="530"/>
      <c r="USN106" s="531"/>
      <c r="USO106" s="530"/>
      <c r="USP106" s="531"/>
      <c r="USQ106" s="530"/>
      <c r="USR106" s="531"/>
      <c r="USS106" s="530"/>
      <c r="UST106" s="531"/>
      <c r="USU106" s="530"/>
      <c r="USV106" s="531"/>
      <c r="USW106" s="530"/>
      <c r="USX106" s="531"/>
      <c r="USY106" s="530"/>
      <c r="USZ106" s="531"/>
      <c r="UTA106" s="530"/>
      <c r="UTB106" s="531"/>
      <c r="UTC106" s="530"/>
      <c r="UTD106" s="531"/>
      <c r="UTE106" s="530"/>
      <c r="UTF106" s="531"/>
      <c r="UTG106" s="530"/>
      <c r="UTH106" s="531"/>
      <c r="UTI106" s="530"/>
      <c r="UTJ106" s="531"/>
      <c r="UTK106" s="530"/>
      <c r="UTL106" s="531"/>
      <c r="UTM106" s="530"/>
      <c r="UTN106" s="531"/>
      <c r="UTO106" s="530"/>
      <c r="UTP106" s="531"/>
      <c r="UTQ106" s="530"/>
      <c r="UTR106" s="531"/>
      <c r="UTS106" s="530"/>
      <c r="UTT106" s="531"/>
      <c r="UTU106" s="530"/>
      <c r="UTV106" s="531"/>
      <c r="UTW106" s="530"/>
      <c r="UTX106" s="531"/>
      <c r="UTY106" s="530"/>
      <c r="UTZ106" s="531"/>
      <c r="UUA106" s="530"/>
      <c r="UUB106" s="531"/>
      <c r="UUC106" s="530"/>
      <c r="UUD106" s="531"/>
      <c r="UUE106" s="530"/>
      <c r="UUF106" s="531"/>
      <c r="UUG106" s="530"/>
      <c r="UUH106" s="531"/>
      <c r="UUI106" s="530"/>
      <c r="UUJ106" s="531"/>
      <c r="UUK106" s="530"/>
      <c r="UUL106" s="531"/>
      <c r="UUM106" s="530"/>
      <c r="UUN106" s="531"/>
      <c r="UUO106" s="530"/>
      <c r="UUP106" s="531"/>
      <c r="UUQ106" s="530"/>
      <c r="UUR106" s="531"/>
      <c r="UUS106" s="530"/>
      <c r="UUT106" s="531"/>
      <c r="UUU106" s="530"/>
      <c r="UUV106" s="531"/>
      <c r="UUW106" s="530"/>
      <c r="UUX106" s="531"/>
      <c r="UUY106" s="530"/>
      <c r="UUZ106" s="531"/>
      <c r="UVA106" s="530"/>
      <c r="UVB106" s="531"/>
      <c r="UVC106" s="530"/>
      <c r="UVD106" s="531"/>
      <c r="UVE106" s="530"/>
      <c r="UVF106" s="531"/>
      <c r="UVG106" s="530"/>
      <c r="UVH106" s="531"/>
      <c r="UVI106" s="530"/>
      <c r="UVJ106" s="531"/>
      <c r="UVK106" s="530"/>
      <c r="UVL106" s="531"/>
      <c r="UVM106" s="530"/>
      <c r="UVN106" s="531"/>
      <c r="UVO106" s="530"/>
      <c r="UVP106" s="531"/>
      <c r="UVQ106" s="530"/>
      <c r="UVR106" s="531"/>
      <c r="UVS106" s="530"/>
      <c r="UVT106" s="531"/>
      <c r="UVU106" s="530"/>
      <c r="UVV106" s="531"/>
      <c r="UVW106" s="530"/>
      <c r="UVX106" s="531"/>
      <c r="UVY106" s="530"/>
      <c r="UVZ106" s="531"/>
      <c r="UWA106" s="530"/>
      <c r="UWB106" s="531"/>
      <c r="UWC106" s="530"/>
      <c r="UWD106" s="531"/>
      <c r="UWE106" s="530"/>
      <c r="UWF106" s="531"/>
      <c r="UWG106" s="530"/>
      <c r="UWH106" s="531"/>
      <c r="UWI106" s="530"/>
      <c r="UWJ106" s="531"/>
      <c r="UWK106" s="530"/>
      <c r="UWL106" s="531"/>
      <c r="UWM106" s="530"/>
      <c r="UWN106" s="531"/>
      <c r="UWO106" s="530"/>
      <c r="UWP106" s="531"/>
      <c r="UWQ106" s="530"/>
      <c r="UWR106" s="531"/>
      <c r="UWS106" s="530"/>
      <c r="UWT106" s="531"/>
      <c r="UWU106" s="530"/>
      <c r="UWV106" s="531"/>
      <c r="UWW106" s="530"/>
      <c r="UWX106" s="531"/>
      <c r="UWY106" s="530"/>
      <c r="UWZ106" s="531"/>
      <c r="UXA106" s="530"/>
      <c r="UXB106" s="531"/>
      <c r="UXC106" s="530"/>
      <c r="UXD106" s="531"/>
      <c r="UXE106" s="530"/>
      <c r="UXF106" s="531"/>
      <c r="UXG106" s="530"/>
      <c r="UXH106" s="531"/>
      <c r="UXI106" s="530"/>
      <c r="UXJ106" s="531"/>
      <c r="UXK106" s="530"/>
      <c r="UXL106" s="531"/>
      <c r="UXM106" s="530"/>
      <c r="UXN106" s="531"/>
      <c r="UXO106" s="530"/>
      <c r="UXP106" s="531"/>
      <c r="UXQ106" s="530"/>
      <c r="UXR106" s="531"/>
      <c r="UXS106" s="530"/>
      <c r="UXT106" s="531"/>
      <c r="UXU106" s="530"/>
      <c r="UXV106" s="531"/>
      <c r="UXW106" s="530"/>
      <c r="UXX106" s="531"/>
      <c r="UXY106" s="530"/>
      <c r="UXZ106" s="531"/>
      <c r="UYA106" s="530"/>
      <c r="UYB106" s="531"/>
      <c r="UYC106" s="530"/>
      <c r="UYD106" s="531"/>
      <c r="UYE106" s="530"/>
      <c r="UYF106" s="531"/>
      <c r="UYG106" s="530"/>
      <c r="UYH106" s="531"/>
      <c r="UYI106" s="530"/>
      <c r="UYJ106" s="531"/>
      <c r="UYK106" s="530"/>
      <c r="UYL106" s="531"/>
      <c r="UYM106" s="530"/>
      <c r="UYN106" s="531"/>
      <c r="UYO106" s="530"/>
      <c r="UYP106" s="531"/>
      <c r="UYQ106" s="530"/>
      <c r="UYR106" s="531"/>
      <c r="UYS106" s="530"/>
      <c r="UYT106" s="531"/>
      <c r="UYU106" s="530"/>
      <c r="UYV106" s="531"/>
      <c r="UYW106" s="530"/>
      <c r="UYX106" s="531"/>
      <c r="UYY106" s="530"/>
      <c r="UYZ106" s="531"/>
      <c r="UZA106" s="530"/>
      <c r="UZB106" s="531"/>
      <c r="UZC106" s="530"/>
      <c r="UZD106" s="531"/>
      <c r="UZE106" s="530"/>
      <c r="UZF106" s="531"/>
      <c r="UZG106" s="530"/>
      <c r="UZH106" s="531"/>
      <c r="UZI106" s="530"/>
      <c r="UZJ106" s="531"/>
      <c r="UZK106" s="530"/>
      <c r="UZL106" s="531"/>
      <c r="UZM106" s="530"/>
      <c r="UZN106" s="531"/>
      <c r="UZO106" s="530"/>
      <c r="UZP106" s="531"/>
      <c r="UZQ106" s="530"/>
      <c r="UZR106" s="531"/>
      <c r="UZS106" s="530"/>
      <c r="UZT106" s="531"/>
      <c r="UZU106" s="530"/>
      <c r="UZV106" s="531"/>
      <c r="UZW106" s="530"/>
      <c r="UZX106" s="531"/>
      <c r="UZY106" s="530"/>
      <c r="UZZ106" s="531"/>
      <c r="VAA106" s="530"/>
      <c r="VAB106" s="531"/>
      <c r="VAC106" s="530"/>
      <c r="VAD106" s="531"/>
      <c r="VAE106" s="530"/>
      <c r="VAF106" s="531"/>
      <c r="VAG106" s="530"/>
      <c r="VAH106" s="531"/>
      <c r="VAI106" s="530"/>
      <c r="VAJ106" s="531"/>
      <c r="VAK106" s="530"/>
      <c r="VAL106" s="531"/>
      <c r="VAM106" s="530"/>
      <c r="VAN106" s="531"/>
      <c r="VAO106" s="530"/>
      <c r="VAP106" s="531"/>
      <c r="VAQ106" s="530"/>
      <c r="VAR106" s="531"/>
      <c r="VAS106" s="530"/>
      <c r="VAT106" s="531"/>
      <c r="VAU106" s="530"/>
      <c r="VAV106" s="531"/>
      <c r="VAW106" s="530"/>
      <c r="VAX106" s="531"/>
      <c r="VAY106" s="530"/>
      <c r="VAZ106" s="531"/>
      <c r="VBA106" s="530"/>
      <c r="VBB106" s="531"/>
      <c r="VBC106" s="530"/>
      <c r="VBD106" s="531"/>
      <c r="VBE106" s="530"/>
      <c r="VBF106" s="531"/>
      <c r="VBG106" s="530"/>
      <c r="VBH106" s="531"/>
      <c r="VBI106" s="530"/>
      <c r="VBJ106" s="531"/>
      <c r="VBK106" s="530"/>
      <c r="VBL106" s="531"/>
      <c r="VBM106" s="530"/>
      <c r="VBN106" s="531"/>
      <c r="VBO106" s="530"/>
      <c r="VBP106" s="531"/>
      <c r="VBQ106" s="530"/>
      <c r="VBR106" s="531"/>
      <c r="VBS106" s="530"/>
      <c r="VBT106" s="531"/>
      <c r="VBU106" s="530"/>
      <c r="VBV106" s="531"/>
      <c r="VBW106" s="530"/>
      <c r="VBX106" s="531"/>
      <c r="VBY106" s="530"/>
      <c r="VBZ106" s="531"/>
      <c r="VCA106" s="530"/>
      <c r="VCB106" s="531"/>
      <c r="VCC106" s="530"/>
      <c r="VCD106" s="531"/>
      <c r="VCE106" s="530"/>
      <c r="VCF106" s="531"/>
      <c r="VCG106" s="530"/>
      <c r="VCH106" s="531"/>
      <c r="VCI106" s="530"/>
      <c r="VCJ106" s="531"/>
      <c r="VCK106" s="530"/>
      <c r="VCL106" s="531"/>
      <c r="VCM106" s="530"/>
      <c r="VCN106" s="531"/>
      <c r="VCO106" s="530"/>
      <c r="VCP106" s="531"/>
      <c r="VCQ106" s="530"/>
      <c r="VCR106" s="531"/>
      <c r="VCS106" s="530"/>
      <c r="VCT106" s="531"/>
      <c r="VCU106" s="530"/>
      <c r="VCV106" s="531"/>
      <c r="VCW106" s="530"/>
      <c r="VCX106" s="531"/>
      <c r="VCY106" s="530"/>
      <c r="VCZ106" s="531"/>
      <c r="VDA106" s="530"/>
      <c r="VDB106" s="531"/>
      <c r="VDC106" s="530"/>
      <c r="VDD106" s="531"/>
      <c r="VDE106" s="530"/>
      <c r="VDF106" s="531"/>
      <c r="VDG106" s="530"/>
      <c r="VDH106" s="531"/>
      <c r="VDI106" s="530"/>
      <c r="VDJ106" s="531"/>
      <c r="VDK106" s="530"/>
      <c r="VDL106" s="531"/>
      <c r="VDM106" s="530"/>
      <c r="VDN106" s="531"/>
      <c r="VDO106" s="530"/>
      <c r="VDP106" s="531"/>
      <c r="VDQ106" s="530"/>
      <c r="VDR106" s="531"/>
      <c r="VDS106" s="530"/>
      <c r="VDT106" s="531"/>
      <c r="VDU106" s="530"/>
      <c r="VDV106" s="531"/>
      <c r="VDW106" s="530"/>
      <c r="VDX106" s="531"/>
      <c r="VDY106" s="530"/>
      <c r="VDZ106" s="531"/>
      <c r="VEA106" s="530"/>
      <c r="VEB106" s="531"/>
      <c r="VEC106" s="530"/>
      <c r="VED106" s="531"/>
      <c r="VEE106" s="530"/>
      <c r="VEF106" s="531"/>
      <c r="VEG106" s="530"/>
      <c r="VEH106" s="531"/>
      <c r="VEI106" s="530"/>
      <c r="VEJ106" s="531"/>
      <c r="VEK106" s="530"/>
      <c r="VEL106" s="531"/>
      <c r="VEM106" s="530"/>
      <c r="VEN106" s="531"/>
      <c r="VEO106" s="530"/>
      <c r="VEP106" s="531"/>
      <c r="VEQ106" s="530"/>
      <c r="VER106" s="531"/>
      <c r="VES106" s="530"/>
      <c r="VET106" s="531"/>
      <c r="VEU106" s="530"/>
      <c r="VEV106" s="531"/>
      <c r="VEW106" s="530"/>
      <c r="VEX106" s="531"/>
      <c r="VEY106" s="530"/>
      <c r="VEZ106" s="531"/>
      <c r="VFA106" s="530"/>
      <c r="VFB106" s="531"/>
      <c r="VFC106" s="530"/>
      <c r="VFD106" s="531"/>
      <c r="VFE106" s="530"/>
      <c r="VFF106" s="531"/>
      <c r="VFG106" s="530"/>
      <c r="VFH106" s="531"/>
      <c r="VFI106" s="530"/>
      <c r="VFJ106" s="531"/>
      <c r="VFK106" s="530"/>
      <c r="VFL106" s="531"/>
      <c r="VFM106" s="530"/>
      <c r="VFN106" s="531"/>
      <c r="VFO106" s="530"/>
      <c r="VFP106" s="531"/>
      <c r="VFQ106" s="530"/>
      <c r="VFR106" s="531"/>
      <c r="VFS106" s="530"/>
      <c r="VFT106" s="531"/>
      <c r="VFU106" s="530"/>
      <c r="VFV106" s="531"/>
      <c r="VFW106" s="530"/>
      <c r="VFX106" s="531"/>
      <c r="VFY106" s="530"/>
      <c r="VFZ106" s="531"/>
      <c r="VGA106" s="530"/>
      <c r="VGB106" s="531"/>
      <c r="VGC106" s="530"/>
      <c r="VGD106" s="531"/>
      <c r="VGE106" s="530"/>
      <c r="VGF106" s="531"/>
      <c r="VGG106" s="530"/>
      <c r="VGH106" s="531"/>
      <c r="VGI106" s="530"/>
      <c r="VGJ106" s="531"/>
      <c r="VGK106" s="530"/>
      <c r="VGL106" s="531"/>
      <c r="VGM106" s="530"/>
      <c r="VGN106" s="531"/>
      <c r="VGO106" s="530"/>
      <c r="VGP106" s="531"/>
      <c r="VGQ106" s="530"/>
      <c r="VGR106" s="531"/>
      <c r="VGS106" s="530"/>
      <c r="VGT106" s="531"/>
      <c r="VGU106" s="530"/>
      <c r="VGV106" s="531"/>
      <c r="VGW106" s="530"/>
      <c r="VGX106" s="531"/>
      <c r="VGY106" s="530"/>
      <c r="VGZ106" s="531"/>
      <c r="VHA106" s="530"/>
      <c r="VHB106" s="531"/>
      <c r="VHC106" s="530"/>
      <c r="VHD106" s="531"/>
      <c r="VHE106" s="530"/>
      <c r="VHF106" s="531"/>
      <c r="VHG106" s="530"/>
      <c r="VHH106" s="531"/>
      <c r="VHI106" s="530"/>
      <c r="VHJ106" s="531"/>
      <c r="VHK106" s="530"/>
      <c r="VHL106" s="531"/>
      <c r="VHM106" s="530"/>
      <c r="VHN106" s="531"/>
      <c r="VHO106" s="530"/>
      <c r="VHP106" s="531"/>
      <c r="VHQ106" s="530"/>
      <c r="VHR106" s="531"/>
      <c r="VHS106" s="530"/>
      <c r="VHT106" s="531"/>
      <c r="VHU106" s="530"/>
      <c r="VHV106" s="531"/>
      <c r="VHW106" s="530"/>
      <c r="VHX106" s="531"/>
      <c r="VHY106" s="530"/>
      <c r="VHZ106" s="531"/>
      <c r="VIA106" s="530"/>
      <c r="VIB106" s="531"/>
      <c r="VIC106" s="530"/>
      <c r="VID106" s="531"/>
      <c r="VIE106" s="530"/>
      <c r="VIF106" s="531"/>
      <c r="VIG106" s="530"/>
      <c r="VIH106" s="531"/>
      <c r="VII106" s="530"/>
      <c r="VIJ106" s="531"/>
      <c r="VIK106" s="530"/>
      <c r="VIL106" s="531"/>
      <c r="VIM106" s="530"/>
      <c r="VIN106" s="531"/>
      <c r="VIO106" s="530"/>
      <c r="VIP106" s="531"/>
      <c r="VIQ106" s="530"/>
      <c r="VIR106" s="531"/>
      <c r="VIS106" s="530"/>
      <c r="VIT106" s="531"/>
      <c r="VIU106" s="530"/>
      <c r="VIV106" s="531"/>
      <c r="VIW106" s="530"/>
      <c r="VIX106" s="531"/>
      <c r="VIY106" s="530"/>
      <c r="VIZ106" s="531"/>
      <c r="VJA106" s="530"/>
      <c r="VJB106" s="531"/>
      <c r="VJC106" s="530"/>
      <c r="VJD106" s="531"/>
      <c r="VJE106" s="530"/>
      <c r="VJF106" s="531"/>
      <c r="VJG106" s="530"/>
      <c r="VJH106" s="531"/>
      <c r="VJI106" s="530"/>
      <c r="VJJ106" s="531"/>
      <c r="VJK106" s="530"/>
      <c r="VJL106" s="531"/>
      <c r="VJM106" s="530"/>
      <c r="VJN106" s="531"/>
      <c r="VJO106" s="530"/>
      <c r="VJP106" s="531"/>
      <c r="VJQ106" s="530"/>
      <c r="VJR106" s="531"/>
      <c r="VJS106" s="530"/>
      <c r="VJT106" s="531"/>
      <c r="VJU106" s="530"/>
      <c r="VJV106" s="531"/>
      <c r="VJW106" s="530"/>
      <c r="VJX106" s="531"/>
      <c r="VJY106" s="530"/>
      <c r="VJZ106" s="531"/>
      <c r="VKA106" s="530"/>
      <c r="VKB106" s="531"/>
      <c r="VKC106" s="530"/>
      <c r="VKD106" s="531"/>
      <c r="VKE106" s="530"/>
      <c r="VKF106" s="531"/>
      <c r="VKG106" s="530"/>
      <c r="VKH106" s="531"/>
      <c r="VKI106" s="530"/>
      <c r="VKJ106" s="531"/>
      <c r="VKK106" s="530"/>
      <c r="VKL106" s="531"/>
      <c r="VKM106" s="530"/>
      <c r="VKN106" s="531"/>
      <c r="VKO106" s="530"/>
      <c r="VKP106" s="531"/>
      <c r="VKQ106" s="530"/>
      <c r="VKR106" s="531"/>
      <c r="VKS106" s="530"/>
      <c r="VKT106" s="531"/>
      <c r="VKU106" s="530"/>
      <c r="VKV106" s="531"/>
      <c r="VKW106" s="530"/>
      <c r="VKX106" s="531"/>
      <c r="VKY106" s="530"/>
      <c r="VKZ106" s="531"/>
      <c r="VLA106" s="530"/>
      <c r="VLB106" s="531"/>
      <c r="VLC106" s="530"/>
      <c r="VLD106" s="531"/>
      <c r="VLE106" s="530"/>
      <c r="VLF106" s="531"/>
      <c r="VLG106" s="530"/>
      <c r="VLH106" s="531"/>
      <c r="VLI106" s="530"/>
      <c r="VLJ106" s="531"/>
      <c r="VLK106" s="530"/>
      <c r="VLL106" s="531"/>
      <c r="VLM106" s="530"/>
      <c r="VLN106" s="531"/>
      <c r="VLO106" s="530"/>
      <c r="VLP106" s="531"/>
      <c r="VLQ106" s="530"/>
      <c r="VLR106" s="531"/>
      <c r="VLS106" s="530"/>
      <c r="VLT106" s="531"/>
      <c r="VLU106" s="530"/>
      <c r="VLV106" s="531"/>
      <c r="VLW106" s="530"/>
      <c r="VLX106" s="531"/>
      <c r="VLY106" s="530"/>
      <c r="VLZ106" s="531"/>
      <c r="VMA106" s="530"/>
      <c r="VMB106" s="531"/>
      <c r="VMC106" s="530"/>
      <c r="VMD106" s="531"/>
      <c r="VME106" s="530"/>
      <c r="VMF106" s="531"/>
      <c r="VMG106" s="530"/>
      <c r="VMH106" s="531"/>
      <c r="VMI106" s="530"/>
      <c r="VMJ106" s="531"/>
      <c r="VMK106" s="530"/>
      <c r="VML106" s="531"/>
      <c r="VMM106" s="530"/>
      <c r="VMN106" s="531"/>
      <c r="VMO106" s="530"/>
      <c r="VMP106" s="531"/>
      <c r="VMQ106" s="530"/>
      <c r="VMR106" s="531"/>
      <c r="VMS106" s="530"/>
      <c r="VMT106" s="531"/>
      <c r="VMU106" s="530"/>
      <c r="VMV106" s="531"/>
      <c r="VMW106" s="530"/>
      <c r="VMX106" s="531"/>
      <c r="VMY106" s="530"/>
      <c r="VMZ106" s="531"/>
      <c r="VNA106" s="530"/>
      <c r="VNB106" s="531"/>
      <c r="VNC106" s="530"/>
      <c r="VND106" s="531"/>
      <c r="VNE106" s="530"/>
      <c r="VNF106" s="531"/>
      <c r="VNG106" s="530"/>
      <c r="VNH106" s="531"/>
      <c r="VNI106" s="530"/>
      <c r="VNJ106" s="531"/>
      <c r="VNK106" s="530"/>
      <c r="VNL106" s="531"/>
      <c r="VNM106" s="530"/>
      <c r="VNN106" s="531"/>
      <c r="VNO106" s="530"/>
      <c r="VNP106" s="531"/>
      <c r="VNQ106" s="530"/>
      <c r="VNR106" s="531"/>
      <c r="VNS106" s="530"/>
      <c r="VNT106" s="531"/>
      <c r="VNU106" s="530"/>
      <c r="VNV106" s="531"/>
      <c r="VNW106" s="530"/>
      <c r="VNX106" s="531"/>
      <c r="VNY106" s="530"/>
      <c r="VNZ106" s="531"/>
      <c r="VOA106" s="530"/>
      <c r="VOB106" s="531"/>
      <c r="VOC106" s="530"/>
      <c r="VOD106" s="531"/>
      <c r="VOE106" s="530"/>
      <c r="VOF106" s="531"/>
      <c r="VOG106" s="530"/>
      <c r="VOH106" s="531"/>
      <c r="VOI106" s="530"/>
      <c r="VOJ106" s="531"/>
      <c r="VOK106" s="530"/>
      <c r="VOL106" s="531"/>
      <c r="VOM106" s="530"/>
      <c r="VON106" s="531"/>
      <c r="VOO106" s="530"/>
      <c r="VOP106" s="531"/>
      <c r="VOQ106" s="530"/>
      <c r="VOR106" s="531"/>
      <c r="VOS106" s="530"/>
      <c r="VOT106" s="531"/>
      <c r="VOU106" s="530"/>
      <c r="VOV106" s="531"/>
      <c r="VOW106" s="530"/>
      <c r="VOX106" s="531"/>
      <c r="VOY106" s="530"/>
      <c r="VOZ106" s="531"/>
      <c r="VPA106" s="530"/>
      <c r="VPB106" s="531"/>
      <c r="VPC106" s="530"/>
      <c r="VPD106" s="531"/>
      <c r="VPE106" s="530"/>
      <c r="VPF106" s="531"/>
      <c r="VPG106" s="530"/>
      <c r="VPH106" s="531"/>
      <c r="VPI106" s="530"/>
      <c r="VPJ106" s="531"/>
      <c r="VPK106" s="530"/>
      <c r="VPL106" s="531"/>
      <c r="VPM106" s="530"/>
      <c r="VPN106" s="531"/>
      <c r="VPO106" s="530"/>
      <c r="VPP106" s="531"/>
      <c r="VPQ106" s="530"/>
      <c r="VPR106" s="531"/>
      <c r="VPS106" s="530"/>
      <c r="VPT106" s="531"/>
      <c r="VPU106" s="530"/>
      <c r="VPV106" s="531"/>
      <c r="VPW106" s="530"/>
      <c r="VPX106" s="531"/>
      <c r="VPY106" s="530"/>
      <c r="VPZ106" s="531"/>
      <c r="VQA106" s="530"/>
      <c r="VQB106" s="531"/>
      <c r="VQC106" s="530"/>
      <c r="VQD106" s="531"/>
      <c r="VQE106" s="530"/>
      <c r="VQF106" s="531"/>
      <c r="VQG106" s="530"/>
      <c r="VQH106" s="531"/>
      <c r="VQI106" s="530"/>
      <c r="VQJ106" s="531"/>
      <c r="VQK106" s="530"/>
      <c r="VQL106" s="531"/>
      <c r="VQM106" s="530"/>
      <c r="VQN106" s="531"/>
      <c r="VQO106" s="530"/>
      <c r="VQP106" s="531"/>
      <c r="VQQ106" s="530"/>
      <c r="VQR106" s="531"/>
      <c r="VQS106" s="530"/>
      <c r="VQT106" s="531"/>
      <c r="VQU106" s="530"/>
      <c r="VQV106" s="531"/>
      <c r="VQW106" s="530"/>
      <c r="VQX106" s="531"/>
      <c r="VQY106" s="530"/>
      <c r="VQZ106" s="531"/>
      <c r="VRA106" s="530"/>
      <c r="VRB106" s="531"/>
      <c r="VRC106" s="530"/>
      <c r="VRD106" s="531"/>
      <c r="VRE106" s="530"/>
      <c r="VRF106" s="531"/>
      <c r="VRG106" s="530"/>
      <c r="VRH106" s="531"/>
      <c r="VRI106" s="530"/>
      <c r="VRJ106" s="531"/>
      <c r="VRK106" s="530"/>
      <c r="VRL106" s="531"/>
      <c r="VRM106" s="530"/>
      <c r="VRN106" s="531"/>
      <c r="VRO106" s="530"/>
      <c r="VRP106" s="531"/>
      <c r="VRQ106" s="530"/>
      <c r="VRR106" s="531"/>
      <c r="VRS106" s="530"/>
      <c r="VRT106" s="531"/>
      <c r="VRU106" s="530"/>
      <c r="VRV106" s="531"/>
      <c r="VRW106" s="530"/>
      <c r="VRX106" s="531"/>
      <c r="VRY106" s="530"/>
      <c r="VRZ106" s="531"/>
      <c r="VSA106" s="530"/>
      <c r="VSB106" s="531"/>
      <c r="VSC106" s="530"/>
      <c r="VSD106" s="531"/>
      <c r="VSE106" s="530"/>
      <c r="VSF106" s="531"/>
      <c r="VSG106" s="530"/>
      <c r="VSH106" s="531"/>
      <c r="VSI106" s="530"/>
      <c r="VSJ106" s="531"/>
      <c r="VSK106" s="530"/>
      <c r="VSL106" s="531"/>
      <c r="VSM106" s="530"/>
      <c r="VSN106" s="531"/>
      <c r="VSO106" s="530"/>
      <c r="VSP106" s="531"/>
      <c r="VSQ106" s="530"/>
      <c r="VSR106" s="531"/>
      <c r="VSS106" s="530"/>
      <c r="VST106" s="531"/>
      <c r="VSU106" s="530"/>
      <c r="VSV106" s="531"/>
      <c r="VSW106" s="530"/>
      <c r="VSX106" s="531"/>
      <c r="VSY106" s="530"/>
      <c r="VSZ106" s="531"/>
      <c r="VTA106" s="530"/>
      <c r="VTB106" s="531"/>
      <c r="VTC106" s="530"/>
      <c r="VTD106" s="531"/>
      <c r="VTE106" s="530"/>
      <c r="VTF106" s="531"/>
      <c r="VTG106" s="530"/>
      <c r="VTH106" s="531"/>
      <c r="VTI106" s="530"/>
      <c r="VTJ106" s="531"/>
      <c r="VTK106" s="530"/>
      <c r="VTL106" s="531"/>
      <c r="VTM106" s="530"/>
      <c r="VTN106" s="531"/>
      <c r="VTO106" s="530"/>
      <c r="VTP106" s="531"/>
      <c r="VTQ106" s="530"/>
      <c r="VTR106" s="531"/>
      <c r="VTS106" s="530"/>
      <c r="VTT106" s="531"/>
      <c r="VTU106" s="530"/>
      <c r="VTV106" s="531"/>
      <c r="VTW106" s="530"/>
      <c r="VTX106" s="531"/>
      <c r="VTY106" s="530"/>
      <c r="VTZ106" s="531"/>
      <c r="VUA106" s="530"/>
      <c r="VUB106" s="531"/>
      <c r="VUC106" s="530"/>
      <c r="VUD106" s="531"/>
      <c r="VUE106" s="530"/>
      <c r="VUF106" s="531"/>
      <c r="VUG106" s="530"/>
      <c r="VUH106" s="531"/>
      <c r="VUI106" s="530"/>
      <c r="VUJ106" s="531"/>
      <c r="VUK106" s="530"/>
      <c r="VUL106" s="531"/>
      <c r="VUM106" s="530"/>
      <c r="VUN106" s="531"/>
      <c r="VUO106" s="530"/>
      <c r="VUP106" s="531"/>
      <c r="VUQ106" s="530"/>
      <c r="VUR106" s="531"/>
      <c r="VUS106" s="530"/>
      <c r="VUT106" s="531"/>
      <c r="VUU106" s="530"/>
      <c r="VUV106" s="531"/>
      <c r="VUW106" s="530"/>
      <c r="VUX106" s="531"/>
      <c r="VUY106" s="530"/>
      <c r="VUZ106" s="531"/>
      <c r="VVA106" s="530"/>
      <c r="VVB106" s="531"/>
      <c r="VVC106" s="530"/>
      <c r="VVD106" s="531"/>
      <c r="VVE106" s="530"/>
      <c r="VVF106" s="531"/>
      <c r="VVG106" s="530"/>
      <c r="VVH106" s="531"/>
      <c r="VVI106" s="530"/>
      <c r="VVJ106" s="531"/>
      <c r="VVK106" s="530"/>
      <c r="VVL106" s="531"/>
      <c r="VVM106" s="530"/>
      <c r="VVN106" s="531"/>
      <c r="VVO106" s="530"/>
      <c r="VVP106" s="531"/>
      <c r="VVQ106" s="530"/>
      <c r="VVR106" s="531"/>
      <c r="VVS106" s="530"/>
      <c r="VVT106" s="531"/>
      <c r="VVU106" s="530"/>
      <c r="VVV106" s="531"/>
      <c r="VVW106" s="530"/>
      <c r="VVX106" s="531"/>
      <c r="VVY106" s="530"/>
      <c r="VVZ106" s="531"/>
      <c r="VWA106" s="530"/>
      <c r="VWB106" s="531"/>
      <c r="VWC106" s="530"/>
      <c r="VWD106" s="531"/>
      <c r="VWE106" s="530"/>
      <c r="VWF106" s="531"/>
      <c r="VWG106" s="530"/>
      <c r="VWH106" s="531"/>
      <c r="VWI106" s="530"/>
      <c r="VWJ106" s="531"/>
      <c r="VWK106" s="530"/>
      <c r="VWL106" s="531"/>
      <c r="VWM106" s="530"/>
      <c r="VWN106" s="531"/>
      <c r="VWO106" s="530"/>
      <c r="VWP106" s="531"/>
      <c r="VWQ106" s="530"/>
      <c r="VWR106" s="531"/>
      <c r="VWS106" s="530"/>
      <c r="VWT106" s="531"/>
      <c r="VWU106" s="530"/>
      <c r="VWV106" s="531"/>
      <c r="VWW106" s="530"/>
      <c r="VWX106" s="531"/>
      <c r="VWY106" s="530"/>
      <c r="VWZ106" s="531"/>
      <c r="VXA106" s="530"/>
      <c r="VXB106" s="531"/>
      <c r="VXC106" s="530"/>
      <c r="VXD106" s="531"/>
      <c r="VXE106" s="530"/>
      <c r="VXF106" s="531"/>
      <c r="VXG106" s="530"/>
      <c r="VXH106" s="531"/>
      <c r="VXI106" s="530"/>
      <c r="VXJ106" s="531"/>
      <c r="VXK106" s="530"/>
      <c r="VXL106" s="531"/>
      <c r="VXM106" s="530"/>
      <c r="VXN106" s="531"/>
      <c r="VXO106" s="530"/>
      <c r="VXP106" s="531"/>
      <c r="VXQ106" s="530"/>
      <c r="VXR106" s="531"/>
      <c r="VXS106" s="530"/>
      <c r="VXT106" s="531"/>
      <c r="VXU106" s="530"/>
      <c r="VXV106" s="531"/>
      <c r="VXW106" s="530"/>
      <c r="VXX106" s="531"/>
      <c r="VXY106" s="530"/>
      <c r="VXZ106" s="531"/>
      <c r="VYA106" s="530"/>
      <c r="VYB106" s="531"/>
      <c r="VYC106" s="530"/>
      <c r="VYD106" s="531"/>
      <c r="VYE106" s="530"/>
      <c r="VYF106" s="531"/>
      <c r="VYG106" s="530"/>
      <c r="VYH106" s="531"/>
      <c r="VYI106" s="530"/>
      <c r="VYJ106" s="531"/>
      <c r="VYK106" s="530"/>
      <c r="VYL106" s="531"/>
      <c r="VYM106" s="530"/>
      <c r="VYN106" s="531"/>
      <c r="VYO106" s="530"/>
      <c r="VYP106" s="531"/>
      <c r="VYQ106" s="530"/>
      <c r="VYR106" s="531"/>
      <c r="VYS106" s="530"/>
      <c r="VYT106" s="531"/>
      <c r="VYU106" s="530"/>
      <c r="VYV106" s="531"/>
      <c r="VYW106" s="530"/>
      <c r="VYX106" s="531"/>
      <c r="VYY106" s="530"/>
      <c r="VYZ106" s="531"/>
      <c r="VZA106" s="530"/>
      <c r="VZB106" s="531"/>
      <c r="VZC106" s="530"/>
      <c r="VZD106" s="531"/>
      <c r="VZE106" s="530"/>
      <c r="VZF106" s="531"/>
      <c r="VZG106" s="530"/>
      <c r="VZH106" s="531"/>
      <c r="VZI106" s="530"/>
      <c r="VZJ106" s="531"/>
      <c r="VZK106" s="530"/>
      <c r="VZL106" s="531"/>
      <c r="VZM106" s="530"/>
      <c r="VZN106" s="531"/>
      <c r="VZO106" s="530"/>
      <c r="VZP106" s="531"/>
      <c r="VZQ106" s="530"/>
      <c r="VZR106" s="531"/>
      <c r="VZS106" s="530"/>
      <c r="VZT106" s="531"/>
      <c r="VZU106" s="530"/>
      <c r="VZV106" s="531"/>
      <c r="VZW106" s="530"/>
      <c r="VZX106" s="531"/>
      <c r="VZY106" s="530"/>
      <c r="VZZ106" s="531"/>
      <c r="WAA106" s="530"/>
      <c r="WAB106" s="531"/>
      <c r="WAC106" s="530"/>
      <c r="WAD106" s="531"/>
      <c r="WAE106" s="530"/>
      <c r="WAF106" s="531"/>
      <c r="WAG106" s="530"/>
      <c r="WAH106" s="531"/>
      <c r="WAI106" s="530"/>
      <c r="WAJ106" s="531"/>
      <c r="WAK106" s="530"/>
      <c r="WAL106" s="531"/>
      <c r="WAM106" s="530"/>
      <c r="WAN106" s="531"/>
      <c r="WAO106" s="530"/>
      <c r="WAP106" s="531"/>
      <c r="WAQ106" s="530"/>
      <c r="WAR106" s="531"/>
      <c r="WAS106" s="530"/>
      <c r="WAT106" s="531"/>
      <c r="WAU106" s="530"/>
      <c r="WAV106" s="531"/>
      <c r="WAW106" s="530"/>
      <c r="WAX106" s="531"/>
      <c r="WAY106" s="530"/>
      <c r="WAZ106" s="531"/>
      <c r="WBA106" s="530"/>
      <c r="WBB106" s="531"/>
      <c r="WBC106" s="530"/>
      <c r="WBD106" s="531"/>
      <c r="WBE106" s="530"/>
      <c r="WBF106" s="531"/>
      <c r="WBG106" s="530"/>
      <c r="WBH106" s="531"/>
      <c r="WBI106" s="530"/>
      <c r="WBJ106" s="531"/>
      <c r="WBK106" s="530"/>
      <c r="WBL106" s="531"/>
      <c r="WBM106" s="530"/>
      <c r="WBN106" s="531"/>
      <c r="WBO106" s="530"/>
      <c r="WBP106" s="531"/>
      <c r="WBQ106" s="530"/>
      <c r="WBR106" s="531"/>
      <c r="WBS106" s="530"/>
      <c r="WBT106" s="531"/>
      <c r="WBU106" s="530"/>
      <c r="WBV106" s="531"/>
      <c r="WBW106" s="530"/>
      <c r="WBX106" s="531"/>
      <c r="WBY106" s="530"/>
      <c r="WBZ106" s="531"/>
      <c r="WCA106" s="530"/>
      <c r="WCB106" s="531"/>
      <c r="WCC106" s="530"/>
      <c r="WCD106" s="531"/>
      <c r="WCE106" s="530"/>
      <c r="WCF106" s="531"/>
      <c r="WCG106" s="530"/>
      <c r="WCH106" s="531"/>
      <c r="WCI106" s="530"/>
      <c r="WCJ106" s="531"/>
      <c r="WCK106" s="530"/>
      <c r="WCL106" s="531"/>
      <c r="WCM106" s="530"/>
      <c r="WCN106" s="531"/>
      <c r="WCO106" s="530"/>
      <c r="WCP106" s="531"/>
      <c r="WCQ106" s="530"/>
      <c r="WCR106" s="531"/>
      <c r="WCS106" s="530"/>
      <c r="WCT106" s="531"/>
      <c r="WCU106" s="530"/>
      <c r="WCV106" s="531"/>
      <c r="WCW106" s="530"/>
      <c r="WCX106" s="531"/>
      <c r="WCY106" s="530"/>
      <c r="WCZ106" s="531"/>
      <c r="WDA106" s="530"/>
      <c r="WDB106" s="531"/>
      <c r="WDC106" s="530"/>
      <c r="WDD106" s="531"/>
      <c r="WDE106" s="530"/>
      <c r="WDF106" s="531"/>
      <c r="WDG106" s="530"/>
      <c r="WDH106" s="531"/>
      <c r="WDI106" s="530"/>
      <c r="WDJ106" s="531"/>
      <c r="WDK106" s="530"/>
      <c r="WDL106" s="531"/>
      <c r="WDM106" s="530"/>
      <c r="WDN106" s="531"/>
      <c r="WDO106" s="530"/>
      <c r="WDP106" s="531"/>
      <c r="WDQ106" s="530"/>
      <c r="WDR106" s="531"/>
      <c r="WDS106" s="530"/>
      <c r="WDT106" s="531"/>
      <c r="WDU106" s="530"/>
      <c r="WDV106" s="531"/>
      <c r="WDW106" s="530"/>
      <c r="WDX106" s="531"/>
      <c r="WDY106" s="530"/>
      <c r="WDZ106" s="531"/>
      <c r="WEA106" s="530"/>
      <c r="WEB106" s="531"/>
      <c r="WEC106" s="530"/>
      <c r="WED106" s="531"/>
      <c r="WEE106" s="530"/>
      <c r="WEF106" s="531"/>
      <c r="WEG106" s="530"/>
      <c r="WEH106" s="531"/>
      <c r="WEI106" s="530"/>
      <c r="WEJ106" s="531"/>
      <c r="WEK106" s="530"/>
      <c r="WEL106" s="531"/>
      <c r="WEM106" s="530"/>
      <c r="WEN106" s="531"/>
      <c r="WEO106" s="530"/>
      <c r="WEP106" s="531"/>
      <c r="WEQ106" s="530"/>
      <c r="WER106" s="531"/>
      <c r="WES106" s="530"/>
      <c r="WET106" s="531"/>
      <c r="WEU106" s="530"/>
      <c r="WEV106" s="531"/>
      <c r="WEW106" s="530"/>
      <c r="WEX106" s="531"/>
      <c r="WEY106" s="530"/>
      <c r="WEZ106" s="531"/>
      <c r="WFA106" s="530"/>
      <c r="WFB106" s="531"/>
      <c r="WFC106" s="530"/>
      <c r="WFD106" s="531"/>
      <c r="WFE106" s="530"/>
      <c r="WFF106" s="531"/>
      <c r="WFG106" s="530"/>
      <c r="WFH106" s="531"/>
      <c r="WFI106" s="530"/>
      <c r="WFJ106" s="531"/>
      <c r="WFK106" s="530"/>
      <c r="WFL106" s="531"/>
      <c r="WFM106" s="530"/>
      <c r="WFN106" s="531"/>
      <c r="WFO106" s="530"/>
      <c r="WFP106" s="531"/>
      <c r="WFQ106" s="530"/>
      <c r="WFR106" s="531"/>
      <c r="WFS106" s="530"/>
      <c r="WFT106" s="531"/>
      <c r="WFU106" s="530"/>
      <c r="WFV106" s="531"/>
      <c r="WFW106" s="530"/>
      <c r="WFX106" s="531"/>
      <c r="WFY106" s="530"/>
      <c r="WFZ106" s="531"/>
      <c r="WGA106" s="530"/>
      <c r="WGB106" s="531"/>
      <c r="WGC106" s="530"/>
      <c r="WGD106" s="531"/>
      <c r="WGE106" s="530"/>
      <c r="WGF106" s="531"/>
      <c r="WGG106" s="530"/>
      <c r="WGH106" s="531"/>
      <c r="WGI106" s="530"/>
      <c r="WGJ106" s="531"/>
      <c r="WGK106" s="530"/>
      <c r="WGL106" s="531"/>
      <c r="WGM106" s="530"/>
      <c r="WGN106" s="531"/>
      <c r="WGO106" s="530"/>
      <c r="WGP106" s="531"/>
      <c r="WGQ106" s="530"/>
      <c r="WGR106" s="531"/>
      <c r="WGS106" s="530"/>
      <c r="WGT106" s="531"/>
      <c r="WGU106" s="530"/>
      <c r="WGV106" s="531"/>
      <c r="WGW106" s="530"/>
      <c r="WGX106" s="531"/>
      <c r="WGY106" s="530"/>
      <c r="WGZ106" s="531"/>
      <c r="WHA106" s="530"/>
      <c r="WHB106" s="531"/>
      <c r="WHC106" s="530"/>
      <c r="WHD106" s="531"/>
      <c r="WHE106" s="530"/>
      <c r="WHF106" s="531"/>
      <c r="WHG106" s="530"/>
      <c r="WHH106" s="531"/>
      <c r="WHI106" s="530"/>
      <c r="WHJ106" s="531"/>
      <c r="WHK106" s="530"/>
      <c r="WHL106" s="531"/>
      <c r="WHM106" s="530"/>
      <c r="WHN106" s="531"/>
      <c r="WHO106" s="530"/>
      <c r="WHP106" s="531"/>
      <c r="WHQ106" s="530"/>
      <c r="WHR106" s="531"/>
      <c r="WHS106" s="530"/>
      <c r="WHT106" s="531"/>
      <c r="WHU106" s="530"/>
      <c r="WHV106" s="531"/>
      <c r="WHW106" s="530"/>
      <c r="WHX106" s="531"/>
      <c r="WHY106" s="530"/>
      <c r="WHZ106" s="531"/>
      <c r="WIA106" s="530"/>
      <c r="WIB106" s="531"/>
      <c r="WIC106" s="530"/>
      <c r="WID106" s="531"/>
      <c r="WIE106" s="530"/>
      <c r="WIF106" s="531"/>
      <c r="WIG106" s="530"/>
      <c r="WIH106" s="531"/>
      <c r="WII106" s="530"/>
      <c r="WIJ106" s="531"/>
      <c r="WIK106" s="530"/>
      <c r="WIL106" s="531"/>
      <c r="WIM106" s="530"/>
      <c r="WIN106" s="531"/>
      <c r="WIO106" s="530"/>
      <c r="WIP106" s="531"/>
      <c r="WIQ106" s="530"/>
      <c r="WIR106" s="531"/>
      <c r="WIS106" s="530"/>
      <c r="WIT106" s="531"/>
      <c r="WIU106" s="530"/>
      <c r="WIV106" s="531"/>
      <c r="WIW106" s="530"/>
      <c r="WIX106" s="531"/>
      <c r="WIY106" s="530"/>
      <c r="WIZ106" s="531"/>
      <c r="WJA106" s="530"/>
      <c r="WJB106" s="531"/>
      <c r="WJC106" s="530"/>
      <c r="WJD106" s="531"/>
      <c r="WJE106" s="530"/>
      <c r="WJF106" s="531"/>
      <c r="WJG106" s="530"/>
      <c r="WJH106" s="531"/>
      <c r="WJI106" s="530"/>
      <c r="WJJ106" s="531"/>
      <c r="WJK106" s="530"/>
      <c r="WJL106" s="531"/>
      <c r="WJM106" s="530"/>
      <c r="WJN106" s="531"/>
      <c r="WJO106" s="530"/>
      <c r="WJP106" s="531"/>
      <c r="WJQ106" s="530"/>
      <c r="WJR106" s="531"/>
      <c r="WJS106" s="530"/>
      <c r="WJT106" s="531"/>
      <c r="WJU106" s="530"/>
      <c r="WJV106" s="531"/>
      <c r="WJW106" s="530"/>
      <c r="WJX106" s="531"/>
      <c r="WJY106" s="530"/>
      <c r="WJZ106" s="531"/>
      <c r="WKA106" s="530"/>
      <c r="WKB106" s="531"/>
      <c r="WKC106" s="530"/>
      <c r="WKD106" s="531"/>
      <c r="WKE106" s="530"/>
      <c r="WKF106" s="531"/>
      <c r="WKG106" s="530"/>
      <c r="WKH106" s="531"/>
      <c r="WKI106" s="530"/>
      <c r="WKJ106" s="531"/>
      <c r="WKK106" s="530"/>
      <c r="WKL106" s="531"/>
      <c r="WKM106" s="530"/>
      <c r="WKN106" s="531"/>
      <c r="WKO106" s="530"/>
      <c r="WKP106" s="531"/>
      <c r="WKQ106" s="530"/>
      <c r="WKR106" s="531"/>
      <c r="WKS106" s="530"/>
      <c r="WKT106" s="531"/>
      <c r="WKU106" s="530"/>
      <c r="WKV106" s="531"/>
      <c r="WKW106" s="530"/>
      <c r="WKX106" s="531"/>
      <c r="WKY106" s="530"/>
      <c r="WKZ106" s="531"/>
      <c r="WLA106" s="530"/>
      <c r="WLB106" s="531"/>
      <c r="WLC106" s="530"/>
      <c r="WLD106" s="531"/>
      <c r="WLE106" s="530"/>
      <c r="WLF106" s="531"/>
      <c r="WLG106" s="530"/>
      <c r="WLH106" s="531"/>
      <c r="WLI106" s="530"/>
      <c r="WLJ106" s="531"/>
      <c r="WLK106" s="530"/>
      <c r="WLL106" s="531"/>
      <c r="WLM106" s="530"/>
      <c r="WLN106" s="531"/>
      <c r="WLO106" s="530"/>
      <c r="WLP106" s="531"/>
      <c r="WLQ106" s="530"/>
      <c r="WLR106" s="531"/>
      <c r="WLS106" s="530"/>
      <c r="WLT106" s="531"/>
      <c r="WLU106" s="530"/>
      <c r="WLV106" s="531"/>
      <c r="WLW106" s="530"/>
      <c r="WLX106" s="531"/>
      <c r="WLY106" s="530"/>
      <c r="WLZ106" s="531"/>
      <c r="WMA106" s="530"/>
      <c r="WMB106" s="531"/>
      <c r="WMC106" s="530"/>
      <c r="WMD106" s="531"/>
      <c r="WME106" s="530"/>
      <c r="WMF106" s="531"/>
      <c r="WMG106" s="530"/>
      <c r="WMH106" s="531"/>
      <c r="WMI106" s="530"/>
      <c r="WMJ106" s="531"/>
      <c r="WMK106" s="530"/>
      <c r="WML106" s="531"/>
      <c r="WMM106" s="530"/>
      <c r="WMN106" s="531"/>
      <c r="WMO106" s="530"/>
      <c r="WMP106" s="531"/>
      <c r="WMQ106" s="530"/>
      <c r="WMR106" s="531"/>
      <c r="WMS106" s="530"/>
      <c r="WMT106" s="531"/>
      <c r="WMU106" s="530"/>
      <c r="WMV106" s="531"/>
      <c r="WMW106" s="530"/>
      <c r="WMX106" s="531"/>
      <c r="WMY106" s="530"/>
      <c r="WMZ106" s="531"/>
      <c r="WNA106" s="530"/>
      <c r="WNB106" s="531"/>
      <c r="WNC106" s="530"/>
      <c r="WND106" s="531"/>
      <c r="WNE106" s="530"/>
      <c r="WNF106" s="531"/>
      <c r="WNG106" s="530"/>
      <c r="WNH106" s="531"/>
      <c r="WNI106" s="530"/>
      <c r="WNJ106" s="531"/>
      <c r="WNK106" s="530"/>
      <c r="WNL106" s="531"/>
      <c r="WNM106" s="530"/>
      <c r="WNN106" s="531"/>
      <c r="WNO106" s="530"/>
      <c r="WNP106" s="531"/>
      <c r="WNQ106" s="530"/>
      <c r="WNR106" s="531"/>
      <c r="WNS106" s="530"/>
      <c r="WNT106" s="531"/>
      <c r="WNU106" s="530"/>
      <c r="WNV106" s="531"/>
      <c r="WNW106" s="530"/>
      <c r="WNX106" s="531"/>
      <c r="WNY106" s="530"/>
      <c r="WNZ106" s="531"/>
      <c r="WOA106" s="530"/>
      <c r="WOB106" s="531"/>
      <c r="WOC106" s="530"/>
      <c r="WOD106" s="531"/>
      <c r="WOE106" s="530"/>
      <c r="WOF106" s="531"/>
      <c r="WOG106" s="530"/>
      <c r="WOH106" s="531"/>
      <c r="WOI106" s="530"/>
      <c r="WOJ106" s="531"/>
      <c r="WOK106" s="530"/>
      <c r="WOL106" s="531"/>
      <c r="WOM106" s="530"/>
      <c r="WON106" s="531"/>
      <c r="WOO106" s="530"/>
      <c r="WOP106" s="531"/>
      <c r="WOQ106" s="530"/>
      <c r="WOR106" s="531"/>
      <c r="WOS106" s="530"/>
      <c r="WOT106" s="531"/>
      <c r="WOU106" s="530"/>
      <c r="WOV106" s="531"/>
      <c r="WOW106" s="530"/>
      <c r="WOX106" s="531"/>
      <c r="WOY106" s="530"/>
      <c r="WOZ106" s="531"/>
      <c r="WPA106" s="530"/>
      <c r="WPB106" s="531"/>
      <c r="WPC106" s="530"/>
      <c r="WPD106" s="531"/>
      <c r="WPE106" s="530"/>
      <c r="WPF106" s="531"/>
      <c r="WPG106" s="530"/>
      <c r="WPH106" s="531"/>
      <c r="WPI106" s="530"/>
      <c r="WPJ106" s="531"/>
      <c r="WPK106" s="530"/>
      <c r="WPL106" s="531"/>
      <c r="WPM106" s="530"/>
      <c r="WPN106" s="531"/>
      <c r="WPO106" s="530"/>
      <c r="WPP106" s="531"/>
      <c r="WPQ106" s="530"/>
      <c r="WPR106" s="531"/>
      <c r="WPS106" s="530"/>
      <c r="WPT106" s="531"/>
      <c r="WPU106" s="530"/>
      <c r="WPV106" s="531"/>
      <c r="WPW106" s="530"/>
      <c r="WPX106" s="531"/>
      <c r="WPY106" s="530"/>
      <c r="WPZ106" s="531"/>
      <c r="WQA106" s="530"/>
      <c r="WQB106" s="531"/>
      <c r="WQC106" s="530"/>
      <c r="WQD106" s="531"/>
      <c r="WQE106" s="530"/>
      <c r="WQF106" s="531"/>
      <c r="WQG106" s="530"/>
      <c r="WQH106" s="531"/>
      <c r="WQI106" s="530"/>
      <c r="WQJ106" s="531"/>
      <c r="WQK106" s="530"/>
      <c r="WQL106" s="531"/>
      <c r="WQM106" s="530"/>
      <c r="WQN106" s="531"/>
      <c r="WQO106" s="530"/>
      <c r="WQP106" s="531"/>
      <c r="WQQ106" s="530"/>
      <c r="WQR106" s="531"/>
      <c r="WQS106" s="530"/>
      <c r="WQT106" s="531"/>
      <c r="WQU106" s="530"/>
      <c r="WQV106" s="531"/>
      <c r="WQW106" s="530"/>
      <c r="WQX106" s="531"/>
      <c r="WQY106" s="530"/>
      <c r="WQZ106" s="531"/>
      <c r="WRA106" s="530"/>
      <c r="WRB106" s="531"/>
      <c r="WRC106" s="530"/>
      <c r="WRD106" s="531"/>
      <c r="WRE106" s="530"/>
      <c r="WRF106" s="531"/>
      <c r="WRG106" s="530"/>
      <c r="WRH106" s="531"/>
      <c r="WRI106" s="530"/>
      <c r="WRJ106" s="531"/>
      <c r="WRK106" s="530"/>
      <c r="WRL106" s="531"/>
      <c r="WRM106" s="530"/>
      <c r="WRN106" s="531"/>
      <c r="WRO106" s="530"/>
      <c r="WRP106" s="531"/>
      <c r="WRQ106" s="530"/>
      <c r="WRR106" s="531"/>
      <c r="WRS106" s="530"/>
      <c r="WRT106" s="531"/>
      <c r="WRU106" s="530"/>
      <c r="WRV106" s="531"/>
      <c r="WRW106" s="530"/>
      <c r="WRX106" s="531"/>
      <c r="WRY106" s="530"/>
      <c r="WRZ106" s="531"/>
      <c r="WSA106" s="530"/>
      <c r="WSB106" s="531"/>
      <c r="WSC106" s="530"/>
      <c r="WSD106" s="531"/>
      <c r="WSE106" s="530"/>
      <c r="WSF106" s="531"/>
      <c r="WSG106" s="530"/>
      <c r="WSH106" s="531"/>
      <c r="WSI106" s="530"/>
      <c r="WSJ106" s="531"/>
      <c r="WSK106" s="530"/>
      <c r="WSL106" s="531"/>
      <c r="WSM106" s="530"/>
      <c r="WSN106" s="531"/>
      <c r="WSO106" s="530"/>
      <c r="WSP106" s="531"/>
      <c r="WSQ106" s="530"/>
      <c r="WSR106" s="531"/>
      <c r="WSS106" s="530"/>
      <c r="WST106" s="531"/>
      <c r="WSU106" s="530"/>
      <c r="WSV106" s="531"/>
      <c r="WSW106" s="530"/>
      <c r="WSX106" s="531"/>
      <c r="WSY106" s="530"/>
      <c r="WSZ106" s="531"/>
      <c r="WTA106" s="530"/>
      <c r="WTB106" s="531"/>
      <c r="WTC106" s="530"/>
      <c r="WTD106" s="531"/>
      <c r="WTE106" s="530"/>
      <c r="WTF106" s="531"/>
      <c r="WTG106" s="530"/>
      <c r="WTH106" s="531"/>
      <c r="WTI106" s="530"/>
      <c r="WTJ106" s="531"/>
      <c r="WTK106" s="530"/>
      <c r="WTL106" s="531"/>
      <c r="WTM106" s="530"/>
      <c r="WTN106" s="531"/>
      <c r="WTO106" s="530"/>
      <c r="WTP106" s="531"/>
      <c r="WTQ106" s="530"/>
      <c r="WTR106" s="531"/>
      <c r="WTS106" s="530"/>
      <c r="WTT106" s="531"/>
      <c r="WTU106" s="530"/>
      <c r="WTV106" s="531"/>
      <c r="WTW106" s="530"/>
      <c r="WTX106" s="531"/>
      <c r="WTY106" s="530"/>
      <c r="WTZ106" s="531"/>
      <c r="WUA106" s="530"/>
      <c r="WUB106" s="531"/>
      <c r="WUC106" s="530"/>
      <c r="WUD106" s="531"/>
      <c r="WUE106" s="530"/>
      <c r="WUF106" s="531"/>
      <c r="WUG106" s="530"/>
      <c r="WUH106" s="531"/>
      <c r="WUI106" s="530"/>
      <c r="WUJ106" s="531"/>
      <c r="WUK106" s="530"/>
      <c r="WUL106" s="531"/>
      <c r="WUM106" s="530"/>
      <c r="WUN106" s="531"/>
      <c r="WUO106" s="530"/>
      <c r="WUP106" s="531"/>
      <c r="WUQ106" s="530"/>
      <c r="WUR106" s="531"/>
      <c r="WUS106" s="530"/>
      <c r="WUT106" s="531"/>
      <c r="WUU106" s="530"/>
      <c r="WUV106" s="531"/>
      <c r="WUW106" s="530"/>
      <c r="WUX106" s="531"/>
      <c r="WUY106" s="530"/>
      <c r="WUZ106" s="531"/>
      <c r="WVA106" s="530"/>
      <c r="WVB106" s="531"/>
      <c r="WVC106" s="530"/>
      <c r="WVD106" s="531"/>
      <c r="WVE106" s="530"/>
      <c r="WVF106" s="531"/>
      <c r="WVG106" s="530"/>
      <c r="WVH106" s="531"/>
      <c r="WVI106" s="530"/>
      <c r="WVJ106" s="531"/>
      <c r="WVK106" s="530"/>
      <c r="WVL106" s="531"/>
      <c r="WVM106" s="530"/>
      <c r="WVN106" s="531"/>
      <c r="WVO106" s="530"/>
      <c r="WVP106" s="531"/>
      <c r="WVQ106" s="530"/>
      <c r="WVR106" s="531"/>
      <c r="WVS106" s="530"/>
      <c r="WVT106" s="531"/>
      <c r="WVU106" s="530"/>
      <c r="WVV106" s="531"/>
      <c r="WVW106" s="530"/>
      <c r="WVX106" s="531"/>
      <c r="WVY106" s="530"/>
      <c r="WVZ106" s="531"/>
      <c r="WWA106" s="530"/>
      <c r="WWB106" s="531"/>
      <c r="WWC106" s="530"/>
      <c r="WWD106" s="531"/>
      <c r="WWE106" s="530"/>
      <c r="WWF106" s="531"/>
      <c r="WWG106" s="530"/>
      <c r="WWH106" s="531"/>
      <c r="WWI106" s="530"/>
      <c r="WWJ106" s="531"/>
      <c r="WWK106" s="530"/>
      <c r="WWL106" s="531"/>
      <c r="WWM106" s="530"/>
      <c r="WWN106" s="531"/>
      <c r="WWO106" s="530"/>
      <c r="WWP106" s="531"/>
      <c r="WWQ106" s="530"/>
      <c r="WWR106" s="531"/>
      <c r="WWS106" s="530"/>
      <c r="WWT106" s="531"/>
      <c r="WWU106" s="530"/>
      <c r="WWV106" s="531"/>
      <c r="WWW106" s="530"/>
      <c r="WWX106" s="531"/>
      <c r="WWY106" s="530"/>
      <c r="WWZ106" s="531"/>
      <c r="WXA106" s="530"/>
      <c r="WXB106" s="531"/>
      <c r="WXC106" s="530"/>
      <c r="WXD106" s="531"/>
      <c r="WXE106" s="530"/>
      <c r="WXF106" s="531"/>
      <c r="WXG106" s="530"/>
      <c r="WXH106" s="531"/>
      <c r="WXI106" s="530"/>
      <c r="WXJ106" s="531"/>
      <c r="WXK106" s="530"/>
      <c r="WXL106" s="531"/>
      <c r="WXM106" s="530"/>
      <c r="WXN106" s="531"/>
      <c r="WXO106" s="530"/>
      <c r="WXP106" s="531"/>
      <c r="WXQ106" s="530"/>
      <c r="WXR106" s="531"/>
      <c r="WXS106" s="530"/>
      <c r="WXT106" s="531"/>
      <c r="WXU106" s="530"/>
      <c r="WXV106" s="531"/>
      <c r="WXW106" s="530"/>
      <c r="WXX106" s="531"/>
      <c r="WXY106" s="530"/>
      <c r="WXZ106" s="531"/>
      <c r="WYA106" s="530"/>
      <c r="WYB106" s="531"/>
      <c r="WYC106" s="530"/>
      <c r="WYD106" s="531"/>
      <c r="WYE106" s="530"/>
      <c r="WYF106" s="531"/>
      <c r="WYG106" s="530"/>
      <c r="WYH106" s="531"/>
      <c r="WYI106" s="530"/>
      <c r="WYJ106" s="531"/>
      <c r="WYK106" s="530"/>
      <c r="WYL106" s="531"/>
      <c r="WYM106" s="530"/>
      <c r="WYN106" s="531"/>
      <c r="WYO106" s="530"/>
      <c r="WYP106" s="531"/>
      <c r="WYQ106" s="530"/>
      <c r="WYR106" s="531"/>
      <c r="WYS106" s="530"/>
      <c r="WYT106" s="531"/>
      <c r="WYU106" s="530"/>
      <c r="WYV106" s="531"/>
      <c r="WYW106" s="530"/>
      <c r="WYX106" s="531"/>
      <c r="WYY106" s="530"/>
      <c r="WYZ106" s="531"/>
      <c r="WZA106" s="530"/>
      <c r="WZB106" s="531"/>
      <c r="WZC106" s="530"/>
      <c r="WZD106" s="531"/>
      <c r="WZE106" s="530"/>
      <c r="WZF106" s="531"/>
      <c r="WZG106" s="530"/>
      <c r="WZH106" s="531"/>
      <c r="WZI106" s="530"/>
      <c r="WZJ106" s="531"/>
      <c r="WZK106" s="530"/>
      <c r="WZL106" s="531"/>
      <c r="WZM106" s="530"/>
      <c r="WZN106" s="531"/>
      <c r="WZO106" s="530"/>
      <c r="WZP106" s="531"/>
      <c r="WZQ106" s="530"/>
      <c r="WZR106" s="531"/>
      <c r="WZS106" s="530"/>
      <c r="WZT106" s="531"/>
      <c r="WZU106" s="530"/>
      <c r="WZV106" s="531"/>
      <c r="WZW106" s="530"/>
      <c r="WZX106" s="531"/>
      <c r="WZY106" s="530"/>
      <c r="WZZ106" s="531"/>
      <c r="XAA106" s="530"/>
      <c r="XAB106" s="531"/>
      <c r="XAC106" s="530"/>
      <c r="XAD106" s="531"/>
      <c r="XAE106" s="530"/>
      <c r="XAF106" s="531"/>
      <c r="XAG106" s="530"/>
      <c r="XAH106" s="531"/>
      <c r="XAI106" s="530"/>
      <c r="XAJ106" s="531"/>
      <c r="XAK106" s="530"/>
      <c r="XAL106" s="531"/>
      <c r="XAM106" s="530"/>
      <c r="XAN106" s="531"/>
      <c r="XAO106" s="530"/>
      <c r="XAP106" s="531"/>
      <c r="XAQ106" s="530"/>
      <c r="XAR106" s="531"/>
      <c r="XAS106" s="530"/>
      <c r="XAT106" s="531"/>
      <c r="XAU106" s="530"/>
      <c r="XAV106" s="531"/>
      <c r="XAW106" s="530"/>
      <c r="XAX106" s="531"/>
      <c r="XAY106" s="530"/>
      <c r="XAZ106" s="531"/>
      <c r="XBA106" s="530"/>
      <c r="XBB106" s="531"/>
      <c r="XBC106" s="530"/>
      <c r="XBD106" s="531"/>
      <c r="XBE106" s="530"/>
      <c r="XBF106" s="531"/>
      <c r="XBG106" s="530"/>
      <c r="XBH106" s="531"/>
      <c r="XBI106" s="530"/>
      <c r="XBJ106" s="531"/>
      <c r="XBK106" s="530"/>
      <c r="XBL106" s="531"/>
      <c r="XBM106" s="530"/>
      <c r="XBN106" s="531"/>
      <c r="XBO106" s="530"/>
      <c r="XBP106" s="531"/>
      <c r="XBQ106" s="530"/>
      <c r="XBR106" s="531"/>
      <c r="XBS106" s="530"/>
      <c r="XBT106" s="531"/>
      <c r="XBU106" s="530"/>
      <c r="XBV106" s="531"/>
      <c r="XBW106" s="530"/>
      <c r="XBX106" s="531"/>
      <c r="XBY106" s="530"/>
      <c r="XBZ106" s="531"/>
      <c r="XCA106" s="530"/>
      <c r="XCB106" s="531"/>
      <c r="XCC106" s="530"/>
      <c r="XCD106" s="531"/>
      <c r="XCE106" s="530"/>
      <c r="XCF106" s="531"/>
      <c r="XCG106" s="530"/>
      <c r="XCH106" s="531"/>
      <c r="XCI106" s="530"/>
      <c r="XCJ106" s="531"/>
      <c r="XCK106" s="530"/>
      <c r="XCL106" s="531"/>
      <c r="XCM106" s="530"/>
      <c r="XCN106" s="531"/>
      <c r="XCO106" s="530"/>
      <c r="XCP106" s="531"/>
      <c r="XCQ106" s="530"/>
      <c r="XCR106" s="531"/>
      <c r="XCS106" s="530"/>
      <c r="XCT106" s="531"/>
      <c r="XCU106" s="530"/>
      <c r="XCV106" s="531"/>
      <c r="XCW106" s="530"/>
      <c r="XCX106" s="531"/>
      <c r="XCY106" s="530"/>
      <c r="XCZ106" s="531"/>
      <c r="XDA106" s="530"/>
      <c r="XDB106" s="531"/>
      <c r="XDC106" s="530"/>
      <c r="XDD106" s="531"/>
      <c r="XDE106" s="530"/>
      <c r="XDF106" s="531"/>
      <c r="XDG106" s="530"/>
      <c r="XDH106" s="531"/>
      <c r="XDI106" s="530"/>
      <c r="XDJ106" s="531"/>
      <c r="XDK106" s="530"/>
      <c r="XDL106" s="531"/>
      <c r="XDM106" s="530"/>
      <c r="XDN106" s="531"/>
      <c r="XDO106" s="530"/>
      <c r="XDP106" s="531"/>
      <c r="XDQ106" s="530"/>
      <c r="XDR106" s="531"/>
      <c r="XDS106" s="530"/>
      <c r="XDT106" s="531"/>
      <c r="XDU106" s="530"/>
      <c r="XDV106" s="531"/>
      <c r="XDW106" s="530"/>
      <c r="XDX106" s="531"/>
      <c r="XDY106" s="530"/>
      <c r="XDZ106" s="531"/>
      <c r="XEA106" s="530"/>
      <c r="XEB106" s="531"/>
      <c r="XEC106" s="530"/>
      <c r="XED106" s="531"/>
      <c r="XEE106" s="530"/>
      <c r="XEF106" s="531"/>
      <c r="XEG106" s="530"/>
      <c r="XEH106" s="531"/>
      <c r="XEI106" s="530"/>
      <c r="XEJ106" s="531"/>
      <c r="XEK106" s="530"/>
      <c r="XEL106" s="531"/>
      <c r="XEM106" s="530"/>
      <c r="XEN106" s="531"/>
      <c r="XEO106" s="530"/>
      <c r="XEP106" s="531"/>
      <c r="XEQ106" s="530"/>
      <c r="XER106" s="531"/>
      <c r="XES106" s="530"/>
      <c r="XET106" s="531"/>
      <c r="XEU106" s="530"/>
      <c r="XEV106" s="531"/>
      <c r="XEW106" s="530"/>
      <c r="XEX106" s="531"/>
      <c r="XEY106" s="530"/>
      <c r="XEZ106" s="531"/>
      <c r="XFA106" s="530"/>
      <c r="XFB106" s="531"/>
      <c r="XFC106" s="530"/>
      <c r="XFD106" s="531"/>
    </row>
    <row r="107" spans="1:16384" s="520" customFormat="1" ht="65.150000000000006" customHeight="1">
      <c r="A107" s="523"/>
      <c r="B107" s="523"/>
      <c r="C107" s="524"/>
      <c r="D107" s="523"/>
      <c r="E107" s="524"/>
      <c r="F107" s="523"/>
      <c r="G107" s="524"/>
      <c r="H107" s="524"/>
      <c r="I107" s="525"/>
      <c r="J107" s="525"/>
      <c r="K107" s="524"/>
      <c r="L107" s="524"/>
      <c r="M107" s="524"/>
      <c r="N107" s="524"/>
      <c r="O107" s="524"/>
      <c r="P107" s="524"/>
      <c r="Q107" s="524"/>
      <c r="R107" s="524"/>
      <c r="S107" s="524"/>
      <c r="T107" s="524"/>
      <c r="U107" s="524"/>
      <c r="V107" s="524"/>
      <c r="W107" s="524"/>
      <c r="X107" s="524"/>
      <c r="Y107" s="524"/>
      <c r="Z107" s="524"/>
      <c r="AA107" s="526"/>
      <c r="AB107" s="523"/>
      <c r="AC107" s="530"/>
      <c r="AD107" s="531"/>
      <c r="AE107" s="530"/>
      <c r="AF107" s="531"/>
      <c r="AG107" s="530"/>
      <c r="AH107" s="531"/>
      <c r="AI107" s="530"/>
      <c r="AJ107" s="531"/>
      <c r="AK107" s="530"/>
      <c r="AL107" s="531"/>
      <c r="AM107" s="530"/>
      <c r="AN107" s="531"/>
      <c r="AO107" s="530"/>
      <c r="AP107" s="531"/>
      <c r="AQ107" s="530"/>
      <c r="AR107" s="531"/>
      <c r="AS107" s="530"/>
      <c r="AT107" s="531"/>
      <c r="AU107" s="530"/>
      <c r="AV107" s="531"/>
      <c r="AW107" s="530"/>
      <c r="AX107" s="531"/>
      <c r="AY107" s="530"/>
      <c r="AZ107" s="531"/>
      <c r="BA107" s="530"/>
      <c r="BB107" s="531"/>
      <c r="BC107" s="530"/>
      <c r="BD107" s="531"/>
      <c r="BE107" s="530"/>
      <c r="BF107" s="531"/>
      <c r="BG107" s="530"/>
      <c r="BH107" s="531"/>
      <c r="BI107" s="530"/>
      <c r="BJ107" s="531"/>
      <c r="BK107" s="530"/>
      <c r="BL107" s="531"/>
      <c r="BM107" s="530"/>
      <c r="BN107" s="531"/>
      <c r="BO107" s="530"/>
      <c r="BP107" s="531"/>
      <c r="BQ107" s="530"/>
      <c r="BR107" s="531"/>
      <c r="BS107" s="530"/>
      <c r="BT107" s="531"/>
      <c r="BU107" s="530"/>
      <c r="BV107" s="531"/>
      <c r="BW107" s="530"/>
      <c r="BX107" s="531"/>
      <c r="BY107" s="530"/>
      <c r="BZ107" s="531"/>
      <c r="CA107" s="530"/>
      <c r="CB107" s="531"/>
      <c r="CC107" s="530"/>
      <c r="CD107" s="531"/>
      <c r="CE107" s="530"/>
      <c r="CF107" s="531"/>
      <c r="CG107" s="530"/>
      <c r="CH107" s="531"/>
      <c r="CI107" s="530"/>
      <c r="CJ107" s="531"/>
      <c r="CK107" s="530"/>
      <c r="CL107" s="531"/>
      <c r="CM107" s="530"/>
      <c r="CN107" s="531"/>
      <c r="CO107" s="530"/>
      <c r="CP107" s="531"/>
      <c r="CQ107" s="530"/>
      <c r="CR107" s="531"/>
      <c r="CS107" s="530"/>
      <c r="CT107" s="531"/>
      <c r="CU107" s="530"/>
      <c r="CV107" s="531"/>
      <c r="CW107" s="530"/>
      <c r="CX107" s="531"/>
      <c r="CY107" s="530"/>
      <c r="CZ107" s="531"/>
      <c r="DA107" s="530"/>
      <c r="DB107" s="531"/>
      <c r="DC107" s="530"/>
      <c r="DD107" s="531"/>
      <c r="DE107" s="530"/>
      <c r="DF107" s="531"/>
      <c r="DG107" s="530"/>
      <c r="DH107" s="531"/>
      <c r="DI107" s="530"/>
      <c r="DJ107" s="531"/>
      <c r="DK107" s="530"/>
      <c r="DL107" s="531"/>
      <c r="DM107" s="530"/>
      <c r="DN107" s="531"/>
      <c r="DO107" s="530"/>
      <c r="DP107" s="531"/>
      <c r="DQ107" s="530"/>
      <c r="DR107" s="531"/>
      <c r="DS107" s="530"/>
      <c r="DT107" s="531"/>
      <c r="DU107" s="530"/>
      <c r="DV107" s="531"/>
      <c r="DW107" s="530"/>
      <c r="DX107" s="531"/>
      <c r="DY107" s="530"/>
      <c r="DZ107" s="531"/>
      <c r="EA107" s="530"/>
      <c r="EB107" s="531"/>
      <c r="EC107" s="530"/>
      <c r="ED107" s="531"/>
      <c r="EE107" s="530"/>
      <c r="EF107" s="531"/>
      <c r="EG107" s="530"/>
      <c r="EH107" s="531"/>
      <c r="EI107" s="530"/>
      <c r="EJ107" s="531"/>
      <c r="EK107" s="530"/>
      <c r="EL107" s="531"/>
      <c r="EM107" s="530"/>
      <c r="EN107" s="531"/>
      <c r="EO107" s="530"/>
      <c r="EP107" s="531"/>
      <c r="EQ107" s="530"/>
      <c r="ER107" s="531"/>
      <c r="ES107" s="530"/>
      <c r="ET107" s="531"/>
      <c r="EU107" s="530"/>
      <c r="EV107" s="531"/>
      <c r="EW107" s="530"/>
      <c r="EX107" s="531"/>
      <c r="EY107" s="530"/>
      <c r="EZ107" s="531"/>
      <c r="FA107" s="530"/>
      <c r="FB107" s="531"/>
      <c r="FC107" s="530"/>
      <c r="FD107" s="531"/>
      <c r="FE107" s="530"/>
      <c r="FF107" s="531"/>
      <c r="FG107" s="530"/>
      <c r="FH107" s="531"/>
      <c r="FI107" s="530"/>
      <c r="FJ107" s="531"/>
      <c r="FK107" s="530"/>
      <c r="FL107" s="531"/>
      <c r="FM107" s="530"/>
      <c r="FN107" s="531"/>
      <c r="FO107" s="530"/>
      <c r="FP107" s="531"/>
      <c r="FQ107" s="530"/>
      <c r="FR107" s="531"/>
      <c r="FS107" s="530"/>
      <c r="FT107" s="531"/>
      <c r="FU107" s="530"/>
      <c r="FV107" s="531"/>
      <c r="FW107" s="530"/>
      <c r="FX107" s="531"/>
      <c r="FY107" s="530"/>
      <c r="FZ107" s="531"/>
      <c r="GA107" s="530"/>
      <c r="GB107" s="531"/>
      <c r="GC107" s="530"/>
      <c r="GD107" s="531"/>
      <c r="GE107" s="530"/>
      <c r="GF107" s="531"/>
      <c r="GG107" s="530"/>
      <c r="GH107" s="531"/>
      <c r="GI107" s="530"/>
      <c r="GJ107" s="531"/>
      <c r="GK107" s="530"/>
      <c r="GL107" s="531"/>
      <c r="GM107" s="530"/>
      <c r="GN107" s="531"/>
      <c r="GO107" s="530"/>
      <c r="GP107" s="531"/>
      <c r="GQ107" s="530"/>
      <c r="GR107" s="531"/>
      <c r="GS107" s="530"/>
      <c r="GT107" s="531"/>
      <c r="GU107" s="530"/>
      <c r="GV107" s="531"/>
      <c r="GW107" s="530"/>
      <c r="GX107" s="531"/>
      <c r="GY107" s="530"/>
      <c r="GZ107" s="531"/>
      <c r="HA107" s="530"/>
      <c r="HB107" s="531"/>
      <c r="HC107" s="530"/>
      <c r="HD107" s="531"/>
      <c r="HE107" s="530"/>
      <c r="HF107" s="531"/>
      <c r="HG107" s="530"/>
      <c r="HH107" s="531"/>
      <c r="HI107" s="530"/>
      <c r="HJ107" s="531"/>
      <c r="HK107" s="530"/>
      <c r="HL107" s="531"/>
      <c r="HM107" s="530"/>
      <c r="HN107" s="531"/>
      <c r="HO107" s="530"/>
      <c r="HP107" s="531"/>
      <c r="HQ107" s="530"/>
      <c r="HR107" s="531"/>
      <c r="HS107" s="530"/>
      <c r="HT107" s="531"/>
      <c r="HU107" s="530"/>
      <c r="HV107" s="531"/>
      <c r="HW107" s="530"/>
      <c r="HX107" s="531"/>
      <c r="HY107" s="530"/>
      <c r="HZ107" s="531"/>
      <c r="IA107" s="530"/>
      <c r="IB107" s="531"/>
      <c r="IC107" s="530"/>
      <c r="ID107" s="531"/>
      <c r="IE107" s="530"/>
      <c r="IF107" s="531"/>
      <c r="IG107" s="530"/>
      <c r="IH107" s="531"/>
      <c r="II107" s="530"/>
      <c r="IJ107" s="531"/>
      <c r="IK107" s="530"/>
      <c r="IL107" s="531"/>
      <c r="IM107" s="530"/>
      <c r="IN107" s="531"/>
      <c r="IO107" s="530"/>
      <c r="IP107" s="531"/>
      <c r="IQ107" s="530"/>
      <c r="IR107" s="531"/>
      <c r="IS107" s="530"/>
      <c r="IT107" s="531"/>
      <c r="IU107" s="530"/>
      <c r="IV107" s="531"/>
      <c r="IW107" s="530"/>
      <c r="IX107" s="531"/>
      <c r="IY107" s="530"/>
      <c r="IZ107" s="531"/>
      <c r="JA107" s="530"/>
      <c r="JB107" s="531"/>
      <c r="JC107" s="530"/>
      <c r="JD107" s="531"/>
      <c r="JE107" s="530"/>
      <c r="JF107" s="531"/>
      <c r="JG107" s="530"/>
      <c r="JH107" s="531"/>
      <c r="JI107" s="530"/>
      <c r="JJ107" s="531"/>
      <c r="JK107" s="530"/>
      <c r="JL107" s="531"/>
      <c r="JM107" s="530"/>
      <c r="JN107" s="531"/>
      <c r="JO107" s="530"/>
      <c r="JP107" s="531"/>
      <c r="JQ107" s="530"/>
      <c r="JR107" s="531"/>
      <c r="JS107" s="530"/>
      <c r="JT107" s="531"/>
      <c r="JU107" s="530"/>
      <c r="JV107" s="531"/>
      <c r="JW107" s="530"/>
      <c r="JX107" s="531"/>
      <c r="JY107" s="530"/>
      <c r="JZ107" s="531"/>
      <c r="KA107" s="530"/>
      <c r="KB107" s="531"/>
      <c r="KC107" s="530"/>
      <c r="KD107" s="531"/>
      <c r="KE107" s="530"/>
      <c r="KF107" s="531"/>
      <c r="KG107" s="530"/>
      <c r="KH107" s="531"/>
      <c r="KI107" s="530"/>
      <c r="KJ107" s="531"/>
      <c r="KK107" s="530"/>
      <c r="KL107" s="531"/>
      <c r="KM107" s="530"/>
      <c r="KN107" s="531"/>
      <c r="KO107" s="530"/>
      <c r="KP107" s="531"/>
      <c r="KQ107" s="530"/>
      <c r="KR107" s="531"/>
      <c r="KS107" s="530"/>
      <c r="KT107" s="531"/>
      <c r="KU107" s="530"/>
      <c r="KV107" s="531"/>
      <c r="KW107" s="530"/>
      <c r="KX107" s="531"/>
      <c r="KY107" s="530"/>
      <c r="KZ107" s="531"/>
      <c r="LA107" s="530"/>
      <c r="LB107" s="531"/>
      <c r="LC107" s="530"/>
      <c r="LD107" s="531"/>
      <c r="LE107" s="530"/>
      <c r="LF107" s="531"/>
      <c r="LG107" s="530"/>
      <c r="LH107" s="531"/>
      <c r="LI107" s="530"/>
      <c r="LJ107" s="531"/>
      <c r="LK107" s="530"/>
      <c r="LL107" s="531"/>
      <c r="LM107" s="530"/>
      <c r="LN107" s="531"/>
      <c r="LO107" s="530"/>
      <c r="LP107" s="531"/>
      <c r="LQ107" s="530"/>
      <c r="LR107" s="531"/>
      <c r="LS107" s="530"/>
      <c r="LT107" s="531"/>
      <c r="LU107" s="530"/>
      <c r="LV107" s="531"/>
      <c r="LW107" s="530"/>
      <c r="LX107" s="531"/>
      <c r="LY107" s="530"/>
      <c r="LZ107" s="531"/>
      <c r="MA107" s="530"/>
      <c r="MB107" s="531"/>
      <c r="MC107" s="530"/>
      <c r="MD107" s="531"/>
      <c r="ME107" s="530"/>
      <c r="MF107" s="531"/>
      <c r="MG107" s="530"/>
      <c r="MH107" s="531"/>
      <c r="MI107" s="530"/>
      <c r="MJ107" s="531"/>
      <c r="MK107" s="530"/>
      <c r="ML107" s="531"/>
      <c r="MM107" s="530"/>
      <c r="MN107" s="531"/>
      <c r="MO107" s="530"/>
      <c r="MP107" s="531"/>
      <c r="MQ107" s="530"/>
      <c r="MR107" s="531"/>
      <c r="MS107" s="530"/>
      <c r="MT107" s="531"/>
      <c r="MU107" s="530"/>
      <c r="MV107" s="531"/>
      <c r="MW107" s="530"/>
      <c r="MX107" s="531"/>
      <c r="MY107" s="530"/>
      <c r="MZ107" s="531"/>
      <c r="NA107" s="530"/>
      <c r="NB107" s="531"/>
      <c r="NC107" s="530"/>
      <c r="ND107" s="531"/>
      <c r="NE107" s="530"/>
      <c r="NF107" s="531"/>
      <c r="NG107" s="530"/>
      <c r="NH107" s="531"/>
      <c r="NI107" s="530"/>
      <c r="NJ107" s="531"/>
      <c r="NK107" s="530"/>
      <c r="NL107" s="531"/>
      <c r="NM107" s="530"/>
      <c r="NN107" s="531"/>
      <c r="NO107" s="530"/>
      <c r="NP107" s="531"/>
      <c r="NQ107" s="530"/>
      <c r="NR107" s="531"/>
      <c r="NS107" s="530"/>
      <c r="NT107" s="531"/>
      <c r="NU107" s="530"/>
      <c r="NV107" s="531"/>
      <c r="NW107" s="530"/>
      <c r="NX107" s="531"/>
      <c r="NY107" s="530"/>
      <c r="NZ107" s="531"/>
      <c r="OA107" s="530"/>
      <c r="OB107" s="531"/>
      <c r="OC107" s="530"/>
      <c r="OD107" s="531"/>
      <c r="OE107" s="530"/>
      <c r="OF107" s="531"/>
      <c r="OG107" s="530"/>
      <c r="OH107" s="531"/>
      <c r="OI107" s="530"/>
      <c r="OJ107" s="531"/>
      <c r="OK107" s="530"/>
      <c r="OL107" s="531"/>
      <c r="OM107" s="530"/>
      <c r="ON107" s="531"/>
      <c r="OO107" s="530"/>
      <c r="OP107" s="531"/>
      <c r="OQ107" s="530"/>
      <c r="OR107" s="531"/>
      <c r="OS107" s="530"/>
      <c r="OT107" s="531"/>
      <c r="OU107" s="530"/>
      <c r="OV107" s="531"/>
      <c r="OW107" s="530"/>
      <c r="OX107" s="531"/>
      <c r="OY107" s="530"/>
      <c r="OZ107" s="531"/>
      <c r="PA107" s="530"/>
      <c r="PB107" s="531"/>
      <c r="PC107" s="530"/>
      <c r="PD107" s="531"/>
      <c r="PE107" s="530"/>
      <c r="PF107" s="531"/>
      <c r="PG107" s="530"/>
      <c r="PH107" s="531"/>
      <c r="PI107" s="530"/>
      <c r="PJ107" s="531"/>
      <c r="PK107" s="530"/>
      <c r="PL107" s="531"/>
      <c r="PM107" s="530"/>
      <c r="PN107" s="531"/>
      <c r="PO107" s="530"/>
      <c r="PP107" s="531"/>
      <c r="PQ107" s="530"/>
      <c r="PR107" s="531"/>
      <c r="PS107" s="530"/>
      <c r="PT107" s="531"/>
      <c r="PU107" s="530"/>
      <c r="PV107" s="531"/>
      <c r="PW107" s="530"/>
      <c r="PX107" s="531"/>
      <c r="PY107" s="530"/>
      <c r="PZ107" s="531"/>
      <c r="QA107" s="530"/>
      <c r="QB107" s="531"/>
      <c r="QC107" s="530"/>
      <c r="QD107" s="531"/>
      <c r="QE107" s="530"/>
      <c r="QF107" s="531"/>
      <c r="QG107" s="530"/>
      <c r="QH107" s="531"/>
      <c r="QI107" s="530"/>
      <c r="QJ107" s="531"/>
      <c r="QK107" s="530"/>
      <c r="QL107" s="531"/>
      <c r="QM107" s="530"/>
      <c r="QN107" s="531"/>
      <c r="QO107" s="530"/>
      <c r="QP107" s="531"/>
      <c r="QQ107" s="530"/>
      <c r="QR107" s="531"/>
      <c r="QS107" s="530"/>
      <c r="QT107" s="531"/>
      <c r="QU107" s="530"/>
      <c r="QV107" s="531"/>
      <c r="QW107" s="530"/>
      <c r="QX107" s="531"/>
      <c r="QY107" s="530"/>
      <c r="QZ107" s="531"/>
      <c r="RA107" s="530"/>
      <c r="RB107" s="531"/>
      <c r="RC107" s="530"/>
      <c r="RD107" s="531"/>
      <c r="RE107" s="530"/>
      <c r="RF107" s="531"/>
      <c r="RG107" s="530"/>
      <c r="RH107" s="531"/>
      <c r="RI107" s="530"/>
      <c r="RJ107" s="531"/>
      <c r="RK107" s="530"/>
      <c r="RL107" s="531"/>
      <c r="RM107" s="530"/>
      <c r="RN107" s="531"/>
      <c r="RO107" s="530"/>
      <c r="RP107" s="531"/>
      <c r="RQ107" s="530"/>
      <c r="RR107" s="531"/>
      <c r="RS107" s="530"/>
      <c r="RT107" s="531"/>
      <c r="RU107" s="530"/>
      <c r="RV107" s="531"/>
      <c r="RW107" s="530"/>
      <c r="RX107" s="531"/>
      <c r="RY107" s="530"/>
      <c r="RZ107" s="531"/>
      <c r="SA107" s="530"/>
      <c r="SB107" s="531"/>
      <c r="SC107" s="530"/>
      <c r="SD107" s="531"/>
      <c r="SE107" s="530"/>
      <c r="SF107" s="531"/>
      <c r="SG107" s="530"/>
      <c r="SH107" s="531"/>
      <c r="SI107" s="530"/>
      <c r="SJ107" s="531"/>
      <c r="SK107" s="530"/>
      <c r="SL107" s="531"/>
      <c r="SM107" s="530"/>
      <c r="SN107" s="531"/>
      <c r="SO107" s="530"/>
      <c r="SP107" s="531"/>
      <c r="SQ107" s="530"/>
      <c r="SR107" s="531"/>
      <c r="SS107" s="530"/>
      <c r="ST107" s="531"/>
      <c r="SU107" s="530"/>
      <c r="SV107" s="531"/>
      <c r="SW107" s="530"/>
      <c r="SX107" s="531"/>
      <c r="SY107" s="530"/>
      <c r="SZ107" s="531"/>
      <c r="TA107" s="530"/>
      <c r="TB107" s="531"/>
      <c r="TC107" s="530"/>
      <c r="TD107" s="531"/>
      <c r="TE107" s="530"/>
      <c r="TF107" s="531"/>
      <c r="TG107" s="530"/>
      <c r="TH107" s="531"/>
      <c r="TI107" s="530"/>
      <c r="TJ107" s="531"/>
      <c r="TK107" s="530"/>
      <c r="TL107" s="531"/>
      <c r="TM107" s="530"/>
      <c r="TN107" s="531"/>
      <c r="TO107" s="530"/>
      <c r="TP107" s="531"/>
      <c r="TQ107" s="530"/>
      <c r="TR107" s="531"/>
      <c r="TS107" s="530"/>
      <c r="TT107" s="531"/>
      <c r="TU107" s="530"/>
      <c r="TV107" s="531"/>
      <c r="TW107" s="530"/>
      <c r="TX107" s="531"/>
      <c r="TY107" s="530"/>
      <c r="TZ107" s="531"/>
      <c r="UA107" s="530"/>
      <c r="UB107" s="531"/>
      <c r="UC107" s="530"/>
      <c r="UD107" s="531"/>
      <c r="UE107" s="530"/>
      <c r="UF107" s="531"/>
      <c r="UG107" s="530"/>
      <c r="UH107" s="531"/>
      <c r="UI107" s="530"/>
      <c r="UJ107" s="531"/>
      <c r="UK107" s="530"/>
      <c r="UL107" s="531"/>
      <c r="UM107" s="530"/>
      <c r="UN107" s="531"/>
      <c r="UO107" s="530"/>
      <c r="UP107" s="531"/>
      <c r="UQ107" s="530"/>
      <c r="UR107" s="531"/>
      <c r="US107" s="530"/>
      <c r="UT107" s="531"/>
      <c r="UU107" s="530"/>
      <c r="UV107" s="531"/>
      <c r="UW107" s="530"/>
      <c r="UX107" s="531"/>
      <c r="UY107" s="530"/>
      <c r="UZ107" s="531"/>
      <c r="VA107" s="530"/>
      <c r="VB107" s="531"/>
      <c r="VC107" s="530"/>
      <c r="VD107" s="531"/>
      <c r="VE107" s="530"/>
      <c r="VF107" s="531"/>
      <c r="VG107" s="530"/>
      <c r="VH107" s="531"/>
      <c r="VI107" s="530"/>
      <c r="VJ107" s="531"/>
      <c r="VK107" s="530"/>
      <c r="VL107" s="531"/>
      <c r="VM107" s="530"/>
      <c r="VN107" s="531"/>
      <c r="VO107" s="530"/>
      <c r="VP107" s="531"/>
      <c r="VQ107" s="530"/>
      <c r="VR107" s="531"/>
      <c r="VS107" s="530"/>
      <c r="VT107" s="531"/>
      <c r="VU107" s="530"/>
      <c r="VV107" s="531"/>
      <c r="VW107" s="530"/>
      <c r="VX107" s="531"/>
      <c r="VY107" s="530"/>
      <c r="VZ107" s="531"/>
      <c r="WA107" s="530"/>
      <c r="WB107" s="531"/>
      <c r="WC107" s="530"/>
      <c r="WD107" s="531"/>
      <c r="WE107" s="530"/>
      <c r="WF107" s="531"/>
      <c r="WG107" s="530"/>
      <c r="WH107" s="531"/>
      <c r="WI107" s="530"/>
      <c r="WJ107" s="531"/>
      <c r="WK107" s="530"/>
      <c r="WL107" s="531"/>
      <c r="WM107" s="530"/>
      <c r="WN107" s="531"/>
      <c r="WO107" s="530"/>
      <c r="WP107" s="531"/>
      <c r="WQ107" s="530"/>
      <c r="WR107" s="531"/>
      <c r="WS107" s="530"/>
      <c r="WT107" s="531"/>
      <c r="WU107" s="530"/>
      <c r="WV107" s="531"/>
      <c r="WW107" s="530"/>
      <c r="WX107" s="531"/>
      <c r="WY107" s="530"/>
      <c r="WZ107" s="531"/>
      <c r="XA107" s="530"/>
      <c r="XB107" s="531"/>
      <c r="XC107" s="530"/>
      <c r="XD107" s="531"/>
      <c r="XE107" s="530"/>
      <c r="XF107" s="531"/>
      <c r="XG107" s="530"/>
      <c r="XH107" s="531"/>
      <c r="XI107" s="530"/>
      <c r="XJ107" s="531"/>
      <c r="XK107" s="530"/>
      <c r="XL107" s="531"/>
      <c r="XM107" s="530"/>
      <c r="XN107" s="531"/>
      <c r="XO107" s="530"/>
      <c r="XP107" s="531"/>
      <c r="XQ107" s="530"/>
      <c r="XR107" s="531"/>
      <c r="XS107" s="530"/>
      <c r="XT107" s="531"/>
      <c r="XU107" s="530"/>
      <c r="XV107" s="531"/>
      <c r="XW107" s="530"/>
      <c r="XX107" s="531"/>
      <c r="XY107" s="530"/>
      <c r="XZ107" s="531"/>
      <c r="YA107" s="530"/>
      <c r="YB107" s="531"/>
      <c r="YC107" s="530"/>
      <c r="YD107" s="531"/>
      <c r="YE107" s="530"/>
      <c r="YF107" s="531"/>
      <c r="YG107" s="530"/>
      <c r="YH107" s="531"/>
      <c r="YI107" s="530"/>
      <c r="YJ107" s="531"/>
      <c r="YK107" s="530"/>
      <c r="YL107" s="531"/>
      <c r="YM107" s="530"/>
      <c r="YN107" s="531"/>
      <c r="YO107" s="530"/>
      <c r="YP107" s="531"/>
      <c r="YQ107" s="530"/>
      <c r="YR107" s="531"/>
      <c r="YS107" s="530"/>
      <c r="YT107" s="531"/>
      <c r="YU107" s="530"/>
      <c r="YV107" s="531"/>
      <c r="YW107" s="530"/>
      <c r="YX107" s="531"/>
      <c r="YY107" s="530"/>
      <c r="YZ107" s="531"/>
      <c r="ZA107" s="530"/>
      <c r="ZB107" s="531"/>
      <c r="ZC107" s="530"/>
      <c r="ZD107" s="531"/>
      <c r="ZE107" s="530"/>
      <c r="ZF107" s="531"/>
      <c r="ZG107" s="530"/>
      <c r="ZH107" s="531"/>
      <c r="ZI107" s="530"/>
      <c r="ZJ107" s="531"/>
      <c r="ZK107" s="530"/>
      <c r="ZL107" s="531"/>
      <c r="ZM107" s="530"/>
      <c r="ZN107" s="531"/>
      <c r="ZO107" s="530"/>
      <c r="ZP107" s="531"/>
      <c r="ZQ107" s="530"/>
      <c r="ZR107" s="531"/>
      <c r="ZS107" s="530"/>
      <c r="ZT107" s="531"/>
      <c r="ZU107" s="530"/>
      <c r="ZV107" s="531"/>
      <c r="ZW107" s="530"/>
      <c r="ZX107" s="531"/>
      <c r="ZY107" s="530"/>
      <c r="ZZ107" s="531"/>
      <c r="AAA107" s="530"/>
      <c r="AAB107" s="531"/>
      <c r="AAC107" s="530"/>
      <c r="AAD107" s="531"/>
      <c r="AAE107" s="530"/>
      <c r="AAF107" s="531"/>
      <c r="AAG107" s="530"/>
      <c r="AAH107" s="531"/>
      <c r="AAI107" s="530"/>
      <c r="AAJ107" s="531"/>
      <c r="AAK107" s="530"/>
      <c r="AAL107" s="531"/>
      <c r="AAM107" s="530"/>
      <c r="AAN107" s="531"/>
      <c r="AAO107" s="530"/>
      <c r="AAP107" s="531"/>
      <c r="AAQ107" s="530"/>
      <c r="AAR107" s="531"/>
      <c r="AAS107" s="530"/>
      <c r="AAT107" s="531"/>
      <c r="AAU107" s="530"/>
      <c r="AAV107" s="531"/>
      <c r="AAW107" s="530"/>
      <c r="AAX107" s="531"/>
      <c r="AAY107" s="530"/>
      <c r="AAZ107" s="531"/>
      <c r="ABA107" s="530"/>
      <c r="ABB107" s="531"/>
      <c r="ABC107" s="530"/>
      <c r="ABD107" s="531"/>
      <c r="ABE107" s="530"/>
      <c r="ABF107" s="531"/>
      <c r="ABG107" s="530"/>
      <c r="ABH107" s="531"/>
      <c r="ABI107" s="530"/>
      <c r="ABJ107" s="531"/>
      <c r="ABK107" s="530"/>
      <c r="ABL107" s="531"/>
      <c r="ABM107" s="530"/>
      <c r="ABN107" s="531"/>
      <c r="ABO107" s="530"/>
      <c r="ABP107" s="531"/>
      <c r="ABQ107" s="530"/>
      <c r="ABR107" s="531"/>
      <c r="ABS107" s="530"/>
      <c r="ABT107" s="531"/>
      <c r="ABU107" s="530"/>
      <c r="ABV107" s="531"/>
      <c r="ABW107" s="530"/>
      <c r="ABX107" s="531"/>
      <c r="ABY107" s="530"/>
      <c r="ABZ107" s="531"/>
      <c r="ACA107" s="530"/>
      <c r="ACB107" s="531"/>
      <c r="ACC107" s="530"/>
      <c r="ACD107" s="531"/>
      <c r="ACE107" s="530"/>
      <c r="ACF107" s="531"/>
      <c r="ACG107" s="530"/>
      <c r="ACH107" s="531"/>
      <c r="ACI107" s="530"/>
      <c r="ACJ107" s="531"/>
      <c r="ACK107" s="530"/>
      <c r="ACL107" s="531"/>
      <c r="ACM107" s="530"/>
      <c r="ACN107" s="531"/>
      <c r="ACO107" s="530"/>
      <c r="ACP107" s="531"/>
      <c r="ACQ107" s="530"/>
      <c r="ACR107" s="531"/>
      <c r="ACS107" s="530"/>
      <c r="ACT107" s="531"/>
      <c r="ACU107" s="530"/>
      <c r="ACV107" s="531"/>
      <c r="ACW107" s="530"/>
      <c r="ACX107" s="531"/>
      <c r="ACY107" s="530"/>
      <c r="ACZ107" s="531"/>
      <c r="ADA107" s="530"/>
      <c r="ADB107" s="531"/>
      <c r="ADC107" s="530"/>
      <c r="ADD107" s="531"/>
      <c r="ADE107" s="530"/>
      <c r="ADF107" s="531"/>
      <c r="ADG107" s="530"/>
      <c r="ADH107" s="531"/>
      <c r="ADI107" s="530"/>
      <c r="ADJ107" s="531"/>
      <c r="ADK107" s="530"/>
      <c r="ADL107" s="531"/>
      <c r="ADM107" s="530"/>
      <c r="ADN107" s="531"/>
      <c r="ADO107" s="530"/>
      <c r="ADP107" s="531"/>
      <c r="ADQ107" s="530"/>
      <c r="ADR107" s="531"/>
      <c r="ADS107" s="530"/>
      <c r="ADT107" s="531"/>
      <c r="ADU107" s="530"/>
      <c r="ADV107" s="531"/>
      <c r="ADW107" s="530"/>
      <c r="ADX107" s="531"/>
      <c r="ADY107" s="530"/>
      <c r="ADZ107" s="531"/>
      <c r="AEA107" s="530"/>
      <c r="AEB107" s="531"/>
      <c r="AEC107" s="530"/>
      <c r="AED107" s="531"/>
      <c r="AEE107" s="530"/>
      <c r="AEF107" s="531"/>
      <c r="AEG107" s="530"/>
      <c r="AEH107" s="531"/>
      <c r="AEI107" s="530"/>
      <c r="AEJ107" s="531"/>
      <c r="AEK107" s="530"/>
      <c r="AEL107" s="531"/>
      <c r="AEM107" s="530"/>
      <c r="AEN107" s="531"/>
      <c r="AEO107" s="530"/>
      <c r="AEP107" s="531"/>
      <c r="AEQ107" s="530"/>
      <c r="AER107" s="531"/>
      <c r="AES107" s="530"/>
      <c r="AET107" s="531"/>
      <c r="AEU107" s="530"/>
      <c r="AEV107" s="531"/>
      <c r="AEW107" s="530"/>
      <c r="AEX107" s="531"/>
      <c r="AEY107" s="530"/>
      <c r="AEZ107" s="531"/>
      <c r="AFA107" s="530"/>
      <c r="AFB107" s="531"/>
      <c r="AFC107" s="530"/>
      <c r="AFD107" s="531"/>
      <c r="AFE107" s="530"/>
      <c r="AFF107" s="531"/>
      <c r="AFG107" s="530"/>
      <c r="AFH107" s="531"/>
      <c r="AFI107" s="530"/>
      <c r="AFJ107" s="531"/>
      <c r="AFK107" s="530"/>
      <c r="AFL107" s="531"/>
      <c r="AFM107" s="530"/>
      <c r="AFN107" s="531"/>
      <c r="AFO107" s="530"/>
      <c r="AFP107" s="531"/>
      <c r="AFQ107" s="530"/>
      <c r="AFR107" s="531"/>
      <c r="AFS107" s="530"/>
      <c r="AFT107" s="531"/>
      <c r="AFU107" s="530"/>
      <c r="AFV107" s="531"/>
      <c r="AFW107" s="530"/>
      <c r="AFX107" s="531"/>
      <c r="AFY107" s="530"/>
      <c r="AFZ107" s="531"/>
      <c r="AGA107" s="530"/>
      <c r="AGB107" s="531"/>
      <c r="AGC107" s="530"/>
      <c r="AGD107" s="531"/>
      <c r="AGE107" s="530"/>
      <c r="AGF107" s="531"/>
      <c r="AGG107" s="530"/>
      <c r="AGH107" s="531"/>
      <c r="AGI107" s="530"/>
      <c r="AGJ107" s="531"/>
      <c r="AGK107" s="530"/>
      <c r="AGL107" s="531"/>
      <c r="AGM107" s="530"/>
      <c r="AGN107" s="531"/>
      <c r="AGO107" s="530"/>
      <c r="AGP107" s="531"/>
      <c r="AGQ107" s="530"/>
      <c r="AGR107" s="531"/>
      <c r="AGS107" s="530"/>
      <c r="AGT107" s="531"/>
      <c r="AGU107" s="530"/>
      <c r="AGV107" s="531"/>
      <c r="AGW107" s="530"/>
      <c r="AGX107" s="531"/>
      <c r="AGY107" s="530"/>
      <c r="AGZ107" s="531"/>
      <c r="AHA107" s="530"/>
      <c r="AHB107" s="531"/>
      <c r="AHC107" s="530"/>
      <c r="AHD107" s="531"/>
      <c r="AHE107" s="530"/>
      <c r="AHF107" s="531"/>
      <c r="AHG107" s="530"/>
      <c r="AHH107" s="531"/>
      <c r="AHI107" s="530"/>
      <c r="AHJ107" s="531"/>
      <c r="AHK107" s="530"/>
      <c r="AHL107" s="531"/>
      <c r="AHM107" s="530"/>
      <c r="AHN107" s="531"/>
      <c r="AHO107" s="530"/>
      <c r="AHP107" s="531"/>
      <c r="AHQ107" s="530"/>
      <c r="AHR107" s="531"/>
      <c r="AHS107" s="530"/>
      <c r="AHT107" s="531"/>
      <c r="AHU107" s="530"/>
      <c r="AHV107" s="531"/>
      <c r="AHW107" s="530"/>
      <c r="AHX107" s="531"/>
      <c r="AHY107" s="530"/>
      <c r="AHZ107" s="531"/>
      <c r="AIA107" s="530"/>
      <c r="AIB107" s="531"/>
      <c r="AIC107" s="530"/>
      <c r="AID107" s="531"/>
      <c r="AIE107" s="530"/>
      <c r="AIF107" s="531"/>
      <c r="AIG107" s="530"/>
      <c r="AIH107" s="531"/>
      <c r="AII107" s="530"/>
      <c r="AIJ107" s="531"/>
      <c r="AIK107" s="530"/>
      <c r="AIL107" s="531"/>
      <c r="AIM107" s="530"/>
      <c r="AIN107" s="531"/>
      <c r="AIO107" s="530"/>
      <c r="AIP107" s="531"/>
      <c r="AIQ107" s="530"/>
      <c r="AIR107" s="531"/>
      <c r="AIS107" s="530"/>
      <c r="AIT107" s="531"/>
      <c r="AIU107" s="530"/>
      <c r="AIV107" s="531"/>
      <c r="AIW107" s="530"/>
      <c r="AIX107" s="531"/>
      <c r="AIY107" s="530"/>
      <c r="AIZ107" s="531"/>
      <c r="AJA107" s="530"/>
      <c r="AJB107" s="531"/>
      <c r="AJC107" s="530"/>
      <c r="AJD107" s="531"/>
      <c r="AJE107" s="530"/>
      <c r="AJF107" s="531"/>
      <c r="AJG107" s="530"/>
      <c r="AJH107" s="531"/>
      <c r="AJI107" s="530"/>
      <c r="AJJ107" s="531"/>
      <c r="AJK107" s="530"/>
      <c r="AJL107" s="531"/>
      <c r="AJM107" s="530"/>
      <c r="AJN107" s="531"/>
      <c r="AJO107" s="530"/>
      <c r="AJP107" s="531"/>
      <c r="AJQ107" s="530"/>
      <c r="AJR107" s="531"/>
      <c r="AJS107" s="530"/>
      <c r="AJT107" s="531"/>
      <c r="AJU107" s="530"/>
      <c r="AJV107" s="531"/>
      <c r="AJW107" s="530"/>
      <c r="AJX107" s="531"/>
      <c r="AJY107" s="530"/>
      <c r="AJZ107" s="531"/>
      <c r="AKA107" s="530"/>
      <c r="AKB107" s="531"/>
      <c r="AKC107" s="530"/>
      <c r="AKD107" s="531"/>
      <c r="AKE107" s="530"/>
      <c r="AKF107" s="531"/>
      <c r="AKG107" s="530"/>
      <c r="AKH107" s="531"/>
      <c r="AKI107" s="530"/>
      <c r="AKJ107" s="531"/>
      <c r="AKK107" s="530"/>
      <c r="AKL107" s="531"/>
      <c r="AKM107" s="530"/>
      <c r="AKN107" s="531"/>
      <c r="AKO107" s="530"/>
      <c r="AKP107" s="531"/>
      <c r="AKQ107" s="530"/>
      <c r="AKR107" s="531"/>
      <c r="AKS107" s="530"/>
      <c r="AKT107" s="531"/>
      <c r="AKU107" s="530"/>
      <c r="AKV107" s="531"/>
      <c r="AKW107" s="530"/>
      <c r="AKX107" s="531"/>
      <c r="AKY107" s="530"/>
      <c r="AKZ107" s="531"/>
      <c r="ALA107" s="530"/>
      <c r="ALB107" s="531"/>
      <c r="ALC107" s="530"/>
      <c r="ALD107" s="531"/>
      <c r="ALE107" s="530"/>
      <c r="ALF107" s="531"/>
      <c r="ALG107" s="530"/>
      <c r="ALH107" s="531"/>
      <c r="ALI107" s="530"/>
      <c r="ALJ107" s="531"/>
      <c r="ALK107" s="530"/>
      <c r="ALL107" s="531"/>
      <c r="ALM107" s="530"/>
      <c r="ALN107" s="531"/>
      <c r="ALO107" s="530"/>
      <c r="ALP107" s="531"/>
      <c r="ALQ107" s="530"/>
      <c r="ALR107" s="531"/>
      <c r="ALS107" s="530"/>
      <c r="ALT107" s="531"/>
      <c r="ALU107" s="530"/>
      <c r="ALV107" s="531"/>
      <c r="ALW107" s="530"/>
      <c r="ALX107" s="531"/>
      <c r="ALY107" s="530"/>
      <c r="ALZ107" s="531"/>
      <c r="AMA107" s="530"/>
      <c r="AMB107" s="531"/>
      <c r="AMC107" s="530"/>
      <c r="AMD107" s="531"/>
      <c r="AME107" s="530"/>
      <c r="AMF107" s="531"/>
      <c r="AMG107" s="530"/>
      <c r="AMH107" s="531"/>
      <c r="AMI107" s="530"/>
      <c r="AMJ107" s="531"/>
      <c r="AMK107" s="530"/>
      <c r="AML107" s="531"/>
      <c r="AMM107" s="530"/>
      <c r="AMN107" s="531"/>
      <c r="AMO107" s="530"/>
      <c r="AMP107" s="531"/>
      <c r="AMQ107" s="530"/>
      <c r="AMR107" s="531"/>
      <c r="AMS107" s="530"/>
      <c r="AMT107" s="531"/>
      <c r="AMU107" s="530"/>
      <c r="AMV107" s="531"/>
      <c r="AMW107" s="530"/>
      <c r="AMX107" s="531"/>
      <c r="AMY107" s="530"/>
      <c r="AMZ107" s="531"/>
      <c r="ANA107" s="530"/>
      <c r="ANB107" s="531"/>
      <c r="ANC107" s="530"/>
      <c r="AND107" s="531"/>
      <c r="ANE107" s="530"/>
      <c r="ANF107" s="531"/>
      <c r="ANG107" s="530"/>
      <c r="ANH107" s="531"/>
      <c r="ANI107" s="530"/>
      <c r="ANJ107" s="531"/>
      <c r="ANK107" s="530"/>
      <c r="ANL107" s="531"/>
      <c r="ANM107" s="530"/>
      <c r="ANN107" s="531"/>
      <c r="ANO107" s="530"/>
      <c r="ANP107" s="531"/>
      <c r="ANQ107" s="530"/>
      <c r="ANR107" s="531"/>
      <c r="ANS107" s="530"/>
      <c r="ANT107" s="531"/>
      <c r="ANU107" s="530"/>
      <c r="ANV107" s="531"/>
      <c r="ANW107" s="530"/>
      <c r="ANX107" s="531"/>
      <c r="ANY107" s="530"/>
      <c r="ANZ107" s="531"/>
      <c r="AOA107" s="530"/>
      <c r="AOB107" s="531"/>
      <c r="AOC107" s="530"/>
      <c r="AOD107" s="531"/>
      <c r="AOE107" s="530"/>
      <c r="AOF107" s="531"/>
      <c r="AOG107" s="530"/>
      <c r="AOH107" s="531"/>
      <c r="AOI107" s="530"/>
      <c r="AOJ107" s="531"/>
      <c r="AOK107" s="530"/>
      <c r="AOL107" s="531"/>
      <c r="AOM107" s="530"/>
      <c r="AON107" s="531"/>
      <c r="AOO107" s="530"/>
      <c r="AOP107" s="531"/>
      <c r="AOQ107" s="530"/>
      <c r="AOR107" s="531"/>
      <c r="AOS107" s="530"/>
      <c r="AOT107" s="531"/>
      <c r="AOU107" s="530"/>
      <c r="AOV107" s="531"/>
      <c r="AOW107" s="530"/>
      <c r="AOX107" s="531"/>
      <c r="AOY107" s="530"/>
      <c r="AOZ107" s="531"/>
      <c r="APA107" s="530"/>
      <c r="APB107" s="531"/>
      <c r="APC107" s="530"/>
      <c r="APD107" s="531"/>
      <c r="APE107" s="530"/>
      <c r="APF107" s="531"/>
      <c r="APG107" s="530"/>
      <c r="APH107" s="531"/>
      <c r="API107" s="530"/>
      <c r="APJ107" s="531"/>
      <c r="APK107" s="530"/>
      <c r="APL107" s="531"/>
      <c r="APM107" s="530"/>
      <c r="APN107" s="531"/>
      <c r="APO107" s="530"/>
      <c r="APP107" s="531"/>
      <c r="APQ107" s="530"/>
      <c r="APR107" s="531"/>
      <c r="APS107" s="530"/>
      <c r="APT107" s="531"/>
      <c r="APU107" s="530"/>
      <c r="APV107" s="531"/>
      <c r="APW107" s="530"/>
      <c r="APX107" s="531"/>
      <c r="APY107" s="530"/>
      <c r="APZ107" s="531"/>
      <c r="AQA107" s="530"/>
      <c r="AQB107" s="531"/>
      <c r="AQC107" s="530"/>
      <c r="AQD107" s="531"/>
      <c r="AQE107" s="530"/>
      <c r="AQF107" s="531"/>
      <c r="AQG107" s="530"/>
      <c r="AQH107" s="531"/>
      <c r="AQI107" s="530"/>
      <c r="AQJ107" s="531"/>
      <c r="AQK107" s="530"/>
      <c r="AQL107" s="531"/>
      <c r="AQM107" s="530"/>
      <c r="AQN107" s="531"/>
      <c r="AQO107" s="530"/>
      <c r="AQP107" s="531"/>
      <c r="AQQ107" s="530"/>
      <c r="AQR107" s="531"/>
      <c r="AQS107" s="530"/>
      <c r="AQT107" s="531"/>
      <c r="AQU107" s="530"/>
      <c r="AQV107" s="531"/>
      <c r="AQW107" s="530"/>
      <c r="AQX107" s="531"/>
      <c r="AQY107" s="530"/>
      <c r="AQZ107" s="531"/>
      <c r="ARA107" s="530"/>
      <c r="ARB107" s="531"/>
      <c r="ARC107" s="530"/>
      <c r="ARD107" s="531"/>
      <c r="ARE107" s="530"/>
      <c r="ARF107" s="531"/>
      <c r="ARG107" s="530"/>
      <c r="ARH107" s="531"/>
      <c r="ARI107" s="530"/>
      <c r="ARJ107" s="531"/>
      <c r="ARK107" s="530"/>
      <c r="ARL107" s="531"/>
      <c r="ARM107" s="530"/>
      <c r="ARN107" s="531"/>
      <c r="ARO107" s="530"/>
      <c r="ARP107" s="531"/>
      <c r="ARQ107" s="530"/>
      <c r="ARR107" s="531"/>
      <c r="ARS107" s="530"/>
      <c r="ART107" s="531"/>
      <c r="ARU107" s="530"/>
      <c r="ARV107" s="531"/>
      <c r="ARW107" s="530"/>
      <c r="ARX107" s="531"/>
      <c r="ARY107" s="530"/>
      <c r="ARZ107" s="531"/>
      <c r="ASA107" s="530"/>
      <c r="ASB107" s="531"/>
      <c r="ASC107" s="530"/>
      <c r="ASD107" s="531"/>
      <c r="ASE107" s="530"/>
      <c r="ASF107" s="531"/>
      <c r="ASG107" s="530"/>
      <c r="ASH107" s="531"/>
      <c r="ASI107" s="530"/>
      <c r="ASJ107" s="531"/>
      <c r="ASK107" s="530"/>
      <c r="ASL107" s="531"/>
      <c r="ASM107" s="530"/>
      <c r="ASN107" s="531"/>
      <c r="ASO107" s="530"/>
      <c r="ASP107" s="531"/>
      <c r="ASQ107" s="530"/>
      <c r="ASR107" s="531"/>
      <c r="ASS107" s="530"/>
      <c r="AST107" s="531"/>
      <c r="ASU107" s="530"/>
      <c r="ASV107" s="531"/>
      <c r="ASW107" s="530"/>
      <c r="ASX107" s="531"/>
      <c r="ASY107" s="530"/>
      <c r="ASZ107" s="531"/>
      <c r="ATA107" s="530"/>
      <c r="ATB107" s="531"/>
      <c r="ATC107" s="530"/>
      <c r="ATD107" s="531"/>
      <c r="ATE107" s="530"/>
      <c r="ATF107" s="531"/>
      <c r="ATG107" s="530"/>
      <c r="ATH107" s="531"/>
      <c r="ATI107" s="530"/>
      <c r="ATJ107" s="531"/>
      <c r="ATK107" s="530"/>
      <c r="ATL107" s="531"/>
      <c r="ATM107" s="530"/>
      <c r="ATN107" s="531"/>
      <c r="ATO107" s="530"/>
      <c r="ATP107" s="531"/>
      <c r="ATQ107" s="530"/>
      <c r="ATR107" s="531"/>
      <c r="ATS107" s="530"/>
      <c r="ATT107" s="531"/>
      <c r="ATU107" s="530"/>
      <c r="ATV107" s="531"/>
      <c r="ATW107" s="530"/>
      <c r="ATX107" s="531"/>
      <c r="ATY107" s="530"/>
      <c r="ATZ107" s="531"/>
      <c r="AUA107" s="530"/>
      <c r="AUB107" s="531"/>
      <c r="AUC107" s="530"/>
      <c r="AUD107" s="531"/>
      <c r="AUE107" s="530"/>
      <c r="AUF107" s="531"/>
      <c r="AUG107" s="530"/>
      <c r="AUH107" s="531"/>
      <c r="AUI107" s="530"/>
      <c r="AUJ107" s="531"/>
      <c r="AUK107" s="530"/>
      <c r="AUL107" s="531"/>
      <c r="AUM107" s="530"/>
      <c r="AUN107" s="531"/>
      <c r="AUO107" s="530"/>
      <c r="AUP107" s="531"/>
      <c r="AUQ107" s="530"/>
      <c r="AUR107" s="531"/>
      <c r="AUS107" s="530"/>
      <c r="AUT107" s="531"/>
      <c r="AUU107" s="530"/>
      <c r="AUV107" s="531"/>
      <c r="AUW107" s="530"/>
      <c r="AUX107" s="531"/>
      <c r="AUY107" s="530"/>
      <c r="AUZ107" s="531"/>
      <c r="AVA107" s="530"/>
      <c r="AVB107" s="531"/>
      <c r="AVC107" s="530"/>
      <c r="AVD107" s="531"/>
      <c r="AVE107" s="530"/>
      <c r="AVF107" s="531"/>
      <c r="AVG107" s="530"/>
      <c r="AVH107" s="531"/>
      <c r="AVI107" s="530"/>
      <c r="AVJ107" s="531"/>
      <c r="AVK107" s="530"/>
      <c r="AVL107" s="531"/>
      <c r="AVM107" s="530"/>
      <c r="AVN107" s="531"/>
      <c r="AVO107" s="530"/>
      <c r="AVP107" s="531"/>
      <c r="AVQ107" s="530"/>
      <c r="AVR107" s="531"/>
      <c r="AVS107" s="530"/>
      <c r="AVT107" s="531"/>
      <c r="AVU107" s="530"/>
      <c r="AVV107" s="531"/>
      <c r="AVW107" s="530"/>
      <c r="AVX107" s="531"/>
      <c r="AVY107" s="530"/>
      <c r="AVZ107" s="531"/>
      <c r="AWA107" s="530"/>
      <c r="AWB107" s="531"/>
      <c r="AWC107" s="530"/>
      <c r="AWD107" s="531"/>
      <c r="AWE107" s="530"/>
      <c r="AWF107" s="531"/>
      <c r="AWG107" s="530"/>
      <c r="AWH107" s="531"/>
      <c r="AWI107" s="530"/>
      <c r="AWJ107" s="531"/>
      <c r="AWK107" s="530"/>
      <c r="AWL107" s="531"/>
      <c r="AWM107" s="530"/>
      <c r="AWN107" s="531"/>
      <c r="AWO107" s="530"/>
      <c r="AWP107" s="531"/>
      <c r="AWQ107" s="530"/>
      <c r="AWR107" s="531"/>
      <c r="AWS107" s="530"/>
      <c r="AWT107" s="531"/>
      <c r="AWU107" s="530"/>
      <c r="AWV107" s="531"/>
      <c r="AWW107" s="530"/>
      <c r="AWX107" s="531"/>
      <c r="AWY107" s="530"/>
      <c r="AWZ107" s="531"/>
      <c r="AXA107" s="530"/>
      <c r="AXB107" s="531"/>
      <c r="AXC107" s="530"/>
      <c r="AXD107" s="531"/>
      <c r="AXE107" s="530"/>
      <c r="AXF107" s="531"/>
      <c r="AXG107" s="530"/>
      <c r="AXH107" s="531"/>
      <c r="AXI107" s="530"/>
      <c r="AXJ107" s="531"/>
      <c r="AXK107" s="530"/>
      <c r="AXL107" s="531"/>
      <c r="AXM107" s="530"/>
      <c r="AXN107" s="531"/>
      <c r="AXO107" s="530"/>
      <c r="AXP107" s="531"/>
      <c r="AXQ107" s="530"/>
      <c r="AXR107" s="531"/>
      <c r="AXS107" s="530"/>
      <c r="AXT107" s="531"/>
      <c r="AXU107" s="530"/>
      <c r="AXV107" s="531"/>
      <c r="AXW107" s="530"/>
      <c r="AXX107" s="531"/>
      <c r="AXY107" s="530"/>
      <c r="AXZ107" s="531"/>
      <c r="AYA107" s="530"/>
      <c r="AYB107" s="531"/>
      <c r="AYC107" s="530"/>
      <c r="AYD107" s="531"/>
      <c r="AYE107" s="530"/>
      <c r="AYF107" s="531"/>
      <c r="AYG107" s="530"/>
      <c r="AYH107" s="531"/>
      <c r="AYI107" s="530"/>
      <c r="AYJ107" s="531"/>
      <c r="AYK107" s="530"/>
      <c r="AYL107" s="531"/>
      <c r="AYM107" s="530"/>
      <c r="AYN107" s="531"/>
      <c r="AYO107" s="530"/>
      <c r="AYP107" s="531"/>
      <c r="AYQ107" s="530"/>
      <c r="AYR107" s="531"/>
      <c r="AYS107" s="530"/>
      <c r="AYT107" s="531"/>
      <c r="AYU107" s="530"/>
      <c r="AYV107" s="531"/>
      <c r="AYW107" s="530"/>
      <c r="AYX107" s="531"/>
      <c r="AYY107" s="530"/>
      <c r="AYZ107" s="531"/>
      <c r="AZA107" s="530"/>
      <c r="AZB107" s="531"/>
      <c r="AZC107" s="530"/>
      <c r="AZD107" s="531"/>
      <c r="AZE107" s="530"/>
      <c r="AZF107" s="531"/>
      <c r="AZG107" s="530"/>
      <c r="AZH107" s="531"/>
      <c r="AZI107" s="530"/>
      <c r="AZJ107" s="531"/>
      <c r="AZK107" s="530"/>
      <c r="AZL107" s="531"/>
      <c r="AZM107" s="530"/>
      <c r="AZN107" s="531"/>
      <c r="AZO107" s="530"/>
      <c r="AZP107" s="531"/>
      <c r="AZQ107" s="530"/>
      <c r="AZR107" s="531"/>
      <c r="AZS107" s="530"/>
      <c r="AZT107" s="531"/>
      <c r="AZU107" s="530"/>
      <c r="AZV107" s="531"/>
      <c r="AZW107" s="530"/>
      <c r="AZX107" s="531"/>
      <c r="AZY107" s="530"/>
      <c r="AZZ107" s="531"/>
      <c r="BAA107" s="530"/>
      <c r="BAB107" s="531"/>
      <c r="BAC107" s="530"/>
      <c r="BAD107" s="531"/>
      <c r="BAE107" s="530"/>
      <c r="BAF107" s="531"/>
      <c r="BAG107" s="530"/>
      <c r="BAH107" s="531"/>
      <c r="BAI107" s="530"/>
      <c r="BAJ107" s="531"/>
      <c r="BAK107" s="530"/>
      <c r="BAL107" s="531"/>
      <c r="BAM107" s="530"/>
      <c r="BAN107" s="531"/>
      <c r="BAO107" s="530"/>
      <c r="BAP107" s="531"/>
      <c r="BAQ107" s="530"/>
      <c r="BAR107" s="531"/>
      <c r="BAS107" s="530"/>
      <c r="BAT107" s="531"/>
      <c r="BAU107" s="530"/>
      <c r="BAV107" s="531"/>
      <c r="BAW107" s="530"/>
      <c r="BAX107" s="531"/>
      <c r="BAY107" s="530"/>
      <c r="BAZ107" s="531"/>
      <c r="BBA107" s="530"/>
      <c r="BBB107" s="531"/>
      <c r="BBC107" s="530"/>
      <c r="BBD107" s="531"/>
      <c r="BBE107" s="530"/>
      <c r="BBF107" s="531"/>
      <c r="BBG107" s="530"/>
      <c r="BBH107" s="531"/>
      <c r="BBI107" s="530"/>
      <c r="BBJ107" s="531"/>
      <c r="BBK107" s="530"/>
      <c r="BBL107" s="531"/>
      <c r="BBM107" s="530"/>
      <c r="BBN107" s="531"/>
      <c r="BBO107" s="530"/>
      <c r="BBP107" s="531"/>
      <c r="BBQ107" s="530"/>
      <c r="BBR107" s="531"/>
      <c r="BBS107" s="530"/>
      <c r="BBT107" s="531"/>
      <c r="BBU107" s="530"/>
      <c r="BBV107" s="531"/>
      <c r="BBW107" s="530"/>
      <c r="BBX107" s="531"/>
      <c r="BBY107" s="530"/>
      <c r="BBZ107" s="531"/>
      <c r="BCA107" s="530"/>
      <c r="BCB107" s="531"/>
      <c r="BCC107" s="530"/>
      <c r="BCD107" s="531"/>
      <c r="BCE107" s="530"/>
      <c r="BCF107" s="531"/>
      <c r="BCG107" s="530"/>
      <c r="BCH107" s="531"/>
      <c r="BCI107" s="530"/>
      <c r="BCJ107" s="531"/>
      <c r="BCK107" s="530"/>
      <c r="BCL107" s="531"/>
      <c r="BCM107" s="530"/>
      <c r="BCN107" s="531"/>
      <c r="BCO107" s="530"/>
      <c r="BCP107" s="531"/>
      <c r="BCQ107" s="530"/>
      <c r="BCR107" s="531"/>
      <c r="BCS107" s="530"/>
      <c r="BCT107" s="531"/>
      <c r="BCU107" s="530"/>
      <c r="BCV107" s="531"/>
      <c r="BCW107" s="530"/>
      <c r="BCX107" s="531"/>
      <c r="BCY107" s="530"/>
      <c r="BCZ107" s="531"/>
      <c r="BDA107" s="530"/>
      <c r="BDB107" s="531"/>
      <c r="BDC107" s="530"/>
      <c r="BDD107" s="531"/>
      <c r="BDE107" s="530"/>
      <c r="BDF107" s="531"/>
      <c r="BDG107" s="530"/>
      <c r="BDH107" s="531"/>
      <c r="BDI107" s="530"/>
      <c r="BDJ107" s="531"/>
      <c r="BDK107" s="530"/>
      <c r="BDL107" s="531"/>
      <c r="BDM107" s="530"/>
      <c r="BDN107" s="531"/>
      <c r="BDO107" s="530"/>
      <c r="BDP107" s="531"/>
      <c r="BDQ107" s="530"/>
      <c r="BDR107" s="531"/>
      <c r="BDS107" s="530"/>
      <c r="BDT107" s="531"/>
      <c r="BDU107" s="530"/>
      <c r="BDV107" s="531"/>
      <c r="BDW107" s="530"/>
      <c r="BDX107" s="531"/>
      <c r="BDY107" s="530"/>
      <c r="BDZ107" s="531"/>
      <c r="BEA107" s="530"/>
      <c r="BEB107" s="531"/>
      <c r="BEC107" s="530"/>
      <c r="BED107" s="531"/>
      <c r="BEE107" s="530"/>
      <c r="BEF107" s="531"/>
      <c r="BEG107" s="530"/>
      <c r="BEH107" s="531"/>
      <c r="BEI107" s="530"/>
      <c r="BEJ107" s="531"/>
      <c r="BEK107" s="530"/>
      <c r="BEL107" s="531"/>
      <c r="BEM107" s="530"/>
      <c r="BEN107" s="531"/>
      <c r="BEO107" s="530"/>
      <c r="BEP107" s="531"/>
      <c r="BEQ107" s="530"/>
      <c r="BER107" s="531"/>
      <c r="BES107" s="530"/>
      <c r="BET107" s="531"/>
      <c r="BEU107" s="530"/>
      <c r="BEV107" s="531"/>
      <c r="BEW107" s="530"/>
      <c r="BEX107" s="531"/>
      <c r="BEY107" s="530"/>
      <c r="BEZ107" s="531"/>
      <c r="BFA107" s="530"/>
      <c r="BFB107" s="531"/>
      <c r="BFC107" s="530"/>
      <c r="BFD107" s="531"/>
      <c r="BFE107" s="530"/>
      <c r="BFF107" s="531"/>
      <c r="BFG107" s="530"/>
      <c r="BFH107" s="531"/>
      <c r="BFI107" s="530"/>
      <c r="BFJ107" s="531"/>
      <c r="BFK107" s="530"/>
      <c r="BFL107" s="531"/>
      <c r="BFM107" s="530"/>
      <c r="BFN107" s="531"/>
      <c r="BFO107" s="530"/>
      <c r="BFP107" s="531"/>
      <c r="BFQ107" s="530"/>
      <c r="BFR107" s="531"/>
      <c r="BFS107" s="530"/>
      <c r="BFT107" s="531"/>
      <c r="BFU107" s="530"/>
      <c r="BFV107" s="531"/>
      <c r="BFW107" s="530"/>
      <c r="BFX107" s="531"/>
      <c r="BFY107" s="530"/>
      <c r="BFZ107" s="531"/>
      <c r="BGA107" s="530"/>
      <c r="BGB107" s="531"/>
      <c r="BGC107" s="530"/>
      <c r="BGD107" s="531"/>
      <c r="BGE107" s="530"/>
      <c r="BGF107" s="531"/>
      <c r="BGG107" s="530"/>
      <c r="BGH107" s="531"/>
      <c r="BGI107" s="530"/>
      <c r="BGJ107" s="531"/>
      <c r="BGK107" s="530"/>
      <c r="BGL107" s="531"/>
      <c r="BGM107" s="530"/>
      <c r="BGN107" s="531"/>
      <c r="BGO107" s="530"/>
      <c r="BGP107" s="531"/>
      <c r="BGQ107" s="530"/>
      <c r="BGR107" s="531"/>
      <c r="BGS107" s="530"/>
      <c r="BGT107" s="531"/>
      <c r="BGU107" s="530"/>
      <c r="BGV107" s="531"/>
      <c r="BGW107" s="530"/>
      <c r="BGX107" s="531"/>
      <c r="BGY107" s="530"/>
      <c r="BGZ107" s="531"/>
      <c r="BHA107" s="530"/>
      <c r="BHB107" s="531"/>
      <c r="BHC107" s="530"/>
      <c r="BHD107" s="531"/>
      <c r="BHE107" s="530"/>
      <c r="BHF107" s="531"/>
      <c r="BHG107" s="530"/>
      <c r="BHH107" s="531"/>
      <c r="BHI107" s="530"/>
      <c r="BHJ107" s="531"/>
      <c r="BHK107" s="530"/>
      <c r="BHL107" s="531"/>
      <c r="BHM107" s="530"/>
      <c r="BHN107" s="531"/>
      <c r="BHO107" s="530"/>
      <c r="BHP107" s="531"/>
      <c r="BHQ107" s="530"/>
      <c r="BHR107" s="531"/>
      <c r="BHS107" s="530"/>
      <c r="BHT107" s="531"/>
      <c r="BHU107" s="530"/>
      <c r="BHV107" s="531"/>
      <c r="BHW107" s="530"/>
      <c r="BHX107" s="531"/>
      <c r="BHY107" s="530"/>
      <c r="BHZ107" s="531"/>
      <c r="BIA107" s="530"/>
      <c r="BIB107" s="531"/>
      <c r="BIC107" s="530"/>
      <c r="BID107" s="531"/>
      <c r="BIE107" s="530"/>
      <c r="BIF107" s="531"/>
      <c r="BIG107" s="530"/>
      <c r="BIH107" s="531"/>
      <c r="BII107" s="530"/>
      <c r="BIJ107" s="531"/>
      <c r="BIK107" s="530"/>
      <c r="BIL107" s="531"/>
      <c r="BIM107" s="530"/>
      <c r="BIN107" s="531"/>
      <c r="BIO107" s="530"/>
      <c r="BIP107" s="531"/>
      <c r="BIQ107" s="530"/>
      <c r="BIR107" s="531"/>
      <c r="BIS107" s="530"/>
      <c r="BIT107" s="531"/>
      <c r="BIU107" s="530"/>
      <c r="BIV107" s="531"/>
      <c r="BIW107" s="530"/>
      <c r="BIX107" s="531"/>
      <c r="BIY107" s="530"/>
      <c r="BIZ107" s="531"/>
      <c r="BJA107" s="530"/>
      <c r="BJB107" s="531"/>
      <c r="BJC107" s="530"/>
      <c r="BJD107" s="531"/>
      <c r="BJE107" s="530"/>
      <c r="BJF107" s="531"/>
      <c r="BJG107" s="530"/>
      <c r="BJH107" s="531"/>
      <c r="BJI107" s="530"/>
      <c r="BJJ107" s="531"/>
      <c r="BJK107" s="530"/>
      <c r="BJL107" s="531"/>
      <c r="BJM107" s="530"/>
      <c r="BJN107" s="531"/>
      <c r="BJO107" s="530"/>
      <c r="BJP107" s="531"/>
      <c r="BJQ107" s="530"/>
      <c r="BJR107" s="531"/>
      <c r="BJS107" s="530"/>
      <c r="BJT107" s="531"/>
      <c r="BJU107" s="530"/>
      <c r="BJV107" s="531"/>
      <c r="BJW107" s="530"/>
      <c r="BJX107" s="531"/>
      <c r="BJY107" s="530"/>
      <c r="BJZ107" s="531"/>
      <c r="BKA107" s="530"/>
      <c r="BKB107" s="531"/>
      <c r="BKC107" s="530"/>
      <c r="BKD107" s="531"/>
      <c r="BKE107" s="530"/>
      <c r="BKF107" s="531"/>
      <c r="BKG107" s="530"/>
      <c r="BKH107" s="531"/>
      <c r="BKI107" s="530"/>
      <c r="BKJ107" s="531"/>
      <c r="BKK107" s="530"/>
      <c r="BKL107" s="531"/>
      <c r="BKM107" s="530"/>
      <c r="BKN107" s="531"/>
      <c r="BKO107" s="530"/>
      <c r="BKP107" s="531"/>
      <c r="BKQ107" s="530"/>
      <c r="BKR107" s="531"/>
      <c r="BKS107" s="530"/>
      <c r="BKT107" s="531"/>
      <c r="BKU107" s="530"/>
      <c r="BKV107" s="531"/>
      <c r="BKW107" s="530"/>
      <c r="BKX107" s="531"/>
      <c r="BKY107" s="530"/>
      <c r="BKZ107" s="531"/>
      <c r="BLA107" s="530"/>
      <c r="BLB107" s="531"/>
      <c r="BLC107" s="530"/>
      <c r="BLD107" s="531"/>
      <c r="BLE107" s="530"/>
      <c r="BLF107" s="531"/>
      <c r="BLG107" s="530"/>
      <c r="BLH107" s="531"/>
      <c r="BLI107" s="530"/>
      <c r="BLJ107" s="531"/>
      <c r="BLK107" s="530"/>
      <c r="BLL107" s="531"/>
      <c r="BLM107" s="530"/>
      <c r="BLN107" s="531"/>
      <c r="BLO107" s="530"/>
      <c r="BLP107" s="531"/>
      <c r="BLQ107" s="530"/>
      <c r="BLR107" s="531"/>
      <c r="BLS107" s="530"/>
      <c r="BLT107" s="531"/>
      <c r="BLU107" s="530"/>
      <c r="BLV107" s="531"/>
      <c r="BLW107" s="530"/>
      <c r="BLX107" s="531"/>
      <c r="BLY107" s="530"/>
      <c r="BLZ107" s="531"/>
      <c r="BMA107" s="530"/>
      <c r="BMB107" s="531"/>
      <c r="BMC107" s="530"/>
      <c r="BMD107" s="531"/>
      <c r="BME107" s="530"/>
      <c r="BMF107" s="531"/>
      <c r="BMG107" s="530"/>
      <c r="BMH107" s="531"/>
      <c r="BMI107" s="530"/>
      <c r="BMJ107" s="531"/>
      <c r="BMK107" s="530"/>
      <c r="BML107" s="531"/>
      <c r="BMM107" s="530"/>
      <c r="BMN107" s="531"/>
      <c r="BMO107" s="530"/>
      <c r="BMP107" s="531"/>
      <c r="BMQ107" s="530"/>
      <c r="BMR107" s="531"/>
      <c r="BMS107" s="530"/>
      <c r="BMT107" s="531"/>
      <c r="BMU107" s="530"/>
      <c r="BMV107" s="531"/>
      <c r="BMW107" s="530"/>
      <c r="BMX107" s="531"/>
      <c r="BMY107" s="530"/>
      <c r="BMZ107" s="531"/>
      <c r="BNA107" s="530"/>
      <c r="BNB107" s="531"/>
      <c r="BNC107" s="530"/>
      <c r="BND107" s="531"/>
      <c r="BNE107" s="530"/>
      <c r="BNF107" s="531"/>
      <c r="BNG107" s="530"/>
      <c r="BNH107" s="531"/>
      <c r="BNI107" s="530"/>
      <c r="BNJ107" s="531"/>
      <c r="BNK107" s="530"/>
      <c r="BNL107" s="531"/>
      <c r="BNM107" s="530"/>
      <c r="BNN107" s="531"/>
      <c r="BNO107" s="530"/>
      <c r="BNP107" s="531"/>
      <c r="BNQ107" s="530"/>
      <c r="BNR107" s="531"/>
      <c r="BNS107" s="530"/>
      <c r="BNT107" s="531"/>
      <c r="BNU107" s="530"/>
      <c r="BNV107" s="531"/>
      <c r="BNW107" s="530"/>
      <c r="BNX107" s="531"/>
      <c r="BNY107" s="530"/>
      <c r="BNZ107" s="531"/>
      <c r="BOA107" s="530"/>
      <c r="BOB107" s="531"/>
      <c r="BOC107" s="530"/>
      <c r="BOD107" s="531"/>
      <c r="BOE107" s="530"/>
      <c r="BOF107" s="531"/>
      <c r="BOG107" s="530"/>
      <c r="BOH107" s="531"/>
      <c r="BOI107" s="530"/>
      <c r="BOJ107" s="531"/>
      <c r="BOK107" s="530"/>
      <c r="BOL107" s="531"/>
      <c r="BOM107" s="530"/>
      <c r="BON107" s="531"/>
      <c r="BOO107" s="530"/>
      <c r="BOP107" s="531"/>
      <c r="BOQ107" s="530"/>
      <c r="BOR107" s="531"/>
      <c r="BOS107" s="530"/>
      <c r="BOT107" s="531"/>
      <c r="BOU107" s="530"/>
      <c r="BOV107" s="531"/>
      <c r="BOW107" s="530"/>
      <c r="BOX107" s="531"/>
      <c r="BOY107" s="530"/>
      <c r="BOZ107" s="531"/>
      <c r="BPA107" s="530"/>
      <c r="BPB107" s="531"/>
      <c r="BPC107" s="530"/>
      <c r="BPD107" s="531"/>
      <c r="BPE107" s="530"/>
      <c r="BPF107" s="531"/>
      <c r="BPG107" s="530"/>
      <c r="BPH107" s="531"/>
      <c r="BPI107" s="530"/>
      <c r="BPJ107" s="531"/>
      <c r="BPK107" s="530"/>
      <c r="BPL107" s="531"/>
      <c r="BPM107" s="530"/>
      <c r="BPN107" s="531"/>
      <c r="BPO107" s="530"/>
      <c r="BPP107" s="531"/>
      <c r="BPQ107" s="530"/>
      <c r="BPR107" s="531"/>
      <c r="BPS107" s="530"/>
      <c r="BPT107" s="531"/>
      <c r="BPU107" s="530"/>
      <c r="BPV107" s="531"/>
      <c r="BPW107" s="530"/>
      <c r="BPX107" s="531"/>
      <c r="BPY107" s="530"/>
      <c r="BPZ107" s="531"/>
      <c r="BQA107" s="530"/>
      <c r="BQB107" s="531"/>
      <c r="BQC107" s="530"/>
      <c r="BQD107" s="531"/>
      <c r="BQE107" s="530"/>
      <c r="BQF107" s="531"/>
      <c r="BQG107" s="530"/>
      <c r="BQH107" s="531"/>
      <c r="BQI107" s="530"/>
      <c r="BQJ107" s="531"/>
      <c r="BQK107" s="530"/>
      <c r="BQL107" s="531"/>
      <c r="BQM107" s="530"/>
      <c r="BQN107" s="531"/>
      <c r="BQO107" s="530"/>
      <c r="BQP107" s="531"/>
      <c r="BQQ107" s="530"/>
      <c r="BQR107" s="531"/>
      <c r="BQS107" s="530"/>
      <c r="BQT107" s="531"/>
      <c r="BQU107" s="530"/>
      <c r="BQV107" s="531"/>
      <c r="BQW107" s="530"/>
      <c r="BQX107" s="531"/>
      <c r="BQY107" s="530"/>
      <c r="BQZ107" s="531"/>
      <c r="BRA107" s="530"/>
      <c r="BRB107" s="531"/>
      <c r="BRC107" s="530"/>
      <c r="BRD107" s="531"/>
      <c r="BRE107" s="530"/>
      <c r="BRF107" s="531"/>
      <c r="BRG107" s="530"/>
      <c r="BRH107" s="531"/>
      <c r="BRI107" s="530"/>
      <c r="BRJ107" s="531"/>
      <c r="BRK107" s="530"/>
      <c r="BRL107" s="531"/>
      <c r="BRM107" s="530"/>
      <c r="BRN107" s="531"/>
      <c r="BRO107" s="530"/>
      <c r="BRP107" s="531"/>
      <c r="BRQ107" s="530"/>
      <c r="BRR107" s="531"/>
      <c r="BRS107" s="530"/>
      <c r="BRT107" s="531"/>
      <c r="BRU107" s="530"/>
      <c r="BRV107" s="531"/>
      <c r="BRW107" s="530"/>
      <c r="BRX107" s="531"/>
      <c r="BRY107" s="530"/>
      <c r="BRZ107" s="531"/>
      <c r="BSA107" s="530"/>
      <c r="BSB107" s="531"/>
      <c r="BSC107" s="530"/>
      <c r="BSD107" s="531"/>
      <c r="BSE107" s="530"/>
      <c r="BSF107" s="531"/>
      <c r="BSG107" s="530"/>
      <c r="BSH107" s="531"/>
      <c r="BSI107" s="530"/>
      <c r="BSJ107" s="531"/>
      <c r="BSK107" s="530"/>
      <c r="BSL107" s="531"/>
      <c r="BSM107" s="530"/>
      <c r="BSN107" s="531"/>
      <c r="BSO107" s="530"/>
      <c r="BSP107" s="531"/>
      <c r="BSQ107" s="530"/>
      <c r="BSR107" s="531"/>
      <c r="BSS107" s="530"/>
      <c r="BST107" s="531"/>
      <c r="BSU107" s="530"/>
      <c r="BSV107" s="531"/>
      <c r="BSW107" s="530"/>
      <c r="BSX107" s="531"/>
      <c r="BSY107" s="530"/>
      <c r="BSZ107" s="531"/>
      <c r="BTA107" s="530"/>
      <c r="BTB107" s="531"/>
      <c r="BTC107" s="530"/>
      <c r="BTD107" s="531"/>
      <c r="BTE107" s="530"/>
      <c r="BTF107" s="531"/>
      <c r="BTG107" s="530"/>
      <c r="BTH107" s="531"/>
      <c r="BTI107" s="530"/>
      <c r="BTJ107" s="531"/>
      <c r="BTK107" s="530"/>
      <c r="BTL107" s="531"/>
      <c r="BTM107" s="530"/>
      <c r="BTN107" s="531"/>
      <c r="BTO107" s="530"/>
      <c r="BTP107" s="531"/>
      <c r="BTQ107" s="530"/>
      <c r="BTR107" s="531"/>
      <c r="BTS107" s="530"/>
      <c r="BTT107" s="531"/>
      <c r="BTU107" s="530"/>
      <c r="BTV107" s="531"/>
      <c r="BTW107" s="530"/>
      <c r="BTX107" s="531"/>
      <c r="BTY107" s="530"/>
      <c r="BTZ107" s="531"/>
      <c r="BUA107" s="530"/>
      <c r="BUB107" s="531"/>
      <c r="BUC107" s="530"/>
      <c r="BUD107" s="531"/>
      <c r="BUE107" s="530"/>
      <c r="BUF107" s="531"/>
      <c r="BUG107" s="530"/>
      <c r="BUH107" s="531"/>
      <c r="BUI107" s="530"/>
      <c r="BUJ107" s="531"/>
      <c r="BUK107" s="530"/>
      <c r="BUL107" s="531"/>
      <c r="BUM107" s="530"/>
      <c r="BUN107" s="531"/>
      <c r="BUO107" s="530"/>
      <c r="BUP107" s="531"/>
      <c r="BUQ107" s="530"/>
      <c r="BUR107" s="531"/>
      <c r="BUS107" s="530"/>
      <c r="BUT107" s="531"/>
      <c r="BUU107" s="530"/>
      <c r="BUV107" s="531"/>
      <c r="BUW107" s="530"/>
      <c r="BUX107" s="531"/>
      <c r="BUY107" s="530"/>
      <c r="BUZ107" s="531"/>
      <c r="BVA107" s="530"/>
      <c r="BVB107" s="531"/>
      <c r="BVC107" s="530"/>
      <c r="BVD107" s="531"/>
      <c r="BVE107" s="530"/>
      <c r="BVF107" s="531"/>
      <c r="BVG107" s="530"/>
      <c r="BVH107" s="531"/>
      <c r="BVI107" s="530"/>
      <c r="BVJ107" s="531"/>
      <c r="BVK107" s="530"/>
      <c r="BVL107" s="531"/>
      <c r="BVM107" s="530"/>
      <c r="BVN107" s="531"/>
      <c r="BVO107" s="530"/>
      <c r="BVP107" s="531"/>
      <c r="BVQ107" s="530"/>
      <c r="BVR107" s="531"/>
      <c r="BVS107" s="530"/>
      <c r="BVT107" s="531"/>
      <c r="BVU107" s="530"/>
      <c r="BVV107" s="531"/>
      <c r="BVW107" s="530"/>
      <c r="BVX107" s="531"/>
      <c r="BVY107" s="530"/>
      <c r="BVZ107" s="531"/>
      <c r="BWA107" s="530"/>
      <c r="BWB107" s="531"/>
      <c r="BWC107" s="530"/>
      <c r="BWD107" s="531"/>
      <c r="BWE107" s="530"/>
      <c r="BWF107" s="531"/>
      <c r="BWG107" s="530"/>
      <c r="BWH107" s="531"/>
      <c r="BWI107" s="530"/>
      <c r="BWJ107" s="531"/>
      <c r="BWK107" s="530"/>
      <c r="BWL107" s="531"/>
      <c r="BWM107" s="530"/>
      <c r="BWN107" s="531"/>
      <c r="BWO107" s="530"/>
      <c r="BWP107" s="531"/>
      <c r="BWQ107" s="530"/>
      <c r="BWR107" s="531"/>
      <c r="BWS107" s="530"/>
      <c r="BWT107" s="531"/>
      <c r="BWU107" s="530"/>
      <c r="BWV107" s="531"/>
      <c r="BWW107" s="530"/>
      <c r="BWX107" s="531"/>
      <c r="BWY107" s="530"/>
      <c r="BWZ107" s="531"/>
      <c r="BXA107" s="530"/>
      <c r="BXB107" s="531"/>
      <c r="BXC107" s="530"/>
      <c r="BXD107" s="531"/>
      <c r="BXE107" s="530"/>
      <c r="BXF107" s="531"/>
      <c r="BXG107" s="530"/>
      <c r="BXH107" s="531"/>
      <c r="BXI107" s="530"/>
      <c r="BXJ107" s="531"/>
      <c r="BXK107" s="530"/>
      <c r="BXL107" s="531"/>
      <c r="BXM107" s="530"/>
      <c r="BXN107" s="531"/>
      <c r="BXO107" s="530"/>
      <c r="BXP107" s="531"/>
      <c r="BXQ107" s="530"/>
      <c r="BXR107" s="531"/>
      <c r="BXS107" s="530"/>
      <c r="BXT107" s="531"/>
      <c r="BXU107" s="530"/>
      <c r="BXV107" s="531"/>
      <c r="BXW107" s="530"/>
      <c r="BXX107" s="531"/>
      <c r="BXY107" s="530"/>
      <c r="BXZ107" s="531"/>
      <c r="BYA107" s="530"/>
      <c r="BYB107" s="531"/>
      <c r="BYC107" s="530"/>
      <c r="BYD107" s="531"/>
      <c r="BYE107" s="530"/>
      <c r="BYF107" s="531"/>
      <c r="BYG107" s="530"/>
      <c r="BYH107" s="531"/>
      <c r="BYI107" s="530"/>
      <c r="BYJ107" s="531"/>
      <c r="BYK107" s="530"/>
      <c r="BYL107" s="531"/>
      <c r="BYM107" s="530"/>
      <c r="BYN107" s="531"/>
      <c r="BYO107" s="530"/>
      <c r="BYP107" s="531"/>
      <c r="BYQ107" s="530"/>
      <c r="BYR107" s="531"/>
      <c r="BYS107" s="530"/>
      <c r="BYT107" s="531"/>
      <c r="BYU107" s="530"/>
      <c r="BYV107" s="531"/>
      <c r="BYW107" s="530"/>
      <c r="BYX107" s="531"/>
      <c r="BYY107" s="530"/>
      <c r="BYZ107" s="531"/>
      <c r="BZA107" s="530"/>
      <c r="BZB107" s="531"/>
      <c r="BZC107" s="530"/>
      <c r="BZD107" s="531"/>
      <c r="BZE107" s="530"/>
      <c r="BZF107" s="531"/>
      <c r="BZG107" s="530"/>
      <c r="BZH107" s="531"/>
      <c r="BZI107" s="530"/>
      <c r="BZJ107" s="531"/>
      <c r="BZK107" s="530"/>
      <c r="BZL107" s="531"/>
      <c r="BZM107" s="530"/>
      <c r="BZN107" s="531"/>
      <c r="BZO107" s="530"/>
      <c r="BZP107" s="531"/>
      <c r="BZQ107" s="530"/>
      <c r="BZR107" s="531"/>
      <c r="BZS107" s="530"/>
      <c r="BZT107" s="531"/>
      <c r="BZU107" s="530"/>
      <c r="BZV107" s="531"/>
      <c r="BZW107" s="530"/>
      <c r="BZX107" s="531"/>
      <c r="BZY107" s="530"/>
      <c r="BZZ107" s="531"/>
      <c r="CAA107" s="530"/>
      <c r="CAB107" s="531"/>
      <c r="CAC107" s="530"/>
      <c r="CAD107" s="531"/>
      <c r="CAE107" s="530"/>
      <c r="CAF107" s="531"/>
      <c r="CAG107" s="530"/>
      <c r="CAH107" s="531"/>
      <c r="CAI107" s="530"/>
      <c r="CAJ107" s="531"/>
      <c r="CAK107" s="530"/>
      <c r="CAL107" s="531"/>
      <c r="CAM107" s="530"/>
      <c r="CAN107" s="531"/>
      <c r="CAO107" s="530"/>
      <c r="CAP107" s="531"/>
      <c r="CAQ107" s="530"/>
      <c r="CAR107" s="531"/>
      <c r="CAS107" s="530"/>
      <c r="CAT107" s="531"/>
      <c r="CAU107" s="530"/>
      <c r="CAV107" s="531"/>
      <c r="CAW107" s="530"/>
      <c r="CAX107" s="531"/>
      <c r="CAY107" s="530"/>
      <c r="CAZ107" s="531"/>
      <c r="CBA107" s="530"/>
      <c r="CBB107" s="531"/>
      <c r="CBC107" s="530"/>
      <c r="CBD107" s="531"/>
      <c r="CBE107" s="530"/>
      <c r="CBF107" s="531"/>
      <c r="CBG107" s="530"/>
      <c r="CBH107" s="531"/>
      <c r="CBI107" s="530"/>
      <c r="CBJ107" s="531"/>
      <c r="CBK107" s="530"/>
      <c r="CBL107" s="531"/>
      <c r="CBM107" s="530"/>
      <c r="CBN107" s="531"/>
      <c r="CBO107" s="530"/>
      <c r="CBP107" s="531"/>
      <c r="CBQ107" s="530"/>
      <c r="CBR107" s="531"/>
      <c r="CBS107" s="530"/>
      <c r="CBT107" s="531"/>
      <c r="CBU107" s="530"/>
      <c r="CBV107" s="531"/>
      <c r="CBW107" s="530"/>
      <c r="CBX107" s="531"/>
      <c r="CBY107" s="530"/>
      <c r="CBZ107" s="531"/>
      <c r="CCA107" s="530"/>
      <c r="CCB107" s="531"/>
      <c r="CCC107" s="530"/>
      <c r="CCD107" s="531"/>
      <c r="CCE107" s="530"/>
      <c r="CCF107" s="531"/>
      <c r="CCG107" s="530"/>
      <c r="CCH107" s="531"/>
      <c r="CCI107" s="530"/>
      <c r="CCJ107" s="531"/>
      <c r="CCK107" s="530"/>
      <c r="CCL107" s="531"/>
      <c r="CCM107" s="530"/>
      <c r="CCN107" s="531"/>
      <c r="CCO107" s="530"/>
      <c r="CCP107" s="531"/>
      <c r="CCQ107" s="530"/>
      <c r="CCR107" s="531"/>
      <c r="CCS107" s="530"/>
      <c r="CCT107" s="531"/>
      <c r="CCU107" s="530"/>
      <c r="CCV107" s="531"/>
      <c r="CCW107" s="530"/>
      <c r="CCX107" s="531"/>
      <c r="CCY107" s="530"/>
      <c r="CCZ107" s="531"/>
      <c r="CDA107" s="530"/>
      <c r="CDB107" s="531"/>
      <c r="CDC107" s="530"/>
      <c r="CDD107" s="531"/>
      <c r="CDE107" s="530"/>
      <c r="CDF107" s="531"/>
      <c r="CDG107" s="530"/>
      <c r="CDH107" s="531"/>
      <c r="CDI107" s="530"/>
      <c r="CDJ107" s="531"/>
      <c r="CDK107" s="530"/>
      <c r="CDL107" s="531"/>
      <c r="CDM107" s="530"/>
      <c r="CDN107" s="531"/>
      <c r="CDO107" s="530"/>
      <c r="CDP107" s="531"/>
      <c r="CDQ107" s="530"/>
      <c r="CDR107" s="531"/>
      <c r="CDS107" s="530"/>
      <c r="CDT107" s="531"/>
      <c r="CDU107" s="530"/>
      <c r="CDV107" s="531"/>
      <c r="CDW107" s="530"/>
      <c r="CDX107" s="531"/>
      <c r="CDY107" s="530"/>
      <c r="CDZ107" s="531"/>
      <c r="CEA107" s="530"/>
      <c r="CEB107" s="531"/>
      <c r="CEC107" s="530"/>
      <c r="CED107" s="531"/>
      <c r="CEE107" s="530"/>
      <c r="CEF107" s="531"/>
      <c r="CEG107" s="530"/>
      <c r="CEH107" s="531"/>
      <c r="CEI107" s="530"/>
      <c r="CEJ107" s="531"/>
      <c r="CEK107" s="530"/>
      <c r="CEL107" s="531"/>
      <c r="CEM107" s="530"/>
      <c r="CEN107" s="531"/>
      <c r="CEO107" s="530"/>
      <c r="CEP107" s="531"/>
      <c r="CEQ107" s="530"/>
      <c r="CER107" s="531"/>
      <c r="CES107" s="530"/>
      <c r="CET107" s="531"/>
      <c r="CEU107" s="530"/>
      <c r="CEV107" s="531"/>
      <c r="CEW107" s="530"/>
      <c r="CEX107" s="531"/>
      <c r="CEY107" s="530"/>
      <c r="CEZ107" s="531"/>
      <c r="CFA107" s="530"/>
      <c r="CFB107" s="531"/>
      <c r="CFC107" s="530"/>
      <c r="CFD107" s="531"/>
      <c r="CFE107" s="530"/>
      <c r="CFF107" s="531"/>
      <c r="CFG107" s="530"/>
      <c r="CFH107" s="531"/>
      <c r="CFI107" s="530"/>
      <c r="CFJ107" s="531"/>
      <c r="CFK107" s="530"/>
      <c r="CFL107" s="531"/>
      <c r="CFM107" s="530"/>
      <c r="CFN107" s="531"/>
      <c r="CFO107" s="530"/>
      <c r="CFP107" s="531"/>
      <c r="CFQ107" s="530"/>
      <c r="CFR107" s="531"/>
      <c r="CFS107" s="530"/>
      <c r="CFT107" s="531"/>
      <c r="CFU107" s="530"/>
      <c r="CFV107" s="531"/>
      <c r="CFW107" s="530"/>
      <c r="CFX107" s="531"/>
      <c r="CFY107" s="530"/>
      <c r="CFZ107" s="531"/>
      <c r="CGA107" s="530"/>
      <c r="CGB107" s="531"/>
      <c r="CGC107" s="530"/>
      <c r="CGD107" s="531"/>
      <c r="CGE107" s="530"/>
      <c r="CGF107" s="531"/>
      <c r="CGG107" s="530"/>
      <c r="CGH107" s="531"/>
      <c r="CGI107" s="530"/>
      <c r="CGJ107" s="531"/>
      <c r="CGK107" s="530"/>
      <c r="CGL107" s="531"/>
      <c r="CGM107" s="530"/>
      <c r="CGN107" s="531"/>
      <c r="CGO107" s="530"/>
      <c r="CGP107" s="531"/>
      <c r="CGQ107" s="530"/>
      <c r="CGR107" s="531"/>
      <c r="CGS107" s="530"/>
      <c r="CGT107" s="531"/>
      <c r="CGU107" s="530"/>
      <c r="CGV107" s="531"/>
      <c r="CGW107" s="530"/>
      <c r="CGX107" s="531"/>
      <c r="CGY107" s="530"/>
      <c r="CGZ107" s="531"/>
      <c r="CHA107" s="530"/>
      <c r="CHB107" s="531"/>
      <c r="CHC107" s="530"/>
      <c r="CHD107" s="531"/>
      <c r="CHE107" s="530"/>
      <c r="CHF107" s="531"/>
      <c r="CHG107" s="530"/>
      <c r="CHH107" s="531"/>
      <c r="CHI107" s="530"/>
      <c r="CHJ107" s="531"/>
      <c r="CHK107" s="530"/>
      <c r="CHL107" s="531"/>
      <c r="CHM107" s="530"/>
      <c r="CHN107" s="531"/>
      <c r="CHO107" s="530"/>
      <c r="CHP107" s="531"/>
      <c r="CHQ107" s="530"/>
      <c r="CHR107" s="531"/>
      <c r="CHS107" s="530"/>
      <c r="CHT107" s="531"/>
      <c r="CHU107" s="530"/>
      <c r="CHV107" s="531"/>
      <c r="CHW107" s="530"/>
      <c r="CHX107" s="531"/>
      <c r="CHY107" s="530"/>
      <c r="CHZ107" s="531"/>
      <c r="CIA107" s="530"/>
      <c r="CIB107" s="531"/>
      <c r="CIC107" s="530"/>
      <c r="CID107" s="531"/>
      <c r="CIE107" s="530"/>
      <c r="CIF107" s="531"/>
      <c r="CIG107" s="530"/>
      <c r="CIH107" s="531"/>
      <c r="CII107" s="530"/>
      <c r="CIJ107" s="531"/>
      <c r="CIK107" s="530"/>
      <c r="CIL107" s="531"/>
      <c r="CIM107" s="530"/>
      <c r="CIN107" s="531"/>
      <c r="CIO107" s="530"/>
      <c r="CIP107" s="531"/>
      <c r="CIQ107" s="530"/>
      <c r="CIR107" s="531"/>
      <c r="CIS107" s="530"/>
      <c r="CIT107" s="531"/>
      <c r="CIU107" s="530"/>
      <c r="CIV107" s="531"/>
      <c r="CIW107" s="530"/>
      <c r="CIX107" s="531"/>
      <c r="CIY107" s="530"/>
      <c r="CIZ107" s="531"/>
      <c r="CJA107" s="530"/>
      <c r="CJB107" s="531"/>
      <c r="CJC107" s="530"/>
      <c r="CJD107" s="531"/>
      <c r="CJE107" s="530"/>
      <c r="CJF107" s="531"/>
      <c r="CJG107" s="530"/>
      <c r="CJH107" s="531"/>
      <c r="CJI107" s="530"/>
      <c r="CJJ107" s="531"/>
      <c r="CJK107" s="530"/>
      <c r="CJL107" s="531"/>
      <c r="CJM107" s="530"/>
      <c r="CJN107" s="531"/>
      <c r="CJO107" s="530"/>
      <c r="CJP107" s="531"/>
      <c r="CJQ107" s="530"/>
      <c r="CJR107" s="531"/>
      <c r="CJS107" s="530"/>
      <c r="CJT107" s="531"/>
      <c r="CJU107" s="530"/>
      <c r="CJV107" s="531"/>
      <c r="CJW107" s="530"/>
      <c r="CJX107" s="531"/>
      <c r="CJY107" s="530"/>
      <c r="CJZ107" s="531"/>
      <c r="CKA107" s="530"/>
      <c r="CKB107" s="531"/>
      <c r="CKC107" s="530"/>
      <c r="CKD107" s="531"/>
      <c r="CKE107" s="530"/>
      <c r="CKF107" s="531"/>
      <c r="CKG107" s="530"/>
      <c r="CKH107" s="531"/>
      <c r="CKI107" s="530"/>
      <c r="CKJ107" s="531"/>
      <c r="CKK107" s="530"/>
      <c r="CKL107" s="531"/>
      <c r="CKM107" s="530"/>
      <c r="CKN107" s="531"/>
      <c r="CKO107" s="530"/>
      <c r="CKP107" s="531"/>
      <c r="CKQ107" s="530"/>
      <c r="CKR107" s="531"/>
      <c r="CKS107" s="530"/>
      <c r="CKT107" s="531"/>
      <c r="CKU107" s="530"/>
      <c r="CKV107" s="531"/>
      <c r="CKW107" s="530"/>
      <c r="CKX107" s="531"/>
      <c r="CKY107" s="530"/>
      <c r="CKZ107" s="531"/>
      <c r="CLA107" s="530"/>
      <c r="CLB107" s="531"/>
      <c r="CLC107" s="530"/>
      <c r="CLD107" s="531"/>
      <c r="CLE107" s="530"/>
      <c r="CLF107" s="531"/>
      <c r="CLG107" s="530"/>
      <c r="CLH107" s="531"/>
      <c r="CLI107" s="530"/>
      <c r="CLJ107" s="531"/>
      <c r="CLK107" s="530"/>
      <c r="CLL107" s="531"/>
      <c r="CLM107" s="530"/>
      <c r="CLN107" s="531"/>
      <c r="CLO107" s="530"/>
      <c r="CLP107" s="531"/>
      <c r="CLQ107" s="530"/>
      <c r="CLR107" s="531"/>
      <c r="CLS107" s="530"/>
      <c r="CLT107" s="531"/>
      <c r="CLU107" s="530"/>
      <c r="CLV107" s="531"/>
      <c r="CLW107" s="530"/>
      <c r="CLX107" s="531"/>
      <c r="CLY107" s="530"/>
      <c r="CLZ107" s="531"/>
      <c r="CMA107" s="530"/>
      <c r="CMB107" s="531"/>
      <c r="CMC107" s="530"/>
      <c r="CMD107" s="531"/>
      <c r="CME107" s="530"/>
      <c r="CMF107" s="531"/>
      <c r="CMG107" s="530"/>
      <c r="CMH107" s="531"/>
      <c r="CMI107" s="530"/>
      <c r="CMJ107" s="531"/>
      <c r="CMK107" s="530"/>
      <c r="CML107" s="531"/>
      <c r="CMM107" s="530"/>
      <c r="CMN107" s="531"/>
      <c r="CMO107" s="530"/>
      <c r="CMP107" s="531"/>
      <c r="CMQ107" s="530"/>
      <c r="CMR107" s="531"/>
      <c r="CMS107" s="530"/>
      <c r="CMT107" s="531"/>
      <c r="CMU107" s="530"/>
      <c r="CMV107" s="531"/>
      <c r="CMW107" s="530"/>
      <c r="CMX107" s="531"/>
      <c r="CMY107" s="530"/>
      <c r="CMZ107" s="531"/>
      <c r="CNA107" s="530"/>
      <c r="CNB107" s="531"/>
      <c r="CNC107" s="530"/>
      <c r="CND107" s="531"/>
      <c r="CNE107" s="530"/>
      <c r="CNF107" s="531"/>
      <c r="CNG107" s="530"/>
      <c r="CNH107" s="531"/>
      <c r="CNI107" s="530"/>
      <c r="CNJ107" s="531"/>
      <c r="CNK107" s="530"/>
      <c r="CNL107" s="531"/>
      <c r="CNM107" s="530"/>
      <c r="CNN107" s="531"/>
      <c r="CNO107" s="530"/>
      <c r="CNP107" s="531"/>
      <c r="CNQ107" s="530"/>
      <c r="CNR107" s="531"/>
      <c r="CNS107" s="530"/>
      <c r="CNT107" s="531"/>
      <c r="CNU107" s="530"/>
      <c r="CNV107" s="531"/>
      <c r="CNW107" s="530"/>
      <c r="CNX107" s="531"/>
      <c r="CNY107" s="530"/>
      <c r="CNZ107" s="531"/>
      <c r="COA107" s="530"/>
      <c r="COB107" s="531"/>
      <c r="COC107" s="530"/>
      <c r="COD107" s="531"/>
      <c r="COE107" s="530"/>
      <c r="COF107" s="531"/>
      <c r="COG107" s="530"/>
      <c r="COH107" s="531"/>
      <c r="COI107" s="530"/>
      <c r="COJ107" s="531"/>
      <c r="COK107" s="530"/>
      <c r="COL107" s="531"/>
      <c r="COM107" s="530"/>
      <c r="CON107" s="531"/>
      <c r="COO107" s="530"/>
      <c r="COP107" s="531"/>
      <c r="COQ107" s="530"/>
      <c r="COR107" s="531"/>
      <c r="COS107" s="530"/>
      <c r="COT107" s="531"/>
      <c r="COU107" s="530"/>
      <c r="COV107" s="531"/>
      <c r="COW107" s="530"/>
      <c r="COX107" s="531"/>
      <c r="COY107" s="530"/>
      <c r="COZ107" s="531"/>
      <c r="CPA107" s="530"/>
      <c r="CPB107" s="531"/>
      <c r="CPC107" s="530"/>
      <c r="CPD107" s="531"/>
      <c r="CPE107" s="530"/>
      <c r="CPF107" s="531"/>
      <c r="CPG107" s="530"/>
      <c r="CPH107" s="531"/>
      <c r="CPI107" s="530"/>
      <c r="CPJ107" s="531"/>
      <c r="CPK107" s="530"/>
      <c r="CPL107" s="531"/>
      <c r="CPM107" s="530"/>
      <c r="CPN107" s="531"/>
      <c r="CPO107" s="530"/>
      <c r="CPP107" s="531"/>
      <c r="CPQ107" s="530"/>
      <c r="CPR107" s="531"/>
      <c r="CPS107" s="530"/>
      <c r="CPT107" s="531"/>
      <c r="CPU107" s="530"/>
      <c r="CPV107" s="531"/>
      <c r="CPW107" s="530"/>
      <c r="CPX107" s="531"/>
      <c r="CPY107" s="530"/>
      <c r="CPZ107" s="531"/>
      <c r="CQA107" s="530"/>
      <c r="CQB107" s="531"/>
      <c r="CQC107" s="530"/>
      <c r="CQD107" s="531"/>
      <c r="CQE107" s="530"/>
      <c r="CQF107" s="531"/>
      <c r="CQG107" s="530"/>
      <c r="CQH107" s="531"/>
      <c r="CQI107" s="530"/>
      <c r="CQJ107" s="531"/>
      <c r="CQK107" s="530"/>
      <c r="CQL107" s="531"/>
      <c r="CQM107" s="530"/>
      <c r="CQN107" s="531"/>
      <c r="CQO107" s="530"/>
      <c r="CQP107" s="531"/>
      <c r="CQQ107" s="530"/>
      <c r="CQR107" s="531"/>
      <c r="CQS107" s="530"/>
      <c r="CQT107" s="531"/>
      <c r="CQU107" s="530"/>
      <c r="CQV107" s="531"/>
      <c r="CQW107" s="530"/>
      <c r="CQX107" s="531"/>
      <c r="CQY107" s="530"/>
      <c r="CQZ107" s="531"/>
      <c r="CRA107" s="530"/>
      <c r="CRB107" s="531"/>
      <c r="CRC107" s="530"/>
      <c r="CRD107" s="531"/>
      <c r="CRE107" s="530"/>
      <c r="CRF107" s="531"/>
      <c r="CRG107" s="530"/>
      <c r="CRH107" s="531"/>
      <c r="CRI107" s="530"/>
      <c r="CRJ107" s="531"/>
      <c r="CRK107" s="530"/>
      <c r="CRL107" s="531"/>
      <c r="CRM107" s="530"/>
      <c r="CRN107" s="531"/>
      <c r="CRO107" s="530"/>
      <c r="CRP107" s="531"/>
      <c r="CRQ107" s="530"/>
      <c r="CRR107" s="531"/>
      <c r="CRS107" s="530"/>
      <c r="CRT107" s="531"/>
      <c r="CRU107" s="530"/>
      <c r="CRV107" s="531"/>
      <c r="CRW107" s="530"/>
      <c r="CRX107" s="531"/>
      <c r="CRY107" s="530"/>
      <c r="CRZ107" s="531"/>
      <c r="CSA107" s="530"/>
      <c r="CSB107" s="531"/>
      <c r="CSC107" s="530"/>
      <c r="CSD107" s="531"/>
      <c r="CSE107" s="530"/>
      <c r="CSF107" s="531"/>
      <c r="CSG107" s="530"/>
      <c r="CSH107" s="531"/>
      <c r="CSI107" s="530"/>
      <c r="CSJ107" s="531"/>
      <c r="CSK107" s="530"/>
      <c r="CSL107" s="531"/>
      <c r="CSM107" s="530"/>
      <c r="CSN107" s="531"/>
      <c r="CSO107" s="530"/>
      <c r="CSP107" s="531"/>
      <c r="CSQ107" s="530"/>
      <c r="CSR107" s="531"/>
      <c r="CSS107" s="530"/>
      <c r="CST107" s="531"/>
      <c r="CSU107" s="530"/>
      <c r="CSV107" s="531"/>
      <c r="CSW107" s="530"/>
      <c r="CSX107" s="531"/>
      <c r="CSY107" s="530"/>
      <c r="CSZ107" s="531"/>
      <c r="CTA107" s="530"/>
      <c r="CTB107" s="531"/>
      <c r="CTC107" s="530"/>
      <c r="CTD107" s="531"/>
      <c r="CTE107" s="530"/>
      <c r="CTF107" s="531"/>
      <c r="CTG107" s="530"/>
      <c r="CTH107" s="531"/>
      <c r="CTI107" s="530"/>
      <c r="CTJ107" s="531"/>
      <c r="CTK107" s="530"/>
      <c r="CTL107" s="531"/>
      <c r="CTM107" s="530"/>
      <c r="CTN107" s="531"/>
      <c r="CTO107" s="530"/>
      <c r="CTP107" s="531"/>
      <c r="CTQ107" s="530"/>
      <c r="CTR107" s="531"/>
      <c r="CTS107" s="530"/>
      <c r="CTT107" s="531"/>
      <c r="CTU107" s="530"/>
      <c r="CTV107" s="531"/>
      <c r="CTW107" s="530"/>
      <c r="CTX107" s="531"/>
      <c r="CTY107" s="530"/>
      <c r="CTZ107" s="531"/>
      <c r="CUA107" s="530"/>
      <c r="CUB107" s="531"/>
      <c r="CUC107" s="530"/>
      <c r="CUD107" s="531"/>
      <c r="CUE107" s="530"/>
      <c r="CUF107" s="531"/>
      <c r="CUG107" s="530"/>
      <c r="CUH107" s="531"/>
      <c r="CUI107" s="530"/>
      <c r="CUJ107" s="531"/>
      <c r="CUK107" s="530"/>
      <c r="CUL107" s="531"/>
      <c r="CUM107" s="530"/>
      <c r="CUN107" s="531"/>
      <c r="CUO107" s="530"/>
      <c r="CUP107" s="531"/>
      <c r="CUQ107" s="530"/>
      <c r="CUR107" s="531"/>
      <c r="CUS107" s="530"/>
      <c r="CUT107" s="531"/>
      <c r="CUU107" s="530"/>
      <c r="CUV107" s="531"/>
      <c r="CUW107" s="530"/>
      <c r="CUX107" s="531"/>
      <c r="CUY107" s="530"/>
      <c r="CUZ107" s="531"/>
      <c r="CVA107" s="530"/>
      <c r="CVB107" s="531"/>
      <c r="CVC107" s="530"/>
      <c r="CVD107" s="531"/>
      <c r="CVE107" s="530"/>
      <c r="CVF107" s="531"/>
      <c r="CVG107" s="530"/>
      <c r="CVH107" s="531"/>
      <c r="CVI107" s="530"/>
      <c r="CVJ107" s="531"/>
      <c r="CVK107" s="530"/>
      <c r="CVL107" s="531"/>
      <c r="CVM107" s="530"/>
      <c r="CVN107" s="531"/>
      <c r="CVO107" s="530"/>
      <c r="CVP107" s="531"/>
      <c r="CVQ107" s="530"/>
      <c r="CVR107" s="531"/>
      <c r="CVS107" s="530"/>
      <c r="CVT107" s="531"/>
      <c r="CVU107" s="530"/>
      <c r="CVV107" s="531"/>
      <c r="CVW107" s="530"/>
      <c r="CVX107" s="531"/>
      <c r="CVY107" s="530"/>
      <c r="CVZ107" s="531"/>
      <c r="CWA107" s="530"/>
      <c r="CWB107" s="531"/>
      <c r="CWC107" s="530"/>
      <c r="CWD107" s="531"/>
      <c r="CWE107" s="530"/>
      <c r="CWF107" s="531"/>
      <c r="CWG107" s="530"/>
      <c r="CWH107" s="531"/>
      <c r="CWI107" s="530"/>
      <c r="CWJ107" s="531"/>
      <c r="CWK107" s="530"/>
      <c r="CWL107" s="531"/>
      <c r="CWM107" s="530"/>
      <c r="CWN107" s="531"/>
      <c r="CWO107" s="530"/>
      <c r="CWP107" s="531"/>
      <c r="CWQ107" s="530"/>
      <c r="CWR107" s="531"/>
      <c r="CWS107" s="530"/>
      <c r="CWT107" s="531"/>
      <c r="CWU107" s="530"/>
      <c r="CWV107" s="531"/>
      <c r="CWW107" s="530"/>
      <c r="CWX107" s="531"/>
      <c r="CWY107" s="530"/>
      <c r="CWZ107" s="531"/>
      <c r="CXA107" s="530"/>
      <c r="CXB107" s="531"/>
      <c r="CXC107" s="530"/>
      <c r="CXD107" s="531"/>
      <c r="CXE107" s="530"/>
      <c r="CXF107" s="531"/>
      <c r="CXG107" s="530"/>
      <c r="CXH107" s="531"/>
      <c r="CXI107" s="530"/>
      <c r="CXJ107" s="531"/>
      <c r="CXK107" s="530"/>
      <c r="CXL107" s="531"/>
      <c r="CXM107" s="530"/>
      <c r="CXN107" s="531"/>
      <c r="CXO107" s="530"/>
      <c r="CXP107" s="531"/>
      <c r="CXQ107" s="530"/>
      <c r="CXR107" s="531"/>
      <c r="CXS107" s="530"/>
      <c r="CXT107" s="531"/>
      <c r="CXU107" s="530"/>
      <c r="CXV107" s="531"/>
      <c r="CXW107" s="530"/>
      <c r="CXX107" s="531"/>
      <c r="CXY107" s="530"/>
      <c r="CXZ107" s="531"/>
      <c r="CYA107" s="530"/>
      <c r="CYB107" s="531"/>
      <c r="CYC107" s="530"/>
      <c r="CYD107" s="531"/>
      <c r="CYE107" s="530"/>
      <c r="CYF107" s="531"/>
      <c r="CYG107" s="530"/>
      <c r="CYH107" s="531"/>
      <c r="CYI107" s="530"/>
      <c r="CYJ107" s="531"/>
      <c r="CYK107" s="530"/>
      <c r="CYL107" s="531"/>
      <c r="CYM107" s="530"/>
      <c r="CYN107" s="531"/>
      <c r="CYO107" s="530"/>
      <c r="CYP107" s="531"/>
      <c r="CYQ107" s="530"/>
      <c r="CYR107" s="531"/>
      <c r="CYS107" s="530"/>
      <c r="CYT107" s="531"/>
      <c r="CYU107" s="530"/>
      <c r="CYV107" s="531"/>
      <c r="CYW107" s="530"/>
      <c r="CYX107" s="531"/>
      <c r="CYY107" s="530"/>
      <c r="CYZ107" s="531"/>
      <c r="CZA107" s="530"/>
      <c r="CZB107" s="531"/>
      <c r="CZC107" s="530"/>
      <c r="CZD107" s="531"/>
      <c r="CZE107" s="530"/>
      <c r="CZF107" s="531"/>
      <c r="CZG107" s="530"/>
      <c r="CZH107" s="531"/>
      <c r="CZI107" s="530"/>
      <c r="CZJ107" s="531"/>
      <c r="CZK107" s="530"/>
      <c r="CZL107" s="531"/>
      <c r="CZM107" s="530"/>
      <c r="CZN107" s="531"/>
      <c r="CZO107" s="530"/>
      <c r="CZP107" s="531"/>
      <c r="CZQ107" s="530"/>
      <c r="CZR107" s="531"/>
      <c r="CZS107" s="530"/>
      <c r="CZT107" s="531"/>
      <c r="CZU107" s="530"/>
      <c r="CZV107" s="531"/>
      <c r="CZW107" s="530"/>
      <c r="CZX107" s="531"/>
      <c r="CZY107" s="530"/>
      <c r="CZZ107" s="531"/>
      <c r="DAA107" s="530"/>
      <c r="DAB107" s="531"/>
      <c r="DAC107" s="530"/>
      <c r="DAD107" s="531"/>
      <c r="DAE107" s="530"/>
      <c r="DAF107" s="531"/>
      <c r="DAG107" s="530"/>
      <c r="DAH107" s="531"/>
      <c r="DAI107" s="530"/>
      <c r="DAJ107" s="531"/>
      <c r="DAK107" s="530"/>
      <c r="DAL107" s="531"/>
      <c r="DAM107" s="530"/>
      <c r="DAN107" s="531"/>
      <c r="DAO107" s="530"/>
      <c r="DAP107" s="531"/>
      <c r="DAQ107" s="530"/>
      <c r="DAR107" s="531"/>
      <c r="DAS107" s="530"/>
      <c r="DAT107" s="531"/>
      <c r="DAU107" s="530"/>
      <c r="DAV107" s="531"/>
      <c r="DAW107" s="530"/>
      <c r="DAX107" s="531"/>
      <c r="DAY107" s="530"/>
      <c r="DAZ107" s="531"/>
      <c r="DBA107" s="530"/>
      <c r="DBB107" s="531"/>
      <c r="DBC107" s="530"/>
      <c r="DBD107" s="531"/>
      <c r="DBE107" s="530"/>
      <c r="DBF107" s="531"/>
      <c r="DBG107" s="530"/>
      <c r="DBH107" s="531"/>
      <c r="DBI107" s="530"/>
      <c r="DBJ107" s="531"/>
      <c r="DBK107" s="530"/>
      <c r="DBL107" s="531"/>
      <c r="DBM107" s="530"/>
      <c r="DBN107" s="531"/>
      <c r="DBO107" s="530"/>
      <c r="DBP107" s="531"/>
      <c r="DBQ107" s="530"/>
      <c r="DBR107" s="531"/>
      <c r="DBS107" s="530"/>
      <c r="DBT107" s="531"/>
      <c r="DBU107" s="530"/>
      <c r="DBV107" s="531"/>
      <c r="DBW107" s="530"/>
      <c r="DBX107" s="531"/>
      <c r="DBY107" s="530"/>
      <c r="DBZ107" s="531"/>
      <c r="DCA107" s="530"/>
      <c r="DCB107" s="531"/>
      <c r="DCC107" s="530"/>
      <c r="DCD107" s="531"/>
      <c r="DCE107" s="530"/>
      <c r="DCF107" s="531"/>
      <c r="DCG107" s="530"/>
      <c r="DCH107" s="531"/>
      <c r="DCI107" s="530"/>
      <c r="DCJ107" s="531"/>
      <c r="DCK107" s="530"/>
      <c r="DCL107" s="531"/>
      <c r="DCM107" s="530"/>
      <c r="DCN107" s="531"/>
      <c r="DCO107" s="530"/>
      <c r="DCP107" s="531"/>
      <c r="DCQ107" s="530"/>
      <c r="DCR107" s="531"/>
      <c r="DCS107" s="530"/>
      <c r="DCT107" s="531"/>
      <c r="DCU107" s="530"/>
      <c r="DCV107" s="531"/>
      <c r="DCW107" s="530"/>
      <c r="DCX107" s="531"/>
      <c r="DCY107" s="530"/>
      <c r="DCZ107" s="531"/>
      <c r="DDA107" s="530"/>
      <c r="DDB107" s="531"/>
      <c r="DDC107" s="530"/>
      <c r="DDD107" s="531"/>
      <c r="DDE107" s="530"/>
      <c r="DDF107" s="531"/>
      <c r="DDG107" s="530"/>
      <c r="DDH107" s="531"/>
      <c r="DDI107" s="530"/>
      <c r="DDJ107" s="531"/>
      <c r="DDK107" s="530"/>
      <c r="DDL107" s="531"/>
      <c r="DDM107" s="530"/>
      <c r="DDN107" s="531"/>
      <c r="DDO107" s="530"/>
      <c r="DDP107" s="531"/>
      <c r="DDQ107" s="530"/>
      <c r="DDR107" s="531"/>
      <c r="DDS107" s="530"/>
      <c r="DDT107" s="531"/>
      <c r="DDU107" s="530"/>
      <c r="DDV107" s="531"/>
      <c r="DDW107" s="530"/>
      <c r="DDX107" s="531"/>
      <c r="DDY107" s="530"/>
      <c r="DDZ107" s="531"/>
      <c r="DEA107" s="530"/>
      <c r="DEB107" s="531"/>
      <c r="DEC107" s="530"/>
      <c r="DED107" s="531"/>
      <c r="DEE107" s="530"/>
      <c r="DEF107" s="531"/>
      <c r="DEG107" s="530"/>
      <c r="DEH107" s="531"/>
      <c r="DEI107" s="530"/>
      <c r="DEJ107" s="531"/>
      <c r="DEK107" s="530"/>
      <c r="DEL107" s="531"/>
      <c r="DEM107" s="530"/>
      <c r="DEN107" s="531"/>
      <c r="DEO107" s="530"/>
      <c r="DEP107" s="531"/>
      <c r="DEQ107" s="530"/>
      <c r="DER107" s="531"/>
      <c r="DES107" s="530"/>
      <c r="DET107" s="531"/>
      <c r="DEU107" s="530"/>
      <c r="DEV107" s="531"/>
      <c r="DEW107" s="530"/>
      <c r="DEX107" s="531"/>
      <c r="DEY107" s="530"/>
      <c r="DEZ107" s="531"/>
      <c r="DFA107" s="530"/>
      <c r="DFB107" s="531"/>
      <c r="DFC107" s="530"/>
      <c r="DFD107" s="531"/>
      <c r="DFE107" s="530"/>
      <c r="DFF107" s="531"/>
      <c r="DFG107" s="530"/>
      <c r="DFH107" s="531"/>
      <c r="DFI107" s="530"/>
      <c r="DFJ107" s="531"/>
      <c r="DFK107" s="530"/>
      <c r="DFL107" s="531"/>
      <c r="DFM107" s="530"/>
      <c r="DFN107" s="531"/>
      <c r="DFO107" s="530"/>
      <c r="DFP107" s="531"/>
      <c r="DFQ107" s="530"/>
      <c r="DFR107" s="531"/>
      <c r="DFS107" s="530"/>
      <c r="DFT107" s="531"/>
      <c r="DFU107" s="530"/>
      <c r="DFV107" s="531"/>
      <c r="DFW107" s="530"/>
      <c r="DFX107" s="531"/>
      <c r="DFY107" s="530"/>
      <c r="DFZ107" s="531"/>
      <c r="DGA107" s="530"/>
      <c r="DGB107" s="531"/>
      <c r="DGC107" s="530"/>
      <c r="DGD107" s="531"/>
      <c r="DGE107" s="530"/>
      <c r="DGF107" s="531"/>
      <c r="DGG107" s="530"/>
      <c r="DGH107" s="531"/>
      <c r="DGI107" s="530"/>
      <c r="DGJ107" s="531"/>
      <c r="DGK107" s="530"/>
      <c r="DGL107" s="531"/>
      <c r="DGM107" s="530"/>
      <c r="DGN107" s="531"/>
      <c r="DGO107" s="530"/>
      <c r="DGP107" s="531"/>
      <c r="DGQ107" s="530"/>
      <c r="DGR107" s="531"/>
      <c r="DGS107" s="530"/>
      <c r="DGT107" s="531"/>
      <c r="DGU107" s="530"/>
      <c r="DGV107" s="531"/>
      <c r="DGW107" s="530"/>
      <c r="DGX107" s="531"/>
      <c r="DGY107" s="530"/>
      <c r="DGZ107" s="531"/>
      <c r="DHA107" s="530"/>
      <c r="DHB107" s="531"/>
      <c r="DHC107" s="530"/>
      <c r="DHD107" s="531"/>
      <c r="DHE107" s="530"/>
      <c r="DHF107" s="531"/>
      <c r="DHG107" s="530"/>
      <c r="DHH107" s="531"/>
      <c r="DHI107" s="530"/>
      <c r="DHJ107" s="531"/>
      <c r="DHK107" s="530"/>
      <c r="DHL107" s="531"/>
      <c r="DHM107" s="530"/>
      <c r="DHN107" s="531"/>
      <c r="DHO107" s="530"/>
      <c r="DHP107" s="531"/>
      <c r="DHQ107" s="530"/>
      <c r="DHR107" s="531"/>
      <c r="DHS107" s="530"/>
      <c r="DHT107" s="531"/>
      <c r="DHU107" s="530"/>
      <c r="DHV107" s="531"/>
      <c r="DHW107" s="530"/>
      <c r="DHX107" s="531"/>
      <c r="DHY107" s="530"/>
      <c r="DHZ107" s="531"/>
      <c r="DIA107" s="530"/>
      <c r="DIB107" s="531"/>
      <c r="DIC107" s="530"/>
      <c r="DID107" s="531"/>
      <c r="DIE107" s="530"/>
      <c r="DIF107" s="531"/>
      <c r="DIG107" s="530"/>
      <c r="DIH107" s="531"/>
      <c r="DII107" s="530"/>
      <c r="DIJ107" s="531"/>
      <c r="DIK107" s="530"/>
      <c r="DIL107" s="531"/>
      <c r="DIM107" s="530"/>
      <c r="DIN107" s="531"/>
      <c r="DIO107" s="530"/>
      <c r="DIP107" s="531"/>
      <c r="DIQ107" s="530"/>
      <c r="DIR107" s="531"/>
      <c r="DIS107" s="530"/>
      <c r="DIT107" s="531"/>
      <c r="DIU107" s="530"/>
      <c r="DIV107" s="531"/>
      <c r="DIW107" s="530"/>
      <c r="DIX107" s="531"/>
      <c r="DIY107" s="530"/>
      <c r="DIZ107" s="531"/>
      <c r="DJA107" s="530"/>
      <c r="DJB107" s="531"/>
      <c r="DJC107" s="530"/>
      <c r="DJD107" s="531"/>
      <c r="DJE107" s="530"/>
      <c r="DJF107" s="531"/>
      <c r="DJG107" s="530"/>
      <c r="DJH107" s="531"/>
      <c r="DJI107" s="530"/>
      <c r="DJJ107" s="531"/>
      <c r="DJK107" s="530"/>
      <c r="DJL107" s="531"/>
      <c r="DJM107" s="530"/>
      <c r="DJN107" s="531"/>
      <c r="DJO107" s="530"/>
      <c r="DJP107" s="531"/>
      <c r="DJQ107" s="530"/>
      <c r="DJR107" s="531"/>
      <c r="DJS107" s="530"/>
      <c r="DJT107" s="531"/>
      <c r="DJU107" s="530"/>
      <c r="DJV107" s="531"/>
      <c r="DJW107" s="530"/>
      <c r="DJX107" s="531"/>
      <c r="DJY107" s="530"/>
      <c r="DJZ107" s="531"/>
      <c r="DKA107" s="530"/>
      <c r="DKB107" s="531"/>
      <c r="DKC107" s="530"/>
      <c r="DKD107" s="531"/>
      <c r="DKE107" s="530"/>
      <c r="DKF107" s="531"/>
      <c r="DKG107" s="530"/>
      <c r="DKH107" s="531"/>
      <c r="DKI107" s="530"/>
      <c r="DKJ107" s="531"/>
      <c r="DKK107" s="530"/>
      <c r="DKL107" s="531"/>
      <c r="DKM107" s="530"/>
      <c r="DKN107" s="531"/>
      <c r="DKO107" s="530"/>
      <c r="DKP107" s="531"/>
      <c r="DKQ107" s="530"/>
      <c r="DKR107" s="531"/>
      <c r="DKS107" s="530"/>
      <c r="DKT107" s="531"/>
      <c r="DKU107" s="530"/>
      <c r="DKV107" s="531"/>
      <c r="DKW107" s="530"/>
      <c r="DKX107" s="531"/>
      <c r="DKY107" s="530"/>
      <c r="DKZ107" s="531"/>
      <c r="DLA107" s="530"/>
      <c r="DLB107" s="531"/>
      <c r="DLC107" s="530"/>
      <c r="DLD107" s="531"/>
      <c r="DLE107" s="530"/>
      <c r="DLF107" s="531"/>
      <c r="DLG107" s="530"/>
      <c r="DLH107" s="531"/>
      <c r="DLI107" s="530"/>
      <c r="DLJ107" s="531"/>
      <c r="DLK107" s="530"/>
      <c r="DLL107" s="531"/>
      <c r="DLM107" s="530"/>
      <c r="DLN107" s="531"/>
      <c r="DLO107" s="530"/>
      <c r="DLP107" s="531"/>
      <c r="DLQ107" s="530"/>
      <c r="DLR107" s="531"/>
      <c r="DLS107" s="530"/>
      <c r="DLT107" s="531"/>
      <c r="DLU107" s="530"/>
      <c r="DLV107" s="531"/>
      <c r="DLW107" s="530"/>
      <c r="DLX107" s="531"/>
      <c r="DLY107" s="530"/>
      <c r="DLZ107" s="531"/>
      <c r="DMA107" s="530"/>
      <c r="DMB107" s="531"/>
      <c r="DMC107" s="530"/>
      <c r="DMD107" s="531"/>
      <c r="DME107" s="530"/>
      <c r="DMF107" s="531"/>
      <c r="DMG107" s="530"/>
      <c r="DMH107" s="531"/>
      <c r="DMI107" s="530"/>
      <c r="DMJ107" s="531"/>
      <c r="DMK107" s="530"/>
      <c r="DML107" s="531"/>
      <c r="DMM107" s="530"/>
      <c r="DMN107" s="531"/>
      <c r="DMO107" s="530"/>
      <c r="DMP107" s="531"/>
      <c r="DMQ107" s="530"/>
      <c r="DMR107" s="531"/>
      <c r="DMS107" s="530"/>
      <c r="DMT107" s="531"/>
      <c r="DMU107" s="530"/>
      <c r="DMV107" s="531"/>
      <c r="DMW107" s="530"/>
      <c r="DMX107" s="531"/>
      <c r="DMY107" s="530"/>
      <c r="DMZ107" s="531"/>
      <c r="DNA107" s="530"/>
      <c r="DNB107" s="531"/>
      <c r="DNC107" s="530"/>
      <c r="DND107" s="531"/>
      <c r="DNE107" s="530"/>
      <c r="DNF107" s="531"/>
      <c r="DNG107" s="530"/>
      <c r="DNH107" s="531"/>
      <c r="DNI107" s="530"/>
      <c r="DNJ107" s="531"/>
      <c r="DNK107" s="530"/>
      <c r="DNL107" s="531"/>
      <c r="DNM107" s="530"/>
      <c r="DNN107" s="531"/>
      <c r="DNO107" s="530"/>
      <c r="DNP107" s="531"/>
      <c r="DNQ107" s="530"/>
      <c r="DNR107" s="531"/>
      <c r="DNS107" s="530"/>
      <c r="DNT107" s="531"/>
      <c r="DNU107" s="530"/>
      <c r="DNV107" s="531"/>
      <c r="DNW107" s="530"/>
      <c r="DNX107" s="531"/>
      <c r="DNY107" s="530"/>
      <c r="DNZ107" s="531"/>
      <c r="DOA107" s="530"/>
      <c r="DOB107" s="531"/>
      <c r="DOC107" s="530"/>
      <c r="DOD107" s="531"/>
      <c r="DOE107" s="530"/>
      <c r="DOF107" s="531"/>
      <c r="DOG107" s="530"/>
      <c r="DOH107" s="531"/>
      <c r="DOI107" s="530"/>
      <c r="DOJ107" s="531"/>
      <c r="DOK107" s="530"/>
      <c r="DOL107" s="531"/>
      <c r="DOM107" s="530"/>
      <c r="DON107" s="531"/>
      <c r="DOO107" s="530"/>
      <c r="DOP107" s="531"/>
      <c r="DOQ107" s="530"/>
      <c r="DOR107" s="531"/>
      <c r="DOS107" s="530"/>
      <c r="DOT107" s="531"/>
      <c r="DOU107" s="530"/>
      <c r="DOV107" s="531"/>
      <c r="DOW107" s="530"/>
      <c r="DOX107" s="531"/>
      <c r="DOY107" s="530"/>
      <c r="DOZ107" s="531"/>
      <c r="DPA107" s="530"/>
      <c r="DPB107" s="531"/>
      <c r="DPC107" s="530"/>
      <c r="DPD107" s="531"/>
      <c r="DPE107" s="530"/>
      <c r="DPF107" s="531"/>
      <c r="DPG107" s="530"/>
      <c r="DPH107" s="531"/>
      <c r="DPI107" s="530"/>
      <c r="DPJ107" s="531"/>
      <c r="DPK107" s="530"/>
      <c r="DPL107" s="531"/>
      <c r="DPM107" s="530"/>
      <c r="DPN107" s="531"/>
      <c r="DPO107" s="530"/>
      <c r="DPP107" s="531"/>
      <c r="DPQ107" s="530"/>
      <c r="DPR107" s="531"/>
      <c r="DPS107" s="530"/>
      <c r="DPT107" s="531"/>
      <c r="DPU107" s="530"/>
      <c r="DPV107" s="531"/>
      <c r="DPW107" s="530"/>
      <c r="DPX107" s="531"/>
      <c r="DPY107" s="530"/>
      <c r="DPZ107" s="531"/>
      <c r="DQA107" s="530"/>
      <c r="DQB107" s="531"/>
      <c r="DQC107" s="530"/>
      <c r="DQD107" s="531"/>
      <c r="DQE107" s="530"/>
      <c r="DQF107" s="531"/>
      <c r="DQG107" s="530"/>
      <c r="DQH107" s="531"/>
      <c r="DQI107" s="530"/>
      <c r="DQJ107" s="531"/>
      <c r="DQK107" s="530"/>
      <c r="DQL107" s="531"/>
      <c r="DQM107" s="530"/>
      <c r="DQN107" s="531"/>
      <c r="DQO107" s="530"/>
      <c r="DQP107" s="531"/>
      <c r="DQQ107" s="530"/>
      <c r="DQR107" s="531"/>
      <c r="DQS107" s="530"/>
      <c r="DQT107" s="531"/>
      <c r="DQU107" s="530"/>
      <c r="DQV107" s="531"/>
      <c r="DQW107" s="530"/>
      <c r="DQX107" s="531"/>
      <c r="DQY107" s="530"/>
      <c r="DQZ107" s="531"/>
      <c r="DRA107" s="530"/>
      <c r="DRB107" s="531"/>
      <c r="DRC107" s="530"/>
      <c r="DRD107" s="531"/>
      <c r="DRE107" s="530"/>
      <c r="DRF107" s="531"/>
      <c r="DRG107" s="530"/>
      <c r="DRH107" s="531"/>
      <c r="DRI107" s="530"/>
      <c r="DRJ107" s="531"/>
      <c r="DRK107" s="530"/>
      <c r="DRL107" s="531"/>
      <c r="DRM107" s="530"/>
      <c r="DRN107" s="531"/>
      <c r="DRO107" s="530"/>
      <c r="DRP107" s="531"/>
      <c r="DRQ107" s="530"/>
      <c r="DRR107" s="531"/>
      <c r="DRS107" s="530"/>
      <c r="DRT107" s="531"/>
      <c r="DRU107" s="530"/>
      <c r="DRV107" s="531"/>
      <c r="DRW107" s="530"/>
      <c r="DRX107" s="531"/>
      <c r="DRY107" s="530"/>
      <c r="DRZ107" s="531"/>
      <c r="DSA107" s="530"/>
      <c r="DSB107" s="531"/>
      <c r="DSC107" s="530"/>
      <c r="DSD107" s="531"/>
      <c r="DSE107" s="530"/>
      <c r="DSF107" s="531"/>
      <c r="DSG107" s="530"/>
      <c r="DSH107" s="531"/>
      <c r="DSI107" s="530"/>
      <c r="DSJ107" s="531"/>
      <c r="DSK107" s="530"/>
      <c r="DSL107" s="531"/>
      <c r="DSM107" s="530"/>
      <c r="DSN107" s="531"/>
      <c r="DSO107" s="530"/>
      <c r="DSP107" s="531"/>
      <c r="DSQ107" s="530"/>
      <c r="DSR107" s="531"/>
      <c r="DSS107" s="530"/>
      <c r="DST107" s="531"/>
      <c r="DSU107" s="530"/>
      <c r="DSV107" s="531"/>
      <c r="DSW107" s="530"/>
      <c r="DSX107" s="531"/>
      <c r="DSY107" s="530"/>
      <c r="DSZ107" s="531"/>
      <c r="DTA107" s="530"/>
      <c r="DTB107" s="531"/>
      <c r="DTC107" s="530"/>
      <c r="DTD107" s="531"/>
      <c r="DTE107" s="530"/>
      <c r="DTF107" s="531"/>
      <c r="DTG107" s="530"/>
      <c r="DTH107" s="531"/>
      <c r="DTI107" s="530"/>
      <c r="DTJ107" s="531"/>
      <c r="DTK107" s="530"/>
      <c r="DTL107" s="531"/>
      <c r="DTM107" s="530"/>
      <c r="DTN107" s="531"/>
      <c r="DTO107" s="530"/>
      <c r="DTP107" s="531"/>
      <c r="DTQ107" s="530"/>
      <c r="DTR107" s="531"/>
      <c r="DTS107" s="530"/>
      <c r="DTT107" s="531"/>
      <c r="DTU107" s="530"/>
      <c r="DTV107" s="531"/>
      <c r="DTW107" s="530"/>
      <c r="DTX107" s="531"/>
      <c r="DTY107" s="530"/>
      <c r="DTZ107" s="531"/>
      <c r="DUA107" s="530"/>
      <c r="DUB107" s="531"/>
      <c r="DUC107" s="530"/>
      <c r="DUD107" s="531"/>
      <c r="DUE107" s="530"/>
      <c r="DUF107" s="531"/>
      <c r="DUG107" s="530"/>
      <c r="DUH107" s="531"/>
      <c r="DUI107" s="530"/>
      <c r="DUJ107" s="531"/>
      <c r="DUK107" s="530"/>
      <c r="DUL107" s="531"/>
      <c r="DUM107" s="530"/>
      <c r="DUN107" s="531"/>
      <c r="DUO107" s="530"/>
      <c r="DUP107" s="531"/>
      <c r="DUQ107" s="530"/>
      <c r="DUR107" s="531"/>
      <c r="DUS107" s="530"/>
      <c r="DUT107" s="531"/>
      <c r="DUU107" s="530"/>
      <c r="DUV107" s="531"/>
      <c r="DUW107" s="530"/>
      <c r="DUX107" s="531"/>
      <c r="DUY107" s="530"/>
      <c r="DUZ107" s="531"/>
      <c r="DVA107" s="530"/>
      <c r="DVB107" s="531"/>
      <c r="DVC107" s="530"/>
      <c r="DVD107" s="531"/>
      <c r="DVE107" s="530"/>
      <c r="DVF107" s="531"/>
      <c r="DVG107" s="530"/>
      <c r="DVH107" s="531"/>
      <c r="DVI107" s="530"/>
      <c r="DVJ107" s="531"/>
      <c r="DVK107" s="530"/>
      <c r="DVL107" s="531"/>
      <c r="DVM107" s="530"/>
      <c r="DVN107" s="531"/>
      <c r="DVO107" s="530"/>
      <c r="DVP107" s="531"/>
      <c r="DVQ107" s="530"/>
      <c r="DVR107" s="531"/>
      <c r="DVS107" s="530"/>
      <c r="DVT107" s="531"/>
      <c r="DVU107" s="530"/>
      <c r="DVV107" s="531"/>
      <c r="DVW107" s="530"/>
      <c r="DVX107" s="531"/>
      <c r="DVY107" s="530"/>
      <c r="DVZ107" s="531"/>
      <c r="DWA107" s="530"/>
      <c r="DWB107" s="531"/>
      <c r="DWC107" s="530"/>
      <c r="DWD107" s="531"/>
      <c r="DWE107" s="530"/>
      <c r="DWF107" s="531"/>
      <c r="DWG107" s="530"/>
      <c r="DWH107" s="531"/>
      <c r="DWI107" s="530"/>
      <c r="DWJ107" s="531"/>
      <c r="DWK107" s="530"/>
      <c r="DWL107" s="531"/>
      <c r="DWM107" s="530"/>
      <c r="DWN107" s="531"/>
      <c r="DWO107" s="530"/>
      <c r="DWP107" s="531"/>
      <c r="DWQ107" s="530"/>
      <c r="DWR107" s="531"/>
      <c r="DWS107" s="530"/>
      <c r="DWT107" s="531"/>
      <c r="DWU107" s="530"/>
      <c r="DWV107" s="531"/>
      <c r="DWW107" s="530"/>
      <c r="DWX107" s="531"/>
      <c r="DWY107" s="530"/>
      <c r="DWZ107" s="531"/>
      <c r="DXA107" s="530"/>
      <c r="DXB107" s="531"/>
      <c r="DXC107" s="530"/>
      <c r="DXD107" s="531"/>
      <c r="DXE107" s="530"/>
      <c r="DXF107" s="531"/>
      <c r="DXG107" s="530"/>
      <c r="DXH107" s="531"/>
      <c r="DXI107" s="530"/>
      <c r="DXJ107" s="531"/>
      <c r="DXK107" s="530"/>
      <c r="DXL107" s="531"/>
      <c r="DXM107" s="530"/>
      <c r="DXN107" s="531"/>
      <c r="DXO107" s="530"/>
      <c r="DXP107" s="531"/>
      <c r="DXQ107" s="530"/>
      <c r="DXR107" s="531"/>
      <c r="DXS107" s="530"/>
      <c r="DXT107" s="531"/>
      <c r="DXU107" s="530"/>
      <c r="DXV107" s="531"/>
      <c r="DXW107" s="530"/>
      <c r="DXX107" s="531"/>
      <c r="DXY107" s="530"/>
      <c r="DXZ107" s="531"/>
      <c r="DYA107" s="530"/>
      <c r="DYB107" s="531"/>
      <c r="DYC107" s="530"/>
      <c r="DYD107" s="531"/>
      <c r="DYE107" s="530"/>
      <c r="DYF107" s="531"/>
      <c r="DYG107" s="530"/>
      <c r="DYH107" s="531"/>
      <c r="DYI107" s="530"/>
      <c r="DYJ107" s="531"/>
      <c r="DYK107" s="530"/>
      <c r="DYL107" s="531"/>
      <c r="DYM107" s="530"/>
      <c r="DYN107" s="531"/>
      <c r="DYO107" s="530"/>
      <c r="DYP107" s="531"/>
      <c r="DYQ107" s="530"/>
      <c r="DYR107" s="531"/>
      <c r="DYS107" s="530"/>
      <c r="DYT107" s="531"/>
      <c r="DYU107" s="530"/>
      <c r="DYV107" s="531"/>
      <c r="DYW107" s="530"/>
      <c r="DYX107" s="531"/>
      <c r="DYY107" s="530"/>
      <c r="DYZ107" s="531"/>
      <c r="DZA107" s="530"/>
      <c r="DZB107" s="531"/>
      <c r="DZC107" s="530"/>
      <c r="DZD107" s="531"/>
      <c r="DZE107" s="530"/>
      <c r="DZF107" s="531"/>
      <c r="DZG107" s="530"/>
      <c r="DZH107" s="531"/>
      <c r="DZI107" s="530"/>
      <c r="DZJ107" s="531"/>
      <c r="DZK107" s="530"/>
      <c r="DZL107" s="531"/>
      <c r="DZM107" s="530"/>
      <c r="DZN107" s="531"/>
      <c r="DZO107" s="530"/>
      <c r="DZP107" s="531"/>
      <c r="DZQ107" s="530"/>
      <c r="DZR107" s="531"/>
      <c r="DZS107" s="530"/>
      <c r="DZT107" s="531"/>
      <c r="DZU107" s="530"/>
      <c r="DZV107" s="531"/>
      <c r="DZW107" s="530"/>
      <c r="DZX107" s="531"/>
      <c r="DZY107" s="530"/>
      <c r="DZZ107" s="531"/>
      <c r="EAA107" s="530"/>
      <c r="EAB107" s="531"/>
      <c r="EAC107" s="530"/>
      <c r="EAD107" s="531"/>
      <c r="EAE107" s="530"/>
      <c r="EAF107" s="531"/>
      <c r="EAG107" s="530"/>
      <c r="EAH107" s="531"/>
      <c r="EAI107" s="530"/>
      <c r="EAJ107" s="531"/>
      <c r="EAK107" s="530"/>
      <c r="EAL107" s="531"/>
      <c r="EAM107" s="530"/>
      <c r="EAN107" s="531"/>
      <c r="EAO107" s="530"/>
      <c r="EAP107" s="531"/>
      <c r="EAQ107" s="530"/>
      <c r="EAR107" s="531"/>
      <c r="EAS107" s="530"/>
      <c r="EAT107" s="531"/>
      <c r="EAU107" s="530"/>
      <c r="EAV107" s="531"/>
      <c r="EAW107" s="530"/>
      <c r="EAX107" s="531"/>
      <c r="EAY107" s="530"/>
      <c r="EAZ107" s="531"/>
      <c r="EBA107" s="530"/>
      <c r="EBB107" s="531"/>
      <c r="EBC107" s="530"/>
      <c r="EBD107" s="531"/>
      <c r="EBE107" s="530"/>
      <c r="EBF107" s="531"/>
      <c r="EBG107" s="530"/>
      <c r="EBH107" s="531"/>
      <c r="EBI107" s="530"/>
      <c r="EBJ107" s="531"/>
      <c r="EBK107" s="530"/>
      <c r="EBL107" s="531"/>
      <c r="EBM107" s="530"/>
      <c r="EBN107" s="531"/>
      <c r="EBO107" s="530"/>
      <c r="EBP107" s="531"/>
      <c r="EBQ107" s="530"/>
      <c r="EBR107" s="531"/>
      <c r="EBS107" s="530"/>
      <c r="EBT107" s="531"/>
      <c r="EBU107" s="530"/>
      <c r="EBV107" s="531"/>
      <c r="EBW107" s="530"/>
      <c r="EBX107" s="531"/>
      <c r="EBY107" s="530"/>
      <c r="EBZ107" s="531"/>
      <c r="ECA107" s="530"/>
      <c r="ECB107" s="531"/>
      <c r="ECC107" s="530"/>
      <c r="ECD107" s="531"/>
      <c r="ECE107" s="530"/>
      <c r="ECF107" s="531"/>
      <c r="ECG107" s="530"/>
      <c r="ECH107" s="531"/>
      <c r="ECI107" s="530"/>
      <c r="ECJ107" s="531"/>
      <c r="ECK107" s="530"/>
      <c r="ECL107" s="531"/>
      <c r="ECM107" s="530"/>
      <c r="ECN107" s="531"/>
      <c r="ECO107" s="530"/>
      <c r="ECP107" s="531"/>
      <c r="ECQ107" s="530"/>
      <c r="ECR107" s="531"/>
      <c r="ECS107" s="530"/>
      <c r="ECT107" s="531"/>
      <c r="ECU107" s="530"/>
      <c r="ECV107" s="531"/>
      <c r="ECW107" s="530"/>
      <c r="ECX107" s="531"/>
      <c r="ECY107" s="530"/>
      <c r="ECZ107" s="531"/>
      <c r="EDA107" s="530"/>
      <c r="EDB107" s="531"/>
      <c r="EDC107" s="530"/>
      <c r="EDD107" s="531"/>
      <c r="EDE107" s="530"/>
      <c r="EDF107" s="531"/>
      <c r="EDG107" s="530"/>
      <c r="EDH107" s="531"/>
      <c r="EDI107" s="530"/>
      <c r="EDJ107" s="531"/>
      <c r="EDK107" s="530"/>
      <c r="EDL107" s="531"/>
      <c r="EDM107" s="530"/>
      <c r="EDN107" s="531"/>
      <c r="EDO107" s="530"/>
      <c r="EDP107" s="531"/>
      <c r="EDQ107" s="530"/>
      <c r="EDR107" s="531"/>
      <c r="EDS107" s="530"/>
      <c r="EDT107" s="531"/>
      <c r="EDU107" s="530"/>
      <c r="EDV107" s="531"/>
      <c r="EDW107" s="530"/>
      <c r="EDX107" s="531"/>
      <c r="EDY107" s="530"/>
      <c r="EDZ107" s="531"/>
      <c r="EEA107" s="530"/>
      <c r="EEB107" s="531"/>
      <c r="EEC107" s="530"/>
      <c r="EED107" s="531"/>
      <c r="EEE107" s="530"/>
      <c r="EEF107" s="531"/>
      <c r="EEG107" s="530"/>
      <c r="EEH107" s="531"/>
      <c r="EEI107" s="530"/>
      <c r="EEJ107" s="531"/>
      <c r="EEK107" s="530"/>
      <c r="EEL107" s="531"/>
      <c r="EEM107" s="530"/>
      <c r="EEN107" s="531"/>
      <c r="EEO107" s="530"/>
      <c r="EEP107" s="531"/>
      <c r="EEQ107" s="530"/>
      <c r="EER107" s="531"/>
      <c r="EES107" s="530"/>
      <c r="EET107" s="531"/>
      <c r="EEU107" s="530"/>
      <c r="EEV107" s="531"/>
      <c r="EEW107" s="530"/>
      <c r="EEX107" s="531"/>
      <c r="EEY107" s="530"/>
      <c r="EEZ107" s="531"/>
      <c r="EFA107" s="530"/>
      <c r="EFB107" s="531"/>
      <c r="EFC107" s="530"/>
      <c r="EFD107" s="531"/>
      <c r="EFE107" s="530"/>
      <c r="EFF107" s="531"/>
      <c r="EFG107" s="530"/>
      <c r="EFH107" s="531"/>
      <c r="EFI107" s="530"/>
      <c r="EFJ107" s="531"/>
      <c r="EFK107" s="530"/>
      <c r="EFL107" s="531"/>
      <c r="EFM107" s="530"/>
      <c r="EFN107" s="531"/>
      <c r="EFO107" s="530"/>
      <c r="EFP107" s="531"/>
      <c r="EFQ107" s="530"/>
      <c r="EFR107" s="531"/>
      <c r="EFS107" s="530"/>
      <c r="EFT107" s="531"/>
      <c r="EFU107" s="530"/>
      <c r="EFV107" s="531"/>
      <c r="EFW107" s="530"/>
      <c r="EFX107" s="531"/>
      <c r="EFY107" s="530"/>
      <c r="EFZ107" s="531"/>
      <c r="EGA107" s="530"/>
      <c r="EGB107" s="531"/>
      <c r="EGC107" s="530"/>
      <c r="EGD107" s="531"/>
      <c r="EGE107" s="530"/>
      <c r="EGF107" s="531"/>
      <c r="EGG107" s="530"/>
      <c r="EGH107" s="531"/>
      <c r="EGI107" s="530"/>
      <c r="EGJ107" s="531"/>
      <c r="EGK107" s="530"/>
      <c r="EGL107" s="531"/>
      <c r="EGM107" s="530"/>
      <c r="EGN107" s="531"/>
      <c r="EGO107" s="530"/>
      <c r="EGP107" s="531"/>
      <c r="EGQ107" s="530"/>
      <c r="EGR107" s="531"/>
      <c r="EGS107" s="530"/>
      <c r="EGT107" s="531"/>
      <c r="EGU107" s="530"/>
      <c r="EGV107" s="531"/>
      <c r="EGW107" s="530"/>
      <c r="EGX107" s="531"/>
      <c r="EGY107" s="530"/>
      <c r="EGZ107" s="531"/>
      <c r="EHA107" s="530"/>
      <c r="EHB107" s="531"/>
      <c r="EHC107" s="530"/>
      <c r="EHD107" s="531"/>
      <c r="EHE107" s="530"/>
      <c r="EHF107" s="531"/>
      <c r="EHG107" s="530"/>
      <c r="EHH107" s="531"/>
      <c r="EHI107" s="530"/>
      <c r="EHJ107" s="531"/>
      <c r="EHK107" s="530"/>
      <c r="EHL107" s="531"/>
      <c r="EHM107" s="530"/>
      <c r="EHN107" s="531"/>
      <c r="EHO107" s="530"/>
      <c r="EHP107" s="531"/>
      <c r="EHQ107" s="530"/>
      <c r="EHR107" s="531"/>
      <c r="EHS107" s="530"/>
      <c r="EHT107" s="531"/>
      <c r="EHU107" s="530"/>
      <c r="EHV107" s="531"/>
      <c r="EHW107" s="530"/>
      <c r="EHX107" s="531"/>
      <c r="EHY107" s="530"/>
      <c r="EHZ107" s="531"/>
      <c r="EIA107" s="530"/>
      <c r="EIB107" s="531"/>
      <c r="EIC107" s="530"/>
      <c r="EID107" s="531"/>
      <c r="EIE107" s="530"/>
      <c r="EIF107" s="531"/>
      <c r="EIG107" s="530"/>
      <c r="EIH107" s="531"/>
      <c r="EII107" s="530"/>
      <c r="EIJ107" s="531"/>
      <c r="EIK107" s="530"/>
      <c r="EIL107" s="531"/>
      <c r="EIM107" s="530"/>
      <c r="EIN107" s="531"/>
      <c r="EIO107" s="530"/>
      <c r="EIP107" s="531"/>
      <c r="EIQ107" s="530"/>
      <c r="EIR107" s="531"/>
      <c r="EIS107" s="530"/>
      <c r="EIT107" s="531"/>
      <c r="EIU107" s="530"/>
      <c r="EIV107" s="531"/>
      <c r="EIW107" s="530"/>
      <c r="EIX107" s="531"/>
      <c r="EIY107" s="530"/>
      <c r="EIZ107" s="531"/>
      <c r="EJA107" s="530"/>
      <c r="EJB107" s="531"/>
      <c r="EJC107" s="530"/>
      <c r="EJD107" s="531"/>
      <c r="EJE107" s="530"/>
      <c r="EJF107" s="531"/>
      <c r="EJG107" s="530"/>
      <c r="EJH107" s="531"/>
      <c r="EJI107" s="530"/>
      <c r="EJJ107" s="531"/>
      <c r="EJK107" s="530"/>
      <c r="EJL107" s="531"/>
      <c r="EJM107" s="530"/>
      <c r="EJN107" s="531"/>
      <c r="EJO107" s="530"/>
      <c r="EJP107" s="531"/>
      <c r="EJQ107" s="530"/>
      <c r="EJR107" s="531"/>
      <c r="EJS107" s="530"/>
      <c r="EJT107" s="531"/>
      <c r="EJU107" s="530"/>
      <c r="EJV107" s="531"/>
      <c r="EJW107" s="530"/>
      <c r="EJX107" s="531"/>
      <c r="EJY107" s="530"/>
      <c r="EJZ107" s="531"/>
      <c r="EKA107" s="530"/>
      <c r="EKB107" s="531"/>
      <c r="EKC107" s="530"/>
      <c r="EKD107" s="531"/>
      <c r="EKE107" s="530"/>
      <c r="EKF107" s="531"/>
      <c r="EKG107" s="530"/>
      <c r="EKH107" s="531"/>
      <c r="EKI107" s="530"/>
      <c r="EKJ107" s="531"/>
      <c r="EKK107" s="530"/>
      <c r="EKL107" s="531"/>
      <c r="EKM107" s="530"/>
      <c r="EKN107" s="531"/>
      <c r="EKO107" s="530"/>
      <c r="EKP107" s="531"/>
      <c r="EKQ107" s="530"/>
      <c r="EKR107" s="531"/>
      <c r="EKS107" s="530"/>
      <c r="EKT107" s="531"/>
      <c r="EKU107" s="530"/>
      <c r="EKV107" s="531"/>
      <c r="EKW107" s="530"/>
      <c r="EKX107" s="531"/>
      <c r="EKY107" s="530"/>
      <c r="EKZ107" s="531"/>
      <c r="ELA107" s="530"/>
      <c r="ELB107" s="531"/>
      <c r="ELC107" s="530"/>
      <c r="ELD107" s="531"/>
      <c r="ELE107" s="530"/>
      <c r="ELF107" s="531"/>
      <c r="ELG107" s="530"/>
      <c r="ELH107" s="531"/>
      <c r="ELI107" s="530"/>
      <c r="ELJ107" s="531"/>
      <c r="ELK107" s="530"/>
      <c r="ELL107" s="531"/>
      <c r="ELM107" s="530"/>
      <c r="ELN107" s="531"/>
      <c r="ELO107" s="530"/>
      <c r="ELP107" s="531"/>
      <c r="ELQ107" s="530"/>
      <c r="ELR107" s="531"/>
      <c r="ELS107" s="530"/>
      <c r="ELT107" s="531"/>
      <c r="ELU107" s="530"/>
      <c r="ELV107" s="531"/>
      <c r="ELW107" s="530"/>
      <c r="ELX107" s="531"/>
      <c r="ELY107" s="530"/>
      <c r="ELZ107" s="531"/>
      <c r="EMA107" s="530"/>
      <c r="EMB107" s="531"/>
      <c r="EMC107" s="530"/>
      <c r="EMD107" s="531"/>
      <c r="EME107" s="530"/>
      <c r="EMF107" s="531"/>
      <c r="EMG107" s="530"/>
      <c r="EMH107" s="531"/>
      <c r="EMI107" s="530"/>
      <c r="EMJ107" s="531"/>
      <c r="EMK107" s="530"/>
      <c r="EML107" s="531"/>
      <c r="EMM107" s="530"/>
      <c r="EMN107" s="531"/>
      <c r="EMO107" s="530"/>
      <c r="EMP107" s="531"/>
      <c r="EMQ107" s="530"/>
      <c r="EMR107" s="531"/>
      <c r="EMS107" s="530"/>
      <c r="EMT107" s="531"/>
      <c r="EMU107" s="530"/>
      <c r="EMV107" s="531"/>
      <c r="EMW107" s="530"/>
      <c r="EMX107" s="531"/>
      <c r="EMY107" s="530"/>
      <c r="EMZ107" s="531"/>
      <c r="ENA107" s="530"/>
      <c r="ENB107" s="531"/>
      <c r="ENC107" s="530"/>
      <c r="END107" s="531"/>
      <c r="ENE107" s="530"/>
      <c r="ENF107" s="531"/>
      <c r="ENG107" s="530"/>
      <c r="ENH107" s="531"/>
      <c r="ENI107" s="530"/>
      <c r="ENJ107" s="531"/>
      <c r="ENK107" s="530"/>
      <c r="ENL107" s="531"/>
      <c r="ENM107" s="530"/>
      <c r="ENN107" s="531"/>
      <c r="ENO107" s="530"/>
      <c r="ENP107" s="531"/>
      <c r="ENQ107" s="530"/>
      <c r="ENR107" s="531"/>
      <c r="ENS107" s="530"/>
      <c r="ENT107" s="531"/>
      <c r="ENU107" s="530"/>
      <c r="ENV107" s="531"/>
      <c r="ENW107" s="530"/>
      <c r="ENX107" s="531"/>
      <c r="ENY107" s="530"/>
      <c r="ENZ107" s="531"/>
      <c r="EOA107" s="530"/>
      <c r="EOB107" s="531"/>
      <c r="EOC107" s="530"/>
      <c r="EOD107" s="531"/>
      <c r="EOE107" s="530"/>
      <c r="EOF107" s="531"/>
      <c r="EOG107" s="530"/>
      <c r="EOH107" s="531"/>
      <c r="EOI107" s="530"/>
      <c r="EOJ107" s="531"/>
      <c r="EOK107" s="530"/>
      <c r="EOL107" s="531"/>
      <c r="EOM107" s="530"/>
      <c r="EON107" s="531"/>
      <c r="EOO107" s="530"/>
      <c r="EOP107" s="531"/>
      <c r="EOQ107" s="530"/>
      <c r="EOR107" s="531"/>
      <c r="EOS107" s="530"/>
      <c r="EOT107" s="531"/>
      <c r="EOU107" s="530"/>
      <c r="EOV107" s="531"/>
      <c r="EOW107" s="530"/>
      <c r="EOX107" s="531"/>
      <c r="EOY107" s="530"/>
      <c r="EOZ107" s="531"/>
      <c r="EPA107" s="530"/>
      <c r="EPB107" s="531"/>
      <c r="EPC107" s="530"/>
      <c r="EPD107" s="531"/>
      <c r="EPE107" s="530"/>
      <c r="EPF107" s="531"/>
      <c r="EPG107" s="530"/>
      <c r="EPH107" s="531"/>
      <c r="EPI107" s="530"/>
      <c r="EPJ107" s="531"/>
      <c r="EPK107" s="530"/>
      <c r="EPL107" s="531"/>
      <c r="EPM107" s="530"/>
      <c r="EPN107" s="531"/>
      <c r="EPO107" s="530"/>
      <c r="EPP107" s="531"/>
      <c r="EPQ107" s="530"/>
      <c r="EPR107" s="531"/>
      <c r="EPS107" s="530"/>
      <c r="EPT107" s="531"/>
      <c r="EPU107" s="530"/>
      <c r="EPV107" s="531"/>
      <c r="EPW107" s="530"/>
      <c r="EPX107" s="531"/>
      <c r="EPY107" s="530"/>
      <c r="EPZ107" s="531"/>
      <c r="EQA107" s="530"/>
      <c r="EQB107" s="531"/>
      <c r="EQC107" s="530"/>
      <c r="EQD107" s="531"/>
      <c r="EQE107" s="530"/>
      <c r="EQF107" s="531"/>
      <c r="EQG107" s="530"/>
      <c r="EQH107" s="531"/>
      <c r="EQI107" s="530"/>
      <c r="EQJ107" s="531"/>
      <c r="EQK107" s="530"/>
      <c r="EQL107" s="531"/>
      <c r="EQM107" s="530"/>
      <c r="EQN107" s="531"/>
      <c r="EQO107" s="530"/>
      <c r="EQP107" s="531"/>
      <c r="EQQ107" s="530"/>
      <c r="EQR107" s="531"/>
      <c r="EQS107" s="530"/>
      <c r="EQT107" s="531"/>
      <c r="EQU107" s="530"/>
      <c r="EQV107" s="531"/>
      <c r="EQW107" s="530"/>
      <c r="EQX107" s="531"/>
      <c r="EQY107" s="530"/>
      <c r="EQZ107" s="531"/>
      <c r="ERA107" s="530"/>
      <c r="ERB107" s="531"/>
      <c r="ERC107" s="530"/>
      <c r="ERD107" s="531"/>
      <c r="ERE107" s="530"/>
      <c r="ERF107" s="531"/>
      <c r="ERG107" s="530"/>
      <c r="ERH107" s="531"/>
      <c r="ERI107" s="530"/>
      <c r="ERJ107" s="531"/>
      <c r="ERK107" s="530"/>
      <c r="ERL107" s="531"/>
      <c r="ERM107" s="530"/>
      <c r="ERN107" s="531"/>
      <c r="ERO107" s="530"/>
      <c r="ERP107" s="531"/>
      <c r="ERQ107" s="530"/>
      <c r="ERR107" s="531"/>
      <c r="ERS107" s="530"/>
      <c r="ERT107" s="531"/>
      <c r="ERU107" s="530"/>
      <c r="ERV107" s="531"/>
      <c r="ERW107" s="530"/>
      <c r="ERX107" s="531"/>
      <c r="ERY107" s="530"/>
      <c r="ERZ107" s="531"/>
      <c r="ESA107" s="530"/>
      <c r="ESB107" s="531"/>
      <c r="ESC107" s="530"/>
      <c r="ESD107" s="531"/>
      <c r="ESE107" s="530"/>
      <c r="ESF107" s="531"/>
      <c r="ESG107" s="530"/>
      <c r="ESH107" s="531"/>
      <c r="ESI107" s="530"/>
      <c r="ESJ107" s="531"/>
      <c r="ESK107" s="530"/>
      <c r="ESL107" s="531"/>
      <c r="ESM107" s="530"/>
      <c r="ESN107" s="531"/>
      <c r="ESO107" s="530"/>
      <c r="ESP107" s="531"/>
      <c r="ESQ107" s="530"/>
      <c r="ESR107" s="531"/>
      <c r="ESS107" s="530"/>
      <c r="EST107" s="531"/>
      <c r="ESU107" s="530"/>
      <c r="ESV107" s="531"/>
      <c r="ESW107" s="530"/>
      <c r="ESX107" s="531"/>
      <c r="ESY107" s="530"/>
      <c r="ESZ107" s="531"/>
      <c r="ETA107" s="530"/>
      <c r="ETB107" s="531"/>
      <c r="ETC107" s="530"/>
      <c r="ETD107" s="531"/>
      <c r="ETE107" s="530"/>
      <c r="ETF107" s="531"/>
      <c r="ETG107" s="530"/>
      <c r="ETH107" s="531"/>
      <c r="ETI107" s="530"/>
      <c r="ETJ107" s="531"/>
      <c r="ETK107" s="530"/>
      <c r="ETL107" s="531"/>
      <c r="ETM107" s="530"/>
      <c r="ETN107" s="531"/>
      <c r="ETO107" s="530"/>
      <c r="ETP107" s="531"/>
      <c r="ETQ107" s="530"/>
      <c r="ETR107" s="531"/>
      <c r="ETS107" s="530"/>
      <c r="ETT107" s="531"/>
      <c r="ETU107" s="530"/>
      <c r="ETV107" s="531"/>
      <c r="ETW107" s="530"/>
      <c r="ETX107" s="531"/>
      <c r="ETY107" s="530"/>
      <c r="ETZ107" s="531"/>
      <c r="EUA107" s="530"/>
      <c r="EUB107" s="531"/>
      <c r="EUC107" s="530"/>
      <c r="EUD107" s="531"/>
      <c r="EUE107" s="530"/>
      <c r="EUF107" s="531"/>
      <c r="EUG107" s="530"/>
      <c r="EUH107" s="531"/>
      <c r="EUI107" s="530"/>
      <c r="EUJ107" s="531"/>
      <c r="EUK107" s="530"/>
      <c r="EUL107" s="531"/>
      <c r="EUM107" s="530"/>
      <c r="EUN107" s="531"/>
      <c r="EUO107" s="530"/>
      <c r="EUP107" s="531"/>
      <c r="EUQ107" s="530"/>
      <c r="EUR107" s="531"/>
      <c r="EUS107" s="530"/>
      <c r="EUT107" s="531"/>
      <c r="EUU107" s="530"/>
      <c r="EUV107" s="531"/>
      <c r="EUW107" s="530"/>
      <c r="EUX107" s="531"/>
      <c r="EUY107" s="530"/>
      <c r="EUZ107" s="531"/>
      <c r="EVA107" s="530"/>
      <c r="EVB107" s="531"/>
      <c r="EVC107" s="530"/>
      <c r="EVD107" s="531"/>
      <c r="EVE107" s="530"/>
      <c r="EVF107" s="531"/>
      <c r="EVG107" s="530"/>
      <c r="EVH107" s="531"/>
      <c r="EVI107" s="530"/>
      <c r="EVJ107" s="531"/>
      <c r="EVK107" s="530"/>
      <c r="EVL107" s="531"/>
      <c r="EVM107" s="530"/>
      <c r="EVN107" s="531"/>
      <c r="EVO107" s="530"/>
      <c r="EVP107" s="531"/>
      <c r="EVQ107" s="530"/>
      <c r="EVR107" s="531"/>
      <c r="EVS107" s="530"/>
      <c r="EVT107" s="531"/>
      <c r="EVU107" s="530"/>
      <c r="EVV107" s="531"/>
      <c r="EVW107" s="530"/>
      <c r="EVX107" s="531"/>
      <c r="EVY107" s="530"/>
      <c r="EVZ107" s="531"/>
      <c r="EWA107" s="530"/>
      <c r="EWB107" s="531"/>
      <c r="EWC107" s="530"/>
      <c r="EWD107" s="531"/>
      <c r="EWE107" s="530"/>
      <c r="EWF107" s="531"/>
      <c r="EWG107" s="530"/>
      <c r="EWH107" s="531"/>
      <c r="EWI107" s="530"/>
      <c r="EWJ107" s="531"/>
      <c r="EWK107" s="530"/>
      <c r="EWL107" s="531"/>
      <c r="EWM107" s="530"/>
      <c r="EWN107" s="531"/>
      <c r="EWO107" s="530"/>
      <c r="EWP107" s="531"/>
      <c r="EWQ107" s="530"/>
      <c r="EWR107" s="531"/>
      <c r="EWS107" s="530"/>
      <c r="EWT107" s="531"/>
      <c r="EWU107" s="530"/>
      <c r="EWV107" s="531"/>
      <c r="EWW107" s="530"/>
      <c r="EWX107" s="531"/>
      <c r="EWY107" s="530"/>
      <c r="EWZ107" s="531"/>
      <c r="EXA107" s="530"/>
      <c r="EXB107" s="531"/>
      <c r="EXC107" s="530"/>
      <c r="EXD107" s="531"/>
      <c r="EXE107" s="530"/>
      <c r="EXF107" s="531"/>
      <c r="EXG107" s="530"/>
      <c r="EXH107" s="531"/>
      <c r="EXI107" s="530"/>
      <c r="EXJ107" s="531"/>
      <c r="EXK107" s="530"/>
      <c r="EXL107" s="531"/>
      <c r="EXM107" s="530"/>
      <c r="EXN107" s="531"/>
      <c r="EXO107" s="530"/>
      <c r="EXP107" s="531"/>
      <c r="EXQ107" s="530"/>
      <c r="EXR107" s="531"/>
      <c r="EXS107" s="530"/>
      <c r="EXT107" s="531"/>
      <c r="EXU107" s="530"/>
      <c r="EXV107" s="531"/>
      <c r="EXW107" s="530"/>
      <c r="EXX107" s="531"/>
      <c r="EXY107" s="530"/>
      <c r="EXZ107" s="531"/>
      <c r="EYA107" s="530"/>
      <c r="EYB107" s="531"/>
      <c r="EYC107" s="530"/>
      <c r="EYD107" s="531"/>
      <c r="EYE107" s="530"/>
      <c r="EYF107" s="531"/>
      <c r="EYG107" s="530"/>
      <c r="EYH107" s="531"/>
      <c r="EYI107" s="530"/>
      <c r="EYJ107" s="531"/>
      <c r="EYK107" s="530"/>
      <c r="EYL107" s="531"/>
      <c r="EYM107" s="530"/>
      <c r="EYN107" s="531"/>
      <c r="EYO107" s="530"/>
      <c r="EYP107" s="531"/>
      <c r="EYQ107" s="530"/>
      <c r="EYR107" s="531"/>
      <c r="EYS107" s="530"/>
      <c r="EYT107" s="531"/>
      <c r="EYU107" s="530"/>
      <c r="EYV107" s="531"/>
      <c r="EYW107" s="530"/>
      <c r="EYX107" s="531"/>
      <c r="EYY107" s="530"/>
      <c r="EYZ107" s="531"/>
      <c r="EZA107" s="530"/>
      <c r="EZB107" s="531"/>
      <c r="EZC107" s="530"/>
      <c r="EZD107" s="531"/>
      <c r="EZE107" s="530"/>
      <c r="EZF107" s="531"/>
      <c r="EZG107" s="530"/>
      <c r="EZH107" s="531"/>
      <c r="EZI107" s="530"/>
      <c r="EZJ107" s="531"/>
      <c r="EZK107" s="530"/>
      <c r="EZL107" s="531"/>
      <c r="EZM107" s="530"/>
      <c r="EZN107" s="531"/>
      <c r="EZO107" s="530"/>
      <c r="EZP107" s="531"/>
      <c r="EZQ107" s="530"/>
      <c r="EZR107" s="531"/>
      <c r="EZS107" s="530"/>
      <c r="EZT107" s="531"/>
      <c r="EZU107" s="530"/>
      <c r="EZV107" s="531"/>
      <c r="EZW107" s="530"/>
      <c r="EZX107" s="531"/>
      <c r="EZY107" s="530"/>
      <c r="EZZ107" s="531"/>
      <c r="FAA107" s="530"/>
      <c r="FAB107" s="531"/>
      <c r="FAC107" s="530"/>
      <c r="FAD107" s="531"/>
      <c r="FAE107" s="530"/>
      <c r="FAF107" s="531"/>
      <c r="FAG107" s="530"/>
      <c r="FAH107" s="531"/>
      <c r="FAI107" s="530"/>
      <c r="FAJ107" s="531"/>
      <c r="FAK107" s="530"/>
      <c r="FAL107" s="531"/>
      <c r="FAM107" s="530"/>
      <c r="FAN107" s="531"/>
      <c r="FAO107" s="530"/>
      <c r="FAP107" s="531"/>
      <c r="FAQ107" s="530"/>
      <c r="FAR107" s="531"/>
      <c r="FAS107" s="530"/>
      <c r="FAT107" s="531"/>
      <c r="FAU107" s="530"/>
      <c r="FAV107" s="531"/>
      <c r="FAW107" s="530"/>
      <c r="FAX107" s="531"/>
      <c r="FAY107" s="530"/>
      <c r="FAZ107" s="531"/>
      <c r="FBA107" s="530"/>
      <c r="FBB107" s="531"/>
      <c r="FBC107" s="530"/>
      <c r="FBD107" s="531"/>
      <c r="FBE107" s="530"/>
      <c r="FBF107" s="531"/>
      <c r="FBG107" s="530"/>
      <c r="FBH107" s="531"/>
      <c r="FBI107" s="530"/>
      <c r="FBJ107" s="531"/>
      <c r="FBK107" s="530"/>
      <c r="FBL107" s="531"/>
      <c r="FBM107" s="530"/>
      <c r="FBN107" s="531"/>
      <c r="FBO107" s="530"/>
      <c r="FBP107" s="531"/>
      <c r="FBQ107" s="530"/>
      <c r="FBR107" s="531"/>
      <c r="FBS107" s="530"/>
      <c r="FBT107" s="531"/>
      <c r="FBU107" s="530"/>
      <c r="FBV107" s="531"/>
      <c r="FBW107" s="530"/>
      <c r="FBX107" s="531"/>
      <c r="FBY107" s="530"/>
      <c r="FBZ107" s="531"/>
      <c r="FCA107" s="530"/>
      <c r="FCB107" s="531"/>
      <c r="FCC107" s="530"/>
      <c r="FCD107" s="531"/>
      <c r="FCE107" s="530"/>
      <c r="FCF107" s="531"/>
      <c r="FCG107" s="530"/>
      <c r="FCH107" s="531"/>
      <c r="FCI107" s="530"/>
      <c r="FCJ107" s="531"/>
      <c r="FCK107" s="530"/>
      <c r="FCL107" s="531"/>
      <c r="FCM107" s="530"/>
      <c r="FCN107" s="531"/>
      <c r="FCO107" s="530"/>
      <c r="FCP107" s="531"/>
      <c r="FCQ107" s="530"/>
      <c r="FCR107" s="531"/>
      <c r="FCS107" s="530"/>
      <c r="FCT107" s="531"/>
      <c r="FCU107" s="530"/>
      <c r="FCV107" s="531"/>
      <c r="FCW107" s="530"/>
      <c r="FCX107" s="531"/>
      <c r="FCY107" s="530"/>
      <c r="FCZ107" s="531"/>
      <c r="FDA107" s="530"/>
      <c r="FDB107" s="531"/>
      <c r="FDC107" s="530"/>
      <c r="FDD107" s="531"/>
      <c r="FDE107" s="530"/>
      <c r="FDF107" s="531"/>
      <c r="FDG107" s="530"/>
      <c r="FDH107" s="531"/>
      <c r="FDI107" s="530"/>
      <c r="FDJ107" s="531"/>
      <c r="FDK107" s="530"/>
      <c r="FDL107" s="531"/>
      <c r="FDM107" s="530"/>
      <c r="FDN107" s="531"/>
      <c r="FDO107" s="530"/>
      <c r="FDP107" s="531"/>
      <c r="FDQ107" s="530"/>
      <c r="FDR107" s="531"/>
      <c r="FDS107" s="530"/>
      <c r="FDT107" s="531"/>
      <c r="FDU107" s="530"/>
      <c r="FDV107" s="531"/>
      <c r="FDW107" s="530"/>
      <c r="FDX107" s="531"/>
      <c r="FDY107" s="530"/>
      <c r="FDZ107" s="531"/>
      <c r="FEA107" s="530"/>
      <c r="FEB107" s="531"/>
      <c r="FEC107" s="530"/>
      <c r="FED107" s="531"/>
      <c r="FEE107" s="530"/>
      <c r="FEF107" s="531"/>
      <c r="FEG107" s="530"/>
      <c r="FEH107" s="531"/>
      <c r="FEI107" s="530"/>
      <c r="FEJ107" s="531"/>
      <c r="FEK107" s="530"/>
      <c r="FEL107" s="531"/>
      <c r="FEM107" s="530"/>
      <c r="FEN107" s="531"/>
      <c r="FEO107" s="530"/>
      <c r="FEP107" s="531"/>
      <c r="FEQ107" s="530"/>
      <c r="FER107" s="531"/>
      <c r="FES107" s="530"/>
      <c r="FET107" s="531"/>
      <c r="FEU107" s="530"/>
      <c r="FEV107" s="531"/>
      <c r="FEW107" s="530"/>
      <c r="FEX107" s="531"/>
      <c r="FEY107" s="530"/>
      <c r="FEZ107" s="531"/>
      <c r="FFA107" s="530"/>
      <c r="FFB107" s="531"/>
      <c r="FFC107" s="530"/>
      <c r="FFD107" s="531"/>
      <c r="FFE107" s="530"/>
      <c r="FFF107" s="531"/>
      <c r="FFG107" s="530"/>
      <c r="FFH107" s="531"/>
      <c r="FFI107" s="530"/>
      <c r="FFJ107" s="531"/>
      <c r="FFK107" s="530"/>
      <c r="FFL107" s="531"/>
      <c r="FFM107" s="530"/>
      <c r="FFN107" s="531"/>
      <c r="FFO107" s="530"/>
      <c r="FFP107" s="531"/>
      <c r="FFQ107" s="530"/>
      <c r="FFR107" s="531"/>
      <c r="FFS107" s="530"/>
      <c r="FFT107" s="531"/>
      <c r="FFU107" s="530"/>
      <c r="FFV107" s="531"/>
      <c r="FFW107" s="530"/>
      <c r="FFX107" s="531"/>
      <c r="FFY107" s="530"/>
      <c r="FFZ107" s="531"/>
      <c r="FGA107" s="530"/>
      <c r="FGB107" s="531"/>
      <c r="FGC107" s="530"/>
      <c r="FGD107" s="531"/>
      <c r="FGE107" s="530"/>
      <c r="FGF107" s="531"/>
      <c r="FGG107" s="530"/>
      <c r="FGH107" s="531"/>
      <c r="FGI107" s="530"/>
      <c r="FGJ107" s="531"/>
      <c r="FGK107" s="530"/>
      <c r="FGL107" s="531"/>
      <c r="FGM107" s="530"/>
      <c r="FGN107" s="531"/>
      <c r="FGO107" s="530"/>
      <c r="FGP107" s="531"/>
      <c r="FGQ107" s="530"/>
      <c r="FGR107" s="531"/>
      <c r="FGS107" s="530"/>
      <c r="FGT107" s="531"/>
      <c r="FGU107" s="530"/>
      <c r="FGV107" s="531"/>
      <c r="FGW107" s="530"/>
      <c r="FGX107" s="531"/>
      <c r="FGY107" s="530"/>
      <c r="FGZ107" s="531"/>
      <c r="FHA107" s="530"/>
      <c r="FHB107" s="531"/>
      <c r="FHC107" s="530"/>
      <c r="FHD107" s="531"/>
      <c r="FHE107" s="530"/>
      <c r="FHF107" s="531"/>
      <c r="FHG107" s="530"/>
      <c r="FHH107" s="531"/>
      <c r="FHI107" s="530"/>
      <c r="FHJ107" s="531"/>
      <c r="FHK107" s="530"/>
      <c r="FHL107" s="531"/>
      <c r="FHM107" s="530"/>
      <c r="FHN107" s="531"/>
      <c r="FHO107" s="530"/>
      <c r="FHP107" s="531"/>
      <c r="FHQ107" s="530"/>
      <c r="FHR107" s="531"/>
      <c r="FHS107" s="530"/>
      <c r="FHT107" s="531"/>
      <c r="FHU107" s="530"/>
      <c r="FHV107" s="531"/>
      <c r="FHW107" s="530"/>
      <c r="FHX107" s="531"/>
      <c r="FHY107" s="530"/>
      <c r="FHZ107" s="531"/>
      <c r="FIA107" s="530"/>
      <c r="FIB107" s="531"/>
      <c r="FIC107" s="530"/>
      <c r="FID107" s="531"/>
      <c r="FIE107" s="530"/>
      <c r="FIF107" s="531"/>
      <c r="FIG107" s="530"/>
      <c r="FIH107" s="531"/>
      <c r="FII107" s="530"/>
      <c r="FIJ107" s="531"/>
      <c r="FIK107" s="530"/>
      <c r="FIL107" s="531"/>
      <c r="FIM107" s="530"/>
      <c r="FIN107" s="531"/>
      <c r="FIO107" s="530"/>
      <c r="FIP107" s="531"/>
      <c r="FIQ107" s="530"/>
      <c r="FIR107" s="531"/>
      <c r="FIS107" s="530"/>
      <c r="FIT107" s="531"/>
      <c r="FIU107" s="530"/>
      <c r="FIV107" s="531"/>
      <c r="FIW107" s="530"/>
      <c r="FIX107" s="531"/>
      <c r="FIY107" s="530"/>
      <c r="FIZ107" s="531"/>
      <c r="FJA107" s="530"/>
      <c r="FJB107" s="531"/>
      <c r="FJC107" s="530"/>
      <c r="FJD107" s="531"/>
      <c r="FJE107" s="530"/>
      <c r="FJF107" s="531"/>
      <c r="FJG107" s="530"/>
      <c r="FJH107" s="531"/>
      <c r="FJI107" s="530"/>
      <c r="FJJ107" s="531"/>
      <c r="FJK107" s="530"/>
      <c r="FJL107" s="531"/>
      <c r="FJM107" s="530"/>
      <c r="FJN107" s="531"/>
      <c r="FJO107" s="530"/>
      <c r="FJP107" s="531"/>
      <c r="FJQ107" s="530"/>
      <c r="FJR107" s="531"/>
      <c r="FJS107" s="530"/>
      <c r="FJT107" s="531"/>
      <c r="FJU107" s="530"/>
      <c r="FJV107" s="531"/>
      <c r="FJW107" s="530"/>
      <c r="FJX107" s="531"/>
      <c r="FJY107" s="530"/>
      <c r="FJZ107" s="531"/>
      <c r="FKA107" s="530"/>
      <c r="FKB107" s="531"/>
      <c r="FKC107" s="530"/>
      <c r="FKD107" s="531"/>
      <c r="FKE107" s="530"/>
      <c r="FKF107" s="531"/>
      <c r="FKG107" s="530"/>
      <c r="FKH107" s="531"/>
      <c r="FKI107" s="530"/>
      <c r="FKJ107" s="531"/>
      <c r="FKK107" s="530"/>
      <c r="FKL107" s="531"/>
      <c r="FKM107" s="530"/>
      <c r="FKN107" s="531"/>
      <c r="FKO107" s="530"/>
      <c r="FKP107" s="531"/>
      <c r="FKQ107" s="530"/>
      <c r="FKR107" s="531"/>
      <c r="FKS107" s="530"/>
      <c r="FKT107" s="531"/>
      <c r="FKU107" s="530"/>
      <c r="FKV107" s="531"/>
      <c r="FKW107" s="530"/>
      <c r="FKX107" s="531"/>
      <c r="FKY107" s="530"/>
      <c r="FKZ107" s="531"/>
      <c r="FLA107" s="530"/>
      <c r="FLB107" s="531"/>
      <c r="FLC107" s="530"/>
      <c r="FLD107" s="531"/>
      <c r="FLE107" s="530"/>
      <c r="FLF107" s="531"/>
      <c r="FLG107" s="530"/>
      <c r="FLH107" s="531"/>
      <c r="FLI107" s="530"/>
      <c r="FLJ107" s="531"/>
      <c r="FLK107" s="530"/>
      <c r="FLL107" s="531"/>
      <c r="FLM107" s="530"/>
      <c r="FLN107" s="531"/>
      <c r="FLO107" s="530"/>
      <c r="FLP107" s="531"/>
      <c r="FLQ107" s="530"/>
      <c r="FLR107" s="531"/>
      <c r="FLS107" s="530"/>
      <c r="FLT107" s="531"/>
      <c r="FLU107" s="530"/>
      <c r="FLV107" s="531"/>
      <c r="FLW107" s="530"/>
      <c r="FLX107" s="531"/>
      <c r="FLY107" s="530"/>
      <c r="FLZ107" s="531"/>
      <c r="FMA107" s="530"/>
      <c r="FMB107" s="531"/>
      <c r="FMC107" s="530"/>
      <c r="FMD107" s="531"/>
      <c r="FME107" s="530"/>
      <c r="FMF107" s="531"/>
      <c r="FMG107" s="530"/>
      <c r="FMH107" s="531"/>
      <c r="FMI107" s="530"/>
      <c r="FMJ107" s="531"/>
      <c r="FMK107" s="530"/>
      <c r="FML107" s="531"/>
      <c r="FMM107" s="530"/>
      <c r="FMN107" s="531"/>
      <c r="FMO107" s="530"/>
      <c r="FMP107" s="531"/>
      <c r="FMQ107" s="530"/>
      <c r="FMR107" s="531"/>
      <c r="FMS107" s="530"/>
      <c r="FMT107" s="531"/>
      <c r="FMU107" s="530"/>
      <c r="FMV107" s="531"/>
      <c r="FMW107" s="530"/>
      <c r="FMX107" s="531"/>
      <c r="FMY107" s="530"/>
      <c r="FMZ107" s="531"/>
      <c r="FNA107" s="530"/>
      <c r="FNB107" s="531"/>
      <c r="FNC107" s="530"/>
      <c r="FND107" s="531"/>
      <c r="FNE107" s="530"/>
      <c r="FNF107" s="531"/>
      <c r="FNG107" s="530"/>
      <c r="FNH107" s="531"/>
      <c r="FNI107" s="530"/>
      <c r="FNJ107" s="531"/>
      <c r="FNK107" s="530"/>
      <c r="FNL107" s="531"/>
      <c r="FNM107" s="530"/>
      <c r="FNN107" s="531"/>
      <c r="FNO107" s="530"/>
      <c r="FNP107" s="531"/>
      <c r="FNQ107" s="530"/>
      <c r="FNR107" s="531"/>
      <c r="FNS107" s="530"/>
      <c r="FNT107" s="531"/>
      <c r="FNU107" s="530"/>
      <c r="FNV107" s="531"/>
      <c r="FNW107" s="530"/>
      <c r="FNX107" s="531"/>
      <c r="FNY107" s="530"/>
      <c r="FNZ107" s="531"/>
      <c r="FOA107" s="530"/>
      <c r="FOB107" s="531"/>
      <c r="FOC107" s="530"/>
      <c r="FOD107" s="531"/>
      <c r="FOE107" s="530"/>
      <c r="FOF107" s="531"/>
      <c r="FOG107" s="530"/>
      <c r="FOH107" s="531"/>
      <c r="FOI107" s="530"/>
      <c r="FOJ107" s="531"/>
      <c r="FOK107" s="530"/>
      <c r="FOL107" s="531"/>
      <c r="FOM107" s="530"/>
      <c r="FON107" s="531"/>
      <c r="FOO107" s="530"/>
      <c r="FOP107" s="531"/>
      <c r="FOQ107" s="530"/>
      <c r="FOR107" s="531"/>
      <c r="FOS107" s="530"/>
      <c r="FOT107" s="531"/>
      <c r="FOU107" s="530"/>
      <c r="FOV107" s="531"/>
      <c r="FOW107" s="530"/>
      <c r="FOX107" s="531"/>
      <c r="FOY107" s="530"/>
      <c r="FOZ107" s="531"/>
      <c r="FPA107" s="530"/>
      <c r="FPB107" s="531"/>
      <c r="FPC107" s="530"/>
      <c r="FPD107" s="531"/>
      <c r="FPE107" s="530"/>
      <c r="FPF107" s="531"/>
      <c r="FPG107" s="530"/>
      <c r="FPH107" s="531"/>
      <c r="FPI107" s="530"/>
      <c r="FPJ107" s="531"/>
      <c r="FPK107" s="530"/>
      <c r="FPL107" s="531"/>
      <c r="FPM107" s="530"/>
      <c r="FPN107" s="531"/>
      <c r="FPO107" s="530"/>
      <c r="FPP107" s="531"/>
      <c r="FPQ107" s="530"/>
      <c r="FPR107" s="531"/>
      <c r="FPS107" s="530"/>
      <c r="FPT107" s="531"/>
      <c r="FPU107" s="530"/>
      <c r="FPV107" s="531"/>
      <c r="FPW107" s="530"/>
      <c r="FPX107" s="531"/>
      <c r="FPY107" s="530"/>
      <c r="FPZ107" s="531"/>
      <c r="FQA107" s="530"/>
      <c r="FQB107" s="531"/>
      <c r="FQC107" s="530"/>
      <c r="FQD107" s="531"/>
      <c r="FQE107" s="530"/>
      <c r="FQF107" s="531"/>
      <c r="FQG107" s="530"/>
      <c r="FQH107" s="531"/>
      <c r="FQI107" s="530"/>
      <c r="FQJ107" s="531"/>
      <c r="FQK107" s="530"/>
      <c r="FQL107" s="531"/>
      <c r="FQM107" s="530"/>
      <c r="FQN107" s="531"/>
      <c r="FQO107" s="530"/>
      <c r="FQP107" s="531"/>
      <c r="FQQ107" s="530"/>
      <c r="FQR107" s="531"/>
      <c r="FQS107" s="530"/>
      <c r="FQT107" s="531"/>
      <c r="FQU107" s="530"/>
      <c r="FQV107" s="531"/>
      <c r="FQW107" s="530"/>
      <c r="FQX107" s="531"/>
      <c r="FQY107" s="530"/>
      <c r="FQZ107" s="531"/>
      <c r="FRA107" s="530"/>
      <c r="FRB107" s="531"/>
      <c r="FRC107" s="530"/>
      <c r="FRD107" s="531"/>
      <c r="FRE107" s="530"/>
      <c r="FRF107" s="531"/>
      <c r="FRG107" s="530"/>
      <c r="FRH107" s="531"/>
      <c r="FRI107" s="530"/>
      <c r="FRJ107" s="531"/>
      <c r="FRK107" s="530"/>
      <c r="FRL107" s="531"/>
      <c r="FRM107" s="530"/>
      <c r="FRN107" s="531"/>
      <c r="FRO107" s="530"/>
      <c r="FRP107" s="531"/>
      <c r="FRQ107" s="530"/>
      <c r="FRR107" s="531"/>
      <c r="FRS107" s="530"/>
      <c r="FRT107" s="531"/>
      <c r="FRU107" s="530"/>
      <c r="FRV107" s="531"/>
      <c r="FRW107" s="530"/>
      <c r="FRX107" s="531"/>
      <c r="FRY107" s="530"/>
      <c r="FRZ107" s="531"/>
      <c r="FSA107" s="530"/>
      <c r="FSB107" s="531"/>
      <c r="FSC107" s="530"/>
      <c r="FSD107" s="531"/>
      <c r="FSE107" s="530"/>
      <c r="FSF107" s="531"/>
      <c r="FSG107" s="530"/>
      <c r="FSH107" s="531"/>
      <c r="FSI107" s="530"/>
      <c r="FSJ107" s="531"/>
      <c r="FSK107" s="530"/>
      <c r="FSL107" s="531"/>
      <c r="FSM107" s="530"/>
      <c r="FSN107" s="531"/>
      <c r="FSO107" s="530"/>
      <c r="FSP107" s="531"/>
      <c r="FSQ107" s="530"/>
      <c r="FSR107" s="531"/>
      <c r="FSS107" s="530"/>
      <c r="FST107" s="531"/>
      <c r="FSU107" s="530"/>
      <c r="FSV107" s="531"/>
      <c r="FSW107" s="530"/>
      <c r="FSX107" s="531"/>
      <c r="FSY107" s="530"/>
      <c r="FSZ107" s="531"/>
      <c r="FTA107" s="530"/>
      <c r="FTB107" s="531"/>
      <c r="FTC107" s="530"/>
      <c r="FTD107" s="531"/>
      <c r="FTE107" s="530"/>
      <c r="FTF107" s="531"/>
      <c r="FTG107" s="530"/>
      <c r="FTH107" s="531"/>
      <c r="FTI107" s="530"/>
      <c r="FTJ107" s="531"/>
      <c r="FTK107" s="530"/>
      <c r="FTL107" s="531"/>
      <c r="FTM107" s="530"/>
      <c r="FTN107" s="531"/>
      <c r="FTO107" s="530"/>
      <c r="FTP107" s="531"/>
      <c r="FTQ107" s="530"/>
      <c r="FTR107" s="531"/>
      <c r="FTS107" s="530"/>
      <c r="FTT107" s="531"/>
      <c r="FTU107" s="530"/>
      <c r="FTV107" s="531"/>
      <c r="FTW107" s="530"/>
      <c r="FTX107" s="531"/>
      <c r="FTY107" s="530"/>
      <c r="FTZ107" s="531"/>
      <c r="FUA107" s="530"/>
      <c r="FUB107" s="531"/>
      <c r="FUC107" s="530"/>
      <c r="FUD107" s="531"/>
      <c r="FUE107" s="530"/>
      <c r="FUF107" s="531"/>
      <c r="FUG107" s="530"/>
      <c r="FUH107" s="531"/>
      <c r="FUI107" s="530"/>
      <c r="FUJ107" s="531"/>
      <c r="FUK107" s="530"/>
      <c r="FUL107" s="531"/>
      <c r="FUM107" s="530"/>
      <c r="FUN107" s="531"/>
      <c r="FUO107" s="530"/>
      <c r="FUP107" s="531"/>
      <c r="FUQ107" s="530"/>
      <c r="FUR107" s="531"/>
      <c r="FUS107" s="530"/>
      <c r="FUT107" s="531"/>
      <c r="FUU107" s="530"/>
      <c r="FUV107" s="531"/>
      <c r="FUW107" s="530"/>
      <c r="FUX107" s="531"/>
      <c r="FUY107" s="530"/>
      <c r="FUZ107" s="531"/>
      <c r="FVA107" s="530"/>
      <c r="FVB107" s="531"/>
      <c r="FVC107" s="530"/>
      <c r="FVD107" s="531"/>
      <c r="FVE107" s="530"/>
      <c r="FVF107" s="531"/>
      <c r="FVG107" s="530"/>
      <c r="FVH107" s="531"/>
      <c r="FVI107" s="530"/>
      <c r="FVJ107" s="531"/>
      <c r="FVK107" s="530"/>
      <c r="FVL107" s="531"/>
      <c r="FVM107" s="530"/>
      <c r="FVN107" s="531"/>
      <c r="FVO107" s="530"/>
      <c r="FVP107" s="531"/>
      <c r="FVQ107" s="530"/>
      <c r="FVR107" s="531"/>
      <c r="FVS107" s="530"/>
      <c r="FVT107" s="531"/>
      <c r="FVU107" s="530"/>
      <c r="FVV107" s="531"/>
      <c r="FVW107" s="530"/>
      <c r="FVX107" s="531"/>
      <c r="FVY107" s="530"/>
      <c r="FVZ107" s="531"/>
      <c r="FWA107" s="530"/>
      <c r="FWB107" s="531"/>
      <c r="FWC107" s="530"/>
      <c r="FWD107" s="531"/>
      <c r="FWE107" s="530"/>
      <c r="FWF107" s="531"/>
      <c r="FWG107" s="530"/>
      <c r="FWH107" s="531"/>
      <c r="FWI107" s="530"/>
      <c r="FWJ107" s="531"/>
      <c r="FWK107" s="530"/>
      <c r="FWL107" s="531"/>
      <c r="FWM107" s="530"/>
      <c r="FWN107" s="531"/>
      <c r="FWO107" s="530"/>
      <c r="FWP107" s="531"/>
      <c r="FWQ107" s="530"/>
      <c r="FWR107" s="531"/>
      <c r="FWS107" s="530"/>
      <c r="FWT107" s="531"/>
      <c r="FWU107" s="530"/>
      <c r="FWV107" s="531"/>
      <c r="FWW107" s="530"/>
      <c r="FWX107" s="531"/>
      <c r="FWY107" s="530"/>
      <c r="FWZ107" s="531"/>
      <c r="FXA107" s="530"/>
      <c r="FXB107" s="531"/>
      <c r="FXC107" s="530"/>
      <c r="FXD107" s="531"/>
      <c r="FXE107" s="530"/>
      <c r="FXF107" s="531"/>
      <c r="FXG107" s="530"/>
      <c r="FXH107" s="531"/>
      <c r="FXI107" s="530"/>
      <c r="FXJ107" s="531"/>
      <c r="FXK107" s="530"/>
      <c r="FXL107" s="531"/>
      <c r="FXM107" s="530"/>
      <c r="FXN107" s="531"/>
      <c r="FXO107" s="530"/>
      <c r="FXP107" s="531"/>
      <c r="FXQ107" s="530"/>
      <c r="FXR107" s="531"/>
      <c r="FXS107" s="530"/>
      <c r="FXT107" s="531"/>
      <c r="FXU107" s="530"/>
      <c r="FXV107" s="531"/>
      <c r="FXW107" s="530"/>
      <c r="FXX107" s="531"/>
      <c r="FXY107" s="530"/>
      <c r="FXZ107" s="531"/>
      <c r="FYA107" s="530"/>
      <c r="FYB107" s="531"/>
      <c r="FYC107" s="530"/>
      <c r="FYD107" s="531"/>
      <c r="FYE107" s="530"/>
      <c r="FYF107" s="531"/>
      <c r="FYG107" s="530"/>
      <c r="FYH107" s="531"/>
      <c r="FYI107" s="530"/>
      <c r="FYJ107" s="531"/>
      <c r="FYK107" s="530"/>
      <c r="FYL107" s="531"/>
      <c r="FYM107" s="530"/>
      <c r="FYN107" s="531"/>
      <c r="FYO107" s="530"/>
      <c r="FYP107" s="531"/>
      <c r="FYQ107" s="530"/>
      <c r="FYR107" s="531"/>
      <c r="FYS107" s="530"/>
      <c r="FYT107" s="531"/>
      <c r="FYU107" s="530"/>
      <c r="FYV107" s="531"/>
      <c r="FYW107" s="530"/>
      <c r="FYX107" s="531"/>
      <c r="FYY107" s="530"/>
      <c r="FYZ107" s="531"/>
      <c r="FZA107" s="530"/>
      <c r="FZB107" s="531"/>
      <c r="FZC107" s="530"/>
      <c r="FZD107" s="531"/>
      <c r="FZE107" s="530"/>
      <c r="FZF107" s="531"/>
      <c r="FZG107" s="530"/>
      <c r="FZH107" s="531"/>
      <c r="FZI107" s="530"/>
      <c r="FZJ107" s="531"/>
      <c r="FZK107" s="530"/>
      <c r="FZL107" s="531"/>
      <c r="FZM107" s="530"/>
      <c r="FZN107" s="531"/>
      <c r="FZO107" s="530"/>
      <c r="FZP107" s="531"/>
      <c r="FZQ107" s="530"/>
      <c r="FZR107" s="531"/>
      <c r="FZS107" s="530"/>
      <c r="FZT107" s="531"/>
      <c r="FZU107" s="530"/>
      <c r="FZV107" s="531"/>
      <c r="FZW107" s="530"/>
      <c r="FZX107" s="531"/>
      <c r="FZY107" s="530"/>
      <c r="FZZ107" s="531"/>
      <c r="GAA107" s="530"/>
      <c r="GAB107" s="531"/>
      <c r="GAC107" s="530"/>
      <c r="GAD107" s="531"/>
      <c r="GAE107" s="530"/>
      <c r="GAF107" s="531"/>
      <c r="GAG107" s="530"/>
      <c r="GAH107" s="531"/>
      <c r="GAI107" s="530"/>
      <c r="GAJ107" s="531"/>
      <c r="GAK107" s="530"/>
      <c r="GAL107" s="531"/>
      <c r="GAM107" s="530"/>
      <c r="GAN107" s="531"/>
      <c r="GAO107" s="530"/>
      <c r="GAP107" s="531"/>
      <c r="GAQ107" s="530"/>
      <c r="GAR107" s="531"/>
      <c r="GAS107" s="530"/>
      <c r="GAT107" s="531"/>
      <c r="GAU107" s="530"/>
      <c r="GAV107" s="531"/>
      <c r="GAW107" s="530"/>
      <c r="GAX107" s="531"/>
      <c r="GAY107" s="530"/>
      <c r="GAZ107" s="531"/>
      <c r="GBA107" s="530"/>
      <c r="GBB107" s="531"/>
      <c r="GBC107" s="530"/>
      <c r="GBD107" s="531"/>
      <c r="GBE107" s="530"/>
      <c r="GBF107" s="531"/>
      <c r="GBG107" s="530"/>
      <c r="GBH107" s="531"/>
      <c r="GBI107" s="530"/>
      <c r="GBJ107" s="531"/>
      <c r="GBK107" s="530"/>
      <c r="GBL107" s="531"/>
      <c r="GBM107" s="530"/>
      <c r="GBN107" s="531"/>
      <c r="GBO107" s="530"/>
      <c r="GBP107" s="531"/>
      <c r="GBQ107" s="530"/>
      <c r="GBR107" s="531"/>
      <c r="GBS107" s="530"/>
      <c r="GBT107" s="531"/>
      <c r="GBU107" s="530"/>
      <c r="GBV107" s="531"/>
      <c r="GBW107" s="530"/>
      <c r="GBX107" s="531"/>
      <c r="GBY107" s="530"/>
      <c r="GBZ107" s="531"/>
      <c r="GCA107" s="530"/>
      <c r="GCB107" s="531"/>
      <c r="GCC107" s="530"/>
      <c r="GCD107" s="531"/>
      <c r="GCE107" s="530"/>
      <c r="GCF107" s="531"/>
      <c r="GCG107" s="530"/>
      <c r="GCH107" s="531"/>
      <c r="GCI107" s="530"/>
      <c r="GCJ107" s="531"/>
      <c r="GCK107" s="530"/>
      <c r="GCL107" s="531"/>
      <c r="GCM107" s="530"/>
      <c r="GCN107" s="531"/>
      <c r="GCO107" s="530"/>
      <c r="GCP107" s="531"/>
      <c r="GCQ107" s="530"/>
      <c r="GCR107" s="531"/>
      <c r="GCS107" s="530"/>
      <c r="GCT107" s="531"/>
      <c r="GCU107" s="530"/>
      <c r="GCV107" s="531"/>
      <c r="GCW107" s="530"/>
      <c r="GCX107" s="531"/>
      <c r="GCY107" s="530"/>
      <c r="GCZ107" s="531"/>
      <c r="GDA107" s="530"/>
      <c r="GDB107" s="531"/>
      <c r="GDC107" s="530"/>
      <c r="GDD107" s="531"/>
      <c r="GDE107" s="530"/>
      <c r="GDF107" s="531"/>
      <c r="GDG107" s="530"/>
      <c r="GDH107" s="531"/>
      <c r="GDI107" s="530"/>
      <c r="GDJ107" s="531"/>
      <c r="GDK107" s="530"/>
      <c r="GDL107" s="531"/>
      <c r="GDM107" s="530"/>
      <c r="GDN107" s="531"/>
      <c r="GDO107" s="530"/>
      <c r="GDP107" s="531"/>
      <c r="GDQ107" s="530"/>
      <c r="GDR107" s="531"/>
      <c r="GDS107" s="530"/>
      <c r="GDT107" s="531"/>
      <c r="GDU107" s="530"/>
      <c r="GDV107" s="531"/>
      <c r="GDW107" s="530"/>
      <c r="GDX107" s="531"/>
      <c r="GDY107" s="530"/>
      <c r="GDZ107" s="531"/>
      <c r="GEA107" s="530"/>
      <c r="GEB107" s="531"/>
      <c r="GEC107" s="530"/>
      <c r="GED107" s="531"/>
      <c r="GEE107" s="530"/>
      <c r="GEF107" s="531"/>
      <c r="GEG107" s="530"/>
      <c r="GEH107" s="531"/>
      <c r="GEI107" s="530"/>
      <c r="GEJ107" s="531"/>
      <c r="GEK107" s="530"/>
      <c r="GEL107" s="531"/>
      <c r="GEM107" s="530"/>
      <c r="GEN107" s="531"/>
      <c r="GEO107" s="530"/>
      <c r="GEP107" s="531"/>
      <c r="GEQ107" s="530"/>
      <c r="GER107" s="531"/>
      <c r="GES107" s="530"/>
      <c r="GET107" s="531"/>
      <c r="GEU107" s="530"/>
      <c r="GEV107" s="531"/>
      <c r="GEW107" s="530"/>
      <c r="GEX107" s="531"/>
      <c r="GEY107" s="530"/>
      <c r="GEZ107" s="531"/>
      <c r="GFA107" s="530"/>
      <c r="GFB107" s="531"/>
      <c r="GFC107" s="530"/>
      <c r="GFD107" s="531"/>
      <c r="GFE107" s="530"/>
      <c r="GFF107" s="531"/>
      <c r="GFG107" s="530"/>
      <c r="GFH107" s="531"/>
      <c r="GFI107" s="530"/>
      <c r="GFJ107" s="531"/>
      <c r="GFK107" s="530"/>
      <c r="GFL107" s="531"/>
      <c r="GFM107" s="530"/>
      <c r="GFN107" s="531"/>
      <c r="GFO107" s="530"/>
      <c r="GFP107" s="531"/>
      <c r="GFQ107" s="530"/>
      <c r="GFR107" s="531"/>
      <c r="GFS107" s="530"/>
      <c r="GFT107" s="531"/>
      <c r="GFU107" s="530"/>
      <c r="GFV107" s="531"/>
      <c r="GFW107" s="530"/>
      <c r="GFX107" s="531"/>
      <c r="GFY107" s="530"/>
      <c r="GFZ107" s="531"/>
      <c r="GGA107" s="530"/>
      <c r="GGB107" s="531"/>
      <c r="GGC107" s="530"/>
      <c r="GGD107" s="531"/>
      <c r="GGE107" s="530"/>
      <c r="GGF107" s="531"/>
      <c r="GGG107" s="530"/>
      <c r="GGH107" s="531"/>
      <c r="GGI107" s="530"/>
      <c r="GGJ107" s="531"/>
      <c r="GGK107" s="530"/>
      <c r="GGL107" s="531"/>
      <c r="GGM107" s="530"/>
      <c r="GGN107" s="531"/>
      <c r="GGO107" s="530"/>
      <c r="GGP107" s="531"/>
      <c r="GGQ107" s="530"/>
      <c r="GGR107" s="531"/>
      <c r="GGS107" s="530"/>
      <c r="GGT107" s="531"/>
      <c r="GGU107" s="530"/>
      <c r="GGV107" s="531"/>
      <c r="GGW107" s="530"/>
      <c r="GGX107" s="531"/>
      <c r="GGY107" s="530"/>
      <c r="GGZ107" s="531"/>
      <c r="GHA107" s="530"/>
      <c r="GHB107" s="531"/>
      <c r="GHC107" s="530"/>
      <c r="GHD107" s="531"/>
      <c r="GHE107" s="530"/>
      <c r="GHF107" s="531"/>
      <c r="GHG107" s="530"/>
      <c r="GHH107" s="531"/>
      <c r="GHI107" s="530"/>
      <c r="GHJ107" s="531"/>
      <c r="GHK107" s="530"/>
      <c r="GHL107" s="531"/>
      <c r="GHM107" s="530"/>
      <c r="GHN107" s="531"/>
      <c r="GHO107" s="530"/>
      <c r="GHP107" s="531"/>
      <c r="GHQ107" s="530"/>
      <c r="GHR107" s="531"/>
      <c r="GHS107" s="530"/>
      <c r="GHT107" s="531"/>
      <c r="GHU107" s="530"/>
      <c r="GHV107" s="531"/>
      <c r="GHW107" s="530"/>
      <c r="GHX107" s="531"/>
      <c r="GHY107" s="530"/>
      <c r="GHZ107" s="531"/>
      <c r="GIA107" s="530"/>
      <c r="GIB107" s="531"/>
      <c r="GIC107" s="530"/>
      <c r="GID107" s="531"/>
      <c r="GIE107" s="530"/>
      <c r="GIF107" s="531"/>
      <c r="GIG107" s="530"/>
      <c r="GIH107" s="531"/>
      <c r="GII107" s="530"/>
      <c r="GIJ107" s="531"/>
      <c r="GIK107" s="530"/>
      <c r="GIL107" s="531"/>
      <c r="GIM107" s="530"/>
      <c r="GIN107" s="531"/>
      <c r="GIO107" s="530"/>
      <c r="GIP107" s="531"/>
      <c r="GIQ107" s="530"/>
      <c r="GIR107" s="531"/>
      <c r="GIS107" s="530"/>
      <c r="GIT107" s="531"/>
      <c r="GIU107" s="530"/>
      <c r="GIV107" s="531"/>
      <c r="GIW107" s="530"/>
      <c r="GIX107" s="531"/>
      <c r="GIY107" s="530"/>
      <c r="GIZ107" s="531"/>
      <c r="GJA107" s="530"/>
      <c r="GJB107" s="531"/>
      <c r="GJC107" s="530"/>
      <c r="GJD107" s="531"/>
      <c r="GJE107" s="530"/>
      <c r="GJF107" s="531"/>
      <c r="GJG107" s="530"/>
      <c r="GJH107" s="531"/>
      <c r="GJI107" s="530"/>
      <c r="GJJ107" s="531"/>
      <c r="GJK107" s="530"/>
      <c r="GJL107" s="531"/>
      <c r="GJM107" s="530"/>
      <c r="GJN107" s="531"/>
      <c r="GJO107" s="530"/>
      <c r="GJP107" s="531"/>
      <c r="GJQ107" s="530"/>
      <c r="GJR107" s="531"/>
      <c r="GJS107" s="530"/>
      <c r="GJT107" s="531"/>
      <c r="GJU107" s="530"/>
      <c r="GJV107" s="531"/>
      <c r="GJW107" s="530"/>
      <c r="GJX107" s="531"/>
      <c r="GJY107" s="530"/>
      <c r="GJZ107" s="531"/>
      <c r="GKA107" s="530"/>
      <c r="GKB107" s="531"/>
      <c r="GKC107" s="530"/>
      <c r="GKD107" s="531"/>
      <c r="GKE107" s="530"/>
      <c r="GKF107" s="531"/>
      <c r="GKG107" s="530"/>
      <c r="GKH107" s="531"/>
      <c r="GKI107" s="530"/>
      <c r="GKJ107" s="531"/>
      <c r="GKK107" s="530"/>
      <c r="GKL107" s="531"/>
      <c r="GKM107" s="530"/>
      <c r="GKN107" s="531"/>
      <c r="GKO107" s="530"/>
      <c r="GKP107" s="531"/>
      <c r="GKQ107" s="530"/>
      <c r="GKR107" s="531"/>
      <c r="GKS107" s="530"/>
      <c r="GKT107" s="531"/>
      <c r="GKU107" s="530"/>
      <c r="GKV107" s="531"/>
      <c r="GKW107" s="530"/>
      <c r="GKX107" s="531"/>
      <c r="GKY107" s="530"/>
      <c r="GKZ107" s="531"/>
      <c r="GLA107" s="530"/>
      <c r="GLB107" s="531"/>
      <c r="GLC107" s="530"/>
      <c r="GLD107" s="531"/>
      <c r="GLE107" s="530"/>
      <c r="GLF107" s="531"/>
      <c r="GLG107" s="530"/>
      <c r="GLH107" s="531"/>
      <c r="GLI107" s="530"/>
      <c r="GLJ107" s="531"/>
      <c r="GLK107" s="530"/>
      <c r="GLL107" s="531"/>
      <c r="GLM107" s="530"/>
      <c r="GLN107" s="531"/>
      <c r="GLO107" s="530"/>
      <c r="GLP107" s="531"/>
      <c r="GLQ107" s="530"/>
      <c r="GLR107" s="531"/>
      <c r="GLS107" s="530"/>
      <c r="GLT107" s="531"/>
      <c r="GLU107" s="530"/>
      <c r="GLV107" s="531"/>
      <c r="GLW107" s="530"/>
      <c r="GLX107" s="531"/>
      <c r="GLY107" s="530"/>
      <c r="GLZ107" s="531"/>
      <c r="GMA107" s="530"/>
      <c r="GMB107" s="531"/>
      <c r="GMC107" s="530"/>
      <c r="GMD107" s="531"/>
      <c r="GME107" s="530"/>
      <c r="GMF107" s="531"/>
      <c r="GMG107" s="530"/>
      <c r="GMH107" s="531"/>
      <c r="GMI107" s="530"/>
      <c r="GMJ107" s="531"/>
      <c r="GMK107" s="530"/>
      <c r="GML107" s="531"/>
      <c r="GMM107" s="530"/>
      <c r="GMN107" s="531"/>
      <c r="GMO107" s="530"/>
      <c r="GMP107" s="531"/>
      <c r="GMQ107" s="530"/>
      <c r="GMR107" s="531"/>
      <c r="GMS107" s="530"/>
      <c r="GMT107" s="531"/>
      <c r="GMU107" s="530"/>
      <c r="GMV107" s="531"/>
      <c r="GMW107" s="530"/>
      <c r="GMX107" s="531"/>
      <c r="GMY107" s="530"/>
      <c r="GMZ107" s="531"/>
      <c r="GNA107" s="530"/>
      <c r="GNB107" s="531"/>
      <c r="GNC107" s="530"/>
      <c r="GND107" s="531"/>
      <c r="GNE107" s="530"/>
      <c r="GNF107" s="531"/>
      <c r="GNG107" s="530"/>
      <c r="GNH107" s="531"/>
      <c r="GNI107" s="530"/>
      <c r="GNJ107" s="531"/>
      <c r="GNK107" s="530"/>
      <c r="GNL107" s="531"/>
      <c r="GNM107" s="530"/>
      <c r="GNN107" s="531"/>
      <c r="GNO107" s="530"/>
      <c r="GNP107" s="531"/>
      <c r="GNQ107" s="530"/>
      <c r="GNR107" s="531"/>
      <c r="GNS107" s="530"/>
      <c r="GNT107" s="531"/>
      <c r="GNU107" s="530"/>
      <c r="GNV107" s="531"/>
      <c r="GNW107" s="530"/>
      <c r="GNX107" s="531"/>
      <c r="GNY107" s="530"/>
      <c r="GNZ107" s="531"/>
      <c r="GOA107" s="530"/>
      <c r="GOB107" s="531"/>
      <c r="GOC107" s="530"/>
      <c r="GOD107" s="531"/>
      <c r="GOE107" s="530"/>
      <c r="GOF107" s="531"/>
      <c r="GOG107" s="530"/>
      <c r="GOH107" s="531"/>
      <c r="GOI107" s="530"/>
      <c r="GOJ107" s="531"/>
      <c r="GOK107" s="530"/>
      <c r="GOL107" s="531"/>
      <c r="GOM107" s="530"/>
      <c r="GON107" s="531"/>
      <c r="GOO107" s="530"/>
      <c r="GOP107" s="531"/>
      <c r="GOQ107" s="530"/>
      <c r="GOR107" s="531"/>
      <c r="GOS107" s="530"/>
      <c r="GOT107" s="531"/>
      <c r="GOU107" s="530"/>
      <c r="GOV107" s="531"/>
      <c r="GOW107" s="530"/>
      <c r="GOX107" s="531"/>
      <c r="GOY107" s="530"/>
      <c r="GOZ107" s="531"/>
      <c r="GPA107" s="530"/>
      <c r="GPB107" s="531"/>
      <c r="GPC107" s="530"/>
      <c r="GPD107" s="531"/>
      <c r="GPE107" s="530"/>
      <c r="GPF107" s="531"/>
      <c r="GPG107" s="530"/>
      <c r="GPH107" s="531"/>
      <c r="GPI107" s="530"/>
      <c r="GPJ107" s="531"/>
      <c r="GPK107" s="530"/>
      <c r="GPL107" s="531"/>
      <c r="GPM107" s="530"/>
      <c r="GPN107" s="531"/>
      <c r="GPO107" s="530"/>
      <c r="GPP107" s="531"/>
      <c r="GPQ107" s="530"/>
      <c r="GPR107" s="531"/>
      <c r="GPS107" s="530"/>
      <c r="GPT107" s="531"/>
      <c r="GPU107" s="530"/>
      <c r="GPV107" s="531"/>
      <c r="GPW107" s="530"/>
      <c r="GPX107" s="531"/>
      <c r="GPY107" s="530"/>
      <c r="GPZ107" s="531"/>
      <c r="GQA107" s="530"/>
      <c r="GQB107" s="531"/>
      <c r="GQC107" s="530"/>
      <c r="GQD107" s="531"/>
      <c r="GQE107" s="530"/>
      <c r="GQF107" s="531"/>
      <c r="GQG107" s="530"/>
      <c r="GQH107" s="531"/>
      <c r="GQI107" s="530"/>
      <c r="GQJ107" s="531"/>
      <c r="GQK107" s="530"/>
      <c r="GQL107" s="531"/>
      <c r="GQM107" s="530"/>
      <c r="GQN107" s="531"/>
      <c r="GQO107" s="530"/>
      <c r="GQP107" s="531"/>
      <c r="GQQ107" s="530"/>
      <c r="GQR107" s="531"/>
      <c r="GQS107" s="530"/>
      <c r="GQT107" s="531"/>
      <c r="GQU107" s="530"/>
      <c r="GQV107" s="531"/>
      <c r="GQW107" s="530"/>
      <c r="GQX107" s="531"/>
      <c r="GQY107" s="530"/>
      <c r="GQZ107" s="531"/>
      <c r="GRA107" s="530"/>
      <c r="GRB107" s="531"/>
      <c r="GRC107" s="530"/>
      <c r="GRD107" s="531"/>
      <c r="GRE107" s="530"/>
      <c r="GRF107" s="531"/>
      <c r="GRG107" s="530"/>
      <c r="GRH107" s="531"/>
      <c r="GRI107" s="530"/>
      <c r="GRJ107" s="531"/>
      <c r="GRK107" s="530"/>
      <c r="GRL107" s="531"/>
      <c r="GRM107" s="530"/>
      <c r="GRN107" s="531"/>
      <c r="GRO107" s="530"/>
      <c r="GRP107" s="531"/>
      <c r="GRQ107" s="530"/>
      <c r="GRR107" s="531"/>
      <c r="GRS107" s="530"/>
      <c r="GRT107" s="531"/>
      <c r="GRU107" s="530"/>
      <c r="GRV107" s="531"/>
      <c r="GRW107" s="530"/>
      <c r="GRX107" s="531"/>
      <c r="GRY107" s="530"/>
      <c r="GRZ107" s="531"/>
      <c r="GSA107" s="530"/>
      <c r="GSB107" s="531"/>
      <c r="GSC107" s="530"/>
      <c r="GSD107" s="531"/>
      <c r="GSE107" s="530"/>
      <c r="GSF107" s="531"/>
      <c r="GSG107" s="530"/>
      <c r="GSH107" s="531"/>
      <c r="GSI107" s="530"/>
      <c r="GSJ107" s="531"/>
      <c r="GSK107" s="530"/>
      <c r="GSL107" s="531"/>
      <c r="GSM107" s="530"/>
      <c r="GSN107" s="531"/>
      <c r="GSO107" s="530"/>
      <c r="GSP107" s="531"/>
      <c r="GSQ107" s="530"/>
      <c r="GSR107" s="531"/>
      <c r="GSS107" s="530"/>
      <c r="GST107" s="531"/>
      <c r="GSU107" s="530"/>
      <c r="GSV107" s="531"/>
      <c r="GSW107" s="530"/>
      <c r="GSX107" s="531"/>
      <c r="GSY107" s="530"/>
      <c r="GSZ107" s="531"/>
      <c r="GTA107" s="530"/>
      <c r="GTB107" s="531"/>
      <c r="GTC107" s="530"/>
      <c r="GTD107" s="531"/>
      <c r="GTE107" s="530"/>
      <c r="GTF107" s="531"/>
      <c r="GTG107" s="530"/>
      <c r="GTH107" s="531"/>
      <c r="GTI107" s="530"/>
      <c r="GTJ107" s="531"/>
      <c r="GTK107" s="530"/>
      <c r="GTL107" s="531"/>
      <c r="GTM107" s="530"/>
      <c r="GTN107" s="531"/>
      <c r="GTO107" s="530"/>
      <c r="GTP107" s="531"/>
      <c r="GTQ107" s="530"/>
      <c r="GTR107" s="531"/>
      <c r="GTS107" s="530"/>
      <c r="GTT107" s="531"/>
      <c r="GTU107" s="530"/>
      <c r="GTV107" s="531"/>
      <c r="GTW107" s="530"/>
      <c r="GTX107" s="531"/>
      <c r="GTY107" s="530"/>
      <c r="GTZ107" s="531"/>
      <c r="GUA107" s="530"/>
      <c r="GUB107" s="531"/>
      <c r="GUC107" s="530"/>
      <c r="GUD107" s="531"/>
      <c r="GUE107" s="530"/>
      <c r="GUF107" s="531"/>
      <c r="GUG107" s="530"/>
      <c r="GUH107" s="531"/>
      <c r="GUI107" s="530"/>
      <c r="GUJ107" s="531"/>
      <c r="GUK107" s="530"/>
      <c r="GUL107" s="531"/>
      <c r="GUM107" s="530"/>
      <c r="GUN107" s="531"/>
      <c r="GUO107" s="530"/>
      <c r="GUP107" s="531"/>
      <c r="GUQ107" s="530"/>
      <c r="GUR107" s="531"/>
      <c r="GUS107" s="530"/>
      <c r="GUT107" s="531"/>
      <c r="GUU107" s="530"/>
      <c r="GUV107" s="531"/>
      <c r="GUW107" s="530"/>
      <c r="GUX107" s="531"/>
      <c r="GUY107" s="530"/>
      <c r="GUZ107" s="531"/>
      <c r="GVA107" s="530"/>
      <c r="GVB107" s="531"/>
      <c r="GVC107" s="530"/>
      <c r="GVD107" s="531"/>
      <c r="GVE107" s="530"/>
      <c r="GVF107" s="531"/>
      <c r="GVG107" s="530"/>
      <c r="GVH107" s="531"/>
      <c r="GVI107" s="530"/>
      <c r="GVJ107" s="531"/>
      <c r="GVK107" s="530"/>
      <c r="GVL107" s="531"/>
      <c r="GVM107" s="530"/>
      <c r="GVN107" s="531"/>
      <c r="GVO107" s="530"/>
      <c r="GVP107" s="531"/>
      <c r="GVQ107" s="530"/>
      <c r="GVR107" s="531"/>
      <c r="GVS107" s="530"/>
      <c r="GVT107" s="531"/>
      <c r="GVU107" s="530"/>
      <c r="GVV107" s="531"/>
      <c r="GVW107" s="530"/>
      <c r="GVX107" s="531"/>
      <c r="GVY107" s="530"/>
      <c r="GVZ107" s="531"/>
      <c r="GWA107" s="530"/>
      <c r="GWB107" s="531"/>
      <c r="GWC107" s="530"/>
      <c r="GWD107" s="531"/>
      <c r="GWE107" s="530"/>
      <c r="GWF107" s="531"/>
      <c r="GWG107" s="530"/>
      <c r="GWH107" s="531"/>
      <c r="GWI107" s="530"/>
      <c r="GWJ107" s="531"/>
      <c r="GWK107" s="530"/>
      <c r="GWL107" s="531"/>
      <c r="GWM107" s="530"/>
      <c r="GWN107" s="531"/>
      <c r="GWO107" s="530"/>
      <c r="GWP107" s="531"/>
      <c r="GWQ107" s="530"/>
      <c r="GWR107" s="531"/>
      <c r="GWS107" s="530"/>
      <c r="GWT107" s="531"/>
      <c r="GWU107" s="530"/>
      <c r="GWV107" s="531"/>
      <c r="GWW107" s="530"/>
      <c r="GWX107" s="531"/>
      <c r="GWY107" s="530"/>
      <c r="GWZ107" s="531"/>
      <c r="GXA107" s="530"/>
      <c r="GXB107" s="531"/>
      <c r="GXC107" s="530"/>
      <c r="GXD107" s="531"/>
      <c r="GXE107" s="530"/>
      <c r="GXF107" s="531"/>
      <c r="GXG107" s="530"/>
      <c r="GXH107" s="531"/>
      <c r="GXI107" s="530"/>
      <c r="GXJ107" s="531"/>
      <c r="GXK107" s="530"/>
      <c r="GXL107" s="531"/>
      <c r="GXM107" s="530"/>
      <c r="GXN107" s="531"/>
      <c r="GXO107" s="530"/>
      <c r="GXP107" s="531"/>
      <c r="GXQ107" s="530"/>
      <c r="GXR107" s="531"/>
      <c r="GXS107" s="530"/>
      <c r="GXT107" s="531"/>
      <c r="GXU107" s="530"/>
      <c r="GXV107" s="531"/>
      <c r="GXW107" s="530"/>
      <c r="GXX107" s="531"/>
      <c r="GXY107" s="530"/>
      <c r="GXZ107" s="531"/>
      <c r="GYA107" s="530"/>
      <c r="GYB107" s="531"/>
      <c r="GYC107" s="530"/>
      <c r="GYD107" s="531"/>
      <c r="GYE107" s="530"/>
      <c r="GYF107" s="531"/>
      <c r="GYG107" s="530"/>
      <c r="GYH107" s="531"/>
      <c r="GYI107" s="530"/>
      <c r="GYJ107" s="531"/>
      <c r="GYK107" s="530"/>
      <c r="GYL107" s="531"/>
      <c r="GYM107" s="530"/>
      <c r="GYN107" s="531"/>
      <c r="GYO107" s="530"/>
      <c r="GYP107" s="531"/>
      <c r="GYQ107" s="530"/>
      <c r="GYR107" s="531"/>
      <c r="GYS107" s="530"/>
      <c r="GYT107" s="531"/>
      <c r="GYU107" s="530"/>
      <c r="GYV107" s="531"/>
      <c r="GYW107" s="530"/>
      <c r="GYX107" s="531"/>
      <c r="GYY107" s="530"/>
      <c r="GYZ107" s="531"/>
      <c r="GZA107" s="530"/>
      <c r="GZB107" s="531"/>
      <c r="GZC107" s="530"/>
      <c r="GZD107" s="531"/>
      <c r="GZE107" s="530"/>
      <c r="GZF107" s="531"/>
      <c r="GZG107" s="530"/>
      <c r="GZH107" s="531"/>
      <c r="GZI107" s="530"/>
      <c r="GZJ107" s="531"/>
      <c r="GZK107" s="530"/>
      <c r="GZL107" s="531"/>
      <c r="GZM107" s="530"/>
      <c r="GZN107" s="531"/>
      <c r="GZO107" s="530"/>
      <c r="GZP107" s="531"/>
      <c r="GZQ107" s="530"/>
      <c r="GZR107" s="531"/>
      <c r="GZS107" s="530"/>
      <c r="GZT107" s="531"/>
      <c r="GZU107" s="530"/>
      <c r="GZV107" s="531"/>
      <c r="GZW107" s="530"/>
      <c r="GZX107" s="531"/>
      <c r="GZY107" s="530"/>
      <c r="GZZ107" s="531"/>
      <c r="HAA107" s="530"/>
      <c r="HAB107" s="531"/>
      <c r="HAC107" s="530"/>
      <c r="HAD107" s="531"/>
      <c r="HAE107" s="530"/>
      <c r="HAF107" s="531"/>
      <c r="HAG107" s="530"/>
      <c r="HAH107" s="531"/>
      <c r="HAI107" s="530"/>
      <c r="HAJ107" s="531"/>
      <c r="HAK107" s="530"/>
      <c r="HAL107" s="531"/>
      <c r="HAM107" s="530"/>
      <c r="HAN107" s="531"/>
      <c r="HAO107" s="530"/>
      <c r="HAP107" s="531"/>
      <c r="HAQ107" s="530"/>
      <c r="HAR107" s="531"/>
      <c r="HAS107" s="530"/>
      <c r="HAT107" s="531"/>
      <c r="HAU107" s="530"/>
      <c r="HAV107" s="531"/>
      <c r="HAW107" s="530"/>
      <c r="HAX107" s="531"/>
      <c r="HAY107" s="530"/>
      <c r="HAZ107" s="531"/>
      <c r="HBA107" s="530"/>
      <c r="HBB107" s="531"/>
      <c r="HBC107" s="530"/>
      <c r="HBD107" s="531"/>
      <c r="HBE107" s="530"/>
      <c r="HBF107" s="531"/>
      <c r="HBG107" s="530"/>
      <c r="HBH107" s="531"/>
      <c r="HBI107" s="530"/>
      <c r="HBJ107" s="531"/>
      <c r="HBK107" s="530"/>
      <c r="HBL107" s="531"/>
      <c r="HBM107" s="530"/>
      <c r="HBN107" s="531"/>
      <c r="HBO107" s="530"/>
      <c r="HBP107" s="531"/>
      <c r="HBQ107" s="530"/>
      <c r="HBR107" s="531"/>
      <c r="HBS107" s="530"/>
      <c r="HBT107" s="531"/>
      <c r="HBU107" s="530"/>
      <c r="HBV107" s="531"/>
      <c r="HBW107" s="530"/>
      <c r="HBX107" s="531"/>
      <c r="HBY107" s="530"/>
      <c r="HBZ107" s="531"/>
      <c r="HCA107" s="530"/>
      <c r="HCB107" s="531"/>
      <c r="HCC107" s="530"/>
      <c r="HCD107" s="531"/>
      <c r="HCE107" s="530"/>
      <c r="HCF107" s="531"/>
      <c r="HCG107" s="530"/>
      <c r="HCH107" s="531"/>
      <c r="HCI107" s="530"/>
      <c r="HCJ107" s="531"/>
      <c r="HCK107" s="530"/>
      <c r="HCL107" s="531"/>
      <c r="HCM107" s="530"/>
      <c r="HCN107" s="531"/>
      <c r="HCO107" s="530"/>
      <c r="HCP107" s="531"/>
      <c r="HCQ107" s="530"/>
      <c r="HCR107" s="531"/>
      <c r="HCS107" s="530"/>
      <c r="HCT107" s="531"/>
      <c r="HCU107" s="530"/>
      <c r="HCV107" s="531"/>
      <c r="HCW107" s="530"/>
      <c r="HCX107" s="531"/>
      <c r="HCY107" s="530"/>
      <c r="HCZ107" s="531"/>
      <c r="HDA107" s="530"/>
      <c r="HDB107" s="531"/>
      <c r="HDC107" s="530"/>
      <c r="HDD107" s="531"/>
      <c r="HDE107" s="530"/>
      <c r="HDF107" s="531"/>
      <c r="HDG107" s="530"/>
      <c r="HDH107" s="531"/>
      <c r="HDI107" s="530"/>
      <c r="HDJ107" s="531"/>
      <c r="HDK107" s="530"/>
      <c r="HDL107" s="531"/>
      <c r="HDM107" s="530"/>
      <c r="HDN107" s="531"/>
      <c r="HDO107" s="530"/>
      <c r="HDP107" s="531"/>
      <c r="HDQ107" s="530"/>
      <c r="HDR107" s="531"/>
      <c r="HDS107" s="530"/>
      <c r="HDT107" s="531"/>
      <c r="HDU107" s="530"/>
      <c r="HDV107" s="531"/>
      <c r="HDW107" s="530"/>
      <c r="HDX107" s="531"/>
      <c r="HDY107" s="530"/>
      <c r="HDZ107" s="531"/>
      <c r="HEA107" s="530"/>
      <c r="HEB107" s="531"/>
      <c r="HEC107" s="530"/>
      <c r="HED107" s="531"/>
      <c r="HEE107" s="530"/>
      <c r="HEF107" s="531"/>
      <c r="HEG107" s="530"/>
      <c r="HEH107" s="531"/>
      <c r="HEI107" s="530"/>
      <c r="HEJ107" s="531"/>
      <c r="HEK107" s="530"/>
      <c r="HEL107" s="531"/>
      <c r="HEM107" s="530"/>
      <c r="HEN107" s="531"/>
      <c r="HEO107" s="530"/>
      <c r="HEP107" s="531"/>
      <c r="HEQ107" s="530"/>
      <c r="HER107" s="531"/>
      <c r="HES107" s="530"/>
      <c r="HET107" s="531"/>
      <c r="HEU107" s="530"/>
      <c r="HEV107" s="531"/>
      <c r="HEW107" s="530"/>
      <c r="HEX107" s="531"/>
      <c r="HEY107" s="530"/>
      <c r="HEZ107" s="531"/>
      <c r="HFA107" s="530"/>
      <c r="HFB107" s="531"/>
      <c r="HFC107" s="530"/>
      <c r="HFD107" s="531"/>
      <c r="HFE107" s="530"/>
      <c r="HFF107" s="531"/>
      <c r="HFG107" s="530"/>
      <c r="HFH107" s="531"/>
      <c r="HFI107" s="530"/>
      <c r="HFJ107" s="531"/>
      <c r="HFK107" s="530"/>
      <c r="HFL107" s="531"/>
      <c r="HFM107" s="530"/>
      <c r="HFN107" s="531"/>
      <c r="HFO107" s="530"/>
      <c r="HFP107" s="531"/>
      <c r="HFQ107" s="530"/>
      <c r="HFR107" s="531"/>
      <c r="HFS107" s="530"/>
      <c r="HFT107" s="531"/>
      <c r="HFU107" s="530"/>
      <c r="HFV107" s="531"/>
      <c r="HFW107" s="530"/>
      <c r="HFX107" s="531"/>
      <c r="HFY107" s="530"/>
      <c r="HFZ107" s="531"/>
      <c r="HGA107" s="530"/>
      <c r="HGB107" s="531"/>
      <c r="HGC107" s="530"/>
      <c r="HGD107" s="531"/>
      <c r="HGE107" s="530"/>
      <c r="HGF107" s="531"/>
      <c r="HGG107" s="530"/>
      <c r="HGH107" s="531"/>
      <c r="HGI107" s="530"/>
      <c r="HGJ107" s="531"/>
      <c r="HGK107" s="530"/>
      <c r="HGL107" s="531"/>
      <c r="HGM107" s="530"/>
      <c r="HGN107" s="531"/>
      <c r="HGO107" s="530"/>
      <c r="HGP107" s="531"/>
      <c r="HGQ107" s="530"/>
      <c r="HGR107" s="531"/>
      <c r="HGS107" s="530"/>
      <c r="HGT107" s="531"/>
      <c r="HGU107" s="530"/>
      <c r="HGV107" s="531"/>
      <c r="HGW107" s="530"/>
      <c r="HGX107" s="531"/>
      <c r="HGY107" s="530"/>
      <c r="HGZ107" s="531"/>
      <c r="HHA107" s="530"/>
      <c r="HHB107" s="531"/>
      <c r="HHC107" s="530"/>
      <c r="HHD107" s="531"/>
      <c r="HHE107" s="530"/>
      <c r="HHF107" s="531"/>
      <c r="HHG107" s="530"/>
      <c r="HHH107" s="531"/>
      <c r="HHI107" s="530"/>
      <c r="HHJ107" s="531"/>
      <c r="HHK107" s="530"/>
      <c r="HHL107" s="531"/>
      <c r="HHM107" s="530"/>
      <c r="HHN107" s="531"/>
      <c r="HHO107" s="530"/>
      <c r="HHP107" s="531"/>
      <c r="HHQ107" s="530"/>
      <c r="HHR107" s="531"/>
      <c r="HHS107" s="530"/>
      <c r="HHT107" s="531"/>
      <c r="HHU107" s="530"/>
      <c r="HHV107" s="531"/>
      <c r="HHW107" s="530"/>
      <c r="HHX107" s="531"/>
      <c r="HHY107" s="530"/>
      <c r="HHZ107" s="531"/>
      <c r="HIA107" s="530"/>
      <c r="HIB107" s="531"/>
      <c r="HIC107" s="530"/>
      <c r="HID107" s="531"/>
      <c r="HIE107" s="530"/>
      <c r="HIF107" s="531"/>
      <c r="HIG107" s="530"/>
      <c r="HIH107" s="531"/>
      <c r="HII107" s="530"/>
      <c r="HIJ107" s="531"/>
      <c r="HIK107" s="530"/>
      <c r="HIL107" s="531"/>
      <c r="HIM107" s="530"/>
      <c r="HIN107" s="531"/>
      <c r="HIO107" s="530"/>
      <c r="HIP107" s="531"/>
      <c r="HIQ107" s="530"/>
      <c r="HIR107" s="531"/>
      <c r="HIS107" s="530"/>
      <c r="HIT107" s="531"/>
      <c r="HIU107" s="530"/>
      <c r="HIV107" s="531"/>
      <c r="HIW107" s="530"/>
      <c r="HIX107" s="531"/>
      <c r="HIY107" s="530"/>
      <c r="HIZ107" s="531"/>
      <c r="HJA107" s="530"/>
      <c r="HJB107" s="531"/>
      <c r="HJC107" s="530"/>
      <c r="HJD107" s="531"/>
      <c r="HJE107" s="530"/>
      <c r="HJF107" s="531"/>
      <c r="HJG107" s="530"/>
      <c r="HJH107" s="531"/>
      <c r="HJI107" s="530"/>
      <c r="HJJ107" s="531"/>
      <c r="HJK107" s="530"/>
      <c r="HJL107" s="531"/>
      <c r="HJM107" s="530"/>
      <c r="HJN107" s="531"/>
      <c r="HJO107" s="530"/>
      <c r="HJP107" s="531"/>
      <c r="HJQ107" s="530"/>
      <c r="HJR107" s="531"/>
      <c r="HJS107" s="530"/>
      <c r="HJT107" s="531"/>
      <c r="HJU107" s="530"/>
      <c r="HJV107" s="531"/>
      <c r="HJW107" s="530"/>
      <c r="HJX107" s="531"/>
      <c r="HJY107" s="530"/>
      <c r="HJZ107" s="531"/>
      <c r="HKA107" s="530"/>
      <c r="HKB107" s="531"/>
      <c r="HKC107" s="530"/>
      <c r="HKD107" s="531"/>
      <c r="HKE107" s="530"/>
      <c r="HKF107" s="531"/>
      <c r="HKG107" s="530"/>
      <c r="HKH107" s="531"/>
      <c r="HKI107" s="530"/>
      <c r="HKJ107" s="531"/>
      <c r="HKK107" s="530"/>
      <c r="HKL107" s="531"/>
      <c r="HKM107" s="530"/>
      <c r="HKN107" s="531"/>
      <c r="HKO107" s="530"/>
      <c r="HKP107" s="531"/>
      <c r="HKQ107" s="530"/>
      <c r="HKR107" s="531"/>
      <c r="HKS107" s="530"/>
      <c r="HKT107" s="531"/>
      <c r="HKU107" s="530"/>
      <c r="HKV107" s="531"/>
      <c r="HKW107" s="530"/>
      <c r="HKX107" s="531"/>
      <c r="HKY107" s="530"/>
      <c r="HKZ107" s="531"/>
      <c r="HLA107" s="530"/>
      <c r="HLB107" s="531"/>
      <c r="HLC107" s="530"/>
      <c r="HLD107" s="531"/>
      <c r="HLE107" s="530"/>
      <c r="HLF107" s="531"/>
      <c r="HLG107" s="530"/>
      <c r="HLH107" s="531"/>
      <c r="HLI107" s="530"/>
      <c r="HLJ107" s="531"/>
      <c r="HLK107" s="530"/>
      <c r="HLL107" s="531"/>
      <c r="HLM107" s="530"/>
      <c r="HLN107" s="531"/>
      <c r="HLO107" s="530"/>
      <c r="HLP107" s="531"/>
      <c r="HLQ107" s="530"/>
      <c r="HLR107" s="531"/>
      <c r="HLS107" s="530"/>
      <c r="HLT107" s="531"/>
      <c r="HLU107" s="530"/>
      <c r="HLV107" s="531"/>
      <c r="HLW107" s="530"/>
      <c r="HLX107" s="531"/>
      <c r="HLY107" s="530"/>
      <c r="HLZ107" s="531"/>
      <c r="HMA107" s="530"/>
      <c r="HMB107" s="531"/>
      <c r="HMC107" s="530"/>
      <c r="HMD107" s="531"/>
      <c r="HME107" s="530"/>
      <c r="HMF107" s="531"/>
      <c r="HMG107" s="530"/>
      <c r="HMH107" s="531"/>
      <c r="HMI107" s="530"/>
      <c r="HMJ107" s="531"/>
      <c r="HMK107" s="530"/>
      <c r="HML107" s="531"/>
      <c r="HMM107" s="530"/>
      <c r="HMN107" s="531"/>
      <c r="HMO107" s="530"/>
      <c r="HMP107" s="531"/>
      <c r="HMQ107" s="530"/>
      <c r="HMR107" s="531"/>
      <c r="HMS107" s="530"/>
      <c r="HMT107" s="531"/>
      <c r="HMU107" s="530"/>
      <c r="HMV107" s="531"/>
      <c r="HMW107" s="530"/>
      <c r="HMX107" s="531"/>
      <c r="HMY107" s="530"/>
      <c r="HMZ107" s="531"/>
      <c r="HNA107" s="530"/>
      <c r="HNB107" s="531"/>
      <c r="HNC107" s="530"/>
      <c r="HND107" s="531"/>
      <c r="HNE107" s="530"/>
      <c r="HNF107" s="531"/>
      <c r="HNG107" s="530"/>
      <c r="HNH107" s="531"/>
      <c r="HNI107" s="530"/>
      <c r="HNJ107" s="531"/>
      <c r="HNK107" s="530"/>
      <c r="HNL107" s="531"/>
      <c r="HNM107" s="530"/>
      <c r="HNN107" s="531"/>
      <c r="HNO107" s="530"/>
      <c r="HNP107" s="531"/>
      <c r="HNQ107" s="530"/>
      <c r="HNR107" s="531"/>
      <c r="HNS107" s="530"/>
      <c r="HNT107" s="531"/>
      <c r="HNU107" s="530"/>
      <c r="HNV107" s="531"/>
      <c r="HNW107" s="530"/>
      <c r="HNX107" s="531"/>
      <c r="HNY107" s="530"/>
      <c r="HNZ107" s="531"/>
      <c r="HOA107" s="530"/>
      <c r="HOB107" s="531"/>
      <c r="HOC107" s="530"/>
      <c r="HOD107" s="531"/>
      <c r="HOE107" s="530"/>
      <c r="HOF107" s="531"/>
      <c r="HOG107" s="530"/>
      <c r="HOH107" s="531"/>
      <c r="HOI107" s="530"/>
      <c r="HOJ107" s="531"/>
      <c r="HOK107" s="530"/>
      <c r="HOL107" s="531"/>
      <c r="HOM107" s="530"/>
      <c r="HON107" s="531"/>
      <c r="HOO107" s="530"/>
      <c r="HOP107" s="531"/>
      <c r="HOQ107" s="530"/>
      <c r="HOR107" s="531"/>
      <c r="HOS107" s="530"/>
      <c r="HOT107" s="531"/>
      <c r="HOU107" s="530"/>
      <c r="HOV107" s="531"/>
      <c r="HOW107" s="530"/>
      <c r="HOX107" s="531"/>
      <c r="HOY107" s="530"/>
      <c r="HOZ107" s="531"/>
      <c r="HPA107" s="530"/>
      <c r="HPB107" s="531"/>
      <c r="HPC107" s="530"/>
      <c r="HPD107" s="531"/>
      <c r="HPE107" s="530"/>
      <c r="HPF107" s="531"/>
      <c r="HPG107" s="530"/>
      <c r="HPH107" s="531"/>
      <c r="HPI107" s="530"/>
      <c r="HPJ107" s="531"/>
      <c r="HPK107" s="530"/>
      <c r="HPL107" s="531"/>
      <c r="HPM107" s="530"/>
      <c r="HPN107" s="531"/>
      <c r="HPO107" s="530"/>
      <c r="HPP107" s="531"/>
      <c r="HPQ107" s="530"/>
      <c r="HPR107" s="531"/>
      <c r="HPS107" s="530"/>
      <c r="HPT107" s="531"/>
      <c r="HPU107" s="530"/>
      <c r="HPV107" s="531"/>
      <c r="HPW107" s="530"/>
      <c r="HPX107" s="531"/>
      <c r="HPY107" s="530"/>
      <c r="HPZ107" s="531"/>
      <c r="HQA107" s="530"/>
      <c r="HQB107" s="531"/>
      <c r="HQC107" s="530"/>
      <c r="HQD107" s="531"/>
      <c r="HQE107" s="530"/>
      <c r="HQF107" s="531"/>
      <c r="HQG107" s="530"/>
      <c r="HQH107" s="531"/>
      <c r="HQI107" s="530"/>
      <c r="HQJ107" s="531"/>
      <c r="HQK107" s="530"/>
      <c r="HQL107" s="531"/>
      <c r="HQM107" s="530"/>
      <c r="HQN107" s="531"/>
      <c r="HQO107" s="530"/>
      <c r="HQP107" s="531"/>
      <c r="HQQ107" s="530"/>
      <c r="HQR107" s="531"/>
      <c r="HQS107" s="530"/>
      <c r="HQT107" s="531"/>
      <c r="HQU107" s="530"/>
      <c r="HQV107" s="531"/>
      <c r="HQW107" s="530"/>
      <c r="HQX107" s="531"/>
      <c r="HQY107" s="530"/>
      <c r="HQZ107" s="531"/>
      <c r="HRA107" s="530"/>
      <c r="HRB107" s="531"/>
      <c r="HRC107" s="530"/>
      <c r="HRD107" s="531"/>
      <c r="HRE107" s="530"/>
      <c r="HRF107" s="531"/>
      <c r="HRG107" s="530"/>
      <c r="HRH107" s="531"/>
      <c r="HRI107" s="530"/>
      <c r="HRJ107" s="531"/>
      <c r="HRK107" s="530"/>
      <c r="HRL107" s="531"/>
      <c r="HRM107" s="530"/>
      <c r="HRN107" s="531"/>
      <c r="HRO107" s="530"/>
      <c r="HRP107" s="531"/>
      <c r="HRQ107" s="530"/>
      <c r="HRR107" s="531"/>
      <c r="HRS107" s="530"/>
      <c r="HRT107" s="531"/>
      <c r="HRU107" s="530"/>
      <c r="HRV107" s="531"/>
      <c r="HRW107" s="530"/>
      <c r="HRX107" s="531"/>
      <c r="HRY107" s="530"/>
      <c r="HRZ107" s="531"/>
      <c r="HSA107" s="530"/>
      <c r="HSB107" s="531"/>
      <c r="HSC107" s="530"/>
      <c r="HSD107" s="531"/>
      <c r="HSE107" s="530"/>
      <c r="HSF107" s="531"/>
      <c r="HSG107" s="530"/>
      <c r="HSH107" s="531"/>
      <c r="HSI107" s="530"/>
      <c r="HSJ107" s="531"/>
      <c r="HSK107" s="530"/>
      <c r="HSL107" s="531"/>
      <c r="HSM107" s="530"/>
      <c r="HSN107" s="531"/>
      <c r="HSO107" s="530"/>
      <c r="HSP107" s="531"/>
      <c r="HSQ107" s="530"/>
      <c r="HSR107" s="531"/>
      <c r="HSS107" s="530"/>
      <c r="HST107" s="531"/>
      <c r="HSU107" s="530"/>
      <c r="HSV107" s="531"/>
      <c r="HSW107" s="530"/>
      <c r="HSX107" s="531"/>
      <c r="HSY107" s="530"/>
      <c r="HSZ107" s="531"/>
      <c r="HTA107" s="530"/>
      <c r="HTB107" s="531"/>
      <c r="HTC107" s="530"/>
      <c r="HTD107" s="531"/>
      <c r="HTE107" s="530"/>
      <c r="HTF107" s="531"/>
      <c r="HTG107" s="530"/>
      <c r="HTH107" s="531"/>
      <c r="HTI107" s="530"/>
      <c r="HTJ107" s="531"/>
      <c r="HTK107" s="530"/>
      <c r="HTL107" s="531"/>
      <c r="HTM107" s="530"/>
      <c r="HTN107" s="531"/>
      <c r="HTO107" s="530"/>
      <c r="HTP107" s="531"/>
      <c r="HTQ107" s="530"/>
      <c r="HTR107" s="531"/>
      <c r="HTS107" s="530"/>
      <c r="HTT107" s="531"/>
      <c r="HTU107" s="530"/>
      <c r="HTV107" s="531"/>
      <c r="HTW107" s="530"/>
      <c r="HTX107" s="531"/>
      <c r="HTY107" s="530"/>
      <c r="HTZ107" s="531"/>
      <c r="HUA107" s="530"/>
      <c r="HUB107" s="531"/>
      <c r="HUC107" s="530"/>
      <c r="HUD107" s="531"/>
      <c r="HUE107" s="530"/>
      <c r="HUF107" s="531"/>
      <c r="HUG107" s="530"/>
      <c r="HUH107" s="531"/>
      <c r="HUI107" s="530"/>
      <c r="HUJ107" s="531"/>
      <c r="HUK107" s="530"/>
      <c r="HUL107" s="531"/>
      <c r="HUM107" s="530"/>
      <c r="HUN107" s="531"/>
      <c r="HUO107" s="530"/>
      <c r="HUP107" s="531"/>
      <c r="HUQ107" s="530"/>
      <c r="HUR107" s="531"/>
      <c r="HUS107" s="530"/>
      <c r="HUT107" s="531"/>
      <c r="HUU107" s="530"/>
      <c r="HUV107" s="531"/>
      <c r="HUW107" s="530"/>
      <c r="HUX107" s="531"/>
      <c r="HUY107" s="530"/>
      <c r="HUZ107" s="531"/>
      <c r="HVA107" s="530"/>
      <c r="HVB107" s="531"/>
      <c r="HVC107" s="530"/>
      <c r="HVD107" s="531"/>
      <c r="HVE107" s="530"/>
      <c r="HVF107" s="531"/>
      <c r="HVG107" s="530"/>
      <c r="HVH107" s="531"/>
      <c r="HVI107" s="530"/>
      <c r="HVJ107" s="531"/>
      <c r="HVK107" s="530"/>
      <c r="HVL107" s="531"/>
      <c r="HVM107" s="530"/>
      <c r="HVN107" s="531"/>
      <c r="HVO107" s="530"/>
      <c r="HVP107" s="531"/>
      <c r="HVQ107" s="530"/>
      <c r="HVR107" s="531"/>
      <c r="HVS107" s="530"/>
      <c r="HVT107" s="531"/>
      <c r="HVU107" s="530"/>
      <c r="HVV107" s="531"/>
      <c r="HVW107" s="530"/>
      <c r="HVX107" s="531"/>
      <c r="HVY107" s="530"/>
      <c r="HVZ107" s="531"/>
      <c r="HWA107" s="530"/>
      <c r="HWB107" s="531"/>
      <c r="HWC107" s="530"/>
      <c r="HWD107" s="531"/>
      <c r="HWE107" s="530"/>
      <c r="HWF107" s="531"/>
      <c r="HWG107" s="530"/>
      <c r="HWH107" s="531"/>
      <c r="HWI107" s="530"/>
      <c r="HWJ107" s="531"/>
      <c r="HWK107" s="530"/>
      <c r="HWL107" s="531"/>
      <c r="HWM107" s="530"/>
      <c r="HWN107" s="531"/>
      <c r="HWO107" s="530"/>
      <c r="HWP107" s="531"/>
      <c r="HWQ107" s="530"/>
      <c r="HWR107" s="531"/>
      <c r="HWS107" s="530"/>
      <c r="HWT107" s="531"/>
      <c r="HWU107" s="530"/>
      <c r="HWV107" s="531"/>
      <c r="HWW107" s="530"/>
      <c r="HWX107" s="531"/>
      <c r="HWY107" s="530"/>
      <c r="HWZ107" s="531"/>
      <c r="HXA107" s="530"/>
      <c r="HXB107" s="531"/>
      <c r="HXC107" s="530"/>
      <c r="HXD107" s="531"/>
      <c r="HXE107" s="530"/>
      <c r="HXF107" s="531"/>
      <c r="HXG107" s="530"/>
      <c r="HXH107" s="531"/>
      <c r="HXI107" s="530"/>
      <c r="HXJ107" s="531"/>
      <c r="HXK107" s="530"/>
      <c r="HXL107" s="531"/>
      <c r="HXM107" s="530"/>
      <c r="HXN107" s="531"/>
      <c r="HXO107" s="530"/>
      <c r="HXP107" s="531"/>
      <c r="HXQ107" s="530"/>
      <c r="HXR107" s="531"/>
      <c r="HXS107" s="530"/>
      <c r="HXT107" s="531"/>
      <c r="HXU107" s="530"/>
      <c r="HXV107" s="531"/>
      <c r="HXW107" s="530"/>
      <c r="HXX107" s="531"/>
      <c r="HXY107" s="530"/>
      <c r="HXZ107" s="531"/>
      <c r="HYA107" s="530"/>
      <c r="HYB107" s="531"/>
      <c r="HYC107" s="530"/>
      <c r="HYD107" s="531"/>
      <c r="HYE107" s="530"/>
      <c r="HYF107" s="531"/>
      <c r="HYG107" s="530"/>
      <c r="HYH107" s="531"/>
      <c r="HYI107" s="530"/>
      <c r="HYJ107" s="531"/>
      <c r="HYK107" s="530"/>
      <c r="HYL107" s="531"/>
      <c r="HYM107" s="530"/>
      <c r="HYN107" s="531"/>
      <c r="HYO107" s="530"/>
      <c r="HYP107" s="531"/>
      <c r="HYQ107" s="530"/>
      <c r="HYR107" s="531"/>
      <c r="HYS107" s="530"/>
      <c r="HYT107" s="531"/>
      <c r="HYU107" s="530"/>
      <c r="HYV107" s="531"/>
      <c r="HYW107" s="530"/>
      <c r="HYX107" s="531"/>
      <c r="HYY107" s="530"/>
      <c r="HYZ107" s="531"/>
      <c r="HZA107" s="530"/>
      <c r="HZB107" s="531"/>
      <c r="HZC107" s="530"/>
      <c r="HZD107" s="531"/>
      <c r="HZE107" s="530"/>
      <c r="HZF107" s="531"/>
      <c r="HZG107" s="530"/>
      <c r="HZH107" s="531"/>
      <c r="HZI107" s="530"/>
      <c r="HZJ107" s="531"/>
      <c r="HZK107" s="530"/>
      <c r="HZL107" s="531"/>
      <c r="HZM107" s="530"/>
      <c r="HZN107" s="531"/>
      <c r="HZO107" s="530"/>
      <c r="HZP107" s="531"/>
      <c r="HZQ107" s="530"/>
      <c r="HZR107" s="531"/>
      <c r="HZS107" s="530"/>
      <c r="HZT107" s="531"/>
      <c r="HZU107" s="530"/>
      <c r="HZV107" s="531"/>
      <c r="HZW107" s="530"/>
      <c r="HZX107" s="531"/>
      <c r="HZY107" s="530"/>
      <c r="HZZ107" s="531"/>
      <c r="IAA107" s="530"/>
      <c r="IAB107" s="531"/>
      <c r="IAC107" s="530"/>
      <c r="IAD107" s="531"/>
      <c r="IAE107" s="530"/>
      <c r="IAF107" s="531"/>
      <c r="IAG107" s="530"/>
      <c r="IAH107" s="531"/>
      <c r="IAI107" s="530"/>
      <c r="IAJ107" s="531"/>
      <c r="IAK107" s="530"/>
      <c r="IAL107" s="531"/>
      <c r="IAM107" s="530"/>
      <c r="IAN107" s="531"/>
      <c r="IAO107" s="530"/>
      <c r="IAP107" s="531"/>
      <c r="IAQ107" s="530"/>
      <c r="IAR107" s="531"/>
      <c r="IAS107" s="530"/>
      <c r="IAT107" s="531"/>
      <c r="IAU107" s="530"/>
      <c r="IAV107" s="531"/>
      <c r="IAW107" s="530"/>
      <c r="IAX107" s="531"/>
      <c r="IAY107" s="530"/>
      <c r="IAZ107" s="531"/>
      <c r="IBA107" s="530"/>
      <c r="IBB107" s="531"/>
      <c r="IBC107" s="530"/>
      <c r="IBD107" s="531"/>
      <c r="IBE107" s="530"/>
      <c r="IBF107" s="531"/>
      <c r="IBG107" s="530"/>
      <c r="IBH107" s="531"/>
      <c r="IBI107" s="530"/>
      <c r="IBJ107" s="531"/>
      <c r="IBK107" s="530"/>
      <c r="IBL107" s="531"/>
      <c r="IBM107" s="530"/>
      <c r="IBN107" s="531"/>
      <c r="IBO107" s="530"/>
      <c r="IBP107" s="531"/>
      <c r="IBQ107" s="530"/>
      <c r="IBR107" s="531"/>
      <c r="IBS107" s="530"/>
      <c r="IBT107" s="531"/>
      <c r="IBU107" s="530"/>
      <c r="IBV107" s="531"/>
      <c r="IBW107" s="530"/>
      <c r="IBX107" s="531"/>
      <c r="IBY107" s="530"/>
      <c r="IBZ107" s="531"/>
      <c r="ICA107" s="530"/>
      <c r="ICB107" s="531"/>
      <c r="ICC107" s="530"/>
      <c r="ICD107" s="531"/>
      <c r="ICE107" s="530"/>
      <c r="ICF107" s="531"/>
      <c r="ICG107" s="530"/>
      <c r="ICH107" s="531"/>
      <c r="ICI107" s="530"/>
      <c r="ICJ107" s="531"/>
      <c r="ICK107" s="530"/>
      <c r="ICL107" s="531"/>
      <c r="ICM107" s="530"/>
      <c r="ICN107" s="531"/>
      <c r="ICO107" s="530"/>
      <c r="ICP107" s="531"/>
      <c r="ICQ107" s="530"/>
      <c r="ICR107" s="531"/>
      <c r="ICS107" s="530"/>
      <c r="ICT107" s="531"/>
      <c r="ICU107" s="530"/>
      <c r="ICV107" s="531"/>
      <c r="ICW107" s="530"/>
      <c r="ICX107" s="531"/>
      <c r="ICY107" s="530"/>
      <c r="ICZ107" s="531"/>
      <c r="IDA107" s="530"/>
      <c r="IDB107" s="531"/>
      <c r="IDC107" s="530"/>
      <c r="IDD107" s="531"/>
      <c r="IDE107" s="530"/>
      <c r="IDF107" s="531"/>
      <c r="IDG107" s="530"/>
      <c r="IDH107" s="531"/>
      <c r="IDI107" s="530"/>
      <c r="IDJ107" s="531"/>
      <c r="IDK107" s="530"/>
      <c r="IDL107" s="531"/>
      <c r="IDM107" s="530"/>
      <c r="IDN107" s="531"/>
      <c r="IDO107" s="530"/>
      <c r="IDP107" s="531"/>
      <c r="IDQ107" s="530"/>
      <c r="IDR107" s="531"/>
      <c r="IDS107" s="530"/>
      <c r="IDT107" s="531"/>
      <c r="IDU107" s="530"/>
      <c r="IDV107" s="531"/>
      <c r="IDW107" s="530"/>
      <c r="IDX107" s="531"/>
      <c r="IDY107" s="530"/>
      <c r="IDZ107" s="531"/>
      <c r="IEA107" s="530"/>
      <c r="IEB107" s="531"/>
      <c r="IEC107" s="530"/>
      <c r="IED107" s="531"/>
      <c r="IEE107" s="530"/>
      <c r="IEF107" s="531"/>
      <c r="IEG107" s="530"/>
      <c r="IEH107" s="531"/>
      <c r="IEI107" s="530"/>
      <c r="IEJ107" s="531"/>
      <c r="IEK107" s="530"/>
      <c r="IEL107" s="531"/>
      <c r="IEM107" s="530"/>
      <c r="IEN107" s="531"/>
      <c r="IEO107" s="530"/>
      <c r="IEP107" s="531"/>
      <c r="IEQ107" s="530"/>
      <c r="IER107" s="531"/>
      <c r="IES107" s="530"/>
      <c r="IET107" s="531"/>
      <c r="IEU107" s="530"/>
      <c r="IEV107" s="531"/>
      <c r="IEW107" s="530"/>
      <c r="IEX107" s="531"/>
      <c r="IEY107" s="530"/>
      <c r="IEZ107" s="531"/>
      <c r="IFA107" s="530"/>
      <c r="IFB107" s="531"/>
      <c r="IFC107" s="530"/>
      <c r="IFD107" s="531"/>
      <c r="IFE107" s="530"/>
      <c r="IFF107" s="531"/>
      <c r="IFG107" s="530"/>
      <c r="IFH107" s="531"/>
      <c r="IFI107" s="530"/>
      <c r="IFJ107" s="531"/>
      <c r="IFK107" s="530"/>
      <c r="IFL107" s="531"/>
      <c r="IFM107" s="530"/>
      <c r="IFN107" s="531"/>
      <c r="IFO107" s="530"/>
      <c r="IFP107" s="531"/>
      <c r="IFQ107" s="530"/>
      <c r="IFR107" s="531"/>
      <c r="IFS107" s="530"/>
      <c r="IFT107" s="531"/>
      <c r="IFU107" s="530"/>
      <c r="IFV107" s="531"/>
      <c r="IFW107" s="530"/>
      <c r="IFX107" s="531"/>
      <c r="IFY107" s="530"/>
      <c r="IFZ107" s="531"/>
      <c r="IGA107" s="530"/>
      <c r="IGB107" s="531"/>
      <c r="IGC107" s="530"/>
      <c r="IGD107" s="531"/>
      <c r="IGE107" s="530"/>
      <c r="IGF107" s="531"/>
      <c r="IGG107" s="530"/>
      <c r="IGH107" s="531"/>
      <c r="IGI107" s="530"/>
      <c r="IGJ107" s="531"/>
      <c r="IGK107" s="530"/>
      <c r="IGL107" s="531"/>
      <c r="IGM107" s="530"/>
      <c r="IGN107" s="531"/>
      <c r="IGO107" s="530"/>
      <c r="IGP107" s="531"/>
      <c r="IGQ107" s="530"/>
      <c r="IGR107" s="531"/>
      <c r="IGS107" s="530"/>
      <c r="IGT107" s="531"/>
      <c r="IGU107" s="530"/>
      <c r="IGV107" s="531"/>
      <c r="IGW107" s="530"/>
      <c r="IGX107" s="531"/>
      <c r="IGY107" s="530"/>
      <c r="IGZ107" s="531"/>
      <c r="IHA107" s="530"/>
      <c r="IHB107" s="531"/>
      <c r="IHC107" s="530"/>
      <c r="IHD107" s="531"/>
      <c r="IHE107" s="530"/>
      <c r="IHF107" s="531"/>
      <c r="IHG107" s="530"/>
      <c r="IHH107" s="531"/>
      <c r="IHI107" s="530"/>
      <c r="IHJ107" s="531"/>
      <c r="IHK107" s="530"/>
      <c r="IHL107" s="531"/>
      <c r="IHM107" s="530"/>
      <c r="IHN107" s="531"/>
      <c r="IHO107" s="530"/>
      <c r="IHP107" s="531"/>
      <c r="IHQ107" s="530"/>
      <c r="IHR107" s="531"/>
      <c r="IHS107" s="530"/>
      <c r="IHT107" s="531"/>
      <c r="IHU107" s="530"/>
      <c r="IHV107" s="531"/>
      <c r="IHW107" s="530"/>
      <c r="IHX107" s="531"/>
      <c r="IHY107" s="530"/>
      <c r="IHZ107" s="531"/>
      <c r="IIA107" s="530"/>
      <c r="IIB107" s="531"/>
      <c r="IIC107" s="530"/>
      <c r="IID107" s="531"/>
      <c r="IIE107" s="530"/>
      <c r="IIF107" s="531"/>
      <c r="IIG107" s="530"/>
      <c r="IIH107" s="531"/>
      <c r="III107" s="530"/>
      <c r="IIJ107" s="531"/>
      <c r="IIK107" s="530"/>
      <c r="IIL107" s="531"/>
      <c r="IIM107" s="530"/>
      <c r="IIN107" s="531"/>
      <c r="IIO107" s="530"/>
      <c r="IIP107" s="531"/>
      <c r="IIQ107" s="530"/>
      <c r="IIR107" s="531"/>
      <c r="IIS107" s="530"/>
      <c r="IIT107" s="531"/>
      <c r="IIU107" s="530"/>
      <c r="IIV107" s="531"/>
      <c r="IIW107" s="530"/>
      <c r="IIX107" s="531"/>
      <c r="IIY107" s="530"/>
      <c r="IIZ107" s="531"/>
      <c r="IJA107" s="530"/>
      <c r="IJB107" s="531"/>
      <c r="IJC107" s="530"/>
      <c r="IJD107" s="531"/>
      <c r="IJE107" s="530"/>
      <c r="IJF107" s="531"/>
      <c r="IJG107" s="530"/>
      <c r="IJH107" s="531"/>
      <c r="IJI107" s="530"/>
      <c r="IJJ107" s="531"/>
      <c r="IJK107" s="530"/>
      <c r="IJL107" s="531"/>
      <c r="IJM107" s="530"/>
      <c r="IJN107" s="531"/>
      <c r="IJO107" s="530"/>
      <c r="IJP107" s="531"/>
      <c r="IJQ107" s="530"/>
      <c r="IJR107" s="531"/>
      <c r="IJS107" s="530"/>
      <c r="IJT107" s="531"/>
      <c r="IJU107" s="530"/>
      <c r="IJV107" s="531"/>
      <c r="IJW107" s="530"/>
      <c r="IJX107" s="531"/>
      <c r="IJY107" s="530"/>
      <c r="IJZ107" s="531"/>
      <c r="IKA107" s="530"/>
      <c r="IKB107" s="531"/>
      <c r="IKC107" s="530"/>
      <c r="IKD107" s="531"/>
      <c r="IKE107" s="530"/>
      <c r="IKF107" s="531"/>
      <c r="IKG107" s="530"/>
      <c r="IKH107" s="531"/>
      <c r="IKI107" s="530"/>
      <c r="IKJ107" s="531"/>
      <c r="IKK107" s="530"/>
      <c r="IKL107" s="531"/>
      <c r="IKM107" s="530"/>
      <c r="IKN107" s="531"/>
      <c r="IKO107" s="530"/>
      <c r="IKP107" s="531"/>
      <c r="IKQ107" s="530"/>
      <c r="IKR107" s="531"/>
      <c r="IKS107" s="530"/>
      <c r="IKT107" s="531"/>
      <c r="IKU107" s="530"/>
      <c r="IKV107" s="531"/>
      <c r="IKW107" s="530"/>
      <c r="IKX107" s="531"/>
      <c r="IKY107" s="530"/>
      <c r="IKZ107" s="531"/>
      <c r="ILA107" s="530"/>
      <c r="ILB107" s="531"/>
      <c r="ILC107" s="530"/>
      <c r="ILD107" s="531"/>
      <c r="ILE107" s="530"/>
      <c r="ILF107" s="531"/>
      <c r="ILG107" s="530"/>
      <c r="ILH107" s="531"/>
      <c r="ILI107" s="530"/>
      <c r="ILJ107" s="531"/>
      <c r="ILK107" s="530"/>
      <c r="ILL107" s="531"/>
      <c r="ILM107" s="530"/>
      <c r="ILN107" s="531"/>
      <c r="ILO107" s="530"/>
      <c r="ILP107" s="531"/>
      <c r="ILQ107" s="530"/>
      <c r="ILR107" s="531"/>
      <c r="ILS107" s="530"/>
      <c r="ILT107" s="531"/>
      <c r="ILU107" s="530"/>
      <c r="ILV107" s="531"/>
      <c r="ILW107" s="530"/>
      <c r="ILX107" s="531"/>
      <c r="ILY107" s="530"/>
      <c r="ILZ107" s="531"/>
      <c r="IMA107" s="530"/>
      <c r="IMB107" s="531"/>
      <c r="IMC107" s="530"/>
      <c r="IMD107" s="531"/>
      <c r="IME107" s="530"/>
      <c r="IMF107" s="531"/>
      <c r="IMG107" s="530"/>
      <c r="IMH107" s="531"/>
      <c r="IMI107" s="530"/>
      <c r="IMJ107" s="531"/>
      <c r="IMK107" s="530"/>
      <c r="IML107" s="531"/>
      <c r="IMM107" s="530"/>
      <c r="IMN107" s="531"/>
      <c r="IMO107" s="530"/>
      <c r="IMP107" s="531"/>
      <c r="IMQ107" s="530"/>
      <c r="IMR107" s="531"/>
      <c r="IMS107" s="530"/>
      <c r="IMT107" s="531"/>
      <c r="IMU107" s="530"/>
      <c r="IMV107" s="531"/>
      <c r="IMW107" s="530"/>
      <c r="IMX107" s="531"/>
      <c r="IMY107" s="530"/>
      <c r="IMZ107" s="531"/>
      <c r="INA107" s="530"/>
      <c r="INB107" s="531"/>
      <c r="INC107" s="530"/>
      <c r="IND107" s="531"/>
      <c r="INE107" s="530"/>
      <c r="INF107" s="531"/>
      <c r="ING107" s="530"/>
      <c r="INH107" s="531"/>
      <c r="INI107" s="530"/>
      <c r="INJ107" s="531"/>
      <c r="INK107" s="530"/>
      <c r="INL107" s="531"/>
      <c r="INM107" s="530"/>
      <c r="INN107" s="531"/>
      <c r="INO107" s="530"/>
      <c r="INP107" s="531"/>
      <c r="INQ107" s="530"/>
      <c r="INR107" s="531"/>
      <c r="INS107" s="530"/>
      <c r="INT107" s="531"/>
      <c r="INU107" s="530"/>
      <c r="INV107" s="531"/>
      <c r="INW107" s="530"/>
      <c r="INX107" s="531"/>
      <c r="INY107" s="530"/>
      <c r="INZ107" s="531"/>
      <c r="IOA107" s="530"/>
      <c r="IOB107" s="531"/>
      <c r="IOC107" s="530"/>
      <c r="IOD107" s="531"/>
      <c r="IOE107" s="530"/>
      <c r="IOF107" s="531"/>
      <c r="IOG107" s="530"/>
      <c r="IOH107" s="531"/>
      <c r="IOI107" s="530"/>
      <c r="IOJ107" s="531"/>
      <c r="IOK107" s="530"/>
      <c r="IOL107" s="531"/>
      <c r="IOM107" s="530"/>
      <c r="ION107" s="531"/>
      <c r="IOO107" s="530"/>
      <c r="IOP107" s="531"/>
      <c r="IOQ107" s="530"/>
      <c r="IOR107" s="531"/>
      <c r="IOS107" s="530"/>
      <c r="IOT107" s="531"/>
      <c r="IOU107" s="530"/>
      <c r="IOV107" s="531"/>
      <c r="IOW107" s="530"/>
      <c r="IOX107" s="531"/>
      <c r="IOY107" s="530"/>
      <c r="IOZ107" s="531"/>
      <c r="IPA107" s="530"/>
      <c r="IPB107" s="531"/>
      <c r="IPC107" s="530"/>
      <c r="IPD107" s="531"/>
      <c r="IPE107" s="530"/>
      <c r="IPF107" s="531"/>
      <c r="IPG107" s="530"/>
      <c r="IPH107" s="531"/>
      <c r="IPI107" s="530"/>
      <c r="IPJ107" s="531"/>
      <c r="IPK107" s="530"/>
      <c r="IPL107" s="531"/>
      <c r="IPM107" s="530"/>
      <c r="IPN107" s="531"/>
      <c r="IPO107" s="530"/>
      <c r="IPP107" s="531"/>
      <c r="IPQ107" s="530"/>
      <c r="IPR107" s="531"/>
      <c r="IPS107" s="530"/>
      <c r="IPT107" s="531"/>
      <c r="IPU107" s="530"/>
      <c r="IPV107" s="531"/>
      <c r="IPW107" s="530"/>
      <c r="IPX107" s="531"/>
      <c r="IPY107" s="530"/>
      <c r="IPZ107" s="531"/>
      <c r="IQA107" s="530"/>
      <c r="IQB107" s="531"/>
      <c r="IQC107" s="530"/>
      <c r="IQD107" s="531"/>
      <c r="IQE107" s="530"/>
      <c r="IQF107" s="531"/>
      <c r="IQG107" s="530"/>
      <c r="IQH107" s="531"/>
      <c r="IQI107" s="530"/>
      <c r="IQJ107" s="531"/>
      <c r="IQK107" s="530"/>
      <c r="IQL107" s="531"/>
      <c r="IQM107" s="530"/>
      <c r="IQN107" s="531"/>
      <c r="IQO107" s="530"/>
      <c r="IQP107" s="531"/>
      <c r="IQQ107" s="530"/>
      <c r="IQR107" s="531"/>
      <c r="IQS107" s="530"/>
      <c r="IQT107" s="531"/>
      <c r="IQU107" s="530"/>
      <c r="IQV107" s="531"/>
      <c r="IQW107" s="530"/>
      <c r="IQX107" s="531"/>
      <c r="IQY107" s="530"/>
      <c r="IQZ107" s="531"/>
      <c r="IRA107" s="530"/>
      <c r="IRB107" s="531"/>
      <c r="IRC107" s="530"/>
      <c r="IRD107" s="531"/>
      <c r="IRE107" s="530"/>
      <c r="IRF107" s="531"/>
      <c r="IRG107" s="530"/>
      <c r="IRH107" s="531"/>
      <c r="IRI107" s="530"/>
      <c r="IRJ107" s="531"/>
      <c r="IRK107" s="530"/>
      <c r="IRL107" s="531"/>
      <c r="IRM107" s="530"/>
      <c r="IRN107" s="531"/>
      <c r="IRO107" s="530"/>
      <c r="IRP107" s="531"/>
      <c r="IRQ107" s="530"/>
      <c r="IRR107" s="531"/>
      <c r="IRS107" s="530"/>
      <c r="IRT107" s="531"/>
      <c r="IRU107" s="530"/>
      <c r="IRV107" s="531"/>
      <c r="IRW107" s="530"/>
      <c r="IRX107" s="531"/>
      <c r="IRY107" s="530"/>
      <c r="IRZ107" s="531"/>
      <c r="ISA107" s="530"/>
      <c r="ISB107" s="531"/>
      <c r="ISC107" s="530"/>
      <c r="ISD107" s="531"/>
      <c r="ISE107" s="530"/>
      <c r="ISF107" s="531"/>
      <c r="ISG107" s="530"/>
      <c r="ISH107" s="531"/>
      <c r="ISI107" s="530"/>
      <c r="ISJ107" s="531"/>
      <c r="ISK107" s="530"/>
      <c r="ISL107" s="531"/>
      <c r="ISM107" s="530"/>
      <c r="ISN107" s="531"/>
      <c r="ISO107" s="530"/>
      <c r="ISP107" s="531"/>
      <c r="ISQ107" s="530"/>
      <c r="ISR107" s="531"/>
      <c r="ISS107" s="530"/>
      <c r="IST107" s="531"/>
      <c r="ISU107" s="530"/>
      <c r="ISV107" s="531"/>
      <c r="ISW107" s="530"/>
      <c r="ISX107" s="531"/>
      <c r="ISY107" s="530"/>
      <c r="ISZ107" s="531"/>
      <c r="ITA107" s="530"/>
      <c r="ITB107" s="531"/>
      <c r="ITC107" s="530"/>
      <c r="ITD107" s="531"/>
      <c r="ITE107" s="530"/>
      <c r="ITF107" s="531"/>
      <c r="ITG107" s="530"/>
      <c r="ITH107" s="531"/>
      <c r="ITI107" s="530"/>
      <c r="ITJ107" s="531"/>
      <c r="ITK107" s="530"/>
      <c r="ITL107" s="531"/>
      <c r="ITM107" s="530"/>
      <c r="ITN107" s="531"/>
      <c r="ITO107" s="530"/>
      <c r="ITP107" s="531"/>
      <c r="ITQ107" s="530"/>
      <c r="ITR107" s="531"/>
      <c r="ITS107" s="530"/>
      <c r="ITT107" s="531"/>
      <c r="ITU107" s="530"/>
      <c r="ITV107" s="531"/>
      <c r="ITW107" s="530"/>
      <c r="ITX107" s="531"/>
      <c r="ITY107" s="530"/>
      <c r="ITZ107" s="531"/>
      <c r="IUA107" s="530"/>
      <c r="IUB107" s="531"/>
      <c r="IUC107" s="530"/>
      <c r="IUD107" s="531"/>
      <c r="IUE107" s="530"/>
      <c r="IUF107" s="531"/>
      <c r="IUG107" s="530"/>
      <c r="IUH107" s="531"/>
      <c r="IUI107" s="530"/>
      <c r="IUJ107" s="531"/>
      <c r="IUK107" s="530"/>
      <c r="IUL107" s="531"/>
      <c r="IUM107" s="530"/>
      <c r="IUN107" s="531"/>
      <c r="IUO107" s="530"/>
      <c r="IUP107" s="531"/>
      <c r="IUQ107" s="530"/>
      <c r="IUR107" s="531"/>
      <c r="IUS107" s="530"/>
      <c r="IUT107" s="531"/>
      <c r="IUU107" s="530"/>
      <c r="IUV107" s="531"/>
      <c r="IUW107" s="530"/>
      <c r="IUX107" s="531"/>
      <c r="IUY107" s="530"/>
      <c r="IUZ107" s="531"/>
      <c r="IVA107" s="530"/>
      <c r="IVB107" s="531"/>
      <c r="IVC107" s="530"/>
      <c r="IVD107" s="531"/>
      <c r="IVE107" s="530"/>
      <c r="IVF107" s="531"/>
      <c r="IVG107" s="530"/>
      <c r="IVH107" s="531"/>
      <c r="IVI107" s="530"/>
      <c r="IVJ107" s="531"/>
      <c r="IVK107" s="530"/>
      <c r="IVL107" s="531"/>
      <c r="IVM107" s="530"/>
      <c r="IVN107" s="531"/>
      <c r="IVO107" s="530"/>
      <c r="IVP107" s="531"/>
      <c r="IVQ107" s="530"/>
      <c r="IVR107" s="531"/>
      <c r="IVS107" s="530"/>
      <c r="IVT107" s="531"/>
      <c r="IVU107" s="530"/>
      <c r="IVV107" s="531"/>
      <c r="IVW107" s="530"/>
      <c r="IVX107" s="531"/>
      <c r="IVY107" s="530"/>
      <c r="IVZ107" s="531"/>
      <c r="IWA107" s="530"/>
      <c r="IWB107" s="531"/>
      <c r="IWC107" s="530"/>
      <c r="IWD107" s="531"/>
      <c r="IWE107" s="530"/>
      <c r="IWF107" s="531"/>
      <c r="IWG107" s="530"/>
      <c r="IWH107" s="531"/>
      <c r="IWI107" s="530"/>
      <c r="IWJ107" s="531"/>
      <c r="IWK107" s="530"/>
      <c r="IWL107" s="531"/>
      <c r="IWM107" s="530"/>
      <c r="IWN107" s="531"/>
      <c r="IWO107" s="530"/>
      <c r="IWP107" s="531"/>
      <c r="IWQ107" s="530"/>
      <c r="IWR107" s="531"/>
      <c r="IWS107" s="530"/>
      <c r="IWT107" s="531"/>
      <c r="IWU107" s="530"/>
      <c r="IWV107" s="531"/>
      <c r="IWW107" s="530"/>
      <c r="IWX107" s="531"/>
      <c r="IWY107" s="530"/>
      <c r="IWZ107" s="531"/>
      <c r="IXA107" s="530"/>
      <c r="IXB107" s="531"/>
      <c r="IXC107" s="530"/>
      <c r="IXD107" s="531"/>
      <c r="IXE107" s="530"/>
      <c r="IXF107" s="531"/>
      <c r="IXG107" s="530"/>
      <c r="IXH107" s="531"/>
      <c r="IXI107" s="530"/>
      <c r="IXJ107" s="531"/>
      <c r="IXK107" s="530"/>
      <c r="IXL107" s="531"/>
      <c r="IXM107" s="530"/>
      <c r="IXN107" s="531"/>
      <c r="IXO107" s="530"/>
      <c r="IXP107" s="531"/>
      <c r="IXQ107" s="530"/>
      <c r="IXR107" s="531"/>
      <c r="IXS107" s="530"/>
      <c r="IXT107" s="531"/>
      <c r="IXU107" s="530"/>
      <c r="IXV107" s="531"/>
      <c r="IXW107" s="530"/>
      <c r="IXX107" s="531"/>
      <c r="IXY107" s="530"/>
      <c r="IXZ107" s="531"/>
      <c r="IYA107" s="530"/>
      <c r="IYB107" s="531"/>
      <c r="IYC107" s="530"/>
      <c r="IYD107" s="531"/>
      <c r="IYE107" s="530"/>
      <c r="IYF107" s="531"/>
      <c r="IYG107" s="530"/>
      <c r="IYH107" s="531"/>
      <c r="IYI107" s="530"/>
      <c r="IYJ107" s="531"/>
      <c r="IYK107" s="530"/>
      <c r="IYL107" s="531"/>
      <c r="IYM107" s="530"/>
      <c r="IYN107" s="531"/>
      <c r="IYO107" s="530"/>
      <c r="IYP107" s="531"/>
      <c r="IYQ107" s="530"/>
      <c r="IYR107" s="531"/>
      <c r="IYS107" s="530"/>
      <c r="IYT107" s="531"/>
      <c r="IYU107" s="530"/>
      <c r="IYV107" s="531"/>
      <c r="IYW107" s="530"/>
      <c r="IYX107" s="531"/>
      <c r="IYY107" s="530"/>
      <c r="IYZ107" s="531"/>
      <c r="IZA107" s="530"/>
      <c r="IZB107" s="531"/>
      <c r="IZC107" s="530"/>
      <c r="IZD107" s="531"/>
      <c r="IZE107" s="530"/>
      <c r="IZF107" s="531"/>
      <c r="IZG107" s="530"/>
      <c r="IZH107" s="531"/>
      <c r="IZI107" s="530"/>
      <c r="IZJ107" s="531"/>
      <c r="IZK107" s="530"/>
      <c r="IZL107" s="531"/>
      <c r="IZM107" s="530"/>
      <c r="IZN107" s="531"/>
      <c r="IZO107" s="530"/>
      <c r="IZP107" s="531"/>
      <c r="IZQ107" s="530"/>
      <c r="IZR107" s="531"/>
      <c r="IZS107" s="530"/>
      <c r="IZT107" s="531"/>
      <c r="IZU107" s="530"/>
      <c r="IZV107" s="531"/>
      <c r="IZW107" s="530"/>
      <c r="IZX107" s="531"/>
      <c r="IZY107" s="530"/>
      <c r="IZZ107" s="531"/>
      <c r="JAA107" s="530"/>
      <c r="JAB107" s="531"/>
      <c r="JAC107" s="530"/>
      <c r="JAD107" s="531"/>
      <c r="JAE107" s="530"/>
      <c r="JAF107" s="531"/>
      <c r="JAG107" s="530"/>
      <c r="JAH107" s="531"/>
      <c r="JAI107" s="530"/>
      <c r="JAJ107" s="531"/>
      <c r="JAK107" s="530"/>
      <c r="JAL107" s="531"/>
      <c r="JAM107" s="530"/>
      <c r="JAN107" s="531"/>
      <c r="JAO107" s="530"/>
      <c r="JAP107" s="531"/>
      <c r="JAQ107" s="530"/>
      <c r="JAR107" s="531"/>
      <c r="JAS107" s="530"/>
      <c r="JAT107" s="531"/>
      <c r="JAU107" s="530"/>
      <c r="JAV107" s="531"/>
      <c r="JAW107" s="530"/>
      <c r="JAX107" s="531"/>
      <c r="JAY107" s="530"/>
      <c r="JAZ107" s="531"/>
      <c r="JBA107" s="530"/>
      <c r="JBB107" s="531"/>
      <c r="JBC107" s="530"/>
      <c r="JBD107" s="531"/>
      <c r="JBE107" s="530"/>
      <c r="JBF107" s="531"/>
      <c r="JBG107" s="530"/>
      <c r="JBH107" s="531"/>
      <c r="JBI107" s="530"/>
      <c r="JBJ107" s="531"/>
      <c r="JBK107" s="530"/>
      <c r="JBL107" s="531"/>
      <c r="JBM107" s="530"/>
      <c r="JBN107" s="531"/>
      <c r="JBO107" s="530"/>
      <c r="JBP107" s="531"/>
      <c r="JBQ107" s="530"/>
      <c r="JBR107" s="531"/>
      <c r="JBS107" s="530"/>
      <c r="JBT107" s="531"/>
      <c r="JBU107" s="530"/>
      <c r="JBV107" s="531"/>
      <c r="JBW107" s="530"/>
      <c r="JBX107" s="531"/>
      <c r="JBY107" s="530"/>
      <c r="JBZ107" s="531"/>
      <c r="JCA107" s="530"/>
      <c r="JCB107" s="531"/>
      <c r="JCC107" s="530"/>
      <c r="JCD107" s="531"/>
      <c r="JCE107" s="530"/>
      <c r="JCF107" s="531"/>
      <c r="JCG107" s="530"/>
      <c r="JCH107" s="531"/>
      <c r="JCI107" s="530"/>
      <c r="JCJ107" s="531"/>
      <c r="JCK107" s="530"/>
      <c r="JCL107" s="531"/>
      <c r="JCM107" s="530"/>
      <c r="JCN107" s="531"/>
      <c r="JCO107" s="530"/>
      <c r="JCP107" s="531"/>
      <c r="JCQ107" s="530"/>
      <c r="JCR107" s="531"/>
      <c r="JCS107" s="530"/>
      <c r="JCT107" s="531"/>
      <c r="JCU107" s="530"/>
      <c r="JCV107" s="531"/>
      <c r="JCW107" s="530"/>
      <c r="JCX107" s="531"/>
      <c r="JCY107" s="530"/>
      <c r="JCZ107" s="531"/>
      <c r="JDA107" s="530"/>
      <c r="JDB107" s="531"/>
      <c r="JDC107" s="530"/>
      <c r="JDD107" s="531"/>
      <c r="JDE107" s="530"/>
      <c r="JDF107" s="531"/>
      <c r="JDG107" s="530"/>
      <c r="JDH107" s="531"/>
      <c r="JDI107" s="530"/>
      <c r="JDJ107" s="531"/>
      <c r="JDK107" s="530"/>
      <c r="JDL107" s="531"/>
      <c r="JDM107" s="530"/>
      <c r="JDN107" s="531"/>
      <c r="JDO107" s="530"/>
      <c r="JDP107" s="531"/>
      <c r="JDQ107" s="530"/>
      <c r="JDR107" s="531"/>
      <c r="JDS107" s="530"/>
      <c r="JDT107" s="531"/>
      <c r="JDU107" s="530"/>
      <c r="JDV107" s="531"/>
      <c r="JDW107" s="530"/>
      <c r="JDX107" s="531"/>
      <c r="JDY107" s="530"/>
      <c r="JDZ107" s="531"/>
      <c r="JEA107" s="530"/>
      <c r="JEB107" s="531"/>
      <c r="JEC107" s="530"/>
      <c r="JED107" s="531"/>
      <c r="JEE107" s="530"/>
      <c r="JEF107" s="531"/>
      <c r="JEG107" s="530"/>
      <c r="JEH107" s="531"/>
      <c r="JEI107" s="530"/>
      <c r="JEJ107" s="531"/>
      <c r="JEK107" s="530"/>
      <c r="JEL107" s="531"/>
      <c r="JEM107" s="530"/>
      <c r="JEN107" s="531"/>
      <c r="JEO107" s="530"/>
      <c r="JEP107" s="531"/>
      <c r="JEQ107" s="530"/>
      <c r="JER107" s="531"/>
      <c r="JES107" s="530"/>
      <c r="JET107" s="531"/>
      <c r="JEU107" s="530"/>
      <c r="JEV107" s="531"/>
      <c r="JEW107" s="530"/>
      <c r="JEX107" s="531"/>
      <c r="JEY107" s="530"/>
      <c r="JEZ107" s="531"/>
      <c r="JFA107" s="530"/>
      <c r="JFB107" s="531"/>
      <c r="JFC107" s="530"/>
      <c r="JFD107" s="531"/>
      <c r="JFE107" s="530"/>
      <c r="JFF107" s="531"/>
      <c r="JFG107" s="530"/>
      <c r="JFH107" s="531"/>
      <c r="JFI107" s="530"/>
      <c r="JFJ107" s="531"/>
      <c r="JFK107" s="530"/>
      <c r="JFL107" s="531"/>
      <c r="JFM107" s="530"/>
      <c r="JFN107" s="531"/>
      <c r="JFO107" s="530"/>
      <c r="JFP107" s="531"/>
      <c r="JFQ107" s="530"/>
      <c r="JFR107" s="531"/>
      <c r="JFS107" s="530"/>
      <c r="JFT107" s="531"/>
      <c r="JFU107" s="530"/>
      <c r="JFV107" s="531"/>
      <c r="JFW107" s="530"/>
      <c r="JFX107" s="531"/>
      <c r="JFY107" s="530"/>
      <c r="JFZ107" s="531"/>
      <c r="JGA107" s="530"/>
      <c r="JGB107" s="531"/>
      <c r="JGC107" s="530"/>
      <c r="JGD107" s="531"/>
      <c r="JGE107" s="530"/>
      <c r="JGF107" s="531"/>
      <c r="JGG107" s="530"/>
      <c r="JGH107" s="531"/>
      <c r="JGI107" s="530"/>
      <c r="JGJ107" s="531"/>
      <c r="JGK107" s="530"/>
      <c r="JGL107" s="531"/>
      <c r="JGM107" s="530"/>
      <c r="JGN107" s="531"/>
      <c r="JGO107" s="530"/>
      <c r="JGP107" s="531"/>
      <c r="JGQ107" s="530"/>
      <c r="JGR107" s="531"/>
      <c r="JGS107" s="530"/>
      <c r="JGT107" s="531"/>
      <c r="JGU107" s="530"/>
      <c r="JGV107" s="531"/>
      <c r="JGW107" s="530"/>
      <c r="JGX107" s="531"/>
      <c r="JGY107" s="530"/>
      <c r="JGZ107" s="531"/>
      <c r="JHA107" s="530"/>
      <c r="JHB107" s="531"/>
      <c r="JHC107" s="530"/>
      <c r="JHD107" s="531"/>
      <c r="JHE107" s="530"/>
      <c r="JHF107" s="531"/>
      <c r="JHG107" s="530"/>
      <c r="JHH107" s="531"/>
      <c r="JHI107" s="530"/>
      <c r="JHJ107" s="531"/>
      <c r="JHK107" s="530"/>
      <c r="JHL107" s="531"/>
      <c r="JHM107" s="530"/>
      <c r="JHN107" s="531"/>
      <c r="JHO107" s="530"/>
      <c r="JHP107" s="531"/>
      <c r="JHQ107" s="530"/>
      <c r="JHR107" s="531"/>
      <c r="JHS107" s="530"/>
      <c r="JHT107" s="531"/>
      <c r="JHU107" s="530"/>
      <c r="JHV107" s="531"/>
      <c r="JHW107" s="530"/>
      <c r="JHX107" s="531"/>
      <c r="JHY107" s="530"/>
      <c r="JHZ107" s="531"/>
      <c r="JIA107" s="530"/>
      <c r="JIB107" s="531"/>
      <c r="JIC107" s="530"/>
      <c r="JID107" s="531"/>
      <c r="JIE107" s="530"/>
      <c r="JIF107" s="531"/>
      <c r="JIG107" s="530"/>
      <c r="JIH107" s="531"/>
      <c r="JII107" s="530"/>
      <c r="JIJ107" s="531"/>
      <c r="JIK107" s="530"/>
      <c r="JIL107" s="531"/>
      <c r="JIM107" s="530"/>
      <c r="JIN107" s="531"/>
      <c r="JIO107" s="530"/>
      <c r="JIP107" s="531"/>
      <c r="JIQ107" s="530"/>
      <c r="JIR107" s="531"/>
      <c r="JIS107" s="530"/>
      <c r="JIT107" s="531"/>
      <c r="JIU107" s="530"/>
      <c r="JIV107" s="531"/>
      <c r="JIW107" s="530"/>
      <c r="JIX107" s="531"/>
      <c r="JIY107" s="530"/>
      <c r="JIZ107" s="531"/>
      <c r="JJA107" s="530"/>
      <c r="JJB107" s="531"/>
      <c r="JJC107" s="530"/>
      <c r="JJD107" s="531"/>
      <c r="JJE107" s="530"/>
      <c r="JJF107" s="531"/>
      <c r="JJG107" s="530"/>
      <c r="JJH107" s="531"/>
      <c r="JJI107" s="530"/>
      <c r="JJJ107" s="531"/>
      <c r="JJK107" s="530"/>
      <c r="JJL107" s="531"/>
      <c r="JJM107" s="530"/>
      <c r="JJN107" s="531"/>
      <c r="JJO107" s="530"/>
      <c r="JJP107" s="531"/>
      <c r="JJQ107" s="530"/>
      <c r="JJR107" s="531"/>
      <c r="JJS107" s="530"/>
      <c r="JJT107" s="531"/>
      <c r="JJU107" s="530"/>
      <c r="JJV107" s="531"/>
      <c r="JJW107" s="530"/>
      <c r="JJX107" s="531"/>
      <c r="JJY107" s="530"/>
      <c r="JJZ107" s="531"/>
      <c r="JKA107" s="530"/>
      <c r="JKB107" s="531"/>
      <c r="JKC107" s="530"/>
      <c r="JKD107" s="531"/>
      <c r="JKE107" s="530"/>
      <c r="JKF107" s="531"/>
      <c r="JKG107" s="530"/>
      <c r="JKH107" s="531"/>
      <c r="JKI107" s="530"/>
      <c r="JKJ107" s="531"/>
      <c r="JKK107" s="530"/>
      <c r="JKL107" s="531"/>
      <c r="JKM107" s="530"/>
      <c r="JKN107" s="531"/>
      <c r="JKO107" s="530"/>
      <c r="JKP107" s="531"/>
      <c r="JKQ107" s="530"/>
      <c r="JKR107" s="531"/>
      <c r="JKS107" s="530"/>
      <c r="JKT107" s="531"/>
      <c r="JKU107" s="530"/>
      <c r="JKV107" s="531"/>
      <c r="JKW107" s="530"/>
      <c r="JKX107" s="531"/>
      <c r="JKY107" s="530"/>
      <c r="JKZ107" s="531"/>
      <c r="JLA107" s="530"/>
      <c r="JLB107" s="531"/>
      <c r="JLC107" s="530"/>
      <c r="JLD107" s="531"/>
      <c r="JLE107" s="530"/>
      <c r="JLF107" s="531"/>
      <c r="JLG107" s="530"/>
      <c r="JLH107" s="531"/>
      <c r="JLI107" s="530"/>
      <c r="JLJ107" s="531"/>
      <c r="JLK107" s="530"/>
      <c r="JLL107" s="531"/>
      <c r="JLM107" s="530"/>
      <c r="JLN107" s="531"/>
      <c r="JLO107" s="530"/>
      <c r="JLP107" s="531"/>
      <c r="JLQ107" s="530"/>
      <c r="JLR107" s="531"/>
      <c r="JLS107" s="530"/>
      <c r="JLT107" s="531"/>
      <c r="JLU107" s="530"/>
      <c r="JLV107" s="531"/>
      <c r="JLW107" s="530"/>
      <c r="JLX107" s="531"/>
      <c r="JLY107" s="530"/>
      <c r="JLZ107" s="531"/>
      <c r="JMA107" s="530"/>
      <c r="JMB107" s="531"/>
      <c r="JMC107" s="530"/>
      <c r="JMD107" s="531"/>
      <c r="JME107" s="530"/>
      <c r="JMF107" s="531"/>
      <c r="JMG107" s="530"/>
      <c r="JMH107" s="531"/>
      <c r="JMI107" s="530"/>
      <c r="JMJ107" s="531"/>
      <c r="JMK107" s="530"/>
      <c r="JML107" s="531"/>
      <c r="JMM107" s="530"/>
      <c r="JMN107" s="531"/>
      <c r="JMO107" s="530"/>
      <c r="JMP107" s="531"/>
      <c r="JMQ107" s="530"/>
      <c r="JMR107" s="531"/>
      <c r="JMS107" s="530"/>
      <c r="JMT107" s="531"/>
      <c r="JMU107" s="530"/>
      <c r="JMV107" s="531"/>
      <c r="JMW107" s="530"/>
      <c r="JMX107" s="531"/>
      <c r="JMY107" s="530"/>
      <c r="JMZ107" s="531"/>
      <c r="JNA107" s="530"/>
      <c r="JNB107" s="531"/>
      <c r="JNC107" s="530"/>
      <c r="JND107" s="531"/>
      <c r="JNE107" s="530"/>
      <c r="JNF107" s="531"/>
      <c r="JNG107" s="530"/>
      <c r="JNH107" s="531"/>
      <c r="JNI107" s="530"/>
      <c r="JNJ107" s="531"/>
      <c r="JNK107" s="530"/>
      <c r="JNL107" s="531"/>
      <c r="JNM107" s="530"/>
      <c r="JNN107" s="531"/>
      <c r="JNO107" s="530"/>
      <c r="JNP107" s="531"/>
      <c r="JNQ107" s="530"/>
      <c r="JNR107" s="531"/>
      <c r="JNS107" s="530"/>
      <c r="JNT107" s="531"/>
      <c r="JNU107" s="530"/>
      <c r="JNV107" s="531"/>
      <c r="JNW107" s="530"/>
      <c r="JNX107" s="531"/>
      <c r="JNY107" s="530"/>
      <c r="JNZ107" s="531"/>
      <c r="JOA107" s="530"/>
      <c r="JOB107" s="531"/>
      <c r="JOC107" s="530"/>
      <c r="JOD107" s="531"/>
      <c r="JOE107" s="530"/>
      <c r="JOF107" s="531"/>
      <c r="JOG107" s="530"/>
      <c r="JOH107" s="531"/>
      <c r="JOI107" s="530"/>
      <c r="JOJ107" s="531"/>
      <c r="JOK107" s="530"/>
      <c r="JOL107" s="531"/>
      <c r="JOM107" s="530"/>
      <c r="JON107" s="531"/>
      <c r="JOO107" s="530"/>
      <c r="JOP107" s="531"/>
      <c r="JOQ107" s="530"/>
      <c r="JOR107" s="531"/>
      <c r="JOS107" s="530"/>
      <c r="JOT107" s="531"/>
      <c r="JOU107" s="530"/>
      <c r="JOV107" s="531"/>
      <c r="JOW107" s="530"/>
      <c r="JOX107" s="531"/>
      <c r="JOY107" s="530"/>
      <c r="JOZ107" s="531"/>
      <c r="JPA107" s="530"/>
      <c r="JPB107" s="531"/>
      <c r="JPC107" s="530"/>
      <c r="JPD107" s="531"/>
      <c r="JPE107" s="530"/>
      <c r="JPF107" s="531"/>
      <c r="JPG107" s="530"/>
      <c r="JPH107" s="531"/>
      <c r="JPI107" s="530"/>
      <c r="JPJ107" s="531"/>
      <c r="JPK107" s="530"/>
      <c r="JPL107" s="531"/>
      <c r="JPM107" s="530"/>
      <c r="JPN107" s="531"/>
      <c r="JPO107" s="530"/>
      <c r="JPP107" s="531"/>
      <c r="JPQ107" s="530"/>
      <c r="JPR107" s="531"/>
      <c r="JPS107" s="530"/>
      <c r="JPT107" s="531"/>
      <c r="JPU107" s="530"/>
      <c r="JPV107" s="531"/>
      <c r="JPW107" s="530"/>
      <c r="JPX107" s="531"/>
      <c r="JPY107" s="530"/>
      <c r="JPZ107" s="531"/>
      <c r="JQA107" s="530"/>
      <c r="JQB107" s="531"/>
      <c r="JQC107" s="530"/>
      <c r="JQD107" s="531"/>
      <c r="JQE107" s="530"/>
      <c r="JQF107" s="531"/>
      <c r="JQG107" s="530"/>
      <c r="JQH107" s="531"/>
      <c r="JQI107" s="530"/>
      <c r="JQJ107" s="531"/>
      <c r="JQK107" s="530"/>
      <c r="JQL107" s="531"/>
      <c r="JQM107" s="530"/>
      <c r="JQN107" s="531"/>
      <c r="JQO107" s="530"/>
      <c r="JQP107" s="531"/>
      <c r="JQQ107" s="530"/>
      <c r="JQR107" s="531"/>
      <c r="JQS107" s="530"/>
      <c r="JQT107" s="531"/>
      <c r="JQU107" s="530"/>
      <c r="JQV107" s="531"/>
      <c r="JQW107" s="530"/>
      <c r="JQX107" s="531"/>
      <c r="JQY107" s="530"/>
      <c r="JQZ107" s="531"/>
      <c r="JRA107" s="530"/>
      <c r="JRB107" s="531"/>
      <c r="JRC107" s="530"/>
      <c r="JRD107" s="531"/>
      <c r="JRE107" s="530"/>
      <c r="JRF107" s="531"/>
      <c r="JRG107" s="530"/>
      <c r="JRH107" s="531"/>
      <c r="JRI107" s="530"/>
      <c r="JRJ107" s="531"/>
      <c r="JRK107" s="530"/>
      <c r="JRL107" s="531"/>
      <c r="JRM107" s="530"/>
      <c r="JRN107" s="531"/>
      <c r="JRO107" s="530"/>
      <c r="JRP107" s="531"/>
      <c r="JRQ107" s="530"/>
      <c r="JRR107" s="531"/>
      <c r="JRS107" s="530"/>
      <c r="JRT107" s="531"/>
      <c r="JRU107" s="530"/>
      <c r="JRV107" s="531"/>
      <c r="JRW107" s="530"/>
      <c r="JRX107" s="531"/>
      <c r="JRY107" s="530"/>
      <c r="JRZ107" s="531"/>
      <c r="JSA107" s="530"/>
      <c r="JSB107" s="531"/>
      <c r="JSC107" s="530"/>
      <c r="JSD107" s="531"/>
      <c r="JSE107" s="530"/>
      <c r="JSF107" s="531"/>
      <c r="JSG107" s="530"/>
      <c r="JSH107" s="531"/>
      <c r="JSI107" s="530"/>
      <c r="JSJ107" s="531"/>
      <c r="JSK107" s="530"/>
      <c r="JSL107" s="531"/>
      <c r="JSM107" s="530"/>
      <c r="JSN107" s="531"/>
      <c r="JSO107" s="530"/>
      <c r="JSP107" s="531"/>
      <c r="JSQ107" s="530"/>
      <c r="JSR107" s="531"/>
      <c r="JSS107" s="530"/>
      <c r="JST107" s="531"/>
      <c r="JSU107" s="530"/>
      <c r="JSV107" s="531"/>
      <c r="JSW107" s="530"/>
      <c r="JSX107" s="531"/>
      <c r="JSY107" s="530"/>
      <c r="JSZ107" s="531"/>
      <c r="JTA107" s="530"/>
      <c r="JTB107" s="531"/>
      <c r="JTC107" s="530"/>
      <c r="JTD107" s="531"/>
      <c r="JTE107" s="530"/>
      <c r="JTF107" s="531"/>
      <c r="JTG107" s="530"/>
      <c r="JTH107" s="531"/>
      <c r="JTI107" s="530"/>
      <c r="JTJ107" s="531"/>
      <c r="JTK107" s="530"/>
      <c r="JTL107" s="531"/>
      <c r="JTM107" s="530"/>
      <c r="JTN107" s="531"/>
      <c r="JTO107" s="530"/>
      <c r="JTP107" s="531"/>
      <c r="JTQ107" s="530"/>
      <c r="JTR107" s="531"/>
      <c r="JTS107" s="530"/>
      <c r="JTT107" s="531"/>
      <c r="JTU107" s="530"/>
      <c r="JTV107" s="531"/>
      <c r="JTW107" s="530"/>
      <c r="JTX107" s="531"/>
      <c r="JTY107" s="530"/>
      <c r="JTZ107" s="531"/>
      <c r="JUA107" s="530"/>
      <c r="JUB107" s="531"/>
      <c r="JUC107" s="530"/>
      <c r="JUD107" s="531"/>
      <c r="JUE107" s="530"/>
      <c r="JUF107" s="531"/>
      <c r="JUG107" s="530"/>
      <c r="JUH107" s="531"/>
      <c r="JUI107" s="530"/>
      <c r="JUJ107" s="531"/>
      <c r="JUK107" s="530"/>
      <c r="JUL107" s="531"/>
      <c r="JUM107" s="530"/>
      <c r="JUN107" s="531"/>
      <c r="JUO107" s="530"/>
      <c r="JUP107" s="531"/>
      <c r="JUQ107" s="530"/>
      <c r="JUR107" s="531"/>
      <c r="JUS107" s="530"/>
      <c r="JUT107" s="531"/>
      <c r="JUU107" s="530"/>
      <c r="JUV107" s="531"/>
      <c r="JUW107" s="530"/>
      <c r="JUX107" s="531"/>
      <c r="JUY107" s="530"/>
      <c r="JUZ107" s="531"/>
      <c r="JVA107" s="530"/>
      <c r="JVB107" s="531"/>
      <c r="JVC107" s="530"/>
      <c r="JVD107" s="531"/>
      <c r="JVE107" s="530"/>
      <c r="JVF107" s="531"/>
      <c r="JVG107" s="530"/>
      <c r="JVH107" s="531"/>
      <c r="JVI107" s="530"/>
      <c r="JVJ107" s="531"/>
      <c r="JVK107" s="530"/>
      <c r="JVL107" s="531"/>
      <c r="JVM107" s="530"/>
      <c r="JVN107" s="531"/>
      <c r="JVO107" s="530"/>
      <c r="JVP107" s="531"/>
      <c r="JVQ107" s="530"/>
      <c r="JVR107" s="531"/>
      <c r="JVS107" s="530"/>
      <c r="JVT107" s="531"/>
      <c r="JVU107" s="530"/>
      <c r="JVV107" s="531"/>
      <c r="JVW107" s="530"/>
      <c r="JVX107" s="531"/>
      <c r="JVY107" s="530"/>
      <c r="JVZ107" s="531"/>
      <c r="JWA107" s="530"/>
      <c r="JWB107" s="531"/>
      <c r="JWC107" s="530"/>
      <c r="JWD107" s="531"/>
      <c r="JWE107" s="530"/>
      <c r="JWF107" s="531"/>
      <c r="JWG107" s="530"/>
      <c r="JWH107" s="531"/>
      <c r="JWI107" s="530"/>
      <c r="JWJ107" s="531"/>
      <c r="JWK107" s="530"/>
      <c r="JWL107" s="531"/>
      <c r="JWM107" s="530"/>
      <c r="JWN107" s="531"/>
      <c r="JWO107" s="530"/>
      <c r="JWP107" s="531"/>
      <c r="JWQ107" s="530"/>
      <c r="JWR107" s="531"/>
      <c r="JWS107" s="530"/>
      <c r="JWT107" s="531"/>
      <c r="JWU107" s="530"/>
      <c r="JWV107" s="531"/>
      <c r="JWW107" s="530"/>
      <c r="JWX107" s="531"/>
      <c r="JWY107" s="530"/>
      <c r="JWZ107" s="531"/>
      <c r="JXA107" s="530"/>
      <c r="JXB107" s="531"/>
      <c r="JXC107" s="530"/>
      <c r="JXD107" s="531"/>
      <c r="JXE107" s="530"/>
      <c r="JXF107" s="531"/>
      <c r="JXG107" s="530"/>
      <c r="JXH107" s="531"/>
      <c r="JXI107" s="530"/>
      <c r="JXJ107" s="531"/>
      <c r="JXK107" s="530"/>
      <c r="JXL107" s="531"/>
      <c r="JXM107" s="530"/>
      <c r="JXN107" s="531"/>
      <c r="JXO107" s="530"/>
      <c r="JXP107" s="531"/>
      <c r="JXQ107" s="530"/>
      <c r="JXR107" s="531"/>
      <c r="JXS107" s="530"/>
      <c r="JXT107" s="531"/>
      <c r="JXU107" s="530"/>
      <c r="JXV107" s="531"/>
      <c r="JXW107" s="530"/>
      <c r="JXX107" s="531"/>
      <c r="JXY107" s="530"/>
      <c r="JXZ107" s="531"/>
      <c r="JYA107" s="530"/>
      <c r="JYB107" s="531"/>
      <c r="JYC107" s="530"/>
      <c r="JYD107" s="531"/>
      <c r="JYE107" s="530"/>
      <c r="JYF107" s="531"/>
      <c r="JYG107" s="530"/>
      <c r="JYH107" s="531"/>
      <c r="JYI107" s="530"/>
      <c r="JYJ107" s="531"/>
      <c r="JYK107" s="530"/>
      <c r="JYL107" s="531"/>
      <c r="JYM107" s="530"/>
      <c r="JYN107" s="531"/>
      <c r="JYO107" s="530"/>
      <c r="JYP107" s="531"/>
      <c r="JYQ107" s="530"/>
      <c r="JYR107" s="531"/>
      <c r="JYS107" s="530"/>
      <c r="JYT107" s="531"/>
      <c r="JYU107" s="530"/>
      <c r="JYV107" s="531"/>
      <c r="JYW107" s="530"/>
      <c r="JYX107" s="531"/>
      <c r="JYY107" s="530"/>
      <c r="JYZ107" s="531"/>
      <c r="JZA107" s="530"/>
      <c r="JZB107" s="531"/>
      <c r="JZC107" s="530"/>
      <c r="JZD107" s="531"/>
      <c r="JZE107" s="530"/>
      <c r="JZF107" s="531"/>
      <c r="JZG107" s="530"/>
      <c r="JZH107" s="531"/>
      <c r="JZI107" s="530"/>
      <c r="JZJ107" s="531"/>
      <c r="JZK107" s="530"/>
      <c r="JZL107" s="531"/>
      <c r="JZM107" s="530"/>
      <c r="JZN107" s="531"/>
      <c r="JZO107" s="530"/>
      <c r="JZP107" s="531"/>
      <c r="JZQ107" s="530"/>
      <c r="JZR107" s="531"/>
      <c r="JZS107" s="530"/>
      <c r="JZT107" s="531"/>
      <c r="JZU107" s="530"/>
      <c r="JZV107" s="531"/>
      <c r="JZW107" s="530"/>
      <c r="JZX107" s="531"/>
      <c r="JZY107" s="530"/>
      <c r="JZZ107" s="531"/>
      <c r="KAA107" s="530"/>
      <c r="KAB107" s="531"/>
      <c r="KAC107" s="530"/>
      <c r="KAD107" s="531"/>
      <c r="KAE107" s="530"/>
      <c r="KAF107" s="531"/>
      <c r="KAG107" s="530"/>
      <c r="KAH107" s="531"/>
      <c r="KAI107" s="530"/>
      <c r="KAJ107" s="531"/>
      <c r="KAK107" s="530"/>
      <c r="KAL107" s="531"/>
      <c r="KAM107" s="530"/>
      <c r="KAN107" s="531"/>
      <c r="KAO107" s="530"/>
      <c r="KAP107" s="531"/>
      <c r="KAQ107" s="530"/>
      <c r="KAR107" s="531"/>
      <c r="KAS107" s="530"/>
      <c r="KAT107" s="531"/>
      <c r="KAU107" s="530"/>
      <c r="KAV107" s="531"/>
      <c r="KAW107" s="530"/>
      <c r="KAX107" s="531"/>
      <c r="KAY107" s="530"/>
      <c r="KAZ107" s="531"/>
      <c r="KBA107" s="530"/>
      <c r="KBB107" s="531"/>
      <c r="KBC107" s="530"/>
      <c r="KBD107" s="531"/>
      <c r="KBE107" s="530"/>
      <c r="KBF107" s="531"/>
      <c r="KBG107" s="530"/>
      <c r="KBH107" s="531"/>
      <c r="KBI107" s="530"/>
      <c r="KBJ107" s="531"/>
      <c r="KBK107" s="530"/>
      <c r="KBL107" s="531"/>
      <c r="KBM107" s="530"/>
      <c r="KBN107" s="531"/>
      <c r="KBO107" s="530"/>
      <c r="KBP107" s="531"/>
      <c r="KBQ107" s="530"/>
      <c r="KBR107" s="531"/>
      <c r="KBS107" s="530"/>
      <c r="KBT107" s="531"/>
      <c r="KBU107" s="530"/>
      <c r="KBV107" s="531"/>
      <c r="KBW107" s="530"/>
      <c r="KBX107" s="531"/>
      <c r="KBY107" s="530"/>
      <c r="KBZ107" s="531"/>
      <c r="KCA107" s="530"/>
      <c r="KCB107" s="531"/>
      <c r="KCC107" s="530"/>
      <c r="KCD107" s="531"/>
      <c r="KCE107" s="530"/>
      <c r="KCF107" s="531"/>
      <c r="KCG107" s="530"/>
      <c r="KCH107" s="531"/>
      <c r="KCI107" s="530"/>
      <c r="KCJ107" s="531"/>
      <c r="KCK107" s="530"/>
      <c r="KCL107" s="531"/>
      <c r="KCM107" s="530"/>
      <c r="KCN107" s="531"/>
      <c r="KCO107" s="530"/>
      <c r="KCP107" s="531"/>
      <c r="KCQ107" s="530"/>
      <c r="KCR107" s="531"/>
      <c r="KCS107" s="530"/>
      <c r="KCT107" s="531"/>
      <c r="KCU107" s="530"/>
      <c r="KCV107" s="531"/>
      <c r="KCW107" s="530"/>
      <c r="KCX107" s="531"/>
      <c r="KCY107" s="530"/>
      <c r="KCZ107" s="531"/>
      <c r="KDA107" s="530"/>
      <c r="KDB107" s="531"/>
      <c r="KDC107" s="530"/>
      <c r="KDD107" s="531"/>
      <c r="KDE107" s="530"/>
      <c r="KDF107" s="531"/>
      <c r="KDG107" s="530"/>
      <c r="KDH107" s="531"/>
      <c r="KDI107" s="530"/>
      <c r="KDJ107" s="531"/>
      <c r="KDK107" s="530"/>
      <c r="KDL107" s="531"/>
      <c r="KDM107" s="530"/>
      <c r="KDN107" s="531"/>
      <c r="KDO107" s="530"/>
      <c r="KDP107" s="531"/>
      <c r="KDQ107" s="530"/>
      <c r="KDR107" s="531"/>
      <c r="KDS107" s="530"/>
      <c r="KDT107" s="531"/>
      <c r="KDU107" s="530"/>
      <c r="KDV107" s="531"/>
      <c r="KDW107" s="530"/>
      <c r="KDX107" s="531"/>
      <c r="KDY107" s="530"/>
      <c r="KDZ107" s="531"/>
      <c r="KEA107" s="530"/>
      <c r="KEB107" s="531"/>
      <c r="KEC107" s="530"/>
      <c r="KED107" s="531"/>
      <c r="KEE107" s="530"/>
      <c r="KEF107" s="531"/>
      <c r="KEG107" s="530"/>
      <c r="KEH107" s="531"/>
      <c r="KEI107" s="530"/>
      <c r="KEJ107" s="531"/>
      <c r="KEK107" s="530"/>
      <c r="KEL107" s="531"/>
      <c r="KEM107" s="530"/>
      <c r="KEN107" s="531"/>
      <c r="KEO107" s="530"/>
      <c r="KEP107" s="531"/>
      <c r="KEQ107" s="530"/>
      <c r="KER107" s="531"/>
      <c r="KES107" s="530"/>
      <c r="KET107" s="531"/>
      <c r="KEU107" s="530"/>
      <c r="KEV107" s="531"/>
      <c r="KEW107" s="530"/>
      <c r="KEX107" s="531"/>
      <c r="KEY107" s="530"/>
      <c r="KEZ107" s="531"/>
      <c r="KFA107" s="530"/>
      <c r="KFB107" s="531"/>
      <c r="KFC107" s="530"/>
      <c r="KFD107" s="531"/>
      <c r="KFE107" s="530"/>
      <c r="KFF107" s="531"/>
      <c r="KFG107" s="530"/>
      <c r="KFH107" s="531"/>
      <c r="KFI107" s="530"/>
      <c r="KFJ107" s="531"/>
      <c r="KFK107" s="530"/>
      <c r="KFL107" s="531"/>
      <c r="KFM107" s="530"/>
      <c r="KFN107" s="531"/>
      <c r="KFO107" s="530"/>
      <c r="KFP107" s="531"/>
      <c r="KFQ107" s="530"/>
      <c r="KFR107" s="531"/>
      <c r="KFS107" s="530"/>
      <c r="KFT107" s="531"/>
      <c r="KFU107" s="530"/>
      <c r="KFV107" s="531"/>
      <c r="KFW107" s="530"/>
      <c r="KFX107" s="531"/>
      <c r="KFY107" s="530"/>
      <c r="KFZ107" s="531"/>
      <c r="KGA107" s="530"/>
      <c r="KGB107" s="531"/>
      <c r="KGC107" s="530"/>
      <c r="KGD107" s="531"/>
      <c r="KGE107" s="530"/>
      <c r="KGF107" s="531"/>
      <c r="KGG107" s="530"/>
      <c r="KGH107" s="531"/>
      <c r="KGI107" s="530"/>
      <c r="KGJ107" s="531"/>
      <c r="KGK107" s="530"/>
      <c r="KGL107" s="531"/>
      <c r="KGM107" s="530"/>
      <c r="KGN107" s="531"/>
      <c r="KGO107" s="530"/>
      <c r="KGP107" s="531"/>
      <c r="KGQ107" s="530"/>
      <c r="KGR107" s="531"/>
      <c r="KGS107" s="530"/>
      <c r="KGT107" s="531"/>
      <c r="KGU107" s="530"/>
      <c r="KGV107" s="531"/>
      <c r="KGW107" s="530"/>
      <c r="KGX107" s="531"/>
      <c r="KGY107" s="530"/>
      <c r="KGZ107" s="531"/>
      <c r="KHA107" s="530"/>
      <c r="KHB107" s="531"/>
      <c r="KHC107" s="530"/>
      <c r="KHD107" s="531"/>
      <c r="KHE107" s="530"/>
      <c r="KHF107" s="531"/>
      <c r="KHG107" s="530"/>
      <c r="KHH107" s="531"/>
      <c r="KHI107" s="530"/>
      <c r="KHJ107" s="531"/>
      <c r="KHK107" s="530"/>
      <c r="KHL107" s="531"/>
      <c r="KHM107" s="530"/>
      <c r="KHN107" s="531"/>
      <c r="KHO107" s="530"/>
      <c r="KHP107" s="531"/>
      <c r="KHQ107" s="530"/>
      <c r="KHR107" s="531"/>
      <c r="KHS107" s="530"/>
      <c r="KHT107" s="531"/>
      <c r="KHU107" s="530"/>
      <c r="KHV107" s="531"/>
      <c r="KHW107" s="530"/>
      <c r="KHX107" s="531"/>
      <c r="KHY107" s="530"/>
      <c r="KHZ107" s="531"/>
      <c r="KIA107" s="530"/>
      <c r="KIB107" s="531"/>
      <c r="KIC107" s="530"/>
      <c r="KID107" s="531"/>
      <c r="KIE107" s="530"/>
      <c r="KIF107" s="531"/>
      <c r="KIG107" s="530"/>
      <c r="KIH107" s="531"/>
      <c r="KII107" s="530"/>
      <c r="KIJ107" s="531"/>
      <c r="KIK107" s="530"/>
      <c r="KIL107" s="531"/>
      <c r="KIM107" s="530"/>
      <c r="KIN107" s="531"/>
      <c r="KIO107" s="530"/>
      <c r="KIP107" s="531"/>
      <c r="KIQ107" s="530"/>
      <c r="KIR107" s="531"/>
      <c r="KIS107" s="530"/>
      <c r="KIT107" s="531"/>
      <c r="KIU107" s="530"/>
      <c r="KIV107" s="531"/>
      <c r="KIW107" s="530"/>
      <c r="KIX107" s="531"/>
      <c r="KIY107" s="530"/>
      <c r="KIZ107" s="531"/>
      <c r="KJA107" s="530"/>
      <c r="KJB107" s="531"/>
      <c r="KJC107" s="530"/>
      <c r="KJD107" s="531"/>
      <c r="KJE107" s="530"/>
      <c r="KJF107" s="531"/>
      <c r="KJG107" s="530"/>
      <c r="KJH107" s="531"/>
      <c r="KJI107" s="530"/>
      <c r="KJJ107" s="531"/>
      <c r="KJK107" s="530"/>
      <c r="KJL107" s="531"/>
      <c r="KJM107" s="530"/>
      <c r="KJN107" s="531"/>
      <c r="KJO107" s="530"/>
      <c r="KJP107" s="531"/>
      <c r="KJQ107" s="530"/>
      <c r="KJR107" s="531"/>
      <c r="KJS107" s="530"/>
      <c r="KJT107" s="531"/>
      <c r="KJU107" s="530"/>
      <c r="KJV107" s="531"/>
      <c r="KJW107" s="530"/>
      <c r="KJX107" s="531"/>
      <c r="KJY107" s="530"/>
      <c r="KJZ107" s="531"/>
      <c r="KKA107" s="530"/>
      <c r="KKB107" s="531"/>
      <c r="KKC107" s="530"/>
      <c r="KKD107" s="531"/>
      <c r="KKE107" s="530"/>
      <c r="KKF107" s="531"/>
      <c r="KKG107" s="530"/>
      <c r="KKH107" s="531"/>
      <c r="KKI107" s="530"/>
      <c r="KKJ107" s="531"/>
      <c r="KKK107" s="530"/>
      <c r="KKL107" s="531"/>
      <c r="KKM107" s="530"/>
      <c r="KKN107" s="531"/>
      <c r="KKO107" s="530"/>
      <c r="KKP107" s="531"/>
      <c r="KKQ107" s="530"/>
      <c r="KKR107" s="531"/>
      <c r="KKS107" s="530"/>
      <c r="KKT107" s="531"/>
      <c r="KKU107" s="530"/>
      <c r="KKV107" s="531"/>
      <c r="KKW107" s="530"/>
      <c r="KKX107" s="531"/>
      <c r="KKY107" s="530"/>
      <c r="KKZ107" s="531"/>
      <c r="KLA107" s="530"/>
      <c r="KLB107" s="531"/>
      <c r="KLC107" s="530"/>
      <c r="KLD107" s="531"/>
      <c r="KLE107" s="530"/>
      <c r="KLF107" s="531"/>
      <c r="KLG107" s="530"/>
      <c r="KLH107" s="531"/>
      <c r="KLI107" s="530"/>
      <c r="KLJ107" s="531"/>
      <c r="KLK107" s="530"/>
      <c r="KLL107" s="531"/>
      <c r="KLM107" s="530"/>
      <c r="KLN107" s="531"/>
      <c r="KLO107" s="530"/>
      <c r="KLP107" s="531"/>
      <c r="KLQ107" s="530"/>
      <c r="KLR107" s="531"/>
      <c r="KLS107" s="530"/>
      <c r="KLT107" s="531"/>
      <c r="KLU107" s="530"/>
      <c r="KLV107" s="531"/>
      <c r="KLW107" s="530"/>
      <c r="KLX107" s="531"/>
      <c r="KLY107" s="530"/>
      <c r="KLZ107" s="531"/>
      <c r="KMA107" s="530"/>
      <c r="KMB107" s="531"/>
      <c r="KMC107" s="530"/>
      <c r="KMD107" s="531"/>
      <c r="KME107" s="530"/>
      <c r="KMF107" s="531"/>
      <c r="KMG107" s="530"/>
      <c r="KMH107" s="531"/>
      <c r="KMI107" s="530"/>
      <c r="KMJ107" s="531"/>
      <c r="KMK107" s="530"/>
      <c r="KML107" s="531"/>
      <c r="KMM107" s="530"/>
      <c r="KMN107" s="531"/>
      <c r="KMO107" s="530"/>
      <c r="KMP107" s="531"/>
      <c r="KMQ107" s="530"/>
      <c r="KMR107" s="531"/>
      <c r="KMS107" s="530"/>
      <c r="KMT107" s="531"/>
      <c r="KMU107" s="530"/>
      <c r="KMV107" s="531"/>
      <c r="KMW107" s="530"/>
      <c r="KMX107" s="531"/>
      <c r="KMY107" s="530"/>
      <c r="KMZ107" s="531"/>
      <c r="KNA107" s="530"/>
      <c r="KNB107" s="531"/>
      <c r="KNC107" s="530"/>
      <c r="KND107" s="531"/>
      <c r="KNE107" s="530"/>
      <c r="KNF107" s="531"/>
      <c r="KNG107" s="530"/>
      <c r="KNH107" s="531"/>
      <c r="KNI107" s="530"/>
      <c r="KNJ107" s="531"/>
      <c r="KNK107" s="530"/>
      <c r="KNL107" s="531"/>
      <c r="KNM107" s="530"/>
      <c r="KNN107" s="531"/>
      <c r="KNO107" s="530"/>
      <c r="KNP107" s="531"/>
      <c r="KNQ107" s="530"/>
      <c r="KNR107" s="531"/>
      <c r="KNS107" s="530"/>
      <c r="KNT107" s="531"/>
      <c r="KNU107" s="530"/>
      <c r="KNV107" s="531"/>
      <c r="KNW107" s="530"/>
      <c r="KNX107" s="531"/>
      <c r="KNY107" s="530"/>
      <c r="KNZ107" s="531"/>
      <c r="KOA107" s="530"/>
      <c r="KOB107" s="531"/>
      <c r="KOC107" s="530"/>
      <c r="KOD107" s="531"/>
      <c r="KOE107" s="530"/>
      <c r="KOF107" s="531"/>
      <c r="KOG107" s="530"/>
      <c r="KOH107" s="531"/>
      <c r="KOI107" s="530"/>
      <c r="KOJ107" s="531"/>
      <c r="KOK107" s="530"/>
      <c r="KOL107" s="531"/>
      <c r="KOM107" s="530"/>
      <c r="KON107" s="531"/>
      <c r="KOO107" s="530"/>
      <c r="KOP107" s="531"/>
      <c r="KOQ107" s="530"/>
      <c r="KOR107" s="531"/>
      <c r="KOS107" s="530"/>
      <c r="KOT107" s="531"/>
      <c r="KOU107" s="530"/>
      <c r="KOV107" s="531"/>
      <c r="KOW107" s="530"/>
      <c r="KOX107" s="531"/>
      <c r="KOY107" s="530"/>
      <c r="KOZ107" s="531"/>
      <c r="KPA107" s="530"/>
      <c r="KPB107" s="531"/>
      <c r="KPC107" s="530"/>
      <c r="KPD107" s="531"/>
      <c r="KPE107" s="530"/>
      <c r="KPF107" s="531"/>
      <c r="KPG107" s="530"/>
      <c r="KPH107" s="531"/>
      <c r="KPI107" s="530"/>
      <c r="KPJ107" s="531"/>
      <c r="KPK107" s="530"/>
      <c r="KPL107" s="531"/>
      <c r="KPM107" s="530"/>
      <c r="KPN107" s="531"/>
      <c r="KPO107" s="530"/>
      <c r="KPP107" s="531"/>
      <c r="KPQ107" s="530"/>
      <c r="KPR107" s="531"/>
      <c r="KPS107" s="530"/>
      <c r="KPT107" s="531"/>
      <c r="KPU107" s="530"/>
      <c r="KPV107" s="531"/>
      <c r="KPW107" s="530"/>
      <c r="KPX107" s="531"/>
      <c r="KPY107" s="530"/>
      <c r="KPZ107" s="531"/>
      <c r="KQA107" s="530"/>
      <c r="KQB107" s="531"/>
      <c r="KQC107" s="530"/>
      <c r="KQD107" s="531"/>
      <c r="KQE107" s="530"/>
      <c r="KQF107" s="531"/>
      <c r="KQG107" s="530"/>
      <c r="KQH107" s="531"/>
      <c r="KQI107" s="530"/>
      <c r="KQJ107" s="531"/>
      <c r="KQK107" s="530"/>
      <c r="KQL107" s="531"/>
      <c r="KQM107" s="530"/>
      <c r="KQN107" s="531"/>
      <c r="KQO107" s="530"/>
      <c r="KQP107" s="531"/>
      <c r="KQQ107" s="530"/>
      <c r="KQR107" s="531"/>
      <c r="KQS107" s="530"/>
      <c r="KQT107" s="531"/>
      <c r="KQU107" s="530"/>
      <c r="KQV107" s="531"/>
      <c r="KQW107" s="530"/>
      <c r="KQX107" s="531"/>
      <c r="KQY107" s="530"/>
      <c r="KQZ107" s="531"/>
      <c r="KRA107" s="530"/>
      <c r="KRB107" s="531"/>
      <c r="KRC107" s="530"/>
      <c r="KRD107" s="531"/>
      <c r="KRE107" s="530"/>
      <c r="KRF107" s="531"/>
      <c r="KRG107" s="530"/>
      <c r="KRH107" s="531"/>
      <c r="KRI107" s="530"/>
      <c r="KRJ107" s="531"/>
      <c r="KRK107" s="530"/>
      <c r="KRL107" s="531"/>
      <c r="KRM107" s="530"/>
      <c r="KRN107" s="531"/>
      <c r="KRO107" s="530"/>
      <c r="KRP107" s="531"/>
      <c r="KRQ107" s="530"/>
      <c r="KRR107" s="531"/>
      <c r="KRS107" s="530"/>
      <c r="KRT107" s="531"/>
      <c r="KRU107" s="530"/>
      <c r="KRV107" s="531"/>
      <c r="KRW107" s="530"/>
      <c r="KRX107" s="531"/>
      <c r="KRY107" s="530"/>
      <c r="KRZ107" s="531"/>
      <c r="KSA107" s="530"/>
      <c r="KSB107" s="531"/>
      <c r="KSC107" s="530"/>
      <c r="KSD107" s="531"/>
      <c r="KSE107" s="530"/>
      <c r="KSF107" s="531"/>
      <c r="KSG107" s="530"/>
      <c r="KSH107" s="531"/>
      <c r="KSI107" s="530"/>
      <c r="KSJ107" s="531"/>
      <c r="KSK107" s="530"/>
      <c r="KSL107" s="531"/>
      <c r="KSM107" s="530"/>
      <c r="KSN107" s="531"/>
      <c r="KSO107" s="530"/>
      <c r="KSP107" s="531"/>
      <c r="KSQ107" s="530"/>
      <c r="KSR107" s="531"/>
      <c r="KSS107" s="530"/>
      <c r="KST107" s="531"/>
      <c r="KSU107" s="530"/>
      <c r="KSV107" s="531"/>
      <c r="KSW107" s="530"/>
      <c r="KSX107" s="531"/>
      <c r="KSY107" s="530"/>
      <c r="KSZ107" s="531"/>
      <c r="KTA107" s="530"/>
      <c r="KTB107" s="531"/>
      <c r="KTC107" s="530"/>
      <c r="KTD107" s="531"/>
      <c r="KTE107" s="530"/>
      <c r="KTF107" s="531"/>
      <c r="KTG107" s="530"/>
      <c r="KTH107" s="531"/>
      <c r="KTI107" s="530"/>
      <c r="KTJ107" s="531"/>
      <c r="KTK107" s="530"/>
      <c r="KTL107" s="531"/>
      <c r="KTM107" s="530"/>
      <c r="KTN107" s="531"/>
      <c r="KTO107" s="530"/>
      <c r="KTP107" s="531"/>
      <c r="KTQ107" s="530"/>
      <c r="KTR107" s="531"/>
      <c r="KTS107" s="530"/>
      <c r="KTT107" s="531"/>
      <c r="KTU107" s="530"/>
      <c r="KTV107" s="531"/>
      <c r="KTW107" s="530"/>
      <c r="KTX107" s="531"/>
      <c r="KTY107" s="530"/>
      <c r="KTZ107" s="531"/>
      <c r="KUA107" s="530"/>
      <c r="KUB107" s="531"/>
      <c r="KUC107" s="530"/>
      <c r="KUD107" s="531"/>
      <c r="KUE107" s="530"/>
      <c r="KUF107" s="531"/>
      <c r="KUG107" s="530"/>
      <c r="KUH107" s="531"/>
      <c r="KUI107" s="530"/>
      <c r="KUJ107" s="531"/>
      <c r="KUK107" s="530"/>
      <c r="KUL107" s="531"/>
      <c r="KUM107" s="530"/>
      <c r="KUN107" s="531"/>
      <c r="KUO107" s="530"/>
      <c r="KUP107" s="531"/>
      <c r="KUQ107" s="530"/>
      <c r="KUR107" s="531"/>
      <c r="KUS107" s="530"/>
      <c r="KUT107" s="531"/>
      <c r="KUU107" s="530"/>
      <c r="KUV107" s="531"/>
      <c r="KUW107" s="530"/>
      <c r="KUX107" s="531"/>
      <c r="KUY107" s="530"/>
      <c r="KUZ107" s="531"/>
      <c r="KVA107" s="530"/>
      <c r="KVB107" s="531"/>
      <c r="KVC107" s="530"/>
      <c r="KVD107" s="531"/>
      <c r="KVE107" s="530"/>
      <c r="KVF107" s="531"/>
      <c r="KVG107" s="530"/>
      <c r="KVH107" s="531"/>
      <c r="KVI107" s="530"/>
      <c r="KVJ107" s="531"/>
      <c r="KVK107" s="530"/>
      <c r="KVL107" s="531"/>
      <c r="KVM107" s="530"/>
      <c r="KVN107" s="531"/>
      <c r="KVO107" s="530"/>
      <c r="KVP107" s="531"/>
      <c r="KVQ107" s="530"/>
      <c r="KVR107" s="531"/>
      <c r="KVS107" s="530"/>
      <c r="KVT107" s="531"/>
      <c r="KVU107" s="530"/>
      <c r="KVV107" s="531"/>
      <c r="KVW107" s="530"/>
      <c r="KVX107" s="531"/>
      <c r="KVY107" s="530"/>
      <c r="KVZ107" s="531"/>
      <c r="KWA107" s="530"/>
      <c r="KWB107" s="531"/>
      <c r="KWC107" s="530"/>
      <c r="KWD107" s="531"/>
      <c r="KWE107" s="530"/>
      <c r="KWF107" s="531"/>
      <c r="KWG107" s="530"/>
      <c r="KWH107" s="531"/>
      <c r="KWI107" s="530"/>
      <c r="KWJ107" s="531"/>
      <c r="KWK107" s="530"/>
      <c r="KWL107" s="531"/>
      <c r="KWM107" s="530"/>
      <c r="KWN107" s="531"/>
      <c r="KWO107" s="530"/>
      <c r="KWP107" s="531"/>
      <c r="KWQ107" s="530"/>
      <c r="KWR107" s="531"/>
      <c r="KWS107" s="530"/>
      <c r="KWT107" s="531"/>
      <c r="KWU107" s="530"/>
      <c r="KWV107" s="531"/>
      <c r="KWW107" s="530"/>
      <c r="KWX107" s="531"/>
      <c r="KWY107" s="530"/>
      <c r="KWZ107" s="531"/>
      <c r="KXA107" s="530"/>
      <c r="KXB107" s="531"/>
      <c r="KXC107" s="530"/>
      <c r="KXD107" s="531"/>
      <c r="KXE107" s="530"/>
      <c r="KXF107" s="531"/>
      <c r="KXG107" s="530"/>
      <c r="KXH107" s="531"/>
      <c r="KXI107" s="530"/>
      <c r="KXJ107" s="531"/>
      <c r="KXK107" s="530"/>
      <c r="KXL107" s="531"/>
      <c r="KXM107" s="530"/>
      <c r="KXN107" s="531"/>
      <c r="KXO107" s="530"/>
      <c r="KXP107" s="531"/>
      <c r="KXQ107" s="530"/>
      <c r="KXR107" s="531"/>
      <c r="KXS107" s="530"/>
      <c r="KXT107" s="531"/>
      <c r="KXU107" s="530"/>
      <c r="KXV107" s="531"/>
      <c r="KXW107" s="530"/>
      <c r="KXX107" s="531"/>
      <c r="KXY107" s="530"/>
      <c r="KXZ107" s="531"/>
      <c r="KYA107" s="530"/>
      <c r="KYB107" s="531"/>
      <c r="KYC107" s="530"/>
      <c r="KYD107" s="531"/>
      <c r="KYE107" s="530"/>
      <c r="KYF107" s="531"/>
      <c r="KYG107" s="530"/>
      <c r="KYH107" s="531"/>
      <c r="KYI107" s="530"/>
      <c r="KYJ107" s="531"/>
      <c r="KYK107" s="530"/>
      <c r="KYL107" s="531"/>
      <c r="KYM107" s="530"/>
      <c r="KYN107" s="531"/>
      <c r="KYO107" s="530"/>
      <c r="KYP107" s="531"/>
      <c r="KYQ107" s="530"/>
      <c r="KYR107" s="531"/>
      <c r="KYS107" s="530"/>
      <c r="KYT107" s="531"/>
      <c r="KYU107" s="530"/>
      <c r="KYV107" s="531"/>
      <c r="KYW107" s="530"/>
      <c r="KYX107" s="531"/>
      <c r="KYY107" s="530"/>
      <c r="KYZ107" s="531"/>
      <c r="KZA107" s="530"/>
      <c r="KZB107" s="531"/>
      <c r="KZC107" s="530"/>
      <c r="KZD107" s="531"/>
      <c r="KZE107" s="530"/>
      <c r="KZF107" s="531"/>
      <c r="KZG107" s="530"/>
      <c r="KZH107" s="531"/>
      <c r="KZI107" s="530"/>
      <c r="KZJ107" s="531"/>
      <c r="KZK107" s="530"/>
      <c r="KZL107" s="531"/>
      <c r="KZM107" s="530"/>
      <c r="KZN107" s="531"/>
      <c r="KZO107" s="530"/>
      <c r="KZP107" s="531"/>
      <c r="KZQ107" s="530"/>
      <c r="KZR107" s="531"/>
      <c r="KZS107" s="530"/>
      <c r="KZT107" s="531"/>
      <c r="KZU107" s="530"/>
      <c r="KZV107" s="531"/>
      <c r="KZW107" s="530"/>
      <c r="KZX107" s="531"/>
      <c r="KZY107" s="530"/>
      <c r="KZZ107" s="531"/>
      <c r="LAA107" s="530"/>
      <c r="LAB107" s="531"/>
      <c r="LAC107" s="530"/>
      <c r="LAD107" s="531"/>
      <c r="LAE107" s="530"/>
      <c r="LAF107" s="531"/>
      <c r="LAG107" s="530"/>
      <c r="LAH107" s="531"/>
      <c r="LAI107" s="530"/>
      <c r="LAJ107" s="531"/>
      <c r="LAK107" s="530"/>
      <c r="LAL107" s="531"/>
      <c r="LAM107" s="530"/>
      <c r="LAN107" s="531"/>
      <c r="LAO107" s="530"/>
      <c r="LAP107" s="531"/>
      <c r="LAQ107" s="530"/>
      <c r="LAR107" s="531"/>
      <c r="LAS107" s="530"/>
      <c r="LAT107" s="531"/>
      <c r="LAU107" s="530"/>
      <c r="LAV107" s="531"/>
      <c r="LAW107" s="530"/>
      <c r="LAX107" s="531"/>
      <c r="LAY107" s="530"/>
      <c r="LAZ107" s="531"/>
      <c r="LBA107" s="530"/>
      <c r="LBB107" s="531"/>
      <c r="LBC107" s="530"/>
      <c r="LBD107" s="531"/>
      <c r="LBE107" s="530"/>
      <c r="LBF107" s="531"/>
      <c r="LBG107" s="530"/>
      <c r="LBH107" s="531"/>
      <c r="LBI107" s="530"/>
      <c r="LBJ107" s="531"/>
      <c r="LBK107" s="530"/>
      <c r="LBL107" s="531"/>
      <c r="LBM107" s="530"/>
      <c r="LBN107" s="531"/>
      <c r="LBO107" s="530"/>
      <c r="LBP107" s="531"/>
      <c r="LBQ107" s="530"/>
      <c r="LBR107" s="531"/>
      <c r="LBS107" s="530"/>
      <c r="LBT107" s="531"/>
      <c r="LBU107" s="530"/>
      <c r="LBV107" s="531"/>
      <c r="LBW107" s="530"/>
      <c r="LBX107" s="531"/>
      <c r="LBY107" s="530"/>
      <c r="LBZ107" s="531"/>
      <c r="LCA107" s="530"/>
      <c r="LCB107" s="531"/>
      <c r="LCC107" s="530"/>
      <c r="LCD107" s="531"/>
      <c r="LCE107" s="530"/>
      <c r="LCF107" s="531"/>
      <c r="LCG107" s="530"/>
      <c r="LCH107" s="531"/>
      <c r="LCI107" s="530"/>
      <c r="LCJ107" s="531"/>
      <c r="LCK107" s="530"/>
      <c r="LCL107" s="531"/>
      <c r="LCM107" s="530"/>
      <c r="LCN107" s="531"/>
      <c r="LCO107" s="530"/>
      <c r="LCP107" s="531"/>
      <c r="LCQ107" s="530"/>
      <c r="LCR107" s="531"/>
      <c r="LCS107" s="530"/>
      <c r="LCT107" s="531"/>
      <c r="LCU107" s="530"/>
      <c r="LCV107" s="531"/>
      <c r="LCW107" s="530"/>
      <c r="LCX107" s="531"/>
      <c r="LCY107" s="530"/>
      <c r="LCZ107" s="531"/>
      <c r="LDA107" s="530"/>
      <c r="LDB107" s="531"/>
      <c r="LDC107" s="530"/>
      <c r="LDD107" s="531"/>
      <c r="LDE107" s="530"/>
      <c r="LDF107" s="531"/>
      <c r="LDG107" s="530"/>
      <c r="LDH107" s="531"/>
      <c r="LDI107" s="530"/>
      <c r="LDJ107" s="531"/>
      <c r="LDK107" s="530"/>
      <c r="LDL107" s="531"/>
      <c r="LDM107" s="530"/>
      <c r="LDN107" s="531"/>
      <c r="LDO107" s="530"/>
      <c r="LDP107" s="531"/>
      <c r="LDQ107" s="530"/>
      <c r="LDR107" s="531"/>
      <c r="LDS107" s="530"/>
      <c r="LDT107" s="531"/>
      <c r="LDU107" s="530"/>
      <c r="LDV107" s="531"/>
      <c r="LDW107" s="530"/>
      <c r="LDX107" s="531"/>
      <c r="LDY107" s="530"/>
      <c r="LDZ107" s="531"/>
      <c r="LEA107" s="530"/>
      <c r="LEB107" s="531"/>
      <c r="LEC107" s="530"/>
      <c r="LED107" s="531"/>
      <c r="LEE107" s="530"/>
      <c r="LEF107" s="531"/>
      <c r="LEG107" s="530"/>
      <c r="LEH107" s="531"/>
      <c r="LEI107" s="530"/>
      <c r="LEJ107" s="531"/>
      <c r="LEK107" s="530"/>
      <c r="LEL107" s="531"/>
      <c r="LEM107" s="530"/>
      <c r="LEN107" s="531"/>
      <c r="LEO107" s="530"/>
      <c r="LEP107" s="531"/>
      <c r="LEQ107" s="530"/>
      <c r="LER107" s="531"/>
      <c r="LES107" s="530"/>
      <c r="LET107" s="531"/>
      <c r="LEU107" s="530"/>
      <c r="LEV107" s="531"/>
      <c r="LEW107" s="530"/>
      <c r="LEX107" s="531"/>
      <c r="LEY107" s="530"/>
      <c r="LEZ107" s="531"/>
      <c r="LFA107" s="530"/>
      <c r="LFB107" s="531"/>
      <c r="LFC107" s="530"/>
      <c r="LFD107" s="531"/>
      <c r="LFE107" s="530"/>
      <c r="LFF107" s="531"/>
      <c r="LFG107" s="530"/>
      <c r="LFH107" s="531"/>
      <c r="LFI107" s="530"/>
      <c r="LFJ107" s="531"/>
      <c r="LFK107" s="530"/>
      <c r="LFL107" s="531"/>
      <c r="LFM107" s="530"/>
      <c r="LFN107" s="531"/>
      <c r="LFO107" s="530"/>
      <c r="LFP107" s="531"/>
      <c r="LFQ107" s="530"/>
      <c r="LFR107" s="531"/>
      <c r="LFS107" s="530"/>
      <c r="LFT107" s="531"/>
      <c r="LFU107" s="530"/>
      <c r="LFV107" s="531"/>
      <c r="LFW107" s="530"/>
      <c r="LFX107" s="531"/>
      <c r="LFY107" s="530"/>
      <c r="LFZ107" s="531"/>
      <c r="LGA107" s="530"/>
      <c r="LGB107" s="531"/>
      <c r="LGC107" s="530"/>
      <c r="LGD107" s="531"/>
      <c r="LGE107" s="530"/>
      <c r="LGF107" s="531"/>
      <c r="LGG107" s="530"/>
      <c r="LGH107" s="531"/>
      <c r="LGI107" s="530"/>
      <c r="LGJ107" s="531"/>
      <c r="LGK107" s="530"/>
      <c r="LGL107" s="531"/>
      <c r="LGM107" s="530"/>
      <c r="LGN107" s="531"/>
      <c r="LGO107" s="530"/>
      <c r="LGP107" s="531"/>
      <c r="LGQ107" s="530"/>
      <c r="LGR107" s="531"/>
      <c r="LGS107" s="530"/>
      <c r="LGT107" s="531"/>
      <c r="LGU107" s="530"/>
      <c r="LGV107" s="531"/>
      <c r="LGW107" s="530"/>
      <c r="LGX107" s="531"/>
      <c r="LGY107" s="530"/>
      <c r="LGZ107" s="531"/>
      <c r="LHA107" s="530"/>
      <c r="LHB107" s="531"/>
      <c r="LHC107" s="530"/>
      <c r="LHD107" s="531"/>
      <c r="LHE107" s="530"/>
      <c r="LHF107" s="531"/>
      <c r="LHG107" s="530"/>
      <c r="LHH107" s="531"/>
      <c r="LHI107" s="530"/>
      <c r="LHJ107" s="531"/>
      <c r="LHK107" s="530"/>
      <c r="LHL107" s="531"/>
      <c r="LHM107" s="530"/>
      <c r="LHN107" s="531"/>
      <c r="LHO107" s="530"/>
      <c r="LHP107" s="531"/>
      <c r="LHQ107" s="530"/>
      <c r="LHR107" s="531"/>
      <c r="LHS107" s="530"/>
      <c r="LHT107" s="531"/>
      <c r="LHU107" s="530"/>
      <c r="LHV107" s="531"/>
      <c r="LHW107" s="530"/>
      <c r="LHX107" s="531"/>
      <c r="LHY107" s="530"/>
      <c r="LHZ107" s="531"/>
      <c r="LIA107" s="530"/>
      <c r="LIB107" s="531"/>
      <c r="LIC107" s="530"/>
      <c r="LID107" s="531"/>
      <c r="LIE107" s="530"/>
      <c r="LIF107" s="531"/>
      <c r="LIG107" s="530"/>
      <c r="LIH107" s="531"/>
      <c r="LII107" s="530"/>
      <c r="LIJ107" s="531"/>
      <c r="LIK107" s="530"/>
      <c r="LIL107" s="531"/>
      <c r="LIM107" s="530"/>
      <c r="LIN107" s="531"/>
      <c r="LIO107" s="530"/>
      <c r="LIP107" s="531"/>
      <c r="LIQ107" s="530"/>
      <c r="LIR107" s="531"/>
      <c r="LIS107" s="530"/>
      <c r="LIT107" s="531"/>
      <c r="LIU107" s="530"/>
      <c r="LIV107" s="531"/>
      <c r="LIW107" s="530"/>
      <c r="LIX107" s="531"/>
      <c r="LIY107" s="530"/>
      <c r="LIZ107" s="531"/>
      <c r="LJA107" s="530"/>
      <c r="LJB107" s="531"/>
      <c r="LJC107" s="530"/>
      <c r="LJD107" s="531"/>
      <c r="LJE107" s="530"/>
      <c r="LJF107" s="531"/>
      <c r="LJG107" s="530"/>
      <c r="LJH107" s="531"/>
      <c r="LJI107" s="530"/>
      <c r="LJJ107" s="531"/>
      <c r="LJK107" s="530"/>
      <c r="LJL107" s="531"/>
      <c r="LJM107" s="530"/>
      <c r="LJN107" s="531"/>
      <c r="LJO107" s="530"/>
      <c r="LJP107" s="531"/>
      <c r="LJQ107" s="530"/>
      <c r="LJR107" s="531"/>
      <c r="LJS107" s="530"/>
      <c r="LJT107" s="531"/>
      <c r="LJU107" s="530"/>
      <c r="LJV107" s="531"/>
      <c r="LJW107" s="530"/>
      <c r="LJX107" s="531"/>
      <c r="LJY107" s="530"/>
      <c r="LJZ107" s="531"/>
      <c r="LKA107" s="530"/>
      <c r="LKB107" s="531"/>
      <c r="LKC107" s="530"/>
      <c r="LKD107" s="531"/>
      <c r="LKE107" s="530"/>
      <c r="LKF107" s="531"/>
      <c r="LKG107" s="530"/>
      <c r="LKH107" s="531"/>
      <c r="LKI107" s="530"/>
      <c r="LKJ107" s="531"/>
      <c r="LKK107" s="530"/>
      <c r="LKL107" s="531"/>
      <c r="LKM107" s="530"/>
      <c r="LKN107" s="531"/>
      <c r="LKO107" s="530"/>
      <c r="LKP107" s="531"/>
      <c r="LKQ107" s="530"/>
      <c r="LKR107" s="531"/>
      <c r="LKS107" s="530"/>
      <c r="LKT107" s="531"/>
      <c r="LKU107" s="530"/>
      <c r="LKV107" s="531"/>
      <c r="LKW107" s="530"/>
      <c r="LKX107" s="531"/>
      <c r="LKY107" s="530"/>
      <c r="LKZ107" s="531"/>
      <c r="LLA107" s="530"/>
      <c r="LLB107" s="531"/>
      <c r="LLC107" s="530"/>
      <c r="LLD107" s="531"/>
      <c r="LLE107" s="530"/>
      <c r="LLF107" s="531"/>
      <c r="LLG107" s="530"/>
      <c r="LLH107" s="531"/>
      <c r="LLI107" s="530"/>
      <c r="LLJ107" s="531"/>
      <c r="LLK107" s="530"/>
      <c r="LLL107" s="531"/>
      <c r="LLM107" s="530"/>
      <c r="LLN107" s="531"/>
      <c r="LLO107" s="530"/>
      <c r="LLP107" s="531"/>
      <c r="LLQ107" s="530"/>
      <c r="LLR107" s="531"/>
      <c r="LLS107" s="530"/>
      <c r="LLT107" s="531"/>
      <c r="LLU107" s="530"/>
      <c r="LLV107" s="531"/>
      <c r="LLW107" s="530"/>
      <c r="LLX107" s="531"/>
      <c r="LLY107" s="530"/>
      <c r="LLZ107" s="531"/>
      <c r="LMA107" s="530"/>
      <c r="LMB107" s="531"/>
      <c r="LMC107" s="530"/>
      <c r="LMD107" s="531"/>
      <c r="LME107" s="530"/>
      <c r="LMF107" s="531"/>
      <c r="LMG107" s="530"/>
      <c r="LMH107" s="531"/>
      <c r="LMI107" s="530"/>
      <c r="LMJ107" s="531"/>
      <c r="LMK107" s="530"/>
      <c r="LML107" s="531"/>
      <c r="LMM107" s="530"/>
      <c r="LMN107" s="531"/>
      <c r="LMO107" s="530"/>
      <c r="LMP107" s="531"/>
      <c r="LMQ107" s="530"/>
      <c r="LMR107" s="531"/>
      <c r="LMS107" s="530"/>
      <c r="LMT107" s="531"/>
      <c r="LMU107" s="530"/>
      <c r="LMV107" s="531"/>
      <c r="LMW107" s="530"/>
      <c r="LMX107" s="531"/>
      <c r="LMY107" s="530"/>
      <c r="LMZ107" s="531"/>
      <c r="LNA107" s="530"/>
      <c r="LNB107" s="531"/>
      <c r="LNC107" s="530"/>
      <c r="LND107" s="531"/>
      <c r="LNE107" s="530"/>
      <c r="LNF107" s="531"/>
      <c r="LNG107" s="530"/>
      <c r="LNH107" s="531"/>
      <c r="LNI107" s="530"/>
      <c r="LNJ107" s="531"/>
      <c r="LNK107" s="530"/>
      <c r="LNL107" s="531"/>
      <c r="LNM107" s="530"/>
      <c r="LNN107" s="531"/>
      <c r="LNO107" s="530"/>
      <c r="LNP107" s="531"/>
      <c r="LNQ107" s="530"/>
      <c r="LNR107" s="531"/>
      <c r="LNS107" s="530"/>
      <c r="LNT107" s="531"/>
      <c r="LNU107" s="530"/>
      <c r="LNV107" s="531"/>
      <c r="LNW107" s="530"/>
      <c r="LNX107" s="531"/>
      <c r="LNY107" s="530"/>
      <c r="LNZ107" s="531"/>
      <c r="LOA107" s="530"/>
      <c r="LOB107" s="531"/>
      <c r="LOC107" s="530"/>
      <c r="LOD107" s="531"/>
      <c r="LOE107" s="530"/>
      <c r="LOF107" s="531"/>
      <c r="LOG107" s="530"/>
      <c r="LOH107" s="531"/>
      <c r="LOI107" s="530"/>
      <c r="LOJ107" s="531"/>
      <c r="LOK107" s="530"/>
      <c r="LOL107" s="531"/>
      <c r="LOM107" s="530"/>
      <c r="LON107" s="531"/>
      <c r="LOO107" s="530"/>
      <c r="LOP107" s="531"/>
      <c r="LOQ107" s="530"/>
      <c r="LOR107" s="531"/>
      <c r="LOS107" s="530"/>
      <c r="LOT107" s="531"/>
      <c r="LOU107" s="530"/>
      <c r="LOV107" s="531"/>
      <c r="LOW107" s="530"/>
      <c r="LOX107" s="531"/>
      <c r="LOY107" s="530"/>
      <c r="LOZ107" s="531"/>
      <c r="LPA107" s="530"/>
      <c r="LPB107" s="531"/>
      <c r="LPC107" s="530"/>
      <c r="LPD107" s="531"/>
      <c r="LPE107" s="530"/>
      <c r="LPF107" s="531"/>
      <c r="LPG107" s="530"/>
      <c r="LPH107" s="531"/>
      <c r="LPI107" s="530"/>
      <c r="LPJ107" s="531"/>
      <c r="LPK107" s="530"/>
      <c r="LPL107" s="531"/>
      <c r="LPM107" s="530"/>
      <c r="LPN107" s="531"/>
      <c r="LPO107" s="530"/>
      <c r="LPP107" s="531"/>
      <c r="LPQ107" s="530"/>
      <c r="LPR107" s="531"/>
      <c r="LPS107" s="530"/>
      <c r="LPT107" s="531"/>
      <c r="LPU107" s="530"/>
      <c r="LPV107" s="531"/>
      <c r="LPW107" s="530"/>
      <c r="LPX107" s="531"/>
      <c r="LPY107" s="530"/>
      <c r="LPZ107" s="531"/>
      <c r="LQA107" s="530"/>
      <c r="LQB107" s="531"/>
      <c r="LQC107" s="530"/>
      <c r="LQD107" s="531"/>
      <c r="LQE107" s="530"/>
      <c r="LQF107" s="531"/>
      <c r="LQG107" s="530"/>
      <c r="LQH107" s="531"/>
      <c r="LQI107" s="530"/>
      <c r="LQJ107" s="531"/>
      <c r="LQK107" s="530"/>
      <c r="LQL107" s="531"/>
      <c r="LQM107" s="530"/>
      <c r="LQN107" s="531"/>
      <c r="LQO107" s="530"/>
      <c r="LQP107" s="531"/>
      <c r="LQQ107" s="530"/>
      <c r="LQR107" s="531"/>
      <c r="LQS107" s="530"/>
      <c r="LQT107" s="531"/>
      <c r="LQU107" s="530"/>
      <c r="LQV107" s="531"/>
      <c r="LQW107" s="530"/>
      <c r="LQX107" s="531"/>
      <c r="LQY107" s="530"/>
      <c r="LQZ107" s="531"/>
      <c r="LRA107" s="530"/>
      <c r="LRB107" s="531"/>
      <c r="LRC107" s="530"/>
      <c r="LRD107" s="531"/>
      <c r="LRE107" s="530"/>
      <c r="LRF107" s="531"/>
      <c r="LRG107" s="530"/>
      <c r="LRH107" s="531"/>
      <c r="LRI107" s="530"/>
      <c r="LRJ107" s="531"/>
      <c r="LRK107" s="530"/>
      <c r="LRL107" s="531"/>
      <c r="LRM107" s="530"/>
      <c r="LRN107" s="531"/>
      <c r="LRO107" s="530"/>
      <c r="LRP107" s="531"/>
      <c r="LRQ107" s="530"/>
      <c r="LRR107" s="531"/>
      <c r="LRS107" s="530"/>
      <c r="LRT107" s="531"/>
      <c r="LRU107" s="530"/>
      <c r="LRV107" s="531"/>
      <c r="LRW107" s="530"/>
      <c r="LRX107" s="531"/>
      <c r="LRY107" s="530"/>
      <c r="LRZ107" s="531"/>
      <c r="LSA107" s="530"/>
      <c r="LSB107" s="531"/>
      <c r="LSC107" s="530"/>
      <c r="LSD107" s="531"/>
      <c r="LSE107" s="530"/>
      <c r="LSF107" s="531"/>
      <c r="LSG107" s="530"/>
      <c r="LSH107" s="531"/>
      <c r="LSI107" s="530"/>
      <c r="LSJ107" s="531"/>
      <c r="LSK107" s="530"/>
      <c r="LSL107" s="531"/>
      <c r="LSM107" s="530"/>
      <c r="LSN107" s="531"/>
      <c r="LSO107" s="530"/>
      <c r="LSP107" s="531"/>
      <c r="LSQ107" s="530"/>
      <c r="LSR107" s="531"/>
      <c r="LSS107" s="530"/>
      <c r="LST107" s="531"/>
      <c r="LSU107" s="530"/>
      <c r="LSV107" s="531"/>
      <c r="LSW107" s="530"/>
      <c r="LSX107" s="531"/>
      <c r="LSY107" s="530"/>
      <c r="LSZ107" s="531"/>
      <c r="LTA107" s="530"/>
      <c r="LTB107" s="531"/>
      <c r="LTC107" s="530"/>
      <c r="LTD107" s="531"/>
      <c r="LTE107" s="530"/>
      <c r="LTF107" s="531"/>
      <c r="LTG107" s="530"/>
      <c r="LTH107" s="531"/>
      <c r="LTI107" s="530"/>
      <c r="LTJ107" s="531"/>
      <c r="LTK107" s="530"/>
      <c r="LTL107" s="531"/>
      <c r="LTM107" s="530"/>
      <c r="LTN107" s="531"/>
      <c r="LTO107" s="530"/>
      <c r="LTP107" s="531"/>
      <c r="LTQ107" s="530"/>
      <c r="LTR107" s="531"/>
      <c r="LTS107" s="530"/>
      <c r="LTT107" s="531"/>
      <c r="LTU107" s="530"/>
      <c r="LTV107" s="531"/>
      <c r="LTW107" s="530"/>
      <c r="LTX107" s="531"/>
      <c r="LTY107" s="530"/>
      <c r="LTZ107" s="531"/>
      <c r="LUA107" s="530"/>
      <c r="LUB107" s="531"/>
      <c r="LUC107" s="530"/>
      <c r="LUD107" s="531"/>
      <c r="LUE107" s="530"/>
      <c r="LUF107" s="531"/>
      <c r="LUG107" s="530"/>
      <c r="LUH107" s="531"/>
      <c r="LUI107" s="530"/>
      <c r="LUJ107" s="531"/>
      <c r="LUK107" s="530"/>
      <c r="LUL107" s="531"/>
      <c r="LUM107" s="530"/>
      <c r="LUN107" s="531"/>
      <c r="LUO107" s="530"/>
      <c r="LUP107" s="531"/>
      <c r="LUQ107" s="530"/>
      <c r="LUR107" s="531"/>
      <c r="LUS107" s="530"/>
      <c r="LUT107" s="531"/>
      <c r="LUU107" s="530"/>
      <c r="LUV107" s="531"/>
      <c r="LUW107" s="530"/>
      <c r="LUX107" s="531"/>
      <c r="LUY107" s="530"/>
      <c r="LUZ107" s="531"/>
      <c r="LVA107" s="530"/>
      <c r="LVB107" s="531"/>
      <c r="LVC107" s="530"/>
      <c r="LVD107" s="531"/>
      <c r="LVE107" s="530"/>
      <c r="LVF107" s="531"/>
      <c r="LVG107" s="530"/>
      <c r="LVH107" s="531"/>
      <c r="LVI107" s="530"/>
      <c r="LVJ107" s="531"/>
      <c r="LVK107" s="530"/>
      <c r="LVL107" s="531"/>
      <c r="LVM107" s="530"/>
      <c r="LVN107" s="531"/>
      <c r="LVO107" s="530"/>
      <c r="LVP107" s="531"/>
      <c r="LVQ107" s="530"/>
      <c r="LVR107" s="531"/>
      <c r="LVS107" s="530"/>
      <c r="LVT107" s="531"/>
      <c r="LVU107" s="530"/>
      <c r="LVV107" s="531"/>
      <c r="LVW107" s="530"/>
      <c r="LVX107" s="531"/>
      <c r="LVY107" s="530"/>
      <c r="LVZ107" s="531"/>
      <c r="LWA107" s="530"/>
      <c r="LWB107" s="531"/>
      <c r="LWC107" s="530"/>
      <c r="LWD107" s="531"/>
      <c r="LWE107" s="530"/>
      <c r="LWF107" s="531"/>
      <c r="LWG107" s="530"/>
      <c r="LWH107" s="531"/>
      <c r="LWI107" s="530"/>
      <c r="LWJ107" s="531"/>
      <c r="LWK107" s="530"/>
      <c r="LWL107" s="531"/>
      <c r="LWM107" s="530"/>
      <c r="LWN107" s="531"/>
      <c r="LWO107" s="530"/>
      <c r="LWP107" s="531"/>
      <c r="LWQ107" s="530"/>
      <c r="LWR107" s="531"/>
      <c r="LWS107" s="530"/>
      <c r="LWT107" s="531"/>
      <c r="LWU107" s="530"/>
      <c r="LWV107" s="531"/>
      <c r="LWW107" s="530"/>
      <c r="LWX107" s="531"/>
      <c r="LWY107" s="530"/>
      <c r="LWZ107" s="531"/>
      <c r="LXA107" s="530"/>
      <c r="LXB107" s="531"/>
      <c r="LXC107" s="530"/>
      <c r="LXD107" s="531"/>
      <c r="LXE107" s="530"/>
      <c r="LXF107" s="531"/>
      <c r="LXG107" s="530"/>
      <c r="LXH107" s="531"/>
      <c r="LXI107" s="530"/>
      <c r="LXJ107" s="531"/>
      <c r="LXK107" s="530"/>
      <c r="LXL107" s="531"/>
      <c r="LXM107" s="530"/>
      <c r="LXN107" s="531"/>
      <c r="LXO107" s="530"/>
      <c r="LXP107" s="531"/>
      <c r="LXQ107" s="530"/>
      <c r="LXR107" s="531"/>
      <c r="LXS107" s="530"/>
      <c r="LXT107" s="531"/>
      <c r="LXU107" s="530"/>
      <c r="LXV107" s="531"/>
      <c r="LXW107" s="530"/>
      <c r="LXX107" s="531"/>
      <c r="LXY107" s="530"/>
      <c r="LXZ107" s="531"/>
      <c r="LYA107" s="530"/>
      <c r="LYB107" s="531"/>
      <c r="LYC107" s="530"/>
      <c r="LYD107" s="531"/>
      <c r="LYE107" s="530"/>
      <c r="LYF107" s="531"/>
      <c r="LYG107" s="530"/>
      <c r="LYH107" s="531"/>
      <c r="LYI107" s="530"/>
      <c r="LYJ107" s="531"/>
      <c r="LYK107" s="530"/>
      <c r="LYL107" s="531"/>
      <c r="LYM107" s="530"/>
      <c r="LYN107" s="531"/>
      <c r="LYO107" s="530"/>
      <c r="LYP107" s="531"/>
      <c r="LYQ107" s="530"/>
      <c r="LYR107" s="531"/>
      <c r="LYS107" s="530"/>
      <c r="LYT107" s="531"/>
      <c r="LYU107" s="530"/>
      <c r="LYV107" s="531"/>
      <c r="LYW107" s="530"/>
      <c r="LYX107" s="531"/>
      <c r="LYY107" s="530"/>
      <c r="LYZ107" s="531"/>
      <c r="LZA107" s="530"/>
      <c r="LZB107" s="531"/>
      <c r="LZC107" s="530"/>
      <c r="LZD107" s="531"/>
      <c r="LZE107" s="530"/>
      <c r="LZF107" s="531"/>
      <c r="LZG107" s="530"/>
      <c r="LZH107" s="531"/>
      <c r="LZI107" s="530"/>
      <c r="LZJ107" s="531"/>
      <c r="LZK107" s="530"/>
      <c r="LZL107" s="531"/>
      <c r="LZM107" s="530"/>
      <c r="LZN107" s="531"/>
      <c r="LZO107" s="530"/>
      <c r="LZP107" s="531"/>
      <c r="LZQ107" s="530"/>
      <c r="LZR107" s="531"/>
      <c r="LZS107" s="530"/>
      <c r="LZT107" s="531"/>
      <c r="LZU107" s="530"/>
      <c r="LZV107" s="531"/>
      <c r="LZW107" s="530"/>
      <c r="LZX107" s="531"/>
      <c r="LZY107" s="530"/>
      <c r="LZZ107" s="531"/>
      <c r="MAA107" s="530"/>
      <c r="MAB107" s="531"/>
      <c r="MAC107" s="530"/>
      <c r="MAD107" s="531"/>
      <c r="MAE107" s="530"/>
      <c r="MAF107" s="531"/>
      <c r="MAG107" s="530"/>
      <c r="MAH107" s="531"/>
      <c r="MAI107" s="530"/>
      <c r="MAJ107" s="531"/>
      <c r="MAK107" s="530"/>
      <c r="MAL107" s="531"/>
      <c r="MAM107" s="530"/>
      <c r="MAN107" s="531"/>
      <c r="MAO107" s="530"/>
      <c r="MAP107" s="531"/>
      <c r="MAQ107" s="530"/>
      <c r="MAR107" s="531"/>
      <c r="MAS107" s="530"/>
      <c r="MAT107" s="531"/>
      <c r="MAU107" s="530"/>
      <c r="MAV107" s="531"/>
      <c r="MAW107" s="530"/>
      <c r="MAX107" s="531"/>
      <c r="MAY107" s="530"/>
      <c r="MAZ107" s="531"/>
      <c r="MBA107" s="530"/>
      <c r="MBB107" s="531"/>
      <c r="MBC107" s="530"/>
      <c r="MBD107" s="531"/>
      <c r="MBE107" s="530"/>
      <c r="MBF107" s="531"/>
      <c r="MBG107" s="530"/>
      <c r="MBH107" s="531"/>
      <c r="MBI107" s="530"/>
      <c r="MBJ107" s="531"/>
      <c r="MBK107" s="530"/>
      <c r="MBL107" s="531"/>
      <c r="MBM107" s="530"/>
      <c r="MBN107" s="531"/>
      <c r="MBO107" s="530"/>
      <c r="MBP107" s="531"/>
      <c r="MBQ107" s="530"/>
      <c r="MBR107" s="531"/>
      <c r="MBS107" s="530"/>
      <c r="MBT107" s="531"/>
      <c r="MBU107" s="530"/>
      <c r="MBV107" s="531"/>
      <c r="MBW107" s="530"/>
      <c r="MBX107" s="531"/>
      <c r="MBY107" s="530"/>
      <c r="MBZ107" s="531"/>
      <c r="MCA107" s="530"/>
      <c r="MCB107" s="531"/>
      <c r="MCC107" s="530"/>
      <c r="MCD107" s="531"/>
      <c r="MCE107" s="530"/>
      <c r="MCF107" s="531"/>
      <c r="MCG107" s="530"/>
      <c r="MCH107" s="531"/>
      <c r="MCI107" s="530"/>
      <c r="MCJ107" s="531"/>
      <c r="MCK107" s="530"/>
      <c r="MCL107" s="531"/>
      <c r="MCM107" s="530"/>
      <c r="MCN107" s="531"/>
      <c r="MCO107" s="530"/>
      <c r="MCP107" s="531"/>
      <c r="MCQ107" s="530"/>
      <c r="MCR107" s="531"/>
      <c r="MCS107" s="530"/>
      <c r="MCT107" s="531"/>
      <c r="MCU107" s="530"/>
      <c r="MCV107" s="531"/>
      <c r="MCW107" s="530"/>
      <c r="MCX107" s="531"/>
      <c r="MCY107" s="530"/>
      <c r="MCZ107" s="531"/>
      <c r="MDA107" s="530"/>
      <c r="MDB107" s="531"/>
      <c r="MDC107" s="530"/>
      <c r="MDD107" s="531"/>
      <c r="MDE107" s="530"/>
      <c r="MDF107" s="531"/>
      <c r="MDG107" s="530"/>
      <c r="MDH107" s="531"/>
      <c r="MDI107" s="530"/>
      <c r="MDJ107" s="531"/>
      <c r="MDK107" s="530"/>
      <c r="MDL107" s="531"/>
      <c r="MDM107" s="530"/>
      <c r="MDN107" s="531"/>
      <c r="MDO107" s="530"/>
      <c r="MDP107" s="531"/>
      <c r="MDQ107" s="530"/>
      <c r="MDR107" s="531"/>
      <c r="MDS107" s="530"/>
      <c r="MDT107" s="531"/>
      <c r="MDU107" s="530"/>
      <c r="MDV107" s="531"/>
      <c r="MDW107" s="530"/>
      <c r="MDX107" s="531"/>
      <c r="MDY107" s="530"/>
      <c r="MDZ107" s="531"/>
      <c r="MEA107" s="530"/>
      <c r="MEB107" s="531"/>
      <c r="MEC107" s="530"/>
      <c r="MED107" s="531"/>
      <c r="MEE107" s="530"/>
      <c r="MEF107" s="531"/>
      <c r="MEG107" s="530"/>
      <c r="MEH107" s="531"/>
      <c r="MEI107" s="530"/>
      <c r="MEJ107" s="531"/>
      <c r="MEK107" s="530"/>
      <c r="MEL107" s="531"/>
      <c r="MEM107" s="530"/>
      <c r="MEN107" s="531"/>
      <c r="MEO107" s="530"/>
      <c r="MEP107" s="531"/>
      <c r="MEQ107" s="530"/>
      <c r="MER107" s="531"/>
      <c r="MES107" s="530"/>
      <c r="MET107" s="531"/>
      <c r="MEU107" s="530"/>
      <c r="MEV107" s="531"/>
      <c r="MEW107" s="530"/>
      <c r="MEX107" s="531"/>
      <c r="MEY107" s="530"/>
      <c r="MEZ107" s="531"/>
      <c r="MFA107" s="530"/>
      <c r="MFB107" s="531"/>
      <c r="MFC107" s="530"/>
      <c r="MFD107" s="531"/>
      <c r="MFE107" s="530"/>
      <c r="MFF107" s="531"/>
      <c r="MFG107" s="530"/>
      <c r="MFH107" s="531"/>
      <c r="MFI107" s="530"/>
      <c r="MFJ107" s="531"/>
      <c r="MFK107" s="530"/>
      <c r="MFL107" s="531"/>
      <c r="MFM107" s="530"/>
      <c r="MFN107" s="531"/>
      <c r="MFO107" s="530"/>
      <c r="MFP107" s="531"/>
      <c r="MFQ107" s="530"/>
      <c r="MFR107" s="531"/>
      <c r="MFS107" s="530"/>
      <c r="MFT107" s="531"/>
      <c r="MFU107" s="530"/>
      <c r="MFV107" s="531"/>
      <c r="MFW107" s="530"/>
      <c r="MFX107" s="531"/>
      <c r="MFY107" s="530"/>
      <c r="MFZ107" s="531"/>
      <c r="MGA107" s="530"/>
      <c r="MGB107" s="531"/>
      <c r="MGC107" s="530"/>
      <c r="MGD107" s="531"/>
      <c r="MGE107" s="530"/>
      <c r="MGF107" s="531"/>
      <c r="MGG107" s="530"/>
      <c r="MGH107" s="531"/>
      <c r="MGI107" s="530"/>
      <c r="MGJ107" s="531"/>
      <c r="MGK107" s="530"/>
      <c r="MGL107" s="531"/>
      <c r="MGM107" s="530"/>
      <c r="MGN107" s="531"/>
      <c r="MGO107" s="530"/>
      <c r="MGP107" s="531"/>
      <c r="MGQ107" s="530"/>
      <c r="MGR107" s="531"/>
      <c r="MGS107" s="530"/>
      <c r="MGT107" s="531"/>
      <c r="MGU107" s="530"/>
      <c r="MGV107" s="531"/>
      <c r="MGW107" s="530"/>
      <c r="MGX107" s="531"/>
      <c r="MGY107" s="530"/>
      <c r="MGZ107" s="531"/>
      <c r="MHA107" s="530"/>
      <c r="MHB107" s="531"/>
      <c r="MHC107" s="530"/>
      <c r="MHD107" s="531"/>
      <c r="MHE107" s="530"/>
      <c r="MHF107" s="531"/>
      <c r="MHG107" s="530"/>
      <c r="MHH107" s="531"/>
      <c r="MHI107" s="530"/>
      <c r="MHJ107" s="531"/>
      <c r="MHK107" s="530"/>
      <c r="MHL107" s="531"/>
      <c r="MHM107" s="530"/>
      <c r="MHN107" s="531"/>
      <c r="MHO107" s="530"/>
      <c r="MHP107" s="531"/>
      <c r="MHQ107" s="530"/>
      <c r="MHR107" s="531"/>
      <c r="MHS107" s="530"/>
      <c r="MHT107" s="531"/>
      <c r="MHU107" s="530"/>
      <c r="MHV107" s="531"/>
      <c r="MHW107" s="530"/>
      <c r="MHX107" s="531"/>
      <c r="MHY107" s="530"/>
      <c r="MHZ107" s="531"/>
      <c r="MIA107" s="530"/>
      <c r="MIB107" s="531"/>
      <c r="MIC107" s="530"/>
      <c r="MID107" s="531"/>
      <c r="MIE107" s="530"/>
      <c r="MIF107" s="531"/>
      <c r="MIG107" s="530"/>
      <c r="MIH107" s="531"/>
      <c r="MII107" s="530"/>
      <c r="MIJ107" s="531"/>
      <c r="MIK107" s="530"/>
      <c r="MIL107" s="531"/>
      <c r="MIM107" s="530"/>
      <c r="MIN107" s="531"/>
      <c r="MIO107" s="530"/>
      <c r="MIP107" s="531"/>
      <c r="MIQ107" s="530"/>
      <c r="MIR107" s="531"/>
      <c r="MIS107" s="530"/>
      <c r="MIT107" s="531"/>
      <c r="MIU107" s="530"/>
      <c r="MIV107" s="531"/>
      <c r="MIW107" s="530"/>
      <c r="MIX107" s="531"/>
      <c r="MIY107" s="530"/>
      <c r="MIZ107" s="531"/>
      <c r="MJA107" s="530"/>
      <c r="MJB107" s="531"/>
      <c r="MJC107" s="530"/>
      <c r="MJD107" s="531"/>
      <c r="MJE107" s="530"/>
      <c r="MJF107" s="531"/>
      <c r="MJG107" s="530"/>
      <c r="MJH107" s="531"/>
      <c r="MJI107" s="530"/>
      <c r="MJJ107" s="531"/>
      <c r="MJK107" s="530"/>
      <c r="MJL107" s="531"/>
      <c r="MJM107" s="530"/>
      <c r="MJN107" s="531"/>
      <c r="MJO107" s="530"/>
      <c r="MJP107" s="531"/>
      <c r="MJQ107" s="530"/>
      <c r="MJR107" s="531"/>
      <c r="MJS107" s="530"/>
      <c r="MJT107" s="531"/>
      <c r="MJU107" s="530"/>
      <c r="MJV107" s="531"/>
      <c r="MJW107" s="530"/>
      <c r="MJX107" s="531"/>
      <c r="MJY107" s="530"/>
      <c r="MJZ107" s="531"/>
      <c r="MKA107" s="530"/>
      <c r="MKB107" s="531"/>
      <c r="MKC107" s="530"/>
      <c r="MKD107" s="531"/>
      <c r="MKE107" s="530"/>
      <c r="MKF107" s="531"/>
      <c r="MKG107" s="530"/>
      <c r="MKH107" s="531"/>
      <c r="MKI107" s="530"/>
      <c r="MKJ107" s="531"/>
      <c r="MKK107" s="530"/>
      <c r="MKL107" s="531"/>
      <c r="MKM107" s="530"/>
      <c r="MKN107" s="531"/>
      <c r="MKO107" s="530"/>
      <c r="MKP107" s="531"/>
      <c r="MKQ107" s="530"/>
      <c r="MKR107" s="531"/>
      <c r="MKS107" s="530"/>
      <c r="MKT107" s="531"/>
      <c r="MKU107" s="530"/>
      <c r="MKV107" s="531"/>
      <c r="MKW107" s="530"/>
      <c r="MKX107" s="531"/>
      <c r="MKY107" s="530"/>
      <c r="MKZ107" s="531"/>
      <c r="MLA107" s="530"/>
      <c r="MLB107" s="531"/>
      <c r="MLC107" s="530"/>
      <c r="MLD107" s="531"/>
      <c r="MLE107" s="530"/>
      <c r="MLF107" s="531"/>
      <c r="MLG107" s="530"/>
      <c r="MLH107" s="531"/>
      <c r="MLI107" s="530"/>
      <c r="MLJ107" s="531"/>
      <c r="MLK107" s="530"/>
      <c r="MLL107" s="531"/>
      <c r="MLM107" s="530"/>
      <c r="MLN107" s="531"/>
      <c r="MLO107" s="530"/>
      <c r="MLP107" s="531"/>
      <c r="MLQ107" s="530"/>
      <c r="MLR107" s="531"/>
      <c r="MLS107" s="530"/>
      <c r="MLT107" s="531"/>
      <c r="MLU107" s="530"/>
      <c r="MLV107" s="531"/>
      <c r="MLW107" s="530"/>
      <c r="MLX107" s="531"/>
      <c r="MLY107" s="530"/>
      <c r="MLZ107" s="531"/>
      <c r="MMA107" s="530"/>
      <c r="MMB107" s="531"/>
      <c r="MMC107" s="530"/>
      <c r="MMD107" s="531"/>
      <c r="MME107" s="530"/>
      <c r="MMF107" s="531"/>
      <c r="MMG107" s="530"/>
      <c r="MMH107" s="531"/>
      <c r="MMI107" s="530"/>
      <c r="MMJ107" s="531"/>
      <c r="MMK107" s="530"/>
      <c r="MML107" s="531"/>
      <c r="MMM107" s="530"/>
      <c r="MMN107" s="531"/>
      <c r="MMO107" s="530"/>
      <c r="MMP107" s="531"/>
      <c r="MMQ107" s="530"/>
      <c r="MMR107" s="531"/>
      <c r="MMS107" s="530"/>
      <c r="MMT107" s="531"/>
      <c r="MMU107" s="530"/>
      <c r="MMV107" s="531"/>
      <c r="MMW107" s="530"/>
      <c r="MMX107" s="531"/>
      <c r="MMY107" s="530"/>
      <c r="MMZ107" s="531"/>
      <c r="MNA107" s="530"/>
      <c r="MNB107" s="531"/>
      <c r="MNC107" s="530"/>
      <c r="MND107" s="531"/>
      <c r="MNE107" s="530"/>
      <c r="MNF107" s="531"/>
      <c r="MNG107" s="530"/>
      <c r="MNH107" s="531"/>
      <c r="MNI107" s="530"/>
      <c r="MNJ107" s="531"/>
      <c r="MNK107" s="530"/>
      <c r="MNL107" s="531"/>
      <c r="MNM107" s="530"/>
      <c r="MNN107" s="531"/>
      <c r="MNO107" s="530"/>
      <c r="MNP107" s="531"/>
      <c r="MNQ107" s="530"/>
      <c r="MNR107" s="531"/>
      <c r="MNS107" s="530"/>
      <c r="MNT107" s="531"/>
      <c r="MNU107" s="530"/>
      <c r="MNV107" s="531"/>
      <c r="MNW107" s="530"/>
      <c r="MNX107" s="531"/>
      <c r="MNY107" s="530"/>
      <c r="MNZ107" s="531"/>
      <c r="MOA107" s="530"/>
      <c r="MOB107" s="531"/>
      <c r="MOC107" s="530"/>
      <c r="MOD107" s="531"/>
      <c r="MOE107" s="530"/>
      <c r="MOF107" s="531"/>
      <c r="MOG107" s="530"/>
      <c r="MOH107" s="531"/>
      <c r="MOI107" s="530"/>
      <c r="MOJ107" s="531"/>
      <c r="MOK107" s="530"/>
      <c r="MOL107" s="531"/>
      <c r="MOM107" s="530"/>
      <c r="MON107" s="531"/>
      <c r="MOO107" s="530"/>
      <c r="MOP107" s="531"/>
      <c r="MOQ107" s="530"/>
      <c r="MOR107" s="531"/>
      <c r="MOS107" s="530"/>
      <c r="MOT107" s="531"/>
      <c r="MOU107" s="530"/>
      <c r="MOV107" s="531"/>
      <c r="MOW107" s="530"/>
      <c r="MOX107" s="531"/>
      <c r="MOY107" s="530"/>
      <c r="MOZ107" s="531"/>
      <c r="MPA107" s="530"/>
      <c r="MPB107" s="531"/>
      <c r="MPC107" s="530"/>
      <c r="MPD107" s="531"/>
      <c r="MPE107" s="530"/>
      <c r="MPF107" s="531"/>
      <c r="MPG107" s="530"/>
      <c r="MPH107" s="531"/>
      <c r="MPI107" s="530"/>
      <c r="MPJ107" s="531"/>
      <c r="MPK107" s="530"/>
      <c r="MPL107" s="531"/>
      <c r="MPM107" s="530"/>
      <c r="MPN107" s="531"/>
      <c r="MPO107" s="530"/>
      <c r="MPP107" s="531"/>
      <c r="MPQ107" s="530"/>
      <c r="MPR107" s="531"/>
      <c r="MPS107" s="530"/>
      <c r="MPT107" s="531"/>
      <c r="MPU107" s="530"/>
      <c r="MPV107" s="531"/>
      <c r="MPW107" s="530"/>
      <c r="MPX107" s="531"/>
      <c r="MPY107" s="530"/>
      <c r="MPZ107" s="531"/>
      <c r="MQA107" s="530"/>
      <c r="MQB107" s="531"/>
      <c r="MQC107" s="530"/>
      <c r="MQD107" s="531"/>
      <c r="MQE107" s="530"/>
      <c r="MQF107" s="531"/>
      <c r="MQG107" s="530"/>
      <c r="MQH107" s="531"/>
      <c r="MQI107" s="530"/>
      <c r="MQJ107" s="531"/>
      <c r="MQK107" s="530"/>
      <c r="MQL107" s="531"/>
      <c r="MQM107" s="530"/>
      <c r="MQN107" s="531"/>
      <c r="MQO107" s="530"/>
      <c r="MQP107" s="531"/>
      <c r="MQQ107" s="530"/>
      <c r="MQR107" s="531"/>
      <c r="MQS107" s="530"/>
      <c r="MQT107" s="531"/>
      <c r="MQU107" s="530"/>
      <c r="MQV107" s="531"/>
      <c r="MQW107" s="530"/>
      <c r="MQX107" s="531"/>
      <c r="MQY107" s="530"/>
      <c r="MQZ107" s="531"/>
      <c r="MRA107" s="530"/>
      <c r="MRB107" s="531"/>
      <c r="MRC107" s="530"/>
      <c r="MRD107" s="531"/>
      <c r="MRE107" s="530"/>
      <c r="MRF107" s="531"/>
      <c r="MRG107" s="530"/>
      <c r="MRH107" s="531"/>
      <c r="MRI107" s="530"/>
      <c r="MRJ107" s="531"/>
      <c r="MRK107" s="530"/>
      <c r="MRL107" s="531"/>
      <c r="MRM107" s="530"/>
      <c r="MRN107" s="531"/>
      <c r="MRO107" s="530"/>
      <c r="MRP107" s="531"/>
      <c r="MRQ107" s="530"/>
      <c r="MRR107" s="531"/>
      <c r="MRS107" s="530"/>
      <c r="MRT107" s="531"/>
      <c r="MRU107" s="530"/>
      <c r="MRV107" s="531"/>
      <c r="MRW107" s="530"/>
      <c r="MRX107" s="531"/>
      <c r="MRY107" s="530"/>
      <c r="MRZ107" s="531"/>
      <c r="MSA107" s="530"/>
      <c r="MSB107" s="531"/>
      <c r="MSC107" s="530"/>
      <c r="MSD107" s="531"/>
      <c r="MSE107" s="530"/>
      <c r="MSF107" s="531"/>
      <c r="MSG107" s="530"/>
      <c r="MSH107" s="531"/>
      <c r="MSI107" s="530"/>
      <c r="MSJ107" s="531"/>
      <c r="MSK107" s="530"/>
      <c r="MSL107" s="531"/>
      <c r="MSM107" s="530"/>
      <c r="MSN107" s="531"/>
      <c r="MSO107" s="530"/>
      <c r="MSP107" s="531"/>
      <c r="MSQ107" s="530"/>
      <c r="MSR107" s="531"/>
      <c r="MSS107" s="530"/>
      <c r="MST107" s="531"/>
      <c r="MSU107" s="530"/>
      <c r="MSV107" s="531"/>
      <c r="MSW107" s="530"/>
      <c r="MSX107" s="531"/>
      <c r="MSY107" s="530"/>
      <c r="MSZ107" s="531"/>
      <c r="MTA107" s="530"/>
      <c r="MTB107" s="531"/>
      <c r="MTC107" s="530"/>
      <c r="MTD107" s="531"/>
      <c r="MTE107" s="530"/>
      <c r="MTF107" s="531"/>
      <c r="MTG107" s="530"/>
      <c r="MTH107" s="531"/>
      <c r="MTI107" s="530"/>
      <c r="MTJ107" s="531"/>
      <c r="MTK107" s="530"/>
      <c r="MTL107" s="531"/>
      <c r="MTM107" s="530"/>
      <c r="MTN107" s="531"/>
      <c r="MTO107" s="530"/>
      <c r="MTP107" s="531"/>
      <c r="MTQ107" s="530"/>
      <c r="MTR107" s="531"/>
      <c r="MTS107" s="530"/>
      <c r="MTT107" s="531"/>
      <c r="MTU107" s="530"/>
      <c r="MTV107" s="531"/>
      <c r="MTW107" s="530"/>
      <c r="MTX107" s="531"/>
      <c r="MTY107" s="530"/>
      <c r="MTZ107" s="531"/>
      <c r="MUA107" s="530"/>
      <c r="MUB107" s="531"/>
      <c r="MUC107" s="530"/>
      <c r="MUD107" s="531"/>
      <c r="MUE107" s="530"/>
      <c r="MUF107" s="531"/>
      <c r="MUG107" s="530"/>
      <c r="MUH107" s="531"/>
      <c r="MUI107" s="530"/>
      <c r="MUJ107" s="531"/>
      <c r="MUK107" s="530"/>
      <c r="MUL107" s="531"/>
      <c r="MUM107" s="530"/>
      <c r="MUN107" s="531"/>
      <c r="MUO107" s="530"/>
      <c r="MUP107" s="531"/>
      <c r="MUQ107" s="530"/>
      <c r="MUR107" s="531"/>
      <c r="MUS107" s="530"/>
      <c r="MUT107" s="531"/>
      <c r="MUU107" s="530"/>
      <c r="MUV107" s="531"/>
      <c r="MUW107" s="530"/>
      <c r="MUX107" s="531"/>
      <c r="MUY107" s="530"/>
      <c r="MUZ107" s="531"/>
      <c r="MVA107" s="530"/>
      <c r="MVB107" s="531"/>
      <c r="MVC107" s="530"/>
      <c r="MVD107" s="531"/>
      <c r="MVE107" s="530"/>
      <c r="MVF107" s="531"/>
      <c r="MVG107" s="530"/>
      <c r="MVH107" s="531"/>
      <c r="MVI107" s="530"/>
      <c r="MVJ107" s="531"/>
      <c r="MVK107" s="530"/>
      <c r="MVL107" s="531"/>
      <c r="MVM107" s="530"/>
      <c r="MVN107" s="531"/>
      <c r="MVO107" s="530"/>
      <c r="MVP107" s="531"/>
      <c r="MVQ107" s="530"/>
      <c r="MVR107" s="531"/>
      <c r="MVS107" s="530"/>
      <c r="MVT107" s="531"/>
      <c r="MVU107" s="530"/>
      <c r="MVV107" s="531"/>
      <c r="MVW107" s="530"/>
      <c r="MVX107" s="531"/>
      <c r="MVY107" s="530"/>
      <c r="MVZ107" s="531"/>
      <c r="MWA107" s="530"/>
      <c r="MWB107" s="531"/>
      <c r="MWC107" s="530"/>
      <c r="MWD107" s="531"/>
      <c r="MWE107" s="530"/>
      <c r="MWF107" s="531"/>
      <c r="MWG107" s="530"/>
      <c r="MWH107" s="531"/>
      <c r="MWI107" s="530"/>
      <c r="MWJ107" s="531"/>
      <c r="MWK107" s="530"/>
      <c r="MWL107" s="531"/>
      <c r="MWM107" s="530"/>
      <c r="MWN107" s="531"/>
      <c r="MWO107" s="530"/>
      <c r="MWP107" s="531"/>
      <c r="MWQ107" s="530"/>
      <c r="MWR107" s="531"/>
      <c r="MWS107" s="530"/>
      <c r="MWT107" s="531"/>
      <c r="MWU107" s="530"/>
      <c r="MWV107" s="531"/>
      <c r="MWW107" s="530"/>
      <c r="MWX107" s="531"/>
      <c r="MWY107" s="530"/>
      <c r="MWZ107" s="531"/>
      <c r="MXA107" s="530"/>
      <c r="MXB107" s="531"/>
      <c r="MXC107" s="530"/>
      <c r="MXD107" s="531"/>
      <c r="MXE107" s="530"/>
      <c r="MXF107" s="531"/>
      <c r="MXG107" s="530"/>
      <c r="MXH107" s="531"/>
      <c r="MXI107" s="530"/>
      <c r="MXJ107" s="531"/>
      <c r="MXK107" s="530"/>
      <c r="MXL107" s="531"/>
      <c r="MXM107" s="530"/>
      <c r="MXN107" s="531"/>
      <c r="MXO107" s="530"/>
      <c r="MXP107" s="531"/>
      <c r="MXQ107" s="530"/>
      <c r="MXR107" s="531"/>
      <c r="MXS107" s="530"/>
      <c r="MXT107" s="531"/>
      <c r="MXU107" s="530"/>
      <c r="MXV107" s="531"/>
      <c r="MXW107" s="530"/>
      <c r="MXX107" s="531"/>
      <c r="MXY107" s="530"/>
      <c r="MXZ107" s="531"/>
      <c r="MYA107" s="530"/>
      <c r="MYB107" s="531"/>
      <c r="MYC107" s="530"/>
      <c r="MYD107" s="531"/>
      <c r="MYE107" s="530"/>
      <c r="MYF107" s="531"/>
      <c r="MYG107" s="530"/>
      <c r="MYH107" s="531"/>
      <c r="MYI107" s="530"/>
      <c r="MYJ107" s="531"/>
      <c r="MYK107" s="530"/>
      <c r="MYL107" s="531"/>
      <c r="MYM107" s="530"/>
      <c r="MYN107" s="531"/>
      <c r="MYO107" s="530"/>
      <c r="MYP107" s="531"/>
      <c r="MYQ107" s="530"/>
      <c r="MYR107" s="531"/>
      <c r="MYS107" s="530"/>
      <c r="MYT107" s="531"/>
      <c r="MYU107" s="530"/>
      <c r="MYV107" s="531"/>
      <c r="MYW107" s="530"/>
      <c r="MYX107" s="531"/>
      <c r="MYY107" s="530"/>
      <c r="MYZ107" s="531"/>
      <c r="MZA107" s="530"/>
      <c r="MZB107" s="531"/>
      <c r="MZC107" s="530"/>
      <c r="MZD107" s="531"/>
      <c r="MZE107" s="530"/>
      <c r="MZF107" s="531"/>
      <c r="MZG107" s="530"/>
      <c r="MZH107" s="531"/>
      <c r="MZI107" s="530"/>
      <c r="MZJ107" s="531"/>
      <c r="MZK107" s="530"/>
      <c r="MZL107" s="531"/>
      <c r="MZM107" s="530"/>
      <c r="MZN107" s="531"/>
      <c r="MZO107" s="530"/>
      <c r="MZP107" s="531"/>
      <c r="MZQ107" s="530"/>
      <c r="MZR107" s="531"/>
      <c r="MZS107" s="530"/>
      <c r="MZT107" s="531"/>
      <c r="MZU107" s="530"/>
      <c r="MZV107" s="531"/>
      <c r="MZW107" s="530"/>
      <c r="MZX107" s="531"/>
      <c r="MZY107" s="530"/>
      <c r="MZZ107" s="531"/>
      <c r="NAA107" s="530"/>
      <c r="NAB107" s="531"/>
      <c r="NAC107" s="530"/>
      <c r="NAD107" s="531"/>
      <c r="NAE107" s="530"/>
      <c r="NAF107" s="531"/>
      <c r="NAG107" s="530"/>
      <c r="NAH107" s="531"/>
      <c r="NAI107" s="530"/>
      <c r="NAJ107" s="531"/>
      <c r="NAK107" s="530"/>
      <c r="NAL107" s="531"/>
      <c r="NAM107" s="530"/>
      <c r="NAN107" s="531"/>
      <c r="NAO107" s="530"/>
      <c r="NAP107" s="531"/>
      <c r="NAQ107" s="530"/>
      <c r="NAR107" s="531"/>
      <c r="NAS107" s="530"/>
      <c r="NAT107" s="531"/>
      <c r="NAU107" s="530"/>
      <c r="NAV107" s="531"/>
      <c r="NAW107" s="530"/>
      <c r="NAX107" s="531"/>
      <c r="NAY107" s="530"/>
      <c r="NAZ107" s="531"/>
      <c r="NBA107" s="530"/>
      <c r="NBB107" s="531"/>
      <c r="NBC107" s="530"/>
      <c r="NBD107" s="531"/>
      <c r="NBE107" s="530"/>
      <c r="NBF107" s="531"/>
      <c r="NBG107" s="530"/>
      <c r="NBH107" s="531"/>
      <c r="NBI107" s="530"/>
      <c r="NBJ107" s="531"/>
      <c r="NBK107" s="530"/>
      <c r="NBL107" s="531"/>
      <c r="NBM107" s="530"/>
      <c r="NBN107" s="531"/>
      <c r="NBO107" s="530"/>
      <c r="NBP107" s="531"/>
      <c r="NBQ107" s="530"/>
      <c r="NBR107" s="531"/>
      <c r="NBS107" s="530"/>
      <c r="NBT107" s="531"/>
      <c r="NBU107" s="530"/>
      <c r="NBV107" s="531"/>
      <c r="NBW107" s="530"/>
      <c r="NBX107" s="531"/>
      <c r="NBY107" s="530"/>
      <c r="NBZ107" s="531"/>
      <c r="NCA107" s="530"/>
      <c r="NCB107" s="531"/>
      <c r="NCC107" s="530"/>
      <c r="NCD107" s="531"/>
      <c r="NCE107" s="530"/>
      <c r="NCF107" s="531"/>
      <c r="NCG107" s="530"/>
      <c r="NCH107" s="531"/>
      <c r="NCI107" s="530"/>
      <c r="NCJ107" s="531"/>
      <c r="NCK107" s="530"/>
      <c r="NCL107" s="531"/>
      <c r="NCM107" s="530"/>
      <c r="NCN107" s="531"/>
      <c r="NCO107" s="530"/>
      <c r="NCP107" s="531"/>
      <c r="NCQ107" s="530"/>
      <c r="NCR107" s="531"/>
      <c r="NCS107" s="530"/>
      <c r="NCT107" s="531"/>
      <c r="NCU107" s="530"/>
      <c r="NCV107" s="531"/>
      <c r="NCW107" s="530"/>
      <c r="NCX107" s="531"/>
      <c r="NCY107" s="530"/>
      <c r="NCZ107" s="531"/>
      <c r="NDA107" s="530"/>
      <c r="NDB107" s="531"/>
      <c r="NDC107" s="530"/>
      <c r="NDD107" s="531"/>
      <c r="NDE107" s="530"/>
      <c r="NDF107" s="531"/>
      <c r="NDG107" s="530"/>
      <c r="NDH107" s="531"/>
      <c r="NDI107" s="530"/>
      <c r="NDJ107" s="531"/>
      <c r="NDK107" s="530"/>
      <c r="NDL107" s="531"/>
      <c r="NDM107" s="530"/>
      <c r="NDN107" s="531"/>
      <c r="NDO107" s="530"/>
      <c r="NDP107" s="531"/>
      <c r="NDQ107" s="530"/>
      <c r="NDR107" s="531"/>
      <c r="NDS107" s="530"/>
      <c r="NDT107" s="531"/>
      <c r="NDU107" s="530"/>
      <c r="NDV107" s="531"/>
      <c r="NDW107" s="530"/>
      <c r="NDX107" s="531"/>
      <c r="NDY107" s="530"/>
      <c r="NDZ107" s="531"/>
      <c r="NEA107" s="530"/>
      <c r="NEB107" s="531"/>
      <c r="NEC107" s="530"/>
      <c r="NED107" s="531"/>
      <c r="NEE107" s="530"/>
      <c r="NEF107" s="531"/>
      <c r="NEG107" s="530"/>
      <c r="NEH107" s="531"/>
      <c r="NEI107" s="530"/>
      <c r="NEJ107" s="531"/>
      <c r="NEK107" s="530"/>
      <c r="NEL107" s="531"/>
      <c r="NEM107" s="530"/>
      <c r="NEN107" s="531"/>
      <c r="NEO107" s="530"/>
      <c r="NEP107" s="531"/>
      <c r="NEQ107" s="530"/>
      <c r="NER107" s="531"/>
      <c r="NES107" s="530"/>
      <c r="NET107" s="531"/>
      <c r="NEU107" s="530"/>
      <c r="NEV107" s="531"/>
      <c r="NEW107" s="530"/>
      <c r="NEX107" s="531"/>
      <c r="NEY107" s="530"/>
      <c r="NEZ107" s="531"/>
      <c r="NFA107" s="530"/>
      <c r="NFB107" s="531"/>
      <c r="NFC107" s="530"/>
      <c r="NFD107" s="531"/>
      <c r="NFE107" s="530"/>
      <c r="NFF107" s="531"/>
      <c r="NFG107" s="530"/>
      <c r="NFH107" s="531"/>
      <c r="NFI107" s="530"/>
      <c r="NFJ107" s="531"/>
      <c r="NFK107" s="530"/>
      <c r="NFL107" s="531"/>
      <c r="NFM107" s="530"/>
      <c r="NFN107" s="531"/>
      <c r="NFO107" s="530"/>
      <c r="NFP107" s="531"/>
      <c r="NFQ107" s="530"/>
      <c r="NFR107" s="531"/>
      <c r="NFS107" s="530"/>
      <c r="NFT107" s="531"/>
      <c r="NFU107" s="530"/>
      <c r="NFV107" s="531"/>
      <c r="NFW107" s="530"/>
      <c r="NFX107" s="531"/>
      <c r="NFY107" s="530"/>
      <c r="NFZ107" s="531"/>
      <c r="NGA107" s="530"/>
      <c r="NGB107" s="531"/>
      <c r="NGC107" s="530"/>
      <c r="NGD107" s="531"/>
      <c r="NGE107" s="530"/>
      <c r="NGF107" s="531"/>
      <c r="NGG107" s="530"/>
      <c r="NGH107" s="531"/>
      <c r="NGI107" s="530"/>
      <c r="NGJ107" s="531"/>
      <c r="NGK107" s="530"/>
      <c r="NGL107" s="531"/>
      <c r="NGM107" s="530"/>
      <c r="NGN107" s="531"/>
      <c r="NGO107" s="530"/>
      <c r="NGP107" s="531"/>
      <c r="NGQ107" s="530"/>
      <c r="NGR107" s="531"/>
      <c r="NGS107" s="530"/>
      <c r="NGT107" s="531"/>
      <c r="NGU107" s="530"/>
      <c r="NGV107" s="531"/>
      <c r="NGW107" s="530"/>
      <c r="NGX107" s="531"/>
      <c r="NGY107" s="530"/>
      <c r="NGZ107" s="531"/>
      <c r="NHA107" s="530"/>
      <c r="NHB107" s="531"/>
      <c r="NHC107" s="530"/>
      <c r="NHD107" s="531"/>
      <c r="NHE107" s="530"/>
      <c r="NHF107" s="531"/>
      <c r="NHG107" s="530"/>
      <c r="NHH107" s="531"/>
      <c r="NHI107" s="530"/>
      <c r="NHJ107" s="531"/>
      <c r="NHK107" s="530"/>
      <c r="NHL107" s="531"/>
      <c r="NHM107" s="530"/>
      <c r="NHN107" s="531"/>
      <c r="NHO107" s="530"/>
      <c r="NHP107" s="531"/>
      <c r="NHQ107" s="530"/>
      <c r="NHR107" s="531"/>
      <c r="NHS107" s="530"/>
      <c r="NHT107" s="531"/>
      <c r="NHU107" s="530"/>
      <c r="NHV107" s="531"/>
      <c r="NHW107" s="530"/>
      <c r="NHX107" s="531"/>
      <c r="NHY107" s="530"/>
      <c r="NHZ107" s="531"/>
      <c r="NIA107" s="530"/>
      <c r="NIB107" s="531"/>
      <c r="NIC107" s="530"/>
      <c r="NID107" s="531"/>
      <c r="NIE107" s="530"/>
      <c r="NIF107" s="531"/>
      <c r="NIG107" s="530"/>
      <c r="NIH107" s="531"/>
      <c r="NII107" s="530"/>
      <c r="NIJ107" s="531"/>
      <c r="NIK107" s="530"/>
      <c r="NIL107" s="531"/>
      <c r="NIM107" s="530"/>
      <c r="NIN107" s="531"/>
      <c r="NIO107" s="530"/>
      <c r="NIP107" s="531"/>
      <c r="NIQ107" s="530"/>
      <c r="NIR107" s="531"/>
      <c r="NIS107" s="530"/>
      <c r="NIT107" s="531"/>
      <c r="NIU107" s="530"/>
      <c r="NIV107" s="531"/>
      <c r="NIW107" s="530"/>
      <c r="NIX107" s="531"/>
      <c r="NIY107" s="530"/>
      <c r="NIZ107" s="531"/>
      <c r="NJA107" s="530"/>
      <c r="NJB107" s="531"/>
      <c r="NJC107" s="530"/>
      <c r="NJD107" s="531"/>
      <c r="NJE107" s="530"/>
      <c r="NJF107" s="531"/>
      <c r="NJG107" s="530"/>
      <c r="NJH107" s="531"/>
      <c r="NJI107" s="530"/>
      <c r="NJJ107" s="531"/>
      <c r="NJK107" s="530"/>
      <c r="NJL107" s="531"/>
      <c r="NJM107" s="530"/>
      <c r="NJN107" s="531"/>
      <c r="NJO107" s="530"/>
      <c r="NJP107" s="531"/>
      <c r="NJQ107" s="530"/>
      <c r="NJR107" s="531"/>
      <c r="NJS107" s="530"/>
      <c r="NJT107" s="531"/>
      <c r="NJU107" s="530"/>
      <c r="NJV107" s="531"/>
      <c r="NJW107" s="530"/>
      <c r="NJX107" s="531"/>
      <c r="NJY107" s="530"/>
      <c r="NJZ107" s="531"/>
      <c r="NKA107" s="530"/>
      <c r="NKB107" s="531"/>
      <c r="NKC107" s="530"/>
      <c r="NKD107" s="531"/>
      <c r="NKE107" s="530"/>
      <c r="NKF107" s="531"/>
      <c r="NKG107" s="530"/>
      <c r="NKH107" s="531"/>
      <c r="NKI107" s="530"/>
      <c r="NKJ107" s="531"/>
      <c r="NKK107" s="530"/>
      <c r="NKL107" s="531"/>
      <c r="NKM107" s="530"/>
      <c r="NKN107" s="531"/>
      <c r="NKO107" s="530"/>
      <c r="NKP107" s="531"/>
      <c r="NKQ107" s="530"/>
      <c r="NKR107" s="531"/>
      <c r="NKS107" s="530"/>
      <c r="NKT107" s="531"/>
      <c r="NKU107" s="530"/>
      <c r="NKV107" s="531"/>
      <c r="NKW107" s="530"/>
      <c r="NKX107" s="531"/>
      <c r="NKY107" s="530"/>
      <c r="NKZ107" s="531"/>
      <c r="NLA107" s="530"/>
      <c r="NLB107" s="531"/>
      <c r="NLC107" s="530"/>
      <c r="NLD107" s="531"/>
      <c r="NLE107" s="530"/>
      <c r="NLF107" s="531"/>
      <c r="NLG107" s="530"/>
      <c r="NLH107" s="531"/>
      <c r="NLI107" s="530"/>
      <c r="NLJ107" s="531"/>
      <c r="NLK107" s="530"/>
      <c r="NLL107" s="531"/>
      <c r="NLM107" s="530"/>
      <c r="NLN107" s="531"/>
      <c r="NLO107" s="530"/>
      <c r="NLP107" s="531"/>
      <c r="NLQ107" s="530"/>
      <c r="NLR107" s="531"/>
      <c r="NLS107" s="530"/>
      <c r="NLT107" s="531"/>
      <c r="NLU107" s="530"/>
      <c r="NLV107" s="531"/>
      <c r="NLW107" s="530"/>
      <c r="NLX107" s="531"/>
      <c r="NLY107" s="530"/>
      <c r="NLZ107" s="531"/>
      <c r="NMA107" s="530"/>
      <c r="NMB107" s="531"/>
      <c r="NMC107" s="530"/>
      <c r="NMD107" s="531"/>
      <c r="NME107" s="530"/>
      <c r="NMF107" s="531"/>
      <c r="NMG107" s="530"/>
      <c r="NMH107" s="531"/>
      <c r="NMI107" s="530"/>
      <c r="NMJ107" s="531"/>
      <c r="NMK107" s="530"/>
      <c r="NML107" s="531"/>
      <c r="NMM107" s="530"/>
      <c r="NMN107" s="531"/>
      <c r="NMO107" s="530"/>
      <c r="NMP107" s="531"/>
      <c r="NMQ107" s="530"/>
      <c r="NMR107" s="531"/>
      <c r="NMS107" s="530"/>
      <c r="NMT107" s="531"/>
      <c r="NMU107" s="530"/>
      <c r="NMV107" s="531"/>
      <c r="NMW107" s="530"/>
      <c r="NMX107" s="531"/>
      <c r="NMY107" s="530"/>
      <c r="NMZ107" s="531"/>
      <c r="NNA107" s="530"/>
      <c r="NNB107" s="531"/>
      <c r="NNC107" s="530"/>
      <c r="NND107" s="531"/>
      <c r="NNE107" s="530"/>
      <c r="NNF107" s="531"/>
      <c r="NNG107" s="530"/>
      <c r="NNH107" s="531"/>
      <c r="NNI107" s="530"/>
      <c r="NNJ107" s="531"/>
      <c r="NNK107" s="530"/>
      <c r="NNL107" s="531"/>
      <c r="NNM107" s="530"/>
      <c r="NNN107" s="531"/>
      <c r="NNO107" s="530"/>
      <c r="NNP107" s="531"/>
      <c r="NNQ107" s="530"/>
      <c r="NNR107" s="531"/>
      <c r="NNS107" s="530"/>
      <c r="NNT107" s="531"/>
      <c r="NNU107" s="530"/>
      <c r="NNV107" s="531"/>
      <c r="NNW107" s="530"/>
      <c r="NNX107" s="531"/>
      <c r="NNY107" s="530"/>
      <c r="NNZ107" s="531"/>
      <c r="NOA107" s="530"/>
      <c r="NOB107" s="531"/>
      <c r="NOC107" s="530"/>
      <c r="NOD107" s="531"/>
      <c r="NOE107" s="530"/>
      <c r="NOF107" s="531"/>
      <c r="NOG107" s="530"/>
      <c r="NOH107" s="531"/>
      <c r="NOI107" s="530"/>
      <c r="NOJ107" s="531"/>
      <c r="NOK107" s="530"/>
      <c r="NOL107" s="531"/>
      <c r="NOM107" s="530"/>
      <c r="NON107" s="531"/>
      <c r="NOO107" s="530"/>
      <c r="NOP107" s="531"/>
      <c r="NOQ107" s="530"/>
      <c r="NOR107" s="531"/>
      <c r="NOS107" s="530"/>
      <c r="NOT107" s="531"/>
      <c r="NOU107" s="530"/>
      <c r="NOV107" s="531"/>
      <c r="NOW107" s="530"/>
      <c r="NOX107" s="531"/>
      <c r="NOY107" s="530"/>
      <c r="NOZ107" s="531"/>
      <c r="NPA107" s="530"/>
      <c r="NPB107" s="531"/>
      <c r="NPC107" s="530"/>
      <c r="NPD107" s="531"/>
      <c r="NPE107" s="530"/>
      <c r="NPF107" s="531"/>
      <c r="NPG107" s="530"/>
      <c r="NPH107" s="531"/>
      <c r="NPI107" s="530"/>
      <c r="NPJ107" s="531"/>
      <c r="NPK107" s="530"/>
      <c r="NPL107" s="531"/>
      <c r="NPM107" s="530"/>
      <c r="NPN107" s="531"/>
      <c r="NPO107" s="530"/>
      <c r="NPP107" s="531"/>
      <c r="NPQ107" s="530"/>
      <c r="NPR107" s="531"/>
      <c r="NPS107" s="530"/>
      <c r="NPT107" s="531"/>
      <c r="NPU107" s="530"/>
      <c r="NPV107" s="531"/>
      <c r="NPW107" s="530"/>
      <c r="NPX107" s="531"/>
      <c r="NPY107" s="530"/>
      <c r="NPZ107" s="531"/>
      <c r="NQA107" s="530"/>
      <c r="NQB107" s="531"/>
      <c r="NQC107" s="530"/>
      <c r="NQD107" s="531"/>
      <c r="NQE107" s="530"/>
      <c r="NQF107" s="531"/>
      <c r="NQG107" s="530"/>
      <c r="NQH107" s="531"/>
      <c r="NQI107" s="530"/>
      <c r="NQJ107" s="531"/>
      <c r="NQK107" s="530"/>
      <c r="NQL107" s="531"/>
      <c r="NQM107" s="530"/>
      <c r="NQN107" s="531"/>
      <c r="NQO107" s="530"/>
      <c r="NQP107" s="531"/>
      <c r="NQQ107" s="530"/>
      <c r="NQR107" s="531"/>
      <c r="NQS107" s="530"/>
      <c r="NQT107" s="531"/>
      <c r="NQU107" s="530"/>
      <c r="NQV107" s="531"/>
      <c r="NQW107" s="530"/>
      <c r="NQX107" s="531"/>
      <c r="NQY107" s="530"/>
      <c r="NQZ107" s="531"/>
      <c r="NRA107" s="530"/>
      <c r="NRB107" s="531"/>
      <c r="NRC107" s="530"/>
      <c r="NRD107" s="531"/>
      <c r="NRE107" s="530"/>
      <c r="NRF107" s="531"/>
      <c r="NRG107" s="530"/>
      <c r="NRH107" s="531"/>
      <c r="NRI107" s="530"/>
      <c r="NRJ107" s="531"/>
      <c r="NRK107" s="530"/>
      <c r="NRL107" s="531"/>
      <c r="NRM107" s="530"/>
      <c r="NRN107" s="531"/>
      <c r="NRO107" s="530"/>
      <c r="NRP107" s="531"/>
      <c r="NRQ107" s="530"/>
      <c r="NRR107" s="531"/>
      <c r="NRS107" s="530"/>
      <c r="NRT107" s="531"/>
      <c r="NRU107" s="530"/>
      <c r="NRV107" s="531"/>
      <c r="NRW107" s="530"/>
      <c r="NRX107" s="531"/>
      <c r="NRY107" s="530"/>
      <c r="NRZ107" s="531"/>
      <c r="NSA107" s="530"/>
      <c r="NSB107" s="531"/>
      <c r="NSC107" s="530"/>
      <c r="NSD107" s="531"/>
      <c r="NSE107" s="530"/>
      <c r="NSF107" s="531"/>
      <c r="NSG107" s="530"/>
      <c r="NSH107" s="531"/>
      <c r="NSI107" s="530"/>
      <c r="NSJ107" s="531"/>
      <c r="NSK107" s="530"/>
      <c r="NSL107" s="531"/>
      <c r="NSM107" s="530"/>
      <c r="NSN107" s="531"/>
      <c r="NSO107" s="530"/>
      <c r="NSP107" s="531"/>
      <c r="NSQ107" s="530"/>
      <c r="NSR107" s="531"/>
      <c r="NSS107" s="530"/>
      <c r="NST107" s="531"/>
      <c r="NSU107" s="530"/>
      <c r="NSV107" s="531"/>
      <c r="NSW107" s="530"/>
      <c r="NSX107" s="531"/>
      <c r="NSY107" s="530"/>
      <c r="NSZ107" s="531"/>
      <c r="NTA107" s="530"/>
      <c r="NTB107" s="531"/>
      <c r="NTC107" s="530"/>
      <c r="NTD107" s="531"/>
      <c r="NTE107" s="530"/>
      <c r="NTF107" s="531"/>
      <c r="NTG107" s="530"/>
      <c r="NTH107" s="531"/>
      <c r="NTI107" s="530"/>
      <c r="NTJ107" s="531"/>
      <c r="NTK107" s="530"/>
      <c r="NTL107" s="531"/>
      <c r="NTM107" s="530"/>
      <c r="NTN107" s="531"/>
      <c r="NTO107" s="530"/>
      <c r="NTP107" s="531"/>
      <c r="NTQ107" s="530"/>
      <c r="NTR107" s="531"/>
      <c r="NTS107" s="530"/>
      <c r="NTT107" s="531"/>
      <c r="NTU107" s="530"/>
      <c r="NTV107" s="531"/>
      <c r="NTW107" s="530"/>
      <c r="NTX107" s="531"/>
      <c r="NTY107" s="530"/>
      <c r="NTZ107" s="531"/>
      <c r="NUA107" s="530"/>
      <c r="NUB107" s="531"/>
      <c r="NUC107" s="530"/>
      <c r="NUD107" s="531"/>
      <c r="NUE107" s="530"/>
      <c r="NUF107" s="531"/>
      <c r="NUG107" s="530"/>
      <c r="NUH107" s="531"/>
      <c r="NUI107" s="530"/>
      <c r="NUJ107" s="531"/>
      <c r="NUK107" s="530"/>
      <c r="NUL107" s="531"/>
      <c r="NUM107" s="530"/>
      <c r="NUN107" s="531"/>
      <c r="NUO107" s="530"/>
      <c r="NUP107" s="531"/>
      <c r="NUQ107" s="530"/>
      <c r="NUR107" s="531"/>
      <c r="NUS107" s="530"/>
      <c r="NUT107" s="531"/>
      <c r="NUU107" s="530"/>
      <c r="NUV107" s="531"/>
      <c r="NUW107" s="530"/>
      <c r="NUX107" s="531"/>
      <c r="NUY107" s="530"/>
      <c r="NUZ107" s="531"/>
      <c r="NVA107" s="530"/>
      <c r="NVB107" s="531"/>
      <c r="NVC107" s="530"/>
      <c r="NVD107" s="531"/>
      <c r="NVE107" s="530"/>
      <c r="NVF107" s="531"/>
      <c r="NVG107" s="530"/>
      <c r="NVH107" s="531"/>
      <c r="NVI107" s="530"/>
      <c r="NVJ107" s="531"/>
      <c r="NVK107" s="530"/>
      <c r="NVL107" s="531"/>
      <c r="NVM107" s="530"/>
      <c r="NVN107" s="531"/>
      <c r="NVO107" s="530"/>
      <c r="NVP107" s="531"/>
      <c r="NVQ107" s="530"/>
      <c r="NVR107" s="531"/>
      <c r="NVS107" s="530"/>
      <c r="NVT107" s="531"/>
      <c r="NVU107" s="530"/>
      <c r="NVV107" s="531"/>
      <c r="NVW107" s="530"/>
      <c r="NVX107" s="531"/>
      <c r="NVY107" s="530"/>
      <c r="NVZ107" s="531"/>
      <c r="NWA107" s="530"/>
      <c r="NWB107" s="531"/>
      <c r="NWC107" s="530"/>
      <c r="NWD107" s="531"/>
      <c r="NWE107" s="530"/>
      <c r="NWF107" s="531"/>
      <c r="NWG107" s="530"/>
      <c r="NWH107" s="531"/>
      <c r="NWI107" s="530"/>
      <c r="NWJ107" s="531"/>
      <c r="NWK107" s="530"/>
      <c r="NWL107" s="531"/>
      <c r="NWM107" s="530"/>
      <c r="NWN107" s="531"/>
      <c r="NWO107" s="530"/>
      <c r="NWP107" s="531"/>
      <c r="NWQ107" s="530"/>
      <c r="NWR107" s="531"/>
      <c r="NWS107" s="530"/>
      <c r="NWT107" s="531"/>
      <c r="NWU107" s="530"/>
      <c r="NWV107" s="531"/>
      <c r="NWW107" s="530"/>
      <c r="NWX107" s="531"/>
      <c r="NWY107" s="530"/>
      <c r="NWZ107" s="531"/>
      <c r="NXA107" s="530"/>
      <c r="NXB107" s="531"/>
      <c r="NXC107" s="530"/>
      <c r="NXD107" s="531"/>
      <c r="NXE107" s="530"/>
      <c r="NXF107" s="531"/>
      <c r="NXG107" s="530"/>
      <c r="NXH107" s="531"/>
      <c r="NXI107" s="530"/>
      <c r="NXJ107" s="531"/>
      <c r="NXK107" s="530"/>
      <c r="NXL107" s="531"/>
      <c r="NXM107" s="530"/>
      <c r="NXN107" s="531"/>
      <c r="NXO107" s="530"/>
      <c r="NXP107" s="531"/>
      <c r="NXQ107" s="530"/>
      <c r="NXR107" s="531"/>
      <c r="NXS107" s="530"/>
      <c r="NXT107" s="531"/>
      <c r="NXU107" s="530"/>
      <c r="NXV107" s="531"/>
      <c r="NXW107" s="530"/>
      <c r="NXX107" s="531"/>
      <c r="NXY107" s="530"/>
      <c r="NXZ107" s="531"/>
      <c r="NYA107" s="530"/>
      <c r="NYB107" s="531"/>
      <c r="NYC107" s="530"/>
      <c r="NYD107" s="531"/>
      <c r="NYE107" s="530"/>
      <c r="NYF107" s="531"/>
      <c r="NYG107" s="530"/>
      <c r="NYH107" s="531"/>
      <c r="NYI107" s="530"/>
      <c r="NYJ107" s="531"/>
      <c r="NYK107" s="530"/>
      <c r="NYL107" s="531"/>
      <c r="NYM107" s="530"/>
      <c r="NYN107" s="531"/>
      <c r="NYO107" s="530"/>
      <c r="NYP107" s="531"/>
      <c r="NYQ107" s="530"/>
      <c r="NYR107" s="531"/>
      <c r="NYS107" s="530"/>
      <c r="NYT107" s="531"/>
      <c r="NYU107" s="530"/>
      <c r="NYV107" s="531"/>
      <c r="NYW107" s="530"/>
      <c r="NYX107" s="531"/>
      <c r="NYY107" s="530"/>
      <c r="NYZ107" s="531"/>
      <c r="NZA107" s="530"/>
      <c r="NZB107" s="531"/>
      <c r="NZC107" s="530"/>
      <c r="NZD107" s="531"/>
      <c r="NZE107" s="530"/>
      <c r="NZF107" s="531"/>
      <c r="NZG107" s="530"/>
      <c r="NZH107" s="531"/>
      <c r="NZI107" s="530"/>
      <c r="NZJ107" s="531"/>
      <c r="NZK107" s="530"/>
      <c r="NZL107" s="531"/>
      <c r="NZM107" s="530"/>
      <c r="NZN107" s="531"/>
      <c r="NZO107" s="530"/>
      <c r="NZP107" s="531"/>
      <c r="NZQ107" s="530"/>
      <c r="NZR107" s="531"/>
      <c r="NZS107" s="530"/>
      <c r="NZT107" s="531"/>
      <c r="NZU107" s="530"/>
      <c r="NZV107" s="531"/>
      <c r="NZW107" s="530"/>
      <c r="NZX107" s="531"/>
      <c r="NZY107" s="530"/>
      <c r="NZZ107" s="531"/>
      <c r="OAA107" s="530"/>
      <c r="OAB107" s="531"/>
      <c r="OAC107" s="530"/>
      <c r="OAD107" s="531"/>
      <c r="OAE107" s="530"/>
      <c r="OAF107" s="531"/>
      <c r="OAG107" s="530"/>
      <c r="OAH107" s="531"/>
      <c r="OAI107" s="530"/>
      <c r="OAJ107" s="531"/>
      <c r="OAK107" s="530"/>
      <c r="OAL107" s="531"/>
      <c r="OAM107" s="530"/>
      <c r="OAN107" s="531"/>
      <c r="OAO107" s="530"/>
      <c r="OAP107" s="531"/>
      <c r="OAQ107" s="530"/>
      <c r="OAR107" s="531"/>
      <c r="OAS107" s="530"/>
      <c r="OAT107" s="531"/>
      <c r="OAU107" s="530"/>
      <c r="OAV107" s="531"/>
      <c r="OAW107" s="530"/>
      <c r="OAX107" s="531"/>
      <c r="OAY107" s="530"/>
      <c r="OAZ107" s="531"/>
      <c r="OBA107" s="530"/>
      <c r="OBB107" s="531"/>
      <c r="OBC107" s="530"/>
      <c r="OBD107" s="531"/>
      <c r="OBE107" s="530"/>
      <c r="OBF107" s="531"/>
      <c r="OBG107" s="530"/>
      <c r="OBH107" s="531"/>
      <c r="OBI107" s="530"/>
      <c r="OBJ107" s="531"/>
      <c r="OBK107" s="530"/>
      <c r="OBL107" s="531"/>
      <c r="OBM107" s="530"/>
      <c r="OBN107" s="531"/>
      <c r="OBO107" s="530"/>
      <c r="OBP107" s="531"/>
      <c r="OBQ107" s="530"/>
      <c r="OBR107" s="531"/>
      <c r="OBS107" s="530"/>
      <c r="OBT107" s="531"/>
      <c r="OBU107" s="530"/>
      <c r="OBV107" s="531"/>
      <c r="OBW107" s="530"/>
      <c r="OBX107" s="531"/>
      <c r="OBY107" s="530"/>
      <c r="OBZ107" s="531"/>
      <c r="OCA107" s="530"/>
      <c r="OCB107" s="531"/>
      <c r="OCC107" s="530"/>
      <c r="OCD107" s="531"/>
      <c r="OCE107" s="530"/>
      <c r="OCF107" s="531"/>
      <c r="OCG107" s="530"/>
      <c r="OCH107" s="531"/>
      <c r="OCI107" s="530"/>
      <c r="OCJ107" s="531"/>
      <c r="OCK107" s="530"/>
      <c r="OCL107" s="531"/>
      <c r="OCM107" s="530"/>
      <c r="OCN107" s="531"/>
      <c r="OCO107" s="530"/>
      <c r="OCP107" s="531"/>
      <c r="OCQ107" s="530"/>
      <c r="OCR107" s="531"/>
      <c r="OCS107" s="530"/>
      <c r="OCT107" s="531"/>
      <c r="OCU107" s="530"/>
      <c r="OCV107" s="531"/>
      <c r="OCW107" s="530"/>
      <c r="OCX107" s="531"/>
      <c r="OCY107" s="530"/>
      <c r="OCZ107" s="531"/>
      <c r="ODA107" s="530"/>
      <c r="ODB107" s="531"/>
      <c r="ODC107" s="530"/>
      <c r="ODD107" s="531"/>
      <c r="ODE107" s="530"/>
      <c r="ODF107" s="531"/>
      <c r="ODG107" s="530"/>
      <c r="ODH107" s="531"/>
      <c r="ODI107" s="530"/>
      <c r="ODJ107" s="531"/>
      <c r="ODK107" s="530"/>
      <c r="ODL107" s="531"/>
      <c r="ODM107" s="530"/>
      <c r="ODN107" s="531"/>
      <c r="ODO107" s="530"/>
      <c r="ODP107" s="531"/>
      <c r="ODQ107" s="530"/>
      <c r="ODR107" s="531"/>
      <c r="ODS107" s="530"/>
      <c r="ODT107" s="531"/>
      <c r="ODU107" s="530"/>
      <c r="ODV107" s="531"/>
      <c r="ODW107" s="530"/>
      <c r="ODX107" s="531"/>
      <c r="ODY107" s="530"/>
      <c r="ODZ107" s="531"/>
      <c r="OEA107" s="530"/>
      <c r="OEB107" s="531"/>
      <c r="OEC107" s="530"/>
      <c r="OED107" s="531"/>
      <c r="OEE107" s="530"/>
      <c r="OEF107" s="531"/>
      <c r="OEG107" s="530"/>
      <c r="OEH107" s="531"/>
      <c r="OEI107" s="530"/>
      <c r="OEJ107" s="531"/>
      <c r="OEK107" s="530"/>
      <c r="OEL107" s="531"/>
      <c r="OEM107" s="530"/>
      <c r="OEN107" s="531"/>
      <c r="OEO107" s="530"/>
      <c r="OEP107" s="531"/>
      <c r="OEQ107" s="530"/>
      <c r="OER107" s="531"/>
      <c r="OES107" s="530"/>
      <c r="OET107" s="531"/>
      <c r="OEU107" s="530"/>
      <c r="OEV107" s="531"/>
      <c r="OEW107" s="530"/>
      <c r="OEX107" s="531"/>
      <c r="OEY107" s="530"/>
      <c r="OEZ107" s="531"/>
      <c r="OFA107" s="530"/>
      <c r="OFB107" s="531"/>
      <c r="OFC107" s="530"/>
      <c r="OFD107" s="531"/>
      <c r="OFE107" s="530"/>
      <c r="OFF107" s="531"/>
      <c r="OFG107" s="530"/>
      <c r="OFH107" s="531"/>
      <c r="OFI107" s="530"/>
      <c r="OFJ107" s="531"/>
      <c r="OFK107" s="530"/>
      <c r="OFL107" s="531"/>
      <c r="OFM107" s="530"/>
      <c r="OFN107" s="531"/>
      <c r="OFO107" s="530"/>
      <c r="OFP107" s="531"/>
      <c r="OFQ107" s="530"/>
      <c r="OFR107" s="531"/>
      <c r="OFS107" s="530"/>
      <c r="OFT107" s="531"/>
      <c r="OFU107" s="530"/>
      <c r="OFV107" s="531"/>
      <c r="OFW107" s="530"/>
      <c r="OFX107" s="531"/>
      <c r="OFY107" s="530"/>
      <c r="OFZ107" s="531"/>
      <c r="OGA107" s="530"/>
      <c r="OGB107" s="531"/>
      <c r="OGC107" s="530"/>
      <c r="OGD107" s="531"/>
      <c r="OGE107" s="530"/>
      <c r="OGF107" s="531"/>
      <c r="OGG107" s="530"/>
      <c r="OGH107" s="531"/>
      <c r="OGI107" s="530"/>
      <c r="OGJ107" s="531"/>
      <c r="OGK107" s="530"/>
      <c r="OGL107" s="531"/>
      <c r="OGM107" s="530"/>
      <c r="OGN107" s="531"/>
      <c r="OGO107" s="530"/>
      <c r="OGP107" s="531"/>
      <c r="OGQ107" s="530"/>
      <c r="OGR107" s="531"/>
      <c r="OGS107" s="530"/>
      <c r="OGT107" s="531"/>
      <c r="OGU107" s="530"/>
      <c r="OGV107" s="531"/>
      <c r="OGW107" s="530"/>
      <c r="OGX107" s="531"/>
      <c r="OGY107" s="530"/>
      <c r="OGZ107" s="531"/>
      <c r="OHA107" s="530"/>
      <c r="OHB107" s="531"/>
      <c r="OHC107" s="530"/>
      <c r="OHD107" s="531"/>
      <c r="OHE107" s="530"/>
      <c r="OHF107" s="531"/>
      <c r="OHG107" s="530"/>
      <c r="OHH107" s="531"/>
      <c r="OHI107" s="530"/>
      <c r="OHJ107" s="531"/>
      <c r="OHK107" s="530"/>
      <c r="OHL107" s="531"/>
      <c r="OHM107" s="530"/>
      <c r="OHN107" s="531"/>
      <c r="OHO107" s="530"/>
      <c r="OHP107" s="531"/>
      <c r="OHQ107" s="530"/>
      <c r="OHR107" s="531"/>
      <c r="OHS107" s="530"/>
      <c r="OHT107" s="531"/>
      <c r="OHU107" s="530"/>
      <c r="OHV107" s="531"/>
      <c r="OHW107" s="530"/>
      <c r="OHX107" s="531"/>
      <c r="OHY107" s="530"/>
      <c r="OHZ107" s="531"/>
      <c r="OIA107" s="530"/>
      <c r="OIB107" s="531"/>
      <c r="OIC107" s="530"/>
      <c r="OID107" s="531"/>
      <c r="OIE107" s="530"/>
      <c r="OIF107" s="531"/>
      <c r="OIG107" s="530"/>
      <c r="OIH107" s="531"/>
      <c r="OII107" s="530"/>
      <c r="OIJ107" s="531"/>
      <c r="OIK107" s="530"/>
      <c r="OIL107" s="531"/>
      <c r="OIM107" s="530"/>
      <c r="OIN107" s="531"/>
      <c r="OIO107" s="530"/>
      <c r="OIP107" s="531"/>
      <c r="OIQ107" s="530"/>
      <c r="OIR107" s="531"/>
      <c r="OIS107" s="530"/>
      <c r="OIT107" s="531"/>
      <c r="OIU107" s="530"/>
      <c r="OIV107" s="531"/>
      <c r="OIW107" s="530"/>
      <c r="OIX107" s="531"/>
      <c r="OIY107" s="530"/>
      <c r="OIZ107" s="531"/>
      <c r="OJA107" s="530"/>
      <c r="OJB107" s="531"/>
      <c r="OJC107" s="530"/>
      <c r="OJD107" s="531"/>
      <c r="OJE107" s="530"/>
      <c r="OJF107" s="531"/>
      <c r="OJG107" s="530"/>
      <c r="OJH107" s="531"/>
      <c r="OJI107" s="530"/>
      <c r="OJJ107" s="531"/>
      <c r="OJK107" s="530"/>
      <c r="OJL107" s="531"/>
      <c r="OJM107" s="530"/>
      <c r="OJN107" s="531"/>
      <c r="OJO107" s="530"/>
      <c r="OJP107" s="531"/>
      <c r="OJQ107" s="530"/>
      <c r="OJR107" s="531"/>
      <c r="OJS107" s="530"/>
      <c r="OJT107" s="531"/>
      <c r="OJU107" s="530"/>
      <c r="OJV107" s="531"/>
      <c r="OJW107" s="530"/>
      <c r="OJX107" s="531"/>
      <c r="OJY107" s="530"/>
      <c r="OJZ107" s="531"/>
      <c r="OKA107" s="530"/>
      <c r="OKB107" s="531"/>
      <c r="OKC107" s="530"/>
      <c r="OKD107" s="531"/>
      <c r="OKE107" s="530"/>
      <c r="OKF107" s="531"/>
      <c r="OKG107" s="530"/>
      <c r="OKH107" s="531"/>
      <c r="OKI107" s="530"/>
      <c r="OKJ107" s="531"/>
      <c r="OKK107" s="530"/>
      <c r="OKL107" s="531"/>
      <c r="OKM107" s="530"/>
      <c r="OKN107" s="531"/>
      <c r="OKO107" s="530"/>
      <c r="OKP107" s="531"/>
      <c r="OKQ107" s="530"/>
      <c r="OKR107" s="531"/>
      <c r="OKS107" s="530"/>
      <c r="OKT107" s="531"/>
      <c r="OKU107" s="530"/>
      <c r="OKV107" s="531"/>
      <c r="OKW107" s="530"/>
      <c r="OKX107" s="531"/>
      <c r="OKY107" s="530"/>
      <c r="OKZ107" s="531"/>
      <c r="OLA107" s="530"/>
      <c r="OLB107" s="531"/>
      <c r="OLC107" s="530"/>
      <c r="OLD107" s="531"/>
      <c r="OLE107" s="530"/>
      <c r="OLF107" s="531"/>
      <c r="OLG107" s="530"/>
      <c r="OLH107" s="531"/>
      <c r="OLI107" s="530"/>
      <c r="OLJ107" s="531"/>
      <c r="OLK107" s="530"/>
      <c r="OLL107" s="531"/>
      <c r="OLM107" s="530"/>
      <c r="OLN107" s="531"/>
      <c r="OLO107" s="530"/>
      <c r="OLP107" s="531"/>
      <c r="OLQ107" s="530"/>
      <c r="OLR107" s="531"/>
      <c r="OLS107" s="530"/>
      <c r="OLT107" s="531"/>
      <c r="OLU107" s="530"/>
      <c r="OLV107" s="531"/>
      <c r="OLW107" s="530"/>
      <c r="OLX107" s="531"/>
      <c r="OLY107" s="530"/>
      <c r="OLZ107" s="531"/>
      <c r="OMA107" s="530"/>
      <c r="OMB107" s="531"/>
      <c r="OMC107" s="530"/>
      <c r="OMD107" s="531"/>
      <c r="OME107" s="530"/>
      <c r="OMF107" s="531"/>
      <c r="OMG107" s="530"/>
      <c r="OMH107" s="531"/>
      <c r="OMI107" s="530"/>
      <c r="OMJ107" s="531"/>
      <c r="OMK107" s="530"/>
      <c r="OML107" s="531"/>
      <c r="OMM107" s="530"/>
      <c r="OMN107" s="531"/>
      <c r="OMO107" s="530"/>
      <c r="OMP107" s="531"/>
      <c r="OMQ107" s="530"/>
      <c r="OMR107" s="531"/>
      <c r="OMS107" s="530"/>
      <c r="OMT107" s="531"/>
      <c r="OMU107" s="530"/>
      <c r="OMV107" s="531"/>
      <c r="OMW107" s="530"/>
      <c r="OMX107" s="531"/>
      <c r="OMY107" s="530"/>
      <c r="OMZ107" s="531"/>
      <c r="ONA107" s="530"/>
      <c r="ONB107" s="531"/>
      <c r="ONC107" s="530"/>
      <c r="OND107" s="531"/>
      <c r="ONE107" s="530"/>
      <c r="ONF107" s="531"/>
      <c r="ONG107" s="530"/>
      <c r="ONH107" s="531"/>
      <c r="ONI107" s="530"/>
      <c r="ONJ107" s="531"/>
      <c r="ONK107" s="530"/>
      <c r="ONL107" s="531"/>
      <c r="ONM107" s="530"/>
      <c r="ONN107" s="531"/>
      <c r="ONO107" s="530"/>
      <c r="ONP107" s="531"/>
      <c r="ONQ107" s="530"/>
      <c r="ONR107" s="531"/>
      <c r="ONS107" s="530"/>
      <c r="ONT107" s="531"/>
      <c r="ONU107" s="530"/>
      <c r="ONV107" s="531"/>
      <c r="ONW107" s="530"/>
      <c r="ONX107" s="531"/>
      <c r="ONY107" s="530"/>
      <c r="ONZ107" s="531"/>
      <c r="OOA107" s="530"/>
      <c r="OOB107" s="531"/>
      <c r="OOC107" s="530"/>
      <c r="OOD107" s="531"/>
      <c r="OOE107" s="530"/>
      <c r="OOF107" s="531"/>
      <c r="OOG107" s="530"/>
      <c r="OOH107" s="531"/>
      <c r="OOI107" s="530"/>
      <c r="OOJ107" s="531"/>
      <c r="OOK107" s="530"/>
      <c r="OOL107" s="531"/>
      <c r="OOM107" s="530"/>
      <c r="OON107" s="531"/>
      <c r="OOO107" s="530"/>
      <c r="OOP107" s="531"/>
      <c r="OOQ107" s="530"/>
      <c r="OOR107" s="531"/>
      <c r="OOS107" s="530"/>
      <c r="OOT107" s="531"/>
      <c r="OOU107" s="530"/>
      <c r="OOV107" s="531"/>
      <c r="OOW107" s="530"/>
      <c r="OOX107" s="531"/>
      <c r="OOY107" s="530"/>
      <c r="OOZ107" s="531"/>
      <c r="OPA107" s="530"/>
      <c r="OPB107" s="531"/>
      <c r="OPC107" s="530"/>
      <c r="OPD107" s="531"/>
      <c r="OPE107" s="530"/>
      <c r="OPF107" s="531"/>
      <c r="OPG107" s="530"/>
      <c r="OPH107" s="531"/>
      <c r="OPI107" s="530"/>
      <c r="OPJ107" s="531"/>
      <c r="OPK107" s="530"/>
      <c r="OPL107" s="531"/>
      <c r="OPM107" s="530"/>
      <c r="OPN107" s="531"/>
      <c r="OPO107" s="530"/>
      <c r="OPP107" s="531"/>
      <c r="OPQ107" s="530"/>
      <c r="OPR107" s="531"/>
      <c r="OPS107" s="530"/>
      <c r="OPT107" s="531"/>
      <c r="OPU107" s="530"/>
      <c r="OPV107" s="531"/>
      <c r="OPW107" s="530"/>
      <c r="OPX107" s="531"/>
      <c r="OPY107" s="530"/>
      <c r="OPZ107" s="531"/>
      <c r="OQA107" s="530"/>
      <c r="OQB107" s="531"/>
      <c r="OQC107" s="530"/>
      <c r="OQD107" s="531"/>
      <c r="OQE107" s="530"/>
      <c r="OQF107" s="531"/>
      <c r="OQG107" s="530"/>
      <c r="OQH107" s="531"/>
      <c r="OQI107" s="530"/>
      <c r="OQJ107" s="531"/>
      <c r="OQK107" s="530"/>
      <c r="OQL107" s="531"/>
      <c r="OQM107" s="530"/>
      <c r="OQN107" s="531"/>
      <c r="OQO107" s="530"/>
      <c r="OQP107" s="531"/>
      <c r="OQQ107" s="530"/>
      <c r="OQR107" s="531"/>
      <c r="OQS107" s="530"/>
      <c r="OQT107" s="531"/>
      <c r="OQU107" s="530"/>
      <c r="OQV107" s="531"/>
      <c r="OQW107" s="530"/>
      <c r="OQX107" s="531"/>
      <c r="OQY107" s="530"/>
      <c r="OQZ107" s="531"/>
      <c r="ORA107" s="530"/>
      <c r="ORB107" s="531"/>
      <c r="ORC107" s="530"/>
      <c r="ORD107" s="531"/>
      <c r="ORE107" s="530"/>
      <c r="ORF107" s="531"/>
      <c r="ORG107" s="530"/>
      <c r="ORH107" s="531"/>
      <c r="ORI107" s="530"/>
      <c r="ORJ107" s="531"/>
      <c r="ORK107" s="530"/>
      <c r="ORL107" s="531"/>
      <c r="ORM107" s="530"/>
      <c r="ORN107" s="531"/>
      <c r="ORO107" s="530"/>
      <c r="ORP107" s="531"/>
      <c r="ORQ107" s="530"/>
      <c r="ORR107" s="531"/>
      <c r="ORS107" s="530"/>
      <c r="ORT107" s="531"/>
      <c r="ORU107" s="530"/>
      <c r="ORV107" s="531"/>
      <c r="ORW107" s="530"/>
      <c r="ORX107" s="531"/>
      <c r="ORY107" s="530"/>
      <c r="ORZ107" s="531"/>
      <c r="OSA107" s="530"/>
      <c r="OSB107" s="531"/>
      <c r="OSC107" s="530"/>
      <c r="OSD107" s="531"/>
      <c r="OSE107" s="530"/>
      <c r="OSF107" s="531"/>
      <c r="OSG107" s="530"/>
      <c r="OSH107" s="531"/>
      <c r="OSI107" s="530"/>
      <c r="OSJ107" s="531"/>
      <c r="OSK107" s="530"/>
      <c r="OSL107" s="531"/>
      <c r="OSM107" s="530"/>
      <c r="OSN107" s="531"/>
      <c r="OSO107" s="530"/>
      <c r="OSP107" s="531"/>
      <c r="OSQ107" s="530"/>
      <c r="OSR107" s="531"/>
      <c r="OSS107" s="530"/>
      <c r="OST107" s="531"/>
      <c r="OSU107" s="530"/>
      <c r="OSV107" s="531"/>
      <c r="OSW107" s="530"/>
      <c r="OSX107" s="531"/>
      <c r="OSY107" s="530"/>
      <c r="OSZ107" s="531"/>
      <c r="OTA107" s="530"/>
      <c r="OTB107" s="531"/>
      <c r="OTC107" s="530"/>
      <c r="OTD107" s="531"/>
      <c r="OTE107" s="530"/>
      <c r="OTF107" s="531"/>
      <c r="OTG107" s="530"/>
      <c r="OTH107" s="531"/>
      <c r="OTI107" s="530"/>
      <c r="OTJ107" s="531"/>
      <c r="OTK107" s="530"/>
      <c r="OTL107" s="531"/>
      <c r="OTM107" s="530"/>
      <c r="OTN107" s="531"/>
      <c r="OTO107" s="530"/>
      <c r="OTP107" s="531"/>
      <c r="OTQ107" s="530"/>
      <c r="OTR107" s="531"/>
      <c r="OTS107" s="530"/>
      <c r="OTT107" s="531"/>
      <c r="OTU107" s="530"/>
      <c r="OTV107" s="531"/>
      <c r="OTW107" s="530"/>
      <c r="OTX107" s="531"/>
      <c r="OTY107" s="530"/>
      <c r="OTZ107" s="531"/>
      <c r="OUA107" s="530"/>
      <c r="OUB107" s="531"/>
      <c r="OUC107" s="530"/>
      <c r="OUD107" s="531"/>
      <c r="OUE107" s="530"/>
      <c r="OUF107" s="531"/>
      <c r="OUG107" s="530"/>
      <c r="OUH107" s="531"/>
      <c r="OUI107" s="530"/>
      <c r="OUJ107" s="531"/>
      <c r="OUK107" s="530"/>
      <c r="OUL107" s="531"/>
      <c r="OUM107" s="530"/>
      <c r="OUN107" s="531"/>
      <c r="OUO107" s="530"/>
      <c r="OUP107" s="531"/>
      <c r="OUQ107" s="530"/>
      <c r="OUR107" s="531"/>
      <c r="OUS107" s="530"/>
      <c r="OUT107" s="531"/>
      <c r="OUU107" s="530"/>
      <c r="OUV107" s="531"/>
      <c r="OUW107" s="530"/>
      <c r="OUX107" s="531"/>
      <c r="OUY107" s="530"/>
      <c r="OUZ107" s="531"/>
      <c r="OVA107" s="530"/>
      <c r="OVB107" s="531"/>
      <c r="OVC107" s="530"/>
      <c r="OVD107" s="531"/>
      <c r="OVE107" s="530"/>
      <c r="OVF107" s="531"/>
      <c r="OVG107" s="530"/>
      <c r="OVH107" s="531"/>
      <c r="OVI107" s="530"/>
      <c r="OVJ107" s="531"/>
      <c r="OVK107" s="530"/>
      <c r="OVL107" s="531"/>
      <c r="OVM107" s="530"/>
      <c r="OVN107" s="531"/>
      <c r="OVO107" s="530"/>
      <c r="OVP107" s="531"/>
      <c r="OVQ107" s="530"/>
      <c r="OVR107" s="531"/>
      <c r="OVS107" s="530"/>
      <c r="OVT107" s="531"/>
      <c r="OVU107" s="530"/>
      <c r="OVV107" s="531"/>
      <c r="OVW107" s="530"/>
      <c r="OVX107" s="531"/>
      <c r="OVY107" s="530"/>
      <c r="OVZ107" s="531"/>
      <c r="OWA107" s="530"/>
      <c r="OWB107" s="531"/>
      <c r="OWC107" s="530"/>
      <c r="OWD107" s="531"/>
      <c r="OWE107" s="530"/>
      <c r="OWF107" s="531"/>
      <c r="OWG107" s="530"/>
      <c r="OWH107" s="531"/>
      <c r="OWI107" s="530"/>
      <c r="OWJ107" s="531"/>
      <c r="OWK107" s="530"/>
      <c r="OWL107" s="531"/>
      <c r="OWM107" s="530"/>
      <c r="OWN107" s="531"/>
      <c r="OWO107" s="530"/>
      <c r="OWP107" s="531"/>
      <c r="OWQ107" s="530"/>
      <c r="OWR107" s="531"/>
      <c r="OWS107" s="530"/>
      <c r="OWT107" s="531"/>
      <c r="OWU107" s="530"/>
      <c r="OWV107" s="531"/>
      <c r="OWW107" s="530"/>
      <c r="OWX107" s="531"/>
      <c r="OWY107" s="530"/>
      <c r="OWZ107" s="531"/>
      <c r="OXA107" s="530"/>
      <c r="OXB107" s="531"/>
      <c r="OXC107" s="530"/>
      <c r="OXD107" s="531"/>
      <c r="OXE107" s="530"/>
      <c r="OXF107" s="531"/>
      <c r="OXG107" s="530"/>
      <c r="OXH107" s="531"/>
      <c r="OXI107" s="530"/>
      <c r="OXJ107" s="531"/>
      <c r="OXK107" s="530"/>
      <c r="OXL107" s="531"/>
      <c r="OXM107" s="530"/>
      <c r="OXN107" s="531"/>
      <c r="OXO107" s="530"/>
      <c r="OXP107" s="531"/>
      <c r="OXQ107" s="530"/>
      <c r="OXR107" s="531"/>
      <c r="OXS107" s="530"/>
      <c r="OXT107" s="531"/>
      <c r="OXU107" s="530"/>
      <c r="OXV107" s="531"/>
      <c r="OXW107" s="530"/>
      <c r="OXX107" s="531"/>
      <c r="OXY107" s="530"/>
      <c r="OXZ107" s="531"/>
      <c r="OYA107" s="530"/>
      <c r="OYB107" s="531"/>
      <c r="OYC107" s="530"/>
      <c r="OYD107" s="531"/>
      <c r="OYE107" s="530"/>
      <c r="OYF107" s="531"/>
      <c r="OYG107" s="530"/>
      <c r="OYH107" s="531"/>
      <c r="OYI107" s="530"/>
      <c r="OYJ107" s="531"/>
      <c r="OYK107" s="530"/>
      <c r="OYL107" s="531"/>
      <c r="OYM107" s="530"/>
      <c r="OYN107" s="531"/>
      <c r="OYO107" s="530"/>
      <c r="OYP107" s="531"/>
      <c r="OYQ107" s="530"/>
      <c r="OYR107" s="531"/>
      <c r="OYS107" s="530"/>
      <c r="OYT107" s="531"/>
      <c r="OYU107" s="530"/>
      <c r="OYV107" s="531"/>
      <c r="OYW107" s="530"/>
      <c r="OYX107" s="531"/>
      <c r="OYY107" s="530"/>
      <c r="OYZ107" s="531"/>
      <c r="OZA107" s="530"/>
      <c r="OZB107" s="531"/>
      <c r="OZC107" s="530"/>
      <c r="OZD107" s="531"/>
      <c r="OZE107" s="530"/>
      <c r="OZF107" s="531"/>
      <c r="OZG107" s="530"/>
      <c r="OZH107" s="531"/>
      <c r="OZI107" s="530"/>
      <c r="OZJ107" s="531"/>
      <c r="OZK107" s="530"/>
      <c r="OZL107" s="531"/>
      <c r="OZM107" s="530"/>
      <c r="OZN107" s="531"/>
      <c r="OZO107" s="530"/>
      <c r="OZP107" s="531"/>
      <c r="OZQ107" s="530"/>
      <c r="OZR107" s="531"/>
      <c r="OZS107" s="530"/>
      <c r="OZT107" s="531"/>
      <c r="OZU107" s="530"/>
      <c r="OZV107" s="531"/>
      <c r="OZW107" s="530"/>
      <c r="OZX107" s="531"/>
      <c r="OZY107" s="530"/>
      <c r="OZZ107" s="531"/>
      <c r="PAA107" s="530"/>
      <c r="PAB107" s="531"/>
      <c r="PAC107" s="530"/>
      <c r="PAD107" s="531"/>
      <c r="PAE107" s="530"/>
      <c r="PAF107" s="531"/>
      <c r="PAG107" s="530"/>
      <c r="PAH107" s="531"/>
      <c r="PAI107" s="530"/>
      <c r="PAJ107" s="531"/>
      <c r="PAK107" s="530"/>
      <c r="PAL107" s="531"/>
      <c r="PAM107" s="530"/>
      <c r="PAN107" s="531"/>
      <c r="PAO107" s="530"/>
      <c r="PAP107" s="531"/>
      <c r="PAQ107" s="530"/>
      <c r="PAR107" s="531"/>
      <c r="PAS107" s="530"/>
      <c r="PAT107" s="531"/>
      <c r="PAU107" s="530"/>
      <c r="PAV107" s="531"/>
      <c r="PAW107" s="530"/>
      <c r="PAX107" s="531"/>
      <c r="PAY107" s="530"/>
      <c r="PAZ107" s="531"/>
      <c r="PBA107" s="530"/>
      <c r="PBB107" s="531"/>
      <c r="PBC107" s="530"/>
      <c r="PBD107" s="531"/>
      <c r="PBE107" s="530"/>
      <c r="PBF107" s="531"/>
      <c r="PBG107" s="530"/>
      <c r="PBH107" s="531"/>
      <c r="PBI107" s="530"/>
      <c r="PBJ107" s="531"/>
      <c r="PBK107" s="530"/>
      <c r="PBL107" s="531"/>
      <c r="PBM107" s="530"/>
      <c r="PBN107" s="531"/>
      <c r="PBO107" s="530"/>
      <c r="PBP107" s="531"/>
      <c r="PBQ107" s="530"/>
      <c r="PBR107" s="531"/>
      <c r="PBS107" s="530"/>
      <c r="PBT107" s="531"/>
      <c r="PBU107" s="530"/>
      <c r="PBV107" s="531"/>
      <c r="PBW107" s="530"/>
      <c r="PBX107" s="531"/>
      <c r="PBY107" s="530"/>
      <c r="PBZ107" s="531"/>
      <c r="PCA107" s="530"/>
      <c r="PCB107" s="531"/>
      <c r="PCC107" s="530"/>
      <c r="PCD107" s="531"/>
      <c r="PCE107" s="530"/>
      <c r="PCF107" s="531"/>
      <c r="PCG107" s="530"/>
      <c r="PCH107" s="531"/>
      <c r="PCI107" s="530"/>
      <c r="PCJ107" s="531"/>
      <c r="PCK107" s="530"/>
      <c r="PCL107" s="531"/>
      <c r="PCM107" s="530"/>
      <c r="PCN107" s="531"/>
      <c r="PCO107" s="530"/>
      <c r="PCP107" s="531"/>
      <c r="PCQ107" s="530"/>
      <c r="PCR107" s="531"/>
      <c r="PCS107" s="530"/>
      <c r="PCT107" s="531"/>
      <c r="PCU107" s="530"/>
      <c r="PCV107" s="531"/>
      <c r="PCW107" s="530"/>
      <c r="PCX107" s="531"/>
      <c r="PCY107" s="530"/>
      <c r="PCZ107" s="531"/>
      <c r="PDA107" s="530"/>
      <c r="PDB107" s="531"/>
      <c r="PDC107" s="530"/>
      <c r="PDD107" s="531"/>
      <c r="PDE107" s="530"/>
      <c r="PDF107" s="531"/>
      <c r="PDG107" s="530"/>
      <c r="PDH107" s="531"/>
      <c r="PDI107" s="530"/>
      <c r="PDJ107" s="531"/>
      <c r="PDK107" s="530"/>
      <c r="PDL107" s="531"/>
      <c r="PDM107" s="530"/>
      <c r="PDN107" s="531"/>
      <c r="PDO107" s="530"/>
      <c r="PDP107" s="531"/>
      <c r="PDQ107" s="530"/>
      <c r="PDR107" s="531"/>
      <c r="PDS107" s="530"/>
      <c r="PDT107" s="531"/>
      <c r="PDU107" s="530"/>
      <c r="PDV107" s="531"/>
      <c r="PDW107" s="530"/>
      <c r="PDX107" s="531"/>
      <c r="PDY107" s="530"/>
      <c r="PDZ107" s="531"/>
      <c r="PEA107" s="530"/>
      <c r="PEB107" s="531"/>
      <c r="PEC107" s="530"/>
      <c r="PED107" s="531"/>
      <c r="PEE107" s="530"/>
      <c r="PEF107" s="531"/>
      <c r="PEG107" s="530"/>
      <c r="PEH107" s="531"/>
      <c r="PEI107" s="530"/>
      <c r="PEJ107" s="531"/>
      <c r="PEK107" s="530"/>
      <c r="PEL107" s="531"/>
      <c r="PEM107" s="530"/>
      <c r="PEN107" s="531"/>
      <c r="PEO107" s="530"/>
      <c r="PEP107" s="531"/>
      <c r="PEQ107" s="530"/>
      <c r="PER107" s="531"/>
      <c r="PES107" s="530"/>
      <c r="PET107" s="531"/>
      <c r="PEU107" s="530"/>
      <c r="PEV107" s="531"/>
      <c r="PEW107" s="530"/>
      <c r="PEX107" s="531"/>
      <c r="PEY107" s="530"/>
      <c r="PEZ107" s="531"/>
      <c r="PFA107" s="530"/>
      <c r="PFB107" s="531"/>
      <c r="PFC107" s="530"/>
      <c r="PFD107" s="531"/>
      <c r="PFE107" s="530"/>
      <c r="PFF107" s="531"/>
      <c r="PFG107" s="530"/>
      <c r="PFH107" s="531"/>
      <c r="PFI107" s="530"/>
      <c r="PFJ107" s="531"/>
      <c r="PFK107" s="530"/>
      <c r="PFL107" s="531"/>
      <c r="PFM107" s="530"/>
      <c r="PFN107" s="531"/>
      <c r="PFO107" s="530"/>
      <c r="PFP107" s="531"/>
      <c r="PFQ107" s="530"/>
      <c r="PFR107" s="531"/>
      <c r="PFS107" s="530"/>
      <c r="PFT107" s="531"/>
      <c r="PFU107" s="530"/>
      <c r="PFV107" s="531"/>
      <c r="PFW107" s="530"/>
      <c r="PFX107" s="531"/>
      <c r="PFY107" s="530"/>
      <c r="PFZ107" s="531"/>
      <c r="PGA107" s="530"/>
      <c r="PGB107" s="531"/>
      <c r="PGC107" s="530"/>
      <c r="PGD107" s="531"/>
      <c r="PGE107" s="530"/>
      <c r="PGF107" s="531"/>
      <c r="PGG107" s="530"/>
      <c r="PGH107" s="531"/>
      <c r="PGI107" s="530"/>
      <c r="PGJ107" s="531"/>
      <c r="PGK107" s="530"/>
      <c r="PGL107" s="531"/>
      <c r="PGM107" s="530"/>
      <c r="PGN107" s="531"/>
      <c r="PGO107" s="530"/>
      <c r="PGP107" s="531"/>
      <c r="PGQ107" s="530"/>
      <c r="PGR107" s="531"/>
      <c r="PGS107" s="530"/>
      <c r="PGT107" s="531"/>
      <c r="PGU107" s="530"/>
      <c r="PGV107" s="531"/>
      <c r="PGW107" s="530"/>
      <c r="PGX107" s="531"/>
      <c r="PGY107" s="530"/>
      <c r="PGZ107" s="531"/>
      <c r="PHA107" s="530"/>
      <c r="PHB107" s="531"/>
      <c r="PHC107" s="530"/>
      <c r="PHD107" s="531"/>
      <c r="PHE107" s="530"/>
      <c r="PHF107" s="531"/>
      <c r="PHG107" s="530"/>
      <c r="PHH107" s="531"/>
      <c r="PHI107" s="530"/>
      <c r="PHJ107" s="531"/>
      <c r="PHK107" s="530"/>
      <c r="PHL107" s="531"/>
      <c r="PHM107" s="530"/>
      <c r="PHN107" s="531"/>
      <c r="PHO107" s="530"/>
      <c r="PHP107" s="531"/>
      <c r="PHQ107" s="530"/>
      <c r="PHR107" s="531"/>
      <c r="PHS107" s="530"/>
      <c r="PHT107" s="531"/>
      <c r="PHU107" s="530"/>
      <c r="PHV107" s="531"/>
      <c r="PHW107" s="530"/>
      <c r="PHX107" s="531"/>
      <c r="PHY107" s="530"/>
      <c r="PHZ107" s="531"/>
      <c r="PIA107" s="530"/>
      <c r="PIB107" s="531"/>
      <c r="PIC107" s="530"/>
      <c r="PID107" s="531"/>
      <c r="PIE107" s="530"/>
      <c r="PIF107" s="531"/>
      <c r="PIG107" s="530"/>
      <c r="PIH107" s="531"/>
      <c r="PII107" s="530"/>
      <c r="PIJ107" s="531"/>
      <c r="PIK107" s="530"/>
      <c r="PIL107" s="531"/>
      <c r="PIM107" s="530"/>
      <c r="PIN107" s="531"/>
      <c r="PIO107" s="530"/>
      <c r="PIP107" s="531"/>
      <c r="PIQ107" s="530"/>
      <c r="PIR107" s="531"/>
      <c r="PIS107" s="530"/>
      <c r="PIT107" s="531"/>
      <c r="PIU107" s="530"/>
      <c r="PIV107" s="531"/>
      <c r="PIW107" s="530"/>
      <c r="PIX107" s="531"/>
      <c r="PIY107" s="530"/>
      <c r="PIZ107" s="531"/>
      <c r="PJA107" s="530"/>
      <c r="PJB107" s="531"/>
      <c r="PJC107" s="530"/>
      <c r="PJD107" s="531"/>
      <c r="PJE107" s="530"/>
      <c r="PJF107" s="531"/>
      <c r="PJG107" s="530"/>
      <c r="PJH107" s="531"/>
      <c r="PJI107" s="530"/>
      <c r="PJJ107" s="531"/>
      <c r="PJK107" s="530"/>
      <c r="PJL107" s="531"/>
      <c r="PJM107" s="530"/>
      <c r="PJN107" s="531"/>
      <c r="PJO107" s="530"/>
      <c r="PJP107" s="531"/>
      <c r="PJQ107" s="530"/>
      <c r="PJR107" s="531"/>
      <c r="PJS107" s="530"/>
      <c r="PJT107" s="531"/>
      <c r="PJU107" s="530"/>
      <c r="PJV107" s="531"/>
      <c r="PJW107" s="530"/>
      <c r="PJX107" s="531"/>
      <c r="PJY107" s="530"/>
      <c r="PJZ107" s="531"/>
      <c r="PKA107" s="530"/>
      <c r="PKB107" s="531"/>
      <c r="PKC107" s="530"/>
      <c r="PKD107" s="531"/>
      <c r="PKE107" s="530"/>
      <c r="PKF107" s="531"/>
      <c r="PKG107" s="530"/>
      <c r="PKH107" s="531"/>
      <c r="PKI107" s="530"/>
      <c r="PKJ107" s="531"/>
      <c r="PKK107" s="530"/>
      <c r="PKL107" s="531"/>
      <c r="PKM107" s="530"/>
      <c r="PKN107" s="531"/>
      <c r="PKO107" s="530"/>
      <c r="PKP107" s="531"/>
      <c r="PKQ107" s="530"/>
      <c r="PKR107" s="531"/>
      <c r="PKS107" s="530"/>
      <c r="PKT107" s="531"/>
      <c r="PKU107" s="530"/>
      <c r="PKV107" s="531"/>
      <c r="PKW107" s="530"/>
      <c r="PKX107" s="531"/>
      <c r="PKY107" s="530"/>
      <c r="PKZ107" s="531"/>
      <c r="PLA107" s="530"/>
      <c r="PLB107" s="531"/>
      <c r="PLC107" s="530"/>
      <c r="PLD107" s="531"/>
      <c r="PLE107" s="530"/>
      <c r="PLF107" s="531"/>
      <c r="PLG107" s="530"/>
      <c r="PLH107" s="531"/>
      <c r="PLI107" s="530"/>
      <c r="PLJ107" s="531"/>
      <c r="PLK107" s="530"/>
      <c r="PLL107" s="531"/>
      <c r="PLM107" s="530"/>
      <c r="PLN107" s="531"/>
      <c r="PLO107" s="530"/>
      <c r="PLP107" s="531"/>
      <c r="PLQ107" s="530"/>
      <c r="PLR107" s="531"/>
      <c r="PLS107" s="530"/>
      <c r="PLT107" s="531"/>
      <c r="PLU107" s="530"/>
      <c r="PLV107" s="531"/>
      <c r="PLW107" s="530"/>
      <c r="PLX107" s="531"/>
      <c r="PLY107" s="530"/>
      <c r="PLZ107" s="531"/>
      <c r="PMA107" s="530"/>
      <c r="PMB107" s="531"/>
      <c r="PMC107" s="530"/>
      <c r="PMD107" s="531"/>
      <c r="PME107" s="530"/>
      <c r="PMF107" s="531"/>
      <c r="PMG107" s="530"/>
      <c r="PMH107" s="531"/>
      <c r="PMI107" s="530"/>
      <c r="PMJ107" s="531"/>
      <c r="PMK107" s="530"/>
      <c r="PML107" s="531"/>
      <c r="PMM107" s="530"/>
      <c r="PMN107" s="531"/>
      <c r="PMO107" s="530"/>
      <c r="PMP107" s="531"/>
      <c r="PMQ107" s="530"/>
      <c r="PMR107" s="531"/>
      <c r="PMS107" s="530"/>
      <c r="PMT107" s="531"/>
      <c r="PMU107" s="530"/>
      <c r="PMV107" s="531"/>
      <c r="PMW107" s="530"/>
      <c r="PMX107" s="531"/>
      <c r="PMY107" s="530"/>
      <c r="PMZ107" s="531"/>
      <c r="PNA107" s="530"/>
      <c r="PNB107" s="531"/>
      <c r="PNC107" s="530"/>
      <c r="PND107" s="531"/>
      <c r="PNE107" s="530"/>
      <c r="PNF107" s="531"/>
      <c r="PNG107" s="530"/>
      <c r="PNH107" s="531"/>
      <c r="PNI107" s="530"/>
      <c r="PNJ107" s="531"/>
      <c r="PNK107" s="530"/>
      <c r="PNL107" s="531"/>
      <c r="PNM107" s="530"/>
      <c r="PNN107" s="531"/>
      <c r="PNO107" s="530"/>
      <c r="PNP107" s="531"/>
      <c r="PNQ107" s="530"/>
      <c r="PNR107" s="531"/>
      <c r="PNS107" s="530"/>
      <c r="PNT107" s="531"/>
      <c r="PNU107" s="530"/>
      <c r="PNV107" s="531"/>
      <c r="PNW107" s="530"/>
      <c r="PNX107" s="531"/>
      <c r="PNY107" s="530"/>
      <c r="PNZ107" s="531"/>
      <c r="POA107" s="530"/>
      <c r="POB107" s="531"/>
      <c r="POC107" s="530"/>
      <c r="POD107" s="531"/>
      <c r="POE107" s="530"/>
      <c r="POF107" s="531"/>
      <c r="POG107" s="530"/>
      <c r="POH107" s="531"/>
      <c r="POI107" s="530"/>
      <c r="POJ107" s="531"/>
      <c r="POK107" s="530"/>
      <c r="POL107" s="531"/>
      <c r="POM107" s="530"/>
      <c r="PON107" s="531"/>
      <c r="POO107" s="530"/>
      <c r="POP107" s="531"/>
      <c r="POQ107" s="530"/>
      <c r="POR107" s="531"/>
      <c r="POS107" s="530"/>
      <c r="POT107" s="531"/>
      <c r="POU107" s="530"/>
      <c r="POV107" s="531"/>
      <c r="POW107" s="530"/>
      <c r="POX107" s="531"/>
      <c r="POY107" s="530"/>
      <c r="POZ107" s="531"/>
      <c r="PPA107" s="530"/>
      <c r="PPB107" s="531"/>
      <c r="PPC107" s="530"/>
      <c r="PPD107" s="531"/>
      <c r="PPE107" s="530"/>
      <c r="PPF107" s="531"/>
      <c r="PPG107" s="530"/>
      <c r="PPH107" s="531"/>
      <c r="PPI107" s="530"/>
      <c r="PPJ107" s="531"/>
      <c r="PPK107" s="530"/>
      <c r="PPL107" s="531"/>
      <c r="PPM107" s="530"/>
      <c r="PPN107" s="531"/>
      <c r="PPO107" s="530"/>
      <c r="PPP107" s="531"/>
      <c r="PPQ107" s="530"/>
      <c r="PPR107" s="531"/>
      <c r="PPS107" s="530"/>
      <c r="PPT107" s="531"/>
      <c r="PPU107" s="530"/>
      <c r="PPV107" s="531"/>
      <c r="PPW107" s="530"/>
      <c r="PPX107" s="531"/>
      <c r="PPY107" s="530"/>
      <c r="PPZ107" s="531"/>
      <c r="PQA107" s="530"/>
      <c r="PQB107" s="531"/>
      <c r="PQC107" s="530"/>
      <c r="PQD107" s="531"/>
      <c r="PQE107" s="530"/>
      <c r="PQF107" s="531"/>
      <c r="PQG107" s="530"/>
      <c r="PQH107" s="531"/>
      <c r="PQI107" s="530"/>
      <c r="PQJ107" s="531"/>
      <c r="PQK107" s="530"/>
      <c r="PQL107" s="531"/>
      <c r="PQM107" s="530"/>
      <c r="PQN107" s="531"/>
      <c r="PQO107" s="530"/>
      <c r="PQP107" s="531"/>
      <c r="PQQ107" s="530"/>
      <c r="PQR107" s="531"/>
      <c r="PQS107" s="530"/>
      <c r="PQT107" s="531"/>
      <c r="PQU107" s="530"/>
      <c r="PQV107" s="531"/>
      <c r="PQW107" s="530"/>
      <c r="PQX107" s="531"/>
      <c r="PQY107" s="530"/>
      <c r="PQZ107" s="531"/>
      <c r="PRA107" s="530"/>
      <c r="PRB107" s="531"/>
      <c r="PRC107" s="530"/>
      <c r="PRD107" s="531"/>
      <c r="PRE107" s="530"/>
      <c r="PRF107" s="531"/>
      <c r="PRG107" s="530"/>
      <c r="PRH107" s="531"/>
      <c r="PRI107" s="530"/>
      <c r="PRJ107" s="531"/>
      <c r="PRK107" s="530"/>
      <c r="PRL107" s="531"/>
      <c r="PRM107" s="530"/>
      <c r="PRN107" s="531"/>
      <c r="PRO107" s="530"/>
      <c r="PRP107" s="531"/>
      <c r="PRQ107" s="530"/>
      <c r="PRR107" s="531"/>
      <c r="PRS107" s="530"/>
      <c r="PRT107" s="531"/>
      <c r="PRU107" s="530"/>
      <c r="PRV107" s="531"/>
      <c r="PRW107" s="530"/>
      <c r="PRX107" s="531"/>
      <c r="PRY107" s="530"/>
      <c r="PRZ107" s="531"/>
      <c r="PSA107" s="530"/>
      <c r="PSB107" s="531"/>
      <c r="PSC107" s="530"/>
      <c r="PSD107" s="531"/>
      <c r="PSE107" s="530"/>
      <c r="PSF107" s="531"/>
      <c r="PSG107" s="530"/>
      <c r="PSH107" s="531"/>
      <c r="PSI107" s="530"/>
      <c r="PSJ107" s="531"/>
      <c r="PSK107" s="530"/>
      <c r="PSL107" s="531"/>
      <c r="PSM107" s="530"/>
      <c r="PSN107" s="531"/>
      <c r="PSO107" s="530"/>
      <c r="PSP107" s="531"/>
      <c r="PSQ107" s="530"/>
      <c r="PSR107" s="531"/>
      <c r="PSS107" s="530"/>
      <c r="PST107" s="531"/>
      <c r="PSU107" s="530"/>
      <c r="PSV107" s="531"/>
      <c r="PSW107" s="530"/>
      <c r="PSX107" s="531"/>
      <c r="PSY107" s="530"/>
      <c r="PSZ107" s="531"/>
      <c r="PTA107" s="530"/>
      <c r="PTB107" s="531"/>
      <c r="PTC107" s="530"/>
      <c r="PTD107" s="531"/>
      <c r="PTE107" s="530"/>
      <c r="PTF107" s="531"/>
      <c r="PTG107" s="530"/>
      <c r="PTH107" s="531"/>
      <c r="PTI107" s="530"/>
      <c r="PTJ107" s="531"/>
      <c r="PTK107" s="530"/>
      <c r="PTL107" s="531"/>
      <c r="PTM107" s="530"/>
      <c r="PTN107" s="531"/>
      <c r="PTO107" s="530"/>
      <c r="PTP107" s="531"/>
      <c r="PTQ107" s="530"/>
      <c r="PTR107" s="531"/>
      <c r="PTS107" s="530"/>
      <c r="PTT107" s="531"/>
      <c r="PTU107" s="530"/>
      <c r="PTV107" s="531"/>
      <c r="PTW107" s="530"/>
      <c r="PTX107" s="531"/>
      <c r="PTY107" s="530"/>
      <c r="PTZ107" s="531"/>
      <c r="PUA107" s="530"/>
      <c r="PUB107" s="531"/>
      <c r="PUC107" s="530"/>
      <c r="PUD107" s="531"/>
      <c r="PUE107" s="530"/>
      <c r="PUF107" s="531"/>
      <c r="PUG107" s="530"/>
      <c r="PUH107" s="531"/>
      <c r="PUI107" s="530"/>
      <c r="PUJ107" s="531"/>
      <c r="PUK107" s="530"/>
      <c r="PUL107" s="531"/>
      <c r="PUM107" s="530"/>
      <c r="PUN107" s="531"/>
      <c r="PUO107" s="530"/>
      <c r="PUP107" s="531"/>
      <c r="PUQ107" s="530"/>
      <c r="PUR107" s="531"/>
      <c r="PUS107" s="530"/>
      <c r="PUT107" s="531"/>
      <c r="PUU107" s="530"/>
      <c r="PUV107" s="531"/>
      <c r="PUW107" s="530"/>
      <c r="PUX107" s="531"/>
      <c r="PUY107" s="530"/>
      <c r="PUZ107" s="531"/>
      <c r="PVA107" s="530"/>
      <c r="PVB107" s="531"/>
      <c r="PVC107" s="530"/>
      <c r="PVD107" s="531"/>
      <c r="PVE107" s="530"/>
      <c r="PVF107" s="531"/>
      <c r="PVG107" s="530"/>
      <c r="PVH107" s="531"/>
      <c r="PVI107" s="530"/>
      <c r="PVJ107" s="531"/>
      <c r="PVK107" s="530"/>
      <c r="PVL107" s="531"/>
      <c r="PVM107" s="530"/>
      <c r="PVN107" s="531"/>
      <c r="PVO107" s="530"/>
      <c r="PVP107" s="531"/>
      <c r="PVQ107" s="530"/>
      <c r="PVR107" s="531"/>
      <c r="PVS107" s="530"/>
      <c r="PVT107" s="531"/>
      <c r="PVU107" s="530"/>
      <c r="PVV107" s="531"/>
      <c r="PVW107" s="530"/>
      <c r="PVX107" s="531"/>
      <c r="PVY107" s="530"/>
      <c r="PVZ107" s="531"/>
      <c r="PWA107" s="530"/>
      <c r="PWB107" s="531"/>
      <c r="PWC107" s="530"/>
      <c r="PWD107" s="531"/>
      <c r="PWE107" s="530"/>
      <c r="PWF107" s="531"/>
      <c r="PWG107" s="530"/>
      <c r="PWH107" s="531"/>
      <c r="PWI107" s="530"/>
      <c r="PWJ107" s="531"/>
      <c r="PWK107" s="530"/>
      <c r="PWL107" s="531"/>
      <c r="PWM107" s="530"/>
      <c r="PWN107" s="531"/>
      <c r="PWO107" s="530"/>
      <c r="PWP107" s="531"/>
      <c r="PWQ107" s="530"/>
      <c r="PWR107" s="531"/>
      <c r="PWS107" s="530"/>
      <c r="PWT107" s="531"/>
      <c r="PWU107" s="530"/>
      <c r="PWV107" s="531"/>
      <c r="PWW107" s="530"/>
      <c r="PWX107" s="531"/>
      <c r="PWY107" s="530"/>
      <c r="PWZ107" s="531"/>
      <c r="PXA107" s="530"/>
      <c r="PXB107" s="531"/>
      <c r="PXC107" s="530"/>
      <c r="PXD107" s="531"/>
      <c r="PXE107" s="530"/>
      <c r="PXF107" s="531"/>
      <c r="PXG107" s="530"/>
      <c r="PXH107" s="531"/>
      <c r="PXI107" s="530"/>
      <c r="PXJ107" s="531"/>
      <c r="PXK107" s="530"/>
      <c r="PXL107" s="531"/>
      <c r="PXM107" s="530"/>
      <c r="PXN107" s="531"/>
      <c r="PXO107" s="530"/>
      <c r="PXP107" s="531"/>
      <c r="PXQ107" s="530"/>
      <c r="PXR107" s="531"/>
      <c r="PXS107" s="530"/>
      <c r="PXT107" s="531"/>
      <c r="PXU107" s="530"/>
      <c r="PXV107" s="531"/>
      <c r="PXW107" s="530"/>
      <c r="PXX107" s="531"/>
      <c r="PXY107" s="530"/>
      <c r="PXZ107" s="531"/>
      <c r="PYA107" s="530"/>
      <c r="PYB107" s="531"/>
      <c r="PYC107" s="530"/>
      <c r="PYD107" s="531"/>
      <c r="PYE107" s="530"/>
      <c r="PYF107" s="531"/>
      <c r="PYG107" s="530"/>
      <c r="PYH107" s="531"/>
      <c r="PYI107" s="530"/>
      <c r="PYJ107" s="531"/>
      <c r="PYK107" s="530"/>
      <c r="PYL107" s="531"/>
      <c r="PYM107" s="530"/>
      <c r="PYN107" s="531"/>
      <c r="PYO107" s="530"/>
      <c r="PYP107" s="531"/>
      <c r="PYQ107" s="530"/>
      <c r="PYR107" s="531"/>
      <c r="PYS107" s="530"/>
      <c r="PYT107" s="531"/>
      <c r="PYU107" s="530"/>
      <c r="PYV107" s="531"/>
      <c r="PYW107" s="530"/>
      <c r="PYX107" s="531"/>
      <c r="PYY107" s="530"/>
      <c r="PYZ107" s="531"/>
      <c r="PZA107" s="530"/>
      <c r="PZB107" s="531"/>
      <c r="PZC107" s="530"/>
      <c r="PZD107" s="531"/>
      <c r="PZE107" s="530"/>
      <c r="PZF107" s="531"/>
      <c r="PZG107" s="530"/>
      <c r="PZH107" s="531"/>
      <c r="PZI107" s="530"/>
      <c r="PZJ107" s="531"/>
      <c r="PZK107" s="530"/>
      <c r="PZL107" s="531"/>
      <c r="PZM107" s="530"/>
      <c r="PZN107" s="531"/>
      <c r="PZO107" s="530"/>
      <c r="PZP107" s="531"/>
      <c r="PZQ107" s="530"/>
      <c r="PZR107" s="531"/>
      <c r="PZS107" s="530"/>
      <c r="PZT107" s="531"/>
      <c r="PZU107" s="530"/>
      <c r="PZV107" s="531"/>
      <c r="PZW107" s="530"/>
      <c r="PZX107" s="531"/>
      <c r="PZY107" s="530"/>
      <c r="PZZ107" s="531"/>
      <c r="QAA107" s="530"/>
      <c r="QAB107" s="531"/>
      <c r="QAC107" s="530"/>
      <c r="QAD107" s="531"/>
      <c r="QAE107" s="530"/>
      <c r="QAF107" s="531"/>
      <c r="QAG107" s="530"/>
      <c r="QAH107" s="531"/>
      <c r="QAI107" s="530"/>
      <c r="QAJ107" s="531"/>
      <c r="QAK107" s="530"/>
      <c r="QAL107" s="531"/>
      <c r="QAM107" s="530"/>
      <c r="QAN107" s="531"/>
      <c r="QAO107" s="530"/>
      <c r="QAP107" s="531"/>
      <c r="QAQ107" s="530"/>
      <c r="QAR107" s="531"/>
      <c r="QAS107" s="530"/>
      <c r="QAT107" s="531"/>
      <c r="QAU107" s="530"/>
      <c r="QAV107" s="531"/>
      <c r="QAW107" s="530"/>
      <c r="QAX107" s="531"/>
      <c r="QAY107" s="530"/>
      <c r="QAZ107" s="531"/>
      <c r="QBA107" s="530"/>
      <c r="QBB107" s="531"/>
      <c r="QBC107" s="530"/>
      <c r="QBD107" s="531"/>
      <c r="QBE107" s="530"/>
      <c r="QBF107" s="531"/>
      <c r="QBG107" s="530"/>
      <c r="QBH107" s="531"/>
      <c r="QBI107" s="530"/>
      <c r="QBJ107" s="531"/>
      <c r="QBK107" s="530"/>
      <c r="QBL107" s="531"/>
      <c r="QBM107" s="530"/>
      <c r="QBN107" s="531"/>
      <c r="QBO107" s="530"/>
      <c r="QBP107" s="531"/>
      <c r="QBQ107" s="530"/>
      <c r="QBR107" s="531"/>
      <c r="QBS107" s="530"/>
      <c r="QBT107" s="531"/>
      <c r="QBU107" s="530"/>
      <c r="QBV107" s="531"/>
      <c r="QBW107" s="530"/>
      <c r="QBX107" s="531"/>
      <c r="QBY107" s="530"/>
      <c r="QBZ107" s="531"/>
      <c r="QCA107" s="530"/>
      <c r="QCB107" s="531"/>
      <c r="QCC107" s="530"/>
      <c r="QCD107" s="531"/>
      <c r="QCE107" s="530"/>
      <c r="QCF107" s="531"/>
      <c r="QCG107" s="530"/>
      <c r="QCH107" s="531"/>
      <c r="QCI107" s="530"/>
      <c r="QCJ107" s="531"/>
      <c r="QCK107" s="530"/>
      <c r="QCL107" s="531"/>
      <c r="QCM107" s="530"/>
      <c r="QCN107" s="531"/>
      <c r="QCO107" s="530"/>
      <c r="QCP107" s="531"/>
      <c r="QCQ107" s="530"/>
      <c r="QCR107" s="531"/>
      <c r="QCS107" s="530"/>
      <c r="QCT107" s="531"/>
      <c r="QCU107" s="530"/>
      <c r="QCV107" s="531"/>
      <c r="QCW107" s="530"/>
      <c r="QCX107" s="531"/>
      <c r="QCY107" s="530"/>
      <c r="QCZ107" s="531"/>
      <c r="QDA107" s="530"/>
      <c r="QDB107" s="531"/>
      <c r="QDC107" s="530"/>
      <c r="QDD107" s="531"/>
      <c r="QDE107" s="530"/>
      <c r="QDF107" s="531"/>
      <c r="QDG107" s="530"/>
      <c r="QDH107" s="531"/>
      <c r="QDI107" s="530"/>
      <c r="QDJ107" s="531"/>
      <c r="QDK107" s="530"/>
      <c r="QDL107" s="531"/>
      <c r="QDM107" s="530"/>
      <c r="QDN107" s="531"/>
      <c r="QDO107" s="530"/>
      <c r="QDP107" s="531"/>
      <c r="QDQ107" s="530"/>
      <c r="QDR107" s="531"/>
      <c r="QDS107" s="530"/>
      <c r="QDT107" s="531"/>
      <c r="QDU107" s="530"/>
      <c r="QDV107" s="531"/>
      <c r="QDW107" s="530"/>
      <c r="QDX107" s="531"/>
      <c r="QDY107" s="530"/>
      <c r="QDZ107" s="531"/>
      <c r="QEA107" s="530"/>
      <c r="QEB107" s="531"/>
      <c r="QEC107" s="530"/>
      <c r="QED107" s="531"/>
      <c r="QEE107" s="530"/>
      <c r="QEF107" s="531"/>
      <c r="QEG107" s="530"/>
      <c r="QEH107" s="531"/>
      <c r="QEI107" s="530"/>
      <c r="QEJ107" s="531"/>
      <c r="QEK107" s="530"/>
      <c r="QEL107" s="531"/>
      <c r="QEM107" s="530"/>
      <c r="QEN107" s="531"/>
      <c r="QEO107" s="530"/>
      <c r="QEP107" s="531"/>
      <c r="QEQ107" s="530"/>
      <c r="QER107" s="531"/>
      <c r="QES107" s="530"/>
      <c r="QET107" s="531"/>
      <c r="QEU107" s="530"/>
      <c r="QEV107" s="531"/>
      <c r="QEW107" s="530"/>
      <c r="QEX107" s="531"/>
      <c r="QEY107" s="530"/>
      <c r="QEZ107" s="531"/>
      <c r="QFA107" s="530"/>
      <c r="QFB107" s="531"/>
      <c r="QFC107" s="530"/>
      <c r="QFD107" s="531"/>
      <c r="QFE107" s="530"/>
      <c r="QFF107" s="531"/>
      <c r="QFG107" s="530"/>
      <c r="QFH107" s="531"/>
      <c r="QFI107" s="530"/>
      <c r="QFJ107" s="531"/>
      <c r="QFK107" s="530"/>
      <c r="QFL107" s="531"/>
      <c r="QFM107" s="530"/>
      <c r="QFN107" s="531"/>
      <c r="QFO107" s="530"/>
      <c r="QFP107" s="531"/>
      <c r="QFQ107" s="530"/>
      <c r="QFR107" s="531"/>
      <c r="QFS107" s="530"/>
      <c r="QFT107" s="531"/>
      <c r="QFU107" s="530"/>
      <c r="QFV107" s="531"/>
      <c r="QFW107" s="530"/>
      <c r="QFX107" s="531"/>
      <c r="QFY107" s="530"/>
      <c r="QFZ107" s="531"/>
      <c r="QGA107" s="530"/>
      <c r="QGB107" s="531"/>
      <c r="QGC107" s="530"/>
      <c r="QGD107" s="531"/>
      <c r="QGE107" s="530"/>
      <c r="QGF107" s="531"/>
      <c r="QGG107" s="530"/>
      <c r="QGH107" s="531"/>
      <c r="QGI107" s="530"/>
      <c r="QGJ107" s="531"/>
      <c r="QGK107" s="530"/>
      <c r="QGL107" s="531"/>
      <c r="QGM107" s="530"/>
      <c r="QGN107" s="531"/>
      <c r="QGO107" s="530"/>
      <c r="QGP107" s="531"/>
      <c r="QGQ107" s="530"/>
      <c r="QGR107" s="531"/>
      <c r="QGS107" s="530"/>
      <c r="QGT107" s="531"/>
      <c r="QGU107" s="530"/>
      <c r="QGV107" s="531"/>
      <c r="QGW107" s="530"/>
      <c r="QGX107" s="531"/>
      <c r="QGY107" s="530"/>
      <c r="QGZ107" s="531"/>
      <c r="QHA107" s="530"/>
      <c r="QHB107" s="531"/>
      <c r="QHC107" s="530"/>
      <c r="QHD107" s="531"/>
      <c r="QHE107" s="530"/>
      <c r="QHF107" s="531"/>
      <c r="QHG107" s="530"/>
      <c r="QHH107" s="531"/>
      <c r="QHI107" s="530"/>
      <c r="QHJ107" s="531"/>
      <c r="QHK107" s="530"/>
      <c r="QHL107" s="531"/>
      <c r="QHM107" s="530"/>
      <c r="QHN107" s="531"/>
      <c r="QHO107" s="530"/>
      <c r="QHP107" s="531"/>
      <c r="QHQ107" s="530"/>
      <c r="QHR107" s="531"/>
      <c r="QHS107" s="530"/>
      <c r="QHT107" s="531"/>
      <c r="QHU107" s="530"/>
      <c r="QHV107" s="531"/>
      <c r="QHW107" s="530"/>
      <c r="QHX107" s="531"/>
      <c r="QHY107" s="530"/>
      <c r="QHZ107" s="531"/>
      <c r="QIA107" s="530"/>
      <c r="QIB107" s="531"/>
      <c r="QIC107" s="530"/>
      <c r="QID107" s="531"/>
      <c r="QIE107" s="530"/>
      <c r="QIF107" s="531"/>
      <c r="QIG107" s="530"/>
      <c r="QIH107" s="531"/>
      <c r="QII107" s="530"/>
      <c r="QIJ107" s="531"/>
      <c r="QIK107" s="530"/>
      <c r="QIL107" s="531"/>
      <c r="QIM107" s="530"/>
      <c r="QIN107" s="531"/>
      <c r="QIO107" s="530"/>
      <c r="QIP107" s="531"/>
      <c r="QIQ107" s="530"/>
      <c r="QIR107" s="531"/>
      <c r="QIS107" s="530"/>
      <c r="QIT107" s="531"/>
      <c r="QIU107" s="530"/>
      <c r="QIV107" s="531"/>
      <c r="QIW107" s="530"/>
      <c r="QIX107" s="531"/>
      <c r="QIY107" s="530"/>
      <c r="QIZ107" s="531"/>
      <c r="QJA107" s="530"/>
      <c r="QJB107" s="531"/>
      <c r="QJC107" s="530"/>
      <c r="QJD107" s="531"/>
      <c r="QJE107" s="530"/>
      <c r="QJF107" s="531"/>
      <c r="QJG107" s="530"/>
      <c r="QJH107" s="531"/>
      <c r="QJI107" s="530"/>
      <c r="QJJ107" s="531"/>
      <c r="QJK107" s="530"/>
      <c r="QJL107" s="531"/>
      <c r="QJM107" s="530"/>
      <c r="QJN107" s="531"/>
      <c r="QJO107" s="530"/>
      <c r="QJP107" s="531"/>
      <c r="QJQ107" s="530"/>
      <c r="QJR107" s="531"/>
      <c r="QJS107" s="530"/>
      <c r="QJT107" s="531"/>
      <c r="QJU107" s="530"/>
      <c r="QJV107" s="531"/>
      <c r="QJW107" s="530"/>
      <c r="QJX107" s="531"/>
      <c r="QJY107" s="530"/>
      <c r="QJZ107" s="531"/>
      <c r="QKA107" s="530"/>
      <c r="QKB107" s="531"/>
      <c r="QKC107" s="530"/>
      <c r="QKD107" s="531"/>
      <c r="QKE107" s="530"/>
      <c r="QKF107" s="531"/>
      <c r="QKG107" s="530"/>
      <c r="QKH107" s="531"/>
      <c r="QKI107" s="530"/>
      <c r="QKJ107" s="531"/>
      <c r="QKK107" s="530"/>
      <c r="QKL107" s="531"/>
      <c r="QKM107" s="530"/>
      <c r="QKN107" s="531"/>
      <c r="QKO107" s="530"/>
      <c r="QKP107" s="531"/>
      <c r="QKQ107" s="530"/>
      <c r="QKR107" s="531"/>
      <c r="QKS107" s="530"/>
      <c r="QKT107" s="531"/>
      <c r="QKU107" s="530"/>
      <c r="QKV107" s="531"/>
      <c r="QKW107" s="530"/>
      <c r="QKX107" s="531"/>
      <c r="QKY107" s="530"/>
      <c r="QKZ107" s="531"/>
      <c r="QLA107" s="530"/>
      <c r="QLB107" s="531"/>
      <c r="QLC107" s="530"/>
      <c r="QLD107" s="531"/>
      <c r="QLE107" s="530"/>
      <c r="QLF107" s="531"/>
      <c r="QLG107" s="530"/>
      <c r="QLH107" s="531"/>
      <c r="QLI107" s="530"/>
      <c r="QLJ107" s="531"/>
      <c r="QLK107" s="530"/>
      <c r="QLL107" s="531"/>
      <c r="QLM107" s="530"/>
      <c r="QLN107" s="531"/>
      <c r="QLO107" s="530"/>
      <c r="QLP107" s="531"/>
      <c r="QLQ107" s="530"/>
      <c r="QLR107" s="531"/>
      <c r="QLS107" s="530"/>
      <c r="QLT107" s="531"/>
      <c r="QLU107" s="530"/>
      <c r="QLV107" s="531"/>
      <c r="QLW107" s="530"/>
      <c r="QLX107" s="531"/>
      <c r="QLY107" s="530"/>
      <c r="QLZ107" s="531"/>
      <c r="QMA107" s="530"/>
      <c r="QMB107" s="531"/>
      <c r="QMC107" s="530"/>
      <c r="QMD107" s="531"/>
      <c r="QME107" s="530"/>
      <c r="QMF107" s="531"/>
      <c r="QMG107" s="530"/>
      <c r="QMH107" s="531"/>
      <c r="QMI107" s="530"/>
      <c r="QMJ107" s="531"/>
      <c r="QMK107" s="530"/>
      <c r="QML107" s="531"/>
      <c r="QMM107" s="530"/>
      <c r="QMN107" s="531"/>
      <c r="QMO107" s="530"/>
      <c r="QMP107" s="531"/>
      <c r="QMQ107" s="530"/>
      <c r="QMR107" s="531"/>
      <c r="QMS107" s="530"/>
      <c r="QMT107" s="531"/>
      <c r="QMU107" s="530"/>
      <c r="QMV107" s="531"/>
      <c r="QMW107" s="530"/>
      <c r="QMX107" s="531"/>
      <c r="QMY107" s="530"/>
      <c r="QMZ107" s="531"/>
      <c r="QNA107" s="530"/>
      <c r="QNB107" s="531"/>
      <c r="QNC107" s="530"/>
      <c r="QND107" s="531"/>
      <c r="QNE107" s="530"/>
      <c r="QNF107" s="531"/>
      <c r="QNG107" s="530"/>
      <c r="QNH107" s="531"/>
      <c r="QNI107" s="530"/>
      <c r="QNJ107" s="531"/>
      <c r="QNK107" s="530"/>
      <c r="QNL107" s="531"/>
      <c r="QNM107" s="530"/>
      <c r="QNN107" s="531"/>
      <c r="QNO107" s="530"/>
      <c r="QNP107" s="531"/>
      <c r="QNQ107" s="530"/>
      <c r="QNR107" s="531"/>
      <c r="QNS107" s="530"/>
      <c r="QNT107" s="531"/>
      <c r="QNU107" s="530"/>
      <c r="QNV107" s="531"/>
      <c r="QNW107" s="530"/>
      <c r="QNX107" s="531"/>
      <c r="QNY107" s="530"/>
      <c r="QNZ107" s="531"/>
      <c r="QOA107" s="530"/>
      <c r="QOB107" s="531"/>
      <c r="QOC107" s="530"/>
      <c r="QOD107" s="531"/>
      <c r="QOE107" s="530"/>
      <c r="QOF107" s="531"/>
      <c r="QOG107" s="530"/>
      <c r="QOH107" s="531"/>
      <c r="QOI107" s="530"/>
      <c r="QOJ107" s="531"/>
      <c r="QOK107" s="530"/>
      <c r="QOL107" s="531"/>
      <c r="QOM107" s="530"/>
      <c r="QON107" s="531"/>
      <c r="QOO107" s="530"/>
      <c r="QOP107" s="531"/>
      <c r="QOQ107" s="530"/>
      <c r="QOR107" s="531"/>
      <c r="QOS107" s="530"/>
      <c r="QOT107" s="531"/>
      <c r="QOU107" s="530"/>
      <c r="QOV107" s="531"/>
      <c r="QOW107" s="530"/>
      <c r="QOX107" s="531"/>
      <c r="QOY107" s="530"/>
      <c r="QOZ107" s="531"/>
      <c r="QPA107" s="530"/>
      <c r="QPB107" s="531"/>
      <c r="QPC107" s="530"/>
      <c r="QPD107" s="531"/>
      <c r="QPE107" s="530"/>
      <c r="QPF107" s="531"/>
      <c r="QPG107" s="530"/>
      <c r="QPH107" s="531"/>
      <c r="QPI107" s="530"/>
      <c r="QPJ107" s="531"/>
      <c r="QPK107" s="530"/>
      <c r="QPL107" s="531"/>
      <c r="QPM107" s="530"/>
      <c r="QPN107" s="531"/>
      <c r="QPO107" s="530"/>
      <c r="QPP107" s="531"/>
      <c r="QPQ107" s="530"/>
      <c r="QPR107" s="531"/>
      <c r="QPS107" s="530"/>
      <c r="QPT107" s="531"/>
      <c r="QPU107" s="530"/>
      <c r="QPV107" s="531"/>
      <c r="QPW107" s="530"/>
      <c r="QPX107" s="531"/>
      <c r="QPY107" s="530"/>
      <c r="QPZ107" s="531"/>
      <c r="QQA107" s="530"/>
      <c r="QQB107" s="531"/>
      <c r="QQC107" s="530"/>
      <c r="QQD107" s="531"/>
      <c r="QQE107" s="530"/>
      <c r="QQF107" s="531"/>
      <c r="QQG107" s="530"/>
      <c r="QQH107" s="531"/>
      <c r="QQI107" s="530"/>
      <c r="QQJ107" s="531"/>
      <c r="QQK107" s="530"/>
      <c r="QQL107" s="531"/>
      <c r="QQM107" s="530"/>
      <c r="QQN107" s="531"/>
      <c r="QQO107" s="530"/>
      <c r="QQP107" s="531"/>
      <c r="QQQ107" s="530"/>
      <c r="QQR107" s="531"/>
      <c r="QQS107" s="530"/>
      <c r="QQT107" s="531"/>
      <c r="QQU107" s="530"/>
      <c r="QQV107" s="531"/>
      <c r="QQW107" s="530"/>
      <c r="QQX107" s="531"/>
      <c r="QQY107" s="530"/>
      <c r="QQZ107" s="531"/>
      <c r="QRA107" s="530"/>
      <c r="QRB107" s="531"/>
      <c r="QRC107" s="530"/>
      <c r="QRD107" s="531"/>
      <c r="QRE107" s="530"/>
      <c r="QRF107" s="531"/>
      <c r="QRG107" s="530"/>
      <c r="QRH107" s="531"/>
      <c r="QRI107" s="530"/>
      <c r="QRJ107" s="531"/>
      <c r="QRK107" s="530"/>
      <c r="QRL107" s="531"/>
      <c r="QRM107" s="530"/>
      <c r="QRN107" s="531"/>
      <c r="QRO107" s="530"/>
      <c r="QRP107" s="531"/>
      <c r="QRQ107" s="530"/>
      <c r="QRR107" s="531"/>
      <c r="QRS107" s="530"/>
      <c r="QRT107" s="531"/>
      <c r="QRU107" s="530"/>
      <c r="QRV107" s="531"/>
      <c r="QRW107" s="530"/>
      <c r="QRX107" s="531"/>
      <c r="QRY107" s="530"/>
      <c r="QRZ107" s="531"/>
      <c r="QSA107" s="530"/>
      <c r="QSB107" s="531"/>
      <c r="QSC107" s="530"/>
      <c r="QSD107" s="531"/>
      <c r="QSE107" s="530"/>
      <c r="QSF107" s="531"/>
      <c r="QSG107" s="530"/>
      <c r="QSH107" s="531"/>
      <c r="QSI107" s="530"/>
      <c r="QSJ107" s="531"/>
      <c r="QSK107" s="530"/>
      <c r="QSL107" s="531"/>
      <c r="QSM107" s="530"/>
      <c r="QSN107" s="531"/>
      <c r="QSO107" s="530"/>
      <c r="QSP107" s="531"/>
      <c r="QSQ107" s="530"/>
      <c r="QSR107" s="531"/>
      <c r="QSS107" s="530"/>
      <c r="QST107" s="531"/>
      <c r="QSU107" s="530"/>
      <c r="QSV107" s="531"/>
      <c r="QSW107" s="530"/>
      <c r="QSX107" s="531"/>
      <c r="QSY107" s="530"/>
      <c r="QSZ107" s="531"/>
      <c r="QTA107" s="530"/>
      <c r="QTB107" s="531"/>
      <c r="QTC107" s="530"/>
      <c r="QTD107" s="531"/>
      <c r="QTE107" s="530"/>
      <c r="QTF107" s="531"/>
      <c r="QTG107" s="530"/>
      <c r="QTH107" s="531"/>
      <c r="QTI107" s="530"/>
      <c r="QTJ107" s="531"/>
      <c r="QTK107" s="530"/>
      <c r="QTL107" s="531"/>
      <c r="QTM107" s="530"/>
      <c r="QTN107" s="531"/>
      <c r="QTO107" s="530"/>
      <c r="QTP107" s="531"/>
      <c r="QTQ107" s="530"/>
      <c r="QTR107" s="531"/>
      <c r="QTS107" s="530"/>
      <c r="QTT107" s="531"/>
      <c r="QTU107" s="530"/>
      <c r="QTV107" s="531"/>
      <c r="QTW107" s="530"/>
      <c r="QTX107" s="531"/>
      <c r="QTY107" s="530"/>
      <c r="QTZ107" s="531"/>
      <c r="QUA107" s="530"/>
      <c r="QUB107" s="531"/>
      <c r="QUC107" s="530"/>
      <c r="QUD107" s="531"/>
      <c r="QUE107" s="530"/>
      <c r="QUF107" s="531"/>
      <c r="QUG107" s="530"/>
      <c r="QUH107" s="531"/>
      <c r="QUI107" s="530"/>
      <c r="QUJ107" s="531"/>
      <c r="QUK107" s="530"/>
      <c r="QUL107" s="531"/>
      <c r="QUM107" s="530"/>
      <c r="QUN107" s="531"/>
      <c r="QUO107" s="530"/>
      <c r="QUP107" s="531"/>
      <c r="QUQ107" s="530"/>
      <c r="QUR107" s="531"/>
      <c r="QUS107" s="530"/>
      <c r="QUT107" s="531"/>
      <c r="QUU107" s="530"/>
      <c r="QUV107" s="531"/>
      <c r="QUW107" s="530"/>
      <c r="QUX107" s="531"/>
      <c r="QUY107" s="530"/>
      <c r="QUZ107" s="531"/>
      <c r="QVA107" s="530"/>
      <c r="QVB107" s="531"/>
      <c r="QVC107" s="530"/>
      <c r="QVD107" s="531"/>
      <c r="QVE107" s="530"/>
      <c r="QVF107" s="531"/>
      <c r="QVG107" s="530"/>
      <c r="QVH107" s="531"/>
      <c r="QVI107" s="530"/>
      <c r="QVJ107" s="531"/>
      <c r="QVK107" s="530"/>
      <c r="QVL107" s="531"/>
      <c r="QVM107" s="530"/>
      <c r="QVN107" s="531"/>
      <c r="QVO107" s="530"/>
      <c r="QVP107" s="531"/>
      <c r="QVQ107" s="530"/>
      <c r="QVR107" s="531"/>
      <c r="QVS107" s="530"/>
      <c r="QVT107" s="531"/>
      <c r="QVU107" s="530"/>
      <c r="QVV107" s="531"/>
      <c r="QVW107" s="530"/>
      <c r="QVX107" s="531"/>
      <c r="QVY107" s="530"/>
      <c r="QVZ107" s="531"/>
      <c r="QWA107" s="530"/>
      <c r="QWB107" s="531"/>
      <c r="QWC107" s="530"/>
      <c r="QWD107" s="531"/>
      <c r="QWE107" s="530"/>
      <c r="QWF107" s="531"/>
      <c r="QWG107" s="530"/>
      <c r="QWH107" s="531"/>
      <c r="QWI107" s="530"/>
      <c r="QWJ107" s="531"/>
      <c r="QWK107" s="530"/>
      <c r="QWL107" s="531"/>
      <c r="QWM107" s="530"/>
      <c r="QWN107" s="531"/>
      <c r="QWO107" s="530"/>
      <c r="QWP107" s="531"/>
      <c r="QWQ107" s="530"/>
      <c r="QWR107" s="531"/>
      <c r="QWS107" s="530"/>
      <c r="QWT107" s="531"/>
      <c r="QWU107" s="530"/>
      <c r="QWV107" s="531"/>
      <c r="QWW107" s="530"/>
      <c r="QWX107" s="531"/>
      <c r="QWY107" s="530"/>
      <c r="QWZ107" s="531"/>
      <c r="QXA107" s="530"/>
      <c r="QXB107" s="531"/>
      <c r="QXC107" s="530"/>
      <c r="QXD107" s="531"/>
      <c r="QXE107" s="530"/>
      <c r="QXF107" s="531"/>
      <c r="QXG107" s="530"/>
      <c r="QXH107" s="531"/>
      <c r="QXI107" s="530"/>
      <c r="QXJ107" s="531"/>
      <c r="QXK107" s="530"/>
      <c r="QXL107" s="531"/>
      <c r="QXM107" s="530"/>
      <c r="QXN107" s="531"/>
      <c r="QXO107" s="530"/>
      <c r="QXP107" s="531"/>
      <c r="QXQ107" s="530"/>
      <c r="QXR107" s="531"/>
      <c r="QXS107" s="530"/>
      <c r="QXT107" s="531"/>
      <c r="QXU107" s="530"/>
      <c r="QXV107" s="531"/>
      <c r="QXW107" s="530"/>
      <c r="QXX107" s="531"/>
      <c r="QXY107" s="530"/>
      <c r="QXZ107" s="531"/>
      <c r="QYA107" s="530"/>
      <c r="QYB107" s="531"/>
      <c r="QYC107" s="530"/>
      <c r="QYD107" s="531"/>
      <c r="QYE107" s="530"/>
      <c r="QYF107" s="531"/>
      <c r="QYG107" s="530"/>
      <c r="QYH107" s="531"/>
      <c r="QYI107" s="530"/>
      <c r="QYJ107" s="531"/>
      <c r="QYK107" s="530"/>
      <c r="QYL107" s="531"/>
      <c r="QYM107" s="530"/>
      <c r="QYN107" s="531"/>
      <c r="QYO107" s="530"/>
      <c r="QYP107" s="531"/>
      <c r="QYQ107" s="530"/>
      <c r="QYR107" s="531"/>
      <c r="QYS107" s="530"/>
      <c r="QYT107" s="531"/>
      <c r="QYU107" s="530"/>
      <c r="QYV107" s="531"/>
      <c r="QYW107" s="530"/>
      <c r="QYX107" s="531"/>
      <c r="QYY107" s="530"/>
      <c r="QYZ107" s="531"/>
      <c r="QZA107" s="530"/>
      <c r="QZB107" s="531"/>
      <c r="QZC107" s="530"/>
      <c r="QZD107" s="531"/>
      <c r="QZE107" s="530"/>
      <c r="QZF107" s="531"/>
      <c r="QZG107" s="530"/>
      <c r="QZH107" s="531"/>
      <c r="QZI107" s="530"/>
      <c r="QZJ107" s="531"/>
      <c r="QZK107" s="530"/>
      <c r="QZL107" s="531"/>
      <c r="QZM107" s="530"/>
      <c r="QZN107" s="531"/>
      <c r="QZO107" s="530"/>
      <c r="QZP107" s="531"/>
      <c r="QZQ107" s="530"/>
      <c r="QZR107" s="531"/>
      <c r="QZS107" s="530"/>
      <c r="QZT107" s="531"/>
      <c r="QZU107" s="530"/>
      <c r="QZV107" s="531"/>
      <c r="QZW107" s="530"/>
      <c r="QZX107" s="531"/>
      <c r="QZY107" s="530"/>
      <c r="QZZ107" s="531"/>
      <c r="RAA107" s="530"/>
      <c r="RAB107" s="531"/>
      <c r="RAC107" s="530"/>
      <c r="RAD107" s="531"/>
      <c r="RAE107" s="530"/>
      <c r="RAF107" s="531"/>
      <c r="RAG107" s="530"/>
      <c r="RAH107" s="531"/>
      <c r="RAI107" s="530"/>
      <c r="RAJ107" s="531"/>
      <c r="RAK107" s="530"/>
      <c r="RAL107" s="531"/>
      <c r="RAM107" s="530"/>
      <c r="RAN107" s="531"/>
      <c r="RAO107" s="530"/>
      <c r="RAP107" s="531"/>
      <c r="RAQ107" s="530"/>
      <c r="RAR107" s="531"/>
      <c r="RAS107" s="530"/>
      <c r="RAT107" s="531"/>
      <c r="RAU107" s="530"/>
      <c r="RAV107" s="531"/>
      <c r="RAW107" s="530"/>
      <c r="RAX107" s="531"/>
      <c r="RAY107" s="530"/>
      <c r="RAZ107" s="531"/>
      <c r="RBA107" s="530"/>
      <c r="RBB107" s="531"/>
      <c r="RBC107" s="530"/>
      <c r="RBD107" s="531"/>
      <c r="RBE107" s="530"/>
      <c r="RBF107" s="531"/>
      <c r="RBG107" s="530"/>
      <c r="RBH107" s="531"/>
      <c r="RBI107" s="530"/>
      <c r="RBJ107" s="531"/>
      <c r="RBK107" s="530"/>
      <c r="RBL107" s="531"/>
      <c r="RBM107" s="530"/>
      <c r="RBN107" s="531"/>
      <c r="RBO107" s="530"/>
      <c r="RBP107" s="531"/>
      <c r="RBQ107" s="530"/>
      <c r="RBR107" s="531"/>
      <c r="RBS107" s="530"/>
      <c r="RBT107" s="531"/>
      <c r="RBU107" s="530"/>
      <c r="RBV107" s="531"/>
      <c r="RBW107" s="530"/>
      <c r="RBX107" s="531"/>
      <c r="RBY107" s="530"/>
      <c r="RBZ107" s="531"/>
      <c r="RCA107" s="530"/>
      <c r="RCB107" s="531"/>
      <c r="RCC107" s="530"/>
      <c r="RCD107" s="531"/>
      <c r="RCE107" s="530"/>
      <c r="RCF107" s="531"/>
      <c r="RCG107" s="530"/>
      <c r="RCH107" s="531"/>
      <c r="RCI107" s="530"/>
      <c r="RCJ107" s="531"/>
      <c r="RCK107" s="530"/>
      <c r="RCL107" s="531"/>
      <c r="RCM107" s="530"/>
      <c r="RCN107" s="531"/>
      <c r="RCO107" s="530"/>
      <c r="RCP107" s="531"/>
      <c r="RCQ107" s="530"/>
      <c r="RCR107" s="531"/>
      <c r="RCS107" s="530"/>
      <c r="RCT107" s="531"/>
      <c r="RCU107" s="530"/>
      <c r="RCV107" s="531"/>
      <c r="RCW107" s="530"/>
      <c r="RCX107" s="531"/>
      <c r="RCY107" s="530"/>
      <c r="RCZ107" s="531"/>
      <c r="RDA107" s="530"/>
      <c r="RDB107" s="531"/>
      <c r="RDC107" s="530"/>
      <c r="RDD107" s="531"/>
      <c r="RDE107" s="530"/>
      <c r="RDF107" s="531"/>
      <c r="RDG107" s="530"/>
      <c r="RDH107" s="531"/>
      <c r="RDI107" s="530"/>
      <c r="RDJ107" s="531"/>
      <c r="RDK107" s="530"/>
      <c r="RDL107" s="531"/>
      <c r="RDM107" s="530"/>
      <c r="RDN107" s="531"/>
      <c r="RDO107" s="530"/>
      <c r="RDP107" s="531"/>
      <c r="RDQ107" s="530"/>
      <c r="RDR107" s="531"/>
      <c r="RDS107" s="530"/>
      <c r="RDT107" s="531"/>
      <c r="RDU107" s="530"/>
      <c r="RDV107" s="531"/>
      <c r="RDW107" s="530"/>
      <c r="RDX107" s="531"/>
      <c r="RDY107" s="530"/>
      <c r="RDZ107" s="531"/>
      <c r="REA107" s="530"/>
      <c r="REB107" s="531"/>
      <c r="REC107" s="530"/>
      <c r="RED107" s="531"/>
      <c r="REE107" s="530"/>
      <c r="REF107" s="531"/>
      <c r="REG107" s="530"/>
      <c r="REH107" s="531"/>
      <c r="REI107" s="530"/>
      <c r="REJ107" s="531"/>
      <c r="REK107" s="530"/>
      <c r="REL107" s="531"/>
      <c r="REM107" s="530"/>
      <c r="REN107" s="531"/>
      <c r="REO107" s="530"/>
      <c r="REP107" s="531"/>
      <c r="REQ107" s="530"/>
      <c r="RER107" s="531"/>
      <c r="RES107" s="530"/>
      <c r="RET107" s="531"/>
      <c r="REU107" s="530"/>
      <c r="REV107" s="531"/>
      <c r="REW107" s="530"/>
      <c r="REX107" s="531"/>
      <c r="REY107" s="530"/>
      <c r="REZ107" s="531"/>
      <c r="RFA107" s="530"/>
      <c r="RFB107" s="531"/>
      <c r="RFC107" s="530"/>
      <c r="RFD107" s="531"/>
      <c r="RFE107" s="530"/>
      <c r="RFF107" s="531"/>
      <c r="RFG107" s="530"/>
      <c r="RFH107" s="531"/>
      <c r="RFI107" s="530"/>
      <c r="RFJ107" s="531"/>
      <c r="RFK107" s="530"/>
      <c r="RFL107" s="531"/>
      <c r="RFM107" s="530"/>
      <c r="RFN107" s="531"/>
      <c r="RFO107" s="530"/>
      <c r="RFP107" s="531"/>
      <c r="RFQ107" s="530"/>
      <c r="RFR107" s="531"/>
      <c r="RFS107" s="530"/>
      <c r="RFT107" s="531"/>
      <c r="RFU107" s="530"/>
      <c r="RFV107" s="531"/>
      <c r="RFW107" s="530"/>
      <c r="RFX107" s="531"/>
      <c r="RFY107" s="530"/>
      <c r="RFZ107" s="531"/>
      <c r="RGA107" s="530"/>
      <c r="RGB107" s="531"/>
      <c r="RGC107" s="530"/>
      <c r="RGD107" s="531"/>
      <c r="RGE107" s="530"/>
      <c r="RGF107" s="531"/>
      <c r="RGG107" s="530"/>
      <c r="RGH107" s="531"/>
      <c r="RGI107" s="530"/>
      <c r="RGJ107" s="531"/>
      <c r="RGK107" s="530"/>
      <c r="RGL107" s="531"/>
      <c r="RGM107" s="530"/>
      <c r="RGN107" s="531"/>
      <c r="RGO107" s="530"/>
      <c r="RGP107" s="531"/>
      <c r="RGQ107" s="530"/>
      <c r="RGR107" s="531"/>
      <c r="RGS107" s="530"/>
      <c r="RGT107" s="531"/>
      <c r="RGU107" s="530"/>
      <c r="RGV107" s="531"/>
      <c r="RGW107" s="530"/>
      <c r="RGX107" s="531"/>
      <c r="RGY107" s="530"/>
      <c r="RGZ107" s="531"/>
      <c r="RHA107" s="530"/>
      <c r="RHB107" s="531"/>
      <c r="RHC107" s="530"/>
      <c r="RHD107" s="531"/>
      <c r="RHE107" s="530"/>
      <c r="RHF107" s="531"/>
      <c r="RHG107" s="530"/>
      <c r="RHH107" s="531"/>
      <c r="RHI107" s="530"/>
      <c r="RHJ107" s="531"/>
      <c r="RHK107" s="530"/>
      <c r="RHL107" s="531"/>
      <c r="RHM107" s="530"/>
      <c r="RHN107" s="531"/>
      <c r="RHO107" s="530"/>
      <c r="RHP107" s="531"/>
      <c r="RHQ107" s="530"/>
      <c r="RHR107" s="531"/>
      <c r="RHS107" s="530"/>
      <c r="RHT107" s="531"/>
      <c r="RHU107" s="530"/>
      <c r="RHV107" s="531"/>
      <c r="RHW107" s="530"/>
      <c r="RHX107" s="531"/>
      <c r="RHY107" s="530"/>
      <c r="RHZ107" s="531"/>
      <c r="RIA107" s="530"/>
      <c r="RIB107" s="531"/>
      <c r="RIC107" s="530"/>
      <c r="RID107" s="531"/>
      <c r="RIE107" s="530"/>
      <c r="RIF107" s="531"/>
      <c r="RIG107" s="530"/>
      <c r="RIH107" s="531"/>
      <c r="RII107" s="530"/>
      <c r="RIJ107" s="531"/>
      <c r="RIK107" s="530"/>
      <c r="RIL107" s="531"/>
      <c r="RIM107" s="530"/>
      <c r="RIN107" s="531"/>
      <c r="RIO107" s="530"/>
      <c r="RIP107" s="531"/>
      <c r="RIQ107" s="530"/>
      <c r="RIR107" s="531"/>
      <c r="RIS107" s="530"/>
      <c r="RIT107" s="531"/>
      <c r="RIU107" s="530"/>
      <c r="RIV107" s="531"/>
      <c r="RIW107" s="530"/>
      <c r="RIX107" s="531"/>
      <c r="RIY107" s="530"/>
      <c r="RIZ107" s="531"/>
      <c r="RJA107" s="530"/>
      <c r="RJB107" s="531"/>
      <c r="RJC107" s="530"/>
      <c r="RJD107" s="531"/>
      <c r="RJE107" s="530"/>
      <c r="RJF107" s="531"/>
      <c r="RJG107" s="530"/>
      <c r="RJH107" s="531"/>
      <c r="RJI107" s="530"/>
      <c r="RJJ107" s="531"/>
      <c r="RJK107" s="530"/>
      <c r="RJL107" s="531"/>
      <c r="RJM107" s="530"/>
      <c r="RJN107" s="531"/>
      <c r="RJO107" s="530"/>
      <c r="RJP107" s="531"/>
      <c r="RJQ107" s="530"/>
      <c r="RJR107" s="531"/>
      <c r="RJS107" s="530"/>
      <c r="RJT107" s="531"/>
      <c r="RJU107" s="530"/>
      <c r="RJV107" s="531"/>
      <c r="RJW107" s="530"/>
      <c r="RJX107" s="531"/>
      <c r="RJY107" s="530"/>
      <c r="RJZ107" s="531"/>
      <c r="RKA107" s="530"/>
      <c r="RKB107" s="531"/>
      <c r="RKC107" s="530"/>
      <c r="RKD107" s="531"/>
      <c r="RKE107" s="530"/>
      <c r="RKF107" s="531"/>
      <c r="RKG107" s="530"/>
      <c r="RKH107" s="531"/>
      <c r="RKI107" s="530"/>
      <c r="RKJ107" s="531"/>
      <c r="RKK107" s="530"/>
      <c r="RKL107" s="531"/>
      <c r="RKM107" s="530"/>
      <c r="RKN107" s="531"/>
      <c r="RKO107" s="530"/>
      <c r="RKP107" s="531"/>
      <c r="RKQ107" s="530"/>
      <c r="RKR107" s="531"/>
      <c r="RKS107" s="530"/>
      <c r="RKT107" s="531"/>
      <c r="RKU107" s="530"/>
      <c r="RKV107" s="531"/>
      <c r="RKW107" s="530"/>
      <c r="RKX107" s="531"/>
      <c r="RKY107" s="530"/>
      <c r="RKZ107" s="531"/>
      <c r="RLA107" s="530"/>
      <c r="RLB107" s="531"/>
      <c r="RLC107" s="530"/>
      <c r="RLD107" s="531"/>
      <c r="RLE107" s="530"/>
      <c r="RLF107" s="531"/>
      <c r="RLG107" s="530"/>
      <c r="RLH107" s="531"/>
      <c r="RLI107" s="530"/>
      <c r="RLJ107" s="531"/>
      <c r="RLK107" s="530"/>
      <c r="RLL107" s="531"/>
      <c r="RLM107" s="530"/>
      <c r="RLN107" s="531"/>
      <c r="RLO107" s="530"/>
      <c r="RLP107" s="531"/>
      <c r="RLQ107" s="530"/>
      <c r="RLR107" s="531"/>
      <c r="RLS107" s="530"/>
      <c r="RLT107" s="531"/>
      <c r="RLU107" s="530"/>
      <c r="RLV107" s="531"/>
      <c r="RLW107" s="530"/>
      <c r="RLX107" s="531"/>
      <c r="RLY107" s="530"/>
      <c r="RLZ107" s="531"/>
      <c r="RMA107" s="530"/>
      <c r="RMB107" s="531"/>
      <c r="RMC107" s="530"/>
      <c r="RMD107" s="531"/>
      <c r="RME107" s="530"/>
      <c r="RMF107" s="531"/>
      <c r="RMG107" s="530"/>
      <c r="RMH107" s="531"/>
      <c r="RMI107" s="530"/>
      <c r="RMJ107" s="531"/>
      <c r="RMK107" s="530"/>
      <c r="RML107" s="531"/>
      <c r="RMM107" s="530"/>
      <c r="RMN107" s="531"/>
      <c r="RMO107" s="530"/>
      <c r="RMP107" s="531"/>
      <c r="RMQ107" s="530"/>
      <c r="RMR107" s="531"/>
      <c r="RMS107" s="530"/>
      <c r="RMT107" s="531"/>
      <c r="RMU107" s="530"/>
      <c r="RMV107" s="531"/>
      <c r="RMW107" s="530"/>
      <c r="RMX107" s="531"/>
      <c r="RMY107" s="530"/>
      <c r="RMZ107" s="531"/>
      <c r="RNA107" s="530"/>
      <c r="RNB107" s="531"/>
      <c r="RNC107" s="530"/>
      <c r="RND107" s="531"/>
      <c r="RNE107" s="530"/>
      <c r="RNF107" s="531"/>
      <c r="RNG107" s="530"/>
      <c r="RNH107" s="531"/>
      <c r="RNI107" s="530"/>
      <c r="RNJ107" s="531"/>
      <c r="RNK107" s="530"/>
      <c r="RNL107" s="531"/>
      <c r="RNM107" s="530"/>
      <c r="RNN107" s="531"/>
      <c r="RNO107" s="530"/>
      <c r="RNP107" s="531"/>
      <c r="RNQ107" s="530"/>
      <c r="RNR107" s="531"/>
      <c r="RNS107" s="530"/>
      <c r="RNT107" s="531"/>
      <c r="RNU107" s="530"/>
      <c r="RNV107" s="531"/>
      <c r="RNW107" s="530"/>
      <c r="RNX107" s="531"/>
      <c r="RNY107" s="530"/>
      <c r="RNZ107" s="531"/>
      <c r="ROA107" s="530"/>
      <c r="ROB107" s="531"/>
      <c r="ROC107" s="530"/>
      <c r="ROD107" s="531"/>
      <c r="ROE107" s="530"/>
      <c r="ROF107" s="531"/>
      <c r="ROG107" s="530"/>
      <c r="ROH107" s="531"/>
      <c r="ROI107" s="530"/>
      <c r="ROJ107" s="531"/>
      <c r="ROK107" s="530"/>
      <c r="ROL107" s="531"/>
      <c r="ROM107" s="530"/>
      <c r="RON107" s="531"/>
      <c r="ROO107" s="530"/>
      <c r="ROP107" s="531"/>
      <c r="ROQ107" s="530"/>
      <c r="ROR107" s="531"/>
      <c r="ROS107" s="530"/>
      <c r="ROT107" s="531"/>
      <c r="ROU107" s="530"/>
      <c r="ROV107" s="531"/>
      <c r="ROW107" s="530"/>
      <c r="ROX107" s="531"/>
      <c r="ROY107" s="530"/>
      <c r="ROZ107" s="531"/>
      <c r="RPA107" s="530"/>
      <c r="RPB107" s="531"/>
      <c r="RPC107" s="530"/>
      <c r="RPD107" s="531"/>
      <c r="RPE107" s="530"/>
      <c r="RPF107" s="531"/>
      <c r="RPG107" s="530"/>
      <c r="RPH107" s="531"/>
      <c r="RPI107" s="530"/>
      <c r="RPJ107" s="531"/>
      <c r="RPK107" s="530"/>
      <c r="RPL107" s="531"/>
      <c r="RPM107" s="530"/>
      <c r="RPN107" s="531"/>
      <c r="RPO107" s="530"/>
      <c r="RPP107" s="531"/>
      <c r="RPQ107" s="530"/>
      <c r="RPR107" s="531"/>
      <c r="RPS107" s="530"/>
      <c r="RPT107" s="531"/>
      <c r="RPU107" s="530"/>
      <c r="RPV107" s="531"/>
      <c r="RPW107" s="530"/>
      <c r="RPX107" s="531"/>
      <c r="RPY107" s="530"/>
      <c r="RPZ107" s="531"/>
      <c r="RQA107" s="530"/>
      <c r="RQB107" s="531"/>
      <c r="RQC107" s="530"/>
      <c r="RQD107" s="531"/>
      <c r="RQE107" s="530"/>
      <c r="RQF107" s="531"/>
      <c r="RQG107" s="530"/>
      <c r="RQH107" s="531"/>
      <c r="RQI107" s="530"/>
      <c r="RQJ107" s="531"/>
      <c r="RQK107" s="530"/>
      <c r="RQL107" s="531"/>
      <c r="RQM107" s="530"/>
      <c r="RQN107" s="531"/>
      <c r="RQO107" s="530"/>
      <c r="RQP107" s="531"/>
      <c r="RQQ107" s="530"/>
      <c r="RQR107" s="531"/>
      <c r="RQS107" s="530"/>
      <c r="RQT107" s="531"/>
      <c r="RQU107" s="530"/>
      <c r="RQV107" s="531"/>
      <c r="RQW107" s="530"/>
      <c r="RQX107" s="531"/>
      <c r="RQY107" s="530"/>
      <c r="RQZ107" s="531"/>
      <c r="RRA107" s="530"/>
      <c r="RRB107" s="531"/>
      <c r="RRC107" s="530"/>
      <c r="RRD107" s="531"/>
      <c r="RRE107" s="530"/>
      <c r="RRF107" s="531"/>
      <c r="RRG107" s="530"/>
      <c r="RRH107" s="531"/>
      <c r="RRI107" s="530"/>
      <c r="RRJ107" s="531"/>
      <c r="RRK107" s="530"/>
      <c r="RRL107" s="531"/>
      <c r="RRM107" s="530"/>
      <c r="RRN107" s="531"/>
      <c r="RRO107" s="530"/>
      <c r="RRP107" s="531"/>
      <c r="RRQ107" s="530"/>
      <c r="RRR107" s="531"/>
      <c r="RRS107" s="530"/>
      <c r="RRT107" s="531"/>
      <c r="RRU107" s="530"/>
      <c r="RRV107" s="531"/>
      <c r="RRW107" s="530"/>
      <c r="RRX107" s="531"/>
      <c r="RRY107" s="530"/>
      <c r="RRZ107" s="531"/>
      <c r="RSA107" s="530"/>
      <c r="RSB107" s="531"/>
      <c r="RSC107" s="530"/>
      <c r="RSD107" s="531"/>
      <c r="RSE107" s="530"/>
      <c r="RSF107" s="531"/>
      <c r="RSG107" s="530"/>
      <c r="RSH107" s="531"/>
      <c r="RSI107" s="530"/>
      <c r="RSJ107" s="531"/>
      <c r="RSK107" s="530"/>
      <c r="RSL107" s="531"/>
      <c r="RSM107" s="530"/>
      <c r="RSN107" s="531"/>
      <c r="RSO107" s="530"/>
      <c r="RSP107" s="531"/>
      <c r="RSQ107" s="530"/>
      <c r="RSR107" s="531"/>
      <c r="RSS107" s="530"/>
      <c r="RST107" s="531"/>
      <c r="RSU107" s="530"/>
      <c r="RSV107" s="531"/>
      <c r="RSW107" s="530"/>
      <c r="RSX107" s="531"/>
      <c r="RSY107" s="530"/>
      <c r="RSZ107" s="531"/>
      <c r="RTA107" s="530"/>
      <c r="RTB107" s="531"/>
      <c r="RTC107" s="530"/>
      <c r="RTD107" s="531"/>
      <c r="RTE107" s="530"/>
      <c r="RTF107" s="531"/>
      <c r="RTG107" s="530"/>
      <c r="RTH107" s="531"/>
      <c r="RTI107" s="530"/>
      <c r="RTJ107" s="531"/>
      <c r="RTK107" s="530"/>
      <c r="RTL107" s="531"/>
      <c r="RTM107" s="530"/>
      <c r="RTN107" s="531"/>
      <c r="RTO107" s="530"/>
      <c r="RTP107" s="531"/>
      <c r="RTQ107" s="530"/>
      <c r="RTR107" s="531"/>
      <c r="RTS107" s="530"/>
      <c r="RTT107" s="531"/>
      <c r="RTU107" s="530"/>
      <c r="RTV107" s="531"/>
      <c r="RTW107" s="530"/>
      <c r="RTX107" s="531"/>
      <c r="RTY107" s="530"/>
      <c r="RTZ107" s="531"/>
      <c r="RUA107" s="530"/>
      <c r="RUB107" s="531"/>
      <c r="RUC107" s="530"/>
      <c r="RUD107" s="531"/>
      <c r="RUE107" s="530"/>
      <c r="RUF107" s="531"/>
      <c r="RUG107" s="530"/>
      <c r="RUH107" s="531"/>
      <c r="RUI107" s="530"/>
      <c r="RUJ107" s="531"/>
      <c r="RUK107" s="530"/>
      <c r="RUL107" s="531"/>
      <c r="RUM107" s="530"/>
      <c r="RUN107" s="531"/>
      <c r="RUO107" s="530"/>
      <c r="RUP107" s="531"/>
      <c r="RUQ107" s="530"/>
      <c r="RUR107" s="531"/>
      <c r="RUS107" s="530"/>
      <c r="RUT107" s="531"/>
      <c r="RUU107" s="530"/>
      <c r="RUV107" s="531"/>
      <c r="RUW107" s="530"/>
      <c r="RUX107" s="531"/>
      <c r="RUY107" s="530"/>
      <c r="RUZ107" s="531"/>
      <c r="RVA107" s="530"/>
      <c r="RVB107" s="531"/>
      <c r="RVC107" s="530"/>
      <c r="RVD107" s="531"/>
      <c r="RVE107" s="530"/>
      <c r="RVF107" s="531"/>
      <c r="RVG107" s="530"/>
      <c r="RVH107" s="531"/>
      <c r="RVI107" s="530"/>
      <c r="RVJ107" s="531"/>
      <c r="RVK107" s="530"/>
      <c r="RVL107" s="531"/>
      <c r="RVM107" s="530"/>
      <c r="RVN107" s="531"/>
      <c r="RVO107" s="530"/>
      <c r="RVP107" s="531"/>
      <c r="RVQ107" s="530"/>
      <c r="RVR107" s="531"/>
      <c r="RVS107" s="530"/>
      <c r="RVT107" s="531"/>
      <c r="RVU107" s="530"/>
      <c r="RVV107" s="531"/>
      <c r="RVW107" s="530"/>
      <c r="RVX107" s="531"/>
      <c r="RVY107" s="530"/>
      <c r="RVZ107" s="531"/>
      <c r="RWA107" s="530"/>
      <c r="RWB107" s="531"/>
      <c r="RWC107" s="530"/>
      <c r="RWD107" s="531"/>
      <c r="RWE107" s="530"/>
      <c r="RWF107" s="531"/>
      <c r="RWG107" s="530"/>
      <c r="RWH107" s="531"/>
      <c r="RWI107" s="530"/>
      <c r="RWJ107" s="531"/>
      <c r="RWK107" s="530"/>
      <c r="RWL107" s="531"/>
      <c r="RWM107" s="530"/>
      <c r="RWN107" s="531"/>
      <c r="RWO107" s="530"/>
      <c r="RWP107" s="531"/>
      <c r="RWQ107" s="530"/>
      <c r="RWR107" s="531"/>
      <c r="RWS107" s="530"/>
      <c r="RWT107" s="531"/>
      <c r="RWU107" s="530"/>
      <c r="RWV107" s="531"/>
      <c r="RWW107" s="530"/>
      <c r="RWX107" s="531"/>
      <c r="RWY107" s="530"/>
      <c r="RWZ107" s="531"/>
      <c r="RXA107" s="530"/>
      <c r="RXB107" s="531"/>
      <c r="RXC107" s="530"/>
      <c r="RXD107" s="531"/>
      <c r="RXE107" s="530"/>
      <c r="RXF107" s="531"/>
      <c r="RXG107" s="530"/>
      <c r="RXH107" s="531"/>
      <c r="RXI107" s="530"/>
      <c r="RXJ107" s="531"/>
      <c r="RXK107" s="530"/>
      <c r="RXL107" s="531"/>
      <c r="RXM107" s="530"/>
      <c r="RXN107" s="531"/>
      <c r="RXO107" s="530"/>
      <c r="RXP107" s="531"/>
      <c r="RXQ107" s="530"/>
      <c r="RXR107" s="531"/>
      <c r="RXS107" s="530"/>
      <c r="RXT107" s="531"/>
      <c r="RXU107" s="530"/>
      <c r="RXV107" s="531"/>
      <c r="RXW107" s="530"/>
      <c r="RXX107" s="531"/>
      <c r="RXY107" s="530"/>
      <c r="RXZ107" s="531"/>
      <c r="RYA107" s="530"/>
      <c r="RYB107" s="531"/>
      <c r="RYC107" s="530"/>
      <c r="RYD107" s="531"/>
      <c r="RYE107" s="530"/>
      <c r="RYF107" s="531"/>
      <c r="RYG107" s="530"/>
      <c r="RYH107" s="531"/>
      <c r="RYI107" s="530"/>
      <c r="RYJ107" s="531"/>
      <c r="RYK107" s="530"/>
      <c r="RYL107" s="531"/>
      <c r="RYM107" s="530"/>
      <c r="RYN107" s="531"/>
      <c r="RYO107" s="530"/>
      <c r="RYP107" s="531"/>
      <c r="RYQ107" s="530"/>
      <c r="RYR107" s="531"/>
      <c r="RYS107" s="530"/>
      <c r="RYT107" s="531"/>
      <c r="RYU107" s="530"/>
      <c r="RYV107" s="531"/>
      <c r="RYW107" s="530"/>
      <c r="RYX107" s="531"/>
      <c r="RYY107" s="530"/>
      <c r="RYZ107" s="531"/>
      <c r="RZA107" s="530"/>
      <c r="RZB107" s="531"/>
      <c r="RZC107" s="530"/>
      <c r="RZD107" s="531"/>
      <c r="RZE107" s="530"/>
      <c r="RZF107" s="531"/>
      <c r="RZG107" s="530"/>
      <c r="RZH107" s="531"/>
      <c r="RZI107" s="530"/>
      <c r="RZJ107" s="531"/>
      <c r="RZK107" s="530"/>
      <c r="RZL107" s="531"/>
      <c r="RZM107" s="530"/>
      <c r="RZN107" s="531"/>
      <c r="RZO107" s="530"/>
      <c r="RZP107" s="531"/>
      <c r="RZQ107" s="530"/>
      <c r="RZR107" s="531"/>
      <c r="RZS107" s="530"/>
      <c r="RZT107" s="531"/>
      <c r="RZU107" s="530"/>
      <c r="RZV107" s="531"/>
      <c r="RZW107" s="530"/>
      <c r="RZX107" s="531"/>
      <c r="RZY107" s="530"/>
      <c r="RZZ107" s="531"/>
      <c r="SAA107" s="530"/>
      <c r="SAB107" s="531"/>
      <c r="SAC107" s="530"/>
      <c r="SAD107" s="531"/>
      <c r="SAE107" s="530"/>
      <c r="SAF107" s="531"/>
      <c r="SAG107" s="530"/>
      <c r="SAH107" s="531"/>
      <c r="SAI107" s="530"/>
      <c r="SAJ107" s="531"/>
      <c r="SAK107" s="530"/>
      <c r="SAL107" s="531"/>
      <c r="SAM107" s="530"/>
      <c r="SAN107" s="531"/>
      <c r="SAO107" s="530"/>
      <c r="SAP107" s="531"/>
      <c r="SAQ107" s="530"/>
      <c r="SAR107" s="531"/>
      <c r="SAS107" s="530"/>
      <c r="SAT107" s="531"/>
      <c r="SAU107" s="530"/>
      <c r="SAV107" s="531"/>
      <c r="SAW107" s="530"/>
      <c r="SAX107" s="531"/>
      <c r="SAY107" s="530"/>
      <c r="SAZ107" s="531"/>
      <c r="SBA107" s="530"/>
      <c r="SBB107" s="531"/>
      <c r="SBC107" s="530"/>
      <c r="SBD107" s="531"/>
      <c r="SBE107" s="530"/>
      <c r="SBF107" s="531"/>
      <c r="SBG107" s="530"/>
      <c r="SBH107" s="531"/>
      <c r="SBI107" s="530"/>
      <c r="SBJ107" s="531"/>
      <c r="SBK107" s="530"/>
      <c r="SBL107" s="531"/>
      <c r="SBM107" s="530"/>
      <c r="SBN107" s="531"/>
      <c r="SBO107" s="530"/>
      <c r="SBP107" s="531"/>
      <c r="SBQ107" s="530"/>
      <c r="SBR107" s="531"/>
      <c r="SBS107" s="530"/>
      <c r="SBT107" s="531"/>
      <c r="SBU107" s="530"/>
      <c r="SBV107" s="531"/>
      <c r="SBW107" s="530"/>
      <c r="SBX107" s="531"/>
      <c r="SBY107" s="530"/>
      <c r="SBZ107" s="531"/>
      <c r="SCA107" s="530"/>
      <c r="SCB107" s="531"/>
      <c r="SCC107" s="530"/>
      <c r="SCD107" s="531"/>
      <c r="SCE107" s="530"/>
      <c r="SCF107" s="531"/>
      <c r="SCG107" s="530"/>
      <c r="SCH107" s="531"/>
      <c r="SCI107" s="530"/>
      <c r="SCJ107" s="531"/>
      <c r="SCK107" s="530"/>
      <c r="SCL107" s="531"/>
      <c r="SCM107" s="530"/>
      <c r="SCN107" s="531"/>
      <c r="SCO107" s="530"/>
      <c r="SCP107" s="531"/>
      <c r="SCQ107" s="530"/>
      <c r="SCR107" s="531"/>
      <c r="SCS107" s="530"/>
      <c r="SCT107" s="531"/>
      <c r="SCU107" s="530"/>
      <c r="SCV107" s="531"/>
      <c r="SCW107" s="530"/>
      <c r="SCX107" s="531"/>
      <c r="SCY107" s="530"/>
      <c r="SCZ107" s="531"/>
      <c r="SDA107" s="530"/>
      <c r="SDB107" s="531"/>
      <c r="SDC107" s="530"/>
      <c r="SDD107" s="531"/>
      <c r="SDE107" s="530"/>
      <c r="SDF107" s="531"/>
      <c r="SDG107" s="530"/>
      <c r="SDH107" s="531"/>
      <c r="SDI107" s="530"/>
      <c r="SDJ107" s="531"/>
      <c r="SDK107" s="530"/>
      <c r="SDL107" s="531"/>
      <c r="SDM107" s="530"/>
      <c r="SDN107" s="531"/>
      <c r="SDO107" s="530"/>
      <c r="SDP107" s="531"/>
      <c r="SDQ107" s="530"/>
      <c r="SDR107" s="531"/>
      <c r="SDS107" s="530"/>
      <c r="SDT107" s="531"/>
      <c r="SDU107" s="530"/>
      <c r="SDV107" s="531"/>
      <c r="SDW107" s="530"/>
      <c r="SDX107" s="531"/>
      <c r="SDY107" s="530"/>
      <c r="SDZ107" s="531"/>
      <c r="SEA107" s="530"/>
      <c r="SEB107" s="531"/>
      <c r="SEC107" s="530"/>
      <c r="SED107" s="531"/>
      <c r="SEE107" s="530"/>
      <c r="SEF107" s="531"/>
      <c r="SEG107" s="530"/>
      <c r="SEH107" s="531"/>
      <c r="SEI107" s="530"/>
      <c r="SEJ107" s="531"/>
      <c r="SEK107" s="530"/>
      <c r="SEL107" s="531"/>
      <c r="SEM107" s="530"/>
      <c r="SEN107" s="531"/>
      <c r="SEO107" s="530"/>
      <c r="SEP107" s="531"/>
      <c r="SEQ107" s="530"/>
      <c r="SER107" s="531"/>
      <c r="SES107" s="530"/>
      <c r="SET107" s="531"/>
      <c r="SEU107" s="530"/>
      <c r="SEV107" s="531"/>
      <c r="SEW107" s="530"/>
      <c r="SEX107" s="531"/>
      <c r="SEY107" s="530"/>
      <c r="SEZ107" s="531"/>
      <c r="SFA107" s="530"/>
      <c r="SFB107" s="531"/>
      <c r="SFC107" s="530"/>
      <c r="SFD107" s="531"/>
      <c r="SFE107" s="530"/>
      <c r="SFF107" s="531"/>
      <c r="SFG107" s="530"/>
      <c r="SFH107" s="531"/>
      <c r="SFI107" s="530"/>
      <c r="SFJ107" s="531"/>
      <c r="SFK107" s="530"/>
      <c r="SFL107" s="531"/>
      <c r="SFM107" s="530"/>
      <c r="SFN107" s="531"/>
      <c r="SFO107" s="530"/>
      <c r="SFP107" s="531"/>
      <c r="SFQ107" s="530"/>
      <c r="SFR107" s="531"/>
      <c r="SFS107" s="530"/>
      <c r="SFT107" s="531"/>
      <c r="SFU107" s="530"/>
      <c r="SFV107" s="531"/>
      <c r="SFW107" s="530"/>
      <c r="SFX107" s="531"/>
      <c r="SFY107" s="530"/>
      <c r="SFZ107" s="531"/>
      <c r="SGA107" s="530"/>
      <c r="SGB107" s="531"/>
      <c r="SGC107" s="530"/>
      <c r="SGD107" s="531"/>
      <c r="SGE107" s="530"/>
      <c r="SGF107" s="531"/>
      <c r="SGG107" s="530"/>
      <c r="SGH107" s="531"/>
      <c r="SGI107" s="530"/>
      <c r="SGJ107" s="531"/>
      <c r="SGK107" s="530"/>
      <c r="SGL107" s="531"/>
      <c r="SGM107" s="530"/>
      <c r="SGN107" s="531"/>
      <c r="SGO107" s="530"/>
      <c r="SGP107" s="531"/>
      <c r="SGQ107" s="530"/>
      <c r="SGR107" s="531"/>
      <c r="SGS107" s="530"/>
      <c r="SGT107" s="531"/>
      <c r="SGU107" s="530"/>
      <c r="SGV107" s="531"/>
      <c r="SGW107" s="530"/>
      <c r="SGX107" s="531"/>
      <c r="SGY107" s="530"/>
      <c r="SGZ107" s="531"/>
      <c r="SHA107" s="530"/>
      <c r="SHB107" s="531"/>
      <c r="SHC107" s="530"/>
      <c r="SHD107" s="531"/>
      <c r="SHE107" s="530"/>
      <c r="SHF107" s="531"/>
      <c r="SHG107" s="530"/>
      <c r="SHH107" s="531"/>
      <c r="SHI107" s="530"/>
      <c r="SHJ107" s="531"/>
      <c r="SHK107" s="530"/>
      <c r="SHL107" s="531"/>
      <c r="SHM107" s="530"/>
      <c r="SHN107" s="531"/>
      <c r="SHO107" s="530"/>
      <c r="SHP107" s="531"/>
      <c r="SHQ107" s="530"/>
      <c r="SHR107" s="531"/>
      <c r="SHS107" s="530"/>
      <c r="SHT107" s="531"/>
      <c r="SHU107" s="530"/>
      <c r="SHV107" s="531"/>
      <c r="SHW107" s="530"/>
      <c r="SHX107" s="531"/>
      <c r="SHY107" s="530"/>
      <c r="SHZ107" s="531"/>
      <c r="SIA107" s="530"/>
      <c r="SIB107" s="531"/>
      <c r="SIC107" s="530"/>
      <c r="SID107" s="531"/>
      <c r="SIE107" s="530"/>
      <c r="SIF107" s="531"/>
      <c r="SIG107" s="530"/>
      <c r="SIH107" s="531"/>
      <c r="SII107" s="530"/>
      <c r="SIJ107" s="531"/>
      <c r="SIK107" s="530"/>
      <c r="SIL107" s="531"/>
      <c r="SIM107" s="530"/>
      <c r="SIN107" s="531"/>
      <c r="SIO107" s="530"/>
      <c r="SIP107" s="531"/>
      <c r="SIQ107" s="530"/>
      <c r="SIR107" s="531"/>
      <c r="SIS107" s="530"/>
      <c r="SIT107" s="531"/>
      <c r="SIU107" s="530"/>
      <c r="SIV107" s="531"/>
      <c r="SIW107" s="530"/>
      <c r="SIX107" s="531"/>
      <c r="SIY107" s="530"/>
      <c r="SIZ107" s="531"/>
      <c r="SJA107" s="530"/>
      <c r="SJB107" s="531"/>
      <c r="SJC107" s="530"/>
      <c r="SJD107" s="531"/>
      <c r="SJE107" s="530"/>
      <c r="SJF107" s="531"/>
      <c r="SJG107" s="530"/>
      <c r="SJH107" s="531"/>
      <c r="SJI107" s="530"/>
      <c r="SJJ107" s="531"/>
      <c r="SJK107" s="530"/>
      <c r="SJL107" s="531"/>
      <c r="SJM107" s="530"/>
      <c r="SJN107" s="531"/>
      <c r="SJO107" s="530"/>
      <c r="SJP107" s="531"/>
      <c r="SJQ107" s="530"/>
      <c r="SJR107" s="531"/>
      <c r="SJS107" s="530"/>
      <c r="SJT107" s="531"/>
      <c r="SJU107" s="530"/>
      <c r="SJV107" s="531"/>
      <c r="SJW107" s="530"/>
      <c r="SJX107" s="531"/>
      <c r="SJY107" s="530"/>
      <c r="SJZ107" s="531"/>
      <c r="SKA107" s="530"/>
      <c r="SKB107" s="531"/>
      <c r="SKC107" s="530"/>
      <c r="SKD107" s="531"/>
      <c r="SKE107" s="530"/>
      <c r="SKF107" s="531"/>
      <c r="SKG107" s="530"/>
      <c r="SKH107" s="531"/>
      <c r="SKI107" s="530"/>
      <c r="SKJ107" s="531"/>
      <c r="SKK107" s="530"/>
      <c r="SKL107" s="531"/>
      <c r="SKM107" s="530"/>
      <c r="SKN107" s="531"/>
      <c r="SKO107" s="530"/>
      <c r="SKP107" s="531"/>
      <c r="SKQ107" s="530"/>
      <c r="SKR107" s="531"/>
      <c r="SKS107" s="530"/>
      <c r="SKT107" s="531"/>
      <c r="SKU107" s="530"/>
      <c r="SKV107" s="531"/>
      <c r="SKW107" s="530"/>
      <c r="SKX107" s="531"/>
      <c r="SKY107" s="530"/>
      <c r="SKZ107" s="531"/>
      <c r="SLA107" s="530"/>
      <c r="SLB107" s="531"/>
      <c r="SLC107" s="530"/>
      <c r="SLD107" s="531"/>
      <c r="SLE107" s="530"/>
      <c r="SLF107" s="531"/>
      <c r="SLG107" s="530"/>
      <c r="SLH107" s="531"/>
      <c r="SLI107" s="530"/>
      <c r="SLJ107" s="531"/>
      <c r="SLK107" s="530"/>
      <c r="SLL107" s="531"/>
      <c r="SLM107" s="530"/>
      <c r="SLN107" s="531"/>
      <c r="SLO107" s="530"/>
      <c r="SLP107" s="531"/>
      <c r="SLQ107" s="530"/>
      <c r="SLR107" s="531"/>
      <c r="SLS107" s="530"/>
      <c r="SLT107" s="531"/>
      <c r="SLU107" s="530"/>
      <c r="SLV107" s="531"/>
      <c r="SLW107" s="530"/>
      <c r="SLX107" s="531"/>
      <c r="SLY107" s="530"/>
      <c r="SLZ107" s="531"/>
      <c r="SMA107" s="530"/>
      <c r="SMB107" s="531"/>
      <c r="SMC107" s="530"/>
      <c r="SMD107" s="531"/>
      <c r="SME107" s="530"/>
      <c r="SMF107" s="531"/>
      <c r="SMG107" s="530"/>
      <c r="SMH107" s="531"/>
      <c r="SMI107" s="530"/>
      <c r="SMJ107" s="531"/>
      <c r="SMK107" s="530"/>
      <c r="SML107" s="531"/>
      <c r="SMM107" s="530"/>
      <c r="SMN107" s="531"/>
      <c r="SMO107" s="530"/>
      <c r="SMP107" s="531"/>
      <c r="SMQ107" s="530"/>
      <c r="SMR107" s="531"/>
      <c r="SMS107" s="530"/>
      <c r="SMT107" s="531"/>
      <c r="SMU107" s="530"/>
      <c r="SMV107" s="531"/>
      <c r="SMW107" s="530"/>
      <c r="SMX107" s="531"/>
      <c r="SMY107" s="530"/>
      <c r="SMZ107" s="531"/>
      <c r="SNA107" s="530"/>
      <c r="SNB107" s="531"/>
      <c r="SNC107" s="530"/>
      <c r="SND107" s="531"/>
      <c r="SNE107" s="530"/>
      <c r="SNF107" s="531"/>
      <c r="SNG107" s="530"/>
      <c r="SNH107" s="531"/>
      <c r="SNI107" s="530"/>
      <c r="SNJ107" s="531"/>
      <c r="SNK107" s="530"/>
      <c r="SNL107" s="531"/>
      <c r="SNM107" s="530"/>
      <c r="SNN107" s="531"/>
      <c r="SNO107" s="530"/>
      <c r="SNP107" s="531"/>
      <c r="SNQ107" s="530"/>
      <c r="SNR107" s="531"/>
      <c r="SNS107" s="530"/>
      <c r="SNT107" s="531"/>
      <c r="SNU107" s="530"/>
      <c r="SNV107" s="531"/>
      <c r="SNW107" s="530"/>
      <c r="SNX107" s="531"/>
      <c r="SNY107" s="530"/>
      <c r="SNZ107" s="531"/>
      <c r="SOA107" s="530"/>
      <c r="SOB107" s="531"/>
      <c r="SOC107" s="530"/>
      <c r="SOD107" s="531"/>
      <c r="SOE107" s="530"/>
      <c r="SOF107" s="531"/>
      <c r="SOG107" s="530"/>
      <c r="SOH107" s="531"/>
      <c r="SOI107" s="530"/>
      <c r="SOJ107" s="531"/>
      <c r="SOK107" s="530"/>
      <c r="SOL107" s="531"/>
      <c r="SOM107" s="530"/>
      <c r="SON107" s="531"/>
      <c r="SOO107" s="530"/>
      <c r="SOP107" s="531"/>
      <c r="SOQ107" s="530"/>
      <c r="SOR107" s="531"/>
      <c r="SOS107" s="530"/>
      <c r="SOT107" s="531"/>
      <c r="SOU107" s="530"/>
      <c r="SOV107" s="531"/>
      <c r="SOW107" s="530"/>
      <c r="SOX107" s="531"/>
      <c r="SOY107" s="530"/>
      <c r="SOZ107" s="531"/>
      <c r="SPA107" s="530"/>
      <c r="SPB107" s="531"/>
      <c r="SPC107" s="530"/>
      <c r="SPD107" s="531"/>
      <c r="SPE107" s="530"/>
      <c r="SPF107" s="531"/>
      <c r="SPG107" s="530"/>
      <c r="SPH107" s="531"/>
      <c r="SPI107" s="530"/>
      <c r="SPJ107" s="531"/>
      <c r="SPK107" s="530"/>
      <c r="SPL107" s="531"/>
      <c r="SPM107" s="530"/>
      <c r="SPN107" s="531"/>
      <c r="SPO107" s="530"/>
      <c r="SPP107" s="531"/>
      <c r="SPQ107" s="530"/>
      <c r="SPR107" s="531"/>
      <c r="SPS107" s="530"/>
      <c r="SPT107" s="531"/>
      <c r="SPU107" s="530"/>
      <c r="SPV107" s="531"/>
      <c r="SPW107" s="530"/>
      <c r="SPX107" s="531"/>
      <c r="SPY107" s="530"/>
      <c r="SPZ107" s="531"/>
      <c r="SQA107" s="530"/>
      <c r="SQB107" s="531"/>
      <c r="SQC107" s="530"/>
      <c r="SQD107" s="531"/>
      <c r="SQE107" s="530"/>
      <c r="SQF107" s="531"/>
      <c r="SQG107" s="530"/>
      <c r="SQH107" s="531"/>
      <c r="SQI107" s="530"/>
      <c r="SQJ107" s="531"/>
      <c r="SQK107" s="530"/>
      <c r="SQL107" s="531"/>
      <c r="SQM107" s="530"/>
      <c r="SQN107" s="531"/>
      <c r="SQO107" s="530"/>
      <c r="SQP107" s="531"/>
      <c r="SQQ107" s="530"/>
      <c r="SQR107" s="531"/>
      <c r="SQS107" s="530"/>
      <c r="SQT107" s="531"/>
      <c r="SQU107" s="530"/>
      <c r="SQV107" s="531"/>
      <c r="SQW107" s="530"/>
      <c r="SQX107" s="531"/>
      <c r="SQY107" s="530"/>
      <c r="SQZ107" s="531"/>
      <c r="SRA107" s="530"/>
      <c r="SRB107" s="531"/>
      <c r="SRC107" s="530"/>
      <c r="SRD107" s="531"/>
      <c r="SRE107" s="530"/>
      <c r="SRF107" s="531"/>
      <c r="SRG107" s="530"/>
      <c r="SRH107" s="531"/>
      <c r="SRI107" s="530"/>
      <c r="SRJ107" s="531"/>
      <c r="SRK107" s="530"/>
      <c r="SRL107" s="531"/>
      <c r="SRM107" s="530"/>
      <c r="SRN107" s="531"/>
      <c r="SRO107" s="530"/>
      <c r="SRP107" s="531"/>
      <c r="SRQ107" s="530"/>
      <c r="SRR107" s="531"/>
      <c r="SRS107" s="530"/>
      <c r="SRT107" s="531"/>
      <c r="SRU107" s="530"/>
      <c r="SRV107" s="531"/>
      <c r="SRW107" s="530"/>
      <c r="SRX107" s="531"/>
      <c r="SRY107" s="530"/>
      <c r="SRZ107" s="531"/>
      <c r="SSA107" s="530"/>
      <c r="SSB107" s="531"/>
      <c r="SSC107" s="530"/>
      <c r="SSD107" s="531"/>
      <c r="SSE107" s="530"/>
      <c r="SSF107" s="531"/>
      <c r="SSG107" s="530"/>
      <c r="SSH107" s="531"/>
      <c r="SSI107" s="530"/>
      <c r="SSJ107" s="531"/>
      <c r="SSK107" s="530"/>
      <c r="SSL107" s="531"/>
      <c r="SSM107" s="530"/>
      <c r="SSN107" s="531"/>
      <c r="SSO107" s="530"/>
      <c r="SSP107" s="531"/>
      <c r="SSQ107" s="530"/>
      <c r="SSR107" s="531"/>
      <c r="SSS107" s="530"/>
      <c r="SST107" s="531"/>
      <c r="SSU107" s="530"/>
      <c r="SSV107" s="531"/>
      <c r="SSW107" s="530"/>
      <c r="SSX107" s="531"/>
      <c r="SSY107" s="530"/>
      <c r="SSZ107" s="531"/>
      <c r="STA107" s="530"/>
      <c r="STB107" s="531"/>
      <c r="STC107" s="530"/>
      <c r="STD107" s="531"/>
      <c r="STE107" s="530"/>
      <c r="STF107" s="531"/>
      <c r="STG107" s="530"/>
      <c r="STH107" s="531"/>
      <c r="STI107" s="530"/>
      <c r="STJ107" s="531"/>
      <c r="STK107" s="530"/>
      <c r="STL107" s="531"/>
      <c r="STM107" s="530"/>
      <c r="STN107" s="531"/>
      <c r="STO107" s="530"/>
      <c r="STP107" s="531"/>
      <c r="STQ107" s="530"/>
      <c r="STR107" s="531"/>
      <c r="STS107" s="530"/>
      <c r="STT107" s="531"/>
      <c r="STU107" s="530"/>
      <c r="STV107" s="531"/>
      <c r="STW107" s="530"/>
      <c r="STX107" s="531"/>
      <c r="STY107" s="530"/>
      <c r="STZ107" s="531"/>
      <c r="SUA107" s="530"/>
      <c r="SUB107" s="531"/>
      <c r="SUC107" s="530"/>
      <c r="SUD107" s="531"/>
      <c r="SUE107" s="530"/>
      <c r="SUF107" s="531"/>
      <c r="SUG107" s="530"/>
      <c r="SUH107" s="531"/>
      <c r="SUI107" s="530"/>
      <c r="SUJ107" s="531"/>
      <c r="SUK107" s="530"/>
      <c r="SUL107" s="531"/>
      <c r="SUM107" s="530"/>
      <c r="SUN107" s="531"/>
      <c r="SUO107" s="530"/>
      <c r="SUP107" s="531"/>
      <c r="SUQ107" s="530"/>
      <c r="SUR107" s="531"/>
      <c r="SUS107" s="530"/>
      <c r="SUT107" s="531"/>
      <c r="SUU107" s="530"/>
      <c r="SUV107" s="531"/>
      <c r="SUW107" s="530"/>
      <c r="SUX107" s="531"/>
      <c r="SUY107" s="530"/>
      <c r="SUZ107" s="531"/>
      <c r="SVA107" s="530"/>
      <c r="SVB107" s="531"/>
      <c r="SVC107" s="530"/>
      <c r="SVD107" s="531"/>
      <c r="SVE107" s="530"/>
      <c r="SVF107" s="531"/>
      <c r="SVG107" s="530"/>
      <c r="SVH107" s="531"/>
      <c r="SVI107" s="530"/>
      <c r="SVJ107" s="531"/>
      <c r="SVK107" s="530"/>
      <c r="SVL107" s="531"/>
      <c r="SVM107" s="530"/>
      <c r="SVN107" s="531"/>
      <c r="SVO107" s="530"/>
      <c r="SVP107" s="531"/>
      <c r="SVQ107" s="530"/>
      <c r="SVR107" s="531"/>
      <c r="SVS107" s="530"/>
      <c r="SVT107" s="531"/>
      <c r="SVU107" s="530"/>
      <c r="SVV107" s="531"/>
      <c r="SVW107" s="530"/>
      <c r="SVX107" s="531"/>
      <c r="SVY107" s="530"/>
      <c r="SVZ107" s="531"/>
      <c r="SWA107" s="530"/>
      <c r="SWB107" s="531"/>
      <c r="SWC107" s="530"/>
      <c r="SWD107" s="531"/>
      <c r="SWE107" s="530"/>
      <c r="SWF107" s="531"/>
      <c r="SWG107" s="530"/>
      <c r="SWH107" s="531"/>
      <c r="SWI107" s="530"/>
      <c r="SWJ107" s="531"/>
      <c r="SWK107" s="530"/>
      <c r="SWL107" s="531"/>
      <c r="SWM107" s="530"/>
      <c r="SWN107" s="531"/>
      <c r="SWO107" s="530"/>
      <c r="SWP107" s="531"/>
      <c r="SWQ107" s="530"/>
      <c r="SWR107" s="531"/>
      <c r="SWS107" s="530"/>
      <c r="SWT107" s="531"/>
      <c r="SWU107" s="530"/>
      <c r="SWV107" s="531"/>
      <c r="SWW107" s="530"/>
      <c r="SWX107" s="531"/>
      <c r="SWY107" s="530"/>
      <c r="SWZ107" s="531"/>
      <c r="SXA107" s="530"/>
      <c r="SXB107" s="531"/>
      <c r="SXC107" s="530"/>
      <c r="SXD107" s="531"/>
      <c r="SXE107" s="530"/>
      <c r="SXF107" s="531"/>
      <c r="SXG107" s="530"/>
      <c r="SXH107" s="531"/>
      <c r="SXI107" s="530"/>
      <c r="SXJ107" s="531"/>
      <c r="SXK107" s="530"/>
      <c r="SXL107" s="531"/>
      <c r="SXM107" s="530"/>
      <c r="SXN107" s="531"/>
      <c r="SXO107" s="530"/>
      <c r="SXP107" s="531"/>
      <c r="SXQ107" s="530"/>
      <c r="SXR107" s="531"/>
      <c r="SXS107" s="530"/>
      <c r="SXT107" s="531"/>
      <c r="SXU107" s="530"/>
      <c r="SXV107" s="531"/>
      <c r="SXW107" s="530"/>
      <c r="SXX107" s="531"/>
      <c r="SXY107" s="530"/>
      <c r="SXZ107" s="531"/>
      <c r="SYA107" s="530"/>
      <c r="SYB107" s="531"/>
      <c r="SYC107" s="530"/>
      <c r="SYD107" s="531"/>
      <c r="SYE107" s="530"/>
      <c r="SYF107" s="531"/>
      <c r="SYG107" s="530"/>
      <c r="SYH107" s="531"/>
      <c r="SYI107" s="530"/>
      <c r="SYJ107" s="531"/>
      <c r="SYK107" s="530"/>
      <c r="SYL107" s="531"/>
      <c r="SYM107" s="530"/>
      <c r="SYN107" s="531"/>
      <c r="SYO107" s="530"/>
      <c r="SYP107" s="531"/>
      <c r="SYQ107" s="530"/>
      <c r="SYR107" s="531"/>
      <c r="SYS107" s="530"/>
      <c r="SYT107" s="531"/>
      <c r="SYU107" s="530"/>
      <c r="SYV107" s="531"/>
      <c r="SYW107" s="530"/>
      <c r="SYX107" s="531"/>
      <c r="SYY107" s="530"/>
      <c r="SYZ107" s="531"/>
      <c r="SZA107" s="530"/>
      <c r="SZB107" s="531"/>
      <c r="SZC107" s="530"/>
      <c r="SZD107" s="531"/>
      <c r="SZE107" s="530"/>
      <c r="SZF107" s="531"/>
      <c r="SZG107" s="530"/>
      <c r="SZH107" s="531"/>
      <c r="SZI107" s="530"/>
      <c r="SZJ107" s="531"/>
      <c r="SZK107" s="530"/>
      <c r="SZL107" s="531"/>
      <c r="SZM107" s="530"/>
      <c r="SZN107" s="531"/>
      <c r="SZO107" s="530"/>
      <c r="SZP107" s="531"/>
      <c r="SZQ107" s="530"/>
      <c r="SZR107" s="531"/>
      <c r="SZS107" s="530"/>
      <c r="SZT107" s="531"/>
      <c r="SZU107" s="530"/>
      <c r="SZV107" s="531"/>
      <c r="SZW107" s="530"/>
      <c r="SZX107" s="531"/>
      <c r="SZY107" s="530"/>
      <c r="SZZ107" s="531"/>
      <c r="TAA107" s="530"/>
      <c r="TAB107" s="531"/>
      <c r="TAC107" s="530"/>
      <c r="TAD107" s="531"/>
      <c r="TAE107" s="530"/>
      <c r="TAF107" s="531"/>
      <c r="TAG107" s="530"/>
      <c r="TAH107" s="531"/>
      <c r="TAI107" s="530"/>
      <c r="TAJ107" s="531"/>
      <c r="TAK107" s="530"/>
      <c r="TAL107" s="531"/>
      <c r="TAM107" s="530"/>
      <c r="TAN107" s="531"/>
      <c r="TAO107" s="530"/>
      <c r="TAP107" s="531"/>
      <c r="TAQ107" s="530"/>
      <c r="TAR107" s="531"/>
      <c r="TAS107" s="530"/>
      <c r="TAT107" s="531"/>
      <c r="TAU107" s="530"/>
      <c r="TAV107" s="531"/>
      <c r="TAW107" s="530"/>
      <c r="TAX107" s="531"/>
      <c r="TAY107" s="530"/>
      <c r="TAZ107" s="531"/>
      <c r="TBA107" s="530"/>
      <c r="TBB107" s="531"/>
      <c r="TBC107" s="530"/>
      <c r="TBD107" s="531"/>
      <c r="TBE107" s="530"/>
      <c r="TBF107" s="531"/>
      <c r="TBG107" s="530"/>
      <c r="TBH107" s="531"/>
      <c r="TBI107" s="530"/>
      <c r="TBJ107" s="531"/>
      <c r="TBK107" s="530"/>
      <c r="TBL107" s="531"/>
      <c r="TBM107" s="530"/>
      <c r="TBN107" s="531"/>
      <c r="TBO107" s="530"/>
      <c r="TBP107" s="531"/>
      <c r="TBQ107" s="530"/>
      <c r="TBR107" s="531"/>
      <c r="TBS107" s="530"/>
      <c r="TBT107" s="531"/>
      <c r="TBU107" s="530"/>
      <c r="TBV107" s="531"/>
      <c r="TBW107" s="530"/>
      <c r="TBX107" s="531"/>
      <c r="TBY107" s="530"/>
      <c r="TBZ107" s="531"/>
      <c r="TCA107" s="530"/>
      <c r="TCB107" s="531"/>
      <c r="TCC107" s="530"/>
      <c r="TCD107" s="531"/>
      <c r="TCE107" s="530"/>
      <c r="TCF107" s="531"/>
      <c r="TCG107" s="530"/>
      <c r="TCH107" s="531"/>
      <c r="TCI107" s="530"/>
      <c r="TCJ107" s="531"/>
      <c r="TCK107" s="530"/>
      <c r="TCL107" s="531"/>
      <c r="TCM107" s="530"/>
      <c r="TCN107" s="531"/>
      <c r="TCO107" s="530"/>
      <c r="TCP107" s="531"/>
      <c r="TCQ107" s="530"/>
      <c r="TCR107" s="531"/>
      <c r="TCS107" s="530"/>
      <c r="TCT107" s="531"/>
      <c r="TCU107" s="530"/>
      <c r="TCV107" s="531"/>
      <c r="TCW107" s="530"/>
      <c r="TCX107" s="531"/>
      <c r="TCY107" s="530"/>
      <c r="TCZ107" s="531"/>
      <c r="TDA107" s="530"/>
      <c r="TDB107" s="531"/>
      <c r="TDC107" s="530"/>
      <c r="TDD107" s="531"/>
      <c r="TDE107" s="530"/>
      <c r="TDF107" s="531"/>
      <c r="TDG107" s="530"/>
      <c r="TDH107" s="531"/>
      <c r="TDI107" s="530"/>
      <c r="TDJ107" s="531"/>
      <c r="TDK107" s="530"/>
      <c r="TDL107" s="531"/>
      <c r="TDM107" s="530"/>
      <c r="TDN107" s="531"/>
      <c r="TDO107" s="530"/>
      <c r="TDP107" s="531"/>
      <c r="TDQ107" s="530"/>
      <c r="TDR107" s="531"/>
      <c r="TDS107" s="530"/>
      <c r="TDT107" s="531"/>
      <c r="TDU107" s="530"/>
      <c r="TDV107" s="531"/>
      <c r="TDW107" s="530"/>
      <c r="TDX107" s="531"/>
      <c r="TDY107" s="530"/>
      <c r="TDZ107" s="531"/>
      <c r="TEA107" s="530"/>
      <c r="TEB107" s="531"/>
      <c r="TEC107" s="530"/>
      <c r="TED107" s="531"/>
      <c r="TEE107" s="530"/>
      <c r="TEF107" s="531"/>
      <c r="TEG107" s="530"/>
      <c r="TEH107" s="531"/>
      <c r="TEI107" s="530"/>
      <c r="TEJ107" s="531"/>
      <c r="TEK107" s="530"/>
      <c r="TEL107" s="531"/>
      <c r="TEM107" s="530"/>
      <c r="TEN107" s="531"/>
      <c r="TEO107" s="530"/>
      <c r="TEP107" s="531"/>
      <c r="TEQ107" s="530"/>
      <c r="TER107" s="531"/>
      <c r="TES107" s="530"/>
      <c r="TET107" s="531"/>
      <c r="TEU107" s="530"/>
      <c r="TEV107" s="531"/>
      <c r="TEW107" s="530"/>
      <c r="TEX107" s="531"/>
      <c r="TEY107" s="530"/>
      <c r="TEZ107" s="531"/>
      <c r="TFA107" s="530"/>
      <c r="TFB107" s="531"/>
      <c r="TFC107" s="530"/>
      <c r="TFD107" s="531"/>
      <c r="TFE107" s="530"/>
      <c r="TFF107" s="531"/>
      <c r="TFG107" s="530"/>
      <c r="TFH107" s="531"/>
      <c r="TFI107" s="530"/>
      <c r="TFJ107" s="531"/>
      <c r="TFK107" s="530"/>
      <c r="TFL107" s="531"/>
      <c r="TFM107" s="530"/>
      <c r="TFN107" s="531"/>
      <c r="TFO107" s="530"/>
      <c r="TFP107" s="531"/>
      <c r="TFQ107" s="530"/>
      <c r="TFR107" s="531"/>
      <c r="TFS107" s="530"/>
      <c r="TFT107" s="531"/>
      <c r="TFU107" s="530"/>
      <c r="TFV107" s="531"/>
      <c r="TFW107" s="530"/>
      <c r="TFX107" s="531"/>
      <c r="TFY107" s="530"/>
      <c r="TFZ107" s="531"/>
      <c r="TGA107" s="530"/>
      <c r="TGB107" s="531"/>
      <c r="TGC107" s="530"/>
      <c r="TGD107" s="531"/>
      <c r="TGE107" s="530"/>
      <c r="TGF107" s="531"/>
      <c r="TGG107" s="530"/>
      <c r="TGH107" s="531"/>
      <c r="TGI107" s="530"/>
      <c r="TGJ107" s="531"/>
      <c r="TGK107" s="530"/>
      <c r="TGL107" s="531"/>
      <c r="TGM107" s="530"/>
      <c r="TGN107" s="531"/>
      <c r="TGO107" s="530"/>
      <c r="TGP107" s="531"/>
      <c r="TGQ107" s="530"/>
      <c r="TGR107" s="531"/>
      <c r="TGS107" s="530"/>
      <c r="TGT107" s="531"/>
      <c r="TGU107" s="530"/>
      <c r="TGV107" s="531"/>
      <c r="TGW107" s="530"/>
      <c r="TGX107" s="531"/>
      <c r="TGY107" s="530"/>
      <c r="TGZ107" s="531"/>
      <c r="THA107" s="530"/>
      <c r="THB107" s="531"/>
      <c r="THC107" s="530"/>
      <c r="THD107" s="531"/>
      <c r="THE107" s="530"/>
      <c r="THF107" s="531"/>
      <c r="THG107" s="530"/>
      <c r="THH107" s="531"/>
      <c r="THI107" s="530"/>
      <c r="THJ107" s="531"/>
      <c r="THK107" s="530"/>
      <c r="THL107" s="531"/>
      <c r="THM107" s="530"/>
      <c r="THN107" s="531"/>
      <c r="THO107" s="530"/>
      <c r="THP107" s="531"/>
      <c r="THQ107" s="530"/>
      <c r="THR107" s="531"/>
      <c r="THS107" s="530"/>
      <c r="THT107" s="531"/>
      <c r="THU107" s="530"/>
      <c r="THV107" s="531"/>
      <c r="THW107" s="530"/>
      <c r="THX107" s="531"/>
      <c r="THY107" s="530"/>
      <c r="THZ107" s="531"/>
      <c r="TIA107" s="530"/>
      <c r="TIB107" s="531"/>
      <c r="TIC107" s="530"/>
      <c r="TID107" s="531"/>
      <c r="TIE107" s="530"/>
      <c r="TIF107" s="531"/>
      <c r="TIG107" s="530"/>
      <c r="TIH107" s="531"/>
      <c r="TII107" s="530"/>
      <c r="TIJ107" s="531"/>
      <c r="TIK107" s="530"/>
      <c r="TIL107" s="531"/>
      <c r="TIM107" s="530"/>
      <c r="TIN107" s="531"/>
      <c r="TIO107" s="530"/>
      <c r="TIP107" s="531"/>
      <c r="TIQ107" s="530"/>
      <c r="TIR107" s="531"/>
      <c r="TIS107" s="530"/>
      <c r="TIT107" s="531"/>
      <c r="TIU107" s="530"/>
      <c r="TIV107" s="531"/>
      <c r="TIW107" s="530"/>
      <c r="TIX107" s="531"/>
      <c r="TIY107" s="530"/>
      <c r="TIZ107" s="531"/>
      <c r="TJA107" s="530"/>
      <c r="TJB107" s="531"/>
      <c r="TJC107" s="530"/>
      <c r="TJD107" s="531"/>
      <c r="TJE107" s="530"/>
      <c r="TJF107" s="531"/>
      <c r="TJG107" s="530"/>
      <c r="TJH107" s="531"/>
      <c r="TJI107" s="530"/>
      <c r="TJJ107" s="531"/>
      <c r="TJK107" s="530"/>
      <c r="TJL107" s="531"/>
      <c r="TJM107" s="530"/>
      <c r="TJN107" s="531"/>
      <c r="TJO107" s="530"/>
      <c r="TJP107" s="531"/>
      <c r="TJQ107" s="530"/>
      <c r="TJR107" s="531"/>
      <c r="TJS107" s="530"/>
      <c r="TJT107" s="531"/>
      <c r="TJU107" s="530"/>
      <c r="TJV107" s="531"/>
      <c r="TJW107" s="530"/>
      <c r="TJX107" s="531"/>
      <c r="TJY107" s="530"/>
      <c r="TJZ107" s="531"/>
      <c r="TKA107" s="530"/>
      <c r="TKB107" s="531"/>
      <c r="TKC107" s="530"/>
      <c r="TKD107" s="531"/>
      <c r="TKE107" s="530"/>
      <c r="TKF107" s="531"/>
      <c r="TKG107" s="530"/>
      <c r="TKH107" s="531"/>
      <c r="TKI107" s="530"/>
      <c r="TKJ107" s="531"/>
      <c r="TKK107" s="530"/>
      <c r="TKL107" s="531"/>
      <c r="TKM107" s="530"/>
      <c r="TKN107" s="531"/>
      <c r="TKO107" s="530"/>
      <c r="TKP107" s="531"/>
      <c r="TKQ107" s="530"/>
      <c r="TKR107" s="531"/>
      <c r="TKS107" s="530"/>
      <c r="TKT107" s="531"/>
      <c r="TKU107" s="530"/>
      <c r="TKV107" s="531"/>
      <c r="TKW107" s="530"/>
      <c r="TKX107" s="531"/>
      <c r="TKY107" s="530"/>
      <c r="TKZ107" s="531"/>
      <c r="TLA107" s="530"/>
      <c r="TLB107" s="531"/>
      <c r="TLC107" s="530"/>
      <c r="TLD107" s="531"/>
      <c r="TLE107" s="530"/>
      <c r="TLF107" s="531"/>
      <c r="TLG107" s="530"/>
      <c r="TLH107" s="531"/>
      <c r="TLI107" s="530"/>
      <c r="TLJ107" s="531"/>
      <c r="TLK107" s="530"/>
      <c r="TLL107" s="531"/>
      <c r="TLM107" s="530"/>
      <c r="TLN107" s="531"/>
      <c r="TLO107" s="530"/>
      <c r="TLP107" s="531"/>
      <c r="TLQ107" s="530"/>
      <c r="TLR107" s="531"/>
      <c r="TLS107" s="530"/>
      <c r="TLT107" s="531"/>
      <c r="TLU107" s="530"/>
      <c r="TLV107" s="531"/>
      <c r="TLW107" s="530"/>
      <c r="TLX107" s="531"/>
      <c r="TLY107" s="530"/>
      <c r="TLZ107" s="531"/>
      <c r="TMA107" s="530"/>
      <c r="TMB107" s="531"/>
      <c r="TMC107" s="530"/>
      <c r="TMD107" s="531"/>
      <c r="TME107" s="530"/>
      <c r="TMF107" s="531"/>
      <c r="TMG107" s="530"/>
      <c r="TMH107" s="531"/>
      <c r="TMI107" s="530"/>
      <c r="TMJ107" s="531"/>
      <c r="TMK107" s="530"/>
      <c r="TML107" s="531"/>
      <c r="TMM107" s="530"/>
      <c r="TMN107" s="531"/>
      <c r="TMO107" s="530"/>
      <c r="TMP107" s="531"/>
      <c r="TMQ107" s="530"/>
      <c r="TMR107" s="531"/>
      <c r="TMS107" s="530"/>
      <c r="TMT107" s="531"/>
      <c r="TMU107" s="530"/>
      <c r="TMV107" s="531"/>
      <c r="TMW107" s="530"/>
      <c r="TMX107" s="531"/>
      <c r="TMY107" s="530"/>
      <c r="TMZ107" s="531"/>
      <c r="TNA107" s="530"/>
      <c r="TNB107" s="531"/>
      <c r="TNC107" s="530"/>
      <c r="TND107" s="531"/>
      <c r="TNE107" s="530"/>
      <c r="TNF107" s="531"/>
      <c r="TNG107" s="530"/>
      <c r="TNH107" s="531"/>
      <c r="TNI107" s="530"/>
      <c r="TNJ107" s="531"/>
      <c r="TNK107" s="530"/>
      <c r="TNL107" s="531"/>
      <c r="TNM107" s="530"/>
      <c r="TNN107" s="531"/>
      <c r="TNO107" s="530"/>
      <c r="TNP107" s="531"/>
      <c r="TNQ107" s="530"/>
      <c r="TNR107" s="531"/>
      <c r="TNS107" s="530"/>
      <c r="TNT107" s="531"/>
      <c r="TNU107" s="530"/>
      <c r="TNV107" s="531"/>
      <c r="TNW107" s="530"/>
      <c r="TNX107" s="531"/>
      <c r="TNY107" s="530"/>
      <c r="TNZ107" s="531"/>
      <c r="TOA107" s="530"/>
      <c r="TOB107" s="531"/>
      <c r="TOC107" s="530"/>
      <c r="TOD107" s="531"/>
      <c r="TOE107" s="530"/>
      <c r="TOF107" s="531"/>
      <c r="TOG107" s="530"/>
      <c r="TOH107" s="531"/>
      <c r="TOI107" s="530"/>
      <c r="TOJ107" s="531"/>
      <c r="TOK107" s="530"/>
      <c r="TOL107" s="531"/>
      <c r="TOM107" s="530"/>
      <c r="TON107" s="531"/>
      <c r="TOO107" s="530"/>
      <c r="TOP107" s="531"/>
      <c r="TOQ107" s="530"/>
      <c r="TOR107" s="531"/>
      <c r="TOS107" s="530"/>
      <c r="TOT107" s="531"/>
      <c r="TOU107" s="530"/>
      <c r="TOV107" s="531"/>
      <c r="TOW107" s="530"/>
      <c r="TOX107" s="531"/>
      <c r="TOY107" s="530"/>
      <c r="TOZ107" s="531"/>
      <c r="TPA107" s="530"/>
      <c r="TPB107" s="531"/>
      <c r="TPC107" s="530"/>
      <c r="TPD107" s="531"/>
      <c r="TPE107" s="530"/>
      <c r="TPF107" s="531"/>
      <c r="TPG107" s="530"/>
      <c r="TPH107" s="531"/>
      <c r="TPI107" s="530"/>
      <c r="TPJ107" s="531"/>
      <c r="TPK107" s="530"/>
      <c r="TPL107" s="531"/>
      <c r="TPM107" s="530"/>
      <c r="TPN107" s="531"/>
      <c r="TPO107" s="530"/>
      <c r="TPP107" s="531"/>
      <c r="TPQ107" s="530"/>
      <c r="TPR107" s="531"/>
      <c r="TPS107" s="530"/>
      <c r="TPT107" s="531"/>
      <c r="TPU107" s="530"/>
      <c r="TPV107" s="531"/>
      <c r="TPW107" s="530"/>
      <c r="TPX107" s="531"/>
      <c r="TPY107" s="530"/>
      <c r="TPZ107" s="531"/>
      <c r="TQA107" s="530"/>
      <c r="TQB107" s="531"/>
      <c r="TQC107" s="530"/>
      <c r="TQD107" s="531"/>
      <c r="TQE107" s="530"/>
      <c r="TQF107" s="531"/>
      <c r="TQG107" s="530"/>
      <c r="TQH107" s="531"/>
      <c r="TQI107" s="530"/>
      <c r="TQJ107" s="531"/>
      <c r="TQK107" s="530"/>
      <c r="TQL107" s="531"/>
      <c r="TQM107" s="530"/>
      <c r="TQN107" s="531"/>
      <c r="TQO107" s="530"/>
      <c r="TQP107" s="531"/>
      <c r="TQQ107" s="530"/>
      <c r="TQR107" s="531"/>
      <c r="TQS107" s="530"/>
      <c r="TQT107" s="531"/>
      <c r="TQU107" s="530"/>
      <c r="TQV107" s="531"/>
      <c r="TQW107" s="530"/>
      <c r="TQX107" s="531"/>
      <c r="TQY107" s="530"/>
      <c r="TQZ107" s="531"/>
      <c r="TRA107" s="530"/>
      <c r="TRB107" s="531"/>
      <c r="TRC107" s="530"/>
      <c r="TRD107" s="531"/>
      <c r="TRE107" s="530"/>
      <c r="TRF107" s="531"/>
      <c r="TRG107" s="530"/>
      <c r="TRH107" s="531"/>
      <c r="TRI107" s="530"/>
      <c r="TRJ107" s="531"/>
      <c r="TRK107" s="530"/>
      <c r="TRL107" s="531"/>
      <c r="TRM107" s="530"/>
      <c r="TRN107" s="531"/>
      <c r="TRO107" s="530"/>
      <c r="TRP107" s="531"/>
      <c r="TRQ107" s="530"/>
      <c r="TRR107" s="531"/>
      <c r="TRS107" s="530"/>
      <c r="TRT107" s="531"/>
      <c r="TRU107" s="530"/>
      <c r="TRV107" s="531"/>
      <c r="TRW107" s="530"/>
      <c r="TRX107" s="531"/>
      <c r="TRY107" s="530"/>
      <c r="TRZ107" s="531"/>
      <c r="TSA107" s="530"/>
      <c r="TSB107" s="531"/>
      <c r="TSC107" s="530"/>
      <c r="TSD107" s="531"/>
      <c r="TSE107" s="530"/>
      <c r="TSF107" s="531"/>
      <c r="TSG107" s="530"/>
      <c r="TSH107" s="531"/>
      <c r="TSI107" s="530"/>
      <c r="TSJ107" s="531"/>
      <c r="TSK107" s="530"/>
      <c r="TSL107" s="531"/>
      <c r="TSM107" s="530"/>
      <c r="TSN107" s="531"/>
      <c r="TSO107" s="530"/>
      <c r="TSP107" s="531"/>
      <c r="TSQ107" s="530"/>
      <c r="TSR107" s="531"/>
      <c r="TSS107" s="530"/>
      <c r="TST107" s="531"/>
      <c r="TSU107" s="530"/>
      <c r="TSV107" s="531"/>
      <c r="TSW107" s="530"/>
      <c r="TSX107" s="531"/>
      <c r="TSY107" s="530"/>
      <c r="TSZ107" s="531"/>
      <c r="TTA107" s="530"/>
      <c r="TTB107" s="531"/>
      <c r="TTC107" s="530"/>
      <c r="TTD107" s="531"/>
      <c r="TTE107" s="530"/>
      <c r="TTF107" s="531"/>
      <c r="TTG107" s="530"/>
      <c r="TTH107" s="531"/>
      <c r="TTI107" s="530"/>
      <c r="TTJ107" s="531"/>
      <c r="TTK107" s="530"/>
      <c r="TTL107" s="531"/>
      <c r="TTM107" s="530"/>
      <c r="TTN107" s="531"/>
      <c r="TTO107" s="530"/>
      <c r="TTP107" s="531"/>
      <c r="TTQ107" s="530"/>
      <c r="TTR107" s="531"/>
      <c r="TTS107" s="530"/>
      <c r="TTT107" s="531"/>
      <c r="TTU107" s="530"/>
      <c r="TTV107" s="531"/>
      <c r="TTW107" s="530"/>
      <c r="TTX107" s="531"/>
      <c r="TTY107" s="530"/>
      <c r="TTZ107" s="531"/>
      <c r="TUA107" s="530"/>
      <c r="TUB107" s="531"/>
      <c r="TUC107" s="530"/>
      <c r="TUD107" s="531"/>
      <c r="TUE107" s="530"/>
      <c r="TUF107" s="531"/>
      <c r="TUG107" s="530"/>
      <c r="TUH107" s="531"/>
      <c r="TUI107" s="530"/>
      <c r="TUJ107" s="531"/>
      <c r="TUK107" s="530"/>
      <c r="TUL107" s="531"/>
      <c r="TUM107" s="530"/>
      <c r="TUN107" s="531"/>
      <c r="TUO107" s="530"/>
      <c r="TUP107" s="531"/>
      <c r="TUQ107" s="530"/>
      <c r="TUR107" s="531"/>
      <c r="TUS107" s="530"/>
      <c r="TUT107" s="531"/>
      <c r="TUU107" s="530"/>
      <c r="TUV107" s="531"/>
      <c r="TUW107" s="530"/>
      <c r="TUX107" s="531"/>
      <c r="TUY107" s="530"/>
      <c r="TUZ107" s="531"/>
      <c r="TVA107" s="530"/>
      <c r="TVB107" s="531"/>
      <c r="TVC107" s="530"/>
      <c r="TVD107" s="531"/>
      <c r="TVE107" s="530"/>
      <c r="TVF107" s="531"/>
      <c r="TVG107" s="530"/>
      <c r="TVH107" s="531"/>
      <c r="TVI107" s="530"/>
      <c r="TVJ107" s="531"/>
      <c r="TVK107" s="530"/>
      <c r="TVL107" s="531"/>
      <c r="TVM107" s="530"/>
      <c r="TVN107" s="531"/>
      <c r="TVO107" s="530"/>
      <c r="TVP107" s="531"/>
      <c r="TVQ107" s="530"/>
      <c r="TVR107" s="531"/>
      <c r="TVS107" s="530"/>
      <c r="TVT107" s="531"/>
      <c r="TVU107" s="530"/>
      <c r="TVV107" s="531"/>
      <c r="TVW107" s="530"/>
      <c r="TVX107" s="531"/>
      <c r="TVY107" s="530"/>
      <c r="TVZ107" s="531"/>
      <c r="TWA107" s="530"/>
      <c r="TWB107" s="531"/>
      <c r="TWC107" s="530"/>
      <c r="TWD107" s="531"/>
      <c r="TWE107" s="530"/>
      <c r="TWF107" s="531"/>
      <c r="TWG107" s="530"/>
      <c r="TWH107" s="531"/>
      <c r="TWI107" s="530"/>
      <c r="TWJ107" s="531"/>
      <c r="TWK107" s="530"/>
      <c r="TWL107" s="531"/>
      <c r="TWM107" s="530"/>
      <c r="TWN107" s="531"/>
      <c r="TWO107" s="530"/>
      <c r="TWP107" s="531"/>
      <c r="TWQ107" s="530"/>
      <c r="TWR107" s="531"/>
      <c r="TWS107" s="530"/>
      <c r="TWT107" s="531"/>
      <c r="TWU107" s="530"/>
      <c r="TWV107" s="531"/>
      <c r="TWW107" s="530"/>
      <c r="TWX107" s="531"/>
      <c r="TWY107" s="530"/>
      <c r="TWZ107" s="531"/>
      <c r="TXA107" s="530"/>
      <c r="TXB107" s="531"/>
      <c r="TXC107" s="530"/>
      <c r="TXD107" s="531"/>
      <c r="TXE107" s="530"/>
      <c r="TXF107" s="531"/>
      <c r="TXG107" s="530"/>
      <c r="TXH107" s="531"/>
      <c r="TXI107" s="530"/>
      <c r="TXJ107" s="531"/>
      <c r="TXK107" s="530"/>
      <c r="TXL107" s="531"/>
      <c r="TXM107" s="530"/>
      <c r="TXN107" s="531"/>
      <c r="TXO107" s="530"/>
      <c r="TXP107" s="531"/>
      <c r="TXQ107" s="530"/>
      <c r="TXR107" s="531"/>
      <c r="TXS107" s="530"/>
      <c r="TXT107" s="531"/>
      <c r="TXU107" s="530"/>
      <c r="TXV107" s="531"/>
      <c r="TXW107" s="530"/>
      <c r="TXX107" s="531"/>
      <c r="TXY107" s="530"/>
      <c r="TXZ107" s="531"/>
      <c r="TYA107" s="530"/>
      <c r="TYB107" s="531"/>
      <c r="TYC107" s="530"/>
      <c r="TYD107" s="531"/>
      <c r="TYE107" s="530"/>
      <c r="TYF107" s="531"/>
      <c r="TYG107" s="530"/>
      <c r="TYH107" s="531"/>
      <c r="TYI107" s="530"/>
      <c r="TYJ107" s="531"/>
      <c r="TYK107" s="530"/>
      <c r="TYL107" s="531"/>
      <c r="TYM107" s="530"/>
      <c r="TYN107" s="531"/>
      <c r="TYO107" s="530"/>
      <c r="TYP107" s="531"/>
      <c r="TYQ107" s="530"/>
      <c r="TYR107" s="531"/>
      <c r="TYS107" s="530"/>
      <c r="TYT107" s="531"/>
      <c r="TYU107" s="530"/>
      <c r="TYV107" s="531"/>
      <c r="TYW107" s="530"/>
      <c r="TYX107" s="531"/>
      <c r="TYY107" s="530"/>
      <c r="TYZ107" s="531"/>
      <c r="TZA107" s="530"/>
      <c r="TZB107" s="531"/>
      <c r="TZC107" s="530"/>
      <c r="TZD107" s="531"/>
      <c r="TZE107" s="530"/>
      <c r="TZF107" s="531"/>
      <c r="TZG107" s="530"/>
      <c r="TZH107" s="531"/>
      <c r="TZI107" s="530"/>
      <c r="TZJ107" s="531"/>
      <c r="TZK107" s="530"/>
      <c r="TZL107" s="531"/>
      <c r="TZM107" s="530"/>
      <c r="TZN107" s="531"/>
      <c r="TZO107" s="530"/>
      <c r="TZP107" s="531"/>
      <c r="TZQ107" s="530"/>
      <c r="TZR107" s="531"/>
      <c r="TZS107" s="530"/>
      <c r="TZT107" s="531"/>
      <c r="TZU107" s="530"/>
      <c r="TZV107" s="531"/>
      <c r="TZW107" s="530"/>
      <c r="TZX107" s="531"/>
      <c r="TZY107" s="530"/>
      <c r="TZZ107" s="531"/>
      <c r="UAA107" s="530"/>
      <c r="UAB107" s="531"/>
      <c r="UAC107" s="530"/>
      <c r="UAD107" s="531"/>
      <c r="UAE107" s="530"/>
      <c r="UAF107" s="531"/>
      <c r="UAG107" s="530"/>
      <c r="UAH107" s="531"/>
      <c r="UAI107" s="530"/>
      <c r="UAJ107" s="531"/>
      <c r="UAK107" s="530"/>
      <c r="UAL107" s="531"/>
      <c r="UAM107" s="530"/>
      <c r="UAN107" s="531"/>
      <c r="UAO107" s="530"/>
      <c r="UAP107" s="531"/>
      <c r="UAQ107" s="530"/>
      <c r="UAR107" s="531"/>
      <c r="UAS107" s="530"/>
      <c r="UAT107" s="531"/>
      <c r="UAU107" s="530"/>
      <c r="UAV107" s="531"/>
      <c r="UAW107" s="530"/>
      <c r="UAX107" s="531"/>
      <c r="UAY107" s="530"/>
      <c r="UAZ107" s="531"/>
      <c r="UBA107" s="530"/>
      <c r="UBB107" s="531"/>
      <c r="UBC107" s="530"/>
      <c r="UBD107" s="531"/>
      <c r="UBE107" s="530"/>
      <c r="UBF107" s="531"/>
      <c r="UBG107" s="530"/>
      <c r="UBH107" s="531"/>
      <c r="UBI107" s="530"/>
      <c r="UBJ107" s="531"/>
      <c r="UBK107" s="530"/>
      <c r="UBL107" s="531"/>
      <c r="UBM107" s="530"/>
      <c r="UBN107" s="531"/>
      <c r="UBO107" s="530"/>
      <c r="UBP107" s="531"/>
      <c r="UBQ107" s="530"/>
      <c r="UBR107" s="531"/>
      <c r="UBS107" s="530"/>
      <c r="UBT107" s="531"/>
      <c r="UBU107" s="530"/>
      <c r="UBV107" s="531"/>
      <c r="UBW107" s="530"/>
      <c r="UBX107" s="531"/>
      <c r="UBY107" s="530"/>
      <c r="UBZ107" s="531"/>
      <c r="UCA107" s="530"/>
      <c r="UCB107" s="531"/>
      <c r="UCC107" s="530"/>
      <c r="UCD107" s="531"/>
      <c r="UCE107" s="530"/>
      <c r="UCF107" s="531"/>
      <c r="UCG107" s="530"/>
      <c r="UCH107" s="531"/>
      <c r="UCI107" s="530"/>
      <c r="UCJ107" s="531"/>
      <c r="UCK107" s="530"/>
      <c r="UCL107" s="531"/>
      <c r="UCM107" s="530"/>
      <c r="UCN107" s="531"/>
      <c r="UCO107" s="530"/>
      <c r="UCP107" s="531"/>
      <c r="UCQ107" s="530"/>
      <c r="UCR107" s="531"/>
      <c r="UCS107" s="530"/>
      <c r="UCT107" s="531"/>
      <c r="UCU107" s="530"/>
      <c r="UCV107" s="531"/>
      <c r="UCW107" s="530"/>
      <c r="UCX107" s="531"/>
      <c r="UCY107" s="530"/>
      <c r="UCZ107" s="531"/>
      <c r="UDA107" s="530"/>
      <c r="UDB107" s="531"/>
      <c r="UDC107" s="530"/>
      <c r="UDD107" s="531"/>
      <c r="UDE107" s="530"/>
      <c r="UDF107" s="531"/>
      <c r="UDG107" s="530"/>
      <c r="UDH107" s="531"/>
      <c r="UDI107" s="530"/>
      <c r="UDJ107" s="531"/>
      <c r="UDK107" s="530"/>
      <c r="UDL107" s="531"/>
      <c r="UDM107" s="530"/>
      <c r="UDN107" s="531"/>
      <c r="UDO107" s="530"/>
      <c r="UDP107" s="531"/>
      <c r="UDQ107" s="530"/>
      <c r="UDR107" s="531"/>
      <c r="UDS107" s="530"/>
      <c r="UDT107" s="531"/>
      <c r="UDU107" s="530"/>
      <c r="UDV107" s="531"/>
      <c r="UDW107" s="530"/>
      <c r="UDX107" s="531"/>
      <c r="UDY107" s="530"/>
      <c r="UDZ107" s="531"/>
      <c r="UEA107" s="530"/>
      <c r="UEB107" s="531"/>
      <c r="UEC107" s="530"/>
      <c r="UED107" s="531"/>
      <c r="UEE107" s="530"/>
      <c r="UEF107" s="531"/>
      <c r="UEG107" s="530"/>
      <c r="UEH107" s="531"/>
      <c r="UEI107" s="530"/>
      <c r="UEJ107" s="531"/>
      <c r="UEK107" s="530"/>
      <c r="UEL107" s="531"/>
      <c r="UEM107" s="530"/>
      <c r="UEN107" s="531"/>
      <c r="UEO107" s="530"/>
      <c r="UEP107" s="531"/>
      <c r="UEQ107" s="530"/>
      <c r="UER107" s="531"/>
      <c r="UES107" s="530"/>
      <c r="UET107" s="531"/>
      <c r="UEU107" s="530"/>
      <c r="UEV107" s="531"/>
      <c r="UEW107" s="530"/>
      <c r="UEX107" s="531"/>
      <c r="UEY107" s="530"/>
      <c r="UEZ107" s="531"/>
      <c r="UFA107" s="530"/>
      <c r="UFB107" s="531"/>
      <c r="UFC107" s="530"/>
      <c r="UFD107" s="531"/>
      <c r="UFE107" s="530"/>
      <c r="UFF107" s="531"/>
      <c r="UFG107" s="530"/>
      <c r="UFH107" s="531"/>
      <c r="UFI107" s="530"/>
      <c r="UFJ107" s="531"/>
      <c r="UFK107" s="530"/>
      <c r="UFL107" s="531"/>
      <c r="UFM107" s="530"/>
      <c r="UFN107" s="531"/>
      <c r="UFO107" s="530"/>
      <c r="UFP107" s="531"/>
      <c r="UFQ107" s="530"/>
      <c r="UFR107" s="531"/>
      <c r="UFS107" s="530"/>
      <c r="UFT107" s="531"/>
      <c r="UFU107" s="530"/>
      <c r="UFV107" s="531"/>
      <c r="UFW107" s="530"/>
      <c r="UFX107" s="531"/>
      <c r="UFY107" s="530"/>
      <c r="UFZ107" s="531"/>
      <c r="UGA107" s="530"/>
      <c r="UGB107" s="531"/>
      <c r="UGC107" s="530"/>
      <c r="UGD107" s="531"/>
      <c r="UGE107" s="530"/>
      <c r="UGF107" s="531"/>
      <c r="UGG107" s="530"/>
      <c r="UGH107" s="531"/>
      <c r="UGI107" s="530"/>
      <c r="UGJ107" s="531"/>
      <c r="UGK107" s="530"/>
      <c r="UGL107" s="531"/>
      <c r="UGM107" s="530"/>
      <c r="UGN107" s="531"/>
      <c r="UGO107" s="530"/>
      <c r="UGP107" s="531"/>
      <c r="UGQ107" s="530"/>
      <c r="UGR107" s="531"/>
      <c r="UGS107" s="530"/>
      <c r="UGT107" s="531"/>
      <c r="UGU107" s="530"/>
      <c r="UGV107" s="531"/>
      <c r="UGW107" s="530"/>
      <c r="UGX107" s="531"/>
      <c r="UGY107" s="530"/>
      <c r="UGZ107" s="531"/>
      <c r="UHA107" s="530"/>
      <c r="UHB107" s="531"/>
      <c r="UHC107" s="530"/>
      <c r="UHD107" s="531"/>
      <c r="UHE107" s="530"/>
      <c r="UHF107" s="531"/>
      <c r="UHG107" s="530"/>
      <c r="UHH107" s="531"/>
      <c r="UHI107" s="530"/>
      <c r="UHJ107" s="531"/>
      <c r="UHK107" s="530"/>
      <c r="UHL107" s="531"/>
      <c r="UHM107" s="530"/>
      <c r="UHN107" s="531"/>
      <c r="UHO107" s="530"/>
      <c r="UHP107" s="531"/>
      <c r="UHQ107" s="530"/>
      <c r="UHR107" s="531"/>
      <c r="UHS107" s="530"/>
      <c r="UHT107" s="531"/>
      <c r="UHU107" s="530"/>
      <c r="UHV107" s="531"/>
      <c r="UHW107" s="530"/>
      <c r="UHX107" s="531"/>
      <c r="UHY107" s="530"/>
      <c r="UHZ107" s="531"/>
      <c r="UIA107" s="530"/>
      <c r="UIB107" s="531"/>
      <c r="UIC107" s="530"/>
      <c r="UID107" s="531"/>
      <c r="UIE107" s="530"/>
      <c r="UIF107" s="531"/>
      <c r="UIG107" s="530"/>
      <c r="UIH107" s="531"/>
      <c r="UII107" s="530"/>
      <c r="UIJ107" s="531"/>
      <c r="UIK107" s="530"/>
      <c r="UIL107" s="531"/>
      <c r="UIM107" s="530"/>
      <c r="UIN107" s="531"/>
      <c r="UIO107" s="530"/>
      <c r="UIP107" s="531"/>
      <c r="UIQ107" s="530"/>
      <c r="UIR107" s="531"/>
      <c r="UIS107" s="530"/>
      <c r="UIT107" s="531"/>
      <c r="UIU107" s="530"/>
      <c r="UIV107" s="531"/>
      <c r="UIW107" s="530"/>
      <c r="UIX107" s="531"/>
      <c r="UIY107" s="530"/>
      <c r="UIZ107" s="531"/>
      <c r="UJA107" s="530"/>
      <c r="UJB107" s="531"/>
      <c r="UJC107" s="530"/>
      <c r="UJD107" s="531"/>
      <c r="UJE107" s="530"/>
      <c r="UJF107" s="531"/>
      <c r="UJG107" s="530"/>
      <c r="UJH107" s="531"/>
      <c r="UJI107" s="530"/>
      <c r="UJJ107" s="531"/>
      <c r="UJK107" s="530"/>
      <c r="UJL107" s="531"/>
      <c r="UJM107" s="530"/>
      <c r="UJN107" s="531"/>
      <c r="UJO107" s="530"/>
      <c r="UJP107" s="531"/>
      <c r="UJQ107" s="530"/>
      <c r="UJR107" s="531"/>
      <c r="UJS107" s="530"/>
      <c r="UJT107" s="531"/>
      <c r="UJU107" s="530"/>
      <c r="UJV107" s="531"/>
      <c r="UJW107" s="530"/>
      <c r="UJX107" s="531"/>
      <c r="UJY107" s="530"/>
      <c r="UJZ107" s="531"/>
      <c r="UKA107" s="530"/>
      <c r="UKB107" s="531"/>
      <c r="UKC107" s="530"/>
      <c r="UKD107" s="531"/>
      <c r="UKE107" s="530"/>
      <c r="UKF107" s="531"/>
      <c r="UKG107" s="530"/>
      <c r="UKH107" s="531"/>
      <c r="UKI107" s="530"/>
      <c r="UKJ107" s="531"/>
      <c r="UKK107" s="530"/>
      <c r="UKL107" s="531"/>
      <c r="UKM107" s="530"/>
      <c r="UKN107" s="531"/>
      <c r="UKO107" s="530"/>
      <c r="UKP107" s="531"/>
      <c r="UKQ107" s="530"/>
      <c r="UKR107" s="531"/>
      <c r="UKS107" s="530"/>
      <c r="UKT107" s="531"/>
      <c r="UKU107" s="530"/>
      <c r="UKV107" s="531"/>
      <c r="UKW107" s="530"/>
      <c r="UKX107" s="531"/>
      <c r="UKY107" s="530"/>
      <c r="UKZ107" s="531"/>
      <c r="ULA107" s="530"/>
      <c r="ULB107" s="531"/>
      <c r="ULC107" s="530"/>
      <c r="ULD107" s="531"/>
      <c r="ULE107" s="530"/>
      <c r="ULF107" s="531"/>
      <c r="ULG107" s="530"/>
      <c r="ULH107" s="531"/>
      <c r="ULI107" s="530"/>
      <c r="ULJ107" s="531"/>
      <c r="ULK107" s="530"/>
      <c r="ULL107" s="531"/>
      <c r="ULM107" s="530"/>
      <c r="ULN107" s="531"/>
      <c r="ULO107" s="530"/>
      <c r="ULP107" s="531"/>
      <c r="ULQ107" s="530"/>
      <c r="ULR107" s="531"/>
      <c r="ULS107" s="530"/>
      <c r="ULT107" s="531"/>
      <c r="ULU107" s="530"/>
      <c r="ULV107" s="531"/>
      <c r="ULW107" s="530"/>
      <c r="ULX107" s="531"/>
      <c r="ULY107" s="530"/>
      <c r="ULZ107" s="531"/>
      <c r="UMA107" s="530"/>
      <c r="UMB107" s="531"/>
      <c r="UMC107" s="530"/>
      <c r="UMD107" s="531"/>
      <c r="UME107" s="530"/>
      <c r="UMF107" s="531"/>
      <c r="UMG107" s="530"/>
      <c r="UMH107" s="531"/>
      <c r="UMI107" s="530"/>
      <c r="UMJ107" s="531"/>
      <c r="UMK107" s="530"/>
      <c r="UML107" s="531"/>
      <c r="UMM107" s="530"/>
      <c r="UMN107" s="531"/>
      <c r="UMO107" s="530"/>
      <c r="UMP107" s="531"/>
      <c r="UMQ107" s="530"/>
      <c r="UMR107" s="531"/>
      <c r="UMS107" s="530"/>
      <c r="UMT107" s="531"/>
      <c r="UMU107" s="530"/>
      <c r="UMV107" s="531"/>
      <c r="UMW107" s="530"/>
      <c r="UMX107" s="531"/>
      <c r="UMY107" s="530"/>
      <c r="UMZ107" s="531"/>
      <c r="UNA107" s="530"/>
      <c r="UNB107" s="531"/>
      <c r="UNC107" s="530"/>
      <c r="UND107" s="531"/>
      <c r="UNE107" s="530"/>
      <c r="UNF107" s="531"/>
      <c r="UNG107" s="530"/>
      <c r="UNH107" s="531"/>
      <c r="UNI107" s="530"/>
      <c r="UNJ107" s="531"/>
      <c r="UNK107" s="530"/>
      <c r="UNL107" s="531"/>
      <c r="UNM107" s="530"/>
      <c r="UNN107" s="531"/>
      <c r="UNO107" s="530"/>
      <c r="UNP107" s="531"/>
      <c r="UNQ107" s="530"/>
      <c r="UNR107" s="531"/>
      <c r="UNS107" s="530"/>
      <c r="UNT107" s="531"/>
      <c r="UNU107" s="530"/>
      <c r="UNV107" s="531"/>
      <c r="UNW107" s="530"/>
      <c r="UNX107" s="531"/>
      <c r="UNY107" s="530"/>
      <c r="UNZ107" s="531"/>
      <c r="UOA107" s="530"/>
      <c r="UOB107" s="531"/>
      <c r="UOC107" s="530"/>
      <c r="UOD107" s="531"/>
      <c r="UOE107" s="530"/>
      <c r="UOF107" s="531"/>
      <c r="UOG107" s="530"/>
      <c r="UOH107" s="531"/>
      <c r="UOI107" s="530"/>
      <c r="UOJ107" s="531"/>
      <c r="UOK107" s="530"/>
      <c r="UOL107" s="531"/>
      <c r="UOM107" s="530"/>
      <c r="UON107" s="531"/>
      <c r="UOO107" s="530"/>
      <c r="UOP107" s="531"/>
      <c r="UOQ107" s="530"/>
      <c r="UOR107" s="531"/>
      <c r="UOS107" s="530"/>
      <c r="UOT107" s="531"/>
      <c r="UOU107" s="530"/>
      <c r="UOV107" s="531"/>
      <c r="UOW107" s="530"/>
      <c r="UOX107" s="531"/>
      <c r="UOY107" s="530"/>
      <c r="UOZ107" s="531"/>
      <c r="UPA107" s="530"/>
      <c r="UPB107" s="531"/>
      <c r="UPC107" s="530"/>
      <c r="UPD107" s="531"/>
      <c r="UPE107" s="530"/>
      <c r="UPF107" s="531"/>
      <c r="UPG107" s="530"/>
      <c r="UPH107" s="531"/>
      <c r="UPI107" s="530"/>
      <c r="UPJ107" s="531"/>
      <c r="UPK107" s="530"/>
      <c r="UPL107" s="531"/>
      <c r="UPM107" s="530"/>
      <c r="UPN107" s="531"/>
      <c r="UPO107" s="530"/>
      <c r="UPP107" s="531"/>
      <c r="UPQ107" s="530"/>
      <c r="UPR107" s="531"/>
      <c r="UPS107" s="530"/>
      <c r="UPT107" s="531"/>
      <c r="UPU107" s="530"/>
      <c r="UPV107" s="531"/>
      <c r="UPW107" s="530"/>
      <c r="UPX107" s="531"/>
      <c r="UPY107" s="530"/>
      <c r="UPZ107" s="531"/>
      <c r="UQA107" s="530"/>
      <c r="UQB107" s="531"/>
      <c r="UQC107" s="530"/>
      <c r="UQD107" s="531"/>
      <c r="UQE107" s="530"/>
      <c r="UQF107" s="531"/>
      <c r="UQG107" s="530"/>
      <c r="UQH107" s="531"/>
      <c r="UQI107" s="530"/>
      <c r="UQJ107" s="531"/>
      <c r="UQK107" s="530"/>
      <c r="UQL107" s="531"/>
      <c r="UQM107" s="530"/>
      <c r="UQN107" s="531"/>
      <c r="UQO107" s="530"/>
      <c r="UQP107" s="531"/>
      <c r="UQQ107" s="530"/>
      <c r="UQR107" s="531"/>
      <c r="UQS107" s="530"/>
      <c r="UQT107" s="531"/>
      <c r="UQU107" s="530"/>
      <c r="UQV107" s="531"/>
      <c r="UQW107" s="530"/>
      <c r="UQX107" s="531"/>
      <c r="UQY107" s="530"/>
      <c r="UQZ107" s="531"/>
      <c r="URA107" s="530"/>
      <c r="URB107" s="531"/>
      <c r="URC107" s="530"/>
      <c r="URD107" s="531"/>
      <c r="URE107" s="530"/>
      <c r="URF107" s="531"/>
      <c r="URG107" s="530"/>
      <c r="URH107" s="531"/>
      <c r="URI107" s="530"/>
      <c r="URJ107" s="531"/>
      <c r="URK107" s="530"/>
      <c r="URL107" s="531"/>
      <c r="URM107" s="530"/>
      <c r="URN107" s="531"/>
      <c r="URO107" s="530"/>
      <c r="URP107" s="531"/>
      <c r="URQ107" s="530"/>
      <c r="URR107" s="531"/>
      <c r="URS107" s="530"/>
      <c r="URT107" s="531"/>
      <c r="URU107" s="530"/>
      <c r="URV107" s="531"/>
      <c r="URW107" s="530"/>
      <c r="URX107" s="531"/>
      <c r="URY107" s="530"/>
      <c r="URZ107" s="531"/>
      <c r="USA107" s="530"/>
      <c r="USB107" s="531"/>
      <c r="USC107" s="530"/>
      <c r="USD107" s="531"/>
      <c r="USE107" s="530"/>
      <c r="USF107" s="531"/>
      <c r="USG107" s="530"/>
      <c r="USH107" s="531"/>
      <c r="USI107" s="530"/>
      <c r="USJ107" s="531"/>
      <c r="USK107" s="530"/>
      <c r="USL107" s="531"/>
      <c r="USM107" s="530"/>
      <c r="USN107" s="531"/>
      <c r="USO107" s="530"/>
      <c r="USP107" s="531"/>
      <c r="USQ107" s="530"/>
      <c r="USR107" s="531"/>
      <c r="USS107" s="530"/>
      <c r="UST107" s="531"/>
      <c r="USU107" s="530"/>
      <c r="USV107" s="531"/>
      <c r="USW107" s="530"/>
      <c r="USX107" s="531"/>
      <c r="USY107" s="530"/>
      <c r="USZ107" s="531"/>
      <c r="UTA107" s="530"/>
      <c r="UTB107" s="531"/>
      <c r="UTC107" s="530"/>
      <c r="UTD107" s="531"/>
      <c r="UTE107" s="530"/>
      <c r="UTF107" s="531"/>
      <c r="UTG107" s="530"/>
      <c r="UTH107" s="531"/>
      <c r="UTI107" s="530"/>
      <c r="UTJ107" s="531"/>
      <c r="UTK107" s="530"/>
      <c r="UTL107" s="531"/>
      <c r="UTM107" s="530"/>
      <c r="UTN107" s="531"/>
      <c r="UTO107" s="530"/>
      <c r="UTP107" s="531"/>
      <c r="UTQ107" s="530"/>
      <c r="UTR107" s="531"/>
      <c r="UTS107" s="530"/>
      <c r="UTT107" s="531"/>
      <c r="UTU107" s="530"/>
      <c r="UTV107" s="531"/>
      <c r="UTW107" s="530"/>
      <c r="UTX107" s="531"/>
      <c r="UTY107" s="530"/>
      <c r="UTZ107" s="531"/>
      <c r="UUA107" s="530"/>
      <c r="UUB107" s="531"/>
      <c r="UUC107" s="530"/>
      <c r="UUD107" s="531"/>
      <c r="UUE107" s="530"/>
      <c r="UUF107" s="531"/>
      <c r="UUG107" s="530"/>
      <c r="UUH107" s="531"/>
      <c r="UUI107" s="530"/>
      <c r="UUJ107" s="531"/>
      <c r="UUK107" s="530"/>
      <c r="UUL107" s="531"/>
      <c r="UUM107" s="530"/>
      <c r="UUN107" s="531"/>
      <c r="UUO107" s="530"/>
      <c r="UUP107" s="531"/>
      <c r="UUQ107" s="530"/>
      <c r="UUR107" s="531"/>
      <c r="UUS107" s="530"/>
      <c r="UUT107" s="531"/>
      <c r="UUU107" s="530"/>
      <c r="UUV107" s="531"/>
      <c r="UUW107" s="530"/>
      <c r="UUX107" s="531"/>
      <c r="UUY107" s="530"/>
      <c r="UUZ107" s="531"/>
      <c r="UVA107" s="530"/>
      <c r="UVB107" s="531"/>
      <c r="UVC107" s="530"/>
      <c r="UVD107" s="531"/>
      <c r="UVE107" s="530"/>
      <c r="UVF107" s="531"/>
      <c r="UVG107" s="530"/>
      <c r="UVH107" s="531"/>
      <c r="UVI107" s="530"/>
      <c r="UVJ107" s="531"/>
      <c r="UVK107" s="530"/>
      <c r="UVL107" s="531"/>
      <c r="UVM107" s="530"/>
      <c r="UVN107" s="531"/>
      <c r="UVO107" s="530"/>
      <c r="UVP107" s="531"/>
      <c r="UVQ107" s="530"/>
      <c r="UVR107" s="531"/>
      <c r="UVS107" s="530"/>
      <c r="UVT107" s="531"/>
      <c r="UVU107" s="530"/>
      <c r="UVV107" s="531"/>
      <c r="UVW107" s="530"/>
      <c r="UVX107" s="531"/>
      <c r="UVY107" s="530"/>
      <c r="UVZ107" s="531"/>
      <c r="UWA107" s="530"/>
      <c r="UWB107" s="531"/>
      <c r="UWC107" s="530"/>
      <c r="UWD107" s="531"/>
      <c r="UWE107" s="530"/>
      <c r="UWF107" s="531"/>
      <c r="UWG107" s="530"/>
      <c r="UWH107" s="531"/>
      <c r="UWI107" s="530"/>
      <c r="UWJ107" s="531"/>
      <c r="UWK107" s="530"/>
      <c r="UWL107" s="531"/>
      <c r="UWM107" s="530"/>
      <c r="UWN107" s="531"/>
      <c r="UWO107" s="530"/>
      <c r="UWP107" s="531"/>
      <c r="UWQ107" s="530"/>
      <c r="UWR107" s="531"/>
      <c r="UWS107" s="530"/>
      <c r="UWT107" s="531"/>
      <c r="UWU107" s="530"/>
      <c r="UWV107" s="531"/>
      <c r="UWW107" s="530"/>
      <c r="UWX107" s="531"/>
      <c r="UWY107" s="530"/>
      <c r="UWZ107" s="531"/>
      <c r="UXA107" s="530"/>
      <c r="UXB107" s="531"/>
      <c r="UXC107" s="530"/>
      <c r="UXD107" s="531"/>
      <c r="UXE107" s="530"/>
      <c r="UXF107" s="531"/>
      <c r="UXG107" s="530"/>
      <c r="UXH107" s="531"/>
      <c r="UXI107" s="530"/>
      <c r="UXJ107" s="531"/>
      <c r="UXK107" s="530"/>
      <c r="UXL107" s="531"/>
      <c r="UXM107" s="530"/>
      <c r="UXN107" s="531"/>
      <c r="UXO107" s="530"/>
      <c r="UXP107" s="531"/>
      <c r="UXQ107" s="530"/>
      <c r="UXR107" s="531"/>
      <c r="UXS107" s="530"/>
      <c r="UXT107" s="531"/>
      <c r="UXU107" s="530"/>
      <c r="UXV107" s="531"/>
      <c r="UXW107" s="530"/>
      <c r="UXX107" s="531"/>
      <c r="UXY107" s="530"/>
      <c r="UXZ107" s="531"/>
      <c r="UYA107" s="530"/>
      <c r="UYB107" s="531"/>
      <c r="UYC107" s="530"/>
      <c r="UYD107" s="531"/>
      <c r="UYE107" s="530"/>
      <c r="UYF107" s="531"/>
      <c r="UYG107" s="530"/>
      <c r="UYH107" s="531"/>
      <c r="UYI107" s="530"/>
      <c r="UYJ107" s="531"/>
      <c r="UYK107" s="530"/>
      <c r="UYL107" s="531"/>
      <c r="UYM107" s="530"/>
      <c r="UYN107" s="531"/>
      <c r="UYO107" s="530"/>
      <c r="UYP107" s="531"/>
      <c r="UYQ107" s="530"/>
      <c r="UYR107" s="531"/>
      <c r="UYS107" s="530"/>
      <c r="UYT107" s="531"/>
      <c r="UYU107" s="530"/>
      <c r="UYV107" s="531"/>
      <c r="UYW107" s="530"/>
      <c r="UYX107" s="531"/>
      <c r="UYY107" s="530"/>
      <c r="UYZ107" s="531"/>
      <c r="UZA107" s="530"/>
      <c r="UZB107" s="531"/>
      <c r="UZC107" s="530"/>
      <c r="UZD107" s="531"/>
      <c r="UZE107" s="530"/>
      <c r="UZF107" s="531"/>
      <c r="UZG107" s="530"/>
      <c r="UZH107" s="531"/>
      <c r="UZI107" s="530"/>
      <c r="UZJ107" s="531"/>
      <c r="UZK107" s="530"/>
      <c r="UZL107" s="531"/>
      <c r="UZM107" s="530"/>
      <c r="UZN107" s="531"/>
      <c r="UZO107" s="530"/>
      <c r="UZP107" s="531"/>
      <c r="UZQ107" s="530"/>
      <c r="UZR107" s="531"/>
      <c r="UZS107" s="530"/>
      <c r="UZT107" s="531"/>
      <c r="UZU107" s="530"/>
      <c r="UZV107" s="531"/>
      <c r="UZW107" s="530"/>
      <c r="UZX107" s="531"/>
      <c r="UZY107" s="530"/>
      <c r="UZZ107" s="531"/>
      <c r="VAA107" s="530"/>
      <c r="VAB107" s="531"/>
      <c r="VAC107" s="530"/>
      <c r="VAD107" s="531"/>
      <c r="VAE107" s="530"/>
      <c r="VAF107" s="531"/>
      <c r="VAG107" s="530"/>
      <c r="VAH107" s="531"/>
      <c r="VAI107" s="530"/>
      <c r="VAJ107" s="531"/>
      <c r="VAK107" s="530"/>
      <c r="VAL107" s="531"/>
      <c r="VAM107" s="530"/>
      <c r="VAN107" s="531"/>
      <c r="VAO107" s="530"/>
      <c r="VAP107" s="531"/>
      <c r="VAQ107" s="530"/>
      <c r="VAR107" s="531"/>
      <c r="VAS107" s="530"/>
      <c r="VAT107" s="531"/>
      <c r="VAU107" s="530"/>
      <c r="VAV107" s="531"/>
      <c r="VAW107" s="530"/>
      <c r="VAX107" s="531"/>
      <c r="VAY107" s="530"/>
      <c r="VAZ107" s="531"/>
      <c r="VBA107" s="530"/>
      <c r="VBB107" s="531"/>
      <c r="VBC107" s="530"/>
      <c r="VBD107" s="531"/>
      <c r="VBE107" s="530"/>
      <c r="VBF107" s="531"/>
      <c r="VBG107" s="530"/>
      <c r="VBH107" s="531"/>
      <c r="VBI107" s="530"/>
      <c r="VBJ107" s="531"/>
      <c r="VBK107" s="530"/>
      <c r="VBL107" s="531"/>
      <c r="VBM107" s="530"/>
      <c r="VBN107" s="531"/>
      <c r="VBO107" s="530"/>
      <c r="VBP107" s="531"/>
      <c r="VBQ107" s="530"/>
      <c r="VBR107" s="531"/>
      <c r="VBS107" s="530"/>
      <c r="VBT107" s="531"/>
      <c r="VBU107" s="530"/>
      <c r="VBV107" s="531"/>
      <c r="VBW107" s="530"/>
      <c r="VBX107" s="531"/>
      <c r="VBY107" s="530"/>
      <c r="VBZ107" s="531"/>
      <c r="VCA107" s="530"/>
      <c r="VCB107" s="531"/>
      <c r="VCC107" s="530"/>
      <c r="VCD107" s="531"/>
      <c r="VCE107" s="530"/>
      <c r="VCF107" s="531"/>
      <c r="VCG107" s="530"/>
      <c r="VCH107" s="531"/>
      <c r="VCI107" s="530"/>
      <c r="VCJ107" s="531"/>
      <c r="VCK107" s="530"/>
      <c r="VCL107" s="531"/>
      <c r="VCM107" s="530"/>
      <c r="VCN107" s="531"/>
      <c r="VCO107" s="530"/>
      <c r="VCP107" s="531"/>
      <c r="VCQ107" s="530"/>
      <c r="VCR107" s="531"/>
      <c r="VCS107" s="530"/>
      <c r="VCT107" s="531"/>
      <c r="VCU107" s="530"/>
      <c r="VCV107" s="531"/>
      <c r="VCW107" s="530"/>
      <c r="VCX107" s="531"/>
      <c r="VCY107" s="530"/>
      <c r="VCZ107" s="531"/>
      <c r="VDA107" s="530"/>
      <c r="VDB107" s="531"/>
      <c r="VDC107" s="530"/>
      <c r="VDD107" s="531"/>
      <c r="VDE107" s="530"/>
      <c r="VDF107" s="531"/>
      <c r="VDG107" s="530"/>
      <c r="VDH107" s="531"/>
      <c r="VDI107" s="530"/>
      <c r="VDJ107" s="531"/>
      <c r="VDK107" s="530"/>
      <c r="VDL107" s="531"/>
      <c r="VDM107" s="530"/>
      <c r="VDN107" s="531"/>
      <c r="VDO107" s="530"/>
      <c r="VDP107" s="531"/>
      <c r="VDQ107" s="530"/>
      <c r="VDR107" s="531"/>
      <c r="VDS107" s="530"/>
      <c r="VDT107" s="531"/>
      <c r="VDU107" s="530"/>
      <c r="VDV107" s="531"/>
      <c r="VDW107" s="530"/>
      <c r="VDX107" s="531"/>
      <c r="VDY107" s="530"/>
      <c r="VDZ107" s="531"/>
      <c r="VEA107" s="530"/>
      <c r="VEB107" s="531"/>
      <c r="VEC107" s="530"/>
      <c r="VED107" s="531"/>
      <c r="VEE107" s="530"/>
      <c r="VEF107" s="531"/>
      <c r="VEG107" s="530"/>
      <c r="VEH107" s="531"/>
      <c r="VEI107" s="530"/>
      <c r="VEJ107" s="531"/>
      <c r="VEK107" s="530"/>
      <c r="VEL107" s="531"/>
      <c r="VEM107" s="530"/>
      <c r="VEN107" s="531"/>
      <c r="VEO107" s="530"/>
      <c r="VEP107" s="531"/>
      <c r="VEQ107" s="530"/>
      <c r="VER107" s="531"/>
      <c r="VES107" s="530"/>
      <c r="VET107" s="531"/>
      <c r="VEU107" s="530"/>
      <c r="VEV107" s="531"/>
      <c r="VEW107" s="530"/>
      <c r="VEX107" s="531"/>
      <c r="VEY107" s="530"/>
      <c r="VEZ107" s="531"/>
      <c r="VFA107" s="530"/>
      <c r="VFB107" s="531"/>
      <c r="VFC107" s="530"/>
      <c r="VFD107" s="531"/>
      <c r="VFE107" s="530"/>
      <c r="VFF107" s="531"/>
      <c r="VFG107" s="530"/>
      <c r="VFH107" s="531"/>
      <c r="VFI107" s="530"/>
      <c r="VFJ107" s="531"/>
      <c r="VFK107" s="530"/>
      <c r="VFL107" s="531"/>
      <c r="VFM107" s="530"/>
      <c r="VFN107" s="531"/>
      <c r="VFO107" s="530"/>
      <c r="VFP107" s="531"/>
      <c r="VFQ107" s="530"/>
      <c r="VFR107" s="531"/>
      <c r="VFS107" s="530"/>
      <c r="VFT107" s="531"/>
      <c r="VFU107" s="530"/>
      <c r="VFV107" s="531"/>
      <c r="VFW107" s="530"/>
      <c r="VFX107" s="531"/>
      <c r="VFY107" s="530"/>
      <c r="VFZ107" s="531"/>
      <c r="VGA107" s="530"/>
      <c r="VGB107" s="531"/>
      <c r="VGC107" s="530"/>
      <c r="VGD107" s="531"/>
      <c r="VGE107" s="530"/>
      <c r="VGF107" s="531"/>
      <c r="VGG107" s="530"/>
      <c r="VGH107" s="531"/>
      <c r="VGI107" s="530"/>
      <c r="VGJ107" s="531"/>
      <c r="VGK107" s="530"/>
      <c r="VGL107" s="531"/>
      <c r="VGM107" s="530"/>
      <c r="VGN107" s="531"/>
      <c r="VGO107" s="530"/>
      <c r="VGP107" s="531"/>
      <c r="VGQ107" s="530"/>
      <c r="VGR107" s="531"/>
      <c r="VGS107" s="530"/>
      <c r="VGT107" s="531"/>
      <c r="VGU107" s="530"/>
      <c r="VGV107" s="531"/>
      <c r="VGW107" s="530"/>
      <c r="VGX107" s="531"/>
      <c r="VGY107" s="530"/>
      <c r="VGZ107" s="531"/>
      <c r="VHA107" s="530"/>
      <c r="VHB107" s="531"/>
      <c r="VHC107" s="530"/>
      <c r="VHD107" s="531"/>
      <c r="VHE107" s="530"/>
      <c r="VHF107" s="531"/>
      <c r="VHG107" s="530"/>
      <c r="VHH107" s="531"/>
      <c r="VHI107" s="530"/>
      <c r="VHJ107" s="531"/>
      <c r="VHK107" s="530"/>
      <c r="VHL107" s="531"/>
      <c r="VHM107" s="530"/>
      <c r="VHN107" s="531"/>
      <c r="VHO107" s="530"/>
      <c r="VHP107" s="531"/>
      <c r="VHQ107" s="530"/>
      <c r="VHR107" s="531"/>
      <c r="VHS107" s="530"/>
      <c r="VHT107" s="531"/>
      <c r="VHU107" s="530"/>
      <c r="VHV107" s="531"/>
      <c r="VHW107" s="530"/>
      <c r="VHX107" s="531"/>
      <c r="VHY107" s="530"/>
      <c r="VHZ107" s="531"/>
      <c r="VIA107" s="530"/>
      <c r="VIB107" s="531"/>
      <c r="VIC107" s="530"/>
      <c r="VID107" s="531"/>
      <c r="VIE107" s="530"/>
      <c r="VIF107" s="531"/>
      <c r="VIG107" s="530"/>
      <c r="VIH107" s="531"/>
      <c r="VII107" s="530"/>
      <c r="VIJ107" s="531"/>
      <c r="VIK107" s="530"/>
      <c r="VIL107" s="531"/>
      <c r="VIM107" s="530"/>
      <c r="VIN107" s="531"/>
      <c r="VIO107" s="530"/>
      <c r="VIP107" s="531"/>
      <c r="VIQ107" s="530"/>
      <c r="VIR107" s="531"/>
      <c r="VIS107" s="530"/>
      <c r="VIT107" s="531"/>
      <c r="VIU107" s="530"/>
      <c r="VIV107" s="531"/>
      <c r="VIW107" s="530"/>
      <c r="VIX107" s="531"/>
      <c r="VIY107" s="530"/>
      <c r="VIZ107" s="531"/>
      <c r="VJA107" s="530"/>
      <c r="VJB107" s="531"/>
      <c r="VJC107" s="530"/>
      <c r="VJD107" s="531"/>
      <c r="VJE107" s="530"/>
      <c r="VJF107" s="531"/>
      <c r="VJG107" s="530"/>
      <c r="VJH107" s="531"/>
      <c r="VJI107" s="530"/>
      <c r="VJJ107" s="531"/>
      <c r="VJK107" s="530"/>
      <c r="VJL107" s="531"/>
      <c r="VJM107" s="530"/>
      <c r="VJN107" s="531"/>
      <c r="VJO107" s="530"/>
      <c r="VJP107" s="531"/>
      <c r="VJQ107" s="530"/>
      <c r="VJR107" s="531"/>
      <c r="VJS107" s="530"/>
      <c r="VJT107" s="531"/>
      <c r="VJU107" s="530"/>
      <c r="VJV107" s="531"/>
      <c r="VJW107" s="530"/>
      <c r="VJX107" s="531"/>
      <c r="VJY107" s="530"/>
      <c r="VJZ107" s="531"/>
      <c r="VKA107" s="530"/>
      <c r="VKB107" s="531"/>
      <c r="VKC107" s="530"/>
      <c r="VKD107" s="531"/>
      <c r="VKE107" s="530"/>
      <c r="VKF107" s="531"/>
      <c r="VKG107" s="530"/>
      <c r="VKH107" s="531"/>
      <c r="VKI107" s="530"/>
      <c r="VKJ107" s="531"/>
      <c r="VKK107" s="530"/>
      <c r="VKL107" s="531"/>
      <c r="VKM107" s="530"/>
      <c r="VKN107" s="531"/>
      <c r="VKO107" s="530"/>
      <c r="VKP107" s="531"/>
      <c r="VKQ107" s="530"/>
      <c r="VKR107" s="531"/>
      <c r="VKS107" s="530"/>
      <c r="VKT107" s="531"/>
      <c r="VKU107" s="530"/>
      <c r="VKV107" s="531"/>
      <c r="VKW107" s="530"/>
      <c r="VKX107" s="531"/>
      <c r="VKY107" s="530"/>
      <c r="VKZ107" s="531"/>
      <c r="VLA107" s="530"/>
      <c r="VLB107" s="531"/>
      <c r="VLC107" s="530"/>
      <c r="VLD107" s="531"/>
      <c r="VLE107" s="530"/>
      <c r="VLF107" s="531"/>
      <c r="VLG107" s="530"/>
      <c r="VLH107" s="531"/>
      <c r="VLI107" s="530"/>
      <c r="VLJ107" s="531"/>
      <c r="VLK107" s="530"/>
      <c r="VLL107" s="531"/>
      <c r="VLM107" s="530"/>
      <c r="VLN107" s="531"/>
      <c r="VLO107" s="530"/>
      <c r="VLP107" s="531"/>
      <c r="VLQ107" s="530"/>
      <c r="VLR107" s="531"/>
      <c r="VLS107" s="530"/>
      <c r="VLT107" s="531"/>
      <c r="VLU107" s="530"/>
      <c r="VLV107" s="531"/>
      <c r="VLW107" s="530"/>
      <c r="VLX107" s="531"/>
      <c r="VLY107" s="530"/>
      <c r="VLZ107" s="531"/>
      <c r="VMA107" s="530"/>
      <c r="VMB107" s="531"/>
      <c r="VMC107" s="530"/>
      <c r="VMD107" s="531"/>
      <c r="VME107" s="530"/>
      <c r="VMF107" s="531"/>
      <c r="VMG107" s="530"/>
      <c r="VMH107" s="531"/>
      <c r="VMI107" s="530"/>
      <c r="VMJ107" s="531"/>
      <c r="VMK107" s="530"/>
      <c r="VML107" s="531"/>
      <c r="VMM107" s="530"/>
      <c r="VMN107" s="531"/>
      <c r="VMO107" s="530"/>
      <c r="VMP107" s="531"/>
      <c r="VMQ107" s="530"/>
      <c r="VMR107" s="531"/>
      <c r="VMS107" s="530"/>
      <c r="VMT107" s="531"/>
      <c r="VMU107" s="530"/>
      <c r="VMV107" s="531"/>
      <c r="VMW107" s="530"/>
      <c r="VMX107" s="531"/>
      <c r="VMY107" s="530"/>
      <c r="VMZ107" s="531"/>
      <c r="VNA107" s="530"/>
      <c r="VNB107" s="531"/>
      <c r="VNC107" s="530"/>
      <c r="VND107" s="531"/>
      <c r="VNE107" s="530"/>
      <c r="VNF107" s="531"/>
      <c r="VNG107" s="530"/>
      <c r="VNH107" s="531"/>
      <c r="VNI107" s="530"/>
      <c r="VNJ107" s="531"/>
      <c r="VNK107" s="530"/>
      <c r="VNL107" s="531"/>
      <c r="VNM107" s="530"/>
      <c r="VNN107" s="531"/>
      <c r="VNO107" s="530"/>
      <c r="VNP107" s="531"/>
      <c r="VNQ107" s="530"/>
      <c r="VNR107" s="531"/>
      <c r="VNS107" s="530"/>
      <c r="VNT107" s="531"/>
      <c r="VNU107" s="530"/>
      <c r="VNV107" s="531"/>
      <c r="VNW107" s="530"/>
      <c r="VNX107" s="531"/>
      <c r="VNY107" s="530"/>
      <c r="VNZ107" s="531"/>
      <c r="VOA107" s="530"/>
      <c r="VOB107" s="531"/>
      <c r="VOC107" s="530"/>
      <c r="VOD107" s="531"/>
      <c r="VOE107" s="530"/>
      <c r="VOF107" s="531"/>
      <c r="VOG107" s="530"/>
      <c r="VOH107" s="531"/>
      <c r="VOI107" s="530"/>
      <c r="VOJ107" s="531"/>
      <c r="VOK107" s="530"/>
      <c r="VOL107" s="531"/>
      <c r="VOM107" s="530"/>
      <c r="VON107" s="531"/>
      <c r="VOO107" s="530"/>
      <c r="VOP107" s="531"/>
      <c r="VOQ107" s="530"/>
      <c r="VOR107" s="531"/>
      <c r="VOS107" s="530"/>
      <c r="VOT107" s="531"/>
      <c r="VOU107" s="530"/>
      <c r="VOV107" s="531"/>
      <c r="VOW107" s="530"/>
      <c r="VOX107" s="531"/>
      <c r="VOY107" s="530"/>
      <c r="VOZ107" s="531"/>
      <c r="VPA107" s="530"/>
      <c r="VPB107" s="531"/>
      <c r="VPC107" s="530"/>
      <c r="VPD107" s="531"/>
      <c r="VPE107" s="530"/>
      <c r="VPF107" s="531"/>
      <c r="VPG107" s="530"/>
      <c r="VPH107" s="531"/>
      <c r="VPI107" s="530"/>
      <c r="VPJ107" s="531"/>
      <c r="VPK107" s="530"/>
      <c r="VPL107" s="531"/>
      <c r="VPM107" s="530"/>
      <c r="VPN107" s="531"/>
      <c r="VPO107" s="530"/>
      <c r="VPP107" s="531"/>
      <c r="VPQ107" s="530"/>
      <c r="VPR107" s="531"/>
      <c r="VPS107" s="530"/>
      <c r="VPT107" s="531"/>
      <c r="VPU107" s="530"/>
      <c r="VPV107" s="531"/>
      <c r="VPW107" s="530"/>
      <c r="VPX107" s="531"/>
      <c r="VPY107" s="530"/>
      <c r="VPZ107" s="531"/>
      <c r="VQA107" s="530"/>
      <c r="VQB107" s="531"/>
      <c r="VQC107" s="530"/>
      <c r="VQD107" s="531"/>
      <c r="VQE107" s="530"/>
      <c r="VQF107" s="531"/>
      <c r="VQG107" s="530"/>
      <c r="VQH107" s="531"/>
      <c r="VQI107" s="530"/>
      <c r="VQJ107" s="531"/>
      <c r="VQK107" s="530"/>
      <c r="VQL107" s="531"/>
      <c r="VQM107" s="530"/>
      <c r="VQN107" s="531"/>
      <c r="VQO107" s="530"/>
      <c r="VQP107" s="531"/>
      <c r="VQQ107" s="530"/>
      <c r="VQR107" s="531"/>
      <c r="VQS107" s="530"/>
      <c r="VQT107" s="531"/>
      <c r="VQU107" s="530"/>
      <c r="VQV107" s="531"/>
      <c r="VQW107" s="530"/>
      <c r="VQX107" s="531"/>
      <c r="VQY107" s="530"/>
      <c r="VQZ107" s="531"/>
      <c r="VRA107" s="530"/>
      <c r="VRB107" s="531"/>
      <c r="VRC107" s="530"/>
      <c r="VRD107" s="531"/>
      <c r="VRE107" s="530"/>
      <c r="VRF107" s="531"/>
      <c r="VRG107" s="530"/>
      <c r="VRH107" s="531"/>
      <c r="VRI107" s="530"/>
      <c r="VRJ107" s="531"/>
      <c r="VRK107" s="530"/>
      <c r="VRL107" s="531"/>
      <c r="VRM107" s="530"/>
      <c r="VRN107" s="531"/>
      <c r="VRO107" s="530"/>
      <c r="VRP107" s="531"/>
      <c r="VRQ107" s="530"/>
      <c r="VRR107" s="531"/>
      <c r="VRS107" s="530"/>
      <c r="VRT107" s="531"/>
      <c r="VRU107" s="530"/>
      <c r="VRV107" s="531"/>
      <c r="VRW107" s="530"/>
      <c r="VRX107" s="531"/>
      <c r="VRY107" s="530"/>
      <c r="VRZ107" s="531"/>
      <c r="VSA107" s="530"/>
      <c r="VSB107" s="531"/>
      <c r="VSC107" s="530"/>
      <c r="VSD107" s="531"/>
      <c r="VSE107" s="530"/>
      <c r="VSF107" s="531"/>
      <c r="VSG107" s="530"/>
      <c r="VSH107" s="531"/>
      <c r="VSI107" s="530"/>
      <c r="VSJ107" s="531"/>
      <c r="VSK107" s="530"/>
      <c r="VSL107" s="531"/>
      <c r="VSM107" s="530"/>
      <c r="VSN107" s="531"/>
      <c r="VSO107" s="530"/>
      <c r="VSP107" s="531"/>
      <c r="VSQ107" s="530"/>
      <c r="VSR107" s="531"/>
      <c r="VSS107" s="530"/>
      <c r="VST107" s="531"/>
      <c r="VSU107" s="530"/>
      <c r="VSV107" s="531"/>
      <c r="VSW107" s="530"/>
      <c r="VSX107" s="531"/>
      <c r="VSY107" s="530"/>
      <c r="VSZ107" s="531"/>
      <c r="VTA107" s="530"/>
      <c r="VTB107" s="531"/>
      <c r="VTC107" s="530"/>
      <c r="VTD107" s="531"/>
      <c r="VTE107" s="530"/>
      <c r="VTF107" s="531"/>
      <c r="VTG107" s="530"/>
      <c r="VTH107" s="531"/>
      <c r="VTI107" s="530"/>
      <c r="VTJ107" s="531"/>
      <c r="VTK107" s="530"/>
      <c r="VTL107" s="531"/>
      <c r="VTM107" s="530"/>
      <c r="VTN107" s="531"/>
      <c r="VTO107" s="530"/>
      <c r="VTP107" s="531"/>
      <c r="VTQ107" s="530"/>
      <c r="VTR107" s="531"/>
      <c r="VTS107" s="530"/>
      <c r="VTT107" s="531"/>
      <c r="VTU107" s="530"/>
      <c r="VTV107" s="531"/>
      <c r="VTW107" s="530"/>
      <c r="VTX107" s="531"/>
      <c r="VTY107" s="530"/>
      <c r="VTZ107" s="531"/>
      <c r="VUA107" s="530"/>
      <c r="VUB107" s="531"/>
      <c r="VUC107" s="530"/>
      <c r="VUD107" s="531"/>
      <c r="VUE107" s="530"/>
      <c r="VUF107" s="531"/>
      <c r="VUG107" s="530"/>
      <c r="VUH107" s="531"/>
      <c r="VUI107" s="530"/>
      <c r="VUJ107" s="531"/>
      <c r="VUK107" s="530"/>
      <c r="VUL107" s="531"/>
      <c r="VUM107" s="530"/>
      <c r="VUN107" s="531"/>
      <c r="VUO107" s="530"/>
      <c r="VUP107" s="531"/>
      <c r="VUQ107" s="530"/>
      <c r="VUR107" s="531"/>
      <c r="VUS107" s="530"/>
      <c r="VUT107" s="531"/>
      <c r="VUU107" s="530"/>
      <c r="VUV107" s="531"/>
      <c r="VUW107" s="530"/>
      <c r="VUX107" s="531"/>
      <c r="VUY107" s="530"/>
      <c r="VUZ107" s="531"/>
      <c r="VVA107" s="530"/>
      <c r="VVB107" s="531"/>
      <c r="VVC107" s="530"/>
      <c r="VVD107" s="531"/>
      <c r="VVE107" s="530"/>
      <c r="VVF107" s="531"/>
      <c r="VVG107" s="530"/>
      <c r="VVH107" s="531"/>
      <c r="VVI107" s="530"/>
      <c r="VVJ107" s="531"/>
      <c r="VVK107" s="530"/>
      <c r="VVL107" s="531"/>
      <c r="VVM107" s="530"/>
      <c r="VVN107" s="531"/>
      <c r="VVO107" s="530"/>
      <c r="VVP107" s="531"/>
      <c r="VVQ107" s="530"/>
      <c r="VVR107" s="531"/>
      <c r="VVS107" s="530"/>
      <c r="VVT107" s="531"/>
      <c r="VVU107" s="530"/>
      <c r="VVV107" s="531"/>
      <c r="VVW107" s="530"/>
      <c r="VVX107" s="531"/>
      <c r="VVY107" s="530"/>
      <c r="VVZ107" s="531"/>
      <c r="VWA107" s="530"/>
      <c r="VWB107" s="531"/>
      <c r="VWC107" s="530"/>
      <c r="VWD107" s="531"/>
      <c r="VWE107" s="530"/>
      <c r="VWF107" s="531"/>
      <c r="VWG107" s="530"/>
      <c r="VWH107" s="531"/>
      <c r="VWI107" s="530"/>
      <c r="VWJ107" s="531"/>
      <c r="VWK107" s="530"/>
      <c r="VWL107" s="531"/>
      <c r="VWM107" s="530"/>
      <c r="VWN107" s="531"/>
      <c r="VWO107" s="530"/>
      <c r="VWP107" s="531"/>
      <c r="VWQ107" s="530"/>
      <c r="VWR107" s="531"/>
      <c r="VWS107" s="530"/>
      <c r="VWT107" s="531"/>
      <c r="VWU107" s="530"/>
      <c r="VWV107" s="531"/>
      <c r="VWW107" s="530"/>
      <c r="VWX107" s="531"/>
      <c r="VWY107" s="530"/>
      <c r="VWZ107" s="531"/>
      <c r="VXA107" s="530"/>
      <c r="VXB107" s="531"/>
      <c r="VXC107" s="530"/>
      <c r="VXD107" s="531"/>
      <c r="VXE107" s="530"/>
      <c r="VXF107" s="531"/>
      <c r="VXG107" s="530"/>
      <c r="VXH107" s="531"/>
      <c r="VXI107" s="530"/>
      <c r="VXJ107" s="531"/>
      <c r="VXK107" s="530"/>
      <c r="VXL107" s="531"/>
      <c r="VXM107" s="530"/>
      <c r="VXN107" s="531"/>
      <c r="VXO107" s="530"/>
      <c r="VXP107" s="531"/>
      <c r="VXQ107" s="530"/>
      <c r="VXR107" s="531"/>
      <c r="VXS107" s="530"/>
      <c r="VXT107" s="531"/>
      <c r="VXU107" s="530"/>
      <c r="VXV107" s="531"/>
      <c r="VXW107" s="530"/>
      <c r="VXX107" s="531"/>
      <c r="VXY107" s="530"/>
      <c r="VXZ107" s="531"/>
      <c r="VYA107" s="530"/>
      <c r="VYB107" s="531"/>
      <c r="VYC107" s="530"/>
      <c r="VYD107" s="531"/>
      <c r="VYE107" s="530"/>
      <c r="VYF107" s="531"/>
      <c r="VYG107" s="530"/>
      <c r="VYH107" s="531"/>
      <c r="VYI107" s="530"/>
      <c r="VYJ107" s="531"/>
      <c r="VYK107" s="530"/>
      <c r="VYL107" s="531"/>
      <c r="VYM107" s="530"/>
      <c r="VYN107" s="531"/>
      <c r="VYO107" s="530"/>
      <c r="VYP107" s="531"/>
      <c r="VYQ107" s="530"/>
      <c r="VYR107" s="531"/>
      <c r="VYS107" s="530"/>
      <c r="VYT107" s="531"/>
      <c r="VYU107" s="530"/>
      <c r="VYV107" s="531"/>
      <c r="VYW107" s="530"/>
      <c r="VYX107" s="531"/>
      <c r="VYY107" s="530"/>
      <c r="VYZ107" s="531"/>
      <c r="VZA107" s="530"/>
      <c r="VZB107" s="531"/>
      <c r="VZC107" s="530"/>
      <c r="VZD107" s="531"/>
      <c r="VZE107" s="530"/>
      <c r="VZF107" s="531"/>
      <c r="VZG107" s="530"/>
      <c r="VZH107" s="531"/>
      <c r="VZI107" s="530"/>
      <c r="VZJ107" s="531"/>
      <c r="VZK107" s="530"/>
      <c r="VZL107" s="531"/>
      <c r="VZM107" s="530"/>
      <c r="VZN107" s="531"/>
      <c r="VZO107" s="530"/>
      <c r="VZP107" s="531"/>
      <c r="VZQ107" s="530"/>
      <c r="VZR107" s="531"/>
      <c r="VZS107" s="530"/>
      <c r="VZT107" s="531"/>
      <c r="VZU107" s="530"/>
      <c r="VZV107" s="531"/>
      <c r="VZW107" s="530"/>
      <c r="VZX107" s="531"/>
      <c r="VZY107" s="530"/>
      <c r="VZZ107" s="531"/>
      <c r="WAA107" s="530"/>
      <c r="WAB107" s="531"/>
      <c r="WAC107" s="530"/>
      <c r="WAD107" s="531"/>
      <c r="WAE107" s="530"/>
      <c r="WAF107" s="531"/>
      <c r="WAG107" s="530"/>
      <c r="WAH107" s="531"/>
      <c r="WAI107" s="530"/>
      <c r="WAJ107" s="531"/>
      <c r="WAK107" s="530"/>
      <c r="WAL107" s="531"/>
      <c r="WAM107" s="530"/>
      <c r="WAN107" s="531"/>
      <c r="WAO107" s="530"/>
      <c r="WAP107" s="531"/>
      <c r="WAQ107" s="530"/>
      <c r="WAR107" s="531"/>
      <c r="WAS107" s="530"/>
      <c r="WAT107" s="531"/>
      <c r="WAU107" s="530"/>
      <c r="WAV107" s="531"/>
      <c r="WAW107" s="530"/>
      <c r="WAX107" s="531"/>
      <c r="WAY107" s="530"/>
      <c r="WAZ107" s="531"/>
      <c r="WBA107" s="530"/>
      <c r="WBB107" s="531"/>
      <c r="WBC107" s="530"/>
      <c r="WBD107" s="531"/>
      <c r="WBE107" s="530"/>
      <c r="WBF107" s="531"/>
      <c r="WBG107" s="530"/>
      <c r="WBH107" s="531"/>
      <c r="WBI107" s="530"/>
      <c r="WBJ107" s="531"/>
      <c r="WBK107" s="530"/>
      <c r="WBL107" s="531"/>
      <c r="WBM107" s="530"/>
      <c r="WBN107" s="531"/>
      <c r="WBO107" s="530"/>
      <c r="WBP107" s="531"/>
      <c r="WBQ107" s="530"/>
      <c r="WBR107" s="531"/>
      <c r="WBS107" s="530"/>
      <c r="WBT107" s="531"/>
      <c r="WBU107" s="530"/>
      <c r="WBV107" s="531"/>
      <c r="WBW107" s="530"/>
      <c r="WBX107" s="531"/>
      <c r="WBY107" s="530"/>
      <c r="WBZ107" s="531"/>
      <c r="WCA107" s="530"/>
      <c r="WCB107" s="531"/>
      <c r="WCC107" s="530"/>
      <c r="WCD107" s="531"/>
      <c r="WCE107" s="530"/>
      <c r="WCF107" s="531"/>
      <c r="WCG107" s="530"/>
      <c r="WCH107" s="531"/>
      <c r="WCI107" s="530"/>
      <c r="WCJ107" s="531"/>
      <c r="WCK107" s="530"/>
      <c r="WCL107" s="531"/>
      <c r="WCM107" s="530"/>
      <c r="WCN107" s="531"/>
      <c r="WCO107" s="530"/>
      <c r="WCP107" s="531"/>
      <c r="WCQ107" s="530"/>
      <c r="WCR107" s="531"/>
      <c r="WCS107" s="530"/>
      <c r="WCT107" s="531"/>
      <c r="WCU107" s="530"/>
      <c r="WCV107" s="531"/>
      <c r="WCW107" s="530"/>
      <c r="WCX107" s="531"/>
      <c r="WCY107" s="530"/>
      <c r="WCZ107" s="531"/>
      <c r="WDA107" s="530"/>
      <c r="WDB107" s="531"/>
      <c r="WDC107" s="530"/>
      <c r="WDD107" s="531"/>
      <c r="WDE107" s="530"/>
      <c r="WDF107" s="531"/>
      <c r="WDG107" s="530"/>
      <c r="WDH107" s="531"/>
      <c r="WDI107" s="530"/>
      <c r="WDJ107" s="531"/>
      <c r="WDK107" s="530"/>
      <c r="WDL107" s="531"/>
      <c r="WDM107" s="530"/>
      <c r="WDN107" s="531"/>
      <c r="WDO107" s="530"/>
      <c r="WDP107" s="531"/>
      <c r="WDQ107" s="530"/>
      <c r="WDR107" s="531"/>
      <c r="WDS107" s="530"/>
      <c r="WDT107" s="531"/>
      <c r="WDU107" s="530"/>
      <c r="WDV107" s="531"/>
      <c r="WDW107" s="530"/>
      <c r="WDX107" s="531"/>
      <c r="WDY107" s="530"/>
      <c r="WDZ107" s="531"/>
      <c r="WEA107" s="530"/>
      <c r="WEB107" s="531"/>
      <c r="WEC107" s="530"/>
      <c r="WED107" s="531"/>
      <c r="WEE107" s="530"/>
      <c r="WEF107" s="531"/>
      <c r="WEG107" s="530"/>
      <c r="WEH107" s="531"/>
      <c r="WEI107" s="530"/>
      <c r="WEJ107" s="531"/>
      <c r="WEK107" s="530"/>
      <c r="WEL107" s="531"/>
      <c r="WEM107" s="530"/>
      <c r="WEN107" s="531"/>
      <c r="WEO107" s="530"/>
      <c r="WEP107" s="531"/>
      <c r="WEQ107" s="530"/>
      <c r="WER107" s="531"/>
      <c r="WES107" s="530"/>
      <c r="WET107" s="531"/>
      <c r="WEU107" s="530"/>
      <c r="WEV107" s="531"/>
      <c r="WEW107" s="530"/>
      <c r="WEX107" s="531"/>
      <c r="WEY107" s="530"/>
      <c r="WEZ107" s="531"/>
      <c r="WFA107" s="530"/>
      <c r="WFB107" s="531"/>
      <c r="WFC107" s="530"/>
      <c r="WFD107" s="531"/>
      <c r="WFE107" s="530"/>
      <c r="WFF107" s="531"/>
      <c r="WFG107" s="530"/>
      <c r="WFH107" s="531"/>
      <c r="WFI107" s="530"/>
      <c r="WFJ107" s="531"/>
      <c r="WFK107" s="530"/>
      <c r="WFL107" s="531"/>
      <c r="WFM107" s="530"/>
      <c r="WFN107" s="531"/>
      <c r="WFO107" s="530"/>
      <c r="WFP107" s="531"/>
      <c r="WFQ107" s="530"/>
      <c r="WFR107" s="531"/>
      <c r="WFS107" s="530"/>
      <c r="WFT107" s="531"/>
      <c r="WFU107" s="530"/>
      <c r="WFV107" s="531"/>
      <c r="WFW107" s="530"/>
      <c r="WFX107" s="531"/>
      <c r="WFY107" s="530"/>
      <c r="WFZ107" s="531"/>
      <c r="WGA107" s="530"/>
      <c r="WGB107" s="531"/>
      <c r="WGC107" s="530"/>
      <c r="WGD107" s="531"/>
      <c r="WGE107" s="530"/>
      <c r="WGF107" s="531"/>
      <c r="WGG107" s="530"/>
      <c r="WGH107" s="531"/>
      <c r="WGI107" s="530"/>
      <c r="WGJ107" s="531"/>
      <c r="WGK107" s="530"/>
      <c r="WGL107" s="531"/>
      <c r="WGM107" s="530"/>
      <c r="WGN107" s="531"/>
      <c r="WGO107" s="530"/>
      <c r="WGP107" s="531"/>
      <c r="WGQ107" s="530"/>
      <c r="WGR107" s="531"/>
      <c r="WGS107" s="530"/>
      <c r="WGT107" s="531"/>
      <c r="WGU107" s="530"/>
      <c r="WGV107" s="531"/>
      <c r="WGW107" s="530"/>
      <c r="WGX107" s="531"/>
      <c r="WGY107" s="530"/>
      <c r="WGZ107" s="531"/>
      <c r="WHA107" s="530"/>
      <c r="WHB107" s="531"/>
      <c r="WHC107" s="530"/>
      <c r="WHD107" s="531"/>
      <c r="WHE107" s="530"/>
      <c r="WHF107" s="531"/>
      <c r="WHG107" s="530"/>
      <c r="WHH107" s="531"/>
      <c r="WHI107" s="530"/>
      <c r="WHJ107" s="531"/>
      <c r="WHK107" s="530"/>
      <c r="WHL107" s="531"/>
      <c r="WHM107" s="530"/>
      <c r="WHN107" s="531"/>
      <c r="WHO107" s="530"/>
      <c r="WHP107" s="531"/>
      <c r="WHQ107" s="530"/>
      <c r="WHR107" s="531"/>
      <c r="WHS107" s="530"/>
      <c r="WHT107" s="531"/>
      <c r="WHU107" s="530"/>
      <c r="WHV107" s="531"/>
      <c r="WHW107" s="530"/>
      <c r="WHX107" s="531"/>
      <c r="WHY107" s="530"/>
      <c r="WHZ107" s="531"/>
      <c r="WIA107" s="530"/>
      <c r="WIB107" s="531"/>
      <c r="WIC107" s="530"/>
      <c r="WID107" s="531"/>
      <c r="WIE107" s="530"/>
      <c r="WIF107" s="531"/>
      <c r="WIG107" s="530"/>
      <c r="WIH107" s="531"/>
      <c r="WII107" s="530"/>
      <c r="WIJ107" s="531"/>
      <c r="WIK107" s="530"/>
      <c r="WIL107" s="531"/>
      <c r="WIM107" s="530"/>
      <c r="WIN107" s="531"/>
      <c r="WIO107" s="530"/>
      <c r="WIP107" s="531"/>
      <c r="WIQ107" s="530"/>
      <c r="WIR107" s="531"/>
      <c r="WIS107" s="530"/>
      <c r="WIT107" s="531"/>
      <c r="WIU107" s="530"/>
      <c r="WIV107" s="531"/>
      <c r="WIW107" s="530"/>
      <c r="WIX107" s="531"/>
      <c r="WIY107" s="530"/>
      <c r="WIZ107" s="531"/>
      <c r="WJA107" s="530"/>
      <c r="WJB107" s="531"/>
      <c r="WJC107" s="530"/>
      <c r="WJD107" s="531"/>
      <c r="WJE107" s="530"/>
      <c r="WJF107" s="531"/>
      <c r="WJG107" s="530"/>
      <c r="WJH107" s="531"/>
      <c r="WJI107" s="530"/>
      <c r="WJJ107" s="531"/>
      <c r="WJK107" s="530"/>
      <c r="WJL107" s="531"/>
      <c r="WJM107" s="530"/>
      <c r="WJN107" s="531"/>
      <c r="WJO107" s="530"/>
      <c r="WJP107" s="531"/>
      <c r="WJQ107" s="530"/>
      <c r="WJR107" s="531"/>
      <c r="WJS107" s="530"/>
      <c r="WJT107" s="531"/>
      <c r="WJU107" s="530"/>
      <c r="WJV107" s="531"/>
      <c r="WJW107" s="530"/>
      <c r="WJX107" s="531"/>
      <c r="WJY107" s="530"/>
      <c r="WJZ107" s="531"/>
      <c r="WKA107" s="530"/>
      <c r="WKB107" s="531"/>
      <c r="WKC107" s="530"/>
      <c r="WKD107" s="531"/>
      <c r="WKE107" s="530"/>
      <c r="WKF107" s="531"/>
      <c r="WKG107" s="530"/>
      <c r="WKH107" s="531"/>
      <c r="WKI107" s="530"/>
      <c r="WKJ107" s="531"/>
      <c r="WKK107" s="530"/>
      <c r="WKL107" s="531"/>
      <c r="WKM107" s="530"/>
      <c r="WKN107" s="531"/>
      <c r="WKO107" s="530"/>
      <c r="WKP107" s="531"/>
      <c r="WKQ107" s="530"/>
      <c r="WKR107" s="531"/>
      <c r="WKS107" s="530"/>
      <c r="WKT107" s="531"/>
      <c r="WKU107" s="530"/>
      <c r="WKV107" s="531"/>
      <c r="WKW107" s="530"/>
      <c r="WKX107" s="531"/>
      <c r="WKY107" s="530"/>
      <c r="WKZ107" s="531"/>
      <c r="WLA107" s="530"/>
      <c r="WLB107" s="531"/>
      <c r="WLC107" s="530"/>
      <c r="WLD107" s="531"/>
      <c r="WLE107" s="530"/>
      <c r="WLF107" s="531"/>
      <c r="WLG107" s="530"/>
      <c r="WLH107" s="531"/>
      <c r="WLI107" s="530"/>
      <c r="WLJ107" s="531"/>
      <c r="WLK107" s="530"/>
      <c r="WLL107" s="531"/>
      <c r="WLM107" s="530"/>
      <c r="WLN107" s="531"/>
      <c r="WLO107" s="530"/>
      <c r="WLP107" s="531"/>
      <c r="WLQ107" s="530"/>
      <c r="WLR107" s="531"/>
      <c r="WLS107" s="530"/>
      <c r="WLT107" s="531"/>
      <c r="WLU107" s="530"/>
      <c r="WLV107" s="531"/>
      <c r="WLW107" s="530"/>
      <c r="WLX107" s="531"/>
      <c r="WLY107" s="530"/>
      <c r="WLZ107" s="531"/>
      <c r="WMA107" s="530"/>
      <c r="WMB107" s="531"/>
      <c r="WMC107" s="530"/>
      <c r="WMD107" s="531"/>
      <c r="WME107" s="530"/>
      <c r="WMF107" s="531"/>
      <c r="WMG107" s="530"/>
      <c r="WMH107" s="531"/>
      <c r="WMI107" s="530"/>
      <c r="WMJ107" s="531"/>
      <c r="WMK107" s="530"/>
      <c r="WML107" s="531"/>
      <c r="WMM107" s="530"/>
      <c r="WMN107" s="531"/>
      <c r="WMO107" s="530"/>
      <c r="WMP107" s="531"/>
      <c r="WMQ107" s="530"/>
      <c r="WMR107" s="531"/>
      <c r="WMS107" s="530"/>
      <c r="WMT107" s="531"/>
      <c r="WMU107" s="530"/>
      <c r="WMV107" s="531"/>
      <c r="WMW107" s="530"/>
      <c r="WMX107" s="531"/>
      <c r="WMY107" s="530"/>
      <c r="WMZ107" s="531"/>
      <c r="WNA107" s="530"/>
      <c r="WNB107" s="531"/>
      <c r="WNC107" s="530"/>
      <c r="WND107" s="531"/>
      <c r="WNE107" s="530"/>
      <c r="WNF107" s="531"/>
      <c r="WNG107" s="530"/>
      <c r="WNH107" s="531"/>
      <c r="WNI107" s="530"/>
      <c r="WNJ107" s="531"/>
      <c r="WNK107" s="530"/>
      <c r="WNL107" s="531"/>
      <c r="WNM107" s="530"/>
      <c r="WNN107" s="531"/>
      <c r="WNO107" s="530"/>
      <c r="WNP107" s="531"/>
      <c r="WNQ107" s="530"/>
      <c r="WNR107" s="531"/>
      <c r="WNS107" s="530"/>
      <c r="WNT107" s="531"/>
      <c r="WNU107" s="530"/>
      <c r="WNV107" s="531"/>
      <c r="WNW107" s="530"/>
      <c r="WNX107" s="531"/>
      <c r="WNY107" s="530"/>
      <c r="WNZ107" s="531"/>
      <c r="WOA107" s="530"/>
      <c r="WOB107" s="531"/>
      <c r="WOC107" s="530"/>
      <c r="WOD107" s="531"/>
      <c r="WOE107" s="530"/>
      <c r="WOF107" s="531"/>
      <c r="WOG107" s="530"/>
      <c r="WOH107" s="531"/>
      <c r="WOI107" s="530"/>
      <c r="WOJ107" s="531"/>
      <c r="WOK107" s="530"/>
      <c r="WOL107" s="531"/>
      <c r="WOM107" s="530"/>
      <c r="WON107" s="531"/>
      <c r="WOO107" s="530"/>
      <c r="WOP107" s="531"/>
      <c r="WOQ107" s="530"/>
      <c r="WOR107" s="531"/>
      <c r="WOS107" s="530"/>
      <c r="WOT107" s="531"/>
      <c r="WOU107" s="530"/>
      <c r="WOV107" s="531"/>
      <c r="WOW107" s="530"/>
      <c r="WOX107" s="531"/>
      <c r="WOY107" s="530"/>
      <c r="WOZ107" s="531"/>
      <c r="WPA107" s="530"/>
      <c r="WPB107" s="531"/>
      <c r="WPC107" s="530"/>
      <c r="WPD107" s="531"/>
      <c r="WPE107" s="530"/>
      <c r="WPF107" s="531"/>
      <c r="WPG107" s="530"/>
      <c r="WPH107" s="531"/>
      <c r="WPI107" s="530"/>
      <c r="WPJ107" s="531"/>
      <c r="WPK107" s="530"/>
      <c r="WPL107" s="531"/>
      <c r="WPM107" s="530"/>
      <c r="WPN107" s="531"/>
      <c r="WPO107" s="530"/>
      <c r="WPP107" s="531"/>
      <c r="WPQ107" s="530"/>
      <c r="WPR107" s="531"/>
      <c r="WPS107" s="530"/>
      <c r="WPT107" s="531"/>
      <c r="WPU107" s="530"/>
      <c r="WPV107" s="531"/>
      <c r="WPW107" s="530"/>
      <c r="WPX107" s="531"/>
      <c r="WPY107" s="530"/>
      <c r="WPZ107" s="531"/>
      <c r="WQA107" s="530"/>
      <c r="WQB107" s="531"/>
      <c r="WQC107" s="530"/>
      <c r="WQD107" s="531"/>
      <c r="WQE107" s="530"/>
      <c r="WQF107" s="531"/>
      <c r="WQG107" s="530"/>
      <c r="WQH107" s="531"/>
      <c r="WQI107" s="530"/>
      <c r="WQJ107" s="531"/>
      <c r="WQK107" s="530"/>
      <c r="WQL107" s="531"/>
      <c r="WQM107" s="530"/>
      <c r="WQN107" s="531"/>
      <c r="WQO107" s="530"/>
      <c r="WQP107" s="531"/>
      <c r="WQQ107" s="530"/>
      <c r="WQR107" s="531"/>
      <c r="WQS107" s="530"/>
      <c r="WQT107" s="531"/>
      <c r="WQU107" s="530"/>
      <c r="WQV107" s="531"/>
      <c r="WQW107" s="530"/>
      <c r="WQX107" s="531"/>
      <c r="WQY107" s="530"/>
      <c r="WQZ107" s="531"/>
      <c r="WRA107" s="530"/>
      <c r="WRB107" s="531"/>
      <c r="WRC107" s="530"/>
      <c r="WRD107" s="531"/>
      <c r="WRE107" s="530"/>
      <c r="WRF107" s="531"/>
      <c r="WRG107" s="530"/>
      <c r="WRH107" s="531"/>
      <c r="WRI107" s="530"/>
      <c r="WRJ107" s="531"/>
      <c r="WRK107" s="530"/>
      <c r="WRL107" s="531"/>
      <c r="WRM107" s="530"/>
      <c r="WRN107" s="531"/>
      <c r="WRO107" s="530"/>
      <c r="WRP107" s="531"/>
      <c r="WRQ107" s="530"/>
      <c r="WRR107" s="531"/>
      <c r="WRS107" s="530"/>
      <c r="WRT107" s="531"/>
      <c r="WRU107" s="530"/>
      <c r="WRV107" s="531"/>
      <c r="WRW107" s="530"/>
      <c r="WRX107" s="531"/>
      <c r="WRY107" s="530"/>
      <c r="WRZ107" s="531"/>
      <c r="WSA107" s="530"/>
      <c r="WSB107" s="531"/>
      <c r="WSC107" s="530"/>
      <c r="WSD107" s="531"/>
      <c r="WSE107" s="530"/>
      <c r="WSF107" s="531"/>
      <c r="WSG107" s="530"/>
      <c r="WSH107" s="531"/>
      <c r="WSI107" s="530"/>
      <c r="WSJ107" s="531"/>
      <c r="WSK107" s="530"/>
      <c r="WSL107" s="531"/>
      <c r="WSM107" s="530"/>
      <c r="WSN107" s="531"/>
      <c r="WSO107" s="530"/>
      <c r="WSP107" s="531"/>
      <c r="WSQ107" s="530"/>
      <c r="WSR107" s="531"/>
      <c r="WSS107" s="530"/>
      <c r="WST107" s="531"/>
      <c r="WSU107" s="530"/>
      <c r="WSV107" s="531"/>
      <c r="WSW107" s="530"/>
      <c r="WSX107" s="531"/>
      <c r="WSY107" s="530"/>
      <c r="WSZ107" s="531"/>
      <c r="WTA107" s="530"/>
      <c r="WTB107" s="531"/>
      <c r="WTC107" s="530"/>
      <c r="WTD107" s="531"/>
      <c r="WTE107" s="530"/>
      <c r="WTF107" s="531"/>
      <c r="WTG107" s="530"/>
      <c r="WTH107" s="531"/>
      <c r="WTI107" s="530"/>
      <c r="WTJ107" s="531"/>
      <c r="WTK107" s="530"/>
      <c r="WTL107" s="531"/>
      <c r="WTM107" s="530"/>
      <c r="WTN107" s="531"/>
      <c r="WTO107" s="530"/>
      <c r="WTP107" s="531"/>
      <c r="WTQ107" s="530"/>
      <c r="WTR107" s="531"/>
      <c r="WTS107" s="530"/>
      <c r="WTT107" s="531"/>
      <c r="WTU107" s="530"/>
      <c r="WTV107" s="531"/>
      <c r="WTW107" s="530"/>
      <c r="WTX107" s="531"/>
      <c r="WTY107" s="530"/>
      <c r="WTZ107" s="531"/>
      <c r="WUA107" s="530"/>
      <c r="WUB107" s="531"/>
      <c r="WUC107" s="530"/>
      <c r="WUD107" s="531"/>
      <c r="WUE107" s="530"/>
      <c r="WUF107" s="531"/>
      <c r="WUG107" s="530"/>
      <c r="WUH107" s="531"/>
      <c r="WUI107" s="530"/>
      <c r="WUJ107" s="531"/>
      <c r="WUK107" s="530"/>
      <c r="WUL107" s="531"/>
      <c r="WUM107" s="530"/>
      <c r="WUN107" s="531"/>
      <c r="WUO107" s="530"/>
      <c r="WUP107" s="531"/>
      <c r="WUQ107" s="530"/>
      <c r="WUR107" s="531"/>
      <c r="WUS107" s="530"/>
      <c r="WUT107" s="531"/>
      <c r="WUU107" s="530"/>
      <c r="WUV107" s="531"/>
      <c r="WUW107" s="530"/>
      <c r="WUX107" s="531"/>
      <c r="WUY107" s="530"/>
      <c r="WUZ107" s="531"/>
      <c r="WVA107" s="530"/>
      <c r="WVB107" s="531"/>
      <c r="WVC107" s="530"/>
      <c r="WVD107" s="531"/>
      <c r="WVE107" s="530"/>
      <c r="WVF107" s="531"/>
      <c r="WVG107" s="530"/>
      <c r="WVH107" s="531"/>
      <c r="WVI107" s="530"/>
      <c r="WVJ107" s="531"/>
      <c r="WVK107" s="530"/>
      <c r="WVL107" s="531"/>
      <c r="WVM107" s="530"/>
      <c r="WVN107" s="531"/>
      <c r="WVO107" s="530"/>
      <c r="WVP107" s="531"/>
      <c r="WVQ107" s="530"/>
      <c r="WVR107" s="531"/>
      <c r="WVS107" s="530"/>
      <c r="WVT107" s="531"/>
      <c r="WVU107" s="530"/>
      <c r="WVV107" s="531"/>
      <c r="WVW107" s="530"/>
      <c r="WVX107" s="531"/>
      <c r="WVY107" s="530"/>
      <c r="WVZ107" s="531"/>
      <c r="WWA107" s="530"/>
      <c r="WWB107" s="531"/>
      <c r="WWC107" s="530"/>
      <c r="WWD107" s="531"/>
      <c r="WWE107" s="530"/>
      <c r="WWF107" s="531"/>
      <c r="WWG107" s="530"/>
      <c r="WWH107" s="531"/>
      <c r="WWI107" s="530"/>
      <c r="WWJ107" s="531"/>
      <c r="WWK107" s="530"/>
      <c r="WWL107" s="531"/>
      <c r="WWM107" s="530"/>
      <c r="WWN107" s="531"/>
      <c r="WWO107" s="530"/>
      <c r="WWP107" s="531"/>
      <c r="WWQ107" s="530"/>
      <c r="WWR107" s="531"/>
      <c r="WWS107" s="530"/>
      <c r="WWT107" s="531"/>
      <c r="WWU107" s="530"/>
      <c r="WWV107" s="531"/>
      <c r="WWW107" s="530"/>
      <c r="WWX107" s="531"/>
      <c r="WWY107" s="530"/>
      <c r="WWZ107" s="531"/>
      <c r="WXA107" s="530"/>
      <c r="WXB107" s="531"/>
      <c r="WXC107" s="530"/>
      <c r="WXD107" s="531"/>
      <c r="WXE107" s="530"/>
      <c r="WXF107" s="531"/>
      <c r="WXG107" s="530"/>
      <c r="WXH107" s="531"/>
      <c r="WXI107" s="530"/>
      <c r="WXJ107" s="531"/>
      <c r="WXK107" s="530"/>
      <c r="WXL107" s="531"/>
      <c r="WXM107" s="530"/>
      <c r="WXN107" s="531"/>
      <c r="WXO107" s="530"/>
      <c r="WXP107" s="531"/>
      <c r="WXQ107" s="530"/>
      <c r="WXR107" s="531"/>
      <c r="WXS107" s="530"/>
      <c r="WXT107" s="531"/>
      <c r="WXU107" s="530"/>
      <c r="WXV107" s="531"/>
      <c r="WXW107" s="530"/>
      <c r="WXX107" s="531"/>
      <c r="WXY107" s="530"/>
      <c r="WXZ107" s="531"/>
      <c r="WYA107" s="530"/>
      <c r="WYB107" s="531"/>
      <c r="WYC107" s="530"/>
      <c r="WYD107" s="531"/>
      <c r="WYE107" s="530"/>
      <c r="WYF107" s="531"/>
      <c r="WYG107" s="530"/>
      <c r="WYH107" s="531"/>
      <c r="WYI107" s="530"/>
      <c r="WYJ107" s="531"/>
      <c r="WYK107" s="530"/>
      <c r="WYL107" s="531"/>
      <c r="WYM107" s="530"/>
      <c r="WYN107" s="531"/>
      <c r="WYO107" s="530"/>
      <c r="WYP107" s="531"/>
      <c r="WYQ107" s="530"/>
      <c r="WYR107" s="531"/>
      <c r="WYS107" s="530"/>
      <c r="WYT107" s="531"/>
      <c r="WYU107" s="530"/>
      <c r="WYV107" s="531"/>
      <c r="WYW107" s="530"/>
      <c r="WYX107" s="531"/>
      <c r="WYY107" s="530"/>
      <c r="WYZ107" s="531"/>
      <c r="WZA107" s="530"/>
      <c r="WZB107" s="531"/>
      <c r="WZC107" s="530"/>
      <c r="WZD107" s="531"/>
      <c r="WZE107" s="530"/>
      <c r="WZF107" s="531"/>
      <c r="WZG107" s="530"/>
      <c r="WZH107" s="531"/>
      <c r="WZI107" s="530"/>
      <c r="WZJ107" s="531"/>
      <c r="WZK107" s="530"/>
      <c r="WZL107" s="531"/>
      <c r="WZM107" s="530"/>
      <c r="WZN107" s="531"/>
      <c r="WZO107" s="530"/>
      <c r="WZP107" s="531"/>
      <c r="WZQ107" s="530"/>
      <c r="WZR107" s="531"/>
      <c r="WZS107" s="530"/>
      <c r="WZT107" s="531"/>
      <c r="WZU107" s="530"/>
      <c r="WZV107" s="531"/>
      <c r="WZW107" s="530"/>
      <c r="WZX107" s="531"/>
      <c r="WZY107" s="530"/>
      <c r="WZZ107" s="531"/>
      <c r="XAA107" s="530"/>
      <c r="XAB107" s="531"/>
      <c r="XAC107" s="530"/>
      <c r="XAD107" s="531"/>
      <c r="XAE107" s="530"/>
      <c r="XAF107" s="531"/>
      <c r="XAG107" s="530"/>
      <c r="XAH107" s="531"/>
      <c r="XAI107" s="530"/>
      <c r="XAJ107" s="531"/>
      <c r="XAK107" s="530"/>
      <c r="XAL107" s="531"/>
      <c r="XAM107" s="530"/>
      <c r="XAN107" s="531"/>
      <c r="XAO107" s="530"/>
      <c r="XAP107" s="531"/>
      <c r="XAQ107" s="530"/>
      <c r="XAR107" s="531"/>
      <c r="XAS107" s="530"/>
      <c r="XAT107" s="531"/>
      <c r="XAU107" s="530"/>
      <c r="XAV107" s="531"/>
      <c r="XAW107" s="530"/>
      <c r="XAX107" s="531"/>
      <c r="XAY107" s="530"/>
      <c r="XAZ107" s="531"/>
      <c r="XBA107" s="530"/>
      <c r="XBB107" s="531"/>
      <c r="XBC107" s="530"/>
      <c r="XBD107" s="531"/>
      <c r="XBE107" s="530"/>
      <c r="XBF107" s="531"/>
      <c r="XBG107" s="530"/>
      <c r="XBH107" s="531"/>
      <c r="XBI107" s="530"/>
      <c r="XBJ107" s="531"/>
      <c r="XBK107" s="530"/>
      <c r="XBL107" s="531"/>
      <c r="XBM107" s="530"/>
      <c r="XBN107" s="531"/>
      <c r="XBO107" s="530"/>
      <c r="XBP107" s="531"/>
      <c r="XBQ107" s="530"/>
      <c r="XBR107" s="531"/>
      <c r="XBS107" s="530"/>
      <c r="XBT107" s="531"/>
      <c r="XBU107" s="530"/>
      <c r="XBV107" s="531"/>
      <c r="XBW107" s="530"/>
      <c r="XBX107" s="531"/>
      <c r="XBY107" s="530"/>
      <c r="XBZ107" s="531"/>
      <c r="XCA107" s="530"/>
      <c r="XCB107" s="531"/>
      <c r="XCC107" s="530"/>
      <c r="XCD107" s="531"/>
      <c r="XCE107" s="530"/>
      <c r="XCF107" s="531"/>
      <c r="XCG107" s="530"/>
      <c r="XCH107" s="531"/>
      <c r="XCI107" s="530"/>
      <c r="XCJ107" s="531"/>
      <c r="XCK107" s="530"/>
      <c r="XCL107" s="531"/>
      <c r="XCM107" s="530"/>
      <c r="XCN107" s="531"/>
      <c r="XCO107" s="530"/>
      <c r="XCP107" s="531"/>
      <c r="XCQ107" s="530"/>
      <c r="XCR107" s="531"/>
      <c r="XCS107" s="530"/>
      <c r="XCT107" s="531"/>
      <c r="XCU107" s="530"/>
      <c r="XCV107" s="531"/>
      <c r="XCW107" s="530"/>
      <c r="XCX107" s="531"/>
      <c r="XCY107" s="530"/>
      <c r="XCZ107" s="531"/>
      <c r="XDA107" s="530"/>
      <c r="XDB107" s="531"/>
      <c r="XDC107" s="530"/>
      <c r="XDD107" s="531"/>
      <c r="XDE107" s="530"/>
      <c r="XDF107" s="531"/>
      <c r="XDG107" s="530"/>
      <c r="XDH107" s="531"/>
      <c r="XDI107" s="530"/>
      <c r="XDJ107" s="531"/>
      <c r="XDK107" s="530"/>
      <c r="XDL107" s="531"/>
      <c r="XDM107" s="530"/>
      <c r="XDN107" s="531"/>
      <c r="XDO107" s="530"/>
      <c r="XDP107" s="531"/>
      <c r="XDQ107" s="530"/>
      <c r="XDR107" s="531"/>
      <c r="XDS107" s="530"/>
      <c r="XDT107" s="531"/>
      <c r="XDU107" s="530"/>
      <c r="XDV107" s="531"/>
      <c r="XDW107" s="530"/>
      <c r="XDX107" s="531"/>
      <c r="XDY107" s="530"/>
      <c r="XDZ107" s="531"/>
      <c r="XEA107" s="530"/>
      <c r="XEB107" s="531"/>
      <c r="XEC107" s="530"/>
      <c r="XED107" s="531"/>
      <c r="XEE107" s="530"/>
      <c r="XEF107" s="531"/>
      <c r="XEG107" s="530"/>
      <c r="XEH107" s="531"/>
      <c r="XEI107" s="530"/>
      <c r="XEJ107" s="531"/>
      <c r="XEK107" s="530"/>
      <c r="XEL107" s="531"/>
      <c r="XEM107" s="530"/>
      <c r="XEN107" s="531"/>
      <c r="XEO107" s="530"/>
      <c r="XEP107" s="531"/>
      <c r="XEQ107" s="530"/>
      <c r="XER107" s="531"/>
      <c r="XES107" s="530"/>
      <c r="XET107" s="531"/>
      <c r="XEU107" s="530"/>
      <c r="XEV107" s="531"/>
      <c r="XEW107" s="530"/>
      <c r="XEX107" s="531"/>
      <c r="XEY107" s="530"/>
      <c r="XEZ107" s="531"/>
      <c r="XFA107" s="530"/>
      <c r="XFB107" s="531"/>
      <c r="XFC107" s="530"/>
      <c r="XFD107" s="531"/>
    </row>
    <row r="108" spans="1:16384" s="520" customFormat="1" ht="95.15" customHeight="1">
      <c r="A108" s="523"/>
      <c r="B108" s="523"/>
      <c r="C108" s="524"/>
      <c r="D108" s="523"/>
      <c r="E108" s="524"/>
      <c r="F108" s="523"/>
      <c r="G108" s="524"/>
      <c r="H108" s="524"/>
      <c r="I108" s="525"/>
      <c r="J108" s="525"/>
      <c r="K108" s="524"/>
      <c r="L108" s="524"/>
      <c r="M108" s="524"/>
      <c r="N108" s="524"/>
      <c r="O108" s="524"/>
      <c r="P108" s="524"/>
      <c r="Q108" s="524"/>
      <c r="R108" s="524"/>
      <c r="S108" s="524"/>
      <c r="T108" s="524"/>
      <c r="U108" s="524"/>
      <c r="V108" s="524"/>
      <c r="W108" s="524"/>
      <c r="X108" s="524"/>
      <c r="Y108" s="524"/>
      <c r="Z108" s="524"/>
      <c r="AA108" s="526"/>
      <c r="AB108" s="523"/>
      <c r="AC108" s="530"/>
      <c r="AD108" s="531"/>
      <c r="AE108" s="530"/>
      <c r="AF108" s="531"/>
      <c r="AG108" s="530"/>
      <c r="AH108" s="531"/>
      <c r="AI108" s="530"/>
      <c r="AJ108" s="531"/>
      <c r="AK108" s="530"/>
      <c r="AL108" s="531"/>
      <c r="AM108" s="530"/>
      <c r="AN108" s="531"/>
      <c r="AO108" s="530"/>
      <c r="AP108" s="531"/>
      <c r="AQ108" s="530"/>
      <c r="AR108" s="531"/>
      <c r="AS108" s="530"/>
      <c r="AT108" s="531"/>
      <c r="AU108" s="530"/>
      <c r="AV108" s="531"/>
      <c r="AW108" s="530"/>
      <c r="AX108" s="531"/>
      <c r="AY108" s="530"/>
      <c r="AZ108" s="531"/>
      <c r="BA108" s="530"/>
      <c r="BB108" s="531"/>
      <c r="BC108" s="530"/>
      <c r="BD108" s="531"/>
      <c r="BE108" s="530"/>
      <c r="BF108" s="531"/>
      <c r="BG108" s="530"/>
      <c r="BH108" s="531"/>
      <c r="BI108" s="530"/>
      <c r="BJ108" s="531"/>
      <c r="BK108" s="530"/>
      <c r="BL108" s="531"/>
      <c r="BM108" s="530"/>
      <c r="BN108" s="531"/>
      <c r="BO108" s="530"/>
      <c r="BP108" s="531"/>
      <c r="BQ108" s="530"/>
      <c r="BR108" s="531"/>
      <c r="BS108" s="530"/>
      <c r="BT108" s="531"/>
      <c r="BU108" s="530"/>
      <c r="BV108" s="531"/>
      <c r="BW108" s="530"/>
      <c r="BX108" s="531"/>
      <c r="BY108" s="530"/>
      <c r="BZ108" s="531"/>
      <c r="CA108" s="530"/>
      <c r="CB108" s="531"/>
      <c r="CC108" s="530"/>
      <c r="CD108" s="531"/>
      <c r="CE108" s="530"/>
      <c r="CF108" s="531"/>
      <c r="CG108" s="530"/>
      <c r="CH108" s="531"/>
      <c r="CI108" s="530"/>
      <c r="CJ108" s="531"/>
      <c r="CK108" s="530"/>
      <c r="CL108" s="531"/>
      <c r="CM108" s="530"/>
      <c r="CN108" s="531"/>
      <c r="CO108" s="530"/>
      <c r="CP108" s="531"/>
      <c r="CQ108" s="530"/>
      <c r="CR108" s="531"/>
      <c r="CS108" s="530"/>
      <c r="CT108" s="531"/>
      <c r="CU108" s="530"/>
      <c r="CV108" s="531"/>
      <c r="CW108" s="530"/>
      <c r="CX108" s="531"/>
      <c r="CY108" s="530"/>
      <c r="CZ108" s="531"/>
      <c r="DA108" s="530"/>
      <c r="DB108" s="531"/>
      <c r="DC108" s="530"/>
      <c r="DD108" s="531"/>
      <c r="DE108" s="530"/>
      <c r="DF108" s="531"/>
      <c r="DG108" s="530"/>
      <c r="DH108" s="531"/>
      <c r="DI108" s="530"/>
      <c r="DJ108" s="531"/>
      <c r="DK108" s="530"/>
      <c r="DL108" s="531"/>
      <c r="DM108" s="530"/>
      <c r="DN108" s="531"/>
      <c r="DO108" s="530"/>
      <c r="DP108" s="531"/>
      <c r="DQ108" s="530"/>
      <c r="DR108" s="531"/>
      <c r="DS108" s="530"/>
      <c r="DT108" s="531"/>
      <c r="DU108" s="530"/>
      <c r="DV108" s="531"/>
      <c r="DW108" s="530"/>
      <c r="DX108" s="531"/>
      <c r="DY108" s="530"/>
      <c r="DZ108" s="531"/>
      <c r="EA108" s="530"/>
      <c r="EB108" s="531"/>
      <c r="EC108" s="530"/>
      <c r="ED108" s="531"/>
      <c r="EE108" s="530"/>
      <c r="EF108" s="531"/>
      <c r="EG108" s="530"/>
      <c r="EH108" s="531"/>
      <c r="EI108" s="530"/>
      <c r="EJ108" s="531"/>
      <c r="EK108" s="530"/>
      <c r="EL108" s="531"/>
      <c r="EM108" s="530"/>
      <c r="EN108" s="531"/>
      <c r="EO108" s="530"/>
      <c r="EP108" s="531"/>
      <c r="EQ108" s="530"/>
      <c r="ER108" s="531"/>
      <c r="ES108" s="530"/>
      <c r="ET108" s="531"/>
      <c r="EU108" s="530"/>
      <c r="EV108" s="531"/>
      <c r="EW108" s="530"/>
      <c r="EX108" s="531"/>
      <c r="EY108" s="530"/>
      <c r="EZ108" s="531"/>
      <c r="FA108" s="530"/>
      <c r="FB108" s="531"/>
      <c r="FC108" s="530"/>
      <c r="FD108" s="531"/>
      <c r="FE108" s="530"/>
      <c r="FF108" s="531"/>
      <c r="FG108" s="530"/>
      <c r="FH108" s="531"/>
      <c r="FI108" s="530"/>
      <c r="FJ108" s="531"/>
      <c r="FK108" s="530"/>
      <c r="FL108" s="531"/>
      <c r="FM108" s="530"/>
      <c r="FN108" s="531"/>
      <c r="FO108" s="530"/>
      <c r="FP108" s="531"/>
      <c r="FQ108" s="530"/>
      <c r="FR108" s="531"/>
      <c r="FS108" s="530"/>
      <c r="FT108" s="531"/>
      <c r="FU108" s="530"/>
      <c r="FV108" s="531"/>
      <c r="FW108" s="530"/>
      <c r="FX108" s="531"/>
      <c r="FY108" s="530"/>
      <c r="FZ108" s="531"/>
      <c r="GA108" s="530"/>
      <c r="GB108" s="531"/>
      <c r="GC108" s="530"/>
      <c r="GD108" s="531"/>
      <c r="GE108" s="530"/>
      <c r="GF108" s="531"/>
      <c r="GG108" s="530"/>
      <c r="GH108" s="531"/>
      <c r="GI108" s="530"/>
      <c r="GJ108" s="531"/>
      <c r="GK108" s="530"/>
      <c r="GL108" s="531"/>
      <c r="GM108" s="530"/>
      <c r="GN108" s="531"/>
      <c r="GO108" s="530"/>
      <c r="GP108" s="531"/>
      <c r="GQ108" s="530"/>
      <c r="GR108" s="531"/>
      <c r="GS108" s="530"/>
      <c r="GT108" s="531"/>
      <c r="GU108" s="530"/>
      <c r="GV108" s="531"/>
      <c r="GW108" s="530"/>
      <c r="GX108" s="531"/>
      <c r="GY108" s="530"/>
      <c r="GZ108" s="531"/>
      <c r="HA108" s="530"/>
      <c r="HB108" s="531"/>
      <c r="HC108" s="530"/>
      <c r="HD108" s="531"/>
      <c r="HE108" s="530"/>
      <c r="HF108" s="531"/>
      <c r="HG108" s="530"/>
      <c r="HH108" s="531"/>
      <c r="HI108" s="530"/>
      <c r="HJ108" s="531"/>
      <c r="HK108" s="530"/>
      <c r="HL108" s="531"/>
      <c r="HM108" s="530"/>
      <c r="HN108" s="531"/>
      <c r="HO108" s="530"/>
      <c r="HP108" s="531"/>
      <c r="HQ108" s="530"/>
      <c r="HR108" s="531"/>
      <c r="HS108" s="530"/>
      <c r="HT108" s="531"/>
      <c r="HU108" s="530"/>
      <c r="HV108" s="531"/>
      <c r="HW108" s="530"/>
      <c r="HX108" s="531"/>
      <c r="HY108" s="530"/>
      <c r="HZ108" s="531"/>
      <c r="IA108" s="530"/>
      <c r="IB108" s="531"/>
      <c r="IC108" s="530"/>
      <c r="ID108" s="531"/>
      <c r="IE108" s="530"/>
      <c r="IF108" s="531"/>
      <c r="IG108" s="530"/>
      <c r="IH108" s="531"/>
      <c r="II108" s="530"/>
      <c r="IJ108" s="531"/>
      <c r="IK108" s="530"/>
      <c r="IL108" s="531"/>
      <c r="IM108" s="530"/>
      <c r="IN108" s="531"/>
      <c r="IO108" s="530"/>
      <c r="IP108" s="531"/>
      <c r="IQ108" s="530"/>
      <c r="IR108" s="531"/>
      <c r="IS108" s="530"/>
      <c r="IT108" s="531"/>
      <c r="IU108" s="530"/>
      <c r="IV108" s="531"/>
      <c r="IW108" s="530"/>
      <c r="IX108" s="531"/>
      <c r="IY108" s="530"/>
      <c r="IZ108" s="531"/>
      <c r="JA108" s="530"/>
      <c r="JB108" s="531"/>
      <c r="JC108" s="530"/>
      <c r="JD108" s="531"/>
      <c r="JE108" s="530"/>
      <c r="JF108" s="531"/>
      <c r="JG108" s="530"/>
      <c r="JH108" s="531"/>
      <c r="JI108" s="530"/>
      <c r="JJ108" s="531"/>
      <c r="JK108" s="530"/>
      <c r="JL108" s="531"/>
      <c r="JM108" s="530"/>
      <c r="JN108" s="531"/>
      <c r="JO108" s="530"/>
      <c r="JP108" s="531"/>
      <c r="JQ108" s="530"/>
      <c r="JR108" s="531"/>
      <c r="JS108" s="530"/>
      <c r="JT108" s="531"/>
      <c r="JU108" s="530"/>
      <c r="JV108" s="531"/>
      <c r="JW108" s="530"/>
      <c r="JX108" s="531"/>
      <c r="JY108" s="530"/>
      <c r="JZ108" s="531"/>
      <c r="KA108" s="530"/>
      <c r="KB108" s="531"/>
      <c r="KC108" s="530"/>
      <c r="KD108" s="531"/>
      <c r="KE108" s="530"/>
      <c r="KF108" s="531"/>
      <c r="KG108" s="530"/>
      <c r="KH108" s="531"/>
      <c r="KI108" s="530"/>
      <c r="KJ108" s="531"/>
      <c r="KK108" s="530"/>
      <c r="KL108" s="531"/>
      <c r="KM108" s="530"/>
      <c r="KN108" s="531"/>
      <c r="KO108" s="530"/>
      <c r="KP108" s="531"/>
      <c r="KQ108" s="530"/>
      <c r="KR108" s="531"/>
      <c r="KS108" s="530"/>
      <c r="KT108" s="531"/>
      <c r="KU108" s="530"/>
      <c r="KV108" s="531"/>
      <c r="KW108" s="530"/>
      <c r="KX108" s="531"/>
      <c r="KY108" s="530"/>
      <c r="KZ108" s="531"/>
      <c r="LA108" s="530"/>
      <c r="LB108" s="531"/>
      <c r="LC108" s="530"/>
      <c r="LD108" s="531"/>
      <c r="LE108" s="530"/>
      <c r="LF108" s="531"/>
      <c r="LG108" s="530"/>
      <c r="LH108" s="531"/>
      <c r="LI108" s="530"/>
      <c r="LJ108" s="531"/>
      <c r="LK108" s="530"/>
      <c r="LL108" s="531"/>
      <c r="LM108" s="530"/>
      <c r="LN108" s="531"/>
      <c r="LO108" s="530"/>
      <c r="LP108" s="531"/>
      <c r="LQ108" s="530"/>
      <c r="LR108" s="531"/>
      <c r="LS108" s="530"/>
      <c r="LT108" s="531"/>
      <c r="LU108" s="530"/>
      <c r="LV108" s="531"/>
      <c r="LW108" s="530"/>
      <c r="LX108" s="531"/>
      <c r="LY108" s="530"/>
      <c r="LZ108" s="531"/>
      <c r="MA108" s="530"/>
      <c r="MB108" s="531"/>
      <c r="MC108" s="530"/>
      <c r="MD108" s="531"/>
      <c r="ME108" s="530"/>
      <c r="MF108" s="531"/>
      <c r="MG108" s="530"/>
      <c r="MH108" s="531"/>
      <c r="MI108" s="530"/>
      <c r="MJ108" s="531"/>
      <c r="MK108" s="530"/>
      <c r="ML108" s="531"/>
      <c r="MM108" s="530"/>
      <c r="MN108" s="531"/>
      <c r="MO108" s="530"/>
      <c r="MP108" s="531"/>
      <c r="MQ108" s="530"/>
      <c r="MR108" s="531"/>
      <c r="MS108" s="530"/>
      <c r="MT108" s="531"/>
      <c r="MU108" s="530"/>
      <c r="MV108" s="531"/>
      <c r="MW108" s="530"/>
      <c r="MX108" s="531"/>
      <c r="MY108" s="530"/>
      <c r="MZ108" s="531"/>
      <c r="NA108" s="530"/>
      <c r="NB108" s="531"/>
      <c r="NC108" s="530"/>
      <c r="ND108" s="531"/>
      <c r="NE108" s="530"/>
      <c r="NF108" s="531"/>
      <c r="NG108" s="530"/>
      <c r="NH108" s="531"/>
      <c r="NI108" s="530"/>
      <c r="NJ108" s="531"/>
      <c r="NK108" s="530"/>
      <c r="NL108" s="531"/>
      <c r="NM108" s="530"/>
      <c r="NN108" s="531"/>
      <c r="NO108" s="530"/>
      <c r="NP108" s="531"/>
      <c r="NQ108" s="530"/>
      <c r="NR108" s="531"/>
      <c r="NS108" s="530"/>
      <c r="NT108" s="531"/>
      <c r="NU108" s="530"/>
      <c r="NV108" s="531"/>
      <c r="NW108" s="530"/>
      <c r="NX108" s="531"/>
      <c r="NY108" s="530"/>
      <c r="NZ108" s="531"/>
      <c r="OA108" s="530"/>
      <c r="OB108" s="531"/>
      <c r="OC108" s="530"/>
      <c r="OD108" s="531"/>
      <c r="OE108" s="530"/>
      <c r="OF108" s="531"/>
      <c r="OG108" s="530"/>
      <c r="OH108" s="531"/>
      <c r="OI108" s="530"/>
      <c r="OJ108" s="531"/>
      <c r="OK108" s="530"/>
      <c r="OL108" s="531"/>
      <c r="OM108" s="530"/>
      <c r="ON108" s="531"/>
      <c r="OO108" s="530"/>
      <c r="OP108" s="531"/>
      <c r="OQ108" s="530"/>
      <c r="OR108" s="531"/>
      <c r="OS108" s="530"/>
      <c r="OT108" s="531"/>
      <c r="OU108" s="530"/>
      <c r="OV108" s="531"/>
      <c r="OW108" s="530"/>
      <c r="OX108" s="531"/>
      <c r="OY108" s="530"/>
      <c r="OZ108" s="531"/>
      <c r="PA108" s="530"/>
      <c r="PB108" s="531"/>
      <c r="PC108" s="530"/>
      <c r="PD108" s="531"/>
      <c r="PE108" s="530"/>
      <c r="PF108" s="531"/>
      <c r="PG108" s="530"/>
      <c r="PH108" s="531"/>
      <c r="PI108" s="530"/>
      <c r="PJ108" s="531"/>
      <c r="PK108" s="530"/>
      <c r="PL108" s="531"/>
      <c r="PM108" s="530"/>
      <c r="PN108" s="531"/>
      <c r="PO108" s="530"/>
      <c r="PP108" s="531"/>
      <c r="PQ108" s="530"/>
      <c r="PR108" s="531"/>
      <c r="PS108" s="530"/>
      <c r="PT108" s="531"/>
      <c r="PU108" s="530"/>
      <c r="PV108" s="531"/>
      <c r="PW108" s="530"/>
      <c r="PX108" s="531"/>
      <c r="PY108" s="530"/>
      <c r="PZ108" s="531"/>
      <c r="QA108" s="530"/>
      <c r="QB108" s="531"/>
      <c r="QC108" s="530"/>
      <c r="QD108" s="531"/>
      <c r="QE108" s="530"/>
      <c r="QF108" s="531"/>
      <c r="QG108" s="530"/>
      <c r="QH108" s="531"/>
      <c r="QI108" s="530"/>
      <c r="QJ108" s="531"/>
      <c r="QK108" s="530"/>
      <c r="QL108" s="531"/>
      <c r="QM108" s="530"/>
      <c r="QN108" s="531"/>
      <c r="QO108" s="530"/>
      <c r="QP108" s="531"/>
      <c r="QQ108" s="530"/>
      <c r="QR108" s="531"/>
      <c r="QS108" s="530"/>
      <c r="QT108" s="531"/>
      <c r="QU108" s="530"/>
      <c r="QV108" s="531"/>
      <c r="QW108" s="530"/>
      <c r="QX108" s="531"/>
      <c r="QY108" s="530"/>
      <c r="QZ108" s="531"/>
      <c r="RA108" s="530"/>
      <c r="RB108" s="531"/>
      <c r="RC108" s="530"/>
      <c r="RD108" s="531"/>
      <c r="RE108" s="530"/>
      <c r="RF108" s="531"/>
      <c r="RG108" s="530"/>
      <c r="RH108" s="531"/>
      <c r="RI108" s="530"/>
      <c r="RJ108" s="531"/>
      <c r="RK108" s="530"/>
      <c r="RL108" s="531"/>
      <c r="RM108" s="530"/>
      <c r="RN108" s="531"/>
      <c r="RO108" s="530"/>
      <c r="RP108" s="531"/>
      <c r="RQ108" s="530"/>
      <c r="RR108" s="531"/>
      <c r="RS108" s="530"/>
      <c r="RT108" s="531"/>
      <c r="RU108" s="530"/>
      <c r="RV108" s="531"/>
      <c r="RW108" s="530"/>
      <c r="RX108" s="531"/>
      <c r="RY108" s="530"/>
      <c r="RZ108" s="531"/>
      <c r="SA108" s="530"/>
      <c r="SB108" s="531"/>
      <c r="SC108" s="530"/>
      <c r="SD108" s="531"/>
      <c r="SE108" s="530"/>
      <c r="SF108" s="531"/>
      <c r="SG108" s="530"/>
      <c r="SH108" s="531"/>
      <c r="SI108" s="530"/>
      <c r="SJ108" s="531"/>
      <c r="SK108" s="530"/>
      <c r="SL108" s="531"/>
      <c r="SM108" s="530"/>
      <c r="SN108" s="531"/>
      <c r="SO108" s="530"/>
      <c r="SP108" s="531"/>
      <c r="SQ108" s="530"/>
      <c r="SR108" s="531"/>
      <c r="SS108" s="530"/>
      <c r="ST108" s="531"/>
      <c r="SU108" s="530"/>
      <c r="SV108" s="531"/>
      <c r="SW108" s="530"/>
      <c r="SX108" s="531"/>
      <c r="SY108" s="530"/>
      <c r="SZ108" s="531"/>
      <c r="TA108" s="530"/>
      <c r="TB108" s="531"/>
      <c r="TC108" s="530"/>
      <c r="TD108" s="531"/>
      <c r="TE108" s="530"/>
      <c r="TF108" s="531"/>
      <c r="TG108" s="530"/>
      <c r="TH108" s="531"/>
      <c r="TI108" s="530"/>
      <c r="TJ108" s="531"/>
      <c r="TK108" s="530"/>
      <c r="TL108" s="531"/>
      <c r="TM108" s="530"/>
      <c r="TN108" s="531"/>
      <c r="TO108" s="530"/>
      <c r="TP108" s="531"/>
      <c r="TQ108" s="530"/>
      <c r="TR108" s="531"/>
      <c r="TS108" s="530"/>
      <c r="TT108" s="531"/>
      <c r="TU108" s="530"/>
      <c r="TV108" s="531"/>
      <c r="TW108" s="530"/>
      <c r="TX108" s="531"/>
      <c r="TY108" s="530"/>
      <c r="TZ108" s="531"/>
      <c r="UA108" s="530"/>
      <c r="UB108" s="531"/>
      <c r="UC108" s="530"/>
      <c r="UD108" s="531"/>
      <c r="UE108" s="530"/>
      <c r="UF108" s="531"/>
      <c r="UG108" s="530"/>
      <c r="UH108" s="531"/>
      <c r="UI108" s="530"/>
      <c r="UJ108" s="531"/>
      <c r="UK108" s="530"/>
      <c r="UL108" s="531"/>
      <c r="UM108" s="530"/>
      <c r="UN108" s="531"/>
      <c r="UO108" s="530"/>
      <c r="UP108" s="531"/>
      <c r="UQ108" s="530"/>
      <c r="UR108" s="531"/>
      <c r="US108" s="530"/>
      <c r="UT108" s="531"/>
      <c r="UU108" s="530"/>
      <c r="UV108" s="531"/>
      <c r="UW108" s="530"/>
      <c r="UX108" s="531"/>
      <c r="UY108" s="530"/>
      <c r="UZ108" s="531"/>
      <c r="VA108" s="530"/>
      <c r="VB108" s="531"/>
      <c r="VC108" s="530"/>
      <c r="VD108" s="531"/>
      <c r="VE108" s="530"/>
      <c r="VF108" s="531"/>
      <c r="VG108" s="530"/>
      <c r="VH108" s="531"/>
      <c r="VI108" s="530"/>
      <c r="VJ108" s="531"/>
      <c r="VK108" s="530"/>
      <c r="VL108" s="531"/>
      <c r="VM108" s="530"/>
      <c r="VN108" s="531"/>
      <c r="VO108" s="530"/>
      <c r="VP108" s="531"/>
      <c r="VQ108" s="530"/>
      <c r="VR108" s="531"/>
      <c r="VS108" s="530"/>
      <c r="VT108" s="531"/>
      <c r="VU108" s="530"/>
      <c r="VV108" s="531"/>
      <c r="VW108" s="530"/>
      <c r="VX108" s="531"/>
      <c r="VY108" s="530"/>
      <c r="VZ108" s="531"/>
      <c r="WA108" s="530"/>
      <c r="WB108" s="531"/>
      <c r="WC108" s="530"/>
      <c r="WD108" s="531"/>
      <c r="WE108" s="530"/>
      <c r="WF108" s="531"/>
      <c r="WG108" s="530"/>
      <c r="WH108" s="531"/>
      <c r="WI108" s="530"/>
      <c r="WJ108" s="531"/>
      <c r="WK108" s="530"/>
      <c r="WL108" s="531"/>
      <c r="WM108" s="530"/>
      <c r="WN108" s="531"/>
      <c r="WO108" s="530"/>
      <c r="WP108" s="531"/>
      <c r="WQ108" s="530"/>
      <c r="WR108" s="531"/>
      <c r="WS108" s="530"/>
      <c r="WT108" s="531"/>
      <c r="WU108" s="530"/>
      <c r="WV108" s="531"/>
      <c r="WW108" s="530"/>
      <c r="WX108" s="531"/>
      <c r="WY108" s="530"/>
      <c r="WZ108" s="531"/>
      <c r="XA108" s="530"/>
      <c r="XB108" s="531"/>
      <c r="XC108" s="530"/>
      <c r="XD108" s="531"/>
      <c r="XE108" s="530"/>
      <c r="XF108" s="531"/>
      <c r="XG108" s="530"/>
      <c r="XH108" s="531"/>
      <c r="XI108" s="530"/>
      <c r="XJ108" s="531"/>
      <c r="XK108" s="530"/>
      <c r="XL108" s="531"/>
      <c r="XM108" s="530"/>
      <c r="XN108" s="531"/>
      <c r="XO108" s="530"/>
      <c r="XP108" s="531"/>
      <c r="XQ108" s="530"/>
      <c r="XR108" s="531"/>
      <c r="XS108" s="530"/>
      <c r="XT108" s="531"/>
      <c r="XU108" s="530"/>
      <c r="XV108" s="531"/>
      <c r="XW108" s="530"/>
      <c r="XX108" s="531"/>
      <c r="XY108" s="530"/>
      <c r="XZ108" s="531"/>
      <c r="YA108" s="530"/>
      <c r="YB108" s="531"/>
      <c r="YC108" s="530"/>
      <c r="YD108" s="531"/>
      <c r="YE108" s="530"/>
      <c r="YF108" s="531"/>
      <c r="YG108" s="530"/>
      <c r="YH108" s="531"/>
      <c r="YI108" s="530"/>
      <c r="YJ108" s="531"/>
      <c r="YK108" s="530"/>
      <c r="YL108" s="531"/>
      <c r="YM108" s="530"/>
      <c r="YN108" s="531"/>
      <c r="YO108" s="530"/>
      <c r="YP108" s="531"/>
      <c r="YQ108" s="530"/>
      <c r="YR108" s="531"/>
      <c r="YS108" s="530"/>
      <c r="YT108" s="531"/>
      <c r="YU108" s="530"/>
      <c r="YV108" s="531"/>
      <c r="YW108" s="530"/>
      <c r="YX108" s="531"/>
      <c r="YY108" s="530"/>
      <c r="YZ108" s="531"/>
      <c r="ZA108" s="530"/>
      <c r="ZB108" s="531"/>
      <c r="ZC108" s="530"/>
      <c r="ZD108" s="531"/>
      <c r="ZE108" s="530"/>
      <c r="ZF108" s="531"/>
      <c r="ZG108" s="530"/>
      <c r="ZH108" s="531"/>
      <c r="ZI108" s="530"/>
      <c r="ZJ108" s="531"/>
      <c r="ZK108" s="530"/>
      <c r="ZL108" s="531"/>
      <c r="ZM108" s="530"/>
      <c r="ZN108" s="531"/>
      <c r="ZO108" s="530"/>
      <c r="ZP108" s="531"/>
      <c r="ZQ108" s="530"/>
      <c r="ZR108" s="531"/>
      <c r="ZS108" s="530"/>
      <c r="ZT108" s="531"/>
      <c r="ZU108" s="530"/>
      <c r="ZV108" s="531"/>
      <c r="ZW108" s="530"/>
      <c r="ZX108" s="531"/>
      <c r="ZY108" s="530"/>
      <c r="ZZ108" s="531"/>
      <c r="AAA108" s="530"/>
      <c r="AAB108" s="531"/>
      <c r="AAC108" s="530"/>
      <c r="AAD108" s="531"/>
      <c r="AAE108" s="530"/>
      <c r="AAF108" s="531"/>
      <c r="AAG108" s="530"/>
      <c r="AAH108" s="531"/>
      <c r="AAI108" s="530"/>
      <c r="AAJ108" s="531"/>
      <c r="AAK108" s="530"/>
      <c r="AAL108" s="531"/>
      <c r="AAM108" s="530"/>
      <c r="AAN108" s="531"/>
      <c r="AAO108" s="530"/>
      <c r="AAP108" s="531"/>
      <c r="AAQ108" s="530"/>
      <c r="AAR108" s="531"/>
      <c r="AAS108" s="530"/>
      <c r="AAT108" s="531"/>
      <c r="AAU108" s="530"/>
      <c r="AAV108" s="531"/>
      <c r="AAW108" s="530"/>
      <c r="AAX108" s="531"/>
      <c r="AAY108" s="530"/>
      <c r="AAZ108" s="531"/>
      <c r="ABA108" s="530"/>
      <c r="ABB108" s="531"/>
      <c r="ABC108" s="530"/>
      <c r="ABD108" s="531"/>
      <c r="ABE108" s="530"/>
      <c r="ABF108" s="531"/>
      <c r="ABG108" s="530"/>
      <c r="ABH108" s="531"/>
      <c r="ABI108" s="530"/>
      <c r="ABJ108" s="531"/>
      <c r="ABK108" s="530"/>
      <c r="ABL108" s="531"/>
      <c r="ABM108" s="530"/>
      <c r="ABN108" s="531"/>
      <c r="ABO108" s="530"/>
      <c r="ABP108" s="531"/>
      <c r="ABQ108" s="530"/>
      <c r="ABR108" s="531"/>
      <c r="ABS108" s="530"/>
      <c r="ABT108" s="531"/>
      <c r="ABU108" s="530"/>
      <c r="ABV108" s="531"/>
      <c r="ABW108" s="530"/>
      <c r="ABX108" s="531"/>
      <c r="ABY108" s="530"/>
      <c r="ABZ108" s="531"/>
      <c r="ACA108" s="530"/>
      <c r="ACB108" s="531"/>
      <c r="ACC108" s="530"/>
      <c r="ACD108" s="531"/>
      <c r="ACE108" s="530"/>
      <c r="ACF108" s="531"/>
      <c r="ACG108" s="530"/>
      <c r="ACH108" s="531"/>
      <c r="ACI108" s="530"/>
      <c r="ACJ108" s="531"/>
      <c r="ACK108" s="530"/>
      <c r="ACL108" s="531"/>
      <c r="ACM108" s="530"/>
      <c r="ACN108" s="531"/>
      <c r="ACO108" s="530"/>
      <c r="ACP108" s="531"/>
      <c r="ACQ108" s="530"/>
      <c r="ACR108" s="531"/>
      <c r="ACS108" s="530"/>
      <c r="ACT108" s="531"/>
      <c r="ACU108" s="530"/>
      <c r="ACV108" s="531"/>
      <c r="ACW108" s="530"/>
      <c r="ACX108" s="531"/>
      <c r="ACY108" s="530"/>
      <c r="ACZ108" s="531"/>
      <c r="ADA108" s="530"/>
      <c r="ADB108" s="531"/>
      <c r="ADC108" s="530"/>
      <c r="ADD108" s="531"/>
      <c r="ADE108" s="530"/>
      <c r="ADF108" s="531"/>
      <c r="ADG108" s="530"/>
      <c r="ADH108" s="531"/>
      <c r="ADI108" s="530"/>
      <c r="ADJ108" s="531"/>
      <c r="ADK108" s="530"/>
      <c r="ADL108" s="531"/>
      <c r="ADM108" s="530"/>
      <c r="ADN108" s="531"/>
      <c r="ADO108" s="530"/>
      <c r="ADP108" s="531"/>
      <c r="ADQ108" s="530"/>
      <c r="ADR108" s="531"/>
      <c r="ADS108" s="530"/>
      <c r="ADT108" s="531"/>
      <c r="ADU108" s="530"/>
      <c r="ADV108" s="531"/>
      <c r="ADW108" s="530"/>
      <c r="ADX108" s="531"/>
      <c r="ADY108" s="530"/>
      <c r="ADZ108" s="531"/>
      <c r="AEA108" s="530"/>
      <c r="AEB108" s="531"/>
      <c r="AEC108" s="530"/>
      <c r="AED108" s="531"/>
      <c r="AEE108" s="530"/>
      <c r="AEF108" s="531"/>
      <c r="AEG108" s="530"/>
      <c r="AEH108" s="531"/>
      <c r="AEI108" s="530"/>
      <c r="AEJ108" s="531"/>
      <c r="AEK108" s="530"/>
      <c r="AEL108" s="531"/>
      <c r="AEM108" s="530"/>
      <c r="AEN108" s="531"/>
      <c r="AEO108" s="530"/>
      <c r="AEP108" s="531"/>
      <c r="AEQ108" s="530"/>
      <c r="AER108" s="531"/>
      <c r="AES108" s="530"/>
      <c r="AET108" s="531"/>
      <c r="AEU108" s="530"/>
      <c r="AEV108" s="531"/>
      <c r="AEW108" s="530"/>
      <c r="AEX108" s="531"/>
      <c r="AEY108" s="530"/>
      <c r="AEZ108" s="531"/>
      <c r="AFA108" s="530"/>
      <c r="AFB108" s="531"/>
      <c r="AFC108" s="530"/>
      <c r="AFD108" s="531"/>
      <c r="AFE108" s="530"/>
      <c r="AFF108" s="531"/>
      <c r="AFG108" s="530"/>
      <c r="AFH108" s="531"/>
      <c r="AFI108" s="530"/>
      <c r="AFJ108" s="531"/>
      <c r="AFK108" s="530"/>
      <c r="AFL108" s="531"/>
      <c r="AFM108" s="530"/>
      <c r="AFN108" s="531"/>
      <c r="AFO108" s="530"/>
      <c r="AFP108" s="531"/>
      <c r="AFQ108" s="530"/>
      <c r="AFR108" s="531"/>
      <c r="AFS108" s="530"/>
      <c r="AFT108" s="531"/>
      <c r="AFU108" s="530"/>
      <c r="AFV108" s="531"/>
      <c r="AFW108" s="530"/>
      <c r="AFX108" s="531"/>
      <c r="AFY108" s="530"/>
      <c r="AFZ108" s="531"/>
      <c r="AGA108" s="530"/>
      <c r="AGB108" s="531"/>
      <c r="AGC108" s="530"/>
      <c r="AGD108" s="531"/>
      <c r="AGE108" s="530"/>
      <c r="AGF108" s="531"/>
      <c r="AGG108" s="530"/>
      <c r="AGH108" s="531"/>
      <c r="AGI108" s="530"/>
      <c r="AGJ108" s="531"/>
      <c r="AGK108" s="530"/>
      <c r="AGL108" s="531"/>
      <c r="AGM108" s="530"/>
      <c r="AGN108" s="531"/>
      <c r="AGO108" s="530"/>
      <c r="AGP108" s="531"/>
      <c r="AGQ108" s="530"/>
      <c r="AGR108" s="531"/>
      <c r="AGS108" s="530"/>
      <c r="AGT108" s="531"/>
      <c r="AGU108" s="530"/>
      <c r="AGV108" s="531"/>
      <c r="AGW108" s="530"/>
      <c r="AGX108" s="531"/>
      <c r="AGY108" s="530"/>
      <c r="AGZ108" s="531"/>
      <c r="AHA108" s="530"/>
      <c r="AHB108" s="531"/>
      <c r="AHC108" s="530"/>
      <c r="AHD108" s="531"/>
      <c r="AHE108" s="530"/>
      <c r="AHF108" s="531"/>
      <c r="AHG108" s="530"/>
      <c r="AHH108" s="531"/>
      <c r="AHI108" s="530"/>
      <c r="AHJ108" s="531"/>
      <c r="AHK108" s="530"/>
      <c r="AHL108" s="531"/>
      <c r="AHM108" s="530"/>
      <c r="AHN108" s="531"/>
      <c r="AHO108" s="530"/>
      <c r="AHP108" s="531"/>
      <c r="AHQ108" s="530"/>
      <c r="AHR108" s="531"/>
      <c r="AHS108" s="530"/>
      <c r="AHT108" s="531"/>
      <c r="AHU108" s="530"/>
      <c r="AHV108" s="531"/>
      <c r="AHW108" s="530"/>
      <c r="AHX108" s="531"/>
      <c r="AHY108" s="530"/>
      <c r="AHZ108" s="531"/>
      <c r="AIA108" s="530"/>
      <c r="AIB108" s="531"/>
      <c r="AIC108" s="530"/>
      <c r="AID108" s="531"/>
      <c r="AIE108" s="530"/>
      <c r="AIF108" s="531"/>
      <c r="AIG108" s="530"/>
      <c r="AIH108" s="531"/>
      <c r="AII108" s="530"/>
      <c r="AIJ108" s="531"/>
      <c r="AIK108" s="530"/>
      <c r="AIL108" s="531"/>
      <c r="AIM108" s="530"/>
      <c r="AIN108" s="531"/>
      <c r="AIO108" s="530"/>
      <c r="AIP108" s="531"/>
      <c r="AIQ108" s="530"/>
      <c r="AIR108" s="531"/>
      <c r="AIS108" s="530"/>
      <c r="AIT108" s="531"/>
      <c r="AIU108" s="530"/>
      <c r="AIV108" s="531"/>
      <c r="AIW108" s="530"/>
      <c r="AIX108" s="531"/>
      <c r="AIY108" s="530"/>
      <c r="AIZ108" s="531"/>
      <c r="AJA108" s="530"/>
      <c r="AJB108" s="531"/>
      <c r="AJC108" s="530"/>
      <c r="AJD108" s="531"/>
      <c r="AJE108" s="530"/>
      <c r="AJF108" s="531"/>
      <c r="AJG108" s="530"/>
      <c r="AJH108" s="531"/>
      <c r="AJI108" s="530"/>
      <c r="AJJ108" s="531"/>
      <c r="AJK108" s="530"/>
      <c r="AJL108" s="531"/>
      <c r="AJM108" s="530"/>
      <c r="AJN108" s="531"/>
      <c r="AJO108" s="530"/>
      <c r="AJP108" s="531"/>
      <c r="AJQ108" s="530"/>
      <c r="AJR108" s="531"/>
      <c r="AJS108" s="530"/>
      <c r="AJT108" s="531"/>
      <c r="AJU108" s="530"/>
      <c r="AJV108" s="531"/>
      <c r="AJW108" s="530"/>
      <c r="AJX108" s="531"/>
      <c r="AJY108" s="530"/>
      <c r="AJZ108" s="531"/>
      <c r="AKA108" s="530"/>
      <c r="AKB108" s="531"/>
      <c r="AKC108" s="530"/>
      <c r="AKD108" s="531"/>
      <c r="AKE108" s="530"/>
      <c r="AKF108" s="531"/>
      <c r="AKG108" s="530"/>
      <c r="AKH108" s="531"/>
      <c r="AKI108" s="530"/>
      <c r="AKJ108" s="531"/>
      <c r="AKK108" s="530"/>
      <c r="AKL108" s="531"/>
      <c r="AKM108" s="530"/>
      <c r="AKN108" s="531"/>
      <c r="AKO108" s="530"/>
      <c r="AKP108" s="531"/>
      <c r="AKQ108" s="530"/>
      <c r="AKR108" s="531"/>
      <c r="AKS108" s="530"/>
      <c r="AKT108" s="531"/>
      <c r="AKU108" s="530"/>
      <c r="AKV108" s="531"/>
      <c r="AKW108" s="530"/>
      <c r="AKX108" s="531"/>
      <c r="AKY108" s="530"/>
      <c r="AKZ108" s="531"/>
      <c r="ALA108" s="530"/>
      <c r="ALB108" s="531"/>
      <c r="ALC108" s="530"/>
      <c r="ALD108" s="531"/>
      <c r="ALE108" s="530"/>
      <c r="ALF108" s="531"/>
      <c r="ALG108" s="530"/>
      <c r="ALH108" s="531"/>
      <c r="ALI108" s="530"/>
      <c r="ALJ108" s="531"/>
      <c r="ALK108" s="530"/>
      <c r="ALL108" s="531"/>
      <c r="ALM108" s="530"/>
      <c r="ALN108" s="531"/>
      <c r="ALO108" s="530"/>
      <c r="ALP108" s="531"/>
      <c r="ALQ108" s="530"/>
      <c r="ALR108" s="531"/>
      <c r="ALS108" s="530"/>
      <c r="ALT108" s="531"/>
      <c r="ALU108" s="530"/>
      <c r="ALV108" s="531"/>
      <c r="ALW108" s="530"/>
      <c r="ALX108" s="531"/>
      <c r="ALY108" s="530"/>
      <c r="ALZ108" s="531"/>
      <c r="AMA108" s="530"/>
      <c r="AMB108" s="531"/>
      <c r="AMC108" s="530"/>
      <c r="AMD108" s="531"/>
      <c r="AME108" s="530"/>
      <c r="AMF108" s="531"/>
      <c r="AMG108" s="530"/>
      <c r="AMH108" s="531"/>
      <c r="AMI108" s="530"/>
      <c r="AMJ108" s="531"/>
      <c r="AMK108" s="530"/>
      <c r="AML108" s="531"/>
      <c r="AMM108" s="530"/>
      <c r="AMN108" s="531"/>
      <c r="AMO108" s="530"/>
      <c r="AMP108" s="531"/>
      <c r="AMQ108" s="530"/>
      <c r="AMR108" s="531"/>
      <c r="AMS108" s="530"/>
      <c r="AMT108" s="531"/>
      <c r="AMU108" s="530"/>
      <c r="AMV108" s="531"/>
      <c r="AMW108" s="530"/>
      <c r="AMX108" s="531"/>
      <c r="AMY108" s="530"/>
      <c r="AMZ108" s="531"/>
      <c r="ANA108" s="530"/>
      <c r="ANB108" s="531"/>
      <c r="ANC108" s="530"/>
      <c r="AND108" s="531"/>
      <c r="ANE108" s="530"/>
      <c r="ANF108" s="531"/>
      <c r="ANG108" s="530"/>
      <c r="ANH108" s="531"/>
      <c r="ANI108" s="530"/>
      <c r="ANJ108" s="531"/>
      <c r="ANK108" s="530"/>
      <c r="ANL108" s="531"/>
      <c r="ANM108" s="530"/>
      <c r="ANN108" s="531"/>
      <c r="ANO108" s="530"/>
      <c r="ANP108" s="531"/>
      <c r="ANQ108" s="530"/>
      <c r="ANR108" s="531"/>
      <c r="ANS108" s="530"/>
      <c r="ANT108" s="531"/>
      <c r="ANU108" s="530"/>
      <c r="ANV108" s="531"/>
      <c r="ANW108" s="530"/>
      <c r="ANX108" s="531"/>
      <c r="ANY108" s="530"/>
      <c r="ANZ108" s="531"/>
      <c r="AOA108" s="530"/>
      <c r="AOB108" s="531"/>
      <c r="AOC108" s="530"/>
      <c r="AOD108" s="531"/>
      <c r="AOE108" s="530"/>
      <c r="AOF108" s="531"/>
      <c r="AOG108" s="530"/>
      <c r="AOH108" s="531"/>
      <c r="AOI108" s="530"/>
      <c r="AOJ108" s="531"/>
      <c r="AOK108" s="530"/>
      <c r="AOL108" s="531"/>
      <c r="AOM108" s="530"/>
      <c r="AON108" s="531"/>
      <c r="AOO108" s="530"/>
      <c r="AOP108" s="531"/>
      <c r="AOQ108" s="530"/>
      <c r="AOR108" s="531"/>
      <c r="AOS108" s="530"/>
      <c r="AOT108" s="531"/>
      <c r="AOU108" s="530"/>
      <c r="AOV108" s="531"/>
      <c r="AOW108" s="530"/>
      <c r="AOX108" s="531"/>
      <c r="AOY108" s="530"/>
      <c r="AOZ108" s="531"/>
      <c r="APA108" s="530"/>
      <c r="APB108" s="531"/>
      <c r="APC108" s="530"/>
      <c r="APD108" s="531"/>
      <c r="APE108" s="530"/>
      <c r="APF108" s="531"/>
      <c r="APG108" s="530"/>
      <c r="APH108" s="531"/>
      <c r="API108" s="530"/>
      <c r="APJ108" s="531"/>
      <c r="APK108" s="530"/>
      <c r="APL108" s="531"/>
      <c r="APM108" s="530"/>
      <c r="APN108" s="531"/>
      <c r="APO108" s="530"/>
      <c r="APP108" s="531"/>
      <c r="APQ108" s="530"/>
      <c r="APR108" s="531"/>
      <c r="APS108" s="530"/>
      <c r="APT108" s="531"/>
      <c r="APU108" s="530"/>
      <c r="APV108" s="531"/>
      <c r="APW108" s="530"/>
      <c r="APX108" s="531"/>
      <c r="APY108" s="530"/>
      <c r="APZ108" s="531"/>
      <c r="AQA108" s="530"/>
      <c r="AQB108" s="531"/>
      <c r="AQC108" s="530"/>
      <c r="AQD108" s="531"/>
      <c r="AQE108" s="530"/>
      <c r="AQF108" s="531"/>
      <c r="AQG108" s="530"/>
      <c r="AQH108" s="531"/>
      <c r="AQI108" s="530"/>
      <c r="AQJ108" s="531"/>
      <c r="AQK108" s="530"/>
      <c r="AQL108" s="531"/>
      <c r="AQM108" s="530"/>
      <c r="AQN108" s="531"/>
      <c r="AQO108" s="530"/>
      <c r="AQP108" s="531"/>
      <c r="AQQ108" s="530"/>
      <c r="AQR108" s="531"/>
      <c r="AQS108" s="530"/>
      <c r="AQT108" s="531"/>
      <c r="AQU108" s="530"/>
      <c r="AQV108" s="531"/>
      <c r="AQW108" s="530"/>
      <c r="AQX108" s="531"/>
      <c r="AQY108" s="530"/>
      <c r="AQZ108" s="531"/>
      <c r="ARA108" s="530"/>
      <c r="ARB108" s="531"/>
      <c r="ARC108" s="530"/>
      <c r="ARD108" s="531"/>
      <c r="ARE108" s="530"/>
      <c r="ARF108" s="531"/>
      <c r="ARG108" s="530"/>
      <c r="ARH108" s="531"/>
      <c r="ARI108" s="530"/>
      <c r="ARJ108" s="531"/>
      <c r="ARK108" s="530"/>
      <c r="ARL108" s="531"/>
      <c r="ARM108" s="530"/>
      <c r="ARN108" s="531"/>
      <c r="ARO108" s="530"/>
      <c r="ARP108" s="531"/>
      <c r="ARQ108" s="530"/>
      <c r="ARR108" s="531"/>
      <c r="ARS108" s="530"/>
      <c r="ART108" s="531"/>
      <c r="ARU108" s="530"/>
      <c r="ARV108" s="531"/>
      <c r="ARW108" s="530"/>
      <c r="ARX108" s="531"/>
      <c r="ARY108" s="530"/>
      <c r="ARZ108" s="531"/>
      <c r="ASA108" s="530"/>
      <c r="ASB108" s="531"/>
      <c r="ASC108" s="530"/>
      <c r="ASD108" s="531"/>
      <c r="ASE108" s="530"/>
      <c r="ASF108" s="531"/>
      <c r="ASG108" s="530"/>
      <c r="ASH108" s="531"/>
      <c r="ASI108" s="530"/>
      <c r="ASJ108" s="531"/>
      <c r="ASK108" s="530"/>
      <c r="ASL108" s="531"/>
      <c r="ASM108" s="530"/>
      <c r="ASN108" s="531"/>
      <c r="ASO108" s="530"/>
      <c r="ASP108" s="531"/>
      <c r="ASQ108" s="530"/>
      <c r="ASR108" s="531"/>
      <c r="ASS108" s="530"/>
      <c r="AST108" s="531"/>
      <c r="ASU108" s="530"/>
      <c r="ASV108" s="531"/>
      <c r="ASW108" s="530"/>
      <c r="ASX108" s="531"/>
      <c r="ASY108" s="530"/>
      <c r="ASZ108" s="531"/>
      <c r="ATA108" s="530"/>
      <c r="ATB108" s="531"/>
      <c r="ATC108" s="530"/>
      <c r="ATD108" s="531"/>
      <c r="ATE108" s="530"/>
      <c r="ATF108" s="531"/>
      <c r="ATG108" s="530"/>
      <c r="ATH108" s="531"/>
      <c r="ATI108" s="530"/>
      <c r="ATJ108" s="531"/>
      <c r="ATK108" s="530"/>
      <c r="ATL108" s="531"/>
      <c r="ATM108" s="530"/>
      <c r="ATN108" s="531"/>
      <c r="ATO108" s="530"/>
      <c r="ATP108" s="531"/>
      <c r="ATQ108" s="530"/>
      <c r="ATR108" s="531"/>
      <c r="ATS108" s="530"/>
      <c r="ATT108" s="531"/>
      <c r="ATU108" s="530"/>
      <c r="ATV108" s="531"/>
      <c r="ATW108" s="530"/>
      <c r="ATX108" s="531"/>
      <c r="ATY108" s="530"/>
      <c r="ATZ108" s="531"/>
      <c r="AUA108" s="530"/>
      <c r="AUB108" s="531"/>
      <c r="AUC108" s="530"/>
      <c r="AUD108" s="531"/>
      <c r="AUE108" s="530"/>
      <c r="AUF108" s="531"/>
      <c r="AUG108" s="530"/>
      <c r="AUH108" s="531"/>
      <c r="AUI108" s="530"/>
      <c r="AUJ108" s="531"/>
      <c r="AUK108" s="530"/>
      <c r="AUL108" s="531"/>
      <c r="AUM108" s="530"/>
      <c r="AUN108" s="531"/>
      <c r="AUO108" s="530"/>
      <c r="AUP108" s="531"/>
      <c r="AUQ108" s="530"/>
      <c r="AUR108" s="531"/>
      <c r="AUS108" s="530"/>
      <c r="AUT108" s="531"/>
      <c r="AUU108" s="530"/>
      <c r="AUV108" s="531"/>
      <c r="AUW108" s="530"/>
      <c r="AUX108" s="531"/>
      <c r="AUY108" s="530"/>
      <c r="AUZ108" s="531"/>
      <c r="AVA108" s="530"/>
      <c r="AVB108" s="531"/>
      <c r="AVC108" s="530"/>
      <c r="AVD108" s="531"/>
      <c r="AVE108" s="530"/>
      <c r="AVF108" s="531"/>
      <c r="AVG108" s="530"/>
      <c r="AVH108" s="531"/>
      <c r="AVI108" s="530"/>
      <c r="AVJ108" s="531"/>
      <c r="AVK108" s="530"/>
      <c r="AVL108" s="531"/>
      <c r="AVM108" s="530"/>
      <c r="AVN108" s="531"/>
      <c r="AVO108" s="530"/>
      <c r="AVP108" s="531"/>
      <c r="AVQ108" s="530"/>
      <c r="AVR108" s="531"/>
      <c r="AVS108" s="530"/>
      <c r="AVT108" s="531"/>
      <c r="AVU108" s="530"/>
      <c r="AVV108" s="531"/>
      <c r="AVW108" s="530"/>
      <c r="AVX108" s="531"/>
      <c r="AVY108" s="530"/>
      <c r="AVZ108" s="531"/>
      <c r="AWA108" s="530"/>
      <c r="AWB108" s="531"/>
      <c r="AWC108" s="530"/>
      <c r="AWD108" s="531"/>
      <c r="AWE108" s="530"/>
      <c r="AWF108" s="531"/>
      <c r="AWG108" s="530"/>
      <c r="AWH108" s="531"/>
      <c r="AWI108" s="530"/>
      <c r="AWJ108" s="531"/>
      <c r="AWK108" s="530"/>
      <c r="AWL108" s="531"/>
      <c r="AWM108" s="530"/>
      <c r="AWN108" s="531"/>
      <c r="AWO108" s="530"/>
      <c r="AWP108" s="531"/>
      <c r="AWQ108" s="530"/>
      <c r="AWR108" s="531"/>
      <c r="AWS108" s="530"/>
      <c r="AWT108" s="531"/>
      <c r="AWU108" s="530"/>
      <c r="AWV108" s="531"/>
      <c r="AWW108" s="530"/>
      <c r="AWX108" s="531"/>
      <c r="AWY108" s="530"/>
      <c r="AWZ108" s="531"/>
      <c r="AXA108" s="530"/>
      <c r="AXB108" s="531"/>
      <c r="AXC108" s="530"/>
      <c r="AXD108" s="531"/>
      <c r="AXE108" s="530"/>
      <c r="AXF108" s="531"/>
      <c r="AXG108" s="530"/>
      <c r="AXH108" s="531"/>
      <c r="AXI108" s="530"/>
      <c r="AXJ108" s="531"/>
      <c r="AXK108" s="530"/>
      <c r="AXL108" s="531"/>
      <c r="AXM108" s="530"/>
      <c r="AXN108" s="531"/>
      <c r="AXO108" s="530"/>
      <c r="AXP108" s="531"/>
      <c r="AXQ108" s="530"/>
      <c r="AXR108" s="531"/>
      <c r="AXS108" s="530"/>
      <c r="AXT108" s="531"/>
      <c r="AXU108" s="530"/>
      <c r="AXV108" s="531"/>
      <c r="AXW108" s="530"/>
      <c r="AXX108" s="531"/>
      <c r="AXY108" s="530"/>
      <c r="AXZ108" s="531"/>
      <c r="AYA108" s="530"/>
      <c r="AYB108" s="531"/>
      <c r="AYC108" s="530"/>
      <c r="AYD108" s="531"/>
      <c r="AYE108" s="530"/>
      <c r="AYF108" s="531"/>
      <c r="AYG108" s="530"/>
      <c r="AYH108" s="531"/>
      <c r="AYI108" s="530"/>
      <c r="AYJ108" s="531"/>
      <c r="AYK108" s="530"/>
      <c r="AYL108" s="531"/>
      <c r="AYM108" s="530"/>
      <c r="AYN108" s="531"/>
      <c r="AYO108" s="530"/>
      <c r="AYP108" s="531"/>
      <c r="AYQ108" s="530"/>
      <c r="AYR108" s="531"/>
      <c r="AYS108" s="530"/>
      <c r="AYT108" s="531"/>
      <c r="AYU108" s="530"/>
      <c r="AYV108" s="531"/>
      <c r="AYW108" s="530"/>
      <c r="AYX108" s="531"/>
      <c r="AYY108" s="530"/>
      <c r="AYZ108" s="531"/>
      <c r="AZA108" s="530"/>
      <c r="AZB108" s="531"/>
      <c r="AZC108" s="530"/>
      <c r="AZD108" s="531"/>
      <c r="AZE108" s="530"/>
      <c r="AZF108" s="531"/>
      <c r="AZG108" s="530"/>
      <c r="AZH108" s="531"/>
      <c r="AZI108" s="530"/>
      <c r="AZJ108" s="531"/>
      <c r="AZK108" s="530"/>
      <c r="AZL108" s="531"/>
      <c r="AZM108" s="530"/>
      <c r="AZN108" s="531"/>
      <c r="AZO108" s="530"/>
      <c r="AZP108" s="531"/>
      <c r="AZQ108" s="530"/>
      <c r="AZR108" s="531"/>
      <c r="AZS108" s="530"/>
      <c r="AZT108" s="531"/>
      <c r="AZU108" s="530"/>
      <c r="AZV108" s="531"/>
      <c r="AZW108" s="530"/>
      <c r="AZX108" s="531"/>
      <c r="AZY108" s="530"/>
      <c r="AZZ108" s="531"/>
      <c r="BAA108" s="530"/>
      <c r="BAB108" s="531"/>
      <c r="BAC108" s="530"/>
      <c r="BAD108" s="531"/>
      <c r="BAE108" s="530"/>
      <c r="BAF108" s="531"/>
      <c r="BAG108" s="530"/>
      <c r="BAH108" s="531"/>
      <c r="BAI108" s="530"/>
      <c r="BAJ108" s="531"/>
      <c r="BAK108" s="530"/>
      <c r="BAL108" s="531"/>
      <c r="BAM108" s="530"/>
      <c r="BAN108" s="531"/>
      <c r="BAO108" s="530"/>
      <c r="BAP108" s="531"/>
      <c r="BAQ108" s="530"/>
      <c r="BAR108" s="531"/>
      <c r="BAS108" s="530"/>
      <c r="BAT108" s="531"/>
      <c r="BAU108" s="530"/>
      <c r="BAV108" s="531"/>
      <c r="BAW108" s="530"/>
      <c r="BAX108" s="531"/>
      <c r="BAY108" s="530"/>
      <c r="BAZ108" s="531"/>
      <c r="BBA108" s="530"/>
      <c r="BBB108" s="531"/>
      <c r="BBC108" s="530"/>
      <c r="BBD108" s="531"/>
      <c r="BBE108" s="530"/>
      <c r="BBF108" s="531"/>
      <c r="BBG108" s="530"/>
      <c r="BBH108" s="531"/>
      <c r="BBI108" s="530"/>
      <c r="BBJ108" s="531"/>
      <c r="BBK108" s="530"/>
      <c r="BBL108" s="531"/>
      <c r="BBM108" s="530"/>
      <c r="BBN108" s="531"/>
      <c r="BBO108" s="530"/>
      <c r="BBP108" s="531"/>
      <c r="BBQ108" s="530"/>
      <c r="BBR108" s="531"/>
      <c r="BBS108" s="530"/>
      <c r="BBT108" s="531"/>
      <c r="BBU108" s="530"/>
      <c r="BBV108" s="531"/>
      <c r="BBW108" s="530"/>
      <c r="BBX108" s="531"/>
      <c r="BBY108" s="530"/>
      <c r="BBZ108" s="531"/>
      <c r="BCA108" s="530"/>
      <c r="BCB108" s="531"/>
      <c r="BCC108" s="530"/>
      <c r="BCD108" s="531"/>
      <c r="BCE108" s="530"/>
      <c r="BCF108" s="531"/>
      <c r="BCG108" s="530"/>
      <c r="BCH108" s="531"/>
      <c r="BCI108" s="530"/>
      <c r="BCJ108" s="531"/>
      <c r="BCK108" s="530"/>
      <c r="BCL108" s="531"/>
      <c r="BCM108" s="530"/>
      <c r="BCN108" s="531"/>
      <c r="BCO108" s="530"/>
      <c r="BCP108" s="531"/>
      <c r="BCQ108" s="530"/>
      <c r="BCR108" s="531"/>
      <c r="BCS108" s="530"/>
      <c r="BCT108" s="531"/>
      <c r="BCU108" s="530"/>
      <c r="BCV108" s="531"/>
      <c r="BCW108" s="530"/>
      <c r="BCX108" s="531"/>
      <c r="BCY108" s="530"/>
      <c r="BCZ108" s="531"/>
      <c r="BDA108" s="530"/>
      <c r="BDB108" s="531"/>
      <c r="BDC108" s="530"/>
      <c r="BDD108" s="531"/>
      <c r="BDE108" s="530"/>
      <c r="BDF108" s="531"/>
      <c r="BDG108" s="530"/>
      <c r="BDH108" s="531"/>
      <c r="BDI108" s="530"/>
      <c r="BDJ108" s="531"/>
      <c r="BDK108" s="530"/>
      <c r="BDL108" s="531"/>
      <c r="BDM108" s="530"/>
      <c r="BDN108" s="531"/>
      <c r="BDO108" s="530"/>
      <c r="BDP108" s="531"/>
      <c r="BDQ108" s="530"/>
      <c r="BDR108" s="531"/>
      <c r="BDS108" s="530"/>
      <c r="BDT108" s="531"/>
      <c r="BDU108" s="530"/>
      <c r="BDV108" s="531"/>
      <c r="BDW108" s="530"/>
      <c r="BDX108" s="531"/>
      <c r="BDY108" s="530"/>
      <c r="BDZ108" s="531"/>
      <c r="BEA108" s="530"/>
      <c r="BEB108" s="531"/>
      <c r="BEC108" s="530"/>
      <c r="BED108" s="531"/>
      <c r="BEE108" s="530"/>
      <c r="BEF108" s="531"/>
      <c r="BEG108" s="530"/>
      <c r="BEH108" s="531"/>
      <c r="BEI108" s="530"/>
      <c r="BEJ108" s="531"/>
      <c r="BEK108" s="530"/>
      <c r="BEL108" s="531"/>
      <c r="BEM108" s="530"/>
      <c r="BEN108" s="531"/>
      <c r="BEO108" s="530"/>
      <c r="BEP108" s="531"/>
      <c r="BEQ108" s="530"/>
      <c r="BER108" s="531"/>
      <c r="BES108" s="530"/>
      <c r="BET108" s="531"/>
      <c r="BEU108" s="530"/>
      <c r="BEV108" s="531"/>
      <c r="BEW108" s="530"/>
      <c r="BEX108" s="531"/>
      <c r="BEY108" s="530"/>
      <c r="BEZ108" s="531"/>
      <c r="BFA108" s="530"/>
      <c r="BFB108" s="531"/>
      <c r="BFC108" s="530"/>
      <c r="BFD108" s="531"/>
      <c r="BFE108" s="530"/>
      <c r="BFF108" s="531"/>
      <c r="BFG108" s="530"/>
      <c r="BFH108" s="531"/>
      <c r="BFI108" s="530"/>
      <c r="BFJ108" s="531"/>
      <c r="BFK108" s="530"/>
      <c r="BFL108" s="531"/>
      <c r="BFM108" s="530"/>
      <c r="BFN108" s="531"/>
      <c r="BFO108" s="530"/>
      <c r="BFP108" s="531"/>
      <c r="BFQ108" s="530"/>
      <c r="BFR108" s="531"/>
      <c r="BFS108" s="530"/>
      <c r="BFT108" s="531"/>
      <c r="BFU108" s="530"/>
      <c r="BFV108" s="531"/>
      <c r="BFW108" s="530"/>
      <c r="BFX108" s="531"/>
      <c r="BFY108" s="530"/>
      <c r="BFZ108" s="531"/>
      <c r="BGA108" s="530"/>
      <c r="BGB108" s="531"/>
      <c r="BGC108" s="530"/>
      <c r="BGD108" s="531"/>
      <c r="BGE108" s="530"/>
      <c r="BGF108" s="531"/>
      <c r="BGG108" s="530"/>
      <c r="BGH108" s="531"/>
      <c r="BGI108" s="530"/>
      <c r="BGJ108" s="531"/>
      <c r="BGK108" s="530"/>
      <c r="BGL108" s="531"/>
      <c r="BGM108" s="530"/>
      <c r="BGN108" s="531"/>
      <c r="BGO108" s="530"/>
      <c r="BGP108" s="531"/>
      <c r="BGQ108" s="530"/>
      <c r="BGR108" s="531"/>
      <c r="BGS108" s="530"/>
      <c r="BGT108" s="531"/>
      <c r="BGU108" s="530"/>
      <c r="BGV108" s="531"/>
      <c r="BGW108" s="530"/>
      <c r="BGX108" s="531"/>
      <c r="BGY108" s="530"/>
      <c r="BGZ108" s="531"/>
      <c r="BHA108" s="530"/>
      <c r="BHB108" s="531"/>
      <c r="BHC108" s="530"/>
      <c r="BHD108" s="531"/>
      <c r="BHE108" s="530"/>
      <c r="BHF108" s="531"/>
      <c r="BHG108" s="530"/>
      <c r="BHH108" s="531"/>
      <c r="BHI108" s="530"/>
      <c r="BHJ108" s="531"/>
      <c r="BHK108" s="530"/>
      <c r="BHL108" s="531"/>
      <c r="BHM108" s="530"/>
      <c r="BHN108" s="531"/>
      <c r="BHO108" s="530"/>
      <c r="BHP108" s="531"/>
      <c r="BHQ108" s="530"/>
      <c r="BHR108" s="531"/>
      <c r="BHS108" s="530"/>
      <c r="BHT108" s="531"/>
      <c r="BHU108" s="530"/>
      <c r="BHV108" s="531"/>
      <c r="BHW108" s="530"/>
      <c r="BHX108" s="531"/>
      <c r="BHY108" s="530"/>
      <c r="BHZ108" s="531"/>
      <c r="BIA108" s="530"/>
      <c r="BIB108" s="531"/>
      <c r="BIC108" s="530"/>
      <c r="BID108" s="531"/>
      <c r="BIE108" s="530"/>
      <c r="BIF108" s="531"/>
      <c r="BIG108" s="530"/>
      <c r="BIH108" s="531"/>
      <c r="BII108" s="530"/>
      <c r="BIJ108" s="531"/>
      <c r="BIK108" s="530"/>
      <c r="BIL108" s="531"/>
      <c r="BIM108" s="530"/>
      <c r="BIN108" s="531"/>
      <c r="BIO108" s="530"/>
      <c r="BIP108" s="531"/>
      <c r="BIQ108" s="530"/>
      <c r="BIR108" s="531"/>
      <c r="BIS108" s="530"/>
      <c r="BIT108" s="531"/>
      <c r="BIU108" s="530"/>
      <c r="BIV108" s="531"/>
      <c r="BIW108" s="530"/>
      <c r="BIX108" s="531"/>
      <c r="BIY108" s="530"/>
      <c r="BIZ108" s="531"/>
      <c r="BJA108" s="530"/>
      <c r="BJB108" s="531"/>
      <c r="BJC108" s="530"/>
      <c r="BJD108" s="531"/>
      <c r="BJE108" s="530"/>
      <c r="BJF108" s="531"/>
      <c r="BJG108" s="530"/>
      <c r="BJH108" s="531"/>
      <c r="BJI108" s="530"/>
      <c r="BJJ108" s="531"/>
      <c r="BJK108" s="530"/>
      <c r="BJL108" s="531"/>
      <c r="BJM108" s="530"/>
      <c r="BJN108" s="531"/>
      <c r="BJO108" s="530"/>
      <c r="BJP108" s="531"/>
      <c r="BJQ108" s="530"/>
      <c r="BJR108" s="531"/>
      <c r="BJS108" s="530"/>
      <c r="BJT108" s="531"/>
      <c r="BJU108" s="530"/>
      <c r="BJV108" s="531"/>
      <c r="BJW108" s="530"/>
      <c r="BJX108" s="531"/>
      <c r="BJY108" s="530"/>
      <c r="BJZ108" s="531"/>
      <c r="BKA108" s="530"/>
      <c r="BKB108" s="531"/>
      <c r="BKC108" s="530"/>
      <c r="BKD108" s="531"/>
      <c r="BKE108" s="530"/>
      <c r="BKF108" s="531"/>
      <c r="BKG108" s="530"/>
      <c r="BKH108" s="531"/>
      <c r="BKI108" s="530"/>
      <c r="BKJ108" s="531"/>
      <c r="BKK108" s="530"/>
      <c r="BKL108" s="531"/>
      <c r="BKM108" s="530"/>
      <c r="BKN108" s="531"/>
      <c r="BKO108" s="530"/>
      <c r="BKP108" s="531"/>
      <c r="BKQ108" s="530"/>
      <c r="BKR108" s="531"/>
      <c r="BKS108" s="530"/>
      <c r="BKT108" s="531"/>
      <c r="BKU108" s="530"/>
      <c r="BKV108" s="531"/>
      <c r="BKW108" s="530"/>
      <c r="BKX108" s="531"/>
      <c r="BKY108" s="530"/>
      <c r="BKZ108" s="531"/>
      <c r="BLA108" s="530"/>
      <c r="BLB108" s="531"/>
      <c r="BLC108" s="530"/>
      <c r="BLD108" s="531"/>
      <c r="BLE108" s="530"/>
      <c r="BLF108" s="531"/>
      <c r="BLG108" s="530"/>
      <c r="BLH108" s="531"/>
      <c r="BLI108" s="530"/>
      <c r="BLJ108" s="531"/>
      <c r="BLK108" s="530"/>
      <c r="BLL108" s="531"/>
      <c r="BLM108" s="530"/>
      <c r="BLN108" s="531"/>
      <c r="BLO108" s="530"/>
      <c r="BLP108" s="531"/>
      <c r="BLQ108" s="530"/>
      <c r="BLR108" s="531"/>
      <c r="BLS108" s="530"/>
      <c r="BLT108" s="531"/>
      <c r="BLU108" s="530"/>
      <c r="BLV108" s="531"/>
      <c r="BLW108" s="530"/>
      <c r="BLX108" s="531"/>
      <c r="BLY108" s="530"/>
      <c r="BLZ108" s="531"/>
      <c r="BMA108" s="530"/>
      <c r="BMB108" s="531"/>
      <c r="BMC108" s="530"/>
      <c r="BMD108" s="531"/>
      <c r="BME108" s="530"/>
      <c r="BMF108" s="531"/>
      <c r="BMG108" s="530"/>
      <c r="BMH108" s="531"/>
      <c r="BMI108" s="530"/>
      <c r="BMJ108" s="531"/>
      <c r="BMK108" s="530"/>
      <c r="BML108" s="531"/>
      <c r="BMM108" s="530"/>
      <c r="BMN108" s="531"/>
      <c r="BMO108" s="530"/>
      <c r="BMP108" s="531"/>
      <c r="BMQ108" s="530"/>
      <c r="BMR108" s="531"/>
      <c r="BMS108" s="530"/>
      <c r="BMT108" s="531"/>
      <c r="BMU108" s="530"/>
      <c r="BMV108" s="531"/>
      <c r="BMW108" s="530"/>
      <c r="BMX108" s="531"/>
      <c r="BMY108" s="530"/>
      <c r="BMZ108" s="531"/>
      <c r="BNA108" s="530"/>
      <c r="BNB108" s="531"/>
      <c r="BNC108" s="530"/>
      <c r="BND108" s="531"/>
      <c r="BNE108" s="530"/>
      <c r="BNF108" s="531"/>
      <c r="BNG108" s="530"/>
      <c r="BNH108" s="531"/>
      <c r="BNI108" s="530"/>
      <c r="BNJ108" s="531"/>
      <c r="BNK108" s="530"/>
      <c r="BNL108" s="531"/>
      <c r="BNM108" s="530"/>
      <c r="BNN108" s="531"/>
      <c r="BNO108" s="530"/>
      <c r="BNP108" s="531"/>
      <c r="BNQ108" s="530"/>
      <c r="BNR108" s="531"/>
      <c r="BNS108" s="530"/>
      <c r="BNT108" s="531"/>
      <c r="BNU108" s="530"/>
      <c r="BNV108" s="531"/>
      <c r="BNW108" s="530"/>
      <c r="BNX108" s="531"/>
      <c r="BNY108" s="530"/>
      <c r="BNZ108" s="531"/>
      <c r="BOA108" s="530"/>
      <c r="BOB108" s="531"/>
      <c r="BOC108" s="530"/>
      <c r="BOD108" s="531"/>
      <c r="BOE108" s="530"/>
      <c r="BOF108" s="531"/>
      <c r="BOG108" s="530"/>
      <c r="BOH108" s="531"/>
      <c r="BOI108" s="530"/>
      <c r="BOJ108" s="531"/>
      <c r="BOK108" s="530"/>
      <c r="BOL108" s="531"/>
      <c r="BOM108" s="530"/>
      <c r="BON108" s="531"/>
      <c r="BOO108" s="530"/>
      <c r="BOP108" s="531"/>
      <c r="BOQ108" s="530"/>
      <c r="BOR108" s="531"/>
      <c r="BOS108" s="530"/>
      <c r="BOT108" s="531"/>
      <c r="BOU108" s="530"/>
      <c r="BOV108" s="531"/>
      <c r="BOW108" s="530"/>
      <c r="BOX108" s="531"/>
      <c r="BOY108" s="530"/>
      <c r="BOZ108" s="531"/>
      <c r="BPA108" s="530"/>
      <c r="BPB108" s="531"/>
      <c r="BPC108" s="530"/>
      <c r="BPD108" s="531"/>
      <c r="BPE108" s="530"/>
      <c r="BPF108" s="531"/>
      <c r="BPG108" s="530"/>
      <c r="BPH108" s="531"/>
      <c r="BPI108" s="530"/>
      <c r="BPJ108" s="531"/>
      <c r="BPK108" s="530"/>
      <c r="BPL108" s="531"/>
      <c r="BPM108" s="530"/>
      <c r="BPN108" s="531"/>
      <c r="BPO108" s="530"/>
      <c r="BPP108" s="531"/>
      <c r="BPQ108" s="530"/>
      <c r="BPR108" s="531"/>
      <c r="BPS108" s="530"/>
      <c r="BPT108" s="531"/>
      <c r="BPU108" s="530"/>
      <c r="BPV108" s="531"/>
      <c r="BPW108" s="530"/>
      <c r="BPX108" s="531"/>
      <c r="BPY108" s="530"/>
      <c r="BPZ108" s="531"/>
      <c r="BQA108" s="530"/>
      <c r="BQB108" s="531"/>
      <c r="BQC108" s="530"/>
      <c r="BQD108" s="531"/>
      <c r="BQE108" s="530"/>
      <c r="BQF108" s="531"/>
      <c r="BQG108" s="530"/>
      <c r="BQH108" s="531"/>
      <c r="BQI108" s="530"/>
      <c r="BQJ108" s="531"/>
      <c r="BQK108" s="530"/>
      <c r="BQL108" s="531"/>
      <c r="BQM108" s="530"/>
      <c r="BQN108" s="531"/>
      <c r="BQO108" s="530"/>
      <c r="BQP108" s="531"/>
      <c r="BQQ108" s="530"/>
      <c r="BQR108" s="531"/>
      <c r="BQS108" s="530"/>
      <c r="BQT108" s="531"/>
      <c r="BQU108" s="530"/>
      <c r="BQV108" s="531"/>
      <c r="BQW108" s="530"/>
      <c r="BQX108" s="531"/>
      <c r="BQY108" s="530"/>
      <c r="BQZ108" s="531"/>
      <c r="BRA108" s="530"/>
      <c r="BRB108" s="531"/>
      <c r="BRC108" s="530"/>
      <c r="BRD108" s="531"/>
      <c r="BRE108" s="530"/>
      <c r="BRF108" s="531"/>
      <c r="BRG108" s="530"/>
      <c r="BRH108" s="531"/>
      <c r="BRI108" s="530"/>
      <c r="BRJ108" s="531"/>
      <c r="BRK108" s="530"/>
      <c r="BRL108" s="531"/>
      <c r="BRM108" s="530"/>
      <c r="BRN108" s="531"/>
      <c r="BRO108" s="530"/>
      <c r="BRP108" s="531"/>
      <c r="BRQ108" s="530"/>
      <c r="BRR108" s="531"/>
      <c r="BRS108" s="530"/>
      <c r="BRT108" s="531"/>
      <c r="BRU108" s="530"/>
      <c r="BRV108" s="531"/>
      <c r="BRW108" s="530"/>
      <c r="BRX108" s="531"/>
      <c r="BRY108" s="530"/>
      <c r="BRZ108" s="531"/>
      <c r="BSA108" s="530"/>
      <c r="BSB108" s="531"/>
      <c r="BSC108" s="530"/>
      <c r="BSD108" s="531"/>
      <c r="BSE108" s="530"/>
      <c r="BSF108" s="531"/>
      <c r="BSG108" s="530"/>
      <c r="BSH108" s="531"/>
      <c r="BSI108" s="530"/>
      <c r="BSJ108" s="531"/>
      <c r="BSK108" s="530"/>
      <c r="BSL108" s="531"/>
      <c r="BSM108" s="530"/>
      <c r="BSN108" s="531"/>
      <c r="BSO108" s="530"/>
      <c r="BSP108" s="531"/>
      <c r="BSQ108" s="530"/>
      <c r="BSR108" s="531"/>
      <c r="BSS108" s="530"/>
      <c r="BST108" s="531"/>
      <c r="BSU108" s="530"/>
      <c r="BSV108" s="531"/>
      <c r="BSW108" s="530"/>
      <c r="BSX108" s="531"/>
      <c r="BSY108" s="530"/>
      <c r="BSZ108" s="531"/>
      <c r="BTA108" s="530"/>
      <c r="BTB108" s="531"/>
      <c r="BTC108" s="530"/>
      <c r="BTD108" s="531"/>
      <c r="BTE108" s="530"/>
      <c r="BTF108" s="531"/>
      <c r="BTG108" s="530"/>
      <c r="BTH108" s="531"/>
      <c r="BTI108" s="530"/>
      <c r="BTJ108" s="531"/>
      <c r="BTK108" s="530"/>
      <c r="BTL108" s="531"/>
      <c r="BTM108" s="530"/>
      <c r="BTN108" s="531"/>
      <c r="BTO108" s="530"/>
      <c r="BTP108" s="531"/>
      <c r="BTQ108" s="530"/>
      <c r="BTR108" s="531"/>
      <c r="BTS108" s="530"/>
      <c r="BTT108" s="531"/>
      <c r="BTU108" s="530"/>
      <c r="BTV108" s="531"/>
      <c r="BTW108" s="530"/>
      <c r="BTX108" s="531"/>
      <c r="BTY108" s="530"/>
      <c r="BTZ108" s="531"/>
      <c r="BUA108" s="530"/>
      <c r="BUB108" s="531"/>
      <c r="BUC108" s="530"/>
      <c r="BUD108" s="531"/>
      <c r="BUE108" s="530"/>
      <c r="BUF108" s="531"/>
      <c r="BUG108" s="530"/>
      <c r="BUH108" s="531"/>
      <c r="BUI108" s="530"/>
      <c r="BUJ108" s="531"/>
      <c r="BUK108" s="530"/>
      <c r="BUL108" s="531"/>
      <c r="BUM108" s="530"/>
      <c r="BUN108" s="531"/>
      <c r="BUO108" s="530"/>
      <c r="BUP108" s="531"/>
      <c r="BUQ108" s="530"/>
      <c r="BUR108" s="531"/>
      <c r="BUS108" s="530"/>
      <c r="BUT108" s="531"/>
      <c r="BUU108" s="530"/>
      <c r="BUV108" s="531"/>
      <c r="BUW108" s="530"/>
      <c r="BUX108" s="531"/>
      <c r="BUY108" s="530"/>
      <c r="BUZ108" s="531"/>
      <c r="BVA108" s="530"/>
      <c r="BVB108" s="531"/>
      <c r="BVC108" s="530"/>
      <c r="BVD108" s="531"/>
      <c r="BVE108" s="530"/>
      <c r="BVF108" s="531"/>
      <c r="BVG108" s="530"/>
      <c r="BVH108" s="531"/>
      <c r="BVI108" s="530"/>
      <c r="BVJ108" s="531"/>
      <c r="BVK108" s="530"/>
      <c r="BVL108" s="531"/>
      <c r="BVM108" s="530"/>
      <c r="BVN108" s="531"/>
      <c r="BVO108" s="530"/>
      <c r="BVP108" s="531"/>
      <c r="BVQ108" s="530"/>
      <c r="BVR108" s="531"/>
      <c r="BVS108" s="530"/>
      <c r="BVT108" s="531"/>
      <c r="BVU108" s="530"/>
      <c r="BVV108" s="531"/>
      <c r="BVW108" s="530"/>
      <c r="BVX108" s="531"/>
      <c r="BVY108" s="530"/>
      <c r="BVZ108" s="531"/>
      <c r="BWA108" s="530"/>
      <c r="BWB108" s="531"/>
      <c r="BWC108" s="530"/>
      <c r="BWD108" s="531"/>
      <c r="BWE108" s="530"/>
      <c r="BWF108" s="531"/>
      <c r="BWG108" s="530"/>
      <c r="BWH108" s="531"/>
      <c r="BWI108" s="530"/>
      <c r="BWJ108" s="531"/>
      <c r="BWK108" s="530"/>
      <c r="BWL108" s="531"/>
      <c r="BWM108" s="530"/>
      <c r="BWN108" s="531"/>
      <c r="BWO108" s="530"/>
      <c r="BWP108" s="531"/>
      <c r="BWQ108" s="530"/>
      <c r="BWR108" s="531"/>
      <c r="BWS108" s="530"/>
      <c r="BWT108" s="531"/>
      <c r="BWU108" s="530"/>
      <c r="BWV108" s="531"/>
      <c r="BWW108" s="530"/>
      <c r="BWX108" s="531"/>
      <c r="BWY108" s="530"/>
      <c r="BWZ108" s="531"/>
      <c r="BXA108" s="530"/>
      <c r="BXB108" s="531"/>
      <c r="BXC108" s="530"/>
      <c r="BXD108" s="531"/>
      <c r="BXE108" s="530"/>
      <c r="BXF108" s="531"/>
      <c r="BXG108" s="530"/>
      <c r="BXH108" s="531"/>
      <c r="BXI108" s="530"/>
      <c r="BXJ108" s="531"/>
      <c r="BXK108" s="530"/>
      <c r="BXL108" s="531"/>
      <c r="BXM108" s="530"/>
      <c r="BXN108" s="531"/>
      <c r="BXO108" s="530"/>
      <c r="BXP108" s="531"/>
      <c r="BXQ108" s="530"/>
      <c r="BXR108" s="531"/>
      <c r="BXS108" s="530"/>
      <c r="BXT108" s="531"/>
      <c r="BXU108" s="530"/>
      <c r="BXV108" s="531"/>
      <c r="BXW108" s="530"/>
      <c r="BXX108" s="531"/>
      <c r="BXY108" s="530"/>
      <c r="BXZ108" s="531"/>
      <c r="BYA108" s="530"/>
      <c r="BYB108" s="531"/>
      <c r="BYC108" s="530"/>
      <c r="BYD108" s="531"/>
      <c r="BYE108" s="530"/>
      <c r="BYF108" s="531"/>
      <c r="BYG108" s="530"/>
      <c r="BYH108" s="531"/>
      <c r="BYI108" s="530"/>
      <c r="BYJ108" s="531"/>
      <c r="BYK108" s="530"/>
      <c r="BYL108" s="531"/>
      <c r="BYM108" s="530"/>
      <c r="BYN108" s="531"/>
      <c r="BYO108" s="530"/>
      <c r="BYP108" s="531"/>
      <c r="BYQ108" s="530"/>
      <c r="BYR108" s="531"/>
      <c r="BYS108" s="530"/>
      <c r="BYT108" s="531"/>
      <c r="BYU108" s="530"/>
      <c r="BYV108" s="531"/>
      <c r="BYW108" s="530"/>
      <c r="BYX108" s="531"/>
      <c r="BYY108" s="530"/>
      <c r="BYZ108" s="531"/>
      <c r="BZA108" s="530"/>
      <c r="BZB108" s="531"/>
      <c r="BZC108" s="530"/>
      <c r="BZD108" s="531"/>
      <c r="BZE108" s="530"/>
      <c r="BZF108" s="531"/>
      <c r="BZG108" s="530"/>
      <c r="BZH108" s="531"/>
      <c r="BZI108" s="530"/>
      <c r="BZJ108" s="531"/>
      <c r="BZK108" s="530"/>
      <c r="BZL108" s="531"/>
      <c r="BZM108" s="530"/>
      <c r="BZN108" s="531"/>
      <c r="BZO108" s="530"/>
      <c r="BZP108" s="531"/>
      <c r="BZQ108" s="530"/>
      <c r="BZR108" s="531"/>
      <c r="BZS108" s="530"/>
      <c r="BZT108" s="531"/>
      <c r="BZU108" s="530"/>
      <c r="BZV108" s="531"/>
      <c r="BZW108" s="530"/>
      <c r="BZX108" s="531"/>
      <c r="BZY108" s="530"/>
      <c r="BZZ108" s="531"/>
      <c r="CAA108" s="530"/>
      <c r="CAB108" s="531"/>
      <c r="CAC108" s="530"/>
      <c r="CAD108" s="531"/>
      <c r="CAE108" s="530"/>
      <c r="CAF108" s="531"/>
      <c r="CAG108" s="530"/>
      <c r="CAH108" s="531"/>
      <c r="CAI108" s="530"/>
      <c r="CAJ108" s="531"/>
      <c r="CAK108" s="530"/>
      <c r="CAL108" s="531"/>
      <c r="CAM108" s="530"/>
      <c r="CAN108" s="531"/>
      <c r="CAO108" s="530"/>
      <c r="CAP108" s="531"/>
      <c r="CAQ108" s="530"/>
      <c r="CAR108" s="531"/>
      <c r="CAS108" s="530"/>
      <c r="CAT108" s="531"/>
      <c r="CAU108" s="530"/>
      <c r="CAV108" s="531"/>
      <c r="CAW108" s="530"/>
      <c r="CAX108" s="531"/>
      <c r="CAY108" s="530"/>
      <c r="CAZ108" s="531"/>
      <c r="CBA108" s="530"/>
      <c r="CBB108" s="531"/>
      <c r="CBC108" s="530"/>
      <c r="CBD108" s="531"/>
      <c r="CBE108" s="530"/>
      <c r="CBF108" s="531"/>
      <c r="CBG108" s="530"/>
      <c r="CBH108" s="531"/>
      <c r="CBI108" s="530"/>
      <c r="CBJ108" s="531"/>
      <c r="CBK108" s="530"/>
      <c r="CBL108" s="531"/>
      <c r="CBM108" s="530"/>
      <c r="CBN108" s="531"/>
      <c r="CBO108" s="530"/>
      <c r="CBP108" s="531"/>
      <c r="CBQ108" s="530"/>
      <c r="CBR108" s="531"/>
      <c r="CBS108" s="530"/>
      <c r="CBT108" s="531"/>
      <c r="CBU108" s="530"/>
      <c r="CBV108" s="531"/>
      <c r="CBW108" s="530"/>
      <c r="CBX108" s="531"/>
      <c r="CBY108" s="530"/>
      <c r="CBZ108" s="531"/>
      <c r="CCA108" s="530"/>
      <c r="CCB108" s="531"/>
      <c r="CCC108" s="530"/>
      <c r="CCD108" s="531"/>
      <c r="CCE108" s="530"/>
      <c r="CCF108" s="531"/>
      <c r="CCG108" s="530"/>
      <c r="CCH108" s="531"/>
      <c r="CCI108" s="530"/>
      <c r="CCJ108" s="531"/>
      <c r="CCK108" s="530"/>
      <c r="CCL108" s="531"/>
      <c r="CCM108" s="530"/>
      <c r="CCN108" s="531"/>
      <c r="CCO108" s="530"/>
      <c r="CCP108" s="531"/>
      <c r="CCQ108" s="530"/>
      <c r="CCR108" s="531"/>
      <c r="CCS108" s="530"/>
      <c r="CCT108" s="531"/>
      <c r="CCU108" s="530"/>
      <c r="CCV108" s="531"/>
      <c r="CCW108" s="530"/>
      <c r="CCX108" s="531"/>
      <c r="CCY108" s="530"/>
      <c r="CCZ108" s="531"/>
      <c r="CDA108" s="530"/>
      <c r="CDB108" s="531"/>
      <c r="CDC108" s="530"/>
      <c r="CDD108" s="531"/>
      <c r="CDE108" s="530"/>
      <c r="CDF108" s="531"/>
      <c r="CDG108" s="530"/>
      <c r="CDH108" s="531"/>
      <c r="CDI108" s="530"/>
      <c r="CDJ108" s="531"/>
      <c r="CDK108" s="530"/>
      <c r="CDL108" s="531"/>
      <c r="CDM108" s="530"/>
      <c r="CDN108" s="531"/>
      <c r="CDO108" s="530"/>
      <c r="CDP108" s="531"/>
      <c r="CDQ108" s="530"/>
      <c r="CDR108" s="531"/>
      <c r="CDS108" s="530"/>
      <c r="CDT108" s="531"/>
      <c r="CDU108" s="530"/>
      <c r="CDV108" s="531"/>
      <c r="CDW108" s="530"/>
      <c r="CDX108" s="531"/>
      <c r="CDY108" s="530"/>
      <c r="CDZ108" s="531"/>
      <c r="CEA108" s="530"/>
      <c r="CEB108" s="531"/>
      <c r="CEC108" s="530"/>
      <c r="CED108" s="531"/>
      <c r="CEE108" s="530"/>
      <c r="CEF108" s="531"/>
      <c r="CEG108" s="530"/>
      <c r="CEH108" s="531"/>
      <c r="CEI108" s="530"/>
      <c r="CEJ108" s="531"/>
      <c r="CEK108" s="530"/>
      <c r="CEL108" s="531"/>
      <c r="CEM108" s="530"/>
      <c r="CEN108" s="531"/>
      <c r="CEO108" s="530"/>
      <c r="CEP108" s="531"/>
      <c r="CEQ108" s="530"/>
      <c r="CER108" s="531"/>
      <c r="CES108" s="530"/>
      <c r="CET108" s="531"/>
      <c r="CEU108" s="530"/>
      <c r="CEV108" s="531"/>
      <c r="CEW108" s="530"/>
      <c r="CEX108" s="531"/>
      <c r="CEY108" s="530"/>
      <c r="CEZ108" s="531"/>
      <c r="CFA108" s="530"/>
      <c r="CFB108" s="531"/>
      <c r="CFC108" s="530"/>
      <c r="CFD108" s="531"/>
      <c r="CFE108" s="530"/>
      <c r="CFF108" s="531"/>
      <c r="CFG108" s="530"/>
      <c r="CFH108" s="531"/>
      <c r="CFI108" s="530"/>
      <c r="CFJ108" s="531"/>
      <c r="CFK108" s="530"/>
      <c r="CFL108" s="531"/>
      <c r="CFM108" s="530"/>
      <c r="CFN108" s="531"/>
      <c r="CFO108" s="530"/>
      <c r="CFP108" s="531"/>
      <c r="CFQ108" s="530"/>
      <c r="CFR108" s="531"/>
      <c r="CFS108" s="530"/>
      <c r="CFT108" s="531"/>
      <c r="CFU108" s="530"/>
      <c r="CFV108" s="531"/>
      <c r="CFW108" s="530"/>
      <c r="CFX108" s="531"/>
      <c r="CFY108" s="530"/>
      <c r="CFZ108" s="531"/>
      <c r="CGA108" s="530"/>
      <c r="CGB108" s="531"/>
      <c r="CGC108" s="530"/>
      <c r="CGD108" s="531"/>
      <c r="CGE108" s="530"/>
      <c r="CGF108" s="531"/>
      <c r="CGG108" s="530"/>
      <c r="CGH108" s="531"/>
      <c r="CGI108" s="530"/>
      <c r="CGJ108" s="531"/>
      <c r="CGK108" s="530"/>
      <c r="CGL108" s="531"/>
      <c r="CGM108" s="530"/>
      <c r="CGN108" s="531"/>
      <c r="CGO108" s="530"/>
      <c r="CGP108" s="531"/>
      <c r="CGQ108" s="530"/>
      <c r="CGR108" s="531"/>
      <c r="CGS108" s="530"/>
      <c r="CGT108" s="531"/>
      <c r="CGU108" s="530"/>
      <c r="CGV108" s="531"/>
      <c r="CGW108" s="530"/>
      <c r="CGX108" s="531"/>
      <c r="CGY108" s="530"/>
      <c r="CGZ108" s="531"/>
      <c r="CHA108" s="530"/>
      <c r="CHB108" s="531"/>
      <c r="CHC108" s="530"/>
      <c r="CHD108" s="531"/>
      <c r="CHE108" s="530"/>
      <c r="CHF108" s="531"/>
      <c r="CHG108" s="530"/>
      <c r="CHH108" s="531"/>
      <c r="CHI108" s="530"/>
      <c r="CHJ108" s="531"/>
      <c r="CHK108" s="530"/>
      <c r="CHL108" s="531"/>
      <c r="CHM108" s="530"/>
      <c r="CHN108" s="531"/>
      <c r="CHO108" s="530"/>
      <c r="CHP108" s="531"/>
      <c r="CHQ108" s="530"/>
      <c r="CHR108" s="531"/>
      <c r="CHS108" s="530"/>
      <c r="CHT108" s="531"/>
      <c r="CHU108" s="530"/>
      <c r="CHV108" s="531"/>
      <c r="CHW108" s="530"/>
      <c r="CHX108" s="531"/>
      <c r="CHY108" s="530"/>
      <c r="CHZ108" s="531"/>
      <c r="CIA108" s="530"/>
      <c r="CIB108" s="531"/>
      <c r="CIC108" s="530"/>
      <c r="CID108" s="531"/>
      <c r="CIE108" s="530"/>
      <c r="CIF108" s="531"/>
      <c r="CIG108" s="530"/>
      <c r="CIH108" s="531"/>
      <c r="CII108" s="530"/>
      <c r="CIJ108" s="531"/>
      <c r="CIK108" s="530"/>
      <c r="CIL108" s="531"/>
      <c r="CIM108" s="530"/>
      <c r="CIN108" s="531"/>
      <c r="CIO108" s="530"/>
      <c r="CIP108" s="531"/>
      <c r="CIQ108" s="530"/>
      <c r="CIR108" s="531"/>
      <c r="CIS108" s="530"/>
      <c r="CIT108" s="531"/>
      <c r="CIU108" s="530"/>
      <c r="CIV108" s="531"/>
      <c r="CIW108" s="530"/>
      <c r="CIX108" s="531"/>
      <c r="CIY108" s="530"/>
      <c r="CIZ108" s="531"/>
      <c r="CJA108" s="530"/>
      <c r="CJB108" s="531"/>
      <c r="CJC108" s="530"/>
      <c r="CJD108" s="531"/>
      <c r="CJE108" s="530"/>
      <c r="CJF108" s="531"/>
      <c r="CJG108" s="530"/>
      <c r="CJH108" s="531"/>
      <c r="CJI108" s="530"/>
      <c r="CJJ108" s="531"/>
      <c r="CJK108" s="530"/>
      <c r="CJL108" s="531"/>
      <c r="CJM108" s="530"/>
      <c r="CJN108" s="531"/>
      <c r="CJO108" s="530"/>
      <c r="CJP108" s="531"/>
      <c r="CJQ108" s="530"/>
      <c r="CJR108" s="531"/>
      <c r="CJS108" s="530"/>
      <c r="CJT108" s="531"/>
      <c r="CJU108" s="530"/>
      <c r="CJV108" s="531"/>
      <c r="CJW108" s="530"/>
      <c r="CJX108" s="531"/>
      <c r="CJY108" s="530"/>
      <c r="CJZ108" s="531"/>
      <c r="CKA108" s="530"/>
      <c r="CKB108" s="531"/>
      <c r="CKC108" s="530"/>
      <c r="CKD108" s="531"/>
      <c r="CKE108" s="530"/>
      <c r="CKF108" s="531"/>
      <c r="CKG108" s="530"/>
      <c r="CKH108" s="531"/>
      <c r="CKI108" s="530"/>
      <c r="CKJ108" s="531"/>
      <c r="CKK108" s="530"/>
      <c r="CKL108" s="531"/>
      <c r="CKM108" s="530"/>
      <c r="CKN108" s="531"/>
      <c r="CKO108" s="530"/>
      <c r="CKP108" s="531"/>
      <c r="CKQ108" s="530"/>
      <c r="CKR108" s="531"/>
      <c r="CKS108" s="530"/>
      <c r="CKT108" s="531"/>
      <c r="CKU108" s="530"/>
      <c r="CKV108" s="531"/>
      <c r="CKW108" s="530"/>
      <c r="CKX108" s="531"/>
      <c r="CKY108" s="530"/>
      <c r="CKZ108" s="531"/>
      <c r="CLA108" s="530"/>
      <c r="CLB108" s="531"/>
      <c r="CLC108" s="530"/>
      <c r="CLD108" s="531"/>
      <c r="CLE108" s="530"/>
      <c r="CLF108" s="531"/>
      <c r="CLG108" s="530"/>
      <c r="CLH108" s="531"/>
      <c r="CLI108" s="530"/>
      <c r="CLJ108" s="531"/>
      <c r="CLK108" s="530"/>
      <c r="CLL108" s="531"/>
      <c r="CLM108" s="530"/>
      <c r="CLN108" s="531"/>
      <c r="CLO108" s="530"/>
      <c r="CLP108" s="531"/>
      <c r="CLQ108" s="530"/>
      <c r="CLR108" s="531"/>
      <c r="CLS108" s="530"/>
      <c r="CLT108" s="531"/>
      <c r="CLU108" s="530"/>
      <c r="CLV108" s="531"/>
      <c r="CLW108" s="530"/>
      <c r="CLX108" s="531"/>
      <c r="CLY108" s="530"/>
      <c r="CLZ108" s="531"/>
      <c r="CMA108" s="530"/>
      <c r="CMB108" s="531"/>
      <c r="CMC108" s="530"/>
      <c r="CMD108" s="531"/>
      <c r="CME108" s="530"/>
      <c r="CMF108" s="531"/>
      <c r="CMG108" s="530"/>
      <c r="CMH108" s="531"/>
      <c r="CMI108" s="530"/>
      <c r="CMJ108" s="531"/>
      <c r="CMK108" s="530"/>
      <c r="CML108" s="531"/>
      <c r="CMM108" s="530"/>
      <c r="CMN108" s="531"/>
      <c r="CMO108" s="530"/>
      <c r="CMP108" s="531"/>
      <c r="CMQ108" s="530"/>
      <c r="CMR108" s="531"/>
      <c r="CMS108" s="530"/>
      <c r="CMT108" s="531"/>
      <c r="CMU108" s="530"/>
      <c r="CMV108" s="531"/>
      <c r="CMW108" s="530"/>
      <c r="CMX108" s="531"/>
      <c r="CMY108" s="530"/>
      <c r="CMZ108" s="531"/>
      <c r="CNA108" s="530"/>
      <c r="CNB108" s="531"/>
      <c r="CNC108" s="530"/>
      <c r="CND108" s="531"/>
      <c r="CNE108" s="530"/>
      <c r="CNF108" s="531"/>
      <c r="CNG108" s="530"/>
      <c r="CNH108" s="531"/>
      <c r="CNI108" s="530"/>
      <c r="CNJ108" s="531"/>
      <c r="CNK108" s="530"/>
      <c r="CNL108" s="531"/>
      <c r="CNM108" s="530"/>
      <c r="CNN108" s="531"/>
      <c r="CNO108" s="530"/>
      <c r="CNP108" s="531"/>
      <c r="CNQ108" s="530"/>
      <c r="CNR108" s="531"/>
      <c r="CNS108" s="530"/>
      <c r="CNT108" s="531"/>
      <c r="CNU108" s="530"/>
      <c r="CNV108" s="531"/>
      <c r="CNW108" s="530"/>
      <c r="CNX108" s="531"/>
      <c r="CNY108" s="530"/>
      <c r="CNZ108" s="531"/>
      <c r="COA108" s="530"/>
      <c r="COB108" s="531"/>
      <c r="COC108" s="530"/>
      <c r="COD108" s="531"/>
      <c r="COE108" s="530"/>
      <c r="COF108" s="531"/>
      <c r="COG108" s="530"/>
      <c r="COH108" s="531"/>
      <c r="COI108" s="530"/>
      <c r="COJ108" s="531"/>
      <c r="COK108" s="530"/>
      <c r="COL108" s="531"/>
      <c r="COM108" s="530"/>
      <c r="CON108" s="531"/>
      <c r="COO108" s="530"/>
      <c r="COP108" s="531"/>
      <c r="COQ108" s="530"/>
      <c r="COR108" s="531"/>
      <c r="COS108" s="530"/>
      <c r="COT108" s="531"/>
      <c r="COU108" s="530"/>
      <c r="COV108" s="531"/>
      <c r="COW108" s="530"/>
      <c r="COX108" s="531"/>
      <c r="COY108" s="530"/>
      <c r="COZ108" s="531"/>
      <c r="CPA108" s="530"/>
      <c r="CPB108" s="531"/>
      <c r="CPC108" s="530"/>
      <c r="CPD108" s="531"/>
      <c r="CPE108" s="530"/>
      <c r="CPF108" s="531"/>
      <c r="CPG108" s="530"/>
      <c r="CPH108" s="531"/>
      <c r="CPI108" s="530"/>
      <c r="CPJ108" s="531"/>
      <c r="CPK108" s="530"/>
      <c r="CPL108" s="531"/>
      <c r="CPM108" s="530"/>
      <c r="CPN108" s="531"/>
      <c r="CPO108" s="530"/>
      <c r="CPP108" s="531"/>
      <c r="CPQ108" s="530"/>
      <c r="CPR108" s="531"/>
      <c r="CPS108" s="530"/>
      <c r="CPT108" s="531"/>
      <c r="CPU108" s="530"/>
      <c r="CPV108" s="531"/>
      <c r="CPW108" s="530"/>
      <c r="CPX108" s="531"/>
      <c r="CPY108" s="530"/>
      <c r="CPZ108" s="531"/>
      <c r="CQA108" s="530"/>
      <c r="CQB108" s="531"/>
      <c r="CQC108" s="530"/>
      <c r="CQD108" s="531"/>
      <c r="CQE108" s="530"/>
      <c r="CQF108" s="531"/>
      <c r="CQG108" s="530"/>
      <c r="CQH108" s="531"/>
      <c r="CQI108" s="530"/>
      <c r="CQJ108" s="531"/>
      <c r="CQK108" s="530"/>
      <c r="CQL108" s="531"/>
      <c r="CQM108" s="530"/>
      <c r="CQN108" s="531"/>
      <c r="CQO108" s="530"/>
      <c r="CQP108" s="531"/>
      <c r="CQQ108" s="530"/>
      <c r="CQR108" s="531"/>
      <c r="CQS108" s="530"/>
      <c r="CQT108" s="531"/>
      <c r="CQU108" s="530"/>
      <c r="CQV108" s="531"/>
      <c r="CQW108" s="530"/>
      <c r="CQX108" s="531"/>
      <c r="CQY108" s="530"/>
      <c r="CQZ108" s="531"/>
      <c r="CRA108" s="530"/>
      <c r="CRB108" s="531"/>
      <c r="CRC108" s="530"/>
      <c r="CRD108" s="531"/>
      <c r="CRE108" s="530"/>
      <c r="CRF108" s="531"/>
      <c r="CRG108" s="530"/>
      <c r="CRH108" s="531"/>
      <c r="CRI108" s="530"/>
      <c r="CRJ108" s="531"/>
      <c r="CRK108" s="530"/>
      <c r="CRL108" s="531"/>
      <c r="CRM108" s="530"/>
      <c r="CRN108" s="531"/>
      <c r="CRO108" s="530"/>
      <c r="CRP108" s="531"/>
      <c r="CRQ108" s="530"/>
      <c r="CRR108" s="531"/>
      <c r="CRS108" s="530"/>
      <c r="CRT108" s="531"/>
      <c r="CRU108" s="530"/>
      <c r="CRV108" s="531"/>
      <c r="CRW108" s="530"/>
      <c r="CRX108" s="531"/>
      <c r="CRY108" s="530"/>
      <c r="CRZ108" s="531"/>
      <c r="CSA108" s="530"/>
      <c r="CSB108" s="531"/>
      <c r="CSC108" s="530"/>
      <c r="CSD108" s="531"/>
      <c r="CSE108" s="530"/>
      <c r="CSF108" s="531"/>
      <c r="CSG108" s="530"/>
      <c r="CSH108" s="531"/>
      <c r="CSI108" s="530"/>
      <c r="CSJ108" s="531"/>
      <c r="CSK108" s="530"/>
      <c r="CSL108" s="531"/>
      <c r="CSM108" s="530"/>
      <c r="CSN108" s="531"/>
      <c r="CSO108" s="530"/>
      <c r="CSP108" s="531"/>
      <c r="CSQ108" s="530"/>
      <c r="CSR108" s="531"/>
      <c r="CSS108" s="530"/>
      <c r="CST108" s="531"/>
      <c r="CSU108" s="530"/>
      <c r="CSV108" s="531"/>
      <c r="CSW108" s="530"/>
      <c r="CSX108" s="531"/>
      <c r="CSY108" s="530"/>
      <c r="CSZ108" s="531"/>
      <c r="CTA108" s="530"/>
      <c r="CTB108" s="531"/>
      <c r="CTC108" s="530"/>
      <c r="CTD108" s="531"/>
      <c r="CTE108" s="530"/>
      <c r="CTF108" s="531"/>
      <c r="CTG108" s="530"/>
      <c r="CTH108" s="531"/>
      <c r="CTI108" s="530"/>
      <c r="CTJ108" s="531"/>
      <c r="CTK108" s="530"/>
      <c r="CTL108" s="531"/>
      <c r="CTM108" s="530"/>
      <c r="CTN108" s="531"/>
      <c r="CTO108" s="530"/>
      <c r="CTP108" s="531"/>
      <c r="CTQ108" s="530"/>
      <c r="CTR108" s="531"/>
      <c r="CTS108" s="530"/>
      <c r="CTT108" s="531"/>
      <c r="CTU108" s="530"/>
      <c r="CTV108" s="531"/>
      <c r="CTW108" s="530"/>
      <c r="CTX108" s="531"/>
      <c r="CTY108" s="530"/>
      <c r="CTZ108" s="531"/>
      <c r="CUA108" s="530"/>
      <c r="CUB108" s="531"/>
      <c r="CUC108" s="530"/>
      <c r="CUD108" s="531"/>
      <c r="CUE108" s="530"/>
      <c r="CUF108" s="531"/>
      <c r="CUG108" s="530"/>
      <c r="CUH108" s="531"/>
      <c r="CUI108" s="530"/>
      <c r="CUJ108" s="531"/>
      <c r="CUK108" s="530"/>
      <c r="CUL108" s="531"/>
      <c r="CUM108" s="530"/>
      <c r="CUN108" s="531"/>
      <c r="CUO108" s="530"/>
      <c r="CUP108" s="531"/>
      <c r="CUQ108" s="530"/>
      <c r="CUR108" s="531"/>
      <c r="CUS108" s="530"/>
      <c r="CUT108" s="531"/>
      <c r="CUU108" s="530"/>
      <c r="CUV108" s="531"/>
      <c r="CUW108" s="530"/>
      <c r="CUX108" s="531"/>
      <c r="CUY108" s="530"/>
      <c r="CUZ108" s="531"/>
      <c r="CVA108" s="530"/>
      <c r="CVB108" s="531"/>
      <c r="CVC108" s="530"/>
      <c r="CVD108" s="531"/>
      <c r="CVE108" s="530"/>
      <c r="CVF108" s="531"/>
      <c r="CVG108" s="530"/>
      <c r="CVH108" s="531"/>
      <c r="CVI108" s="530"/>
      <c r="CVJ108" s="531"/>
      <c r="CVK108" s="530"/>
      <c r="CVL108" s="531"/>
      <c r="CVM108" s="530"/>
      <c r="CVN108" s="531"/>
      <c r="CVO108" s="530"/>
      <c r="CVP108" s="531"/>
      <c r="CVQ108" s="530"/>
      <c r="CVR108" s="531"/>
      <c r="CVS108" s="530"/>
      <c r="CVT108" s="531"/>
      <c r="CVU108" s="530"/>
      <c r="CVV108" s="531"/>
      <c r="CVW108" s="530"/>
      <c r="CVX108" s="531"/>
      <c r="CVY108" s="530"/>
      <c r="CVZ108" s="531"/>
      <c r="CWA108" s="530"/>
      <c r="CWB108" s="531"/>
      <c r="CWC108" s="530"/>
      <c r="CWD108" s="531"/>
      <c r="CWE108" s="530"/>
      <c r="CWF108" s="531"/>
      <c r="CWG108" s="530"/>
      <c r="CWH108" s="531"/>
      <c r="CWI108" s="530"/>
      <c r="CWJ108" s="531"/>
      <c r="CWK108" s="530"/>
      <c r="CWL108" s="531"/>
      <c r="CWM108" s="530"/>
      <c r="CWN108" s="531"/>
      <c r="CWO108" s="530"/>
      <c r="CWP108" s="531"/>
      <c r="CWQ108" s="530"/>
      <c r="CWR108" s="531"/>
      <c r="CWS108" s="530"/>
      <c r="CWT108" s="531"/>
      <c r="CWU108" s="530"/>
      <c r="CWV108" s="531"/>
      <c r="CWW108" s="530"/>
      <c r="CWX108" s="531"/>
      <c r="CWY108" s="530"/>
      <c r="CWZ108" s="531"/>
      <c r="CXA108" s="530"/>
      <c r="CXB108" s="531"/>
      <c r="CXC108" s="530"/>
      <c r="CXD108" s="531"/>
      <c r="CXE108" s="530"/>
      <c r="CXF108" s="531"/>
      <c r="CXG108" s="530"/>
      <c r="CXH108" s="531"/>
      <c r="CXI108" s="530"/>
      <c r="CXJ108" s="531"/>
      <c r="CXK108" s="530"/>
      <c r="CXL108" s="531"/>
      <c r="CXM108" s="530"/>
      <c r="CXN108" s="531"/>
      <c r="CXO108" s="530"/>
      <c r="CXP108" s="531"/>
      <c r="CXQ108" s="530"/>
      <c r="CXR108" s="531"/>
      <c r="CXS108" s="530"/>
      <c r="CXT108" s="531"/>
      <c r="CXU108" s="530"/>
      <c r="CXV108" s="531"/>
      <c r="CXW108" s="530"/>
      <c r="CXX108" s="531"/>
      <c r="CXY108" s="530"/>
      <c r="CXZ108" s="531"/>
      <c r="CYA108" s="530"/>
      <c r="CYB108" s="531"/>
      <c r="CYC108" s="530"/>
      <c r="CYD108" s="531"/>
      <c r="CYE108" s="530"/>
      <c r="CYF108" s="531"/>
      <c r="CYG108" s="530"/>
      <c r="CYH108" s="531"/>
      <c r="CYI108" s="530"/>
      <c r="CYJ108" s="531"/>
      <c r="CYK108" s="530"/>
      <c r="CYL108" s="531"/>
      <c r="CYM108" s="530"/>
      <c r="CYN108" s="531"/>
      <c r="CYO108" s="530"/>
      <c r="CYP108" s="531"/>
      <c r="CYQ108" s="530"/>
      <c r="CYR108" s="531"/>
      <c r="CYS108" s="530"/>
      <c r="CYT108" s="531"/>
      <c r="CYU108" s="530"/>
      <c r="CYV108" s="531"/>
      <c r="CYW108" s="530"/>
      <c r="CYX108" s="531"/>
      <c r="CYY108" s="530"/>
      <c r="CYZ108" s="531"/>
      <c r="CZA108" s="530"/>
      <c r="CZB108" s="531"/>
      <c r="CZC108" s="530"/>
      <c r="CZD108" s="531"/>
      <c r="CZE108" s="530"/>
      <c r="CZF108" s="531"/>
      <c r="CZG108" s="530"/>
      <c r="CZH108" s="531"/>
      <c r="CZI108" s="530"/>
      <c r="CZJ108" s="531"/>
      <c r="CZK108" s="530"/>
      <c r="CZL108" s="531"/>
      <c r="CZM108" s="530"/>
      <c r="CZN108" s="531"/>
      <c r="CZO108" s="530"/>
      <c r="CZP108" s="531"/>
      <c r="CZQ108" s="530"/>
      <c r="CZR108" s="531"/>
      <c r="CZS108" s="530"/>
      <c r="CZT108" s="531"/>
      <c r="CZU108" s="530"/>
      <c r="CZV108" s="531"/>
      <c r="CZW108" s="530"/>
      <c r="CZX108" s="531"/>
      <c r="CZY108" s="530"/>
      <c r="CZZ108" s="531"/>
      <c r="DAA108" s="530"/>
      <c r="DAB108" s="531"/>
      <c r="DAC108" s="530"/>
      <c r="DAD108" s="531"/>
      <c r="DAE108" s="530"/>
      <c r="DAF108" s="531"/>
      <c r="DAG108" s="530"/>
      <c r="DAH108" s="531"/>
      <c r="DAI108" s="530"/>
      <c r="DAJ108" s="531"/>
      <c r="DAK108" s="530"/>
      <c r="DAL108" s="531"/>
      <c r="DAM108" s="530"/>
      <c r="DAN108" s="531"/>
      <c r="DAO108" s="530"/>
      <c r="DAP108" s="531"/>
      <c r="DAQ108" s="530"/>
      <c r="DAR108" s="531"/>
      <c r="DAS108" s="530"/>
      <c r="DAT108" s="531"/>
      <c r="DAU108" s="530"/>
      <c r="DAV108" s="531"/>
      <c r="DAW108" s="530"/>
      <c r="DAX108" s="531"/>
      <c r="DAY108" s="530"/>
      <c r="DAZ108" s="531"/>
      <c r="DBA108" s="530"/>
      <c r="DBB108" s="531"/>
      <c r="DBC108" s="530"/>
      <c r="DBD108" s="531"/>
      <c r="DBE108" s="530"/>
      <c r="DBF108" s="531"/>
      <c r="DBG108" s="530"/>
      <c r="DBH108" s="531"/>
      <c r="DBI108" s="530"/>
      <c r="DBJ108" s="531"/>
      <c r="DBK108" s="530"/>
      <c r="DBL108" s="531"/>
      <c r="DBM108" s="530"/>
      <c r="DBN108" s="531"/>
      <c r="DBO108" s="530"/>
      <c r="DBP108" s="531"/>
      <c r="DBQ108" s="530"/>
      <c r="DBR108" s="531"/>
      <c r="DBS108" s="530"/>
      <c r="DBT108" s="531"/>
      <c r="DBU108" s="530"/>
      <c r="DBV108" s="531"/>
      <c r="DBW108" s="530"/>
      <c r="DBX108" s="531"/>
      <c r="DBY108" s="530"/>
      <c r="DBZ108" s="531"/>
      <c r="DCA108" s="530"/>
      <c r="DCB108" s="531"/>
      <c r="DCC108" s="530"/>
      <c r="DCD108" s="531"/>
      <c r="DCE108" s="530"/>
      <c r="DCF108" s="531"/>
      <c r="DCG108" s="530"/>
      <c r="DCH108" s="531"/>
      <c r="DCI108" s="530"/>
      <c r="DCJ108" s="531"/>
      <c r="DCK108" s="530"/>
      <c r="DCL108" s="531"/>
      <c r="DCM108" s="530"/>
      <c r="DCN108" s="531"/>
      <c r="DCO108" s="530"/>
      <c r="DCP108" s="531"/>
      <c r="DCQ108" s="530"/>
      <c r="DCR108" s="531"/>
      <c r="DCS108" s="530"/>
      <c r="DCT108" s="531"/>
      <c r="DCU108" s="530"/>
      <c r="DCV108" s="531"/>
      <c r="DCW108" s="530"/>
      <c r="DCX108" s="531"/>
      <c r="DCY108" s="530"/>
      <c r="DCZ108" s="531"/>
      <c r="DDA108" s="530"/>
      <c r="DDB108" s="531"/>
      <c r="DDC108" s="530"/>
      <c r="DDD108" s="531"/>
      <c r="DDE108" s="530"/>
      <c r="DDF108" s="531"/>
      <c r="DDG108" s="530"/>
      <c r="DDH108" s="531"/>
      <c r="DDI108" s="530"/>
      <c r="DDJ108" s="531"/>
      <c r="DDK108" s="530"/>
      <c r="DDL108" s="531"/>
      <c r="DDM108" s="530"/>
      <c r="DDN108" s="531"/>
      <c r="DDO108" s="530"/>
      <c r="DDP108" s="531"/>
      <c r="DDQ108" s="530"/>
      <c r="DDR108" s="531"/>
      <c r="DDS108" s="530"/>
      <c r="DDT108" s="531"/>
      <c r="DDU108" s="530"/>
      <c r="DDV108" s="531"/>
      <c r="DDW108" s="530"/>
      <c r="DDX108" s="531"/>
      <c r="DDY108" s="530"/>
      <c r="DDZ108" s="531"/>
      <c r="DEA108" s="530"/>
      <c r="DEB108" s="531"/>
      <c r="DEC108" s="530"/>
      <c r="DED108" s="531"/>
      <c r="DEE108" s="530"/>
      <c r="DEF108" s="531"/>
      <c r="DEG108" s="530"/>
      <c r="DEH108" s="531"/>
      <c r="DEI108" s="530"/>
      <c r="DEJ108" s="531"/>
      <c r="DEK108" s="530"/>
      <c r="DEL108" s="531"/>
      <c r="DEM108" s="530"/>
      <c r="DEN108" s="531"/>
      <c r="DEO108" s="530"/>
      <c r="DEP108" s="531"/>
      <c r="DEQ108" s="530"/>
      <c r="DER108" s="531"/>
      <c r="DES108" s="530"/>
      <c r="DET108" s="531"/>
      <c r="DEU108" s="530"/>
      <c r="DEV108" s="531"/>
      <c r="DEW108" s="530"/>
      <c r="DEX108" s="531"/>
      <c r="DEY108" s="530"/>
      <c r="DEZ108" s="531"/>
      <c r="DFA108" s="530"/>
      <c r="DFB108" s="531"/>
      <c r="DFC108" s="530"/>
      <c r="DFD108" s="531"/>
      <c r="DFE108" s="530"/>
      <c r="DFF108" s="531"/>
      <c r="DFG108" s="530"/>
      <c r="DFH108" s="531"/>
      <c r="DFI108" s="530"/>
      <c r="DFJ108" s="531"/>
      <c r="DFK108" s="530"/>
      <c r="DFL108" s="531"/>
      <c r="DFM108" s="530"/>
      <c r="DFN108" s="531"/>
      <c r="DFO108" s="530"/>
      <c r="DFP108" s="531"/>
      <c r="DFQ108" s="530"/>
      <c r="DFR108" s="531"/>
      <c r="DFS108" s="530"/>
      <c r="DFT108" s="531"/>
      <c r="DFU108" s="530"/>
      <c r="DFV108" s="531"/>
      <c r="DFW108" s="530"/>
      <c r="DFX108" s="531"/>
      <c r="DFY108" s="530"/>
      <c r="DFZ108" s="531"/>
      <c r="DGA108" s="530"/>
      <c r="DGB108" s="531"/>
      <c r="DGC108" s="530"/>
      <c r="DGD108" s="531"/>
      <c r="DGE108" s="530"/>
      <c r="DGF108" s="531"/>
      <c r="DGG108" s="530"/>
      <c r="DGH108" s="531"/>
      <c r="DGI108" s="530"/>
      <c r="DGJ108" s="531"/>
      <c r="DGK108" s="530"/>
      <c r="DGL108" s="531"/>
      <c r="DGM108" s="530"/>
      <c r="DGN108" s="531"/>
      <c r="DGO108" s="530"/>
      <c r="DGP108" s="531"/>
      <c r="DGQ108" s="530"/>
      <c r="DGR108" s="531"/>
      <c r="DGS108" s="530"/>
      <c r="DGT108" s="531"/>
      <c r="DGU108" s="530"/>
      <c r="DGV108" s="531"/>
      <c r="DGW108" s="530"/>
      <c r="DGX108" s="531"/>
      <c r="DGY108" s="530"/>
      <c r="DGZ108" s="531"/>
      <c r="DHA108" s="530"/>
      <c r="DHB108" s="531"/>
      <c r="DHC108" s="530"/>
      <c r="DHD108" s="531"/>
      <c r="DHE108" s="530"/>
      <c r="DHF108" s="531"/>
      <c r="DHG108" s="530"/>
      <c r="DHH108" s="531"/>
      <c r="DHI108" s="530"/>
      <c r="DHJ108" s="531"/>
      <c r="DHK108" s="530"/>
      <c r="DHL108" s="531"/>
      <c r="DHM108" s="530"/>
      <c r="DHN108" s="531"/>
      <c r="DHO108" s="530"/>
      <c r="DHP108" s="531"/>
      <c r="DHQ108" s="530"/>
      <c r="DHR108" s="531"/>
      <c r="DHS108" s="530"/>
      <c r="DHT108" s="531"/>
      <c r="DHU108" s="530"/>
      <c r="DHV108" s="531"/>
      <c r="DHW108" s="530"/>
      <c r="DHX108" s="531"/>
      <c r="DHY108" s="530"/>
      <c r="DHZ108" s="531"/>
      <c r="DIA108" s="530"/>
      <c r="DIB108" s="531"/>
      <c r="DIC108" s="530"/>
      <c r="DID108" s="531"/>
      <c r="DIE108" s="530"/>
      <c r="DIF108" s="531"/>
      <c r="DIG108" s="530"/>
      <c r="DIH108" s="531"/>
      <c r="DII108" s="530"/>
      <c r="DIJ108" s="531"/>
      <c r="DIK108" s="530"/>
      <c r="DIL108" s="531"/>
      <c r="DIM108" s="530"/>
      <c r="DIN108" s="531"/>
      <c r="DIO108" s="530"/>
      <c r="DIP108" s="531"/>
      <c r="DIQ108" s="530"/>
      <c r="DIR108" s="531"/>
      <c r="DIS108" s="530"/>
      <c r="DIT108" s="531"/>
      <c r="DIU108" s="530"/>
      <c r="DIV108" s="531"/>
      <c r="DIW108" s="530"/>
      <c r="DIX108" s="531"/>
      <c r="DIY108" s="530"/>
      <c r="DIZ108" s="531"/>
      <c r="DJA108" s="530"/>
      <c r="DJB108" s="531"/>
      <c r="DJC108" s="530"/>
      <c r="DJD108" s="531"/>
      <c r="DJE108" s="530"/>
      <c r="DJF108" s="531"/>
      <c r="DJG108" s="530"/>
      <c r="DJH108" s="531"/>
      <c r="DJI108" s="530"/>
      <c r="DJJ108" s="531"/>
      <c r="DJK108" s="530"/>
      <c r="DJL108" s="531"/>
      <c r="DJM108" s="530"/>
      <c r="DJN108" s="531"/>
      <c r="DJO108" s="530"/>
      <c r="DJP108" s="531"/>
      <c r="DJQ108" s="530"/>
      <c r="DJR108" s="531"/>
      <c r="DJS108" s="530"/>
      <c r="DJT108" s="531"/>
      <c r="DJU108" s="530"/>
      <c r="DJV108" s="531"/>
      <c r="DJW108" s="530"/>
      <c r="DJX108" s="531"/>
      <c r="DJY108" s="530"/>
      <c r="DJZ108" s="531"/>
      <c r="DKA108" s="530"/>
      <c r="DKB108" s="531"/>
      <c r="DKC108" s="530"/>
      <c r="DKD108" s="531"/>
      <c r="DKE108" s="530"/>
      <c r="DKF108" s="531"/>
      <c r="DKG108" s="530"/>
      <c r="DKH108" s="531"/>
      <c r="DKI108" s="530"/>
      <c r="DKJ108" s="531"/>
      <c r="DKK108" s="530"/>
      <c r="DKL108" s="531"/>
      <c r="DKM108" s="530"/>
      <c r="DKN108" s="531"/>
      <c r="DKO108" s="530"/>
      <c r="DKP108" s="531"/>
      <c r="DKQ108" s="530"/>
      <c r="DKR108" s="531"/>
      <c r="DKS108" s="530"/>
      <c r="DKT108" s="531"/>
      <c r="DKU108" s="530"/>
      <c r="DKV108" s="531"/>
      <c r="DKW108" s="530"/>
      <c r="DKX108" s="531"/>
      <c r="DKY108" s="530"/>
      <c r="DKZ108" s="531"/>
      <c r="DLA108" s="530"/>
      <c r="DLB108" s="531"/>
      <c r="DLC108" s="530"/>
      <c r="DLD108" s="531"/>
      <c r="DLE108" s="530"/>
      <c r="DLF108" s="531"/>
      <c r="DLG108" s="530"/>
      <c r="DLH108" s="531"/>
      <c r="DLI108" s="530"/>
      <c r="DLJ108" s="531"/>
      <c r="DLK108" s="530"/>
      <c r="DLL108" s="531"/>
      <c r="DLM108" s="530"/>
      <c r="DLN108" s="531"/>
      <c r="DLO108" s="530"/>
      <c r="DLP108" s="531"/>
      <c r="DLQ108" s="530"/>
      <c r="DLR108" s="531"/>
      <c r="DLS108" s="530"/>
      <c r="DLT108" s="531"/>
      <c r="DLU108" s="530"/>
      <c r="DLV108" s="531"/>
      <c r="DLW108" s="530"/>
      <c r="DLX108" s="531"/>
      <c r="DLY108" s="530"/>
      <c r="DLZ108" s="531"/>
      <c r="DMA108" s="530"/>
      <c r="DMB108" s="531"/>
      <c r="DMC108" s="530"/>
      <c r="DMD108" s="531"/>
      <c r="DME108" s="530"/>
      <c r="DMF108" s="531"/>
      <c r="DMG108" s="530"/>
      <c r="DMH108" s="531"/>
      <c r="DMI108" s="530"/>
      <c r="DMJ108" s="531"/>
      <c r="DMK108" s="530"/>
      <c r="DML108" s="531"/>
      <c r="DMM108" s="530"/>
      <c r="DMN108" s="531"/>
      <c r="DMO108" s="530"/>
      <c r="DMP108" s="531"/>
      <c r="DMQ108" s="530"/>
      <c r="DMR108" s="531"/>
      <c r="DMS108" s="530"/>
      <c r="DMT108" s="531"/>
      <c r="DMU108" s="530"/>
      <c r="DMV108" s="531"/>
      <c r="DMW108" s="530"/>
      <c r="DMX108" s="531"/>
      <c r="DMY108" s="530"/>
      <c r="DMZ108" s="531"/>
      <c r="DNA108" s="530"/>
      <c r="DNB108" s="531"/>
      <c r="DNC108" s="530"/>
      <c r="DND108" s="531"/>
      <c r="DNE108" s="530"/>
      <c r="DNF108" s="531"/>
      <c r="DNG108" s="530"/>
      <c r="DNH108" s="531"/>
      <c r="DNI108" s="530"/>
      <c r="DNJ108" s="531"/>
      <c r="DNK108" s="530"/>
      <c r="DNL108" s="531"/>
      <c r="DNM108" s="530"/>
      <c r="DNN108" s="531"/>
      <c r="DNO108" s="530"/>
      <c r="DNP108" s="531"/>
      <c r="DNQ108" s="530"/>
      <c r="DNR108" s="531"/>
      <c r="DNS108" s="530"/>
      <c r="DNT108" s="531"/>
      <c r="DNU108" s="530"/>
      <c r="DNV108" s="531"/>
      <c r="DNW108" s="530"/>
      <c r="DNX108" s="531"/>
      <c r="DNY108" s="530"/>
      <c r="DNZ108" s="531"/>
      <c r="DOA108" s="530"/>
      <c r="DOB108" s="531"/>
      <c r="DOC108" s="530"/>
      <c r="DOD108" s="531"/>
      <c r="DOE108" s="530"/>
      <c r="DOF108" s="531"/>
      <c r="DOG108" s="530"/>
      <c r="DOH108" s="531"/>
      <c r="DOI108" s="530"/>
      <c r="DOJ108" s="531"/>
      <c r="DOK108" s="530"/>
      <c r="DOL108" s="531"/>
      <c r="DOM108" s="530"/>
      <c r="DON108" s="531"/>
      <c r="DOO108" s="530"/>
      <c r="DOP108" s="531"/>
      <c r="DOQ108" s="530"/>
      <c r="DOR108" s="531"/>
      <c r="DOS108" s="530"/>
      <c r="DOT108" s="531"/>
      <c r="DOU108" s="530"/>
      <c r="DOV108" s="531"/>
      <c r="DOW108" s="530"/>
      <c r="DOX108" s="531"/>
      <c r="DOY108" s="530"/>
      <c r="DOZ108" s="531"/>
      <c r="DPA108" s="530"/>
      <c r="DPB108" s="531"/>
      <c r="DPC108" s="530"/>
      <c r="DPD108" s="531"/>
      <c r="DPE108" s="530"/>
      <c r="DPF108" s="531"/>
      <c r="DPG108" s="530"/>
      <c r="DPH108" s="531"/>
      <c r="DPI108" s="530"/>
      <c r="DPJ108" s="531"/>
      <c r="DPK108" s="530"/>
      <c r="DPL108" s="531"/>
      <c r="DPM108" s="530"/>
      <c r="DPN108" s="531"/>
      <c r="DPO108" s="530"/>
      <c r="DPP108" s="531"/>
      <c r="DPQ108" s="530"/>
      <c r="DPR108" s="531"/>
      <c r="DPS108" s="530"/>
      <c r="DPT108" s="531"/>
      <c r="DPU108" s="530"/>
      <c r="DPV108" s="531"/>
      <c r="DPW108" s="530"/>
      <c r="DPX108" s="531"/>
      <c r="DPY108" s="530"/>
      <c r="DPZ108" s="531"/>
      <c r="DQA108" s="530"/>
      <c r="DQB108" s="531"/>
      <c r="DQC108" s="530"/>
      <c r="DQD108" s="531"/>
      <c r="DQE108" s="530"/>
      <c r="DQF108" s="531"/>
      <c r="DQG108" s="530"/>
      <c r="DQH108" s="531"/>
      <c r="DQI108" s="530"/>
      <c r="DQJ108" s="531"/>
      <c r="DQK108" s="530"/>
      <c r="DQL108" s="531"/>
      <c r="DQM108" s="530"/>
      <c r="DQN108" s="531"/>
      <c r="DQO108" s="530"/>
      <c r="DQP108" s="531"/>
      <c r="DQQ108" s="530"/>
      <c r="DQR108" s="531"/>
      <c r="DQS108" s="530"/>
      <c r="DQT108" s="531"/>
      <c r="DQU108" s="530"/>
      <c r="DQV108" s="531"/>
      <c r="DQW108" s="530"/>
      <c r="DQX108" s="531"/>
      <c r="DQY108" s="530"/>
      <c r="DQZ108" s="531"/>
      <c r="DRA108" s="530"/>
      <c r="DRB108" s="531"/>
      <c r="DRC108" s="530"/>
      <c r="DRD108" s="531"/>
      <c r="DRE108" s="530"/>
      <c r="DRF108" s="531"/>
      <c r="DRG108" s="530"/>
      <c r="DRH108" s="531"/>
      <c r="DRI108" s="530"/>
      <c r="DRJ108" s="531"/>
      <c r="DRK108" s="530"/>
      <c r="DRL108" s="531"/>
      <c r="DRM108" s="530"/>
      <c r="DRN108" s="531"/>
      <c r="DRO108" s="530"/>
      <c r="DRP108" s="531"/>
      <c r="DRQ108" s="530"/>
      <c r="DRR108" s="531"/>
      <c r="DRS108" s="530"/>
      <c r="DRT108" s="531"/>
      <c r="DRU108" s="530"/>
      <c r="DRV108" s="531"/>
      <c r="DRW108" s="530"/>
      <c r="DRX108" s="531"/>
      <c r="DRY108" s="530"/>
      <c r="DRZ108" s="531"/>
      <c r="DSA108" s="530"/>
      <c r="DSB108" s="531"/>
      <c r="DSC108" s="530"/>
      <c r="DSD108" s="531"/>
      <c r="DSE108" s="530"/>
      <c r="DSF108" s="531"/>
      <c r="DSG108" s="530"/>
      <c r="DSH108" s="531"/>
      <c r="DSI108" s="530"/>
      <c r="DSJ108" s="531"/>
      <c r="DSK108" s="530"/>
      <c r="DSL108" s="531"/>
      <c r="DSM108" s="530"/>
      <c r="DSN108" s="531"/>
      <c r="DSO108" s="530"/>
      <c r="DSP108" s="531"/>
      <c r="DSQ108" s="530"/>
      <c r="DSR108" s="531"/>
      <c r="DSS108" s="530"/>
      <c r="DST108" s="531"/>
      <c r="DSU108" s="530"/>
      <c r="DSV108" s="531"/>
      <c r="DSW108" s="530"/>
      <c r="DSX108" s="531"/>
      <c r="DSY108" s="530"/>
      <c r="DSZ108" s="531"/>
      <c r="DTA108" s="530"/>
      <c r="DTB108" s="531"/>
      <c r="DTC108" s="530"/>
      <c r="DTD108" s="531"/>
      <c r="DTE108" s="530"/>
      <c r="DTF108" s="531"/>
      <c r="DTG108" s="530"/>
      <c r="DTH108" s="531"/>
      <c r="DTI108" s="530"/>
      <c r="DTJ108" s="531"/>
      <c r="DTK108" s="530"/>
      <c r="DTL108" s="531"/>
      <c r="DTM108" s="530"/>
      <c r="DTN108" s="531"/>
      <c r="DTO108" s="530"/>
      <c r="DTP108" s="531"/>
      <c r="DTQ108" s="530"/>
      <c r="DTR108" s="531"/>
      <c r="DTS108" s="530"/>
      <c r="DTT108" s="531"/>
      <c r="DTU108" s="530"/>
      <c r="DTV108" s="531"/>
      <c r="DTW108" s="530"/>
      <c r="DTX108" s="531"/>
      <c r="DTY108" s="530"/>
      <c r="DTZ108" s="531"/>
      <c r="DUA108" s="530"/>
      <c r="DUB108" s="531"/>
      <c r="DUC108" s="530"/>
      <c r="DUD108" s="531"/>
      <c r="DUE108" s="530"/>
      <c r="DUF108" s="531"/>
      <c r="DUG108" s="530"/>
      <c r="DUH108" s="531"/>
      <c r="DUI108" s="530"/>
      <c r="DUJ108" s="531"/>
      <c r="DUK108" s="530"/>
      <c r="DUL108" s="531"/>
      <c r="DUM108" s="530"/>
      <c r="DUN108" s="531"/>
      <c r="DUO108" s="530"/>
      <c r="DUP108" s="531"/>
      <c r="DUQ108" s="530"/>
      <c r="DUR108" s="531"/>
      <c r="DUS108" s="530"/>
      <c r="DUT108" s="531"/>
      <c r="DUU108" s="530"/>
      <c r="DUV108" s="531"/>
      <c r="DUW108" s="530"/>
      <c r="DUX108" s="531"/>
      <c r="DUY108" s="530"/>
      <c r="DUZ108" s="531"/>
      <c r="DVA108" s="530"/>
      <c r="DVB108" s="531"/>
      <c r="DVC108" s="530"/>
      <c r="DVD108" s="531"/>
      <c r="DVE108" s="530"/>
      <c r="DVF108" s="531"/>
      <c r="DVG108" s="530"/>
      <c r="DVH108" s="531"/>
      <c r="DVI108" s="530"/>
      <c r="DVJ108" s="531"/>
      <c r="DVK108" s="530"/>
      <c r="DVL108" s="531"/>
      <c r="DVM108" s="530"/>
      <c r="DVN108" s="531"/>
      <c r="DVO108" s="530"/>
      <c r="DVP108" s="531"/>
      <c r="DVQ108" s="530"/>
      <c r="DVR108" s="531"/>
      <c r="DVS108" s="530"/>
      <c r="DVT108" s="531"/>
      <c r="DVU108" s="530"/>
      <c r="DVV108" s="531"/>
      <c r="DVW108" s="530"/>
      <c r="DVX108" s="531"/>
      <c r="DVY108" s="530"/>
      <c r="DVZ108" s="531"/>
      <c r="DWA108" s="530"/>
      <c r="DWB108" s="531"/>
      <c r="DWC108" s="530"/>
      <c r="DWD108" s="531"/>
      <c r="DWE108" s="530"/>
      <c r="DWF108" s="531"/>
      <c r="DWG108" s="530"/>
      <c r="DWH108" s="531"/>
      <c r="DWI108" s="530"/>
      <c r="DWJ108" s="531"/>
      <c r="DWK108" s="530"/>
      <c r="DWL108" s="531"/>
      <c r="DWM108" s="530"/>
      <c r="DWN108" s="531"/>
      <c r="DWO108" s="530"/>
      <c r="DWP108" s="531"/>
      <c r="DWQ108" s="530"/>
      <c r="DWR108" s="531"/>
      <c r="DWS108" s="530"/>
      <c r="DWT108" s="531"/>
      <c r="DWU108" s="530"/>
      <c r="DWV108" s="531"/>
      <c r="DWW108" s="530"/>
      <c r="DWX108" s="531"/>
      <c r="DWY108" s="530"/>
      <c r="DWZ108" s="531"/>
      <c r="DXA108" s="530"/>
      <c r="DXB108" s="531"/>
      <c r="DXC108" s="530"/>
      <c r="DXD108" s="531"/>
      <c r="DXE108" s="530"/>
      <c r="DXF108" s="531"/>
      <c r="DXG108" s="530"/>
      <c r="DXH108" s="531"/>
      <c r="DXI108" s="530"/>
      <c r="DXJ108" s="531"/>
      <c r="DXK108" s="530"/>
      <c r="DXL108" s="531"/>
      <c r="DXM108" s="530"/>
      <c r="DXN108" s="531"/>
      <c r="DXO108" s="530"/>
      <c r="DXP108" s="531"/>
      <c r="DXQ108" s="530"/>
      <c r="DXR108" s="531"/>
      <c r="DXS108" s="530"/>
      <c r="DXT108" s="531"/>
      <c r="DXU108" s="530"/>
      <c r="DXV108" s="531"/>
      <c r="DXW108" s="530"/>
      <c r="DXX108" s="531"/>
      <c r="DXY108" s="530"/>
      <c r="DXZ108" s="531"/>
      <c r="DYA108" s="530"/>
      <c r="DYB108" s="531"/>
      <c r="DYC108" s="530"/>
      <c r="DYD108" s="531"/>
      <c r="DYE108" s="530"/>
      <c r="DYF108" s="531"/>
      <c r="DYG108" s="530"/>
      <c r="DYH108" s="531"/>
      <c r="DYI108" s="530"/>
      <c r="DYJ108" s="531"/>
      <c r="DYK108" s="530"/>
      <c r="DYL108" s="531"/>
      <c r="DYM108" s="530"/>
      <c r="DYN108" s="531"/>
      <c r="DYO108" s="530"/>
      <c r="DYP108" s="531"/>
      <c r="DYQ108" s="530"/>
      <c r="DYR108" s="531"/>
      <c r="DYS108" s="530"/>
      <c r="DYT108" s="531"/>
      <c r="DYU108" s="530"/>
      <c r="DYV108" s="531"/>
      <c r="DYW108" s="530"/>
      <c r="DYX108" s="531"/>
      <c r="DYY108" s="530"/>
      <c r="DYZ108" s="531"/>
      <c r="DZA108" s="530"/>
      <c r="DZB108" s="531"/>
      <c r="DZC108" s="530"/>
      <c r="DZD108" s="531"/>
      <c r="DZE108" s="530"/>
      <c r="DZF108" s="531"/>
      <c r="DZG108" s="530"/>
      <c r="DZH108" s="531"/>
      <c r="DZI108" s="530"/>
      <c r="DZJ108" s="531"/>
      <c r="DZK108" s="530"/>
      <c r="DZL108" s="531"/>
      <c r="DZM108" s="530"/>
      <c r="DZN108" s="531"/>
      <c r="DZO108" s="530"/>
      <c r="DZP108" s="531"/>
      <c r="DZQ108" s="530"/>
      <c r="DZR108" s="531"/>
      <c r="DZS108" s="530"/>
      <c r="DZT108" s="531"/>
      <c r="DZU108" s="530"/>
      <c r="DZV108" s="531"/>
      <c r="DZW108" s="530"/>
      <c r="DZX108" s="531"/>
      <c r="DZY108" s="530"/>
      <c r="DZZ108" s="531"/>
      <c r="EAA108" s="530"/>
      <c r="EAB108" s="531"/>
      <c r="EAC108" s="530"/>
      <c r="EAD108" s="531"/>
      <c r="EAE108" s="530"/>
      <c r="EAF108" s="531"/>
      <c r="EAG108" s="530"/>
      <c r="EAH108" s="531"/>
      <c r="EAI108" s="530"/>
      <c r="EAJ108" s="531"/>
      <c r="EAK108" s="530"/>
      <c r="EAL108" s="531"/>
      <c r="EAM108" s="530"/>
      <c r="EAN108" s="531"/>
      <c r="EAO108" s="530"/>
      <c r="EAP108" s="531"/>
      <c r="EAQ108" s="530"/>
      <c r="EAR108" s="531"/>
      <c r="EAS108" s="530"/>
      <c r="EAT108" s="531"/>
      <c r="EAU108" s="530"/>
      <c r="EAV108" s="531"/>
      <c r="EAW108" s="530"/>
      <c r="EAX108" s="531"/>
      <c r="EAY108" s="530"/>
      <c r="EAZ108" s="531"/>
      <c r="EBA108" s="530"/>
      <c r="EBB108" s="531"/>
      <c r="EBC108" s="530"/>
      <c r="EBD108" s="531"/>
      <c r="EBE108" s="530"/>
      <c r="EBF108" s="531"/>
      <c r="EBG108" s="530"/>
      <c r="EBH108" s="531"/>
      <c r="EBI108" s="530"/>
      <c r="EBJ108" s="531"/>
      <c r="EBK108" s="530"/>
      <c r="EBL108" s="531"/>
      <c r="EBM108" s="530"/>
      <c r="EBN108" s="531"/>
      <c r="EBO108" s="530"/>
      <c r="EBP108" s="531"/>
      <c r="EBQ108" s="530"/>
      <c r="EBR108" s="531"/>
      <c r="EBS108" s="530"/>
      <c r="EBT108" s="531"/>
      <c r="EBU108" s="530"/>
      <c r="EBV108" s="531"/>
      <c r="EBW108" s="530"/>
      <c r="EBX108" s="531"/>
      <c r="EBY108" s="530"/>
      <c r="EBZ108" s="531"/>
      <c r="ECA108" s="530"/>
      <c r="ECB108" s="531"/>
      <c r="ECC108" s="530"/>
      <c r="ECD108" s="531"/>
      <c r="ECE108" s="530"/>
      <c r="ECF108" s="531"/>
      <c r="ECG108" s="530"/>
      <c r="ECH108" s="531"/>
      <c r="ECI108" s="530"/>
      <c r="ECJ108" s="531"/>
      <c r="ECK108" s="530"/>
      <c r="ECL108" s="531"/>
      <c r="ECM108" s="530"/>
      <c r="ECN108" s="531"/>
      <c r="ECO108" s="530"/>
      <c r="ECP108" s="531"/>
      <c r="ECQ108" s="530"/>
      <c r="ECR108" s="531"/>
      <c r="ECS108" s="530"/>
      <c r="ECT108" s="531"/>
      <c r="ECU108" s="530"/>
      <c r="ECV108" s="531"/>
      <c r="ECW108" s="530"/>
      <c r="ECX108" s="531"/>
      <c r="ECY108" s="530"/>
      <c r="ECZ108" s="531"/>
      <c r="EDA108" s="530"/>
      <c r="EDB108" s="531"/>
      <c r="EDC108" s="530"/>
      <c r="EDD108" s="531"/>
      <c r="EDE108" s="530"/>
      <c r="EDF108" s="531"/>
      <c r="EDG108" s="530"/>
      <c r="EDH108" s="531"/>
      <c r="EDI108" s="530"/>
      <c r="EDJ108" s="531"/>
      <c r="EDK108" s="530"/>
      <c r="EDL108" s="531"/>
      <c r="EDM108" s="530"/>
      <c r="EDN108" s="531"/>
      <c r="EDO108" s="530"/>
      <c r="EDP108" s="531"/>
      <c r="EDQ108" s="530"/>
      <c r="EDR108" s="531"/>
      <c r="EDS108" s="530"/>
      <c r="EDT108" s="531"/>
      <c r="EDU108" s="530"/>
      <c r="EDV108" s="531"/>
      <c r="EDW108" s="530"/>
      <c r="EDX108" s="531"/>
      <c r="EDY108" s="530"/>
      <c r="EDZ108" s="531"/>
      <c r="EEA108" s="530"/>
      <c r="EEB108" s="531"/>
      <c r="EEC108" s="530"/>
      <c r="EED108" s="531"/>
      <c r="EEE108" s="530"/>
      <c r="EEF108" s="531"/>
      <c r="EEG108" s="530"/>
      <c r="EEH108" s="531"/>
      <c r="EEI108" s="530"/>
      <c r="EEJ108" s="531"/>
      <c r="EEK108" s="530"/>
      <c r="EEL108" s="531"/>
      <c r="EEM108" s="530"/>
      <c r="EEN108" s="531"/>
      <c r="EEO108" s="530"/>
      <c r="EEP108" s="531"/>
      <c r="EEQ108" s="530"/>
      <c r="EER108" s="531"/>
      <c r="EES108" s="530"/>
      <c r="EET108" s="531"/>
      <c r="EEU108" s="530"/>
      <c r="EEV108" s="531"/>
      <c r="EEW108" s="530"/>
      <c r="EEX108" s="531"/>
      <c r="EEY108" s="530"/>
      <c r="EEZ108" s="531"/>
      <c r="EFA108" s="530"/>
      <c r="EFB108" s="531"/>
      <c r="EFC108" s="530"/>
      <c r="EFD108" s="531"/>
      <c r="EFE108" s="530"/>
      <c r="EFF108" s="531"/>
      <c r="EFG108" s="530"/>
      <c r="EFH108" s="531"/>
      <c r="EFI108" s="530"/>
      <c r="EFJ108" s="531"/>
      <c r="EFK108" s="530"/>
      <c r="EFL108" s="531"/>
      <c r="EFM108" s="530"/>
      <c r="EFN108" s="531"/>
      <c r="EFO108" s="530"/>
      <c r="EFP108" s="531"/>
      <c r="EFQ108" s="530"/>
      <c r="EFR108" s="531"/>
      <c r="EFS108" s="530"/>
      <c r="EFT108" s="531"/>
      <c r="EFU108" s="530"/>
      <c r="EFV108" s="531"/>
      <c r="EFW108" s="530"/>
      <c r="EFX108" s="531"/>
      <c r="EFY108" s="530"/>
      <c r="EFZ108" s="531"/>
      <c r="EGA108" s="530"/>
      <c r="EGB108" s="531"/>
      <c r="EGC108" s="530"/>
      <c r="EGD108" s="531"/>
      <c r="EGE108" s="530"/>
      <c r="EGF108" s="531"/>
      <c r="EGG108" s="530"/>
      <c r="EGH108" s="531"/>
      <c r="EGI108" s="530"/>
      <c r="EGJ108" s="531"/>
      <c r="EGK108" s="530"/>
      <c r="EGL108" s="531"/>
      <c r="EGM108" s="530"/>
      <c r="EGN108" s="531"/>
      <c r="EGO108" s="530"/>
      <c r="EGP108" s="531"/>
      <c r="EGQ108" s="530"/>
      <c r="EGR108" s="531"/>
      <c r="EGS108" s="530"/>
      <c r="EGT108" s="531"/>
      <c r="EGU108" s="530"/>
      <c r="EGV108" s="531"/>
      <c r="EGW108" s="530"/>
      <c r="EGX108" s="531"/>
      <c r="EGY108" s="530"/>
      <c r="EGZ108" s="531"/>
      <c r="EHA108" s="530"/>
      <c r="EHB108" s="531"/>
      <c r="EHC108" s="530"/>
      <c r="EHD108" s="531"/>
      <c r="EHE108" s="530"/>
      <c r="EHF108" s="531"/>
      <c r="EHG108" s="530"/>
      <c r="EHH108" s="531"/>
      <c r="EHI108" s="530"/>
      <c r="EHJ108" s="531"/>
      <c r="EHK108" s="530"/>
      <c r="EHL108" s="531"/>
      <c r="EHM108" s="530"/>
      <c r="EHN108" s="531"/>
      <c r="EHO108" s="530"/>
      <c r="EHP108" s="531"/>
      <c r="EHQ108" s="530"/>
      <c r="EHR108" s="531"/>
      <c r="EHS108" s="530"/>
      <c r="EHT108" s="531"/>
      <c r="EHU108" s="530"/>
      <c r="EHV108" s="531"/>
      <c r="EHW108" s="530"/>
      <c r="EHX108" s="531"/>
      <c r="EHY108" s="530"/>
      <c r="EHZ108" s="531"/>
      <c r="EIA108" s="530"/>
      <c r="EIB108" s="531"/>
      <c r="EIC108" s="530"/>
      <c r="EID108" s="531"/>
      <c r="EIE108" s="530"/>
      <c r="EIF108" s="531"/>
      <c r="EIG108" s="530"/>
      <c r="EIH108" s="531"/>
      <c r="EII108" s="530"/>
      <c r="EIJ108" s="531"/>
      <c r="EIK108" s="530"/>
      <c r="EIL108" s="531"/>
      <c r="EIM108" s="530"/>
      <c r="EIN108" s="531"/>
      <c r="EIO108" s="530"/>
      <c r="EIP108" s="531"/>
      <c r="EIQ108" s="530"/>
      <c r="EIR108" s="531"/>
      <c r="EIS108" s="530"/>
      <c r="EIT108" s="531"/>
      <c r="EIU108" s="530"/>
      <c r="EIV108" s="531"/>
      <c r="EIW108" s="530"/>
      <c r="EIX108" s="531"/>
      <c r="EIY108" s="530"/>
      <c r="EIZ108" s="531"/>
      <c r="EJA108" s="530"/>
      <c r="EJB108" s="531"/>
      <c r="EJC108" s="530"/>
      <c r="EJD108" s="531"/>
      <c r="EJE108" s="530"/>
      <c r="EJF108" s="531"/>
      <c r="EJG108" s="530"/>
      <c r="EJH108" s="531"/>
      <c r="EJI108" s="530"/>
      <c r="EJJ108" s="531"/>
      <c r="EJK108" s="530"/>
      <c r="EJL108" s="531"/>
      <c r="EJM108" s="530"/>
      <c r="EJN108" s="531"/>
      <c r="EJO108" s="530"/>
      <c r="EJP108" s="531"/>
      <c r="EJQ108" s="530"/>
      <c r="EJR108" s="531"/>
      <c r="EJS108" s="530"/>
      <c r="EJT108" s="531"/>
      <c r="EJU108" s="530"/>
      <c r="EJV108" s="531"/>
      <c r="EJW108" s="530"/>
      <c r="EJX108" s="531"/>
      <c r="EJY108" s="530"/>
      <c r="EJZ108" s="531"/>
      <c r="EKA108" s="530"/>
      <c r="EKB108" s="531"/>
      <c r="EKC108" s="530"/>
      <c r="EKD108" s="531"/>
      <c r="EKE108" s="530"/>
      <c r="EKF108" s="531"/>
      <c r="EKG108" s="530"/>
      <c r="EKH108" s="531"/>
      <c r="EKI108" s="530"/>
      <c r="EKJ108" s="531"/>
      <c r="EKK108" s="530"/>
      <c r="EKL108" s="531"/>
      <c r="EKM108" s="530"/>
      <c r="EKN108" s="531"/>
      <c r="EKO108" s="530"/>
      <c r="EKP108" s="531"/>
      <c r="EKQ108" s="530"/>
      <c r="EKR108" s="531"/>
      <c r="EKS108" s="530"/>
      <c r="EKT108" s="531"/>
      <c r="EKU108" s="530"/>
      <c r="EKV108" s="531"/>
      <c r="EKW108" s="530"/>
      <c r="EKX108" s="531"/>
      <c r="EKY108" s="530"/>
      <c r="EKZ108" s="531"/>
      <c r="ELA108" s="530"/>
      <c r="ELB108" s="531"/>
      <c r="ELC108" s="530"/>
      <c r="ELD108" s="531"/>
      <c r="ELE108" s="530"/>
      <c r="ELF108" s="531"/>
      <c r="ELG108" s="530"/>
      <c r="ELH108" s="531"/>
      <c r="ELI108" s="530"/>
      <c r="ELJ108" s="531"/>
      <c r="ELK108" s="530"/>
      <c r="ELL108" s="531"/>
      <c r="ELM108" s="530"/>
      <c r="ELN108" s="531"/>
      <c r="ELO108" s="530"/>
      <c r="ELP108" s="531"/>
      <c r="ELQ108" s="530"/>
      <c r="ELR108" s="531"/>
      <c r="ELS108" s="530"/>
      <c r="ELT108" s="531"/>
      <c r="ELU108" s="530"/>
      <c r="ELV108" s="531"/>
      <c r="ELW108" s="530"/>
      <c r="ELX108" s="531"/>
      <c r="ELY108" s="530"/>
      <c r="ELZ108" s="531"/>
      <c r="EMA108" s="530"/>
      <c r="EMB108" s="531"/>
      <c r="EMC108" s="530"/>
      <c r="EMD108" s="531"/>
      <c r="EME108" s="530"/>
      <c r="EMF108" s="531"/>
      <c r="EMG108" s="530"/>
      <c r="EMH108" s="531"/>
      <c r="EMI108" s="530"/>
      <c r="EMJ108" s="531"/>
      <c r="EMK108" s="530"/>
      <c r="EML108" s="531"/>
      <c r="EMM108" s="530"/>
      <c r="EMN108" s="531"/>
      <c r="EMO108" s="530"/>
      <c r="EMP108" s="531"/>
      <c r="EMQ108" s="530"/>
      <c r="EMR108" s="531"/>
      <c r="EMS108" s="530"/>
      <c r="EMT108" s="531"/>
      <c r="EMU108" s="530"/>
      <c r="EMV108" s="531"/>
      <c r="EMW108" s="530"/>
      <c r="EMX108" s="531"/>
      <c r="EMY108" s="530"/>
      <c r="EMZ108" s="531"/>
      <c r="ENA108" s="530"/>
      <c r="ENB108" s="531"/>
      <c r="ENC108" s="530"/>
      <c r="END108" s="531"/>
      <c r="ENE108" s="530"/>
      <c r="ENF108" s="531"/>
      <c r="ENG108" s="530"/>
      <c r="ENH108" s="531"/>
      <c r="ENI108" s="530"/>
      <c r="ENJ108" s="531"/>
      <c r="ENK108" s="530"/>
      <c r="ENL108" s="531"/>
      <c r="ENM108" s="530"/>
      <c r="ENN108" s="531"/>
      <c r="ENO108" s="530"/>
      <c r="ENP108" s="531"/>
      <c r="ENQ108" s="530"/>
      <c r="ENR108" s="531"/>
      <c r="ENS108" s="530"/>
      <c r="ENT108" s="531"/>
      <c r="ENU108" s="530"/>
      <c r="ENV108" s="531"/>
      <c r="ENW108" s="530"/>
      <c r="ENX108" s="531"/>
      <c r="ENY108" s="530"/>
      <c r="ENZ108" s="531"/>
      <c r="EOA108" s="530"/>
      <c r="EOB108" s="531"/>
      <c r="EOC108" s="530"/>
      <c r="EOD108" s="531"/>
      <c r="EOE108" s="530"/>
      <c r="EOF108" s="531"/>
      <c r="EOG108" s="530"/>
      <c r="EOH108" s="531"/>
      <c r="EOI108" s="530"/>
      <c r="EOJ108" s="531"/>
      <c r="EOK108" s="530"/>
      <c r="EOL108" s="531"/>
      <c r="EOM108" s="530"/>
      <c r="EON108" s="531"/>
      <c r="EOO108" s="530"/>
      <c r="EOP108" s="531"/>
      <c r="EOQ108" s="530"/>
      <c r="EOR108" s="531"/>
      <c r="EOS108" s="530"/>
      <c r="EOT108" s="531"/>
      <c r="EOU108" s="530"/>
      <c r="EOV108" s="531"/>
      <c r="EOW108" s="530"/>
      <c r="EOX108" s="531"/>
      <c r="EOY108" s="530"/>
      <c r="EOZ108" s="531"/>
      <c r="EPA108" s="530"/>
      <c r="EPB108" s="531"/>
      <c r="EPC108" s="530"/>
      <c r="EPD108" s="531"/>
      <c r="EPE108" s="530"/>
      <c r="EPF108" s="531"/>
      <c r="EPG108" s="530"/>
      <c r="EPH108" s="531"/>
      <c r="EPI108" s="530"/>
      <c r="EPJ108" s="531"/>
      <c r="EPK108" s="530"/>
      <c r="EPL108" s="531"/>
      <c r="EPM108" s="530"/>
      <c r="EPN108" s="531"/>
      <c r="EPO108" s="530"/>
      <c r="EPP108" s="531"/>
      <c r="EPQ108" s="530"/>
      <c r="EPR108" s="531"/>
      <c r="EPS108" s="530"/>
      <c r="EPT108" s="531"/>
      <c r="EPU108" s="530"/>
      <c r="EPV108" s="531"/>
      <c r="EPW108" s="530"/>
      <c r="EPX108" s="531"/>
      <c r="EPY108" s="530"/>
      <c r="EPZ108" s="531"/>
      <c r="EQA108" s="530"/>
      <c r="EQB108" s="531"/>
      <c r="EQC108" s="530"/>
      <c r="EQD108" s="531"/>
      <c r="EQE108" s="530"/>
      <c r="EQF108" s="531"/>
      <c r="EQG108" s="530"/>
      <c r="EQH108" s="531"/>
      <c r="EQI108" s="530"/>
      <c r="EQJ108" s="531"/>
      <c r="EQK108" s="530"/>
      <c r="EQL108" s="531"/>
      <c r="EQM108" s="530"/>
      <c r="EQN108" s="531"/>
      <c r="EQO108" s="530"/>
      <c r="EQP108" s="531"/>
      <c r="EQQ108" s="530"/>
      <c r="EQR108" s="531"/>
      <c r="EQS108" s="530"/>
      <c r="EQT108" s="531"/>
      <c r="EQU108" s="530"/>
      <c r="EQV108" s="531"/>
      <c r="EQW108" s="530"/>
      <c r="EQX108" s="531"/>
      <c r="EQY108" s="530"/>
      <c r="EQZ108" s="531"/>
      <c r="ERA108" s="530"/>
      <c r="ERB108" s="531"/>
      <c r="ERC108" s="530"/>
      <c r="ERD108" s="531"/>
      <c r="ERE108" s="530"/>
      <c r="ERF108" s="531"/>
      <c r="ERG108" s="530"/>
      <c r="ERH108" s="531"/>
      <c r="ERI108" s="530"/>
      <c r="ERJ108" s="531"/>
      <c r="ERK108" s="530"/>
      <c r="ERL108" s="531"/>
      <c r="ERM108" s="530"/>
      <c r="ERN108" s="531"/>
      <c r="ERO108" s="530"/>
      <c r="ERP108" s="531"/>
      <c r="ERQ108" s="530"/>
      <c r="ERR108" s="531"/>
      <c r="ERS108" s="530"/>
      <c r="ERT108" s="531"/>
      <c r="ERU108" s="530"/>
      <c r="ERV108" s="531"/>
      <c r="ERW108" s="530"/>
      <c r="ERX108" s="531"/>
      <c r="ERY108" s="530"/>
      <c r="ERZ108" s="531"/>
      <c r="ESA108" s="530"/>
      <c r="ESB108" s="531"/>
      <c r="ESC108" s="530"/>
      <c r="ESD108" s="531"/>
      <c r="ESE108" s="530"/>
      <c r="ESF108" s="531"/>
      <c r="ESG108" s="530"/>
      <c r="ESH108" s="531"/>
      <c r="ESI108" s="530"/>
      <c r="ESJ108" s="531"/>
      <c r="ESK108" s="530"/>
      <c r="ESL108" s="531"/>
      <c r="ESM108" s="530"/>
      <c r="ESN108" s="531"/>
      <c r="ESO108" s="530"/>
      <c r="ESP108" s="531"/>
      <c r="ESQ108" s="530"/>
      <c r="ESR108" s="531"/>
      <c r="ESS108" s="530"/>
      <c r="EST108" s="531"/>
      <c r="ESU108" s="530"/>
      <c r="ESV108" s="531"/>
      <c r="ESW108" s="530"/>
      <c r="ESX108" s="531"/>
      <c r="ESY108" s="530"/>
      <c r="ESZ108" s="531"/>
      <c r="ETA108" s="530"/>
      <c r="ETB108" s="531"/>
      <c r="ETC108" s="530"/>
      <c r="ETD108" s="531"/>
      <c r="ETE108" s="530"/>
      <c r="ETF108" s="531"/>
      <c r="ETG108" s="530"/>
      <c r="ETH108" s="531"/>
      <c r="ETI108" s="530"/>
      <c r="ETJ108" s="531"/>
      <c r="ETK108" s="530"/>
      <c r="ETL108" s="531"/>
      <c r="ETM108" s="530"/>
      <c r="ETN108" s="531"/>
      <c r="ETO108" s="530"/>
      <c r="ETP108" s="531"/>
      <c r="ETQ108" s="530"/>
      <c r="ETR108" s="531"/>
      <c r="ETS108" s="530"/>
      <c r="ETT108" s="531"/>
      <c r="ETU108" s="530"/>
      <c r="ETV108" s="531"/>
      <c r="ETW108" s="530"/>
      <c r="ETX108" s="531"/>
      <c r="ETY108" s="530"/>
      <c r="ETZ108" s="531"/>
      <c r="EUA108" s="530"/>
      <c r="EUB108" s="531"/>
      <c r="EUC108" s="530"/>
      <c r="EUD108" s="531"/>
      <c r="EUE108" s="530"/>
      <c r="EUF108" s="531"/>
      <c r="EUG108" s="530"/>
      <c r="EUH108" s="531"/>
      <c r="EUI108" s="530"/>
      <c r="EUJ108" s="531"/>
      <c r="EUK108" s="530"/>
      <c r="EUL108" s="531"/>
      <c r="EUM108" s="530"/>
      <c r="EUN108" s="531"/>
      <c r="EUO108" s="530"/>
      <c r="EUP108" s="531"/>
      <c r="EUQ108" s="530"/>
      <c r="EUR108" s="531"/>
      <c r="EUS108" s="530"/>
      <c r="EUT108" s="531"/>
      <c r="EUU108" s="530"/>
      <c r="EUV108" s="531"/>
      <c r="EUW108" s="530"/>
      <c r="EUX108" s="531"/>
      <c r="EUY108" s="530"/>
      <c r="EUZ108" s="531"/>
      <c r="EVA108" s="530"/>
      <c r="EVB108" s="531"/>
      <c r="EVC108" s="530"/>
      <c r="EVD108" s="531"/>
      <c r="EVE108" s="530"/>
      <c r="EVF108" s="531"/>
      <c r="EVG108" s="530"/>
      <c r="EVH108" s="531"/>
      <c r="EVI108" s="530"/>
      <c r="EVJ108" s="531"/>
      <c r="EVK108" s="530"/>
      <c r="EVL108" s="531"/>
      <c r="EVM108" s="530"/>
      <c r="EVN108" s="531"/>
      <c r="EVO108" s="530"/>
      <c r="EVP108" s="531"/>
      <c r="EVQ108" s="530"/>
      <c r="EVR108" s="531"/>
      <c r="EVS108" s="530"/>
      <c r="EVT108" s="531"/>
      <c r="EVU108" s="530"/>
      <c r="EVV108" s="531"/>
      <c r="EVW108" s="530"/>
      <c r="EVX108" s="531"/>
      <c r="EVY108" s="530"/>
      <c r="EVZ108" s="531"/>
      <c r="EWA108" s="530"/>
      <c r="EWB108" s="531"/>
      <c r="EWC108" s="530"/>
      <c r="EWD108" s="531"/>
      <c r="EWE108" s="530"/>
      <c r="EWF108" s="531"/>
      <c r="EWG108" s="530"/>
      <c r="EWH108" s="531"/>
      <c r="EWI108" s="530"/>
      <c r="EWJ108" s="531"/>
      <c r="EWK108" s="530"/>
      <c r="EWL108" s="531"/>
      <c r="EWM108" s="530"/>
      <c r="EWN108" s="531"/>
      <c r="EWO108" s="530"/>
      <c r="EWP108" s="531"/>
      <c r="EWQ108" s="530"/>
      <c r="EWR108" s="531"/>
      <c r="EWS108" s="530"/>
      <c r="EWT108" s="531"/>
      <c r="EWU108" s="530"/>
      <c r="EWV108" s="531"/>
      <c r="EWW108" s="530"/>
      <c r="EWX108" s="531"/>
      <c r="EWY108" s="530"/>
      <c r="EWZ108" s="531"/>
      <c r="EXA108" s="530"/>
      <c r="EXB108" s="531"/>
      <c r="EXC108" s="530"/>
      <c r="EXD108" s="531"/>
      <c r="EXE108" s="530"/>
      <c r="EXF108" s="531"/>
      <c r="EXG108" s="530"/>
      <c r="EXH108" s="531"/>
      <c r="EXI108" s="530"/>
      <c r="EXJ108" s="531"/>
      <c r="EXK108" s="530"/>
      <c r="EXL108" s="531"/>
      <c r="EXM108" s="530"/>
      <c r="EXN108" s="531"/>
      <c r="EXO108" s="530"/>
      <c r="EXP108" s="531"/>
      <c r="EXQ108" s="530"/>
      <c r="EXR108" s="531"/>
      <c r="EXS108" s="530"/>
      <c r="EXT108" s="531"/>
      <c r="EXU108" s="530"/>
      <c r="EXV108" s="531"/>
      <c r="EXW108" s="530"/>
      <c r="EXX108" s="531"/>
      <c r="EXY108" s="530"/>
      <c r="EXZ108" s="531"/>
      <c r="EYA108" s="530"/>
      <c r="EYB108" s="531"/>
      <c r="EYC108" s="530"/>
      <c r="EYD108" s="531"/>
      <c r="EYE108" s="530"/>
      <c r="EYF108" s="531"/>
      <c r="EYG108" s="530"/>
      <c r="EYH108" s="531"/>
      <c r="EYI108" s="530"/>
      <c r="EYJ108" s="531"/>
      <c r="EYK108" s="530"/>
      <c r="EYL108" s="531"/>
      <c r="EYM108" s="530"/>
      <c r="EYN108" s="531"/>
      <c r="EYO108" s="530"/>
      <c r="EYP108" s="531"/>
      <c r="EYQ108" s="530"/>
      <c r="EYR108" s="531"/>
      <c r="EYS108" s="530"/>
      <c r="EYT108" s="531"/>
      <c r="EYU108" s="530"/>
      <c r="EYV108" s="531"/>
      <c r="EYW108" s="530"/>
      <c r="EYX108" s="531"/>
      <c r="EYY108" s="530"/>
      <c r="EYZ108" s="531"/>
      <c r="EZA108" s="530"/>
      <c r="EZB108" s="531"/>
      <c r="EZC108" s="530"/>
      <c r="EZD108" s="531"/>
      <c r="EZE108" s="530"/>
      <c r="EZF108" s="531"/>
      <c r="EZG108" s="530"/>
      <c r="EZH108" s="531"/>
      <c r="EZI108" s="530"/>
      <c r="EZJ108" s="531"/>
      <c r="EZK108" s="530"/>
      <c r="EZL108" s="531"/>
      <c r="EZM108" s="530"/>
      <c r="EZN108" s="531"/>
      <c r="EZO108" s="530"/>
      <c r="EZP108" s="531"/>
      <c r="EZQ108" s="530"/>
      <c r="EZR108" s="531"/>
      <c r="EZS108" s="530"/>
      <c r="EZT108" s="531"/>
      <c r="EZU108" s="530"/>
      <c r="EZV108" s="531"/>
      <c r="EZW108" s="530"/>
      <c r="EZX108" s="531"/>
      <c r="EZY108" s="530"/>
      <c r="EZZ108" s="531"/>
      <c r="FAA108" s="530"/>
      <c r="FAB108" s="531"/>
      <c r="FAC108" s="530"/>
      <c r="FAD108" s="531"/>
      <c r="FAE108" s="530"/>
      <c r="FAF108" s="531"/>
      <c r="FAG108" s="530"/>
      <c r="FAH108" s="531"/>
      <c r="FAI108" s="530"/>
      <c r="FAJ108" s="531"/>
      <c r="FAK108" s="530"/>
      <c r="FAL108" s="531"/>
      <c r="FAM108" s="530"/>
      <c r="FAN108" s="531"/>
      <c r="FAO108" s="530"/>
      <c r="FAP108" s="531"/>
      <c r="FAQ108" s="530"/>
      <c r="FAR108" s="531"/>
      <c r="FAS108" s="530"/>
      <c r="FAT108" s="531"/>
      <c r="FAU108" s="530"/>
      <c r="FAV108" s="531"/>
      <c r="FAW108" s="530"/>
      <c r="FAX108" s="531"/>
      <c r="FAY108" s="530"/>
      <c r="FAZ108" s="531"/>
      <c r="FBA108" s="530"/>
      <c r="FBB108" s="531"/>
      <c r="FBC108" s="530"/>
      <c r="FBD108" s="531"/>
      <c r="FBE108" s="530"/>
      <c r="FBF108" s="531"/>
      <c r="FBG108" s="530"/>
      <c r="FBH108" s="531"/>
      <c r="FBI108" s="530"/>
      <c r="FBJ108" s="531"/>
      <c r="FBK108" s="530"/>
      <c r="FBL108" s="531"/>
      <c r="FBM108" s="530"/>
      <c r="FBN108" s="531"/>
      <c r="FBO108" s="530"/>
      <c r="FBP108" s="531"/>
      <c r="FBQ108" s="530"/>
      <c r="FBR108" s="531"/>
      <c r="FBS108" s="530"/>
      <c r="FBT108" s="531"/>
      <c r="FBU108" s="530"/>
      <c r="FBV108" s="531"/>
      <c r="FBW108" s="530"/>
      <c r="FBX108" s="531"/>
      <c r="FBY108" s="530"/>
      <c r="FBZ108" s="531"/>
      <c r="FCA108" s="530"/>
      <c r="FCB108" s="531"/>
      <c r="FCC108" s="530"/>
      <c r="FCD108" s="531"/>
      <c r="FCE108" s="530"/>
      <c r="FCF108" s="531"/>
      <c r="FCG108" s="530"/>
      <c r="FCH108" s="531"/>
      <c r="FCI108" s="530"/>
      <c r="FCJ108" s="531"/>
      <c r="FCK108" s="530"/>
      <c r="FCL108" s="531"/>
      <c r="FCM108" s="530"/>
      <c r="FCN108" s="531"/>
      <c r="FCO108" s="530"/>
      <c r="FCP108" s="531"/>
      <c r="FCQ108" s="530"/>
      <c r="FCR108" s="531"/>
      <c r="FCS108" s="530"/>
      <c r="FCT108" s="531"/>
      <c r="FCU108" s="530"/>
      <c r="FCV108" s="531"/>
      <c r="FCW108" s="530"/>
      <c r="FCX108" s="531"/>
      <c r="FCY108" s="530"/>
      <c r="FCZ108" s="531"/>
      <c r="FDA108" s="530"/>
      <c r="FDB108" s="531"/>
      <c r="FDC108" s="530"/>
      <c r="FDD108" s="531"/>
      <c r="FDE108" s="530"/>
      <c r="FDF108" s="531"/>
      <c r="FDG108" s="530"/>
      <c r="FDH108" s="531"/>
      <c r="FDI108" s="530"/>
      <c r="FDJ108" s="531"/>
      <c r="FDK108" s="530"/>
      <c r="FDL108" s="531"/>
      <c r="FDM108" s="530"/>
      <c r="FDN108" s="531"/>
      <c r="FDO108" s="530"/>
      <c r="FDP108" s="531"/>
      <c r="FDQ108" s="530"/>
      <c r="FDR108" s="531"/>
      <c r="FDS108" s="530"/>
      <c r="FDT108" s="531"/>
      <c r="FDU108" s="530"/>
      <c r="FDV108" s="531"/>
      <c r="FDW108" s="530"/>
      <c r="FDX108" s="531"/>
      <c r="FDY108" s="530"/>
      <c r="FDZ108" s="531"/>
      <c r="FEA108" s="530"/>
      <c r="FEB108" s="531"/>
      <c r="FEC108" s="530"/>
      <c r="FED108" s="531"/>
      <c r="FEE108" s="530"/>
      <c r="FEF108" s="531"/>
      <c r="FEG108" s="530"/>
      <c r="FEH108" s="531"/>
      <c r="FEI108" s="530"/>
      <c r="FEJ108" s="531"/>
      <c r="FEK108" s="530"/>
      <c r="FEL108" s="531"/>
      <c r="FEM108" s="530"/>
      <c r="FEN108" s="531"/>
      <c r="FEO108" s="530"/>
      <c r="FEP108" s="531"/>
      <c r="FEQ108" s="530"/>
      <c r="FER108" s="531"/>
      <c r="FES108" s="530"/>
      <c r="FET108" s="531"/>
      <c r="FEU108" s="530"/>
      <c r="FEV108" s="531"/>
      <c r="FEW108" s="530"/>
      <c r="FEX108" s="531"/>
      <c r="FEY108" s="530"/>
      <c r="FEZ108" s="531"/>
      <c r="FFA108" s="530"/>
      <c r="FFB108" s="531"/>
      <c r="FFC108" s="530"/>
      <c r="FFD108" s="531"/>
      <c r="FFE108" s="530"/>
      <c r="FFF108" s="531"/>
      <c r="FFG108" s="530"/>
      <c r="FFH108" s="531"/>
      <c r="FFI108" s="530"/>
      <c r="FFJ108" s="531"/>
      <c r="FFK108" s="530"/>
      <c r="FFL108" s="531"/>
      <c r="FFM108" s="530"/>
      <c r="FFN108" s="531"/>
      <c r="FFO108" s="530"/>
      <c r="FFP108" s="531"/>
      <c r="FFQ108" s="530"/>
      <c r="FFR108" s="531"/>
      <c r="FFS108" s="530"/>
      <c r="FFT108" s="531"/>
      <c r="FFU108" s="530"/>
      <c r="FFV108" s="531"/>
      <c r="FFW108" s="530"/>
      <c r="FFX108" s="531"/>
      <c r="FFY108" s="530"/>
      <c r="FFZ108" s="531"/>
      <c r="FGA108" s="530"/>
      <c r="FGB108" s="531"/>
      <c r="FGC108" s="530"/>
      <c r="FGD108" s="531"/>
      <c r="FGE108" s="530"/>
      <c r="FGF108" s="531"/>
      <c r="FGG108" s="530"/>
      <c r="FGH108" s="531"/>
      <c r="FGI108" s="530"/>
      <c r="FGJ108" s="531"/>
      <c r="FGK108" s="530"/>
      <c r="FGL108" s="531"/>
      <c r="FGM108" s="530"/>
      <c r="FGN108" s="531"/>
      <c r="FGO108" s="530"/>
      <c r="FGP108" s="531"/>
      <c r="FGQ108" s="530"/>
      <c r="FGR108" s="531"/>
      <c r="FGS108" s="530"/>
      <c r="FGT108" s="531"/>
      <c r="FGU108" s="530"/>
      <c r="FGV108" s="531"/>
      <c r="FGW108" s="530"/>
      <c r="FGX108" s="531"/>
      <c r="FGY108" s="530"/>
      <c r="FGZ108" s="531"/>
      <c r="FHA108" s="530"/>
      <c r="FHB108" s="531"/>
      <c r="FHC108" s="530"/>
      <c r="FHD108" s="531"/>
      <c r="FHE108" s="530"/>
      <c r="FHF108" s="531"/>
      <c r="FHG108" s="530"/>
      <c r="FHH108" s="531"/>
      <c r="FHI108" s="530"/>
      <c r="FHJ108" s="531"/>
      <c r="FHK108" s="530"/>
      <c r="FHL108" s="531"/>
      <c r="FHM108" s="530"/>
      <c r="FHN108" s="531"/>
      <c r="FHO108" s="530"/>
      <c r="FHP108" s="531"/>
      <c r="FHQ108" s="530"/>
      <c r="FHR108" s="531"/>
      <c r="FHS108" s="530"/>
      <c r="FHT108" s="531"/>
      <c r="FHU108" s="530"/>
      <c r="FHV108" s="531"/>
      <c r="FHW108" s="530"/>
      <c r="FHX108" s="531"/>
      <c r="FHY108" s="530"/>
      <c r="FHZ108" s="531"/>
      <c r="FIA108" s="530"/>
      <c r="FIB108" s="531"/>
      <c r="FIC108" s="530"/>
      <c r="FID108" s="531"/>
      <c r="FIE108" s="530"/>
      <c r="FIF108" s="531"/>
      <c r="FIG108" s="530"/>
      <c r="FIH108" s="531"/>
      <c r="FII108" s="530"/>
      <c r="FIJ108" s="531"/>
      <c r="FIK108" s="530"/>
      <c r="FIL108" s="531"/>
      <c r="FIM108" s="530"/>
      <c r="FIN108" s="531"/>
      <c r="FIO108" s="530"/>
      <c r="FIP108" s="531"/>
      <c r="FIQ108" s="530"/>
      <c r="FIR108" s="531"/>
      <c r="FIS108" s="530"/>
      <c r="FIT108" s="531"/>
      <c r="FIU108" s="530"/>
      <c r="FIV108" s="531"/>
      <c r="FIW108" s="530"/>
      <c r="FIX108" s="531"/>
      <c r="FIY108" s="530"/>
      <c r="FIZ108" s="531"/>
      <c r="FJA108" s="530"/>
      <c r="FJB108" s="531"/>
      <c r="FJC108" s="530"/>
      <c r="FJD108" s="531"/>
      <c r="FJE108" s="530"/>
      <c r="FJF108" s="531"/>
      <c r="FJG108" s="530"/>
      <c r="FJH108" s="531"/>
      <c r="FJI108" s="530"/>
      <c r="FJJ108" s="531"/>
      <c r="FJK108" s="530"/>
      <c r="FJL108" s="531"/>
      <c r="FJM108" s="530"/>
      <c r="FJN108" s="531"/>
      <c r="FJO108" s="530"/>
      <c r="FJP108" s="531"/>
      <c r="FJQ108" s="530"/>
      <c r="FJR108" s="531"/>
      <c r="FJS108" s="530"/>
      <c r="FJT108" s="531"/>
      <c r="FJU108" s="530"/>
      <c r="FJV108" s="531"/>
      <c r="FJW108" s="530"/>
      <c r="FJX108" s="531"/>
      <c r="FJY108" s="530"/>
      <c r="FJZ108" s="531"/>
      <c r="FKA108" s="530"/>
      <c r="FKB108" s="531"/>
      <c r="FKC108" s="530"/>
      <c r="FKD108" s="531"/>
      <c r="FKE108" s="530"/>
      <c r="FKF108" s="531"/>
      <c r="FKG108" s="530"/>
      <c r="FKH108" s="531"/>
      <c r="FKI108" s="530"/>
      <c r="FKJ108" s="531"/>
      <c r="FKK108" s="530"/>
      <c r="FKL108" s="531"/>
      <c r="FKM108" s="530"/>
      <c r="FKN108" s="531"/>
      <c r="FKO108" s="530"/>
      <c r="FKP108" s="531"/>
      <c r="FKQ108" s="530"/>
      <c r="FKR108" s="531"/>
      <c r="FKS108" s="530"/>
      <c r="FKT108" s="531"/>
      <c r="FKU108" s="530"/>
      <c r="FKV108" s="531"/>
      <c r="FKW108" s="530"/>
      <c r="FKX108" s="531"/>
      <c r="FKY108" s="530"/>
      <c r="FKZ108" s="531"/>
      <c r="FLA108" s="530"/>
      <c r="FLB108" s="531"/>
      <c r="FLC108" s="530"/>
      <c r="FLD108" s="531"/>
      <c r="FLE108" s="530"/>
      <c r="FLF108" s="531"/>
      <c r="FLG108" s="530"/>
      <c r="FLH108" s="531"/>
      <c r="FLI108" s="530"/>
      <c r="FLJ108" s="531"/>
      <c r="FLK108" s="530"/>
      <c r="FLL108" s="531"/>
      <c r="FLM108" s="530"/>
      <c r="FLN108" s="531"/>
      <c r="FLO108" s="530"/>
      <c r="FLP108" s="531"/>
      <c r="FLQ108" s="530"/>
      <c r="FLR108" s="531"/>
      <c r="FLS108" s="530"/>
      <c r="FLT108" s="531"/>
      <c r="FLU108" s="530"/>
      <c r="FLV108" s="531"/>
      <c r="FLW108" s="530"/>
      <c r="FLX108" s="531"/>
      <c r="FLY108" s="530"/>
      <c r="FLZ108" s="531"/>
      <c r="FMA108" s="530"/>
      <c r="FMB108" s="531"/>
      <c r="FMC108" s="530"/>
      <c r="FMD108" s="531"/>
      <c r="FME108" s="530"/>
      <c r="FMF108" s="531"/>
      <c r="FMG108" s="530"/>
      <c r="FMH108" s="531"/>
      <c r="FMI108" s="530"/>
      <c r="FMJ108" s="531"/>
      <c r="FMK108" s="530"/>
      <c r="FML108" s="531"/>
      <c r="FMM108" s="530"/>
      <c r="FMN108" s="531"/>
      <c r="FMO108" s="530"/>
      <c r="FMP108" s="531"/>
      <c r="FMQ108" s="530"/>
      <c r="FMR108" s="531"/>
      <c r="FMS108" s="530"/>
      <c r="FMT108" s="531"/>
      <c r="FMU108" s="530"/>
      <c r="FMV108" s="531"/>
      <c r="FMW108" s="530"/>
      <c r="FMX108" s="531"/>
      <c r="FMY108" s="530"/>
      <c r="FMZ108" s="531"/>
      <c r="FNA108" s="530"/>
      <c r="FNB108" s="531"/>
      <c r="FNC108" s="530"/>
      <c r="FND108" s="531"/>
      <c r="FNE108" s="530"/>
      <c r="FNF108" s="531"/>
      <c r="FNG108" s="530"/>
      <c r="FNH108" s="531"/>
      <c r="FNI108" s="530"/>
      <c r="FNJ108" s="531"/>
      <c r="FNK108" s="530"/>
      <c r="FNL108" s="531"/>
      <c r="FNM108" s="530"/>
      <c r="FNN108" s="531"/>
      <c r="FNO108" s="530"/>
      <c r="FNP108" s="531"/>
      <c r="FNQ108" s="530"/>
      <c r="FNR108" s="531"/>
      <c r="FNS108" s="530"/>
      <c r="FNT108" s="531"/>
      <c r="FNU108" s="530"/>
      <c r="FNV108" s="531"/>
      <c r="FNW108" s="530"/>
      <c r="FNX108" s="531"/>
      <c r="FNY108" s="530"/>
      <c r="FNZ108" s="531"/>
      <c r="FOA108" s="530"/>
      <c r="FOB108" s="531"/>
      <c r="FOC108" s="530"/>
      <c r="FOD108" s="531"/>
      <c r="FOE108" s="530"/>
      <c r="FOF108" s="531"/>
      <c r="FOG108" s="530"/>
      <c r="FOH108" s="531"/>
      <c r="FOI108" s="530"/>
      <c r="FOJ108" s="531"/>
      <c r="FOK108" s="530"/>
      <c r="FOL108" s="531"/>
      <c r="FOM108" s="530"/>
      <c r="FON108" s="531"/>
      <c r="FOO108" s="530"/>
      <c r="FOP108" s="531"/>
      <c r="FOQ108" s="530"/>
      <c r="FOR108" s="531"/>
      <c r="FOS108" s="530"/>
      <c r="FOT108" s="531"/>
      <c r="FOU108" s="530"/>
      <c r="FOV108" s="531"/>
      <c r="FOW108" s="530"/>
      <c r="FOX108" s="531"/>
      <c r="FOY108" s="530"/>
      <c r="FOZ108" s="531"/>
      <c r="FPA108" s="530"/>
      <c r="FPB108" s="531"/>
      <c r="FPC108" s="530"/>
      <c r="FPD108" s="531"/>
      <c r="FPE108" s="530"/>
      <c r="FPF108" s="531"/>
      <c r="FPG108" s="530"/>
      <c r="FPH108" s="531"/>
      <c r="FPI108" s="530"/>
      <c r="FPJ108" s="531"/>
      <c r="FPK108" s="530"/>
      <c r="FPL108" s="531"/>
      <c r="FPM108" s="530"/>
      <c r="FPN108" s="531"/>
      <c r="FPO108" s="530"/>
      <c r="FPP108" s="531"/>
      <c r="FPQ108" s="530"/>
      <c r="FPR108" s="531"/>
      <c r="FPS108" s="530"/>
      <c r="FPT108" s="531"/>
      <c r="FPU108" s="530"/>
      <c r="FPV108" s="531"/>
      <c r="FPW108" s="530"/>
      <c r="FPX108" s="531"/>
      <c r="FPY108" s="530"/>
      <c r="FPZ108" s="531"/>
      <c r="FQA108" s="530"/>
      <c r="FQB108" s="531"/>
      <c r="FQC108" s="530"/>
      <c r="FQD108" s="531"/>
      <c r="FQE108" s="530"/>
      <c r="FQF108" s="531"/>
      <c r="FQG108" s="530"/>
      <c r="FQH108" s="531"/>
      <c r="FQI108" s="530"/>
      <c r="FQJ108" s="531"/>
      <c r="FQK108" s="530"/>
      <c r="FQL108" s="531"/>
      <c r="FQM108" s="530"/>
      <c r="FQN108" s="531"/>
      <c r="FQO108" s="530"/>
      <c r="FQP108" s="531"/>
      <c r="FQQ108" s="530"/>
      <c r="FQR108" s="531"/>
      <c r="FQS108" s="530"/>
      <c r="FQT108" s="531"/>
      <c r="FQU108" s="530"/>
      <c r="FQV108" s="531"/>
      <c r="FQW108" s="530"/>
      <c r="FQX108" s="531"/>
      <c r="FQY108" s="530"/>
      <c r="FQZ108" s="531"/>
      <c r="FRA108" s="530"/>
      <c r="FRB108" s="531"/>
      <c r="FRC108" s="530"/>
      <c r="FRD108" s="531"/>
      <c r="FRE108" s="530"/>
      <c r="FRF108" s="531"/>
      <c r="FRG108" s="530"/>
      <c r="FRH108" s="531"/>
      <c r="FRI108" s="530"/>
      <c r="FRJ108" s="531"/>
      <c r="FRK108" s="530"/>
      <c r="FRL108" s="531"/>
      <c r="FRM108" s="530"/>
      <c r="FRN108" s="531"/>
      <c r="FRO108" s="530"/>
      <c r="FRP108" s="531"/>
      <c r="FRQ108" s="530"/>
      <c r="FRR108" s="531"/>
      <c r="FRS108" s="530"/>
      <c r="FRT108" s="531"/>
      <c r="FRU108" s="530"/>
      <c r="FRV108" s="531"/>
      <c r="FRW108" s="530"/>
      <c r="FRX108" s="531"/>
      <c r="FRY108" s="530"/>
      <c r="FRZ108" s="531"/>
      <c r="FSA108" s="530"/>
      <c r="FSB108" s="531"/>
      <c r="FSC108" s="530"/>
      <c r="FSD108" s="531"/>
      <c r="FSE108" s="530"/>
      <c r="FSF108" s="531"/>
      <c r="FSG108" s="530"/>
      <c r="FSH108" s="531"/>
      <c r="FSI108" s="530"/>
      <c r="FSJ108" s="531"/>
      <c r="FSK108" s="530"/>
      <c r="FSL108" s="531"/>
      <c r="FSM108" s="530"/>
      <c r="FSN108" s="531"/>
      <c r="FSO108" s="530"/>
      <c r="FSP108" s="531"/>
      <c r="FSQ108" s="530"/>
      <c r="FSR108" s="531"/>
      <c r="FSS108" s="530"/>
      <c r="FST108" s="531"/>
      <c r="FSU108" s="530"/>
      <c r="FSV108" s="531"/>
      <c r="FSW108" s="530"/>
      <c r="FSX108" s="531"/>
      <c r="FSY108" s="530"/>
      <c r="FSZ108" s="531"/>
      <c r="FTA108" s="530"/>
      <c r="FTB108" s="531"/>
      <c r="FTC108" s="530"/>
      <c r="FTD108" s="531"/>
      <c r="FTE108" s="530"/>
      <c r="FTF108" s="531"/>
      <c r="FTG108" s="530"/>
      <c r="FTH108" s="531"/>
      <c r="FTI108" s="530"/>
      <c r="FTJ108" s="531"/>
      <c r="FTK108" s="530"/>
      <c r="FTL108" s="531"/>
      <c r="FTM108" s="530"/>
      <c r="FTN108" s="531"/>
      <c r="FTO108" s="530"/>
      <c r="FTP108" s="531"/>
      <c r="FTQ108" s="530"/>
      <c r="FTR108" s="531"/>
      <c r="FTS108" s="530"/>
      <c r="FTT108" s="531"/>
      <c r="FTU108" s="530"/>
      <c r="FTV108" s="531"/>
      <c r="FTW108" s="530"/>
      <c r="FTX108" s="531"/>
      <c r="FTY108" s="530"/>
      <c r="FTZ108" s="531"/>
      <c r="FUA108" s="530"/>
      <c r="FUB108" s="531"/>
      <c r="FUC108" s="530"/>
      <c r="FUD108" s="531"/>
      <c r="FUE108" s="530"/>
      <c r="FUF108" s="531"/>
      <c r="FUG108" s="530"/>
      <c r="FUH108" s="531"/>
      <c r="FUI108" s="530"/>
      <c r="FUJ108" s="531"/>
      <c r="FUK108" s="530"/>
      <c r="FUL108" s="531"/>
      <c r="FUM108" s="530"/>
      <c r="FUN108" s="531"/>
      <c r="FUO108" s="530"/>
      <c r="FUP108" s="531"/>
      <c r="FUQ108" s="530"/>
      <c r="FUR108" s="531"/>
      <c r="FUS108" s="530"/>
      <c r="FUT108" s="531"/>
      <c r="FUU108" s="530"/>
      <c r="FUV108" s="531"/>
      <c r="FUW108" s="530"/>
      <c r="FUX108" s="531"/>
      <c r="FUY108" s="530"/>
      <c r="FUZ108" s="531"/>
      <c r="FVA108" s="530"/>
      <c r="FVB108" s="531"/>
      <c r="FVC108" s="530"/>
      <c r="FVD108" s="531"/>
      <c r="FVE108" s="530"/>
      <c r="FVF108" s="531"/>
      <c r="FVG108" s="530"/>
      <c r="FVH108" s="531"/>
      <c r="FVI108" s="530"/>
      <c r="FVJ108" s="531"/>
      <c r="FVK108" s="530"/>
      <c r="FVL108" s="531"/>
      <c r="FVM108" s="530"/>
      <c r="FVN108" s="531"/>
      <c r="FVO108" s="530"/>
      <c r="FVP108" s="531"/>
      <c r="FVQ108" s="530"/>
      <c r="FVR108" s="531"/>
      <c r="FVS108" s="530"/>
      <c r="FVT108" s="531"/>
      <c r="FVU108" s="530"/>
      <c r="FVV108" s="531"/>
      <c r="FVW108" s="530"/>
      <c r="FVX108" s="531"/>
      <c r="FVY108" s="530"/>
      <c r="FVZ108" s="531"/>
      <c r="FWA108" s="530"/>
      <c r="FWB108" s="531"/>
      <c r="FWC108" s="530"/>
      <c r="FWD108" s="531"/>
      <c r="FWE108" s="530"/>
      <c r="FWF108" s="531"/>
      <c r="FWG108" s="530"/>
      <c r="FWH108" s="531"/>
      <c r="FWI108" s="530"/>
      <c r="FWJ108" s="531"/>
      <c r="FWK108" s="530"/>
      <c r="FWL108" s="531"/>
      <c r="FWM108" s="530"/>
      <c r="FWN108" s="531"/>
      <c r="FWO108" s="530"/>
      <c r="FWP108" s="531"/>
      <c r="FWQ108" s="530"/>
      <c r="FWR108" s="531"/>
      <c r="FWS108" s="530"/>
      <c r="FWT108" s="531"/>
      <c r="FWU108" s="530"/>
      <c r="FWV108" s="531"/>
      <c r="FWW108" s="530"/>
      <c r="FWX108" s="531"/>
      <c r="FWY108" s="530"/>
      <c r="FWZ108" s="531"/>
      <c r="FXA108" s="530"/>
      <c r="FXB108" s="531"/>
      <c r="FXC108" s="530"/>
      <c r="FXD108" s="531"/>
      <c r="FXE108" s="530"/>
      <c r="FXF108" s="531"/>
      <c r="FXG108" s="530"/>
      <c r="FXH108" s="531"/>
      <c r="FXI108" s="530"/>
      <c r="FXJ108" s="531"/>
      <c r="FXK108" s="530"/>
      <c r="FXL108" s="531"/>
      <c r="FXM108" s="530"/>
      <c r="FXN108" s="531"/>
      <c r="FXO108" s="530"/>
      <c r="FXP108" s="531"/>
      <c r="FXQ108" s="530"/>
      <c r="FXR108" s="531"/>
      <c r="FXS108" s="530"/>
      <c r="FXT108" s="531"/>
      <c r="FXU108" s="530"/>
      <c r="FXV108" s="531"/>
      <c r="FXW108" s="530"/>
      <c r="FXX108" s="531"/>
      <c r="FXY108" s="530"/>
      <c r="FXZ108" s="531"/>
      <c r="FYA108" s="530"/>
      <c r="FYB108" s="531"/>
      <c r="FYC108" s="530"/>
      <c r="FYD108" s="531"/>
      <c r="FYE108" s="530"/>
      <c r="FYF108" s="531"/>
      <c r="FYG108" s="530"/>
      <c r="FYH108" s="531"/>
      <c r="FYI108" s="530"/>
      <c r="FYJ108" s="531"/>
      <c r="FYK108" s="530"/>
      <c r="FYL108" s="531"/>
      <c r="FYM108" s="530"/>
      <c r="FYN108" s="531"/>
      <c r="FYO108" s="530"/>
      <c r="FYP108" s="531"/>
      <c r="FYQ108" s="530"/>
      <c r="FYR108" s="531"/>
      <c r="FYS108" s="530"/>
      <c r="FYT108" s="531"/>
      <c r="FYU108" s="530"/>
      <c r="FYV108" s="531"/>
      <c r="FYW108" s="530"/>
      <c r="FYX108" s="531"/>
      <c r="FYY108" s="530"/>
      <c r="FYZ108" s="531"/>
      <c r="FZA108" s="530"/>
      <c r="FZB108" s="531"/>
      <c r="FZC108" s="530"/>
      <c r="FZD108" s="531"/>
      <c r="FZE108" s="530"/>
      <c r="FZF108" s="531"/>
      <c r="FZG108" s="530"/>
      <c r="FZH108" s="531"/>
      <c r="FZI108" s="530"/>
      <c r="FZJ108" s="531"/>
      <c r="FZK108" s="530"/>
      <c r="FZL108" s="531"/>
      <c r="FZM108" s="530"/>
      <c r="FZN108" s="531"/>
      <c r="FZO108" s="530"/>
      <c r="FZP108" s="531"/>
      <c r="FZQ108" s="530"/>
      <c r="FZR108" s="531"/>
      <c r="FZS108" s="530"/>
      <c r="FZT108" s="531"/>
      <c r="FZU108" s="530"/>
      <c r="FZV108" s="531"/>
      <c r="FZW108" s="530"/>
      <c r="FZX108" s="531"/>
      <c r="FZY108" s="530"/>
      <c r="FZZ108" s="531"/>
      <c r="GAA108" s="530"/>
      <c r="GAB108" s="531"/>
      <c r="GAC108" s="530"/>
      <c r="GAD108" s="531"/>
      <c r="GAE108" s="530"/>
      <c r="GAF108" s="531"/>
      <c r="GAG108" s="530"/>
      <c r="GAH108" s="531"/>
      <c r="GAI108" s="530"/>
      <c r="GAJ108" s="531"/>
      <c r="GAK108" s="530"/>
      <c r="GAL108" s="531"/>
      <c r="GAM108" s="530"/>
      <c r="GAN108" s="531"/>
      <c r="GAO108" s="530"/>
      <c r="GAP108" s="531"/>
      <c r="GAQ108" s="530"/>
      <c r="GAR108" s="531"/>
      <c r="GAS108" s="530"/>
      <c r="GAT108" s="531"/>
      <c r="GAU108" s="530"/>
      <c r="GAV108" s="531"/>
      <c r="GAW108" s="530"/>
      <c r="GAX108" s="531"/>
      <c r="GAY108" s="530"/>
      <c r="GAZ108" s="531"/>
      <c r="GBA108" s="530"/>
      <c r="GBB108" s="531"/>
      <c r="GBC108" s="530"/>
      <c r="GBD108" s="531"/>
      <c r="GBE108" s="530"/>
      <c r="GBF108" s="531"/>
      <c r="GBG108" s="530"/>
      <c r="GBH108" s="531"/>
      <c r="GBI108" s="530"/>
      <c r="GBJ108" s="531"/>
      <c r="GBK108" s="530"/>
      <c r="GBL108" s="531"/>
      <c r="GBM108" s="530"/>
      <c r="GBN108" s="531"/>
      <c r="GBO108" s="530"/>
      <c r="GBP108" s="531"/>
      <c r="GBQ108" s="530"/>
      <c r="GBR108" s="531"/>
      <c r="GBS108" s="530"/>
      <c r="GBT108" s="531"/>
      <c r="GBU108" s="530"/>
      <c r="GBV108" s="531"/>
      <c r="GBW108" s="530"/>
      <c r="GBX108" s="531"/>
      <c r="GBY108" s="530"/>
      <c r="GBZ108" s="531"/>
      <c r="GCA108" s="530"/>
      <c r="GCB108" s="531"/>
      <c r="GCC108" s="530"/>
      <c r="GCD108" s="531"/>
      <c r="GCE108" s="530"/>
      <c r="GCF108" s="531"/>
      <c r="GCG108" s="530"/>
      <c r="GCH108" s="531"/>
      <c r="GCI108" s="530"/>
      <c r="GCJ108" s="531"/>
      <c r="GCK108" s="530"/>
      <c r="GCL108" s="531"/>
      <c r="GCM108" s="530"/>
      <c r="GCN108" s="531"/>
      <c r="GCO108" s="530"/>
      <c r="GCP108" s="531"/>
      <c r="GCQ108" s="530"/>
      <c r="GCR108" s="531"/>
      <c r="GCS108" s="530"/>
      <c r="GCT108" s="531"/>
      <c r="GCU108" s="530"/>
      <c r="GCV108" s="531"/>
      <c r="GCW108" s="530"/>
      <c r="GCX108" s="531"/>
      <c r="GCY108" s="530"/>
      <c r="GCZ108" s="531"/>
      <c r="GDA108" s="530"/>
      <c r="GDB108" s="531"/>
      <c r="GDC108" s="530"/>
      <c r="GDD108" s="531"/>
      <c r="GDE108" s="530"/>
      <c r="GDF108" s="531"/>
      <c r="GDG108" s="530"/>
      <c r="GDH108" s="531"/>
      <c r="GDI108" s="530"/>
      <c r="GDJ108" s="531"/>
      <c r="GDK108" s="530"/>
      <c r="GDL108" s="531"/>
      <c r="GDM108" s="530"/>
      <c r="GDN108" s="531"/>
      <c r="GDO108" s="530"/>
      <c r="GDP108" s="531"/>
      <c r="GDQ108" s="530"/>
      <c r="GDR108" s="531"/>
      <c r="GDS108" s="530"/>
      <c r="GDT108" s="531"/>
      <c r="GDU108" s="530"/>
      <c r="GDV108" s="531"/>
      <c r="GDW108" s="530"/>
      <c r="GDX108" s="531"/>
      <c r="GDY108" s="530"/>
      <c r="GDZ108" s="531"/>
      <c r="GEA108" s="530"/>
      <c r="GEB108" s="531"/>
      <c r="GEC108" s="530"/>
      <c r="GED108" s="531"/>
      <c r="GEE108" s="530"/>
      <c r="GEF108" s="531"/>
      <c r="GEG108" s="530"/>
      <c r="GEH108" s="531"/>
      <c r="GEI108" s="530"/>
      <c r="GEJ108" s="531"/>
      <c r="GEK108" s="530"/>
      <c r="GEL108" s="531"/>
      <c r="GEM108" s="530"/>
      <c r="GEN108" s="531"/>
      <c r="GEO108" s="530"/>
      <c r="GEP108" s="531"/>
      <c r="GEQ108" s="530"/>
      <c r="GER108" s="531"/>
      <c r="GES108" s="530"/>
      <c r="GET108" s="531"/>
      <c r="GEU108" s="530"/>
      <c r="GEV108" s="531"/>
      <c r="GEW108" s="530"/>
      <c r="GEX108" s="531"/>
      <c r="GEY108" s="530"/>
      <c r="GEZ108" s="531"/>
      <c r="GFA108" s="530"/>
      <c r="GFB108" s="531"/>
      <c r="GFC108" s="530"/>
      <c r="GFD108" s="531"/>
      <c r="GFE108" s="530"/>
      <c r="GFF108" s="531"/>
      <c r="GFG108" s="530"/>
      <c r="GFH108" s="531"/>
      <c r="GFI108" s="530"/>
      <c r="GFJ108" s="531"/>
      <c r="GFK108" s="530"/>
      <c r="GFL108" s="531"/>
      <c r="GFM108" s="530"/>
      <c r="GFN108" s="531"/>
      <c r="GFO108" s="530"/>
      <c r="GFP108" s="531"/>
      <c r="GFQ108" s="530"/>
      <c r="GFR108" s="531"/>
      <c r="GFS108" s="530"/>
      <c r="GFT108" s="531"/>
      <c r="GFU108" s="530"/>
      <c r="GFV108" s="531"/>
      <c r="GFW108" s="530"/>
      <c r="GFX108" s="531"/>
      <c r="GFY108" s="530"/>
      <c r="GFZ108" s="531"/>
      <c r="GGA108" s="530"/>
      <c r="GGB108" s="531"/>
      <c r="GGC108" s="530"/>
      <c r="GGD108" s="531"/>
      <c r="GGE108" s="530"/>
      <c r="GGF108" s="531"/>
      <c r="GGG108" s="530"/>
      <c r="GGH108" s="531"/>
      <c r="GGI108" s="530"/>
      <c r="GGJ108" s="531"/>
      <c r="GGK108" s="530"/>
      <c r="GGL108" s="531"/>
      <c r="GGM108" s="530"/>
      <c r="GGN108" s="531"/>
      <c r="GGO108" s="530"/>
      <c r="GGP108" s="531"/>
      <c r="GGQ108" s="530"/>
      <c r="GGR108" s="531"/>
      <c r="GGS108" s="530"/>
      <c r="GGT108" s="531"/>
      <c r="GGU108" s="530"/>
      <c r="GGV108" s="531"/>
      <c r="GGW108" s="530"/>
      <c r="GGX108" s="531"/>
      <c r="GGY108" s="530"/>
      <c r="GGZ108" s="531"/>
      <c r="GHA108" s="530"/>
      <c r="GHB108" s="531"/>
      <c r="GHC108" s="530"/>
      <c r="GHD108" s="531"/>
      <c r="GHE108" s="530"/>
      <c r="GHF108" s="531"/>
      <c r="GHG108" s="530"/>
      <c r="GHH108" s="531"/>
      <c r="GHI108" s="530"/>
      <c r="GHJ108" s="531"/>
      <c r="GHK108" s="530"/>
      <c r="GHL108" s="531"/>
      <c r="GHM108" s="530"/>
      <c r="GHN108" s="531"/>
      <c r="GHO108" s="530"/>
      <c r="GHP108" s="531"/>
      <c r="GHQ108" s="530"/>
      <c r="GHR108" s="531"/>
      <c r="GHS108" s="530"/>
      <c r="GHT108" s="531"/>
      <c r="GHU108" s="530"/>
      <c r="GHV108" s="531"/>
      <c r="GHW108" s="530"/>
      <c r="GHX108" s="531"/>
      <c r="GHY108" s="530"/>
      <c r="GHZ108" s="531"/>
      <c r="GIA108" s="530"/>
      <c r="GIB108" s="531"/>
      <c r="GIC108" s="530"/>
      <c r="GID108" s="531"/>
      <c r="GIE108" s="530"/>
      <c r="GIF108" s="531"/>
      <c r="GIG108" s="530"/>
      <c r="GIH108" s="531"/>
      <c r="GII108" s="530"/>
      <c r="GIJ108" s="531"/>
      <c r="GIK108" s="530"/>
      <c r="GIL108" s="531"/>
      <c r="GIM108" s="530"/>
      <c r="GIN108" s="531"/>
      <c r="GIO108" s="530"/>
      <c r="GIP108" s="531"/>
      <c r="GIQ108" s="530"/>
      <c r="GIR108" s="531"/>
      <c r="GIS108" s="530"/>
      <c r="GIT108" s="531"/>
      <c r="GIU108" s="530"/>
      <c r="GIV108" s="531"/>
      <c r="GIW108" s="530"/>
      <c r="GIX108" s="531"/>
      <c r="GIY108" s="530"/>
      <c r="GIZ108" s="531"/>
      <c r="GJA108" s="530"/>
      <c r="GJB108" s="531"/>
      <c r="GJC108" s="530"/>
      <c r="GJD108" s="531"/>
      <c r="GJE108" s="530"/>
      <c r="GJF108" s="531"/>
      <c r="GJG108" s="530"/>
      <c r="GJH108" s="531"/>
      <c r="GJI108" s="530"/>
      <c r="GJJ108" s="531"/>
      <c r="GJK108" s="530"/>
      <c r="GJL108" s="531"/>
      <c r="GJM108" s="530"/>
      <c r="GJN108" s="531"/>
      <c r="GJO108" s="530"/>
      <c r="GJP108" s="531"/>
      <c r="GJQ108" s="530"/>
      <c r="GJR108" s="531"/>
      <c r="GJS108" s="530"/>
      <c r="GJT108" s="531"/>
      <c r="GJU108" s="530"/>
      <c r="GJV108" s="531"/>
      <c r="GJW108" s="530"/>
      <c r="GJX108" s="531"/>
      <c r="GJY108" s="530"/>
      <c r="GJZ108" s="531"/>
      <c r="GKA108" s="530"/>
      <c r="GKB108" s="531"/>
      <c r="GKC108" s="530"/>
      <c r="GKD108" s="531"/>
      <c r="GKE108" s="530"/>
      <c r="GKF108" s="531"/>
      <c r="GKG108" s="530"/>
      <c r="GKH108" s="531"/>
      <c r="GKI108" s="530"/>
      <c r="GKJ108" s="531"/>
      <c r="GKK108" s="530"/>
      <c r="GKL108" s="531"/>
      <c r="GKM108" s="530"/>
      <c r="GKN108" s="531"/>
      <c r="GKO108" s="530"/>
      <c r="GKP108" s="531"/>
      <c r="GKQ108" s="530"/>
      <c r="GKR108" s="531"/>
      <c r="GKS108" s="530"/>
      <c r="GKT108" s="531"/>
      <c r="GKU108" s="530"/>
      <c r="GKV108" s="531"/>
      <c r="GKW108" s="530"/>
      <c r="GKX108" s="531"/>
      <c r="GKY108" s="530"/>
      <c r="GKZ108" s="531"/>
      <c r="GLA108" s="530"/>
      <c r="GLB108" s="531"/>
      <c r="GLC108" s="530"/>
      <c r="GLD108" s="531"/>
      <c r="GLE108" s="530"/>
      <c r="GLF108" s="531"/>
      <c r="GLG108" s="530"/>
      <c r="GLH108" s="531"/>
      <c r="GLI108" s="530"/>
      <c r="GLJ108" s="531"/>
      <c r="GLK108" s="530"/>
      <c r="GLL108" s="531"/>
      <c r="GLM108" s="530"/>
      <c r="GLN108" s="531"/>
      <c r="GLO108" s="530"/>
      <c r="GLP108" s="531"/>
      <c r="GLQ108" s="530"/>
      <c r="GLR108" s="531"/>
      <c r="GLS108" s="530"/>
      <c r="GLT108" s="531"/>
      <c r="GLU108" s="530"/>
      <c r="GLV108" s="531"/>
      <c r="GLW108" s="530"/>
      <c r="GLX108" s="531"/>
      <c r="GLY108" s="530"/>
      <c r="GLZ108" s="531"/>
      <c r="GMA108" s="530"/>
      <c r="GMB108" s="531"/>
      <c r="GMC108" s="530"/>
      <c r="GMD108" s="531"/>
      <c r="GME108" s="530"/>
      <c r="GMF108" s="531"/>
      <c r="GMG108" s="530"/>
      <c r="GMH108" s="531"/>
      <c r="GMI108" s="530"/>
      <c r="GMJ108" s="531"/>
      <c r="GMK108" s="530"/>
      <c r="GML108" s="531"/>
      <c r="GMM108" s="530"/>
      <c r="GMN108" s="531"/>
      <c r="GMO108" s="530"/>
      <c r="GMP108" s="531"/>
      <c r="GMQ108" s="530"/>
      <c r="GMR108" s="531"/>
      <c r="GMS108" s="530"/>
      <c r="GMT108" s="531"/>
      <c r="GMU108" s="530"/>
      <c r="GMV108" s="531"/>
      <c r="GMW108" s="530"/>
      <c r="GMX108" s="531"/>
      <c r="GMY108" s="530"/>
      <c r="GMZ108" s="531"/>
      <c r="GNA108" s="530"/>
      <c r="GNB108" s="531"/>
      <c r="GNC108" s="530"/>
      <c r="GND108" s="531"/>
      <c r="GNE108" s="530"/>
      <c r="GNF108" s="531"/>
      <c r="GNG108" s="530"/>
      <c r="GNH108" s="531"/>
      <c r="GNI108" s="530"/>
      <c r="GNJ108" s="531"/>
      <c r="GNK108" s="530"/>
      <c r="GNL108" s="531"/>
      <c r="GNM108" s="530"/>
      <c r="GNN108" s="531"/>
      <c r="GNO108" s="530"/>
      <c r="GNP108" s="531"/>
      <c r="GNQ108" s="530"/>
      <c r="GNR108" s="531"/>
      <c r="GNS108" s="530"/>
      <c r="GNT108" s="531"/>
      <c r="GNU108" s="530"/>
      <c r="GNV108" s="531"/>
      <c r="GNW108" s="530"/>
      <c r="GNX108" s="531"/>
      <c r="GNY108" s="530"/>
      <c r="GNZ108" s="531"/>
      <c r="GOA108" s="530"/>
      <c r="GOB108" s="531"/>
      <c r="GOC108" s="530"/>
      <c r="GOD108" s="531"/>
      <c r="GOE108" s="530"/>
      <c r="GOF108" s="531"/>
      <c r="GOG108" s="530"/>
      <c r="GOH108" s="531"/>
      <c r="GOI108" s="530"/>
      <c r="GOJ108" s="531"/>
      <c r="GOK108" s="530"/>
      <c r="GOL108" s="531"/>
      <c r="GOM108" s="530"/>
      <c r="GON108" s="531"/>
      <c r="GOO108" s="530"/>
      <c r="GOP108" s="531"/>
      <c r="GOQ108" s="530"/>
      <c r="GOR108" s="531"/>
      <c r="GOS108" s="530"/>
      <c r="GOT108" s="531"/>
      <c r="GOU108" s="530"/>
      <c r="GOV108" s="531"/>
      <c r="GOW108" s="530"/>
      <c r="GOX108" s="531"/>
      <c r="GOY108" s="530"/>
      <c r="GOZ108" s="531"/>
      <c r="GPA108" s="530"/>
      <c r="GPB108" s="531"/>
      <c r="GPC108" s="530"/>
      <c r="GPD108" s="531"/>
      <c r="GPE108" s="530"/>
      <c r="GPF108" s="531"/>
      <c r="GPG108" s="530"/>
      <c r="GPH108" s="531"/>
      <c r="GPI108" s="530"/>
      <c r="GPJ108" s="531"/>
      <c r="GPK108" s="530"/>
      <c r="GPL108" s="531"/>
      <c r="GPM108" s="530"/>
      <c r="GPN108" s="531"/>
      <c r="GPO108" s="530"/>
      <c r="GPP108" s="531"/>
      <c r="GPQ108" s="530"/>
      <c r="GPR108" s="531"/>
      <c r="GPS108" s="530"/>
      <c r="GPT108" s="531"/>
      <c r="GPU108" s="530"/>
      <c r="GPV108" s="531"/>
      <c r="GPW108" s="530"/>
      <c r="GPX108" s="531"/>
      <c r="GPY108" s="530"/>
      <c r="GPZ108" s="531"/>
      <c r="GQA108" s="530"/>
      <c r="GQB108" s="531"/>
      <c r="GQC108" s="530"/>
      <c r="GQD108" s="531"/>
      <c r="GQE108" s="530"/>
      <c r="GQF108" s="531"/>
      <c r="GQG108" s="530"/>
      <c r="GQH108" s="531"/>
      <c r="GQI108" s="530"/>
      <c r="GQJ108" s="531"/>
      <c r="GQK108" s="530"/>
      <c r="GQL108" s="531"/>
      <c r="GQM108" s="530"/>
      <c r="GQN108" s="531"/>
      <c r="GQO108" s="530"/>
      <c r="GQP108" s="531"/>
      <c r="GQQ108" s="530"/>
      <c r="GQR108" s="531"/>
      <c r="GQS108" s="530"/>
      <c r="GQT108" s="531"/>
      <c r="GQU108" s="530"/>
      <c r="GQV108" s="531"/>
      <c r="GQW108" s="530"/>
      <c r="GQX108" s="531"/>
      <c r="GQY108" s="530"/>
      <c r="GQZ108" s="531"/>
      <c r="GRA108" s="530"/>
      <c r="GRB108" s="531"/>
      <c r="GRC108" s="530"/>
      <c r="GRD108" s="531"/>
      <c r="GRE108" s="530"/>
      <c r="GRF108" s="531"/>
      <c r="GRG108" s="530"/>
      <c r="GRH108" s="531"/>
      <c r="GRI108" s="530"/>
      <c r="GRJ108" s="531"/>
      <c r="GRK108" s="530"/>
      <c r="GRL108" s="531"/>
      <c r="GRM108" s="530"/>
      <c r="GRN108" s="531"/>
      <c r="GRO108" s="530"/>
      <c r="GRP108" s="531"/>
      <c r="GRQ108" s="530"/>
      <c r="GRR108" s="531"/>
      <c r="GRS108" s="530"/>
      <c r="GRT108" s="531"/>
      <c r="GRU108" s="530"/>
      <c r="GRV108" s="531"/>
      <c r="GRW108" s="530"/>
      <c r="GRX108" s="531"/>
      <c r="GRY108" s="530"/>
      <c r="GRZ108" s="531"/>
      <c r="GSA108" s="530"/>
      <c r="GSB108" s="531"/>
      <c r="GSC108" s="530"/>
      <c r="GSD108" s="531"/>
      <c r="GSE108" s="530"/>
      <c r="GSF108" s="531"/>
      <c r="GSG108" s="530"/>
      <c r="GSH108" s="531"/>
      <c r="GSI108" s="530"/>
      <c r="GSJ108" s="531"/>
      <c r="GSK108" s="530"/>
      <c r="GSL108" s="531"/>
      <c r="GSM108" s="530"/>
      <c r="GSN108" s="531"/>
      <c r="GSO108" s="530"/>
      <c r="GSP108" s="531"/>
      <c r="GSQ108" s="530"/>
      <c r="GSR108" s="531"/>
      <c r="GSS108" s="530"/>
      <c r="GST108" s="531"/>
      <c r="GSU108" s="530"/>
      <c r="GSV108" s="531"/>
      <c r="GSW108" s="530"/>
      <c r="GSX108" s="531"/>
      <c r="GSY108" s="530"/>
      <c r="GSZ108" s="531"/>
      <c r="GTA108" s="530"/>
      <c r="GTB108" s="531"/>
      <c r="GTC108" s="530"/>
      <c r="GTD108" s="531"/>
      <c r="GTE108" s="530"/>
      <c r="GTF108" s="531"/>
      <c r="GTG108" s="530"/>
      <c r="GTH108" s="531"/>
      <c r="GTI108" s="530"/>
      <c r="GTJ108" s="531"/>
      <c r="GTK108" s="530"/>
      <c r="GTL108" s="531"/>
      <c r="GTM108" s="530"/>
      <c r="GTN108" s="531"/>
      <c r="GTO108" s="530"/>
      <c r="GTP108" s="531"/>
      <c r="GTQ108" s="530"/>
      <c r="GTR108" s="531"/>
      <c r="GTS108" s="530"/>
      <c r="GTT108" s="531"/>
      <c r="GTU108" s="530"/>
      <c r="GTV108" s="531"/>
      <c r="GTW108" s="530"/>
      <c r="GTX108" s="531"/>
      <c r="GTY108" s="530"/>
      <c r="GTZ108" s="531"/>
      <c r="GUA108" s="530"/>
      <c r="GUB108" s="531"/>
      <c r="GUC108" s="530"/>
      <c r="GUD108" s="531"/>
      <c r="GUE108" s="530"/>
      <c r="GUF108" s="531"/>
      <c r="GUG108" s="530"/>
      <c r="GUH108" s="531"/>
      <c r="GUI108" s="530"/>
      <c r="GUJ108" s="531"/>
      <c r="GUK108" s="530"/>
      <c r="GUL108" s="531"/>
      <c r="GUM108" s="530"/>
      <c r="GUN108" s="531"/>
      <c r="GUO108" s="530"/>
      <c r="GUP108" s="531"/>
      <c r="GUQ108" s="530"/>
      <c r="GUR108" s="531"/>
      <c r="GUS108" s="530"/>
      <c r="GUT108" s="531"/>
      <c r="GUU108" s="530"/>
      <c r="GUV108" s="531"/>
      <c r="GUW108" s="530"/>
      <c r="GUX108" s="531"/>
      <c r="GUY108" s="530"/>
      <c r="GUZ108" s="531"/>
      <c r="GVA108" s="530"/>
      <c r="GVB108" s="531"/>
      <c r="GVC108" s="530"/>
      <c r="GVD108" s="531"/>
      <c r="GVE108" s="530"/>
      <c r="GVF108" s="531"/>
      <c r="GVG108" s="530"/>
      <c r="GVH108" s="531"/>
      <c r="GVI108" s="530"/>
      <c r="GVJ108" s="531"/>
      <c r="GVK108" s="530"/>
      <c r="GVL108" s="531"/>
      <c r="GVM108" s="530"/>
      <c r="GVN108" s="531"/>
      <c r="GVO108" s="530"/>
      <c r="GVP108" s="531"/>
      <c r="GVQ108" s="530"/>
      <c r="GVR108" s="531"/>
      <c r="GVS108" s="530"/>
      <c r="GVT108" s="531"/>
      <c r="GVU108" s="530"/>
      <c r="GVV108" s="531"/>
      <c r="GVW108" s="530"/>
      <c r="GVX108" s="531"/>
      <c r="GVY108" s="530"/>
      <c r="GVZ108" s="531"/>
      <c r="GWA108" s="530"/>
      <c r="GWB108" s="531"/>
      <c r="GWC108" s="530"/>
      <c r="GWD108" s="531"/>
      <c r="GWE108" s="530"/>
      <c r="GWF108" s="531"/>
      <c r="GWG108" s="530"/>
      <c r="GWH108" s="531"/>
      <c r="GWI108" s="530"/>
      <c r="GWJ108" s="531"/>
      <c r="GWK108" s="530"/>
      <c r="GWL108" s="531"/>
      <c r="GWM108" s="530"/>
      <c r="GWN108" s="531"/>
      <c r="GWO108" s="530"/>
      <c r="GWP108" s="531"/>
      <c r="GWQ108" s="530"/>
      <c r="GWR108" s="531"/>
      <c r="GWS108" s="530"/>
      <c r="GWT108" s="531"/>
      <c r="GWU108" s="530"/>
      <c r="GWV108" s="531"/>
      <c r="GWW108" s="530"/>
      <c r="GWX108" s="531"/>
      <c r="GWY108" s="530"/>
      <c r="GWZ108" s="531"/>
      <c r="GXA108" s="530"/>
      <c r="GXB108" s="531"/>
      <c r="GXC108" s="530"/>
      <c r="GXD108" s="531"/>
      <c r="GXE108" s="530"/>
      <c r="GXF108" s="531"/>
      <c r="GXG108" s="530"/>
      <c r="GXH108" s="531"/>
      <c r="GXI108" s="530"/>
      <c r="GXJ108" s="531"/>
      <c r="GXK108" s="530"/>
      <c r="GXL108" s="531"/>
      <c r="GXM108" s="530"/>
      <c r="GXN108" s="531"/>
      <c r="GXO108" s="530"/>
      <c r="GXP108" s="531"/>
      <c r="GXQ108" s="530"/>
      <c r="GXR108" s="531"/>
      <c r="GXS108" s="530"/>
      <c r="GXT108" s="531"/>
      <c r="GXU108" s="530"/>
      <c r="GXV108" s="531"/>
      <c r="GXW108" s="530"/>
      <c r="GXX108" s="531"/>
      <c r="GXY108" s="530"/>
      <c r="GXZ108" s="531"/>
      <c r="GYA108" s="530"/>
      <c r="GYB108" s="531"/>
      <c r="GYC108" s="530"/>
      <c r="GYD108" s="531"/>
      <c r="GYE108" s="530"/>
      <c r="GYF108" s="531"/>
      <c r="GYG108" s="530"/>
      <c r="GYH108" s="531"/>
      <c r="GYI108" s="530"/>
      <c r="GYJ108" s="531"/>
      <c r="GYK108" s="530"/>
      <c r="GYL108" s="531"/>
      <c r="GYM108" s="530"/>
      <c r="GYN108" s="531"/>
      <c r="GYO108" s="530"/>
      <c r="GYP108" s="531"/>
      <c r="GYQ108" s="530"/>
      <c r="GYR108" s="531"/>
      <c r="GYS108" s="530"/>
      <c r="GYT108" s="531"/>
      <c r="GYU108" s="530"/>
      <c r="GYV108" s="531"/>
      <c r="GYW108" s="530"/>
      <c r="GYX108" s="531"/>
      <c r="GYY108" s="530"/>
      <c r="GYZ108" s="531"/>
      <c r="GZA108" s="530"/>
      <c r="GZB108" s="531"/>
      <c r="GZC108" s="530"/>
      <c r="GZD108" s="531"/>
      <c r="GZE108" s="530"/>
      <c r="GZF108" s="531"/>
      <c r="GZG108" s="530"/>
      <c r="GZH108" s="531"/>
      <c r="GZI108" s="530"/>
      <c r="GZJ108" s="531"/>
      <c r="GZK108" s="530"/>
      <c r="GZL108" s="531"/>
      <c r="GZM108" s="530"/>
      <c r="GZN108" s="531"/>
      <c r="GZO108" s="530"/>
      <c r="GZP108" s="531"/>
      <c r="GZQ108" s="530"/>
      <c r="GZR108" s="531"/>
      <c r="GZS108" s="530"/>
      <c r="GZT108" s="531"/>
      <c r="GZU108" s="530"/>
      <c r="GZV108" s="531"/>
      <c r="GZW108" s="530"/>
      <c r="GZX108" s="531"/>
      <c r="GZY108" s="530"/>
      <c r="GZZ108" s="531"/>
      <c r="HAA108" s="530"/>
      <c r="HAB108" s="531"/>
      <c r="HAC108" s="530"/>
      <c r="HAD108" s="531"/>
      <c r="HAE108" s="530"/>
      <c r="HAF108" s="531"/>
      <c r="HAG108" s="530"/>
      <c r="HAH108" s="531"/>
      <c r="HAI108" s="530"/>
      <c r="HAJ108" s="531"/>
      <c r="HAK108" s="530"/>
      <c r="HAL108" s="531"/>
      <c r="HAM108" s="530"/>
      <c r="HAN108" s="531"/>
      <c r="HAO108" s="530"/>
      <c r="HAP108" s="531"/>
      <c r="HAQ108" s="530"/>
      <c r="HAR108" s="531"/>
      <c r="HAS108" s="530"/>
      <c r="HAT108" s="531"/>
      <c r="HAU108" s="530"/>
      <c r="HAV108" s="531"/>
      <c r="HAW108" s="530"/>
      <c r="HAX108" s="531"/>
      <c r="HAY108" s="530"/>
      <c r="HAZ108" s="531"/>
      <c r="HBA108" s="530"/>
      <c r="HBB108" s="531"/>
      <c r="HBC108" s="530"/>
      <c r="HBD108" s="531"/>
      <c r="HBE108" s="530"/>
      <c r="HBF108" s="531"/>
      <c r="HBG108" s="530"/>
      <c r="HBH108" s="531"/>
      <c r="HBI108" s="530"/>
      <c r="HBJ108" s="531"/>
      <c r="HBK108" s="530"/>
      <c r="HBL108" s="531"/>
      <c r="HBM108" s="530"/>
      <c r="HBN108" s="531"/>
      <c r="HBO108" s="530"/>
      <c r="HBP108" s="531"/>
      <c r="HBQ108" s="530"/>
      <c r="HBR108" s="531"/>
      <c r="HBS108" s="530"/>
      <c r="HBT108" s="531"/>
      <c r="HBU108" s="530"/>
      <c r="HBV108" s="531"/>
      <c r="HBW108" s="530"/>
      <c r="HBX108" s="531"/>
      <c r="HBY108" s="530"/>
      <c r="HBZ108" s="531"/>
      <c r="HCA108" s="530"/>
      <c r="HCB108" s="531"/>
      <c r="HCC108" s="530"/>
      <c r="HCD108" s="531"/>
      <c r="HCE108" s="530"/>
      <c r="HCF108" s="531"/>
      <c r="HCG108" s="530"/>
      <c r="HCH108" s="531"/>
      <c r="HCI108" s="530"/>
      <c r="HCJ108" s="531"/>
      <c r="HCK108" s="530"/>
      <c r="HCL108" s="531"/>
      <c r="HCM108" s="530"/>
      <c r="HCN108" s="531"/>
      <c r="HCO108" s="530"/>
      <c r="HCP108" s="531"/>
      <c r="HCQ108" s="530"/>
      <c r="HCR108" s="531"/>
      <c r="HCS108" s="530"/>
      <c r="HCT108" s="531"/>
      <c r="HCU108" s="530"/>
      <c r="HCV108" s="531"/>
      <c r="HCW108" s="530"/>
      <c r="HCX108" s="531"/>
      <c r="HCY108" s="530"/>
      <c r="HCZ108" s="531"/>
      <c r="HDA108" s="530"/>
      <c r="HDB108" s="531"/>
      <c r="HDC108" s="530"/>
      <c r="HDD108" s="531"/>
      <c r="HDE108" s="530"/>
      <c r="HDF108" s="531"/>
      <c r="HDG108" s="530"/>
      <c r="HDH108" s="531"/>
      <c r="HDI108" s="530"/>
      <c r="HDJ108" s="531"/>
      <c r="HDK108" s="530"/>
      <c r="HDL108" s="531"/>
      <c r="HDM108" s="530"/>
      <c r="HDN108" s="531"/>
      <c r="HDO108" s="530"/>
      <c r="HDP108" s="531"/>
      <c r="HDQ108" s="530"/>
      <c r="HDR108" s="531"/>
      <c r="HDS108" s="530"/>
      <c r="HDT108" s="531"/>
      <c r="HDU108" s="530"/>
      <c r="HDV108" s="531"/>
      <c r="HDW108" s="530"/>
      <c r="HDX108" s="531"/>
      <c r="HDY108" s="530"/>
      <c r="HDZ108" s="531"/>
      <c r="HEA108" s="530"/>
      <c r="HEB108" s="531"/>
      <c r="HEC108" s="530"/>
      <c r="HED108" s="531"/>
      <c r="HEE108" s="530"/>
      <c r="HEF108" s="531"/>
      <c r="HEG108" s="530"/>
      <c r="HEH108" s="531"/>
      <c r="HEI108" s="530"/>
      <c r="HEJ108" s="531"/>
      <c r="HEK108" s="530"/>
      <c r="HEL108" s="531"/>
      <c r="HEM108" s="530"/>
      <c r="HEN108" s="531"/>
      <c r="HEO108" s="530"/>
      <c r="HEP108" s="531"/>
      <c r="HEQ108" s="530"/>
      <c r="HER108" s="531"/>
      <c r="HES108" s="530"/>
      <c r="HET108" s="531"/>
      <c r="HEU108" s="530"/>
      <c r="HEV108" s="531"/>
      <c r="HEW108" s="530"/>
      <c r="HEX108" s="531"/>
      <c r="HEY108" s="530"/>
      <c r="HEZ108" s="531"/>
      <c r="HFA108" s="530"/>
      <c r="HFB108" s="531"/>
      <c r="HFC108" s="530"/>
      <c r="HFD108" s="531"/>
      <c r="HFE108" s="530"/>
      <c r="HFF108" s="531"/>
      <c r="HFG108" s="530"/>
      <c r="HFH108" s="531"/>
      <c r="HFI108" s="530"/>
      <c r="HFJ108" s="531"/>
      <c r="HFK108" s="530"/>
      <c r="HFL108" s="531"/>
      <c r="HFM108" s="530"/>
      <c r="HFN108" s="531"/>
      <c r="HFO108" s="530"/>
      <c r="HFP108" s="531"/>
      <c r="HFQ108" s="530"/>
      <c r="HFR108" s="531"/>
      <c r="HFS108" s="530"/>
      <c r="HFT108" s="531"/>
      <c r="HFU108" s="530"/>
      <c r="HFV108" s="531"/>
      <c r="HFW108" s="530"/>
      <c r="HFX108" s="531"/>
      <c r="HFY108" s="530"/>
      <c r="HFZ108" s="531"/>
      <c r="HGA108" s="530"/>
      <c r="HGB108" s="531"/>
      <c r="HGC108" s="530"/>
      <c r="HGD108" s="531"/>
      <c r="HGE108" s="530"/>
      <c r="HGF108" s="531"/>
      <c r="HGG108" s="530"/>
      <c r="HGH108" s="531"/>
      <c r="HGI108" s="530"/>
      <c r="HGJ108" s="531"/>
      <c r="HGK108" s="530"/>
      <c r="HGL108" s="531"/>
      <c r="HGM108" s="530"/>
      <c r="HGN108" s="531"/>
      <c r="HGO108" s="530"/>
      <c r="HGP108" s="531"/>
      <c r="HGQ108" s="530"/>
      <c r="HGR108" s="531"/>
      <c r="HGS108" s="530"/>
      <c r="HGT108" s="531"/>
      <c r="HGU108" s="530"/>
      <c r="HGV108" s="531"/>
      <c r="HGW108" s="530"/>
      <c r="HGX108" s="531"/>
      <c r="HGY108" s="530"/>
      <c r="HGZ108" s="531"/>
      <c r="HHA108" s="530"/>
      <c r="HHB108" s="531"/>
      <c r="HHC108" s="530"/>
      <c r="HHD108" s="531"/>
      <c r="HHE108" s="530"/>
      <c r="HHF108" s="531"/>
      <c r="HHG108" s="530"/>
      <c r="HHH108" s="531"/>
      <c r="HHI108" s="530"/>
      <c r="HHJ108" s="531"/>
      <c r="HHK108" s="530"/>
      <c r="HHL108" s="531"/>
      <c r="HHM108" s="530"/>
      <c r="HHN108" s="531"/>
      <c r="HHO108" s="530"/>
      <c r="HHP108" s="531"/>
      <c r="HHQ108" s="530"/>
      <c r="HHR108" s="531"/>
      <c r="HHS108" s="530"/>
      <c r="HHT108" s="531"/>
      <c r="HHU108" s="530"/>
      <c r="HHV108" s="531"/>
      <c r="HHW108" s="530"/>
      <c r="HHX108" s="531"/>
      <c r="HHY108" s="530"/>
      <c r="HHZ108" s="531"/>
      <c r="HIA108" s="530"/>
      <c r="HIB108" s="531"/>
      <c r="HIC108" s="530"/>
      <c r="HID108" s="531"/>
      <c r="HIE108" s="530"/>
      <c r="HIF108" s="531"/>
      <c r="HIG108" s="530"/>
      <c r="HIH108" s="531"/>
      <c r="HII108" s="530"/>
      <c r="HIJ108" s="531"/>
      <c r="HIK108" s="530"/>
      <c r="HIL108" s="531"/>
      <c r="HIM108" s="530"/>
      <c r="HIN108" s="531"/>
      <c r="HIO108" s="530"/>
      <c r="HIP108" s="531"/>
      <c r="HIQ108" s="530"/>
      <c r="HIR108" s="531"/>
      <c r="HIS108" s="530"/>
      <c r="HIT108" s="531"/>
      <c r="HIU108" s="530"/>
      <c r="HIV108" s="531"/>
      <c r="HIW108" s="530"/>
      <c r="HIX108" s="531"/>
      <c r="HIY108" s="530"/>
      <c r="HIZ108" s="531"/>
      <c r="HJA108" s="530"/>
      <c r="HJB108" s="531"/>
      <c r="HJC108" s="530"/>
      <c r="HJD108" s="531"/>
      <c r="HJE108" s="530"/>
      <c r="HJF108" s="531"/>
      <c r="HJG108" s="530"/>
      <c r="HJH108" s="531"/>
      <c r="HJI108" s="530"/>
      <c r="HJJ108" s="531"/>
      <c r="HJK108" s="530"/>
      <c r="HJL108" s="531"/>
      <c r="HJM108" s="530"/>
      <c r="HJN108" s="531"/>
      <c r="HJO108" s="530"/>
      <c r="HJP108" s="531"/>
      <c r="HJQ108" s="530"/>
      <c r="HJR108" s="531"/>
      <c r="HJS108" s="530"/>
      <c r="HJT108" s="531"/>
      <c r="HJU108" s="530"/>
      <c r="HJV108" s="531"/>
      <c r="HJW108" s="530"/>
      <c r="HJX108" s="531"/>
      <c r="HJY108" s="530"/>
      <c r="HJZ108" s="531"/>
      <c r="HKA108" s="530"/>
      <c r="HKB108" s="531"/>
      <c r="HKC108" s="530"/>
      <c r="HKD108" s="531"/>
      <c r="HKE108" s="530"/>
      <c r="HKF108" s="531"/>
      <c r="HKG108" s="530"/>
      <c r="HKH108" s="531"/>
      <c r="HKI108" s="530"/>
      <c r="HKJ108" s="531"/>
      <c r="HKK108" s="530"/>
      <c r="HKL108" s="531"/>
      <c r="HKM108" s="530"/>
      <c r="HKN108" s="531"/>
      <c r="HKO108" s="530"/>
      <c r="HKP108" s="531"/>
      <c r="HKQ108" s="530"/>
      <c r="HKR108" s="531"/>
      <c r="HKS108" s="530"/>
      <c r="HKT108" s="531"/>
      <c r="HKU108" s="530"/>
      <c r="HKV108" s="531"/>
      <c r="HKW108" s="530"/>
      <c r="HKX108" s="531"/>
      <c r="HKY108" s="530"/>
      <c r="HKZ108" s="531"/>
      <c r="HLA108" s="530"/>
      <c r="HLB108" s="531"/>
      <c r="HLC108" s="530"/>
      <c r="HLD108" s="531"/>
      <c r="HLE108" s="530"/>
      <c r="HLF108" s="531"/>
      <c r="HLG108" s="530"/>
      <c r="HLH108" s="531"/>
      <c r="HLI108" s="530"/>
      <c r="HLJ108" s="531"/>
      <c r="HLK108" s="530"/>
      <c r="HLL108" s="531"/>
      <c r="HLM108" s="530"/>
      <c r="HLN108" s="531"/>
      <c r="HLO108" s="530"/>
      <c r="HLP108" s="531"/>
      <c r="HLQ108" s="530"/>
      <c r="HLR108" s="531"/>
      <c r="HLS108" s="530"/>
      <c r="HLT108" s="531"/>
      <c r="HLU108" s="530"/>
      <c r="HLV108" s="531"/>
      <c r="HLW108" s="530"/>
      <c r="HLX108" s="531"/>
      <c r="HLY108" s="530"/>
      <c r="HLZ108" s="531"/>
      <c r="HMA108" s="530"/>
      <c r="HMB108" s="531"/>
      <c r="HMC108" s="530"/>
      <c r="HMD108" s="531"/>
      <c r="HME108" s="530"/>
      <c r="HMF108" s="531"/>
      <c r="HMG108" s="530"/>
      <c r="HMH108" s="531"/>
      <c r="HMI108" s="530"/>
      <c r="HMJ108" s="531"/>
      <c r="HMK108" s="530"/>
      <c r="HML108" s="531"/>
      <c r="HMM108" s="530"/>
      <c r="HMN108" s="531"/>
      <c r="HMO108" s="530"/>
      <c r="HMP108" s="531"/>
      <c r="HMQ108" s="530"/>
      <c r="HMR108" s="531"/>
      <c r="HMS108" s="530"/>
      <c r="HMT108" s="531"/>
      <c r="HMU108" s="530"/>
      <c r="HMV108" s="531"/>
      <c r="HMW108" s="530"/>
      <c r="HMX108" s="531"/>
      <c r="HMY108" s="530"/>
      <c r="HMZ108" s="531"/>
      <c r="HNA108" s="530"/>
      <c r="HNB108" s="531"/>
      <c r="HNC108" s="530"/>
      <c r="HND108" s="531"/>
      <c r="HNE108" s="530"/>
      <c r="HNF108" s="531"/>
      <c r="HNG108" s="530"/>
      <c r="HNH108" s="531"/>
      <c r="HNI108" s="530"/>
      <c r="HNJ108" s="531"/>
      <c r="HNK108" s="530"/>
      <c r="HNL108" s="531"/>
      <c r="HNM108" s="530"/>
      <c r="HNN108" s="531"/>
      <c r="HNO108" s="530"/>
      <c r="HNP108" s="531"/>
      <c r="HNQ108" s="530"/>
      <c r="HNR108" s="531"/>
      <c r="HNS108" s="530"/>
      <c r="HNT108" s="531"/>
      <c r="HNU108" s="530"/>
      <c r="HNV108" s="531"/>
      <c r="HNW108" s="530"/>
      <c r="HNX108" s="531"/>
      <c r="HNY108" s="530"/>
      <c r="HNZ108" s="531"/>
      <c r="HOA108" s="530"/>
      <c r="HOB108" s="531"/>
      <c r="HOC108" s="530"/>
      <c r="HOD108" s="531"/>
      <c r="HOE108" s="530"/>
      <c r="HOF108" s="531"/>
      <c r="HOG108" s="530"/>
      <c r="HOH108" s="531"/>
      <c r="HOI108" s="530"/>
      <c r="HOJ108" s="531"/>
      <c r="HOK108" s="530"/>
      <c r="HOL108" s="531"/>
      <c r="HOM108" s="530"/>
      <c r="HON108" s="531"/>
      <c r="HOO108" s="530"/>
      <c r="HOP108" s="531"/>
      <c r="HOQ108" s="530"/>
      <c r="HOR108" s="531"/>
      <c r="HOS108" s="530"/>
      <c r="HOT108" s="531"/>
      <c r="HOU108" s="530"/>
      <c r="HOV108" s="531"/>
      <c r="HOW108" s="530"/>
      <c r="HOX108" s="531"/>
      <c r="HOY108" s="530"/>
      <c r="HOZ108" s="531"/>
      <c r="HPA108" s="530"/>
      <c r="HPB108" s="531"/>
      <c r="HPC108" s="530"/>
      <c r="HPD108" s="531"/>
      <c r="HPE108" s="530"/>
      <c r="HPF108" s="531"/>
      <c r="HPG108" s="530"/>
      <c r="HPH108" s="531"/>
      <c r="HPI108" s="530"/>
      <c r="HPJ108" s="531"/>
      <c r="HPK108" s="530"/>
      <c r="HPL108" s="531"/>
      <c r="HPM108" s="530"/>
      <c r="HPN108" s="531"/>
      <c r="HPO108" s="530"/>
      <c r="HPP108" s="531"/>
      <c r="HPQ108" s="530"/>
      <c r="HPR108" s="531"/>
      <c r="HPS108" s="530"/>
      <c r="HPT108" s="531"/>
      <c r="HPU108" s="530"/>
      <c r="HPV108" s="531"/>
      <c r="HPW108" s="530"/>
      <c r="HPX108" s="531"/>
      <c r="HPY108" s="530"/>
      <c r="HPZ108" s="531"/>
      <c r="HQA108" s="530"/>
      <c r="HQB108" s="531"/>
      <c r="HQC108" s="530"/>
      <c r="HQD108" s="531"/>
      <c r="HQE108" s="530"/>
      <c r="HQF108" s="531"/>
      <c r="HQG108" s="530"/>
      <c r="HQH108" s="531"/>
      <c r="HQI108" s="530"/>
      <c r="HQJ108" s="531"/>
      <c r="HQK108" s="530"/>
      <c r="HQL108" s="531"/>
      <c r="HQM108" s="530"/>
      <c r="HQN108" s="531"/>
      <c r="HQO108" s="530"/>
      <c r="HQP108" s="531"/>
      <c r="HQQ108" s="530"/>
      <c r="HQR108" s="531"/>
      <c r="HQS108" s="530"/>
      <c r="HQT108" s="531"/>
      <c r="HQU108" s="530"/>
      <c r="HQV108" s="531"/>
      <c r="HQW108" s="530"/>
      <c r="HQX108" s="531"/>
      <c r="HQY108" s="530"/>
      <c r="HQZ108" s="531"/>
      <c r="HRA108" s="530"/>
      <c r="HRB108" s="531"/>
      <c r="HRC108" s="530"/>
      <c r="HRD108" s="531"/>
      <c r="HRE108" s="530"/>
      <c r="HRF108" s="531"/>
      <c r="HRG108" s="530"/>
      <c r="HRH108" s="531"/>
      <c r="HRI108" s="530"/>
      <c r="HRJ108" s="531"/>
      <c r="HRK108" s="530"/>
      <c r="HRL108" s="531"/>
      <c r="HRM108" s="530"/>
      <c r="HRN108" s="531"/>
      <c r="HRO108" s="530"/>
      <c r="HRP108" s="531"/>
      <c r="HRQ108" s="530"/>
      <c r="HRR108" s="531"/>
      <c r="HRS108" s="530"/>
      <c r="HRT108" s="531"/>
      <c r="HRU108" s="530"/>
      <c r="HRV108" s="531"/>
      <c r="HRW108" s="530"/>
      <c r="HRX108" s="531"/>
      <c r="HRY108" s="530"/>
      <c r="HRZ108" s="531"/>
      <c r="HSA108" s="530"/>
      <c r="HSB108" s="531"/>
      <c r="HSC108" s="530"/>
      <c r="HSD108" s="531"/>
      <c r="HSE108" s="530"/>
      <c r="HSF108" s="531"/>
      <c r="HSG108" s="530"/>
      <c r="HSH108" s="531"/>
      <c r="HSI108" s="530"/>
      <c r="HSJ108" s="531"/>
      <c r="HSK108" s="530"/>
      <c r="HSL108" s="531"/>
      <c r="HSM108" s="530"/>
      <c r="HSN108" s="531"/>
      <c r="HSO108" s="530"/>
      <c r="HSP108" s="531"/>
      <c r="HSQ108" s="530"/>
      <c r="HSR108" s="531"/>
      <c r="HSS108" s="530"/>
      <c r="HST108" s="531"/>
      <c r="HSU108" s="530"/>
      <c r="HSV108" s="531"/>
      <c r="HSW108" s="530"/>
      <c r="HSX108" s="531"/>
      <c r="HSY108" s="530"/>
      <c r="HSZ108" s="531"/>
      <c r="HTA108" s="530"/>
      <c r="HTB108" s="531"/>
      <c r="HTC108" s="530"/>
      <c r="HTD108" s="531"/>
      <c r="HTE108" s="530"/>
      <c r="HTF108" s="531"/>
      <c r="HTG108" s="530"/>
      <c r="HTH108" s="531"/>
      <c r="HTI108" s="530"/>
      <c r="HTJ108" s="531"/>
      <c r="HTK108" s="530"/>
      <c r="HTL108" s="531"/>
      <c r="HTM108" s="530"/>
      <c r="HTN108" s="531"/>
      <c r="HTO108" s="530"/>
      <c r="HTP108" s="531"/>
      <c r="HTQ108" s="530"/>
      <c r="HTR108" s="531"/>
      <c r="HTS108" s="530"/>
      <c r="HTT108" s="531"/>
      <c r="HTU108" s="530"/>
      <c r="HTV108" s="531"/>
      <c r="HTW108" s="530"/>
      <c r="HTX108" s="531"/>
      <c r="HTY108" s="530"/>
      <c r="HTZ108" s="531"/>
      <c r="HUA108" s="530"/>
      <c r="HUB108" s="531"/>
      <c r="HUC108" s="530"/>
      <c r="HUD108" s="531"/>
      <c r="HUE108" s="530"/>
      <c r="HUF108" s="531"/>
      <c r="HUG108" s="530"/>
      <c r="HUH108" s="531"/>
      <c r="HUI108" s="530"/>
      <c r="HUJ108" s="531"/>
      <c r="HUK108" s="530"/>
      <c r="HUL108" s="531"/>
      <c r="HUM108" s="530"/>
      <c r="HUN108" s="531"/>
      <c r="HUO108" s="530"/>
      <c r="HUP108" s="531"/>
      <c r="HUQ108" s="530"/>
      <c r="HUR108" s="531"/>
      <c r="HUS108" s="530"/>
      <c r="HUT108" s="531"/>
      <c r="HUU108" s="530"/>
      <c r="HUV108" s="531"/>
      <c r="HUW108" s="530"/>
      <c r="HUX108" s="531"/>
      <c r="HUY108" s="530"/>
      <c r="HUZ108" s="531"/>
      <c r="HVA108" s="530"/>
      <c r="HVB108" s="531"/>
      <c r="HVC108" s="530"/>
      <c r="HVD108" s="531"/>
      <c r="HVE108" s="530"/>
      <c r="HVF108" s="531"/>
      <c r="HVG108" s="530"/>
      <c r="HVH108" s="531"/>
      <c r="HVI108" s="530"/>
      <c r="HVJ108" s="531"/>
      <c r="HVK108" s="530"/>
      <c r="HVL108" s="531"/>
      <c r="HVM108" s="530"/>
      <c r="HVN108" s="531"/>
      <c r="HVO108" s="530"/>
      <c r="HVP108" s="531"/>
      <c r="HVQ108" s="530"/>
      <c r="HVR108" s="531"/>
      <c r="HVS108" s="530"/>
      <c r="HVT108" s="531"/>
      <c r="HVU108" s="530"/>
      <c r="HVV108" s="531"/>
      <c r="HVW108" s="530"/>
      <c r="HVX108" s="531"/>
      <c r="HVY108" s="530"/>
      <c r="HVZ108" s="531"/>
      <c r="HWA108" s="530"/>
      <c r="HWB108" s="531"/>
      <c r="HWC108" s="530"/>
      <c r="HWD108" s="531"/>
      <c r="HWE108" s="530"/>
      <c r="HWF108" s="531"/>
      <c r="HWG108" s="530"/>
      <c r="HWH108" s="531"/>
      <c r="HWI108" s="530"/>
      <c r="HWJ108" s="531"/>
      <c r="HWK108" s="530"/>
      <c r="HWL108" s="531"/>
      <c r="HWM108" s="530"/>
      <c r="HWN108" s="531"/>
      <c r="HWO108" s="530"/>
      <c r="HWP108" s="531"/>
      <c r="HWQ108" s="530"/>
      <c r="HWR108" s="531"/>
      <c r="HWS108" s="530"/>
      <c r="HWT108" s="531"/>
      <c r="HWU108" s="530"/>
      <c r="HWV108" s="531"/>
      <c r="HWW108" s="530"/>
      <c r="HWX108" s="531"/>
      <c r="HWY108" s="530"/>
      <c r="HWZ108" s="531"/>
      <c r="HXA108" s="530"/>
      <c r="HXB108" s="531"/>
      <c r="HXC108" s="530"/>
      <c r="HXD108" s="531"/>
      <c r="HXE108" s="530"/>
      <c r="HXF108" s="531"/>
      <c r="HXG108" s="530"/>
      <c r="HXH108" s="531"/>
      <c r="HXI108" s="530"/>
      <c r="HXJ108" s="531"/>
      <c r="HXK108" s="530"/>
      <c r="HXL108" s="531"/>
      <c r="HXM108" s="530"/>
      <c r="HXN108" s="531"/>
      <c r="HXO108" s="530"/>
      <c r="HXP108" s="531"/>
      <c r="HXQ108" s="530"/>
      <c r="HXR108" s="531"/>
      <c r="HXS108" s="530"/>
      <c r="HXT108" s="531"/>
      <c r="HXU108" s="530"/>
      <c r="HXV108" s="531"/>
      <c r="HXW108" s="530"/>
      <c r="HXX108" s="531"/>
      <c r="HXY108" s="530"/>
      <c r="HXZ108" s="531"/>
      <c r="HYA108" s="530"/>
      <c r="HYB108" s="531"/>
      <c r="HYC108" s="530"/>
      <c r="HYD108" s="531"/>
      <c r="HYE108" s="530"/>
      <c r="HYF108" s="531"/>
      <c r="HYG108" s="530"/>
      <c r="HYH108" s="531"/>
      <c r="HYI108" s="530"/>
      <c r="HYJ108" s="531"/>
      <c r="HYK108" s="530"/>
      <c r="HYL108" s="531"/>
      <c r="HYM108" s="530"/>
      <c r="HYN108" s="531"/>
      <c r="HYO108" s="530"/>
      <c r="HYP108" s="531"/>
      <c r="HYQ108" s="530"/>
      <c r="HYR108" s="531"/>
      <c r="HYS108" s="530"/>
      <c r="HYT108" s="531"/>
      <c r="HYU108" s="530"/>
      <c r="HYV108" s="531"/>
      <c r="HYW108" s="530"/>
      <c r="HYX108" s="531"/>
      <c r="HYY108" s="530"/>
      <c r="HYZ108" s="531"/>
      <c r="HZA108" s="530"/>
      <c r="HZB108" s="531"/>
      <c r="HZC108" s="530"/>
      <c r="HZD108" s="531"/>
      <c r="HZE108" s="530"/>
      <c r="HZF108" s="531"/>
      <c r="HZG108" s="530"/>
      <c r="HZH108" s="531"/>
      <c r="HZI108" s="530"/>
      <c r="HZJ108" s="531"/>
      <c r="HZK108" s="530"/>
      <c r="HZL108" s="531"/>
      <c r="HZM108" s="530"/>
      <c r="HZN108" s="531"/>
      <c r="HZO108" s="530"/>
      <c r="HZP108" s="531"/>
      <c r="HZQ108" s="530"/>
      <c r="HZR108" s="531"/>
      <c r="HZS108" s="530"/>
      <c r="HZT108" s="531"/>
      <c r="HZU108" s="530"/>
      <c r="HZV108" s="531"/>
      <c r="HZW108" s="530"/>
      <c r="HZX108" s="531"/>
      <c r="HZY108" s="530"/>
      <c r="HZZ108" s="531"/>
      <c r="IAA108" s="530"/>
      <c r="IAB108" s="531"/>
      <c r="IAC108" s="530"/>
      <c r="IAD108" s="531"/>
      <c r="IAE108" s="530"/>
      <c r="IAF108" s="531"/>
      <c r="IAG108" s="530"/>
      <c r="IAH108" s="531"/>
      <c r="IAI108" s="530"/>
      <c r="IAJ108" s="531"/>
      <c r="IAK108" s="530"/>
      <c r="IAL108" s="531"/>
      <c r="IAM108" s="530"/>
      <c r="IAN108" s="531"/>
      <c r="IAO108" s="530"/>
      <c r="IAP108" s="531"/>
      <c r="IAQ108" s="530"/>
      <c r="IAR108" s="531"/>
      <c r="IAS108" s="530"/>
      <c r="IAT108" s="531"/>
      <c r="IAU108" s="530"/>
      <c r="IAV108" s="531"/>
      <c r="IAW108" s="530"/>
      <c r="IAX108" s="531"/>
      <c r="IAY108" s="530"/>
      <c r="IAZ108" s="531"/>
      <c r="IBA108" s="530"/>
      <c r="IBB108" s="531"/>
      <c r="IBC108" s="530"/>
      <c r="IBD108" s="531"/>
      <c r="IBE108" s="530"/>
      <c r="IBF108" s="531"/>
      <c r="IBG108" s="530"/>
      <c r="IBH108" s="531"/>
      <c r="IBI108" s="530"/>
      <c r="IBJ108" s="531"/>
      <c r="IBK108" s="530"/>
      <c r="IBL108" s="531"/>
      <c r="IBM108" s="530"/>
      <c r="IBN108" s="531"/>
      <c r="IBO108" s="530"/>
      <c r="IBP108" s="531"/>
      <c r="IBQ108" s="530"/>
      <c r="IBR108" s="531"/>
      <c r="IBS108" s="530"/>
      <c r="IBT108" s="531"/>
      <c r="IBU108" s="530"/>
      <c r="IBV108" s="531"/>
      <c r="IBW108" s="530"/>
      <c r="IBX108" s="531"/>
      <c r="IBY108" s="530"/>
      <c r="IBZ108" s="531"/>
      <c r="ICA108" s="530"/>
      <c r="ICB108" s="531"/>
      <c r="ICC108" s="530"/>
      <c r="ICD108" s="531"/>
      <c r="ICE108" s="530"/>
      <c r="ICF108" s="531"/>
      <c r="ICG108" s="530"/>
      <c r="ICH108" s="531"/>
      <c r="ICI108" s="530"/>
      <c r="ICJ108" s="531"/>
      <c r="ICK108" s="530"/>
      <c r="ICL108" s="531"/>
      <c r="ICM108" s="530"/>
      <c r="ICN108" s="531"/>
      <c r="ICO108" s="530"/>
      <c r="ICP108" s="531"/>
      <c r="ICQ108" s="530"/>
      <c r="ICR108" s="531"/>
      <c r="ICS108" s="530"/>
      <c r="ICT108" s="531"/>
      <c r="ICU108" s="530"/>
      <c r="ICV108" s="531"/>
      <c r="ICW108" s="530"/>
      <c r="ICX108" s="531"/>
      <c r="ICY108" s="530"/>
      <c r="ICZ108" s="531"/>
      <c r="IDA108" s="530"/>
      <c r="IDB108" s="531"/>
      <c r="IDC108" s="530"/>
      <c r="IDD108" s="531"/>
      <c r="IDE108" s="530"/>
      <c r="IDF108" s="531"/>
      <c r="IDG108" s="530"/>
      <c r="IDH108" s="531"/>
      <c r="IDI108" s="530"/>
      <c r="IDJ108" s="531"/>
      <c r="IDK108" s="530"/>
      <c r="IDL108" s="531"/>
      <c r="IDM108" s="530"/>
      <c r="IDN108" s="531"/>
      <c r="IDO108" s="530"/>
      <c r="IDP108" s="531"/>
      <c r="IDQ108" s="530"/>
      <c r="IDR108" s="531"/>
      <c r="IDS108" s="530"/>
      <c r="IDT108" s="531"/>
      <c r="IDU108" s="530"/>
      <c r="IDV108" s="531"/>
      <c r="IDW108" s="530"/>
      <c r="IDX108" s="531"/>
      <c r="IDY108" s="530"/>
      <c r="IDZ108" s="531"/>
      <c r="IEA108" s="530"/>
      <c r="IEB108" s="531"/>
      <c r="IEC108" s="530"/>
      <c r="IED108" s="531"/>
      <c r="IEE108" s="530"/>
      <c r="IEF108" s="531"/>
      <c r="IEG108" s="530"/>
      <c r="IEH108" s="531"/>
      <c r="IEI108" s="530"/>
      <c r="IEJ108" s="531"/>
      <c r="IEK108" s="530"/>
      <c r="IEL108" s="531"/>
      <c r="IEM108" s="530"/>
      <c r="IEN108" s="531"/>
      <c r="IEO108" s="530"/>
      <c r="IEP108" s="531"/>
      <c r="IEQ108" s="530"/>
      <c r="IER108" s="531"/>
      <c r="IES108" s="530"/>
      <c r="IET108" s="531"/>
      <c r="IEU108" s="530"/>
      <c r="IEV108" s="531"/>
      <c r="IEW108" s="530"/>
      <c r="IEX108" s="531"/>
      <c r="IEY108" s="530"/>
      <c r="IEZ108" s="531"/>
      <c r="IFA108" s="530"/>
      <c r="IFB108" s="531"/>
      <c r="IFC108" s="530"/>
      <c r="IFD108" s="531"/>
      <c r="IFE108" s="530"/>
      <c r="IFF108" s="531"/>
      <c r="IFG108" s="530"/>
      <c r="IFH108" s="531"/>
      <c r="IFI108" s="530"/>
      <c r="IFJ108" s="531"/>
      <c r="IFK108" s="530"/>
      <c r="IFL108" s="531"/>
      <c r="IFM108" s="530"/>
      <c r="IFN108" s="531"/>
      <c r="IFO108" s="530"/>
      <c r="IFP108" s="531"/>
      <c r="IFQ108" s="530"/>
      <c r="IFR108" s="531"/>
      <c r="IFS108" s="530"/>
      <c r="IFT108" s="531"/>
      <c r="IFU108" s="530"/>
      <c r="IFV108" s="531"/>
      <c r="IFW108" s="530"/>
      <c r="IFX108" s="531"/>
      <c r="IFY108" s="530"/>
      <c r="IFZ108" s="531"/>
      <c r="IGA108" s="530"/>
      <c r="IGB108" s="531"/>
      <c r="IGC108" s="530"/>
      <c r="IGD108" s="531"/>
      <c r="IGE108" s="530"/>
      <c r="IGF108" s="531"/>
      <c r="IGG108" s="530"/>
      <c r="IGH108" s="531"/>
      <c r="IGI108" s="530"/>
      <c r="IGJ108" s="531"/>
      <c r="IGK108" s="530"/>
      <c r="IGL108" s="531"/>
      <c r="IGM108" s="530"/>
      <c r="IGN108" s="531"/>
      <c r="IGO108" s="530"/>
      <c r="IGP108" s="531"/>
      <c r="IGQ108" s="530"/>
      <c r="IGR108" s="531"/>
      <c r="IGS108" s="530"/>
      <c r="IGT108" s="531"/>
      <c r="IGU108" s="530"/>
      <c r="IGV108" s="531"/>
      <c r="IGW108" s="530"/>
      <c r="IGX108" s="531"/>
      <c r="IGY108" s="530"/>
      <c r="IGZ108" s="531"/>
      <c r="IHA108" s="530"/>
      <c r="IHB108" s="531"/>
      <c r="IHC108" s="530"/>
      <c r="IHD108" s="531"/>
      <c r="IHE108" s="530"/>
      <c r="IHF108" s="531"/>
      <c r="IHG108" s="530"/>
      <c r="IHH108" s="531"/>
      <c r="IHI108" s="530"/>
      <c r="IHJ108" s="531"/>
      <c r="IHK108" s="530"/>
      <c r="IHL108" s="531"/>
      <c r="IHM108" s="530"/>
      <c r="IHN108" s="531"/>
      <c r="IHO108" s="530"/>
      <c r="IHP108" s="531"/>
      <c r="IHQ108" s="530"/>
      <c r="IHR108" s="531"/>
      <c r="IHS108" s="530"/>
      <c r="IHT108" s="531"/>
      <c r="IHU108" s="530"/>
      <c r="IHV108" s="531"/>
      <c r="IHW108" s="530"/>
      <c r="IHX108" s="531"/>
      <c r="IHY108" s="530"/>
      <c r="IHZ108" s="531"/>
      <c r="IIA108" s="530"/>
      <c r="IIB108" s="531"/>
      <c r="IIC108" s="530"/>
      <c r="IID108" s="531"/>
      <c r="IIE108" s="530"/>
      <c r="IIF108" s="531"/>
      <c r="IIG108" s="530"/>
      <c r="IIH108" s="531"/>
      <c r="III108" s="530"/>
      <c r="IIJ108" s="531"/>
      <c r="IIK108" s="530"/>
      <c r="IIL108" s="531"/>
      <c r="IIM108" s="530"/>
      <c r="IIN108" s="531"/>
      <c r="IIO108" s="530"/>
      <c r="IIP108" s="531"/>
      <c r="IIQ108" s="530"/>
      <c r="IIR108" s="531"/>
      <c r="IIS108" s="530"/>
      <c r="IIT108" s="531"/>
      <c r="IIU108" s="530"/>
      <c r="IIV108" s="531"/>
      <c r="IIW108" s="530"/>
      <c r="IIX108" s="531"/>
      <c r="IIY108" s="530"/>
      <c r="IIZ108" s="531"/>
      <c r="IJA108" s="530"/>
      <c r="IJB108" s="531"/>
      <c r="IJC108" s="530"/>
      <c r="IJD108" s="531"/>
      <c r="IJE108" s="530"/>
      <c r="IJF108" s="531"/>
      <c r="IJG108" s="530"/>
      <c r="IJH108" s="531"/>
      <c r="IJI108" s="530"/>
      <c r="IJJ108" s="531"/>
      <c r="IJK108" s="530"/>
      <c r="IJL108" s="531"/>
      <c r="IJM108" s="530"/>
      <c r="IJN108" s="531"/>
      <c r="IJO108" s="530"/>
      <c r="IJP108" s="531"/>
      <c r="IJQ108" s="530"/>
      <c r="IJR108" s="531"/>
      <c r="IJS108" s="530"/>
      <c r="IJT108" s="531"/>
      <c r="IJU108" s="530"/>
      <c r="IJV108" s="531"/>
      <c r="IJW108" s="530"/>
      <c r="IJX108" s="531"/>
      <c r="IJY108" s="530"/>
      <c r="IJZ108" s="531"/>
      <c r="IKA108" s="530"/>
      <c r="IKB108" s="531"/>
      <c r="IKC108" s="530"/>
      <c r="IKD108" s="531"/>
      <c r="IKE108" s="530"/>
      <c r="IKF108" s="531"/>
      <c r="IKG108" s="530"/>
      <c r="IKH108" s="531"/>
      <c r="IKI108" s="530"/>
      <c r="IKJ108" s="531"/>
      <c r="IKK108" s="530"/>
      <c r="IKL108" s="531"/>
      <c r="IKM108" s="530"/>
      <c r="IKN108" s="531"/>
      <c r="IKO108" s="530"/>
      <c r="IKP108" s="531"/>
      <c r="IKQ108" s="530"/>
      <c r="IKR108" s="531"/>
      <c r="IKS108" s="530"/>
      <c r="IKT108" s="531"/>
      <c r="IKU108" s="530"/>
      <c r="IKV108" s="531"/>
      <c r="IKW108" s="530"/>
      <c r="IKX108" s="531"/>
      <c r="IKY108" s="530"/>
      <c r="IKZ108" s="531"/>
      <c r="ILA108" s="530"/>
      <c r="ILB108" s="531"/>
      <c r="ILC108" s="530"/>
      <c r="ILD108" s="531"/>
      <c r="ILE108" s="530"/>
      <c r="ILF108" s="531"/>
      <c r="ILG108" s="530"/>
      <c r="ILH108" s="531"/>
      <c r="ILI108" s="530"/>
      <c r="ILJ108" s="531"/>
      <c r="ILK108" s="530"/>
      <c r="ILL108" s="531"/>
      <c r="ILM108" s="530"/>
      <c r="ILN108" s="531"/>
      <c r="ILO108" s="530"/>
      <c r="ILP108" s="531"/>
      <c r="ILQ108" s="530"/>
      <c r="ILR108" s="531"/>
      <c r="ILS108" s="530"/>
      <c r="ILT108" s="531"/>
      <c r="ILU108" s="530"/>
      <c r="ILV108" s="531"/>
      <c r="ILW108" s="530"/>
      <c r="ILX108" s="531"/>
      <c r="ILY108" s="530"/>
      <c r="ILZ108" s="531"/>
      <c r="IMA108" s="530"/>
      <c r="IMB108" s="531"/>
      <c r="IMC108" s="530"/>
      <c r="IMD108" s="531"/>
      <c r="IME108" s="530"/>
      <c r="IMF108" s="531"/>
      <c r="IMG108" s="530"/>
      <c r="IMH108" s="531"/>
      <c r="IMI108" s="530"/>
      <c r="IMJ108" s="531"/>
      <c r="IMK108" s="530"/>
      <c r="IML108" s="531"/>
      <c r="IMM108" s="530"/>
      <c r="IMN108" s="531"/>
      <c r="IMO108" s="530"/>
      <c r="IMP108" s="531"/>
      <c r="IMQ108" s="530"/>
      <c r="IMR108" s="531"/>
      <c r="IMS108" s="530"/>
      <c r="IMT108" s="531"/>
      <c r="IMU108" s="530"/>
      <c r="IMV108" s="531"/>
      <c r="IMW108" s="530"/>
      <c r="IMX108" s="531"/>
      <c r="IMY108" s="530"/>
      <c r="IMZ108" s="531"/>
      <c r="INA108" s="530"/>
      <c r="INB108" s="531"/>
      <c r="INC108" s="530"/>
      <c r="IND108" s="531"/>
      <c r="INE108" s="530"/>
      <c r="INF108" s="531"/>
      <c r="ING108" s="530"/>
      <c r="INH108" s="531"/>
      <c r="INI108" s="530"/>
      <c r="INJ108" s="531"/>
      <c r="INK108" s="530"/>
      <c r="INL108" s="531"/>
      <c r="INM108" s="530"/>
      <c r="INN108" s="531"/>
      <c r="INO108" s="530"/>
      <c r="INP108" s="531"/>
      <c r="INQ108" s="530"/>
      <c r="INR108" s="531"/>
      <c r="INS108" s="530"/>
      <c r="INT108" s="531"/>
      <c r="INU108" s="530"/>
      <c r="INV108" s="531"/>
      <c r="INW108" s="530"/>
      <c r="INX108" s="531"/>
      <c r="INY108" s="530"/>
      <c r="INZ108" s="531"/>
      <c r="IOA108" s="530"/>
      <c r="IOB108" s="531"/>
      <c r="IOC108" s="530"/>
      <c r="IOD108" s="531"/>
      <c r="IOE108" s="530"/>
      <c r="IOF108" s="531"/>
      <c r="IOG108" s="530"/>
      <c r="IOH108" s="531"/>
      <c r="IOI108" s="530"/>
      <c r="IOJ108" s="531"/>
      <c r="IOK108" s="530"/>
      <c r="IOL108" s="531"/>
      <c r="IOM108" s="530"/>
      <c r="ION108" s="531"/>
      <c r="IOO108" s="530"/>
      <c r="IOP108" s="531"/>
      <c r="IOQ108" s="530"/>
      <c r="IOR108" s="531"/>
      <c r="IOS108" s="530"/>
      <c r="IOT108" s="531"/>
      <c r="IOU108" s="530"/>
      <c r="IOV108" s="531"/>
      <c r="IOW108" s="530"/>
      <c r="IOX108" s="531"/>
      <c r="IOY108" s="530"/>
      <c r="IOZ108" s="531"/>
      <c r="IPA108" s="530"/>
      <c r="IPB108" s="531"/>
      <c r="IPC108" s="530"/>
      <c r="IPD108" s="531"/>
      <c r="IPE108" s="530"/>
      <c r="IPF108" s="531"/>
      <c r="IPG108" s="530"/>
      <c r="IPH108" s="531"/>
      <c r="IPI108" s="530"/>
      <c r="IPJ108" s="531"/>
      <c r="IPK108" s="530"/>
      <c r="IPL108" s="531"/>
      <c r="IPM108" s="530"/>
      <c r="IPN108" s="531"/>
      <c r="IPO108" s="530"/>
      <c r="IPP108" s="531"/>
      <c r="IPQ108" s="530"/>
      <c r="IPR108" s="531"/>
      <c r="IPS108" s="530"/>
      <c r="IPT108" s="531"/>
      <c r="IPU108" s="530"/>
      <c r="IPV108" s="531"/>
      <c r="IPW108" s="530"/>
      <c r="IPX108" s="531"/>
      <c r="IPY108" s="530"/>
      <c r="IPZ108" s="531"/>
      <c r="IQA108" s="530"/>
      <c r="IQB108" s="531"/>
      <c r="IQC108" s="530"/>
      <c r="IQD108" s="531"/>
      <c r="IQE108" s="530"/>
      <c r="IQF108" s="531"/>
      <c r="IQG108" s="530"/>
      <c r="IQH108" s="531"/>
      <c r="IQI108" s="530"/>
      <c r="IQJ108" s="531"/>
      <c r="IQK108" s="530"/>
      <c r="IQL108" s="531"/>
      <c r="IQM108" s="530"/>
      <c r="IQN108" s="531"/>
      <c r="IQO108" s="530"/>
      <c r="IQP108" s="531"/>
      <c r="IQQ108" s="530"/>
      <c r="IQR108" s="531"/>
      <c r="IQS108" s="530"/>
      <c r="IQT108" s="531"/>
      <c r="IQU108" s="530"/>
      <c r="IQV108" s="531"/>
      <c r="IQW108" s="530"/>
      <c r="IQX108" s="531"/>
      <c r="IQY108" s="530"/>
      <c r="IQZ108" s="531"/>
      <c r="IRA108" s="530"/>
      <c r="IRB108" s="531"/>
      <c r="IRC108" s="530"/>
      <c r="IRD108" s="531"/>
      <c r="IRE108" s="530"/>
      <c r="IRF108" s="531"/>
      <c r="IRG108" s="530"/>
      <c r="IRH108" s="531"/>
      <c r="IRI108" s="530"/>
      <c r="IRJ108" s="531"/>
      <c r="IRK108" s="530"/>
      <c r="IRL108" s="531"/>
      <c r="IRM108" s="530"/>
      <c r="IRN108" s="531"/>
      <c r="IRO108" s="530"/>
      <c r="IRP108" s="531"/>
      <c r="IRQ108" s="530"/>
      <c r="IRR108" s="531"/>
      <c r="IRS108" s="530"/>
      <c r="IRT108" s="531"/>
      <c r="IRU108" s="530"/>
      <c r="IRV108" s="531"/>
      <c r="IRW108" s="530"/>
      <c r="IRX108" s="531"/>
      <c r="IRY108" s="530"/>
      <c r="IRZ108" s="531"/>
      <c r="ISA108" s="530"/>
      <c r="ISB108" s="531"/>
      <c r="ISC108" s="530"/>
      <c r="ISD108" s="531"/>
      <c r="ISE108" s="530"/>
      <c r="ISF108" s="531"/>
      <c r="ISG108" s="530"/>
      <c r="ISH108" s="531"/>
      <c r="ISI108" s="530"/>
      <c r="ISJ108" s="531"/>
      <c r="ISK108" s="530"/>
      <c r="ISL108" s="531"/>
      <c r="ISM108" s="530"/>
      <c r="ISN108" s="531"/>
      <c r="ISO108" s="530"/>
      <c r="ISP108" s="531"/>
      <c r="ISQ108" s="530"/>
      <c r="ISR108" s="531"/>
      <c r="ISS108" s="530"/>
      <c r="IST108" s="531"/>
      <c r="ISU108" s="530"/>
      <c r="ISV108" s="531"/>
      <c r="ISW108" s="530"/>
      <c r="ISX108" s="531"/>
      <c r="ISY108" s="530"/>
      <c r="ISZ108" s="531"/>
      <c r="ITA108" s="530"/>
      <c r="ITB108" s="531"/>
      <c r="ITC108" s="530"/>
      <c r="ITD108" s="531"/>
      <c r="ITE108" s="530"/>
      <c r="ITF108" s="531"/>
      <c r="ITG108" s="530"/>
      <c r="ITH108" s="531"/>
      <c r="ITI108" s="530"/>
      <c r="ITJ108" s="531"/>
      <c r="ITK108" s="530"/>
      <c r="ITL108" s="531"/>
      <c r="ITM108" s="530"/>
      <c r="ITN108" s="531"/>
      <c r="ITO108" s="530"/>
      <c r="ITP108" s="531"/>
      <c r="ITQ108" s="530"/>
      <c r="ITR108" s="531"/>
      <c r="ITS108" s="530"/>
      <c r="ITT108" s="531"/>
      <c r="ITU108" s="530"/>
      <c r="ITV108" s="531"/>
      <c r="ITW108" s="530"/>
      <c r="ITX108" s="531"/>
      <c r="ITY108" s="530"/>
      <c r="ITZ108" s="531"/>
      <c r="IUA108" s="530"/>
      <c r="IUB108" s="531"/>
      <c r="IUC108" s="530"/>
      <c r="IUD108" s="531"/>
      <c r="IUE108" s="530"/>
      <c r="IUF108" s="531"/>
      <c r="IUG108" s="530"/>
      <c r="IUH108" s="531"/>
      <c r="IUI108" s="530"/>
      <c r="IUJ108" s="531"/>
      <c r="IUK108" s="530"/>
      <c r="IUL108" s="531"/>
      <c r="IUM108" s="530"/>
      <c r="IUN108" s="531"/>
      <c r="IUO108" s="530"/>
      <c r="IUP108" s="531"/>
      <c r="IUQ108" s="530"/>
      <c r="IUR108" s="531"/>
      <c r="IUS108" s="530"/>
      <c r="IUT108" s="531"/>
      <c r="IUU108" s="530"/>
      <c r="IUV108" s="531"/>
      <c r="IUW108" s="530"/>
      <c r="IUX108" s="531"/>
      <c r="IUY108" s="530"/>
      <c r="IUZ108" s="531"/>
      <c r="IVA108" s="530"/>
      <c r="IVB108" s="531"/>
      <c r="IVC108" s="530"/>
      <c r="IVD108" s="531"/>
      <c r="IVE108" s="530"/>
      <c r="IVF108" s="531"/>
      <c r="IVG108" s="530"/>
      <c r="IVH108" s="531"/>
      <c r="IVI108" s="530"/>
      <c r="IVJ108" s="531"/>
      <c r="IVK108" s="530"/>
      <c r="IVL108" s="531"/>
      <c r="IVM108" s="530"/>
      <c r="IVN108" s="531"/>
      <c r="IVO108" s="530"/>
      <c r="IVP108" s="531"/>
      <c r="IVQ108" s="530"/>
      <c r="IVR108" s="531"/>
      <c r="IVS108" s="530"/>
      <c r="IVT108" s="531"/>
      <c r="IVU108" s="530"/>
      <c r="IVV108" s="531"/>
      <c r="IVW108" s="530"/>
      <c r="IVX108" s="531"/>
      <c r="IVY108" s="530"/>
      <c r="IVZ108" s="531"/>
      <c r="IWA108" s="530"/>
      <c r="IWB108" s="531"/>
      <c r="IWC108" s="530"/>
      <c r="IWD108" s="531"/>
      <c r="IWE108" s="530"/>
      <c r="IWF108" s="531"/>
      <c r="IWG108" s="530"/>
      <c r="IWH108" s="531"/>
      <c r="IWI108" s="530"/>
      <c r="IWJ108" s="531"/>
      <c r="IWK108" s="530"/>
      <c r="IWL108" s="531"/>
      <c r="IWM108" s="530"/>
      <c r="IWN108" s="531"/>
      <c r="IWO108" s="530"/>
      <c r="IWP108" s="531"/>
      <c r="IWQ108" s="530"/>
      <c r="IWR108" s="531"/>
      <c r="IWS108" s="530"/>
      <c r="IWT108" s="531"/>
      <c r="IWU108" s="530"/>
      <c r="IWV108" s="531"/>
      <c r="IWW108" s="530"/>
      <c r="IWX108" s="531"/>
      <c r="IWY108" s="530"/>
      <c r="IWZ108" s="531"/>
      <c r="IXA108" s="530"/>
      <c r="IXB108" s="531"/>
      <c r="IXC108" s="530"/>
      <c r="IXD108" s="531"/>
      <c r="IXE108" s="530"/>
      <c r="IXF108" s="531"/>
      <c r="IXG108" s="530"/>
      <c r="IXH108" s="531"/>
      <c r="IXI108" s="530"/>
      <c r="IXJ108" s="531"/>
      <c r="IXK108" s="530"/>
      <c r="IXL108" s="531"/>
      <c r="IXM108" s="530"/>
      <c r="IXN108" s="531"/>
      <c r="IXO108" s="530"/>
      <c r="IXP108" s="531"/>
      <c r="IXQ108" s="530"/>
      <c r="IXR108" s="531"/>
      <c r="IXS108" s="530"/>
      <c r="IXT108" s="531"/>
      <c r="IXU108" s="530"/>
      <c r="IXV108" s="531"/>
      <c r="IXW108" s="530"/>
      <c r="IXX108" s="531"/>
      <c r="IXY108" s="530"/>
      <c r="IXZ108" s="531"/>
      <c r="IYA108" s="530"/>
      <c r="IYB108" s="531"/>
      <c r="IYC108" s="530"/>
      <c r="IYD108" s="531"/>
      <c r="IYE108" s="530"/>
      <c r="IYF108" s="531"/>
      <c r="IYG108" s="530"/>
      <c r="IYH108" s="531"/>
      <c r="IYI108" s="530"/>
      <c r="IYJ108" s="531"/>
      <c r="IYK108" s="530"/>
      <c r="IYL108" s="531"/>
      <c r="IYM108" s="530"/>
      <c r="IYN108" s="531"/>
      <c r="IYO108" s="530"/>
      <c r="IYP108" s="531"/>
      <c r="IYQ108" s="530"/>
      <c r="IYR108" s="531"/>
      <c r="IYS108" s="530"/>
      <c r="IYT108" s="531"/>
      <c r="IYU108" s="530"/>
      <c r="IYV108" s="531"/>
      <c r="IYW108" s="530"/>
      <c r="IYX108" s="531"/>
      <c r="IYY108" s="530"/>
      <c r="IYZ108" s="531"/>
      <c r="IZA108" s="530"/>
      <c r="IZB108" s="531"/>
      <c r="IZC108" s="530"/>
      <c r="IZD108" s="531"/>
      <c r="IZE108" s="530"/>
      <c r="IZF108" s="531"/>
      <c r="IZG108" s="530"/>
      <c r="IZH108" s="531"/>
      <c r="IZI108" s="530"/>
      <c r="IZJ108" s="531"/>
      <c r="IZK108" s="530"/>
      <c r="IZL108" s="531"/>
      <c r="IZM108" s="530"/>
      <c r="IZN108" s="531"/>
      <c r="IZO108" s="530"/>
      <c r="IZP108" s="531"/>
      <c r="IZQ108" s="530"/>
      <c r="IZR108" s="531"/>
      <c r="IZS108" s="530"/>
      <c r="IZT108" s="531"/>
      <c r="IZU108" s="530"/>
      <c r="IZV108" s="531"/>
      <c r="IZW108" s="530"/>
      <c r="IZX108" s="531"/>
      <c r="IZY108" s="530"/>
      <c r="IZZ108" s="531"/>
      <c r="JAA108" s="530"/>
      <c r="JAB108" s="531"/>
      <c r="JAC108" s="530"/>
      <c r="JAD108" s="531"/>
      <c r="JAE108" s="530"/>
      <c r="JAF108" s="531"/>
      <c r="JAG108" s="530"/>
      <c r="JAH108" s="531"/>
      <c r="JAI108" s="530"/>
      <c r="JAJ108" s="531"/>
      <c r="JAK108" s="530"/>
      <c r="JAL108" s="531"/>
      <c r="JAM108" s="530"/>
      <c r="JAN108" s="531"/>
      <c r="JAO108" s="530"/>
      <c r="JAP108" s="531"/>
      <c r="JAQ108" s="530"/>
      <c r="JAR108" s="531"/>
      <c r="JAS108" s="530"/>
      <c r="JAT108" s="531"/>
      <c r="JAU108" s="530"/>
      <c r="JAV108" s="531"/>
      <c r="JAW108" s="530"/>
      <c r="JAX108" s="531"/>
      <c r="JAY108" s="530"/>
      <c r="JAZ108" s="531"/>
      <c r="JBA108" s="530"/>
      <c r="JBB108" s="531"/>
      <c r="JBC108" s="530"/>
      <c r="JBD108" s="531"/>
      <c r="JBE108" s="530"/>
      <c r="JBF108" s="531"/>
      <c r="JBG108" s="530"/>
      <c r="JBH108" s="531"/>
      <c r="JBI108" s="530"/>
      <c r="JBJ108" s="531"/>
      <c r="JBK108" s="530"/>
      <c r="JBL108" s="531"/>
      <c r="JBM108" s="530"/>
      <c r="JBN108" s="531"/>
      <c r="JBO108" s="530"/>
      <c r="JBP108" s="531"/>
      <c r="JBQ108" s="530"/>
      <c r="JBR108" s="531"/>
      <c r="JBS108" s="530"/>
      <c r="JBT108" s="531"/>
      <c r="JBU108" s="530"/>
      <c r="JBV108" s="531"/>
      <c r="JBW108" s="530"/>
      <c r="JBX108" s="531"/>
      <c r="JBY108" s="530"/>
      <c r="JBZ108" s="531"/>
      <c r="JCA108" s="530"/>
      <c r="JCB108" s="531"/>
      <c r="JCC108" s="530"/>
      <c r="JCD108" s="531"/>
      <c r="JCE108" s="530"/>
      <c r="JCF108" s="531"/>
      <c r="JCG108" s="530"/>
      <c r="JCH108" s="531"/>
      <c r="JCI108" s="530"/>
      <c r="JCJ108" s="531"/>
      <c r="JCK108" s="530"/>
      <c r="JCL108" s="531"/>
      <c r="JCM108" s="530"/>
      <c r="JCN108" s="531"/>
      <c r="JCO108" s="530"/>
      <c r="JCP108" s="531"/>
      <c r="JCQ108" s="530"/>
      <c r="JCR108" s="531"/>
      <c r="JCS108" s="530"/>
      <c r="JCT108" s="531"/>
      <c r="JCU108" s="530"/>
      <c r="JCV108" s="531"/>
      <c r="JCW108" s="530"/>
      <c r="JCX108" s="531"/>
      <c r="JCY108" s="530"/>
      <c r="JCZ108" s="531"/>
      <c r="JDA108" s="530"/>
      <c r="JDB108" s="531"/>
      <c r="JDC108" s="530"/>
      <c r="JDD108" s="531"/>
      <c r="JDE108" s="530"/>
      <c r="JDF108" s="531"/>
      <c r="JDG108" s="530"/>
      <c r="JDH108" s="531"/>
      <c r="JDI108" s="530"/>
      <c r="JDJ108" s="531"/>
      <c r="JDK108" s="530"/>
      <c r="JDL108" s="531"/>
      <c r="JDM108" s="530"/>
      <c r="JDN108" s="531"/>
      <c r="JDO108" s="530"/>
      <c r="JDP108" s="531"/>
      <c r="JDQ108" s="530"/>
      <c r="JDR108" s="531"/>
      <c r="JDS108" s="530"/>
      <c r="JDT108" s="531"/>
      <c r="JDU108" s="530"/>
      <c r="JDV108" s="531"/>
      <c r="JDW108" s="530"/>
      <c r="JDX108" s="531"/>
      <c r="JDY108" s="530"/>
      <c r="JDZ108" s="531"/>
      <c r="JEA108" s="530"/>
      <c r="JEB108" s="531"/>
      <c r="JEC108" s="530"/>
      <c r="JED108" s="531"/>
      <c r="JEE108" s="530"/>
      <c r="JEF108" s="531"/>
      <c r="JEG108" s="530"/>
      <c r="JEH108" s="531"/>
      <c r="JEI108" s="530"/>
      <c r="JEJ108" s="531"/>
      <c r="JEK108" s="530"/>
      <c r="JEL108" s="531"/>
      <c r="JEM108" s="530"/>
      <c r="JEN108" s="531"/>
      <c r="JEO108" s="530"/>
      <c r="JEP108" s="531"/>
      <c r="JEQ108" s="530"/>
      <c r="JER108" s="531"/>
      <c r="JES108" s="530"/>
      <c r="JET108" s="531"/>
      <c r="JEU108" s="530"/>
      <c r="JEV108" s="531"/>
      <c r="JEW108" s="530"/>
      <c r="JEX108" s="531"/>
      <c r="JEY108" s="530"/>
      <c r="JEZ108" s="531"/>
      <c r="JFA108" s="530"/>
      <c r="JFB108" s="531"/>
      <c r="JFC108" s="530"/>
      <c r="JFD108" s="531"/>
      <c r="JFE108" s="530"/>
      <c r="JFF108" s="531"/>
      <c r="JFG108" s="530"/>
      <c r="JFH108" s="531"/>
      <c r="JFI108" s="530"/>
      <c r="JFJ108" s="531"/>
      <c r="JFK108" s="530"/>
      <c r="JFL108" s="531"/>
      <c r="JFM108" s="530"/>
      <c r="JFN108" s="531"/>
      <c r="JFO108" s="530"/>
      <c r="JFP108" s="531"/>
      <c r="JFQ108" s="530"/>
      <c r="JFR108" s="531"/>
      <c r="JFS108" s="530"/>
      <c r="JFT108" s="531"/>
      <c r="JFU108" s="530"/>
      <c r="JFV108" s="531"/>
      <c r="JFW108" s="530"/>
      <c r="JFX108" s="531"/>
      <c r="JFY108" s="530"/>
      <c r="JFZ108" s="531"/>
      <c r="JGA108" s="530"/>
      <c r="JGB108" s="531"/>
      <c r="JGC108" s="530"/>
      <c r="JGD108" s="531"/>
      <c r="JGE108" s="530"/>
      <c r="JGF108" s="531"/>
      <c r="JGG108" s="530"/>
      <c r="JGH108" s="531"/>
      <c r="JGI108" s="530"/>
      <c r="JGJ108" s="531"/>
      <c r="JGK108" s="530"/>
      <c r="JGL108" s="531"/>
      <c r="JGM108" s="530"/>
      <c r="JGN108" s="531"/>
      <c r="JGO108" s="530"/>
      <c r="JGP108" s="531"/>
      <c r="JGQ108" s="530"/>
      <c r="JGR108" s="531"/>
      <c r="JGS108" s="530"/>
      <c r="JGT108" s="531"/>
      <c r="JGU108" s="530"/>
      <c r="JGV108" s="531"/>
      <c r="JGW108" s="530"/>
      <c r="JGX108" s="531"/>
      <c r="JGY108" s="530"/>
      <c r="JGZ108" s="531"/>
      <c r="JHA108" s="530"/>
      <c r="JHB108" s="531"/>
      <c r="JHC108" s="530"/>
      <c r="JHD108" s="531"/>
      <c r="JHE108" s="530"/>
      <c r="JHF108" s="531"/>
      <c r="JHG108" s="530"/>
      <c r="JHH108" s="531"/>
      <c r="JHI108" s="530"/>
      <c r="JHJ108" s="531"/>
      <c r="JHK108" s="530"/>
      <c r="JHL108" s="531"/>
      <c r="JHM108" s="530"/>
      <c r="JHN108" s="531"/>
      <c r="JHO108" s="530"/>
      <c r="JHP108" s="531"/>
      <c r="JHQ108" s="530"/>
      <c r="JHR108" s="531"/>
      <c r="JHS108" s="530"/>
      <c r="JHT108" s="531"/>
      <c r="JHU108" s="530"/>
      <c r="JHV108" s="531"/>
      <c r="JHW108" s="530"/>
      <c r="JHX108" s="531"/>
      <c r="JHY108" s="530"/>
      <c r="JHZ108" s="531"/>
      <c r="JIA108" s="530"/>
      <c r="JIB108" s="531"/>
      <c r="JIC108" s="530"/>
      <c r="JID108" s="531"/>
      <c r="JIE108" s="530"/>
      <c r="JIF108" s="531"/>
      <c r="JIG108" s="530"/>
      <c r="JIH108" s="531"/>
      <c r="JII108" s="530"/>
      <c r="JIJ108" s="531"/>
      <c r="JIK108" s="530"/>
      <c r="JIL108" s="531"/>
      <c r="JIM108" s="530"/>
      <c r="JIN108" s="531"/>
      <c r="JIO108" s="530"/>
      <c r="JIP108" s="531"/>
      <c r="JIQ108" s="530"/>
      <c r="JIR108" s="531"/>
      <c r="JIS108" s="530"/>
      <c r="JIT108" s="531"/>
      <c r="JIU108" s="530"/>
      <c r="JIV108" s="531"/>
      <c r="JIW108" s="530"/>
      <c r="JIX108" s="531"/>
      <c r="JIY108" s="530"/>
      <c r="JIZ108" s="531"/>
      <c r="JJA108" s="530"/>
      <c r="JJB108" s="531"/>
      <c r="JJC108" s="530"/>
      <c r="JJD108" s="531"/>
      <c r="JJE108" s="530"/>
      <c r="JJF108" s="531"/>
      <c r="JJG108" s="530"/>
      <c r="JJH108" s="531"/>
      <c r="JJI108" s="530"/>
      <c r="JJJ108" s="531"/>
      <c r="JJK108" s="530"/>
      <c r="JJL108" s="531"/>
      <c r="JJM108" s="530"/>
      <c r="JJN108" s="531"/>
      <c r="JJO108" s="530"/>
      <c r="JJP108" s="531"/>
      <c r="JJQ108" s="530"/>
      <c r="JJR108" s="531"/>
      <c r="JJS108" s="530"/>
      <c r="JJT108" s="531"/>
      <c r="JJU108" s="530"/>
      <c r="JJV108" s="531"/>
      <c r="JJW108" s="530"/>
      <c r="JJX108" s="531"/>
      <c r="JJY108" s="530"/>
      <c r="JJZ108" s="531"/>
      <c r="JKA108" s="530"/>
      <c r="JKB108" s="531"/>
      <c r="JKC108" s="530"/>
      <c r="JKD108" s="531"/>
      <c r="JKE108" s="530"/>
      <c r="JKF108" s="531"/>
      <c r="JKG108" s="530"/>
      <c r="JKH108" s="531"/>
      <c r="JKI108" s="530"/>
      <c r="JKJ108" s="531"/>
      <c r="JKK108" s="530"/>
      <c r="JKL108" s="531"/>
      <c r="JKM108" s="530"/>
      <c r="JKN108" s="531"/>
      <c r="JKO108" s="530"/>
      <c r="JKP108" s="531"/>
      <c r="JKQ108" s="530"/>
      <c r="JKR108" s="531"/>
      <c r="JKS108" s="530"/>
      <c r="JKT108" s="531"/>
      <c r="JKU108" s="530"/>
      <c r="JKV108" s="531"/>
      <c r="JKW108" s="530"/>
      <c r="JKX108" s="531"/>
      <c r="JKY108" s="530"/>
      <c r="JKZ108" s="531"/>
      <c r="JLA108" s="530"/>
      <c r="JLB108" s="531"/>
      <c r="JLC108" s="530"/>
      <c r="JLD108" s="531"/>
      <c r="JLE108" s="530"/>
      <c r="JLF108" s="531"/>
      <c r="JLG108" s="530"/>
      <c r="JLH108" s="531"/>
      <c r="JLI108" s="530"/>
      <c r="JLJ108" s="531"/>
      <c r="JLK108" s="530"/>
      <c r="JLL108" s="531"/>
      <c r="JLM108" s="530"/>
      <c r="JLN108" s="531"/>
      <c r="JLO108" s="530"/>
      <c r="JLP108" s="531"/>
      <c r="JLQ108" s="530"/>
      <c r="JLR108" s="531"/>
      <c r="JLS108" s="530"/>
      <c r="JLT108" s="531"/>
      <c r="JLU108" s="530"/>
      <c r="JLV108" s="531"/>
      <c r="JLW108" s="530"/>
      <c r="JLX108" s="531"/>
      <c r="JLY108" s="530"/>
      <c r="JLZ108" s="531"/>
      <c r="JMA108" s="530"/>
      <c r="JMB108" s="531"/>
      <c r="JMC108" s="530"/>
      <c r="JMD108" s="531"/>
      <c r="JME108" s="530"/>
      <c r="JMF108" s="531"/>
      <c r="JMG108" s="530"/>
      <c r="JMH108" s="531"/>
      <c r="JMI108" s="530"/>
      <c r="JMJ108" s="531"/>
      <c r="JMK108" s="530"/>
      <c r="JML108" s="531"/>
      <c r="JMM108" s="530"/>
      <c r="JMN108" s="531"/>
      <c r="JMO108" s="530"/>
      <c r="JMP108" s="531"/>
      <c r="JMQ108" s="530"/>
      <c r="JMR108" s="531"/>
      <c r="JMS108" s="530"/>
      <c r="JMT108" s="531"/>
      <c r="JMU108" s="530"/>
      <c r="JMV108" s="531"/>
      <c r="JMW108" s="530"/>
      <c r="JMX108" s="531"/>
      <c r="JMY108" s="530"/>
      <c r="JMZ108" s="531"/>
      <c r="JNA108" s="530"/>
      <c r="JNB108" s="531"/>
      <c r="JNC108" s="530"/>
      <c r="JND108" s="531"/>
      <c r="JNE108" s="530"/>
      <c r="JNF108" s="531"/>
      <c r="JNG108" s="530"/>
      <c r="JNH108" s="531"/>
      <c r="JNI108" s="530"/>
      <c r="JNJ108" s="531"/>
      <c r="JNK108" s="530"/>
      <c r="JNL108" s="531"/>
      <c r="JNM108" s="530"/>
      <c r="JNN108" s="531"/>
      <c r="JNO108" s="530"/>
      <c r="JNP108" s="531"/>
      <c r="JNQ108" s="530"/>
      <c r="JNR108" s="531"/>
      <c r="JNS108" s="530"/>
      <c r="JNT108" s="531"/>
      <c r="JNU108" s="530"/>
      <c r="JNV108" s="531"/>
      <c r="JNW108" s="530"/>
      <c r="JNX108" s="531"/>
      <c r="JNY108" s="530"/>
      <c r="JNZ108" s="531"/>
      <c r="JOA108" s="530"/>
      <c r="JOB108" s="531"/>
      <c r="JOC108" s="530"/>
      <c r="JOD108" s="531"/>
      <c r="JOE108" s="530"/>
      <c r="JOF108" s="531"/>
      <c r="JOG108" s="530"/>
      <c r="JOH108" s="531"/>
      <c r="JOI108" s="530"/>
      <c r="JOJ108" s="531"/>
      <c r="JOK108" s="530"/>
      <c r="JOL108" s="531"/>
      <c r="JOM108" s="530"/>
      <c r="JON108" s="531"/>
      <c r="JOO108" s="530"/>
      <c r="JOP108" s="531"/>
      <c r="JOQ108" s="530"/>
      <c r="JOR108" s="531"/>
      <c r="JOS108" s="530"/>
      <c r="JOT108" s="531"/>
      <c r="JOU108" s="530"/>
      <c r="JOV108" s="531"/>
      <c r="JOW108" s="530"/>
      <c r="JOX108" s="531"/>
      <c r="JOY108" s="530"/>
      <c r="JOZ108" s="531"/>
      <c r="JPA108" s="530"/>
      <c r="JPB108" s="531"/>
      <c r="JPC108" s="530"/>
      <c r="JPD108" s="531"/>
      <c r="JPE108" s="530"/>
      <c r="JPF108" s="531"/>
      <c r="JPG108" s="530"/>
      <c r="JPH108" s="531"/>
      <c r="JPI108" s="530"/>
      <c r="JPJ108" s="531"/>
      <c r="JPK108" s="530"/>
      <c r="JPL108" s="531"/>
      <c r="JPM108" s="530"/>
      <c r="JPN108" s="531"/>
      <c r="JPO108" s="530"/>
      <c r="JPP108" s="531"/>
      <c r="JPQ108" s="530"/>
      <c r="JPR108" s="531"/>
      <c r="JPS108" s="530"/>
      <c r="JPT108" s="531"/>
      <c r="JPU108" s="530"/>
      <c r="JPV108" s="531"/>
      <c r="JPW108" s="530"/>
      <c r="JPX108" s="531"/>
      <c r="JPY108" s="530"/>
      <c r="JPZ108" s="531"/>
      <c r="JQA108" s="530"/>
      <c r="JQB108" s="531"/>
      <c r="JQC108" s="530"/>
      <c r="JQD108" s="531"/>
      <c r="JQE108" s="530"/>
      <c r="JQF108" s="531"/>
      <c r="JQG108" s="530"/>
      <c r="JQH108" s="531"/>
      <c r="JQI108" s="530"/>
      <c r="JQJ108" s="531"/>
      <c r="JQK108" s="530"/>
      <c r="JQL108" s="531"/>
      <c r="JQM108" s="530"/>
      <c r="JQN108" s="531"/>
      <c r="JQO108" s="530"/>
      <c r="JQP108" s="531"/>
      <c r="JQQ108" s="530"/>
      <c r="JQR108" s="531"/>
      <c r="JQS108" s="530"/>
      <c r="JQT108" s="531"/>
      <c r="JQU108" s="530"/>
      <c r="JQV108" s="531"/>
      <c r="JQW108" s="530"/>
      <c r="JQX108" s="531"/>
      <c r="JQY108" s="530"/>
      <c r="JQZ108" s="531"/>
      <c r="JRA108" s="530"/>
      <c r="JRB108" s="531"/>
      <c r="JRC108" s="530"/>
      <c r="JRD108" s="531"/>
      <c r="JRE108" s="530"/>
      <c r="JRF108" s="531"/>
      <c r="JRG108" s="530"/>
      <c r="JRH108" s="531"/>
      <c r="JRI108" s="530"/>
      <c r="JRJ108" s="531"/>
      <c r="JRK108" s="530"/>
      <c r="JRL108" s="531"/>
      <c r="JRM108" s="530"/>
      <c r="JRN108" s="531"/>
      <c r="JRO108" s="530"/>
      <c r="JRP108" s="531"/>
      <c r="JRQ108" s="530"/>
      <c r="JRR108" s="531"/>
      <c r="JRS108" s="530"/>
      <c r="JRT108" s="531"/>
      <c r="JRU108" s="530"/>
      <c r="JRV108" s="531"/>
      <c r="JRW108" s="530"/>
      <c r="JRX108" s="531"/>
      <c r="JRY108" s="530"/>
      <c r="JRZ108" s="531"/>
      <c r="JSA108" s="530"/>
      <c r="JSB108" s="531"/>
      <c r="JSC108" s="530"/>
      <c r="JSD108" s="531"/>
      <c r="JSE108" s="530"/>
      <c r="JSF108" s="531"/>
      <c r="JSG108" s="530"/>
      <c r="JSH108" s="531"/>
      <c r="JSI108" s="530"/>
      <c r="JSJ108" s="531"/>
      <c r="JSK108" s="530"/>
      <c r="JSL108" s="531"/>
      <c r="JSM108" s="530"/>
      <c r="JSN108" s="531"/>
      <c r="JSO108" s="530"/>
      <c r="JSP108" s="531"/>
      <c r="JSQ108" s="530"/>
      <c r="JSR108" s="531"/>
      <c r="JSS108" s="530"/>
      <c r="JST108" s="531"/>
      <c r="JSU108" s="530"/>
      <c r="JSV108" s="531"/>
      <c r="JSW108" s="530"/>
      <c r="JSX108" s="531"/>
      <c r="JSY108" s="530"/>
      <c r="JSZ108" s="531"/>
      <c r="JTA108" s="530"/>
      <c r="JTB108" s="531"/>
      <c r="JTC108" s="530"/>
      <c r="JTD108" s="531"/>
      <c r="JTE108" s="530"/>
      <c r="JTF108" s="531"/>
      <c r="JTG108" s="530"/>
      <c r="JTH108" s="531"/>
      <c r="JTI108" s="530"/>
      <c r="JTJ108" s="531"/>
      <c r="JTK108" s="530"/>
      <c r="JTL108" s="531"/>
      <c r="JTM108" s="530"/>
      <c r="JTN108" s="531"/>
      <c r="JTO108" s="530"/>
      <c r="JTP108" s="531"/>
      <c r="JTQ108" s="530"/>
      <c r="JTR108" s="531"/>
      <c r="JTS108" s="530"/>
      <c r="JTT108" s="531"/>
      <c r="JTU108" s="530"/>
      <c r="JTV108" s="531"/>
      <c r="JTW108" s="530"/>
      <c r="JTX108" s="531"/>
      <c r="JTY108" s="530"/>
      <c r="JTZ108" s="531"/>
      <c r="JUA108" s="530"/>
      <c r="JUB108" s="531"/>
      <c r="JUC108" s="530"/>
      <c r="JUD108" s="531"/>
      <c r="JUE108" s="530"/>
      <c r="JUF108" s="531"/>
      <c r="JUG108" s="530"/>
      <c r="JUH108" s="531"/>
      <c r="JUI108" s="530"/>
      <c r="JUJ108" s="531"/>
      <c r="JUK108" s="530"/>
      <c r="JUL108" s="531"/>
      <c r="JUM108" s="530"/>
      <c r="JUN108" s="531"/>
      <c r="JUO108" s="530"/>
      <c r="JUP108" s="531"/>
      <c r="JUQ108" s="530"/>
      <c r="JUR108" s="531"/>
      <c r="JUS108" s="530"/>
      <c r="JUT108" s="531"/>
      <c r="JUU108" s="530"/>
      <c r="JUV108" s="531"/>
      <c r="JUW108" s="530"/>
      <c r="JUX108" s="531"/>
      <c r="JUY108" s="530"/>
      <c r="JUZ108" s="531"/>
      <c r="JVA108" s="530"/>
      <c r="JVB108" s="531"/>
      <c r="JVC108" s="530"/>
      <c r="JVD108" s="531"/>
      <c r="JVE108" s="530"/>
      <c r="JVF108" s="531"/>
      <c r="JVG108" s="530"/>
      <c r="JVH108" s="531"/>
      <c r="JVI108" s="530"/>
      <c r="JVJ108" s="531"/>
      <c r="JVK108" s="530"/>
      <c r="JVL108" s="531"/>
      <c r="JVM108" s="530"/>
      <c r="JVN108" s="531"/>
      <c r="JVO108" s="530"/>
      <c r="JVP108" s="531"/>
      <c r="JVQ108" s="530"/>
      <c r="JVR108" s="531"/>
      <c r="JVS108" s="530"/>
      <c r="JVT108" s="531"/>
      <c r="JVU108" s="530"/>
      <c r="JVV108" s="531"/>
      <c r="JVW108" s="530"/>
      <c r="JVX108" s="531"/>
      <c r="JVY108" s="530"/>
      <c r="JVZ108" s="531"/>
      <c r="JWA108" s="530"/>
      <c r="JWB108" s="531"/>
      <c r="JWC108" s="530"/>
      <c r="JWD108" s="531"/>
      <c r="JWE108" s="530"/>
      <c r="JWF108" s="531"/>
      <c r="JWG108" s="530"/>
      <c r="JWH108" s="531"/>
      <c r="JWI108" s="530"/>
      <c r="JWJ108" s="531"/>
      <c r="JWK108" s="530"/>
      <c r="JWL108" s="531"/>
      <c r="JWM108" s="530"/>
      <c r="JWN108" s="531"/>
      <c r="JWO108" s="530"/>
      <c r="JWP108" s="531"/>
      <c r="JWQ108" s="530"/>
      <c r="JWR108" s="531"/>
      <c r="JWS108" s="530"/>
      <c r="JWT108" s="531"/>
      <c r="JWU108" s="530"/>
      <c r="JWV108" s="531"/>
      <c r="JWW108" s="530"/>
      <c r="JWX108" s="531"/>
      <c r="JWY108" s="530"/>
      <c r="JWZ108" s="531"/>
      <c r="JXA108" s="530"/>
      <c r="JXB108" s="531"/>
      <c r="JXC108" s="530"/>
      <c r="JXD108" s="531"/>
      <c r="JXE108" s="530"/>
      <c r="JXF108" s="531"/>
      <c r="JXG108" s="530"/>
      <c r="JXH108" s="531"/>
      <c r="JXI108" s="530"/>
      <c r="JXJ108" s="531"/>
      <c r="JXK108" s="530"/>
      <c r="JXL108" s="531"/>
      <c r="JXM108" s="530"/>
      <c r="JXN108" s="531"/>
      <c r="JXO108" s="530"/>
      <c r="JXP108" s="531"/>
      <c r="JXQ108" s="530"/>
      <c r="JXR108" s="531"/>
      <c r="JXS108" s="530"/>
      <c r="JXT108" s="531"/>
      <c r="JXU108" s="530"/>
      <c r="JXV108" s="531"/>
      <c r="JXW108" s="530"/>
      <c r="JXX108" s="531"/>
      <c r="JXY108" s="530"/>
      <c r="JXZ108" s="531"/>
      <c r="JYA108" s="530"/>
      <c r="JYB108" s="531"/>
      <c r="JYC108" s="530"/>
      <c r="JYD108" s="531"/>
      <c r="JYE108" s="530"/>
      <c r="JYF108" s="531"/>
      <c r="JYG108" s="530"/>
      <c r="JYH108" s="531"/>
      <c r="JYI108" s="530"/>
      <c r="JYJ108" s="531"/>
      <c r="JYK108" s="530"/>
      <c r="JYL108" s="531"/>
      <c r="JYM108" s="530"/>
      <c r="JYN108" s="531"/>
      <c r="JYO108" s="530"/>
      <c r="JYP108" s="531"/>
      <c r="JYQ108" s="530"/>
      <c r="JYR108" s="531"/>
      <c r="JYS108" s="530"/>
      <c r="JYT108" s="531"/>
      <c r="JYU108" s="530"/>
      <c r="JYV108" s="531"/>
      <c r="JYW108" s="530"/>
      <c r="JYX108" s="531"/>
      <c r="JYY108" s="530"/>
      <c r="JYZ108" s="531"/>
      <c r="JZA108" s="530"/>
      <c r="JZB108" s="531"/>
      <c r="JZC108" s="530"/>
      <c r="JZD108" s="531"/>
      <c r="JZE108" s="530"/>
      <c r="JZF108" s="531"/>
      <c r="JZG108" s="530"/>
      <c r="JZH108" s="531"/>
      <c r="JZI108" s="530"/>
      <c r="JZJ108" s="531"/>
      <c r="JZK108" s="530"/>
      <c r="JZL108" s="531"/>
      <c r="JZM108" s="530"/>
      <c r="JZN108" s="531"/>
      <c r="JZO108" s="530"/>
      <c r="JZP108" s="531"/>
      <c r="JZQ108" s="530"/>
      <c r="JZR108" s="531"/>
      <c r="JZS108" s="530"/>
      <c r="JZT108" s="531"/>
      <c r="JZU108" s="530"/>
      <c r="JZV108" s="531"/>
      <c r="JZW108" s="530"/>
      <c r="JZX108" s="531"/>
      <c r="JZY108" s="530"/>
      <c r="JZZ108" s="531"/>
      <c r="KAA108" s="530"/>
      <c r="KAB108" s="531"/>
      <c r="KAC108" s="530"/>
      <c r="KAD108" s="531"/>
      <c r="KAE108" s="530"/>
      <c r="KAF108" s="531"/>
      <c r="KAG108" s="530"/>
      <c r="KAH108" s="531"/>
      <c r="KAI108" s="530"/>
      <c r="KAJ108" s="531"/>
      <c r="KAK108" s="530"/>
      <c r="KAL108" s="531"/>
      <c r="KAM108" s="530"/>
      <c r="KAN108" s="531"/>
      <c r="KAO108" s="530"/>
      <c r="KAP108" s="531"/>
      <c r="KAQ108" s="530"/>
      <c r="KAR108" s="531"/>
      <c r="KAS108" s="530"/>
      <c r="KAT108" s="531"/>
      <c r="KAU108" s="530"/>
      <c r="KAV108" s="531"/>
      <c r="KAW108" s="530"/>
      <c r="KAX108" s="531"/>
      <c r="KAY108" s="530"/>
      <c r="KAZ108" s="531"/>
      <c r="KBA108" s="530"/>
      <c r="KBB108" s="531"/>
      <c r="KBC108" s="530"/>
      <c r="KBD108" s="531"/>
      <c r="KBE108" s="530"/>
      <c r="KBF108" s="531"/>
      <c r="KBG108" s="530"/>
      <c r="KBH108" s="531"/>
      <c r="KBI108" s="530"/>
      <c r="KBJ108" s="531"/>
      <c r="KBK108" s="530"/>
      <c r="KBL108" s="531"/>
      <c r="KBM108" s="530"/>
      <c r="KBN108" s="531"/>
      <c r="KBO108" s="530"/>
      <c r="KBP108" s="531"/>
      <c r="KBQ108" s="530"/>
      <c r="KBR108" s="531"/>
      <c r="KBS108" s="530"/>
      <c r="KBT108" s="531"/>
      <c r="KBU108" s="530"/>
      <c r="KBV108" s="531"/>
      <c r="KBW108" s="530"/>
      <c r="KBX108" s="531"/>
      <c r="KBY108" s="530"/>
      <c r="KBZ108" s="531"/>
      <c r="KCA108" s="530"/>
      <c r="KCB108" s="531"/>
      <c r="KCC108" s="530"/>
      <c r="KCD108" s="531"/>
      <c r="KCE108" s="530"/>
      <c r="KCF108" s="531"/>
      <c r="KCG108" s="530"/>
      <c r="KCH108" s="531"/>
      <c r="KCI108" s="530"/>
      <c r="KCJ108" s="531"/>
      <c r="KCK108" s="530"/>
      <c r="KCL108" s="531"/>
      <c r="KCM108" s="530"/>
      <c r="KCN108" s="531"/>
      <c r="KCO108" s="530"/>
      <c r="KCP108" s="531"/>
      <c r="KCQ108" s="530"/>
      <c r="KCR108" s="531"/>
      <c r="KCS108" s="530"/>
      <c r="KCT108" s="531"/>
      <c r="KCU108" s="530"/>
      <c r="KCV108" s="531"/>
      <c r="KCW108" s="530"/>
      <c r="KCX108" s="531"/>
      <c r="KCY108" s="530"/>
      <c r="KCZ108" s="531"/>
      <c r="KDA108" s="530"/>
      <c r="KDB108" s="531"/>
      <c r="KDC108" s="530"/>
      <c r="KDD108" s="531"/>
      <c r="KDE108" s="530"/>
      <c r="KDF108" s="531"/>
      <c r="KDG108" s="530"/>
      <c r="KDH108" s="531"/>
      <c r="KDI108" s="530"/>
      <c r="KDJ108" s="531"/>
      <c r="KDK108" s="530"/>
      <c r="KDL108" s="531"/>
      <c r="KDM108" s="530"/>
      <c r="KDN108" s="531"/>
      <c r="KDO108" s="530"/>
      <c r="KDP108" s="531"/>
      <c r="KDQ108" s="530"/>
      <c r="KDR108" s="531"/>
      <c r="KDS108" s="530"/>
      <c r="KDT108" s="531"/>
      <c r="KDU108" s="530"/>
      <c r="KDV108" s="531"/>
      <c r="KDW108" s="530"/>
      <c r="KDX108" s="531"/>
      <c r="KDY108" s="530"/>
      <c r="KDZ108" s="531"/>
      <c r="KEA108" s="530"/>
      <c r="KEB108" s="531"/>
      <c r="KEC108" s="530"/>
      <c r="KED108" s="531"/>
      <c r="KEE108" s="530"/>
      <c r="KEF108" s="531"/>
      <c r="KEG108" s="530"/>
      <c r="KEH108" s="531"/>
      <c r="KEI108" s="530"/>
      <c r="KEJ108" s="531"/>
      <c r="KEK108" s="530"/>
      <c r="KEL108" s="531"/>
      <c r="KEM108" s="530"/>
      <c r="KEN108" s="531"/>
      <c r="KEO108" s="530"/>
      <c r="KEP108" s="531"/>
      <c r="KEQ108" s="530"/>
      <c r="KER108" s="531"/>
      <c r="KES108" s="530"/>
      <c r="KET108" s="531"/>
      <c r="KEU108" s="530"/>
      <c r="KEV108" s="531"/>
      <c r="KEW108" s="530"/>
      <c r="KEX108" s="531"/>
      <c r="KEY108" s="530"/>
      <c r="KEZ108" s="531"/>
      <c r="KFA108" s="530"/>
      <c r="KFB108" s="531"/>
      <c r="KFC108" s="530"/>
      <c r="KFD108" s="531"/>
      <c r="KFE108" s="530"/>
      <c r="KFF108" s="531"/>
      <c r="KFG108" s="530"/>
      <c r="KFH108" s="531"/>
      <c r="KFI108" s="530"/>
      <c r="KFJ108" s="531"/>
      <c r="KFK108" s="530"/>
      <c r="KFL108" s="531"/>
      <c r="KFM108" s="530"/>
      <c r="KFN108" s="531"/>
      <c r="KFO108" s="530"/>
      <c r="KFP108" s="531"/>
      <c r="KFQ108" s="530"/>
      <c r="KFR108" s="531"/>
      <c r="KFS108" s="530"/>
      <c r="KFT108" s="531"/>
      <c r="KFU108" s="530"/>
      <c r="KFV108" s="531"/>
      <c r="KFW108" s="530"/>
      <c r="KFX108" s="531"/>
      <c r="KFY108" s="530"/>
      <c r="KFZ108" s="531"/>
      <c r="KGA108" s="530"/>
      <c r="KGB108" s="531"/>
      <c r="KGC108" s="530"/>
      <c r="KGD108" s="531"/>
      <c r="KGE108" s="530"/>
      <c r="KGF108" s="531"/>
      <c r="KGG108" s="530"/>
      <c r="KGH108" s="531"/>
      <c r="KGI108" s="530"/>
      <c r="KGJ108" s="531"/>
      <c r="KGK108" s="530"/>
      <c r="KGL108" s="531"/>
      <c r="KGM108" s="530"/>
      <c r="KGN108" s="531"/>
      <c r="KGO108" s="530"/>
      <c r="KGP108" s="531"/>
      <c r="KGQ108" s="530"/>
      <c r="KGR108" s="531"/>
      <c r="KGS108" s="530"/>
      <c r="KGT108" s="531"/>
      <c r="KGU108" s="530"/>
      <c r="KGV108" s="531"/>
      <c r="KGW108" s="530"/>
      <c r="KGX108" s="531"/>
      <c r="KGY108" s="530"/>
      <c r="KGZ108" s="531"/>
      <c r="KHA108" s="530"/>
      <c r="KHB108" s="531"/>
      <c r="KHC108" s="530"/>
      <c r="KHD108" s="531"/>
      <c r="KHE108" s="530"/>
      <c r="KHF108" s="531"/>
      <c r="KHG108" s="530"/>
      <c r="KHH108" s="531"/>
      <c r="KHI108" s="530"/>
      <c r="KHJ108" s="531"/>
      <c r="KHK108" s="530"/>
      <c r="KHL108" s="531"/>
      <c r="KHM108" s="530"/>
      <c r="KHN108" s="531"/>
      <c r="KHO108" s="530"/>
      <c r="KHP108" s="531"/>
      <c r="KHQ108" s="530"/>
      <c r="KHR108" s="531"/>
      <c r="KHS108" s="530"/>
      <c r="KHT108" s="531"/>
      <c r="KHU108" s="530"/>
      <c r="KHV108" s="531"/>
      <c r="KHW108" s="530"/>
      <c r="KHX108" s="531"/>
      <c r="KHY108" s="530"/>
      <c r="KHZ108" s="531"/>
      <c r="KIA108" s="530"/>
      <c r="KIB108" s="531"/>
      <c r="KIC108" s="530"/>
      <c r="KID108" s="531"/>
      <c r="KIE108" s="530"/>
      <c r="KIF108" s="531"/>
      <c r="KIG108" s="530"/>
      <c r="KIH108" s="531"/>
      <c r="KII108" s="530"/>
      <c r="KIJ108" s="531"/>
      <c r="KIK108" s="530"/>
      <c r="KIL108" s="531"/>
      <c r="KIM108" s="530"/>
      <c r="KIN108" s="531"/>
      <c r="KIO108" s="530"/>
      <c r="KIP108" s="531"/>
      <c r="KIQ108" s="530"/>
      <c r="KIR108" s="531"/>
      <c r="KIS108" s="530"/>
      <c r="KIT108" s="531"/>
      <c r="KIU108" s="530"/>
      <c r="KIV108" s="531"/>
      <c r="KIW108" s="530"/>
      <c r="KIX108" s="531"/>
      <c r="KIY108" s="530"/>
      <c r="KIZ108" s="531"/>
      <c r="KJA108" s="530"/>
      <c r="KJB108" s="531"/>
      <c r="KJC108" s="530"/>
      <c r="KJD108" s="531"/>
      <c r="KJE108" s="530"/>
      <c r="KJF108" s="531"/>
      <c r="KJG108" s="530"/>
      <c r="KJH108" s="531"/>
      <c r="KJI108" s="530"/>
      <c r="KJJ108" s="531"/>
      <c r="KJK108" s="530"/>
      <c r="KJL108" s="531"/>
      <c r="KJM108" s="530"/>
      <c r="KJN108" s="531"/>
      <c r="KJO108" s="530"/>
      <c r="KJP108" s="531"/>
      <c r="KJQ108" s="530"/>
      <c r="KJR108" s="531"/>
      <c r="KJS108" s="530"/>
      <c r="KJT108" s="531"/>
      <c r="KJU108" s="530"/>
      <c r="KJV108" s="531"/>
      <c r="KJW108" s="530"/>
      <c r="KJX108" s="531"/>
      <c r="KJY108" s="530"/>
      <c r="KJZ108" s="531"/>
      <c r="KKA108" s="530"/>
      <c r="KKB108" s="531"/>
      <c r="KKC108" s="530"/>
      <c r="KKD108" s="531"/>
      <c r="KKE108" s="530"/>
      <c r="KKF108" s="531"/>
      <c r="KKG108" s="530"/>
      <c r="KKH108" s="531"/>
      <c r="KKI108" s="530"/>
      <c r="KKJ108" s="531"/>
      <c r="KKK108" s="530"/>
      <c r="KKL108" s="531"/>
      <c r="KKM108" s="530"/>
      <c r="KKN108" s="531"/>
      <c r="KKO108" s="530"/>
      <c r="KKP108" s="531"/>
      <c r="KKQ108" s="530"/>
      <c r="KKR108" s="531"/>
      <c r="KKS108" s="530"/>
      <c r="KKT108" s="531"/>
      <c r="KKU108" s="530"/>
      <c r="KKV108" s="531"/>
      <c r="KKW108" s="530"/>
      <c r="KKX108" s="531"/>
      <c r="KKY108" s="530"/>
      <c r="KKZ108" s="531"/>
      <c r="KLA108" s="530"/>
      <c r="KLB108" s="531"/>
      <c r="KLC108" s="530"/>
      <c r="KLD108" s="531"/>
      <c r="KLE108" s="530"/>
      <c r="KLF108" s="531"/>
      <c r="KLG108" s="530"/>
      <c r="KLH108" s="531"/>
      <c r="KLI108" s="530"/>
      <c r="KLJ108" s="531"/>
      <c r="KLK108" s="530"/>
      <c r="KLL108" s="531"/>
      <c r="KLM108" s="530"/>
      <c r="KLN108" s="531"/>
      <c r="KLO108" s="530"/>
      <c r="KLP108" s="531"/>
      <c r="KLQ108" s="530"/>
      <c r="KLR108" s="531"/>
      <c r="KLS108" s="530"/>
      <c r="KLT108" s="531"/>
      <c r="KLU108" s="530"/>
      <c r="KLV108" s="531"/>
      <c r="KLW108" s="530"/>
      <c r="KLX108" s="531"/>
      <c r="KLY108" s="530"/>
      <c r="KLZ108" s="531"/>
      <c r="KMA108" s="530"/>
      <c r="KMB108" s="531"/>
      <c r="KMC108" s="530"/>
      <c r="KMD108" s="531"/>
      <c r="KME108" s="530"/>
      <c r="KMF108" s="531"/>
      <c r="KMG108" s="530"/>
      <c r="KMH108" s="531"/>
      <c r="KMI108" s="530"/>
      <c r="KMJ108" s="531"/>
      <c r="KMK108" s="530"/>
      <c r="KML108" s="531"/>
      <c r="KMM108" s="530"/>
      <c r="KMN108" s="531"/>
      <c r="KMO108" s="530"/>
      <c r="KMP108" s="531"/>
      <c r="KMQ108" s="530"/>
      <c r="KMR108" s="531"/>
      <c r="KMS108" s="530"/>
      <c r="KMT108" s="531"/>
      <c r="KMU108" s="530"/>
      <c r="KMV108" s="531"/>
      <c r="KMW108" s="530"/>
      <c r="KMX108" s="531"/>
      <c r="KMY108" s="530"/>
      <c r="KMZ108" s="531"/>
      <c r="KNA108" s="530"/>
      <c r="KNB108" s="531"/>
      <c r="KNC108" s="530"/>
      <c r="KND108" s="531"/>
      <c r="KNE108" s="530"/>
      <c r="KNF108" s="531"/>
      <c r="KNG108" s="530"/>
      <c r="KNH108" s="531"/>
      <c r="KNI108" s="530"/>
      <c r="KNJ108" s="531"/>
      <c r="KNK108" s="530"/>
      <c r="KNL108" s="531"/>
      <c r="KNM108" s="530"/>
      <c r="KNN108" s="531"/>
      <c r="KNO108" s="530"/>
      <c r="KNP108" s="531"/>
      <c r="KNQ108" s="530"/>
      <c r="KNR108" s="531"/>
      <c r="KNS108" s="530"/>
      <c r="KNT108" s="531"/>
      <c r="KNU108" s="530"/>
      <c r="KNV108" s="531"/>
      <c r="KNW108" s="530"/>
      <c r="KNX108" s="531"/>
      <c r="KNY108" s="530"/>
      <c r="KNZ108" s="531"/>
      <c r="KOA108" s="530"/>
      <c r="KOB108" s="531"/>
      <c r="KOC108" s="530"/>
      <c r="KOD108" s="531"/>
      <c r="KOE108" s="530"/>
      <c r="KOF108" s="531"/>
      <c r="KOG108" s="530"/>
      <c r="KOH108" s="531"/>
      <c r="KOI108" s="530"/>
      <c r="KOJ108" s="531"/>
      <c r="KOK108" s="530"/>
      <c r="KOL108" s="531"/>
      <c r="KOM108" s="530"/>
      <c r="KON108" s="531"/>
      <c r="KOO108" s="530"/>
      <c r="KOP108" s="531"/>
      <c r="KOQ108" s="530"/>
      <c r="KOR108" s="531"/>
      <c r="KOS108" s="530"/>
      <c r="KOT108" s="531"/>
      <c r="KOU108" s="530"/>
      <c r="KOV108" s="531"/>
      <c r="KOW108" s="530"/>
      <c r="KOX108" s="531"/>
      <c r="KOY108" s="530"/>
      <c r="KOZ108" s="531"/>
      <c r="KPA108" s="530"/>
      <c r="KPB108" s="531"/>
      <c r="KPC108" s="530"/>
      <c r="KPD108" s="531"/>
      <c r="KPE108" s="530"/>
      <c r="KPF108" s="531"/>
      <c r="KPG108" s="530"/>
      <c r="KPH108" s="531"/>
      <c r="KPI108" s="530"/>
      <c r="KPJ108" s="531"/>
      <c r="KPK108" s="530"/>
      <c r="KPL108" s="531"/>
      <c r="KPM108" s="530"/>
      <c r="KPN108" s="531"/>
      <c r="KPO108" s="530"/>
      <c r="KPP108" s="531"/>
      <c r="KPQ108" s="530"/>
      <c r="KPR108" s="531"/>
      <c r="KPS108" s="530"/>
      <c r="KPT108" s="531"/>
      <c r="KPU108" s="530"/>
      <c r="KPV108" s="531"/>
      <c r="KPW108" s="530"/>
      <c r="KPX108" s="531"/>
      <c r="KPY108" s="530"/>
      <c r="KPZ108" s="531"/>
      <c r="KQA108" s="530"/>
      <c r="KQB108" s="531"/>
      <c r="KQC108" s="530"/>
      <c r="KQD108" s="531"/>
      <c r="KQE108" s="530"/>
      <c r="KQF108" s="531"/>
      <c r="KQG108" s="530"/>
      <c r="KQH108" s="531"/>
      <c r="KQI108" s="530"/>
      <c r="KQJ108" s="531"/>
      <c r="KQK108" s="530"/>
      <c r="KQL108" s="531"/>
      <c r="KQM108" s="530"/>
      <c r="KQN108" s="531"/>
      <c r="KQO108" s="530"/>
      <c r="KQP108" s="531"/>
      <c r="KQQ108" s="530"/>
      <c r="KQR108" s="531"/>
      <c r="KQS108" s="530"/>
      <c r="KQT108" s="531"/>
      <c r="KQU108" s="530"/>
      <c r="KQV108" s="531"/>
      <c r="KQW108" s="530"/>
      <c r="KQX108" s="531"/>
      <c r="KQY108" s="530"/>
      <c r="KQZ108" s="531"/>
      <c r="KRA108" s="530"/>
      <c r="KRB108" s="531"/>
      <c r="KRC108" s="530"/>
      <c r="KRD108" s="531"/>
      <c r="KRE108" s="530"/>
      <c r="KRF108" s="531"/>
      <c r="KRG108" s="530"/>
      <c r="KRH108" s="531"/>
      <c r="KRI108" s="530"/>
      <c r="KRJ108" s="531"/>
      <c r="KRK108" s="530"/>
      <c r="KRL108" s="531"/>
      <c r="KRM108" s="530"/>
      <c r="KRN108" s="531"/>
      <c r="KRO108" s="530"/>
      <c r="KRP108" s="531"/>
      <c r="KRQ108" s="530"/>
      <c r="KRR108" s="531"/>
      <c r="KRS108" s="530"/>
      <c r="KRT108" s="531"/>
      <c r="KRU108" s="530"/>
      <c r="KRV108" s="531"/>
      <c r="KRW108" s="530"/>
      <c r="KRX108" s="531"/>
      <c r="KRY108" s="530"/>
      <c r="KRZ108" s="531"/>
      <c r="KSA108" s="530"/>
      <c r="KSB108" s="531"/>
      <c r="KSC108" s="530"/>
      <c r="KSD108" s="531"/>
      <c r="KSE108" s="530"/>
      <c r="KSF108" s="531"/>
      <c r="KSG108" s="530"/>
      <c r="KSH108" s="531"/>
      <c r="KSI108" s="530"/>
      <c r="KSJ108" s="531"/>
      <c r="KSK108" s="530"/>
      <c r="KSL108" s="531"/>
      <c r="KSM108" s="530"/>
      <c r="KSN108" s="531"/>
      <c r="KSO108" s="530"/>
      <c r="KSP108" s="531"/>
      <c r="KSQ108" s="530"/>
      <c r="KSR108" s="531"/>
      <c r="KSS108" s="530"/>
      <c r="KST108" s="531"/>
      <c r="KSU108" s="530"/>
      <c r="KSV108" s="531"/>
      <c r="KSW108" s="530"/>
      <c r="KSX108" s="531"/>
      <c r="KSY108" s="530"/>
      <c r="KSZ108" s="531"/>
      <c r="KTA108" s="530"/>
      <c r="KTB108" s="531"/>
      <c r="KTC108" s="530"/>
      <c r="KTD108" s="531"/>
      <c r="KTE108" s="530"/>
      <c r="KTF108" s="531"/>
      <c r="KTG108" s="530"/>
      <c r="KTH108" s="531"/>
      <c r="KTI108" s="530"/>
      <c r="KTJ108" s="531"/>
      <c r="KTK108" s="530"/>
      <c r="KTL108" s="531"/>
      <c r="KTM108" s="530"/>
      <c r="KTN108" s="531"/>
      <c r="KTO108" s="530"/>
      <c r="KTP108" s="531"/>
      <c r="KTQ108" s="530"/>
      <c r="KTR108" s="531"/>
      <c r="KTS108" s="530"/>
      <c r="KTT108" s="531"/>
      <c r="KTU108" s="530"/>
      <c r="KTV108" s="531"/>
      <c r="KTW108" s="530"/>
      <c r="KTX108" s="531"/>
      <c r="KTY108" s="530"/>
      <c r="KTZ108" s="531"/>
      <c r="KUA108" s="530"/>
      <c r="KUB108" s="531"/>
      <c r="KUC108" s="530"/>
      <c r="KUD108" s="531"/>
      <c r="KUE108" s="530"/>
      <c r="KUF108" s="531"/>
      <c r="KUG108" s="530"/>
      <c r="KUH108" s="531"/>
      <c r="KUI108" s="530"/>
      <c r="KUJ108" s="531"/>
      <c r="KUK108" s="530"/>
      <c r="KUL108" s="531"/>
      <c r="KUM108" s="530"/>
      <c r="KUN108" s="531"/>
      <c r="KUO108" s="530"/>
      <c r="KUP108" s="531"/>
      <c r="KUQ108" s="530"/>
      <c r="KUR108" s="531"/>
      <c r="KUS108" s="530"/>
      <c r="KUT108" s="531"/>
      <c r="KUU108" s="530"/>
      <c r="KUV108" s="531"/>
      <c r="KUW108" s="530"/>
      <c r="KUX108" s="531"/>
      <c r="KUY108" s="530"/>
      <c r="KUZ108" s="531"/>
      <c r="KVA108" s="530"/>
      <c r="KVB108" s="531"/>
      <c r="KVC108" s="530"/>
      <c r="KVD108" s="531"/>
      <c r="KVE108" s="530"/>
      <c r="KVF108" s="531"/>
      <c r="KVG108" s="530"/>
      <c r="KVH108" s="531"/>
      <c r="KVI108" s="530"/>
      <c r="KVJ108" s="531"/>
      <c r="KVK108" s="530"/>
      <c r="KVL108" s="531"/>
      <c r="KVM108" s="530"/>
      <c r="KVN108" s="531"/>
      <c r="KVO108" s="530"/>
      <c r="KVP108" s="531"/>
      <c r="KVQ108" s="530"/>
      <c r="KVR108" s="531"/>
      <c r="KVS108" s="530"/>
      <c r="KVT108" s="531"/>
      <c r="KVU108" s="530"/>
      <c r="KVV108" s="531"/>
      <c r="KVW108" s="530"/>
      <c r="KVX108" s="531"/>
      <c r="KVY108" s="530"/>
      <c r="KVZ108" s="531"/>
      <c r="KWA108" s="530"/>
      <c r="KWB108" s="531"/>
      <c r="KWC108" s="530"/>
      <c r="KWD108" s="531"/>
      <c r="KWE108" s="530"/>
      <c r="KWF108" s="531"/>
      <c r="KWG108" s="530"/>
      <c r="KWH108" s="531"/>
      <c r="KWI108" s="530"/>
      <c r="KWJ108" s="531"/>
      <c r="KWK108" s="530"/>
      <c r="KWL108" s="531"/>
      <c r="KWM108" s="530"/>
      <c r="KWN108" s="531"/>
      <c r="KWO108" s="530"/>
      <c r="KWP108" s="531"/>
      <c r="KWQ108" s="530"/>
      <c r="KWR108" s="531"/>
      <c r="KWS108" s="530"/>
      <c r="KWT108" s="531"/>
      <c r="KWU108" s="530"/>
      <c r="KWV108" s="531"/>
      <c r="KWW108" s="530"/>
      <c r="KWX108" s="531"/>
      <c r="KWY108" s="530"/>
      <c r="KWZ108" s="531"/>
      <c r="KXA108" s="530"/>
      <c r="KXB108" s="531"/>
      <c r="KXC108" s="530"/>
      <c r="KXD108" s="531"/>
      <c r="KXE108" s="530"/>
      <c r="KXF108" s="531"/>
      <c r="KXG108" s="530"/>
      <c r="KXH108" s="531"/>
      <c r="KXI108" s="530"/>
      <c r="KXJ108" s="531"/>
      <c r="KXK108" s="530"/>
      <c r="KXL108" s="531"/>
      <c r="KXM108" s="530"/>
      <c r="KXN108" s="531"/>
      <c r="KXO108" s="530"/>
      <c r="KXP108" s="531"/>
      <c r="KXQ108" s="530"/>
      <c r="KXR108" s="531"/>
      <c r="KXS108" s="530"/>
      <c r="KXT108" s="531"/>
      <c r="KXU108" s="530"/>
      <c r="KXV108" s="531"/>
      <c r="KXW108" s="530"/>
      <c r="KXX108" s="531"/>
      <c r="KXY108" s="530"/>
      <c r="KXZ108" s="531"/>
      <c r="KYA108" s="530"/>
      <c r="KYB108" s="531"/>
      <c r="KYC108" s="530"/>
      <c r="KYD108" s="531"/>
      <c r="KYE108" s="530"/>
      <c r="KYF108" s="531"/>
      <c r="KYG108" s="530"/>
      <c r="KYH108" s="531"/>
      <c r="KYI108" s="530"/>
      <c r="KYJ108" s="531"/>
      <c r="KYK108" s="530"/>
      <c r="KYL108" s="531"/>
      <c r="KYM108" s="530"/>
      <c r="KYN108" s="531"/>
      <c r="KYO108" s="530"/>
      <c r="KYP108" s="531"/>
      <c r="KYQ108" s="530"/>
      <c r="KYR108" s="531"/>
      <c r="KYS108" s="530"/>
      <c r="KYT108" s="531"/>
      <c r="KYU108" s="530"/>
      <c r="KYV108" s="531"/>
      <c r="KYW108" s="530"/>
      <c r="KYX108" s="531"/>
      <c r="KYY108" s="530"/>
      <c r="KYZ108" s="531"/>
      <c r="KZA108" s="530"/>
      <c r="KZB108" s="531"/>
      <c r="KZC108" s="530"/>
      <c r="KZD108" s="531"/>
      <c r="KZE108" s="530"/>
      <c r="KZF108" s="531"/>
      <c r="KZG108" s="530"/>
      <c r="KZH108" s="531"/>
      <c r="KZI108" s="530"/>
      <c r="KZJ108" s="531"/>
      <c r="KZK108" s="530"/>
      <c r="KZL108" s="531"/>
      <c r="KZM108" s="530"/>
      <c r="KZN108" s="531"/>
      <c r="KZO108" s="530"/>
      <c r="KZP108" s="531"/>
      <c r="KZQ108" s="530"/>
      <c r="KZR108" s="531"/>
      <c r="KZS108" s="530"/>
      <c r="KZT108" s="531"/>
      <c r="KZU108" s="530"/>
      <c r="KZV108" s="531"/>
      <c r="KZW108" s="530"/>
      <c r="KZX108" s="531"/>
      <c r="KZY108" s="530"/>
      <c r="KZZ108" s="531"/>
      <c r="LAA108" s="530"/>
      <c r="LAB108" s="531"/>
      <c r="LAC108" s="530"/>
      <c r="LAD108" s="531"/>
      <c r="LAE108" s="530"/>
      <c r="LAF108" s="531"/>
      <c r="LAG108" s="530"/>
      <c r="LAH108" s="531"/>
      <c r="LAI108" s="530"/>
      <c r="LAJ108" s="531"/>
      <c r="LAK108" s="530"/>
      <c r="LAL108" s="531"/>
      <c r="LAM108" s="530"/>
      <c r="LAN108" s="531"/>
      <c r="LAO108" s="530"/>
      <c r="LAP108" s="531"/>
      <c r="LAQ108" s="530"/>
      <c r="LAR108" s="531"/>
      <c r="LAS108" s="530"/>
      <c r="LAT108" s="531"/>
      <c r="LAU108" s="530"/>
      <c r="LAV108" s="531"/>
      <c r="LAW108" s="530"/>
      <c r="LAX108" s="531"/>
      <c r="LAY108" s="530"/>
      <c r="LAZ108" s="531"/>
      <c r="LBA108" s="530"/>
      <c r="LBB108" s="531"/>
      <c r="LBC108" s="530"/>
      <c r="LBD108" s="531"/>
      <c r="LBE108" s="530"/>
      <c r="LBF108" s="531"/>
      <c r="LBG108" s="530"/>
      <c r="LBH108" s="531"/>
      <c r="LBI108" s="530"/>
      <c r="LBJ108" s="531"/>
      <c r="LBK108" s="530"/>
      <c r="LBL108" s="531"/>
      <c r="LBM108" s="530"/>
      <c r="LBN108" s="531"/>
      <c r="LBO108" s="530"/>
      <c r="LBP108" s="531"/>
      <c r="LBQ108" s="530"/>
      <c r="LBR108" s="531"/>
      <c r="LBS108" s="530"/>
      <c r="LBT108" s="531"/>
      <c r="LBU108" s="530"/>
      <c r="LBV108" s="531"/>
      <c r="LBW108" s="530"/>
      <c r="LBX108" s="531"/>
      <c r="LBY108" s="530"/>
      <c r="LBZ108" s="531"/>
      <c r="LCA108" s="530"/>
      <c r="LCB108" s="531"/>
      <c r="LCC108" s="530"/>
      <c r="LCD108" s="531"/>
      <c r="LCE108" s="530"/>
      <c r="LCF108" s="531"/>
      <c r="LCG108" s="530"/>
      <c r="LCH108" s="531"/>
      <c r="LCI108" s="530"/>
      <c r="LCJ108" s="531"/>
      <c r="LCK108" s="530"/>
      <c r="LCL108" s="531"/>
      <c r="LCM108" s="530"/>
      <c r="LCN108" s="531"/>
      <c r="LCO108" s="530"/>
      <c r="LCP108" s="531"/>
      <c r="LCQ108" s="530"/>
      <c r="LCR108" s="531"/>
      <c r="LCS108" s="530"/>
      <c r="LCT108" s="531"/>
      <c r="LCU108" s="530"/>
      <c r="LCV108" s="531"/>
      <c r="LCW108" s="530"/>
      <c r="LCX108" s="531"/>
      <c r="LCY108" s="530"/>
      <c r="LCZ108" s="531"/>
      <c r="LDA108" s="530"/>
      <c r="LDB108" s="531"/>
      <c r="LDC108" s="530"/>
      <c r="LDD108" s="531"/>
      <c r="LDE108" s="530"/>
      <c r="LDF108" s="531"/>
      <c r="LDG108" s="530"/>
      <c r="LDH108" s="531"/>
      <c r="LDI108" s="530"/>
      <c r="LDJ108" s="531"/>
      <c r="LDK108" s="530"/>
      <c r="LDL108" s="531"/>
      <c r="LDM108" s="530"/>
      <c r="LDN108" s="531"/>
      <c r="LDO108" s="530"/>
      <c r="LDP108" s="531"/>
      <c r="LDQ108" s="530"/>
      <c r="LDR108" s="531"/>
      <c r="LDS108" s="530"/>
      <c r="LDT108" s="531"/>
      <c r="LDU108" s="530"/>
      <c r="LDV108" s="531"/>
      <c r="LDW108" s="530"/>
      <c r="LDX108" s="531"/>
      <c r="LDY108" s="530"/>
      <c r="LDZ108" s="531"/>
      <c r="LEA108" s="530"/>
      <c r="LEB108" s="531"/>
      <c r="LEC108" s="530"/>
      <c r="LED108" s="531"/>
      <c r="LEE108" s="530"/>
      <c r="LEF108" s="531"/>
      <c r="LEG108" s="530"/>
      <c r="LEH108" s="531"/>
      <c r="LEI108" s="530"/>
      <c r="LEJ108" s="531"/>
      <c r="LEK108" s="530"/>
      <c r="LEL108" s="531"/>
      <c r="LEM108" s="530"/>
      <c r="LEN108" s="531"/>
      <c r="LEO108" s="530"/>
      <c r="LEP108" s="531"/>
      <c r="LEQ108" s="530"/>
      <c r="LER108" s="531"/>
      <c r="LES108" s="530"/>
      <c r="LET108" s="531"/>
      <c r="LEU108" s="530"/>
      <c r="LEV108" s="531"/>
      <c r="LEW108" s="530"/>
      <c r="LEX108" s="531"/>
      <c r="LEY108" s="530"/>
      <c r="LEZ108" s="531"/>
      <c r="LFA108" s="530"/>
      <c r="LFB108" s="531"/>
      <c r="LFC108" s="530"/>
      <c r="LFD108" s="531"/>
      <c r="LFE108" s="530"/>
      <c r="LFF108" s="531"/>
      <c r="LFG108" s="530"/>
      <c r="LFH108" s="531"/>
      <c r="LFI108" s="530"/>
      <c r="LFJ108" s="531"/>
      <c r="LFK108" s="530"/>
      <c r="LFL108" s="531"/>
      <c r="LFM108" s="530"/>
      <c r="LFN108" s="531"/>
      <c r="LFO108" s="530"/>
      <c r="LFP108" s="531"/>
      <c r="LFQ108" s="530"/>
      <c r="LFR108" s="531"/>
      <c r="LFS108" s="530"/>
      <c r="LFT108" s="531"/>
      <c r="LFU108" s="530"/>
      <c r="LFV108" s="531"/>
      <c r="LFW108" s="530"/>
      <c r="LFX108" s="531"/>
      <c r="LFY108" s="530"/>
      <c r="LFZ108" s="531"/>
      <c r="LGA108" s="530"/>
      <c r="LGB108" s="531"/>
      <c r="LGC108" s="530"/>
      <c r="LGD108" s="531"/>
      <c r="LGE108" s="530"/>
      <c r="LGF108" s="531"/>
      <c r="LGG108" s="530"/>
      <c r="LGH108" s="531"/>
      <c r="LGI108" s="530"/>
      <c r="LGJ108" s="531"/>
      <c r="LGK108" s="530"/>
      <c r="LGL108" s="531"/>
      <c r="LGM108" s="530"/>
      <c r="LGN108" s="531"/>
      <c r="LGO108" s="530"/>
      <c r="LGP108" s="531"/>
      <c r="LGQ108" s="530"/>
      <c r="LGR108" s="531"/>
      <c r="LGS108" s="530"/>
      <c r="LGT108" s="531"/>
      <c r="LGU108" s="530"/>
      <c r="LGV108" s="531"/>
      <c r="LGW108" s="530"/>
      <c r="LGX108" s="531"/>
      <c r="LGY108" s="530"/>
      <c r="LGZ108" s="531"/>
      <c r="LHA108" s="530"/>
      <c r="LHB108" s="531"/>
      <c r="LHC108" s="530"/>
      <c r="LHD108" s="531"/>
      <c r="LHE108" s="530"/>
      <c r="LHF108" s="531"/>
      <c r="LHG108" s="530"/>
      <c r="LHH108" s="531"/>
      <c r="LHI108" s="530"/>
      <c r="LHJ108" s="531"/>
      <c r="LHK108" s="530"/>
      <c r="LHL108" s="531"/>
      <c r="LHM108" s="530"/>
      <c r="LHN108" s="531"/>
      <c r="LHO108" s="530"/>
      <c r="LHP108" s="531"/>
      <c r="LHQ108" s="530"/>
      <c r="LHR108" s="531"/>
      <c r="LHS108" s="530"/>
      <c r="LHT108" s="531"/>
      <c r="LHU108" s="530"/>
      <c r="LHV108" s="531"/>
      <c r="LHW108" s="530"/>
      <c r="LHX108" s="531"/>
      <c r="LHY108" s="530"/>
      <c r="LHZ108" s="531"/>
      <c r="LIA108" s="530"/>
      <c r="LIB108" s="531"/>
      <c r="LIC108" s="530"/>
      <c r="LID108" s="531"/>
      <c r="LIE108" s="530"/>
      <c r="LIF108" s="531"/>
      <c r="LIG108" s="530"/>
      <c r="LIH108" s="531"/>
      <c r="LII108" s="530"/>
      <c r="LIJ108" s="531"/>
      <c r="LIK108" s="530"/>
      <c r="LIL108" s="531"/>
      <c r="LIM108" s="530"/>
      <c r="LIN108" s="531"/>
      <c r="LIO108" s="530"/>
      <c r="LIP108" s="531"/>
      <c r="LIQ108" s="530"/>
      <c r="LIR108" s="531"/>
      <c r="LIS108" s="530"/>
      <c r="LIT108" s="531"/>
      <c r="LIU108" s="530"/>
      <c r="LIV108" s="531"/>
      <c r="LIW108" s="530"/>
      <c r="LIX108" s="531"/>
      <c r="LIY108" s="530"/>
      <c r="LIZ108" s="531"/>
      <c r="LJA108" s="530"/>
      <c r="LJB108" s="531"/>
      <c r="LJC108" s="530"/>
      <c r="LJD108" s="531"/>
      <c r="LJE108" s="530"/>
      <c r="LJF108" s="531"/>
      <c r="LJG108" s="530"/>
      <c r="LJH108" s="531"/>
      <c r="LJI108" s="530"/>
      <c r="LJJ108" s="531"/>
      <c r="LJK108" s="530"/>
      <c r="LJL108" s="531"/>
      <c r="LJM108" s="530"/>
      <c r="LJN108" s="531"/>
      <c r="LJO108" s="530"/>
      <c r="LJP108" s="531"/>
      <c r="LJQ108" s="530"/>
      <c r="LJR108" s="531"/>
      <c r="LJS108" s="530"/>
      <c r="LJT108" s="531"/>
      <c r="LJU108" s="530"/>
      <c r="LJV108" s="531"/>
      <c r="LJW108" s="530"/>
      <c r="LJX108" s="531"/>
      <c r="LJY108" s="530"/>
      <c r="LJZ108" s="531"/>
      <c r="LKA108" s="530"/>
      <c r="LKB108" s="531"/>
      <c r="LKC108" s="530"/>
      <c r="LKD108" s="531"/>
      <c r="LKE108" s="530"/>
      <c r="LKF108" s="531"/>
      <c r="LKG108" s="530"/>
      <c r="LKH108" s="531"/>
      <c r="LKI108" s="530"/>
      <c r="LKJ108" s="531"/>
      <c r="LKK108" s="530"/>
      <c r="LKL108" s="531"/>
      <c r="LKM108" s="530"/>
      <c r="LKN108" s="531"/>
      <c r="LKO108" s="530"/>
      <c r="LKP108" s="531"/>
      <c r="LKQ108" s="530"/>
      <c r="LKR108" s="531"/>
      <c r="LKS108" s="530"/>
      <c r="LKT108" s="531"/>
      <c r="LKU108" s="530"/>
      <c r="LKV108" s="531"/>
      <c r="LKW108" s="530"/>
      <c r="LKX108" s="531"/>
      <c r="LKY108" s="530"/>
      <c r="LKZ108" s="531"/>
      <c r="LLA108" s="530"/>
      <c r="LLB108" s="531"/>
      <c r="LLC108" s="530"/>
      <c r="LLD108" s="531"/>
      <c r="LLE108" s="530"/>
      <c r="LLF108" s="531"/>
      <c r="LLG108" s="530"/>
      <c r="LLH108" s="531"/>
      <c r="LLI108" s="530"/>
      <c r="LLJ108" s="531"/>
      <c r="LLK108" s="530"/>
      <c r="LLL108" s="531"/>
      <c r="LLM108" s="530"/>
      <c r="LLN108" s="531"/>
      <c r="LLO108" s="530"/>
      <c r="LLP108" s="531"/>
      <c r="LLQ108" s="530"/>
      <c r="LLR108" s="531"/>
      <c r="LLS108" s="530"/>
      <c r="LLT108" s="531"/>
      <c r="LLU108" s="530"/>
      <c r="LLV108" s="531"/>
      <c r="LLW108" s="530"/>
      <c r="LLX108" s="531"/>
      <c r="LLY108" s="530"/>
      <c r="LLZ108" s="531"/>
      <c r="LMA108" s="530"/>
      <c r="LMB108" s="531"/>
      <c r="LMC108" s="530"/>
      <c r="LMD108" s="531"/>
      <c r="LME108" s="530"/>
      <c r="LMF108" s="531"/>
      <c r="LMG108" s="530"/>
      <c r="LMH108" s="531"/>
      <c r="LMI108" s="530"/>
      <c r="LMJ108" s="531"/>
      <c r="LMK108" s="530"/>
      <c r="LML108" s="531"/>
      <c r="LMM108" s="530"/>
      <c r="LMN108" s="531"/>
      <c r="LMO108" s="530"/>
      <c r="LMP108" s="531"/>
      <c r="LMQ108" s="530"/>
      <c r="LMR108" s="531"/>
      <c r="LMS108" s="530"/>
      <c r="LMT108" s="531"/>
      <c r="LMU108" s="530"/>
      <c r="LMV108" s="531"/>
      <c r="LMW108" s="530"/>
      <c r="LMX108" s="531"/>
      <c r="LMY108" s="530"/>
      <c r="LMZ108" s="531"/>
      <c r="LNA108" s="530"/>
      <c r="LNB108" s="531"/>
      <c r="LNC108" s="530"/>
      <c r="LND108" s="531"/>
      <c r="LNE108" s="530"/>
      <c r="LNF108" s="531"/>
      <c r="LNG108" s="530"/>
      <c r="LNH108" s="531"/>
      <c r="LNI108" s="530"/>
      <c r="LNJ108" s="531"/>
      <c r="LNK108" s="530"/>
      <c r="LNL108" s="531"/>
      <c r="LNM108" s="530"/>
      <c r="LNN108" s="531"/>
      <c r="LNO108" s="530"/>
      <c r="LNP108" s="531"/>
      <c r="LNQ108" s="530"/>
      <c r="LNR108" s="531"/>
      <c r="LNS108" s="530"/>
      <c r="LNT108" s="531"/>
      <c r="LNU108" s="530"/>
      <c r="LNV108" s="531"/>
      <c r="LNW108" s="530"/>
      <c r="LNX108" s="531"/>
      <c r="LNY108" s="530"/>
      <c r="LNZ108" s="531"/>
      <c r="LOA108" s="530"/>
      <c r="LOB108" s="531"/>
      <c r="LOC108" s="530"/>
      <c r="LOD108" s="531"/>
      <c r="LOE108" s="530"/>
      <c r="LOF108" s="531"/>
      <c r="LOG108" s="530"/>
      <c r="LOH108" s="531"/>
      <c r="LOI108" s="530"/>
      <c r="LOJ108" s="531"/>
      <c r="LOK108" s="530"/>
      <c r="LOL108" s="531"/>
      <c r="LOM108" s="530"/>
      <c r="LON108" s="531"/>
      <c r="LOO108" s="530"/>
      <c r="LOP108" s="531"/>
      <c r="LOQ108" s="530"/>
      <c r="LOR108" s="531"/>
      <c r="LOS108" s="530"/>
      <c r="LOT108" s="531"/>
      <c r="LOU108" s="530"/>
      <c r="LOV108" s="531"/>
      <c r="LOW108" s="530"/>
      <c r="LOX108" s="531"/>
      <c r="LOY108" s="530"/>
      <c r="LOZ108" s="531"/>
      <c r="LPA108" s="530"/>
      <c r="LPB108" s="531"/>
      <c r="LPC108" s="530"/>
      <c r="LPD108" s="531"/>
      <c r="LPE108" s="530"/>
      <c r="LPF108" s="531"/>
      <c r="LPG108" s="530"/>
      <c r="LPH108" s="531"/>
      <c r="LPI108" s="530"/>
      <c r="LPJ108" s="531"/>
      <c r="LPK108" s="530"/>
      <c r="LPL108" s="531"/>
      <c r="LPM108" s="530"/>
      <c r="LPN108" s="531"/>
      <c r="LPO108" s="530"/>
      <c r="LPP108" s="531"/>
      <c r="LPQ108" s="530"/>
      <c r="LPR108" s="531"/>
      <c r="LPS108" s="530"/>
      <c r="LPT108" s="531"/>
      <c r="LPU108" s="530"/>
      <c r="LPV108" s="531"/>
      <c r="LPW108" s="530"/>
      <c r="LPX108" s="531"/>
      <c r="LPY108" s="530"/>
      <c r="LPZ108" s="531"/>
      <c r="LQA108" s="530"/>
      <c r="LQB108" s="531"/>
      <c r="LQC108" s="530"/>
      <c r="LQD108" s="531"/>
      <c r="LQE108" s="530"/>
      <c r="LQF108" s="531"/>
      <c r="LQG108" s="530"/>
      <c r="LQH108" s="531"/>
      <c r="LQI108" s="530"/>
      <c r="LQJ108" s="531"/>
      <c r="LQK108" s="530"/>
      <c r="LQL108" s="531"/>
      <c r="LQM108" s="530"/>
      <c r="LQN108" s="531"/>
      <c r="LQO108" s="530"/>
      <c r="LQP108" s="531"/>
      <c r="LQQ108" s="530"/>
      <c r="LQR108" s="531"/>
      <c r="LQS108" s="530"/>
      <c r="LQT108" s="531"/>
      <c r="LQU108" s="530"/>
      <c r="LQV108" s="531"/>
      <c r="LQW108" s="530"/>
      <c r="LQX108" s="531"/>
      <c r="LQY108" s="530"/>
      <c r="LQZ108" s="531"/>
      <c r="LRA108" s="530"/>
      <c r="LRB108" s="531"/>
      <c r="LRC108" s="530"/>
      <c r="LRD108" s="531"/>
      <c r="LRE108" s="530"/>
      <c r="LRF108" s="531"/>
      <c r="LRG108" s="530"/>
      <c r="LRH108" s="531"/>
      <c r="LRI108" s="530"/>
      <c r="LRJ108" s="531"/>
      <c r="LRK108" s="530"/>
      <c r="LRL108" s="531"/>
      <c r="LRM108" s="530"/>
      <c r="LRN108" s="531"/>
      <c r="LRO108" s="530"/>
      <c r="LRP108" s="531"/>
      <c r="LRQ108" s="530"/>
      <c r="LRR108" s="531"/>
      <c r="LRS108" s="530"/>
      <c r="LRT108" s="531"/>
      <c r="LRU108" s="530"/>
      <c r="LRV108" s="531"/>
      <c r="LRW108" s="530"/>
      <c r="LRX108" s="531"/>
      <c r="LRY108" s="530"/>
      <c r="LRZ108" s="531"/>
      <c r="LSA108" s="530"/>
      <c r="LSB108" s="531"/>
      <c r="LSC108" s="530"/>
      <c r="LSD108" s="531"/>
      <c r="LSE108" s="530"/>
      <c r="LSF108" s="531"/>
      <c r="LSG108" s="530"/>
      <c r="LSH108" s="531"/>
      <c r="LSI108" s="530"/>
      <c r="LSJ108" s="531"/>
      <c r="LSK108" s="530"/>
      <c r="LSL108" s="531"/>
      <c r="LSM108" s="530"/>
      <c r="LSN108" s="531"/>
      <c r="LSO108" s="530"/>
      <c r="LSP108" s="531"/>
      <c r="LSQ108" s="530"/>
      <c r="LSR108" s="531"/>
      <c r="LSS108" s="530"/>
      <c r="LST108" s="531"/>
      <c r="LSU108" s="530"/>
      <c r="LSV108" s="531"/>
      <c r="LSW108" s="530"/>
      <c r="LSX108" s="531"/>
      <c r="LSY108" s="530"/>
      <c r="LSZ108" s="531"/>
      <c r="LTA108" s="530"/>
      <c r="LTB108" s="531"/>
      <c r="LTC108" s="530"/>
      <c r="LTD108" s="531"/>
      <c r="LTE108" s="530"/>
      <c r="LTF108" s="531"/>
      <c r="LTG108" s="530"/>
      <c r="LTH108" s="531"/>
      <c r="LTI108" s="530"/>
      <c r="LTJ108" s="531"/>
      <c r="LTK108" s="530"/>
      <c r="LTL108" s="531"/>
      <c r="LTM108" s="530"/>
      <c r="LTN108" s="531"/>
      <c r="LTO108" s="530"/>
      <c r="LTP108" s="531"/>
      <c r="LTQ108" s="530"/>
      <c r="LTR108" s="531"/>
      <c r="LTS108" s="530"/>
      <c r="LTT108" s="531"/>
      <c r="LTU108" s="530"/>
      <c r="LTV108" s="531"/>
      <c r="LTW108" s="530"/>
      <c r="LTX108" s="531"/>
      <c r="LTY108" s="530"/>
      <c r="LTZ108" s="531"/>
      <c r="LUA108" s="530"/>
      <c r="LUB108" s="531"/>
      <c r="LUC108" s="530"/>
      <c r="LUD108" s="531"/>
      <c r="LUE108" s="530"/>
      <c r="LUF108" s="531"/>
      <c r="LUG108" s="530"/>
      <c r="LUH108" s="531"/>
      <c r="LUI108" s="530"/>
      <c r="LUJ108" s="531"/>
      <c r="LUK108" s="530"/>
      <c r="LUL108" s="531"/>
      <c r="LUM108" s="530"/>
      <c r="LUN108" s="531"/>
      <c r="LUO108" s="530"/>
      <c r="LUP108" s="531"/>
      <c r="LUQ108" s="530"/>
      <c r="LUR108" s="531"/>
      <c r="LUS108" s="530"/>
      <c r="LUT108" s="531"/>
      <c r="LUU108" s="530"/>
      <c r="LUV108" s="531"/>
      <c r="LUW108" s="530"/>
      <c r="LUX108" s="531"/>
      <c r="LUY108" s="530"/>
      <c r="LUZ108" s="531"/>
      <c r="LVA108" s="530"/>
      <c r="LVB108" s="531"/>
      <c r="LVC108" s="530"/>
      <c r="LVD108" s="531"/>
      <c r="LVE108" s="530"/>
      <c r="LVF108" s="531"/>
      <c r="LVG108" s="530"/>
      <c r="LVH108" s="531"/>
      <c r="LVI108" s="530"/>
      <c r="LVJ108" s="531"/>
      <c r="LVK108" s="530"/>
      <c r="LVL108" s="531"/>
      <c r="LVM108" s="530"/>
      <c r="LVN108" s="531"/>
      <c r="LVO108" s="530"/>
      <c r="LVP108" s="531"/>
      <c r="LVQ108" s="530"/>
      <c r="LVR108" s="531"/>
      <c r="LVS108" s="530"/>
      <c r="LVT108" s="531"/>
      <c r="LVU108" s="530"/>
      <c r="LVV108" s="531"/>
      <c r="LVW108" s="530"/>
      <c r="LVX108" s="531"/>
      <c r="LVY108" s="530"/>
      <c r="LVZ108" s="531"/>
      <c r="LWA108" s="530"/>
      <c r="LWB108" s="531"/>
      <c r="LWC108" s="530"/>
      <c r="LWD108" s="531"/>
      <c r="LWE108" s="530"/>
      <c r="LWF108" s="531"/>
      <c r="LWG108" s="530"/>
      <c r="LWH108" s="531"/>
      <c r="LWI108" s="530"/>
      <c r="LWJ108" s="531"/>
      <c r="LWK108" s="530"/>
      <c r="LWL108" s="531"/>
      <c r="LWM108" s="530"/>
      <c r="LWN108" s="531"/>
      <c r="LWO108" s="530"/>
      <c r="LWP108" s="531"/>
      <c r="LWQ108" s="530"/>
      <c r="LWR108" s="531"/>
      <c r="LWS108" s="530"/>
      <c r="LWT108" s="531"/>
      <c r="LWU108" s="530"/>
      <c r="LWV108" s="531"/>
      <c r="LWW108" s="530"/>
      <c r="LWX108" s="531"/>
      <c r="LWY108" s="530"/>
      <c r="LWZ108" s="531"/>
      <c r="LXA108" s="530"/>
      <c r="LXB108" s="531"/>
      <c r="LXC108" s="530"/>
      <c r="LXD108" s="531"/>
      <c r="LXE108" s="530"/>
      <c r="LXF108" s="531"/>
      <c r="LXG108" s="530"/>
      <c r="LXH108" s="531"/>
      <c r="LXI108" s="530"/>
      <c r="LXJ108" s="531"/>
      <c r="LXK108" s="530"/>
      <c r="LXL108" s="531"/>
      <c r="LXM108" s="530"/>
      <c r="LXN108" s="531"/>
      <c r="LXO108" s="530"/>
      <c r="LXP108" s="531"/>
      <c r="LXQ108" s="530"/>
      <c r="LXR108" s="531"/>
      <c r="LXS108" s="530"/>
      <c r="LXT108" s="531"/>
      <c r="LXU108" s="530"/>
      <c r="LXV108" s="531"/>
      <c r="LXW108" s="530"/>
      <c r="LXX108" s="531"/>
      <c r="LXY108" s="530"/>
      <c r="LXZ108" s="531"/>
      <c r="LYA108" s="530"/>
      <c r="LYB108" s="531"/>
      <c r="LYC108" s="530"/>
      <c r="LYD108" s="531"/>
      <c r="LYE108" s="530"/>
      <c r="LYF108" s="531"/>
      <c r="LYG108" s="530"/>
      <c r="LYH108" s="531"/>
      <c r="LYI108" s="530"/>
      <c r="LYJ108" s="531"/>
      <c r="LYK108" s="530"/>
      <c r="LYL108" s="531"/>
      <c r="LYM108" s="530"/>
      <c r="LYN108" s="531"/>
      <c r="LYO108" s="530"/>
      <c r="LYP108" s="531"/>
      <c r="LYQ108" s="530"/>
      <c r="LYR108" s="531"/>
      <c r="LYS108" s="530"/>
      <c r="LYT108" s="531"/>
      <c r="LYU108" s="530"/>
      <c r="LYV108" s="531"/>
      <c r="LYW108" s="530"/>
      <c r="LYX108" s="531"/>
      <c r="LYY108" s="530"/>
      <c r="LYZ108" s="531"/>
      <c r="LZA108" s="530"/>
      <c r="LZB108" s="531"/>
      <c r="LZC108" s="530"/>
      <c r="LZD108" s="531"/>
      <c r="LZE108" s="530"/>
      <c r="LZF108" s="531"/>
      <c r="LZG108" s="530"/>
      <c r="LZH108" s="531"/>
      <c r="LZI108" s="530"/>
      <c r="LZJ108" s="531"/>
      <c r="LZK108" s="530"/>
      <c r="LZL108" s="531"/>
      <c r="LZM108" s="530"/>
      <c r="LZN108" s="531"/>
      <c r="LZO108" s="530"/>
      <c r="LZP108" s="531"/>
      <c r="LZQ108" s="530"/>
      <c r="LZR108" s="531"/>
      <c r="LZS108" s="530"/>
      <c r="LZT108" s="531"/>
      <c r="LZU108" s="530"/>
      <c r="LZV108" s="531"/>
      <c r="LZW108" s="530"/>
      <c r="LZX108" s="531"/>
      <c r="LZY108" s="530"/>
      <c r="LZZ108" s="531"/>
      <c r="MAA108" s="530"/>
      <c r="MAB108" s="531"/>
      <c r="MAC108" s="530"/>
      <c r="MAD108" s="531"/>
      <c r="MAE108" s="530"/>
      <c r="MAF108" s="531"/>
      <c r="MAG108" s="530"/>
      <c r="MAH108" s="531"/>
      <c r="MAI108" s="530"/>
      <c r="MAJ108" s="531"/>
      <c r="MAK108" s="530"/>
      <c r="MAL108" s="531"/>
      <c r="MAM108" s="530"/>
      <c r="MAN108" s="531"/>
      <c r="MAO108" s="530"/>
      <c r="MAP108" s="531"/>
      <c r="MAQ108" s="530"/>
      <c r="MAR108" s="531"/>
      <c r="MAS108" s="530"/>
      <c r="MAT108" s="531"/>
      <c r="MAU108" s="530"/>
      <c r="MAV108" s="531"/>
      <c r="MAW108" s="530"/>
      <c r="MAX108" s="531"/>
      <c r="MAY108" s="530"/>
      <c r="MAZ108" s="531"/>
      <c r="MBA108" s="530"/>
      <c r="MBB108" s="531"/>
      <c r="MBC108" s="530"/>
      <c r="MBD108" s="531"/>
      <c r="MBE108" s="530"/>
      <c r="MBF108" s="531"/>
      <c r="MBG108" s="530"/>
      <c r="MBH108" s="531"/>
      <c r="MBI108" s="530"/>
      <c r="MBJ108" s="531"/>
      <c r="MBK108" s="530"/>
      <c r="MBL108" s="531"/>
      <c r="MBM108" s="530"/>
      <c r="MBN108" s="531"/>
      <c r="MBO108" s="530"/>
      <c r="MBP108" s="531"/>
      <c r="MBQ108" s="530"/>
      <c r="MBR108" s="531"/>
      <c r="MBS108" s="530"/>
      <c r="MBT108" s="531"/>
      <c r="MBU108" s="530"/>
      <c r="MBV108" s="531"/>
      <c r="MBW108" s="530"/>
      <c r="MBX108" s="531"/>
      <c r="MBY108" s="530"/>
      <c r="MBZ108" s="531"/>
      <c r="MCA108" s="530"/>
      <c r="MCB108" s="531"/>
      <c r="MCC108" s="530"/>
      <c r="MCD108" s="531"/>
      <c r="MCE108" s="530"/>
      <c r="MCF108" s="531"/>
      <c r="MCG108" s="530"/>
      <c r="MCH108" s="531"/>
      <c r="MCI108" s="530"/>
      <c r="MCJ108" s="531"/>
      <c r="MCK108" s="530"/>
      <c r="MCL108" s="531"/>
      <c r="MCM108" s="530"/>
      <c r="MCN108" s="531"/>
      <c r="MCO108" s="530"/>
      <c r="MCP108" s="531"/>
      <c r="MCQ108" s="530"/>
      <c r="MCR108" s="531"/>
      <c r="MCS108" s="530"/>
      <c r="MCT108" s="531"/>
      <c r="MCU108" s="530"/>
      <c r="MCV108" s="531"/>
      <c r="MCW108" s="530"/>
      <c r="MCX108" s="531"/>
      <c r="MCY108" s="530"/>
      <c r="MCZ108" s="531"/>
      <c r="MDA108" s="530"/>
      <c r="MDB108" s="531"/>
      <c r="MDC108" s="530"/>
      <c r="MDD108" s="531"/>
      <c r="MDE108" s="530"/>
      <c r="MDF108" s="531"/>
      <c r="MDG108" s="530"/>
      <c r="MDH108" s="531"/>
      <c r="MDI108" s="530"/>
      <c r="MDJ108" s="531"/>
      <c r="MDK108" s="530"/>
      <c r="MDL108" s="531"/>
      <c r="MDM108" s="530"/>
      <c r="MDN108" s="531"/>
      <c r="MDO108" s="530"/>
      <c r="MDP108" s="531"/>
      <c r="MDQ108" s="530"/>
      <c r="MDR108" s="531"/>
      <c r="MDS108" s="530"/>
      <c r="MDT108" s="531"/>
      <c r="MDU108" s="530"/>
      <c r="MDV108" s="531"/>
      <c r="MDW108" s="530"/>
      <c r="MDX108" s="531"/>
      <c r="MDY108" s="530"/>
      <c r="MDZ108" s="531"/>
      <c r="MEA108" s="530"/>
      <c r="MEB108" s="531"/>
      <c r="MEC108" s="530"/>
      <c r="MED108" s="531"/>
      <c r="MEE108" s="530"/>
      <c r="MEF108" s="531"/>
      <c r="MEG108" s="530"/>
      <c r="MEH108" s="531"/>
      <c r="MEI108" s="530"/>
      <c r="MEJ108" s="531"/>
      <c r="MEK108" s="530"/>
      <c r="MEL108" s="531"/>
      <c r="MEM108" s="530"/>
      <c r="MEN108" s="531"/>
      <c r="MEO108" s="530"/>
      <c r="MEP108" s="531"/>
      <c r="MEQ108" s="530"/>
      <c r="MER108" s="531"/>
      <c r="MES108" s="530"/>
      <c r="MET108" s="531"/>
      <c r="MEU108" s="530"/>
      <c r="MEV108" s="531"/>
      <c r="MEW108" s="530"/>
      <c r="MEX108" s="531"/>
      <c r="MEY108" s="530"/>
      <c r="MEZ108" s="531"/>
      <c r="MFA108" s="530"/>
      <c r="MFB108" s="531"/>
      <c r="MFC108" s="530"/>
      <c r="MFD108" s="531"/>
      <c r="MFE108" s="530"/>
      <c r="MFF108" s="531"/>
      <c r="MFG108" s="530"/>
      <c r="MFH108" s="531"/>
      <c r="MFI108" s="530"/>
      <c r="MFJ108" s="531"/>
      <c r="MFK108" s="530"/>
      <c r="MFL108" s="531"/>
      <c r="MFM108" s="530"/>
      <c r="MFN108" s="531"/>
      <c r="MFO108" s="530"/>
      <c r="MFP108" s="531"/>
      <c r="MFQ108" s="530"/>
      <c r="MFR108" s="531"/>
      <c r="MFS108" s="530"/>
      <c r="MFT108" s="531"/>
      <c r="MFU108" s="530"/>
      <c r="MFV108" s="531"/>
      <c r="MFW108" s="530"/>
      <c r="MFX108" s="531"/>
      <c r="MFY108" s="530"/>
      <c r="MFZ108" s="531"/>
      <c r="MGA108" s="530"/>
      <c r="MGB108" s="531"/>
      <c r="MGC108" s="530"/>
      <c r="MGD108" s="531"/>
      <c r="MGE108" s="530"/>
      <c r="MGF108" s="531"/>
      <c r="MGG108" s="530"/>
      <c r="MGH108" s="531"/>
      <c r="MGI108" s="530"/>
      <c r="MGJ108" s="531"/>
      <c r="MGK108" s="530"/>
      <c r="MGL108" s="531"/>
      <c r="MGM108" s="530"/>
      <c r="MGN108" s="531"/>
      <c r="MGO108" s="530"/>
      <c r="MGP108" s="531"/>
      <c r="MGQ108" s="530"/>
      <c r="MGR108" s="531"/>
      <c r="MGS108" s="530"/>
      <c r="MGT108" s="531"/>
      <c r="MGU108" s="530"/>
      <c r="MGV108" s="531"/>
      <c r="MGW108" s="530"/>
      <c r="MGX108" s="531"/>
      <c r="MGY108" s="530"/>
      <c r="MGZ108" s="531"/>
      <c r="MHA108" s="530"/>
      <c r="MHB108" s="531"/>
      <c r="MHC108" s="530"/>
      <c r="MHD108" s="531"/>
      <c r="MHE108" s="530"/>
      <c r="MHF108" s="531"/>
      <c r="MHG108" s="530"/>
      <c r="MHH108" s="531"/>
      <c r="MHI108" s="530"/>
      <c r="MHJ108" s="531"/>
      <c r="MHK108" s="530"/>
      <c r="MHL108" s="531"/>
      <c r="MHM108" s="530"/>
      <c r="MHN108" s="531"/>
      <c r="MHO108" s="530"/>
      <c r="MHP108" s="531"/>
      <c r="MHQ108" s="530"/>
      <c r="MHR108" s="531"/>
      <c r="MHS108" s="530"/>
      <c r="MHT108" s="531"/>
      <c r="MHU108" s="530"/>
      <c r="MHV108" s="531"/>
      <c r="MHW108" s="530"/>
      <c r="MHX108" s="531"/>
      <c r="MHY108" s="530"/>
      <c r="MHZ108" s="531"/>
      <c r="MIA108" s="530"/>
      <c r="MIB108" s="531"/>
      <c r="MIC108" s="530"/>
      <c r="MID108" s="531"/>
      <c r="MIE108" s="530"/>
      <c r="MIF108" s="531"/>
      <c r="MIG108" s="530"/>
      <c r="MIH108" s="531"/>
      <c r="MII108" s="530"/>
      <c r="MIJ108" s="531"/>
      <c r="MIK108" s="530"/>
      <c r="MIL108" s="531"/>
      <c r="MIM108" s="530"/>
      <c r="MIN108" s="531"/>
      <c r="MIO108" s="530"/>
      <c r="MIP108" s="531"/>
      <c r="MIQ108" s="530"/>
      <c r="MIR108" s="531"/>
      <c r="MIS108" s="530"/>
      <c r="MIT108" s="531"/>
      <c r="MIU108" s="530"/>
      <c r="MIV108" s="531"/>
      <c r="MIW108" s="530"/>
      <c r="MIX108" s="531"/>
      <c r="MIY108" s="530"/>
      <c r="MIZ108" s="531"/>
      <c r="MJA108" s="530"/>
      <c r="MJB108" s="531"/>
      <c r="MJC108" s="530"/>
      <c r="MJD108" s="531"/>
      <c r="MJE108" s="530"/>
      <c r="MJF108" s="531"/>
      <c r="MJG108" s="530"/>
      <c r="MJH108" s="531"/>
      <c r="MJI108" s="530"/>
      <c r="MJJ108" s="531"/>
      <c r="MJK108" s="530"/>
      <c r="MJL108" s="531"/>
      <c r="MJM108" s="530"/>
      <c r="MJN108" s="531"/>
      <c r="MJO108" s="530"/>
      <c r="MJP108" s="531"/>
      <c r="MJQ108" s="530"/>
      <c r="MJR108" s="531"/>
      <c r="MJS108" s="530"/>
      <c r="MJT108" s="531"/>
      <c r="MJU108" s="530"/>
      <c r="MJV108" s="531"/>
      <c r="MJW108" s="530"/>
      <c r="MJX108" s="531"/>
      <c r="MJY108" s="530"/>
      <c r="MJZ108" s="531"/>
      <c r="MKA108" s="530"/>
      <c r="MKB108" s="531"/>
      <c r="MKC108" s="530"/>
      <c r="MKD108" s="531"/>
      <c r="MKE108" s="530"/>
      <c r="MKF108" s="531"/>
      <c r="MKG108" s="530"/>
      <c r="MKH108" s="531"/>
      <c r="MKI108" s="530"/>
      <c r="MKJ108" s="531"/>
      <c r="MKK108" s="530"/>
      <c r="MKL108" s="531"/>
      <c r="MKM108" s="530"/>
      <c r="MKN108" s="531"/>
      <c r="MKO108" s="530"/>
      <c r="MKP108" s="531"/>
      <c r="MKQ108" s="530"/>
      <c r="MKR108" s="531"/>
      <c r="MKS108" s="530"/>
      <c r="MKT108" s="531"/>
      <c r="MKU108" s="530"/>
      <c r="MKV108" s="531"/>
      <c r="MKW108" s="530"/>
      <c r="MKX108" s="531"/>
      <c r="MKY108" s="530"/>
      <c r="MKZ108" s="531"/>
      <c r="MLA108" s="530"/>
      <c r="MLB108" s="531"/>
      <c r="MLC108" s="530"/>
      <c r="MLD108" s="531"/>
      <c r="MLE108" s="530"/>
      <c r="MLF108" s="531"/>
      <c r="MLG108" s="530"/>
      <c r="MLH108" s="531"/>
      <c r="MLI108" s="530"/>
      <c r="MLJ108" s="531"/>
      <c r="MLK108" s="530"/>
      <c r="MLL108" s="531"/>
      <c r="MLM108" s="530"/>
      <c r="MLN108" s="531"/>
      <c r="MLO108" s="530"/>
      <c r="MLP108" s="531"/>
      <c r="MLQ108" s="530"/>
      <c r="MLR108" s="531"/>
      <c r="MLS108" s="530"/>
      <c r="MLT108" s="531"/>
      <c r="MLU108" s="530"/>
      <c r="MLV108" s="531"/>
      <c r="MLW108" s="530"/>
      <c r="MLX108" s="531"/>
      <c r="MLY108" s="530"/>
      <c r="MLZ108" s="531"/>
      <c r="MMA108" s="530"/>
      <c r="MMB108" s="531"/>
      <c r="MMC108" s="530"/>
      <c r="MMD108" s="531"/>
      <c r="MME108" s="530"/>
      <c r="MMF108" s="531"/>
      <c r="MMG108" s="530"/>
      <c r="MMH108" s="531"/>
      <c r="MMI108" s="530"/>
      <c r="MMJ108" s="531"/>
      <c r="MMK108" s="530"/>
      <c r="MML108" s="531"/>
      <c r="MMM108" s="530"/>
      <c r="MMN108" s="531"/>
      <c r="MMO108" s="530"/>
      <c r="MMP108" s="531"/>
      <c r="MMQ108" s="530"/>
      <c r="MMR108" s="531"/>
      <c r="MMS108" s="530"/>
      <c r="MMT108" s="531"/>
      <c r="MMU108" s="530"/>
      <c r="MMV108" s="531"/>
      <c r="MMW108" s="530"/>
      <c r="MMX108" s="531"/>
      <c r="MMY108" s="530"/>
      <c r="MMZ108" s="531"/>
      <c r="MNA108" s="530"/>
      <c r="MNB108" s="531"/>
      <c r="MNC108" s="530"/>
      <c r="MND108" s="531"/>
      <c r="MNE108" s="530"/>
      <c r="MNF108" s="531"/>
      <c r="MNG108" s="530"/>
      <c r="MNH108" s="531"/>
      <c r="MNI108" s="530"/>
      <c r="MNJ108" s="531"/>
      <c r="MNK108" s="530"/>
      <c r="MNL108" s="531"/>
      <c r="MNM108" s="530"/>
      <c r="MNN108" s="531"/>
      <c r="MNO108" s="530"/>
      <c r="MNP108" s="531"/>
      <c r="MNQ108" s="530"/>
      <c r="MNR108" s="531"/>
      <c r="MNS108" s="530"/>
      <c r="MNT108" s="531"/>
      <c r="MNU108" s="530"/>
      <c r="MNV108" s="531"/>
      <c r="MNW108" s="530"/>
      <c r="MNX108" s="531"/>
      <c r="MNY108" s="530"/>
      <c r="MNZ108" s="531"/>
      <c r="MOA108" s="530"/>
      <c r="MOB108" s="531"/>
      <c r="MOC108" s="530"/>
      <c r="MOD108" s="531"/>
      <c r="MOE108" s="530"/>
      <c r="MOF108" s="531"/>
      <c r="MOG108" s="530"/>
      <c r="MOH108" s="531"/>
      <c r="MOI108" s="530"/>
      <c r="MOJ108" s="531"/>
      <c r="MOK108" s="530"/>
      <c r="MOL108" s="531"/>
      <c r="MOM108" s="530"/>
      <c r="MON108" s="531"/>
      <c r="MOO108" s="530"/>
      <c r="MOP108" s="531"/>
      <c r="MOQ108" s="530"/>
      <c r="MOR108" s="531"/>
      <c r="MOS108" s="530"/>
      <c r="MOT108" s="531"/>
      <c r="MOU108" s="530"/>
      <c r="MOV108" s="531"/>
      <c r="MOW108" s="530"/>
      <c r="MOX108" s="531"/>
      <c r="MOY108" s="530"/>
      <c r="MOZ108" s="531"/>
      <c r="MPA108" s="530"/>
      <c r="MPB108" s="531"/>
      <c r="MPC108" s="530"/>
      <c r="MPD108" s="531"/>
      <c r="MPE108" s="530"/>
      <c r="MPF108" s="531"/>
      <c r="MPG108" s="530"/>
      <c r="MPH108" s="531"/>
      <c r="MPI108" s="530"/>
      <c r="MPJ108" s="531"/>
      <c r="MPK108" s="530"/>
      <c r="MPL108" s="531"/>
      <c r="MPM108" s="530"/>
      <c r="MPN108" s="531"/>
      <c r="MPO108" s="530"/>
      <c r="MPP108" s="531"/>
      <c r="MPQ108" s="530"/>
      <c r="MPR108" s="531"/>
      <c r="MPS108" s="530"/>
      <c r="MPT108" s="531"/>
      <c r="MPU108" s="530"/>
      <c r="MPV108" s="531"/>
      <c r="MPW108" s="530"/>
      <c r="MPX108" s="531"/>
      <c r="MPY108" s="530"/>
      <c r="MPZ108" s="531"/>
      <c r="MQA108" s="530"/>
      <c r="MQB108" s="531"/>
      <c r="MQC108" s="530"/>
      <c r="MQD108" s="531"/>
      <c r="MQE108" s="530"/>
      <c r="MQF108" s="531"/>
      <c r="MQG108" s="530"/>
      <c r="MQH108" s="531"/>
      <c r="MQI108" s="530"/>
      <c r="MQJ108" s="531"/>
      <c r="MQK108" s="530"/>
      <c r="MQL108" s="531"/>
      <c r="MQM108" s="530"/>
      <c r="MQN108" s="531"/>
      <c r="MQO108" s="530"/>
      <c r="MQP108" s="531"/>
      <c r="MQQ108" s="530"/>
      <c r="MQR108" s="531"/>
      <c r="MQS108" s="530"/>
      <c r="MQT108" s="531"/>
      <c r="MQU108" s="530"/>
      <c r="MQV108" s="531"/>
      <c r="MQW108" s="530"/>
      <c r="MQX108" s="531"/>
      <c r="MQY108" s="530"/>
      <c r="MQZ108" s="531"/>
      <c r="MRA108" s="530"/>
      <c r="MRB108" s="531"/>
      <c r="MRC108" s="530"/>
      <c r="MRD108" s="531"/>
      <c r="MRE108" s="530"/>
      <c r="MRF108" s="531"/>
      <c r="MRG108" s="530"/>
      <c r="MRH108" s="531"/>
      <c r="MRI108" s="530"/>
      <c r="MRJ108" s="531"/>
      <c r="MRK108" s="530"/>
      <c r="MRL108" s="531"/>
      <c r="MRM108" s="530"/>
      <c r="MRN108" s="531"/>
      <c r="MRO108" s="530"/>
      <c r="MRP108" s="531"/>
      <c r="MRQ108" s="530"/>
      <c r="MRR108" s="531"/>
      <c r="MRS108" s="530"/>
      <c r="MRT108" s="531"/>
      <c r="MRU108" s="530"/>
      <c r="MRV108" s="531"/>
      <c r="MRW108" s="530"/>
      <c r="MRX108" s="531"/>
      <c r="MRY108" s="530"/>
      <c r="MRZ108" s="531"/>
      <c r="MSA108" s="530"/>
      <c r="MSB108" s="531"/>
      <c r="MSC108" s="530"/>
      <c r="MSD108" s="531"/>
      <c r="MSE108" s="530"/>
      <c r="MSF108" s="531"/>
      <c r="MSG108" s="530"/>
      <c r="MSH108" s="531"/>
      <c r="MSI108" s="530"/>
      <c r="MSJ108" s="531"/>
      <c r="MSK108" s="530"/>
      <c r="MSL108" s="531"/>
      <c r="MSM108" s="530"/>
      <c r="MSN108" s="531"/>
      <c r="MSO108" s="530"/>
      <c r="MSP108" s="531"/>
      <c r="MSQ108" s="530"/>
      <c r="MSR108" s="531"/>
      <c r="MSS108" s="530"/>
      <c r="MST108" s="531"/>
      <c r="MSU108" s="530"/>
      <c r="MSV108" s="531"/>
      <c r="MSW108" s="530"/>
      <c r="MSX108" s="531"/>
      <c r="MSY108" s="530"/>
      <c r="MSZ108" s="531"/>
      <c r="MTA108" s="530"/>
      <c r="MTB108" s="531"/>
      <c r="MTC108" s="530"/>
      <c r="MTD108" s="531"/>
      <c r="MTE108" s="530"/>
      <c r="MTF108" s="531"/>
      <c r="MTG108" s="530"/>
      <c r="MTH108" s="531"/>
      <c r="MTI108" s="530"/>
      <c r="MTJ108" s="531"/>
      <c r="MTK108" s="530"/>
      <c r="MTL108" s="531"/>
      <c r="MTM108" s="530"/>
      <c r="MTN108" s="531"/>
      <c r="MTO108" s="530"/>
      <c r="MTP108" s="531"/>
      <c r="MTQ108" s="530"/>
      <c r="MTR108" s="531"/>
      <c r="MTS108" s="530"/>
      <c r="MTT108" s="531"/>
      <c r="MTU108" s="530"/>
      <c r="MTV108" s="531"/>
      <c r="MTW108" s="530"/>
      <c r="MTX108" s="531"/>
      <c r="MTY108" s="530"/>
      <c r="MTZ108" s="531"/>
      <c r="MUA108" s="530"/>
      <c r="MUB108" s="531"/>
      <c r="MUC108" s="530"/>
      <c r="MUD108" s="531"/>
      <c r="MUE108" s="530"/>
      <c r="MUF108" s="531"/>
      <c r="MUG108" s="530"/>
      <c r="MUH108" s="531"/>
      <c r="MUI108" s="530"/>
      <c r="MUJ108" s="531"/>
      <c r="MUK108" s="530"/>
      <c r="MUL108" s="531"/>
      <c r="MUM108" s="530"/>
      <c r="MUN108" s="531"/>
      <c r="MUO108" s="530"/>
      <c r="MUP108" s="531"/>
      <c r="MUQ108" s="530"/>
      <c r="MUR108" s="531"/>
      <c r="MUS108" s="530"/>
      <c r="MUT108" s="531"/>
      <c r="MUU108" s="530"/>
      <c r="MUV108" s="531"/>
      <c r="MUW108" s="530"/>
      <c r="MUX108" s="531"/>
      <c r="MUY108" s="530"/>
      <c r="MUZ108" s="531"/>
      <c r="MVA108" s="530"/>
      <c r="MVB108" s="531"/>
      <c r="MVC108" s="530"/>
      <c r="MVD108" s="531"/>
      <c r="MVE108" s="530"/>
      <c r="MVF108" s="531"/>
      <c r="MVG108" s="530"/>
      <c r="MVH108" s="531"/>
      <c r="MVI108" s="530"/>
      <c r="MVJ108" s="531"/>
      <c r="MVK108" s="530"/>
      <c r="MVL108" s="531"/>
      <c r="MVM108" s="530"/>
      <c r="MVN108" s="531"/>
      <c r="MVO108" s="530"/>
      <c r="MVP108" s="531"/>
      <c r="MVQ108" s="530"/>
      <c r="MVR108" s="531"/>
      <c r="MVS108" s="530"/>
      <c r="MVT108" s="531"/>
      <c r="MVU108" s="530"/>
      <c r="MVV108" s="531"/>
      <c r="MVW108" s="530"/>
      <c r="MVX108" s="531"/>
      <c r="MVY108" s="530"/>
      <c r="MVZ108" s="531"/>
      <c r="MWA108" s="530"/>
      <c r="MWB108" s="531"/>
      <c r="MWC108" s="530"/>
      <c r="MWD108" s="531"/>
      <c r="MWE108" s="530"/>
      <c r="MWF108" s="531"/>
      <c r="MWG108" s="530"/>
      <c r="MWH108" s="531"/>
      <c r="MWI108" s="530"/>
      <c r="MWJ108" s="531"/>
      <c r="MWK108" s="530"/>
      <c r="MWL108" s="531"/>
      <c r="MWM108" s="530"/>
      <c r="MWN108" s="531"/>
      <c r="MWO108" s="530"/>
      <c r="MWP108" s="531"/>
      <c r="MWQ108" s="530"/>
      <c r="MWR108" s="531"/>
      <c r="MWS108" s="530"/>
      <c r="MWT108" s="531"/>
      <c r="MWU108" s="530"/>
      <c r="MWV108" s="531"/>
      <c r="MWW108" s="530"/>
      <c r="MWX108" s="531"/>
      <c r="MWY108" s="530"/>
      <c r="MWZ108" s="531"/>
      <c r="MXA108" s="530"/>
      <c r="MXB108" s="531"/>
      <c r="MXC108" s="530"/>
      <c r="MXD108" s="531"/>
      <c r="MXE108" s="530"/>
      <c r="MXF108" s="531"/>
      <c r="MXG108" s="530"/>
      <c r="MXH108" s="531"/>
      <c r="MXI108" s="530"/>
      <c r="MXJ108" s="531"/>
      <c r="MXK108" s="530"/>
      <c r="MXL108" s="531"/>
      <c r="MXM108" s="530"/>
      <c r="MXN108" s="531"/>
      <c r="MXO108" s="530"/>
      <c r="MXP108" s="531"/>
      <c r="MXQ108" s="530"/>
      <c r="MXR108" s="531"/>
      <c r="MXS108" s="530"/>
      <c r="MXT108" s="531"/>
      <c r="MXU108" s="530"/>
      <c r="MXV108" s="531"/>
      <c r="MXW108" s="530"/>
      <c r="MXX108" s="531"/>
      <c r="MXY108" s="530"/>
      <c r="MXZ108" s="531"/>
      <c r="MYA108" s="530"/>
      <c r="MYB108" s="531"/>
      <c r="MYC108" s="530"/>
      <c r="MYD108" s="531"/>
      <c r="MYE108" s="530"/>
      <c r="MYF108" s="531"/>
      <c r="MYG108" s="530"/>
      <c r="MYH108" s="531"/>
      <c r="MYI108" s="530"/>
      <c r="MYJ108" s="531"/>
      <c r="MYK108" s="530"/>
      <c r="MYL108" s="531"/>
      <c r="MYM108" s="530"/>
      <c r="MYN108" s="531"/>
      <c r="MYO108" s="530"/>
      <c r="MYP108" s="531"/>
      <c r="MYQ108" s="530"/>
      <c r="MYR108" s="531"/>
      <c r="MYS108" s="530"/>
      <c r="MYT108" s="531"/>
      <c r="MYU108" s="530"/>
      <c r="MYV108" s="531"/>
      <c r="MYW108" s="530"/>
      <c r="MYX108" s="531"/>
      <c r="MYY108" s="530"/>
      <c r="MYZ108" s="531"/>
      <c r="MZA108" s="530"/>
      <c r="MZB108" s="531"/>
      <c r="MZC108" s="530"/>
      <c r="MZD108" s="531"/>
      <c r="MZE108" s="530"/>
      <c r="MZF108" s="531"/>
      <c r="MZG108" s="530"/>
      <c r="MZH108" s="531"/>
      <c r="MZI108" s="530"/>
      <c r="MZJ108" s="531"/>
      <c r="MZK108" s="530"/>
      <c r="MZL108" s="531"/>
      <c r="MZM108" s="530"/>
      <c r="MZN108" s="531"/>
      <c r="MZO108" s="530"/>
      <c r="MZP108" s="531"/>
      <c r="MZQ108" s="530"/>
      <c r="MZR108" s="531"/>
      <c r="MZS108" s="530"/>
      <c r="MZT108" s="531"/>
      <c r="MZU108" s="530"/>
      <c r="MZV108" s="531"/>
      <c r="MZW108" s="530"/>
      <c r="MZX108" s="531"/>
      <c r="MZY108" s="530"/>
      <c r="MZZ108" s="531"/>
      <c r="NAA108" s="530"/>
      <c r="NAB108" s="531"/>
      <c r="NAC108" s="530"/>
      <c r="NAD108" s="531"/>
      <c r="NAE108" s="530"/>
      <c r="NAF108" s="531"/>
      <c r="NAG108" s="530"/>
      <c r="NAH108" s="531"/>
      <c r="NAI108" s="530"/>
      <c r="NAJ108" s="531"/>
      <c r="NAK108" s="530"/>
      <c r="NAL108" s="531"/>
      <c r="NAM108" s="530"/>
      <c r="NAN108" s="531"/>
      <c r="NAO108" s="530"/>
      <c r="NAP108" s="531"/>
      <c r="NAQ108" s="530"/>
      <c r="NAR108" s="531"/>
      <c r="NAS108" s="530"/>
      <c r="NAT108" s="531"/>
      <c r="NAU108" s="530"/>
      <c r="NAV108" s="531"/>
      <c r="NAW108" s="530"/>
      <c r="NAX108" s="531"/>
      <c r="NAY108" s="530"/>
      <c r="NAZ108" s="531"/>
      <c r="NBA108" s="530"/>
      <c r="NBB108" s="531"/>
      <c r="NBC108" s="530"/>
      <c r="NBD108" s="531"/>
      <c r="NBE108" s="530"/>
      <c r="NBF108" s="531"/>
      <c r="NBG108" s="530"/>
      <c r="NBH108" s="531"/>
      <c r="NBI108" s="530"/>
      <c r="NBJ108" s="531"/>
      <c r="NBK108" s="530"/>
      <c r="NBL108" s="531"/>
      <c r="NBM108" s="530"/>
      <c r="NBN108" s="531"/>
      <c r="NBO108" s="530"/>
      <c r="NBP108" s="531"/>
      <c r="NBQ108" s="530"/>
      <c r="NBR108" s="531"/>
      <c r="NBS108" s="530"/>
      <c r="NBT108" s="531"/>
      <c r="NBU108" s="530"/>
      <c r="NBV108" s="531"/>
      <c r="NBW108" s="530"/>
      <c r="NBX108" s="531"/>
      <c r="NBY108" s="530"/>
      <c r="NBZ108" s="531"/>
      <c r="NCA108" s="530"/>
      <c r="NCB108" s="531"/>
      <c r="NCC108" s="530"/>
      <c r="NCD108" s="531"/>
      <c r="NCE108" s="530"/>
      <c r="NCF108" s="531"/>
      <c r="NCG108" s="530"/>
      <c r="NCH108" s="531"/>
      <c r="NCI108" s="530"/>
      <c r="NCJ108" s="531"/>
      <c r="NCK108" s="530"/>
      <c r="NCL108" s="531"/>
      <c r="NCM108" s="530"/>
      <c r="NCN108" s="531"/>
      <c r="NCO108" s="530"/>
      <c r="NCP108" s="531"/>
      <c r="NCQ108" s="530"/>
      <c r="NCR108" s="531"/>
      <c r="NCS108" s="530"/>
      <c r="NCT108" s="531"/>
      <c r="NCU108" s="530"/>
      <c r="NCV108" s="531"/>
      <c r="NCW108" s="530"/>
      <c r="NCX108" s="531"/>
      <c r="NCY108" s="530"/>
      <c r="NCZ108" s="531"/>
      <c r="NDA108" s="530"/>
      <c r="NDB108" s="531"/>
      <c r="NDC108" s="530"/>
      <c r="NDD108" s="531"/>
      <c r="NDE108" s="530"/>
      <c r="NDF108" s="531"/>
      <c r="NDG108" s="530"/>
      <c r="NDH108" s="531"/>
      <c r="NDI108" s="530"/>
      <c r="NDJ108" s="531"/>
      <c r="NDK108" s="530"/>
      <c r="NDL108" s="531"/>
      <c r="NDM108" s="530"/>
      <c r="NDN108" s="531"/>
      <c r="NDO108" s="530"/>
      <c r="NDP108" s="531"/>
      <c r="NDQ108" s="530"/>
      <c r="NDR108" s="531"/>
      <c r="NDS108" s="530"/>
      <c r="NDT108" s="531"/>
      <c r="NDU108" s="530"/>
      <c r="NDV108" s="531"/>
      <c r="NDW108" s="530"/>
      <c r="NDX108" s="531"/>
      <c r="NDY108" s="530"/>
      <c r="NDZ108" s="531"/>
      <c r="NEA108" s="530"/>
      <c r="NEB108" s="531"/>
      <c r="NEC108" s="530"/>
      <c r="NED108" s="531"/>
      <c r="NEE108" s="530"/>
      <c r="NEF108" s="531"/>
      <c r="NEG108" s="530"/>
      <c r="NEH108" s="531"/>
      <c r="NEI108" s="530"/>
      <c r="NEJ108" s="531"/>
      <c r="NEK108" s="530"/>
      <c r="NEL108" s="531"/>
      <c r="NEM108" s="530"/>
      <c r="NEN108" s="531"/>
      <c r="NEO108" s="530"/>
      <c r="NEP108" s="531"/>
      <c r="NEQ108" s="530"/>
      <c r="NER108" s="531"/>
      <c r="NES108" s="530"/>
      <c r="NET108" s="531"/>
      <c r="NEU108" s="530"/>
      <c r="NEV108" s="531"/>
      <c r="NEW108" s="530"/>
      <c r="NEX108" s="531"/>
      <c r="NEY108" s="530"/>
      <c r="NEZ108" s="531"/>
      <c r="NFA108" s="530"/>
      <c r="NFB108" s="531"/>
      <c r="NFC108" s="530"/>
      <c r="NFD108" s="531"/>
      <c r="NFE108" s="530"/>
      <c r="NFF108" s="531"/>
      <c r="NFG108" s="530"/>
      <c r="NFH108" s="531"/>
      <c r="NFI108" s="530"/>
      <c r="NFJ108" s="531"/>
      <c r="NFK108" s="530"/>
      <c r="NFL108" s="531"/>
      <c r="NFM108" s="530"/>
      <c r="NFN108" s="531"/>
      <c r="NFO108" s="530"/>
      <c r="NFP108" s="531"/>
      <c r="NFQ108" s="530"/>
      <c r="NFR108" s="531"/>
      <c r="NFS108" s="530"/>
      <c r="NFT108" s="531"/>
      <c r="NFU108" s="530"/>
      <c r="NFV108" s="531"/>
      <c r="NFW108" s="530"/>
      <c r="NFX108" s="531"/>
      <c r="NFY108" s="530"/>
      <c r="NFZ108" s="531"/>
      <c r="NGA108" s="530"/>
      <c r="NGB108" s="531"/>
      <c r="NGC108" s="530"/>
      <c r="NGD108" s="531"/>
      <c r="NGE108" s="530"/>
      <c r="NGF108" s="531"/>
      <c r="NGG108" s="530"/>
      <c r="NGH108" s="531"/>
      <c r="NGI108" s="530"/>
      <c r="NGJ108" s="531"/>
      <c r="NGK108" s="530"/>
      <c r="NGL108" s="531"/>
      <c r="NGM108" s="530"/>
      <c r="NGN108" s="531"/>
      <c r="NGO108" s="530"/>
      <c r="NGP108" s="531"/>
      <c r="NGQ108" s="530"/>
      <c r="NGR108" s="531"/>
      <c r="NGS108" s="530"/>
      <c r="NGT108" s="531"/>
      <c r="NGU108" s="530"/>
      <c r="NGV108" s="531"/>
      <c r="NGW108" s="530"/>
      <c r="NGX108" s="531"/>
      <c r="NGY108" s="530"/>
      <c r="NGZ108" s="531"/>
      <c r="NHA108" s="530"/>
      <c r="NHB108" s="531"/>
      <c r="NHC108" s="530"/>
      <c r="NHD108" s="531"/>
      <c r="NHE108" s="530"/>
      <c r="NHF108" s="531"/>
      <c r="NHG108" s="530"/>
      <c r="NHH108" s="531"/>
      <c r="NHI108" s="530"/>
      <c r="NHJ108" s="531"/>
      <c r="NHK108" s="530"/>
      <c r="NHL108" s="531"/>
      <c r="NHM108" s="530"/>
      <c r="NHN108" s="531"/>
      <c r="NHO108" s="530"/>
      <c r="NHP108" s="531"/>
      <c r="NHQ108" s="530"/>
      <c r="NHR108" s="531"/>
      <c r="NHS108" s="530"/>
      <c r="NHT108" s="531"/>
      <c r="NHU108" s="530"/>
      <c r="NHV108" s="531"/>
      <c r="NHW108" s="530"/>
      <c r="NHX108" s="531"/>
      <c r="NHY108" s="530"/>
      <c r="NHZ108" s="531"/>
      <c r="NIA108" s="530"/>
      <c r="NIB108" s="531"/>
      <c r="NIC108" s="530"/>
      <c r="NID108" s="531"/>
      <c r="NIE108" s="530"/>
      <c r="NIF108" s="531"/>
      <c r="NIG108" s="530"/>
      <c r="NIH108" s="531"/>
      <c r="NII108" s="530"/>
      <c r="NIJ108" s="531"/>
      <c r="NIK108" s="530"/>
      <c r="NIL108" s="531"/>
      <c r="NIM108" s="530"/>
      <c r="NIN108" s="531"/>
      <c r="NIO108" s="530"/>
      <c r="NIP108" s="531"/>
      <c r="NIQ108" s="530"/>
      <c r="NIR108" s="531"/>
      <c r="NIS108" s="530"/>
      <c r="NIT108" s="531"/>
      <c r="NIU108" s="530"/>
      <c r="NIV108" s="531"/>
      <c r="NIW108" s="530"/>
      <c r="NIX108" s="531"/>
      <c r="NIY108" s="530"/>
      <c r="NIZ108" s="531"/>
      <c r="NJA108" s="530"/>
      <c r="NJB108" s="531"/>
      <c r="NJC108" s="530"/>
      <c r="NJD108" s="531"/>
      <c r="NJE108" s="530"/>
      <c r="NJF108" s="531"/>
      <c r="NJG108" s="530"/>
      <c r="NJH108" s="531"/>
      <c r="NJI108" s="530"/>
      <c r="NJJ108" s="531"/>
      <c r="NJK108" s="530"/>
      <c r="NJL108" s="531"/>
      <c r="NJM108" s="530"/>
      <c r="NJN108" s="531"/>
      <c r="NJO108" s="530"/>
      <c r="NJP108" s="531"/>
      <c r="NJQ108" s="530"/>
      <c r="NJR108" s="531"/>
      <c r="NJS108" s="530"/>
      <c r="NJT108" s="531"/>
      <c r="NJU108" s="530"/>
      <c r="NJV108" s="531"/>
      <c r="NJW108" s="530"/>
      <c r="NJX108" s="531"/>
      <c r="NJY108" s="530"/>
      <c r="NJZ108" s="531"/>
      <c r="NKA108" s="530"/>
      <c r="NKB108" s="531"/>
      <c r="NKC108" s="530"/>
      <c r="NKD108" s="531"/>
      <c r="NKE108" s="530"/>
      <c r="NKF108" s="531"/>
      <c r="NKG108" s="530"/>
      <c r="NKH108" s="531"/>
      <c r="NKI108" s="530"/>
      <c r="NKJ108" s="531"/>
      <c r="NKK108" s="530"/>
      <c r="NKL108" s="531"/>
      <c r="NKM108" s="530"/>
      <c r="NKN108" s="531"/>
      <c r="NKO108" s="530"/>
      <c r="NKP108" s="531"/>
      <c r="NKQ108" s="530"/>
      <c r="NKR108" s="531"/>
      <c r="NKS108" s="530"/>
      <c r="NKT108" s="531"/>
      <c r="NKU108" s="530"/>
      <c r="NKV108" s="531"/>
      <c r="NKW108" s="530"/>
      <c r="NKX108" s="531"/>
      <c r="NKY108" s="530"/>
      <c r="NKZ108" s="531"/>
      <c r="NLA108" s="530"/>
      <c r="NLB108" s="531"/>
      <c r="NLC108" s="530"/>
      <c r="NLD108" s="531"/>
      <c r="NLE108" s="530"/>
      <c r="NLF108" s="531"/>
      <c r="NLG108" s="530"/>
      <c r="NLH108" s="531"/>
      <c r="NLI108" s="530"/>
      <c r="NLJ108" s="531"/>
      <c r="NLK108" s="530"/>
      <c r="NLL108" s="531"/>
      <c r="NLM108" s="530"/>
      <c r="NLN108" s="531"/>
      <c r="NLO108" s="530"/>
      <c r="NLP108" s="531"/>
      <c r="NLQ108" s="530"/>
      <c r="NLR108" s="531"/>
      <c r="NLS108" s="530"/>
      <c r="NLT108" s="531"/>
      <c r="NLU108" s="530"/>
      <c r="NLV108" s="531"/>
      <c r="NLW108" s="530"/>
      <c r="NLX108" s="531"/>
      <c r="NLY108" s="530"/>
      <c r="NLZ108" s="531"/>
      <c r="NMA108" s="530"/>
      <c r="NMB108" s="531"/>
      <c r="NMC108" s="530"/>
      <c r="NMD108" s="531"/>
      <c r="NME108" s="530"/>
      <c r="NMF108" s="531"/>
      <c r="NMG108" s="530"/>
      <c r="NMH108" s="531"/>
      <c r="NMI108" s="530"/>
      <c r="NMJ108" s="531"/>
      <c r="NMK108" s="530"/>
      <c r="NML108" s="531"/>
      <c r="NMM108" s="530"/>
      <c r="NMN108" s="531"/>
      <c r="NMO108" s="530"/>
      <c r="NMP108" s="531"/>
      <c r="NMQ108" s="530"/>
      <c r="NMR108" s="531"/>
      <c r="NMS108" s="530"/>
      <c r="NMT108" s="531"/>
      <c r="NMU108" s="530"/>
      <c r="NMV108" s="531"/>
      <c r="NMW108" s="530"/>
      <c r="NMX108" s="531"/>
      <c r="NMY108" s="530"/>
      <c r="NMZ108" s="531"/>
      <c r="NNA108" s="530"/>
      <c r="NNB108" s="531"/>
      <c r="NNC108" s="530"/>
      <c r="NND108" s="531"/>
      <c r="NNE108" s="530"/>
      <c r="NNF108" s="531"/>
      <c r="NNG108" s="530"/>
      <c r="NNH108" s="531"/>
      <c r="NNI108" s="530"/>
      <c r="NNJ108" s="531"/>
      <c r="NNK108" s="530"/>
      <c r="NNL108" s="531"/>
      <c r="NNM108" s="530"/>
      <c r="NNN108" s="531"/>
      <c r="NNO108" s="530"/>
      <c r="NNP108" s="531"/>
      <c r="NNQ108" s="530"/>
      <c r="NNR108" s="531"/>
      <c r="NNS108" s="530"/>
      <c r="NNT108" s="531"/>
      <c r="NNU108" s="530"/>
      <c r="NNV108" s="531"/>
      <c r="NNW108" s="530"/>
      <c r="NNX108" s="531"/>
      <c r="NNY108" s="530"/>
      <c r="NNZ108" s="531"/>
      <c r="NOA108" s="530"/>
      <c r="NOB108" s="531"/>
      <c r="NOC108" s="530"/>
      <c r="NOD108" s="531"/>
      <c r="NOE108" s="530"/>
      <c r="NOF108" s="531"/>
      <c r="NOG108" s="530"/>
      <c r="NOH108" s="531"/>
      <c r="NOI108" s="530"/>
      <c r="NOJ108" s="531"/>
      <c r="NOK108" s="530"/>
      <c r="NOL108" s="531"/>
      <c r="NOM108" s="530"/>
      <c r="NON108" s="531"/>
      <c r="NOO108" s="530"/>
      <c r="NOP108" s="531"/>
      <c r="NOQ108" s="530"/>
      <c r="NOR108" s="531"/>
      <c r="NOS108" s="530"/>
      <c r="NOT108" s="531"/>
      <c r="NOU108" s="530"/>
      <c r="NOV108" s="531"/>
      <c r="NOW108" s="530"/>
      <c r="NOX108" s="531"/>
      <c r="NOY108" s="530"/>
      <c r="NOZ108" s="531"/>
      <c r="NPA108" s="530"/>
      <c r="NPB108" s="531"/>
      <c r="NPC108" s="530"/>
      <c r="NPD108" s="531"/>
      <c r="NPE108" s="530"/>
      <c r="NPF108" s="531"/>
      <c r="NPG108" s="530"/>
      <c r="NPH108" s="531"/>
      <c r="NPI108" s="530"/>
      <c r="NPJ108" s="531"/>
      <c r="NPK108" s="530"/>
      <c r="NPL108" s="531"/>
      <c r="NPM108" s="530"/>
      <c r="NPN108" s="531"/>
      <c r="NPO108" s="530"/>
      <c r="NPP108" s="531"/>
      <c r="NPQ108" s="530"/>
      <c r="NPR108" s="531"/>
      <c r="NPS108" s="530"/>
      <c r="NPT108" s="531"/>
      <c r="NPU108" s="530"/>
      <c r="NPV108" s="531"/>
      <c r="NPW108" s="530"/>
      <c r="NPX108" s="531"/>
      <c r="NPY108" s="530"/>
      <c r="NPZ108" s="531"/>
      <c r="NQA108" s="530"/>
      <c r="NQB108" s="531"/>
      <c r="NQC108" s="530"/>
      <c r="NQD108" s="531"/>
      <c r="NQE108" s="530"/>
      <c r="NQF108" s="531"/>
      <c r="NQG108" s="530"/>
      <c r="NQH108" s="531"/>
      <c r="NQI108" s="530"/>
      <c r="NQJ108" s="531"/>
      <c r="NQK108" s="530"/>
      <c r="NQL108" s="531"/>
      <c r="NQM108" s="530"/>
      <c r="NQN108" s="531"/>
      <c r="NQO108" s="530"/>
      <c r="NQP108" s="531"/>
      <c r="NQQ108" s="530"/>
      <c r="NQR108" s="531"/>
      <c r="NQS108" s="530"/>
      <c r="NQT108" s="531"/>
      <c r="NQU108" s="530"/>
      <c r="NQV108" s="531"/>
      <c r="NQW108" s="530"/>
      <c r="NQX108" s="531"/>
      <c r="NQY108" s="530"/>
      <c r="NQZ108" s="531"/>
      <c r="NRA108" s="530"/>
      <c r="NRB108" s="531"/>
      <c r="NRC108" s="530"/>
      <c r="NRD108" s="531"/>
      <c r="NRE108" s="530"/>
      <c r="NRF108" s="531"/>
      <c r="NRG108" s="530"/>
      <c r="NRH108" s="531"/>
      <c r="NRI108" s="530"/>
      <c r="NRJ108" s="531"/>
      <c r="NRK108" s="530"/>
      <c r="NRL108" s="531"/>
      <c r="NRM108" s="530"/>
      <c r="NRN108" s="531"/>
      <c r="NRO108" s="530"/>
      <c r="NRP108" s="531"/>
      <c r="NRQ108" s="530"/>
      <c r="NRR108" s="531"/>
      <c r="NRS108" s="530"/>
      <c r="NRT108" s="531"/>
      <c r="NRU108" s="530"/>
      <c r="NRV108" s="531"/>
      <c r="NRW108" s="530"/>
      <c r="NRX108" s="531"/>
      <c r="NRY108" s="530"/>
      <c r="NRZ108" s="531"/>
      <c r="NSA108" s="530"/>
      <c r="NSB108" s="531"/>
      <c r="NSC108" s="530"/>
      <c r="NSD108" s="531"/>
      <c r="NSE108" s="530"/>
      <c r="NSF108" s="531"/>
      <c r="NSG108" s="530"/>
      <c r="NSH108" s="531"/>
      <c r="NSI108" s="530"/>
      <c r="NSJ108" s="531"/>
      <c r="NSK108" s="530"/>
      <c r="NSL108" s="531"/>
      <c r="NSM108" s="530"/>
      <c r="NSN108" s="531"/>
      <c r="NSO108" s="530"/>
      <c r="NSP108" s="531"/>
      <c r="NSQ108" s="530"/>
      <c r="NSR108" s="531"/>
      <c r="NSS108" s="530"/>
      <c r="NST108" s="531"/>
      <c r="NSU108" s="530"/>
      <c r="NSV108" s="531"/>
      <c r="NSW108" s="530"/>
      <c r="NSX108" s="531"/>
      <c r="NSY108" s="530"/>
      <c r="NSZ108" s="531"/>
      <c r="NTA108" s="530"/>
      <c r="NTB108" s="531"/>
      <c r="NTC108" s="530"/>
      <c r="NTD108" s="531"/>
      <c r="NTE108" s="530"/>
      <c r="NTF108" s="531"/>
      <c r="NTG108" s="530"/>
      <c r="NTH108" s="531"/>
      <c r="NTI108" s="530"/>
      <c r="NTJ108" s="531"/>
      <c r="NTK108" s="530"/>
      <c r="NTL108" s="531"/>
      <c r="NTM108" s="530"/>
      <c r="NTN108" s="531"/>
      <c r="NTO108" s="530"/>
      <c r="NTP108" s="531"/>
      <c r="NTQ108" s="530"/>
      <c r="NTR108" s="531"/>
      <c r="NTS108" s="530"/>
      <c r="NTT108" s="531"/>
      <c r="NTU108" s="530"/>
      <c r="NTV108" s="531"/>
      <c r="NTW108" s="530"/>
      <c r="NTX108" s="531"/>
      <c r="NTY108" s="530"/>
      <c r="NTZ108" s="531"/>
      <c r="NUA108" s="530"/>
      <c r="NUB108" s="531"/>
      <c r="NUC108" s="530"/>
      <c r="NUD108" s="531"/>
      <c r="NUE108" s="530"/>
      <c r="NUF108" s="531"/>
      <c r="NUG108" s="530"/>
      <c r="NUH108" s="531"/>
      <c r="NUI108" s="530"/>
      <c r="NUJ108" s="531"/>
      <c r="NUK108" s="530"/>
      <c r="NUL108" s="531"/>
      <c r="NUM108" s="530"/>
      <c r="NUN108" s="531"/>
      <c r="NUO108" s="530"/>
      <c r="NUP108" s="531"/>
      <c r="NUQ108" s="530"/>
      <c r="NUR108" s="531"/>
      <c r="NUS108" s="530"/>
      <c r="NUT108" s="531"/>
      <c r="NUU108" s="530"/>
      <c r="NUV108" s="531"/>
      <c r="NUW108" s="530"/>
      <c r="NUX108" s="531"/>
      <c r="NUY108" s="530"/>
      <c r="NUZ108" s="531"/>
      <c r="NVA108" s="530"/>
      <c r="NVB108" s="531"/>
      <c r="NVC108" s="530"/>
      <c r="NVD108" s="531"/>
      <c r="NVE108" s="530"/>
      <c r="NVF108" s="531"/>
      <c r="NVG108" s="530"/>
      <c r="NVH108" s="531"/>
      <c r="NVI108" s="530"/>
      <c r="NVJ108" s="531"/>
      <c r="NVK108" s="530"/>
      <c r="NVL108" s="531"/>
      <c r="NVM108" s="530"/>
      <c r="NVN108" s="531"/>
      <c r="NVO108" s="530"/>
      <c r="NVP108" s="531"/>
      <c r="NVQ108" s="530"/>
      <c r="NVR108" s="531"/>
      <c r="NVS108" s="530"/>
      <c r="NVT108" s="531"/>
      <c r="NVU108" s="530"/>
      <c r="NVV108" s="531"/>
      <c r="NVW108" s="530"/>
      <c r="NVX108" s="531"/>
      <c r="NVY108" s="530"/>
      <c r="NVZ108" s="531"/>
      <c r="NWA108" s="530"/>
      <c r="NWB108" s="531"/>
      <c r="NWC108" s="530"/>
      <c r="NWD108" s="531"/>
      <c r="NWE108" s="530"/>
      <c r="NWF108" s="531"/>
      <c r="NWG108" s="530"/>
      <c r="NWH108" s="531"/>
      <c r="NWI108" s="530"/>
      <c r="NWJ108" s="531"/>
      <c r="NWK108" s="530"/>
      <c r="NWL108" s="531"/>
      <c r="NWM108" s="530"/>
      <c r="NWN108" s="531"/>
      <c r="NWO108" s="530"/>
      <c r="NWP108" s="531"/>
      <c r="NWQ108" s="530"/>
      <c r="NWR108" s="531"/>
      <c r="NWS108" s="530"/>
      <c r="NWT108" s="531"/>
      <c r="NWU108" s="530"/>
      <c r="NWV108" s="531"/>
      <c r="NWW108" s="530"/>
      <c r="NWX108" s="531"/>
      <c r="NWY108" s="530"/>
      <c r="NWZ108" s="531"/>
      <c r="NXA108" s="530"/>
      <c r="NXB108" s="531"/>
      <c r="NXC108" s="530"/>
      <c r="NXD108" s="531"/>
      <c r="NXE108" s="530"/>
      <c r="NXF108" s="531"/>
      <c r="NXG108" s="530"/>
      <c r="NXH108" s="531"/>
      <c r="NXI108" s="530"/>
      <c r="NXJ108" s="531"/>
      <c r="NXK108" s="530"/>
      <c r="NXL108" s="531"/>
      <c r="NXM108" s="530"/>
      <c r="NXN108" s="531"/>
      <c r="NXO108" s="530"/>
      <c r="NXP108" s="531"/>
      <c r="NXQ108" s="530"/>
      <c r="NXR108" s="531"/>
      <c r="NXS108" s="530"/>
      <c r="NXT108" s="531"/>
      <c r="NXU108" s="530"/>
      <c r="NXV108" s="531"/>
      <c r="NXW108" s="530"/>
      <c r="NXX108" s="531"/>
      <c r="NXY108" s="530"/>
      <c r="NXZ108" s="531"/>
      <c r="NYA108" s="530"/>
      <c r="NYB108" s="531"/>
      <c r="NYC108" s="530"/>
      <c r="NYD108" s="531"/>
      <c r="NYE108" s="530"/>
      <c r="NYF108" s="531"/>
      <c r="NYG108" s="530"/>
      <c r="NYH108" s="531"/>
      <c r="NYI108" s="530"/>
      <c r="NYJ108" s="531"/>
      <c r="NYK108" s="530"/>
      <c r="NYL108" s="531"/>
      <c r="NYM108" s="530"/>
      <c r="NYN108" s="531"/>
      <c r="NYO108" s="530"/>
      <c r="NYP108" s="531"/>
      <c r="NYQ108" s="530"/>
      <c r="NYR108" s="531"/>
      <c r="NYS108" s="530"/>
      <c r="NYT108" s="531"/>
      <c r="NYU108" s="530"/>
      <c r="NYV108" s="531"/>
      <c r="NYW108" s="530"/>
      <c r="NYX108" s="531"/>
      <c r="NYY108" s="530"/>
      <c r="NYZ108" s="531"/>
      <c r="NZA108" s="530"/>
      <c r="NZB108" s="531"/>
      <c r="NZC108" s="530"/>
      <c r="NZD108" s="531"/>
      <c r="NZE108" s="530"/>
      <c r="NZF108" s="531"/>
      <c r="NZG108" s="530"/>
      <c r="NZH108" s="531"/>
      <c r="NZI108" s="530"/>
      <c r="NZJ108" s="531"/>
      <c r="NZK108" s="530"/>
      <c r="NZL108" s="531"/>
      <c r="NZM108" s="530"/>
      <c r="NZN108" s="531"/>
      <c r="NZO108" s="530"/>
      <c r="NZP108" s="531"/>
      <c r="NZQ108" s="530"/>
      <c r="NZR108" s="531"/>
      <c r="NZS108" s="530"/>
      <c r="NZT108" s="531"/>
      <c r="NZU108" s="530"/>
      <c r="NZV108" s="531"/>
      <c r="NZW108" s="530"/>
      <c r="NZX108" s="531"/>
      <c r="NZY108" s="530"/>
      <c r="NZZ108" s="531"/>
      <c r="OAA108" s="530"/>
      <c r="OAB108" s="531"/>
      <c r="OAC108" s="530"/>
      <c r="OAD108" s="531"/>
      <c r="OAE108" s="530"/>
      <c r="OAF108" s="531"/>
      <c r="OAG108" s="530"/>
      <c r="OAH108" s="531"/>
      <c r="OAI108" s="530"/>
      <c r="OAJ108" s="531"/>
      <c r="OAK108" s="530"/>
      <c r="OAL108" s="531"/>
      <c r="OAM108" s="530"/>
      <c r="OAN108" s="531"/>
      <c r="OAO108" s="530"/>
      <c r="OAP108" s="531"/>
      <c r="OAQ108" s="530"/>
      <c r="OAR108" s="531"/>
      <c r="OAS108" s="530"/>
      <c r="OAT108" s="531"/>
      <c r="OAU108" s="530"/>
      <c r="OAV108" s="531"/>
      <c r="OAW108" s="530"/>
      <c r="OAX108" s="531"/>
      <c r="OAY108" s="530"/>
      <c r="OAZ108" s="531"/>
      <c r="OBA108" s="530"/>
      <c r="OBB108" s="531"/>
      <c r="OBC108" s="530"/>
      <c r="OBD108" s="531"/>
      <c r="OBE108" s="530"/>
      <c r="OBF108" s="531"/>
      <c r="OBG108" s="530"/>
      <c r="OBH108" s="531"/>
      <c r="OBI108" s="530"/>
      <c r="OBJ108" s="531"/>
      <c r="OBK108" s="530"/>
      <c r="OBL108" s="531"/>
      <c r="OBM108" s="530"/>
      <c r="OBN108" s="531"/>
      <c r="OBO108" s="530"/>
      <c r="OBP108" s="531"/>
      <c r="OBQ108" s="530"/>
      <c r="OBR108" s="531"/>
      <c r="OBS108" s="530"/>
      <c r="OBT108" s="531"/>
      <c r="OBU108" s="530"/>
      <c r="OBV108" s="531"/>
      <c r="OBW108" s="530"/>
      <c r="OBX108" s="531"/>
      <c r="OBY108" s="530"/>
      <c r="OBZ108" s="531"/>
      <c r="OCA108" s="530"/>
      <c r="OCB108" s="531"/>
      <c r="OCC108" s="530"/>
      <c r="OCD108" s="531"/>
      <c r="OCE108" s="530"/>
      <c r="OCF108" s="531"/>
      <c r="OCG108" s="530"/>
      <c r="OCH108" s="531"/>
      <c r="OCI108" s="530"/>
      <c r="OCJ108" s="531"/>
      <c r="OCK108" s="530"/>
      <c r="OCL108" s="531"/>
      <c r="OCM108" s="530"/>
      <c r="OCN108" s="531"/>
      <c r="OCO108" s="530"/>
      <c r="OCP108" s="531"/>
      <c r="OCQ108" s="530"/>
      <c r="OCR108" s="531"/>
      <c r="OCS108" s="530"/>
      <c r="OCT108" s="531"/>
      <c r="OCU108" s="530"/>
      <c r="OCV108" s="531"/>
      <c r="OCW108" s="530"/>
      <c r="OCX108" s="531"/>
      <c r="OCY108" s="530"/>
      <c r="OCZ108" s="531"/>
      <c r="ODA108" s="530"/>
      <c r="ODB108" s="531"/>
      <c r="ODC108" s="530"/>
      <c r="ODD108" s="531"/>
      <c r="ODE108" s="530"/>
      <c r="ODF108" s="531"/>
      <c r="ODG108" s="530"/>
      <c r="ODH108" s="531"/>
      <c r="ODI108" s="530"/>
      <c r="ODJ108" s="531"/>
      <c r="ODK108" s="530"/>
      <c r="ODL108" s="531"/>
      <c r="ODM108" s="530"/>
      <c r="ODN108" s="531"/>
      <c r="ODO108" s="530"/>
      <c r="ODP108" s="531"/>
      <c r="ODQ108" s="530"/>
      <c r="ODR108" s="531"/>
      <c r="ODS108" s="530"/>
      <c r="ODT108" s="531"/>
      <c r="ODU108" s="530"/>
      <c r="ODV108" s="531"/>
      <c r="ODW108" s="530"/>
      <c r="ODX108" s="531"/>
      <c r="ODY108" s="530"/>
      <c r="ODZ108" s="531"/>
      <c r="OEA108" s="530"/>
      <c r="OEB108" s="531"/>
      <c r="OEC108" s="530"/>
      <c r="OED108" s="531"/>
      <c r="OEE108" s="530"/>
      <c r="OEF108" s="531"/>
      <c r="OEG108" s="530"/>
      <c r="OEH108" s="531"/>
      <c r="OEI108" s="530"/>
      <c r="OEJ108" s="531"/>
      <c r="OEK108" s="530"/>
      <c r="OEL108" s="531"/>
      <c r="OEM108" s="530"/>
      <c r="OEN108" s="531"/>
      <c r="OEO108" s="530"/>
      <c r="OEP108" s="531"/>
      <c r="OEQ108" s="530"/>
      <c r="OER108" s="531"/>
      <c r="OES108" s="530"/>
      <c r="OET108" s="531"/>
      <c r="OEU108" s="530"/>
      <c r="OEV108" s="531"/>
      <c r="OEW108" s="530"/>
      <c r="OEX108" s="531"/>
      <c r="OEY108" s="530"/>
      <c r="OEZ108" s="531"/>
      <c r="OFA108" s="530"/>
      <c r="OFB108" s="531"/>
      <c r="OFC108" s="530"/>
      <c r="OFD108" s="531"/>
      <c r="OFE108" s="530"/>
      <c r="OFF108" s="531"/>
      <c r="OFG108" s="530"/>
      <c r="OFH108" s="531"/>
      <c r="OFI108" s="530"/>
      <c r="OFJ108" s="531"/>
      <c r="OFK108" s="530"/>
      <c r="OFL108" s="531"/>
      <c r="OFM108" s="530"/>
      <c r="OFN108" s="531"/>
      <c r="OFO108" s="530"/>
      <c r="OFP108" s="531"/>
      <c r="OFQ108" s="530"/>
      <c r="OFR108" s="531"/>
      <c r="OFS108" s="530"/>
      <c r="OFT108" s="531"/>
      <c r="OFU108" s="530"/>
      <c r="OFV108" s="531"/>
      <c r="OFW108" s="530"/>
      <c r="OFX108" s="531"/>
      <c r="OFY108" s="530"/>
      <c r="OFZ108" s="531"/>
      <c r="OGA108" s="530"/>
      <c r="OGB108" s="531"/>
      <c r="OGC108" s="530"/>
      <c r="OGD108" s="531"/>
      <c r="OGE108" s="530"/>
      <c r="OGF108" s="531"/>
      <c r="OGG108" s="530"/>
      <c r="OGH108" s="531"/>
      <c r="OGI108" s="530"/>
      <c r="OGJ108" s="531"/>
      <c r="OGK108" s="530"/>
      <c r="OGL108" s="531"/>
      <c r="OGM108" s="530"/>
      <c r="OGN108" s="531"/>
      <c r="OGO108" s="530"/>
      <c r="OGP108" s="531"/>
      <c r="OGQ108" s="530"/>
      <c r="OGR108" s="531"/>
      <c r="OGS108" s="530"/>
      <c r="OGT108" s="531"/>
      <c r="OGU108" s="530"/>
      <c r="OGV108" s="531"/>
      <c r="OGW108" s="530"/>
      <c r="OGX108" s="531"/>
      <c r="OGY108" s="530"/>
      <c r="OGZ108" s="531"/>
      <c r="OHA108" s="530"/>
      <c r="OHB108" s="531"/>
      <c r="OHC108" s="530"/>
      <c r="OHD108" s="531"/>
      <c r="OHE108" s="530"/>
      <c r="OHF108" s="531"/>
      <c r="OHG108" s="530"/>
      <c r="OHH108" s="531"/>
      <c r="OHI108" s="530"/>
      <c r="OHJ108" s="531"/>
      <c r="OHK108" s="530"/>
      <c r="OHL108" s="531"/>
      <c r="OHM108" s="530"/>
      <c r="OHN108" s="531"/>
      <c r="OHO108" s="530"/>
      <c r="OHP108" s="531"/>
      <c r="OHQ108" s="530"/>
      <c r="OHR108" s="531"/>
      <c r="OHS108" s="530"/>
      <c r="OHT108" s="531"/>
      <c r="OHU108" s="530"/>
      <c r="OHV108" s="531"/>
      <c r="OHW108" s="530"/>
      <c r="OHX108" s="531"/>
      <c r="OHY108" s="530"/>
      <c r="OHZ108" s="531"/>
      <c r="OIA108" s="530"/>
      <c r="OIB108" s="531"/>
      <c r="OIC108" s="530"/>
      <c r="OID108" s="531"/>
      <c r="OIE108" s="530"/>
      <c r="OIF108" s="531"/>
      <c r="OIG108" s="530"/>
      <c r="OIH108" s="531"/>
      <c r="OII108" s="530"/>
      <c r="OIJ108" s="531"/>
      <c r="OIK108" s="530"/>
      <c r="OIL108" s="531"/>
      <c r="OIM108" s="530"/>
      <c r="OIN108" s="531"/>
      <c r="OIO108" s="530"/>
      <c r="OIP108" s="531"/>
      <c r="OIQ108" s="530"/>
      <c r="OIR108" s="531"/>
      <c r="OIS108" s="530"/>
      <c r="OIT108" s="531"/>
      <c r="OIU108" s="530"/>
      <c r="OIV108" s="531"/>
      <c r="OIW108" s="530"/>
      <c r="OIX108" s="531"/>
      <c r="OIY108" s="530"/>
      <c r="OIZ108" s="531"/>
      <c r="OJA108" s="530"/>
      <c r="OJB108" s="531"/>
      <c r="OJC108" s="530"/>
      <c r="OJD108" s="531"/>
      <c r="OJE108" s="530"/>
      <c r="OJF108" s="531"/>
      <c r="OJG108" s="530"/>
      <c r="OJH108" s="531"/>
      <c r="OJI108" s="530"/>
      <c r="OJJ108" s="531"/>
      <c r="OJK108" s="530"/>
      <c r="OJL108" s="531"/>
      <c r="OJM108" s="530"/>
      <c r="OJN108" s="531"/>
      <c r="OJO108" s="530"/>
      <c r="OJP108" s="531"/>
      <c r="OJQ108" s="530"/>
      <c r="OJR108" s="531"/>
      <c r="OJS108" s="530"/>
      <c r="OJT108" s="531"/>
      <c r="OJU108" s="530"/>
      <c r="OJV108" s="531"/>
      <c r="OJW108" s="530"/>
      <c r="OJX108" s="531"/>
      <c r="OJY108" s="530"/>
      <c r="OJZ108" s="531"/>
      <c r="OKA108" s="530"/>
      <c r="OKB108" s="531"/>
      <c r="OKC108" s="530"/>
      <c r="OKD108" s="531"/>
      <c r="OKE108" s="530"/>
      <c r="OKF108" s="531"/>
      <c r="OKG108" s="530"/>
      <c r="OKH108" s="531"/>
      <c r="OKI108" s="530"/>
      <c r="OKJ108" s="531"/>
      <c r="OKK108" s="530"/>
      <c r="OKL108" s="531"/>
      <c r="OKM108" s="530"/>
      <c r="OKN108" s="531"/>
      <c r="OKO108" s="530"/>
      <c r="OKP108" s="531"/>
      <c r="OKQ108" s="530"/>
      <c r="OKR108" s="531"/>
      <c r="OKS108" s="530"/>
      <c r="OKT108" s="531"/>
      <c r="OKU108" s="530"/>
      <c r="OKV108" s="531"/>
      <c r="OKW108" s="530"/>
      <c r="OKX108" s="531"/>
      <c r="OKY108" s="530"/>
      <c r="OKZ108" s="531"/>
      <c r="OLA108" s="530"/>
      <c r="OLB108" s="531"/>
      <c r="OLC108" s="530"/>
      <c r="OLD108" s="531"/>
      <c r="OLE108" s="530"/>
      <c r="OLF108" s="531"/>
      <c r="OLG108" s="530"/>
      <c r="OLH108" s="531"/>
      <c r="OLI108" s="530"/>
      <c r="OLJ108" s="531"/>
      <c r="OLK108" s="530"/>
      <c r="OLL108" s="531"/>
      <c r="OLM108" s="530"/>
      <c r="OLN108" s="531"/>
      <c r="OLO108" s="530"/>
      <c r="OLP108" s="531"/>
      <c r="OLQ108" s="530"/>
      <c r="OLR108" s="531"/>
      <c r="OLS108" s="530"/>
      <c r="OLT108" s="531"/>
      <c r="OLU108" s="530"/>
      <c r="OLV108" s="531"/>
      <c r="OLW108" s="530"/>
      <c r="OLX108" s="531"/>
      <c r="OLY108" s="530"/>
      <c r="OLZ108" s="531"/>
      <c r="OMA108" s="530"/>
      <c r="OMB108" s="531"/>
      <c r="OMC108" s="530"/>
      <c r="OMD108" s="531"/>
      <c r="OME108" s="530"/>
      <c r="OMF108" s="531"/>
      <c r="OMG108" s="530"/>
      <c r="OMH108" s="531"/>
      <c r="OMI108" s="530"/>
      <c r="OMJ108" s="531"/>
      <c r="OMK108" s="530"/>
      <c r="OML108" s="531"/>
      <c r="OMM108" s="530"/>
      <c r="OMN108" s="531"/>
      <c r="OMO108" s="530"/>
      <c r="OMP108" s="531"/>
      <c r="OMQ108" s="530"/>
      <c r="OMR108" s="531"/>
      <c r="OMS108" s="530"/>
      <c r="OMT108" s="531"/>
      <c r="OMU108" s="530"/>
      <c r="OMV108" s="531"/>
      <c r="OMW108" s="530"/>
      <c r="OMX108" s="531"/>
      <c r="OMY108" s="530"/>
      <c r="OMZ108" s="531"/>
      <c r="ONA108" s="530"/>
      <c r="ONB108" s="531"/>
      <c r="ONC108" s="530"/>
      <c r="OND108" s="531"/>
      <c r="ONE108" s="530"/>
      <c r="ONF108" s="531"/>
      <c r="ONG108" s="530"/>
      <c r="ONH108" s="531"/>
      <c r="ONI108" s="530"/>
      <c r="ONJ108" s="531"/>
      <c r="ONK108" s="530"/>
      <c r="ONL108" s="531"/>
      <c r="ONM108" s="530"/>
      <c r="ONN108" s="531"/>
      <c r="ONO108" s="530"/>
      <c r="ONP108" s="531"/>
      <c r="ONQ108" s="530"/>
      <c r="ONR108" s="531"/>
      <c r="ONS108" s="530"/>
      <c r="ONT108" s="531"/>
      <c r="ONU108" s="530"/>
      <c r="ONV108" s="531"/>
      <c r="ONW108" s="530"/>
      <c r="ONX108" s="531"/>
      <c r="ONY108" s="530"/>
      <c r="ONZ108" s="531"/>
      <c r="OOA108" s="530"/>
      <c r="OOB108" s="531"/>
      <c r="OOC108" s="530"/>
      <c r="OOD108" s="531"/>
      <c r="OOE108" s="530"/>
      <c r="OOF108" s="531"/>
      <c r="OOG108" s="530"/>
      <c r="OOH108" s="531"/>
      <c r="OOI108" s="530"/>
      <c r="OOJ108" s="531"/>
      <c r="OOK108" s="530"/>
      <c r="OOL108" s="531"/>
      <c r="OOM108" s="530"/>
      <c r="OON108" s="531"/>
      <c r="OOO108" s="530"/>
      <c r="OOP108" s="531"/>
      <c r="OOQ108" s="530"/>
      <c r="OOR108" s="531"/>
      <c r="OOS108" s="530"/>
      <c r="OOT108" s="531"/>
      <c r="OOU108" s="530"/>
      <c r="OOV108" s="531"/>
      <c r="OOW108" s="530"/>
      <c r="OOX108" s="531"/>
      <c r="OOY108" s="530"/>
      <c r="OOZ108" s="531"/>
      <c r="OPA108" s="530"/>
      <c r="OPB108" s="531"/>
      <c r="OPC108" s="530"/>
      <c r="OPD108" s="531"/>
      <c r="OPE108" s="530"/>
      <c r="OPF108" s="531"/>
      <c r="OPG108" s="530"/>
      <c r="OPH108" s="531"/>
      <c r="OPI108" s="530"/>
      <c r="OPJ108" s="531"/>
      <c r="OPK108" s="530"/>
      <c r="OPL108" s="531"/>
      <c r="OPM108" s="530"/>
      <c r="OPN108" s="531"/>
      <c r="OPO108" s="530"/>
      <c r="OPP108" s="531"/>
      <c r="OPQ108" s="530"/>
      <c r="OPR108" s="531"/>
      <c r="OPS108" s="530"/>
      <c r="OPT108" s="531"/>
      <c r="OPU108" s="530"/>
      <c r="OPV108" s="531"/>
      <c r="OPW108" s="530"/>
      <c r="OPX108" s="531"/>
      <c r="OPY108" s="530"/>
      <c r="OPZ108" s="531"/>
      <c r="OQA108" s="530"/>
      <c r="OQB108" s="531"/>
      <c r="OQC108" s="530"/>
      <c r="OQD108" s="531"/>
      <c r="OQE108" s="530"/>
      <c r="OQF108" s="531"/>
      <c r="OQG108" s="530"/>
      <c r="OQH108" s="531"/>
      <c r="OQI108" s="530"/>
      <c r="OQJ108" s="531"/>
      <c r="OQK108" s="530"/>
      <c r="OQL108" s="531"/>
      <c r="OQM108" s="530"/>
      <c r="OQN108" s="531"/>
      <c r="OQO108" s="530"/>
      <c r="OQP108" s="531"/>
      <c r="OQQ108" s="530"/>
      <c r="OQR108" s="531"/>
      <c r="OQS108" s="530"/>
      <c r="OQT108" s="531"/>
      <c r="OQU108" s="530"/>
      <c r="OQV108" s="531"/>
      <c r="OQW108" s="530"/>
      <c r="OQX108" s="531"/>
      <c r="OQY108" s="530"/>
      <c r="OQZ108" s="531"/>
      <c r="ORA108" s="530"/>
      <c r="ORB108" s="531"/>
      <c r="ORC108" s="530"/>
      <c r="ORD108" s="531"/>
      <c r="ORE108" s="530"/>
      <c r="ORF108" s="531"/>
      <c r="ORG108" s="530"/>
      <c r="ORH108" s="531"/>
      <c r="ORI108" s="530"/>
      <c r="ORJ108" s="531"/>
      <c r="ORK108" s="530"/>
      <c r="ORL108" s="531"/>
      <c r="ORM108" s="530"/>
      <c r="ORN108" s="531"/>
      <c r="ORO108" s="530"/>
      <c r="ORP108" s="531"/>
      <c r="ORQ108" s="530"/>
      <c r="ORR108" s="531"/>
      <c r="ORS108" s="530"/>
      <c r="ORT108" s="531"/>
      <c r="ORU108" s="530"/>
      <c r="ORV108" s="531"/>
      <c r="ORW108" s="530"/>
      <c r="ORX108" s="531"/>
      <c r="ORY108" s="530"/>
      <c r="ORZ108" s="531"/>
      <c r="OSA108" s="530"/>
      <c r="OSB108" s="531"/>
      <c r="OSC108" s="530"/>
      <c r="OSD108" s="531"/>
      <c r="OSE108" s="530"/>
      <c r="OSF108" s="531"/>
      <c r="OSG108" s="530"/>
      <c r="OSH108" s="531"/>
      <c r="OSI108" s="530"/>
      <c r="OSJ108" s="531"/>
      <c r="OSK108" s="530"/>
      <c r="OSL108" s="531"/>
      <c r="OSM108" s="530"/>
      <c r="OSN108" s="531"/>
      <c r="OSO108" s="530"/>
      <c r="OSP108" s="531"/>
      <c r="OSQ108" s="530"/>
      <c r="OSR108" s="531"/>
      <c r="OSS108" s="530"/>
      <c r="OST108" s="531"/>
      <c r="OSU108" s="530"/>
      <c r="OSV108" s="531"/>
      <c r="OSW108" s="530"/>
      <c r="OSX108" s="531"/>
      <c r="OSY108" s="530"/>
      <c r="OSZ108" s="531"/>
      <c r="OTA108" s="530"/>
      <c r="OTB108" s="531"/>
      <c r="OTC108" s="530"/>
      <c r="OTD108" s="531"/>
      <c r="OTE108" s="530"/>
      <c r="OTF108" s="531"/>
      <c r="OTG108" s="530"/>
      <c r="OTH108" s="531"/>
      <c r="OTI108" s="530"/>
      <c r="OTJ108" s="531"/>
      <c r="OTK108" s="530"/>
      <c r="OTL108" s="531"/>
      <c r="OTM108" s="530"/>
      <c r="OTN108" s="531"/>
      <c r="OTO108" s="530"/>
      <c r="OTP108" s="531"/>
      <c r="OTQ108" s="530"/>
      <c r="OTR108" s="531"/>
      <c r="OTS108" s="530"/>
      <c r="OTT108" s="531"/>
      <c r="OTU108" s="530"/>
      <c r="OTV108" s="531"/>
      <c r="OTW108" s="530"/>
      <c r="OTX108" s="531"/>
      <c r="OTY108" s="530"/>
      <c r="OTZ108" s="531"/>
      <c r="OUA108" s="530"/>
      <c r="OUB108" s="531"/>
      <c r="OUC108" s="530"/>
      <c r="OUD108" s="531"/>
      <c r="OUE108" s="530"/>
      <c r="OUF108" s="531"/>
      <c r="OUG108" s="530"/>
      <c r="OUH108" s="531"/>
      <c r="OUI108" s="530"/>
      <c r="OUJ108" s="531"/>
      <c r="OUK108" s="530"/>
      <c r="OUL108" s="531"/>
      <c r="OUM108" s="530"/>
      <c r="OUN108" s="531"/>
      <c r="OUO108" s="530"/>
      <c r="OUP108" s="531"/>
      <c r="OUQ108" s="530"/>
      <c r="OUR108" s="531"/>
      <c r="OUS108" s="530"/>
      <c r="OUT108" s="531"/>
      <c r="OUU108" s="530"/>
      <c r="OUV108" s="531"/>
      <c r="OUW108" s="530"/>
      <c r="OUX108" s="531"/>
      <c r="OUY108" s="530"/>
      <c r="OUZ108" s="531"/>
      <c r="OVA108" s="530"/>
      <c r="OVB108" s="531"/>
      <c r="OVC108" s="530"/>
      <c r="OVD108" s="531"/>
      <c r="OVE108" s="530"/>
      <c r="OVF108" s="531"/>
      <c r="OVG108" s="530"/>
      <c r="OVH108" s="531"/>
      <c r="OVI108" s="530"/>
      <c r="OVJ108" s="531"/>
      <c r="OVK108" s="530"/>
      <c r="OVL108" s="531"/>
      <c r="OVM108" s="530"/>
      <c r="OVN108" s="531"/>
      <c r="OVO108" s="530"/>
      <c r="OVP108" s="531"/>
      <c r="OVQ108" s="530"/>
      <c r="OVR108" s="531"/>
      <c r="OVS108" s="530"/>
      <c r="OVT108" s="531"/>
      <c r="OVU108" s="530"/>
      <c r="OVV108" s="531"/>
      <c r="OVW108" s="530"/>
      <c r="OVX108" s="531"/>
      <c r="OVY108" s="530"/>
      <c r="OVZ108" s="531"/>
      <c r="OWA108" s="530"/>
      <c r="OWB108" s="531"/>
      <c r="OWC108" s="530"/>
      <c r="OWD108" s="531"/>
      <c r="OWE108" s="530"/>
      <c r="OWF108" s="531"/>
      <c r="OWG108" s="530"/>
      <c r="OWH108" s="531"/>
      <c r="OWI108" s="530"/>
      <c r="OWJ108" s="531"/>
      <c r="OWK108" s="530"/>
      <c r="OWL108" s="531"/>
      <c r="OWM108" s="530"/>
      <c r="OWN108" s="531"/>
      <c r="OWO108" s="530"/>
      <c r="OWP108" s="531"/>
      <c r="OWQ108" s="530"/>
      <c r="OWR108" s="531"/>
      <c r="OWS108" s="530"/>
      <c r="OWT108" s="531"/>
      <c r="OWU108" s="530"/>
      <c r="OWV108" s="531"/>
      <c r="OWW108" s="530"/>
      <c r="OWX108" s="531"/>
      <c r="OWY108" s="530"/>
      <c r="OWZ108" s="531"/>
      <c r="OXA108" s="530"/>
      <c r="OXB108" s="531"/>
      <c r="OXC108" s="530"/>
      <c r="OXD108" s="531"/>
      <c r="OXE108" s="530"/>
      <c r="OXF108" s="531"/>
      <c r="OXG108" s="530"/>
      <c r="OXH108" s="531"/>
      <c r="OXI108" s="530"/>
      <c r="OXJ108" s="531"/>
      <c r="OXK108" s="530"/>
      <c r="OXL108" s="531"/>
      <c r="OXM108" s="530"/>
      <c r="OXN108" s="531"/>
      <c r="OXO108" s="530"/>
      <c r="OXP108" s="531"/>
      <c r="OXQ108" s="530"/>
      <c r="OXR108" s="531"/>
      <c r="OXS108" s="530"/>
      <c r="OXT108" s="531"/>
      <c r="OXU108" s="530"/>
      <c r="OXV108" s="531"/>
      <c r="OXW108" s="530"/>
      <c r="OXX108" s="531"/>
      <c r="OXY108" s="530"/>
      <c r="OXZ108" s="531"/>
      <c r="OYA108" s="530"/>
      <c r="OYB108" s="531"/>
      <c r="OYC108" s="530"/>
      <c r="OYD108" s="531"/>
      <c r="OYE108" s="530"/>
      <c r="OYF108" s="531"/>
      <c r="OYG108" s="530"/>
      <c r="OYH108" s="531"/>
      <c r="OYI108" s="530"/>
      <c r="OYJ108" s="531"/>
      <c r="OYK108" s="530"/>
      <c r="OYL108" s="531"/>
      <c r="OYM108" s="530"/>
      <c r="OYN108" s="531"/>
      <c r="OYO108" s="530"/>
      <c r="OYP108" s="531"/>
      <c r="OYQ108" s="530"/>
      <c r="OYR108" s="531"/>
      <c r="OYS108" s="530"/>
      <c r="OYT108" s="531"/>
      <c r="OYU108" s="530"/>
      <c r="OYV108" s="531"/>
      <c r="OYW108" s="530"/>
      <c r="OYX108" s="531"/>
      <c r="OYY108" s="530"/>
      <c r="OYZ108" s="531"/>
      <c r="OZA108" s="530"/>
      <c r="OZB108" s="531"/>
      <c r="OZC108" s="530"/>
      <c r="OZD108" s="531"/>
      <c r="OZE108" s="530"/>
      <c r="OZF108" s="531"/>
      <c r="OZG108" s="530"/>
      <c r="OZH108" s="531"/>
      <c r="OZI108" s="530"/>
      <c r="OZJ108" s="531"/>
      <c r="OZK108" s="530"/>
      <c r="OZL108" s="531"/>
      <c r="OZM108" s="530"/>
      <c r="OZN108" s="531"/>
      <c r="OZO108" s="530"/>
      <c r="OZP108" s="531"/>
      <c r="OZQ108" s="530"/>
      <c r="OZR108" s="531"/>
      <c r="OZS108" s="530"/>
      <c r="OZT108" s="531"/>
      <c r="OZU108" s="530"/>
      <c r="OZV108" s="531"/>
      <c r="OZW108" s="530"/>
      <c r="OZX108" s="531"/>
      <c r="OZY108" s="530"/>
      <c r="OZZ108" s="531"/>
      <c r="PAA108" s="530"/>
      <c r="PAB108" s="531"/>
      <c r="PAC108" s="530"/>
      <c r="PAD108" s="531"/>
      <c r="PAE108" s="530"/>
      <c r="PAF108" s="531"/>
      <c r="PAG108" s="530"/>
      <c r="PAH108" s="531"/>
      <c r="PAI108" s="530"/>
      <c r="PAJ108" s="531"/>
      <c r="PAK108" s="530"/>
      <c r="PAL108" s="531"/>
      <c r="PAM108" s="530"/>
      <c r="PAN108" s="531"/>
      <c r="PAO108" s="530"/>
      <c r="PAP108" s="531"/>
      <c r="PAQ108" s="530"/>
      <c r="PAR108" s="531"/>
      <c r="PAS108" s="530"/>
      <c r="PAT108" s="531"/>
      <c r="PAU108" s="530"/>
      <c r="PAV108" s="531"/>
      <c r="PAW108" s="530"/>
      <c r="PAX108" s="531"/>
      <c r="PAY108" s="530"/>
      <c r="PAZ108" s="531"/>
      <c r="PBA108" s="530"/>
      <c r="PBB108" s="531"/>
      <c r="PBC108" s="530"/>
      <c r="PBD108" s="531"/>
      <c r="PBE108" s="530"/>
      <c r="PBF108" s="531"/>
      <c r="PBG108" s="530"/>
      <c r="PBH108" s="531"/>
      <c r="PBI108" s="530"/>
      <c r="PBJ108" s="531"/>
      <c r="PBK108" s="530"/>
      <c r="PBL108" s="531"/>
      <c r="PBM108" s="530"/>
      <c r="PBN108" s="531"/>
      <c r="PBO108" s="530"/>
      <c r="PBP108" s="531"/>
      <c r="PBQ108" s="530"/>
      <c r="PBR108" s="531"/>
      <c r="PBS108" s="530"/>
      <c r="PBT108" s="531"/>
      <c r="PBU108" s="530"/>
      <c r="PBV108" s="531"/>
      <c r="PBW108" s="530"/>
      <c r="PBX108" s="531"/>
      <c r="PBY108" s="530"/>
      <c r="PBZ108" s="531"/>
      <c r="PCA108" s="530"/>
      <c r="PCB108" s="531"/>
      <c r="PCC108" s="530"/>
      <c r="PCD108" s="531"/>
      <c r="PCE108" s="530"/>
      <c r="PCF108" s="531"/>
      <c r="PCG108" s="530"/>
      <c r="PCH108" s="531"/>
      <c r="PCI108" s="530"/>
      <c r="PCJ108" s="531"/>
      <c r="PCK108" s="530"/>
      <c r="PCL108" s="531"/>
      <c r="PCM108" s="530"/>
      <c r="PCN108" s="531"/>
      <c r="PCO108" s="530"/>
      <c r="PCP108" s="531"/>
      <c r="PCQ108" s="530"/>
      <c r="PCR108" s="531"/>
      <c r="PCS108" s="530"/>
      <c r="PCT108" s="531"/>
      <c r="PCU108" s="530"/>
      <c r="PCV108" s="531"/>
      <c r="PCW108" s="530"/>
      <c r="PCX108" s="531"/>
      <c r="PCY108" s="530"/>
      <c r="PCZ108" s="531"/>
      <c r="PDA108" s="530"/>
      <c r="PDB108" s="531"/>
      <c r="PDC108" s="530"/>
      <c r="PDD108" s="531"/>
      <c r="PDE108" s="530"/>
      <c r="PDF108" s="531"/>
      <c r="PDG108" s="530"/>
      <c r="PDH108" s="531"/>
      <c r="PDI108" s="530"/>
      <c r="PDJ108" s="531"/>
      <c r="PDK108" s="530"/>
      <c r="PDL108" s="531"/>
      <c r="PDM108" s="530"/>
      <c r="PDN108" s="531"/>
      <c r="PDO108" s="530"/>
      <c r="PDP108" s="531"/>
      <c r="PDQ108" s="530"/>
      <c r="PDR108" s="531"/>
      <c r="PDS108" s="530"/>
      <c r="PDT108" s="531"/>
      <c r="PDU108" s="530"/>
      <c r="PDV108" s="531"/>
      <c r="PDW108" s="530"/>
      <c r="PDX108" s="531"/>
      <c r="PDY108" s="530"/>
      <c r="PDZ108" s="531"/>
      <c r="PEA108" s="530"/>
      <c r="PEB108" s="531"/>
      <c r="PEC108" s="530"/>
      <c r="PED108" s="531"/>
      <c r="PEE108" s="530"/>
      <c r="PEF108" s="531"/>
      <c r="PEG108" s="530"/>
      <c r="PEH108" s="531"/>
      <c r="PEI108" s="530"/>
      <c r="PEJ108" s="531"/>
      <c r="PEK108" s="530"/>
      <c r="PEL108" s="531"/>
      <c r="PEM108" s="530"/>
      <c r="PEN108" s="531"/>
      <c r="PEO108" s="530"/>
      <c r="PEP108" s="531"/>
      <c r="PEQ108" s="530"/>
      <c r="PER108" s="531"/>
      <c r="PES108" s="530"/>
      <c r="PET108" s="531"/>
      <c r="PEU108" s="530"/>
      <c r="PEV108" s="531"/>
      <c r="PEW108" s="530"/>
      <c r="PEX108" s="531"/>
      <c r="PEY108" s="530"/>
      <c r="PEZ108" s="531"/>
      <c r="PFA108" s="530"/>
      <c r="PFB108" s="531"/>
      <c r="PFC108" s="530"/>
      <c r="PFD108" s="531"/>
      <c r="PFE108" s="530"/>
      <c r="PFF108" s="531"/>
      <c r="PFG108" s="530"/>
      <c r="PFH108" s="531"/>
      <c r="PFI108" s="530"/>
      <c r="PFJ108" s="531"/>
      <c r="PFK108" s="530"/>
      <c r="PFL108" s="531"/>
      <c r="PFM108" s="530"/>
      <c r="PFN108" s="531"/>
      <c r="PFO108" s="530"/>
      <c r="PFP108" s="531"/>
      <c r="PFQ108" s="530"/>
      <c r="PFR108" s="531"/>
      <c r="PFS108" s="530"/>
      <c r="PFT108" s="531"/>
      <c r="PFU108" s="530"/>
      <c r="PFV108" s="531"/>
      <c r="PFW108" s="530"/>
      <c r="PFX108" s="531"/>
      <c r="PFY108" s="530"/>
      <c r="PFZ108" s="531"/>
      <c r="PGA108" s="530"/>
      <c r="PGB108" s="531"/>
      <c r="PGC108" s="530"/>
      <c r="PGD108" s="531"/>
      <c r="PGE108" s="530"/>
      <c r="PGF108" s="531"/>
      <c r="PGG108" s="530"/>
      <c r="PGH108" s="531"/>
      <c r="PGI108" s="530"/>
      <c r="PGJ108" s="531"/>
      <c r="PGK108" s="530"/>
      <c r="PGL108" s="531"/>
      <c r="PGM108" s="530"/>
      <c r="PGN108" s="531"/>
      <c r="PGO108" s="530"/>
      <c r="PGP108" s="531"/>
      <c r="PGQ108" s="530"/>
      <c r="PGR108" s="531"/>
      <c r="PGS108" s="530"/>
      <c r="PGT108" s="531"/>
      <c r="PGU108" s="530"/>
      <c r="PGV108" s="531"/>
      <c r="PGW108" s="530"/>
      <c r="PGX108" s="531"/>
      <c r="PGY108" s="530"/>
      <c r="PGZ108" s="531"/>
      <c r="PHA108" s="530"/>
      <c r="PHB108" s="531"/>
      <c r="PHC108" s="530"/>
      <c r="PHD108" s="531"/>
      <c r="PHE108" s="530"/>
      <c r="PHF108" s="531"/>
      <c r="PHG108" s="530"/>
      <c r="PHH108" s="531"/>
      <c r="PHI108" s="530"/>
      <c r="PHJ108" s="531"/>
      <c r="PHK108" s="530"/>
      <c r="PHL108" s="531"/>
      <c r="PHM108" s="530"/>
      <c r="PHN108" s="531"/>
      <c r="PHO108" s="530"/>
      <c r="PHP108" s="531"/>
      <c r="PHQ108" s="530"/>
      <c r="PHR108" s="531"/>
      <c r="PHS108" s="530"/>
      <c r="PHT108" s="531"/>
      <c r="PHU108" s="530"/>
      <c r="PHV108" s="531"/>
      <c r="PHW108" s="530"/>
      <c r="PHX108" s="531"/>
      <c r="PHY108" s="530"/>
      <c r="PHZ108" s="531"/>
      <c r="PIA108" s="530"/>
      <c r="PIB108" s="531"/>
      <c r="PIC108" s="530"/>
      <c r="PID108" s="531"/>
      <c r="PIE108" s="530"/>
      <c r="PIF108" s="531"/>
      <c r="PIG108" s="530"/>
      <c r="PIH108" s="531"/>
      <c r="PII108" s="530"/>
      <c r="PIJ108" s="531"/>
      <c r="PIK108" s="530"/>
      <c r="PIL108" s="531"/>
      <c r="PIM108" s="530"/>
      <c r="PIN108" s="531"/>
      <c r="PIO108" s="530"/>
      <c r="PIP108" s="531"/>
      <c r="PIQ108" s="530"/>
      <c r="PIR108" s="531"/>
      <c r="PIS108" s="530"/>
      <c r="PIT108" s="531"/>
      <c r="PIU108" s="530"/>
      <c r="PIV108" s="531"/>
      <c r="PIW108" s="530"/>
      <c r="PIX108" s="531"/>
      <c r="PIY108" s="530"/>
      <c r="PIZ108" s="531"/>
      <c r="PJA108" s="530"/>
      <c r="PJB108" s="531"/>
      <c r="PJC108" s="530"/>
      <c r="PJD108" s="531"/>
      <c r="PJE108" s="530"/>
      <c r="PJF108" s="531"/>
      <c r="PJG108" s="530"/>
      <c r="PJH108" s="531"/>
      <c r="PJI108" s="530"/>
      <c r="PJJ108" s="531"/>
      <c r="PJK108" s="530"/>
      <c r="PJL108" s="531"/>
      <c r="PJM108" s="530"/>
      <c r="PJN108" s="531"/>
      <c r="PJO108" s="530"/>
      <c r="PJP108" s="531"/>
      <c r="PJQ108" s="530"/>
      <c r="PJR108" s="531"/>
      <c r="PJS108" s="530"/>
      <c r="PJT108" s="531"/>
      <c r="PJU108" s="530"/>
      <c r="PJV108" s="531"/>
      <c r="PJW108" s="530"/>
      <c r="PJX108" s="531"/>
      <c r="PJY108" s="530"/>
      <c r="PJZ108" s="531"/>
      <c r="PKA108" s="530"/>
      <c r="PKB108" s="531"/>
      <c r="PKC108" s="530"/>
      <c r="PKD108" s="531"/>
      <c r="PKE108" s="530"/>
      <c r="PKF108" s="531"/>
      <c r="PKG108" s="530"/>
      <c r="PKH108" s="531"/>
      <c r="PKI108" s="530"/>
      <c r="PKJ108" s="531"/>
      <c r="PKK108" s="530"/>
      <c r="PKL108" s="531"/>
      <c r="PKM108" s="530"/>
      <c r="PKN108" s="531"/>
      <c r="PKO108" s="530"/>
      <c r="PKP108" s="531"/>
      <c r="PKQ108" s="530"/>
      <c r="PKR108" s="531"/>
      <c r="PKS108" s="530"/>
      <c r="PKT108" s="531"/>
      <c r="PKU108" s="530"/>
      <c r="PKV108" s="531"/>
      <c r="PKW108" s="530"/>
      <c r="PKX108" s="531"/>
      <c r="PKY108" s="530"/>
      <c r="PKZ108" s="531"/>
      <c r="PLA108" s="530"/>
      <c r="PLB108" s="531"/>
      <c r="PLC108" s="530"/>
      <c r="PLD108" s="531"/>
      <c r="PLE108" s="530"/>
      <c r="PLF108" s="531"/>
      <c r="PLG108" s="530"/>
      <c r="PLH108" s="531"/>
      <c r="PLI108" s="530"/>
      <c r="PLJ108" s="531"/>
      <c r="PLK108" s="530"/>
      <c r="PLL108" s="531"/>
      <c r="PLM108" s="530"/>
      <c r="PLN108" s="531"/>
      <c r="PLO108" s="530"/>
      <c r="PLP108" s="531"/>
      <c r="PLQ108" s="530"/>
      <c r="PLR108" s="531"/>
      <c r="PLS108" s="530"/>
      <c r="PLT108" s="531"/>
      <c r="PLU108" s="530"/>
      <c r="PLV108" s="531"/>
      <c r="PLW108" s="530"/>
      <c r="PLX108" s="531"/>
      <c r="PLY108" s="530"/>
      <c r="PLZ108" s="531"/>
      <c r="PMA108" s="530"/>
      <c r="PMB108" s="531"/>
      <c r="PMC108" s="530"/>
      <c r="PMD108" s="531"/>
      <c r="PME108" s="530"/>
      <c r="PMF108" s="531"/>
      <c r="PMG108" s="530"/>
      <c r="PMH108" s="531"/>
      <c r="PMI108" s="530"/>
      <c r="PMJ108" s="531"/>
      <c r="PMK108" s="530"/>
      <c r="PML108" s="531"/>
      <c r="PMM108" s="530"/>
      <c r="PMN108" s="531"/>
      <c r="PMO108" s="530"/>
      <c r="PMP108" s="531"/>
      <c r="PMQ108" s="530"/>
      <c r="PMR108" s="531"/>
      <c r="PMS108" s="530"/>
      <c r="PMT108" s="531"/>
      <c r="PMU108" s="530"/>
      <c r="PMV108" s="531"/>
      <c r="PMW108" s="530"/>
      <c r="PMX108" s="531"/>
      <c r="PMY108" s="530"/>
      <c r="PMZ108" s="531"/>
      <c r="PNA108" s="530"/>
      <c r="PNB108" s="531"/>
      <c r="PNC108" s="530"/>
      <c r="PND108" s="531"/>
      <c r="PNE108" s="530"/>
      <c r="PNF108" s="531"/>
      <c r="PNG108" s="530"/>
      <c r="PNH108" s="531"/>
      <c r="PNI108" s="530"/>
      <c r="PNJ108" s="531"/>
      <c r="PNK108" s="530"/>
      <c r="PNL108" s="531"/>
      <c r="PNM108" s="530"/>
      <c r="PNN108" s="531"/>
      <c r="PNO108" s="530"/>
      <c r="PNP108" s="531"/>
      <c r="PNQ108" s="530"/>
      <c r="PNR108" s="531"/>
      <c r="PNS108" s="530"/>
      <c r="PNT108" s="531"/>
      <c r="PNU108" s="530"/>
      <c r="PNV108" s="531"/>
      <c r="PNW108" s="530"/>
      <c r="PNX108" s="531"/>
      <c r="PNY108" s="530"/>
      <c r="PNZ108" s="531"/>
      <c r="POA108" s="530"/>
      <c r="POB108" s="531"/>
      <c r="POC108" s="530"/>
      <c r="POD108" s="531"/>
      <c r="POE108" s="530"/>
      <c r="POF108" s="531"/>
      <c r="POG108" s="530"/>
      <c r="POH108" s="531"/>
      <c r="POI108" s="530"/>
      <c r="POJ108" s="531"/>
      <c r="POK108" s="530"/>
      <c r="POL108" s="531"/>
      <c r="POM108" s="530"/>
      <c r="PON108" s="531"/>
      <c r="POO108" s="530"/>
      <c r="POP108" s="531"/>
      <c r="POQ108" s="530"/>
      <c r="POR108" s="531"/>
      <c r="POS108" s="530"/>
      <c r="POT108" s="531"/>
      <c r="POU108" s="530"/>
      <c r="POV108" s="531"/>
      <c r="POW108" s="530"/>
      <c r="POX108" s="531"/>
      <c r="POY108" s="530"/>
      <c r="POZ108" s="531"/>
      <c r="PPA108" s="530"/>
      <c r="PPB108" s="531"/>
      <c r="PPC108" s="530"/>
      <c r="PPD108" s="531"/>
      <c r="PPE108" s="530"/>
      <c r="PPF108" s="531"/>
      <c r="PPG108" s="530"/>
      <c r="PPH108" s="531"/>
      <c r="PPI108" s="530"/>
      <c r="PPJ108" s="531"/>
      <c r="PPK108" s="530"/>
      <c r="PPL108" s="531"/>
      <c r="PPM108" s="530"/>
      <c r="PPN108" s="531"/>
      <c r="PPO108" s="530"/>
      <c r="PPP108" s="531"/>
      <c r="PPQ108" s="530"/>
      <c r="PPR108" s="531"/>
      <c r="PPS108" s="530"/>
      <c r="PPT108" s="531"/>
      <c r="PPU108" s="530"/>
      <c r="PPV108" s="531"/>
      <c r="PPW108" s="530"/>
      <c r="PPX108" s="531"/>
      <c r="PPY108" s="530"/>
      <c r="PPZ108" s="531"/>
      <c r="PQA108" s="530"/>
      <c r="PQB108" s="531"/>
      <c r="PQC108" s="530"/>
      <c r="PQD108" s="531"/>
      <c r="PQE108" s="530"/>
      <c r="PQF108" s="531"/>
      <c r="PQG108" s="530"/>
      <c r="PQH108" s="531"/>
      <c r="PQI108" s="530"/>
      <c r="PQJ108" s="531"/>
      <c r="PQK108" s="530"/>
      <c r="PQL108" s="531"/>
      <c r="PQM108" s="530"/>
      <c r="PQN108" s="531"/>
      <c r="PQO108" s="530"/>
      <c r="PQP108" s="531"/>
      <c r="PQQ108" s="530"/>
      <c r="PQR108" s="531"/>
      <c r="PQS108" s="530"/>
      <c r="PQT108" s="531"/>
      <c r="PQU108" s="530"/>
      <c r="PQV108" s="531"/>
      <c r="PQW108" s="530"/>
      <c r="PQX108" s="531"/>
      <c r="PQY108" s="530"/>
      <c r="PQZ108" s="531"/>
      <c r="PRA108" s="530"/>
      <c r="PRB108" s="531"/>
      <c r="PRC108" s="530"/>
      <c r="PRD108" s="531"/>
      <c r="PRE108" s="530"/>
      <c r="PRF108" s="531"/>
      <c r="PRG108" s="530"/>
      <c r="PRH108" s="531"/>
      <c r="PRI108" s="530"/>
      <c r="PRJ108" s="531"/>
      <c r="PRK108" s="530"/>
      <c r="PRL108" s="531"/>
      <c r="PRM108" s="530"/>
      <c r="PRN108" s="531"/>
      <c r="PRO108" s="530"/>
      <c r="PRP108" s="531"/>
      <c r="PRQ108" s="530"/>
      <c r="PRR108" s="531"/>
      <c r="PRS108" s="530"/>
      <c r="PRT108" s="531"/>
      <c r="PRU108" s="530"/>
      <c r="PRV108" s="531"/>
      <c r="PRW108" s="530"/>
      <c r="PRX108" s="531"/>
      <c r="PRY108" s="530"/>
      <c r="PRZ108" s="531"/>
      <c r="PSA108" s="530"/>
      <c r="PSB108" s="531"/>
      <c r="PSC108" s="530"/>
      <c r="PSD108" s="531"/>
      <c r="PSE108" s="530"/>
      <c r="PSF108" s="531"/>
      <c r="PSG108" s="530"/>
      <c r="PSH108" s="531"/>
      <c r="PSI108" s="530"/>
      <c r="PSJ108" s="531"/>
      <c r="PSK108" s="530"/>
      <c r="PSL108" s="531"/>
      <c r="PSM108" s="530"/>
      <c r="PSN108" s="531"/>
      <c r="PSO108" s="530"/>
      <c r="PSP108" s="531"/>
      <c r="PSQ108" s="530"/>
      <c r="PSR108" s="531"/>
      <c r="PSS108" s="530"/>
      <c r="PST108" s="531"/>
      <c r="PSU108" s="530"/>
      <c r="PSV108" s="531"/>
      <c r="PSW108" s="530"/>
      <c r="PSX108" s="531"/>
      <c r="PSY108" s="530"/>
      <c r="PSZ108" s="531"/>
      <c r="PTA108" s="530"/>
      <c r="PTB108" s="531"/>
      <c r="PTC108" s="530"/>
      <c r="PTD108" s="531"/>
      <c r="PTE108" s="530"/>
      <c r="PTF108" s="531"/>
      <c r="PTG108" s="530"/>
      <c r="PTH108" s="531"/>
      <c r="PTI108" s="530"/>
      <c r="PTJ108" s="531"/>
      <c r="PTK108" s="530"/>
      <c r="PTL108" s="531"/>
      <c r="PTM108" s="530"/>
      <c r="PTN108" s="531"/>
      <c r="PTO108" s="530"/>
      <c r="PTP108" s="531"/>
      <c r="PTQ108" s="530"/>
      <c r="PTR108" s="531"/>
      <c r="PTS108" s="530"/>
      <c r="PTT108" s="531"/>
      <c r="PTU108" s="530"/>
      <c r="PTV108" s="531"/>
      <c r="PTW108" s="530"/>
      <c r="PTX108" s="531"/>
      <c r="PTY108" s="530"/>
      <c r="PTZ108" s="531"/>
      <c r="PUA108" s="530"/>
      <c r="PUB108" s="531"/>
      <c r="PUC108" s="530"/>
      <c r="PUD108" s="531"/>
      <c r="PUE108" s="530"/>
      <c r="PUF108" s="531"/>
      <c r="PUG108" s="530"/>
      <c r="PUH108" s="531"/>
      <c r="PUI108" s="530"/>
      <c r="PUJ108" s="531"/>
      <c r="PUK108" s="530"/>
      <c r="PUL108" s="531"/>
      <c r="PUM108" s="530"/>
      <c r="PUN108" s="531"/>
      <c r="PUO108" s="530"/>
      <c r="PUP108" s="531"/>
      <c r="PUQ108" s="530"/>
      <c r="PUR108" s="531"/>
      <c r="PUS108" s="530"/>
      <c r="PUT108" s="531"/>
      <c r="PUU108" s="530"/>
      <c r="PUV108" s="531"/>
      <c r="PUW108" s="530"/>
      <c r="PUX108" s="531"/>
      <c r="PUY108" s="530"/>
      <c r="PUZ108" s="531"/>
      <c r="PVA108" s="530"/>
      <c r="PVB108" s="531"/>
      <c r="PVC108" s="530"/>
      <c r="PVD108" s="531"/>
      <c r="PVE108" s="530"/>
      <c r="PVF108" s="531"/>
      <c r="PVG108" s="530"/>
      <c r="PVH108" s="531"/>
      <c r="PVI108" s="530"/>
      <c r="PVJ108" s="531"/>
      <c r="PVK108" s="530"/>
      <c r="PVL108" s="531"/>
      <c r="PVM108" s="530"/>
      <c r="PVN108" s="531"/>
      <c r="PVO108" s="530"/>
      <c r="PVP108" s="531"/>
      <c r="PVQ108" s="530"/>
      <c r="PVR108" s="531"/>
      <c r="PVS108" s="530"/>
      <c r="PVT108" s="531"/>
      <c r="PVU108" s="530"/>
      <c r="PVV108" s="531"/>
      <c r="PVW108" s="530"/>
      <c r="PVX108" s="531"/>
      <c r="PVY108" s="530"/>
      <c r="PVZ108" s="531"/>
      <c r="PWA108" s="530"/>
      <c r="PWB108" s="531"/>
      <c r="PWC108" s="530"/>
      <c r="PWD108" s="531"/>
      <c r="PWE108" s="530"/>
      <c r="PWF108" s="531"/>
      <c r="PWG108" s="530"/>
      <c r="PWH108" s="531"/>
      <c r="PWI108" s="530"/>
      <c r="PWJ108" s="531"/>
      <c r="PWK108" s="530"/>
      <c r="PWL108" s="531"/>
      <c r="PWM108" s="530"/>
      <c r="PWN108" s="531"/>
      <c r="PWO108" s="530"/>
      <c r="PWP108" s="531"/>
      <c r="PWQ108" s="530"/>
      <c r="PWR108" s="531"/>
      <c r="PWS108" s="530"/>
      <c r="PWT108" s="531"/>
      <c r="PWU108" s="530"/>
      <c r="PWV108" s="531"/>
      <c r="PWW108" s="530"/>
      <c r="PWX108" s="531"/>
      <c r="PWY108" s="530"/>
      <c r="PWZ108" s="531"/>
      <c r="PXA108" s="530"/>
      <c r="PXB108" s="531"/>
      <c r="PXC108" s="530"/>
      <c r="PXD108" s="531"/>
      <c r="PXE108" s="530"/>
      <c r="PXF108" s="531"/>
      <c r="PXG108" s="530"/>
      <c r="PXH108" s="531"/>
      <c r="PXI108" s="530"/>
      <c r="PXJ108" s="531"/>
      <c r="PXK108" s="530"/>
      <c r="PXL108" s="531"/>
      <c r="PXM108" s="530"/>
      <c r="PXN108" s="531"/>
      <c r="PXO108" s="530"/>
      <c r="PXP108" s="531"/>
      <c r="PXQ108" s="530"/>
      <c r="PXR108" s="531"/>
      <c r="PXS108" s="530"/>
      <c r="PXT108" s="531"/>
      <c r="PXU108" s="530"/>
      <c r="PXV108" s="531"/>
      <c r="PXW108" s="530"/>
      <c r="PXX108" s="531"/>
      <c r="PXY108" s="530"/>
      <c r="PXZ108" s="531"/>
      <c r="PYA108" s="530"/>
      <c r="PYB108" s="531"/>
      <c r="PYC108" s="530"/>
      <c r="PYD108" s="531"/>
      <c r="PYE108" s="530"/>
      <c r="PYF108" s="531"/>
      <c r="PYG108" s="530"/>
      <c r="PYH108" s="531"/>
      <c r="PYI108" s="530"/>
      <c r="PYJ108" s="531"/>
      <c r="PYK108" s="530"/>
      <c r="PYL108" s="531"/>
      <c r="PYM108" s="530"/>
      <c r="PYN108" s="531"/>
      <c r="PYO108" s="530"/>
      <c r="PYP108" s="531"/>
      <c r="PYQ108" s="530"/>
      <c r="PYR108" s="531"/>
      <c r="PYS108" s="530"/>
      <c r="PYT108" s="531"/>
      <c r="PYU108" s="530"/>
      <c r="PYV108" s="531"/>
      <c r="PYW108" s="530"/>
      <c r="PYX108" s="531"/>
      <c r="PYY108" s="530"/>
      <c r="PYZ108" s="531"/>
      <c r="PZA108" s="530"/>
      <c r="PZB108" s="531"/>
      <c r="PZC108" s="530"/>
      <c r="PZD108" s="531"/>
      <c r="PZE108" s="530"/>
      <c r="PZF108" s="531"/>
      <c r="PZG108" s="530"/>
      <c r="PZH108" s="531"/>
      <c r="PZI108" s="530"/>
      <c r="PZJ108" s="531"/>
      <c r="PZK108" s="530"/>
      <c r="PZL108" s="531"/>
      <c r="PZM108" s="530"/>
      <c r="PZN108" s="531"/>
      <c r="PZO108" s="530"/>
      <c r="PZP108" s="531"/>
      <c r="PZQ108" s="530"/>
      <c r="PZR108" s="531"/>
      <c r="PZS108" s="530"/>
      <c r="PZT108" s="531"/>
      <c r="PZU108" s="530"/>
      <c r="PZV108" s="531"/>
      <c r="PZW108" s="530"/>
      <c r="PZX108" s="531"/>
      <c r="PZY108" s="530"/>
      <c r="PZZ108" s="531"/>
      <c r="QAA108" s="530"/>
      <c r="QAB108" s="531"/>
      <c r="QAC108" s="530"/>
      <c r="QAD108" s="531"/>
      <c r="QAE108" s="530"/>
      <c r="QAF108" s="531"/>
      <c r="QAG108" s="530"/>
      <c r="QAH108" s="531"/>
      <c r="QAI108" s="530"/>
      <c r="QAJ108" s="531"/>
      <c r="QAK108" s="530"/>
      <c r="QAL108" s="531"/>
      <c r="QAM108" s="530"/>
      <c r="QAN108" s="531"/>
      <c r="QAO108" s="530"/>
      <c r="QAP108" s="531"/>
      <c r="QAQ108" s="530"/>
      <c r="QAR108" s="531"/>
      <c r="QAS108" s="530"/>
      <c r="QAT108" s="531"/>
      <c r="QAU108" s="530"/>
      <c r="QAV108" s="531"/>
      <c r="QAW108" s="530"/>
      <c r="QAX108" s="531"/>
      <c r="QAY108" s="530"/>
      <c r="QAZ108" s="531"/>
      <c r="QBA108" s="530"/>
      <c r="QBB108" s="531"/>
      <c r="QBC108" s="530"/>
      <c r="QBD108" s="531"/>
      <c r="QBE108" s="530"/>
      <c r="QBF108" s="531"/>
      <c r="QBG108" s="530"/>
      <c r="QBH108" s="531"/>
      <c r="QBI108" s="530"/>
      <c r="QBJ108" s="531"/>
      <c r="QBK108" s="530"/>
      <c r="QBL108" s="531"/>
      <c r="QBM108" s="530"/>
      <c r="QBN108" s="531"/>
      <c r="QBO108" s="530"/>
      <c r="QBP108" s="531"/>
      <c r="QBQ108" s="530"/>
      <c r="QBR108" s="531"/>
      <c r="QBS108" s="530"/>
      <c r="QBT108" s="531"/>
      <c r="QBU108" s="530"/>
      <c r="QBV108" s="531"/>
      <c r="QBW108" s="530"/>
      <c r="QBX108" s="531"/>
      <c r="QBY108" s="530"/>
      <c r="QBZ108" s="531"/>
      <c r="QCA108" s="530"/>
      <c r="QCB108" s="531"/>
      <c r="QCC108" s="530"/>
      <c r="QCD108" s="531"/>
      <c r="QCE108" s="530"/>
      <c r="QCF108" s="531"/>
      <c r="QCG108" s="530"/>
      <c r="QCH108" s="531"/>
      <c r="QCI108" s="530"/>
      <c r="QCJ108" s="531"/>
      <c r="QCK108" s="530"/>
      <c r="QCL108" s="531"/>
      <c r="QCM108" s="530"/>
      <c r="QCN108" s="531"/>
      <c r="QCO108" s="530"/>
      <c r="QCP108" s="531"/>
      <c r="QCQ108" s="530"/>
      <c r="QCR108" s="531"/>
      <c r="QCS108" s="530"/>
      <c r="QCT108" s="531"/>
      <c r="QCU108" s="530"/>
      <c r="QCV108" s="531"/>
      <c r="QCW108" s="530"/>
      <c r="QCX108" s="531"/>
      <c r="QCY108" s="530"/>
      <c r="QCZ108" s="531"/>
      <c r="QDA108" s="530"/>
      <c r="QDB108" s="531"/>
      <c r="QDC108" s="530"/>
      <c r="QDD108" s="531"/>
      <c r="QDE108" s="530"/>
      <c r="QDF108" s="531"/>
      <c r="QDG108" s="530"/>
      <c r="QDH108" s="531"/>
      <c r="QDI108" s="530"/>
      <c r="QDJ108" s="531"/>
      <c r="QDK108" s="530"/>
      <c r="QDL108" s="531"/>
      <c r="QDM108" s="530"/>
      <c r="QDN108" s="531"/>
      <c r="QDO108" s="530"/>
      <c r="QDP108" s="531"/>
      <c r="QDQ108" s="530"/>
      <c r="QDR108" s="531"/>
      <c r="QDS108" s="530"/>
      <c r="QDT108" s="531"/>
      <c r="QDU108" s="530"/>
      <c r="QDV108" s="531"/>
      <c r="QDW108" s="530"/>
      <c r="QDX108" s="531"/>
      <c r="QDY108" s="530"/>
      <c r="QDZ108" s="531"/>
      <c r="QEA108" s="530"/>
      <c r="QEB108" s="531"/>
      <c r="QEC108" s="530"/>
      <c r="QED108" s="531"/>
      <c r="QEE108" s="530"/>
      <c r="QEF108" s="531"/>
      <c r="QEG108" s="530"/>
      <c r="QEH108" s="531"/>
      <c r="QEI108" s="530"/>
      <c r="QEJ108" s="531"/>
      <c r="QEK108" s="530"/>
      <c r="QEL108" s="531"/>
      <c r="QEM108" s="530"/>
      <c r="QEN108" s="531"/>
      <c r="QEO108" s="530"/>
      <c r="QEP108" s="531"/>
      <c r="QEQ108" s="530"/>
      <c r="QER108" s="531"/>
      <c r="QES108" s="530"/>
      <c r="QET108" s="531"/>
      <c r="QEU108" s="530"/>
      <c r="QEV108" s="531"/>
      <c r="QEW108" s="530"/>
      <c r="QEX108" s="531"/>
      <c r="QEY108" s="530"/>
      <c r="QEZ108" s="531"/>
      <c r="QFA108" s="530"/>
      <c r="QFB108" s="531"/>
      <c r="QFC108" s="530"/>
      <c r="QFD108" s="531"/>
      <c r="QFE108" s="530"/>
      <c r="QFF108" s="531"/>
      <c r="QFG108" s="530"/>
      <c r="QFH108" s="531"/>
      <c r="QFI108" s="530"/>
      <c r="QFJ108" s="531"/>
      <c r="QFK108" s="530"/>
      <c r="QFL108" s="531"/>
      <c r="QFM108" s="530"/>
      <c r="QFN108" s="531"/>
      <c r="QFO108" s="530"/>
      <c r="QFP108" s="531"/>
      <c r="QFQ108" s="530"/>
      <c r="QFR108" s="531"/>
      <c r="QFS108" s="530"/>
      <c r="QFT108" s="531"/>
      <c r="QFU108" s="530"/>
      <c r="QFV108" s="531"/>
      <c r="QFW108" s="530"/>
      <c r="QFX108" s="531"/>
      <c r="QFY108" s="530"/>
      <c r="QFZ108" s="531"/>
      <c r="QGA108" s="530"/>
      <c r="QGB108" s="531"/>
      <c r="QGC108" s="530"/>
      <c r="QGD108" s="531"/>
      <c r="QGE108" s="530"/>
      <c r="QGF108" s="531"/>
      <c r="QGG108" s="530"/>
      <c r="QGH108" s="531"/>
      <c r="QGI108" s="530"/>
      <c r="QGJ108" s="531"/>
      <c r="QGK108" s="530"/>
      <c r="QGL108" s="531"/>
      <c r="QGM108" s="530"/>
      <c r="QGN108" s="531"/>
      <c r="QGO108" s="530"/>
      <c r="QGP108" s="531"/>
      <c r="QGQ108" s="530"/>
      <c r="QGR108" s="531"/>
      <c r="QGS108" s="530"/>
      <c r="QGT108" s="531"/>
      <c r="QGU108" s="530"/>
      <c r="QGV108" s="531"/>
      <c r="QGW108" s="530"/>
      <c r="QGX108" s="531"/>
      <c r="QGY108" s="530"/>
      <c r="QGZ108" s="531"/>
      <c r="QHA108" s="530"/>
      <c r="QHB108" s="531"/>
      <c r="QHC108" s="530"/>
      <c r="QHD108" s="531"/>
      <c r="QHE108" s="530"/>
      <c r="QHF108" s="531"/>
      <c r="QHG108" s="530"/>
      <c r="QHH108" s="531"/>
      <c r="QHI108" s="530"/>
      <c r="QHJ108" s="531"/>
      <c r="QHK108" s="530"/>
      <c r="QHL108" s="531"/>
      <c r="QHM108" s="530"/>
      <c r="QHN108" s="531"/>
      <c r="QHO108" s="530"/>
      <c r="QHP108" s="531"/>
      <c r="QHQ108" s="530"/>
      <c r="QHR108" s="531"/>
      <c r="QHS108" s="530"/>
      <c r="QHT108" s="531"/>
      <c r="QHU108" s="530"/>
      <c r="QHV108" s="531"/>
      <c r="QHW108" s="530"/>
      <c r="QHX108" s="531"/>
      <c r="QHY108" s="530"/>
      <c r="QHZ108" s="531"/>
      <c r="QIA108" s="530"/>
      <c r="QIB108" s="531"/>
      <c r="QIC108" s="530"/>
      <c r="QID108" s="531"/>
      <c r="QIE108" s="530"/>
      <c r="QIF108" s="531"/>
      <c r="QIG108" s="530"/>
      <c r="QIH108" s="531"/>
      <c r="QII108" s="530"/>
      <c r="QIJ108" s="531"/>
      <c r="QIK108" s="530"/>
      <c r="QIL108" s="531"/>
      <c r="QIM108" s="530"/>
      <c r="QIN108" s="531"/>
      <c r="QIO108" s="530"/>
      <c r="QIP108" s="531"/>
      <c r="QIQ108" s="530"/>
      <c r="QIR108" s="531"/>
      <c r="QIS108" s="530"/>
      <c r="QIT108" s="531"/>
      <c r="QIU108" s="530"/>
      <c r="QIV108" s="531"/>
      <c r="QIW108" s="530"/>
      <c r="QIX108" s="531"/>
      <c r="QIY108" s="530"/>
      <c r="QIZ108" s="531"/>
      <c r="QJA108" s="530"/>
      <c r="QJB108" s="531"/>
      <c r="QJC108" s="530"/>
      <c r="QJD108" s="531"/>
      <c r="QJE108" s="530"/>
      <c r="QJF108" s="531"/>
      <c r="QJG108" s="530"/>
      <c r="QJH108" s="531"/>
      <c r="QJI108" s="530"/>
      <c r="QJJ108" s="531"/>
      <c r="QJK108" s="530"/>
      <c r="QJL108" s="531"/>
      <c r="QJM108" s="530"/>
      <c r="QJN108" s="531"/>
      <c r="QJO108" s="530"/>
      <c r="QJP108" s="531"/>
      <c r="QJQ108" s="530"/>
      <c r="QJR108" s="531"/>
      <c r="QJS108" s="530"/>
      <c r="QJT108" s="531"/>
      <c r="QJU108" s="530"/>
      <c r="QJV108" s="531"/>
      <c r="QJW108" s="530"/>
      <c r="QJX108" s="531"/>
      <c r="QJY108" s="530"/>
      <c r="QJZ108" s="531"/>
      <c r="QKA108" s="530"/>
      <c r="QKB108" s="531"/>
      <c r="QKC108" s="530"/>
      <c r="QKD108" s="531"/>
      <c r="QKE108" s="530"/>
      <c r="QKF108" s="531"/>
      <c r="QKG108" s="530"/>
      <c r="QKH108" s="531"/>
      <c r="QKI108" s="530"/>
      <c r="QKJ108" s="531"/>
      <c r="QKK108" s="530"/>
      <c r="QKL108" s="531"/>
      <c r="QKM108" s="530"/>
      <c r="QKN108" s="531"/>
      <c r="QKO108" s="530"/>
      <c r="QKP108" s="531"/>
      <c r="QKQ108" s="530"/>
      <c r="QKR108" s="531"/>
      <c r="QKS108" s="530"/>
      <c r="QKT108" s="531"/>
      <c r="QKU108" s="530"/>
      <c r="QKV108" s="531"/>
      <c r="QKW108" s="530"/>
      <c r="QKX108" s="531"/>
      <c r="QKY108" s="530"/>
      <c r="QKZ108" s="531"/>
      <c r="QLA108" s="530"/>
      <c r="QLB108" s="531"/>
      <c r="QLC108" s="530"/>
      <c r="QLD108" s="531"/>
      <c r="QLE108" s="530"/>
      <c r="QLF108" s="531"/>
      <c r="QLG108" s="530"/>
      <c r="QLH108" s="531"/>
      <c r="QLI108" s="530"/>
      <c r="QLJ108" s="531"/>
      <c r="QLK108" s="530"/>
      <c r="QLL108" s="531"/>
      <c r="QLM108" s="530"/>
      <c r="QLN108" s="531"/>
      <c r="QLO108" s="530"/>
      <c r="QLP108" s="531"/>
      <c r="QLQ108" s="530"/>
      <c r="QLR108" s="531"/>
      <c r="QLS108" s="530"/>
      <c r="QLT108" s="531"/>
      <c r="QLU108" s="530"/>
      <c r="QLV108" s="531"/>
      <c r="QLW108" s="530"/>
      <c r="QLX108" s="531"/>
      <c r="QLY108" s="530"/>
      <c r="QLZ108" s="531"/>
      <c r="QMA108" s="530"/>
      <c r="QMB108" s="531"/>
      <c r="QMC108" s="530"/>
      <c r="QMD108" s="531"/>
      <c r="QME108" s="530"/>
      <c r="QMF108" s="531"/>
      <c r="QMG108" s="530"/>
      <c r="QMH108" s="531"/>
      <c r="QMI108" s="530"/>
      <c r="QMJ108" s="531"/>
      <c r="QMK108" s="530"/>
      <c r="QML108" s="531"/>
      <c r="QMM108" s="530"/>
      <c r="QMN108" s="531"/>
      <c r="QMO108" s="530"/>
      <c r="QMP108" s="531"/>
      <c r="QMQ108" s="530"/>
      <c r="QMR108" s="531"/>
      <c r="QMS108" s="530"/>
      <c r="QMT108" s="531"/>
      <c r="QMU108" s="530"/>
      <c r="QMV108" s="531"/>
      <c r="QMW108" s="530"/>
      <c r="QMX108" s="531"/>
      <c r="QMY108" s="530"/>
      <c r="QMZ108" s="531"/>
      <c r="QNA108" s="530"/>
      <c r="QNB108" s="531"/>
      <c r="QNC108" s="530"/>
      <c r="QND108" s="531"/>
      <c r="QNE108" s="530"/>
      <c r="QNF108" s="531"/>
      <c r="QNG108" s="530"/>
      <c r="QNH108" s="531"/>
      <c r="QNI108" s="530"/>
      <c r="QNJ108" s="531"/>
      <c r="QNK108" s="530"/>
      <c r="QNL108" s="531"/>
      <c r="QNM108" s="530"/>
      <c r="QNN108" s="531"/>
      <c r="QNO108" s="530"/>
      <c r="QNP108" s="531"/>
      <c r="QNQ108" s="530"/>
      <c r="QNR108" s="531"/>
      <c r="QNS108" s="530"/>
      <c r="QNT108" s="531"/>
      <c r="QNU108" s="530"/>
      <c r="QNV108" s="531"/>
      <c r="QNW108" s="530"/>
      <c r="QNX108" s="531"/>
      <c r="QNY108" s="530"/>
      <c r="QNZ108" s="531"/>
      <c r="QOA108" s="530"/>
      <c r="QOB108" s="531"/>
      <c r="QOC108" s="530"/>
      <c r="QOD108" s="531"/>
      <c r="QOE108" s="530"/>
      <c r="QOF108" s="531"/>
      <c r="QOG108" s="530"/>
      <c r="QOH108" s="531"/>
      <c r="QOI108" s="530"/>
      <c r="QOJ108" s="531"/>
      <c r="QOK108" s="530"/>
      <c r="QOL108" s="531"/>
      <c r="QOM108" s="530"/>
      <c r="QON108" s="531"/>
      <c r="QOO108" s="530"/>
      <c r="QOP108" s="531"/>
      <c r="QOQ108" s="530"/>
      <c r="QOR108" s="531"/>
      <c r="QOS108" s="530"/>
      <c r="QOT108" s="531"/>
      <c r="QOU108" s="530"/>
      <c r="QOV108" s="531"/>
      <c r="QOW108" s="530"/>
      <c r="QOX108" s="531"/>
      <c r="QOY108" s="530"/>
      <c r="QOZ108" s="531"/>
      <c r="QPA108" s="530"/>
      <c r="QPB108" s="531"/>
      <c r="QPC108" s="530"/>
      <c r="QPD108" s="531"/>
      <c r="QPE108" s="530"/>
      <c r="QPF108" s="531"/>
      <c r="QPG108" s="530"/>
      <c r="QPH108" s="531"/>
      <c r="QPI108" s="530"/>
      <c r="QPJ108" s="531"/>
      <c r="QPK108" s="530"/>
      <c r="QPL108" s="531"/>
      <c r="QPM108" s="530"/>
      <c r="QPN108" s="531"/>
      <c r="QPO108" s="530"/>
      <c r="QPP108" s="531"/>
      <c r="QPQ108" s="530"/>
      <c r="QPR108" s="531"/>
      <c r="QPS108" s="530"/>
      <c r="QPT108" s="531"/>
      <c r="QPU108" s="530"/>
      <c r="QPV108" s="531"/>
      <c r="QPW108" s="530"/>
      <c r="QPX108" s="531"/>
      <c r="QPY108" s="530"/>
      <c r="QPZ108" s="531"/>
      <c r="QQA108" s="530"/>
      <c r="QQB108" s="531"/>
      <c r="QQC108" s="530"/>
      <c r="QQD108" s="531"/>
      <c r="QQE108" s="530"/>
      <c r="QQF108" s="531"/>
      <c r="QQG108" s="530"/>
      <c r="QQH108" s="531"/>
      <c r="QQI108" s="530"/>
      <c r="QQJ108" s="531"/>
      <c r="QQK108" s="530"/>
      <c r="QQL108" s="531"/>
      <c r="QQM108" s="530"/>
      <c r="QQN108" s="531"/>
      <c r="QQO108" s="530"/>
      <c r="QQP108" s="531"/>
      <c r="QQQ108" s="530"/>
      <c r="QQR108" s="531"/>
      <c r="QQS108" s="530"/>
      <c r="QQT108" s="531"/>
      <c r="QQU108" s="530"/>
      <c r="QQV108" s="531"/>
      <c r="QQW108" s="530"/>
      <c r="QQX108" s="531"/>
      <c r="QQY108" s="530"/>
      <c r="QQZ108" s="531"/>
      <c r="QRA108" s="530"/>
      <c r="QRB108" s="531"/>
      <c r="QRC108" s="530"/>
      <c r="QRD108" s="531"/>
      <c r="QRE108" s="530"/>
      <c r="QRF108" s="531"/>
      <c r="QRG108" s="530"/>
      <c r="QRH108" s="531"/>
      <c r="QRI108" s="530"/>
      <c r="QRJ108" s="531"/>
      <c r="QRK108" s="530"/>
      <c r="QRL108" s="531"/>
      <c r="QRM108" s="530"/>
      <c r="QRN108" s="531"/>
      <c r="QRO108" s="530"/>
      <c r="QRP108" s="531"/>
      <c r="QRQ108" s="530"/>
      <c r="QRR108" s="531"/>
      <c r="QRS108" s="530"/>
      <c r="QRT108" s="531"/>
      <c r="QRU108" s="530"/>
      <c r="QRV108" s="531"/>
      <c r="QRW108" s="530"/>
      <c r="QRX108" s="531"/>
      <c r="QRY108" s="530"/>
      <c r="QRZ108" s="531"/>
      <c r="QSA108" s="530"/>
      <c r="QSB108" s="531"/>
      <c r="QSC108" s="530"/>
      <c r="QSD108" s="531"/>
      <c r="QSE108" s="530"/>
      <c r="QSF108" s="531"/>
      <c r="QSG108" s="530"/>
      <c r="QSH108" s="531"/>
      <c r="QSI108" s="530"/>
      <c r="QSJ108" s="531"/>
      <c r="QSK108" s="530"/>
      <c r="QSL108" s="531"/>
      <c r="QSM108" s="530"/>
      <c r="QSN108" s="531"/>
      <c r="QSO108" s="530"/>
      <c r="QSP108" s="531"/>
      <c r="QSQ108" s="530"/>
      <c r="QSR108" s="531"/>
      <c r="QSS108" s="530"/>
      <c r="QST108" s="531"/>
      <c r="QSU108" s="530"/>
      <c r="QSV108" s="531"/>
      <c r="QSW108" s="530"/>
      <c r="QSX108" s="531"/>
      <c r="QSY108" s="530"/>
      <c r="QSZ108" s="531"/>
      <c r="QTA108" s="530"/>
      <c r="QTB108" s="531"/>
      <c r="QTC108" s="530"/>
      <c r="QTD108" s="531"/>
      <c r="QTE108" s="530"/>
      <c r="QTF108" s="531"/>
      <c r="QTG108" s="530"/>
      <c r="QTH108" s="531"/>
      <c r="QTI108" s="530"/>
      <c r="QTJ108" s="531"/>
      <c r="QTK108" s="530"/>
      <c r="QTL108" s="531"/>
      <c r="QTM108" s="530"/>
      <c r="QTN108" s="531"/>
      <c r="QTO108" s="530"/>
      <c r="QTP108" s="531"/>
      <c r="QTQ108" s="530"/>
      <c r="QTR108" s="531"/>
      <c r="QTS108" s="530"/>
      <c r="QTT108" s="531"/>
      <c r="QTU108" s="530"/>
      <c r="QTV108" s="531"/>
      <c r="QTW108" s="530"/>
      <c r="QTX108" s="531"/>
      <c r="QTY108" s="530"/>
      <c r="QTZ108" s="531"/>
      <c r="QUA108" s="530"/>
      <c r="QUB108" s="531"/>
      <c r="QUC108" s="530"/>
      <c r="QUD108" s="531"/>
      <c r="QUE108" s="530"/>
      <c r="QUF108" s="531"/>
      <c r="QUG108" s="530"/>
      <c r="QUH108" s="531"/>
      <c r="QUI108" s="530"/>
      <c r="QUJ108" s="531"/>
      <c r="QUK108" s="530"/>
      <c r="QUL108" s="531"/>
      <c r="QUM108" s="530"/>
      <c r="QUN108" s="531"/>
      <c r="QUO108" s="530"/>
      <c r="QUP108" s="531"/>
      <c r="QUQ108" s="530"/>
      <c r="QUR108" s="531"/>
      <c r="QUS108" s="530"/>
      <c r="QUT108" s="531"/>
      <c r="QUU108" s="530"/>
      <c r="QUV108" s="531"/>
      <c r="QUW108" s="530"/>
      <c r="QUX108" s="531"/>
      <c r="QUY108" s="530"/>
      <c r="QUZ108" s="531"/>
      <c r="QVA108" s="530"/>
      <c r="QVB108" s="531"/>
      <c r="QVC108" s="530"/>
      <c r="QVD108" s="531"/>
      <c r="QVE108" s="530"/>
      <c r="QVF108" s="531"/>
      <c r="QVG108" s="530"/>
      <c r="QVH108" s="531"/>
      <c r="QVI108" s="530"/>
      <c r="QVJ108" s="531"/>
      <c r="QVK108" s="530"/>
      <c r="QVL108" s="531"/>
      <c r="QVM108" s="530"/>
      <c r="QVN108" s="531"/>
      <c r="QVO108" s="530"/>
      <c r="QVP108" s="531"/>
      <c r="QVQ108" s="530"/>
      <c r="QVR108" s="531"/>
      <c r="QVS108" s="530"/>
      <c r="QVT108" s="531"/>
      <c r="QVU108" s="530"/>
      <c r="QVV108" s="531"/>
      <c r="QVW108" s="530"/>
      <c r="QVX108" s="531"/>
      <c r="QVY108" s="530"/>
      <c r="QVZ108" s="531"/>
      <c r="QWA108" s="530"/>
      <c r="QWB108" s="531"/>
      <c r="QWC108" s="530"/>
      <c r="QWD108" s="531"/>
      <c r="QWE108" s="530"/>
      <c r="QWF108" s="531"/>
      <c r="QWG108" s="530"/>
      <c r="QWH108" s="531"/>
      <c r="QWI108" s="530"/>
      <c r="QWJ108" s="531"/>
      <c r="QWK108" s="530"/>
      <c r="QWL108" s="531"/>
      <c r="QWM108" s="530"/>
      <c r="QWN108" s="531"/>
      <c r="QWO108" s="530"/>
      <c r="QWP108" s="531"/>
      <c r="QWQ108" s="530"/>
      <c r="QWR108" s="531"/>
      <c r="QWS108" s="530"/>
      <c r="QWT108" s="531"/>
      <c r="QWU108" s="530"/>
      <c r="QWV108" s="531"/>
      <c r="QWW108" s="530"/>
      <c r="QWX108" s="531"/>
      <c r="QWY108" s="530"/>
      <c r="QWZ108" s="531"/>
      <c r="QXA108" s="530"/>
      <c r="QXB108" s="531"/>
      <c r="QXC108" s="530"/>
      <c r="QXD108" s="531"/>
      <c r="QXE108" s="530"/>
      <c r="QXF108" s="531"/>
      <c r="QXG108" s="530"/>
      <c r="QXH108" s="531"/>
      <c r="QXI108" s="530"/>
      <c r="QXJ108" s="531"/>
      <c r="QXK108" s="530"/>
      <c r="QXL108" s="531"/>
      <c r="QXM108" s="530"/>
      <c r="QXN108" s="531"/>
      <c r="QXO108" s="530"/>
      <c r="QXP108" s="531"/>
      <c r="QXQ108" s="530"/>
      <c r="QXR108" s="531"/>
      <c r="QXS108" s="530"/>
      <c r="QXT108" s="531"/>
      <c r="QXU108" s="530"/>
      <c r="QXV108" s="531"/>
      <c r="QXW108" s="530"/>
      <c r="QXX108" s="531"/>
      <c r="QXY108" s="530"/>
      <c r="QXZ108" s="531"/>
      <c r="QYA108" s="530"/>
      <c r="QYB108" s="531"/>
      <c r="QYC108" s="530"/>
      <c r="QYD108" s="531"/>
      <c r="QYE108" s="530"/>
      <c r="QYF108" s="531"/>
      <c r="QYG108" s="530"/>
      <c r="QYH108" s="531"/>
      <c r="QYI108" s="530"/>
      <c r="QYJ108" s="531"/>
      <c r="QYK108" s="530"/>
      <c r="QYL108" s="531"/>
      <c r="QYM108" s="530"/>
      <c r="QYN108" s="531"/>
      <c r="QYO108" s="530"/>
      <c r="QYP108" s="531"/>
      <c r="QYQ108" s="530"/>
      <c r="QYR108" s="531"/>
      <c r="QYS108" s="530"/>
      <c r="QYT108" s="531"/>
      <c r="QYU108" s="530"/>
      <c r="QYV108" s="531"/>
      <c r="QYW108" s="530"/>
      <c r="QYX108" s="531"/>
      <c r="QYY108" s="530"/>
      <c r="QYZ108" s="531"/>
      <c r="QZA108" s="530"/>
      <c r="QZB108" s="531"/>
      <c r="QZC108" s="530"/>
      <c r="QZD108" s="531"/>
      <c r="QZE108" s="530"/>
      <c r="QZF108" s="531"/>
      <c r="QZG108" s="530"/>
      <c r="QZH108" s="531"/>
      <c r="QZI108" s="530"/>
      <c r="QZJ108" s="531"/>
      <c r="QZK108" s="530"/>
      <c r="QZL108" s="531"/>
      <c r="QZM108" s="530"/>
      <c r="QZN108" s="531"/>
      <c r="QZO108" s="530"/>
      <c r="QZP108" s="531"/>
      <c r="QZQ108" s="530"/>
      <c r="QZR108" s="531"/>
      <c r="QZS108" s="530"/>
      <c r="QZT108" s="531"/>
      <c r="QZU108" s="530"/>
      <c r="QZV108" s="531"/>
      <c r="QZW108" s="530"/>
      <c r="QZX108" s="531"/>
      <c r="QZY108" s="530"/>
      <c r="QZZ108" s="531"/>
      <c r="RAA108" s="530"/>
      <c r="RAB108" s="531"/>
      <c r="RAC108" s="530"/>
      <c r="RAD108" s="531"/>
      <c r="RAE108" s="530"/>
      <c r="RAF108" s="531"/>
      <c r="RAG108" s="530"/>
      <c r="RAH108" s="531"/>
      <c r="RAI108" s="530"/>
      <c r="RAJ108" s="531"/>
      <c r="RAK108" s="530"/>
      <c r="RAL108" s="531"/>
      <c r="RAM108" s="530"/>
      <c r="RAN108" s="531"/>
      <c r="RAO108" s="530"/>
      <c r="RAP108" s="531"/>
      <c r="RAQ108" s="530"/>
      <c r="RAR108" s="531"/>
      <c r="RAS108" s="530"/>
      <c r="RAT108" s="531"/>
      <c r="RAU108" s="530"/>
      <c r="RAV108" s="531"/>
      <c r="RAW108" s="530"/>
      <c r="RAX108" s="531"/>
      <c r="RAY108" s="530"/>
      <c r="RAZ108" s="531"/>
      <c r="RBA108" s="530"/>
      <c r="RBB108" s="531"/>
      <c r="RBC108" s="530"/>
      <c r="RBD108" s="531"/>
      <c r="RBE108" s="530"/>
      <c r="RBF108" s="531"/>
      <c r="RBG108" s="530"/>
      <c r="RBH108" s="531"/>
      <c r="RBI108" s="530"/>
      <c r="RBJ108" s="531"/>
      <c r="RBK108" s="530"/>
      <c r="RBL108" s="531"/>
      <c r="RBM108" s="530"/>
      <c r="RBN108" s="531"/>
      <c r="RBO108" s="530"/>
      <c r="RBP108" s="531"/>
      <c r="RBQ108" s="530"/>
      <c r="RBR108" s="531"/>
      <c r="RBS108" s="530"/>
      <c r="RBT108" s="531"/>
      <c r="RBU108" s="530"/>
      <c r="RBV108" s="531"/>
      <c r="RBW108" s="530"/>
      <c r="RBX108" s="531"/>
      <c r="RBY108" s="530"/>
      <c r="RBZ108" s="531"/>
      <c r="RCA108" s="530"/>
      <c r="RCB108" s="531"/>
      <c r="RCC108" s="530"/>
      <c r="RCD108" s="531"/>
      <c r="RCE108" s="530"/>
      <c r="RCF108" s="531"/>
      <c r="RCG108" s="530"/>
      <c r="RCH108" s="531"/>
      <c r="RCI108" s="530"/>
      <c r="RCJ108" s="531"/>
      <c r="RCK108" s="530"/>
      <c r="RCL108" s="531"/>
      <c r="RCM108" s="530"/>
      <c r="RCN108" s="531"/>
      <c r="RCO108" s="530"/>
      <c r="RCP108" s="531"/>
      <c r="RCQ108" s="530"/>
      <c r="RCR108" s="531"/>
      <c r="RCS108" s="530"/>
      <c r="RCT108" s="531"/>
      <c r="RCU108" s="530"/>
      <c r="RCV108" s="531"/>
      <c r="RCW108" s="530"/>
      <c r="RCX108" s="531"/>
      <c r="RCY108" s="530"/>
      <c r="RCZ108" s="531"/>
      <c r="RDA108" s="530"/>
      <c r="RDB108" s="531"/>
      <c r="RDC108" s="530"/>
      <c r="RDD108" s="531"/>
      <c r="RDE108" s="530"/>
      <c r="RDF108" s="531"/>
      <c r="RDG108" s="530"/>
      <c r="RDH108" s="531"/>
      <c r="RDI108" s="530"/>
      <c r="RDJ108" s="531"/>
      <c r="RDK108" s="530"/>
      <c r="RDL108" s="531"/>
      <c r="RDM108" s="530"/>
      <c r="RDN108" s="531"/>
      <c r="RDO108" s="530"/>
      <c r="RDP108" s="531"/>
      <c r="RDQ108" s="530"/>
      <c r="RDR108" s="531"/>
      <c r="RDS108" s="530"/>
      <c r="RDT108" s="531"/>
      <c r="RDU108" s="530"/>
      <c r="RDV108" s="531"/>
      <c r="RDW108" s="530"/>
      <c r="RDX108" s="531"/>
      <c r="RDY108" s="530"/>
      <c r="RDZ108" s="531"/>
      <c r="REA108" s="530"/>
      <c r="REB108" s="531"/>
      <c r="REC108" s="530"/>
      <c r="RED108" s="531"/>
      <c r="REE108" s="530"/>
      <c r="REF108" s="531"/>
      <c r="REG108" s="530"/>
      <c r="REH108" s="531"/>
      <c r="REI108" s="530"/>
      <c r="REJ108" s="531"/>
      <c r="REK108" s="530"/>
      <c r="REL108" s="531"/>
      <c r="REM108" s="530"/>
      <c r="REN108" s="531"/>
      <c r="REO108" s="530"/>
      <c r="REP108" s="531"/>
      <c r="REQ108" s="530"/>
      <c r="RER108" s="531"/>
      <c r="RES108" s="530"/>
      <c r="RET108" s="531"/>
      <c r="REU108" s="530"/>
      <c r="REV108" s="531"/>
      <c r="REW108" s="530"/>
      <c r="REX108" s="531"/>
      <c r="REY108" s="530"/>
      <c r="REZ108" s="531"/>
      <c r="RFA108" s="530"/>
      <c r="RFB108" s="531"/>
      <c r="RFC108" s="530"/>
      <c r="RFD108" s="531"/>
      <c r="RFE108" s="530"/>
      <c r="RFF108" s="531"/>
      <c r="RFG108" s="530"/>
      <c r="RFH108" s="531"/>
      <c r="RFI108" s="530"/>
      <c r="RFJ108" s="531"/>
      <c r="RFK108" s="530"/>
      <c r="RFL108" s="531"/>
      <c r="RFM108" s="530"/>
      <c r="RFN108" s="531"/>
      <c r="RFO108" s="530"/>
      <c r="RFP108" s="531"/>
      <c r="RFQ108" s="530"/>
      <c r="RFR108" s="531"/>
      <c r="RFS108" s="530"/>
      <c r="RFT108" s="531"/>
      <c r="RFU108" s="530"/>
      <c r="RFV108" s="531"/>
      <c r="RFW108" s="530"/>
      <c r="RFX108" s="531"/>
      <c r="RFY108" s="530"/>
      <c r="RFZ108" s="531"/>
      <c r="RGA108" s="530"/>
      <c r="RGB108" s="531"/>
      <c r="RGC108" s="530"/>
      <c r="RGD108" s="531"/>
      <c r="RGE108" s="530"/>
      <c r="RGF108" s="531"/>
      <c r="RGG108" s="530"/>
      <c r="RGH108" s="531"/>
      <c r="RGI108" s="530"/>
      <c r="RGJ108" s="531"/>
      <c r="RGK108" s="530"/>
      <c r="RGL108" s="531"/>
      <c r="RGM108" s="530"/>
      <c r="RGN108" s="531"/>
      <c r="RGO108" s="530"/>
      <c r="RGP108" s="531"/>
      <c r="RGQ108" s="530"/>
      <c r="RGR108" s="531"/>
      <c r="RGS108" s="530"/>
      <c r="RGT108" s="531"/>
      <c r="RGU108" s="530"/>
      <c r="RGV108" s="531"/>
      <c r="RGW108" s="530"/>
      <c r="RGX108" s="531"/>
      <c r="RGY108" s="530"/>
      <c r="RGZ108" s="531"/>
      <c r="RHA108" s="530"/>
      <c r="RHB108" s="531"/>
      <c r="RHC108" s="530"/>
      <c r="RHD108" s="531"/>
      <c r="RHE108" s="530"/>
      <c r="RHF108" s="531"/>
      <c r="RHG108" s="530"/>
      <c r="RHH108" s="531"/>
      <c r="RHI108" s="530"/>
      <c r="RHJ108" s="531"/>
      <c r="RHK108" s="530"/>
      <c r="RHL108" s="531"/>
      <c r="RHM108" s="530"/>
      <c r="RHN108" s="531"/>
      <c r="RHO108" s="530"/>
      <c r="RHP108" s="531"/>
      <c r="RHQ108" s="530"/>
      <c r="RHR108" s="531"/>
      <c r="RHS108" s="530"/>
      <c r="RHT108" s="531"/>
      <c r="RHU108" s="530"/>
      <c r="RHV108" s="531"/>
      <c r="RHW108" s="530"/>
      <c r="RHX108" s="531"/>
      <c r="RHY108" s="530"/>
      <c r="RHZ108" s="531"/>
      <c r="RIA108" s="530"/>
      <c r="RIB108" s="531"/>
      <c r="RIC108" s="530"/>
      <c r="RID108" s="531"/>
      <c r="RIE108" s="530"/>
      <c r="RIF108" s="531"/>
      <c r="RIG108" s="530"/>
      <c r="RIH108" s="531"/>
      <c r="RII108" s="530"/>
      <c r="RIJ108" s="531"/>
      <c r="RIK108" s="530"/>
      <c r="RIL108" s="531"/>
      <c r="RIM108" s="530"/>
      <c r="RIN108" s="531"/>
      <c r="RIO108" s="530"/>
      <c r="RIP108" s="531"/>
      <c r="RIQ108" s="530"/>
      <c r="RIR108" s="531"/>
      <c r="RIS108" s="530"/>
      <c r="RIT108" s="531"/>
      <c r="RIU108" s="530"/>
      <c r="RIV108" s="531"/>
      <c r="RIW108" s="530"/>
      <c r="RIX108" s="531"/>
      <c r="RIY108" s="530"/>
      <c r="RIZ108" s="531"/>
      <c r="RJA108" s="530"/>
      <c r="RJB108" s="531"/>
      <c r="RJC108" s="530"/>
      <c r="RJD108" s="531"/>
      <c r="RJE108" s="530"/>
      <c r="RJF108" s="531"/>
      <c r="RJG108" s="530"/>
      <c r="RJH108" s="531"/>
      <c r="RJI108" s="530"/>
      <c r="RJJ108" s="531"/>
      <c r="RJK108" s="530"/>
      <c r="RJL108" s="531"/>
      <c r="RJM108" s="530"/>
      <c r="RJN108" s="531"/>
      <c r="RJO108" s="530"/>
      <c r="RJP108" s="531"/>
      <c r="RJQ108" s="530"/>
      <c r="RJR108" s="531"/>
      <c r="RJS108" s="530"/>
      <c r="RJT108" s="531"/>
      <c r="RJU108" s="530"/>
      <c r="RJV108" s="531"/>
      <c r="RJW108" s="530"/>
      <c r="RJX108" s="531"/>
      <c r="RJY108" s="530"/>
      <c r="RJZ108" s="531"/>
      <c r="RKA108" s="530"/>
      <c r="RKB108" s="531"/>
      <c r="RKC108" s="530"/>
      <c r="RKD108" s="531"/>
      <c r="RKE108" s="530"/>
      <c r="RKF108" s="531"/>
      <c r="RKG108" s="530"/>
      <c r="RKH108" s="531"/>
      <c r="RKI108" s="530"/>
      <c r="RKJ108" s="531"/>
      <c r="RKK108" s="530"/>
      <c r="RKL108" s="531"/>
      <c r="RKM108" s="530"/>
      <c r="RKN108" s="531"/>
      <c r="RKO108" s="530"/>
      <c r="RKP108" s="531"/>
      <c r="RKQ108" s="530"/>
      <c r="RKR108" s="531"/>
      <c r="RKS108" s="530"/>
      <c r="RKT108" s="531"/>
      <c r="RKU108" s="530"/>
      <c r="RKV108" s="531"/>
      <c r="RKW108" s="530"/>
      <c r="RKX108" s="531"/>
      <c r="RKY108" s="530"/>
      <c r="RKZ108" s="531"/>
      <c r="RLA108" s="530"/>
      <c r="RLB108" s="531"/>
      <c r="RLC108" s="530"/>
      <c r="RLD108" s="531"/>
      <c r="RLE108" s="530"/>
      <c r="RLF108" s="531"/>
      <c r="RLG108" s="530"/>
      <c r="RLH108" s="531"/>
      <c r="RLI108" s="530"/>
      <c r="RLJ108" s="531"/>
      <c r="RLK108" s="530"/>
      <c r="RLL108" s="531"/>
      <c r="RLM108" s="530"/>
      <c r="RLN108" s="531"/>
      <c r="RLO108" s="530"/>
      <c r="RLP108" s="531"/>
      <c r="RLQ108" s="530"/>
      <c r="RLR108" s="531"/>
      <c r="RLS108" s="530"/>
      <c r="RLT108" s="531"/>
      <c r="RLU108" s="530"/>
      <c r="RLV108" s="531"/>
      <c r="RLW108" s="530"/>
      <c r="RLX108" s="531"/>
      <c r="RLY108" s="530"/>
      <c r="RLZ108" s="531"/>
      <c r="RMA108" s="530"/>
      <c r="RMB108" s="531"/>
      <c r="RMC108" s="530"/>
      <c r="RMD108" s="531"/>
      <c r="RME108" s="530"/>
      <c r="RMF108" s="531"/>
      <c r="RMG108" s="530"/>
      <c r="RMH108" s="531"/>
      <c r="RMI108" s="530"/>
      <c r="RMJ108" s="531"/>
      <c r="RMK108" s="530"/>
      <c r="RML108" s="531"/>
      <c r="RMM108" s="530"/>
      <c r="RMN108" s="531"/>
      <c r="RMO108" s="530"/>
      <c r="RMP108" s="531"/>
      <c r="RMQ108" s="530"/>
      <c r="RMR108" s="531"/>
      <c r="RMS108" s="530"/>
      <c r="RMT108" s="531"/>
      <c r="RMU108" s="530"/>
      <c r="RMV108" s="531"/>
      <c r="RMW108" s="530"/>
      <c r="RMX108" s="531"/>
      <c r="RMY108" s="530"/>
      <c r="RMZ108" s="531"/>
      <c r="RNA108" s="530"/>
      <c r="RNB108" s="531"/>
      <c r="RNC108" s="530"/>
      <c r="RND108" s="531"/>
      <c r="RNE108" s="530"/>
      <c r="RNF108" s="531"/>
      <c r="RNG108" s="530"/>
      <c r="RNH108" s="531"/>
      <c r="RNI108" s="530"/>
      <c r="RNJ108" s="531"/>
      <c r="RNK108" s="530"/>
      <c r="RNL108" s="531"/>
      <c r="RNM108" s="530"/>
      <c r="RNN108" s="531"/>
      <c r="RNO108" s="530"/>
      <c r="RNP108" s="531"/>
      <c r="RNQ108" s="530"/>
      <c r="RNR108" s="531"/>
      <c r="RNS108" s="530"/>
      <c r="RNT108" s="531"/>
      <c r="RNU108" s="530"/>
      <c r="RNV108" s="531"/>
      <c r="RNW108" s="530"/>
      <c r="RNX108" s="531"/>
      <c r="RNY108" s="530"/>
      <c r="RNZ108" s="531"/>
      <c r="ROA108" s="530"/>
      <c r="ROB108" s="531"/>
      <c r="ROC108" s="530"/>
      <c r="ROD108" s="531"/>
      <c r="ROE108" s="530"/>
      <c r="ROF108" s="531"/>
      <c r="ROG108" s="530"/>
      <c r="ROH108" s="531"/>
      <c r="ROI108" s="530"/>
      <c r="ROJ108" s="531"/>
      <c r="ROK108" s="530"/>
      <c r="ROL108" s="531"/>
      <c r="ROM108" s="530"/>
      <c r="RON108" s="531"/>
      <c r="ROO108" s="530"/>
      <c r="ROP108" s="531"/>
      <c r="ROQ108" s="530"/>
      <c r="ROR108" s="531"/>
      <c r="ROS108" s="530"/>
      <c r="ROT108" s="531"/>
      <c r="ROU108" s="530"/>
      <c r="ROV108" s="531"/>
      <c r="ROW108" s="530"/>
      <c r="ROX108" s="531"/>
      <c r="ROY108" s="530"/>
      <c r="ROZ108" s="531"/>
      <c r="RPA108" s="530"/>
      <c r="RPB108" s="531"/>
      <c r="RPC108" s="530"/>
      <c r="RPD108" s="531"/>
      <c r="RPE108" s="530"/>
      <c r="RPF108" s="531"/>
      <c r="RPG108" s="530"/>
      <c r="RPH108" s="531"/>
      <c r="RPI108" s="530"/>
      <c r="RPJ108" s="531"/>
      <c r="RPK108" s="530"/>
      <c r="RPL108" s="531"/>
      <c r="RPM108" s="530"/>
      <c r="RPN108" s="531"/>
      <c r="RPO108" s="530"/>
      <c r="RPP108" s="531"/>
      <c r="RPQ108" s="530"/>
      <c r="RPR108" s="531"/>
      <c r="RPS108" s="530"/>
      <c r="RPT108" s="531"/>
      <c r="RPU108" s="530"/>
      <c r="RPV108" s="531"/>
      <c r="RPW108" s="530"/>
      <c r="RPX108" s="531"/>
      <c r="RPY108" s="530"/>
      <c r="RPZ108" s="531"/>
      <c r="RQA108" s="530"/>
      <c r="RQB108" s="531"/>
      <c r="RQC108" s="530"/>
      <c r="RQD108" s="531"/>
      <c r="RQE108" s="530"/>
      <c r="RQF108" s="531"/>
      <c r="RQG108" s="530"/>
      <c r="RQH108" s="531"/>
      <c r="RQI108" s="530"/>
      <c r="RQJ108" s="531"/>
      <c r="RQK108" s="530"/>
      <c r="RQL108" s="531"/>
      <c r="RQM108" s="530"/>
      <c r="RQN108" s="531"/>
      <c r="RQO108" s="530"/>
      <c r="RQP108" s="531"/>
      <c r="RQQ108" s="530"/>
      <c r="RQR108" s="531"/>
      <c r="RQS108" s="530"/>
      <c r="RQT108" s="531"/>
      <c r="RQU108" s="530"/>
      <c r="RQV108" s="531"/>
      <c r="RQW108" s="530"/>
      <c r="RQX108" s="531"/>
      <c r="RQY108" s="530"/>
      <c r="RQZ108" s="531"/>
      <c r="RRA108" s="530"/>
      <c r="RRB108" s="531"/>
      <c r="RRC108" s="530"/>
      <c r="RRD108" s="531"/>
      <c r="RRE108" s="530"/>
      <c r="RRF108" s="531"/>
      <c r="RRG108" s="530"/>
      <c r="RRH108" s="531"/>
      <c r="RRI108" s="530"/>
      <c r="RRJ108" s="531"/>
      <c r="RRK108" s="530"/>
      <c r="RRL108" s="531"/>
      <c r="RRM108" s="530"/>
      <c r="RRN108" s="531"/>
      <c r="RRO108" s="530"/>
      <c r="RRP108" s="531"/>
      <c r="RRQ108" s="530"/>
      <c r="RRR108" s="531"/>
      <c r="RRS108" s="530"/>
      <c r="RRT108" s="531"/>
      <c r="RRU108" s="530"/>
      <c r="RRV108" s="531"/>
      <c r="RRW108" s="530"/>
      <c r="RRX108" s="531"/>
      <c r="RRY108" s="530"/>
      <c r="RRZ108" s="531"/>
      <c r="RSA108" s="530"/>
      <c r="RSB108" s="531"/>
      <c r="RSC108" s="530"/>
      <c r="RSD108" s="531"/>
      <c r="RSE108" s="530"/>
      <c r="RSF108" s="531"/>
      <c r="RSG108" s="530"/>
      <c r="RSH108" s="531"/>
      <c r="RSI108" s="530"/>
      <c r="RSJ108" s="531"/>
      <c r="RSK108" s="530"/>
      <c r="RSL108" s="531"/>
      <c r="RSM108" s="530"/>
      <c r="RSN108" s="531"/>
      <c r="RSO108" s="530"/>
      <c r="RSP108" s="531"/>
      <c r="RSQ108" s="530"/>
      <c r="RSR108" s="531"/>
      <c r="RSS108" s="530"/>
      <c r="RST108" s="531"/>
      <c r="RSU108" s="530"/>
      <c r="RSV108" s="531"/>
      <c r="RSW108" s="530"/>
      <c r="RSX108" s="531"/>
      <c r="RSY108" s="530"/>
      <c r="RSZ108" s="531"/>
      <c r="RTA108" s="530"/>
      <c r="RTB108" s="531"/>
      <c r="RTC108" s="530"/>
      <c r="RTD108" s="531"/>
      <c r="RTE108" s="530"/>
      <c r="RTF108" s="531"/>
      <c r="RTG108" s="530"/>
      <c r="RTH108" s="531"/>
      <c r="RTI108" s="530"/>
      <c r="RTJ108" s="531"/>
      <c r="RTK108" s="530"/>
      <c r="RTL108" s="531"/>
      <c r="RTM108" s="530"/>
      <c r="RTN108" s="531"/>
      <c r="RTO108" s="530"/>
      <c r="RTP108" s="531"/>
      <c r="RTQ108" s="530"/>
      <c r="RTR108" s="531"/>
      <c r="RTS108" s="530"/>
      <c r="RTT108" s="531"/>
      <c r="RTU108" s="530"/>
      <c r="RTV108" s="531"/>
      <c r="RTW108" s="530"/>
      <c r="RTX108" s="531"/>
      <c r="RTY108" s="530"/>
      <c r="RTZ108" s="531"/>
      <c r="RUA108" s="530"/>
      <c r="RUB108" s="531"/>
      <c r="RUC108" s="530"/>
      <c r="RUD108" s="531"/>
      <c r="RUE108" s="530"/>
      <c r="RUF108" s="531"/>
      <c r="RUG108" s="530"/>
      <c r="RUH108" s="531"/>
      <c r="RUI108" s="530"/>
      <c r="RUJ108" s="531"/>
      <c r="RUK108" s="530"/>
      <c r="RUL108" s="531"/>
      <c r="RUM108" s="530"/>
      <c r="RUN108" s="531"/>
      <c r="RUO108" s="530"/>
      <c r="RUP108" s="531"/>
      <c r="RUQ108" s="530"/>
      <c r="RUR108" s="531"/>
      <c r="RUS108" s="530"/>
      <c r="RUT108" s="531"/>
      <c r="RUU108" s="530"/>
      <c r="RUV108" s="531"/>
      <c r="RUW108" s="530"/>
      <c r="RUX108" s="531"/>
      <c r="RUY108" s="530"/>
      <c r="RUZ108" s="531"/>
      <c r="RVA108" s="530"/>
      <c r="RVB108" s="531"/>
      <c r="RVC108" s="530"/>
      <c r="RVD108" s="531"/>
      <c r="RVE108" s="530"/>
      <c r="RVF108" s="531"/>
      <c r="RVG108" s="530"/>
      <c r="RVH108" s="531"/>
      <c r="RVI108" s="530"/>
      <c r="RVJ108" s="531"/>
      <c r="RVK108" s="530"/>
      <c r="RVL108" s="531"/>
      <c r="RVM108" s="530"/>
      <c r="RVN108" s="531"/>
      <c r="RVO108" s="530"/>
      <c r="RVP108" s="531"/>
      <c r="RVQ108" s="530"/>
      <c r="RVR108" s="531"/>
      <c r="RVS108" s="530"/>
      <c r="RVT108" s="531"/>
      <c r="RVU108" s="530"/>
      <c r="RVV108" s="531"/>
      <c r="RVW108" s="530"/>
      <c r="RVX108" s="531"/>
      <c r="RVY108" s="530"/>
      <c r="RVZ108" s="531"/>
      <c r="RWA108" s="530"/>
      <c r="RWB108" s="531"/>
      <c r="RWC108" s="530"/>
      <c r="RWD108" s="531"/>
      <c r="RWE108" s="530"/>
      <c r="RWF108" s="531"/>
      <c r="RWG108" s="530"/>
      <c r="RWH108" s="531"/>
      <c r="RWI108" s="530"/>
      <c r="RWJ108" s="531"/>
      <c r="RWK108" s="530"/>
      <c r="RWL108" s="531"/>
      <c r="RWM108" s="530"/>
      <c r="RWN108" s="531"/>
      <c r="RWO108" s="530"/>
      <c r="RWP108" s="531"/>
      <c r="RWQ108" s="530"/>
      <c r="RWR108" s="531"/>
      <c r="RWS108" s="530"/>
      <c r="RWT108" s="531"/>
      <c r="RWU108" s="530"/>
      <c r="RWV108" s="531"/>
      <c r="RWW108" s="530"/>
      <c r="RWX108" s="531"/>
      <c r="RWY108" s="530"/>
      <c r="RWZ108" s="531"/>
      <c r="RXA108" s="530"/>
      <c r="RXB108" s="531"/>
      <c r="RXC108" s="530"/>
      <c r="RXD108" s="531"/>
      <c r="RXE108" s="530"/>
      <c r="RXF108" s="531"/>
      <c r="RXG108" s="530"/>
      <c r="RXH108" s="531"/>
      <c r="RXI108" s="530"/>
      <c r="RXJ108" s="531"/>
      <c r="RXK108" s="530"/>
      <c r="RXL108" s="531"/>
      <c r="RXM108" s="530"/>
      <c r="RXN108" s="531"/>
      <c r="RXO108" s="530"/>
      <c r="RXP108" s="531"/>
      <c r="RXQ108" s="530"/>
      <c r="RXR108" s="531"/>
      <c r="RXS108" s="530"/>
      <c r="RXT108" s="531"/>
      <c r="RXU108" s="530"/>
      <c r="RXV108" s="531"/>
      <c r="RXW108" s="530"/>
      <c r="RXX108" s="531"/>
      <c r="RXY108" s="530"/>
      <c r="RXZ108" s="531"/>
      <c r="RYA108" s="530"/>
      <c r="RYB108" s="531"/>
      <c r="RYC108" s="530"/>
      <c r="RYD108" s="531"/>
      <c r="RYE108" s="530"/>
      <c r="RYF108" s="531"/>
      <c r="RYG108" s="530"/>
      <c r="RYH108" s="531"/>
      <c r="RYI108" s="530"/>
      <c r="RYJ108" s="531"/>
      <c r="RYK108" s="530"/>
      <c r="RYL108" s="531"/>
      <c r="RYM108" s="530"/>
      <c r="RYN108" s="531"/>
      <c r="RYO108" s="530"/>
      <c r="RYP108" s="531"/>
      <c r="RYQ108" s="530"/>
      <c r="RYR108" s="531"/>
      <c r="RYS108" s="530"/>
      <c r="RYT108" s="531"/>
      <c r="RYU108" s="530"/>
      <c r="RYV108" s="531"/>
      <c r="RYW108" s="530"/>
      <c r="RYX108" s="531"/>
      <c r="RYY108" s="530"/>
      <c r="RYZ108" s="531"/>
      <c r="RZA108" s="530"/>
      <c r="RZB108" s="531"/>
      <c r="RZC108" s="530"/>
      <c r="RZD108" s="531"/>
      <c r="RZE108" s="530"/>
      <c r="RZF108" s="531"/>
      <c r="RZG108" s="530"/>
      <c r="RZH108" s="531"/>
      <c r="RZI108" s="530"/>
      <c r="RZJ108" s="531"/>
      <c r="RZK108" s="530"/>
      <c r="RZL108" s="531"/>
      <c r="RZM108" s="530"/>
      <c r="RZN108" s="531"/>
      <c r="RZO108" s="530"/>
      <c r="RZP108" s="531"/>
      <c r="RZQ108" s="530"/>
      <c r="RZR108" s="531"/>
      <c r="RZS108" s="530"/>
      <c r="RZT108" s="531"/>
      <c r="RZU108" s="530"/>
      <c r="RZV108" s="531"/>
      <c r="RZW108" s="530"/>
      <c r="RZX108" s="531"/>
      <c r="RZY108" s="530"/>
      <c r="RZZ108" s="531"/>
      <c r="SAA108" s="530"/>
      <c r="SAB108" s="531"/>
      <c r="SAC108" s="530"/>
      <c r="SAD108" s="531"/>
      <c r="SAE108" s="530"/>
      <c r="SAF108" s="531"/>
      <c r="SAG108" s="530"/>
      <c r="SAH108" s="531"/>
      <c r="SAI108" s="530"/>
      <c r="SAJ108" s="531"/>
      <c r="SAK108" s="530"/>
      <c r="SAL108" s="531"/>
      <c r="SAM108" s="530"/>
      <c r="SAN108" s="531"/>
      <c r="SAO108" s="530"/>
      <c r="SAP108" s="531"/>
      <c r="SAQ108" s="530"/>
      <c r="SAR108" s="531"/>
      <c r="SAS108" s="530"/>
      <c r="SAT108" s="531"/>
      <c r="SAU108" s="530"/>
      <c r="SAV108" s="531"/>
      <c r="SAW108" s="530"/>
      <c r="SAX108" s="531"/>
      <c r="SAY108" s="530"/>
      <c r="SAZ108" s="531"/>
      <c r="SBA108" s="530"/>
      <c r="SBB108" s="531"/>
      <c r="SBC108" s="530"/>
      <c r="SBD108" s="531"/>
      <c r="SBE108" s="530"/>
      <c r="SBF108" s="531"/>
      <c r="SBG108" s="530"/>
      <c r="SBH108" s="531"/>
      <c r="SBI108" s="530"/>
      <c r="SBJ108" s="531"/>
      <c r="SBK108" s="530"/>
      <c r="SBL108" s="531"/>
      <c r="SBM108" s="530"/>
      <c r="SBN108" s="531"/>
      <c r="SBO108" s="530"/>
      <c r="SBP108" s="531"/>
      <c r="SBQ108" s="530"/>
      <c r="SBR108" s="531"/>
      <c r="SBS108" s="530"/>
      <c r="SBT108" s="531"/>
      <c r="SBU108" s="530"/>
      <c r="SBV108" s="531"/>
      <c r="SBW108" s="530"/>
      <c r="SBX108" s="531"/>
      <c r="SBY108" s="530"/>
      <c r="SBZ108" s="531"/>
      <c r="SCA108" s="530"/>
      <c r="SCB108" s="531"/>
      <c r="SCC108" s="530"/>
      <c r="SCD108" s="531"/>
      <c r="SCE108" s="530"/>
      <c r="SCF108" s="531"/>
      <c r="SCG108" s="530"/>
      <c r="SCH108" s="531"/>
      <c r="SCI108" s="530"/>
      <c r="SCJ108" s="531"/>
      <c r="SCK108" s="530"/>
      <c r="SCL108" s="531"/>
      <c r="SCM108" s="530"/>
      <c r="SCN108" s="531"/>
      <c r="SCO108" s="530"/>
      <c r="SCP108" s="531"/>
      <c r="SCQ108" s="530"/>
      <c r="SCR108" s="531"/>
      <c r="SCS108" s="530"/>
      <c r="SCT108" s="531"/>
      <c r="SCU108" s="530"/>
      <c r="SCV108" s="531"/>
      <c r="SCW108" s="530"/>
      <c r="SCX108" s="531"/>
      <c r="SCY108" s="530"/>
      <c r="SCZ108" s="531"/>
      <c r="SDA108" s="530"/>
      <c r="SDB108" s="531"/>
      <c r="SDC108" s="530"/>
      <c r="SDD108" s="531"/>
      <c r="SDE108" s="530"/>
      <c r="SDF108" s="531"/>
      <c r="SDG108" s="530"/>
      <c r="SDH108" s="531"/>
      <c r="SDI108" s="530"/>
      <c r="SDJ108" s="531"/>
      <c r="SDK108" s="530"/>
      <c r="SDL108" s="531"/>
      <c r="SDM108" s="530"/>
      <c r="SDN108" s="531"/>
      <c r="SDO108" s="530"/>
      <c r="SDP108" s="531"/>
      <c r="SDQ108" s="530"/>
      <c r="SDR108" s="531"/>
      <c r="SDS108" s="530"/>
      <c r="SDT108" s="531"/>
      <c r="SDU108" s="530"/>
      <c r="SDV108" s="531"/>
      <c r="SDW108" s="530"/>
      <c r="SDX108" s="531"/>
      <c r="SDY108" s="530"/>
      <c r="SDZ108" s="531"/>
      <c r="SEA108" s="530"/>
      <c r="SEB108" s="531"/>
      <c r="SEC108" s="530"/>
      <c r="SED108" s="531"/>
      <c r="SEE108" s="530"/>
      <c r="SEF108" s="531"/>
      <c r="SEG108" s="530"/>
      <c r="SEH108" s="531"/>
      <c r="SEI108" s="530"/>
      <c r="SEJ108" s="531"/>
      <c r="SEK108" s="530"/>
      <c r="SEL108" s="531"/>
      <c r="SEM108" s="530"/>
      <c r="SEN108" s="531"/>
      <c r="SEO108" s="530"/>
      <c r="SEP108" s="531"/>
      <c r="SEQ108" s="530"/>
      <c r="SER108" s="531"/>
      <c r="SES108" s="530"/>
      <c r="SET108" s="531"/>
      <c r="SEU108" s="530"/>
      <c r="SEV108" s="531"/>
      <c r="SEW108" s="530"/>
      <c r="SEX108" s="531"/>
      <c r="SEY108" s="530"/>
      <c r="SEZ108" s="531"/>
      <c r="SFA108" s="530"/>
      <c r="SFB108" s="531"/>
      <c r="SFC108" s="530"/>
      <c r="SFD108" s="531"/>
      <c r="SFE108" s="530"/>
      <c r="SFF108" s="531"/>
      <c r="SFG108" s="530"/>
      <c r="SFH108" s="531"/>
      <c r="SFI108" s="530"/>
      <c r="SFJ108" s="531"/>
      <c r="SFK108" s="530"/>
      <c r="SFL108" s="531"/>
      <c r="SFM108" s="530"/>
      <c r="SFN108" s="531"/>
      <c r="SFO108" s="530"/>
      <c r="SFP108" s="531"/>
      <c r="SFQ108" s="530"/>
      <c r="SFR108" s="531"/>
      <c r="SFS108" s="530"/>
      <c r="SFT108" s="531"/>
      <c r="SFU108" s="530"/>
      <c r="SFV108" s="531"/>
      <c r="SFW108" s="530"/>
      <c r="SFX108" s="531"/>
      <c r="SFY108" s="530"/>
      <c r="SFZ108" s="531"/>
      <c r="SGA108" s="530"/>
      <c r="SGB108" s="531"/>
      <c r="SGC108" s="530"/>
      <c r="SGD108" s="531"/>
      <c r="SGE108" s="530"/>
      <c r="SGF108" s="531"/>
      <c r="SGG108" s="530"/>
      <c r="SGH108" s="531"/>
      <c r="SGI108" s="530"/>
      <c r="SGJ108" s="531"/>
      <c r="SGK108" s="530"/>
      <c r="SGL108" s="531"/>
      <c r="SGM108" s="530"/>
      <c r="SGN108" s="531"/>
      <c r="SGO108" s="530"/>
      <c r="SGP108" s="531"/>
      <c r="SGQ108" s="530"/>
      <c r="SGR108" s="531"/>
      <c r="SGS108" s="530"/>
      <c r="SGT108" s="531"/>
      <c r="SGU108" s="530"/>
      <c r="SGV108" s="531"/>
      <c r="SGW108" s="530"/>
      <c r="SGX108" s="531"/>
      <c r="SGY108" s="530"/>
      <c r="SGZ108" s="531"/>
      <c r="SHA108" s="530"/>
      <c r="SHB108" s="531"/>
      <c r="SHC108" s="530"/>
      <c r="SHD108" s="531"/>
      <c r="SHE108" s="530"/>
      <c r="SHF108" s="531"/>
      <c r="SHG108" s="530"/>
      <c r="SHH108" s="531"/>
      <c r="SHI108" s="530"/>
      <c r="SHJ108" s="531"/>
      <c r="SHK108" s="530"/>
      <c r="SHL108" s="531"/>
      <c r="SHM108" s="530"/>
      <c r="SHN108" s="531"/>
      <c r="SHO108" s="530"/>
      <c r="SHP108" s="531"/>
      <c r="SHQ108" s="530"/>
      <c r="SHR108" s="531"/>
      <c r="SHS108" s="530"/>
      <c r="SHT108" s="531"/>
      <c r="SHU108" s="530"/>
      <c r="SHV108" s="531"/>
      <c r="SHW108" s="530"/>
      <c r="SHX108" s="531"/>
      <c r="SHY108" s="530"/>
      <c r="SHZ108" s="531"/>
      <c r="SIA108" s="530"/>
      <c r="SIB108" s="531"/>
      <c r="SIC108" s="530"/>
      <c r="SID108" s="531"/>
      <c r="SIE108" s="530"/>
      <c r="SIF108" s="531"/>
      <c r="SIG108" s="530"/>
      <c r="SIH108" s="531"/>
      <c r="SII108" s="530"/>
      <c r="SIJ108" s="531"/>
      <c r="SIK108" s="530"/>
      <c r="SIL108" s="531"/>
      <c r="SIM108" s="530"/>
      <c r="SIN108" s="531"/>
      <c r="SIO108" s="530"/>
      <c r="SIP108" s="531"/>
      <c r="SIQ108" s="530"/>
      <c r="SIR108" s="531"/>
      <c r="SIS108" s="530"/>
      <c r="SIT108" s="531"/>
      <c r="SIU108" s="530"/>
      <c r="SIV108" s="531"/>
      <c r="SIW108" s="530"/>
      <c r="SIX108" s="531"/>
      <c r="SIY108" s="530"/>
      <c r="SIZ108" s="531"/>
      <c r="SJA108" s="530"/>
      <c r="SJB108" s="531"/>
      <c r="SJC108" s="530"/>
      <c r="SJD108" s="531"/>
      <c r="SJE108" s="530"/>
      <c r="SJF108" s="531"/>
      <c r="SJG108" s="530"/>
      <c r="SJH108" s="531"/>
      <c r="SJI108" s="530"/>
      <c r="SJJ108" s="531"/>
      <c r="SJK108" s="530"/>
      <c r="SJL108" s="531"/>
      <c r="SJM108" s="530"/>
      <c r="SJN108" s="531"/>
      <c r="SJO108" s="530"/>
      <c r="SJP108" s="531"/>
      <c r="SJQ108" s="530"/>
      <c r="SJR108" s="531"/>
      <c r="SJS108" s="530"/>
      <c r="SJT108" s="531"/>
      <c r="SJU108" s="530"/>
      <c r="SJV108" s="531"/>
      <c r="SJW108" s="530"/>
      <c r="SJX108" s="531"/>
      <c r="SJY108" s="530"/>
      <c r="SJZ108" s="531"/>
      <c r="SKA108" s="530"/>
      <c r="SKB108" s="531"/>
      <c r="SKC108" s="530"/>
      <c r="SKD108" s="531"/>
      <c r="SKE108" s="530"/>
      <c r="SKF108" s="531"/>
      <c r="SKG108" s="530"/>
      <c r="SKH108" s="531"/>
      <c r="SKI108" s="530"/>
      <c r="SKJ108" s="531"/>
      <c r="SKK108" s="530"/>
      <c r="SKL108" s="531"/>
      <c r="SKM108" s="530"/>
      <c r="SKN108" s="531"/>
      <c r="SKO108" s="530"/>
      <c r="SKP108" s="531"/>
      <c r="SKQ108" s="530"/>
      <c r="SKR108" s="531"/>
      <c r="SKS108" s="530"/>
      <c r="SKT108" s="531"/>
      <c r="SKU108" s="530"/>
      <c r="SKV108" s="531"/>
      <c r="SKW108" s="530"/>
      <c r="SKX108" s="531"/>
      <c r="SKY108" s="530"/>
      <c r="SKZ108" s="531"/>
      <c r="SLA108" s="530"/>
      <c r="SLB108" s="531"/>
      <c r="SLC108" s="530"/>
      <c r="SLD108" s="531"/>
      <c r="SLE108" s="530"/>
      <c r="SLF108" s="531"/>
      <c r="SLG108" s="530"/>
      <c r="SLH108" s="531"/>
      <c r="SLI108" s="530"/>
      <c r="SLJ108" s="531"/>
      <c r="SLK108" s="530"/>
      <c r="SLL108" s="531"/>
      <c r="SLM108" s="530"/>
      <c r="SLN108" s="531"/>
      <c r="SLO108" s="530"/>
      <c r="SLP108" s="531"/>
      <c r="SLQ108" s="530"/>
      <c r="SLR108" s="531"/>
      <c r="SLS108" s="530"/>
      <c r="SLT108" s="531"/>
      <c r="SLU108" s="530"/>
      <c r="SLV108" s="531"/>
      <c r="SLW108" s="530"/>
      <c r="SLX108" s="531"/>
      <c r="SLY108" s="530"/>
      <c r="SLZ108" s="531"/>
      <c r="SMA108" s="530"/>
      <c r="SMB108" s="531"/>
      <c r="SMC108" s="530"/>
      <c r="SMD108" s="531"/>
      <c r="SME108" s="530"/>
      <c r="SMF108" s="531"/>
      <c r="SMG108" s="530"/>
      <c r="SMH108" s="531"/>
      <c r="SMI108" s="530"/>
      <c r="SMJ108" s="531"/>
      <c r="SMK108" s="530"/>
      <c r="SML108" s="531"/>
      <c r="SMM108" s="530"/>
      <c r="SMN108" s="531"/>
      <c r="SMO108" s="530"/>
      <c r="SMP108" s="531"/>
      <c r="SMQ108" s="530"/>
      <c r="SMR108" s="531"/>
      <c r="SMS108" s="530"/>
      <c r="SMT108" s="531"/>
      <c r="SMU108" s="530"/>
      <c r="SMV108" s="531"/>
      <c r="SMW108" s="530"/>
      <c r="SMX108" s="531"/>
      <c r="SMY108" s="530"/>
      <c r="SMZ108" s="531"/>
      <c r="SNA108" s="530"/>
      <c r="SNB108" s="531"/>
      <c r="SNC108" s="530"/>
      <c r="SND108" s="531"/>
      <c r="SNE108" s="530"/>
      <c r="SNF108" s="531"/>
      <c r="SNG108" s="530"/>
      <c r="SNH108" s="531"/>
      <c r="SNI108" s="530"/>
      <c r="SNJ108" s="531"/>
      <c r="SNK108" s="530"/>
      <c r="SNL108" s="531"/>
      <c r="SNM108" s="530"/>
      <c r="SNN108" s="531"/>
      <c r="SNO108" s="530"/>
      <c r="SNP108" s="531"/>
      <c r="SNQ108" s="530"/>
      <c r="SNR108" s="531"/>
      <c r="SNS108" s="530"/>
      <c r="SNT108" s="531"/>
      <c r="SNU108" s="530"/>
      <c r="SNV108" s="531"/>
      <c r="SNW108" s="530"/>
      <c r="SNX108" s="531"/>
      <c r="SNY108" s="530"/>
      <c r="SNZ108" s="531"/>
      <c r="SOA108" s="530"/>
      <c r="SOB108" s="531"/>
      <c r="SOC108" s="530"/>
      <c r="SOD108" s="531"/>
      <c r="SOE108" s="530"/>
      <c r="SOF108" s="531"/>
      <c r="SOG108" s="530"/>
      <c r="SOH108" s="531"/>
      <c r="SOI108" s="530"/>
      <c r="SOJ108" s="531"/>
      <c r="SOK108" s="530"/>
      <c r="SOL108" s="531"/>
      <c r="SOM108" s="530"/>
      <c r="SON108" s="531"/>
      <c r="SOO108" s="530"/>
      <c r="SOP108" s="531"/>
      <c r="SOQ108" s="530"/>
      <c r="SOR108" s="531"/>
      <c r="SOS108" s="530"/>
      <c r="SOT108" s="531"/>
      <c r="SOU108" s="530"/>
      <c r="SOV108" s="531"/>
      <c r="SOW108" s="530"/>
      <c r="SOX108" s="531"/>
      <c r="SOY108" s="530"/>
      <c r="SOZ108" s="531"/>
      <c r="SPA108" s="530"/>
      <c r="SPB108" s="531"/>
      <c r="SPC108" s="530"/>
      <c r="SPD108" s="531"/>
      <c r="SPE108" s="530"/>
      <c r="SPF108" s="531"/>
      <c r="SPG108" s="530"/>
      <c r="SPH108" s="531"/>
      <c r="SPI108" s="530"/>
      <c r="SPJ108" s="531"/>
      <c r="SPK108" s="530"/>
      <c r="SPL108" s="531"/>
      <c r="SPM108" s="530"/>
      <c r="SPN108" s="531"/>
      <c r="SPO108" s="530"/>
      <c r="SPP108" s="531"/>
      <c r="SPQ108" s="530"/>
      <c r="SPR108" s="531"/>
      <c r="SPS108" s="530"/>
      <c r="SPT108" s="531"/>
      <c r="SPU108" s="530"/>
      <c r="SPV108" s="531"/>
      <c r="SPW108" s="530"/>
      <c r="SPX108" s="531"/>
      <c r="SPY108" s="530"/>
      <c r="SPZ108" s="531"/>
      <c r="SQA108" s="530"/>
      <c r="SQB108" s="531"/>
      <c r="SQC108" s="530"/>
      <c r="SQD108" s="531"/>
      <c r="SQE108" s="530"/>
      <c r="SQF108" s="531"/>
      <c r="SQG108" s="530"/>
      <c r="SQH108" s="531"/>
      <c r="SQI108" s="530"/>
      <c r="SQJ108" s="531"/>
      <c r="SQK108" s="530"/>
      <c r="SQL108" s="531"/>
      <c r="SQM108" s="530"/>
      <c r="SQN108" s="531"/>
      <c r="SQO108" s="530"/>
      <c r="SQP108" s="531"/>
      <c r="SQQ108" s="530"/>
      <c r="SQR108" s="531"/>
      <c r="SQS108" s="530"/>
      <c r="SQT108" s="531"/>
      <c r="SQU108" s="530"/>
      <c r="SQV108" s="531"/>
      <c r="SQW108" s="530"/>
      <c r="SQX108" s="531"/>
      <c r="SQY108" s="530"/>
      <c r="SQZ108" s="531"/>
      <c r="SRA108" s="530"/>
      <c r="SRB108" s="531"/>
      <c r="SRC108" s="530"/>
      <c r="SRD108" s="531"/>
      <c r="SRE108" s="530"/>
      <c r="SRF108" s="531"/>
      <c r="SRG108" s="530"/>
      <c r="SRH108" s="531"/>
      <c r="SRI108" s="530"/>
      <c r="SRJ108" s="531"/>
      <c r="SRK108" s="530"/>
      <c r="SRL108" s="531"/>
      <c r="SRM108" s="530"/>
      <c r="SRN108" s="531"/>
      <c r="SRO108" s="530"/>
      <c r="SRP108" s="531"/>
      <c r="SRQ108" s="530"/>
      <c r="SRR108" s="531"/>
      <c r="SRS108" s="530"/>
      <c r="SRT108" s="531"/>
      <c r="SRU108" s="530"/>
      <c r="SRV108" s="531"/>
      <c r="SRW108" s="530"/>
      <c r="SRX108" s="531"/>
      <c r="SRY108" s="530"/>
      <c r="SRZ108" s="531"/>
      <c r="SSA108" s="530"/>
      <c r="SSB108" s="531"/>
      <c r="SSC108" s="530"/>
      <c r="SSD108" s="531"/>
      <c r="SSE108" s="530"/>
      <c r="SSF108" s="531"/>
      <c r="SSG108" s="530"/>
      <c r="SSH108" s="531"/>
      <c r="SSI108" s="530"/>
      <c r="SSJ108" s="531"/>
      <c r="SSK108" s="530"/>
      <c r="SSL108" s="531"/>
      <c r="SSM108" s="530"/>
      <c r="SSN108" s="531"/>
      <c r="SSO108" s="530"/>
      <c r="SSP108" s="531"/>
      <c r="SSQ108" s="530"/>
      <c r="SSR108" s="531"/>
      <c r="SSS108" s="530"/>
      <c r="SST108" s="531"/>
      <c r="SSU108" s="530"/>
      <c r="SSV108" s="531"/>
      <c r="SSW108" s="530"/>
      <c r="SSX108" s="531"/>
      <c r="SSY108" s="530"/>
      <c r="SSZ108" s="531"/>
      <c r="STA108" s="530"/>
      <c r="STB108" s="531"/>
      <c r="STC108" s="530"/>
      <c r="STD108" s="531"/>
      <c r="STE108" s="530"/>
      <c r="STF108" s="531"/>
      <c r="STG108" s="530"/>
      <c r="STH108" s="531"/>
      <c r="STI108" s="530"/>
      <c r="STJ108" s="531"/>
      <c r="STK108" s="530"/>
      <c r="STL108" s="531"/>
      <c r="STM108" s="530"/>
      <c r="STN108" s="531"/>
      <c r="STO108" s="530"/>
      <c r="STP108" s="531"/>
      <c r="STQ108" s="530"/>
      <c r="STR108" s="531"/>
      <c r="STS108" s="530"/>
      <c r="STT108" s="531"/>
      <c r="STU108" s="530"/>
      <c r="STV108" s="531"/>
      <c r="STW108" s="530"/>
      <c r="STX108" s="531"/>
      <c r="STY108" s="530"/>
      <c r="STZ108" s="531"/>
      <c r="SUA108" s="530"/>
      <c r="SUB108" s="531"/>
      <c r="SUC108" s="530"/>
      <c r="SUD108" s="531"/>
      <c r="SUE108" s="530"/>
      <c r="SUF108" s="531"/>
      <c r="SUG108" s="530"/>
      <c r="SUH108" s="531"/>
      <c r="SUI108" s="530"/>
      <c r="SUJ108" s="531"/>
      <c r="SUK108" s="530"/>
      <c r="SUL108" s="531"/>
      <c r="SUM108" s="530"/>
      <c r="SUN108" s="531"/>
      <c r="SUO108" s="530"/>
      <c r="SUP108" s="531"/>
      <c r="SUQ108" s="530"/>
      <c r="SUR108" s="531"/>
      <c r="SUS108" s="530"/>
      <c r="SUT108" s="531"/>
      <c r="SUU108" s="530"/>
      <c r="SUV108" s="531"/>
      <c r="SUW108" s="530"/>
      <c r="SUX108" s="531"/>
      <c r="SUY108" s="530"/>
      <c r="SUZ108" s="531"/>
      <c r="SVA108" s="530"/>
      <c r="SVB108" s="531"/>
      <c r="SVC108" s="530"/>
      <c r="SVD108" s="531"/>
      <c r="SVE108" s="530"/>
      <c r="SVF108" s="531"/>
      <c r="SVG108" s="530"/>
      <c r="SVH108" s="531"/>
      <c r="SVI108" s="530"/>
      <c r="SVJ108" s="531"/>
      <c r="SVK108" s="530"/>
      <c r="SVL108" s="531"/>
      <c r="SVM108" s="530"/>
      <c r="SVN108" s="531"/>
      <c r="SVO108" s="530"/>
      <c r="SVP108" s="531"/>
      <c r="SVQ108" s="530"/>
      <c r="SVR108" s="531"/>
      <c r="SVS108" s="530"/>
      <c r="SVT108" s="531"/>
      <c r="SVU108" s="530"/>
      <c r="SVV108" s="531"/>
      <c r="SVW108" s="530"/>
      <c r="SVX108" s="531"/>
      <c r="SVY108" s="530"/>
      <c r="SVZ108" s="531"/>
      <c r="SWA108" s="530"/>
      <c r="SWB108" s="531"/>
      <c r="SWC108" s="530"/>
      <c r="SWD108" s="531"/>
      <c r="SWE108" s="530"/>
      <c r="SWF108" s="531"/>
      <c r="SWG108" s="530"/>
      <c r="SWH108" s="531"/>
      <c r="SWI108" s="530"/>
      <c r="SWJ108" s="531"/>
      <c r="SWK108" s="530"/>
      <c r="SWL108" s="531"/>
      <c r="SWM108" s="530"/>
      <c r="SWN108" s="531"/>
      <c r="SWO108" s="530"/>
      <c r="SWP108" s="531"/>
      <c r="SWQ108" s="530"/>
      <c r="SWR108" s="531"/>
      <c r="SWS108" s="530"/>
      <c r="SWT108" s="531"/>
      <c r="SWU108" s="530"/>
      <c r="SWV108" s="531"/>
      <c r="SWW108" s="530"/>
      <c r="SWX108" s="531"/>
      <c r="SWY108" s="530"/>
      <c r="SWZ108" s="531"/>
      <c r="SXA108" s="530"/>
      <c r="SXB108" s="531"/>
      <c r="SXC108" s="530"/>
      <c r="SXD108" s="531"/>
      <c r="SXE108" s="530"/>
      <c r="SXF108" s="531"/>
      <c r="SXG108" s="530"/>
      <c r="SXH108" s="531"/>
      <c r="SXI108" s="530"/>
      <c r="SXJ108" s="531"/>
      <c r="SXK108" s="530"/>
      <c r="SXL108" s="531"/>
      <c r="SXM108" s="530"/>
      <c r="SXN108" s="531"/>
      <c r="SXO108" s="530"/>
      <c r="SXP108" s="531"/>
      <c r="SXQ108" s="530"/>
      <c r="SXR108" s="531"/>
      <c r="SXS108" s="530"/>
      <c r="SXT108" s="531"/>
      <c r="SXU108" s="530"/>
      <c r="SXV108" s="531"/>
      <c r="SXW108" s="530"/>
      <c r="SXX108" s="531"/>
      <c r="SXY108" s="530"/>
      <c r="SXZ108" s="531"/>
      <c r="SYA108" s="530"/>
      <c r="SYB108" s="531"/>
      <c r="SYC108" s="530"/>
      <c r="SYD108" s="531"/>
      <c r="SYE108" s="530"/>
      <c r="SYF108" s="531"/>
      <c r="SYG108" s="530"/>
      <c r="SYH108" s="531"/>
      <c r="SYI108" s="530"/>
      <c r="SYJ108" s="531"/>
      <c r="SYK108" s="530"/>
      <c r="SYL108" s="531"/>
      <c r="SYM108" s="530"/>
      <c r="SYN108" s="531"/>
      <c r="SYO108" s="530"/>
      <c r="SYP108" s="531"/>
      <c r="SYQ108" s="530"/>
      <c r="SYR108" s="531"/>
      <c r="SYS108" s="530"/>
      <c r="SYT108" s="531"/>
      <c r="SYU108" s="530"/>
      <c r="SYV108" s="531"/>
      <c r="SYW108" s="530"/>
      <c r="SYX108" s="531"/>
      <c r="SYY108" s="530"/>
      <c r="SYZ108" s="531"/>
      <c r="SZA108" s="530"/>
      <c r="SZB108" s="531"/>
      <c r="SZC108" s="530"/>
      <c r="SZD108" s="531"/>
      <c r="SZE108" s="530"/>
      <c r="SZF108" s="531"/>
      <c r="SZG108" s="530"/>
      <c r="SZH108" s="531"/>
      <c r="SZI108" s="530"/>
      <c r="SZJ108" s="531"/>
      <c r="SZK108" s="530"/>
      <c r="SZL108" s="531"/>
      <c r="SZM108" s="530"/>
      <c r="SZN108" s="531"/>
      <c r="SZO108" s="530"/>
      <c r="SZP108" s="531"/>
      <c r="SZQ108" s="530"/>
      <c r="SZR108" s="531"/>
      <c r="SZS108" s="530"/>
      <c r="SZT108" s="531"/>
      <c r="SZU108" s="530"/>
      <c r="SZV108" s="531"/>
      <c r="SZW108" s="530"/>
      <c r="SZX108" s="531"/>
      <c r="SZY108" s="530"/>
      <c r="SZZ108" s="531"/>
      <c r="TAA108" s="530"/>
      <c r="TAB108" s="531"/>
      <c r="TAC108" s="530"/>
      <c r="TAD108" s="531"/>
      <c r="TAE108" s="530"/>
      <c r="TAF108" s="531"/>
      <c r="TAG108" s="530"/>
      <c r="TAH108" s="531"/>
      <c r="TAI108" s="530"/>
      <c r="TAJ108" s="531"/>
      <c r="TAK108" s="530"/>
      <c r="TAL108" s="531"/>
      <c r="TAM108" s="530"/>
      <c r="TAN108" s="531"/>
      <c r="TAO108" s="530"/>
      <c r="TAP108" s="531"/>
      <c r="TAQ108" s="530"/>
      <c r="TAR108" s="531"/>
      <c r="TAS108" s="530"/>
      <c r="TAT108" s="531"/>
      <c r="TAU108" s="530"/>
      <c r="TAV108" s="531"/>
      <c r="TAW108" s="530"/>
      <c r="TAX108" s="531"/>
      <c r="TAY108" s="530"/>
      <c r="TAZ108" s="531"/>
      <c r="TBA108" s="530"/>
      <c r="TBB108" s="531"/>
      <c r="TBC108" s="530"/>
      <c r="TBD108" s="531"/>
      <c r="TBE108" s="530"/>
      <c r="TBF108" s="531"/>
      <c r="TBG108" s="530"/>
      <c r="TBH108" s="531"/>
      <c r="TBI108" s="530"/>
      <c r="TBJ108" s="531"/>
      <c r="TBK108" s="530"/>
      <c r="TBL108" s="531"/>
      <c r="TBM108" s="530"/>
      <c r="TBN108" s="531"/>
      <c r="TBO108" s="530"/>
      <c r="TBP108" s="531"/>
      <c r="TBQ108" s="530"/>
      <c r="TBR108" s="531"/>
      <c r="TBS108" s="530"/>
      <c r="TBT108" s="531"/>
      <c r="TBU108" s="530"/>
      <c r="TBV108" s="531"/>
      <c r="TBW108" s="530"/>
      <c r="TBX108" s="531"/>
      <c r="TBY108" s="530"/>
      <c r="TBZ108" s="531"/>
      <c r="TCA108" s="530"/>
      <c r="TCB108" s="531"/>
      <c r="TCC108" s="530"/>
      <c r="TCD108" s="531"/>
      <c r="TCE108" s="530"/>
      <c r="TCF108" s="531"/>
      <c r="TCG108" s="530"/>
      <c r="TCH108" s="531"/>
      <c r="TCI108" s="530"/>
      <c r="TCJ108" s="531"/>
      <c r="TCK108" s="530"/>
      <c r="TCL108" s="531"/>
      <c r="TCM108" s="530"/>
      <c r="TCN108" s="531"/>
      <c r="TCO108" s="530"/>
      <c r="TCP108" s="531"/>
      <c r="TCQ108" s="530"/>
      <c r="TCR108" s="531"/>
      <c r="TCS108" s="530"/>
      <c r="TCT108" s="531"/>
      <c r="TCU108" s="530"/>
      <c r="TCV108" s="531"/>
      <c r="TCW108" s="530"/>
      <c r="TCX108" s="531"/>
      <c r="TCY108" s="530"/>
      <c r="TCZ108" s="531"/>
      <c r="TDA108" s="530"/>
      <c r="TDB108" s="531"/>
      <c r="TDC108" s="530"/>
      <c r="TDD108" s="531"/>
      <c r="TDE108" s="530"/>
      <c r="TDF108" s="531"/>
      <c r="TDG108" s="530"/>
      <c r="TDH108" s="531"/>
      <c r="TDI108" s="530"/>
      <c r="TDJ108" s="531"/>
      <c r="TDK108" s="530"/>
      <c r="TDL108" s="531"/>
      <c r="TDM108" s="530"/>
      <c r="TDN108" s="531"/>
      <c r="TDO108" s="530"/>
      <c r="TDP108" s="531"/>
      <c r="TDQ108" s="530"/>
      <c r="TDR108" s="531"/>
      <c r="TDS108" s="530"/>
      <c r="TDT108" s="531"/>
      <c r="TDU108" s="530"/>
      <c r="TDV108" s="531"/>
      <c r="TDW108" s="530"/>
      <c r="TDX108" s="531"/>
      <c r="TDY108" s="530"/>
      <c r="TDZ108" s="531"/>
      <c r="TEA108" s="530"/>
      <c r="TEB108" s="531"/>
      <c r="TEC108" s="530"/>
      <c r="TED108" s="531"/>
      <c r="TEE108" s="530"/>
      <c r="TEF108" s="531"/>
      <c r="TEG108" s="530"/>
      <c r="TEH108" s="531"/>
      <c r="TEI108" s="530"/>
      <c r="TEJ108" s="531"/>
      <c r="TEK108" s="530"/>
      <c r="TEL108" s="531"/>
      <c r="TEM108" s="530"/>
      <c r="TEN108" s="531"/>
      <c r="TEO108" s="530"/>
      <c r="TEP108" s="531"/>
      <c r="TEQ108" s="530"/>
      <c r="TER108" s="531"/>
      <c r="TES108" s="530"/>
      <c r="TET108" s="531"/>
      <c r="TEU108" s="530"/>
      <c r="TEV108" s="531"/>
      <c r="TEW108" s="530"/>
      <c r="TEX108" s="531"/>
      <c r="TEY108" s="530"/>
      <c r="TEZ108" s="531"/>
      <c r="TFA108" s="530"/>
      <c r="TFB108" s="531"/>
      <c r="TFC108" s="530"/>
      <c r="TFD108" s="531"/>
      <c r="TFE108" s="530"/>
      <c r="TFF108" s="531"/>
      <c r="TFG108" s="530"/>
      <c r="TFH108" s="531"/>
      <c r="TFI108" s="530"/>
      <c r="TFJ108" s="531"/>
      <c r="TFK108" s="530"/>
      <c r="TFL108" s="531"/>
      <c r="TFM108" s="530"/>
      <c r="TFN108" s="531"/>
      <c r="TFO108" s="530"/>
      <c r="TFP108" s="531"/>
      <c r="TFQ108" s="530"/>
      <c r="TFR108" s="531"/>
      <c r="TFS108" s="530"/>
      <c r="TFT108" s="531"/>
      <c r="TFU108" s="530"/>
      <c r="TFV108" s="531"/>
      <c r="TFW108" s="530"/>
      <c r="TFX108" s="531"/>
      <c r="TFY108" s="530"/>
      <c r="TFZ108" s="531"/>
      <c r="TGA108" s="530"/>
      <c r="TGB108" s="531"/>
      <c r="TGC108" s="530"/>
      <c r="TGD108" s="531"/>
      <c r="TGE108" s="530"/>
      <c r="TGF108" s="531"/>
      <c r="TGG108" s="530"/>
      <c r="TGH108" s="531"/>
      <c r="TGI108" s="530"/>
      <c r="TGJ108" s="531"/>
      <c r="TGK108" s="530"/>
      <c r="TGL108" s="531"/>
      <c r="TGM108" s="530"/>
      <c r="TGN108" s="531"/>
      <c r="TGO108" s="530"/>
      <c r="TGP108" s="531"/>
      <c r="TGQ108" s="530"/>
      <c r="TGR108" s="531"/>
      <c r="TGS108" s="530"/>
      <c r="TGT108" s="531"/>
      <c r="TGU108" s="530"/>
      <c r="TGV108" s="531"/>
      <c r="TGW108" s="530"/>
      <c r="TGX108" s="531"/>
      <c r="TGY108" s="530"/>
      <c r="TGZ108" s="531"/>
      <c r="THA108" s="530"/>
      <c r="THB108" s="531"/>
      <c r="THC108" s="530"/>
      <c r="THD108" s="531"/>
      <c r="THE108" s="530"/>
      <c r="THF108" s="531"/>
      <c r="THG108" s="530"/>
      <c r="THH108" s="531"/>
      <c r="THI108" s="530"/>
      <c r="THJ108" s="531"/>
      <c r="THK108" s="530"/>
      <c r="THL108" s="531"/>
      <c r="THM108" s="530"/>
      <c r="THN108" s="531"/>
      <c r="THO108" s="530"/>
      <c r="THP108" s="531"/>
      <c r="THQ108" s="530"/>
      <c r="THR108" s="531"/>
      <c r="THS108" s="530"/>
      <c r="THT108" s="531"/>
      <c r="THU108" s="530"/>
      <c r="THV108" s="531"/>
      <c r="THW108" s="530"/>
      <c r="THX108" s="531"/>
      <c r="THY108" s="530"/>
      <c r="THZ108" s="531"/>
      <c r="TIA108" s="530"/>
      <c r="TIB108" s="531"/>
      <c r="TIC108" s="530"/>
      <c r="TID108" s="531"/>
      <c r="TIE108" s="530"/>
      <c r="TIF108" s="531"/>
      <c r="TIG108" s="530"/>
      <c r="TIH108" s="531"/>
      <c r="TII108" s="530"/>
      <c r="TIJ108" s="531"/>
      <c r="TIK108" s="530"/>
      <c r="TIL108" s="531"/>
      <c r="TIM108" s="530"/>
      <c r="TIN108" s="531"/>
      <c r="TIO108" s="530"/>
      <c r="TIP108" s="531"/>
      <c r="TIQ108" s="530"/>
      <c r="TIR108" s="531"/>
      <c r="TIS108" s="530"/>
      <c r="TIT108" s="531"/>
      <c r="TIU108" s="530"/>
      <c r="TIV108" s="531"/>
      <c r="TIW108" s="530"/>
      <c r="TIX108" s="531"/>
      <c r="TIY108" s="530"/>
      <c r="TIZ108" s="531"/>
      <c r="TJA108" s="530"/>
      <c r="TJB108" s="531"/>
      <c r="TJC108" s="530"/>
      <c r="TJD108" s="531"/>
      <c r="TJE108" s="530"/>
      <c r="TJF108" s="531"/>
      <c r="TJG108" s="530"/>
      <c r="TJH108" s="531"/>
      <c r="TJI108" s="530"/>
      <c r="TJJ108" s="531"/>
      <c r="TJK108" s="530"/>
      <c r="TJL108" s="531"/>
      <c r="TJM108" s="530"/>
      <c r="TJN108" s="531"/>
      <c r="TJO108" s="530"/>
      <c r="TJP108" s="531"/>
      <c r="TJQ108" s="530"/>
      <c r="TJR108" s="531"/>
      <c r="TJS108" s="530"/>
      <c r="TJT108" s="531"/>
      <c r="TJU108" s="530"/>
      <c r="TJV108" s="531"/>
      <c r="TJW108" s="530"/>
      <c r="TJX108" s="531"/>
      <c r="TJY108" s="530"/>
      <c r="TJZ108" s="531"/>
      <c r="TKA108" s="530"/>
      <c r="TKB108" s="531"/>
      <c r="TKC108" s="530"/>
      <c r="TKD108" s="531"/>
      <c r="TKE108" s="530"/>
      <c r="TKF108" s="531"/>
      <c r="TKG108" s="530"/>
      <c r="TKH108" s="531"/>
      <c r="TKI108" s="530"/>
      <c r="TKJ108" s="531"/>
      <c r="TKK108" s="530"/>
      <c r="TKL108" s="531"/>
      <c r="TKM108" s="530"/>
      <c r="TKN108" s="531"/>
      <c r="TKO108" s="530"/>
      <c r="TKP108" s="531"/>
      <c r="TKQ108" s="530"/>
      <c r="TKR108" s="531"/>
      <c r="TKS108" s="530"/>
      <c r="TKT108" s="531"/>
      <c r="TKU108" s="530"/>
      <c r="TKV108" s="531"/>
      <c r="TKW108" s="530"/>
      <c r="TKX108" s="531"/>
      <c r="TKY108" s="530"/>
      <c r="TKZ108" s="531"/>
      <c r="TLA108" s="530"/>
      <c r="TLB108" s="531"/>
      <c r="TLC108" s="530"/>
      <c r="TLD108" s="531"/>
      <c r="TLE108" s="530"/>
      <c r="TLF108" s="531"/>
      <c r="TLG108" s="530"/>
      <c r="TLH108" s="531"/>
      <c r="TLI108" s="530"/>
      <c r="TLJ108" s="531"/>
      <c r="TLK108" s="530"/>
      <c r="TLL108" s="531"/>
      <c r="TLM108" s="530"/>
      <c r="TLN108" s="531"/>
      <c r="TLO108" s="530"/>
      <c r="TLP108" s="531"/>
      <c r="TLQ108" s="530"/>
      <c r="TLR108" s="531"/>
      <c r="TLS108" s="530"/>
      <c r="TLT108" s="531"/>
      <c r="TLU108" s="530"/>
      <c r="TLV108" s="531"/>
      <c r="TLW108" s="530"/>
      <c r="TLX108" s="531"/>
      <c r="TLY108" s="530"/>
      <c r="TLZ108" s="531"/>
      <c r="TMA108" s="530"/>
      <c r="TMB108" s="531"/>
      <c r="TMC108" s="530"/>
      <c r="TMD108" s="531"/>
      <c r="TME108" s="530"/>
      <c r="TMF108" s="531"/>
      <c r="TMG108" s="530"/>
      <c r="TMH108" s="531"/>
      <c r="TMI108" s="530"/>
      <c r="TMJ108" s="531"/>
      <c r="TMK108" s="530"/>
      <c r="TML108" s="531"/>
      <c r="TMM108" s="530"/>
      <c r="TMN108" s="531"/>
      <c r="TMO108" s="530"/>
      <c r="TMP108" s="531"/>
      <c r="TMQ108" s="530"/>
      <c r="TMR108" s="531"/>
      <c r="TMS108" s="530"/>
      <c r="TMT108" s="531"/>
      <c r="TMU108" s="530"/>
      <c r="TMV108" s="531"/>
      <c r="TMW108" s="530"/>
      <c r="TMX108" s="531"/>
      <c r="TMY108" s="530"/>
      <c r="TMZ108" s="531"/>
      <c r="TNA108" s="530"/>
      <c r="TNB108" s="531"/>
      <c r="TNC108" s="530"/>
      <c r="TND108" s="531"/>
      <c r="TNE108" s="530"/>
      <c r="TNF108" s="531"/>
      <c r="TNG108" s="530"/>
      <c r="TNH108" s="531"/>
      <c r="TNI108" s="530"/>
      <c r="TNJ108" s="531"/>
      <c r="TNK108" s="530"/>
      <c r="TNL108" s="531"/>
      <c r="TNM108" s="530"/>
      <c r="TNN108" s="531"/>
      <c r="TNO108" s="530"/>
      <c r="TNP108" s="531"/>
      <c r="TNQ108" s="530"/>
      <c r="TNR108" s="531"/>
      <c r="TNS108" s="530"/>
      <c r="TNT108" s="531"/>
      <c r="TNU108" s="530"/>
      <c r="TNV108" s="531"/>
      <c r="TNW108" s="530"/>
      <c r="TNX108" s="531"/>
      <c r="TNY108" s="530"/>
      <c r="TNZ108" s="531"/>
      <c r="TOA108" s="530"/>
      <c r="TOB108" s="531"/>
      <c r="TOC108" s="530"/>
      <c r="TOD108" s="531"/>
      <c r="TOE108" s="530"/>
      <c r="TOF108" s="531"/>
      <c r="TOG108" s="530"/>
      <c r="TOH108" s="531"/>
      <c r="TOI108" s="530"/>
      <c r="TOJ108" s="531"/>
      <c r="TOK108" s="530"/>
      <c r="TOL108" s="531"/>
      <c r="TOM108" s="530"/>
      <c r="TON108" s="531"/>
      <c r="TOO108" s="530"/>
      <c r="TOP108" s="531"/>
      <c r="TOQ108" s="530"/>
      <c r="TOR108" s="531"/>
      <c r="TOS108" s="530"/>
      <c r="TOT108" s="531"/>
      <c r="TOU108" s="530"/>
      <c r="TOV108" s="531"/>
      <c r="TOW108" s="530"/>
      <c r="TOX108" s="531"/>
      <c r="TOY108" s="530"/>
      <c r="TOZ108" s="531"/>
      <c r="TPA108" s="530"/>
      <c r="TPB108" s="531"/>
      <c r="TPC108" s="530"/>
      <c r="TPD108" s="531"/>
      <c r="TPE108" s="530"/>
      <c r="TPF108" s="531"/>
      <c r="TPG108" s="530"/>
      <c r="TPH108" s="531"/>
      <c r="TPI108" s="530"/>
      <c r="TPJ108" s="531"/>
      <c r="TPK108" s="530"/>
      <c r="TPL108" s="531"/>
      <c r="TPM108" s="530"/>
      <c r="TPN108" s="531"/>
      <c r="TPO108" s="530"/>
      <c r="TPP108" s="531"/>
      <c r="TPQ108" s="530"/>
      <c r="TPR108" s="531"/>
      <c r="TPS108" s="530"/>
      <c r="TPT108" s="531"/>
      <c r="TPU108" s="530"/>
      <c r="TPV108" s="531"/>
      <c r="TPW108" s="530"/>
      <c r="TPX108" s="531"/>
      <c r="TPY108" s="530"/>
      <c r="TPZ108" s="531"/>
      <c r="TQA108" s="530"/>
      <c r="TQB108" s="531"/>
      <c r="TQC108" s="530"/>
      <c r="TQD108" s="531"/>
      <c r="TQE108" s="530"/>
      <c r="TQF108" s="531"/>
      <c r="TQG108" s="530"/>
      <c r="TQH108" s="531"/>
      <c r="TQI108" s="530"/>
      <c r="TQJ108" s="531"/>
      <c r="TQK108" s="530"/>
      <c r="TQL108" s="531"/>
      <c r="TQM108" s="530"/>
      <c r="TQN108" s="531"/>
      <c r="TQO108" s="530"/>
      <c r="TQP108" s="531"/>
      <c r="TQQ108" s="530"/>
      <c r="TQR108" s="531"/>
      <c r="TQS108" s="530"/>
      <c r="TQT108" s="531"/>
      <c r="TQU108" s="530"/>
      <c r="TQV108" s="531"/>
      <c r="TQW108" s="530"/>
      <c r="TQX108" s="531"/>
      <c r="TQY108" s="530"/>
      <c r="TQZ108" s="531"/>
      <c r="TRA108" s="530"/>
      <c r="TRB108" s="531"/>
      <c r="TRC108" s="530"/>
      <c r="TRD108" s="531"/>
      <c r="TRE108" s="530"/>
      <c r="TRF108" s="531"/>
      <c r="TRG108" s="530"/>
      <c r="TRH108" s="531"/>
      <c r="TRI108" s="530"/>
      <c r="TRJ108" s="531"/>
      <c r="TRK108" s="530"/>
      <c r="TRL108" s="531"/>
      <c r="TRM108" s="530"/>
      <c r="TRN108" s="531"/>
      <c r="TRO108" s="530"/>
      <c r="TRP108" s="531"/>
      <c r="TRQ108" s="530"/>
      <c r="TRR108" s="531"/>
      <c r="TRS108" s="530"/>
      <c r="TRT108" s="531"/>
      <c r="TRU108" s="530"/>
      <c r="TRV108" s="531"/>
      <c r="TRW108" s="530"/>
      <c r="TRX108" s="531"/>
      <c r="TRY108" s="530"/>
      <c r="TRZ108" s="531"/>
      <c r="TSA108" s="530"/>
      <c r="TSB108" s="531"/>
      <c r="TSC108" s="530"/>
      <c r="TSD108" s="531"/>
      <c r="TSE108" s="530"/>
      <c r="TSF108" s="531"/>
      <c r="TSG108" s="530"/>
      <c r="TSH108" s="531"/>
      <c r="TSI108" s="530"/>
      <c r="TSJ108" s="531"/>
      <c r="TSK108" s="530"/>
      <c r="TSL108" s="531"/>
      <c r="TSM108" s="530"/>
      <c r="TSN108" s="531"/>
      <c r="TSO108" s="530"/>
      <c r="TSP108" s="531"/>
      <c r="TSQ108" s="530"/>
      <c r="TSR108" s="531"/>
      <c r="TSS108" s="530"/>
      <c r="TST108" s="531"/>
      <c r="TSU108" s="530"/>
      <c r="TSV108" s="531"/>
      <c r="TSW108" s="530"/>
      <c r="TSX108" s="531"/>
      <c r="TSY108" s="530"/>
      <c r="TSZ108" s="531"/>
      <c r="TTA108" s="530"/>
      <c r="TTB108" s="531"/>
      <c r="TTC108" s="530"/>
      <c r="TTD108" s="531"/>
      <c r="TTE108" s="530"/>
      <c r="TTF108" s="531"/>
      <c r="TTG108" s="530"/>
      <c r="TTH108" s="531"/>
      <c r="TTI108" s="530"/>
      <c r="TTJ108" s="531"/>
      <c r="TTK108" s="530"/>
      <c r="TTL108" s="531"/>
      <c r="TTM108" s="530"/>
      <c r="TTN108" s="531"/>
      <c r="TTO108" s="530"/>
      <c r="TTP108" s="531"/>
      <c r="TTQ108" s="530"/>
      <c r="TTR108" s="531"/>
      <c r="TTS108" s="530"/>
      <c r="TTT108" s="531"/>
      <c r="TTU108" s="530"/>
      <c r="TTV108" s="531"/>
      <c r="TTW108" s="530"/>
      <c r="TTX108" s="531"/>
      <c r="TTY108" s="530"/>
      <c r="TTZ108" s="531"/>
      <c r="TUA108" s="530"/>
      <c r="TUB108" s="531"/>
      <c r="TUC108" s="530"/>
      <c r="TUD108" s="531"/>
      <c r="TUE108" s="530"/>
      <c r="TUF108" s="531"/>
      <c r="TUG108" s="530"/>
      <c r="TUH108" s="531"/>
      <c r="TUI108" s="530"/>
      <c r="TUJ108" s="531"/>
      <c r="TUK108" s="530"/>
      <c r="TUL108" s="531"/>
      <c r="TUM108" s="530"/>
      <c r="TUN108" s="531"/>
      <c r="TUO108" s="530"/>
      <c r="TUP108" s="531"/>
      <c r="TUQ108" s="530"/>
      <c r="TUR108" s="531"/>
      <c r="TUS108" s="530"/>
      <c r="TUT108" s="531"/>
      <c r="TUU108" s="530"/>
      <c r="TUV108" s="531"/>
      <c r="TUW108" s="530"/>
      <c r="TUX108" s="531"/>
      <c r="TUY108" s="530"/>
      <c r="TUZ108" s="531"/>
      <c r="TVA108" s="530"/>
      <c r="TVB108" s="531"/>
      <c r="TVC108" s="530"/>
      <c r="TVD108" s="531"/>
      <c r="TVE108" s="530"/>
      <c r="TVF108" s="531"/>
      <c r="TVG108" s="530"/>
      <c r="TVH108" s="531"/>
      <c r="TVI108" s="530"/>
      <c r="TVJ108" s="531"/>
      <c r="TVK108" s="530"/>
      <c r="TVL108" s="531"/>
      <c r="TVM108" s="530"/>
      <c r="TVN108" s="531"/>
      <c r="TVO108" s="530"/>
      <c r="TVP108" s="531"/>
      <c r="TVQ108" s="530"/>
      <c r="TVR108" s="531"/>
      <c r="TVS108" s="530"/>
      <c r="TVT108" s="531"/>
      <c r="TVU108" s="530"/>
      <c r="TVV108" s="531"/>
      <c r="TVW108" s="530"/>
      <c r="TVX108" s="531"/>
      <c r="TVY108" s="530"/>
      <c r="TVZ108" s="531"/>
      <c r="TWA108" s="530"/>
      <c r="TWB108" s="531"/>
      <c r="TWC108" s="530"/>
      <c r="TWD108" s="531"/>
      <c r="TWE108" s="530"/>
      <c r="TWF108" s="531"/>
      <c r="TWG108" s="530"/>
      <c r="TWH108" s="531"/>
      <c r="TWI108" s="530"/>
      <c r="TWJ108" s="531"/>
      <c r="TWK108" s="530"/>
      <c r="TWL108" s="531"/>
      <c r="TWM108" s="530"/>
      <c r="TWN108" s="531"/>
      <c r="TWO108" s="530"/>
      <c r="TWP108" s="531"/>
      <c r="TWQ108" s="530"/>
      <c r="TWR108" s="531"/>
      <c r="TWS108" s="530"/>
      <c r="TWT108" s="531"/>
      <c r="TWU108" s="530"/>
      <c r="TWV108" s="531"/>
      <c r="TWW108" s="530"/>
      <c r="TWX108" s="531"/>
      <c r="TWY108" s="530"/>
      <c r="TWZ108" s="531"/>
      <c r="TXA108" s="530"/>
      <c r="TXB108" s="531"/>
      <c r="TXC108" s="530"/>
      <c r="TXD108" s="531"/>
      <c r="TXE108" s="530"/>
      <c r="TXF108" s="531"/>
      <c r="TXG108" s="530"/>
      <c r="TXH108" s="531"/>
      <c r="TXI108" s="530"/>
      <c r="TXJ108" s="531"/>
      <c r="TXK108" s="530"/>
      <c r="TXL108" s="531"/>
      <c r="TXM108" s="530"/>
      <c r="TXN108" s="531"/>
      <c r="TXO108" s="530"/>
      <c r="TXP108" s="531"/>
      <c r="TXQ108" s="530"/>
      <c r="TXR108" s="531"/>
      <c r="TXS108" s="530"/>
      <c r="TXT108" s="531"/>
      <c r="TXU108" s="530"/>
      <c r="TXV108" s="531"/>
      <c r="TXW108" s="530"/>
      <c r="TXX108" s="531"/>
      <c r="TXY108" s="530"/>
      <c r="TXZ108" s="531"/>
      <c r="TYA108" s="530"/>
      <c r="TYB108" s="531"/>
      <c r="TYC108" s="530"/>
      <c r="TYD108" s="531"/>
      <c r="TYE108" s="530"/>
      <c r="TYF108" s="531"/>
      <c r="TYG108" s="530"/>
      <c r="TYH108" s="531"/>
      <c r="TYI108" s="530"/>
      <c r="TYJ108" s="531"/>
      <c r="TYK108" s="530"/>
      <c r="TYL108" s="531"/>
      <c r="TYM108" s="530"/>
      <c r="TYN108" s="531"/>
      <c r="TYO108" s="530"/>
      <c r="TYP108" s="531"/>
      <c r="TYQ108" s="530"/>
      <c r="TYR108" s="531"/>
      <c r="TYS108" s="530"/>
      <c r="TYT108" s="531"/>
      <c r="TYU108" s="530"/>
      <c r="TYV108" s="531"/>
      <c r="TYW108" s="530"/>
      <c r="TYX108" s="531"/>
      <c r="TYY108" s="530"/>
      <c r="TYZ108" s="531"/>
      <c r="TZA108" s="530"/>
      <c r="TZB108" s="531"/>
      <c r="TZC108" s="530"/>
      <c r="TZD108" s="531"/>
      <c r="TZE108" s="530"/>
      <c r="TZF108" s="531"/>
      <c r="TZG108" s="530"/>
      <c r="TZH108" s="531"/>
      <c r="TZI108" s="530"/>
      <c r="TZJ108" s="531"/>
      <c r="TZK108" s="530"/>
      <c r="TZL108" s="531"/>
      <c r="TZM108" s="530"/>
      <c r="TZN108" s="531"/>
      <c r="TZO108" s="530"/>
      <c r="TZP108" s="531"/>
      <c r="TZQ108" s="530"/>
      <c r="TZR108" s="531"/>
      <c r="TZS108" s="530"/>
      <c r="TZT108" s="531"/>
      <c r="TZU108" s="530"/>
      <c r="TZV108" s="531"/>
      <c r="TZW108" s="530"/>
      <c r="TZX108" s="531"/>
      <c r="TZY108" s="530"/>
      <c r="TZZ108" s="531"/>
      <c r="UAA108" s="530"/>
      <c r="UAB108" s="531"/>
      <c r="UAC108" s="530"/>
      <c r="UAD108" s="531"/>
      <c r="UAE108" s="530"/>
      <c r="UAF108" s="531"/>
      <c r="UAG108" s="530"/>
      <c r="UAH108" s="531"/>
      <c r="UAI108" s="530"/>
      <c r="UAJ108" s="531"/>
      <c r="UAK108" s="530"/>
      <c r="UAL108" s="531"/>
      <c r="UAM108" s="530"/>
      <c r="UAN108" s="531"/>
      <c r="UAO108" s="530"/>
      <c r="UAP108" s="531"/>
      <c r="UAQ108" s="530"/>
      <c r="UAR108" s="531"/>
      <c r="UAS108" s="530"/>
      <c r="UAT108" s="531"/>
      <c r="UAU108" s="530"/>
      <c r="UAV108" s="531"/>
      <c r="UAW108" s="530"/>
      <c r="UAX108" s="531"/>
      <c r="UAY108" s="530"/>
      <c r="UAZ108" s="531"/>
      <c r="UBA108" s="530"/>
      <c r="UBB108" s="531"/>
      <c r="UBC108" s="530"/>
      <c r="UBD108" s="531"/>
      <c r="UBE108" s="530"/>
      <c r="UBF108" s="531"/>
      <c r="UBG108" s="530"/>
      <c r="UBH108" s="531"/>
      <c r="UBI108" s="530"/>
      <c r="UBJ108" s="531"/>
      <c r="UBK108" s="530"/>
      <c r="UBL108" s="531"/>
      <c r="UBM108" s="530"/>
      <c r="UBN108" s="531"/>
      <c r="UBO108" s="530"/>
      <c r="UBP108" s="531"/>
      <c r="UBQ108" s="530"/>
      <c r="UBR108" s="531"/>
      <c r="UBS108" s="530"/>
      <c r="UBT108" s="531"/>
      <c r="UBU108" s="530"/>
      <c r="UBV108" s="531"/>
      <c r="UBW108" s="530"/>
      <c r="UBX108" s="531"/>
      <c r="UBY108" s="530"/>
      <c r="UBZ108" s="531"/>
      <c r="UCA108" s="530"/>
      <c r="UCB108" s="531"/>
      <c r="UCC108" s="530"/>
      <c r="UCD108" s="531"/>
      <c r="UCE108" s="530"/>
      <c r="UCF108" s="531"/>
      <c r="UCG108" s="530"/>
      <c r="UCH108" s="531"/>
      <c r="UCI108" s="530"/>
      <c r="UCJ108" s="531"/>
      <c r="UCK108" s="530"/>
      <c r="UCL108" s="531"/>
      <c r="UCM108" s="530"/>
      <c r="UCN108" s="531"/>
      <c r="UCO108" s="530"/>
      <c r="UCP108" s="531"/>
      <c r="UCQ108" s="530"/>
      <c r="UCR108" s="531"/>
      <c r="UCS108" s="530"/>
      <c r="UCT108" s="531"/>
      <c r="UCU108" s="530"/>
      <c r="UCV108" s="531"/>
      <c r="UCW108" s="530"/>
      <c r="UCX108" s="531"/>
      <c r="UCY108" s="530"/>
      <c r="UCZ108" s="531"/>
      <c r="UDA108" s="530"/>
      <c r="UDB108" s="531"/>
      <c r="UDC108" s="530"/>
      <c r="UDD108" s="531"/>
      <c r="UDE108" s="530"/>
      <c r="UDF108" s="531"/>
      <c r="UDG108" s="530"/>
      <c r="UDH108" s="531"/>
      <c r="UDI108" s="530"/>
      <c r="UDJ108" s="531"/>
      <c r="UDK108" s="530"/>
      <c r="UDL108" s="531"/>
      <c r="UDM108" s="530"/>
      <c r="UDN108" s="531"/>
      <c r="UDO108" s="530"/>
      <c r="UDP108" s="531"/>
      <c r="UDQ108" s="530"/>
      <c r="UDR108" s="531"/>
      <c r="UDS108" s="530"/>
      <c r="UDT108" s="531"/>
      <c r="UDU108" s="530"/>
      <c r="UDV108" s="531"/>
      <c r="UDW108" s="530"/>
      <c r="UDX108" s="531"/>
      <c r="UDY108" s="530"/>
      <c r="UDZ108" s="531"/>
      <c r="UEA108" s="530"/>
      <c r="UEB108" s="531"/>
      <c r="UEC108" s="530"/>
      <c r="UED108" s="531"/>
      <c r="UEE108" s="530"/>
      <c r="UEF108" s="531"/>
      <c r="UEG108" s="530"/>
      <c r="UEH108" s="531"/>
      <c r="UEI108" s="530"/>
      <c r="UEJ108" s="531"/>
      <c r="UEK108" s="530"/>
      <c r="UEL108" s="531"/>
      <c r="UEM108" s="530"/>
      <c r="UEN108" s="531"/>
      <c r="UEO108" s="530"/>
      <c r="UEP108" s="531"/>
      <c r="UEQ108" s="530"/>
      <c r="UER108" s="531"/>
      <c r="UES108" s="530"/>
      <c r="UET108" s="531"/>
      <c r="UEU108" s="530"/>
      <c r="UEV108" s="531"/>
      <c r="UEW108" s="530"/>
      <c r="UEX108" s="531"/>
      <c r="UEY108" s="530"/>
      <c r="UEZ108" s="531"/>
      <c r="UFA108" s="530"/>
      <c r="UFB108" s="531"/>
      <c r="UFC108" s="530"/>
      <c r="UFD108" s="531"/>
      <c r="UFE108" s="530"/>
      <c r="UFF108" s="531"/>
      <c r="UFG108" s="530"/>
      <c r="UFH108" s="531"/>
      <c r="UFI108" s="530"/>
      <c r="UFJ108" s="531"/>
      <c r="UFK108" s="530"/>
      <c r="UFL108" s="531"/>
      <c r="UFM108" s="530"/>
      <c r="UFN108" s="531"/>
      <c r="UFO108" s="530"/>
      <c r="UFP108" s="531"/>
      <c r="UFQ108" s="530"/>
      <c r="UFR108" s="531"/>
      <c r="UFS108" s="530"/>
      <c r="UFT108" s="531"/>
      <c r="UFU108" s="530"/>
      <c r="UFV108" s="531"/>
      <c r="UFW108" s="530"/>
      <c r="UFX108" s="531"/>
      <c r="UFY108" s="530"/>
      <c r="UFZ108" s="531"/>
      <c r="UGA108" s="530"/>
      <c r="UGB108" s="531"/>
      <c r="UGC108" s="530"/>
      <c r="UGD108" s="531"/>
      <c r="UGE108" s="530"/>
      <c r="UGF108" s="531"/>
      <c r="UGG108" s="530"/>
      <c r="UGH108" s="531"/>
      <c r="UGI108" s="530"/>
      <c r="UGJ108" s="531"/>
      <c r="UGK108" s="530"/>
      <c r="UGL108" s="531"/>
      <c r="UGM108" s="530"/>
      <c r="UGN108" s="531"/>
      <c r="UGO108" s="530"/>
      <c r="UGP108" s="531"/>
      <c r="UGQ108" s="530"/>
      <c r="UGR108" s="531"/>
      <c r="UGS108" s="530"/>
      <c r="UGT108" s="531"/>
      <c r="UGU108" s="530"/>
      <c r="UGV108" s="531"/>
      <c r="UGW108" s="530"/>
      <c r="UGX108" s="531"/>
      <c r="UGY108" s="530"/>
      <c r="UGZ108" s="531"/>
      <c r="UHA108" s="530"/>
      <c r="UHB108" s="531"/>
      <c r="UHC108" s="530"/>
      <c r="UHD108" s="531"/>
      <c r="UHE108" s="530"/>
      <c r="UHF108" s="531"/>
      <c r="UHG108" s="530"/>
      <c r="UHH108" s="531"/>
      <c r="UHI108" s="530"/>
      <c r="UHJ108" s="531"/>
      <c r="UHK108" s="530"/>
      <c r="UHL108" s="531"/>
      <c r="UHM108" s="530"/>
      <c r="UHN108" s="531"/>
      <c r="UHO108" s="530"/>
      <c r="UHP108" s="531"/>
      <c r="UHQ108" s="530"/>
      <c r="UHR108" s="531"/>
      <c r="UHS108" s="530"/>
      <c r="UHT108" s="531"/>
      <c r="UHU108" s="530"/>
      <c r="UHV108" s="531"/>
      <c r="UHW108" s="530"/>
      <c r="UHX108" s="531"/>
      <c r="UHY108" s="530"/>
      <c r="UHZ108" s="531"/>
      <c r="UIA108" s="530"/>
      <c r="UIB108" s="531"/>
      <c r="UIC108" s="530"/>
      <c r="UID108" s="531"/>
      <c r="UIE108" s="530"/>
      <c r="UIF108" s="531"/>
      <c r="UIG108" s="530"/>
      <c r="UIH108" s="531"/>
      <c r="UII108" s="530"/>
      <c r="UIJ108" s="531"/>
      <c r="UIK108" s="530"/>
      <c r="UIL108" s="531"/>
      <c r="UIM108" s="530"/>
      <c r="UIN108" s="531"/>
      <c r="UIO108" s="530"/>
      <c r="UIP108" s="531"/>
      <c r="UIQ108" s="530"/>
      <c r="UIR108" s="531"/>
      <c r="UIS108" s="530"/>
      <c r="UIT108" s="531"/>
      <c r="UIU108" s="530"/>
      <c r="UIV108" s="531"/>
      <c r="UIW108" s="530"/>
      <c r="UIX108" s="531"/>
      <c r="UIY108" s="530"/>
      <c r="UIZ108" s="531"/>
      <c r="UJA108" s="530"/>
      <c r="UJB108" s="531"/>
      <c r="UJC108" s="530"/>
      <c r="UJD108" s="531"/>
      <c r="UJE108" s="530"/>
      <c r="UJF108" s="531"/>
      <c r="UJG108" s="530"/>
      <c r="UJH108" s="531"/>
      <c r="UJI108" s="530"/>
      <c r="UJJ108" s="531"/>
      <c r="UJK108" s="530"/>
      <c r="UJL108" s="531"/>
      <c r="UJM108" s="530"/>
      <c r="UJN108" s="531"/>
      <c r="UJO108" s="530"/>
      <c r="UJP108" s="531"/>
      <c r="UJQ108" s="530"/>
      <c r="UJR108" s="531"/>
      <c r="UJS108" s="530"/>
      <c r="UJT108" s="531"/>
      <c r="UJU108" s="530"/>
      <c r="UJV108" s="531"/>
      <c r="UJW108" s="530"/>
      <c r="UJX108" s="531"/>
      <c r="UJY108" s="530"/>
      <c r="UJZ108" s="531"/>
      <c r="UKA108" s="530"/>
      <c r="UKB108" s="531"/>
      <c r="UKC108" s="530"/>
      <c r="UKD108" s="531"/>
      <c r="UKE108" s="530"/>
      <c r="UKF108" s="531"/>
      <c r="UKG108" s="530"/>
      <c r="UKH108" s="531"/>
      <c r="UKI108" s="530"/>
      <c r="UKJ108" s="531"/>
      <c r="UKK108" s="530"/>
      <c r="UKL108" s="531"/>
      <c r="UKM108" s="530"/>
      <c r="UKN108" s="531"/>
      <c r="UKO108" s="530"/>
      <c r="UKP108" s="531"/>
      <c r="UKQ108" s="530"/>
      <c r="UKR108" s="531"/>
      <c r="UKS108" s="530"/>
      <c r="UKT108" s="531"/>
      <c r="UKU108" s="530"/>
      <c r="UKV108" s="531"/>
      <c r="UKW108" s="530"/>
      <c r="UKX108" s="531"/>
      <c r="UKY108" s="530"/>
      <c r="UKZ108" s="531"/>
      <c r="ULA108" s="530"/>
      <c r="ULB108" s="531"/>
      <c r="ULC108" s="530"/>
      <c r="ULD108" s="531"/>
      <c r="ULE108" s="530"/>
      <c r="ULF108" s="531"/>
      <c r="ULG108" s="530"/>
      <c r="ULH108" s="531"/>
      <c r="ULI108" s="530"/>
      <c r="ULJ108" s="531"/>
      <c r="ULK108" s="530"/>
      <c r="ULL108" s="531"/>
      <c r="ULM108" s="530"/>
      <c r="ULN108" s="531"/>
      <c r="ULO108" s="530"/>
      <c r="ULP108" s="531"/>
      <c r="ULQ108" s="530"/>
      <c r="ULR108" s="531"/>
      <c r="ULS108" s="530"/>
      <c r="ULT108" s="531"/>
      <c r="ULU108" s="530"/>
      <c r="ULV108" s="531"/>
      <c r="ULW108" s="530"/>
      <c r="ULX108" s="531"/>
      <c r="ULY108" s="530"/>
      <c r="ULZ108" s="531"/>
      <c r="UMA108" s="530"/>
      <c r="UMB108" s="531"/>
      <c r="UMC108" s="530"/>
      <c r="UMD108" s="531"/>
      <c r="UME108" s="530"/>
      <c r="UMF108" s="531"/>
      <c r="UMG108" s="530"/>
      <c r="UMH108" s="531"/>
      <c r="UMI108" s="530"/>
      <c r="UMJ108" s="531"/>
      <c r="UMK108" s="530"/>
      <c r="UML108" s="531"/>
      <c r="UMM108" s="530"/>
      <c r="UMN108" s="531"/>
      <c r="UMO108" s="530"/>
      <c r="UMP108" s="531"/>
      <c r="UMQ108" s="530"/>
      <c r="UMR108" s="531"/>
      <c r="UMS108" s="530"/>
      <c r="UMT108" s="531"/>
      <c r="UMU108" s="530"/>
      <c r="UMV108" s="531"/>
      <c r="UMW108" s="530"/>
      <c r="UMX108" s="531"/>
      <c r="UMY108" s="530"/>
      <c r="UMZ108" s="531"/>
      <c r="UNA108" s="530"/>
      <c r="UNB108" s="531"/>
      <c r="UNC108" s="530"/>
      <c r="UND108" s="531"/>
      <c r="UNE108" s="530"/>
      <c r="UNF108" s="531"/>
      <c r="UNG108" s="530"/>
      <c r="UNH108" s="531"/>
      <c r="UNI108" s="530"/>
      <c r="UNJ108" s="531"/>
      <c r="UNK108" s="530"/>
      <c r="UNL108" s="531"/>
      <c r="UNM108" s="530"/>
      <c r="UNN108" s="531"/>
      <c r="UNO108" s="530"/>
      <c r="UNP108" s="531"/>
      <c r="UNQ108" s="530"/>
      <c r="UNR108" s="531"/>
      <c r="UNS108" s="530"/>
      <c r="UNT108" s="531"/>
      <c r="UNU108" s="530"/>
      <c r="UNV108" s="531"/>
      <c r="UNW108" s="530"/>
      <c r="UNX108" s="531"/>
      <c r="UNY108" s="530"/>
      <c r="UNZ108" s="531"/>
      <c r="UOA108" s="530"/>
      <c r="UOB108" s="531"/>
      <c r="UOC108" s="530"/>
      <c r="UOD108" s="531"/>
      <c r="UOE108" s="530"/>
      <c r="UOF108" s="531"/>
      <c r="UOG108" s="530"/>
      <c r="UOH108" s="531"/>
      <c r="UOI108" s="530"/>
      <c r="UOJ108" s="531"/>
      <c r="UOK108" s="530"/>
      <c r="UOL108" s="531"/>
      <c r="UOM108" s="530"/>
      <c r="UON108" s="531"/>
      <c r="UOO108" s="530"/>
      <c r="UOP108" s="531"/>
      <c r="UOQ108" s="530"/>
      <c r="UOR108" s="531"/>
      <c r="UOS108" s="530"/>
      <c r="UOT108" s="531"/>
      <c r="UOU108" s="530"/>
      <c r="UOV108" s="531"/>
      <c r="UOW108" s="530"/>
      <c r="UOX108" s="531"/>
      <c r="UOY108" s="530"/>
      <c r="UOZ108" s="531"/>
      <c r="UPA108" s="530"/>
      <c r="UPB108" s="531"/>
      <c r="UPC108" s="530"/>
      <c r="UPD108" s="531"/>
      <c r="UPE108" s="530"/>
      <c r="UPF108" s="531"/>
      <c r="UPG108" s="530"/>
      <c r="UPH108" s="531"/>
      <c r="UPI108" s="530"/>
      <c r="UPJ108" s="531"/>
      <c r="UPK108" s="530"/>
      <c r="UPL108" s="531"/>
      <c r="UPM108" s="530"/>
      <c r="UPN108" s="531"/>
      <c r="UPO108" s="530"/>
      <c r="UPP108" s="531"/>
      <c r="UPQ108" s="530"/>
      <c r="UPR108" s="531"/>
      <c r="UPS108" s="530"/>
      <c r="UPT108" s="531"/>
      <c r="UPU108" s="530"/>
      <c r="UPV108" s="531"/>
      <c r="UPW108" s="530"/>
      <c r="UPX108" s="531"/>
      <c r="UPY108" s="530"/>
      <c r="UPZ108" s="531"/>
      <c r="UQA108" s="530"/>
      <c r="UQB108" s="531"/>
      <c r="UQC108" s="530"/>
      <c r="UQD108" s="531"/>
      <c r="UQE108" s="530"/>
      <c r="UQF108" s="531"/>
      <c r="UQG108" s="530"/>
      <c r="UQH108" s="531"/>
      <c r="UQI108" s="530"/>
      <c r="UQJ108" s="531"/>
      <c r="UQK108" s="530"/>
      <c r="UQL108" s="531"/>
      <c r="UQM108" s="530"/>
      <c r="UQN108" s="531"/>
      <c r="UQO108" s="530"/>
      <c r="UQP108" s="531"/>
      <c r="UQQ108" s="530"/>
      <c r="UQR108" s="531"/>
      <c r="UQS108" s="530"/>
      <c r="UQT108" s="531"/>
      <c r="UQU108" s="530"/>
      <c r="UQV108" s="531"/>
      <c r="UQW108" s="530"/>
      <c r="UQX108" s="531"/>
      <c r="UQY108" s="530"/>
      <c r="UQZ108" s="531"/>
      <c r="URA108" s="530"/>
      <c r="URB108" s="531"/>
      <c r="URC108" s="530"/>
      <c r="URD108" s="531"/>
      <c r="URE108" s="530"/>
      <c r="URF108" s="531"/>
      <c r="URG108" s="530"/>
      <c r="URH108" s="531"/>
      <c r="URI108" s="530"/>
      <c r="URJ108" s="531"/>
      <c r="URK108" s="530"/>
      <c r="URL108" s="531"/>
      <c r="URM108" s="530"/>
      <c r="URN108" s="531"/>
      <c r="URO108" s="530"/>
      <c r="URP108" s="531"/>
      <c r="URQ108" s="530"/>
      <c r="URR108" s="531"/>
      <c r="URS108" s="530"/>
      <c r="URT108" s="531"/>
      <c r="URU108" s="530"/>
      <c r="URV108" s="531"/>
      <c r="URW108" s="530"/>
      <c r="URX108" s="531"/>
      <c r="URY108" s="530"/>
      <c r="URZ108" s="531"/>
      <c r="USA108" s="530"/>
      <c r="USB108" s="531"/>
      <c r="USC108" s="530"/>
      <c r="USD108" s="531"/>
      <c r="USE108" s="530"/>
      <c r="USF108" s="531"/>
      <c r="USG108" s="530"/>
      <c r="USH108" s="531"/>
      <c r="USI108" s="530"/>
      <c r="USJ108" s="531"/>
      <c r="USK108" s="530"/>
      <c r="USL108" s="531"/>
      <c r="USM108" s="530"/>
      <c r="USN108" s="531"/>
      <c r="USO108" s="530"/>
      <c r="USP108" s="531"/>
      <c r="USQ108" s="530"/>
      <c r="USR108" s="531"/>
      <c r="USS108" s="530"/>
      <c r="UST108" s="531"/>
      <c r="USU108" s="530"/>
      <c r="USV108" s="531"/>
      <c r="USW108" s="530"/>
      <c r="USX108" s="531"/>
      <c r="USY108" s="530"/>
      <c r="USZ108" s="531"/>
      <c r="UTA108" s="530"/>
      <c r="UTB108" s="531"/>
      <c r="UTC108" s="530"/>
      <c r="UTD108" s="531"/>
      <c r="UTE108" s="530"/>
      <c r="UTF108" s="531"/>
      <c r="UTG108" s="530"/>
      <c r="UTH108" s="531"/>
      <c r="UTI108" s="530"/>
      <c r="UTJ108" s="531"/>
      <c r="UTK108" s="530"/>
      <c r="UTL108" s="531"/>
      <c r="UTM108" s="530"/>
      <c r="UTN108" s="531"/>
      <c r="UTO108" s="530"/>
      <c r="UTP108" s="531"/>
      <c r="UTQ108" s="530"/>
      <c r="UTR108" s="531"/>
      <c r="UTS108" s="530"/>
      <c r="UTT108" s="531"/>
      <c r="UTU108" s="530"/>
      <c r="UTV108" s="531"/>
      <c r="UTW108" s="530"/>
      <c r="UTX108" s="531"/>
      <c r="UTY108" s="530"/>
      <c r="UTZ108" s="531"/>
      <c r="UUA108" s="530"/>
      <c r="UUB108" s="531"/>
      <c r="UUC108" s="530"/>
      <c r="UUD108" s="531"/>
      <c r="UUE108" s="530"/>
      <c r="UUF108" s="531"/>
      <c r="UUG108" s="530"/>
      <c r="UUH108" s="531"/>
      <c r="UUI108" s="530"/>
      <c r="UUJ108" s="531"/>
      <c r="UUK108" s="530"/>
      <c r="UUL108" s="531"/>
      <c r="UUM108" s="530"/>
      <c r="UUN108" s="531"/>
      <c r="UUO108" s="530"/>
      <c r="UUP108" s="531"/>
      <c r="UUQ108" s="530"/>
      <c r="UUR108" s="531"/>
      <c r="UUS108" s="530"/>
      <c r="UUT108" s="531"/>
      <c r="UUU108" s="530"/>
      <c r="UUV108" s="531"/>
      <c r="UUW108" s="530"/>
      <c r="UUX108" s="531"/>
      <c r="UUY108" s="530"/>
      <c r="UUZ108" s="531"/>
      <c r="UVA108" s="530"/>
      <c r="UVB108" s="531"/>
      <c r="UVC108" s="530"/>
      <c r="UVD108" s="531"/>
      <c r="UVE108" s="530"/>
      <c r="UVF108" s="531"/>
      <c r="UVG108" s="530"/>
      <c r="UVH108" s="531"/>
      <c r="UVI108" s="530"/>
      <c r="UVJ108" s="531"/>
      <c r="UVK108" s="530"/>
      <c r="UVL108" s="531"/>
      <c r="UVM108" s="530"/>
      <c r="UVN108" s="531"/>
      <c r="UVO108" s="530"/>
      <c r="UVP108" s="531"/>
      <c r="UVQ108" s="530"/>
      <c r="UVR108" s="531"/>
      <c r="UVS108" s="530"/>
      <c r="UVT108" s="531"/>
      <c r="UVU108" s="530"/>
      <c r="UVV108" s="531"/>
      <c r="UVW108" s="530"/>
      <c r="UVX108" s="531"/>
      <c r="UVY108" s="530"/>
      <c r="UVZ108" s="531"/>
      <c r="UWA108" s="530"/>
      <c r="UWB108" s="531"/>
      <c r="UWC108" s="530"/>
      <c r="UWD108" s="531"/>
      <c r="UWE108" s="530"/>
      <c r="UWF108" s="531"/>
      <c r="UWG108" s="530"/>
      <c r="UWH108" s="531"/>
      <c r="UWI108" s="530"/>
      <c r="UWJ108" s="531"/>
      <c r="UWK108" s="530"/>
      <c r="UWL108" s="531"/>
      <c r="UWM108" s="530"/>
      <c r="UWN108" s="531"/>
      <c r="UWO108" s="530"/>
      <c r="UWP108" s="531"/>
      <c r="UWQ108" s="530"/>
      <c r="UWR108" s="531"/>
      <c r="UWS108" s="530"/>
      <c r="UWT108" s="531"/>
      <c r="UWU108" s="530"/>
      <c r="UWV108" s="531"/>
      <c r="UWW108" s="530"/>
      <c r="UWX108" s="531"/>
      <c r="UWY108" s="530"/>
      <c r="UWZ108" s="531"/>
      <c r="UXA108" s="530"/>
      <c r="UXB108" s="531"/>
      <c r="UXC108" s="530"/>
      <c r="UXD108" s="531"/>
      <c r="UXE108" s="530"/>
      <c r="UXF108" s="531"/>
      <c r="UXG108" s="530"/>
      <c r="UXH108" s="531"/>
      <c r="UXI108" s="530"/>
      <c r="UXJ108" s="531"/>
      <c r="UXK108" s="530"/>
      <c r="UXL108" s="531"/>
      <c r="UXM108" s="530"/>
      <c r="UXN108" s="531"/>
      <c r="UXO108" s="530"/>
      <c r="UXP108" s="531"/>
      <c r="UXQ108" s="530"/>
      <c r="UXR108" s="531"/>
      <c r="UXS108" s="530"/>
      <c r="UXT108" s="531"/>
      <c r="UXU108" s="530"/>
      <c r="UXV108" s="531"/>
      <c r="UXW108" s="530"/>
      <c r="UXX108" s="531"/>
      <c r="UXY108" s="530"/>
      <c r="UXZ108" s="531"/>
      <c r="UYA108" s="530"/>
      <c r="UYB108" s="531"/>
      <c r="UYC108" s="530"/>
      <c r="UYD108" s="531"/>
      <c r="UYE108" s="530"/>
      <c r="UYF108" s="531"/>
      <c r="UYG108" s="530"/>
      <c r="UYH108" s="531"/>
      <c r="UYI108" s="530"/>
      <c r="UYJ108" s="531"/>
      <c r="UYK108" s="530"/>
      <c r="UYL108" s="531"/>
      <c r="UYM108" s="530"/>
      <c r="UYN108" s="531"/>
      <c r="UYO108" s="530"/>
      <c r="UYP108" s="531"/>
      <c r="UYQ108" s="530"/>
      <c r="UYR108" s="531"/>
      <c r="UYS108" s="530"/>
      <c r="UYT108" s="531"/>
      <c r="UYU108" s="530"/>
      <c r="UYV108" s="531"/>
      <c r="UYW108" s="530"/>
      <c r="UYX108" s="531"/>
      <c r="UYY108" s="530"/>
      <c r="UYZ108" s="531"/>
      <c r="UZA108" s="530"/>
      <c r="UZB108" s="531"/>
      <c r="UZC108" s="530"/>
      <c r="UZD108" s="531"/>
      <c r="UZE108" s="530"/>
      <c r="UZF108" s="531"/>
      <c r="UZG108" s="530"/>
      <c r="UZH108" s="531"/>
      <c r="UZI108" s="530"/>
      <c r="UZJ108" s="531"/>
      <c r="UZK108" s="530"/>
      <c r="UZL108" s="531"/>
      <c r="UZM108" s="530"/>
      <c r="UZN108" s="531"/>
      <c r="UZO108" s="530"/>
      <c r="UZP108" s="531"/>
      <c r="UZQ108" s="530"/>
      <c r="UZR108" s="531"/>
      <c r="UZS108" s="530"/>
      <c r="UZT108" s="531"/>
      <c r="UZU108" s="530"/>
      <c r="UZV108" s="531"/>
      <c r="UZW108" s="530"/>
      <c r="UZX108" s="531"/>
      <c r="UZY108" s="530"/>
      <c r="UZZ108" s="531"/>
      <c r="VAA108" s="530"/>
      <c r="VAB108" s="531"/>
      <c r="VAC108" s="530"/>
      <c r="VAD108" s="531"/>
      <c r="VAE108" s="530"/>
      <c r="VAF108" s="531"/>
      <c r="VAG108" s="530"/>
      <c r="VAH108" s="531"/>
      <c r="VAI108" s="530"/>
      <c r="VAJ108" s="531"/>
      <c r="VAK108" s="530"/>
      <c r="VAL108" s="531"/>
      <c r="VAM108" s="530"/>
      <c r="VAN108" s="531"/>
      <c r="VAO108" s="530"/>
      <c r="VAP108" s="531"/>
      <c r="VAQ108" s="530"/>
      <c r="VAR108" s="531"/>
      <c r="VAS108" s="530"/>
      <c r="VAT108" s="531"/>
      <c r="VAU108" s="530"/>
      <c r="VAV108" s="531"/>
      <c r="VAW108" s="530"/>
      <c r="VAX108" s="531"/>
      <c r="VAY108" s="530"/>
      <c r="VAZ108" s="531"/>
      <c r="VBA108" s="530"/>
      <c r="VBB108" s="531"/>
      <c r="VBC108" s="530"/>
      <c r="VBD108" s="531"/>
      <c r="VBE108" s="530"/>
      <c r="VBF108" s="531"/>
      <c r="VBG108" s="530"/>
      <c r="VBH108" s="531"/>
      <c r="VBI108" s="530"/>
      <c r="VBJ108" s="531"/>
      <c r="VBK108" s="530"/>
      <c r="VBL108" s="531"/>
      <c r="VBM108" s="530"/>
      <c r="VBN108" s="531"/>
      <c r="VBO108" s="530"/>
      <c r="VBP108" s="531"/>
      <c r="VBQ108" s="530"/>
      <c r="VBR108" s="531"/>
      <c r="VBS108" s="530"/>
      <c r="VBT108" s="531"/>
      <c r="VBU108" s="530"/>
      <c r="VBV108" s="531"/>
      <c r="VBW108" s="530"/>
      <c r="VBX108" s="531"/>
      <c r="VBY108" s="530"/>
      <c r="VBZ108" s="531"/>
      <c r="VCA108" s="530"/>
      <c r="VCB108" s="531"/>
      <c r="VCC108" s="530"/>
      <c r="VCD108" s="531"/>
      <c r="VCE108" s="530"/>
      <c r="VCF108" s="531"/>
      <c r="VCG108" s="530"/>
      <c r="VCH108" s="531"/>
      <c r="VCI108" s="530"/>
      <c r="VCJ108" s="531"/>
      <c r="VCK108" s="530"/>
      <c r="VCL108" s="531"/>
      <c r="VCM108" s="530"/>
      <c r="VCN108" s="531"/>
      <c r="VCO108" s="530"/>
      <c r="VCP108" s="531"/>
      <c r="VCQ108" s="530"/>
      <c r="VCR108" s="531"/>
      <c r="VCS108" s="530"/>
      <c r="VCT108" s="531"/>
      <c r="VCU108" s="530"/>
      <c r="VCV108" s="531"/>
      <c r="VCW108" s="530"/>
      <c r="VCX108" s="531"/>
      <c r="VCY108" s="530"/>
      <c r="VCZ108" s="531"/>
      <c r="VDA108" s="530"/>
      <c r="VDB108" s="531"/>
      <c r="VDC108" s="530"/>
      <c r="VDD108" s="531"/>
      <c r="VDE108" s="530"/>
      <c r="VDF108" s="531"/>
      <c r="VDG108" s="530"/>
      <c r="VDH108" s="531"/>
      <c r="VDI108" s="530"/>
      <c r="VDJ108" s="531"/>
      <c r="VDK108" s="530"/>
      <c r="VDL108" s="531"/>
      <c r="VDM108" s="530"/>
      <c r="VDN108" s="531"/>
      <c r="VDO108" s="530"/>
      <c r="VDP108" s="531"/>
      <c r="VDQ108" s="530"/>
      <c r="VDR108" s="531"/>
      <c r="VDS108" s="530"/>
      <c r="VDT108" s="531"/>
      <c r="VDU108" s="530"/>
      <c r="VDV108" s="531"/>
      <c r="VDW108" s="530"/>
      <c r="VDX108" s="531"/>
      <c r="VDY108" s="530"/>
      <c r="VDZ108" s="531"/>
      <c r="VEA108" s="530"/>
      <c r="VEB108" s="531"/>
      <c r="VEC108" s="530"/>
      <c r="VED108" s="531"/>
      <c r="VEE108" s="530"/>
      <c r="VEF108" s="531"/>
      <c r="VEG108" s="530"/>
      <c r="VEH108" s="531"/>
      <c r="VEI108" s="530"/>
      <c r="VEJ108" s="531"/>
      <c r="VEK108" s="530"/>
      <c r="VEL108" s="531"/>
      <c r="VEM108" s="530"/>
      <c r="VEN108" s="531"/>
      <c r="VEO108" s="530"/>
      <c r="VEP108" s="531"/>
      <c r="VEQ108" s="530"/>
      <c r="VER108" s="531"/>
      <c r="VES108" s="530"/>
      <c r="VET108" s="531"/>
      <c r="VEU108" s="530"/>
      <c r="VEV108" s="531"/>
      <c r="VEW108" s="530"/>
      <c r="VEX108" s="531"/>
      <c r="VEY108" s="530"/>
      <c r="VEZ108" s="531"/>
      <c r="VFA108" s="530"/>
      <c r="VFB108" s="531"/>
      <c r="VFC108" s="530"/>
      <c r="VFD108" s="531"/>
      <c r="VFE108" s="530"/>
      <c r="VFF108" s="531"/>
      <c r="VFG108" s="530"/>
      <c r="VFH108" s="531"/>
      <c r="VFI108" s="530"/>
      <c r="VFJ108" s="531"/>
      <c r="VFK108" s="530"/>
      <c r="VFL108" s="531"/>
      <c r="VFM108" s="530"/>
      <c r="VFN108" s="531"/>
      <c r="VFO108" s="530"/>
      <c r="VFP108" s="531"/>
      <c r="VFQ108" s="530"/>
      <c r="VFR108" s="531"/>
      <c r="VFS108" s="530"/>
      <c r="VFT108" s="531"/>
      <c r="VFU108" s="530"/>
      <c r="VFV108" s="531"/>
      <c r="VFW108" s="530"/>
      <c r="VFX108" s="531"/>
      <c r="VFY108" s="530"/>
      <c r="VFZ108" s="531"/>
      <c r="VGA108" s="530"/>
      <c r="VGB108" s="531"/>
      <c r="VGC108" s="530"/>
      <c r="VGD108" s="531"/>
      <c r="VGE108" s="530"/>
      <c r="VGF108" s="531"/>
      <c r="VGG108" s="530"/>
      <c r="VGH108" s="531"/>
      <c r="VGI108" s="530"/>
      <c r="VGJ108" s="531"/>
      <c r="VGK108" s="530"/>
      <c r="VGL108" s="531"/>
      <c r="VGM108" s="530"/>
      <c r="VGN108" s="531"/>
      <c r="VGO108" s="530"/>
      <c r="VGP108" s="531"/>
      <c r="VGQ108" s="530"/>
      <c r="VGR108" s="531"/>
      <c r="VGS108" s="530"/>
      <c r="VGT108" s="531"/>
      <c r="VGU108" s="530"/>
      <c r="VGV108" s="531"/>
      <c r="VGW108" s="530"/>
      <c r="VGX108" s="531"/>
      <c r="VGY108" s="530"/>
      <c r="VGZ108" s="531"/>
      <c r="VHA108" s="530"/>
      <c r="VHB108" s="531"/>
      <c r="VHC108" s="530"/>
      <c r="VHD108" s="531"/>
      <c r="VHE108" s="530"/>
      <c r="VHF108" s="531"/>
      <c r="VHG108" s="530"/>
      <c r="VHH108" s="531"/>
      <c r="VHI108" s="530"/>
      <c r="VHJ108" s="531"/>
      <c r="VHK108" s="530"/>
      <c r="VHL108" s="531"/>
      <c r="VHM108" s="530"/>
      <c r="VHN108" s="531"/>
      <c r="VHO108" s="530"/>
      <c r="VHP108" s="531"/>
      <c r="VHQ108" s="530"/>
      <c r="VHR108" s="531"/>
      <c r="VHS108" s="530"/>
      <c r="VHT108" s="531"/>
      <c r="VHU108" s="530"/>
      <c r="VHV108" s="531"/>
      <c r="VHW108" s="530"/>
      <c r="VHX108" s="531"/>
      <c r="VHY108" s="530"/>
      <c r="VHZ108" s="531"/>
      <c r="VIA108" s="530"/>
      <c r="VIB108" s="531"/>
      <c r="VIC108" s="530"/>
      <c r="VID108" s="531"/>
      <c r="VIE108" s="530"/>
      <c r="VIF108" s="531"/>
      <c r="VIG108" s="530"/>
      <c r="VIH108" s="531"/>
      <c r="VII108" s="530"/>
      <c r="VIJ108" s="531"/>
      <c r="VIK108" s="530"/>
      <c r="VIL108" s="531"/>
      <c r="VIM108" s="530"/>
      <c r="VIN108" s="531"/>
      <c r="VIO108" s="530"/>
      <c r="VIP108" s="531"/>
      <c r="VIQ108" s="530"/>
      <c r="VIR108" s="531"/>
      <c r="VIS108" s="530"/>
      <c r="VIT108" s="531"/>
      <c r="VIU108" s="530"/>
      <c r="VIV108" s="531"/>
      <c r="VIW108" s="530"/>
      <c r="VIX108" s="531"/>
      <c r="VIY108" s="530"/>
      <c r="VIZ108" s="531"/>
      <c r="VJA108" s="530"/>
      <c r="VJB108" s="531"/>
      <c r="VJC108" s="530"/>
      <c r="VJD108" s="531"/>
      <c r="VJE108" s="530"/>
      <c r="VJF108" s="531"/>
      <c r="VJG108" s="530"/>
      <c r="VJH108" s="531"/>
      <c r="VJI108" s="530"/>
      <c r="VJJ108" s="531"/>
      <c r="VJK108" s="530"/>
      <c r="VJL108" s="531"/>
      <c r="VJM108" s="530"/>
      <c r="VJN108" s="531"/>
      <c r="VJO108" s="530"/>
      <c r="VJP108" s="531"/>
      <c r="VJQ108" s="530"/>
      <c r="VJR108" s="531"/>
      <c r="VJS108" s="530"/>
      <c r="VJT108" s="531"/>
      <c r="VJU108" s="530"/>
      <c r="VJV108" s="531"/>
      <c r="VJW108" s="530"/>
      <c r="VJX108" s="531"/>
      <c r="VJY108" s="530"/>
      <c r="VJZ108" s="531"/>
      <c r="VKA108" s="530"/>
      <c r="VKB108" s="531"/>
      <c r="VKC108" s="530"/>
      <c r="VKD108" s="531"/>
      <c r="VKE108" s="530"/>
      <c r="VKF108" s="531"/>
      <c r="VKG108" s="530"/>
      <c r="VKH108" s="531"/>
      <c r="VKI108" s="530"/>
      <c r="VKJ108" s="531"/>
      <c r="VKK108" s="530"/>
      <c r="VKL108" s="531"/>
      <c r="VKM108" s="530"/>
      <c r="VKN108" s="531"/>
      <c r="VKO108" s="530"/>
      <c r="VKP108" s="531"/>
      <c r="VKQ108" s="530"/>
      <c r="VKR108" s="531"/>
      <c r="VKS108" s="530"/>
      <c r="VKT108" s="531"/>
      <c r="VKU108" s="530"/>
      <c r="VKV108" s="531"/>
      <c r="VKW108" s="530"/>
      <c r="VKX108" s="531"/>
      <c r="VKY108" s="530"/>
      <c r="VKZ108" s="531"/>
      <c r="VLA108" s="530"/>
      <c r="VLB108" s="531"/>
      <c r="VLC108" s="530"/>
      <c r="VLD108" s="531"/>
      <c r="VLE108" s="530"/>
      <c r="VLF108" s="531"/>
      <c r="VLG108" s="530"/>
      <c r="VLH108" s="531"/>
      <c r="VLI108" s="530"/>
      <c r="VLJ108" s="531"/>
      <c r="VLK108" s="530"/>
      <c r="VLL108" s="531"/>
      <c r="VLM108" s="530"/>
      <c r="VLN108" s="531"/>
      <c r="VLO108" s="530"/>
      <c r="VLP108" s="531"/>
      <c r="VLQ108" s="530"/>
      <c r="VLR108" s="531"/>
      <c r="VLS108" s="530"/>
      <c r="VLT108" s="531"/>
      <c r="VLU108" s="530"/>
      <c r="VLV108" s="531"/>
      <c r="VLW108" s="530"/>
      <c r="VLX108" s="531"/>
      <c r="VLY108" s="530"/>
      <c r="VLZ108" s="531"/>
      <c r="VMA108" s="530"/>
      <c r="VMB108" s="531"/>
      <c r="VMC108" s="530"/>
      <c r="VMD108" s="531"/>
      <c r="VME108" s="530"/>
      <c r="VMF108" s="531"/>
      <c r="VMG108" s="530"/>
      <c r="VMH108" s="531"/>
      <c r="VMI108" s="530"/>
      <c r="VMJ108" s="531"/>
      <c r="VMK108" s="530"/>
      <c r="VML108" s="531"/>
      <c r="VMM108" s="530"/>
      <c r="VMN108" s="531"/>
      <c r="VMO108" s="530"/>
      <c r="VMP108" s="531"/>
      <c r="VMQ108" s="530"/>
      <c r="VMR108" s="531"/>
      <c r="VMS108" s="530"/>
      <c r="VMT108" s="531"/>
      <c r="VMU108" s="530"/>
      <c r="VMV108" s="531"/>
      <c r="VMW108" s="530"/>
      <c r="VMX108" s="531"/>
      <c r="VMY108" s="530"/>
      <c r="VMZ108" s="531"/>
      <c r="VNA108" s="530"/>
      <c r="VNB108" s="531"/>
      <c r="VNC108" s="530"/>
      <c r="VND108" s="531"/>
      <c r="VNE108" s="530"/>
      <c r="VNF108" s="531"/>
      <c r="VNG108" s="530"/>
      <c r="VNH108" s="531"/>
      <c r="VNI108" s="530"/>
      <c r="VNJ108" s="531"/>
      <c r="VNK108" s="530"/>
      <c r="VNL108" s="531"/>
      <c r="VNM108" s="530"/>
      <c r="VNN108" s="531"/>
      <c r="VNO108" s="530"/>
      <c r="VNP108" s="531"/>
      <c r="VNQ108" s="530"/>
      <c r="VNR108" s="531"/>
      <c r="VNS108" s="530"/>
      <c r="VNT108" s="531"/>
      <c r="VNU108" s="530"/>
      <c r="VNV108" s="531"/>
      <c r="VNW108" s="530"/>
      <c r="VNX108" s="531"/>
      <c r="VNY108" s="530"/>
      <c r="VNZ108" s="531"/>
      <c r="VOA108" s="530"/>
      <c r="VOB108" s="531"/>
      <c r="VOC108" s="530"/>
      <c r="VOD108" s="531"/>
      <c r="VOE108" s="530"/>
      <c r="VOF108" s="531"/>
      <c r="VOG108" s="530"/>
      <c r="VOH108" s="531"/>
      <c r="VOI108" s="530"/>
      <c r="VOJ108" s="531"/>
      <c r="VOK108" s="530"/>
      <c r="VOL108" s="531"/>
      <c r="VOM108" s="530"/>
      <c r="VON108" s="531"/>
      <c r="VOO108" s="530"/>
      <c r="VOP108" s="531"/>
      <c r="VOQ108" s="530"/>
      <c r="VOR108" s="531"/>
      <c r="VOS108" s="530"/>
      <c r="VOT108" s="531"/>
      <c r="VOU108" s="530"/>
      <c r="VOV108" s="531"/>
      <c r="VOW108" s="530"/>
      <c r="VOX108" s="531"/>
      <c r="VOY108" s="530"/>
      <c r="VOZ108" s="531"/>
      <c r="VPA108" s="530"/>
      <c r="VPB108" s="531"/>
      <c r="VPC108" s="530"/>
      <c r="VPD108" s="531"/>
      <c r="VPE108" s="530"/>
      <c r="VPF108" s="531"/>
      <c r="VPG108" s="530"/>
      <c r="VPH108" s="531"/>
      <c r="VPI108" s="530"/>
      <c r="VPJ108" s="531"/>
      <c r="VPK108" s="530"/>
      <c r="VPL108" s="531"/>
      <c r="VPM108" s="530"/>
      <c r="VPN108" s="531"/>
      <c r="VPO108" s="530"/>
      <c r="VPP108" s="531"/>
      <c r="VPQ108" s="530"/>
      <c r="VPR108" s="531"/>
      <c r="VPS108" s="530"/>
      <c r="VPT108" s="531"/>
      <c r="VPU108" s="530"/>
      <c r="VPV108" s="531"/>
      <c r="VPW108" s="530"/>
      <c r="VPX108" s="531"/>
      <c r="VPY108" s="530"/>
      <c r="VPZ108" s="531"/>
      <c r="VQA108" s="530"/>
      <c r="VQB108" s="531"/>
      <c r="VQC108" s="530"/>
      <c r="VQD108" s="531"/>
      <c r="VQE108" s="530"/>
      <c r="VQF108" s="531"/>
      <c r="VQG108" s="530"/>
      <c r="VQH108" s="531"/>
      <c r="VQI108" s="530"/>
      <c r="VQJ108" s="531"/>
      <c r="VQK108" s="530"/>
      <c r="VQL108" s="531"/>
      <c r="VQM108" s="530"/>
      <c r="VQN108" s="531"/>
      <c r="VQO108" s="530"/>
      <c r="VQP108" s="531"/>
      <c r="VQQ108" s="530"/>
      <c r="VQR108" s="531"/>
      <c r="VQS108" s="530"/>
      <c r="VQT108" s="531"/>
      <c r="VQU108" s="530"/>
      <c r="VQV108" s="531"/>
      <c r="VQW108" s="530"/>
      <c r="VQX108" s="531"/>
      <c r="VQY108" s="530"/>
      <c r="VQZ108" s="531"/>
      <c r="VRA108" s="530"/>
      <c r="VRB108" s="531"/>
      <c r="VRC108" s="530"/>
      <c r="VRD108" s="531"/>
      <c r="VRE108" s="530"/>
      <c r="VRF108" s="531"/>
      <c r="VRG108" s="530"/>
      <c r="VRH108" s="531"/>
      <c r="VRI108" s="530"/>
      <c r="VRJ108" s="531"/>
      <c r="VRK108" s="530"/>
      <c r="VRL108" s="531"/>
      <c r="VRM108" s="530"/>
      <c r="VRN108" s="531"/>
      <c r="VRO108" s="530"/>
      <c r="VRP108" s="531"/>
      <c r="VRQ108" s="530"/>
      <c r="VRR108" s="531"/>
      <c r="VRS108" s="530"/>
      <c r="VRT108" s="531"/>
      <c r="VRU108" s="530"/>
      <c r="VRV108" s="531"/>
      <c r="VRW108" s="530"/>
      <c r="VRX108" s="531"/>
      <c r="VRY108" s="530"/>
      <c r="VRZ108" s="531"/>
      <c r="VSA108" s="530"/>
      <c r="VSB108" s="531"/>
      <c r="VSC108" s="530"/>
      <c r="VSD108" s="531"/>
      <c r="VSE108" s="530"/>
      <c r="VSF108" s="531"/>
      <c r="VSG108" s="530"/>
      <c r="VSH108" s="531"/>
      <c r="VSI108" s="530"/>
      <c r="VSJ108" s="531"/>
      <c r="VSK108" s="530"/>
      <c r="VSL108" s="531"/>
      <c r="VSM108" s="530"/>
      <c r="VSN108" s="531"/>
      <c r="VSO108" s="530"/>
      <c r="VSP108" s="531"/>
      <c r="VSQ108" s="530"/>
      <c r="VSR108" s="531"/>
      <c r="VSS108" s="530"/>
      <c r="VST108" s="531"/>
      <c r="VSU108" s="530"/>
      <c r="VSV108" s="531"/>
      <c r="VSW108" s="530"/>
      <c r="VSX108" s="531"/>
      <c r="VSY108" s="530"/>
      <c r="VSZ108" s="531"/>
      <c r="VTA108" s="530"/>
      <c r="VTB108" s="531"/>
      <c r="VTC108" s="530"/>
      <c r="VTD108" s="531"/>
      <c r="VTE108" s="530"/>
      <c r="VTF108" s="531"/>
      <c r="VTG108" s="530"/>
      <c r="VTH108" s="531"/>
      <c r="VTI108" s="530"/>
      <c r="VTJ108" s="531"/>
      <c r="VTK108" s="530"/>
      <c r="VTL108" s="531"/>
      <c r="VTM108" s="530"/>
      <c r="VTN108" s="531"/>
      <c r="VTO108" s="530"/>
      <c r="VTP108" s="531"/>
      <c r="VTQ108" s="530"/>
      <c r="VTR108" s="531"/>
      <c r="VTS108" s="530"/>
      <c r="VTT108" s="531"/>
      <c r="VTU108" s="530"/>
      <c r="VTV108" s="531"/>
      <c r="VTW108" s="530"/>
      <c r="VTX108" s="531"/>
      <c r="VTY108" s="530"/>
      <c r="VTZ108" s="531"/>
      <c r="VUA108" s="530"/>
      <c r="VUB108" s="531"/>
      <c r="VUC108" s="530"/>
      <c r="VUD108" s="531"/>
      <c r="VUE108" s="530"/>
      <c r="VUF108" s="531"/>
      <c r="VUG108" s="530"/>
      <c r="VUH108" s="531"/>
      <c r="VUI108" s="530"/>
      <c r="VUJ108" s="531"/>
      <c r="VUK108" s="530"/>
      <c r="VUL108" s="531"/>
      <c r="VUM108" s="530"/>
      <c r="VUN108" s="531"/>
      <c r="VUO108" s="530"/>
      <c r="VUP108" s="531"/>
      <c r="VUQ108" s="530"/>
      <c r="VUR108" s="531"/>
      <c r="VUS108" s="530"/>
      <c r="VUT108" s="531"/>
      <c r="VUU108" s="530"/>
      <c r="VUV108" s="531"/>
      <c r="VUW108" s="530"/>
      <c r="VUX108" s="531"/>
      <c r="VUY108" s="530"/>
      <c r="VUZ108" s="531"/>
      <c r="VVA108" s="530"/>
      <c r="VVB108" s="531"/>
      <c r="VVC108" s="530"/>
      <c r="VVD108" s="531"/>
      <c r="VVE108" s="530"/>
      <c r="VVF108" s="531"/>
      <c r="VVG108" s="530"/>
      <c r="VVH108" s="531"/>
      <c r="VVI108" s="530"/>
      <c r="VVJ108" s="531"/>
      <c r="VVK108" s="530"/>
      <c r="VVL108" s="531"/>
      <c r="VVM108" s="530"/>
      <c r="VVN108" s="531"/>
      <c r="VVO108" s="530"/>
      <c r="VVP108" s="531"/>
      <c r="VVQ108" s="530"/>
      <c r="VVR108" s="531"/>
      <c r="VVS108" s="530"/>
      <c r="VVT108" s="531"/>
      <c r="VVU108" s="530"/>
      <c r="VVV108" s="531"/>
      <c r="VVW108" s="530"/>
      <c r="VVX108" s="531"/>
      <c r="VVY108" s="530"/>
      <c r="VVZ108" s="531"/>
      <c r="VWA108" s="530"/>
      <c r="VWB108" s="531"/>
      <c r="VWC108" s="530"/>
      <c r="VWD108" s="531"/>
      <c r="VWE108" s="530"/>
      <c r="VWF108" s="531"/>
      <c r="VWG108" s="530"/>
      <c r="VWH108" s="531"/>
      <c r="VWI108" s="530"/>
      <c r="VWJ108" s="531"/>
      <c r="VWK108" s="530"/>
      <c r="VWL108" s="531"/>
      <c r="VWM108" s="530"/>
      <c r="VWN108" s="531"/>
      <c r="VWO108" s="530"/>
      <c r="VWP108" s="531"/>
      <c r="VWQ108" s="530"/>
      <c r="VWR108" s="531"/>
      <c r="VWS108" s="530"/>
      <c r="VWT108" s="531"/>
      <c r="VWU108" s="530"/>
      <c r="VWV108" s="531"/>
      <c r="VWW108" s="530"/>
      <c r="VWX108" s="531"/>
      <c r="VWY108" s="530"/>
      <c r="VWZ108" s="531"/>
      <c r="VXA108" s="530"/>
      <c r="VXB108" s="531"/>
      <c r="VXC108" s="530"/>
      <c r="VXD108" s="531"/>
      <c r="VXE108" s="530"/>
      <c r="VXF108" s="531"/>
      <c r="VXG108" s="530"/>
      <c r="VXH108" s="531"/>
      <c r="VXI108" s="530"/>
      <c r="VXJ108" s="531"/>
      <c r="VXK108" s="530"/>
      <c r="VXL108" s="531"/>
      <c r="VXM108" s="530"/>
      <c r="VXN108" s="531"/>
      <c r="VXO108" s="530"/>
      <c r="VXP108" s="531"/>
      <c r="VXQ108" s="530"/>
      <c r="VXR108" s="531"/>
      <c r="VXS108" s="530"/>
      <c r="VXT108" s="531"/>
      <c r="VXU108" s="530"/>
      <c r="VXV108" s="531"/>
      <c r="VXW108" s="530"/>
      <c r="VXX108" s="531"/>
      <c r="VXY108" s="530"/>
      <c r="VXZ108" s="531"/>
      <c r="VYA108" s="530"/>
      <c r="VYB108" s="531"/>
      <c r="VYC108" s="530"/>
      <c r="VYD108" s="531"/>
      <c r="VYE108" s="530"/>
      <c r="VYF108" s="531"/>
      <c r="VYG108" s="530"/>
      <c r="VYH108" s="531"/>
      <c r="VYI108" s="530"/>
      <c r="VYJ108" s="531"/>
      <c r="VYK108" s="530"/>
      <c r="VYL108" s="531"/>
      <c r="VYM108" s="530"/>
      <c r="VYN108" s="531"/>
      <c r="VYO108" s="530"/>
      <c r="VYP108" s="531"/>
      <c r="VYQ108" s="530"/>
      <c r="VYR108" s="531"/>
      <c r="VYS108" s="530"/>
      <c r="VYT108" s="531"/>
      <c r="VYU108" s="530"/>
      <c r="VYV108" s="531"/>
      <c r="VYW108" s="530"/>
      <c r="VYX108" s="531"/>
      <c r="VYY108" s="530"/>
      <c r="VYZ108" s="531"/>
      <c r="VZA108" s="530"/>
      <c r="VZB108" s="531"/>
      <c r="VZC108" s="530"/>
      <c r="VZD108" s="531"/>
      <c r="VZE108" s="530"/>
      <c r="VZF108" s="531"/>
      <c r="VZG108" s="530"/>
      <c r="VZH108" s="531"/>
      <c r="VZI108" s="530"/>
      <c r="VZJ108" s="531"/>
      <c r="VZK108" s="530"/>
      <c r="VZL108" s="531"/>
      <c r="VZM108" s="530"/>
      <c r="VZN108" s="531"/>
      <c r="VZO108" s="530"/>
      <c r="VZP108" s="531"/>
      <c r="VZQ108" s="530"/>
      <c r="VZR108" s="531"/>
      <c r="VZS108" s="530"/>
      <c r="VZT108" s="531"/>
      <c r="VZU108" s="530"/>
      <c r="VZV108" s="531"/>
      <c r="VZW108" s="530"/>
      <c r="VZX108" s="531"/>
      <c r="VZY108" s="530"/>
      <c r="VZZ108" s="531"/>
      <c r="WAA108" s="530"/>
      <c r="WAB108" s="531"/>
      <c r="WAC108" s="530"/>
      <c r="WAD108" s="531"/>
      <c r="WAE108" s="530"/>
      <c r="WAF108" s="531"/>
      <c r="WAG108" s="530"/>
      <c r="WAH108" s="531"/>
      <c r="WAI108" s="530"/>
      <c r="WAJ108" s="531"/>
      <c r="WAK108" s="530"/>
      <c r="WAL108" s="531"/>
      <c r="WAM108" s="530"/>
      <c r="WAN108" s="531"/>
      <c r="WAO108" s="530"/>
      <c r="WAP108" s="531"/>
      <c r="WAQ108" s="530"/>
      <c r="WAR108" s="531"/>
      <c r="WAS108" s="530"/>
      <c r="WAT108" s="531"/>
      <c r="WAU108" s="530"/>
      <c r="WAV108" s="531"/>
      <c r="WAW108" s="530"/>
      <c r="WAX108" s="531"/>
      <c r="WAY108" s="530"/>
      <c r="WAZ108" s="531"/>
      <c r="WBA108" s="530"/>
      <c r="WBB108" s="531"/>
      <c r="WBC108" s="530"/>
      <c r="WBD108" s="531"/>
      <c r="WBE108" s="530"/>
      <c r="WBF108" s="531"/>
      <c r="WBG108" s="530"/>
      <c r="WBH108" s="531"/>
      <c r="WBI108" s="530"/>
      <c r="WBJ108" s="531"/>
      <c r="WBK108" s="530"/>
      <c r="WBL108" s="531"/>
      <c r="WBM108" s="530"/>
      <c r="WBN108" s="531"/>
      <c r="WBO108" s="530"/>
      <c r="WBP108" s="531"/>
      <c r="WBQ108" s="530"/>
      <c r="WBR108" s="531"/>
      <c r="WBS108" s="530"/>
      <c r="WBT108" s="531"/>
      <c r="WBU108" s="530"/>
      <c r="WBV108" s="531"/>
      <c r="WBW108" s="530"/>
      <c r="WBX108" s="531"/>
      <c r="WBY108" s="530"/>
      <c r="WBZ108" s="531"/>
      <c r="WCA108" s="530"/>
      <c r="WCB108" s="531"/>
      <c r="WCC108" s="530"/>
      <c r="WCD108" s="531"/>
      <c r="WCE108" s="530"/>
      <c r="WCF108" s="531"/>
      <c r="WCG108" s="530"/>
      <c r="WCH108" s="531"/>
      <c r="WCI108" s="530"/>
      <c r="WCJ108" s="531"/>
      <c r="WCK108" s="530"/>
      <c r="WCL108" s="531"/>
      <c r="WCM108" s="530"/>
      <c r="WCN108" s="531"/>
      <c r="WCO108" s="530"/>
      <c r="WCP108" s="531"/>
      <c r="WCQ108" s="530"/>
      <c r="WCR108" s="531"/>
      <c r="WCS108" s="530"/>
      <c r="WCT108" s="531"/>
      <c r="WCU108" s="530"/>
      <c r="WCV108" s="531"/>
      <c r="WCW108" s="530"/>
      <c r="WCX108" s="531"/>
      <c r="WCY108" s="530"/>
      <c r="WCZ108" s="531"/>
      <c r="WDA108" s="530"/>
      <c r="WDB108" s="531"/>
      <c r="WDC108" s="530"/>
      <c r="WDD108" s="531"/>
      <c r="WDE108" s="530"/>
      <c r="WDF108" s="531"/>
      <c r="WDG108" s="530"/>
      <c r="WDH108" s="531"/>
      <c r="WDI108" s="530"/>
      <c r="WDJ108" s="531"/>
      <c r="WDK108" s="530"/>
      <c r="WDL108" s="531"/>
      <c r="WDM108" s="530"/>
      <c r="WDN108" s="531"/>
      <c r="WDO108" s="530"/>
      <c r="WDP108" s="531"/>
      <c r="WDQ108" s="530"/>
      <c r="WDR108" s="531"/>
      <c r="WDS108" s="530"/>
      <c r="WDT108" s="531"/>
      <c r="WDU108" s="530"/>
      <c r="WDV108" s="531"/>
      <c r="WDW108" s="530"/>
      <c r="WDX108" s="531"/>
      <c r="WDY108" s="530"/>
      <c r="WDZ108" s="531"/>
      <c r="WEA108" s="530"/>
      <c r="WEB108" s="531"/>
      <c r="WEC108" s="530"/>
      <c r="WED108" s="531"/>
      <c r="WEE108" s="530"/>
      <c r="WEF108" s="531"/>
      <c r="WEG108" s="530"/>
      <c r="WEH108" s="531"/>
      <c r="WEI108" s="530"/>
      <c r="WEJ108" s="531"/>
      <c r="WEK108" s="530"/>
      <c r="WEL108" s="531"/>
      <c r="WEM108" s="530"/>
      <c r="WEN108" s="531"/>
      <c r="WEO108" s="530"/>
      <c r="WEP108" s="531"/>
      <c r="WEQ108" s="530"/>
      <c r="WER108" s="531"/>
      <c r="WES108" s="530"/>
      <c r="WET108" s="531"/>
      <c r="WEU108" s="530"/>
      <c r="WEV108" s="531"/>
      <c r="WEW108" s="530"/>
      <c r="WEX108" s="531"/>
      <c r="WEY108" s="530"/>
      <c r="WEZ108" s="531"/>
      <c r="WFA108" s="530"/>
      <c r="WFB108" s="531"/>
      <c r="WFC108" s="530"/>
      <c r="WFD108" s="531"/>
      <c r="WFE108" s="530"/>
      <c r="WFF108" s="531"/>
      <c r="WFG108" s="530"/>
      <c r="WFH108" s="531"/>
      <c r="WFI108" s="530"/>
      <c r="WFJ108" s="531"/>
      <c r="WFK108" s="530"/>
      <c r="WFL108" s="531"/>
      <c r="WFM108" s="530"/>
      <c r="WFN108" s="531"/>
      <c r="WFO108" s="530"/>
      <c r="WFP108" s="531"/>
      <c r="WFQ108" s="530"/>
      <c r="WFR108" s="531"/>
      <c r="WFS108" s="530"/>
      <c r="WFT108" s="531"/>
      <c r="WFU108" s="530"/>
      <c r="WFV108" s="531"/>
      <c r="WFW108" s="530"/>
      <c r="WFX108" s="531"/>
      <c r="WFY108" s="530"/>
      <c r="WFZ108" s="531"/>
      <c r="WGA108" s="530"/>
      <c r="WGB108" s="531"/>
      <c r="WGC108" s="530"/>
      <c r="WGD108" s="531"/>
      <c r="WGE108" s="530"/>
      <c r="WGF108" s="531"/>
      <c r="WGG108" s="530"/>
      <c r="WGH108" s="531"/>
      <c r="WGI108" s="530"/>
      <c r="WGJ108" s="531"/>
      <c r="WGK108" s="530"/>
      <c r="WGL108" s="531"/>
      <c r="WGM108" s="530"/>
      <c r="WGN108" s="531"/>
      <c r="WGO108" s="530"/>
      <c r="WGP108" s="531"/>
      <c r="WGQ108" s="530"/>
      <c r="WGR108" s="531"/>
      <c r="WGS108" s="530"/>
      <c r="WGT108" s="531"/>
      <c r="WGU108" s="530"/>
      <c r="WGV108" s="531"/>
      <c r="WGW108" s="530"/>
      <c r="WGX108" s="531"/>
      <c r="WGY108" s="530"/>
      <c r="WGZ108" s="531"/>
      <c r="WHA108" s="530"/>
      <c r="WHB108" s="531"/>
      <c r="WHC108" s="530"/>
      <c r="WHD108" s="531"/>
      <c r="WHE108" s="530"/>
      <c r="WHF108" s="531"/>
      <c r="WHG108" s="530"/>
      <c r="WHH108" s="531"/>
      <c r="WHI108" s="530"/>
      <c r="WHJ108" s="531"/>
      <c r="WHK108" s="530"/>
      <c r="WHL108" s="531"/>
      <c r="WHM108" s="530"/>
      <c r="WHN108" s="531"/>
      <c r="WHO108" s="530"/>
      <c r="WHP108" s="531"/>
      <c r="WHQ108" s="530"/>
      <c r="WHR108" s="531"/>
      <c r="WHS108" s="530"/>
      <c r="WHT108" s="531"/>
      <c r="WHU108" s="530"/>
      <c r="WHV108" s="531"/>
      <c r="WHW108" s="530"/>
      <c r="WHX108" s="531"/>
      <c r="WHY108" s="530"/>
      <c r="WHZ108" s="531"/>
      <c r="WIA108" s="530"/>
      <c r="WIB108" s="531"/>
      <c r="WIC108" s="530"/>
      <c r="WID108" s="531"/>
      <c r="WIE108" s="530"/>
      <c r="WIF108" s="531"/>
      <c r="WIG108" s="530"/>
      <c r="WIH108" s="531"/>
      <c r="WII108" s="530"/>
      <c r="WIJ108" s="531"/>
      <c r="WIK108" s="530"/>
      <c r="WIL108" s="531"/>
      <c r="WIM108" s="530"/>
      <c r="WIN108" s="531"/>
      <c r="WIO108" s="530"/>
      <c r="WIP108" s="531"/>
      <c r="WIQ108" s="530"/>
      <c r="WIR108" s="531"/>
      <c r="WIS108" s="530"/>
      <c r="WIT108" s="531"/>
      <c r="WIU108" s="530"/>
      <c r="WIV108" s="531"/>
      <c r="WIW108" s="530"/>
      <c r="WIX108" s="531"/>
      <c r="WIY108" s="530"/>
      <c r="WIZ108" s="531"/>
      <c r="WJA108" s="530"/>
      <c r="WJB108" s="531"/>
      <c r="WJC108" s="530"/>
      <c r="WJD108" s="531"/>
      <c r="WJE108" s="530"/>
      <c r="WJF108" s="531"/>
      <c r="WJG108" s="530"/>
      <c r="WJH108" s="531"/>
      <c r="WJI108" s="530"/>
      <c r="WJJ108" s="531"/>
      <c r="WJK108" s="530"/>
      <c r="WJL108" s="531"/>
      <c r="WJM108" s="530"/>
      <c r="WJN108" s="531"/>
      <c r="WJO108" s="530"/>
      <c r="WJP108" s="531"/>
      <c r="WJQ108" s="530"/>
      <c r="WJR108" s="531"/>
      <c r="WJS108" s="530"/>
      <c r="WJT108" s="531"/>
      <c r="WJU108" s="530"/>
      <c r="WJV108" s="531"/>
      <c r="WJW108" s="530"/>
      <c r="WJX108" s="531"/>
      <c r="WJY108" s="530"/>
      <c r="WJZ108" s="531"/>
      <c r="WKA108" s="530"/>
      <c r="WKB108" s="531"/>
      <c r="WKC108" s="530"/>
      <c r="WKD108" s="531"/>
      <c r="WKE108" s="530"/>
      <c r="WKF108" s="531"/>
      <c r="WKG108" s="530"/>
      <c r="WKH108" s="531"/>
      <c r="WKI108" s="530"/>
      <c r="WKJ108" s="531"/>
      <c r="WKK108" s="530"/>
      <c r="WKL108" s="531"/>
      <c r="WKM108" s="530"/>
      <c r="WKN108" s="531"/>
      <c r="WKO108" s="530"/>
      <c r="WKP108" s="531"/>
      <c r="WKQ108" s="530"/>
      <c r="WKR108" s="531"/>
      <c r="WKS108" s="530"/>
      <c r="WKT108" s="531"/>
      <c r="WKU108" s="530"/>
      <c r="WKV108" s="531"/>
      <c r="WKW108" s="530"/>
      <c r="WKX108" s="531"/>
      <c r="WKY108" s="530"/>
      <c r="WKZ108" s="531"/>
      <c r="WLA108" s="530"/>
      <c r="WLB108" s="531"/>
      <c r="WLC108" s="530"/>
      <c r="WLD108" s="531"/>
      <c r="WLE108" s="530"/>
      <c r="WLF108" s="531"/>
      <c r="WLG108" s="530"/>
      <c r="WLH108" s="531"/>
      <c r="WLI108" s="530"/>
      <c r="WLJ108" s="531"/>
      <c r="WLK108" s="530"/>
      <c r="WLL108" s="531"/>
      <c r="WLM108" s="530"/>
      <c r="WLN108" s="531"/>
      <c r="WLO108" s="530"/>
      <c r="WLP108" s="531"/>
      <c r="WLQ108" s="530"/>
      <c r="WLR108" s="531"/>
      <c r="WLS108" s="530"/>
      <c r="WLT108" s="531"/>
      <c r="WLU108" s="530"/>
      <c r="WLV108" s="531"/>
      <c r="WLW108" s="530"/>
      <c r="WLX108" s="531"/>
      <c r="WLY108" s="530"/>
      <c r="WLZ108" s="531"/>
      <c r="WMA108" s="530"/>
      <c r="WMB108" s="531"/>
      <c r="WMC108" s="530"/>
      <c r="WMD108" s="531"/>
      <c r="WME108" s="530"/>
      <c r="WMF108" s="531"/>
      <c r="WMG108" s="530"/>
      <c r="WMH108" s="531"/>
      <c r="WMI108" s="530"/>
      <c r="WMJ108" s="531"/>
      <c r="WMK108" s="530"/>
      <c r="WML108" s="531"/>
      <c r="WMM108" s="530"/>
      <c r="WMN108" s="531"/>
      <c r="WMO108" s="530"/>
      <c r="WMP108" s="531"/>
      <c r="WMQ108" s="530"/>
      <c r="WMR108" s="531"/>
      <c r="WMS108" s="530"/>
      <c r="WMT108" s="531"/>
      <c r="WMU108" s="530"/>
      <c r="WMV108" s="531"/>
      <c r="WMW108" s="530"/>
      <c r="WMX108" s="531"/>
      <c r="WMY108" s="530"/>
      <c r="WMZ108" s="531"/>
      <c r="WNA108" s="530"/>
      <c r="WNB108" s="531"/>
      <c r="WNC108" s="530"/>
      <c r="WND108" s="531"/>
      <c r="WNE108" s="530"/>
      <c r="WNF108" s="531"/>
      <c r="WNG108" s="530"/>
      <c r="WNH108" s="531"/>
      <c r="WNI108" s="530"/>
      <c r="WNJ108" s="531"/>
      <c r="WNK108" s="530"/>
      <c r="WNL108" s="531"/>
      <c r="WNM108" s="530"/>
      <c r="WNN108" s="531"/>
      <c r="WNO108" s="530"/>
      <c r="WNP108" s="531"/>
      <c r="WNQ108" s="530"/>
      <c r="WNR108" s="531"/>
      <c r="WNS108" s="530"/>
      <c r="WNT108" s="531"/>
      <c r="WNU108" s="530"/>
      <c r="WNV108" s="531"/>
      <c r="WNW108" s="530"/>
      <c r="WNX108" s="531"/>
      <c r="WNY108" s="530"/>
      <c r="WNZ108" s="531"/>
      <c r="WOA108" s="530"/>
      <c r="WOB108" s="531"/>
      <c r="WOC108" s="530"/>
      <c r="WOD108" s="531"/>
      <c r="WOE108" s="530"/>
      <c r="WOF108" s="531"/>
      <c r="WOG108" s="530"/>
      <c r="WOH108" s="531"/>
      <c r="WOI108" s="530"/>
      <c r="WOJ108" s="531"/>
      <c r="WOK108" s="530"/>
      <c r="WOL108" s="531"/>
      <c r="WOM108" s="530"/>
      <c r="WON108" s="531"/>
      <c r="WOO108" s="530"/>
      <c r="WOP108" s="531"/>
      <c r="WOQ108" s="530"/>
      <c r="WOR108" s="531"/>
      <c r="WOS108" s="530"/>
      <c r="WOT108" s="531"/>
      <c r="WOU108" s="530"/>
      <c r="WOV108" s="531"/>
      <c r="WOW108" s="530"/>
      <c r="WOX108" s="531"/>
      <c r="WOY108" s="530"/>
      <c r="WOZ108" s="531"/>
      <c r="WPA108" s="530"/>
      <c r="WPB108" s="531"/>
      <c r="WPC108" s="530"/>
      <c r="WPD108" s="531"/>
      <c r="WPE108" s="530"/>
      <c r="WPF108" s="531"/>
      <c r="WPG108" s="530"/>
      <c r="WPH108" s="531"/>
      <c r="WPI108" s="530"/>
      <c r="WPJ108" s="531"/>
      <c r="WPK108" s="530"/>
      <c r="WPL108" s="531"/>
      <c r="WPM108" s="530"/>
      <c r="WPN108" s="531"/>
      <c r="WPO108" s="530"/>
      <c r="WPP108" s="531"/>
      <c r="WPQ108" s="530"/>
      <c r="WPR108" s="531"/>
      <c r="WPS108" s="530"/>
      <c r="WPT108" s="531"/>
      <c r="WPU108" s="530"/>
      <c r="WPV108" s="531"/>
      <c r="WPW108" s="530"/>
      <c r="WPX108" s="531"/>
      <c r="WPY108" s="530"/>
      <c r="WPZ108" s="531"/>
      <c r="WQA108" s="530"/>
      <c r="WQB108" s="531"/>
      <c r="WQC108" s="530"/>
      <c r="WQD108" s="531"/>
      <c r="WQE108" s="530"/>
      <c r="WQF108" s="531"/>
      <c r="WQG108" s="530"/>
      <c r="WQH108" s="531"/>
      <c r="WQI108" s="530"/>
      <c r="WQJ108" s="531"/>
      <c r="WQK108" s="530"/>
      <c r="WQL108" s="531"/>
      <c r="WQM108" s="530"/>
      <c r="WQN108" s="531"/>
      <c r="WQO108" s="530"/>
      <c r="WQP108" s="531"/>
      <c r="WQQ108" s="530"/>
      <c r="WQR108" s="531"/>
      <c r="WQS108" s="530"/>
      <c r="WQT108" s="531"/>
      <c r="WQU108" s="530"/>
      <c r="WQV108" s="531"/>
      <c r="WQW108" s="530"/>
      <c r="WQX108" s="531"/>
      <c r="WQY108" s="530"/>
      <c r="WQZ108" s="531"/>
      <c r="WRA108" s="530"/>
      <c r="WRB108" s="531"/>
      <c r="WRC108" s="530"/>
      <c r="WRD108" s="531"/>
      <c r="WRE108" s="530"/>
      <c r="WRF108" s="531"/>
      <c r="WRG108" s="530"/>
      <c r="WRH108" s="531"/>
      <c r="WRI108" s="530"/>
      <c r="WRJ108" s="531"/>
      <c r="WRK108" s="530"/>
      <c r="WRL108" s="531"/>
      <c r="WRM108" s="530"/>
      <c r="WRN108" s="531"/>
      <c r="WRO108" s="530"/>
      <c r="WRP108" s="531"/>
      <c r="WRQ108" s="530"/>
      <c r="WRR108" s="531"/>
      <c r="WRS108" s="530"/>
      <c r="WRT108" s="531"/>
      <c r="WRU108" s="530"/>
      <c r="WRV108" s="531"/>
      <c r="WRW108" s="530"/>
      <c r="WRX108" s="531"/>
      <c r="WRY108" s="530"/>
      <c r="WRZ108" s="531"/>
      <c r="WSA108" s="530"/>
      <c r="WSB108" s="531"/>
      <c r="WSC108" s="530"/>
      <c r="WSD108" s="531"/>
      <c r="WSE108" s="530"/>
      <c r="WSF108" s="531"/>
      <c r="WSG108" s="530"/>
      <c r="WSH108" s="531"/>
      <c r="WSI108" s="530"/>
      <c r="WSJ108" s="531"/>
      <c r="WSK108" s="530"/>
      <c r="WSL108" s="531"/>
      <c r="WSM108" s="530"/>
      <c r="WSN108" s="531"/>
      <c r="WSO108" s="530"/>
      <c r="WSP108" s="531"/>
      <c r="WSQ108" s="530"/>
      <c r="WSR108" s="531"/>
      <c r="WSS108" s="530"/>
      <c r="WST108" s="531"/>
      <c r="WSU108" s="530"/>
      <c r="WSV108" s="531"/>
      <c r="WSW108" s="530"/>
      <c r="WSX108" s="531"/>
      <c r="WSY108" s="530"/>
      <c r="WSZ108" s="531"/>
      <c r="WTA108" s="530"/>
      <c r="WTB108" s="531"/>
      <c r="WTC108" s="530"/>
      <c r="WTD108" s="531"/>
      <c r="WTE108" s="530"/>
      <c r="WTF108" s="531"/>
      <c r="WTG108" s="530"/>
      <c r="WTH108" s="531"/>
      <c r="WTI108" s="530"/>
      <c r="WTJ108" s="531"/>
      <c r="WTK108" s="530"/>
      <c r="WTL108" s="531"/>
      <c r="WTM108" s="530"/>
      <c r="WTN108" s="531"/>
      <c r="WTO108" s="530"/>
      <c r="WTP108" s="531"/>
      <c r="WTQ108" s="530"/>
      <c r="WTR108" s="531"/>
      <c r="WTS108" s="530"/>
      <c r="WTT108" s="531"/>
      <c r="WTU108" s="530"/>
      <c r="WTV108" s="531"/>
      <c r="WTW108" s="530"/>
      <c r="WTX108" s="531"/>
      <c r="WTY108" s="530"/>
      <c r="WTZ108" s="531"/>
      <c r="WUA108" s="530"/>
      <c r="WUB108" s="531"/>
      <c r="WUC108" s="530"/>
      <c r="WUD108" s="531"/>
      <c r="WUE108" s="530"/>
      <c r="WUF108" s="531"/>
      <c r="WUG108" s="530"/>
      <c r="WUH108" s="531"/>
      <c r="WUI108" s="530"/>
      <c r="WUJ108" s="531"/>
      <c r="WUK108" s="530"/>
      <c r="WUL108" s="531"/>
      <c r="WUM108" s="530"/>
      <c r="WUN108" s="531"/>
      <c r="WUO108" s="530"/>
      <c r="WUP108" s="531"/>
      <c r="WUQ108" s="530"/>
      <c r="WUR108" s="531"/>
      <c r="WUS108" s="530"/>
      <c r="WUT108" s="531"/>
      <c r="WUU108" s="530"/>
      <c r="WUV108" s="531"/>
      <c r="WUW108" s="530"/>
      <c r="WUX108" s="531"/>
      <c r="WUY108" s="530"/>
      <c r="WUZ108" s="531"/>
      <c r="WVA108" s="530"/>
      <c r="WVB108" s="531"/>
      <c r="WVC108" s="530"/>
      <c r="WVD108" s="531"/>
      <c r="WVE108" s="530"/>
      <c r="WVF108" s="531"/>
      <c r="WVG108" s="530"/>
      <c r="WVH108" s="531"/>
      <c r="WVI108" s="530"/>
      <c r="WVJ108" s="531"/>
      <c r="WVK108" s="530"/>
      <c r="WVL108" s="531"/>
      <c r="WVM108" s="530"/>
      <c r="WVN108" s="531"/>
      <c r="WVO108" s="530"/>
      <c r="WVP108" s="531"/>
      <c r="WVQ108" s="530"/>
      <c r="WVR108" s="531"/>
      <c r="WVS108" s="530"/>
      <c r="WVT108" s="531"/>
      <c r="WVU108" s="530"/>
      <c r="WVV108" s="531"/>
      <c r="WVW108" s="530"/>
      <c r="WVX108" s="531"/>
      <c r="WVY108" s="530"/>
      <c r="WVZ108" s="531"/>
      <c r="WWA108" s="530"/>
      <c r="WWB108" s="531"/>
      <c r="WWC108" s="530"/>
      <c r="WWD108" s="531"/>
      <c r="WWE108" s="530"/>
      <c r="WWF108" s="531"/>
      <c r="WWG108" s="530"/>
      <c r="WWH108" s="531"/>
      <c r="WWI108" s="530"/>
      <c r="WWJ108" s="531"/>
      <c r="WWK108" s="530"/>
      <c r="WWL108" s="531"/>
      <c r="WWM108" s="530"/>
      <c r="WWN108" s="531"/>
      <c r="WWO108" s="530"/>
      <c r="WWP108" s="531"/>
      <c r="WWQ108" s="530"/>
      <c r="WWR108" s="531"/>
      <c r="WWS108" s="530"/>
      <c r="WWT108" s="531"/>
      <c r="WWU108" s="530"/>
      <c r="WWV108" s="531"/>
      <c r="WWW108" s="530"/>
      <c r="WWX108" s="531"/>
      <c r="WWY108" s="530"/>
      <c r="WWZ108" s="531"/>
      <c r="WXA108" s="530"/>
      <c r="WXB108" s="531"/>
      <c r="WXC108" s="530"/>
      <c r="WXD108" s="531"/>
      <c r="WXE108" s="530"/>
      <c r="WXF108" s="531"/>
      <c r="WXG108" s="530"/>
      <c r="WXH108" s="531"/>
      <c r="WXI108" s="530"/>
      <c r="WXJ108" s="531"/>
      <c r="WXK108" s="530"/>
      <c r="WXL108" s="531"/>
      <c r="WXM108" s="530"/>
      <c r="WXN108" s="531"/>
      <c r="WXO108" s="530"/>
      <c r="WXP108" s="531"/>
      <c r="WXQ108" s="530"/>
      <c r="WXR108" s="531"/>
      <c r="WXS108" s="530"/>
      <c r="WXT108" s="531"/>
      <c r="WXU108" s="530"/>
      <c r="WXV108" s="531"/>
      <c r="WXW108" s="530"/>
      <c r="WXX108" s="531"/>
      <c r="WXY108" s="530"/>
      <c r="WXZ108" s="531"/>
      <c r="WYA108" s="530"/>
      <c r="WYB108" s="531"/>
      <c r="WYC108" s="530"/>
      <c r="WYD108" s="531"/>
      <c r="WYE108" s="530"/>
      <c r="WYF108" s="531"/>
      <c r="WYG108" s="530"/>
      <c r="WYH108" s="531"/>
      <c r="WYI108" s="530"/>
      <c r="WYJ108" s="531"/>
      <c r="WYK108" s="530"/>
      <c r="WYL108" s="531"/>
      <c r="WYM108" s="530"/>
      <c r="WYN108" s="531"/>
      <c r="WYO108" s="530"/>
      <c r="WYP108" s="531"/>
      <c r="WYQ108" s="530"/>
      <c r="WYR108" s="531"/>
      <c r="WYS108" s="530"/>
      <c r="WYT108" s="531"/>
      <c r="WYU108" s="530"/>
      <c r="WYV108" s="531"/>
      <c r="WYW108" s="530"/>
      <c r="WYX108" s="531"/>
      <c r="WYY108" s="530"/>
      <c r="WYZ108" s="531"/>
      <c r="WZA108" s="530"/>
      <c r="WZB108" s="531"/>
      <c r="WZC108" s="530"/>
      <c r="WZD108" s="531"/>
      <c r="WZE108" s="530"/>
      <c r="WZF108" s="531"/>
      <c r="WZG108" s="530"/>
      <c r="WZH108" s="531"/>
      <c r="WZI108" s="530"/>
      <c r="WZJ108" s="531"/>
      <c r="WZK108" s="530"/>
      <c r="WZL108" s="531"/>
      <c r="WZM108" s="530"/>
      <c r="WZN108" s="531"/>
      <c r="WZO108" s="530"/>
      <c r="WZP108" s="531"/>
      <c r="WZQ108" s="530"/>
      <c r="WZR108" s="531"/>
      <c r="WZS108" s="530"/>
      <c r="WZT108" s="531"/>
      <c r="WZU108" s="530"/>
      <c r="WZV108" s="531"/>
      <c r="WZW108" s="530"/>
      <c r="WZX108" s="531"/>
      <c r="WZY108" s="530"/>
      <c r="WZZ108" s="531"/>
      <c r="XAA108" s="530"/>
      <c r="XAB108" s="531"/>
      <c r="XAC108" s="530"/>
      <c r="XAD108" s="531"/>
      <c r="XAE108" s="530"/>
      <c r="XAF108" s="531"/>
      <c r="XAG108" s="530"/>
      <c r="XAH108" s="531"/>
      <c r="XAI108" s="530"/>
      <c r="XAJ108" s="531"/>
      <c r="XAK108" s="530"/>
      <c r="XAL108" s="531"/>
      <c r="XAM108" s="530"/>
      <c r="XAN108" s="531"/>
      <c r="XAO108" s="530"/>
      <c r="XAP108" s="531"/>
      <c r="XAQ108" s="530"/>
      <c r="XAR108" s="531"/>
      <c r="XAS108" s="530"/>
      <c r="XAT108" s="531"/>
      <c r="XAU108" s="530"/>
      <c r="XAV108" s="531"/>
      <c r="XAW108" s="530"/>
      <c r="XAX108" s="531"/>
      <c r="XAY108" s="530"/>
      <c r="XAZ108" s="531"/>
      <c r="XBA108" s="530"/>
      <c r="XBB108" s="531"/>
      <c r="XBC108" s="530"/>
      <c r="XBD108" s="531"/>
      <c r="XBE108" s="530"/>
      <c r="XBF108" s="531"/>
      <c r="XBG108" s="530"/>
      <c r="XBH108" s="531"/>
      <c r="XBI108" s="530"/>
      <c r="XBJ108" s="531"/>
      <c r="XBK108" s="530"/>
      <c r="XBL108" s="531"/>
      <c r="XBM108" s="530"/>
      <c r="XBN108" s="531"/>
      <c r="XBO108" s="530"/>
      <c r="XBP108" s="531"/>
      <c r="XBQ108" s="530"/>
      <c r="XBR108" s="531"/>
      <c r="XBS108" s="530"/>
      <c r="XBT108" s="531"/>
      <c r="XBU108" s="530"/>
      <c r="XBV108" s="531"/>
      <c r="XBW108" s="530"/>
      <c r="XBX108" s="531"/>
      <c r="XBY108" s="530"/>
      <c r="XBZ108" s="531"/>
      <c r="XCA108" s="530"/>
      <c r="XCB108" s="531"/>
      <c r="XCC108" s="530"/>
      <c r="XCD108" s="531"/>
      <c r="XCE108" s="530"/>
      <c r="XCF108" s="531"/>
      <c r="XCG108" s="530"/>
      <c r="XCH108" s="531"/>
      <c r="XCI108" s="530"/>
      <c r="XCJ108" s="531"/>
      <c r="XCK108" s="530"/>
      <c r="XCL108" s="531"/>
      <c r="XCM108" s="530"/>
      <c r="XCN108" s="531"/>
      <c r="XCO108" s="530"/>
      <c r="XCP108" s="531"/>
      <c r="XCQ108" s="530"/>
      <c r="XCR108" s="531"/>
      <c r="XCS108" s="530"/>
      <c r="XCT108" s="531"/>
      <c r="XCU108" s="530"/>
      <c r="XCV108" s="531"/>
      <c r="XCW108" s="530"/>
      <c r="XCX108" s="531"/>
      <c r="XCY108" s="530"/>
      <c r="XCZ108" s="531"/>
      <c r="XDA108" s="530"/>
      <c r="XDB108" s="531"/>
      <c r="XDC108" s="530"/>
      <c r="XDD108" s="531"/>
      <c r="XDE108" s="530"/>
      <c r="XDF108" s="531"/>
      <c r="XDG108" s="530"/>
      <c r="XDH108" s="531"/>
      <c r="XDI108" s="530"/>
      <c r="XDJ108" s="531"/>
      <c r="XDK108" s="530"/>
      <c r="XDL108" s="531"/>
      <c r="XDM108" s="530"/>
      <c r="XDN108" s="531"/>
      <c r="XDO108" s="530"/>
      <c r="XDP108" s="531"/>
      <c r="XDQ108" s="530"/>
      <c r="XDR108" s="531"/>
      <c r="XDS108" s="530"/>
      <c r="XDT108" s="531"/>
      <c r="XDU108" s="530"/>
      <c r="XDV108" s="531"/>
      <c r="XDW108" s="530"/>
      <c r="XDX108" s="531"/>
      <c r="XDY108" s="530"/>
      <c r="XDZ108" s="531"/>
      <c r="XEA108" s="530"/>
      <c r="XEB108" s="531"/>
      <c r="XEC108" s="530"/>
      <c r="XED108" s="531"/>
      <c r="XEE108" s="530"/>
      <c r="XEF108" s="531"/>
      <c r="XEG108" s="530"/>
      <c r="XEH108" s="531"/>
      <c r="XEI108" s="530"/>
      <c r="XEJ108" s="531"/>
      <c r="XEK108" s="530"/>
      <c r="XEL108" s="531"/>
      <c r="XEM108" s="530"/>
      <c r="XEN108" s="531"/>
      <c r="XEO108" s="530"/>
      <c r="XEP108" s="531"/>
      <c r="XEQ108" s="530"/>
      <c r="XER108" s="531"/>
      <c r="XES108" s="530"/>
      <c r="XET108" s="531"/>
      <c r="XEU108" s="530"/>
      <c r="XEV108" s="531"/>
      <c r="XEW108" s="530"/>
      <c r="XEX108" s="531"/>
      <c r="XEY108" s="530"/>
      <c r="XEZ108" s="531"/>
      <c r="XFA108" s="530"/>
      <c r="XFB108" s="531"/>
      <c r="XFC108" s="530"/>
      <c r="XFD108" s="531"/>
    </row>
    <row r="109" spans="1:16384" s="520" customFormat="1" ht="95.15" customHeight="1">
      <c r="A109" s="523"/>
      <c r="B109" s="523"/>
      <c r="C109" s="524"/>
      <c r="D109" s="523"/>
      <c r="E109" s="524"/>
      <c r="F109" s="523"/>
      <c r="G109" s="524"/>
      <c r="H109" s="524"/>
      <c r="I109" s="525"/>
      <c r="J109" s="525"/>
      <c r="K109" s="524"/>
      <c r="L109" s="524"/>
      <c r="M109" s="524"/>
      <c r="N109" s="524"/>
      <c r="O109" s="524"/>
      <c r="P109" s="524"/>
      <c r="Q109" s="524"/>
      <c r="R109" s="524"/>
      <c r="S109" s="524"/>
      <c r="T109" s="524"/>
      <c r="U109" s="524"/>
      <c r="V109" s="524"/>
      <c r="W109" s="524"/>
      <c r="X109" s="524"/>
      <c r="Y109" s="524"/>
      <c r="Z109" s="524"/>
      <c r="AA109" s="526"/>
      <c r="AB109" s="523"/>
      <c r="AC109" s="530"/>
      <c r="AD109" s="531"/>
      <c r="AE109" s="530"/>
      <c r="AF109" s="531"/>
      <c r="AG109" s="530"/>
      <c r="AH109" s="531"/>
      <c r="AI109" s="530"/>
      <c r="AJ109" s="531"/>
      <c r="AK109" s="530"/>
      <c r="AL109" s="531"/>
      <c r="AM109" s="530"/>
      <c r="AN109" s="531"/>
      <c r="AO109" s="530"/>
      <c r="AP109" s="531"/>
      <c r="AQ109" s="530"/>
      <c r="AR109" s="531"/>
      <c r="AS109" s="530"/>
      <c r="AT109" s="531"/>
      <c r="AU109" s="530"/>
      <c r="AV109" s="531"/>
      <c r="AW109" s="530"/>
      <c r="AX109" s="531"/>
      <c r="AY109" s="530"/>
      <c r="AZ109" s="531"/>
      <c r="BA109" s="530"/>
      <c r="BB109" s="531"/>
      <c r="BC109" s="530"/>
      <c r="BD109" s="531"/>
      <c r="BE109" s="530"/>
      <c r="BF109" s="531"/>
      <c r="BG109" s="530"/>
      <c r="BH109" s="531"/>
      <c r="BI109" s="530"/>
      <c r="BJ109" s="531"/>
      <c r="BK109" s="530"/>
      <c r="BL109" s="531"/>
      <c r="BM109" s="530"/>
      <c r="BN109" s="531"/>
      <c r="BO109" s="530"/>
      <c r="BP109" s="531"/>
      <c r="BQ109" s="530"/>
      <c r="BR109" s="531"/>
      <c r="BS109" s="530"/>
      <c r="BT109" s="531"/>
      <c r="BU109" s="530"/>
      <c r="BV109" s="531"/>
      <c r="BW109" s="530"/>
      <c r="BX109" s="531"/>
      <c r="BY109" s="530"/>
      <c r="BZ109" s="531"/>
      <c r="CA109" s="530"/>
      <c r="CB109" s="531"/>
      <c r="CC109" s="530"/>
      <c r="CD109" s="531"/>
      <c r="CE109" s="530"/>
      <c r="CF109" s="531"/>
      <c r="CG109" s="530"/>
      <c r="CH109" s="531"/>
      <c r="CI109" s="530"/>
      <c r="CJ109" s="531"/>
      <c r="CK109" s="530"/>
      <c r="CL109" s="531"/>
      <c r="CM109" s="530"/>
      <c r="CN109" s="531"/>
      <c r="CO109" s="530"/>
      <c r="CP109" s="531"/>
      <c r="CQ109" s="530"/>
      <c r="CR109" s="531"/>
      <c r="CS109" s="530"/>
      <c r="CT109" s="531"/>
      <c r="CU109" s="530"/>
      <c r="CV109" s="531"/>
      <c r="CW109" s="530"/>
      <c r="CX109" s="531"/>
      <c r="CY109" s="530"/>
      <c r="CZ109" s="531"/>
      <c r="DA109" s="530"/>
      <c r="DB109" s="531"/>
      <c r="DC109" s="530"/>
      <c r="DD109" s="531"/>
      <c r="DE109" s="530"/>
      <c r="DF109" s="531"/>
      <c r="DG109" s="530"/>
      <c r="DH109" s="531"/>
      <c r="DI109" s="530"/>
      <c r="DJ109" s="531"/>
      <c r="DK109" s="530"/>
      <c r="DL109" s="531"/>
      <c r="DM109" s="530"/>
      <c r="DN109" s="531"/>
      <c r="DO109" s="530"/>
      <c r="DP109" s="531"/>
      <c r="DQ109" s="530"/>
      <c r="DR109" s="531"/>
      <c r="DS109" s="530"/>
      <c r="DT109" s="531"/>
      <c r="DU109" s="530"/>
      <c r="DV109" s="531"/>
      <c r="DW109" s="530"/>
      <c r="DX109" s="531"/>
      <c r="DY109" s="530"/>
      <c r="DZ109" s="531"/>
      <c r="EA109" s="530"/>
      <c r="EB109" s="531"/>
      <c r="EC109" s="530"/>
      <c r="ED109" s="531"/>
      <c r="EE109" s="530"/>
      <c r="EF109" s="531"/>
      <c r="EG109" s="530"/>
      <c r="EH109" s="531"/>
      <c r="EI109" s="530"/>
      <c r="EJ109" s="531"/>
      <c r="EK109" s="530"/>
      <c r="EL109" s="531"/>
      <c r="EM109" s="530"/>
      <c r="EN109" s="531"/>
      <c r="EO109" s="530"/>
      <c r="EP109" s="531"/>
      <c r="EQ109" s="530"/>
      <c r="ER109" s="531"/>
      <c r="ES109" s="530"/>
      <c r="ET109" s="531"/>
      <c r="EU109" s="530"/>
      <c r="EV109" s="531"/>
      <c r="EW109" s="530"/>
      <c r="EX109" s="531"/>
      <c r="EY109" s="530"/>
      <c r="EZ109" s="531"/>
      <c r="FA109" s="530"/>
      <c r="FB109" s="531"/>
      <c r="FC109" s="530"/>
      <c r="FD109" s="531"/>
      <c r="FE109" s="530"/>
      <c r="FF109" s="531"/>
      <c r="FG109" s="530"/>
      <c r="FH109" s="531"/>
      <c r="FI109" s="530"/>
      <c r="FJ109" s="531"/>
      <c r="FK109" s="530"/>
      <c r="FL109" s="531"/>
      <c r="FM109" s="530"/>
      <c r="FN109" s="531"/>
      <c r="FO109" s="530"/>
      <c r="FP109" s="531"/>
      <c r="FQ109" s="530"/>
      <c r="FR109" s="531"/>
      <c r="FS109" s="530"/>
      <c r="FT109" s="531"/>
      <c r="FU109" s="530"/>
      <c r="FV109" s="531"/>
      <c r="FW109" s="530"/>
      <c r="FX109" s="531"/>
      <c r="FY109" s="530"/>
      <c r="FZ109" s="531"/>
      <c r="GA109" s="530"/>
      <c r="GB109" s="531"/>
      <c r="GC109" s="530"/>
      <c r="GD109" s="531"/>
      <c r="GE109" s="530"/>
      <c r="GF109" s="531"/>
      <c r="GG109" s="530"/>
      <c r="GH109" s="531"/>
      <c r="GI109" s="530"/>
      <c r="GJ109" s="531"/>
      <c r="GK109" s="530"/>
      <c r="GL109" s="531"/>
      <c r="GM109" s="530"/>
      <c r="GN109" s="531"/>
      <c r="GO109" s="530"/>
      <c r="GP109" s="531"/>
      <c r="GQ109" s="530"/>
      <c r="GR109" s="531"/>
      <c r="GS109" s="530"/>
      <c r="GT109" s="531"/>
      <c r="GU109" s="530"/>
      <c r="GV109" s="531"/>
      <c r="GW109" s="530"/>
      <c r="GX109" s="531"/>
      <c r="GY109" s="530"/>
      <c r="GZ109" s="531"/>
      <c r="HA109" s="530"/>
      <c r="HB109" s="531"/>
      <c r="HC109" s="530"/>
      <c r="HD109" s="531"/>
      <c r="HE109" s="530"/>
      <c r="HF109" s="531"/>
      <c r="HG109" s="530"/>
      <c r="HH109" s="531"/>
      <c r="HI109" s="530"/>
      <c r="HJ109" s="531"/>
      <c r="HK109" s="530"/>
      <c r="HL109" s="531"/>
      <c r="HM109" s="530"/>
      <c r="HN109" s="531"/>
      <c r="HO109" s="530"/>
      <c r="HP109" s="531"/>
      <c r="HQ109" s="530"/>
      <c r="HR109" s="531"/>
      <c r="HS109" s="530"/>
      <c r="HT109" s="531"/>
      <c r="HU109" s="530"/>
      <c r="HV109" s="531"/>
      <c r="HW109" s="530"/>
      <c r="HX109" s="531"/>
      <c r="HY109" s="530"/>
      <c r="HZ109" s="531"/>
      <c r="IA109" s="530"/>
      <c r="IB109" s="531"/>
      <c r="IC109" s="530"/>
      <c r="ID109" s="531"/>
      <c r="IE109" s="530"/>
      <c r="IF109" s="531"/>
      <c r="IG109" s="530"/>
      <c r="IH109" s="531"/>
      <c r="II109" s="530"/>
      <c r="IJ109" s="531"/>
      <c r="IK109" s="530"/>
      <c r="IL109" s="531"/>
      <c r="IM109" s="530"/>
      <c r="IN109" s="531"/>
      <c r="IO109" s="530"/>
      <c r="IP109" s="531"/>
      <c r="IQ109" s="530"/>
      <c r="IR109" s="531"/>
      <c r="IS109" s="530"/>
      <c r="IT109" s="531"/>
      <c r="IU109" s="530"/>
      <c r="IV109" s="531"/>
      <c r="IW109" s="530"/>
      <c r="IX109" s="531"/>
      <c r="IY109" s="530"/>
      <c r="IZ109" s="531"/>
      <c r="JA109" s="530"/>
      <c r="JB109" s="531"/>
      <c r="JC109" s="530"/>
      <c r="JD109" s="531"/>
      <c r="JE109" s="530"/>
      <c r="JF109" s="531"/>
      <c r="JG109" s="530"/>
      <c r="JH109" s="531"/>
      <c r="JI109" s="530"/>
      <c r="JJ109" s="531"/>
      <c r="JK109" s="530"/>
      <c r="JL109" s="531"/>
      <c r="JM109" s="530"/>
      <c r="JN109" s="531"/>
      <c r="JO109" s="530"/>
      <c r="JP109" s="531"/>
      <c r="JQ109" s="530"/>
      <c r="JR109" s="531"/>
      <c r="JS109" s="530"/>
      <c r="JT109" s="531"/>
      <c r="JU109" s="530"/>
      <c r="JV109" s="531"/>
      <c r="JW109" s="530"/>
      <c r="JX109" s="531"/>
      <c r="JY109" s="530"/>
      <c r="JZ109" s="531"/>
      <c r="KA109" s="530"/>
      <c r="KB109" s="531"/>
      <c r="KC109" s="530"/>
      <c r="KD109" s="531"/>
      <c r="KE109" s="530"/>
      <c r="KF109" s="531"/>
      <c r="KG109" s="530"/>
      <c r="KH109" s="531"/>
      <c r="KI109" s="530"/>
      <c r="KJ109" s="531"/>
      <c r="KK109" s="530"/>
      <c r="KL109" s="531"/>
      <c r="KM109" s="530"/>
      <c r="KN109" s="531"/>
      <c r="KO109" s="530"/>
      <c r="KP109" s="531"/>
      <c r="KQ109" s="530"/>
      <c r="KR109" s="531"/>
      <c r="KS109" s="530"/>
      <c r="KT109" s="531"/>
      <c r="KU109" s="530"/>
      <c r="KV109" s="531"/>
      <c r="KW109" s="530"/>
      <c r="KX109" s="531"/>
      <c r="KY109" s="530"/>
      <c r="KZ109" s="531"/>
      <c r="LA109" s="530"/>
      <c r="LB109" s="531"/>
      <c r="LC109" s="530"/>
      <c r="LD109" s="531"/>
      <c r="LE109" s="530"/>
      <c r="LF109" s="531"/>
      <c r="LG109" s="530"/>
      <c r="LH109" s="531"/>
      <c r="LI109" s="530"/>
      <c r="LJ109" s="531"/>
      <c r="LK109" s="530"/>
      <c r="LL109" s="531"/>
      <c r="LM109" s="530"/>
      <c r="LN109" s="531"/>
      <c r="LO109" s="530"/>
      <c r="LP109" s="531"/>
      <c r="LQ109" s="530"/>
      <c r="LR109" s="531"/>
      <c r="LS109" s="530"/>
      <c r="LT109" s="531"/>
      <c r="LU109" s="530"/>
      <c r="LV109" s="531"/>
      <c r="LW109" s="530"/>
      <c r="LX109" s="531"/>
      <c r="LY109" s="530"/>
      <c r="LZ109" s="531"/>
      <c r="MA109" s="530"/>
      <c r="MB109" s="531"/>
      <c r="MC109" s="530"/>
      <c r="MD109" s="531"/>
      <c r="ME109" s="530"/>
      <c r="MF109" s="531"/>
      <c r="MG109" s="530"/>
      <c r="MH109" s="531"/>
      <c r="MI109" s="530"/>
      <c r="MJ109" s="531"/>
      <c r="MK109" s="530"/>
      <c r="ML109" s="531"/>
      <c r="MM109" s="530"/>
      <c r="MN109" s="531"/>
      <c r="MO109" s="530"/>
      <c r="MP109" s="531"/>
      <c r="MQ109" s="530"/>
      <c r="MR109" s="531"/>
      <c r="MS109" s="530"/>
      <c r="MT109" s="531"/>
      <c r="MU109" s="530"/>
      <c r="MV109" s="531"/>
      <c r="MW109" s="530"/>
      <c r="MX109" s="531"/>
      <c r="MY109" s="530"/>
      <c r="MZ109" s="531"/>
      <c r="NA109" s="530"/>
      <c r="NB109" s="531"/>
      <c r="NC109" s="530"/>
      <c r="ND109" s="531"/>
      <c r="NE109" s="530"/>
      <c r="NF109" s="531"/>
      <c r="NG109" s="530"/>
      <c r="NH109" s="531"/>
      <c r="NI109" s="530"/>
      <c r="NJ109" s="531"/>
      <c r="NK109" s="530"/>
      <c r="NL109" s="531"/>
      <c r="NM109" s="530"/>
      <c r="NN109" s="531"/>
      <c r="NO109" s="530"/>
      <c r="NP109" s="531"/>
      <c r="NQ109" s="530"/>
      <c r="NR109" s="531"/>
      <c r="NS109" s="530"/>
      <c r="NT109" s="531"/>
      <c r="NU109" s="530"/>
      <c r="NV109" s="531"/>
      <c r="NW109" s="530"/>
      <c r="NX109" s="531"/>
      <c r="NY109" s="530"/>
      <c r="NZ109" s="531"/>
      <c r="OA109" s="530"/>
      <c r="OB109" s="531"/>
      <c r="OC109" s="530"/>
      <c r="OD109" s="531"/>
      <c r="OE109" s="530"/>
      <c r="OF109" s="531"/>
      <c r="OG109" s="530"/>
      <c r="OH109" s="531"/>
      <c r="OI109" s="530"/>
      <c r="OJ109" s="531"/>
      <c r="OK109" s="530"/>
      <c r="OL109" s="531"/>
      <c r="OM109" s="530"/>
      <c r="ON109" s="531"/>
      <c r="OO109" s="530"/>
      <c r="OP109" s="531"/>
      <c r="OQ109" s="530"/>
      <c r="OR109" s="531"/>
      <c r="OS109" s="530"/>
      <c r="OT109" s="531"/>
      <c r="OU109" s="530"/>
      <c r="OV109" s="531"/>
      <c r="OW109" s="530"/>
      <c r="OX109" s="531"/>
      <c r="OY109" s="530"/>
      <c r="OZ109" s="531"/>
      <c r="PA109" s="530"/>
      <c r="PB109" s="531"/>
      <c r="PC109" s="530"/>
      <c r="PD109" s="531"/>
      <c r="PE109" s="530"/>
      <c r="PF109" s="531"/>
      <c r="PG109" s="530"/>
      <c r="PH109" s="531"/>
      <c r="PI109" s="530"/>
      <c r="PJ109" s="531"/>
      <c r="PK109" s="530"/>
      <c r="PL109" s="531"/>
      <c r="PM109" s="530"/>
      <c r="PN109" s="531"/>
      <c r="PO109" s="530"/>
      <c r="PP109" s="531"/>
      <c r="PQ109" s="530"/>
      <c r="PR109" s="531"/>
      <c r="PS109" s="530"/>
      <c r="PT109" s="531"/>
      <c r="PU109" s="530"/>
      <c r="PV109" s="531"/>
      <c r="PW109" s="530"/>
      <c r="PX109" s="531"/>
      <c r="PY109" s="530"/>
      <c r="PZ109" s="531"/>
      <c r="QA109" s="530"/>
      <c r="QB109" s="531"/>
      <c r="QC109" s="530"/>
      <c r="QD109" s="531"/>
      <c r="QE109" s="530"/>
      <c r="QF109" s="531"/>
      <c r="QG109" s="530"/>
      <c r="QH109" s="531"/>
      <c r="QI109" s="530"/>
      <c r="QJ109" s="531"/>
      <c r="QK109" s="530"/>
      <c r="QL109" s="531"/>
      <c r="QM109" s="530"/>
      <c r="QN109" s="531"/>
      <c r="QO109" s="530"/>
      <c r="QP109" s="531"/>
      <c r="QQ109" s="530"/>
      <c r="QR109" s="531"/>
      <c r="QS109" s="530"/>
      <c r="QT109" s="531"/>
      <c r="QU109" s="530"/>
      <c r="QV109" s="531"/>
      <c r="QW109" s="530"/>
      <c r="QX109" s="531"/>
      <c r="QY109" s="530"/>
      <c r="QZ109" s="531"/>
      <c r="RA109" s="530"/>
      <c r="RB109" s="531"/>
      <c r="RC109" s="530"/>
      <c r="RD109" s="531"/>
      <c r="RE109" s="530"/>
      <c r="RF109" s="531"/>
      <c r="RG109" s="530"/>
      <c r="RH109" s="531"/>
      <c r="RI109" s="530"/>
      <c r="RJ109" s="531"/>
      <c r="RK109" s="530"/>
      <c r="RL109" s="531"/>
      <c r="RM109" s="530"/>
      <c r="RN109" s="531"/>
      <c r="RO109" s="530"/>
      <c r="RP109" s="531"/>
      <c r="RQ109" s="530"/>
      <c r="RR109" s="531"/>
      <c r="RS109" s="530"/>
      <c r="RT109" s="531"/>
      <c r="RU109" s="530"/>
      <c r="RV109" s="531"/>
      <c r="RW109" s="530"/>
      <c r="RX109" s="531"/>
      <c r="RY109" s="530"/>
      <c r="RZ109" s="531"/>
      <c r="SA109" s="530"/>
      <c r="SB109" s="531"/>
      <c r="SC109" s="530"/>
      <c r="SD109" s="531"/>
      <c r="SE109" s="530"/>
      <c r="SF109" s="531"/>
      <c r="SG109" s="530"/>
      <c r="SH109" s="531"/>
      <c r="SI109" s="530"/>
      <c r="SJ109" s="531"/>
      <c r="SK109" s="530"/>
      <c r="SL109" s="531"/>
      <c r="SM109" s="530"/>
      <c r="SN109" s="531"/>
      <c r="SO109" s="530"/>
      <c r="SP109" s="531"/>
      <c r="SQ109" s="530"/>
      <c r="SR109" s="531"/>
      <c r="SS109" s="530"/>
      <c r="ST109" s="531"/>
      <c r="SU109" s="530"/>
      <c r="SV109" s="531"/>
      <c r="SW109" s="530"/>
      <c r="SX109" s="531"/>
      <c r="SY109" s="530"/>
      <c r="SZ109" s="531"/>
      <c r="TA109" s="530"/>
      <c r="TB109" s="531"/>
      <c r="TC109" s="530"/>
      <c r="TD109" s="531"/>
      <c r="TE109" s="530"/>
      <c r="TF109" s="531"/>
      <c r="TG109" s="530"/>
      <c r="TH109" s="531"/>
      <c r="TI109" s="530"/>
      <c r="TJ109" s="531"/>
      <c r="TK109" s="530"/>
      <c r="TL109" s="531"/>
      <c r="TM109" s="530"/>
      <c r="TN109" s="531"/>
      <c r="TO109" s="530"/>
      <c r="TP109" s="531"/>
      <c r="TQ109" s="530"/>
      <c r="TR109" s="531"/>
      <c r="TS109" s="530"/>
      <c r="TT109" s="531"/>
      <c r="TU109" s="530"/>
      <c r="TV109" s="531"/>
      <c r="TW109" s="530"/>
      <c r="TX109" s="531"/>
      <c r="TY109" s="530"/>
      <c r="TZ109" s="531"/>
      <c r="UA109" s="530"/>
      <c r="UB109" s="531"/>
      <c r="UC109" s="530"/>
      <c r="UD109" s="531"/>
      <c r="UE109" s="530"/>
      <c r="UF109" s="531"/>
      <c r="UG109" s="530"/>
      <c r="UH109" s="531"/>
      <c r="UI109" s="530"/>
      <c r="UJ109" s="531"/>
      <c r="UK109" s="530"/>
      <c r="UL109" s="531"/>
      <c r="UM109" s="530"/>
      <c r="UN109" s="531"/>
      <c r="UO109" s="530"/>
      <c r="UP109" s="531"/>
      <c r="UQ109" s="530"/>
      <c r="UR109" s="531"/>
      <c r="US109" s="530"/>
      <c r="UT109" s="531"/>
      <c r="UU109" s="530"/>
      <c r="UV109" s="531"/>
      <c r="UW109" s="530"/>
      <c r="UX109" s="531"/>
      <c r="UY109" s="530"/>
      <c r="UZ109" s="531"/>
      <c r="VA109" s="530"/>
      <c r="VB109" s="531"/>
      <c r="VC109" s="530"/>
      <c r="VD109" s="531"/>
      <c r="VE109" s="530"/>
      <c r="VF109" s="531"/>
      <c r="VG109" s="530"/>
      <c r="VH109" s="531"/>
      <c r="VI109" s="530"/>
      <c r="VJ109" s="531"/>
      <c r="VK109" s="530"/>
      <c r="VL109" s="531"/>
      <c r="VM109" s="530"/>
      <c r="VN109" s="531"/>
      <c r="VO109" s="530"/>
      <c r="VP109" s="531"/>
      <c r="VQ109" s="530"/>
      <c r="VR109" s="531"/>
      <c r="VS109" s="530"/>
      <c r="VT109" s="531"/>
      <c r="VU109" s="530"/>
      <c r="VV109" s="531"/>
      <c r="VW109" s="530"/>
      <c r="VX109" s="531"/>
      <c r="VY109" s="530"/>
      <c r="VZ109" s="531"/>
      <c r="WA109" s="530"/>
      <c r="WB109" s="531"/>
      <c r="WC109" s="530"/>
      <c r="WD109" s="531"/>
      <c r="WE109" s="530"/>
      <c r="WF109" s="531"/>
      <c r="WG109" s="530"/>
      <c r="WH109" s="531"/>
      <c r="WI109" s="530"/>
      <c r="WJ109" s="531"/>
      <c r="WK109" s="530"/>
      <c r="WL109" s="531"/>
      <c r="WM109" s="530"/>
      <c r="WN109" s="531"/>
      <c r="WO109" s="530"/>
      <c r="WP109" s="531"/>
      <c r="WQ109" s="530"/>
      <c r="WR109" s="531"/>
      <c r="WS109" s="530"/>
      <c r="WT109" s="531"/>
      <c r="WU109" s="530"/>
      <c r="WV109" s="531"/>
      <c r="WW109" s="530"/>
      <c r="WX109" s="531"/>
      <c r="WY109" s="530"/>
      <c r="WZ109" s="531"/>
      <c r="XA109" s="530"/>
      <c r="XB109" s="531"/>
      <c r="XC109" s="530"/>
      <c r="XD109" s="531"/>
      <c r="XE109" s="530"/>
      <c r="XF109" s="531"/>
      <c r="XG109" s="530"/>
      <c r="XH109" s="531"/>
      <c r="XI109" s="530"/>
      <c r="XJ109" s="531"/>
      <c r="XK109" s="530"/>
      <c r="XL109" s="531"/>
      <c r="XM109" s="530"/>
      <c r="XN109" s="531"/>
      <c r="XO109" s="530"/>
      <c r="XP109" s="531"/>
      <c r="XQ109" s="530"/>
      <c r="XR109" s="531"/>
      <c r="XS109" s="530"/>
      <c r="XT109" s="531"/>
      <c r="XU109" s="530"/>
      <c r="XV109" s="531"/>
      <c r="XW109" s="530"/>
      <c r="XX109" s="531"/>
      <c r="XY109" s="530"/>
      <c r="XZ109" s="531"/>
      <c r="YA109" s="530"/>
      <c r="YB109" s="531"/>
      <c r="YC109" s="530"/>
      <c r="YD109" s="531"/>
      <c r="YE109" s="530"/>
      <c r="YF109" s="531"/>
      <c r="YG109" s="530"/>
      <c r="YH109" s="531"/>
      <c r="YI109" s="530"/>
      <c r="YJ109" s="531"/>
      <c r="YK109" s="530"/>
      <c r="YL109" s="531"/>
      <c r="YM109" s="530"/>
      <c r="YN109" s="531"/>
      <c r="YO109" s="530"/>
      <c r="YP109" s="531"/>
      <c r="YQ109" s="530"/>
      <c r="YR109" s="531"/>
      <c r="YS109" s="530"/>
      <c r="YT109" s="531"/>
      <c r="YU109" s="530"/>
      <c r="YV109" s="531"/>
      <c r="YW109" s="530"/>
      <c r="YX109" s="531"/>
      <c r="YY109" s="530"/>
      <c r="YZ109" s="531"/>
      <c r="ZA109" s="530"/>
      <c r="ZB109" s="531"/>
      <c r="ZC109" s="530"/>
      <c r="ZD109" s="531"/>
      <c r="ZE109" s="530"/>
      <c r="ZF109" s="531"/>
      <c r="ZG109" s="530"/>
      <c r="ZH109" s="531"/>
      <c r="ZI109" s="530"/>
      <c r="ZJ109" s="531"/>
      <c r="ZK109" s="530"/>
      <c r="ZL109" s="531"/>
      <c r="ZM109" s="530"/>
      <c r="ZN109" s="531"/>
      <c r="ZO109" s="530"/>
      <c r="ZP109" s="531"/>
      <c r="ZQ109" s="530"/>
      <c r="ZR109" s="531"/>
      <c r="ZS109" s="530"/>
      <c r="ZT109" s="531"/>
      <c r="ZU109" s="530"/>
      <c r="ZV109" s="531"/>
      <c r="ZW109" s="530"/>
      <c r="ZX109" s="531"/>
      <c r="ZY109" s="530"/>
      <c r="ZZ109" s="531"/>
      <c r="AAA109" s="530"/>
      <c r="AAB109" s="531"/>
      <c r="AAC109" s="530"/>
      <c r="AAD109" s="531"/>
      <c r="AAE109" s="530"/>
      <c r="AAF109" s="531"/>
      <c r="AAG109" s="530"/>
      <c r="AAH109" s="531"/>
      <c r="AAI109" s="530"/>
      <c r="AAJ109" s="531"/>
      <c r="AAK109" s="530"/>
      <c r="AAL109" s="531"/>
      <c r="AAM109" s="530"/>
      <c r="AAN109" s="531"/>
      <c r="AAO109" s="530"/>
      <c r="AAP109" s="531"/>
      <c r="AAQ109" s="530"/>
      <c r="AAR109" s="531"/>
      <c r="AAS109" s="530"/>
      <c r="AAT109" s="531"/>
      <c r="AAU109" s="530"/>
      <c r="AAV109" s="531"/>
      <c r="AAW109" s="530"/>
      <c r="AAX109" s="531"/>
      <c r="AAY109" s="530"/>
      <c r="AAZ109" s="531"/>
      <c r="ABA109" s="530"/>
      <c r="ABB109" s="531"/>
      <c r="ABC109" s="530"/>
      <c r="ABD109" s="531"/>
      <c r="ABE109" s="530"/>
      <c r="ABF109" s="531"/>
      <c r="ABG109" s="530"/>
      <c r="ABH109" s="531"/>
      <c r="ABI109" s="530"/>
      <c r="ABJ109" s="531"/>
      <c r="ABK109" s="530"/>
      <c r="ABL109" s="531"/>
      <c r="ABM109" s="530"/>
      <c r="ABN109" s="531"/>
      <c r="ABO109" s="530"/>
      <c r="ABP109" s="531"/>
      <c r="ABQ109" s="530"/>
      <c r="ABR109" s="531"/>
      <c r="ABS109" s="530"/>
      <c r="ABT109" s="531"/>
      <c r="ABU109" s="530"/>
      <c r="ABV109" s="531"/>
      <c r="ABW109" s="530"/>
      <c r="ABX109" s="531"/>
      <c r="ABY109" s="530"/>
      <c r="ABZ109" s="531"/>
      <c r="ACA109" s="530"/>
      <c r="ACB109" s="531"/>
      <c r="ACC109" s="530"/>
      <c r="ACD109" s="531"/>
      <c r="ACE109" s="530"/>
      <c r="ACF109" s="531"/>
      <c r="ACG109" s="530"/>
      <c r="ACH109" s="531"/>
      <c r="ACI109" s="530"/>
      <c r="ACJ109" s="531"/>
      <c r="ACK109" s="530"/>
      <c r="ACL109" s="531"/>
      <c r="ACM109" s="530"/>
      <c r="ACN109" s="531"/>
      <c r="ACO109" s="530"/>
      <c r="ACP109" s="531"/>
      <c r="ACQ109" s="530"/>
      <c r="ACR109" s="531"/>
      <c r="ACS109" s="530"/>
      <c r="ACT109" s="531"/>
      <c r="ACU109" s="530"/>
      <c r="ACV109" s="531"/>
      <c r="ACW109" s="530"/>
      <c r="ACX109" s="531"/>
      <c r="ACY109" s="530"/>
      <c r="ACZ109" s="531"/>
      <c r="ADA109" s="530"/>
      <c r="ADB109" s="531"/>
      <c r="ADC109" s="530"/>
      <c r="ADD109" s="531"/>
      <c r="ADE109" s="530"/>
      <c r="ADF109" s="531"/>
      <c r="ADG109" s="530"/>
      <c r="ADH109" s="531"/>
      <c r="ADI109" s="530"/>
      <c r="ADJ109" s="531"/>
      <c r="ADK109" s="530"/>
      <c r="ADL109" s="531"/>
      <c r="ADM109" s="530"/>
      <c r="ADN109" s="531"/>
      <c r="ADO109" s="530"/>
      <c r="ADP109" s="531"/>
      <c r="ADQ109" s="530"/>
      <c r="ADR109" s="531"/>
      <c r="ADS109" s="530"/>
      <c r="ADT109" s="531"/>
      <c r="ADU109" s="530"/>
      <c r="ADV109" s="531"/>
      <c r="ADW109" s="530"/>
      <c r="ADX109" s="531"/>
      <c r="ADY109" s="530"/>
      <c r="ADZ109" s="531"/>
      <c r="AEA109" s="530"/>
      <c r="AEB109" s="531"/>
      <c r="AEC109" s="530"/>
      <c r="AED109" s="531"/>
      <c r="AEE109" s="530"/>
      <c r="AEF109" s="531"/>
      <c r="AEG109" s="530"/>
      <c r="AEH109" s="531"/>
      <c r="AEI109" s="530"/>
      <c r="AEJ109" s="531"/>
      <c r="AEK109" s="530"/>
      <c r="AEL109" s="531"/>
      <c r="AEM109" s="530"/>
      <c r="AEN109" s="531"/>
      <c r="AEO109" s="530"/>
      <c r="AEP109" s="531"/>
      <c r="AEQ109" s="530"/>
      <c r="AER109" s="531"/>
      <c r="AES109" s="530"/>
      <c r="AET109" s="531"/>
      <c r="AEU109" s="530"/>
      <c r="AEV109" s="531"/>
      <c r="AEW109" s="530"/>
      <c r="AEX109" s="531"/>
      <c r="AEY109" s="530"/>
      <c r="AEZ109" s="531"/>
      <c r="AFA109" s="530"/>
      <c r="AFB109" s="531"/>
      <c r="AFC109" s="530"/>
      <c r="AFD109" s="531"/>
      <c r="AFE109" s="530"/>
      <c r="AFF109" s="531"/>
      <c r="AFG109" s="530"/>
      <c r="AFH109" s="531"/>
      <c r="AFI109" s="530"/>
      <c r="AFJ109" s="531"/>
      <c r="AFK109" s="530"/>
      <c r="AFL109" s="531"/>
      <c r="AFM109" s="530"/>
      <c r="AFN109" s="531"/>
      <c r="AFO109" s="530"/>
      <c r="AFP109" s="531"/>
      <c r="AFQ109" s="530"/>
      <c r="AFR109" s="531"/>
      <c r="AFS109" s="530"/>
      <c r="AFT109" s="531"/>
      <c r="AFU109" s="530"/>
      <c r="AFV109" s="531"/>
      <c r="AFW109" s="530"/>
      <c r="AFX109" s="531"/>
      <c r="AFY109" s="530"/>
      <c r="AFZ109" s="531"/>
      <c r="AGA109" s="530"/>
      <c r="AGB109" s="531"/>
      <c r="AGC109" s="530"/>
      <c r="AGD109" s="531"/>
      <c r="AGE109" s="530"/>
      <c r="AGF109" s="531"/>
      <c r="AGG109" s="530"/>
      <c r="AGH109" s="531"/>
      <c r="AGI109" s="530"/>
      <c r="AGJ109" s="531"/>
      <c r="AGK109" s="530"/>
      <c r="AGL109" s="531"/>
      <c r="AGM109" s="530"/>
      <c r="AGN109" s="531"/>
      <c r="AGO109" s="530"/>
      <c r="AGP109" s="531"/>
      <c r="AGQ109" s="530"/>
      <c r="AGR109" s="531"/>
      <c r="AGS109" s="530"/>
      <c r="AGT109" s="531"/>
      <c r="AGU109" s="530"/>
      <c r="AGV109" s="531"/>
      <c r="AGW109" s="530"/>
      <c r="AGX109" s="531"/>
      <c r="AGY109" s="530"/>
      <c r="AGZ109" s="531"/>
      <c r="AHA109" s="530"/>
      <c r="AHB109" s="531"/>
      <c r="AHC109" s="530"/>
      <c r="AHD109" s="531"/>
      <c r="AHE109" s="530"/>
      <c r="AHF109" s="531"/>
      <c r="AHG109" s="530"/>
      <c r="AHH109" s="531"/>
      <c r="AHI109" s="530"/>
      <c r="AHJ109" s="531"/>
      <c r="AHK109" s="530"/>
      <c r="AHL109" s="531"/>
      <c r="AHM109" s="530"/>
      <c r="AHN109" s="531"/>
      <c r="AHO109" s="530"/>
      <c r="AHP109" s="531"/>
      <c r="AHQ109" s="530"/>
      <c r="AHR109" s="531"/>
      <c r="AHS109" s="530"/>
      <c r="AHT109" s="531"/>
      <c r="AHU109" s="530"/>
      <c r="AHV109" s="531"/>
      <c r="AHW109" s="530"/>
      <c r="AHX109" s="531"/>
      <c r="AHY109" s="530"/>
      <c r="AHZ109" s="531"/>
      <c r="AIA109" s="530"/>
      <c r="AIB109" s="531"/>
      <c r="AIC109" s="530"/>
      <c r="AID109" s="531"/>
      <c r="AIE109" s="530"/>
      <c r="AIF109" s="531"/>
      <c r="AIG109" s="530"/>
      <c r="AIH109" s="531"/>
      <c r="AII109" s="530"/>
      <c r="AIJ109" s="531"/>
      <c r="AIK109" s="530"/>
      <c r="AIL109" s="531"/>
      <c r="AIM109" s="530"/>
      <c r="AIN109" s="531"/>
      <c r="AIO109" s="530"/>
      <c r="AIP109" s="531"/>
      <c r="AIQ109" s="530"/>
      <c r="AIR109" s="531"/>
      <c r="AIS109" s="530"/>
      <c r="AIT109" s="531"/>
      <c r="AIU109" s="530"/>
      <c r="AIV109" s="531"/>
      <c r="AIW109" s="530"/>
      <c r="AIX109" s="531"/>
      <c r="AIY109" s="530"/>
      <c r="AIZ109" s="531"/>
      <c r="AJA109" s="530"/>
      <c r="AJB109" s="531"/>
      <c r="AJC109" s="530"/>
      <c r="AJD109" s="531"/>
      <c r="AJE109" s="530"/>
      <c r="AJF109" s="531"/>
      <c r="AJG109" s="530"/>
      <c r="AJH109" s="531"/>
      <c r="AJI109" s="530"/>
      <c r="AJJ109" s="531"/>
      <c r="AJK109" s="530"/>
      <c r="AJL109" s="531"/>
      <c r="AJM109" s="530"/>
      <c r="AJN109" s="531"/>
      <c r="AJO109" s="530"/>
      <c r="AJP109" s="531"/>
      <c r="AJQ109" s="530"/>
      <c r="AJR109" s="531"/>
      <c r="AJS109" s="530"/>
      <c r="AJT109" s="531"/>
      <c r="AJU109" s="530"/>
      <c r="AJV109" s="531"/>
      <c r="AJW109" s="530"/>
      <c r="AJX109" s="531"/>
      <c r="AJY109" s="530"/>
      <c r="AJZ109" s="531"/>
      <c r="AKA109" s="530"/>
      <c r="AKB109" s="531"/>
      <c r="AKC109" s="530"/>
      <c r="AKD109" s="531"/>
      <c r="AKE109" s="530"/>
      <c r="AKF109" s="531"/>
      <c r="AKG109" s="530"/>
      <c r="AKH109" s="531"/>
      <c r="AKI109" s="530"/>
      <c r="AKJ109" s="531"/>
      <c r="AKK109" s="530"/>
      <c r="AKL109" s="531"/>
      <c r="AKM109" s="530"/>
      <c r="AKN109" s="531"/>
      <c r="AKO109" s="530"/>
      <c r="AKP109" s="531"/>
      <c r="AKQ109" s="530"/>
      <c r="AKR109" s="531"/>
      <c r="AKS109" s="530"/>
      <c r="AKT109" s="531"/>
      <c r="AKU109" s="530"/>
      <c r="AKV109" s="531"/>
      <c r="AKW109" s="530"/>
      <c r="AKX109" s="531"/>
      <c r="AKY109" s="530"/>
      <c r="AKZ109" s="531"/>
      <c r="ALA109" s="530"/>
      <c r="ALB109" s="531"/>
      <c r="ALC109" s="530"/>
      <c r="ALD109" s="531"/>
      <c r="ALE109" s="530"/>
      <c r="ALF109" s="531"/>
      <c r="ALG109" s="530"/>
      <c r="ALH109" s="531"/>
      <c r="ALI109" s="530"/>
      <c r="ALJ109" s="531"/>
      <c r="ALK109" s="530"/>
      <c r="ALL109" s="531"/>
      <c r="ALM109" s="530"/>
      <c r="ALN109" s="531"/>
      <c r="ALO109" s="530"/>
      <c r="ALP109" s="531"/>
      <c r="ALQ109" s="530"/>
      <c r="ALR109" s="531"/>
      <c r="ALS109" s="530"/>
      <c r="ALT109" s="531"/>
      <c r="ALU109" s="530"/>
      <c r="ALV109" s="531"/>
      <c r="ALW109" s="530"/>
      <c r="ALX109" s="531"/>
      <c r="ALY109" s="530"/>
      <c r="ALZ109" s="531"/>
      <c r="AMA109" s="530"/>
      <c r="AMB109" s="531"/>
      <c r="AMC109" s="530"/>
      <c r="AMD109" s="531"/>
      <c r="AME109" s="530"/>
      <c r="AMF109" s="531"/>
      <c r="AMG109" s="530"/>
      <c r="AMH109" s="531"/>
      <c r="AMI109" s="530"/>
      <c r="AMJ109" s="531"/>
      <c r="AMK109" s="530"/>
      <c r="AML109" s="531"/>
      <c r="AMM109" s="530"/>
      <c r="AMN109" s="531"/>
      <c r="AMO109" s="530"/>
      <c r="AMP109" s="531"/>
      <c r="AMQ109" s="530"/>
      <c r="AMR109" s="531"/>
      <c r="AMS109" s="530"/>
      <c r="AMT109" s="531"/>
      <c r="AMU109" s="530"/>
      <c r="AMV109" s="531"/>
      <c r="AMW109" s="530"/>
      <c r="AMX109" s="531"/>
      <c r="AMY109" s="530"/>
      <c r="AMZ109" s="531"/>
      <c r="ANA109" s="530"/>
      <c r="ANB109" s="531"/>
      <c r="ANC109" s="530"/>
      <c r="AND109" s="531"/>
      <c r="ANE109" s="530"/>
      <c r="ANF109" s="531"/>
      <c r="ANG109" s="530"/>
      <c r="ANH109" s="531"/>
      <c r="ANI109" s="530"/>
      <c r="ANJ109" s="531"/>
      <c r="ANK109" s="530"/>
      <c r="ANL109" s="531"/>
      <c r="ANM109" s="530"/>
      <c r="ANN109" s="531"/>
      <c r="ANO109" s="530"/>
      <c r="ANP109" s="531"/>
      <c r="ANQ109" s="530"/>
      <c r="ANR109" s="531"/>
      <c r="ANS109" s="530"/>
      <c r="ANT109" s="531"/>
      <c r="ANU109" s="530"/>
      <c r="ANV109" s="531"/>
      <c r="ANW109" s="530"/>
      <c r="ANX109" s="531"/>
      <c r="ANY109" s="530"/>
      <c r="ANZ109" s="531"/>
      <c r="AOA109" s="530"/>
      <c r="AOB109" s="531"/>
      <c r="AOC109" s="530"/>
      <c r="AOD109" s="531"/>
      <c r="AOE109" s="530"/>
      <c r="AOF109" s="531"/>
      <c r="AOG109" s="530"/>
      <c r="AOH109" s="531"/>
      <c r="AOI109" s="530"/>
      <c r="AOJ109" s="531"/>
      <c r="AOK109" s="530"/>
      <c r="AOL109" s="531"/>
      <c r="AOM109" s="530"/>
      <c r="AON109" s="531"/>
      <c r="AOO109" s="530"/>
      <c r="AOP109" s="531"/>
      <c r="AOQ109" s="530"/>
      <c r="AOR109" s="531"/>
      <c r="AOS109" s="530"/>
      <c r="AOT109" s="531"/>
      <c r="AOU109" s="530"/>
      <c r="AOV109" s="531"/>
      <c r="AOW109" s="530"/>
      <c r="AOX109" s="531"/>
      <c r="AOY109" s="530"/>
      <c r="AOZ109" s="531"/>
      <c r="APA109" s="530"/>
      <c r="APB109" s="531"/>
      <c r="APC109" s="530"/>
      <c r="APD109" s="531"/>
      <c r="APE109" s="530"/>
      <c r="APF109" s="531"/>
      <c r="APG109" s="530"/>
      <c r="APH109" s="531"/>
      <c r="API109" s="530"/>
      <c r="APJ109" s="531"/>
      <c r="APK109" s="530"/>
      <c r="APL109" s="531"/>
      <c r="APM109" s="530"/>
      <c r="APN109" s="531"/>
      <c r="APO109" s="530"/>
      <c r="APP109" s="531"/>
      <c r="APQ109" s="530"/>
      <c r="APR109" s="531"/>
      <c r="APS109" s="530"/>
      <c r="APT109" s="531"/>
      <c r="APU109" s="530"/>
      <c r="APV109" s="531"/>
      <c r="APW109" s="530"/>
      <c r="APX109" s="531"/>
      <c r="APY109" s="530"/>
      <c r="APZ109" s="531"/>
      <c r="AQA109" s="530"/>
      <c r="AQB109" s="531"/>
      <c r="AQC109" s="530"/>
      <c r="AQD109" s="531"/>
      <c r="AQE109" s="530"/>
      <c r="AQF109" s="531"/>
      <c r="AQG109" s="530"/>
      <c r="AQH109" s="531"/>
      <c r="AQI109" s="530"/>
      <c r="AQJ109" s="531"/>
      <c r="AQK109" s="530"/>
      <c r="AQL109" s="531"/>
      <c r="AQM109" s="530"/>
      <c r="AQN109" s="531"/>
      <c r="AQO109" s="530"/>
      <c r="AQP109" s="531"/>
      <c r="AQQ109" s="530"/>
      <c r="AQR109" s="531"/>
      <c r="AQS109" s="530"/>
      <c r="AQT109" s="531"/>
      <c r="AQU109" s="530"/>
      <c r="AQV109" s="531"/>
      <c r="AQW109" s="530"/>
      <c r="AQX109" s="531"/>
      <c r="AQY109" s="530"/>
      <c r="AQZ109" s="531"/>
      <c r="ARA109" s="530"/>
      <c r="ARB109" s="531"/>
      <c r="ARC109" s="530"/>
      <c r="ARD109" s="531"/>
      <c r="ARE109" s="530"/>
      <c r="ARF109" s="531"/>
      <c r="ARG109" s="530"/>
      <c r="ARH109" s="531"/>
      <c r="ARI109" s="530"/>
      <c r="ARJ109" s="531"/>
      <c r="ARK109" s="530"/>
      <c r="ARL109" s="531"/>
      <c r="ARM109" s="530"/>
      <c r="ARN109" s="531"/>
      <c r="ARO109" s="530"/>
      <c r="ARP109" s="531"/>
      <c r="ARQ109" s="530"/>
      <c r="ARR109" s="531"/>
      <c r="ARS109" s="530"/>
      <c r="ART109" s="531"/>
      <c r="ARU109" s="530"/>
      <c r="ARV109" s="531"/>
      <c r="ARW109" s="530"/>
      <c r="ARX109" s="531"/>
      <c r="ARY109" s="530"/>
      <c r="ARZ109" s="531"/>
      <c r="ASA109" s="530"/>
      <c r="ASB109" s="531"/>
      <c r="ASC109" s="530"/>
      <c r="ASD109" s="531"/>
      <c r="ASE109" s="530"/>
      <c r="ASF109" s="531"/>
      <c r="ASG109" s="530"/>
      <c r="ASH109" s="531"/>
      <c r="ASI109" s="530"/>
      <c r="ASJ109" s="531"/>
      <c r="ASK109" s="530"/>
      <c r="ASL109" s="531"/>
      <c r="ASM109" s="530"/>
      <c r="ASN109" s="531"/>
      <c r="ASO109" s="530"/>
      <c r="ASP109" s="531"/>
      <c r="ASQ109" s="530"/>
      <c r="ASR109" s="531"/>
      <c r="ASS109" s="530"/>
      <c r="AST109" s="531"/>
      <c r="ASU109" s="530"/>
      <c r="ASV109" s="531"/>
      <c r="ASW109" s="530"/>
      <c r="ASX109" s="531"/>
      <c r="ASY109" s="530"/>
      <c r="ASZ109" s="531"/>
      <c r="ATA109" s="530"/>
      <c r="ATB109" s="531"/>
      <c r="ATC109" s="530"/>
      <c r="ATD109" s="531"/>
      <c r="ATE109" s="530"/>
      <c r="ATF109" s="531"/>
      <c r="ATG109" s="530"/>
      <c r="ATH109" s="531"/>
      <c r="ATI109" s="530"/>
      <c r="ATJ109" s="531"/>
      <c r="ATK109" s="530"/>
      <c r="ATL109" s="531"/>
      <c r="ATM109" s="530"/>
      <c r="ATN109" s="531"/>
      <c r="ATO109" s="530"/>
      <c r="ATP109" s="531"/>
      <c r="ATQ109" s="530"/>
      <c r="ATR109" s="531"/>
      <c r="ATS109" s="530"/>
      <c r="ATT109" s="531"/>
      <c r="ATU109" s="530"/>
      <c r="ATV109" s="531"/>
      <c r="ATW109" s="530"/>
      <c r="ATX109" s="531"/>
      <c r="ATY109" s="530"/>
      <c r="ATZ109" s="531"/>
      <c r="AUA109" s="530"/>
      <c r="AUB109" s="531"/>
      <c r="AUC109" s="530"/>
      <c r="AUD109" s="531"/>
      <c r="AUE109" s="530"/>
      <c r="AUF109" s="531"/>
      <c r="AUG109" s="530"/>
      <c r="AUH109" s="531"/>
      <c r="AUI109" s="530"/>
      <c r="AUJ109" s="531"/>
      <c r="AUK109" s="530"/>
      <c r="AUL109" s="531"/>
      <c r="AUM109" s="530"/>
      <c r="AUN109" s="531"/>
      <c r="AUO109" s="530"/>
      <c r="AUP109" s="531"/>
      <c r="AUQ109" s="530"/>
      <c r="AUR109" s="531"/>
      <c r="AUS109" s="530"/>
      <c r="AUT109" s="531"/>
      <c r="AUU109" s="530"/>
      <c r="AUV109" s="531"/>
      <c r="AUW109" s="530"/>
      <c r="AUX109" s="531"/>
      <c r="AUY109" s="530"/>
      <c r="AUZ109" s="531"/>
      <c r="AVA109" s="530"/>
      <c r="AVB109" s="531"/>
      <c r="AVC109" s="530"/>
      <c r="AVD109" s="531"/>
      <c r="AVE109" s="530"/>
      <c r="AVF109" s="531"/>
      <c r="AVG109" s="530"/>
      <c r="AVH109" s="531"/>
      <c r="AVI109" s="530"/>
      <c r="AVJ109" s="531"/>
      <c r="AVK109" s="530"/>
      <c r="AVL109" s="531"/>
      <c r="AVM109" s="530"/>
      <c r="AVN109" s="531"/>
      <c r="AVO109" s="530"/>
      <c r="AVP109" s="531"/>
      <c r="AVQ109" s="530"/>
      <c r="AVR109" s="531"/>
      <c r="AVS109" s="530"/>
      <c r="AVT109" s="531"/>
      <c r="AVU109" s="530"/>
      <c r="AVV109" s="531"/>
      <c r="AVW109" s="530"/>
      <c r="AVX109" s="531"/>
      <c r="AVY109" s="530"/>
      <c r="AVZ109" s="531"/>
      <c r="AWA109" s="530"/>
      <c r="AWB109" s="531"/>
      <c r="AWC109" s="530"/>
      <c r="AWD109" s="531"/>
      <c r="AWE109" s="530"/>
      <c r="AWF109" s="531"/>
      <c r="AWG109" s="530"/>
      <c r="AWH109" s="531"/>
      <c r="AWI109" s="530"/>
      <c r="AWJ109" s="531"/>
      <c r="AWK109" s="530"/>
      <c r="AWL109" s="531"/>
      <c r="AWM109" s="530"/>
      <c r="AWN109" s="531"/>
      <c r="AWO109" s="530"/>
      <c r="AWP109" s="531"/>
      <c r="AWQ109" s="530"/>
      <c r="AWR109" s="531"/>
      <c r="AWS109" s="530"/>
      <c r="AWT109" s="531"/>
      <c r="AWU109" s="530"/>
      <c r="AWV109" s="531"/>
      <c r="AWW109" s="530"/>
      <c r="AWX109" s="531"/>
      <c r="AWY109" s="530"/>
      <c r="AWZ109" s="531"/>
      <c r="AXA109" s="530"/>
      <c r="AXB109" s="531"/>
      <c r="AXC109" s="530"/>
      <c r="AXD109" s="531"/>
      <c r="AXE109" s="530"/>
      <c r="AXF109" s="531"/>
      <c r="AXG109" s="530"/>
      <c r="AXH109" s="531"/>
      <c r="AXI109" s="530"/>
      <c r="AXJ109" s="531"/>
      <c r="AXK109" s="530"/>
      <c r="AXL109" s="531"/>
      <c r="AXM109" s="530"/>
      <c r="AXN109" s="531"/>
      <c r="AXO109" s="530"/>
      <c r="AXP109" s="531"/>
      <c r="AXQ109" s="530"/>
      <c r="AXR109" s="531"/>
      <c r="AXS109" s="530"/>
      <c r="AXT109" s="531"/>
      <c r="AXU109" s="530"/>
      <c r="AXV109" s="531"/>
      <c r="AXW109" s="530"/>
      <c r="AXX109" s="531"/>
      <c r="AXY109" s="530"/>
      <c r="AXZ109" s="531"/>
      <c r="AYA109" s="530"/>
      <c r="AYB109" s="531"/>
      <c r="AYC109" s="530"/>
      <c r="AYD109" s="531"/>
      <c r="AYE109" s="530"/>
      <c r="AYF109" s="531"/>
      <c r="AYG109" s="530"/>
      <c r="AYH109" s="531"/>
      <c r="AYI109" s="530"/>
      <c r="AYJ109" s="531"/>
      <c r="AYK109" s="530"/>
      <c r="AYL109" s="531"/>
      <c r="AYM109" s="530"/>
      <c r="AYN109" s="531"/>
      <c r="AYO109" s="530"/>
      <c r="AYP109" s="531"/>
      <c r="AYQ109" s="530"/>
      <c r="AYR109" s="531"/>
      <c r="AYS109" s="530"/>
      <c r="AYT109" s="531"/>
      <c r="AYU109" s="530"/>
      <c r="AYV109" s="531"/>
      <c r="AYW109" s="530"/>
      <c r="AYX109" s="531"/>
      <c r="AYY109" s="530"/>
      <c r="AYZ109" s="531"/>
      <c r="AZA109" s="530"/>
      <c r="AZB109" s="531"/>
      <c r="AZC109" s="530"/>
      <c r="AZD109" s="531"/>
      <c r="AZE109" s="530"/>
      <c r="AZF109" s="531"/>
      <c r="AZG109" s="530"/>
      <c r="AZH109" s="531"/>
      <c r="AZI109" s="530"/>
      <c r="AZJ109" s="531"/>
      <c r="AZK109" s="530"/>
      <c r="AZL109" s="531"/>
      <c r="AZM109" s="530"/>
      <c r="AZN109" s="531"/>
      <c r="AZO109" s="530"/>
      <c r="AZP109" s="531"/>
      <c r="AZQ109" s="530"/>
      <c r="AZR109" s="531"/>
      <c r="AZS109" s="530"/>
      <c r="AZT109" s="531"/>
      <c r="AZU109" s="530"/>
      <c r="AZV109" s="531"/>
      <c r="AZW109" s="530"/>
      <c r="AZX109" s="531"/>
      <c r="AZY109" s="530"/>
      <c r="AZZ109" s="531"/>
      <c r="BAA109" s="530"/>
      <c r="BAB109" s="531"/>
      <c r="BAC109" s="530"/>
      <c r="BAD109" s="531"/>
      <c r="BAE109" s="530"/>
      <c r="BAF109" s="531"/>
      <c r="BAG109" s="530"/>
      <c r="BAH109" s="531"/>
      <c r="BAI109" s="530"/>
      <c r="BAJ109" s="531"/>
      <c r="BAK109" s="530"/>
      <c r="BAL109" s="531"/>
      <c r="BAM109" s="530"/>
      <c r="BAN109" s="531"/>
      <c r="BAO109" s="530"/>
      <c r="BAP109" s="531"/>
      <c r="BAQ109" s="530"/>
      <c r="BAR109" s="531"/>
      <c r="BAS109" s="530"/>
      <c r="BAT109" s="531"/>
      <c r="BAU109" s="530"/>
      <c r="BAV109" s="531"/>
      <c r="BAW109" s="530"/>
      <c r="BAX109" s="531"/>
      <c r="BAY109" s="530"/>
      <c r="BAZ109" s="531"/>
      <c r="BBA109" s="530"/>
      <c r="BBB109" s="531"/>
      <c r="BBC109" s="530"/>
      <c r="BBD109" s="531"/>
      <c r="BBE109" s="530"/>
      <c r="BBF109" s="531"/>
      <c r="BBG109" s="530"/>
      <c r="BBH109" s="531"/>
      <c r="BBI109" s="530"/>
      <c r="BBJ109" s="531"/>
      <c r="BBK109" s="530"/>
      <c r="BBL109" s="531"/>
      <c r="BBM109" s="530"/>
      <c r="BBN109" s="531"/>
      <c r="BBO109" s="530"/>
      <c r="BBP109" s="531"/>
      <c r="BBQ109" s="530"/>
      <c r="BBR109" s="531"/>
      <c r="BBS109" s="530"/>
      <c r="BBT109" s="531"/>
      <c r="BBU109" s="530"/>
      <c r="BBV109" s="531"/>
      <c r="BBW109" s="530"/>
      <c r="BBX109" s="531"/>
      <c r="BBY109" s="530"/>
      <c r="BBZ109" s="531"/>
      <c r="BCA109" s="530"/>
      <c r="BCB109" s="531"/>
      <c r="BCC109" s="530"/>
      <c r="BCD109" s="531"/>
      <c r="BCE109" s="530"/>
      <c r="BCF109" s="531"/>
      <c r="BCG109" s="530"/>
      <c r="BCH109" s="531"/>
      <c r="BCI109" s="530"/>
      <c r="BCJ109" s="531"/>
      <c r="BCK109" s="530"/>
      <c r="BCL109" s="531"/>
      <c r="BCM109" s="530"/>
      <c r="BCN109" s="531"/>
      <c r="BCO109" s="530"/>
      <c r="BCP109" s="531"/>
      <c r="BCQ109" s="530"/>
      <c r="BCR109" s="531"/>
      <c r="BCS109" s="530"/>
      <c r="BCT109" s="531"/>
      <c r="BCU109" s="530"/>
      <c r="BCV109" s="531"/>
      <c r="BCW109" s="530"/>
      <c r="BCX109" s="531"/>
      <c r="BCY109" s="530"/>
      <c r="BCZ109" s="531"/>
      <c r="BDA109" s="530"/>
      <c r="BDB109" s="531"/>
      <c r="BDC109" s="530"/>
      <c r="BDD109" s="531"/>
      <c r="BDE109" s="530"/>
      <c r="BDF109" s="531"/>
      <c r="BDG109" s="530"/>
      <c r="BDH109" s="531"/>
      <c r="BDI109" s="530"/>
      <c r="BDJ109" s="531"/>
      <c r="BDK109" s="530"/>
      <c r="BDL109" s="531"/>
      <c r="BDM109" s="530"/>
      <c r="BDN109" s="531"/>
      <c r="BDO109" s="530"/>
      <c r="BDP109" s="531"/>
      <c r="BDQ109" s="530"/>
      <c r="BDR109" s="531"/>
      <c r="BDS109" s="530"/>
      <c r="BDT109" s="531"/>
      <c r="BDU109" s="530"/>
      <c r="BDV109" s="531"/>
      <c r="BDW109" s="530"/>
      <c r="BDX109" s="531"/>
      <c r="BDY109" s="530"/>
      <c r="BDZ109" s="531"/>
      <c r="BEA109" s="530"/>
      <c r="BEB109" s="531"/>
      <c r="BEC109" s="530"/>
      <c r="BED109" s="531"/>
      <c r="BEE109" s="530"/>
      <c r="BEF109" s="531"/>
      <c r="BEG109" s="530"/>
      <c r="BEH109" s="531"/>
      <c r="BEI109" s="530"/>
      <c r="BEJ109" s="531"/>
      <c r="BEK109" s="530"/>
      <c r="BEL109" s="531"/>
      <c r="BEM109" s="530"/>
      <c r="BEN109" s="531"/>
      <c r="BEO109" s="530"/>
      <c r="BEP109" s="531"/>
      <c r="BEQ109" s="530"/>
      <c r="BER109" s="531"/>
      <c r="BES109" s="530"/>
      <c r="BET109" s="531"/>
      <c r="BEU109" s="530"/>
      <c r="BEV109" s="531"/>
      <c r="BEW109" s="530"/>
      <c r="BEX109" s="531"/>
      <c r="BEY109" s="530"/>
      <c r="BEZ109" s="531"/>
      <c r="BFA109" s="530"/>
      <c r="BFB109" s="531"/>
      <c r="BFC109" s="530"/>
      <c r="BFD109" s="531"/>
      <c r="BFE109" s="530"/>
      <c r="BFF109" s="531"/>
      <c r="BFG109" s="530"/>
      <c r="BFH109" s="531"/>
      <c r="BFI109" s="530"/>
      <c r="BFJ109" s="531"/>
      <c r="BFK109" s="530"/>
      <c r="BFL109" s="531"/>
      <c r="BFM109" s="530"/>
      <c r="BFN109" s="531"/>
      <c r="BFO109" s="530"/>
      <c r="BFP109" s="531"/>
      <c r="BFQ109" s="530"/>
      <c r="BFR109" s="531"/>
      <c r="BFS109" s="530"/>
      <c r="BFT109" s="531"/>
      <c r="BFU109" s="530"/>
      <c r="BFV109" s="531"/>
      <c r="BFW109" s="530"/>
      <c r="BFX109" s="531"/>
      <c r="BFY109" s="530"/>
      <c r="BFZ109" s="531"/>
      <c r="BGA109" s="530"/>
      <c r="BGB109" s="531"/>
      <c r="BGC109" s="530"/>
      <c r="BGD109" s="531"/>
      <c r="BGE109" s="530"/>
      <c r="BGF109" s="531"/>
      <c r="BGG109" s="530"/>
      <c r="BGH109" s="531"/>
      <c r="BGI109" s="530"/>
      <c r="BGJ109" s="531"/>
      <c r="BGK109" s="530"/>
      <c r="BGL109" s="531"/>
      <c r="BGM109" s="530"/>
      <c r="BGN109" s="531"/>
      <c r="BGO109" s="530"/>
      <c r="BGP109" s="531"/>
      <c r="BGQ109" s="530"/>
      <c r="BGR109" s="531"/>
      <c r="BGS109" s="530"/>
      <c r="BGT109" s="531"/>
      <c r="BGU109" s="530"/>
      <c r="BGV109" s="531"/>
      <c r="BGW109" s="530"/>
      <c r="BGX109" s="531"/>
      <c r="BGY109" s="530"/>
      <c r="BGZ109" s="531"/>
      <c r="BHA109" s="530"/>
      <c r="BHB109" s="531"/>
      <c r="BHC109" s="530"/>
      <c r="BHD109" s="531"/>
      <c r="BHE109" s="530"/>
      <c r="BHF109" s="531"/>
      <c r="BHG109" s="530"/>
      <c r="BHH109" s="531"/>
      <c r="BHI109" s="530"/>
      <c r="BHJ109" s="531"/>
      <c r="BHK109" s="530"/>
      <c r="BHL109" s="531"/>
      <c r="BHM109" s="530"/>
      <c r="BHN109" s="531"/>
      <c r="BHO109" s="530"/>
      <c r="BHP109" s="531"/>
      <c r="BHQ109" s="530"/>
      <c r="BHR109" s="531"/>
      <c r="BHS109" s="530"/>
      <c r="BHT109" s="531"/>
      <c r="BHU109" s="530"/>
      <c r="BHV109" s="531"/>
      <c r="BHW109" s="530"/>
      <c r="BHX109" s="531"/>
      <c r="BHY109" s="530"/>
      <c r="BHZ109" s="531"/>
      <c r="BIA109" s="530"/>
      <c r="BIB109" s="531"/>
      <c r="BIC109" s="530"/>
      <c r="BID109" s="531"/>
      <c r="BIE109" s="530"/>
      <c r="BIF109" s="531"/>
      <c r="BIG109" s="530"/>
      <c r="BIH109" s="531"/>
      <c r="BII109" s="530"/>
      <c r="BIJ109" s="531"/>
      <c r="BIK109" s="530"/>
      <c r="BIL109" s="531"/>
      <c r="BIM109" s="530"/>
      <c r="BIN109" s="531"/>
      <c r="BIO109" s="530"/>
      <c r="BIP109" s="531"/>
      <c r="BIQ109" s="530"/>
      <c r="BIR109" s="531"/>
      <c r="BIS109" s="530"/>
      <c r="BIT109" s="531"/>
      <c r="BIU109" s="530"/>
      <c r="BIV109" s="531"/>
      <c r="BIW109" s="530"/>
      <c r="BIX109" s="531"/>
      <c r="BIY109" s="530"/>
      <c r="BIZ109" s="531"/>
      <c r="BJA109" s="530"/>
      <c r="BJB109" s="531"/>
      <c r="BJC109" s="530"/>
      <c r="BJD109" s="531"/>
      <c r="BJE109" s="530"/>
      <c r="BJF109" s="531"/>
      <c r="BJG109" s="530"/>
      <c r="BJH109" s="531"/>
      <c r="BJI109" s="530"/>
      <c r="BJJ109" s="531"/>
      <c r="BJK109" s="530"/>
      <c r="BJL109" s="531"/>
      <c r="BJM109" s="530"/>
      <c r="BJN109" s="531"/>
      <c r="BJO109" s="530"/>
      <c r="BJP109" s="531"/>
      <c r="BJQ109" s="530"/>
      <c r="BJR109" s="531"/>
      <c r="BJS109" s="530"/>
      <c r="BJT109" s="531"/>
      <c r="BJU109" s="530"/>
      <c r="BJV109" s="531"/>
      <c r="BJW109" s="530"/>
      <c r="BJX109" s="531"/>
      <c r="BJY109" s="530"/>
      <c r="BJZ109" s="531"/>
      <c r="BKA109" s="530"/>
      <c r="BKB109" s="531"/>
      <c r="BKC109" s="530"/>
      <c r="BKD109" s="531"/>
      <c r="BKE109" s="530"/>
      <c r="BKF109" s="531"/>
      <c r="BKG109" s="530"/>
      <c r="BKH109" s="531"/>
      <c r="BKI109" s="530"/>
      <c r="BKJ109" s="531"/>
      <c r="BKK109" s="530"/>
      <c r="BKL109" s="531"/>
      <c r="BKM109" s="530"/>
      <c r="BKN109" s="531"/>
      <c r="BKO109" s="530"/>
      <c r="BKP109" s="531"/>
      <c r="BKQ109" s="530"/>
      <c r="BKR109" s="531"/>
      <c r="BKS109" s="530"/>
      <c r="BKT109" s="531"/>
      <c r="BKU109" s="530"/>
      <c r="BKV109" s="531"/>
      <c r="BKW109" s="530"/>
      <c r="BKX109" s="531"/>
      <c r="BKY109" s="530"/>
      <c r="BKZ109" s="531"/>
      <c r="BLA109" s="530"/>
      <c r="BLB109" s="531"/>
      <c r="BLC109" s="530"/>
      <c r="BLD109" s="531"/>
      <c r="BLE109" s="530"/>
      <c r="BLF109" s="531"/>
      <c r="BLG109" s="530"/>
      <c r="BLH109" s="531"/>
      <c r="BLI109" s="530"/>
      <c r="BLJ109" s="531"/>
      <c r="BLK109" s="530"/>
      <c r="BLL109" s="531"/>
      <c r="BLM109" s="530"/>
      <c r="BLN109" s="531"/>
      <c r="BLO109" s="530"/>
      <c r="BLP109" s="531"/>
      <c r="BLQ109" s="530"/>
      <c r="BLR109" s="531"/>
      <c r="BLS109" s="530"/>
      <c r="BLT109" s="531"/>
      <c r="BLU109" s="530"/>
      <c r="BLV109" s="531"/>
      <c r="BLW109" s="530"/>
      <c r="BLX109" s="531"/>
      <c r="BLY109" s="530"/>
      <c r="BLZ109" s="531"/>
      <c r="BMA109" s="530"/>
      <c r="BMB109" s="531"/>
      <c r="BMC109" s="530"/>
      <c r="BMD109" s="531"/>
      <c r="BME109" s="530"/>
      <c r="BMF109" s="531"/>
      <c r="BMG109" s="530"/>
      <c r="BMH109" s="531"/>
      <c r="BMI109" s="530"/>
      <c r="BMJ109" s="531"/>
      <c r="BMK109" s="530"/>
      <c r="BML109" s="531"/>
      <c r="BMM109" s="530"/>
      <c r="BMN109" s="531"/>
      <c r="BMO109" s="530"/>
      <c r="BMP109" s="531"/>
      <c r="BMQ109" s="530"/>
      <c r="BMR109" s="531"/>
      <c r="BMS109" s="530"/>
      <c r="BMT109" s="531"/>
      <c r="BMU109" s="530"/>
      <c r="BMV109" s="531"/>
      <c r="BMW109" s="530"/>
      <c r="BMX109" s="531"/>
      <c r="BMY109" s="530"/>
      <c r="BMZ109" s="531"/>
      <c r="BNA109" s="530"/>
      <c r="BNB109" s="531"/>
      <c r="BNC109" s="530"/>
      <c r="BND109" s="531"/>
      <c r="BNE109" s="530"/>
      <c r="BNF109" s="531"/>
      <c r="BNG109" s="530"/>
      <c r="BNH109" s="531"/>
      <c r="BNI109" s="530"/>
      <c r="BNJ109" s="531"/>
      <c r="BNK109" s="530"/>
      <c r="BNL109" s="531"/>
      <c r="BNM109" s="530"/>
      <c r="BNN109" s="531"/>
      <c r="BNO109" s="530"/>
      <c r="BNP109" s="531"/>
      <c r="BNQ109" s="530"/>
      <c r="BNR109" s="531"/>
      <c r="BNS109" s="530"/>
      <c r="BNT109" s="531"/>
      <c r="BNU109" s="530"/>
      <c r="BNV109" s="531"/>
      <c r="BNW109" s="530"/>
      <c r="BNX109" s="531"/>
      <c r="BNY109" s="530"/>
      <c r="BNZ109" s="531"/>
      <c r="BOA109" s="530"/>
      <c r="BOB109" s="531"/>
      <c r="BOC109" s="530"/>
      <c r="BOD109" s="531"/>
      <c r="BOE109" s="530"/>
      <c r="BOF109" s="531"/>
      <c r="BOG109" s="530"/>
      <c r="BOH109" s="531"/>
      <c r="BOI109" s="530"/>
      <c r="BOJ109" s="531"/>
      <c r="BOK109" s="530"/>
      <c r="BOL109" s="531"/>
      <c r="BOM109" s="530"/>
      <c r="BON109" s="531"/>
      <c r="BOO109" s="530"/>
      <c r="BOP109" s="531"/>
      <c r="BOQ109" s="530"/>
      <c r="BOR109" s="531"/>
      <c r="BOS109" s="530"/>
      <c r="BOT109" s="531"/>
      <c r="BOU109" s="530"/>
      <c r="BOV109" s="531"/>
      <c r="BOW109" s="530"/>
      <c r="BOX109" s="531"/>
      <c r="BOY109" s="530"/>
      <c r="BOZ109" s="531"/>
      <c r="BPA109" s="530"/>
      <c r="BPB109" s="531"/>
      <c r="BPC109" s="530"/>
      <c r="BPD109" s="531"/>
      <c r="BPE109" s="530"/>
      <c r="BPF109" s="531"/>
      <c r="BPG109" s="530"/>
      <c r="BPH109" s="531"/>
      <c r="BPI109" s="530"/>
      <c r="BPJ109" s="531"/>
      <c r="BPK109" s="530"/>
      <c r="BPL109" s="531"/>
      <c r="BPM109" s="530"/>
      <c r="BPN109" s="531"/>
      <c r="BPO109" s="530"/>
      <c r="BPP109" s="531"/>
      <c r="BPQ109" s="530"/>
      <c r="BPR109" s="531"/>
      <c r="BPS109" s="530"/>
      <c r="BPT109" s="531"/>
      <c r="BPU109" s="530"/>
      <c r="BPV109" s="531"/>
      <c r="BPW109" s="530"/>
      <c r="BPX109" s="531"/>
      <c r="BPY109" s="530"/>
      <c r="BPZ109" s="531"/>
      <c r="BQA109" s="530"/>
      <c r="BQB109" s="531"/>
      <c r="BQC109" s="530"/>
      <c r="BQD109" s="531"/>
      <c r="BQE109" s="530"/>
      <c r="BQF109" s="531"/>
      <c r="BQG109" s="530"/>
      <c r="BQH109" s="531"/>
      <c r="BQI109" s="530"/>
      <c r="BQJ109" s="531"/>
      <c r="BQK109" s="530"/>
      <c r="BQL109" s="531"/>
      <c r="BQM109" s="530"/>
      <c r="BQN109" s="531"/>
      <c r="BQO109" s="530"/>
      <c r="BQP109" s="531"/>
      <c r="BQQ109" s="530"/>
      <c r="BQR109" s="531"/>
      <c r="BQS109" s="530"/>
      <c r="BQT109" s="531"/>
      <c r="BQU109" s="530"/>
      <c r="BQV109" s="531"/>
      <c r="BQW109" s="530"/>
      <c r="BQX109" s="531"/>
      <c r="BQY109" s="530"/>
      <c r="BQZ109" s="531"/>
      <c r="BRA109" s="530"/>
      <c r="BRB109" s="531"/>
      <c r="BRC109" s="530"/>
      <c r="BRD109" s="531"/>
      <c r="BRE109" s="530"/>
      <c r="BRF109" s="531"/>
      <c r="BRG109" s="530"/>
      <c r="BRH109" s="531"/>
      <c r="BRI109" s="530"/>
      <c r="BRJ109" s="531"/>
      <c r="BRK109" s="530"/>
      <c r="BRL109" s="531"/>
      <c r="BRM109" s="530"/>
      <c r="BRN109" s="531"/>
      <c r="BRO109" s="530"/>
      <c r="BRP109" s="531"/>
      <c r="BRQ109" s="530"/>
      <c r="BRR109" s="531"/>
      <c r="BRS109" s="530"/>
      <c r="BRT109" s="531"/>
      <c r="BRU109" s="530"/>
      <c r="BRV109" s="531"/>
      <c r="BRW109" s="530"/>
      <c r="BRX109" s="531"/>
      <c r="BRY109" s="530"/>
      <c r="BRZ109" s="531"/>
      <c r="BSA109" s="530"/>
      <c r="BSB109" s="531"/>
      <c r="BSC109" s="530"/>
      <c r="BSD109" s="531"/>
      <c r="BSE109" s="530"/>
      <c r="BSF109" s="531"/>
      <c r="BSG109" s="530"/>
      <c r="BSH109" s="531"/>
      <c r="BSI109" s="530"/>
      <c r="BSJ109" s="531"/>
      <c r="BSK109" s="530"/>
      <c r="BSL109" s="531"/>
      <c r="BSM109" s="530"/>
      <c r="BSN109" s="531"/>
      <c r="BSO109" s="530"/>
      <c r="BSP109" s="531"/>
      <c r="BSQ109" s="530"/>
      <c r="BSR109" s="531"/>
      <c r="BSS109" s="530"/>
      <c r="BST109" s="531"/>
      <c r="BSU109" s="530"/>
      <c r="BSV109" s="531"/>
      <c r="BSW109" s="530"/>
      <c r="BSX109" s="531"/>
      <c r="BSY109" s="530"/>
      <c r="BSZ109" s="531"/>
      <c r="BTA109" s="530"/>
      <c r="BTB109" s="531"/>
      <c r="BTC109" s="530"/>
      <c r="BTD109" s="531"/>
      <c r="BTE109" s="530"/>
      <c r="BTF109" s="531"/>
      <c r="BTG109" s="530"/>
      <c r="BTH109" s="531"/>
      <c r="BTI109" s="530"/>
      <c r="BTJ109" s="531"/>
      <c r="BTK109" s="530"/>
      <c r="BTL109" s="531"/>
      <c r="BTM109" s="530"/>
      <c r="BTN109" s="531"/>
      <c r="BTO109" s="530"/>
      <c r="BTP109" s="531"/>
      <c r="BTQ109" s="530"/>
      <c r="BTR109" s="531"/>
      <c r="BTS109" s="530"/>
      <c r="BTT109" s="531"/>
      <c r="BTU109" s="530"/>
      <c r="BTV109" s="531"/>
      <c r="BTW109" s="530"/>
      <c r="BTX109" s="531"/>
      <c r="BTY109" s="530"/>
      <c r="BTZ109" s="531"/>
      <c r="BUA109" s="530"/>
      <c r="BUB109" s="531"/>
      <c r="BUC109" s="530"/>
      <c r="BUD109" s="531"/>
      <c r="BUE109" s="530"/>
      <c r="BUF109" s="531"/>
      <c r="BUG109" s="530"/>
      <c r="BUH109" s="531"/>
      <c r="BUI109" s="530"/>
      <c r="BUJ109" s="531"/>
      <c r="BUK109" s="530"/>
      <c r="BUL109" s="531"/>
      <c r="BUM109" s="530"/>
      <c r="BUN109" s="531"/>
      <c r="BUO109" s="530"/>
      <c r="BUP109" s="531"/>
      <c r="BUQ109" s="530"/>
      <c r="BUR109" s="531"/>
      <c r="BUS109" s="530"/>
      <c r="BUT109" s="531"/>
      <c r="BUU109" s="530"/>
      <c r="BUV109" s="531"/>
      <c r="BUW109" s="530"/>
      <c r="BUX109" s="531"/>
      <c r="BUY109" s="530"/>
      <c r="BUZ109" s="531"/>
      <c r="BVA109" s="530"/>
      <c r="BVB109" s="531"/>
      <c r="BVC109" s="530"/>
      <c r="BVD109" s="531"/>
      <c r="BVE109" s="530"/>
      <c r="BVF109" s="531"/>
      <c r="BVG109" s="530"/>
      <c r="BVH109" s="531"/>
      <c r="BVI109" s="530"/>
      <c r="BVJ109" s="531"/>
      <c r="BVK109" s="530"/>
      <c r="BVL109" s="531"/>
      <c r="BVM109" s="530"/>
      <c r="BVN109" s="531"/>
      <c r="BVO109" s="530"/>
      <c r="BVP109" s="531"/>
      <c r="BVQ109" s="530"/>
      <c r="BVR109" s="531"/>
      <c r="BVS109" s="530"/>
      <c r="BVT109" s="531"/>
      <c r="BVU109" s="530"/>
      <c r="BVV109" s="531"/>
      <c r="BVW109" s="530"/>
      <c r="BVX109" s="531"/>
      <c r="BVY109" s="530"/>
      <c r="BVZ109" s="531"/>
      <c r="BWA109" s="530"/>
      <c r="BWB109" s="531"/>
      <c r="BWC109" s="530"/>
      <c r="BWD109" s="531"/>
      <c r="BWE109" s="530"/>
      <c r="BWF109" s="531"/>
      <c r="BWG109" s="530"/>
      <c r="BWH109" s="531"/>
      <c r="BWI109" s="530"/>
      <c r="BWJ109" s="531"/>
      <c r="BWK109" s="530"/>
      <c r="BWL109" s="531"/>
      <c r="BWM109" s="530"/>
      <c r="BWN109" s="531"/>
      <c r="BWO109" s="530"/>
      <c r="BWP109" s="531"/>
      <c r="BWQ109" s="530"/>
      <c r="BWR109" s="531"/>
      <c r="BWS109" s="530"/>
      <c r="BWT109" s="531"/>
      <c r="BWU109" s="530"/>
      <c r="BWV109" s="531"/>
      <c r="BWW109" s="530"/>
      <c r="BWX109" s="531"/>
      <c r="BWY109" s="530"/>
      <c r="BWZ109" s="531"/>
      <c r="BXA109" s="530"/>
      <c r="BXB109" s="531"/>
      <c r="BXC109" s="530"/>
      <c r="BXD109" s="531"/>
      <c r="BXE109" s="530"/>
      <c r="BXF109" s="531"/>
      <c r="BXG109" s="530"/>
      <c r="BXH109" s="531"/>
      <c r="BXI109" s="530"/>
      <c r="BXJ109" s="531"/>
      <c r="BXK109" s="530"/>
      <c r="BXL109" s="531"/>
      <c r="BXM109" s="530"/>
      <c r="BXN109" s="531"/>
      <c r="BXO109" s="530"/>
      <c r="BXP109" s="531"/>
      <c r="BXQ109" s="530"/>
      <c r="BXR109" s="531"/>
      <c r="BXS109" s="530"/>
      <c r="BXT109" s="531"/>
      <c r="BXU109" s="530"/>
      <c r="BXV109" s="531"/>
      <c r="BXW109" s="530"/>
      <c r="BXX109" s="531"/>
      <c r="BXY109" s="530"/>
      <c r="BXZ109" s="531"/>
      <c r="BYA109" s="530"/>
      <c r="BYB109" s="531"/>
      <c r="BYC109" s="530"/>
      <c r="BYD109" s="531"/>
      <c r="BYE109" s="530"/>
      <c r="BYF109" s="531"/>
      <c r="BYG109" s="530"/>
      <c r="BYH109" s="531"/>
      <c r="BYI109" s="530"/>
      <c r="BYJ109" s="531"/>
      <c r="BYK109" s="530"/>
      <c r="BYL109" s="531"/>
      <c r="BYM109" s="530"/>
      <c r="BYN109" s="531"/>
      <c r="BYO109" s="530"/>
      <c r="BYP109" s="531"/>
      <c r="BYQ109" s="530"/>
      <c r="BYR109" s="531"/>
      <c r="BYS109" s="530"/>
      <c r="BYT109" s="531"/>
      <c r="BYU109" s="530"/>
      <c r="BYV109" s="531"/>
      <c r="BYW109" s="530"/>
      <c r="BYX109" s="531"/>
      <c r="BYY109" s="530"/>
      <c r="BYZ109" s="531"/>
      <c r="BZA109" s="530"/>
      <c r="BZB109" s="531"/>
      <c r="BZC109" s="530"/>
      <c r="BZD109" s="531"/>
      <c r="BZE109" s="530"/>
      <c r="BZF109" s="531"/>
      <c r="BZG109" s="530"/>
      <c r="BZH109" s="531"/>
      <c r="BZI109" s="530"/>
      <c r="BZJ109" s="531"/>
      <c r="BZK109" s="530"/>
      <c r="BZL109" s="531"/>
      <c r="BZM109" s="530"/>
      <c r="BZN109" s="531"/>
      <c r="BZO109" s="530"/>
      <c r="BZP109" s="531"/>
      <c r="BZQ109" s="530"/>
      <c r="BZR109" s="531"/>
      <c r="BZS109" s="530"/>
      <c r="BZT109" s="531"/>
      <c r="BZU109" s="530"/>
      <c r="BZV109" s="531"/>
      <c r="BZW109" s="530"/>
      <c r="BZX109" s="531"/>
      <c r="BZY109" s="530"/>
      <c r="BZZ109" s="531"/>
      <c r="CAA109" s="530"/>
      <c r="CAB109" s="531"/>
      <c r="CAC109" s="530"/>
      <c r="CAD109" s="531"/>
      <c r="CAE109" s="530"/>
      <c r="CAF109" s="531"/>
      <c r="CAG109" s="530"/>
      <c r="CAH109" s="531"/>
      <c r="CAI109" s="530"/>
      <c r="CAJ109" s="531"/>
      <c r="CAK109" s="530"/>
      <c r="CAL109" s="531"/>
      <c r="CAM109" s="530"/>
      <c r="CAN109" s="531"/>
      <c r="CAO109" s="530"/>
      <c r="CAP109" s="531"/>
      <c r="CAQ109" s="530"/>
      <c r="CAR109" s="531"/>
      <c r="CAS109" s="530"/>
      <c r="CAT109" s="531"/>
      <c r="CAU109" s="530"/>
      <c r="CAV109" s="531"/>
      <c r="CAW109" s="530"/>
      <c r="CAX109" s="531"/>
      <c r="CAY109" s="530"/>
      <c r="CAZ109" s="531"/>
      <c r="CBA109" s="530"/>
      <c r="CBB109" s="531"/>
      <c r="CBC109" s="530"/>
      <c r="CBD109" s="531"/>
      <c r="CBE109" s="530"/>
      <c r="CBF109" s="531"/>
      <c r="CBG109" s="530"/>
      <c r="CBH109" s="531"/>
      <c r="CBI109" s="530"/>
      <c r="CBJ109" s="531"/>
      <c r="CBK109" s="530"/>
      <c r="CBL109" s="531"/>
      <c r="CBM109" s="530"/>
      <c r="CBN109" s="531"/>
      <c r="CBO109" s="530"/>
      <c r="CBP109" s="531"/>
      <c r="CBQ109" s="530"/>
      <c r="CBR109" s="531"/>
      <c r="CBS109" s="530"/>
      <c r="CBT109" s="531"/>
      <c r="CBU109" s="530"/>
      <c r="CBV109" s="531"/>
      <c r="CBW109" s="530"/>
      <c r="CBX109" s="531"/>
      <c r="CBY109" s="530"/>
      <c r="CBZ109" s="531"/>
      <c r="CCA109" s="530"/>
      <c r="CCB109" s="531"/>
      <c r="CCC109" s="530"/>
      <c r="CCD109" s="531"/>
      <c r="CCE109" s="530"/>
      <c r="CCF109" s="531"/>
      <c r="CCG109" s="530"/>
      <c r="CCH109" s="531"/>
      <c r="CCI109" s="530"/>
      <c r="CCJ109" s="531"/>
      <c r="CCK109" s="530"/>
      <c r="CCL109" s="531"/>
      <c r="CCM109" s="530"/>
      <c r="CCN109" s="531"/>
      <c r="CCO109" s="530"/>
      <c r="CCP109" s="531"/>
      <c r="CCQ109" s="530"/>
      <c r="CCR109" s="531"/>
      <c r="CCS109" s="530"/>
      <c r="CCT109" s="531"/>
      <c r="CCU109" s="530"/>
      <c r="CCV109" s="531"/>
      <c r="CCW109" s="530"/>
      <c r="CCX109" s="531"/>
      <c r="CCY109" s="530"/>
      <c r="CCZ109" s="531"/>
      <c r="CDA109" s="530"/>
      <c r="CDB109" s="531"/>
      <c r="CDC109" s="530"/>
      <c r="CDD109" s="531"/>
      <c r="CDE109" s="530"/>
      <c r="CDF109" s="531"/>
      <c r="CDG109" s="530"/>
      <c r="CDH109" s="531"/>
      <c r="CDI109" s="530"/>
      <c r="CDJ109" s="531"/>
      <c r="CDK109" s="530"/>
      <c r="CDL109" s="531"/>
      <c r="CDM109" s="530"/>
      <c r="CDN109" s="531"/>
      <c r="CDO109" s="530"/>
      <c r="CDP109" s="531"/>
      <c r="CDQ109" s="530"/>
      <c r="CDR109" s="531"/>
      <c r="CDS109" s="530"/>
      <c r="CDT109" s="531"/>
      <c r="CDU109" s="530"/>
      <c r="CDV109" s="531"/>
      <c r="CDW109" s="530"/>
      <c r="CDX109" s="531"/>
      <c r="CDY109" s="530"/>
      <c r="CDZ109" s="531"/>
      <c r="CEA109" s="530"/>
      <c r="CEB109" s="531"/>
      <c r="CEC109" s="530"/>
      <c r="CED109" s="531"/>
      <c r="CEE109" s="530"/>
      <c r="CEF109" s="531"/>
      <c r="CEG109" s="530"/>
      <c r="CEH109" s="531"/>
      <c r="CEI109" s="530"/>
      <c r="CEJ109" s="531"/>
      <c r="CEK109" s="530"/>
      <c r="CEL109" s="531"/>
      <c r="CEM109" s="530"/>
      <c r="CEN109" s="531"/>
      <c r="CEO109" s="530"/>
      <c r="CEP109" s="531"/>
      <c r="CEQ109" s="530"/>
      <c r="CER109" s="531"/>
      <c r="CES109" s="530"/>
      <c r="CET109" s="531"/>
      <c r="CEU109" s="530"/>
      <c r="CEV109" s="531"/>
      <c r="CEW109" s="530"/>
      <c r="CEX109" s="531"/>
      <c r="CEY109" s="530"/>
      <c r="CEZ109" s="531"/>
      <c r="CFA109" s="530"/>
      <c r="CFB109" s="531"/>
      <c r="CFC109" s="530"/>
      <c r="CFD109" s="531"/>
      <c r="CFE109" s="530"/>
      <c r="CFF109" s="531"/>
      <c r="CFG109" s="530"/>
      <c r="CFH109" s="531"/>
      <c r="CFI109" s="530"/>
      <c r="CFJ109" s="531"/>
      <c r="CFK109" s="530"/>
      <c r="CFL109" s="531"/>
      <c r="CFM109" s="530"/>
      <c r="CFN109" s="531"/>
      <c r="CFO109" s="530"/>
      <c r="CFP109" s="531"/>
      <c r="CFQ109" s="530"/>
      <c r="CFR109" s="531"/>
      <c r="CFS109" s="530"/>
      <c r="CFT109" s="531"/>
      <c r="CFU109" s="530"/>
      <c r="CFV109" s="531"/>
      <c r="CFW109" s="530"/>
      <c r="CFX109" s="531"/>
      <c r="CFY109" s="530"/>
      <c r="CFZ109" s="531"/>
      <c r="CGA109" s="530"/>
      <c r="CGB109" s="531"/>
      <c r="CGC109" s="530"/>
      <c r="CGD109" s="531"/>
      <c r="CGE109" s="530"/>
      <c r="CGF109" s="531"/>
      <c r="CGG109" s="530"/>
      <c r="CGH109" s="531"/>
      <c r="CGI109" s="530"/>
      <c r="CGJ109" s="531"/>
      <c r="CGK109" s="530"/>
      <c r="CGL109" s="531"/>
      <c r="CGM109" s="530"/>
      <c r="CGN109" s="531"/>
      <c r="CGO109" s="530"/>
      <c r="CGP109" s="531"/>
      <c r="CGQ109" s="530"/>
      <c r="CGR109" s="531"/>
      <c r="CGS109" s="530"/>
      <c r="CGT109" s="531"/>
      <c r="CGU109" s="530"/>
      <c r="CGV109" s="531"/>
      <c r="CGW109" s="530"/>
      <c r="CGX109" s="531"/>
      <c r="CGY109" s="530"/>
      <c r="CGZ109" s="531"/>
      <c r="CHA109" s="530"/>
      <c r="CHB109" s="531"/>
      <c r="CHC109" s="530"/>
      <c r="CHD109" s="531"/>
      <c r="CHE109" s="530"/>
      <c r="CHF109" s="531"/>
      <c r="CHG109" s="530"/>
      <c r="CHH109" s="531"/>
      <c r="CHI109" s="530"/>
      <c r="CHJ109" s="531"/>
      <c r="CHK109" s="530"/>
      <c r="CHL109" s="531"/>
      <c r="CHM109" s="530"/>
      <c r="CHN109" s="531"/>
      <c r="CHO109" s="530"/>
      <c r="CHP109" s="531"/>
      <c r="CHQ109" s="530"/>
      <c r="CHR109" s="531"/>
      <c r="CHS109" s="530"/>
      <c r="CHT109" s="531"/>
      <c r="CHU109" s="530"/>
      <c r="CHV109" s="531"/>
      <c r="CHW109" s="530"/>
      <c r="CHX109" s="531"/>
      <c r="CHY109" s="530"/>
      <c r="CHZ109" s="531"/>
      <c r="CIA109" s="530"/>
      <c r="CIB109" s="531"/>
      <c r="CIC109" s="530"/>
      <c r="CID109" s="531"/>
      <c r="CIE109" s="530"/>
      <c r="CIF109" s="531"/>
      <c r="CIG109" s="530"/>
      <c r="CIH109" s="531"/>
      <c r="CII109" s="530"/>
      <c r="CIJ109" s="531"/>
      <c r="CIK109" s="530"/>
      <c r="CIL109" s="531"/>
      <c r="CIM109" s="530"/>
      <c r="CIN109" s="531"/>
      <c r="CIO109" s="530"/>
      <c r="CIP109" s="531"/>
      <c r="CIQ109" s="530"/>
      <c r="CIR109" s="531"/>
      <c r="CIS109" s="530"/>
      <c r="CIT109" s="531"/>
      <c r="CIU109" s="530"/>
      <c r="CIV109" s="531"/>
      <c r="CIW109" s="530"/>
      <c r="CIX109" s="531"/>
      <c r="CIY109" s="530"/>
      <c r="CIZ109" s="531"/>
      <c r="CJA109" s="530"/>
      <c r="CJB109" s="531"/>
      <c r="CJC109" s="530"/>
      <c r="CJD109" s="531"/>
      <c r="CJE109" s="530"/>
      <c r="CJF109" s="531"/>
      <c r="CJG109" s="530"/>
      <c r="CJH109" s="531"/>
      <c r="CJI109" s="530"/>
      <c r="CJJ109" s="531"/>
      <c r="CJK109" s="530"/>
      <c r="CJL109" s="531"/>
      <c r="CJM109" s="530"/>
      <c r="CJN109" s="531"/>
      <c r="CJO109" s="530"/>
      <c r="CJP109" s="531"/>
      <c r="CJQ109" s="530"/>
      <c r="CJR109" s="531"/>
      <c r="CJS109" s="530"/>
      <c r="CJT109" s="531"/>
      <c r="CJU109" s="530"/>
      <c r="CJV109" s="531"/>
      <c r="CJW109" s="530"/>
      <c r="CJX109" s="531"/>
      <c r="CJY109" s="530"/>
      <c r="CJZ109" s="531"/>
      <c r="CKA109" s="530"/>
      <c r="CKB109" s="531"/>
      <c r="CKC109" s="530"/>
      <c r="CKD109" s="531"/>
      <c r="CKE109" s="530"/>
      <c r="CKF109" s="531"/>
      <c r="CKG109" s="530"/>
      <c r="CKH109" s="531"/>
      <c r="CKI109" s="530"/>
      <c r="CKJ109" s="531"/>
      <c r="CKK109" s="530"/>
      <c r="CKL109" s="531"/>
      <c r="CKM109" s="530"/>
      <c r="CKN109" s="531"/>
      <c r="CKO109" s="530"/>
      <c r="CKP109" s="531"/>
      <c r="CKQ109" s="530"/>
      <c r="CKR109" s="531"/>
      <c r="CKS109" s="530"/>
      <c r="CKT109" s="531"/>
      <c r="CKU109" s="530"/>
      <c r="CKV109" s="531"/>
      <c r="CKW109" s="530"/>
      <c r="CKX109" s="531"/>
      <c r="CKY109" s="530"/>
      <c r="CKZ109" s="531"/>
      <c r="CLA109" s="530"/>
      <c r="CLB109" s="531"/>
      <c r="CLC109" s="530"/>
      <c r="CLD109" s="531"/>
      <c r="CLE109" s="530"/>
      <c r="CLF109" s="531"/>
      <c r="CLG109" s="530"/>
      <c r="CLH109" s="531"/>
      <c r="CLI109" s="530"/>
      <c r="CLJ109" s="531"/>
      <c r="CLK109" s="530"/>
      <c r="CLL109" s="531"/>
      <c r="CLM109" s="530"/>
      <c r="CLN109" s="531"/>
      <c r="CLO109" s="530"/>
      <c r="CLP109" s="531"/>
      <c r="CLQ109" s="530"/>
      <c r="CLR109" s="531"/>
      <c r="CLS109" s="530"/>
      <c r="CLT109" s="531"/>
      <c r="CLU109" s="530"/>
      <c r="CLV109" s="531"/>
      <c r="CLW109" s="530"/>
      <c r="CLX109" s="531"/>
      <c r="CLY109" s="530"/>
      <c r="CLZ109" s="531"/>
      <c r="CMA109" s="530"/>
      <c r="CMB109" s="531"/>
      <c r="CMC109" s="530"/>
      <c r="CMD109" s="531"/>
      <c r="CME109" s="530"/>
      <c r="CMF109" s="531"/>
      <c r="CMG109" s="530"/>
      <c r="CMH109" s="531"/>
      <c r="CMI109" s="530"/>
      <c r="CMJ109" s="531"/>
      <c r="CMK109" s="530"/>
      <c r="CML109" s="531"/>
      <c r="CMM109" s="530"/>
      <c r="CMN109" s="531"/>
      <c r="CMO109" s="530"/>
      <c r="CMP109" s="531"/>
      <c r="CMQ109" s="530"/>
      <c r="CMR109" s="531"/>
      <c r="CMS109" s="530"/>
      <c r="CMT109" s="531"/>
      <c r="CMU109" s="530"/>
      <c r="CMV109" s="531"/>
      <c r="CMW109" s="530"/>
      <c r="CMX109" s="531"/>
      <c r="CMY109" s="530"/>
      <c r="CMZ109" s="531"/>
      <c r="CNA109" s="530"/>
      <c r="CNB109" s="531"/>
      <c r="CNC109" s="530"/>
      <c r="CND109" s="531"/>
      <c r="CNE109" s="530"/>
      <c r="CNF109" s="531"/>
      <c r="CNG109" s="530"/>
      <c r="CNH109" s="531"/>
      <c r="CNI109" s="530"/>
      <c r="CNJ109" s="531"/>
      <c r="CNK109" s="530"/>
      <c r="CNL109" s="531"/>
      <c r="CNM109" s="530"/>
      <c r="CNN109" s="531"/>
      <c r="CNO109" s="530"/>
      <c r="CNP109" s="531"/>
      <c r="CNQ109" s="530"/>
      <c r="CNR109" s="531"/>
      <c r="CNS109" s="530"/>
      <c r="CNT109" s="531"/>
      <c r="CNU109" s="530"/>
      <c r="CNV109" s="531"/>
      <c r="CNW109" s="530"/>
      <c r="CNX109" s="531"/>
      <c r="CNY109" s="530"/>
      <c r="CNZ109" s="531"/>
      <c r="COA109" s="530"/>
      <c r="COB109" s="531"/>
      <c r="COC109" s="530"/>
      <c r="COD109" s="531"/>
      <c r="COE109" s="530"/>
      <c r="COF109" s="531"/>
      <c r="COG109" s="530"/>
      <c r="COH109" s="531"/>
      <c r="COI109" s="530"/>
      <c r="COJ109" s="531"/>
      <c r="COK109" s="530"/>
      <c r="COL109" s="531"/>
      <c r="COM109" s="530"/>
      <c r="CON109" s="531"/>
      <c r="COO109" s="530"/>
      <c r="COP109" s="531"/>
      <c r="COQ109" s="530"/>
      <c r="COR109" s="531"/>
      <c r="COS109" s="530"/>
      <c r="COT109" s="531"/>
      <c r="COU109" s="530"/>
      <c r="COV109" s="531"/>
      <c r="COW109" s="530"/>
      <c r="COX109" s="531"/>
      <c r="COY109" s="530"/>
      <c r="COZ109" s="531"/>
      <c r="CPA109" s="530"/>
      <c r="CPB109" s="531"/>
      <c r="CPC109" s="530"/>
      <c r="CPD109" s="531"/>
      <c r="CPE109" s="530"/>
      <c r="CPF109" s="531"/>
      <c r="CPG109" s="530"/>
      <c r="CPH109" s="531"/>
      <c r="CPI109" s="530"/>
      <c r="CPJ109" s="531"/>
      <c r="CPK109" s="530"/>
      <c r="CPL109" s="531"/>
      <c r="CPM109" s="530"/>
      <c r="CPN109" s="531"/>
      <c r="CPO109" s="530"/>
      <c r="CPP109" s="531"/>
      <c r="CPQ109" s="530"/>
      <c r="CPR109" s="531"/>
      <c r="CPS109" s="530"/>
      <c r="CPT109" s="531"/>
      <c r="CPU109" s="530"/>
      <c r="CPV109" s="531"/>
      <c r="CPW109" s="530"/>
      <c r="CPX109" s="531"/>
      <c r="CPY109" s="530"/>
      <c r="CPZ109" s="531"/>
      <c r="CQA109" s="530"/>
      <c r="CQB109" s="531"/>
      <c r="CQC109" s="530"/>
      <c r="CQD109" s="531"/>
      <c r="CQE109" s="530"/>
      <c r="CQF109" s="531"/>
      <c r="CQG109" s="530"/>
      <c r="CQH109" s="531"/>
      <c r="CQI109" s="530"/>
      <c r="CQJ109" s="531"/>
      <c r="CQK109" s="530"/>
      <c r="CQL109" s="531"/>
      <c r="CQM109" s="530"/>
      <c r="CQN109" s="531"/>
      <c r="CQO109" s="530"/>
      <c r="CQP109" s="531"/>
      <c r="CQQ109" s="530"/>
      <c r="CQR109" s="531"/>
      <c r="CQS109" s="530"/>
      <c r="CQT109" s="531"/>
      <c r="CQU109" s="530"/>
      <c r="CQV109" s="531"/>
      <c r="CQW109" s="530"/>
      <c r="CQX109" s="531"/>
      <c r="CQY109" s="530"/>
      <c r="CQZ109" s="531"/>
      <c r="CRA109" s="530"/>
      <c r="CRB109" s="531"/>
      <c r="CRC109" s="530"/>
      <c r="CRD109" s="531"/>
      <c r="CRE109" s="530"/>
      <c r="CRF109" s="531"/>
      <c r="CRG109" s="530"/>
      <c r="CRH109" s="531"/>
      <c r="CRI109" s="530"/>
      <c r="CRJ109" s="531"/>
      <c r="CRK109" s="530"/>
      <c r="CRL109" s="531"/>
      <c r="CRM109" s="530"/>
      <c r="CRN109" s="531"/>
      <c r="CRO109" s="530"/>
      <c r="CRP109" s="531"/>
      <c r="CRQ109" s="530"/>
      <c r="CRR109" s="531"/>
      <c r="CRS109" s="530"/>
      <c r="CRT109" s="531"/>
      <c r="CRU109" s="530"/>
      <c r="CRV109" s="531"/>
      <c r="CRW109" s="530"/>
      <c r="CRX109" s="531"/>
      <c r="CRY109" s="530"/>
      <c r="CRZ109" s="531"/>
      <c r="CSA109" s="530"/>
      <c r="CSB109" s="531"/>
      <c r="CSC109" s="530"/>
      <c r="CSD109" s="531"/>
      <c r="CSE109" s="530"/>
      <c r="CSF109" s="531"/>
      <c r="CSG109" s="530"/>
      <c r="CSH109" s="531"/>
      <c r="CSI109" s="530"/>
      <c r="CSJ109" s="531"/>
      <c r="CSK109" s="530"/>
      <c r="CSL109" s="531"/>
      <c r="CSM109" s="530"/>
      <c r="CSN109" s="531"/>
      <c r="CSO109" s="530"/>
      <c r="CSP109" s="531"/>
      <c r="CSQ109" s="530"/>
      <c r="CSR109" s="531"/>
      <c r="CSS109" s="530"/>
      <c r="CST109" s="531"/>
      <c r="CSU109" s="530"/>
      <c r="CSV109" s="531"/>
      <c r="CSW109" s="530"/>
      <c r="CSX109" s="531"/>
      <c r="CSY109" s="530"/>
      <c r="CSZ109" s="531"/>
      <c r="CTA109" s="530"/>
      <c r="CTB109" s="531"/>
      <c r="CTC109" s="530"/>
      <c r="CTD109" s="531"/>
      <c r="CTE109" s="530"/>
      <c r="CTF109" s="531"/>
      <c r="CTG109" s="530"/>
      <c r="CTH109" s="531"/>
      <c r="CTI109" s="530"/>
      <c r="CTJ109" s="531"/>
      <c r="CTK109" s="530"/>
      <c r="CTL109" s="531"/>
      <c r="CTM109" s="530"/>
      <c r="CTN109" s="531"/>
      <c r="CTO109" s="530"/>
      <c r="CTP109" s="531"/>
      <c r="CTQ109" s="530"/>
      <c r="CTR109" s="531"/>
      <c r="CTS109" s="530"/>
      <c r="CTT109" s="531"/>
      <c r="CTU109" s="530"/>
      <c r="CTV109" s="531"/>
      <c r="CTW109" s="530"/>
      <c r="CTX109" s="531"/>
      <c r="CTY109" s="530"/>
      <c r="CTZ109" s="531"/>
      <c r="CUA109" s="530"/>
      <c r="CUB109" s="531"/>
      <c r="CUC109" s="530"/>
      <c r="CUD109" s="531"/>
      <c r="CUE109" s="530"/>
      <c r="CUF109" s="531"/>
      <c r="CUG109" s="530"/>
      <c r="CUH109" s="531"/>
      <c r="CUI109" s="530"/>
      <c r="CUJ109" s="531"/>
      <c r="CUK109" s="530"/>
      <c r="CUL109" s="531"/>
      <c r="CUM109" s="530"/>
      <c r="CUN109" s="531"/>
      <c r="CUO109" s="530"/>
      <c r="CUP109" s="531"/>
      <c r="CUQ109" s="530"/>
      <c r="CUR109" s="531"/>
      <c r="CUS109" s="530"/>
      <c r="CUT109" s="531"/>
      <c r="CUU109" s="530"/>
      <c r="CUV109" s="531"/>
      <c r="CUW109" s="530"/>
      <c r="CUX109" s="531"/>
      <c r="CUY109" s="530"/>
      <c r="CUZ109" s="531"/>
      <c r="CVA109" s="530"/>
      <c r="CVB109" s="531"/>
      <c r="CVC109" s="530"/>
      <c r="CVD109" s="531"/>
      <c r="CVE109" s="530"/>
      <c r="CVF109" s="531"/>
      <c r="CVG109" s="530"/>
      <c r="CVH109" s="531"/>
      <c r="CVI109" s="530"/>
      <c r="CVJ109" s="531"/>
      <c r="CVK109" s="530"/>
      <c r="CVL109" s="531"/>
      <c r="CVM109" s="530"/>
      <c r="CVN109" s="531"/>
      <c r="CVO109" s="530"/>
      <c r="CVP109" s="531"/>
      <c r="CVQ109" s="530"/>
      <c r="CVR109" s="531"/>
      <c r="CVS109" s="530"/>
      <c r="CVT109" s="531"/>
      <c r="CVU109" s="530"/>
      <c r="CVV109" s="531"/>
      <c r="CVW109" s="530"/>
      <c r="CVX109" s="531"/>
      <c r="CVY109" s="530"/>
      <c r="CVZ109" s="531"/>
      <c r="CWA109" s="530"/>
      <c r="CWB109" s="531"/>
      <c r="CWC109" s="530"/>
      <c r="CWD109" s="531"/>
      <c r="CWE109" s="530"/>
      <c r="CWF109" s="531"/>
      <c r="CWG109" s="530"/>
      <c r="CWH109" s="531"/>
      <c r="CWI109" s="530"/>
      <c r="CWJ109" s="531"/>
      <c r="CWK109" s="530"/>
      <c r="CWL109" s="531"/>
      <c r="CWM109" s="530"/>
      <c r="CWN109" s="531"/>
      <c r="CWO109" s="530"/>
      <c r="CWP109" s="531"/>
      <c r="CWQ109" s="530"/>
      <c r="CWR109" s="531"/>
      <c r="CWS109" s="530"/>
      <c r="CWT109" s="531"/>
      <c r="CWU109" s="530"/>
      <c r="CWV109" s="531"/>
      <c r="CWW109" s="530"/>
      <c r="CWX109" s="531"/>
      <c r="CWY109" s="530"/>
      <c r="CWZ109" s="531"/>
      <c r="CXA109" s="530"/>
      <c r="CXB109" s="531"/>
      <c r="CXC109" s="530"/>
      <c r="CXD109" s="531"/>
      <c r="CXE109" s="530"/>
      <c r="CXF109" s="531"/>
      <c r="CXG109" s="530"/>
      <c r="CXH109" s="531"/>
      <c r="CXI109" s="530"/>
      <c r="CXJ109" s="531"/>
      <c r="CXK109" s="530"/>
      <c r="CXL109" s="531"/>
      <c r="CXM109" s="530"/>
      <c r="CXN109" s="531"/>
      <c r="CXO109" s="530"/>
      <c r="CXP109" s="531"/>
      <c r="CXQ109" s="530"/>
      <c r="CXR109" s="531"/>
      <c r="CXS109" s="530"/>
      <c r="CXT109" s="531"/>
      <c r="CXU109" s="530"/>
      <c r="CXV109" s="531"/>
      <c r="CXW109" s="530"/>
      <c r="CXX109" s="531"/>
      <c r="CXY109" s="530"/>
      <c r="CXZ109" s="531"/>
      <c r="CYA109" s="530"/>
      <c r="CYB109" s="531"/>
      <c r="CYC109" s="530"/>
      <c r="CYD109" s="531"/>
      <c r="CYE109" s="530"/>
      <c r="CYF109" s="531"/>
      <c r="CYG109" s="530"/>
      <c r="CYH109" s="531"/>
      <c r="CYI109" s="530"/>
      <c r="CYJ109" s="531"/>
      <c r="CYK109" s="530"/>
      <c r="CYL109" s="531"/>
      <c r="CYM109" s="530"/>
      <c r="CYN109" s="531"/>
      <c r="CYO109" s="530"/>
      <c r="CYP109" s="531"/>
      <c r="CYQ109" s="530"/>
      <c r="CYR109" s="531"/>
      <c r="CYS109" s="530"/>
      <c r="CYT109" s="531"/>
      <c r="CYU109" s="530"/>
      <c r="CYV109" s="531"/>
      <c r="CYW109" s="530"/>
      <c r="CYX109" s="531"/>
      <c r="CYY109" s="530"/>
      <c r="CYZ109" s="531"/>
      <c r="CZA109" s="530"/>
      <c r="CZB109" s="531"/>
      <c r="CZC109" s="530"/>
      <c r="CZD109" s="531"/>
      <c r="CZE109" s="530"/>
      <c r="CZF109" s="531"/>
      <c r="CZG109" s="530"/>
      <c r="CZH109" s="531"/>
      <c r="CZI109" s="530"/>
      <c r="CZJ109" s="531"/>
      <c r="CZK109" s="530"/>
      <c r="CZL109" s="531"/>
      <c r="CZM109" s="530"/>
      <c r="CZN109" s="531"/>
      <c r="CZO109" s="530"/>
      <c r="CZP109" s="531"/>
      <c r="CZQ109" s="530"/>
      <c r="CZR109" s="531"/>
      <c r="CZS109" s="530"/>
      <c r="CZT109" s="531"/>
      <c r="CZU109" s="530"/>
      <c r="CZV109" s="531"/>
      <c r="CZW109" s="530"/>
      <c r="CZX109" s="531"/>
      <c r="CZY109" s="530"/>
      <c r="CZZ109" s="531"/>
      <c r="DAA109" s="530"/>
      <c r="DAB109" s="531"/>
      <c r="DAC109" s="530"/>
      <c r="DAD109" s="531"/>
      <c r="DAE109" s="530"/>
      <c r="DAF109" s="531"/>
      <c r="DAG109" s="530"/>
      <c r="DAH109" s="531"/>
      <c r="DAI109" s="530"/>
      <c r="DAJ109" s="531"/>
      <c r="DAK109" s="530"/>
      <c r="DAL109" s="531"/>
      <c r="DAM109" s="530"/>
      <c r="DAN109" s="531"/>
      <c r="DAO109" s="530"/>
      <c r="DAP109" s="531"/>
      <c r="DAQ109" s="530"/>
      <c r="DAR109" s="531"/>
      <c r="DAS109" s="530"/>
      <c r="DAT109" s="531"/>
      <c r="DAU109" s="530"/>
      <c r="DAV109" s="531"/>
      <c r="DAW109" s="530"/>
      <c r="DAX109" s="531"/>
      <c r="DAY109" s="530"/>
      <c r="DAZ109" s="531"/>
      <c r="DBA109" s="530"/>
      <c r="DBB109" s="531"/>
      <c r="DBC109" s="530"/>
      <c r="DBD109" s="531"/>
      <c r="DBE109" s="530"/>
      <c r="DBF109" s="531"/>
      <c r="DBG109" s="530"/>
      <c r="DBH109" s="531"/>
      <c r="DBI109" s="530"/>
      <c r="DBJ109" s="531"/>
      <c r="DBK109" s="530"/>
      <c r="DBL109" s="531"/>
      <c r="DBM109" s="530"/>
      <c r="DBN109" s="531"/>
      <c r="DBO109" s="530"/>
      <c r="DBP109" s="531"/>
      <c r="DBQ109" s="530"/>
      <c r="DBR109" s="531"/>
      <c r="DBS109" s="530"/>
      <c r="DBT109" s="531"/>
      <c r="DBU109" s="530"/>
      <c r="DBV109" s="531"/>
      <c r="DBW109" s="530"/>
      <c r="DBX109" s="531"/>
      <c r="DBY109" s="530"/>
      <c r="DBZ109" s="531"/>
      <c r="DCA109" s="530"/>
      <c r="DCB109" s="531"/>
      <c r="DCC109" s="530"/>
      <c r="DCD109" s="531"/>
      <c r="DCE109" s="530"/>
      <c r="DCF109" s="531"/>
      <c r="DCG109" s="530"/>
      <c r="DCH109" s="531"/>
      <c r="DCI109" s="530"/>
      <c r="DCJ109" s="531"/>
      <c r="DCK109" s="530"/>
      <c r="DCL109" s="531"/>
      <c r="DCM109" s="530"/>
      <c r="DCN109" s="531"/>
      <c r="DCO109" s="530"/>
      <c r="DCP109" s="531"/>
      <c r="DCQ109" s="530"/>
      <c r="DCR109" s="531"/>
      <c r="DCS109" s="530"/>
      <c r="DCT109" s="531"/>
      <c r="DCU109" s="530"/>
      <c r="DCV109" s="531"/>
      <c r="DCW109" s="530"/>
      <c r="DCX109" s="531"/>
      <c r="DCY109" s="530"/>
      <c r="DCZ109" s="531"/>
      <c r="DDA109" s="530"/>
      <c r="DDB109" s="531"/>
      <c r="DDC109" s="530"/>
      <c r="DDD109" s="531"/>
      <c r="DDE109" s="530"/>
      <c r="DDF109" s="531"/>
      <c r="DDG109" s="530"/>
      <c r="DDH109" s="531"/>
      <c r="DDI109" s="530"/>
      <c r="DDJ109" s="531"/>
      <c r="DDK109" s="530"/>
      <c r="DDL109" s="531"/>
      <c r="DDM109" s="530"/>
      <c r="DDN109" s="531"/>
      <c r="DDO109" s="530"/>
      <c r="DDP109" s="531"/>
      <c r="DDQ109" s="530"/>
      <c r="DDR109" s="531"/>
      <c r="DDS109" s="530"/>
      <c r="DDT109" s="531"/>
      <c r="DDU109" s="530"/>
      <c r="DDV109" s="531"/>
      <c r="DDW109" s="530"/>
      <c r="DDX109" s="531"/>
      <c r="DDY109" s="530"/>
      <c r="DDZ109" s="531"/>
      <c r="DEA109" s="530"/>
      <c r="DEB109" s="531"/>
      <c r="DEC109" s="530"/>
      <c r="DED109" s="531"/>
      <c r="DEE109" s="530"/>
      <c r="DEF109" s="531"/>
      <c r="DEG109" s="530"/>
      <c r="DEH109" s="531"/>
      <c r="DEI109" s="530"/>
      <c r="DEJ109" s="531"/>
      <c r="DEK109" s="530"/>
      <c r="DEL109" s="531"/>
      <c r="DEM109" s="530"/>
      <c r="DEN109" s="531"/>
      <c r="DEO109" s="530"/>
      <c r="DEP109" s="531"/>
      <c r="DEQ109" s="530"/>
      <c r="DER109" s="531"/>
      <c r="DES109" s="530"/>
      <c r="DET109" s="531"/>
      <c r="DEU109" s="530"/>
      <c r="DEV109" s="531"/>
      <c r="DEW109" s="530"/>
      <c r="DEX109" s="531"/>
      <c r="DEY109" s="530"/>
      <c r="DEZ109" s="531"/>
      <c r="DFA109" s="530"/>
      <c r="DFB109" s="531"/>
      <c r="DFC109" s="530"/>
      <c r="DFD109" s="531"/>
      <c r="DFE109" s="530"/>
      <c r="DFF109" s="531"/>
      <c r="DFG109" s="530"/>
      <c r="DFH109" s="531"/>
      <c r="DFI109" s="530"/>
      <c r="DFJ109" s="531"/>
      <c r="DFK109" s="530"/>
      <c r="DFL109" s="531"/>
      <c r="DFM109" s="530"/>
      <c r="DFN109" s="531"/>
      <c r="DFO109" s="530"/>
      <c r="DFP109" s="531"/>
      <c r="DFQ109" s="530"/>
      <c r="DFR109" s="531"/>
      <c r="DFS109" s="530"/>
      <c r="DFT109" s="531"/>
      <c r="DFU109" s="530"/>
      <c r="DFV109" s="531"/>
      <c r="DFW109" s="530"/>
      <c r="DFX109" s="531"/>
      <c r="DFY109" s="530"/>
      <c r="DFZ109" s="531"/>
      <c r="DGA109" s="530"/>
      <c r="DGB109" s="531"/>
      <c r="DGC109" s="530"/>
      <c r="DGD109" s="531"/>
      <c r="DGE109" s="530"/>
      <c r="DGF109" s="531"/>
      <c r="DGG109" s="530"/>
      <c r="DGH109" s="531"/>
      <c r="DGI109" s="530"/>
      <c r="DGJ109" s="531"/>
      <c r="DGK109" s="530"/>
      <c r="DGL109" s="531"/>
      <c r="DGM109" s="530"/>
      <c r="DGN109" s="531"/>
      <c r="DGO109" s="530"/>
      <c r="DGP109" s="531"/>
      <c r="DGQ109" s="530"/>
      <c r="DGR109" s="531"/>
      <c r="DGS109" s="530"/>
      <c r="DGT109" s="531"/>
      <c r="DGU109" s="530"/>
      <c r="DGV109" s="531"/>
      <c r="DGW109" s="530"/>
      <c r="DGX109" s="531"/>
      <c r="DGY109" s="530"/>
      <c r="DGZ109" s="531"/>
      <c r="DHA109" s="530"/>
      <c r="DHB109" s="531"/>
      <c r="DHC109" s="530"/>
      <c r="DHD109" s="531"/>
      <c r="DHE109" s="530"/>
      <c r="DHF109" s="531"/>
      <c r="DHG109" s="530"/>
      <c r="DHH109" s="531"/>
      <c r="DHI109" s="530"/>
      <c r="DHJ109" s="531"/>
      <c r="DHK109" s="530"/>
      <c r="DHL109" s="531"/>
      <c r="DHM109" s="530"/>
      <c r="DHN109" s="531"/>
      <c r="DHO109" s="530"/>
      <c r="DHP109" s="531"/>
      <c r="DHQ109" s="530"/>
      <c r="DHR109" s="531"/>
      <c r="DHS109" s="530"/>
      <c r="DHT109" s="531"/>
      <c r="DHU109" s="530"/>
      <c r="DHV109" s="531"/>
      <c r="DHW109" s="530"/>
      <c r="DHX109" s="531"/>
      <c r="DHY109" s="530"/>
      <c r="DHZ109" s="531"/>
      <c r="DIA109" s="530"/>
      <c r="DIB109" s="531"/>
      <c r="DIC109" s="530"/>
      <c r="DID109" s="531"/>
      <c r="DIE109" s="530"/>
      <c r="DIF109" s="531"/>
      <c r="DIG109" s="530"/>
      <c r="DIH109" s="531"/>
      <c r="DII109" s="530"/>
      <c r="DIJ109" s="531"/>
      <c r="DIK109" s="530"/>
      <c r="DIL109" s="531"/>
      <c r="DIM109" s="530"/>
      <c r="DIN109" s="531"/>
      <c r="DIO109" s="530"/>
      <c r="DIP109" s="531"/>
      <c r="DIQ109" s="530"/>
      <c r="DIR109" s="531"/>
      <c r="DIS109" s="530"/>
      <c r="DIT109" s="531"/>
      <c r="DIU109" s="530"/>
      <c r="DIV109" s="531"/>
      <c r="DIW109" s="530"/>
      <c r="DIX109" s="531"/>
      <c r="DIY109" s="530"/>
      <c r="DIZ109" s="531"/>
      <c r="DJA109" s="530"/>
      <c r="DJB109" s="531"/>
      <c r="DJC109" s="530"/>
      <c r="DJD109" s="531"/>
      <c r="DJE109" s="530"/>
      <c r="DJF109" s="531"/>
      <c r="DJG109" s="530"/>
      <c r="DJH109" s="531"/>
      <c r="DJI109" s="530"/>
      <c r="DJJ109" s="531"/>
      <c r="DJK109" s="530"/>
      <c r="DJL109" s="531"/>
      <c r="DJM109" s="530"/>
      <c r="DJN109" s="531"/>
      <c r="DJO109" s="530"/>
      <c r="DJP109" s="531"/>
      <c r="DJQ109" s="530"/>
      <c r="DJR109" s="531"/>
      <c r="DJS109" s="530"/>
      <c r="DJT109" s="531"/>
      <c r="DJU109" s="530"/>
      <c r="DJV109" s="531"/>
      <c r="DJW109" s="530"/>
      <c r="DJX109" s="531"/>
      <c r="DJY109" s="530"/>
      <c r="DJZ109" s="531"/>
      <c r="DKA109" s="530"/>
      <c r="DKB109" s="531"/>
      <c r="DKC109" s="530"/>
      <c r="DKD109" s="531"/>
      <c r="DKE109" s="530"/>
      <c r="DKF109" s="531"/>
      <c r="DKG109" s="530"/>
      <c r="DKH109" s="531"/>
      <c r="DKI109" s="530"/>
      <c r="DKJ109" s="531"/>
      <c r="DKK109" s="530"/>
      <c r="DKL109" s="531"/>
      <c r="DKM109" s="530"/>
      <c r="DKN109" s="531"/>
      <c r="DKO109" s="530"/>
      <c r="DKP109" s="531"/>
      <c r="DKQ109" s="530"/>
      <c r="DKR109" s="531"/>
      <c r="DKS109" s="530"/>
      <c r="DKT109" s="531"/>
      <c r="DKU109" s="530"/>
      <c r="DKV109" s="531"/>
      <c r="DKW109" s="530"/>
      <c r="DKX109" s="531"/>
      <c r="DKY109" s="530"/>
      <c r="DKZ109" s="531"/>
      <c r="DLA109" s="530"/>
      <c r="DLB109" s="531"/>
      <c r="DLC109" s="530"/>
      <c r="DLD109" s="531"/>
      <c r="DLE109" s="530"/>
      <c r="DLF109" s="531"/>
      <c r="DLG109" s="530"/>
      <c r="DLH109" s="531"/>
      <c r="DLI109" s="530"/>
      <c r="DLJ109" s="531"/>
      <c r="DLK109" s="530"/>
      <c r="DLL109" s="531"/>
      <c r="DLM109" s="530"/>
      <c r="DLN109" s="531"/>
      <c r="DLO109" s="530"/>
      <c r="DLP109" s="531"/>
      <c r="DLQ109" s="530"/>
      <c r="DLR109" s="531"/>
      <c r="DLS109" s="530"/>
      <c r="DLT109" s="531"/>
      <c r="DLU109" s="530"/>
      <c r="DLV109" s="531"/>
      <c r="DLW109" s="530"/>
      <c r="DLX109" s="531"/>
      <c r="DLY109" s="530"/>
      <c r="DLZ109" s="531"/>
      <c r="DMA109" s="530"/>
      <c r="DMB109" s="531"/>
      <c r="DMC109" s="530"/>
      <c r="DMD109" s="531"/>
      <c r="DME109" s="530"/>
      <c r="DMF109" s="531"/>
      <c r="DMG109" s="530"/>
      <c r="DMH109" s="531"/>
      <c r="DMI109" s="530"/>
      <c r="DMJ109" s="531"/>
      <c r="DMK109" s="530"/>
      <c r="DML109" s="531"/>
      <c r="DMM109" s="530"/>
      <c r="DMN109" s="531"/>
      <c r="DMO109" s="530"/>
      <c r="DMP109" s="531"/>
      <c r="DMQ109" s="530"/>
      <c r="DMR109" s="531"/>
      <c r="DMS109" s="530"/>
      <c r="DMT109" s="531"/>
      <c r="DMU109" s="530"/>
      <c r="DMV109" s="531"/>
      <c r="DMW109" s="530"/>
      <c r="DMX109" s="531"/>
      <c r="DMY109" s="530"/>
      <c r="DMZ109" s="531"/>
      <c r="DNA109" s="530"/>
      <c r="DNB109" s="531"/>
      <c r="DNC109" s="530"/>
      <c r="DND109" s="531"/>
      <c r="DNE109" s="530"/>
      <c r="DNF109" s="531"/>
      <c r="DNG109" s="530"/>
      <c r="DNH109" s="531"/>
      <c r="DNI109" s="530"/>
      <c r="DNJ109" s="531"/>
      <c r="DNK109" s="530"/>
      <c r="DNL109" s="531"/>
      <c r="DNM109" s="530"/>
      <c r="DNN109" s="531"/>
      <c r="DNO109" s="530"/>
      <c r="DNP109" s="531"/>
      <c r="DNQ109" s="530"/>
      <c r="DNR109" s="531"/>
      <c r="DNS109" s="530"/>
      <c r="DNT109" s="531"/>
      <c r="DNU109" s="530"/>
      <c r="DNV109" s="531"/>
      <c r="DNW109" s="530"/>
      <c r="DNX109" s="531"/>
      <c r="DNY109" s="530"/>
      <c r="DNZ109" s="531"/>
      <c r="DOA109" s="530"/>
      <c r="DOB109" s="531"/>
      <c r="DOC109" s="530"/>
      <c r="DOD109" s="531"/>
      <c r="DOE109" s="530"/>
      <c r="DOF109" s="531"/>
      <c r="DOG109" s="530"/>
      <c r="DOH109" s="531"/>
      <c r="DOI109" s="530"/>
      <c r="DOJ109" s="531"/>
      <c r="DOK109" s="530"/>
      <c r="DOL109" s="531"/>
      <c r="DOM109" s="530"/>
      <c r="DON109" s="531"/>
      <c r="DOO109" s="530"/>
      <c r="DOP109" s="531"/>
      <c r="DOQ109" s="530"/>
      <c r="DOR109" s="531"/>
      <c r="DOS109" s="530"/>
      <c r="DOT109" s="531"/>
      <c r="DOU109" s="530"/>
      <c r="DOV109" s="531"/>
      <c r="DOW109" s="530"/>
      <c r="DOX109" s="531"/>
      <c r="DOY109" s="530"/>
      <c r="DOZ109" s="531"/>
      <c r="DPA109" s="530"/>
      <c r="DPB109" s="531"/>
      <c r="DPC109" s="530"/>
      <c r="DPD109" s="531"/>
      <c r="DPE109" s="530"/>
      <c r="DPF109" s="531"/>
      <c r="DPG109" s="530"/>
      <c r="DPH109" s="531"/>
      <c r="DPI109" s="530"/>
      <c r="DPJ109" s="531"/>
      <c r="DPK109" s="530"/>
      <c r="DPL109" s="531"/>
      <c r="DPM109" s="530"/>
      <c r="DPN109" s="531"/>
      <c r="DPO109" s="530"/>
      <c r="DPP109" s="531"/>
      <c r="DPQ109" s="530"/>
      <c r="DPR109" s="531"/>
      <c r="DPS109" s="530"/>
      <c r="DPT109" s="531"/>
      <c r="DPU109" s="530"/>
      <c r="DPV109" s="531"/>
      <c r="DPW109" s="530"/>
      <c r="DPX109" s="531"/>
      <c r="DPY109" s="530"/>
      <c r="DPZ109" s="531"/>
      <c r="DQA109" s="530"/>
      <c r="DQB109" s="531"/>
      <c r="DQC109" s="530"/>
      <c r="DQD109" s="531"/>
      <c r="DQE109" s="530"/>
      <c r="DQF109" s="531"/>
      <c r="DQG109" s="530"/>
      <c r="DQH109" s="531"/>
      <c r="DQI109" s="530"/>
      <c r="DQJ109" s="531"/>
      <c r="DQK109" s="530"/>
      <c r="DQL109" s="531"/>
      <c r="DQM109" s="530"/>
      <c r="DQN109" s="531"/>
      <c r="DQO109" s="530"/>
      <c r="DQP109" s="531"/>
      <c r="DQQ109" s="530"/>
      <c r="DQR109" s="531"/>
      <c r="DQS109" s="530"/>
      <c r="DQT109" s="531"/>
      <c r="DQU109" s="530"/>
      <c r="DQV109" s="531"/>
      <c r="DQW109" s="530"/>
      <c r="DQX109" s="531"/>
      <c r="DQY109" s="530"/>
      <c r="DQZ109" s="531"/>
      <c r="DRA109" s="530"/>
      <c r="DRB109" s="531"/>
      <c r="DRC109" s="530"/>
      <c r="DRD109" s="531"/>
      <c r="DRE109" s="530"/>
      <c r="DRF109" s="531"/>
      <c r="DRG109" s="530"/>
      <c r="DRH109" s="531"/>
      <c r="DRI109" s="530"/>
      <c r="DRJ109" s="531"/>
      <c r="DRK109" s="530"/>
      <c r="DRL109" s="531"/>
      <c r="DRM109" s="530"/>
      <c r="DRN109" s="531"/>
      <c r="DRO109" s="530"/>
      <c r="DRP109" s="531"/>
      <c r="DRQ109" s="530"/>
      <c r="DRR109" s="531"/>
      <c r="DRS109" s="530"/>
      <c r="DRT109" s="531"/>
      <c r="DRU109" s="530"/>
      <c r="DRV109" s="531"/>
      <c r="DRW109" s="530"/>
      <c r="DRX109" s="531"/>
      <c r="DRY109" s="530"/>
      <c r="DRZ109" s="531"/>
      <c r="DSA109" s="530"/>
      <c r="DSB109" s="531"/>
      <c r="DSC109" s="530"/>
      <c r="DSD109" s="531"/>
      <c r="DSE109" s="530"/>
      <c r="DSF109" s="531"/>
      <c r="DSG109" s="530"/>
      <c r="DSH109" s="531"/>
      <c r="DSI109" s="530"/>
      <c r="DSJ109" s="531"/>
      <c r="DSK109" s="530"/>
      <c r="DSL109" s="531"/>
      <c r="DSM109" s="530"/>
      <c r="DSN109" s="531"/>
      <c r="DSO109" s="530"/>
      <c r="DSP109" s="531"/>
      <c r="DSQ109" s="530"/>
      <c r="DSR109" s="531"/>
      <c r="DSS109" s="530"/>
      <c r="DST109" s="531"/>
      <c r="DSU109" s="530"/>
      <c r="DSV109" s="531"/>
      <c r="DSW109" s="530"/>
      <c r="DSX109" s="531"/>
      <c r="DSY109" s="530"/>
      <c r="DSZ109" s="531"/>
      <c r="DTA109" s="530"/>
      <c r="DTB109" s="531"/>
      <c r="DTC109" s="530"/>
      <c r="DTD109" s="531"/>
      <c r="DTE109" s="530"/>
      <c r="DTF109" s="531"/>
      <c r="DTG109" s="530"/>
      <c r="DTH109" s="531"/>
      <c r="DTI109" s="530"/>
      <c r="DTJ109" s="531"/>
      <c r="DTK109" s="530"/>
      <c r="DTL109" s="531"/>
      <c r="DTM109" s="530"/>
      <c r="DTN109" s="531"/>
      <c r="DTO109" s="530"/>
      <c r="DTP109" s="531"/>
      <c r="DTQ109" s="530"/>
      <c r="DTR109" s="531"/>
      <c r="DTS109" s="530"/>
      <c r="DTT109" s="531"/>
      <c r="DTU109" s="530"/>
      <c r="DTV109" s="531"/>
      <c r="DTW109" s="530"/>
      <c r="DTX109" s="531"/>
      <c r="DTY109" s="530"/>
      <c r="DTZ109" s="531"/>
      <c r="DUA109" s="530"/>
      <c r="DUB109" s="531"/>
      <c r="DUC109" s="530"/>
      <c r="DUD109" s="531"/>
      <c r="DUE109" s="530"/>
      <c r="DUF109" s="531"/>
      <c r="DUG109" s="530"/>
      <c r="DUH109" s="531"/>
      <c r="DUI109" s="530"/>
      <c r="DUJ109" s="531"/>
      <c r="DUK109" s="530"/>
      <c r="DUL109" s="531"/>
      <c r="DUM109" s="530"/>
      <c r="DUN109" s="531"/>
      <c r="DUO109" s="530"/>
      <c r="DUP109" s="531"/>
      <c r="DUQ109" s="530"/>
      <c r="DUR109" s="531"/>
      <c r="DUS109" s="530"/>
      <c r="DUT109" s="531"/>
      <c r="DUU109" s="530"/>
      <c r="DUV109" s="531"/>
      <c r="DUW109" s="530"/>
      <c r="DUX109" s="531"/>
      <c r="DUY109" s="530"/>
      <c r="DUZ109" s="531"/>
      <c r="DVA109" s="530"/>
      <c r="DVB109" s="531"/>
      <c r="DVC109" s="530"/>
      <c r="DVD109" s="531"/>
      <c r="DVE109" s="530"/>
      <c r="DVF109" s="531"/>
      <c r="DVG109" s="530"/>
      <c r="DVH109" s="531"/>
      <c r="DVI109" s="530"/>
      <c r="DVJ109" s="531"/>
      <c r="DVK109" s="530"/>
      <c r="DVL109" s="531"/>
      <c r="DVM109" s="530"/>
      <c r="DVN109" s="531"/>
      <c r="DVO109" s="530"/>
      <c r="DVP109" s="531"/>
      <c r="DVQ109" s="530"/>
      <c r="DVR109" s="531"/>
      <c r="DVS109" s="530"/>
      <c r="DVT109" s="531"/>
      <c r="DVU109" s="530"/>
      <c r="DVV109" s="531"/>
      <c r="DVW109" s="530"/>
      <c r="DVX109" s="531"/>
      <c r="DVY109" s="530"/>
      <c r="DVZ109" s="531"/>
      <c r="DWA109" s="530"/>
      <c r="DWB109" s="531"/>
      <c r="DWC109" s="530"/>
      <c r="DWD109" s="531"/>
      <c r="DWE109" s="530"/>
      <c r="DWF109" s="531"/>
      <c r="DWG109" s="530"/>
      <c r="DWH109" s="531"/>
      <c r="DWI109" s="530"/>
      <c r="DWJ109" s="531"/>
      <c r="DWK109" s="530"/>
      <c r="DWL109" s="531"/>
      <c r="DWM109" s="530"/>
      <c r="DWN109" s="531"/>
      <c r="DWO109" s="530"/>
      <c r="DWP109" s="531"/>
      <c r="DWQ109" s="530"/>
      <c r="DWR109" s="531"/>
      <c r="DWS109" s="530"/>
      <c r="DWT109" s="531"/>
      <c r="DWU109" s="530"/>
      <c r="DWV109" s="531"/>
      <c r="DWW109" s="530"/>
      <c r="DWX109" s="531"/>
      <c r="DWY109" s="530"/>
      <c r="DWZ109" s="531"/>
      <c r="DXA109" s="530"/>
      <c r="DXB109" s="531"/>
      <c r="DXC109" s="530"/>
      <c r="DXD109" s="531"/>
      <c r="DXE109" s="530"/>
      <c r="DXF109" s="531"/>
      <c r="DXG109" s="530"/>
      <c r="DXH109" s="531"/>
      <c r="DXI109" s="530"/>
      <c r="DXJ109" s="531"/>
      <c r="DXK109" s="530"/>
      <c r="DXL109" s="531"/>
      <c r="DXM109" s="530"/>
      <c r="DXN109" s="531"/>
      <c r="DXO109" s="530"/>
      <c r="DXP109" s="531"/>
      <c r="DXQ109" s="530"/>
      <c r="DXR109" s="531"/>
      <c r="DXS109" s="530"/>
      <c r="DXT109" s="531"/>
      <c r="DXU109" s="530"/>
      <c r="DXV109" s="531"/>
      <c r="DXW109" s="530"/>
      <c r="DXX109" s="531"/>
      <c r="DXY109" s="530"/>
      <c r="DXZ109" s="531"/>
      <c r="DYA109" s="530"/>
      <c r="DYB109" s="531"/>
      <c r="DYC109" s="530"/>
      <c r="DYD109" s="531"/>
      <c r="DYE109" s="530"/>
      <c r="DYF109" s="531"/>
      <c r="DYG109" s="530"/>
      <c r="DYH109" s="531"/>
      <c r="DYI109" s="530"/>
      <c r="DYJ109" s="531"/>
      <c r="DYK109" s="530"/>
      <c r="DYL109" s="531"/>
      <c r="DYM109" s="530"/>
      <c r="DYN109" s="531"/>
      <c r="DYO109" s="530"/>
      <c r="DYP109" s="531"/>
      <c r="DYQ109" s="530"/>
      <c r="DYR109" s="531"/>
      <c r="DYS109" s="530"/>
      <c r="DYT109" s="531"/>
      <c r="DYU109" s="530"/>
      <c r="DYV109" s="531"/>
      <c r="DYW109" s="530"/>
      <c r="DYX109" s="531"/>
      <c r="DYY109" s="530"/>
      <c r="DYZ109" s="531"/>
      <c r="DZA109" s="530"/>
      <c r="DZB109" s="531"/>
      <c r="DZC109" s="530"/>
      <c r="DZD109" s="531"/>
      <c r="DZE109" s="530"/>
      <c r="DZF109" s="531"/>
      <c r="DZG109" s="530"/>
      <c r="DZH109" s="531"/>
      <c r="DZI109" s="530"/>
      <c r="DZJ109" s="531"/>
      <c r="DZK109" s="530"/>
      <c r="DZL109" s="531"/>
      <c r="DZM109" s="530"/>
      <c r="DZN109" s="531"/>
      <c r="DZO109" s="530"/>
      <c r="DZP109" s="531"/>
      <c r="DZQ109" s="530"/>
      <c r="DZR109" s="531"/>
      <c r="DZS109" s="530"/>
      <c r="DZT109" s="531"/>
      <c r="DZU109" s="530"/>
      <c r="DZV109" s="531"/>
      <c r="DZW109" s="530"/>
      <c r="DZX109" s="531"/>
      <c r="DZY109" s="530"/>
      <c r="DZZ109" s="531"/>
      <c r="EAA109" s="530"/>
      <c r="EAB109" s="531"/>
      <c r="EAC109" s="530"/>
      <c r="EAD109" s="531"/>
      <c r="EAE109" s="530"/>
      <c r="EAF109" s="531"/>
      <c r="EAG109" s="530"/>
      <c r="EAH109" s="531"/>
      <c r="EAI109" s="530"/>
      <c r="EAJ109" s="531"/>
      <c r="EAK109" s="530"/>
      <c r="EAL109" s="531"/>
      <c r="EAM109" s="530"/>
      <c r="EAN109" s="531"/>
      <c r="EAO109" s="530"/>
      <c r="EAP109" s="531"/>
      <c r="EAQ109" s="530"/>
      <c r="EAR109" s="531"/>
      <c r="EAS109" s="530"/>
      <c r="EAT109" s="531"/>
      <c r="EAU109" s="530"/>
      <c r="EAV109" s="531"/>
      <c r="EAW109" s="530"/>
      <c r="EAX109" s="531"/>
      <c r="EAY109" s="530"/>
      <c r="EAZ109" s="531"/>
      <c r="EBA109" s="530"/>
      <c r="EBB109" s="531"/>
      <c r="EBC109" s="530"/>
      <c r="EBD109" s="531"/>
      <c r="EBE109" s="530"/>
      <c r="EBF109" s="531"/>
      <c r="EBG109" s="530"/>
      <c r="EBH109" s="531"/>
      <c r="EBI109" s="530"/>
      <c r="EBJ109" s="531"/>
      <c r="EBK109" s="530"/>
      <c r="EBL109" s="531"/>
      <c r="EBM109" s="530"/>
      <c r="EBN109" s="531"/>
      <c r="EBO109" s="530"/>
      <c r="EBP109" s="531"/>
      <c r="EBQ109" s="530"/>
      <c r="EBR109" s="531"/>
      <c r="EBS109" s="530"/>
      <c r="EBT109" s="531"/>
      <c r="EBU109" s="530"/>
      <c r="EBV109" s="531"/>
      <c r="EBW109" s="530"/>
      <c r="EBX109" s="531"/>
      <c r="EBY109" s="530"/>
      <c r="EBZ109" s="531"/>
      <c r="ECA109" s="530"/>
      <c r="ECB109" s="531"/>
      <c r="ECC109" s="530"/>
      <c r="ECD109" s="531"/>
      <c r="ECE109" s="530"/>
      <c r="ECF109" s="531"/>
      <c r="ECG109" s="530"/>
      <c r="ECH109" s="531"/>
      <c r="ECI109" s="530"/>
      <c r="ECJ109" s="531"/>
      <c r="ECK109" s="530"/>
      <c r="ECL109" s="531"/>
      <c r="ECM109" s="530"/>
      <c r="ECN109" s="531"/>
      <c r="ECO109" s="530"/>
      <c r="ECP109" s="531"/>
      <c r="ECQ109" s="530"/>
      <c r="ECR109" s="531"/>
      <c r="ECS109" s="530"/>
      <c r="ECT109" s="531"/>
      <c r="ECU109" s="530"/>
      <c r="ECV109" s="531"/>
      <c r="ECW109" s="530"/>
      <c r="ECX109" s="531"/>
      <c r="ECY109" s="530"/>
      <c r="ECZ109" s="531"/>
      <c r="EDA109" s="530"/>
      <c r="EDB109" s="531"/>
      <c r="EDC109" s="530"/>
      <c r="EDD109" s="531"/>
      <c r="EDE109" s="530"/>
      <c r="EDF109" s="531"/>
      <c r="EDG109" s="530"/>
      <c r="EDH109" s="531"/>
      <c r="EDI109" s="530"/>
      <c r="EDJ109" s="531"/>
      <c r="EDK109" s="530"/>
      <c r="EDL109" s="531"/>
      <c r="EDM109" s="530"/>
      <c r="EDN109" s="531"/>
      <c r="EDO109" s="530"/>
      <c r="EDP109" s="531"/>
      <c r="EDQ109" s="530"/>
      <c r="EDR109" s="531"/>
      <c r="EDS109" s="530"/>
      <c r="EDT109" s="531"/>
      <c r="EDU109" s="530"/>
      <c r="EDV109" s="531"/>
      <c r="EDW109" s="530"/>
      <c r="EDX109" s="531"/>
      <c r="EDY109" s="530"/>
      <c r="EDZ109" s="531"/>
      <c r="EEA109" s="530"/>
      <c r="EEB109" s="531"/>
      <c r="EEC109" s="530"/>
      <c r="EED109" s="531"/>
      <c r="EEE109" s="530"/>
      <c r="EEF109" s="531"/>
      <c r="EEG109" s="530"/>
      <c r="EEH109" s="531"/>
      <c r="EEI109" s="530"/>
      <c r="EEJ109" s="531"/>
      <c r="EEK109" s="530"/>
      <c r="EEL109" s="531"/>
      <c r="EEM109" s="530"/>
      <c r="EEN109" s="531"/>
      <c r="EEO109" s="530"/>
      <c r="EEP109" s="531"/>
      <c r="EEQ109" s="530"/>
      <c r="EER109" s="531"/>
      <c r="EES109" s="530"/>
      <c r="EET109" s="531"/>
      <c r="EEU109" s="530"/>
      <c r="EEV109" s="531"/>
      <c r="EEW109" s="530"/>
      <c r="EEX109" s="531"/>
      <c r="EEY109" s="530"/>
      <c r="EEZ109" s="531"/>
      <c r="EFA109" s="530"/>
      <c r="EFB109" s="531"/>
      <c r="EFC109" s="530"/>
      <c r="EFD109" s="531"/>
      <c r="EFE109" s="530"/>
      <c r="EFF109" s="531"/>
      <c r="EFG109" s="530"/>
      <c r="EFH109" s="531"/>
      <c r="EFI109" s="530"/>
      <c r="EFJ109" s="531"/>
      <c r="EFK109" s="530"/>
      <c r="EFL109" s="531"/>
      <c r="EFM109" s="530"/>
      <c r="EFN109" s="531"/>
      <c r="EFO109" s="530"/>
      <c r="EFP109" s="531"/>
      <c r="EFQ109" s="530"/>
      <c r="EFR109" s="531"/>
      <c r="EFS109" s="530"/>
      <c r="EFT109" s="531"/>
      <c r="EFU109" s="530"/>
      <c r="EFV109" s="531"/>
      <c r="EFW109" s="530"/>
      <c r="EFX109" s="531"/>
      <c r="EFY109" s="530"/>
      <c r="EFZ109" s="531"/>
      <c r="EGA109" s="530"/>
      <c r="EGB109" s="531"/>
      <c r="EGC109" s="530"/>
      <c r="EGD109" s="531"/>
      <c r="EGE109" s="530"/>
      <c r="EGF109" s="531"/>
      <c r="EGG109" s="530"/>
      <c r="EGH109" s="531"/>
      <c r="EGI109" s="530"/>
      <c r="EGJ109" s="531"/>
      <c r="EGK109" s="530"/>
      <c r="EGL109" s="531"/>
      <c r="EGM109" s="530"/>
      <c r="EGN109" s="531"/>
      <c r="EGO109" s="530"/>
      <c r="EGP109" s="531"/>
      <c r="EGQ109" s="530"/>
      <c r="EGR109" s="531"/>
      <c r="EGS109" s="530"/>
      <c r="EGT109" s="531"/>
      <c r="EGU109" s="530"/>
      <c r="EGV109" s="531"/>
      <c r="EGW109" s="530"/>
      <c r="EGX109" s="531"/>
      <c r="EGY109" s="530"/>
      <c r="EGZ109" s="531"/>
      <c r="EHA109" s="530"/>
      <c r="EHB109" s="531"/>
      <c r="EHC109" s="530"/>
      <c r="EHD109" s="531"/>
      <c r="EHE109" s="530"/>
      <c r="EHF109" s="531"/>
      <c r="EHG109" s="530"/>
      <c r="EHH109" s="531"/>
      <c r="EHI109" s="530"/>
      <c r="EHJ109" s="531"/>
      <c r="EHK109" s="530"/>
      <c r="EHL109" s="531"/>
      <c r="EHM109" s="530"/>
      <c r="EHN109" s="531"/>
      <c r="EHO109" s="530"/>
      <c r="EHP109" s="531"/>
      <c r="EHQ109" s="530"/>
      <c r="EHR109" s="531"/>
      <c r="EHS109" s="530"/>
      <c r="EHT109" s="531"/>
      <c r="EHU109" s="530"/>
      <c r="EHV109" s="531"/>
      <c r="EHW109" s="530"/>
      <c r="EHX109" s="531"/>
      <c r="EHY109" s="530"/>
      <c r="EHZ109" s="531"/>
      <c r="EIA109" s="530"/>
      <c r="EIB109" s="531"/>
      <c r="EIC109" s="530"/>
      <c r="EID109" s="531"/>
      <c r="EIE109" s="530"/>
      <c r="EIF109" s="531"/>
      <c r="EIG109" s="530"/>
      <c r="EIH109" s="531"/>
      <c r="EII109" s="530"/>
      <c r="EIJ109" s="531"/>
      <c r="EIK109" s="530"/>
      <c r="EIL109" s="531"/>
      <c r="EIM109" s="530"/>
      <c r="EIN109" s="531"/>
      <c r="EIO109" s="530"/>
      <c r="EIP109" s="531"/>
      <c r="EIQ109" s="530"/>
      <c r="EIR109" s="531"/>
      <c r="EIS109" s="530"/>
      <c r="EIT109" s="531"/>
      <c r="EIU109" s="530"/>
      <c r="EIV109" s="531"/>
      <c r="EIW109" s="530"/>
      <c r="EIX109" s="531"/>
      <c r="EIY109" s="530"/>
      <c r="EIZ109" s="531"/>
      <c r="EJA109" s="530"/>
      <c r="EJB109" s="531"/>
      <c r="EJC109" s="530"/>
      <c r="EJD109" s="531"/>
      <c r="EJE109" s="530"/>
      <c r="EJF109" s="531"/>
      <c r="EJG109" s="530"/>
      <c r="EJH109" s="531"/>
      <c r="EJI109" s="530"/>
      <c r="EJJ109" s="531"/>
      <c r="EJK109" s="530"/>
      <c r="EJL109" s="531"/>
      <c r="EJM109" s="530"/>
      <c r="EJN109" s="531"/>
      <c r="EJO109" s="530"/>
      <c r="EJP109" s="531"/>
      <c r="EJQ109" s="530"/>
      <c r="EJR109" s="531"/>
      <c r="EJS109" s="530"/>
      <c r="EJT109" s="531"/>
      <c r="EJU109" s="530"/>
      <c r="EJV109" s="531"/>
      <c r="EJW109" s="530"/>
      <c r="EJX109" s="531"/>
      <c r="EJY109" s="530"/>
      <c r="EJZ109" s="531"/>
      <c r="EKA109" s="530"/>
      <c r="EKB109" s="531"/>
      <c r="EKC109" s="530"/>
      <c r="EKD109" s="531"/>
      <c r="EKE109" s="530"/>
      <c r="EKF109" s="531"/>
      <c r="EKG109" s="530"/>
      <c r="EKH109" s="531"/>
      <c r="EKI109" s="530"/>
      <c r="EKJ109" s="531"/>
      <c r="EKK109" s="530"/>
      <c r="EKL109" s="531"/>
      <c r="EKM109" s="530"/>
      <c r="EKN109" s="531"/>
      <c r="EKO109" s="530"/>
      <c r="EKP109" s="531"/>
      <c r="EKQ109" s="530"/>
      <c r="EKR109" s="531"/>
      <c r="EKS109" s="530"/>
      <c r="EKT109" s="531"/>
      <c r="EKU109" s="530"/>
      <c r="EKV109" s="531"/>
      <c r="EKW109" s="530"/>
      <c r="EKX109" s="531"/>
      <c r="EKY109" s="530"/>
      <c r="EKZ109" s="531"/>
      <c r="ELA109" s="530"/>
      <c r="ELB109" s="531"/>
      <c r="ELC109" s="530"/>
      <c r="ELD109" s="531"/>
      <c r="ELE109" s="530"/>
      <c r="ELF109" s="531"/>
      <c r="ELG109" s="530"/>
      <c r="ELH109" s="531"/>
      <c r="ELI109" s="530"/>
      <c r="ELJ109" s="531"/>
      <c r="ELK109" s="530"/>
      <c r="ELL109" s="531"/>
      <c r="ELM109" s="530"/>
      <c r="ELN109" s="531"/>
      <c r="ELO109" s="530"/>
      <c r="ELP109" s="531"/>
      <c r="ELQ109" s="530"/>
      <c r="ELR109" s="531"/>
      <c r="ELS109" s="530"/>
      <c r="ELT109" s="531"/>
      <c r="ELU109" s="530"/>
      <c r="ELV109" s="531"/>
      <c r="ELW109" s="530"/>
      <c r="ELX109" s="531"/>
      <c r="ELY109" s="530"/>
      <c r="ELZ109" s="531"/>
      <c r="EMA109" s="530"/>
      <c r="EMB109" s="531"/>
      <c r="EMC109" s="530"/>
      <c r="EMD109" s="531"/>
      <c r="EME109" s="530"/>
      <c r="EMF109" s="531"/>
      <c r="EMG109" s="530"/>
      <c r="EMH109" s="531"/>
      <c r="EMI109" s="530"/>
      <c r="EMJ109" s="531"/>
      <c r="EMK109" s="530"/>
      <c r="EML109" s="531"/>
      <c r="EMM109" s="530"/>
      <c r="EMN109" s="531"/>
      <c r="EMO109" s="530"/>
      <c r="EMP109" s="531"/>
      <c r="EMQ109" s="530"/>
      <c r="EMR109" s="531"/>
      <c r="EMS109" s="530"/>
      <c r="EMT109" s="531"/>
      <c r="EMU109" s="530"/>
      <c r="EMV109" s="531"/>
      <c r="EMW109" s="530"/>
      <c r="EMX109" s="531"/>
      <c r="EMY109" s="530"/>
      <c r="EMZ109" s="531"/>
      <c r="ENA109" s="530"/>
      <c r="ENB109" s="531"/>
      <c r="ENC109" s="530"/>
      <c r="END109" s="531"/>
      <c r="ENE109" s="530"/>
      <c r="ENF109" s="531"/>
      <c r="ENG109" s="530"/>
      <c r="ENH109" s="531"/>
      <c r="ENI109" s="530"/>
      <c r="ENJ109" s="531"/>
      <c r="ENK109" s="530"/>
      <c r="ENL109" s="531"/>
      <c r="ENM109" s="530"/>
      <c r="ENN109" s="531"/>
      <c r="ENO109" s="530"/>
      <c r="ENP109" s="531"/>
      <c r="ENQ109" s="530"/>
      <c r="ENR109" s="531"/>
      <c r="ENS109" s="530"/>
      <c r="ENT109" s="531"/>
      <c r="ENU109" s="530"/>
      <c r="ENV109" s="531"/>
      <c r="ENW109" s="530"/>
      <c r="ENX109" s="531"/>
      <c r="ENY109" s="530"/>
      <c r="ENZ109" s="531"/>
      <c r="EOA109" s="530"/>
      <c r="EOB109" s="531"/>
      <c r="EOC109" s="530"/>
      <c r="EOD109" s="531"/>
      <c r="EOE109" s="530"/>
      <c r="EOF109" s="531"/>
      <c r="EOG109" s="530"/>
      <c r="EOH109" s="531"/>
      <c r="EOI109" s="530"/>
      <c r="EOJ109" s="531"/>
      <c r="EOK109" s="530"/>
      <c r="EOL109" s="531"/>
      <c r="EOM109" s="530"/>
      <c r="EON109" s="531"/>
      <c r="EOO109" s="530"/>
      <c r="EOP109" s="531"/>
      <c r="EOQ109" s="530"/>
      <c r="EOR109" s="531"/>
      <c r="EOS109" s="530"/>
      <c r="EOT109" s="531"/>
      <c r="EOU109" s="530"/>
      <c r="EOV109" s="531"/>
      <c r="EOW109" s="530"/>
      <c r="EOX109" s="531"/>
      <c r="EOY109" s="530"/>
      <c r="EOZ109" s="531"/>
      <c r="EPA109" s="530"/>
      <c r="EPB109" s="531"/>
      <c r="EPC109" s="530"/>
      <c r="EPD109" s="531"/>
      <c r="EPE109" s="530"/>
      <c r="EPF109" s="531"/>
      <c r="EPG109" s="530"/>
      <c r="EPH109" s="531"/>
      <c r="EPI109" s="530"/>
      <c r="EPJ109" s="531"/>
      <c r="EPK109" s="530"/>
      <c r="EPL109" s="531"/>
      <c r="EPM109" s="530"/>
      <c r="EPN109" s="531"/>
      <c r="EPO109" s="530"/>
      <c r="EPP109" s="531"/>
      <c r="EPQ109" s="530"/>
      <c r="EPR109" s="531"/>
      <c r="EPS109" s="530"/>
      <c r="EPT109" s="531"/>
      <c r="EPU109" s="530"/>
      <c r="EPV109" s="531"/>
      <c r="EPW109" s="530"/>
      <c r="EPX109" s="531"/>
      <c r="EPY109" s="530"/>
      <c r="EPZ109" s="531"/>
      <c r="EQA109" s="530"/>
      <c r="EQB109" s="531"/>
      <c r="EQC109" s="530"/>
      <c r="EQD109" s="531"/>
      <c r="EQE109" s="530"/>
      <c r="EQF109" s="531"/>
      <c r="EQG109" s="530"/>
      <c r="EQH109" s="531"/>
      <c r="EQI109" s="530"/>
      <c r="EQJ109" s="531"/>
      <c r="EQK109" s="530"/>
      <c r="EQL109" s="531"/>
      <c r="EQM109" s="530"/>
      <c r="EQN109" s="531"/>
      <c r="EQO109" s="530"/>
      <c r="EQP109" s="531"/>
      <c r="EQQ109" s="530"/>
      <c r="EQR109" s="531"/>
      <c r="EQS109" s="530"/>
      <c r="EQT109" s="531"/>
      <c r="EQU109" s="530"/>
      <c r="EQV109" s="531"/>
      <c r="EQW109" s="530"/>
      <c r="EQX109" s="531"/>
      <c r="EQY109" s="530"/>
      <c r="EQZ109" s="531"/>
      <c r="ERA109" s="530"/>
      <c r="ERB109" s="531"/>
      <c r="ERC109" s="530"/>
      <c r="ERD109" s="531"/>
      <c r="ERE109" s="530"/>
      <c r="ERF109" s="531"/>
      <c r="ERG109" s="530"/>
      <c r="ERH109" s="531"/>
      <c r="ERI109" s="530"/>
      <c r="ERJ109" s="531"/>
      <c r="ERK109" s="530"/>
      <c r="ERL109" s="531"/>
      <c r="ERM109" s="530"/>
      <c r="ERN109" s="531"/>
      <c r="ERO109" s="530"/>
      <c r="ERP109" s="531"/>
      <c r="ERQ109" s="530"/>
      <c r="ERR109" s="531"/>
      <c r="ERS109" s="530"/>
      <c r="ERT109" s="531"/>
      <c r="ERU109" s="530"/>
      <c r="ERV109" s="531"/>
      <c r="ERW109" s="530"/>
      <c r="ERX109" s="531"/>
      <c r="ERY109" s="530"/>
      <c r="ERZ109" s="531"/>
      <c r="ESA109" s="530"/>
      <c r="ESB109" s="531"/>
      <c r="ESC109" s="530"/>
      <c r="ESD109" s="531"/>
      <c r="ESE109" s="530"/>
      <c r="ESF109" s="531"/>
      <c r="ESG109" s="530"/>
      <c r="ESH109" s="531"/>
      <c r="ESI109" s="530"/>
      <c r="ESJ109" s="531"/>
      <c r="ESK109" s="530"/>
      <c r="ESL109" s="531"/>
      <c r="ESM109" s="530"/>
      <c r="ESN109" s="531"/>
      <c r="ESO109" s="530"/>
      <c r="ESP109" s="531"/>
      <c r="ESQ109" s="530"/>
      <c r="ESR109" s="531"/>
      <c r="ESS109" s="530"/>
      <c r="EST109" s="531"/>
      <c r="ESU109" s="530"/>
      <c r="ESV109" s="531"/>
      <c r="ESW109" s="530"/>
      <c r="ESX109" s="531"/>
      <c r="ESY109" s="530"/>
      <c r="ESZ109" s="531"/>
      <c r="ETA109" s="530"/>
      <c r="ETB109" s="531"/>
      <c r="ETC109" s="530"/>
      <c r="ETD109" s="531"/>
      <c r="ETE109" s="530"/>
      <c r="ETF109" s="531"/>
      <c r="ETG109" s="530"/>
      <c r="ETH109" s="531"/>
      <c r="ETI109" s="530"/>
      <c r="ETJ109" s="531"/>
      <c r="ETK109" s="530"/>
      <c r="ETL109" s="531"/>
      <c r="ETM109" s="530"/>
      <c r="ETN109" s="531"/>
      <c r="ETO109" s="530"/>
      <c r="ETP109" s="531"/>
      <c r="ETQ109" s="530"/>
      <c r="ETR109" s="531"/>
      <c r="ETS109" s="530"/>
      <c r="ETT109" s="531"/>
      <c r="ETU109" s="530"/>
      <c r="ETV109" s="531"/>
      <c r="ETW109" s="530"/>
      <c r="ETX109" s="531"/>
      <c r="ETY109" s="530"/>
      <c r="ETZ109" s="531"/>
      <c r="EUA109" s="530"/>
      <c r="EUB109" s="531"/>
      <c r="EUC109" s="530"/>
      <c r="EUD109" s="531"/>
      <c r="EUE109" s="530"/>
      <c r="EUF109" s="531"/>
      <c r="EUG109" s="530"/>
      <c r="EUH109" s="531"/>
      <c r="EUI109" s="530"/>
      <c r="EUJ109" s="531"/>
      <c r="EUK109" s="530"/>
      <c r="EUL109" s="531"/>
      <c r="EUM109" s="530"/>
      <c r="EUN109" s="531"/>
      <c r="EUO109" s="530"/>
      <c r="EUP109" s="531"/>
      <c r="EUQ109" s="530"/>
      <c r="EUR109" s="531"/>
      <c r="EUS109" s="530"/>
      <c r="EUT109" s="531"/>
      <c r="EUU109" s="530"/>
      <c r="EUV109" s="531"/>
      <c r="EUW109" s="530"/>
      <c r="EUX109" s="531"/>
      <c r="EUY109" s="530"/>
      <c r="EUZ109" s="531"/>
      <c r="EVA109" s="530"/>
      <c r="EVB109" s="531"/>
      <c r="EVC109" s="530"/>
      <c r="EVD109" s="531"/>
      <c r="EVE109" s="530"/>
      <c r="EVF109" s="531"/>
      <c r="EVG109" s="530"/>
      <c r="EVH109" s="531"/>
      <c r="EVI109" s="530"/>
      <c r="EVJ109" s="531"/>
      <c r="EVK109" s="530"/>
      <c r="EVL109" s="531"/>
      <c r="EVM109" s="530"/>
      <c r="EVN109" s="531"/>
      <c r="EVO109" s="530"/>
      <c r="EVP109" s="531"/>
      <c r="EVQ109" s="530"/>
      <c r="EVR109" s="531"/>
      <c r="EVS109" s="530"/>
      <c r="EVT109" s="531"/>
      <c r="EVU109" s="530"/>
      <c r="EVV109" s="531"/>
      <c r="EVW109" s="530"/>
      <c r="EVX109" s="531"/>
      <c r="EVY109" s="530"/>
      <c r="EVZ109" s="531"/>
      <c r="EWA109" s="530"/>
      <c r="EWB109" s="531"/>
      <c r="EWC109" s="530"/>
      <c r="EWD109" s="531"/>
      <c r="EWE109" s="530"/>
      <c r="EWF109" s="531"/>
      <c r="EWG109" s="530"/>
      <c r="EWH109" s="531"/>
      <c r="EWI109" s="530"/>
      <c r="EWJ109" s="531"/>
      <c r="EWK109" s="530"/>
      <c r="EWL109" s="531"/>
      <c r="EWM109" s="530"/>
      <c r="EWN109" s="531"/>
      <c r="EWO109" s="530"/>
      <c r="EWP109" s="531"/>
      <c r="EWQ109" s="530"/>
      <c r="EWR109" s="531"/>
      <c r="EWS109" s="530"/>
      <c r="EWT109" s="531"/>
      <c r="EWU109" s="530"/>
      <c r="EWV109" s="531"/>
      <c r="EWW109" s="530"/>
      <c r="EWX109" s="531"/>
      <c r="EWY109" s="530"/>
      <c r="EWZ109" s="531"/>
      <c r="EXA109" s="530"/>
      <c r="EXB109" s="531"/>
      <c r="EXC109" s="530"/>
      <c r="EXD109" s="531"/>
      <c r="EXE109" s="530"/>
      <c r="EXF109" s="531"/>
      <c r="EXG109" s="530"/>
      <c r="EXH109" s="531"/>
      <c r="EXI109" s="530"/>
      <c r="EXJ109" s="531"/>
      <c r="EXK109" s="530"/>
      <c r="EXL109" s="531"/>
      <c r="EXM109" s="530"/>
      <c r="EXN109" s="531"/>
      <c r="EXO109" s="530"/>
      <c r="EXP109" s="531"/>
      <c r="EXQ109" s="530"/>
      <c r="EXR109" s="531"/>
      <c r="EXS109" s="530"/>
      <c r="EXT109" s="531"/>
      <c r="EXU109" s="530"/>
      <c r="EXV109" s="531"/>
      <c r="EXW109" s="530"/>
      <c r="EXX109" s="531"/>
      <c r="EXY109" s="530"/>
      <c r="EXZ109" s="531"/>
      <c r="EYA109" s="530"/>
      <c r="EYB109" s="531"/>
      <c r="EYC109" s="530"/>
      <c r="EYD109" s="531"/>
      <c r="EYE109" s="530"/>
      <c r="EYF109" s="531"/>
      <c r="EYG109" s="530"/>
      <c r="EYH109" s="531"/>
      <c r="EYI109" s="530"/>
      <c r="EYJ109" s="531"/>
      <c r="EYK109" s="530"/>
      <c r="EYL109" s="531"/>
      <c r="EYM109" s="530"/>
      <c r="EYN109" s="531"/>
      <c r="EYO109" s="530"/>
      <c r="EYP109" s="531"/>
      <c r="EYQ109" s="530"/>
      <c r="EYR109" s="531"/>
      <c r="EYS109" s="530"/>
      <c r="EYT109" s="531"/>
      <c r="EYU109" s="530"/>
      <c r="EYV109" s="531"/>
      <c r="EYW109" s="530"/>
      <c r="EYX109" s="531"/>
      <c r="EYY109" s="530"/>
      <c r="EYZ109" s="531"/>
      <c r="EZA109" s="530"/>
      <c r="EZB109" s="531"/>
      <c r="EZC109" s="530"/>
      <c r="EZD109" s="531"/>
      <c r="EZE109" s="530"/>
      <c r="EZF109" s="531"/>
      <c r="EZG109" s="530"/>
      <c r="EZH109" s="531"/>
      <c r="EZI109" s="530"/>
      <c r="EZJ109" s="531"/>
      <c r="EZK109" s="530"/>
      <c r="EZL109" s="531"/>
      <c r="EZM109" s="530"/>
      <c r="EZN109" s="531"/>
      <c r="EZO109" s="530"/>
      <c r="EZP109" s="531"/>
      <c r="EZQ109" s="530"/>
      <c r="EZR109" s="531"/>
      <c r="EZS109" s="530"/>
      <c r="EZT109" s="531"/>
      <c r="EZU109" s="530"/>
      <c r="EZV109" s="531"/>
      <c r="EZW109" s="530"/>
      <c r="EZX109" s="531"/>
      <c r="EZY109" s="530"/>
      <c r="EZZ109" s="531"/>
      <c r="FAA109" s="530"/>
      <c r="FAB109" s="531"/>
      <c r="FAC109" s="530"/>
      <c r="FAD109" s="531"/>
      <c r="FAE109" s="530"/>
      <c r="FAF109" s="531"/>
      <c r="FAG109" s="530"/>
      <c r="FAH109" s="531"/>
      <c r="FAI109" s="530"/>
      <c r="FAJ109" s="531"/>
      <c r="FAK109" s="530"/>
      <c r="FAL109" s="531"/>
      <c r="FAM109" s="530"/>
      <c r="FAN109" s="531"/>
      <c r="FAO109" s="530"/>
      <c r="FAP109" s="531"/>
      <c r="FAQ109" s="530"/>
      <c r="FAR109" s="531"/>
      <c r="FAS109" s="530"/>
      <c r="FAT109" s="531"/>
      <c r="FAU109" s="530"/>
      <c r="FAV109" s="531"/>
      <c r="FAW109" s="530"/>
      <c r="FAX109" s="531"/>
      <c r="FAY109" s="530"/>
      <c r="FAZ109" s="531"/>
      <c r="FBA109" s="530"/>
      <c r="FBB109" s="531"/>
      <c r="FBC109" s="530"/>
      <c r="FBD109" s="531"/>
      <c r="FBE109" s="530"/>
      <c r="FBF109" s="531"/>
      <c r="FBG109" s="530"/>
      <c r="FBH109" s="531"/>
      <c r="FBI109" s="530"/>
      <c r="FBJ109" s="531"/>
      <c r="FBK109" s="530"/>
      <c r="FBL109" s="531"/>
      <c r="FBM109" s="530"/>
      <c r="FBN109" s="531"/>
      <c r="FBO109" s="530"/>
      <c r="FBP109" s="531"/>
      <c r="FBQ109" s="530"/>
      <c r="FBR109" s="531"/>
      <c r="FBS109" s="530"/>
      <c r="FBT109" s="531"/>
      <c r="FBU109" s="530"/>
      <c r="FBV109" s="531"/>
      <c r="FBW109" s="530"/>
      <c r="FBX109" s="531"/>
      <c r="FBY109" s="530"/>
      <c r="FBZ109" s="531"/>
      <c r="FCA109" s="530"/>
      <c r="FCB109" s="531"/>
      <c r="FCC109" s="530"/>
      <c r="FCD109" s="531"/>
      <c r="FCE109" s="530"/>
      <c r="FCF109" s="531"/>
      <c r="FCG109" s="530"/>
      <c r="FCH109" s="531"/>
      <c r="FCI109" s="530"/>
      <c r="FCJ109" s="531"/>
      <c r="FCK109" s="530"/>
      <c r="FCL109" s="531"/>
      <c r="FCM109" s="530"/>
      <c r="FCN109" s="531"/>
      <c r="FCO109" s="530"/>
      <c r="FCP109" s="531"/>
      <c r="FCQ109" s="530"/>
      <c r="FCR109" s="531"/>
      <c r="FCS109" s="530"/>
      <c r="FCT109" s="531"/>
      <c r="FCU109" s="530"/>
      <c r="FCV109" s="531"/>
      <c r="FCW109" s="530"/>
      <c r="FCX109" s="531"/>
      <c r="FCY109" s="530"/>
      <c r="FCZ109" s="531"/>
      <c r="FDA109" s="530"/>
      <c r="FDB109" s="531"/>
      <c r="FDC109" s="530"/>
      <c r="FDD109" s="531"/>
      <c r="FDE109" s="530"/>
      <c r="FDF109" s="531"/>
      <c r="FDG109" s="530"/>
      <c r="FDH109" s="531"/>
      <c r="FDI109" s="530"/>
      <c r="FDJ109" s="531"/>
      <c r="FDK109" s="530"/>
      <c r="FDL109" s="531"/>
      <c r="FDM109" s="530"/>
      <c r="FDN109" s="531"/>
      <c r="FDO109" s="530"/>
      <c r="FDP109" s="531"/>
      <c r="FDQ109" s="530"/>
      <c r="FDR109" s="531"/>
      <c r="FDS109" s="530"/>
      <c r="FDT109" s="531"/>
      <c r="FDU109" s="530"/>
      <c r="FDV109" s="531"/>
      <c r="FDW109" s="530"/>
      <c r="FDX109" s="531"/>
      <c r="FDY109" s="530"/>
      <c r="FDZ109" s="531"/>
      <c r="FEA109" s="530"/>
      <c r="FEB109" s="531"/>
      <c r="FEC109" s="530"/>
      <c r="FED109" s="531"/>
      <c r="FEE109" s="530"/>
      <c r="FEF109" s="531"/>
      <c r="FEG109" s="530"/>
      <c r="FEH109" s="531"/>
      <c r="FEI109" s="530"/>
      <c r="FEJ109" s="531"/>
      <c r="FEK109" s="530"/>
      <c r="FEL109" s="531"/>
      <c r="FEM109" s="530"/>
      <c r="FEN109" s="531"/>
      <c r="FEO109" s="530"/>
      <c r="FEP109" s="531"/>
      <c r="FEQ109" s="530"/>
      <c r="FER109" s="531"/>
      <c r="FES109" s="530"/>
      <c r="FET109" s="531"/>
      <c r="FEU109" s="530"/>
      <c r="FEV109" s="531"/>
      <c r="FEW109" s="530"/>
      <c r="FEX109" s="531"/>
      <c r="FEY109" s="530"/>
      <c r="FEZ109" s="531"/>
      <c r="FFA109" s="530"/>
      <c r="FFB109" s="531"/>
      <c r="FFC109" s="530"/>
      <c r="FFD109" s="531"/>
      <c r="FFE109" s="530"/>
      <c r="FFF109" s="531"/>
      <c r="FFG109" s="530"/>
      <c r="FFH109" s="531"/>
      <c r="FFI109" s="530"/>
      <c r="FFJ109" s="531"/>
      <c r="FFK109" s="530"/>
      <c r="FFL109" s="531"/>
      <c r="FFM109" s="530"/>
      <c r="FFN109" s="531"/>
      <c r="FFO109" s="530"/>
      <c r="FFP109" s="531"/>
      <c r="FFQ109" s="530"/>
      <c r="FFR109" s="531"/>
      <c r="FFS109" s="530"/>
      <c r="FFT109" s="531"/>
      <c r="FFU109" s="530"/>
      <c r="FFV109" s="531"/>
      <c r="FFW109" s="530"/>
      <c r="FFX109" s="531"/>
      <c r="FFY109" s="530"/>
      <c r="FFZ109" s="531"/>
      <c r="FGA109" s="530"/>
      <c r="FGB109" s="531"/>
      <c r="FGC109" s="530"/>
      <c r="FGD109" s="531"/>
      <c r="FGE109" s="530"/>
      <c r="FGF109" s="531"/>
      <c r="FGG109" s="530"/>
      <c r="FGH109" s="531"/>
      <c r="FGI109" s="530"/>
      <c r="FGJ109" s="531"/>
      <c r="FGK109" s="530"/>
      <c r="FGL109" s="531"/>
      <c r="FGM109" s="530"/>
      <c r="FGN109" s="531"/>
      <c r="FGO109" s="530"/>
      <c r="FGP109" s="531"/>
      <c r="FGQ109" s="530"/>
      <c r="FGR109" s="531"/>
      <c r="FGS109" s="530"/>
      <c r="FGT109" s="531"/>
      <c r="FGU109" s="530"/>
      <c r="FGV109" s="531"/>
      <c r="FGW109" s="530"/>
      <c r="FGX109" s="531"/>
      <c r="FGY109" s="530"/>
      <c r="FGZ109" s="531"/>
      <c r="FHA109" s="530"/>
      <c r="FHB109" s="531"/>
      <c r="FHC109" s="530"/>
      <c r="FHD109" s="531"/>
      <c r="FHE109" s="530"/>
      <c r="FHF109" s="531"/>
      <c r="FHG109" s="530"/>
      <c r="FHH109" s="531"/>
      <c r="FHI109" s="530"/>
      <c r="FHJ109" s="531"/>
      <c r="FHK109" s="530"/>
      <c r="FHL109" s="531"/>
      <c r="FHM109" s="530"/>
      <c r="FHN109" s="531"/>
      <c r="FHO109" s="530"/>
      <c r="FHP109" s="531"/>
      <c r="FHQ109" s="530"/>
      <c r="FHR109" s="531"/>
      <c r="FHS109" s="530"/>
      <c r="FHT109" s="531"/>
      <c r="FHU109" s="530"/>
      <c r="FHV109" s="531"/>
      <c r="FHW109" s="530"/>
      <c r="FHX109" s="531"/>
      <c r="FHY109" s="530"/>
      <c r="FHZ109" s="531"/>
      <c r="FIA109" s="530"/>
      <c r="FIB109" s="531"/>
      <c r="FIC109" s="530"/>
      <c r="FID109" s="531"/>
      <c r="FIE109" s="530"/>
      <c r="FIF109" s="531"/>
      <c r="FIG109" s="530"/>
      <c r="FIH109" s="531"/>
      <c r="FII109" s="530"/>
      <c r="FIJ109" s="531"/>
      <c r="FIK109" s="530"/>
      <c r="FIL109" s="531"/>
      <c r="FIM109" s="530"/>
      <c r="FIN109" s="531"/>
      <c r="FIO109" s="530"/>
      <c r="FIP109" s="531"/>
      <c r="FIQ109" s="530"/>
      <c r="FIR109" s="531"/>
      <c r="FIS109" s="530"/>
      <c r="FIT109" s="531"/>
      <c r="FIU109" s="530"/>
      <c r="FIV109" s="531"/>
      <c r="FIW109" s="530"/>
      <c r="FIX109" s="531"/>
      <c r="FIY109" s="530"/>
      <c r="FIZ109" s="531"/>
      <c r="FJA109" s="530"/>
      <c r="FJB109" s="531"/>
      <c r="FJC109" s="530"/>
      <c r="FJD109" s="531"/>
      <c r="FJE109" s="530"/>
      <c r="FJF109" s="531"/>
      <c r="FJG109" s="530"/>
      <c r="FJH109" s="531"/>
      <c r="FJI109" s="530"/>
      <c r="FJJ109" s="531"/>
      <c r="FJK109" s="530"/>
      <c r="FJL109" s="531"/>
      <c r="FJM109" s="530"/>
      <c r="FJN109" s="531"/>
      <c r="FJO109" s="530"/>
      <c r="FJP109" s="531"/>
      <c r="FJQ109" s="530"/>
      <c r="FJR109" s="531"/>
      <c r="FJS109" s="530"/>
      <c r="FJT109" s="531"/>
      <c r="FJU109" s="530"/>
      <c r="FJV109" s="531"/>
      <c r="FJW109" s="530"/>
      <c r="FJX109" s="531"/>
      <c r="FJY109" s="530"/>
      <c r="FJZ109" s="531"/>
      <c r="FKA109" s="530"/>
      <c r="FKB109" s="531"/>
      <c r="FKC109" s="530"/>
      <c r="FKD109" s="531"/>
      <c r="FKE109" s="530"/>
      <c r="FKF109" s="531"/>
      <c r="FKG109" s="530"/>
      <c r="FKH109" s="531"/>
      <c r="FKI109" s="530"/>
      <c r="FKJ109" s="531"/>
      <c r="FKK109" s="530"/>
      <c r="FKL109" s="531"/>
      <c r="FKM109" s="530"/>
      <c r="FKN109" s="531"/>
      <c r="FKO109" s="530"/>
      <c r="FKP109" s="531"/>
      <c r="FKQ109" s="530"/>
      <c r="FKR109" s="531"/>
      <c r="FKS109" s="530"/>
      <c r="FKT109" s="531"/>
      <c r="FKU109" s="530"/>
      <c r="FKV109" s="531"/>
      <c r="FKW109" s="530"/>
      <c r="FKX109" s="531"/>
      <c r="FKY109" s="530"/>
      <c r="FKZ109" s="531"/>
      <c r="FLA109" s="530"/>
      <c r="FLB109" s="531"/>
      <c r="FLC109" s="530"/>
      <c r="FLD109" s="531"/>
      <c r="FLE109" s="530"/>
      <c r="FLF109" s="531"/>
      <c r="FLG109" s="530"/>
      <c r="FLH109" s="531"/>
      <c r="FLI109" s="530"/>
      <c r="FLJ109" s="531"/>
      <c r="FLK109" s="530"/>
      <c r="FLL109" s="531"/>
      <c r="FLM109" s="530"/>
      <c r="FLN109" s="531"/>
      <c r="FLO109" s="530"/>
      <c r="FLP109" s="531"/>
      <c r="FLQ109" s="530"/>
      <c r="FLR109" s="531"/>
      <c r="FLS109" s="530"/>
      <c r="FLT109" s="531"/>
      <c r="FLU109" s="530"/>
      <c r="FLV109" s="531"/>
      <c r="FLW109" s="530"/>
      <c r="FLX109" s="531"/>
      <c r="FLY109" s="530"/>
      <c r="FLZ109" s="531"/>
      <c r="FMA109" s="530"/>
      <c r="FMB109" s="531"/>
      <c r="FMC109" s="530"/>
      <c r="FMD109" s="531"/>
      <c r="FME109" s="530"/>
      <c r="FMF109" s="531"/>
      <c r="FMG109" s="530"/>
      <c r="FMH109" s="531"/>
      <c r="FMI109" s="530"/>
      <c r="FMJ109" s="531"/>
      <c r="FMK109" s="530"/>
      <c r="FML109" s="531"/>
      <c r="FMM109" s="530"/>
      <c r="FMN109" s="531"/>
      <c r="FMO109" s="530"/>
      <c r="FMP109" s="531"/>
      <c r="FMQ109" s="530"/>
      <c r="FMR109" s="531"/>
      <c r="FMS109" s="530"/>
      <c r="FMT109" s="531"/>
      <c r="FMU109" s="530"/>
      <c r="FMV109" s="531"/>
      <c r="FMW109" s="530"/>
      <c r="FMX109" s="531"/>
      <c r="FMY109" s="530"/>
      <c r="FMZ109" s="531"/>
      <c r="FNA109" s="530"/>
      <c r="FNB109" s="531"/>
      <c r="FNC109" s="530"/>
      <c r="FND109" s="531"/>
      <c r="FNE109" s="530"/>
      <c r="FNF109" s="531"/>
      <c r="FNG109" s="530"/>
      <c r="FNH109" s="531"/>
      <c r="FNI109" s="530"/>
      <c r="FNJ109" s="531"/>
      <c r="FNK109" s="530"/>
      <c r="FNL109" s="531"/>
      <c r="FNM109" s="530"/>
      <c r="FNN109" s="531"/>
      <c r="FNO109" s="530"/>
      <c r="FNP109" s="531"/>
      <c r="FNQ109" s="530"/>
      <c r="FNR109" s="531"/>
      <c r="FNS109" s="530"/>
      <c r="FNT109" s="531"/>
      <c r="FNU109" s="530"/>
      <c r="FNV109" s="531"/>
      <c r="FNW109" s="530"/>
      <c r="FNX109" s="531"/>
      <c r="FNY109" s="530"/>
      <c r="FNZ109" s="531"/>
      <c r="FOA109" s="530"/>
      <c r="FOB109" s="531"/>
      <c r="FOC109" s="530"/>
      <c r="FOD109" s="531"/>
      <c r="FOE109" s="530"/>
      <c r="FOF109" s="531"/>
      <c r="FOG109" s="530"/>
      <c r="FOH109" s="531"/>
      <c r="FOI109" s="530"/>
      <c r="FOJ109" s="531"/>
      <c r="FOK109" s="530"/>
      <c r="FOL109" s="531"/>
      <c r="FOM109" s="530"/>
      <c r="FON109" s="531"/>
      <c r="FOO109" s="530"/>
      <c r="FOP109" s="531"/>
      <c r="FOQ109" s="530"/>
      <c r="FOR109" s="531"/>
      <c r="FOS109" s="530"/>
      <c r="FOT109" s="531"/>
      <c r="FOU109" s="530"/>
      <c r="FOV109" s="531"/>
      <c r="FOW109" s="530"/>
      <c r="FOX109" s="531"/>
      <c r="FOY109" s="530"/>
      <c r="FOZ109" s="531"/>
      <c r="FPA109" s="530"/>
      <c r="FPB109" s="531"/>
      <c r="FPC109" s="530"/>
      <c r="FPD109" s="531"/>
      <c r="FPE109" s="530"/>
      <c r="FPF109" s="531"/>
      <c r="FPG109" s="530"/>
      <c r="FPH109" s="531"/>
      <c r="FPI109" s="530"/>
      <c r="FPJ109" s="531"/>
      <c r="FPK109" s="530"/>
      <c r="FPL109" s="531"/>
      <c r="FPM109" s="530"/>
      <c r="FPN109" s="531"/>
      <c r="FPO109" s="530"/>
      <c r="FPP109" s="531"/>
      <c r="FPQ109" s="530"/>
      <c r="FPR109" s="531"/>
      <c r="FPS109" s="530"/>
      <c r="FPT109" s="531"/>
      <c r="FPU109" s="530"/>
      <c r="FPV109" s="531"/>
      <c r="FPW109" s="530"/>
      <c r="FPX109" s="531"/>
      <c r="FPY109" s="530"/>
      <c r="FPZ109" s="531"/>
      <c r="FQA109" s="530"/>
      <c r="FQB109" s="531"/>
      <c r="FQC109" s="530"/>
      <c r="FQD109" s="531"/>
      <c r="FQE109" s="530"/>
      <c r="FQF109" s="531"/>
      <c r="FQG109" s="530"/>
      <c r="FQH109" s="531"/>
      <c r="FQI109" s="530"/>
      <c r="FQJ109" s="531"/>
      <c r="FQK109" s="530"/>
      <c r="FQL109" s="531"/>
      <c r="FQM109" s="530"/>
      <c r="FQN109" s="531"/>
      <c r="FQO109" s="530"/>
      <c r="FQP109" s="531"/>
      <c r="FQQ109" s="530"/>
      <c r="FQR109" s="531"/>
      <c r="FQS109" s="530"/>
      <c r="FQT109" s="531"/>
      <c r="FQU109" s="530"/>
      <c r="FQV109" s="531"/>
      <c r="FQW109" s="530"/>
      <c r="FQX109" s="531"/>
      <c r="FQY109" s="530"/>
      <c r="FQZ109" s="531"/>
      <c r="FRA109" s="530"/>
      <c r="FRB109" s="531"/>
      <c r="FRC109" s="530"/>
      <c r="FRD109" s="531"/>
      <c r="FRE109" s="530"/>
      <c r="FRF109" s="531"/>
      <c r="FRG109" s="530"/>
      <c r="FRH109" s="531"/>
      <c r="FRI109" s="530"/>
      <c r="FRJ109" s="531"/>
      <c r="FRK109" s="530"/>
      <c r="FRL109" s="531"/>
      <c r="FRM109" s="530"/>
      <c r="FRN109" s="531"/>
      <c r="FRO109" s="530"/>
      <c r="FRP109" s="531"/>
      <c r="FRQ109" s="530"/>
      <c r="FRR109" s="531"/>
      <c r="FRS109" s="530"/>
      <c r="FRT109" s="531"/>
      <c r="FRU109" s="530"/>
      <c r="FRV109" s="531"/>
      <c r="FRW109" s="530"/>
      <c r="FRX109" s="531"/>
      <c r="FRY109" s="530"/>
      <c r="FRZ109" s="531"/>
      <c r="FSA109" s="530"/>
      <c r="FSB109" s="531"/>
      <c r="FSC109" s="530"/>
      <c r="FSD109" s="531"/>
      <c r="FSE109" s="530"/>
      <c r="FSF109" s="531"/>
      <c r="FSG109" s="530"/>
      <c r="FSH109" s="531"/>
      <c r="FSI109" s="530"/>
      <c r="FSJ109" s="531"/>
      <c r="FSK109" s="530"/>
      <c r="FSL109" s="531"/>
      <c r="FSM109" s="530"/>
      <c r="FSN109" s="531"/>
      <c r="FSO109" s="530"/>
      <c r="FSP109" s="531"/>
      <c r="FSQ109" s="530"/>
      <c r="FSR109" s="531"/>
      <c r="FSS109" s="530"/>
      <c r="FST109" s="531"/>
      <c r="FSU109" s="530"/>
      <c r="FSV109" s="531"/>
      <c r="FSW109" s="530"/>
      <c r="FSX109" s="531"/>
      <c r="FSY109" s="530"/>
      <c r="FSZ109" s="531"/>
      <c r="FTA109" s="530"/>
      <c r="FTB109" s="531"/>
      <c r="FTC109" s="530"/>
      <c r="FTD109" s="531"/>
      <c r="FTE109" s="530"/>
      <c r="FTF109" s="531"/>
      <c r="FTG109" s="530"/>
      <c r="FTH109" s="531"/>
      <c r="FTI109" s="530"/>
      <c r="FTJ109" s="531"/>
      <c r="FTK109" s="530"/>
      <c r="FTL109" s="531"/>
      <c r="FTM109" s="530"/>
      <c r="FTN109" s="531"/>
      <c r="FTO109" s="530"/>
      <c r="FTP109" s="531"/>
      <c r="FTQ109" s="530"/>
      <c r="FTR109" s="531"/>
      <c r="FTS109" s="530"/>
      <c r="FTT109" s="531"/>
      <c r="FTU109" s="530"/>
      <c r="FTV109" s="531"/>
      <c r="FTW109" s="530"/>
      <c r="FTX109" s="531"/>
      <c r="FTY109" s="530"/>
      <c r="FTZ109" s="531"/>
      <c r="FUA109" s="530"/>
      <c r="FUB109" s="531"/>
      <c r="FUC109" s="530"/>
      <c r="FUD109" s="531"/>
      <c r="FUE109" s="530"/>
      <c r="FUF109" s="531"/>
      <c r="FUG109" s="530"/>
      <c r="FUH109" s="531"/>
      <c r="FUI109" s="530"/>
      <c r="FUJ109" s="531"/>
      <c r="FUK109" s="530"/>
      <c r="FUL109" s="531"/>
      <c r="FUM109" s="530"/>
      <c r="FUN109" s="531"/>
      <c r="FUO109" s="530"/>
      <c r="FUP109" s="531"/>
      <c r="FUQ109" s="530"/>
      <c r="FUR109" s="531"/>
      <c r="FUS109" s="530"/>
      <c r="FUT109" s="531"/>
      <c r="FUU109" s="530"/>
      <c r="FUV109" s="531"/>
      <c r="FUW109" s="530"/>
      <c r="FUX109" s="531"/>
      <c r="FUY109" s="530"/>
      <c r="FUZ109" s="531"/>
      <c r="FVA109" s="530"/>
      <c r="FVB109" s="531"/>
      <c r="FVC109" s="530"/>
      <c r="FVD109" s="531"/>
      <c r="FVE109" s="530"/>
      <c r="FVF109" s="531"/>
      <c r="FVG109" s="530"/>
      <c r="FVH109" s="531"/>
      <c r="FVI109" s="530"/>
      <c r="FVJ109" s="531"/>
      <c r="FVK109" s="530"/>
      <c r="FVL109" s="531"/>
      <c r="FVM109" s="530"/>
      <c r="FVN109" s="531"/>
      <c r="FVO109" s="530"/>
      <c r="FVP109" s="531"/>
      <c r="FVQ109" s="530"/>
      <c r="FVR109" s="531"/>
      <c r="FVS109" s="530"/>
      <c r="FVT109" s="531"/>
      <c r="FVU109" s="530"/>
      <c r="FVV109" s="531"/>
      <c r="FVW109" s="530"/>
      <c r="FVX109" s="531"/>
      <c r="FVY109" s="530"/>
      <c r="FVZ109" s="531"/>
      <c r="FWA109" s="530"/>
      <c r="FWB109" s="531"/>
      <c r="FWC109" s="530"/>
      <c r="FWD109" s="531"/>
      <c r="FWE109" s="530"/>
      <c r="FWF109" s="531"/>
      <c r="FWG109" s="530"/>
      <c r="FWH109" s="531"/>
      <c r="FWI109" s="530"/>
      <c r="FWJ109" s="531"/>
      <c r="FWK109" s="530"/>
      <c r="FWL109" s="531"/>
      <c r="FWM109" s="530"/>
      <c r="FWN109" s="531"/>
      <c r="FWO109" s="530"/>
      <c r="FWP109" s="531"/>
      <c r="FWQ109" s="530"/>
      <c r="FWR109" s="531"/>
      <c r="FWS109" s="530"/>
      <c r="FWT109" s="531"/>
      <c r="FWU109" s="530"/>
      <c r="FWV109" s="531"/>
      <c r="FWW109" s="530"/>
      <c r="FWX109" s="531"/>
      <c r="FWY109" s="530"/>
      <c r="FWZ109" s="531"/>
      <c r="FXA109" s="530"/>
      <c r="FXB109" s="531"/>
      <c r="FXC109" s="530"/>
      <c r="FXD109" s="531"/>
      <c r="FXE109" s="530"/>
      <c r="FXF109" s="531"/>
      <c r="FXG109" s="530"/>
      <c r="FXH109" s="531"/>
      <c r="FXI109" s="530"/>
      <c r="FXJ109" s="531"/>
      <c r="FXK109" s="530"/>
      <c r="FXL109" s="531"/>
      <c r="FXM109" s="530"/>
      <c r="FXN109" s="531"/>
      <c r="FXO109" s="530"/>
      <c r="FXP109" s="531"/>
      <c r="FXQ109" s="530"/>
      <c r="FXR109" s="531"/>
      <c r="FXS109" s="530"/>
      <c r="FXT109" s="531"/>
      <c r="FXU109" s="530"/>
      <c r="FXV109" s="531"/>
      <c r="FXW109" s="530"/>
      <c r="FXX109" s="531"/>
      <c r="FXY109" s="530"/>
      <c r="FXZ109" s="531"/>
      <c r="FYA109" s="530"/>
      <c r="FYB109" s="531"/>
      <c r="FYC109" s="530"/>
      <c r="FYD109" s="531"/>
      <c r="FYE109" s="530"/>
      <c r="FYF109" s="531"/>
      <c r="FYG109" s="530"/>
      <c r="FYH109" s="531"/>
      <c r="FYI109" s="530"/>
      <c r="FYJ109" s="531"/>
      <c r="FYK109" s="530"/>
      <c r="FYL109" s="531"/>
      <c r="FYM109" s="530"/>
      <c r="FYN109" s="531"/>
      <c r="FYO109" s="530"/>
      <c r="FYP109" s="531"/>
      <c r="FYQ109" s="530"/>
      <c r="FYR109" s="531"/>
      <c r="FYS109" s="530"/>
      <c r="FYT109" s="531"/>
      <c r="FYU109" s="530"/>
      <c r="FYV109" s="531"/>
      <c r="FYW109" s="530"/>
      <c r="FYX109" s="531"/>
      <c r="FYY109" s="530"/>
      <c r="FYZ109" s="531"/>
      <c r="FZA109" s="530"/>
      <c r="FZB109" s="531"/>
      <c r="FZC109" s="530"/>
      <c r="FZD109" s="531"/>
      <c r="FZE109" s="530"/>
      <c r="FZF109" s="531"/>
      <c r="FZG109" s="530"/>
      <c r="FZH109" s="531"/>
      <c r="FZI109" s="530"/>
      <c r="FZJ109" s="531"/>
      <c r="FZK109" s="530"/>
      <c r="FZL109" s="531"/>
      <c r="FZM109" s="530"/>
      <c r="FZN109" s="531"/>
      <c r="FZO109" s="530"/>
      <c r="FZP109" s="531"/>
      <c r="FZQ109" s="530"/>
      <c r="FZR109" s="531"/>
      <c r="FZS109" s="530"/>
      <c r="FZT109" s="531"/>
      <c r="FZU109" s="530"/>
      <c r="FZV109" s="531"/>
      <c r="FZW109" s="530"/>
      <c r="FZX109" s="531"/>
      <c r="FZY109" s="530"/>
      <c r="FZZ109" s="531"/>
      <c r="GAA109" s="530"/>
      <c r="GAB109" s="531"/>
      <c r="GAC109" s="530"/>
      <c r="GAD109" s="531"/>
      <c r="GAE109" s="530"/>
      <c r="GAF109" s="531"/>
      <c r="GAG109" s="530"/>
      <c r="GAH109" s="531"/>
      <c r="GAI109" s="530"/>
      <c r="GAJ109" s="531"/>
      <c r="GAK109" s="530"/>
      <c r="GAL109" s="531"/>
      <c r="GAM109" s="530"/>
      <c r="GAN109" s="531"/>
      <c r="GAO109" s="530"/>
      <c r="GAP109" s="531"/>
      <c r="GAQ109" s="530"/>
      <c r="GAR109" s="531"/>
      <c r="GAS109" s="530"/>
      <c r="GAT109" s="531"/>
      <c r="GAU109" s="530"/>
      <c r="GAV109" s="531"/>
      <c r="GAW109" s="530"/>
      <c r="GAX109" s="531"/>
      <c r="GAY109" s="530"/>
      <c r="GAZ109" s="531"/>
      <c r="GBA109" s="530"/>
      <c r="GBB109" s="531"/>
      <c r="GBC109" s="530"/>
      <c r="GBD109" s="531"/>
      <c r="GBE109" s="530"/>
      <c r="GBF109" s="531"/>
      <c r="GBG109" s="530"/>
      <c r="GBH109" s="531"/>
      <c r="GBI109" s="530"/>
      <c r="GBJ109" s="531"/>
      <c r="GBK109" s="530"/>
      <c r="GBL109" s="531"/>
      <c r="GBM109" s="530"/>
      <c r="GBN109" s="531"/>
      <c r="GBO109" s="530"/>
      <c r="GBP109" s="531"/>
      <c r="GBQ109" s="530"/>
      <c r="GBR109" s="531"/>
      <c r="GBS109" s="530"/>
      <c r="GBT109" s="531"/>
      <c r="GBU109" s="530"/>
      <c r="GBV109" s="531"/>
      <c r="GBW109" s="530"/>
      <c r="GBX109" s="531"/>
      <c r="GBY109" s="530"/>
      <c r="GBZ109" s="531"/>
      <c r="GCA109" s="530"/>
      <c r="GCB109" s="531"/>
      <c r="GCC109" s="530"/>
      <c r="GCD109" s="531"/>
      <c r="GCE109" s="530"/>
      <c r="GCF109" s="531"/>
      <c r="GCG109" s="530"/>
      <c r="GCH109" s="531"/>
      <c r="GCI109" s="530"/>
      <c r="GCJ109" s="531"/>
      <c r="GCK109" s="530"/>
      <c r="GCL109" s="531"/>
      <c r="GCM109" s="530"/>
      <c r="GCN109" s="531"/>
      <c r="GCO109" s="530"/>
      <c r="GCP109" s="531"/>
      <c r="GCQ109" s="530"/>
      <c r="GCR109" s="531"/>
      <c r="GCS109" s="530"/>
      <c r="GCT109" s="531"/>
      <c r="GCU109" s="530"/>
      <c r="GCV109" s="531"/>
      <c r="GCW109" s="530"/>
      <c r="GCX109" s="531"/>
      <c r="GCY109" s="530"/>
      <c r="GCZ109" s="531"/>
      <c r="GDA109" s="530"/>
      <c r="GDB109" s="531"/>
      <c r="GDC109" s="530"/>
      <c r="GDD109" s="531"/>
      <c r="GDE109" s="530"/>
      <c r="GDF109" s="531"/>
      <c r="GDG109" s="530"/>
      <c r="GDH109" s="531"/>
      <c r="GDI109" s="530"/>
      <c r="GDJ109" s="531"/>
      <c r="GDK109" s="530"/>
      <c r="GDL109" s="531"/>
      <c r="GDM109" s="530"/>
      <c r="GDN109" s="531"/>
      <c r="GDO109" s="530"/>
      <c r="GDP109" s="531"/>
      <c r="GDQ109" s="530"/>
      <c r="GDR109" s="531"/>
      <c r="GDS109" s="530"/>
      <c r="GDT109" s="531"/>
      <c r="GDU109" s="530"/>
      <c r="GDV109" s="531"/>
      <c r="GDW109" s="530"/>
      <c r="GDX109" s="531"/>
      <c r="GDY109" s="530"/>
      <c r="GDZ109" s="531"/>
      <c r="GEA109" s="530"/>
      <c r="GEB109" s="531"/>
      <c r="GEC109" s="530"/>
      <c r="GED109" s="531"/>
      <c r="GEE109" s="530"/>
      <c r="GEF109" s="531"/>
      <c r="GEG109" s="530"/>
      <c r="GEH109" s="531"/>
      <c r="GEI109" s="530"/>
      <c r="GEJ109" s="531"/>
      <c r="GEK109" s="530"/>
      <c r="GEL109" s="531"/>
      <c r="GEM109" s="530"/>
      <c r="GEN109" s="531"/>
      <c r="GEO109" s="530"/>
      <c r="GEP109" s="531"/>
      <c r="GEQ109" s="530"/>
      <c r="GER109" s="531"/>
      <c r="GES109" s="530"/>
      <c r="GET109" s="531"/>
      <c r="GEU109" s="530"/>
      <c r="GEV109" s="531"/>
      <c r="GEW109" s="530"/>
      <c r="GEX109" s="531"/>
      <c r="GEY109" s="530"/>
      <c r="GEZ109" s="531"/>
      <c r="GFA109" s="530"/>
      <c r="GFB109" s="531"/>
      <c r="GFC109" s="530"/>
      <c r="GFD109" s="531"/>
      <c r="GFE109" s="530"/>
      <c r="GFF109" s="531"/>
      <c r="GFG109" s="530"/>
      <c r="GFH109" s="531"/>
      <c r="GFI109" s="530"/>
      <c r="GFJ109" s="531"/>
      <c r="GFK109" s="530"/>
      <c r="GFL109" s="531"/>
      <c r="GFM109" s="530"/>
      <c r="GFN109" s="531"/>
      <c r="GFO109" s="530"/>
      <c r="GFP109" s="531"/>
      <c r="GFQ109" s="530"/>
      <c r="GFR109" s="531"/>
      <c r="GFS109" s="530"/>
      <c r="GFT109" s="531"/>
      <c r="GFU109" s="530"/>
      <c r="GFV109" s="531"/>
      <c r="GFW109" s="530"/>
      <c r="GFX109" s="531"/>
      <c r="GFY109" s="530"/>
      <c r="GFZ109" s="531"/>
      <c r="GGA109" s="530"/>
      <c r="GGB109" s="531"/>
      <c r="GGC109" s="530"/>
      <c r="GGD109" s="531"/>
      <c r="GGE109" s="530"/>
      <c r="GGF109" s="531"/>
      <c r="GGG109" s="530"/>
      <c r="GGH109" s="531"/>
      <c r="GGI109" s="530"/>
      <c r="GGJ109" s="531"/>
      <c r="GGK109" s="530"/>
      <c r="GGL109" s="531"/>
      <c r="GGM109" s="530"/>
      <c r="GGN109" s="531"/>
      <c r="GGO109" s="530"/>
      <c r="GGP109" s="531"/>
      <c r="GGQ109" s="530"/>
      <c r="GGR109" s="531"/>
      <c r="GGS109" s="530"/>
      <c r="GGT109" s="531"/>
      <c r="GGU109" s="530"/>
      <c r="GGV109" s="531"/>
      <c r="GGW109" s="530"/>
      <c r="GGX109" s="531"/>
      <c r="GGY109" s="530"/>
      <c r="GGZ109" s="531"/>
      <c r="GHA109" s="530"/>
      <c r="GHB109" s="531"/>
      <c r="GHC109" s="530"/>
      <c r="GHD109" s="531"/>
      <c r="GHE109" s="530"/>
      <c r="GHF109" s="531"/>
      <c r="GHG109" s="530"/>
      <c r="GHH109" s="531"/>
      <c r="GHI109" s="530"/>
      <c r="GHJ109" s="531"/>
      <c r="GHK109" s="530"/>
      <c r="GHL109" s="531"/>
      <c r="GHM109" s="530"/>
      <c r="GHN109" s="531"/>
      <c r="GHO109" s="530"/>
      <c r="GHP109" s="531"/>
      <c r="GHQ109" s="530"/>
      <c r="GHR109" s="531"/>
      <c r="GHS109" s="530"/>
      <c r="GHT109" s="531"/>
      <c r="GHU109" s="530"/>
      <c r="GHV109" s="531"/>
      <c r="GHW109" s="530"/>
      <c r="GHX109" s="531"/>
      <c r="GHY109" s="530"/>
      <c r="GHZ109" s="531"/>
      <c r="GIA109" s="530"/>
      <c r="GIB109" s="531"/>
      <c r="GIC109" s="530"/>
      <c r="GID109" s="531"/>
      <c r="GIE109" s="530"/>
      <c r="GIF109" s="531"/>
      <c r="GIG109" s="530"/>
      <c r="GIH109" s="531"/>
      <c r="GII109" s="530"/>
      <c r="GIJ109" s="531"/>
      <c r="GIK109" s="530"/>
      <c r="GIL109" s="531"/>
      <c r="GIM109" s="530"/>
      <c r="GIN109" s="531"/>
      <c r="GIO109" s="530"/>
      <c r="GIP109" s="531"/>
      <c r="GIQ109" s="530"/>
      <c r="GIR109" s="531"/>
      <c r="GIS109" s="530"/>
      <c r="GIT109" s="531"/>
      <c r="GIU109" s="530"/>
      <c r="GIV109" s="531"/>
      <c r="GIW109" s="530"/>
      <c r="GIX109" s="531"/>
      <c r="GIY109" s="530"/>
      <c r="GIZ109" s="531"/>
      <c r="GJA109" s="530"/>
      <c r="GJB109" s="531"/>
      <c r="GJC109" s="530"/>
      <c r="GJD109" s="531"/>
      <c r="GJE109" s="530"/>
      <c r="GJF109" s="531"/>
      <c r="GJG109" s="530"/>
      <c r="GJH109" s="531"/>
      <c r="GJI109" s="530"/>
      <c r="GJJ109" s="531"/>
      <c r="GJK109" s="530"/>
      <c r="GJL109" s="531"/>
      <c r="GJM109" s="530"/>
      <c r="GJN109" s="531"/>
      <c r="GJO109" s="530"/>
      <c r="GJP109" s="531"/>
      <c r="GJQ109" s="530"/>
      <c r="GJR109" s="531"/>
      <c r="GJS109" s="530"/>
      <c r="GJT109" s="531"/>
      <c r="GJU109" s="530"/>
      <c r="GJV109" s="531"/>
      <c r="GJW109" s="530"/>
      <c r="GJX109" s="531"/>
      <c r="GJY109" s="530"/>
      <c r="GJZ109" s="531"/>
      <c r="GKA109" s="530"/>
      <c r="GKB109" s="531"/>
      <c r="GKC109" s="530"/>
      <c r="GKD109" s="531"/>
      <c r="GKE109" s="530"/>
      <c r="GKF109" s="531"/>
      <c r="GKG109" s="530"/>
      <c r="GKH109" s="531"/>
      <c r="GKI109" s="530"/>
      <c r="GKJ109" s="531"/>
      <c r="GKK109" s="530"/>
      <c r="GKL109" s="531"/>
      <c r="GKM109" s="530"/>
      <c r="GKN109" s="531"/>
      <c r="GKO109" s="530"/>
      <c r="GKP109" s="531"/>
      <c r="GKQ109" s="530"/>
      <c r="GKR109" s="531"/>
      <c r="GKS109" s="530"/>
      <c r="GKT109" s="531"/>
      <c r="GKU109" s="530"/>
      <c r="GKV109" s="531"/>
      <c r="GKW109" s="530"/>
      <c r="GKX109" s="531"/>
      <c r="GKY109" s="530"/>
      <c r="GKZ109" s="531"/>
      <c r="GLA109" s="530"/>
      <c r="GLB109" s="531"/>
      <c r="GLC109" s="530"/>
      <c r="GLD109" s="531"/>
      <c r="GLE109" s="530"/>
      <c r="GLF109" s="531"/>
      <c r="GLG109" s="530"/>
      <c r="GLH109" s="531"/>
      <c r="GLI109" s="530"/>
      <c r="GLJ109" s="531"/>
      <c r="GLK109" s="530"/>
      <c r="GLL109" s="531"/>
      <c r="GLM109" s="530"/>
      <c r="GLN109" s="531"/>
      <c r="GLO109" s="530"/>
      <c r="GLP109" s="531"/>
      <c r="GLQ109" s="530"/>
      <c r="GLR109" s="531"/>
      <c r="GLS109" s="530"/>
      <c r="GLT109" s="531"/>
      <c r="GLU109" s="530"/>
      <c r="GLV109" s="531"/>
      <c r="GLW109" s="530"/>
      <c r="GLX109" s="531"/>
      <c r="GLY109" s="530"/>
      <c r="GLZ109" s="531"/>
      <c r="GMA109" s="530"/>
      <c r="GMB109" s="531"/>
      <c r="GMC109" s="530"/>
      <c r="GMD109" s="531"/>
      <c r="GME109" s="530"/>
      <c r="GMF109" s="531"/>
      <c r="GMG109" s="530"/>
      <c r="GMH109" s="531"/>
      <c r="GMI109" s="530"/>
      <c r="GMJ109" s="531"/>
      <c r="GMK109" s="530"/>
      <c r="GML109" s="531"/>
      <c r="GMM109" s="530"/>
      <c r="GMN109" s="531"/>
      <c r="GMO109" s="530"/>
      <c r="GMP109" s="531"/>
      <c r="GMQ109" s="530"/>
      <c r="GMR109" s="531"/>
      <c r="GMS109" s="530"/>
      <c r="GMT109" s="531"/>
      <c r="GMU109" s="530"/>
      <c r="GMV109" s="531"/>
      <c r="GMW109" s="530"/>
      <c r="GMX109" s="531"/>
      <c r="GMY109" s="530"/>
      <c r="GMZ109" s="531"/>
      <c r="GNA109" s="530"/>
      <c r="GNB109" s="531"/>
      <c r="GNC109" s="530"/>
      <c r="GND109" s="531"/>
      <c r="GNE109" s="530"/>
      <c r="GNF109" s="531"/>
      <c r="GNG109" s="530"/>
      <c r="GNH109" s="531"/>
      <c r="GNI109" s="530"/>
      <c r="GNJ109" s="531"/>
      <c r="GNK109" s="530"/>
      <c r="GNL109" s="531"/>
      <c r="GNM109" s="530"/>
      <c r="GNN109" s="531"/>
      <c r="GNO109" s="530"/>
      <c r="GNP109" s="531"/>
      <c r="GNQ109" s="530"/>
      <c r="GNR109" s="531"/>
      <c r="GNS109" s="530"/>
      <c r="GNT109" s="531"/>
      <c r="GNU109" s="530"/>
      <c r="GNV109" s="531"/>
      <c r="GNW109" s="530"/>
      <c r="GNX109" s="531"/>
      <c r="GNY109" s="530"/>
      <c r="GNZ109" s="531"/>
      <c r="GOA109" s="530"/>
      <c r="GOB109" s="531"/>
      <c r="GOC109" s="530"/>
      <c r="GOD109" s="531"/>
      <c r="GOE109" s="530"/>
      <c r="GOF109" s="531"/>
      <c r="GOG109" s="530"/>
      <c r="GOH109" s="531"/>
      <c r="GOI109" s="530"/>
      <c r="GOJ109" s="531"/>
      <c r="GOK109" s="530"/>
      <c r="GOL109" s="531"/>
      <c r="GOM109" s="530"/>
      <c r="GON109" s="531"/>
      <c r="GOO109" s="530"/>
      <c r="GOP109" s="531"/>
      <c r="GOQ109" s="530"/>
      <c r="GOR109" s="531"/>
      <c r="GOS109" s="530"/>
      <c r="GOT109" s="531"/>
      <c r="GOU109" s="530"/>
      <c r="GOV109" s="531"/>
      <c r="GOW109" s="530"/>
      <c r="GOX109" s="531"/>
      <c r="GOY109" s="530"/>
      <c r="GOZ109" s="531"/>
      <c r="GPA109" s="530"/>
      <c r="GPB109" s="531"/>
      <c r="GPC109" s="530"/>
      <c r="GPD109" s="531"/>
      <c r="GPE109" s="530"/>
      <c r="GPF109" s="531"/>
      <c r="GPG109" s="530"/>
      <c r="GPH109" s="531"/>
      <c r="GPI109" s="530"/>
      <c r="GPJ109" s="531"/>
      <c r="GPK109" s="530"/>
      <c r="GPL109" s="531"/>
      <c r="GPM109" s="530"/>
      <c r="GPN109" s="531"/>
      <c r="GPO109" s="530"/>
      <c r="GPP109" s="531"/>
      <c r="GPQ109" s="530"/>
      <c r="GPR109" s="531"/>
      <c r="GPS109" s="530"/>
      <c r="GPT109" s="531"/>
      <c r="GPU109" s="530"/>
      <c r="GPV109" s="531"/>
      <c r="GPW109" s="530"/>
      <c r="GPX109" s="531"/>
      <c r="GPY109" s="530"/>
      <c r="GPZ109" s="531"/>
      <c r="GQA109" s="530"/>
      <c r="GQB109" s="531"/>
      <c r="GQC109" s="530"/>
      <c r="GQD109" s="531"/>
      <c r="GQE109" s="530"/>
      <c r="GQF109" s="531"/>
      <c r="GQG109" s="530"/>
      <c r="GQH109" s="531"/>
      <c r="GQI109" s="530"/>
      <c r="GQJ109" s="531"/>
      <c r="GQK109" s="530"/>
      <c r="GQL109" s="531"/>
      <c r="GQM109" s="530"/>
      <c r="GQN109" s="531"/>
      <c r="GQO109" s="530"/>
      <c r="GQP109" s="531"/>
      <c r="GQQ109" s="530"/>
      <c r="GQR109" s="531"/>
      <c r="GQS109" s="530"/>
      <c r="GQT109" s="531"/>
      <c r="GQU109" s="530"/>
      <c r="GQV109" s="531"/>
      <c r="GQW109" s="530"/>
      <c r="GQX109" s="531"/>
      <c r="GQY109" s="530"/>
      <c r="GQZ109" s="531"/>
      <c r="GRA109" s="530"/>
      <c r="GRB109" s="531"/>
      <c r="GRC109" s="530"/>
      <c r="GRD109" s="531"/>
      <c r="GRE109" s="530"/>
      <c r="GRF109" s="531"/>
      <c r="GRG109" s="530"/>
      <c r="GRH109" s="531"/>
      <c r="GRI109" s="530"/>
      <c r="GRJ109" s="531"/>
      <c r="GRK109" s="530"/>
      <c r="GRL109" s="531"/>
      <c r="GRM109" s="530"/>
      <c r="GRN109" s="531"/>
      <c r="GRO109" s="530"/>
      <c r="GRP109" s="531"/>
      <c r="GRQ109" s="530"/>
      <c r="GRR109" s="531"/>
      <c r="GRS109" s="530"/>
      <c r="GRT109" s="531"/>
      <c r="GRU109" s="530"/>
      <c r="GRV109" s="531"/>
      <c r="GRW109" s="530"/>
      <c r="GRX109" s="531"/>
      <c r="GRY109" s="530"/>
      <c r="GRZ109" s="531"/>
      <c r="GSA109" s="530"/>
      <c r="GSB109" s="531"/>
      <c r="GSC109" s="530"/>
      <c r="GSD109" s="531"/>
      <c r="GSE109" s="530"/>
      <c r="GSF109" s="531"/>
      <c r="GSG109" s="530"/>
      <c r="GSH109" s="531"/>
      <c r="GSI109" s="530"/>
      <c r="GSJ109" s="531"/>
      <c r="GSK109" s="530"/>
      <c r="GSL109" s="531"/>
      <c r="GSM109" s="530"/>
      <c r="GSN109" s="531"/>
      <c r="GSO109" s="530"/>
      <c r="GSP109" s="531"/>
      <c r="GSQ109" s="530"/>
      <c r="GSR109" s="531"/>
      <c r="GSS109" s="530"/>
      <c r="GST109" s="531"/>
      <c r="GSU109" s="530"/>
      <c r="GSV109" s="531"/>
      <c r="GSW109" s="530"/>
      <c r="GSX109" s="531"/>
      <c r="GSY109" s="530"/>
      <c r="GSZ109" s="531"/>
      <c r="GTA109" s="530"/>
      <c r="GTB109" s="531"/>
      <c r="GTC109" s="530"/>
      <c r="GTD109" s="531"/>
      <c r="GTE109" s="530"/>
      <c r="GTF109" s="531"/>
      <c r="GTG109" s="530"/>
      <c r="GTH109" s="531"/>
      <c r="GTI109" s="530"/>
      <c r="GTJ109" s="531"/>
      <c r="GTK109" s="530"/>
      <c r="GTL109" s="531"/>
      <c r="GTM109" s="530"/>
      <c r="GTN109" s="531"/>
      <c r="GTO109" s="530"/>
      <c r="GTP109" s="531"/>
      <c r="GTQ109" s="530"/>
      <c r="GTR109" s="531"/>
      <c r="GTS109" s="530"/>
      <c r="GTT109" s="531"/>
      <c r="GTU109" s="530"/>
      <c r="GTV109" s="531"/>
      <c r="GTW109" s="530"/>
      <c r="GTX109" s="531"/>
      <c r="GTY109" s="530"/>
      <c r="GTZ109" s="531"/>
      <c r="GUA109" s="530"/>
      <c r="GUB109" s="531"/>
      <c r="GUC109" s="530"/>
      <c r="GUD109" s="531"/>
      <c r="GUE109" s="530"/>
      <c r="GUF109" s="531"/>
      <c r="GUG109" s="530"/>
      <c r="GUH109" s="531"/>
      <c r="GUI109" s="530"/>
      <c r="GUJ109" s="531"/>
      <c r="GUK109" s="530"/>
      <c r="GUL109" s="531"/>
      <c r="GUM109" s="530"/>
      <c r="GUN109" s="531"/>
      <c r="GUO109" s="530"/>
      <c r="GUP109" s="531"/>
      <c r="GUQ109" s="530"/>
      <c r="GUR109" s="531"/>
      <c r="GUS109" s="530"/>
      <c r="GUT109" s="531"/>
      <c r="GUU109" s="530"/>
      <c r="GUV109" s="531"/>
      <c r="GUW109" s="530"/>
      <c r="GUX109" s="531"/>
      <c r="GUY109" s="530"/>
      <c r="GUZ109" s="531"/>
      <c r="GVA109" s="530"/>
      <c r="GVB109" s="531"/>
      <c r="GVC109" s="530"/>
      <c r="GVD109" s="531"/>
      <c r="GVE109" s="530"/>
      <c r="GVF109" s="531"/>
      <c r="GVG109" s="530"/>
      <c r="GVH109" s="531"/>
      <c r="GVI109" s="530"/>
      <c r="GVJ109" s="531"/>
      <c r="GVK109" s="530"/>
      <c r="GVL109" s="531"/>
      <c r="GVM109" s="530"/>
      <c r="GVN109" s="531"/>
      <c r="GVO109" s="530"/>
      <c r="GVP109" s="531"/>
      <c r="GVQ109" s="530"/>
      <c r="GVR109" s="531"/>
      <c r="GVS109" s="530"/>
      <c r="GVT109" s="531"/>
      <c r="GVU109" s="530"/>
      <c r="GVV109" s="531"/>
      <c r="GVW109" s="530"/>
      <c r="GVX109" s="531"/>
      <c r="GVY109" s="530"/>
      <c r="GVZ109" s="531"/>
      <c r="GWA109" s="530"/>
      <c r="GWB109" s="531"/>
      <c r="GWC109" s="530"/>
      <c r="GWD109" s="531"/>
      <c r="GWE109" s="530"/>
      <c r="GWF109" s="531"/>
      <c r="GWG109" s="530"/>
      <c r="GWH109" s="531"/>
      <c r="GWI109" s="530"/>
      <c r="GWJ109" s="531"/>
      <c r="GWK109" s="530"/>
      <c r="GWL109" s="531"/>
      <c r="GWM109" s="530"/>
      <c r="GWN109" s="531"/>
      <c r="GWO109" s="530"/>
      <c r="GWP109" s="531"/>
      <c r="GWQ109" s="530"/>
      <c r="GWR109" s="531"/>
      <c r="GWS109" s="530"/>
      <c r="GWT109" s="531"/>
      <c r="GWU109" s="530"/>
      <c r="GWV109" s="531"/>
      <c r="GWW109" s="530"/>
      <c r="GWX109" s="531"/>
      <c r="GWY109" s="530"/>
      <c r="GWZ109" s="531"/>
      <c r="GXA109" s="530"/>
      <c r="GXB109" s="531"/>
      <c r="GXC109" s="530"/>
      <c r="GXD109" s="531"/>
      <c r="GXE109" s="530"/>
      <c r="GXF109" s="531"/>
      <c r="GXG109" s="530"/>
      <c r="GXH109" s="531"/>
      <c r="GXI109" s="530"/>
      <c r="GXJ109" s="531"/>
      <c r="GXK109" s="530"/>
      <c r="GXL109" s="531"/>
      <c r="GXM109" s="530"/>
      <c r="GXN109" s="531"/>
      <c r="GXO109" s="530"/>
      <c r="GXP109" s="531"/>
      <c r="GXQ109" s="530"/>
      <c r="GXR109" s="531"/>
      <c r="GXS109" s="530"/>
      <c r="GXT109" s="531"/>
      <c r="GXU109" s="530"/>
      <c r="GXV109" s="531"/>
      <c r="GXW109" s="530"/>
      <c r="GXX109" s="531"/>
      <c r="GXY109" s="530"/>
      <c r="GXZ109" s="531"/>
      <c r="GYA109" s="530"/>
      <c r="GYB109" s="531"/>
      <c r="GYC109" s="530"/>
      <c r="GYD109" s="531"/>
      <c r="GYE109" s="530"/>
      <c r="GYF109" s="531"/>
      <c r="GYG109" s="530"/>
      <c r="GYH109" s="531"/>
      <c r="GYI109" s="530"/>
      <c r="GYJ109" s="531"/>
      <c r="GYK109" s="530"/>
      <c r="GYL109" s="531"/>
      <c r="GYM109" s="530"/>
      <c r="GYN109" s="531"/>
      <c r="GYO109" s="530"/>
      <c r="GYP109" s="531"/>
      <c r="GYQ109" s="530"/>
      <c r="GYR109" s="531"/>
      <c r="GYS109" s="530"/>
      <c r="GYT109" s="531"/>
      <c r="GYU109" s="530"/>
      <c r="GYV109" s="531"/>
      <c r="GYW109" s="530"/>
      <c r="GYX109" s="531"/>
      <c r="GYY109" s="530"/>
      <c r="GYZ109" s="531"/>
      <c r="GZA109" s="530"/>
      <c r="GZB109" s="531"/>
      <c r="GZC109" s="530"/>
      <c r="GZD109" s="531"/>
      <c r="GZE109" s="530"/>
      <c r="GZF109" s="531"/>
      <c r="GZG109" s="530"/>
      <c r="GZH109" s="531"/>
      <c r="GZI109" s="530"/>
      <c r="GZJ109" s="531"/>
      <c r="GZK109" s="530"/>
      <c r="GZL109" s="531"/>
      <c r="GZM109" s="530"/>
      <c r="GZN109" s="531"/>
      <c r="GZO109" s="530"/>
      <c r="GZP109" s="531"/>
      <c r="GZQ109" s="530"/>
      <c r="GZR109" s="531"/>
      <c r="GZS109" s="530"/>
      <c r="GZT109" s="531"/>
      <c r="GZU109" s="530"/>
      <c r="GZV109" s="531"/>
      <c r="GZW109" s="530"/>
      <c r="GZX109" s="531"/>
      <c r="GZY109" s="530"/>
      <c r="GZZ109" s="531"/>
      <c r="HAA109" s="530"/>
      <c r="HAB109" s="531"/>
      <c r="HAC109" s="530"/>
      <c r="HAD109" s="531"/>
      <c r="HAE109" s="530"/>
      <c r="HAF109" s="531"/>
      <c r="HAG109" s="530"/>
      <c r="HAH109" s="531"/>
      <c r="HAI109" s="530"/>
      <c r="HAJ109" s="531"/>
      <c r="HAK109" s="530"/>
      <c r="HAL109" s="531"/>
      <c r="HAM109" s="530"/>
      <c r="HAN109" s="531"/>
      <c r="HAO109" s="530"/>
      <c r="HAP109" s="531"/>
      <c r="HAQ109" s="530"/>
      <c r="HAR109" s="531"/>
      <c r="HAS109" s="530"/>
      <c r="HAT109" s="531"/>
      <c r="HAU109" s="530"/>
      <c r="HAV109" s="531"/>
      <c r="HAW109" s="530"/>
      <c r="HAX109" s="531"/>
      <c r="HAY109" s="530"/>
      <c r="HAZ109" s="531"/>
      <c r="HBA109" s="530"/>
      <c r="HBB109" s="531"/>
      <c r="HBC109" s="530"/>
      <c r="HBD109" s="531"/>
      <c r="HBE109" s="530"/>
      <c r="HBF109" s="531"/>
      <c r="HBG109" s="530"/>
      <c r="HBH109" s="531"/>
      <c r="HBI109" s="530"/>
      <c r="HBJ109" s="531"/>
      <c r="HBK109" s="530"/>
      <c r="HBL109" s="531"/>
      <c r="HBM109" s="530"/>
      <c r="HBN109" s="531"/>
      <c r="HBO109" s="530"/>
      <c r="HBP109" s="531"/>
      <c r="HBQ109" s="530"/>
      <c r="HBR109" s="531"/>
      <c r="HBS109" s="530"/>
      <c r="HBT109" s="531"/>
      <c r="HBU109" s="530"/>
      <c r="HBV109" s="531"/>
      <c r="HBW109" s="530"/>
      <c r="HBX109" s="531"/>
      <c r="HBY109" s="530"/>
      <c r="HBZ109" s="531"/>
      <c r="HCA109" s="530"/>
      <c r="HCB109" s="531"/>
      <c r="HCC109" s="530"/>
      <c r="HCD109" s="531"/>
      <c r="HCE109" s="530"/>
      <c r="HCF109" s="531"/>
      <c r="HCG109" s="530"/>
      <c r="HCH109" s="531"/>
      <c r="HCI109" s="530"/>
      <c r="HCJ109" s="531"/>
      <c r="HCK109" s="530"/>
      <c r="HCL109" s="531"/>
      <c r="HCM109" s="530"/>
      <c r="HCN109" s="531"/>
      <c r="HCO109" s="530"/>
      <c r="HCP109" s="531"/>
      <c r="HCQ109" s="530"/>
      <c r="HCR109" s="531"/>
      <c r="HCS109" s="530"/>
      <c r="HCT109" s="531"/>
      <c r="HCU109" s="530"/>
      <c r="HCV109" s="531"/>
      <c r="HCW109" s="530"/>
      <c r="HCX109" s="531"/>
      <c r="HCY109" s="530"/>
      <c r="HCZ109" s="531"/>
      <c r="HDA109" s="530"/>
      <c r="HDB109" s="531"/>
      <c r="HDC109" s="530"/>
      <c r="HDD109" s="531"/>
      <c r="HDE109" s="530"/>
      <c r="HDF109" s="531"/>
      <c r="HDG109" s="530"/>
      <c r="HDH109" s="531"/>
      <c r="HDI109" s="530"/>
      <c r="HDJ109" s="531"/>
      <c r="HDK109" s="530"/>
      <c r="HDL109" s="531"/>
      <c r="HDM109" s="530"/>
      <c r="HDN109" s="531"/>
      <c r="HDO109" s="530"/>
      <c r="HDP109" s="531"/>
      <c r="HDQ109" s="530"/>
      <c r="HDR109" s="531"/>
      <c r="HDS109" s="530"/>
      <c r="HDT109" s="531"/>
      <c r="HDU109" s="530"/>
      <c r="HDV109" s="531"/>
      <c r="HDW109" s="530"/>
      <c r="HDX109" s="531"/>
      <c r="HDY109" s="530"/>
      <c r="HDZ109" s="531"/>
      <c r="HEA109" s="530"/>
      <c r="HEB109" s="531"/>
      <c r="HEC109" s="530"/>
      <c r="HED109" s="531"/>
      <c r="HEE109" s="530"/>
      <c r="HEF109" s="531"/>
      <c r="HEG109" s="530"/>
      <c r="HEH109" s="531"/>
      <c r="HEI109" s="530"/>
      <c r="HEJ109" s="531"/>
      <c r="HEK109" s="530"/>
      <c r="HEL109" s="531"/>
      <c r="HEM109" s="530"/>
      <c r="HEN109" s="531"/>
      <c r="HEO109" s="530"/>
      <c r="HEP109" s="531"/>
      <c r="HEQ109" s="530"/>
      <c r="HER109" s="531"/>
      <c r="HES109" s="530"/>
      <c r="HET109" s="531"/>
      <c r="HEU109" s="530"/>
      <c r="HEV109" s="531"/>
      <c r="HEW109" s="530"/>
      <c r="HEX109" s="531"/>
      <c r="HEY109" s="530"/>
      <c r="HEZ109" s="531"/>
      <c r="HFA109" s="530"/>
      <c r="HFB109" s="531"/>
      <c r="HFC109" s="530"/>
      <c r="HFD109" s="531"/>
      <c r="HFE109" s="530"/>
      <c r="HFF109" s="531"/>
      <c r="HFG109" s="530"/>
      <c r="HFH109" s="531"/>
      <c r="HFI109" s="530"/>
      <c r="HFJ109" s="531"/>
      <c r="HFK109" s="530"/>
      <c r="HFL109" s="531"/>
      <c r="HFM109" s="530"/>
      <c r="HFN109" s="531"/>
      <c r="HFO109" s="530"/>
      <c r="HFP109" s="531"/>
      <c r="HFQ109" s="530"/>
      <c r="HFR109" s="531"/>
      <c r="HFS109" s="530"/>
      <c r="HFT109" s="531"/>
      <c r="HFU109" s="530"/>
      <c r="HFV109" s="531"/>
      <c r="HFW109" s="530"/>
      <c r="HFX109" s="531"/>
      <c r="HFY109" s="530"/>
      <c r="HFZ109" s="531"/>
      <c r="HGA109" s="530"/>
      <c r="HGB109" s="531"/>
      <c r="HGC109" s="530"/>
      <c r="HGD109" s="531"/>
      <c r="HGE109" s="530"/>
      <c r="HGF109" s="531"/>
      <c r="HGG109" s="530"/>
      <c r="HGH109" s="531"/>
      <c r="HGI109" s="530"/>
      <c r="HGJ109" s="531"/>
      <c r="HGK109" s="530"/>
      <c r="HGL109" s="531"/>
      <c r="HGM109" s="530"/>
      <c r="HGN109" s="531"/>
      <c r="HGO109" s="530"/>
      <c r="HGP109" s="531"/>
      <c r="HGQ109" s="530"/>
      <c r="HGR109" s="531"/>
      <c r="HGS109" s="530"/>
      <c r="HGT109" s="531"/>
      <c r="HGU109" s="530"/>
      <c r="HGV109" s="531"/>
      <c r="HGW109" s="530"/>
      <c r="HGX109" s="531"/>
      <c r="HGY109" s="530"/>
      <c r="HGZ109" s="531"/>
      <c r="HHA109" s="530"/>
      <c r="HHB109" s="531"/>
      <c r="HHC109" s="530"/>
      <c r="HHD109" s="531"/>
      <c r="HHE109" s="530"/>
      <c r="HHF109" s="531"/>
      <c r="HHG109" s="530"/>
      <c r="HHH109" s="531"/>
      <c r="HHI109" s="530"/>
      <c r="HHJ109" s="531"/>
      <c r="HHK109" s="530"/>
      <c r="HHL109" s="531"/>
      <c r="HHM109" s="530"/>
      <c r="HHN109" s="531"/>
      <c r="HHO109" s="530"/>
      <c r="HHP109" s="531"/>
      <c r="HHQ109" s="530"/>
      <c r="HHR109" s="531"/>
      <c r="HHS109" s="530"/>
      <c r="HHT109" s="531"/>
      <c r="HHU109" s="530"/>
      <c r="HHV109" s="531"/>
      <c r="HHW109" s="530"/>
      <c r="HHX109" s="531"/>
      <c r="HHY109" s="530"/>
      <c r="HHZ109" s="531"/>
      <c r="HIA109" s="530"/>
      <c r="HIB109" s="531"/>
      <c r="HIC109" s="530"/>
      <c r="HID109" s="531"/>
      <c r="HIE109" s="530"/>
      <c r="HIF109" s="531"/>
      <c r="HIG109" s="530"/>
      <c r="HIH109" s="531"/>
      <c r="HII109" s="530"/>
      <c r="HIJ109" s="531"/>
      <c r="HIK109" s="530"/>
      <c r="HIL109" s="531"/>
      <c r="HIM109" s="530"/>
      <c r="HIN109" s="531"/>
      <c r="HIO109" s="530"/>
      <c r="HIP109" s="531"/>
      <c r="HIQ109" s="530"/>
      <c r="HIR109" s="531"/>
      <c r="HIS109" s="530"/>
      <c r="HIT109" s="531"/>
      <c r="HIU109" s="530"/>
      <c r="HIV109" s="531"/>
      <c r="HIW109" s="530"/>
      <c r="HIX109" s="531"/>
      <c r="HIY109" s="530"/>
      <c r="HIZ109" s="531"/>
      <c r="HJA109" s="530"/>
      <c r="HJB109" s="531"/>
      <c r="HJC109" s="530"/>
      <c r="HJD109" s="531"/>
      <c r="HJE109" s="530"/>
      <c r="HJF109" s="531"/>
      <c r="HJG109" s="530"/>
      <c r="HJH109" s="531"/>
      <c r="HJI109" s="530"/>
      <c r="HJJ109" s="531"/>
      <c r="HJK109" s="530"/>
      <c r="HJL109" s="531"/>
      <c r="HJM109" s="530"/>
      <c r="HJN109" s="531"/>
      <c r="HJO109" s="530"/>
      <c r="HJP109" s="531"/>
      <c r="HJQ109" s="530"/>
      <c r="HJR109" s="531"/>
      <c r="HJS109" s="530"/>
      <c r="HJT109" s="531"/>
      <c r="HJU109" s="530"/>
      <c r="HJV109" s="531"/>
      <c r="HJW109" s="530"/>
      <c r="HJX109" s="531"/>
      <c r="HJY109" s="530"/>
      <c r="HJZ109" s="531"/>
      <c r="HKA109" s="530"/>
      <c r="HKB109" s="531"/>
      <c r="HKC109" s="530"/>
      <c r="HKD109" s="531"/>
      <c r="HKE109" s="530"/>
      <c r="HKF109" s="531"/>
      <c r="HKG109" s="530"/>
      <c r="HKH109" s="531"/>
      <c r="HKI109" s="530"/>
      <c r="HKJ109" s="531"/>
      <c r="HKK109" s="530"/>
      <c r="HKL109" s="531"/>
      <c r="HKM109" s="530"/>
      <c r="HKN109" s="531"/>
      <c r="HKO109" s="530"/>
      <c r="HKP109" s="531"/>
      <c r="HKQ109" s="530"/>
      <c r="HKR109" s="531"/>
      <c r="HKS109" s="530"/>
      <c r="HKT109" s="531"/>
      <c r="HKU109" s="530"/>
      <c r="HKV109" s="531"/>
      <c r="HKW109" s="530"/>
      <c r="HKX109" s="531"/>
      <c r="HKY109" s="530"/>
      <c r="HKZ109" s="531"/>
      <c r="HLA109" s="530"/>
      <c r="HLB109" s="531"/>
      <c r="HLC109" s="530"/>
      <c r="HLD109" s="531"/>
      <c r="HLE109" s="530"/>
      <c r="HLF109" s="531"/>
      <c r="HLG109" s="530"/>
      <c r="HLH109" s="531"/>
      <c r="HLI109" s="530"/>
      <c r="HLJ109" s="531"/>
      <c r="HLK109" s="530"/>
      <c r="HLL109" s="531"/>
      <c r="HLM109" s="530"/>
      <c r="HLN109" s="531"/>
      <c r="HLO109" s="530"/>
      <c r="HLP109" s="531"/>
      <c r="HLQ109" s="530"/>
      <c r="HLR109" s="531"/>
      <c r="HLS109" s="530"/>
      <c r="HLT109" s="531"/>
      <c r="HLU109" s="530"/>
      <c r="HLV109" s="531"/>
      <c r="HLW109" s="530"/>
      <c r="HLX109" s="531"/>
      <c r="HLY109" s="530"/>
      <c r="HLZ109" s="531"/>
      <c r="HMA109" s="530"/>
      <c r="HMB109" s="531"/>
      <c r="HMC109" s="530"/>
      <c r="HMD109" s="531"/>
      <c r="HME109" s="530"/>
      <c r="HMF109" s="531"/>
      <c r="HMG109" s="530"/>
      <c r="HMH109" s="531"/>
      <c r="HMI109" s="530"/>
      <c r="HMJ109" s="531"/>
      <c r="HMK109" s="530"/>
      <c r="HML109" s="531"/>
      <c r="HMM109" s="530"/>
      <c r="HMN109" s="531"/>
      <c r="HMO109" s="530"/>
      <c r="HMP109" s="531"/>
      <c r="HMQ109" s="530"/>
      <c r="HMR109" s="531"/>
      <c r="HMS109" s="530"/>
      <c r="HMT109" s="531"/>
      <c r="HMU109" s="530"/>
      <c r="HMV109" s="531"/>
      <c r="HMW109" s="530"/>
      <c r="HMX109" s="531"/>
      <c r="HMY109" s="530"/>
      <c r="HMZ109" s="531"/>
      <c r="HNA109" s="530"/>
      <c r="HNB109" s="531"/>
      <c r="HNC109" s="530"/>
      <c r="HND109" s="531"/>
      <c r="HNE109" s="530"/>
      <c r="HNF109" s="531"/>
      <c r="HNG109" s="530"/>
      <c r="HNH109" s="531"/>
      <c r="HNI109" s="530"/>
      <c r="HNJ109" s="531"/>
      <c r="HNK109" s="530"/>
      <c r="HNL109" s="531"/>
      <c r="HNM109" s="530"/>
      <c r="HNN109" s="531"/>
      <c r="HNO109" s="530"/>
      <c r="HNP109" s="531"/>
      <c r="HNQ109" s="530"/>
      <c r="HNR109" s="531"/>
      <c r="HNS109" s="530"/>
      <c r="HNT109" s="531"/>
      <c r="HNU109" s="530"/>
      <c r="HNV109" s="531"/>
      <c r="HNW109" s="530"/>
      <c r="HNX109" s="531"/>
      <c r="HNY109" s="530"/>
      <c r="HNZ109" s="531"/>
      <c r="HOA109" s="530"/>
      <c r="HOB109" s="531"/>
      <c r="HOC109" s="530"/>
      <c r="HOD109" s="531"/>
      <c r="HOE109" s="530"/>
      <c r="HOF109" s="531"/>
      <c r="HOG109" s="530"/>
      <c r="HOH109" s="531"/>
      <c r="HOI109" s="530"/>
      <c r="HOJ109" s="531"/>
      <c r="HOK109" s="530"/>
      <c r="HOL109" s="531"/>
      <c r="HOM109" s="530"/>
      <c r="HON109" s="531"/>
      <c r="HOO109" s="530"/>
      <c r="HOP109" s="531"/>
      <c r="HOQ109" s="530"/>
      <c r="HOR109" s="531"/>
      <c r="HOS109" s="530"/>
      <c r="HOT109" s="531"/>
      <c r="HOU109" s="530"/>
      <c r="HOV109" s="531"/>
      <c r="HOW109" s="530"/>
      <c r="HOX109" s="531"/>
      <c r="HOY109" s="530"/>
      <c r="HOZ109" s="531"/>
      <c r="HPA109" s="530"/>
      <c r="HPB109" s="531"/>
      <c r="HPC109" s="530"/>
      <c r="HPD109" s="531"/>
      <c r="HPE109" s="530"/>
      <c r="HPF109" s="531"/>
      <c r="HPG109" s="530"/>
      <c r="HPH109" s="531"/>
      <c r="HPI109" s="530"/>
      <c r="HPJ109" s="531"/>
      <c r="HPK109" s="530"/>
      <c r="HPL109" s="531"/>
      <c r="HPM109" s="530"/>
      <c r="HPN109" s="531"/>
      <c r="HPO109" s="530"/>
      <c r="HPP109" s="531"/>
      <c r="HPQ109" s="530"/>
      <c r="HPR109" s="531"/>
      <c r="HPS109" s="530"/>
      <c r="HPT109" s="531"/>
      <c r="HPU109" s="530"/>
      <c r="HPV109" s="531"/>
      <c r="HPW109" s="530"/>
      <c r="HPX109" s="531"/>
      <c r="HPY109" s="530"/>
      <c r="HPZ109" s="531"/>
      <c r="HQA109" s="530"/>
      <c r="HQB109" s="531"/>
      <c r="HQC109" s="530"/>
      <c r="HQD109" s="531"/>
      <c r="HQE109" s="530"/>
      <c r="HQF109" s="531"/>
      <c r="HQG109" s="530"/>
      <c r="HQH109" s="531"/>
      <c r="HQI109" s="530"/>
      <c r="HQJ109" s="531"/>
      <c r="HQK109" s="530"/>
      <c r="HQL109" s="531"/>
      <c r="HQM109" s="530"/>
      <c r="HQN109" s="531"/>
      <c r="HQO109" s="530"/>
      <c r="HQP109" s="531"/>
      <c r="HQQ109" s="530"/>
      <c r="HQR109" s="531"/>
      <c r="HQS109" s="530"/>
      <c r="HQT109" s="531"/>
      <c r="HQU109" s="530"/>
      <c r="HQV109" s="531"/>
      <c r="HQW109" s="530"/>
      <c r="HQX109" s="531"/>
      <c r="HQY109" s="530"/>
      <c r="HQZ109" s="531"/>
      <c r="HRA109" s="530"/>
      <c r="HRB109" s="531"/>
      <c r="HRC109" s="530"/>
      <c r="HRD109" s="531"/>
      <c r="HRE109" s="530"/>
      <c r="HRF109" s="531"/>
      <c r="HRG109" s="530"/>
      <c r="HRH109" s="531"/>
      <c r="HRI109" s="530"/>
      <c r="HRJ109" s="531"/>
      <c r="HRK109" s="530"/>
      <c r="HRL109" s="531"/>
      <c r="HRM109" s="530"/>
      <c r="HRN109" s="531"/>
      <c r="HRO109" s="530"/>
      <c r="HRP109" s="531"/>
      <c r="HRQ109" s="530"/>
      <c r="HRR109" s="531"/>
      <c r="HRS109" s="530"/>
      <c r="HRT109" s="531"/>
      <c r="HRU109" s="530"/>
      <c r="HRV109" s="531"/>
      <c r="HRW109" s="530"/>
      <c r="HRX109" s="531"/>
      <c r="HRY109" s="530"/>
      <c r="HRZ109" s="531"/>
      <c r="HSA109" s="530"/>
      <c r="HSB109" s="531"/>
      <c r="HSC109" s="530"/>
      <c r="HSD109" s="531"/>
      <c r="HSE109" s="530"/>
      <c r="HSF109" s="531"/>
      <c r="HSG109" s="530"/>
      <c r="HSH109" s="531"/>
      <c r="HSI109" s="530"/>
      <c r="HSJ109" s="531"/>
      <c r="HSK109" s="530"/>
      <c r="HSL109" s="531"/>
      <c r="HSM109" s="530"/>
      <c r="HSN109" s="531"/>
      <c r="HSO109" s="530"/>
      <c r="HSP109" s="531"/>
      <c r="HSQ109" s="530"/>
      <c r="HSR109" s="531"/>
      <c r="HSS109" s="530"/>
      <c r="HST109" s="531"/>
      <c r="HSU109" s="530"/>
      <c r="HSV109" s="531"/>
      <c r="HSW109" s="530"/>
      <c r="HSX109" s="531"/>
      <c r="HSY109" s="530"/>
      <c r="HSZ109" s="531"/>
      <c r="HTA109" s="530"/>
      <c r="HTB109" s="531"/>
      <c r="HTC109" s="530"/>
      <c r="HTD109" s="531"/>
      <c r="HTE109" s="530"/>
      <c r="HTF109" s="531"/>
      <c r="HTG109" s="530"/>
      <c r="HTH109" s="531"/>
      <c r="HTI109" s="530"/>
      <c r="HTJ109" s="531"/>
      <c r="HTK109" s="530"/>
      <c r="HTL109" s="531"/>
      <c r="HTM109" s="530"/>
      <c r="HTN109" s="531"/>
      <c r="HTO109" s="530"/>
      <c r="HTP109" s="531"/>
      <c r="HTQ109" s="530"/>
      <c r="HTR109" s="531"/>
      <c r="HTS109" s="530"/>
      <c r="HTT109" s="531"/>
      <c r="HTU109" s="530"/>
      <c r="HTV109" s="531"/>
      <c r="HTW109" s="530"/>
      <c r="HTX109" s="531"/>
      <c r="HTY109" s="530"/>
      <c r="HTZ109" s="531"/>
      <c r="HUA109" s="530"/>
      <c r="HUB109" s="531"/>
      <c r="HUC109" s="530"/>
      <c r="HUD109" s="531"/>
      <c r="HUE109" s="530"/>
      <c r="HUF109" s="531"/>
      <c r="HUG109" s="530"/>
      <c r="HUH109" s="531"/>
      <c r="HUI109" s="530"/>
      <c r="HUJ109" s="531"/>
      <c r="HUK109" s="530"/>
      <c r="HUL109" s="531"/>
      <c r="HUM109" s="530"/>
      <c r="HUN109" s="531"/>
      <c r="HUO109" s="530"/>
      <c r="HUP109" s="531"/>
      <c r="HUQ109" s="530"/>
      <c r="HUR109" s="531"/>
      <c r="HUS109" s="530"/>
      <c r="HUT109" s="531"/>
      <c r="HUU109" s="530"/>
      <c r="HUV109" s="531"/>
      <c r="HUW109" s="530"/>
      <c r="HUX109" s="531"/>
      <c r="HUY109" s="530"/>
      <c r="HUZ109" s="531"/>
      <c r="HVA109" s="530"/>
      <c r="HVB109" s="531"/>
      <c r="HVC109" s="530"/>
      <c r="HVD109" s="531"/>
      <c r="HVE109" s="530"/>
      <c r="HVF109" s="531"/>
      <c r="HVG109" s="530"/>
      <c r="HVH109" s="531"/>
      <c r="HVI109" s="530"/>
      <c r="HVJ109" s="531"/>
      <c r="HVK109" s="530"/>
      <c r="HVL109" s="531"/>
      <c r="HVM109" s="530"/>
      <c r="HVN109" s="531"/>
      <c r="HVO109" s="530"/>
      <c r="HVP109" s="531"/>
      <c r="HVQ109" s="530"/>
      <c r="HVR109" s="531"/>
      <c r="HVS109" s="530"/>
      <c r="HVT109" s="531"/>
      <c r="HVU109" s="530"/>
      <c r="HVV109" s="531"/>
      <c r="HVW109" s="530"/>
      <c r="HVX109" s="531"/>
      <c r="HVY109" s="530"/>
      <c r="HVZ109" s="531"/>
      <c r="HWA109" s="530"/>
      <c r="HWB109" s="531"/>
      <c r="HWC109" s="530"/>
      <c r="HWD109" s="531"/>
      <c r="HWE109" s="530"/>
      <c r="HWF109" s="531"/>
      <c r="HWG109" s="530"/>
      <c r="HWH109" s="531"/>
      <c r="HWI109" s="530"/>
      <c r="HWJ109" s="531"/>
      <c r="HWK109" s="530"/>
      <c r="HWL109" s="531"/>
      <c r="HWM109" s="530"/>
      <c r="HWN109" s="531"/>
      <c r="HWO109" s="530"/>
      <c r="HWP109" s="531"/>
      <c r="HWQ109" s="530"/>
      <c r="HWR109" s="531"/>
      <c r="HWS109" s="530"/>
      <c r="HWT109" s="531"/>
      <c r="HWU109" s="530"/>
      <c r="HWV109" s="531"/>
      <c r="HWW109" s="530"/>
      <c r="HWX109" s="531"/>
      <c r="HWY109" s="530"/>
      <c r="HWZ109" s="531"/>
      <c r="HXA109" s="530"/>
      <c r="HXB109" s="531"/>
      <c r="HXC109" s="530"/>
      <c r="HXD109" s="531"/>
      <c r="HXE109" s="530"/>
      <c r="HXF109" s="531"/>
      <c r="HXG109" s="530"/>
      <c r="HXH109" s="531"/>
      <c r="HXI109" s="530"/>
      <c r="HXJ109" s="531"/>
      <c r="HXK109" s="530"/>
      <c r="HXL109" s="531"/>
      <c r="HXM109" s="530"/>
      <c r="HXN109" s="531"/>
      <c r="HXO109" s="530"/>
      <c r="HXP109" s="531"/>
      <c r="HXQ109" s="530"/>
      <c r="HXR109" s="531"/>
      <c r="HXS109" s="530"/>
      <c r="HXT109" s="531"/>
      <c r="HXU109" s="530"/>
      <c r="HXV109" s="531"/>
      <c r="HXW109" s="530"/>
      <c r="HXX109" s="531"/>
      <c r="HXY109" s="530"/>
      <c r="HXZ109" s="531"/>
      <c r="HYA109" s="530"/>
      <c r="HYB109" s="531"/>
      <c r="HYC109" s="530"/>
      <c r="HYD109" s="531"/>
      <c r="HYE109" s="530"/>
      <c r="HYF109" s="531"/>
      <c r="HYG109" s="530"/>
      <c r="HYH109" s="531"/>
      <c r="HYI109" s="530"/>
      <c r="HYJ109" s="531"/>
      <c r="HYK109" s="530"/>
      <c r="HYL109" s="531"/>
      <c r="HYM109" s="530"/>
      <c r="HYN109" s="531"/>
      <c r="HYO109" s="530"/>
      <c r="HYP109" s="531"/>
      <c r="HYQ109" s="530"/>
      <c r="HYR109" s="531"/>
      <c r="HYS109" s="530"/>
      <c r="HYT109" s="531"/>
      <c r="HYU109" s="530"/>
      <c r="HYV109" s="531"/>
      <c r="HYW109" s="530"/>
      <c r="HYX109" s="531"/>
      <c r="HYY109" s="530"/>
      <c r="HYZ109" s="531"/>
      <c r="HZA109" s="530"/>
      <c r="HZB109" s="531"/>
      <c r="HZC109" s="530"/>
      <c r="HZD109" s="531"/>
      <c r="HZE109" s="530"/>
      <c r="HZF109" s="531"/>
      <c r="HZG109" s="530"/>
      <c r="HZH109" s="531"/>
      <c r="HZI109" s="530"/>
      <c r="HZJ109" s="531"/>
      <c r="HZK109" s="530"/>
      <c r="HZL109" s="531"/>
      <c r="HZM109" s="530"/>
      <c r="HZN109" s="531"/>
      <c r="HZO109" s="530"/>
      <c r="HZP109" s="531"/>
      <c r="HZQ109" s="530"/>
      <c r="HZR109" s="531"/>
      <c r="HZS109" s="530"/>
      <c r="HZT109" s="531"/>
      <c r="HZU109" s="530"/>
      <c r="HZV109" s="531"/>
      <c r="HZW109" s="530"/>
      <c r="HZX109" s="531"/>
      <c r="HZY109" s="530"/>
      <c r="HZZ109" s="531"/>
      <c r="IAA109" s="530"/>
      <c r="IAB109" s="531"/>
      <c r="IAC109" s="530"/>
      <c r="IAD109" s="531"/>
      <c r="IAE109" s="530"/>
      <c r="IAF109" s="531"/>
      <c r="IAG109" s="530"/>
      <c r="IAH109" s="531"/>
      <c r="IAI109" s="530"/>
      <c r="IAJ109" s="531"/>
      <c r="IAK109" s="530"/>
      <c r="IAL109" s="531"/>
      <c r="IAM109" s="530"/>
      <c r="IAN109" s="531"/>
      <c r="IAO109" s="530"/>
      <c r="IAP109" s="531"/>
      <c r="IAQ109" s="530"/>
      <c r="IAR109" s="531"/>
      <c r="IAS109" s="530"/>
      <c r="IAT109" s="531"/>
      <c r="IAU109" s="530"/>
      <c r="IAV109" s="531"/>
      <c r="IAW109" s="530"/>
      <c r="IAX109" s="531"/>
      <c r="IAY109" s="530"/>
      <c r="IAZ109" s="531"/>
      <c r="IBA109" s="530"/>
      <c r="IBB109" s="531"/>
      <c r="IBC109" s="530"/>
      <c r="IBD109" s="531"/>
      <c r="IBE109" s="530"/>
      <c r="IBF109" s="531"/>
      <c r="IBG109" s="530"/>
      <c r="IBH109" s="531"/>
      <c r="IBI109" s="530"/>
      <c r="IBJ109" s="531"/>
      <c r="IBK109" s="530"/>
      <c r="IBL109" s="531"/>
      <c r="IBM109" s="530"/>
      <c r="IBN109" s="531"/>
      <c r="IBO109" s="530"/>
      <c r="IBP109" s="531"/>
      <c r="IBQ109" s="530"/>
      <c r="IBR109" s="531"/>
      <c r="IBS109" s="530"/>
      <c r="IBT109" s="531"/>
      <c r="IBU109" s="530"/>
      <c r="IBV109" s="531"/>
      <c r="IBW109" s="530"/>
      <c r="IBX109" s="531"/>
      <c r="IBY109" s="530"/>
      <c r="IBZ109" s="531"/>
      <c r="ICA109" s="530"/>
      <c r="ICB109" s="531"/>
      <c r="ICC109" s="530"/>
      <c r="ICD109" s="531"/>
      <c r="ICE109" s="530"/>
      <c r="ICF109" s="531"/>
      <c r="ICG109" s="530"/>
      <c r="ICH109" s="531"/>
      <c r="ICI109" s="530"/>
      <c r="ICJ109" s="531"/>
      <c r="ICK109" s="530"/>
      <c r="ICL109" s="531"/>
      <c r="ICM109" s="530"/>
      <c r="ICN109" s="531"/>
      <c r="ICO109" s="530"/>
      <c r="ICP109" s="531"/>
      <c r="ICQ109" s="530"/>
      <c r="ICR109" s="531"/>
      <c r="ICS109" s="530"/>
      <c r="ICT109" s="531"/>
      <c r="ICU109" s="530"/>
      <c r="ICV109" s="531"/>
      <c r="ICW109" s="530"/>
      <c r="ICX109" s="531"/>
      <c r="ICY109" s="530"/>
      <c r="ICZ109" s="531"/>
      <c r="IDA109" s="530"/>
      <c r="IDB109" s="531"/>
      <c r="IDC109" s="530"/>
      <c r="IDD109" s="531"/>
      <c r="IDE109" s="530"/>
      <c r="IDF109" s="531"/>
      <c r="IDG109" s="530"/>
      <c r="IDH109" s="531"/>
      <c r="IDI109" s="530"/>
      <c r="IDJ109" s="531"/>
      <c r="IDK109" s="530"/>
      <c r="IDL109" s="531"/>
      <c r="IDM109" s="530"/>
      <c r="IDN109" s="531"/>
      <c r="IDO109" s="530"/>
      <c r="IDP109" s="531"/>
      <c r="IDQ109" s="530"/>
      <c r="IDR109" s="531"/>
      <c r="IDS109" s="530"/>
      <c r="IDT109" s="531"/>
      <c r="IDU109" s="530"/>
      <c r="IDV109" s="531"/>
      <c r="IDW109" s="530"/>
      <c r="IDX109" s="531"/>
      <c r="IDY109" s="530"/>
      <c r="IDZ109" s="531"/>
      <c r="IEA109" s="530"/>
      <c r="IEB109" s="531"/>
      <c r="IEC109" s="530"/>
      <c r="IED109" s="531"/>
      <c r="IEE109" s="530"/>
      <c r="IEF109" s="531"/>
      <c r="IEG109" s="530"/>
      <c r="IEH109" s="531"/>
      <c r="IEI109" s="530"/>
      <c r="IEJ109" s="531"/>
      <c r="IEK109" s="530"/>
      <c r="IEL109" s="531"/>
      <c r="IEM109" s="530"/>
      <c r="IEN109" s="531"/>
      <c r="IEO109" s="530"/>
      <c r="IEP109" s="531"/>
      <c r="IEQ109" s="530"/>
      <c r="IER109" s="531"/>
      <c r="IES109" s="530"/>
      <c r="IET109" s="531"/>
      <c r="IEU109" s="530"/>
      <c r="IEV109" s="531"/>
      <c r="IEW109" s="530"/>
      <c r="IEX109" s="531"/>
      <c r="IEY109" s="530"/>
      <c r="IEZ109" s="531"/>
      <c r="IFA109" s="530"/>
      <c r="IFB109" s="531"/>
      <c r="IFC109" s="530"/>
      <c r="IFD109" s="531"/>
      <c r="IFE109" s="530"/>
      <c r="IFF109" s="531"/>
      <c r="IFG109" s="530"/>
      <c r="IFH109" s="531"/>
      <c r="IFI109" s="530"/>
      <c r="IFJ109" s="531"/>
      <c r="IFK109" s="530"/>
      <c r="IFL109" s="531"/>
      <c r="IFM109" s="530"/>
      <c r="IFN109" s="531"/>
      <c r="IFO109" s="530"/>
      <c r="IFP109" s="531"/>
      <c r="IFQ109" s="530"/>
      <c r="IFR109" s="531"/>
      <c r="IFS109" s="530"/>
      <c r="IFT109" s="531"/>
      <c r="IFU109" s="530"/>
      <c r="IFV109" s="531"/>
      <c r="IFW109" s="530"/>
      <c r="IFX109" s="531"/>
      <c r="IFY109" s="530"/>
      <c r="IFZ109" s="531"/>
      <c r="IGA109" s="530"/>
      <c r="IGB109" s="531"/>
      <c r="IGC109" s="530"/>
      <c r="IGD109" s="531"/>
      <c r="IGE109" s="530"/>
      <c r="IGF109" s="531"/>
      <c r="IGG109" s="530"/>
      <c r="IGH109" s="531"/>
      <c r="IGI109" s="530"/>
      <c r="IGJ109" s="531"/>
      <c r="IGK109" s="530"/>
      <c r="IGL109" s="531"/>
      <c r="IGM109" s="530"/>
      <c r="IGN109" s="531"/>
      <c r="IGO109" s="530"/>
      <c r="IGP109" s="531"/>
      <c r="IGQ109" s="530"/>
      <c r="IGR109" s="531"/>
      <c r="IGS109" s="530"/>
      <c r="IGT109" s="531"/>
      <c r="IGU109" s="530"/>
      <c r="IGV109" s="531"/>
      <c r="IGW109" s="530"/>
      <c r="IGX109" s="531"/>
      <c r="IGY109" s="530"/>
      <c r="IGZ109" s="531"/>
      <c r="IHA109" s="530"/>
      <c r="IHB109" s="531"/>
      <c r="IHC109" s="530"/>
      <c r="IHD109" s="531"/>
      <c r="IHE109" s="530"/>
      <c r="IHF109" s="531"/>
      <c r="IHG109" s="530"/>
      <c r="IHH109" s="531"/>
      <c r="IHI109" s="530"/>
      <c r="IHJ109" s="531"/>
      <c r="IHK109" s="530"/>
      <c r="IHL109" s="531"/>
      <c r="IHM109" s="530"/>
      <c r="IHN109" s="531"/>
      <c r="IHO109" s="530"/>
      <c r="IHP109" s="531"/>
      <c r="IHQ109" s="530"/>
      <c r="IHR109" s="531"/>
      <c r="IHS109" s="530"/>
      <c r="IHT109" s="531"/>
      <c r="IHU109" s="530"/>
      <c r="IHV109" s="531"/>
      <c r="IHW109" s="530"/>
      <c r="IHX109" s="531"/>
      <c r="IHY109" s="530"/>
      <c r="IHZ109" s="531"/>
      <c r="IIA109" s="530"/>
      <c r="IIB109" s="531"/>
      <c r="IIC109" s="530"/>
      <c r="IID109" s="531"/>
      <c r="IIE109" s="530"/>
      <c r="IIF109" s="531"/>
      <c r="IIG109" s="530"/>
      <c r="IIH109" s="531"/>
      <c r="III109" s="530"/>
      <c r="IIJ109" s="531"/>
      <c r="IIK109" s="530"/>
      <c r="IIL109" s="531"/>
      <c r="IIM109" s="530"/>
      <c r="IIN109" s="531"/>
      <c r="IIO109" s="530"/>
      <c r="IIP109" s="531"/>
      <c r="IIQ109" s="530"/>
      <c r="IIR109" s="531"/>
      <c r="IIS109" s="530"/>
      <c r="IIT109" s="531"/>
      <c r="IIU109" s="530"/>
      <c r="IIV109" s="531"/>
      <c r="IIW109" s="530"/>
      <c r="IIX109" s="531"/>
      <c r="IIY109" s="530"/>
      <c r="IIZ109" s="531"/>
      <c r="IJA109" s="530"/>
      <c r="IJB109" s="531"/>
      <c r="IJC109" s="530"/>
      <c r="IJD109" s="531"/>
      <c r="IJE109" s="530"/>
      <c r="IJF109" s="531"/>
      <c r="IJG109" s="530"/>
      <c r="IJH109" s="531"/>
      <c r="IJI109" s="530"/>
      <c r="IJJ109" s="531"/>
      <c r="IJK109" s="530"/>
      <c r="IJL109" s="531"/>
      <c r="IJM109" s="530"/>
      <c r="IJN109" s="531"/>
      <c r="IJO109" s="530"/>
      <c r="IJP109" s="531"/>
      <c r="IJQ109" s="530"/>
      <c r="IJR109" s="531"/>
      <c r="IJS109" s="530"/>
      <c r="IJT109" s="531"/>
      <c r="IJU109" s="530"/>
      <c r="IJV109" s="531"/>
      <c r="IJW109" s="530"/>
      <c r="IJX109" s="531"/>
      <c r="IJY109" s="530"/>
      <c r="IJZ109" s="531"/>
      <c r="IKA109" s="530"/>
      <c r="IKB109" s="531"/>
      <c r="IKC109" s="530"/>
      <c r="IKD109" s="531"/>
      <c r="IKE109" s="530"/>
      <c r="IKF109" s="531"/>
      <c r="IKG109" s="530"/>
      <c r="IKH109" s="531"/>
      <c r="IKI109" s="530"/>
      <c r="IKJ109" s="531"/>
      <c r="IKK109" s="530"/>
      <c r="IKL109" s="531"/>
      <c r="IKM109" s="530"/>
      <c r="IKN109" s="531"/>
      <c r="IKO109" s="530"/>
      <c r="IKP109" s="531"/>
      <c r="IKQ109" s="530"/>
      <c r="IKR109" s="531"/>
      <c r="IKS109" s="530"/>
      <c r="IKT109" s="531"/>
      <c r="IKU109" s="530"/>
      <c r="IKV109" s="531"/>
      <c r="IKW109" s="530"/>
      <c r="IKX109" s="531"/>
      <c r="IKY109" s="530"/>
      <c r="IKZ109" s="531"/>
      <c r="ILA109" s="530"/>
      <c r="ILB109" s="531"/>
      <c r="ILC109" s="530"/>
      <c r="ILD109" s="531"/>
      <c r="ILE109" s="530"/>
      <c r="ILF109" s="531"/>
      <c r="ILG109" s="530"/>
      <c r="ILH109" s="531"/>
      <c r="ILI109" s="530"/>
      <c r="ILJ109" s="531"/>
      <c r="ILK109" s="530"/>
      <c r="ILL109" s="531"/>
      <c r="ILM109" s="530"/>
      <c r="ILN109" s="531"/>
      <c r="ILO109" s="530"/>
      <c r="ILP109" s="531"/>
      <c r="ILQ109" s="530"/>
      <c r="ILR109" s="531"/>
      <c r="ILS109" s="530"/>
      <c r="ILT109" s="531"/>
      <c r="ILU109" s="530"/>
      <c r="ILV109" s="531"/>
      <c r="ILW109" s="530"/>
      <c r="ILX109" s="531"/>
      <c r="ILY109" s="530"/>
      <c r="ILZ109" s="531"/>
      <c r="IMA109" s="530"/>
      <c r="IMB109" s="531"/>
      <c r="IMC109" s="530"/>
      <c r="IMD109" s="531"/>
      <c r="IME109" s="530"/>
      <c r="IMF109" s="531"/>
      <c r="IMG109" s="530"/>
      <c r="IMH109" s="531"/>
      <c r="IMI109" s="530"/>
      <c r="IMJ109" s="531"/>
      <c r="IMK109" s="530"/>
      <c r="IML109" s="531"/>
      <c r="IMM109" s="530"/>
      <c r="IMN109" s="531"/>
      <c r="IMO109" s="530"/>
      <c r="IMP109" s="531"/>
      <c r="IMQ109" s="530"/>
      <c r="IMR109" s="531"/>
      <c r="IMS109" s="530"/>
      <c r="IMT109" s="531"/>
      <c r="IMU109" s="530"/>
      <c r="IMV109" s="531"/>
      <c r="IMW109" s="530"/>
      <c r="IMX109" s="531"/>
      <c r="IMY109" s="530"/>
      <c r="IMZ109" s="531"/>
      <c r="INA109" s="530"/>
      <c r="INB109" s="531"/>
      <c r="INC109" s="530"/>
      <c r="IND109" s="531"/>
      <c r="INE109" s="530"/>
      <c r="INF109" s="531"/>
      <c r="ING109" s="530"/>
      <c r="INH109" s="531"/>
      <c r="INI109" s="530"/>
      <c r="INJ109" s="531"/>
      <c r="INK109" s="530"/>
      <c r="INL109" s="531"/>
      <c r="INM109" s="530"/>
      <c r="INN109" s="531"/>
      <c r="INO109" s="530"/>
      <c r="INP109" s="531"/>
      <c r="INQ109" s="530"/>
      <c r="INR109" s="531"/>
      <c r="INS109" s="530"/>
      <c r="INT109" s="531"/>
      <c r="INU109" s="530"/>
      <c r="INV109" s="531"/>
      <c r="INW109" s="530"/>
      <c r="INX109" s="531"/>
      <c r="INY109" s="530"/>
      <c r="INZ109" s="531"/>
      <c r="IOA109" s="530"/>
      <c r="IOB109" s="531"/>
      <c r="IOC109" s="530"/>
      <c r="IOD109" s="531"/>
      <c r="IOE109" s="530"/>
      <c r="IOF109" s="531"/>
      <c r="IOG109" s="530"/>
      <c r="IOH109" s="531"/>
      <c r="IOI109" s="530"/>
      <c r="IOJ109" s="531"/>
      <c r="IOK109" s="530"/>
      <c r="IOL109" s="531"/>
      <c r="IOM109" s="530"/>
      <c r="ION109" s="531"/>
      <c r="IOO109" s="530"/>
      <c r="IOP109" s="531"/>
      <c r="IOQ109" s="530"/>
      <c r="IOR109" s="531"/>
      <c r="IOS109" s="530"/>
      <c r="IOT109" s="531"/>
      <c r="IOU109" s="530"/>
      <c r="IOV109" s="531"/>
      <c r="IOW109" s="530"/>
      <c r="IOX109" s="531"/>
      <c r="IOY109" s="530"/>
      <c r="IOZ109" s="531"/>
      <c r="IPA109" s="530"/>
      <c r="IPB109" s="531"/>
      <c r="IPC109" s="530"/>
      <c r="IPD109" s="531"/>
      <c r="IPE109" s="530"/>
      <c r="IPF109" s="531"/>
      <c r="IPG109" s="530"/>
      <c r="IPH109" s="531"/>
      <c r="IPI109" s="530"/>
      <c r="IPJ109" s="531"/>
      <c r="IPK109" s="530"/>
      <c r="IPL109" s="531"/>
      <c r="IPM109" s="530"/>
      <c r="IPN109" s="531"/>
      <c r="IPO109" s="530"/>
      <c r="IPP109" s="531"/>
      <c r="IPQ109" s="530"/>
      <c r="IPR109" s="531"/>
      <c r="IPS109" s="530"/>
      <c r="IPT109" s="531"/>
      <c r="IPU109" s="530"/>
      <c r="IPV109" s="531"/>
      <c r="IPW109" s="530"/>
      <c r="IPX109" s="531"/>
      <c r="IPY109" s="530"/>
      <c r="IPZ109" s="531"/>
      <c r="IQA109" s="530"/>
      <c r="IQB109" s="531"/>
      <c r="IQC109" s="530"/>
      <c r="IQD109" s="531"/>
      <c r="IQE109" s="530"/>
      <c r="IQF109" s="531"/>
      <c r="IQG109" s="530"/>
      <c r="IQH109" s="531"/>
      <c r="IQI109" s="530"/>
      <c r="IQJ109" s="531"/>
      <c r="IQK109" s="530"/>
      <c r="IQL109" s="531"/>
      <c r="IQM109" s="530"/>
      <c r="IQN109" s="531"/>
      <c r="IQO109" s="530"/>
      <c r="IQP109" s="531"/>
      <c r="IQQ109" s="530"/>
      <c r="IQR109" s="531"/>
      <c r="IQS109" s="530"/>
      <c r="IQT109" s="531"/>
      <c r="IQU109" s="530"/>
      <c r="IQV109" s="531"/>
      <c r="IQW109" s="530"/>
      <c r="IQX109" s="531"/>
      <c r="IQY109" s="530"/>
      <c r="IQZ109" s="531"/>
      <c r="IRA109" s="530"/>
      <c r="IRB109" s="531"/>
      <c r="IRC109" s="530"/>
      <c r="IRD109" s="531"/>
      <c r="IRE109" s="530"/>
      <c r="IRF109" s="531"/>
      <c r="IRG109" s="530"/>
      <c r="IRH109" s="531"/>
      <c r="IRI109" s="530"/>
      <c r="IRJ109" s="531"/>
      <c r="IRK109" s="530"/>
      <c r="IRL109" s="531"/>
      <c r="IRM109" s="530"/>
      <c r="IRN109" s="531"/>
      <c r="IRO109" s="530"/>
      <c r="IRP109" s="531"/>
      <c r="IRQ109" s="530"/>
      <c r="IRR109" s="531"/>
      <c r="IRS109" s="530"/>
      <c r="IRT109" s="531"/>
      <c r="IRU109" s="530"/>
      <c r="IRV109" s="531"/>
      <c r="IRW109" s="530"/>
      <c r="IRX109" s="531"/>
      <c r="IRY109" s="530"/>
      <c r="IRZ109" s="531"/>
      <c r="ISA109" s="530"/>
      <c r="ISB109" s="531"/>
      <c r="ISC109" s="530"/>
      <c r="ISD109" s="531"/>
      <c r="ISE109" s="530"/>
      <c r="ISF109" s="531"/>
      <c r="ISG109" s="530"/>
      <c r="ISH109" s="531"/>
      <c r="ISI109" s="530"/>
      <c r="ISJ109" s="531"/>
      <c r="ISK109" s="530"/>
      <c r="ISL109" s="531"/>
      <c r="ISM109" s="530"/>
      <c r="ISN109" s="531"/>
      <c r="ISO109" s="530"/>
      <c r="ISP109" s="531"/>
      <c r="ISQ109" s="530"/>
      <c r="ISR109" s="531"/>
      <c r="ISS109" s="530"/>
      <c r="IST109" s="531"/>
      <c r="ISU109" s="530"/>
      <c r="ISV109" s="531"/>
      <c r="ISW109" s="530"/>
      <c r="ISX109" s="531"/>
      <c r="ISY109" s="530"/>
      <c r="ISZ109" s="531"/>
      <c r="ITA109" s="530"/>
      <c r="ITB109" s="531"/>
      <c r="ITC109" s="530"/>
      <c r="ITD109" s="531"/>
      <c r="ITE109" s="530"/>
      <c r="ITF109" s="531"/>
      <c r="ITG109" s="530"/>
      <c r="ITH109" s="531"/>
      <c r="ITI109" s="530"/>
      <c r="ITJ109" s="531"/>
      <c r="ITK109" s="530"/>
      <c r="ITL109" s="531"/>
      <c r="ITM109" s="530"/>
      <c r="ITN109" s="531"/>
      <c r="ITO109" s="530"/>
      <c r="ITP109" s="531"/>
      <c r="ITQ109" s="530"/>
      <c r="ITR109" s="531"/>
      <c r="ITS109" s="530"/>
      <c r="ITT109" s="531"/>
      <c r="ITU109" s="530"/>
      <c r="ITV109" s="531"/>
      <c r="ITW109" s="530"/>
      <c r="ITX109" s="531"/>
      <c r="ITY109" s="530"/>
      <c r="ITZ109" s="531"/>
      <c r="IUA109" s="530"/>
      <c r="IUB109" s="531"/>
      <c r="IUC109" s="530"/>
      <c r="IUD109" s="531"/>
      <c r="IUE109" s="530"/>
      <c r="IUF109" s="531"/>
      <c r="IUG109" s="530"/>
      <c r="IUH109" s="531"/>
      <c r="IUI109" s="530"/>
      <c r="IUJ109" s="531"/>
      <c r="IUK109" s="530"/>
      <c r="IUL109" s="531"/>
      <c r="IUM109" s="530"/>
      <c r="IUN109" s="531"/>
      <c r="IUO109" s="530"/>
      <c r="IUP109" s="531"/>
      <c r="IUQ109" s="530"/>
      <c r="IUR109" s="531"/>
      <c r="IUS109" s="530"/>
      <c r="IUT109" s="531"/>
      <c r="IUU109" s="530"/>
      <c r="IUV109" s="531"/>
      <c r="IUW109" s="530"/>
      <c r="IUX109" s="531"/>
      <c r="IUY109" s="530"/>
      <c r="IUZ109" s="531"/>
      <c r="IVA109" s="530"/>
      <c r="IVB109" s="531"/>
      <c r="IVC109" s="530"/>
      <c r="IVD109" s="531"/>
      <c r="IVE109" s="530"/>
      <c r="IVF109" s="531"/>
      <c r="IVG109" s="530"/>
      <c r="IVH109" s="531"/>
      <c r="IVI109" s="530"/>
      <c r="IVJ109" s="531"/>
      <c r="IVK109" s="530"/>
      <c r="IVL109" s="531"/>
      <c r="IVM109" s="530"/>
      <c r="IVN109" s="531"/>
      <c r="IVO109" s="530"/>
      <c r="IVP109" s="531"/>
      <c r="IVQ109" s="530"/>
      <c r="IVR109" s="531"/>
      <c r="IVS109" s="530"/>
      <c r="IVT109" s="531"/>
      <c r="IVU109" s="530"/>
      <c r="IVV109" s="531"/>
      <c r="IVW109" s="530"/>
      <c r="IVX109" s="531"/>
      <c r="IVY109" s="530"/>
      <c r="IVZ109" s="531"/>
      <c r="IWA109" s="530"/>
      <c r="IWB109" s="531"/>
      <c r="IWC109" s="530"/>
      <c r="IWD109" s="531"/>
      <c r="IWE109" s="530"/>
      <c r="IWF109" s="531"/>
      <c r="IWG109" s="530"/>
      <c r="IWH109" s="531"/>
      <c r="IWI109" s="530"/>
      <c r="IWJ109" s="531"/>
      <c r="IWK109" s="530"/>
      <c r="IWL109" s="531"/>
      <c r="IWM109" s="530"/>
      <c r="IWN109" s="531"/>
      <c r="IWO109" s="530"/>
      <c r="IWP109" s="531"/>
      <c r="IWQ109" s="530"/>
      <c r="IWR109" s="531"/>
      <c r="IWS109" s="530"/>
      <c r="IWT109" s="531"/>
      <c r="IWU109" s="530"/>
      <c r="IWV109" s="531"/>
      <c r="IWW109" s="530"/>
      <c r="IWX109" s="531"/>
      <c r="IWY109" s="530"/>
      <c r="IWZ109" s="531"/>
      <c r="IXA109" s="530"/>
      <c r="IXB109" s="531"/>
      <c r="IXC109" s="530"/>
      <c r="IXD109" s="531"/>
      <c r="IXE109" s="530"/>
      <c r="IXF109" s="531"/>
      <c r="IXG109" s="530"/>
      <c r="IXH109" s="531"/>
      <c r="IXI109" s="530"/>
      <c r="IXJ109" s="531"/>
      <c r="IXK109" s="530"/>
      <c r="IXL109" s="531"/>
      <c r="IXM109" s="530"/>
      <c r="IXN109" s="531"/>
      <c r="IXO109" s="530"/>
      <c r="IXP109" s="531"/>
      <c r="IXQ109" s="530"/>
      <c r="IXR109" s="531"/>
      <c r="IXS109" s="530"/>
      <c r="IXT109" s="531"/>
      <c r="IXU109" s="530"/>
      <c r="IXV109" s="531"/>
      <c r="IXW109" s="530"/>
      <c r="IXX109" s="531"/>
      <c r="IXY109" s="530"/>
      <c r="IXZ109" s="531"/>
      <c r="IYA109" s="530"/>
      <c r="IYB109" s="531"/>
      <c r="IYC109" s="530"/>
      <c r="IYD109" s="531"/>
      <c r="IYE109" s="530"/>
      <c r="IYF109" s="531"/>
      <c r="IYG109" s="530"/>
      <c r="IYH109" s="531"/>
      <c r="IYI109" s="530"/>
      <c r="IYJ109" s="531"/>
      <c r="IYK109" s="530"/>
      <c r="IYL109" s="531"/>
      <c r="IYM109" s="530"/>
      <c r="IYN109" s="531"/>
      <c r="IYO109" s="530"/>
      <c r="IYP109" s="531"/>
      <c r="IYQ109" s="530"/>
      <c r="IYR109" s="531"/>
      <c r="IYS109" s="530"/>
      <c r="IYT109" s="531"/>
      <c r="IYU109" s="530"/>
      <c r="IYV109" s="531"/>
      <c r="IYW109" s="530"/>
      <c r="IYX109" s="531"/>
      <c r="IYY109" s="530"/>
      <c r="IYZ109" s="531"/>
      <c r="IZA109" s="530"/>
      <c r="IZB109" s="531"/>
      <c r="IZC109" s="530"/>
      <c r="IZD109" s="531"/>
      <c r="IZE109" s="530"/>
      <c r="IZF109" s="531"/>
      <c r="IZG109" s="530"/>
      <c r="IZH109" s="531"/>
      <c r="IZI109" s="530"/>
      <c r="IZJ109" s="531"/>
      <c r="IZK109" s="530"/>
      <c r="IZL109" s="531"/>
      <c r="IZM109" s="530"/>
      <c r="IZN109" s="531"/>
      <c r="IZO109" s="530"/>
      <c r="IZP109" s="531"/>
      <c r="IZQ109" s="530"/>
      <c r="IZR109" s="531"/>
      <c r="IZS109" s="530"/>
      <c r="IZT109" s="531"/>
      <c r="IZU109" s="530"/>
      <c r="IZV109" s="531"/>
      <c r="IZW109" s="530"/>
      <c r="IZX109" s="531"/>
      <c r="IZY109" s="530"/>
      <c r="IZZ109" s="531"/>
      <c r="JAA109" s="530"/>
      <c r="JAB109" s="531"/>
      <c r="JAC109" s="530"/>
      <c r="JAD109" s="531"/>
      <c r="JAE109" s="530"/>
      <c r="JAF109" s="531"/>
      <c r="JAG109" s="530"/>
      <c r="JAH109" s="531"/>
      <c r="JAI109" s="530"/>
      <c r="JAJ109" s="531"/>
      <c r="JAK109" s="530"/>
      <c r="JAL109" s="531"/>
      <c r="JAM109" s="530"/>
      <c r="JAN109" s="531"/>
      <c r="JAO109" s="530"/>
      <c r="JAP109" s="531"/>
      <c r="JAQ109" s="530"/>
      <c r="JAR109" s="531"/>
      <c r="JAS109" s="530"/>
      <c r="JAT109" s="531"/>
      <c r="JAU109" s="530"/>
      <c r="JAV109" s="531"/>
      <c r="JAW109" s="530"/>
      <c r="JAX109" s="531"/>
      <c r="JAY109" s="530"/>
      <c r="JAZ109" s="531"/>
      <c r="JBA109" s="530"/>
      <c r="JBB109" s="531"/>
      <c r="JBC109" s="530"/>
      <c r="JBD109" s="531"/>
      <c r="JBE109" s="530"/>
      <c r="JBF109" s="531"/>
      <c r="JBG109" s="530"/>
      <c r="JBH109" s="531"/>
      <c r="JBI109" s="530"/>
      <c r="JBJ109" s="531"/>
      <c r="JBK109" s="530"/>
      <c r="JBL109" s="531"/>
      <c r="JBM109" s="530"/>
      <c r="JBN109" s="531"/>
      <c r="JBO109" s="530"/>
      <c r="JBP109" s="531"/>
      <c r="JBQ109" s="530"/>
      <c r="JBR109" s="531"/>
      <c r="JBS109" s="530"/>
      <c r="JBT109" s="531"/>
      <c r="JBU109" s="530"/>
      <c r="JBV109" s="531"/>
      <c r="JBW109" s="530"/>
      <c r="JBX109" s="531"/>
      <c r="JBY109" s="530"/>
      <c r="JBZ109" s="531"/>
      <c r="JCA109" s="530"/>
      <c r="JCB109" s="531"/>
      <c r="JCC109" s="530"/>
      <c r="JCD109" s="531"/>
      <c r="JCE109" s="530"/>
      <c r="JCF109" s="531"/>
      <c r="JCG109" s="530"/>
      <c r="JCH109" s="531"/>
      <c r="JCI109" s="530"/>
      <c r="JCJ109" s="531"/>
      <c r="JCK109" s="530"/>
      <c r="JCL109" s="531"/>
      <c r="JCM109" s="530"/>
      <c r="JCN109" s="531"/>
      <c r="JCO109" s="530"/>
      <c r="JCP109" s="531"/>
      <c r="JCQ109" s="530"/>
      <c r="JCR109" s="531"/>
      <c r="JCS109" s="530"/>
      <c r="JCT109" s="531"/>
      <c r="JCU109" s="530"/>
      <c r="JCV109" s="531"/>
      <c r="JCW109" s="530"/>
      <c r="JCX109" s="531"/>
      <c r="JCY109" s="530"/>
      <c r="JCZ109" s="531"/>
      <c r="JDA109" s="530"/>
      <c r="JDB109" s="531"/>
      <c r="JDC109" s="530"/>
      <c r="JDD109" s="531"/>
      <c r="JDE109" s="530"/>
      <c r="JDF109" s="531"/>
      <c r="JDG109" s="530"/>
      <c r="JDH109" s="531"/>
      <c r="JDI109" s="530"/>
      <c r="JDJ109" s="531"/>
      <c r="JDK109" s="530"/>
      <c r="JDL109" s="531"/>
      <c r="JDM109" s="530"/>
      <c r="JDN109" s="531"/>
      <c r="JDO109" s="530"/>
      <c r="JDP109" s="531"/>
      <c r="JDQ109" s="530"/>
      <c r="JDR109" s="531"/>
      <c r="JDS109" s="530"/>
      <c r="JDT109" s="531"/>
      <c r="JDU109" s="530"/>
      <c r="JDV109" s="531"/>
      <c r="JDW109" s="530"/>
      <c r="JDX109" s="531"/>
      <c r="JDY109" s="530"/>
      <c r="JDZ109" s="531"/>
      <c r="JEA109" s="530"/>
      <c r="JEB109" s="531"/>
      <c r="JEC109" s="530"/>
      <c r="JED109" s="531"/>
      <c r="JEE109" s="530"/>
      <c r="JEF109" s="531"/>
      <c r="JEG109" s="530"/>
      <c r="JEH109" s="531"/>
      <c r="JEI109" s="530"/>
      <c r="JEJ109" s="531"/>
      <c r="JEK109" s="530"/>
      <c r="JEL109" s="531"/>
      <c r="JEM109" s="530"/>
      <c r="JEN109" s="531"/>
      <c r="JEO109" s="530"/>
      <c r="JEP109" s="531"/>
      <c r="JEQ109" s="530"/>
      <c r="JER109" s="531"/>
      <c r="JES109" s="530"/>
      <c r="JET109" s="531"/>
      <c r="JEU109" s="530"/>
      <c r="JEV109" s="531"/>
      <c r="JEW109" s="530"/>
      <c r="JEX109" s="531"/>
      <c r="JEY109" s="530"/>
      <c r="JEZ109" s="531"/>
      <c r="JFA109" s="530"/>
      <c r="JFB109" s="531"/>
      <c r="JFC109" s="530"/>
      <c r="JFD109" s="531"/>
      <c r="JFE109" s="530"/>
      <c r="JFF109" s="531"/>
      <c r="JFG109" s="530"/>
      <c r="JFH109" s="531"/>
      <c r="JFI109" s="530"/>
      <c r="JFJ109" s="531"/>
      <c r="JFK109" s="530"/>
      <c r="JFL109" s="531"/>
      <c r="JFM109" s="530"/>
      <c r="JFN109" s="531"/>
      <c r="JFO109" s="530"/>
      <c r="JFP109" s="531"/>
      <c r="JFQ109" s="530"/>
      <c r="JFR109" s="531"/>
      <c r="JFS109" s="530"/>
      <c r="JFT109" s="531"/>
      <c r="JFU109" s="530"/>
      <c r="JFV109" s="531"/>
      <c r="JFW109" s="530"/>
      <c r="JFX109" s="531"/>
      <c r="JFY109" s="530"/>
      <c r="JFZ109" s="531"/>
      <c r="JGA109" s="530"/>
      <c r="JGB109" s="531"/>
      <c r="JGC109" s="530"/>
      <c r="JGD109" s="531"/>
      <c r="JGE109" s="530"/>
      <c r="JGF109" s="531"/>
      <c r="JGG109" s="530"/>
      <c r="JGH109" s="531"/>
      <c r="JGI109" s="530"/>
      <c r="JGJ109" s="531"/>
      <c r="JGK109" s="530"/>
      <c r="JGL109" s="531"/>
      <c r="JGM109" s="530"/>
      <c r="JGN109" s="531"/>
      <c r="JGO109" s="530"/>
      <c r="JGP109" s="531"/>
      <c r="JGQ109" s="530"/>
      <c r="JGR109" s="531"/>
      <c r="JGS109" s="530"/>
      <c r="JGT109" s="531"/>
      <c r="JGU109" s="530"/>
      <c r="JGV109" s="531"/>
      <c r="JGW109" s="530"/>
      <c r="JGX109" s="531"/>
      <c r="JGY109" s="530"/>
      <c r="JGZ109" s="531"/>
      <c r="JHA109" s="530"/>
      <c r="JHB109" s="531"/>
      <c r="JHC109" s="530"/>
      <c r="JHD109" s="531"/>
      <c r="JHE109" s="530"/>
      <c r="JHF109" s="531"/>
      <c r="JHG109" s="530"/>
      <c r="JHH109" s="531"/>
      <c r="JHI109" s="530"/>
      <c r="JHJ109" s="531"/>
      <c r="JHK109" s="530"/>
      <c r="JHL109" s="531"/>
      <c r="JHM109" s="530"/>
      <c r="JHN109" s="531"/>
      <c r="JHO109" s="530"/>
      <c r="JHP109" s="531"/>
      <c r="JHQ109" s="530"/>
      <c r="JHR109" s="531"/>
      <c r="JHS109" s="530"/>
      <c r="JHT109" s="531"/>
      <c r="JHU109" s="530"/>
      <c r="JHV109" s="531"/>
      <c r="JHW109" s="530"/>
      <c r="JHX109" s="531"/>
      <c r="JHY109" s="530"/>
      <c r="JHZ109" s="531"/>
      <c r="JIA109" s="530"/>
      <c r="JIB109" s="531"/>
      <c r="JIC109" s="530"/>
      <c r="JID109" s="531"/>
      <c r="JIE109" s="530"/>
      <c r="JIF109" s="531"/>
      <c r="JIG109" s="530"/>
      <c r="JIH109" s="531"/>
      <c r="JII109" s="530"/>
      <c r="JIJ109" s="531"/>
      <c r="JIK109" s="530"/>
      <c r="JIL109" s="531"/>
      <c r="JIM109" s="530"/>
      <c r="JIN109" s="531"/>
      <c r="JIO109" s="530"/>
      <c r="JIP109" s="531"/>
      <c r="JIQ109" s="530"/>
      <c r="JIR109" s="531"/>
      <c r="JIS109" s="530"/>
      <c r="JIT109" s="531"/>
      <c r="JIU109" s="530"/>
      <c r="JIV109" s="531"/>
      <c r="JIW109" s="530"/>
      <c r="JIX109" s="531"/>
      <c r="JIY109" s="530"/>
      <c r="JIZ109" s="531"/>
      <c r="JJA109" s="530"/>
      <c r="JJB109" s="531"/>
      <c r="JJC109" s="530"/>
      <c r="JJD109" s="531"/>
      <c r="JJE109" s="530"/>
      <c r="JJF109" s="531"/>
      <c r="JJG109" s="530"/>
      <c r="JJH109" s="531"/>
      <c r="JJI109" s="530"/>
      <c r="JJJ109" s="531"/>
      <c r="JJK109" s="530"/>
      <c r="JJL109" s="531"/>
      <c r="JJM109" s="530"/>
      <c r="JJN109" s="531"/>
      <c r="JJO109" s="530"/>
      <c r="JJP109" s="531"/>
      <c r="JJQ109" s="530"/>
      <c r="JJR109" s="531"/>
      <c r="JJS109" s="530"/>
      <c r="JJT109" s="531"/>
      <c r="JJU109" s="530"/>
      <c r="JJV109" s="531"/>
      <c r="JJW109" s="530"/>
      <c r="JJX109" s="531"/>
      <c r="JJY109" s="530"/>
      <c r="JJZ109" s="531"/>
      <c r="JKA109" s="530"/>
      <c r="JKB109" s="531"/>
      <c r="JKC109" s="530"/>
      <c r="JKD109" s="531"/>
      <c r="JKE109" s="530"/>
      <c r="JKF109" s="531"/>
      <c r="JKG109" s="530"/>
      <c r="JKH109" s="531"/>
      <c r="JKI109" s="530"/>
      <c r="JKJ109" s="531"/>
      <c r="JKK109" s="530"/>
      <c r="JKL109" s="531"/>
      <c r="JKM109" s="530"/>
      <c r="JKN109" s="531"/>
      <c r="JKO109" s="530"/>
      <c r="JKP109" s="531"/>
      <c r="JKQ109" s="530"/>
      <c r="JKR109" s="531"/>
      <c r="JKS109" s="530"/>
      <c r="JKT109" s="531"/>
      <c r="JKU109" s="530"/>
      <c r="JKV109" s="531"/>
      <c r="JKW109" s="530"/>
      <c r="JKX109" s="531"/>
      <c r="JKY109" s="530"/>
      <c r="JKZ109" s="531"/>
      <c r="JLA109" s="530"/>
      <c r="JLB109" s="531"/>
      <c r="JLC109" s="530"/>
      <c r="JLD109" s="531"/>
      <c r="JLE109" s="530"/>
      <c r="JLF109" s="531"/>
      <c r="JLG109" s="530"/>
      <c r="JLH109" s="531"/>
      <c r="JLI109" s="530"/>
      <c r="JLJ109" s="531"/>
      <c r="JLK109" s="530"/>
      <c r="JLL109" s="531"/>
      <c r="JLM109" s="530"/>
      <c r="JLN109" s="531"/>
      <c r="JLO109" s="530"/>
      <c r="JLP109" s="531"/>
      <c r="JLQ109" s="530"/>
      <c r="JLR109" s="531"/>
      <c r="JLS109" s="530"/>
      <c r="JLT109" s="531"/>
      <c r="JLU109" s="530"/>
      <c r="JLV109" s="531"/>
      <c r="JLW109" s="530"/>
      <c r="JLX109" s="531"/>
      <c r="JLY109" s="530"/>
      <c r="JLZ109" s="531"/>
      <c r="JMA109" s="530"/>
      <c r="JMB109" s="531"/>
      <c r="JMC109" s="530"/>
      <c r="JMD109" s="531"/>
      <c r="JME109" s="530"/>
      <c r="JMF109" s="531"/>
      <c r="JMG109" s="530"/>
      <c r="JMH109" s="531"/>
      <c r="JMI109" s="530"/>
      <c r="JMJ109" s="531"/>
      <c r="JMK109" s="530"/>
      <c r="JML109" s="531"/>
      <c r="JMM109" s="530"/>
      <c r="JMN109" s="531"/>
      <c r="JMO109" s="530"/>
      <c r="JMP109" s="531"/>
      <c r="JMQ109" s="530"/>
      <c r="JMR109" s="531"/>
      <c r="JMS109" s="530"/>
      <c r="JMT109" s="531"/>
      <c r="JMU109" s="530"/>
      <c r="JMV109" s="531"/>
      <c r="JMW109" s="530"/>
      <c r="JMX109" s="531"/>
      <c r="JMY109" s="530"/>
      <c r="JMZ109" s="531"/>
      <c r="JNA109" s="530"/>
      <c r="JNB109" s="531"/>
      <c r="JNC109" s="530"/>
      <c r="JND109" s="531"/>
      <c r="JNE109" s="530"/>
      <c r="JNF109" s="531"/>
      <c r="JNG109" s="530"/>
      <c r="JNH109" s="531"/>
      <c r="JNI109" s="530"/>
      <c r="JNJ109" s="531"/>
      <c r="JNK109" s="530"/>
      <c r="JNL109" s="531"/>
      <c r="JNM109" s="530"/>
      <c r="JNN109" s="531"/>
      <c r="JNO109" s="530"/>
      <c r="JNP109" s="531"/>
      <c r="JNQ109" s="530"/>
      <c r="JNR109" s="531"/>
      <c r="JNS109" s="530"/>
      <c r="JNT109" s="531"/>
      <c r="JNU109" s="530"/>
      <c r="JNV109" s="531"/>
      <c r="JNW109" s="530"/>
      <c r="JNX109" s="531"/>
      <c r="JNY109" s="530"/>
      <c r="JNZ109" s="531"/>
      <c r="JOA109" s="530"/>
      <c r="JOB109" s="531"/>
      <c r="JOC109" s="530"/>
      <c r="JOD109" s="531"/>
      <c r="JOE109" s="530"/>
      <c r="JOF109" s="531"/>
      <c r="JOG109" s="530"/>
      <c r="JOH109" s="531"/>
      <c r="JOI109" s="530"/>
      <c r="JOJ109" s="531"/>
      <c r="JOK109" s="530"/>
      <c r="JOL109" s="531"/>
      <c r="JOM109" s="530"/>
      <c r="JON109" s="531"/>
      <c r="JOO109" s="530"/>
      <c r="JOP109" s="531"/>
      <c r="JOQ109" s="530"/>
      <c r="JOR109" s="531"/>
      <c r="JOS109" s="530"/>
      <c r="JOT109" s="531"/>
      <c r="JOU109" s="530"/>
      <c r="JOV109" s="531"/>
      <c r="JOW109" s="530"/>
      <c r="JOX109" s="531"/>
      <c r="JOY109" s="530"/>
      <c r="JOZ109" s="531"/>
      <c r="JPA109" s="530"/>
      <c r="JPB109" s="531"/>
      <c r="JPC109" s="530"/>
      <c r="JPD109" s="531"/>
      <c r="JPE109" s="530"/>
      <c r="JPF109" s="531"/>
      <c r="JPG109" s="530"/>
      <c r="JPH109" s="531"/>
      <c r="JPI109" s="530"/>
      <c r="JPJ109" s="531"/>
      <c r="JPK109" s="530"/>
      <c r="JPL109" s="531"/>
      <c r="JPM109" s="530"/>
      <c r="JPN109" s="531"/>
      <c r="JPO109" s="530"/>
      <c r="JPP109" s="531"/>
      <c r="JPQ109" s="530"/>
      <c r="JPR109" s="531"/>
      <c r="JPS109" s="530"/>
      <c r="JPT109" s="531"/>
      <c r="JPU109" s="530"/>
      <c r="JPV109" s="531"/>
      <c r="JPW109" s="530"/>
      <c r="JPX109" s="531"/>
      <c r="JPY109" s="530"/>
      <c r="JPZ109" s="531"/>
      <c r="JQA109" s="530"/>
      <c r="JQB109" s="531"/>
      <c r="JQC109" s="530"/>
      <c r="JQD109" s="531"/>
      <c r="JQE109" s="530"/>
      <c r="JQF109" s="531"/>
      <c r="JQG109" s="530"/>
      <c r="JQH109" s="531"/>
      <c r="JQI109" s="530"/>
      <c r="JQJ109" s="531"/>
      <c r="JQK109" s="530"/>
      <c r="JQL109" s="531"/>
      <c r="JQM109" s="530"/>
      <c r="JQN109" s="531"/>
      <c r="JQO109" s="530"/>
      <c r="JQP109" s="531"/>
      <c r="JQQ109" s="530"/>
      <c r="JQR109" s="531"/>
      <c r="JQS109" s="530"/>
      <c r="JQT109" s="531"/>
      <c r="JQU109" s="530"/>
      <c r="JQV109" s="531"/>
      <c r="JQW109" s="530"/>
      <c r="JQX109" s="531"/>
      <c r="JQY109" s="530"/>
      <c r="JQZ109" s="531"/>
      <c r="JRA109" s="530"/>
      <c r="JRB109" s="531"/>
      <c r="JRC109" s="530"/>
      <c r="JRD109" s="531"/>
      <c r="JRE109" s="530"/>
      <c r="JRF109" s="531"/>
      <c r="JRG109" s="530"/>
      <c r="JRH109" s="531"/>
      <c r="JRI109" s="530"/>
      <c r="JRJ109" s="531"/>
      <c r="JRK109" s="530"/>
      <c r="JRL109" s="531"/>
      <c r="JRM109" s="530"/>
      <c r="JRN109" s="531"/>
      <c r="JRO109" s="530"/>
      <c r="JRP109" s="531"/>
      <c r="JRQ109" s="530"/>
      <c r="JRR109" s="531"/>
      <c r="JRS109" s="530"/>
      <c r="JRT109" s="531"/>
      <c r="JRU109" s="530"/>
      <c r="JRV109" s="531"/>
      <c r="JRW109" s="530"/>
      <c r="JRX109" s="531"/>
      <c r="JRY109" s="530"/>
      <c r="JRZ109" s="531"/>
      <c r="JSA109" s="530"/>
      <c r="JSB109" s="531"/>
      <c r="JSC109" s="530"/>
      <c r="JSD109" s="531"/>
      <c r="JSE109" s="530"/>
      <c r="JSF109" s="531"/>
      <c r="JSG109" s="530"/>
      <c r="JSH109" s="531"/>
      <c r="JSI109" s="530"/>
      <c r="JSJ109" s="531"/>
      <c r="JSK109" s="530"/>
      <c r="JSL109" s="531"/>
      <c r="JSM109" s="530"/>
      <c r="JSN109" s="531"/>
      <c r="JSO109" s="530"/>
      <c r="JSP109" s="531"/>
      <c r="JSQ109" s="530"/>
      <c r="JSR109" s="531"/>
      <c r="JSS109" s="530"/>
      <c r="JST109" s="531"/>
      <c r="JSU109" s="530"/>
      <c r="JSV109" s="531"/>
      <c r="JSW109" s="530"/>
      <c r="JSX109" s="531"/>
      <c r="JSY109" s="530"/>
      <c r="JSZ109" s="531"/>
      <c r="JTA109" s="530"/>
      <c r="JTB109" s="531"/>
      <c r="JTC109" s="530"/>
      <c r="JTD109" s="531"/>
      <c r="JTE109" s="530"/>
      <c r="JTF109" s="531"/>
      <c r="JTG109" s="530"/>
      <c r="JTH109" s="531"/>
      <c r="JTI109" s="530"/>
      <c r="JTJ109" s="531"/>
      <c r="JTK109" s="530"/>
      <c r="JTL109" s="531"/>
      <c r="JTM109" s="530"/>
      <c r="JTN109" s="531"/>
      <c r="JTO109" s="530"/>
      <c r="JTP109" s="531"/>
      <c r="JTQ109" s="530"/>
      <c r="JTR109" s="531"/>
      <c r="JTS109" s="530"/>
      <c r="JTT109" s="531"/>
      <c r="JTU109" s="530"/>
      <c r="JTV109" s="531"/>
      <c r="JTW109" s="530"/>
      <c r="JTX109" s="531"/>
      <c r="JTY109" s="530"/>
      <c r="JTZ109" s="531"/>
      <c r="JUA109" s="530"/>
      <c r="JUB109" s="531"/>
      <c r="JUC109" s="530"/>
      <c r="JUD109" s="531"/>
      <c r="JUE109" s="530"/>
      <c r="JUF109" s="531"/>
      <c r="JUG109" s="530"/>
      <c r="JUH109" s="531"/>
      <c r="JUI109" s="530"/>
      <c r="JUJ109" s="531"/>
      <c r="JUK109" s="530"/>
      <c r="JUL109" s="531"/>
      <c r="JUM109" s="530"/>
      <c r="JUN109" s="531"/>
      <c r="JUO109" s="530"/>
      <c r="JUP109" s="531"/>
      <c r="JUQ109" s="530"/>
      <c r="JUR109" s="531"/>
      <c r="JUS109" s="530"/>
      <c r="JUT109" s="531"/>
      <c r="JUU109" s="530"/>
      <c r="JUV109" s="531"/>
      <c r="JUW109" s="530"/>
      <c r="JUX109" s="531"/>
      <c r="JUY109" s="530"/>
      <c r="JUZ109" s="531"/>
      <c r="JVA109" s="530"/>
      <c r="JVB109" s="531"/>
      <c r="JVC109" s="530"/>
      <c r="JVD109" s="531"/>
      <c r="JVE109" s="530"/>
      <c r="JVF109" s="531"/>
      <c r="JVG109" s="530"/>
      <c r="JVH109" s="531"/>
      <c r="JVI109" s="530"/>
      <c r="JVJ109" s="531"/>
      <c r="JVK109" s="530"/>
      <c r="JVL109" s="531"/>
      <c r="JVM109" s="530"/>
      <c r="JVN109" s="531"/>
      <c r="JVO109" s="530"/>
      <c r="JVP109" s="531"/>
      <c r="JVQ109" s="530"/>
      <c r="JVR109" s="531"/>
      <c r="JVS109" s="530"/>
      <c r="JVT109" s="531"/>
      <c r="JVU109" s="530"/>
      <c r="JVV109" s="531"/>
      <c r="JVW109" s="530"/>
      <c r="JVX109" s="531"/>
      <c r="JVY109" s="530"/>
      <c r="JVZ109" s="531"/>
      <c r="JWA109" s="530"/>
      <c r="JWB109" s="531"/>
      <c r="JWC109" s="530"/>
      <c r="JWD109" s="531"/>
      <c r="JWE109" s="530"/>
      <c r="JWF109" s="531"/>
      <c r="JWG109" s="530"/>
      <c r="JWH109" s="531"/>
      <c r="JWI109" s="530"/>
      <c r="JWJ109" s="531"/>
      <c r="JWK109" s="530"/>
      <c r="JWL109" s="531"/>
      <c r="JWM109" s="530"/>
      <c r="JWN109" s="531"/>
      <c r="JWO109" s="530"/>
      <c r="JWP109" s="531"/>
      <c r="JWQ109" s="530"/>
      <c r="JWR109" s="531"/>
      <c r="JWS109" s="530"/>
      <c r="JWT109" s="531"/>
      <c r="JWU109" s="530"/>
      <c r="JWV109" s="531"/>
      <c r="JWW109" s="530"/>
      <c r="JWX109" s="531"/>
      <c r="JWY109" s="530"/>
      <c r="JWZ109" s="531"/>
      <c r="JXA109" s="530"/>
      <c r="JXB109" s="531"/>
      <c r="JXC109" s="530"/>
      <c r="JXD109" s="531"/>
      <c r="JXE109" s="530"/>
      <c r="JXF109" s="531"/>
      <c r="JXG109" s="530"/>
      <c r="JXH109" s="531"/>
      <c r="JXI109" s="530"/>
      <c r="JXJ109" s="531"/>
      <c r="JXK109" s="530"/>
      <c r="JXL109" s="531"/>
      <c r="JXM109" s="530"/>
      <c r="JXN109" s="531"/>
      <c r="JXO109" s="530"/>
      <c r="JXP109" s="531"/>
      <c r="JXQ109" s="530"/>
      <c r="JXR109" s="531"/>
      <c r="JXS109" s="530"/>
      <c r="JXT109" s="531"/>
      <c r="JXU109" s="530"/>
      <c r="JXV109" s="531"/>
      <c r="JXW109" s="530"/>
      <c r="JXX109" s="531"/>
      <c r="JXY109" s="530"/>
      <c r="JXZ109" s="531"/>
      <c r="JYA109" s="530"/>
      <c r="JYB109" s="531"/>
      <c r="JYC109" s="530"/>
      <c r="JYD109" s="531"/>
      <c r="JYE109" s="530"/>
      <c r="JYF109" s="531"/>
      <c r="JYG109" s="530"/>
      <c r="JYH109" s="531"/>
      <c r="JYI109" s="530"/>
      <c r="JYJ109" s="531"/>
      <c r="JYK109" s="530"/>
      <c r="JYL109" s="531"/>
      <c r="JYM109" s="530"/>
      <c r="JYN109" s="531"/>
      <c r="JYO109" s="530"/>
      <c r="JYP109" s="531"/>
      <c r="JYQ109" s="530"/>
      <c r="JYR109" s="531"/>
      <c r="JYS109" s="530"/>
      <c r="JYT109" s="531"/>
      <c r="JYU109" s="530"/>
      <c r="JYV109" s="531"/>
      <c r="JYW109" s="530"/>
      <c r="JYX109" s="531"/>
      <c r="JYY109" s="530"/>
      <c r="JYZ109" s="531"/>
      <c r="JZA109" s="530"/>
      <c r="JZB109" s="531"/>
      <c r="JZC109" s="530"/>
      <c r="JZD109" s="531"/>
      <c r="JZE109" s="530"/>
      <c r="JZF109" s="531"/>
      <c r="JZG109" s="530"/>
      <c r="JZH109" s="531"/>
      <c r="JZI109" s="530"/>
      <c r="JZJ109" s="531"/>
      <c r="JZK109" s="530"/>
      <c r="JZL109" s="531"/>
      <c r="JZM109" s="530"/>
      <c r="JZN109" s="531"/>
      <c r="JZO109" s="530"/>
      <c r="JZP109" s="531"/>
      <c r="JZQ109" s="530"/>
      <c r="JZR109" s="531"/>
      <c r="JZS109" s="530"/>
      <c r="JZT109" s="531"/>
      <c r="JZU109" s="530"/>
      <c r="JZV109" s="531"/>
      <c r="JZW109" s="530"/>
      <c r="JZX109" s="531"/>
      <c r="JZY109" s="530"/>
      <c r="JZZ109" s="531"/>
      <c r="KAA109" s="530"/>
      <c r="KAB109" s="531"/>
      <c r="KAC109" s="530"/>
      <c r="KAD109" s="531"/>
      <c r="KAE109" s="530"/>
      <c r="KAF109" s="531"/>
      <c r="KAG109" s="530"/>
      <c r="KAH109" s="531"/>
      <c r="KAI109" s="530"/>
      <c r="KAJ109" s="531"/>
      <c r="KAK109" s="530"/>
      <c r="KAL109" s="531"/>
      <c r="KAM109" s="530"/>
      <c r="KAN109" s="531"/>
      <c r="KAO109" s="530"/>
      <c r="KAP109" s="531"/>
      <c r="KAQ109" s="530"/>
      <c r="KAR109" s="531"/>
      <c r="KAS109" s="530"/>
      <c r="KAT109" s="531"/>
      <c r="KAU109" s="530"/>
      <c r="KAV109" s="531"/>
      <c r="KAW109" s="530"/>
      <c r="KAX109" s="531"/>
      <c r="KAY109" s="530"/>
      <c r="KAZ109" s="531"/>
      <c r="KBA109" s="530"/>
      <c r="KBB109" s="531"/>
      <c r="KBC109" s="530"/>
      <c r="KBD109" s="531"/>
      <c r="KBE109" s="530"/>
      <c r="KBF109" s="531"/>
      <c r="KBG109" s="530"/>
      <c r="KBH109" s="531"/>
      <c r="KBI109" s="530"/>
      <c r="KBJ109" s="531"/>
      <c r="KBK109" s="530"/>
      <c r="KBL109" s="531"/>
      <c r="KBM109" s="530"/>
      <c r="KBN109" s="531"/>
      <c r="KBO109" s="530"/>
      <c r="KBP109" s="531"/>
      <c r="KBQ109" s="530"/>
      <c r="KBR109" s="531"/>
      <c r="KBS109" s="530"/>
      <c r="KBT109" s="531"/>
      <c r="KBU109" s="530"/>
      <c r="KBV109" s="531"/>
      <c r="KBW109" s="530"/>
      <c r="KBX109" s="531"/>
      <c r="KBY109" s="530"/>
      <c r="KBZ109" s="531"/>
      <c r="KCA109" s="530"/>
      <c r="KCB109" s="531"/>
      <c r="KCC109" s="530"/>
      <c r="KCD109" s="531"/>
      <c r="KCE109" s="530"/>
      <c r="KCF109" s="531"/>
      <c r="KCG109" s="530"/>
      <c r="KCH109" s="531"/>
      <c r="KCI109" s="530"/>
      <c r="KCJ109" s="531"/>
      <c r="KCK109" s="530"/>
      <c r="KCL109" s="531"/>
      <c r="KCM109" s="530"/>
      <c r="KCN109" s="531"/>
      <c r="KCO109" s="530"/>
      <c r="KCP109" s="531"/>
      <c r="KCQ109" s="530"/>
      <c r="KCR109" s="531"/>
      <c r="KCS109" s="530"/>
      <c r="KCT109" s="531"/>
      <c r="KCU109" s="530"/>
      <c r="KCV109" s="531"/>
      <c r="KCW109" s="530"/>
      <c r="KCX109" s="531"/>
      <c r="KCY109" s="530"/>
      <c r="KCZ109" s="531"/>
      <c r="KDA109" s="530"/>
      <c r="KDB109" s="531"/>
      <c r="KDC109" s="530"/>
      <c r="KDD109" s="531"/>
      <c r="KDE109" s="530"/>
      <c r="KDF109" s="531"/>
      <c r="KDG109" s="530"/>
      <c r="KDH109" s="531"/>
      <c r="KDI109" s="530"/>
      <c r="KDJ109" s="531"/>
      <c r="KDK109" s="530"/>
      <c r="KDL109" s="531"/>
      <c r="KDM109" s="530"/>
      <c r="KDN109" s="531"/>
      <c r="KDO109" s="530"/>
      <c r="KDP109" s="531"/>
      <c r="KDQ109" s="530"/>
      <c r="KDR109" s="531"/>
      <c r="KDS109" s="530"/>
      <c r="KDT109" s="531"/>
      <c r="KDU109" s="530"/>
      <c r="KDV109" s="531"/>
      <c r="KDW109" s="530"/>
      <c r="KDX109" s="531"/>
      <c r="KDY109" s="530"/>
      <c r="KDZ109" s="531"/>
      <c r="KEA109" s="530"/>
      <c r="KEB109" s="531"/>
      <c r="KEC109" s="530"/>
      <c r="KED109" s="531"/>
      <c r="KEE109" s="530"/>
      <c r="KEF109" s="531"/>
      <c r="KEG109" s="530"/>
      <c r="KEH109" s="531"/>
      <c r="KEI109" s="530"/>
      <c r="KEJ109" s="531"/>
      <c r="KEK109" s="530"/>
      <c r="KEL109" s="531"/>
      <c r="KEM109" s="530"/>
      <c r="KEN109" s="531"/>
      <c r="KEO109" s="530"/>
      <c r="KEP109" s="531"/>
      <c r="KEQ109" s="530"/>
      <c r="KER109" s="531"/>
      <c r="KES109" s="530"/>
      <c r="KET109" s="531"/>
      <c r="KEU109" s="530"/>
      <c r="KEV109" s="531"/>
      <c r="KEW109" s="530"/>
      <c r="KEX109" s="531"/>
      <c r="KEY109" s="530"/>
      <c r="KEZ109" s="531"/>
      <c r="KFA109" s="530"/>
      <c r="KFB109" s="531"/>
      <c r="KFC109" s="530"/>
      <c r="KFD109" s="531"/>
      <c r="KFE109" s="530"/>
      <c r="KFF109" s="531"/>
      <c r="KFG109" s="530"/>
      <c r="KFH109" s="531"/>
      <c r="KFI109" s="530"/>
      <c r="KFJ109" s="531"/>
      <c r="KFK109" s="530"/>
      <c r="KFL109" s="531"/>
      <c r="KFM109" s="530"/>
      <c r="KFN109" s="531"/>
      <c r="KFO109" s="530"/>
      <c r="KFP109" s="531"/>
      <c r="KFQ109" s="530"/>
      <c r="KFR109" s="531"/>
      <c r="KFS109" s="530"/>
      <c r="KFT109" s="531"/>
      <c r="KFU109" s="530"/>
      <c r="KFV109" s="531"/>
      <c r="KFW109" s="530"/>
      <c r="KFX109" s="531"/>
      <c r="KFY109" s="530"/>
      <c r="KFZ109" s="531"/>
      <c r="KGA109" s="530"/>
      <c r="KGB109" s="531"/>
      <c r="KGC109" s="530"/>
      <c r="KGD109" s="531"/>
      <c r="KGE109" s="530"/>
      <c r="KGF109" s="531"/>
      <c r="KGG109" s="530"/>
      <c r="KGH109" s="531"/>
      <c r="KGI109" s="530"/>
      <c r="KGJ109" s="531"/>
      <c r="KGK109" s="530"/>
      <c r="KGL109" s="531"/>
      <c r="KGM109" s="530"/>
      <c r="KGN109" s="531"/>
      <c r="KGO109" s="530"/>
      <c r="KGP109" s="531"/>
      <c r="KGQ109" s="530"/>
      <c r="KGR109" s="531"/>
      <c r="KGS109" s="530"/>
      <c r="KGT109" s="531"/>
      <c r="KGU109" s="530"/>
      <c r="KGV109" s="531"/>
      <c r="KGW109" s="530"/>
      <c r="KGX109" s="531"/>
      <c r="KGY109" s="530"/>
      <c r="KGZ109" s="531"/>
      <c r="KHA109" s="530"/>
      <c r="KHB109" s="531"/>
      <c r="KHC109" s="530"/>
      <c r="KHD109" s="531"/>
      <c r="KHE109" s="530"/>
      <c r="KHF109" s="531"/>
      <c r="KHG109" s="530"/>
      <c r="KHH109" s="531"/>
      <c r="KHI109" s="530"/>
      <c r="KHJ109" s="531"/>
      <c r="KHK109" s="530"/>
      <c r="KHL109" s="531"/>
      <c r="KHM109" s="530"/>
      <c r="KHN109" s="531"/>
      <c r="KHO109" s="530"/>
      <c r="KHP109" s="531"/>
      <c r="KHQ109" s="530"/>
      <c r="KHR109" s="531"/>
      <c r="KHS109" s="530"/>
      <c r="KHT109" s="531"/>
      <c r="KHU109" s="530"/>
      <c r="KHV109" s="531"/>
      <c r="KHW109" s="530"/>
      <c r="KHX109" s="531"/>
      <c r="KHY109" s="530"/>
      <c r="KHZ109" s="531"/>
      <c r="KIA109" s="530"/>
      <c r="KIB109" s="531"/>
      <c r="KIC109" s="530"/>
      <c r="KID109" s="531"/>
      <c r="KIE109" s="530"/>
      <c r="KIF109" s="531"/>
      <c r="KIG109" s="530"/>
      <c r="KIH109" s="531"/>
      <c r="KII109" s="530"/>
      <c r="KIJ109" s="531"/>
      <c r="KIK109" s="530"/>
      <c r="KIL109" s="531"/>
      <c r="KIM109" s="530"/>
      <c r="KIN109" s="531"/>
      <c r="KIO109" s="530"/>
      <c r="KIP109" s="531"/>
      <c r="KIQ109" s="530"/>
      <c r="KIR109" s="531"/>
      <c r="KIS109" s="530"/>
      <c r="KIT109" s="531"/>
      <c r="KIU109" s="530"/>
      <c r="KIV109" s="531"/>
      <c r="KIW109" s="530"/>
      <c r="KIX109" s="531"/>
      <c r="KIY109" s="530"/>
      <c r="KIZ109" s="531"/>
      <c r="KJA109" s="530"/>
      <c r="KJB109" s="531"/>
      <c r="KJC109" s="530"/>
      <c r="KJD109" s="531"/>
      <c r="KJE109" s="530"/>
      <c r="KJF109" s="531"/>
      <c r="KJG109" s="530"/>
      <c r="KJH109" s="531"/>
      <c r="KJI109" s="530"/>
      <c r="KJJ109" s="531"/>
      <c r="KJK109" s="530"/>
      <c r="KJL109" s="531"/>
      <c r="KJM109" s="530"/>
      <c r="KJN109" s="531"/>
      <c r="KJO109" s="530"/>
      <c r="KJP109" s="531"/>
      <c r="KJQ109" s="530"/>
      <c r="KJR109" s="531"/>
      <c r="KJS109" s="530"/>
      <c r="KJT109" s="531"/>
      <c r="KJU109" s="530"/>
      <c r="KJV109" s="531"/>
      <c r="KJW109" s="530"/>
      <c r="KJX109" s="531"/>
      <c r="KJY109" s="530"/>
      <c r="KJZ109" s="531"/>
      <c r="KKA109" s="530"/>
      <c r="KKB109" s="531"/>
      <c r="KKC109" s="530"/>
      <c r="KKD109" s="531"/>
      <c r="KKE109" s="530"/>
      <c r="KKF109" s="531"/>
      <c r="KKG109" s="530"/>
      <c r="KKH109" s="531"/>
      <c r="KKI109" s="530"/>
      <c r="KKJ109" s="531"/>
      <c r="KKK109" s="530"/>
      <c r="KKL109" s="531"/>
      <c r="KKM109" s="530"/>
      <c r="KKN109" s="531"/>
      <c r="KKO109" s="530"/>
      <c r="KKP109" s="531"/>
      <c r="KKQ109" s="530"/>
      <c r="KKR109" s="531"/>
      <c r="KKS109" s="530"/>
      <c r="KKT109" s="531"/>
      <c r="KKU109" s="530"/>
      <c r="KKV109" s="531"/>
      <c r="KKW109" s="530"/>
      <c r="KKX109" s="531"/>
      <c r="KKY109" s="530"/>
      <c r="KKZ109" s="531"/>
      <c r="KLA109" s="530"/>
      <c r="KLB109" s="531"/>
      <c r="KLC109" s="530"/>
      <c r="KLD109" s="531"/>
      <c r="KLE109" s="530"/>
      <c r="KLF109" s="531"/>
      <c r="KLG109" s="530"/>
      <c r="KLH109" s="531"/>
      <c r="KLI109" s="530"/>
      <c r="KLJ109" s="531"/>
      <c r="KLK109" s="530"/>
      <c r="KLL109" s="531"/>
      <c r="KLM109" s="530"/>
      <c r="KLN109" s="531"/>
      <c r="KLO109" s="530"/>
      <c r="KLP109" s="531"/>
      <c r="KLQ109" s="530"/>
      <c r="KLR109" s="531"/>
      <c r="KLS109" s="530"/>
      <c r="KLT109" s="531"/>
      <c r="KLU109" s="530"/>
      <c r="KLV109" s="531"/>
      <c r="KLW109" s="530"/>
      <c r="KLX109" s="531"/>
      <c r="KLY109" s="530"/>
      <c r="KLZ109" s="531"/>
      <c r="KMA109" s="530"/>
      <c r="KMB109" s="531"/>
      <c r="KMC109" s="530"/>
      <c r="KMD109" s="531"/>
      <c r="KME109" s="530"/>
      <c r="KMF109" s="531"/>
      <c r="KMG109" s="530"/>
      <c r="KMH109" s="531"/>
      <c r="KMI109" s="530"/>
      <c r="KMJ109" s="531"/>
      <c r="KMK109" s="530"/>
      <c r="KML109" s="531"/>
      <c r="KMM109" s="530"/>
      <c r="KMN109" s="531"/>
      <c r="KMO109" s="530"/>
      <c r="KMP109" s="531"/>
      <c r="KMQ109" s="530"/>
      <c r="KMR109" s="531"/>
      <c r="KMS109" s="530"/>
      <c r="KMT109" s="531"/>
      <c r="KMU109" s="530"/>
      <c r="KMV109" s="531"/>
      <c r="KMW109" s="530"/>
      <c r="KMX109" s="531"/>
      <c r="KMY109" s="530"/>
      <c r="KMZ109" s="531"/>
      <c r="KNA109" s="530"/>
      <c r="KNB109" s="531"/>
      <c r="KNC109" s="530"/>
      <c r="KND109" s="531"/>
      <c r="KNE109" s="530"/>
      <c r="KNF109" s="531"/>
      <c r="KNG109" s="530"/>
      <c r="KNH109" s="531"/>
      <c r="KNI109" s="530"/>
      <c r="KNJ109" s="531"/>
      <c r="KNK109" s="530"/>
      <c r="KNL109" s="531"/>
      <c r="KNM109" s="530"/>
      <c r="KNN109" s="531"/>
      <c r="KNO109" s="530"/>
      <c r="KNP109" s="531"/>
      <c r="KNQ109" s="530"/>
      <c r="KNR109" s="531"/>
      <c r="KNS109" s="530"/>
      <c r="KNT109" s="531"/>
      <c r="KNU109" s="530"/>
      <c r="KNV109" s="531"/>
      <c r="KNW109" s="530"/>
      <c r="KNX109" s="531"/>
      <c r="KNY109" s="530"/>
      <c r="KNZ109" s="531"/>
      <c r="KOA109" s="530"/>
      <c r="KOB109" s="531"/>
      <c r="KOC109" s="530"/>
      <c r="KOD109" s="531"/>
      <c r="KOE109" s="530"/>
      <c r="KOF109" s="531"/>
      <c r="KOG109" s="530"/>
      <c r="KOH109" s="531"/>
      <c r="KOI109" s="530"/>
      <c r="KOJ109" s="531"/>
      <c r="KOK109" s="530"/>
      <c r="KOL109" s="531"/>
      <c r="KOM109" s="530"/>
      <c r="KON109" s="531"/>
      <c r="KOO109" s="530"/>
      <c r="KOP109" s="531"/>
      <c r="KOQ109" s="530"/>
      <c r="KOR109" s="531"/>
      <c r="KOS109" s="530"/>
      <c r="KOT109" s="531"/>
      <c r="KOU109" s="530"/>
      <c r="KOV109" s="531"/>
      <c r="KOW109" s="530"/>
      <c r="KOX109" s="531"/>
      <c r="KOY109" s="530"/>
      <c r="KOZ109" s="531"/>
      <c r="KPA109" s="530"/>
      <c r="KPB109" s="531"/>
      <c r="KPC109" s="530"/>
      <c r="KPD109" s="531"/>
      <c r="KPE109" s="530"/>
      <c r="KPF109" s="531"/>
      <c r="KPG109" s="530"/>
      <c r="KPH109" s="531"/>
      <c r="KPI109" s="530"/>
      <c r="KPJ109" s="531"/>
      <c r="KPK109" s="530"/>
      <c r="KPL109" s="531"/>
      <c r="KPM109" s="530"/>
      <c r="KPN109" s="531"/>
      <c r="KPO109" s="530"/>
      <c r="KPP109" s="531"/>
      <c r="KPQ109" s="530"/>
      <c r="KPR109" s="531"/>
      <c r="KPS109" s="530"/>
      <c r="KPT109" s="531"/>
      <c r="KPU109" s="530"/>
      <c r="KPV109" s="531"/>
      <c r="KPW109" s="530"/>
      <c r="KPX109" s="531"/>
      <c r="KPY109" s="530"/>
      <c r="KPZ109" s="531"/>
      <c r="KQA109" s="530"/>
      <c r="KQB109" s="531"/>
      <c r="KQC109" s="530"/>
      <c r="KQD109" s="531"/>
      <c r="KQE109" s="530"/>
      <c r="KQF109" s="531"/>
      <c r="KQG109" s="530"/>
      <c r="KQH109" s="531"/>
      <c r="KQI109" s="530"/>
      <c r="KQJ109" s="531"/>
      <c r="KQK109" s="530"/>
      <c r="KQL109" s="531"/>
      <c r="KQM109" s="530"/>
      <c r="KQN109" s="531"/>
      <c r="KQO109" s="530"/>
      <c r="KQP109" s="531"/>
      <c r="KQQ109" s="530"/>
      <c r="KQR109" s="531"/>
      <c r="KQS109" s="530"/>
      <c r="KQT109" s="531"/>
      <c r="KQU109" s="530"/>
      <c r="KQV109" s="531"/>
      <c r="KQW109" s="530"/>
      <c r="KQX109" s="531"/>
      <c r="KQY109" s="530"/>
      <c r="KQZ109" s="531"/>
      <c r="KRA109" s="530"/>
      <c r="KRB109" s="531"/>
      <c r="KRC109" s="530"/>
      <c r="KRD109" s="531"/>
      <c r="KRE109" s="530"/>
      <c r="KRF109" s="531"/>
      <c r="KRG109" s="530"/>
      <c r="KRH109" s="531"/>
      <c r="KRI109" s="530"/>
      <c r="KRJ109" s="531"/>
      <c r="KRK109" s="530"/>
      <c r="KRL109" s="531"/>
      <c r="KRM109" s="530"/>
      <c r="KRN109" s="531"/>
      <c r="KRO109" s="530"/>
      <c r="KRP109" s="531"/>
      <c r="KRQ109" s="530"/>
      <c r="KRR109" s="531"/>
      <c r="KRS109" s="530"/>
      <c r="KRT109" s="531"/>
      <c r="KRU109" s="530"/>
      <c r="KRV109" s="531"/>
      <c r="KRW109" s="530"/>
      <c r="KRX109" s="531"/>
      <c r="KRY109" s="530"/>
      <c r="KRZ109" s="531"/>
      <c r="KSA109" s="530"/>
      <c r="KSB109" s="531"/>
      <c r="KSC109" s="530"/>
      <c r="KSD109" s="531"/>
      <c r="KSE109" s="530"/>
      <c r="KSF109" s="531"/>
      <c r="KSG109" s="530"/>
      <c r="KSH109" s="531"/>
      <c r="KSI109" s="530"/>
      <c r="KSJ109" s="531"/>
      <c r="KSK109" s="530"/>
      <c r="KSL109" s="531"/>
      <c r="KSM109" s="530"/>
      <c r="KSN109" s="531"/>
      <c r="KSO109" s="530"/>
      <c r="KSP109" s="531"/>
      <c r="KSQ109" s="530"/>
      <c r="KSR109" s="531"/>
      <c r="KSS109" s="530"/>
      <c r="KST109" s="531"/>
      <c r="KSU109" s="530"/>
      <c r="KSV109" s="531"/>
      <c r="KSW109" s="530"/>
      <c r="KSX109" s="531"/>
      <c r="KSY109" s="530"/>
      <c r="KSZ109" s="531"/>
      <c r="KTA109" s="530"/>
      <c r="KTB109" s="531"/>
      <c r="KTC109" s="530"/>
      <c r="KTD109" s="531"/>
      <c r="KTE109" s="530"/>
      <c r="KTF109" s="531"/>
      <c r="KTG109" s="530"/>
      <c r="KTH109" s="531"/>
      <c r="KTI109" s="530"/>
      <c r="KTJ109" s="531"/>
      <c r="KTK109" s="530"/>
      <c r="KTL109" s="531"/>
      <c r="KTM109" s="530"/>
      <c r="KTN109" s="531"/>
      <c r="KTO109" s="530"/>
      <c r="KTP109" s="531"/>
      <c r="KTQ109" s="530"/>
      <c r="KTR109" s="531"/>
      <c r="KTS109" s="530"/>
      <c r="KTT109" s="531"/>
      <c r="KTU109" s="530"/>
      <c r="KTV109" s="531"/>
      <c r="KTW109" s="530"/>
      <c r="KTX109" s="531"/>
      <c r="KTY109" s="530"/>
      <c r="KTZ109" s="531"/>
      <c r="KUA109" s="530"/>
      <c r="KUB109" s="531"/>
      <c r="KUC109" s="530"/>
      <c r="KUD109" s="531"/>
      <c r="KUE109" s="530"/>
      <c r="KUF109" s="531"/>
      <c r="KUG109" s="530"/>
      <c r="KUH109" s="531"/>
      <c r="KUI109" s="530"/>
      <c r="KUJ109" s="531"/>
      <c r="KUK109" s="530"/>
      <c r="KUL109" s="531"/>
      <c r="KUM109" s="530"/>
      <c r="KUN109" s="531"/>
      <c r="KUO109" s="530"/>
      <c r="KUP109" s="531"/>
      <c r="KUQ109" s="530"/>
      <c r="KUR109" s="531"/>
      <c r="KUS109" s="530"/>
      <c r="KUT109" s="531"/>
      <c r="KUU109" s="530"/>
      <c r="KUV109" s="531"/>
      <c r="KUW109" s="530"/>
      <c r="KUX109" s="531"/>
      <c r="KUY109" s="530"/>
      <c r="KUZ109" s="531"/>
      <c r="KVA109" s="530"/>
      <c r="KVB109" s="531"/>
      <c r="KVC109" s="530"/>
      <c r="KVD109" s="531"/>
      <c r="KVE109" s="530"/>
      <c r="KVF109" s="531"/>
      <c r="KVG109" s="530"/>
      <c r="KVH109" s="531"/>
      <c r="KVI109" s="530"/>
      <c r="KVJ109" s="531"/>
      <c r="KVK109" s="530"/>
      <c r="KVL109" s="531"/>
      <c r="KVM109" s="530"/>
      <c r="KVN109" s="531"/>
      <c r="KVO109" s="530"/>
      <c r="KVP109" s="531"/>
      <c r="KVQ109" s="530"/>
      <c r="KVR109" s="531"/>
      <c r="KVS109" s="530"/>
      <c r="KVT109" s="531"/>
      <c r="KVU109" s="530"/>
      <c r="KVV109" s="531"/>
      <c r="KVW109" s="530"/>
      <c r="KVX109" s="531"/>
      <c r="KVY109" s="530"/>
      <c r="KVZ109" s="531"/>
      <c r="KWA109" s="530"/>
      <c r="KWB109" s="531"/>
      <c r="KWC109" s="530"/>
      <c r="KWD109" s="531"/>
      <c r="KWE109" s="530"/>
      <c r="KWF109" s="531"/>
      <c r="KWG109" s="530"/>
      <c r="KWH109" s="531"/>
      <c r="KWI109" s="530"/>
      <c r="KWJ109" s="531"/>
      <c r="KWK109" s="530"/>
      <c r="KWL109" s="531"/>
      <c r="KWM109" s="530"/>
      <c r="KWN109" s="531"/>
      <c r="KWO109" s="530"/>
      <c r="KWP109" s="531"/>
      <c r="KWQ109" s="530"/>
      <c r="KWR109" s="531"/>
      <c r="KWS109" s="530"/>
      <c r="KWT109" s="531"/>
      <c r="KWU109" s="530"/>
      <c r="KWV109" s="531"/>
      <c r="KWW109" s="530"/>
      <c r="KWX109" s="531"/>
      <c r="KWY109" s="530"/>
      <c r="KWZ109" s="531"/>
      <c r="KXA109" s="530"/>
      <c r="KXB109" s="531"/>
      <c r="KXC109" s="530"/>
      <c r="KXD109" s="531"/>
      <c r="KXE109" s="530"/>
      <c r="KXF109" s="531"/>
      <c r="KXG109" s="530"/>
      <c r="KXH109" s="531"/>
      <c r="KXI109" s="530"/>
      <c r="KXJ109" s="531"/>
      <c r="KXK109" s="530"/>
      <c r="KXL109" s="531"/>
      <c r="KXM109" s="530"/>
      <c r="KXN109" s="531"/>
      <c r="KXO109" s="530"/>
      <c r="KXP109" s="531"/>
      <c r="KXQ109" s="530"/>
      <c r="KXR109" s="531"/>
      <c r="KXS109" s="530"/>
      <c r="KXT109" s="531"/>
      <c r="KXU109" s="530"/>
      <c r="KXV109" s="531"/>
      <c r="KXW109" s="530"/>
      <c r="KXX109" s="531"/>
      <c r="KXY109" s="530"/>
      <c r="KXZ109" s="531"/>
      <c r="KYA109" s="530"/>
      <c r="KYB109" s="531"/>
      <c r="KYC109" s="530"/>
      <c r="KYD109" s="531"/>
      <c r="KYE109" s="530"/>
      <c r="KYF109" s="531"/>
      <c r="KYG109" s="530"/>
      <c r="KYH109" s="531"/>
      <c r="KYI109" s="530"/>
      <c r="KYJ109" s="531"/>
      <c r="KYK109" s="530"/>
      <c r="KYL109" s="531"/>
      <c r="KYM109" s="530"/>
      <c r="KYN109" s="531"/>
      <c r="KYO109" s="530"/>
      <c r="KYP109" s="531"/>
      <c r="KYQ109" s="530"/>
      <c r="KYR109" s="531"/>
      <c r="KYS109" s="530"/>
      <c r="KYT109" s="531"/>
      <c r="KYU109" s="530"/>
      <c r="KYV109" s="531"/>
      <c r="KYW109" s="530"/>
      <c r="KYX109" s="531"/>
      <c r="KYY109" s="530"/>
      <c r="KYZ109" s="531"/>
      <c r="KZA109" s="530"/>
      <c r="KZB109" s="531"/>
      <c r="KZC109" s="530"/>
      <c r="KZD109" s="531"/>
      <c r="KZE109" s="530"/>
      <c r="KZF109" s="531"/>
      <c r="KZG109" s="530"/>
      <c r="KZH109" s="531"/>
      <c r="KZI109" s="530"/>
      <c r="KZJ109" s="531"/>
      <c r="KZK109" s="530"/>
      <c r="KZL109" s="531"/>
      <c r="KZM109" s="530"/>
      <c r="KZN109" s="531"/>
      <c r="KZO109" s="530"/>
      <c r="KZP109" s="531"/>
      <c r="KZQ109" s="530"/>
      <c r="KZR109" s="531"/>
      <c r="KZS109" s="530"/>
      <c r="KZT109" s="531"/>
      <c r="KZU109" s="530"/>
      <c r="KZV109" s="531"/>
      <c r="KZW109" s="530"/>
      <c r="KZX109" s="531"/>
      <c r="KZY109" s="530"/>
      <c r="KZZ109" s="531"/>
      <c r="LAA109" s="530"/>
      <c r="LAB109" s="531"/>
      <c r="LAC109" s="530"/>
      <c r="LAD109" s="531"/>
      <c r="LAE109" s="530"/>
      <c r="LAF109" s="531"/>
      <c r="LAG109" s="530"/>
      <c r="LAH109" s="531"/>
      <c r="LAI109" s="530"/>
      <c r="LAJ109" s="531"/>
      <c r="LAK109" s="530"/>
      <c r="LAL109" s="531"/>
      <c r="LAM109" s="530"/>
      <c r="LAN109" s="531"/>
      <c r="LAO109" s="530"/>
      <c r="LAP109" s="531"/>
      <c r="LAQ109" s="530"/>
      <c r="LAR109" s="531"/>
      <c r="LAS109" s="530"/>
      <c r="LAT109" s="531"/>
      <c r="LAU109" s="530"/>
      <c r="LAV109" s="531"/>
      <c r="LAW109" s="530"/>
      <c r="LAX109" s="531"/>
      <c r="LAY109" s="530"/>
      <c r="LAZ109" s="531"/>
      <c r="LBA109" s="530"/>
      <c r="LBB109" s="531"/>
      <c r="LBC109" s="530"/>
      <c r="LBD109" s="531"/>
      <c r="LBE109" s="530"/>
      <c r="LBF109" s="531"/>
      <c r="LBG109" s="530"/>
      <c r="LBH109" s="531"/>
      <c r="LBI109" s="530"/>
      <c r="LBJ109" s="531"/>
      <c r="LBK109" s="530"/>
      <c r="LBL109" s="531"/>
      <c r="LBM109" s="530"/>
      <c r="LBN109" s="531"/>
      <c r="LBO109" s="530"/>
      <c r="LBP109" s="531"/>
      <c r="LBQ109" s="530"/>
      <c r="LBR109" s="531"/>
      <c r="LBS109" s="530"/>
      <c r="LBT109" s="531"/>
      <c r="LBU109" s="530"/>
      <c r="LBV109" s="531"/>
      <c r="LBW109" s="530"/>
      <c r="LBX109" s="531"/>
      <c r="LBY109" s="530"/>
      <c r="LBZ109" s="531"/>
      <c r="LCA109" s="530"/>
      <c r="LCB109" s="531"/>
      <c r="LCC109" s="530"/>
      <c r="LCD109" s="531"/>
      <c r="LCE109" s="530"/>
      <c r="LCF109" s="531"/>
      <c r="LCG109" s="530"/>
      <c r="LCH109" s="531"/>
      <c r="LCI109" s="530"/>
      <c r="LCJ109" s="531"/>
      <c r="LCK109" s="530"/>
      <c r="LCL109" s="531"/>
      <c r="LCM109" s="530"/>
      <c r="LCN109" s="531"/>
      <c r="LCO109" s="530"/>
      <c r="LCP109" s="531"/>
      <c r="LCQ109" s="530"/>
      <c r="LCR109" s="531"/>
      <c r="LCS109" s="530"/>
      <c r="LCT109" s="531"/>
      <c r="LCU109" s="530"/>
      <c r="LCV109" s="531"/>
      <c r="LCW109" s="530"/>
      <c r="LCX109" s="531"/>
      <c r="LCY109" s="530"/>
      <c r="LCZ109" s="531"/>
      <c r="LDA109" s="530"/>
      <c r="LDB109" s="531"/>
      <c r="LDC109" s="530"/>
      <c r="LDD109" s="531"/>
      <c r="LDE109" s="530"/>
      <c r="LDF109" s="531"/>
      <c r="LDG109" s="530"/>
      <c r="LDH109" s="531"/>
      <c r="LDI109" s="530"/>
      <c r="LDJ109" s="531"/>
      <c r="LDK109" s="530"/>
      <c r="LDL109" s="531"/>
      <c r="LDM109" s="530"/>
      <c r="LDN109" s="531"/>
      <c r="LDO109" s="530"/>
      <c r="LDP109" s="531"/>
      <c r="LDQ109" s="530"/>
      <c r="LDR109" s="531"/>
      <c r="LDS109" s="530"/>
      <c r="LDT109" s="531"/>
      <c r="LDU109" s="530"/>
      <c r="LDV109" s="531"/>
      <c r="LDW109" s="530"/>
      <c r="LDX109" s="531"/>
      <c r="LDY109" s="530"/>
      <c r="LDZ109" s="531"/>
      <c r="LEA109" s="530"/>
      <c r="LEB109" s="531"/>
      <c r="LEC109" s="530"/>
      <c r="LED109" s="531"/>
      <c r="LEE109" s="530"/>
      <c r="LEF109" s="531"/>
      <c r="LEG109" s="530"/>
      <c r="LEH109" s="531"/>
      <c r="LEI109" s="530"/>
      <c r="LEJ109" s="531"/>
      <c r="LEK109" s="530"/>
      <c r="LEL109" s="531"/>
      <c r="LEM109" s="530"/>
      <c r="LEN109" s="531"/>
      <c r="LEO109" s="530"/>
      <c r="LEP109" s="531"/>
      <c r="LEQ109" s="530"/>
      <c r="LER109" s="531"/>
      <c r="LES109" s="530"/>
      <c r="LET109" s="531"/>
      <c r="LEU109" s="530"/>
      <c r="LEV109" s="531"/>
      <c r="LEW109" s="530"/>
      <c r="LEX109" s="531"/>
      <c r="LEY109" s="530"/>
      <c r="LEZ109" s="531"/>
      <c r="LFA109" s="530"/>
      <c r="LFB109" s="531"/>
      <c r="LFC109" s="530"/>
      <c r="LFD109" s="531"/>
      <c r="LFE109" s="530"/>
      <c r="LFF109" s="531"/>
      <c r="LFG109" s="530"/>
      <c r="LFH109" s="531"/>
      <c r="LFI109" s="530"/>
      <c r="LFJ109" s="531"/>
      <c r="LFK109" s="530"/>
      <c r="LFL109" s="531"/>
      <c r="LFM109" s="530"/>
      <c r="LFN109" s="531"/>
      <c r="LFO109" s="530"/>
      <c r="LFP109" s="531"/>
      <c r="LFQ109" s="530"/>
      <c r="LFR109" s="531"/>
      <c r="LFS109" s="530"/>
      <c r="LFT109" s="531"/>
      <c r="LFU109" s="530"/>
      <c r="LFV109" s="531"/>
      <c r="LFW109" s="530"/>
      <c r="LFX109" s="531"/>
      <c r="LFY109" s="530"/>
      <c r="LFZ109" s="531"/>
      <c r="LGA109" s="530"/>
      <c r="LGB109" s="531"/>
      <c r="LGC109" s="530"/>
      <c r="LGD109" s="531"/>
      <c r="LGE109" s="530"/>
      <c r="LGF109" s="531"/>
      <c r="LGG109" s="530"/>
      <c r="LGH109" s="531"/>
      <c r="LGI109" s="530"/>
      <c r="LGJ109" s="531"/>
      <c r="LGK109" s="530"/>
      <c r="LGL109" s="531"/>
      <c r="LGM109" s="530"/>
      <c r="LGN109" s="531"/>
      <c r="LGO109" s="530"/>
      <c r="LGP109" s="531"/>
      <c r="LGQ109" s="530"/>
      <c r="LGR109" s="531"/>
      <c r="LGS109" s="530"/>
      <c r="LGT109" s="531"/>
      <c r="LGU109" s="530"/>
      <c r="LGV109" s="531"/>
      <c r="LGW109" s="530"/>
      <c r="LGX109" s="531"/>
      <c r="LGY109" s="530"/>
      <c r="LGZ109" s="531"/>
      <c r="LHA109" s="530"/>
      <c r="LHB109" s="531"/>
      <c r="LHC109" s="530"/>
      <c r="LHD109" s="531"/>
      <c r="LHE109" s="530"/>
      <c r="LHF109" s="531"/>
      <c r="LHG109" s="530"/>
      <c r="LHH109" s="531"/>
      <c r="LHI109" s="530"/>
      <c r="LHJ109" s="531"/>
      <c r="LHK109" s="530"/>
      <c r="LHL109" s="531"/>
      <c r="LHM109" s="530"/>
      <c r="LHN109" s="531"/>
      <c r="LHO109" s="530"/>
      <c r="LHP109" s="531"/>
      <c r="LHQ109" s="530"/>
      <c r="LHR109" s="531"/>
      <c r="LHS109" s="530"/>
      <c r="LHT109" s="531"/>
      <c r="LHU109" s="530"/>
      <c r="LHV109" s="531"/>
      <c r="LHW109" s="530"/>
      <c r="LHX109" s="531"/>
      <c r="LHY109" s="530"/>
      <c r="LHZ109" s="531"/>
      <c r="LIA109" s="530"/>
      <c r="LIB109" s="531"/>
      <c r="LIC109" s="530"/>
      <c r="LID109" s="531"/>
      <c r="LIE109" s="530"/>
      <c r="LIF109" s="531"/>
      <c r="LIG109" s="530"/>
      <c r="LIH109" s="531"/>
      <c r="LII109" s="530"/>
      <c r="LIJ109" s="531"/>
      <c r="LIK109" s="530"/>
      <c r="LIL109" s="531"/>
      <c r="LIM109" s="530"/>
      <c r="LIN109" s="531"/>
      <c r="LIO109" s="530"/>
      <c r="LIP109" s="531"/>
      <c r="LIQ109" s="530"/>
      <c r="LIR109" s="531"/>
      <c r="LIS109" s="530"/>
      <c r="LIT109" s="531"/>
      <c r="LIU109" s="530"/>
      <c r="LIV109" s="531"/>
      <c r="LIW109" s="530"/>
      <c r="LIX109" s="531"/>
      <c r="LIY109" s="530"/>
      <c r="LIZ109" s="531"/>
      <c r="LJA109" s="530"/>
      <c r="LJB109" s="531"/>
      <c r="LJC109" s="530"/>
      <c r="LJD109" s="531"/>
      <c r="LJE109" s="530"/>
      <c r="LJF109" s="531"/>
      <c r="LJG109" s="530"/>
      <c r="LJH109" s="531"/>
      <c r="LJI109" s="530"/>
      <c r="LJJ109" s="531"/>
      <c r="LJK109" s="530"/>
      <c r="LJL109" s="531"/>
      <c r="LJM109" s="530"/>
      <c r="LJN109" s="531"/>
      <c r="LJO109" s="530"/>
      <c r="LJP109" s="531"/>
      <c r="LJQ109" s="530"/>
      <c r="LJR109" s="531"/>
      <c r="LJS109" s="530"/>
      <c r="LJT109" s="531"/>
      <c r="LJU109" s="530"/>
      <c r="LJV109" s="531"/>
      <c r="LJW109" s="530"/>
      <c r="LJX109" s="531"/>
      <c r="LJY109" s="530"/>
      <c r="LJZ109" s="531"/>
      <c r="LKA109" s="530"/>
      <c r="LKB109" s="531"/>
      <c r="LKC109" s="530"/>
      <c r="LKD109" s="531"/>
      <c r="LKE109" s="530"/>
      <c r="LKF109" s="531"/>
      <c r="LKG109" s="530"/>
      <c r="LKH109" s="531"/>
      <c r="LKI109" s="530"/>
      <c r="LKJ109" s="531"/>
      <c r="LKK109" s="530"/>
      <c r="LKL109" s="531"/>
      <c r="LKM109" s="530"/>
      <c r="LKN109" s="531"/>
      <c r="LKO109" s="530"/>
      <c r="LKP109" s="531"/>
      <c r="LKQ109" s="530"/>
      <c r="LKR109" s="531"/>
      <c r="LKS109" s="530"/>
      <c r="LKT109" s="531"/>
      <c r="LKU109" s="530"/>
      <c r="LKV109" s="531"/>
      <c r="LKW109" s="530"/>
      <c r="LKX109" s="531"/>
      <c r="LKY109" s="530"/>
      <c r="LKZ109" s="531"/>
      <c r="LLA109" s="530"/>
      <c r="LLB109" s="531"/>
      <c r="LLC109" s="530"/>
      <c r="LLD109" s="531"/>
      <c r="LLE109" s="530"/>
      <c r="LLF109" s="531"/>
      <c r="LLG109" s="530"/>
      <c r="LLH109" s="531"/>
      <c r="LLI109" s="530"/>
      <c r="LLJ109" s="531"/>
      <c r="LLK109" s="530"/>
      <c r="LLL109" s="531"/>
      <c r="LLM109" s="530"/>
      <c r="LLN109" s="531"/>
      <c r="LLO109" s="530"/>
      <c r="LLP109" s="531"/>
      <c r="LLQ109" s="530"/>
      <c r="LLR109" s="531"/>
      <c r="LLS109" s="530"/>
      <c r="LLT109" s="531"/>
      <c r="LLU109" s="530"/>
      <c r="LLV109" s="531"/>
      <c r="LLW109" s="530"/>
      <c r="LLX109" s="531"/>
      <c r="LLY109" s="530"/>
      <c r="LLZ109" s="531"/>
      <c r="LMA109" s="530"/>
      <c r="LMB109" s="531"/>
      <c r="LMC109" s="530"/>
      <c r="LMD109" s="531"/>
      <c r="LME109" s="530"/>
      <c r="LMF109" s="531"/>
      <c r="LMG109" s="530"/>
      <c r="LMH109" s="531"/>
      <c r="LMI109" s="530"/>
      <c r="LMJ109" s="531"/>
      <c r="LMK109" s="530"/>
      <c r="LML109" s="531"/>
      <c r="LMM109" s="530"/>
      <c r="LMN109" s="531"/>
      <c r="LMO109" s="530"/>
      <c r="LMP109" s="531"/>
      <c r="LMQ109" s="530"/>
      <c r="LMR109" s="531"/>
      <c r="LMS109" s="530"/>
      <c r="LMT109" s="531"/>
      <c r="LMU109" s="530"/>
      <c r="LMV109" s="531"/>
      <c r="LMW109" s="530"/>
      <c r="LMX109" s="531"/>
      <c r="LMY109" s="530"/>
      <c r="LMZ109" s="531"/>
      <c r="LNA109" s="530"/>
      <c r="LNB109" s="531"/>
      <c r="LNC109" s="530"/>
      <c r="LND109" s="531"/>
      <c r="LNE109" s="530"/>
      <c r="LNF109" s="531"/>
      <c r="LNG109" s="530"/>
      <c r="LNH109" s="531"/>
      <c r="LNI109" s="530"/>
      <c r="LNJ109" s="531"/>
      <c r="LNK109" s="530"/>
      <c r="LNL109" s="531"/>
      <c r="LNM109" s="530"/>
      <c r="LNN109" s="531"/>
      <c r="LNO109" s="530"/>
      <c r="LNP109" s="531"/>
      <c r="LNQ109" s="530"/>
      <c r="LNR109" s="531"/>
      <c r="LNS109" s="530"/>
      <c r="LNT109" s="531"/>
      <c r="LNU109" s="530"/>
      <c r="LNV109" s="531"/>
      <c r="LNW109" s="530"/>
      <c r="LNX109" s="531"/>
      <c r="LNY109" s="530"/>
      <c r="LNZ109" s="531"/>
      <c r="LOA109" s="530"/>
      <c r="LOB109" s="531"/>
      <c r="LOC109" s="530"/>
      <c r="LOD109" s="531"/>
      <c r="LOE109" s="530"/>
      <c r="LOF109" s="531"/>
      <c r="LOG109" s="530"/>
      <c r="LOH109" s="531"/>
      <c r="LOI109" s="530"/>
      <c r="LOJ109" s="531"/>
      <c r="LOK109" s="530"/>
      <c r="LOL109" s="531"/>
      <c r="LOM109" s="530"/>
      <c r="LON109" s="531"/>
      <c r="LOO109" s="530"/>
      <c r="LOP109" s="531"/>
      <c r="LOQ109" s="530"/>
      <c r="LOR109" s="531"/>
      <c r="LOS109" s="530"/>
      <c r="LOT109" s="531"/>
      <c r="LOU109" s="530"/>
      <c r="LOV109" s="531"/>
      <c r="LOW109" s="530"/>
      <c r="LOX109" s="531"/>
      <c r="LOY109" s="530"/>
      <c r="LOZ109" s="531"/>
      <c r="LPA109" s="530"/>
      <c r="LPB109" s="531"/>
      <c r="LPC109" s="530"/>
      <c r="LPD109" s="531"/>
      <c r="LPE109" s="530"/>
      <c r="LPF109" s="531"/>
      <c r="LPG109" s="530"/>
      <c r="LPH109" s="531"/>
      <c r="LPI109" s="530"/>
      <c r="LPJ109" s="531"/>
      <c r="LPK109" s="530"/>
      <c r="LPL109" s="531"/>
      <c r="LPM109" s="530"/>
      <c r="LPN109" s="531"/>
      <c r="LPO109" s="530"/>
      <c r="LPP109" s="531"/>
      <c r="LPQ109" s="530"/>
      <c r="LPR109" s="531"/>
      <c r="LPS109" s="530"/>
      <c r="LPT109" s="531"/>
      <c r="LPU109" s="530"/>
      <c r="LPV109" s="531"/>
      <c r="LPW109" s="530"/>
      <c r="LPX109" s="531"/>
      <c r="LPY109" s="530"/>
      <c r="LPZ109" s="531"/>
      <c r="LQA109" s="530"/>
      <c r="LQB109" s="531"/>
      <c r="LQC109" s="530"/>
      <c r="LQD109" s="531"/>
      <c r="LQE109" s="530"/>
      <c r="LQF109" s="531"/>
      <c r="LQG109" s="530"/>
      <c r="LQH109" s="531"/>
      <c r="LQI109" s="530"/>
      <c r="LQJ109" s="531"/>
      <c r="LQK109" s="530"/>
      <c r="LQL109" s="531"/>
      <c r="LQM109" s="530"/>
      <c r="LQN109" s="531"/>
      <c r="LQO109" s="530"/>
      <c r="LQP109" s="531"/>
      <c r="LQQ109" s="530"/>
      <c r="LQR109" s="531"/>
      <c r="LQS109" s="530"/>
      <c r="LQT109" s="531"/>
      <c r="LQU109" s="530"/>
      <c r="LQV109" s="531"/>
      <c r="LQW109" s="530"/>
      <c r="LQX109" s="531"/>
      <c r="LQY109" s="530"/>
      <c r="LQZ109" s="531"/>
      <c r="LRA109" s="530"/>
      <c r="LRB109" s="531"/>
      <c r="LRC109" s="530"/>
      <c r="LRD109" s="531"/>
      <c r="LRE109" s="530"/>
      <c r="LRF109" s="531"/>
      <c r="LRG109" s="530"/>
      <c r="LRH109" s="531"/>
      <c r="LRI109" s="530"/>
      <c r="LRJ109" s="531"/>
      <c r="LRK109" s="530"/>
      <c r="LRL109" s="531"/>
      <c r="LRM109" s="530"/>
      <c r="LRN109" s="531"/>
      <c r="LRO109" s="530"/>
      <c r="LRP109" s="531"/>
      <c r="LRQ109" s="530"/>
      <c r="LRR109" s="531"/>
      <c r="LRS109" s="530"/>
      <c r="LRT109" s="531"/>
      <c r="LRU109" s="530"/>
      <c r="LRV109" s="531"/>
      <c r="LRW109" s="530"/>
      <c r="LRX109" s="531"/>
      <c r="LRY109" s="530"/>
      <c r="LRZ109" s="531"/>
      <c r="LSA109" s="530"/>
      <c r="LSB109" s="531"/>
      <c r="LSC109" s="530"/>
      <c r="LSD109" s="531"/>
      <c r="LSE109" s="530"/>
      <c r="LSF109" s="531"/>
      <c r="LSG109" s="530"/>
      <c r="LSH109" s="531"/>
      <c r="LSI109" s="530"/>
      <c r="LSJ109" s="531"/>
      <c r="LSK109" s="530"/>
      <c r="LSL109" s="531"/>
      <c r="LSM109" s="530"/>
      <c r="LSN109" s="531"/>
      <c r="LSO109" s="530"/>
      <c r="LSP109" s="531"/>
      <c r="LSQ109" s="530"/>
      <c r="LSR109" s="531"/>
      <c r="LSS109" s="530"/>
      <c r="LST109" s="531"/>
      <c r="LSU109" s="530"/>
      <c r="LSV109" s="531"/>
      <c r="LSW109" s="530"/>
      <c r="LSX109" s="531"/>
      <c r="LSY109" s="530"/>
      <c r="LSZ109" s="531"/>
      <c r="LTA109" s="530"/>
      <c r="LTB109" s="531"/>
      <c r="LTC109" s="530"/>
      <c r="LTD109" s="531"/>
      <c r="LTE109" s="530"/>
      <c r="LTF109" s="531"/>
      <c r="LTG109" s="530"/>
      <c r="LTH109" s="531"/>
      <c r="LTI109" s="530"/>
      <c r="LTJ109" s="531"/>
      <c r="LTK109" s="530"/>
      <c r="LTL109" s="531"/>
      <c r="LTM109" s="530"/>
      <c r="LTN109" s="531"/>
      <c r="LTO109" s="530"/>
      <c r="LTP109" s="531"/>
      <c r="LTQ109" s="530"/>
      <c r="LTR109" s="531"/>
      <c r="LTS109" s="530"/>
      <c r="LTT109" s="531"/>
      <c r="LTU109" s="530"/>
      <c r="LTV109" s="531"/>
      <c r="LTW109" s="530"/>
      <c r="LTX109" s="531"/>
      <c r="LTY109" s="530"/>
      <c r="LTZ109" s="531"/>
      <c r="LUA109" s="530"/>
      <c r="LUB109" s="531"/>
      <c r="LUC109" s="530"/>
      <c r="LUD109" s="531"/>
      <c r="LUE109" s="530"/>
      <c r="LUF109" s="531"/>
      <c r="LUG109" s="530"/>
      <c r="LUH109" s="531"/>
      <c r="LUI109" s="530"/>
      <c r="LUJ109" s="531"/>
      <c r="LUK109" s="530"/>
      <c r="LUL109" s="531"/>
      <c r="LUM109" s="530"/>
      <c r="LUN109" s="531"/>
      <c r="LUO109" s="530"/>
      <c r="LUP109" s="531"/>
      <c r="LUQ109" s="530"/>
      <c r="LUR109" s="531"/>
      <c r="LUS109" s="530"/>
      <c r="LUT109" s="531"/>
      <c r="LUU109" s="530"/>
      <c r="LUV109" s="531"/>
      <c r="LUW109" s="530"/>
      <c r="LUX109" s="531"/>
      <c r="LUY109" s="530"/>
      <c r="LUZ109" s="531"/>
      <c r="LVA109" s="530"/>
      <c r="LVB109" s="531"/>
      <c r="LVC109" s="530"/>
      <c r="LVD109" s="531"/>
      <c r="LVE109" s="530"/>
      <c r="LVF109" s="531"/>
      <c r="LVG109" s="530"/>
      <c r="LVH109" s="531"/>
      <c r="LVI109" s="530"/>
      <c r="LVJ109" s="531"/>
      <c r="LVK109" s="530"/>
      <c r="LVL109" s="531"/>
      <c r="LVM109" s="530"/>
      <c r="LVN109" s="531"/>
      <c r="LVO109" s="530"/>
      <c r="LVP109" s="531"/>
      <c r="LVQ109" s="530"/>
      <c r="LVR109" s="531"/>
      <c r="LVS109" s="530"/>
      <c r="LVT109" s="531"/>
      <c r="LVU109" s="530"/>
      <c r="LVV109" s="531"/>
      <c r="LVW109" s="530"/>
      <c r="LVX109" s="531"/>
      <c r="LVY109" s="530"/>
      <c r="LVZ109" s="531"/>
      <c r="LWA109" s="530"/>
      <c r="LWB109" s="531"/>
      <c r="LWC109" s="530"/>
      <c r="LWD109" s="531"/>
      <c r="LWE109" s="530"/>
      <c r="LWF109" s="531"/>
      <c r="LWG109" s="530"/>
      <c r="LWH109" s="531"/>
      <c r="LWI109" s="530"/>
      <c r="LWJ109" s="531"/>
      <c r="LWK109" s="530"/>
      <c r="LWL109" s="531"/>
      <c r="LWM109" s="530"/>
      <c r="LWN109" s="531"/>
      <c r="LWO109" s="530"/>
      <c r="LWP109" s="531"/>
      <c r="LWQ109" s="530"/>
      <c r="LWR109" s="531"/>
      <c r="LWS109" s="530"/>
      <c r="LWT109" s="531"/>
      <c r="LWU109" s="530"/>
      <c r="LWV109" s="531"/>
      <c r="LWW109" s="530"/>
      <c r="LWX109" s="531"/>
      <c r="LWY109" s="530"/>
      <c r="LWZ109" s="531"/>
      <c r="LXA109" s="530"/>
      <c r="LXB109" s="531"/>
      <c r="LXC109" s="530"/>
      <c r="LXD109" s="531"/>
      <c r="LXE109" s="530"/>
      <c r="LXF109" s="531"/>
      <c r="LXG109" s="530"/>
      <c r="LXH109" s="531"/>
      <c r="LXI109" s="530"/>
      <c r="LXJ109" s="531"/>
      <c r="LXK109" s="530"/>
      <c r="LXL109" s="531"/>
      <c r="LXM109" s="530"/>
      <c r="LXN109" s="531"/>
      <c r="LXO109" s="530"/>
      <c r="LXP109" s="531"/>
      <c r="LXQ109" s="530"/>
      <c r="LXR109" s="531"/>
      <c r="LXS109" s="530"/>
      <c r="LXT109" s="531"/>
      <c r="LXU109" s="530"/>
      <c r="LXV109" s="531"/>
      <c r="LXW109" s="530"/>
      <c r="LXX109" s="531"/>
      <c r="LXY109" s="530"/>
      <c r="LXZ109" s="531"/>
      <c r="LYA109" s="530"/>
      <c r="LYB109" s="531"/>
      <c r="LYC109" s="530"/>
      <c r="LYD109" s="531"/>
      <c r="LYE109" s="530"/>
      <c r="LYF109" s="531"/>
      <c r="LYG109" s="530"/>
      <c r="LYH109" s="531"/>
      <c r="LYI109" s="530"/>
      <c r="LYJ109" s="531"/>
      <c r="LYK109" s="530"/>
      <c r="LYL109" s="531"/>
      <c r="LYM109" s="530"/>
      <c r="LYN109" s="531"/>
      <c r="LYO109" s="530"/>
      <c r="LYP109" s="531"/>
      <c r="LYQ109" s="530"/>
      <c r="LYR109" s="531"/>
      <c r="LYS109" s="530"/>
      <c r="LYT109" s="531"/>
      <c r="LYU109" s="530"/>
      <c r="LYV109" s="531"/>
      <c r="LYW109" s="530"/>
      <c r="LYX109" s="531"/>
      <c r="LYY109" s="530"/>
      <c r="LYZ109" s="531"/>
      <c r="LZA109" s="530"/>
      <c r="LZB109" s="531"/>
      <c r="LZC109" s="530"/>
      <c r="LZD109" s="531"/>
      <c r="LZE109" s="530"/>
      <c r="LZF109" s="531"/>
      <c r="LZG109" s="530"/>
      <c r="LZH109" s="531"/>
      <c r="LZI109" s="530"/>
      <c r="LZJ109" s="531"/>
      <c r="LZK109" s="530"/>
      <c r="LZL109" s="531"/>
      <c r="LZM109" s="530"/>
      <c r="LZN109" s="531"/>
      <c r="LZO109" s="530"/>
      <c r="LZP109" s="531"/>
      <c r="LZQ109" s="530"/>
      <c r="LZR109" s="531"/>
      <c r="LZS109" s="530"/>
      <c r="LZT109" s="531"/>
      <c r="LZU109" s="530"/>
      <c r="LZV109" s="531"/>
      <c r="LZW109" s="530"/>
      <c r="LZX109" s="531"/>
      <c r="LZY109" s="530"/>
      <c r="LZZ109" s="531"/>
      <c r="MAA109" s="530"/>
      <c r="MAB109" s="531"/>
      <c r="MAC109" s="530"/>
      <c r="MAD109" s="531"/>
      <c r="MAE109" s="530"/>
      <c r="MAF109" s="531"/>
      <c r="MAG109" s="530"/>
      <c r="MAH109" s="531"/>
      <c r="MAI109" s="530"/>
      <c r="MAJ109" s="531"/>
      <c r="MAK109" s="530"/>
      <c r="MAL109" s="531"/>
      <c r="MAM109" s="530"/>
      <c r="MAN109" s="531"/>
      <c r="MAO109" s="530"/>
      <c r="MAP109" s="531"/>
      <c r="MAQ109" s="530"/>
      <c r="MAR109" s="531"/>
      <c r="MAS109" s="530"/>
      <c r="MAT109" s="531"/>
      <c r="MAU109" s="530"/>
      <c r="MAV109" s="531"/>
      <c r="MAW109" s="530"/>
      <c r="MAX109" s="531"/>
      <c r="MAY109" s="530"/>
      <c r="MAZ109" s="531"/>
      <c r="MBA109" s="530"/>
      <c r="MBB109" s="531"/>
      <c r="MBC109" s="530"/>
      <c r="MBD109" s="531"/>
      <c r="MBE109" s="530"/>
      <c r="MBF109" s="531"/>
      <c r="MBG109" s="530"/>
      <c r="MBH109" s="531"/>
      <c r="MBI109" s="530"/>
      <c r="MBJ109" s="531"/>
      <c r="MBK109" s="530"/>
      <c r="MBL109" s="531"/>
      <c r="MBM109" s="530"/>
      <c r="MBN109" s="531"/>
      <c r="MBO109" s="530"/>
      <c r="MBP109" s="531"/>
      <c r="MBQ109" s="530"/>
      <c r="MBR109" s="531"/>
      <c r="MBS109" s="530"/>
      <c r="MBT109" s="531"/>
      <c r="MBU109" s="530"/>
      <c r="MBV109" s="531"/>
      <c r="MBW109" s="530"/>
      <c r="MBX109" s="531"/>
      <c r="MBY109" s="530"/>
      <c r="MBZ109" s="531"/>
      <c r="MCA109" s="530"/>
      <c r="MCB109" s="531"/>
      <c r="MCC109" s="530"/>
      <c r="MCD109" s="531"/>
      <c r="MCE109" s="530"/>
      <c r="MCF109" s="531"/>
      <c r="MCG109" s="530"/>
      <c r="MCH109" s="531"/>
      <c r="MCI109" s="530"/>
      <c r="MCJ109" s="531"/>
      <c r="MCK109" s="530"/>
      <c r="MCL109" s="531"/>
      <c r="MCM109" s="530"/>
      <c r="MCN109" s="531"/>
      <c r="MCO109" s="530"/>
      <c r="MCP109" s="531"/>
      <c r="MCQ109" s="530"/>
      <c r="MCR109" s="531"/>
      <c r="MCS109" s="530"/>
      <c r="MCT109" s="531"/>
      <c r="MCU109" s="530"/>
      <c r="MCV109" s="531"/>
      <c r="MCW109" s="530"/>
      <c r="MCX109" s="531"/>
      <c r="MCY109" s="530"/>
      <c r="MCZ109" s="531"/>
      <c r="MDA109" s="530"/>
      <c r="MDB109" s="531"/>
      <c r="MDC109" s="530"/>
      <c r="MDD109" s="531"/>
      <c r="MDE109" s="530"/>
      <c r="MDF109" s="531"/>
      <c r="MDG109" s="530"/>
      <c r="MDH109" s="531"/>
      <c r="MDI109" s="530"/>
      <c r="MDJ109" s="531"/>
      <c r="MDK109" s="530"/>
      <c r="MDL109" s="531"/>
      <c r="MDM109" s="530"/>
      <c r="MDN109" s="531"/>
      <c r="MDO109" s="530"/>
      <c r="MDP109" s="531"/>
      <c r="MDQ109" s="530"/>
      <c r="MDR109" s="531"/>
      <c r="MDS109" s="530"/>
      <c r="MDT109" s="531"/>
      <c r="MDU109" s="530"/>
      <c r="MDV109" s="531"/>
      <c r="MDW109" s="530"/>
      <c r="MDX109" s="531"/>
      <c r="MDY109" s="530"/>
      <c r="MDZ109" s="531"/>
      <c r="MEA109" s="530"/>
      <c r="MEB109" s="531"/>
      <c r="MEC109" s="530"/>
      <c r="MED109" s="531"/>
      <c r="MEE109" s="530"/>
      <c r="MEF109" s="531"/>
      <c r="MEG109" s="530"/>
      <c r="MEH109" s="531"/>
      <c r="MEI109" s="530"/>
      <c r="MEJ109" s="531"/>
      <c r="MEK109" s="530"/>
      <c r="MEL109" s="531"/>
      <c r="MEM109" s="530"/>
      <c r="MEN109" s="531"/>
      <c r="MEO109" s="530"/>
      <c r="MEP109" s="531"/>
      <c r="MEQ109" s="530"/>
      <c r="MER109" s="531"/>
      <c r="MES109" s="530"/>
      <c r="MET109" s="531"/>
      <c r="MEU109" s="530"/>
      <c r="MEV109" s="531"/>
      <c r="MEW109" s="530"/>
      <c r="MEX109" s="531"/>
      <c r="MEY109" s="530"/>
      <c r="MEZ109" s="531"/>
      <c r="MFA109" s="530"/>
      <c r="MFB109" s="531"/>
      <c r="MFC109" s="530"/>
      <c r="MFD109" s="531"/>
      <c r="MFE109" s="530"/>
      <c r="MFF109" s="531"/>
      <c r="MFG109" s="530"/>
      <c r="MFH109" s="531"/>
      <c r="MFI109" s="530"/>
      <c r="MFJ109" s="531"/>
      <c r="MFK109" s="530"/>
      <c r="MFL109" s="531"/>
      <c r="MFM109" s="530"/>
      <c r="MFN109" s="531"/>
      <c r="MFO109" s="530"/>
      <c r="MFP109" s="531"/>
      <c r="MFQ109" s="530"/>
      <c r="MFR109" s="531"/>
      <c r="MFS109" s="530"/>
      <c r="MFT109" s="531"/>
      <c r="MFU109" s="530"/>
      <c r="MFV109" s="531"/>
      <c r="MFW109" s="530"/>
      <c r="MFX109" s="531"/>
      <c r="MFY109" s="530"/>
      <c r="MFZ109" s="531"/>
      <c r="MGA109" s="530"/>
      <c r="MGB109" s="531"/>
      <c r="MGC109" s="530"/>
      <c r="MGD109" s="531"/>
      <c r="MGE109" s="530"/>
      <c r="MGF109" s="531"/>
      <c r="MGG109" s="530"/>
      <c r="MGH109" s="531"/>
      <c r="MGI109" s="530"/>
      <c r="MGJ109" s="531"/>
      <c r="MGK109" s="530"/>
      <c r="MGL109" s="531"/>
      <c r="MGM109" s="530"/>
      <c r="MGN109" s="531"/>
      <c r="MGO109" s="530"/>
      <c r="MGP109" s="531"/>
      <c r="MGQ109" s="530"/>
      <c r="MGR109" s="531"/>
      <c r="MGS109" s="530"/>
      <c r="MGT109" s="531"/>
      <c r="MGU109" s="530"/>
      <c r="MGV109" s="531"/>
      <c r="MGW109" s="530"/>
      <c r="MGX109" s="531"/>
      <c r="MGY109" s="530"/>
      <c r="MGZ109" s="531"/>
      <c r="MHA109" s="530"/>
      <c r="MHB109" s="531"/>
      <c r="MHC109" s="530"/>
      <c r="MHD109" s="531"/>
      <c r="MHE109" s="530"/>
      <c r="MHF109" s="531"/>
      <c r="MHG109" s="530"/>
      <c r="MHH109" s="531"/>
      <c r="MHI109" s="530"/>
      <c r="MHJ109" s="531"/>
      <c r="MHK109" s="530"/>
      <c r="MHL109" s="531"/>
      <c r="MHM109" s="530"/>
      <c r="MHN109" s="531"/>
      <c r="MHO109" s="530"/>
      <c r="MHP109" s="531"/>
      <c r="MHQ109" s="530"/>
      <c r="MHR109" s="531"/>
      <c r="MHS109" s="530"/>
      <c r="MHT109" s="531"/>
      <c r="MHU109" s="530"/>
      <c r="MHV109" s="531"/>
      <c r="MHW109" s="530"/>
      <c r="MHX109" s="531"/>
      <c r="MHY109" s="530"/>
      <c r="MHZ109" s="531"/>
      <c r="MIA109" s="530"/>
      <c r="MIB109" s="531"/>
      <c r="MIC109" s="530"/>
      <c r="MID109" s="531"/>
      <c r="MIE109" s="530"/>
      <c r="MIF109" s="531"/>
      <c r="MIG109" s="530"/>
      <c r="MIH109" s="531"/>
      <c r="MII109" s="530"/>
      <c r="MIJ109" s="531"/>
      <c r="MIK109" s="530"/>
      <c r="MIL109" s="531"/>
      <c r="MIM109" s="530"/>
      <c r="MIN109" s="531"/>
      <c r="MIO109" s="530"/>
      <c r="MIP109" s="531"/>
      <c r="MIQ109" s="530"/>
      <c r="MIR109" s="531"/>
      <c r="MIS109" s="530"/>
      <c r="MIT109" s="531"/>
      <c r="MIU109" s="530"/>
      <c r="MIV109" s="531"/>
      <c r="MIW109" s="530"/>
      <c r="MIX109" s="531"/>
      <c r="MIY109" s="530"/>
      <c r="MIZ109" s="531"/>
      <c r="MJA109" s="530"/>
      <c r="MJB109" s="531"/>
      <c r="MJC109" s="530"/>
      <c r="MJD109" s="531"/>
      <c r="MJE109" s="530"/>
      <c r="MJF109" s="531"/>
      <c r="MJG109" s="530"/>
      <c r="MJH109" s="531"/>
      <c r="MJI109" s="530"/>
      <c r="MJJ109" s="531"/>
      <c r="MJK109" s="530"/>
      <c r="MJL109" s="531"/>
      <c r="MJM109" s="530"/>
      <c r="MJN109" s="531"/>
      <c r="MJO109" s="530"/>
      <c r="MJP109" s="531"/>
      <c r="MJQ109" s="530"/>
      <c r="MJR109" s="531"/>
      <c r="MJS109" s="530"/>
      <c r="MJT109" s="531"/>
      <c r="MJU109" s="530"/>
      <c r="MJV109" s="531"/>
      <c r="MJW109" s="530"/>
      <c r="MJX109" s="531"/>
      <c r="MJY109" s="530"/>
      <c r="MJZ109" s="531"/>
      <c r="MKA109" s="530"/>
      <c r="MKB109" s="531"/>
      <c r="MKC109" s="530"/>
      <c r="MKD109" s="531"/>
      <c r="MKE109" s="530"/>
      <c r="MKF109" s="531"/>
      <c r="MKG109" s="530"/>
      <c r="MKH109" s="531"/>
      <c r="MKI109" s="530"/>
      <c r="MKJ109" s="531"/>
      <c r="MKK109" s="530"/>
      <c r="MKL109" s="531"/>
      <c r="MKM109" s="530"/>
      <c r="MKN109" s="531"/>
      <c r="MKO109" s="530"/>
      <c r="MKP109" s="531"/>
      <c r="MKQ109" s="530"/>
      <c r="MKR109" s="531"/>
      <c r="MKS109" s="530"/>
      <c r="MKT109" s="531"/>
      <c r="MKU109" s="530"/>
      <c r="MKV109" s="531"/>
      <c r="MKW109" s="530"/>
      <c r="MKX109" s="531"/>
      <c r="MKY109" s="530"/>
      <c r="MKZ109" s="531"/>
      <c r="MLA109" s="530"/>
      <c r="MLB109" s="531"/>
      <c r="MLC109" s="530"/>
      <c r="MLD109" s="531"/>
      <c r="MLE109" s="530"/>
      <c r="MLF109" s="531"/>
      <c r="MLG109" s="530"/>
      <c r="MLH109" s="531"/>
      <c r="MLI109" s="530"/>
      <c r="MLJ109" s="531"/>
      <c r="MLK109" s="530"/>
      <c r="MLL109" s="531"/>
      <c r="MLM109" s="530"/>
      <c r="MLN109" s="531"/>
      <c r="MLO109" s="530"/>
      <c r="MLP109" s="531"/>
      <c r="MLQ109" s="530"/>
      <c r="MLR109" s="531"/>
      <c r="MLS109" s="530"/>
      <c r="MLT109" s="531"/>
      <c r="MLU109" s="530"/>
      <c r="MLV109" s="531"/>
      <c r="MLW109" s="530"/>
      <c r="MLX109" s="531"/>
      <c r="MLY109" s="530"/>
      <c r="MLZ109" s="531"/>
      <c r="MMA109" s="530"/>
      <c r="MMB109" s="531"/>
      <c r="MMC109" s="530"/>
      <c r="MMD109" s="531"/>
      <c r="MME109" s="530"/>
      <c r="MMF109" s="531"/>
      <c r="MMG109" s="530"/>
      <c r="MMH109" s="531"/>
      <c r="MMI109" s="530"/>
      <c r="MMJ109" s="531"/>
      <c r="MMK109" s="530"/>
      <c r="MML109" s="531"/>
      <c r="MMM109" s="530"/>
      <c r="MMN109" s="531"/>
      <c r="MMO109" s="530"/>
      <c r="MMP109" s="531"/>
      <c r="MMQ109" s="530"/>
      <c r="MMR109" s="531"/>
      <c r="MMS109" s="530"/>
      <c r="MMT109" s="531"/>
      <c r="MMU109" s="530"/>
      <c r="MMV109" s="531"/>
      <c r="MMW109" s="530"/>
      <c r="MMX109" s="531"/>
      <c r="MMY109" s="530"/>
      <c r="MMZ109" s="531"/>
      <c r="MNA109" s="530"/>
      <c r="MNB109" s="531"/>
      <c r="MNC109" s="530"/>
      <c r="MND109" s="531"/>
      <c r="MNE109" s="530"/>
      <c r="MNF109" s="531"/>
      <c r="MNG109" s="530"/>
      <c r="MNH109" s="531"/>
      <c r="MNI109" s="530"/>
      <c r="MNJ109" s="531"/>
      <c r="MNK109" s="530"/>
      <c r="MNL109" s="531"/>
      <c r="MNM109" s="530"/>
      <c r="MNN109" s="531"/>
      <c r="MNO109" s="530"/>
      <c r="MNP109" s="531"/>
      <c r="MNQ109" s="530"/>
      <c r="MNR109" s="531"/>
      <c r="MNS109" s="530"/>
      <c r="MNT109" s="531"/>
      <c r="MNU109" s="530"/>
      <c r="MNV109" s="531"/>
      <c r="MNW109" s="530"/>
      <c r="MNX109" s="531"/>
      <c r="MNY109" s="530"/>
      <c r="MNZ109" s="531"/>
      <c r="MOA109" s="530"/>
      <c r="MOB109" s="531"/>
      <c r="MOC109" s="530"/>
      <c r="MOD109" s="531"/>
      <c r="MOE109" s="530"/>
      <c r="MOF109" s="531"/>
      <c r="MOG109" s="530"/>
      <c r="MOH109" s="531"/>
      <c r="MOI109" s="530"/>
      <c r="MOJ109" s="531"/>
      <c r="MOK109" s="530"/>
      <c r="MOL109" s="531"/>
      <c r="MOM109" s="530"/>
      <c r="MON109" s="531"/>
      <c r="MOO109" s="530"/>
      <c r="MOP109" s="531"/>
      <c r="MOQ109" s="530"/>
      <c r="MOR109" s="531"/>
      <c r="MOS109" s="530"/>
      <c r="MOT109" s="531"/>
      <c r="MOU109" s="530"/>
      <c r="MOV109" s="531"/>
      <c r="MOW109" s="530"/>
      <c r="MOX109" s="531"/>
      <c r="MOY109" s="530"/>
      <c r="MOZ109" s="531"/>
      <c r="MPA109" s="530"/>
      <c r="MPB109" s="531"/>
      <c r="MPC109" s="530"/>
      <c r="MPD109" s="531"/>
      <c r="MPE109" s="530"/>
      <c r="MPF109" s="531"/>
      <c r="MPG109" s="530"/>
      <c r="MPH109" s="531"/>
      <c r="MPI109" s="530"/>
      <c r="MPJ109" s="531"/>
      <c r="MPK109" s="530"/>
      <c r="MPL109" s="531"/>
      <c r="MPM109" s="530"/>
      <c r="MPN109" s="531"/>
      <c r="MPO109" s="530"/>
      <c r="MPP109" s="531"/>
      <c r="MPQ109" s="530"/>
      <c r="MPR109" s="531"/>
      <c r="MPS109" s="530"/>
      <c r="MPT109" s="531"/>
      <c r="MPU109" s="530"/>
      <c r="MPV109" s="531"/>
      <c r="MPW109" s="530"/>
      <c r="MPX109" s="531"/>
      <c r="MPY109" s="530"/>
      <c r="MPZ109" s="531"/>
      <c r="MQA109" s="530"/>
      <c r="MQB109" s="531"/>
      <c r="MQC109" s="530"/>
      <c r="MQD109" s="531"/>
      <c r="MQE109" s="530"/>
      <c r="MQF109" s="531"/>
      <c r="MQG109" s="530"/>
      <c r="MQH109" s="531"/>
      <c r="MQI109" s="530"/>
      <c r="MQJ109" s="531"/>
      <c r="MQK109" s="530"/>
      <c r="MQL109" s="531"/>
      <c r="MQM109" s="530"/>
      <c r="MQN109" s="531"/>
      <c r="MQO109" s="530"/>
      <c r="MQP109" s="531"/>
      <c r="MQQ109" s="530"/>
      <c r="MQR109" s="531"/>
      <c r="MQS109" s="530"/>
      <c r="MQT109" s="531"/>
      <c r="MQU109" s="530"/>
      <c r="MQV109" s="531"/>
      <c r="MQW109" s="530"/>
      <c r="MQX109" s="531"/>
      <c r="MQY109" s="530"/>
      <c r="MQZ109" s="531"/>
      <c r="MRA109" s="530"/>
      <c r="MRB109" s="531"/>
      <c r="MRC109" s="530"/>
      <c r="MRD109" s="531"/>
      <c r="MRE109" s="530"/>
      <c r="MRF109" s="531"/>
      <c r="MRG109" s="530"/>
      <c r="MRH109" s="531"/>
      <c r="MRI109" s="530"/>
      <c r="MRJ109" s="531"/>
      <c r="MRK109" s="530"/>
      <c r="MRL109" s="531"/>
      <c r="MRM109" s="530"/>
      <c r="MRN109" s="531"/>
      <c r="MRO109" s="530"/>
      <c r="MRP109" s="531"/>
      <c r="MRQ109" s="530"/>
      <c r="MRR109" s="531"/>
      <c r="MRS109" s="530"/>
      <c r="MRT109" s="531"/>
      <c r="MRU109" s="530"/>
      <c r="MRV109" s="531"/>
      <c r="MRW109" s="530"/>
      <c r="MRX109" s="531"/>
      <c r="MRY109" s="530"/>
      <c r="MRZ109" s="531"/>
      <c r="MSA109" s="530"/>
      <c r="MSB109" s="531"/>
      <c r="MSC109" s="530"/>
      <c r="MSD109" s="531"/>
      <c r="MSE109" s="530"/>
      <c r="MSF109" s="531"/>
      <c r="MSG109" s="530"/>
      <c r="MSH109" s="531"/>
      <c r="MSI109" s="530"/>
      <c r="MSJ109" s="531"/>
      <c r="MSK109" s="530"/>
      <c r="MSL109" s="531"/>
      <c r="MSM109" s="530"/>
      <c r="MSN109" s="531"/>
      <c r="MSO109" s="530"/>
      <c r="MSP109" s="531"/>
      <c r="MSQ109" s="530"/>
      <c r="MSR109" s="531"/>
      <c r="MSS109" s="530"/>
      <c r="MST109" s="531"/>
      <c r="MSU109" s="530"/>
      <c r="MSV109" s="531"/>
      <c r="MSW109" s="530"/>
      <c r="MSX109" s="531"/>
      <c r="MSY109" s="530"/>
      <c r="MSZ109" s="531"/>
      <c r="MTA109" s="530"/>
      <c r="MTB109" s="531"/>
      <c r="MTC109" s="530"/>
      <c r="MTD109" s="531"/>
      <c r="MTE109" s="530"/>
      <c r="MTF109" s="531"/>
      <c r="MTG109" s="530"/>
      <c r="MTH109" s="531"/>
      <c r="MTI109" s="530"/>
      <c r="MTJ109" s="531"/>
      <c r="MTK109" s="530"/>
      <c r="MTL109" s="531"/>
      <c r="MTM109" s="530"/>
      <c r="MTN109" s="531"/>
      <c r="MTO109" s="530"/>
      <c r="MTP109" s="531"/>
      <c r="MTQ109" s="530"/>
      <c r="MTR109" s="531"/>
      <c r="MTS109" s="530"/>
      <c r="MTT109" s="531"/>
      <c r="MTU109" s="530"/>
      <c r="MTV109" s="531"/>
      <c r="MTW109" s="530"/>
      <c r="MTX109" s="531"/>
      <c r="MTY109" s="530"/>
      <c r="MTZ109" s="531"/>
      <c r="MUA109" s="530"/>
      <c r="MUB109" s="531"/>
      <c r="MUC109" s="530"/>
      <c r="MUD109" s="531"/>
      <c r="MUE109" s="530"/>
      <c r="MUF109" s="531"/>
      <c r="MUG109" s="530"/>
      <c r="MUH109" s="531"/>
      <c r="MUI109" s="530"/>
      <c r="MUJ109" s="531"/>
      <c r="MUK109" s="530"/>
      <c r="MUL109" s="531"/>
      <c r="MUM109" s="530"/>
      <c r="MUN109" s="531"/>
      <c r="MUO109" s="530"/>
      <c r="MUP109" s="531"/>
      <c r="MUQ109" s="530"/>
      <c r="MUR109" s="531"/>
      <c r="MUS109" s="530"/>
      <c r="MUT109" s="531"/>
      <c r="MUU109" s="530"/>
      <c r="MUV109" s="531"/>
      <c r="MUW109" s="530"/>
      <c r="MUX109" s="531"/>
      <c r="MUY109" s="530"/>
      <c r="MUZ109" s="531"/>
      <c r="MVA109" s="530"/>
      <c r="MVB109" s="531"/>
      <c r="MVC109" s="530"/>
      <c r="MVD109" s="531"/>
      <c r="MVE109" s="530"/>
      <c r="MVF109" s="531"/>
      <c r="MVG109" s="530"/>
      <c r="MVH109" s="531"/>
      <c r="MVI109" s="530"/>
      <c r="MVJ109" s="531"/>
      <c r="MVK109" s="530"/>
      <c r="MVL109" s="531"/>
      <c r="MVM109" s="530"/>
      <c r="MVN109" s="531"/>
      <c r="MVO109" s="530"/>
      <c r="MVP109" s="531"/>
      <c r="MVQ109" s="530"/>
      <c r="MVR109" s="531"/>
      <c r="MVS109" s="530"/>
      <c r="MVT109" s="531"/>
      <c r="MVU109" s="530"/>
      <c r="MVV109" s="531"/>
      <c r="MVW109" s="530"/>
      <c r="MVX109" s="531"/>
      <c r="MVY109" s="530"/>
      <c r="MVZ109" s="531"/>
      <c r="MWA109" s="530"/>
      <c r="MWB109" s="531"/>
      <c r="MWC109" s="530"/>
      <c r="MWD109" s="531"/>
      <c r="MWE109" s="530"/>
      <c r="MWF109" s="531"/>
      <c r="MWG109" s="530"/>
      <c r="MWH109" s="531"/>
      <c r="MWI109" s="530"/>
      <c r="MWJ109" s="531"/>
      <c r="MWK109" s="530"/>
      <c r="MWL109" s="531"/>
      <c r="MWM109" s="530"/>
      <c r="MWN109" s="531"/>
      <c r="MWO109" s="530"/>
      <c r="MWP109" s="531"/>
      <c r="MWQ109" s="530"/>
      <c r="MWR109" s="531"/>
      <c r="MWS109" s="530"/>
      <c r="MWT109" s="531"/>
      <c r="MWU109" s="530"/>
      <c r="MWV109" s="531"/>
      <c r="MWW109" s="530"/>
      <c r="MWX109" s="531"/>
      <c r="MWY109" s="530"/>
      <c r="MWZ109" s="531"/>
      <c r="MXA109" s="530"/>
      <c r="MXB109" s="531"/>
      <c r="MXC109" s="530"/>
      <c r="MXD109" s="531"/>
      <c r="MXE109" s="530"/>
      <c r="MXF109" s="531"/>
      <c r="MXG109" s="530"/>
      <c r="MXH109" s="531"/>
      <c r="MXI109" s="530"/>
      <c r="MXJ109" s="531"/>
      <c r="MXK109" s="530"/>
      <c r="MXL109" s="531"/>
      <c r="MXM109" s="530"/>
      <c r="MXN109" s="531"/>
      <c r="MXO109" s="530"/>
      <c r="MXP109" s="531"/>
      <c r="MXQ109" s="530"/>
      <c r="MXR109" s="531"/>
      <c r="MXS109" s="530"/>
      <c r="MXT109" s="531"/>
      <c r="MXU109" s="530"/>
      <c r="MXV109" s="531"/>
      <c r="MXW109" s="530"/>
      <c r="MXX109" s="531"/>
      <c r="MXY109" s="530"/>
      <c r="MXZ109" s="531"/>
      <c r="MYA109" s="530"/>
      <c r="MYB109" s="531"/>
      <c r="MYC109" s="530"/>
      <c r="MYD109" s="531"/>
      <c r="MYE109" s="530"/>
      <c r="MYF109" s="531"/>
      <c r="MYG109" s="530"/>
      <c r="MYH109" s="531"/>
      <c r="MYI109" s="530"/>
      <c r="MYJ109" s="531"/>
      <c r="MYK109" s="530"/>
      <c r="MYL109" s="531"/>
      <c r="MYM109" s="530"/>
      <c r="MYN109" s="531"/>
      <c r="MYO109" s="530"/>
      <c r="MYP109" s="531"/>
      <c r="MYQ109" s="530"/>
      <c r="MYR109" s="531"/>
      <c r="MYS109" s="530"/>
      <c r="MYT109" s="531"/>
      <c r="MYU109" s="530"/>
      <c r="MYV109" s="531"/>
      <c r="MYW109" s="530"/>
      <c r="MYX109" s="531"/>
      <c r="MYY109" s="530"/>
      <c r="MYZ109" s="531"/>
      <c r="MZA109" s="530"/>
      <c r="MZB109" s="531"/>
      <c r="MZC109" s="530"/>
      <c r="MZD109" s="531"/>
      <c r="MZE109" s="530"/>
      <c r="MZF109" s="531"/>
      <c r="MZG109" s="530"/>
      <c r="MZH109" s="531"/>
      <c r="MZI109" s="530"/>
      <c r="MZJ109" s="531"/>
      <c r="MZK109" s="530"/>
      <c r="MZL109" s="531"/>
      <c r="MZM109" s="530"/>
      <c r="MZN109" s="531"/>
      <c r="MZO109" s="530"/>
      <c r="MZP109" s="531"/>
      <c r="MZQ109" s="530"/>
      <c r="MZR109" s="531"/>
      <c r="MZS109" s="530"/>
      <c r="MZT109" s="531"/>
      <c r="MZU109" s="530"/>
      <c r="MZV109" s="531"/>
      <c r="MZW109" s="530"/>
      <c r="MZX109" s="531"/>
      <c r="MZY109" s="530"/>
      <c r="MZZ109" s="531"/>
      <c r="NAA109" s="530"/>
      <c r="NAB109" s="531"/>
      <c r="NAC109" s="530"/>
      <c r="NAD109" s="531"/>
      <c r="NAE109" s="530"/>
      <c r="NAF109" s="531"/>
      <c r="NAG109" s="530"/>
      <c r="NAH109" s="531"/>
      <c r="NAI109" s="530"/>
      <c r="NAJ109" s="531"/>
      <c r="NAK109" s="530"/>
      <c r="NAL109" s="531"/>
      <c r="NAM109" s="530"/>
      <c r="NAN109" s="531"/>
      <c r="NAO109" s="530"/>
      <c r="NAP109" s="531"/>
      <c r="NAQ109" s="530"/>
      <c r="NAR109" s="531"/>
      <c r="NAS109" s="530"/>
      <c r="NAT109" s="531"/>
      <c r="NAU109" s="530"/>
      <c r="NAV109" s="531"/>
      <c r="NAW109" s="530"/>
      <c r="NAX109" s="531"/>
      <c r="NAY109" s="530"/>
      <c r="NAZ109" s="531"/>
      <c r="NBA109" s="530"/>
      <c r="NBB109" s="531"/>
      <c r="NBC109" s="530"/>
      <c r="NBD109" s="531"/>
      <c r="NBE109" s="530"/>
      <c r="NBF109" s="531"/>
      <c r="NBG109" s="530"/>
      <c r="NBH109" s="531"/>
      <c r="NBI109" s="530"/>
      <c r="NBJ109" s="531"/>
      <c r="NBK109" s="530"/>
      <c r="NBL109" s="531"/>
      <c r="NBM109" s="530"/>
      <c r="NBN109" s="531"/>
      <c r="NBO109" s="530"/>
      <c r="NBP109" s="531"/>
      <c r="NBQ109" s="530"/>
      <c r="NBR109" s="531"/>
      <c r="NBS109" s="530"/>
      <c r="NBT109" s="531"/>
      <c r="NBU109" s="530"/>
      <c r="NBV109" s="531"/>
      <c r="NBW109" s="530"/>
      <c r="NBX109" s="531"/>
      <c r="NBY109" s="530"/>
      <c r="NBZ109" s="531"/>
      <c r="NCA109" s="530"/>
      <c r="NCB109" s="531"/>
      <c r="NCC109" s="530"/>
      <c r="NCD109" s="531"/>
      <c r="NCE109" s="530"/>
      <c r="NCF109" s="531"/>
      <c r="NCG109" s="530"/>
      <c r="NCH109" s="531"/>
      <c r="NCI109" s="530"/>
      <c r="NCJ109" s="531"/>
      <c r="NCK109" s="530"/>
      <c r="NCL109" s="531"/>
      <c r="NCM109" s="530"/>
      <c r="NCN109" s="531"/>
      <c r="NCO109" s="530"/>
      <c r="NCP109" s="531"/>
      <c r="NCQ109" s="530"/>
      <c r="NCR109" s="531"/>
      <c r="NCS109" s="530"/>
      <c r="NCT109" s="531"/>
      <c r="NCU109" s="530"/>
      <c r="NCV109" s="531"/>
      <c r="NCW109" s="530"/>
      <c r="NCX109" s="531"/>
      <c r="NCY109" s="530"/>
      <c r="NCZ109" s="531"/>
      <c r="NDA109" s="530"/>
      <c r="NDB109" s="531"/>
      <c r="NDC109" s="530"/>
      <c r="NDD109" s="531"/>
      <c r="NDE109" s="530"/>
      <c r="NDF109" s="531"/>
      <c r="NDG109" s="530"/>
      <c r="NDH109" s="531"/>
      <c r="NDI109" s="530"/>
      <c r="NDJ109" s="531"/>
      <c r="NDK109" s="530"/>
      <c r="NDL109" s="531"/>
      <c r="NDM109" s="530"/>
      <c r="NDN109" s="531"/>
      <c r="NDO109" s="530"/>
      <c r="NDP109" s="531"/>
      <c r="NDQ109" s="530"/>
      <c r="NDR109" s="531"/>
      <c r="NDS109" s="530"/>
      <c r="NDT109" s="531"/>
      <c r="NDU109" s="530"/>
      <c r="NDV109" s="531"/>
      <c r="NDW109" s="530"/>
      <c r="NDX109" s="531"/>
      <c r="NDY109" s="530"/>
      <c r="NDZ109" s="531"/>
      <c r="NEA109" s="530"/>
      <c r="NEB109" s="531"/>
      <c r="NEC109" s="530"/>
      <c r="NED109" s="531"/>
      <c r="NEE109" s="530"/>
      <c r="NEF109" s="531"/>
      <c r="NEG109" s="530"/>
      <c r="NEH109" s="531"/>
      <c r="NEI109" s="530"/>
      <c r="NEJ109" s="531"/>
      <c r="NEK109" s="530"/>
      <c r="NEL109" s="531"/>
      <c r="NEM109" s="530"/>
      <c r="NEN109" s="531"/>
      <c r="NEO109" s="530"/>
      <c r="NEP109" s="531"/>
      <c r="NEQ109" s="530"/>
      <c r="NER109" s="531"/>
      <c r="NES109" s="530"/>
      <c r="NET109" s="531"/>
      <c r="NEU109" s="530"/>
      <c r="NEV109" s="531"/>
      <c r="NEW109" s="530"/>
      <c r="NEX109" s="531"/>
      <c r="NEY109" s="530"/>
      <c r="NEZ109" s="531"/>
      <c r="NFA109" s="530"/>
      <c r="NFB109" s="531"/>
      <c r="NFC109" s="530"/>
      <c r="NFD109" s="531"/>
      <c r="NFE109" s="530"/>
      <c r="NFF109" s="531"/>
      <c r="NFG109" s="530"/>
      <c r="NFH109" s="531"/>
      <c r="NFI109" s="530"/>
      <c r="NFJ109" s="531"/>
      <c r="NFK109" s="530"/>
      <c r="NFL109" s="531"/>
      <c r="NFM109" s="530"/>
      <c r="NFN109" s="531"/>
      <c r="NFO109" s="530"/>
      <c r="NFP109" s="531"/>
      <c r="NFQ109" s="530"/>
      <c r="NFR109" s="531"/>
      <c r="NFS109" s="530"/>
      <c r="NFT109" s="531"/>
      <c r="NFU109" s="530"/>
      <c r="NFV109" s="531"/>
      <c r="NFW109" s="530"/>
      <c r="NFX109" s="531"/>
      <c r="NFY109" s="530"/>
      <c r="NFZ109" s="531"/>
      <c r="NGA109" s="530"/>
      <c r="NGB109" s="531"/>
      <c r="NGC109" s="530"/>
      <c r="NGD109" s="531"/>
      <c r="NGE109" s="530"/>
      <c r="NGF109" s="531"/>
      <c r="NGG109" s="530"/>
      <c r="NGH109" s="531"/>
      <c r="NGI109" s="530"/>
      <c r="NGJ109" s="531"/>
      <c r="NGK109" s="530"/>
      <c r="NGL109" s="531"/>
      <c r="NGM109" s="530"/>
      <c r="NGN109" s="531"/>
      <c r="NGO109" s="530"/>
      <c r="NGP109" s="531"/>
      <c r="NGQ109" s="530"/>
      <c r="NGR109" s="531"/>
      <c r="NGS109" s="530"/>
      <c r="NGT109" s="531"/>
      <c r="NGU109" s="530"/>
      <c r="NGV109" s="531"/>
      <c r="NGW109" s="530"/>
      <c r="NGX109" s="531"/>
      <c r="NGY109" s="530"/>
      <c r="NGZ109" s="531"/>
      <c r="NHA109" s="530"/>
      <c r="NHB109" s="531"/>
      <c r="NHC109" s="530"/>
      <c r="NHD109" s="531"/>
      <c r="NHE109" s="530"/>
      <c r="NHF109" s="531"/>
      <c r="NHG109" s="530"/>
      <c r="NHH109" s="531"/>
      <c r="NHI109" s="530"/>
      <c r="NHJ109" s="531"/>
      <c r="NHK109" s="530"/>
      <c r="NHL109" s="531"/>
      <c r="NHM109" s="530"/>
      <c r="NHN109" s="531"/>
      <c r="NHO109" s="530"/>
      <c r="NHP109" s="531"/>
      <c r="NHQ109" s="530"/>
      <c r="NHR109" s="531"/>
      <c r="NHS109" s="530"/>
      <c r="NHT109" s="531"/>
      <c r="NHU109" s="530"/>
      <c r="NHV109" s="531"/>
      <c r="NHW109" s="530"/>
      <c r="NHX109" s="531"/>
      <c r="NHY109" s="530"/>
      <c r="NHZ109" s="531"/>
      <c r="NIA109" s="530"/>
      <c r="NIB109" s="531"/>
      <c r="NIC109" s="530"/>
      <c r="NID109" s="531"/>
      <c r="NIE109" s="530"/>
      <c r="NIF109" s="531"/>
      <c r="NIG109" s="530"/>
      <c r="NIH109" s="531"/>
      <c r="NII109" s="530"/>
      <c r="NIJ109" s="531"/>
      <c r="NIK109" s="530"/>
      <c r="NIL109" s="531"/>
      <c r="NIM109" s="530"/>
      <c r="NIN109" s="531"/>
      <c r="NIO109" s="530"/>
      <c r="NIP109" s="531"/>
      <c r="NIQ109" s="530"/>
      <c r="NIR109" s="531"/>
      <c r="NIS109" s="530"/>
      <c r="NIT109" s="531"/>
      <c r="NIU109" s="530"/>
      <c r="NIV109" s="531"/>
      <c r="NIW109" s="530"/>
      <c r="NIX109" s="531"/>
      <c r="NIY109" s="530"/>
      <c r="NIZ109" s="531"/>
      <c r="NJA109" s="530"/>
      <c r="NJB109" s="531"/>
      <c r="NJC109" s="530"/>
      <c r="NJD109" s="531"/>
      <c r="NJE109" s="530"/>
      <c r="NJF109" s="531"/>
      <c r="NJG109" s="530"/>
      <c r="NJH109" s="531"/>
      <c r="NJI109" s="530"/>
      <c r="NJJ109" s="531"/>
      <c r="NJK109" s="530"/>
      <c r="NJL109" s="531"/>
      <c r="NJM109" s="530"/>
      <c r="NJN109" s="531"/>
      <c r="NJO109" s="530"/>
      <c r="NJP109" s="531"/>
      <c r="NJQ109" s="530"/>
      <c r="NJR109" s="531"/>
      <c r="NJS109" s="530"/>
      <c r="NJT109" s="531"/>
      <c r="NJU109" s="530"/>
      <c r="NJV109" s="531"/>
      <c r="NJW109" s="530"/>
      <c r="NJX109" s="531"/>
      <c r="NJY109" s="530"/>
      <c r="NJZ109" s="531"/>
      <c r="NKA109" s="530"/>
      <c r="NKB109" s="531"/>
      <c r="NKC109" s="530"/>
      <c r="NKD109" s="531"/>
      <c r="NKE109" s="530"/>
      <c r="NKF109" s="531"/>
      <c r="NKG109" s="530"/>
      <c r="NKH109" s="531"/>
      <c r="NKI109" s="530"/>
      <c r="NKJ109" s="531"/>
      <c r="NKK109" s="530"/>
      <c r="NKL109" s="531"/>
      <c r="NKM109" s="530"/>
      <c r="NKN109" s="531"/>
      <c r="NKO109" s="530"/>
      <c r="NKP109" s="531"/>
      <c r="NKQ109" s="530"/>
      <c r="NKR109" s="531"/>
      <c r="NKS109" s="530"/>
      <c r="NKT109" s="531"/>
      <c r="NKU109" s="530"/>
      <c r="NKV109" s="531"/>
      <c r="NKW109" s="530"/>
      <c r="NKX109" s="531"/>
      <c r="NKY109" s="530"/>
      <c r="NKZ109" s="531"/>
      <c r="NLA109" s="530"/>
      <c r="NLB109" s="531"/>
      <c r="NLC109" s="530"/>
      <c r="NLD109" s="531"/>
      <c r="NLE109" s="530"/>
      <c r="NLF109" s="531"/>
      <c r="NLG109" s="530"/>
      <c r="NLH109" s="531"/>
      <c r="NLI109" s="530"/>
      <c r="NLJ109" s="531"/>
      <c r="NLK109" s="530"/>
      <c r="NLL109" s="531"/>
      <c r="NLM109" s="530"/>
      <c r="NLN109" s="531"/>
      <c r="NLO109" s="530"/>
      <c r="NLP109" s="531"/>
      <c r="NLQ109" s="530"/>
      <c r="NLR109" s="531"/>
      <c r="NLS109" s="530"/>
      <c r="NLT109" s="531"/>
      <c r="NLU109" s="530"/>
      <c r="NLV109" s="531"/>
      <c r="NLW109" s="530"/>
      <c r="NLX109" s="531"/>
      <c r="NLY109" s="530"/>
      <c r="NLZ109" s="531"/>
      <c r="NMA109" s="530"/>
      <c r="NMB109" s="531"/>
      <c r="NMC109" s="530"/>
      <c r="NMD109" s="531"/>
      <c r="NME109" s="530"/>
      <c r="NMF109" s="531"/>
      <c r="NMG109" s="530"/>
      <c r="NMH109" s="531"/>
      <c r="NMI109" s="530"/>
      <c r="NMJ109" s="531"/>
      <c r="NMK109" s="530"/>
      <c r="NML109" s="531"/>
      <c r="NMM109" s="530"/>
      <c r="NMN109" s="531"/>
      <c r="NMO109" s="530"/>
      <c r="NMP109" s="531"/>
      <c r="NMQ109" s="530"/>
      <c r="NMR109" s="531"/>
      <c r="NMS109" s="530"/>
      <c r="NMT109" s="531"/>
      <c r="NMU109" s="530"/>
      <c r="NMV109" s="531"/>
      <c r="NMW109" s="530"/>
      <c r="NMX109" s="531"/>
      <c r="NMY109" s="530"/>
      <c r="NMZ109" s="531"/>
      <c r="NNA109" s="530"/>
      <c r="NNB109" s="531"/>
      <c r="NNC109" s="530"/>
      <c r="NND109" s="531"/>
      <c r="NNE109" s="530"/>
      <c r="NNF109" s="531"/>
      <c r="NNG109" s="530"/>
      <c r="NNH109" s="531"/>
      <c r="NNI109" s="530"/>
      <c r="NNJ109" s="531"/>
      <c r="NNK109" s="530"/>
      <c r="NNL109" s="531"/>
      <c r="NNM109" s="530"/>
      <c r="NNN109" s="531"/>
      <c r="NNO109" s="530"/>
      <c r="NNP109" s="531"/>
      <c r="NNQ109" s="530"/>
      <c r="NNR109" s="531"/>
      <c r="NNS109" s="530"/>
      <c r="NNT109" s="531"/>
      <c r="NNU109" s="530"/>
      <c r="NNV109" s="531"/>
      <c r="NNW109" s="530"/>
      <c r="NNX109" s="531"/>
      <c r="NNY109" s="530"/>
      <c r="NNZ109" s="531"/>
      <c r="NOA109" s="530"/>
      <c r="NOB109" s="531"/>
      <c r="NOC109" s="530"/>
      <c r="NOD109" s="531"/>
      <c r="NOE109" s="530"/>
      <c r="NOF109" s="531"/>
      <c r="NOG109" s="530"/>
      <c r="NOH109" s="531"/>
      <c r="NOI109" s="530"/>
      <c r="NOJ109" s="531"/>
      <c r="NOK109" s="530"/>
      <c r="NOL109" s="531"/>
      <c r="NOM109" s="530"/>
      <c r="NON109" s="531"/>
      <c r="NOO109" s="530"/>
      <c r="NOP109" s="531"/>
      <c r="NOQ109" s="530"/>
      <c r="NOR109" s="531"/>
      <c r="NOS109" s="530"/>
      <c r="NOT109" s="531"/>
      <c r="NOU109" s="530"/>
      <c r="NOV109" s="531"/>
      <c r="NOW109" s="530"/>
      <c r="NOX109" s="531"/>
      <c r="NOY109" s="530"/>
      <c r="NOZ109" s="531"/>
      <c r="NPA109" s="530"/>
      <c r="NPB109" s="531"/>
      <c r="NPC109" s="530"/>
      <c r="NPD109" s="531"/>
      <c r="NPE109" s="530"/>
      <c r="NPF109" s="531"/>
      <c r="NPG109" s="530"/>
      <c r="NPH109" s="531"/>
      <c r="NPI109" s="530"/>
      <c r="NPJ109" s="531"/>
      <c r="NPK109" s="530"/>
      <c r="NPL109" s="531"/>
      <c r="NPM109" s="530"/>
      <c r="NPN109" s="531"/>
      <c r="NPO109" s="530"/>
      <c r="NPP109" s="531"/>
      <c r="NPQ109" s="530"/>
      <c r="NPR109" s="531"/>
      <c r="NPS109" s="530"/>
      <c r="NPT109" s="531"/>
      <c r="NPU109" s="530"/>
      <c r="NPV109" s="531"/>
      <c r="NPW109" s="530"/>
      <c r="NPX109" s="531"/>
      <c r="NPY109" s="530"/>
      <c r="NPZ109" s="531"/>
      <c r="NQA109" s="530"/>
      <c r="NQB109" s="531"/>
      <c r="NQC109" s="530"/>
      <c r="NQD109" s="531"/>
      <c r="NQE109" s="530"/>
      <c r="NQF109" s="531"/>
      <c r="NQG109" s="530"/>
      <c r="NQH109" s="531"/>
      <c r="NQI109" s="530"/>
      <c r="NQJ109" s="531"/>
      <c r="NQK109" s="530"/>
      <c r="NQL109" s="531"/>
      <c r="NQM109" s="530"/>
      <c r="NQN109" s="531"/>
      <c r="NQO109" s="530"/>
      <c r="NQP109" s="531"/>
      <c r="NQQ109" s="530"/>
      <c r="NQR109" s="531"/>
      <c r="NQS109" s="530"/>
      <c r="NQT109" s="531"/>
      <c r="NQU109" s="530"/>
      <c r="NQV109" s="531"/>
      <c r="NQW109" s="530"/>
      <c r="NQX109" s="531"/>
      <c r="NQY109" s="530"/>
      <c r="NQZ109" s="531"/>
      <c r="NRA109" s="530"/>
      <c r="NRB109" s="531"/>
      <c r="NRC109" s="530"/>
      <c r="NRD109" s="531"/>
      <c r="NRE109" s="530"/>
      <c r="NRF109" s="531"/>
      <c r="NRG109" s="530"/>
      <c r="NRH109" s="531"/>
      <c r="NRI109" s="530"/>
      <c r="NRJ109" s="531"/>
      <c r="NRK109" s="530"/>
      <c r="NRL109" s="531"/>
      <c r="NRM109" s="530"/>
      <c r="NRN109" s="531"/>
      <c r="NRO109" s="530"/>
      <c r="NRP109" s="531"/>
      <c r="NRQ109" s="530"/>
      <c r="NRR109" s="531"/>
      <c r="NRS109" s="530"/>
      <c r="NRT109" s="531"/>
      <c r="NRU109" s="530"/>
      <c r="NRV109" s="531"/>
      <c r="NRW109" s="530"/>
      <c r="NRX109" s="531"/>
      <c r="NRY109" s="530"/>
      <c r="NRZ109" s="531"/>
      <c r="NSA109" s="530"/>
      <c r="NSB109" s="531"/>
      <c r="NSC109" s="530"/>
      <c r="NSD109" s="531"/>
      <c r="NSE109" s="530"/>
      <c r="NSF109" s="531"/>
      <c r="NSG109" s="530"/>
      <c r="NSH109" s="531"/>
      <c r="NSI109" s="530"/>
      <c r="NSJ109" s="531"/>
      <c r="NSK109" s="530"/>
      <c r="NSL109" s="531"/>
      <c r="NSM109" s="530"/>
      <c r="NSN109" s="531"/>
      <c r="NSO109" s="530"/>
      <c r="NSP109" s="531"/>
      <c r="NSQ109" s="530"/>
      <c r="NSR109" s="531"/>
      <c r="NSS109" s="530"/>
      <c r="NST109" s="531"/>
      <c r="NSU109" s="530"/>
      <c r="NSV109" s="531"/>
      <c r="NSW109" s="530"/>
      <c r="NSX109" s="531"/>
      <c r="NSY109" s="530"/>
      <c r="NSZ109" s="531"/>
      <c r="NTA109" s="530"/>
      <c r="NTB109" s="531"/>
      <c r="NTC109" s="530"/>
      <c r="NTD109" s="531"/>
      <c r="NTE109" s="530"/>
      <c r="NTF109" s="531"/>
      <c r="NTG109" s="530"/>
      <c r="NTH109" s="531"/>
      <c r="NTI109" s="530"/>
      <c r="NTJ109" s="531"/>
      <c r="NTK109" s="530"/>
      <c r="NTL109" s="531"/>
      <c r="NTM109" s="530"/>
      <c r="NTN109" s="531"/>
      <c r="NTO109" s="530"/>
      <c r="NTP109" s="531"/>
      <c r="NTQ109" s="530"/>
      <c r="NTR109" s="531"/>
      <c r="NTS109" s="530"/>
      <c r="NTT109" s="531"/>
      <c r="NTU109" s="530"/>
      <c r="NTV109" s="531"/>
      <c r="NTW109" s="530"/>
      <c r="NTX109" s="531"/>
      <c r="NTY109" s="530"/>
      <c r="NTZ109" s="531"/>
      <c r="NUA109" s="530"/>
      <c r="NUB109" s="531"/>
      <c r="NUC109" s="530"/>
      <c r="NUD109" s="531"/>
      <c r="NUE109" s="530"/>
      <c r="NUF109" s="531"/>
      <c r="NUG109" s="530"/>
      <c r="NUH109" s="531"/>
      <c r="NUI109" s="530"/>
      <c r="NUJ109" s="531"/>
      <c r="NUK109" s="530"/>
      <c r="NUL109" s="531"/>
      <c r="NUM109" s="530"/>
      <c r="NUN109" s="531"/>
      <c r="NUO109" s="530"/>
      <c r="NUP109" s="531"/>
      <c r="NUQ109" s="530"/>
      <c r="NUR109" s="531"/>
      <c r="NUS109" s="530"/>
      <c r="NUT109" s="531"/>
      <c r="NUU109" s="530"/>
      <c r="NUV109" s="531"/>
      <c r="NUW109" s="530"/>
      <c r="NUX109" s="531"/>
      <c r="NUY109" s="530"/>
      <c r="NUZ109" s="531"/>
      <c r="NVA109" s="530"/>
      <c r="NVB109" s="531"/>
      <c r="NVC109" s="530"/>
      <c r="NVD109" s="531"/>
      <c r="NVE109" s="530"/>
      <c r="NVF109" s="531"/>
      <c r="NVG109" s="530"/>
      <c r="NVH109" s="531"/>
      <c r="NVI109" s="530"/>
      <c r="NVJ109" s="531"/>
      <c r="NVK109" s="530"/>
      <c r="NVL109" s="531"/>
      <c r="NVM109" s="530"/>
      <c r="NVN109" s="531"/>
      <c r="NVO109" s="530"/>
      <c r="NVP109" s="531"/>
      <c r="NVQ109" s="530"/>
      <c r="NVR109" s="531"/>
      <c r="NVS109" s="530"/>
      <c r="NVT109" s="531"/>
      <c r="NVU109" s="530"/>
      <c r="NVV109" s="531"/>
      <c r="NVW109" s="530"/>
      <c r="NVX109" s="531"/>
      <c r="NVY109" s="530"/>
      <c r="NVZ109" s="531"/>
      <c r="NWA109" s="530"/>
      <c r="NWB109" s="531"/>
      <c r="NWC109" s="530"/>
      <c r="NWD109" s="531"/>
      <c r="NWE109" s="530"/>
      <c r="NWF109" s="531"/>
      <c r="NWG109" s="530"/>
      <c r="NWH109" s="531"/>
      <c r="NWI109" s="530"/>
      <c r="NWJ109" s="531"/>
      <c r="NWK109" s="530"/>
      <c r="NWL109" s="531"/>
      <c r="NWM109" s="530"/>
      <c r="NWN109" s="531"/>
      <c r="NWO109" s="530"/>
      <c r="NWP109" s="531"/>
      <c r="NWQ109" s="530"/>
      <c r="NWR109" s="531"/>
      <c r="NWS109" s="530"/>
      <c r="NWT109" s="531"/>
      <c r="NWU109" s="530"/>
      <c r="NWV109" s="531"/>
      <c r="NWW109" s="530"/>
      <c r="NWX109" s="531"/>
      <c r="NWY109" s="530"/>
      <c r="NWZ109" s="531"/>
      <c r="NXA109" s="530"/>
      <c r="NXB109" s="531"/>
      <c r="NXC109" s="530"/>
      <c r="NXD109" s="531"/>
      <c r="NXE109" s="530"/>
      <c r="NXF109" s="531"/>
      <c r="NXG109" s="530"/>
      <c r="NXH109" s="531"/>
      <c r="NXI109" s="530"/>
      <c r="NXJ109" s="531"/>
      <c r="NXK109" s="530"/>
      <c r="NXL109" s="531"/>
      <c r="NXM109" s="530"/>
      <c r="NXN109" s="531"/>
      <c r="NXO109" s="530"/>
      <c r="NXP109" s="531"/>
      <c r="NXQ109" s="530"/>
      <c r="NXR109" s="531"/>
      <c r="NXS109" s="530"/>
      <c r="NXT109" s="531"/>
      <c r="NXU109" s="530"/>
      <c r="NXV109" s="531"/>
      <c r="NXW109" s="530"/>
      <c r="NXX109" s="531"/>
      <c r="NXY109" s="530"/>
      <c r="NXZ109" s="531"/>
      <c r="NYA109" s="530"/>
      <c r="NYB109" s="531"/>
      <c r="NYC109" s="530"/>
      <c r="NYD109" s="531"/>
      <c r="NYE109" s="530"/>
      <c r="NYF109" s="531"/>
      <c r="NYG109" s="530"/>
      <c r="NYH109" s="531"/>
      <c r="NYI109" s="530"/>
      <c r="NYJ109" s="531"/>
      <c r="NYK109" s="530"/>
      <c r="NYL109" s="531"/>
      <c r="NYM109" s="530"/>
      <c r="NYN109" s="531"/>
      <c r="NYO109" s="530"/>
      <c r="NYP109" s="531"/>
      <c r="NYQ109" s="530"/>
      <c r="NYR109" s="531"/>
      <c r="NYS109" s="530"/>
      <c r="NYT109" s="531"/>
      <c r="NYU109" s="530"/>
      <c r="NYV109" s="531"/>
      <c r="NYW109" s="530"/>
      <c r="NYX109" s="531"/>
      <c r="NYY109" s="530"/>
      <c r="NYZ109" s="531"/>
      <c r="NZA109" s="530"/>
      <c r="NZB109" s="531"/>
      <c r="NZC109" s="530"/>
      <c r="NZD109" s="531"/>
      <c r="NZE109" s="530"/>
      <c r="NZF109" s="531"/>
      <c r="NZG109" s="530"/>
      <c r="NZH109" s="531"/>
      <c r="NZI109" s="530"/>
      <c r="NZJ109" s="531"/>
      <c r="NZK109" s="530"/>
      <c r="NZL109" s="531"/>
      <c r="NZM109" s="530"/>
      <c r="NZN109" s="531"/>
      <c r="NZO109" s="530"/>
      <c r="NZP109" s="531"/>
      <c r="NZQ109" s="530"/>
      <c r="NZR109" s="531"/>
      <c r="NZS109" s="530"/>
      <c r="NZT109" s="531"/>
      <c r="NZU109" s="530"/>
      <c r="NZV109" s="531"/>
      <c r="NZW109" s="530"/>
      <c r="NZX109" s="531"/>
      <c r="NZY109" s="530"/>
      <c r="NZZ109" s="531"/>
      <c r="OAA109" s="530"/>
      <c r="OAB109" s="531"/>
      <c r="OAC109" s="530"/>
      <c r="OAD109" s="531"/>
      <c r="OAE109" s="530"/>
      <c r="OAF109" s="531"/>
      <c r="OAG109" s="530"/>
      <c r="OAH109" s="531"/>
      <c r="OAI109" s="530"/>
      <c r="OAJ109" s="531"/>
      <c r="OAK109" s="530"/>
      <c r="OAL109" s="531"/>
      <c r="OAM109" s="530"/>
      <c r="OAN109" s="531"/>
      <c r="OAO109" s="530"/>
      <c r="OAP109" s="531"/>
      <c r="OAQ109" s="530"/>
      <c r="OAR109" s="531"/>
      <c r="OAS109" s="530"/>
      <c r="OAT109" s="531"/>
      <c r="OAU109" s="530"/>
      <c r="OAV109" s="531"/>
      <c r="OAW109" s="530"/>
      <c r="OAX109" s="531"/>
      <c r="OAY109" s="530"/>
      <c r="OAZ109" s="531"/>
      <c r="OBA109" s="530"/>
      <c r="OBB109" s="531"/>
      <c r="OBC109" s="530"/>
      <c r="OBD109" s="531"/>
      <c r="OBE109" s="530"/>
      <c r="OBF109" s="531"/>
      <c r="OBG109" s="530"/>
      <c r="OBH109" s="531"/>
      <c r="OBI109" s="530"/>
      <c r="OBJ109" s="531"/>
      <c r="OBK109" s="530"/>
      <c r="OBL109" s="531"/>
      <c r="OBM109" s="530"/>
      <c r="OBN109" s="531"/>
      <c r="OBO109" s="530"/>
      <c r="OBP109" s="531"/>
      <c r="OBQ109" s="530"/>
      <c r="OBR109" s="531"/>
      <c r="OBS109" s="530"/>
      <c r="OBT109" s="531"/>
      <c r="OBU109" s="530"/>
      <c r="OBV109" s="531"/>
      <c r="OBW109" s="530"/>
      <c r="OBX109" s="531"/>
      <c r="OBY109" s="530"/>
      <c r="OBZ109" s="531"/>
      <c r="OCA109" s="530"/>
      <c r="OCB109" s="531"/>
      <c r="OCC109" s="530"/>
      <c r="OCD109" s="531"/>
      <c r="OCE109" s="530"/>
      <c r="OCF109" s="531"/>
      <c r="OCG109" s="530"/>
      <c r="OCH109" s="531"/>
      <c r="OCI109" s="530"/>
      <c r="OCJ109" s="531"/>
      <c r="OCK109" s="530"/>
      <c r="OCL109" s="531"/>
      <c r="OCM109" s="530"/>
      <c r="OCN109" s="531"/>
      <c r="OCO109" s="530"/>
      <c r="OCP109" s="531"/>
      <c r="OCQ109" s="530"/>
      <c r="OCR109" s="531"/>
      <c r="OCS109" s="530"/>
      <c r="OCT109" s="531"/>
      <c r="OCU109" s="530"/>
      <c r="OCV109" s="531"/>
      <c r="OCW109" s="530"/>
      <c r="OCX109" s="531"/>
      <c r="OCY109" s="530"/>
      <c r="OCZ109" s="531"/>
      <c r="ODA109" s="530"/>
      <c r="ODB109" s="531"/>
      <c r="ODC109" s="530"/>
      <c r="ODD109" s="531"/>
      <c r="ODE109" s="530"/>
      <c r="ODF109" s="531"/>
      <c r="ODG109" s="530"/>
      <c r="ODH109" s="531"/>
      <c r="ODI109" s="530"/>
      <c r="ODJ109" s="531"/>
      <c r="ODK109" s="530"/>
      <c r="ODL109" s="531"/>
      <c r="ODM109" s="530"/>
      <c r="ODN109" s="531"/>
      <c r="ODO109" s="530"/>
      <c r="ODP109" s="531"/>
      <c r="ODQ109" s="530"/>
      <c r="ODR109" s="531"/>
      <c r="ODS109" s="530"/>
      <c r="ODT109" s="531"/>
      <c r="ODU109" s="530"/>
      <c r="ODV109" s="531"/>
      <c r="ODW109" s="530"/>
      <c r="ODX109" s="531"/>
      <c r="ODY109" s="530"/>
      <c r="ODZ109" s="531"/>
      <c r="OEA109" s="530"/>
      <c r="OEB109" s="531"/>
      <c r="OEC109" s="530"/>
      <c r="OED109" s="531"/>
      <c r="OEE109" s="530"/>
      <c r="OEF109" s="531"/>
      <c r="OEG109" s="530"/>
      <c r="OEH109" s="531"/>
      <c r="OEI109" s="530"/>
      <c r="OEJ109" s="531"/>
      <c r="OEK109" s="530"/>
      <c r="OEL109" s="531"/>
      <c r="OEM109" s="530"/>
      <c r="OEN109" s="531"/>
      <c r="OEO109" s="530"/>
      <c r="OEP109" s="531"/>
      <c r="OEQ109" s="530"/>
      <c r="OER109" s="531"/>
      <c r="OES109" s="530"/>
      <c r="OET109" s="531"/>
      <c r="OEU109" s="530"/>
      <c r="OEV109" s="531"/>
      <c r="OEW109" s="530"/>
      <c r="OEX109" s="531"/>
      <c r="OEY109" s="530"/>
      <c r="OEZ109" s="531"/>
      <c r="OFA109" s="530"/>
      <c r="OFB109" s="531"/>
      <c r="OFC109" s="530"/>
      <c r="OFD109" s="531"/>
      <c r="OFE109" s="530"/>
      <c r="OFF109" s="531"/>
      <c r="OFG109" s="530"/>
      <c r="OFH109" s="531"/>
      <c r="OFI109" s="530"/>
      <c r="OFJ109" s="531"/>
      <c r="OFK109" s="530"/>
      <c r="OFL109" s="531"/>
      <c r="OFM109" s="530"/>
      <c r="OFN109" s="531"/>
      <c r="OFO109" s="530"/>
      <c r="OFP109" s="531"/>
      <c r="OFQ109" s="530"/>
      <c r="OFR109" s="531"/>
      <c r="OFS109" s="530"/>
      <c r="OFT109" s="531"/>
      <c r="OFU109" s="530"/>
      <c r="OFV109" s="531"/>
      <c r="OFW109" s="530"/>
      <c r="OFX109" s="531"/>
      <c r="OFY109" s="530"/>
      <c r="OFZ109" s="531"/>
      <c r="OGA109" s="530"/>
      <c r="OGB109" s="531"/>
      <c r="OGC109" s="530"/>
      <c r="OGD109" s="531"/>
      <c r="OGE109" s="530"/>
      <c r="OGF109" s="531"/>
      <c r="OGG109" s="530"/>
      <c r="OGH109" s="531"/>
      <c r="OGI109" s="530"/>
      <c r="OGJ109" s="531"/>
      <c r="OGK109" s="530"/>
      <c r="OGL109" s="531"/>
      <c r="OGM109" s="530"/>
      <c r="OGN109" s="531"/>
      <c r="OGO109" s="530"/>
      <c r="OGP109" s="531"/>
      <c r="OGQ109" s="530"/>
      <c r="OGR109" s="531"/>
      <c r="OGS109" s="530"/>
      <c r="OGT109" s="531"/>
      <c r="OGU109" s="530"/>
      <c r="OGV109" s="531"/>
      <c r="OGW109" s="530"/>
      <c r="OGX109" s="531"/>
      <c r="OGY109" s="530"/>
      <c r="OGZ109" s="531"/>
      <c r="OHA109" s="530"/>
      <c r="OHB109" s="531"/>
      <c r="OHC109" s="530"/>
      <c r="OHD109" s="531"/>
      <c r="OHE109" s="530"/>
      <c r="OHF109" s="531"/>
      <c r="OHG109" s="530"/>
      <c r="OHH109" s="531"/>
      <c r="OHI109" s="530"/>
      <c r="OHJ109" s="531"/>
      <c r="OHK109" s="530"/>
      <c r="OHL109" s="531"/>
      <c r="OHM109" s="530"/>
      <c r="OHN109" s="531"/>
      <c r="OHO109" s="530"/>
      <c r="OHP109" s="531"/>
      <c r="OHQ109" s="530"/>
      <c r="OHR109" s="531"/>
      <c r="OHS109" s="530"/>
      <c r="OHT109" s="531"/>
      <c r="OHU109" s="530"/>
      <c r="OHV109" s="531"/>
      <c r="OHW109" s="530"/>
      <c r="OHX109" s="531"/>
      <c r="OHY109" s="530"/>
      <c r="OHZ109" s="531"/>
      <c r="OIA109" s="530"/>
      <c r="OIB109" s="531"/>
      <c r="OIC109" s="530"/>
      <c r="OID109" s="531"/>
      <c r="OIE109" s="530"/>
      <c r="OIF109" s="531"/>
      <c r="OIG109" s="530"/>
      <c r="OIH109" s="531"/>
      <c r="OII109" s="530"/>
      <c r="OIJ109" s="531"/>
      <c r="OIK109" s="530"/>
      <c r="OIL109" s="531"/>
      <c r="OIM109" s="530"/>
      <c r="OIN109" s="531"/>
      <c r="OIO109" s="530"/>
      <c r="OIP109" s="531"/>
      <c r="OIQ109" s="530"/>
      <c r="OIR109" s="531"/>
      <c r="OIS109" s="530"/>
      <c r="OIT109" s="531"/>
      <c r="OIU109" s="530"/>
      <c r="OIV109" s="531"/>
      <c r="OIW109" s="530"/>
      <c r="OIX109" s="531"/>
      <c r="OIY109" s="530"/>
      <c r="OIZ109" s="531"/>
      <c r="OJA109" s="530"/>
      <c r="OJB109" s="531"/>
      <c r="OJC109" s="530"/>
      <c r="OJD109" s="531"/>
      <c r="OJE109" s="530"/>
      <c r="OJF109" s="531"/>
      <c r="OJG109" s="530"/>
      <c r="OJH109" s="531"/>
      <c r="OJI109" s="530"/>
      <c r="OJJ109" s="531"/>
      <c r="OJK109" s="530"/>
      <c r="OJL109" s="531"/>
      <c r="OJM109" s="530"/>
      <c r="OJN109" s="531"/>
      <c r="OJO109" s="530"/>
      <c r="OJP109" s="531"/>
      <c r="OJQ109" s="530"/>
      <c r="OJR109" s="531"/>
      <c r="OJS109" s="530"/>
      <c r="OJT109" s="531"/>
      <c r="OJU109" s="530"/>
      <c r="OJV109" s="531"/>
      <c r="OJW109" s="530"/>
      <c r="OJX109" s="531"/>
      <c r="OJY109" s="530"/>
      <c r="OJZ109" s="531"/>
      <c r="OKA109" s="530"/>
      <c r="OKB109" s="531"/>
      <c r="OKC109" s="530"/>
      <c r="OKD109" s="531"/>
      <c r="OKE109" s="530"/>
      <c r="OKF109" s="531"/>
      <c r="OKG109" s="530"/>
      <c r="OKH109" s="531"/>
      <c r="OKI109" s="530"/>
      <c r="OKJ109" s="531"/>
      <c r="OKK109" s="530"/>
      <c r="OKL109" s="531"/>
      <c r="OKM109" s="530"/>
      <c r="OKN109" s="531"/>
      <c r="OKO109" s="530"/>
      <c r="OKP109" s="531"/>
      <c r="OKQ109" s="530"/>
      <c r="OKR109" s="531"/>
      <c r="OKS109" s="530"/>
      <c r="OKT109" s="531"/>
      <c r="OKU109" s="530"/>
      <c r="OKV109" s="531"/>
      <c r="OKW109" s="530"/>
      <c r="OKX109" s="531"/>
      <c r="OKY109" s="530"/>
      <c r="OKZ109" s="531"/>
      <c r="OLA109" s="530"/>
      <c r="OLB109" s="531"/>
      <c r="OLC109" s="530"/>
      <c r="OLD109" s="531"/>
      <c r="OLE109" s="530"/>
      <c r="OLF109" s="531"/>
      <c r="OLG109" s="530"/>
      <c r="OLH109" s="531"/>
      <c r="OLI109" s="530"/>
      <c r="OLJ109" s="531"/>
      <c r="OLK109" s="530"/>
      <c r="OLL109" s="531"/>
      <c r="OLM109" s="530"/>
      <c r="OLN109" s="531"/>
      <c r="OLO109" s="530"/>
      <c r="OLP109" s="531"/>
      <c r="OLQ109" s="530"/>
      <c r="OLR109" s="531"/>
      <c r="OLS109" s="530"/>
      <c r="OLT109" s="531"/>
      <c r="OLU109" s="530"/>
      <c r="OLV109" s="531"/>
      <c r="OLW109" s="530"/>
      <c r="OLX109" s="531"/>
      <c r="OLY109" s="530"/>
      <c r="OLZ109" s="531"/>
      <c r="OMA109" s="530"/>
      <c r="OMB109" s="531"/>
      <c r="OMC109" s="530"/>
      <c r="OMD109" s="531"/>
      <c r="OME109" s="530"/>
      <c r="OMF109" s="531"/>
      <c r="OMG109" s="530"/>
      <c r="OMH109" s="531"/>
      <c r="OMI109" s="530"/>
      <c r="OMJ109" s="531"/>
      <c r="OMK109" s="530"/>
      <c r="OML109" s="531"/>
      <c r="OMM109" s="530"/>
      <c r="OMN109" s="531"/>
      <c r="OMO109" s="530"/>
      <c r="OMP109" s="531"/>
      <c r="OMQ109" s="530"/>
      <c r="OMR109" s="531"/>
      <c r="OMS109" s="530"/>
      <c r="OMT109" s="531"/>
      <c r="OMU109" s="530"/>
      <c r="OMV109" s="531"/>
      <c r="OMW109" s="530"/>
      <c r="OMX109" s="531"/>
      <c r="OMY109" s="530"/>
      <c r="OMZ109" s="531"/>
      <c r="ONA109" s="530"/>
      <c r="ONB109" s="531"/>
      <c r="ONC109" s="530"/>
      <c r="OND109" s="531"/>
      <c r="ONE109" s="530"/>
      <c r="ONF109" s="531"/>
      <c r="ONG109" s="530"/>
      <c r="ONH109" s="531"/>
      <c r="ONI109" s="530"/>
      <c r="ONJ109" s="531"/>
      <c r="ONK109" s="530"/>
      <c r="ONL109" s="531"/>
      <c r="ONM109" s="530"/>
      <c r="ONN109" s="531"/>
      <c r="ONO109" s="530"/>
      <c r="ONP109" s="531"/>
      <c r="ONQ109" s="530"/>
      <c r="ONR109" s="531"/>
      <c r="ONS109" s="530"/>
      <c r="ONT109" s="531"/>
      <c r="ONU109" s="530"/>
      <c r="ONV109" s="531"/>
      <c r="ONW109" s="530"/>
      <c r="ONX109" s="531"/>
      <c r="ONY109" s="530"/>
      <c r="ONZ109" s="531"/>
      <c r="OOA109" s="530"/>
      <c r="OOB109" s="531"/>
      <c r="OOC109" s="530"/>
      <c r="OOD109" s="531"/>
      <c r="OOE109" s="530"/>
      <c r="OOF109" s="531"/>
      <c r="OOG109" s="530"/>
      <c r="OOH109" s="531"/>
      <c r="OOI109" s="530"/>
      <c r="OOJ109" s="531"/>
      <c r="OOK109" s="530"/>
      <c r="OOL109" s="531"/>
      <c r="OOM109" s="530"/>
      <c r="OON109" s="531"/>
      <c r="OOO109" s="530"/>
      <c r="OOP109" s="531"/>
      <c r="OOQ109" s="530"/>
      <c r="OOR109" s="531"/>
      <c r="OOS109" s="530"/>
      <c r="OOT109" s="531"/>
      <c r="OOU109" s="530"/>
      <c r="OOV109" s="531"/>
      <c r="OOW109" s="530"/>
      <c r="OOX109" s="531"/>
      <c r="OOY109" s="530"/>
      <c r="OOZ109" s="531"/>
      <c r="OPA109" s="530"/>
      <c r="OPB109" s="531"/>
      <c r="OPC109" s="530"/>
      <c r="OPD109" s="531"/>
      <c r="OPE109" s="530"/>
      <c r="OPF109" s="531"/>
      <c r="OPG109" s="530"/>
      <c r="OPH109" s="531"/>
      <c r="OPI109" s="530"/>
      <c r="OPJ109" s="531"/>
      <c r="OPK109" s="530"/>
      <c r="OPL109" s="531"/>
      <c r="OPM109" s="530"/>
      <c r="OPN109" s="531"/>
      <c r="OPO109" s="530"/>
      <c r="OPP109" s="531"/>
      <c r="OPQ109" s="530"/>
      <c r="OPR109" s="531"/>
      <c r="OPS109" s="530"/>
      <c r="OPT109" s="531"/>
      <c r="OPU109" s="530"/>
      <c r="OPV109" s="531"/>
      <c r="OPW109" s="530"/>
      <c r="OPX109" s="531"/>
      <c r="OPY109" s="530"/>
      <c r="OPZ109" s="531"/>
      <c r="OQA109" s="530"/>
      <c r="OQB109" s="531"/>
      <c r="OQC109" s="530"/>
      <c r="OQD109" s="531"/>
      <c r="OQE109" s="530"/>
      <c r="OQF109" s="531"/>
      <c r="OQG109" s="530"/>
      <c r="OQH109" s="531"/>
      <c r="OQI109" s="530"/>
      <c r="OQJ109" s="531"/>
      <c r="OQK109" s="530"/>
      <c r="OQL109" s="531"/>
      <c r="OQM109" s="530"/>
      <c r="OQN109" s="531"/>
      <c r="OQO109" s="530"/>
      <c r="OQP109" s="531"/>
      <c r="OQQ109" s="530"/>
      <c r="OQR109" s="531"/>
      <c r="OQS109" s="530"/>
      <c r="OQT109" s="531"/>
      <c r="OQU109" s="530"/>
      <c r="OQV109" s="531"/>
      <c r="OQW109" s="530"/>
      <c r="OQX109" s="531"/>
      <c r="OQY109" s="530"/>
      <c r="OQZ109" s="531"/>
      <c r="ORA109" s="530"/>
      <c r="ORB109" s="531"/>
      <c r="ORC109" s="530"/>
      <c r="ORD109" s="531"/>
      <c r="ORE109" s="530"/>
      <c r="ORF109" s="531"/>
      <c r="ORG109" s="530"/>
      <c r="ORH109" s="531"/>
      <c r="ORI109" s="530"/>
      <c r="ORJ109" s="531"/>
      <c r="ORK109" s="530"/>
      <c r="ORL109" s="531"/>
      <c r="ORM109" s="530"/>
      <c r="ORN109" s="531"/>
      <c r="ORO109" s="530"/>
      <c r="ORP109" s="531"/>
      <c r="ORQ109" s="530"/>
      <c r="ORR109" s="531"/>
      <c r="ORS109" s="530"/>
      <c r="ORT109" s="531"/>
      <c r="ORU109" s="530"/>
      <c r="ORV109" s="531"/>
      <c r="ORW109" s="530"/>
      <c r="ORX109" s="531"/>
      <c r="ORY109" s="530"/>
      <c r="ORZ109" s="531"/>
      <c r="OSA109" s="530"/>
      <c r="OSB109" s="531"/>
      <c r="OSC109" s="530"/>
      <c r="OSD109" s="531"/>
      <c r="OSE109" s="530"/>
      <c r="OSF109" s="531"/>
      <c r="OSG109" s="530"/>
      <c r="OSH109" s="531"/>
      <c r="OSI109" s="530"/>
      <c r="OSJ109" s="531"/>
      <c r="OSK109" s="530"/>
      <c r="OSL109" s="531"/>
      <c r="OSM109" s="530"/>
      <c r="OSN109" s="531"/>
      <c r="OSO109" s="530"/>
      <c r="OSP109" s="531"/>
      <c r="OSQ109" s="530"/>
      <c r="OSR109" s="531"/>
      <c r="OSS109" s="530"/>
      <c r="OST109" s="531"/>
      <c r="OSU109" s="530"/>
      <c r="OSV109" s="531"/>
      <c r="OSW109" s="530"/>
      <c r="OSX109" s="531"/>
      <c r="OSY109" s="530"/>
      <c r="OSZ109" s="531"/>
      <c r="OTA109" s="530"/>
      <c r="OTB109" s="531"/>
      <c r="OTC109" s="530"/>
      <c r="OTD109" s="531"/>
      <c r="OTE109" s="530"/>
      <c r="OTF109" s="531"/>
      <c r="OTG109" s="530"/>
      <c r="OTH109" s="531"/>
      <c r="OTI109" s="530"/>
      <c r="OTJ109" s="531"/>
      <c r="OTK109" s="530"/>
      <c r="OTL109" s="531"/>
      <c r="OTM109" s="530"/>
      <c r="OTN109" s="531"/>
      <c r="OTO109" s="530"/>
      <c r="OTP109" s="531"/>
      <c r="OTQ109" s="530"/>
      <c r="OTR109" s="531"/>
      <c r="OTS109" s="530"/>
      <c r="OTT109" s="531"/>
      <c r="OTU109" s="530"/>
      <c r="OTV109" s="531"/>
      <c r="OTW109" s="530"/>
      <c r="OTX109" s="531"/>
      <c r="OTY109" s="530"/>
      <c r="OTZ109" s="531"/>
      <c r="OUA109" s="530"/>
      <c r="OUB109" s="531"/>
      <c r="OUC109" s="530"/>
      <c r="OUD109" s="531"/>
      <c r="OUE109" s="530"/>
      <c r="OUF109" s="531"/>
      <c r="OUG109" s="530"/>
      <c r="OUH109" s="531"/>
      <c r="OUI109" s="530"/>
      <c r="OUJ109" s="531"/>
      <c r="OUK109" s="530"/>
      <c r="OUL109" s="531"/>
      <c r="OUM109" s="530"/>
      <c r="OUN109" s="531"/>
      <c r="OUO109" s="530"/>
      <c r="OUP109" s="531"/>
      <c r="OUQ109" s="530"/>
      <c r="OUR109" s="531"/>
      <c r="OUS109" s="530"/>
      <c r="OUT109" s="531"/>
      <c r="OUU109" s="530"/>
      <c r="OUV109" s="531"/>
      <c r="OUW109" s="530"/>
      <c r="OUX109" s="531"/>
      <c r="OUY109" s="530"/>
      <c r="OUZ109" s="531"/>
      <c r="OVA109" s="530"/>
      <c r="OVB109" s="531"/>
      <c r="OVC109" s="530"/>
      <c r="OVD109" s="531"/>
      <c r="OVE109" s="530"/>
      <c r="OVF109" s="531"/>
      <c r="OVG109" s="530"/>
      <c r="OVH109" s="531"/>
      <c r="OVI109" s="530"/>
      <c r="OVJ109" s="531"/>
      <c r="OVK109" s="530"/>
      <c r="OVL109" s="531"/>
      <c r="OVM109" s="530"/>
      <c r="OVN109" s="531"/>
      <c r="OVO109" s="530"/>
      <c r="OVP109" s="531"/>
      <c r="OVQ109" s="530"/>
      <c r="OVR109" s="531"/>
      <c r="OVS109" s="530"/>
      <c r="OVT109" s="531"/>
      <c r="OVU109" s="530"/>
      <c r="OVV109" s="531"/>
      <c r="OVW109" s="530"/>
      <c r="OVX109" s="531"/>
      <c r="OVY109" s="530"/>
      <c r="OVZ109" s="531"/>
      <c r="OWA109" s="530"/>
      <c r="OWB109" s="531"/>
      <c r="OWC109" s="530"/>
      <c r="OWD109" s="531"/>
      <c r="OWE109" s="530"/>
      <c r="OWF109" s="531"/>
      <c r="OWG109" s="530"/>
      <c r="OWH109" s="531"/>
      <c r="OWI109" s="530"/>
      <c r="OWJ109" s="531"/>
      <c r="OWK109" s="530"/>
      <c r="OWL109" s="531"/>
      <c r="OWM109" s="530"/>
      <c r="OWN109" s="531"/>
      <c r="OWO109" s="530"/>
      <c r="OWP109" s="531"/>
      <c r="OWQ109" s="530"/>
      <c r="OWR109" s="531"/>
      <c r="OWS109" s="530"/>
      <c r="OWT109" s="531"/>
      <c r="OWU109" s="530"/>
      <c r="OWV109" s="531"/>
      <c r="OWW109" s="530"/>
      <c r="OWX109" s="531"/>
      <c r="OWY109" s="530"/>
      <c r="OWZ109" s="531"/>
      <c r="OXA109" s="530"/>
      <c r="OXB109" s="531"/>
      <c r="OXC109" s="530"/>
      <c r="OXD109" s="531"/>
      <c r="OXE109" s="530"/>
      <c r="OXF109" s="531"/>
      <c r="OXG109" s="530"/>
      <c r="OXH109" s="531"/>
      <c r="OXI109" s="530"/>
      <c r="OXJ109" s="531"/>
      <c r="OXK109" s="530"/>
      <c r="OXL109" s="531"/>
      <c r="OXM109" s="530"/>
      <c r="OXN109" s="531"/>
      <c r="OXO109" s="530"/>
      <c r="OXP109" s="531"/>
      <c r="OXQ109" s="530"/>
      <c r="OXR109" s="531"/>
      <c r="OXS109" s="530"/>
      <c r="OXT109" s="531"/>
      <c r="OXU109" s="530"/>
      <c r="OXV109" s="531"/>
      <c r="OXW109" s="530"/>
      <c r="OXX109" s="531"/>
      <c r="OXY109" s="530"/>
      <c r="OXZ109" s="531"/>
      <c r="OYA109" s="530"/>
      <c r="OYB109" s="531"/>
      <c r="OYC109" s="530"/>
      <c r="OYD109" s="531"/>
      <c r="OYE109" s="530"/>
      <c r="OYF109" s="531"/>
      <c r="OYG109" s="530"/>
      <c r="OYH109" s="531"/>
      <c r="OYI109" s="530"/>
      <c r="OYJ109" s="531"/>
      <c r="OYK109" s="530"/>
      <c r="OYL109" s="531"/>
      <c r="OYM109" s="530"/>
      <c r="OYN109" s="531"/>
      <c r="OYO109" s="530"/>
      <c r="OYP109" s="531"/>
      <c r="OYQ109" s="530"/>
      <c r="OYR109" s="531"/>
      <c r="OYS109" s="530"/>
      <c r="OYT109" s="531"/>
      <c r="OYU109" s="530"/>
      <c r="OYV109" s="531"/>
      <c r="OYW109" s="530"/>
      <c r="OYX109" s="531"/>
      <c r="OYY109" s="530"/>
      <c r="OYZ109" s="531"/>
      <c r="OZA109" s="530"/>
      <c r="OZB109" s="531"/>
      <c r="OZC109" s="530"/>
      <c r="OZD109" s="531"/>
      <c r="OZE109" s="530"/>
      <c r="OZF109" s="531"/>
      <c r="OZG109" s="530"/>
      <c r="OZH109" s="531"/>
      <c r="OZI109" s="530"/>
      <c r="OZJ109" s="531"/>
      <c r="OZK109" s="530"/>
      <c r="OZL109" s="531"/>
      <c r="OZM109" s="530"/>
      <c r="OZN109" s="531"/>
      <c r="OZO109" s="530"/>
      <c r="OZP109" s="531"/>
      <c r="OZQ109" s="530"/>
      <c r="OZR109" s="531"/>
      <c r="OZS109" s="530"/>
      <c r="OZT109" s="531"/>
      <c r="OZU109" s="530"/>
      <c r="OZV109" s="531"/>
      <c r="OZW109" s="530"/>
      <c r="OZX109" s="531"/>
      <c r="OZY109" s="530"/>
      <c r="OZZ109" s="531"/>
      <c r="PAA109" s="530"/>
      <c r="PAB109" s="531"/>
      <c r="PAC109" s="530"/>
      <c r="PAD109" s="531"/>
      <c r="PAE109" s="530"/>
      <c r="PAF109" s="531"/>
      <c r="PAG109" s="530"/>
      <c r="PAH109" s="531"/>
      <c r="PAI109" s="530"/>
      <c r="PAJ109" s="531"/>
      <c r="PAK109" s="530"/>
      <c r="PAL109" s="531"/>
      <c r="PAM109" s="530"/>
      <c r="PAN109" s="531"/>
      <c r="PAO109" s="530"/>
      <c r="PAP109" s="531"/>
      <c r="PAQ109" s="530"/>
      <c r="PAR109" s="531"/>
      <c r="PAS109" s="530"/>
      <c r="PAT109" s="531"/>
      <c r="PAU109" s="530"/>
      <c r="PAV109" s="531"/>
      <c r="PAW109" s="530"/>
      <c r="PAX109" s="531"/>
      <c r="PAY109" s="530"/>
      <c r="PAZ109" s="531"/>
      <c r="PBA109" s="530"/>
      <c r="PBB109" s="531"/>
      <c r="PBC109" s="530"/>
      <c r="PBD109" s="531"/>
      <c r="PBE109" s="530"/>
      <c r="PBF109" s="531"/>
      <c r="PBG109" s="530"/>
      <c r="PBH109" s="531"/>
      <c r="PBI109" s="530"/>
      <c r="PBJ109" s="531"/>
      <c r="PBK109" s="530"/>
      <c r="PBL109" s="531"/>
      <c r="PBM109" s="530"/>
      <c r="PBN109" s="531"/>
      <c r="PBO109" s="530"/>
      <c r="PBP109" s="531"/>
      <c r="PBQ109" s="530"/>
      <c r="PBR109" s="531"/>
      <c r="PBS109" s="530"/>
      <c r="PBT109" s="531"/>
      <c r="PBU109" s="530"/>
      <c r="PBV109" s="531"/>
      <c r="PBW109" s="530"/>
      <c r="PBX109" s="531"/>
      <c r="PBY109" s="530"/>
      <c r="PBZ109" s="531"/>
      <c r="PCA109" s="530"/>
      <c r="PCB109" s="531"/>
      <c r="PCC109" s="530"/>
      <c r="PCD109" s="531"/>
      <c r="PCE109" s="530"/>
      <c r="PCF109" s="531"/>
      <c r="PCG109" s="530"/>
      <c r="PCH109" s="531"/>
      <c r="PCI109" s="530"/>
      <c r="PCJ109" s="531"/>
      <c r="PCK109" s="530"/>
      <c r="PCL109" s="531"/>
      <c r="PCM109" s="530"/>
      <c r="PCN109" s="531"/>
      <c r="PCO109" s="530"/>
      <c r="PCP109" s="531"/>
      <c r="PCQ109" s="530"/>
      <c r="PCR109" s="531"/>
      <c r="PCS109" s="530"/>
      <c r="PCT109" s="531"/>
      <c r="PCU109" s="530"/>
      <c r="PCV109" s="531"/>
      <c r="PCW109" s="530"/>
      <c r="PCX109" s="531"/>
      <c r="PCY109" s="530"/>
      <c r="PCZ109" s="531"/>
      <c r="PDA109" s="530"/>
      <c r="PDB109" s="531"/>
      <c r="PDC109" s="530"/>
      <c r="PDD109" s="531"/>
      <c r="PDE109" s="530"/>
      <c r="PDF109" s="531"/>
      <c r="PDG109" s="530"/>
      <c r="PDH109" s="531"/>
      <c r="PDI109" s="530"/>
      <c r="PDJ109" s="531"/>
      <c r="PDK109" s="530"/>
      <c r="PDL109" s="531"/>
      <c r="PDM109" s="530"/>
      <c r="PDN109" s="531"/>
      <c r="PDO109" s="530"/>
      <c r="PDP109" s="531"/>
      <c r="PDQ109" s="530"/>
      <c r="PDR109" s="531"/>
      <c r="PDS109" s="530"/>
      <c r="PDT109" s="531"/>
      <c r="PDU109" s="530"/>
      <c r="PDV109" s="531"/>
      <c r="PDW109" s="530"/>
      <c r="PDX109" s="531"/>
      <c r="PDY109" s="530"/>
      <c r="PDZ109" s="531"/>
      <c r="PEA109" s="530"/>
      <c r="PEB109" s="531"/>
      <c r="PEC109" s="530"/>
      <c r="PED109" s="531"/>
      <c r="PEE109" s="530"/>
      <c r="PEF109" s="531"/>
      <c r="PEG109" s="530"/>
      <c r="PEH109" s="531"/>
      <c r="PEI109" s="530"/>
      <c r="PEJ109" s="531"/>
      <c r="PEK109" s="530"/>
      <c r="PEL109" s="531"/>
      <c r="PEM109" s="530"/>
      <c r="PEN109" s="531"/>
      <c r="PEO109" s="530"/>
      <c r="PEP109" s="531"/>
      <c r="PEQ109" s="530"/>
      <c r="PER109" s="531"/>
      <c r="PES109" s="530"/>
      <c r="PET109" s="531"/>
      <c r="PEU109" s="530"/>
      <c r="PEV109" s="531"/>
      <c r="PEW109" s="530"/>
      <c r="PEX109" s="531"/>
      <c r="PEY109" s="530"/>
      <c r="PEZ109" s="531"/>
      <c r="PFA109" s="530"/>
      <c r="PFB109" s="531"/>
      <c r="PFC109" s="530"/>
      <c r="PFD109" s="531"/>
      <c r="PFE109" s="530"/>
      <c r="PFF109" s="531"/>
      <c r="PFG109" s="530"/>
      <c r="PFH109" s="531"/>
      <c r="PFI109" s="530"/>
      <c r="PFJ109" s="531"/>
      <c r="PFK109" s="530"/>
      <c r="PFL109" s="531"/>
      <c r="PFM109" s="530"/>
      <c r="PFN109" s="531"/>
      <c r="PFO109" s="530"/>
      <c r="PFP109" s="531"/>
      <c r="PFQ109" s="530"/>
      <c r="PFR109" s="531"/>
      <c r="PFS109" s="530"/>
      <c r="PFT109" s="531"/>
      <c r="PFU109" s="530"/>
      <c r="PFV109" s="531"/>
      <c r="PFW109" s="530"/>
      <c r="PFX109" s="531"/>
      <c r="PFY109" s="530"/>
      <c r="PFZ109" s="531"/>
      <c r="PGA109" s="530"/>
      <c r="PGB109" s="531"/>
      <c r="PGC109" s="530"/>
      <c r="PGD109" s="531"/>
      <c r="PGE109" s="530"/>
      <c r="PGF109" s="531"/>
      <c r="PGG109" s="530"/>
      <c r="PGH109" s="531"/>
      <c r="PGI109" s="530"/>
      <c r="PGJ109" s="531"/>
      <c r="PGK109" s="530"/>
      <c r="PGL109" s="531"/>
      <c r="PGM109" s="530"/>
      <c r="PGN109" s="531"/>
      <c r="PGO109" s="530"/>
      <c r="PGP109" s="531"/>
      <c r="PGQ109" s="530"/>
      <c r="PGR109" s="531"/>
      <c r="PGS109" s="530"/>
      <c r="PGT109" s="531"/>
      <c r="PGU109" s="530"/>
      <c r="PGV109" s="531"/>
      <c r="PGW109" s="530"/>
      <c r="PGX109" s="531"/>
      <c r="PGY109" s="530"/>
      <c r="PGZ109" s="531"/>
      <c r="PHA109" s="530"/>
      <c r="PHB109" s="531"/>
      <c r="PHC109" s="530"/>
      <c r="PHD109" s="531"/>
      <c r="PHE109" s="530"/>
      <c r="PHF109" s="531"/>
      <c r="PHG109" s="530"/>
      <c r="PHH109" s="531"/>
      <c r="PHI109" s="530"/>
      <c r="PHJ109" s="531"/>
      <c r="PHK109" s="530"/>
      <c r="PHL109" s="531"/>
      <c r="PHM109" s="530"/>
      <c r="PHN109" s="531"/>
      <c r="PHO109" s="530"/>
      <c r="PHP109" s="531"/>
      <c r="PHQ109" s="530"/>
      <c r="PHR109" s="531"/>
      <c r="PHS109" s="530"/>
      <c r="PHT109" s="531"/>
      <c r="PHU109" s="530"/>
      <c r="PHV109" s="531"/>
      <c r="PHW109" s="530"/>
      <c r="PHX109" s="531"/>
      <c r="PHY109" s="530"/>
      <c r="PHZ109" s="531"/>
      <c r="PIA109" s="530"/>
      <c r="PIB109" s="531"/>
      <c r="PIC109" s="530"/>
      <c r="PID109" s="531"/>
      <c r="PIE109" s="530"/>
      <c r="PIF109" s="531"/>
      <c r="PIG109" s="530"/>
      <c r="PIH109" s="531"/>
      <c r="PII109" s="530"/>
      <c r="PIJ109" s="531"/>
      <c r="PIK109" s="530"/>
      <c r="PIL109" s="531"/>
      <c r="PIM109" s="530"/>
      <c r="PIN109" s="531"/>
      <c r="PIO109" s="530"/>
      <c r="PIP109" s="531"/>
      <c r="PIQ109" s="530"/>
      <c r="PIR109" s="531"/>
      <c r="PIS109" s="530"/>
      <c r="PIT109" s="531"/>
      <c r="PIU109" s="530"/>
      <c r="PIV109" s="531"/>
      <c r="PIW109" s="530"/>
      <c r="PIX109" s="531"/>
      <c r="PIY109" s="530"/>
      <c r="PIZ109" s="531"/>
      <c r="PJA109" s="530"/>
      <c r="PJB109" s="531"/>
      <c r="PJC109" s="530"/>
      <c r="PJD109" s="531"/>
      <c r="PJE109" s="530"/>
      <c r="PJF109" s="531"/>
      <c r="PJG109" s="530"/>
      <c r="PJH109" s="531"/>
      <c r="PJI109" s="530"/>
      <c r="PJJ109" s="531"/>
      <c r="PJK109" s="530"/>
      <c r="PJL109" s="531"/>
      <c r="PJM109" s="530"/>
      <c r="PJN109" s="531"/>
      <c r="PJO109" s="530"/>
      <c r="PJP109" s="531"/>
      <c r="PJQ109" s="530"/>
      <c r="PJR109" s="531"/>
      <c r="PJS109" s="530"/>
      <c r="PJT109" s="531"/>
      <c r="PJU109" s="530"/>
      <c r="PJV109" s="531"/>
      <c r="PJW109" s="530"/>
      <c r="PJX109" s="531"/>
      <c r="PJY109" s="530"/>
      <c r="PJZ109" s="531"/>
      <c r="PKA109" s="530"/>
      <c r="PKB109" s="531"/>
      <c r="PKC109" s="530"/>
      <c r="PKD109" s="531"/>
      <c r="PKE109" s="530"/>
      <c r="PKF109" s="531"/>
      <c r="PKG109" s="530"/>
      <c r="PKH109" s="531"/>
      <c r="PKI109" s="530"/>
      <c r="PKJ109" s="531"/>
      <c r="PKK109" s="530"/>
      <c r="PKL109" s="531"/>
      <c r="PKM109" s="530"/>
      <c r="PKN109" s="531"/>
      <c r="PKO109" s="530"/>
      <c r="PKP109" s="531"/>
      <c r="PKQ109" s="530"/>
      <c r="PKR109" s="531"/>
      <c r="PKS109" s="530"/>
      <c r="PKT109" s="531"/>
      <c r="PKU109" s="530"/>
      <c r="PKV109" s="531"/>
      <c r="PKW109" s="530"/>
      <c r="PKX109" s="531"/>
      <c r="PKY109" s="530"/>
      <c r="PKZ109" s="531"/>
      <c r="PLA109" s="530"/>
      <c r="PLB109" s="531"/>
      <c r="PLC109" s="530"/>
      <c r="PLD109" s="531"/>
      <c r="PLE109" s="530"/>
      <c r="PLF109" s="531"/>
      <c r="PLG109" s="530"/>
      <c r="PLH109" s="531"/>
      <c r="PLI109" s="530"/>
      <c r="PLJ109" s="531"/>
      <c r="PLK109" s="530"/>
      <c r="PLL109" s="531"/>
      <c r="PLM109" s="530"/>
      <c r="PLN109" s="531"/>
      <c r="PLO109" s="530"/>
      <c r="PLP109" s="531"/>
      <c r="PLQ109" s="530"/>
      <c r="PLR109" s="531"/>
      <c r="PLS109" s="530"/>
      <c r="PLT109" s="531"/>
      <c r="PLU109" s="530"/>
      <c r="PLV109" s="531"/>
      <c r="PLW109" s="530"/>
      <c r="PLX109" s="531"/>
      <c r="PLY109" s="530"/>
      <c r="PLZ109" s="531"/>
      <c r="PMA109" s="530"/>
      <c r="PMB109" s="531"/>
      <c r="PMC109" s="530"/>
      <c r="PMD109" s="531"/>
      <c r="PME109" s="530"/>
      <c r="PMF109" s="531"/>
      <c r="PMG109" s="530"/>
      <c r="PMH109" s="531"/>
      <c r="PMI109" s="530"/>
      <c r="PMJ109" s="531"/>
      <c r="PMK109" s="530"/>
      <c r="PML109" s="531"/>
      <c r="PMM109" s="530"/>
      <c r="PMN109" s="531"/>
      <c r="PMO109" s="530"/>
      <c r="PMP109" s="531"/>
      <c r="PMQ109" s="530"/>
      <c r="PMR109" s="531"/>
      <c r="PMS109" s="530"/>
      <c r="PMT109" s="531"/>
      <c r="PMU109" s="530"/>
      <c r="PMV109" s="531"/>
      <c r="PMW109" s="530"/>
      <c r="PMX109" s="531"/>
      <c r="PMY109" s="530"/>
      <c r="PMZ109" s="531"/>
      <c r="PNA109" s="530"/>
      <c r="PNB109" s="531"/>
      <c r="PNC109" s="530"/>
      <c r="PND109" s="531"/>
      <c r="PNE109" s="530"/>
      <c r="PNF109" s="531"/>
      <c r="PNG109" s="530"/>
      <c r="PNH109" s="531"/>
      <c r="PNI109" s="530"/>
      <c r="PNJ109" s="531"/>
      <c r="PNK109" s="530"/>
      <c r="PNL109" s="531"/>
      <c r="PNM109" s="530"/>
      <c r="PNN109" s="531"/>
      <c r="PNO109" s="530"/>
      <c r="PNP109" s="531"/>
      <c r="PNQ109" s="530"/>
      <c r="PNR109" s="531"/>
      <c r="PNS109" s="530"/>
      <c r="PNT109" s="531"/>
      <c r="PNU109" s="530"/>
      <c r="PNV109" s="531"/>
      <c r="PNW109" s="530"/>
      <c r="PNX109" s="531"/>
      <c r="PNY109" s="530"/>
      <c r="PNZ109" s="531"/>
      <c r="POA109" s="530"/>
      <c r="POB109" s="531"/>
      <c r="POC109" s="530"/>
      <c r="POD109" s="531"/>
      <c r="POE109" s="530"/>
      <c r="POF109" s="531"/>
      <c r="POG109" s="530"/>
      <c r="POH109" s="531"/>
      <c r="POI109" s="530"/>
      <c r="POJ109" s="531"/>
      <c r="POK109" s="530"/>
      <c r="POL109" s="531"/>
      <c r="POM109" s="530"/>
      <c r="PON109" s="531"/>
      <c r="POO109" s="530"/>
      <c r="POP109" s="531"/>
      <c r="POQ109" s="530"/>
      <c r="POR109" s="531"/>
      <c r="POS109" s="530"/>
      <c r="POT109" s="531"/>
      <c r="POU109" s="530"/>
      <c r="POV109" s="531"/>
      <c r="POW109" s="530"/>
      <c r="POX109" s="531"/>
      <c r="POY109" s="530"/>
      <c r="POZ109" s="531"/>
      <c r="PPA109" s="530"/>
      <c r="PPB109" s="531"/>
      <c r="PPC109" s="530"/>
      <c r="PPD109" s="531"/>
      <c r="PPE109" s="530"/>
      <c r="PPF109" s="531"/>
      <c r="PPG109" s="530"/>
      <c r="PPH109" s="531"/>
      <c r="PPI109" s="530"/>
      <c r="PPJ109" s="531"/>
      <c r="PPK109" s="530"/>
      <c r="PPL109" s="531"/>
      <c r="PPM109" s="530"/>
      <c r="PPN109" s="531"/>
      <c r="PPO109" s="530"/>
      <c r="PPP109" s="531"/>
      <c r="PPQ109" s="530"/>
      <c r="PPR109" s="531"/>
      <c r="PPS109" s="530"/>
      <c r="PPT109" s="531"/>
      <c r="PPU109" s="530"/>
      <c r="PPV109" s="531"/>
      <c r="PPW109" s="530"/>
      <c r="PPX109" s="531"/>
      <c r="PPY109" s="530"/>
      <c r="PPZ109" s="531"/>
      <c r="PQA109" s="530"/>
      <c r="PQB109" s="531"/>
      <c r="PQC109" s="530"/>
      <c r="PQD109" s="531"/>
      <c r="PQE109" s="530"/>
      <c r="PQF109" s="531"/>
      <c r="PQG109" s="530"/>
      <c r="PQH109" s="531"/>
      <c r="PQI109" s="530"/>
      <c r="PQJ109" s="531"/>
      <c r="PQK109" s="530"/>
      <c r="PQL109" s="531"/>
      <c r="PQM109" s="530"/>
      <c r="PQN109" s="531"/>
      <c r="PQO109" s="530"/>
      <c r="PQP109" s="531"/>
      <c r="PQQ109" s="530"/>
      <c r="PQR109" s="531"/>
      <c r="PQS109" s="530"/>
      <c r="PQT109" s="531"/>
      <c r="PQU109" s="530"/>
      <c r="PQV109" s="531"/>
      <c r="PQW109" s="530"/>
      <c r="PQX109" s="531"/>
      <c r="PQY109" s="530"/>
      <c r="PQZ109" s="531"/>
      <c r="PRA109" s="530"/>
      <c r="PRB109" s="531"/>
      <c r="PRC109" s="530"/>
      <c r="PRD109" s="531"/>
      <c r="PRE109" s="530"/>
      <c r="PRF109" s="531"/>
      <c r="PRG109" s="530"/>
      <c r="PRH109" s="531"/>
      <c r="PRI109" s="530"/>
      <c r="PRJ109" s="531"/>
      <c r="PRK109" s="530"/>
      <c r="PRL109" s="531"/>
      <c r="PRM109" s="530"/>
      <c r="PRN109" s="531"/>
      <c r="PRO109" s="530"/>
      <c r="PRP109" s="531"/>
      <c r="PRQ109" s="530"/>
      <c r="PRR109" s="531"/>
      <c r="PRS109" s="530"/>
      <c r="PRT109" s="531"/>
      <c r="PRU109" s="530"/>
      <c r="PRV109" s="531"/>
      <c r="PRW109" s="530"/>
      <c r="PRX109" s="531"/>
      <c r="PRY109" s="530"/>
      <c r="PRZ109" s="531"/>
      <c r="PSA109" s="530"/>
      <c r="PSB109" s="531"/>
      <c r="PSC109" s="530"/>
      <c r="PSD109" s="531"/>
      <c r="PSE109" s="530"/>
      <c r="PSF109" s="531"/>
      <c r="PSG109" s="530"/>
      <c r="PSH109" s="531"/>
      <c r="PSI109" s="530"/>
      <c r="PSJ109" s="531"/>
      <c r="PSK109" s="530"/>
      <c r="PSL109" s="531"/>
      <c r="PSM109" s="530"/>
      <c r="PSN109" s="531"/>
      <c r="PSO109" s="530"/>
      <c r="PSP109" s="531"/>
      <c r="PSQ109" s="530"/>
      <c r="PSR109" s="531"/>
      <c r="PSS109" s="530"/>
      <c r="PST109" s="531"/>
      <c r="PSU109" s="530"/>
      <c r="PSV109" s="531"/>
      <c r="PSW109" s="530"/>
      <c r="PSX109" s="531"/>
      <c r="PSY109" s="530"/>
      <c r="PSZ109" s="531"/>
      <c r="PTA109" s="530"/>
      <c r="PTB109" s="531"/>
      <c r="PTC109" s="530"/>
      <c r="PTD109" s="531"/>
      <c r="PTE109" s="530"/>
      <c r="PTF109" s="531"/>
      <c r="PTG109" s="530"/>
      <c r="PTH109" s="531"/>
      <c r="PTI109" s="530"/>
      <c r="PTJ109" s="531"/>
      <c r="PTK109" s="530"/>
      <c r="PTL109" s="531"/>
      <c r="PTM109" s="530"/>
      <c r="PTN109" s="531"/>
      <c r="PTO109" s="530"/>
      <c r="PTP109" s="531"/>
      <c r="PTQ109" s="530"/>
      <c r="PTR109" s="531"/>
      <c r="PTS109" s="530"/>
      <c r="PTT109" s="531"/>
      <c r="PTU109" s="530"/>
      <c r="PTV109" s="531"/>
      <c r="PTW109" s="530"/>
      <c r="PTX109" s="531"/>
      <c r="PTY109" s="530"/>
      <c r="PTZ109" s="531"/>
      <c r="PUA109" s="530"/>
      <c r="PUB109" s="531"/>
      <c r="PUC109" s="530"/>
      <c r="PUD109" s="531"/>
      <c r="PUE109" s="530"/>
      <c r="PUF109" s="531"/>
      <c r="PUG109" s="530"/>
      <c r="PUH109" s="531"/>
      <c r="PUI109" s="530"/>
      <c r="PUJ109" s="531"/>
      <c r="PUK109" s="530"/>
      <c r="PUL109" s="531"/>
      <c r="PUM109" s="530"/>
      <c r="PUN109" s="531"/>
      <c r="PUO109" s="530"/>
      <c r="PUP109" s="531"/>
      <c r="PUQ109" s="530"/>
      <c r="PUR109" s="531"/>
      <c r="PUS109" s="530"/>
      <c r="PUT109" s="531"/>
      <c r="PUU109" s="530"/>
      <c r="PUV109" s="531"/>
      <c r="PUW109" s="530"/>
      <c r="PUX109" s="531"/>
      <c r="PUY109" s="530"/>
      <c r="PUZ109" s="531"/>
      <c r="PVA109" s="530"/>
      <c r="PVB109" s="531"/>
      <c r="PVC109" s="530"/>
      <c r="PVD109" s="531"/>
      <c r="PVE109" s="530"/>
      <c r="PVF109" s="531"/>
      <c r="PVG109" s="530"/>
      <c r="PVH109" s="531"/>
      <c r="PVI109" s="530"/>
      <c r="PVJ109" s="531"/>
      <c r="PVK109" s="530"/>
      <c r="PVL109" s="531"/>
      <c r="PVM109" s="530"/>
      <c r="PVN109" s="531"/>
      <c r="PVO109" s="530"/>
      <c r="PVP109" s="531"/>
      <c r="PVQ109" s="530"/>
      <c r="PVR109" s="531"/>
      <c r="PVS109" s="530"/>
      <c r="PVT109" s="531"/>
      <c r="PVU109" s="530"/>
      <c r="PVV109" s="531"/>
      <c r="PVW109" s="530"/>
      <c r="PVX109" s="531"/>
      <c r="PVY109" s="530"/>
      <c r="PVZ109" s="531"/>
      <c r="PWA109" s="530"/>
      <c r="PWB109" s="531"/>
      <c r="PWC109" s="530"/>
      <c r="PWD109" s="531"/>
      <c r="PWE109" s="530"/>
      <c r="PWF109" s="531"/>
      <c r="PWG109" s="530"/>
      <c r="PWH109" s="531"/>
      <c r="PWI109" s="530"/>
      <c r="PWJ109" s="531"/>
      <c r="PWK109" s="530"/>
      <c r="PWL109" s="531"/>
      <c r="PWM109" s="530"/>
      <c r="PWN109" s="531"/>
      <c r="PWO109" s="530"/>
      <c r="PWP109" s="531"/>
      <c r="PWQ109" s="530"/>
      <c r="PWR109" s="531"/>
      <c r="PWS109" s="530"/>
      <c r="PWT109" s="531"/>
      <c r="PWU109" s="530"/>
      <c r="PWV109" s="531"/>
      <c r="PWW109" s="530"/>
      <c r="PWX109" s="531"/>
      <c r="PWY109" s="530"/>
      <c r="PWZ109" s="531"/>
      <c r="PXA109" s="530"/>
      <c r="PXB109" s="531"/>
      <c r="PXC109" s="530"/>
      <c r="PXD109" s="531"/>
      <c r="PXE109" s="530"/>
      <c r="PXF109" s="531"/>
      <c r="PXG109" s="530"/>
      <c r="PXH109" s="531"/>
      <c r="PXI109" s="530"/>
      <c r="PXJ109" s="531"/>
      <c r="PXK109" s="530"/>
      <c r="PXL109" s="531"/>
      <c r="PXM109" s="530"/>
      <c r="PXN109" s="531"/>
      <c r="PXO109" s="530"/>
      <c r="PXP109" s="531"/>
      <c r="PXQ109" s="530"/>
      <c r="PXR109" s="531"/>
      <c r="PXS109" s="530"/>
      <c r="PXT109" s="531"/>
      <c r="PXU109" s="530"/>
      <c r="PXV109" s="531"/>
      <c r="PXW109" s="530"/>
      <c r="PXX109" s="531"/>
      <c r="PXY109" s="530"/>
      <c r="PXZ109" s="531"/>
      <c r="PYA109" s="530"/>
      <c r="PYB109" s="531"/>
      <c r="PYC109" s="530"/>
      <c r="PYD109" s="531"/>
      <c r="PYE109" s="530"/>
      <c r="PYF109" s="531"/>
      <c r="PYG109" s="530"/>
      <c r="PYH109" s="531"/>
      <c r="PYI109" s="530"/>
      <c r="PYJ109" s="531"/>
      <c r="PYK109" s="530"/>
      <c r="PYL109" s="531"/>
      <c r="PYM109" s="530"/>
      <c r="PYN109" s="531"/>
      <c r="PYO109" s="530"/>
      <c r="PYP109" s="531"/>
      <c r="PYQ109" s="530"/>
      <c r="PYR109" s="531"/>
      <c r="PYS109" s="530"/>
      <c r="PYT109" s="531"/>
      <c r="PYU109" s="530"/>
      <c r="PYV109" s="531"/>
      <c r="PYW109" s="530"/>
      <c r="PYX109" s="531"/>
      <c r="PYY109" s="530"/>
      <c r="PYZ109" s="531"/>
      <c r="PZA109" s="530"/>
      <c r="PZB109" s="531"/>
      <c r="PZC109" s="530"/>
      <c r="PZD109" s="531"/>
      <c r="PZE109" s="530"/>
      <c r="PZF109" s="531"/>
      <c r="PZG109" s="530"/>
      <c r="PZH109" s="531"/>
      <c r="PZI109" s="530"/>
      <c r="PZJ109" s="531"/>
      <c r="PZK109" s="530"/>
      <c r="PZL109" s="531"/>
      <c r="PZM109" s="530"/>
      <c r="PZN109" s="531"/>
      <c r="PZO109" s="530"/>
      <c r="PZP109" s="531"/>
      <c r="PZQ109" s="530"/>
      <c r="PZR109" s="531"/>
      <c r="PZS109" s="530"/>
      <c r="PZT109" s="531"/>
      <c r="PZU109" s="530"/>
      <c r="PZV109" s="531"/>
      <c r="PZW109" s="530"/>
      <c r="PZX109" s="531"/>
      <c r="PZY109" s="530"/>
      <c r="PZZ109" s="531"/>
      <c r="QAA109" s="530"/>
      <c r="QAB109" s="531"/>
      <c r="QAC109" s="530"/>
      <c r="QAD109" s="531"/>
      <c r="QAE109" s="530"/>
      <c r="QAF109" s="531"/>
      <c r="QAG109" s="530"/>
      <c r="QAH109" s="531"/>
      <c r="QAI109" s="530"/>
      <c r="QAJ109" s="531"/>
      <c r="QAK109" s="530"/>
      <c r="QAL109" s="531"/>
      <c r="QAM109" s="530"/>
      <c r="QAN109" s="531"/>
      <c r="QAO109" s="530"/>
      <c r="QAP109" s="531"/>
      <c r="QAQ109" s="530"/>
      <c r="QAR109" s="531"/>
      <c r="QAS109" s="530"/>
      <c r="QAT109" s="531"/>
      <c r="QAU109" s="530"/>
      <c r="QAV109" s="531"/>
      <c r="QAW109" s="530"/>
      <c r="QAX109" s="531"/>
      <c r="QAY109" s="530"/>
      <c r="QAZ109" s="531"/>
      <c r="QBA109" s="530"/>
      <c r="QBB109" s="531"/>
      <c r="QBC109" s="530"/>
      <c r="QBD109" s="531"/>
      <c r="QBE109" s="530"/>
      <c r="QBF109" s="531"/>
      <c r="QBG109" s="530"/>
      <c r="QBH109" s="531"/>
      <c r="QBI109" s="530"/>
      <c r="QBJ109" s="531"/>
      <c r="QBK109" s="530"/>
      <c r="QBL109" s="531"/>
      <c r="QBM109" s="530"/>
      <c r="QBN109" s="531"/>
      <c r="QBO109" s="530"/>
      <c r="QBP109" s="531"/>
      <c r="QBQ109" s="530"/>
      <c r="QBR109" s="531"/>
      <c r="QBS109" s="530"/>
      <c r="QBT109" s="531"/>
      <c r="QBU109" s="530"/>
      <c r="QBV109" s="531"/>
      <c r="QBW109" s="530"/>
      <c r="QBX109" s="531"/>
      <c r="QBY109" s="530"/>
      <c r="QBZ109" s="531"/>
      <c r="QCA109" s="530"/>
      <c r="QCB109" s="531"/>
      <c r="QCC109" s="530"/>
      <c r="QCD109" s="531"/>
      <c r="QCE109" s="530"/>
      <c r="QCF109" s="531"/>
      <c r="QCG109" s="530"/>
      <c r="QCH109" s="531"/>
      <c r="QCI109" s="530"/>
      <c r="QCJ109" s="531"/>
      <c r="QCK109" s="530"/>
      <c r="QCL109" s="531"/>
      <c r="QCM109" s="530"/>
      <c r="QCN109" s="531"/>
      <c r="QCO109" s="530"/>
      <c r="QCP109" s="531"/>
      <c r="QCQ109" s="530"/>
      <c r="QCR109" s="531"/>
      <c r="QCS109" s="530"/>
      <c r="QCT109" s="531"/>
      <c r="QCU109" s="530"/>
      <c r="QCV109" s="531"/>
      <c r="QCW109" s="530"/>
      <c r="QCX109" s="531"/>
      <c r="QCY109" s="530"/>
      <c r="QCZ109" s="531"/>
      <c r="QDA109" s="530"/>
      <c r="QDB109" s="531"/>
      <c r="QDC109" s="530"/>
      <c r="QDD109" s="531"/>
      <c r="QDE109" s="530"/>
      <c r="QDF109" s="531"/>
      <c r="QDG109" s="530"/>
      <c r="QDH109" s="531"/>
      <c r="QDI109" s="530"/>
      <c r="QDJ109" s="531"/>
      <c r="QDK109" s="530"/>
      <c r="QDL109" s="531"/>
      <c r="QDM109" s="530"/>
      <c r="QDN109" s="531"/>
      <c r="QDO109" s="530"/>
      <c r="QDP109" s="531"/>
      <c r="QDQ109" s="530"/>
      <c r="QDR109" s="531"/>
      <c r="QDS109" s="530"/>
      <c r="QDT109" s="531"/>
      <c r="QDU109" s="530"/>
      <c r="QDV109" s="531"/>
      <c r="QDW109" s="530"/>
      <c r="QDX109" s="531"/>
      <c r="QDY109" s="530"/>
      <c r="QDZ109" s="531"/>
      <c r="QEA109" s="530"/>
      <c r="QEB109" s="531"/>
      <c r="QEC109" s="530"/>
      <c r="QED109" s="531"/>
      <c r="QEE109" s="530"/>
      <c r="QEF109" s="531"/>
      <c r="QEG109" s="530"/>
      <c r="QEH109" s="531"/>
      <c r="QEI109" s="530"/>
      <c r="QEJ109" s="531"/>
      <c r="QEK109" s="530"/>
      <c r="QEL109" s="531"/>
      <c r="QEM109" s="530"/>
      <c r="QEN109" s="531"/>
      <c r="QEO109" s="530"/>
      <c r="QEP109" s="531"/>
      <c r="QEQ109" s="530"/>
      <c r="QER109" s="531"/>
      <c r="QES109" s="530"/>
      <c r="QET109" s="531"/>
      <c r="QEU109" s="530"/>
      <c r="QEV109" s="531"/>
      <c r="QEW109" s="530"/>
      <c r="QEX109" s="531"/>
      <c r="QEY109" s="530"/>
      <c r="QEZ109" s="531"/>
      <c r="QFA109" s="530"/>
      <c r="QFB109" s="531"/>
      <c r="QFC109" s="530"/>
      <c r="QFD109" s="531"/>
      <c r="QFE109" s="530"/>
      <c r="QFF109" s="531"/>
      <c r="QFG109" s="530"/>
      <c r="QFH109" s="531"/>
      <c r="QFI109" s="530"/>
      <c r="QFJ109" s="531"/>
      <c r="QFK109" s="530"/>
      <c r="QFL109" s="531"/>
      <c r="QFM109" s="530"/>
      <c r="QFN109" s="531"/>
      <c r="QFO109" s="530"/>
      <c r="QFP109" s="531"/>
      <c r="QFQ109" s="530"/>
      <c r="QFR109" s="531"/>
      <c r="QFS109" s="530"/>
      <c r="QFT109" s="531"/>
      <c r="QFU109" s="530"/>
      <c r="QFV109" s="531"/>
      <c r="QFW109" s="530"/>
      <c r="QFX109" s="531"/>
      <c r="QFY109" s="530"/>
      <c r="QFZ109" s="531"/>
      <c r="QGA109" s="530"/>
      <c r="QGB109" s="531"/>
      <c r="QGC109" s="530"/>
      <c r="QGD109" s="531"/>
      <c r="QGE109" s="530"/>
      <c r="QGF109" s="531"/>
      <c r="QGG109" s="530"/>
      <c r="QGH109" s="531"/>
      <c r="QGI109" s="530"/>
      <c r="QGJ109" s="531"/>
      <c r="QGK109" s="530"/>
      <c r="QGL109" s="531"/>
      <c r="QGM109" s="530"/>
      <c r="QGN109" s="531"/>
      <c r="QGO109" s="530"/>
      <c r="QGP109" s="531"/>
      <c r="QGQ109" s="530"/>
      <c r="QGR109" s="531"/>
      <c r="QGS109" s="530"/>
      <c r="QGT109" s="531"/>
      <c r="QGU109" s="530"/>
      <c r="QGV109" s="531"/>
      <c r="QGW109" s="530"/>
      <c r="QGX109" s="531"/>
      <c r="QGY109" s="530"/>
      <c r="QGZ109" s="531"/>
      <c r="QHA109" s="530"/>
      <c r="QHB109" s="531"/>
      <c r="QHC109" s="530"/>
      <c r="QHD109" s="531"/>
      <c r="QHE109" s="530"/>
      <c r="QHF109" s="531"/>
      <c r="QHG109" s="530"/>
      <c r="QHH109" s="531"/>
      <c r="QHI109" s="530"/>
      <c r="QHJ109" s="531"/>
      <c r="QHK109" s="530"/>
      <c r="QHL109" s="531"/>
      <c r="QHM109" s="530"/>
      <c r="QHN109" s="531"/>
      <c r="QHO109" s="530"/>
      <c r="QHP109" s="531"/>
      <c r="QHQ109" s="530"/>
      <c r="QHR109" s="531"/>
      <c r="QHS109" s="530"/>
      <c r="QHT109" s="531"/>
      <c r="QHU109" s="530"/>
      <c r="QHV109" s="531"/>
      <c r="QHW109" s="530"/>
      <c r="QHX109" s="531"/>
      <c r="QHY109" s="530"/>
      <c r="QHZ109" s="531"/>
      <c r="QIA109" s="530"/>
      <c r="QIB109" s="531"/>
      <c r="QIC109" s="530"/>
      <c r="QID109" s="531"/>
      <c r="QIE109" s="530"/>
      <c r="QIF109" s="531"/>
      <c r="QIG109" s="530"/>
      <c r="QIH109" s="531"/>
      <c r="QII109" s="530"/>
      <c r="QIJ109" s="531"/>
      <c r="QIK109" s="530"/>
      <c r="QIL109" s="531"/>
      <c r="QIM109" s="530"/>
      <c r="QIN109" s="531"/>
      <c r="QIO109" s="530"/>
      <c r="QIP109" s="531"/>
      <c r="QIQ109" s="530"/>
      <c r="QIR109" s="531"/>
      <c r="QIS109" s="530"/>
      <c r="QIT109" s="531"/>
      <c r="QIU109" s="530"/>
      <c r="QIV109" s="531"/>
      <c r="QIW109" s="530"/>
      <c r="QIX109" s="531"/>
      <c r="QIY109" s="530"/>
      <c r="QIZ109" s="531"/>
      <c r="QJA109" s="530"/>
      <c r="QJB109" s="531"/>
      <c r="QJC109" s="530"/>
      <c r="QJD109" s="531"/>
      <c r="QJE109" s="530"/>
      <c r="QJF109" s="531"/>
      <c r="QJG109" s="530"/>
      <c r="QJH109" s="531"/>
      <c r="QJI109" s="530"/>
      <c r="QJJ109" s="531"/>
      <c r="QJK109" s="530"/>
      <c r="QJL109" s="531"/>
      <c r="QJM109" s="530"/>
      <c r="QJN109" s="531"/>
      <c r="QJO109" s="530"/>
      <c r="QJP109" s="531"/>
      <c r="QJQ109" s="530"/>
      <c r="QJR109" s="531"/>
      <c r="QJS109" s="530"/>
      <c r="QJT109" s="531"/>
      <c r="QJU109" s="530"/>
      <c r="QJV109" s="531"/>
      <c r="QJW109" s="530"/>
      <c r="QJX109" s="531"/>
      <c r="QJY109" s="530"/>
      <c r="QJZ109" s="531"/>
      <c r="QKA109" s="530"/>
      <c r="QKB109" s="531"/>
      <c r="QKC109" s="530"/>
      <c r="QKD109" s="531"/>
      <c r="QKE109" s="530"/>
      <c r="QKF109" s="531"/>
      <c r="QKG109" s="530"/>
      <c r="QKH109" s="531"/>
      <c r="QKI109" s="530"/>
      <c r="QKJ109" s="531"/>
      <c r="QKK109" s="530"/>
      <c r="QKL109" s="531"/>
      <c r="QKM109" s="530"/>
      <c r="QKN109" s="531"/>
      <c r="QKO109" s="530"/>
      <c r="QKP109" s="531"/>
      <c r="QKQ109" s="530"/>
      <c r="QKR109" s="531"/>
      <c r="QKS109" s="530"/>
      <c r="QKT109" s="531"/>
      <c r="QKU109" s="530"/>
      <c r="QKV109" s="531"/>
      <c r="QKW109" s="530"/>
      <c r="QKX109" s="531"/>
      <c r="QKY109" s="530"/>
      <c r="QKZ109" s="531"/>
      <c r="QLA109" s="530"/>
      <c r="QLB109" s="531"/>
      <c r="QLC109" s="530"/>
      <c r="QLD109" s="531"/>
      <c r="QLE109" s="530"/>
      <c r="QLF109" s="531"/>
      <c r="QLG109" s="530"/>
      <c r="QLH109" s="531"/>
      <c r="QLI109" s="530"/>
      <c r="QLJ109" s="531"/>
      <c r="QLK109" s="530"/>
      <c r="QLL109" s="531"/>
      <c r="QLM109" s="530"/>
      <c r="QLN109" s="531"/>
      <c r="QLO109" s="530"/>
      <c r="QLP109" s="531"/>
      <c r="QLQ109" s="530"/>
      <c r="QLR109" s="531"/>
      <c r="QLS109" s="530"/>
      <c r="QLT109" s="531"/>
      <c r="QLU109" s="530"/>
      <c r="QLV109" s="531"/>
      <c r="QLW109" s="530"/>
      <c r="QLX109" s="531"/>
      <c r="QLY109" s="530"/>
      <c r="QLZ109" s="531"/>
      <c r="QMA109" s="530"/>
      <c r="QMB109" s="531"/>
      <c r="QMC109" s="530"/>
      <c r="QMD109" s="531"/>
      <c r="QME109" s="530"/>
      <c r="QMF109" s="531"/>
      <c r="QMG109" s="530"/>
      <c r="QMH109" s="531"/>
      <c r="QMI109" s="530"/>
      <c r="QMJ109" s="531"/>
      <c r="QMK109" s="530"/>
      <c r="QML109" s="531"/>
      <c r="QMM109" s="530"/>
      <c r="QMN109" s="531"/>
      <c r="QMO109" s="530"/>
      <c r="QMP109" s="531"/>
      <c r="QMQ109" s="530"/>
      <c r="QMR109" s="531"/>
      <c r="QMS109" s="530"/>
      <c r="QMT109" s="531"/>
      <c r="QMU109" s="530"/>
      <c r="QMV109" s="531"/>
      <c r="QMW109" s="530"/>
      <c r="QMX109" s="531"/>
      <c r="QMY109" s="530"/>
      <c r="QMZ109" s="531"/>
      <c r="QNA109" s="530"/>
      <c r="QNB109" s="531"/>
      <c r="QNC109" s="530"/>
      <c r="QND109" s="531"/>
      <c r="QNE109" s="530"/>
      <c r="QNF109" s="531"/>
      <c r="QNG109" s="530"/>
      <c r="QNH109" s="531"/>
      <c r="QNI109" s="530"/>
      <c r="QNJ109" s="531"/>
      <c r="QNK109" s="530"/>
      <c r="QNL109" s="531"/>
      <c r="QNM109" s="530"/>
      <c r="QNN109" s="531"/>
      <c r="QNO109" s="530"/>
      <c r="QNP109" s="531"/>
      <c r="QNQ109" s="530"/>
      <c r="QNR109" s="531"/>
      <c r="QNS109" s="530"/>
      <c r="QNT109" s="531"/>
      <c r="QNU109" s="530"/>
      <c r="QNV109" s="531"/>
      <c r="QNW109" s="530"/>
      <c r="QNX109" s="531"/>
      <c r="QNY109" s="530"/>
      <c r="QNZ109" s="531"/>
      <c r="QOA109" s="530"/>
      <c r="QOB109" s="531"/>
      <c r="QOC109" s="530"/>
      <c r="QOD109" s="531"/>
      <c r="QOE109" s="530"/>
      <c r="QOF109" s="531"/>
      <c r="QOG109" s="530"/>
      <c r="QOH109" s="531"/>
      <c r="QOI109" s="530"/>
      <c r="QOJ109" s="531"/>
      <c r="QOK109" s="530"/>
      <c r="QOL109" s="531"/>
      <c r="QOM109" s="530"/>
      <c r="QON109" s="531"/>
      <c r="QOO109" s="530"/>
      <c r="QOP109" s="531"/>
      <c r="QOQ109" s="530"/>
      <c r="QOR109" s="531"/>
      <c r="QOS109" s="530"/>
      <c r="QOT109" s="531"/>
      <c r="QOU109" s="530"/>
      <c r="QOV109" s="531"/>
      <c r="QOW109" s="530"/>
      <c r="QOX109" s="531"/>
      <c r="QOY109" s="530"/>
      <c r="QOZ109" s="531"/>
      <c r="QPA109" s="530"/>
      <c r="QPB109" s="531"/>
      <c r="QPC109" s="530"/>
      <c r="QPD109" s="531"/>
      <c r="QPE109" s="530"/>
      <c r="QPF109" s="531"/>
      <c r="QPG109" s="530"/>
      <c r="QPH109" s="531"/>
      <c r="QPI109" s="530"/>
      <c r="QPJ109" s="531"/>
      <c r="QPK109" s="530"/>
      <c r="QPL109" s="531"/>
      <c r="QPM109" s="530"/>
      <c r="QPN109" s="531"/>
      <c r="QPO109" s="530"/>
      <c r="QPP109" s="531"/>
      <c r="QPQ109" s="530"/>
      <c r="QPR109" s="531"/>
      <c r="QPS109" s="530"/>
      <c r="QPT109" s="531"/>
      <c r="QPU109" s="530"/>
      <c r="QPV109" s="531"/>
      <c r="QPW109" s="530"/>
      <c r="QPX109" s="531"/>
      <c r="QPY109" s="530"/>
      <c r="QPZ109" s="531"/>
      <c r="QQA109" s="530"/>
      <c r="QQB109" s="531"/>
      <c r="QQC109" s="530"/>
      <c r="QQD109" s="531"/>
      <c r="QQE109" s="530"/>
      <c r="QQF109" s="531"/>
      <c r="QQG109" s="530"/>
      <c r="QQH109" s="531"/>
      <c r="QQI109" s="530"/>
      <c r="QQJ109" s="531"/>
      <c r="QQK109" s="530"/>
      <c r="QQL109" s="531"/>
      <c r="QQM109" s="530"/>
      <c r="QQN109" s="531"/>
      <c r="QQO109" s="530"/>
      <c r="QQP109" s="531"/>
      <c r="QQQ109" s="530"/>
      <c r="QQR109" s="531"/>
      <c r="QQS109" s="530"/>
      <c r="QQT109" s="531"/>
      <c r="QQU109" s="530"/>
      <c r="QQV109" s="531"/>
      <c r="QQW109" s="530"/>
      <c r="QQX109" s="531"/>
      <c r="QQY109" s="530"/>
      <c r="QQZ109" s="531"/>
      <c r="QRA109" s="530"/>
      <c r="QRB109" s="531"/>
      <c r="QRC109" s="530"/>
      <c r="QRD109" s="531"/>
      <c r="QRE109" s="530"/>
      <c r="QRF109" s="531"/>
      <c r="QRG109" s="530"/>
      <c r="QRH109" s="531"/>
      <c r="QRI109" s="530"/>
      <c r="QRJ109" s="531"/>
      <c r="QRK109" s="530"/>
      <c r="QRL109" s="531"/>
      <c r="QRM109" s="530"/>
      <c r="QRN109" s="531"/>
      <c r="QRO109" s="530"/>
      <c r="QRP109" s="531"/>
      <c r="QRQ109" s="530"/>
      <c r="QRR109" s="531"/>
      <c r="QRS109" s="530"/>
      <c r="QRT109" s="531"/>
      <c r="QRU109" s="530"/>
      <c r="QRV109" s="531"/>
      <c r="QRW109" s="530"/>
      <c r="QRX109" s="531"/>
      <c r="QRY109" s="530"/>
      <c r="QRZ109" s="531"/>
      <c r="QSA109" s="530"/>
      <c r="QSB109" s="531"/>
      <c r="QSC109" s="530"/>
      <c r="QSD109" s="531"/>
      <c r="QSE109" s="530"/>
      <c r="QSF109" s="531"/>
      <c r="QSG109" s="530"/>
      <c r="QSH109" s="531"/>
      <c r="QSI109" s="530"/>
      <c r="QSJ109" s="531"/>
      <c r="QSK109" s="530"/>
      <c r="QSL109" s="531"/>
      <c r="QSM109" s="530"/>
      <c r="QSN109" s="531"/>
      <c r="QSO109" s="530"/>
      <c r="QSP109" s="531"/>
      <c r="QSQ109" s="530"/>
      <c r="QSR109" s="531"/>
      <c r="QSS109" s="530"/>
      <c r="QST109" s="531"/>
      <c r="QSU109" s="530"/>
      <c r="QSV109" s="531"/>
      <c r="QSW109" s="530"/>
      <c r="QSX109" s="531"/>
      <c r="QSY109" s="530"/>
      <c r="QSZ109" s="531"/>
      <c r="QTA109" s="530"/>
      <c r="QTB109" s="531"/>
      <c r="QTC109" s="530"/>
      <c r="QTD109" s="531"/>
      <c r="QTE109" s="530"/>
      <c r="QTF109" s="531"/>
      <c r="QTG109" s="530"/>
      <c r="QTH109" s="531"/>
      <c r="QTI109" s="530"/>
      <c r="QTJ109" s="531"/>
      <c r="QTK109" s="530"/>
      <c r="QTL109" s="531"/>
      <c r="QTM109" s="530"/>
      <c r="QTN109" s="531"/>
      <c r="QTO109" s="530"/>
      <c r="QTP109" s="531"/>
      <c r="QTQ109" s="530"/>
      <c r="QTR109" s="531"/>
      <c r="QTS109" s="530"/>
      <c r="QTT109" s="531"/>
      <c r="QTU109" s="530"/>
      <c r="QTV109" s="531"/>
      <c r="QTW109" s="530"/>
      <c r="QTX109" s="531"/>
      <c r="QTY109" s="530"/>
      <c r="QTZ109" s="531"/>
      <c r="QUA109" s="530"/>
      <c r="QUB109" s="531"/>
      <c r="QUC109" s="530"/>
      <c r="QUD109" s="531"/>
      <c r="QUE109" s="530"/>
      <c r="QUF109" s="531"/>
      <c r="QUG109" s="530"/>
      <c r="QUH109" s="531"/>
      <c r="QUI109" s="530"/>
      <c r="QUJ109" s="531"/>
      <c r="QUK109" s="530"/>
      <c r="QUL109" s="531"/>
      <c r="QUM109" s="530"/>
      <c r="QUN109" s="531"/>
      <c r="QUO109" s="530"/>
      <c r="QUP109" s="531"/>
      <c r="QUQ109" s="530"/>
      <c r="QUR109" s="531"/>
      <c r="QUS109" s="530"/>
      <c r="QUT109" s="531"/>
      <c r="QUU109" s="530"/>
      <c r="QUV109" s="531"/>
      <c r="QUW109" s="530"/>
      <c r="QUX109" s="531"/>
      <c r="QUY109" s="530"/>
      <c r="QUZ109" s="531"/>
      <c r="QVA109" s="530"/>
      <c r="QVB109" s="531"/>
      <c r="QVC109" s="530"/>
      <c r="QVD109" s="531"/>
      <c r="QVE109" s="530"/>
      <c r="QVF109" s="531"/>
      <c r="QVG109" s="530"/>
      <c r="QVH109" s="531"/>
      <c r="QVI109" s="530"/>
      <c r="QVJ109" s="531"/>
      <c r="QVK109" s="530"/>
      <c r="QVL109" s="531"/>
      <c r="QVM109" s="530"/>
      <c r="QVN109" s="531"/>
      <c r="QVO109" s="530"/>
      <c r="QVP109" s="531"/>
      <c r="QVQ109" s="530"/>
      <c r="QVR109" s="531"/>
      <c r="QVS109" s="530"/>
      <c r="QVT109" s="531"/>
      <c r="QVU109" s="530"/>
      <c r="QVV109" s="531"/>
      <c r="QVW109" s="530"/>
      <c r="QVX109" s="531"/>
      <c r="QVY109" s="530"/>
      <c r="QVZ109" s="531"/>
      <c r="QWA109" s="530"/>
      <c r="QWB109" s="531"/>
      <c r="QWC109" s="530"/>
      <c r="QWD109" s="531"/>
      <c r="QWE109" s="530"/>
      <c r="QWF109" s="531"/>
      <c r="QWG109" s="530"/>
      <c r="QWH109" s="531"/>
      <c r="QWI109" s="530"/>
      <c r="QWJ109" s="531"/>
      <c r="QWK109" s="530"/>
      <c r="QWL109" s="531"/>
      <c r="QWM109" s="530"/>
      <c r="QWN109" s="531"/>
      <c r="QWO109" s="530"/>
      <c r="QWP109" s="531"/>
      <c r="QWQ109" s="530"/>
      <c r="QWR109" s="531"/>
      <c r="QWS109" s="530"/>
      <c r="QWT109" s="531"/>
      <c r="QWU109" s="530"/>
      <c r="QWV109" s="531"/>
      <c r="QWW109" s="530"/>
      <c r="QWX109" s="531"/>
      <c r="QWY109" s="530"/>
      <c r="QWZ109" s="531"/>
      <c r="QXA109" s="530"/>
      <c r="QXB109" s="531"/>
      <c r="QXC109" s="530"/>
      <c r="QXD109" s="531"/>
      <c r="QXE109" s="530"/>
      <c r="QXF109" s="531"/>
      <c r="QXG109" s="530"/>
      <c r="QXH109" s="531"/>
      <c r="QXI109" s="530"/>
      <c r="QXJ109" s="531"/>
      <c r="QXK109" s="530"/>
      <c r="QXL109" s="531"/>
      <c r="QXM109" s="530"/>
      <c r="QXN109" s="531"/>
      <c r="QXO109" s="530"/>
      <c r="QXP109" s="531"/>
      <c r="QXQ109" s="530"/>
      <c r="QXR109" s="531"/>
      <c r="QXS109" s="530"/>
      <c r="QXT109" s="531"/>
      <c r="QXU109" s="530"/>
      <c r="QXV109" s="531"/>
      <c r="QXW109" s="530"/>
      <c r="QXX109" s="531"/>
      <c r="QXY109" s="530"/>
      <c r="QXZ109" s="531"/>
      <c r="QYA109" s="530"/>
      <c r="QYB109" s="531"/>
      <c r="QYC109" s="530"/>
      <c r="QYD109" s="531"/>
      <c r="QYE109" s="530"/>
      <c r="QYF109" s="531"/>
      <c r="QYG109" s="530"/>
      <c r="QYH109" s="531"/>
      <c r="QYI109" s="530"/>
      <c r="QYJ109" s="531"/>
      <c r="QYK109" s="530"/>
      <c r="QYL109" s="531"/>
      <c r="QYM109" s="530"/>
      <c r="QYN109" s="531"/>
      <c r="QYO109" s="530"/>
      <c r="QYP109" s="531"/>
      <c r="QYQ109" s="530"/>
      <c r="QYR109" s="531"/>
      <c r="QYS109" s="530"/>
      <c r="QYT109" s="531"/>
      <c r="QYU109" s="530"/>
      <c r="QYV109" s="531"/>
      <c r="QYW109" s="530"/>
      <c r="QYX109" s="531"/>
      <c r="QYY109" s="530"/>
      <c r="QYZ109" s="531"/>
      <c r="QZA109" s="530"/>
      <c r="QZB109" s="531"/>
      <c r="QZC109" s="530"/>
      <c r="QZD109" s="531"/>
      <c r="QZE109" s="530"/>
      <c r="QZF109" s="531"/>
      <c r="QZG109" s="530"/>
      <c r="QZH109" s="531"/>
      <c r="QZI109" s="530"/>
      <c r="QZJ109" s="531"/>
      <c r="QZK109" s="530"/>
      <c r="QZL109" s="531"/>
      <c r="QZM109" s="530"/>
      <c r="QZN109" s="531"/>
      <c r="QZO109" s="530"/>
      <c r="QZP109" s="531"/>
      <c r="QZQ109" s="530"/>
      <c r="QZR109" s="531"/>
      <c r="QZS109" s="530"/>
      <c r="QZT109" s="531"/>
      <c r="QZU109" s="530"/>
      <c r="QZV109" s="531"/>
      <c r="QZW109" s="530"/>
      <c r="QZX109" s="531"/>
      <c r="QZY109" s="530"/>
      <c r="QZZ109" s="531"/>
      <c r="RAA109" s="530"/>
      <c r="RAB109" s="531"/>
      <c r="RAC109" s="530"/>
      <c r="RAD109" s="531"/>
      <c r="RAE109" s="530"/>
      <c r="RAF109" s="531"/>
      <c r="RAG109" s="530"/>
      <c r="RAH109" s="531"/>
      <c r="RAI109" s="530"/>
      <c r="RAJ109" s="531"/>
      <c r="RAK109" s="530"/>
      <c r="RAL109" s="531"/>
      <c r="RAM109" s="530"/>
      <c r="RAN109" s="531"/>
      <c r="RAO109" s="530"/>
      <c r="RAP109" s="531"/>
      <c r="RAQ109" s="530"/>
      <c r="RAR109" s="531"/>
      <c r="RAS109" s="530"/>
      <c r="RAT109" s="531"/>
      <c r="RAU109" s="530"/>
      <c r="RAV109" s="531"/>
      <c r="RAW109" s="530"/>
      <c r="RAX109" s="531"/>
      <c r="RAY109" s="530"/>
      <c r="RAZ109" s="531"/>
      <c r="RBA109" s="530"/>
      <c r="RBB109" s="531"/>
      <c r="RBC109" s="530"/>
      <c r="RBD109" s="531"/>
      <c r="RBE109" s="530"/>
      <c r="RBF109" s="531"/>
      <c r="RBG109" s="530"/>
      <c r="RBH109" s="531"/>
      <c r="RBI109" s="530"/>
      <c r="RBJ109" s="531"/>
      <c r="RBK109" s="530"/>
      <c r="RBL109" s="531"/>
      <c r="RBM109" s="530"/>
      <c r="RBN109" s="531"/>
      <c r="RBO109" s="530"/>
      <c r="RBP109" s="531"/>
      <c r="RBQ109" s="530"/>
      <c r="RBR109" s="531"/>
      <c r="RBS109" s="530"/>
      <c r="RBT109" s="531"/>
      <c r="RBU109" s="530"/>
      <c r="RBV109" s="531"/>
      <c r="RBW109" s="530"/>
      <c r="RBX109" s="531"/>
      <c r="RBY109" s="530"/>
      <c r="RBZ109" s="531"/>
      <c r="RCA109" s="530"/>
      <c r="RCB109" s="531"/>
      <c r="RCC109" s="530"/>
      <c r="RCD109" s="531"/>
      <c r="RCE109" s="530"/>
      <c r="RCF109" s="531"/>
      <c r="RCG109" s="530"/>
      <c r="RCH109" s="531"/>
      <c r="RCI109" s="530"/>
      <c r="RCJ109" s="531"/>
      <c r="RCK109" s="530"/>
      <c r="RCL109" s="531"/>
      <c r="RCM109" s="530"/>
      <c r="RCN109" s="531"/>
      <c r="RCO109" s="530"/>
      <c r="RCP109" s="531"/>
      <c r="RCQ109" s="530"/>
      <c r="RCR109" s="531"/>
      <c r="RCS109" s="530"/>
      <c r="RCT109" s="531"/>
      <c r="RCU109" s="530"/>
      <c r="RCV109" s="531"/>
      <c r="RCW109" s="530"/>
      <c r="RCX109" s="531"/>
      <c r="RCY109" s="530"/>
      <c r="RCZ109" s="531"/>
      <c r="RDA109" s="530"/>
      <c r="RDB109" s="531"/>
      <c r="RDC109" s="530"/>
      <c r="RDD109" s="531"/>
      <c r="RDE109" s="530"/>
      <c r="RDF109" s="531"/>
      <c r="RDG109" s="530"/>
      <c r="RDH109" s="531"/>
      <c r="RDI109" s="530"/>
      <c r="RDJ109" s="531"/>
      <c r="RDK109" s="530"/>
      <c r="RDL109" s="531"/>
      <c r="RDM109" s="530"/>
      <c r="RDN109" s="531"/>
      <c r="RDO109" s="530"/>
      <c r="RDP109" s="531"/>
      <c r="RDQ109" s="530"/>
      <c r="RDR109" s="531"/>
      <c r="RDS109" s="530"/>
      <c r="RDT109" s="531"/>
      <c r="RDU109" s="530"/>
      <c r="RDV109" s="531"/>
      <c r="RDW109" s="530"/>
      <c r="RDX109" s="531"/>
      <c r="RDY109" s="530"/>
      <c r="RDZ109" s="531"/>
      <c r="REA109" s="530"/>
      <c r="REB109" s="531"/>
      <c r="REC109" s="530"/>
      <c r="RED109" s="531"/>
      <c r="REE109" s="530"/>
      <c r="REF109" s="531"/>
      <c r="REG109" s="530"/>
      <c r="REH109" s="531"/>
      <c r="REI109" s="530"/>
      <c r="REJ109" s="531"/>
      <c r="REK109" s="530"/>
      <c r="REL109" s="531"/>
      <c r="REM109" s="530"/>
      <c r="REN109" s="531"/>
      <c r="REO109" s="530"/>
      <c r="REP109" s="531"/>
      <c r="REQ109" s="530"/>
      <c r="RER109" s="531"/>
      <c r="RES109" s="530"/>
      <c r="RET109" s="531"/>
      <c r="REU109" s="530"/>
      <c r="REV109" s="531"/>
      <c r="REW109" s="530"/>
      <c r="REX109" s="531"/>
      <c r="REY109" s="530"/>
      <c r="REZ109" s="531"/>
      <c r="RFA109" s="530"/>
      <c r="RFB109" s="531"/>
      <c r="RFC109" s="530"/>
      <c r="RFD109" s="531"/>
      <c r="RFE109" s="530"/>
      <c r="RFF109" s="531"/>
      <c r="RFG109" s="530"/>
      <c r="RFH109" s="531"/>
      <c r="RFI109" s="530"/>
      <c r="RFJ109" s="531"/>
      <c r="RFK109" s="530"/>
      <c r="RFL109" s="531"/>
      <c r="RFM109" s="530"/>
      <c r="RFN109" s="531"/>
      <c r="RFO109" s="530"/>
      <c r="RFP109" s="531"/>
      <c r="RFQ109" s="530"/>
      <c r="RFR109" s="531"/>
      <c r="RFS109" s="530"/>
      <c r="RFT109" s="531"/>
      <c r="RFU109" s="530"/>
      <c r="RFV109" s="531"/>
      <c r="RFW109" s="530"/>
      <c r="RFX109" s="531"/>
      <c r="RFY109" s="530"/>
      <c r="RFZ109" s="531"/>
      <c r="RGA109" s="530"/>
      <c r="RGB109" s="531"/>
      <c r="RGC109" s="530"/>
      <c r="RGD109" s="531"/>
      <c r="RGE109" s="530"/>
      <c r="RGF109" s="531"/>
      <c r="RGG109" s="530"/>
      <c r="RGH109" s="531"/>
      <c r="RGI109" s="530"/>
      <c r="RGJ109" s="531"/>
      <c r="RGK109" s="530"/>
      <c r="RGL109" s="531"/>
      <c r="RGM109" s="530"/>
      <c r="RGN109" s="531"/>
      <c r="RGO109" s="530"/>
      <c r="RGP109" s="531"/>
      <c r="RGQ109" s="530"/>
      <c r="RGR109" s="531"/>
      <c r="RGS109" s="530"/>
      <c r="RGT109" s="531"/>
      <c r="RGU109" s="530"/>
      <c r="RGV109" s="531"/>
      <c r="RGW109" s="530"/>
      <c r="RGX109" s="531"/>
      <c r="RGY109" s="530"/>
      <c r="RGZ109" s="531"/>
      <c r="RHA109" s="530"/>
      <c r="RHB109" s="531"/>
      <c r="RHC109" s="530"/>
      <c r="RHD109" s="531"/>
      <c r="RHE109" s="530"/>
      <c r="RHF109" s="531"/>
      <c r="RHG109" s="530"/>
      <c r="RHH109" s="531"/>
      <c r="RHI109" s="530"/>
      <c r="RHJ109" s="531"/>
      <c r="RHK109" s="530"/>
      <c r="RHL109" s="531"/>
      <c r="RHM109" s="530"/>
      <c r="RHN109" s="531"/>
      <c r="RHO109" s="530"/>
      <c r="RHP109" s="531"/>
      <c r="RHQ109" s="530"/>
      <c r="RHR109" s="531"/>
      <c r="RHS109" s="530"/>
      <c r="RHT109" s="531"/>
      <c r="RHU109" s="530"/>
      <c r="RHV109" s="531"/>
      <c r="RHW109" s="530"/>
      <c r="RHX109" s="531"/>
      <c r="RHY109" s="530"/>
      <c r="RHZ109" s="531"/>
      <c r="RIA109" s="530"/>
      <c r="RIB109" s="531"/>
      <c r="RIC109" s="530"/>
      <c r="RID109" s="531"/>
      <c r="RIE109" s="530"/>
      <c r="RIF109" s="531"/>
      <c r="RIG109" s="530"/>
      <c r="RIH109" s="531"/>
      <c r="RII109" s="530"/>
      <c r="RIJ109" s="531"/>
      <c r="RIK109" s="530"/>
      <c r="RIL109" s="531"/>
      <c r="RIM109" s="530"/>
      <c r="RIN109" s="531"/>
      <c r="RIO109" s="530"/>
      <c r="RIP109" s="531"/>
      <c r="RIQ109" s="530"/>
      <c r="RIR109" s="531"/>
      <c r="RIS109" s="530"/>
      <c r="RIT109" s="531"/>
      <c r="RIU109" s="530"/>
      <c r="RIV109" s="531"/>
      <c r="RIW109" s="530"/>
      <c r="RIX109" s="531"/>
      <c r="RIY109" s="530"/>
      <c r="RIZ109" s="531"/>
      <c r="RJA109" s="530"/>
      <c r="RJB109" s="531"/>
      <c r="RJC109" s="530"/>
      <c r="RJD109" s="531"/>
      <c r="RJE109" s="530"/>
      <c r="RJF109" s="531"/>
      <c r="RJG109" s="530"/>
      <c r="RJH109" s="531"/>
      <c r="RJI109" s="530"/>
      <c r="RJJ109" s="531"/>
      <c r="RJK109" s="530"/>
      <c r="RJL109" s="531"/>
      <c r="RJM109" s="530"/>
      <c r="RJN109" s="531"/>
      <c r="RJO109" s="530"/>
      <c r="RJP109" s="531"/>
      <c r="RJQ109" s="530"/>
      <c r="RJR109" s="531"/>
      <c r="RJS109" s="530"/>
      <c r="RJT109" s="531"/>
      <c r="RJU109" s="530"/>
      <c r="RJV109" s="531"/>
      <c r="RJW109" s="530"/>
      <c r="RJX109" s="531"/>
      <c r="RJY109" s="530"/>
      <c r="RJZ109" s="531"/>
      <c r="RKA109" s="530"/>
      <c r="RKB109" s="531"/>
      <c r="RKC109" s="530"/>
      <c r="RKD109" s="531"/>
      <c r="RKE109" s="530"/>
      <c r="RKF109" s="531"/>
      <c r="RKG109" s="530"/>
      <c r="RKH109" s="531"/>
      <c r="RKI109" s="530"/>
      <c r="RKJ109" s="531"/>
      <c r="RKK109" s="530"/>
      <c r="RKL109" s="531"/>
      <c r="RKM109" s="530"/>
      <c r="RKN109" s="531"/>
      <c r="RKO109" s="530"/>
      <c r="RKP109" s="531"/>
      <c r="RKQ109" s="530"/>
      <c r="RKR109" s="531"/>
      <c r="RKS109" s="530"/>
      <c r="RKT109" s="531"/>
      <c r="RKU109" s="530"/>
      <c r="RKV109" s="531"/>
      <c r="RKW109" s="530"/>
      <c r="RKX109" s="531"/>
      <c r="RKY109" s="530"/>
      <c r="RKZ109" s="531"/>
      <c r="RLA109" s="530"/>
      <c r="RLB109" s="531"/>
      <c r="RLC109" s="530"/>
      <c r="RLD109" s="531"/>
      <c r="RLE109" s="530"/>
      <c r="RLF109" s="531"/>
      <c r="RLG109" s="530"/>
      <c r="RLH109" s="531"/>
      <c r="RLI109" s="530"/>
      <c r="RLJ109" s="531"/>
      <c r="RLK109" s="530"/>
      <c r="RLL109" s="531"/>
      <c r="RLM109" s="530"/>
      <c r="RLN109" s="531"/>
      <c r="RLO109" s="530"/>
      <c r="RLP109" s="531"/>
      <c r="RLQ109" s="530"/>
      <c r="RLR109" s="531"/>
      <c r="RLS109" s="530"/>
      <c r="RLT109" s="531"/>
      <c r="RLU109" s="530"/>
      <c r="RLV109" s="531"/>
      <c r="RLW109" s="530"/>
      <c r="RLX109" s="531"/>
      <c r="RLY109" s="530"/>
      <c r="RLZ109" s="531"/>
      <c r="RMA109" s="530"/>
      <c r="RMB109" s="531"/>
      <c r="RMC109" s="530"/>
      <c r="RMD109" s="531"/>
      <c r="RME109" s="530"/>
      <c r="RMF109" s="531"/>
      <c r="RMG109" s="530"/>
      <c r="RMH109" s="531"/>
      <c r="RMI109" s="530"/>
      <c r="RMJ109" s="531"/>
      <c r="RMK109" s="530"/>
      <c r="RML109" s="531"/>
      <c r="RMM109" s="530"/>
      <c r="RMN109" s="531"/>
      <c r="RMO109" s="530"/>
      <c r="RMP109" s="531"/>
      <c r="RMQ109" s="530"/>
      <c r="RMR109" s="531"/>
      <c r="RMS109" s="530"/>
      <c r="RMT109" s="531"/>
      <c r="RMU109" s="530"/>
      <c r="RMV109" s="531"/>
      <c r="RMW109" s="530"/>
      <c r="RMX109" s="531"/>
      <c r="RMY109" s="530"/>
      <c r="RMZ109" s="531"/>
      <c r="RNA109" s="530"/>
      <c r="RNB109" s="531"/>
      <c r="RNC109" s="530"/>
      <c r="RND109" s="531"/>
      <c r="RNE109" s="530"/>
      <c r="RNF109" s="531"/>
      <c r="RNG109" s="530"/>
      <c r="RNH109" s="531"/>
      <c r="RNI109" s="530"/>
      <c r="RNJ109" s="531"/>
      <c r="RNK109" s="530"/>
      <c r="RNL109" s="531"/>
      <c r="RNM109" s="530"/>
      <c r="RNN109" s="531"/>
      <c r="RNO109" s="530"/>
      <c r="RNP109" s="531"/>
      <c r="RNQ109" s="530"/>
      <c r="RNR109" s="531"/>
      <c r="RNS109" s="530"/>
      <c r="RNT109" s="531"/>
      <c r="RNU109" s="530"/>
      <c r="RNV109" s="531"/>
      <c r="RNW109" s="530"/>
      <c r="RNX109" s="531"/>
      <c r="RNY109" s="530"/>
      <c r="RNZ109" s="531"/>
      <c r="ROA109" s="530"/>
      <c r="ROB109" s="531"/>
      <c r="ROC109" s="530"/>
      <c r="ROD109" s="531"/>
      <c r="ROE109" s="530"/>
      <c r="ROF109" s="531"/>
      <c r="ROG109" s="530"/>
      <c r="ROH109" s="531"/>
      <c r="ROI109" s="530"/>
      <c r="ROJ109" s="531"/>
      <c r="ROK109" s="530"/>
      <c r="ROL109" s="531"/>
      <c r="ROM109" s="530"/>
      <c r="RON109" s="531"/>
      <c r="ROO109" s="530"/>
      <c r="ROP109" s="531"/>
      <c r="ROQ109" s="530"/>
      <c r="ROR109" s="531"/>
      <c r="ROS109" s="530"/>
      <c r="ROT109" s="531"/>
      <c r="ROU109" s="530"/>
      <c r="ROV109" s="531"/>
      <c r="ROW109" s="530"/>
      <c r="ROX109" s="531"/>
      <c r="ROY109" s="530"/>
      <c r="ROZ109" s="531"/>
      <c r="RPA109" s="530"/>
      <c r="RPB109" s="531"/>
      <c r="RPC109" s="530"/>
      <c r="RPD109" s="531"/>
      <c r="RPE109" s="530"/>
      <c r="RPF109" s="531"/>
      <c r="RPG109" s="530"/>
      <c r="RPH109" s="531"/>
      <c r="RPI109" s="530"/>
      <c r="RPJ109" s="531"/>
      <c r="RPK109" s="530"/>
      <c r="RPL109" s="531"/>
      <c r="RPM109" s="530"/>
      <c r="RPN109" s="531"/>
      <c r="RPO109" s="530"/>
      <c r="RPP109" s="531"/>
      <c r="RPQ109" s="530"/>
      <c r="RPR109" s="531"/>
      <c r="RPS109" s="530"/>
      <c r="RPT109" s="531"/>
      <c r="RPU109" s="530"/>
      <c r="RPV109" s="531"/>
      <c r="RPW109" s="530"/>
      <c r="RPX109" s="531"/>
      <c r="RPY109" s="530"/>
      <c r="RPZ109" s="531"/>
      <c r="RQA109" s="530"/>
      <c r="RQB109" s="531"/>
      <c r="RQC109" s="530"/>
      <c r="RQD109" s="531"/>
      <c r="RQE109" s="530"/>
      <c r="RQF109" s="531"/>
      <c r="RQG109" s="530"/>
      <c r="RQH109" s="531"/>
      <c r="RQI109" s="530"/>
      <c r="RQJ109" s="531"/>
      <c r="RQK109" s="530"/>
      <c r="RQL109" s="531"/>
      <c r="RQM109" s="530"/>
      <c r="RQN109" s="531"/>
      <c r="RQO109" s="530"/>
      <c r="RQP109" s="531"/>
      <c r="RQQ109" s="530"/>
      <c r="RQR109" s="531"/>
      <c r="RQS109" s="530"/>
      <c r="RQT109" s="531"/>
      <c r="RQU109" s="530"/>
      <c r="RQV109" s="531"/>
      <c r="RQW109" s="530"/>
      <c r="RQX109" s="531"/>
      <c r="RQY109" s="530"/>
      <c r="RQZ109" s="531"/>
      <c r="RRA109" s="530"/>
      <c r="RRB109" s="531"/>
      <c r="RRC109" s="530"/>
      <c r="RRD109" s="531"/>
      <c r="RRE109" s="530"/>
      <c r="RRF109" s="531"/>
      <c r="RRG109" s="530"/>
      <c r="RRH109" s="531"/>
      <c r="RRI109" s="530"/>
      <c r="RRJ109" s="531"/>
      <c r="RRK109" s="530"/>
      <c r="RRL109" s="531"/>
      <c r="RRM109" s="530"/>
      <c r="RRN109" s="531"/>
      <c r="RRO109" s="530"/>
      <c r="RRP109" s="531"/>
      <c r="RRQ109" s="530"/>
      <c r="RRR109" s="531"/>
      <c r="RRS109" s="530"/>
      <c r="RRT109" s="531"/>
      <c r="RRU109" s="530"/>
      <c r="RRV109" s="531"/>
      <c r="RRW109" s="530"/>
      <c r="RRX109" s="531"/>
      <c r="RRY109" s="530"/>
      <c r="RRZ109" s="531"/>
      <c r="RSA109" s="530"/>
      <c r="RSB109" s="531"/>
      <c r="RSC109" s="530"/>
      <c r="RSD109" s="531"/>
      <c r="RSE109" s="530"/>
      <c r="RSF109" s="531"/>
      <c r="RSG109" s="530"/>
      <c r="RSH109" s="531"/>
      <c r="RSI109" s="530"/>
      <c r="RSJ109" s="531"/>
      <c r="RSK109" s="530"/>
      <c r="RSL109" s="531"/>
      <c r="RSM109" s="530"/>
      <c r="RSN109" s="531"/>
      <c r="RSO109" s="530"/>
      <c r="RSP109" s="531"/>
      <c r="RSQ109" s="530"/>
      <c r="RSR109" s="531"/>
      <c r="RSS109" s="530"/>
      <c r="RST109" s="531"/>
      <c r="RSU109" s="530"/>
      <c r="RSV109" s="531"/>
      <c r="RSW109" s="530"/>
      <c r="RSX109" s="531"/>
      <c r="RSY109" s="530"/>
      <c r="RSZ109" s="531"/>
      <c r="RTA109" s="530"/>
      <c r="RTB109" s="531"/>
      <c r="RTC109" s="530"/>
      <c r="RTD109" s="531"/>
      <c r="RTE109" s="530"/>
      <c r="RTF109" s="531"/>
      <c r="RTG109" s="530"/>
      <c r="RTH109" s="531"/>
      <c r="RTI109" s="530"/>
      <c r="RTJ109" s="531"/>
      <c r="RTK109" s="530"/>
      <c r="RTL109" s="531"/>
      <c r="RTM109" s="530"/>
      <c r="RTN109" s="531"/>
      <c r="RTO109" s="530"/>
      <c r="RTP109" s="531"/>
      <c r="RTQ109" s="530"/>
      <c r="RTR109" s="531"/>
      <c r="RTS109" s="530"/>
      <c r="RTT109" s="531"/>
      <c r="RTU109" s="530"/>
      <c r="RTV109" s="531"/>
      <c r="RTW109" s="530"/>
      <c r="RTX109" s="531"/>
      <c r="RTY109" s="530"/>
      <c r="RTZ109" s="531"/>
      <c r="RUA109" s="530"/>
      <c r="RUB109" s="531"/>
      <c r="RUC109" s="530"/>
      <c r="RUD109" s="531"/>
      <c r="RUE109" s="530"/>
      <c r="RUF109" s="531"/>
      <c r="RUG109" s="530"/>
      <c r="RUH109" s="531"/>
      <c r="RUI109" s="530"/>
      <c r="RUJ109" s="531"/>
      <c r="RUK109" s="530"/>
      <c r="RUL109" s="531"/>
      <c r="RUM109" s="530"/>
      <c r="RUN109" s="531"/>
      <c r="RUO109" s="530"/>
      <c r="RUP109" s="531"/>
      <c r="RUQ109" s="530"/>
      <c r="RUR109" s="531"/>
      <c r="RUS109" s="530"/>
      <c r="RUT109" s="531"/>
      <c r="RUU109" s="530"/>
      <c r="RUV109" s="531"/>
      <c r="RUW109" s="530"/>
      <c r="RUX109" s="531"/>
      <c r="RUY109" s="530"/>
      <c r="RUZ109" s="531"/>
      <c r="RVA109" s="530"/>
      <c r="RVB109" s="531"/>
      <c r="RVC109" s="530"/>
      <c r="RVD109" s="531"/>
      <c r="RVE109" s="530"/>
      <c r="RVF109" s="531"/>
      <c r="RVG109" s="530"/>
      <c r="RVH109" s="531"/>
      <c r="RVI109" s="530"/>
      <c r="RVJ109" s="531"/>
      <c r="RVK109" s="530"/>
      <c r="RVL109" s="531"/>
      <c r="RVM109" s="530"/>
      <c r="RVN109" s="531"/>
      <c r="RVO109" s="530"/>
      <c r="RVP109" s="531"/>
      <c r="RVQ109" s="530"/>
      <c r="RVR109" s="531"/>
      <c r="RVS109" s="530"/>
      <c r="RVT109" s="531"/>
      <c r="RVU109" s="530"/>
      <c r="RVV109" s="531"/>
      <c r="RVW109" s="530"/>
      <c r="RVX109" s="531"/>
      <c r="RVY109" s="530"/>
      <c r="RVZ109" s="531"/>
      <c r="RWA109" s="530"/>
      <c r="RWB109" s="531"/>
      <c r="RWC109" s="530"/>
      <c r="RWD109" s="531"/>
      <c r="RWE109" s="530"/>
      <c r="RWF109" s="531"/>
      <c r="RWG109" s="530"/>
      <c r="RWH109" s="531"/>
      <c r="RWI109" s="530"/>
      <c r="RWJ109" s="531"/>
      <c r="RWK109" s="530"/>
      <c r="RWL109" s="531"/>
      <c r="RWM109" s="530"/>
      <c r="RWN109" s="531"/>
      <c r="RWO109" s="530"/>
      <c r="RWP109" s="531"/>
      <c r="RWQ109" s="530"/>
      <c r="RWR109" s="531"/>
      <c r="RWS109" s="530"/>
      <c r="RWT109" s="531"/>
      <c r="RWU109" s="530"/>
      <c r="RWV109" s="531"/>
      <c r="RWW109" s="530"/>
      <c r="RWX109" s="531"/>
      <c r="RWY109" s="530"/>
      <c r="RWZ109" s="531"/>
      <c r="RXA109" s="530"/>
      <c r="RXB109" s="531"/>
      <c r="RXC109" s="530"/>
      <c r="RXD109" s="531"/>
      <c r="RXE109" s="530"/>
      <c r="RXF109" s="531"/>
      <c r="RXG109" s="530"/>
      <c r="RXH109" s="531"/>
      <c r="RXI109" s="530"/>
      <c r="RXJ109" s="531"/>
      <c r="RXK109" s="530"/>
      <c r="RXL109" s="531"/>
      <c r="RXM109" s="530"/>
      <c r="RXN109" s="531"/>
      <c r="RXO109" s="530"/>
      <c r="RXP109" s="531"/>
      <c r="RXQ109" s="530"/>
      <c r="RXR109" s="531"/>
      <c r="RXS109" s="530"/>
      <c r="RXT109" s="531"/>
      <c r="RXU109" s="530"/>
      <c r="RXV109" s="531"/>
      <c r="RXW109" s="530"/>
      <c r="RXX109" s="531"/>
      <c r="RXY109" s="530"/>
      <c r="RXZ109" s="531"/>
      <c r="RYA109" s="530"/>
      <c r="RYB109" s="531"/>
      <c r="RYC109" s="530"/>
      <c r="RYD109" s="531"/>
      <c r="RYE109" s="530"/>
      <c r="RYF109" s="531"/>
      <c r="RYG109" s="530"/>
      <c r="RYH109" s="531"/>
      <c r="RYI109" s="530"/>
      <c r="RYJ109" s="531"/>
      <c r="RYK109" s="530"/>
      <c r="RYL109" s="531"/>
      <c r="RYM109" s="530"/>
      <c r="RYN109" s="531"/>
      <c r="RYO109" s="530"/>
      <c r="RYP109" s="531"/>
      <c r="RYQ109" s="530"/>
      <c r="RYR109" s="531"/>
      <c r="RYS109" s="530"/>
      <c r="RYT109" s="531"/>
      <c r="RYU109" s="530"/>
      <c r="RYV109" s="531"/>
      <c r="RYW109" s="530"/>
      <c r="RYX109" s="531"/>
      <c r="RYY109" s="530"/>
      <c r="RYZ109" s="531"/>
      <c r="RZA109" s="530"/>
      <c r="RZB109" s="531"/>
      <c r="RZC109" s="530"/>
      <c r="RZD109" s="531"/>
      <c r="RZE109" s="530"/>
      <c r="RZF109" s="531"/>
      <c r="RZG109" s="530"/>
      <c r="RZH109" s="531"/>
      <c r="RZI109" s="530"/>
      <c r="RZJ109" s="531"/>
      <c r="RZK109" s="530"/>
      <c r="RZL109" s="531"/>
      <c r="RZM109" s="530"/>
      <c r="RZN109" s="531"/>
      <c r="RZO109" s="530"/>
      <c r="RZP109" s="531"/>
      <c r="RZQ109" s="530"/>
      <c r="RZR109" s="531"/>
      <c r="RZS109" s="530"/>
      <c r="RZT109" s="531"/>
      <c r="RZU109" s="530"/>
      <c r="RZV109" s="531"/>
      <c r="RZW109" s="530"/>
      <c r="RZX109" s="531"/>
      <c r="RZY109" s="530"/>
      <c r="RZZ109" s="531"/>
      <c r="SAA109" s="530"/>
      <c r="SAB109" s="531"/>
      <c r="SAC109" s="530"/>
      <c r="SAD109" s="531"/>
      <c r="SAE109" s="530"/>
      <c r="SAF109" s="531"/>
      <c r="SAG109" s="530"/>
      <c r="SAH109" s="531"/>
      <c r="SAI109" s="530"/>
      <c r="SAJ109" s="531"/>
      <c r="SAK109" s="530"/>
      <c r="SAL109" s="531"/>
      <c r="SAM109" s="530"/>
      <c r="SAN109" s="531"/>
      <c r="SAO109" s="530"/>
      <c r="SAP109" s="531"/>
      <c r="SAQ109" s="530"/>
      <c r="SAR109" s="531"/>
      <c r="SAS109" s="530"/>
      <c r="SAT109" s="531"/>
      <c r="SAU109" s="530"/>
      <c r="SAV109" s="531"/>
      <c r="SAW109" s="530"/>
      <c r="SAX109" s="531"/>
      <c r="SAY109" s="530"/>
      <c r="SAZ109" s="531"/>
      <c r="SBA109" s="530"/>
      <c r="SBB109" s="531"/>
      <c r="SBC109" s="530"/>
      <c r="SBD109" s="531"/>
      <c r="SBE109" s="530"/>
      <c r="SBF109" s="531"/>
      <c r="SBG109" s="530"/>
      <c r="SBH109" s="531"/>
      <c r="SBI109" s="530"/>
      <c r="SBJ109" s="531"/>
      <c r="SBK109" s="530"/>
      <c r="SBL109" s="531"/>
      <c r="SBM109" s="530"/>
      <c r="SBN109" s="531"/>
      <c r="SBO109" s="530"/>
      <c r="SBP109" s="531"/>
      <c r="SBQ109" s="530"/>
      <c r="SBR109" s="531"/>
      <c r="SBS109" s="530"/>
      <c r="SBT109" s="531"/>
      <c r="SBU109" s="530"/>
      <c r="SBV109" s="531"/>
      <c r="SBW109" s="530"/>
      <c r="SBX109" s="531"/>
      <c r="SBY109" s="530"/>
      <c r="SBZ109" s="531"/>
      <c r="SCA109" s="530"/>
      <c r="SCB109" s="531"/>
      <c r="SCC109" s="530"/>
      <c r="SCD109" s="531"/>
      <c r="SCE109" s="530"/>
      <c r="SCF109" s="531"/>
      <c r="SCG109" s="530"/>
      <c r="SCH109" s="531"/>
      <c r="SCI109" s="530"/>
      <c r="SCJ109" s="531"/>
      <c r="SCK109" s="530"/>
      <c r="SCL109" s="531"/>
      <c r="SCM109" s="530"/>
      <c r="SCN109" s="531"/>
      <c r="SCO109" s="530"/>
      <c r="SCP109" s="531"/>
      <c r="SCQ109" s="530"/>
      <c r="SCR109" s="531"/>
      <c r="SCS109" s="530"/>
      <c r="SCT109" s="531"/>
      <c r="SCU109" s="530"/>
      <c r="SCV109" s="531"/>
      <c r="SCW109" s="530"/>
      <c r="SCX109" s="531"/>
      <c r="SCY109" s="530"/>
      <c r="SCZ109" s="531"/>
      <c r="SDA109" s="530"/>
      <c r="SDB109" s="531"/>
      <c r="SDC109" s="530"/>
      <c r="SDD109" s="531"/>
      <c r="SDE109" s="530"/>
      <c r="SDF109" s="531"/>
      <c r="SDG109" s="530"/>
      <c r="SDH109" s="531"/>
      <c r="SDI109" s="530"/>
      <c r="SDJ109" s="531"/>
      <c r="SDK109" s="530"/>
      <c r="SDL109" s="531"/>
      <c r="SDM109" s="530"/>
      <c r="SDN109" s="531"/>
      <c r="SDO109" s="530"/>
      <c r="SDP109" s="531"/>
      <c r="SDQ109" s="530"/>
      <c r="SDR109" s="531"/>
      <c r="SDS109" s="530"/>
      <c r="SDT109" s="531"/>
      <c r="SDU109" s="530"/>
      <c r="SDV109" s="531"/>
      <c r="SDW109" s="530"/>
      <c r="SDX109" s="531"/>
      <c r="SDY109" s="530"/>
      <c r="SDZ109" s="531"/>
      <c r="SEA109" s="530"/>
      <c r="SEB109" s="531"/>
      <c r="SEC109" s="530"/>
      <c r="SED109" s="531"/>
      <c r="SEE109" s="530"/>
      <c r="SEF109" s="531"/>
      <c r="SEG109" s="530"/>
      <c r="SEH109" s="531"/>
      <c r="SEI109" s="530"/>
      <c r="SEJ109" s="531"/>
      <c r="SEK109" s="530"/>
      <c r="SEL109" s="531"/>
      <c r="SEM109" s="530"/>
      <c r="SEN109" s="531"/>
      <c r="SEO109" s="530"/>
      <c r="SEP109" s="531"/>
      <c r="SEQ109" s="530"/>
      <c r="SER109" s="531"/>
      <c r="SES109" s="530"/>
      <c r="SET109" s="531"/>
      <c r="SEU109" s="530"/>
      <c r="SEV109" s="531"/>
      <c r="SEW109" s="530"/>
      <c r="SEX109" s="531"/>
      <c r="SEY109" s="530"/>
      <c r="SEZ109" s="531"/>
      <c r="SFA109" s="530"/>
      <c r="SFB109" s="531"/>
      <c r="SFC109" s="530"/>
      <c r="SFD109" s="531"/>
      <c r="SFE109" s="530"/>
      <c r="SFF109" s="531"/>
      <c r="SFG109" s="530"/>
      <c r="SFH109" s="531"/>
      <c r="SFI109" s="530"/>
      <c r="SFJ109" s="531"/>
      <c r="SFK109" s="530"/>
      <c r="SFL109" s="531"/>
      <c r="SFM109" s="530"/>
      <c r="SFN109" s="531"/>
      <c r="SFO109" s="530"/>
      <c r="SFP109" s="531"/>
      <c r="SFQ109" s="530"/>
      <c r="SFR109" s="531"/>
      <c r="SFS109" s="530"/>
      <c r="SFT109" s="531"/>
      <c r="SFU109" s="530"/>
      <c r="SFV109" s="531"/>
      <c r="SFW109" s="530"/>
      <c r="SFX109" s="531"/>
      <c r="SFY109" s="530"/>
      <c r="SFZ109" s="531"/>
      <c r="SGA109" s="530"/>
      <c r="SGB109" s="531"/>
      <c r="SGC109" s="530"/>
      <c r="SGD109" s="531"/>
      <c r="SGE109" s="530"/>
      <c r="SGF109" s="531"/>
      <c r="SGG109" s="530"/>
      <c r="SGH109" s="531"/>
      <c r="SGI109" s="530"/>
      <c r="SGJ109" s="531"/>
      <c r="SGK109" s="530"/>
      <c r="SGL109" s="531"/>
      <c r="SGM109" s="530"/>
      <c r="SGN109" s="531"/>
      <c r="SGO109" s="530"/>
      <c r="SGP109" s="531"/>
      <c r="SGQ109" s="530"/>
      <c r="SGR109" s="531"/>
      <c r="SGS109" s="530"/>
      <c r="SGT109" s="531"/>
      <c r="SGU109" s="530"/>
      <c r="SGV109" s="531"/>
      <c r="SGW109" s="530"/>
      <c r="SGX109" s="531"/>
      <c r="SGY109" s="530"/>
      <c r="SGZ109" s="531"/>
      <c r="SHA109" s="530"/>
      <c r="SHB109" s="531"/>
      <c r="SHC109" s="530"/>
      <c r="SHD109" s="531"/>
      <c r="SHE109" s="530"/>
      <c r="SHF109" s="531"/>
      <c r="SHG109" s="530"/>
      <c r="SHH109" s="531"/>
      <c r="SHI109" s="530"/>
      <c r="SHJ109" s="531"/>
      <c r="SHK109" s="530"/>
      <c r="SHL109" s="531"/>
      <c r="SHM109" s="530"/>
      <c r="SHN109" s="531"/>
      <c r="SHO109" s="530"/>
      <c r="SHP109" s="531"/>
      <c r="SHQ109" s="530"/>
      <c r="SHR109" s="531"/>
      <c r="SHS109" s="530"/>
      <c r="SHT109" s="531"/>
      <c r="SHU109" s="530"/>
      <c r="SHV109" s="531"/>
      <c r="SHW109" s="530"/>
      <c r="SHX109" s="531"/>
      <c r="SHY109" s="530"/>
      <c r="SHZ109" s="531"/>
      <c r="SIA109" s="530"/>
      <c r="SIB109" s="531"/>
      <c r="SIC109" s="530"/>
      <c r="SID109" s="531"/>
      <c r="SIE109" s="530"/>
      <c r="SIF109" s="531"/>
      <c r="SIG109" s="530"/>
      <c r="SIH109" s="531"/>
      <c r="SII109" s="530"/>
      <c r="SIJ109" s="531"/>
      <c r="SIK109" s="530"/>
      <c r="SIL109" s="531"/>
      <c r="SIM109" s="530"/>
      <c r="SIN109" s="531"/>
      <c r="SIO109" s="530"/>
      <c r="SIP109" s="531"/>
      <c r="SIQ109" s="530"/>
      <c r="SIR109" s="531"/>
      <c r="SIS109" s="530"/>
      <c r="SIT109" s="531"/>
      <c r="SIU109" s="530"/>
      <c r="SIV109" s="531"/>
      <c r="SIW109" s="530"/>
      <c r="SIX109" s="531"/>
      <c r="SIY109" s="530"/>
      <c r="SIZ109" s="531"/>
      <c r="SJA109" s="530"/>
      <c r="SJB109" s="531"/>
      <c r="SJC109" s="530"/>
      <c r="SJD109" s="531"/>
      <c r="SJE109" s="530"/>
      <c r="SJF109" s="531"/>
      <c r="SJG109" s="530"/>
      <c r="SJH109" s="531"/>
      <c r="SJI109" s="530"/>
      <c r="SJJ109" s="531"/>
      <c r="SJK109" s="530"/>
      <c r="SJL109" s="531"/>
      <c r="SJM109" s="530"/>
      <c r="SJN109" s="531"/>
      <c r="SJO109" s="530"/>
      <c r="SJP109" s="531"/>
      <c r="SJQ109" s="530"/>
      <c r="SJR109" s="531"/>
      <c r="SJS109" s="530"/>
      <c r="SJT109" s="531"/>
      <c r="SJU109" s="530"/>
      <c r="SJV109" s="531"/>
      <c r="SJW109" s="530"/>
      <c r="SJX109" s="531"/>
      <c r="SJY109" s="530"/>
      <c r="SJZ109" s="531"/>
      <c r="SKA109" s="530"/>
      <c r="SKB109" s="531"/>
      <c r="SKC109" s="530"/>
      <c r="SKD109" s="531"/>
      <c r="SKE109" s="530"/>
      <c r="SKF109" s="531"/>
      <c r="SKG109" s="530"/>
      <c r="SKH109" s="531"/>
      <c r="SKI109" s="530"/>
      <c r="SKJ109" s="531"/>
      <c r="SKK109" s="530"/>
      <c r="SKL109" s="531"/>
      <c r="SKM109" s="530"/>
      <c r="SKN109" s="531"/>
      <c r="SKO109" s="530"/>
      <c r="SKP109" s="531"/>
      <c r="SKQ109" s="530"/>
      <c r="SKR109" s="531"/>
      <c r="SKS109" s="530"/>
      <c r="SKT109" s="531"/>
      <c r="SKU109" s="530"/>
      <c r="SKV109" s="531"/>
      <c r="SKW109" s="530"/>
      <c r="SKX109" s="531"/>
      <c r="SKY109" s="530"/>
      <c r="SKZ109" s="531"/>
      <c r="SLA109" s="530"/>
      <c r="SLB109" s="531"/>
      <c r="SLC109" s="530"/>
      <c r="SLD109" s="531"/>
      <c r="SLE109" s="530"/>
      <c r="SLF109" s="531"/>
      <c r="SLG109" s="530"/>
      <c r="SLH109" s="531"/>
      <c r="SLI109" s="530"/>
      <c r="SLJ109" s="531"/>
      <c r="SLK109" s="530"/>
      <c r="SLL109" s="531"/>
      <c r="SLM109" s="530"/>
      <c r="SLN109" s="531"/>
      <c r="SLO109" s="530"/>
      <c r="SLP109" s="531"/>
      <c r="SLQ109" s="530"/>
      <c r="SLR109" s="531"/>
      <c r="SLS109" s="530"/>
      <c r="SLT109" s="531"/>
      <c r="SLU109" s="530"/>
      <c r="SLV109" s="531"/>
      <c r="SLW109" s="530"/>
      <c r="SLX109" s="531"/>
      <c r="SLY109" s="530"/>
      <c r="SLZ109" s="531"/>
      <c r="SMA109" s="530"/>
      <c r="SMB109" s="531"/>
      <c r="SMC109" s="530"/>
      <c r="SMD109" s="531"/>
      <c r="SME109" s="530"/>
      <c r="SMF109" s="531"/>
      <c r="SMG109" s="530"/>
      <c r="SMH109" s="531"/>
      <c r="SMI109" s="530"/>
      <c r="SMJ109" s="531"/>
      <c r="SMK109" s="530"/>
      <c r="SML109" s="531"/>
      <c r="SMM109" s="530"/>
      <c r="SMN109" s="531"/>
      <c r="SMO109" s="530"/>
      <c r="SMP109" s="531"/>
      <c r="SMQ109" s="530"/>
      <c r="SMR109" s="531"/>
      <c r="SMS109" s="530"/>
      <c r="SMT109" s="531"/>
      <c r="SMU109" s="530"/>
      <c r="SMV109" s="531"/>
      <c r="SMW109" s="530"/>
      <c r="SMX109" s="531"/>
      <c r="SMY109" s="530"/>
      <c r="SMZ109" s="531"/>
      <c r="SNA109" s="530"/>
      <c r="SNB109" s="531"/>
      <c r="SNC109" s="530"/>
      <c r="SND109" s="531"/>
      <c r="SNE109" s="530"/>
      <c r="SNF109" s="531"/>
      <c r="SNG109" s="530"/>
      <c r="SNH109" s="531"/>
      <c r="SNI109" s="530"/>
      <c r="SNJ109" s="531"/>
      <c r="SNK109" s="530"/>
      <c r="SNL109" s="531"/>
      <c r="SNM109" s="530"/>
      <c r="SNN109" s="531"/>
      <c r="SNO109" s="530"/>
      <c r="SNP109" s="531"/>
      <c r="SNQ109" s="530"/>
      <c r="SNR109" s="531"/>
      <c r="SNS109" s="530"/>
      <c r="SNT109" s="531"/>
      <c r="SNU109" s="530"/>
      <c r="SNV109" s="531"/>
      <c r="SNW109" s="530"/>
      <c r="SNX109" s="531"/>
      <c r="SNY109" s="530"/>
      <c r="SNZ109" s="531"/>
      <c r="SOA109" s="530"/>
      <c r="SOB109" s="531"/>
      <c r="SOC109" s="530"/>
      <c r="SOD109" s="531"/>
      <c r="SOE109" s="530"/>
      <c r="SOF109" s="531"/>
      <c r="SOG109" s="530"/>
      <c r="SOH109" s="531"/>
      <c r="SOI109" s="530"/>
      <c r="SOJ109" s="531"/>
      <c r="SOK109" s="530"/>
      <c r="SOL109" s="531"/>
      <c r="SOM109" s="530"/>
      <c r="SON109" s="531"/>
      <c r="SOO109" s="530"/>
      <c r="SOP109" s="531"/>
      <c r="SOQ109" s="530"/>
      <c r="SOR109" s="531"/>
      <c r="SOS109" s="530"/>
      <c r="SOT109" s="531"/>
      <c r="SOU109" s="530"/>
      <c r="SOV109" s="531"/>
      <c r="SOW109" s="530"/>
      <c r="SOX109" s="531"/>
      <c r="SOY109" s="530"/>
      <c r="SOZ109" s="531"/>
      <c r="SPA109" s="530"/>
      <c r="SPB109" s="531"/>
      <c r="SPC109" s="530"/>
      <c r="SPD109" s="531"/>
      <c r="SPE109" s="530"/>
      <c r="SPF109" s="531"/>
      <c r="SPG109" s="530"/>
      <c r="SPH109" s="531"/>
      <c r="SPI109" s="530"/>
      <c r="SPJ109" s="531"/>
      <c r="SPK109" s="530"/>
      <c r="SPL109" s="531"/>
      <c r="SPM109" s="530"/>
      <c r="SPN109" s="531"/>
      <c r="SPO109" s="530"/>
      <c r="SPP109" s="531"/>
      <c r="SPQ109" s="530"/>
      <c r="SPR109" s="531"/>
      <c r="SPS109" s="530"/>
      <c r="SPT109" s="531"/>
      <c r="SPU109" s="530"/>
      <c r="SPV109" s="531"/>
      <c r="SPW109" s="530"/>
      <c r="SPX109" s="531"/>
      <c r="SPY109" s="530"/>
      <c r="SPZ109" s="531"/>
      <c r="SQA109" s="530"/>
      <c r="SQB109" s="531"/>
      <c r="SQC109" s="530"/>
      <c r="SQD109" s="531"/>
      <c r="SQE109" s="530"/>
      <c r="SQF109" s="531"/>
      <c r="SQG109" s="530"/>
      <c r="SQH109" s="531"/>
      <c r="SQI109" s="530"/>
      <c r="SQJ109" s="531"/>
      <c r="SQK109" s="530"/>
      <c r="SQL109" s="531"/>
      <c r="SQM109" s="530"/>
      <c r="SQN109" s="531"/>
      <c r="SQO109" s="530"/>
      <c r="SQP109" s="531"/>
      <c r="SQQ109" s="530"/>
      <c r="SQR109" s="531"/>
      <c r="SQS109" s="530"/>
      <c r="SQT109" s="531"/>
      <c r="SQU109" s="530"/>
      <c r="SQV109" s="531"/>
      <c r="SQW109" s="530"/>
      <c r="SQX109" s="531"/>
      <c r="SQY109" s="530"/>
      <c r="SQZ109" s="531"/>
      <c r="SRA109" s="530"/>
      <c r="SRB109" s="531"/>
      <c r="SRC109" s="530"/>
      <c r="SRD109" s="531"/>
      <c r="SRE109" s="530"/>
      <c r="SRF109" s="531"/>
      <c r="SRG109" s="530"/>
      <c r="SRH109" s="531"/>
      <c r="SRI109" s="530"/>
      <c r="SRJ109" s="531"/>
      <c r="SRK109" s="530"/>
      <c r="SRL109" s="531"/>
      <c r="SRM109" s="530"/>
      <c r="SRN109" s="531"/>
      <c r="SRO109" s="530"/>
      <c r="SRP109" s="531"/>
      <c r="SRQ109" s="530"/>
      <c r="SRR109" s="531"/>
      <c r="SRS109" s="530"/>
      <c r="SRT109" s="531"/>
      <c r="SRU109" s="530"/>
      <c r="SRV109" s="531"/>
      <c r="SRW109" s="530"/>
      <c r="SRX109" s="531"/>
      <c r="SRY109" s="530"/>
      <c r="SRZ109" s="531"/>
      <c r="SSA109" s="530"/>
      <c r="SSB109" s="531"/>
      <c r="SSC109" s="530"/>
      <c r="SSD109" s="531"/>
      <c r="SSE109" s="530"/>
      <c r="SSF109" s="531"/>
      <c r="SSG109" s="530"/>
      <c r="SSH109" s="531"/>
      <c r="SSI109" s="530"/>
      <c r="SSJ109" s="531"/>
      <c r="SSK109" s="530"/>
      <c r="SSL109" s="531"/>
      <c r="SSM109" s="530"/>
      <c r="SSN109" s="531"/>
      <c r="SSO109" s="530"/>
      <c r="SSP109" s="531"/>
      <c r="SSQ109" s="530"/>
      <c r="SSR109" s="531"/>
      <c r="SSS109" s="530"/>
      <c r="SST109" s="531"/>
      <c r="SSU109" s="530"/>
      <c r="SSV109" s="531"/>
      <c r="SSW109" s="530"/>
      <c r="SSX109" s="531"/>
      <c r="SSY109" s="530"/>
      <c r="SSZ109" s="531"/>
      <c r="STA109" s="530"/>
      <c r="STB109" s="531"/>
      <c r="STC109" s="530"/>
      <c r="STD109" s="531"/>
      <c r="STE109" s="530"/>
      <c r="STF109" s="531"/>
      <c r="STG109" s="530"/>
      <c r="STH109" s="531"/>
      <c r="STI109" s="530"/>
      <c r="STJ109" s="531"/>
      <c r="STK109" s="530"/>
      <c r="STL109" s="531"/>
      <c r="STM109" s="530"/>
      <c r="STN109" s="531"/>
      <c r="STO109" s="530"/>
      <c r="STP109" s="531"/>
      <c r="STQ109" s="530"/>
      <c r="STR109" s="531"/>
      <c r="STS109" s="530"/>
      <c r="STT109" s="531"/>
      <c r="STU109" s="530"/>
      <c r="STV109" s="531"/>
      <c r="STW109" s="530"/>
      <c r="STX109" s="531"/>
      <c r="STY109" s="530"/>
      <c r="STZ109" s="531"/>
      <c r="SUA109" s="530"/>
      <c r="SUB109" s="531"/>
      <c r="SUC109" s="530"/>
      <c r="SUD109" s="531"/>
      <c r="SUE109" s="530"/>
      <c r="SUF109" s="531"/>
      <c r="SUG109" s="530"/>
      <c r="SUH109" s="531"/>
      <c r="SUI109" s="530"/>
      <c r="SUJ109" s="531"/>
      <c r="SUK109" s="530"/>
      <c r="SUL109" s="531"/>
      <c r="SUM109" s="530"/>
      <c r="SUN109" s="531"/>
      <c r="SUO109" s="530"/>
      <c r="SUP109" s="531"/>
      <c r="SUQ109" s="530"/>
      <c r="SUR109" s="531"/>
      <c r="SUS109" s="530"/>
      <c r="SUT109" s="531"/>
      <c r="SUU109" s="530"/>
      <c r="SUV109" s="531"/>
      <c r="SUW109" s="530"/>
      <c r="SUX109" s="531"/>
      <c r="SUY109" s="530"/>
      <c r="SUZ109" s="531"/>
      <c r="SVA109" s="530"/>
      <c r="SVB109" s="531"/>
      <c r="SVC109" s="530"/>
      <c r="SVD109" s="531"/>
      <c r="SVE109" s="530"/>
      <c r="SVF109" s="531"/>
      <c r="SVG109" s="530"/>
      <c r="SVH109" s="531"/>
      <c r="SVI109" s="530"/>
      <c r="SVJ109" s="531"/>
      <c r="SVK109" s="530"/>
      <c r="SVL109" s="531"/>
      <c r="SVM109" s="530"/>
      <c r="SVN109" s="531"/>
      <c r="SVO109" s="530"/>
      <c r="SVP109" s="531"/>
      <c r="SVQ109" s="530"/>
      <c r="SVR109" s="531"/>
      <c r="SVS109" s="530"/>
      <c r="SVT109" s="531"/>
      <c r="SVU109" s="530"/>
      <c r="SVV109" s="531"/>
      <c r="SVW109" s="530"/>
      <c r="SVX109" s="531"/>
      <c r="SVY109" s="530"/>
      <c r="SVZ109" s="531"/>
      <c r="SWA109" s="530"/>
      <c r="SWB109" s="531"/>
      <c r="SWC109" s="530"/>
      <c r="SWD109" s="531"/>
      <c r="SWE109" s="530"/>
      <c r="SWF109" s="531"/>
      <c r="SWG109" s="530"/>
      <c r="SWH109" s="531"/>
      <c r="SWI109" s="530"/>
      <c r="SWJ109" s="531"/>
      <c r="SWK109" s="530"/>
      <c r="SWL109" s="531"/>
      <c r="SWM109" s="530"/>
      <c r="SWN109" s="531"/>
      <c r="SWO109" s="530"/>
      <c r="SWP109" s="531"/>
      <c r="SWQ109" s="530"/>
      <c r="SWR109" s="531"/>
      <c r="SWS109" s="530"/>
      <c r="SWT109" s="531"/>
      <c r="SWU109" s="530"/>
      <c r="SWV109" s="531"/>
      <c r="SWW109" s="530"/>
      <c r="SWX109" s="531"/>
      <c r="SWY109" s="530"/>
      <c r="SWZ109" s="531"/>
      <c r="SXA109" s="530"/>
      <c r="SXB109" s="531"/>
      <c r="SXC109" s="530"/>
      <c r="SXD109" s="531"/>
      <c r="SXE109" s="530"/>
      <c r="SXF109" s="531"/>
      <c r="SXG109" s="530"/>
      <c r="SXH109" s="531"/>
      <c r="SXI109" s="530"/>
      <c r="SXJ109" s="531"/>
      <c r="SXK109" s="530"/>
      <c r="SXL109" s="531"/>
      <c r="SXM109" s="530"/>
      <c r="SXN109" s="531"/>
      <c r="SXO109" s="530"/>
      <c r="SXP109" s="531"/>
      <c r="SXQ109" s="530"/>
      <c r="SXR109" s="531"/>
      <c r="SXS109" s="530"/>
      <c r="SXT109" s="531"/>
      <c r="SXU109" s="530"/>
      <c r="SXV109" s="531"/>
      <c r="SXW109" s="530"/>
      <c r="SXX109" s="531"/>
      <c r="SXY109" s="530"/>
      <c r="SXZ109" s="531"/>
      <c r="SYA109" s="530"/>
      <c r="SYB109" s="531"/>
      <c r="SYC109" s="530"/>
      <c r="SYD109" s="531"/>
      <c r="SYE109" s="530"/>
      <c r="SYF109" s="531"/>
      <c r="SYG109" s="530"/>
      <c r="SYH109" s="531"/>
      <c r="SYI109" s="530"/>
      <c r="SYJ109" s="531"/>
      <c r="SYK109" s="530"/>
      <c r="SYL109" s="531"/>
      <c r="SYM109" s="530"/>
      <c r="SYN109" s="531"/>
      <c r="SYO109" s="530"/>
      <c r="SYP109" s="531"/>
      <c r="SYQ109" s="530"/>
      <c r="SYR109" s="531"/>
      <c r="SYS109" s="530"/>
      <c r="SYT109" s="531"/>
      <c r="SYU109" s="530"/>
      <c r="SYV109" s="531"/>
      <c r="SYW109" s="530"/>
      <c r="SYX109" s="531"/>
      <c r="SYY109" s="530"/>
      <c r="SYZ109" s="531"/>
      <c r="SZA109" s="530"/>
      <c r="SZB109" s="531"/>
      <c r="SZC109" s="530"/>
      <c r="SZD109" s="531"/>
      <c r="SZE109" s="530"/>
      <c r="SZF109" s="531"/>
      <c r="SZG109" s="530"/>
      <c r="SZH109" s="531"/>
      <c r="SZI109" s="530"/>
      <c r="SZJ109" s="531"/>
      <c r="SZK109" s="530"/>
      <c r="SZL109" s="531"/>
      <c r="SZM109" s="530"/>
      <c r="SZN109" s="531"/>
      <c r="SZO109" s="530"/>
      <c r="SZP109" s="531"/>
      <c r="SZQ109" s="530"/>
      <c r="SZR109" s="531"/>
      <c r="SZS109" s="530"/>
      <c r="SZT109" s="531"/>
      <c r="SZU109" s="530"/>
      <c r="SZV109" s="531"/>
      <c r="SZW109" s="530"/>
      <c r="SZX109" s="531"/>
      <c r="SZY109" s="530"/>
      <c r="SZZ109" s="531"/>
      <c r="TAA109" s="530"/>
      <c r="TAB109" s="531"/>
      <c r="TAC109" s="530"/>
      <c r="TAD109" s="531"/>
      <c r="TAE109" s="530"/>
      <c r="TAF109" s="531"/>
      <c r="TAG109" s="530"/>
      <c r="TAH109" s="531"/>
      <c r="TAI109" s="530"/>
      <c r="TAJ109" s="531"/>
      <c r="TAK109" s="530"/>
      <c r="TAL109" s="531"/>
      <c r="TAM109" s="530"/>
      <c r="TAN109" s="531"/>
      <c r="TAO109" s="530"/>
      <c r="TAP109" s="531"/>
      <c r="TAQ109" s="530"/>
      <c r="TAR109" s="531"/>
      <c r="TAS109" s="530"/>
      <c r="TAT109" s="531"/>
      <c r="TAU109" s="530"/>
      <c r="TAV109" s="531"/>
      <c r="TAW109" s="530"/>
      <c r="TAX109" s="531"/>
      <c r="TAY109" s="530"/>
      <c r="TAZ109" s="531"/>
      <c r="TBA109" s="530"/>
      <c r="TBB109" s="531"/>
      <c r="TBC109" s="530"/>
      <c r="TBD109" s="531"/>
      <c r="TBE109" s="530"/>
      <c r="TBF109" s="531"/>
      <c r="TBG109" s="530"/>
      <c r="TBH109" s="531"/>
      <c r="TBI109" s="530"/>
      <c r="TBJ109" s="531"/>
      <c r="TBK109" s="530"/>
      <c r="TBL109" s="531"/>
      <c r="TBM109" s="530"/>
      <c r="TBN109" s="531"/>
      <c r="TBO109" s="530"/>
      <c r="TBP109" s="531"/>
      <c r="TBQ109" s="530"/>
      <c r="TBR109" s="531"/>
      <c r="TBS109" s="530"/>
      <c r="TBT109" s="531"/>
      <c r="TBU109" s="530"/>
      <c r="TBV109" s="531"/>
      <c r="TBW109" s="530"/>
      <c r="TBX109" s="531"/>
      <c r="TBY109" s="530"/>
      <c r="TBZ109" s="531"/>
      <c r="TCA109" s="530"/>
      <c r="TCB109" s="531"/>
      <c r="TCC109" s="530"/>
      <c r="TCD109" s="531"/>
      <c r="TCE109" s="530"/>
      <c r="TCF109" s="531"/>
      <c r="TCG109" s="530"/>
      <c r="TCH109" s="531"/>
      <c r="TCI109" s="530"/>
      <c r="TCJ109" s="531"/>
      <c r="TCK109" s="530"/>
      <c r="TCL109" s="531"/>
      <c r="TCM109" s="530"/>
      <c r="TCN109" s="531"/>
      <c r="TCO109" s="530"/>
      <c r="TCP109" s="531"/>
      <c r="TCQ109" s="530"/>
      <c r="TCR109" s="531"/>
      <c r="TCS109" s="530"/>
      <c r="TCT109" s="531"/>
      <c r="TCU109" s="530"/>
      <c r="TCV109" s="531"/>
      <c r="TCW109" s="530"/>
      <c r="TCX109" s="531"/>
      <c r="TCY109" s="530"/>
      <c r="TCZ109" s="531"/>
      <c r="TDA109" s="530"/>
      <c r="TDB109" s="531"/>
      <c r="TDC109" s="530"/>
      <c r="TDD109" s="531"/>
      <c r="TDE109" s="530"/>
      <c r="TDF109" s="531"/>
      <c r="TDG109" s="530"/>
      <c r="TDH109" s="531"/>
      <c r="TDI109" s="530"/>
      <c r="TDJ109" s="531"/>
      <c r="TDK109" s="530"/>
      <c r="TDL109" s="531"/>
      <c r="TDM109" s="530"/>
      <c r="TDN109" s="531"/>
      <c r="TDO109" s="530"/>
      <c r="TDP109" s="531"/>
      <c r="TDQ109" s="530"/>
      <c r="TDR109" s="531"/>
      <c r="TDS109" s="530"/>
      <c r="TDT109" s="531"/>
      <c r="TDU109" s="530"/>
      <c r="TDV109" s="531"/>
      <c r="TDW109" s="530"/>
      <c r="TDX109" s="531"/>
      <c r="TDY109" s="530"/>
      <c r="TDZ109" s="531"/>
      <c r="TEA109" s="530"/>
      <c r="TEB109" s="531"/>
      <c r="TEC109" s="530"/>
      <c r="TED109" s="531"/>
      <c r="TEE109" s="530"/>
      <c r="TEF109" s="531"/>
      <c r="TEG109" s="530"/>
      <c r="TEH109" s="531"/>
      <c r="TEI109" s="530"/>
      <c r="TEJ109" s="531"/>
      <c r="TEK109" s="530"/>
      <c r="TEL109" s="531"/>
      <c r="TEM109" s="530"/>
      <c r="TEN109" s="531"/>
      <c r="TEO109" s="530"/>
      <c r="TEP109" s="531"/>
      <c r="TEQ109" s="530"/>
      <c r="TER109" s="531"/>
      <c r="TES109" s="530"/>
      <c r="TET109" s="531"/>
      <c r="TEU109" s="530"/>
      <c r="TEV109" s="531"/>
      <c r="TEW109" s="530"/>
      <c r="TEX109" s="531"/>
      <c r="TEY109" s="530"/>
      <c r="TEZ109" s="531"/>
      <c r="TFA109" s="530"/>
      <c r="TFB109" s="531"/>
      <c r="TFC109" s="530"/>
      <c r="TFD109" s="531"/>
      <c r="TFE109" s="530"/>
      <c r="TFF109" s="531"/>
      <c r="TFG109" s="530"/>
      <c r="TFH109" s="531"/>
      <c r="TFI109" s="530"/>
      <c r="TFJ109" s="531"/>
      <c r="TFK109" s="530"/>
      <c r="TFL109" s="531"/>
      <c r="TFM109" s="530"/>
      <c r="TFN109" s="531"/>
      <c r="TFO109" s="530"/>
      <c r="TFP109" s="531"/>
      <c r="TFQ109" s="530"/>
      <c r="TFR109" s="531"/>
      <c r="TFS109" s="530"/>
      <c r="TFT109" s="531"/>
      <c r="TFU109" s="530"/>
      <c r="TFV109" s="531"/>
      <c r="TFW109" s="530"/>
      <c r="TFX109" s="531"/>
      <c r="TFY109" s="530"/>
      <c r="TFZ109" s="531"/>
      <c r="TGA109" s="530"/>
      <c r="TGB109" s="531"/>
      <c r="TGC109" s="530"/>
      <c r="TGD109" s="531"/>
      <c r="TGE109" s="530"/>
      <c r="TGF109" s="531"/>
      <c r="TGG109" s="530"/>
      <c r="TGH109" s="531"/>
      <c r="TGI109" s="530"/>
      <c r="TGJ109" s="531"/>
      <c r="TGK109" s="530"/>
      <c r="TGL109" s="531"/>
      <c r="TGM109" s="530"/>
      <c r="TGN109" s="531"/>
      <c r="TGO109" s="530"/>
      <c r="TGP109" s="531"/>
      <c r="TGQ109" s="530"/>
      <c r="TGR109" s="531"/>
      <c r="TGS109" s="530"/>
      <c r="TGT109" s="531"/>
      <c r="TGU109" s="530"/>
      <c r="TGV109" s="531"/>
      <c r="TGW109" s="530"/>
      <c r="TGX109" s="531"/>
      <c r="TGY109" s="530"/>
      <c r="TGZ109" s="531"/>
      <c r="THA109" s="530"/>
      <c r="THB109" s="531"/>
      <c r="THC109" s="530"/>
      <c r="THD109" s="531"/>
      <c r="THE109" s="530"/>
      <c r="THF109" s="531"/>
      <c r="THG109" s="530"/>
      <c r="THH109" s="531"/>
      <c r="THI109" s="530"/>
      <c r="THJ109" s="531"/>
      <c r="THK109" s="530"/>
      <c r="THL109" s="531"/>
      <c r="THM109" s="530"/>
      <c r="THN109" s="531"/>
      <c r="THO109" s="530"/>
      <c r="THP109" s="531"/>
      <c r="THQ109" s="530"/>
      <c r="THR109" s="531"/>
      <c r="THS109" s="530"/>
      <c r="THT109" s="531"/>
      <c r="THU109" s="530"/>
      <c r="THV109" s="531"/>
      <c r="THW109" s="530"/>
      <c r="THX109" s="531"/>
      <c r="THY109" s="530"/>
      <c r="THZ109" s="531"/>
      <c r="TIA109" s="530"/>
      <c r="TIB109" s="531"/>
      <c r="TIC109" s="530"/>
      <c r="TID109" s="531"/>
      <c r="TIE109" s="530"/>
      <c r="TIF109" s="531"/>
      <c r="TIG109" s="530"/>
      <c r="TIH109" s="531"/>
      <c r="TII109" s="530"/>
      <c r="TIJ109" s="531"/>
      <c r="TIK109" s="530"/>
      <c r="TIL109" s="531"/>
      <c r="TIM109" s="530"/>
      <c r="TIN109" s="531"/>
      <c r="TIO109" s="530"/>
      <c r="TIP109" s="531"/>
      <c r="TIQ109" s="530"/>
      <c r="TIR109" s="531"/>
      <c r="TIS109" s="530"/>
      <c r="TIT109" s="531"/>
      <c r="TIU109" s="530"/>
      <c r="TIV109" s="531"/>
      <c r="TIW109" s="530"/>
      <c r="TIX109" s="531"/>
      <c r="TIY109" s="530"/>
      <c r="TIZ109" s="531"/>
      <c r="TJA109" s="530"/>
      <c r="TJB109" s="531"/>
      <c r="TJC109" s="530"/>
      <c r="TJD109" s="531"/>
      <c r="TJE109" s="530"/>
      <c r="TJF109" s="531"/>
      <c r="TJG109" s="530"/>
      <c r="TJH109" s="531"/>
      <c r="TJI109" s="530"/>
      <c r="TJJ109" s="531"/>
      <c r="TJK109" s="530"/>
      <c r="TJL109" s="531"/>
      <c r="TJM109" s="530"/>
      <c r="TJN109" s="531"/>
      <c r="TJO109" s="530"/>
      <c r="TJP109" s="531"/>
      <c r="TJQ109" s="530"/>
      <c r="TJR109" s="531"/>
      <c r="TJS109" s="530"/>
      <c r="TJT109" s="531"/>
      <c r="TJU109" s="530"/>
      <c r="TJV109" s="531"/>
      <c r="TJW109" s="530"/>
      <c r="TJX109" s="531"/>
      <c r="TJY109" s="530"/>
      <c r="TJZ109" s="531"/>
      <c r="TKA109" s="530"/>
      <c r="TKB109" s="531"/>
      <c r="TKC109" s="530"/>
      <c r="TKD109" s="531"/>
      <c r="TKE109" s="530"/>
      <c r="TKF109" s="531"/>
      <c r="TKG109" s="530"/>
      <c r="TKH109" s="531"/>
      <c r="TKI109" s="530"/>
      <c r="TKJ109" s="531"/>
      <c r="TKK109" s="530"/>
      <c r="TKL109" s="531"/>
      <c r="TKM109" s="530"/>
      <c r="TKN109" s="531"/>
      <c r="TKO109" s="530"/>
      <c r="TKP109" s="531"/>
      <c r="TKQ109" s="530"/>
      <c r="TKR109" s="531"/>
      <c r="TKS109" s="530"/>
      <c r="TKT109" s="531"/>
      <c r="TKU109" s="530"/>
      <c r="TKV109" s="531"/>
      <c r="TKW109" s="530"/>
      <c r="TKX109" s="531"/>
      <c r="TKY109" s="530"/>
      <c r="TKZ109" s="531"/>
      <c r="TLA109" s="530"/>
      <c r="TLB109" s="531"/>
      <c r="TLC109" s="530"/>
      <c r="TLD109" s="531"/>
      <c r="TLE109" s="530"/>
      <c r="TLF109" s="531"/>
      <c r="TLG109" s="530"/>
      <c r="TLH109" s="531"/>
      <c r="TLI109" s="530"/>
      <c r="TLJ109" s="531"/>
      <c r="TLK109" s="530"/>
      <c r="TLL109" s="531"/>
      <c r="TLM109" s="530"/>
      <c r="TLN109" s="531"/>
      <c r="TLO109" s="530"/>
      <c r="TLP109" s="531"/>
      <c r="TLQ109" s="530"/>
      <c r="TLR109" s="531"/>
      <c r="TLS109" s="530"/>
      <c r="TLT109" s="531"/>
      <c r="TLU109" s="530"/>
      <c r="TLV109" s="531"/>
      <c r="TLW109" s="530"/>
      <c r="TLX109" s="531"/>
      <c r="TLY109" s="530"/>
      <c r="TLZ109" s="531"/>
      <c r="TMA109" s="530"/>
      <c r="TMB109" s="531"/>
      <c r="TMC109" s="530"/>
      <c r="TMD109" s="531"/>
      <c r="TME109" s="530"/>
      <c r="TMF109" s="531"/>
      <c r="TMG109" s="530"/>
      <c r="TMH109" s="531"/>
      <c r="TMI109" s="530"/>
      <c r="TMJ109" s="531"/>
      <c r="TMK109" s="530"/>
      <c r="TML109" s="531"/>
      <c r="TMM109" s="530"/>
      <c r="TMN109" s="531"/>
      <c r="TMO109" s="530"/>
      <c r="TMP109" s="531"/>
      <c r="TMQ109" s="530"/>
      <c r="TMR109" s="531"/>
      <c r="TMS109" s="530"/>
      <c r="TMT109" s="531"/>
      <c r="TMU109" s="530"/>
      <c r="TMV109" s="531"/>
      <c r="TMW109" s="530"/>
      <c r="TMX109" s="531"/>
      <c r="TMY109" s="530"/>
      <c r="TMZ109" s="531"/>
      <c r="TNA109" s="530"/>
      <c r="TNB109" s="531"/>
      <c r="TNC109" s="530"/>
      <c r="TND109" s="531"/>
      <c r="TNE109" s="530"/>
      <c r="TNF109" s="531"/>
      <c r="TNG109" s="530"/>
      <c r="TNH109" s="531"/>
      <c r="TNI109" s="530"/>
      <c r="TNJ109" s="531"/>
      <c r="TNK109" s="530"/>
      <c r="TNL109" s="531"/>
      <c r="TNM109" s="530"/>
      <c r="TNN109" s="531"/>
      <c r="TNO109" s="530"/>
      <c r="TNP109" s="531"/>
      <c r="TNQ109" s="530"/>
      <c r="TNR109" s="531"/>
      <c r="TNS109" s="530"/>
      <c r="TNT109" s="531"/>
      <c r="TNU109" s="530"/>
      <c r="TNV109" s="531"/>
      <c r="TNW109" s="530"/>
      <c r="TNX109" s="531"/>
      <c r="TNY109" s="530"/>
      <c r="TNZ109" s="531"/>
      <c r="TOA109" s="530"/>
      <c r="TOB109" s="531"/>
      <c r="TOC109" s="530"/>
      <c r="TOD109" s="531"/>
      <c r="TOE109" s="530"/>
      <c r="TOF109" s="531"/>
      <c r="TOG109" s="530"/>
      <c r="TOH109" s="531"/>
      <c r="TOI109" s="530"/>
      <c r="TOJ109" s="531"/>
      <c r="TOK109" s="530"/>
      <c r="TOL109" s="531"/>
      <c r="TOM109" s="530"/>
      <c r="TON109" s="531"/>
      <c r="TOO109" s="530"/>
      <c r="TOP109" s="531"/>
      <c r="TOQ109" s="530"/>
      <c r="TOR109" s="531"/>
      <c r="TOS109" s="530"/>
      <c r="TOT109" s="531"/>
      <c r="TOU109" s="530"/>
      <c r="TOV109" s="531"/>
      <c r="TOW109" s="530"/>
      <c r="TOX109" s="531"/>
      <c r="TOY109" s="530"/>
      <c r="TOZ109" s="531"/>
      <c r="TPA109" s="530"/>
      <c r="TPB109" s="531"/>
      <c r="TPC109" s="530"/>
      <c r="TPD109" s="531"/>
      <c r="TPE109" s="530"/>
      <c r="TPF109" s="531"/>
      <c r="TPG109" s="530"/>
      <c r="TPH109" s="531"/>
      <c r="TPI109" s="530"/>
      <c r="TPJ109" s="531"/>
      <c r="TPK109" s="530"/>
      <c r="TPL109" s="531"/>
      <c r="TPM109" s="530"/>
      <c r="TPN109" s="531"/>
      <c r="TPO109" s="530"/>
      <c r="TPP109" s="531"/>
      <c r="TPQ109" s="530"/>
      <c r="TPR109" s="531"/>
      <c r="TPS109" s="530"/>
      <c r="TPT109" s="531"/>
      <c r="TPU109" s="530"/>
      <c r="TPV109" s="531"/>
      <c r="TPW109" s="530"/>
      <c r="TPX109" s="531"/>
      <c r="TPY109" s="530"/>
      <c r="TPZ109" s="531"/>
      <c r="TQA109" s="530"/>
      <c r="TQB109" s="531"/>
      <c r="TQC109" s="530"/>
      <c r="TQD109" s="531"/>
      <c r="TQE109" s="530"/>
      <c r="TQF109" s="531"/>
      <c r="TQG109" s="530"/>
      <c r="TQH109" s="531"/>
      <c r="TQI109" s="530"/>
      <c r="TQJ109" s="531"/>
      <c r="TQK109" s="530"/>
      <c r="TQL109" s="531"/>
      <c r="TQM109" s="530"/>
      <c r="TQN109" s="531"/>
      <c r="TQO109" s="530"/>
      <c r="TQP109" s="531"/>
      <c r="TQQ109" s="530"/>
      <c r="TQR109" s="531"/>
      <c r="TQS109" s="530"/>
      <c r="TQT109" s="531"/>
      <c r="TQU109" s="530"/>
      <c r="TQV109" s="531"/>
      <c r="TQW109" s="530"/>
      <c r="TQX109" s="531"/>
      <c r="TQY109" s="530"/>
      <c r="TQZ109" s="531"/>
      <c r="TRA109" s="530"/>
      <c r="TRB109" s="531"/>
      <c r="TRC109" s="530"/>
      <c r="TRD109" s="531"/>
      <c r="TRE109" s="530"/>
      <c r="TRF109" s="531"/>
      <c r="TRG109" s="530"/>
      <c r="TRH109" s="531"/>
      <c r="TRI109" s="530"/>
      <c r="TRJ109" s="531"/>
      <c r="TRK109" s="530"/>
      <c r="TRL109" s="531"/>
      <c r="TRM109" s="530"/>
      <c r="TRN109" s="531"/>
      <c r="TRO109" s="530"/>
      <c r="TRP109" s="531"/>
      <c r="TRQ109" s="530"/>
      <c r="TRR109" s="531"/>
      <c r="TRS109" s="530"/>
      <c r="TRT109" s="531"/>
      <c r="TRU109" s="530"/>
      <c r="TRV109" s="531"/>
      <c r="TRW109" s="530"/>
      <c r="TRX109" s="531"/>
      <c r="TRY109" s="530"/>
      <c r="TRZ109" s="531"/>
      <c r="TSA109" s="530"/>
      <c r="TSB109" s="531"/>
      <c r="TSC109" s="530"/>
      <c r="TSD109" s="531"/>
      <c r="TSE109" s="530"/>
      <c r="TSF109" s="531"/>
      <c r="TSG109" s="530"/>
      <c r="TSH109" s="531"/>
      <c r="TSI109" s="530"/>
      <c r="TSJ109" s="531"/>
      <c r="TSK109" s="530"/>
      <c r="TSL109" s="531"/>
      <c r="TSM109" s="530"/>
      <c r="TSN109" s="531"/>
      <c r="TSO109" s="530"/>
      <c r="TSP109" s="531"/>
      <c r="TSQ109" s="530"/>
      <c r="TSR109" s="531"/>
      <c r="TSS109" s="530"/>
      <c r="TST109" s="531"/>
      <c r="TSU109" s="530"/>
      <c r="TSV109" s="531"/>
      <c r="TSW109" s="530"/>
      <c r="TSX109" s="531"/>
      <c r="TSY109" s="530"/>
      <c r="TSZ109" s="531"/>
      <c r="TTA109" s="530"/>
      <c r="TTB109" s="531"/>
      <c r="TTC109" s="530"/>
      <c r="TTD109" s="531"/>
      <c r="TTE109" s="530"/>
      <c r="TTF109" s="531"/>
      <c r="TTG109" s="530"/>
      <c r="TTH109" s="531"/>
      <c r="TTI109" s="530"/>
      <c r="TTJ109" s="531"/>
      <c r="TTK109" s="530"/>
      <c r="TTL109" s="531"/>
      <c r="TTM109" s="530"/>
      <c r="TTN109" s="531"/>
      <c r="TTO109" s="530"/>
      <c r="TTP109" s="531"/>
      <c r="TTQ109" s="530"/>
      <c r="TTR109" s="531"/>
      <c r="TTS109" s="530"/>
      <c r="TTT109" s="531"/>
      <c r="TTU109" s="530"/>
      <c r="TTV109" s="531"/>
      <c r="TTW109" s="530"/>
      <c r="TTX109" s="531"/>
      <c r="TTY109" s="530"/>
      <c r="TTZ109" s="531"/>
      <c r="TUA109" s="530"/>
      <c r="TUB109" s="531"/>
      <c r="TUC109" s="530"/>
      <c r="TUD109" s="531"/>
      <c r="TUE109" s="530"/>
      <c r="TUF109" s="531"/>
      <c r="TUG109" s="530"/>
      <c r="TUH109" s="531"/>
      <c r="TUI109" s="530"/>
      <c r="TUJ109" s="531"/>
      <c r="TUK109" s="530"/>
      <c r="TUL109" s="531"/>
      <c r="TUM109" s="530"/>
      <c r="TUN109" s="531"/>
      <c r="TUO109" s="530"/>
      <c r="TUP109" s="531"/>
      <c r="TUQ109" s="530"/>
      <c r="TUR109" s="531"/>
      <c r="TUS109" s="530"/>
      <c r="TUT109" s="531"/>
      <c r="TUU109" s="530"/>
      <c r="TUV109" s="531"/>
      <c r="TUW109" s="530"/>
      <c r="TUX109" s="531"/>
      <c r="TUY109" s="530"/>
      <c r="TUZ109" s="531"/>
      <c r="TVA109" s="530"/>
      <c r="TVB109" s="531"/>
      <c r="TVC109" s="530"/>
      <c r="TVD109" s="531"/>
      <c r="TVE109" s="530"/>
      <c r="TVF109" s="531"/>
      <c r="TVG109" s="530"/>
      <c r="TVH109" s="531"/>
      <c r="TVI109" s="530"/>
      <c r="TVJ109" s="531"/>
      <c r="TVK109" s="530"/>
      <c r="TVL109" s="531"/>
      <c r="TVM109" s="530"/>
      <c r="TVN109" s="531"/>
      <c r="TVO109" s="530"/>
      <c r="TVP109" s="531"/>
      <c r="TVQ109" s="530"/>
      <c r="TVR109" s="531"/>
      <c r="TVS109" s="530"/>
      <c r="TVT109" s="531"/>
      <c r="TVU109" s="530"/>
      <c r="TVV109" s="531"/>
      <c r="TVW109" s="530"/>
      <c r="TVX109" s="531"/>
      <c r="TVY109" s="530"/>
      <c r="TVZ109" s="531"/>
      <c r="TWA109" s="530"/>
      <c r="TWB109" s="531"/>
      <c r="TWC109" s="530"/>
      <c r="TWD109" s="531"/>
      <c r="TWE109" s="530"/>
      <c r="TWF109" s="531"/>
      <c r="TWG109" s="530"/>
      <c r="TWH109" s="531"/>
      <c r="TWI109" s="530"/>
      <c r="TWJ109" s="531"/>
      <c r="TWK109" s="530"/>
      <c r="TWL109" s="531"/>
      <c r="TWM109" s="530"/>
      <c r="TWN109" s="531"/>
      <c r="TWO109" s="530"/>
      <c r="TWP109" s="531"/>
      <c r="TWQ109" s="530"/>
      <c r="TWR109" s="531"/>
      <c r="TWS109" s="530"/>
      <c r="TWT109" s="531"/>
      <c r="TWU109" s="530"/>
      <c r="TWV109" s="531"/>
      <c r="TWW109" s="530"/>
      <c r="TWX109" s="531"/>
      <c r="TWY109" s="530"/>
      <c r="TWZ109" s="531"/>
      <c r="TXA109" s="530"/>
      <c r="TXB109" s="531"/>
      <c r="TXC109" s="530"/>
      <c r="TXD109" s="531"/>
      <c r="TXE109" s="530"/>
      <c r="TXF109" s="531"/>
      <c r="TXG109" s="530"/>
      <c r="TXH109" s="531"/>
      <c r="TXI109" s="530"/>
      <c r="TXJ109" s="531"/>
      <c r="TXK109" s="530"/>
      <c r="TXL109" s="531"/>
      <c r="TXM109" s="530"/>
      <c r="TXN109" s="531"/>
      <c r="TXO109" s="530"/>
      <c r="TXP109" s="531"/>
      <c r="TXQ109" s="530"/>
      <c r="TXR109" s="531"/>
      <c r="TXS109" s="530"/>
      <c r="TXT109" s="531"/>
      <c r="TXU109" s="530"/>
      <c r="TXV109" s="531"/>
      <c r="TXW109" s="530"/>
      <c r="TXX109" s="531"/>
      <c r="TXY109" s="530"/>
      <c r="TXZ109" s="531"/>
      <c r="TYA109" s="530"/>
      <c r="TYB109" s="531"/>
      <c r="TYC109" s="530"/>
      <c r="TYD109" s="531"/>
      <c r="TYE109" s="530"/>
      <c r="TYF109" s="531"/>
      <c r="TYG109" s="530"/>
      <c r="TYH109" s="531"/>
      <c r="TYI109" s="530"/>
      <c r="TYJ109" s="531"/>
      <c r="TYK109" s="530"/>
      <c r="TYL109" s="531"/>
      <c r="TYM109" s="530"/>
      <c r="TYN109" s="531"/>
      <c r="TYO109" s="530"/>
      <c r="TYP109" s="531"/>
      <c r="TYQ109" s="530"/>
      <c r="TYR109" s="531"/>
      <c r="TYS109" s="530"/>
      <c r="TYT109" s="531"/>
      <c r="TYU109" s="530"/>
      <c r="TYV109" s="531"/>
      <c r="TYW109" s="530"/>
      <c r="TYX109" s="531"/>
      <c r="TYY109" s="530"/>
      <c r="TYZ109" s="531"/>
      <c r="TZA109" s="530"/>
      <c r="TZB109" s="531"/>
      <c r="TZC109" s="530"/>
      <c r="TZD109" s="531"/>
      <c r="TZE109" s="530"/>
      <c r="TZF109" s="531"/>
      <c r="TZG109" s="530"/>
      <c r="TZH109" s="531"/>
      <c r="TZI109" s="530"/>
      <c r="TZJ109" s="531"/>
      <c r="TZK109" s="530"/>
      <c r="TZL109" s="531"/>
      <c r="TZM109" s="530"/>
      <c r="TZN109" s="531"/>
      <c r="TZO109" s="530"/>
      <c r="TZP109" s="531"/>
      <c r="TZQ109" s="530"/>
      <c r="TZR109" s="531"/>
      <c r="TZS109" s="530"/>
      <c r="TZT109" s="531"/>
      <c r="TZU109" s="530"/>
      <c r="TZV109" s="531"/>
      <c r="TZW109" s="530"/>
      <c r="TZX109" s="531"/>
      <c r="TZY109" s="530"/>
      <c r="TZZ109" s="531"/>
      <c r="UAA109" s="530"/>
      <c r="UAB109" s="531"/>
      <c r="UAC109" s="530"/>
      <c r="UAD109" s="531"/>
      <c r="UAE109" s="530"/>
      <c r="UAF109" s="531"/>
      <c r="UAG109" s="530"/>
      <c r="UAH109" s="531"/>
      <c r="UAI109" s="530"/>
      <c r="UAJ109" s="531"/>
      <c r="UAK109" s="530"/>
      <c r="UAL109" s="531"/>
      <c r="UAM109" s="530"/>
      <c r="UAN109" s="531"/>
      <c r="UAO109" s="530"/>
      <c r="UAP109" s="531"/>
      <c r="UAQ109" s="530"/>
      <c r="UAR109" s="531"/>
      <c r="UAS109" s="530"/>
      <c r="UAT109" s="531"/>
      <c r="UAU109" s="530"/>
      <c r="UAV109" s="531"/>
      <c r="UAW109" s="530"/>
      <c r="UAX109" s="531"/>
      <c r="UAY109" s="530"/>
      <c r="UAZ109" s="531"/>
      <c r="UBA109" s="530"/>
      <c r="UBB109" s="531"/>
      <c r="UBC109" s="530"/>
      <c r="UBD109" s="531"/>
      <c r="UBE109" s="530"/>
      <c r="UBF109" s="531"/>
      <c r="UBG109" s="530"/>
      <c r="UBH109" s="531"/>
      <c r="UBI109" s="530"/>
      <c r="UBJ109" s="531"/>
      <c r="UBK109" s="530"/>
      <c r="UBL109" s="531"/>
      <c r="UBM109" s="530"/>
      <c r="UBN109" s="531"/>
      <c r="UBO109" s="530"/>
      <c r="UBP109" s="531"/>
      <c r="UBQ109" s="530"/>
      <c r="UBR109" s="531"/>
      <c r="UBS109" s="530"/>
      <c r="UBT109" s="531"/>
      <c r="UBU109" s="530"/>
      <c r="UBV109" s="531"/>
      <c r="UBW109" s="530"/>
      <c r="UBX109" s="531"/>
      <c r="UBY109" s="530"/>
      <c r="UBZ109" s="531"/>
      <c r="UCA109" s="530"/>
      <c r="UCB109" s="531"/>
      <c r="UCC109" s="530"/>
      <c r="UCD109" s="531"/>
      <c r="UCE109" s="530"/>
      <c r="UCF109" s="531"/>
      <c r="UCG109" s="530"/>
      <c r="UCH109" s="531"/>
      <c r="UCI109" s="530"/>
      <c r="UCJ109" s="531"/>
      <c r="UCK109" s="530"/>
      <c r="UCL109" s="531"/>
      <c r="UCM109" s="530"/>
      <c r="UCN109" s="531"/>
      <c r="UCO109" s="530"/>
      <c r="UCP109" s="531"/>
      <c r="UCQ109" s="530"/>
      <c r="UCR109" s="531"/>
      <c r="UCS109" s="530"/>
      <c r="UCT109" s="531"/>
      <c r="UCU109" s="530"/>
      <c r="UCV109" s="531"/>
      <c r="UCW109" s="530"/>
      <c r="UCX109" s="531"/>
      <c r="UCY109" s="530"/>
      <c r="UCZ109" s="531"/>
      <c r="UDA109" s="530"/>
      <c r="UDB109" s="531"/>
      <c r="UDC109" s="530"/>
      <c r="UDD109" s="531"/>
      <c r="UDE109" s="530"/>
      <c r="UDF109" s="531"/>
      <c r="UDG109" s="530"/>
      <c r="UDH109" s="531"/>
      <c r="UDI109" s="530"/>
      <c r="UDJ109" s="531"/>
      <c r="UDK109" s="530"/>
      <c r="UDL109" s="531"/>
      <c r="UDM109" s="530"/>
      <c r="UDN109" s="531"/>
      <c r="UDO109" s="530"/>
      <c r="UDP109" s="531"/>
      <c r="UDQ109" s="530"/>
      <c r="UDR109" s="531"/>
      <c r="UDS109" s="530"/>
      <c r="UDT109" s="531"/>
      <c r="UDU109" s="530"/>
      <c r="UDV109" s="531"/>
      <c r="UDW109" s="530"/>
      <c r="UDX109" s="531"/>
      <c r="UDY109" s="530"/>
      <c r="UDZ109" s="531"/>
      <c r="UEA109" s="530"/>
      <c r="UEB109" s="531"/>
      <c r="UEC109" s="530"/>
      <c r="UED109" s="531"/>
      <c r="UEE109" s="530"/>
      <c r="UEF109" s="531"/>
      <c r="UEG109" s="530"/>
      <c r="UEH109" s="531"/>
      <c r="UEI109" s="530"/>
      <c r="UEJ109" s="531"/>
      <c r="UEK109" s="530"/>
      <c r="UEL109" s="531"/>
      <c r="UEM109" s="530"/>
      <c r="UEN109" s="531"/>
      <c r="UEO109" s="530"/>
      <c r="UEP109" s="531"/>
      <c r="UEQ109" s="530"/>
      <c r="UER109" s="531"/>
      <c r="UES109" s="530"/>
      <c r="UET109" s="531"/>
      <c r="UEU109" s="530"/>
      <c r="UEV109" s="531"/>
      <c r="UEW109" s="530"/>
      <c r="UEX109" s="531"/>
      <c r="UEY109" s="530"/>
      <c r="UEZ109" s="531"/>
      <c r="UFA109" s="530"/>
      <c r="UFB109" s="531"/>
      <c r="UFC109" s="530"/>
      <c r="UFD109" s="531"/>
      <c r="UFE109" s="530"/>
      <c r="UFF109" s="531"/>
      <c r="UFG109" s="530"/>
      <c r="UFH109" s="531"/>
      <c r="UFI109" s="530"/>
      <c r="UFJ109" s="531"/>
      <c r="UFK109" s="530"/>
      <c r="UFL109" s="531"/>
      <c r="UFM109" s="530"/>
      <c r="UFN109" s="531"/>
      <c r="UFO109" s="530"/>
      <c r="UFP109" s="531"/>
      <c r="UFQ109" s="530"/>
      <c r="UFR109" s="531"/>
      <c r="UFS109" s="530"/>
      <c r="UFT109" s="531"/>
      <c r="UFU109" s="530"/>
      <c r="UFV109" s="531"/>
      <c r="UFW109" s="530"/>
      <c r="UFX109" s="531"/>
      <c r="UFY109" s="530"/>
      <c r="UFZ109" s="531"/>
      <c r="UGA109" s="530"/>
      <c r="UGB109" s="531"/>
      <c r="UGC109" s="530"/>
      <c r="UGD109" s="531"/>
      <c r="UGE109" s="530"/>
      <c r="UGF109" s="531"/>
      <c r="UGG109" s="530"/>
      <c r="UGH109" s="531"/>
      <c r="UGI109" s="530"/>
      <c r="UGJ109" s="531"/>
      <c r="UGK109" s="530"/>
      <c r="UGL109" s="531"/>
      <c r="UGM109" s="530"/>
      <c r="UGN109" s="531"/>
      <c r="UGO109" s="530"/>
      <c r="UGP109" s="531"/>
      <c r="UGQ109" s="530"/>
      <c r="UGR109" s="531"/>
      <c r="UGS109" s="530"/>
      <c r="UGT109" s="531"/>
      <c r="UGU109" s="530"/>
      <c r="UGV109" s="531"/>
      <c r="UGW109" s="530"/>
      <c r="UGX109" s="531"/>
      <c r="UGY109" s="530"/>
      <c r="UGZ109" s="531"/>
      <c r="UHA109" s="530"/>
      <c r="UHB109" s="531"/>
      <c r="UHC109" s="530"/>
      <c r="UHD109" s="531"/>
      <c r="UHE109" s="530"/>
      <c r="UHF109" s="531"/>
      <c r="UHG109" s="530"/>
      <c r="UHH109" s="531"/>
      <c r="UHI109" s="530"/>
      <c r="UHJ109" s="531"/>
      <c r="UHK109" s="530"/>
      <c r="UHL109" s="531"/>
      <c r="UHM109" s="530"/>
      <c r="UHN109" s="531"/>
      <c r="UHO109" s="530"/>
      <c r="UHP109" s="531"/>
      <c r="UHQ109" s="530"/>
      <c r="UHR109" s="531"/>
      <c r="UHS109" s="530"/>
      <c r="UHT109" s="531"/>
      <c r="UHU109" s="530"/>
      <c r="UHV109" s="531"/>
      <c r="UHW109" s="530"/>
      <c r="UHX109" s="531"/>
      <c r="UHY109" s="530"/>
      <c r="UHZ109" s="531"/>
      <c r="UIA109" s="530"/>
      <c r="UIB109" s="531"/>
      <c r="UIC109" s="530"/>
      <c r="UID109" s="531"/>
      <c r="UIE109" s="530"/>
      <c r="UIF109" s="531"/>
      <c r="UIG109" s="530"/>
      <c r="UIH109" s="531"/>
      <c r="UII109" s="530"/>
      <c r="UIJ109" s="531"/>
      <c r="UIK109" s="530"/>
      <c r="UIL109" s="531"/>
      <c r="UIM109" s="530"/>
      <c r="UIN109" s="531"/>
      <c r="UIO109" s="530"/>
      <c r="UIP109" s="531"/>
      <c r="UIQ109" s="530"/>
      <c r="UIR109" s="531"/>
      <c r="UIS109" s="530"/>
      <c r="UIT109" s="531"/>
      <c r="UIU109" s="530"/>
      <c r="UIV109" s="531"/>
      <c r="UIW109" s="530"/>
      <c r="UIX109" s="531"/>
      <c r="UIY109" s="530"/>
      <c r="UIZ109" s="531"/>
      <c r="UJA109" s="530"/>
      <c r="UJB109" s="531"/>
      <c r="UJC109" s="530"/>
      <c r="UJD109" s="531"/>
      <c r="UJE109" s="530"/>
      <c r="UJF109" s="531"/>
      <c r="UJG109" s="530"/>
      <c r="UJH109" s="531"/>
      <c r="UJI109" s="530"/>
      <c r="UJJ109" s="531"/>
      <c r="UJK109" s="530"/>
      <c r="UJL109" s="531"/>
      <c r="UJM109" s="530"/>
      <c r="UJN109" s="531"/>
      <c r="UJO109" s="530"/>
      <c r="UJP109" s="531"/>
      <c r="UJQ109" s="530"/>
      <c r="UJR109" s="531"/>
      <c r="UJS109" s="530"/>
      <c r="UJT109" s="531"/>
      <c r="UJU109" s="530"/>
      <c r="UJV109" s="531"/>
      <c r="UJW109" s="530"/>
      <c r="UJX109" s="531"/>
      <c r="UJY109" s="530"/>
      <c r="UJZ109" s="531"/>
      <c r="UKA109" s="530"/>
      <c r="UKB109" s="531"/>
      <c r="UKC109" s="530"/>
      <c r="UKD109" s="531"/>
      <c r="UKE109" s="530"/>
      <c r="UKF109" s="531"/>
      <c r="UKG109" s="530"/>
      <c r="UKH109" s="531"/>
      <c r="UKI109" s="530"/>
      <c r="UKJ109" s="531"/>
      <c r="UKK109" s="530"/>
      <c r="UKL109" s="531"/>
      <c r="UKM109" s="530"/>
      <c r="UKN109" s="531"/>
      <c r="UKO109" s="530"/>
      <c r="UKP109" s="531"/>
      <c r="UKQ109" s="530"/>
      <c r="UKR109" s="531"/>
      <c r="UKS109" s="530"/>
      <c r="UKT109" s="531"/>
      <c r="UKU109" s="530"/>
      <c r="UKV109" s="531"/>
      <c r="UKW109" s="530"/>
      <c r="UKX109" s="531"/>
      <c r="UKY109" s="530"/>
      <c r="UKZ109" s="531"/>
      <c r="ULA109" s="530"/>
      <c r="ULB109" s="531"/>
      <c r="ULC109" s="530"/>
      <c r="ULD109" s="531"/>
      <c r="ULE109" s="530"/>
      <c r="ULF109" s="531"/>
      <c r="ULG109" s="530"/>
      <c r="ULH109" s="531"/>
      <c r="ULI109" s="530"/>
      <c r="ULJ109" s="531"/>
      <c r="ULK109" s="530"/>
      <c r="ULL109" s="531"/>
      <c r="ULM109" s="530"/>
      <c r="ULN109" s="531"/>
      <c r="ULO109" s="530"/>
      <c r="ULP109" s="531"/>
      <c r="ULQ109" s="530"/>
      <c r="ULR109" s="531"/>
      <c r="ULS109" s="530"/>
      <c r="ULT109" s="531"/>
      <c r="ULU109" s="530"/>
      <c r="ULV109" s="531"/>
      <c r="ULW109" s="530"/>
      <c r="ULX109" s="531"/>
      <c r="ULY109" s="530"/>
      <c r="ULZ109" s="531"/>
      <c r="UMA109" s="530"/>
      <c r="UMB109" s="531"/>
      <c r="UMC109" s="530"/>
      <c r="UMD109" s="531"/>
      <c r="UME109" s="530"/>
      <c r="UMF109" s="531"/>
      <c r="UMG109" s="530"/>
      <c r="UMH109" s="531"/>
      <c r="UMI109" s="530"/>
      <c r="UMJ109" s="531"/>
      <c r="UMK109" s="530"/>
      <c r="UML109" s="531"/>
      <c r="UMM109" s="530"/>
      <c r="UMN109" s="531"/>
      <c r="UMO109" s="530"/>
      <c r="UMP109" s="531"/>
      <c r="UMQ109" s="530"/>
      <c r="UMR109" s="531"/>
      <c r="UMS109" s="530"/>
      <c r="UMT109" s="531"/>
      <c r="UMU109" s="530"/>
      <c r="UMV109" s="531"/>
      <c r="UMW109" s="530"/>
      <c r="UMX109" s="531"/>
      <c r="UMY109" s="530"/>
      <c r="UMZ109" s="531"/>
      <c r="UNA109" s="530"/>
      <c r="UNB109" s="531"/>
      <c r="UNC109" s="530"/>
      <c r="UND109" s="531"/>
      <c r="UNE109" s="530"/>
      <c r="UNF109" s="531"/>
      <c r="UNG109" s="530"/>
      <c r="UNH109" s="531"/>
      <c r="UNI109" s="530"/>
      <c r="UNJ109" s="531"/>
      <c r="UNK109" s="530"/>
      <c r="UNL109" s="531"/>
      <c r="UNM109" s="530"/>
      <c r="UNN109" s="531"/>
      <c r="UNO109" s="530"/>
      <c r="UNP109" s="531"/>
      <c r="UNQ109" s="530"/>
      <c r="UNR109" s="531"/>
      <c r="UNS109" s="530"/>
      <c r="UNT109" s="531"/>
      <c r="UNU109" s="530"/>
      <c r="UNV109" s="531"/>
      <c r="UNW109" s="530"/>
      <c r="UNX109" s="531"/>
      <c r="UNY109" s="530"/>
      <c r="UNZ109" s="531"/>
      <c r="UOA109" s="530"/>
      <c r="UOB109" s="531"/>
      <c r="UOC109" s="530"/>
      <c r="UOD109" s="531"/>
      <c r="UOE109" s="530"/>
      <c r="UOF109" s="531"/>
      <c r="UOG109" s="530"/>
      <c r="UOH109" s="531"/>
      <c r="UOI109" s="530"/>
      <c r="UOJ109" s="531"/>
      <c r="UOK109" s="530"/>
      <c r="UOL109" s="531"/>
      <c r="UOM109" s="530"/>
      <c r="UON109" s="531"/>
      <c r="UOO109" s="530"/>
      <c r="UOP109" s="531"/>
      <c r="UOQ109" s="530"/>
      <c r="UOR109" s="531"/>
      <c r="UOS109" s="530"/>
      <c r="UOT109" s="531"/>
      <c r="UOU109" s="530"/>
      <c r="UOV109" s="531"/>
      <c r="UOW109" s="530"/>
      <c r="UOX109" s="531"/>
      <c r="UOY109" s="530"/>
      <c r="UOZ109" s="531"/>
      <c r="UPA109" s="530"/>
      <c r="UPB109" s="531"/>
      <c r="UPC109" s="530"/>
      <c r="UPD109" s="531"/>
      <c r="UPE109" s="530"/>
      <c r="UPF109" s="531"/>
      <c r="UPG109" s="530"/>
      <c r="UPH109" s="531"/>
      <c r="UPI109" s="530"/>
      <c r="UPJ109" s="531"/>
      <c r="UPK109" s="530"/>
      <c r="UPL109" s="531"/>
      <c r="UPM109" s="530"/>
      <c r="UPN109" s="531"/>
      <c r="UPO109" s="530"/>
      <c r="UPP109" s="531"/>
      <c r="UPQ109" s="530"/>
      <c r="UPR109" s="531"/>
      <c r="UPS109" s="530"/>
      <c r="UPT109" s="531"/>
      <c r="UPU109" s="530"/>
      <c r="UPV109" s="531"/>
      <c r="UPW109" s="530"/>
      <c r="UPX109" s="531"/>
      <c r="UPY109" s="530"/>
      <c r="UPZ109" s="531"/>
      <c r="UQA109" s="530"/>
      <c r="UQB109" s="531"/>
      <c r="UQC109" s="530"/>
      <c r="UQD109" s="531"/>
      <c r="UQE109" s="530"/>
      <c r="UQF109" s="531"/>
      <c r="UQG109" s="530"/>
      <c r="UQH109" s="531"/>
      <c r="UQI109" s="530"/>
      <c r="UQJ109" s="531"/>
      <c r="UQK109" s="530"/>
      <c r="UQL109" s="531"/>
      <c r="UQM109" s="530"/>
      <c r="UQN109" s="531"/>
      <c r="UQO109" s="530"/>
      <c r="UQP109" s="531"/>
      <c r="UQQ109" s="530"/>
      <c r="UQR109" s="531"/>
      <c r="UQS109" s="530"/>
      <c r="UQT109" s="531"/>
      <c r="UQU109" s="530"/>
      <c r="UQV109" s="531"/>
      <c r="UQW109" s="530"/>
      <c r="UQX109" s="531"/>
      <c r="UQY109" s="530"/>
      <c r="UQZ109" s="531"/>
      <c r="URA109" s="530"/>
      <c r="URB109" s="531"/>
      <c r="URC109" s="530"/>
      <c r="URD109" s="531"/>
      <c r="URE109" s="530"/>
      <c r="URF109" s="531"/>
      <c r="URG109" s="530"/>
      <c r="URH109" s="531"/>
      <c r="URI109" s="530"/>
      <c r="URJ109" s="531"/>
      <c r="URK109" s="530"/>
      <c r="URL109" s="531"/>
      <c r="URM109" s="530"/>
      <c r="URN109" s="531"/>
      <c r="URO109" s="530"/>
      <c r="URP109" s="531"/>
      <c r="URQ109" s="530"/>
      <c r="URR109" s="531"/>
      <c r="URS109" s="530"/>
      <c r="URT109" s="531"/>
      <c r="URU109" s="530"/>
      <c r="URV109" s="531"/>
      <c r="URW109" s="530"/>
      <c r="URX109" s="531"/>
      <c r="URY109" s="530"/>
      <c r="URZ109" s="531"/>
      <c r="USA109" s="530"/>
      <c r="USB109" s="531"/>
      <c r="USC109" s="530"/>
      <c r="USD109" s="531"/>
      <c r="USE109" s="530"/>
      <c r="USF109" s="531"/>
      <c r="USG109" s="530"/>
      <c r="USH109" s="531"/>
      <c r="USI109" s="530"/>
      <c r="USJ109" s="531"/>
      <c r="USK109" s="530"/>
      <c r="USL109" s="531"/>
      <c r="USM109" s="530"/>
      <c r="USN109" s="531"/>
      <c r="USO109" s="530"/>
      <c r="USP109" s="531"/>
      <c r="USQ109" s="530"/>
      <c r="USR109" s="531"/>
      <c r="USS109" s="530"/>
      <c r="UST109" s="531"/>
      <c r="USU109" s="530"/>
      <c r="USV109" s="531"/>
      <c r="USW109" s="530"/>
      <c r="USX109" s="531"/>
      <c r="USY109" s="530"/>
      <c r="USZ109" s="531"/>
      <c r="UTA109" s="530"/>
      <c r="UTB109" s="531"/>
      <c r="UTC109" s="530"/>
      <c r="UTD109" s="531"/>
      <c r="UTE109" s="530"/>
      <c r="UTF109" s="531"/>
      <c r="UTG109" s="530"/>
      <c r="UTH109" s="531"/>
      <c r="UTI109" s="530"/>
      <c r="UTJ109" s="531"/>
      <c r="UTK109" s="530"/>
      <c r="UTL109" s="531"/>
      <c r="UTM109" s="530"/>
      <c r="UTN109" s="531"/>
      <c r="UTO109" s="530"/>
      <c r="UTP109" s="531"/>
      <c r="UTQ109" s="530"/>
      <c r="UTR109" s="531"/>
      <c r="UTS109" s="530"/>
      <c r="UTT109" s="531"/>
      <c r="UTU109" s="530"/>
      <c r="UTV109" s="531"/>
      <c r="UTW109" s="530"/>
      <c r="UTX109" s="531"/>
      <c r="UTY109" s="530"/>
      <c r="UTZ109" s="531"/>
      <c r="UUA109" s="530"/>
      <c r="UUB109" s="531"/>
      <c r="UUC109" s="530"/>
      <c r="UUD109" s="531"/>
      <c r="UUE109" s="530"/>
      <c r="UUF109" s="531"/>
      <c r="UUG109" s="530"/>
      <c r="UUH109" s="531"/>
      <c r="UUI109" s="530"/>
      <c r="UUJ109" s="531"/>
      <c r="UUK109" s="530"/>
      <c r="UUL109" s="531"/>
      <c r="UUM109" s="530"/>
      <c r="UUN109" s="531"/>
      <c r="UUO109" s="530"/>
      <c r="UUP109" s="531"/>
      <c r="UUQ109" s="530"/>
      <c r="UUR109" s="531"/>
      <c r="UUS109" s="530"/>
      <c r="UUT109" s="531"/>
      <c r="UUU109" s="530"/>
      <c r="UUV109" s="531"/>
      <c r="UUW109" s="530"/>
      <c r="UUX109" s="531"/>
      <c r="UUY109" s="530"/>
      <c r="UUZ109" s="531"/>
      <c r="UVA109" s="530"/>
      <c r="UVB109" s="531"/>
      <c r="UVC109" s="530"/>
      <c r="UVD109" s="531"/>
      <c r="UVE109" s="530"/>
      <c r="UVF109" s="531"/>
      <c r="UVG109" s="530"/>
      <c r="UVH109" s="531"/>
      <c r="UVI109" s="530"/>
      <c r="UVJ109" s="531"/>
      <c r="UVK109" s="530"/>
      <c r="UVL109" s="531"/>
      <c r="UVM109" s="530"/>
      <c r="UVN109" s="531"/>
      <c r="UVO109" s="530"/>
      <c r="UVP109" s="531"/>
      <c r="UVQ109" s="530"/>
      <c r="UVR109" s="531"/>
      <c r="UVS109" s="530"/>
      <c r="UVT109" s="531"/>
      <c r="UVU109" s="530"/>
      <c r="UVV109" s="531"/>
      <c r="UVW109" s="530"/>
      <c r="UVX109" s="531"/>
      <c r="UVY109" s="530"/>
      <c r="UVZ109" s="531"/>
      <c r="UWA109" s="530"/>
      <c r="UWB109" s="531"/>
      <c r="UWC109" s="530"/>
      <c r="UWD109" s="531"/>
      <c r="UWE109" s="530"/>
      <c r="UWF109" s="531"/>
      <c r="UWG109" s="530"/>
      <c r="UWH109" s="531"/>
      <c r="UWI109" s="530"/>
      <c r="UWJ109" s="531"/>
      <c r="UWK109" s="530"/>
      <c r="UWL109" s="531"/>
      <c r="UWM109" s="530"/>
      <c r="UWN109" s="531"/>
      <c r="UWO109" s="530"/>
      <c r="UWP109" s="531"/>
      <c r="UWQ109" s="530"/>
      <c r="UWR109" s="531"/>
      <c r="UWS109" s="530"/>
      <c r="UWT109" s="531"/>
      <c r="UWU109" s="530"/>
      <c r="UWV109" s="531"/>
      <c r="UWW109" s="530"/>
      <c r="UWX109" s="531"/>
      <c r="UWY109" s="530"/>
      <c r="UWZ109" s="531"/>
      <c r="UXA109" s="530"/>
      <c r="UXB109" s="531"/>
      <c r="UXC109" s="530"/>
      <c r="UXD109" s="531"/>
      <c r="UXE109" s="530"/>
      <c r="UXF109" s="531"/>
      <c r="UXG109" s="530"/>
      <c r="UXH109" s="531"/>
      <c r="UXI109" s="530"/>
      <c r="UXJ109" s="531"/>
      <c r="UXK109" s="530"/>
      <c r="UXL109" s="531"/>
      <c r="UXM109" s="530"/>
      <c r="UXN109" s="531"/>
      <c r="UXO109" s="530"/>
      <c r="UXP109" s="531"/>
      <c r="UXQ109" s="530"/>
      <c r="UXR109" s="531"/>
      <c r="UXS109" s="530"/>
      <c r="UXT109" s="531"/>
      <c r="UXU109" s="530"/>
      <c r="UXV109" s="531"/>
      <c r="UXW109" s="530"/>
      <c r="UXX109" s="531"/>
      <c r="UXY109" s="530"/>
      <c r="UXZ109" s="531"/>
      <c r="UYA109" s="530"/>
      <c r="UYB109" s="531"/>
      <c r="UYC109" s="530"/>
      <c r="UYD109" s="531"/>
      <c r="UYE109" s="530"/>
      <c r="UYF109" s="531"/>
      <c r="UYG109" s="530"/>
      <c r="UYH109" s="531"/>
      <c r="UYI109" s="530"/>
      <c r="UYJ109" s="531"/>
      <c r="UYK109" s="530"/>
      <c r="UYL109" s="531"/>
      <c r="UYM109" s="530"/>
      <c r="UYN109" s="531"/>
      <c r="UYO109" s="530"/>
      <c r="UYP109" s="531"/>
      <c r="UYQ109" s="530"/>
      <c r="UYR109" s="531"/>
      <c r="UYS109" s="530"/>
      <c r="UYT109" s="531"/>
      <c r="UYU109" s="530"/>
      <c r="UYV109" s="531"/>
      <c r="UYW109" s="530"/>
      <c r="UYX109" s="531"/>
      <c r="UYY109" s="530"/>
      <c r="UYZ109" s="531"/>
      <c r="UZA109" s="530"/>
      <c r="UZB109" s="531"/>
      <c r="UZC109" s="530"/>
      <c r="UZD109" s="531"/>
      <c r="UZE109" s="530"/>
      <c r="UZF109" s="531"/>
      <c r="UZG109" s="530"/>
      <c r="UZH109" s="531"/>
      <c r="UZI109" s="530"/>
      <c r="UZJ109" s="531"/>
      <c r="UZK109" s="530"/>
      <c r="UZL109" s="531"/>
      <c r="UZM109" s="530"/>
      <c r="UZN109" s="531"/>
      <c r="UZO109" s="530"/>
      <c r="UZP109" s="531"/>
      <c r="UZQ109" s="530"/>
      <c r="UZR109" s="531"/>
      <c r="UZS109" s="530"/>
      <c r="UZT109" s="531"/>
      <c r="UZU109" s="530"/>
      <c r="UZV109" s="531"/>
      <c r="UZW109" s="530"/>
      <c r="UZX109" s="531"/>
      <c r="UZY109" s="530"/>
      <c r="UZZ109" s="531"/>
      <c r="VAA109" s="530"/>
      <c r="VAB109" s="531"/>
      <c r="VAC109" s="530"/>
      <c r="VAD109" s="531"/>
      <c r="VAE109" s="530"/>
      <c r="VAF109" s="531"/>
      <c r="VAG109" s="530"/>
      <c r="VAH109" s="531"/>
      <c r="VAI109" s="530"/>
      <c r="VAJ109" s="531"/>
      <c r="VAK109" s="530"/>
      <c r="VAL109" s="531"/>
      <c r="VAM109" s="530"/>
      <c r="VAN109" s="531"/>
      <c r="VAO109" s="530"/>
      <c r="VAP109" s="531"/>
      <c r="VAQ109" s="530"/>
      <c r="VAR109" s="531"/>
      <c r="VAS109" s="530"/>
      <c r="VAT109" s="531"/>
      <c r="VAU109" s="530"/>
      <c r="VAV109" s="531"/>
      <c r="VAW109" s="530"/>
      <c r="VAX109" s="531"/>
      <c r="VAY109" s="530"/>
      <c r="VAZ109" s="531"/>
      <c r="VBA109" s="530"/>
      <c r="VBB109" s="531"/>
      <c r="VBC109" s="530"/>
      <c r="VBD109" s="531"/>
      <c r="VBE109" s="530"/>
      <c r="VBF109" s="531"/>
      <c r="VBG109" s="530"/>
      <c r="VBH109" s="531"/>
      <c r="VBI109" s="530"/>
      <c r="VBJ109" s="531"/>
      <c r="VBK109" s="530"/>
      <c r="VBL109" s="531"/>
      <c r="VBM109" s="530"/>
      <c r="VBN109" s="531"/>
      <c r="VBO109" s="530"/>
      <c r="VBP109" s="531"/>
      <c r="VBQ109" s="530"/>
      <c r="VBR109" s="531"/>
      <c r="VBS109" s="530"/>
      <c r="VBT109" s="531"/>
      <c r="VBU109" s="530"/>
      <c r="VBV109" s="531"/>
      <c r="VBW109" s="530"/>
      <c r="VBX109" s="531"/>
      <c r="VBY109" s="530"/>
      <c r="VBZ109" s="531"/>
      <c r="VCA109" s="530"/>
      <c r="VCB109" s="531"/>
      <c r="VCC109" s="530"/>
      <c r="VCD109" s="531"/>
      <c r="VCE109" s="530"/>
      <c r="VCF109" s="531"/>
      <c r="VCG109" s="530"/>
      <c r="VCH109" s="531"/>
      <c r="VCI109" s="530"/>
      <c r="VCJ109" s="531"/>
      <c r="VCK109" s="530"/>
      <c r="VCL109" s="531"/>
      <c r="VCM109" s="530"/>
      <c r="VCN109" s="531"/>
      <c r="VCO109" s="530"/>
      <c r="VCP109" s="531"/>
      <c r="VCQ109" s="530"/>
      <c r="VCR109" s="531"/>
      <c r="VCS109" s="530"/>
      <c r="VCT109" s="531"/>
      <c r="VCU109" s="530"/>
      <c r="VCV109" s="531"/>
      <c r="VCW109" s="530"/>
      <c r="VCX109" s="531"/>
      <c r="VCY109" s="530"/>
      <c r="VCZ109" s="531"/>
      <c r="VDA109" s="530"/>
      <c r="VDB109" s="531"/>
      <c r="VDC109" s="530"/>
      <c r="VDD109" s="531"/>
      <c r="VDE109" s="530"/>
      <c r="VDF109" s="531"/>
      <c r="VDG109" s="530"/>
      <c r="VDH109" s="531"/>
      <c r="VDI109" s="530"/>
      <c r="VDJ109" s="531"/>
      <c r="VDK109" s="530"/>
      <c r="VDL109" s="531"/>
      <c r="VDM109" s="530"/>
      <c r="VDN109" s="531"/>
      <c r="VDO109" s="530"/>
      <c r="VDP109" s="531"/>
      <c r="VDQ109" s="530"/>
      <c r="VDR109" s="531"/>
      <c r="VDS109" s="530"/>
      <c r="VDT109" s="531"/>
      <c r="VDU109" s="530"/>
      <c r="VDV109" s="531"/>
      <c r="VDW109" s="530"/>
      <c r="VDX109" s="531"/>
      <c r="VDY109" s="530"/>
      <c r="VDZ109" s="531"/>
      <c r="VEA109" s="530"/>
      <c r="VEB109" s="531"/>
      <c r="VEC109" s="530"/>
      <c r="VED109" s="531"/>
      <c r="VEE109" s="530"/>
      <c r="VEF109" s="531"/>
      <c r="VEG109" s="530"/>
      <c r="VEH109" s="531"/>
      <c r="VEI109" s="530"/>
      <c r="VEJ109" s="531"/>
      <c r="VEK109" s="530"/>
      <c r="VEL109" s="531"/>
      <c r="VEM109" s="530"/>
      <c r="VEN109" s="531"/>
      <c r="VEO109" s="530"/>
      <c r="VEP109" s="531"/>
      <c r="VEQ109" s="530"/>
      <c r="VER109" s="531"/>
      <c r="VES109" s="530"/>
      <c r="VET109" s="531"/>
      <c r="VEU109" s="530"/>
      <c r="VEV109" s="531"/>
      <c r="VEW109" s="530"/>
      <c r="VEX109" s="531"/>
      <c r="VEY109" s="530"/>
      <c r="VEZ109" s="531"/>
      <c r="VFA109" s="530"/>
      <c r="VFB109" s="531"/>
      <c r="VFC109" s="530"/>
      <c r="VFD109" s="531"/>
      <c r="VFE109" s="530"/>
      <c r="VFF109" s="531"/>
      <c r="VFG109" s="530"/>
      <c r="VFH109" s="531"/>
      <c r="VFI109" s="530"/>
      <c r="VFJ109" s="531"/>
      <c r="VFK109" s="530"/>
      <c r="VFL109" s="531"/>
      <c r="VFM109" s="530"/>
      <c r="VFN109" s="531"/>
      <c r="VFO109" s="530"/>
      <c r="VFP109" s="531"/>
      <c r="VFQ109" s="530"/>
      <c r="VFR109" s="531"/>
      <c r="VFS109" s="530"/>
      <c r="VFT109" s="531"/>
      <c r="VFU109" s="530"/>
      <c r="VFV109" s="531"/>
      <c r="VFW109" s="530"/>
      <c r="VFX109" s="531"/>
      <c r="VFY109" s="530"/>
      <c r="VFZ109" s="531"/>
      <c r="VGA109" s="530"/>
      <c r="VGB109" s="531"/>
      <c r="VGC109" s="530"/>
      <c r="VGD109" s="531"/>
      <c r="VGE109" s="530"/>
      <c r="VGF109" s="531"/>
      <c r="VGG109" s="530"/>
      <c r="VGH109" s="531"/>
      <c r="VGI109" s="530"/>
      <c r="VGJ109" s="531"/>
      <c r="VGK109" s="530"/>
      <c r="VGL109" s="531"/>
      <c r="VGM109" s="530"/>
      <c r="VGN109" s="531"/>
      <c r="VGO109" s="530"/>
      <c r="VGP109" s="531"/>
      <c r="VGQ109" s="530"/>
      <c r="VGR109" s="531"/>
      <c r="VGS109" s="530"/>
      <c r="VGT109" s="531"/>
      <c r="VGU109" s="530"/>
      <c r="VGV109" s="531"/>
      <c r="VGW109" s="530"/>
      <c r="VGX109" s="531"/>
      <c r="VGY109" s="530"/>
      <c r="VGZ109" s="531"/>
      <c r="VHA109" s="530"/>
      <c r="VHB109" s="531"/>
      <c r="VHC109" s="530"/>
      <c r="VHD109" s="531"/>
      <c r="VHE109" s="530"/>
      <c r="VHF109" s="531"/>
      <c r="VHG109" s="530"/>
      <c r="VHH109" s="531"/>
      <c r="VHI109" s="530"/>
      <c r="VHJ109" s="531"/>
      <c r="VHK109" s="530"/>
      <c r="VHL109" s="531"/>
      <c r="VHM109" s="530"/>
      <c r="VHN109" s="531"/>
      <c r="VHO109" s="530"/>
      <c r="VHP109" s="531"/>
      <c r="VHQ109" s="530"/>
      <c r="VHR109" s="531"/>
      <c r="VHS109" s="530"/>
      <c r="VHT109" s="531"/>
      <c r="VHU109" s="530"/>
      <c r="VHV109" s="531"/>
      <c r="VHW109" s="530"/>
      <c r="VHX109" s="531"/>
      <c r="VHY109" s="530"/>
      <c r="VHZ109" s="531"/>
      <c r="VIA109" s="530"/>
      <c r="VIB109" s="531"/>
      <c r="VIC109" s="530"/>
      <c r="VID109" s="531"/>
      <c r="VIE109" s="530"/>
      <c r="VIF109" s="531"/>
      <c r="VIG109" s="530"/>
      <c r="VIH109" s="531"/>
      <c r="VII109" s="530"/>
      <c r="VIJ109" s="531"/>
      <c r="VIK109" s="530"/>
      <c r="VIL109" s="531"/>
      <c r="VIM109" s="530"/>
      <c r="VIN109" s="531"/>
      <c r="VIO109" s="530"/>
      <c r="VIP109" s="531"/>
      <c r="VIQ109" s="530"/>
      <c r="VIR109" s="531"/>
      <c r="VIS109" s="530"/>
      <c r="VIT109" s="531"/>
      <c r="VIU109" s="530"/>
      <c r="VIV109" s="531"/>
      <c r="VIW109" s="530"/>
      <c r="VIX109" s="531"/>
      <c r="VIY109" s="530"/>
      <c r="VIZ109" s="531"/>
      <c r="VJA109" s="530"/>
      <c r="VJB109" s="531"/>
      <c r="VJC109" s="530"/>
      <c r="VJD109" s="531"/>
      <c r="VJE109" s="530"/>
      <c r="VJF109" s="531"/>
      <c r="VJG109" s="530"/>
      <c r="VJH109" s="531"/>
      <c r="VJI109" s="530"/>
      <c r="VJJ109" s="531"/>
      <c r="VJK109" s="530"/>
      <c r="VJL109" s="531"/>
      <c r="VJM109" s="530"/>
      <c r="VJN109" s="531"/>
      <c r="VJO109" s="530"/>
      <c r="VJP109" s="531"/>
      <c r="VJQ109" s="530"/>
      <c r="VJR109" s="531"/>
      <c r="VJS109" s="530"/>
      <c r="VJT109" s="531"/>
      <c r="VJU109" s="530"/>
      <c r="VJV109" s="531"/>
      <c r="VJW109" s="530"/>
      <c r="VJX109" s="531"/>
      <c r="VJY109" s="530"/>
      <c r="VJZ109" s="531"/>
      <c r="VKA109" s="530"/>
      <c r="VKB109" s="531"/>
      <c r="VKC109" s="530"/>
      <c r="VKD109" s="531"/>
      <c r="VKE109" s="530"/>
      <c r="VKF109" s="531"/>
      <c r="VKG109" s="530"/>
      <c r="VKH109" s="531"/>
      <c r="VKI109" s="530"/>
      <c r="VKJ109" s="531"/>
      <c r="VKK109" s="530"/>
      <c r="VKL109" s="531"/>
      <c r="VKM109" s="530"/>
      <c r="VKN109" s="531"/>
      <c r="VKO109" s="530"/>
      <c r="VKP109" s="531"/>
      <c r="VKQ109" s="530"/>
      <c r="VKR109" s="531"/>
      <c r="VKS109" s="530"/>
      <c r="VKT109" s="531"/>
      <c r="VKU109" s="530"/>
      <c r="VKV109" s="531"/>
      <c r="VKW109" s="530"/>
      <c r="VKX109" s="531"/>
      <c r="VKY109" s="530"/>
      <c r="VKZ109" s="531"/>
      <c r="VLA109" s="530"/>
      <c r="VLB109" s="531"/>
      <c r="VLC109" s="530"/>
      <c r="VLD109" s="531"/>
      <c r="VLE109" s="530"/>
      <c r="VLF109" s="531"/>
      <c r="VLG109" s="530"/>
      <c r="VLH109" s="531"/>
      <c r="VLI109" s="530"/>
      <c r="VLJ109" s="531"/>
      <c r="VLK109" s="530"/>
      <c r="VLL109" s="531"/>
      <c r="VLM109" s="530"/>
      <c r="VLN109" s="531"/>
      <c r="VLO109" s="530"/>
      <c r="VLP109" s="531"/>
      <c r="VLQ109" s="530"/>
      <c r="VLR109" s="531"/>
      <c r="VLS109" s="530"/>
      <c r="VLT109" s="531"/>
      <c r="VLU109" s="530"/>
      <c r="VLV109" s="531"/>
      <c r="VLW109" s="530"/>
      <c r="VLX109" s="531"/>
      <c r="VLY109" s="530"/>
      <c r="VLZ109" s="531"/>
      <c r="VMA109" s="530"/>
      <c r="VMB109" s="531"/>
      <c r="VMC109" s="530"/>
      <c r="VMD109" s="531"/>
      <c r="VME109" s="530"/>
      <c r="VMF109" s="531"/>
      <c r="VMG109" s="530"/>
      <c r="VMH109" s="531"/>
      <c r="VMI109" s="530"/>
      <c r="VMJ109" s="531"/>
      <c r="VMK109" s="530"/>
      <c r="VML109" s="531"/>
      <c r="VMM109" s="530"/>
      <c r="VMN109" s="531"/>
      <c r="VMO109" s="530"/>
      <c r="VMP109" s="531"/>
      <c r="VMQ109" s="530"/>
      <c r="VMR109" s="531"/>
      <c r="VMS109" s="530"/>
      <c r="VMT109" s="531"/>
      <c r="VMU109" s="530"/>
      <c r="VMV109" s="531"/>
      <c r="VMW109" s="530"/>
      <c r="VMX109" s="531"/>
      <c r="VMY109" s="530"/>
      <c r="VMZ109" s="531"/>
      <c r="VNA109" s="530"/>
      <c r="VNB109" s="531"/>
      <c r="VNC109" s="530"/>
      <c r="VND109" s="531"/>
      <c r="VNE109" s="530"/>
      <c r="VNF109" s="531"/>
      <c r="VNG109" s="530"/>
      <c r="VNH109" s="531"/>
      <c r="VNI109" s="530"/>
      <c r="VNJ109" s="531"/>
      <c r="VNK109" s="530"/>
      <c r="VNL109" s="531"/>
      <c r="VNM109" s="530"/>
      <c r="VNN109" s="531"/>
      <c r="VNO109" s="530"/>
      <c r="VNP109" s="531"/>
      <c r="VNQ109" s="530"/>
      <c r="VNR109" s="531"/>
      <c r="VNS109" s="530"/>
      <c r="VNT109" s="531"/>
      <c r="VNU109" s="530"/>
      <c r="VNV109" s="531"/>
      <c r="VNW109" s="530"/>
      <c r="VNX109" s="531"/>
      <c r="VNY109" s="530"/>
      <c r="VNZ109" s="531"/>
      <c r="VOA109" s="530"/>
      <c r="VOB109" s="531"/>
      <c r="VOC109" s="530"/>
      <c r="VOD109" s="531"/>
      <c r="VOE109" s="530"/>
      <c r="VOF109" s="531"/>
      <c r="VOG109" s="530"/>
      <c r="VOH109" s="531"/>
      <c r="VOI109" s="530"/>
      <c r="VOJ109" s="531"/>
      <c r="VOK109" s="530"/>
      <c r="VOL109" s="531"/>
      <c r="VOM109" s="530"/>
      <c r="VON109" s="531"/>
      <c r="VOO109" s="530"/>
      <c r="VOP109" s="531"/>
      <c r="VOQ109" s="530"/>
      <c r="VOR109" s="531"/>
      <c r="VOS109" s="530"/>
      <c r="VOT109" s="531"/>
      <c r="VOU109" s="530"/>
      <c r="VOV109" s="531"/>
      <c r="VOW109" s="530"/>
      <c r="VOX109" s="531"/>
      <c r="VOY109" s="530"/>
      <c r="VOZ109" s="531"/>
      <c r="VPA109" s="530"/>
      <c r="VPB109" s="531"/>
      <c r="VPC109" s="530"/>
      <c r="VPD109" s="531"/>
      <c r="VPE109" s="530"/>
      <c r="VPF109" s="531"/>
      <c r="VPG109" s="530"/>
      <c r="VPH109" s="531"/>
      <c r="VPI109" s="530"/>
      <c r="VPJ109" s="531"/>
      <c r="VPK109" s="530"/>
      <c r="VPL109" s="531"/>
      <c r="VPM109" s="530"/>
      <c r="VPN109" s="531"/>
      <c r="VPO109" s="530"/>
      <c r="VPP109" s="531"/>
      <c r="VPQ109" s="530"/>
      <c r="VPR109" s="531"/>
      <c r="VPS109" s="530"/>
      <c r="VPT109" s="531"/>
      <c r="VPU109" s="530"/>
      <c r="VPV109" s="531"/>
      <c r="VPW109" s="530"/>
      <c r="VPX109" s="531"/>
      <c r="VPY109" s="530"/>
      <c r="VPZ109" s="531"/>
      <c r="VQA109" s="530"/>
      <c r="VQB109" s="531"/>
      <c r="VQC109" s="530"/>
      <c r="VQD109" s="531"/>
      <c r="VQE109" s="530"/>
      <c r="VQF109" s="531"/>
      <c r="VQG109" s="530"/>
      <c r="VQH109" s="531"/>
      <c r="VQI109" s="530"/>
      <c r="VQJ109" s="531"/>
      <c r="VQK109" s="530"/>
      <c r="VQL109" s="531"/>
      <c r="VQM109" s="530"/>
      <c r="VQN109" s="531"/>
      <c r="VQO109" s="530"/>
      <c r="VQP109" s="531"/>
      <c r="VQQ109" s="530"/>
      <c r="VQR109" s="531"/>
      <c r="VQS109" s="530"/>
      <c r="VQT109" s="531"/>
      <c r="VQU109" s="530"/>
      <c r="VQV109" s="531"/>
      <c r="VQW109" s="530"/>
      <c r="VQX109" s="531"/>
      <c r="VQY109" s="530"/>
      <c r="VQZ109" s="531"/>
      <c r="VRA109" s="530"/>
      <c r="VRB109" s="531"/>
      <c r="VRC109" s="530"/>
      <c r="VRD109" s="531"/>
      <c r="VRE109" s="530"/>
      <c r="VRF109" s="531"/>
      <c r="VRG109" s="530"/>
      <c r="VRH109" s="531"/>
      <c r="VRI109" s="530"/>
      <c r="VRJ109" s="531"/>
      <c r="VRK109" s="530"/>
      <c r="VRL109" s="531"/>
      <c r="VRM109" s="530"/>
      <c r="VRN109" s="531"/>
      <c r="VRO109" s="530"/>
      <c r="VRP109" s="531"/>
      <c r="VRQ109" s="530"/>
      <c r="VRR109" s="531"/>
      <c r="VRS109" s="530"/>
      <c r="VRT109" s="531"/>
      <c r="VRU109" s="530"/>
      <c r="VRV109" s="531"/>
      <c r="VRW109" s="530"/>
      <c r="VRX109" s="531"/>
      <c r="VRY109" s="530"/>
      <c r="VRZ109" s="531"/>
      <c r="VSA109" s="530"/>
      <c r="VSB109" s="531"/>
      <c r="VSC109" s="530"/>
      <c r="VSD109" s="531"/>
      <c r="VSE109" s="530"/>
      <c r="VSF109" s="531"/>
      <c r="VSG109" s="530"/>
      <c r="VSH109" s="531"/>
      <c r="VSI109" s="530"/>
      <c r="VSJ109" s="531"/>
      <c r="VSK109" s="530"/>
      <c r="VSL109" s="531"/>
      <c r="VSM109" s="530"/>
      <c r="VSN109" s="531"/>
      <c r="VSO109" s="530"/>
      <c r="VSP109" s="531"/>
      <c r="VSQ109" s="530"/>
      <c r="VSR109" s="531"/>
      <c r="VSS109" s="530"/>
      <c r="VST109" s="531"/>
      <c r="VSU109" s="530"/>
      <c r="VSV109" s="531"/>
      <c r="VSW109" s="530"/>
      <c r="VSX109" s="531"/>
      <c r="VSY109" s="530"/>
      <c r="VSZ109" s="531"/>
      <c r="VTA109" s="530"/>
      <c r="VTB109" s="531"/>
      <c r="VTC109" s="530"/>
      <c r="VTD109" s="531"/>
      <c r="VTE109" s="530"/>
      <c r="VTF109" s="531"/>
      <c r="VTG109" s="530"/>
      <c r="VTH109" s="531"/>
      <c r="VTI109" s="530"/>
      <c r="VTJ109" s="531"/>
      <c r="VTK109" s="530"/>
      <c r="VTL109" s="531"/>
      <c r="VTM109" s="530"/>
      <c r="VTN109" s="531"/>
      <c r="VTO109" s="530"/>
      <c r="VTP109" s="531"/>
      <c r="VTQ109" s="530"/>
      <c r="VTR109" s="531"/>
      <c r="VTS109" s="530"/>
      <c r="VTT109" s="531"/>
      <c r="VTU109" s="530"/>
      <c r="VTV109" s="531"/>
      <c r="VTW109" s="530"/>
      <c r="VTX109" s="531"/>
      <c r="VTY109" s="530"/>
      <c r="VTZ109" s="531"/>
      <c r="VUA109" s="530"/>
      <c r="VUB109" s="531"/>
      <c r="VUC109" s="530"/>
      <c r="VUD109" s="531"/>
      <c r="VUE109" s="530"/>
      <c r="VUF109" s="531"/>
      <c r="VUG109" s="530"/>
      <c r="VUH109" s="531"/>
      <c r="VUI109" s="530"/>
      <c r="VUJ109" s="531"/>
      <c r="VUK109" s="530"/>
      <c r="VUL109" s="531"/>
      <c r="VUM109" s="530"/>
      <c r="VUN109" s="531"/>
      <c r="VUO109" s="530"/>
      <c r="VUP109" s="531"/>
      <c r="VUQ109" s="530"/>
      <c r="VUR109" s="531"/>
      <c r="VUS109" s="530"/>
      <c r="VUT109" s="531"/>
      <c r="VUU109" s="530"/>
      <c r="VUV109" s="531"/>
      <c r="VUW109" s="530"/>
      <c r="VUX109" s="531"/>
      <c r="VUY109" s="530"/>
      <c r="VUZ109" s="531"/>
      <c r="VVA109" s="530"/>
      <c r="VVB109" s="531"/>
      <c r="VVC109" s="530"/>
      <c r="VVD109" s="531"/>
      <c r="VVE109" s="530"/>
      <c r="VVF109" s="531"/>
      <c r="VVG109" s="530"/>
      <c r="VVH109" s="531"/>
      <c r="VVI109" s="530"/>
      <c r="VVJ109" s="531"/>
      <c r="VVK109" s="530"/>
      <c r="VVL109" s="531"/>
      <c r="VVM109" s="530"/>
      <c r="VVN109" s="531"/>
      <c r="VVO109" s="530"/>
      <c r="VVP109" s="531"/>
      <c r="VVQ109" s="530"/>
      <c r="VVR109" s="531"/>
      <c r="VVS109" s="530"/>
      <c r="VVT109" s="531"/>
      <c r="VVU109" s="530"/>
      <c r="VVV109" s="531"/>
      <c r="VVW109" s="530"/>
      <c r="VVX109" s="531"/>
      <c r="VVY109" s="530"/>
      <c r="VVZ109" s="531"/>
      <c r="VWA109" s="530"/>
      <c r="VWB109" s="531"/>
      <c r="VWC109" s="530"/>
      <c r="VWD109" s="531"/>
      <c r="VWE109" s="530"/>
      <c r="VWF109" s="531"/>
      <c r="VWG109" s="530"/>
      <c r="VWH109" s="531"/>
      <c r="VWI109" s="530"/>
      <c r="VWJ109" s="531"/>
      <c r="VWK109" s="530"/>
      <c r="VWL109" s="531"/>
      <c r="VWM109" s="530"/>
      <c r="VWN109" s="531"/>
      <c r="VWO109" s="530"/>
      <c r="VWP109" s="531"/>
      <c r="VWQ109" s="530"/>
      <c r="VWR109" s="531"/>
      <c r="VWS109" s="530"/>
      <c r="VWT109" s="531"/>
      <c r="VWU109" s="530"/>
      <c r="VWV109" s="531"/>
      <c r="VWW109" s="530"/>
      <c r="VWX109" s="531"/>
      <c r="VWY109" s="530"/>
      <c r="VWZ109" s="531"/>
      <c r="VXA109" s="530"/>
      <c r="VXB109" s="531"/>
      <c r="VXC109" s="530"/>
      <c r="VXD109" s="531"/>
      <c r="VXE109" s="530"/>
      <c r="VXF109" s="531"/>
      <c r="VXG109" s="530"/>
      <c r="VXH109" s="531"/>
      <c r="VXI109" s="530"/>
      <c r="VXJ109" s="531"/>
      <c r="VXK109" s="530"/>
      <c r="VXL109" s="531"/>
      <c r="VXM109" s="530"/>
      <c r="VXN109" s="531"/>
      <c r="VXO109" s="530"/>
      <c r="VXP109" s="531"/>
      <c r="VXQ109" s="530"/>
      <c r="VXR109" s="531"/>
      <c r="VXS109" s="530"/>
      <c r="VXT109" s="531"/>
      <c r="VXU109" s="530"/>
      <c r="VXV109" s="531"/>
      <c r="VXW109" s="530"/>
      <c r="VXX109" s="531"/>
      <c r="VXY109" s="530"/>
      <c r="VXZ109" s="531"/>
      <c r="VYA109" s="530"/>
      <c r="VYB109" s="531"/>
      <c r="VYC109" s="530"/>
      <c r="VYD109" s="531"/>
      <c r="VYE109" s="530"/>
      <c r="VYF109" s="531"/>
      <c r="VYG109" s="530"/>
      <c r="VYH109" s="531"/>
      <c r="VYI109" s="530"/>
      <c r="VYJ109" s="531"/>
      <c r="VYK109" s="530"/>
      <c r="VYL109" s="531"/>
      <c r="VYM109" s="530"/>
      <c r="VYN109" s="531"/>
      <c r="VYO109" s="530"/>
      <c r="VYP109" s="531"/>
      <c r="VYQ109" s="530"/>
      <c r="VYR109" s="531"/>
      <c r="VYS109" s="530"/>
      <c r="VYT109" s="531"/>
      <c r="VYU109" s="530"/>
      <c r="VYV109" s="531"/>
      <c r="VYW109" s="530"/>
      <c r="VYX109" s="531"/>
      <c r="VYY109" s="530"/>
      <c r="VYZ109" s="531"/>
      <c r="VZA109" s="530"/>
      <c r="VZB109" s="531"/>
      <c r="VZC109" s="530"/>
      <c r="VZD109" s="531"/>
      <c r="VZE109" s="530"/>
      <c r="VZF109" s="531"/>
      <c r="VZG109" s="530"/>
      <c r="VZH109" s="531"/>
      <c r="VZI109" s="530"/>
      <c r="VZJ109" s="531"/>
      <c r="VZK109" s="530"/>
      <c r="VZL109" s="531"/>
      <c r="VZM109" s="530"/>
      <c r="VZN109" s="531"/>
      <c r="VZO109" s="530"/>
      <c r="VZP109" s="531"/>
      <c r="VZQ109" s="530"/>
      <c r="VZR109" s="531"/>
      <c r="VZS109" s="530"/>
      <c r="VZT109" s="531"/>
      <c r="VZU109" s="530"/>
      <c r="VZV109" s="531"/>
      <c r="VZW109" s="530"/>
      <c r="VZX109" s="531"/>
      <c r="VZY109" s="530"/>
      <c r="VZZ109" s="531"/>
      <c r="WAA109" s="530"/>
      <c r="WAB109" s="531"/>
      <c r="WAC109" s="530"/>
      <c r="WAD109" s="531"/>
      <c r="WAE109" s="530"/>
      <c r="WAF109" s="531"/>
      <c r="WAG109" s="530"/>
      <c r="WAH109" s="531"/>
      <c r="WAI109" s="530"/>
      <c r="WAJ109" s="531"/>
      <c r="WAK109" s="530"/>
      <c r="WAL109" s="531"/>
      <c r="WAM109" s="530"/>
      <c r="WAN109" s="531"/>
      <c r="WAO109" s="530"/>
      <c r="WAP109" s="531"/>
      <c r="WAQ109" s="530"/>
      <c r="WAR109" s="531"/>
      <c r="WAS109" s="530"/>
      <c r="WAT109" s="531"/>
      <c r="WAU109" s="530"/>
      <c r="WAV109" s="531"/>
      <c r="WAW109" s="530"/>
      <c r="WAX109" s="531"/>
      <c r="WAY109" s="530"/>
      <c r="WAZ109" s="531"/>
      <c r="WBA109" s="530"/>
      <c r="WBB109" s="531"/>
      <c r="WBC109" s="530"/>
      <c r="WBD109" s="531"/>
      <c r="WBE109" s="530"/>
      <c r="WBF109" s="531"/>
      <c r="WBG109" s="530"/>
      <c r="WBH109" s="531"/>
      <c r="WBI109" s="530"/>
      <c r="WBJ109" s="531"/>
      <c r="WBK109" s="530"/>
      <c r="WBL109" s="531"/>
      <c r="WBM109" s="530"/>
      <c r="WBN109" s="531"/>
      <c r="WBO109" s="530"/>
      <c r="WBP109" s="531"/>
      <c r="WBQ109" s="530"/>
      <c r="WBR109" s="531"/>
      <c r="WBS109" s="530"/>
      <c r="WBT109" s="531"/>
      <c r="WBU109" s="530"/>
      <c r="WBV109" s="531"/>
      <c r="WBW109" s="530"/>
      <c r="WBX109" s="531"/>
      <c r="WBY109" s="530"/>
      <c r="WBZ109" s="531"/>
      <c r="WCA109" s="530"/>
      <c r="WCB109" s="531"/>
      <c r="WCC109" s="530"/>
      <c r="WCD109" s="531"/>
      <c r="WCE109" s="530"/>
      <c r="WCF109" s="531"/>
      <c r="WCG109" s="530"/>
      <c r="WCH109" s="531"/>
      <c r="WCI109" s="530"/>
      <c r="WCJ109" s="531"/>
      <c r="WCK109" s="530"/>
      <c r="WCL109" s="531"/>
      <c r="WCM109" s="530"/>
      <c r="WCN109" s="531"/>
      <c r="WCO109" s="530"/>
      <c r="WCP109" s="531"/>
      <c r="WCQ109" s="530"/>
      <c r="WCR109" s="531"/>
      <c r="WCS109" s="530"/>
      <c r="WCT109" s="531"/>
      <c r="WCU109" s="530"/>
      <c r="WCV109" s="531"/>
      <c r="WCW109" s="530"/>
      <c r="WCX109" s="531"/>
      <c r="WCY109" s="530"/>
      <c r="WCZ109" s="531"/>
      <c r="WDA109" s="530"/>
      <c r="WDB109" s="531"/>
      <c r="WDC109" s="530"/>
      <c r="WDD109" s="531"/>
      <c r="WDE109" s="530"/>
      <c r="WDF109" s="531"/>
      <c r="WDG109" s="530"/>
      <c r="WDH109" s="531"/>
      <c r="WDI109" s="530"/>
      <c r="WDJ109" s="531"/>
      <c r="WDK109" s="530"/>
      <c r="WDL109" s="531"/>
      <c r="WDM109" s="530"/>
      <c r="WDN109" s="531"/>
      <c r="WDO109" s="530"/>
      <c r="WDP109" s="531"/>
      <c r="WDQ109" s="530"/>
      <c r="WDR109" s="531"/>
      <c r="WDS109" s="530"/>
      <c r="WDT109" s="531"/>
      <c r="WDU109" s="530"/>
      <c r="WDV109" s="531"/>
      <c r="WDW109" s="530"/>
      <c r="WDX109" s="531"/>
      <c r="WDY109" s="530"/>
      <c r="WDZ109" s="531"/>
      <c r="WEA109" s="530"/>
      <c r="WEB109" s="531"/>
      <c r="WEC109" s="530"/>
      <c r="WED109" s="531"/>
      <c r="WEE109" s="530"/>
      <c r="WEF109" s="531"/>
      <c r="WEG109" s="530"/>
      <c r="WEH109" s="531"/>
      <c r="WEI109" s="530"/>
      <c r="WEJ109" s="531"/>
      <c r="WEK109" s="530"/>
      <c r="WEL109" s="531"/>
      <c r="WEM109" s="530"/>
      <c r="WEN109" s="531"/>
      <c r="WEO109" s="530"/>
      <c r="WEP109" s="531"/>
      <c r="WEQ109" s="530"/>
      <c r="WER109" s="531"/>
      <c r="WES109" s="530"/>
      <c r="WET109" s="531"/>
      <c r="WEU109" s="530"/>
      <c r="WEV109" s="531"/>
      <c r="WEW109" s="530"/>
      <c r="WEX109" s="531"/>
      <c r="WEY109" s="530"/>
      <c r="WEZ109" s="531"/>
      <c r="WFA109" s="530"/>
      <c r="WFB109" s="531"/>
      <c r="WFC109" s="530"/>
      <c r="WFD109" s="531"/>
      <c r="WFE109" s="530"/>
      <c r="WFF109" s="531"/>
      <c r="WFG109" s="530"/>
      <c r="WFH109" s="531"/>
      <c r="WFI109" s="530"/>
      <c r="WFJ109" s="531"/>
      <c r="WFK109" s="530"/>
      <c r="WFL109" s="531"/>
      <c r="WFM109" s="530"/>
      <c r="WFN109" s="531"/>
      <c r="WFO109" s="530"/>
      <c r="WFP109" s="531"/>
      <c r="WFQ109" s="530"/>
      <c r="WFR109" s="531"/>
      <c r="WFS109" s="530"/>
      <c r="WFT109" s="531"/>
      <c r="WFU109" s="530"/>
      <c r="WFV109" s="531"/>
      <c r="WFW109" s="530"/>
      <c r="WFX109" s="531"/>
      <c r="WFY109" s="530"/>
      <c r="WFZ109" s="531"/>
      <c r="WGA109" s="530"/>
      <c r="WGB109" s="531"/>
      <c r="WGC109" s="530"/>
      <c r="WGD109" s="531"/>
      <c r="WGE109" s="530"/>
      <c r="WGF109" s="531"/>
      <c r="WGG109" s="530"/>
      <c r="WGH109" s="531"/>
      <c r="WGI109" s="530"/>
      <c r="WGJ109" s="531"/>
      <c r="WGK109" s="530"/>
      <c r="WGL109" s="531"/>
      <c r="WGM109" s="530"/>
      <c r="WGN109" s="531"/>
      <c r="WGO109" s="530"/>
      <c r="WGP109" s="531"/>
      <c r="WGQ109" s="530"/>
      <c r="WGR109" s="531"/>
      <c r="WGS109" s="530"/>
      <c r="WGT109" s="531"/>
      <c r="WGU109" s="530"/>
      <c r="WGV109" s="531"/>
      <c r="WGW109" s="530"/>
      <c r="WGX109" s="531"/>
      <c r="WGY109" s="530"/>
      <c r="WGZ109" s="531"/>
      <c r="WHA109" s="530"/>
      <c r="WHB109" s="531"/>
      <c r="WHC109" s="530"/>
      <c r="WHD109" s="531"/>
      <c r="WHE109" s="530"/>
      <c r="WHF109" s="531"/>
      <c r="WHG109" s="530"/>
      <c r="WHH109" s="531"/>
      <c r="WHI109" s="530"/>
      <c r="WHJ109" s="531"/>
      <c r="WHK109" s="530"/>
      <c r="WHL109" s="531"/>
      <c r="WHM109" s="530"/>
      <c r="WHN109" s="531"/>
      <c r="WHO109" s="530"/>
      <c r="WHP109" s="531"/>
      <c r="WHQ109" s="530"/>
      <c r="WHR109" s="531"/>
      <c r="WHS109" s="530"/>
      <c r="WHT109" s="531"/>
      <c r="WHU109" s="530"/>
      <c r="WHV109" s="531"/>
      <c r="WHW109" s="530"/>
      <c r="WHX109" s="531"/>
      <c r="WHY109" s="530"/>
      <c r="WHZ109" s="531"/>
      <c r="WIA109" s="530"/>
      <c r="WIB109" s="531"/>
      <c r="WIC109" s="530"/>
      <c r="WID109" s="531"/>
      <c r="WIE109" s="530"/>
      <c r="WIF109" s="531"/>
      <c r="WIG109" s="530"/>
      <c r="WIH109" s="531"/>
      <c r="WII109" s="530"/>
      <c r="WIJ109" s="531"/>
      <c r="WIK109" s="530"/>
      <c r="WIL109" s="531"/>
      <c r="WIM109" s="530"/>
      <c r="WIN109" s="531"/>
      <c r="WIO109" s="530"/>
      <c r="WIP109" s="531"/>
      <c r="WIQ109" s="530"/>
      <c r="WIR109" s="531"/>
      <c r="WIS109" s="530"/>
      <c r="WIT109" s="531"/>
      <c r="WIU109" s="530"/>
      <c r="WIV109" s="531"/>
      <c r="WIW109" s="530"/>
      <c r="WIX109" s="531"/>
      <c r="WIY109" s="530"/>
      <c r="WIZ109" s="531"/>
      <c r="WJA109" s="530"/>
      <c r="WJB109" s="531"/>
      <c r="WJC109" s="530"/>
      <c r="WJD109" s="531"/>
      <c r="WJE109" s="530"/>
      <c r="WJF109" s="531"/>
      <c r="WJG109" s="530"/>
      <c r="WJH109" s="531"/>
      <c r="WJI109" s="530"/>
      <c r="WJJ109" s="531"/>
      <c r="WJK109" s="530"/>
      <c r="WJL109" s="531"/>
      <c r="WJM109" s="530"/>
      <c r="WJN109" s="531"/>
      <c r="WJO109" s="530"/>
      <c r="WJP109" s="531"/>
      <c r="WJQ109" s="530"/>
      <c r="WJR109" s="531"/>
      <c r="WJS109" s="530"/>
      <c r="WJT109" s="531"/>
      <c r="WJU109" s="530"/>
      <c r="WJV109" s="531"/>
      <c r="WJW109" s="530"/>
      <c r="WJX109" s="531"/>
      <c r="WJY109" s="530"/>
      <c r="WJZ109" s="531"/>
      <c r="WKA109" s="530"/>
      <c r="WKB109" s="531"/>
      <c r="WKC109" s="530"/>
      <c r="WKD109" s="531"/>
      <c r="WKE109" s="530"/>
      <c r="WKF109" s="531"/>
      <c r="WKG109" s="530"/>
      <c r="WKH109" s="531"/>
      <c r="WKI109" s="530"/>
      <c r="WKJ109" s="531"/>
      <c r="WKK109" s="530"/>
      <c r="WKL109" s="531"/>
      <c r="WKM109" s="530"/>
      <c r="WKN109" s="531"/>
      <c r="WKO109" s="530"/>
      <c r="WKP109" s="531"/>
      <c r="WKQ109" s="530"/>
      <c r="WKR109" s="531"/>
      <c r="WKS109" s="530"/>
      <c r="WKT109" s="531"/>
      <c r="WKU109" s="530"/>
      <c r="WKV109" s="531"/>
      <c r="WKW109" s="530"/>
      <c r="WKX109" s="531"/>
      <c r="WKY109" s="530"/>
      <c r="WKZ109" s="531"/>
      <c r="WLA109" s="530"/>
      <c r="WLB109" s="531"/>
      <c r="WLC109" s="530"/>
      <c r="WLD109" s="531"/>
      <c r="WLE109" s="530"/>
      <c r="WLF109" s="531"/>
      <c r="WLG109" s="530"/>
      <c r="WLH109" s="531"/>
      <c r="WLI109" s="530"/>
      <c r="WLJ109" s="531"/>
      <c r="WLK109" s="530"/>
      <c r="WLL109" s="531"/>
      <c r="WLM109" s="530"/>
      <c r="WLN109" s="531"/>
      <c r="WLO109" s="530"/>
      <c r="WLP109" s="531"/>
      <c r="WLQ109" s="530"/>
      <c r="WLR109" s="531"/>
      <c r="WLS109" s="530"/>
      <c r="WLT109" s="531"/>
      <c r="WLU109" s="530"/>
      <c r="WLV109" s="531"/>
      <c r="WLW109" s="530"/>
      <c r="WLX109" s="531"/>
      <c r="WLY109" s="530"/>
      <c r="WLZ109" s="531"/>
      <c r="WMA109" s="530"/>
      <c r="WMB109" s="531"/>
      <c r="WMC109" s="530"/>
      <c r="WMD109" s="531"/>
      <c r="WME109" s="530"/>
      <c r="WMF109" s="531"/>
      <c r="WMG109" s="530"/>
      <c r="WMH109" s="531"/>
      <c r="WMI109" s="530"/>
      <c r="WMJ109" s="531"/>
      <c r="WMK109" s="530"/>
      <c r="WML109" s="531"/>
      <c r="WMM109" s="530"/>
      <c r="WMN109" s="531"/>
      <c r="WMO109" s="530"/>
      <c r="WMP109" s="531"/>
      <c r="WMQ109" s="530"/>
      <c r="WMR109" s="531"/>
      <c r="WMS109" s="530"/>
      <c r="WMT109" s="531"/>
      <c r="WMU109" s="530"/>
      <c r="WMV109" s="531"/>
      <c r="WMW109" s="530"/>
      <c r="WMX109" s="531"/>
      <c r="WMY109" s="530"/>
      <c r="WMZ109" s="531"/>
      <c r="WNA109" s="530"/>
      <c r="WNB109" s="531"/>
      <c r="WNC109" s="530"/>
      <c r="WND109" s="531"/>
      <c r="WNE109" s="530"/>
      <c r="WNF109" s="531"/>
      <c r="WNG109" s="530"/>
      <c r="WNH109" s="531"/>
      <c r="WNI109" s="530"/>
      <c r="WNJ109" s="531"/>
      <c r="WNK109" s="530"/>
      <c r="WNL109" s="531"/>
      <c r="WNM109" s="530"/>
      <c r="WNN109" s="531"/>
      <c r="WNO109" s="530"/>
      <c r="WNP109" s="531"/>
      <c r="WNQ109" s="530"/>
      <c r="WNR109" s="531"/>
      <c r="WNS109" s="530"/>
      <c r="WNT109" s="531"/>
      <c r="WNU109" s="530"/>
      <c r="WNV109" s="531"/>
      <c r="WNW109" s="530"/>
      <c r="WNX109" s="531"/>
      <c r="WNY109" s="530"/>
      <c r="WNZ109" s="531"/>
      <c r="WOA109" s="530"/>
      <c r="WOB109" s="531"/>
      <c r="WOC109" s="530"/>
      <c r="WOD109" s="531"/>
      <c r="WOE109" s="530"/>
      <c r="WOF109" s="531"/>
      <c r="WOG109" s="530"/>
      <c r="WOH109" s="531"/>
      <c r="WOI109" s="530"/>
      <c r="WOJ109" s="531"/>
      <c r="WOK109" s="530"/>
      <c r="WOL109" s="531"/>
      <c r="WOM109" s="530"/>
      <c r="WON109" s="531"/>
      <c r="WOO109" s="530"/>
      <c r="WOP109" s="531"/>
      <c r="WOQ109" s="530"/>
      <c r="WOR109" s="531"/>
      <c r="WOS109" s="530"/>
      <c r="WOT109" s="531"/>
      <c r="WOU109" s="530"/>
      <c r="WOV109" s="531"/>
      <c r="WOW109" s="530"/>
      <c r="WOX109" s="531"/>
      <c r="WOY109" s="530"/>
      <c r="WOZ109" s="531"/>
      <c r="WPA109" s="530"/>
      <c r="WPB109" s="531"/>
      <c r="WPC109" s="530"/>
      <c r="WPD109" s="531"/>
      <c r="WPE109" s="530"/>
      <c r="WPF109" s="531"/>
      <c r="WPG109" s="530"/>
      <c r="WPH109" s="531"/>
      <c r="WPI109" s="530"/>
      <c r="WPJ109" s="531"/>
      <c r="WPK109" s="530"/>
      <c r="WPL109" s="531"/>
      <c r="WPM109" s="530"/>
      <c r="WPN109" s="531"/>
      <c r="WPO109" s="530"/>
      <c r="WPP109" s="531"/>
      <c r="WPQ109" s="530"/>
      <c r="WPR109" s="531"/>
      <c r="WPS109" s="530"/>
      <c r="WPT109" s="531"/>
      <c r="WPU109" s="530"/>
      <c r="WPV109" s="531"/>
      <c r="WPW109" s="530"/>
      <c r="WPX109" s="531"/>
      <c r="WPY109" s="530"/>
      <c r="WPZ109" s="531"/>
      <c r="WQA109" s="530"/>
      <c r="WQB109" s="531"/>
      <c r="WQC109" s="530"/>
      <c r="WQD109" s="531"/>
      <c r="WQE109" s="530"/>
      <c r="WQF109" s="531"/>
      <c r="WQG109" s="530"/>
      <c r="WQH109" s="531"/>
      <c r="WQI109" s="530"/>
      <c r="WQJ109" s="531"/>
      <c r="WQK109" s="530"/>
      <c r="WQL109" s="531"/>
      <c r="WQM109" s="530"/>
      <c r="WQN109" s="531"/>
      <c r="WQO109" s="530"/>
      <c r="WQP109" s="531"/>
      <c r="WQQ109" s="530"/>
      <c r="WQR109" s="531"/>
      <c r="WQS109" s="530"/>
      <c r="WQT109" s="531"/>
      <c r="WQU109" s="530"/>
      <c r="WQV109" s="531"/>
      <c r="WQW109" s="530"/>
      <c r="WQX109" s="531"/>
      <c r="WQY109" s="530"/>
      <c r="WQZ109" s="531"/>
      <c r="WRA109" s="530"/>
      <c r="WRB109" s="531"/>
      <c r="WRC109" s="530"/>
      <c r="WRD109" s="531"/>
      <c r="WRE109" s="530"/>
      <c r="WRF109" s="531"/>
      <c r="WRG109" s="530"/>
      <c r="WRH109" s="531"/>
      <c r="WRI109" s="530"/>
      <c r="WRJ109" s="531"/>
      <c r="WRK109" s="530"/>
      <c r="WRL109" s="531"/>
      <c r="WRM109" s="530"/>
      <c r="WRN109" s="531"/>
      <c r="WRO109" s="530"/>
      <c r="WRP109" s="531"/>
      <c r="WRQ109" s="530"/>
      <c r="WRR109" s="531"/>
      <c r="WRS109" s="530"/>
      <c r="WRT109" s="531"/>
      <c r="WRU109" s="530"/>
      <c r="WRV109" s="531"/>
      <c r="WRW109" s="530"/>
      <c r="WRX109" s="531"/>
      <c r="WRY109" s="530"/>
      <c r="WRZ109" s="531"/>
      <c r="WSA109" s="530"/>
      <c r="WSB109" s="531"/>
      <c r="WSC109" s="530"/>
      <c r="WSD109" s="531"/>
      <c r="WSE109" s="530"/>
      <c r="WSF109" s="531"/>
      <c r="WSG109" s="530"/>
      <c r="WSH109" s="531"/>
      <c r="WSI109" s="530"/>
      <c r="WSJ109" s="531"/>
      <c r="WSK109" s="530"/>
      <c r="WSL109" s="531"/>
      <c r="WSM109" s="530"/>
      <c r="WSN109" s="531"/>
      <c r="WSO109" s="530"/>
      <c r="WSP109" s="531"/>
      <c r="WSQ109" s="530"/>
      <c r="WSR109" s="531"/>
      <c r="WSS109" s="530"/>
      <c r="WST109" s="531"/>
      <c r="WSU109" s="530"/>
      <c r="WSV109" s="531"/>
      <c r="WSW109" s="530"/>
      <c r="WSX109" s="531"/>
      <c r="WSY109" s="530"/>
      <c r="WSZ109" s="531"/>
      <c r="WTA109" s="530"/>
      <c r="WTB109" s="531"/>
      <c r="WTC109" s="530"/>
      <c r="WTD109" s="531"/>
      <c r="WTE109" s="530"/>
      <c r="WTF109" s="531"/>
      <c r="WTG109" s="530"/>
      <c r="WTH109" s="531"/>
      <c r="WTI109" s="530"/>
      <c r="WTJ109" s="531"/>
      <c r="WTK109" s="530"/>
      <c r="WTL109" s="531"/>
      <c r="WTM109" s="530"/>
      <c r="WTN109" s="531"/>
      <c r="WTO109" s="530"/>
      <c r="WTP109" s="531"/>
      <c r="WTQ109" s="530"/>
      <c r="WTR109" s="531"/>
      <c r="WTS109" s="530"/>
      <c r="WTT109" s="531"/>
      <c r="WTU109" s="530"/>
      <c r="WTV109" s="531"/>
      <c r="WTW109" s="530"/>
      <c r="WTX109" s="531"/>
      <c r="WTY109" s="530"/>
      <c r="WTZ109" s="531"/>
      <c r="WUA109" s="530"/>
      <c r="WUB109" s="531"/>
      <c r="WUC109" s="530"/>
      <c r="WUD109" s="531"/>
      <c r="WUE109" s="530"/>
      <c r="WUF109" s="531"/>
      <c r="WUG109" s="530"/>
      <c r="WUH109" s="531"/>
      <c r="WUI109" s="530"/>
      <c r="WUJ109" s="531"/>
      <c r="WUK109" s="530"/>
      <c r="WUL109" s="531"/>
      <c r="WUM109" s="530"/>
      <c r="WUN109" s="531"/>
      <c r="WUO109" s="530"/>
      <c r="WUP109" s="531"/>
      <c r="WUQ109" s="530"/>
      <c r="WUR109" s="531"/>
      <c r="WUS109" s="530"/>
      <c r="WUT109" s="531"/>
      <c r="WUU109" s="530"/>
      <c r="WUV109" s="531"/>
      <c r="WUW109" s="530"/>
      <c r="WUX109" s="531"/>
      <c r="WUY109" s="530"/>
      <c r="WUZ109" s="531"/>
      <c r="WVA109" s="530"/>
      <c r="WVB109" s="531"/>
      <c r="WVC109" s="530"/>
      <c r="WVD109" s="531"/>
      <c r="WVE109" s="530"/>
      <c r="WVF109" s="531"/>
      <c r="WVG109" s="530"/>
      <c r="WVH109" s="531"/>
      <c r="WVI109" s="530"/>
      <c r="WVJ109" s="531"/>
      <c r="WVK109" s="530"/>
      <c r="WVL109" s="531"/>
      <c r="WVM109" s="530"/>
      <c r="WVN109" s="531"/>
      <c r="WVO109" s="530"/>
      <c r="WVP109" s="531"/>
      <c r="WVQ109" s="530"/>
      <c r="WVR109" s="531"/>
      <c r="WVS109" s="530"/>
      <c r="WVT109" s="531"/>
      <c r="WVU109" s="530"/>
      <c r="WVV109" s="531"/>
      <c r="WVW109" s="530"/>
      <c r="WVX109" s="531"/>
      <c r="WVY109" s="530"/>
      <c r="WVZ109" s="531"/>
      <c r="WWA109" s="530"/>
      <c r="WWB109" s="531"/>
      <c r="WWC109" s="530"/>
      <c r="WWD109" s="531"/>
      <c r="WWE109" s="530"/>
      <c r="WWF109" s="531"/>
      <c r="WWG109" s="530"/>
      <c r="WWH109" s="531"/>
      <c r="WWI109" s="530"/>
      <c r="WWJ109" s="531"/>
      <c r="WWK109" s="530"/>
      <c r="WWL109" s="531"/>
      <c r="WWM109" s="530"/>
      <c r="WWN109" s="531"/>
      <c r="WWO109" s="530"/>
      <c r="WWP109" s="531"/>
      <c r="WWQ109" s="530"/>
      <c r="WWR109" s="531"/>
      <c r="WWS109" s="530"/>
      <c r="WWT109" s="531"/>
      <c r="WWU109" s="530"/>
      <c r="WWV109" s="531"/>
      <c r="WWW109" s="530"/>
      <c r="WWX109" s="531"/>
      <c r="WWY109" s="530"/>
      <c r="WWZ109" s="531"/>
      <c r="WXA109" s="530"/>
      <c r="WXB109" s="531"/>
      <c r="WXC109" s="530"/>
      <c r="WXD109" s="531"/>
      <c r="WXE109" s="530"/>
      <c r="WXF109" s="531"/>
      <c r="WXG109" s="530"/>
      <c r="WXH109" s="531"/>
      <c r="WXI109" s="530"/>
      <c r="WXJ109" s="531"/>
      <c r="WXK109" s="530"/>
      <c r="WXL109" s="531"/>
      <c r="WXM109" s="530"/>
      <c r="WXN109" s="531"/>
      <c r="WXO109" s="530"/>
      <c r="WXP109" s="531"/>
      <c r="WXQ109" s="530"/>
      <c r="WXR109" s="531"/>
      <c r="WXS109" s="530"/>
      <c r="WXT109" s="531"/>
      <c r="WXU109" s="530"/>
      <c r="WXV109" s="531"/>
      <c r="WXW109" s="530"/>
      <c r="WXX109" s="531"/>
      <c r="WXY109" s="530"/>
      <c r="WXZ109" s="531"/>
      <c r="WYA109" s="530"/>
      <c r="WYB109" s="531"/>
      <c r="WYC109" s="530"/>
      <c r="WYD109" s="531"/>
      <c r="WYE109" s="530"/>
      <c r="WYF109" s="531"/>
      <c r="WYG109" s="530"/>
      <c r="WYH109" s="531"/>
      <c r="WYI109" s="530"/>
      <c r="WYJ109" s="531"/>
      <c r="WYK109" s="530"/>
      <c r="WYL109" s="531"/>
      <c r="WYM109" s="530"/>
      <c r="WYN109" s="531"/>
      <c r="WYO109" s="530"/>
      <c r="WYP109" s="531"/>
      <c r="WYQ109" s="530"/>
      <c r="WYR109" s="531"/>
      <c r="WYS109" s="530"/>
      <c r="WYT109" s="531"/>
      <c r="WYU109" s="530"/>
      <c r="WYV109" s="531"/>
      <c r="WYW109" s="530"/>
      <c r="WYX109" s="531"/>
      <c r="WYY109" s="530"/>
      <c r="WYZ109" s="531"/>
      <c r="WZA109" s="530"/>
      <c r="WZB109" s="531"/>
      <c r="WZC109" s="530"/>
      <c r="WZD109" s="531"/>
      <c r="WZE109" s="530"/>
      <c r="WZF109" s="531"/>
      <c r="WZG109" s="530"/>
      <c r="WZH109" s="531"/>
      <c r="WZI109" s="530"/>
      <c r="WZJ109" s="531"/>
      <c r="WZK109" s="530"/>
      <c r="WZL109" s="531"/>
      <c r="WZM109" s="530"/>
      <c r="WZN109" s="531"/>
      <c r="WZO109" s="530"/>
      <c r="WZP109" s="531"/>
      <c r="WZQ109" s="530"/>
      <c r="WZR109" s="531"/>
      <c r="WZS109" s="530"/>
      <c r="WZT109" s="531"/>
      <c r="WZU109" s="530"/>
      <c r="WZV109" s="531"/>
      <c r="WZW109" s="530"/>
      <c r="WZX109" s="531"/>
      <c r="WZY109" s="530"/>
      <c r="WZZ109" s="531"/>
      <c r="XAA109" s="530"/>
      <c r="XAB109" s="531"/>
      <c r="XAC109" s="530"/>
      <c r="XAD109" s="531"/>
      <c r="XAE109" s="530"/>
      <c r="XAF109" s="531"/>
      <c r="XAG109" s="530"/>
      <c r="XAH109" s="531"/>
      <c r="XAI109" s="530"/>
      <c r="XAJ109" s="531"/>
      <c r="XAK109" s="530"/>
      <c r="XAL109" s="531"/>
      <c r="XAM109" s="530"/>
      <c r="XAN109" s="531"/>
      <c r="XAO109" s="530"/>
      <c r="XAP109" s="531"/>
      <c r="XAQ109" s="530"/>
      <c r="XAR109" s="531"/>
      <c r="XAS109" s="530"/>
      <c r="XAT109" s="531"/>
      <c r="XAU109" s="530"/>
      <c r="XAV109" s="531"/>
      <c r="XAW109" s="530"/>
      <c r="XAX109" s="531"/>
      <c r="XAY109" s="530"/>
      <c r="XAZ109" s="531"/>
      <c r="XBA109" s="530"/>
      <c r="XBB109" s="531"/>
      <c r="XBC109" s="530"/>
      <c r="XBD109" s="531"/>
      <c r="XBE109" s="530"/>
      <c r="XBF109" s="531"/>
      <c r="XBG109" s="530"/>
      <c r="XBH109" s="531"/>
      <c r="XBI109" s="530"/>
      <c r="XBJ109" s="531"/>
      <c r="XBK109" s="530"/>
      <c r="XBL109" s="531"/>
      <c r="XBM109" s="530"/>
      <c r="XBN109" s="531"/>
      <c r="XBO109" s="530"/>
      <c r="XBP109" s="531"/>
      <c r="XBQ109" s="530"/>
      <c r="XBR109" s="531"/>
      <c r="XBS109" s="530"/>
      <c r="XBT109" s="531"/>
      <c r="XBU109" s="530"/>
      <c r="XBV109" s="531"/>
      <c r="XBW109" s="530"/>
      <c r="XBX109" s="531"/>
      <c r="XBY109" s="530"/>
      <c r="XBZ109" s="531"/>
      <c r="XCA109" s="530"/>
      <c r="XCB109" s="531"/>
      <c r="XCC109" s="530"/>
      <c r="XCD109" s="531"/>
      <c r="XCE109" s="530"/>
      <c r="XCF109" s="531"/>
      <c r="XCG109" s="530"/>
      <c r="XCH109" s="531"/>
      <c r="XCI109" s="530"/>
      <c r="XCJ109" s="531"/>
      <c r="XCK109" s="530"/>
      <c r="XCL109" s="531"/>
      <c r="XCM109" s="530"/>
      <c r="XCN109" s="531"/>
      <c r="XCO109" s="530"/>
      <c r="XCP109" s="531"/>
      <c r="XCQ109" s="530"/>
      <c r="XCR109" s="531"/>
      <c r="XCS109" s="530"/>
      <c r="XCT109" s="531"/>
      <c r="XCU109" s="530"/>
      <c r="XCV109" s="531"/>
      <c r="XCW109" s="530"/>
      <c r="XCX109" s="531"/>
      <c r="XCY109" s="530"/>
      <c r="XCZ109" s="531"/>
      <c r="XDA109" s="530"/>
      <c r="XDB109" s="531"/>
      <c r="XDC109" s="530"/>
      <c r="XDD109" s="531"/>
      <c r="XDE109" s="530"/>
      <c r="XDF109" s="531"/>
      <c r="XDG109" s="530"/>
      <c r="XDH109" s="531"/>
      <c r="XDI109" s="530"/>
      <c r="XDJ109" s="531"/>
      <c r="XDK109" s="530"/>
      <c r="XDL109" s="531"/>
      <c r="XDM109" s="530"/>
      <c r="XDN109" s="531"/>
      <c r="XDO109" s="530"/>
      <c r="XDP109" s="531"/>
      <c r="XDQ109" s="530"/>
      <c r="XDR109" s="531"/>
      <c r="XDS109" s="530"/>
      <c r="XDT109" s="531"/>
      <c r="XDU109" s="530"/>
      <c r="XDV109" s="531"/>
      <c r="XDW109" s="530"/>
      <c r="XDX109" s="531"/>
      <c r="XDY109" s="530"/>
      <c r="XDZ109" s="531"/>
      <c r="XEA109" s="530"/>
      <c r="XEB109" s="531"/>
      <c r="XEC109" s="530"/>
      <c r="XED109" s="531"/>
      <c r="XEE109" s="530"/>
      <c r="XEF109" s="531"/>
      <c r="XEG109" s="530"/>
      <c r="XEH109" s="531"/>
      <c r="XEI109" s="530"/>
      <c r="XEJ109" s="531"/>
      <c r="XEK109" s="530"/>
      <c r="XEL109" s="531"/>
      <c r="XEM109" s="530"/>
      <c r="XEN109" s="531"/>
      <c r="XEO109" s="530"/>
      <c r="XEP109" s="531"/>
      <c r="XEQ109" s="530"/>
      <c r="XER109" s="531"/>
      <c r="XES109" s="530"/>
      <c r="XET109" s="531"/>
      <c r="XEU109" s="530"/>
      <c r="XEV109" s="531"/>
      <c r="XEW109" s="530"/>
      <c r="XEX109" s="531"/>
      <c r="XEY109" s="530"/>
      <c r="XEZ109" s="531"/>
      <c r="XFA109" s="530"/>
      <c r="XFB109" s="531"/>
      <c r="XFC109" s="530"/>
      <c r="XFD109" s="531"/>
    </row>
    <row r="110" spans="1:16384" s="520" customFormat="1" ht="95.15" customHeight="1">
      <c r="A110" s="523"/>
      <c r="B110" s="523"/>
      <c r="C110" s="524"/>
      <c r="D110" s="523"/>
      <c r="E110" s="524"/>
      <c r="F110" s="523"/>
      <c r="G110" s="524"/>
      <c r="H110" s="524"/>
      <c r="I110" s="525"/>
      <c r="J110" s="525"/>
      <c r="K110" s="524"/>
      <c r="L110" s="524"/>
      <c r="M110" s="524"/>
      <c r="N110" s="524"/>
      <c r="O110" s="524"/>
      <c r="P110" s="524"/>
      <c r="Q110" s="524"/>
      <c r="R110" s="524"/>
      <c r="S110" s="524"/>
      <c r="T110" s="524"/>
      <c r="U110" s="524"/>
      <c r="V110" s="524"/>
      <c r="W110" s="524"/>
      <c r="X110" s="524"/>
      <c r="Y110" s="524"/>
      <c r="Z110" s="524"/>
      <c r="AA110" s="526"/>
      <c r="AB110" s="523"/>
    </row>
    <row r="111" spans="1:16384" s="520" customFormat="1" ht="95.15" customHeight="1">
      <c r="A111" s="523"/>
      <c r="B111" s="523"/>
      <c r="C111" s="524"/>
      <c r="D111" s="523"/>
      <c r="E111" s="524"/>
      <c r="F111" s="523"/>
      <c r="G111" s="524"/>
      <c r="H111" s="524"/>
      <c r="I111" s="525"/>
      <c r="J111" s="525"/>
      <c r="K111" s="524"/>
      <c r="L111" s="524"/>
      <c r="M111" s="524"/>
      <c r="N111" s="524"/>
      <c r="O111" s="524"/>
      <c r="P111" s="524"/>
      <c r="Q111" s="524"/>
      <c r="R111" s="524"/>
      <c r="S111" s="524"/>
      <c r="T111" s="524"/>
      <c r="U111" s="524"/>
      <c r="V111" s="524"/>
      <c r="W111" s="524"/>
      <c r="X111" s="524"/>
      <c r="Y111" s="524"/>
      <c r="Z111" s="524"/>
      <c r="AA111" s="526"/>
      <c r="AB111" s="523"/>
    </row>
    <row r="112" spans="1:16384" s="520" customFormat="1" ht="95.15" customHeight="1">
      <c r="A112" s="523"/>
      <c r="B112" s="523"/>
      <c r="C112" s="524"/>
      <c r="D112" s="523"/>
      <c r="E112" s="524"/>
      <c r="F112" s="523"/>
      <c r="G112" s="524"/>
      <c r="H112" s="524"/>
      <c r="I112" s="525"/>
      <c r="J112" s="525"/>
      <c r="K112" s="524"/>
      <c r="L112" s="524"/>
      <c r="M112" s="524"/>
      <c r="N112" s="524"/>
      <c r="O112" s="524"/>
      <c r="P112" s="524"/>
      <c r="Q112" s="524"/>
      <c r="R112" s="524"/>
      <c r="S112" s="524"/>
      <c r="T112" s="524"/>
      <c r="U112" s="524"/>
      <c r="V112" s="524"/>
      <c r="W112" s="524"/>
      <c r="X112" s="524"/>
      <c r="Y112" s="524"/>
      <c r="Z112" s="524"/>
      <c r="AA112" s="526"/>
      <c r="AB112" s="523"/>
    </row>
    <row r="113" spans="1:28" s="520" customFormat="1" ht="95.15" customHeight="1">
      <c r="A113" s="523"/>
      <c r="B113" s="523"/>
      <c r="C113" s="524"/>
      <c r="D113" s="523"/>
      <c r="E113" s="524"/>
      <c r="F113" s="523"/>
      <c r="G113" s="524"/>
      <c r="H113" s="524"/>
      <c r="I113" s="525"/>
      <c r="J113" s="525"/>
      <c r="K113" s="524"/>
      <c r="L113" s="524"/>
      <c r="M113" s="524"/>
      <c r="N113" s="524"/>
      <c r="O113" s="524"/>
      <c r="P113" s="524"/>
      <c r="Q113" s="524"/>
      <c r="R113" s="524"/>
      <c r="S113" s="524"/>
      <c r="T113" s="524"/>
      <c r="U113" s="524"/>
      <c r="V113" s="524"/>
      <c r="W113" s="524"/>
      <c r="X113" s="524"/>
      <c r="Y113" s="524"/>
      <c r="Z113" s="524"/>
      <c r="AA113" s="526"/>
      <c r="AB113" s="523"/>
    </row>
    <row r="114" spans="1:28" s="520" customFormat="1" ht="95.15" customHeight="1">
      <c r="A114" s="523"/>
      <c r="B114" s="523"/>
      <c r="C114" s="524"/>
      <c r="D114" s="523"/>
      <c r="E114" s="524"/>
      <c r="F114" s="523"/>
      <c r="G114" s="524"/>
      <c r="H114" s="524"/>
      <c r="I114" s="525"/>
      <c r="J114" s="525"/>
      <c r="K114" s="524"/>
      <c r="L114" s="524"/>
      <c r="M114" s="524"/>
      <c r="N114" s="524"/>
      <c r="O114" s="524"/>
      <c r="P114" s="524"/>
      <c r="Q114" s="524"/>
      <c r="R114" s="524"/>
      <c r="S114" s="524"/>
      <c r="T114" s="524"/>
      <c r="U114" s="524"/>
      <c r="V114" s="524"/>
      <c r="W114" s="524"/>
      <c r="X114" s="524"/>
      <c r="Y114" s="524"/>
      <c r="Z114" s="524"/>
      <c r="AA114" s="526"/>
      <c r="AB114" s="523"/>
    </row>
    <row r="115" spans="1:28" s="520" customFormat="1" ht="95.15" customHeight="1">
      <c r="A115" s="523"/>
      <c r="B115" s="523"/>
      <c r="C115" s="524"/>
      <c r="D115" s="523"/>
      <c r="E115" s="524"/>
      <c r="F115" s="523"/>
      <c r="G115" s="524"/>
      <c r="H115" s="524"/>
      <c r="I115" s="525"/>
      <c r="J115" s="525"/>
      <c r="K115" s="524"/>
      <c r="L115" s="524"/>
      <c r="M115" s="524"/>
      <c r="N115" s="524"/>
      <c r="O115" s="524"/>
      <c r="P115" s="524"/>
      <c r="Q115" s="524"/>
      <c r="R115" s="524"/>
      <c r="S115" s="524"/>
      <c r="T115" s="524"/>
      <c r="U115" s="524"/>
      <c r="V115" s="524"/>
      <c r="W115" s="524"/>
      <c r="X115" s="524"/>
      <c r="Y115" s="524"/>
      <c r="Z115" s="524"/>
      <c r="AA115" s="526"/>
      <c r="AB115" s="523"/>
    </row>
    <row r="116" spans="1:28" s="520" customFormat="1" ht="95.15" customHeight="1">
      <c r="A116" s="523"/>
      <c r="B116" s="523"/>
      <c r="C116" s="524"/>
      <c r="D116" s="523"/>
      <c r="E116" s="524"/>
      <c r="F116" s="523"/>
      <c r="G116" s="524"/>
      <c r="H116" s="524"/>
      <c r="I116" s="525"/>
      <c r="J116" s="525"/>
      <c r="K116" s="524"/>
      <c r="L116" s="524"/>
      <c r="M116" s="524"/>
      <c r="N116" s="524"/>
      <c r="O116" s="524"/>
      <c r="P116" s="524"/>
      <c r="Q116" s="524"/>
      <c r="R116" s="524"/>
      <c r="S116" s="524"/>
      <c r="T116" s="524"/>
      <c r="U116" s="524"/>
      <c r="V116" s="524"/>
      <c r="W116" s="524"/>
      <c r="X116" s="524"/>
      <c r="Y116" s="524"/>
      <c r="Z116" s="524"/>
      <c r="AA116" s="526"/>
      <c r="AB116" s="523"/>
    </row>
    <row r="117" spans="1:28" s="520" customFormat="1" ht="95.15" customHeight="1">
      <c r="A117" s="523"/>
      <c r="B117" s="523"/>
      <c r="C117" s="524"/>
      <c r="D117" s="523"/>
      <c r="E117" s="524"/>
      <c r="F117" s="523"/>
      <c r="G117" s="524"/>
      <c r="H117" s="524"/>
      <c r="I117" s="525"/>
      <c r="J117" s="525"/>
      <c r="K117" s="524"/>
      <c r="L117" s="524"/>
      <c r="M117" s="524"/>
      <c r="N117" s="524"/>
      <c r="O117" s="524"/>
      <c r="P117" s="524"/>
      <c r="Q117" s="524"/>
      <c r="R117" s="524"/>
      <c r="S117" s="524"/>
      <c r="T117" s="524"/>
      <c r="U117" s="524"/>
      <c r="V117" s="524"/>
      <c r="W117" s="524"/>
      <c r="X117" s="524"/>
      <c r="Y117" s="524"/>
      <c r="Z117" s="524"/>
      <c r="AA117" s="526"/>
      <c r="AB117" s="523"/>
    </row>
    <row r="118" spans="1:28" s="520" customFormat="1" ht="95.15" customHeight="1">
      <c r="A118" s="523"/>
      <c r="B118" s="523"/>
      <c r="C118" s="524"/>
      <c r="D118" s="523"/>
      <c r="E118" s="524"/>
      <c r="F118" s="523"/>
      <c r="G118" s="524"/>
      <c r="H118" s="524"/>
      <c r="I118" s="525"/>
      <c r="J118" s="525"/>
      <c r="K118" s="524"/>
      <c r="L118" s="524"/>
      <c r="M118" s="524"/>
      <c r="N118" s="524"/>
      <c r="O118" s="524"/>
      <c r="P118" s="524"/>
      <c r="Q118" s="524"/>
      <c r="R118" s="524"/>
      <c r="S118" s="524"/>
      <c r="T118" s="524"/>
      <c r="U118" s="524"/>
      <c r="V118" s="524"/>
      <c r="W118" s="524"/>
      <c r="X118" s="524"/>
      <c r="Y118" s="524"/>
      <c r="Z118" s="524"/>
      <c r="AA118" s="526"/>
      <c r="AB118" s="523"/>
    </row>
    <row r="119" spans="1:28" s="520" customFormat="1" ht="95.15" customHeight="1">
      <c r="A119" s="523"/>
      <c r="B119" s="523"/>
      <c r="C119" s="524"/>
      <c r="D119" s="523"/>
      <c r="E119" s="524"/>
      <c r="F119" s="523"/>
      <c r="G119" s="524"/>
      <c r="H119" s="524"/>
      <c r="I119" s="525"/>
      <c r="J119" s="525"/>
      <c r="K119" s="524"/>
      <c r="L119" s="524"/>
      <c r="M119" s="524"/>
      <c r="N119" s="524"/>
      <c r="O119" s="524"/>
      <c r="P119" s="524"/>
      <c r="Q119" s="524"/>
      <c r="R119" s="524"/>
      <c r="S119" s="524"/>
      <c r="T119" s="524"/>
      <c r="U119" s="524"/>
      <c r="V119" s="524"/>
      <c r="W119" s="524"/>
      <c r="X119" s="524"/>
      <c r="Y119" s="524"/>
      <c r="Z119" s="524"/>
      <c r="AA119" s="526"/>
      <c r="AB119" s="523"/>
    </row>
    <row r="120" spans="1:28" s="520" customFormat="1" ht="95.15" customHeight="1">
      <c r="A120" s="523"/>
      <c r="B120" s="523"/>
      <c r="C120" s="524"/>
      <c r="D120" s="523"/>
      <c r="E120" s="524"/>
      <c r="F120" s="523"/>
      <c r="G120" s="524"/>
      <c r="H120" s="524"/>
      <c r="I120" s="525"/>
      <c r="J120" s="525"/>
      <c r="K120" s="524"/>
      <c r="L120" s="524"/>
      <c r="M120" s="524"/>
      <c r="N120" s="524"/>
      <c r="O120" s="524"/>
      <c r="P120" s="524"/>
      <c r="Q120" s="524"/>
      <c r="R120" s="524"/>
      <c r="S120" s="524"/>
      <c r="T120" s="524"/>
      <c r="U120" s="524"/>
      <c r="V120" s="524"/>
      <c r="W120" s="524"/>
      <c r="X120" s="524"/>
      <c r="Y120" s="524"/>
      <c r="Z120" s="524"/>
      <c r="AA120" s="526"/>
      <c r="AB120" s="523"/>
    </row>
    <row r="121" spans="1:28" s="520" customFormat="1" ht="95.15" customHeight="1">
      <c r="A121" s="523"/>
      <c r="B121" s="523"/>
      <c r="C121" s="524"/>
      <c r="D121" s="523"/>
      <c r="E121" s="524"/>
      <c r="F121" s="523"/>
      <c r="G121" s="524"/>
      <c r="H121" s="524"/>
      <c r="I121" s="525"/>
      <c r="J121" s="525"/>
      <c r="K121" s="524"/>
      <c r="L121" s="524"/>
      <c r="M121" s="524"/>
      <c r="N121" s="524"/>
      <c r="O121" s="524"/>
      <c r="P121" s="524"/>
      <c r="Q121" s="524"/>
      <c r="R121" s="524"/>
      <c r="S121" s="524"/>
      <c r="T121" s="524"/>
      <c r="U121" s="524"/>
      <c r="V121" s="524"/>
      <c r="W121" s="524"/>
      <c r="X121" s="524"/>
      <c r="Y121" s="524"/>
      <c r="Z121" s="524"/>
      <c r="AA121" s="526"/>
      <c r="AB121" s="523"/>
    </row>
    <row r="122" spans="1:28" s="520" customFormat="1" ht="95.15" customHeight="1">
      <c r="A122" s="523"/>
      <c r="B122" s="523"/>
      <c r="C122" s="524"/>
      <c r="D122" s="523"/>
      <c r="E122" s="524"/>
      <c r="F122" s="523"/>
      <c r="G122" s="524"/>
      <c r="H122" s="524"/>
      <c r="I122" s="525"/>
      <c r="J122" s="525"/>
      <c r="K122" s="524"/>
      <c r="L122" s="524"/>
      <c r="M122" s="524"/>
      <c r="N122" s="524"/>
      <c r="O122" s="524"/>
      <c r="P122" s="524"/>
      <c r="Q122" s="524"/>
      <c r="R122" s="524"/>
      <c r="S122" s="524"/>
      <c r="T122" s="524"/>
      <c r="U122" s="524"/>
      <c r="V122" s="524"/>
      <c r="W122" s="524"/>
      <c r="X122" s="524"/>
      <c r="Y122" s="524"/>
      <c r="Z122" s="524"/>
      <c r="AA122" s="526"/>
      <c r="AB122" s="523"/>
    </row>
    <row r="123" spans="1:28" s="520" customFormat="1" ht="95.15" customHeight="1">
      <c r="A123" s="523"/>
      <c r="B123" s="523"/>
      <c r="C123" s="524"/>
      <c r="D123" s="523"/>
      <c r="E123" s="524"/>
      <c r="F123" s="523"/>
      <c r="G123" s="524"/>
      <c r="H123" s="524"/>
      <c r="I123" s="525"/>
      <c r="J123" s="525"/>
      <c r="K123" s="524"/>
      <c r="L123" s="524"/>
      <c r="M123" s="524"/>
      <c r="N123" s="524"/>
      <c r="O123" s="524"/>
      <c r="P123" s="524"/>
      <c r="Q123" s="524"/>
      <c r="R123" s="524"/>
      <c r="S123" s="524"/>
      <c r="T123" s="524"/>
      <c r="U123" s="524"/>
      <c r="V123" s="524"/>
      <c r="W123" s="524"/>
      <c r="X123" s="524"/>
      <c r="Y123" s="524"/>
      <c r="Z123" s="524"/>
      <c r="AA123" s="526"/>
      <c r="AB123" s="523"/>
    </row>
    <row r="124" spans="1:28" s="475" customFormat="1" ht="27" customHeight="1">
      <c r="A124" s="523"/>
      <c r="B124" s="523"/>
      <c r="C124" s="524"/>
      <c r="D124" s="523"/>
      <c r="E124" s="524"/>
      <c r="F124" s="523"/>
      <c r="G124" s="524"/>
      <c r="H124" s="524"/>
      <c r="I124" s="525"/>
      <c r="J124" s="525"/>
      <c r="K124" s="524"/>
      <c r="L124" s="524"/>
      <c r="M124" s="524"/>
      <c r="N124" s="524"/>
      <c r="O124" s="524"/>
      <c r="P124" s="524"/>
      <c r="Q124" s="524"/>
      <c r="R124" s="524"/>
      <c r="S124" s="524"/>
      <c r="T124" s="524"/>
      <c r="U124" s="524"/>
      <c r="V124" s="524"/>
      <c r="W124" s="524"/>
      <c r="X124" s="524"/>
      <c r="Y124" s="524"/>
      <c r="Z124" s="524"/>
      <c r="AA124" s="526"/>
      <c r="AB124" s="523"/>
    </row>
  </sheetData>
  <autoFilter ref="A18:XFD124" xr:uid="{00000000-0009-0000-0000-000005000000}"/>
  <mergeCells count="35">
    <mergeCell ref="A1:AB1"/>
    <mergeCell ref="A2:AB2"/>
    <mergeCell ref="A3:AB3"/>
    <mergeCell ref="C5:H5"/>
    <mergeCell ref="J5:M5"/>
    <mergeCell ref="N5:T5"/>
    <mergeCell ref="U5:AA5"/>
    <mergeCell ref="C7:H7"/>
    <mergeCell ref="J7:M7"/>
    <mergeCell ref="N7:T7"/>
    <mergeCell ref="U7:AA7"/>
    <mergeCell ref="C9:H9"/>
    <mergeCell ref="J9:M9"/>
    <mergeCell ref="N9:T9"/>
    <mergeCell ref="U9:AA9"/>
    <mergeCell ref="A11:M11"/>
    <mergeCell ref="A12:M12"/>
    <mergeCell ref="A13:M13"/>
    <mergeCell ref="A14:M14"/>
    <mergeCell ref="A15:M15"/>
    <mergeCell ref="Y17:Z17"/>
    <mergeCell ref="AA17:AA18"/>
    <mergeCell ref="AB17:AB18"/>
    <mergeCell ref="A45:Z45"/>
    <mergeCell ref="F17:F18"/>
    <mergeCell ref="G17:G18"/>
    <mergeCell ref="H17:S17"/>
    <mergeCell ref="T17:T18"/>
    <mergeCell ref="U17:V17"/>
    <mergeCell ref="W17:X17"/>
    <mergeCell ref="A17:A18"/>
    <mergeCell ref="B17:B18"/>
    <mergeCell ref="C17:C18"/>
    <mergeCell ref="D17:D18"/>
    <mergeCell ref="E17:E18"/>
  </mergeCells>
  <conditionalFormatting sqref="B19:B34">
    <cfRule type="duplicateValues" dxfId="4" priority="57"/>
  </conditionalFormatting>
  <conditionalFormatting sqref="B35:B44">
    <cfRule type="duplicateValues" dxfId="3" priority="58"/>
  </conditionalFormatting>
  <conditionalFormatting sqref="H19:L30 N19:S44 H31:H32 J31:L32 H33:L44">
    <cfRule type="expression" dxfId="2" priority="3">
      <formula>$F19&gt;=$E19</formula>
    </cfRule>
  </conditionalFormatting>
  <conditionalFormatting sqref="I32">
    <cfRule type="expression" dxfId="1" priority="56">
      <formula>$F31&gt;=$E31</formula>
    </cfRule>
  </conditionalFormatting>
  <conditionalFormatting sqref="N71">
    <cfRule type="expression" dxfId="0" priority="4">
      <formula>$F19&gt;=$E19</formula>
    </cfRule>
  </conditionalFormatting>
  <pageMargins left="0.70866141732283505" right="0.70866141732283505" top="0.74803149606299202" bottom="0.74803149606299202" header="0.31496062992126" footer="0.31496062992126"/>
  <pageSetup scale="3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1"/>
  <sheetViews>
    <sheetView topLeftCell="C7" zoomScale="50" zoomScaleNormal="50" workbookViewId="0">
      <selection activeCell="A21" sqref="A21:N21"/>
    </sheetView>
  </sheetViews>
  <sheetFormatPr defaultColWidth="9.1796875" defaultRowHeight="14.5"/>
  <cols>
    <col min="1" max="1" width="5.1796875" style="67" customWidth="1"/>
    <col min="2" max="2" width="22.1796875" style="67" customWidth="1"/>
    <col min="3" max="3" width="24.1796875" style="68" bestFit="1" customWidth="1"/>
    <col min="4" max="4" width="22.54296875" style="67" customWidth="1"/>
    <col min="5" max="5" width="44.54296875" style="67" bestFit="1" customWidth="1"/>
    <col min="6" max="6" width="16.81640625" style="69" customWidth="1"/>
    <col min="7" max="7" width="27.1796875" style="70" customWidth="1"/>
    <col min="8" max="8" width="27.81640625" style="70" customWidth="1"/>
    <col min="9" max="9" width="23.1796875" style="67" customWidth="1"/>
    <col min="10" max="10" width="34.1796875" style="67" bestFit="1" customWidth="1"/>
    <col min="11" max="11" width="17.1796875" style="67" bestFit="1" customWidth="1"/>
    <col min="12" max="12" width="22.1796875" style="67" customWidth="1"/>
    <col min="13" max="13" width="13" style="67" customWidth="1"/>
    <col min="14" max="14" width="15.81640625" style="67" customWidth="1"/>
    <col min="15" max="15" width="13" style="67" customWidth="1"/>
    <col min="16" max="16" width="24.1796875" style="67" bestFit="1" customWidth="1"/>
    <col min="17" max="16384" width="9.1796875" style="67"/>
  </cols>
  <sheetData>
    <row r="1" spans="1:17" s="62" customFormat="1" ht="114" customHeight="1">
      <c r="A1" s="715" t="s">
        <v>64</v>
      </c>
      <c r="B1" s="715"/>
      <c r="C1" s="715"/>
      <c r="D1" s="715"/>
      <c r="E1" s="715"/>
      <c r="F1" s="715"/>
      <c r="G1" s="715"/>
      <c r="H1" s="715"/>
      <c r="I1" s="715"/>
      <c r="J1" s="715"/>
      <c r="K1" s="715"/>
      <c r="L1" s="715"/>
      <c r="M1" s="715"/>
      <c r="N1" s="715"/>
      <c r="O1" s="715"/>
      <c r="P1" s="715"/>
      <c r="Q1" s="97"/>
    </row>
    <row r="2" spans="1:17" s="62" customFormat="1" ht="36.75" customHeight="1">
      <c r="A2" s="715" t="s">
        <v>286</v>
      </c>
      <c r="B2" s="715"/>
      <c r="C2" s="715"/>
      <c r="D2" s="715"/>
      <c r="E2" s="715"/>
      <c r="F2" s="715"/>
      <c r="G2" s="715"/>
      <c r="H2" s="715"/>
      <c r="I2" s="715"/>
      <c r="J2" s="715"/>
      <c r="K2" s="715"/>
      <c r="L2" s="715"/>
      <c r="M2" s="715"/>
      <c r="N2" s="715"/>
      <c r="O2" s="715"/>
      <c r="P2" s="715"/>
      <c r="Q2" s="98"/>
    </row>
    <row r="3" spans="1:17" s="62" customFormat="1" ht="36.75" customHeight="1">
      <c r="A3" s="717" t="s">
        <v>287</v>
      </c>
      <c r="B3" s="717"/>
      <c r="C3" s="717"/>
      <c r="D3" s="717"/>
      <c r="E3" s="717"/>
      <c r="F3" s="717"/>
      <c r="G3" s="717"/>
      <c r="H3" s="717"/>
      <c r="I3" s="717"/>
      <c r="J3" s="717"/>
      <c r="K3" s="717"/>
      <c r="L3" s="717"/>
      <c r="M3" s="717"/>
      <c r="N3" s="717"/>
      <c r="O3" s="717"/>
      <c r="P3" s="717"/>
      <c r="Q3" s="97"/>
    </row>
    <row r="4" spans="1:17" s="63" customFormat="1" ht="17.25" customHeight="1">
      <c r="A4" s="72"/>
      <c r="B4" s="73"/>
      <c r="C4" s="73"/>
      <c r="D4" s="73"/>
      <c r="E4" s="73"/>
      <c r="F4" s="86"/>
      <c r="G4" s="73"/>
      <c r="H4" s="73"/>
      <c r="I4" s="73"/>
      <c r="J4" s="73"/>
      <c r="K4" s="73"/>
      <c r="L4" s="73"/>
      <c r="M4" s="73"/>
      <c r="N4" s="73"/>
      <c r="O4" s="73"/>
      <c r="P4" s="73"/>
    </row>
    <row r="5" spans="1:17" s="63" customFormat="1" ht="33" customHeight="1">
      <c r="A5" s="74"/>
      <c r="B5" s="75" t="s">
        <v>66</v>
      </c>
      <c r="C5" s="800" t="s">
        <v>100</v>
      </c>
      <c r="D5" s="800"/>
      <c r="E5" s="800"/>
      <c r="F5" s="86"/>
      <c r="G5" s="73"/>
      <c r="H5" s="73"/>
      <c r="I5" s="809" t="s">
        <v>70</v>
      </c>
      <c r="J5" s="810"/>
      <c r="K5" s="811">
        <v>46082</v>
      </c>
      <c r="L5" s="812"/>
      <c r="M5" s="812"/>
      <c r="N5" s="813"/>
      <c r="O5" s="73"/>
      <c r="P5" s="73"/>
    </row>
    <row r="6" spans="1:17" s="63" customFormat="1" ht="9" customHeight="1">
      <c r="A6" s="74"/>
      <c r="B6" s="75"/>
      <c r="C6" s="76"/>
      <c r="D6" s="77"/>
      <c r="E6" s="77"/>
      <c r="F6" s="86"/>
      <c r="G6" s="73"/>
      <c r="H6" s="73"/>
      <c r="I6" s="75"/>
      <c r="J6" s="75"/>
      <c r="K6" s="74"/>
      <c r="L6" s="74"/>
      <c r="M6" s="74"/>
      <c r="N6" s="73"/>
      <c r="O6" s="73"/>
      <c r="P6" s="73"/>
    </row>
    <row r="7" spans="1:17" s="63" customFormat="1" ht="39.75" customHeight="1">
      <c r="A7" s="74"/>
      <c r="B7" s="75" t="s">
        <v>203</v>
      </c>
      <c r="C7" s="800" t="s">
        <v>104</v>
      </c>
      <c r="D7" s="800"/>
      <c r="E7" s="800"/>
      <c r="F7" s="87"/>
      <c r="G7" s="87"/>
      <c r="H7" s="87"/>
      <c r="I7" s="801" t="s">
        <v>288</v>
      </c>
      <c r="J7" s="802"/>
      <c r="K7" s="803">
        <f>BEMSdar!E11</f>
        <v>1329813.1567499998</v>
      </c>
      <c r="L7" s="804"/>
      <c r="M7" s="804"/>
      <c r="N7" s="805"/>
      <c r="O7" s="73"/>
      <c r="P7" s="73"/>
    </row>
    <row r="8" spans="1:17" s="63" customFormat="1" ht="9" customHeight="1">
      <c r="A8" s="74"/>
      <c r="B8" s="75"/>
      <c r="C8" s="76"/>
      <c r="D8" s="77"/>
      <c r="E8" s="77"/>
      <c r="F8" s="88"/>
      <c r="G8" s="89"/>
      <c r="H8" s="89"/>
      <c r="I8" s="75"/>
      <c r="J8" s="75"/>
      <c r="K8" s="74"/>
      <c r="L8" s="74"/>
      <c r="M8" s="74"/>
      <c r="N8" s="73"/>
      <c r="O8" s="73"/>
      <c r="P8" s="73"/>
    </row>
    <row r="9" spans="1:17" s="63" customFormat="1" ht="40.5" customHeight="1">
      <c r="A9" s="74"/>
      <c r="B9" s="75" t="s">
        <v>204</v>
      </c>
      <c r="C9" s="800" t="s">
        <v>107</v>
      </c>
      <c r="D9" s="800"/>
      <c r="E9" s="800"/>
      <c r="F9" s="87"/>
      <c r="G9" s="87"/>
      <c r="H9" s="87"/>
      <c r="I9" s="801" t="s">
        <v>76</v>
      </c>
      <c r="J9" s="802"/>
      <c r="K9" s="806">
        <f>BEMSdar!E13</f>
        <v>34097.773249999998</v>
      </c>
      <c r="L9" s="807"/>
      <c r="M9" s="807"/>
      <c r="N9" s="808"/>
      <c r="O9" s="73"/>
      <c r="P9" s="73"/>
    </row>
    <row r="10" spans="1:17" s="64" customFormat="1" ht="12.75" customHeight="1">
      <c r="A10" s="78"/>
      <c r="B10" s="78"/>
      <c r="C10" s="79"/>
      <c r="D10" s="80"/>
      <c r="E10" s="90"/>
      <c r="F10" s="86"/>
      <c r="G10" s="73"/>
      <c r="H10" s="73"/>
      <c r="I10" s="92"/>
      <c r="J10" s="78"/>
      <c r="K10" s="93"/>
      <c r="L10" s="94"/>
      <c r="M10" s="78"/>
      <c r="N10" s="73"/>
      <c r="O10" s="73"/>
      <c r="P10" s="73"/>
    </row>
    <row r="11" spans="1:17" s="63" customFormat="1" ht="15.5">
      <c r="A11" s="74" t="s">
        <v>111</v>
      </c>
      <c r="B11" s="74"/>
      <c r="C11" s="81"/>
      <c r="D11" s="74"/>
      <c r="E11" s="74"/>
      <c r="F11" s="86"/>
      <c r="G11" s="73"/>
      <c r="H11" s="73"/>
      <c r="I11" s="74"/>
      <c r="J11" s="74"/>
      <c r="K11" s="74"/>
      <c r="L11" s="74"/>
      <c r="M11" s="74"/>
      <c r="N11" s="73"/>
      <c r="O11" s="73"/>
      <c r="P11" s="73"/>
    </row>
    <row r="12" spans="1:17" s="63" customFormat="1" ht="15.5">
      <c r="A12" s="74" t="s">
        <v>112</v>
      </c>
      <c r="B12" s="74"/>
      <c r="C12" s="81"/>
      <c r="D12" s="74"/>
      <c r="E12" s="74"/>
      <c r="F12" s="88"/>
      <c r="G12" s="89"/>
      <c r="H12" s="89"/>
      <c r="I12" s="74"/>
      <c r="J12" s="74"/>
      <c r="K12" s="74"/>
      <c r="L12" s="74"/>
      <c r="M12" s="74"/>
      <c r="N12" s="73"/>
      <c r="O12" s="73"/>
      <c r="P12" s="73"/>
    </row>
    <row r="13" spans="1:17" s="63" customFormat="1" ht="15.5">
      <c r="A13" s="74" t="s">
        <v>289</v>
      </c>
      <c r="B13" s="74"/>
      <c r="C13" s="81"/>
      <c r="D13" s="74"/>
      <c r="E13" s="74"/>
      <c r="F13" s="88"/>
      <c r="G13" s="89"/>
      <c r="H13" s="89"/>
      <c r="I13" s="74"/>
      <c r="J13" s="74"/>
      <c r="K13" s="74"/>
      <c r="L13" s="74"/>
      <c r="M13" s="74"/>
      <c r="N13" s="73"/>
      <c r="O13" s="73"/>
      <c r="P13" s="73"/>
    </row>
    <row r="14" spans="1:17" s="63" customFormat="1" ht="15.5">
      <c r="A14" s="74" t="s">
        <v>290</v>
      </c>
      <c r="B14" s="74"/>
      <c r="C14" s="81"/>
      <c r="D14" s="74"/>
      <c r="E14" s="74"/>
      <c r="F14" s="88"/>
      <c r="G14" s="89"/>
      <c r="H14" s="89"/>
      <c r="I14" s="74"/>
      <c r="J14" s="74"/>
      <c r="K14" s="74"/>
      <c r="L14" s="74"/>
      <c r="M14" s="74"/>
      <c r="N14" s="74"/>
      <c r="O14" s="74"/>
      <c r="P14" s="74"/>
    </row>
    <row r="15" spans="1:17" s="63" customFormat="1" ht="15.5">
      <c r="A15" s="74" t="s">
        <v>291</v>
      </c>
      <c r="B15" s="74"/>
      <c r="C15" s="81"/>
      <c r="D15" s="74"/>
      <c r="E15" s="74"/>
      <c r="F15" s="88"/>
      <c r="G15" s="89"/>
      <c r="H15" s="89"/>
      <c r="I15" s="74"/>
      <c r="J15" s="74"/>
      <c r="K15" s="74"/>
      <c r="L15" s="74"/>
      <c r="M15" s="74"/>
      <c r="N15" s="74"/>
      <c r="O15" s="74"/>
      <c r="P15" s="74"/>
    </row>
    <row r="16" spans="1:17" s="63" customFormat="1" ht="15.5">
      <c r="A16" s="74" t="s">
        <v>292</v>
      </c>
      <c r="B16" s="74"/>
      <c r="C16" s="81"/>
      <c r="D16" s="74"/>
      <c r="E16" s="74"/>
      <c r="F16" s="88"/>
      <c r="G16" s="89"/>
      <c r="H16" s="89"/>
      <c r="I16" s="74"/>
      <c r="J16" s="74"/>
      <c r="K16" s="74"/>
      <c r="L16" s="74"/>
      <c r="M16" s="74"/>
      <c r="N16" s="74"/>
      <c r="O16" s="74"/>
      <c r="P16" s="74"/>
    </row>
    <row r="17" spans="1:16" s="63" customFormat="1" ht="10.5" customHeight="1">
      <c r="A17" s="74"/>
      <c r="B17" s="74"/>
      <c r="C17" s="81"/>
      <c r="D17" s="74"/>
      <c r="E17" s="74"/>
      <c r="F17" s="88"/>
      <c r="G17" s="89"/>
      <c r="H17" s="89"/>
      <c r="I17" s="74"/>
      <c r="J17" s="74"/>
      <c r="K17" s="74"/>
      <c r="L17" s="74"/>
      <c r="M17" s="74"/>
      <c r="N17" s="74"/>
      <c r="O17" s="74"/>
      <c r="P17" s="74"/>
    </row>
    <row r="18" spans="1:16" s="65" customFormat="1" ht="62">
      <c r="A18" s="82" t="s">
        <v>77</v>
      </c>
      <c r="B18" s="83" t="s">
        <v>293</v>
      </c>
      <c r="C18" s="84" t="s">
        <v>294</v>
      </c>
      <c r="D18" s="85" t="s">
        <v>295</v>
      </c>
      <c r="E18" s="85" t="s">
        <v>296</v>
      </c>
      <c r="F18" s="83" t="s">
        <v>121</v>
      </c>
      <c r="G18" s="91" t="s">
        <v>297</v>
      </c>
      <c r="H18" s="91" t="s">
        <v>298</v>
      </c>
      <c r="I18" s="83" t="s">
        <v>299</v>
      </c>
      <c r="J18" s="83" t="s">
        <v>118</v>
      </c>
      <c r="K18" s="91" t="s">
        <v>300</v>
      </c>
      <c r="L18" s="83" t="s">
        <v>119</v>
      </c>
      <c r="M18" s="95" t="s">
        <v>265</v>
      </c>
      <c r="N18" s="83" t="s">
        <v>301</v>
      </c>
      <c r="O18" s="83" t="s">
        <v>132</v>
      </c>
      <c r="P18" s="83" t="s">
        <v>269</v>
      </c>
    </row>
    <row r="19" spans="1:16" s="65" customFormat="1" ht="27" customHeight="1">
      <c r="A19" s="794" t="s">
        <v>302</v>
      </c>
      <c r="B19" s="795"/>
      <c r="C19" s="795"/>
      <c r="D19" s="795"/>
      <c r="E19" s="795"/>
      <c r="F19" s="795"/>
      <c r="G19" s="795"/>
      <c r="H19" s="795"/>
      <c r="I19" s="795"/>
      <c r="J19" s="795"/>
      <c r="K19" s="795"/>
      <c r="L19" s="795"/>
      <c r="M19" s="795"/>
      <c r="N19" s="795"/>
      <c r="O19" s="795"/>
      <c r="P19" s="796"/>
    </row>
    <row r="20" spans="1:16" s="66" customFormat="1" ht="88" customHeight="1">
      <c r="A20" s="96">
        <v>1</v>
      </c>
      <c r="B20" s="465" t="s">
        <v>500</v>
      </c>
      <c r="C20" s="552">
        <v>46087.416666666664</v>
      </c>
      <c r="D20" s="467" t="s">
        <v>575</v>
      </c>
      <c r="E20" s="467" t="s">
        <v>953</v>
      </c>
      <c r="F20" s="467" t="s">
        <v>632</v>
      </c>
      <c r="G20" s="552">
        <v>46083</v>
      </c>
      <c r="H20" s="553">
        <v>46083</v>
      </c>
      <c r="I20" s="352" t="s">
        <v>952</v>
      </c>
      <c r="J20" s="352" t="s">
        <v>954</v>
      </c>
      <c r="K20" s="552">
        <v>46447</v>
      </c>
      <c r="L20" s="468">
        <v>35000</v>
      </c>
      <c r="M20" s="352" t="s">
        <v>198</v>
      </c>
      <c r="N20" s="352" t="s">
        <v>139</v>
      </c>
      <c r="O20" s="352" t="s">
        <v>198</v>
      </c>
      <c r="P20" s="466" t="s">
        <v>955</v>
      </c>
    </row>
    <row r="21" spans="1:16" ht="54" customHeight="1">
      <c r="A21" s="797" t="s">
        <v>303</v>
      </c>
      <c r="B21" s="798"/>
      <c r="C21" s="798"/>
      <c r="D21" s="798"/>
      <c r="E21" s="798"/>
      <c r="F21" s="798"/>
      <c r="G21" s="798"/>
      <c r="H21" s="798"/>
      <c r="I21" s="798"/>
      <c r="J21" s="798"/>
      <c r="K21" s="798"/>
      <c r="L21" s="798"/>
      <c r="M21" s="798"/>
      <c r="N21" s="799"/>
      <c r="O21" s="96">
        <f>SUM(O20:O20)</f>
        <v>0</v>
      </c>
      <c r="P21" s="353" t="s">
        <v>198</v>
      </c>
    </row>
  </sheetData>
  <mergeCells count="14">
    <mergeCell ref="A1:P1"/>
    <mergeCell ref="A2:P2"/>
    <mergeCell ref="A3:P3"/>
    <mergeCell ref="C5:E5"/>
    <mergeCell ref="I5:J5"/>
    <mergeCell ref="K5:N5"/>
    <mergeCell ref="A19:P19"/>
    <mergeCell ref="A21:N21"/>
    <mergeCell ref="C7:E7"/>
    <mergeCell ref="I7:J7"/>
    <mergeCell ref="K7:N7"/>
    <mergeCell ref="C9:E9"/>
    <mergeCell ref="I9:J9"/>
    <mergeCell ref="K9:N9"/>
  </mergeCells>
  <phoneticPr fontId="116" type="noConversion"/>
  <pageMargins left="0.43307086614173201" right="0.2" top="0.31" bottom="0.17" header="0.31496062992126" footer="0.5"/>
  <pageSetup paperSize="9" scale="39"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3:G84"/>
  <sheetViews>
    <sheetView workbookViewId="0">
      <selection activeCell="D8" sqref="D8"/>
    </sheetView>
  </sheetViews>
  <sheetFormatPr defaultColWidth="22.1796875" defaultRowHeight="14.5"/>
  <cols>
    <col min="1" max="1" width="22" style="57" customWidth="1"/>
    <col min="2" max="2" width="5.1796875" customWidth="1"/>
    <col min="3" max="3" width="12.1796875" customWidth="1"/>
    <col min="4" max="4" width="20.54296875" customWidth="1"/>
    <col min="5" max="7" width="13.1796875" customWidth="1"/>
  </cols>
  <sheetData>
    <row r="3" spans="1:7">
      <c r="A3" s="817" t="s">
        <v>304</v>
      </c>
      <c r="B3" s="819" t="s">
        <v>305</v>
      </c>
      <c r="C3" s="819" t="s">
        <v>306</v>
      </c>
      <c r="D3" s="819" t="s">
        <v>307</v>
      </c>
      <c r="E3" s="60" t="s">
        <v>308</v>
      </c>
      <c r="F3" s="60" t="s">
        <v>308</v>
      </c>
      <c r="G3" s="60" t="s">
        <v>309</v>
      </c>
    </row>
    <row r="4" spans="1:7">
      <c r="A4" s="818"/>
      <c r="B4" s="820"/>
      <c r="C4" s="820"/>
      <c r="D4" s="820"/>
      <c r="E4" s="59" t="s">
        <v>310</v>
      </c>
      <c r="F4" s="59" t="s">
        <v>311</v>
      </c>
      <c r="G4" s="59" t="s">
        <v>312</v>
      </c>
    </row>
    <row r="5" spans="1:7">
      <c r="A5" s="814" t="s">
        <v>313</v>
      </c>
      <c r="B5" s="815"/>
      <c r="C5" s="815"/>
      <c r="D5" s="815"/>
      <c r="E5" s="815"/>
      <c r="F5" s="815"/>
      <c r="G5" s="816"/>
    </row>
    <row r="6" spans="1:7">
      <c r="A6" s="58" t="s">
        <v>314</v>
      </c>
      <c r="B6" s="59" t="s">
        <v>315</v>
      </c>
      <c r="C6" s="59">
        <v>12</v>
      </c>
      <c r="D6" s="59">
        <v>6</v>
      </c>
      <c r="E6" s="61">
        <v>0.96</v>
      </c>
      <c r="F6" s="61">
        <v>0.92</v>
      </c>
      <c r="G6" s="61">
        <v>0.85</v>
      </c>
    </row>
    <row r="7" spans="1:7" ht="20">
      <c r="A7" s="58" t="s">
        <v>316</v>
      </c>
      <c r="B7" s="59" t="s">
        <v>317</v>
      </c>
      <c r="C7" s="59">
        <v>24</v>
      </c>
      <c r="D7" s="59">
        <v>7</v>
      </c>
      <c r="E7" s="61">
        <v>0.99</v>
      </c>
      <c r="F7" s="61">
        <v>0.95</v>
      </c>
      <c r="G7" s="61">
        <v>0.88</v>
      </c>
    </row>
    <row r="8" spans="1:7">
      <c r="A8" s="58" t="s">
        <v>318</v>
      </c>
      <c r="B8" s="59" t="s">
        <v>317</v>
      </c>
      <c r="C8" s="59">
        <v>24</v>
      </c>
      <c r="D8" s="59">
        <v>7</v>
      </c>
      <c r="E8" s="61">
        <v>0.99</v>
      </c>
      <c r="F8" s="61">
        <v>0.95</v>
      </c>
      <c r="G8" s="61">
        <v>0.88</v>
      </c>
    </row>
    <row r="9" spans="1:7">
      <c r="A9" s="58" t="s">
        <v>219</v>
      </c>
      <c r="B9" s="59" t="s">
        <v>317</v>
      </c>
      <c r="C9" s="59">
        <v>24</v>
      </c>
      <c r="D9" s="59">
        <v>7</v>
      </c>
      <c r="E9" s="61">
        <v>0.99</v>
      </c>
      <c r="F9" s="61">
        <v>0.95</v>
      </c>
      <c r="G9" s="61">
        <v>0.88</v>
      </c>
    </row>
    <row r="10" spans="1:7">
      <c r="A10" s="58" t="s">
        <v>319</v>
      </c>
      <c r="B10" s="59" t="s">
        <v>317</v>
      </c>
      <c r="C10" s="59">
        <v>24</v>
      </c>
      <c r="D10" s="59">
        <v>7</v>
      </c>
      <c r="E10" s="61">
        <v>0.99</v>
      </c>
      <c r="F10" s="61">
        <v>0.95</v>
      </c>
      <c r="G10" s="61">
        <v>0.88</v>
      </c>
    </row>
    <row r="11" spans="1:7">
      <c r="A11" s="58" t="s">
        <v>320</v>
      </c>
      <c r="B11" s="59" t="s">
        <v>315</v>
      </c>
      <c r="C11" s="59">
        <v>24</v>
      </c>
      <c r="D11" s="59">
        <v>7</v>
      </c>
      <c r="E11" s="61">
        <v>0.96</v>
      </c>
      <c r="F11" s="61">
        <v>0.92</v>
      </c>
      <c r="G11" s="61">
        <v>0.85</v>
      </c>
    </row>
    <row r="12" spans="1:7">
      <c r="A12" s="58" t="s">
        <v>321</v>
      </c>
      <c r="B12" s="59" t="s">
        <v>317</v>
      </c>
      <c r="C12" s="59">
        <v>24</v>
      </c>
      <c r="D12" s="59">
        <v>7</v>
      </c>
      <c r="E12" s="61">
        <v>0.99</v>
      </c>
      <c r="F12" s="61">
        <v>0.95</v>
      </c>
      <c r="G12" s="61">
        <v>0.88</v>
      </c>
    </row>
    <row r="13" spans="1:7">
      <c r="A13" s="58" t="s">
        <v>322</v>
      </c>
      <c r="B13" s="59" t="s">
        <v>317</v>
      </c>
      <c r="C13" s="59">
        <v>24</v>
      </c>
      <c r="D13" s="59">
        <v>7</v>
      </c>
      <c r="E13" s="61">
        <v>0.99</v>
      </c>
      <c r="F13" s="61">
        <v>0.95</v>
      </c>
      <c r="G13" s="61">
        <v>0.88</v>
      </c>
    </row>
    <row r="14" spans="1:7">
      <c r="A14" s="58" t="s">
        <v>323</v>
      </c>
      <c r="B14" s="59" t="s">
        <v>317</v>
      </c>
      <c r="C14" s="59">
        <v>24</v>
      </c>
      <c r="D14" s="59">
        <v>7</v>
      </c>
      <c r="E14" s="61">
        <v>0.99</v>
      </c>
      <c r="F14" s="61">
        <v>0.95</v>
      </c>
      <c r="G14" s="61">
        <v>0.88</v>
      </c>
    </row>
    <row r="15" spans="1:7">
      <c r="A15" s="58" t="s">
        <v>324</v>
      </c>
      <c r="B15" s="59" t="s">
        <v>317</v>
      </c>
      <c r="C15" s="59">
        <v>24</v>
      </c>
      <c r="D15" s="59">
        <v>7</v>
      </c>
      <c r="E15" s="61">
        <v>0.99</v>
      </c>
      <c r="F15" s="61">
        <v>0.95</v>
      </c>
      <c r="G15" s="61">
        <v>0.88</v>
      </c>
    </row>
    <row r="16" spans="1:7">
      <c r="A16" s="58" t="s">
        <v>325</v>
      </c>
      <c r="B16" s="59" t="s">
        <v>317</v>
      </c>
      <c r="C16" s="59">
        <v>24</v>
      </c>
      <c r="D16" s="59">
        <v>7</v>
      </c>
      <c r="E16" s="61">
        <v>0.99</v>
      </c>
      <c r="F16" s="61">
        <v>0.95</v>
      </c>
      <c r="G16" s="61">
        <v>0.88</v>
      </c>
    </row>
    <row r="17" spans="1:7">
      <c r="A17" s="58" t="s">
        <v>326</v>
      </c>
      <c r="B17" s="59" t="s">
        <v>317</v>
      </c>
      <c r="C17" s="59">
        <v>24</v>
      </c>
      <c r="D17" s="59">
        <v>7</v>
      </c>
      <c r="E17" s="61">
        <v>0.99</v>
      </c>
      <c r="F17" s="61">
        <v>0.95</v>
      </c>
      <c r="G17" s="61">
        <v>0.88</v>
      </c>
    </row>
    <row r="18" spans="1:7">
      <c r="A18" s="58" t="s">
        <v>327</v>
      </c>
      <c r="B18" s="59" t="s">
        <v>317</v>
      </c>
      <c r="C18" s="59">
        <v>24</v>
      </c>
      <c r="D18" s="59">
        <v>7</v>
      </c>
      <c r="E18" s="61">
        <v>0.99</v>
      </c>
      <c r="F18" s="61">
        <v>0.95</v>
      </c>
      <c r="G18" s="61">
        <v>0.88</v>
      </c>
    </row>
    <row r="19" spans="1:7">
      <c r="A19" s="58" t="s">
        <v>328</v>
      </c>
      <c r="B19" s="59" t="s">
        <v>317</v>
      </c>
      <c r="C19" s="59">
        <v>24</v>
      </c>
      <c r="D19" s="59">
        <v>7</v>
      </c>
      <c r="E19" s="61">
        <v>0.99</v>
      </c>
      <c r="F19" s="61">
        <v>0.95</v>
      </c>
      <c r="G19" s="61">
        <v>0.88</v>
      </c>
    </row>
    <row r="20" spans="1:7">
      <c r="A20" s="58" t="s">
        <v>329</v>
      </c>
      <c r="B20" s="59" t="s">
        <v>317</v>
      </c>
      <c r="C20" s="59">
        <v>12</v>
      </c>
      <c r="D20" s="59">
        <v>6</v>
      </c>
      <c r="E20" s="61">
        <v>0.99</v>
      </c>
      <c r="F20" s="61">
        <v>0.95</v>
      </c>
      <c r="G20" s="61">
        <v>0.88</v>
      </c>
    </row>
    <row r="21" spans="1:7">
      <c r="A21" s="58" t="s">
        <v>330</v>
      </c>
      <c r="B21" s="59" t="s">
        <v>317</v>
      </c>
      <c r="C21" s="59">
        <v>24</v>
      </c>
      <c r="D21" s="59">
        <v>7</v>
      </c>
      <c r="E21" s="61">
        <v>0.99</v>
      </c>
      <c r="F21" s="61">
        <v>0.95</v>
      </c>
      <c r="G21" s="61">
        <v>0.88</v>
      </c>
    </row>
    <row r="22" spans="1:7">
      <c r="A22" s="58" t="s">
        <v>331</v>
      </c>
      <c r="B22" s="59" t="s">
        <v>317</v>
      </c>
      <c r="C22" s="59">
        <v>24</v>
      </c>
      <c r="D22" s="59">
        <v>7</v>
      </c>
      <c r="E22" s="61">
        <v>0.99</v>
      </c>
      <c r="F22" s="61">
        <v>0.95</v>
      </c>
      <c r="G22" s="61">
        <v>0.88</v>
      </c>
    </row>
    <row r="23" spans="1:7">
      <c r="A23" s="58" t="s">
        <v>332</v>
      </c>
      <c r="B23" s="59" t="s">
        <v>317</v>
      </c>
      <c r="C23" s="59">
        <v>24</v>
      </c>
      <c r="D23" s="59">
        <v>7</v>
      </c>
      <c r="E23" s="61">
        <v>0.99</v>
      </c>
      <c r="F23" s="61">
        <v>0.95</v>
      </c>
      <c r="G23" s="61">
        <v>0.88</v>
      </c>
    </row>
    <row r="24" spans="1:7">
      <c r="A24" s="58" t="s">
        <v>333</v>
      </c>
      <c r="B24" s="59" t="s">
        <v>315</v>
      </c>
      <c r="C24" s="59">
        <v>24</v>
      </c>
      <c r="D24" s="59">
        <v>7</v>
      </c>
      <c r="E24" s="61">
        <v>0.96</v>
      </c>
      <c r="F24" s="61">
        <v>0.92</v>
      </c>
      <c r="G24" s="61">
        <v>0.85</v>
      </c>
    </row>
    <row r="25" spans="1:7">
      <c r="A25" s="58" t="s">
        <v>334</v>
      </c>
      <c r="B25" s="59" t="s">
        <v>317</v>
      </c>
      <c r="C25" s="59">
        <v>24</v>
      </c>
      <c r="D25" s="59">
        <v>7</v>
      </c>
      <c r="E25" s="61">
        <v>0.99</v>
      </c>
      <c r="F25" s="61">
        <v>0.95</v>
      </c>
      <c r="G25" s="61">
        <v>0.88</v>
      </c>
    </row>
    <row r="26" spans="1:7">
      <c r="A26" s="58" t="s">
        <v>335</v>
      </c>
      <c r="B26" s="59" t="s">
        <v>315</v>
      </c>
      <c r="C26" s="59">
        <v>12</v>
      </c>
      <c r="D26" s="59">
        <v>6</v>
      </c>
      <c r="E26" s="61">
        <v>0.96</v>
      </c>
      <c r="F26" s="61">
        <v>0.92</v>
      </c>
      <c r="G26" s="61">
        <v>0.85</v>
      </c>
    </row>
    <row r="27" spans="1:7">
      <c r="A27" s="58" t="s">
        <v>336</v>
      </c>
      <c r="B27" s="59" t="s">
        <v>317</v>
      </c>
      <c r="C27" s="59">
        <v>24</v>
      </c>
      <c r="D27" s="59">
        <v>7</v>
      </c>
      <c r="E27" s="61">
        <v>0.99</v>
      </c>
      <c r="F27" s="61">
        <v>0.95</v>
      </c>
      <c r="G27" s="61">
        <v>0.88</v>
      </c>
    </row>
    <row r="28" spans="1:7">
      <c r="A28" s="58" t="s">
        <v>337</v>
      </c>
      <c r="B28" s="59" t="s">
        <v>315</v>
      </c>
      <c r="C28" s="59">
        <v>12</v>
      </c>
      <c r="D28" s="59">
        <v>6</v>
      </c>
      <c r="E28" s="61">
        <v>0.96</v>
      </c>
      <c r="F28" s="61">
        <v>0.92</v>
      </c>
      <c r="G28" s="61">
        <v>0.85</v>
      </c>
    </row>
    <row r="29" spans="1:7">
      <c r="A29" s="58" t="s">
        <v>338</v>
      </c>
      <c r="B29" s="59" t="s">
        <v>317</v>
      </c>
      <c r="C29" s="59">
        <v>24</v>
      </c>
      <c r="D29" s="59">
        <v>7</v>
      </c>
      <c r="E29" s="61">
        <v>0.99</v>
      </c>
      <c r="F29" s="61">
        <v>0.95</v>
      </c>
      <c r="G29" s="61">
        <v>0.88</v>
      </c>
    </row>
    <row r="30" spans="1:7">
      <c r="A30" s="58" t="s">
        <v>339</v>
      </c>
      <c r="B30" s="59" t="s">
        <v>317</v>
      </c>
      <c r="C30" s="59">
        <v>24</v>
      </c>
      <c r="D30" s="59">
        <v>7</v>
      </c>
      <c r="E30" s="61">
        <v>0.99</v>
      </c>
      <c r="F30" s="61">
        <v>0.95</v>
      </c>
      <c r="G30" s="61">
        <v>0.88</v>
      </c>
    </row>
    <row r="31" spans="1:7">
      <c r="A31" s="58" t="s">
        <v>340</v>
      </c>
      <c r="B31" s="59" t="s">
        <v>315</v>
      </c>
      <c r="C31" s="59">
        <v>12</v>
      </c>
      <c r="D31" s="59">
        <v>6</v>
      </c>
      <c r="E31" s="61">
        <v>0.96</v>
      </c>
      <c r="F31" s="61">
        <v>0.92</v>
      </c>
      <c r="G31" s="61">
        <v>0.85</v>
      </c>
    </row>
    <row r="32" spans="1:7">
      <c r="A32" s="58" t="s">
        <v>341</v>
      </c>
      <c r="B32" s="59" t="s">
        <v>315</v>
      </c>
      <c r="C32" s="59">
        <v>12</v>
      </c>
      <c r="D32" s="59">
        <v>7</v>
      </c>
      <c r="E32" s="61">
        <v>0.96</v>
      </c>
      <c r="F32" s="61">
        <v>0.92</v>
      </c>
      <c r="G32" s="61">
        <v>0.85</v>
      </c>
    </row>
    <row r="33" spans="1:7">
      <c r="A33" s="58" t="s">
        <v>342</v>
      </c>
      <c r="B33" s="59" t="s">
        <v>315</v>
      </c>
      <c r="C33" s="59">
        <v>12</v>
      </c>
      <c r="D33" s="59">
        <v>6</v>
      </c>
      <c r="E33" s="61">
        <v>0.96</v>
      </c>
      <c r="F33" s="61">
        <v>0.92</v>
      </c>
      <c r="G33" s="61">
        <v>0.85</v>
      </c>
    </row>
    <row r="34" spans="1:7">
      <c r="A34" s="58" t="s">
        <v>343</v>
      </c>
      <c r="B34" s="59" t="s">
        <v>317</v>
      </c>
      <c r="C34" s="59">
        <v>24</v>
      </c>
      <c r="D34" s="59">
        <v>7</v>
      </c>
      <c r="E34" s="61">
        <v>0.99</v>
      </c>
      <c r="F34" s="61">
        <v>0.95</v>
      </c>
      <c r="G34" s="61">
        <v>0.88</v>
      </c>
    </row>
    <row r="35" spans="1:7" ht="20">
      <c r="A35" s="58" t="s">
        <v>344</v>
      </c>
      <c r="B35" s="59" t="s">
        <v>315</v>
      </c>
      <c r="C35" s="59">
        <v>24</v>
      </c>
      <c r="D35" s="59">
        <v>7</v>
      </c>
      <c r="E35" s="61">
        <v>0.96</v>
      </c>
      <c r="F35" s="61">
        <v>0.92</v>
      </c>
      <c r="G35" s="61">
        <v>0.85</v>
      </c>
    </row>
    <row r="36" spans="1:7">
      <c r="A36" s="58" t="s">
        <v>345</v>
      </c>
      <c r="B36" s="59" t="s">
        <v>317</v>
      </c>
      <c r="C36" s="59">
        <v>24</v>
      </c>
      <c r="D36" s="59">
        <v>7</v>
      </c>
      <c r="E36" s="61">
        <v>0.99</v>
      </c>
      <c r="F36" s="61">
        <v>0.95</v>
      </c>
      <c r="G36" s="61">
        <v>0.88</v>
      </c>
    </row>
    <row r="37" spans="1:7" ht="30">
      <c r="A37" s="58" t="s">
        <v>346</v>
      </c>
      <c r="B37" s="59" t="s">
        <v>317</v>
      </c>
      <c r="C37" s="59">
        <v>12</v>
      </c>
      <c r="D37" s="59">
        <v>6</v>
      </c>
      <c r="E37" s="61">
        <v>0.96</v>
      </c>
      <c r="F37" s="61">
        <v>0.92</v>
      </c>
      <c r="G37" s="61">
        <v>0.88</v>
      </c>
    </row>
    <row r="38" spans="1:7">
      <c r="A38" s="58" t="s">
        <v>347</v>
      </c>
      <c r="B38" s="59" t="s">
        <v>317</v>
      </c>
      <c r="C38" s="59">
        <v>24</v>
      </c>
      <c r="D38" s="59">
        <v>7</v>
      </c>
      <c r="E38" s="61">
        <v>0.99</v>
      </c>
      <c r="F38" s="61">
        <v>0.95</v>
      </c>
      <c r="G38" s="61">
        <v>0.88</v>
      </c>
    </row>
    <row r="39" spans="1:7">
      <c r="A39" s="58" t="s">
        <v>214</v>
      </c>
      <c r="B39" s="59" t="s">
        <v>315</v>
      </c>
      <c r="C39" s="59">
        <v>24</v>
      </c>
      <c r="D39" s="59">
        <v>7</v>
      </c>
      <c r="E39" s="61">
        <v>0.96</v>
      </c>
      <c r="F39" s="61">
        <v>0.92</v>
      </c>
      <c r="G39" s="61">
        <v>0.85</v>
      </c>
    </row>
    <row r="40" spans="1:7" ht="20">
      <c r="A40" s="58" t="s">
        <v>348</v>
      </c>
      <c r="B40" s="59" t="s">
        <v>317</v>
      </c>
      <c r="C40" s="59">
        <v>24</v>
      </c>
      <c r="D40" s="59">
        <v>7</v>
      </c>
      <c r="E40" s="61">
        <v>0.99</v>
      </c>
      <c r="F40" s="61">
        <v>0.95</v>
      </c>
      <c r="G40" s="61">
        <v>0.88</v>
      </c>
    </row>
    <row r="41" spans="1:7">
      <c r="A41" s="58" t="s">
        <v>349</v>
      </c>
      <c r="B41" s="59" t="s">
        <v>315</v>
      </c>
      <c r="C41" s="59">
        <v>12</v>
      </c>
      <c r="D41" s="59">
        <v>6</v>
      </c>
      <c r="E41" s="61">
        <v>0.96</v>
      </c>
      <c r="F41" s="61">
        <v>0.92</v>
      </c>
      <c r="G41" s="61">
        <v>0.85</v>
      </c>
    </row>
    <row r="42" spans="1:7">
      <c r="A42" s="58" t="s">
        <v>350</v>
      </c>
      <c r="B42" s="59" t="s">
        <v>315</v>
      </c>
      <c r="C42" s="59">
        <v>12</v>
      </c>
      <c r="D42" s="59">
        <v>6</v>
      </c>
      <c r="E42" s="61">
        <v>0.96</v>
      </c>
      <c r="F42" s="61">
        <v>0.92</v>
      </c>
      <c r="G42" s="61">
        <v>0.85</v>
      </c>
    </row>
    <row r="43" spans="1:7">
      <c r="A43" s="58" t="s">
        <v>351</v>
      </c>
      <c r="B43" s="59" t="s">
        <v>315</v>
      </c>
      <c r="C43" s="59">
        <v>12</v>
      </c>
      <c r="D43" s="59">
        <v>6</v>
      </c>
      <c r="E43" s="61">
        <v>0.96</v>
      </c>
      <c r="F43" s="61">
        <v>0.92</v>
      </c>
      <c r="G43" s="61">
        <v>0.85</v>
      </c>
    </row>
    <row r="44" spans="1:7">
      <c r="A44" s="58" t="s">
        <v>352</v>
      </c>
      <c r="B44" s="59" t="s">
        <v>315</v>
      </c>
      <c r="C44" s="59">
        <v>12</v>
      </c>
      <c r="D44" s="59">
        <v>6</v>
      </c>
      <c r="E44" s="61">
        <v>0.96</v>
      </c>
      <c r="F44" s="61">
        <v>0.92</v>
      </c>
      <c r="G44" s="61">
        <v>0.85</v>
      </c>
    </row>
    <row r="45" spans="1:7" ht="20">
      <c r="A45" s="58" t="s">
        <v>353</v>
      </c>
      <c r="B45" s="59" t="s">
        <v>317</v>
      </c>
      <c r="C45" s="59">
        <v>24</v>
      </c>
      <c r="D45" s="59">
        <v>7</v>
      </c>
      <c r="E45" s="61">
        <v>0.96</v>
      </c>
      <c r="F45" s="61">
        <v>0.92</v>
      </c>
      <c r="G45" s="61">
        <v>0.88</v>
      </c>
    </row>
    <row r="46" spans="1:7">
      <c r="A46" s="58" t="s">
        <v>354</v>
      </c>
      <c r="B46" s="59" t="s">
        <v>315</v>
      </c>
      <c r="C46" s="59">
        <v>12</v>
      </c>
      <c r="D46" s="59">
        <v>6</v>
      </c>
      <c r="E46" s="61">
        <v>0.96</v>
      </c>
      <c r="F46" s="61">
        <v>0.92</v>
      </c>
      <c r="G46" s="61">
        <v>0.85</v>
      </c>
    </row>
    <row r="47" spans="1:7">
      <c r="A47" s="58" t="s">
        <v>355</v>
      </c>
      <c r="B47" s="59" t="s">
        <v>317</v>
      </c>
      <c r="C47" s="59">
        <v>24</v>
      </c>
      <c r="D47" s="59">
        <v>7</v>
      </c>
      <c r="E47" s="61">
        <v>0.99</v>
      </c>
      <c r="F47" s="61">
        <v>0.95</v>
      </c>
      <c r="G47" s="61">
        <v>0.88</v>
      </c>
    </row>
    <row r="48" spans="1:7">
      <c r="A48" s="58" t="s">
        <v>356</v>
      </c>
      <c r="B48" s="59" t="s">
        <v>315</v>
      </c>
      <c r="C48" s="59">
        <v>24</v>
      </c>
      <c r="D48" s="59">
        <v>7</v>
      </c>
      <c r="E48" s="61">
        <v>0.96</v>
      </c>
      <c r="F48" s="61">
        <v>0.92</v>
      </c>
      <c r="G48" s="61">
        <v>0.85</v>
      </c>
    </row>
    <row r="49" spans="1:7">
      <c r="A49" s="58" t="s">
        <v>357</v>
      </c>
      <c r="B49" s="59" t="s">
        <v>317</v>
      </c>
      <c r="C49" s="59">
        <v>24</v>
      </c>
      <c r="D49" s="59">
        <v>7</v>
      </c>
      <c r="E49" s="61">
        <v>0.99</v>
      </c>
      <c r="F49" s="61">
        <v>0.95</v>
      </c>
      <c r="G49" s="61">
        <v>0.88</v>
      </c>
    </row>
    <row r="50" spans="1:7">
      <c r="A50" s="58" t="s">
        <v>358</v>
      </c>
      <c r="B50" s="59" t="s">
        <v>317</v>
      </c>
      <c r="C50" s="59">
        <v>24</v>
      </c>
      <c r="D50" s="59">
        <v>7</v>
      </c>
      <c r="E50" s="61">
        <v>0.99</v>
      </c>
      <c r="F50" s="61">
        <v>0.95</v>
      </c>
      <c r="G50" s="61">
        <v>0.88</v>
      </c>
    </row>
    <row r="51" spans="1:7">
      <c r="A51" s="58" t="s">
        <v>359</v>
      </c>
      <c r="B51" s="59" t="s">
        <v>315</v>
      </c>
      <c r="C51" s="59">
        <v>12</v>
      </c>
      <c r="D51" s="59">
        <v>6</v>
      </c>
      <c r="E51" s="61">
        <v>0.96</v>
      </c>
      <c r="F51" s="61">
        <v>0.92</v>
      </c>
      <c r="G51" s="61">
        <v>0.85</v>
      </c>
    </row>
    <row r="52" spans="1:7" ht="20">
      <c r="A52" s="58" t="s">
        <v>360</v>
      </c>
      <c r="B52" s="59" t="s">
        <v>317</v>
      </c>
      <c r="C52" s="59">
        <v>24</v>
      </c>
      <c r="D52" s="59">
        <v>7</v>
      </c>
      <c r="E52" s="61">
        <v>0.99</v>
      </c>
      <c r="F52" s="61">
        <v>0.95</v>
      </c>
      <c r="G52" s="61">
        <v>0.88</v>
      </c>
    </row>
    <row r="53" spans="1:7">
      <c r="A53" s="58" t="s">
        <v>361</v>
      </c>
      <c r="B53" s="59" t="s">
        <v>315</v>
      </c>
      <c r="C53" s="59">
        <v>12</v>
      </c>
      <c r="D53" s="59">
        <v>6</v>
      </c>
      <c r="E53" s="61">
        <v>0.99</v>
      </c>
      <c r="F53" s="61">
        <v>0.92</v>
      </c>
      <c r="G53" s="61">
        <v>0.85</v>
      </c>
    </row>
    <row r="54" spans="1:7">
      <c r="A54" s="58" t="s">
        <v>362</v>
      </c>
      <c r="B54" s="59" t="s">
        <v>317</v>
      </c>
      <c r="C54" s="59">
        <v>12</v>
      </c>
      <c r="D54" s="59">
        <v>6</v>
      </c>
      <c r="E54" s="61">
        <v>0.99</v>
      </c>
      <c r="F54" s="61">
        <v>0.95</v>
      </c>
      <c r="G54" s="61">
        <v>0.88</v>
      </c>
    </row>
    <row r="55" spans="1:7">
      <c r="A55" s="58" t="s">
        <v>363</v>
      </c>
      <c r="B55" s="59" t="s">
        <v>317</v>
      </c>
      <c r="C55" s="59">
        <v>24</v>
      </c>
      <c r="D55" s="59">
        <v>7</v>
      </c>
      <c r="E55" s="61">
        <v>0.99</v>
      </c>
      <c r="F55" s="61">
        <v>0.95</v>
      </c>
      <c r="G55" s="61">
        <v>0.88</v>
      </c>
    </row>
    <row r="56" spans="1:7" ht="22">
      <c r="A56" s="58" t="s">
        <v>364</v>
      </c>
      <c r="B56" s="59" t="s">
        <v>317</v>
      </c>
      <c r="C56" s="59">
        <v>24</v>
      </c>
      <c r="D56" s="59">
        <v>7</v>
      </c>
      <c r="E56" s="61">
        <v>0.99</v>
      </c>
      <c r="F56" s="61">
        <v>0.95</v>
      </c>
      <c r="G56" s="61">
        <v>0.88</v>
      </c>
    </row>
    <row r="57" spans="1:7">
      <c r="A57" s="58" t="s">
        <v>365</v>
      </c>
      <c r="B57" s="59" t="s">
        <v>315</v>
      </c>
      <c r="C57" s="59">
        <v>12</v>
      </c>
      <c r="D57" s="59">
        <v>6</v>
      </c>
      <c r="E57" s="61">
        <v>0.96</v>
      </c>
      <c r="F57" s="61">
        <v>0.92</v>
      </c>
      <c r="G57" s="61">
        <v>0.85</v>
      </c>
    </row>
    <row r="58" spans="1:7" ht="20">
      <c r="A58" s="58" t="s">
        <v>366</v>
      </c>
      <c r="B58" s="59" t="s">
        <v>315</v>
      </c>
      <c r="C58" s="59">
        <v>12</v>
      </c>
      <c r="D58" s="59">
        <v>6</v>
      </c>
      <c r="E58" s="61">
        <v>0.96</v>
      </c>
      <c r="F58" s="61">
        <v>0.92</v>
      </c>
      <c r="G58" s="61">
        <v>0.85</v>
      </c>
    </row>
    <row r="59" spans="1:7">
      <c r="A59" s="58" t="s">
        <v>367</v>
      </c>
      <c r="B59" s="59" t="s">
        <v>315</v>
      </c>
      <c r="C59" s="59">
        <v>12</v>
      </c>
      <c r="D59" s="59">
        <v>6</v>
      </c>
      <c r="E59" s="61">
        <v>0.96</v>
      </c>
      <c r="F59" s="61">
        <v>0.92</v>
      </c>
      <c r="G59" s="61">
        <v>0.85</v>
      </c>
    </row>
    <row r="60" spans="1:7">
      <c r="A60" s="58" t="s">
        <v>368</v>
      </c>
      <c r="B60" s="59"/>
      <c r="C60" s="59"/>
      <c r="D60" s="59"/>
      <c r="E60" s="59"/>
      <c r="F60" s="59"/>
      <c r="G60" s="59"/>
    </row>
    <row r="61" spans="1:7">
      <c r="A61" s="58" t="s">
        <v>369</v>
      </c>
      <c r="B61" s="59" t="s">
        <v>315</v>
      </c>
      <c r="C61" s="59">
        <v>12</v>
      </c>
      <c r="D61" s="59">
        <v>6</v>
      </c>
      <c r="E61" s="61">
        <v>0.96</v>
      </c>
      <c r="F61" s="61">
        <v>0.92</v>
      </c>
      <c r="G61" s="61">
        <v>0.85</v>
      </c>
    </row>
    <row r="62" spans="1:7">
      <c r="A62" s="58" t="s">
        <v>370</v>
      </c>
      <c r="B62" s="59" t="s">
        <v>315</v>
      </c>
      <c r="C62" s="59">
        <v>12</v>
      </c>
      <c r="D62" s="59">
        <v>6</v>
      </c>
      <c r="E62" s="61">
        <v>0.96</v>
      </c>
      <c r="F62" s="61">
        <v>0.92</v>
      </c>
      <c r="G62" s="61">
        <v>0.85</v>
      </c>
    </row>
    <row r="63" spans="1:7">
      <c r="A63" s="58" t="s">
        <v>371</v>
      </c>
      <c r="B63" s="59" t="s">
        <v>315</v>
      </c>
      <c r="C63" s="59">
        <v>12</v>
      </c>
      <c r="D63" s="59">
        <v>6</v>
      </c>
      <c r="E63" s="61">
        <v>0.96</v>
      </c>
      <c r="F63" s="61">
        <v>0.92</v>
      </c>
      <c r="G63" s="61">
        <v>0.85</v>
      </c>
    </row>
    <row r="64" spans="1:7">
      <c r="A64" s="58" t="s">
        <v>372</v>
      </c>
      <c r="B64" s="59" t="s">
        <v>315</v>
      </c>
      <c r="C64" s="59">
        <v>12</v>
      </c>
      <c r="D64" s="59">
        <v>6</v>
      </c>
      <c r="E64" s="61">
        <v>0.96</v>
      </c>
      <c r="F64" s="61">
        <v>0.92</v>
      </c>
      <c r="G64" s="61">
        <v>0.85</v>
      </c>
    </row>
    <row r="65" spans="1:7">
      <c r="A65" s="58" t="s">
        <v>373</v>
      </c>
      <c r="B65" s="59" t="s">
        <v>315</v>
      </c>
      <c r="C65" s="59">
        <v>12</v>
      </c>
      <c r="D65" s="59">
        <v>6</v>
      </c>
      <c r="E65" s="61">
        <v>0.96</v>
      </c>
      <c r="F65" s="61">
        <v>0.92</v>
      </c>
      <c r="G65" s="61">
        <v>0.85</v>
      </c>
    </row>
    <row r="66" spans="1:7">
      <c r="A66" s="58" t="s">
        <v>374</v>
      </c>
      <c r="B66" s="59" t="s">
        <v>315</v>
      </c>
      <c r="C66" s="59">
        <v>12</v>
      </c>
      <c r="D66" s="59">
        <v>6</v>
      </c>
      <c r="E66" s="61">
        <v>0.96</v>
      </c>
      <c r="F66" s="61">
        <v>0.92</v>
      </c>
      <c r="G66" s="61">
        <v>0.85</v>
      </c>
    </row>
    <row r="67" spans="1:7">
      <c r="A67" s="58" t="s">
        <v>375</v>
      </c>
      <c r="B67" s="59" t="s">
        <v>315</v>
      </c>
      <c r="C67" s="59">
        <v>12</v>
      </c>
      <c r="D67" s="59">
        <v>6</v>
      </c>
      <c r="E67" s="61">
        <v>0.96</v>
      </c>
      <c r="F67" s="61">
        <v>0.92</v>
      </c>
      <c r="G67" s="61">
        <v>0.85</v>
      </c>
    </row>
    <row r="68" spans="1:7">
      <c r="A68" s="58" t="s">
        <v>376</v>
      </c>
      <c r="B68" s="59" t="s">
        <v>315</v>
      </c>
      <c r="C68" s="59">
        <v>12</v>
      </c>
      <c r="D68" s="59">
        <v>6</v>
      </c>
      <c r="E68" s="61">
        <v>0.96</v>
      </c>
      <c r="F68" s="61">
        <v>0.92</v>
      </c>
      <c r="G68" s="61">
        <v>0.85</v>
      </c>
    </row>
    <row r="69" spans="1:7">
      <c r="A69" s="58" t="s">
        <v>377</v>
      </c>
      <c r="B69" s="59" t="s">
        <v>315</v>
      </c>
      <c r="C69" s="59">
        <v>12</v>
      </c>
      <c r="D69" s="59">
        <v>6</v>
      </c>
      <c r="E69" s="61">
        <v>0.96</v>
      </c>
      <c r="F69" s="61">
        <v>0.92</v>
      </c>
      <c r="G69" s="61">
        <v>0.85</v>
      </c>
    </row>
    <row r="70" spans="1:7">
      <c r="A70" s="58" t="s">
        <v>378</v>
      </c>
      <c r="B70" s="59" t="s">
        <v>315</v>
      </c>
      <c r="C70" s="59">
        <v>12</v>
      </c>
      <c r="D70" s="59">
        <v>6</v>
      </c>
      <c r="E70" s="61">
        <v>0.96</v>
      </c>
      <c r="F70" s="61">
        <v>0.92</v>
      </c>
      <c r="G70" s="61">
        <v>0.85</v>
      </c>
    </row>
    <row r="71" spans="1:7">
      <c r="A71" s="58" t="s">
        <v>379</v>
      </c>
      <c r="B71" s="59" t="s">
        <v>315</v>
      </c>
      <c r="C71" s="59">
        <v>12</v>
      </c>
      <c r="D71" s="59">
        <v>6</v>
      </c>
      <c r="E71" s="61">
        <v>0.96</v>
      </c>
      <c r="F71" s="61">
        <v>0.92</v>
      </c>
      <c r="G71" s="61">
        <v>0.85</v>
      </c>
    </row>
    <row r="72" spans="1:7">
      <c r="A72" s="58" t="s">
        <v>380</v>
      </c>
      <c r="B72" s="59" t="s">
        <v>315</v>
      </c>
      <c r="C72" s="59">
        <v>12</v>
      </c>
      <c r="D72" s="59">
        <v>6</v>
      </c>
      <c r="E72" s="61">
        <v>0.96</v>
      </c>
      <c r="F72" s="61">
        <v>0.92</v>
      </c>
      <c r="G72" s="61">
        <v>0.85</v>
      </c>
    </row>
    <row r="73" spans="1:7">
      <c r="A73" s="58" t="s">
        <v>381</v>
      </c>
      <c r="B73" s="59" t="s">
        <v>315</v>
      </c>
      <c r="C73" s="59">
        <v>12</v>
      </c>
      <c r="D73" s="59">
        <v>6</v>
      </c>
      <c r="E73" s="61">
        <v>0.96</v>
      </c>
      <c r="F73" s="61">
        <v>0.92</v>
      </c>
      <c r="G73" s="61">
        <v>0.85</v>
      </c>
    </row>
    <row r="74" spans="1:7" ht="20">
      <c r="A74" s="58" t="s">
        <v>382</v>
      </c>
      <c r="B74" s="59" t="s">
        <v>315</v>
      </c>
      <c r="C74" s="59">
        <v>12</v>
      </c>
      <c r="D74" s="59">
        <v>6</v>
      </c>
      <c r="E74" s="61">
        <v>0.96</v>
      </c>
      <c r="F74" s="61">
        <v>0.92</v>
      </c>
      <c r="G74" s="61">
        <v>0.85</v>
      </c>
    </row>
    <row r="75" spans="1:7" ht="20">
      <c r="A75" s="58" t="s">
        <v>383</v>
      </c>
      <c r="B75" s="59" t="s">
        <v>315</v>
      </c>
      <c r="C75" s="59">
        <v>12</v>
      </c>
      <c r="D75" s="59">
        <v>6</v>
      </c>
      <c r="E75" s="61">
        <v>0.96</v>
      </c>
      <c r="F75" s="61">
        <v>0.92</v>
      </c>
      <c r="G75" s="61">
        <v>0.85</v>
      </c>
    </row>
    <row r="76" spans="1:7">
      <c r="A76" s="58" t="s">
        <v>384</v>
      </c>
      <c r="B76" s="59" t="s">
        <v>315</v>
      </c>
      <c r="C76" s="59">
        <v>12</v>
      </c>
      <c r="D76" s="59">
        <v>6</v>
      </c>
      <c r="E76" s="61">
        <v>0.96</v>
      </c>
      <c r="F76" s="61">
        <v>0.92</v>
      </c>
      <c r="G76" s="61">
        <v>0.85</v>
      </c>
    </row>
    <row r="77" spans="1:7">
      <c r="A77" s="58" t="s">
        <v>385</v>
      </c>
      <c r="B77" s="59" t="s">
        <v>315</v>
      </c>
      <c r="C77" s="59">
        <v>12</v>
      </c>
      <c r="D77" s="59">
        <v>6</v>
      </c>
      <c r="E77" s="61">
        <v>0.96</v>
      </c>
      <c r="F77" s="61">
        <v>0.92</v>
      </c>
      <c r="G77" s="61">
        <v>0.85</v>
      </c>
    </row>
    <row r="78" spans="1:7">
      <c r="A78" s="58" t="s">
        <v>386</v>
      </c>
      <c r="B78" s="59" t="s">
        <v>315</v>
      </c>
      <c r="C78" s="59">
        <v>12</v>
      </c>
      <c r="D78" s="59">
        <v>6</v>
      </c>
      <c r="E78" s="61">
        <v>0.96</v>
      </c>
      <c r="F78" s="61">
        <v>0.92</v>
      </c>
      <c r="G78" s="61">
        <v>0.85</v>
      </c>
    </row>
    <row r="79" spans="1:7">
      <c r="A79" s="58" t="s">
        <v>387</v>
      </c>
      <c r="B79" s="59" t="s">
        <v>315</v>
      </c>
      <c r="C79" s="59">
        <v>12</v>
      </c>
      <c r="D79" s="59">
        <v>6</v>
      </c>
      <c r="E79" s="61">
        <v>0.96</v>
      </c>
      <c r="F79" s="61">
        <v>0.92</v>
      </c>
      <c r="G79" s="61">
        <v>0.85</v>
      </c>
    </row>
    <row r="80" spans="1:7">
      <c r="A80" s="58" t="s">
        <v>388</v>
      </c>
      <c r="B80" s="59" t="s">
        <v>315</v>
      </c>
      <c r="C80" s="59">
        <v>12</v>
      </c>
      <c r="D80" s="59">
        <v>6</v>
      </c>
      <c r="E80" s="61">
        <v>0.96</v>
      </c>
      <c r="F80" s="61">
        <v>0.92</v>
      </c>
      <c r="G80" s="61">
        <v>0.85</v>
      </c>
    </row>
    <row r="81" spans="1:7">
      <c r="A81" s="58" t="s">
        <v>389</v>
      </c>
      <c r="B81" s="59" t="s">
        <v>315</v>
      </c>
      <c r="C81" s="59">
        <v>12</v>
      </c>
      <c r="D81" s="59">
        <v>6</v>
      </c>
      <c r="E81" s="61">
        <v>0.96</v>
      </c>
      <c r="F81" s="61">
        <v>0.92</v>
      </c>
      <c r="G81" s="61">
        <v>0.85</v>
      </c>
    </row>
    <row r="82" spans="1:7">
      <c r="A82" s="58" t="s">
        <v>390</v>
      </c>
      <c r="B82" s="59" t="s">
        <v>315</v>
      </c>
      <c r="C82" s="59">
        <v>12</v>
      </c>
      <c r="D82" s="59">
        <v>6</v>
      </c>
      <c r="E82" s="61">
        <v>0.96</v>
      </c>
      <c r="F82" s="61">
        <v>0.92</v>
      </c>
      <c r="G82" s="61">
        <v>0.85</v>
      </c>
    </row>
    <row r="83" spans="1:7">
      <c r="A83" s="58" t="s">
        <v>391</v>
      </c>
      <c r="B83" s="59" t="s">
        <v>315</v>
      </c>
      <c r="C83" s="59">
        <v>12</v>
      </c>
      <c r="D83" s="59">
        <v>6</v>
      </c>
      <c r="E83" s="61">
        <v>0.96</v>
      </c>
      <c r="F83" s="61">
        <v>0.92</v>
      </c>
      <c r="G83" s="61">
        <v>0.85</v>
      </c>
    </row>
    <row r="84" spans="1:7">
      <c r="A84" s="58" t="s">
        <v>392</v>
      </c>
      <c r="B84" s="59" t="s">
        <v>315</v>
      </c>
      <c r="C84" s="59">
        <v>12</v>
      </c>
      <c r="D84" s="59">
        <v>6</v>
      </c>
      <c r="E84" s="61">
        <v>0.96</v>
      </c>
      <c r="F84" s="61">
        <v>0.92</v>
      </c>
      <c r="G84" s="61">
        <v>0.85</v>
      </c>
    </row>
  </sheetData>
  <autoFilter ref="A3:G84" xr:uid="{00000000-0009-0000-0000-000007000000}"/>
  <mergeCells count="5">
    <mergeCell ref="A5:G5"/>
    <mergeCell ref="A3:A4"/>
    <mergeCell ref="B3:B4"/>
    <mergeCell ref="C3:C4"/>
    <mergeCell ref="D3:D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E6" sqref="AE6"/>
    </sheetView>
  </sheetViews>
  <sheetFormatPr defaultColWidth="12.81640625" defaultRowHeight="13"/>
  <cols>
    <col min="1" max="1" width="3.453125" style="4" customWidth="1"/>
    <col min="2" max="2" width="10.81640625" style="4" customWidth="1"/>
    <col min="3" max="3" width="15.81640625" style="4" customWidth="1"/>
    <col min="4" max="4" width="14.81640625" style="4" customWidth="1"/>
    <col min="5" max="5" width="5.54296875" style="4" customWidth="1"/>
    <col min="6" max="6" width="12.81640625" style="4"/>
    <col min="7" max="7" width="8.81640625" style="4" customWidth="1"/>
    <col min="8" max="8" width="18.1796875" style="4" customWidth="1"/>
    <col min="9" max="9" width="7.1796875" style="4" customWidth="1"/>
    <col min="10" max="10" width="8.81640625" style="4" customWidth="1"/>
    <col min="11" max="12" width="10.81640625" style="4" customWidth="1"/>
    <col min="13" max="13" width="8.1796875" style="4" customWidth="1"/>
    <col min="14" max="14" width="8" style="4" customWidth="1"/>
    <col min="15" max="15" width="9.453125" style="4" customWidth="1"/>
    <col min="16" max="16" width="10" style="4" customWidth="1"/>
    <col min="17" max="18" width="8.81640625" style="4" customWidth="1"/>
    <col min="19" max="19" width="12.1796875" style="4" customWidth="1"/>
    <col min="20" max="20" width="4.1796875" style="4" customWidth="1"/>
    <col min="21" max="21" width="10.1796875" style="4" customWidth="1"/>
    <col min="22" max="22" width="9.81640625" style="4" customWidth="1"/>
    <col min="23" max="23" width="10.1796875" style="4" customWidth="1"/>
    <col min="24" max="24" width="16.81640625" style="4" customWidth="1"/>
    <col min="25" max="25" width="7.1796875" style="5" customWidth="1"/>
    <col min="26" max="27" width="12.81640625" style="5" customWidth="1"/>
    <col min="28" max="28" width="11" style="5" customWidth="1"/>
    <col min="29" max="29" width="13.1796875" style="6" customWidth="1"/>
    <col min="30" max="30" width="13.1796875" style="7" customWidth="1"/>
    <col min="31" max="31" width="12.81640625" style="5"/>
    <col min="32" max="16384" width="12.81640625" style="4"/>
  </cols>
  <sheetData>
    <row r="4" spans="1:31" s="1" customFormat="1" ht="33" customHeight="1">
      <c r="A4" s="828" t="s">
        <v>393</v>
      </c>
      <c r="B4" s="829" t="s">
        <v>117</v>
      </c>
      <c r="C4" s="830" t="s">
        <v>118</v>
      </c>
      <c r="D4" s="830" t="s">
        <v>119</v>
      </c>
      <c r="E4" s="829" t="s">
        <v>120</v>
      </c>
      <c r="F4" s="9"/>
      <c r="G4" s="828" t="s">
        <v>121</v>
      </c>
      <c r="H4" s="828" t="s">
        <v>122</v>
      </c>
      <c r="I4" s="832" t="s">
        <v>123</v>
      </c>
      <c r="J4" s="833" t="s">
        <v>124</v>
      </c>
      <c r="K4" s="834" t="s">
        <v>125</v>
      </c>
      <c r="L4" s="834" t="s">
        <v>127</v>
      </c>
      <c r="M4" s="835" t="s">
        <v>128</v>
      </c>
      <c r="N4" s="823" t="s">
        <v>129</v>
      </c>
      <c r="O4" s="824"/>
      <c r="P4" s="825"/>
      <c r="Q4" s="823" t="s">
        <v>130</v>
      </c>
      <c r="R4" s="826"/>
      <c r="S4" s="826"/>
      <c r="T4" s="826"/>
      <c r="U4" s="826"/>
      <c r="V4" s="827"/>
      <c r="W4" s="821" t="s">
        <v>394</v>
      </c>
      <c r="X4" s="42"/>
      <c r="Y4" s="42"/>
      <c r="Z4" s="42"/>
      <c r="AA4" s="42"/>
      <c r="AB4" s="42"/>
      <c r="AC4" s="53"/>
      <c r="AD4" s="54"/>
      <c r="AE4" s="42"/>
    </row>
    <row r="5" spans="1:31" s="1" customFormat="1" ht="60.75" customHeight="1">
      <c r="A5" s="828"/>
      <c r="B5" s="829"/>
      <c r="C5" s="831"/>
      <c r="D5" s="831"/>
      <c r="E5" s="829"/>
      <c r="F5" s="9" t="s">
        <v>395</v>
      </c>
      <c r="G5" s="828"/>
      <c r="H5" s="828"/>
      <c r="I5" s="832"/>
      <c r="J5" s="833"/>
      <c r="K5" s="834"/>
      <c r="L5" s="834"/>
      <c r="M5" s="835"/>
      <c r="N5" s="8" t="s">
        <v>131</v>
      </c>
      <c r="O5" s="34" t="s">
        <v>132</v>
      </c>
      <c r="P5" s="8" t="s">
        <v>133</v>
      </c>
      <c r="Q5" s="8" t="s">
        <v>131</v>
      </c>
      <c r="R5" s="8" t="s">
        <v>134</v>
      </c>
      <c r="S5" s="38" t="s">
        <v>135</v>
      </c>
      <c r="T5" s="33" t="s">
        <v>136</v>
      </c>
      <c r="U5" s="8" t="s">
        <v>132</v>
      </c>
      <c r="V5" s="43" t="s">
        <v>133</v>
      </c>
      <c r="W5" s="822"/>
      <c r="X5" s="44" t="s">
        <v>134</v>
      </c>
      <c r="Y5" s="42" t="s">
        <v>396</v>
      </c>
      <c r="Z5" s="42" t="s">
        <v>397</v>
      </c>
      <c r="AA5" s="42" t="s">
        <v>398</v>
      </c>
      <c r="AB5" s="42" t="s">
        <v>399</v>
      </c>
      <c r="AC5" s="53" t="s">
        <v>400</v>
      </c>
      <c r="AD5" s="54" t="s">
        <v>401</v>
      </c>
      <c r="AE5" s="42" t="s">
        <v>402</v>
      </c>
    </row>
    <row r="6" spans="1:31" s="2" customFormat="1" ht="25">
      <c r="A6" s="10">
        <v>23</v>
      </c>
      <c r="B6" s="11" t="s">
        <v>403</v>
      </c>
      <c r="C6" s="12" t="s">
        <v>404</v>
      </c>
      <c r="D6" s="13">
        <v>12049370</v>
      </c>
      <c r="E6" s="19">
        <v>1811</v>
      </c>
      <c r="F6" s="20"/>
      <c r="G6" s="11" t="s">
        <v>405</v>
      </c>
      <c r="H6" s="21" t="s">
        <v>406</v>
      </c>
      <c r="I6" s="24" t="s">
        <v>138</v>
      </c>
      <c r="J6" s="28">
        <v>1.0416666666666701E-2</v>
      </c>
      <c r="K6" s="29">
        <v>43781</v>
      </c>
      <c r="L6" s="29">
        <v>43795</v>
      </c>
      <c r="M6" s="35">
        <f t="shared" ref="M6:M16" si="0">IF(D6&gt;44999.99,100,ROUNDUP((D6/4999.99)*10,-1))</f>
        <v>100</v>
      </c>
      <c r="N6" s="10" t="s">
        <v>139</v>
      </c>
      <c r="O6" s="36">
        <f t="shared" ref="O6:O16" si="1">IF(N6="Y",M6,0)</f>
        <v>0</v>
      </c>
      <c r="P6" s="10" t="s">
        <v>407</v>
      </c>
      <c r="Q6" s="14" t="s">
        <v>139</v>
      </c>
      <c r="R6" s="39">
        <f t="shared" ref="R6:R16" si="2">L6-K6+1</f>
        <v>15</v>
      </c>
      <c r="S6" s="40">
        <f t="shared" ref="S6:S7" si="3">WORKDAY(K6,6,tarikhcuti)</f>
        <v>43789</v>
      </c>
      <c r="T6" s="39">
        <f t="shared" ref="T6:T7" si="4">IF(L6&gt;S6,L6-S6,0)</f>
        <v>6</v>
      </c>
      <c r="U6" s="45">
        <f t="shared" ref="U6:U16" si="5">M6*T6</f>
        <v>600</v>
      </c>
      <c r="V6" s="46"/>
      <c r="W6" s="47" t="s">
        <v>408</v>
      </c>
      <c r="X6" s="39">
        <f>R6</f>
        <v>15</v>
      </c>
      <c r="Y6" s="51">
        <v>24</v>
      </c>
      <c r="Z6" s="51">
        <f>X6*Y6</f>
        <v>360</v>
      </c>
      <c r="AA6" s="51">
        <v>8072</v>
      </c>
      <c r="AB6" s="51">
        <f>AA6-Z6</f>
        <v>7712</v>
      </c>
      <c r="AC6" s="55">
        <f>AB6/8072</f>
        <v>0.95540138751238801</v>
      </c>
      <c r="AD6" s="56">
        <v>0.92</v>
      </c>
      <c r="AE6" s="51" t="s">
        <v>77</v>
      </c>
    </row>
    <row r="7" spans="1:31" s="3" customFormat="1" ht="25">
      <c r="A7" s="14">
        <v>1</v>
      </c>
      <c r="B7" s="15" t="s">
        <v>409</v>
      </c>
      <c r="C7" s="16" t="s">
        <v>162</v>
      </c>
      <c r="D7" s="13">
        <v>10825</v>
      </c>
      <c r="E7" s="22">
        <v>1655</v>
      </c>
      <c r="F7" s="23"/>
      <c r="G7" s="16" t="s">
        <v>410</v>
      </c>
      <c r="H7" s="16" t="s">
        <v>411</v>
      </c>
      <c r="I7" s="15" t="s">
        <v>138</v>
      </c>
      <c r="J7" s="30">
        <v>2.5694444444444499E-2</v>
      </c>
      <c r="K7" s="31">
        <v>43774</v>
      </c>
      <c r="L7" s="31">
        <v>43799</v>
      </c>
      <c r="M7" s="35">
        <f t="shared" si="0"/>
        <v>30</v>
      </c>
      <c r="N7" s="14" t="s">
        <v>139</v>
      </c>
      <c r="O7" s="36">
        <f t="shared" si="1"/>
        <v>0</v>
      </c>
      <c r="P7" s="14" t="s">
        <v>407</v>
      </c>
      <c r="Q7" s="14" t="s">
        <v>158</v>
      </c>
      <c r="R7" s="39">
        <f t="shared" si="2"/>
        <v>26</v>
      </c>
      <c r="S7" s="41">
        <f t="shared" si="3"/>
        <v>43782</v>
      </c>
      <c r="T7" s="39">
        <f t="shared" si="4"/>
        <v>17</v>
      </c>
      <c r="U7" s="45">
        <f t="shared" si="5"/>
        <v>510</v>
      </c>
      <c r="V7" s="48"/>
      <c r="W7" s="49" t="s">
        <v>408</v>
      </c>
      <c r="X7" s="39">
        <f t="shared" ref="X7:X16" si="6">R7</f>
        <v>26</v>
      </c>
      <c r="Y7" s="51">
        <v>24</v>
      </c>
      <c r="Z7" s="51">
        <f t="shared" ref="Z7:Z16" si="7">X7*Y7</f>
        <v>624</v>
      </c>
      <c r="AA7" s="52">
        <v>8072</v>
      </c>
      <c r="AB7" s="51">
        <f t="shared" ref="AB7:AB16" si="8">AA7-Z7</f>
        <v>7448</v>
      </c>
      <c r="AC7" s="55">
        <f t="shared" ref="AC7:AC16" si="9">AB7/8072</f>
        <v>0.922695738354807</v>
      </c>
      <c r="AD7" s="56">
        <v>0.95</v>
      </c>
      <c r="AE7" s="52" t="s">
        <v>412</v>
      </c>
    </row>
    <row r="8" spans="1:31" s="3" customFormat="1" ht="50">
      <c r="A8" s="14">
        <f>A7+1</f>
        <v>2</v>
      </c>
      <c r="B8" s="17" t="s">
        <v>217</v>
      </c>
      <c r="C8" s="17" t="s">
        <v>216</v>
      </c>
      <c r="D8" s="18">
        <v>3557530</v>
      </c>
      <c r="E8" s="24">
        <v>1172</v>
      </c>
      <c r="F8" s="25"/>
      <c r="G8" s="26" t="s">
        <v>413</v>
      </c>
      <c r="H8" s="27" t="s">
        <v>414</v>
      </c>
      <c r="I8" s="24" t="s">
        <v>138</v>
      </c>
      <c r="J8" s="32">
        <v>2.0833333333333402E-2</v>
      </c>
      <c r="K8" s="31">
        <v>43770</v>
      </c>
      <c r="L8" s="29">
        <v>43782</v>
      </c>
      <c r="M8" s="35">
        <f t="shared" si="0"/>
        <v>100</v>
      </c>
      <c r="N8" s="10" t="s">
        <v>139</v>
      </c>
      <c r="O8" s="37">
        <f t="shared" si="1"/>
        <v>0</v>
      </c>
      <c r="P8" s="10" t="s">
        <v>407</v>
      </c>
      <c r="Q8" s="14" t="s">
        <v>139</v>
      </c>
      <c r="R8" s="39">
        <f t="shared" si="2"/>
        <v>13</v>
      </c>
      <c r="S8" s="40">
        <v>43763</v>
      </c>
      <c r="T8" s="39">
        <f>R8</f>
        <v>13</v>
      </c>
      <c r="U8" s="45">
        <f t="shared" si="5"/>
        <v>1300</v>
      </c>
      <c r="V8" s="46"/>
      <c r="W8" s="49" t="s">
        <v>408</v>
      </c>
      <c r="X8" s="39">
        <f t="shared" si="6"/>
        <v>13</v>
      </c>
      <c r="Y8" s="51">
        <v>24</v>
      </c>
      <c r="Z8" s="51">
        <f t="shared" si="7"/>
        <v>312</v>
      </c>
      <c r="AA8" s="52">
        <v>8072</v>
      </c>
      <c r="AB8" s="51">
        <f t="shared" si="8"/>
        <v>7760</v>
      </c>
      <c r="AC8" s="55">
        <f t="shared" si="9"/>
        <v>0.961347869177403</v>
      </c>
      <c r="AD8" s="56">
        <v>0.95</v>
      </c>
      <c r="AE8" s="52" t="s">
        <v>77</v>
      </c>
    </row>
    <row r="9" spans="1:31" s="3" customFormat="1" ht="50">
      <c r="A9" s="14">
        <f t="shared" ref="A9:A16" si="10">A8+1</f>
        <v>3</v>
      </c>
      <c r="B9" s="17" t="s">
        <v>215</v>
      </c>
      <c r="C9" s="17" t="s">
        <v>216</v>
      </c>
      <c r="D9" s="18">
        <v>3557530</v>
      </c>
      <c r="E9" s="24">
        <v>1173</v>
      </c>
      <c r="F9" s="25"/>
      <c r="G9" s="26" t="s">
        <v>413</v>
      </c>
      <c r="H9" s="27" t="s">
        <v>414</v>
      </c>
      <c r="I9" s="24" t="s">
        <v>138</v>
      </c>
      <c r="J9" s="32">
        <v>1.3888888888888999E-2</v>
      </c>
      <c r="K9" s="31">
        <v>43770</v>
      </c>
      <c r="L9" s="29">
        <v>43782</v>
      </c>
      <c r="M9" s="35">
        <f t="shared" si="0"/>
        <v>100</v>
      </c>
      <c r="N9" s="10" t="s">
        <v>139</v>
      </c>
      <c r="O9" s="37">
        <f t="shared" si="1"/>
        <v>0</v>
      </c>
      <c r="P9" s="10" t="s">
        <v>407</v>
      </c>
      <c r="Q9" s="14" t="s">
        <v>139</v>
      </c>
      <c r="R9" s="39">
        <f t="shared" si="2"/>
        <v>13</v>
      </c>
      <c r="S9" s="40">
        <v>43763</v>
      </c>
      <c r="T9" s="39">
        <f t="shared" ref="T9:T16" si="11">R9</f>
        <v>13</v>
      </c>
      <c r="U9" s="45">
        <f t="shared" si="5"/>
        <v>1300</v>
      </c>
      <c r="V9" s="46"/>
      <c r="W9" s="49" t="s">
        <v>408</v>
      </c>
      <c r="X9" s="39">
        <f t="shared" si="6"/>
        <v>13</v>
      </c>
      <c r="Y9" s="51">
        <v>24</v>
      </c>
      <c r="Z9" s="51">
        <f t="shared" si="7"/>
        <v>312</v>
      </c>
      <c r="AA9" s="52">
        <v>8072</v>
      </c>
      <c r="AB9" s="51">
        <f t="shared" si="8"/>
        <v>7760</v>
      </c>
      <c r="AC9" s="55">
        <f t="shared" si="9"/>
        <v>0.961347869177403</v>
      </c>
      <c r="AD9" s="56">
        <v>0.95</v>
      </c>
      <c r="AE9" s="52" t="s">
        <v>77</v>
      </c>
    </row>
    <row r="10" spans="1:31" s="3" customFormat="1" ht="50">
      <c r="A10" s="14">
        <f t="shared" si="10"/>
        <v>4</v>
      </c>
      <c r="B10" s="17" t="s">
        <v>415</v>
      </c>
      <c r="C10" s="17" t="s">
        <v>416</v>
      </c>
      <c r="D10" s="18">
        <v>28630</v>
      </c>
      <c r="E10" s="24">
        <v>1449</v>
      </c>
      <c r="F10" s="25"/>
      <c r="G10" s="26" t="s">
        <v>417</v>
      </c>
      <c r="H10" s="27" t="s">
        <v>418</v>
      </c>
      <c r="I10" s="24" t="s">
        <v>138</v>
      </c>
      <c r="J10" s="32">
        <v>2.7777777777777801E-2</v>
      </c>
      <c r="K10" s="31">
        <v>43770</v>
      </c>
      <c r="L10" s="29">
        <v>43775</v>
      </c>
      <c r="M10" s="35">
        <f t="shared" si="0"/>
        <v>60</v>
      </c>
      <c r="N10" s="10" t="s">
        <v>139</v>
      </c>
      <c r="O10" s="37">
        <f t="shared" si="1"/>
        <v>0</v>
      </c>
      <c r="P10" s="10" t="s">
        <v>407</v>
      </c>
      <c r="Q10" s="14" t="s">
        <v>139</v>
      </c>
      <c r="R10" s="39">
        <f t="shared" si="2"/>
        <v>6</v>
      </c>
      <c r="S10" s="40">
        <v>43774</v>
      </c>
      <c r="T10" s="39">
        <f t="shared" si="11"/>
        <v>6</v>
      </c>
      <c r="U10" s="45">
        <f t="shared" si="5"/>
        <v>360</v>
      </c>
      <c r="V10" s="46"/>
      <c r="W10" s="49" t="s">
        <v>408</v>
      </c>
      <c r="X10" s="39">
        <f t="shared" si="6"/>
        <v>6</v>
      </c>
      <c r="Y10" s="51">
        <v>24</v>
      </c>
      <c r="Z10" s="51">
        <f t="shared" si="7"/>
        <v>144</v>
      </c>
      <c r="AA10" s="52">
        <v>8072</v>
      </c>
      <c r="AB10" s="51">
        <f t="shared" si="8"/>
        <v>7928</v>
      </c>
      <c r="AC10" s="55">
        <f t="shared" si="9"/>
        <v>0.98216055500495503</v>
      </c>
      <c r="AD10" s="56">
        <v>0.92</v>
      </c>
      <c r="AE10" s="52" t="s">
        <v>77</v>
      </c>
    </row>
    <row r="11" spans="1:31" s="3" customFormat="1" ht="25">
      <c r="A11" s="14">
        <f t="shared" si="10"/>
        <v>5</v>
      </c>
      <c r="B11" s="17" t="s">
        <v>143</v>
      </c>
      <c r="C11" s="17" t="s">
        <v>148</v>
      </c>
      <c r="D11" s="18">
        <v>12049370</v>
      </c>
      <c r="E11" s="24">
        <v>1471</v>
      </c>
      <c r="F11" s="25"/>
      <c r="G11" s="26" t="s">
        <v>413</v>
      </c>
      <c r="H11" s="27" t="s">
        <v>419</v>
      </c>
      <c r="I11" s="24" t="s">
        <v>138</v>
      </c>
      <c r="J11" s="32">
        <v>6.5972222222222196E-2</v>
      </c>
      <c r="K11" s="31">
        <v>43770</v>
      </c>
      <c r="L11" s="29">
        <v>43773</v>
      </c>
      <c r="M11" s="35">
        <f t="shared" si="0"/>
        <v>100</v>
      </c>
      <c r="N11" s="10" t="s">
        <v>139</v>
      </c>
      <c r="O11" s="37">
        <f t="shared" si="1"/>
        <v>0</v>
      </c>
      <c r="P11" s="10" t="s">
        <v>407</v>
      </c>
      <c r="Q11" s="14" t="s">
        <v>139</v>
      </c>
      <c r="R11" s="39">
        <f t="shared" si="2"/>
        <v>4</v>
      </c>
      <c r="S11" s="40">
        <v>43775</v>
      </c>
      <c r="T11" s="39">
        <f t="shared" si="11"/>
        <v>4</v>
      </c>
      <c r="U11" s="45">
        <f t="shared" si="5"/>
        <v>400</v>
      </c>
      <c r="V11" s="46"/>
      <c r="W11" s="49" t="s">
        <v>408</v>
      </c>
      <c r="X11" s="39">
        <f t="shared" si="6"/>
        <v>4</v>
      </c>
      <c r="Y11" s="51">
        <v>24</v>
      </c>
      <c r="Z11" s="51">
        <f t="shared" si="7"/>
        <v>96</v>
      </c>
      <c r="AA11" s="52">
        <v>8072</v>
      </c>
      <c r="AB11" s="51">
        <f t="shared" si="8"/>
        <v>7976</v>
      </c>
      <c r="AC11" s="55">
        <f t="shared" si="9"/>
        <v>0.98810703666997002</v>
      </c>
      <c r="AD11" s="56">
        <v>0.92</v>
      </c>
      <c r="AE11" s="52" t="s">
        <v>77</v>
      </c>
    </row>
    <row r="12" spans="1:31" s="3" customFormat="1" ht="50">
      <c r="A12" s="14">
        <f t="shared" si="10"/>
        <v>6</v>
      </c>
      <c r="B12" s="17" t="s">
        <v>420</v>
      </c>
      <c r="C12" s="17" t="s">
        <v>416</v>
      </c>
      <c r="D12" s="18">
        <v>28630</v>
      </c>
      <c r="E12" s="24">
        <v>1476</v>
      </c>
      <c r="F12" s="25"/>
      <c r="G12" s="26" t="s">
        <v>421</v>
      </c>
      <c r="H12" s="27" t="s">
        <v>422</v>
      </c>
      <c r="I12" s="24" t="s">
        <v>138</v>
      </c>
      <c r="J12" s="32">
        <v>2.36111111111111E-2</v>
      </c>
      <c r="K12" s="31">
        <v>43770</v>
      </c>
      <c r="L12" s="29">
        <v>43775</v>
      </c>
      <c r="M12" s="35">
        <f t="shared" si="0"/>
        <v>60</v>
      </c>
      <c r="N12" s="10" t="s">
        <v>139</v>
      </c>
      <c r="O12" s="37">
        <f t="shared" si="1"/>
        <v>0</v>
      </c>
      <c r="P12" s="10" t="s">
        <v>407</v>
      </c>
      <c r="Q12" s="14" t="s">
        <v>139</v>
      </c>
      <c r="R12" s="39">
        <f t="shared" si="2"/>
        <v>6</v>
      </c>
      <c r="S12" s="40">
        <v>43775</v>
      </c>
      <c r="T12" s="39">
        <f t="shared" si="11"/>
        <v>6</v>
      </c>
      <c r="U12" s="45">
        <f t="shared" si="5"/>
        <v>360</v>
      </c>
      <c r="V12" s="46"/>
      <c r="W12" s="49" t="e">
        <v>#N/A</v>
      </c>
      <c r="X12" s="39">
        <f t="shared" si="6"/>
        <v>6</v>
      </c>
      <c r="Y12" s="51">
        <v>24</v>
      </c>
      <c r="Z12" s="51">
        <f t="shared" si="7"/>
        <v>144</v>
      </c>
      <c r="AA12" s="52">
        <v>8072</v>
      </c>
      <c r="AB12" s="51">
        <f t="shared" si="8"/>
        <v>7928</v>
      </c>
      <c r="AC12" s="55">
        <f t="shared" si="9"/>
        <v>0.98216055500495503</v>
      </c>
      <c r="AD12" s="56">
        <v>0.92</v>
      </c>
      <c r="AE12" s="52" t="s">
        <v>77</v>
      </c>
    </row>
    <row r="13" spans="1:31" s="3" customFormat="1" ht="37.5">
      <c r="A13" s="14">
        <f t="shared" si="10"/>
        <v>7</v>
      </c>
      <c r="B13" s="17" t="s">
        <v>423</v>
      </c>
      <c r="C13" s="17" t="s">
        <v>284</v>
      </c>
      <c r="D13" s="18">
        <v>4510</v>
      </c>
      <c r="E13" s="24">
        <v>1496</v>
      </c>
      <c r="F13" s="25"/>
      <c r="G13" s="26" t="s">
        <v>421</v>
      </c>
      <c r="H13" s="27" t="s">
        <v>424</v>
      </c>
      <c r="I13" s="24" t="s">
        <v>138</v>
      </c>
      <c r="J13" s="32">
        <v>1.04166666666666E-2</v>
      </c>
      <c r="K13" s="31">
        <v>43770</v>
      </c>
      <c r="L13" s="29">
        <v>43775</v>
      </c>
      <c r="M13" s="35">
        <f t="shared" si="0"/>
        <v>10</v>
      </c>
      <c r="N13" s="10" t="s">
        <v>139</v>
      </c>
      <c r="O13" s="37">
        <f t="shared" si="1"/>
        <v>0</v>
      </c>
      <c r="P13" s="10" t="s">
        <v>407</v>
      </c>
      <c r="Q13" s="14" t="s">
        <v>139</v>
      </c>
      <c r="R13" s="39">
        <f t="shared" si="2"/>
        <v>6</v>
      </c>
      <c r="S13" s="40">
        <v>43775</v>
      </c>
      <c r="T13" s="39">
        <f t="shared" si="11"/>
        <v>6</v>
      </c>
      <c r="U13" s="45">
        <f t="shared" si="5"/>
        <v>60</v>
      </c>
      <c r="V13" s="46"/>
      <c r="W13" s="49" t="s">
        <v>408</v>
      </c>
      <c r="X13" s="39">
        <f t="shared" si="6"/>
        <v>6</v>
      </c>
      <c r="Y13" s="51">
        <v>24</v>
      </c>
      <c r="Z13" s="51">
        <f t="shared" si="7"/>
        <v>144</v>
      </c>
      <c r="AA13" s="52">
        <v>8072</v>
      </c>
      <c r="AB13" s="51">
        <f t="shared" si="8"/>
        <v>7928</v>
      </c>
      <c r="AC13" s="55">
        <f t="shared" si="9"/>
        <v>0.98216055500495503</v>
      </c>
      <c r="AD13" s="56">
        <v>0.92</v>
      </c>
      <c r="AE13" s="52" t="s">
        <v>77</v>
      </c>
    </row>
    <row r="14" spans="1:31" s="3" customFormat="1" ht="50">
      <c r="A14" s="14">
        <f t="shared" si="10"/>
        <v>8</v>
      </c>
      <c r="B14" s="17" t="s">
        <v>425</v>
      </c>
      <c r="C14" s="17" t="s">
        <v>426</v>
      </c>
      <c r="D14" s="18">
        <v>1044560</v>
      </c>
      <c r="E14" s="24">
        <v>1535</v>
      </c>
      <c r="F14" s="25"/>
      <c r="G14" s="26" t="s">
        <v>427</v>
      </c>
      <c r="H14" s="27" t="s">
        <v>428</v>
      </c>
      <c r="I14" s="24" t="s">
        <v>138</v>
      </c>
      <c r="J14" s="32">
        <v>1.7361111111111199E-2</v>
      </c>
      <c r="K14" s="31">
        <v>43770</v>
      </c>
      <c r="L14" s="29">
        <v>43773</v>
      </c>
      <c r="M14" s="35">
        <f t="shared" si="0"/>
        <v>100</v>
      </c>
      <c r="N14" s="10" t="s">
        <v>139</v>
      </c>
      <c r="O14" s="37">
        <f t="shared" si="1"/>
        <v>0</v>
      </c>
      <c r="P14" s="10" t="s">
        <v>407</v>
      </c>
      <c r="Q14" s="14" t="s">
        <v>139</v>
      </c>
      <c r="R14" s="39">
        <f t="shared" si="2"/>
        <v>4</v>
      </c>
      <c r="S14" s="40">
        <v>43776</v>
      </c>
      <c r="T14" s="39">
        <f t="shared" si="11"/>
        <v>4</v>
      </c>
      <c r="U14" s="45">
        <f t="shared" si="5"/>
        <v>400</v>
      </c>
      <c r="V14" s="46"/>
      <c r="W14" s="49" t="s">
        <v>408</v>
      </c>
      <c r="X14" s="39">
        <f t="shared" si="6"/>
        <v>4</v>
      </c>
      <c r="Y14" s="51">
        <v>24</v>
      </c>
      <c r="Z14" s="51">
        <f t="shared" si="7"/>
        <v>96</v>
      </c>
      <c r="AA14" s="52">
        <v>8072</v>
      </c>
      <c r="AB14" s="51">
        <f t="shared" si="8"/>
        <v>7976</v>
      </c>
      <c r="AC14" s="55">
        <f t="shared" si="9"/>
        <v>0.98810703666997002</v>
      </c>
      <c r="AD14" s="56">
        <v>0.95</v>
      </c>
      <c r="AE14" s="52" t="s">
        <v>77</v>
      </c>
    </row>
    <row r="15" spans="1:31" s="3" customFormat="1" ht="25">
      <c r="A15" s="14">
        <f t="shared" si="10"/>
        <v>9</v>
      </c>
      <c r="B15" s="17" t="s">
        <v>160</v>
      </c>
      <c r="C15" s="17" t="s">
        <v>429</v>
      </c>
      <c r="D15" s="18">
        <v>3191750</v>
      </c>
      <c r="E15" s="24">
        <v>1550</v>
      </c>
      <c r="F15" s="25"/>
      <c r="G15" s="26" t="s">
        <v>430</v>
      </c>
      <c r="H15" s="27" t="s">
        <v>431</v>
      </c>
      <c r="I15" s="24" t="s">
        <v>138</v>
      </c>
      <c r="J15" s="32">
        <v>3.4722222222222099E-3</v>
      </c>
      <c r="K15" s="31">
        <v>43770</v>
      </c>
      <c r="L15" s="29">
        <v>43773</v>
      </c>
      <c r="M15" s="35">
        <f t="shared" si="0"/>
        <v>100</v>
      </c>
      <c r="N15" s="10" t="s">
        <v>139</v>
      </c>
      <c r="O15" s="37">
        <f t="shared" si="1"/>
        <v>0</v>
      </c>
      <c r="P15" s="10" t="s">
        <v>407</v>
      </c>
      <c r="Q15" s="14" t="s">
        <v>139</v>
      </c>
      <c r="R15" s="39">
        <f t="shared" si="2"/>
        <v>4</v>
      </c>
      <c r="S15" s="40">
        <v>43777</v>
      </c>
      <c r="T15" s="39">
        <f t="shared" si="11"/>
        <v>4</v>
      </c>
      <c r="U15" s="45">
        <f t="shared" si="5"/>
        <v>400</v>
      </c>
      <c r="V15" s="46"/>
      <c r="W15" s="49" t="s">
        <v>408</v>
      </c>
      <c r="X15" s="39">
        <f t="shared" si="6"/>
        <v>4</v>
      </c>
      <c r="Y15" s="51">
        <v>24</v>
      </c>
      <c r="Z15" s="51">
        <f t="shared" si="7"/>
        <v>96</v>
      </c>
      <c r="AA15" s="52">
        <v>8072</v>
      </c>
      <c r="AB15" s="51">
        <f t="shared" si="8"/>
        <v>7976</v>
      </c>
      <c r="AC15" s="55">
        <f t="shared" si="9"/>
        <v>0.98810703666997002</v>
      </c>
      <c r="AD15" s="56">
        <v>0.92</v>
      </c>
      <c r="AE15" s="52" t="s">
        <v>77</v>
      </c>
    </row>
    <row r="16" spans="1:31" s="3" customFormat="1" ht="50">
      <c r="A16" s="14">
        <f t="shared" si="10"/>
        <v>10</v>
      </c>
      <c r="B16" s="17" t="s">
        <v>432</v>
      </c>
      <c r="C16" s="17" t="s">
        <v>433</v>
      </c>
      <c r="D16" s="18">
        <v>3191750</v>
      </c>
      <c r="E16" s="24">
        <v>1565</v>
      </c>
      <c r="F16" s="24"/>
      <c r="G16" s="26" t="s">
        <v>427</v>
      </c>
      <c r="H16" s="27" t="s">
        <v>434</v>
      </c>
      <c r="I16" s="24" t="s">
        <v>138</v>
      </c>
      <c r="J16" s="32">
        <v>0</v>
      </c>
      <c r="K16" s="31">
        <v>43770</v>
      </c>
      <c r="L16" s="29">
        <v>43773</v>
      </c>
      <c r="M16" s="35">
        <f t="shared" si="0"/>
        <v>100</v>
      </c>
      <c r="N16" s="10" t="s">
        <v>139</v>
      </c>
      <c r="O16" s="37">
        <f t="shared" si="1"/>
        <v>0</v>
      </c>
      <c r="P16" s="10" t="s">
        <v>407</v>
      </c>
      <c r="Q16" s="14" t="s">
        <v>139</v>
      </c>
      <c r="R16" s="39">
        <f t="shared" si="2"/>
        <v>4</v>
      </c>
      <c r="S16" s="40">
        <v>43777</v>
      </c>
      <c r="T16" s="39">
        <f t="shared" si="11"/>
        <v>4</v>
      </c>
      <c r="U16" s="45">
        <f t="shared" si="5"/>
        <v>400</v>
      </c>
      <c r="V16" s="46"/>
      <c r="W16" s="49" t="s">
        <v>408</v>
      </c>
      <c r="X16" s="39">
        <f t="shared" si="6"/>
        <v>4</v>
      </c>
      <c r="Y16" s="51">
        <v>24</v>
      </c>
      <c r="Z16" s="51">
        <f t="shared" si="7"/>
        <v>96</v>
      </c>
      <c r="AA16" s="52">
        <v>8072</v>
      </c>
      <c r="AB16" s="51">
        <f t="shared" si="8"/>
        <v>7976</v>
      </c>
      <c r="AC16" s="55">
        <f t="shared" si="9"/>
        <v>0.98810703666997002</v>
      </c>
      <c r="AD16" s="56">
        <v>0.92</v>
      </c>
      <c r="AE16" s="52" t="s">
        <v>77</v>
      </c>
    </row>
    <row r="17" spans="21:21">
      <c r="U17" s="50">
        <f>SUM(U6:U16)</f>
        <v>6090</v>
      </c>
    </row>
  </sheetData>
  <mergeCells count="15">
    <mergeCell ref="W4:W5"/>
    <mergeCell ref="N4:P4"/>
    <mergeCell ref="Q4:V4"/>
    <mergeCell ref="A4:A5"/>
    <mergeCell ref="B4:B5"/>
    <mergeCell ref="C4:C5"/>
    <mergeCell ref="D4:D5"/>
    <mergeCell ref="E4:E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KDI</vt:lpstr>
      <vt:lpstr>Public Holiday</vt:lpstr>
      <vt:lpstr>BEMSdar</vt:lpstr>
      <vt:lpstr>B1&amp;B2 UNSCHEDULED</vt:lpstr>
      <vt:lpstr>B3-SCHEDULED</vt:lpstr>
      <vt:lpstr>B4-UPTIME</vt:lpstr>
      <vt:lpstr>B5-T&amp;C</vt:lpstr>
      <vt:lpstr>Sheet1</vt:lpstr>
      <vt:lpstr>Sheet2</vt:lpstr>
      <vt:lpstr>'B1&amp;B2 UNSCHEDULED'!AKHIR</vt:lpstr>
      <vt:lpstr>'B1&amp;B2 UNSCHEDULED'!AWAL</vt:lpstr>
      <vt:lpstr>cuti</vt:lpstr>
      <vt:lpstr>'B1&amp;B2 UNSCHEDULED'!hujung</vt:lpstr>
      <vt:lpstr>Sheet1!OLE_LINK2</vt:lpstr>
      <vt:lpstr>'B1&amp;B2 UNSCHEDULED'!Print_Area</vt:lpstr>
      <vt:lpstr>'B3-SCHEDULED'!Print_Area</vt:lpstr>
      <vt:lpstr>'B4-UPTIME'!Print_Area</vt:lpstr>
      <vt:lpstr>'B5-T&amp;C'!Print_Area</vt:lpstr>
      <vt:lpstr>BEMSdar!Print_Area</vt:lpstr>
      <vt:lpstr>KDI!Print_Area</vt:lpstr>
      <vt:lpstr>'B1&amp;B2 UNSCHEDULED'!Print_Titles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Institut Kanser Negara</cp:lastModifiedBy>
  <cp:lastPrinted>2026-04-08T01:17:01Z</cp:lastPrinted>
  <dcterms:created xsi:type="dcterms:W3CDTF">2016-04-16T11:55:00Z</dcterms:created>
  <dcterms:modified xsi:type="dcterms:W3CDTF">2026-04-14T02:41:58Z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D5CA3DA5F187A319CA10866907F8FFC9_42</vt:lpwstr>
  </property>
  <property fmtid="{D5CDD505-2E9C-101B-9397-08002B2CF9AE}" pid="3" name="KSOProductBuildVer">
    <vt:lpwstr>1033-12.8.2.22595</vt:lpwstr>
  </property>
</Properties>
</file>